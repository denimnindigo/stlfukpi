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 KPI Entry" sheetId="1" state="visible" r:id="rId3"/>
    <sheet name="Fault &amp; Downtime Entry" sheetId="2" state="visible" r:id="rId4"/>
    <sheet name="Operator Master" sheetId="3" state="visible" r:id="rId5"/>
    <sheet name="Shift Roster" sheetId="4" state="visible" r:id="rId6"/>
    <sheet name="Loom Master" sheetId="5" state="visible" r:id="rId7"/>
    <sheet name="Fault Master" sheetId="6" state="visible" r:id="rId8"/>
    <sheet name="Legacy Backup" sheetId="7" state="hidden" r:id="rId9"/>
    <sheet name="Standards &amp; Scoring" sheetId="8" state="visible" r:id="rId10"/>
    <sheet name="Weaving KPI Data" sheetId="9" state="visible" r:id="rId11"/>
    <sheet name="Loom Fault Downtime" sheetId="10" state="visible" r:id="rId12"/>
    <sheet name="Operator View" sheetId="11" state="visible" r:id="rId13"/>
    <sheet name="Management Dashboard" sheetId="12" state="visible" r:id="rId14"/>
  </sheets>
  <definedNames>
    <definedName function="false" hidden="true" localSheetId="0" name="_xlnm._FilterDatabase" vbProcedure="false">'Daily KPI Entry'!$A$5:$AM$505</definedName>
    <definedName function="false" hidden="true" localSheetId="1" name="_xlnm._FilterDatabase" vbProcedure="false">'Fault &amp; Downtime Entry'!$A$5:$O$1005</definedName>
    <definedName function="false" hidden="true" localSheetId="9" name="_xlnm._FilterDatabase" vbProcedure="false">'Loom Fault Downtime'!$A$4:$R$1004</definedName>
    <definedName function="false" hidden="true" localSheetId="11" name="_xlnm._FilterDatabase" vbProcedure="false">'Management Dashboard'!$A$11:$J$41</definedName>
    <definedName function="false" hidden="false" localSheetId="10" name="_xlnm.Print_Area" vbProcedure="false">'Operator View'!$A$1:$J$70</definedName>
    <definedName function="false" hidden="true" localSheetId="8" name="_xlnm._FilterDatabase" vbProcedure="false">'Weaving KPI Data'!$A$4:$AZ$504</definedName>
    <definedName function="false" hidden="false" name="FaultCodeList" vbProcedure="false">'Fault Master'!$A$5:$A$104</definedName>
    <definedName function="false" hidden="false" name="OperatorIDList" vbProcedure="false">'Operator Master'!$A$5:$A$504</definedName>
    <definedName function="false" hidden="false" name="OperatorNameList" vbProcedure="false">'Operator Master'!$B$5:$B$504</definedName>
    <definedName function="false" hidden="false" name="ResponsibilityList" vbProcedure="false">"Operator,Supervisor,Machine,Material,Process,Other"</definedName>
    <definedName function="false" hidden="false" name="ShiftList" vbProcedure="false">"A,B,C"</definedName>
    <definedName function="false" hidden="false" name="ShiftReasonList" vbProcedure="false">"Normal Rotation,Shift Swap,Leave Replacement,Absence Replacement,Emergency Assignment,Training,Supervisor Adjustment,Production Requirement,Other"</definedName>
    <definedName function="false" hidden="false" name="ShiftStatusList" vbProcedure="false">"Normal,Changed,Temporary,Replacement,Unplanned"</definedName>
    <definedName function="false" hidden="false" name="VerifiedList" vbProcedure="false">"Yes,No"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<sst xmlns="http://schemas.openxmlformats.org/spreadsheetml/2006/main" count="2328" uniqueCount="550">
  <si>
    <t xml:space="preserve">STL FU — WEAVING | DAILY KPI DATA ENTRY</t>
  </si>
  <si>
    <t xml:space="preserve">ENTRY RULE: one row = one operator + one date + one actual shift + one loom. Existing grouped rows are preserved; use one loom per new row.</t>
  </si>
  <si>
    <t xml:space="preserve">White cells = user input. Blue cells = automatic. Running-hour target is 8 hours per designated loom per shift.</t>
  </si>
  <si>
    <t xml:space="preserve">Record No</t>
  </si>
  <si>
    <t xml:space="preserve">Date</t>
  </si>
  <si>
    <t xml:space="preserve">Planned Shift</t>
  </si>
  <si>
    <t xml:space="preserve">Actual Shift</t>
  </si>
  <si>
    <t xml:space="preserve">Shift Status</t>
  </si>
  <si>
    <t xml:space="preserve">Shift Change Reason</t>
  </si>
  <si>
    <t xml:space="preserve">Operator ID</t>
  </si>
  <si>
    <t xml:space="preserve">Operator Name</t>
  </si>
  <si>
    <t xml:space="preserve">Supervisor</t>
  </si>
  <si>
    <t xml:space="preserve">No. of Looms</t>
  </si>
  <si>
    <t xml:space="preserve">Loom No(s)</t>
  </si>
  <si>
    <t xml:space="preserve">Avg RPM</t>
  </si>
  <si>
    <t xml:space="preserve">Avg PPI</t>
  </si>
  <si>
    <t xml:space="preserve">Production Target (yd)</t>
  </si>
  <si>
    <t xml:space="preserve">Production Actual (yd)</t>
  </si>
  <si>
    <t xml:space="preserve">Production Achievement %</t>
  </si>
  <si>
    <t xml:space="preserve">Running Hr Target / Loom</t>
  </si>
  <si>
    <t xml:space="preserve">Total Loom-Hr Target</t>
  </si>
  <si>
    <t xml:space="preserve">Running Hr Actual</t>
  </si>
  <si>
    <t xml:space="preserve">Running Achievement %</t>
  </si>
  <si>
    <t xml:space="preserve">Loom Efficiency %</t>
  </si>
  <si>
    <t xml:space="preserve">Rejection Yds</t>
  </si>
  <si>
    <t xml:space="preserve">Rejection %</t>
  </si>
  <si>
    <t xml:space="preserve">Warp Break</t>
  </si>
  <si>
    <t xml:space="preserve">Weft Break</t>
  </si>
  <si>
    <t xml:space="preserve">Missing Pick</t>
  </si>
  <si>
    <t xml:space="preserve">Stop Mark</t>
  </si>
  <si>
    <t xml:space="preserve">Start Mark</t>
  </si>
  <si>
    <t xml:space="preserve">L. End</t>
  </si>
  <si>
    <t xml:space="preserve">Y. Mix</t>
  </si>
  <si>
    <t xml:space="preserve">Other Fault</t>
  </si>
  <si>
    <t xml:space="preserve">Fault Total</t>
  </si>
  <si>
    <t xml:space="preserve">Faults / 1000 yd</t>
  </si>
  <si>
    <t xml:space="preserve">Housekeeping %</t>
  </si>
  <si>
    <t xml:space="preserve">Attendance / Discipline %</t>
  </si>
  <si>
    <t xml:space="preserve">SOP / Safety %</t>
  </si>
  <si>
    <t xml:space="preserve">Supervisor Remarks</t>
  </si>
  <si>
    <t xml:space="preserve">Operator Comments</t>
  </si>
  <si>
    <t xml:space="preserve">Verified</t>
  </si>
  <si>
    <t xml:space="preserve">A</t>
  </si>
  <si>
    <t xml:space="preserve">Normal</t>
  </si>
  <si>
    <t xml:space="preserve">STL005494</t>
  </si>
  <si>
    <t xml:space="preserve">O4,O5,O6,P4,P5,Q4,Q5,Q6</t>
  </si>
  <si>
    <t xml:space="preserve">B</t>
  </si>
  <si>
    <t xml:space="preserve">Replace</t>
  </si>
  <si>
    <t xml:space="preserve">Manpower shortage</t>
  </si>
  <si>
    <t xml:space="preserve">STL005476</t>
  </si>
  <si>
    <t xml:space="preserve">G6,G7,H5,H6,H7,I6,I7,J6,J7</t>
  </si>
  <si>
    <t xml:space="preserve">STL005492</t>
  </si>
  <si>
    <t xml:space="preserve">K1,K2,K3,K4,K5,L1,L2,L3,L4,L5</t>
  </si>
  <si>
    <t xml:space="preserve">STL005502</t>
  </si>
  <si>
    <t xml:space="preserve">G1,G2,G3,G4,G5,H1,H2,H3,H4</t>
  </si>
  <si>
    <t xml:space="preserve">STL005507</t>
  </si>
  <si>
    <t xml:space="preserve">I1,I2,I3,I4,I5,J1,J2,J3,J4,J5</t>
  </si>
  <si>
    <t xml:space="preserve">STL005510</t>
  </si>
  <si>
    <t xml:space="preserve">R3,R4,R5,R6,S4,S5,T4,T5,T6</t>
  </si>
  <si>
    <t xml:space="preserve">STL005466</t>
  </si>
  <si>
    <t xml:space="preserve">U2,U4,U5,U6,V2,V3,V4,V5,V6</t>
  </si>
  <si>
    <t xml:space="preserve">STL005489</t>
  </si>
  <si>
    <t xml:space="preserve">C1,C2,D1,D2,D3,E1,E2,F1,F2</t>
  </si>
  <si>
    <t xml:space="preserve">STL005490</t>
  </si>
  <si>
    <t xml:space="preserve">Q1,Q2,S1,S2,S3</t>
  </si>
  <si>
    <t xml:space="preserve">STL005487</t>
  </si>
  <si>
    <t xml:space="preserve">C3,C4,C5,C6,C7,D4,D5,D6,D7</t>
  </si>
  <si>
    <t xml:space="preserve">STL005511</t>
  </si>
  <si>
    <t xml:space="preserve">K6,L6,M3,M4,M5,M6,N3,N4,N5,N6</t>
  </si>
  <si>
    <t xml:space="preserve">STL005516</t>
  </si>
  <si>
    <t xml:space="preserve">E3,E4,E5,E6,E7,F3,F4,F5,F6,F7</t>
  </si>
  <si>
    <t xml:space="preserve">STL005513</t>
  </si>
  <si>
    <t xml:space="preserve">M1,M2,N1,P1,P2,P3,O1,O2,O3</t>
  </si>
  <si>
    <t xml:space="preserve">STL005520</t>
  </si>
  <si>
    <t xml:space="preserve">I1,I2,I3,I4,J1,J2,J3,J4,J5</t>
  </si>
  <si>
    <t xml:space="preserve">STL005488</t>
  </si>
  <si>
    <t xml:space="preserve">STL005916</t>
  </si>
  <si>
    <t xml:space="preserve">C1,C2,D1,D2,E1,E2,F1,F2</t>
  </si>
  <si>
    <t xml:space="preserve">STL007346</t>
  </si>
  <si>
    <t xml:space="preserve">S2,S3,S4,S5,T2,T4,T5,T6</t>
  </si>
  <si>
    <t xml:space="preserve">STL007421</t>
  </si>
  <si>
    <t xml:space="preserve">K6,L6,M3,M4,M5,M6,N3,N5,N6</t>
  </si>
  <si>
    <t xml:space="preserve">STL007504</t>
  </si>
  <si>
    <t xml:space="preserve">C3,C4,C5,C6,C7,D3,D4,D5,D6,D7</t>
  </si>
  <si>
    <t xml:space="preserve">STL005458</t>
  </si>
  <si>
    <t xml:space="preserve">G1,G2,G3,G4,G5,H1,H2,H3,H4,H5</t>
  </si>
  <si>
    <t xml:space="preserve">STL005473</t>
  </si>
  <si>
    <t xml:space="preserve">STL005474</t>
  </si>
  <si>
    <t xml:space="preserve">G6,G7,H6,H7,I5,I6,I7,J6,J7</t>
  </si>
  <si>
    <t xml:space="preserve">STL005478</t>
  </si>
  <si>
    <t xml:space="preserve">U2,U3,U5,U6,V2,V3,V4,V5,V6</t>
  </si>
  <si>
    <t xml:space="preserve">STL005493</t>
  </si>
  <si>
    <t xml:space="preserve">Q1,Q2,Q4,R1,R3,R4,S1</t>
  </si>
  <si>
    <t xml:space="preserve">STL005469</t>
  </si>
  <si>
    <t xml:space="preserve">M1,M2,N1,O2,O3,P1,P2,P3</t>
  </si>
  <si>
    <t xml:space="preserve">STL005464</t>
  </si>
  <si>
    <t xml:space="preserve">O5,O6,P4,P5,Q5,Q6,R5,R6</t>
  </si>
  <si>
    <t xml:space="preserve">STL005471</t>
  </si>
  <si>
    <t xml:space="preserve">STL005525</t>
  </si>
  <si>
    <t xml:space="preserve">STL005503</t>
  </si>
  <si>
    <t xml:space="preserve">STL005519</t>
  </si>
  <si>
    <t xml:space="preserve">STL005500</t>
  </si>
  <si>
    <t xml:space="preserve">STL006681</t>
  </si>
  <si>
    <t xml:space="preserve">STL006736</t>
  </si>
  <si>
    <t xml:space="preserve">STL007340</t>
  </si>
  <si>
    <t xml:space="preserve">STL007341</t>
  </si>
  <si>
    <t xml:space="preserve">STL007502</t>
  </si>
  <si>
    <t xml:space="preserve">STL007503</t>
  </si>
  <si>
    <t xml:space="preserve">STL005456</t>
  </si>
  <si>
    <t xml:space="preserve">STL005477</t>
  </si>
  <si>
    <t xml:space="preserve">STL005482</t>
  </si>
  <si>
    <t xml:space="preserve">STL005480</t>
  </si>
  <si>
    <t xml:space="preserve">STL005486</t>
  </si>
  <si>
    <t xml:space="preserve">STL005521</t>
  </si>
  <si>
    <t xml:space="preserve">STL005479</t>
  </si>
  <si>
    <t xml:space="preserve">STL005508</t>
  </si>
  <si>
    <t xml:space="preserve">STL005459</t>
  </si>
  <si>
    <t xml:space="preserve">STL005462</t>
  </si>
  <si>
    <t xml:space="preserve">STL005463</t>
  </si>
  <si>
    <t xml:space="preserve">STL005512</t>
  </si>
  <si>
    <t xml:space="preserve">STL005522</t>
  </si>
  <si>
    <t xml:space="preserve">STL006398</t>
  </si>
  <si>
    <t xml:space="preserve">STL006677</t>
  </si>
  <si>
    <t xml:space="preserve">STL006737</t>
  </si>
  <si>
    <t xml:space="preserve">STL007293</t>
  </si>
  <si>
    <t xml:space="preserve">STL007292</t>
  </si>
  <si>
    <t xml:space="preserve">STL007425</t>
  </si>
  <si>
    <t xml:space="preserve">STL FU — WEAVING | FAULT &amp; DOWNTIME ENTRY</t>
  </si>
  <si>
    <t xml:space="preserve">ENTRY RULE: one row = one fault event/grouped event. Record frequency as occurrences, affected fabric in yards, and downtime in minutes.</t>
  </si>
  <si>
    <t xml:space="preserve">Use Responsibility to distinguish Operator / Supervisor / Machine / Material / Process / Other. This sheet is separate from the daily KPI entry for easier use.</t>
  </si>
  <si>
    <t xml:space="preserve">Fault Log ID</t>
  </si>
  <si>
    <t xml:space="preserve">Loom No</t>
  </si>
  <si>
    <t xml:space="preserve">Fault Code</t>
  </si>
  <si>
    <t xml:space="preserve">Fault Category</t>
  </si>
  <si>
    <t xml:space="preserve">Fault Name</t>
  </si>
  <si>
    <t xml:space="preserve">Frequency</t>
  </si>
  <si>
    <t xml:space="preserve">Affected Yds</t>
  </si>
  <si>
    <t xml:space="preserve">Downtime Min</t>
  </si>
  <si>
    <t xml:space="preserve">Severity</t>
  </si>
  <si>
    <t xml:space="preserve">Responsibility</t>
  </si>
  <si>
    <t xml:space="preserve">Root Cause / Corrective Action</t>
  </si>
  <si>
    <t xml:space="preserve">STL FU — WEAVING | OPERATOR MASTER</t>
  </si>
  <si>
    <t xml:space="preserve">Permanent employee master. Shift is NOT stored here because operators rotate. Maintain the weekly plan in Shift Roster.</t>
  </si>
  <si>
    <t xml:space="preserve">Designation</t>
  </si>
  <si>
    <t xml:space="preserve">Department</t>
  </si>
  <si>
    <t xml:space="preserve">Joining Date</t>
  </si>
  <si>
    <t xml:space="preserve">Status</t>
  </si>
  <si>
    <t xml:space="preserve">Remarks</t>
  </si>
  <si>
    <t xml:space="preserve">MD. MAHABUB ALAM</t>
  </si>
  <si>
    <t xml:space="preserve">Weaving Operator</t>
  </si>
  <si>
    <t xml:space="preserve">Weaving</t>
  </si>
  <si>
    <t xml:space="preserve">No</t>
  </si>
  <si>
    <t xml:space="preserve">MD. RIPU MIAH</t>
  </si>
  <si>
    <t xml:space="preserve">Yes</t>
  </si>
  <si>
    <t xml:space="preserve">MD. MINHAZ ALI</t>
  </si>
  <si>
    <t xml:space="preserve">MD. FORIDUL ISLAM</t>
  </si>
  <si>
    <t xml:space="preserve">MD. SAIFUL ISLAM-2</t>
  </si>
  <si>
    <t xml:space="preserve">MD. ZIAUL HAQUE</t>
  </si>
  <si>
    <t xml:space="preserve">MD. ANOWAR HOSEN-3</t>
  </si>
  <si>
    <t xml:space="preserve">MD. ALAM MIA</t>
  </si>
  <si>
    <t xml:space="preserve">MD. MOMINUL ISLAM</t>
  </si>
  <si>
    <t xml:space="preserve">MD. JAHIDUL ISLAM HOWLADER</t>
  </si>
  <si>
    <t xml:space="preserve">MD. RIPON MIA-2</t>
  </si>
  <si>
    <t xml:space="preserve">GOULAM RABBANI</t>
  </si>
  <si>
    <t xml:space="preserve">MD. HABIBUR RAHMAN</t>
  </si>
  <si>
    <t xml:space="preserve">MD. SAIFUL ISLAM-3</t>
  </si>
  <si>
    <t xml:space="preserve">MD. JAKIR HOSEN</t>
  </si>
  <si>
    <t xml:space="preserve">AZIZUL HAQUE</t>
  </si>
  <si>
    <t xml:space="preserve">MD. ANARUL ISLAM </t>
  </si>
  <si>
    <t xml:space="preserve">MD. ROSHID</t>
  </si>
  <si>
    <t xml:space="preserve">MD. AZIM </t>
  </si>
  <si>
    <t xml:space="preserve">MD. MOTALEB HOSEN</t>
  </si>
  <si>
    <t xml:space="preserve">MD. KAWSAR ALI</t>
  </si>
  <si>
    <t xml:space="preserve">MD. FARMAN ALI</t>
  </si>
  <si>
    <t xml:space="preserve">MD. JULHAS UDDIN</t>
  </si>
  <si>
    <t xml:space="preserve">MD. ABDUL AWAL</t>
  </si>
  <si>
    <t xml:space="preserve">MD. DULU MIA</t>
  </si>
  <si>
    <t xml:space="preserve">SREE SUSANTO CHANDRA</t>
  </si>
  <si>
    <t xml:space="preserve">MD. ASHRAFUL ISLAM</t>
  </si>
  <si>
    <t xml:space="preserve">MD. ASRAF AKANDA</t>
  </si>
  <si>
    <t xml:space="preserve">MD. JIHADUZZAMAN (JIAD)</t>
  </si>
  <si>
    <t xml:space="preserve">MD. MOZNU SHEKH</t>
  </si>
  <si>
    <t xml:space="preserve">MD. AMINUR ISLAM</t>
  </si>
  <si>
    <t xml:space="preserve">MD. BABUL MIAH</t>
  </si>
  <si>
    <t xml:space="preserve">MD. ROFIKUL ISLAM</t>
  </si>
  <si>
    <t xml:space="preserve">MD. AMINUL ISLAM-2</t>
  </si>
  <si>
    <t xml:space="preserve">MD. JONY ALOM</t>
  </si>
  <si>
    <t xml:space="preserve">MD. HELIM ISLAM</t>
  </si>
  <si>
    <t xml:space="preserve">MD. JIHAD MOLLA</t>
  </si>
  <si>
    <t xml:space="preserve">MD. ABDUL KADIR</t>
  </si>
  <si>
    <t xml:space="preserve">MD. BILLAL HOSEN</t>
  </si>
  <si>
    <t xml:space="preserve">MD. MOJAMMEL HOSEN</t>
  </si>
  <si>
    <t xml:space="preserve">MD. MONARUL ISLAM</t>
  </si>
  <si>
    <t xml:space="preserve">MD. NURUL ISLAM</t>
  </si>
  <si>
    <t xml:space="preserve">SHAIDUL</t>
  </si>
  <si>
    <t xml:space="preserve">MD. SAIFUL ISLAM</t>
  </si>
  <si>
    <t xml:space="preserve">MD. NAJMUL ISLAM</t>
  </si>
  <si>
    <t xml:space="preserve">MD. ANOWAR HOSEN-1</t>
  </si>
  <si>
    <t xml:space="preserve">MD. JAHANGIR  </t>
  </si>
  <si>
    <t xml:space="preserve">MD. FAZLUL HAQUE</t>
  </si>
  <si>
    <t xml:space="preserve">MD. AMJAD ALI</t>
  </si>
  <si>
    <t xml:space="preserve">MD. MAKHON</t>
  </si>
  <si>
    <t xml:space="preserve">MD. BELAYET HOSSAIN</t>
  </si>
  <si>
    <t xml:space="preserve">MD. SELIM HOSSEN</t>
  </si>
  <si>
    <t xml:space="preserve">MD. MARUF</t>
  </si>
  <si>
    <t xml:space="preserve">MD. ISMAHIL</t>
  </si>
  <si>
    <t xml:space="preserve">MD. KHABIR MOLLA</t>
  </si>
  <si>
    <t xml:space="preserve">MD. ALOM ISLAM</t>
  </si>
  <si>
    <t xml:space="preserve">STL FU — WEAVING | WEEKLY SHIFT ROSTER</t>
  </si>
  <si>
    <t xml:space="preserve">Planned schedule only. Do not overwrite the roster when an actual shift changes; record the actual shift in Data Entry.</t>
  </si>
  <si>
    <t xml:space="preserve">Week Start</t>
  </si>
  <si>
    <t xml:space="preserve">Week End</t>
  </si>
  <si>
    <t xml:space="preserve">STL FU — WEAVING | LOOM MASTER</t>
  </si>
  <si>
    <t xml:space="preserve">Permanent loom database. Add or update loom specifications here; routine daily KPI entry is done in Data Entry.</t>
  </si>
  <si>
    <t xml:space="preserve">Machine Type</t>
  </si>
  <si>
    <t xml:space="preserve">RPM Standard</t>
  </si>
  <si>
    <t xml:space="preserve">Loom Width</t>
  </si>
  <si>
    <t xml:space="preserve">Shift Pattern</t>
  </si>
  <si>
    <t xml:space="preserve">Active</t>
  </si>
  <si>
    <t xml:space="preserve">Operator Assignment Notes</t>
  </si>
  <si>
    <t xml:space="preserve">Loom-A 1</t>
  </si>
  <si>
    <t xml:space="preserve">AIRJET</t>
  </si>
  <si>
    <t xml:space="preserve">190 CM</t>
  </si>
  <si>
    <t xml:space="preserve">Loom-A 2</t>
  </si>
  <si>
    <t xml:space="preserve">Loom-A 3</t>
  </si>
  <si>
    <t xml:space="preserve">Loom-A 4</t>
  </si>
  <si>
    <t xml:space="preserve">Loom-A 5</t>
  </si>
  <si>
    <t xml:space="preserve">Loom-A 6</t>
  </si>
  <si>
    <t xml:space="preserve">Loom-A 7</t>
  </si>
  <si>
    <t xml:space="preserve">Loom-B 1</t>
  </si>
  <si>
    <t xml:space="preserve">Loom-B 2</t>
  </si>
  <si>
    <t xml:space="preserve">Loom-B 3</t>
  </si>
  <si>
    <t xml:space="preserve">Loom-B 4</t>
  </si>
  <si>
    <t xml:space="preserve">Loom-B 5</t>
  </si>
  <si>
    <t xml:space="preserve">Loom-B 6</t>
  </si>
  <si>
    <t xml:space="preserve">Loom-B 7</t>
  </si>
  <si>
    <t xml:space="preserve">Loom-C 1</t>
  </si>
  <si>
    <t xml:space="preserve">RAPIER</t>
  </si>
  <si>
    <t xml:space="preserve">Loom-C 2</t>
  </si>
  <si>
    <t xml:space="preserve">Loom-C 3</t>
  </si>
  <si>
    <t xml:space="preserve">Loom-C 4</t>
  </si>
  <si>
    <t xml:space="preserve">Loom-C 5</t>
  </si>
  <si>
    <t xml:space="preserve">Loom-C 6</t>
  </si>
  <si>
    <t xml:space="preserve">Loom-C 7</t>
  </si>
  <si>
    <t xml:space="preserve">Loom-D 1</t>
  </si>
  <si>
    <t xml:space="preserve">RAPIER-DOBBY</t>
  </si>
  <si>
    <t xml:space="preserve">Loom-D 2</t>
  </si>
  <si>
    <t xml:space="preserve">Loom-D 3</t>
  </si>
  <si>
    <t xml:space="preserve">Loom-D 4</t>
  </si>
  <si>
    <t xml:space="preserve">Loom-D 5</t>
  </si>
  <si>
    <t xml:space="preserve">Loom-D 6</t>
  </si>
  <si>
    <t xml:space="preserve">Loom-D 7</t>
  </si>
  <si>
    <t xml:space="preserve">Loom-E 1</t>
  </si>
  <si>
    <t xml:space="preserve">Loom-E 2</t>
  </si>
  <si>
    <t xml:space="preserve">Loom-E 3</t>
  </si>
  <si>
    <t xml:space="preserve">Loom-E 4</t>
  </si>
  <si>
    <t xml:space="preserve">Loom-E 5</t>
  </si>
  <si>
    <t xml:space="preserve">Loom-E 6</t>
  </si>
  <si>
    <t xml:space="preserve">Loom-E 7</t>
  </si>
  <si>
    <t xml:space="preserve">Loom-F 1</t>
  </si>
  <si>
    <t xml:space="preserve">Loom-F 2</t>
  </si>
  <si>
    <t xml:space="preserve">Loom-F 3</t>
  </si>
  <si>
    <t xml:space="preserve">Loom-F 4</t>
  </si>
  <si>
    <t xml:space="preserve">Loom-F 5</t>
  </si>
  <si>
    <t xml:space="preserve">Loom-F 6</t>
  </si>
  <si>
    <t xml:space="preserve">Loom-F 7</t>
  </si>
  <si>
    <t xml:space="preserve">Loom-G 1</t>
  </si>
  <si>
    <t xml:space="preserve">Loom-G 2</t>
  </si>
  <si>
    <t xml:space="preserve">Loom-G 3</t>
  </si>
  <si>
    <t xml:space="preserve">Loom-G 4</t>
  </si>
  <si>
    <t xml:space="preserve">Loom-G 5</t>
  </si>
  <si>
    <t xml:space="preserve">Loom-G 6</t>
  </si>
  <si>
    <t xml:space="preserve">Loom-G 7</t>
  </si>
  <si>
    <t xml:space="preserve">loom-H 1</t>
  </si>
  <si>
    <t xml:space="preserve">loom-H 2</t>
  </si>
  <si>
    <t xml:space="preserve">loom-H 3</t>
  </si>
  <si>
    <t xml:space="preserve">loom-H 4</t>
  </si>
  <si>
    <t xml:space="preserve">loom-H 5</t>
  </si>
  <si>
    <t xml:space="preserve">loom-H 6</t>
  </si>
  <si>
    <t xml:space="preserve">loom-H 7</t>
  </si>
  <si>
    <t xml:space="preserve">Loom-I 1</t>
  </si>
  <si>
    <t xml:space="preserve">Loom-I 2</t>
  </si>
  <si>
    <t xml:space="preserve">Loom-I 3</t>
  </si>
  <si>
    <t xml:space="preserve">Loom-I 4</t>
  </si>
  <si>
    <t xml:space="preserve">Loom-I 5</t>
  </si>
  <si>
    <t xml:space="preserve">Loom-I 6</t>
  </si>
  <si>
    <t xml:space="preserve">Loom-I 7</t>
  </si>
  <si>
    <t xml:space="preserve">Loom-J 1</t>
  </si>
  <si>
    <t xml:space="preserve">Loom-J 2</t>
  </si>
  <si>
    <t xml:space="preserve">Loom-J 3</t>
  </si>
  <si>
    <t xml:space="preserve">Loom-J 4</t>
  </si>
  <si>
    <t xml:space="preserve">Loom-J 5</t>
  </si>
  <si>
    <t xml:space="preserve">Loom-J 6</t>
  </si>
  <si>
    <t xml:space="preserve">Loom-J 7</t>
  </si>
  <si>
    <t xml:space="preserve">Loom-K 1</t>
  </si>
  <si>
    <t xml:space="preserve">220 CM</t>
  </si>
  <si>
    <t xml:space="preserve">Loom-K 2</t>
  </si>
  <si>
    <t xml:space="preserve">Loom-K 3</t>
  </si>
  <si>
    <t xml:space="preserve">Loom-K 4</t>
  </si>
  <si>
    <t xml:space="preserve">Loom-K 5</t>
  </si>
  <si>
    <t xml:space="preserve">Loom-K 6</t>
  </si>
  <si>
    <t xml:space="preserve">Loom-L 1</t>
  </si>
  <si>
    <t xml:space="preserve">Loom-L 2</t>
  </si>
  <si>
    <t xml:space="preserve">Loom-L 3</t>
  </si>
  <si>
    <t xml:space="preserve">Loom-L 4</t>
  </si>
  <si>
    <t xml:space="preserve">Loom-L 5</t>
  </si>
  <si>
    <t xml:space="preserve">Loom-L 6</t>
  </si>
  <si>
    <t xml:space="preserve">Loom-M 1</t>
  </si>
  <si>
    <t xml:space="preserve">Loom-M 2</t>
  </si>
  <si>
    <t xml:space="preserve">Loom-M 3</t>
  </si>
  <si>
    <t xml:space="preserve">Loom-M 4</t>
  </si>
  <si>
    <t xml:space="preserve">Loom-M 5</t>
  </si>
  <si>
    <t xml:space="preserve">Loom-M 6</t>
  </si>
  <si>
    <t xml:space="preserve">Loom-N 1</t>
  </si>
  <si>
    <t xml:space="preserve">Loom-N 2</t>
  </si>
  <si>
    <t xml:space="preserve">Loom-N 3</t>
  </si>
  <si>
    <t xml:space="preserve">Loom-N 4</t>
  </si>
  <si>
    <t xml:space="preserve">Loom-N 5</t>
  </si>
  <si>
    <t xml:space="preserve">Loom-N 6</t>
  </si>
  <si>
    <t xml:space="preserve">Loom-O 1</t>
  </si>
  <si>
    <t xml:space="preserve">Loom-O 2</t>
  </si>
  <si>
    <t xml:space="preserve">Loom-O 3</t>
  </si>
  <si>
    <t xml:space="preserve">Loom-O 4</t>
  </si>
  <si>
    <t xml:space="preserve">Loom-O 5</t>
  </si>
  <si>
    <t xml:space="preserve">Loom-O 6</t>
  </si>
  <si>
    <t xml:space="preserve">Loom-P 1</t>
  </si>
  <si>
    <t xml:space="preserve">Loom-P 2</t>
  </si>
  <si>
    <t xml:space="preserve">Loom-P 3</t>
  </si>
  <si>
    <t xml:space="preserve">Loom-P 4</t>
  </si>
  <si>
    <t xml:space="preserve">Loom-P 5</t>
  </si>
  <si>
    <t xml:space="preserve">Loom-P 6</t>
  </si>
  <si>
    <t xml:space="preserve">Loom-Q 1</t>
  </si>
  <si>
    <t xml:space="preserve">Loom-Q 2</t>
  </si>
  <si>
    <t xml:space="preserve">Loom-Q 3</t>
  </si>
  <si>
    <t xml:space="preserve">Loom-Q 4</t>
  </si>
  <si>
    <t xml:space="preserve">Loom-Q 5</t>
  </si>
  <si>
    <t xml:space="preserve">Loom-Q 6</t>
  </si>
  <si>
    <t xml:space="preserve">Loom-R 1</t>
  </si>
  <si>
    <t xml:space="preserve">Loom-R 2</t>
  </si>
  <si>
    <t xml:space="preserve">Loom-R 3</t>
  </si>
  <si>
    <t xml:space="preserve">Loom-R 4</t>
  </si>
  <si>
    <t xml:space="preserve">Loom-R 5</t>
  </si>
  <si>
    <t xml:space="preserve">Loom-R 6</t>
  </si>
  <si>
    <t xml:space="preserve">Loom-S 1</t>
  </si>
  <si>
    <t xml:space="preserve">Loom-S 2</t>
  </si>
  <si>
    <t xml:space="preserve">Loom-S 3</t>
  </si>
  <si>
    <t xml:space="preserve">Loom-S 4</t>
  </si>
  <si>
    <t xml:space="preserve">Loom-S 5</t>
  </si>
  <si>
    <t xml:space="preserve">Loom-S 6</t>
  </si>
  <si>
    <t xml:space="preserve">Loom-T 1</t>
  </si>
  <si>
    <t xml:space="preserve">Loom-T 2</t>
  </si>
  <si>
    <t xml:space="preserve">Loom-T 3</t>
  </si>
  <si>
    <t xml:space="preserve">Loom-T 4</t>
  </si>
  <si>
    <t xml:space="preserve">Loom-T 5</t>
  </si>
  <si>
    <t xml:space="preserve">Loom-T 6</t>
  </si>
  <si>
    <t xml:space="preserve">Loom-U 2</t>
  </si>
  <si>
    <t xml:space="preserve">Loom-U 3</t>
  </si>
  <si>
    <t xml:space="preserve">Loom-U 4</t>
  </si>
  <si>
    <t xml:space="preserve">Loom-U 5</t>
  </si>
  <si>
    <t xml:space="preserve">Loom-U 6</t>
  </si>
  <si>
    <t xml:space="preserve">Loom-V 2</t>
  </si>
  <si>
    <t xml:space="preserve">Loom-V 3</t>
  </si>
  <si>
    <t xml:space="preserve">Loom-V 4</t>
  </si>
  <si>
    <t xml:space="preserve">Loom-V 5</t>
  </si>
  <si>
    <t xml:space="preserve">Loom-V 6</t>
  </si>
  <si>
    <t xml:space="preserve">WEAVING | FAULT-WISE MASTER</t>
  </si>
  <si>
    <t xml:space="preserve">Controlled fault vocabulary used by the Data Entry form and detailed fault log.</t>
  </si>
  <si>
    <t xml:space="preserve">Operator Responsibility</t>
  </si>
  <si>
    <t xml:space="preserve">Target / 1000 yd</t>
  </si>
  <si>
    <t xml:space="preserve">Standard Action</t>
  </si>
  <si>
    <t xml:space="preserve">WARP-01</t>
  </si>
  <si>
    <t xml:space="preserve">Warp</t>
  </si>
  <si>
    <t xml:space="preserve">Medium</t>
  </si>
  <si>
    <t xml:space="preserve">Check tension/yarn path</t>
  </si>
  <si>
    <t xml:space="preserve">WEFT-01</t>
  </si>
  <si>
    <t xml:space="preserve">Weft</t>
  </si>
  <si>
    <t xml:space="preserve">Check weft package/tension</t>
  </si>
  <si>
    <t xml:space="preserve">WEFT-02</t>
  </si>
  <si>
    <t xml:space="preserve">High</t>
  </si>
  <si>
    <t xml:space="preserve">Check detector/timing</t>
  </si>
  <si>
    <t xml:space="preserve">FAB-01</t>
  </si>
  <si>
    <t xml:space="preserve">Fabric</t>
  </si>
  <si>
    <t xml:space="preserve">Thick Place</t>
  </si>
  <si>
    <t xml:space="preserve">Partial</t>
  </si>
  <si>
    <t xml:space="preserve">Check setting/yarn</t>
  </si>
  <si>
    <t xml:space="preserve">FAB-02</t>
  </si>
  <si>
    <t xml:space="preserve">Thin Place</t>
  </si>
  <si>
    <t xml:space="preserve">FAB-03</t>
  </si>
  <si>
    <t xml:space="preserve">Slub / Foreign Matter</t>
  </si>
  <si>
    <t xml:space="preserve">Check yarn/handling</t>
  </si>
  <si>
    <t xml:space="preserve">FAB-04</t>
  </si>
  <si>
    <t xml:space="preserve">Hole / Tear</t>
  </si>
  <si>
    <t xml:space="preserve">Check loom/temple/reed</t>
  </si>
  <si>
    <t xml:space="preserve">EDGE-01</t>
  </si>
  <si>
    <t xml:space="preserve">Edge</t>
  </si>
  <si>
    <t xml:space="preserve">Loose Edge</t>
  </si>
  <si>
    <t xml:space="preserve">Check temple/tension</t>
  </si>
  <si>
    <t xml:space="preserve">MARK-01</t>
  </si>
  <si>
    <t xml:space="preserve">Mark</t>
  </si>
  <si>
    <t xml:space="preserve">Starting / Stop Mark</t>
  </si>
  <si>
    <t xml:space="preserve">Improve restart procedure</t>
  </si>
  <si>
    <t xml:space="preserve">MARK-02</t>
  </si>
  <si>
    <t xml:space="preserve">Reed Mark</t>
  </si>
  <si>
    <t xml:space="preserve">Inspect reed/dent</t>
  </si>
  <si>
    <t xml:space="preserve">OIL-01</t>
  </si>
  <si>
    <t xml:space="preserve">Stain</t>
  </si>
  <si>
    <t xml:space="preserve">Oil / Grease Stain</t>
  </si>
  <si>
    <t xml:space="preserve">Check leakage/cleanliness</t>
  </si>
  <si>
    <t xml:space="preserve">DENS-01</t>
  </si>
  <si>
    <t xml:space="preserve">Construction</t>
  </si>
  <si>
    <t xml:space="preserve">Pick Density Variation</t>
  </si>
  <si>
    <t xml:space="preserve">Check speed/take-up</t>
  </si>
  <si>
    <t xml:space="preserve">OTHER</t>
  </si>
  <si>
    <t xml:space="preserve">Other</t>
  </si>
  <si>
    <t xml:space="preserve">Low</t>
  </si>
  <si>
    <t xml:space="preserve">Review</t>
  </si>
  <si>
    <t xml:space="preserve">Record root cause</t>
  </si>
  <si>
    <t xml:space="preserve">STL FU — WEAVING | EASY DAILY DATA ENTRY</t>
  </si>
  <si>
    <t xml:space="preserve">Routine users should work mainly on this sheet. Enter white cells only; blue/gray cells are dropdowns or automatic calculations. Shift is retained as planned vs actual.</t>
  </si>
  <si>
    <t xml:space="preserve">KPI ENTRY: one row = one operator + one date + one actual shift. If the actual shift differs from the roster, keep the roster unchanged and select Changed/Temporary + reason here.</t>
  </si>
  <si>
    <t xml:space="preserve">Loom Nos.</t>
  </si>
  <si>
    <t xml:space="preserve">AVG RPM</t>
  </si>
  <si>
    <t xml:space="preserve">Running Hr Target</t>
  </si>
  <si>
    <t xml:space="preserve">Total Running Hr Target</t>
  </si>
  <si>
    <t xml:space="preserve">ok</t>
  </si>
  <si>
    <t xml:space="preserve">FAULT / DOWNTIME ENTRY — one row = one fault event or grouped event</t>
  </si>
  <si>
    <t xml:space="preserve">Fault Record No</t>
  </si>
  <si>
    <t xml:space="preserve">QUICK INSTRUCTIONS</t>
  </si>
  <si>
    <t xml:space="preserve">Data Entry — Daily KPI</t>
  </si>
  <si>
    <t xml:space="preserve">One row = one operator + one date + one actual shift. Use dropdowns where available.</t>
  </si>
  <si>
    <t xml:space="preserve">Shift handling</t>
  </si>
  <si>
    <t xml:space="preserve">Shift Roster is the planned schedule. Data Entry stores the actual shift. If the rotation breaks, keep the roster unchanged and select Changed/Temporary/Replacement plus a reason.</t>
  </si>
  <si>
    <t xml:space="preserve">Fault entry</t>
  </si>
  <si>
    <t xml:space="preserve">Record fault frequency as occurrences. For fabric-quality events, record affected yards when available. Record downtime minutes and responsibility in the detailed fault section.</t>
  </si>
  <si>
    <t xml:space="preserve">Automatic fields</t>
  </si>
  <si>
    <t xml:space="preserve">Operator Name, Fault Category, Fault Name, KPI calculations, Grade and Incentive are automatic. Do not overwrite backend formulas.</t>
  </si>
  <si>
    <t xml:space="preserve">KPI logic</t>
  </si>
  <si>
    <t xml:space="preserve">Shift is retained for analysis but does not directly affect KPI score. KPI weights and approved standards are controlled in Standards &amp; Scoring.</t>
  </si>
  <si>
    <t xml:space="preserve">Recommended routine</t>
  </si>
  <si>
    <t xml:space="preserve">1) Maintain masters → 2) Update Shift Roster → 3) Enter daily KPI → 4) Enter detailed faults/downtime → 5) Verify → 6) Review Operator View/Dashboard.</t>
  </si>
  <si>
    <t xml:space="preserve">DENIM MILL — WEAVING | KPI STANDARDS &amp; SCORING</t>
  </si>
  <si>
    <t xml:space="preserve">Management control sheet. Change approved targets/weights here. Daily users should not modify this sheet.</t>
  </si>
  <si>
    <t xml:space="preserve">KPI Component</t>
  </si>
  <si>
    <t xml:space="preserve">Source Metric</t>
  </si>
  <si>
    <t xml:space="preserve">Direction</t>
  </si>
  <si>
    <t xml:space="preserve">Weight %</t>
  </si>
  <si>
    <t xml:space="preserve">Target / Standard</t>
  </si>
  <si>
    <t xml:space="preserve">Scoring Note</t>
  </si>
  <si>
    <t xml:space="preserve">Grade</t>
  </si>
  <si>
    <t xml:space="preserve">Minimum KPI</t>
  </si>
  <si>
    <t xml:space="preserve">Incentive</t>
  </si>
  <si>
    <t xml:space="preserve">Production</t>
  </si>
  <si>
    <t xml:space="preserve">Higher</t>
  </si>
  <si>
    <t xml:space="preserve">Actual loom production ÷ approved loom/style target</t>
  </si>
  <si>
    <t xml:space="preserve">A+</t>
  </si>
  <si>
    <t xml:space="preserve">Loom Efficiency</t>
  </si>
  <si>
    <t xml:space="preserve">Technical Loom Efficiency %</t>
  </si>
  <si>
    <t xml:space="preserve">Use approved mill efficiency formula; target is a practical starting standard</t>
  </si>
  <si>
    <t xml:space="preserve">Running / Availability</t>
  </si>
  <si>
    <t xml:space="preserve">Loom Availability %</t>
  </si>
  <si>
    <t xml:space="preserve">Available loom time after valid downtime</t>
  </si>
  <si>
    <t xml:space="preserve">B+</t>
  </si>
  <si>
    <t xml:space="preserve">Quality / Rejection</t>
  </si>
  <si>
    <t xml:space="preserve">Lower</t>
  </si>
  <si>
    <t xml:space="preserve">Target 1.00% as a practical denim-mill starting point; replace with mill historical standard</t>
  </si>
  <si>
    <t xml:space="preserve">Fault Control</t>
  </si>
  <si>
    <t xml:space="preserve">Starting benchmark; set by loom/style family after baseline study</t>
  </si>
  <si>
    <t xml:space="preserve">C</t>
  </si>
  <si>
    <t xml:space="preserve">Downtime Control</t>
  </si>
  <si>
    <t xml:space="preserve">Downtime Min / 1000 yd</t>
  </si>
  <si>
    <t xml:space="preserve">Starting benchmark; excludes planned changeover/approved stoppage</t>
  </si>
  <si>
    <t xml:space="preserve">Housekeeping / SOP</t>
  </si>
  <si>
    <t xml:space="preserve">Average Housekeeping + SOP/Safety %</t>
  </si>
  <si>
    <t xml:space="preserve">Checklist-based assessment</t>
  </si>
  <si>
    <t xml:space="preserve">Attendance / Discipline</t>
  </si>
  <si>
    <t xml:space="preserve">HR/biometric attendance and approved discipline rating</t>
  </si>
  <si>
    <t xml:space="preserve">Skill / Process Compliance</t>
  </si>
  <si>
    <t xml:space="preserve">Parameter / Process Compliance %</t>
  </si>
  <si>
    <t xml:space="preserve">Correct RPM/PPI/setting, procedure adherence and response to abnormalities</t>
  </si>
  <si>
    <t xml:space="preserve">Weight total</t>
  </si>
  <si>
    <t xml:space="preserve">STANDARD DENIM MILL CULTURE</t>
  </si>
  <si>
    <t xml:space="preserve">Use approved mill/style/loom-family standards wherever available. The targets above are starting control limits, not universal industry laws. Review monthly using 3–6 months of actual data and revise through management approval.</t>
  </si>
  <si>
    <t xml:space="preserve">Denim-mill KPI principle</t>
  </si>
  <si>
    <t xml:space="preserve">Reward balanced performance: output must not be achieved by sacrificing quality, excessive faults, downtime, SOP or safety. Production is counted once; the other weights measure process stability and operator control.</t>
  </si>
  <si>
    <t xml:space="preserve">Target governance</t>
  </si>
  <si>
    <t xml:space="preserve">Production target: loom/style/construction based. Efficiency: use mill-approved formula. Rejection, faults and downtime: establish baselines by loom/style family. Attendance: HR/biometric source. Housekeeping/SOP: checklist audit.</t>
  </si>
  <si>
    <t xml:space="preserve">STL FU — WEAVING | KPI DATABASE &amp; CALCULATIONS</t>
  </si>
  <si>
    <t xml:space="preserve">Backend calculation sheet. Do not type here during routine operation.</t>
  </si>
  <si>
    <t xml:space="preserve">Production Target</t>
  </si>
  <si>
    <t xml:space="preserve">Production Actual</t>
  </si>
  <si>
    <t xml:space="preserve">Production Score</t>
  </si>
  <si>
    <t xml:space="preserve">Efficiency Score</t>
  </si>
  <si>
    <t xml:space="preserve">Running / Availability Score</t>
  </si>
  <si>
    <t xml:space="preserve">Quality Score</t>
  </si>
  <si>
    <t xml:space="preserve">Fault Score</t>
  </si>
  <si>
    <t xml:space="preserve">Downtime Score</t>
  </si>
  <si>
    <t xml:space="preserve">Housekeeping / SOP Score</t>
  </si>
  <si>
    <t xml:space="preserve">Attendance Score</t>
  </si>
  <si>
    <t xml:space="preserve">Skill / Process Score</t>
  </si>
  <si>
    <t xml:space="preserve">Individual KPI Score</t>
  </si>
  <si>
    <t xml:space="preserve">Theoretical Production yd</t>
  </si>
  <si>
    <t xml:space="preserve">STL FU — WEAVING | LOOM-WISE FAULT &amp; DOWNTIME DATABASE</t>
  </si>
  <si>
    <t xml:space="preserve">Backend fault database linked from Fault &amp; Downtime Entry. Do not type here during routine operation.</t>
  </si>
  <si>
    <t xml:space="preserve">Faults / 1000 Yd</t>
  </si>
  <si>
    <t xml:space="preserve">Downtime / 1000 Yd</t>
  </si>
  <si>
    <t xml:space="preserve">High Severity Flag</t>
  </si>
  <si>
    <t xml:space="preserve">INDIVIDUAL WEAVING OPERATOR PERFORMANCE EVALUATION</t>
  </si>
  <si>
    <t xml:space="preserve">Evaluation From</t>
  </si>
  <si>
    <t xml:space="preserve">Evaluation To</t>
  </si>
  <si>
    <t xml:space="preserve">Shift / Period</t>
  </si>
  <si>
    <t xml:space="preserve">All</t>
  </si>
  <si>
    <t xml:space="preserve">Change Evaluation From / To manually for another period.</t>
  </si>
  <si>
    <t xml:space="preserve">KPI Matrix</t>
  </si>
  <si>
    <t xml:space="preserve">Target</t>
  </si>
  <si>
    <t xml:space="preserve">Actual</t>
  </si>
  <si>
    <t xml:space="preserve">Achievement %</t>
  </si>
  <si>
    <t xml:space="preserve">Weight</t>
  </si>
  <si>
    <t xml:space="preserve">Weighted Score</t>
  </si>
  <si>
    <t xml:space="preserve">Evaluation</t>
  </si>
  <si>
    <t xml:space="preserve">Loom-wise Production</t>
  </si>
  <si>
    <t xml:space="preserve">OVERALL KPI SCORE</t>
  </si>
  <si>
    <t xml:space="preserve">LOOM-WISE PRODUCTION &amp; EFFICIENCY</t>
  </si>
  <si>
    <t xml:space="preserve">Shift</t>
  </si>
  <si>
    <t xml:space="preserve">RPM</t>
  </si>
  <si>
    <t xml:space="preserve">Target yd</t>
  </si>
  <si>
    <t xml:space="preserve">Actual yd</t>
  </si>
  <si>
    <t xml:space="preserve">Efficiency %</t>
  </si>
  <si>
    <t xml:space="preserve">Reject yd</t>
  </si>
  <si>
    <t xml:space="preserve">Faults/1000 yd</t>
  </si>
  <si>
    <t xml:space="preserve">FAULT &amp; DOWNTIME EVALUATION</t>
  </si>
  <si>
    <t xml:space="preserve">Loom</t>
  </si>
  <si>
    <t xml:space="preserve">Fault</t>
  </si>
  <si>
    <t xml:space="preserve">Category</t>
  </si>
  <si>
    <t xml:space="preserve">Affected yd</t>
  </si>
  <si>
    <t xml:space="preserve">Downtime min</t>
  </si>
  <si>
    <t xml:space="preserve">Comment</t>
  </si>
  <si>
    <t xml:space="preserve">STL FU — WEAVING | MANAGEMENT SUMMARY</t>
  </si>
  <si>
    <t xml:space="preserve">Management summary. Use the operator filter for a quick review; the detailed individual evaluation is on Operator View.</t>
  </si>
  <si>
    <t xml:space="preserve">Operator</t>
  </si>
  <si>
    <t xml:space="preserve">Start Date</t>
  </si>
  <si>
    <t xml:space="preserve">End Date</t>
  </si>
  <si>
    <t xml:space="preserve">Total Production (yd)</t>
  </si>
  <si>
    <t xml:space="preserve">Avg Production Achievement</t>
  </si>
  <si>
    <t xml:space="preserve">Avg Efficiency %</t>
  </si>
  <si>
    <t xml:space="preserve">Avg KPI Score</t>
  </si>
  <si>
    <t xml:space="preserve">Production yd</t>
  </si>
  <si>
    <t xml:space="preserve">Prod Ach %</t>
  </si>
  <si>
    <t xml:space="preserve">Reject %</t>
  </si>
  <si>
    <t xml:space="preserve">Faults/1000</t>
  </si>
  <si>
    <t xml:space="preserve">KPI Score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</si>
</sst>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0.00"/>
    <numFmt numFmtId="167" formatCode="0"/>
    <numFmt numFmtId="168" formatCode="0.0"/>
    <numFmt numFmtId="169" formatCode="0\%"/>
    <numFmt numFmtId="170" formatCode="0\%"/>
    <numFmt numFmtId="171" formatCode="0.0%"/>
    <numFmt numFmtId="172" formatCode="0.0\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i val="true"/>
      <sz val="11"/>
      <color rgb="FF1F1F1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243B5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7365D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243B53"/>
      </patternFill>
    </fill>
    <fill>
      <patternFill patternType="solid">
        <fgColor rgb="FF244A73"/>
        <bgColor rgb="FF1F4E78"/>
      </patternFill>
    </fill>
    <fill>
      <patternFill patternType="solid">
        <fgColor rgb="FFFFFFFF"/>
        <bgColor rgb="FFF9F9F9"/>
      </patternFill>
    </fill>
    <fill>
      <patternFill patternType="solid">
        <fgColor rgb="FFD9EAF7"/>
        <bgColor rgb="FFD9E2F3"/>
      </patternFill>
    </fill>
    <fill>
      <patternFill patternType="solid">
        <fgColor rgb="FF102A43"/>
        <bgColor rgb="FF17365D"/>
      </patternFill>
    </fill>
    <fill>
      <patternFill patternType="solid">
        <fgColor rgb="FFEAF2F8"/>
        <bgColor rgb="FFE6EBEF"/>
      </patternFill>
    </fill>
    <fill>
      <patternFill patternType="solid">
        <fgColor rgb="FF243B53"/>
        <bgColor rgb="FF17365D"/>
      </patternFill>
    </fill>
    <fill>
      <patternFill patternType="solid">
        <fgColor rgb="FFE7E6E6"/>
        <bgColor rgb="FFE6EBEF"/>
      </patternFill>
    </fill>
    <fill>
      <patternFill patternType="solid">
        <fgColor rgb="FF1F4E78"/>
        <bgColor rgb="FF244A73"/>
      </patternFill>
    </fill>
    <fill>
      <patternFill patternType="solid">
        <fgColor rgb="FFFFF2CC"/>
        <bgColor rgb="FFF9F9F9"/>
      </patternFill>
    </fill>
    <fill>
      <patternFill patternType="solid">
        <fgColor rgb="FFF5F8FB"/>
        <bgColor rgb="FFF9F9F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/>
      <right/>
      <top/>
      <bottom style="hair">
        <color rgb="FFD9E2F3"/>
      </bottom>
      <diagonal/>
    </border>
    <border diagonalUp="false" diagonalDown="false"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 diagonalUp="false" diagonalDown="false">
      <left/>
      <right/>
      <top/>
      <bottom style="hair">
        <color rgb="FFE6EBEF"/>
      </bottom>
      <diagonal/>
    </border>
    <border diagonalUp="false" diagonalDown="false">
      <left/>
      <right/>
      <top style="thin">
        <color rgb="FFB8C2CC"/>
      </top>
      <bottom style="thin">
        <color rgb="FFB8C2CC"/>
      </bottom>
      <diagonal/>
    </border>
    <border diagonalUp="false" diagonalDown="false">
      <left/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4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44A7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2CC"/>
      <rgbColor rgb="FF878787"/>
      <rgbColor rgb="FF9999FF"/>
      <rgbColor rgb="FF993366"/>
      <rgbColor rgb="FFFFF2CC"/>
      <rgbColor rgb="FFD9EAF7"/>
      <rgbColor rgb="FF660066"/>
      <rgbColor rgb="FFFF8080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6EBEF"/>
      <rgbColor rgb="FFF9F9F9"/>
      <rgbColor rgb="FFB7C9D6"/>
      <rgbColor rgb="FFF5F8FB"/>
      <rgbColor rgb="FFD9E2F3"/>
      <rgbColor rgb="FFE7E6E6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102A43"/>
      <rgbColor rgb="FF1F1F1F"/>
      <rgbColor rgb="FF993300"/>
      <rgbColor rgb="FF993366"/>
      <rgbColor rgb="FF244A73"/>
      <rgbColor rgb="FF243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Individual KPI Evaluation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'Operator View'!D8</c:f>
              <c:strCache>
                <c:ptCount val="1"/>
                <c:pt idx="0">
                  <c:v>Achievement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'Operator View'!$A$9:$A$17</c:f>
              <c:strCache>
                <c:ptCount val="9"/>
                <c:pt idx="0">
                  <c:v>Loom-wise Production</c:v>
                </c:pt>
                <c:pt idx="1">
                  <c:v>Loom Efficiency</c:v>
                </c:pt>
                <c:pt idx="2">
                  <c:v>Running / Availability</c:v>
                </c:pt>
                <c:pt idx="3">
                  <c:v>Quality / Rejection</c:v>
                </c:pt>
                <c:pt idx="4">
                  <c:v>Fault Control</c:v>
                </c:pt>
                <c:pt idx="5">
                  <c:v>Downtime Control</c:v>
                </c:pt>
                <c:pt idx="6">
                  <c:v>Housekeeping / SOP</c:v>
                </c:pt>
                <c:pt idx="7">
                  <c:v>Attendance / Discipline</c:v>
                </c:pt>
                <c:pt idx="8">
                  <c:v>Skill / Process Compliance</c:v>
                </c:pt>
              </c:strCache>
            </c:strRef>
          </c:cat>
          <c:val>
            <c:numRef>
              <c:f>'Operator View'!$D$9:$D$17</c:f>
              <c:numCache>
                <c:formatCode>0.0\%</c:formatCode>
                <c:ptCount val="9"/>
                <c:pt idx="0">
                  <c:v>75.3333333333333</c:v>
                </c:pt>
                <c:pt idx="1">
                  <c:v>103.378750921777</c:v>
                </c:pt>
                <c:pt idx="2">
                  <c:v>100.328947368421</c:v>
                </c:pt>
                <c:pt idx="3">
                  <c:v>35.3125</c:v>
                </c:pt>
                <c:pt idx="4">
                  <c:v>59.4736842105263</c:v>
                </c:pt>
                <c:pt idx="6">
                  <c:v>37.171052631579</c:v>
                </c:pt>
                <c:pt idx="7">
                  <c:v>100</c:v>
                </c:pt>
                <c:pt idx="8">
                  <c:v>94.7368421052632</c:v>
                </c:pt>
              </c:numCache>
            </c:numRef>
          </c:val>
        </c:ser>
        <c:gapWidth val="150"/>
        <c:overlap val="0"/>
        <c:axId val="10391926"/>
        <c:axId val="94555637"/>
      </c:barChart>
      <c:catAx>
        <c:axId val="1039192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Achievement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555637"/>
        <c:crosses val="autoZero"/>
        <c:auto val="1"/>
        <c:lblAlgn val="ctr"/>
        <c:lblOffset val="100"/>
        <c:noMultiLvlLbl val="0"/>
      </c:catAx>
      <c:valAx>
        <c:axId val="94555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KPI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391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Operator KPI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'Management Dashboard'!H11</c:f>
              <c:strCache>
                <c:ptCount val="1"/>
                <c:pt idx="0">
                  <c:v>KPI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'Management Dashboard'!$B$12:$B$41</c:f>
              <c:strCache>
                <c:ptCount val="30"/>
                <c:pt idx="0">
                  <c:v>MD. MAHABUB ALAM</c:v>
                </c:pt>
                <c:pt idx="1">
                  <c:v>MD. RIPU MIAH</c:v>
                </c:pt>
                <c:pt idx="2">
                  <c:v>MD. MINHAZ ALI</c:v>
                </c:pt>
                <c:pt idx="3">
                  <c:v>MD. FORIDUL ISLAM</c:v>
                </c:pt>
                <c:pt idx="4">
                  <c:v>MD. SAIFUL ISLAM-2</c:v>
                </c:pt>
                <c:pt idx="5">
                  <c:v>MD. ZIAUL HAQUE</c:v>
                </c:pt>
                <c:pt idx="6">
                  <c:v>MD. ANOWAR HOSEN-3</c:v>
                </c:pt>
                <c:pt idx="7">
                  <c:v>MD. ALAM MIA</c:v>
                </c:pt>
                <c:pt idx="8">
                  <c:v>MD. MOMINUL ISLAM</c:v>
                </c:pt>
                <c:pt idx="9">
                  <c:v>MD. JAHIDUL ISLAM HOWLADER</c:v>
                </c:pt>
                <c:pt idx="10">
                  <c:v>MD. RIPON MIA-2</c:v>
                </c:pt>
                <c:pt idx="11">
                  <c:v>GOULAM RABBANI</c:v>
                </c:pt>
                <c:pt idx="12">
                  <c:v>MD. HABIBUR RAHMAN</c:v>
                </c:pt>
                <c:pt idx="13">
                  <c:v>MD. SAIFUL ISLAM-3</c:v>
                </c:pt>
                <c:pt idx="14">
                  <c:v>MD. JAKIR HOSEN</c:v>
                </c:pt>
                <c:pt idx="15">
                  <c:v>AZIZUL HAQUE</c:v>
                </c:pt>
                <c:pt idx="16">
                  <c:v>MD. ANARUL ISLAM </c:v>
                </c:pt>
                <c:pt idx="17">
                  <c:v>MD. ROSHID</c:v>
                </c:pt>
                <c:pt idx="18">
                  <c:v>MD. AZIM </c:v>
                </c:pt>
                <c:pt idx="19">
                  <c:v>MD. MOTALEB HOSEN</c:v>
                </c:pt>
                <c:pt idx="20">
                  <c:v>MD. KAWSAR ALI</c:v>
                </c:pt>
                <c:pt idx="21">
                  <c:v>MD. FARMAN ALI</c:v>
                </c:pt>
                <c:pt idx="22">
                  <c:v>MD. JULHAS UDDIN</c:v>
                </c:pt>
                <c:pt idx="23">
                  <c:v>MD. ABDUL AWAL</c:v>
                </c:pt>
                <c:pt idx="24">
                  <c:v>MD. DULU MIA</c:v>
                </c:pt>
                <c:pt idx="25">
                  <c:v>SREE SUSANTO CHANDRA</c:v>
                </c:pt>
                <c:pt idx="26">
                  <c:v>MD. ASHRAFUL ISLAM</c:v>
                </c:pt>
                <c:pt idx="27">
                  <c:v>MD. ASRAF AKANDA</c:v>
                </c:pt>
                <c:pt idx="28">
                  <c:v>MD. JIHADUZZAMAN (JIAD)</c:v>
                </c:pt>
                <c:pt idx="29">
                  <c:v>MD. MOZNU SHEKH</c:v>
                </c:pt>
              </c:strCache>
            </c:strRef>
          </c:cat>
          <c:val>
            <c:numRef>
              <c:f>'Management Dashboard'!$H$12:$H$41</c:f>
              <c:numCache>
                <c:formatCode>0.0%</c:formatCode>
                <c:ptCount val="30"/>
                <c:pt idx="0">
                  <c:v>0.795385758302458</c:v>
                </c:pt>
                <c:pt idx="1">
                  <c:v>0.785994265784579</c:v>
                </c:pt>
                <c:pt idx="2">
                  <c:v>0.961336560443647</c:v>
                </c:pt>
                <c:pt idx="3">
                  <c:v>0.708034630112045</c:v>
                </c:pt>
                <c:pt idx="4">
                  <c:v>0.840436864693924</c:v>
                </c:pt>
              </c:numCache>
            </c:numRef>
          </c:val>
        </c:ser>
        <c:gapWidth val="150"/>
        <c:overlap val="0"/>
        <c:axId val="74019841"/>
        <c:axId val="80928817"/>
      </c:barChart>
      <c:catAx>
        <c:axId val="74019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Operator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928817"/>
        <c:crosses val="autoZero"/>
        <c:auto val="1"/>
        <c:lblAlgn val="ctr"/>
        <c:lblOffset val="100"/>
        <c:noMultiLvlLbl val="0"/>
      </c:catAx>
      <c:valAx>
        <c:axId val="80928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KPI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019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15</xdr:col>
      <xdr:colOff>337320</xdr:colOff>
      <xdr:row>19</xdr:row>
      <xdr:rowOff>159120</xdr:rowOff>
    </xdr:to>
    <xdr:graphicFrame>
      <xdr:nvGraphicFramePr>
        <xdr:cNvPr id="0" name="Chart 1"/>
        <xdr:cNvGraphicFramePr/>
      </xdr:nvGraphicFramePr>
      <xdr:xfrm>
        <a:off x="9656280" y="1428840"/>
        <a:ext cx="4497840" cy="269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9</xdr:row>
      <xdr:rowOff>130680</xdr:rowOff>
    </xdr:from>
    <xdr:to>
      <xdr:col>19</xdr:col>
      <xdr:colOff>475200</xdr:colOff>
      <xdr:row>21</xdr:row>
      <xdr:rowOff>124560</xdr:rowOff>
    </xdr:to>
    <xdr:graphicFrame>
      <xdr:nvGraphicFramePr>
        <xdr:cNvPr id="1" name="Chart 1"/>
        <xdr:cNvGraphicFramePr/>
      </xdr:nvGraphicFramePr>
      <xdr:xfrm>
        <a:off x="10713600" y="1997640"/>
        <a:ext cx="5037840" cy="25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50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5" min="5" style="1" width="15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5" min="14" style="1" width="17"/>
    <col collapsed="false" customWidth="true" hidden="false" outlineLevel="0" max="16" min="16" style="1" width="20"/>
    <col collapsed="false" customWidth="true" hidden="false" outlineLevel="0" max="17" min="17" style="1" width="18"/>
    <col collapsed="false" customWidth="true" hidden="false" outlineLevel="0" max="18" min="18" style="1" width="19"/>
    <col collapsed="false" customWidth="true" hidden="false" outlineLevel="0" max="19" min="19" style="1" width="17"/>
    <col collapsed="false" customWidth="true" hidden="false" outlineLevel="0" max="20" min="20" style="1" width="20"/>
    <col collapsed="false" customWidth="true" hidden="false" outlineLevel="0" max="21" min="21" style="1" width="17"/>
    <col collapsed="false" customWidth="true" hidden="false" outlineLevel="0" max="23" min="22" style="1" width="14"/>
    <col collapsed="false" customWidth="true" hidden="false" outlineLevel="0" max="25" min="24" style="1" width="11"/>
    <col collapsed="false" customWidth="true" hidden="false" outlineLevel="0" max="26" min="26" style="1" width="12"/>
    <col collapsed="false" customWidth="true" hidden="false" outlineLevel="0" max="28" min="27" style="1" width="11"/>
    <col collapsed="false" customWidth="true" hidden="false" outlineLevel="0" max="30" min="29" style="1" width="10"/>
    <col collapsed="false" customWidth="true" hidden="false" outlineLevel="0" max="31" min="31" style="1" width="11"/>
    <col collapsed="false" customWidth="true" hidden="false" outlineLevel="0" max="32" min="32" style="1" width="12"/>
    <col collapsed="false" customWidth="true" hidden="false" outlineLevel="0" max="34" min="33" style="1" width="16"/>
    <col collapsed="false" customWidth="true" hidden="false" outlineLevel="0" max="35" min="35" style="1" width="22"/>
    <col collapsed="false" customWidth="true" hidden="false" outlineLevel="0" max="36" min="36" style="1" width="15"/>
    <col collapsed="false" customWidth="true" hidden="false" outlineLevel="0" max="38" min="37" style="1" width="25"/>
    <col collapsed="false" customWidth="true" hidden="false" outlineLevel="0" max="39" min="39" style="1" width="1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33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</row>
    <row r="6" customFormat="false" ht="15" hidden="false" customHeight="true" outlineLevel="0" collapsed="false">
      <c r="A6" s="6" t="n">
        <v>1</v>
      </c>
      <c r="B6" s="7" t="n">
        <v>46288</v>
      </c>
      <c r="C6" s="8" t="s">
        <v>42</v>
      </c>
      <c r="D6" s="8" t="s">
        <v>42</v>
      </c>
      <c r="E6" s="8" t="s">
        <v>43</v>
      </c>
      <c r="F6" s="9"/>
      <c r="G6" s="8" t="s">
        <v>44</v>
      </c>
      <c r="H6" s="10" t="str">
        <f aca="false">IFERROR(INDEX('Operator Master'!$B$5:$B$504,MATCH(G6,'Operator Master'!$A$5:$A$504,0)),"")</f>
        <v>MD. MAHABUB ALAM</v>
      </c>
      <c r="I6" s="9"/>
      <c r="J6" s="9" t="n">
        <v>8</v>
      </c>
      <c r="K6" s="8" t="s">
        <v>45</v>
      </c>
      <c r="L6" s="9" t="n">
        <v>531.25</v>
      </c>
      <c r="M6" s="9" t="n">
        <v>42</v>
      </c>
      <c r="N6" s="11" t="n">
        <v>1500</v>
      </c>
      <c r="O6" s="11" t="n">
        <v>1130</v>
      </c>
      <c r="P6" s="12" t="n">
        <f aca="false">IF(OR(N6="",O6=""),"",IFERROR(O6/N6*100,0))</f>
        <v>75.3333333333333</v>
      </c>
      <c r="Q6" s="10" t="n">
        <v>8</v>
      </c>
      <c r="R6" s="12" t="n">
        <f aca="false">IF(J6="","",Q6*J6)</f>
        <v>64</v>
      </c>
      <c r="S6" s="11" t="n">
        <v>61</v>
      </c>
      <c r="T6" s="12" t="n">
        <f aca="false">IF(OR(R6="",S6=""),"",IFERROR(S6/R6*100,0))</f>
        <v>95.3125</v>
      </c>
      <c r="U6" s="12" t="n">
        <f aca="false">IF(OR(O6="",L6="",M6="",S6="",M6=0),"",IFERROR(O6/(L6*60*S6/(M6*36))*100,0))</f>
        <v>87.8719382835101</v>
      </c>
      <c r="V6" s="11" t="n">
        <v>32</v>
      </c>
      <c r="W6" s="12" t="n">
        <f aca="false">IF(O6="","",IFERROR(V6/O6*100,0))</f>
        <v>2.83185840707965</v>
      </c>
      <c r="X6" s="11" t="n">
        <v>3</v>
      </c>
      <c r="Y6" s="11" t="n">
        <v>5</v>
      </c>
      <c r="Z6" s="11" t="n">
        <v>3</v>
      </c>
      <c r="AA6" s="11" t="n">
        <v>5</v>
      </c>
      <c r="AB6" s="11" t="n">
        <v>3</v>
      </c>
      <c r="AC6" s="11" t="n">
        <v>0</v>
      </c>
      <c r="AD6" s="11" t="n">
        <v>0</v>
      </c>
      <c r="AE6" s="11"/>
      <c r="AF6" s="12" t="n">
        <f aca="false">IF(O6="","",SUM(X6:AE6))</f>
        <v>19</v>
      </c>
      <c r="AG6" s="12" t="n">
        <f aca="false">IF(O6="","",IFERROR(AF6/O6*1000,0))</f>
        <v>16.8141592920354</v>
      </c>
      <c r="AH6" s="11" t="n">
        <v>80</v>
      </c>
      <c r="AI6" s="11" t="n">
        <v>100</v>
      </c>
      <c r="AJ6" s="11" t="n">
        <v>90</v>
      </c>
      <c r="AK6" s="9"/>
      <c r="AL6" s="9"/>
      <c r="AM6" s="9"/>
    </row>
    <row r="7" customFormat="false" ht="15" hidden="false" customHeight="true" outlineLevel="0" collapsed="false">
      <c r="A7" s="6" t="n">
        <v>2</v>
      </c>
      <c r="B7" s="7" t="n">
        <v>46288</v>
      </c>
      <c r="C7" s="8" t="s">
        <v>46</v>
      </c>
      <c r="D7" s="8" t="s">
        <v>42</v>
      </c>
      <c r="E7" s="8" t="s">
        <v>47</v>
      </c>
      <c r="F7" s="9" t="s">
        <v>48</v>
      </c>
      <c r="G7" s="8" t="s">
        <v>49</v>
      </c>
      <c r="H7" s="10" t="str">
        <f aca="false">IFERROR(INDEX('Operator Master'!$B$5:$B$504,MATCH(G7,'Operator Master'!$A$5:$A$504,0)),"")</f>
        <v>MD. RIPU MIAH</v>
      </c>
      <c r="I7" s="9"/>
      <c r="J7" s="9" t="n">
        <v>9</v>
      </c>
      <c r="K7" s="8" t="s">
        <v>50</v>
      </c>
      <c r="L7" s="9" t="n">
        <v>569.444444444445</v>
      </c>
      <c r="M7" s="9" t="n">
        <v>43.11</v>
      </c>
      <c r="N7" s="11" t="n">
        <v>1800</v>
      </c>
      <c r="O7" s="11" t="n">
        <v>1127</v>
      </c>
      <c r="P7" s="12" t="n">
        <f aca="false">IF(OR(N7="",O7=""),"",IFERROR(O7/N7*100,0))</f>
        <v>62.6111111111111</v>
      </c>
      <c r="Q7" s="10" t="n">
        <v>8</v>
      </c>
      <c r="R7" s="12" t="n">
        <f aca="false">IF(J7="","",Q7*J7)</f>
        <v>72</v>
      </c>
      <c r="S7" s="11" t="n">
        <v>68</v>
      </c>
      <c r="T7" s="12" t="n">
        <f aca="false">IF(OR(R7="",S7=""),"",IFERROR(S7/R7*100,0))</f>
        <v>94.4444444444444</v>
      </c>
      <c r="U7" s="12" t="n">
        <f aca="false">IF(OR(O7="",L7="",M7="",S7="",M7=0),"",IFERROR(O7/(L7*60*S7/(M7*36))*100,0))</f>
        <v>75.282306456241</v>
      </c>
      <c r="V7" s="11" t="n">
        <v>17</v>
      </c>
      <c r="W7" s="12" t="n">
        <f aca="false">IF(O7="","",IFERROR(V7/O7*100,0))</f>
        <v>1.50842945874002</v>
      </c>
      <c r="X7" s="11" t="n">
        <v>6</v>
      </c>
      <c r="Y7" s="11" t="n">
        <v>4</v>
      </c>
      <c r="Z7" s="11" t="n">
        <v>7</v>
      </c>
      <c r="AA7" s="11" t="n">
        <v>3</v>
      </c>
      <c r="AB7" s="11" t="n">
        <v>6</v>
      </c>
      <c r="AC7" s="11" t="n">
        <v>1</v>
      </c>
      <c r="AD7" s="11" t="n">
        <v>0</v>
      </c>
      <c r="AE7" s="11"/>
      <c r="AF7" s="12" t="n">
        <f aca="false">IF(O7="","",SUM(X7:AE7))</f>
        <v>27</v>
      </c>
      <c r="AG7" s="12" t="n">
        <f aca="false">IF(O7="","",IFERROR(AF7/O7*1000,0))</f>
        <v>23.9574090505768</v>
      </c>
      <c r="AH7" s="11" t="n">
        <v>90</v>
      </c>
      <c r="AI7" s="11" t="n">
        <v>95</v>
      </c>
      <c r="AJ7" s="11" t="n">
        <v>100</v>
      </c>
      <c r="AK7" s="9"/>
      <c r="AL7" s="9"/>
      <c r="AM7" s="9"/>
    </row>
    <row r="8" customFormat="false" ht="15" hidden="false" customHeight="true" outlineLevel="0" collapsed="false">
      <c r="A8" s="6" t="n">
        <v>3</v>
      </c>
      <c r="B8" s="7" t="n">
        <v>46288</v>
      </c>
      <c r="C8" s="8" t="s">
        <v>42</v>
      </c>
      <c r="D8" s="8" t="s">
        <v>42</v>
      </c>
      <c r="E8" s="8" t="s">
        <v>43</v>
      </c>
      <c r="F8" s="9"/>
      <c r="G8" s="8" t="s">
        <v>51</v>
      </c>
      <c r="H8" s="10" t="str">
        <f aca="false">IFERROR(INDEX('Operator Master'!$B$5:$B$504,MATCH(G8,'Operator Master'!$A$5:$A$504,0)),"")</f>
        <v>MD. MINHAZ ALI</v>
      </c>
      <c r="I8" s="9"/>
      <c r="J8" s="9" t="n">
        <v>10</v>
      </c>
      <c r="K8" s="8" t="s">
        <v>52</v>
      </c>
      <c r="L8" s="9" t="n">
        <v>537.5</v>
      </c>
      <c r="M8" s="9" t="n">
        <v>41.6</v>
      </c>
      <c r="N8" s="11" t="n">
        <v>1900</v>
      </c>
      <c r="O8" s="11" t="n">
        <v>1602</v>
      </c>
      <c r="P8" s="12" t="n">
        <f aca="false">IF(OR(N8="",O8=""),"",IFERROR(O8/N8*100,0))</f>
        <v>84.3157894736842</v>
      </c>
      <c r="Q8" s="10" t="n">
        <v>8</v>
      </c>
      <c r="R8" s="12" t="n">
        <f aca="false">IF(J8="","",Q8*J8)</f>
        <v>80</v>
      </c>
      <c r="S8" s="11" t="n">
        <v>79</v>
      </c>
      <c r="T8" s="12" t="n">
        <f aca="false">IF(OR(R8="",S8=""),"",IFERROR(S8/R8*100,0))</f>
        <v>98.75</v>
      </c>
      <c r="U8" s="12" t="n">
        <f aca="false">IF(OR(O8="",L8="",M8="",S8="",M8=0),"",IFERROR(O8/(L8*60*S8/(M8*36))*100,0))</f>
        <v>94.1676067118045</v>
      </c>
      <c r="V8" s="11" t="n">
        <v>20</v>
      </c>
      <c r="W8" s="12" t="n">
        <f aca="false">IF(O8="","",IFERROR(V8/O8*100,0))</f>
        <v>1.24843945068664</v>
      </c>
      <c r="X8" s="11" t="n">
        <v>4</v>
      </c>
      <c r="Y8" s="11" t="n">
        <v>4</v>
      </c>
      <c r="Z8" s="11" t="n">
        <v>1</v>
      </c>
      <c r="AA8" s="11" t="n">
        <v>3</v>
      </c>
      <c r="AB8" s="11" t="n">
        <v>2</v>
      </c>
      <c r="AC8" s="11" t="n">
        <v>0</v>
      </c>
      <c r="AD8" s="11" t="n">
        <v>0</v>
      </c>
      <c r="AE8" s="11"/>
      <c r="AF8" s="12" t="n">
        <f aca="false">IF(O8="","",SUM(X8:AE8))</f>
        <v>14</v>
      </c>
      <c r="AG8" s="12" t="n">
        <f aca="false">IF(O8="","",IFERROR(AF8/O8*1000,0))</f>
        <v>8.73907615480649</v>
      </c>
      <c r="AH8" s="11" t="n">
        <v>95</v>
      </c>
      <c r="AI8" s="11" t="n">
        <v>100</v>
      </c>
      <c r="AJ8" s="11" t="n">
        <v>100</v>
      </c>
      <c r="AK8" s="9"/>
      <c r="AL8" s="9"/>
      <c r="AM8" s="9"/>
    </row>
    <row r="9" customFormat="false" ht="15" hidden="false" customHeight="true" outlineLevel="0" collapsed="false">
      <c r="A9" s="6" t="n">
        <v>4</v>
      </c>
      <c r="B9" s="7" t="n">
        <v>46288</v>
      </c>
      <c r="C9" s="8" t="s">
        <v>42</v>
      </c>
      <c r="D9" s="8" t="s">
        <v>42</v>
      </c>
      <c r="E9" s="8" t="s">
        <v>43</v>
      </c>
      <c r="F9" s="9"/>
      <c r="G9" s="8" t="s">
        <v>53</v>
      </c>
      <c r="H9" s="10" t="str">
        <f aca="false">IFERROR(INDEX('Operator Master'!$B$5:$B$504,MATCH(G9,'Operator Master'!$A$5:$A$504,0)),"")</f>
        <v>MD. FORIDUL ISLAM</v>
      </c>
      <c r="I9" s="9"/>
      <c r="J9" s="9" t="n">
        <v>9</v>
      </c>
      <c r="K9" s="8" t="s">
        <v>54</v>
      </c>
      <c r="L9" s="9" t="n">
        <v>519.444444444445</v>
      </c>
      <c r="M9" s="9" t="n">
        <v>44.78</v>
      </c>
      <c r="N9" s="11" t="n">
        <v>1500</v>
      </c>
      <c r="O9" s="11" t="n">
        <v>781</v>
      </c>
      <c r="P9" s="12" t="n">
        <f aca="false">IF(OR(N9="",O9=""),"",IFERROR(O9/N9*100,0))</f>
        <v>52.0666666666667</v>
      </c>
      <c r="Q9" s="10" t="n">
        <v>8</v>
      </c>
      <c r="R9" s="12" t="n">
        <f aca="false">IF(J9="","",Q9*J9)</f>
        <v>72</v>
      </c>
      <c r="S9" s="11" t="n">
        <v>60</v>
      </c>
      <c r="T9" s="12" t="n">
        <f aca="false">IF(OR(R9="",S9=""),"",IFERROR(S9/R9*100,0))</f>
        <v>83.3333333333333</v>
      </c>
      <c r="U9" s="12" t="n">
        <f aca="false">IF(OR(O9="",L9="",M9="",S9="",M9=0),"",IFERROR(O9/(L9*60*S9/(M9*36))*100,0))</f>
        <v>67.3280470588234</v>
      </c>
      <c r="V9" s="11" t="n">
        <v>16</v>
      </c>
      <c r="W9" s="12" t="n">
        <f aca="false">IF(O9="","",IFERROR(V9/O9*100,0))</f>
        <v>2.04865556978233</v>
      </c>
      <c r="X9" s="11" t="n">
        <v>2</v>
      </c>
      <c r="Y9" s="11" t="n">
        <v>5</v>
      </c>
      <c r="Z9" s="11" t="n">
        <v>3</v>
      </c>
      <c r="AA9" s="11" t="n">
        <v>6</v>
      </c>
      <c r="AB9" s="11" t="n">
        <v>2</v>
      </c>
      <c r="AC9" s="11" t="n">
        <v>3</v>
      </c>
      <c r="AD9" s="11" t="n">
        <v>0</v>
      </c>
      <c r="AE9" s="11"/>
      <c r="AF9" s="12" t="n">
        <f aca="false">IF(O9="","",SUM(X9:AE9))</f>
        <v>21</v>
      </c>
      <c r="AG9" s="12" t="n">
        <f aca="false">IF(O9="","",IFERROR(AF9/O9*1000,0))</f>
        <v>26.8886043533931</v>
      </c>
      <c r="AH9" s="11" t="n">
        <v>90</v>
      </c>
      <c r="AI9" s="11" t="n">
        <v>100</v>
      </c>
      <c r="AJ9" s="11" t="n">
        <v>100</v>
      </c>
      <c r="AK9" s="9"/>
      <c r="AL9" s="9"/>
      <c r="AM9" s="9"/>
    </row>
    <row r="10" customFormat="false" ht="15" hidden="false" customHeight="true" outlineLevel="0" collapsed="false">
      <c r="A10" s="6" t="n">
        <v>5</v>
      </c>
      <c r="B10" s="7" t="n">
        <v>46288</v>
      </c>
      <c r="C10" s="8"/>
      <c r="D10" s="8"/>
      <c r="E10" s="8"/>
      <c r="F10" s="9"/>
      <c r="G10" s="8" t="s">
        <v>55</v>
      </c>
      <c r="H10" s="10" t="str">
        <f aca="false">IFERROR(INDEX('Operator Master'!$B$5:$B$504,MATCH(G10,'Operator Master'!$A$5:$A$504,0)),"")</f>
        <v>MD. SAIFUL ISLAM-2</v>
      </c>
      <c r="I10" s="9"/>
      <c r="J10" s="9" t="n">
        <v>10</v>
      </c>
      <c r="K10" s="8" t="s">
        <v>56</v>
      </c>
      <c r="L10" s="9" t="n">
        <v>582.5</v>
      </c>
      <c r="M10" s="9" t="n">
        <v>43.7</v>
      </c>
      <c r="N10" s="11" t="n">
        <v>1900</v>
      </c>
      <c r="O10" s="11" t="n">
        <v>1170</v>
      </c>
      <c r="P10" s="12" t="n">
        <f aca="false">IF(OR(N10="",O10=""),"",IFERROR(O10/N10*100,0))</f>
        <v>61.5789473684211</v>
      </c>
      <c r="Q10" s="10" t="n">
        <v>8</v>
      </c>
      <c r="R10" s="12" t="n">
        <f aca="false">IF(J10="","",Q10*J10)</f>
        <v>80</v>
      </c>
      <c r="S10" s="11" t="n">
        <v>78</v>
      </c>
      <c r="T10" s="12" t="n">
        <f aca="false">IF(OR(R10="",S10=""),"",IFERROR(S10/R10*100,0))</f>
        <v>97.5</v>
      </c>
      <c r="U10" s="12" t="n">
        <f aca="false">IF(OR(O10="",L10="",M10="",S10="",M10=0),"",IFERROR(O10/(L10*60*S10/(M10*36))*100,0))</f>
        <v>67.519313304721</v>
      </c>
      <c r="V10" s="11" t="n">
        <v>12</v>
      </c>
      <c r="W10" s="12" t="n">
        <f aca="false">IF(O10="","",IFERROR(V10/O10*100,0))</f>
        <v>1.02564102564103</v>
      </c>
      <c r="X10" s="11" t="n">
        <v>5</v>
      </c>
      <c r="Y10" s="11" t="n">
        <v>3</v>
      </c>
      <c r="Z10" s="11" t="n">
        <v>4</v>
      </c>
      <c r="AA10" s="11" t="n">
        <v>1</v>
      </c>
      <c r="AB10" s="11" t="n">
        <v>5</v>
      </c>
      <c r="AC10" s="11" t="n">
        <v>1</v>
      </c>
      <c r="AD10" s="11" t="n">
        <v>1</v>
      </c>
      <c r="AE10" s="11"/>
      <c r="AF10" s="12" t="n">
        <f aca="false">IF(O10="","",SUM(X10:AE10))</f>
        <v>20</v>
      </c>
      <c r="AG10" s="12" t="n">
        <f aca="false">IF(O10="","",IFERROR(AF10/O10*1000,0))</f>
        <v>17.0940170940171</v>
      </c>
      <c r="AH10" s="11" t="n">
        <v>95</v>
      </c>
      <c r="AI10" s="11" t="n">
        <v>100</v>
      </c>
      <c r="AJ10" s="11" t="n">
        <v>95</v>
      </c>
      <c r="AK10" s="9"/>
      <c r="AL10" s="9"/>
      <c r="AM10" s="9"/>
    </row>
    <row r="11" customFormat="false" ht="15" hidden="false" customHeight="true" outlineLevel="0" collapsed="false">
      <c r="A11" s="6" t="n">
        <v>6</v>
      </c>
      <c r="B11" s="7" t="n">
        <v>46288</v>
      </c>
      <c r="C11" s="8"/>
      <c r="D11" s="8"/>
      <c r="E11" s="8"/>
      <c r="F11" s="9"/>
      <c r="G11" s="8" t="s">
        <v>57</v>
      </c>
      <c r="H11" s="10" t="str">
        <f aca="false">IFERROR(INDEX('Operator Master'!$B$5:$B$504,MATCH(G11,'Operator Master'!$A$5:$A$504,0)),"")</f>
        <v>MD. ZIAUL HAQUE</v>
      </c>
      <c r="I11" s="9"/>
      <c r="J11" s="9" t="n">
        <v>9</v>
      </c>
      <c r="K11" s="8" t="s">
        <v>58</v>
      </c>
      <c r="L11" s="9" t="n">
        <v>558.333333333333</v>
      </c>
      <c r="M11" s="9" t="n">
        <v>41.22</v>
      </c>
      <c r="N11" s="11" t="n">
        <v>1800</v>
      </c>
      <c r="O11" s="11" t="n">
        <v>1598</v>
      </c>
      <c r="P11" s="12" t="n">
        <f aca="false">IF(OR(N11="",O11=""),"",IFERROR(O11/N11*100,0))</f>
        <v>88.7777777777778</v>
      </c>
      <c r="Q11" s="10" t="n">
        <v>8</v>
      </c>
      <c r="R11" s="12" t="n">
        <f aca="false">IF(J11="","",Q11*J11)</f>
        <v>72</v>
      </c>
      <c r="S11" s="11" t="n">
        <v>68</v>
      </c>
      <c r="T11" s="12" t="n">
        <f aca="false">IF(OR(R11="",S11=""),"",IFERROR(S11/R11*100,0))</f>
        <v>94.4444444444444</v>
      </c>
      <c r="U11" s="12" t="n">
        <f aca="false">IF(OR(O11="",L11="",M11="",S11="",M11=0),"",IFERROR(O11/(L11*60*S11/(M11*36))*100,0))</f>
        <v>104.095880597015</v>
      </c>
      <c r="V11" s="11"/>
      <c r="W11" s="12" t="n">
        <f aca="false">IF(O11="","",IFERROR(V11/O11*100,0))</f>
        <v>0</v>
      </c>
      <c r="X11" s="11"/>
      <c r="Y11" s="11"/>
      <c r="Z11" s="11"/>
      <c r="AA11" s="11"/>
      <c r="AB11" s="11"/>
      <c r="AC11" s="11"/>
      <c r="AD11" s="11"/>
      <c r="AE11" s="11"/>
      <c r="AF11" s="12" t="n">
        <f aca="false">IF(O11="","",SUM(X11:AE11))</f>
        <v>0</v>
      </c>
      <c r="AG11" s="12" t="n">
        <f aca="false">IF(O11="","",IFERROR(AF11/O11*1000,0))</f>
        <v>0</v>
      </c>
      <c r="AH11" s="11"/>
      <c r="AI11" s="11"/>
      <c r="AJ11" s="11"/>
      <c r="AK11" s="9"/>
      <c r="AL11" s="9"/>
      <c r="AM11" s="9"/>
    </row>
    <row r="12" customFormat="false" ht="15" hidden="false" customHeight="true" outlineLevel="0" collapsed="false">
      <c r="A12" s="6" t="n">
        <v>7</v>
      </c>
      <c r="B12" s="7" t="n">
        <v>46288</v>
      </c>
      <c r="C12" s="8"/>
      <c r="D12" s="8"/>
      <c r="E12" s="8"/>
      <c r="F12" s="9"/>
      <c r="G12" s="8" t="s">
        <v>59</v>
      </c>
      <c r="H12" s="10" t="str">
        <f aca="false">IFERROR(INDEX('Operator Master'!$B$5:$B$504,MATCH(G12,'Operator Master'!$A$5:$A$504,0)),"")</f>
        <v>MD. ANOWAR HOSEN-3</v>
      </c>
      <c r="I12" s="9"/>
      <c r="J12" s="9" t="n">
        <v>9</v>
      </c>
      <c r="K12" s="8" t="s">
        <v>60</v>
      </c>
      <c r="L12" s="9" t="n">
        <v>505.555555555556</v>
      </c>
      <c r="M12" s="9" t="n">
        <v>44.78</v>
      </c>
      <c r="N12" s="11" t="n">
        <v>1600</v>
      </c>
      <c r="O12" s="11" t="n">
        <v>1156</v>
      </c>
      <c r="P12" s="12" t="n">
        <f aca="false">IF(OR(N12="",O12=""),"",IFERROR(O12/N12*100,0))</f>
        <v>72.25</v>
      </c>
      <c r="Q12" s="10" t="n">
        <v>8</v>
      </c>
      <c r="R12" s="12" t="n">
        <f aca="false">IF(J12="","",Q12*J12)</f>
        <v>72</v>
      </c>
      <c r="S12" s="11"/>
      <c r="T12" s="12" t="str">
        <f aca="false">IF(OR(R12="",S12=""),"",IFERROR(S12/R12*100,0))</f>
        <v/>
      </c>
      <c r="U12" s="12" t="str">
        <f aca="false">IF(OR(O12="",L12="",M12="",S12="",M12=0),"",IFERROR(O12/(L12*60*S12/(M12*36))*100,0))</f>
        <v/>
      </c>
      <c r="V12" s="11"/>
      <c r="W12" s="12" t="n">
        <f aca="false">IF(O12="","",IFERROR(V12/O12*100,0))</f>
        <v>0</v>
      </c>
      <c r="X12" s="11"/>
      <c r="Y12" s="11"/>
      <c r="Z12" s="11"/>
      <c r="AA12" s="11"/>
      <c r="AB12" s="11"/>
      <c r="AC12" s="11"/>
      <c r="AD12" s="11"/>
      <c r="AE12" s="11"/>
      <c r="AF12" s="12" t="n">
        <f aca="false">IF(O12="","",SUM(X12:AE12))</f>
        <v>0</v>
      </c>
      <c r="AG12" s="12" t="n">
        <f aca="false">IF(O12="","",IFERROR(AF12/O12*1000,0))</f>
        <v>0</v>
      </c>
      <c r="AH12" s="11"/>
      <c r="AI12" s="11"/>
      <c r="AJ12" s="11"/>
      <c r="AK12" s="9"/>
      <c r="AL12" s="9"/>
      <c r="AM12" s="9"/>
    </row>
    <row r="13" customFormat="false" ht="15" hidden="false" customHeight="true" outlineLevel="0" collapsed="false">
      <c r="A13" s="6" t="n">
        <v>8</v>
      </c>
      <c r="B13" s="7" t="n">
        <v>46288</v>
      </c>
      <c r="C13" s="8"/>
      <c r="D13" s="8"/>
      <c r="E13" s="8"/>
      <c r="F13" s="9"/>
      <c r="G13" s="8" t="s">
        <v>61</v>
      </c>
      <c r="H13" s="10" t="str">
        <f aca="false">IFERROR(INDEX('Operator Master'!$B$5:$B$504,MATCH(G13,'Operator Master'!$A$5:$A$504,0)),"")</f>
        <v>MD. ALAM MIA</v>
      </c>
      <c r="I13" s="9"/>
      <c r="J13" s="9" t="n">
        <v>9</v>
      </c>
      <c r="K13" s="8" t="s">
        <v>62</v>
      </c>
      <c r="L13" s="9" t="n">
        <v>555.555555555556</v>
      </c>
      <c r="M13" s="9"/>
      <c r="N13" s="11" t="n">
        <v>1750</v>
      </c>
      <c r="O13" s="11" t="n">
        <v>1255</v>
      </c>
      <c r="P13" s="12" t="n">
        <f aca="false">IF(OR(N13="",O13=""),"",IFERROR(O13/N13*100,0))</f>
        <v>71.7142857142857</v>
      </c>
      <c r="Q13" s="10" t="n">
        <v>8</v>
      </c>
      <c r="R13" s="12" t="n">
        <f aca="false">IF(J13="","",Q13*J13)</f>
        <v>72</v>
      </c>
      <c r="S13" s="11"/>
      <c r="T13" s="12" t="str">
        <f aca="false">IF(OR(R13="",S13=""),"",IFERROR(S13/R13*100,0))</f>
        <v/>
      </c>
      <c r="U13" s="12" t="str">
        <f aca="false">IF(OR(O13="",L13="",M13="",S13="",M13=0),"",IFERROR(O13/(L13*60*S13/(M13*36))*100,0))</f>
        <v/>
      </c>
      <c r="V13" s="11"/>
      <c r="W13" s="12" t="n">
        <f aca="false">IF(O13="","",IFERROR(V13/O13*100,0))</f>
        <v>0</v>
      </c>
      <c r="X13" s="11"/>
      <c r="Y13" s="11"/>
      <c r="Z13" s="11"/>
      <c r="AA13" s="11"/>
      <c r="AB13" s="11"/>
      <c r="AC13" s="11"/>
      <c r="AD13" s="11"/>
      <c r="AE13" s="11"/>
      <c r="AF13" s="12" t="n">
        <f aca="false">IF(O13="","",SUM(X13:AE13))</f>
        <v>0</v>
      </c>
      <c r="AG13" s="12" t="n">
        <f aca="false">IF(O13="","",IFERROR(AF13/O13*1000,0))</f>
        <v>0</v>
      </c>
      <c r="AH13" s="11"/>
      <c r="AI13" s="11"/>
      <c r="AJ13" s="11"/>
      <c r="AK13" s="9"/>
      <c r="AL13" s="9"/>
      <c r="AM13" s="9"/>
    </row>
    <row r="14" customFormat="false" ht="15" hidden="false" customHeight="true" outlineLevel="0" collapsed="false">
      <c r="A14" s="6" t="n">
        <v>9</v>
      </c>
      <c r="B14" s="7" t="n">
        <v>46288</v>
      </c>
      <c r="C14" s="8"/>
      <c r="D14" s="8"/>
      <c r="E14" s="8"/>
      <c r="F14" s="9"/>
      <c r="G14" s="8" t="s">
        <v>63</v>
      </c>
      <c r="H14" s="10" t="str">
        <f aca="false">IFERROR(INDEX('Operator Master'!$B$5:$B$504,MATCH(G14,'Operator Master'!$A$5:$A$504,0)),"")</f>
        <v>MD. MOMINUL ISLAM</v>
      </c>
      <c r="I14" s="9"/>
      <c r="J14" s="9" t="n">
        <v>5</v>
      </c>
      <c r="K14" s="8" t="s">
        <v>64</v>
      </c>
      <c r="L14" s="9" t="n">
        <v>545</v>
      </c>
      <c r="M14" s="9" t="n">
        <v>41.8</v>
      </c>
      <c r="N14" s="11" t="n">
        <v>1100</v>
      </c>
      <c r="O14" s="11" t="n">
        <v>876</v>
      </c>
      <c r="P14" s="12" t="n">
        <f aca="false">IF(OR(N14="",O14=""),"",IFERROR(O14/N14*100,0))</f>
        <v>79.6363636363636</v>
      </c>
      <c r="Q14" s="10" t="n">
        <v>8</v>
      </c>
      <c r="R14" s="12" t="n">
        <f aca="false">IF(J14="","",Q14*J14)</f>
        <v>40</v>
      </c>
      <c r="S14" s="11"/>
      <c r="T14" s="12" t="str">
        <f aca="false">IF(OR(R14="",S14=""),"",IFERROR(S14/R14*100,0))</f>
        <v/>
      </c>
      <c r="U14" s="12" t="str">
        <f aca="false">IF(OR(O14="",L14="",M14="",S14="",M14=0),"",IFERROR(O14/(L14*60*S14/(M14*36))*100,0))</f>
        <v/>
      </c>
      <c r="V14" s="11"/>
      <c r="W14" s="12" t="n">
        <f aca="false">IF(O14="","",IFERROR(V14/O14*100,0))</f>
        <v>0</v>
      </c>
      <c r="X14" s="11"/>
      <c r="Y14" s="11"/>
      <c r="Z14" s="11"/>
      <c r="AA14" s="11"/>
      <c r="AB14" s="11"/>
      <c r="AC14" s="11"/>
      <c r="AD14" s="11"/>
      <c r="AE14" s="11"/>
      <c r="AF14" s="12" t="n">
        <f aca="false">IF(O14="","",SUM(X14:AE14))</f>
        <v>0</v>
      </c>
      <c r="AG14" s="12" t="n">
        <f aca="false">IF(O14="","",IFERROR(AF14/O14*1000,0))</f>
        <v>0</v>
      </c>
      <c r="AH14" s="11"/>
      <c r="AI14" s="11"/>
      <c r="AJ14" s="11"/>
      <c r="AK14" s="9"/>
      <c r="AL14" s="9"/>
      <c r="AM14" s="9"/>
    </row>
    <row r="15" customFormat="false" ht="15" hidden="false" customHeight="true" outlineLevel="0" collapsed="false">
      <c r="A15" s="6" t="n">
        <v>10</v>
      </c>
      <c r="B15" s="7" t="n">
        <v>46288</v>
      </c>
      <c r="C15" s="8"/>
      <c r="D15" s="8"/>
      <c r="E15" s="8"/>
      <c r="F15" s="9"/>
      <c r="G15" s="8" t="s">
        <v>65</v>
      </c>
      <c r="H15" s="10" t="str">
        <f aca="false">IFERROR(INDEX('Operator Master'!$B$5:$B$504,MATCH(G15,'Operator Master'!$A$5:$A$504,0)),"")</f>
        <v>MD. JAHIDUL ISLAM HOWLADER</v>
      </c>
      <c r="I15" s="9"/>
      <c r="J15" s="9" t="n">
        <v>9</v>
      </c>
      <c r="K15" s="8" t="s">
        <v>66</v>
      </c>
      <c r="L15" s="9" t="n">
        <v>555.555555555556</v>
      </c>
      <c r="M15" s="9" t="n">
        <v>43.78</v>
      </c>
      <c r="N15" s="11" t="n">
        <v>1700</v>
      </c>
      <c r="O15" s="11" t="n">
        <v>1187</v>
      </c>
      <c r="P15" s="12" t="n">
        <f aca="false">IF(OR(N15="",O15=""),"",IFERROR(O15/N15*100,0))</f>
        <v>69.8235294117647</v>
      </c>
      <c r="Q15" s="10" t="n">
        <v>8</v>
      </c>
      <c r="R15" s="12" t="n">
        <f aca="false">IF(J15="","",Q15*J15)</f>
        <v>72</v>
      </c>
      <c r="S15" s="11"/>
      <c r="T15" s="12" t="str">
        <f aca="false">IF(OR(R15="",S15=""),"",IFERROR(S15/R15*100,0))</f>
        <v/>
      </c>
      <c r="U15" s="12" t="str">
        <f aca="false">IF(OR(O15="",L15="",M15="",S15="",M15=0),"",IFERROR(O15/(L15*60*S15/(M15*36))*100,0))</f>
        <v/>
      </c>
      <c r="V15" s="11"/>
      <c r="W15" s="12" t="n">
        <f aca="false">IF(O15="","",IFERROR(V15/O15*100,0))</f>
        <v>0</v>
      </c>
      <c r="X15" s="11"/>
      <c r="Y15" s="11"/>
      <c r="Z15" s="11"/>
      <c r="AA15" s="11"/>
      <c r="AB15" s="11"/>
      <c r="AC15" s="11"/>
      <c r="AD15" s="11"/>
      <c r="AE15" s="11"/>
      <c r="AF15" s="12" t="n">
        <f aca="false">IF(O15="","",SUM(X15:AE15))</f>
        <v>0</v>
      </c>
      <c r="AG15" s="12" t="n">
        <f aca="false">IF(O15="","",IFERROR(AF15/O15*1000,0))</f>
        <v>0</v>
      </c>
      <c r="AH15" s="11"/>
      <c r="AI15" s="11"/>
      <c r="AJ15" s="11"/>
      <c r="AK15" s="9"/>
      <c r="AL15" s="9"/>
      <c r="AM15" s="9"/>
    </row>
    <row r="16" customFormat="false" ht="15" hidden="false" customHeight="true" outlineLevel="0" collapsed="false">
      <c r="A16" s="6" t="n">
        <v>11</v>
      </c>
      <c r="B16" s="7" t="n">
        <v>46288</v>
      </c>
      <c r="C16" s="8"/>
      <c r="D16" s="8"/>
      <c r="E16" s="8"/>
      <c r="F16" s="9"/>
      <c r="G16" s="8" t="s">
        <v>67</v>
      </c>
      <c r="H16" s="10" t="str">
        <f aca="false">IFERROR(INDEX('Operator Master'!$B$5:$B$504,MATCH(G16,'Operator Master'!$A$5:$A$504,0)),"")</f>
        <v>MD. RIPON MIA-2</v>
      </c>
      <c r="I16" s="9"/>
      <c r="J16" s="9" t="n">
        <v>10</v>
      </c>
      <c r="K16" s="8" t="s">
        <v>68</v>
      </c>
      <c r="L16" s="9" t="n">
        <v>530</v>
      </c>
      <c r="M16" s="9" t="n">
        <v>44.7</v>
      </c>
      <c r="N16" s="11" t="n">
        <v>1800</v>
      </c>
      <c r="O16" s="11" t="n">
        <v>1265</v>
      </c>
      <c r="P16" s="12" t="n">
        <f aca="false">IF(OR(N16="",O16=""),"",IFERROR(O16/N16*100,0))</f>
        <v>70.2777777777778</v>
      </c>
      <c r="Q16" s="10" t="n">
        <v>8</v>
      </c>
      <c r="R16" s="12" t="n">
        <f aca="false">IF(J16="","",Q16*J16)</f>
        <v>80</v>
      </c>
      <c r="S16" s="11"/>
      <c r="T16" s="12" t="str">
        <f aca="false">IF(OR(R16="",S16=""),"",IFERROR(S16/R16*100,0))</f>
        <v/>
      </c>
      <c r="U16" s="12" t="str">
        <f aca="false">IF(OR(O16="",L16="",M16="",S16="",M16=0),"",IFERROR(O16/(L16*60*S16/(M16*36))*100,0))</f>
        <v/>
      </c>
      <c r="V16" s="11"/>
      <c r="W16" s="12" t="n">
        <f aca="false">IF(O16="","",IFERROR(V16/O16*100,0))</f>
        <v>0</v>
      </c>
      <c r="X16" s="11"/>
      <c r="Y16" s="11"/>
      <c r="Z16" s="11"/>
      <c r="AA16" s="11"/>
      <c r="AB16" s="11"/>
      <c r="AC16" s="11"/>
      <c r="AD16" s="11"/>
      <c r="AE16" s="11"/>
      <c r="AF16" s="12" t="n">
        <f aca="false">IF(O16="","",SUM(X16:AE16))</f>
        <v>0</v>
      </c>
      <c r="AG16" s="12" t="n">
        <f aca="false">IF(O16="","",IFERROR(AF16/O16*1000,0))</f>
        <v>0</v>
      </c>
      <c r="AH16" s="11"/>
      <c r="AI16" s="11"/>
      <c r="AJ16" s="11"/>
      <c r="AK16" s="9"/>
      <c r="AL16" s="9"/>
      <c r="AM16" s="9"/>
    </row>
    <row r="17" customFormat="false" ht="15" hidden="false" customHeight="true" outlineLevel="0" collapsed="false">
      <c r="A17" s="6" t="n">
        <v>12</v>
      </c>
      <c r="B17" s="7" t="n">
        <v>46288</v>
      </c>
      <c r="C17" s="8"/>
      <c r="D17" s="8"/>
      <c r="E17" s="8"/>
      <c r="F17" s="9"/>
      <c r="G17" s="8" t="s">
        <v>69</v>
      </c>
      <c r="H17" s="10" t="str">
        <f aca="false">IFERROR(INDEX('Operator Master'!$B$5:$B$504,MATCH(G17,'Operator Master'!$A$5:$A$504,0)),"")</f>
        <v>GOULAM RABBANI</v>
      </c>
      <c r="I17" s="9"/>
      <c r="J17" s="9" t="n">
        <v>10</v>
      </c>
      <c r="K17" s="8" t="s">
        <v>70</v>
      </c>
      <c r="L17" s="9" t="n">
        <v>555</v>
      </c>
      <c r="M17" s="9" t="n">
        <v>41.9</v>
      </c>
      <c r="N17" s="11" t="n">
        <v>1700</v>
      </c>
      <c r="O17" s="11" t="n">
        <v>1292</v>
      </c>
      <c r="P17" s="12" t="n">
        <f aca="false">IF(OR(N17="",O17=""),"",IFERROR(O17/N17*100,0))</f>
        <v>76</v>
      </c>
      <c r="Q17" s="10" t="n">
        <v>8</v>
      </c>
      <c r="R17" s="12" t="n">
        <f aca="false">IF(J17="","",Q17*J17)</f>
        <v>80</v>
      </c>
      <c r="S17" s="11"/>
      <c r="T17" s="12" t="str">
        <f aca="false">IF(OR(R17="",S17=""),"",IFERROR(S17/R17*100,0))</f>
        <v/>
      </c>
      <c r="U17" s="12" t="str">
        <f aca="false">IF(OR(O17="",L17="",M17="",S17="",M17=0),"",IFERROR(O17/(L17*60*S17/(M17*36))*100,0))</f>
        <v/>
      </c>
      <c r="V17" s="11"/>
      <c r="W17" s="12" t="n">
        <f aca="false">IF(O17="","",IFERROR(V17/O17*100,0))</f>
        <v>0</v>
      </c>
      <c r="X17" s="11"/>
      <c r="Y17" s="11"/>
      <c r="Z17" s="11"/>
      <c r="AA17" s="11"/>
      <c r="AB17" s="11"/>
      <c r="AC17" s="11"/>
      <c r="AD17" s="11"/>
      <c r="AE17" s="11"/>
      <c r="AF17" s="12" t="n">
        <f aca="false">IF(O17="","",SUM(X17:AE17))</f>
        <v>0</v>
      </c>
      <c r="AG17" s="12" t="n">
        <f aca="false">IF(O17="","",IFERROR(AF17/O17*1000,0))</f>
        <v>0</v>
      </c>
      <c r="AH17" s="11"/>
      <c r="AI17" s="11"/>
      <c r="AJ17" s="11"/>
      <c r="AK17" s="9"/>
      <c r="AL17" s="9"/>
      <c r="AM17" s="9"/>
    </row>
    <row r="18" customFormat="false" ht="15" hidden="false" customHeight="true" outlineLevel="0" collapsed="false">
      <c r="A18" s="6" t="n">
        <v>13</v>
      </c>
      <c r="B18" s="7" t="n">
        <v>46288</v>
      </c>
      <c r="C18" s="8"/>
      <c r="D18" s="8"/>
      <c r="E18" s="8"/>
      <c r="F18" s="9"/>
      <c r="G18" s="8" t="s">
        <v>71</v>
      </c>
      <c r="H18" s="10" t="str">
        <f aca="false">IFERROR(INDEX('Operator Master'!$B$5:$B$504,MATCH(G18,'Operator Master'!$A$5:$A$504,0)),"")</f>
        <v>MD. HABIBUR RAHMAN</v>
      </c>
      <c r="I18" s="9"/>
      <c r="J18" s="9" t="n">
        <v>9</v>
      </c>
      <c r="K18" s="8" t="s">
        <v>72</v>
      </c>
      <c r="L18" s="9" t="n">
        <v>541.666666666667</v>
      </c>
      <c r="M18" s="9" t="n">
        <v>42.44</v>
      </c>
      <c r="N18" s="11" t="n">
        <v>1700</v>
      </c>
      <c r="O18" s="11" t="n">
        <v>1168</v>
      </c>
      <c r="P18" s="12" t="n">
        <f aca="false">IF(OR(N18="",O18=""),"",IFERROR(O18/N18*100,0))</f>
        <v>68.7058823529412</v>
      </c>
      <c r="Q18" s="10" t="n">
        <v>8</v>
      </c>
      <c r="R18" s="12" t="n">
        <f aca="false">IF(J18="","",Q18*J18)</f>
        <v>72</v>
      </c>
      <c r="S18" s="11"/>
      <c r="T18" s="12" t="str">
        <f aca="false">IF(OR(R18="",S18=""),"",IFERROR(S18/R18*100,0))</f>
        <v/>
      </c>
      <c r="U18" s="12" t="str">
        <f aca="false">IF(OR(O18="",L18="",M18="",S18="",M18=0),"",IFERROR(O18/(L18*60*S18/(M18*36))*100,0))</f>
        <v/>
      </c>
      <c r="V18" s="11"/>
      <c r="W18" s="12" t="n">
        <f aca="false">IF(O18="","",IFERROR(V18/O18*100,0))</f>
        <v>0</v>
      </c>
      <c r="X18" s="11"/>
      <c r="Y18" s="11"/>
      <c r="Z18" s="11"/>
      <c r="AA18" s="11"/>
      <c r="AB18" s="11"/>
      <c r="AC18" s="11"/>
      <c r="AD18" s="11"/>
      <c r="AE18" s="11"/>
      <c r="AF18" s="12" t="n">
        <f aca="false">IF(O18="","",SUM(X18:AE18))</f>
        <v>0</v>
      </c>
      <c r="AG18" s="12" t="n">
        <f aca="false">IF(O18="","",IFERROR(AF18/O18*1000,0))</f>
        <v>0</v>
      </c>
      <c r="AH18" s="11"/>
      <c r="AI18" s="11"/>
      <c r="AJ18" s="11"/>
      <c r="AK18" s="9"/>
      <c r="AL18" s="9"/>
      <c r="AM18" s="9"/>
    </row>
    <row r="19" customFormat="false" ht="15" hidden="false" customHeight="true" outlineLevel="0" collapsed="false">
      <c r="A19" s="6" t="n">
        <v>14</v>
      </c>
      <c r="B19" s="7" t="n">
        <v>46288</v>
      </c>
      <c r="C19" s="8"/>
      <c r="D19" s="8"/>
      <c r="E19" s="8"/>
      <c r="F19" s="9"/>
      <c r="G19" s="8" t="s">
        <v>73</v>
      </c>
      <c r="H19" s="10" t="str">
        <f aca="false">IFERROR(INDEX('Operator Master'!$B$5:$B$504,MATCH(G19,'Operator Master'!$A$5:$A$504,0)),"")</f>
        <v>MD. SAIFUL ISLAM-3</v>
      </c>
      <c r="I19" s="9"/>
      <c r="J19" s="9" t="n">
        <v>9</v>
      </c>
      <c r="K19" s="8" t="s">
        <v>74</v>
      </c>
      <c r="L19" s="9" t="n">
        <v>525</v>
      </c>
      <c r="M19" s="9" t="n">
        <v>39.22</v>
      </c>
      <c r="N19" s="11" t="n">
        <v>1600</v>
      </c>
      <c r="O19" s="11"/>
      <c r="P19" s="12" t="str">
        <f aca="false">IF(OR(N19="",O19=""),"",IFERROR(O19/N19*100,0))</f>
        <v/>
      </c>
      <c r="Q19" s="10" t="n">
        <v>8</v>
      </c>
      <c r="R19" s="12" t="n">
        <f aca="false">IF(J19="","",Q19*J19)</f>
        <v>72</v>
      </c>
      <c r="S19" s="11"/>
      <c r="T19" s="12" t="str">
        <f aca="false">IF(OR(R19="",S19=""),"",IFERROR(S19/R19*100,0))</f>
        <v/>
      </c>
      <c r="U19" s="12" t="str">
        <f aca="false">IF(OR(O19="",L19="",M19="",S19="",M19=0),"",IFERROR(O19/(L19*60*S19/(M19*36))*100,0))</f>
        <v/>
      </c>
      <c r="V19" s="11"/>
      <c r="W19" s="12" t="str">
        <f aca="false">IF(O19="","",IFERROR(V19/O19*100,0))</f>
        <v/>
      </c>
      <c r="X19" s="11"/>
      <c r="Y19" s="11"/>
      <c r="Z19" s="11"/>
      <c r="AA19" s="11"/>
      <c r="AB19" s="11"/>
      <c r="AC19" s="11"/>
      <c r="AD19" s="11"/>
      <c r="AE19" s="11"/>
      <c r="AF19" s="12" t="str">
        <f aca="false">IF(O19="","",SUM(X19:AE19))</f>
        <v/>
      </c>
      <c r="AG19" s="12" t="str">
        <f aca="false">IF(O19="","",IFERROR(AF19/O19*1000,0))</f>
        <v/>
      </c>
      <c r="AH19" s="11"/>
      <c r="AI19" s="11"/>
      <c r="AJ19" s="11"/>
      <c r="AK19" s="9"/>
      <c r="AL19" s="9"/>
      <c r="AM19" s="9"/>
    </row>
    <row r="20" customFormat="false" ht="15" hidden="false" customHeight="true" outlineLevel="0" collapsed="false">
      <c r="A20" s="6" t="n">
        <v>15</v>
      </c>
      <c r="B20" s="7" t="n">
        <v>46288</v>
      </c>
      <c r="C20" s="8"/>
      <c r="D20" s="8"/>
      <c r="E20" s="8"/>
      <c r="F20" s="9"/>
      <c r="G20" s="8" t="s">
        <v>75</v>
      </c>
      <c r="H20" s="10" t="str">
        <f aca="false">IFERROR(INDEX('Operator Master'!$B$5:$B$504,MATCH(G20,'Operator Master'!$A$5:$A$504,0)),"")</f>
        <v>MD. JAKIR HOSEN</v>
      </c>
      <c r="I20" s="9"/>
      <c r="J20" s="9" t="n">
        <v>10</v>
      </c>
      <c r="K20" s="8" t="s">
        <v>52</v>
      </c>
      <c r="L20" s="9" t="n">
        <v>537.5</v>
      </c>
      <c r="M20" s="9" t="n">
        <v>41.6</v>
      </c>
      <c r="N20" s="11" t="n">
        <v>1800</v>
      </c>
      <c r="O20" s="11"/>
      <c r="P20" s="12" t="str">
        <f aca="false">IF(OR(N20="",O20=""),"",IFERROR(O20/N20*100,0))</f>
        <v/>
      </c>
      <c r="Q20" s="10" t="n">
        <v>8</v>
      </c>
      <c r="R20" s="12" t="n">
        <f aca="false">IF(J20="","",Q20*J20)</f>
        <v>80</v>
      </c>
      <c r="S20" s="11"/>
      <c r="T20" s="12" t="str">
        <f aca="false">IF(OR(R20="",S20=""),"",IFERROR(S20/R20*100,0))</f>
        <v/>
      </c>
      <c r="U20" s="12" t="str">
        <f aca="false">IF(OR(O20="",L20="",M20="",S20="",M20=0),"",IFERROR(O20/(L20*60*S20/(M20*36))*100,0))</f>
        <v/>
      </c>
      <c r="V20" s="11"/>
      <c r="W20" s="12" t="str">
        <f aca="false">IF(O20="","",IFERROR(V20/O20*100,0))</f>
        <v/>
      </c>
      <c r="X20" s="11"/>
      <c r="Y20" s="11"/>
      <c r="Z20" s="11"/>
      <c r="AA20" s="11"/>
      <c r="AB20" s="11"/>
      <c r="AC20" s="11"/>
      <c r="AD20" s="11"/>
      <c r="AE20" s="11"/>
      <c r="AF20" s="12" t="str">
        <f aca="false">IF(O20="","",SUM(X20:AE20))</f>
        <v/>
      </c>
      <c r="AG20" s="12" t="str">
        <f aca="false">IF(O20="","",IFERROR(AF20/O20*1000,0))</f>
        <v/>
      </c>
      <c r="AH20" s="11"/>
      <c r="AI20" s="11"/>
      <c r="AJ20" s="11"/>
      <c r="AK20" s="9"/>
      <c r="AL20" s="9"/>
      <c r="AM20" s="9"/>
    </row>
    <row r="21" customFormat="false" ht="15" hidden="false" customHeight="true" outlineLevel="0" collapsed="false">
      <c r="A21" s="6" t="n">
        <v>16</v>
      </c>
      <c r="B21" s="7" t="n">
        <v>46288</v>
      </c>
      <c r="C21" s="8"/>
      <c r="D21" s="8"/>
      <c r="E21" s="8"/>
      <c r="F21" s="9"/>
      <c r="G21" s="8" t="s">
        <v>76</v>
      </c>
      <c r="H21" s="10" t="str">
        <f aca="false">IFERROR(INDEX('Operator Master'!$B$5:$B$504,MATCH(G21,'Operator Master'!$A$5:$A$504,0)),"")</f>
        <v>AZIZUL HAQUE</v>
      </c>
      <c r="I21" s="9"/>
      <c r="J21" s="9" t="n">
        <v>8</v>
      </c>
      <c r="K21" s="8" t="s">
        <v>77</v>
      </c>
      <c r="L21" s="9" t="n">
        <v>559.375</v>
      </c>
      <c r="M21" s="9" t="n">
        <v>41.75</v>
      </c>
      <c r="N21" s="11" t="n">
        <v>1500</v>
      </c>
      <c r="O21" s="11"/>
      <c r="P21" s="12" t="str">
        <f aca="false">IF(OR(N21="",O21=""),"",IFERROR(O21/N21*100,0))</f>
        <v/>
      </c>
      <c r="Q21" s="10" t="n">
        <v>8</v>
      </c>
      <c r="R21" s="12" t="n">
        <f aca="false">IF(J21="","",Q21*J21)</f>
        <v>64</v>
      </c>
      <c r="S21" s="11"/>
      <c r="T21" s="12" t="str">
        <f aca="false">IF(OR(R21="",S21=""),"",IFERROR(S21/R21*100,0))</f>
        <v/>
      </c>
      <c r="U21" s="12" t="str">
        <f aca="false">IF(OR(O21="",L21="",M21="",S21="",M21=0),"",IFERROR(O21/(L21*60*S21/(M21*36))*100,0))</f>
        <v/>
      </c>
      <c r="V21" s="11"/>
      <c r="W21" s="12" t="str">
        <f aca="false">IF(O21="","",IFERROR(V21/O21*100,0))</f>
        <v/>
      </c>
      <c r="X21" s="11"/>
      <c r="Y21" s="11"/>
      <c r="Z21" s="11"/>
      <c r="AA21" s="11"/>
      <c r="AB21" s="11"/>
      <c r="AC21" s="11"/>
      <c r="AD21" s="11"/>
      <c r="AE21" s="11"/>
      <c r="AF21" s="12" t="str">
        <f aca="false">IF(O21="","",SUM(X21:AE21))</f>
        <v/>
      </c>
      <c r="AG21" s="12" t="str">
        <f aca="false">IF(O21="","",IFERROR(AF21/O21*1000,0))</f>
        <v/>
      </c>
      <c r="AH21" s="11"/>
      <c r="AI21" s="11"/>
      <c r="AJ21" s="11"/>
      <c r="AK21" s="9"/>
      <c r="AL21" s="9"/>
      <c r="AM21" s="9"/>
    </row>
    <row r="22" customFormat="false" ht="15" hidden="false" customHeight="true" outlineLevel="0" collapsed="false">
      <c r="A22" s="6" t="n">
        <v>17</v>
      </c>
      <c r="B22" s="7" t="n">
        <v>46288</v>
      </c>
      <c r="C22" s="8"/>
      <c r="D22" s="8"/>
      <c r="E22" s="8"/>
      <c r="F22" s="9"/>
      <c r="G22" s="8" t="s">
        <v>78</v>
      </c>
      <c r="H22" s="10" t="str">
        <f aca="false">IFERROR(INDEX('Operator Master'!$B$5:$B$504,MATCH(G22,'Operator Master'!$A$5:$A$504,0)),"")</f>
        <v>MD. ANARUL ISLAM </v>
      </c>
      <c r="I22" s="9"/>
      <c r="J22" s="9" t="n">
        <v>8</v>
      </c>
      <c r="K22" s="8" t="s">
        <v>79</v>
      </c>
      <c r="L22" s="9" t="n">
        <v>553.125</v>
      </c>
      <c r="M22" s="9" t="n">
        <v>41.25</v>
      </c>
      <c r="N22" s="11" t="n">
        <v>1600</v>
      </c>
      <c r="O22" s="11"/>
      <c r="P22" s="12" t="str">
        <f aca="false">IF(OR(N22="",O22=""),"",IFERROR(O22/N22*100,0))</f>
        <v/>
      </c>
      <c r="Q22" s="10" t="n">
        <v>8</v>
      </c>
      <c r="R22" s="12" t="n">
        <f aca="false">IF(J22="","",Q22*J22)</f>
        <v>64</v>
      </c>
      <c r="S22" s="11"/>
      <c r="T22" s="12" t="str">
        <f aca="false">IF(OR(R22="",S22=""),"",IFERROR(S22/R22*100,0))</f>
        <v/>
      </c>
      <c r="U22" s="12" t="str">
        <f aca="false">IF(OR(O22="",L22="",M22="",S22="",M22=0),"",IFERROR(O22/(L22*60*S22/(M22*36))*100,0))</f>
        <v/>
      </c>
      <c r="V22" s="11"/>
      <c r="W22" s="12" t="str">
        <f aca="false">IF(O22="","",IFERROR(V22/O22*100,0))</f>
        <v/>
      </c>
      <c r="X22" s="11"/>
      <c r="Y22" s="11"/>
      <c r="Z22" s="11"/>
      <c r="AA22" s="11"/>
      <c r="AB22" s="11"/>
      <c r="AC22" s="11"/>
      <c r="AD22" s="11"/>
      <c r="AE22" s="11"/>
      <c r="AF22" s="12" t="str">
        <f aca="false">IF(O22="","",SUM(X22:AE22))</f>
        <v/>
      </c>
      <c r="AG22" s="12" t="str">
        <f aca="false">IF(O22="","",IFERROR(AF22/O22*1000,0))</f>
        <v/>
      </c>
      <c r="AH22" s="11"/>
      <c r="AI22" s="11"/>
      <c r="AJ22" s="11"/>
      <c r="AK22" s="9"/>
      <c r="AL22" s="9"/>
      <c r="AM22" s="9"/>
    </row>
    <row r="23" customFormat="false" ht="15" hidden="false" customHeight="true" outlineLevel="0" collapsed="false">
      <c r="A23" s="6" t="n">
        <v>18</v>
      </c>
      <c r="B23" s="7" t="n">
        <v>46288</v>
      </c>
      <c r="C23" s="8"/>
      <c r="D23" s="8"/>
      <c r="E23" s="8"/>
      <c r="F23" s="9"/>
      <c r="G23" s="8" t="s">
        <v>80</v>
      </c>
      <c r="H23" s="10" t="str">
        <f aca="false">IFERROR(INDEX('Operator Master'!$B$5:$B$504,MATCH(G23,'Operator Master'!$A$5:$A$504,0)),"")</f>
        <v>MD. ROSHID</v>
      </c>
      <c r="I23" s="9"/>
      <c r="J23" s="9" t="n">
        <v>9</v>
      </c>
      <c r="K23" s="8" t="s">
        <v>81</v>
      </c>
      <c r="L23" s="9" t="n">
        <v>533.333333333333</v>
      </c>
      <c r="M23" s="9" t="n">
        <v>44.67</v>
      </c>
      <c r="N23" s="11" t="n">
        <v>1600</v>
      </c>
      <c r="O23" s="11"/>
      <c r="P23" s="12" t="str">
        <f aca="false">IF(OR(N23="",O23=""),"",IFERROR(O23/N23*100,0))</f>
        <v/>
      </c>
      <c r="Q23" s="10" t="n">
        <v>8</v>
      </c>
      <c r="R23" s="12" t="n">
        <f aca="false">IF(J23="","",Q23*J23)</f>
        <v>72</v>
      </c>
      <c r="S23" s="11"/>
      <c r="T23" s="12" t="str">
        <f aca="false">IF(OR(R23="",S23=""),"",IFERROR(S23/R23*100,0))</f>
        <v/>
      </c>
      <c r="U23" s="12" t="str">
        <f aca="false">IF(OR(O23="",L23="",M23="",S23="",M23=0),"",IFERROR(O23/(L23*60*S23/(M23*36))*100,0))</f>
        <v/>
      </c>
      <c r="V23" s="11"/>
      <c r="W23" s="12" t="str">
        <f aca="false">IF(O23="","",IFERROR(V23/O23*100,0))</f>
        <v/>
      </c>
      <c r="X23" s="11"/>
      <c r="Y23" s="11"/>
      <c r="Z23" s="11"/>
      <c r="AA23" s="11"/>
      <c r="AB23" s="11"/>
      <c r="AC23" s="11"/>
      <c r="AD23" s="11"/>
      <c r="AE23" s="11"/>
      <c r="AF23" s="12" t="str">
        <f aca="false">IF(O23="","",SUM(X23:AE23))</f>
        <v/>
      </c>
      <c r="AG23" s="12" t="str">
        <f aca="false">IF(O23="","",IFERROR(AF23/O23*1000,0))</f>
        <v/>
      </c>
      <c r="AH23" s="11"/>
      <c r="AI23" s="11"/>
      <c r="AJ23" s="11"/>
      <c r="AK23" s="9"/>
      <c r="AL23" s="9"/>
      <c r="AM23" s="9"/>
    </row>
    <row r="24" customFormat="false" ht="15" hidden="false" customHeight="true" outlineLevel="0" collapsed="false">
      <c r="A24" s="6" t="n">
        <v>19</v>
      </c>
      <c r="B24" s="7" t="n">
        <v>46288</v>
      </c>
      <c r="C24" s="8"/>
      <c r="D24" s="8"/>
      <c r="E24" s="8"/>
      <c r="F24" s="9"/>
      <c r="G24" s="8" t="s">
        <v>82</v>
      </c>
      <c r="H24" s="10" t="str">
        <f aca="false">IFERROR(INDEX('Operator Master'!$B$5:$B$504,MATCH(G24,'Operator Master'!$A$5:$A$504,0)),"")</f>
        <v>MD. AZIM </v>
      </c>
      <c r="I24" s="9"/>
      <c r="J24" s="9" t="n">
        <v>10</v>
      </c>
      <c r="K24" s="8" t="s">
        <v>83</v>
      </c>
      <c r="L24" s="9" t="n">
        <v>552.5</v>
      </c>
      <c r="M24" s="9" t="n">
        <v>43.4</v>
      </c>
      <c r="N24" s="11" t="n">
        <v>1800</v>
      </c>
      <c r="O24" s="11"/>
      <c r="P24" s="12" t="str">
        <f aca="false">IF(OR(N24="",O24=""),"",IFERROR(O24/N24*100,0))</f>
        <v/>
      </c>
      <c r="Q24" s="10" t="n">
        <v>8</v>
      </c>
      <c r="R24" s="12" t="n">
        <f aca="false">IF(J24="","",Q24*J24)</f>
        <v>80</v>
      </c>
      <c r="S24" s="11"/>
      <c r="T24" s="12" t="str">
        <f aca="false">IF(OR(R24="",S24=""),"",IFERROR(S24/R24*100,0))</f>
        <v/>
      </c>
      <c r="U24" s="12" t="str">
        <f aca="false">IF(OR(O24="",L24="",M24="",S24="",M24=0),"",IFERROR(O24/(L24*60*S24/(M24*36))*100,0))</f>
        <v/>
      </c>
      <c r="V24" s="11"/>
      <c r="W24" s="12" t="str">
        <f aca="false">IF(O24="","",IFERROR(V24/O24*100,0))</f>
        <v/>
      </c>
      <c r="X24" s="11"/>
      <c r="Y24" s="11"/>
      <c r="Z24" s="11"/>
      <c r="AA24" s="11"/>
      <c r="AB24" s="11"/>
      <c r="AC24" s="11"/>
      <c r="AD24" s="11"/>
      <c r="AE24" s="11"/>
      <c r="AF24" s="12" t="str">
        <f aca="false">IF(O24="","",SUM(X24:AE24))</f>
        <v/>
      </c>
      <c r="AG24" s="12" t="str">
        <f aca="false">IF(O24="","",IFERROR(AF24/O24*1000,0))</f>
        <v/>
      </c>
      <c r="AH24" s="11"/>
      <c r="AI24" s="11"/>
      <c r="AJ24" s="11"/>
      <c r="AK24" s="9"/>
      <c r="AL24" s="9"/>
      <c r="AM24" s="9"/>
    </row>
    <row r="25" customFormat="false" ht="15" hidden="false" customHeight="true" outlineLevel="0" collapsed="false">
      <c r="A25" s="6" t="n">
        <v>20</v>
      </c>
      <c r="B25" s="7" t="n">
        <v>46288</v>
      </c>
      <c r="C25" s="8"/>
      <c r="D25" s="8"/>
      <c r="E25" s="8"/>
      <c r="F25" s="9"/>
      <c r="G25" s="8" t="s">
        <v>84</v>
      </c>
      <c r="H25" s="10" t="str">
        <f aca="false">IFERROR(INDEX('Operator Master'!$B$5:$B$504,MATCH(G25,'Operator Master'!$A$5:$A$504,0)),"")</f>
        <v>MD. MOTALEB HOSEN</v>
      </c>
      <c r="I25" s="9"/>
      <c r="J25" s="9" t="n">
        <v>10</v>
      </c>
      <c r="K25" s="8" t="s">
        <v>85</v>
      </c>
      <c r="L25" s="9" t="n">
        <v>527.5</v>
      </c>
      <c r="M25" s="9" t="n">
        <v>44.8</v>
      </c>
      <c r="N25" s="11" t="n">
        <v>1600</v>
      </c>
      <c r="O25" s="11"/>
      <c r="P25" s="12" t="str">
        <f aca="false">IF(OR(N25="",O25=""),"",IFERROR(O25/N25*100,0))</f>
        <v/>
      </c>
      <c r="Q25" s="10" t="n">
        <v>8</v>
      </c>
      <c r="R25" s="12" t="n">
        <f aca="false">IF(J25="","",Q25*J25)</f>
        <v>80</v>
      </c>
      <c r="S25" s="11"/>
      <c r="T25" s="12" t="str">
        <f aca="false">IF(OR(R25="",S25=""),"",IFERROR(S25/R25*100,0))</f>
        <v/>
      </c>
      <c r="U25" s="12" t="str">
        <f aca="false">IF(OR(O25="",L25="",M25="",S25="",M25=0),"",IFERROR(O25/(L25*60*S25/(M25*36))*100,0))</f>
        <v/>
      </c>
      <c r="V25" s="11"/>
      <c r="W25" s="12" t="str">
        <f aca="false">IF(O25="","",IFERROR(V25/O25*100,0))</f>
        <v/>
      </c>
      <c r="X25" s="11"/>
      <c r="Y25" s="11"/>
      <c r="Z25" s="11"/>
      <c r="AA25" s="11"/>
      <c r="AB25" s="11"/>
      <c r="AC25" s="11"/>
      <c r="AD25" s="11"/>
      <c r="AE25" s="11"/>
      <c r="AF25" s="12" t="str">
        <f aca="false">IF(O25="","",SUM(X25:AE25))</f>
        <v/>
      </c>
      <c r="AG25" s="12" t="str">
        <f aca="false">IF(O25="","",IFERROR(AF25/O25*1000,0))</f>
        <v/>
      </c>
      <c r="AH25" s="11"/>
      <c r="AI25" s="11"/>
      <c r="AJ25" s="11"/>
      <c r="AK25" s="9"/>
      <c r="AL25" s="9"/>
      <c r="AM25" s="9"/>
    </row>
    <row r="26" customFormat="false" ht="15" hidden="false" customHeight="true" outlineLevel="0" collapsed="false">
      <c r="A26" s="6" t="n">
        <v>21</v>
      </c>
      <c r="B26" s="7" t="n">
        <v>46288</v>
      </c>
      <c r="C26" s="8"/>
      <c r="D26" s="8"/>
      <c r="E26" s="8"/>
      <c r="F26" s="9"/>
      <c r="G26" s="8" t="s">
        <v>86</v>
      </c>
      <c r="H26" s="10" t="str">
        <f aca="false">IFERROR(INDEX('Operator Master'!$B$5:$B$504,MATCH(G26,'Operator Master'!$A$5:$A$504,0)),"")</f>
        <v>MD. KAWSAR ALI</v>
      </c>
      <c r="I26" s="9"/>
      <c r="J26" s="9" t="n">
        <v>10</v>
      </c>
      <c r="K26" s="8" t="s">
        <v>70</v>
      </c>
      <c r="L26" s="9" t="n">
        <v>555</v>
      </c>
      <c r="M26" s="9" t="n">
        <v>41.8</v>
      </c>
      <c r="N26" s="11" t="n">
        <v>1900</v>
      </c>
      <c r="O26" s="11"/>
      <c r="P26" s="12" t="str">
        <f aca="false">IF(OR(N26="",O26=""),"",IFERROR(O26/N26*100,0))</f>
        <v/>
      </c>
      <c r="Q26" s="10" t="n">
        <v>8</v>
      </c>
      <c r="R26" s="12" t="n">
        <f aca="false">IF(J26="","",Q26*J26)</f>
        <v>80</v>
      </c>
      <c r="S26" s="11"/>
      <c r="T26" s="12" t="str">
        <f aca="false">IF(OR(R26="",S26=""),"",IFERROR(S26/R26*100,0))</f>
        <v/>
      </c>
      <c r="U26" s="12" t="str">
        <f aca="false">IF(OR(O26="",L26="",M26="",S26="",M26=0),"",IFERROR(O26/(L26*60*S26/(M26*36))*100,0))</f>
        <v/>
      </c>
      <c r="V26" s="11"/>
      <c r="W26" s="12" t="str">
        <f aca="false">IF(O26="","",IFERROR(V26/O26*100,0))</f>
        <v/>
      </c>
      <c r="X26" s="11"/>
      <c r="Y26" s="11"/>
      <c r="Z26" s="11"/>
      <c r="AA26" s="11"/>
      <c r="AB26" s="11"/>
      <c r="AC26" s="11"/>
      <c r="AD26" s="11"/>
      <c r="AE26" s="11"/>
      <c r="AF26" s="12" t="str">
        <f aca="false">IF(O26="","",SUM(X26:AE26))</f>
        <v/>
      </c>
      <c r="AG26" s="12" t="str">
        <f aca="false">IF(O26="","",IFERROR(AF26/O26*1000,0))</f>
        <v/>
      </c>
      <c r="AH26" s="11"/>
      <c r="AI26" s="11"/>
      <c r="AJ26" s="11"/>
      <c r="AK26" s="9"/>
      <c r="AL26" s="9"/>
      <c r="AM26" s="9"/>
    </row>
    <row r="27" customFormat="false" ht="15" hidden="false" customHeight="true" outlineLevel="0" collapsed="false">
      <c r="A27" s="6" t="n">
        <v>22</v>
      </c>
      <c r="B27" s="7" t="n">
        <v>46288</v>
      </c>
      <c r="C27" s="8"/>
      <c r="D27" s="8"/>
      <c r="E27" s="8"/>
      <c r="F27" s="9"/>
      <c r="G27" s="8" t="s">
        <v>87</v>
      </c>
      <c r="H27" s="10" t="str">
        <f aca="false">IFERROR(INDEX('Operator Master'!$B$5:$B$504,MATCH(G27,'Operator Master'!$A$5:$A$504,0)),"")</f>
        <v>MD. FARMAN ALI</v>
      </c>
      <c r="I27" s="9"/>
      <c r="J27" s="9" t="n">
        <v>9</v>
      </c>
      <c r="K27" s="8" t="s">
        <v>88</v>
      </c>
      <c r="L27" s="9" t="n">
        <v>569.444444444445</v>
      </c>
      <c r="M27" s="9" t="n">
        <v>42.22</v>
      </c>
      <c r="N27" s="11" t="n">
        <v>1700</v>
      </c>
      <c r="O27" s="11"/>
      <c r="P27" s="12" t="str">
        <f aca="false">IF(OR(N27="",O27=""),"",IFERROR(O27/N27*100,0))</f>
        <v/>
      </c>
      <c r="Q27" s="10" t="n">
        <v>8</v>
      </c>
      <c r="R27" s="12" t="n">
        <f aca="false">IF(J27="","",Q27*J27)</f>
        <v>72</v>
      </c>
      <c r="S27" s="11"/>
      <c r="T27" s="12" t="str">
        <f aca="false">IF(OR(R27="",S27=""),"",IFERROR(S27/R27*100,0))</f>
        <v/>
      </c>
      <c r="U27" s="12" t="str">
        <f aca="false">IF(OR(O27="",L27="",M27="",S27="",M27=0),"",IFERROR(O27/(L27*60*S27/(M27*36))*100,0))</f>
        <v/>
      </c>
      <c r="V27" s="11"/>
      <c r="W27" s="12" t="str">
        <f aca="false">IF(O27="","",IFERROR(V27/O27*100,0))</f>
        <v/>
      </c>
      <c r="X27" s="11"/>
      <c r="Y27" s="11"/>
      <c r="Z27" s="11"/>
      <c r="AA27" s="11"/>
      <c r="AB27" s="11"/>
      <c r="AC27" s="11"/>
      <c r="AD27" s="11"/>
      <c r="AE27" s="11"/>
      <c r="AF27" s="12" t="str">
        <f aca="false">IF(O27="","",SUM(X27:AE27))</f>
        <v/>
      </c>
      <c r="AG27" s="12" t="str">
        <f aca="false">IF(O27="","",IFERROR(AF27/O27*1000,0))</f>
        <v/>
      </c>
      <c r="AH27" s="11"/>
      <c r="AI27" s="11"/>
      <c r="AJ27" s="11"/>
      <c r="AK27" s="9"/>
      <c r="AL27" s="9"/>
      <c r="AM27" s="9"/>
    </row>
    <row r="28" customFormat="false" ht="15" hidden="false" customHeight="true" outlineLevel="0" collapsed="false">
      <c r="A28" s="6" t="n">
        <v>23</v>
      </c>
      <c r="B28" s="7" t="n">
        <v>46288</v>
      </c>
      <c r="C28" s="8"/>
      <c r="D28" s="8"/>
      <c r="E28" s="8"/>
      <c r="F28" s="9"/>
      <c r="G28" s="8" t="s">
        <v>89</v>
      </c>
      <c r="H28" s="10" t="str">
        <f aca="false">IFERROR(INDEX('Operator Master'!$B$5:$B$504,MATCH(G28,'Operator Master'!$A$5:$A$504,0)),"")</f>
        <v>MD. JULHAS UDDIN</v>
      </c>
      <c r="I28" s="9"/>
      <c r="J28" s="9" t="n">
        <v>9</v>
      </c>
      <c r="K28" s="8" t="s">
        <v>90</v>
      </c>
      <c r="L28" s="9" t="n">
        <v>505.555555555556</v>
      </c>
      <c r="M28" s="9" t="n">
        <v>44.81</v>
      </c>
      <c r="N28" s="11" t="n">
        <v>1500</v>
      </c>
      <c r="O28" s="11"/>
      <c r="P28" s="12" t="str">
        <f aca="false">IF(OR(N28="",O28=""),"",IFERROR(O28/N28*100,0))</f>
        <v/>
      </c>
      <c r="Q28" s="10" t="n">
        <v>8</v>
      </c>
      <c r="R28" s="12" t="n">
        <f aca="false">IF(J28="","",Q28*J28)</f>
        <v>72</v>
      </c>
      <c r="S28" s="11"/>
      <c r="T28" s="12" t="str">
        <f aca="false">IF(OR(R28="",S28=""),"",IFERROR(S28/R28*100,0))</f>
        <v/>
      </c>
      <c r="U28" s="12" t="str">
        <f aca="false">IF(OR(O28="",L28="",M28="",S28="",M28=0),"",IFERROR(O28/(L28*60*S28/(M28*36))*100,0))</f>
        <v/>
      </c>
      <c r="V28" s="11"/>
      <c r="W28" s="12" t="str">
        <f aca="false">IF(O28="","",IFERROR(V28/O28*100,0))</f>
        <v/>
      </c>
      <c r="X28" s="11"/>
      <c r="Y28" s="11"/>
      <c r="Z28" s="11"/>
      <c r="AA28" s="11"/>
      <c r="AB28" s="11"/>
      <c r="AC28" s="11"/>
      <c r="AD28" s="11"/>
      <c r="AE28" s="11"/>
      <c r="AF28" s="12" t="str">
        <f aca="false">IF(O28="","",SUM(X28:AE28))</f>
        <v/>
      </c>
      <c r="AG28" s="12" t="str">
        <f aca="false">IF(O28="","",IFERROR(AF28/O28*1000,0))</f>
        <v/>
      </c>
      <c r="AH28" s="11"/>
      <c r="AI28" s="11"/>
      <c r="AJ28" s="11"/>
      <c r="AK28" s="9"/>
      <c r="AL28" s="9"/>
      <c r="AM28" s="9"/>
    </row>
    <row r="29" customFormat="false" ht="15" hidden="false" customHeight="true" outlineLevel="0" collapsed="false">
      <c r="A29" s="6" t="n">
        <v>24</v>
      </c>
      <c r="B29" s="7" t="n">
        <v>46288</v>
      </c>
      <c r="C29" s="8"/>
      <c r="D29" s="8"/>
      <c r="E29" s="8"/>
      <c r="F29" s="9"/>
      <c r="G29" s="8" t="s">
        <v>91</v>
      </c>
      <c r="H29" s="10" t="str">
        <f aca="false">IFERROR(INDEX('Operator Master'!$B$5:$B$504,MATCH(G29,'Operator Master'!$A$5:$A$504,0)),"")</f>
        <v>MD. ABDUL AWAL</v>
      </c>
      <c r="I29" s="9"/>
      <c r="J29" s="9" t="n">
        <v>7</v>
      </c>
      <c r="K29" s="8" t="s">
        <v>92</v>
      </c>
      <c r="L29" s="9" t="n">
        <v>539.285714285714</v>
      </c>
      <c r="M29" s="9" t="n">
        <v>40.43</v>
      </c>
      <c r="N29" s="11" t="n">
        <v>1400</v>
      </c>
      <c r="O29" s="11"/>
      <c r="P29" s="12" t="str">
        <f aca="false">IF(OR(N29="",O29=""),"",IFERROR(O29/N29*100,0))</f>
        <v/>
      </c>
      <c r="Q29" s="10" t="n">
        <v>8</v>
      </c>
      <c r="R29" s="12" t="n">
        <f aca="false">IF(J29="","",Q29*J29)</f>
        <v>56</v>
      </c>
      <c r="S29" s="11"/>
      <c r="T29" s="12" t="str">
        <f aca="false">IF(OR(R29="",S29=""),"",IFERROR(S29/R29*100,0))</f>
        <v/>
      </c>
      <c r="U29" s="12" t="str">
        <f aca="false">IF(OR(O29="",L29="",M29="",S29="",M29=0),"",IFERROR(O29/(L29*60*S29/(M29*36))*100,0))</f>
        <v/>
      </c>
      <c r="V29" s="11"/>
      <c r="W29" s="12" t="str">
        <f aca="false">IF(O29="","",IFERROR(V29/O29*100,0))</f>
        <v/>
      </c>
      <c r="X29" s="11"/>
      <c r="Y29" s="11"/>
      <c r="Z29" s="11"/>
      <c r="AA29" s="11"/>
      <c r="AB29" s="11"/>
      <c r="AC29" s="11"/>
      <c r="AD29" s="11"/>
      <c r="AE29" s="11"/>
      <c r="AF29" s="12" t="str">
        <f aca="false">IF(O29="","",SUM(X29:AE29))</f>
        <v/>
      </c>
      <c r="AG29" s="12" t="str">
        <f aca="false">IF(O29="","",IFERROR(AF29/O29*1000,0))</f>
        <v/>
      </c>
      <c r="AH29" s="11"/>
      <c r="AI29" s="11"/>
      <c r="AJ29" s="11"/>
      <c r="AK29" s="9"/>
      <c r="AL29" s="9"/>
      <c r="AM29" s="9"/>
    </row>
    <row r="30" customFormat="false" ht="15" hidden="false" customHeight="true" outlineLevel="0" collapsed="false">
      <c r="A30" s="6" t="n">
        <v>25</v>
      </c>
      <c r="B30" s="7" t="n">
        <v>46288</v>
      </c>
      <c r="C30" s="8"/>
      <c r="D30" s="8"/>
      <c r="E30" s="8"/>
      <c r="F30" s="9"/>
      <c r="G30" s="8" t="s">
        <v>93</v>
      </c>
      <c r="H30" s="10" t="str">
        <f aca="false">IFERROR(INDEX('Operator Master'!$B$5:$B$504,MATCH(G30,'Operator Master'!$A$5:$A$504,0)),"")</f>
        <v>MD. DULU MIA</v>
      </c>
      <c r="I30" s="9"/>
      <c r="J30" s="9" t="n">
        <v>8</v>
      </c>
      <c r="K30" s="8" t="s">
        <v>94</v>
      </c>
      <c r="L30" s="9" t="n">
        <v>540.625</v>
      </c>
      <c r="M30" s="9" t="n">
        <v>42.63</v>
      </c>
      <c r="N30" s="11" t="n">
        <v>1500</v>
      </c>
      <c r="O30" s="11"/>
      <c r="P30" s="12" t="str">
        <f aca="false">IF(OR(N30="",O30=""),"",IFERROR(O30/N30*100,0))</f>
        <v/>
      </c>
      <c r="Q30" s="10" t="n">
        <v>8</v>
      </c>
      <c r="R30" s="12" t="n">
        <f aca="false">IF(J30="","",Q30*J30)</f>
        <v>64</v>
      </c>
      <c r="S30" s="11"/>
      <c r="T30" s="12" t="str">
        <f aca="false">IF(OR(R30="",S30=""),"",IFERROR(S30/R30*100,0))</f>
        <v/>
      </c>
      <c r="U30" s="12" t="str">
        <f aca="false">IF(OR(O30="",L30="",M30="",S30="",M30=0),"",IFERROR(O30/(L30*60*S30/(M30*36))*100,0))</f>
        <v/>
      </c>
      <c r="V30" s="11"/>
      <c r="W30" s="12" t="str">
        <f aca="false">IF(O30="","",IFERROR(V30/O30*100,0))</f>
        <v/>
      </c>
      <c r="X30" s="11"/>
      <c r="Y30" s="11"/>
      <c r="Z30" s="11"/>
      <c r="AA30" s="11"/>
      <c r="AB30" s="11"/>
      <c r="AC30" s="11"/>
      <c r="AD30" s="11"/>
      <c r="AE30" s="11"/>
      <c r="AF30" s="12" t="str">
        <f aca="false">IF(O30="","",SUM(X30:AE30))</f>
        <v/>
      </c>
      <c r="AG30" s="12" t="str">
        <f aca="false">IF(O30="","",IFERROR(AF30/O30*1000,0))</f>
        <v/>
      </c>
      <c r="AH30" s="11"/>
      <c r="AI30" s="11"/>
      <c r="AJ30" s="11"/>
      <c r="AK30" s="9"/>
      <c r="AL30" s="9"/>
      <c r="AM30" s="9"/>
    </row>
    <row r="31" customFormat="false" ht="15" hidden="false" customHeight="true" outlineLevel="0" collapsed="false">
      <c r="A31" s="6" t="n">
        <v>26</v>
      </c>
      <c r="B31" s="7" t="n">
        <v>46288</v>
      </c>
      <c r="C31" s="8"/>
      <c r="D31" s="8"/>
      <c r="E31" s="8"/>
      <c r="F31" s="9"/>
      <c r="G31" s="8" t="s">
        <v>95</v>
      </c>
      <c r="H31" s="10" t="str">
        <f aca="false">IFERROR(INDEX('Operator Master'!$B$5:$B$504,MATCH(G31,'Operator Master'!$A$5:$A$504,0)),"")</f>
        <v>SREE SUSANTO CHANDRA</v>
      </c>
      <c r="I31" s="9"/>
      <c r="J31" s="9" t="n">
        <v>8</v>
      </c>
      <c r="K31" s="8" t="s">
        <v>96</v>
      </c>
      <c r="L31" s="9" t="n">
        <v>543.75</v>
      </c>
      <c r="M31" s="9" t="n">
        <v>42.5</v>
      </c>
      <c r="N31" s="11" t="n">
        <v>1500</v>
      </c>
      <c r="O31" s="11"/>
      <c r="P31" s="12" t="str">
        <f aca="false">IF(OR(N31="",O31=""),"",IFERROR(O31/N31*100,0))</f>
        <v/>
      </c>
      <c r="Q31" s="10" t="n">
        <v>8</v>
      </c>
      <c r="R31" s="12" t="n">
        <f aca="false">IF(J31="","",Q31*J31)</f>
        <v>64</v>
      </c>
      <c r="S31" s="11"/>
      <c r="T31" s="12" t="str">
        <f aca="false">IF(OR(R31="",S31=""),"",IFERROR(S31/R31*100,0))</f>
        <v/>
      </c>
      <c r="U31" s="12" t="str">
        <f aca="false">IF(OR(O31="",L31="",M31="",S31="",M31=0),"",IFERROR(O31/(L31*60*S31/(M31*36))*100,0))</f>
        <v/>
      </c>
      <c r="V31" s="11"/>
      <c r="W31" s="12" t="str">
        <f aca="false">IF(O31="","",IFERROR(V31/O31*100,0))</f>
        <v/>
      </c>
      <c r="X31" s="11"/>
      <c r="Y31" s="11"/>
      <c r="Z31" s="11"/>
      <c r="AA31" s="11"/>
      <c r="AB31" s="11"/>
      <c r="AC31" s="11"/>
      <c r="AD31" s="11"/>
      <c r="AE31" s="11"/>
      <c r="AF31" s="12" t="str">
        <f aca="false">IF(O31="","",SUM(X31:AE31))</f>
        <v/>
      </c>
      <c r="AG31" s="12" t="str">
        <f aca="false">IF(O31="","",IFERROR(AF31/O31*1000,0))</f>
        <v/>
      </c>
      <c r="AH31" s="11"/>
      <c r="AI31" s="11"/>
      <c r="AJ31" s="11"/>
      <c r="AK31" s="9"/>
      <c r="AL31" s="9"/>
      <c r="AM31" s="9"/>
    </row>
    <row r="32" customFormat="false" ht="15" hidden="false" customHeight="true" outlineLevel="0" collapsed="false">
      <c r="A32" s="6" t="n">
        <v>27</v>
      </c>
      <c r="B32" s="7" t="n">
        <v>46288</v>
      </c>
      <c r="C32" s="8"/>
      <c r="D32" s="8"/>
      <c r="E32" s="8"/>
      <c r="F32" s="9"/>
      <c r="G32" s="8" t="s">
        <v>97</v>
      </c>
      <c r="H32" s="10" t="str">
        <f aca="false">IFERROR(INDEX('Operator Master'!$B$5:$B$504,MATCH(G32,'Operator Master'!$A$5:$A$504,0)),"")</f>
        <v>MD. ASHRAFUL ISLAM</v>
      </c>
      <c r="I32" s="9"/>
      <c r="J32" s="9"/>
      <c r="K32" s="8"/>
      <c r="L32" s="9" t="n">
        <v>545</v>
      </c>
      <c r="M32" s="9" t="n">
        <v>41.8</v>
      </c>
      <c r="N32" s="11"/>
      <c r="O32" s="11"/>
      <c r="P32" s="12" t="str">
        <f aca="false">IF(OR(N32="",O32=""),"",IFERROR(O32/N32*100,0))</f>
        <v/>
      </c>
      <c r="Q32" s="10" t="n">
        <v>8</v>
      </c>
      <c r="R32" s="12" t="str">
        <f aca="false">IF(J32="","",Q32*J32)</f>
        <v/>
      </c>
      <c r="S32" s="11"/>
      <c r="T32" s="12" t="str">
        <f aca="false">IF(OR(R32="",S32=""),"",IFERROR(S32/R32*100,0))</f>
        <v/>
      </c>
      <c r="U32" s="12" t="str">
        <f aca="false">IF(OR(O32="",L32="",M32="",S32="",M32=0),"",IFERROR(O32/(L32*60*S32/(M32*36))*100,0))</f>
        <v/>
      </c>
      <c r="V32" s="11"/>
      <c r="W32" s="12" t="str">
        <f aca="false">IF(O32="","",IFERROR(V32/O32*100,0))</f>
        <v/>
      </c>
      <c r="X32" s="11"/>
      <c r="Y32" s="11"/>
      <c r="Z32" s="11"/>
      <c r="AA32" s="11"/>
      <c r="AB32" s="11"/>
      <c r="AC32" s="11"/>
      <c r="AD32" s="11"/>
      <c r="AE32" s="11"/>
      <c r="AF32" s="12" t="str">
        <f aca="false">IF(O32="","",SUM(X32:AE32))</f>
        <v/>
      </c>
      <c r="AG32" s="12" t="str">
        <f aca="false">IF(O32="","",IFERROR(AF32/O32*1000,0))</f>
        <v/>
      </c>
      <c r="AH32" s="11"/>
      <c r="AI32" s="11"/>
      <c r="AJ32" s="11"/>
      <c r="AK32" s="9"/>
      <c r="AL32" s="9"/>
      <c r="AM32" s="9"/>
    </row>
    <row r="33" customFormat="false" ht="15" hidden="false" customHeight="true" outlineLevel="0" collapsed="false">
      <c r="A33" s="6" t="n">
        <v>28</v>
      </c>
      <c r="B33" s="7" t="n">
        <v>46288</v>
      </c>
      <c r="C33" s="8"/>
      <c r="D33" s="8"/>
      <c r="E33" s="8"/>
      <c r="F33" s="9"/>
      <c r="G33" s="8" t="s">
        <v>98</v>
      </c>
      <c r="H33" s="10" t="str">
        <f aca="false">IFERROR(INDEX('Operator Master'!$B$5:$B$504,MATCH(G33,'Operator Master'!$A$5:$A$504,0)),"")</f>
        <v>MD. ASRAF AKANDA</v>
      </c>
      <c r="I33" s="9"/>
      <c r="J33" s="9"/>
      <c r="K33" s="8"/>
      <c r="L33" s="9" t="n">
        <v>555.555555555556</v>
      </c>
      <c r="M33" s="9" t="n">
        <v>43.78</v>
      </c>
      <c r="N33" s="11"/>
      <c r="O33" s="11"/>
      <c r="P33" s="12" t="str">
        <f aca="false">IF(OR(N33="",O33=""),"",IFERROR(O33/N33*100,0))</f>
        <v/>
      </c>
      <c r="Q33" s="10" t="n">
        <v>8</v>
      </c>
      <c r="R33" s="12" t="str">
        <f aca="false">IF(J33="","",Q33*J33)</f>
        <v/>
      </c>
      <c r="S33" s="11"/>
      <c r="T33" s="12" t="str">
        <f aca="false">IF(OR(R33="",S33=""),"",IFERROR(S33/R33*100,0))</f>
        <v/>
      </c>
      <c r="U33" s="12" t="str">
        <f aca="false">IF(OR(O33="",L33="",M33="",S33="",M33=0),"",IFERROR(O33/(L33*60*S33/(M33*36))*100,0))</f>
        <v/>
      </c>
      <c r="V33" s="11"/>
      <c r="W33" s="12" t="str">
        <f aca="false">IF(O33="","",IFERROR(V33/O33*100,0))</f>
        <v/>
      </c>
      <c r="X33" s="11"/>
      <c r="Y33" s="11"/>
      <c r="Z33" s="11"/>
      <c r="AA33" s="11"/>
      <c r="AB33" s="11"/>
      <c r="AC33" s="11"/>
      <c r="AD33" s="11"/>
      <c r="AE33" s="11"/>
      <c r="AF33" s="12" t="str">
        <f aca="false">IF(O33="","",SUM(X33:AE33))</f>
        <v/>
      </c>
      <c r="AG33" s="12" t="str">
        <f aca="false">IF(O33="","",IFERROR(AF33/O33*1000,0))</f>
        <v/>
      </c>
      <c r="AH33" s="11"/>
      <c r="AI33" s="11"/>
      <c r="AJ33" s="11"/>
      <c r="AK33" s="9"/>
      <c r="AL33" s="9"/>
      <c r="AM33" s="9"/>
    </row>
    <row r="34" customFormat="false" ht="15" hidden="false" customHeight="true" outlineLevel="0" collapsed="false">
      <c r="A34" s="6" t="n">
        <v>29</v>
      </c>
      <c r="B34" s="7" t="n">
        <v>46288</v>
      </c>
      <c r="C34" s="8"/>
      <c r="D34" s="8"/>
      <c r="E34" s="8"/>
      <c r="F34" s="9"/>
      <c r="G34" s="8" t="s">
        <v>99</v>
      </c>
      <c r="H34" s="10" t="str">
        <f aca="false">IFERROR(INDEX('Operator Master'!$B$5:$B$504,MATCH(G34,'Operator Master'!$A$5:$A$504,0)),"")</f>
        <v>MD. JIHADUZZAMAN (JIAD)</v>
      </c>
      <c r="I34" s="9"/>
      <c r="J34" s="9"/>
      <c r="K34" s="8"/>
      <c r="L34" s="9" t="n">
        <v>530</v>
      </c>
      <c r="M34" s="9" t="n">
        <v>44.7</v>
      </c>
      <c r="N34" s="11"/>
      <c r="O34" s="11"/>
      <c r="P34" s="12" t="str">
        <f aca="false">IF(OR(N34="",O34=""),"",IFERROR(O34/N34*100,0))</f>
        <v/>
      </c>
      <c r="Q34" s="10" t="n">
        <v>8</v>
      </c>
      <c r="R34" s="12" t="str">
        <f aca="false">IF(J34="","",Q34*J34)</f>
        <v/>
      </c>
      <c r="S34" s="11"/>
      <c r="T34" s="12" t="str">
        <f aca="false">IF(OR(R34="",S34=""),"",IFERROR(S34/R34*100,0))</f>
        <v/>
      </c>
      <c r="U34" s="12" t="str">
        <f aca="false">IF(OR(O34="",L34="",M34="",S34="",M34=0),"",IFERROR(O34/(L34*60*S34/(M34*36))*100,0))</f>
        <v/>
      </c>
      <c r="V34" s="11"/>
      <c r="W34" s="12" t="str">
        <f aca="false">IF(O34="","",IFERROR(V34/O34*100,0))</f>
        <v/>
      </c>
      <c r="X34" s="11"/>
      <c r="Y34" s="11"/>
      <c r="Z34" s="11"/>
      <c r="AA34" s="11"/>
      <c r="AB34" s="11"/>
      <c r="AC34" s="11"/>
      <c r="AD34" s="11"/>
      <c r="AE34" s="11"/>
      <c r="AF34" s="12" t="str">
        <f aca="false">IF(O34="","",SUM(X34:AE34))</f>
        <v/>
      </c>
      <c r="AG34" s="12" t="str">
        <f aca="false">IF(O34="","",IFERROR(AF34/O34*1000,0))</f>
        <v/>
      </c>
      <c r="AH34" s="11"/>
      <c r="AI34" s="11"/>
      <c r="AJ34" s="11"/>
      <c r="AK34" s="9"/>
      <c r="AL34" s="9"/>
      <c r="AM34" s="9"/>
    </row>
    <row r="35" customFormat="false" ht="15" hidden="false" customHeight="true" outlineLevel="0" collapsed="false">
      <c r="A35" s="6" t="n">
        <v>30</v>
      </c>
      <c r="B35" s="7" t="n">
        <v>46288</v>
      </c>
      <c r="C35" s="8"/>
      <c r="D35" s="8"/>
      <c r="E35" s="8"/>
      <c r="F35" s="9"/>
      <c r="G35" s="8" t="s">
        <v>100</v>
      </c>
      <c r="H35" s="10" t="str">
        <f aca="false">IFERROR(INDEX('Operator Master'!$B$5:$B$504,MATCH(G35,'Operator Master'!$A$5:$A$504,0)),"")</f>
        <v>MD. MOZNU SHEKH</v>
      </c>
      <c r="I35" s="9"/>
      <c r="J35" s="9"/>
      <c r="K35" s="8"/>
      <c r="L35" s="9" t="n">
        <v>555</v>
      </c>
      <c r="M35" s="9" t="n">
        <v>41.9</v>
      </c>
      <c r="N35" s="11"/>
      <c r="O35" s="11"/>
      <c r="P35" s="12" t="str">
        <f aca="false">IF(OR(N35="",O35=""),"",IFERROR(O35/N35*100,0))</f>
        <v/>
      </c>
      <c r="Q35" s="10" t="n">
        <v>8</v>
      </c>
      <c r="R35" s="12" t="str">
        <f aca="false">IF(J35="","",Q35*J35)</f>
        <v/>
      </c>
      <c r="S35" s="11"/>
      <c r="T35" s="12" t="str">
        <f aca="false">IF(OR(R35="",S35=""),"",IFERROR(S35/R35*100,0))</f>
        <v/>
      </c>
      <c r="U35" s="12" t="str">
        <f aca="false">IF(OR(O35="",L35="",M35="",S35="",M35=0),"",IFERROR(O35/(L35*60*S35/(M35*36))*100,0))</f>
        <v/>
      </c>
      <c r="V35" s="11"/>
      <c r="W35" s="12" t="str">
        <f aca="false">IF(O35="","",IFERROR(V35/O35*100,0))</f>
        <v/>
      </c>
      <c r="X35" s="11"/>
      <c r="Y35" s="11"/>
      <c r="Z35" s="11"/>
      <c r="AA35" s="11"/>
      <c r="AB35" s="11"/>
      <c r="AC35" s="11"/>
      <c r="AD35" s="11"/>
      <c r="AE35" s="11"/>
      <c r="AF35" s="12" t="str">
        <f aca="false">IF(O35="","",SUM(X35:AE35))</f>
        <v/>
      </c>
      <c r="AG35" s="12" t="str">
        <f aca="false">IF(O35="","",IFERROR(AF35/O35*1000,0))</f>
        <v/>
      </c>
      <c r="AH35" s="11"/>
      <c r="AI35" s="11"/>
      <c r="AJ35" s="11"/>
      <c r="AK35" s="9"/>
      <c r="AL35" s="9"/>
      <c r="AM35" s="9"/>
    </row>
    <row r="36" customFormat="false" ht="15" hidden="false" customHeight="true" outlineLevel="0" collapsed="false">
      <c r="A36" s="6" t="n">
        <v>31</v>
      </c>
      <c r="B36" s="7" t="n">
        <v>46288</v>
      </c>
      <c r="C36" s="8"/>
      <c r="D36" s="8"/>
      <c r="E36" s="8"/>
      <c r="F36" s="9"/>
      <c r="G36" s="8" t="s">
        <v>101</v>
      </c>
      <c r="H36" s="10" t="str">
        <f aca="false">IFERROR(INDEX('Operator Master'!$B$5:$B$504,MATCH(G36,'Operator Master'!$A$5:$A$504,0)),"")</f>
        <v>MD. AMINUR ISLAM</v>
      </c>
      <c r="I36" s="9"/>
      <c r="J36" s="9"/>
      <c r="K36" s="8"/>
      <c r="L36" s="9" t="n">
        <v>541.666666666667</v>
      </c>
      <c r="M36" s="9" t="n">
        <v>42.44</v>
      </c>
      <c r="N36" s="11"/>
      <c r="O36" s="11"/>
      <c r="P36" s="12" t="str">
        <f aca="false">IF(OR(N36="",O36=""),"",IFERROR(O36/N36*100,0))</f>
        <v/>
      </c>
      <c r="Q36" s="10" t="n">
        <v>8</v>
      </c>
      <c r="R36" s="12" t="str">
        <f aca="false">IF(J36="","",Q36*J36)</f>
        <v/>
      </c>
      <c r="S36" s="11"/>
      <c r="T36" s="12" t="str">
        <f aca="false">IF(OR(R36="",S36=""),"",IFERROR(S36/R36*100,0))</f>
        <v/>
      </c>
      <c r="U36" s="12" t="str">
        <f aca="false">IF(OR(O36="",L36="",M36="",S36="",M36=0),"",IFERROR(O36/(L36*60*S36/(M36*36))*100,0))</f>
        <v/>
      </c>
      <c r="V36" s="11"/>
      <c r="W36" s="12" t="str">
        <f aca="false">IF(O36="","",IFERROR(V36/O36*100,0))</f>
        <v/>
      </c>
      <c r="X36" s="11"/>
      <c r="Y36" s="11"/>
      <c r="Z36" s="11"/>
      <c r="AA36" s="11"/>
      <c r="AB36" s="11"/>
      <c r="AC36" s="11"/>
      <c r="AD36" s="11"/>
      <c r="AE36" s="11"/>
      <c r="AF36" s="12" t="str">
        <f aca="false">IF(O36="","",SUM(X36:AE36))</f>
        <v/>
      </c>
      <c r="AG36" s="12" t="str">
        <f aca="false">IF(O36="","",IFERROR(AF36/O36*1000,0))</f>
        <v/>
      </c>
      <c r="AH36" s="11"/>
      <c r="AI36" s="11"/>
      <c r="AJ36" s="11"/>
      <c r="AK36" s="9"/>
      <c r="AL36" s="9"/>
      <c r="AM36" s="9"/>
    </row>
    <row r="37" customFormat="false" ht="15" hidden="false" customHeight="true" outlineLevel="0" collapsed="false">
      <c r="A37" s="6" t="n">
        <v>32</v>
      </c>
      <c r="B37" s="7" t="n">
        <v>46288</v>
      </c>
      <c r="C37" s="8"/>
      <c r="D37" s="8"/>
      <c r="E37" s="8"/>
      <c r="F37" s="9"/>
      <c r="G37" s="8" t="s">
        <v>102</v>
      </c>
      <c r="H37" s="10" t="str">
        <f aca="false">IFERROR(INDEX('Operator Master'!$B$5:$B$504,MATCH(G37,'Operator Master'!$A$5:$A$504,0)),"")</f>
        <v>MD. BABUL MIAH</v>
      </c>
      <c r="I37" s="9"/>
      <c r="J37" s="9"/>
      <c r="K37" s="8"/>
      <c r="L37" s="9" t="n">
        <v>525</v>
      </c>
      <c r="M37" s="9" t="n">
        <v>39.22</v>
      </c>
      <c r="N37" s="11"/>
      <c r="O37" s="11"/>
      <c r="P37" s="12" t="str">
        <f aca="false">IF(OR(N37="",O37=""),"",IFERROR(O37/N37*100,0))</f>
        <v/>
      </c>
      <c r="Q37" s="10" t="n">
        <v>8</v>
      </c>
      <c r="R37" s="12" t="str">
        <f aca="false">IF(J37="","",Q37*J37)</f>
        <v/>
      </c>
      <c r="S37" s="11"/>
      <c r="T37" s="12" t="str">
        <f aca="false">IF(OR(R37="",S37=""),"",IFERROR(S37/R37*100,0))</f>
        <v/>
      </c>
      <c r="U37" s="12" t="str">
        <f aca="false">IF(OR(O37="",L37="",M37="",S37="",M37=0),"",IFERROR(O37/(L37*60*S37/(M37*36))*100,0))</f>
        <v/>
      </c>
      <c r="V37" s="11"/>
      <c r="W37" s="12" t="str">
        <f aca="false">IF(O37="","",IFERROR(V37/O37*100,0))</f>
        <v/>
      </c>
      <c r="X37" s="11"/>
      <c r="Y37" s="11"/>
      <c r="Z37" s="11"/>
      <c r="AA37" s="11"/>
      <c r="AB37" s="11"/>
      <c r="AC37" s="11"/>
      <c r="AD37" s="11"/>
      <c r="AE37" s="11"/>
      <c r="AF37" s="12" t="str">
        <f aca="false">IF(O37="","",SUM(X37:AE37))</f>
        <v/>
      </c>
      <c r="AG37" s="12" t="str">
        <f aca="false">IF(O37="","",IFERROR(AF37/O37*1000,0))</f>
        <v/>
      </c>
      <c r="AH37" s="11"/>
      <c r="AI37" s="11"/>
      <c r="AJ37" s="11"/>
      <c r="AK37" s="9"/>
      <c r="AL37" s="9"/>
      <c r="AM37" s="9"/>
    </row>
    <row r="38" customFormat="false" ht="15" hidden="false" customHeight="true" outlineLevel="0" collapsed="false">
      <c r="A38" s="6" t="n">
        <v>33</v>
      </c>
      <c r="B38" s="7" t="n">
        <v>46288</v>
      </c>
      <c r="C38" s="8"/>
      <c r="D38" s="8"/>
      <c r="E38" s="8"/>
      <c r="F38" s="9"/>
      <c r="G38" s="8" t="s">
        <v>103</v>
      </c>
      <c r="H38" s="10" t="str">
        <f aca="false">IFERROR(INDEX('Operator Master'!$B$5:$B$504,MATCH(G38,'Operator Master'!$A$5:$A$504,0)),"")</f>
        <v>MD. ROFIKUL ISLAM</v>
      </c>
      <c r="I38" s="9"/>
      <c r="J38" s="9"/>
      <c r="K38" s="8"/>
      <c r="L38" s="9" t="n">
        <v>537.5</v>
      </c>
      <c r="M38" s="9" t="n">
        <v>41.6</v>
      </c>
      <c r="N38" s="11"/>
      <c r="O38" s="11"/>
      <c r="P38" s="12" t="str">
        <f aca="false">IF(OR(N38="",O38=""),"",IFERROR(O38/N38*100,0))</f>
        <v/>
      </c>
      <c r="Q38" s="10" t="n">
        <v>8</v>
      </c>
      <c r="R38" s="12" t="str">
        <f aca="false">IF(J38="","",Q38*J38)</f>
        <v/>
      </c>
      <c r="S38" s="11"/>
      <c r="T38" s="12" t="str">
        <f aca="false">IF(OR(R38="",S38=""),"",IFERROR(S38/R38*100,0))</f>
        <v/>
      </c>
      <c r="U38" s="12" t="str">
        <f aca="false">IF(OR(O38="",L38="",M38="",S38="",M38=0),"",IFERROR(O38/(L38*60*S38/(M38*36))*100,0))</f>
        <v/>
      </c>
      <c r="V38" s="11"/>
      <c r="W38" s="12" t="str">
        <f aca="false">IF(O38="","",IFERROR(V38/O38*100,0))</f>
        <v/>
      </c>
      <c r="X38" s="11"/>
      <c r="Y38" s="11"/>
      <c r="Z38" s="11"/>
      <c r="AA38" s="11"/>
      <c r="AB38" s="11"/>
      <c r="AC38" s="11"/>
      <c r="AD38" s="11"/>
      <c r="AE38" s="11"/>
      <c r="AF38" s="12" t="str">
        <f aca="false">IF(O38="","",SUM(X38:AE38))</f>
        <v/>
      </c>
      <c r="AG38" s="12" t="str">
        <f aca="false">IF(O38="","",IFERROR(AF38/O38*1000,0))</f>
        <v/>
      </c>
      <c r="AH38" s="11"/>
      <c r="AI38" s="11"/>
      <c r="AJ38" s="11"/>
      <c r="AK38" s="9"/>
      <c r="AL38" s="9"/>
      <c r="AM38" s="9"/>
    </row>
    <row r="39" customFormat="false" ht="15" hidden="false" customHeight="true" outlineLevel="0" collapsed="false">
      <c r="A39" s="6" t="n">
        <v>34</v>
      </c>
      <c r="B39" s="7" t="n">
        <v>46288</v>
      </c>
      <c r="C39" s="8"/>
      <c r="D39" s="8"/>
      <c r="E39" s="8"/>
      <c r="F39" s="9"/>
      <c r="G39" s="8" t="s">
        <v>104</v>
      </c>
      <c r="H39" s="10" t="str">
        <f aca="false">IFERROR(INDEX('Operator Master'!$B$5:$B$504,MATCH(G39,'Operator Master'!$A$5:$A$504,0)),"")</f>
        <v>MD. AMINUL ISLAM-2</v>
      </c>
      <c r="I39" s="9"/>
      <c r="J39" s="9"/>
      <c r="K39" s="8"/>
      <c r="L39" s="9" t="n">
        <v>559.375</v>
      </c>
      <c r="M39" s="9" t="n">
        <v>41.75</v>
      </c>
      <c r="N39" s="11"/>
      <c r="O39" s="11"/>
      <c r="P39" s="12" t="str">
        <f aca="false">IF(OR(N39="",O39=""),"",IFERROR(O39/N39*100,0))</f>
        <v/>
      </c>
      <c r="Q39" s="10" t="n">
        <v>8</v>
      </c>
      <c r="R39" s="12" t="str">
        <f aca="false">IF(J39="","",Q39*J39)</f>
        <v/>
      </c>
      <c r="S39" s="11"/>
      <c r="T39" s="12" t="str">
        <f aca="false">IF(OR(R39="",S39=""),"",IFERROR(S39/R39*100,0))</f>
        <v/>
      </c>
      <c r="U39" s="12" t="str">
        <f aca="false">IF(OR(O39="",L39="",M39="",S39="",M39=0),"",IFERROR(O39/(L39*60*S39/(M39*36))*100,0))</f>
        <v/>
      </c>
      <c r="V39" s="11"/>
      <c r="W39" s="12" t="str">
        <f aca="false">IF(O39="","",IFERROR(V39/O39*100,0))</f>
        <v/>
      </c>
      <c r="X39" s="11"/>
      <c r="Y39" s="11"/>
      <c r="Z39" s="11"/>
      <c r="AA39" s="11"/>
      <c r="AB39" s="11"/>
      <c r="AC39" s="11"/>
      <c r="AD39" s="11"/>
      <c r="AE39" s="11"/>
      <c r="AF39" s="12" t="str">
        <f aca="false">IF(O39="","",SUM(X39:AE39))</f>
        <v/>
      </c>
      <c r="AG39" s="12" t="str">
        <f aca="false">IF(O39="","",IFERROR(AF39/O39*1000,0))</f>
        <v/>
      </c>
      <c r="AH39" s="11"/>
      <c r="AI39" s="11"/>
      <c r="AJ39" s="11"/>
      <c r="AK39" s="9"/>
      <c r="AL39" s="9"/>
      <c r="AM39" s="9"/>
    </row>
    <row r="40" customFormat="false" ht="15" hidden="false" customHeight="true" outlineLevel="0" collapsed="false">
      <c r="A40" s="6" t="n">
        <v>35</v>
      </c>
      <c r="B40" s="7" t="n">
        <v>46288</v>
      </c>
      <c r="C40" s="8"/>
      <c r="D40" s="8"/>
      <c r="E40" s="8"/>
      <c r="F40" s="9"/>
      <c r="G40" s="8" t="s">
        <v>105</v>
      </c>
      <c r="H40" s="10" t="str">
        <f aca="false">IFERROR(INDEX('Operator Master'!$B$5:$B$504,MATCH(G40,'Operator Master'!$A$5:$A$504,0)),"")</f>
        <v>MD. JONY ALOM</v>
      </c>
      <c r="I40" s="9"/>
      <c r="J40" s="9"/>
      <c r="K40" s="8"/>
      <c r="L40" s="9" t="n">
        <v>553.125</v>
      </c>
      <c r="M40" s="9" t="n">
        <v>41.25</v>
      </c>
      <c r="N40" s="11"/>
      <c r="O40" s="11"/>
      <c r="P40" s="12" t="str">
        <f aca="false">IF(OR(N40="",O40=""),"",IFERROR(O40/N40*100,0))</f>
        <v/>
      </c>
      <c r="Q40" s="10" t="n">
        <v>8</v>
      </c>
      <c r="R40" s="12" t="str">
        <f aca="false">IF(J40="","",Q40*J40)</f>
        <v/>
      </c>
      <c r="S40" s="11"/>
      <c r="T40" s="12" t="str">
        <f aca="false">IF(OR(R40="",S40=""),"",IFERROR(S40/R40*100,0))</f>
        <v/>
      </c>
      <c r="U40" s="12" t="str">
        <f aca="false">IF(OR(O40="",L40="",M40="",S40="",M40=0),"",IFERROR(O40/(L40*60*S40/(M40*36))*100,0))</f>
        <v/>
      </c>
      <c r="V40" s="11"/>
      <c r="W40" s="12" t="str">
        <f aca="false">IF(O40="","",IFERROR(V40/O40*100,0))</f>
        <v/>
      </c>
      <c r="X40" s="11"/>
      <c r="Y40" s="11"/>
      <c r="Z40" s="11"/>
      <c r="AA40" s="11"/>
      <c r="AB40" s="11"/>
      <c r="AC40" s="11"/>
      <c r="AD40" s="11"/>
      <c r="AE40" s="11"/>
      <c r="AF40" s="12" t="str">
        <f aca="false">IF(O40="","",SUM(X40:AE40))</f>
        <v/>
      </c>
      <c r="AG40" s="12" t="str">
        <f aca="false">IF(O40="","",IFERROR(AF40/O40*1000,0))</f>
        <v/>
      </c>
      <c r="AH40" s="11"/>
      <c r="AI40" s="11"/>
      <c r="AJ40" s="11"/>
      <c r="AK40" s="9"/>
      <c r="AL40" s="9"/>
      <c r="AM40" s="9"/>
    </row>
    <row r="41" customFormat="false" ht="15" hidden="false" customHeight="true" outlineLevel="0" collapsed="false">
      <c r="A41" s="6" t="n">
        <v>36</v>
      </c>
      <c r="B41" s="7" t="n">
        <v>46288</v>
      </c>
      <c r="C41" s="8"/>
      <c r="D41" s="8"/>
      <c r="E41" s="8"/>
      <c r="F41" s="9"/>
      <c r="G41" s="8" t="s">
        <v>106</v>
      </c>
      <c r="H41" s="10" t="str">
        <f aca="false">IFERROR(INDEX('Operator Master'!$B$5:$B$504,MATCH(G41,'Operator Master'!$A$5:$A$504,0)),"")</f>
        <v>MD. HELIM ISLAM</v>
      </c>
      <c r="I41" s="9"/>
      <c r="J41" s="9"/>
      <c r="K41" s="8"/>
      <c r="L41" s="9" t="n">
        <v>533.333333333333</v>
      </c>
      <c r="M41" s="9" t="n">
        <v>44.67</v>
      </c>
      <c r="N41" s="11"/>
      <c r="O41" s="11"/>
      <c r="P41" s="12" t="str">
        <f aca="false">IF(OR(N41="",O41=""),"",IFERROR(O41/N41*100,0))</f>
        <v/>
      </c>
      <c r="Q41" s="10" t="n">
        <v>8</v>
      </c>
      <c r="R41" s="12" t="str">
        <f aca="false">IF(J41="","",Q41*J41)</f>
        <v/>
      </c>
      <c r="S41" s="11"/>
      <c r="T41" s="12" t="str">
        <f aca="false">IF(OR(R41="",S41=""),"",IFERROR(S41/R41*100,0))</f>
        <v/>
      </c>
      <c r="U41" s="12" t="str">
        <f aca="false">IF(OR(O41="",L41="",M41="",S41="",M41=0),"",IFERROR(O41/(L41*60*S41/(M41*36))*100,0))</f>
        <v/>
      </c>
      <c r="V41" s="11"/>
      <c r="W41" s="12" t="str">
        <f aca="false">IF(O41="","",IFERROR(V41/O41*100,0))</f>
        <v/>
      </c>
      <c r="X41" s="11"/>
      <c r="Y41" s="11"/>
      <c r="Z41" s="11"/>
      <c r="AA41" s="11"/>
      <c r="AB41" s="11"/>
      <c r="AC41" s="11"/>
      <c r="AD41" s="11"/>
      <c r="AE41" s="11"/>
      <c r="AF41" s="12" t="str">
        <f aca="false">IF(O41="","",SUM(X41:AE41))</f>
        <v/>
      </c>
      <c r="AG41" s="12" t="str">
        <f aca="false">IF(O41="","",IFERROR(AF41/O41*1000,0))</f>
        <v/>
      </c>
      <c r="AH41" s="11"/>
      <c r="AI41" s="11"/>
      <c r="AJ41" s="11"/>
      <c r="AK41" s="9"/>
      <c r="AL41" s="9"/>
      <c r="AM41" s="9"/>
    </row>
    <row r="42" customFormat="false" ht="15" hidden="false" customHeight="true" outlineLevel="0" collapsed="false">
      <c r="A42" s="6" t="n">
        <v>37</v>
      </c>
      <c r="B42" s="7" t="n">
        <v>46288</v>
      </c>
      <c r="C42" s="8"/>
      <c r="D42" s="8"/>
      <c r="E42" s="8"/>
      <c r="F42" s="9"/>
      <c r="G42" s="8" t="s">
        <v>107</v>
      </c>
      <c r="H42" s="10" t="str">
        <f aca="false">IFERROR(INDEX('Operator Master'!$B$5:$B$504,MATCH(G42,'Operator Master'!$A$5:$A$504,0)),"")</f>
        <v>MD. JIHAD MOLLA</v>
      </c>
      <c r="I42" s="9"/>
      <c r="J42" s="9"/>
      <c r="K42" s="8"/>
      <c r="L42" s="9" t="n">
        <v>552.5</v>
      </c>
      <c r="M42" s="9" t="n">
        <v>43.4</v>
      </c>
      <c r="N42" s="11"/>
      <c r="O42" s="11"/>
      <c r="P42" s="12" t="str">
        <f aca="false">IF(OR(N42="",O42=""),"",IFERROR(O42/N42*100,0))</f>
        <v/>
      </c>
      <c r="Q42" s="10" t="n">
        <v>8</v>
      </c>
      <c r="R42" s="12" t="str">
        <f aca="false">IF(J42="","",Q42*J42)</f>
        <v/>
      </c>
      <c r="S42" s="11"/>
      <c r="T42" s="12" t="str">
        <f aca="false">IF(OR(R42="",S42=""),"",IFERROR(S42/R42*100,0))</f>
        <v/>
      </c>
      <c r="U42" s="12" t="str">
        <f aca="false">IF(OR(O42="",L42="",M42="",S42="",M42=0),"",IFERROR(O42/(L42*60*S42/(M42*36))*100,0))</f>
        <v/>
      </c>
      <c r="V42" s="11"/>
      <c r="W42" s="12" t="str">
        <f aca="false">IF(O42="","",IFERROR(V42/O42*100,0))</f>
        <v/>
      </c>
      <c r="X42" s="11"/>
      <c r="Y42" s="11"/>
      <c r="Z42" s="11"/>
      <c r="AA42" s="11"/>
      <c r="AB42" s="11"/>
      <c r="AC42" s="11"/>
      <c r="AD42" s="11"/>
      <c r="AE42" s="11"/>
      <c r="AF42" s="12" t="str">
        <f aca="false">IF(O42="","",SUM(X42:AE42))</f>
        <v/>
      </c>
      <c r="AG42" s="12" t="str">
        <f aca="false">IF(O42="","",IFERROR(AF42/O42*1000,0))</f>
        <v/>
      </c>
      <c r="AH42" s="11"/>
      <c r="AI42" s="11"/>
      <c r="AJ42" s="11"/>
      <c r="AK42" s="9"/>
      <c r="AL42" s="9"/>
      <c r="AM42" s="9"/>
    </row>
    <row r="43" customFormat="false" ht="15" hidden="false" customHeight="true" outlineLevel="0" collapsed="false">
      <c r="A43" s="6" t="n">
        <v>38</v>
      </c>
      <c r="B43" s="7" t="n">
        <v>46288</v>
      </c>
      <c r="C43" s="8"/>
      <c r="D43" s="8"/>
      <c r="E43" s="8"/>
      <c r="F43" s="9"/>
      <c r="G43" s="8" t="s">
        <v>108</v>
      </c>
      <c r="H43" s="10" t="str">
        <f aca="false">IFERROR(INDEX('Operator Master'!$B$5:$B$504,MATCH(G43,'Operator Master'!$A$5:$A$504,0)),"")</f>
        <v>MD. ABDUL KADIR</v>
      </c>
      <c r="I43" s="9"/>
      <c r="J43" s="9"/>
      <c r="K43" s="8"/>
      <c r="L43" s="9" t="n">
        <v>527.5</v>
      </c>
      <c r="M43" s="9" t="n">
        <v>44.8</v>
      </c>
      <c r="N43" s="11"/>
      <c r="O43" s="11"/>
      <c r="P43" s="12" t="str">
        <f aca="false">IF(OR(N43="",O43=""),"",IFERROR(O43/N43*100,0))</f>
        <v/>
      </c>
      <c r="Q43" s="10" t="n">
        <v>8</v>
      </c>
      <c r="R43" s="12" t="str">
        <f aca="false">IF(J43="","",Q43*J43)</f>
        <v/>
      </c>
      <c r="S43" s="11"/>
      <c r="T43" s="12" t="str">
        <f aca="false">IF(OR(R43="",S43=""),"",IFERROR(S43/R43*100,0))</f>
        <v/>
      </c>
      <c r="U43" s="12" t="str">
        <f aca="false">IF(OR(O43="",L43="",M43="",S43="",M43=0),"",IFERROR(O43/(L43*60*S43/(M43*36))*100,0))</f>
        <v/>
      </c>
      <c r="V43" s="11"/>
      <c r="W43" s="12" t="str">
        <f aca="false">IF(O43="","",IFERROR(V43/O43*100,0))</f>
        <v/>
      </c>
      <c r="X43" s="11"/>
      <c r="Y43" s="11"/>
      <c r="Z43" s="11"/>
      <c r="AA43" s="11"/>
      <c r="AB43" s="11"/>
      <c r="AC43" s="11"/>
      <c r="AD43" s="11"/>
      <c r="AE43" s="11"/>
      <c r="AF43" s="12" t="str">
        <f aca="false">IF(O43="","",SUM(X43:AE43))</f>
        <v/>
      </c>
      <c r="AG43" s="12" t="str">
        <f aca="false">IF(O43="","",IFERROR(AF43/O43*1000,0))</f>
        <v/>
      </c>
      <c r="AH43" s="11"/>
      <c r="AI43" s="11"/>
      <c r="AJ43" s="11"/>
      <c r="AK43" s="9"/>
      <c r="AL43" s="9"/>
      <c r="AM43" s="9"/>
    </row>
    <row r="44" customFormat="false" ht="15" hidden="false" customHeight="true" outlineLevel="0" collapsed="false">
      <c r="A44" s="6" t="n">
        <v>39</v>
      </c>
      <c r="B44" s="7" t="n">
        <v>46288</v>
      </c>
      <c r="C44" s="8"/>
      <c r="D44" s="8"/>
      <c r="E44" s="8"/>
      <c r="F44" s="9"/>
      <c r="G44" s="8" t="s">
        <v>109</v>
      </c>
      <c r="H44" s="10" t="str">
        <f aca="false">IFERROR(INDEX('Operator Master'!$B$5:$B$504,MATCH(G44,'Operator Master'!$A$5:$A$504,0)),"")</f>
        <v>MD. BILLAL HOSEN</v>
      </c>
      <c r="I44" s="9"/>
      <c r="J44" s="9"/>
      <c r="K44" s="8"/>
      <c r="L44" s="9" t="n">
        <v>555</v>
      </c>
      <c r="M44" s="9" t="n">
        <v>41.8</v>
      </c>
      <c r="N44" s="11"/>
      <c r="O44" s="11"/>
      <c r="P44" s="12" t="str">
        <f aca="false">IF(OR(N44="",O44=""),"",IFERROR(O44/N44*100,0))</f>
        <v/>
      </c>
      <c r="Q44" s="10" t="n">
        <v>8</v>
      </c>
      <c r="R44" s="12" t="str">
        <f aca="false">IF(J44="","",Q44*J44)</f>
        <v/>
      </c>
      <c r="S44" s="11"/>
      <c r="T44" s="12" t="str">
        <f aca="false">IF(OR(R44="",S44=""),"",IFERROR(S44/R44*100,0))</f>
        <v/>
      </c>
      <c r="U44" s="12" t="str">
        <f aca="false">IF(OR(O44="",L44="",M44="",S44="",M44=0),"",IFERROR(O44/(L44*60*S44/(M44*36))*100,0))</f>
        <v/>
      </c>
      <c r="V44" s="11"/>
      <c r="W44" s="12" t="str">
        <f aca="false">IF(O44="","",IFERROR(V44/O44*100,0))</f>
        <v/>
      </c>
      <c r="X44" s="11"/>
      <c r="Y44" s="11"/>
      <c r="Z44" s="11"/>
      <c r="AA44" s="11"/>
      <c r="AB44" s="11"/>
      <c r="AC44" s="11"/>
      <c r="AD44" s="11"/>
      <c r="AE44" s="11"/>
      <c r="AF44" s="12" t="str">
        <f aca="false">IF(O44="","",SUM(X44:AE44))</f>
        <v/>
      </c>
      <c r="AG44" s="12" t="str">
        <f aca="false">IF(O44="","",IFERROR(AF44/O44*1000,0))</f>
        <v/>
      </c>
      <c r="AH44" s="11"/>
      <c r="AI44" s="11"/>
      <c r="AJ44" s="11"/>
      <c r="AK44" s="9"/>
      <c r="AL44" s="9"/>
      <c r="AM44" s="9"/>
    </row>
    <row r="45" customFormat="false" ht="15" hidden="false" customHeight="true" outlineLevel="0" collapsed="false">
      <c r="A45" s="6" t="n">
        <v>40</v>
      </c>
      <c r="B45" s="7" t="n">
        <v>46288</v>
      </c>
      <c r="C45" s="8"/>
      <c r="D45" s="8"/>
      <c r="E45" s="8"/>
      <c r="F45" s="9"/>
      <c r="G45" s="8" t="s">
        <v>110</v>
      </c>
      <c r="H45" s="10" t="str">
        <f aca="false">IFERROR(INDEX('Operator Master'!$B$5:$B$504,MATCH(G45,'Operator Master'!$A$5:$A$504,0)),"")</f>
        <v>MD. MOJAMMEL HOSEN</v>
      </c>
      <c r="I45" s="9"/>
      <c r="J45" s="9"/>
      <c r="K45" s="8"/>
      <c r="L45" s="9" t="n">
        <v>569.444444444445</v>
      </c>
      <c r="M45" s="9" t="n">
        <v>42.22</v>
      </c>
      <c r="N45" s="11"/>
      <c r="O45" s="11"/>
      <c r="P45" s="12" t="str">
        <f aca="false">IF(OR(N45="",O45=""),"",IFERROR(O45/N45*100,0))</f>
        <v/>
      </c>
      <c r="Q45" s="10" t="n">
        <v>8</v>
      </c>
      <c r="R45" s="12" t="str">
        <f aca="false">IF(J45="","",Q45*J45)</f>
        <v/>
      </c>
      <c r="S45" s="11"/>
      <c r="T45" s="12" t="str">
        <f aca="false">IF(OR(R45="",S45=""),"",IFERROR(S45/R45*100,0))</f>
        <v/>
      </c>
      <c r="U45" s="12" t="str">
        <f aca="false">IF(OR(O45="",L45="",M45="",S45="",M45=0),"",IFERROR(O45/(L45*60*S45/(M45*36))*100,0))</f>
        <v/>
      </c>
      <c r="V45" s="11"/>
      <c r="W45" s="12" t="str">
        <f aca="false">IF(O45="","",IFERROR(V45/O45*100,0))</f>
        <v/>
      </c>
      <c r="X45" s="11"/>
      <c r="Y45" s="11"/>
      <c r="Z45" s="11"/>
      <c r="AA45" s="11"/>
      <c r="AB45" s="11"/>
      <c r="AC45" s="11"/>
      <c r="AD45" s="11"/>
      <c r="AE45" s="11"/>
      <c r="AF45" s="12" t="str">
        <f aca="false">IF(O45="","",SUM(X45:AE45))</f>
        <v/>
      </c>
      <c r="AG45" s="12" t="str">
        <f aca="false">IF(O45="","",IFERROR(AF45/O45*1000,0))</f>
        <v/>
      </c>
      <c r="AH45" s="11"/>
      <c r="AI45" s="11"/>
      <c r="AJ45" s="11"/>
      <c r="AK45" s="9"/>
      <c r="AL45" s="9"/>
      <c r="AM45" s="9"/>
    </row>
    <row r="46" customFormat="false" ht="15" hidden="false" customHeight="true" outlineLevel="0" collapsed="false">
      <c r="A46" s="6" t="n">
        <v>41</v>
      </c>
      <c r="B46" s="7" t="n">
        <v>46288</v>
      </c>
      <c r="C46" s="8"/>
      <c r="D46" s="8"/>
      <c r="E46" s="8"/>
      <c r="F46" s="9"/>
      <c r="G46" s="8" t="s">
        <v>111</v>
      </c>
      <c r="H46" s="10" t="str">
        <f aca="false">IFERROR(INDEX('Operator Master'!$B$5:$B$504,MATCH(G46,'Operator Master'!$A$5:$A$504,0)),"")</f>
        <v>MD. MONARUL ISLAM</v>
      </c>
      <c r="I46" s="9"/>
      <c r="J46" s="9"/>
      <c r="K46" s="8"/>
      <c r="L46" s="9" t="n">
        <v>505.555555555556</v>
      </c>
      <c r="M46" s="9" t="n">
        <v>44.81</v>
      </c>
      <c r="N46" s="11"/>
      <c r="O46" s="11"/>
      <c r="P46" s="12" t="str">
        <f aca="false">IF(OR(N46="",O46=""),"",IFERROR(O46/N46*100,0))</f>
        <v/>
      </c>
      <c r="Q46" s="10" t="n">
        <v>8</v>
      </c>
      <c r="R46" s="12" t="str">
        <f aca="false">IF(J46="","",Q46*J46)</f>
        <v/>
      </c>
      <c r="S46" s="11"/>
      <c r="T46" s="12" t="str">
        <f aca="false">IF(OR(R46="",S46=""),"",IFERROR(S46/R46*100,0))</f>
        <v/>
      </c>
      <c r="U46" s="12" t="str">
        <f aca="false">IF(OR(O46="",L46="",M46="",S46="",M46=0),"",IFERROR(O46/(L46*60*S46/(M46*36))*100,0))</f>
        <v/>
      </c>
      <c r="V46" s="11"/>
      <c r="W46" s="12" t="str">
        <f aca="false">IF(O46="","",IFERROR(V46/O46*100,0))</f>
        <v/>
      </c>
      <c r="X46" s="11"/>
      <c r="Y46" s="11"/>
      <c r="Z46" s="11"/>
      <c r="AA46" s="11"/>
      <c r="AB46" s="11"/>
      <c r="AC46" s="11"/>
      <c r="AD46" s="11"/>
      <c r="AE46" s="11"/>
      <c r="AF46" s="12" t="str">
        <f aca="false">IF(O46="","",SUM(X46:AE46))</f>
        <v/>
      </c>
      <c r="AG46" s="12" t="str">
        <f aca="false">IF(O46="","",IFERROR(AF46/O46*1000,0))</f>
        <v/>
      </c>
      <c r="AH46" s="11"/>
      <c r="AI46" s="11"/>
      <c r="AJ46" s="11"/>
      <c r="AK46" s="9"/>
      <c r="AL46" s="9"/>
      <c r="AM46" s="9"/>
    </row>
    <row r="47" customFormat="false" ht="15" hidden="false" customHeight="true" outlineLevel="0" collapsed="false">
      <c r="A47" s="6" t="n">
        <v>42</v>
      </c>
      <c r="B47" s="7" t="n">
        <v>46288</v>
      </c>
      <c r="C47" s="8"/>
      <c r="D47" s="8"/>
      <c r="E47" s="8"/>
      <c r="F47" s="9"/>
      <c r="G47" s="8" t="s">
        <v>112</v>
      </c>
      <c r="H47" s="10" t="str">
        <f aca="false">IFERROR(INDEX('Operator Master'!$B$5:$B$504,MATCH(G47,'Operator Master'!$A$5:$A$504,0)),"")</f>
        <v>MD. NURUL ISLAM</v>
      </c>
      <c r="I47" s="9"/>
      <c r="J47" s="9"/>
      <c r="K47" s="8"/>
      <c r="L47" s="9" t="n">
        <v>539.285714285714</v>
      </c>
      <c r="M47" s="9" t="n">
        <v>40.43</v>
      </c>
      <c r="N47" s="11"/>
      <c r="O47" s="11"/>
      <c r="P47" s="12" t="str">
        <f aca="false">IF(OR(N47="",O47=""),"",IFERROR(O47/N47*100,0))</f>
        <v/>
      </c>
      <c r="Q47" s="10" t="n">
        <v>8</v>
      </c>
      <c r="R47" s="12" t="str">
        <f aca="false">IF(J47="","",Q47*J47)</f>
        <v/>
      </c>
      <c r="S47" s="11"/>
      <c r="T47" s="12" t="str">
        <f aca="false">IF(OR(R47="",S47=""),"",IFERROR(S47/R47*100,0))</f>
        <v/>
      </c>
      <c r="U47" s="12" t="str">
        <f aca="false">IF(OR(O47="",L47="",M47="",S47="",M47=0),"",IFERROR(O47/(L47*60*S47/(M47*36))*100,0))</f>
        <v/>
      </c>
      <c r="V47" s="11"/>
      <c r="W47" s="12" t="str">
        <f aca="false">IF(O47="","",IFERROR(V47/O47*100,0))</f>
        <v/>
      </c>
      <c r="X47" s="11"/>
      <c r="Y47" s="11"/>
      <c r="Z47" s="11"/>
      <c r="AA47" s="11"/>
      <c r="AB47" s="11"/>
      <c r="AC47" s="11"/>
      <c r="AD47" s="11"/>
      <c r="AE47" s="11"/>
      <c r="AF47" s="12" t="str">
        <f aca="false">IF(O47="","",SUM(X47:AE47))</f>
        <v/>
      </c>
      <c r="AG47" s="12" t="str">
        <f aca="false">IF(O47="","",IFERROR(AF47/O47*1000,0))</f>
        <v/>
      </c>
      <c r="AH47" s="11"/>
      <c r="AI47" s="11"/>
      <c r="AJ47" s="11"/>
      <c r="AK47" s="9"/>
      <c r="AL47" s="9"/>
      <c r="AM47" s="9"/>
    </row>
    <row r="48" customFormat="false" ht="15" hidden="false" customHeight="true" outlineLevel="0" collapsed="false">
      <c r="A48" s="6" t="n">
        <v>43</v>
      </c>
      <c r="B48" s="7" t="n">
        <v>46288</v>
      </c>
      <c r="C48" s="8"/>
      <c r="D48" s="8"/>
      <c r="E48" s="8"/>
      <c r="F48" s="9"/>
      <c r="G48" s="8" t="s">
        <v>113</v>
      </c>
      <c r="H48" s="10" t="str">
        <f aca="false">IFERROR(INDEX('Operator Master'!$B$5:$B$504,MATCH(G48,'Operator Master'!$A$5:$A$504,0)),"")</f>
        <v>SHAIDUL</v>
      </c>
      <c r="I48" s="9"/>
      <c r="J48" s="9"/>
      <c r="K48" s="8"/>
      <c r="L48" s="9" t="n">
        <v>540.625</v>
      </c>
      <c r="M48" s="9" t="n">
        <v>42.63</v>
      </c>
      <c r="N48" s="11"/>
      <c r="O48" s="11"/>
      <c r="P48" s="12" t="str">
        <f aca="false">IF(OR(N48="",O48=""),"",IFERROR(O48/N48*100,0))</f>
        <v/>
      </c>
      <c r="Q48" s="10" t="n">
        <v>8</v>
      </c>
      <c r="R48" s="12" t="str">
        <f aca="false">IF(J48="","",Q48*J48)</f>
        <v/>
      </c>
      <c r="S48" s="11"/>
      <c r="T48" s="12" t="str">
        <f aca="false">IF(OR(R48="",S48=""),"",IFERROR(S48/R48*100,0))</f>
        <v/>
      </c>
      <c r="U48" s="12" t="str">
        <f aca="false">IF(OR(O48="",L48="",M48="",S48="",M48=0),"",IFERROR(O48/(L48*60*S48/(M48*36))*100,0))</f>
        <v/>
      </c>
      <c r="V48" s="11"/>
      <c r="W48" s="12" t="str">
        <f aca="false">IF(O48="","",IFERROR(V48/O48*100,0))</f>
        <v/>
      </c>
      <c r="X48" s="11"/>
      <c r="Y48" s="11"/>
      <c r="Z48" s="11"/>
      <c r="AA48" s="11"/>
      <c r="AB48" s="11"/>
      <c r="AC48" s="11"/>
      <c r="AD48" s="11"/>
      <c r="AE48" s="11"/>
      <c r="AF48" s="12" t="str">
        <f aca="false">IF(O48="","",SUM(X48:AE48))</f>
        <v/>
      </c>
      <c r="AG48" s="12" t="str">
        <f aca="false">IF(O48="","",IFERROR(AF48/O48*1000,0))</f>
        <v/>
      </c>
      <c r="AH48" s="11"/>
      <c r="AI48" s="11"/>
      <c r="AJ48" s="11"/>
      <c r="AK48" s="9"/>
      <c r="AL48" s="9"/>
      <c r="AM48" s="9"/>
    </row>
    <row r="49" customFormat="false" ht="15" hidden="false" customHeight="true" outlineLevel="0" collapsed="false">
      <c r="A49" s="6" t="n">
        <v>44</v>
      </c>
      <c r="B49" s="7" t="n">
        <v>46288</v>
      </c>
      <c r="C49" s="8"/>
      <c r="D49" s="8"/>
      <c r="E49" s="8"/>
      <c r="F49" s="9"/>
      <c r="G49" s="8" t="s">
        <v>114</v>
      </c>
      <c r="H49" s="10" t="str">
        <f aca="false">IFERROR(INDEX('Operator Master'!$B$5:$B$504,MATCH(G49,'Operator Master'!$A$5:$A$504,0)),"")</f>
        <v>MD. SAIFUL ISLAM</v>
      </c>
      <c r="I49" s="9"/>
      <c r="J49" s="9"/>
      <c r="K49" s="8"/>
      <c r="L49" s="9" t="n">
        <v>543.75</v>
      </c>
      <c r="M49" s="9" t="n">
        <v>42.5</v>
      </c>
      <c r="N49" s="11"/>
      <c r="O49" s="11"/>
      <c r="P49" s="12" t="str">
        <f aca="false">IF(OR(N49="",O49=""),"",IFERROR(O49/N49*100,0))</f>
        <v/>
      </c>
      <c r="Q49" s="10" t="n">
        <v>8</v>
      </c>
      <c r="R49" s="12" t="str">
        <f aca="false">IF(J49="","",Q49*J49)</f>
        <v/>
      </c>
      <c r="S49" s="11"/>
      <c r="T49" s="12" t="str">
        <f aca="false">IF(OR(R49="",S49=""),"",IFERROR(S49/R49*100,0))</f>
        <v/>
      </c>
      <c r="U49" s="12" t="str">
        <f aca="false">IF(OR(O49="",L49="",M49="",S49="",M49=0),"",IFERROR(O49/(L49*60*S49/(M49*36))*100,0))</f>
        <v/>
      </c>
      <c r="V49" s="11"/>
      <c r="W49" s="12" t="str">
        <f aca="false">IF(O49="","",IFERROR(V49/O49*100,0))</f>
        <v/>
      </c>
      <c r="X49" s="11"/>
      <c r="Y49" s="11"/>
      <c r="Z49" s="11"/>
      <c r="AA49" s="11"/>
      <c r="AB49" s="11"/>
      <c r="AC49" s="11"/>
      <c r="AD49" s="11"/>
      <c r="AE49" s="11"/>
      <c r="AF49" s="12" t="str">
        <f aca="false">IF(O49="","",SUM(X49:AE49))</f>
        <v/>
      </c>
      <c r="AG49" s="12" t="str">
        <f aca="false">IF(O49="","",IFERROR(AF49/O49*1000,0))</f>
        <v/>
      </c>
      <c r="AH49" s="11"/>
      <c r="AI49" s="11"/>
      <c r="AJ49" s="11"/>
      <c r="AK49" s="9"/>
      <c r="AL49" s="9"/>
      <c r="AM49" s="9"/>
    </row>
    <row r="50" customFormat="false" ht="15" hidden="false" customHeight="true" outlineLevel="0" collapsed="false">
      <c r="A50" s="6" t="n">
        <v>45</v>
      </c>
      <c r="B50" s="7" t="n">
        <v>46288</v>
      </c>
      <c r="C50" s="8"/>
      <c r="D50" s="8"/>
      <c r="E50" s="8"/>
      <c r="F50" s="9"/>
      <c r="G50" s="8" t="s">
        <v>115</v>
      </c>
      <c r="H50" s="10" t="str">
        <f aca="false">IFERROR(INDEX('Operator Master'!$B$5:$B$504,MATCH(G50,'Operator Master'!$A$5:$A$504,0)),"")</f>
        <v>MD. NAJMUL ISLAM</v>
      </c>
      <c r="I50" s="9"/>
      <c r="J50" s="9"/>
      <c r="K50" s="8"/>
      <c r="L50" s="9"/>
      <c r="M50" s="9"/>
      <c r="N50" s="11"/>
      <c r="O50" s="11"/>
      <c r="P50" s="12" t="str">
        <f aca="false">IF(OR(N50="",O50=""),"",IFERROR(O50/N50*100,0))</f>
        <v/>
      </c>
      <c r="Q50" s="10" t="n">
        <v>8</v>
      </c>
      <c r="R50" s="12" t="str">
        <f aca="false">IF(J50="","",Q50*J50)</f>
        <v/>
      </c>
      <c r="S50" s="11"/>
      <c r="T50" s="12" t="str">
        <f aca="false">IF(OR(R50="",S50=""),"",IFERROR(S50/R50*100,0))</f>
        <v/>
      </c>
      <c r="U50" s="12" t="str">
        <f aca="false">IF(OR(O50="",L50="",M50="",S50="",M50=0),"",IFERROR(O50/(L50*60*S50/(M50*36))*100,0))</f>
        <v/>
      </c>
      <c r="V50" s="11"/>
      <c r="W50" s="12" t="str">
        <f aca="false">IF(O50="","",IFERROR(V50/O50*100,0))</f>
        <v/>
      </c>
      <c r="X50" s="11"/>
      <c r="Y50" s="11"/>
      <c r="Z50" s="11"/>
      <c r="AA50" s="11"/>
      <c r="AB50" s="11"/>
      <c r="AC50" s="11"/>
      <c r="AD50" s="11"/>
      <c r="AE50" s="11"/>
      <c r="AF50" s="12" t="str">
        <f aca="false">IF(O50="","",SUM(X50:AE50))</f>
        <v/>
      </c>
      <c r="AG50" s="12" t="str">
        <f aca="false">IF(O50="","",IFERROR(AF50/O50*1000,0))</f>
        <v/>
      </c>
      <c r="AH50" s="11"/>
      <c r="AI50" s="11"/>
      <c r="AJ50" s="11"/>
      <c r="AK50" s="9"/>
      <c r="AL50" s="9"/>
      <c r="AM50" s="9"/>
    </row>
    <row r="51" customFormat="false" ht="15" hidden="false" customHeight="true" outlineLevel="0" collapsed="false">
      <c r="A51" s="6" t="n">
        <v>46</v>
      </c>
      <c r="B51" s="7" t="n">
        <v>46288</v>
      </c>
      <c r="C51" s="8"/>
      <c r="D51" s="8"/>
      <c r="E51" s="8"/>
      <c r="F51" s="9"/>
      <c r="G51" s="8" t="s">
        <v>116</v>
      </c>
      <c r="H51" s="10" t="str">
        <f aca="false">IFERROR(INDEX('Operator Master'!$B$5:$B$504,MATCH(G51,'Operator Master'!$A$5:$A$504,0)),"")</f>
        <v>MD. ANOWAR HOSEN-1</v>
      </c>
      <c r="I51" s="9"/>
      <c r="J51" s="9"/>
      <c r="K51" s="8"/>
      <c r="L51" s="9"/>
      <c r="M51" s="9"/>
      <c r="N51" s="11"/>
      <c r="O51" s="11"/>
      <c r="P51" s="12" t="str">
        <f aca="false">IF(OR(N51="",O51=""),"",IFERROR(O51/N51*100,0))</f>
        <v/>
      </c>
      <c r="Q51" s="10" t="n">
        <v>8</v>
      </c>
      <c r="R51" s="12" t="str">
        <f aca="false">IF(J51="","",Q51*J51)</f>
        <v/>
      </c>
      <c r="S51" s="11"/>
      <c r="T51" s="12" t="str">
        <f aca="false">IF(OR(R51="",S51=""),"",IFERROR(S51/R51*100,0))</f>
        <v/>
      </c>
      <c r="U51" s="12" t="str">
        <f aca="false">IF(OR(O51="",L51="",M51="",S51="",M51=0),"",IFERROR(O51/(L51*60*S51/(M51*36))*100,0))</f>
        <v/>
      </c>
      <c r="V51" s="11"/>
      <c r="W51" s="12" t="str">
        <f aca="false">IF(O51="","",IFERROR(V51/O51*100,0))</f>
        <v/>
      </c>
      <c r="X51" s="11"/>
      <c r="Y51" s="11"/>
      <c r="Z51" s="11"/>
      <c r="AA51" s="11"/>
      <c r="AB51" s="11"/>
      <c r="AC51" s="11"/>
      <c r="AD51" s="11"/>
      <c r="AE51" s="11"/>
      <c r="AF51" s="12" t="str">
        <f aca="false">IF(O51="","",SUM(X51:AE51))</f>
        <v/>
      </c>
      <c r="AG51" s="12" t="str">
        <f aca="false">IF(O51="","",IFERROR(AF51/O51*1000,0))</f>
        <v/>
      </c>
      <c r="AH51" s="11"/>
      <c r="AI51" s="11"/>
      <c r="AJ51" s="11"/>
      <c r="AK51" s="9"/>
      <c r="AL51" s="9"/>
      <c r="AM51" s="9"/>
    </row>
    <row r="52" customFormat="false" ht="15" hidden="false" customHeight="true" outlineLevel="0" collapsed="false">
      <c r="A52" s="6" t="n">
        <v>47</v>
      </c>
      <c r="B52" s="7" t="n">
        <v>46288</v>
      </c>
      <c r="C52" s="8"/>
      <c r="D52" s="8"/>
      <c r="E52" s="8"/>
      <c r="F52" s="9"/>
      <c r="G52" s="8" t="s">
        <v>117</v>
      </c>
      <c r="H52" s="10" t="str">
        <f aca="false">IFERROR(INDEX('Operator Master'!$B$5:$B$504,MATCH(G52,'Operator Master'!$A$5:$A$504,0)),"")</f>
        <v>MD. JAHANGIR  </v>
      </c>
      <c r="I52" s="9"/>
      <c r="J52" s="9"/>
      <c r="K52" s="8"/>
      <c r="L52" s="9"/>
      <c r="M52" s="9"/>
      <c r="N52" s="11"/>
      <c r="O52" s="11"/>
      <c r="P52" s="12" t="str">
        <f aca="false">IF(OR(N52="",O52=""),"",IFERROR(O52/N52*100,0))</f>
        <v/>
      </c>
      <c r="Q52" s="10" t="n">
        <v>8</v>
      </c>
      <c r="R52" s="12" t="str">
        <f aca="false">IF(J52="","",Q52*J52)</f>
        <v/>
      </c>
      <c r="S52" s="11"/>
      <c r="T52" s="12" t="str">
        <f aca="false">IF(OR(R52="",S52=""),"",IFERROR(S52/R52*100,0))</f>
        <v/>
      </c>
      <c r="U52" s="12" t="str">
        <f aca="false">IF(OR(O52="",L52="",M52="",S52="",M52=0),"",IFERROR(O52/(L52*60*S52/(M52*36))*100,0))</f>
        <v/>
      </c>
      <c r="V52" s="11"/>
      <c r="W52" s="12" t="str">
        <f aca="false">IF(O52="","",IFERROR(V52/O52*100,0))</f>
        <v/>
      </c>
      <c r="X52" s="11"/>
      <c r="Y52" s="11"/>
      <c r="Z52" s="11"/>
      <c r="AA52" s="11"/>
      <c r="AB52" s="11"/>
      <c r="AC52" s="11"/>
      <c r="AD52" s="11"/>
      <c r="AE52" s="11"/>
      <c r="AF52" s="12" t="str">
        <f aca="false">IF(O52="","",SUM(X52:AE52))</f>
        <v/>
      </c>
      <c r="AG52" s="12" t="str">
        <f aca="false">IF(O52="","",IFERROR(AF52/O52*1000,0))</f>
        <v/>
      </c>
      <c r="AH52" s="11"/>
      <c r="AI52" s="11"/>
      <c r="AJ52" s="11"/>
      <c r="AK52" s="9"/>
      <c r="AL52" s="9"/>
      <c r="AM52" s="9"/>
    </row>
    <row r="53" customFormat="false" ht="15" hidden="false" customHeight="true" outlineLevel="0" collapsed="false">
      <c r="A53" s="6" t="n">
        <v>48</v>
      </c>
      <c r="B53" s="7" t="n">
        <v>46288</v>
      </c>
      <c r="C53" s="8"/>
      <c r="D53" s="8"/>
      <c r="E53" s="8"/>
      <c r="F53" s="9"/>
      <c r="G53" s="8" t="s">
        <v>118</v>
      </c>
      <c r="H53" s="10" t="str">
        <f aca="false">IFERROR(INDEX('Operator Master'!$B$5:$B$504,MATCH(G53,'Operator Master'!$A$5:$A$504,0)),"")</f>
        <v>MD. FAZLUL HAQUE</v>
      </c>
      <c r="I53" s="9"/>
      <c r="J53" s="9"/>
      <c r="K53" s="8"/>
      <c r="L53" s="9"/>
      <c r="M53" s="9"/>
      <c r="N53" s="11"/>
      <c r="O53" s="11"/>
      <c r="P53" s="12" t="str">
        <f aca="false">IF(OR(N53="",O53=""),"",IFERROR(O53/N53*100,0))</f>
        <v/>
      </c>
      <c r="Q53" s="10" t="n">
        <v>8</v>
      </c>
      <c r="R53" s="12" t="str">
        <f aca="false">IF(J53="","",Q53*J53)</f>
        <v/>
      </c>
      <c r="S53" s="11"/>
      <c r="T53" s="12" t="str">
        <f aca="false">IF(OR(R53="",S53=""),"",IFERROR(S53/R53*100,0))</f>
        <v/>
      </c>
      <c r="U53" s="12" t="str">
        <f aca="false">IF(OR(O53="",L53="",M53="",S53="",M53=0),"",IFERROR(O53/(L53*60*S53/(M53*36))*100,0))</f>
        <v/>
      </c>
      <c r="V53" s="11"/>
      <c r="W53" s="12" t="str">
        <f aca="false">IF(O53="","",IFERROR(V53/O53*100,0))</f>
        <v/>
      </c>
      <c r="X53" s="11"/>
      <c r="Y53" s="11"/>
      <c r="Z53" s="11"/>
      <c r="AA53" s="11"/>
      <c r="AB53" s="11"/>
      <c r="AC53" s="11"/>
      <c r="AD53" s="11"/>
      <c r="AE53" s="11"/>
      <c r="AF53" s="12" t="str">
        <f aca="false">IF(O53="","",SUM(X53:AE53))</f>
        <v/>
      </c>
      <c r="AG53" s="12" t="str">
        <f aca="false">IF(O53="","",IFERROR(AF53/O53*1000,0))</f>
        <v/>
      </c>
      <c r="AH53" s="11"/>
      <c r="AI53" s="11"/>
      <c r="AJ53" s="11"/>
      <c r="AK53" s="9"/>
      <c r="AL53" s="9"/>
      <c r="AM53" s="9"/>
    </row>
    <row r="54" customFormat="false" ht="15" hidden="false" customHeight="true" outlineLevel="0" collapsed="false">
      <c r="A54" s="6" t="n">
        <v>49</v>
      </c>
      <c r="B54" s="7" t="n">
        <v>46288</v>
      </c>
      <c r="C54" s="8"/>
      <c r="D54" s="8"/>
      <c r="E54" s="8"/>
      <c r="F54" s="9"/>
      <c r="G54" s="8" t="s">
        <v>119</v>
      </c>
      <c r="H54" s="10" t="str">
        <f aca="false">IFERROR(INDEX('Operator Master'!$B$5:$B$504,MATCH(G54,'Operator Master'!$A$5:$A$504,0)),"")</f>
        <v>MD. AMJAD ALI</v>
      </c>
      <c r="I54" s="9"/>
      <c r="J54" s="9"/>
      <c r="K54" s="8"/>
      <c r="L54" s="9"/>
      <c r="M54" s="9"/>
      <c r="N54" s="11"/>
      <c r="O54" s="11"/>
      <c r="P54" s="12" t="str">
        <f aca="false">IF(OR(N54="",O54=""),"",IFERROR(O54/N54*100,0))</f>
        <v/>
      </c>
      <c r="Q54" s="10" t="n">
        <v>8</v>
      </c>
      <c r="R54" s="12" t="str">
        <f aca="false">IF(J54="","",Q54*J54)</f>
        <v/>
      </c>
      <c r="S54" s="11"/>
      <c r="T54" s="12" t="str">
        <f aca="false">IF(OR(R54="",S54=""),"",IFERROR(S54/R54*100,0))</f>
        <v/>
      </c>
      <c r="U54" s="12" t="str">
        <f aca="false">IF(OR(O54="",L54="",M54="",S54="",M54=0),"",IFERROR(O54/(L54*60*S54/(M54*36))*100,0))</f>
        <v/>
      </c>
      <c r="V54" s="11"/>
      <c r="W54" s="12" t="str">
        <f aca="false">IF(O54="","",IFERROR(V54/O54*100,0))</f>
        <v/>
      </c>
      <c r="X54" s="11"/>
      <c r="Y54" s="11"/>
      <c r="Z54" s="11"/>
      <c r="AA54" s="11"/>
      <c r="AB54" s="11"/>
      <c r="AC54" s="11"/>
      <c r="AD54" s="11"/>
      <c r="AE54" s="11"/>
      <c r="AF54" s="12" t="str">
        <f aca="false">IF(O54="","",SUM(X54:AE54))</f>
        <v/>
      </c>
      <c r="AG54" s="12" t="str">
        <f aca="false">IF(O54="","",IFERROR(AF54/O54*1000,0))</f>
        <v/>
      </c>
      <c r="AH54" s="11"/>
      <c r="AI54" s="11"/>
      <c r="AJ54" s="11"/>
      <c r="AK54" s="9"/>
      <c r="AL54" s="9"/>
      <c r="AM54" s="9"/>
    </row>
    <row r="55" customFormat="false" ht="15" hidden="false" customHeight="true" outlineLevel="0" collapsed="false">
      <c r="A55" s="6" t="n">
        <v>50</v>
      </c>
      <c r="B55" s="7" t="n">
        <v>46288</v>
      </c>
      <c r="C55" s="8"/>
      <c r="D55" s="8"/>
      <c r="E55" s="8"/>
      <c r="F55" s="9"/>
      <c r="G55" s="8" t="s">
        <v>120</v>
      </c>
      <c r="H55" s="10" t="str">
        <f aca="false">IFERROR(INDEX('Operator Master'!$B$5:$B$504,MATCH(G55,'Operator Master'!$A$5:$A$504,0)),"")</f>
        <v>MD. MAKHON</v>
      </c>
      <c r="I55" s="9"/>
      <c r="J55" s="9"/>
      <c r="K55" s="8"/>
      <c r="L55" s="9"/>
      <c r="M55" s="9"/>
      <c r="N55" s="11"/>
      <c r="O55" s="11"/>
      <c r="P55" s="12" t="str">
        <f aca="false">IF(OR(N55="",O55=""),"",IFERROR(O55/N55*100,0))</f>
        <v/>
      </c>
      <c r="Q55" s="10" t="n">
        <v>8</v>
      </c>
      <c r="R55" s="12" t="str">
        <f aca="false">IF(J55="","",Q55*J55)</f>
        <v/>
      </c>
      <c r="S55" s="11"/>
      <c r="T55" s="12" t="str">
        <f aca="false">IF(OR(R55="",S55=""),"",IFERROR(S55/R55*100,0))</f>
        <v/>
      </c>
      <c r="U55" s="12" t="str">
        <f aca="false">IF(OR(O55="",L55="",M55="",S55="",M55=0),"",IFERROR(O55/(L55*60*S55/(M55*36))*100,0))</f>
        <v/>
      </c>
      <c r="V55" s="11"/>
      <c r="W55" s="12" t="str">
        <f aca="false">IF(O55="","",IFERROR(V55/O55*100,0))</f>
        <v/>
      </c>
      <c r="X55" s="11"/>
      <c r="Y55" s="11"/>
      <c r="Z55" s="11"/>
      <c r="AA55" s="11"/>
      <c r="AB55" s="11"/>
      <c r="AC55" s="11"/>
      <c r="AD55" s="11"/>
      <c r="AE55" s="11"/>
      <c r="AF55" s="12" t="str">
        <f aca="false">IF(O55="","",SUM(X55:AE55))</f>
        <v/>
      </c>
      <c r="AG55" s="12" t="str">
        <f aca="false">IF(O55="","",IFERROR(AF55/O55*1000,0))</f>
        <v/>
      </c>
      <c r="AH55" s="11"/>
      <c r="AI55" s="11"/>
      <c r="AJ55" s="11"/>
      <c r="AK55" s="9"/>
      <c r="AL55" s="9"/>
      <c r="AM55" s="9"/>
    </row>
    <row r="56" customFormat="false" ht="15" hidden="false" customHeight="true" outlineLevel="0" collapsed="false">
      <c r="A56" s="6" t="n">
        <v>51</v>
      </c>
      <c r="B56" s="7" t="n">
        <v>46288</v>
      </c>
      <c r="C56" s="8"/>
      <c r="D56" s="8"/>
      <c r="E56" s="8"/>
      <c r="F56" s="9"/>
      <c r="G56" s="8" t="s">
        <v>121</v>
      </c>
      <c r="H56" s="10" t="str">
        <f aca="false">IFERROR(INDEX('Operator Master'!$B$5:$B$504,MATCH(G56,'Operator Master'!$A$5:$A$504,0)),"")</f>
        <v>MD. BELAYET HOSSAIN</v>
      </c>
      <c r="I56" s="9"/>
      <c r="J56" s="9"/>
      <c r="K56" s="8"/>
      <c r="L56" s="9"/>
      <c r="M56" s="9"/>
      <c r="N56" s="11"/>
      <c r="O56" s="11"/>
      <c r="P56" s="12" t="str">
        <f aca="false">IF(OR(N56="",O56=""),"",IFERROR(O56/N56*100,0))</f>
        <v/>
      </c>
      <c r="Q56" s="10" t="n">
        <v>8</v>
      </c>
      <c r="R56" s="12" t="str">
        <f aca="false">IF(J56="","",Q56*J56)</f>
        <v/>
      </c>
      <c r="S56" s="11"/>
      <c r="T56" s="12" t="str">
        <f aca="false">IF(OR(R56="",S56=""),"",IFERROR(S56/R56*100,0))</f>
        <v/>
      </c>
      <c r="U56" s="12" t="str">
        <f aca="false">IF(OR(O56="",L56="",M56="",S56="",M56=0),"",IFERROR(O56/(L56*60*S56/(M56*36))*100,0))</f>
        <v/>
      </c>
      <c r="V56" s="11"/>
      <c r="W56" s="12" t="str">
        <f aca="false">IF(O56="","",IFERROR(V56/O56*100,0))</f>
        <v/>
      </c>
      <c r="X56" s="11"/>
      <c r="Y56" s="11"/>
      <c r="Z56" s="11"/>
      <c r="AA56" s="11"/>
      <c r="AB56" s="11"/>
      <c r="AC56" s="11"/>
      <c r="AD56" s="11"/>
      <c r="AE56" s="11"/>
      <c r="AF56" s="12" t="str">
        <f aca="false">IF(O56="","",SUM(X56:AE56))</f>
        <v/>
      </c>
      <c r="AG56" s="12" t="str">
        <f aca="false">IF(O56="","",IFERROR(AF56/O56*1000,0))</f>
        <v/>
      </c>
      <c r="AH56" s="11"/>
      <c r="AI56" s="11"/>
      <c r="AJ56" s="11"/>
      <c r="AK56" s="9"/>
      <c r="AL56" s="9"/>
      <c r="AM56" s="9"/>
    </row>
    <row r="57" customFormat="false" ht="15" hidden="false" customHeight="true" outlineLevel="0" collapsed="false">
      <c r="A57" s="6" t="n">
        <v>52</v>
      </c>
      <c r="B57" s="7" t="n">
        <v>46288</v>
      </c>
      <c r="C57" s="8"/>
      <c r="D57" s="8"/>
      <c r="E57" s="8"/>
      <c r="F57" s="9"/>
      <c r="G57" s="8" t="s">
        <v>122</v>
      </c>
      <c r="H57" s="10" t="str">
        <f aca="false">IFERROR(INDEX('Operator Master'!$B$5:$B$504,MATCH(G57,'Operator Master'!$A$5:$A$504,0)),"")</f>
        <v>MD. SELIM HOSSEN</v>
      </c>
      <c r="I57" s="9"/>
      <c r="J57" s="9"/>
      <c r="K57" s="8"/>
      <c r="L57" s="9"/>
      <c r="M57" s="9"/>
      <c r="N57" s="11"/>
      <c r="O57" s="11"/>
      <c r="P57" s="12" t="str">
        <f aca="false">IF(OR(N57="",O57=""),"",IFERROR(O57/N57*100,0))</f>
        <v/>
      </c>
      <c r="Q57" s="10" t="n">
        <v>8</v>
      </c>
      <c r="R57" s="12" t="str">
        <f aca="false">IF(J57="","",Q57*J57)</f>
        <v/>
      </c>
      <c r="S57" s="11"/>
      <c r="T57" s="12" t="str">
        <f aca="false">IF(OR(R57="",S57=""),"",IFERROR(S57/R57*100,0))</f>
        <v/>
      </c>
      <c r="U57" s="12" t="str">
        <f aca="false">IF(OR(O57="",L57="",M57="",S57="",M57=0),"",IFERROR(O57/(L57*60*S57/(M57*36))*100,0))</f>
        <v/>
      </c>
      <c r="V57" s="11"/>
      <c r="W57" s="12" t="str">
        <f aca="false">IF(O57="","",IFERROR(V57/O57*100,0))</f>
        <v/>
      </c>
      <c r="X57" s="11"/>
      <c r="Y57" s="11"/>
      <c r="Z57" s="11"/>
      <c r="AA57" s="11"/>
      <c r="AB57" s="11"/>
      <c r="AC57" s="11"/>
      <c r="AD57" s="11"/>
      <c r="AE57" s="11"/>
      <c r="AF57" s="12" t="str">
        <f aca="false">IF(O57="","",SUM(X57:AE57))</f>
        <v/>
      </c>
      <c r="AG57" s="12" t="str">
        <f aca="false">IF(O57="","",IFERROR(AF57/O57*1000,0))</f>
        <v/>
      </c>
      <c r="AH57" s="11"/>
      <c r="AI57" s="11"/>
      <c r="AJ57" s="11"/>
      <c r="AK57" s="9"/>
      <c r="AL57" s="9"/>
      <c r="AM57" s="9"/>
    </row>
    <row r="58" customFormat="false" ht="15" hidden="false" customHeight="true" outlineLevel="0" collapsed="false">
      <c r="A58" s="6" t="n">
        <v>53</v>
      </c>
      <c r="B58" s="7" t="n">
        <v>46288</v>
      </c>
      <c r="C58" s="8"/>
      <c r="D58" s="8"/>
      <c r="E58" s="8"/>
      <c r="F58" s="9"/>
      <c r="G58" s="8" t="s">
        <v>123</v>
      </c>
      <c r="H58" s="10" t="str">
        <f aca="false">IFERROR(INDEX('Operator Master'!$B$5:$B$504,MATCH(G58,'Operator Master'!$A$5:$A$504,0)),"")</f>
        <v>MD. MARUF</v>
      </c>
      <c r="I58" s="9"/>
      <c r="J58" s="9"/>
      <c r="K58" s="8"/>
      <c r="L58" s="9"/>
      <c r="M58" s="9"/>
      <c r="N58" s="11"/>
      <c r="O58" s="11"/>
      <c r="P58" s="12" t="str">
        <f aca="false">IF(OR(N58="",O58=""),"",IFERROR(O58/N58*100,0))</f>
        <v/>
      </c>
      <c r="Q58" s="10" t="n">
        <v>8</v>
      </c>
      <c r="R58" s="12" t="str">
        <f aca="false">IF(J58="","",Q58*J58)</f>
        <v/>
      </c>
      <c r="S58" s="11"/>
      <c r="T58" s="12" t="str">
        <f aca="false">IF(OR(R58="",S58=""),"",IFERROR(S58/R58*100,0))</f>
        <v/>
      </c>
      <c r="U58" s="12" t="str">
        <f aca="false">IF(OR(O58="",L58="",M58="",S58="",M58=0),"",IFERROR(O58/(L58*60*S58/(M58*36))*100,0))</f>
        <v/>
      </c>
      <c r="V58" s="11"/>
      <c r="W58" s="12" t="str">
        <f aca="false">IF(O58="","",IFERROR(V58/O58*100,0))</f>
        <v/>
      </c>
      <c r="X58" s="11"/>
      <c r="Y58" s="11"/>
      <c r="Z58" s="11"/>
      <c r="AA58" s="11"/>
      <c r="AB58" s="11"/>
      <c r="AC58" s="11"/>
      <c r="AD58" s="11"/>
      <c r="AE58" s="11"/>
      <c r="AF58" s="12" t="str">
        <f aca="false">IF(O58="","",SUM(X58:AE58))</f>
        <v/>
      </c>
      <c r="AG58" s="12" t="str">
        <f aca="false">IF(O58="","",IFERROR(AF58/O58*1000,0))</f>
        <v/>
      </c>
      <c r="AH58" s="11"/>
      <c r="AI58" s="11"/>
      <c r="AJ58" s="11"/>
      <c r="AK58" s="9"/>
      <c r="AL58" s="9"/>
      <c r="AM58" s="9"/>
    </row>
    <row r="59" customFormat="false" ht="15" hidden="false" customHeight="true" outlineLevel="0" collapsed="false">
      <c r="A59" s="6" t="n">
        <v>54</v>
      </c>
      <c r="B59" s="7" t="n">
        <v>46288</v>
      </c>
      <c r="C59" s="8"/>
      <c r="D59" s="8"/>
      <c r="E59" s="8"/>
      <c r="F59" s="9"/>
      <c r="G59" s="8" t="s">
        <v>124</v>
      </c>
      <c r="H59" s="10" t="str">
        <f aca="false">IFERROR(INDEX('Operator Master'!$B$5:$B$504,MATCH(G59,'Operator Master'!$A$5:$A$504,0)),"")</f>
        <v>MD. ISMAHIL</v>
      </c>
      <c r="I59" s="9"/>
      <c r="J59" s="9"/>
      <c r="K59" s="8"/>
      <c r="L59" s="9"/>
      <c r="M59" s="9"/>
      <c r="N59" s="11"/>
      <c r="O59" s="11"/>
      <c r="P59" s="12" t="str">
        <f aca="false">IF(OR(N59="",O59=""),"",IFERROR(O59/N59*100,0))</f>
        <v/>
      </c>
      <c r="Q59" s="10" t="n">
        <v>8</v>
      </c>
      <c r="R59" s="12" t="str">
        <f aca="false">IF(J59="","",Q59*J59)</f>
        <v/>
      </c>
      <c r="S59" s="11"/>
      <c r="T59" s="12" t="str">
        <f aca="false">IF(OR(R59="",S59=""),"",IFERROR(S59/R59*100,0))</f>
        <v/>
      </c>
      <c r="U59" s="12" t="str">
        <f aca="false">IF(OR(O59="",L59="",M59="",S59="",M59=0),"",IFERROR(O59/(L59*60*S59/(M59*36))*100,0))</f>
        <v/>
      </c>
      <c r="V59" s="11"/>
      <c r="W59" s="12" t="str">
        <f aca="false">IF(O59="","",IFERROR(V59/O59*100,0))</f>
        <v/>
      </c>
      <c r="X59" s="11"/>
      <c r="Y59" s="11"/>
      <c r="Z59" s="11"/>
      <c r="AA59" s="11"/>
      <c r="AB59" s="11"/>
      <c r="AC59" s="11"/>
      <c r="AD59" s="11"/>
      <c r="AE59" s="11"/>
      <c r="AF59" s="12" t="str">
        <f aca="false">IF(O59="","",SUM(X59:AE59))</f>
        <v/>
      </c>
      <c r="AG59" s="12" t="str">
        <f aca="false">IF(O59="","",IFERROR(AF59/O59*1000,0))</f>
        <v/>
      </c>
      <c r="AH59" s="11"/>
      <c r="AI59" s="11"/>
      <c r="AJ59" s="11"/>
      <c r="AK59" s="9"/>
      <c r="AL59" s="9"/>
      <c r="AM59" s="9"/>
    </row>
    <row r="60" customFormat="false" ht="15" hidden="false" customHeight="true" outlineLevel="0" collapsed="false">
      <c r="A60" s="6" t="n">
        <v>55</v>
      </c>
      <c r="B60" s="7" t="n">
        <v>46288</v>
      </c>
      <c r="C60" s="8"/>
      <c r="D60" s="8"/>
      <c r="E60" s="8"/>
      <c r="F60" s="9"/>
      <c r="G60" s="8" t="s">
        <v>125</v>
      </c>
      <c r="H60" s="10" t="str">
        <f aca="false">IFERROR(INDEX('Operator Master'!$B$5:$B$504,MATCH(G60,'Operator Master'!$A$5:$A$504,0)),"")</f>
        <v>MD. KHABIR MOLLA</v>
      </c>
      <c r="I60" s="9"/>
      <c r="J60" s="9"/>
      <c r="K60" s="8"/>
      <c r="L60" s="9"/>
      <c r="M60" s="9"/>
      <c r="N60" s="11"/>
      <c r="O60" s="11"/>
      <c r="P60" s="12" t="str">
        <f aca="false">IF(OR(N60="",O60=""),"",IFERROR(O60/N60*100,0))</f>
        <v/>
      </c>
      <c r="Q60" s="10" t="n">
        <v>8</v>
      </c>
      <c r="R60" s="12" t="str">
        <f aca="false">IF(J60="","",Q60*J60)</f>
        <v/>
      </c>
      <c r="S60" s="11"/>
      <c r="T60" s="12" t="str">
        <f aca="false">IF(OR(R60="",S60=""),"",IFERROR(S60/R60*100,0))</f>
        <v/>
      </c>
      <c r="U60" s="12" t="str">
        <f aca="false">IF(OR(O60="",L60="",M60="",S60="",M60=0),"",IFERROR(O60/(L60*60*S60/(M60*36))*100,0))</f>
        <v/>
      </c>
      <c r="V60" s="11"/>
      <c r="W60" s="12" t="str">
        <f aca="false">IF(O60="","",IFERROR(V60/O60*100,0))</f>
        <v/>
      </c>
      <c r="X60" s="11"/>
      <c r="Y60" s="11"/>
      <c r="Z60" s="11"/>
      <c r="AA60" s="11"/>
      <c r="AB60" s="11"/>
      <c r="AC60" s="11"/>
      <c r="AD60" s="11"/>
      <c r="AE60" s="11"/>
      <c r="AF60" s="12" t="str">
        <f aca="false">IF(O60="","",SUM(X60:AE60))</f>
        <v/>
      </c>
      <c r="AG60" s="12" t="str">
        <f aca="false">IF(O60="","",IFERROR(AF60/O60*1000,0))</f>
        <v/>
      </c>
      <c r="AH60" s="11"/>
      <c r="AI60" s="11"/>
      <c r="AJ60" s="11"/>
      <c r="AK60" s="9"/>
      <c r="AL60" s="9"/>
      <c r="AM60" s="9"/>
    </row>
    <row r="61" customFormat="false" ht="15" hidden="false" customHeight="true" outlineLevel="0" collapsed="false">
      <c r="A61" s="6" t="n">
        <v>56</v>
      </c>
      <c r="B61" s="7" t="n">
        <v>46288</v>
      </c>
      <c r="C61" s="8"/>
      <c r="D61" s="8"/>
      <c r="E61" s="8"/>
      <c r="F61" s="9"/>
      <c r="G61" s="8" t="s">
        <v>126</v>
      </c>
      <c r="H61" s="10" t="str">
        <f aca="false">IFERROR(INDEX('Operator Master'!$B$5:$B$504,MATCH(G61,'Operator Master'!$A$5:$A$504,0)),"")</f>
        <v>MD. ALOM ISLAM</v>
      </c>
      <c r="I61" s="9"/>
      <c r="J61" s="9"/>
      <c r="K61" s="8"/>
      <c r="L61" s="9"/>
      <c r="M61" s="9"/>
      <c r="N61" s="11"/>
      <c r="O61" s="11"/>
      <c r="P61" s="12" t="str">
        <f aca="false">IF(OR(N61="",O61=""),"",IFERROR(O61/N61*100,0))</f>
        <v/>
      </c>
      <c r="Q61" s="10" t="n">
        <v>8</v>
      </c>
      <c r="R61" s="12" t="str">
        <f aca="false">IF(J61="","",Q61*J61)</f>
        <v/>
      </c>
      <c r="S61" s="11"/>
      <c r="T61" s="12" t="str">
        <f aca="false">IF(OR(R61="",S61=""),"",IFERROR(S61/R61*100,0))</f>
        <v/>
      </c>
      <c r="U61" s="12" t="str">
        <f aca="false">IF(OR(O61="",L61="",M61="",S61="",M61=0),"",IFERROR(O61/(L61*60*S61/(M61*36))*100,0))</f>
        <v/>
      </c>
      <c r="V61" s="11"/>
      <c r="W61" s="12" t="str">
        <f aca="false">IF(O61="","",IFERROR(V61/O61*100,0))</f>
        <v/>
      </c>
      <c r="X61" s="11"/>
      <c r="Y61" s="11"/>
      <c r="Z61" s="11"/>
      <c r="AA61" s="11"/>
      <c r="AB61" s="11"/>
      <c r="AC61" s="11"/>
      <c r="AD61" s="11"/>
      <c r="AE61" s="11"/>
      <c r="AF61" s="12" t="str">
        <f aca="false">IF(O61="","",SUM(X61:AE61))</f>
        <v/>
      </c>
      <c r="AG61" s="12" t="str">
        <f aca="false">IF(O61="","",IFERROR(AF61/O61*1000,0))</f>
        <v/>
      </c>
      <c r="AH61" s="11"/>
      <c r="AI61" s="11"/>
      <c r="AJ61" s="11"/>
      <c r="AK61" s="9"/>
      <c r="AL61" s="9"/>
      <c r="AM61" s="9"/>
    </row>
    <row r="62" customFormat="false" ht="15" hidden="false" customHeight="true" outlineLevel="0" collapsed="false">
      <c r="A62" s="6"/>
      <c r="B62" s="7"/>
      <c r="C62" s="8"/>
      <c r="D62" s="8"/>
      <c r="E62" s="8"/>
      <c r="F62" s="9"/>
      <c r="G62" s="8"/>
      <c r="H62" s="10" t="str">
        <f aca="false">IFERROR(INDEX('Operator Master'!$B$5:$B$504,MATCH(G62,'Operator Master'!$A$5:$A$504,0)),"")</f>
        <v/>
      </c>
      <c r="I62" s="9"/>
      <c r="J62" s="9"/>
      <c r="K62" s="8"/>
      <c r="L62" s="9"/>
      <c r="M62" s="9"/>
      <c r="N62" s="11"/>
      <c r="O62" s="11"/>
      <c r="P62" s="12" t="str">
        <f aca="false">IF(OR(N62="",O62=""),"",IFERROR(O62/N62*100,0))</f>
        <v/>
      </c>
      <c r="Q62" s="10" t="n">
        <v>8</v>
      </c>
      <c r="R62" s="12" t="str">
        <f aca="false">IF(J62="","",Q62*J62)</f>
        <v/>
      </c>
      <c r="S62" s="11"/>
      <c r="T62" s="12" t="str">
        <f aca="false">IF(OR(R62="",S62=""),"",IFERROR(S62/R62*100,0))</f>
        <v/>
      </c>
      <c r="U62" s="12" t="str">
        <f aca="false">IF(OR(O62="",L62="",M62="",S62="",M62=0),"",IFERROR(O62/(L62*60*S62/(M62*36))*100,0))</f>
        <v/>
      </c>
      <c r="V62" s="11"/>
      <c r="W62" s="12" t="str">
        <f aca="false">IF(O62="","",IFERROR(V62/O62*100,0))</f>
        <v/>
      </c>
      <c r="X62" s="11"/>
      <c r="Y62" s="11"/>
      <c r="Z62" s="11"/>
      <c r="AA62" s="11"/>
      <c r="AB62" s="11"/>
      <c r="AC62" s="11"/>
      <c r="AD62" s="11"/>
      <c r="AE62" s="11"/>
      <c r="AF62" s="12" t="str">
        <f aca="false">IF(O62="","",SUM(X62:AE62))</f>
        <v/>
      </c>
      <c r="AG62" s="12" t="str">
        <f aca="false">IF(O62="","",IFERROR(AF62/O62*1000,0))</f>
        <v/>
      </c>
      <c r="AH62" s="11"/>
      <c r="AI62" s="11"/>
      <c r="AJ62" s="11"/>
      <c r="AK62" s="9"/>
      <c r="AL62" s="9"/>
      <c r="AM62" s="9"/>
    </row>
    <row r="63" customFormat="false" ht="15" hidden="false" customHeight="true" outlineLevel="0" collapsed="false">
      <c r="A63" s="6"/>
      <c r="B63" s="7"/>
      <c r="C63" s="8"/>
      <c r="D63" s="8"/>
      <c r="E63" s="8"/>
      <c r="F63" s="9"/>
      <c r="G63" s="8"/>
      <c r="H63" s="10" t="str">
        <f aca="false">IFERROR(INDEX('Operator Master'!$B$5:$B$504,MATCH(G63,'Operator Master'!$A$5:$A$504,0)),"")</f>
        <v/>
      </c>
      <c r="I63" s="9"/>
      <c r="J63" s="9"/>
      <c r="K63" s="8"/>
      <c r="L63" s="9"/>
      <c r="M63" s="9"/>
      <c r="N63" s="11"/>
      <c r="O63" s="11"/>
      <c r="P63" s="12" t="str">
        <f aca="false">IF(OR(N63="",O63=""),"",IFERROR(O63/N63*100,0))</f>
        <v/>
      </c>
      <c r="Q63" s="10" t="n">
        <v>8</v>
      </c>
      <c r="R63" s="12" t="str">
        <f aca="false">IF(J63="","",Q63*J63)</f>
        <v/>
      </c>
      <c r="S63" s="11"/>
      <c r="T63" s="12" t="str">
        <f aca="false">IF(OR(R63="",S63=""),"",IFERROR(S63/R63*100,0))</f>
        <v/>
      </c>
      <c r="U63" s="12" t="str">
        <f aca="false">IF(OR(O63="",L63="",M63="",S63="",M63=0),"",IFERROR(O63/(L63*60*S63/(M63*36))*100,0))</f>
        <v/>
      </c>
      <c r="V63" s="11"/>
      <c r="W63" s="12" t="str">
        <f aca="false">IF(O63="","",IFERROR(V63/O63*100,0))</f>
        <v/>
      </c>
      <c r="X63" s="11"/>
      <c r="Y63" s="11"/>
      <c r="Z63" s="11"/>
      <c r="AA63" s="11"/>
      <c r="AB63" s="11"/>
      <c r="AC63" s="11"/>
      <c r="AD63" s="11"/>
      <c r="AE63" s="11"/>
      <c r="AF63" s="12" t="str">
        <f aca="false">IF(O63="","",SUM(X63:AE63))</f>
        <v/>
      </c>
      <c r="AG63" s="12" t="str">
        <f aca="false">IF(O63="","",IFERROR(AF63/O63*1000,0))</f>
        <v/>
      </c>
      <c r="AH63" s="11"/>
      <c r="AI63" s="11"/>
      <c r="AJ63" s="11"/>
      <c r="AK63" s="9"/>
      <c r="AL63" s="9"/>
      <c r="AM63" s="9"/>
    </row>
    <row r="64" customFormat="false" ht="15" hidden="false" customHeight="true" outlineLevel="0" collapsed="false">
      <c r="A64" s="6"/>
      <c r="B64" s="7"/>
      <c r="C64" s="8"/>
      <c r="D64" s="8"/>
      <c r="E64" s="8"/>
      <c r="F64" s="9"/>
      <c r="G64" s="8"/>
      <c r="H64" s="10" t="str">
        <f aca="false">IFERROR(INDEX('Operator Master'!$B$5:$B$504,MATCH(G64,'Operator Master'!$A$5:$A$504,0)),"")</f>
        <v/>
      </c>
      <c r="I64" s="9"/>
      <c r="J64" s="9"/>
      <c r="K64" s="8"/>
      <c r="L64" s="9"/>
      <c r="M64" s="9"/>
      <c r="N64" s="11"/>
      <c r="O64" s="11"/>
      <c r="P64" s="12" t="str">
        <f aca="false">IF(OR(N64="",O64=""),"",IFERROR(O64/N64*100,0))</f>
        <v/>
      </c>
      <c r="Q64" s="10" t="n">
        <v>8</v>
      </c>
      <c r="R64" s="12" t="str">
        <f aca="false">IF(J64="","",Q64*J64)</f>
        <v/>
      </c>
      <c r="S64" s="11"/>
      <c r="T64" s="12" t="str">
        <f aca="false">IF(OR(R64="",S64=""),"",IFERROR(S64/R64*100,0))</f>
        <v/>
      </c>
      <c r="U64" s="12" t="str">
        <f aca="false">IF(OR(O64="",L64="",M64="",S64="",M64=0),"",IFERROR(O64/(L64*60*S64/(M64*36))*100,0))</f>
        <v/>
      </c>
      <c r="V64" s="11"/>
      <c r="W64" s="12" t="str">
        <f aca="false">IF(O64="","",IFERROR(V64/O64*100,0))</f>
        <v/>
      </c>
      <c r="X64" s="11"/>
      <c r="Y64" s="11"/>
      <c r="Z64" s="11"/>
      <c r="AA64" s="11"/>
      <c r="AB64" s="11"/>
      <c r="AC64" s="11"/>
      <c r="AD64" s="11"/>
      <c r="AE64" s="11"/>
      <c r="AF64" s="12" t="str">
        <f aca="false">IF(O64="","",SUM(X64:AE64))</f>
        <v/>
      </c>
      <c r="AG64" s="12" t="str">
        <f aca="false">IF(O64="","",IFERROR(AF64/O64*1000,0))</f>
        <v/>
      </c>
      <c r="AH64" s="11"/>
      <c r="AI64" s="11"/>
      <c r="AJ64" s="11"/>
      <c r="AK64" s="9"/>
      <c r="AL64" s="9"/>
      <c r="AM64" s="9"/>
    </row>
    <row r="65" customFormat="false" ht="15" hidden="false" customHeight="true" outlineLevel="0" collapsed="false">
      <c r="A65" s="6"/>
      <c r="B65" s="7"/>
      <c r="C65" s="8"/>
      <c r="D65" s="8"/>
      <c r="E65" s="8"/>
      <c r="F65" s="9"/>
      <c r="G65" s="8"/>
      <c r="H65" s="10" t="str">
        <f aca="false">IFERROR(INDEX('Operator Master'!$B$5:$B$504,MATCH(G65,'Operator Master'!$A$5:$A$504,0)),"")</f>
        <v/>
      </c>
      <c r="I65" s="9"/>
      <c r="J65" s="9"/>
      <c r="K65" s="8"/>
      <c r="L65" s="9"/>
      <c r="M65" s="9"/>
      <c r="N65" s="11"/>
      <c r="O65" s="11"/>
      <c r="P65" s="12" t="str">
        <f aca="false">IF(OR(N65="",O65=""),"",IFERROR(O65/N65*100,0))</f>
        <v/>
      </c>
      <c r="Q65" s="10" t="n">
        <v>8</v>
      </c>
      <c r="R65" s="12" t="str">
        <f aca="false">IF(J65="","",Q65*J65)</f>
        <v/>
      </c>
      <c r="S65" s="11"/>
      <c r="T65" s="12" t="str">
        <f aca="false">IF(OR(R65="",S65=""),"",IFERROR(S65/R65*100,0))</f>
        <v/>
      </c>
      <c r="U65" s="12" t="str">
        <f aca="false">IF(OR(O65="",L65="",M65="",S65="",M65=0),"",IFERROR(O65/(L65*60*S65/(M65*36))*100,0))</f>
        <v/>
      </c>
      <c r="V65" s="11"/>
      <c r="W65" s="12" t="str">
        <f aca="false">IF(O65="","",IFERROR(V65/O65*100,0))</f>
        <v/>
      </c>
      <c r="X65" s="11"/>
      <c r="Y65" s="11"/>
      <c r="Z65" s="11"/>
      <c r="AA65" s="11"/>
      <c r="AB65" s="11"/>
      <c r="AC65" s="11"/>
      <c r="AD65" s="11"/>
      <c r="AE65" s="11"/>
      <c r="AF65" s="12" t="str">
        <f aca="false">IF(O65="","",SUM(X65:AE65))</f>
        <v/>
      </c>
      <c r="AG65" s="12" t="str">
        <f aca="false">IF(O65="","",IFERROR(AF65/O65*1000,0))</f>
        <v/>
      </c>
      <c r="AH65" s="11"/>
      <c r="AI65" s="11"/>
      <c r="AJ65" s="11"/>
      <c r="AK65" s="9"/>
      <c r="AL65" s="9"/>
      <c r="AM65" s="9"/>
    </row>
    <row r="66" customFormat="false" ht="15" hidden="false" customHeight="true" outlineLevel="0" collapsed="false">
      <c r="A66" s="6"/>
      <c r="B66" s="7"/>
      <c r="C66" s="8"/>
      <c r="D66" s="8"/>
      <c r="E66" s="8"/>
      <c r="F66" s="9"/>
      <c r="G66" s="8"/>
      <c r="H66" s="10" t="str">
        <f aca="false">IFERROR(INDEX('Operator Master'!$B$5:$B$504,MATCH(G66,'Operator Master'!$A$5:$A$504,0)),"")</f>
        <v/>
      </c>
      <c r="I66" s="9"/>
      <c r="J66" s="9"/>
      <c r="K66" s="8"/>
      <c r="L66" s="9"/>
      <c r="M66" s="9"/>
      <c r="N66" s="11"/>
      <c r="O66" s="11"/>
      <c r="P66" s="12" t="str">
        <f aca="false">IF(OR(N66="",O66=""),"",IFERROR(O66/N66*100,0))</f>
        <v/>
      </c>
      <c r="Q66" s="10" t="n">
        <v>8</v>
      </c>
      <c r="R66" s="12" t="str">
        <f aca="false">IF(J66="","",Q66*J66)</f>
        <v/>
      </c>
      <c r="S66" s="11"/>
      <c r="T66" s="12" t="str">
        <f aca="false">IF(OR(R66="",S66=""),"",IFERROR(S66/R66*100,0))</f>
        <v/>
      </c>
      <c r="U66" s="12" t="str">
        <f aca="false">IF(OR(O66="",L66="",M66="",S66="",M66=0),"",IFERROR(O66/(L66*60*S66/(M66*36))*100,0))</f>
        <v/>
      </c>
      <c r="V66" s="11"/>
      <c r="W66" s="12" t="str">
        <f aca="false">IF(O66="","",IFERROR(V66/O66*100,0))</f>
        <v/>
      </c>
      <c r="X66" s="11"/>
      <c r="Y66" s="11"/>
      <c r="Z66" s="11"/>
      <c r="AA66" s="11"/>
      <c r="AB66" s="11"/>
      <c r="AC66" s="11"/>
      <c r="AD66" s="11"/>
      <c r="AE66" s="11"/>
      <c r="AF66" s="12" t="str">
        <f aca="false">IF(O66="","",SUM(X66:AE66))</f>
        <v/>
      </c>
      <c r="AG66" s="12" t="str">
        <f aca="false">IF(O66="","",IFERROR(AF66/O66*1000,0))</f>
        <v/>
      </c>
      <c r="AH66" s="11"/>
      <c r="AI66" s="11"/>
      <c r="AJ66" s="11"/>
      <c r="AK66" s="9"/>
      <c r="AL66" s="9"/>
      <c r="AM66" s="9"/>
    </row>
    <row r="67" customFormat="false" ht="15" hidden="false" customHeight="true" outlineLevel="0" collapsed="false">
      <c r="A67" s="6"/>
      <c r="B67" s="7"/>
      <c r="C67" s="8"/>
      <c r="D67" s="8"/>
      <c r="E67" s="8"/>
      <c r="F67" s="9"/>
      <c r="G67" s="8"/>
      <c r="H67" s="10" t="str">
        <f aca="false">IFERROR(INDEX('Operator Master'!$B$5:$B$504,MATCH(G67,'Operator Master'!$A$5:$A$504,0)),"")</f>
        <v/>
      </c>
      <c r="I67" s="9"/>
      <c r="J67" s="9"/>
      <c r="K67" s="8"/>
      <c r="L67" s="9"/>
      <c r="M67" s="9"/>
      <c r="N67" s="11"/>
      <c r="O67" s="11"/>
      <c r="P67" s="12" t="str">
        <f aca="false">IF(OR(N67="",O67=""),"",IFERROR(O67/N67*100,0))</f>
        <v/>
      </c>
      <c r="Q67" s="10" t="n">
        <v>8</v>
      </c>
      <c r="R67" s="12" t="str">
        <f aca="false">IF(J67="","",Q67*J67)</f>
        <v/>
      </c>
      <c r="S67" s="11"/>
      <c r="T67" s="12" t="str">
        <f aca="false">IF(OR(R67="",S67=""),"",IFERROR(S67/R67*100,0))</f>
        <v/>
      </c>
      <c r="U67" s="12" t="str">
        <f aca="false">IF(OR(O67="",L67="",M67="",S67="",M67=0),"",IFERROR(O67/(L67*60*S67/(M67*36))*100,0))</f>
        <v/>
      </c>
      <c r="V67" s="11"/>
      <c r="W67" s="12" t="str">
        <f aca="false">IF(O67="","",IFERROR(V67/O67*100,0))</f>
        <v/>
      </c>
      <c r="X67" s="11"/>
      <c r="Y67" s="11"/>
      <c r="Z67" s="11"/>
      <c r="AA67" s="11"/>
      <c r="AB67" s="11"/>
      <c r="AC67" s="11"/>
      <c r="AD67" s="11"/>
      <c r="AE67" s="11"/>
      <c r="AF67" s="12" t="str">
        <f aca="false">IF(O67="","",SUM(X67:AE67))</f>
        <v/>
      </c>
      <c r="AG67" s="12" t="str">
        <f aca="false">IF(O67="","",IFERROR(AF67/O67*1000,0))</f>
        <v/>
      </c>
      <c r="AH67" s="11"/>
      <c r="AI67" s="11"/>
      <c r="AJ67" s="11"/>
      <c r="AK67" s="9"/>
      <c r="AL67" s="9"/>
      <c r="AM67" s="9"/>
    </row>
    <row r="68" customFormat="false" ht="15" hidden="false" customHeight="true" outlineLevel="0" collapsed="false">
      <c r="A68" s="6"/>
      <c r="B68" s="7"/>
      <c r="C68" s="8"/>
      <c r="D68" s="8"/>
      <c r="E68" s="8"/>
      <c r="F68" s="9"/>
      <c r="G68" s="8"/>
      <c r="H68" s="10" t="str">
        <f aca="false">IFERROR(INDEX('Operator Master'!$B$5:$B$504,MATCH(G68,'Operator Master'!$A$5:$A$504,0)),"")</f>
        <v/>
      </c>
      <c r="I68" s="9"/>
      <c r="J68" s="9"/>
      <c r="K68" s="8"/>
      <c r="L68" s="9"/>
      <c r="M68" s="9"/>
      <c r="N68" s="11"/>
      <c r="O68" s="11"/>
      <c r="P68" s="12" t="str">
        <f aca="false">IF(OR(N68="",O68=""),"",IFERROR(O68/N68*100,0))</f>
        <v/>
      </c>
      <c r="Q68" s="10" t="n">
        <v>8</v>
      </c>
      <c r="R68" s="12" t="str">
        <f aca="false">IF(J68="","",Q68*J68)</f>
        <v/>
      </c>
      <c r="S68" s="11"/>
      <c r="T68" s="12" t="str">
        <f aca="false">IF(OR(R68="",S68=""),"",IFERROR(S68/R68*100,0))</f>
        <v/>
      </c>
      <c r="U68" s="12" t="str">
        <f aca="false">IF(OR(O68="",L68="",M68="",S68="",M68=0),"",IFERROR(O68/(L68*60*S68/(M68*36))*100,0))</f>
        <v/>
      </c>
      <c r="V68" s="11"/>
      <c r="W68" s="12" t="str">
        <f aca="false">IF(O68="","",IFERROR(V68/O68*100,0))</f>
        <v/>
      </c>
      <c r="X68" s="11"/>
      <c r="Y68" s="11"/>
      <c r="Z68" s="11"/>
      <c r="AA68" s="11"/>
      <c r="AB68" s="11"/>
      <c r="AC68" s="11"/>
      <c r="AD68" s="11"/>
      <c r="AE68" s="11"/>
      <c r="AF68" s="12" t="str">
        <f aca="false">IF(O68="","",SUM(X68:AE68))</f>
        <v/>
      </c>
      <c r="AG68" s="12" t="str">
        <f aca="false">IF(O68="","",IFERROR(AF68/O68*1000,0))</f>
        <v/>
      </c>
      <c r="AH68" s="11"/>
      <c r="AI68" s="11"/>
      <c r="AJ68" s="11"/>
      <c r="AK68" s="9"/>
      <c r="AL68" s="9"/>
      <c r="AM68" s="9"/>
    </row>
    <row r="69" customFormat="false" ht="15" hidden="false" customHeight="true" outlineLevel="0" collapsed="false">
      <c r="A69" s="6"/>
      <c r="B69" s="7"/>
      <c r="C69" s="8"/>
      <c r="D69" s="8"/>
      <c r="E69" s="8"/>
      <c r="F69" s="9"/>
      <c r="G69" s="8"/>
      <c r="H69" s="10" t="str">
        <f aca="false">IFERROR(INDEX('Operator Master'!$B$5:$B$504,MATCH(G69,'Operator Master'!$A$5:$A$504,0)),"")</f>
        <v/>
      </c>
      <c r="I69" s="9"/>
      <c r="J69" s="9"/>
      <c r="K69" s="8"/>
      <c r="L69" s="9"/>
      <c r="M69" s="9"/>
      <c r="N69" s="11"/>
      <c r="O69" s="11"/>
      <c r="P69" s="12" t="str">
        <f aca="false">IF(OR(N69="",O69=""),"",IFERROR(O69/N69*100,0))</f>
        <v/>
      </c>
      <c r="Q69" s="10" t="n">
        <v>8</v>
      </c>
      <c r="R69" s="12" t="str">
        <f aca="false">IF(J69="","",Q69*J69)</f>
        <v/>
      </c>
      <c r="S69" s="11"/>
      <c r="T69" s="12" t="str">
        <f aca="false">IF(OR(R69="",S69=""),"",IFERROR(S69/R69*100,0))</f>
        <v/>
      </c>
      <c r="U69" s="12" t="str">
        <f aca="false">IF(OR(O69="",L69="",M69="",S69="",M69=0),"",IFERROR(O69/(L69*60*S69/(M69*36))*100,0))</f>
        <v/>
      </c>
      <c r="V69" s="11"/>
      <c r="W69" s="12" t="str">
        <f aca="false">IF(O69="","",IFERROR(V69/O69*100,0))</f>
        <v/>
      </c>
      <c r="X69" s="11"/>
      <c r="Y69" s="11"/>
      <c r="Z69" s="11"/>
      <c r="AA69" s="11"/>
      <c r="AB69" s="11"/>
      <c r="AC69" s="11"/>
      <c r="AD69" s="11"/>
      <c r="AE69" s="11"/>
      <c r="AF69" s="12" t="str">
        <f aca="false">IF(O69="","",SUM(X69:AE69))</f>
        <v/>
      </c>
      <c r="AG69" s="12" t="str">
        <f aca="false">IF(O69="","",IFERROR(AF69/O69*1000,0))</f>
        <v/>
      </c>
      <c r="AH69" s="11"/>
      <c r="AI69" s="11"/>
      <c r="AJ69" s="11"/>
      <c r="AK69" s="9"/>
      <c r="AL69" s="9"/>
      <c r="AM69" s="9"/>
    </row>
    <row r="70" customFormat="false" ht="15" hidden="false" customHeight="true" outlineLevel="0" collapsed="false">
      <c r="A70" s="6"/>
      <c r="B70" s="7"/>
      <c r="C70" s="8"/>
      <c r="D70" s="8"/>
      <c r="E70" s="8"/>
      <c r="F70" s="9"/>
      <c r="G70" s="8"/>
      <c r="H70" s="10" t="str">
        <f aca="false">IFERROR(INDEX('Operator Master'!$B$5:$B$504,MATCH(G70,'Operator Master'!$A$5:$A$504,0)),"")</f>
        <v/>
      </c>
      <c r="I70" s="9"/>
      <c r="J70" s="9"/>
      <c r="K70" s="8"/>
      <c r="L70" s="9"/>
      <c r="M70" s="9"/>
      <c r="N70" s="11"/>
      <c r="O70" s="11"/>
      <c r="P70" s="12" t="str">
        <f aca="false">IF(OR(N70="",O70=""),"",IFERROR(O70/N70*100,0))</f>
        <v/>
      </c>
      <c r="Q70" s="10" t="n">
        <v>8</v>
      </c>
      <c r="R70" s="12" t="str">
        <f aca="false">IF(J70="","",Q70*J70)</f>
        <v/>
      </c>
      <c r="S70" s="11"/>
      <c r="T70" s="12" t="str">
        <f aca="false">IF(OR(R70="",S70=""),"",IFERROR(S70/R70*100,0))</f>
        <v/>
      </c>
      <c r="U70" s="12" t="str">
        <f aca="false">IF(OR(O70="",L70="",M70="",S70="",M70=0),"",IFERROR(O70/(L70*60*S70/(M70*36))*100,0))</f>
        <v/>
      </c>
      <c r="V70" s="11"/>
      <c r="W70" s="12" t="str">
        <f aca="false">IF(O70="","",IFERROR(V70/O70*100,0))</f>
        <v/>
      </c>
      <c r="X70" s="11"/>
      <c r="Y70" s="11"/>
      <c r="Z70" s="11"/>
      <c r="AA70" s="11"/>
      <c r="AB70" s="11"/>
      <c r="AC70" s="11"/>
      <c r="AD70" s="11"/>
      <c r="AE70" s="11"/>
      <c r="AF70" s="12" t="str">
        <f aca="false">IF(O70="","",SUM(X70:AE70))</f>
        <v/>
      </c>
      <c r="AG70" s="12" t="str">
        <f aca="false">IF(O70="","",IFERROR(AF70/O70*1000,0))</f>
        <v/>
      </c>
      <c r="AH70" s="11"/>
      <c r="AI70" s="11"/>
      <c r="AJ70" s="11"/>
      <c r="AK70" s="9"/>
      <c r="AL70" s="9"/>
      <c r="AM70" s="9"/>
    </row>
    <row r="71" customFormat="false" ht="15" hidden="false" customHeight="true" outlineLevel="0" collapsed="false">
      <c r="A71" s="6"/>
      <c r="B71" s="7"/>
      <c r="C71" s="8"/>
      <c r="D71" s="8"/>
      <c r="E71" s="8"/>
      <c r="F71" s="9"/>
      <c r="G71" s="8"/>
      <c r="H71" s="10" t="str">
        <f aca="false">IFERROR(INDEX('Operator Master'!$B$5:$B$504,MATCH(G71,'Operator Master'!$A$5:$A$504,0)),"")</f>
        <v/>
      </c>
      <c r="I71" s="9"/>
      <c r="J71" s="9"/>
      <c r="K71" s="8"/>
      <c r="L71" s="9"/>
      <c r="M71" s="9"/>
      <c r="N71" s="11"/>
      <c r="O71" s="11"/>
      <c r="P71" s="12" t="str">
        <f aca="false">IF(OR(N71="",O71=""),"",IFERROR(O71/N71*100,0))</f>
        <v/>
      </c>
      <c r="Q71" s="10" t="n">
        <v>8</v>
      </c>
      <c r="R71" s="12" t="str">
        <f aca="false">IF(J71="","",Q71*J71)</f>
        <v/>
      </c>
      <c r="S71" s="11"/>
      <c r="T71" s="12" t="str">
        <f aca="false">IF(OR(R71="",S71=""),"",IFERROR(S71/R71*100,0))</f>
        <v/>
      </c>
      <c r="U71" s="12" t="str">
        <f aca="false">IF(OR(O71="",L71="",M71="",S71="",M71=0),"",IFERROR(O71/(L71*60*S71/(M71*36))*100,0))</f>
        <v/>
      </c>
      <c r="V71" s="11"/>
      <c r="W71" s="12" t="str">
        <f aca="false">IF(O71="","",IFERROR(V71/O71*100,0))</f>
        <v/>
      </c>
      <c r="X71" s="11"/>
      <c r="Y71" s="11"/>
      <c r="Z71" s="11"/>
      <c r="AA71" s="11"/>
      <c r="AB71" s="11"/>
      <c r="AC71" s="11"/>
      <c r="AD71" s="11"/>
      <c r="AE71" s="11"/>
      <c r="AF71" s="12" t="str">
        <f aca="false">IF(O71="","",SUM(X71:AE71))</f>
        <v/>
      </c>
      <c r="AG71" s="12" t="str">
        <f aca="false">IF(O71="","",IFERROR(AF71/O71*1000,0))</f>
        <v/>
      </c>
      <c r="AH71" s="11"/>
      <c r="AI71" s="11"/>
      <c r="AJ71" s="11"/>
      <c r="AK71" s="9"/>
      <c r="AL71" s="9"/>
      <c r="AM71" s="9"/>
    </row>
    <row r="72" customFormat="false" ht="15" hidden="false" customHeight="true" outlineLevel="0" collapsed="false">
      <c r="A72" s="6"/>
      <c r="B72" s="7"/>
      <c r="C72" s="8"/>
      <c r="D72" s="8"/>
      <c r="E72" s="8"/>
      <c r="F72" s="9"/>
      <c r="G72" s="8"/>
      <c r="H72" s="10" t="str">
        <f aca="false">IFERROR(INDEX('Operator Master'!$B$5:$B$504,MATCH(G72,'Operator Master'!$A$5:$A$504,0)),"")</f>
        <v/>
      </c>
      <c r="I72" s="9"/>
      <c r="J72" s="9"/>
      <c r="K72" s="8"/>
      <c r="L72" s="9"/>
      <c r="M72" s="9"/>
      <c r="N72" s="11"/>
      <c r="O72" s="11"/>
      <c r="P72" s="12" t="str">
        <f aca="false">IF(OR(N72="",O72=""),"",IFERROR(O72/N72*100,0))</f>
        <v/>
      </c>
      <c r="Q72" s="10" t="n">
        <v>8</v>
      </c>
      <c r="R72" s="12" t="str">
        <f aca="false">IF(J72="","",Q72*J72)</f>
        <v/>
      </c>
      <c r="S72" s="11"/>
      <c r="T72" s="12" t="str">
        <f aca="false">IF(OR(R72="",S72=""),"",IFERROR(S72/R72*100,0))</f>
        <v/>
      </c>
      <c r="U72" s="12" t="str">
        <f aca="false">IF(OR(O72="",L72="",M72="",S72="",M72=0),"",IFERROR(O72/(L72*60*S72/(M72*36))*100,0))</f>
        <v/>
      </c>
      <c r="V72" s="11"/>
      <c r="W72" s="12" t="str">
        <f aca="false">IF(O72="","",IFERROR(V72/O72*100,0))</f>
        <v/>
      </c>
      <c r="X72" s="11"/>
      <c r="Y72" s="11"/>
      <c r="Z72" s="11"/>
      <c r="AA72" s="11"/>
      <c r="AB72" s="11"/>
      <c r="AC72" s="11"/>
      <c r="AD72" s="11"/>
      <c r="AE72" s="11"/>
      <c r="AF72" s="12" t="str">
        <f aca="false">IF(O72="","",SUM(X72:AE72))</f>
        <v/>
      </c>
      <c r="AG72" s="12" t="str">
        <f aca="false">IF(O72="","",IFERROR(AF72/O72*1000,0))</f>
        <v/>
      </c>
      <c r="AH72" s="11"/>
      <c r="AI72" s="11"/>
      <c r="AJ72" s="11"/>
      <c r="AK72" s="9"/>
      <c r="AL72" s="9"/>
      <c r="AM72" s="9"/>
    </row>
    <row r="73" customFormat="false" ht="15" hidden="false" customHeight="true" outlineLevel="0" collapsed="false">
      <c r="A73" s="6"/>
      <c r="B73" s="7"/>
      <c r="C73" s="8"/>
      <c r="D73" s="8"/>
      <c r="E73" s="8"/>
      <c r="F73" s="9"/>
      <c r="G73" s="8"/>
      <c r="H73" s="10" t="str">
        <f aca="false">IFERROR(INDEX('Operator Master'!$B$5:$B$504,MATCH(G73,'Operator Master'!$A$5:$A$504,0)),"")</f>
        <v/>
      </c>
      <c r="I73" s="9"/>
      <c r="J73" s="9"/>
      <c r="K73" s="8"/>
      <c r="L73" s="9"/>
      <c r="M73" s="9"/>
      <c r="N73" s="11"/>
      <c r="O73" s="11"/>
      <c r="P73" s="12" t="str">
        <f aca="false">IF(OR(N73="",O73=""),"",IFERROR(O73/N73*100,0))</f>
        <v/>
      </c>
      <c r="Q73" s="10" t="n">
        <v>8</v>
      </c>
      <c r="R73" s="12" t="str">
        <f aca="false">IF(J73="","",Q73*J73)</f>
        <v/>
      </c>
      <c r="S73" s="11"/>
      <c r="T73" s="12" t="str">
        <f aca="false">IF(OR(R73="",S73=""),"",IFERROR(S73/R73*100,0))</f>
        <v/>
      </c>
      <c r="U73" s="12" t="str">
        <f aca="false">IF(OR(O73="",L73="",M73="",S73="",M73=0),"",IFERROR(O73/(L73*60*S73/(M73*36))*100,0))</f>
        <v/>
      </c>
      <c r="V73" s="11"/>
      <c r="W73" s="12" t="str">
        <f aca="false">IF(O73="","",IFERROR(V73/O73*100,0))</f>
        <v/>
      </c>
      <c r="X73" s="11"/>
      <c r="Y73" s="11"/>
      <c r="Z73" s="11"/>
      <c r="AA73" s="11"/>
      <c r="AB73" s="11"/>
      <c r="AC73" s="11"/>
      <c r="AD73" s="11"/>
      <c r="AE73" s="11"/>
      <c r="AF73" s="12" t="str">
        <f aca="false">IF(O73="","",SUM(X73:AE73))</f>
        <v/>
      </c>
      <c r="AG73" s="12" t="str">
        <f aca="false">IF(O73="","",IFERROR(AF73/O73*1000,0))</f>
        <v/>
      </c>
      <c r="AH73" s="11"/>
      <c r="AI73" s="11"/>
      <c r="AJ73" s="11"/>
      <c r="AK73" s="9"/>
      <c r="AL73" s="9"/>
      <c r="AM73" s="9"/>
    </row>
    <row r="74" customFormat="false" ht="15" hidden="false" customHeight="true" outlineLevel="0" collapsed="false">
      <c r="A74" s="6"/>
      <c r="B74" s="7"/>
      <c r="C74" s="8"/>
      <c r="D74" s="8"/>
      <c r="E74" s="8"/>
      <c r="F74" s="9"/>
      <c r="G74" s="8"/>
      <c r="H74" s="10" t="str">
        <f aca="false">IFERROR(INDEX('Operator Master'!$B$5:$B$504,MATCH(G74,'Operator Master'!$A$5:$A$504,0)),"")</f>
        <v/>
      </c>
      <c r="I74" s="9"/>
      <c r="J74" s="9"/>
      <c r="K74" s="8"/>
      <c r="L74" s="9"/>
      <c r="M74" s="9"/>
      <c r="N74" s="11"/>
      <c r="O74" s="11"/>
      <c r="P74" s="12" t="str">
        <f aca="false">IF(OR(N74="",O74=""),"",IFERROR(O74/N74*100,0))</f>
        <v/>
      </c>
      <c r="Q74" s="10" t="n">
        <v>8</v>
      </c>
      <c r="R74" s="12" t="str">
        <f aca="false">IF(J74="","",Q74*J74)</f>
        <v/>
      </c>
      <c r="S74" s="11"/>
      <c r="T74" s="12" t="str">
        <f aca="false">IF(OR(R74="",S74=""),"",IFERROR(S74/R74*100,0))</f>
        <v/>
      </c>
      <c r="U74" s="12" t="str">
        <f aca="false">IF(OR(O74="",L74="",M74="",S74="",M74=0),"",IFERROR(O74/(L74*60*S74/(M74*36))*100,0))</f>
        <v/>
      </c>
      <c r="V74" s="11"/>
      <c r="W74" s="12" t="str">
        <f aca="false">IF(O74="","",IFERROR(V74/O74*100,0))</f>
        <v/>
      </c>
      <c r="X74" s="11"/>
      <c r="Y74" s="11"/>
      <c r="Z74" s="11"/>
      <c r="AA74" s="11"/>
      <c r="AB74" s="11"/>
      <c r="AC74" s="11"/>
      <c r="AD74" s="11"/>
      <c r="AE74" s="11"/>
      <c r="AF74" s="12" t="str">
        <f aca="false">IF(O74="","",SUM(X74:AE74))</f>
        <v/>
      </c>
      <c r="AG74" s="12" t="str">
        <f aca="false">IF(O74="","",IFERROR(AF74/O74*1000,0))</f>
        <v/>
      </c>
      <c r="AH74" s="11"/>
      <c r="AI74" s="11"/>
      <c r="AJ74" s="11"/>
      <c r="AK74" s="9"/>
      <c r="AL74" s="9"/>
      <c r="AM74" s="9"/>
    </row>
    <row r="75" customFormat="false" ht="15" hidden="false" customHeight="true" outlineLevel="0" collapsed="false">
      <c r="A75" s="6"/>
      <c r="B75" s="7"/>
      <c r="C75" s="8"/>
      <c r="D75" s="8"/>
      <c r="E75" s="8"/>
      <c r="F75" s="9"/>
      <c r="G75" s="8"/>
      <c r="H75" s="10" t="str">
        <f aca="false">IFERROR(INDEX('Operator Master'!$B$5:$B$504,MATCH(G75,'Operator Master'!$A$5:$A$504,0)),"")</f>
        <v/>
      </c>
      <c r="I75" s="9"/>
      <c r="J75" s="9"/>
      <c r="K75" s="8"/>
      <c r="L75" s="9"/>
      <c r="M75" s="9"/>
      <c r="N75" s="11"/>
      <c r="O75" s="11"/>
      <c r="P75" s="12" t="str">
        <f aca="false">IF(OR(N75="",O75=""),"",IFERROR(O75/N75*100,0))</f>
        <v/>
      </c>
      <c r="Q75" s="10" t="n">
        <v>8</v>
      </c>
      <c r="R75" s="12" t="str">
        <f aca="false">IF(J75="","",Q75*J75)</f>
        <v/>
      </c>
      <c r="S75" s="11"/>
      <c r="T75" s="12" t="str">
        <f aca="false">IF(OR(R75="",S75=""),"",IFERROR(S75/R75*100,0))</f>
        <v/>
      </c>
      <c r="U75" s="12" t="str">
        <f aca="false">IF(OR(O75="",L75="",M75="",S75="",M75=0),"",IFERROR(O75/(L75*60*S75/(M75*36))*100,0))</f>
        <v/>
      </c>
      <c r="V75" s="11"/>
      <c r="W75" s="12" t="str">
        <f aca="false">IF(O75="","",IFERROR(V75/O75*100,0))</f>
        <v/>
      </c>
      <c r="X75" s="11"/>
      <c r="Y75" s="11"/>
      <c r="Z75" s="11"/>
      <c r="AA75" s="11"/>
      <c r="AB75" s="11"/>
      <c r="AC75" s="11"/>
      <c r="AD75" s="11"/>
      <c r="AE75" s="11"/>
      <c r="AF75" s="12" t="str">
        <f aca="false">IF(O75="","",SUM(X75:AE75))</f>
        <v/>
      </c>
      <c r="AG75" s="12" t="str">
        <f aca="false">IF(O75="","",IFERROR(AF75/O75*1000,0))</f>
        <v/>
      </c>
      <c r="AH75" s="11"/>
      <c r="AI75" s="11"/>
      <c r="AJ75" s="11"/>
      <c r="AK75" s="9"/>
      <c r="AL75" s="9"/>
      <c r="AM75" s="9"/>
    </row>
    <row r="76" customFormat="false" ht="15" hidden="false" customHeight="true" outlineLevel="0" collapsed="false">
      <c r="A76" s="6"/>
      <c r="B76" s="7"/>
      <c r="C76" s="8"/>
      <c r="D76" s="8"/>
      <c r="E76" s="8"/>
      <c r="F76" s="9"/>
      <c r="G76" s="8"/>
      <c r="H76" s="10" t="str">
        <f aca="false">IFERROR(INDEX('Operator Master'!$B$5:$B$504,MATCH(G76,'Operator Master'!$A$5:$A$504,0)),"")</f>
        <v/>
      </c>
      <c r="I76" s="9"/>
      <c r="J76" s="9"/>
      <c r="K76" s="8"/>
      <c r="L76" s="9"/>
      <c r="M76" s="9"/>
      <c r="N76" s="11"/>
      <c r="O76" s="11"/>
      <c r="P76" s="12" t="str">
        <f aca="false">IF(OR(N76="",O76=""),"",IFERROR(O76/N76*100,0))</f>
        <v/>
      </c>
      <c r="Q76" s="10" t="n">
        <v>8</v>
      </c>
      <c r="R76" s="12" t="str">
        <f aca="false">IF(J76="","",Q76*J76)</f>
        <v/>
      </c>
      <c r="S76" s="11"/>
      <c r="T76" s="12" t="str">
        <f aca="false">IF(OR(R76="",S76=""),"",IFERROR(S76/R76*100,0))</f>
        <v/>
      </c>
      <c r="U76" s="12" t="str">
        <f aca="false">IF(OR(O76="",L76="",M76="",S76="",M76=0),"",IFERROR(O76/(L76*60*S76/(M76*36))*100,0))</f>
        <v/>
      </c>
      <c r="V76" s="11"/>
      <c r="W76" s="12" t="str">
        <f aca="false">IF(O76="","",IFERROR(V76/O76*100,0))</f>
        <v/>
      </c>
      <c r="X76" s="11"/>
      <c r="Y76" s="11"/>
      <c r="Z76" s="11"/>
      <c r="AA76" s="11"/>
      <c r="AB76" s="11"/>
      <c r="AC76" s="11"/>
      <c r="AD76" s="11"/>
      <c r="AE76" s="11"/>
      <c r="AF76" s="12" t="str">
        <f aca="false">IF(O76="","",SUM(X76:AE76))</f>
        <v/>
      </c>
      <c r="AG76" s="12" t="str">
        <f aca="false">IF(O76="","",IFERROR(AF76/O76*1000,0))</f>
        <v/>
      </c>
      <c r="AH76" s="11"/>
      <c r="AI76" s="11"/>
      <c r="AJ76" s="11"/>
      <c r="AK76" s="9"/>
      <c r="AL76" s="9"/>
      <c r="AM76" s="9"/>
    </row>
    <row r="77" customFormat="false" ht="15" hidden="false" customHeight="true" outlineLevel="0" collapsed="false">
      <c r="A77" s="6"/>
      <c r="B77" s="7"/>
      <c r="C77" s="8"/>
      <c r="D77" s="8"/>
      <c r="E77" s="8"/>
      <c r="F77" s="9"/>
      <c r="G77" s="8"/>
      <c r="H77" s="10" t="str">
        <f aca="false">IFERROR(INDEX('Operator Master'!$B$5:$B$504,MATCH(G77,'Operator Master'!$A$5:$A$504,0)),"")</f>
        <v/>
      </c>
      <c r="I77" s="9"/>
      <c r="J77" s="9"/>
      <c r="K77" s="8"/>
      <c r="L77" s="9"/>
      <c r="M77" s="9"/>
      <c r="N77" s="11"/>
      <c r="O77" s="11"/>
      <c r="P77" s="12" t="str">
        <f aca="false">IF(OR(N77="",O77=""),"",IFERROR(O77/N77*100,0))</f>
        <v/>
      </c>
      <c r="Q77" s="10" t="n">
        <v>8</v>
      </c>
      <c r="R77" s="12" t="str">
        <f aca="false">IF(J77="","",Q77*J77)</f>
        <v/>
      </c>
      <c r="S77" s="11"/>
      <c r="T77" s="12" t="str">
        <f aca="false">IF(OR(R77="",S77=""),"",IFERROR(S77/R77*100,0))</f>
        <v/>
      </c>
      <c r="U77" s="12" t="str">
        <f aca="false">IF(OR(O77="",L77="",M77="",S77="",M77=0),"",IFERROR(O77/(L77*60*S77/(M77*36))*100,0))</f>
        <v/>
      </c>
      <c r="V77" s="11"/>
      <c r="W77" s="12" t="str">
        <f aca="false">IF(O77="","",IFERROR(V77/O77*100,0))</f>
        <v/>
      </c>
      <c r="X77" s="11"/>
      <c r="Y77" s="11"/>
      <c r="Z77" s="11"/>
      <c r="AA77" s="11"/>
      <c r="AB77" s="11"/>
      <c r="AC77" s="11"/>
      <c r="AD77" s="11"/>
      <c r="AE77" s="11"/>
      <c r="AF77" s="12" t="str">
        <f aca="false">IF(O77="","",SUM(X77:AE77))</f>
        <v/>
      </c>
      <c r="AG77" s="12" t="str">
        <f aca="false">IF(O77="","",IFERROR(AF77/O77*1000,0))</f>
        <v/>
      </c>
      <c r="AH77" s="11"/>
      <c r="AI77" s="11"/>
      <c r="AJ77" s="11"/>
      <c r="AK77" s="9"/>
      <c r="AL77" s="9"/>
      <c r="AM77" s="9"/>
    </row>
    <row r="78" customFormat="false" ht="15" hidden="false" customHeight="true" outlineLevel="0" collapsed="false">
      <c r="A78" s="6"/>
      <c r="B78" s="7"/>
      <c r="C78" s="8"/>
      <c r="D78" s="8"/>
      <c r="E78" s="8"/>
      <c r="F78" s="9"/>
      <c r="G78" s="8"/>
      <c r="H78" s="10" t="str">
        <f aca="false">IFERROR(INDEX('Operator Master'!$B$5:$B$504,MATCH(G78,'Operator Master'!$A$5:$A$504,0)),"")</f>
        <v/>
      </c>
      <c r="I78" s="9"/>
      <c r="J78" s="9"/>
      <c r="K78" s="8"/>
      <c r="L78" s="9"/>
      <c r="M78" s="9"/>
      <c r="N78" s="11"/>
      <c r="O78" s="11"/>
      <c r="P78" s="12" t="str">
        <f aca="false">IF(OR(N78="",O78=""),"",IFERROR(O78/N78*100,0))</f>
        <v/>
      </c>
      <c r="Q78" s="10" t="n">
        <v>8</v>
      </c>
      <c r="R78" s="12" t="str">
        <f aca="false">IF(J78="","",Q78*J78)</f>
        <v/>
      </c>
      <c r="S78" s="11"/>
      <c r="T78" s="12" t="str">
        <f aca="false">IF(OR(R78="",S78=""),"",IFERROR(S78/R78*100,0))</f>
        <v/>
      </c>
      <c r="U78" s="12" t="str">
        <f aca="false">IF(OR(O78="",L78="",M78="",S78="",M78=0),"",IFERROR(O78/(L78*60*S78/(M78*36))*100,0))</f>
        <v/>
      </c>
      <c r="V78" s="11"/>
      <c r="W78" s="12" t="str">
        <f aca="false">IF(O78="","",IFERROR(V78/O78*100,0))</f>
        <v/>
      </c>
      <c r="X78" s="11"/>
      <c r="Y78" s="11"/>
      <c r="Z78" s="11"/>
      <c r="AA78" s="11"/>
      <c r="AB78" s="11"/>
      <c r="AC78" s="11"/>
      <c r="AD78" s="11"/>
      <c r="AE78" s="11"/>
      <c r="AF78" s="12" t="str">
        <f aca="false">IF(O78="","",SUM(X78:AE78))</f>
        <v/>
      </c>
      <c r="AG78" s="12" t="str">
        <f aca="false">IF(O78="","",IFERROR(AF78/O78*1000,0))</f>
        <v/>
      </c>
      <c r="AH78" s="11"/>
      <c r="AI78" s="11"/>
      <c r="AJ78" s="11"/>
      <c r="AK78" s="9"/>
      <c r="AL78" s="9"/>
      <c r="AM78" s="9"/>
    </row>
    <row r="79" customFormat="false" ht="15" hidden="false" customHeight="true" outlineLevel="0" collapsed="false">
      <c r="A79" s="6"/>
      <c r="B79" s="7"/>
      <c r="C79" s="8"/>
      <c r="D79" s="8"/>
      <c r="E79" s="8"/>
      <c r="F79" s="9"/>
      <c r="G79" s="8"/>
      <c r="H79" s="10" t="str">
        <f aca="false">IFERROR(INDEX('Operator Master'!$B$5:$B$504,MATCH(G79,'Operator Master'!$A$5:$A$504,0)),"")</f>
        <v/>
      </c>
      <c r="I79" s="9"/>
      <c r="J79" s="9"/>
      <c r="K79" s="8"/>
      <c r="L79" s="9"/>
      <c r="M79" s="9"/>
      <c r="N79" s="11"/>
      <c r="O79" s="11"/>
      <c r="P79" s="12" t="str">
        <f aca="false">IF(OR(N79="",O79=""),"",IFERROR(O79/N79*100,0))</f>
        <v/>
      </c>
      <c r="Q79" s="10" t="n">
        <v>8</v>
      </c>
      <c r="R79" s="12" t="str">
        <f aca="false">IF(J79="","",Q79*J79)</f>
        <v/>
      </c>
      <c r="S79" s="11"/>
      <c r="T79" s="12" t="str">
        <f aca="false">IF(OR(R79="",S79=""),"",IFERROR(S79/R79*100,0))</f>
        <v/>
      </c>
      <c r="U79" s="12" t="str">
        <f aca="false">IF(OR(O79="",L79="",M79="",S79="",M79=0),"",IFERROR(O79/(L79*60*S79/(M79*36))*100,0))</f>
        <v/>
      </c>
      <c r="V79" s="11"/>
      <c r="W79" s="12" t="str">
        <f aca="false">IF(O79="","",IFERROR(V79/O79*100,0))</f>
        <v/>
      </c>
      <c r="X79" s="11"/>
      <c r="Y79" s="11"/>
      <c r="Z79" s="11"/>
      <c r="AA79" s="11"/>
      <c r="AB79" s="11"/>
      <c r="AC79" s="11"/>
      <c r="AD79" s="11"/>
      <c r="AE79" s="11"/>
      <c r="AF79" s="12" t="str">
        <f aca="false">IF(O79="","",SUM(X79:AE79))</f>
        <v/>
      </c>
      <c r="AG79" s="12" t="str">
        <f aca="false">IF(O79="","",IFERROR(AF79/O79*1000,0))</f>
        <v/>
      </c>
      <c r="AH79" s="11"/>
      <c r="AI79" s="11"/>
      <c r="AJ79" s="11"/>
      <c r="AK79" s="9"/>
      <c r="AL79" s="9"/>
      <c r="AM79" s="9"/>
    </row>
    <row r="80" customFormat="false" ht="15" hidden="false" customHeight="true" outlineLevel="0" collapsed="false">
      <c r="A80" s="6"/>
      <c r="B80" s="7"/>
      <c r="C80" s="8"/>
      <c r="D80" s="8"/>
      <c r="E80" s="8"/>
      <c r="F80" s="9"/>
      <c r="G80" s="8"/>
      <c r="H80" s="10" t="str">
        <f aca="false">IFERROR(INDEX('Operator Master'!$B$5:$B$504,MATCH(G80,'Operator Master'!$A$5:$A$504,0)),"")</f>
        <v/>
      </c>
      <c r="I80" s="9"/>
      <c r="J80" s="9"/>
      <c r="K80" s="8"/>
      <c r="L80" s="9"/>
      <c r="M80" s="9"/>
      <c r="N80" s="11"/>
      <c r="O80" s="11"/>
      <c r="P80" s="12" t="str">
        <f aca="false">IF(OR(N80="",O80=""),"",IFERROR(O80/N80*100,0))</f>
        <v/>
      </c>
      <c r="Q80" s="10" t="n">
        <v>8</v>
      </c>
      <c r="R80" s="12" t="str">
        <f aca="false">IF(J80="","",Q80*J80)</f>
        <v/>
      </c>
      <c r="S80" s="11"/>
      <c r="T80" s="12" t="str">
        <f aca="false">IF(OR(R80="",S80=""),"",IFERROR(S80/R80*100,0))</f>
        <v/>
      </c>
      <c r="U80" s="12" t="str">
        <f aca="false">IF(OR(O80="",L80="",M80="",S80="",M80=0),"",IFERROR(O80/(L80*60*S80/(M80*36))*100,0))</f>
        <v/>
      </c>
      <c r="V80" s="11"/>
      <c r="W80" s="12" t="str">
        <f aca="false">IF(O80="","",IFERROR(V80/O80*100,0))</f>
        <v/>
      </c>
      <c r="X80" s="11"/>
      <c r="Y80" s="11"/>
      <c r="Z80" s="11"/>
      <c r="AA80" s="11"/>
      <c r="AB80" s="11"/>
      <c r="AC80" s="11"/>
      <c r="AD80" s="11"/>
      <c r="AE80" s="11"/>
      <c r="AF80" s="12" t="str">
        <f aca="false">IF(O80="","",SUM(X80:AE80))</f>
        <v/>
      </c>
      <c r="AG80" s="12" t="str">
        <f aca="false">IF(O80="","",IFERROR(AF80/O80*1000,0))</f>
        <v/>
      </c>
      <c r="AH80" s="11"/>
      <c r="AI80" s="11"/>
      <c r="AJ80" s="11"/>
      <c r="AK80" s="9"/>
      <c r="AL80" s="9"/>
      <c r="AM80" s="9"/>
    </row>
    <row r="81" customFormat="false" ht="15" hidden="false" customHeight="true" outlineLevel="0" collapsed="false">
      <c r="A81" s="6"/>
      <c r="B81" s="7"/>
      <c r="C81" s="8"/>
      <c r="D81" s="8"/>
      <c r="E81" s="8"/>
      <c r="F81" s="9"/>
      <c r="G81" s="8"/>
      <c r="H81" s="10" t="str">
        <f aca="false">IFERROR(INDEX('Operator Master'!$B$5:$B$504,MATCH(G81,'Operator Master'!$A$5:$A$504,0)),"")</f>
        <v/>
      </c>
      <c r="I81" s="9"/>
      <c r="J81" s="9"/>
      <c r="K81" s="8"/>
      <c r="L81" s="9"/>
      <c r="M81" s="9"/>
      <c r="N81" s="11"/>
      <c r="O81" s="11"/>
      <c r="P81" s="12" t="str">
        <f aca="false">IF(OR(N81="",O81=""),"",IFERROR(O81/N81*100,0))</f>
        <v/>
      </c>
      <c r="Q81" s="10" t="n">
        <v>8</v>
      </c>
      <c r="R81" s="12" t="str">
        <f aca="false">IF(J81="","",Q81*J81)</f>
        <v/>
      </c>
      <c r="S81" s="11"/>
      <c r="T81" s="12" t="str">
        <f aca="false">IF(OR(R81="",S81=""),"",IFERROR(S81/R81*100,0))</f>
        <v/>
      </c>
      <c r="U81" s="12" t="str">
        <f aca="false">IF(OR(O81="",L81="",M81="",S81="",M81=0),"",IFERROR(O81/(L81*60*S81/(M81*36))*100,0))</f>
        <v/>
      </c>
      <c r="V81" s="11"/>
      <c r="W81" s="12" t="str">
        <f aca="false">IF(O81="","",IFERROR(V81/O81*100,0))</f>
        <v/>
      </c>
      <c r="X81" s="11"/>
      <c r="Y81" s="11"/>
      <c r="Z81" s="11"/>
      <c r="AA81" s="11"/>
      <c r="AB81" s="11"/>
      <c r="AC81" s="11"/>
      <c r="AD81" s="11"/>
      <c r="AE81" s="11"/>
      <c r="AF81" s="12" t="str">
        <f aca="false">IF(O81="","",SUM(X81:AE81))</f>
        <v/>
      </c>
      <c r="AG81" s="12" t="str">
        <f aca="false">IF(O81="","",IFERROR(AF81/O81*1000,0))</f>
        <v/>
      </c>
      <c r="AH81" s="11"/>
      <c r="AI81" s="11"/>
      <c r="AJ81" s="11"/>
      <c r="AK81" s="9"/>
      <c r="AL81" s="9"/>
      <c r="AM81" s="9"/>
    </row>
    <row r="82" customFormat="false" ht="15" hidden="false" customHeight="true" outlineLevel="0" collapsed="false">
      <c r="A82" s="6"/>
      <c r="B82" s="7"/>
      <c r="C82" s="8"/>
      <c r="D82" s="8"/>
      <c r="E82" s="8"/>
      <c r="F82" s="9"/>
      <c r="G82" s="8"/>
      <c r="H82" s="10" t="str">
        <f aca="false">IFERROR(INDEX('Operator Master'!$B$5:$B$504,MATCH(G82,'Operator Master'!$A$5:$A$504,0)),"")</f>
        <v/>
      </c>
      <c r="I82" s="9"/>
      <c r="J82" s="9"/>
      <c r="K82" s="8"/>
      <c r="L82" s="9"/>
      <c r="M82" s="9"/>
      <c r="N82" s="11"/>
      <c r="O82" s="11"/>
      <c r="P82" s="12" t="str">
        <f aca="false">IF(OR(N82="",O82=""),"",IFERROR(O82/N82*100,0))</f>
        <v/>
      </c>
      <c r="Q82" s="10" t="n">
        <v>8</v>
      </c>
      <c r="R82" s="12" t="str">
        <f aca="false">IF(J82="","",Q82*J82)</f>
        <v/>
      </c>
      <c r="S82" s="11"/>
      <c r="T82" s="12" t="str">
        <f aca="false">IF(OR(R82="",S82=""),"",IFERROR(S82/R82*100,0))</f>
        <v/>
      </c>
      <c r="U82" s="12" t="str">
        <f aca="false">IF(OR(O82="",L82="",M82="",S82="",M82=0),"",IFERROR(O82/(L82*60*S82/(M82*36))*100,0))</f>
        <v/>
      </c>
      <c r="V82" s="11"/>
      <c r="W82" s="12" t="str">
        <f aca="false">IF(O82="","",IFERROR(V82/O82*100,0))</f>
        <v/>
      </c>
      <c r="X82" s="11"/>
      <c r="Y82" s="11"/>
      <c r="Z82" s="11"/>
      <c r="AA82" s="11"/>
      <c r="AB82" s="11"/>
      <c r="AC82" s="11"/>
      <c r="AD82" s="11"/>
      <c r="AE82" s="11"/>
      <c r="AF82" s="12" t="str">
        <f aca="false">IF(O82="","",SUM(X82:AE82))</f>
        <v/>
      </c>
      <c r="AG82" s="12" t="str">
        <f aca="false">IF(O82="","",IFERROR(AF82/O82*1000,0))</f>
        <v/>
      </c>
      <c r="AH82" s="11"/>
      <c r="AI82" s="11"/>
      <c r="AJ82" s="11"/>
      <c r="AK82" s="9"/>
      <c r="AL82" s="9"/>
      <c r="AM82" s="9"/>
    </row>
    <row r="83" customFormat="false" ht="15" hidden="false" customHeight="true" outlineLevel="0" collapsed="false">
      <c r="A83" s="6"/>
      <c r="B83" s="7"/>
      <c r="C83" s="8"/>
      <c r="D83" s="8"/>
      <c r="E83" s="8"/>
      <c r="F83" s="9"/>
      <c r="G83" s="8"/>
      <c r="H83" s="10" t="str">
        <f aca="false">IFERROR(INDEX('Operator Master'!$B$5:$B$504,MATCH(G83,'Operator Master'!$A$5:$A$504,0)),"")</f>
        <v/>
      </c>
      <c r="I83" s="9"/>
      <c r="J83" s="9"/>
      <c r="K83" s="8"/>
      <c r="L83" s="9"/>
      <c r="M83" s="9"/>
      <c r="N83" s="11"/>
      <c r="O83" s="11"/>
      <c r="P83" s="12" t="str">
        <f aca="false">IF(OR(N83="",O83=""),"",IFERROR(O83/N83*100,0))</f>
        <v/>
      </c>
      <c r="Q83" s="10" t="n">
        <v>8</v>
      </c>
      <c r="R83" s="12" t="str">
        <f aca="false">IF(J83="","",Q83*J83)</f>
        <v/>
      </c>
      <c r="S83" s="11"/>
      <c r="T83" s="12" t="str">
        <f aca="false">IF(OR(R83="",S83=""),"",IFERROR(S83/R83*100,0))</f>
        <v/>
      </c>
      <c r="U83" s="12" t="str">
        <f aca="false">IF(OR(O83="",L83="",M83="",S83="",M83=0),"",IFERROR(O83/(L83*60*S83/(M83*36))*100,0))</f>
        <v/>
      </c>
      <c r="V83" s="11"/>
      <c r="W83" s="12" t="str">
        <f aca="false">IF(O83="","",IFERROR(V83/O83*100,0))</f>
        <v/>
      </c>
      <c r="X83" s="11"/>
      <c r="Y83" s="11"/>
      <c r="Z83" s="11"/>
      <c r="AA83" s="11"/>
      <c r="AB83" s="11"/>
      <c r="AC83" s="11"/>
      <c r="AD83" s="11"/>
      <c r="AE83" s="11"/>
      <c r="AF83" s="12" t="str">
        <f aca="false">IF(O83="","",SUM(X83:AE83))</f>
        <v/>
      </c>
      <c r="AG83" s="12" t="str">
        <f aca="false">IF(O83="","",IFERROR(AF83/O83*1000,0))</f>
        <v/>
      </c>
      <c r="AH83" s="11"/>
      <c r="AI83" s="11"/>
      <c r="AJ83" s="11"/>
      <c r="AK83" s="9"/>
      <c r="AL83" s="9"/>
      <c r="AM83" s="9"/>
    </row>
    <row r="84" customFormat="false" ht="15" hidden="false" customHeight="true" outlineLevel="0" collapsed="false">
      <c r="A84" s="6"/>
      <c r="B84" s="7"/>
      <c r="C84" s="8"/>
      <c r="D84" s="8"/>
      <c r="E84" s="8"/>
      <c r="F84" s="9"/>
      <c r="G84" s="8"/>
      <c r="H84" s="10" t="str">
        <f aca="false">IFERROR(INDEX('Operator Master'!$B$5:$B$504,MATCH(G84,'Operator Master'!$A$5:$A$504,0)),"")</f>
        <v/>
      </c>
      <c r="I84" s="9"/>
      <c r="J84" s="9"/>
      <c r="K84" s="8"/>
      <c r="L84" s="9"/>
      <c r="M84" s="9"/>
      <c r="N84" s="11"/>
      <c r="O84" s="11"/>
      <c r="P84" s="12" t="str">
        <f aca="false">IF(OR(N84="",O84=""),"",IFERROR(O84/N84*100,0))</f>
        <v/>
      </c>
      <c r="Q84" s="10" t="n">
        <v>8</v>
      </c>
      <c r="R84" s="12" t="str">
        <f aca="false">IF(J84="","",Q84*J84)</f>
        <v/>
      </c>
      <c r="S84" s="11"/>
      <c r="T84" s="12" t="str">
        <f aca="false">IF(OR(R84="",S84=""),"",IFERROR(S84/R84*100,0))</f>
        <v/>
      </c>
      <c r="U84" s="12" t="str">
        <f aca="false">IF(OR(O84="",L84="",M84="",S84="",M84=0),"",IFERROR(O84/(L84*60*S84/(M84*36))*100,0))</f>
        <v/>
      </c>
      <c r="V84" s="11"/>
      <c r="W84" s="12" t="str">
        <f aca="false">IF(O84="","",IFERROR(V84/O84*100,0))</f>
        <v/>
      </c>
      <c r="X84" s="11"/>
      <c r="Y84" s="11"/>
      <c r="Z84" s="11"/>
      <c r="AA84" s="11"/>
      <c r="AB84" s="11"/>
      <c r="AC84" s="11"/>
      <c r="AD84" s="11"/>
      <c r="AE84" s="11"/>
      <c r="AF84" s="12" t="str">
        <f aca="false">IF(O84="","",SUM(X84:AE84))</f>
        <v/>
      </c>
      <c r="AG84" s="12" t="str">
        <f aca="false">IF(O84="","",IFERROR(AF84/O84*1000,0))</f>
        <v/>
      </c>
      <c r="AH84" s="11"/>
      <c r="AI84" s="11"/>
      <c r="AJ84" s="11"/>
      <c r="AK84" s="9"/>
      <c r="AL84" s="9"/>
      <c r="AM84" s="9"/>
    </row>
    <row r="85" customFormat="false" ht="15" hidden="false" customHeight="true" outlineLevel="0" collapsed="false">
      <c r="A85" s="6"/>
      <c r="B85" s="7"/>
      <c r="C85" s="8"/>
      <c r="D85" s="8"/>
      <c r="E85" s="8"/>
      <c r="F85" s="9"/>
      <c r="G85" s="8"/>
      <c r="H85" s="10" t="str">
        <f aca="false">IFERROR(INDEX('Operator Master'!$B$5:$B$504,MATCH(G85,'Operator Master'!$A$5:$A$504,0)),"")</f>
        <v/>
      </c>
      <c r="I85" s="9"/>
      <c r="J85" s="9"/>
      <c r="K85" s="8"/>
      <c r="L85" s="9"/>
      <c r="M85" s="9"/>
      <c r="N85" s="11"/>
      <c r="O85" s="11"/>
      <c r="P85" s="12" t="str">
        <f aca="false">IF(OR(N85="",O85=""),"",IFERROR(O85/N85*100,0))</f>
        <v/>
      </c>
      <c r="Q85" s="10" t="n">
        <v>8</v>
      </c>
      <c r="R85" s="12" t="str">
        <f aca="false">IF(J85="","",Q85*J85)</f>
        <v/>
      </c>
      <c r="S85" s="11"/>
      <c r="T85" s="12" t="str">
        <f aca="false">IF(OR(R85="",S85=""),"",IFERROR(S85/R85*100,0))</f>
        <v/>
      </c>
      <c r="U85" s="12" t="str">
        <f aca="false">IF(OR(O85="",L85="",M85="",S85="",M85=0),"",IFERROR(O85/(L85*60*S85/(M85*36))*100,0))</f>
        <v/>
      </c>
      <c r="V85" s="11"/>
      <c r="W85" s="12" t="str">
        <f aca="false">IF(O85="","",IFERROR(V85/O85*100,0))</f>
        <v/>
      </c>
      <c r="X85" s="11"/>
      <c r="Y85" s="11"/>
      <c r="Z85" s="11"/>
      <c r="AA85" s="11"/>
      <c r="AB85" s="11"/>
      <c r="AC85" s="11"/>
      <c r="AD85" s="11"/>
      <c r="AE85" s="11"/>
      <c r="AF85" s="12" t="str">
        <f aca="false">IF(O85="","",SUM(X85:AE85))</f>
        <v/>
      </c>
      <c r="AG85" s="12" t="str">
        <f aca="false">IF(O85="","",IFERROR(AF85/O85*1000,0))</f>
        <v/>
      </c>
      <c r="AH85" s="11"/>
      <c r="AI85" s="11"/>
      <c r="AJ85" s="11"/>
      <c r="AK85" s="9"/>
      <c r="AL85" s="9"/>
      <c r="AM85" s="9"/>
    </row>
    <row r="86" customFormat="false" ht="15" hidden="false" customHeight="true" outlineLevel="0" collapsed="false">
      <c r="A86" s="6"/>
      <c r="B86" s="7"/>
      <c r="C86" s="8"/>
      <c r="D86" s="8"/>
      <c r="E86" s="8"/>
      <c r="F86" s="9"/>
      <c r="G86" s="8"/>
      <c r="H86" s="10" t="str">
        <f aca="false">IFERROR(INDEX('Operator Master'!$B$5:$B$504,MATCH(G86,'Operator Master'!$A$5:$A$504,0)),"")</f>
        <v/>
      </c>
      <c r="I86" s="9"/>
      <c r="J86" s="9"/>
      <c r="K86" s="8"/>
      <c r="L86" s="9"/>
      <c r="M86" s="9"/>
      <c r="N86" s="11"/>
      <c r="O86" s="11"/>
      <c r="P86" s="12" t="str">
        <f aca="false">IF(OR(N86="",O86=""),"",IFERROR(O86/N86*100,0))</f>
        <v/>
      </c>
      <c r="Q86" s="10" t="n">
        <v>8</v>
      </c>
      <c r="R86" s="12" t="str">
        <f aca="false">IF(J86="","",Q86*J86)</f>
        <v/>
      </c>
      <c r="S86" s="11"/>
      <c r="T86" s="12" t="str">
        <f aca="false">IF(OR(R86="",S86=""),"",IFERROR(S86/R86*100,0))</f>
        <v/>
      </c>
      <c r="U86" s="12" t="str">
        <f aca="false">IF(OR(O86="",L86="",M86="",S86="",M86=0),"",IFERROR(O86/(L86*60*S86/(M86*36))*100,0))</f>
        <v/>
      </c>
      <c r="V86" s="11"/>
      <c r="W86" s="12" t="str">
        <f aca="false">IF(O86="","",IFERROR(V86/O86*100,0))</f>
        <v/>
      </c>
      <c r="X86" s="11"/>
      <c r="Y86" s="11"/>
      <c r="Z86" s="11"/>
      <c r="AA86" s="11"/>
      <c r="AB86" s="11"/>
      <c r="AC86" s="11"/>
      <c r="AD86" s="11"/>
      <c r="AE86" s="11"/>
      <c r="AF86" s="12" t="str">
        <f aca="false">IF(O86="","",SUM(X86:AE86))</f>
        <v/>
      </c>
      <c r="AG86" s="12" t="str">
        <f aca="false">IF(O86="","",IFERROR(AF86/O86*1000,0))</f>
        <v/>
      </c>
      <c r="AH86" s="11"/>
      <c r="AI86" s="11"/>
      <c r="AJ86" s="11"/>
      <c r="AK86" s="9"/>
      <c r="AL86" s="9"/>
      <c r="AM86" s="9"/>
    </row>
    <row r="87" customFormat="false" ht="15" hidden="false" customHeight="true" outlineLevel="0" collapsed="false">
      <c r="A87" s="6"/>
      <c r="B87" s="7"/>
      <c r="C87" s="8"/>
      <c r="D87" s="8"/>
      <c r="E87" s="8"/>
      <c r="F87" s="9"/>
      <c r="G87" s="8"/>
      <c r="H87" s="10" t="str">
        <f aca="false">IFERROR(INDEX('Operator Master'!$B$5:$B$504,MATCH(G87,'Operator Master'!$A$5:$A$504,0)),"")</f>
        <v/>
      </c>
      <c r="I87" s="9"/>
      <c r="J87" s="9"/>
      <c r="K87" s="8"/>
      <c r="L87" s="9"/>
      <c r="M87" s="9"/>
      <c r="N87" s="11"/>
      <c r="O87" s="11"/>
      <c r="P87" s="12" t="str">
        <f aca="false">IF(OR(N87="",O87=""),"",IFERROR(O87/N87*100,0))</f>
        <v/>
      </c>
      <c r="Q87" s="10" t="n">
        <v>8</v>
      </c>
      <c r="R87" s="12" t="str">
        <f aca="false">IF(J87="","",Q87*J87)</f>
        <v/>
      </c>
      <c r="S87" s="11"/>
      <c r="T87" s="12" t="str">
        <f aca="false">IF(OR(R87="",S87=""),"",IFERROR(S87/R87*100,0))</f>
        <v/>
      </c>
      <c r="U87" s="12" t="str">
        <f aca="false">IF(OR(O87="",L87="",M87="",S87="",M87=0),"",IFERROR(O87/(L87*60*S87/(M87*36))*100,0))</f>
        <v/>
      </c>
      <c r="V87" s="11"/>
      <c r="W87" s="12" t="str">
        <f aca="false">IF(O87="","",IFERROR(V87/O87*100,0))</f>
        <v/>
      </c>
      <c r="X87" s="11"/>
      <c r="Y87" s="11"/>
      <c r="Z87" s="11"/>
      <c r="AA87" s="11"/>
      <c r="AB87" s="11"/>
      <c r="AC87" s="11"/>
      <c r="AD87" s="11"/>
      <c r="AE87" s="11"/>
      <c r="AF87" s="12" t="str">
        <f aca="false">IF(O87="","",SUM(X87:AE87))</f>
        <v/>
      </c>
      <c r="AG87" s="12" t="str">
        <f aca="false">IF(O87="","",IFERROR(AF87/O87*1000,0))</f>
        <v/>
      </c>
      <c r="AH87" s="11"/>
      <c r="AI87" s="11"/>
      <c r="AJ87" s="11"/>
      <c r="AK87" s="9"/>
      <c r="AL87" s="9"/>
      <c r="AM87" s="9"/>
    </row>
    <row r="88" customFormat="false" ht="15" hidden="false" customHeight="true" outlineLevel="0" collapsed="false">
      <c r="A88" s="6"/>
      <c r="B88" s="7"/>
      <c r="C88" s="8"/>
      <c r="D88" s="8"/>
      <c r="E88" s="8"/>
      <c r="F88" s="9"/>
      <c r="G88" s="8"/>
      <c r="H88" s="10" t="str">
        <f aca="false">IFERROR(INDEX('Operator Master'!$B$5:$B$504,MATCH(G88,'Operator Master'!$A$5:$A$504,0)),"")</f>
        <v/>
      </c>
      <c r="I88" s="9"/>
      <c r="J88" s="9"/>
      <c r="K88" s="8"/>
      <c r="L88" s="9"/>
      <c r="M88" s="9"/>
      <c r="N88" s="11"/>
      <c r="O88" s="11"/>
      <c r="P88" s="12" t="str">
        <f aca="false">IF(OR(N88="",O88=""),"",IFERROR(O88/N88*100,0))</f>
        <v/>
      </c>
      <c r="Q88" s="10" t="n">
        <v>8</v>
      </c>
      <c r="R88" s="12" t="str">
        <f aca="false">IF(J88="","",Q88*J88)</f>
        <v/>
      </c>
      <c r="S88" s="11"/>
      <c r="T88" s="12" t="str">
        <f aca="false">IF(OR(R88="",S88=""),"",IFERROR(S88/R88*100,0))</f>
        <v/>
      </c>
      <c r="U88" s="12" t="str">
        <f aca="false">IF(OR(O88="",L88="",M88="",S88="",M88=0),"",IFERROR(O88/(L88*60*S88/(M88*36))*100,0))</f>
        <v/>
      </c>
      <c r="V88" s="11"/>
      <c r="W88" s="12" t="str">
        <f aca="false">IF(O88="","",IFERROR(V88/O88*100,0))</f>
        <v/>
      </c>
      <c r="X88" s="11"/>
      <c r="Y88" s="11"/>
      <c r="Z88" s="11"/>
      <c r="AA88" s="11"/>
      <c r="AB88" s="11"/>
      <c r="AC88" s="11"/>
      <c r="AD88" s="11"/>
      <c r="AE88" s="11"/>
      <c r="AF88" s="12" t="str">
        <f aca="false">IF(O88="","",SUM(X88:AE88))</f>
        <v/>
      </c>
      <c r="AG88" s="12" t="str">
        <f aca="false">IF(O88="","",IFERROR(AF88/O88*1000,0))</f>
        <v/>
      </c>
      <c r="AH88" s="11"/>
      <c r="AI88" s="11"/>
      <c r="AJ88" s="11"/>
      <c r="AK88" s="9"/>
      <c r="AL88" s="9"/>
      <c r="AM88" s="9"/>
    </row>
    <row r="89" customFormat="false" ht="15" hidden="false" customHeight="true" outlineLevel="0" collapsed="false">
      <c r="A89" s="6"/>
      <c r="B89" s="7"/>
      <c r="C89" s="8"/>
      <c r="D89" s="8"/>
      <c r="E89" s="8"/>
      <c r="F89" s="9"/>
      <c r="G89" s="8"/>
      <c r="H89" s="10" t="str">
        <f aca="false">IFERROR(INDEX('Operator Master'!$B$5:$B$504,MATCH(G89,'Operator Master'!$A$5:$A$504,0)),"")</f>
        <v/>
      </c>
      <c r="I89" s="9"/>
      <c r="J89" s="9"/>
      <c r="K89" s="8"/>
      <c r="L89" s="9"/>
      <c r="M89" s="9"/>
      <c r="N89" s="11"/>
      <c r="O89" s="11"/>
      <c r="P89" s="12" t="str">
        <f aca="false">IF(OR(N89="",O89=""),"",IFERROR(O89/N89*100,0))</f>
        <v/>
      </c>
      <c r="Q89" s="10" t="n">
        <v>8</v>
      </c>
      <c r="R89" s="12" t="str">
        <f aca="false">IF(J89="","",Q89*J89)</f>
        <v/>
      </c>
      <c r="S89" s="11"/>
      <c r="T89" s="12" t="str">
        <f aca="false">IF(OR(R89="",S89=""),"",IFERROR(S89/R89*100,0))</f>
        <v/>
      </c>
      <c r="U89" s="12" t="str">
        <f aca="false">IF(OR(O89="",L89="",M89="",S89="",M89=0),"",IFERROR(O89/(L89*60*S89/(M89*36))*100,0))</f>
        <v/>
      </c>
      <c r="V89" s="11"/>
      <c r="W89" s="12" t="str">
        <f aca="false">IF(O89="","",IFERROR(V89/O89*100,0))</f>
        <v/>
      </c>
      <c r="X89" s="11"/>
      <c r="Y89" s="11"/>
      <c r="Z89" s="11"/>
      <c r="AA89" s="11"/>
      <c r="AB89" s="11"/>
      <c r="AC89" s="11"/>
      <c r="AD89" s="11"/>
      <c r="AE89" s="11"/>
      <c r="AF89" s="12" t="str">
        <f aca="false">IF(O89="","",SUM(X89:AE89))</f>
        <v/>
      </c>
      <c r="AG89" s="12" t="str">
        <f aca="false">IF(O89="","",IFERROR(AF89/O89*1000,0))</f>
        <v/>
      </c>
      <c r="AH89" s="11"/>
      <c r="AI89" s="11"/>
      <c r="AJ89" s="11"/>
      <c r="AK89" s="9"/>
      <c r="AL89" s="9"/>
      <c r="AM89" s="9"/>
    </row>
    <row r="90" customFormat="false" ht="15" hidden="false" customHeight="true" outlineLevel="0" collapsed="false">
      <c r="A90" s="6"/>
      <c r="B90" s="7"/>
      <c r="C90" s="8"/>
      <c r="D90" s="8"/>
      <c r="E90" s="8"/>
      <c r="F90" s="9"/>
      <c r="G90" s="8"/>
      <c r="H90" s="10" t="str">
        <f aca="false">IFERROR(INDEX('Operator Master'!$B$5:$B$504,MATCH(G90,'Operator Master'!$A$5:$A$504,0)),"")</f>
        <v/>
      </c>
      <c r="I90" s="9"/>
      <c r="J90" s="9"/>
      <c r="K90" s="8"/>
      <c r="L90" s="9"/>
      <c r="M90" s="9"/>
      <c r="N90" s="11"/>
      <c r="O90" s="11"/>
      <c r="P90" s="12" t="str">
        <f aca="false">IF(OR(N90="",O90=""),"",IFERROR(O90/N90*100,0))</f>
        <v/>
      </c>
      <c r="Q90" s="10" t="n">
        <v>8</v>
      </c>
      <c r="R90" s="12" t="str">
        <f aca="false">IF(J90="","",Q90*J90)</f>
        <v/>
      </c>
      <c r="S90" s="11"/>
      <c r="T90" s="12" t="str">
        <f aca="false">IF(OR(R90="",S90=""),"",IFERROR(S90/R90*100,0))</f>
        <v/>
      </c>
      <c r="U90" s="12" t="str">
        <f aca="false">IF(OR(O90="",L90="",M90="",S90="",M90=0),"",IFERROR(O90/(L90*60*S90/(M90*36))*100,0))</f>
        <v/>
      </c>
      <c r="V90" s="11"/>
      <c r="W90" s="12" t="str">
        <f aca="false">IF(O90="","",IFERROR(V90/O90*100,0))</f>
        <v/>
      </c>
      <c r="X90" s="11"/>
      <c r="Y90" s="11"/>
      <c r="Z90" s="11"/>
      <c r="AA90" s="11"/>
      <c r="AB90" s="11"/>
      <c r="AC90" s="11"/>
      <c r="AD90" s="11"/>
      <c r="AE90" s="11"/>
      <c r="AF90" s="12" t="str">
        <f aca="false">IF(O90="","",SUM(X90:AE90))</f>
        <v/>
      </c>
      <c r="AG90" s="12" t="str">
        <f aca="false">IF(O90="","",IFERROR(AF90/O90*1000,0))</f>
        <v/>
      </c>
      <c r="AH90" s="11"/>
      <c r="AI90" s="11"/>
      <c r="AJ90" s="11"/>
      <c r="AK90" s="9"/>
      <c r="AL90" s="9"/>
      <c r="AM90" s="9"/>
    </row>
    <row r="91" customFormat="false" ht="15" hidden="false" customHeight="true" outlineLevel="0" collapsed="false">
      <c r="A91" s="6"/>
      <c r="B91" s="7"/>
      <c r="C91" s="8"/>
      <c r="D91" s="8"/>
      <c r="E91" s="8"/>
      <c r="F91" s="9"/>
      <c r="G91" s="8"/>
      <c r="H91" s="10" t="str">
        <f aca="false">IFERROR(INDEX('Operator Master'!$B$5:$B$504,MATCH(G91,'Operator Master'!$A$5:$A$504,0)),"")</f>
        <v/>
      </c>
      <c r="I91" s="9"/>
      <c r="J91" s="9"/>
      <c r="K91" s="8"/>
      <c r="L91" s="9"/>
      <c r="M91" s="9"/>
      <c r="N91" s="11"/>
      <c r="O91" s="11"/>
      <c r="P91" s="12" t="str">
        <f aca="false">IF(OR(N91="",O91=""),"",IFERROR(O91/N91*100,0))</f>
        <v/>
      </c>
      <c r="Q91" s="10" t="n">
        <v>8</v>
      </c>
      <c r="R91" s="12" t="str">
        <f aca="false">IF(J91="","",Q91*J91)</f>
        <v/>
      </c>
      <c r="S91" s="11"/>
      <c r="T91" s="12" t="str">
        <f aca="false">IF(OR(R91="",S91=""),"",IFERROR(S91/R91*100,0))</f>
        <v/>
      </c>
      <c r="U91" s="12" t="str">
        <f aca="false">IF(OR(O91="",L91="",M91="",S91="",M91=0),"",IFERROR(O91/(L91*60*S91/(M91*36))*100,0))</f>
        <v/>
      </c>
      <c r="V91" s="11"/>
      <c r="W91" s="12" t="str">
        <f aca="false">IF(O91="","",IFERROR(V91/O91*100,0))</f>
        <v/>
      </c>
      <c r="X91" s="11"/>
      <c r="Y91" s="11"/>
      <c r="Z91" s="11"/>
      <c r="AA91" s="11"/>
      <c r="AB91" s="11"/>
      <c r="AC91" s="11"/>
      <c r="AD91" s="11"/>
      <c r="AE91" s="11"/>
      <c r="AF91" s="12" t="str">
        <f aca="false">IF(O91="","",SUM(X91:AE91))</f>
        <v/>
      </c>
      <c r="AG91" s="12" t="str">
        <f aca="false">IF(O91="","",IFERROR(AF91/O91*1000,0))</f>
        <v/>
      </c>
      <c r="AH91" s="11"/>
      <c r="AI91" s="11"/>
      <c r="AJ91" s="11"/>
      <c r="AK91" s="9"/>
      <c r="AL91" s="9"/>
      <c r="AM91" s="9"/>
    </row>
    <row r="92" customFormat="false" ht="15" hidden="false" customHeight="true" outlineLevel="0" collapsed="false">
      <c r="A92" s="6"/>
      <c r="B92" s="7"/>
      <c r="C92" s="8"/>
      <c r="D92" s="8"/>
      <c r="E92" s="8"/>
      <c r="F92" s="9"/>
      <c r="G92" s="8"/>
      <c r="H92" s="10" t="str">
        <f aca="false">IFERROR(INDEX('Operator Master'!$B$5:$B$504,MATCH(G92,'Operator Master'!$A$5:$A$504,0)),"")</f>
        <v/>
      </c>
      <c r="I92" s="9"/>
      <c r="J92" s="9"/>
      <c r="K92" s="8"/>
      <c r="L92" s="9"/>
      <c r="M92" s="9"/>
      <c r="N92" s="11"/>
      <c r="O92" s="11"/>
      <c r="P92" s="12" t="str">
        <f aca="false">IF(OR(N92="",O92=""),"",IFERROR(O92/N92*100,0))</f>
        <v/>
      </c>
      <c r="Q92" s="10" t="n">
        <v>8</v>
      </c>
      <c r="R92" s="12" t="str">
        <f aca="false">IF(J92="","",Q92*J92)</f>
        <v/>
      </c>
      <c r="S92" s="11"/>
      <c r="T92" s="12" t="str">
        <f aca="false">IF(OR(R92="",S92=""),"",IFERROR(S92/R92*100,0))</f>
        <v/>
      </c>
      <c r="U92" s="12" t="str">
        <f aca="false">IF(OR(O92="",L92="",M92="",S92="",M92=0),"",IFERROR(O92/(L92*60*S92/(M92*36))*100,0))</f>
        <v/>
      </c>
      <c r="V92" s="11"/>
      <c r="W92" s="12" t="str">
        <f aca="false">IF(O92="","",IFERROR(V92/O92*100,0))</f>
        <v/>
      </c>
      <c r="X92" s="11"/>
      <c r="Y92" s="11"/>
      <c r="Z92" s="11"/>
      <c r="AA92" s="11"/>
      <c r="AB92" s="11"/>
      <c r="AC92" s="11"/>
      <c r="AD92" s="11"/>
      <c r="AE92" s="11"/>
      <c r="AF92" s="12" t="str">
        <f aca="false">IF(O92="","",SUM(X92:AE92))</f>
        <v/>
      </c>
      <c r="AG92" s="12" t="str">
        <f aca="false">IF(O92="","",IFERROR(AF92/O92*1000,0))</f>
        <v/>
      </c>
      <c r="AH92" s="11"/>
      <c r="AI92" s="11"/>
      <c r="AJ92" s="11"/>
      <c r="AK92" s="9"/>
      <c r="AL92" s="9"/>
      <c r="AM92" s="9"/>
    </row>
    <row r="93" customFormat="false" ht="15" hidden="false" customHeight="true" outlineLevel="0" collapsed="false">
      <c r="A93" s="6"/>
      <c r="B93" s="7"/>
      <c r="C93" s="8"/>
      <c r="D93" s="8"/>
      <c r="E93" s="8"/>
      <c r="F93" s="9"/>
      <c r="G93" s="8"/>
      <c r="H93" s="10" t="str">
        <f aca="false">IFERROR(INDEX('Operator Master'!$B$5:$B$504,MATCH(G93,'Operator Master'!$A$5:$A$504,0)),"")</f>
        <v/>
      </c>
      <c r="I93" s="9"/>
      <c r="J93" s="9"/>
      <c r="K93" s="8"/>
      <c r="L93" s="9"/>
      <c r="M93" s="9"/>
      <c r="N93" s="11"/>
      <c r="O93" s="11"/>
      <c r="P93" s="12" t="str">
        <f aca="false">IF(OR(N93="",O93=""),"",IFERROR(O93/N93*100,0))</f>
        <v/>
      </c>
      <c r="Q93" s="10" t="n">
        <v>8</v>
      </c>
      <c r="R93" s="12" t="str">
        <f aca="false">IF(J93="","",Q93*J93)</f>
        <v/>
      </c>
      <c r="S93" s="11"/>
      <c r="T93" s="12" t="str">
        <f aca="false">IF(OR(R93="",S93=""),"",IFERROR(S93/R93*100,0))</f>
        <v/>
      </c>
      <c r="U93" s="12" t="str">
        <f aca="false">IF(OR(O93="",L93="",M93="",S93="",M93=0),"",IFERROR(O93/(L93*60*S93/(M93*36))*100,0))</f>
        <v/>
      </c>
      <c r="V93" s="11"/>
      <c r="W93" s="12" t="str">
        <f aca="false">IF(O93="","",IFERROR(V93/O93*100,0))</f>
        <v/>
      </c>
      <c r="X93" s="11"/>
      <c r="Y93" s="11"/>
      <c r="Z93" s="11"/>
      <c r="AA93" s="11"/>
      <c r="AB93" s="11"/>
      <c r="AC93" s="11"/>
      <c r="AD93" s="11"/>
      <c r="AE93" s="11"/>
      <c r="AF93" s="12" t="str">
        <f aca="false">IF(O93="","",SUM(X93:AE93))</f>
        <v/>
      </c>
      <c r="AG93" s="12" t="str">
        <f aca="false">IF(O93="","",IFERROR(AF93/O93*1000,0))</f>
        <v/>
      </c>
      <c r="AH93" s="11"/>
      <c r="AI93" s="11"/>
      <c r="AJ93" s="11"/>
      <c r="AK93" s="9"/>
      <c r="AL93" s="9"/>
      <c r="AM93" s="9"/>
    </row>
    <row r="94" customFormat="false" ht="15" hidden="false" customHeight="true" outlineLevel="0" collapsed="false">
      <c r="A94" s="6"/>
      <c r="B94" s="7"/>
      <c r="C94" s="8"/>
      <c r="D94" s="8"/>
      <c r="E94" s="8"/>
      <c r="F94" s="9"/>
      <c r="G94" s="8"/>
      <c r="H94" s="10" t="str">
        <f aca="false">IFERROR(INDEX('Operator Master'!$B$5:$B$504,MATCH(G94,'Operator Master'!$A$5:$A$504,0)),"")</f>
        <v/>
      </c>
      <c r="I94" s="9"/>
      <c r="J94" s="9"/>
      <c r="K94" s="8"/>
      <c r="L94" s="9"/>
      <c r="M94" s="9"/>
      <c r="N94" s="11"/>
      <c r="O94" s="11"/>
      <c r="P94" s="12" t="str">
        <f aca="false">IF(OR(N94="",O94=""),"",IFERROR(O94/N94*100,0))</f>
        <v/>
      </c>
      <c r="Q94" s="10" t="n">
        <v>8</v>
      </c>
      <c r="R94" s="12" t="str">
        <f aca="false">IF(J94="","",Q94*J94)</f>
        <v/>
      </c>
      <c r="S94" s="11"/>
      <c r="T94" s="12" t="str">
        <f aca="false">IF(OR(R94="",S94=""),"",IFERROR(S94/R94*100,0))</f>
        <v/>
      </c>
      <c r="U94" s="12" t="str">
        <f aca="false">IF(OR(O94="",L94="",M94="",S94="",M94=0),"",IFERROR(O94/(L94*60*S94/(M94*36))*100,0))</f>
        <v/>
      </c>
      <c r="V94" s="11"/>
      <c r="W94" s="12" t="str">
        <f aca="false">IF(O94="","",IFERROR(V94/O94*100,0))</f>
        <v/>
      </c>
      <c r="X94" s="11"/>
      <c r="Y94" s="11"/>
      <c r="Z94" s="11"/>
      <c r="AA94" s="11"/>
      <c r="AB94" s="11"/>
      <c r="AC94" s="11"/>
      <c r="AD94" s="11"/>
      <c r="AE94" s="11"/>
      <c r="AF94" s="12" t="str">
        <f aca="false">IF(O94="","",SUM(X94:AE94))</f>
        <v/>
      </c>
      <c r="AG94" s="12" t="str">
        <f aca="false">IF(O94="","",IFERROR(AF94/O94*1000,0))</f>
        <v/>
      </c>
      <c r="AH94" s="11"/>
      <c r="AI94" s="11"/>
      <c r="AJ94" s="11"/>
      <c r="AK94" s="9"/>
      <c r="AL94" s="9"/>
      <c r="AM94" s="9"/>
    </row>
    <row r="95" customFormat="false" ht="15" hidden="false" customHeight="true" outlineLevel="0" collapsed="false">
      <c r="A95" s="6"/>
      <c r="B95" s="7"/>
      <c r="C95" s="8"/>
      <c r="D95" s="8"/>
      <c r="E95" s="8"/>
      <c r="F95" s="9"/>
      <c r="G95" s="8"/>
      <c r="H95" s="10" t="str">
        <f aca="false">IFERROR(INDEX('Operator Master'!$B$5:$B$504,MATCH(G95,'Operator Master'!$A$5:$A$504,0)),"")</f>
        <v/>
      </c>
      <c r="I95" s="9"/>
      <c r="J95" s="9"/>
      <c r="K95" s="8"/>
      <c r="L95" s="9"/>
      <c r="M95" s="9"/>
      <c r="N95" s="11"/>
      <c r="O95" s="11"/>
      <c r="P95" s="12" t="str">
        <f aca="false">IF(OR(N95="",O95=""),"",IFERROR(O95/N95*100,0))</f>
        <v/>
      </c>
      <c r="Q95" s="10" t="n">
        <v>8</v>
      </c>
      <c r="R95" s="12" t="str">
        <f aca="false">IF(J95="","",Q95*J95)</f>
        <v/>
      </c>
      <c r="S95" s="11"/>
      <c r="T95" s="12" t="str">
        <f aca="false">IF(OR(R95="",S95=""),"",IFERROR(S95/R95*100,0))</f>
        <v/>
      </c>
      <c r="U95" s="12" t="str">
        <f aca="false">IF(OR(O95="",L95="",M95="",S95="",M95=0),"",IFERROR(O95/(L95*60*S95/(M95*36))*100,0))</f>
        <v/>
      </c>
      <c r="V95" s="11"/>
      <c r="W95" s="12" t="str">
        <f aca="false">IF(O95="","",IFERROR(V95/O95*100,0))</f>
        <v/>
      </c>
      <c r="X95" s="11"/>
      <c r="Y95" s="11"/>
      <c r="Z95" s="11"/>
      <c r="AA95" s="11"/>
      <c r="AB95" s="11"/>
      <c r="AC95" s="11"/>
      <c r="AD95" s="11"/>
      <c r="AE95" s="11"/>
      <c r="AF95" s="12" t="str">
        <f aca="false">IF(O95="","",SUM(X95:AE95))</f>
        <v/>
      </c>
      <c r="AG95" s="12" t="str">
        <f aca="false">IF(O95="","",IFERROR(AF95/O95*1000,0))</f>
        <v/>
      </c>
      <c r="AH95" s="11"/>
      <c r="AI95" s="11"/>
      <c r="AJ95" s="11"/>
      <c r="AK95" s="9"/>
      <c r="AL95" s="9"/>
      <c r="AM95" s="9"/>
    </row>
    <row r="96" customFormat="false" ht="15" hidden="false" customHeight="true" outlineLevel="0" collapsed="false">
      <c r="A96" s="6"/>
      <c r="B96" s="7"/>
      <c r="C96" s="8"/>
      <c r="D96" s="8"/>
      <c r="E96" s="8"/>
      <c r="F96" s="9"/>
      <c r="G96" s="8"/>
      <c r="H96" s="10" t="str">
        <f aca="false">IFERROR(INDEX('Operator Master'!$B$5:$B$504,MATCH(G96,'Operator Master'!$A$5:$A$504,0)),"")</f>
        <v/>
      </c>
      <c r="I96" s="9"/>
      <c r="J96" s="9"/>
      <c r="K96" s="8"/>
      <c r="L96" s="9"/>
      <c r="M96" s="9"/>
      <c r="N96" s="11"/>
      <c r="O96" s="11"/>
      <c r="P96" s="12" t="str">
        <f aca="false">IF(OR(N96="",O96=""),"",IFERROR(O96/N96*100,0))</f>
        <v/>
      </c>
      <c r="Q96" s="10" t="n">
        <v>8</v>
      </c>
      <c r="R96" s="12" t="str">
        <f aca="false">IF(J96="","",Q96*J96)</f>
        <v/>
      </c>
      <c r="S96" s="11"/>
      <c r="T96" s="12" t="str">
        <f aca="false">IF(OR(R96="",S96=""),"",IFERROR(S96/R96*100,0))</f>
        <v/>
      </c>
      <c r="U96" s="12" t="str">
        <f aca="false">IF(OR(O96="",L96="",M96="",S96="",M96=0),"",IFERROR(O96/(L96*60*S96/(M96*36))*100,0))</f>
        <v/>
      </c>
      <c r="V96" s="11"/>
      <c r="W96" s="12" t="str">
        <f aca="false">IF(O96="","",IFERROR(V96/O96*100,0))</f>
        <v/>
      </c>
      <c r="X96" s="11"/>
      <c r="Y96" s="11"/>
      <c r="Z96" s="11"/>
      <c r="AA96" s="11"/>
      <c r="AB96" s="11"/>
      <c r="AC96" s="11"/>
      <c r="AD96" s="11"/>
      <c r="AE96" s="11"/>
      <c r="AF96" s="12" t="str">
        <f aca="false">IF(O96="","",SUM(X96:AE96))</f>
        <v/>
      </c>
      <c r="AG96" s="12" t="str">
        <f aca="false">IF(O96="","",IFERROR(AF96/O96*1000,0))</f>
        <v/>
      </c>
      <c r="AH96" s="11"/>
      <c r="AI96" s="11"/>
      <c r="AJ96" s="11"/>
      <c r="AK96" s="9"/>
      <c r="AL96" s="9"/>
      <c r="AM96" s="9"/>
    </row>
    <row r="97" customFormat="false" ht="15" hidden="false" customHeight="true" outlineLevel="0" collapsed="false">
      <c r="A97" s="6"/>
      <c r="B97" s="7"/>
      <c r="C97" s="8"/>
      <c r="D97" s="8"/>
      <c r="E97" s="8"/>
      <c r="F97" s="9"/>
      <c r="G97" s="8"/>
      <c r="H97" s="10" t="str">
        <f aca="false">IFERROR(INDEX('Operator Master'!$B$5:$B$504,MATCH(G97,'Operator Master'!$A$5:$A$504,0)),"")</f>
        <v/>
      </c>
      <c r="I97" s="9"/>
      <c r="J97" s="9"/>
      <c r="K97" s="8"/>
      <c r="L97" s="9"/>
      <c r="M97" s="9"/>
      <c r="N97" s="11"/>
      <c r="O97" s="11"/>
      <c r="P97" s="12" t="str">
        <f aca="false">IF(OR(N97="",O97=""),"",IFERROR(O97/N97*100,0))</f>
        <v/>
      </c>
      <c r="Q97" s="10" t="n">
        <v>8</v>
      </c>
      <c r="R97" s="12" t="str">
        <f aca="false">IF(J97="","",Q97*J97)</f>
        <v/>
      </c>
      <c r="S97" s="11"/>
      <c r="T97" s="12" t="str">
        <f aca="false">IF(OR(R97="",S97=""),"",IFERROR(S97/R97*100,0))</f>
        <v/>
      </c>
      <c r="U97" s="12" t="str">
        <f aca="false">IF(OR(O97="",L97="",M97="",S97="",M97=0),"",IFERROR(O97/(L97*60*S97/(M97*36))*100,0))</f>
        <v/>
      </c>
      <c r="V97" s="11"/>
      <c r="W97" s="12" t="str">
        <f aca="false">IF(O97="","",IFERROR(V97/O97*100,0))</f>
        <v/>
      </c>
      <c r="X97" s="11"/>
      <c r="Y97" s="11"/>
      <c r="Z97" s="11"/>
      <c r="AA97" s="11"/>
      <c r="AB97" s="11"/>
      <c r="AC97" s="11"/>
      <c r="AD97" s="11"/>
      <c r="AE97" s="11"/>
      <c r="AF97" s="12" t="str">
        <f aca="false">IF(O97="","",SUM(X97:AE97))</f>
        <v/>
      </c>
      <c r="AG97" s="12" t="str">
        <f aca="false">IF(O97="","",IFERROR(AF97/O97*1000,0))</f>
        <v/>
      </c>
      <c r="AH97" s="11"/>
      <c r="AI97" s="11"/>
      <c r="AJ97" s="11"/>
      <c r="AK97" s="9"/>
      <c r="AL97" s="9"/>
      <c r="AM97" s="9"/>
    </row>
    <row r="98" customFormat="false" ht="15" hidden="false" customHeight="true" outlineLevel="0" collapsed="false">
      <c r="A98" s="6"/>
      <c r="B98" s="7"/>
      <c r="C98" s="8"/>
      <c r="D98" s="8"/>
      <c r="E98" s="8"/>
      <c r="F98" s="9"/>
      <c r="G98" s="8"/>
      <c r="H98" s="10" t="str">
        <f aca="false">IFERROR(INDEX('Operator Master'!$B$5:$B$504,MATCH(G98,'Operator Master'!$A$5:$A$504,0)),"")</f>
        <v/>
      </c>
      <c r="I98" s="9"/>
      <c r="J98" s="9"/>
      <c r="K98" s="8"/>
      <c r="L98" s="9"/>
      <c r="M98" s="9"/>
      <c r="N98" s="11"/>
      <c r="O98" s="11"/>
      <c r="P98" s="12" t="str">
        <f aca="false">IF(OR(N98="",O98=""),"",IFERROR(O98/N98*100,0))</f>
        <v/>
      </c>
      <c r="Q98" s="10" t="n">
        <v>8</v>
      </c>
      <c r="R98" s="12" t="str">
        <f aca="false">IF(J98="","",Q98*J98)</f>
        <v/>
      </c>
      <c r="S98" s="11"/>
      <c r="T98" s="12" t="str">
        <f aca="false">IF(OR(R98="",S98=""),"",IFERROR(S98/R98*100,0))</f>
        <v/>
      </c>
      <c r="U98" s="12" t="str">
        <f aca="false">IF(OR(O98="",L98="",M98="",S98="",M98=0),"",IFERROR(O98/(L98*60*S98/(M98*36))*100,0))</f>
        <v/>
      </c>
      <c r="V98" s="11"/>
      <c r="W98" s="12" t="str">
        <f aca="false">IF(O98="","",IFERROR(V98/O98*100,0))</f>
        <v/>
      </c>
      <c r="X98" s="11"/>
      <c r="Y98" s="11"/>
      <c r="Z98" s="11"/>
      <c r="AA98" s="11"/>
      <c r="AB98" s="11"/>
      <c r="AC98" s="11"/>
      <c r="AD98" s="11"/>
      <c r="AE98" s="11"/>
      <c r="AF98" s="12" t="str">
        <f aca="false">IF(O98="","",SUM(X98:AE98))</f>
        <v/>
      </c>
      <c r="AG98" s="12" t="str">
        <f aca="false">IF(O98="","",IFERROR(AF98/O98*1000,0))</f>
        <v/>
      </c>
      <c r="AH98" s="11"/>
      <c r="AI98" s="11"/>
      <c r="AJ98" s="11"/>
      <c r="AK98" s="9"/>
      <c r="AL98" s="9"/>
      <c r="AM98" s="9"/>
    </row>
    <row r="99" customFormat="false" ht="15" hidden="false" customHeight="true" outlineLevel="0" collapsed="false">
      <c r="A99" s="6"/>
      <c r="B99" s="7"/>
      <c r="C99" s="8"/>
      <c r="D99" s="8"/>
      <c r="E99" s="8"/>
      <c r="F99" s="9"/>
      <c r="G99" s="8"/>
      <c r="H99" s="10" t="str">
        <f aca="false">IFERROR(INDEX('Operator Master'!$B$5:$B$504,MATCH(G99,'Operator Master'!$A$5:$A$504,0)),"")</f>
        <v/>
      </c>
      <c r="I99" s="9"/>
      <c r="J99" s="9"/>
      <c r="K99" s="8"/>
      <c r="L99" s="9"/>
      <c r="M99" s="9"/>
      <c r="N99" s="11"/>
      <c r="O99" s="11"/>
      <c r="P99" s="12" t="str">
        <f aca="false">IF(OR(N99="",O99=""),"",IFERROR(O99/N99*100,0))</f>
        <v/>
      </c>
      <c r="Q99" s="10" t="n">
        <v>8</v>
      </c>
      <c r="R99" s="12" t="str">
        <f aca="false">IF(J99="","",Q99*J99)</f>
        <v/>
      </c>
      <c r="S99" s="11"/>
      <c r="T99" s="12" t="str">
        <f aca="false">IF(OR(R99="",S99=""),"",IFERROR(S99/R99*100,0))</f>
        <v/>
      </c>
      <c r="U99" s="12" t="str">
        <f aca="false">IF(OR(O99="",L99="",M99="",S99="",M99=0),"",IFERROR(O99/(L99*60*S99/(M99*36))*100,0))</f>
        <v/>
      </c>
      <c r="V99" s="11"/>
      <c r="W99" s="12" t="str">
        <f aca="false">IF(O99="","",IFERROR(V99/O99*100,0))</f>
        <v/>
      </c>
      <c r="X99" s="11"/>
      <c r="Y99" s="11"/>
      <c r="Z99" s="11"/>
      <c r="AA99" s="11"/>
      <c r="AB99" s="11"/>
      <c r="AC99" s="11"/>
      <c r="AD99" s="11"/>
      <c r="AE99" s="11"/>
      <c r="AF99" s="12" t="str">
        <f aca="false">IF(O99="","",SUM(X99:AE99))</f>
        <v/>
      </c>
      <c r="AG99" s="12" t="str">
        <f aca="false">IF(O99="","",IFERROR(AF99/O99*1000,0))</f>
        <v/>
      </c>
      <c r="AH99" s="11"/>
      <c r="AI99" s="11"/>
      <c r="AJ99" s="11"/>
      <c r="AK99" s="9"/>
      <c r="AL99" s="9"/>
      <c r="AM99" s="9"/>
    </row>
    <row r="100" customFormat="false" ht="15" hidden="false" customHeight="true" outlineLevel="0" collapsed="false">
      <c r="A100" s="6"/>
      <c r="B100" s="7"/>
      <c r="C100" s="8"/>
      <c r="D100" s="8"/>
      <c r="E100" s="8"/>
      <c r="F100" s="9"/>
      <c r="G100" s="8"/>
      <c r="H100" s="10" t="str">
        <f aca="false">IFERROR(INDEX('Operator Master'!$B$5:$B$504,MATCH(G100,'Operator Master'!$A$5:$A$504,0)),"")</f>
        <v/>
      </c>
      <c r="I100" s="9"/>
      <c r="J100" s="9"/>
      <c r="K100" s="8"/>
      <c r="L100" s="9"/>
      <c r="M100" s="9"/>
      <c r="N100" s="11"/>
      <c r="O100" s="11"/>
      <c r="P100" s="12" t="str">
        <f aca="false">IF(OR(N100="",O100=""),"",IFERROR(O100/N100*100,0))</f>
        <v/>
      </c>
      <c r="Q100" s="10" t="n">
        <v>8</v>
      </c>
      <c r="R100" s="12" t="str">
        <f aca="false">IF(J100="","",Q100*J100)</f>
        <v/>
      </c>
      <c r="S100" s="11"/>
      <c r="T100" s="12" t="str">
        <f aca="false">IF(OR(R100="",S100=""),"",IFERROR(S100/R100*100,0))</f>
        <v/>
      </c>
      <c r="U100" s="12" t="str">
        <f aca="false">IF(OR(O100="",L100="",M100="",S100="",M100=0),"",IFERROR(O100/(L100*60*S100/(M100*36))*100,0))</f>
        <v/>
      </c>
      <c r="V100" s="11"/>
      <c r="W100" s="12" t="str">
        <f aca="false">IF(O100="","",IFERROR(V100/O100*100,0))</f>
        <v/>
      </c>
      <c r="X100" s="11"/>
      <c r="Y100" s="11"/>
      <c r="Z100" s="11"/>
      <c r="AA100" s="11"/>
      <c r="AB100" s="11"/>
      <c r="AC100" s="11"/>
      <c r="AD100" s="11"/>
      <c r="AE100" s="11"/>
      <c r="AF100" s="12" t="str">
        <f aca="false">IF(O100="","",SUM(X100:AE100))</f>
        <v/>
      </c>
      <c r="AG100" s="12" t="str">
        <f aca="false">IF(O100="","",IFERROR(AF100/O100*1000,0))</f>
        <v/>
      </c>
      <c r="AH100" s="11"/>
      <c r="AI100" s="11"/>
      <c r="AJ100" s="11"/>
      <c r="AK100" s="9"/>
      <c r="AL100" s="9"/>
      <c r="AM100" s="9"/>
    </row>
    <row r="101" customFormat="false" ht="15" hidden="false" customHeight="true" outlineLevel="0" collapsed="false">
      <c r="A101" s="6"/>
      <c r="B101" s="7"/>
      <c r="C101" s="8"/>
      <c r="D101" s="8"/>
      <c r="E101" s="8"/>
      <c r="F101" s="9"/>
      <c r="G101" s="8"/>
      <c r="H101" s="10" t="str">
        <f aca="false">IFERROR(INDEX('Operator Master'!$B$5:$B$504,MATCH(G101,'Operator Master'!$A$5:$A$504,0)),"")</f>
        <v/>
      </c>
      <c r="I101" s="9"/>
      <c r="J101" s="9"/>
      <c r="K101" s="8"/>
      <c r="L101" s="9"/>
      <c r="M101" s="9"/>
      <c r="N101" s="11"/>
      <c r="O101" s="11"/>
      <c r="P101" s="12" t="str">
        <f aca="false">IF(OR(N101="",O101=""),"",IFERROR(O101/N101*100,0))</f>
        <v/>
      </c>
      <c r="Q101" s="10" t="n">
        <v>8</v>
      </c>
      <c r="R101" s="12" t="str">
        <f aca="false">IF(J101="","",Q101*J101)</f>
        <v/>
      </c>
      <c r="S101" s="11"/>
      <c r="T101" s="12" t="str">
        <f aca="false">IF(OR(R101="",S101=""),"",IFERROR(S101/R101*100,0))</f>
        <v/>
      </c>
      <c r="U101" s="12" t="str">
        <f aca="false">IF(OR(O101="",L101="",M101="",S101="",M101=0),"",IFERROR(O101/(L101*60*S101/(M101*36))*100,0))</f>
        <v/>
      </c>
      <c r="V101" s="11"/>
      <c r="W101" s="12" t="str">
        <f aca="false">IF(O101="","",IFERROR(V101/O101*100,0))</f>
        <v/>
      </c>
      <c r="X101" s="11"/>
      <c r="Y101" s="11"/>
      <c r="Z101" s="11"/>
      <c r="AA101" s="11"/>
      <c r="AB101" s="11"/>
      <c r="AC101" s="11"/>
      <c r="AD101" s="11"/>
      <c r="AE101" s="11"/>
      <c r="AF101" s="12" t="str">
        <f aca="false">IF(O101="","",SUM(X101:AE101))</f>
        <v/>
      </c>
      <c r="AG101" s="12" t="str">
        <f aca="false">IF(O101="","",IFERROR(AF101/O101*1000,0))</f>
        <v/>
      </c>
      <c r="AH101" s="11"/>
      <c r="AI101" s="11"/>
      <c r="AJ101" s="11"/>
      <c r="AK101" s="9"/>
      <c r="AL101" s="9"/>
      <c r="AM101" s="9"/>
    </row>
    <row r="102" customFormat="false" ht="15" hidden="false" customHeight="true" outlineLevel="0" collapsed="false">
      <c r="A102" s="6"/>
      <c r="B102" s="7"/>
      <c r="C102" s="8"/>
      <c r="D102" s="8"/>
      <c r="E102" s="8"/>
      <c r="F102" s="9"/>
      <c r="G102" s="8"/>
      <c r="H102" s="10" t="str">
        <f aca="false">IFERROR(INDEX('Operator Master'!$B$5:$B$504,MATCH(G102,'Operator Master'!$A$5:$A$504,0)),"")</f>
        <v/>
      </c>
      <c r="I102" s="9"/>
      <c r="J102" s="9"/>
      <c r="K102" s="8"/>
      <c r="L102" s="9"/>
      <c r="M102" s="9"/>
      <c r="N102" s="11"/>
      <c r="O102" s="11"/>
      <c r="P102" s="12" t="str">
        <f aca="false">IF(OR(N102="",O102=""),"",IFERROR(O102/N102*100,0))</f>
        <v/>
      </c>
      <c r="Q102" s="10" t="n">
        <v>8</v>
      </c>
      <c r="R102" s="12" t="str">
        <f aca="false">IF(J102="","",Q102*J102)</f>
        <v/>
      </c>
      <c r="S102" s="11"/>
      <c r="T102" s="12" t="str">
        <f aca="false">IF(OR(R102="",S102=""),"",IFERROR(S102/R102*100,0))</f>
        <v/>
      </c>
      <c r="U102" s="12" t="str">
        <f aca="false">IF(OR(O102="",L102="",M102="",S102="",M102=0),"",IFERROR(O102/(L102*60*S102/(M102*36))*100,0))</f>
        <v/>
      </c>
      <c r="V102" s="11"/>
      <c r="W102" s="12" t="str">
        <f aca="false">IF(O102="","",IFERROR(V102/O102*100,0))</f>
        <v/>
      </c>
      <c r="X102" s="11"/>
      <c r="Y102" s="11"/>
      <c r="Z102" s="11"/>
      <c r="AA102" s="11"/>
      <c r="AB102" s="11"/>
      <c r="AC102" s="11"/>
      <c r="AD102" s="11"/>
      <c r="AE102" s="11"/>
      <c r="AF102" s="12" t="str">
        <f aca="false">IF(O102="","",SUM(X102:AE102))</f>
        <v/>
      </c>
      <c r="AG102" s="12" t="str">
        <f aca="false">IF(O102="","",IFERROR(AF102/O102*1000,0))</f>
        <v/>
      </c>
      <c r="AH102" s="11"/>
      <c r="AI102" s="11"/>
      <c r="AJ102" s="11"/>
      <c r="AK102" s="9"/>
      <c r="AL102" s="9"/>
      <c r="AM102" s="9"/>
    </row>
    <row r="103" customFormat="false" ht="15" hidden="false" customHeight="true" outlineLevel="0" collapsed="false">
      <c r="A103" s="6"/>
      <c r="B103" s="7"/>
      <c r="C103" s="8"/>
      <c r="D103" s="8"/>
      <c r="E103" s="8"/>
      <c r="F103" s="9"/>
      <c r="G103" s="8"/>
      <c r="H103" s="10" t="str">
        <f aca="false">IFERROR(INDEX('Operator Master'!$B$5:$B$504,MATCH(G103,'Operator Master'!$A$5:$A$504,0)),"")</f>
        <v/>
      </c>
      <c r="I103" s="9"/>
      <c r="J103" s="9"/>
      <c r="K103" s="8"/>
      <c r="L103" s="9"/>
      <c r="M103" s="9"/>
      <c r="N103" s="11"/>
      <c r="O103" s="11"/>
      <c r="P103" s="12" t="str">
        <f aca="false">IF(OR(N103="",O103=""),"",IFERROR(O103/N103*100,0))</f>
        <v/>
      </c>
      <c r="Q103" s="10" t="n">
        <v>8</v>
      </c>
      <c r="R103" s="12" t="str">
        <f aca="false">IF(J103="","",Q103*J103)</f>
        <v/>
      </c>
      <c r="S103" s="11"/>
      <c r="T103" s="12" t="str">
        <f aca="false">IF(OR(R103="",S103=""),"",IFERROR(S103/R103*100,0))</f>
        <v/>
      </c>
      <c r="U103" s="12" t="str">
        <f aca="false">IF(OR(O103="",L103="",M103="",S103="",M103=0),"",IFERROR(O103/(L103*60*S103/(M103*36))*100,0))</f>
        <v/>
      </c>
      <c r="V103" s="11"/>
      <c r="W103" s="12" t="str">
        <f aca="false">IF(O103="","",IFERROR(V103/O103*100,0))</f>
        <v/>
      </c>
      <c r="X103" s="11"/>
      <c r="Y103" s="11"/>
      <c r="Z103" s="11"/>
      <c r="AA103" s="11"/>
      <c r="AB103" s="11"/>
      <c r="AC103" s="11"/>
      <c r="AD103" s="11"/>
      <c r="AE103" s="11"/>
      <c r="AF103" s="12" t="str">
        <f aca="false">IF(O103="","",SUM(X103:AE103))</f>
        <v/>
      </c>
      <c r="AG103" s="12" t="str">
        <f aca="false">IF(O103="","",IFERROR(AF103/O103*1000,0))</f>
        <v/>
      </c>
      <c r="AH103" s="11"/>
      <c r="AI103" s="11"/>
      <c r="AJ103" s="11"/>
      <c r="AK103" s="9"/>
      <c r="AL103" s="9"/>
      <c r="AM103" s="9"/>
    </row>
    <row r="104" customFormat="false" ht="15" hidden="false" customHeight="true" outlineLevel="0" collapsed="false">
      <c r="A104" s="6"/>
      <c r="B104" s="7"/>
      <c r="C104" s="8"/>
      <c r="D104" s="8"/>
      <c r="E104" s="8"/>
      <c r="F104" s="9"/>
      <c r="G104" s="8"/>
      <c r="H104" s="10" t="str">
        <f aca="false">IFERROR(INDEX('Operator Master'!$B$5:$B$504,MATCH(G104,'Operator Master'!$A$5:$A$504,0)),"")</f>
        <v/>
      </c>
      <c r="I104" s="9"/>
      <c r="J104" s="9"/>
      <c r="K104" s="8"/>
      <c r="L104" s="9"/>
      <c r="M104" s="9"/>
      <c r="N104" s="11"/>
      <c r="O104" s="11"/>
      <c r="P104" s="12" t="str">
        <f aca="false">IF(OR(N104="",O104=""),"",IFERROR(O104/N104*100,0))</f>
        <v/>
      </c>
      <c r="Q104" s="10" t="n">
        <v>8</v>
      </c>
      <c r="R104" s="12" t="str">
        <f aca="false">IF(J104="","",Q104*J104)</f>
        <v/>
      </c>
      <c r="S104" s="11"/>
      <c r="T104" s="12" t="str">
        <f aca="false">IF(OR(R104="",S104=""),"",IFERROR(S104/R104*100,0))</f>
        <v/>
      </c>
      <c r="U104" s="12" t="str">
        <f aca="false">IF(OR(O104="",L104="",M104="",S104="",M104=0),"",IFERROR(O104/(L104*60*S104/(M104*36))*100,0))</f>
        <v/>
      </c>
      <c r="V104" s="11"/>
      <c r="W104" s="12" t="str">
        <f aca="false">IF(O104="","",IFERROR(V104/O104*100,0))</f>
        <v/>
      </c>
      <c r="X104" s="11"/>
      <c r="Y104" s="11"/>
      <c r="Z104" s="11"/>
      <c r="AA104" s="11"/>
      <c r="AB104" s="11"/>
      <c r="AC104" s="11"/>
      <c r="AD104" s="11"/>
      <c r="AE104" s="11"/>
      <c r="AF104" s="12" t="str">
        <f aca="false">IF(O104="","",SUM(X104:AE104))</f>
        <v/>
      </c>
      <c r="AG104" s="12" t="str">
        <f aca="false">IF(O104="","",IFERROR(AF104/O104*1000,0))</f>
        <v/>
      </c>
      <c r="AH104" s="11"/>
      <c r="AI104" s="11"/>
      <c r="AJ104" s="11"/>
      <c r="AK104" s="9"/>
      <c r="AL104" s="9"/>
      <c r="AM104" s="9"/>
    </row>
    <row r="105" customFormat="false" ht="15" hidden="false" customHeight="true" outlineLevel="0" collapsed="false">
      <c r="A105" s="6"/>
      <c r="B105" s="7"/>
      <c r="C105" s="8"/>
      <c r="D105" s="8"/>
      <c r="E105" s="8"/>
      <c r="F105" s="9"/>
      <c r="G105" s="8"/>
      <c r="H105" s="10" t="str">
        <f aca="false">IFERROR(INDEX('Operator Master'!$B$5:$B$504,MATCH(G105,'Operator Master'!$A$5:$A$504,0)),"")</f>
        <v/>
      </c>
      <c r="I105" s="9"/>
      <c r="J105" s="9"/>
      <c r="K105" s="8"/>
      <c r="L105" s="9"/>
      <c r="M105" s="9"/>
      <c r="N105" s="11"/>
      <c r="O105" s="11"/>
      <c r="P105" s="12" t="str">
        <f aca="false">IF(OR(N105="",O105=""),"",IFERROR(O105/N105*100,0))</f>
        <v/>
      </c>
      <c r="Q105" s="10" t="n">
        <v>8</v>
      </c>
      <c r="R105" s="12" t="str">
        <f aca="false">IF(J105="","",Q105*J105)</f>
        <v/>
      </c>
      <c r="S105" s="11"/>
      <c r="T105" s="12" t="str">
        <f aca="false">IF(OR(R105="",S105=""),"",IFERROR(S105/R105*100,0))</f>
        <v/>
      </c>
      <c r="U105" s="12" t="str">
        <f aca="false">IF(OR(O105="",L105="",M105="",S105="",M105=0),"",IFERROR(O105/(L105*60*S105/(M105*36))*100,0))</f>
        <v/>
      </c>
      <c r="V105" s="11"/>
      <c r="W105" s="12" t="str">
        <f aca="false">IF(O105="","",IFERROR(V105/O105*100,0))</f>
        <v/>
      </c>
      <c r="X105" s="11"/>
      <c r="Y105" s="11"/>
      <c r="Z105" s="11"/>
      <c r="AA105" s="11"/>
      <c r="AB105" s="11"/>
      <c r="AC105" s="11"/>
      <c r="AD105" s="11"/>
      <c r="AE105" s="11"/>
      <c r="AF105" s="12" t="str">
        <f aca="false">IF(O105="","",SUM(X105:AE105))</f>
        <v/>
      </c>
      <c r="AG105" s="12" t="str">
        <f aca="false">IF(O105="","",IFERROR(AF105/O105*1000,0))</f>
        <v/>
      </c>
      <c r="AH105" s="11"/>
      <c r="AI105" s="11"/>
      <c r="AJ105" s="11"/>
      <c r="AK105" s="9"/>
      <c r="AL105" s="9"/>
      <c r="AM105" s="9"/>
    </row>
    <row r="106" customFormat="false" ht="15" hidden="false" customHeight="true" outlineLevel="0" collapsed="false">
      <c r="A106" s="6"/>
      <c r="B106" s="7"/>
      <c r="C106" s="8"/>
      <c r="D106" s="8"/>
      <c r="E106" s="8"/>
      <c r="F106" s="9"/>
      <c r="G106" s="8"/>
      <c r="H106" s="10" t="str">
        <f aca="false">IFERROR(INDEX('Operator Master'!$B$5:$B$504,MATCH(G106,'Operator Master'!$A$5:$A$504,0)),"")</f>
        <v/>
      </c>
      <c r="I106" s="9"/>
      <c r="J106" s="9"/>
      <c r="K106" s="8"/>
      <c r="L106" s="9"/>
      <c r="M106" s="9"/>
      <c r="N106" s="11"/>
      <c r="O106" s="11"/>
      <c r="P106" s="12" t="str">
        <f aca="false">IF(OR(N106="",O106=""),"",IFERROR(O106/N106*100,0))</f>
        <v/>
      </c>
      <c r="Q106" s="10" t="n">
        <v>8</v>
      </c>
      <c r="R106" s="12" t="str">
        <f aca="false">IF(J106="","",Q106*J106)</f>
        <v/>
      </c>
      <c r="S106" s="11"/>
      <c r="T106" s="12" t="str">
        <f aca="false">IF(OR(R106="",S106=""),"",IFERROR(S106/R106*100,0))</f>
        <v/>
      </c>
      <c r="U106" s="12" t="str">
        <f aca="false">IF(OR(O106="",L106="",M106="",S106="",M106=0),"",IFERROR(O106/(L106*60*S106/(M106*36))*100,0))</f>
        <v/>
      </c>
      <c r="V106" s="11"/>
      <c r="W106" s="12" t="str">
        <f aca="false">IF(O106="","",IFERROR(V106/O106*100,0))</f>
        <v/>
      </c>
      <c r="X106" s="11"/>
      <c r="Y106" s="11"/>
      <c r="Z106" s="11"/>
      <c r="AA106" s="11"/>
      <c r="AB106" s="11"/>
      <c r="AC106" s="11"/>
      <c r="AD106" s="11"/>
      <c r="AE106" s="11"/>
      <c r="AF106" s="12" t="str">
        <f aca="false">IF(O106="","",SUM(X106:AE106))</f>
        <v/>
      </c>
      <c r="AG106" s="12" t="str">
        <f aca="false">IF(O106="","",IFERROR(AF106/O106*1000,0))</f>
        <v/>
      </c>
      <c r="AH106" s="11"/>
      <c r="AI106" s="11"/>
      <c r="AJ106" s="11"/>
      <c r="AK106" s="9"/>
      <c r="AL106" s="9"/>
      <c r="AM106" s="9"/>
    </row>
    <row r="107" customFormat="false" ht="15" hidden="false" customHeight="true" outlineLevel="0" collapsed="false">
      <c r="A107" s="6"/>
      <c r="B107" s="7"/>
      <c r="C107" s="8"/>
      <c r="D107" s="8"/>
      <c r="E107" s="8"/>
      <c r="F107" s="9"/>
      <c r="G107" s="8"/>
      <c r="H107" s="10" t="str">
        <f aca="false">IFERROR(INDEX('Operator Master'!$B$5:$B$504,MATCH(G107,'Operator Master'!$A$5:$A$504,0)),"")</f>
        <v/>
      </c>
      <c r="I107" s="9"/>
      <c r="J107" s="9"/>
      <c r="K107" s="8"/>
      <c r="L107" s="9"/>
      <c r="M107" s="9"/>
      <c r="N107" s="11"/>
      <c r="O107" s="11"/>
      <c r="P107" s="12" t="str">
        <f aca="false">IF(OR(N107="",O107=""),"",IFERROR(O107/N107*100,0))</f>
        <v/>
      </c>
      <c r="Q107" s="10" t="n">
        <v>8</v>
      </c>
      <c r="R107" s="12" t="str">
        <f aca="false">IF(J107="","",Q107*J107)</f>
        <v/>
      </c>
      <c r="S107" s="11"/>
      <c r="T107" s="12" t="str">
        <f aca="false">IF(OR(R107="",S107=""),"",IFERROR(S107/R107*100,0))</f>
        <v/>
      </c>
      <c r="U107" s="12" t="str">
        <f aca="false">IF(OR(O107="",L107="",M107="",S107="",M107=0),"",IFERROR(O107/(L107*60*S107/(M107*36))*100,0))</f>
        <v/>
      </c>
      <c r="V107" s="11"/>
      <c r="W107" s="12" t="str">
        <f aca="false">IF(O107="","",IFERROR(V107/O107*100,0))</f>
        <v/>
      </c>
      <c r="X107" s="11"/>
      <c r="Y107" s="11"/>
      <c r="Z107" s="11"/>
      <c r="AA107" s="11"/>
      <c r="AB107" s="11"/>
      <c r="AC107" s="11"/>
      <c r="AD107" s="11"/>
      <c r="AE107" s="11"/>
      <c r="AF107" s="12" t="str">
        <f aca="false">IF(O107="","",SUM(X107:AE107))</f>
        <v/>
      </c>
      <c r="AG107" s="12" t="str">
        <f aca="false">IF(O107="","",IFERROR(AF107/O107*1000,0))</f>
        <v/>
      </c>
      <c r="AH107" s="11"/>
      <c r="AI107" s="11"/>
      <c r="AJ107" s="11"/>
      <c r="AK107" s="9"/>
      <c r="AL107" s="9"/>
      <c r="AM107" s="9"/>
    </row>
    <row r="108" customFormat="false" ht="15" hidden="false" customHeight="true" outlineLevel="0" collapsed="false">
      <c r="A108" s="6"/>
      <c r="B108" s="7"/>
      <c r="C108" s="8"/>
      <c r="D108" s="8"/>
      <c r="E108" s="8"/>
      <c r="F108" s="9"/>
      <c r="G108" s="8"/>
      <c r="H108" s="10" t="str">
        <f aca="false">IFERROR(INDEX('Operator Master'!$B$5:$B$504,MATCH(G108,'Operator Master'!$A$5:$A$504,0)),"")</f>
        <v/>
      </c>
      <c r="I108" s="9"/>
      <c r="J108" s="9"/>
      <c r="K108" s="8"/>
      <c r="L108" s="9"/>
      <c r="M108" s="9"/>
      <c r="N108" s="11"/>
      <c r="O108" s="11"/>
      <c r="P108" s="12" t="str">
        <f aca="false">IF(OR(N108="",O108=""),"",IFERROR(O108/N108*100,0))</f>
        <v/>
      </c>
      <c r="Q108" s="10" t="n">
        <v>8</v>
      </c>
      <c r="R108" s="12" t="str">
        <f aca="false">IF(J108="","",Q108*J108)</f>
        <v/>
      </c>
      <c r="S108" s="11"/>
      <c r="T108" s="12" t="str">
        <f aca="false">IF(OR(R108="",S108=""),"",IFERROR(S108/R108*100,0))</f>
        <v/>
      </c>
      <c r="U108" s="12" t="str">
        <f aca="false">IF(OR(O108="",L108="",M108="",S108="",M108=0),"",IFERROR(O108/(L108*60*S108/(M108*36))*100,0))</f>
        <v/>
      </c>
      <c r="V108" s="11"/>
      <c r="W108" s="12" t="str">
        <f aca="false">IF(O108="","",IFERROR(V108/O108*100,0))</f>
        <v/>
      </c>
      <c r="X108" s="11"/>
      <c r="Y108" s="11"/>
      <c r="Z108" s="11"/>
      <c r="AA108" s="11"/>
      <c r="AB108" s="11"/>
      <c r="AC108" s="11"/>
      <c r="AD108" s="11"/>
      <c r="AE108" s="11"/>
      <c r="AF108" s="12" t="str">
        <f aca="false">IF(O108="","",SUM(X108:AE108))</f>
        <v/>
      </c>
      <c r="AG108" s="12" t="str">
        <f aca="false">IF(O108="","",IFERROR(AF108/O108*1000,0))</f>
        <v/>
      </c>
      <c r="AH108" s="11"/>
      <c r="AI108" s="11"/>
      <c r="AJ108" s="11"/>
      <c r="AK108" s="9"/>
      <c r="AL108" s="9"/>
      <c r="AM108" s="9"/>
    </row>
    <row r="109" customFormat="false" ht="15" hidden="false" customHeight="true" outlineLevel="0" collapsed="false">
      <c r="A109" s="6"/>
      <c r="B109" s="7"/>
      <c r="C109" s="8"/>
      <c r="D109" s="8"/>
      <c r="E109" s="8"/>
      <c r="F109" s="9"/>
      <c r="G109" s="8"/>
      <c r="H109" s="10" t="str">
        <f aca="false">IFERROR(INDEX('Operator Master'!$B$5:$B$504,MATCH(G109,'Operator Master'!$A$5:$A$504,0)),"")</f>
        <v/>
      </c>
      <c r="I109" s="9"/>
      <c r="J109" s="9"/>
      <c r="K109" s="8"/>
      <c r="L109" s="9"/>
      <c r="M109" s="9"/>
      <c r="N109" s="11"/>
      <c r="O109" s="11"/>
      <c r="P109" s="12" t="str">
        <f aca="false">IF(OR(N109="",O109=""),"",IFERROR(O109/N109*100,0))</f>
        <v/>
      </c>
      <c r="Q109" s="10" t="n">
        <v>8</v>
      </c>
      <c r="R109" s="12" t="str">
        <f aca="false">IF(J109="","",Q109*J109)</f>
        <v/>
      </c>
      <c r="S109" s="11"/>
      <c r="T109" s="12" t="str">
        <f aca="false">IF(OR(R109="",S109=""),"",IFERROR(S109/R109*100,0))</f>
        <v/>
      </c>
      <c r="U109" s="12" t="str">
        <f aca="false">IF(OR(O109="",L109="",M109="",S109="",M109=0),"",IFERROR(O109/(L109*60*S109/(M109*36))*100,0))</f>
        <v/>
      </c>
      <c r="V109" s="11"/>
      <c r="W109" s="12" t="str">
        <f aca="false">IF(O109="","",IFERROR(V109/O109*100,0))</f>
        <v/>
      </c>
      <c r="X109" s="11"/>
      <c r="Y109" s="11"/>
      <c r="Z109" s="11"/>
      <c r="AA109" s="11"/>
      <c r="AB109" s="11"/>
      <c r="AC109" s="11"/>
      <c r="AD109" s="11"/>
      <c r="AE109" s="11"/>
      <c r="AF109" s="12" t="str">
        <f aca="false">IF(O109="","",SUM(X109:AE109))</f>
        <v/>
      </c>
      <c r="AG109" s="12" t="str">
        <f aca="false">IF(O109="","",IFERROR(AF109/O109*1000,0))</f>
        <v/>
      </c>
      <c r="AH109" s="11"/>
      <c r="AI109" s="11"/>
      <c r="AJ109" s="11"/>
      <c r="AK109" s="9"/>
      <c r="AL109" s="9"/>
      <c r="AM109" s="9"/>
    </row>
    <row r="110" customFormat="false" ht="15" hidden="false" customHeight="true" outlineLevel="0" collapsed="false">
      <c r="A110" s="6"/>
      <c r="B110" s="7"/>
      <c r="C110" s="8"/>
      <c r="D110" s="8"/>
      <c r="E110" s="8"/>
      <c r="F110" s="9"/>
      <c r="G110" s="8"/>
      <c r="H110" s="10" t="str">
        <f aca="false">IFERROR(INDEX('Operator Master'!$B$5:$B$504,MATCH(G110,'Operator Master'!$A$5:$A$504,0)),"")</f>
        <v/>
      </c>
      <c r="I110" s="9"/>
      <c r="J110" s="9"/>
      <c r="K110" s="8"/>
      <c r="L110" s="9"/>
      <c r="M110" s="9"/>
      <c r="N110" s="11"/>
      <c r="O110" s="11"/>
      <c r="P110" s="12" t="str">
        <f aca="false">IF(OR(N110="",O110=""),"",IFERROR(O110/N110*100,0))</f>
        <v/>
      </c>
      <c r="Q110" s="10" t="n">
        <v>8</v>
      </c>
      <c r="R110" s="12" t="str">
        <f aca="false">IF(J110="","",Q110*J110)</f>
        <v/>
      </c>
      <c r="S110" s="11"/>
      <c r="T110" s="12" t="str">
        <f aca="false">IF(OR(R110="",S110=""),"",IFERROR(S110/R110*100,0))</f>
        <v/>
      </c>
      <c r="U110" s="12" t="str">
        <f aca="false">IF(OR(O110="",L110="",M110="",S110="",M110=0),"",IFERROR(O110/(L110*60*S110/(M110*36))*100,0))</f>
        <v/>
      </c>
      <c r="V110" s="11"/>
      <c r="W110" s="12" t="str">
        <f aca="false">IF(O110="","",IFERROR(V110/O110*100,0))</f>
        <v/>
      </c>
      <c r="X110" s="11"/>
      <c r="Y110" s="11"/>
      <c r="Z110" s="11"/>
      <c r="AA110" s="11"/>
      <c r="AB110" s="11"/>
      <c r="AC110" s="11"/>
      <c r="AD110" s="11"/>
      <c r="AE110" s="11"/>
      <c r="AF110" s="12" t="str">
        <f aca="false">IF(O110="","",SUM(X110:AE110))</f>
        <v/>
      </c>
      <c r="AG110" s="12" t="str">
        <f aca="false">IF(O110="","",IFERROR(AF110/O110*1000,0))</f>
        <v/>
      </c>
      <c r="AH110" s="11"/>
      <c r="AI110" s="11"/>
      <c r="AJ110" s="11"/>
      <c r="AK110" s="9"/>
      <c r="AL110" s="9"/>
      <c r="AM110" s="9"/>
    </row>
    <row r="111" customFormat="false" ht="15" hidden="false" customHeight="true" outlineLevel="0" collapsed="false">
      <c r="A111" s="6"/>
      <c r="B111" s="7"/>
      <c r="C111" s="8"/>
      <c r="D111" s="8"/>
      <c r="E111" s="8"/>
      <c r="F111" s="9"/>
      <c r="G111" s="8"/>
      <c r="H111" s="10" t="str">
        <f aca="false">IFERROR(INDEX('Operator Master'!$B$5:$B$504,MATCH(G111,'Operator Master'!$A$5:$A$504,0)),"")</f>
        <v/>
      </c>
      <c r="I111" s="9"/>
      <c r="J111" s="9"/>
      <c r="K111" s="8"/>
      <c r="L111" s="9"/>
      <c r="M111" s="9"/>
      <c r="N111" s="11"/>
      <c r="O111" s="11"/>
      <c r="P111" s="12" t="str">
        <f aca="false">IF(OR(N111="",O111=""),"",IFERROR(O111/N111*100,0))</f>
        <v/>
      </c>
      <c r="Q111" s="10" t="n">
        <v>8</v>
      </c>
      <c r="R111" s="12" t="str">
        <f aca="false">IF(J111="","",Q111*J111)</f>
        <v/>
      </c>
      <c r="S111" s="11"/>
      <c r="T111" s="12" t="str">
        <f aca="false">IF(OR(R111="",S111=""),"",IFERROR(S111/R111*100,0))</f>
        <v/>
      </c>
      <c r="U111" s="12" t="str">
        <f aca="false">IF(OR(O111="",L111="",M111="",S111="",M111=0),"",IFERROR(O111/(L111*60*S111/(M111*36))*100,0))</f>
        <v/>
      </c>
      <c r="V111" s="11"/>
      <c r="W111" s="12" t="str">
        <f aca="false">IF(O111="","",IFERROR(V111/O111*100,0))</f>
        <v/>
      </c>
      <c r="X111" s="11"/>
      <c r="Y111" s="11"/>
      <c r="Z111" s="11"/>
      <c r="AA111" s="11"/>
      <c r="AB111" s="11"/>
      <c r="AC111" s="11"/>
      <c r="AD111" s="11"/>
      <c r="AE111" s="11"/>
      <c r="AF111" s="12" t="str">
        <f aca="false">IF(O111="","",SUM(X111:AE111))</f>
        <v/>
      </c>
      <c r="AG111" s="12" t="str">
        <f aca="false">IF(O111="","",IFERROR(AF111/O111*1000,0))</f>
        <v/>
      </c>
      <c r="AH111" s="11"/>
      <c r="AI111" s="11"/>
      <c r="AJ111" s="11"/>
      <c r="AK111" s="9"/>
      <c r="AL111" s="9"/>
      <c r="AM111" s="9"/>
    </row>
    <row r="112" customFormat="false" ht="15" hidden="false" customHeight="true" outlineLevel="0" collapsed="false">
      <c r="A112" s="6"/>
      <c r="B112" s="7"/>
      <c r="C112" s="8"/>
      <c r="D112" s="8"/>
      <c r="E112" s="8"/>
      <c r="F112" s="9"/>
      <c r="G112" s="8"/>
      <c r="H112" s="10" t="str">
        <f aca="false">IFERROR(INDEX('Operator Master'!$B$5:$B$504,MATCH(G112,'Operator Master'!$A$5:$A$504,0)),"")</f>
        <v/>
      </c>
      <c r="I112" s="9"/>
      <c r="J112" s="9"/>
      <c r="K112" s="8"/>
      <c r="L112" s="9"/>
      <c r="M112" s="9"/>
      <c r="N112" s="11"/>
      <c r="O112" s="11"/>
      <c r="P112" s="12" t="str">
        <f aca="false">IF(OR(N112="",O112=""),"",IFERROR(O112/N112*100,0))</f>
        <v/>
      </c>
      <c r="Q112" s="10" t="n">
        <v>8</v>
      </c>
      <c r="R112" s="12" t="str">
        <f aca="false">IF(J112="","",Q112*J112)</f>
        <v/>
      </c>
      <c r="S112" s="11"/>
      <c r="T112" s="12" t="str">
        <f aca="false">IF(OR(R112="",S112=""),"",IFERROR(S112/R112*100,0))</f>
        <v/>
      </c>
      <c r="U112" s="12" t="str">
        <f aca="false">IF(OR(O112="",L112="",M112="",S112="",M112=0),"",IFERROR(O112/(L112*60*S112/(M112*36))*100,0))</f>
        <v/>
      </c>
      <c r="V112" s="11"/>
      <c r="W112" s="12" t="str">
        <f aca="false">IF(O112="","",IFERROR(V112/O112*100,0))</f>
        <v/>
      </c>
      <c r="X112" s="11"/>
      <c r="Y112" s="11"/>
      <c r="Z112" s="11"/>
      <c r="AA112" s="11"/>
      <c r="AB112" s="11"/>
      <c r="AC112" s="11"/>
      <c r="AD112" s="11"/>
      <c r="AE112" s="11"/>
      <c r="AF112" s="12" t="str">
        <f aca="false">IF(O112="","",SUM(X112:AE112))</f>
        <v/>
      </c>
      <c r="AG112" s="12" t="str">
        <f aca="false">IF(O112="","",IFERROR(AF112/O112*1000,0))</f>
        <v/>
      </c>
      <c r="AH112" s="11"/>
      <c r="AI112" s="11"/>
      <c r="AJ112" s="11"/>
      <c r="AK112" s="9"/>
      <c r="AL112" s="9"/>
      <c r="AM112" s="9"/>
    </row>
    <row r="113" customFormat="false" ht="15" hidden="false" customHeight="true" outlineLevel="0" collapsed="false">
      <c r="A113" s="6"/>
      <c r="B113" s="7"/>
      <c r="C113" s="8"/>
      <c r="D113" s="8"/>
      <c r="E113" s="8"/>
      <c r="F113" s="9"/>
      <c r="G113" s="8"/>
      <c r="H113" s="10" t="str">
        <f aca="false">IFERROR(INDEX('Operator Master'!$B$5:$B$504,MATCH(G113,'Operator Master'!$A$5:$A$504,0)),"")</f>
        <v/>
      </c>
      <c r="I113" s="9"/>
      <c r="J113" s="9"/>
      <c r="K113" s="8"/>
      <c r="L113" s="9"/>
      <c r="M113" s="9"/>
      <c r="N113" s="11"/>
      <c r="O113" s="11"/>
      <c r="P113" s="12" t="str">
        <f aca="false">IF(OR(N113="",O113=""),"",IFERROR(O113/N113*100,0))</f>
        <v/>
      </c>
      <c r="Q113" s="10" t="n">
        <v>8</v>
      </c>
      <c r="R113" s="12" t="str">
        <f aca="false">IF(J113="","",Q113*J113)</f>
        <v/>
      </c>
      <c r="S113" s="11"/>
      <c r="T113" s="12" t="str">
        <f aca="false">IF(OR(R113="",S113=""),"",IFERROR(S113/R113*100,0))</f>
        <v/>
      </c>
      <c r="U113" s="12" t="str">
        <f aca="false">IF(OR(O113="",L113="",M113="",S113="",M113=0),"",IFERROR(O113/(L113*60*S113/(M113*36))*100,0))</f>
        <v/>
      </c>
      <c r="V113" s="11"/>
      <c r="W113" s="12" t="str">
        <f aca="false">IF(O113="","",IFERROR(V113/O113*100,0))</f>
        <v/>
      </c>
      <c r="X113" s="11"/>
      <c r="Y113" s="11"/>
      <c r="Z113" s="11"/>
      <c r="AA113" s="11"/>
      <c r="AB113" s="11"/>
      <c r="AC113" s="11"/>
      <c r="AD113" s="11"/>
      <c r="AE113" s="11"/>
      <c r="AF113" s="12" t="str">
        <f aca="false">IF(O113="","",SUM(X113:AE113))</f>
        <v/>
      </c>
      <c r="AG113" s="12" t="str">
        <f aca="false">IF(O113="","",IFERROR(AF113/O113*1000,0))</f>
        <v/>
      </c>
      <c r="AH113" s="11"/>
      <c r="AI113" s="11"/>
      <c r="AJ113" s="11"/>
      <c r="AK113" s="9"/>
      <c r="AL113" s="9"/>
      <c r="AM113" s="9"/>
    </row>
    <row r="114" customFormat="false" ht="15" hidden="false" customHeight="true" outlineLevel="0" collapsed="false">
      <c r="A114" s="6"/>
      <c r="B114" s="7"/>
      <c r="C114" s="8"/>
      <c r="D114" s="8"/>
      <c r="E114" s="8"/>
      <c r="F114" s="9"/>
      <c r="G114" s="8"/>
      <c r="H114" s="10" t="str">
        <f aca="false">IFERROR(INDEX('Operator Master'!$B$5:$B$504,MATCH(G114,'Operator Master'!$A$5:$A$504,0)),"")</f>
        <v/>
      </c>
      <c r="I114" s="9"/>
      <c r="J114" s="9"/>
      <c r="K114" s="8"/>
      <c r="L114" s="9"/>
      <c r="M114" s="9"/>
      <c r="N114" s="11"/>
      <c r="O114" s="11"/>
      <c r="P114" s="12" t="str">
        <f aca="false">IF(OR(N114="",O114=""),"",IFERROR(O114/N114*100,0))</f>
        <v/>
      </c>
      <c r="Q114" s="10" t="n">
        <v>8</v>
      </c>
      <c r="R114" s="12" t="str">
        <f aca="false">IF(J114="","",Q114*J114)</f>
        <v/>
      </c>
      <c r="S114" s="11"/>
      <c r="T114" s="12" t="str">
        <f aca="false">IF(OR(R114="",S114=""),"",IFERROR(S114/R114*100,0))</f>
        <v/>
      </c>
      <c r="U114" s="12" t="str">
        <f aca="false">IF(OR(O114="",L114="",M114="",S114="",M114=0),"",IFERROR(O114/(L114*60*S114/(M114*36))*100,0))</f>
        <v/>
      </c>
      <c r="V114" s="11"/>
      <c r="W114" s="12" t="str">
        <f aca="false">IF(O114="","",IFERROR(V114/O114*100,0))</f>
        <v/>
      </c>
      <c r="X114" s="11"/>
      <c r="Y114" s="11"/>
      <c r="Z114" s="11"/>
      <c r="AA114" s="11"/>
      <c r="AB114" s="11"/>
      <c r="AC114" s="11"/>
      <c r="AD114" s="11"/>
      <c r="AE114" s="11"/>
      <c r="AF114" s="12" t="str">
        <f aca="false">IF(O114="","",SUM(X114:AE114))</f>
        <v/>
      </c>
      <c r="AG114" s="12" t="str">
        <f aca="false">IF(O114="","",IFERROR(AF114/O114*1000,0))</f>
        <v/>
      </c>
      <c r="AH114" s="11"/>
      <c r="AI114" s="11"/>
      <c r="AJ114" s="11"/>
      <c r="AK114" s="9"/>
      <c r="AL114" s="9"/>
      <c r="AM114" s="9"/>
    </row>
    <row r="115" customFormat="false" ht="15" hidden="false" customHeight="true" outlineLevel="0" collapsed="false">
      <c r="A115" s="6"/>
      <c r="B115" s="7"/>
      <c r="C115" s="8"/>
      <c r="D115" s="8"/>
      <c r="E115" s="8"/>
      <c r="F115" s="9"/>
      <c r="G115" s="8"/>
      <c r="H115" s="10" t="str">
        <f aca="false">IFERROR(INDEX('Operator Master'!$B$5:$B$504,MATCH(G115,'Operator Master'!$A$5:$A$504,0)),"")</f>
        <v/>
      </c>
      <c r="I115" s="9"/>
      <c r="J115" s="9"/>
      <c r="K115" s="8"/>
      <c r="L115" s="9"/>
      <c r="M115" s="9"/>
      <c r="N115" s="11"/>
      <c r="O115" s="11"/>
      <c r="P115" s="12" t="str">
        <f aca="false">IF(OR(N115="",O115=""),"",IFERROR(O115/N115*100,0))</f>
        <v/>
      </c>
      <c r="Q115" s="10" t="n">
        <v>8</v>
      </c>
      <c r="R115" s="12" t="str">
        <f aca="false">IF(J115="","",Q115*J115)</f>
        <v/>
      </c>
      <c r="S115" s="11"/>
      <c r="T115" s="12" t="str">
        <f aca="false">IF(OR(R115="",S115=""),"",IFERROR(S115/R115*100,0))</f>
        <v/>
      </c>
      <c r="U115" s="12" t="str">
        <f aca="false">IF(OR(O115="",L115="",M115="",S115="",M115=0),"",IFERROR(O115/(L115*60*S115/(M115*36))*100,0))</f>
        <v/>
      </c>
      <c r="V115" s="11"/>
      <c r="W115" s="12" t="str">
        <f aca="false">IF(O115="","",IFERROR(V115/O115*100,0))</f>
        <v/>
      </c>
      <c r="X115" s="11"/>
      <c r="Y115" s="11"/>
      <c r="Z115" s="11"/>
      <c r="AA115" s="11"/>
      <c r="AB115" s="11"/>
      <c r="AC115" s="11"/>
      <c r="AD115" s="11"/>
      <c r="AE115" s="11"/>
      <c r="AF115" s="12" t="str">
        <f aca="false">IF(O115="","",SUM(X115:AE115))</f>
        <v/>
      </c>
      <c r="AG115" s="12" t="str">
        <f aca="false">IF(O115="","",IFERROR(AF115/O115*1000,0))</f>
        <v/>
      </c>
      <c r="AH115" s="11"/>
      <c r="AI115" s="11"/>
      <c r="AJ115" s="11"/>
      <c r="AK115" s="9"/>
      <c r="AL115" s="9"/>
      <c r="AM115" s="9"/>
    </row>
    <row r="116" customFormat="false" ht="15" hidden="false" customHeight="true" outlineLevel="0" collapsed="false">
      <c r="A116" s="6"/>
      <c r="B116" s="7"/>
      <c r="C116" s="8"/>
      <c r="D116" s="8"/>
      <c r="E116" s="8"/>
      <c r="F116" s="9"/>
      <c r="G116" s="8"/>
      <c r="H116" s="10" t="str">
        <f aca="false">IFERROR(INDEX('Operator Master'!$B$5:$B$504,MATCH(G116,'Operator Master'!$A$5:$A$504,0)),"")</f>
        <v/>
      </c>
      <c r="I116" s="9"/>
      <c r="J116" s="9"/>
      <c r="K116" s="8"/>
      <c r="L116" s="9"/>
      <c r="M116" s="9"/>
      <c r="N116" s="11"/>
      <c r="O116" s="11"/>
      <c r="P116" s="12" t="str">
        <f aca="false">IF(OR(N116="",O116=""),"",IFERROR(O116/N116*100,0))</f>
        <v/>
      </c>
      <c r="Q116" s="10" t="n">
        <v>8</v>
      </c>
      <c r="R116" s="12" t="str">
        <f aca="false">IF(J116="","",Q116*J116)</f>
        <v/>
      </c>
      <c r="S116" s="11"/>
      <c r="T116" s="12" t="str">
        <f aca="false">IF(OR(R116="",S116=""),"",IFERROR(S116/R116*100,0))</f>
        <v/>
      </c>
      <c r="U116" s="12" t="str">
        <f aca="false">IF(OR(O116="",L116="",M116="",S116="",M116=0),"",IFERROR(O116/(L116*60*S116/(M116*36))*100,0))</f>
        <v/>
      </c>
      <c r="V116" s="11"/>
      <c r="W116" s="12" t="str">
        <f aca="false">IF(O116="","",IFERROR(V116/O116*100,0))</f>
        <v/>
      </c>
      <c r="X116" s="11"/>
      <c r="Y116" s="11"/>
      <c r="Z116" s="11"/>
      <c r="AA116" s="11"/>
      <c r="AB116" s="11"/>
      <c r="AC116" s="11"/>
      <c r="AD116" s="11"/>
      <c r="AE116" s="11"/>
      <c r="AF116" s="12" t="str">
        <f aca="false">IF(O116="","",SUM(X116:AE116))</f>
        <v/>
      </c>
      <c r="AG116" s="12" t="str">
        <f aca="false">IF(O116="","",IFERROR(AF116/O116*1000,0))</f>
        <v/>
      </c>
      <c r="AH116" s="11"/>
      <c r="AI116" s="11"/>
      <c r="AJ116" s="11"/>
      <c r="AK116" s="9"/>
      <c r="AL116" s="9"/>
      <c r="AM116" s="9"/>
    </row>
    <row r="117" customFormat="false" ht="15" hidden="false" customHeight="true" outlineLevel="0" collapsed="false">
      <c r="A117" s="6"/>
      <c r="B117" s="7"/>
      <c r="C117" s="8"/>
      <c r="D117" s="8"/>
      <c r="E117" s="8"/>
      <c r="F117" s="9"/>
      <c r="G117" s="8"/>
      <c r="H117" s="10" t="str">
        <f aca="false">IFERROR(INDEX('Operator Master'!$B$5:$B$504,MATCH(G117,'Operator Master'!$A$5:$A$504,0)),"")</f>
        <v/>
      </c>
      <c r="I117" s="9"/>
      <c r="J117" s="9"/>
      <c r="K117" s="8"/>
      <c r="L117" s="9"/>
      <c r="M117" s="9"/>
      <c r="N117" s="11"/>
      <c r="O117" s="11"/>
      <c r="P117" s="12" t="str">
        <f aca="false">IF(OR(N117="",O117=""),"",IFERROR(O117/N117*100,0))</f>
        <v/>
      </c>
      <c r="Q117" s="10" t="n">
        <v>8</v>
      </c>
      <c r="R117" s="12" t="str">
        <f aca="false">IF(J117="","",Q117*J117)</f>
        <v/>
      </c>
      <c r="S117" s="11"/>
      <c r="T117" s="12" t="str">
        <f aca="false">IF(OR(R117="",S117=""),"",IFERROR(S117/R117*100,0))</f>
        <v/>
      </c>
      <c r="U117" s="12" t="str">
        <f aca="false">IF(OR(O117="",L117="",M117="",S117="",M117=0),"",IFERROR(O117/(L117*60*S117/(M117*36))*100,0))</f>
        <v/>
      </c>
      <c r="V117" s="11"/>
      <c r="W117" s="12" t="str">
        <f aca="false">IF(O117="","",IFERROR(V117/O117*100,0))</f>
        <v/>
      </c>
      <c r="X117" s="11"/>
      <c r="Y117" s="11"/>
      <c r="Z117" s="11"/>
      <c r="AA117" s="11"/>
      <c r="AB117" s="11"/>
      <c r="AC117" s="11"/>
      <c r="AD117" s="11"/>
      <c r="AE117" s="11"/>
      <c r="AF117" s="12" t="str">
        <f aca="false">IF(O117="","",SUM(X117:AE117))</f>
        <v/>
      </c>
      <c r="AG117" s="12" t="str">
        <f aca="false">IF(O117="","",IFERROR(AF117/O117*1000,0))</f>
        <v/>
      </c>
      <c r="AH117" s="11"/>
      <c r="AI117" s="11"/>
      <c r="AJ117" s="11"/>
      <c r="AK117" s="9"/>
      <c r="AL117" s="9"/>
      <c r="AM117" s="9"/>
    </row>
    <row r="118" customFormat="false" ht="15" hidden="false" customHeight="true" outlineLevel="0" collapsed="false">
      <c r="A118" s="6"/>
      <c r="B118" s="7"/>
      <c r="C118" s="8"/>
      <c r="D118" s="8"/>
      <c r="E118" s="8"/>
      <c r="F118" s="9"/>
      <c r="G118" s="8"/>
      <c r="H118" s="10" t="str">
        <f aca="false">IFERROR(INDEX('Operator Master'!$B$5:$B$504,MATCH(G118,'Operator Master'!$A$5:$A$504,0)),"")</f>
        <v/>
      </c>
      <c r="I118" s="9"/>
      <c r="J118" s="9"/>
      <c r="K118" s="8"/>
      <c r="L118" s="9"/>
      <c r="M118" s="9"/>
      <c r="N118" s="11"/>
      <c r="O118" s="11"/>
      <c r="P118" s="12" t="str">
        <f aca="false">IF(OR(N118="",O118=""),"",IFERROR(O118/N118*100,0))</f>
        <v/>
      </c>
      <c r="Q118" s="10" t="n">
        <v>8</v>
      </c>
      <c r="R118" s="12" t="str">
        <f aca="false">IF(J118="","",Q118*J118)</f>
        <v/>
      </c>
      <c r="S118" s="11"/>
      <c r="T118" s="12" t="str">
        <f aca="false">IF(OR(R118="",S118=""),"",IFERROR(S118/R118*100,0))</f>
        <v/>
      </c>
      <c r="U118" s="12" t="str">
        <f aca="false">IF(OR(O118="",L118="",M118="",S118="",M118=0),"",IFERROR(O118/(L118*60*S118/(M118*36))*100,0))</f>
        <v/>
      </c>
      <c r="V118" s="11"/>
      <c r="W118" s="12" t="str">
        <f aca="false">IF(O118="","",IFERROR(V118/O118*100,0))</f>
        <v/>
      </c>
      <c r="X118" s="11"/>
      <c r="Y118" s="11"/>
      <c r="Z118" s="11"/>
      <c r="AA118" s="11"/>
      <c r="AB118" s="11"/>
      <c r="AC118" s="11"/>
      <c r="AD118" s="11"/>
      <c r="AE118" s="11"/>
      <c r="AF118" s="12" t="str">
        <f aca="false">IF(O118="","",SUM(X118:AE118))</f>
        <v/>
      </c>
      <c r="AG118" s="12" t="str">
        <f aca="false">IF(O118="","",IFERROR(AF118/O118*1000,0))</f>
        <v/>
      </c>
      <c r="AH118" s="11"/>
      <c r="AI118" s="11"/>
      <c r="AJ118" s="11"/>
      <c r="AK118" s="9"/>
      <c r="AL118" s="9"/>
      <c r="AM118" s="9"/>
    </row>
    <row r="119" customFormat="false" ht="15" hidden="false" customHeight="true" outlineLevel="0" collapsed="false">
      <c r="A119" s="6"/>
      <c r="B119" s="7"/>
      <c r="C119" s="8"/>
      <c r="D119" s="8"/>
      <c r="E119" s="8"/>
      <c r="F119" s="9"/>
      <c r="G119" s="8"/>
      <c r="H119" s="10" t="str">
        <f aca="false">IFERROR(INDEX('Operator Master'!$B$5:$B$504,MATCH(G119,'Operator Master'!$A$5:$A$504,0)),"")</f>
        <v/>
      </c>
      <c r="I119" s="9"/>
      <c r="J119" s="9"/>
      <c r="K119" s="8"/>
      <c r="L119" s="9"/>
      <c r="M119" s="9"/>
      <c r="N119" s="11"/>
      <c r="O119" s="11"/>
      <c r="P119" s="12" t="str">
        <f aca="false">IF(OR(N119="",O119=""),"",IFERROR(O119/N119*100,0))</f>
        <v/>
      </c>
      <c r="Q119" s="10" t="n">
        <v>8</v>
      </c>
      <c r="R119" s="12" t="str">
        <f aca="false">IF(J119="","",Q119*J119)</f>
        <v/>
      </c>
      <c r="S119" s="11"/>
      <c r="T119" s="12" t="str">
        <f aca="false">IF(OR(R119="",S119=""),"",IFERROR(S119/R119*100,0))</f>
        <v/>
      </c>
      <c r="U119" s="12" t="str">
        <f aca="false">IF(OR(O119="",L119="",M119="",S119="",M119=0),"",IFERROR(O119/(L119*60*S119/(M119*36))*100,0))</f>
        <v/>
      </c>
      <c r="V119" s="11"/>
      <c r="W119" s="12" t="str">
        <f aca="false">IF(O119="","",IFERROR(V119/O119*100,0))</f>
        <v/>
      </c>
      <c r="X119" s="11"/>
      <c r="Y119" s="11"/>
      <c r="Z119" s="11"/>
      <c r="AA119" s="11"/>
      <c r="AB119" s="11"/>
      <c r="AC119" s="11"/>
      <c r="AD119" s="11"/>
      <c r="AE119" s="11"/>
      <c r="AF119" s="12" t="str">
        <f aca="false">IF(O119="","",SUM(X119:AE119))</f>
        <v/>
      </c>
      <c r="AG119" s="12" t="str">
        <f aca="false">IF(O119="","",IFERROR(AF119/O119*1000,0))</f>
        <v/>
      </c>
      <c r="AH119" s="11"/>
      <c r="AI119" s="11"/>
      <c r="AJ119" s="11"/>
      <c r="AK119" s="9"/>
      <c r="AL119" s="9"/>
      <c r="AM119" s="9"/>
    </row>
    <row r="120" customFormat="false" ht="15" hidden="false" customHeight="true" outlineLevel="0" collapsed="false">
      <c r="A120" s="6"/>
      <c r="B120" s="7"/>
      <c r="C120" s="8"/>
      <c r="D120" s="8"/>
      <c r="E120" s="8"/>
      <c r="F120" s="9"/>
      <c r="G120" s="8"/>
      <c r="H120" s="10" t="str">
        <f aca="false">IFERROR(INDEX('Operator Master'!$B$5:$B$504,MATCH(G120,'Operator Master'!$A$5:$A$504,0)),"")</f>
        <v/>
      </c>
      <c r="I120" s="9"/>
      <c r="J120" s="9"/>
      <c r="K120" s="8"/>
      <c r="L120" s="9"/>
      <c r="M120" s="9"/>
      <c r="N120" s="11"/>
      <c r="O120" s="11"/>
      <c r="P120" s="12" t="str">
        <f aca="false">IF(OR(N120="",O120=""),"",IFERROR(O120/N120*100,0))</f>
        <v/>
      </c>
      <c r="Q120" s="10" t="n">
        <v>8</v>
      </c>
      <c r="R120" s="12" t="str">
        <f aca="false">IF(J120="","",Q120*J120)</f>
        <v/>
      </c>
      <c r="S120" s="11"/>
      <c r="T120" s="12" t="str">
        <f aca="false">IF(OR(R120="",S120=""),"",IFERROR(S120/R120*100,0))</f>
        <v/>
      </c>
      <c r="U120" s="12" t="str">
        <f aca="false">IF(OR(O120="",L120="",M120="",S120="",M120=0),"",IFERROR(O120/(L120*60*S120/(M120*36))*100,0))</f>
        <v/>
      </c>
      <c r="V120" s="11"/>
      <c r="W120" s="12" t="str">
        <f aca="false">IF(O120="","",IFERROR(V120/O120*100,0))</f>
        <v/>
      </c>
      <c r="X120" s="11"/>
      <c r="Y120" s="11"/>
      <c r="Z120" s="11"/>
      <c r="AA120" s="11"/>
      <c r="AB120" s="11"/>
      <c r="AC120" s="11"/>
      <c r="AD120" s="11"/>
      <c r="AE120" s="11"/>
      <c r="AF120" s="12" t="str">
        <f aca="false">IF(O120="","",SUM(X120:AE120))</f>
        <v/>
      </c>
      <c r="AG120" s="12" t="str">
        <f aca="false">IF(O120="","",IFERROR(AF120/O120*1000,0))</f>
        <v/>
      </c>
      <c r="AH120" s="11"/>
      <c r="AI120" s="11"/>
      <c r="AJ120" s="11"/>
      <c r="AK120" s="9"/>
      <c r="AL120" s="9"/>
      <c r="AM120" s="9"/>
    </row>
    <row r="121" customFormat="false" ht="15" hidden="false" customHeight="true" outlineLevel="0" collapsed="false">
      <c r="A121" s="6"/>
      <c r="B121" s="7"/>
      <c r="C121" s="8"/>
      <c r="D121" s="8"/>
      <c r="E121" s="8"/>
      <c r="F121" s="9"/>
      <c r="G121" s="8"/>
      <c r="H121" s="10" t="str">
        <f aca="false">IFERROR(INDEX('Operator Master'!$B$5:$B$504,MATCH(G121,'Operator Master'!$A$5:$A$504,0)),"")</f>
        <v/>
      </c>
      <c r="I121" s="9"/>
      <c r="J121" s="9"/>
      <c r="K121" s="8"/>
      <c r="L121" s="9"/>
      <c r="M121" s="9"/>
      <c r="N121" s="11"/>
      <c r="O121" s="11"/>
      <c r="P121" s="12" t="str">
        <f aca="false">IF(OR(N121="",O121=""),"",IFERROR(O121/N121*100,0))</f>
        <v/>
      </c>
      <c r="Q121" s="10" t="n">
        <v>8</v>
      </c>
      <c r="R121" s="12" t="str">
        <f aca="false">IF(J121="","",Q121*J121)</f>
        <v/>
      </c>
      <c r="S121" s="11"/>
      <c r="T121" s="12" t="str">
        <f aca="false">IF(OR(R121="",S121=""),"",IFERROR(S121/R121*100,0))</f>
        <v/>
      </c>
      <c r="U121" s="12" t="str">
        <f aca="false">IF(OR(O121="",L121="",M121="",S121="",M121=0),"",IFERROR(O121/(L121*60*S121/(M121*36))*100,0))</f>
        <v/>
      </c>
      <c r="V121" s="11"/>
      <c r="W121" s="12" t="str">
        <f aca="false">IF(O121="","",IFERROR(V121/O121*100,0))</f>
        <v/>
      </c>
      <c r="X121" s="11"/>
      <c r="Y121" s="11"/>
      <c r="Z121" s="11"/>
      <c r="AA121" s="11"/>
      <c r="AB121" s="11"/>
      <c r="AC121" s="11"/>
      <c r="AD121" s="11"/>
      <c r="AE121" s="11"/>
      <c r="AF121" s="12" t="str">
        <f aca="false">IF(O121="","",SUM(X121:AE121))</f>
        <v/>
      </c>
      <c r="AG121" s="12" t="str">
        <f aca="false">IF(O121="","",IFERROR(AF121/O121*1000,0))</f>
        <v/>
      </c>
      <c r="AH121" s="11"/>
      <c r="AI121" s="11"/>
      <c r="AJ121" s="11"/>
      <c r="AK121" s="9"/>
      <c r="AL121" s="9"/>
      <c r="AM121" s="9"/>
    </row>
    <row r="122" customFormat="false" ht="15" hidden="false" customHeight="true" outlineLevel="0" collapsed="false">
      <c r="A122" s="6"/>
      <c r="B122" s="7"/>
      <c r="C122" s="8"/>
      <c r="D122" s="8"/>
      <c r="E122" s="8"/>
      <c r="F122" s="9"/>
      <c r="G122" s="8"/>
      <c r="H122" s="10" t="str">
        <f aca="false">IFERROR(INDEX('Operator Master'!$B$5:$B$504,MATCH(G122,'Operator Master'!$A$5:$A$504,0)),"")</f>
        <v/>
      </c>
      <c r="I122" s="9"/>
      <c r="J122" s="9"/>
      <c r="K122" s="8"/>
      <c r="L122" s="9"/>
      <c r="M122" s="9"/>
      <c r="N122" s="11"/>
      <c r="O122" s="11"/>
      <c r="P122" s="12" t="str">
        <f aca="false">IF(OR(N122="",O122=""),"",IFERROR(O122/N122*100,0))</f>
        <v/>
      </c>
      <c r="Q122" s="10" t="n">
        <v>8</v>
      </c>
      <c r="R122" s="12" t="str">
        <f aca="false">IF(J122="","",Q122*J122)</f>
        <v/>
      </c>
      <c r="S122" s="11"/>
      <c r="T122" s="12" t="str">
        <f aca="false">IF(OR(R122="",S122=""),"",IFERROR(S122/R122*100,0))</f>
        <v/>
      </c>
      <c r="U122" s="12" t="str">
        <f aca="false">IF(OR(O122="",L122="",M122="",S122="",M122=0),"",IFERROR(O122/(L122*60*S122/(M122*36))*100,0))</f>
        <v/>
      </c>
      <c r="V122" s="11"/>
      <c r="W122" s="12" t="str">
        <f aca="false">IF(O122="","",IFERROR(V122/O122*100,0))</f>
        <v/>
      </c>
      <c r="X122" s="11"/>
      <c r="Y122" s="11"/>
      <c r="Z122" s="11"/>
      <c r="AA122" s="11"/>
      <c r="AB122" s="11"/>
      <c r="AC122" s="11"/>
      <c r="AD122" s="11"/>
      <c r="AE122" s="11"/>
      <c r="AF122" s="12" t="str">
        <f aca="false">IF(O122="","",SUM(X122:AE122))</f>
        <v/>
      </c>
      <c r="AG122" s="12" t="str">
        <f aca="false">IF(O122="","",IFERROR(AF122/O122*1000,0))</f>
        <v/>
      </c>
      <c r="AH122" s="11"/>
      <c r="AI122" s="11"/>
      <c r="AJ122" s="11"/>
      <c r="AK122" s="9"/>
      <c r="AL122" s="9"/>
      <c r="AM122" s="9"/>
    </row>
    <row r="123" customFormat="false" ht="15" hidden="false" customHeight="true" outlineLevel="0" collapsed="false">
      <c r="A123" s="6"/>
      <c r="B123" s="7"/>
      <c r="C123" s="8"/>
      <c r="D123" s="8"/>
      <c r="E123" s="8"/>
      <c r="F123" s="9"/>
      <c r="G123" s="8"/>
      <c r="H123" s="10" t="str">
        <f aca="false">IFERROR(INDEX('Operator Master'!$B$5:$B$504,MATCH(G123,'Operator Master'!$A$5:$A$504,0)),"")</f>
        <v/>
      </c>
      <c r="I123" s="9"/>
      <c r="J123" s="9"/>
      <c r="K123" s="8"/>
      <c r="L123" s="9"/>
      <c r="M123" s="9"/>
      <c r="N123" s="11"/>
      <c r="O123" s="11"/>
      <c r="P123" s="12" t="str">
        <f aca="false">IF(OR(N123="",O123=""),"",IFERROR(O123/N123*100,0))</f>
        <v/>
      </c>
      <c r="Q123" s="10" t="n">
        <v>8</v>
      </c>
      <c r="R123" s="12" t="str">
        <f aca="false">IF(J123="","",Q123*J123)</f>
        <v/>
      </c>
      <c r="S123" s="11"/>
      <c r="T123" s="12" t="str">
        <f aca="false">IF(OR(R123="",S123=""),"",IFERROR(S123/R123*100,0))</f>
        <v/>
      </c>
      <c r="U123" s="12" t="str">
        <f aca="false">IF(OR(O123="",L123="",M123="",S123="",M123=0),"",IFERROR(O123/(L123*60*S123/(M123*36))*100,0))</f>
        <v/>
      </c>
      <c r="V123" s="11"/>
      <c r="W123" s="12" t="str">
        <f aca="false">IF(O123="","",IFERROR(V123/O123*100,0))</f>
        <v/>
      </c>
      <c r="X123" s="11"/>
      <c r="Y123" s="11"/>
      <c r="Z123" s="11"/>
      <c r="AA123" s="11"/>
      <c r="AB123" s="11"/>
      <c r="AC123" s="11"/>
      <c r="AD123" s="11"/>
      <c r="AE123" s="11"/>
      <c r="AF123" s="12" t="str">
        <f aca="false">IF(O123="","",SUM(X123:AE123))</f>
        <v/>
      </c>
      <c r="AG123" s="12" t="str">
        <f aca="false">IF(O123="","",IFERROR(AF123/O123*1000,0))</f>
        <v/>
      </c>
      <c r="AH123" s="11"/>
      <c r="AI123" s="11"/>
      <c r="AJ123" s="11"/>
      <c r="AK123" s="9"/>
      <c r="AL123" s="9"/>
      <c r="AM123" s="9"/>
    </row>
    <row r="124" customFormat="false" ht="15" hidden="false" customHeight="true" outlineLevel="0" collapsed="false">
      <c r="A124" s="6"/>
      <c r="B124" s="7"/>
      <c r="C124" s="8"/>
      <c r="D124" s="8"/>
      <c r="E124" s="8"/>
      <c r="F124" s="9"/>
      <c r="G124" s="8"/>
      <c r="H124" s="10" t="str">
        <f aca="false">IFERROR(INDEX('Operator Master'!$B$5:$B$504,MATCH(G124,'Operator Master'!$A$5:$A$504,0)),"")</f>
        <v/>
      </c>
      <c r="I124" s="9"/>
      <c r="J124" s="9"/>
      <c r="K124" s="8"/>
      <c r="L124" s="9"/>
      <c r="M124" s="9"/>
      <c r="N124" s="11"/>
      <c r="O124" s="11"/>
      <c r="P124" s="12" t="str">
        <f aca="false">IF(OR(N124="",O124=""),"",IFERROR(O124/N124*100,0))</f>
        <v/>
      </c>
      <c r="Q124" s="10" t="n">
        <v>8</v>
      </c>
      <c r="R124" s="12" t="str">
        <f aca="false">IF(J124="","",Q124*J124)</f>
        <v/>
      </c>
      <c r="S124" s="11"/>
      <c r="T124" s="12" t="str">
        <f aca="false">IF(OR(R124="",S124=""),"",IFERROR(S124/R124*100,0))</f>
        <v/>
      </c>
      <c r="U124" s="12" t="str">
        <f aca="false">IF(OR(O124="",L124="",M124="",S124="",M124=0),"",IFERROR(O124/(L124*60*S124/(M124*36))*100,0))</f>
        <v/>
      </c>
      <c r="V124" s="11"/>
      <c r="W124" s="12" t="str">
        <f aca="false">IF(O124="","",IFERROR(V124/O124*100,0))</f>
        <v/>
      </c>
      <c r="X124" s="11"/>
      <c r="Y124" s="11"/>
      <c r="Z124" s="11"/>
      <c r="AA124" s="11"/>
      <c r="AB124" s="11"/>
      <c r="AC124" s="11"/>
      <c r="AD124" s="11"/>
      <c r="AE124" s="11"/>
      <c r="AF124" s="12" t="str">
        <f aca="false">IF(O124="","",SUM(X124:AE124))</f>
        <v/>
      </c>
      <c r="AG124" s="12" t="str">
        <f aca="false">IF(O124="","",IFERROR(AF124/O124*1000,0))</f>
        <v/>
      </c>
      <c r="AH124" s="11"/>
      <c r="AI124" s="11"/>
      <c r="AJ124" s="11"/>
      <c r="AK124" s="9"/>
      <c r="AL124" s="9"/>
      <c r="AM124" s="9"/>
    </row>
    <row r="125" customFormat="false" ht="15" hidden="false" customHeight="true" outlineLevel="0" collapsed="false">
      <c r="A125" s="6"/>
      <c r="B125" s="7"/>
      <c r="C125" s="8"/>
      <c r="D125" s="8"/>
      <c r="E125" s="8"/>
      <c r="F125" s="9"/>
      <c r="G125" s="8"/>
      <c r="H125" s="10" t="str">
        <f aca="false">IFERROR(INDEX('Operator Master'!$B$5:$B$504,MATCH(G125,'Operator Master'!$A$5:$A$504,0)),"")</f>
        <v/>
      </c>
      <c r="I125" s="9"/>
      <c r="J125" s="9"/>
      <c r="K125" s="8"/>
      <c r="L125" s="9"/>
      <c r="M125" s="9"/>
      <c r="N125" s="11"/>
      <c r="O125" s="11"/>
      <c r="P125" s="12" t="str">
        <f aca="false">IF(OR(N125="",O125=""),"",IFERROR(O125/N125*100,0))</f>
        <v/>
      </c>
      <c r="Q125" s="10" t="n">
        <v>8</v>
      </c>
      <c r="R125" s="12" t="str">
        <f aca="false">IF(J125="","",Q125*J125)</f>
        <v/>
      </c>
      <c r="S125" s="11"/>
      <c r="T125" s="12" t="str">
        <f aca="false">IF(OR(R125="",S125=""),"",IFERROR(S125/R125*100,0))</f>
        <v/>
      </c>
      <c r="U125" s="12" t="str">
        <f aca="false">IF(OR(O125="",L125="",M125="",S125="",M125=0),"",IFERROR(O125/(L125*60*S125/(M125*36))*100,0))</f>
        <v/>
      </c>
      <c r="V125" s="11"/>
      <c r="W125" s="12" t="str">
        <f aca="false">IF(O125="","",IFERROR(V125/O125*100,0))</f>
        <v/>
      </c>
      <c r="X125" s="11"/>
      <c r="Y125" s="11"/>
      <c r="Z125" s="11"/>
      <c r="AA125" s="11"/>
      <c r="AB125" s="11"/>
      <c r="AC125" s="11"/>
      <c r="AD125" s="11"/>
      <c r="AE125" s="11"/>
      <c r="AF125" s="12" t="str">
        <f aca="false">IF(O125="","",SUM(X125:AE125))</f>
        <v/>
      </c>
      <c r="AG125" s="12" t="str">
        <f aca="false">IF(O125="","",IFERROR(AF125/O125*1000,0))</f>
        <v/>
      </c>
      <c r="AH125" s="11"/>
      <c r="AI125" s="11"/>
      <c r="AJ125" s="11"/>
      <c r="AK125" s="9"/>
      <c r="AL125" s="9"/>
      <c r="AM125" s="9"/>
    </row>
    <row r="126" customFormat="false" ht="15" hidden="false" customHeight="true" outlineLevel="0" collapsed="false">
      <c r="A126" s="6"/>
      <c r="B126" s="7"/>
      <c r="C126" s="8"/>
      <c r="D126" s="8"/>
      <c r="E126" s="8"/>
      <c r="F126" s="9"/>
      <c r="G126" s="8"/>
      <c r="H126" s="10" t="str">
        <f aca="false">IFERROR(INDEX('Operator Master'!$B$5:$B$504,MATCH(G126,'Operator Master'!$A$5:$A$504,0)),"")</f>
        <v/>
      </c>
      <c r="I126" s="9"/>
      <c r="J126" s="9"/>
      <c r="K126" s="8"/>
      <c r="L126" s="9"/>
      <c r="M126" s="9"/>
      <c r="N126" s="11"/>
      <c r="O126" s="11"/>
      <c r="P126" s="12" t="str">
        <f aca="false">IF(OR(N126="",O126=""),"",IFERROR(O126/N126*100,0))</f>
        <v/>
      </c>
      <c r="Q126" s="10" t="n">
        <v>8</v>
      </c>
      <c r="R126" s="12" t="str">
        <f aca="false">IF(J126="","",Q126*J126)</f>
        <v/>
      </c>
      <c r="S126" s="11"/>
      <c r="T126" s="12" t="str">
        <f aca="false">IF(OR(R126="",S126=""),"",IFERROR(S126/R126*100,0))</f>
        <v/>
      </c>
      <c r="U126" s="12" t="str">
        <f aca="false">IF(OR(O126="",L126="",M126="",S126="",M126=0),"",IFERROR(O126/(L126*60*S126/(M126*36))*100,0))</f>
        <v/>
      </c>
      <c r="V126" s="11"/>
      <c r="W126" s="12" t="str">
        <f aca="false">IF(O126="","",IFERROR(V126/O126*100,0))</f>
        <v/>
      </c>
      <c r="X126" s="11"/>
      <c r="Y126" s="11"/>
      <c r="Z126" s="11"/>
      <c r="AA126" s="11"/>
      <c r="AB126" s="11"/>
      <c r="AC126" s="11"/>
      <c r="AD126" s="11"/>
      <c r="AE126" s="11"/>
      <c r="AF126" s="12" t="str">
        <f aca="false">IF(O126="","",SUM(X126:AE126))</f>
        <v/>
      </c>
      <c r="AG126" s="12" t="str">
        <f aca="false">IF(O126="","",IFERROR(AF126/O126*1000,0))</f>
        <v/>
      </c>
      <c r="AH126" s="11"/>
      <c r="AI126" s="11"/>
      <c r="AJ126" s="11"/>
      <c r="AK126" s="9"/>
      <c r="AL126" s="9"/>
      <c r="AM126" s="9"/>
    </row>
    <row r="127" customFormat="false" ht="15" hidden="false" customHeight="true" outlineLevel="0" collapsed="false">
      <c r="A127" s="6"/>
      <c r="B127" s="7"/>
      <c r="C127" s="8"/>
      <c r="D127" s="8"/>
      <c r="E127" s="8"/>
      <c r="F127" s="9"/>
      <c r="G127" s="8"/>
      <c r="H127" s="10" t="str">
        <f aca="false">IFERROR(INDEX('Operator Master'!$B$5:$B$504,MATCH(G127,'Operator Master'!$A$5:$A$504,0)),"")</f>
        <v/>
      </c>
      <c r="I127" s="9"/>
      <c r="J127" s="9"/>
      <c r="K127" s="8"/>
      <c r="L127" s="9"/>
      <c r="M127" s="9"/>
      <c r="N127" s="11"/>
      <c r="O127" s="11"/>
      <c r="P127" s="12" t="str">
        <f aca="false">IF(OR(N127="",O127=""),"",IFERROR(O127/N127*100,0))</f>
        <v/>
      </c>
      <c r="Q127" s="10" t="n">
        <v>8</v>
      </c>
      <c r="R127" s="12" t="str">
        <f aca="false">IF(J127="","",Q127*J127)</f>
        <v/>
      </c>
      <c r="S127" s="11"/>
      <c r="T127" s="12" t="str">
        <f aca="false">IF(OR(R127="",S127=""),"",IFERROR(S127/R127*100,0))</f>
        <v/>
      </c>
      <c r="U127" s="12" t="str">
        <f aca="false">IF(OR(O127="",L127="",M127="",S127="",M127=0),"",IFERROR(O127/(L127*60*S127/(M127*36))*100,0))</f>
        <v/>
      </c>
      <c r="V127" s="11"/>
      <c r="W127" s="12" t="str">
        <f aca="false">IF(O127="","",IFERROR(V127/O127*100,0))</f>
        <v/>
      </c>
      <c r="X127" s="11"/>
      <c r="Y127" s="11"/>
      <c r="Z127" s="11"/>
      <c r="AA127" s="11"/>
      <c r="AB127" s="11"/>
      <c r="AC127" s="11"/>
      <c r="AD127" s="11"/>
      <c r="AE127" s="11"/>
      <c r="AF127" s="12" t="str">
        <f aca="false">IF(O127="","",SUM(X127:AE127))</f>
        <v/>
      </c>
      <c r="AG127" s="12" t="str">
        <f aca="false">IF(O127="","",IFERROR(AF127/O127*1000,0))</f>
        <v/>
      </c>
      <c r="AH127" s="11"/>
      <c r="AI127" s="11"/>
      <c r="AJ127" s="11"/>
      <c r="AK127" s="9"/>
      <c r="AL127" s="9"/>
      <c r="AM127" s="9"/>
    </row>
    <row r="128" customFormat="false" ht="15" hidden="false" customHeight="true" outlineLevel="0" collapsed="false">
      <c r="A128" s="6"/>
      <c r="B128" s="7"/>
      <c r="C128" s="8"/>
      <c r="D128" s="8"/>
      <c r="E128" s="8"/>
      <c r="F128" s="9"/>
      <c r="G128" s="8"/>
      <c r="H128" s="10" t="str">
        <f aca="false">IFERROR(INDEX('Operator Master'!$B$5:$B$504,MATCH(G128,'Operator Master'!$A$5:$A$504,0)),"")</f>
        <v/>
      </c>
      <c r="I128" s="9"/>
      <c r="J128" s="9"/>
      <c r="K128" s="8"/>
      <c r="L128" s="9"/>
      <c r="M128" s="9"/>
      <c r="N128" s="11"/>
      <c r="O128" s="11"/>
      <c r="P128" s="12" t="str">
        <f aca="false">IF(OR(N128="",O128=""),"",IFERROR(O128/N128*100,0))</f>
        <v/>
      </c>
      <c r="Q128" s="10" t="n">
        <v>8</v>
      </c>
      <c r="R128" s="12" t="str">
        <f aca="false">IF(J128="","",Q128*J128)</f>
        <v/>
      </c>
      <c r="S128" s="11"/>
      <c r="T128" s="12" t="str">
        <f aca="false">IF(OR(R128="",S128=""),"",IFERROR(S128/R128*100,0))</f>
        <v/>
      </c>
      <c r="U128" s="12" t="str">
        <f aca="false">IF(OR(O128="",L128="",M128="",S128="",M128=0),"",IFERROR(O128/(L128*60*S128/(M128*36))*100,0))</f>
        <v/>
      </c>
      <c r="V128" s="11"/>
      <c r="W128" s="12" t="str">
        <f aca="false">IF(O128="","",IFERROR(V128/O128*100,0))</f>
        <v/>
      </c>
      <c r="X128" s="11"/>
      <c r="Y128" s="11"/>
      <c r="Z128" s="11"/>
      <c r="AA128" s="11"/>
      <c r="AB128" s="11"/>
      <c r="AC128" s="11"/>
      <c r="AD128" s="11"/>
      <c r="AE128" s="11"/>
      <c r="AF128" s="12" t="str">
        <f aca="false">IF(O128="","",SUM(X128:AE128))</f>
        <v/>
      </c>
      <c r="AG128" s="12" t="str">
        <f aca="false">IF(O128="","",IFERROR(AF128/O128*1000,0))</f>
        <v/>
      </c>
      <c r="AH128" s="11"/>
      <c r="AI128" s="11"/>
      <c r="AJ128" s="11"/>
      <c r="AK128" s="9"/>
      <c r="AL128" s="9"/>
      <c r="AM128" s="9"/>
    </row>
    <row r="129" customFormat="false" ht="15" hidden="false" customHeight="true" outlineLevel="0" collapsed="false">
      <c r="A129" s="6"/>
      <c r="B129" s="7"/>
      <c r="C129" s="8"/>
      <c r="D129" s="8"/>
      <c r="E129" s="8"/>
      <c r="F129" s="9"/>
      <c r="G129" s="8"/>
      <c r="H129" s="10" t="str">
        <f aca="false">IFERROR(INDEX('Operator Master'!$B$5:$B$504,MATCH(G129,'Operator Master'!$A$5:$A$504,0)),"")</f>
        <v/>
      </c>
      <c r="I129" s="9"/>
      <c r="J129" s="9"/>
      <c r="K129" s="8"/>
      <c r="L129" s="9"/>
      <c r="M129" s="9"/>
      <c r="N129" s="11"/>
      <c r="O129" s="11"/>
      <c r="P129" s="12" t="str">
        <f aca="false">IF(OR(N129="",O129=""),"",IFERROR(O129/N129*100,0))</f>
        <v/>
      </c>
      <c r="Q129" s="10" t="n">
        <v>8</v>
      </c>
      <c r="R129" s="12" t="str">
        <f aca="false">IF(J129="","",Q129*J129)</f>
        <v/>
      </c>
      <c r="S129" s="11"/>
      <c r="T129" s="12" t="str">
        <f aca="false">IF(OR(R129="",S129=""),"",IFERROR(S129/R129*100,0))</f>
        <v/>
      </c>
      <c r="U129" s="12" t="str">
        <f aca="false">IF(OR(O129="",L129="",M129="",S129="",M129=0),"",IFERROR(O129/(L129*60*S129/(M129*36))*100,0))</f>
        <v/>
      </c>
      <c r="V129" s="11"/>
      <c r="W129" s="12" t="str">
        <f aca="false">IF(O129="","",IFERROR(V129/O129*100,0))</f>
        <v/>
      </c>
      <c r="X129" s="11"/>
      <c r="Y129" s="11"/>
      <c r="Z129" s="11"/>
      <c r="AA129" s="11"/>
      <c r="AB129" s="11"/>
      <c r="AC129" s="11"/>
      <c r="AD129" s="11"/>
      <c r="AE129" s="11"/>
      <c r="AF129" s="12" t="str">
        <f aca="false">IF(O129="","",SUM(X129:AE129))</f>
        <v/>
      </c>
      <c r="AG129" s="12" t="str">
        <f aca="false">IF(O129="","",IFERROR(AF129/O129*1000,0))</f>
        <v/>
      </c>
      <c r="AH129" s="11"/>
      <c r="AI129" s="11"/>
      <c r="AJ129" s="11"/>
      <c r="AK129" s="9"/>
      <c r="AL129" s="9"/>
      <c r="AM129" s="9"/>
    </row>
    <row r="130" customFormat="false" ht="15" hidden="false" customHeight="true" outlineLevel="0" collapsed="false">
      <c r="A130" s="6"/>
      <c r="B130" s="7"/>
      <c r="C130" s="8"/>
      <c r="D130" s="8"/>
      <c r="E130" s="8"/>
      <c r="F130" s="9"/>
      <c r="G130" s="8"/>
      <c r="H130" s="10" t="str">
        <f aca="false">IFERROR(INDEX('Operator Master'!$B$5:$B$504,MATCH(G130,'Operator Master'!$A$5:$A$504,0)),"")</f>
        <v/>
      </c>
      <c r="I130" s="9"/>
      <c r="J130" s="9"/>
      <c r="K130" s="8"/>
      <c r="L130" s="9"/>
      <c r="M130" s="9"/>
      <c r="N130" s="11"/>
      <c r="O130" s="11"/>
      <c r="P130" s="12" t="str">
        <f aca="false">IF(OR(N130="",O130=""),"",IFERROR(O130/N130*100,0))</f>
        <v/>
      </c>
      <c r="Q130" s="10" t="n">
        <v>8</v>
      </c>
      <c r="R130" s="12" t="str">
        <f aca="false">IF(J130="","",Q130*J130)</f>
        <v/>
      </c>
      <c r="S130" s="11"/>
      <c r="T130" s="12" t="str">
        <f aca="false">IF(OR(R130="",S130=""),"",IFERROR(S130/R130*100,0))</f>
        <v/>
      </c>
      <c r="U130" s="12" t="str">
        <f aca="false">IF(OR(O130="",L130="",M130="",S130="",M130=0),"",IFERROR(O130/(L130*60*S130/(M130*36))*100,0))</f>
        <v/>
      </c>
      <c r="V130" s="11"/>
      <c r="W130" s="12" t="str">
        <f aca="false">IF(O130="","",IFERROR(V130/O130*100,0))</f>
        <v/>
      </c>
      <c r="X130" s="11"/>
      <c r="Y130" s="11"/>
      <c r="Z130" s="11"/>
      <c r="AA130" s="11"/>
      <c r="AB130" s="11"/>
      <c r="AC130" s="11"/>
      <c r="AD130" s="11"/>
      <c r="AE130" s="11"/>
      <c r="AF130" s="12" t="str">
        <f aca="false">IF(O130="","",SUM(X130:AE130))</f>
        <v/>
      </c>
      <c r="AG130" s="12" t="str">
        <f aca="false">IF(O130="","",IFERROR(AF130/O130*1000,0))</f>
        <v/>
      </c>
      <c r="AH130" s="11"/>
      <c r="AI130" s="11"/>
      <c r="AJ130" s="11"/>
      <c r="AK130" s="9"/>
      <c r="AL130" s="9"/>
      <c r="AM130" s="9"/>
    </row>
    <row r="131" customFormat="false" ht="15" hidden="false" customHeight="true" outlineLevel="0" collapsed="false">
      <c r="A131" s="6"/>
      <c r="B131" s="7"/>
      <c r="C131" s="8"/>
      <c r="D131" s="8"/>
      <c r="E131" s="8"/>
      <c r="F131" s="9"/>
      <c r="G131" s="8"/>
      <c r="H131" s="10" t="str">
        <f aca="false">IFERROR(INDEX('Operator Master'!$B$5:$B$504,MATCH(G131,'Operator Master'!$A$5:$A$504,0)),"")</f>
        <v/>
      </c>
      <c r="I131" s="9"/>
      <c r="J131" s="9"/>
      <c r="K131" s="8"/>
      <c r="L131" s="9"/>
      <c r="M131" s="9"/>
      <c r="N131" s="11"/>
      <c r="O131" s="11"/>
      <c r="P131" s="12" t="str">
        <f aca="false">IF(OR(N131="",O131=""),"",IFERROR(O131/N131*100,0))</f>
        <v/>
      </c>
      <c r="Q131" s="10" t="n">
        <v>8</v>
      </c>
      <c r="R131" s="12" t="str">
        <f aca="false">IF(J131="","",Q131*J131)</f>
        <v/>
      </c>
      <c r="S131" s="11"/>
      <c r="T131" s="12" t="str">
        <f aca="false">IF(OR(R131="",S131=""),"",IFERROR(S131/R131*100,0))</f>
        <v/>
      </c>
      <c r="U131" s="12" t="str">
        <f aca="false">IF(OR(O131="",L131="",M131="",S131="",M131=0),"",IFERROR(O131/(L131*60*S131/(M131*36))*100,0))</f>
        <v/>
      </c>
      <c r="V131" s="11"/>
      <c r="W131" s="12" t="str">
        <f aca="false">IF(O131="","",IFERROR(V131/O131*100,0))</f>
        <v/>
      </c>
      <c r="X131" s="11"/>
      <c r="Y131" s="11"/>
      <c r="Z131" s="11"/>
      <c r="AA131" s="11"/>
      <c r="AB131" s="11"/>
      <c r="AC131" s="11"/>
      <c r="AD131" s="11"/>
      <c r="AE131" s="11"/>
      <c r="AF131" s="12" t="str">
        <f aca="false">IF(O131="","",SUM(X131:AE131))</f>
        <v/>
      </c>
      <c r="AG131" s="12" t="str">
        <f aca="false">IF(O131="","",IFERROR(AF131/O131*1000,0))</f>
        <v/>
      </c>
      <c r="AH131" s="11"/>
      <c r="AI131" s="11"/>
      <c r="AJ131" s="11"/>
      <c r="AK131" s="9"/>
      <c r="AL131" s="9"/>
      <c r="AM131" s="9"/>
    </row>
    <row r="132" customFormat="false" ht="15" hidden="false" customHeight="true" outlineLevel="0" collapsed="false">
      <c r="A132" s="6"/>
      <c r="B132" s="7"/>
      <c r="C132" s="8"/>
      <c r="D132" s="8"/>
      <c r="E132" s="8"/>
      <c r="F132" s="9"/>
      <c r="G132" s="8"/>
      <c r="H132" s="10" t="str">
        <f aca="false">IFERROR(INDEX('Operator Master'!$B$5:$B$504,MATCH(G132,'Operator Master'!$A$5:$A$504,0)),"")</f>
        <v/>
      </c>
      <c r="I132" s="9"/>
      <c r="J132" s="9"/>
      <c r="K132" s="8"/>
      <c r="L132" s="9"/>
      <c r="M132" s="9"/>
      <c r="N132" s="11"/>
      <c r="O132" s="11"/>
      <c r="P132" s="12" t="str">
        <f aca="false">IF(OR(N132="",O132=""),"",IFERROR(O132/N132*100,0))</f>
        <v/>
      </c>
      <c r="Q132" s="10" t="n">
        <v>8</v>
      </c>
      <c r="R132" s="12" t="str">
        <f aca="false">IF(J132="","",Q132*J132)</f>
        <v/>
      </c>
      <c r="S132" s="11"/>
      <c r="T132" s="12" t="str">
        <f aca="false">IF(OR(R132="",S132=""),"",IFERROR(S132/R132*100,0))</f>
        <v/>
      </c>
      <c r="U132" s="12" t="str">
        <f aca="false">IF(OR(O132="",L132="",M132="",S132="",M132=0),"",IFERROR(O132/(L132*60*S132/(M132*36))*100,0))</f>
        <v/>
      </c>
      <c r="V132" s="11"/>
      <c r="W132" s="12" t="str">
        <f aca="false">IF(O132="","",IFERROR(V132/O132*100,0))</f>
        <v/>
      </c>
      <c r="X132" s="11"/>
      <c r="Y132" s="11"/>
      <c r="Z132" s="11"/>
      <c r="AA132" s="11"/>
      <c r="AB132" s="11"/>
      <c r="AC132" s="11"/>
      <c r="AD132" s="11"/>
      <c r="AE132" s="11"/>
      <c r="AF132" s="12" t="str">
        <f aca="false">IF(O132="","",SUM(X132:AE132))</f>
        <v/>
      </c>
      <c r="AG132" s="12" t="str">
        <f aca="false">IF(O132="","",IFERROR(AF132/O132*1000,0))</f>
        <v/>
      </c>
      <c r="AH132" s="11"/>
      <c r="AI132" s="11"/>
      <c r="AJ132" s="11"/>
      <c r="AK132" s="9"/>
      <c r="AL132" s="9"/>
      <c r="AM132" s="9"/>
    </row>
    <row r="133" customFormat="false" ht="15" hidden="false" customHeight="true" outlineLevel="0" collapsed="false">
      <c r="A133" s="6"/>
      <c r="B133" s="7"/>
      <c r="C133" s="8"/>
      <c r="D133" s="8"/>
      <c r="E133" s="8"/>
      <c r="F133" s="9"/>
      <c r="G133" s="8"/>
      <c r="H133" s="10" t="str">
        <f aca="false">IFERROR(INDEX('Operator Master'!$B$5:$B$504,MATCH(G133,'Operator Master'!$A$5:$A$504,0)),"")</f>
        <v/>
      </c>
      <c r="I133" s="9"/>
      <c r="J133" s="9"/>
      <c r="K133" s="8"/>
      <c r="L133" s="9"/>
      <c r="M133" s="9"/>
      <c r="N133" s="11"/>
      <c r="O133" s="11"/>
      <c r="P133" s="12" t="str">
        <f aca="false">IF(OR(N133="",O133=""),"",IFERROR(O133/N133*100,0))</f>
        <v/>
      </c>
      <c r="Q133" s="10" t="n">
        <v>8</v>
      </c>
      <c r="R133" s="12" t="str">
        <f aca="false">IF(J133="","",Q133*J133)</f>
        <v/>
      </c>
      <c r="S133" s="11"/>
      <c r="T133" s="12" t="str">
        <f aca="false">IF(OR(R133="",S133=""),"",IFERROR(S133/R133*100,0))</f>
        <v/>
      </c>
      <c r="U133" s="12" t="str">
        <f aca="false">IF(OR(O133="",L133="",M133="",S133="",M133=0),"",IFERROR(O133/(L133*60*S133/(M133*36))*100,0))</f>
        <v/>
      </c>
      <c r="V133" s="11"/>
      <c r="W133" s="12" t="str">
        <f aca="false">IF(O133="","",IFERROR(V133/O133*100,0))</f>
        <v/>
      </c>
      <c r="X133" s="11"/>
      <c r="Y133" s="11"/>
      <c r="Z133" s="11"/>
      <c r="AA133" s="11"/>
      <c r="AB133" s="11"/>
      <c r="AC133" s="11"/>
      <c r="AD133" s="11"/>
      <c r="AE133" s="11"/>
      <c r="AF133" s="12" t="str">
        <f aca="false">IF(O133="","",SUM(X133:AE133))</f>
        <v/>
      </c>
      <c r="AG133" s="12" t="str">
        <f aca="false">IF(O133="","",IFERROR(AF133/O133*1000,0))</f>
        <v/>
      </c>
      <c r="AH133" s="11"/>
      <c r="AI133" s="11"/>
      <c r="AJ133" s="11"/>
      <c r="AK133" s="9"/>
      <c r="AL133" s="9"/>
      <c r="AM133" s="9"/>
    </row>
    <row r="134" customFormat="false" ht="15" hidden="false" customHeight="true" outlineLevel="0" collapsed="false">
      <c r="A134" s="6"/>
      <c r="B134" s="7"/>
      <c r="C134" s="8"/>
      <c r="D134" s="8"/>
      <c r="E134" s="8"/>
      <c r="F134" s="9"/>
      <c r="G134" s="8"/>
      <c r="H134" s="10" t="str">
        <f aca="false">IFERROR(INDEX('Operator Master'!$B$5:$B$504,MATCH(G134,'Operator Master'!$A$5:$A$504,0)),"")</f>
        <v/>
      </c>
      <c r="I134" s="9"/>
      <c r="J134" s="9"/>
      <c r="K134" s="8"/>
      <c r="L134" s="9"/>
      <c r="M134" s="9"/>
      <c r="N134" s="11"/>
      <c r="O134" s="11"/>
      <c r="P134" s="12" t="str">
        <f aca="false">IF(OR(N134="",O134=""),"",IFERROR(O134/N134*100,0))</f>
        <v/>
      </c>
      <c r="Q134" s="10" t="n">
        <v>8</v>
      </c>
      <c r="R134" s="12" t="str">
        <f aca="false">IF(J134="","",Q134*J134)</f>
        <v/>
      </c>
      <c r="S134" s="11"/>
      <c r="T134" s="12" t="str">
        <f aca="false">IF(OR(R134="",S134=""),"",IFERROR(S134/R134*100,0))</f>
        <v/>
      </c>
      <c r="U134" s="12" t="str">
        <f aca="false">IF(OR(O134="",L134="",M134="",S134="",M134=0),"",IFERROR(O134/(L134*60*S134/(M134*36))*100,0))</f>
        <v/>
      </c>
      <c r="V134" s="11"/>
      <c r="W134" s="12" t="str">
        <f aca="false">IF(O134="","",IFERROR(V134/O134*100,0))</f>
        <v/>
      </c>
      <c r="X134" s="11"/>
      <c r="Y134" s="11"/>
      <c r="Z134" s="11"/>
      <c r="AA134" s="11"/>
      <c r="AB134" s="11"/>
      <c r="AC134" s="11"/>
      <c r="AD134" s="11"/>
      <c r="AE134" s="11"/>
      <c r="AF134" s="12" t="str">
        <f aca="false">IF(O134="","",SUM(X134:AE134))</f>
        <v/>
      </c>
      <c r="AG134" s="12" t="str">
        <f aca="false">IF(O134="","",IFERROR(AF134/O134*1000,0))</f>
        <v/>
      </c>
      <c r="AH134" s="11"/>
      <c r="AI134" s="11"/>
      <c r="AJ134" s="11"/>
      <c r="AK134" s="9"/>
      <c r="AL134" s="9"/>
      <c r="AM134" s="9"/>
    </row>
    <row r="135" customFormat="false" ht="15" hidden="false" customHeight="true" outlineLevel="0" collapsed="false">
      <c r="A135" s="6"/>
      <c r="B135" s="7"/>
      <c r="C135" s="8"/>
      <c r="D135" s="8"/>
      <c r="E135" s="8"/>
      <c r="F135" s="9"/>
      <c r="G135" s="8"/>
      <c r="H135" s="10" t="str">
        <f aca="false">IFERROR(INDEX('Operator Master'!$B$5:$B$504,MATCH(G135,'Operator Master'!$A$5:$A$504,0)),"")</f>
        <v/>
      </c>
      <c r="I135" s="9"/>
      <c r="J135" s="9"/>
      <c r="K135" s="8"/>
      <c r="L135" s="9"/>
      <c r="M135" s="9"/>
      <c r="N135" s="11"/>
      <c r="O135" s="11"/>
      <c r="P135" s="12" t="str">
        <f aca="false">IF(OR(N135="",O135=""),"",IFERROR(O135/N135*100,0))</f>
        <v/>
      </c>
      <c r="Q135" s="10" t="n">
        <v>8</v>
      </c>
      <c r="R135" s="12" t="str">
        <f aca="false">IF(J135="","",Q135*J135)</f>
        <v/>
      </c>
      <c r="S135" s="11"/>
      <c r="T135" s="12" t="str">
        <f aca="false">IF(OR(R135="",S135=""),"",IFERROR(S135/R135*100,0))</f>
        <v/>
      </c>
      <c r="U135" s="12" t="str">
        <f aca="false">IF(OR(O135="",L135="",M135="",S135="",M135=0),"",IFERROR(O135/(L135*60*S135/(M135*36))*100,0))</f>
        <v/>
      </c>
      <c r="V135" s="11"/>
      <c r="W135" s="12" t="str">
        <f aca="false">IF(O135="","",IFERROR(V135/O135*100,0))</f>
        <v/>
      </c>
      <c r="X135" s="11"/>
      <c r="Y135" s="11"/>
      <c r="Z135" s="11"/>
      <c r="AA135" s="11"/>
      <c r="AB135" s="11"/>
      <c r="AC135" s="11"/>
      <c r="AD135" s="11"/>
      <c r="AE135" s="11"/>
      <c r="AF135" s="12" t="str">
        <f aca="false">IF(O135="","",SUM(X135:AE135))</f>
        <v/>
      </c>
      <c r="AG135" s="12" t="str">
        <f aca="false">IF(O135="","",IFERROR(AF135/O135*1000,0))</f>
        <v/>
      </c>
      <c r="AH135" s="11"/>
      <c r="AI135" s="11"/>
      <c r="AJ135" s="11"/>
      <c r="AK135" s="9"/>
      <c r="AL135" s="9"/>
      <c r="AM135" s="9"/>
    </row>
    <row r="136" customFormat="false" ht="15" hidden="false" customHeight="true" outlineLevel="0" collapsed="false">
      <c r="A136" s="6"/>
      <c r="B136" s="7"/>
      <c r="C136" s="8"/>
      <c r="D136" s="8"/>
      <c r="E136" s="8"/>
      <c r="F136" s="9"/>
      <c r="G136" s="8"/>
      <c r="H136" s="10" t="str">
        <f aca="false">IFERROR(INDEX('Operator Master'!$B$5:$B$504,MATCH(G136,'Operator Master'!$A$5:$A$504,0)),"")</f>
        <v/>
      </c>
      <c r="I136" s="9"/>
      <c r="J136" s="9"/>
      <c r="K136" s="8"/>
      <c r="L136" s="9"/>
      <c r="M136" s="9"/>
      <c r="N136" s="11"/>
      <c r="O136" s="11"/>
      <c r="P136" s="12" t="str">
        <f aca="false">IF(OR(N136="",O136=""),"",IFERROR(O136/N136*100,0))</f>
        <v/>
      </c>
      <c r="Q136" s="10" t="n">
        <v>8</v>
      </c>
      <c r="R136" s="12" t="str">
        <f aca="false">IF(J136="","",Q136*J136)</f>
        <v/>
      </c>
      <c r="S136" s="11"/>
      <c r="T136" s="12" t="str">
        <f aca="false">IF(OR(R136="",S136=""),"",IFERROR(S136/R136*100,0))</f>
        <v/>
      </c>
      <c r="U136" s="12" t="str">
        <f aca="false">IF(OR(O136="",L136="",M136="",S136="",M136=0),"",IFERROR(O136/(L136*60*S136/(M136*36))*100,0))</f>
        <v/>
      </c>
      <c r="V136" s="11"/>
      <c r="W136" s="12" t="str">
        <f aca="false">IF(O136="","",IFERROR(V136/O136*100,0))</f>
        <v/>
      </c>
      <c r="X136" s="11"/>
      <c r="Y136" s="11"/>
      <c r="Z136" s="11"/>
      <c r="AA136" s="11"/>
      <c r="AB136" s="11"/>
      <c r="AC136" s="11"/>
      <c r="AD136" s="11"/>
      <c r="AE136" s="11"/>
      <c r="AF136" s="12" t="str">
        <f aca="false">IF(O136="","",SUM(X136:AE136))</f>
        <v/>
      </c>
      <c r="AG136" s="12" t="str">
        <f aca="false">IF(O136="","",IFERROR(AF136/O136*1000,0))</f>
        <v/>
      </c>
      <c r="AH136" s="11"/>
      <c r="AI136" s="11"/>
      <c r="AJ136" s="11"/>
      <c r="AK136" s="9"/>
      <c r="AL136" s="9"/>
      <c r="AM136" s="9"/>
    </row>
    <row r="137" customFormat="false" ht="15" hidden="false" customHeight="true" outlineLevel="0" collapsed="false">
      <c r="A137" s="6"/>
      <c r="B137" s="7"/>
      <c r="C137" s="8"/>
      <c r="D137" s="8"/>
      <c r="E137" s="8"/>
      <c r="F137" s="9"/>
      <c r="G137" s="8"/>
      <c r="H137" s="10" t="str">
        <f aca="false">IFERROR(INDEX('Operator Master'!$B$5:$B$504,MATCH(G137,'Operator Master'!$A$5:$A$504,0)),"")</f>
        <v/>
      </c>
      <c r="I137" s="9"/>
      <c r="J137" s="9"/>
      <c r="K137" s="8"/>
      <c r="L137" s="9"/>
      <c r="M137" s="9"/>
      <c r="N137" s="11"/>
      <c r="O137" s="11"/>
      <c r="P137" s="12" t="str">
        <f aca="false">IF(OR(N137="",O137=""),"",IFERROR(O137/N137*100,0))</f>
        <v/>
      </c>
      <c r="Q137" s="10" t="n">
        <v>8</v>
      </c>
      <c r="R137" s="12" t="str">
        <f aca="false">IF(J137="","",Q137*J137)</f>
        <v/>
      </c>
      <c r="S137" s="11"/>
      <c r="T137" s="12" t="str">
        <f aca="false">IF(OR(R137="",S137=""),"",IFERROR(S137/R137*100,0))</f>
        <v/>
      </c>
      <c r="U137" s="12" t="str">
        <f aca="false">IF(OR(O137="",L137="",M137="",S137="",M137=0),"",IFERROR(O137/(L137*60*S137/(M137*36))*100,0))</f>
        <v/>
      </c>
      <c r="V137" s="11"/>
      <c r="W137" s="12" t="str">
        <f aca="false">IF(O137="","",IFERROR(V137/O137*100,0))</f>
        <v/>
      </c>
      <c r="X137" s="11"/>
      <c r="Y137" s="11"/>
      <c r="Z137" s="11"/>
      <c r="AA137" s="11"/>
      <c r="AB137" s="11"/>
      <c r="AC137" s="11"/>
      <c r="AD137" s="11"/>
      <c r="AE137" s="11"/>
      <c r="AF137" s="12" t="str">
        <f aca="false">IF(O137="","",SUM(X137:AE137))</f>
        <v/>
      </c>
      <c r="AG137" s="12" t="str">
        <f aca="false">IF(O137="","",IFERROR(AF137/O137*1000,0))</f>
        <v/>
      </c>
      <c r="AH137" s="11"/>
      <c r="AI137" s="11"/>
      <c r="AJ137" s="11"/>
      <c r="AK137" s="9"/>
      <c r="AL137" s="9"/>
      <c r="AM137" s="9"/>
    </row>
    <row r="138" customFormat="false" ht="15" hidden="false" customHeight="true" outlineLevel="0" collapsed="false">
      <c r="A138" s="6"/>
      <c r="B138" s="7"/>
      <c r="C138" s="8"/>
      <c r="D138" s="8"/>
      <c r="E138" s="8"/>
      <c r="F138" s="9"/>
      <c r="G138" s="8"/>
      <c r="H138" s="10" t="str">
        <f aca="false">IFERROR(INDEX('Operator Master'!$B$5:$B$504,MATCH(G138,'Operator Master'!$A$5:$A$504,0)),"")</f>
        <v/>
      </c>
      <c r="I138" s="9"/>
      <c r="J138" s="9"/>
      <c r="K138" s="8"/>
      <c r="L138" s="9"/>
      <c r="M138" s="9"/>
      <c r="N138" s="11"/>
      <c r="O138" s="11"/>
      <c r="P138" s="12" t="str">
        <f aca="false">IF(OR(N138="",O138=""),"",IFERROR(O138/N138*100,0))</f>
        <v/>
      </c>
      <c r="Q138" s="10" t="n">
        <v>8</v>
      </c>
      <c r="R138" s="12" t="str">
        <f aca="false">IF(J138="","",Q138*J138)</f>
        <v/>
      </c>
      <c r="S138" s="11"/>
      <c r="T138" s="12" t="str">
        <f aca="false">IF(OR(R138="",S138=""),"",IFERROR(S138/R138*100,0))</f>
        <v/>
      </c>
      <c r="U138" s="12" t="str">
        <f aca="false">IF(OR(O138="",L138="",M138="",S138="",M138=0),"",IFERROR(O138/(L138*60*S138/(M138*36))*100,0))</f>
        <v/>
      </c>
      <c r="V138" s="11"/>
      <c r="W138" s="12" t="str">
        <f aca="false">IF(O138="","",IFERROR(V138/O138*100,0))</f>
        <v/>
      </c>
      <c r="X138" s="11"/>
      <c r="Y138" s="11"/>
      <c r="Z138" s="11"/>
      <c r="AA138" s="11"/>
      <c r="AB138" s="11"/>
      <c r="AC138" s="11"/>
      <c r="AD138" s="11"/>
      <c r="AE138" s="11"/>
      <c r="AF138" s="12" t="str">
        <f aca="false">IF(O138="","",SUM(X138:AE138))</f>
        <v/>
      </c>
      <c r="AG138" s="12" t="str">
        <f aca="false">IF(O138="","",IFERROR(AF138/O138*1000,0))</f>
        <v/>
      </c>
      <c r="AH138" s="11"/>
      <c r="AI138" s="11"/>
      <c r="AJ138" s="11"/>
      <c r="AK138" s="9"/>
      <c r="AL138" s="9"/>
      <c r="AM138" s="9"/>
    </row>
    <row r="139" customFormat="false" ht="15" hidden="false" customHeight="true" outlineLevel="0" collapsed="false">
      <c r="A139" s="6"/>
      <c r="B139" s="7"/>
      <c r="C139" s="8"/>
      <c r="D139" s="8"/>
      <c r="E139" s="8"/>
      <c r="F139" s="9"/>
      <c r="G139" s="8"/>
      <c r="H139" s="10" t="str">
        <f aca="false">IFERROR(INDEX('Operator Master'!$B$5:$B$504,MATCH(G139,'Operator Master'!$A$5:$A$504,0)),"")</f>
        <v/>
      </c>
      <c r="I139" s="9"/>
      <c r="J139" s="9"/>
      <c r="K139" s="8"/>
      <c r="L139" s="9"/>
      <c r="M139" s="9"/>
      <c r="N139" s="11"/>
      <c r="O139" s="11"/>
      <c r="P139" s="12" t="str">
        <f aca="false">IF(OR(N139="",O139=""),"",IFERROR(O139/N139*100,0))</f>
        <v/>
      </c>
      <c r="Q139" s="10" t="n">
        <v>8</v>
      </c>
      <c r="R139" s="12" t="str">
        <f aca="false">IF(J139="","",Q139*J139)</f>
        <v/>
      </c>
      <c r="S139" s="11"/>
      <c r="T139" s="12" t="str">
        <f aca="false">IF(OR(R139="",S139=""),"",IFERROR(S139/R139*100,0))</f>
        <v/>
      </c>
      <c r="U139" s="12" t="str">
        <f aca="false">IF(OR(O139="",L139="",M139="",S139="",M139=0),"",IFERROR(O139/(L139*60*S139/(M139*36))*100,0))</f>
        <v/>
      </c>
      <c r="V139" s="11"/>
      <c r="W139" s="12" t="str">
        <f aca="false">IF(O139="","",IFERROR(V139/O139*100,0))</f>
        <v/>
      </c>
      <c r="X139" s="11"/>
      <c r="Y139" s="11"/>
      <c r="Z139" s="11"/>
      <c r="AA139" s="11"/>
      <c r="AB139" s="11"/>
      <c r="AC139" s="11"/>
      <c r="AD139" s="11"/>
      <c r="AE139" s="11"/>
      <c r="AF139" s="12" t="str">
        <f aca="false">IF(O139="","",SUM(X139:AE139))</f>
        <v/>
      </c>
      <c r="AG139" s="12" t="str">
        <f aca="false">IF(O139="","",IFERROR(AF139/O139*1000,0))</f>
        <v/>
      </c>
      <c r="AH139" s="11"/>
      <c r="AI139" s="11"/>
      <c r="AJ139" s="11"/>
      <c r="AK139" s="9"/>
      <c r="AL139" s="9"/>
      <c r="AM139" s="9"/>
    </row>
    <row r="140" customFormat="false" ht="15" hidden="false" customHeight="true" outlineLevel="0" collapsed="false">
      <c r="A140" s="6"/>
      <c r="B140" s="7"/>
      <c r="C140" s="8"/>
      <c r="D140" s="8"/>
      <c r="E140" s="8"/>
      <c r="F140" s="9"/>
      <c r="G140" s="8"/>
      <c r="H140" s="10" t="str">
        <f aca="false">IFERROR(INDEX('Operator Master'!$B$5:$B$504,MATCH(G140,'Operator Master'!$A$5:$A$504,0)),"")</f>
        <v/>
      </c>
      <c r="I140" s="9"/>
      <c r="J140" s="9"/>
      <c r="K140" s="8"/>
      <c r="L140" s="9"/>
      <c r="M140" s="9"/>
      <c r="N140" s="11"/>
      <c r="O140" s="11"/>
      <c r="P140" s="12" t="str">
        <f aca="false">IF(OR(N140="",O140=""),"",IFERROR(O140/N140*100,0))</f>
        <v/>
      </c>
      <c r="Q140" s="10" t="n">
        <v>8</v>
      </c>
      <c r="R140" s="12" t="str">
        <f aca="false">IF(J140="","",Q140*J140)</f>
        <v/>
      </c>
      <c r="S140" s="11"/>
      <c r="T140" s="12" t="str">
        <f aca="false">IF(OR(R140="",S140=""),"",IFERROR(S140/R140*100,0))</f>
        <v/>
      </c>
      <c r="U140" s="12" t="str">
        <f aca="false">IF(OR(O140="",L140="",M140="",S140="",M140=0),"",IFERROR(O140/(L140*60*S140/(M140*36))*100,0))</f>
        <v/>
      </c>
      <c r="V140" s="11"/>
      <c r="W140" s="12" t="str">
        <f aca="false">IF(O140="","",IFERROR(V140/O140*100,0))</f>
        <v/>
      </c>
      <c r="X140" s="11"/>
      <c r="Y140" s="11"/>
      <c r="Z140" s="11"/>
      <c r="AA140" s="11"/>
      <c r="AB140" s="11"/>
      <c r="AC140" s="11"/>
      <c r="AD140" s="11"/>
      <c r="AE140" s="11"/>
      <c r="AF140" s="12" t="str">
        <f aca="false">IF(O140="","",SUM(X140:AE140))</f>
        <v/>
      </c>
      <c r="AG140" s="12" t="str">
        <f aca="false">IF(O140="","",IFERROR(AF140/O140*1000,0))</f>
        <v/>
      </c>
      <c r="AH140" s="11"/>
      <c r="AI140" s="11"/>
      <c r="AJ140" s="11"/>
      <c r="AK140" s="9"/>
      <c r="AL140" s="9"/>
      <c r="AM140" s="9"/>
    </row>
    <row r="141" customFormat="false" ht="15" hidden="false" customHeight="true" outlineLevel="0" collapsed="false">
      <c r="A141" s="6"/>
      <c r="B141" s="7"/>
      <c r="C141" s="8"/>
      <c r="D141" s="8"/>
      <c r="E141" s="8"/>
      <c r="F141" s="9"/>
      <c r="G141" s="8"/>
      <c r="H141" s="10" t="str">
        <f aca="false">IFERROR(INDEX('Operator Master'!$B$5:$B$504,MATCH(G141,'Operator Master'!$A$5:$A$504,0)),"")</f>
        <v/>
      </c>
      <c r="I141" s="9"/>
      <c r="J141" s="9"/>
      <c r="K141" s="8"/>
      <c r="L141" s="9"/>
      <c r="M141" s="9"/>
      <c r="N141" s="11"/>
      <c r="O141" s="11"/>
      <c r="P141" s="12" t="str">
        <f aca="false">IF(OR(N141="",O141=""),"",IFERROR(O141/N141*100,0))</f>
        <v/>
      </c>
      <c r="Q141" s="10" t="n">
        <v>8</v>
      </c>
      <c r="R141" s="12" t="str">
        <f aca="false">IF(J141="","",Q141*J141)</f>
        <v/>
      </c>
      <c r="S141" s="11"/>
      <c r="T141" s="12" t="str">
        <f aca="false">IF(OR(R141="",S141=""),"",IFERROR(S141/R141*100,0))</f>
        <v/>
      </c>
      <c r="U141" s="12" t="str">
        <f aca="false">IF(OR(O141="",L141="",M141="",S141="",M141=0),"",IFERROR(O141/(L141*60*S141/(M141*36))*100,0))</f>
        <v/>
      </c>
      <c r="V141" s="11"/>
      <c r="W141" s="12" t="str">
        <f aca="false">IF(O141="","",IFERROR(V141/O141*100,0))</f>
        <v/>
      </c>
      <c r="X141" s="11"/>
      <c r="Y141" s="11"/>
      <c r="Z141" s="11"/>
      <c r="AA141" s="11"/>
      <c r="AB141" s="11"/>
      <c r="AC141" s="11"/>
      <c r="AD141" s="11"/>
      <c r="AE141" s="11"/>
      <c r="AF141" s="12" t="str">
        <f aca="false">IF(O141="","",SUM(X141:AE141))</f>
        <v/>
      </c>
      <c r="AG141" s="12" t="str">
        <f aca="false">IF(O141="","",IFERROR(AF141/O141*1000,0))</f>
        <v/>
      </c>
      <c r="AH141" s="11"/>
      <c r="AI141" s="11"/>
      <c r="AJ141" s="11"/>
      <c r="AK141" s="9"/>
      <c r="AL141" s="9"/>
      <c r="AM141" s="9"/>
    </row>
    <row r="142" customFormat="false" ht="15" hidden="false" customHeight="true" outlineLevel="0" collapsed="false">
      <c r="A142" s="6"/>
      <c r="B142" s="7"/>
      <c r="C142" s="8"/>
      <c r="D142" s="8"/>
      <c r="E142" s="8"/>
      <c r="F142" s="9"/>
      <c r="G142" s="8"/>
      <c r="H142" s="10" t="str">
        <f aca="false">IFERROR(INDEX('Operator Master'!$B$5:$B$504,MATCH(G142,'Operator Master'!$A$5:$A$504,0)),"")</f>
        <v/>
      </c>
      <c r="I142" s="9"/>
      <c r="J142" s="9"/>
      <c r="K142" s="8"/>
      <c r="L142" s="9"/>
      <c r="M142" s="9"/>
      <c r="N142" s="11"/>
      <c r="O142" s="11"/>
      <c r="P142" s="12" t="str">
        <f aca="false">IF(OR(N142="",O142=""),"",IFERROR(O142/N142*100,0))</f>
        <v/>
      </c>
      <c r="Q142" s="10" t="n">
        <v>8</v>
      </c>
      <c r="R142" s="12" t="str">
        <f aca="false">IF(J142="","",Q142*J142)</f>
        <v/>
      </c>
      <c r="S142" s="11"/>
      <c r="T142" s="12" t="str">
        <f aca="false">IF(OR(R142="",S142=""),"",IFERROR(S142/R142*100,0))</f>
        <v/>
      </c>
      <c r="U142" s="12" t="str">
        <f aca="false">IF(OR(O142="",L142="",M142="",S142="",M142=0),"",IFERROR(O142/(L142*60*S142/(M142*36))*100,0))</f>
        <v/>
      </c>
      <c r="V142" s="11"/>
      <c r="W142" s="12" t="str">
        <f aca="false">IF(O142="","",IFERROR(V142/O142*100,0))</f>
        <v/>
      </c>
      <c r="X142" s="11"/>
      <c r="Y142" s="11"/>
      <c r="Z142" s="11"/>
      <c r="AA142" s="11"/>
      <c r="AB142" s="11"/>
      <c r="AC142" s="11"/>
      <c r="AD142" s="11"/>
      <c r="AE142" s="11"/>
      <c r="AF142" s="12" t="str">
        <f aca="false">IF(O142="","",SUM(X142:AE142))</f>
        <v/>
      </c>
      <c r="AG142" s="12" t="str">
        <f aca="false">IF(O142="","",IFERROR(AF142/O142*1000,0))</f>
        <v/>
      </c>
      <c r="AH142" s="11"/>
      <c r="AI142" s="11"/>
      <c r="AJ142" s="11"/>
      <c r="AK142" s="9"/>
      <c r="AL142" s="9"/>
      <c r="AM142" s="9"/>
    </row>
    <row r="143" customFormat="false" ht="15" hidden="false" customHeight="true" outlineLevel="0" collapsed="false">
      <c r="A143" s="6"/>
      <c r="B143" s="7"/>
      <c r="C143" s="8"/>
      <c r="D143" s="8"/>
      <c r="E143" s="8"/>
      <c r="F143" s="9"/>
      <c r="G143" s="8"/>
      <c r="H143" s="10" t="str">
        <f aca="false">IFERROR(INDEX('Operator Master'!$B$5:$B$504,MATCH(G143,'Operator Master'!$A$5:$A$504,0)),"")</f>
        <v/>
      </c>
      <c r="I143" s="9"/>
      <c r="J143" s="9"/>
      <c r="K143" s="8"/>
      <c r="L143" s="9"/>
      <c r="M143" s="9"/>
      <c r="N143" s="11"/>
      <c r="O143" s="11"/>
      <c r="P143" s="12" t="str">
        <f aca="false">IF(OR(N143="",O143=""),"",IFERROR(O143/N143*100,0))</f>
        <v/>
      </c>
      <c r="Q143" s="10" t="n">
        <v>8</v>
      </c>
      <c r="R143" s="12" t="str">
        <f aca="false">IF(J143="","",Q143*J143)</f>
        <v/>
      </c>
      <c r="S143" s="11"/>
      <c r="T143" s="12" t="str">
        <f aca="false">IF(OR(R143="",S143=""),"",IFERROR(S143/R143*100,0))</f>
        <v/>
      </c>
      <c r="U143" s="12" t="str">
        <f aca="false">IF(OR(O143="",L143="",M143="",S143="",M143=0),"",IFERROR(O143/(L143*60*S143/(M143*36))*100,0))</f>
        <v/>
      </c>
      <c r="V143" s="11"/>
      <c r="W143" s="12" t="str">
        <f aca="false">IF(O143="","",IFERROR(V143/O143*100,0))</f>
        <v/>
      </c>
      <c r="X143" s="11"/>
      <c r="Y143" s="11"/>
      <c r="Z143" s="11"/>
      <c r="AA143" s="11"/>
      <c r="AB143" s="11"/>
      <c r="AC143" s="11"/>
      <c r="AD143" s="11"/>
      <c r="AE143" s="11"/>
      <c r="AF143" s="12" t="str">
        <f aca="false">IF(O143="","",SUM(X143:AE143))</f>
        <v/>
      </c>
      <c r="AG143" s="12" t="str">
        <f aca="false">IF(O143="","",IFERROR(AF143/O143*1000,0))</f>
        <v/>
      </c>
      <c r="AH143" s="11"/>
      <c r="AI143" s="11"/>
      <c r="AJ143" s="11"/>
      <c r="AK143" s="9"/>
      <c r="AL143" s="9"/>
      <c r="AM143" s="9"/>
    </row>
    <row r="144" customFormat="false" ht="15" hidden="false" customHeight="true" outlineLevel="0" collapsed="false">
      <c r="A144" s="6"/>
      <c r="B144" s="7"/>
      <c r="C144" s="8"/>
      <c r="D144" s="8"/>
      <c r="E144" s="8"/>
      <c r="F144" s="9"/>
      <c r="G144" s="8"/>
      <c r="H144" s="10" t="str">
        <f aca="false">IFERROR(INDEX('Operator Master'!$B$5:$B$504,MATCH(G144,'Operator Master'!$A$5:$A$504,0)),"")</f>
        <v/>
      </c>
      <c r="I144" s="9"/>
      <c r="J144" s="9"/>
      <c r="K144" s="8"/>
      <c r="L144" s="9"/>
      <c r="M144" s="9"/>
      <c r="N144" s="11"/>
      <c r="O144" s="11"/>
      <c r="P144" s="12" t="str">
        <f aca="false">IF(OR(N144="",O144=""),"",IFERROR(O144/N144*100,0))</f>
        <v/>
      </c>
      <c r="Q144" s="10" t="n">
        <v>8</v>
      </c>
      <c r="R144" s="12" t="str">
        <f aca="false">IF(J144="","",Q144*J144)</f>
        <v/>
      </c>
      <c r="S144" s="11"/>
      <c r="T144" s="12" t="str">
        <f aca="false">IF(OR(R144="",S144=""),"",IFERROR(S144/R144*100,0))</f>
        <v/>
      </c>
      <c r="U144" s="12" t="str">
        <f aca="false">IF(OR(O144="",L144="",M144="",S144="",M144=0),"",IFERROR(O144/(L144*60*S144/(M144*36))*100,0))</f>
        <v/>
      </c>
      <c r="V144" s="11"/>
      <c r="W144" s="12" t="str">
        <f aca="false">IF(O144="","",IFERROR(V144/O144*100,0))</f>
        <v/>
      </c>
      <c r="X144" s="11"/>
      <c r="Y144" s="11"/>
      <c r="Z144" s="11"/>
      <c r="AA144" s="11"/>
      <c r="AB144" s="11"/>
      <c r="AC144" s="11"/>
      <c r="AD144" s="11"/>
      <c r="AE144" s="11"/>
      <c r="AF144" s="12" t="str">
        <f aca="false">IF(O144="","",SUM(X144:AE144))</f>
        <v/>
      </c>
      <c r="AG144" s="12" t="str">
        <f aca="false">IF(O144="","",IFERROR(AF144/O144*1000,0))</f>
        <v/>
      </c>
      <c r="AH144" s="11"/>
      <c r="AI144" s="11"/>
      <c r="AJ144" s="11"/>
      <c r="AK144" s="9"/>
      <c r="AL144" s="9"/>
      <c r="AM144" s="9"/>
    </row>
    <row r="145" customFormat="false" ht="15" hidden="false" customHeight="true" outlineLevel="0" collapsed="false">
      <c r="A145" s="6"/>
      <c r="B145" s="7"/>
      <c r="C145" s="8"/>
      <c r="D145" s="8"/>
      <c r="E145" s="8"/>
      <c r="F145" s="9"/>
      <c r="G145" s="8"/>
      <c r="H145" s="10" t="str">
        <f aca="false">IFERROR(INDEX('Operator Master'!$B$5:$B$504,MATCH(G145,'Operator Master'!$A$5:$A$504,0)),"")</f>
        <v/>
      </c>
      <c r="I145" s="9"/>
      <c r="J145" s="9"/>
      <c r="K145" s="8"/>
      <c r="L145" s="9"/>
      <c r="M145" s="9"/>
      <c r="N145" s="11"/>
      <c r="O145" s="11"/>
      <c r="P145" s="12" t="str">
        <f aca="false">IF(OR(N145="",O145=""),"",IFERROR(O145/N145*100,0))</f>
        <v/>
      </c>
      <c r="Q145" s="10" t="n">
        <v>8</v>
      </c>
      <c r="R145" s="12" t="str">
        <f aca="false">IF(J145="","",Q145*J145)</f>
        <v/>
      </c>
      <c r="S145" s="11"/>
      <c r="T145" s="12" t="str">
        <f aca="false">IF(OR(R145="",S145=""),"",IFERROR(S145/R145*100,0))</f>
        <v/>
      </c>
      <c r="U145" s="12" t="str">
        <f aca="false">IF(OR(O145="",L145="",M145="",S145="",M145=0),"",IFERROR(O145/(L145*60*S145/(M145*36))*100,0))</f>
        <v/>
      </c>
      <c r="V145" s="11"/>
      <c r="W145" s="12" t="str">
        <f aca="false">IF(O145="","",IFERROR(V145/O145*100,0))</f>
        <v/>
      </c>
      <c r="X145" s="11"/>
      <c r="Y145" s="11"/>
      <c r="Z145" s="11"/>
      <c r="AA145" s="11"/>
      <c r="AB145" s="11"/>
      <c r="AC145" s="11"/>
      <c r="AD145" s="11"/>
      <c r="AE145" s="11"/>
      <c r="AF145" s="12" t="str">
        <f aca="false">IF(O145="","",SUM(X145:AE145))</f>
        <v/>
      </c>
      <c r="AG145" s="12" t="str">
        <f aca="false">IF(O145="","",IFERROR(AF145/O145*1000,0))</f>
        <v/>
      </c>
      <c r="AH145" s="11"/>
      <c r="AI145" s="11"/>
      <c r="AJ145" s="11"/>
      <c r="AK145" s="9"/>
      <c r="AL145" s="9"/>
      <c r="AM145" s="9"/>
    </row>
    <row r="146" customFormat="false" ht="15" hidden="false" customHeight="true" outlineLevel="0" collapsed="false">
      <c r="A146" s="6"/>
      <c r="B146" s="7"/>
      <c r="C146" s="8"/>
      <c r="D146" s="8"/>
      <c r="E146" s="8"/>
      <c r="F146" s="9"/>
      <c r="G146" s="8"/>
      <c r="H146" s="10" t="str">
        <f aca="false">IFERROR(INDEX('Operator Master'!$B$5:$B$504,MATCH(G146,'Operator Master'!$A$5:$A$504,0)),"")</f>
        <v/>
      </c>
      <c r="I146" s="9"/>
      <c r="J146" s="9"/>
      <c r="K146" s="8"/>
      <c r="L146" s="9"/>
      <c r="M146" s="9"/>
      <c r="N146" s="11"/>
      <c r="O146" s="11"/>
      <c r="P146" s="12" t="str">
        <f aca="false">IF(OR(N146="",O146=""),"",IFERROR(O146/N146*100,0))</f>
        <v/>
      </c>
      <c r="Q146" s="10" t="n">
        <v>8</v>
      </c>
      <c r="R146" s="12" t="str">
        <f aca="false">IF(J146="","",Q146*J146)</f>
        <v/>
      </c>
      <c r="S146" s="11"/>
      <c r="T146" s="12" t="str">
        <f aca="false">IF(OR(R146="",S146=""),"",IFERROR(S146/R146*100,0))</f>
        <v/>
      </c>
      <c r="U146" s="12" t="str">
        <f aca="false">IF(OR(O146="",L146="",M146="",S146="",M146=0),"",IFERROR(O146/(L146*60*S146/(M146*36))*100,0))</f>
        <v/>
      </c>
      <c r="V146" s="11"/>
      <c r="W146" s="12" t="str">
        <f aca="false">IF(O146="","",IFERROR(V146/O146*100,0))</f>
        <v/>
      </c>
      <c r="X146" s="11"/>
      <c r="Y146" s="11"/>
      <c r="Z146" s="11"/>
      <c r="AA146" s="11"/>
      <c r="AB146" s="11"/>
      <c r="AC146" s="11"/>
      <c r="AD146" s="11"/>
      <c r="AE146" s="11"/>
      <c r="AF146" s="12" t="str">
        <f aca="false">IF(O146="","",SUM(X146:AE146))</f>
        <v/>
      </c>
      <c r="AG146" s="12" t="str">
        <f aca="false">IF(O146="","",IFERROR(AF146/O146*1000,0))</f>
        <v/>
      </c>
      <c r="AH146" s="11"/>
      <c r="AI146" s="11"/>
      <c r="AJ146" s="11"/>
      <c r="AK146" s="9"/>
      <c r="AL146" s="9"/>
      <c r="AM146" s="9"/>
    </row>
    <row r="147" customFormat="false" ht="15" hidden="false" customHeight="true" outlineLevel="0" collapsed="false">
      <c r="A147" s="6"/>
      <c r="B147" s="7"/>
      <c r="C147" s="8"/>
      <c r="D147" s="8"/>
      <c r="E147" s="8"/>
      <c r="F147" s="9"/>
      <c r="G147" s="8"/>
      <c r="H147" s="10" t="str">
        <f aca="false">IFERROR(INDEX('Operator Master'!$B$5:$B$504,MATCH(G147,'Operator Master'!$A$5:$A$504,0)),"")</f>
        <v/>
      </c>
      <c r="I147" s="9"/>
      <c r="J147" s="9"/>
      <c r="K147" s="8"/>
      <c r="L147" s="9"/>
      <c r="M147" s="9"/>
      <c r="N147" s="11"/>
      <c r="O147" s="11"/>
      <c r="P147" s="12" t="str">
        <f aca="false">IF(OR(N147="",O147=""),"",IFERROR(O147/N147*100,0))</f>
        <v/>
      </c>
      <c r="Q147" s="10" t="n">
        <v>8</v>
      </c>
      <c r="R147" s="12" t="str">
        <f aca="false">IF(J147="","",Q147*J147)</f>
        <v/>
      </c>
      <c r="S147" s="11"/>
      <c r="T147" s="12" t="str">
        <f aca="false">IF(OR(R147="",S147=""),"",IFERROR(S147/R147*100,0))</f>
        <v/>
      </c>
      <c r="U147" s="12" t="str">
        <f aca="false">IF(OR(O147="",L147="",M147="",S147="",M147=0),"",IFERROR(O147/(L147*60*S147/(M147*36))*100,0))</f>
        <v/>
      </c>
      <c r="V147" s="11"/>
      <c r="W147" s="12" t="str">
        <f aca="false">IF(O147="","",IFERROR(V147/O147*100,0))</f>
        <v/>
      </c>
      <c r="X147" s="11"/>
      <c r="Y147" s="11"/>
      <c r="Z147" s="11"/>
      <c r="AA147" s="11"/>
      <c r="AB147" s="11"/>
      <c r="AC147" s="11"/>
      <c r="AD147" s="11"/>
      <c r="AE147" s="11"/>
      <c r="AF147" s="12" t="str">
        <f aca="false">IF(O147="","",SUM(X147:AE147))</f>
        <v/>
      </c>
      <c r="AG147" s="12" t="str">
        <f aca="false">IF(O147="","",IFERROR(AF147/O147*1000,0))</f>
        <v/>
      </c>
      <c r="AH147" s="11"/>
      <c r="AI147" s="11"/>
      <c r="AJ147" s="11"/>
      <c r="AK147" s="9"/>
      <c r="AL147" s="9"/>
      <c r="AM147" s="9"/>
    </row>
    <row r="148" customFormat="false" ht="15" hidden="false" customHeight="true" outlineLevel="0" collapsed="false">
      <c r="A148" s="6"/>
      <c r="B148" s="7"/>
      <c r="C148" s="8"/>
      <c r="D148" s="8"/>
      <c r="E148" s="8"/>
      <c r="F148" s="9"/>
      <c r="G148" s="8"/>
      <c r="H148" s="10" t="str">
        <f aca="false">IFERROR(INDEX('Operator Master'!$B$5:$B$504,MATCH(G148,'Operator Master'!$A$5:$A$504,0)),"")</f>
        <v/>
      </c>
      <c r="I148" s="9"/>
      <c r="J148" s="9"/>
      <c r="K148" s="8"/>
      <c r="L148" s="9"/>
      <c r="M148" s="9"/>
      <c r="N148" s="11"/>
      <c r="O148" s="11"/>
      <c r="P148" s="12" t="str">
        <f aca="false">IF(OR(N148="",O148=""),"",IFERROR(O148/N148*100,0))</f>
        <v/>
      </c>
      <c r="Q148" s="10" t="n">
        <v>8</v>
      </c>
      <c r="R148" s="12" t="str">
        <f aca="false">IF(J148="","",Q148*J148)</f>
        <v/>
      </c>
      <c r="S148" s="11"/>
      <c r="T148" s="12" t="str">
        <f aca="false">IF(OR(R148="",S148=""),"",IFERROR(S148/R148*100,0))</f>
        <v/>
      </c>
      <c r="U148" s="12" t="str">
        <f aca="false">IF(OR(O148="",L148="",M148="",S148="",M148=0),"",IFERROR(O148/(L148*60*S148/(M148*36))*100,0))</f>
        <v/>
      </c>
      <c r="V148" s="11"/>
      <c r="W148" s="12" t="str">
        <f aca="false">IF(O148="","",IFERROR(V148/O148*100,0))</f>
        <v/>
      </c>
      <c r="X148" s="11"/>
      <c r="Y148" s="11"/>
      <c r="Z148" s="11"/>
      <c r="AA148" s="11"/>
      <c r="AB148" s="11"/>
      <c r="AC148" s="11"/>
      <c r="AD148" s="11"/>
      <c r="AE148" s="11"/>
      <c r="AF148" s="12" t="str">
        <f aca="false">IF(O148="","",SUM(X148:AE148))</f>
        <v/>
      </c>
      <c r="AG148" s="12" t="str">
        <f aca="false">IF(O148="","",IFERROR(AF148/O148*1000,0))</f>
        <v/>
      </c>
      <c r="AH148" s="11"/>
      <c r="AI148" s="11"/>
      <c r="AJ148" s="11"/>
      <c r="AK148" s="9"/>
      <c r="AL148" s="9"/>
      <c r="AM148" s="9"/>
    </row>
    <row r="149" customFormat="false" ht="15" hidden="false" customHeight="true" outlineLevel="0" collapsed="false">
      <c r="A149" s="6"/>
      <c r="B149" s="7"/>
      <c r="C149" s="8"/>
      <c r="D149" s="8"/>
      <c r="E149" s="8"/>
      <c r="F149" s="9"/>
      <c r="G149" s="8"/>
      <c r="H149" s="10" t="str">
        <f aca="false">IFERROR(INDEX('Operator Master'!$B$5:$B$504,MATCH(G149,'Operator Master'!$A$5:$A$504,0)),"")</f>
        <v/>
      </c>
      <c r="I149" s="9"/>
      <c r="J149" s="9"/>
      <c r="K149" s="8"/>
      <c r="L149" s="9"/>
      <c r="M149" s="9"/>
      <c r="N149" s="11"/>
      <c r="O149" s="11"/>
      <c r="P149" s="12" t="str">
        <f aca="false">IF(OR(N149="",O149=""),"",IFERROR(O149/N149*100,0))</f>
        <v/>
      </c>
      <c r="Q149" s="10" t="n">
        <v>8</v>
      </c>
      <c r="R149" s="12" t="str">
        <f aca="false">IF(J149="","",Q149*J149)</f>
        <v/>
      </c>
      <c r="S149" s="11"/>
      <c r="T149" s="12" t="str">
        <f aca="false">IF(OR(R149="",S149=""),"",IFERROR(S149/R149*100,0))</f>
        <v/>
      </c>
      <c r="U149" s="12" t="str">
        <f aca="false">IF(OR(O149="",L149="",M149="",S149="",M149=0),"",IFERROR(O149/(L149*60*S149/(M149*36))*100,0))</f>
        <v/>
      </c>
      <c r="V149" s="11"/>
      <c r="W149" s="12" t="str">
        <f aca="false">IF(O149="","",IFERROR(V149/O149*100,0))</f>
        <v/>
      </c>
      <c r="X149" s="11"/>
      <c r="Y149" s="11"/>
      <c r="Z149" s="11"/>
      <c r="AA149" s="11"/>
      <c r="AB149" s="11"/>
      <c r="AC149" s="11"/>
      <c r="AD149" s="11"/>
      <c r="AE149" s="11"/>
      <c r="AF149" s="12" t="str">
        <f aca="false">IF(O149="","",SUM(X149:AE149))</f>
        <v/>
      </c>
      <c r="AG149" s="12" t="str">
        <f aca="false">IF(O149="","",IFERROR(AF149/O149*1000,0))</f>
        <v/>
      </c>
      <c r="AH149" s="11"/>
      <c r="AI149" s="11"/>
      <c r="AJ149" s="11"/>
      <c r="AK149" s="9"/>
      <c r="AL149" s="9"/>
      <c r="AM149" s="9"/>
    </row>
    <row r="150" customFormat="false" ht="15" hidden="false" customHeight="true" outlineLevel="0" collapsed="false">
      <c r="A150" s="6"/>
      <c r="B150" s="7"/>
      <c r="C150" s="8"/>
      <c r="D150" s="8"/>
      <c r="E150" s="8"/>
      <c r="F150" s="9"/>
      <c r="G150" s="8"/>
      <c r="H150" s="10" t="str">
        <f aca="false">IFERROR(INDEX('Operator Master'!$B$5:$B$504,MATCH(G150,'Operator Master'!$A$5:$A$504,0)),"")</f>
        <v/>
      </c>
      <c r="I150" s="9"/>
      <c r="J150" s="9"/>
      <c r="K150" s="8"/>
      <c r="L150" s="9"/>
      <c r="M150" s="9"/>
      <c r="N150" s="11"/>
      <c r="O150" s="11"/>
      <c r="P150" s="12" t="str">
        <f aca="false">IF(OR(N150="",O150=""),"",IFERROR(O150/N150*100,0))</f>
        <v/>
      </c>
      <c r="Q150" s="10" t="n">
        <v>8</v>
      </c>
      <c r="R150" s="12" t="str">
        <f aca="false">IF(J150="","",Q150*J150)</f>
        <v/>
      </c>
      <c r="S150" s="11"/>
      <c r="T150" s="12" t="str">
        <f aca="false">IF(OR(R150="",S150=""),"",IFERROR(S150/R150*100,0))</f>
        <v/>
      </c>
      <c r="U150" s="12" t="str">
        <f aca="false">IF(OR(O150="",L150="",M150="",S150="",M150=0),"",IFERROR(O150/(L150*60*S150/(M150*36))*100,0))</f>
        <v/>
      </c>
      <c r="V150" s="11"/>
      <c r="W150" s="12" t="str">
        <f aca="false">IF(O150="","",IFERROR(V150/O150*100,0))</f>
        <v/>
      </c>
      <c r="X150" s="11"/>
      <c r="Y150" s="11"/>
      <c r="Z150" s="11"/>
      <c r="AA150" s="11"/>
      <c r="AB150" s="11"/>
      <c r="AC150" s="11"/>
      <c r="AD150" s="11"/>
      <c r="AE150" s="11"/>
      <c r="AF150" s="12" t="str">
        <f aca="false">IF(O150="","",SUM(X150:AE150))</f>
        <v/>
      </c>
      <c r="AG150" s="12" t="str">
        <f aca="false">IF(O150="","",IFERROR(AF150/O150*1000,0))</f>
        <v/>
      </c>
      <c r="AH150" s="11"/>
      <c r="AI150" s="11"/>
      <c r="AJ150" s="11"/>
      <c r="AK150" s="9"/>
      <c r="AL150" s="9"/>
      <c r="AM150" s="9"/>
    </row>
    <row r="151" customFormat="false" ht="15" hidden="false" customHeight="true" outlineLevel="0" collapsed="false">
      <c r="A151" s="6"/>
      <c r="B151" s="7"/>
      <c r="C151" s="8"/>
      <c r="D151" s="8"/>
      <c r="E151" s="8"/>
      <c r="F151" s="9"/>
      <c r="G151" s="8"/>
      <c r="H151" s="10" t="str">
        <f aca="false">IFERROR(INDEX('Operator Master'!$B$5:$B$504,MATCH(G151,'Operator Master'!$A$5:$A$504,0)),"")</f>
        <v/>
      </c>
      <c r="I151" s="9"/>
      <c r="J151" s="9"/>
      <c r="K151" s="8"/>
      <c r="L151" s="9"/>
      <c r="M151" s="9"/>
      <c r="N151" s="11"/>
      <c r="O151" s="11"/>
      <c r="P151" s="12" t="str">
        <f aca="false">IF(OR(N151="",O151=""),"",IFERROR(O151/N151*100,0))</f>
        <v/>
      </c>
      <c r="Q151" s="10" t="n">
        <v>8</v>
      </c>
      <c r="R151" s="12" t="str">
        <f aca="false">IF(J151="","",Q151*J151)</f>
        <v/>
      </c>
      <c r="S151" s="11"/>
      <c r="T151" s="12" t="str">
        <f aca="false">IF(OR(R151="",S151=""),"",IFERROR(S151/R151*100,0))</f>
        <v/>
      </c>
      <c r="U151" s="12" t="str">
        <f aca="false">IF(OR(O151="",L151="",M151="",S151="",M151=0),"",IFERROR(O151/(L151*60*S151/(M151*36))*100,0))</f>
        <v/>
      </c>
      <c r="V151" s="11"/>
      <c r="W151" s="12" t="str">
        <f aca="false">IF(O151="","",IFERROR(V151/O151*100,0))</f>
        <v/>
      </c>
      <c r="X151" s="11"/>
      <c r="Y151" s="11"/>
      <c r="Z151" s="11"/>
      <c r="AA151" s="11"/>
      <c r="AB151" s="11"/>
      <c r="AC151" s="11"/>
      <c r="AD151" s="11"/>
      <c r="AE151" s="11"/>
      <c r="AF151" s="12" t="str">
        <f aca="false">IF(O151="","",SUM(X151:AE151))</f>
        <v/>
      </c>
      <c r="AG151" s="12" t="str">
        <f aca="false">IF(O151="","",IFERROR(AF151/O151*1000,0))</f>
        <v/>
      </c>
      <c r="AH151" s="11"/>
      <c r="AI151" s="11"/>
      <c r="AJ151" s="11"/>
      <c r="AK151" s="9"/>
      <c r="AL151" s="9"/>
      <c r="AM151" s="9"/>
    </row>
    <row r="152" customFormat="false" ht="15" hidden="false" customHeight="true" outlineLevel="0" collapsed="false">
      <c r="A152" s="6"/>
      <c r="B152" s="7"/>
      <c r="C152" s="8"/>
      <c r="D152" s="8"/>
      <c r="E152" s="8"/>
      <c r="F152" s="9"/>
      <c r="G152" s="8"/>
      <c r="H152" s="10" t="str">
        <f aca="false">IFERROR(INDEX('Operator Master'!$B$5:$B$504,MATCH(G152,'Operator Master'!$A$5:$A$504,0)),"")</f>
        <v/>
      </c>
      <c r="I152" s="9"/>
      <c r="J152" s="9"/>
      <c r="K152" s="8"/>
      <c r="L152" s="9"/>
      <c r="M152" s="9"/>
      <c r="N152" s="11"/>
      <c r="O152" s="11"/>
      <c r="P152" s="12" t="str">
        <f aca="false">IF(OR(N152="",O152=""),"",IFERROR(O152/N152*100,0))</f>
        <v/>
      </c>
      <c r="Q152" s="10" t="n">
        <v>8</v>
      </c>
      <c r="R152" s="12" t="str">
        <f aca="false">IF(J152="","",Q152*J152)</f>
        <v/>
      </c>
      <c r="S152" s="11"/>
      <c r="T152" s="12" t="str">
        <f aca="false">IF(OR(R152="",S152=""),"",IFERROR(S152/R152*100,0))</f>
        <v/>
      </c>
      <c r="U152" s="12" t="str">
        <f aca="false">IF(OR(O152="",L152="",M152="",S152="",M152=0),"",IFERROR(O152/(L152*60*S152/(M152*36))*100,0))</f>
        <v/>
      </c>
      <c r="V152" s="11"/>
      <c r="W152" s="12" t="str">
        <f aca="false">IF(O152="","",IFERROR(V152/O152*100,0))</f>
        <v/>
      </c>
      <c r="X152" s="11"/>
      <c r="Y152" s="11"/>
      <c r="Z152" s="11"/>
      <c r="AA152" s="11"/>
      <c r="AB152" s="11"/>
      <c r="AC152" s="11"/>
      <c r="AD152" s="11"/>
      <c r="AE152" s="11"/>
      <c r="AF152" s="12" t="str">
        <f aca="false">IF(O152="","",SUM(X152:AE152))</f>
        <v/>
      </c>
      <c r="AG152" s="12" t="str">
        <f aca="false">IF(O152="","",IFERROR(AF152/O152*1000,0))</f>
        <v/>
      </c>
      <c r="AH152" s="11"/>
      <c r="AI152" s="11"/>
      <c r="AJ152" s="11"/>
      <c r="AK152" s="9"/>
      <c r="AL152" s="9"/>
      <c r="AM152" s="9"/>
    </row>
    <row r="153" customFormat="false" ht="15" hidden="false" customHeight="true" outlineLevel="0" collapsed="false">
      <c r="A153" s="6"/>
      <c r="B153" s="7"/>
      <c r="C153" s="8"/>
      <c r="D153" s="8"/>
      <c r="E153" s="8"/>
      <c r="F153" s="9"/>
      <c r="G153" s="8"/>
      <c r="H153" s="10" t="str">
        <f aca="false">IFERROR(INDEX('Operator Master'!$B$5:$B$504,MATCH(G153,'Operator Master'!$A$5:$A$504,0)),"")</f>
        <v/>
      </c>
      <c r="I153" s="9"/>
      <c r="J153" s="9"/>
      <c r="K153" s="8"/>
      <c r="L153" s="9"/>
      <c r="M153" s="9"/>
      <c r="N153" s="11"/>
      <c r="O153" s="11"/>
      <c r="P153" s="12" t="str">
        <f aca="false">IF(OR(N153="",O153=""),"",IFERROR(O153/N153*100,0))</f>
        <v/>
      </c>
      <c r="Q153" s="10" t="n">
        <v>8</v>
      </c>
      <c r="R153" s="12" t="str">
        <f aca="false">IF(J153="","",Q153*J153)</f>
        <v/>
      </c>
      <c r="S153" s="11"/>
      <c r="T153" s="12" t="str">
        <f aca="false">IF(OR(R153="",S153=""),"",IFERROR(S153/R153*100,0))</f>
        <v/>
      </c>
      <c r="U153" s="12" t="str">
        <f aca="false">IF(OR(O153="",L153="",M153="",S153="",M153=0),"",IFERROR(O153/(L153*60*S153/(M153*36))*100,0))</f>
        <v/>
      </c>
      <c r="V153" s="11"/>
      <c r="W153" s="12" t="str">
        <f aca="false">IF(O153="","",IFERROR(V153/O153*100,0))</f>
        <v/>
      </c>
      <c r="X153" s="11"/>
      <c r="Y153" s="11"/>
      <c r="Z153" s="11"/>
      <c r="AA153" s="11"/>
      <c r="AB153" s="11"/>
      <c r="AC153" s="11"/>
      <c r="AD153" s="11"/>
      <c r="AE153" s="11"/>
      <c r="AF153" s="12" t="str">
        <f aca="false">IF(O153="","",SUM(X153:AE153))</f>
        <v/>
      </c>
      <c r="AG153" s="12" t="str">
        <f aca="false">IF(O153="","",IFERROR(AF153/O153*1000,0))</f>
        <v/>
      </c>
      <c r="AH153" s="11"/>
      <c r="AI153" s="11"/>
      <c r="AJ153" s="11"/>
      <c r="AK153" s="9"/>
      <c r="AL153" s="9"/>
      <c r="AM153" s="9"/>
    </row>
    <row r="154" customFormat="false" ht="15" hidden="false" customHeight="true" outlineLevel="0" collapsed="false">
      <c r="A154" s="6"/>
      <c r="B154" s="7"/>
      <c r="C154" s="8"/>
      <c r="D154" s="8"/>
      <c r="E154" s="8"/>
      <c r="F154" s="9"/>
      <c r="G154" s="8"/>
      <c r="H154" s="10" t="str">
        <f aca="false">IFERROR(INDEX('Operator Master'!$B$5:$B$504,MATCH(G154,'Operator Master'!$A$5:$A$504,0)),"")</f>
        <v/>
      </c>
      <c r="I154" s="9"/>
      <c r="J154" s="9"/>
      <c r="K154" s="8"/>
      <c r="L154" s="9"/>
      <c r="M154" s="9"/>
      <c r="N154" s="11"/>
      <c r="O154" s="11"/>
      <c r="P154" s="12" t="str">
        <f aca="false">IF(OR(N154="",O154=""),"",IFERROR(O154/N154*100,0))</f>
        <v/>
      </c>
      <c r="Q154" s="10" t="n">
        <v>8</v>
      </c>
      <c r="R154" s="12" t="str">
        <f aca="false">IF(J154="","",Q154*J154)</f>
        <v/>
      </c>
      <c r="S154" s="11"/>
      <c r="T154" s="12" t="str">
        <f aca="false">IF(OR(R154="",S154=""),"",IFERROR(S154/R154*100,0))</f>
        <v/>
      </c>
      <c r="U154" s="12" t="str">
        <f aca="false">IF(OR(O154="",L154="",M154="",S154="",M154=0),"",IFERROR(O154/(L154*60*S154/(M154*36))*100,0))</f>
        <v/>
      </c>
      <c r="V154" s="11"/>
      <c r="W154" s="12" t="str">
        <f aca="false">IF(O154="","",IFERROR(V154/O154*100,0))</f>
        <v/>
      </c>
      <c r="X154" s="11"/>
      <c r="Y154" s="11"/>
      <c r="Z154" s="11"/>
      <c r="AA154" s="11"/>
      <c r="AB154" s="11"/>
      <c r="AC154" s="11"/>
      <c r="AD154" s="11"/>
      <c r="AE154" s="11"/>
      <c r="AF154" s="12" t="str">
        <f aca="false">IF(O154="","",SUM(X154:AE154))</f>
        <v/>
      </c>
      <c r="AG154" s="12" t="str">
        <f aca="false">IF(O154="","",IFERROR(AF154/O154*1000,0))</f>
        <v/>
      </c>
      <c r="AH154" s="11"/>
      <c r="AI154" s="11"/>
      <c r="AJ154" s="11"/>
      <c r="AK154" s="9"/>
      <c r="AL154" s="9"/>
      <c r="AM154" s="9"/>
    </row>
    <row r="155" customFormat="false" ht="15" hidden="false" customHeight="true" outlineLevel="0" collapsed="false">
      <c r="A155" s="6"/>
      <c r="B155" s="7"/>
      <c r="C155" s="8"/>
      <c r="D155" s="8"/>
      <c r="E155" s="8"/>
      <c r="F155" s="9"/>
      <c r="G155" s="8"/>
      <c r="H155" s="10" t="str">
        <f aca="false">IFERROR(INDEX('Operator Master'!$B$5:$B$504,MATCH(G155,'Operator Master'!$A$5:$A$504,0)),"")</f>
        <v/>
      </c>
      <c r="I155" s="9"/>
      <c r="J155" s="9"/>
      <c r="K155" s="8"/>
      <c r="L155" s="9"/>
      <c r="M155" s="9"/>
      <c r="N155" s="11"/>
      <c r="O155" s="11"/>
      <c r="P155" s="12" t="str">
        <f aca="false">IF(OR(N155="",O155=""),"",IFERROR(O155/N155*100,0))</f>
        <v/>
      </c>
      <c r="Q155" s="10" t="n">
        <v>8</v>
      </c>
      <c r="R155" s="12" t="str">
        <f aca="false">IF(J155="","",Q155*J155)</f>
        <v/>
      </c>
      <c r="S155" s="11"/>
      <c r="T155" s="12" t="str">
        <f aca="false">IF(OR(R155="",S155=""),"",IFERROR(S155/R155*100,0))</f>
        <v/>
      </c>
      <c r="U155" s="12" t="str">
        <f aca="false">IF(OR(O155="",L155="",M155="",S155="",M155=0),"",IFERROR(O155/(L155*60*S155/(M155*36))*100,0))</f>
        <v/>
      </c>
      <c r="V155" s="11"/>
      <c r="W155" s="12" t="str">
        <f aca="false">IF(O155="","",IFERROR(V155/O155*100,0))</f>
        <v/>
      </c>
      <c r="X155" s="11"/>
      <c r="Y155" s="11"/>
      <c r="Z155" s="11"/>
      <c r="AA155" s="11"/>
      <c r="AB155" s="11"/>
      <c r="AC155" s="11"/>
      <c r="AD155" s="11"/>
      <c r="AE155" s="11"/>
      <c r="AF155" s="12" t="str">
        <f aca="false">IF(O155="","",SUM(X155:AE155))</f>
        <v/>
      </c>
      <c r="AG155" s="12" t="str">
        <f aca="false">IF(O155="","",IFERROR(AF155/O155*1000,0))</f>
        <v/>
      </c>
      <c r="AH155" s="11"/>
      <c r="AI155" s="11"/>
      <c r="AJ155" s="11"/>
      <c r="AK155" s="9"/>
      <c r="AL155" s="9"/>
      <c r="AM155" s="9"/>
    </row>
    <row r="156" customFormat="false" ht="15" hidden="false" customHeight="true" outlineLevel="0" collapsed="false">
      <c r="A156" s="6"/>
      <c r="B156" s="7"/>
      <c r="C156" s="8"/>
      <c r="D156" s="8"/>
      <c r="E156" s="8"/>
      <c r="F156" s="9"/>
      <c r="G156" s="8"/>
      <c r="H156" s="10" t="str">
        <f aca="false">IFERROR(INDEX('Operator Master'!$B$5:$B$504,MATCH(G156,'Operator Master'!$A$5:$A$504,0)),"")</f>
        <v/>
      </c>
      <c r="I156" s="9"/>
      <c r="J156" s="9"/>
      <c r="K156" s="8"/>
      <c r="L156" s="9"/>
      <c r="M156" s="9"/>
      <c r="N156" s="11"/>
      <c r="O156" s="11"/>
      <c r="P156" s="12" t="str">
        <f aca="false">IF(OR(N156="",O156=""),"",IFERROR(O156/N156*100,0))</f>
        <v/>
      </c>
      <c r="Q156" s="10" t="n">
        <v>8</v>
      </c>
      <c r="R156" s="12" t="str">
        <f aca="false">IF(J156="","",Q156*J156)</f>
        <v/>
      </c>
      <c r="S156" s="11"/>
      <c r="T156" s="12" t="str">
        <f aca="false">IF(OR(R156="",S156=""),"",IFERROR(S156/R156*100,0))</f>
        <v/>
      </c>
      <c r="U156" s="12" t="str">
        <f aca="false">IF(OR(O156="",L156="",M156="",S156="",M156=0),"",IFERROR(O156/(L156*60*S156/(M156*36))*100,0))</f>
        <v/>
      </c>
      <c r="V156" s="11"/>
      <c r="W156" s="12" t="str">
        <f aca="false">IF(O156="","",IFERROR(V156/O156*100,0))</f>
        <v/>
      </c>
      <c r="X156" s="11"/>
      <c r="Y156" s="11"/>
      <c r="Z156" s="11"/>
      <c r="AA156" s="11"/>
      <c r="AB156" s="11"/>
      <c r="AC156" s="11"/>
      <c r="AD156" s="11"/>
      <c r="AE156" s="11"/>
      <c r="AF156" s="12" t="str">
        <f aca="false">IF(O156="","",SUM(X156:AE156))</f>
        <v/>
      </c>
      <c r="AG156" s="12" t="str">
        <f aca="false">IF(O156="","",IFERROR(AF156/O156*1000,0))</f>
        <v/>
      </c>
      <c r="AH156" s="11"/>
      <c r="AI156" s="11"/>
      <c r="AJ156" s="11"/>
      <c r="AK156" s="9"/>
      <c r="AL156" s="9"/>
      <c r="AM156" s="9"/>
    </row>
    <row r="157" customFormat="false" ht="15" hidden="false" customHeight="true" outlineLevel="0" collapsed="false">
      <c r="A157" s="6"/>
      <c r="B157" s="7"/>
      <c r="C157" s="8"/>
      <c r="D157" s="8"/>
      <c r="E157" s="8"/>
      <c r="F157" s="9"/>
      <c r="G157" s="8"/>
      <c r="H157" s="10" t="str">
        <f aca="false">IFERROR(INDEX('Operator Master'!$B$5:$B$504,MATCH(G157,'Operator Master'!$A$5:$A$504,0)),"")</f>
        <v/>
      </c>
      <c r="I157" s="9"/>
      <c r="J157" s="9"/>
      <c r="K157" s="8"/>
      <c r="L157" s="9"/>
      <c r="M157" s="9"/>
      <c r="N157" s="11"/>
      <c r="O157" s="11"/>
      <c r="P157" s="12" t="str">
        <f aca="false">IF(OR(N157="",O157=""),"",IFERROR(O157/N157*100,0))</f>
        <v/>
      </c>
      <c r="Q157" s="10" t="n">
        <v>8</v>
      </c>
      <c r="R157" s="12" t="str">
        <f aca="false">IF(J157="","",Q157*J157)</f>
        <v/>
      </c>
      <c r="S157" s="11"/>
      <c r="T157" s="12" t="str">
        <f aca="false">IF(OR(R157="",S157=""),"",IFERROR(S157/R157*100,0))</f>
        <v/>
      </c>
      <c r="U157" s="12" t="str">
        <f aca="false">IF(OR(O157="",L157="",M157="",S157="",M157=0),"",IFERROR(O157/(L157*60*S157/(M157*36))*100,0))</f>
        <v/>
      </c>
      <c r="V157" s="11"/>
      <c r="W157" s="12" t="str">
        <f aca="false">IF(O157="","",IFERROR(V157/O157*100,0))</f>
        <v/>
      </c>
      <c r="X157" s="11"/>
      <c r="Y157" s="11"/>
      <c r="Z157" s="11"/>
      <c r="AA157" s="11"/>
      <c r="AB157" s="11"/>
      <c r="AC157" s="11"/>
      <c r="AD157" s="11"/>
      <c r="AE157" s="11"/>
      <c r="AF157" s="12" t="str">
        <f aca="false">IF(O157="","",SUM(X157:AE157))</f>
        <v/>
      </c>
      <c r="AG157" s="12" t="str">
        <f aca="false">IF(O157="","",IFERROR(AF157/O157*1000,0))</f>
        <v/>
      </c>
      <c r="AH157" s="11"/>
      <c r="AI157" s="11"/>
      <c r="AJ157" s="11"/>
      <c r="AK157" s="9"/>
      <c r="AL157" s="9"/>
      <c r="AM157" s="9"/>
    </row>
    <row r="158" customFormat="false" ht="15" hidden="false" customHeight="true" outlineLevel="0" collapsed="false">
      <c r="A158" s="6"/>
      <c r="B158" s="7"/>
      <c r="C158" s="8"/>
      <c r="D158" s="8"/>
      <c r="E158" s="8"/>
      <c r="F158" s="9"/>
      <c r="G158" s="8"/>
      <c r="H158" s="10" t="str">
        <f aca="false">IFERROR(INDEX('Operator Master'!$B$5:$B$504,MATCH(G158,'Operator Master'!$A$5:$A$504,0)),"")</f>
        <v/>
      </c>
      <c r="I158" s="9"/>
      <c r="J158" s="9"/>
      <c r="K158" s="8"/>
      <c r="L158" s="9"/>
      <c r="M158" s="9"/>
      <c r="N158" s="11"/>
      <c r="O158" s="11"/>
      <c r="P158" s="12" t="str">
        <f aca="false">IF(OR(N158="",O158=""),"",IFERROR(O158/N158*100,0))</f>
        <v/>
      </c>
      <c r="Q158" s="10" t="n">
        <v>8</v>
      </c>
      <c r="R158" s="12" t="str">
        <f aca="false">IF(J158="","",Q158*J158)</f>
        <v/>
      </c>
      <c r="S158" s="11"/>
      <c r="T158" s="12" t="str">
        <f aca="false">IF(OR(R158="",S158=""),"",IFERROR(S158/R158*100,0))</f>
        <v/>
      </c>
      <c r="U158" s="12" t="str">
        <f aca="false">IF(OR(O158="",L158="",M158="",S158="",M158=0),"",IFERROR(O158/(L158*60*S158/(M158*36))*100,0))</f>
        <v/>
      </c>
      <c r="V158" s="11"/>
      <c r="W158" s="12" t="str">
        <f aca="false">IF(O158="","",IFERROR(V158/O158*100,0))</f>
        <v/>
      </c>
      <c r="X158" s="11"/>
      <c r="Y158" s="11"/>
      <c r="Z158" s="11"/>
      <c r="AA158" s="11"/>
      <c r="AB158" s="11"/>
      <c r="AC158" s="11"/>
      <c r="AD158" s="11"/>
      <c r="AE158" s="11"/>
      <c r="AF158" s="12" t="str">
        <f aca="false">IF(O158="","",SUM(X158:AE158))</f>
        <v/>
      </c>
      <c r="AG158" s="12" t="str">
        <f aca="false">IF(O158="","",IFERROR(AF158/O158*1000,0))</f>
        <v/>
      </c>
      <c r="AH158" s="11"/>
      <c r="AI158" s="11"/>
      <c r="AJ158" s="11"/>
      <c r="AK158" s="9"/>
      <c r="AL158" s="9"/>
      <c r="AM158" s="9"/>
    </row>
    <row r="159" customFormat="false" ht="15" hidden="false" customHeight="true" outlineLevel="0" collapsed="false">
      <c r="A159" s="6"/>
      <c r="B159" s="7"/>
      <c r="C159" s="8"/>
      <c r="D159" s="8"/>
      <c r="E159" s="8"/>
      <c r="F159" s="9"/>
      <c r="G159" s="8"/>
      <c r="H159" s="10" t="str">
        <f aca="false">IFERROR(INDEX('Operator Master'!$B$5:$B$504,MATCH(G159,'Operator Master'!$A$5:$A$504,0)),"")</f>
        <v/>
      </c>
      <c r="I159" s="9"/>
      <c r="J159" s="9"/>
      <c r="K159" s="8"/>
      <c r="L159" s="9"/>
      <c r="M159" s="9"/>
      <c r="N159" s="11"/>
      <c r="O159" s="11"/>
      <c r="P159" s="12" t="str">
        <f aca="false">IF(OR(N159="",O159=""),"",IFERROR(O159/N159*100,0))</f>
        <v/>
      </c>
      <c r="Q159" s="10" t="n">
        <v>8</v>
      </c>
      <c r="R159" s="12" t="str">
        <f aca="false">IF(J159="","",Q159*J159)</f>
        <v/>
      </c>
      <c r="S159" s="11"/>
      <c r="T159" s="12" t="str">
        <f aca="false">IF(OR(R159="",S159=""),"",IFERROR(S159/R159*100,0))</f>
        <v/>
      </c>
      <c r="U159" s="12" t="str">
        <f aca="false">IF(OR(O159="",L159="",M159="",S159="",M159=0),"",IFERROR(O159/(L159*60*S159/(M159*36))*100,0))</f>
        <v/>
      </c>
      <c r="V159" s="11"/>
      <c r="W159" s="12" t="str">
        <f aca="false">IF(O159="","",IFERROR(V159/O159*100,0))</f>
        <v/>
      </c>
      <c r="X159" s="11"/>
      <c r="Y159" s="11"/>
      <c r="Z159" s="11"/>
      <c r="AA159" s="11"/>
      <c r="AB159" s="11"/>
      <c r="AC159" s="11"/>
      <c r="AD159" s="11"/>
      <c r="AE159" s="11"/>
      <c r="AF159" s="12" t="str">
        <f aca="false">IF(O159="","",SUM(X159:AE159))</f>
        <v/>
      </c>
      <c r="AG159" s="12" t="str">
        <f aca="false">IF(O159="","",IFERROR(AF159/O159*1000,0))</f>
        <v/>
      </c>
      <c r="AH159" s="11"/>
      <c r="AI159" s="11"/>
      <c r="AJ159" s="11"/>
      <c r="AK159" s="9"/>
      <c r="AL159" s="9"/>
      <c r="AM159" s="9"/>
    </row>
    <row r="160" customFormat="false" ht="15" hidden="false" customHeight="true" outlineLevel="0" collapsed="false">
      <c r="A160" s="6"/>
      <c r="B160" s="7"/>
      <c r="C160" s="8"/>
      <c r="D160" s="8"/>
      <c r="E160" s="8"/>
      <c r="F160" s="9"/>
      <c r="G160" s="8"/>
      <c r="H160" s="10" t="str">
        <f aca="false">IFERROR(INDEX('Operator Master'!$B$5:$B$504,MATCH(G160,'Operator Master'!$A$5:$A$504,0)),"")</f>
        <v/>
      </c>
      <c r="I160" s="9"/>
      <c r="J160" s="9"/>
      <c r="K160" s="8"/>
      <c r="L160" s="9"/>
      <c r="M160" s="9"/>
      <c r="N160" s="11"/>
      <c r="O160" s="11"/>
      <c r="P160" s="12" t="str">
        <f aca="false">IF(OR(N160="",O160=""),"",IFERROR(O160/N160*100,0))</f>
        <v/>
      </c>
      <c r="Q160" s="10" t="n">
        <v>8</v>
      </c>
      <c r="R160" s="12" t="str">
        <f aca="false">IF(J160="","",Q160*J160)</f>
        <v/>
      </c>
      <c r="S160" s="11"/>
      <c r="T160" s="12" t="str">
        <f aca="false">IF(OR(R160="",S160=""),"",IFERROR(S160/R160*100,0))</f>
        <v/>
      </c>
      <c r="U160" s="12" t="str">
        <f aca="false">IF(OR(O160="",L160="",M160="",S160="",M160=0),"",IFERROR(O160/(L160*60*S160/(M160*36))*100,0))</f>
        <v/>
      </c>
      <c r="V160" s="11"/>
      <c r="W160" s="12" t="str">
        <f aca="false">IF(O160="","",IFERROR(V160/O160*100,0))</f>
        <v/>
      </c>
      <c r="X160" s="11"/>
      <c r="Y160" s="11"/>
      <c r="Z160" s="11"/>
      <c r="AA160" s="11"/>
      <c r="AB160" s="11"/>
      <c r="AC160" s="11"/>
      <c r="AD160" s="11"/>
      <c r="AE160" s="11"/>
      <c r="AF160" s="12" t="str">
        <f aca="false">IF(O160="","",SUM(X160:AE160))</f>
        <v/>
      </c>
      <c r="AG160" s="12" t="str">
        <f aca="false">IF(O160="","",IFERROR(AF160/O160*1000,0))</f>
        <v/>
      </c>
      <c r="AH160" s="11"/>
      <c r="AI160" s="11"/>
      <c r="AJ160" s="11"/>
      <c r="AK160" s="9"/>
      <c r="AL160" s="9"/>
      <c r="AM160" s="9"/>
    </row>
    <row r="161" customFormat="false" ht="15" hidden="false" customHeight="true" outlineLevel="0" collapsed="false">
      <c r="A161" s="6"/>
      <c r="B161" s="7"/>
      <c r="C161" s="8"/>
      <c r="D161" s="8"/>
      <c r="E161" s="8"/>
      <c r="F161" s="9"/>
      <c r="G161" s="8"/>
      <c r="H161" s="10" t="str">
        <f aca="false">IFERROR(INDEX('Operator Master'!$B$5:$B$504,MATCH(G161,'Operator Master'!$A$5:$A$504,0)),"")</f>
        <v/>
      </c>
      <c r="I161" s="9"/>
      <c r="J161" s="9"/>
      <c r="K161" s="8"/>
      <c r="L161" s="9"/>
      <c r="M161" s="9"/>
      <c r="N161" s="11"/>
      <c r="O161" s="11"/>
      <c r="P161" s="12" t="str">
        <f aca="false">IF(OR(N161="",O161=""),"",IFERROR(O161/N161*100,0))</f>
        <v/>
      </c>
      <c r="Q161" s="10" t="n">
        <v>8</v>
      </c>
      <c r="R161" s="12" t="str">
        <f aca="false">IF(J161="","",Q161*J161)</f>
        <v/>
      </c>
      <c r="S161" s="11"/>
      <c r="T161" s="12" t="str">
        <f aca="false">IF(OR(R161="",S161=""),"",IFERROR(S161/R161*100,0))</f>
        <v/>
      </c>
      <c r="U161" s="12" t="str">
        <f aca="false">IF(OR(O161="",L161="",M161="",S161="",M161=0),"",IFERROR(O161/(L161*60*S161/(M161*36))*100,0))</f>
        <v/>
      </c>
      <c r="V161" s="11"/>
      <c r="W161" s="12" t="str">
        <f aca="false">IF(O161="","",IFERROR(V161/O161*100,0))</f>
        <v/>
      </c>
      <c r="X161" s="11"/>
      <c r="Y161" s="11"/>
      <c r="Z161" s="11"/>
      <c r="AA161" s="11"/>
      <c r="AB161" s="11"/>
      <c r="AC161" s="11"/>
      <c r="AD161" s="11"/>
      <c r="AE161" s="11"/>
      <c r="AF161" s="12" t="str">
        <f aca="false">IF(O161="","",SUM(X161:AE161))</f>
        <v/>
      </c>
      <c r="AG161" s="12" t="str">
        <f aca="false">IF(O161="","",IFERROR(AF161/O161*1000,0))</f>
        <v/>
      </c>
      <c r="AH161" s="11"/>
      <c r="AI161" s="11"/>
      <c r="AJ161" s="11"/>
      <c r="AK161" s="9"/>
      <c r="AL161" s="9"/>
      <c r="AM161" s="9"/>
    </row>
    <row r="162" customFormat="false" ht="15" hidden="false" customHeight="true" outlineLevel="0" collapsed="false">
      <c r="A162" s="6"/>
      <c r="B162" s="7"/>
      <c r="C162" s="8"/>
      <c r="D162" s="8"/>
      <c r="E162" s="8"/>
      <c r="F162" s="9"/>
      <c r="G162" s="8"/>
      <c r="H162" s="10" t="str">
        <f aca="false">IFERROR(INDEX('Operator Master'!$B$5:$B$504,MATCH(G162,'Operator Master'!$A$5:$A$504,0)),"")</f>
        <v/>
      </c>
      <c r="I162" s="9"/>
      <c r="J162" s="9"/>
      <c r="K162" s="8"/>
      <c r="L162" s="9"/>
      <c r="M162" s="9"/>
      <c r="N162" s="11"/>
      <c r="O162" s="11"/>
      <c r="P162" s="12" t="str">
        <f aca="false">IF(OR(N162="",O162=""),"",IFERROR(O162/N162*100,0))</f>
        <v/>
      </c>
      <c r="Q162" s="10" t="n">
        <v>8</v>
      </c>
      <c r="R162" s="12" t="str">
        <f aca="false">IF(J162="","",Q162*J162)</f>
        <v/>
      </c>
      <c r="S162" s="11"/>
      <c r="T162" s="12" t="str">
        <f aca="false">IF(OR(R162="",S162=""),"",IFERROR(S162/R162*100,0))</f>
        <v/>
      </c>
      <c r="U162" s="12" t="str">
        <f aca="false">IF(OR(O162="",L162="",M162="",S162="",M162=0),"",IFERROR(O162/(L162*60*S162/(M162*36))*100,0))</f>
        <v/>
      </c>
      <c r="V162" s="11"/>
      <c r="W162" s="12" t="str">
        <f aca="false">IF(O162="","",IFERROR(V162/O162*100,0))</f>
        <v/>
      </c>
      <c r="X162" s="11"/>
      <c r="Y162" s="11"/>
      <c r="Z162" s="11"/>
      <c r="AA162" s="11"/>
      <c r="AB162" s="11"/>
      <c r="AC162" s="11"/>
      <c r="AD162" s="11"/>
      <c r="AE162" s="11"/>
      <c r="AF162" s="12" t="str">
        <f aca="false">IF(O162="","",SUM(X162:AE162))</f>
        <v/>
      </c>
      <c r="AG162" s="12" t="str">
        <f aca="false">IF(O162="","",IFERROR(AF162/O162*1000,0))</f>
        <v/>
      </c>
      <c r="AH162" s="11"/>
      <c r="AI162" s="11"/>
      <c r="AJ162" s="11"/>
      <c r="AK162" s="9"/>
      <c r="AL162" s="9"/>
      <c r="AM162" s="9"/>
    </row>
    <row r="163" customFormat="false" ht="15" hidden="false" customHeight="true" outlineLevel="0" collapsed="false">
      <c r="A163" s="6"/>
      <c r="B163" s="7"/>
      <c r="C163" s="8"/>
      <c r="D163" s="8"/>
      <c r="E163" s="8"/>
      <c r="F163" s="9"/>
      <c r="G163" s="8"/>
      <c r="H163" s="10" t="str">
        <f aca="false">IFERROR(INDEX('Operator Master'!$B$5:$B$504,MATCH(G163,'Operator Master'!$A$5:$A$504,0)),"")</f>
        <v/>
      </c>
      <c r="I163" s="9"/>
      <c r="J163" s="9"/>
      <c r="K163" s="8"/>
      <c r="L163" s="9"/>
      <c r="M163" s="9"/>
      <c r="N163" s="11"/>
      <c r="O163" s="11"/>
      <c r="P163" s="12" t="str">
        <f aca="false">IF(OR(N163="",O163=""),"",IFERROR(O163/N163*100,0))</f>
        <v/>
      </c>
      <c r="Q163" s="10" t="n">
        <v>8</v>
      </c>
      <c r="R163" s="12" t="str">
        <f aca="false">IF(J163="","",Q163*J163)</f>
        <v/>
      </c>
      <c r="S163" s="11"/>
      <c r="T163" s="12" t="str">
        <f aca="false">IF(OR(R163="",S163=""),"",IFERROR(S163/R163*100,0))</f>
        <v/>
      </c>
      <c r="U163" s="12" t="str">
        <f aca="false">IF(OR(O163="",L163="",M163="",S163="",M163=0),"",IFERROR(O163/(L163*60*S163/(M163*36))*100,0))</f>
        <v/>
      </c>
      <c r="V163" s="11"/>
      <c r="W163" s="12" t="str">
        <f aca="false">IF(O163="","",IFERROR(V163/O163*100,0))</f>
        <v/>
      </c>
      <c r="X163" s="11"/>
      <c r="Y163" s="11"/>
      <c r="Z163" s="11"/>
      <c r="AA163" s="11"/>
      <c r="AB163" s="11"/>
      <c r="AC163" s="11"/>
      <c r="AD163" s="11"/>
      <c r="AE163" s="11"/>
      <c r="AF163" s="12" t="str">
        <f aca="false">IF(O163="","",SUM(X163:AE163))</f>
        <v/>
      </c>
      <c r="AG163" s="12" t="str">
        <f aca="false">IF(O163="","",IFERROR(AF163/O163*1000,0))</f>
        <v/>
      </c>
      <c r="AH163" s="11"/>
      <c r="AI163" s="11"/>
      <c r="AJ163" s="11"/>
      <c r="AK163" s="9"/>
      <c r="AL163" s="9"/>
      <c r="AM163" s="9"/>
    </row>
    <row r="164" customFormat="false" ht="15" hidden="false" customHeight="true" outlineLevel="0" collapsed="false">
      <c r="A164" s="6"/>
      <c r="B164" s="7"/>
      <c r="C164" s="8"/>
      <c r="D164" s="8"/>
      <c r="E164" s="8"/>
      <c r="F164" s="9"/>
      <c r="G164" s="8"/>
      <c r="H164" s="10" t="str">
        <f aca="false">IFERROR(INDEX('Operator Master'!$B$5:$B$504,MATCH(G164,'Operator Master'!$A$5:$A$504,0)),"")</f>
        <v/>
      </c>
      <c r="I164" s="9"/>
      <c r="J164" s="9"/>
      <c r="K164" s="8"/>
      <c r="L164" s="9"/>
      <c r="M164" s="9"/>
      <c r="N164" s="11"/>
      <c r="O164" s="11"/>
      <c r="P164" s="12" t="str">
        <f aca="false">IF(OR(N164="",O164=""),"",IFERROR(O164/N164*100,0))</f>
        <v/>
      </c>
      <c r="Q164" s="10" t="n">
        <v>8</v>
      </c>
      <c r="R164" s="12" t="str">
        <f aca="false">IF(J164="","",Q164*J164)</f>
        <v/>
      </c>
      <c r="S164" s="11"/>
      <c r="T164" s="12" t="str">
        <f aca="false">IF(OR(R164="",S164=""),"",IFERROR(S164/R164*100,0))</f>
        <v/>
      </c>
      <c r="U164" s="12" t="str">
        <f aca="false">IF(OR(O164="",L164="",M164="",S164="",M164=0),"",IFERROR(O164/(L164*60*S164/(M164*36))*100,0))</f>
        <v/>
      </c>
      <c r="V164" s="11"/>
      <c r="W164" s="12" t="str">
        <f aca="false">IF(O164="","",IFERROR(V164/O164*100,0))</f>
        <v/>
      </c>
      <c r="X164" s="11"/>
      <c r="Y164" s="11"/>
      <c r="Z164" s="11"/>
      <c r="AA164" s="11"/>
      <c r="AB164" s="11"/>
      <c r="AC164" s="11"/>
      <c r="AD164" s="11"/>
      <c r="AE164" s="11"/>
      <c r="AF164" s="12" t="str">
        <f aca="false">IF(O164="","",SUM(X164:AE164))</f>
        <v/>
      </c>
      <c r="AG164" s="12" t="str">
        <f aca="false">IF(O164="","",IFERROR(AF164/O164*1000,0))</f>
        <v/>
      </c>
      <c r="AH164" s="11"/>
      <c r="AI164" s="11"/>
      <c r="AJ164" s="11"/>
      <c r="AK164" s="9"/>
      <c r="AL164" s="9"/>
      <c r="AM164" s="9"/>
    </row>
    <row r="165" customFormat="false" ht="15" hidden="false" customHeight="true" outlineLevel="0" collapsed="false">
      <c r="A165" s="6"/>
      <c r="B165" s="7"/>
      <c r="C165" s="8"/>
      <c r="D165" s="8"/>
      <c r="E165" s="8"/>
      <c r="F165" s="9"/>
      <c r="G165" s="8"/>
      <c r="H165" s="10" t="str">
        <f aca="false">IFERROR(INDEX('Operator Master'!$B$5:$B$504,MATCH(G165,'Operator Master'!$A$5:$A$504,0)),"")</f>
        <v/>
      </c>
      <c r="I165" s="9"/>
      <c r="J165" s="9"/>
      <c r="K165" s="8"/>
      <c r="L165" s="9"/>
      <c r="M165" s="9"/>
      <c r="N165" s="11"/>
      <c r="O165" s="11"/>
      <c r="P165" s="12" t="str">
        <f aca="false">IF(OR(N165="",O165=""),"",IFERROR(O165/N165*100,0))</f>
        <v/>
      </c>
      <c r="Q165" s="10" t="n">
        <v>8</v>
      </c>
      <c r="R165" s="12" t="str">
        <f aca="false">IF(J165="","",Q165*J165)</f>
        <v/>
      </c>
      <c r="S165" s="11"/>
      <c r="T165" s="12" t="str">
        <f aca="false">IF(OR(R165="",S165=""),"",IFERROR(S165/R165*100,0))</f>
        <v/>
      </c>
      <c r="U165" s="12" t="str">
        <f aca="false">IF(OR(O165="",L165="",M165="",S165="",M165=0),"",IFERROR(O165/(L165*60*S165/(M165*36))*100,0))</f>
        <v/>
      </c>
      <c r="V165" s="11"/>
      <c r="W165" s="12" t="str">
        <f aca="false">IF(O165="","",IFERROR(V165/O165*100,0))</f>
        <v/>
      </c>
      <c r="X165" s="11"/>
      <c r="Y165" s="11"/>
      <c r="Z165" s="11"/>
      <c r="AA165" s="11"/>
      <c r="AB165" s="11"/>
      <c r="AC165" s="11"/>
      <c r="AD165" s="11"/>
      <c r="AE165" s="11"/>
      <c r="AF165" s="12" t="str">
        <f aca="false">IF(O165="","",SUM(X165:AE165))</f>
        <v/>
      </c>
      <c r="AG165" s="12" t="str">
        <f aca="false">IF(O165="","",IFERROR(AF165/O165*1000,0))</f>
        <v/>
      </c>
      <c r="AH165" s="11"/>
      <c r="AI165" s="11"/>
      <c r="AJ165" s="11"/>
      <c r="AK165" s="9"/>
      <c r="AL165" s="9"/>
      <c r="AM165" s="9"/>
    </row>
    <row r="166" customFormat="false" ht="15" hidden="false" customHeight="true" outlineLevel="0" collapsed="false">
      <c r="A166" s="6"/>
      <c r="B166" s="7"/>
      <c r="C166" s="8"/>
      <c r="D166" s="8"/>
      <c r="E166" s="8"/>
      <c r="F166" s="9"/>
      <c r="G166" s="8"/>
      <c r="H166" s="10" t="str">
        <f aca="false">IFERROR(INDEX('Operator Master'!$B$5:$B$504,MATCH(G166,'Operator Master'!$A$5:$A$504,0)),"")</f>
        <v/>
      </c>
      <c r="I166" s="9"/>
      <c r="J166" s="9"/>
      <c r="K166" s="8"/>
      <c r="L166" s="9"/>
      <c r="M166" s="9"/>
      <c r="N166" s="11"/>
      <c r="O166" s="11"/>
      <c r="P166" s="12" t="str">
        <f aca="false">IF(OR(N166="",O166=""),"",IFERROR(O166/N166*100,0))</f>
        <v/>
      </c>
      <c r="Q166" s="10" t="n">
        <v>8</v>
      </c>
      <c r="R166" s="12" t="str">
        <f aca="false">IF(J166="","",Q166*J166)</f>
        <v/>
      </c>
      <c r="S166" s="11"/>
      <c r="T166" s="12" t="str">
        <f aca="false">IF(OR(R166="",S166=""),"",IFERROR(S166/R166*100,0))</f>
        <v/>
      </c>
      <c r="U166" s="12" t="str">
        <f aca="false">IF(OR(O166="",L166="",M166="",S166="",M166=0),"",IFERROR(O166/(L166*60*S166/(M166*36))*100,0))</f>
        <v/>
      </c>
      <c r="V166" s="11"/>
      <c r="W166" s="12" t="str">
        <f aca="false">IF(O166="","",IFERROR(V166/O166*100,0))</f>
        <v/>
      </c>
      <c r="X166" s="11"/>
      <c r="Y166" s="11"/>
      <c r="Z166" s="11"/>
      <c r="AA166" s="11"/>
      <c r="AB166" s="11"/>
      <c r="AC166" s="11"/>
      <c r="AD166" s="11"/>
      <c r="AE166" s="11"/>
      <c r="AF166" s="12" t="str">
        <f aca="false">IF(O166="","",SUM(X166:AE166))</f>
        <v/>
      </c>
      <c r="AG166" s="12" t="str">
        <f aca="false">IF(O166="","",IFERROR(AF166/O166*1000,0))</f>
        <v/>
      </c>
      <c r="AH166" s="11"/>
      <c r="AI166" s="11"/>
      <c r="AJ166" s="11"/>
      <c r="AK166" s="9"/>
      <c r="AL166" s="9"/>
      <c r="AM166" s="9"/>
    </row>
    <row r="167" customFormat="false" ht="15" hidden="false" customHeight="true" outlineLevel="0" collapsed="false">
      <c r="A167" s="6"/>
      <c r="B167" s="7"/>
      <c r="C167" s="8"/>
      <c r="D167" s="8"/>
      <c r="E167" s="8"/>
      <c r="F167" s="9"/>
      <c r="G167" s="8"/>
      <c r="H167" s="10" t="str">
        <f aca="false">IFERROR(INDEX('Operator Master'!$B$5:$B$504,MATCH(G167,'Operator Master'!$A$5:$A$504,0)),"")</f>
        <v/>
      </c>
      <c r="I167" s="9"/>
      <c r="J167" s="9"/>
      <c r="K167" s="8"/>
      <c r="L167" s="9"/>
      <c r="M167" s="9"/>
      <c r="N167" s="11"/>
      <c r="O167" s="11"/>
      <c r="P167" s="12" t="str">
        <f aca="false">IF(OR(N167="",O167=""),"",IFERROR(O167/N167*100,0))</f>
        <v/>
      </c>
      <c r="Q167" s="10" t="n">
        <v>8</v>
      </c>
      <c r="R167" s="12" t="str">
        <f aca="false">IF(J167="","",Q167*J167)</f>
        <v/>
      </c>
      <c r="S167" s="11"/>
      <c r="T167" s="12" t="str">
        <f aca="false">IF(OR(R167="",S167=""),"",IFERROR(S167/R167*100,0))</f>
        <v/>
      </c>
      <c r="U167" s="12" t="str">
        <f aca="false">IF(OR(O167="",L167="",M167="",S167="",M167=0),"",IFERROR(O167/(L167*60*S167/(M167*36))*100,0))</f>
        <v/>
      </c>
      <c r="V167" s="11"/>
      <c r="W167" s="12" t="str">
        <f aca="false">IF(O167="","",IFERROR(V167/O167*100,0))</f>
        <v/>
      </c>
      <c r="X167" s="11"/>
      <c r="Y167" s="11"/>
      <c r="Z167" s="11"/>
      <c r="AA167" s="11"/>
      <c r="AB167" s="11"/>
      <c r="AC167" s="11"/>
      <c r="AD167" s="11"/>
      <c r="AE167" s="11"/>
      <c r="AF167" s="12" t="str">
        <f aca="false">IF(O167="","",SUM(X167:AE167))</f>
        <v/>
      </c>
      <c r="AG167" s="12" t="str">
        <f aca="false">IF(O167="","",IFERROR(AF167/O167*1000,0))</f>
        <v/>
      </c>
      <c r="AH167" s="11"/>
      <c r="AI167" s="11"/>
      <c r="AJ167" s="11"/>
      <c r="AK167" s="9"/>
      <c r="AL167" s="9"/>
      <c r="AM167" s="9"/>
    </row>
    <row r="168" customFormat="false" ht="15" hidden="false" customHeight="true" outlineLevel="0" collapsed="false">
      <c r="A168" s="6"/>
      <c r="B168" s="7"/>
      <c r="C168" s="8"/>
      <c r="D168" s="8"/>
      <c r="E168" s="8"/>
      <c r="F168" s="9"/>
      <c r="G168" s="8"/>
      <c r="H168" s="10" t="str">
        <f aca="false">IFERROR(INDEX('Operator Master'!$B$5:$B$504,MATCH(G168,'Operator Master'!$A$5:$A$504,0)),"")</f>
        <v/>
      </c>
      <c r="I168" s="9"/>
      <c r="J168" s="9"/>
      <c r="K168" s="8"/>
      <c r="L168" s="9"/>
      <c r="M168" s="9"/>
      <c r="N168" s="11"/>
      <c r="O168" s="11"/>
      <c r="P168" s="12" t="str">
        <f aca="false">IF(OR(N168="",O168=""),"",IFERROR(O168/N168*100,0))</f>
        <v/>
      </c>
      <c r="Q168" s="10" t="n">
        <v>8</v>
      </c>
      <c r="R168" s="12" t="str">
        <f aca="false">IF(J168="","",Q168*J168)</f>
        <v/>
      </c>
      <c r="S168" s="11"/>
      <c r="T168" s="12" t="str">
        <f aca="false">IF(OR(R168="",S168=""),"",IFERROR(S168/R168*100,0))</f>
        <v/>
      </c>
      <c r="U168" s="12" t="str">
        <f aca="false">IF(OR(O168="",L168="",M168="",S168="",M168=0),"",IFERROR(O168/(L168*60*S168/(M168*36))*100,0))</f>
        <v/>
      </c>
      <c r="V168" s="11"/>
      <c r="W168" s="12" t="str">
        <f aca="false">IF(O168="","",IFERROR(V168/O168*100,0))</f>
        <v/>
      </c>
      <c r="X168" s="11"/>
      <c r="Y168" s="11"/>
      <c r="Z168" s="11"/>
      <c r="AA168" s="11"/>
      <c r="AB168" s="11"/>
      <c r="AC168" s="11"/>
      <c r="AD168" s="11"/>
      <c r="AE168" s="11"/>
      <c r="AF168" s="12" t="str">
        <f aca="false">IF(O168="","",SUM(X168:AE168))</f>
        <v/>
      </c>
      <c r="AG168" s="12" t="str">
        <f aca="false">IF(O168="","",IFERROR(AF168/O168*1000,0))</f>
        <v/>
      </c>
      <c r="AH168" s="11"/>
      <c r="AI168" s="11"/>
      <c r="AJ168" s="11"/>
      <c r="AK168" s="9"/>
      <c r="AL168" s="9"/>
      <c r="AM168" s="9"/>
    </row>
    <row r="169" customFormat="false" ht="15" hidden="false" customHeight="true" outlineLevel="0" collapsed="false">
      <c r="A169" s="6"/>
      <c r="B169" s="7"/>
      <c r="C169" s="8"/>
      <c r="D169" s="8"/>
      <c r="E169" s="8"/>
      <c r="F169" s="9"/>
      <c r="G169" s="8"/>
      <c r="H169" s="10" t="str">
        <f aca="false">IFERROR(INDEX('Operator Master'!$B$5:$B$504,MATCH(G169,'Operator Master'!$A$5:$A$504,0)),"")</f>
        <v/>
      </c>
      <c r="I169" s="9"/>
      <c r="J169" s="9"/>
      <c r="K169" s="8"/>
      <c r="L169" s="9"/>
      <c r="M169" s="9"/>
      <c r="N169" s="11"/>
      <c r="O169" s="11"/>
      <c r="P169" s="12" t="str">
        <f aca="false">IF(OR(N169="",O169=""),"",IFERROR(O169/N169*100,0))</f>
        <v/>
      </c>
      <c r="Q169" s="10" t="n">
        <v>8</v>
      </c>
      <c r="R169" s="12" t="str">
        <f aca="false">IF(J169="","",Q169*J169)</f>
        <v/>
      </c>
      <c r="S169" s="11"/>
      <c r="T169" s="12" t="str">
        <f aca="false">IF(OR(R169="",S169=""),"",IFERROR(S169/R169*100,0))</f>
        <v/>
      </c>
      <c r="U169" s="12" t="str">
        <f aca="false">IF(OR(O169="",L169="",M169="",S169="",M169=0),"",IFERROR(O169/(L169*60*S169/(M169*36))*100,0))</f>
        <v/>
      </c>
      <c r="V169" s="11"/>
      <c r="W169" s="12" t="str">
        <f aca="false">IF(O169="","",IFERROR(V169/O169*100,0))</f>
        <v/>
      </c>
      <c r="X169" s="11"/>
      <c r="Y169" s="11"/>
      <c r="Z169" s="11"/>
      <c r="AA169" s="11"/>
      <c r="AB169" s="11"/>
      <c r="AC169" s="11"/>
      <c r="AD169" s="11"/>
      <c r="AE169" s="11"/>
      <c r="AF169" s="12" t="str">
        <f aca="false">IF(O169="","",SUM(X169:AE169))</f>
        <v/>
      </c>
      <c r="AG169" s="12" t="str">
        <f aca="false">IF(O169="","",IFERROR(AF169/O169*1000,0))</f>
        <v/>
      </c>
      <c r="AH169" s="11"/>
      <c r="AI169" s="11"/>
      <c r="AJ169" s="11"/>
      <c r="AK169" s="9"/>
      <c r="AL169" s="9"/>
      <c r="AM169" s="9"/>
    </row>
    <row r="170" customFormat="false" ht="15" hidden="false" customHeight="true" outlineLevel="0" collapsed="false">
      <c r="A170" s="6"/>
      <c r="B170" s="7"/>
      <c r="C170" s="8"/>
      <c r="D170" s="8"/>
      <c r="E170" s="8"/>
      <c r="F170" s="9"/>
      <c r="G170" s="8"/>
      <c r="H170" s="10" t="str">
        <f aca="false">IFERROR(INDEX('Operator Master'!$B$5:$B$504,MATCH(G170,'Operator Master'!$A$5:$A$504,0)),"")</f>
        <v/>
      </c>
      <c r="I170" s="9"/>
      <c r="J170" s="9"/>
      <c r="K170" s="8"/>
      <c r="L170" s="9"/>
      <c r="M170" s="9"/>
      <c r="N170" s="11"/>
      <c r="O170" s="11"/>
      <c r="P170" s="12" t="str">
        <f aca="false">IF(OR(N170="",O170=""),"",IFERROR(O170/N170*100,0))</f>
        <v/>
      </c>
      <c r="Q170" s="10" t="n">
        <v>8</v>
      </c>
      <c r="R170" s="12" t="str">
        <f aca="false">IF(J170="","",Q170*J170)</f>
        <v/>
      </c>
      <c r="S170" s="11"/>
      <c r="T170" s="12" t="str">
        <f aca="false">IF(OR(R170="",S170=""),"",IFERROR(S170/R170*100,0))</f>
        <v/>
      </c>
      <c r="U170" s="12" t="str">
        <f aca="false">IF(OR(O170="",L170="",M170="",S170="",M170=0),"",IFERROR(O170/(L170*60*S170/(M170*36))*100,0))</f>
        <v/>
      </c>
      <c r="V170" s="11"/>
      <c r="W170" s="12" t="str">
        <f aca="false">IF(O170="","",IFERROR(V170/O170*100,0))</f>
        <v/>
      </c>
      <c r="X170" s="11"/>
      <c r="Y170" s="11"/>
      <c r="Z170" s="11"/>
      <c r="AA170" s="11"/>
      <c r="AB170" s="11"/>
      <c r="AC170" s="11"/>
      <c r="AD170" s="11"/>
      <c r="AE170" s="11"/>
      <c r="AF170" s="12" t="str">
        <f aca="false">IF(O170="","",SUM(X170:AE170))</f>
        <v/>
      </c>
      <c r="AG170" s="12" t="str">
        <f aca="false">IF(O170="","",IFERROR(AF170/O170*1000,0))</f>
        <v/>
      </c>
      <c r="AH170" s="11"/>
      <c r="AI170" s="11"/>
      <c r="AJ170" s="11"/>
      <c r="AK170" s="9"/>
      <c r="AL170" s="9"/>
      <c r="AM170" s="9"/>
    </row>
    <row r="171" customFormat="false" ht="15" hidden="false" customHeight="true" outlineLevel="0" collapsed="false">
      <c r="A171" s="6"/>
      <c r="B171" s="7"/>
      <c r="C171" s="8"/>
      <c r="D171" s="8"/>
      <c r="E171" s="8"/>
      <c r="F171" s="9"/>
      <c r="G171" s="8"/>
      <c r="H171" s="10" t="str">
        <f aca="false">IFERROR(INDEX('Operator Master'!$B$5:$B$504,MATCH(G171,'Operator Master'!$A$5:$A$504,0)),"")</f>
        <v/>
      </c>
      <c r="I171" s="9"/>
      <c r="J171" s="9"/>
      <c r="K171" s="8"/>
      <c r="L171" s="9"/>
      <c r="M171" s="9"/>
      <c r="N171" s="11"/>
      <c r="O171" s="11"/>
      <c r="P171" s="12" t="str">
        <f aca="false">IF(OR(N171="",O171=""),"",IFERROR(O171/N171*100,0))</f>
        <v/>
      </c>
      <c r="Q171" s="10" t="n">
        <v>8</v>
      </c>
      <c r="R171" s="12" t="str">
        <f aca="false">IF(J171="","",Q171*J171)</f>
        <v/>
      </c>
      <c r="S171" s="11"/>
      <c r="T171" s="12" t="str">
        <f aca="false">IF(OR(R171="",S171=""),"",IFERROR(S171/R171*100,0))</f>
        <v/>
      </c>
      <c r="U171" s="12" t="str">
        <f aca="false">IF(OR(O171="",L171="",M171="",S171="",M171=0),"",IFERROR(O171/(L171*60*S171/(M171*36))*100,0))</f>
        <v/>
      </c>
      <c r="V171" s="11"/>
      <c r="W171" s="12" t="str">
        <f aca="false">IF(O171="","",IFERROR(V171/O171*100,0))</f>
        <v/>
      </c>
      <c r="X171" s="11"/>
      <c r="Y171" s="11"/>
      <c r="Z171" s="11"/>
      <c r="AA171" s="11"/>
      <c r="AB171" s="11"/>
      <c r="AC171" s="11"/>
      <c r="AD171" s="11"/>
      <c r="AE171" s="11"/>
      <c r="AF171" s="12" t="str">
        <f aca="false">IF(O171="","",SUM(X171:AE171))</f>
        <v/>
      </c>
      <c r="AG171" s="12" t="str">
        <f aca="false">IF(O171="","",IFERROR(AF171/O171*1000,0))</f>
        <v/>
      </c>
      <c r="AH171" s="11"/>
      <c r="AI171" s="11"/>
      <c r="AJ171" s="11"/>
      <c r="AK171" s="9"/>
      <c r="AL171" s="9"/>
      <c r="AM171" s="9"/>
    </row>
    <row r="172" customFormat="false" ht="15" hidden="false" customHeight="true" outlineLevel="0" collapsed="false">
      <c r="A172" s="6"/>
      <c r="B172" s="7"/>
      <c r="C172" s="8"/>
      <c r="D172" s="8"/>
      <c r="E172" s="8"/>
      <c r="F172" s="9"/>
      <c r="G172" s="8"/>
      <c r="H172" s="10" t="str">
        <f aca="false">IFERROR(INDEX('Operator Master'!$B$5:$B$504,MATCH(G172,'Operator Master'!$A$5:$A$504,0)),"")</f>
        <v/>
      </c>
      <c r="I172" s="9"/>
      <c r="J172" s="9"/>
      <c r="K172" s="8"/>
      <c r="L172" s="9"/>
      <c r="M172" s="9"/>
      <c r="N172" s="11"/>
      <c r="O172" s="11"/>
      <c r="P172" s="12" t="str">
        <f aca="false">IF(OR(N172="",O172=""),"",IFERROR(O172/N172*100,0))</f>
        <v/>
      </c>
      <c r="Q172" s="10" t="n">
        <v>8</v>
      </c>
      <c r="R172" s="12" t="str">
        <f aca="false">IF(J172="","",Q172*J172)</f>
        <v/>
      </c>
      <c r="S172" s="11"/>
      <c r="T172" s="12" t="str">
        <f aca="false">IF(OR(R172="",S172=""),"",IFERROR(S172/R172*100,0))</f>
        <v/>
      </c>
      <c r="U172" s="12" t="str">
        <f aca="false">IF(OR(O172="",L172="",M172="",S172="",M172=0),"",IFERROR(O172/(L172*60*S172/(M172*36))*100,0))</f>
        <v/>
      </c>
      <c r="V172" s="11"/>
      <c r="W172" s="12" t="str">
        <f aca="false">IF(O172="","",IFERROR(V172/O172*100,0))</f>
        <v/>
      </c>
      <c r="X172" s="11"/>
      <c r="Y172" s="11"/>
      <c r="Z172" s="11"/>
      <c r="AA172" s="11"/>
      <c r="AB172" s="11"/>
      <c r="AC172" s="11"/>
      <c r="AD172" s="11"/>
      <c r="AE172" s="11"/>
      <c r="AF172" s="12" t="str">
        <f aca="false">IF(O172="","",SUM(X172:AE172))</f>
        <v/>
      </c>
      <c r="AG172" s="12" t="str">
        <f aca="false">IF(O172="","",IFERROR(AF172/O172*1000,0))</f>
        <v/>
      </c>
      <c r="AH172" s="11"/>
      <c r="AI172" s="11"/>
      <c r="AJ172" s="11"/>
      <c r="AK172" s="9"/>
      <c r="AL172" s="9"/>
      <c r="AM172" s="9"/>
    </row>
    <row r="173" customFormat="false" ht="15" hidden="false" customHeight="true" outlineLevel="0" collapsed="false">
      <c r="A173" s="6"/>
      <c r="B173" s="7"/>
      <c r="C173" s="8"/>
      <c r="D173" s="8"/>
      <c r="E173" s="8"/>
      <c r="F173" s="9"/>
      <c r="G173" s="8"/>
      <c r="H173" s="10" t="str">
        <f aca="false">IFERROR(INDEX('Operator Master'!$B$5:$B$504,MATCH(G173,'Operator Master'!$A$5:$A$504,0)),"")</f>
        <v/>
      </c>
      <c r="I173" s="9"/>
      <c r="J173" s="9"/>
      <c r="K173" s="8"/>
      <c r="L173" s="9"/>
      <c r="M173" s="9"/>
      <c r="N173" s="11"/>
      <c r="O173" s="11"/>
      <c r="P173" s="12" t="str">
        <f aca="false">IF(OR(N173="",O173=""),"",IFERROR(O173/N173*100,0))</f>
        <v/>
      </c>
      <c r="Q173" s="10" t="n">
        <v>8</v>
      </c>
      <c r="R173" s="12" t="str">
        <f aca="false">IF(J173="","",Q173*J173)</f>
        <v/>
      </c>
      <c r="S173" s="11"/>
      <c r="T173" s="12" t="str">
        <f aca="false">IF(OR(R173="",S173=""),"",IFERROR(S173/R173*100,0))</f>
        <v/>
      </c>
      <c r="U173" s="12" t="str">
        <f aca="false">IF(OR(O173="",L173="",M173="",S173="",M173=0),"",IFERROR(O173/(L173*60*S173/(M173*36))*100,0))</f>
        <v/>
      </c>
      <c r="V173" s="11"/>
      <c r="W173" s="12" t="str">
        <f aca="false">IF(O173="","",IFERROR(V173/O173*100,0))</f>
        <v/>
      </c>
      <c r="X173" s="11"/>
      <c r="Y173" s="11"/>
      <c r="Z173" s="11"/>
      <c r="AA173" s="11"/>
      <c r="AB173" s="11"/>
      <c r="AC173" s="11"/>
      <c r="AD173" s="11"/>
      <c r="AE173" s="11"/>
      <c r="AF173" s="12" t="str">
        <f aca="false">IF(O173="","",SUM(X173:AE173))</f>
        <v/>
      </c>
      <c r="AG173" s="12" t="str">
        <f aca="false">IF(O173="","",IFERROR(AF173/O173*1000,0))</f>
        <v/>
      </c>
      <c r="AH173" s="11"/>
      <c r="AI173" s="11"/>
      <c r="AJ173" s="11"/>
      <c r="AK173" s="9"/>
      <c r="AL173" s="9"/>
      <c r="AM173" s="9"/>
    </row>
    <row r="174" customFormat="false" ht="15" hidden="false" customHeight="true" outlineLevel="0" collapsed="false">
      <c r="A174" s="6"/>
      <c r="B174" s="7"/>
      <c r="C174" s="8"/>
      <c r="D174" s="8"/>
      <c r="E174" s="8"/>
      <c r="F174" s="9"/>
      <c r="G174" s="8"/>
      <c r="H174" s="10" t="str">
        <f aca="false">IFERROR(INDEX('Operator Master'!$B$5:$B$504,MATCH(G174,'Operator Master'!$A$5:$A$504,0)),"")</f>
        <v/>
      </c>
      <c r="I174" s="9"/>
      <c r="J174" s="9"/>
      <c r="K174" s="8"/>
      <c r="L174" s="9"/>
      <c r="M174" s="9"/>
      <c r="N174" s="11"/>
      <c r="O174" s="11"/>
      <c r="P174" s="12" t="str">
        <f aca="false">IF(OR(N174="",O174=""),"",IFERROR(O174/N174*100,0))</f>
        <v/>
      </c>
      <c r="Q174" s="10" t="n">
        <v>8</v>
      </c>
      <c r="R174" s="12" t="str">
        <f aca="false">IF(J174="","",Q174*J174)</f>
        <v/>
      </c>
      <c r="S174" s="11"/>
      <c r="T174" s="12" t="str">
        <f aca="false">IF(OR(R174="",S174=""),"",IFERROR(S174/R174*100,0))</f>
        <v/>
      </c>
      <c r="U174" s="12" t="str">
        <f aca="false">IF(OR(O174="",L174="",M174="",S174="",M174=0),"",IFERROR(O174/(L174*60*S174/(M174*36))*100,0))</f>
        <v/>
      </c>
      <c r="V174" s="11"/>
      <c r="W174" s="12" t="str">
        <f aca="false">IF(O174="","",IFERROR(V174/O174*100,0))</f>
        <v/>
      </c>
      <c r="X174" s="11"/>
      <c r="Y174" s="11"/>
      <c r="Z174" s="11"/>
      <c r="AA174" s="11"/>
      <c r="AB174" s="11"/>
      <c r="AC174" s="11"/>
      <c r="AD174" s="11"/>
      <c r="AE174" s="11"/>
      <c r="AF174" s="12" t="str">
        <f aca="false">IF(O174="","",SUM(X174:AE174))</f>
        <v/>
      </c>
      <c r="AG174" s="12" t="str">
        <f aca="false">IF(O174="","",IFERROR(AF174/O174*1000,0))</f>
        <v/>
      </c>
      <c r="AH174" s="11"/>
      <c r="AI174" s="11"/>
      <c r="AJ174" s="11"/>
      <c r="AK174" s="9"/>
      <c r="AL174" s="9"/>
      <c r="AM174" s="9"/>
    </row>
    <row r="175" customFormat="false" ht="15" hidden="false" customHeight="true" outlineLevel="0" collapsed="false">
      <c r="A175" s="6"/>
      <c r="B175" s="7"/>
      <c r="C175" s="8"/>
      <c r="D175" s="8"/>
      <c r="E175" s="8"/>
      <c r="F175" s="9"/>
      <c r="G175" s="8"/>
      <c r="H175" s="10" t="str">
        <f aca="false">IFERROR(INDEX('Operator Master'!$B$5:$B$504,MATCH(G175,'Operator Master'!$A$5:$A$504,0)),"")</f>
        <v/>
      </c>
      <c r="I175" s="9"/>
      <c r="J175" s="9"/>
      <c r="K175" s="8"/>
      <c r="L175" s="9"/>
      <c r="M175" s="9"/>
      <c r="N175" s="11"/>
      <c r="O175" s="11"/>
      <c r="P175" s="12" t="str">
        <f aca="false">IF(OR(N175="",O175=""),"",IFERROR(O175/N175*100,0))</f>
        <v/>
      </c>
      <c r="Q175" s="10" t="n">
        <v>8</v>
      </c>
      <c r="R175" s="12" t="str">
        <f aca="false">IF(J175="","",Q175*J175)</f>
        <v/>
      </c>
      <c r="S175" s="11"/>
      <c r="T175" s="12" t="str">
        <f aca="false">IF(OR(R175="",S175=""),"",IFERROR(S175/R175*100,0))</f>
        <v/>
      </c>
      <c r="U175" s="12" t="str">
        <f aca="false">IF(OR(O175="",L175="",M175="",S175="",M175=0),"",IFERROR(O175/(L175*60*S175/(M175*36))*100,0))</f>
        <v/>
      </c>
      <c r="V175" s="11"/>
      <c r="W175" s="12" t="str">
        <f aca="false">IF(O175="","",IFERROR(V175/O175*100,0))</f>
        <v/>
      </c>
      <c r="X175" s="11"/>
      <c r="Y175" s="11"/>
      <c r="Z175" s="11"/>
      <c r="AA175" s="11"/>
      <c r="AB175" s="11"/>
      <c r="AC175" s="11"/>
      <c r="AD175" s="11"/>
      <c r="AE175" s="11"/>
      <c r="AF175" s="12" t="str">
        <f aca="false">IF(O175="","",SUM(X175:AE175))</f>
        <v/>
      </c>
      <c r="AG175" s="12" t="str">
        <f aca="false">IF(O175="","",IFERROR(AF175/O175*1000,0))</f>
        <v/>
      </c>
      <c r="AH175" s="11"/>
      <c r="AI175" s="11"/>
      <c r="AJ175" s="11"/>
      <c r="AK175" s="9"/>
      <c r="AL175" s="9"/>
      <c r="AM175" s="9"/>
    </row>
    <row r="176" customFormat="false" ht="15" hidden="false" customHeight="true" outlineLevel="0" collapsed="false">
      <c r="A176" s="6"/>
      <c r="B176" s="7"/>
      <c r="C176" s="8"/>
      <c r="D176" s="8"/>
      <c r="E176" s="8"/>
      <c r="F176" s="9"/>
      <c r="G176" s="8"/>
      <c r="H176" s="10" t="str">
        <f aca="false">IFERROR(INDEX('Operator Master'!$B$5:$B$504,MATCH(G176,'Operator Master'!$A$5:$A$504,0)),"")</f>
        <v/>
      </c>
      <c r="I176" s="9"/>
      <c r="J176" s="9"/>
      <c r="K176" s="8"/>
      <c r="L176" s="9"/>
      <c r="M176" s="9"/>
      <c r="N176" s="11"/>
      <c r="O176" s="11"/>
      <c r="P176" s="12" t="str">
        <f aca="false">IF(OR(N176="",O176=""),"",IFERROR(O176/N176*100,0))</f>
        <v/>
      </c>
      <c r="Q176" s="10" t="n">
        <v>8</v>
      </c>
      <c r="R176" s="12" t="str">
        <f aca="false">IF(J176="","",Q176*J176)</f>
        <v/>
      </c>
      <c r="S176" s="11"/>
      <c r="T176" s="12" t="str">
        <f aca="false">IF(OR(R176="",S176=""),"",IFERROR(S176/R176*100,0))</f>
        <v/>
      </c>
      <c r="U176" s="12" t="str">
        <f aca="false">IF(OR(O176="",L176="",M176="",S176="",M176=0),"",IFERROR(O176/(L176*60*S176/(M176*36))*100,0))</f>
        <v/>
      </c>
      <c r="V176" s="11"/>
      <c r="W176" s="12" t="str">
        <f aca="false">IF(O176="","",IFERROR(V176/O176*100,0))</f>
        <v/>
      </c>
      <c r="X176" s="11"/>
      <c r="Y176" s="11"/>
      <c r="Z176" s="11"/>
      <c r="AA176" s="11"/>
      <c r="AB176" s="11"/>
      <c r="AC176" s="11"/>
      <c r="AD176" s="11"/>
      <c r="AE176" s="11"/>
      <c r="AF176" s="12" t="str">
        <f aca="false">IF(O176="","",SUM(X176:AE176))</f>
        <v/>
      </c>
      <c r="AG176" s="12" t="str">
        <f aca="false">IF(O176="","",IFERROR(AF176/O176*1000,0))</f>
        <v/>
      </c>
      <c r="AH176" s="11"/>
      <c r="AI176" s="11"/>
      <c r="AJ176" s="11"/>
      <c r="AK176" s="9"/>
      <c r="AL176" s="9"/>
      <c r="AM176" s="9"/>
    </row>
    <row r="177" customFormat="false" ht="15" hidden="false" customHeight="true" outlineLevel="0" collapsed="false">
      <c r="A177" s="6"/>
      <c r="B177" s="7"/>
      <c r="C177" s="8"/>
      <c r="D177" s="8"/>
      <c r="E177" s="8"/>
      <c r="F177" s="9"/>
      <c r="G177" s="8"/>
      <c r="H177" s="10" t="str">
        <f aca="false">IFERROR(INDEX('Operator Master'!$B$5:$B$504,MATCH(G177,'Operator Master'!$A$5:$A$504,0)),"")</f>
        <v/>
      </c>
      <c r="I177" s="9"/>
      <c r="J177" s="9"/>
      <c r="K177" s="8"/>
      <c r="L177" s="9"/>
      <c r="M177" s="9"/>
      <c r="N177" s="11"/>
      <c r="O177" s="11"/>
      <c r="P177" s="12" t="str">
        <f aca="false">IF(OR(N177="",O177=""),"",IFERROR(O177/N177*100,0))</f>
        <v/>
      </c>
      <c r="Q177" s="10" t="n">
        <v>8</v>
      </c>
      <c r="R177" s="12" t="str">
        <f aca="false">IF(J177="","",Q177*J177)</f>
        <v/>
      </c>
      <c r="S177" s="11"/>
      <c r="T177" s="12" t="str">
        <f aca="false">IF(OR(R177="",S177=""),"",IFERROR(S177/R177*100,0))</f>
        <v/>
      </c>
      <c r="U177" s="12" t="str">
        <f aca="false">IF(OR(O177="",L177="",M177="",S177="",M177=0),"",IFERROR(O177/(L177*60*S177/(M177*36))*100,0))</f>
        <v/>
      </c>
      <c r="V177" s="11"/>
      <c r="W177" s="12" t="str">
        <f aca="false">IF(O177="","",IFERROR(V177/O177*100,0))</f>
        <v/>
      </c>
      <c r="X177" s="11"/>
      <c r="Y177" s="11"/>
      <c r="Z177" s="11"/>
      <c r="AA177" s="11"/>
      <c r="AB177" s="11"/>
      <c r="AC177" s="11"/>
      <c r="AD177" s="11"/>
      <c r="AE177" s="11"/>
      <c r="AF177" s="12" t="str">
        <f aca="false">IF(O177="","",SUM(X177:AE177))</f>
        <v/>
      </c>
      <c r="AG177" s="12" t="str">
        <f aca="false">IF(O177="","",IFERROR(AF177/O177*1000,0))</f>
        <v/>
      </c>
      <c r="AH177" s="11"/>
      <c r="AI177" s="11"/>
      <c r="AJ177" s="11"/>
      <c r="AK177" s="9"/>
      <c r="AL177" s="9"/>
      <c r="AM177" s="9"/>
    </row>
    <row r="178" customFormat="false" ht="15" hidden="false" customHeight="true" outlineLevel="0" collapsed="false">
      <c r="A178" s="6"/>
      <c r="B178" s="7"/>
      <c r="C178" s="8"/>
      <c r="D178" s="8"/>
      <c r="E178" s="8"/>
      <c r="F178" s="9"/>
      <c r="G178" s="8"/>
      <c r="H178" s="10" t="str">
        <f aca="false">IFERROR(INDEX('Operator Master'!$B$5:$B$504,MATCH(G178,'Operator Master'!$A$5:$A$504,0)),"")</f>
        <v/>
      </c>
      <c r="I178" s="9"/>
      <c r="J178" s="9"/>
      <c r="K178" s="8"/>
      <c r="L178" s="9"/>
      <c r="M178" s="9"/>
      <c r="N178" s="11"/>
      <c r="O178" s="11"/>
      <c r="P178" s="12" t="str">
        <f aca="false">IF(OR(N178="",O178=""),"",IFERROR(O178/N178*100,0))</f>
        <v/>
      </c>
      <c r="Q178" s="10" t="n">
        <v>8</v>
      </c>
      <c r="R178" s="12" t="str">
        <f aca="false">IF(J178="","",Q178*J178)</f>
        <v/>
      </c>
      <c r="S178" s="11"/>
      <c r="T178" s="12" t="str">
        <f aca="false">IF(OR(R178="",S178=""),"",IFERROR(S178/R178*100,0))</f>
        <v/>
      </c>
      <c r="U178" s="12" t="str">
        <f aca="false">IF(OR(O178="",L178="",M178="",S178="",M178=0),"",IFERROR(O178/(L178*60*S178/(M178*36))*100,0))</f>
        <v/>
      </c>
      <c r="V178" s="11"/>
      <c r="W178" s="12" t="str">
        <f aca="false">IF(O178="","",IFERROR(V178/O178*100,0))</f>
        <v/>
      </c>
      <c r="X178" s="11"/>
      <c r="Y178" s="11"/>
      <c r="Z178" s="11"/>
      <c r="AA178" s="11"/>
      <c r="AB178" s="11"/>
      <c r="AC178" s="11"/>
      <c r="AD178" s="11"/>
      <c r="AE178" s="11"/>
      <c r="AF178" s="12" t="str">
        <f aca="false">IF(O178="","",SUM(X178:AE178))</f>
        <v/>
      </c>
      <c r="AG178" s="12" t="str">
        <f aca="false">IF(O178="","",IFERROR(AF178/O178*1000,0))</f>
        <v/>
      </c>
      <c r="AH178" s="11"/>
      <c r="AI178" s="11"/>
      <c r="AJ178" s="11"/>
      <c r="AK178" s="9"/>
      <c r="AL178" s="9"/>
      <c r="AM178" s="9"/>
    </row>
    <row r="179" customFormat="false" ht="15" hidden="false" customHeight="true" outlineLevel="0" collapsed="false">
      <c r="A179" s="6"/>
      <c r="B179" s="7"/>
      <c r="C179" s="8"/>
      <c r="D179" s="8"/>
      <c r="E179" s="8"/>
      <c r="F179" s="9"/>
      <c r="G179" s="8"/>
      <c r="H179" s="10" t="str">
        <f aca="false">IFERROR(INDEX('Operator Master'!$B$5:$B$504,MATCH(G179,'Operator Master'!$A$5:$A$504,0)),"")</f>
        <v/>
      </c>
      <c r="I179" s="9"/>
      <c r="J179" s="9"/>
      <c r="K179" s="8"/>
      <c r="L179" s="9"/>
      <c r="M179" s="9"/>
      <c r="N179" s="11"/>
      <c r="O179" s="11"/>
      <c r="P179" s="12" t="str">
        <f aca="false">IF(OR(N179="",O179=""),"",IFERROR(O179/N179*100,0))</f>
        <v/>
      </c>
      <c r="Q179" s="10" t="n">
        <v>8</v>
      </c>
      <c r="R179" s="12" t="str">
        <f aca="false">IF(J179="","",Q179*J179)</f>
        <v/>
      </c>
      <c r="S179" s="11"/>
      <c r="T179" s="12" t="str">
        <f aca="false">IF(OR(R179="",S179=""),"",IFERROR(S179/R179*100,0))</f>
        <v/>
      </c>
      <c r="U179" s="12" t="str">
        <f aca="false">IF(OR(O179="",L179="",M179="",S179="",M179=0),"",IFERROR(O179/(L179*60*S179/(M179*36))*100,0))</f>
        <v/>
      </c>
      <c r="V179" s="11"/>
      <c r="W179" s="12" t="str">
        <f aca="false">IF(O179="","",IFERROR(V179/O179*100,0))</f>
        <v/>
      </c>
      <c r="X179" s="11"/>
      <c r="Y179" s="11"/>
      <c r="Z179" s="11"/>
      <c r="AA179" s="11"/>
      <c r="AB179" s="11"/>
      <c r="AC179" s="11"/>
      <c r="AD179" s="11"/>
      <c r="AE179" s="11"/>
      <c r="AF179" s="12" t="str">
        <f aca="false">IF(O179="","",SUM(X179:AE179))</f>
        <v/>
      </c>
      <c r="AG179" s="12" t="str">
        <f aca="false">IF(O179="","",IFERROR(AF179/O179*1000,0))</f>
        <v/>
      </c>
      <c r="AH179" s="11"/>
      <c r="AI179" s="11"/>
      <c r="AJ179" s="11"/>
      <c r="AK179" s="9"/>
      <c r="AL179" s="9"/>
      <c r="AM179" s="9"/>
    </row>
    <row r="180" customFormat="false" ht="15" hidden="false" customHeight="true" outlineLevel="0" collapsed="false">
      <c r="A180" s="6"/>
      <c r="B180" s="7"/>
      <c r="C180" s="8"/>
      <c r="D180" s="8"/>
      <c r="E180" s="8"/>
      <c r="F180" s="9"/>
      <c r="G180" s="8"/>
      <c r="H180" s="10" t="str">
        <f aca="false">IFERROR(INDEX('Operator Master'!$B$5:$B$504,MATCH(G180,'Operator Master'!$A$5:$A$504,0)),"")</f>
        <v/>
      </c>
      <c r="I180" s="9"/>
      <c r="J180" s="9"/>
      <c r="K180" s="8"/>
      <c r="L180" s="9"/>
      <c r="M180" s="9"/>
      <c r="N180" s="11"/>
      <c r="O180" s="11"/>
      <c r="P180" s="12" t="str">
        <f aca="false">IF(OR(N180="",O180=""),"",IFERROR(O180/N180*100,0))</f>
        <v/>
      </c>
      <c r="Q180" s="10" t="n">
        <v>8</v>
      </c>
      <c r="R180" s="12" t="str">
        <f aca="false">IF(J180="","",Q180*J180)</f>
        <v/>
      </c>
      <c r="S180" s="11"/>
      <c r="T180" s="12" t="str">
        <f aca="false">IF(OR(R180="",S180=""),"",IFERROR(S180/R180*100,0))</f>
        <v/>
      </c>
      <c r="U180" s="12" t="str">
        <f aca="false">IF(OR(O180="",L180="",M180="",S180="",M180=0),"",IFERROR(O180/(L180*60*S180/(M180*36))*100,0))</f>
        <v/>
      </c>
      <c r="V180" s="11"/>
      <c r="W180" s="12" t="str">
        <f aca="false">IF(O180="","",IFERROR(V180/O180*100,0))</f>
        <v/>
      </c>
      <c r="X180" s="11"/>
      <c r="Y180" s="11"/>
      <c r="Z180" s="11"/>
      <c r="AA180" s="11"/>
      <c r="AB180" s="11"/>
      <c r="AC180" s="11"/>
      <c r="AD180" s="11"/>
      <c r="AE180" s="11"/>
      <c r="AF180" s="12" t="str">
        <f aca="false">IF(O180="","",SUM(X180:AE180))</f>
        <v/>
      </c>
      <c r="AG180" s="12" t="str">
        <f aca="false">IF(O180="","",IFERROR(AF180/O180*1000,0))</f>
        <v/>
      </c>
      <c r="AH180" s="11"/>
      <c r="AI180" s="11"/>
      <c r="AJ180" s="11"/>
      <c r="AK180" s="9"/>
      <c r="AL180" s="9"/>
      <c r="AM180" s="9"/>
    </row>
    <row r="181" customFormat="false" ht="15" hidden="false" customHeight="true" outlineLevel="0" collapsed="false">
      <c r="A181" s="6"/>
      <c r="B181" s="7"/>
      <c r="C181" s="8"/>
      <c r="D181" s="8"/>
      <c r="E181" s="8"/>
      <c r="F181" s="9"/>
      <c r="G181" s="8"/>
      <c r="H181" s="10" t="str">
        <f aca="false">IFERROR(INDEX('Operator Master'!$B$5:$B$504,MATCH(G181,'Operator Master'!$A$5:$A$504,0)),"")</f>
        <v/>
      </c>
      <c r="I181" s="9"/>
      <c r="J181" s="9"/>
      <c r="K181" s="8"/>
      <c r="L181" s="9"/>
      <c r="M181" s="9"/>
      <c r="N181" s="11"/>
      <c r="O181" s="11"/>
      <c r="P181" s="12" t="str">
        <f aca="false">IF(OR(N181="",O181=""),"",IFERROR(O181/N181*100,0))</f>
        <v/>
      </c>
      <c r="Q181" s="10" t="n">
        <v>8</v>
      </c>
      <c r="R181" s="12" t="str">
        <f aca="false">IF(J181="","",Q181*J181)</f>
        <v/>
      </c>
      <c r="S181" s="11"/>
      <c r="T181" s="12" t="str">
        <f aca="false">IF(OR(R181="",S181=""),"",IFERROR(S181/R181*100,0))</f>
        <v/>
      </c>
      <c r="U181" s="12" t="str">
        <f aca="false">IF(OR(O181="",L181="",M181="",S181="",M181=0),"",IFERROR(O181/(L181*60*S181/(M181*36))*100,0))</f>
        <v/>
      </c>
      <c r="V181" s="11"/>
      <c r="W181" s="12" t="str">
        <f aca="false">IF(O181="","",IFERROR(V181/O181*100,0))</f>
        <v/>
      </c>
      <c r="X181" s="11"/>
      <c r="Y181" s="11"/>
      <c r="Z181" s="11"/>
      <c r="AA181" s="11"/>
      <c r="AB181" s="11"/>
      <c r="AC181" s="11"/>
      <c r="AD181" s="11"/>
      <c r="AE181" s="11"/>
      <c r="AF181" s="12" t="str">
        <f aca="false">IF(O181="","",SUM(X181:AE181))</f>
        <v/>
      </c>
      <c r="AG181" s="12" t="str">
        <f aca="false">IF(O181="","",IFERROR(AF181/O181*1000,0))</f>
        <v/>
      </c>
      <c r="AH181" s="11"/>
      <c r="AI181" s="11"/>
      <c r="AJ181" s="11"/>
      <c r="AK181" s="9"/>
      <c r="AL181" s="9"/>
      <c r="AM181" s="9"/>
    </row>
    <row r="182" customFormat="false" ht="15" hidden="false" customHeight="true" outlineLevel="0" collapsed="false">
      <c r="A182" s="6"/>
      <c r="B182" s="7"/>
      <c r="C182" s="8"/>
      <c r="D182" s="8"/>
      <c r="E182" s="8"/>
      <c r="F182" s="9"/>
      <c r="G182" s="8"/>
      <c r="H182" s="10" t="str">
        <f aca="false">IFERROR(INDEX('Operator Master'!$B$5:$B$504,MATCH(G182,'Operator Master'!$A$5:$A$504,0)),"")</f>
        <v/>
      </c>
      <c r="I182" s="9"/>
      <c r="J182" s="9"/>
      <c r="K182" s="8"/>
      <c r="L182" s="9"/>
      <c r="M182" s="9"/>
      <c r="N182" s="11"/>
      <c r="O182" s="11"/>
      <c r="P182" s="12" t="str">
        <f aca="false">IF(OR(N182="",O182=""),"",IFERROR(O182/N182*100,0))</f>
        <v/>
      </c>
      <c r="Q182" s="10" t="n">
        <v>8</v>
      </c>
      <c r="R182" s="12" t="str">
        <f aca="false">IF(J182="","",Q182*J182)</f>
        <v/>
      </c>
      <c r="S182" s="11"/>
      <c r="T182" s="12" t="str">
        <f aca="false">IF(OR(R182="",S182=""),"",IFERROR(S182/R182*100,0))</f>
        <v/>
      </c>
      <c r="U182" s="12" t="str">
        <f aca="false">IF(OR(O182="",L182="",M182="",S182="",M182=0),"",IFERROR(O182/(L182*60*S182/(M182*36))*100,0))</f>
        <v/>
      </c>
      <c r="V182" s="11"/>
      <c r="W182" s="12" t="str">
        <f aca="false">IF(O182="","",IFERROR(V182/O182*100,0))</f>
        <v/>
      </c>
      <c r="X182" s="11"/>
      <c r="Y182" s="11"/>
      <c r="Z182" s="11"/>
      <c r="AA182" s="11"/>
      <c r="AB182" s="11"/>
      <c r="AC182" s="11"/>
      <c r="AD182" s="11"/>
      <c r="AE182" s="11"/>
      <c r="AF182" s="12" t="str">
        <f aca="false">IF(O182="","",SUM(X182:AE182))</f>
        <v/>
      </c>
      <c r="AG182" s="12" t="str">
        <f aca="false">IF(O182="","",IFERROR(AF182/O182*1000,0))</f>
        <v/>
      </c>
      <c r="AH182" s="11"/>
      <c r="AI182" s="11"/>
      <c r="AJ182" s="11"/>
      <c r="AK182" s="9"/>
      <c r="AL182" s="9"/>
      <c r="AM182" s="9"/>
    </row>
    <row r="183" customFormat="false" ht="15" hidden="false" customHeight="true" outlineLevel="0" collapsed="false">
      <c r="A183" s="6"/>
      <c r="B183" s="7"/>
      <c r="C183" s="8"/>
      <c r="D183" s="8"/>
      <c r="E183" s="8"/>
      <c r="F183" s="9"/>
      <c r="G183" s="8"/>
      <c r="H183" s="10" t="str">
        <f aca="false">IFERROR(INDEX('Operator Master'!$B$5:$B$504,MATCH(G183,'Operator Master'!$A$5:$A$504,0)),"")</f>
        <v/>
      </c>
      <c r="I183" s="9"/>
      <c r="J183" s="9"/>
      <c r="K183" s="8"/>
      <c r="L183" s="9"/>
      <c r="M183" s="9"/>
      <c r="N183" s="11"/>
      <c r="O183" s="11"/>
      <c r="P183" s="12" t="str">
        <f aca="false">IF(OR(N183="",O183=""),"",IFERROR(O183/N183*100,0))</f>
        <v/>
      </c>
      <c r="Q183" s="10" t="n">
        <v>8</v>
      </c>
      <c r="R183" s="12" t="str">
        <f aca="false">IF(J183="","",Q183*J183)</f>
        <v/>
      </c>
      <c r="S183" s="11"/>
      <c r="T183" s="12" t="str">
        <f aca="false">IF(OR(R183="",S183=""),"",IFERROR(S183/R183*100,0))</f>
        <v/>
      </c>
      <c r="U183" s="12" t="str">
        <f aca="false">IF(OR(O183="",L183="",M183="",S183="",M183=0),"",IFERROR(O183/(L183*60*S183/(M183*36))*100,0))</f>
        <v/>
      </c>
      <c r="V183" s="11"/>
      <c r="W183" s="12" t="str">
        <f aca="false">IF(O183="","",IFERROR(V183/O183*100,0))</f>
        <v/>
      </c>
      <c r="X183" s="11"/>
      <c r="Y183" s="11"/>
      <c r="Z183" s="11"/>
      <c r="AA183" s="11"/>
      <c r="AB183" s="11"/>
      <c r="AC183" s="11"/>
      <c r="AD183" s="11"/>
      <c r="AE183" s="11"/>
      <c r="AF183" s="12" t="str">
        <f aca="false">IF(O183="","",SUM(X183:AE183))</f>
        <v/>
      </c>
      <c r="AG183" s="12" t="str">
        <f aca="false">IF(O183="","",IFERROR(AF183/O183*1000,0))</f>
        <v/>
      </c>
      <c r="AH183" s="11"/>
      <c r="AI183" s="11"/>
      <c r="AJ183" s="11"/>
      <c r="AK183" s="9"/>
      <c r="AL183" s="9"/>
      <c r="AM183" s="9"/>
    </row>
    <row r="184" customFormat="false" ht="15" hidden="false" customHeight="true" outlineLevel="0" collapsed="false">
      <c r="A184" s="6"/>
      <c r="B184" s="7"/>
      <c r="C184" s="8"/>
      <c r="D184" s="8"/>
      <c r="E184" s="8"/>
      <c r="F184" s="9"/>
      <c r="G184" s="8"/>
      <c r="H184" s="10" t="str">
        <f aca="false">IFERROR(INDEX('Operator Master'!$B$5:$B$504,MATCH(G184,'Operator Master'!$A$5:$A$504,0)),"")</f>
        <v/>
      </c>
      <c r="I184" s="9"/>
      <c r="J184" s="9"/>
      <c r="K184" s="8"/>
      <c r="L184" s="9"/>
      <c r="M184" s="9"/>
      <c r="N184" s="11"/>
      <c r="O184" s="11"/>
      <c r="P184" s="12" t="str">
        <f aca="false">IF(OR(N184="",O184=""),"",IFERROR(O184/N184*100,0))</f>
        <v/>
      </c>
      <c r="Q184" s="10" t="n">
        <v>8</v>
      </c>
      <c r="R184" s="12" t="str">
        <f aca="false">IF(J184="","",Q184*J184)</f>
        <v/>
      </c>
      <c r="S184" s="11"/>
      <c r="T184" s="12" t="str">
        <f aca="false">IF(OR(R184="",S184=""),"",IFERROR(S184/R184*100,0))</f>
        <v/>
      </c>
      <c r="U184" s="12" t="str">
        <f aca="false">IF(OR(O184="",L184="",M184="",S184="",M184=0),"",IFERROR(O184/(L184*60*S184/(M184*36))*100,0))</f>
        <v/>
      </c>
      <c r="V184" s="11"/>
      <c r="W184" s="12" t="str">
        <f aca="false">IF(O184="","",IFERROR(V184/O184*100,0))</f>
        <v/>
      </c>
      <c r="X184" s="11"/>
      <c r="Y184" s="11"/>
      <c r="Z184" s="11"/>
      <c r="AA184" s="11"/>
      <c r="AB184" s="11"/>
      <c r="AC184" s="11"/>
      <c r="AD184" s="11"/>
      <c r="AE184" s="11"/>
      <c r="AF184" s="12" t="str">
        <f aca="false">IF(O184="","",SUM(X184:AE184))</f>
        <v/>
      </c>
      <c r="AG184" s="12" t="str">
        <f aca="false">IF(O184="","",IFERROR(AF184/O184*1000,0))</f>
        <v/>
      </c>
      <c r="AH184" s="11"/>
      <c r="AI184" s="11"/>
      <c r="AJ184" s="11"/>
      <c r="AK184" s="9"/>
      <c r="AL184" s="9"/>
      <c r="AM184" s="9"/>
    </row>
    <row r="185" customFormat="false" ht="15" hidden="false" customHeight="true" outlineLevel="0" collapsed="false">
      <c r="A185" s="6"/>
      <c r="B185" s="7"/>
      <c r="C185" s="8"/>
      <c r="D185" s="8"/>
      <c r="E185" s="8"/>
      <c r="F185" s="9"/>
      <c r="G185" s="8"/>
      <c r="H185" s="10" t="str">
        <f aca="false">IFERROR(INDEX('Operator Master'!$B$5:$B$504,MATCH(G185,'Operator Master'!$A$5:$A$504,0)),"")</f>
        <v/>
      </c>
      <c r="I185" s="9"/>
      <c r="J185" s="9"/>
      <c r="K185" s="8"/>
      <c r="L185" s="9"/>
      <c r="M185" s="9"/>
      <c r="N185" s="11"/>
      <c r="O185" s="11"/>
      <c r="P185" s="12" t="str">
        <f aca="false">IF(OR(N185="",O185=""),"",IFERROR(O185/N185*100,0))</f>
        <v/>
      </c>
      <c r="Q185" s="10" t="n">
        <v>8</v>
      </c>
      <c r="R185" s="12" t="str">
        <f aca="false">IF(J185="","",Q185*J185)</f>
        <v/>
      </c>
      <c r="S185" s="11"/>
      <c r="T185" s="12" t="str">
        <f aca="false">IF(OR(R185="",S185=""),"",IFERROR(S185/R185*100,0))</f>
        <v/>
      </c>
      <c r="U185" s="12" t="str">
        <f aca="false">IF(OR(O185="",L185="",M185="",S185="",M185=0),"",IFERROR(O185/(L185*60*S185/(M185*36))*100,0))</f>
        <v/>
      </c>
      <c r="V185" s="11"/>
      <c r="W185" s="12" t="str">
        <f aca="false">IF(O185="","",IFERROR(V185/O185*100,0))</f>
        <v/>
      </c>
      <c r="X185" s="11"/>
      <c r="Y185" s="11"/>
      <c r="Z185" s="11"/>
      <c r="AA185" s="11"/>
      <c r="AB185" s="11"/>
      <c r="AC185" s="11"/>
      <c r="AD185" s="11"/>
      <c r="AE185" s="11"/>
      <c r="AF185" s="12" t="str">
        <f aca="false">IF(O185="","",SUM(X185:AE185))</f>
        <v/>
      </c>
      <c r="AG185" s="12" t="str">
        <f aca="false">IF(O185="","",IFERROR(AF185/O185*1000,0))</f>
        <v/>
      </c>
      <c r="AH185" s="11"/>
      <c r="AI185" s="11"/>
      <c r="AJ185" s="11"/>
      <c r="AK185" s="9"/>
      <c r="AL185" s="9"/>
      <c r="AM185" s="9"/>
    </row>
    <row r="186" customFormat="false" ht="15" hidden="false" customHeight="true" outlineLevel="0" collapsed="false">
      <c r="A186" s="6"/>
      <c r="B186" s="7"/>
      <c r="C186" s="8"/>
      <c r="D186" s="8"/>
      <c r="E186" s="8"/>
      <c r="F186" s="9"/>
      <c r="G186" s="8"/>
      <c r="H186" s="10" t="str">
        <f aca="false">IFERROR(INDEX('Operator Master'!$B$5:$B$504,MATCH(G186,'Operator Master'!$A$5:$A$504,0)),"")</f>
        <v/>
      </c>
      <c r="I186" s="9"/>
      <c r="J186" s="9"/>
      <c r="K186" s="8"/>
      <c r="L186" s="9"/>
      <c r="M186" s="9"/>
      <c r="N186" s="11"/>
      <c r="O186" s="11"/>
      <c r="P186" s="12" t="str">
        <f aca="false">IF(OR(N186="",O186=""),"",IFERROR(O186/N186*100,0))</f>
        <v/>
      </c>
      <c r="Q186" s="10" t="n">
        <v>8</v>
      </c>
      <c r="R186" s="12" t="str">
        <f aca="false">IF(J186="","",Q186*J186)</f>
        <v/>
      </c>
      <c r="S186" s="11"/>
      <c r="T186" s="12" t="str">
        <f aca="false">IF(OR(R186="",S186=""),"",IFERROR(S186/R186*100,0))</f>
        <v/>
      </c>
      <c r="U186" s="12" t="str">
        <f aca="false">IF(OR(O186="",L186="",M186="",S186="",M186=0),"",IFERROR(O186/(L186*60*S186/(M186*36))*100,0))</f>
        <v/>
      </c>
      <c r="V186" s="11"/>
      <c r="W186" s="12" t="str">
        <f aca="false">IF(O186="","",IFERROR(V186/O186*100,0))</f>
        <v/>
      </c>
      <c r="X186" s="11"/>
      <c r="Y186" s="11"/>
      <c r="Z186" s="11"/>
      <c r="AA186" s="11"/>
      <c r="AB186" s="11"/>
      <c r="AC186" s="11"/>
      <c r="AD186" s="11"/>
      <c r="AE186" s="11"/>
      <c r="AF186" s="12" t="str">
        <f aca="false">IF(O186="","",SUM(X186:AE186))</f>
        <v/>
      </c>
      <c r="AG186" s="12" t="str">
        <f aca="false">IF(O186="","",IFERROR(AF186/O186*1000,0))</f>
        <v/>
      </c>
      <c r="AH186" s="11"/>
      <c r="AI186" s="11"/>
      <c r="AJ186" s="11"/>
      <c r="AK186" s="9"/>
      <c r="AL186" s="9"/>
      <c r="AM186" s="9"/>
    </row>
    <row r="187" customFormat="false" ht="15" hidden="false" customHeight="true" outlineLevel="0" collapsed="false">
      <c r="A187" s="6"/>
      <c r="B187" s="7"/>
      <c r="C187" s="8"/>
      <c r="D187" s="8"/>
      <c r="E187" s="8"/>
      <c r="F187" s="9"/>
      <c r="G187" s="8"/>
      <c r="H187" s="10" t="str">
        <f aca="false">IFERROR(INDEX('Operator Master'!$B$5:$B$504,MATCH(G187,'Operator Master'!$A$5:$A$504,0)),"")</f>
        <v/>
      </c>
      <c r="I187" s="9"/>
      <c r="J187" s="9"/>
      <c r="K187" s="8"/>
      <c r="L187" s="9"/>
      <c r="M187" s="9"/>
      <c r="N187" s="11"/>
      <c r="O187" s="11"/>
      <c r="P187" s="12" t="str">
        <f aca="false">IF(OR(N187="",O187=""),"",IFERROR(O187/N187*100,0))</f>
        <v/>
      </c>
      <c r="Q187" s="10" t="n">
        <v>8</v>
      </c>
      <c r="R187" s="12" t="str">
        <f aca="false">IF(J187="","",Q187*J187)</f>
        <v/>
      </c>
      <c r="S187" s="11"/>
      <c r="T187" s="12" t="str">
        <f aca="false">IF(OR(R187="",S187=""),"",IFERROR(S187/R187*100,0))</f>
        <v/>
      </c>
      <c r="U187" s="12" t="str">
        <f aca="false">IF(OR(O187="",L187="",M187="",S187="",M187=0),"",IFERROR(O187/(L187*60*S187/(M187*36))*100,0))</f>
        <v/>
      </c>
      <c r="V187" s="11"/>
      <c r="W187" s="12" t="str">
        <f aca="false">IF(O187="","",IFERROR(V187/O187*100,0))</f>
        <v/>
      </c>
      <c r="X187" s="11"/>
      <c r="Y187" s="11"/>
      <c r="Z187" s="11"/>
      <c r="AA187" s="11"/>
      <c r="AB187" s="11"/>
      <c r="AC187" s="11"/>
      <c r="AD187" s="11"/>
      <c r="AE187" s="11"/>
      <c r="AF187" s="12" t="str">
        <f aca="false">IF(O187="","",SUM(X187:AE187))</f>
        <v/>
      </c>
      <c r="AG187" s="12" t="str">
        <f aca="false">IF(O187="","",IFERROR(AF187/O187*1000,0))</f>
        <v/>
      </c>
      <c r="AH187" s="11"/>
      <c r="AI187" s="11"/>
      <c r="AJ187" s="11"/>
      <c r="AK187" s="9"/>
      <c r="AL187" s="9"/>
      <c r="AM187" s="9"/>
    </row>
    <row r="188" customFormat="false" ht="15" hidden="false" customHeight="true" outlineLevel="0" collapsed="false">
      <c r="A188" s="6"/>
      <c r="B188" s="7"/>
      <c r="C188" s="8"/>
      <c r="D188" s="8"/>
      <c r="E188" s="8"/>
      <c r="F188" s="9"/>
      <c r="G188" s="8"/>
      <c r="H188" s="10" t="str">
        <f aca="false">IFERROR(INDEX('Operator Master'!$B$5:$B$504,MATCH(G188,'Operator Master'!$A$5:$A$504,0)),"")</f>
        <v/>
      </c>
      <c r="I188" s="9"/>
      <c r="J188" s="9"/>
      <c r="K188" s="8"/>
      <c r="L188" s="9"/>
      <c r="M188" s="9"/>
      <c r="N188" s="11"/>
      <c r="O188" s="11"/>
      <c r="P188" s="12" t="str">
        <f aca="false">IF(OR(N188="",O188=""),"",IFERROR(O188/N188*100,0))</f>
        <v/>
      </c>
      <c r="Q188" s="10" t="n">
        <v>8</v>
      </c>
      <c r="R188" s="12" t="str">
        <f aca="false">IF(J188="","",Q188*J188)</f>
        <v/>
      </c>
      <c r="S188" s="11"/>
      <c r="T188" s="12" t="str">
        <f aca="false">IF(OR(R188="",S188=""),"",IFERROR(S188/R188*100,0))</f>
        <v/>
      </c>
      <c r="U188" s="12" t="str">
        <f aca="false">IF(OR(O188="",L188="",M188="",S188="",M188=0),"",IFERROR(O188/(L188*60*S188/(M188*36))*100,0))</f>
        <v/>
      </c>
      <c r="V188" s="11"/>
      <c r="W188" s="12" t="str">
        <f aca="false">IF(O188="","",IFERROR(V188/O188*100,0))</f>
        <v/>
      </c>
      <c r="X188" s="11"/>
      <c r="Y188" s="11"/>
      <c r="Z188" s="11"/>
      <c r="AA188" s="11"/>
      <c r="AB188" s="11"/>
      <c r="AC188" s="11"/>
      <c r="AD188" s="11"/>
      <c r="AE188" s="11"/>
      <c r="AF188" s="12" t="str">
        <f aca="false">IF(O188="","",SUM(X188:AE188))</f>
        <v/>
      </c>
      <c r="AG188" s="12" t="str">
        <f aca="false">IF(O188="","",IFERROR(AF188/O188*1000,0))</f>
        <v/>
      </c>
      <c r="AH188" s="11"/>
      <c r="AI188" s="11"/>
      <c r="AJ188" s="11"/>
      <c r="AK188" s="9"/>
      <c r="AL188" s="9"/>
      <c r="AM188" s="9"/>
    </row>
    <row r="189" customFormat="false" ht="15" hidden="false" customHeight="true" outlineLevel="0" collapsed="false">
      <c r="A189" s="6"/>
      <c r="B189" s="7"/>
      <c r="C189" s="8"/>
      <c r="D189" s="8"/>
      <c r="E189" s="8"/>
      <c r="F189" s="9"/>
      <c r="G189" s="8"/>
      <c r="H189" s="10" t="str">
        <f aca="false">IFERROR(INDEX('Operator Master'!$B$5:$B$504,MATCH(G189,'Operator Master'!$A$5:$A$504,0)),"")</f>
        <v/>
      </c>
      <c r="I189" s="9"/>
      <c r="J189" s="9"/>
      <c r="K189" s="8"/>
      <c r="L189" s="9"/>
      <c r="M189" s="9"/>
      <c r="N189" s="11"/>
      <c r="O189" s="11"/>
      <c r="P189" s="12" t="str">
        <f aca="false">IF(OR(N189="",O189=""),"",IFERROR(O189/N189*100,0))</f>
        <v/>
      </c>
      <c r="Q189" s="10" t="n">
        <v>8</v>
      </c>
      <c r="R189" s="12" t="str">
        <f aca="false">IF(J189="","",Q189*J189)</f>
        <v/>
      </c>
      <c r="S189" s="11"/>
      <c r="T189" s="12" t="str">
        <f aca="false">IF(OR(R189="",S189=""),"",IFERROR(S189/R189*100,0))</f>
        <v/>
      </c>
      <c r="U189" s="12" t="str">
        <f aca="false">IF(OR(O189="",L189="",M189="",S189="",M189=0),"",IFERROR(O189/(L189*60*S189/(M189*36))*100,0))</f>
        <v/>
      </c>
      <c r="V189" s="11"/>
      <c r="W189" s="12" t="str">
        <f aca="false">IF(O189="","",IFERROR(V189/O189*100,0))</f>
        <v/>
      </c>
      <c r="X189" s="11"/>
      <c r="Y189" s="11"/>
      <c r="Z189" s="11"/>
      <c r="AA189" s="11"/>
      <c r="AB189" s="11"/>
      <c r="AC189" s="11"/>
      <c r="AD189" s="11"/>
      <c r="AE189" s="11"/>
      <c r="AF189" s="12" t="str">
        <f aca="false">IF(O189="","",SUM(X189:AE189))</f>
        <v/>
      </c>
      <c r="AG189" s="12" t="str">
        <f aca="false">IF(O189="","",IFERROR(AF189/O189*1000,0))</f>
        <v/>
      </c>
      <c r="AH189" s="11"/>
      <c r="AI189" s="11"/>
      <c r="AJ189" s="11"/>
      <c r="AK189" s="9"/>
      <c r="AL189" s="9"/>
      <c r="AM189" s="9"/>
    </row>
    <row r="190" customFormat="false" ht="15" hidden="false" customHeight="true" outlineLevel="0" collapsed="false">
      <c r="A190" s="6"/>
      <c r="B190" s="7"/>
      <c r="C190" s="8"/>
      <c r="D190" s="8"/>
      <c r="E190" s="8"/>
      <c r="F190" s="9"/>
      <c r="G190" s="8"/>
      <c r="H190" s="10" t="str">
        <f aca="false">IFERROR(INDEX('Operator Master'!$B$5:$B$504,MATCH(G190,'Operator Master'!$A$5:$A$504,0)),"")</f>
        <v/>
      </c>
      <c r="I190" s="9"/>
      <c r="J190" s="9"/>
      <c r="K190" s="8"/>
      <c r="L190" s="9"/>
      <c r="M190" s="9"/>
      <c r="N190" s="11"/>
      <c r="O190" s="11"/>
      <c r="P190" s="12" t="str">
        <f aca="false">IF(OR(N190="",O190=""),"",IFERROR(O190/N190*100,0))</f>
        <v/>
      </c>
      <c r="Q190" s="10" t="n">
        <v>8</v>
      </c>
      <c r="R190" s="12" t="str">
        <f aca="false">IF(J190="","",Q190*J190)</f>
        <v/>
      </c>
      <c r="S190" s="11"/>
      <c r="T190" s="12" t="str">
        <f aca="false">IF(OR(R190="",S190=""),"",IFERROR(S190/R190*100,0))</f>
        <v/>
      </c>
      <c r="U190" s="12" t="str">
        <f aca="false">IF(OR(O190="",L190="",M190="",S190="",M190=0),"",IFERROR(O190/(L190*60*S190/(M190*36))*100,0))</f>
        <v/>
      </c>
      <c r="V190" s="11"/>
      <c r="W190" s="12" t="str">
        <f aca="false">IF(O190="","",IFERROR(V190/O190*100,0))</f>
        <v/>
      </c>
      <c r="X190" s="11"/>
      <c r="Y190" s="11"/>
      <c r="Z190" s="11"/>
      <c r="AA190" s="11"/>
      <c r="AB190" s="11"/>
      <c r="AC190" s="11"/>
      <c r="AD190" s="11"/>
      <c r="AE190" s="11"/>
      <c r="AF190" s="12" t="str">
        <f aca="false">IF(O190="","",SUM(X190:AE190))</f>
        <v/>
      </c>
      <c r="AG190" s="12" t="str">
        <f aca="false">IF(O190="","",IFERROR(AF190/O190*1000,0))</f>
        <v/>
      </c>
      <c r="AH190" s="11"/>
      <c r="AI190" s="11"/>
      <c r="AJ190" s="11"/>
      <c r="AK190" s="9"/>
      <c r="AL190" s="9"/>
      <c r="AM190" s="9"/>
    </row>
    <row r="191" customFormat="false" ht="15" hidden="false" customHeight="true" outlineLevel="0" collapsed="false">
      <c r="A191" s="6"/>
      <c r="B191" s="7"/>
      <c r="C191" s="8"/>
      <c r="D191" s="8"/>
      <c r="E191" s="8"/>
      <c r="F191" s="9"/>
      <c r="G191" s="8"/>
      <c r="H191" s="10" t="str">
        <f aca="false">IFERROR(INDEX('Operator Master'!$B$5:$B$504,MATCH(G191,'Operator Master'!$A$5:$A$504,0)),"")</f>
        <v/>
      </c>
      <c r="I191" s="9"/>
      <c r="J191" s="9"/>
      <c r="K191" s="8"/>
      <c r="L191" s="9"/>
      <c r="M191" s="9"/>
      <c r="N191" s="11"/>
      <c r="O191" s="11"/>
      <c r="P191" s="12" t="str">
        <f aca="false">IF(OR(N191="",O191=""),"",IFERROR(O191/N191*100,0))</f>
        <v/>
      </c>
      <c r="Q191" s="10" t="n">
        <v>8</v>
      </c>
      <c r="R191" s="12" t="str">
        <f aca="false">IF(J191="","",Q191*J191)</f>
        <v/>
      </c>
      <c r="S191" s="11"/>
      <c r="T191" s="12" t="str">
        <f aca="false">IF(OR(R191="",S191=""),"",IFERROR(S191/R191*100,0))</f>
        <v/>
      </c>
      <c r="U191" s="12" t="str">
        <f aca="false">IF(OR(O191="",L191="",M191="",S191="",M191=0),"",IFERROR(O191/(L191*60*S191/(M191*36))*100,0))</f>
        <v/>
      </c>
      <c r="V191" s="11"/>
      <c r="W191" s="12" t="str">
        <f aca="false">IF(O191="","",IFERROR(V191/O191*100,0))</f>
        <v/>
      </c>
      <c r="X191" s="11"/>
      <c r="Y191" s="11"/>
      <c r="Z191" s="11"/>
      <c r="AA191" s="11"/>
      <c r="AB191" s="11"/>
      <c r="AC191" s="11"/>
      <c r="AD191" s="11"/>
      <c r="AE191" s="11"/>
      <c r="AF191" s="12" t="str">
        <f aca="false">IF(O191="","",SUM(X191:AE191))</f>
        <v/>
      </c>
      <c r="AG191" s="12" t="str">
        <f aca="false">IF(O191="","",IFERROR(AF191/O191*1000,0))</f>
        <v/>
      </c>
      <c r="AH191" s="11"/>
      <c r="AI191" s="11"/>
      <c r="AJ191" s="11"/>
      <c r="AK191" s="9"/>
      <c r="AL191" s="9"/>
      <c r="AM191" s="9"/>
    </row>
    <row r="192" customFormat="false" ht="15" hidden="false" customHeight="true" outlineLevel="0" collapsed="false">
      <c r="A192" s="6"/>
      <c r="B192" s="7"/>
      <c r="C192" s="8"/>
      <c r="D192" s="8"/>
      <c r="E192" s="8"/>
      <c r="F192" s="9"/>
      <c r="G192" s="8"/>
      <c r="H192" s="10" t="str">
        <f aca="false">IFERROR(INDEX('Operator Master'!$B$5:$B$504,MATCH(G192,'Operator Master'!$A$5:$A$504,0)),"")</f>
        <v/>
      </c>
      <c r="I192" s="9"/>
      <c r="J192" s="9"/>
      <c r="K192" s="8"/>
      <c r="L192" s="9"/>
      <c r="M192" s="9"/>
      <c r="N192" s="11"/>
      <c r="O192" s="11"/>
      <c r="P192" s="12" t="str">
        <f aca="false">IF(OR(N192="",O192=""),"",IFERROR(O192/N192*100,0))</f>
        <v/>
      </c>
      <c r="Q192" s="10" t="n">
        <v>8</v>
      </c>
      <c r="R192" s="12" t="str">
        <f aca="false">IF(J192="","",Q192*J192)</f>
        <v/>
      </c>
      <c r="S192" s="11"/>
      <c r="T192" s="12" t="str">
        <f aca="false">IF(OR(R192="",S192=""),"",IFERROR(S192/R192*100,0))</f>
        <v/>
      </c>
      <c r="U192" s="12" t="str">
        <f aca="false">IF(OR(O192="",L192="",M192="",S192="",M192=0),"",IFERROR(O192/(L192*60*S192/(M192*36))*100,0))</f>
        <v/>
      </c>
      <c r="V192" s="11"/>
      <c r="W192" s="12" t="str">
        <f aca="false">IF(O192="","",IFERROR(V192/O192*100,0))</f>
        <v/>
      </c>
      <c r="X192" s="11"/>
      <c r="Y192" s="11"/>
      <c r="Z192" s="11"/>
      <c r="AA192" s="11"/>
      <c r="AB192" s="11"/>
      <c r="AC192" s="11"/>
      <c r="AD192" s="11"/>
      <c r="AE192" s="11"/>
      <c r="AF192" s="12" t="str">
        <f aca="false">IF(O192="","",SUM(X192:AE192))</f>
        <v/>
      </c>
      <c r="AG192" s="12" t="str">
        <f aca="false">IF(O192="","",IFERROR(AF192/O192*1000,0))</f>
        <v/>
      </c>
      <c r="AH192" s="11"/>
      <c r="AI192" s="11"/>
      <c r="AJ192" s="11"/>
      <c r="AK192" s="9"/>
      <c r="AL192" s="9"/>
      <c r="AM192" s="9"/>
    </row>
    <row r="193" customFormat="false" ht="15" hidden="false" customHeight="true" outlineLevel="0" collapsed="false">
      <c r="A193" s="6"/>
      <c r="B193" s="7"/>
      <c r="C193" s="8"/>
      <c r="D193" s="8"/>
      <c r="E193" s="8"/>
      <c r="F193" s="9"/>
      <c r="G193" s="8"/>
      <c r="H193" s="10" t="str">
        <f aca="false">IFERROR(INDEX('Operator Master'!$B$5:$B$504,MATCH(G193,'Operator Master'!$A$5:$A$504,0)),"")</f>
        <v/>
      </c>
      <c r="I193" s="9"/>
      <c r="J193" s="9"/>
      <c r="K193" s="8"/>
      <c r="L193" s="9"/>
      <c r="M193" s="9"/>
      <c r="N193" s="11"/>
      <c r="O193" s="11"/>
      <c r="P193" s="12" t="str">
        <f aca="false">IF(OR(N193="",O193=""),"",IFERROR(O193/N193*100,0))</f>
        <v/>
      </c>
      <c r="Q193" s="10" t="n">
        <v>8</v>
      </c>
      <c r="R193" s="12" t="str">
        <f aca="false">IF(J193="","",Q193*J193)</f>
        <v/>
      </c>
      <c r="S193" s="11"/>
      <c r="T193" s="12" t="str">
        <f aca="false">IF(OR(R193="",S193=""),"",IFERROR(S193/R193*100,0))</f>
        <v/>
      </c>
      <c r="U193" s="12" t="str">
        <f aca="false">IF(OR(O193="",L193="",M193="",S193="",M193=0),"",IFERROR(O193/(L193*60*S193/(M193*36))*100,0))</f>
        <v/>
      </c>
      <c r="V193" s="11"/>
      <c r="W193" s="12" t="str">
        <f aca="false">IF(O193="","",IFERROR(V193/O193*100,0))</f>
        <v/>
      </c>
      <c r="X193" s="11"/>
      <c r="Y193" s="11"/>
      <c r="Z193" s="11"/>
      <c r="AA193" s="11"/>
      <c r="AB193" s="11"/>
      <c r="AC193" s="11"/>
      <c r="AD193" s="11"/>
      <c r="AE193" s="11"/>
      <c r="AF193" s="12" t="str">
        <f aca="false">IF(O193="","",SUM(X193:AE193))</f>
        <v/>
      </c>
      <c r="AG193" s="12" t="str">
        <f aca="false">IF(O193="","",IFERROR(AF193/O193*1000,0))</f>
        <v/>
      </c>
      <c r="AH193" s="11"/>
      <c r="AI193" s="11"/>
      <c r="AJ193" s="11"/>
      <c r="AK193" s="9"/>
      <c r="AL193" s="9"/>
      <c r="AM193" s="9"/>
    </row>
    <row r="194" customFormat="false" ht="15" hidden="false" customHeight="true" outlineLevel="0" collapsed="false">
      <c r="A194" s="6"/>
      <c r="B194" s="7"/>
      <c r="C194" s="8"/>
      <c r="D194" s="8"/>
      <c r="E194" s="8"/>
      <c r="F194" s="9"/>
      <c r="G194" s="8"/>
      <c r="H194" s="10" t="str">
        <f aca="false">IFERROR(INDEX('Operator Master'!$B$5:$B$504,MATCH(G194,'Operator Master'!$A$5:$A$504,0)),"")</f>
        <v/>
      </c>
      <c r="I194" s="9"/>
      <c r="J194" s="9"/>
      <c r="K194" s="8"/>
      <c r="L194" s="9"/>
      <c r="M194" s="9"/>
      <c r="N194" s="11"/>
      <c r="O194" s="11"/>
      <c r="P194" s="12" t="str">
        <f aca="false">IF(OR(N194="",O194=""),"",IFERROR(O194/N194*100,0))</f>
        <v/>
      </c>
      <c r="Q194" s="10" t="n">
        <v>8</v>
      </c>
      <c r="R194" s="12" t="str">
        <f aca="false">IF(J194="","",Q194*J194)</f>
        <v/>
      </c>
      <c r="S194" s="11"/>
      <c r="T194" s="12" t="str">
        <f aca="false">IF(OR(R194="",S194=""),"",IFERROR(S194/R194*100,0))</f>
        <v/>
      </c>
      <c r="U194" s="12" t="str">
        <f aca="false">IF(OR(O194="",L194="",M194="",S194="",M194=0),"",IFERROR(O194/(L194*60*S194/(M194*36))*100,0))</f>
        <v/>
      </c>
      <c r="V194" s="11"/>
      <c r="W194" s="12" t="str">
        <f aca="false">IF(O194="","",IFERROR(V194/O194*100,0))</f>
        <v/>
      </c>
      <c r="X194" s="11"/>
      <c r="Y194" s="11"/>
      <c r="Z194" s="11"/>
      <c r="AA194" s="11"/>
      <c r="AB194" s="11"/>
      <c r="AC194" s="11"/>
      <c r="AD194" s="11"/>
      <c r="AE194" s="11"/>
      <c r="AF194" s="12" t="str">
        <f aca="false">IF(O194="","",SUM(X194:AE194))</f>
        <v/>
      </c>
      <c r="AG194" s="12" t="str">
        <f aca="false">IF(O194="","",IFERROR(AF194/O194*1000,0))</f>
        <v/>
      </c>
      <c r="AH194" s="11"/>
      <c r="AI194" s="11"/>
      <c r="AJ194" s="11"/>
      <c r="AK194" s="9"/>
      <c r="AL194" s="9"/>
      <c r="AM194" s="9"/>
    </row>
    <row r="195" customFormat="false" ht="15" hidden="false" customHeight="true" outlineLevel="0" collapsed="false">
      <c r="A195" s="6"/>
      <c r="B195" s="7"/>
      <c r="C195" s="8"/>
      <c r="D195" s="8"/>
      <c r="E195" s="8"/>
      <c r="F195" s="9"/>
      <c r="G195" s="8"/>
      <c r="H195" s="10" t="str">
        <f aca="false">IFERROR(INDEX('Operator Master'!$B$5:$B$504,MATCH(G195,'Operator Master'!$A$5:$A$504,0)),"")</f>
        <v/>
      </c>
      <c r="I195" s="9"/>
      <c r="J195" s="9"/>
      <c r="K195" s="8"/>
      <c r="L195" s="9"/>
      <c r="M195" s="9"/>
      <c r="N195" s="11"/>
      <c r="O195" s="11"/>
      <c r="P195" s="12" t="str">
        <f aca="false">IF(OR(N195="",O195=""),"",IFERROR(O195/N195*100,0))</f>
        <v/>
      </c>
      <c r="Q195" s="10" t="n">
        <v>8</v>
      </c>
      <c r="R195" s="12" t="str">
        <f aca="false">IF(J195="","",Q195*J195)</f>
        <v/>
      </c>
      <c r="S195" s="11"/>
      <c r="T195" s="12" t="str">
        <f aca="false">IF(OR(R195="",S195=""),"",IFERROR(S195/R195*100,0))</f>
        <v/>
      </c>
      <c r="U195" s="12" t="str">
        <f aca="false">IF(OR(O195="",L195="",M195="",S195="",M195=0),"",IFERROR(O195/(L195*60*S195/(M195*36))*100,0))</f>
        <v/>
      </c>
      <c r="V195" s="11"/>
      <c r="W195" s="12" t="str">
        <f aca="false">IF(O195="","",IFERROR(V195/O195*100,0))</f>
        <v/>
      </c>
      <c r="X195" s="11"/>
      <c r="Y195" s="11"/>
      <c r="Z195" s="11"/>
      <c r="AA195" s="11"/>
      <c r="AB195" s="11"/>
      <c r="AC195" s="11"/>
      <c r="AD195" s="11"/>
      <c r="AE195" s="11"/>
      <c r="AF195" s="12" t="str">
        <f aca="false">IF(O195="","",SUM(X195:AE195))</f>
        <v/>
      </c>
      <c r="AG195" s="12" t="str">
        <f aca="false">IF(O195="","",IFERROR(AF195/O195*1000,0))</f>
        <v/>
      </c>
      <c r="AH195" s="11"/>
      <c r="AI195" s="11"/>
      <c r="AJ195" s="11"/>
      <c r="AK195" s="9"/>
      <c r="AL195" s="9"/>
      <c r="AM195" s="9"/>
    </row>
    <row r="196" customFormat="false" ht="15" hidden="false" customHeight="true" outlineLevel="0" collapsed="false">
      <c r="A196" s="6"/>
      <c r="B196" s="7"/>
      <c r="C196" s="8"/>
      <c r="D196" s="8"/>
      <c r="E196" s="8"/>
      <c r="F196" s="9"/>
      <c r="G196" s="8"/>
      <c r="H196" s="10" t="str">
        <f aca="false">IFERROR(INDEX('Operator Master'!$B$5:$B$504,MATCH(G196,'Operator Master'!$A$5:$A$504,0)),"")</f>
        <v/>
      </c>
      <c r="I196" s="9"/>
      <c r="J196" s="9"/>
      <c r="K196" s="8"/>
      <c r="L196" s="9"/>
      <c r="M196" s="9"/>
      <c r="N196" s="11"/>
      <c r="O196" s="11"/>
      <c r="P196" s="12" t="str">
        <f aca="false">IF(OR(N196="",O196=""),"",IFERROR(O196/N196*100,0))</f>
        <v/>
      </c>
      <c r="Q196" s="10" t="n">
        <v>8</v>
      </c>
      <c r="R196" s="12" t="str">
        <f aca="false">IF(J196="","",Q196*J196)</f>
        <v/>
      </c>
      <c r="S196" s="11"/>
      <c r="T196" s="12" t="str">
        <f aca="false">IF(OR(R196="",S196=""),"",IFERROR(S196/R196*100,0))</f>
        <v/>
      </c>
      <c r="U196" s="12" t="str">
        <f aca="false">IF(OR(O196="",L196="",M196="",S196="",M196=0),"",IFERROR(O196/(L196*60*S196/(M196*36))*100,0))</f>
        <v/>
      </c>
      <c r="V196" s="11"/>
      <c r="W196" s="12" t="str">
        <f aca="false">IF(O196="","",IFERROR(V196/O196*100,0))</f>
        <v/>
      </c>
      <c r="X196" s="11"/>
      <c r="Y196" s="11"/>
      <c r="Z196" s="11"/>
      <c r="AA196" s="11"/>
      <c r="AB196" s="11"/>
      <c r="AC196" s="11"/>
      <c r="AD196" s="11"/>
      <c r="AE196" s="11"/>
      <c r="AF196" s="12" t="str">
        <f aca="false">IF(O196="","",SUM(X196:AE196))</f>
        <v/>
      </c>
      <c r="AG196" s="12" t="str">
        <f aca="false">IF(O196="","",IFERROR(AF196/O196*1000,0))</f>
        <v/>
      </c>
      <c r="AH196" s="11"/>
      <c r="AI196" s="11"/>
      <c r="AJ196" s="11"/>
      <c r="AK196" s="9"/>
      <c r="AL196" s="9"/>
      <c r="AM196" s="9"/>
    </row>
    <row r="197" customFormat="false" ht="15" hidden="false" customHeight="true" outlineLevel="0" collapsed="false">
      <c r="A197" s="6"/>
      <c r="B197" s="7"/>
      <c r="C197" s="8"/>
      <c r="D197" s="8"/>
      <c r="E197" s="8"/>
      <c r="F197" s="9"/>
      <c r="G197" s="8"/>
      <c r="H197" s="10" t="str">
        <f aca="false">IFERROR(INDEX('Operator Master'!$B$5:$B$504,MATCH(G197,'Operator Master'!$A$5:$A$504,0)),"")</f>
        <v/>
      </c>
      <c r="I197" s="9"/>
      <c r="J197" s="9"/>
      <c r="K197" s="8"/>
      <c r="L197" s="9"/>
      <c r="M197" s="9"/>
      <c r="N197" s="11"/>
      <c r="O197" s="11"/>
      <c r="P197" s="12" t="str">
        <f aca="false">IF(OR(N197="",O197=""),"",IFERROR(O197/N197*100,0))</f>
        <v/>
      </c>
      <c r="Q197" s="10" t="n">
        <v>8</v>
      </c>
      <c r="R197" s="12" t="str">
        <f aca="false">IF(J197="","",Q197*J197)</f>
        <v/>
      </c>
      <c r="S197" s="11"/>
      <c r="T197" s="12" t="str">
        <f aca="false">IF(OR(R197="",S197=""),"",IFERROR(S197/R197*100,0))</f>
        <v/>
      </c>
      <c r="U197" s="12" t="str">
        <f aca="false">IF(OR(O197="",L197="",M197="",S197="",M197=0),"",IFERROR(O197/(L197*60*S197/(M197*36))*100,0))</f>
        <v/>
      </c>
      <c r="V197" s="11"/>
      <c r="W197" s="12" t="str">
        <f aca="false">IF(O197="","",IFERROR(V197/O197*100,0))</f>
        <v/>
      </c>
      <c r="X197" s="11"/>
      <c r="Y197" s="11"/>
      <c r="Z197" s="11"/>
      <c r="AA197" s="11"/>
      <c r="AB197" s="11"/>
      <c r="AC197" s="11"/>
      <c r="AD197" s="11"/>
      <c r="AE197" s="11"/>
      <c r="AF197" s="12" t="str">
        <f aca="false">IF(O197="","",SUM(X197:AE197))</f>
        <v/>
      </c>
      <c r="AG197" s="12" t="str">
        <f aca="false">IF(O197="","",IFERROR(AF197/O197*1000,0))</f>
        <v/>
      </c>
      <c r="AH197" s="11"/>
      <c r="AI197" s="11"/>
      <c r="AJ197" s="11"/>
      <c r="AK197" s="9"/>
      <c r="AL197" s="9"/>
      <c r="AM197" s="9"/>
    </row>
    <row r="198" customFormat="false" ht="15" hidden="false" customHeight="true" outlineLevel="0" collapsed="false">
      <c r="A198" s="6"/>
      <c r="B198" s="7"/>
      <c r="C198" s="8"/>
      <c r="D198" s="8"/>
      <c r="E198" s="8"/>
      <c r="F198" s="9"/>
      <c r="G198" s="8"/>
      <c r="H198" s="10" t="str">
        <f aca="false">IFERROR(INDEX('Operator Master'!$B$5:$B$504,MATCH(G198,'Operator Master'!$A$5:$A$504,0)),"")</f>
        <v/>
      </c>
      <c r="I198" s="9"/>
      <c r="J198" s="9"/>
      <c r="K198" s="8"/>
      <c r="L198" s="9"/>
      <c r="M198" s="9"/>
      <c r="N198" s="11"/>
      <c r="O198" s="11"/>
      <c r="P198" s="12" t="str">
        <f aca="false">IF(OR(N198="",O198=""),"",IFERROR(O198/N198*100,0))</f>
        <v/>
      </c>
      <c r="Q198" s="10" t="n">
        <v>8</v>
      </c>
      <c r="R198" s="12" t="str">
        <f aca="false">IF(J198="","",Q198*J198)</f>
        <v/>
      </c>
      <c r="S198" s="11"/>
      <c r="T198" s="12" t="str">
        <f aca="false">IF(OR(R198="",S198=""),"",IFERROR(S198/R198*100,0))</f>
        <v/>
      </c>
      <c r="U198" s="12" t="str">
        <f aca="false">IF(OR(O198="",L198="",M198="",S198="",M198=0),"",IFERROR(O198/(L198*60*S198/(M198*36))*100,0))</f>
        <v/>
      </c>
      <c r="V198" s="11"/>
      <c r="W198" s="12" t="str">
        <f aca="false">IF(O198="","",IFERROR(V198/O198*100,0))</f>
        <v/>
      </c>
      <c r="X198" s="11"/>
      <c r="Y198" s="11"/>
      <c r="Z198" s="11"/>
      <c r="AA198" s="11"/>
      <c r="AB198" s="11"/>
      <c r="AC198" s="11"/>
      <c r="AD198" s="11"/>
      <c r="AE198" s="11"/>
      <c r="AF198" s="12" t="str">
        <f aca="false">IF(O198="","",SUM(X198:AE198))</f>
        <v/>
      </c>
      <c r="AG198" s="12" t="str">
        <f aca="false">IF(O198="","",IFERROR(AF198/O198*1000,0))</f>
        <v/>
      </c>
      <c r="AH198" s="11"/>
      <c r="AI198" s="11"/>
      <c r="AJ198" s="11"/>
      <c r="AK198" s="9"/>
      <c r="AL198" s="9"/>
      <c r="AM198" s="9"/>
    </row>
    <row r="199" customFormat="false" ht="15" hidden="false" customHeight="true" outlineLevel="0" collapsed="false">
      <c r="A199" s="6"/>
      <c r="B199" s="7"/>
      <c r="C199" s="8"/>
      <c r="D199" s="8"/>
      <c r="E199" s="8"/>
      <c r="F199" s="9"/>
      <c r="G199" s="8"/>
      <c r="H199" s="10" t="str">
        <f aca="false">IFERROR(INDEX('Operator Master'!$B$5:$B$504,MATCH(G199,'Operator Master'!$A$5:$A$504,0)),"")</f>
        <v/>
      </c>
      <c r="I199" s="9"/>
      <c r="J199" s="9"/>
      <c r="K199" s="8"/>
      <c r="L199" s="9"/>
      <c r="M199" s="9"/>
      <c r="N199" s="11"/>
      <c r="O199" s="11"/>
      <c r="P199" s="12" t="str">
        <f aca="false">IF(OR(N199="",O199=""),"",IFERROR(O199/N199*100,0))</f>
        <v/>
      </c>
      <c r="Q199" s="10" t="n">
        <v>8</v>
      </c>
      <c r="R199" s="12" t="str">
        <f aca="false">IF(J199="","",Q199*J199)</f>
        <v/>
      </c>
      <c r="S199" s="11"/>
      <c r="T199" s="12" t="str">
        <f aca="false">IF(OR(R199="",S199=""),"",IFERROR(S199/R199*100,0))</f>
        <v/>
      </c>
      <c r="U199" s="12" t="str">
        <f aca="false">IF(OR(O199="",L199="",M199="",S199="",M199=0),"",IFERROR(O199/(L199*60*S199/(M199*36))*100,0))</f>
        <v/>
      </c>
      <c r="V199" s="11"/>
      <c r="W199" s="12" t="str">
        <f aca="false">IF(O199="","",IFERROR(V199/O199*100,0))</f>
        <v/>
      </c>
      <c r="X199" s="11"/>
      <c r="Y199" s="11"/>
      <c r="Z199" s="11"/>
      <c r="AA199" s="11"/>
      <c r="AB199" s="11"/>
      <c r="AC199" s="11"/>
      <c r="AD199" s="11"/>
      <c r="AE199" s="11"/>
      <c r="AF199" s="12" t="str">
        <f aca="false">IF(O199="","",SUM(X199:AE199))</f>
        <v/>
      </c>
      <c r="AG199" s="12" t="str">
        <f aca="false">IF(O199="","",IFERROR(AF199/O199*1000,0))</f>
        <v/>
      </c>
      <c r="AH199" s="11"/>
      <c r="AI199" s="11"/>
      <c r="AJ199" s="11"/>
      <c r="AK199" s="9"/>
      <c r="AL199" s="9"/>
      <c r="AM199" s="9"/>
    </row>
    <row r="200" customFormat="false" ht="15" hidden="false" customHeight="true" outlineLevel="0" collapsed="false">
      <c r="A200" s="6"/>
      <c r="B200" s="7"/>
      <c r="C200" s="8"/>
      <c r="D200" s="8"/>
      <c r="E200" s="8"/>
      <c r="F200" s="9"/>
      <c r="G200" s="8"/>
      <c r="H200" s="10" t="str">
        <f aca="false">IFERROR(INDEX('Operator Master'!$B$5:$B$504,MATCH(G200,'Operator Master'!$A$5:$A$504,0)),"")</f>
        <v/>
      </c>
      <c r="I200" s="9"/>
      <c r="J200" s="9"/>
      <c r="K200" s="8"/>
      <c r="L200" s="9"/>
      <c r="M200" s="9"/>
      <c r="N200" s="11"/>
      <c r="O200" s="11"/>
      <c r="P200" s="12" t="str">
        <f aca="false">IF(OR(N200="",O200=""),"",IFERROR(O200/N200*100,0))</f>
        <v/>
      </c>
      <c r="Q200" s="10" t="n">
        <v>8</v>
      </c>
      <c r="R200" s="12" t="str">
        <f aca="false">IF(J200="","",Q200*J200)</f>
        <v/>
      </c>
      <c r="S200" s="11"/>
      <c r="T200" s="12" t="str">
        <f aca="false">IF(OR(R200="",S200=""),"",IFERROR(S200/R200*100,0))</f>
        <v/>
      </c>
      <c r="U200" s="12" t="str">
        <f aca="false">IF(OR(O200="",L200="",M200="",S200="",M200=0),"",IFERROR(O200/(L200*60*S200/(M200*36))*100,0))</f>
        <v/>
      </c>
      <c r="V200" s="11"/>
      <c r="W200" s="12" t="str">
        <f aca="false">IF(O200="","",IFERROR(V200/O200*100,0))</f>
        <v/>
      </c>
      <c r="X200" s="11"/>
      <c r="Y200" s="11"/>
      <c r="Z200" s="11"/>
      <c r="AA200" s="11"/>
      <c r="AB200" s="11"/>
      <c r="AC200" s="11"/>
      <c r="AD200" s="11"/>
      <c r="AE200" s="11"/>
      <c r="AF200" s="12" t="str">
        <f aca="false">IF(O200="","",SUM(X200:AE200))</f>
        <v/>
      </c>
      <c r="AG200" s="12" t="str">
        <f aca="false">IF(O200="","",IFERROR(AF200/O200*1000,0))</f>
        <v/>
      </c>
      <c r="AH200" s="11"/>
      <c r="AI200" s="11"/>
      <c r="AJ200" s="11"/>
      <c r="AK200" s="9"/>
      <c r="AL200" s="9"/>
      <c r="AM200" s="9"/>
    </row>
    <row r="201" customFormat="false" ht="15" hidden="false" customHeight="true" outlineLevel="0" collapsed="false">
      <c r="A201" s="6"/>
      <c r="B201" s="7"/>
      <c r="C201" s="8"/>
      <c r="D201" s="8"/>
      <c r="E201" s="8"/>
      <c r="F201" s="9"/>
      <c r="G201" s="8"/>
      <c r="H201" s="10" t="str">
        <f aca="false">IFERROR(INDEX('Operator Master'!$B$5:$B$504,MATCH(G201,'Operator Master'!$A$5:$A$504,0)),"")</f>
        <v/>
      </c>
      <c r="I201" s="9"/>
      <c r="J201" s="9"/>
      <c r="K201" s="8"/>
      <c r="L201" s="9"/>
      <c r="M201" s="9"/>
      <c r="N201" s="11"/>
      <c r="O201" s="11"/>
      <c r="P201" s="12" t="str">
        <f aca="false">IF(OR(N201="",O201=""),"",IFERROR(O201/N201*100,0))</f>
        <v/>
      </c>
      <c r="Q201" s="10" t="n">
        <v>8</v>
      </c>
      <c r="R201" s="12" t="str">
        <f aca="false">IF(J201="","",Q201*J201)</f>
        <v/>
      </c>
      <c r="S201" s="11"/>
      <c r="T201" s="12" t="str">
        <f aca="false">IF(OR(R201="",S201=""),"",IFERROR(S201/R201*100,0))</f>
        <v/>
      </c>
      <c r="U201" s="12" t="str">
        <f aca="false">IF(OR(O201="",L201="",M201="",S201="",M201=0),"",IFERROR(O201/(L201*60*S201/(M201*36))*100,0))</f>
        <v/>
      </c>
      <c r="V201" s="11"/>
      <c r="W201" s="12" t="str">
        <f aca="false">IF(O201="","",IFERROR(V201/O201*100,0))</f>
        <v/>
      </c>
      <c r="X201" s="11"/>
      <c r="Y201" s="11"/>
      <c r="Z201" s="11"/>
      <c r="AA201" s="11"/>
      <c r="AB201" s="11"/>
      <c r="AC201" s="11"/>
      <c r="AD201" s="11"/>
      <c r="AE201" s="11"/>
      <c r="AF201" s="12" t="str">
        <f aca="false">IF(O201="","",SUM(X201:AE201))</f>
        <v/>
      </c>
      <c r="AG201" s="12" t="str">
        <f aca="false">IF(O201="","",IFERROR(AF201/O201*1000,0))</f>
        <v/>
      </c>
      <c r="AH201" s="11"/>
      <c r="AI201" s="11"/>
      <c r="AJ201" s="11"/>
      <c r="AK201" s="9"/>
      <c r="AL201" s="9"/>
      <c r="AM201" s="9"/>
    </row>
    <row r="202" customFormat="false" ht="15" hidden="false" customHeight="true" outlineLevel="0" collapsed="false">
      <c r="A202" s="6"/>
      <c r="B202" s="7"/>
      <c r="C202" s="8"/>
      <c r="D202" s="8"/>
      <c r="E202" s="8"/>
      <c r="F202" s="9"/>
      <c r="G202" s="8"/>
      <c r="H202" s="10" t="str">
        <f aca="false">IFERROR(INDEX('Operator Master'!$B$5:$B$504,MATCH(G202,'Operator Master'!$A$5:$A$504,0)),"")</f>
        <v/>
      </c>
      <c r="I202" s="9"/>
      <c r="J202" s="9"/>
      <c r="K202" s="8"/>
      <c r="L202" s="9"/>
      <c r="M202" s="9"/>
      <c r="N202" s="11"/>
      <c r="O202" s="11"/>
      <c r="P202" s="12" t="str">
        <f aca="false">IF(OR(N202="",O202=""),"",IFERROR(O202/N202*100,0))</f>
        <v/>
      </c>
      <c r="Q202" s="10" t="n">
        <v>8</v>
      </c>
      <c r="R202" s="12" t="str">
        <f aca="false">IF(J202="","",Q202*J202)</f>
        <v/>
      </c>
      <c r="S202" s="11"/>
      <c r="T202" s="12" t="str">
        <f aca="false">IF(OR(R202="",S202=""),"",IFERROR(S202/R202*100,0))</f>
        <v/>
      </c>
      <c r="U202" s="12" t="str">
        <f aca="false">IF(OR(O202="",L202="",M202="",S202="",M202=0),"",IFERROR(O202/(L202*60*S202/(M202*36))*100,0))</f>
        <v/>
      </c>
      <c r="V202" s="11"/>
      <c r="W202" s="12" t="str">
        <f aca="false">IF(O202="","",IFERROR(V202/O202*100,0))</f>
        <v/>
      </c>
      <c r="X202" s="11"/>
      <c r="Y202" s="11"/>
      <c r="Z202" s="11"/>
      <c r="AA202" s="11"/>
      <c r="AB202" s="11"/>
      <c r="AC202" s="11"/>
      <c r="AD202" s="11"/>
      <c r="AE202" s="11"/>
      <c r="AF202" s="12" t="str">
        <f aca="false">IF(O202="","",SUM(X202:AE202))</f>
        <v/>
      </c>
      <c r="AG202" s="12" t="str">
        <f aca="false">IF(O202="","",IFERROR(AF202/O202*1000,0))</f>
        <v/>
      </c>
      <c r="AH202" s="11"/>
      <c r="AI202" s="11"/>
      <c r="AJ202" s="11"/>
      <c r="AK202" s="9"/>
      <c r="AL202" s="9"/>
      <c r="AM202" s="9"/>
    </row>
    <row r="203" customFormat="false" ht="15" hidden="false" customHeight="true" outlineLevel="0" collapsed="false">
      <c r="A203" s="6"/>
      <c r="B203" s="7"/>
      <c r="C203" s="8"/>
      <c r="D203" s="8"/>
      <c r="E203" s="8"/>
      <c r="F203" s="9"/>
      <c r="G203" s="8"/>
      <c r="H203" s="10" t="str">
        <f aca="false">IFERROR(INDEX('Operator Master'!$B$5:$B$504,MATCH(G203,'Operator Master'!$A$5:$A$504,0)),"")</f>
        <v/>
      </c>
      <c r="I203" s="9"/>
      <c r="J203" s="9"/>
      <c r="K203" s="8"/>
      <c r="L203" s="9"/>
      <c r="M203" s="9"/>
      <c r="N203" s="11"/>
      <c r="O203" s="11"/>
      <c r="P203" s="12" t="str">
        <f aca="false">IF(OR(N203="",O203=""),"",IFERROR(O203/N203*100,0))</f>
        <v/>
      </c>
      <c r="Q203" s="10" t="n">
        <v>8</v>
      </c>
      <c r="R203" s="12" t="str">
        <f aca="false">IF(J203="","",Q203*J203)</f>
        <v/>
      </c>
      <c r="S203" s="11"/>
      <c r="T203" s="12" t="str">
        <f aca="false">IF(OR(R203="",S203=""),"",IFERROR(S203/R203*100,0))</f>
        <v/>
      </c>
      <c r="U203" s="12" t="str">
        <f aca="false">IF(OR(O203="",L203="",M203="",S203="",M203=0),"",IFERROR(O203/(L203*60*S203/(M203*36))*100,0))</f>
        <v/>
      </c>
      <c r="V203" s="11"/>
      <c r="W203" s="12" t="str">
        <f aca="false">IF(O203="","",IFERROR(V203/O203*100,0))</f>
        <v/>
      </c>
      <c r="X203" s="11"/>
      <c r="Y203" s="11"/>
      <c r="Z203" s="11"/>
      <c r="AA203" s="11"/>
      <c r="AB203" s="11"/>
      <c r="AC203" s="11"/>
      <c r="AD203" s="11"/>
      <c r="AE203" s="11"/>
      <c r="AF203" s="12" t="str">
        <f aca="false">IF(O203="","",SUM(X203:AE203))</f>
        <v/>
      </c>
      <c r="AG203" s="12" t="str">
        <f aca="false">IF(O203="","",IFERROR(AF203/O203*1000,0))</f>
        <v/>
      </c>
      <c r="AH203" s="11"/>
      <c r="AI203" s="11"/>
      <c r="AJ203" s="11"/>
      <c r="AK203" s="9"/>
      <c r="AL203" s="9"/>
      <c r="AM203" s="9"/>
    </row>
    <row r="204" customFormat="false" ht="15" hidden="false" customHeight="true" outlineLevel="0" collapsed="false">
      <c r="A204" s="6"/>
      <c r="B204" s="7"/>
      <c r="C204" s="8"/>
      <c r="D204" s="8"/>
      <c r="E204" s="8"/>
      <c r="F204" s="9"/>
      <c r="G204" s="8"/>
      <c r="H204" s="10" t="str">
        <f aca="false">IFERROR(INDEX('Operator Master'!$B$5:$B$504,MATCH(G204,'Operator Master'!$A$5:$A$504,0)),"")</f>
        <v/>
      </c>
      <c r="I204" s="9"/>
      <c r="J204" s="9"/>
      <c r="K204" s="8"/>
      <c r="L204" s="9"/>
      <c r="M204" s="9"/>
      <c r="N204" s="11"/>
      <c r="O204" s="11"/>
      <c r="P204" s="12" t="str">
        <f aca="false">IF(OR(N204="",O204=""),"",IFERROR(O204/N204*100,0))</f>
        <v/>
      </c>
      <c r="Q204" s="10" t="n">
        <v>8</v>
      </c>
      <c r="R204" s="12" t="str">
        <f aca="false">IF(J204="","",Q204*J204)</f>
        <v/>
      </c>
      <c r="S204" s="11"/>
      <c r="T204" s="12" t="str">
        <f aca="false">IF(OR(R204="",S204=""),"",IFERROR(S204/R204*100,0))</f>
        <v/>
      </c>
      <c r="U204" s="12" t="str">
        <f aca="false">IF(OR(O204="",L204="",M204="",S204="",M204=0),"",IFERROR(O204/(L204*60*S204/(M204*36))*100,0))</f>
        <v/>
      </c>
      <c r="V204" s="11"/>
      <c r="W204" s="12" t="str">
        <f aca="false">IF(O204="","",IFERROR(V204/O204*100,0))</f>
        <v/>
      </c>
      <c r="X204" s="11"/>
      <c r="Y204" s="11"/>
      <c r="Z204" s="11"/>
      <c r="AA204" s="11"/>
      <c r="AB204" s="11"/>
      <c r="AC204" s="11"/>
      <c r="AD204" s="11"/>
      <c r="AE204" s="11"/>
      <c r="AF204" s="12" t="str">
        <f aca="false">IF(O204="","",SUM(X204:AE204))</f>
        <v/>
      </c>
      <c r="AG204" s="12" t="str">
        <f aca="false">IF(O204="","",IFERROR(AF204/O204*1000,0))</f>
        <v/>
      </c>
      <c r="AH204" s="11"/>
      <c r="AI204" s="11"/>
      <c r="AJ204" s="11"/>
      <c r="AK204" s="9"/>
      <c r="AL204" s="9"/>
      <c r="AM204" s="9"/>
    </row>
    <row r="205" customFormat="false" ht="15" hidden="false" customHeight="true" outlineLevel="0" collapsed="false">
      <c r="A205" s="6"/>
      <c r="B205" s="7"/>
      <c r="C205" s="8"/>
      <c r="D205" s="8"/>
      <c r="E205" s="8"/>
      <c r="F205" s="9"/>
      <c r="G205" s="8"/>
      <c r="H205" s="10" t="str">
        <f aca="false">IFERROR(INDEX('Operator Master'!$B$5:$B$504,MATCH(G205,'Operator Master'!$A$5:$A$504,0)),"")</f>
        <v/>
      </c>
      <c r="I205" s="9"/>
      <c r="J205" s="9"/>
      <c r="K205" s="8"/>
      <c r="L205" s="9"/>
      <c r="M205" s="9"/>
      <c r="N205" s="11"/>
      <c r="O205" s="11"/>
      <c r="P205" s="12" t="str">
        <f aca="false">IF(OR(N205="",O205=""),"",IFERROR(O205/N205*100,0))</f>
        <v/>
      </c>
      <c r="Q205" s="10" t="n">
        <v>8</v>
      </c>
      <c r="R205" s="12" t="str">
        <f aca="false">IF(J205="","",Q205*J205)</f>
        <v/>
      </c>
      <c r="S205" s="11"/>
      <c r="T205" s="12" t="str">
        <f aca="false">IF(OR(R205="",S205=""),"",IFERROR(S205/R205*100,0))</f>
        <v/>
      </c>
      <c r="U205" s="12" t="str">
        <f aca="false">IF(OR(O205="",L205="",M205="",S205="",M205=0),"",IFERROR(O205/(L205*60*S205/(M205*36))*100,0))</f>
        <v/>
      </c>
      <c r="V205" s="11"/>
      <c r="W205" s="12" t="str">
        <f aca="false">IF(O205="","",IFERROR(V205/O205*100,0))</f>
        <v/>
      </c>
      <c r="X205" s="11"/>
      <c r="Y205" s="11"/>
      <c r="Z205" s="11"/>
      <c r="AA205" s="11"/>
      <c r="AB205" s="11"/>
      <c r="AC205" s="11"/>
      <c r="AD205" s="11"/>
      <c r="AE205" s="11"/>
      <c r="AF205" s="12" t="str">
        <f aca="false">IF(O205="","",SUM(X205:AE205))</f>
        <v/>
      </c>
      <c r="AG205" s="12" t="str">
        <f aca="false">IF(O205="","",IFERROR(AF205/O205*1000,0))</f>
        <v/>
      </c>
      <c r="AH205" s="11"/>
      <c r="AI205" s="11"/>
      <c r="AJ205" s="11"/>
      <c r="AK205" s="9"/>
      <c r="AL205" s="9"/>
      <c r="AM205" s="9"/>
    </row>
    <row r="206" customFormat="false" ht="15" hidden="false" customHeight="true" outlineLevel="0" collapsed="false">
      <c r="A206" s="6"/>
      <c r="B206" s="7"/>
      <c r="C206" s="8"/>
      <c r="D206" s="8"/>
      <c r="E206" s="8"/>
      <c r="F206" s="9"/>
      <c r="G206" s="8"/>
      <c r="H206" s="10" t="str">
        <f aca="false">IFERROR(INDEX('Operator Master'!$B$5:$B$504,MATCH(G206,'Operator Master'!$A$5:$A$504,0)),"")</f>
        <v/>
      </c>
      <c r="I206" s="9"/>
      <c r="J206" s="9"/>
      <c r="K206" s="8"/>
      <c r="L206" s="9"/>
      <c r="M206" s="9"/>
      <c r="N206" s="11"/>
      <c r="O206" s="11"/>
      <c r="P206" s="12" t="str">
        <f aca="false">IF(OR(N206="",O206=""),"",IFERROR(O206/N206*100,0))</f>
        <v/>
      </c>
      <c r="Q206" s="10" t="n">
        <v>8</v>
      </c>
      <c r="R206" s="12" t="str">
        <f aca="false">IF(J206="","",Q206*J206)</f>
        <v/>
      </c>
      <c r="S206" s="11"/>
      <c r="T206" s="12" t="str">
        <f aca="false">IF(OR(R206="",S206=""),"",IFERROR(S206/R206*100,0))</f>
        <v/>
      </c>
      <c r="U206" s="12" t="str">
        <f aca="false">IF(OR(O206="",L206="",M206="",S206="",M206=0),"",IFERROR(O206/(L206*60*S206/(M206*36))*100,0))</f>
        <v/>
      </c>
      <c r="V206" s="11"/>
      <c r="W206" s="12" t="str">
        <f aca="false">IF(O206="","",IFERROR(V206/O206*100,0))</f>
        <v/>
      </c>
      <c r="X206" s="11"/>
      <c r="Y206" s="11"/>
      <c r="Z206" s="11"/>
      <c r="AA206" s="11"/>
      <c r="AB206" s="11"/>
      <c r="AC206" s="11"/>
      <c r="AD206" s="11"/>
      <c r="AE206" s="11"/>
      <c r="AF206" s="12" t="str">
        <f aca="false">IF(O206="","",SUM(X206:AE206))</f>
        <v/>
      </c>
      <c r="AG206" s="12" t="str">
        <f aca="false">IF(O206="","",IFERROR(AF206/O206*1000,0))</f>
        <v/>
      </c>
      <c r="AH206" s="11"/>
      <c r="AI206" s="11"/>
      <c r="AJ206" s="11"/>
      <c r="AK206" s="9"/>
      <c r="AL206" s="9"/>
      <c r="AM206" s="9"/>
    </row>
    <row r="207" customFormat="false" ht="15" hidden="false" customHeight="true" outlineLevel="0" collapsed="false">
      <c r="A207" s="6"/>
      <c r="B207" s="7"/>
      <c r="C207" s="8"/>
      <c r="D207" s="8"/>
      <c r="E207" s="8"/>
      <c r="F207" s="9"/>
      <c r="G207" s="8"/>
      <c r="H207" s="10" t="str">
        <f aca="false">IFERROR(INDEX('Operator Master'!$B$5:$B$504,MATCH(G207,'Operator Master'!$A$5:$A$504,0)),"")</f>
        <v/>
      </c>
      <c r="I207" s="9"/>
      <c r="J207" s="9"/>
      <c r="K207" s="8"/>
      <c r="L207" s="9"/>
      <c r="M207" s="9"/>
      <c r="N207" s="11"/>
      <c r="O207" s="11"/>
      <c r="P207" s="12" t="str">
        <f aca="false">IF(OR(N207="",O207=""),"",IFERROR(O207/N207*100,0))</f>
        <v/>
      </c>
      <c r="Q207" s="10" t="n">
        <v>8</v>
      </c>
      <c r="R207" s="12" t="str">
        <f aca="false">IF(J207="","",Q207*J207)</f>
        <v/>
      </c>
      <c r="S207" s="11"/>
      <c r="T207" s="12" t="str">
        <f aca="false">IF(OR(R207="",S207=""),"",IFERROR(S207/R207*100,0))</f>
        <v/>
      </c>
      <c r="U207" s="12" t="str">
        <f aca="false">IF(OR(O207="",L207="",M207="",S207="",M207=0),"",IFERROR(O207/(L207*60*S207/(M207*36))*100,0))</f>
        <v/>
      </c>
      <c r="V207" s="11"/>
      <c r="W207" s="12" t="str">
        <f aca="false">IF(O207="","",IFERROR(V207/O207*100,0))</f>
        <v/>
      </c>
      <c r="X207" s="11"/>
      <c r="Y207" s="11"/>
      <c r="Z207" s="11"/>
      <c r="AA207" s="11"/>
      <c r="AB207" s="11"/>
      <c r="AC207" s="11"/>
      <c r="AD207" s="11"/>
      <c r="AE207" s="11"/>
      <c r="AF207" s="12" t="str">
        <f aca="false">IF(O207="","",SUM(X207:AE207))</f>
        <v/>
      </c>
      <c r="AG207" s="12" t="str">
        <f aca="false">IF(O207="","",IFERROR(AF207/O207*1000,0))</f>
        <v/>
      </c>
      <c r="AH207" s="11"/>
      <c r="AI207" s="11"/>
      <c r="AJ207" s="11"/>
      <c r="AK207" s="9"/>
      <c r="AL207" s="9"/>
      <c r="AM207" s="9"/>
    </row>
    <row r="208" customFormat="false" ht="15" hidden="false" customHeight="true" outlineLevel="0" collapsed="false">
      <c r="A208" s="6"/>
      <c r="B208" s="7"/>
      <c r="C208" s="8"/>
      <c r="D208" s="8"/>
      <c r="E208" s="8"/>
      <c r="F208" s="9"/>
      <c r="G208" s="8"/>
      <c r="H208" s="10" t="str">
        <f aca="false">IFERROR(INDEX('Operator Master'!$B$5:$B$504,MATCH(G208,'Operator Master'!$A$5:$A$504,0)),"")</f>
        <v/>
      </c>
      <c r="I208" s="9"/>
      <c r="J208" s="9"/>
      <c r="K208" s="8"/>
      <c r="L208" s="9"/>
      <c r="M208" s="9"/>
      <c r="N208" s="11"/>
      <c r="O208" s="11"/>
      <c r="P208" s="12" t="str">
        <f aca="false">IF(OR(N208="",O208=""),"",IFERROR(O208/N208*100,0))</f>
        <v/>
      </c>
      <c r="Q208" s="10" t="n">
        <v>8</v>
      </c>
      <c r="R208" s="12" t="str">
        <f aca="false">IF(J208="","",Q208*J208)</f>
        <v/>
      </c>
      <c r="S208" s="11"/>
      <c r="T208" s="12" t="str">
        <f aca="false">IF(OR(R208="",S208=""),"",IFERROR(S208/R208*100,0))</f>
        <v/>
      </c>
      <c r="U208" s="12" t="str">
        <f aca="false">IF(OR(O208="",L208="",M208="",S208="",M208=0),"",IFERROR(O208/(L208*60*S208/(M208*36))*100,0))</f>
        <v/>
      </c>
      <c r="V208" s="11"/>
      <c r="W208" s="12" t="str">
        <f aca="false">IF(O208="","",IFERROR(V208/O208*100,0))</f>
        <v/>
      </c>
      <c r="X208" s="11"/>
      <c r="Y208" s="11"/>
      <c r="Z208" s="11"/>
      <c r="AA208" s="11"/>
      <c r="AB208" s="11"/>
      <c r="AC208" s="11"/>
      <c r="AD208" s="11"/>
      <c r="AE208" s="11"/>
      <c r="AF208" s="12" t="str">
        <f aca="false">IF(O208="","",SUM(X208:AE208))</f>
        <v/>
      </c>
      <c r="AG208" s="12" t="str">
        <f aca="false">IF(O208="","",IFERROR(AF208/O208*1000,0))</f>
        <v/>
      </c>
      <c r="AH208" s="11"/>
      <c r="AI208" s="11"/>
      <c r="AJ208" s="11"/>
      <c r="AK208" s="9"/>
      <c r="AL208" s="9"/>
      <c r="AM208" s="9"/>
    </row>
    <row r="209" customFormat="false" ht="15" hidden="false" customHeight="true" outlineLevel="0" collapsed="false">
      <c r="A209" s="6"/>
      <c r="B209" s="7"/>
      <c r="C209" s="8"/>
      <c r="D209" s="8"/>
      <c r="E209" s="8"/>
      <c r="F209" s="9"/>
      <c r="G209" s="8"/>
      <c r="H209" s="10" t="str">
        <f aca="false">IFERROR(INDEX('Operator Master'!$B$5:$B$504,MATCH(G209,'Operator Master'!$A$5:$A$504,0)),"")</f>
        <v/>
      </c>
      <c r="I209" s="9"/>
      <c r="J209" s="9"/>
      <c r="K209" s="8"/>
      <c r="L209" s="9"/>
      <c r="M209" s="9"/>
      <c r="N209" s="11"/>
      <c r="O209" s="11"/>
      <c r="P209" s="12" t="str">
        <f aca="false">IF(OR(N209="",O209=""),"",IFERROR(O209/N209*100,0))</f>
        <v/>
      </c>
      <c r="Q209" s="10" t="n">
        <v>8</v>
      </c>
      <c r="R209" s="12" t="str">
        <f aca="false">IF(J209="","",Q209*J209)</f>
        <v/>
      </c>
      <c r="S209" s="11"/>
      <c r="T209" s="12" t="str">
        <f aca="false">IF(OR(R209="",S209=""),"",IFERROR(S209/R209*100,0))</f>
        <v/>
      </c>
      <c r="U209" s="12" t="str">
        <f aca="false">IF(OR(O209="",L209="",M209="",S209="",M209=0),"",IFERROR(O209/(L209*60*S209/(M209*36))*100,0))</f>
        <v/>
      </c>
      <c r="V209" s="11"/>
      <c r="W209" s="12" t="str">
        <f aca="false">IF(O209="","",IFERROR(V209/O209*100,0))</f>
        <v/>
      </c>
      <c r="X209" s="11"/>
      <c r="Y209" s="11"/>
      <c r="Z209" s="11"/>
      <c r="AA209" s="11"/>
      <c r="AB209" s="11"/>
      <c r="AC209" s="11"/>
      <c r="AD209" s="11"/>
      <c r="AE209" s="11"/>
      <c r="AF209" s="12" t="str">
        <f aca="false">IF(O209="","",SUM(X209:AE209))</f>
        <v/>
      </c>
      <c r="AG209" s="12" t="str">
        <f aca="false">IF(O209="","",IFERROR(AF209/O209*1000,0))</f>
        <v/>
      </c>
      <c r="AH209" s="11"/>
      <c r="AI209" s="11"/>
      <c r="AJ209" s="11"/>
      <c r="AK209" s="9"/>
      <c r="AL209" s="9"/>
      <c r="AM209" s="9"/>
    </row>
    <row r="210" customFormat="false" ht="15" hidden="false" customHeight="true" outlineLevel="0" collapsed="false">
      <c r="A210" s="6"/>
      <c r="B210" s="7"/>
      <c r="C210" s="8"/>
      <c r="D210" s="8"/>
      <c r="E210" s="8"/>
      <c r="F210" s="9"/>
      <c r="G210" s="8"/>
      <c r="H210" s="10" t="str">
        <f aca="false">IFERROR(INDEX('Operator Master'!$B$5:$B$504,MATCH(G210,'Operator Master'!$A$5:$A$504,0)),"")</f>
        <v/>
      </c>
      <c r="I210" s="9"/>
      <c r="J210" s="9"/>
      <c r="K210" s="8"/>
      <c r="L210" s="9"/>
      <c r="M210" s="9"/>
      <c r="N210" s="11"/>
      <c r="O210" s="11"/>
      <c r="P210" s="12" t="str">
        <f aca="false">IF(OR(N210="",O210=""),"",IFERROR(O210/N210*100,0))</f>
        <v/>
      </c>
      <c r="Q210" s="10" t="n">
        <v>8</v>
      </c>
      <c r="R210" s="12" t="str">
        <f aca="false">IF(J210="","",Q210*J210)</f>
        <v/>
      </c>
      <c r="S210" s="11"/>
      <c r="T210" s="12" t="str">
        <f aca="false">IF(OR(R210="",S210=""),"",IFERROR(S210/R210*100,0))</f>
        <v/>
      </c>
      <c r="U210" s="12" t="str">
        <f aca="false">IF(OR(O210="",L210="",M210="",S210="",M210=0),"",IFERROR(O210/(L210*60*S210/(M210*36))*100,0))</f>
        <v/>
      </c>
      <c r="V210" s="11"/>
      <c r="W210" s="12" t="str">
        <f aca="false">IF(O210="","",IFERROR(V210/O210*100,0))</f>
        <v/>
      </c>
      <c r="X210" s="11"/>
      <c r="Y210" s="11"/>
      <c r="Z210" s="11"/>
      <c r="AA210" s="11"/>
      <c r="AB210" s="11"/>
      <c r="AC210" s="11"/>
      <c r="AD210" s="11"/>
      <c r="AE210" s="11"/>
      <c r="AF210" s="12" t="str">
        <f aca="false">IF(O210="","",SUM(X210:AE210))</f>
        <v/>
      </c>
      <c r="AG210" s="12" t="str">
        <f aca="false">IF(O210="","",IFERROR(AF210/O210*1000,0))</f>
        <v/>
      </c>
      <c r="AH210" s="11"/>
      <c r="AI210" s="11"/>
      <c r="AJ210" s="11"/>
      <c r="AK210" s="9"/>
      <c r="AL210" s="9"/>
      <c r="AM210" s="9"/>
    </row>
    <row r="211" customFormat="false" ht="15" hidden="false" customHeight="true" outlineLevel="0" collapsed="false">
      <c r="A211" s="6"/>
      <c r="B211" s="7"/>
      <c r="C211" s="8"/>
      <c r="D211" s="8"/>
      <c r="E211" s="8"/>
      <c r="F211" s="9"/>
      <c r="G211" s="8"/>
      <c r="H211" s="10" t="str">
        <f aca="false">IFERROR(INDEX('Operator Master'!$B$5:$B$504,MATCH(G211,'Operator Master'!$A$5:$A$504,0)),"")</f>
        <v/>
      </c>
      <c r="I211" s="9"/>
      <c r="J211" s="9"/>
      <c r="K211" s="8"/>
      <c r="L211" s="9"/>
      <c r="M211" s="9"/>
      <c r="N211" s="11"/>
      <c r="O211" s="11"/>
      <c r="P211" s="12" t="str">
        <f aca="false">IF(OR(N211="",O211=""),"",IFERROR(O211/N211*100,0))</f>
        <v/>
      </c>
      <c r="Q211" s="10" t="n">
        <v>8</v>
      </c>
      <c r="R211" s="12" t="str">
        <f aca="false">IF(J211="","",Q211*J211)</f>
        <v/>
      </c>
      <c r="S211" s="11"/>
      <c r="T211" s="12" t="str">
        <f aca="false">IF(OR(R211="",S211=""),"",IFERROR(S211/R211*100,0))</f>
        <v/>
      </c>
      <c r="U211" s="12" t="str">
        <f aca="false">IF(OR(O211="",L211="",M211="",S211="",M211=0),"",IFERROR(O211/(L211*60*S211/(M211*36))*100,0))</f>
        <v/>
      </c>
      <c r="V211" s="11"/>
      <c r="W211" s="12" t="str">
        <f aca="false">IF(O211="","",IFERROR(V211/O211*100,0))</f>
        <v/>
      </c>
      <c r="X211" s="11"/>
      <c r="Y211" s="11"/>
      <c r="Z211" s="11"/>
      <c r="AA211" s="11"/>
      <c r="AB211" s="11"/>
      <c r="AC211" s="11"/>
      <c r="AD211" s="11"/>
      <c r="AE211" s="11"/>
      <c r="AF211" s="12" t="str">
        <f aca="false">IF(O211="","",SUM(X211:AE211))</f>
        <v/>
      </c>
      <c r="AG211" s="12" t="str">
        <f aca="false">IF(O211="","",IFERROR(AF211/O211*1000,0))</f>
        <v/>
      </c>
      <c r="AH211" s="11"/>
      <c r="AI211" s="11"/>
      <c r="AJ211" s="11"/>
      <c r="AK211" s="9"/>
      <c r="AL211" s="9"/>
      <c r="AM211" s="9"/>
    </row>
    <row r="212" customFormat="false" ht="15" hidden="false" customHeight="true" outlineLevel="0" collapsed="false">
      <c r="A212" s="6"/>
      <c r="B212" s="7"/>
      <c r="C212" s="8"/>
      <c r="D212" s="8"/>
      <c r="E212" s="8"/>
      <c r="F212" s="9"/>
      <c r="G212" s="8"/>
      <c r="H212" s="10" t="str">
        <f aca="false">IFERROR(INDEX('Operator Master'!$B$5:$B$504,MATCH(G212,'Operator Master'!$A$5:$A$504,0)),"")</f>
        <v/>
      </c>
      <c r="I212" s="9"/>
      <c r="J212" s="9"/>
      <c r="K212" s="8"/>
      <c r="L212" s="9"/>
      <c r="M212" s="9"/>
      <c r="N212" s="11"/>
      <c r="O212" s="11"/>
      <c r="P212" s="12" t="str">
        <f aca="false">IF(OR(N212="",O212=""),"",IFERROR(O212/N212*100,0))</f>
        <v/>
      </c>
      <c r="Q212" s="10" t="n">
        <v>8</v>
      </c>
      <c r="R212" s="12" t="str">
        <f aca="false">IF(J212="","",Q212*J212)</f>
        <v/>
      </c>
      <c r="S212" s="11"/>
      <c r="T212" s="12" t="str">
        <f aca="false">IF(OR(R212="",S212=""),"",IFERROR(S212/R212*100,0))</f>
        <v/>
      </c>
      <c r="U212" s="12" t="str">
        <f aca="false">IF(OR(O212="",L212="",M212="",S212="",M212=0),"",IFERROR(O212/(L212*60*S212/(M212*36))*100,0))</f>
        <v/>
      </c>
      <c r="V212" s="11"/>
      <c r="W212" s="12" t="str">
        <f aca="false">IF(O212="","",IFERROR(V212/O212*100,0))</f>
        <v/>
      </c>
      <c r="X212" s="11"/>
      <c r="Y212" s="11"/>
      <c r="Z212" s="11"/>
      <c r="AA212" s="11"/>
      <c r="AB212" s="11"/>
      <c r="AC212" s="11"/>
      <c r="AD212" s="11"/>
      <c r="AE212" s="11"/>
      <c r="AF212" s="12" t="str">
        <f aca="false">IF(O212="","",SUM(X212:AE212))</f>
        <v/>
      </c>
      <c r="AG212" s="12" t="str">
        <f aca="false">IF(O212="","",IFERROR(AF212/O212*1000,0))</f>
        <v/>
      </c>
      <c r="AH212" s="11"/>
      <c r="AI212" s="11"/>
      <c r="AJ212" s="11"/>
      <c r="AK212" s="9"/>
      <c r="AL212" s="9"/>
      <c r="AM212" s="9"/>
    </row>
    <row r="213" customFormat="false" ht="15" hidden="false" customHeight="true" outlineLevel="0" collapsed="false">
      <c r="A213" s="6"/>
      <c r="B213" s="7"/>
      <c r="C213" s="8"/>
      <c r="D213" s="8"/>
      <c r="E213" s="8"/>
      <c r="F213" s="9"/>
      <c r="G213" s="8"/>
      <c r="H213" s="10" t="str">
        <f aca="false">IFERROR(INDEX('Operator Master'!$B$5:$B$504,MATCH(G213,'Operator Master'!$A$5:$A$504,0)),"")</f>
        <v/>
      </c>
      <c r="I213" s="9"/>
      <c r="J213" s="9"/>
      <c r="K213" s="8"/>
      <c r="L213" s="9"/>
      <c r="M213" s="9"/>
      <c r="N213" s="11"/>
      <c r="O213" s="11"/>
      <c r="P213" s="12" t="str">
        <f aca="false">IF(OR(N213="",O213=""),"",IFERROR(O213/N213*100,0))</f>
        <v/>
      </c>
      <c r="Q213" s="10" t="n">
        <v>8</v>
      </c>
      <c r="R213" s="12" t="str">
        <f aca="false">IF(J213="","",Q213*J213)</f>
        <v/>
      </c>
      <c r="S213" s="11"/>
      <c r="T213" s="12" t="str">
        <f aca="false">IF(OR(R213="",S213=""),"",IFERROR(S213/R213*100,0))</f>
        <v/>
      </c>
      <c r="U213" s="12" t="str">
        <f aca="false">IF(OR(O213="",L213="",M213="",S213="",M213=0),"",IFERROR(O213/(L213*60*S213/(M213*36))*100,0))</f>
        <v/>
      </c>
      <c r="V213" s="11"/>
      <c r="W213" s="12" t="str">
        <f aca="false">IF(O213="","",IFERROR(V213/O213*100,0))</f>
        <v/>
      </c>
      <c r="X213" s="11"/>
      <c r="Y213" s="11"/>
      <c r="Z213" s="11"/>
      <c r="AA213" s="11"/>
      <c r="AB213" s="11"/>
      <c r="AC213" s="11"/>
      <c r="AD213" s="11"/>
      <c r="AE213" s="11"/>
      <c r="AF213" s="12" t="str">
        <f aca="false">IF(O213="","",SUM(X213:AE213))</f>
        <v/>
      </c>
      <c r="AG213" s="12" t="str">
        <f aca="false">IF(O213="","",IFERROR(AF213/O213*1000,0))</f>
        <v/>
      </c>
      <c r="AH213" s="11"/>
      <c r="AI213" s="11"/>
      <c r="AJ213" s="11"/>
      <c r="AK213" s="9"/>
      <c r="AL213" s="9"/>
      <c r="AM213" s="9"/>
    </row>
    <row r="214" customFormat="false" ht="15" hidden="false" customHeight="true" outlineLevel="0" collapsed="false">
      <c r="A214" s="6"/>
      <c r="B214" s="7"/>
      <c r="C214" s="8"/>
      <c r="D214" s="8"/>
      <c r="E214" s="8"/>
      <c r="F214" s="9"/>
      <c r="G214" s="8"/>
      <c r="H214" s="10" t="str">
        <f aca="false">IFERROR(INDEX('Operator Master'!$B$5:$B$504,MATCH(G214,'Operator Master'!$A$5:$A$504,0)),"")</f>
        <v/>
      </c>
      <c r="I214" s="9"/>
      <c r="J214" s="9"/>
      <c r="K214" s="8"/>
      <c r="L214" s="9"/>
      <c r="M214" s="9"/>
      <c r="N214" s="11"/>
      <c r="O214" s="11"/>
      <c r="P214" s="12" t="str">
        <f aca="false">IF(OR(N214="",O214=""),"",IFERROR(O214/N214*100,0))</f>
        <v/>
      </c>
      <c r="Q214" s="10" t="n">
        <v>8</v>
      </c>
      <c r="R214" s="12" t="str">
        <f aca="false">IF(J214="","",Q214*J214)</f>
        <v/>
      </c>
      <c r="S214" s="11"/>
      <c r="T214" s="12" t="str">
        <f aca="false">IF(OR(R214="",S214=""),"",IFERROR(S214/R214*100,0))</f>
        <v/>
      </c>
      <c r="U214" s="12" t="str">
        <f aca="false">IF(OR(O214="",L214="",M214="",S214="",M214=0),"",IFERROR(O214/(L214*60*S214/(M214*36))*100,0))</f>
        <v/>
      </c>
      <c r="V214" s="11"/>
      <c r="W214" s="12" t="str">
        <f aca="false">IF(O214="","",IFERROR(V214/O214*100,0))</f>
        <v/>
      </c>
      <c r="X214" s="11"/>
      <c r="Y214" s="11"/>
      <c r="Z214" s="11"/>
      <c r="AA214" s="11"/>
      <c r="AB214" s="11"/>
      <c r="AC214" s="11"/>
      <c r="AD214" s="11"/>
      <c r="AE214" s="11"/>
      <c r="AF214" s="12" t="str">
        <f aca="false">IF(O214="","",SUM(X214:AE214))</f>
        <v/>
      </c>
      <c r="AG214" s="12" t="str">
        <f aca="false">IF(O214="","",IFERROR(AF214/O214*1000,0))</f>
        <v/>
      </c>
      <c r="AH214" s="11"/>
      <c r="AI214" s="11"/>
      <c r="AJ214" s="11"/>
      <c r="AK214" s="9"/>
      <c r="AL214" s="9"/>
      <c r="AM214" s="9"/>
    </row>
    <row r="215" customFormat="false" ht="15" hidden="false" customHeight="true" outlineLevel="0" collapsed="false">
      <c r="A215" s="6"/>
      <c r="B215" s="7"/>
      <c r="C215" s="8"/>
      <c r="D215" s="8"/>
      <c r="E215" s="8"/>
      <c r="F215" s="9"/>
      <c r="G215" s="8"/>
      <c r="H215" s="10" t="str">
        <f aca="false">IFERROR(INDEX('Operator Master'!$B$5:$B$504,MATCH(G215,'Operator Master'!$A$5:$A$504,0)),"")</f>
        <v/>
      </c>
      <c r="I215" s="9"/>
      <c r="J215" s="9"/>
      <c r="K215" s="8"/>
      <c r="L215" s="9"/>
      <c r="M215" s="9"/>
      <c r="N215" s="11"/>
      <c r="O215" s="11"/>
      <c r="P215" s="12" t="str">
        <f aca="false">IF(OR(N215="",O215=""),"",IFERROR(O215/N215*100,0))</f>
        <v/>
      </c>
      <c r="Q215" s="10" t="n">
        <v>8</v>
      </c>
      <c r="R215" s="12" t="str">
        <f aca="false">IF(J215="","",Q215*J215)</f>
        <v/>
      </c>
      <c r="S215" s="11"/>
      <c r="T215" s="12" t="str">
        <f aca="false">IF(OR(R215="",S215=""),"",IFERROR(S215/R215*100,0))</f>
        <v/>
      </c>
      <c r="U215" s="12" t="str">
        <f aca="false">IF(OR(O215="",L215="",M215="",S215="",M215=0),"",IFERROR(O215/(L215*60*S215/(M215*36))*100,0))</f>
        <v/>
      </c>
      <c r="V215" s="11"/>
      <c r="W215" s="12" t="str">
        <f aca="false">IF(O215="","",IFERROR(V215/O215*100,0))</f>
        <v/>
      </c>
      <c r="X215" s="11"/>
      <c r="Y215" s="11"/>
      <c r="Z215" s="11"/>
      <c r="AA215" s="11"/>
      <c r="AB215" s="11"/>
      <c r="AC215" s="11"/>
      <c r="AD215" s="11"/>
      <c r="AE215" s="11"/>
      <c r="AF215" s="12" t="str">
        <f aca="false">IF(O215="","",SUM(X215:AE215))</f>
        <v/>
      </c>
      <c r="AG215" s="12" t="str">
        <f aca="false">IF(O215="","",IFERROR(AF215/O215*1000,0))</f>
        <v/>
      </c>
      <c r="AH215" s="11"/>
      <c r="AI215" s="11"/>
      <c r="AJ215" s="11"/>
      <c r="AK215" s="9"/>
      <c r="AL215" s="9"/>
      <c r="AM215" s="9"/>
    </row>
    <row r="216" customFormat="false" ht="15" hidden="false" customHeight="true" outlineLevel="0" collapsed="false">
      <c r="A216" s="6"/>
      <c r="B216" s="7"/>
      <c r="C216" s="8"/>
      <c r="D216" s="8"/>
      <c r="E216" s="8"/>
      <c r="F216" s="9"/>
      <c r="G216" s="8"/>
      <c r="H216" s="10" t="str">
        <f aca="false">IFERROR(INDEX('Operator Master'!$B$5:$B$504,MATCH(G216,'Operator Master'!$A$5:$A$504,0)),"")</f>
        <v/>
      </c>
      <c r="I216" s="9"/>
      <c r="J216" s="9"/>
      <c r="K216" s="8"/>
      <c r="L216" s="9"/>
      <c r="M216" s="9"/>
      <c r="N216" s="11"/>
      <c r="O216" s="11"/>
      <c r="P216" s="12" t="str">
        <f aca="false">IF(OR(N216="",O216=""),"",IFERROR(O216/N216*100,0))</f>
        <v/>
      </c>
      <c r="Q216" s="10" t="n">
        <v>8</v>
      </c>
      <c r="R216" s="12" t="str">
        <f aca="false">IF(J216="","",Q216*J216)</f>
        <v/>
      </c>
      <c r="S216" s="11"/>
      <c r="T216" s="12" t="str">
        <f aca="false">IF(OR(R216="",S216=""),"",IFERROR(S216/R216*100,0))</f>
        <v/>
      </c>
      <c r="U216" s="12" t="str">
        <f aca="false">IF(OR(O216="",L216="",M216="",S216="",M216=0),"",IFERROR(O216/(L216*60*S216/(M216*36))*100,0))</f>
        <v/>
      </c>
      <c r="V216" s="11"/>
      <c r="W216" s="12" t="str">
        <f aca="false">IF(O216="","",IFERROR(V216/O216*100,0))</f>
        <v/>
      </c>
      <c r="X216" s="11"/>
      <c r="Y216" s="11"/>
      <c r="Z216" s="11"/>
      <c r="AA216" s="11"/>
      <c r="AB216" s="11"/>
      <c r="AC216" s="11"/>
      <c r="AD216" s="11"/>
      <c r="AE216" s="11"/>
      <c r="AF216" s="12" t="str">
        <f aca="false">IF(O216="","",SUM(X216:AE216))</f>
        <v/>
      </c>
      <c r="AG216" s="12" t="str">
        <f aca="false">IF(O216="","",IFERROR(AF216/O216*1000,0))</f>
        <v/>
      </c>
      <c r="AH216" s="11"/>
      <c r="AI216" s="11"/>
      <c r="AJ216" s="11"/>
      <c r="AK216" s="9"/>
      <c r="AL216" s="9"/>
      <c r="AM216" s="9"/>
    </row>
    <row r="217" customFormat="false" ht="15" hidden="false" customHeight="true" outlineLevel="0" collapsed="false">
      <c r="A217" s="6"/>
      <c r="B217" s="7"/>
      <c r="C217" s="8"/>
      <c r="D217" s="8"/>
      <c r="E217" s="8"/>
      <c r="F217" s="9"/>
      <c r="G217" s="8"/>
      <c r="H217" s="10" t="str">
        <f aca="false">IFERROR(INDEX('Operator Master'!$B$5:$B$504,MATCH(G217,'Operator Master'!$A$5:$A$504,0)),"")</f>
        <v/>
      </c>
      <c r="I217" s="9"/>
      <c r="J217" s="9"/>
      <c r="K217" s="8"/>
      <c r="L217" s="9"/>
      <c r="M217" s="9"/>
      <c r="N217" s="11"/>
      <c r="O217" s="11"/>
      <c r="P217" s="12" t="str">
        <f aca="false">IF(OR(N217="",O217=""),"",IFERROR(O217/N217*100,0))</f>
        <v/>
      </c>
      <c r="Q217" s="10" t="n">
        <v>8</v>
      </c>
      <c r="R217" s="12" t="str">
        <f aca="false">IF(J217="","",Q217*J217)</f>
        <v/>
      </c>
      <c r="S217" s="11"/>
      <c r="T217" s="12" t="str">
        <f aca="false">IF(OR(R217="",S217=""),"",IFERROR(S217/R217*100,0))</f>
        <v/>
      </c>
      <c r="U217" s="12" t="str">
        <f aca="false">IF(OR(O217="",L217="",M217="",S217="",M217=0),"",IFERROR(O217/(L217*60*S217/(M217*36))*100,0))</f>
        <v/>
      </c>
      <c r="V217" s="11"/>
      <c r="W217" s="12" t="str">
        <f aca="false">IF(O217="","",IFERROR(V217/O217*100,0))</f>
        <v/>
      </c>
      <c r="X217" s="11"/>
      <c r="Y217" s="11"/>
      <c r="Z217" s="11"/>
      <c r="AA217" s="11"/>
      <c r="AB217" s="11"/>
      <c r="AC217" s="11"/>
      <c r="AD217" s="11"/>
      <c r="AE217" s="11"/>
      <c r="AF217" s="12" t="str">
        <f aca="false">IF(O217="","",SUM(X217:AE217))</f>
        <v/>
      </c>
      <c r="AG217" s="12" t="str">
        <f aca="false">IF(O217="","",IFERROR(AF217/O217*1000,0))</f>
        <v/>
      </c>
      <c r="AH217" s="11"/>
      <c r="AI217" s="11"/>
      <c r="AJ217" s="11"/>
      <c r="AK217" s="9"/>
      <c r="AL217" s="9"/>
      <c r="AM217" s="9"/>
    </row>
    <row r="218" customFormat="false" ht="15" hidden="false" customHeight="true" outlineLevel="0" collapsed="false">
      <c r="A218" s="6"/>
      <c r="B218" s="7"/>
      <c r="C218" s="8"/>
      <c r="D218" s="8"/>
      <c r="E218" s="8"/>
      <c r="F218" s="9"/>
      <c r="G218" s="8"/>
      <c r="H218" s="10" t="str">
        <f aca="false">IFERROR(INDEX('Operator Master'!$B$5:$B$504,MATCH(G218,'Operator Master'!$A$5:$A$504,0)),"")</f>
        <v/>
      </c>
      <c r="I218" s="9"/>
      <c r="J218" s="9"/>
      <c r="K218" s="8"/>
      <c r="L218" s="9"/>
      <c r="M218" s="9"/>
      <c r="N218" s="11"/>
      <c r="O218" s="11"/>
      <c r="P218" s="12" t="str">
        <f aca="false">IF(OR(N218="",O218=""),"",IFERROR(O218/N218*100,0))</f>
        <v/>
      </c>
      <c r="Q218" s="10" t="n">
        <v>8</v>
      </c>
      <c r="R218" s="12" t="str">
        <f aca="false">IF(J218="","",Q218*J218)</f>
        <v/>
      </c>
      <c r="S218" s="11"/>
      <c r="T218" s="12" t="str">
        <f aca="false">IF(OR(R218="",S218=""),"",IFERROR(S218/R218*100,0))</f>
        <v/>
      </c>
      <c r="U218" s="12" t="str">
        <f aca="false">IF(OR(O218="",L218="",M218="",S218="",M218=0),"",IFERROR(O218/(L218*60*S218/(M218*36))*100,0))</f>
        <v/>
      </c>
      <c r="V218" s="11"/>
      <c r="W218" s="12" t="str">
        <f aca="false">IF(O218="","",IFERROR(V218/O218*100,0))</f>
        <v/>
      </c>
      <c r="X218" s="11"/>
      <c r="Y218" s="11"/>
      <c r="Z218" s="11"/>
      <c r="AA218" s="11"/>
      <c r="AB218" s="11"/>
      <c r="AC218" s="11"/>
      <c r="AD218" s="11"/>
      <c r="AE218" s="11"/>
      <c r="AF218" s="12" t="str">
        <f aca="false">IF(O218="","",SUM(X218:AE218))</f>
        <v/>
      </c>
      <c r="AG218" s="12" t="str">
        <f aca="false">IF(O218="","",IFERROR(AF218/O218*1000,0))</f>
        <v/>
      </c>
      <c r="AH218" s="11"/>
      <c r="AI218" s="11"/>
      <c r="AJ218" s="11"/>
      <c r="AK218" s="9"/>
      <c r="AL218" s="9"/>
      <c r="AM218" s="9"/>
    </row>
    <row r="219" customFormat="false" ht="15" hidden="false" customHeight="true" outlineLevel="0" collapsed="false">
      <c r="A219" s="6"/>
      <c r="B219" s="7"/>
      <c r="C219" s="8"/>
      <c r="D219" s="8"/>
      <c r="E219" s="8"/>
      <c r="F219" s="9"/>
      <c r="G219" s="8"/>
      <c r="H219" s="10" t="str">
        <f aca="false">IFERROR(INDEX('Operator Master'!$B$5:$B$504,MATCH(G219,'Operator Master'!$A$5:$A$504,0)),"")</f>
        <v/>
      </c>
      <c r="I219" s="9"/>
      <c r="J219" s="9"/>
      <c r="K219" s="8"/>
      <c r="L219" s="9"/>
      <c r="M219" s="9"/>
      <c r="N219" s="11"/>
      <c r="O219" s="11"/>
      <c r="P219" s="12" t="str">
        <f aca="false">IF(OR(N219="",O219=""),"",IFERROR(O219/N219*100,0))</f>
        <v/>
      </c>
      <c r="Q219" s="10" t="n">
        <v>8</v>
      </c>
      <c r="R219" s="12" t="str">
        <f aca="false">IF(J219="","",Q219*J219)</f>
        <v/>
      </c>
      <c r="S219" s="11"/>
      <c r="T219" s="12" t="str">
        <f aca="false">IF(OR(R219="",S219=""),"",IFERROR(S219/R219*100,0))</f>
        <v/>
      </c>
      <c r="U219" s="12" t="str">
        <f aca="false">IF(OR(O219="",L219="",M219="",S219="",M219=0),"",IFERROR(O219/(L219*60*S219/(M219*36))*100,0))</f>
        <v/>
      </c>
      <c r="V219" s="11"/>
      <c r="W219" s="12" t="str">
        <f aca="false">IF(O219="","",IFERROR(V219/O219*100,0))</f>
        <v/>
      </c>
      <c r="X219" s="11"/>
      <c r="Y219" s="11"/>
      <c r="Z219" s="11"/>
      <c r="AA219" s="11"/>
      <c r="AB219" s="11"/>
      <c r="AC219" s="11"/>
      <c r="AD219" s="11"/>
      <c r="AE219" s="11"/>
      <c r="AF219" s="12" t="str">
        <f aca="false">IF(O219="","",SUM(X219:AE219))</f>
        <v/>
      </c>
      <c r="AG219" s="12" t="str">
        <f aca="false">IF(O219="","",IFERROR(AF219/O219*1000,0))</f>
        <v/>
      </c>
      <c r="AH219" s="11"/>
      <c r="AI219" s="11"/>
      <c r="AJ219" s="11"/>
      <c r="AK219" s="9"/>
      <c r="AL219" s="9"/>
      <c r="AM219" s="9"/>
    </row>
    <row r="220" customFormat="false" ht="15" hidden="false" customHeight="true" outlineLevel="0" collapsed="false">
      <c r="A220" s="6"/>
      <c r="B220" s="7"/>
      <c r="C220" s="8"/>
      <c r="D220" s="8"/>
      <c r="E220" s="8"/>
      <c r="F220" s="9"/>
      <c r="G220" s="8"/>
      <c r="H220" s="10" t="str">
        <f aca="false">IFERROR(INDEX('Operator Master'!$B$5:$B$504,MATCH(G220,'Operator Master'!$A$5:$A$504,0)),"")</f>
        <v/>
      </c>
      <c r="I220" s="9"/>
      <c r="J220" s="9"/>
      <c r="K220" s="8"/>
      <c r="L220" s="9"/>
      <c r="M220" s="9"/>
      <c r="N220" s="11"/>
      <c r="O220" s="11"/>
      <c r="P220" s="12" t="str">
        <f aca="false">IF(OR(N220="",O220=""),"",IFERROR(O220/N220*100,0))</f>
        <v/>
      </c>
      <c r="Q220" s="10" t="n">
        <v>8</v>
      </c>
      <c r="R220" s="12" t="str">
        <f aca="false">IF(J220="","",Q220*J220)</f>
        <v/>
      </c>
      <c r="S220" s="11"/>
      <c r="T220" s="12" t="str">
        <f aca="false">IF(OR(R220="",S220=""),"",IFERROR(S220/R220*100,0))</f>
        <v/>
      </c>
      <c r="U220" s="12" t="str">
        <f aca="false">IF(OR(O220="",L220="",M220="",S220="",M220=0),"",IFERROR(O220/(L220*60*S220/(M220*36))*100,0))</f>
        <v/>
      </c>
      <c r="V220" s="11"/>
      <c r="W220" s="12" t="str">
        <f aca="false">IF(O220="","",IFERROR(V220/O220*100,0))</f>
        <v/>
      </c>
      <c r="X220" s="11"/>
      <c r="Y220" s="11"/>
      <c r="Z220" s="11"/>
      <c r="AA220" s="11"/>
      <c r="AB220" s="11"/>
      <c r="AC220" s="11"/>
      <c r="AD220" s="11"/>
      <c r="AE220" s="11"/>
      <c r="AF220" s="12" t="str">
        <f aca="false">IF(O220="","",SUM(X220:AE220))</f>
        <v/>
      </c>
      <c r="AG220" s="12" t="str">
        <f aca="false">IF(O220="","",IFERROR(AF220/O220*1000,0))</f>
        <v/>
      </c>
      <c r="AH220" s="11"/>
      <c r="AI220" s="11"/>
      <c r="AJ220" s="11"/>
      <c r="AK220" s="9"/>
      <c r="AL220" s="9"/>
      <c r="AM220" s="9"/>
    </row>
    <row r="221" customFormat="false" ht="15" hidden="false" customHeight="true" outlineLevel="0" collapsed="false">
      <c r="A221" s="6"/>
      <c r="B221" s="7"/>
      <c r="C221" s="8"/>
      <c r="D221" s="8"/>
      <c r="E221" s="8"/>
      <c r="F221" s="9"/>
      <c r="G221" s="8"/>
      <c r="H221" s="10" t="str">
        <f aca="false">IFERROR(INDEX('Operator Master'!$B$5:$B$504,MATCH(G221,'Operator Master'!$A$5:$A$504,0)),"")</f>
        <v/>
      </c>
      <c r="I221" s="9"/>
      <c r="J221" s="9"/>
      <c r="K221" s="8"/>
      <c r="L221" s="9"/>
      <c r="M221" s="9"/>
      <c r="N221" s="11"/>
      <c r="O221" s="11"/>
      <c r="P221" s="12" t="str">
        <f aca="false">IF(OR(N221="",O221=""),"",IFERROR(O221/N221*100,0))</f>
        <v/>
      </c>
      <c r="Q221" s="10" t="n">
        <v>8</v>
      </c>
      <c r="R221" s="12" t="str">
        <f aca="false">IF(J221="","",Q221*J221)</f>
        <v/>
      </c>
      <c r="S221" s="11"/>
      <c r="T221" s="12" t="str">
        <f aca="false">IF(OR(R221="",S221=""),"",IFERROR(S221/R221*100,0))</f>
        <v/>
      </c>
      <c r="U221" s="12" t="str">
        <f aca="false">IF(OR(O221="",L221="",M221="",S221="",M221=0),"",IFERROR(O221/(L221*60*S221/(M221*36))*100,0))</f>
        <v/>
      </c>
      <c r="V221" s="11"/>
      <c r="W221" s="12" t="str">
        <f aca="false">IF(O221="","",IFERROR(V221/O221*100,0))</f>
        <v/>
      </c>
      <c r="X221" s="11"/>
      <c r="Y221" s="11"/>
      <c r="Z221" s="11"/>
      <c r="AA221" s="11"/>
      <c r="AB221" s="11"/>
      <c r="AC221" s="11"/>
      <c r="AD221" s="11"/>
      <c r="AE221" s="11"/>
      <c r="AF221" s="12" t="str">
        <f aca="false">IF(O221="","",SUM(X221:AE221))</f>
        <v/>
      </c>
      <c r="AG221" s="12" t="str">
        <f aca="false">IF(O221="","",IFERROR(AF221/O221*1000,0))</f>
        <v/>
      </c>
      <c r="AH221" s="11"/>
      <c r="AI221" s="11"/>
      <c r="AJ221" s="11"/>
      <c r="AK221" s="9"/>
      <c r="AL221" s="9"/>
      <c r="AM221" s="9"/>
    </row>
    <row r="222" customFormat="false" ht="15" hidden="false" customHeight="true" outlineLevel="0" collapsed="false">
      <c r="A222" s="6"/>
      <c r="B222" s="7"/>
      <c r="C222" s="8"/>
      <c r="D222" s="8"/>
      <c r="E222" s="8"/>
      <c r="F222" s="9"/>
      <c r="G222" s="8"/>
      <c r="H222" s="10" t="str">
        <f aca="false">IFERROR(INDEX('Operator Master'!$B$5:$B$504,MATCH(G222,'Operator Master'!$A$5:$A$504,0)),"")</f>
        <v/>
      </c>
      <c r="I222" s="9"/>
      <c r="J222" s="9"/>
      <c r="K222" s="8"/>
      <c r="L222" s="9"/>
      <c r="M222" s="9"/>
      <c r="N222" s="11"/>
      <c r="O222" s="11"/>
      <c r="P222" s="12" t="str">
        <f aca="false">IF(OR(N222="",O222=""),"",IFERROR(O222/N222*100,0))</f>
        <v/>
      </c>
      <c r="Q222" s="10" t="n">
        <v>8</v>
      </c>
      <c r="R222" s="12" t="str">
        <f aca="false">IF(J222="","",Q222*J222)</f>
        <v/>
      </c>
      <c r="S222" s="11"/>
      <c r="T222" s="12" t="str">
        <f aca="false">IF(OR(R222="",S222=""),"",IFERROR(S222/R222*100,0))</f>
        <v/>
      </c>
      <c r="U222" s="12" t="str">
        <f aca="false">IF(OR(O222="",L222="",M222="",S222="",M222=0),"",IFERROR(O222/(L222*60*S222/(M222*36))*100,0))</f>
        <v/>
      </c>
      <c r="V222" s="11"/>
      <c r="W222" s="12" t="str">
        <f aca="false">IF(O222="","",IFERROR(V222/O222*100,0))</f>
        <v/>
      </c>
      <c r="X222" s="11"/>
      <c r="Y222" s="11"/>
      <c r="Z222" s="11"/>
      <c r="AA222" s="11"/>
      <c r="AB222" s="11"/>
      <c r="AC222" s="11"/>
      <c r="AD222" s="11"/>
      <c r="AE222" s="11"/>
      <c r="AF222" s="12" t="str">
        <f aca="false">IF(O222="","",SUM(X222:AE222))</f>
        <v/>
      </c>
      <c r="AG222" s="12" t="str">
        <f aca="false">IF(O222="","",IFERROR(AF222/O222*1000,0))</f>
        <v/>
      </c>
      <c r="AH222" s="11"/>
      <c r="AI222" s="11"/>
      <c r="AJ222" s="11"/>
      <c r="AK222" s="9"/>
      <c r="AL222" s="9"/>
      <c r="AM222" s="9"/>
    </row>
    <row r="223" customFormat="false" ht="15" hidden="false" customHeight="true" outlineLevel="0" collapsed="false">
      <c r="A223" s="6"/>
      <c r="B223" s="7"/>
      <c r="C223" s="8"/>
      <c r="D223" s="8"/>
      <c r="E223" s="8"/>
      <c r="F223" s="9"/>
      <c r="G223" s="8"/>
      <c r="H223" s="10" t="str">
        <f aca="false">IFERROR(INDEX('Operator Master'!$B$5:$B$504,MATCH(G223,'Operator Master'!$A$5:$A$504,0)),"")</f>
        <v/>
      </c>
      <c r="I223" s="9"/>
      <c r="J223" s="9"/>
      <c r="K223" s="8"/>
      <c r="L223" s="9"/>
      <c r="M223" s="9"/>
      <c r="N223" s="11"/>
      <c r="O223" s="11"/>
      <c r="P223" s="12" t="str">
        <f aca="false">IF(OR(N223="",O223=""),"",IFERROR(O223/N223*100,0))</f>
        <v/>
      </c>
      <c r="Q223" s="10" t="n">
        <v>8</v>
      </c>
      <c r="R223" s="12" t="str">
        <f aca="false">IF(J223="","",Q223*J223)</f>
        <v/>
      </c>
      <c r="S223" s="11"/>
      <c r="T223" s="12" t="str">
        <f aca="false">IF(OR(R223="",S223=""),"",IFERROR(S223/R223*100,0))</f>
        <v/>
      </c>
      <c r="U223" s="12" t="str">
        <f aca="false">IF(OR(O223="",L223="",M223="",S223="",M223=0),"",IFERROR(O223/(L223*60*S223/(M223*36))*100,0))</f>
        <v/>
      </c>
      <c r="V223" s="11"/>
      <c r="W223" s="12" t="str">
        <f aca="false">IF(O223="","",IFERROR(V223/O223*100,0))</f>
        <v/>
      </c>
      <c r="X223" s="11"/>
      <c r="Y223" s="11"/>
      <c r="Z223" s="11"/>
      <c r="AA223" s="11"/>
      <c r="AB223" s="11"/>
      <c r="AC223" s="11"/>
      <c r="AD223" s="11"/>
      <c r="AE223" s="11"/>
      <c r="AF223" s="12" t="str">
        <f aca="false">IF(O223="","",SUM(X223:AE223))</f>
        <v/>
      </c>
      <c r="AG223" s="12" t="str">
        <f aca="false">IF(O223="","",IFERROR(AF223/O223*1000,0))</f>
        <v/>
      </c>
      <c r="AH223" s="11"/>
      <c r="AI223" s="11"/>
      <c r="AJ223" s="11"/>
      <c r="AK223" s="9"/>
      <c r="AL223" s="9"/>
      <c r="AM223" s="9"/>
    </row>
    <row r="224" customFormat="false" ht="15" hidden="false" customHeight="true" outlineLevel="0" collapsed="false">
      <c r="A224" s="6"/>
      <c r="B224" s="7"/>
      <c r="C224" s="8"/>
      <c r="D224" s="8"/>
      <c r="E224" s="8"/>
      <c r="F224" s="9"/>
      <c r="G224" s="8"/>
      <c r="H224" s="10" t="str">
        <f aca="false">IFERROR(INDEX('Operator Master'!$B$5:$B$504,MATCH(G224,'Operator Master'!$A$5:$A$504,0)),"")</f>
        <v/>
      </c>
      <c r="I224" s="9"/>
      <c r="J224" s="9"/>
      <c r="K224" s="8"/>
      <c r="L224" s="9"/>
      <c r="M224" s="9"/>
      <c r="N224" s="11"/>
      <c r="O224" s="11"/>
      <c r="P224" s="12" t="str">
        <f aca="false">IF(OR(N224="",O224=""),"",IFERROR(O224/N224*100,0))</f>
        <v/>
      </c>
      <c r="Q224" s="10" t="n">
        <v>8</v>
      </c>
      <c r="R224" s="12" t="str">
        <f aca="false">IF(J224="","",Q224*J224)</f>
        <v/>
      </c>
      <c r="S224" s="11"/>
      <c r="T224" s="12" t="str">
        <f aca="false">IF(OR(R224="",S224=""),"",IFERROR(S224/R224*100,0))</f>
        <v/>
      </c>
      <c r="U224" s="12" t="str">
        <f aca="false">IF(OR(O224="",L224="",M224="",S224="",M224=0),"",IFERROR(O224/(L224*60*S224/(M224*36))*100,0))</f>
        <v/>
      </c>
      <c r="V224" s="11"/>
      <c r="W224" s="12" t="str">
        <f aca="false">IF(O224="","",IFERROR(V224/O224*100,0))</f>
        <v/>
      </c>
      <c r="X224" s="11"/>
      <c r="Y224" s="11"/>
      <c r="Z224" s="11"/>
      <c r="AA224" s="11"/>
      <c r="AB224" s="11"/>
      <c r="AC224" s="11"/>
      <c r="AD224" s="11"/>
      <c r="AE224" s="11"/>
      <c r="AF224" s="12" t="str">
        <f aca="false">IF(O224="","",SUM(X224:AE224))</f>
        <v/>
      </c>
      <c r="AG224" s="12" t="str">
        <f aca="false">IF(O224="","",IFERROR(AF224/O224*1000,0))</f>
        <v/>
      </c>
      <c r="AH224" s="11"/>
      <c r="AI224" s="11"/>
      <c r="AJ224" s="11"/>
      <c r="AK224" s="9"/>
      <c r="AL224" s="9"/>
      <c r="AM224" s="9"/>
    </row>
    <row r="225" customFormat="false" ht="15" hidden="false" customHeight="true" outlineLevel="0" collapsed="false">
      <c r="A225" s="6"/>
      <c r="B225" s="7"/>
      <c r="C225" s="8"/>
      <c r="D225" s="8"/>
      <c r="E225" s="8"/>
      <c r="F225" s="9"/>
      <c r="G225" s="8"/>
      <c r="H225" s="10" t="str">
        <f aca="false">IFERROR(INDEX('Operator Master'!$B$5:$B$504,MATCH(G225,'Operator Master'!$A$5:$A$504,0)),"")</f>
        <v/>
      </c>
      <c r="I225" s="9"/>
      <c r="J225" s="9"/>
      <c r="K225" s="8"/>
      <c r="L225" s="9"/>
      <c r="M225" s="9"/>
      <c r="N225" s="11"/>
      <c r="O225" s="11"/>
      <c r="P225" s="12" t="str">
        <f aca="false">IF(OR(N225="",O225=""),"",IFERROR(O225/N225*100,0))</f>
        <v/>
      </c>
      <c r="Q225" s="10" t="n">
        <v>8</v>
      </c>
      <c r="R225" s="12" t="str">
        <f aca="false">IF(J225="","",Q225*J225)</f>
        <v/>
      </c>
      <c r="S225" s="11"/>
      <c r="T225" s="12" t="str">
        <f aca="false">IF(OR(R225="",S225=""),"",IFERROR(S225/R225*100,0))</f>
        <v/>
      </c>
      <c r="U225" s="12" t="str">
        <f aca="false">IF(OR(O225="",L225="",M225="",S225="",M225=0),"",IFERROR(O225/(L225*60*S225/(M225*36))*100,0))</f>
        <v/>
      </c>
      <c r="V225" s="11"/>
      <c r="W225" s="12" t="str">
        <f aca="false">IF(O225="","",IFERROR(V225/O225*100,0))</f>
        <v/>
      </c>
      <c r="X225" s="11"/>
      <c r="Y225" s="11"/>
      <c r="Z225" s="11"/>
      <c r="AA225" s="11"/>
      <c r="AB225" s="11"/>
      <c r="AC225" s="11"/>
      <c r="AD225" s="11"/>
      <c r="AE225" s="11"/>
      <c r="AF225" s="12" t="str">
        <f aca="false">IF(O225="","",SUM(X225:AE225))</f>
        <v/>
      </c>
      <c r="AG225" s="12" t="str">
        <f aca="false">IF(O225="","",IFERROR(AF225/O225*1000,0))</f>
        <v/>
      </c>
      <c r="AH225" s="11"/>
      <c r="AI225" s="11"/>
      <c r="AJ225" s="11"/>
      <c r="AK225" s="9"/>
      <c r="AL225" s="9"/>
      <c r="AM225" s="9"/>
    </row>
    <row r="226" customFormat="false" ht="15" hidden="false" customHeight="true" outlineLevel="0" collapsed="false">
      <c r="A226" s="6"/>
      <c r="B226" s="7"/>
      <c r="C226" s="8"/>
      <c r="D226" s="8"/>
      <c r="E226" s="8"/>
      <c r="F226" s="9"/>
      <c r="G226" s="8"/>
      <c r="H226" s="10" t="str">
        <f aca="false">IFERROR(INDEX('Operator Master'!$B$5:$B$504,MATCH(G226,'Operator Master'!$A$5:$A$504,0)),"")</f>
        <v/>
      </c>
      <c r="I226" s="9"/>
      <c r="J226" s="9"/>
      <c r="K226" s="8"/>
      <c r="L226" s="9"/>
      <c r="M226" s="9"/>
      <c r="N226" s="11"/>
      <c r="O226" s="11"/>
      <c r="P226" s="12" t="str">
        <f aca="false">IF(OR(N226="",O226=""),"",IFERROR(O226/N226*100,0))</f>
        <v/>
      </c>
      <c r="Q226" s="10" t="n">
        <v>8</v>
      </c>
      <c r="R226" s="12" t="str">
        <f aca="false">IF(J226="","",Q226*J226)</f>
        <v/>
      </c>
      <c r="S226" s="11"/>
      <c r="T226" s="12" t="str">
        <f aca="false">IF(OR(R226="",S226=""),"",IFERROR(S226/R226*100,0))</f>
        <v/>
      </c>
      <c r="U226" s="12" t="str">
        <f aca="false">IF(OR(O226="",L226="",M226="",S226="",M226=0),"",IFERROR(O226/(L226*60*S226/(M226*36))*100,0))</f>
        <v/>
      </c>
      <c r="V226" s="11"/>
      <c r="W226" s="12" t="str">
        <f aca="false">IF(O226="","",IFERROR(V226/O226*100,0))</f>
        <v/>
      </c>
      <c r="X226" s="11"/>
      <c r="Y226" s="11"/>
      <c r="Z226" s="11"/>
      <c r="AA226" s="11"/>
      <c r="AB226" s="11"/>
      <c r="AC226" s="11"/>
      <c r="AD226" s="11"/>
      <c r="AE226" s="11"/>
      <c r="AF226" s="12" t="str">
        <f aca="false">IF(O226="","",SUM(X226:AE226))</f>
        <v/>
      </c>
      <c r="AG226" s="12" t="str">
        <f aca="false">IF(O226="","",IFERROR(AF226/O226*1000,0))</f>
        <v/>
      </c>
      <c r="AH226" s="11"/>
      <c r="AI226" s="11"/>
      <c r="AJ226" s="11"/>
      <c r="AK226" s="9"/>
      <c r="AL226" s="9"/>
      <c r="AM226" s="9"/>
    </row>
    <row r="227" customFormat="false" ht="15" hidden="false" customHeight="true" outlineLevel="0" collapsed="false">
      <c r="A227" s="6"/>
      <c r="B227" s="7"/>
      <c r="C227" s="8"/>
      <c r="D227" s="8"/>
      <c r="E227" s="8"/>
      <c r="F227" s="9"/>
      <c r="G227" s="8"/>
      <c r="H227" s="10" t="str">
        <f aca="false">IFERROR(INDEX('Operator Master'!$B$5:$B$504,MATCH(G227,'Operator Master'!$A$5:$A$504,0)),"")</f>
        <v/>
      </c>
      <c r="I227" s="9"/>
      <c r="J227" s="9"/>
      <c r="K227" s="8"/>
      <c r="L227" s="9"/>
      <c r="M227" s="9"/>
      <c r="N227" s="11"/>
      <c r="O227" s="11"/>
      <c r="P227" s="12" t="str">
        <f aca="false">IF(OR(N227="",O227=""),"",IFERROR(O227/N227*100,0))</f>
        <v/>
      </c>
      <c r="Q227" s="10" t="n">
        <v>8</v>
      </c>
      <c r="R227" s="12" t="str">
        <f aca="false">IF(J227="","",Q227*J227)</f>
        <v/>
      </c>
      <c r="S227" s="11"/>
      <c r="T227" s="12" t="str">
        <f aca="false">IF(OR(R227="",S227=""),"",IFERROR(S227/R227*100,0))</f>
        <v/>
      </c>
      <c r="U227" s="12" t="str">
        <f aca="false">IF(OR(O227="",L227="",M227="",S227="",M227=0),"",IFERROR(O227/(L227*60*S227/(M227*36))*100,0))</f>
        <v/>
      </c>
      <c r="V227" s="11"/>
      <c r="W227" s="12" t="str">
        <f aca="false">IF(O227="","",IFERROR(V227/O227*100,0))</f>
        <v/>
      </c>
      <c r="X227" s="11"/>
      <c r="Y227" s="11"/>
      <c r="Z227" s="11"/>
      <c r="AA227" s="11"/>
      <c r="AB227" s="11"/>
      <c r="AC227" s="11"/>
      <c r="AD227" s="11"/>
      <c r="AE227" s="11"/>
      <c r="AF227" s="12" t="str">
        <f aca="false">IF(O227="","",SUM(X227:AE227))</f>
        <v/>
      </c>
      <c r="AG227" s="12" t="str">
        <f aca="false">IF(O227="","",IFERROR(AF227/O227*1000,0))</f>
        <v/>
      </c>
      <c r="AH227" s="11"/>
      <c r="AI227" s="11"/>
      <c r="AJ227" s="11"/>
      <c r="AK227" s="9"/>
      <c r="AL227" s="9"/>
      <c r="AM227" s="9"/>
    </row>
    <row r="228" customFormat="false" ht="15" hidden="false" customHeight="true" outlineLevel="0" collapsed="false">
      <c r="A228" s="6"/>
      <c r="B228" s="7"/>
      <c r="C228" s="8"/>
      <c r="D228" s="8"/>
      <c r="E228" s="8"/>
      <c r="F228" s="9"/>
      <c r="G228" s="8"/>
      <c r="H228" s="10" t="str">
        <f aca="false">IFERROR(INDEX('Operator Master'!$B$5:$B$504,MATCH(G228,'Operator Master'!$A$5:$A$504,0)),"")</f>
        <v/>
      </c>
      <c r="I228" s="9"/>
      <c r="J228" s="9"/>
      <c r="K228" s="8"/>
      <c r="L228" s="9"/>
      <c r="M228" s="9"/>
      <c r="N228" s="11"/>
      <c r="O228" s="11"/>
      <c r="P228" s="12" t="str">
        <f aca="false">IF(OR(N228="",O228=""),"",IFERROR(O228/N228*100,0))</f>
        <v/>
      </c>
      <c r="Q228" s="10" t="n">
        <v>8</v>
      </c>
      <c r="R228" s="12" t="str">
        <f aca="false">IF(J228="","",Q228*J228)</f>
        <v/>
      </c>
      <c r="S228" s="11"/>
      <c r="T228" s="12" t="str">
        <f aca="false">IF(OR(R228="",S228=""),"",IFERROR(S228/R228*100,0))</f>
        <v/>
      </c>
      <c r="U228" s="12" t="str">
        <f aca="false">IF(OR(O228="",L228="",M228="",S228="",M228=0),"",IFERROR(O228/(L228*60*S228/(M228*36))*100,0))</f>
        <v/>
      </c>
      <c r="V228" s="11"/>
      <c r="W228" s="12" t="str">
        <f aca="false">IF(O228="","",IFERROR(V228/O228*100,0))</f>
        <v/>
      </c>
      <c r="X228" s="11"/>
      <c r="Y228" s="11"/>
      <c r="Z228" s="11"/>
      <c r="AA228" s="11"/>
      <c r="AB228" s="11"/>
      <c r="AC228" s="11"/>
      <c r="AD228" s="11"/>
      <c r="AE228" s="11"/>
      <c r="AF228" s="12" t="str">
        <f aca="false">IF(O228="","",SUM(X228:AE228))</f>
        <v/>
      </c>
      <c r="AG228" s="12" t="str">
        <f aca="false">IF(O228="","",IFERROR(AF228/O228*1000,0))</f>
        <v/>
      </c>
      <c r="AH228" s="11"/>
      <c r="AI228" s="11"/>
      <c r="AJ228" s="11"/>
      <c r="AK228" s="9"/>
      <c r="AL228" s="9"/>
      <c r="AM228" s="9"/>
    </row>
    <row r="229" customFormat="false" ht="15" hidden="false" customHeight="true" outlineLevel="0" collapsed="false">
      <c r="A229" s="6"/>
      <c r="B229" s="7"/>
      <c r="C229" s="8"/>
      <c r="D229" s="8"/>
      <c r="E229" s="8"/>
      <c r="F229" s="9"/>
      <c r="G229" s="8"/>
      <c r="H229" s="10" t="str">
        <f aca="false">IFERROR(INDEX('Operator Master'!$B$5:$B$504,MATCH(G229,'Operator Master'!$A$5:$A$504,0)),"")</f>
        <v/>
      </c>
      <c r="I229" s="9"/>
      <c r="J229" s="9"/>
      <c r="K229" s="8"/>
      <c r="L229" s="9"/>
      <c r="M229" s="9"/>
      <c r="N229" s="11"/>
      <c r="O229" s="11"/>
      <c r="P229" s="12" t="str">
        <f aca="false">IF(OR(N229="",O229=""),"",IFERROR(O229/N229*100,0))</f>
        <v/>
      </c>
      <c r="Q229" s="10" t="n">
        <v>8</v>
      </c>
      <c r="R229" s="12" t="str">
        <f aca="false">IF(J229="","",Q229*J229)</f>
        <v/>
      </c>
      <c r="S229" s="11"/>
      <c r="T229" s="12" t="str">
        <f aca="false">IF(OR(R229="",S229=""),"",IFERROR(S229/R229*100,0))</f>
        <v/>
      </c>
      <c r="U229" s="12" t="str">
        <f aca="false">IF(OR(O229="",L229="",M229="",S229="",M229=0),"",IFERROR(O229/(L229*60*S229/(M229*36))*100,0))</f>
        <v/>
      </c>
      <c r="V229" s="11"/>
      <c r="W229" s="12" t="str">
        <f aca="false">IF(O229="","",IFERROR(V229/O229*100,0))</f>
        <v/>
      </c>
      <c r="X229" s="11"/>
      <c r="Y229" s="11"/>
      <c r="Z229" s="11"/>
      <c r="AA229" s="11"/>
      <c r="AB229" s="11"/>
      <c r="AC229" s="11"/>
      <c r="AD229" s="11"/>
      <c r="AE229" s="11"/>
      <c r="AF229" s="12" t="str">
        <f aca="false">IF(O229="","",SUM(X229:AE229))</f>
        <v/>
      </c>
      <c r="AG229" s="12" t="str">
        <f aca="false">IF(O229="","",IFERROR(AF229/O229*1000,0))</f>
        <v/>
      </c>
      <c r="AH229" s="11"/>
      <c r="AI229" s="11"/>
      <c r="AJ229" s="11"/>
      <c r="AK229" s="9"/>
      <c r="AL229" s="9"/>
      <c r="AM229" s="9"/>
    </row>
    <row r="230" customFormat="false" ht="15" hidden="false" customHeight="true" outlineLevel="0" collapsed="false">
      <c r="A230" s="6"/>
      <c r="B230" s="7"/>
      <c r="C230" s="8"/>
      <c r="D230" s="8"/>
      <c r="E230" s="8"/>
      <c r="F230" s="9"/>
      <c r="G230" s="8"/>
      <c r="H230" s="10" t="str">
        <f aca="false">IFERROR(INDEX('Operator Master'!$B$5:$B$504,MATCH(G230,'Operator Master'!$A$5:$A$504,0)),"")</f>
        <v/>
      </c>
      <c r="I230" s="9"/>
      <c r="J230" s="9"/>
      <c r="K230" s="8"/>
      <c r="L230" s="9"/>
      <c r="M230" s="9"/>
      <c r="N230" s="11"/>
      <c r="O230" s="11"/>
      <c r="P230" s="12" t="str">
        <f aca="false">IF(OR(N230="",O230=""),"",IFERROR(O230/N230*100,0))</f>
        <v/>
      </c>
      <c r="Q230" s="10" t="n">
        <v>8</v>
      </c>
      <c r="R230" s="12" t="str">
        <f aca="false">IF(J230="","",Q230*J230)</f>
        <v/>
      </c>
      <c r="S230" s="11"/>
      <c r="T230" s="12" t="str">
        <f aca="false">IF(OR(R230="",S230=""),"",IFERROR(S230/R230*100,0))</f>
        <v/>
      </c>
      <c r="U230" s="12" t="str">
        <f aca="false">IF(OR(O230="",L230="",M230="",S230="",M230=0),"",IFERROR(O230/(L230*60*S230/(M230*36))*100,0))</f>
        <v/>
      </c>
      <c r="V230" s="11"/>
      <c r="W230" s="12" t="str">
        <f aca="false">IF(O230="","",IFERROR(V230/O230*100,0))</f>
        <v/>
      </c>
      <c r="X230" s="11"/>
      <c r="Y230" s="11"/>
      <c r="Z230" s="11"/>
      <c r="AA230" s="11"/>
      <c r="AB230" s="11"/>
      <c r="AC230" s="11"/>
      <c r="AD230" s="11"/>
      <c r="AE230" s="11"/>
      <c r="AF230" s="12" t="str">
        <f aca="false">IF(O230="","",SUM(X230:AE230))</f>
        <v/>
      </c>
      <c r="AG230" s="12" t="str">
        <f aca="false">IF(O230="","",IFERROR(AF230/O230*1000,0))</f>
        <v/>
      </c>
      <c r="AH230" s="11"/>
      <c r="AI230" s="11"/>
      <c r="AJ230" s="11"/>
      <c r="AK230" s="9"/>
      <c r="AL230" s="9"/>
      <c r="AM230" s="9"/>
    </row>
    <row r="231" customFormat="false" ht="15" hidden="false" customHeight="true" outlineLevel="0" collapsed="false">
      <c r="A231" s="6"/>
      <c r="B231" s="7"/>
      <c r="C231" s="8"/>
      <c r="D231" s="8"/>
      <c r="E231" s="8"/>
      <c r="F231" s="9"/>
      <c r="G231" s="8"/>
      <c r="H231" s="10" t="str">
        <f aca="false">IFERROR(INDEX('Operator Master'!$B$5:$B$504,MATCH(G231,'Operator Master'!$A$5:$A$504,0)),"")</f>
        <v/>
      </c>
      <c r="I231" s="9"/>
      <c r="J231" s="9"/>
      <c r="K231" s="8"/>
      <c r="L231" s="9"/>
      <c r="M231" s="9"/>
      <c r="N231" s="11"/>
      <c r="O231" s="11"/>
      <c r="P231" s="12" t="str">
        <f aca="false">IF(OR(N231="",O231=""),"",IFERROR(O231/N231*100,0))</f>
        <v/>
      </c>
      <c r="Q231" s="10" t="n">
        <v>8</v>
      </c>
      <c r="R231" s="12" t="str">
        <f aca="false">IF(J231="","",Q231*J231)</f>
        <v/>
      </c>
      <c r="S231" s="11"/>
      <c r="T231" s="12" t="str">
        <f aca="false">IF(OR(R231="",S231=""),"",IFERROR(S231/R231*100,0))</f>
        <v/>
      </c>
      <c r="U231" s="12" t="str">
        <f aca="false">IF(OR(O231="",L231="",M231="",S231="",M231=0),"",IFERROR(O231/(L231*60*S231/(M231*36))*100,0))</f>
        <v/>
      </c>
      <c r="V231" s="11"/>
      <c r="W231" s="12" t="str">
        <f aca="false">IF(O231="","",IFERROR(V231/O231*100,0))</f>
        <v/>
      </c>
      <c r="X231" s="11"/>
      <c r="Y231" s="11"/>
      <c r="Z231" s="11"/>
      <c r="AA231" s="11"/>
      <c r="AB231" s="11"/>
      <c r="AC231" s="11"/>
      <c r="AD231" s="11"/>
      <c r="AE231" s="11"/>
      <c r="AF231" s="12" t="str">
        <f aca="false">IF(O231="","",SUM(X231:AE231))</f>
        <v/>
      </c>
      <c r="AG231" s="12" t="str">
        <f aca="false">IF(O231="","",IFERROR(AF231/O231*1000,0))</f>
        <v/>
      </c>
      <c r="AH231" s="11"/>
      <c r="AI231" s="11"/>
      <c r="AJ231" s="11"/>
      <c r="AK231" s="9"/>
      <c r="AL231" s="9"/>
      <c r="AM231" s="9"/>
    </row>
    <row r="232" customFormat="false" ht="15" hidden="false" customHeight="true" outlineLevel="0" collapsed="false">
      <c r="A232" s="6"/>
      <c r="B232" s="7"/>
      <c r="C232" s="8"/>
      <c r="D232" s="8"/>
      <c r="E232" s="8"/>
      <c r="F232" s="9"/>
      <c r="G232" s="8"/>
      <c r="H232" s="10" t="str">
        <f aca="false">IFERROR(INDEX('Operator Master'!$B$5:$B$504,MATCH(G232,'Operator Master'!$A$5:$A$504,0)),"")</f>
        <v/>
      </c>
      <c r="I232" s="9"/>
      <c r="J232" s="9"/>
      <c r="K232" s="8"/>
      <c r="L232" s="9"/>
      <c r="M232" s="9"/>
      <c r="N232" s="11"/>
      <c r="O232" s="11"/>
      <c r="P232" s="12" t="str">
        <f aca="false">IF(OR(N232="",O232=""),"",IFERROR(O232/N232*100,0))</f>
        <v/>
      </c>
      <c r="Q232" s="10" t="n">
        <v>8</v>
      </c>
      <c r="R232" s="12" t="str">
        <f aca="false">IF(J232="","",Q232*J232)</f>
        <v/>
      </c>
      <c r="S232" s="11"/>
      <c r="T232" s="12" t="str">
        <f aca="false">IF(OR(R232="",S232=""),"",IFERROR(S232/R232*100,0))</f>
        <v/>
      </c>
      <c r="U232" s="12" t="str">
        <f aca="false">IF(OR(O232="",L232="",M232="",S232="",M232=0),"",IFERROR(O232/(L232*60*S232/(M232*36))*100,0))</f>
        <v/>
      </c>
      <c r="V232" s="11"/>
      <c r="W232" s="12" t="str">
        <f aca="false">IF(O232="","",IFERROR(V232/O232*100,0))</f>
        <v/>
      </c>
      <c r="X232" s="11"/>
      <c r="Y232" s="11"/>
      <c r="Z232" s="11"/>
      <c r="AA232" s="11"/>
      <c r="AB232" s="11"/>
      <c r="AC232" s="11"/>
      <c r="AD232" s="11"/>
      <c r="AE232" s="11"/>
      <c r="AF232" s="12" t="str">
        <f aca="false">IF(O232="","",SUM(X232:AE232))</f>
        <v/>
      </c>
      <c r="AG232" s="12" t="str">
        <f aca="false">IF(O232="","",IFERROR(AF232/O232*1000,0))</f>
        <v/>
      </c>
      <c r="AH232" s="11"/>
      <c r="AI232" s="11"/>
      <c r="AJ232" s="11"/>
      <c r="AK232" s="9"/>
      <c r="AL232" s="9"/>
      <c r="AM232" s="9"/>
    </row>
    <row r="233" customFormat="false" ht="15" hidden="false" customHeight="true" outlineLevel="0" collapsed="false">
      <c r="A233" s="6"/>
      <c r="B233" s="7"/>
      <c r="C233" s="8"/>
      <c r="D233" s="8"/>
      <c r="E233" s="8"/>
      <c r="F233" s="9"/>
      <c r="G233" s="8"/>
      <c r="H233" s="10" t="str">
        <f aca="false">IFERROR(INDEX('Operator Master'!$B$5:$B$504,MATCH(G233,'Operator Master'!$A$5:$A$504,0)),"")</f>
        <v/>
      </c>
      <c r="I233" s="9"/>
      <c r="J233" s="9"/>
      <c r="K233" s="8"/>
      <c r="L233" s="9"/>
      <c r="M233" s="9"/>
      <c r="N233" s="11"/>
      <c r="O233" s="11"/>
      <c r="P233" s="12" t="str">
        <f aca="false">IF(OR(N233="",O233=""),"",IFERROR(O233/N233*100,0))</f>
        <v/>
      </c>
      <c r="Q233" s="10" t="n">
        <v>8</v>
      </c>
      <c r="R233" s="12" t="str">
        <f aca="false">IF(J233="","",Q233*J233)</f>
        <v/>
      </c>
      <c r="S233" s="11"/>
      <c r="T233" s="12" t="str">
        <f aca="false">IF(OR(R233="",S233=""),"",IFERROR(S233/R233*100,0))</f>
        <v/>
      </c>
      <c r="U233" s="12" t="str">
        <f aca="false">IF(OR(O233="",L233="",M233="",S233="",M233=0),"",IFERROR(O233/(L233*60*S233/(M233*36))*100,0))</f>
        <v/>
      </c>
      <c r="V233" s="11"/>
      <c r="W233" s="12" t="str">
        <f aca="false">IF(O233="","",IFERROR(V233/O233*100,0))</f>
        <v/>
      </c>
      <c r="X233" s="11"/>
      <c r="Y233" s="11"/>
      <c r="Z233" s="11"/>
      <c r="AA233" s="11"/>
      <c r="AB233" s="11"/>
      <c r="AC233" s="11"/>
      <c r="AD233" s="11"/>
      <c r="AE233" s="11"/>
      <c r="AF233" s="12" t="str">
        <f aca="false">IF(O233="","",SUM(X233:AE233))</f>
        <v/>
      </c>
      <c r="AG233" s="12" t="str">
        <f aca="false">IF(O233="","",IFERROR(AF233/O233*1000,0))</f>
        <v/>
      </c>
      <c r="AH233" s="11"/>
      <c r="AI233" s="11"/>
      <c r="AJ233" s="11"/>
      <c r="AK233" s="9"/>
      <c r="AL233" s="9"/>
      <c r="AM233" s="9"/>
    </row>
    <row r="234" customFormat="false" ht="15" hidden="false" customHeight="true" outlineLevel="0" collapsed="false">
      <c r="A234" s="6"/>
      <c r="B234" s="7"/>
      <c r="C234" s="8"/>
      <c r="D234" s="8"/>
      <c r="E234" s="8"/>
      <c r="F234" s="9"/>
      <c r="G234" s="8"/>
      <c r="H234" s="10" t="str">
        <f aca="false">IFERROR(INDEX('Operator Master'!$B$5:$B$504,MATCH(G234,'Operator Master'!$A$5:$A$504,0)),"")</f>
        <v/>
      </c>
      <c r="I234" s="9"/>
      <c r="J234" s="9"/>
      <c r="K234" s="8"/>
      <c r="L234" s="9"/>
      <c r="M234" s="9"/>
      <c r="N234" s="11"/>
      <c r="O234" s="11"/>
      <c r="P234" s="12" t="str">
        <f aca="false">IF(OR(N234="",O234=""),"",IFERROR(O234/N234*100,0))</f>
        <v/>
      </c>
      <c r="Q234" s="10" t="n">
        <v>8</v>
      </c>
      <c r="R234" s="12" t="str">
        <f aca="false">IF(J234="","",Q234*J234)</f>
        <v/>
      </c>
      <c r="S234" s="11"/>
      <c r="T234" s="12" t="str">
        <f aca="false">IF(OR(R234="",S234=""),"",IFERROR(S234/R234*100,0))</f>
        <v/>
      </c>
      <c r="U234" s="12" t="str">
        <f aca="false">IF(OR(O234="",L234="",M234="",S234="",M234=0),"",IFERROR(O234/(L234*60*S234/(M234*36))*100,0))</f>
        <v/>
      </c>
      <c r="V234" s="11"/>
      <c r="W234" s="12" t="str">
        <f aca="false">IF(O234="","",IFERROR(V234/O234*100,0))</f>
        <v/>
      </c>
      <c r="X234" s="11"/>
      <c r="Y234" s="11"/>
      <c r="Z234" s="11"/>
      <c r="AA234" s="11"/>
      <c r="AB234" s="11"/>
      <c r="AC234" s="11"/>
      <c r="AD234" s="11"/>
      <c r="AE234" s="11"/>
      <c r="AF234" s="12" t="str">
        <f aca="false">IF(O234="","",SUM(X234:AE234))</f>
        <v/>
      </c>
      <c r="AG234" s="12" t="str">
        <f aca="false">IF(O234="","",IFERROR(AF234/O234*1000,0))</f>
        <v/>
      </c>
      <c r="AH234" s="11"/>
      <c r="AI234" s="11"/>
      <c r="AJ234" s="11"/>
      <c r="AK234" s="9"/>
      <c r="AL234" s="9"/>
      <c r="AM234" s="9"/>
    </row>
    <row r="235" customFormat="false" ht="15" hidden="false" customHeight="true" outlineLevel="0" collapsed="false">
      <c r="A235" s="6"/>
      <c r="B235" s="7"/>
      <c r="C235" s="8"/>
      <c r="D235" s="8"/>
      <c r="E235" s="8"/>
      <c r="F235" s="9"/>
      <c r="G235" s="8"/>
      <c r="H235" s="10" t="str">
        <f aca="false">IFERROR(INDEX('Operator Master'!$B$5:$B$504,MATCH(G235,'Operator Master'!$A$5:$A$504,0)),"")</f>
        <v/>
      </c>
      <c r="I235" s="9"/>
      <c r="J235" s="9"/>
      <c r="K235" s="8"/>
      <c r="L235" s="9"/>
      <c r="M235" s="9"/>
      <c r="N235" s="11"/>
      <c r="O235" s="11"/>
      <c r="P235" s="12" t="str">
        <f aca="false">IF(OR(N235="",O235=""),"",IFERROR(O235/N235*100,0))</f>
        <v/>
      </c>
      <c r="Q235" s="10" t="n">
        <v>8</v>
      </c>
      <c r="R235" s="12" t="str">
        <f aca="false">IF(J235="","",Q235*J235)</f>
        <v/>
      </c>
      <c r="S235" s="11"/>
      <c r="T235" s="12" t="str">
        <f aca="false">IF(OR(R235="",S235=""),"",IFERROR(S235/R235*100,0))</f>
        <v/>
      </c>
      <c r="U235" s="12" t="str">
        <f aca="false">IF(OR(O235="",L235="",M235="",S235="",M235=0),"",IFERROR(O235/(L235*60*S235/(M235*36))*100,0))</f>
        <v/>
      </c>
      <c r="V235" s="11"/>
      <c r="W235" s="12" t="str">
        <f aca="false">IF(O235="","",IFERROR(V235/O235*100,0))</f>
        <v/>
      </c>
      <c r="X235" s="11"/>
      <c r="Y235" s="11"/>
      <c r="Z235" s="11"/>
      <c r="AA235" s="11"/>
      <c r="AB235" s="11"/>
      <c r="AC235" s="11"/>
      <c r="AD235" s="11"/>
      <c r="AE235" s="11"/>
      <c r="AF235" s="12" t="str">
        <f aca="false">IF(O235="","",SUM(X235:AE235))</f>
        <v/>
      </c>
      <c r="AG235" s="12" t="str">
        <f aca="false">IF(O235="","",IFERROR(AF235/O235*1000,0))</f>
        <v/>
      </c>
      <c r="AH235" s="11"/>
      <c r="AI235" s="11"/>
      <c r="AJ235" s="11"/>
      <c r="AK235" s="9"/>
      <c r="AL235" s="9"/>
      <c r="AM235" s="9"/>
    </row>
    <row r="236" customFormat="false" ht="15" hidden="false" customHeight="true" outlineLevel="0" collapsed="false">
      <c r="A236" s="6"/>
      <c r="B236" s="7"/>
      <c r="C236" s="8"/>
      <c r="D236" s="8"/>
      <c r="E236" s="8"/>
      <c r="F236" s="9"/>
      <c r="G236" s="8"/>
      <c r="H236" s="10" t="str">
        <f aca="false">IFERROR(INDEX('Operator Master'!$B$5:$B$504,MATCH(G236,'Operator Master'!$A$5:$A$504,0)),"")</f>
        <v/>
      </c>
      <c r="I236" s="9"/>
      <c r="J236" s="9"/>
      <c r="K236" s="8"/>
      <c r="L236" s="9"/>
      <c r="M236" s="9"/>
      <c r="N236" s="11"/>
      <c r="O236" s="11"/>
      <c r="P236" s="12" t="str">
        <f aca="false">IF(OR(N236="",O236=""),"",IFERROR(O236/N236*100,0))</f>
        <v/>
      </c>
      <c r="Q236" s="10" t="n">
        <v>8</v>
      </c>
      <c r="R236" s="12" t="str">
        <f aca="false">IF(J236="","",Q236*J236)</f>
        <v/>
      </c>
      <c r="S236" s="11"/>
      <c r="T236" s="12" t="str">
        <f aca="false">IF(OR(R236="",S236=""),"",IFERROR(S236/R236*100,0))</f>
        <v/>
      </c>
      <c r="U236" s="12" t="str">
        <f aca="false">IF(OR(O236="",L236="",M236="",S236="",M236=0),"",IFERROR(O236/(L236*60*S236/(M236*36))*100,0))</f>
        <v/>
      </c>
      <c r="V236" s="11"/>
      <c r="W236" s="12" t="str">
        <f aca="false">IF(O236="","",IFERROR(V236/O236*100,0))</f>
        <v/>
      </c>
      <c r="X236" s="11"/>
      <c r="Y236" s="11"/>
      <c r="Z236" s="11"/>
      <c r="AA236" s="11"/>
      <c r="AB236" s="11"/>
      <c r="AC236" s="11"/>
      <c r="AD236" s="11"/>
      <c r="AE236" s="11"/>
      <c r="AF236" s="12" t="str">
        <f aca="false">IF(O236="","",SUM(X236:AE236))</f>
        <v/>
      </c>
      <c r="AG236" s="12" t="str">
        <f aca="false">IF(O236="","",IFERROR(AF236/O236*1000,0))</f>
        <v/>
      </c>
      <c r="AH236" s="11"/>
      <c r="AI236" s="11"/>
      <c r="AJ236" s="11"/>
      <c r="AK236" s="9"/>
      <c r="AL236" s="9"/>
      <c r="AM236" s="9"/>
    </row>
    <row r="237" customFormat="false" ht="15" hidden="false" customHeight="true" outlineLevel="0" collapsed="false">
      <c r="A237" s="6"/>
      <c r="B237" s="7"/>
      <c r="C237" s="8"/>
      <c r="D237" s="8"/>
      <c r="E237" s="8"/>
      <c r="F237" s="9"/>
      <c r="G237" s="8"/>
      <c r="H237" s="10" t="str">
        <f aca="false">IFERROR(INDEX('Operator Master'!$B$5:$B$504,MATCH(G237,'Operator Master'!$A$5:$A$504,0)),"")</f>
        <v/>
      </c>
      <c r="I237" s="9"/>
      <c r="J237" s="9"/>
      <c r="K237" s="8"/>
      <c r="L237" s="9"/>
      <c r="M237" s="9"/>
      <c r="N237" s="11"/>
      <c r="O237" s="11"/>
      <c r="P237" s="12" t="str">
        <f aca="false">IF(OR(N237="",O237=""),"",IFERROR(O237/N237*100,0))</f>
        <v/>
      </c>
      <c r="Q237" s="10" t="n">
        <v>8</v>
      </c>
      <c r="R237" s="12" t="str">
        <f aca="false">IF(J237="","",Q237*J237)</f>
        <v/>
      </c>
      <c r="S237" s="11"/>
      <c r="T237" s="12" t="str">
        <f aca="false">IF(OR(R237="",S237=""),"",IFERROR(S237/R237*100,0))</f>
        <v/>
      </c>
      <c r="U237" s="12" t="str">
        <f aca="false">IF(OR(O237="",L237="",M237="",S237="",M237=0),"",IFERROR(O237/(L237*60*S237/(M237*36))*100,0))</f>
        <v/>
      </c>
      <c r="V237" s="11"/>
      <c r="W237" s="12" t="str">
        <f aca="false">IF(O237="","",IFERROR(V237/O237*100,0))</f>
        <v/>
      </c>
      <c r="X237" s="11"/>
      <c r="Y237" s="11"/>
      <c r="Z237" s="11"/>
      <c r="AA237" s="11"/>
      <c r="AB237" s="11"/>
      <c r="AC237" s="11"/>
      <c r="AD237" s="11"/>
      <c r="AE237" s="11"/>
      <c r="AF237" s="12" t="str">
        <f aca="false">IF(O237="","",SUM(X237:AE237))</f>
        <v/>
      </c>
      <c r="AG237" s="12" t="str">
        <f aca="false">IF(O237="","",IFERROR(AF237/O237*1000,0))</f>
        <v/>
      </c>
      <c r="AH237" s="11"/>
      <c r="AI237" s="11"/>
      <c r="AJ237" s="11"/>
      <c r="AK237" s="9"/>
      <c r="AL237" s="9"/>
      <c r="AM237" s="9"/>
    </row>
    <row r="238" customFormat="false" ht="15" hidden="false" customHeight="true" outlineLevel="0" collapsed="false">
      <c r="A238" s="6"/>
      <c r="B238" s="7"/>
      <c r="C238" s="8"/>
      <c r="D238" s="8"/>
      <c r="E238" s="8"/>
      <c r="F238" s="9"/>
      <c r="G238" s="8"/>
      <c r="H238" s="10" t="str">
        <f aca="false">IFERROR(INDEX('Operator Master'!$B$5:$B$504,MATCH(G238,'Operator Master'!$A$5:$A$504,0)),"")</f>
        <v/>
      </c>
      <c r="I238" s="9"/>
      <c r="J238" s="9"/>
      <c r="K238" s="8"/>
      <c r="L238" s="9"/>
      <c r="M238" s="9"/>
      <c r="N238" s="11"/>
      <c r="O238" s="11"/>
      <c r="P238" s="12" t="str">
        <f aca="false">IF(OR(N238="",O238=""),"",IFERROR(O238/N238*100,0))</f>
        <v/>
      </c>
      <c r="Q238" s="10" t="n">
        <v>8</v>
      </c>
      <c r="R238" s="12" t="str">
        <f aca="false">IF(J238="","",Q238*J238)</f>
        <v/>
      </c>
      <c r="S238" s="11"/>
      <c r="T238" s="12" t="str">
        <f aca="false">IF(OR(R238="",S238=""),"",IFERROR(S238/R238*100,0))</f>
        <v/>
      </c>
      <c r="U238" s="12" t="str">
        <f aca="false">IF(OR(O238="",L238="",M238="",S238="",M238=0),"",IFERROR(O238/(L238*60*S238/(M238*36))*100,0))</f>
        <v/>
      </c>
      <c r="V238" s="11"/>
      <c r="W238" s="12" t="str">
        <f aca="false">IF(O238="","",IFERROR(V238/O238*100,0))</f>
        <v/>
      </c>
      <c r="X238" s="11"/>
      <c r="Y238" s="11"/>
      <c r="Z238" s="11"/>
      <c r="AA238" s="11"/>
      <c r="AB238" s="11"/>
      <c r="AC238" s="11"/>
      <c r="AD238" s="11"/>
      <c r="AE238" s="11"/>
      <c r="AF238" s="12" t="str">
        <f aca="false">IF(O238="","",SUM(X238:AE238))</f>
        <v/>
      </c>
      <c r="AG238" s="12" t="str">
        <f aca="false">IF(O238="","",IFERROR(AF238/O238*1000,0))</f>
        <v/>
      </c>
      <c r="AH238" s="11"/>
      <c r="AI238" s="11"/>
      <c r="AJ238" s="11"/>
      <c r="AK238" s="9"/>
      <c r="AL238" s="9"/>
      <c r="AM238" s="9"/>
    </row>
    <row r="239" customFormat="false" ht="15" hidden="false" customHeight="true" outlineLevel="0" collapsed="false">
      <c r="A239" s="6"/>
      <c r="B239" s="7"/>
      <c r="C239" s="8"/>
      <c r="D239" s="8"/>
      <c r="E239" s="8"/>
      <c r="F239" s="9"/>
      <c r="G239" s="8"/>
      <c r="H239" s="10" t="str">
        <f aca="false">IFERROR(INDEX('Operator Master'!$B$5:$B$504,MATCH(G239,'Operator Master'!$A$5:$A$504,0)),"")</f>
        <v/>
      </c>
      <c r="I239" s="9"/>
      <c r="J239" s="9"/>
      <c r="K239" s="8"/>
      <c r="L239" s="9"/>
      <c r="M239" s="9"/>
      <c r="N239" s="11"/>
      <c r="O239" s="11"/>
      <c r="P239" s="12" t="str">
        <f aca="false">IF(OR(N239="",O239=""),"",IFERROR(O239/N239*100,0))</f>
        <v/>
      </c>
      <c r="Q239" s="10" t="n">
        <v>8</v>
      </c>
      <c r="R239" s="12" t="str">
        <f aca="false">IF(J239="","",Q239*J239)</f>
        <v/>
      </c>
      <c r="S239" s="11"/>
      <c r="T239" s="12" t="str">
        <f aca="false">IF(OR(R239="",S239=""),"",IFERROR(S239/R239*100,0))</f>
        <v/>
      </c>
      <c r="U239" s="12" t="str">
        <f aca="false">IF(OR(O239="",L239="",M239="",S239="",M239=0),"",IFERROR(O239/(L239*60*S239/(M239*36))*100,0))</f>
        <v/>
      </c>
      <c r="V239" s="11"/>
      <c r="W239" s="12" t="str">
        <f aca="false">IF(O239="","",IFERROR(V239/O239*100,0))</f>
        <v/>
      </c>
      <c r="X239" s="11"/>
      <c r="Y239" s="11"/>
      <c r="Z239" s="11"/>
      <c r="AA239" s="11"/>
      <c r="AB239" s="11"/>
      <c r="AC239" s="11"/>
      <c r="AD239" s="11"/>
      <c r="AE239" s="11"/>
      <c r="AF239" s="12" t="str">
        <f aca="false">IF(O239="","",SUM(X239:AE239))</f>
        <v/>
      </c>
      <c r="AG239" s="12" t="str">
        <f aca="false">IF(O239="","",IFERROR(AF239/O239*1000,0))</f>
        <v/>
      </c>
      <c r="AH239" s="11"/>
      <c r="AI239" s="11"/>
      <c r="AJ239" s="11"/>
      <c r="AK239" s="9"/>
      <c r="AL239" s="9"/>
      <c r="AM239" s="9"/>
    </row>
    <row r="240" customFormat="false" ht="15" hidden="false" customHeight="true" outlineLevel="0" collapsed="false">
      <c r="A240" s="6"/>
      <c r="B240" s="7"/>
      <c r="C240" s="8"/>
      <c r="D240" s="8"/>
      <c r="E240" s="8"/>
      <c r="F240" s="9"/>
      <c r="G240" s="8"/>
      <c r="H240" s="10" t="str">
        <f aca="false">IFERROR(INDEX('Operator Master'!$B$5:$B$504,MATCH(G240,'Operator Master'!$A$5:$A$504,0)),"")</f>
        <v/>
      </c>
      <c r="I240" s="9"/>
      <c r="J240" s="9"/>
      <c r="K240" s="8"/>
      <c r="L240" s="9"/>
      <c r="M240" s="9"/>
      <c r="N240" s="11"/>
      <c r="O240" s="11"/>
      <c r="P240" s="12" t="str">
        <f aca="false">IF(OR(N240="",O240=""),"",IFERROR(O240/N240*100,0))</f>
        <v/>
      </c>
      <c r="Q240" s="10" t="n">
        <v>8</v>
      </c>
      <c r="R240" s="12" t="str">
        <f aca="false">IF(J240="","",Q240*J240)</f>
        <v/>
      </c>
      <c r="S240" s="11"/>
      <c r="T240" s="12" t="str">
        <f aca="false">IF(OR(R240="",S240=""),"",IFERROR(S240/R240*100,0))</f>
        <v/>
      </c>
      <c r="U240" s="12" t="str">
        <f aca="false">IF(OR(O240="",L240="",M240="",S240="",M240=0),"",IFERROR(O240/(L240*60*S240/(M240*36))*100,0))</f>
        <v/>
      </c>
      <c r="V240" s="11"/>
      <c r="W240" s="12" t="str">
        <f aca="false">IF(O240="","",IFERROR(V240/O240*100,0))</f>
        <v/>
      </c>
      <c r="X240" s="11"/>
      <c r="Y240" s="11"/>
      <c r="Z240" s="11"/>
      <c r="AA240" s="11"/>
      <c r="AB240" s="11"/>
      <c r="AC240" s="11"/>
      <c r="AD240" s="11"/>
      <c r="AE240" s="11"/>
      <c r="AF240" s="12" t="str">
        <f aca="false">IF(O240="","",SUM(X240:AE240))</f>
        <v/>
      </c>
      <c r="AG240" s="12" t="str">
        <f aca="false">IF(O240="","",IFERROR(AF240/O240*1000,0))</f>
        <v/>
      </c>
      <c r="AH240" s="11"/>
      <c r="AI240" s="11"/>
      <c r="AJ240" s="11"/>
      <c r="AK240" s="9"/>
      <c r="AL240" s="9"/>
      <c r="AM240" s="9"/>
    </row>
    <row r="241" customFormat="false" ht="15" hidden="false" customHeight="true" outlineLevel="0" collapsed="false">
      <c r="A241" s="6"/>
      <c r="B241" s="7"/>
      <c r="C241" s="8"/>
      <c r="D241" s="8"/>
      <c r="E241" s="8"/>
      <c r="F241" s="9"/>
      <c r="G241" s="8"/>
      <c r="H241" s="10" t="str">
        <f aca="false">IFERROR(INDEX('Operator Master'!$B$5:$B$504,MATCH(G241,'Operator Master'!$A$5:$A$504,0)),"")</f>
        <v/>
      </c>
      <c r="I241" s="9"/>
      <c r="J241" s="9"/>
      <c r="K241" s="8"/>
      <c r="L241" s="9"/>
      <c r="M241" s="9"/>
      <c r="N241" s="11"/>
      <c r="O241" s="11"/>
      <c r="P241" s="12" t="str">
        <f aca="false">IF(OR(N241="",O241=""),"",IFERROR(O241/N241*100,0))</f>
        <v/>
      </c>
      <c r="Q241" s="10" t="n">
        <v>8</v>
      </c>
      <c r="R241" s="12" t="str">
        <f aca="false">IF(J241="","",Q241*J241)</f>
        <v/>
      </c>
      <c r="S241" s="11"/>
      <c r="T241" s="12" t="str">
        <f aca="false">IF(OR(R241="",S241=""),"",IFERROR(S241/R241*100,0))</f>
        <v/>
      </c>
      <c r="U241" s="12" t="str">
        <f aca="false">IF(OR(O241="",L241="",M241="",S241="",M241=0),"",IFERROR(O241/(L241*60*S241/(M241*36))*100,0))</f>
        <v/>
      </c>
      <c r="V241" s="11"/>
      <c r="W241" s="12" t="str">
        <f aca="false">IF(O241="","",IFERROR(V241/O241*100,0))</f>
        <v/>
      </c>
      <c r="X241" s="11"/>
      <c r="Y241" s="11"/>
      <c r="Z241" s="11"/>
      <c r="AA241" s="11"/>
      <c r="AB241" s="11"/>
      <c r="AC241" s="11"/>
      <c r="AD241" s="11"/>
      <c r="AE241" s="11"/>
      <c r="AF241" s="12" t="str">
        <f aca="false">IF(O241="","",SUM(X241:AE241))</f>
        <v/>
      </c>
      <c r="AG241" s="12" t="str">
        <f aca="false">IF(O241="","",IFERROR(AF241/O241*1000,0))</f>
        <v/>
      </c>
      <c r="AH241" s="11"/>
      <c r="AI241" s="11"/>
      <c r="AJ241" s="11"/>
      <c r="AK241" s="9"/>
      <c r="AL241" s="9"/>
      <c r="AM241" s="9"/>
    </row>
    <row r="242" customFormat="false" ht="15" hidden="false" customHeight="true" outlineLevel="0" collapsed="false">
      <c r="A242" s="6"/>
      <c r="B242" s="7"/>
      <c r="C242" s="8"/>
      <c r="D242" s="8"/>
      <c r="E242" s="8"/>
      <c r="F242" s="9"/>
      <c r="G242" s="8"/>
      <c r="H242" s="10" t="str">
        <f aca="false">IFERROR(INDEX('Operator Master'!$B$5:$B$504,MATCH(G242,'Operator Master'!$A$5:$A$504,0)),"")</f>
        <v/>
      </c>
      <c r="I242" s="9"/>
      <c r="J242" s="9"/>
      <c r="K242" s="8"/>
      <c r="L242" s="9"/>
      <c r="M242" s="9"/>
      <c r="N242" s="11"/>
      <c r="O242" s="11"/>
      <c r="P242" s="12" t="str">
        <f aca="false">IF(OR(N242="",O242=""),"",IFERROR(O242/N242*100,0))</f>
        <v/>
      </c>
      <c r="Q242" s="10" t="n">
        <v>8</v>
      </c>
      <c r="R242" s="12" t="str">
        <f aca="false">IF(J242="","",Q242*J242)</f>
        <v/>
      </c>
      <c r="S242" s="11"/>
      <c r="T242" s="12" t="str">
        <f aca="false">IF(OR(R242="",S242=""),"",IFERROR(S242/R242*100,0))</f>
        <v/>
      </c>
      <c r="U242" s="12" t="str">
        <f aca="false">IF(OR(O242="",L242="",M242="",S242="",M242=0),"",IFERROR(O242/(L242*60*S242/(M242*36))*100,0))</f>
        <v/>
      </c>
      <c r="V242" s="11"/>
      <c r="W242" s="12" t="str">
        <f aca="false">IF(O242="","",IFERROR(V242/O242*100,0))</f>
        <v/>
      </c>
      <c r="X242" s="11"/>
      <c r="Y242" s="11"/>
      <c r="Z242" s="11"/>
      <c r="AA242" s="11"/>
      <c r="AB242" s="11"/>
      <c r="AC242" s="11"/>
      <c r="AD242" s="11"/>
      <c r="AE242" s="11"/>
      <c r="AF242" s="12" t="str">
        <f aca="false">IF(O242="","",SUM(X242:AE242))</f>
        <v/>
      </c>
      <c r="AG242" s="12" t="str">
        <f aca="false">IF(O242="","",IFERROR(AF242/O242*1000,0))</f>
        <v/>
      </c>
      <c r="AH242" s="11"/>
      <c r="AI242" s="11"/>
      <c r="AJ242" s="11"/>
      <c r="AK242" s="9"/>
      <c r="AL242" s="9"/>
      <c r="AM242" s="9"/>
    </row>
    <row r="243" customFormat="false" ht="15" hidden="false" customHeight="true" outlineLevel="0" collapsed="false">
      <c r="A243" s="6"/>
      <c r="B243" s="7"/>
      <c r="C243" s="8"/>
      <c r="D243" s="8"/>
      <c r="E243" s="8"/>
      <c r="F243" s="9"/>
      <c r="G243" s="8"/>
      <c r="H243" s="10" t="str">
        <f aca="false">IFERROR(INDEX('Operator Master'!$B$5:$B$504,MATCH(G243,'Operator Master'!$A$5:$A$504,0)),"")</f>
        <v/>
      </c>
      <c r="I243" s="9"/>
      <c r="J243" s="9"/>
      <c r="K243" s="8"/>
      <c r="L243" s="9"/>
      <c r="M243" s="9"/>
      <c r="N243" s="11"/>
      <c r="O243" s="11"/>
      <c r="P243" s="12" t="str">
        <f aca="false">IF(OR(N243="",O243=""),"",IFERROR(O243/N243*100,0))</f>
        <v/>
      </c>
      <c r="Q243" s="10" t="n">
        <v>8</v>
      </c>
      <c r="R243" s="12" t="str">
        <f aca="false">IF(J243="","",Q243*J243)</f>
        <v/>
      </c>
      <c r="S243" s="11"/>
      <c r="T243" s="12" t="str">
        <f aca="false">IF(OR(R243="",S243=""),"",IFERROR(S243/R243*100,0))</f>
        <v/>
      </c>
      <c r="U243" s="12" t="str">
        <f aca="false">IF(OR(O243="",L243="",M243="",S243="",M243=0),"",IFERROR(O243/(L243*60*S243/(M243*36))*100,0))</f>
        <v/>
      </c>
      <c r="V243" s="11"/>
      <c r="W243" s="12" t="str">
        <f aca="false">IF(O243="","",IFERROR(V243/O243*100,0))</f>
        <v/>
      </c>
      <c r="X243" s="11"/>
      <c r="Y243" s="11"/>
      <c r="Z243" s="11"/>
      <c r="AA243" s="11"/>
      <c r="AB243" s="11"/>
      <c r="AC243" s="11"/>
      <c r="AD243" s="11"/>
      <c r="AE243" s="11"/>
      <c r="AF243" s="12" t="str">
        <f aca="false">IF(O243="","",SUM(X243:AE243))</f>
        <v/>
      </c>
      <c r="AG243" s="12" t="str">
        <f aca="false">IF(O243="","",IFERROR(AF243/O243*1000,0))</f>
        <v/>
      </c>
      <c r="AH243" s="11"/>
      <c r="AI243" s="11"/>
      <c r="AJ243" s="11"/>
      <c r="AK243" s="9"/>
      <c r="AL243" s="9"/>
      <c r="AM243" s="9"/>
    </row>
    <row r="244" customFormat="false" ht="15" hidden="false" customHeight="true" outlineLevel="0" collapsed="false">
      <c r="A244" s="6"/>
      <c r="B244" s="7"/>
      <c r="C244" s="8"/>
      <c r="D244" s="8"/>
      <c r="E244" s="8"/>
      <c r="F244" s="9"/>
      <c r="G244" s="8"/>
      <c r="H244" s="10" t="str">
        <f aca="false">IFERROR(INDEX('Operator Master'!$B$5:$B$504,MATCH(G244,'Operator Master'!$A$5:$A$504,0)),"")</f>
        <v/>
      </c>
      <c r="I244" s="9"/>
      <c r="J244" s="9"/>
      <c r="K244" s="8"/>
      <c r="L244" s="9"/>
      <c r="M244" s="9"/>
      <c r="N244" s="11"/>
      <c r="O244" s="11"/>
      <c r="P244" s="12" t="str">
        <f aca="false">IF(OR(N244="",O244=""),"",IFERROR(O244/N244*100,0))</f>
        <v/>
      </c>
      <c r="Q244" s="10" t="n">
        <v>8</v>
      </c>
      <c r="R244" s="12" t="str">
        <f aca="false">IF(J244="","",Q244*J244)</f>
        <v/>
      </c>
      <c r="S244" s="11"/>
      <c r="T244" s="12" t="str">
        <f aca="false">IF(OR(R244="",S244=""),"",IFERROR(S244/R244*100,0))</f>
        <v/>
      </c>
      <c r="U244" s="12" t="str">
        <f aca="false">IF(OR(O244="",L244="",M244="",S244="",M244=0),"",IFERROR(O244/(L244*60*S244/(M244*36))*100,0))</f>
        <v/>
      </c>
      <c r="V244" s="11"/>
      <c r="W244" s="12" t="str">
        <f aca="false">IF(O244="","",IFERROR(V244/O244*100,0))</f>
        <v/>
      </c>
      <c r="X244" s="11"/>
      <c r="Y244" s="11"/>
      <c r="Z244" s="11"/>
      <c r="AA244" s="11"/>
      <c r="AB244" s="11"/>
      <c r="AC244" s="11"/>
      <c r="AD244" s="11"/>
      <c r="AE244" s="11"/>
      <c r="AF244" s="12" t="str">
        <f aca="false">IF(O244="","",SUM(X244:AE244))</f>
        <v/>
      </c>
      <c r="AG244" s="12" t="str">
        <f aca="false">IF(O244="","",IFERROR(AF244/O244*1000,0))</f>
        <v/>
      </c>
      <c r="AH244" s="11"/>
      <c r="AI244" s="11"/>
      <c r="AJ244" s="11"/>
      <c r="AK244" s="9"/>
      <c r="AL244" s="9"/>
      <c r="AM244" s="9"/>
    </row>
    <row r="245" customFormat="false" ht="15" hidden="false" customHeight="true" outlineLevel="0" collapsed="false">
      <c r="A245" s="6"/>
      <c r="B245" s="7"/>
      <c r="C245" s="8"/>
      <c r="D245" s="8"/>
      <c r="E245" s="8"/>
      <c r="F245" s="9"/>
      <c r="G245" s="8"/>
      <c r="H245" s="10" t="str">
        <f aca="false">IFERROR(INDEX('Operator Master'!$B$5:$B$504,MATCH(G245,'Operator Master'!$A$5:$A$504,0)),"")</f>
        <v/>
      </c>
      <c r="I245" s="9"/>
      <c r="J245" s="9"/>
      <c r="K245" s="8"/>
      <c r="L245" s="9"/>
      <c r="M245" s="9"/>
      <c r="N245" s="11"/>
      <c r="O245" s="11"/>
      <c r="P245" s="12" t="str">
        <f aca="false">IF(OR(N245="",O245=""),"",IFERROR(O245/N245*100,0))</f>
        <v/>
      </c>
      <c r="Q245" s="10" t="n">
        <v>8</v>
      </c>
      <c r="R245" s="12" t="str">
        <f aca="false">IF(J245="","",Q245*J245)</f>
        <v/>
      </c>
      <c r="S245" s="11"/>
      <c r="T245" s="12" t="str">
        <f aca="false">IF(OR(R245="",S245=""),"",IFERROR(S245/R245*100,0))</f>
        <v/>
      </c>
      <c r="U245" s="12" t="str">
        <f aca="false">IF(OR(O245="",L245="",M245="",S245="",M245=0),"",IFERROR(O245/(L245*60*S245/(M245*36))*100,0))</f>
        <v/>
      </c>
      <c r="V245" s="11"/>
      <c r="W245" s="12" t="str">
        <f aca="false">IF(O245="","",IFERROR(V245/O245*100,0))</f>
        <v/>
      </c>
      <c r="X245" s="11"/>
      <c r="Y245" s="11"/>
      <c r="Z245" s="11"/>
      <c r="AA245" s="11"/>
      <c r="AB245" s="11"/>
      <c r="AC245" s="11"/>
      <c r="AD245" s="11"/>
      <c r="AE245" s="11"/>
      <c r="AF245" s="12" t="str">
        <f aca="false">IF(O245="","",SUM(X245:AE245))</f>
        <v/>
      </c>
      <c r="AG245" s="12" t="str">
        <f aca="false">IF(O245="","",IFERROR(AF245/O245*1000,0))</f>
        <v/>
      </c>
      <c r="AH245" s="11"/>
      <c r="AI245" s="11"/>
      <c r="AJ245" s="11"/>
      <c r="AK245" s="9"/>
      <c r="AL245" s="9"/>
      <c r="AM245" s="9"/>
    </row>
    <row r="246" customFormat="false" ht="15" hidden="false" customHeight="true" outlineLevel="0" collapsed="false">
      <c r="A246" s="6"/>
      <c r="B246" s="7"/>
      <c r="C246" s="8"/>
      <c r="D246" s="8"/>
      <c r="E246" s="8"/>
      <c r="F246" s="9"/>
      <c r="G246" s="8"/>
      <c r="H246" s="10" t="str">
        <f aca="false">IFERROR(INDEX('Operator Master'!$B$5:$B$504,MATCH(G246,'Operator Master'!$A$5:$A$504,0)),"")</f>
        <v/>
      </c>
      <c r="I246" s="9"/>
      <c r="J246" s="9"/>
      <c r="K246" s="8"/>
      <c r="L246" s="9"/>
      <c r="M246" s="9"/>
      <c r="N246" s="11"/>
      <c r="O246" s="11"/>
      <c r="P246" s="12" t="str">
        <f aca="false">IF(OR(N246="",O246=""),"",IFERROR(O246/N246*100,0))</f>
        <v/>
      </c>
      <c r="Q246" s="10" t="n">
        <v>8</v>
      </c>
      <c r="R246" s="12" t="str">
        <f aca="false">IF(J246="","",Q246*J246)</f>
        <v/>
      </c>
      <c r="S246" s="11"/>
      <c r="T246" s="12" t="str">
        <f aca="false">IF(OR(R246="",S246=""),"",IFERROR(S246/R246*100,0))</f>
        <v/>
      </c>
      <c r="U246" s="12" t="str">
        <f aca="false">IF(OR(O246="",L246="",M246="",S246="",M246=0),"",IFERROR(O246/(L246*60*S246/(M246*36))*100,0))</f>
        <v/>
      </c>
      <c r="V246" s="11"/>
      <c r="W246" s="12" t="str">
        <f aca="false">IF(O246="","",IFERROR(V246/O246*100,0))</f>
        <v/>
      </c>
      <c r="X246" s="11"/>
      <c r="Y246" s="11"/>
      <c r="Z246" s="11"/>
      <c r="AA246" s="11"/>
      <c r="AB246" s="11"/>
      <c r="AC246" s="11"/>
      <c r="AD246" s="11"/>
      <c r="AE246" s="11"/>
      <c r="AF246" s="12" t="str">
        <f aca="false">IF(O246="","",SUM(X246:AE246))</f>
        <v/>
      </c>
      <c r="AG246" s="12" t="str">
        <f aca="false">IF(O246="","",IFERROR(AF246/O246*1000,0))</f>
        <v/>
      </c>
      <c r="AH246" s="11"/>
      <c r="AI246" s="11"/>
      <c r="AJ246" s="11"/>
      <c r="AK246" s="9"/>
      <c r="AL246" s="9"/>
      <c r="AM246" s="9"/>
    </row>
    <row r="247" customFormat="false" ht="15" hidden="false" customHeight="true" outlineLevel="0" collapsed="false">
      <c r="A247" s="6"/>
      <c r="B247" s="7"/>
      <c r="C247" s="8"/>
      <c r="D247" s="8"/>
      <c r="E247" s="8"/>
      <c r="F247" s="9"/>
      <c r="G247" s="8"/>
      <c r="H247" s="10" t="str">
        <f aca="false">IFERROR(INDEX('Operator Master'!$B$5:$B$504,MATCH(G247,'Operator Master'!$A$5:$A$504,0)),"")</f>
        <v/>
      </c>
      <c r="I247" s="9"/>
      <c r="J247" s="9"/>
      <c r="K247" s="8"/>
      <c r="L247" s="9"/>
      <c r="M247" s="9"/>
      <c r="N247" s="11"/>
      <c r="O247" s="11"/>
      <c r="P247" s="12" t="str">
        <f aca="false">IF(OR(N247="",O247=""),"",IFERROR(O247/N247*100,0))</f>
        <v/>
      </c>
      <c r="Q247" s="10" t="n">
        <v>8</v>
      </c>
      <c r="R247" s="12" t="str">
        <f aca="false">IF(J247="","",Q247*J247)</f>
        <v/>
      </c>
      <c r="S247" s="11"/>
      <c r="T247" s="12" t="str">
        <f aca="false">IF(OR(R247="",S247=""),"",IFERROR(S247/R247*100,0))</f>
        <v/>
      </c>
      <c r="U247" s="12" t="str">
        <f aca="false">IF(OR(O247="",L247="",M247="",S247="",M247=0),"",IFERROR(O247/(L247*60*S247/(M247*36))*100,0))</f>
        <v/>
      </c>
      <c r="V247" s="11"/>
      <c r="W247" s="12" t="str">
        <f aca="false">IF(O247="","",IFERROR(V247/O247*100,0))</f>
        <v/>
      </c>
      <c r="X247" s="11"/>
      <c r="Y247" s="11"/>
      <c r="Z247" s="11"/>
      <c r="AA247" s="11"/>
      <c r="AB247" s="11"/>
      <c r="AC247" s="11"/>
      <c r="AD247" s="11"/>
      <c r="AE247" s="11"/>
      <c r="AF247" s="12" t="str">
        <f aca="false">IF(O247="","",SUM(X247:AE247))</f>
        <v/>
      </c>
      <c r="AG247" s="12" t="str">
        <f aca="false">IF(O247="","",IFERROR(AF247/O247*1000,0))</f>
        <v/>
      </c>
      <c r="AH247" s="11"/>
      <c r="AI247" s="11"/>
      <c r="AJ247" s="11"/>
      <c r="AK247" s="9"/>
      <c r="AL247" s="9"/>
      <c r="AM247" s="9"/>
    </row>
    <row r="248" customFormat="false" ht="15" hidden="false" customHeight="true" outlineLevel="0" collapsed="false">
      <c r="A248" s="6"/>
      <c r="B248" s="7"/>
      <c r="C248" s="8"/>
      <c r="D248" s="8"/>
      <c r="E248" s="8"/>
      <c r="F248" s="9"/>
      <c r="G248" s="8"/>
      <c r="H248" s="10" t="str">
        <f aca="false">IFERROR(INDEX('Operator Master'!$B$5:$B$504,MATCH(G248,'Operator Master'!$A$5:$A$504,0)),"")</f>
        <v/>
      </c>
      <c r="I248" s="9"/>
      <c r="J248" s="9"/>
      <c r="K248" s="8"/>
      <c r="L248" s="9"/>
      <c r="M248" s="9"/>
      <c r="N248" s="11"/>
      <c r="O248" s="11"/>
      <c r="P248" s="12" t="str">
        <f aca="false">IF(OR(N248="",O248=""),"",IFERROR(O248/N248*100,0))</f>
        <v/>
      </c>
      <c r="Q248" s="10" t="n">
        <v>8</v>
      </c>
      <c r="R248" s="12" t="str">
        <f aca="false">IF(J248="","",Q248*J248)</f>
        <v/>
      </c>
      <c r="S248" s="11"/>
      <c r="T248" s="12" t="str">
        <f aca="false">IF(OR(R248="",S248=""),"",IFERROR(S248/R248*100,0))</f>
        <v/>
      </c>
      <c r="U248" s="12" t="str">
        <f aca="false">IF(OR(O248="",L248="",M248="",S248="",M248=0),"",IFERROR(O248/(L248*60*S248/(M248*36))*100,0))</f>
        <v/>
      </c>
      <c r="V248" s="11"/>
      <c r="W248" s="12" t="str">
        <f aca="false">IF(O248="","",IFERROR(V248/O248*100,0))</f>
        <v/>
      </c>
      <c r="X248" s="11"/>
      <c r="Y248" s="11"/>
      <c r="Z248" s="11"/>
      <c r="AA248" s="11"/>
      <c r="AB248" s="11"/>
      <c r="AC248" s="11"/>
      <c r="AD248" s="11"/>
      <c r="AE248" s="11"/>
      <c r="AF248" s="12" t="str">
        <f aca="false">IF(O248="","",SUM(X248:AE248))</f>
        <v/>
      </c>
      <c r="AG248" s="12" t="str">
        <f aca="false">IF(O248="","",IFERROR(AF248/O248*1000,0))</f>
        <v/>
      </c>
      <c r="AH248" s="11"/>
      <c r="AI248" s="11"/>
      <c r="AJ248" s="11"/>
      <c r="AK248" s="9"/>
      <c r="AL248" s="9"/>
      <c r="AM248" s="9"/>
    </row>
    <row r="249" customFormat="false" ht="15" hidden="false" customHeight="true" outlineLevel="0" collapsed="false">
      <c r="A249" s="6"/>
      <c r="B249" s="7"/>
      <c r="C249" s="8"/>
      <c r="D249" s="8"/>
      <c r="E249" s="8"/>
      <c r="F249" s="9"/>
      <c r="G249" s="8"/>
      <c r="H249" s="10" t="str">
        <f aca="false">IFERROR(INDEX('Operator Master'!$B$5:$B$504,MATCH(G249,'Operator Master'!$A$5:$A$504,0)),"")</f>
        <v/>
      </c>
      <c r="I249" s="9"/>
      <c r="J249" s="9"/>
      <c r="K249" s="8"/>
      <c r="L249" s="9"/>
      <c r="M249" s="9"/>
      <c r="N249" s="11"/>
      <c r="O249" s="11"/>
      <c r="P249" s="12" t="str">
        <f aca="false">IF(OR(N249="",O249=""),"",IFERROR(O249/N249*100,0))</f>
        <v/>
      </c>
      <c r="Q249" s="10" t="n">
        <v>8</v>
      </c>
      <c r="R249" s="12" t="str">
        <f aca="false">IF(J249="","",Q249*J249)</f>
        <v/>
      </c>
      <c r="S249" s="11"/>
      <c r="T249" s="12" t="str">
        <f aca="false">IF(OR(R249="",S249=""),"",IFERROR(S249/R249*100,0))</f>
        <v/>
      </c>
      <c r="U249" s="12" t="str">
        <f aca="false">IF(OR(O249="",L249="",M249="",S249="",M249=0),"",IFERROR(O249/(L249*60*S249/(M249*36))*100,0))</f>
        <v/>
      </c>
      <c r="V249" s="11"/>
      <c r="W249" s="12" t="str">
        <f aca="false">IF(O249="","",IFERROR(V249/O249*100,0))</f>
        <v/>
      </c>
      <c r="X249" s="11"/>
      <c r="Y249" s="11"/>
      <c r="Z249" s="11"/>
      <c r="AA249" s="11"/>
      <c r="AB249" s="11"/>
      <c r="AC249" s="11"/>
      <c r="AD249" s="11"/>
      <c r="AE249" s="11"/>
      <c r="AF249" s="12" t="str">
        <f aca="false">IF(O249="","",SUM(X249:AE249))</f>
        <v/>
      </c>
      <c r="AG249" s="12" t="str">
        <f aca="false">IF(O249="","",IFERROR(AF249/O249*1000,0))</f>
        <v/>
      </c>
      <c r="AH249" s="11"/>
      <c r="AI249" s="11"/>
      <c r="AJ249" s="11"/>
      <c r="AK249" s="9"/>
      <c r="AL249" s="9"/>
      <c r="AM249" s="9"/>
    </row>
    <row r="250" customFormat="false" ht="15" hidden="false" customHeight="true" outlineLevel="0" collapsed="false">
      <c r="A250" s="6"/>
      <c r="B250" s="7"/>
      <c r="C250" s="8"/>
      <c r="D250" s="8"/>
      <c r="E250" s="8"/>
      <c r="F250" s="9"/>
      <c r="G250" s="8"/>
      <c r="H250" s="10" t="str">
        <f aca="false">IFERROR(INDEX('Operator Master'!$B$5:$B$504,MATCH(G250,'Operator Master'!$A$5:$A$504,0)),"")</f>
        <v/>
      </c>
      <c r="I250" s="9"/>
      <c r="J250" s="9"/>
      <c r="K250" s="8"/>
      <c r="L250" s="9"/>
      <c r="M250" s="9"/>
      <c r="N250" s="11"/>
      <c r="O250" s="11"/>
      <c r="P250" s="12" t="str">
        <f aca="false">IF(OR(N250="",O250=""),"",IFERROR(O250/N250*100,0))</f>
        <v/>
      </c>
      <c r="Q250" s="10" t="n">
        <v>8</v>
      </c>
      <c r="R250" s="12" t="str">
        <f aca="false">IF(J250="","",Q250*J250)</f>
        <v/>
      </c>
      <c r="S250" s="11"/>
      <c r="T250" s="12" t="str">
        <f aca="false">IF(OR(R250="",S250=""),"",IFERROR(S250/R250*100,0))</f>
        <v/>
      </c>
      <c r="U250" s="12" t="str">
        <f aca="false">IF(OR(O250="",L250="",M250="",S250="",M250=0),"",IFERROR(O250/(L250*60*S250/(M250*36))*100,0))</f>
        <v/>
      </c>
      <c r="V250" s="11"/>
      <c r="W250" s="12" t="str">
        <f aca="false">IF(O250="","",IFERROR(V250/O250*100,0))</f>
        <v/>
      </c>
      <c r="X250" s="11"/>
      <c r="Y250" s="11"/>
      <c r="Z250" s="11"/>
      <c r="AA250" s="11"/>
      <c r="AB250" s="11"/>
      <c r="AC250" s="11"/>
      <c r="AD250" s="11"/>
      <c r="AE250" s="11"/>
      <c r="AF250" s="12" t="str">
        <f aca="false">IF(O250="","",SUM(X250:AE250))</f>
        <v/>
      </c>
      <c r="AG250" s="12" t="str">
        <f aca="false">IF(O250="","",IFERROR(AF250/O250*1000,0))</f>
        <v/>
      </c>
      <c r="AH250" s="11"/>
      <c r="AI250" s="11"/>
      <c r="AJ250" s="11"/>
      <c r="AK250" s="9"/>
      <c r="AL250" s="9"/>
      <c r="AM250" s="9"/>
    </row>
    <row r="251" customFormat="false" ht="15" hidden="false" customHeight="true" outlineLevel="0" collapsed="false">
      <c r="A251" s="6"/>
      <c r="B251" s="7"/>
      <c r="C251" s="8"/>
      <c r="D251" s="8"/>
      <c r="E251" s="8"/>
      <c r="F251" s="9"/>
      <c r="G251" s="8"/>
      <c r="H251" s="10" t="str">
        <f aca="false">IFERROR(INDEX('Operator Master'!$B$5:$B$504,MATCH(G251,'Operator Master'!$A$5:$A$504,0)),"")</f>
        <v/>
      </c>
      <c r="I251" s="9"/>
      <c r="J251" s="9"/>
      <c r="K251" s="8"/>
      <c r="L251" s="9"/>
      <c r="M251" s="9"/>
      <c r="N251" s="11"/>
      <c r="O251" s="11"/>
      <c r="P251" s="12" t="str">
        <f aca="false">IF(OR(N251="",O251=""),"",IFERROR(O251/N251*100,0))</f>
        <v/>
      </c>
      <c r="Q251" s="10" t="n">
        <v>8</v>
      </c>
      <c r="R251" s="12" t="str">
        <f aca="false">IF(J251="","",Q251*J251)</f>
        <v/>
      </c>
      <c r="S251" s="11"/>
      <c r="T251" s="12" t="str">
        <f aca="false">IF(OR(R251="",S251=""),"",IFERROR(S251/R251*100,0))</f>
        <v/>
      </c>
      <c r="U251" s="12" t="str">
        <f aca="false">IF(OR(O251="",L251="",M251="",S251="",M251=0),"",IFERROR(O251/(L251*60*S251/(M251*36))*100,0))</f>
        <v/>
      </c>
      <c r="V251" s="11"/>
      <c r="W251" s="12" t="str">
        <f aca="false">IF(O251="","",IFERROR(V251/O251*100,0))</f>
        <v/>
      </c>
      <c r="X251" s="11"/>
      <c r="Y251" s="11"/>
      <c r="Z251" s="11"/>
      <c r="AA251" s="11"/>
      <c r="AB251" s="11"/>
      <c r="AC251" s="11"/>
      <c r="AD251" s="11"/>
      <c r="AE251" s="11"/>
      <c r="AF251" s="12" t="str">
        <f aca="false">IF(O251="","",SUM(X251:AE251))</f>
        <v/>
      </c>
      <c r="AG251" s="12" t="str">
        <f aca="false">IF(O251="","",IFERROR(AF251/O251*1000,0))</f>
        <v/>
      </c>
      <c r="AH251" s="11"/>
      <c r="AI251" s="11"/>
      <c r="AJ251" s="11"/>
      <c r="AK251" s="9"/>
      <c r="AL251" s="9"/>
      <c r="AM251" s="9"/>
    </row>
    <row r="252" customFormat="false" ht="15" hidden="false" customHeight="true" outlineLevel="0" collapsed="false">
      <c r="A252" s="6"/>
      <c r="B252" s="7"/>
      <c r="C252" s="8"/>
      <c r="D252" s="8"/>
      <c r="E252" s="8"/>
      <c r="F252" s="9"/>
      <c r="G252" s="8"/>
      <c r="H252" s="10" t="str">
        <f aca="false">IFERROR(INDEX('Operator Master'!$B$5:$B$504,MATCH(G252,'Operator Master'!$A$5:$A$504,0)),"")</f>
        <v/>
      </c>
      <c r="I252" s="9"/>
      <c r="J252" s="9"/>
      <c r="K252" s="8"/>
      <c r="L252" s="9"/>
      <c r="M252" s="9"/>
      <c r="N252" s="11"/>
      <c r="O252" s="11"/>
      <c r="P252" s="12" t="str">
        <f aca="false">IF(OR(N252="",O252=""),"",IFERROR(O252/N252*100,0))</f>
        <v/>
      </c>
      <c r="Q252" s="10" t="n">
        <v>8</v>
      </c>
      <c r="R252" s="12" t="str">
        <f aca="false">IF(J252="","",Q252*J252)</f>
        <v/>
      </c>
      <c r="S252" s="11"/>
      <c r="T252" s="12" t="str">
        <f aca="false">IF(OR(R252="",S252=""),"",IFERROR(S252/R252*100,0))</f>
        <v/>
      </c>
      <c r="U252" s="12" t="str">
        <f aca="false">IF(OR(O252="",L252="",M252="",S252="",M252=0),"",IFERROR(O252/(L252*60*S252/(M252*36))*100,0))</f>
        <v/>
      </c>
      <c r="V252" s="11"/>
      <c r="W252" s="12" t="str">
        <f aca="false">IF(O252="","",IFERROR(V252/O252*100,0))</f>
        <v/>
      </c>
      <c r="X252" s="11"/>
      <c r="Y252" s="11"/>
      <c r="Z252" s="11"/>
      <c r="AA252" s="11"/>
      <c r="AB252" s="11"/>
      <c r="AC252" s="11"/>
      <c r="AD252" s="11"/>
      <c r="AE252" s="11"/>
      <c r="AF252" s="12" t="str">
        <f aca="false">IF(O252="","",SUM(X252:AE252))</f>
        <v/>
      </c>
      <c r="AG252" s="12" t="str">
        <f aca="false">IF(O252="","",IFERROR(AF252/O252*1000,0))</f>
        <v/>
      </c>
      <c r="AH252" s="11"/>
      <c r="AI252" s="11"/>
      <c r="AJ252" s="11"/>
      <c r="AK252" s="9"/>
      <c r="AL252" s="9"/>
      <c r="AM252" s="9"/>
    </row>
    <row r="253" customFormat="false" ht="15" hidden="false" customHeight="true" outlineLevel="0" collapsed="false">
      <c r="A253" s="6"/>
      <c r="B253" s="7"/>
      <c r="C253" s="8"/>
      <c r="D253" s="8"/>
      <c r="E253" s="8"/>
      <c r="F253" s="9"/>
      <c r="G253" s="8"/>
      <c r="H253" s="10" t="str">
        <f aca="false">IFERROR(INDEX('Operator Master'!$B$5:$B$504,MATCH(G253,'Operator Master'!$A$5:$A$504,0)),"")</f>
        <v/>
      </c>
      <c r="I253" s="9"/>
      <c r="J253" s="9"/>
      <c r="K253" s="8"/>
      <c r="L253" s="9"/>
      <c r="M253" s="9"/>
      <c r="N253" s="11"/>
      <c r="O253" s="11"/>
      <c r="P253" s="12" t="str">
        <f aca="false">IF(OR(N253="",O253=""),"",IFERROR(O253/N253*100,0))</f>
        <v/>
      </c>
      <c r="Q253" s="10" t="n">
        <v>8</v>
      </c>
      <c r="R253" s="12" t="str">
        <f aca="false">IF(J253="","",Q253*J253)</f>
        <v/>
      </c>
      <c r="S253" s="11"/>
      <c r="T253" s="12" t="str">
        <f aca="false">IF(OR(R253="",S253=""),"",IFERROR(S253/R253*100,0))</f>
        <v/>
      </c>
      <c r="U253" s="12" t="str">
        <f aca="false">IF(OR(O253="",L253="",M253="",S253="",M253=0),"",IFERROR(O253/(L253*60*S253/(M253*36))*100,0))</f>
        <v/>
      </c>
      <c r="V253" s="11"/>
      <c r="W253" s="12" t="str">
        <f aca="false">IF(O253="","",IFERROR(V253/O253*100,0))</f>
        <v/>
      </c>
      <c r="X253" s="11"/>
      <c r="Y253" s="11"/>
      <c r="Z253" s="11"/>
      <c r="AA253" s="11"/>
      <c r="AB253" s="11"/>
      <c r="AC253" s="11"/>
      <c r="AD253" s="11"/>
      <c r="AE253" s="11"/>
      <c r="AF253" s="12" t="str">
        <f aca="false">IF(O253="","",SUM(X253:AE253))</f>
        <v/>
      </c>
      <c r="AG253" s="12" t="str">
        <f aca="false">IF(O253="","",IFERROR(AF253/O253*1000,0))</f>
        <v/>
      </c>
      <c r="AH253" s="11"/>
      <c r="AI253" s="11"/>
      <c r="AJ253" s="11"/>
      <c r="AK253" s="9"/>
      <c r="AL253" s="9"/>
      <c r="AM253" s="9"/>
    </row>
    <row r="254" customFormat="false" ht="15" hidden="false" customHeight="true" outlineLevel="0" collapsed="false">
      <c r="A254" s="6"/>
      <c r="B254" s="7"/>
      <c r="C254" s="8"/>
      <c r="D254" s="8"/>
      <c r="E254" s="8"/>
      <c r="F254" s="9"/>
      <c r="G254" s="8"/>
      <c r="H254" s="10" t="str">
        <f aca="false">IFERROR(INDEX('Operator Master'!$B$5:$B$504,MATCH(G254,'Operator Master'!$A$5:$A$504,0)),"")</f>
        <v/>
      </c>
      <c r="I254" s="9"/>
      <c r="J254" s="9"/>
      <c r="K254" s="8"/>
      <c r="L254" s="9"/>
      <c r="M254" s="9"/>
      <c r="N254" s="11"/>
      <c r="O254" s="11"/>
      <c r="P254" s="12" t="str">
        <f aca="false">IF(OR(N254="",O254=""),"",IFERROR(O254/N254*100,0))</f>
        <v/>
      </c>
      <c r="Q254" s="10" t="n">
        <v>8</v>
      </c>
      <c r="R254" s="12" t="str">
        <f aca="false">IF(J254="","",Q254*J254)</f>
        <v/>
      </c>
      <c r="S254" s="11"/>
      <c r="T254" s="12" t="str">
        <f aca="false">IF(OR(R254="",S254=""),"",IFERROR(S254/R254*100,0))</f>
        <v/>
      </c>
      <c r="U254" s="12" t="str">
        <f aca="false">IF(OR(O254="",L254="",M254="",S254="",M254=0),"",IFERROR(O254/(L254*60*S254/(M254*36))*100,0))</f>
        <v/>
      </c>
      <c r="V254" s="11"/>
      <c r="W254" s="12" t="str">
        <f aca="false">IF(O254="","",IFERROR(V254/O254*100,0))</f>
        <v/>
      </c>
      <c r="X254" s="11"/>
      <c r="Y254" s="11"/>
      <c r="Z254" s="11"/>
      <c r="AA254" s="11"/>
      <c r="AB254" s="11"/>
      <c r="AC254" s="11"/>
      <c r="AD254" s="11"/>
      <c r="AE254" s="11"/>
      <c r="AF254" s="12" t="str">
        <f aca="false">IF(O254="","",SUM(X254:AE254))</f>
        <v/>
      </c>
      <c r="AG254" s="12" t="str">
        <f aca="false">IF(O254="","",IFERROR(AF254/O254*1000,0))</f>
        <v/>
      </c>
      <c r="AH254" s="11"/>
      <c r="AI254" s="11"/>
      <c r="AJ254" s="11"/>
      <c r="AK254" s="9"/>
      <c r="AL254" s="9"/>
      <c r="AM254" s="9"/>
    </row>
    <row r="255" customFormat="false" ht="15" hidden="false" customHeight="true" outlineLevel="0" collapsed="false">
      <c r="A255" s="6"/>
      <c r="B255" s="7"/>
      <c r="C255" s="8"/>
      <c r="D255" s="8"/>
      <c r="E255" s="8"/>
      <c r="F255" s="9"/>
      <c r="G255" s="8"/>
      <c r="H255" s="10" t="str">
        <f aca="false">IFERROR(INDEX('Operator Master'!$B$5:$B$504,MATCH(G255,'Operator Master'!$A$5:$A$504,0)),"")</f>
        <v/>
      </c>
      <c r="I255" s="9"/>
      <c r="J255" s="9"/>
      <c r="K255" s="8"/>
      <c r="L255" s="9"/>
      <c r="M255" s="9"/>
      <c r="N255" s="11"/>
      <c r="O255" s="11"/>
      <c r="P255" s="12" t="str">
        <f aca="false">IF(OR(N255="",O255=""),"",IFERROR(O255/N255*100,0))</f>
        <v/>
      </c>
      <c r="Q255" s="10" t="n">
        <v>8</v>
      </c>
      <c r="R255" s="12" t="str">
        <f aca="false">IF(J255="","",Q255*J255)</f>
        <v/>
      </c>
      <c r="S255" s="11"/>
      <c r="T255" s="12" t="str">
        <f aca="false">IF(OR(R255="",S255=""),"",IFERROR(S255/R255*100,0))</f>
        <v/>
      </c>
      <c r="U255" s="12" t="str">
        <f aca="false">IF(OR(O255="",L255="",M255="",S255="",M255=0),"",IFERROR(O255/(L255*60*S255/(M255*36))*100,0))</f>
        <v/>
      </c>
      <c r="V255" s="11"/>
      <c r="W255" s="12" t="str">
        <f aca="false">IF(O255="","",IFERROR(V255/O255*100,0))</f>
        <v/>
      </c>
      <c r="X255" s="11"/>
      <c r="Y255" s="11"/>
      <c r="Z255" s="11"/>
      <c r="AA255" s="11"/>
      <c r="AB255" s="11"/>
      <c r="AC255" s="11"/>
      <c r="AD255" s="11"/>
      <c r="AE255" s="11"/>
      <c r="AF255" s="12" t="str">
        <f aca="false">IF(O255="","",SUM(X255:AE255))</f>
        <v/>
      </c>
      <c r="AG255" s="12" t="str">
        <f aca="false">IF(O255="","",IFERROR(AF255/O255*1000,0))</f>
        <v/>
      </c>
      <c r="AH255" s="11"/>
      <c r="AI255" s="11"/>
      <c r="AJ255" s="11"/>
      <c r="AK255" s="9"/>
      <c r="AL255" s="9"/>
      <c r="AM255" s="9"/>
    </row>
    <row r="256" customFormat="false" ht="15" hidden="false" customHeight="true" outlineLevel="0" collapsed="false">
      <c r="A256" s="6"/>
      <c r="B256" s="7"/>
      <c r="C256" s="8"/>
      <c r="D256" s="8"/>
      <c r="E256" s="8"/>
      <c r="F256" s="9"/>
      <c r="G256" s="8"/>
      <c r="H256" s="10" t="str">
        <f aca="false">IFERROR(INDEX('Operator Master'!$B$5:$B$504,MATCH(G256,'Operator Master'!$A$5:$A$504,0)),"")</f>
        <v/>
      </c>
      <c r="I256" s="9"/>
      <c r="J256" s="9"/>
      <c r="K256" s="8"/>
      <c r="L256" s="9"/>
      <c r="M256" s="9"/>
      <c r="N256" s="11"/>
      <c r="O256" s="11"/>
      <c r="P256" s="12" t="str">
        <f aca="false">IF(OR(N256="",O256=""),"",IFERROR(O256/N256*100,0))</f>
        <v/>
      </c>
      <c r="Q256" s="10" t="n">
        <v>8</v>
      </c>
      <c r="R256" s="12" t="str">
        <f aca="false">IF(J256="","",Q256*J256)</f>
        <v/>
      </c>
      <c r="S256" s="11"/>
      <c r="T256" s="12" t="str">
        <f aca="false">IF(OR(R256="",S256=""),"",IFERROR(S256/R256*100,0))</f>
        <v/>
      </c>
      <c r="U256" s="12" t="str">
        <f aca="false">IF(OR(O256="",L256="",M256="",S256="",M256=0),"",IFERROR(O256/(L256*60*S256/(M256*36))*100,0))</f>
        <v/>
      </c>
      <c r="V256" s="11"/>
      <c r="W256" s="12" t="str">
        <f aca="false">IF(O256="","",IFERROR(V256/O256*100,0))</f>
        <v/>
      </c>
      <c r="X256" s="11"/>
      <c r="Y256" s="11"/>
      <c r="Z256" s="11"/>
      <c r="AA256" s="11"/>
      <c r="AB256" s="11"/>
      <c r="AC256" s="11"/>
      <c r="AD256" s="11"/>
      <c r="AE256" s="11"/>
      <c r="AF256" s="12" t="str">
        <f aca="false">IF(O256="","",SUM(X256:AE256))</f>
        <v/>
      </c>
      <c r="AG256" s="12" t="str">
        <f aca="false">IF(O256="","",IFERROR(AF256/O256*1000,0))</f>
        <v/>
      </c>
      <c r="AH256" s="11"/>
      <c r="AI256" s="11"/>
      <c r="AJ256" s="11"/>
      <c r="AK256" s="9"/>
      <c r="AL256" s="9"/>
      <c r="AM256" s="9"/>
    </row>
    <row r="257" customFormat="false" ht="15" hidden="false" customHeight="true" outlineLevel="0" collapsed="false">
      <c r="A257" s="6"/>
      <c r="B257" s="7"/>
      <c r="C257" s="8"/>
      <c r="D257" s="8"/>
      <c r="E257" s="8"/>
      <c r="F257" s="9"/>
      <c r="G257" s="8"/>
      <c r="H257" s="10" t="str">
        <f aca="false">IFERROR(INDEX('Operator Master'!$B$5:$B$504,MATCH(G257,'Operator Master'!$A$5:$A$504,0)),"")</f>
        <v/>
      </c>
      <c r="I257" s="9"/>
      <c r="J257" s="9"/>
      <c r="K257" s="8"/>
      <c r="L257" s="9"/>
      <c r="M257" s="9"/>
      <c r="N257" s="11"/>
      <c r="O257" s="11"/>
      <c r="P257" s="12" t="str">
        <f aca="false">IF(OR(N257="",O257=""),"",IFERROR(O257/N257*100,0))</f>
        <v/>
      </c>
      <c r="Q257" s="10" t="n">
        <v>8</v>
      </c>
      <c r="R257" s="12" t="str">
        <f aca="false">IF(J257="","",Q257*J257)</f>
        <v/>
      </c>
      <c r="S257" s="11"/>
      <c r="T257" s="12" t="str">
        <f aca="false">IF(OR(R257="",S257=""),"",IFERROR(S257/R257*100,0))</f>
        <v/>
      </c>
      <c r="U257" s="12" t="str">
        <f aca="false">IF(OR(O257="",L257="",M257="",S257="",M257=0),"",IFERROR(O257/(L257*60*S257/(M257*36))*100,0))</f>
        <v/>
      </c>
      <c r="V257" s="11"/>
      <c r="W257" s="12" t="str">
        <f aca="false">IF(O257="","",IFERROR(V257/O257*100,0))</f>
        <v/>
      </c>
      <c r="X257" s="11"/>
      <c r="Y257" s="11"/>
      <c r="Z257" s="11"/>
      <c r="AA257" s="11"/>
      <c r="AB257" s="11"/>
      <c r="AC257" s="11"/>
      <c r="AD257" s="11"/>
      <c r="AE257" s="11"/>
      <c r="AF257" s="12" t="str">
        <f aca="false">IF(O257="","",SUM(X257:AE257))</f>
        <v/>
      </c>
      <c r="AG257" s="12" t="str">
        <f aca="false">IF(O257="","",IFERROR(AF257/O257*1000,0))</f>
        <v/>
      </c>
      <c r="AH257" s="11"/>
      <c r="AI257" s="11"/>
      <c r="AJ257" s="11"/>
      <c r="AK257" s="9"/>
      <c r="AL257" s="9"/>
      <c r="AM257" s="9"/>
    </row>
    <row r="258" customFormat="false" ht="15" hidden="false" customHeight="true" outlineLevel="0" collapsed="false">
      <c r="A258" s="6"/>
      <c r="B258" s="7"/>
      <c r="C258" s="8"/>
      <c r="D258" s="8"/>
      <c r="E258" s="8"/>
      <c r="F258" s="9"/>
      <c r="G258" s="8"/>
      <c r="H258" s="10" t="str">
        <f aca="false">IFERROR(INDEX('Operator Master'!$B$5:$B$504,MATCH(G258,'Operator Master'!$A$5:$A$504,0)),"")</f>
        <v/>
      </c>
      <c r="I258" s="9"/>
      <c r="J258" s="9"/>
      <c r="K258" s="8"/>
      <c r="L258" s="9"/>
      <c r="M258" s="9"/>
      <c r="N258" s="11"/>
      <c r="O258" s="11"/>
      <c r="P258" s="12" t="str">
        <f aca="false">IF(OR(N258="",O258=""),"",IFERROR(O258/N258*100,0))</f>
        <v/>
      </c>
      <c r="Q258" s="10" t="n">
        <v>8</v>
      </c>
      <c r="R258" s="12" t="str">
        <f aca="false">IF(J258="","",Q258*J258)</f>
        <v/>
      </c>
      <c r="S258" s="11"/>
      <c r="T258" s="12" t="str">
        <f aca="false">IF(OR(R258="",S258=""),"",IFERROR(S258/R258*100,0))</f>
        <v/>
      </c>
      <c r="U258" s="12" t="str">
        <f aca="false">IF(OR(O258="",L258="",M258="",S258="",M258=0),"",IFERROR(O258/(L258*60*S258/(M258*36))*100,0))</f>
        <v/>
      </c>
      <c r="V258" s="11"/>
      <c r="W258" s="12" t="str">
        <f aca="false">IF(O258="","",IFERROR(V258/O258*100,0))</f>
        <v/>
      </c>
      <c r="X258" s="11"/>
      <c r="Y258" s="11"/>
      <c r="Z258" s="11"/>
      <c r="AA258" s="11"/>
      <c r="AB258" s="11"/>
      <c r="AC258" s="11"/>
      <c r="AD258" s="11"/>
      <c r="AE258" s="11"/>
      <c r="AF258" s="12" t="str">
        <f aca="false">IF(O258="","",SUM(X258:AE258))</f>
        <v/>
      </c>
      <c r="AG258" s="12" t="str">
        <f aca="false">IF(O258="","",IFERROR(AF258/O258*1000,0))</f>
        <v/>
      </c>
      <c r="AH258" s="11"/>
      <c r="AI258" s="11"/>
      <c r="AJ258" s="11"/>
      <c r="AK258" s="9"/>
      <c r="AL258" s="9"/>
      <c r="AM258" s="9"/>
    </row>
    <row r="259" customFormat="false" ht="15" hidden="false" customHeight="true" outlineLevel="0" collapsed="false">
      <c r="A259" s="6"/>
      <c r="B259" s="7"/>
      <c r="C259" s="8"/>
      <c r="D259" s="8"/>
      <c r="E259" s="8"/>
      <c r="F259" s="9"/>
      <c r="G259" s="8"/>
      <c r="H259" s="10" t="str">
        <f aca="false">IFERROR(INDEX('Operator Master'!$B$5:$B$504,MATCH(G259,'Operator Master'!$A$5:$A$504,0)),"")</f>
        <v/>
      </c>
      <c r="I259" s="9"/>
      <c r="J259" s="9"/>
      <c r="K259" s="8"/>
      <c r="L259" s="9"/>
      <c r="M259" s="9"/>
      <c r="N259" s="11"/>
      <c r="O259" s="11"/>
      <c r="P259" s="12" t="str">
        <f aca="false">IF(OR(N259="",O259=""),"",IFERROR(O259/N259*100,0))</f>
        <v/>
      </c>
      <c r="Q259" s="10" t="n">
        <v>8</v>
      </c>
      <c r="R259" s="12" t="str">
        <f aca="false">IF(J259="","",Q259*J259)</f>
        <v/>
      </c>
      <c r="S259" s="11"/>
      <c r="T259" s="12" t="str">
        <f aca="false">IF(OR(R259="",S259=""),"",IFERROR(S259/R259*100,0))</f>
        <v/>
      </c>
      <c r="U259" s="12" t="str">
        <f aca="false">IF(OR(O259="",L259="",M259="",S259="",M259=0),"",IFERROR(O259/(L259*60*S259/(M259*36))*100,0))</f>
        <v/>
      </c>
      <c r="V259" s="11"/>
      <c r="W259" s="12" t="str">
        <f aca="false">IF(O259="","",IFERROR(V259/O259*100,0))</f>
        <v/>
      </c>
      <c r="X259" s="11"/>
      <c r="Y259" s="11"/>
      <c r="Z259" s="11"/>
      <c r="AA259" s="11"/>
      <c r="AB259" s="11"/>
      <c r="AC259" s="11"/>
      <c r="AD259" s="11"/>
      <c r="AE259" s="11"/>
      <c r="AF259" s="12" t="str">
        <f aca="false">IF(O259="","",SUM(X259:AE259))</f>
        <v/>
      </c>
      <c r="AG259" s="12" t="str">
        <f aca="false">IF(O259="","",IFERROR(AF259/O259*1000,0))</f>
        <v/>
      </c>
      <c r="AH259" s="11"/>
      <c r="AI259" s="11"/>
      <c r="AJ259" s="11"/>
      <c r="AK259" s="9"/>
      <c r="AL259" s="9"/>
      <c r="AM259" s="9"/>
    </row>
    <row r="260" customFormat="false" ht="15" hidden="false" customHeight="true" outlineLevel="0" collapsed="false">
      <c r="A260" s="6"/>
      <c r="B260" s="7"/>
      <c r="C260" s="8"/>
      <c r="D260" s="8"/>
      <c r="E260" s="8"/>
      <c r="F260" s="9"/>
      <c r="G260" s="8"/>
      <c r="H260" s="10" t="str">
        <f aca="false">IFERROR(INDEX('Operator Master'!$B$5:$B$504,MATCH(G260,'Operator Master'!$A$5:$A$504,0)),"")</f>
        <v/>
      </c>
      <c r="I260" s="9"/>
      <c r="J260" s="9"/>
      <c r="K260" s="8"/>
      <c r="L260" s="9"/>
      <c r="M260" s="9"/>
      <c r="N260" s="11"/>
      <c r="O260" s="11"/>
      <c r="P260" s="12" t="str">
        <f aca="false">IF(OR(N260="",O260=""),"",IFERROR(O260/N260*100,0))</f>
        <v/>
      </c>
      <c r="Q260" s="10" t="n">
        <v>8</v>
      </c>
      <c r="R260" s="12" t="str">
        <f aca="false">IF(J260="","",Q260*J260)</f>
        <v/>
      </c>
      <c r="S260" s="11"/>
      <c r="T260" s="12" t="str">
        <f aca="false">IF(OR(R260="",S260=""),"",IFERROR(S260/R260*100,0))</f>
        <v/>
      </c>
      <c r="U260" s="12" t="str">
        <f aca="false">IF(OR(O260="",L260="",M260="",S260="",M260=0),"",IFERROR(O260/(L260*60*S260/(M260*36))*100,0))</f>
        <v/>
      </c>
      <c r="V260" s="11"/>
      <c r="W260" s="12" t="str">
        <f aca="false">IF(O260="","",IFERROR(V260/O260*100,0))</f>
        <v/>
      </c>
      <c r="X260" s="11"/>
      <c r="Y260" s="11"/>
      <c r="Z260" s="11"/>
      <c r="AA260" s="11"/>
      <c r="AB260" s="11"/>
      <c r="AC260" s="11"/>
      <c r="AD260" s="11"/>
      <c r="AE260" s="11"/>
      <c r="AF260" s="12" t="str">
        <f aca="false">IF(O260="","",SUM(X260:AE260))</f>
        <v/>
      </c>
      <c r="AG260" s="12" t="str">
        <f aca="false">IF(O260="","",IFERROR(AF260/O260*1000,0))</f>
        <v/>
      </c>
      <c r="AH260" s="11"/>
      <c r="AI260" s="11"/>
      <c r="AJ260" s="11"/>
      <c r="AK260" s="9"/>
      <c r="AL260" s="9"/>
      <c r="AM260" s="9"/>
    </row>
    <row r="261" customFormat="false" ht="15" hidden="false" customHeight="true" outlineLevel="0" collapsed="false">
      <c r="A261" s="6"/>
      <c r="B261" s="7"/>
      <c r="C261" s="8"/>
      <c r="D261" s="8"/>
      <c r="E261" s="8"/>
      <c r="F261" s="9"/>
      <c r="G261" s="8"/>
      <c r="H261" s="10" t="str">
        <f aca="false">IFERROR(INDEX('Operator Master'!$B$5:$B$504,MATCH(G261,'Operator Master'!$A$5:$A$504,0)),"")</f>
        <v/>
      </c>
      <c r="I261" s="9"/>
      <c r="J261" s="9"/>
      <c r="K261" s="8"/>
      <c r="L261" s="9"/>
      <c r="M261" s="9"/>
      <c r="N261" s="11"/>
      <c r="O261" s="11"/>
      <c r="P261" s="12" t="str">
        <f aca="false">IF(OR(N261="",O261=""),"",IFERROR(O261/N261*100,0))</f>
        <v/>
      </c>
      <c r="Q261" s="10" t="n">
        <v>8</v>
      </c>
      <c r="R261" s="12" t="str">
        <f aca="false">IF(J261="","",Q261*J261)</f>
        <v/>
      </c>
      <c r="S261" s="11"/>
      <c r="T261" s="12" t="str">
        <f aca="false">IF(OR(R261="",S261=""),"",IFERROR(S261/R261*100,0))</f>
        <v/>
      </c>
      <c r="U261" s="12" t="str">
        <f aca="false">IF(OR(O261="",L261="",M261="",S261="",M261=0),"",IFERROR(O261/(L261*60*S261/(M261*36))*100,0))</f>
        <v/>
      </c>
      <c r="V261" s="11"/>
      <c r="W261" s="12" t="str">
        <f aca="false">IF(O261="","",IFERROR(V261/O261*100,0))</f>
        <v/>
      </c>
      <c r="X261" s="11"/>
      <c r="Y261" s="11"/>
      <c r="Z261" s="11"/>
      <c r="AA261" s="11"/>
      <c r="AB261" s="11"/>
      <c r="AC261" s="11"/>
      <c r="AD261" s="11"/>
      <c r="AE261" s="11"/>
      <c r="AF261" s="12" t="str">
        <f aca="false">IF(O261="","",SUM(X261:AE261))</f>
        <v/>
      </c>
      <c r="AG261" s="12" t="str">
        <f aca="false">IF(O261="","",IFERROR(AF261/O261*1000,0))</f>
        <v/>
      </c>
      <c r="AH261" s="11"/>
      <c r="AI261" s="11"/>
      <c r="AJ261" s="11"/>
      <c r="AK261" s="9"/>
      <c r="AL261" s="9"/>
      <c r="AM261" s="9"/>
    </row>
    <row r="262" customFormat="false" ht="15" hidden="false" customHeight="true" outlineLevel="0" collapsed="false">
      <c r="A262" s="6"/>
      <c r="B262" s="7"/>
      <c r="C262" s="8"/>
      <c r="D262" s="8"/>
      <c r="E262" s="8"/>
      <c r="F262" s="9"/>
      <c r="G262" s="8"/>
      <c r="H262" s="10" t="str">
        <f aca="false">IFERROR(INDEX('Operator Master'!$B$5:$B$504,MATCH(G262,'Operator Master'!$A$5:$A$504,0)),"")</f>
        <v/>
      </c>
      <c r="I262" s="9"/>
      <c r="J262" s="9"/>
      <c r="K262" s="8"/>
      <c r="L262" s="9"/>
      <c r="M262" s="9"/>
      <c r="N262" s="11"/>
      <c r="O262" s="11"/>
      <c r="P262" s="12" t="str">
        <f aca="false">IF(OR(N262="",O262=""),"",IFERROR(O262/N262*100,0))</f>
        <v/>
      </c>
      <c r="Q262" s="10" t="n">
        <v>8</v>
      </c>
      <c r="R262" s="12" t="str">
        <f aca="false">IF(J262="","",Q262*J262)</f>
        <v/>
      </c>
      <c r="S262" s="11"/>
      <c r="T262" s="12" t="str">
        <f aca="false">IF(OR(R262="",S262=""),"",IFERROR(S262/R262*100,0))</f>
        <v/>
      </c>
      <c r="U262" s="12" t="str">
        <f aca="false">IF(OR(O262="",L262="",M262="",S262="",M262=0),"",IFERROR(O262/(L262*60*S262/(M262*36))*100,0))</f>
        <v/>
      </c>
      <c r="V262" s="11"/>
      <c r="W262" s="12" t="str">
        <f aca="false">IF(O262="","",IFERROR(V262/O262*100,0))</f>
        <v/>
      </c>
      <c r="X262" s="11"/>
      <c r="Y262" s="11"/>
      <c r="Z262" s="11"/>
      <c r="AA262" s="11"/>
      <c r="AB262" s="11"/>
      <c r="AC262" s="11"/>
      <c r="AD262" s="11"/>
      <c r="AE262" s="11"/>
      <c r="AF262" s="12" t="str">
        <f aca="false">IF(O262="","",SUM(X262:AE262))</f>
        <v/>
      </c>
      <c r="AG262" s="12" t="str">
        <f aca="false">IF(O262="","",IFERROR(AF262/O262*1000,0))</f>
        <v/>
      </c>
      <c r="AH262" s="11"/>
      <c r="AI262" s="11"/>
      <c r="AJ262" s="11"/>
      <c r="AK262" s="9"/>
      <c r="AL262" s="9"/>
      <c r="AM262" s="9"/>
    </row>
    <row r="263" customFormat="false" ht="15" hidden="false" customHeight="true" outlineLevel="0" collapsed="false">
      <c r="A263" s="6"/>
      <c r="B263" s="7"/>
      <c r="C263" s="8"/>
      <c r="D263" s="8"/>
      <c r="E263" s="8"/>
      <c r="F263" s="9"/>
      <c r="G263" s="8"/>
      <c r="H263" s="10" t="str">
        <f aca="false">IFERROR(INDEX('Operator Master'!$B$5:$B$504,MATCH(G263,'Operator Master'!$A$5:$A$504,0)),"")</f>
        <v/>
      </c>
      <c r="I263" s="9"/>
      <c r="J263" s="9"/>
      <c r="K263" s="8"/>
      <c r="L263" s="9"/>
      <c r="M263" s="9"/>
      <c r="N263" s="11"/>
      <c r="O263" s="11"/>
      <c r="P263" s="12" t="str">
        <f aca="false">IF(OR(N263="",O263=""),"",IFERROR(O263/N263*100,0))</f>
        <v/>
      </c>
      <c r="Q263" s="10" t="n">
        <v>8</v>
      </c>
      <c r="R263" s="12" t="str">
        <f aca="false">IF(J263="","",Q263*J263)</f>
        <v/>
      </c>
      <c r="S263" s="11"/>
      <c r="T263" s="12" t="str">
        <f aca="false">IF(OR(R263="",S263=""),"",IFERROR(S263/R263*100,0))</f>
        <v/>
      </c>
      <c r="U263" s="12" t="str">
        <f aca="false">IF(OR(O263="",L263="",M263="",S263="",M263=0),"",IFERROR(O263/(L263*60*S263/(M263*36))*100,0))</f>
        <v/>
      </c>
      <c r="V263" s="11"/>
      <c r="W263" s="12" t="str">
        <f aca="false">IF(O263="","",IFERROR(V263/O263*100,0))</f>
        <v/>
      </c>
      <c r="X263" s="11"/>
      <c r="Y263" s="11"/>
      <c r="Z263" s="11"/>
      <c r="AA263" s="11"/>
      <c r="AB263" s="11"/>
      <c r="AC263" s="11"/>
      <c r="AD263" s="11"/>
      <c r="AE263" s="11"/>
      <c r="AF263" s="12" t="str">
        <f aca="false">IF(O263="","",SUM(X263:AE263))</f>
        <v/>
      </c>
      <c r="AG263" s="12" t="str">
        <f aca="false">IF(O263="","",IFERROR(AF263/O263*1000,0))</f>
        <v/>
      </c>
      <c r="AH263" s="11"/>
      <c r="AI263" s="11"/>
      <c r="AJ263" s="11"/>
      <c r="AK263" s="9"/>
      <c r="AL263" s="9"/>
      <c r="AM263" s="9"/>
    </row>
    <row r="264" customFormat="false" ht="15" hidden="false" customHeight="true" outlineLevel="0" collapsed="false">
      <c r="A264" s="6"/>
      <c r="B264" s="7"/>
      <c r="C264" s="8"/>
      <c r="D264" s="8"/>
      <c r="E264" s="8"/>
      <c r="F264" s="9"/>
      <c r="G264" s="8"/>
      <c r="H264" s="10" t="str">
        <f aca="false">IFERROR(INDEX('Operator Master'!$B$5:$B$504,MATCH(G264,'Operator Master'!$A$5:$A$504,0)),"")</f>
        <v/>
      </c>
      <c r="I264" s="9"/>
      <c r="J264" s="9"/>
      <c r="K264" s="8"/>
      <c r="L264" s="9"/>
      <c r="M264" s="9"/>
      <c r="N264" s="11"/>
      <c r="O264" s="11"/>
      <c r="P264" s="12" t="str">
        <f aca="false">IF(OR(N264="",O264=""),"",IFERROR(O264/N264*100,0))</f>
        <v/>
      </c>
      <c r="Q264" s="10" t="n">
        <v>8</v>
      </c>
      <c r="R264" s="12" t="str">
        <f aca="false">IF(J264="","",Q264*J264)</f>
        <v/>
      </c>
      <c r="S264" s="11"/>
      <c r="T264" s="12" t="str">
        <f aca="false">IF(OR(R264="",S264=""),"",IFERROR(S264/R264*100,0))</f>
        <v/>
      </c>
      <c r="U264" s="12" t="str">
        <f aca="false">IF(OR(O264="",L264="",M264="",S264="",M264=0),"",IFERROR(O264/(L264*60*S264/(M264*36))*100,0))</f>
        <v/>
      </c>
      <c r="V264" s="11"/>
      <c r="W264" s="12" t="str">
        <f aca="false">IF(O264="","",IFERROR(V264/O264*100,0))</f>
        <v/>
      </c>
      <c r="X264" s="11"/>
      <c r="Y264" s="11"/>
      <c r="Z264" s="11"/>
      <c r="AA264" s="11"/>
      <c r="AB264" s="11"/>
      <c r="AC264" s="11"/>
      <c r="AD264" s="11"/>
      <c r="AE264" s="11"/>
      <c r="AF264" s="12" t="str">
        <f aca="false">IF(O264="","",SUM(X264:AE264))</f>
        <v/>
      </c>
      <c r="AG264" s="12" t="str">
        <f aca="false">IF(O264="","",IFERROR(AF264/O264*1000,0))</f>
        <v/>
      </c>
      <c r="AH264" s="11"/>
      <c r="AI264" s="11"/>
      <c r="AJ264" s="11"/>
      <c r="AK264" s="9"/>
      <c r="AL264" s="9"/>
      <c r="AM264" s="9"/>
    </row>
    <row r="265" customFormat="false" ht="15" hidden="false" customHeight="true" outlineLevel="0" collapsed="false">
      <c r="A265" s="6"/>
      <c r="B265" s="7"/>
      <c r="C265" s="8"/>
      <c r="D265" s="8"/>
      <c r="E265" s="8"/>
      <c r="F265" s="9"/>
      <c r="G265" s="8"/>
      <c r="H265" s="10" t="str">
        <f aca="false">IFERROR(INDEX('Operator Master'!$B$5:$B$504,MATCH(G265,'Operator Master'!$A$5:$A$504,0)),"")</f>
        <v/>
      </c>
      <c r="I265" s="9"/>
      <c r="J265" s="9"/>
      <c r="K265" s="8"/>
      <c r="L265" s="9"/>
      <c r="M265" s="9"/>
      <c r="N265" s="11"/>
      <c r="O265" s="11"/>
      <c r="P265" s="12" t="str">
        <f aca="false">IF(OR(N265="",O265=""),"",IFERROR(O265/N265*100,0))</f>
        <v/>
      </c>
      <c r="Q265" s="10" t="n">
        <v>8</v>
      </c>
      <c r="R265" s="12" t="str">
        <f aca="false">IF(J265="","",Q265*J265)</f>
        <v/>
      </c>
      <c r="S265" s="11"/>
      <c r="T265" s="12" t="str">
        <f aca="false">IF(OR(R265="",S265=""),"",IFERROR(S265/R265*100,0))</f>
        <v/>
      </c>
      <c r="U265" s="12" t="str">
        <f aca="false">IF(OR(O265="",L265="",M265="",S265="",M265=0),"",IFERROR(O265/(L265*60*S265/(M265*36))*100,0))</f>
        <v/>
      </c>
      <c r="V265" s="11"/>
      <c r="W265" s="12" t="str">
        <f aca="false">IF(O265="","",IFERROR(V265/O265*100,0))</f>
        <v/>
      </c>
      <c r="X265" s="11"/>
      <c r="Y265" s="11"/>
      <c r="Z265" s="11"/>
      <c r="AA265" s="11"/>
      <c r="AB265" s="11"/>
      <c r="AC265" s="11"/>
      <c r="AD265" s="11"/>
      <c r="AE265" s="11"/>
      <c r="AF265" s="12" t="str">
        <f aca="false">IF(O265="","",SUM(X265:AE265))</f>
        <v/>
      </c>
      <c r="AG265" s="12" t="str">
        <f aca="false">IF(O265="","",IFERROR(AF265/O265*1000,0))</f>
        <v/>
      </c>
      <c r="AH265" s="11"/>
      <c r="AI265" s="11"/>
      <c r="AJ265" s="11"/>
      <c r="AK265" s="9"/>
      <c r="AL265" s="9"/>
      <c r="AM265" s="9"/>
    </row>
    <row r="266" customFormat="false" ht="15" hidden="false" customHeight="true" outlineLevel="0" collapsed="false">
      <c r="A266" s="6"/>
      <c r="B266" s="7"/>
      <c r="C266" s="8"/>
      <c r="D266" s="8"/>
      <c r="E266" s="8"/>
      <c r="F266" s="9"/>
      <c r="G266" s="8"/>
      <c r="H266" s="10" t="str">
        <f aca="false">IFERROR(INDEX('Operator Master'!$B$5:$B$504,MATCH(G266,'Operator Master'!$A$5:$A$504,0)),"")</f>
        <v/>
      </c>
      <c r="I266" s="9"/>
      <c r="J266" s="9"/>
      <c r="K266" s="8"/>
      <c r="L266" s="9"/>
      <c r="M266" s="9"/>
      <c r="N266" s="11"/>
      <c r="O266" s="11"/>
      <c r="P266" s="12" t="str">
        <f aca="false">IF(OR(N266="",O266=""),"",IFERROR(O266/N266*100,0))</f>
        <v/>
      </c>
      <c r="Q266" s="10" t="n">
        <v>8</v>
      </c>
      <c r="R266" s="12" t="str">
        <f aca="false">IF(J266="","",Q266*J266)</f>
        <v/>
      </c>
      <c r="S266" s="11"/>
      <c r="T266" s="12" t="str">
        <f aca="false">IF(OR(R266="",S266=""),"",IFERROR(S266/R266*100,0))</f>
        <v/>
      </c>
      <c r="U266" s="12" t="str">
        <f aca="false">IF(OR(O266="",L266="",M266="",S266="",M266=0),"",IFERROR(O266/(L266*60*S266/(M266*36))*100,0))</f>
        <v/>
      </c>
      <c r="V266" s="11"/>
      <c r="W266" s="12" t="str">
        <f aca="false">IF(O266="","",IFERROR(V266/O266*100,0))</f>
        <v/>
      </c>
      <c r="X266" s="11"/>
      <c r="Y266" s="11"/>
      <c r="Z266" s="11"/>
      <c r="AA266" s="11"/>
      <c r="AB266" s="11"/>
      <c r="AC266" s="11"/>
      <c r="AD266" s="11"/>
      <c r="AE266" s="11"/>
      <c r="AF266" s="12" t="str">
        <f aca="false">IF(O266="","",SUM(X266:AE266))</f>
        <v/>
      </c>
      <c r="AG266" s="12" t="str">
        <f aca="false">IF(O266="","",IFERROR(AF266/O266*1000,0))</f>
        <v/>
      </c>
      <c r="AH266" s="11"/>
      <c r="AI266" s="11"/>
      <c r="AJ266" s="11"/>
      <c r="AK266" s="9"/>
      <c r="AL266" s="9"/>
      <c r="AM266" s="9"/>
    </row>
    <row r="267" customFormat="false" ht="15" hidden="false" customHeight="true" outlineLevel="0" collapsed="false">
      <c r="A267" s="6"/>
      <c r="B267" s="7"/>
      <c r="C267" s="8"/>
      <c r="D267" s="8"/>
      <c r="E267" s="8"/>
      <c r="F267" s="9"/>
      <c r="G267" s="8"/>
      <c r="H267" s="10" t="str">
        <f aca="false">IFERROR(INDEX('Operator Master'!$B$5:$B$504,MATCH(G267,'Operator Master'!$A$5:$A$504,0)),"")</f>
        <v/>
      </c>
      <c r="I267" s="9"/>
      <c r="J267" s="9"/>
      <c r="K267" s="8"/>
      <c r="L267" s="9"/>
      <c r="M267" s="9"/>
      <c r="N267" s="11"/>
      <c r="O267" s="11"/>
      <c r="P267" s="12" t="str">
        <f aca="false">IF(OR(N267="",O267=""),"",IFERROR(O267/N267*100,0))</f>
        <v/>
      </c>
      <c r="Q267" s="10" t="n">
        <v>8</v>
      </c>
      <c r="R267" s="12" t="str">
        <f aca="false">IF(J267="","",Q267*J267)</f>
        <v/>
      </c>
      <c r="S267" s="11"/>
      <c r="T267" s="12" t="str">
        <f aca="false">IF(OR(R267="",S267=""),"",IFERROR(S267/R267*100,0))</f>
        <v/>
      </c>
      <c r="U267" s="12" t="str">
        <f aca="false">IF(OR(O267="",L267="",M267="",S267="",M267=0),"",IFERROR(O267/(L267*60*S267/(M267*36))*100,0))</f>
        <v/>
      </c>
      <c r="V267" s="11"/>
      <c r="W267" s="12" t="str">
        <f aca="false">IF(O267="","",IFERROR(V267/O267*100,0))</f>
        <v/>
      </c>
      <c r="X267" s="11"/>
      <c r="Y267" s="11"/>
      <c r="Z267" s="11"/>
      <c r="AA267" s="11"/>
      <c r="AB267" s="11"/>
      <c r="AC267" s="11"/>
      <c r="AD267" s="11"/>
      <c r="AE267" s="11"/>
      <c r="AF267" s="12" t="str">
        <f aca="false">IF(O267="","",SUM(X267:AE267))</f>
        <v/>
      </c>
      <c r="AG267" s="12" t="str">
        <f aca="false">IF(O267="","",IFERROR(AF267/O267*1000,0))</f>
        <v/>
      </c>
      <c r="AH267" s="11"/>
      <c r="AI267" s="11"/>
      <c r="AJ267" s="11"/>
      <c r="AK267" s="9"/>
      <c r="AL267" s="9"/>
      <c r="AM267" s="9"/>
    </row>
    <row r="268" customFormat="false" ht="15" hidden="false" customHeight="true" outlineLevel="0" collapsed="false">
      <c r="A268" s="6"/>
      <c r="B268" s="7"/>
      <c r="C268" s="8"/>
      <c r="D268" s="8"/>
      <c r="E268" s="8"/>
      <c r="F268" s="9"/>
      <c r="G268" s="8"/>
      <c r="H268" s="10" t="str">
        <f aca="false">IFERROR(INDEX('Operator Master'!$B$5:$B$504,MATCH(G268,'Operator Master'!$A$5:$A$504,0)),"")</f>
        <v/>
      </c>
      <c r="I268" s="9"/>
      <c r="J268" s="9"/>
      <c r="K268" s="8"/>
      <c r="L268" s="9"/>
      <c r="M268" s="9"/>
      <c r="N268" s="11"/>
      <c r="O268" s="11"/>
      <c r="P268" s="12" t="str">
        <f aca="false">IF(OR(N268="",O268=""),"",IFERROR(O268/N268*100,0))</f>
        <v/>
      </c>
      <c r="Q268" s="10" t="n">
        <v>8</v>
      </c>
      <c r="R268" s="12" t="str">
        <f aca="false">IF(J268="","",Q268*J268)</f>
        <v/>
      </c>
      <c r="S268" s="11"/>
      <c r="T268" s="12" t="str">
        <f aca="false">IF(OR(R268="",S268=""),"",IFERROR(S268/R268*100,0))</f>
        <v/>
      </c>
      <c r="U268" s="12" t="str">
        <f aca="false">IF(OR(O268="",L268="",M268="",S268="",M268=0),"",IFERROR(O268/(L268*60*S268/(M268*36))*100,0))</f>
        <v/>
      </c>
      <c r="V268" s="11"/>
      <c r="W268" s="12" t="str">
        <f aca="false">IF(O268="","",IFERROR(V268/O268*100,0))</f>
        <v/>
      </c>
      <c r="X268" s="11"/>
      <c r="Y268" s="11"/>
      <c r="Z268" s="11"/>
      <c r="AA268" s="11"/>
      <c r="AB268" s="11"/>
      <c r="AC268" s="11"/>
      <c r="AD268" s="11"/>
      <c r="AE268" s="11"/>
      <c r="AF268" s="12" t="str">
        <f aca="false">IF(O268="","",SUM(X268:AE268))</f>
        <v/>
      </c>
      <c r="AG268" s="12" t="str">
        <f aca="false">IF(O268="","",IFERROR(AF268/O268*1000,0))</f>
        <v/>
      </c>
      <c r="AH268" s="11"/>
      <c r="AI268" s="11"/>
      <c r="AJ268" s="11"/>
      <c r="AK268" s="9"/>
      <c r="AL268" s="9"/>
      <c r="AM268" s="9"/>
    </row>
    <row r="269" customFormat="false" ht="15" hidden="false" customHeight="true" outlineLevel="0" collapsed="false">
      <c r="A269" s="6"/>
      <c r="B269" s="7"/>
      <c r="C269" s="8"/>
      <c r="D269" s="8"/>
      <c r="E269" s="8"/>
      <c r="F269" s="9"/>
      <c r="G269" s="8"/>
      <c r="H269" s="10" t="str">
        <f aca="false">IFERROR(INDEX('Operator Master'!$B$5:$B$504,MATCH(G269,'Operator Master'!$A$5:$A$504,0)),"")</f>
        <v/>
      </c>
      <c r="I269" s="9"/>
      <c r="J269" s="9"/>
      <c r="K269" s="8"/>
      <c r="L269" s="9"/>
      <c r="M269" s="9"/>
      <c r="N269" s="11"/>
      <c r="O269" s="11"/>
      <c r="P269" s="12" t="str">
        <f aca="false">IF(OR(N269="",O269=""),"",IFERROR(O269/N269*100,0))</f>
        <v/>
      </c>
      <c r="Q269" s="10" t="n">
        <v>8</v>
      </c>
      <c r="R269" s="12" t="str">
        <f aca="false">IF(J269="","",Q269*J269)</f>
        <v/>
      </c>
      <c r="S269" s="11"/>
      <c r="T269" s="12" t="str">
        <f aca="false">IF(OR(R269="",S269=""),"",IFERROR(S269/R269*100,0))</f>
        <v/>
      </c>
      <c r="U269" s="12" t="str">
        <f aca="false">IF(OR(O269="",L269="",M269="",S269="",M269=0),"",IFERROR(O269/(L269*60*S269/(M269*36))*100,0))</f>
        <v/>
      </c>
      <c r="V269" s="11"/>
      <c r="W269" s="12" t="str">
        <f aca="false">IF(O269="","",IFERROR(V269/O269*100,0))</f>
        <v/>
      </c>
      <c r="X269" s="11"/>
      <c r="Y269" s="11"/>
      <c r="Z269" s="11"/>
      <c r="AA269" s="11"/>
      <c r="AB269" s="11"/>
      <c r="AC269" s="11"/>
      <c r="AD269" s="11"/>
      <c r="AE269" s="11"/>
      <c r="AF269" s="12" t="str">
        <f aca="false">IF(O269="","",SUM(X269:AE269))</f>
        <v/>
      </c>
      <c r="AG269" s="12" t="str">
        <f aca="false">IF(O269="","",IFERROR(AF269/O269*1000,0))</f>
        <v/>
      </c>
      <c r="AH269" s="11"/>
      <c r="AI269" s="11"/>
      <c r="AJ269" s="11"/>
      <c r="AK269" s="9"/>
      <c r="AL269" s="9"/>
      <c r="AM269" s="9"/>
    </row>
    <row r="270" customFormat="false" ht="15" hidden="false" customHeight="true" outlineLevel="0" collapsed="false">
      <c r="A270" s="6"/>
      <c r="B270" s="7"/>
      <c r="C270" s="8"/>
      <c r="D270" s="8"/>
      <c r="E270" s="8"/>
      <c r="F270" s="9"/>
      <c r="G270" s="8"/>
      <c r="H270" s="10" t="str">
        <f aca="false">IFERROR(INDEX('Operator Master'!$B$5:$B$504,MATCH(G270,'Operator Master'!$A$5:$A$504,0)),"")</f>
        <v/>
      </c>
      <c r="I270" s="9"/>
      <c r="J270" s="9"/>
      <c r="K270" s="8"/>
      <c r="L270" s="9"/>
      <c r="M270" s="9"/>
      <c r="N270" s="11"/>
      <c r="O270" s="11"/>
      <c r="P270" s="12" t="str">
        <f aca="false">IF(OR(N270="",O270=""),"",IFERROR(O270/N270*100,0))</f>
        <v/>
      </c>
      <c r="Q270" s="10" t="n">
        <v>8</v>
      </c>
      <c r="R270" s="12" t="str">
        <f aca="false">IF(J270="","",Q270*J270)</f>
        <v/>
      </c>
      <c r="S270" s="11"/>
      <c r="T270" s="12" t="str">
        <f aca="false">IF(OR(R270="",S270=""),"",IFERROR(S270/R270*100,0))</f>
        <v/>
      </c>
      <c r="U270" s="12" t="str">
        <f aca="false">IF(OR(O270="",L270="",M270="",S270="",M270=0),"",IFERROR(O270/(L270*60*S270/(M270*36))*100,0))</f>
        <v/>
      </c>
      <c r="V270" s="11"/>
      <c r="W270" s="12" t="str">
        <f aca="false">IF(O270="","",IFERROR(V270/O270*100,0))</f>
        <v/>
      </c>
      <c r="X270" s="11"/>
      <c r="Y270" s="11"/>
      <c r="Z270" s="11"/>
      <c r="AA270" s="11"/>
      <c r="AB270" s="11"/>
      <c r="AC270" s="11"/>
      <c r="AD270" s="11"/>
      <c r="AE270" s="11"/>
      <c r="AF270" s="12" t="str">
        <f aca="false">IF(O270="","",SUM(X270:AE270))</f>
        <v/>
      </c>
      <c r="AG270" s="12" t="str">
        <f aca="false">IF(O270="","",IFERROR(AF270/O270*1000,0))</f>
        <v/>
      </c>
      <c r="AH270" s="11"/>
      <c r="AI270" s="11"/>
      <c r="AJ270" s="11"/>
      <c r="AK270" s="9"/>
      <c r="AL270" s="9"/>
      <c r="AM270" s="9"/>
    </row>
    <row r="271" customFormat="false" ht="15" hidden="false" customHeight="true" outlineLevel="0" collapsed="false">
      <c r="A271" s="6"/>
      <c r="B271" s="7"/>
      <c r="C271" s="8"/>
      <c r="D271" s="8"/>
      <c r="E271" s="8"/>
      <c r="F271" s="9"/>
      <c r="G271" s="8"/>
      <c r="H271" s="10" t="str">
        <f aca="false">IFERROR(INDEX('Operator Master'!$B$5:$B$504,MATCH(G271,'Operator Master'!$A$5:$A$504,0)),"")</f>
        <v/>
      </c>
      <c r="I271" s="9"/>
      <c r="J271" s="9"/>
      <c r="K271" s="8"/>
      <c r="L271" s="9"/>
      <c r="M271" s="9"/>
      <c r="N271" s="11"/>
      <c r="O271" s="11"/>
      <c r="P271" s="12" t="str">
        <f aca="false">IF(OR(N271="",O271=""),"",IFERROR(O271/N271*100,0))</f>
        <v/>
      </c>
      <c r="Q271" s="10" t="n">
        <v>8</v>
      </c>
      <c r="R271" s="12" t="str">
        <f aca="false">IF(J271="","",Q271*J271)</f>
        <v/>
      </c>
      <c r="S271" s="11"/>
      <c r="T271" s="12" t="str">
        <f aca="false">IF(OR(R271="",S271=""),"",IFERROR(S271/R271*100,0))</f>
        <v/>
      </c>
      <c r="U271" s="12" t="str">
        <f aca="false">IF(OR(O271="",L271="",M271="",S271="",M271=0),"",IFERROR(O271/(L271*60*S271/(M271*36))*100,0))</f>
        <v/>
      </c>
      <c r="V271" s="11"/>
      <c r="W271" s="12" t="str">
        <f aca="false">IF(O271="","",IFERROR(V271/O271*100,0))</f>
        <v/>
      </c>
      <c r="X271" s="11"/>
      <c r="Y271" s="11"/>
      <c r="Z271" s="11"/>
      <c r="AA271" s="11"/>
      <c r="AB271" s="11"/>
      <c r="AC271" s="11"/>
      <c r="AD271" s="11"/>
      <c r="AE271" s="11"/>
      <c r="AF271" s="12" t="str">
        <f aca="false">IF(O271="","",SUM(X271:AE271))</f>
        <v/>
      </c>
      <c r="AG271" s="12" t="str">
        <f aca="false">IF(O271="","",IFERROR(AF271/O271*1000,0))</f>
        <v/>
      </c>
      <c r="AH271" s="11"/>
      <c r="AI271" s="11"/>
      <c r="AJ271" s="11"/>
      <c r="AK271" s="9"/>
      <c r="AL271" s="9"/>
      <c r="AM271" s="9"/>
    </row>
    <row r="272" customFormat="false" ht="15" hidden="false" customHeight="true" outlineLevel="0" collapsed="false">
      <c r="A272" s="6"/>
      <c r="B272" s="7"/>
      <c r="C272" s="8"/>
      <c r="D272" s="8"/>
      <c r="E272" s="8"/>
      <c r="F272" s="9"/>
      <c r="G272" s="8"/>
      <c r="H272" s="10" t="str">
        <f aca="false">IFERROR(INDEX('Operator Master'!$B$5:$B$504,MATCH(G272,'Operator Master'!$A$5:$A$504,0)),"")</f>
        <v/>
      </c>
      <c r="I272" s="9"/>
      <c r="J272" s="9"/>
      <c r="K272" s="8"/>
      <c r="L272" s="9"/>
      <c r="M272" s="9"/>
      <c r="N272" s="11"/>
      <c r="O272" s="11"/>
      <c r="P272" s="12" t="str">
        <f aca="false">IF(OR(N272="",O272=""),"",IFERROR(O272/N272*100,0))</f>
        <v/>
      </c>
      <c r="Q272" s="10" t="n">
        <v>8</v>
      </c>
      <c r="R272" s="12" t="str">
        <f aca="false">IF(J272="","",Q272*J272)</f>
        <v/>
      </c>
      <c r="S272" s="11"/>
      <c r="T272" s="12" t="str">
        <f aca="false">IF(OR(R272="",S272=""),"",IFERROR(S272/R272*100,0))</f>
        <v/>
      </c>
      <c r="U272" s="12" t="str">
        <f aca="false">IF(OR(O272="",L272="",M272="",S272="",M272=0),"",IFERROR(O272/(L272*60*S272/(M272*36))*100,0))</f>
        <v/>
      </c>
      <c r="V272" s="11"/>
      <c r="W272" s="12" t="str">
        <f aca="false">IF(O272="","",IFERROR(V272/O272*100,0))</f>
        <v/>
      </c>
      <c r="X272" s="11"/>
      <c r="Y272" s="11"/>
      <c r="Z272" s="11"/>
      <c r="AA272" s="11"/>
      <c r="AB272" s="11"/>
      <c r="AC272" s="11"/>
      <c r="AD272" s="11"/>
      <c r="AE272" s="11"/>
      <c r="AF272" s="12" t="str">
        <f aca="false">IF(O272="","",SUM(X272:AE272))</f>
        <v/>
      </c>
      <c r="AG272" s="12" t="str">
        <f aca="false">IF(O272="","",IFERROR(AF272/O272*1000,0))</f>
        <v/>
      </c>
      <c r="AH272" s="11"/>
      <c r="AI272" s="11"/>
      <c r="AJ272" s="11"/>
      <c r="AK272" s="9"/>
      <c r="AL272" s="9"/>
      <c r="AM272" s="9"/>
    </row>
    <row r="273" customFormat="false" ht="15" hidden="false" customHeight="true" outlineLevel="0" collapsed="false">
      <c r="A273" s="6"/>
      <c r="B273" s="7"/>
      <c r="C273" s="8"/>
      <c r="D273" s="8"/>
      <c r="E273" s="8"/>
      <c r="F273" s="9"/>
      <c r="G273" s="8"/>
      <c r="H273" s="10" t="str">
        <f aca="false">IFERROR(INDEX('Operator Master'!$B$5:$B$504,MATCH(G273,'Operator Master'!$A$5:$A$504,0)),"")</f>
        <v/>
      </c>
      <c r="I273" s="9"/>
      <c r="J273" s="9"/>
      <c r="K273" s="8"/>
      <c r="L273" s="9"/>
      <c r="M273" s="9"/>
      <c r="N273" s="11"/>
      <c r="O273" s="11"/>
      <c r="P273" s="12" t="str">
        <f aca="false">IF(OR(N273="",O273=""),"",IFERROR(O273/N273*100,0))</f>
        <v/>
      </c>
      <c r="Q273" s="10" t="n">
        <v>8</v>
      </c>
      <c r="R273" s="12" t="str">
        <f aca="false">IF(J273="","",Q273*J273)</f>
        <v/>
      </c>
      <c r="S273" s="11"/>
      <c r="T273" s="12" t="str">
        <f aca="false">IF(OR(R273="",S273=""),"",IFERROR(S273/R273*100,0))</f>
        <v/>
      </c>
      <c r="U273" s="12" t="str">
        <f aca="false">IF(OR(O273="",L273="",M273="",S273="",M273=0),"",IFERROR(O273/(L273*60*S273/(M273*36))*100,0))</f>
        <v/>
      </c>
      <c r="V273" s="11"/>
      <c r="W273" s="12" t="str">
        <f aca="false">IF(O273="","",IFERROR(V273/O273*100,0))</f>
        <v/>
      </c>
      <c r="X273" s="11"/>
      <c r="Y273" s="11"/>
      <c r="Z273" s="11"/>
      <c r="AA273" s="11"/>
      <c r="AB273" s="11"/>
      <c r="AC273" s="11"/>
      <c r="AD273" s="11"/>
      <c r="AE273" s="11"/>
      <c r="AF273" s="12" t="str">
        <f aca="false">IF(O273="","",SUM(X273:AE273))</f>
        <v/>
      </c>
      <c r="AG273" s="12" t="str">
        <f aca="false">IF(O273="","",IFERROR(AF273/O273*1000,0))</f>
        <v/>
      </c>
      <c r="AH273" s="11"/>
      <c r="AI273" s="11"/>
      <c r="AJ273" s="11"/>
      <c r="AK273" s="9"/>
      <c r="AL273" s="9"/>
      <c r="AM273" s="9"/>
    </row>
    <row r="274" customFormat="false" ht="15" hidden="false" customHeight="true" outlineLevel="0" collapsed="false">
      <c r="A274" s="6"/>
      <c r="B274" s="7"/>
      <c r="C274" s="8"/>
      <c r="D274" s="8"/>
      <c r="E274" s="8"/>
      <c r="F274" s="9"/>
      <c r="G274" s="8"/>
      <c r="H274" s="10" t="str">
        <f aca="false">IFERROR(INDEX('Operator Master'!$B$5:$B$504,MATCH(G274,'Operator Master'!$A$5:$A$504,0)),"")</f>
        <v/>
      </c>
      <c r="I274" s="9"/>
      <c r="J274" s="9"/>
      <c r="K274" s="8"/>
      <c r="L274" s="9"/>
      <c r="M274" s="9"/>
      <c r="N274" s="11"/>
      <c r="O274" s="11"/>
      <c r="P274" s="12" t="str">
        <f aca="false">IF(OR(N274="",O274=""),"",IFERROR(O274/N274*100,0))</f>
        <v/>
      </c>
      <c r="Q274" s="10" t="n">
        <v>8</v>
      </c>
      <c r="R274" s="12" t="str">
        <f aca="false">IF(J274="","",Q274*J274)</f>
        <v/>
      </c>
      <c r="S274" s="11"/>
      <c r="T274" s="12" t="str">
        <f aca="false">IF(OR(R274="",S274=""),"",IFERROR(S274/R274*100,0))</f>
        <v/>
      </c>
      <c r="U274" s="12" t="str">
        <f aca="false">IF(OR(O274="",L274="",M274="",S274="",M274=0),"",IFERROR(O274/(L274*60*S274/(M274*36))*100,0))</f>
        <v/>
      </c>
      <c r="V274" s="11"/>
      <c r="W274" s="12" t="str">
        <f aca="false">IF(O274="","",IFERROR(V274/O274*100,0))</f>
        <v/>
      </c>
      <c r="X274" s="11"/>
      <c r="Y274" s="11"/>
      <c r="Z274" s="11"/>
      <c r="AA274" s="11"/>
      <c r="AB274" s="11"/>
      <c r="AC274" s="11"/>
      <c r="AD274" s="11"/>
      <c r="AE274" s="11"/>
      <c r="AF274" s="12" t="str">
        <f aca="false">IF(O274="","",SUM(X274:AE274))</f>
        <v/>
      </c>
      <c r="AG274" s="12" t="str">
        <f aca="false">IF(O274="","",IFERROR(AF274/O274*1000,0))</f>
        <v/>
      </c>
      <c r="AH274" s="11"/>
      <c r="AI274" s="11"/>
      <c r="AJ274" s="11"/>
      <c r="AK274" s="9"/>
      <c r="AL274" s="9"/>
      <c r="AM274" s="9"/>
    </row>
    <row r="275" customFormat="false" ht="15" hidden="false" customHeight="true" outlineLevel="0" collapsed="false">
      <c r="A275" s="6"/>
      <c r="B275" s="7"/>
      <c r="C275" s="8"/>
      <c r="D275" s="8"/>
      <c r="E275" s="8"/>
      <c r="F275" s="9"/>
      <c r="G275" s="8"/>
      <c r="H275" s="10" t="str">
        <f aca="false">IFERROR(INDEX('Operator Master'!$B$5:$B$504,MATCH(G275,'Operator Master'!$A$5:$A$504,0)),"")</f>
        <v/>
      </c>
      <c r="I275" s="9"/>
      <c r="J275" s="9"/>
      <c r="K275" s="8"/>
      <c r="L275" s="9"/>
      <c r="M275" s="9"/>
      <c r="N275" s="11"/>
      <c r="O275" s="11"/>
      <c r="P275" s="12" t="str">
        <f aca="false">IF(OR(N275="",O275=""),"",IFERROR(O275/N275*100,0))</f>
        <v/>
      </c>
      <c r="Q275" s="10" t="n">
        <v>8</v>
      </c>
      <c r="R275" s="12" t="str">
        <f aca="false">IF(J275="","",Q275*J275)</f>
        <v/>
      </c>
      <c r="S275" s="11"/>
      <c r="T275" s="12" t="str">
        <f aca="false">IF(OR(R275="",S275=""),"",IFERROR(S275/R275*100,0))</f>
        <v/>
      </c>
      <c r="U275" s="12" t="str">
        <f aca="false">IF(OR(O275="",L275="",M275="",S275="",M275=0),"",IFERROR(O275/(L275*60*S275/(M275*36))*100,0))</f>
        <v/>
      </c>
      <c r="V275" s="11"/>
      <c r="W275" s="12" t="str">
        <f aca="false">IF(O275="","",IFERROR(V275/O275*100,0))</f>
        <v/>
      </c>
      <c r="X275" s="11"/>
      <c r="Y275" s="11"/>
      <c r="Z275" s="11"/>
      <c r="AA275" s="11"/>
      <c r="AB275" s="11"/>
      <c r="AC275" s="11"/>
      <c r="AD275" s="11"/>
      <c r="AE275" s="11"/>
      <c r="AF275" s="12" t="str">
        <f aca="false">IF(O275="","",SUM(X275:AE275))</f>
        <v/>
      </c>
      <c r="AG275" s="12" t="str">
        <f aca="false">IF(O275="","",IFERROR(AF275/O275*1000,0))</f>
        <v/>
      </c>
      <c r="AH275" s="11"/>
      <c r="AI275" s="11"/>
      <c r="AJ275" s="11"/>
      <c r="AK275" s="9"/>
      <c r="AL275" s="9"/>
      <c r="AM275" s="9"/>
    </row>
    <row r="276" customFormat="false" ht="15" hidden="false" customHeight="true" outlineLevel="0" collapsed="false">
      <c r="A276" s="6"/>
      <c r="B276" s="7"/>
      <c r="C276" s="8"/>
      <c r="D276" s="8"/>
      <c r="E276" s="8"/>
      <c r="F276" s="9"/>
      <c r="G276" s="8"/>
      <c r="H276" s="10" t="str">
        <f aca="false">IFERROR(INDEX('Operator Master'!$B$5:$B$504,MATCH(G276,'Operator Master'!$A$5:$A$504,0)),"")</f>
        <v/>
      </c>
      <c r="I276" s="9"/>
      <c r="J276" s="9"/>
      <c r="K276" s="8"/>
      <c r="L276" s="9"/>
      <c r="M276" s="9"/>
      <c r="N276" s="11"/>
      <c r="O276" s="11"/>
      <c r="P276" s="12" t="str">
        <f aca="false">IF(OR(N276="",O276=""),"",IFERROR(O276/N276*100,0))</f>
        <v/>
      </c>
      <c r="Q276" s="10" t="n">
        <v>8</v>
      </c>
      <c r="R276" s="12" t="str">
        <f aca="false">IF(J276="","",Q276*J276)</f>
        <v/>
      </c>
      <c r="S276" s="11"/>
      <c r="T276" s="12" t="str">
        <f aca="false">IF(OR(R276="",S276=""),"",IFERROR(S276/R276*100,0))</f>
        <v/>
      </c>
      <c r="U276" s="12" t="str">
        <f aca="false">IF(OR(O276="",L276="",M276="",S276="",M276=0),"",IFERROR(O276/(L276*60*S276/(M276*36))*100,0))</f>
        <v/>
      </c>
      <c r="V276" s="11"/>
      <c r="W276" s="12" t="str">
        <f aca="false">IF(O276="","",IFERROR(V276/O276*100,0))</f>
        <v/>
      </c>
      <c r="X276" s="11"/>
      <c r="Y276" s="11"/>
      <c r="Z276" s="11"/>
      <c r="AA276" s="11"/>
      <c r="AB276" s="11"/>
      <c r="AC276" s="11"/>
      <c r="AD276" s="11"/>
      <c r="AE276" s="11"/>
      <c r="AF276" s="12" t="str">
        <f aca="false">IF(O276="","",SUM(X276:AE276))</f>
        <v/>
      </c>
      <c r="AG276" s="12" t="str">
        <f aca="false">IF(O276="","",IFERROR(AF276/O276*1000,0))</f>
        <v/>
      </c>
      <c r="AH276" s="11"/>
      <c r="AI276" s="11"/>
      <c r="AJ276" s="11"/>
      <c r="AK276" s="9"/>
      <c r="AL276" s="9"/>
      <c r="AM276" s="9"/>
    </row>
    <row r="277" customFormat="false" ht="15" hidden="false" customHeight="true" outlineLevel="0" collapsed="false">
      <c r="A277" s="6"/>
      <c r="B277" s="7"/>
      <c r="C277" s="8"/>
      <c r="D277" s="8"/>
      <c r="E277" s="8"/>
      <c r="F277" s="9"/>
      <c r="G277" s="8"/>
      <c r="H277" s="10" t="str">
        <f aca="false">IFERROR(INDEX('Operator Master'!$B$5:$B$504,MATCH(G277,'Operator Master'!$A$5:$A$504,0)),"")</f>
        <v/>
      </c>
      <c r="I277" s="9"/>
      <c r="J277" s="9"/>
      <c r="K277" s="8"/>
      <c r="L277" s="9"/>
      <c r="M277" s="9"/>
      <c r="N277" s="11"/>
      <c r="O277" s="11"/>
      <c r="P277" s="12" t="str">
        <f aca="false">IF(OR(N277="",O277=""),"",IFERROR(O277/N277*100,0))</f>
        <v/>
      </c>
      <c r="Q277" s="10" t="n">
        <v>8</v>
      </c>
      <c r="R277" s="12" t="str">
        <f aca="false">IF(J277="","",Q277*J277)</f>
        <v/>
      </c>
      <c r="S277" s="11"/>
      <c r="T277" s="12" t="str">
        <f aca="false">IF(OR(R277="",S277=""),"",IFERROR(S277/R277*100,0))</f>
        <v/>
      </c>
      <c r="U277" s="12" t="str">
        <f aca="false">IF(OR(O277="",L277="",M277="",S277="",M277=0),"",IFERROR(O277/(L277*60*S277/(M277*36))*100,0))</f>
        <v/>
      </c>
      <c r="V277" s="11"/>
      <c r="W277" s="12" t="str">
        <f aca="false">IF(O277="","",IFERROR(V277/O277*100,0))</f>
        <v/>
      </c>
      <c r="X277" s="11"/>
      <c r="Y277" s="11"/>
      <c r="Z277" s="11"/>
      <c r="AA277" s="11"/>
      <c r="AB277" s="11"/>
      <c r="AC277" s="11"/>
      <c r="AD277" s="11"/>
      <c r="AE277" s="11"/>
      <c r="AF277" s="12" t="str">
        <f aca="false">IF(O277="","",SUM(X277:AE277))</f>
        <v/>
      </c>
      <c r="AG277" s="12" t="str">
        <f aca="false">IF(O277="","",IFERROR(AF277/O277*1000,0))</f>
        <v/>
      </c>
      <c r="AH277" s="11"/>
      <c r="AI277" s="11"/>
      <c r="AJ277" s="11"/>
      <c r="AK277" s="9"/>
      <c r="AL277" s="9"/>
      <c r="AM277" s="9"/>
    </row>
    <row r="278" customFormat="false" ht="15" hidden="false" customHeight="true" outlineLevel="0" collapsed="false">
      <c r="A278" s="6"/>
      <c r="B278" s="7"/>
      <c r="C278" s="8"/>
      <c r="D278" s="8"/>
      <c r="E278" s="8"/>
      <c r="F278" s="9"/>
      <c r="G278" s="8"/>
      <c r="H278" s="10" t="str">
        <f aca="false">IFERROR(INDEX('Operator Master'!$B$5:$B$504,MATCH(G278,'Operator Master'!$A$5:$A$504,0)),"")</f>
        <v/>
      </c>
      <c r="I278" s="9"/>
      <c r="J278" s="9"/>
      <c r="K278" s="8"/>
      <c r="L278" s="9"/>
      <c r="M278" s="9"/>
      <c r="N278" s="11"/>
      <c r="O278" s="11"/>
      <c r="P278" s="12" t="str">
        <f aca="false">IF(OR(N278="",O278=""),"",IFERROR(O278/N278*100,0))</f>
        <v/>
      </c>
      <c r="Q278" s="10" t="n">
        <v>8</v>
      </c>
      <c r="R278" s="12" t="str">
        <f aca="false">IF(J278="","",Q278*J278)</f>
        <v/>
      </c>
      <c r="S278" s="11"/>
      <c r="T278" s="12" t="str">
        <f aca="false">IF(OR(R278="",S278=""),"",IFERROR(S278/R278*100,0))</f>
        <v/>
      </c>
      <c r="U278" s="12" t="str">
        <f aca="false">IF(OR(O278="",L278="",M278="",S278="",M278=0),"",IFERROR(O278/(L278*60*S278/(M278*36))*100,0))</f>
        <v/>
      </c>
      <c r="V278" s="11"/>
      <c r="W278" s="12" t="str">
        <f aca="false">IF(O278="","",IFERROR(V278/O278*100,0))</f>
        <v/>
      </c>
      <c r="X278" s="11"/>
      <c r="Y278" s="11"/>
      <c r="Z278" s="11"/>
      <c r="AA278" s="11"/>
      <c r="AB278" s="11"/>
      <c r="AC278" s="11"/>
      <c r="AD278" s="11"/>
      <c r="AE278" s="11"/>
      <c r="AF278" s="12" t="str">
        <f aca="false">IF(O278="","",SUM(X278:AE278))</f>
        <v/>
      </c>
      <c r="AG278" s="12" t="str">
        <f aca="false">IF(O278="","",IFERROR(AF278/O278*1000,0))</f>
        <v/>
      </c>
      <c r="AH278" s="11"/>
      <c r="AI278" s="11"/>
      <c r="AJ278" s="11"/>
      <c r="AK278" s="9"/>
      <c r="AL278" s="9"/>
      <c r="AM278" s="9"/>
    </row>
    <row r="279" customFormat="false" ht="15" hidden="false" customHeight="true" outlineLevel="0" collapsed="false">
      <c r="A279" s="6"/>
      <c r="B279" s="7"/>
      <c r="C279" s="8"/>
      <c r="D279" s="8"/>
      <c r="E279" s="8"/>
      <c r="F279" s="9"/>
      <c r="G279" s="8"/>
      <c r="H279" s="10" t="str">
        <f aca="false">IFERROR(INDEX('Operator Master'!$B$5:$B$504,MATCH(G279,'Operator Master'!$A$5:$A$504,0)),"")</f>
        <v/>
      </c>
      <c r="I279" s="9"/>
      <c r="J279" s="9"/>
      <c r="K279" s="8"/>
      <c r="L279" s="9"/>
      <c r="M279" s="9"/>
      <c r="N279" s="11"/>
      <c r="O279" s="11"/>
      <c r="P279" s="12" t="str">
        <f aca="false">IF(OR(N279="",O279=""),"",IFERROR(O279/N279*100,0))</f>
        <v/>
      </c>
      <c r="Q279" s="10" t="n">
        <v>8</v>
      </c>
      <c r="R279" s="12" t="str">
        <f aca="false">IF(J279="","",Q279*J279)</f>
        <v/>
      </c>
      <c r="S279" s="11"/>
      <c r="T279" s="12" t="str">
        <f aca="false">IF(OR(R279="",S279=""),"",IFERROR(S279/R279*100,0))</f>
        <v/>
      </c>
      <c r="U279" s="12" t="str">
        <f aca="false">IF(OR(O279="",L279="",M279="",S279="",M279=0),"",IFERROR(O279/(L279*60*S279/(M279*36))*100,0))</f>
        <v/>
      </c>
      <c r="V279" s="11"/>
      <c r="W279" s="12" t="str">
        <f aca="false">IF(O279="","",IFERROR(V279/O279*100,0))</f>
        <v/>
      </c>
      <c r="X279" s="11"/>
      <c r="Y279" s="11"/>
      <c r="Z279" s="11"/>
      <c r="AA279" s="11"/>
      <c r="AB279" s="11"/>
      <c r="AC279" s="11"/>
      <c r="AD279" s="11"/>
      <c r="AE279" s="11"/>
      <c r="AF279" s="12" t="str">
        <f aca="false">IF(O279="","",SUM(X279:AE279))</f>
        <v/>
      </c>
      <c r="AG279" s="12" t="str">
        <f aca="false">IF(O279="","",IFERROR(AF279/O279*1000,0))</f>
        <v/>
      </c>
      <c r="AH279" s="11"/>
      <c r="AI279" s="11"/>
      <c r="AJ279" s="11"/>
      <c r="AK279" s="9"/>
      <c r="AL279" s="9"/>
      <c r="AM279" s="9"/>
    </row>
    <row r="280" customFormat="false" ht="15" hidden="false" customHeight="true" outlineLevel="0" collapsed="false">
      <c r="A280" s="6"/>
      <c r="B280" s="7"/>
      <c r="C280" s="8"/>
      <c r="D280" s="8"/>
      <c r="E280" s="8"/>
      <c r="F280" s="9"/>
      <c r="G280" s="8"/>
      <c r="H280" s="10" t="str">
        <f aca="false">IFERROR(INDEX('Operator Master'!$B$5:$B$504,MATCH(G280,'Operator Master'!$A$5:$A$504,0)),"")</f>
        <v/>
      </c>
      <c r="I280" s="9"/>
      <c r="J280" s="9"/>
      <c r="K280" s="8"/>
      <c r="L280" s="9"/>
      <c r="M280" s="9"/>
      <c r="N280" s="11"/>
      <c r="O280" s="11"/>
      <c r="P280" s="12" t="str">
        <f aca="false">IF(OR(N280="",O280=""),"",IFERROR(O280/N280*100,0))</f>
        <v/>
      </c>
      <c r="Q280" s="10" t="n">
        <v>8</v>
      </c>
      <c r="R280" s="12" t="str">
        <f aca="false">IF(J280="","",Q280*J280)</f>
        <v/>
      </c>
      <c r="S280" s="11"/>
      <c r="T280" s="12" t="str">
        <f aca="false">IF(OR(R280="",S280=""),"",IFERROR(S280/R280*100,0))</f>
        <v/>
      </c>
      <c r="U280" s="12" t="str">
        <f aca="false">IF(OR(O280="",L280="",M280="",S280="",M280=0),"",IFERROR(O280/(L280*60*S280/(M280*36))*100,0))</f>
        <v/>
      </c>
      <c r="V280" s="11"/>
      <c r="W280" s="12" t="str">
        <f aca="false">IF(O280="","",IFERROR(V280/O280*100,0))</f>
        <v/>
      </c>
      <c r="X280" s="11"/>
      <c r="Y280" s="11"/>
      <c r="Z280" s="11"/>
      <c r="AA280" s="11"/>
      <c r="AB280" s="11"/>
      <c r="AC280" s="11"/>
      <c r="AD280" s="11"/>
      <c r="AE280" s="11"/>
      <c r="AF280" s="12" t="str">
        <f aca="false">IF(O280="","",SUM(X280:AE280))</f>
        <v/>
      </c>
      <c r="AG280" s="12" t="str">
        <f aca="false">IF(O280="","",IFERROR(AF280/O280*1000,0))</f>
        <v/>
      </c>
      <c r="AH280" s="11"/>
      <c r="AI280" s="11"/>
      <c r="AJ280" s="11"/>
      <c r="AK280" s="9"/>
      <c r="AL280" s="9"/>
      <c r="AM280" s="9"/>
    </row>
    <row r="281" customFormat="false" ht="15" hidden="false" customHeight="true" outlineLevel="0" collapsed="false">
      <c r="A281" s="6"/>
      <c r="B281" s="7"/>
      <c r="C281" s="8"/>
      <c r="D281" s="8"/>
      <c r="E281" s="8"/>
      <c r="F281" s="9"/>
      <c r="G281" s="8"/>
      <c r="H281" s="10" t="str">
        <f aca="false">IFERROR(INDEX('Operator Master'!$B$5:$B$504,MATCH(G281,'Operator Master'!$A$5:$A$504,0)),"")</f>
        <v/>
      </c>
      <c r="I281" s="9"/>
      <c r="J281" s="9"/>
      <c r="K281" s="8"/>
      <c r="L281" s="9"/>
      <c r="M281" s="9"/>
      <c r="N281" s="11"/>
      <c r="O281" s="11"/>
      <c r="P281" s="12" t="str">
        <f aca="false">IF(OR(N281="",O281=""),"",IFERROR(O281/N281*100,0))</f>
        <v/>
      </c>
      <c r="Q281" s="10" t="n">
        <v>8</v>
      </c>
      <c r="R281" s="12" t="str">
        <f aca="false">IF(J281="","",Q281*J281)</f>
        <v/>
      </c>
      <c r="S281" s="11"/>
      <c r="T281" s="12" t="str">
        <f aca="false">IF(OR(R281="",S281=""),"",IFERROR(S281/R281*100,0))</f>
        <v/>
      </c>
      <c r="U281" s="12" t="str">
        <f aca="false">IF(OR(O281="",L281="",M281="",S281="",M281=0),"",IFERROR(O281/(L281*60*S281/(M281*36))*100,0))</f>
        <v/>
      </c>
      <c r="V281" s="11"/>
      <c r="W281" s="12" t="str">
        <f aca="false">IF(O281="","",IFERROR(V281/O281*100,0))</f>
        <v/>
      </c>
      <c r="X281" s="11"/>
      <c r="Y281" s="11"/>
      <c r="Z281" s="11"/>
      <c r="AA281" s="11"/>
      <c r="AB281" s="11"/>
      <c r="AC281" s="11"/>
      <c r="AD281" s="11"/>
      <c r="AE281" s="11"/>
      <c r="AF281" s="12" t="str">
        <f aca="false">IF(O281="","",SUM(X281:AE281))</f>
        <v/>
      </c>
      <c r="AG281" s="12" t="str">
        <f aca="false">IF(O281="","",IFERROR(AF281/O281*1000,0))</f>
        <v/>
      </c>
      <c r="AH281" s="11"/>
      <c r="AI281" s="11"/>
      <c r="AJ281" s="11"/>
      <c r="AK281" s="9"/>
      <c r="AL281" s="9"/>
      <c r="AM281" s="9"/>
    </row>
    <row r="282" customFormat="false" ht="15" hidden="false" customHeight="true" outlineLevel="0" collapsed="false">
      <c r="A282" s="6"/>
      <c r="B282" s="7"/>
      <c r="C282" s="8"/>
      <c r="D282" s="8"/>
      <c r="E282" s="8"/>
      <c r="F282" s="9"/>
      <c r="G282" s="8"/>
      <c r="H282" s="10" t="str">
        <f aca="false">IFERROR(INDEX('Operator Master'!$B$5:$B$504,MATCH(G282,'Operator Master'!$A$5:$A$504,0)),"")</f>
        <v/>
      </c>
      <c r="I282" s="9"/>
      <c r="J282" s="9"/>
      <c r="K282" s="8"/>
      <c r="L282" s="9"/>
      <c r="M282" s="9"/>
      <c r="N282" s="11"/>
      <c r="O282" s="11"/>
      <c r="P282" s="12" t="str">
        <f aca="false">IF(OR(N282="",O282=""),"",IFERROR(O282/N282*100,0))</f>
        <v/>
      </c>
      <c r="Q282" s="10" t="n">
        <v>8</v>
      </c>
      <c r="R282" s="12" t="str">
        <f aca="false">IF(J282="","",Q282*J282)</f>
        <v/>
      </c>
      <c r="S282" s="11"/>
      <c r="T282" s="12" t="str">
        <f aca="false">IF(OR(R282="",S282=""),"",IFERROR(S282/R282*100,0))</f>
        <v/>
      </c>
      <c r="U282" s="12" t="str">
        <f aca="false">IF(OR(O282="",L282="",M282="",S282="",M282=0),"",IFERROR(O282/(L282*60*S282/(M282*36))*100,0))</f>
        <v/>
      </c>
      <c r="V282" s="11"/>
      <c r="W282" s="12" t="str">
        <f aca="false">IF(O282="","",IFERROR(V282/O282*100,0))</f>
        <v/>
      </c>
      <c r="X282" s="11"/>
      <c r="Y282" s="11"/>
      <c r="Z282" s="11"/>
      <c r="AA282" s="11"/>
      <c r="AB282" s="11"/>
      <c r="AC282" s="11"/>
      <c r="AD282" s="11"/>
      <c r="AE282" s="11"/>
      <c r="AF282" s="12" t="str">
        <f aca="false">IF(O282="","",SUM(X282:AE282))</f>
        <v/>
      </c>
      <c r="AG282" s="12" t="str">
        <f aca="false">IF(O282="","",IFERROR(AF282/O282*1000,0))</f>
        <v/>
      </c>
      <c r="AH282" s="11"/>
      <c r="AI282" s="11"/>
      <c r="AJ282" s="11"/>
      <c r="AK282" s="9"/>
      <c r="AL282" s="9"/>
      <c r="AM282" s="9"/>
    </row>
    <row r="283" customFormat="false" ht="15" hidden="false" customHeight="true" outlineLevel="0" collapsed="false">
      <c r="A283" s="6"/>
      <c r="B283" s="7"/>
      <c r="C283" s="8"/>
      <c r="D283" s="8"/>
      <c r="E283" s="8"/>
      <c r="F283" s="9"/>
      <c r="G283" s="8"/>
      <c r="H283" s="10" t="str">
        <f aca="false">IFERROR(INDEX('Operator Master'!$B$5:$B$504,MATCH(G283,'Operator Master'!$A$5:$A$504,0)),"")</f>
        <v/>
      </c>
      <c r="I283" s="9"/>
      <c r="J283" s="9"/>
      <c r="K283" s="8"/>
      <c r="L283" s="9"/>
      <c r="M283" s="9"/>
      <c r="N283" s="11"/>
      <c r="O283" s="11"/>
      <c r="P283" s="12" t="str">
        <f aca="false">IF(OR(N283="",O283=""),"",IFERROR(O283/N283*100,0))</f>
        <v/>
      </c>
      <c r="Q283" s="10" t="n">
        <v>8</v>
      </c>
      <c r="R283" s="12" t="str">
        <f aca="false">IF(J283="","",Q283*J283)</f>
        <v/>
      </c>
      <c r="S283" s="11"/>
      <c r="T283" s="12" t="str">
        <f aca="false">IF(OR(R283="",S283=""),"",IFERROR(S283/R283*100,0))</f>
        <v/>
      </c>
      <c r="U283" s="12" t="str">
        <f aca="false">IF(OR(O283="",L283="",M283="",S283="",M283=0),"",IFERROR(O283/(L283*60*S283/(M283*36))*100,0))</f>
        <v/>
      </c>
      <c r="V283" s="11"/>
      <c r="W283" s="12" t="str">
        <f aca="false">IF(O283="","",IFERROR(V283/O283*100,0))</f>
        <v/>
      </c>
      <c r="X283" s="11"/>
      <c r="Y283" s="11"/>
      <c r="Z283" s="11"/>
      <c r="AA283" s="11"/>
      <c r="AB283" s="11"/>
      <c r="AC283" s="11"/>
      <c r="AD283" s="11"/>
      <c r="AE283" s="11"/>
      <c r="AF283" s="12" t="str">
        <f aca="false">IF(O283="","",SUM(X283:AE283))</f>
        <v/>
      </c>
      <c r="AG283" s="12" t="str">
        <f aca="false">IF(O283="","",IFERROR(AF283/O283*1000,0))</f>
        <v/>
      </c>
      <c r="AH283" s="11"/>
      <c r="AI283" s="11"/>
      <c r="AJ283" s="11"/>
      <c r="AK283" s="9"/>
      <c r="AL283" s="9"/>
      <c r="AM283" s="9"/>
    </row>
    <row r="284" customFormat="false" ht="15" hidden="false" customHeight="true" outlineLevel="0" collapsed="false">
      <c r="A284" s="6"/>
      <c r="B284" s="7"/>
      <c r="C284" s="8"/>
      <c r="D284" s="8"/>
      <c r="E284" s="8"/>
      <c r="F284" s="9"/>
      <c r="G284" s="8"/>
      <c r="H284" s="10" t="str">
        <f aca="false">IFERROR(INDEX('Operator Master'!$B$5:$B$504,MATCH(G284,'Operator Master'!$A$5:$A$504,0)),"")</f>
        <v/>
      </c>
      <c r="I284" s="9"/>
      <c r="J284" s="9"/>
      <c r="K284" s="8"/>
      <c r="L284" s="9"/>
      <c r="M284" s="9"/>
      <c r="N284" s="11"/>
      <c r="O284" s="11"/>
      <c r="P284" s="12" t="str">
        <f aca="false">IF(OR(N284="",O284=""),"",IFERROR(O284/N284*100,0))</f>
        <v/>
      </c>
      <c r="Q284" s="10" t="n">
        <v>8</v>
      </c>
      <c r="R284" s="12" t="str">
        <f aca="false">IF(J284="","",Q284*J284)</f>
        <v/>
      </c>
      <c r="S284" s="11"/>
      <c r="T284" s="12" t="str">
        <f aca="false">IF(OR(R284="",S284=""),"",IFERROR(S284/R284*100,0))</f>
        <v/>
      </c>
      <c r="U284" s="12" t="str">
        <f aca="false">IF(OR(O284="",L284="",M284="",S284="",M284=0),"",IFERROR(O284/(L284*60*S284/(M284*36))*100,0))</f>
        <v/>
      </c>
      <c r="V284" s="11"/>
      <c r="W284" s="12" t="str">
        <f aca="false">IF(O284="","",IFERROR(V284/O284*100,0))</f>
        <v/>
      </c>
      <c r="X284" s="11"/>
      <c r="Y284" s="11"/>
      <c r="Z284" s="11"/>
      <c r="AA284" s="11"/>
      <c r="AB284" s="11"/>
      <c r="AC284" s="11"/>
      <c r="AD284" s="11"/>
      <c r="AE284" s="11"/>
      <c r="AF284" s="12" t="str">
        <f aca="false">IF(O284="","",SUM(X284:AE284))</f>
        <v/>
      </c>
      <c r="AG284" s="12" t="str">
        <f aca="false">IF(O284="","",IFERROR(AF284/O284*1000,0))</f>
        <v/>
      </c>
      <c r="AH284" s="11"/>
      <c r="AI284" s="11"/>
      <c r="AJ284" s="11"/>
      <c r="AK284" s="9"/>
      <c r="AL284" s="9"/>
      <c r="AM284" s="9"/>
    </row>
    <row r="285" customFormat="false" ht="15" hidden="false" customHeight="true" outlineLevel="0" collapsed="false">
      <c r="A285" s="6"/>
      <c r="B285" s="7"/>
      <c r="C285" s="8"/>
      <c r="D285" s="8"/>
      <c r="E285" s="8"/>
      <c r="F285" s="9"/>
      <c r="G285" s="8"/>
      <c r="H285" s="10" t="str">
        <f aca="false">IFERROR(INDEX('Operator Master'!$B$5:$B$504,MATCH(G285,'Operator Master'!$A$5:$A$504,0)),"")</f>
        <v/>
      </c>
      <c r="I285" s="9"/>
      <c r="J285" s="9"/>
      <c r="K285" s="8"/>
      <c r="L285" s="9"/>
      <c r="M285" s="9"/>
      <c r="N285" s="11"/>
      <c r="O285" s="11"/>
      <c r="P285" s="12" t="str">
        <f aca="false">IF(OR(N285="",O285=""),"",IFERROR(O285/N285*100,0))</f>
        <v/>
      </c>
      <c r="Q285" s="10" t="n">
        <v>8</v>
      </c>
      <c r="R285" s="12" t="str">
        <f aca="false">IF(J285="","",Q285*J285)</f>
        <v/>
      </c>
      <c r="S285" s="11"/>
      <c r="T285" s="12" t="str">
        <f aca="false">IF(OR(R285="",S285=""),"",IFERROR(S285/R285*100,0))</f>
        <v/>
      </c>
      <c r="U285" s="12" t="str">
        <f aca="false">IF(OR(O285="",L285="",M285="",S285="",M285=0),"",IFERROR(O285/(L285*60*S285/(M285*36))*100,0))</f>
        <v/>
      </c>
      <c r="V285" s="11"/>
      <c r="W285" s="12" t="str">
        <f aca="false">IF(O285="","",IFERROR(V285/O285*100,0))</f>
        <v/>
      </c>
      <c r="X285" s="11"/>
      <c r="Y285" s="11"/>
      <c r="Z285" s="11"/>
      <c r="AA285" s="11"/>
      <c r="AB285" s="11"/>
      <c r="AC285" s="11"/>
      <c r="AD285" s="11"/>
      <c r="AE285" s="11"/>
      <c r="AF285" s="12" t="str">
        <f aca="false">IF(O285="","",SUM(X285:AE285))</f>
        <v/>
      </c>
      <c r="AG285" s="12" t="str">
        <f aca="false">IF(O285="","",IFERROR(AF285/O285*1000,0))</f>
        <v/>
      </c>
      <c r="AH285" s="11"/>
      <c r="AI285" s="11"/>
      <c r="AJ285" s="11"/>
      <c r="AK285" s="9"/>
      <c r="AL285" s="9"/>
      <c r="AM285" s="9"/>
    </row>
    <row r="286" customFormat="false" ht="15" hidden="false" customHeight="true" outlineLevel="0" collapsed="false">
      <c r="A286" s="6"/>
      <c r="B286" s="7"/>
      <c r="C286" s="8"/>
      <c r="D286" s="8"/>
      <c r="E286" s="8"/>
      <c r="F286" s="9"/>
      <c r="G286" s="8"/>
      <c r="H286" s="10" t="str">
        <f aca="false">IFERROR(INDEX('Operator Master'!$B$5:$B$504,MATCH(G286,'Operator Master'!$A$5:$A$504,0)),"")</f>
        <v/>
      </c>
      <c r="I286" s="9"/>
      <c r="J286" s="9"/>
      <c r="K286" s="8"/>
      <c r="L286" s="9"/>
      <c r="M286" s="9"/>
      <c r="N286" s="11"/>
      <c r="O286" s="11"/>
      <c r="P286" s="12" t="str">
        <f aca="false">IF(OR(N286="",O286=""),"",IFERROR(O286/N286*100,0))</f>
        <v/>
      </c>
      <c r="Q286" s="10" t="n">
        <v>8</v>
      </c>
      <c r="R286" s="12" t="str">
        <f aca="false">IF(J286="","",Q286*J286)</f>
        <v/>
      </c>
      <c r="S286" s="11"/>
      <c r="T286" s="12" t="str">
        <f aca="false">IF(OR(R286="",S286=""),"",IFERROR(S286/R286*100,0))</f>
        <v/>
      </c>
      <c r="U286" s="12" t="str">
        <f aca="false">IF(OR(O286="",L286="",M286="",S286="",M286=0),"",IFERROR(O286/(L286*60*S286/(M286*36))*100,0))</f>
        <v/>
      </c>
      <c r="V286" s="11"/>
      <c r="W286" s="12" t="str">
        <f aca="false">IF(O286="","",IFERROR(V286/O286*100,0))</f>
        <v/>
      </c>
      <c r="X286" s="11"/>
      <c r="Y286" s="11"/>
      <c r="Z286" s="11"/>
      <c r="AA286" s="11"/>
      <c r="AB286" s="11"/>
      <c r="AC286" s="11"/>
      <c r="AD286" s="11"/>
      <c r="AE286" s="11"/>
      <c r="AF286" s="12" t="str">
        <f aca="false">IF(O286="","",SUM(X286:AE286))</f>
        <v/>
      </c>
      <c r="AG286" s="12" t="str">
        <f aca="false">IF(O286="","",IFERROR(AF286/O286*1000,0))</f>
        <v/>
      </c>
      <c r="AH286" s="11"/>
      <c r="AI286" s="11"/>
      <c r="AJ286" s="11"/>
      <c r="AK286" s="9"/>
      <c r="AL286" s="9"/>
      <c r="AM286" s="9"/>
    </row>
    <row r="287" customFormat="false" ht="15" hidden="false" customHeight="true" outlineLevel="0" collapsed="false">
      <c r="A287" s="6"/>
      <c r="B287" s="7"/>
      <c r="C287" s="8"/>
      <c r="D287" s="8"/>
      <c r="E287" s="8"/>
      <c r="F287" s="9"/>
      <c r="G287" s="8"/>
      <c r="H287" s="10" t="str">
        <f aca="false">IFERROR(INDEX('Operator Master'!$B$5:$B$504,MATCH(G287,'Operator Master'!$A$5:$A$504,0)),"")</f>
        <v/>
      </c>
      <c r="I287" s="9"/>
      <c r="J287" s="9"/>
      <c r="K287" s="8"/>
      <c r="L287" s="9"/>
      <c r="M287" s="9"/>
      <c r="N287" s="11"/>
      <c r="O287" s="11"/>
      <c r="P287" s="12" t="str">
        <f aca="false">IF(OR(N287="",O287=""),"",IFERROR(O287/N287*100,0))</f>
        <v/>
      </c>
      <c r="Q287" s="10" t="n">
        <v>8</v>
      </c>
      <c r="R287" s="12" t="str">
        <f aca="false">IF(J287="","",Q287*J287)</f>
        <v/>
      </c>
      <c r="S287" s="11"/>
      <c r="T287" s="12" t="str">
        <f aca="false">IF(OR(R287="",S287=""),"",IFERROR(S287/R287*100,0))</f>
        <v/>
      </c>
      <c r="U287" s="12" t="str">
        <f aca="false">IF(OR(O287="",L287="",M287="",S287="",M287=0),"",IFERROR(O287/(L287*60*S287/(M287*36))*100,0))</f>
        <v/>
      </c>
      <c r="V287" s="11"/>
      <c r="W287" s="12" t="str">
        <f aca="false">IF(O287="","",IFERROR(V287/O287*100,0))</f>
        <v/>
      </c>
      <c r="X287" s="11"/>
      <c r="Y287" s="11"/>
      <c r="Z287" s="11"/>
      <c r="AA287" s="11"/>
      <c r="AB287" s="11"/>
      <c r="AC287" s="11"/>
      <c r="AD287" s="11"/>
      <c r="AE287" s="11"/>
      <c r="AF287" s="12" t="str">
        <f aca="false">IF(O287="","",SUM(X287:AE287))</f>
        <v/>
      </c>
      <c r="AG287" s="12" t="str">
        <f aca="false">IF(O287="","",IFERROR(AF287/O287*1000,0))</f>
        <v/>
      </c>
      <c r="AH287" s="11"/>
      <c r="AI287" s="11"/>
      <c r="AJ287" s="11"/>
      <c r="AK287" s="9"/>
      <c r="AL287" s="9"/>
      <c r="AM287" s="9"/>
    </row>
    <row r="288" customFormat="false" ht="15" hidden="false" customHeight="true" outlineLevel="0" collapsed="false">
      <c r="A288" s="6"/>
      <c r="B288" s="7"/>
      <c r="C288" s="8"/>
      <c r="D288" s="8"/>
      <c r="E288" s="8"/>
      <c r="F288" s="9"/>
      <c r="G288" s="8"/>
      <c r="H288" s="10" t="str">
        <f aca="false">IFERROR(INDEX('Operator Master'!$B$5:$B$504,MATCH(G288,'Operator Master'!$A$5:$A$504,0)),"")</f>
        <v/>
      </c>
      <c r="I288" s="9"/>
      <c r="J288" s="9"/>
      <c r="K288" s="8"/>
      <c r="L288" s="9"/>
      <c r="M288" s="9"/>
      <c r="N288" s="11"/>
      <c r="O288" s="11"/>
      <c r="P288" s="12" t="str">
        <f aca="false">IF(OR(N288="",O288=""),"",IFERROR(O288/N288*100,0))</f>
        <v/>
      </c>
      <c r="Q288" s="10" t="n">
        <v>8</v>
      </c>
      <c r="R288" s="12" t="str">
        <f aca="false">IF(J288="","",Q288*J288)</f>
        <v/>
      </c>
      <c r="S288" s="11"/>
      <c r="T288" s="12" t="str">
        <f aca="false">IF(OR(R288="",S288=""),"",IFERROR(S288/R288*100,0))</f>
        <v/>
      </c>
      <c r="U288" s="12" t="str">
        <f aca="false">IF(OR(O288="",L288="",M288="",S288="",M288=0),"",IFERROR(O288/(L288*60*S288/(M288*36))*100,0))</f>
        <v/>
      </c>
      <c r="V288" s="11"/>
      <c r="W288" s="12" t="str">
        <f aca="false">IF(O288="","",IFERROR(V288/O288*100,0))</f>
        <v/>
      </c>
      <c r="X288" s="11"/>
      <c r="Y288" s="11"/>
      <c r="Z288" s="11"/>
      <c r="AA288" s="11"/>
      <c r="AB288" s="11"/>
      <c r="AC288" s="11"/>
      <c r="AD288" s="11"/>
      <c r="AE288" s="11"/>
      <c r="AF288" s="12" t="str">
        <f aca="false">IF(O288="","",SUM(X288:AE288))</f>
        <v/>
      </c>
      <c r="AG288" s="12" t="str">
        <f aca="false">IF(O288="","",IFERROR(AF288/O288*1000,0))</f>
        <v/>
      </c>
      <c r="AH288" s="11"/>
      <c r="AI288" s="11"/>
      <c r="AJ288" s="11"/>
      <c r="AK288" s="9"/>
      <c r="AL288" s="9"/>
      <c r="AM288" s="9"/>
    </row>
    <row r="289" customFormat="false" ht="15" hidden="false" customHeight="true" outlineLevel="0" collapsed="false">
      <c r="A289" s="6"/>
      <c r="B289" s="7"/>
      <c r="C289" s="8"/>
      <c r="D289" s="8"/>
      <c r="E289" s="8"/>
      <c r="F289" s="9"/>
      <c r="G289" s="8"/>
      <c r="H289" s="10" t="str">
        <f aca="false">IFERROR(INDEX('Operator Master'!$B$5:$B$504,MATCH(G289,'Operator Master'!$A$5:$A$504,0)),"")</f>
        <v/>
      </c>
      <c r="I289" s="9"/>
      <c r="J289" s="9"/>
      <c r="K289" s="8"/>
      <c r="L289" s="9"/>
      <c r="M289" s="9"/>
      <c r="N289" s="11"/>
      <c r="O289" s="11"/>
      <c r="P289" s="12" t="str">
        <f aca="false">IF(OR(N289="",O289=""),"",IFERROR(O289/N289*100,0))</f>
        <v/>
      </c>
      <c r="Q289" s="10" t="n">
        <v>8</v>
      </c>
      <c r="R289" s="12" t="str">
        <f aca="false">IF(J289="","",Q289*J289)</f>
        <v/>
      </c>
      <c r="S289" s="11"/>
      <c r="T289" s="12" t="str">
        <f aca="false">IF(OR(R289="",S289=""),"",IFERROR(S289/R289*100,0))</f>
        <v/>
      </c>
      <c r="U289" s="12" t="str">
        <f aca="false">IF(OR(O289="",L289="",M289="",S289="",M289=0),"",IFERROR(O289/(L289*60*S289/(M289*36))*100,0))</f>
        <v/>
      </c>
      <c r="V289" s="11"/>
      <c r="W289" s="12" t="str">
        <f aca="false">IF(O289="","",IFERROR(V289/O289*100,0))</f>
        <v/>
      </c>
      <c r="X289" s="11"/>
      <c r="Y289" s="11"/>
      <c r="Z289" s="11"/>
      <c r="AA289" s="11"/>
      <c r="AB289" s="11"/>
      <c r="AC289" s="11"/>
      <c r="AD289" s="11"/>
      <c r="AE289" s="11"/>
      <c r="AF289" s="12" t="str">
        <f aca="false">IF(O289="","",SUM(X289:AE289))</f>
        <v/>
      </c>
      <c r="AG289" s="12" t="str">
        <f aca="false">IF(O289="","",IFERROR(AF289/O289*1000,0))</f>
        <v/>
      </c>
      <c r="AH289" s="11"/>
      <c r="AI289" s="11"/>
      <c r="AJ289" s="11"/>
      <c r="AK289" s="9"/>
      <c r="AL289" s="9"/>
      <c r="AM289" s="9"/>
    </row>
    <row r="290" customFormat="false" ht="15" hidden="false" customHeight="true" outlineLevel="0" collapsed="false">
      <c r="A290" s="6"/>
      <c r="B290" s="7"/>
      <c r="C290" s="8"/>
      <c r="D290" s="8"/>
      <c r="E290" s="8"/>
      <c r="F290" s="9"/>
      <c r="G290" s="8"/>
      <c r="H290" s="10" t="str">
        <f aca="false">IFERROR(INDEX('Operator Master'!$B$5:$B$504,MATCH(G290,'Operator Master'!$A$5:$A$504,0)),"")</f>
        <v/>
      </c>
      <c r="I290" s="9"/>
      <c r="J290" s="9"/>
      <c r="K290" s="8"/>
      <c r="L290" s="9"/>
      <c r="M290" s="9"/>
      <c r="N290" s="11"/>
      <c r="O290" s="11"/>
      <c r="P290" s="12" t="str">
        <f aca="false">IF(OR(N290="",O290=""),"",IFERROR(O290/N290*100,0))</f>
        <v/>
      </c>
      <c r="Q290" s="10" t="n">
        <v>8</v>
      </c>
      <c r="R290" s="12" t="str">
        <f aca="false">IF(J290="","",Q290*J290)</f>
        <v/>
      </c>
      <c r="S290" s="11"/>
      <c r="T290" s="12" t="str">
        <f aca="false">IF(OR(R290="",S290=""),"",IFERROR(S290/R290*100,0))</f>
        <v/>
      </c>
      <c r="U290" s="12" t="str">
        <f aca="false">IF(OR(O290="",L290="",M290="",S290="",M290=0),"",IFERROR(O290/(L290*60*S290/(M290*36))*100,0))</f>
        <v/>
      </c>
      <c r="V290" s="11"/>
      <c r="W290" s="12" t="str">
        <f aca="false">IF(O290="","",IFERROR(V290/O290*100,0))</f>
        <v/>
      </c>
      <c r="X290" s="11"/>
      <c r="Y290" s="11"/>
      <c r="Z290" s="11"/>
      <c r="AA290" s="11"/>
      <c r="AB290" s="11"/>
      <c r="AC290" s="11"/>
      <c r="AD290" s="11"/>
      <c r="AE290" s="11"/>
      <c r="AF290" s="12" t="str">
        <f aca="false">IF(O290="","",SUM(X290:AE290))</f>
        <v/>
      </c>
      <c r="AG290" s="12" t="str">
        <f aca="false">IF(O290="","",IFERROR(AF290/O290*1000,0))</f>
        <v/>
      </c>
      <c r="AH290" s="11"/>
      <c r="AI290" s="11"/>
      <c r="AJ290" s="11"/>
      <c r="AK290" s="9"/>
      <c r="AL290" s="9"/>
      <c r="AM290" s="9"/>
    </row>
    <row r="291" customFormat="false" ht="15" hidden="false" customHeight="true" outlineLevel="0" collapsed="false">
      <c r="A291" s="6"/>
      <c r="B291" s="7"/>
      <c r="C291" s="8"/>
      <c r="D291" s="8"/>
      <c r="E291" s="8"/>
      <c r="F291" s="9"/>
      <c r="G291" s="8"/>
      <c r="H291" s="10" t="str">
        <f aca="false">IFERROR(INDEX('Operator Master'!$B$5:$B$504,MATCH(G291,'Operator Master'!$A$5:$A$504,0)),"")</f>
        <v/>
      </c>
      <c r="I291" s="9"/>
      <c r="J291" s="9"/>
      <c r="K291" s="8"/>
      <c r="L291" s="9"/>
      <c r="M291" s="9"/>
      <c r="N291" s="11"/>
      <c r="O291" s="11"/>
      <c r="P291" s="12" t="str">
        <f aca="false">IF(OR(N291="",O291=""),"",IFERROR(O291/N291*100,0))</f>
        <v/>
      </c>
      <c r="Q291" s="10" t="n">
        <v>8</v>
      </c>
      <c r="R291" s="12" t="str">
        <f aca="false">IF(J291="","",Q291*J291)</f>
        <v/>
      </c>
      <c r="S291" s="11"/>
      <c r="T291" s="12" t="str">
        <f aca="false">IF(OR(R291="",S291=""),"",IFERROR(S291/R291*100,0))</f>
        <v/>
      </c>
      <c r="U291" s="12" t="str">
        <f aca="false">IF(OR(O291="",L291="",M291="",S291="",M291=0),"",IFERROR(O291/(L291*60*S291/(M291*36))*100,0))</f>
        <v/>
      </c>
      <c r="V291" s="11"/>
      <c r="W291" s="12" t="str">
        <f aca="false">IF(O291="","",IFERROR(V291/O291*100,0))</f>
        <v/>
      </c>
      <c r="X291" s="11"/>
      <c r="Y291" s="11"/>
      <c r="Z291" s="11"/>
      <c r="AA291" s="11"/>
      <c r="AB291" s="11"/>
      <c r="AC291" s="11"/>
      <c r="AD291" s="11"/>
      <c r="AE291" s="11"/>
      <c r="AF291" s="12" t="str">
        <f aca="false">IF(O291="","",SUM(X291:AE291))</f>
        <v/>
      </c>
      <c r="AG291" s="12" t="str">
        <f aca="false">IF(O291="","",IFERROR(AF291/O291*1000,0))</f>
        <v/>
      </c>
      <c r="AH291" s="11"/>
      <c r="AI291" s="11"/>
      <c r="AJ291" s="11"/>
      <c r="AK291" s="9"/>
      <c r="AL291" s="9"/>
      <c r="AM291" s="9"/>
    </row>
    <row r="292" customFormat="false" ht="15" hidden="false" customHeight="true" outlineLevel="0" collapsed="false">
      <c r="A292" s="6"/>
      <c r="B292" s="7"/>
      <c r="C292" s="8"/>
      <c r="D292" s="8"/>
      <c r="E292" s="8"/>
      <c r="F292" s="9"/>
      <c r="G292" s="8"/>
      <c r="H292" s="10" t="str">
        <f aca="false">IFERROR(INDEX('Operator Master'!$B$5:$B$504,MATCH(G292,'Operator Master'!$A$5:$A$504,0)),"")</f>
        <v/>
      </c>
      <c r="I292" s="9"/>
      <c r="J292" s="9"/>
      <c r="K292" s="8"/>
      <c r="L292" s="9"/>
      <c r="M292" s="9"/>
      <c r="N292" s="11"/>
      <c r="O292" s="11"/>
      <c r="P292" s="12" t="str">
        <f aca="false">IF(OR(N292="",O292=""),"",IFERROR(O292/N292*100,0))</f>
        <v/>
      </c>
      <c r="Q292" s="10" t="n">
        <v>8</v>
      </c>
      <c r="R292" s="12" t="str">
        <f aca="false">IF(J292="","",Q292*J292)</f>
        <v/>
      </c>
      <c r="S292" s="11"/>
      <c r="T292" s="12" t="str">
        <f aca="false">IF(OR(R292="",S292=""),"",IFERROR(S292/R292*100,0))</f>
        <v/>
      </c>
      <c r="U292" s="12" t="str">
        <f aca="false">IF(OR(O292="",L292="",M292="",S292="",M292=0),"",IFERROR(O292/(L292*60*S292/(M292*36))*100,0))</f>
        <v/>
      </c>
      <c r="V292" s="11"/>
      <c r="W292" s="12" t="str">
        <f aca="false">IF(O292="","",IFERROR(V292/O292*100,0))</f>
        <v/>
      </c>
      <c r="X292" s="11"/>
      <c r="Y292" s="11"/>
      <c r="Z292" s="11"/>
      <c r="AA292" s="11"/>
      <c r="AB292" s="11"/>
      <c r="AC292" s="11"/>
      <c r="AD292" s="11"/>
      <c r="AE292" s="11"/>
      <c r="AF292" s="12" t="str">
        <f aca="false">IF(O292="","",SUM(X292:AE292))</f>
        <v/>
      </c>
      <c r="AG292" s="12" t="str">
        <f aca="false">IF(O292="","",IFERROR(AF292/O292*1000,0))</f>
        <v/>
      </c>
      <c r="AH292" s="11"/>
      <c r="AI292" s="11"/>
      <c r="AJ292" s="11"/>
      <c r="AK292" s="9"/>
      <c r="AL292" s="9"/>
      <c r="AM292" s="9"/>
    </row>
    <row r="293" customFormat="false" ht="15" hidden="false" customHeight="true" outlineLevel="0" collapsed="false">
      <c r="A293" s="6"/>
      <c r="B293" s="7"/>
      <c r="C293" s="8"/>
      <c r="D293" s="8"/>
      <c r="E293" s="8"/>
      <c r="F293" s="9"/>
      <c r="G293" s="8"/>
      <c r="H293" s="10" t="str">
        <f aca="false">IFERROR(INDEX('Operator Master'!$B$5:$B$504,MATCH(G293,'Operator Master'!$A$5:$A$504,0)),"")</f>
        <v/>
      </c>
      <c r="I293" s="9"/>
      <c r="J293" s="9"/>
      <c r="K293" s="8"/>
      <c r="L293" s="9"/>
      <c r="M293" s="9"/>
      <c r="N293" s="11"/>
      <c r="O293" s="11"/>
      <c r="P293" s="12" t="str">
        <f aca="false">IF(OR(N293="",O293=""),"",IFERROR(O293/N293*100,0))</f>
        <v/>
      </c>
      <c r="Q293" s="10" t="n">
        <v>8</v>
      </c>
      <c r="R293" s="12" t="str">
        <f aca="false">IF(J293="","",Q293*J293)</f>
        <v/>
      </c>
      <c r="S293" s="11"/>
      <c r="T293" s="12" t="str">
        <f aca="false">IF(OR(R293="",S293=""),"",IFERROR(S293/R293*100,0))</f>
        <v/>
      </c>
      <c r="U293" s="12" t="str">
        <f aca="false">IF(OR(O293="",L293="",M293="",S293="",M293=0),"",IFERROR(O293/(L293*60*S293/(M293*36))*100,0))</f>
        <v/>
      </c>
      <c r="V293" s="11"/>
      <c r="W293" s="12" t="str">
        <f aca="false">IF(O293="","",IFERROR(V293/O293*100,0))</f>
        <v/>
      </c>
      <c r="X293" s="11"/>
      <c r="Y293" s="11"/>
      <c r="Z293" s="11"/>
      <c r="AA293" s="11"/>
      <c r="AB293" s="11"/>
      <c r="AC293" s="11"/>
      <c r="AD293" s="11"/>
      <c r="AE293" s="11"/>
      <c r="AF293" s="12" t="str">
        <f aca="false">IF(O293="","",SUM(X293:AE293))</f>
        <v/>
      </c>
      <c r="AG293" s="12" t="str">
        <f aca="false">IF(O293="","",IFERROR(AF293/O293*1000,0))</f>
        <v/>
      </c>
      <c r="AH293" s="11"/>
      <c r="AI293" s="11"/>
      <c r="AJ293" s="11"/>
      <c r="AK293" s="9"/>
      <c r="AL293" s="9"/>
      <c r="AM293" s="9"/>
    </row>
    <row r="294" customFormat="false" ht="15" hidden="false" customHeight="true" outlineLevel="0" collapsed="false">
      <c r="A294" s="6"/>
      <c r="B294" s="7"/>
      <c r="C294" s="8"/>
      <c r="D294" s="8"/>
      <c r="E294" s="8"/>
      <c r="F294" s="9"/>
      <c r="G294" s="8"/>
      <c r="H294" s="10" t="str">
        <f aca="false">IFERROR(INDEX('Operator Master'!$B$5:$B$504,MATCH(G294,'Operator Master'!$A$5:$A$504,0)),"")</f>
        <v/>
      </c>
      <c r="I294" s="9"/>
      <c r="J294" s="9"/>
      <c r="K294" s="8"/>
      <c r="L294" s="9"/>
      <c r="M294" s="9"/>
      <c r="N294" s="11"/>
      <c r="O294" s="11"/>
      <c r="P294" s="12" t="str">
        <f aca="false">IF(OR(N294="",O294=""),"",IFERROR(O294/N294*100,0))</f>
        <v/>
      </c>
      <c r="Q294" s="10" t="n">
        <v>8</v>
      </c>
      <c r="R294" s="12" t="str">
        <f aca="false">IF(J294="","",Q294*J294)</f>
        <v/>
      </c>
      <c r="S294" s="11"/>
      <c r="T294" s="12" t="str">
        <f aca="false">IF(OR(R294="",S294=""),"",IFERROR(S294/R294*100,0))</f>
        <v/>
      </c>
      <c r="U294" s="12" t="str">
        <f aca="false">IF(OR(O294="",L294="",M294="",S294="",M294=0),"",IFERROR(O294/(L294*60*S294/(M294*36))*100,0))</f>
        <v/>
      </c>
      <c r="V294" s="11"/>
      <c r="W294" s="12" t="str">
        <f aca="false">IF(O294="","",IFERROR(V294/O294*100,0))</f>
        <v/>
      </c>
      <c r="X294" s="11"/>
      <c r="Y294" s="11"/>
      <c r="Z294" s="11"/>
      <c r="AA294" s="11"/>
      <c r="AB294" s="11"/>
      <c r="AC294" s="11"/>
      <c r="AD294" s="11"/>
      <c r="AE294" s="11"/>
      <c r="AF294" s="12" t="str">
        <f aca="false">IF(O294="","",SUM(X294:AE294))</f>
        <v/>
      </c>
      <c r="AG294" s="12" t="str">
        <f aca="false">IF(O294="","",IFERROR(AF294/O294*1000,0))</f>
        <v/>
      </c>
      <c r="AH294" s="11"/>
      <c r="AI294" s="11"/>
      <c r="AJ294" s="11"/>
      <c r="AK294" s="9"/>
      <c r="AL294" s="9"/>
      <c r="AM294" s="9"/>
    </row>
    <row r="295" customFormat="false" ht="15" hidden="false" customHeight="true" outlineLevel="0" collapsed="false">
      <c r="A295" s="6"/>
      <c r="B295" s="7"/>
      <c r="C295" s="8"/>
      <c r="D295" s="8"/>
      <c r="E295" s="8"/>
      <c r="F295" s="9"/>
      <c r="G295" s="8"/>
      <c r="H295" s="10" t="str">
        <f aca="false">IFERROR(INDEX('Operator Master'!$B$5:$B$504,MATCH(G295,'Operator Master'!$A$5:$A$504,0)),"")</f>
        <v/>
      </c>
      <c r="I295" s="9"/>
      <c r="J295" s="9"/>
      <c r="K295" s="8"/>
      <c r="L295" s="9"/>
      <c r="M295" s="9"/>
      <c r="N295" s="11"/>
      <c r="O295" s="11"/>
      <c r="P295" s="12" t="str">
        <f aca="false">IF(OR(N295="",O295=""),"",IFERROR(O295/N295*100,0))</f>
        <v/>
      </c>
      <c r="Q295" s="10" t="n">
        <v>8</v>
      </c>
      <c r="R295" s="12" t="str">
        <f aca="false">IF(J295="","",Q295*J295)</f>
        <v/>
      </c>
      <c r="S295" s="11"/>
      <c r="T295" s="12" t="str">
        <f aca="false">IF(OR(R295="",S295=""),"",IFERROR(S295/R295*100,0))</f>
        <v/>
      </c>
      <c r="U295" s="12" t="str">
        <f aca="false">IF(OR(O295="",L295="",M295="",S295="",M295=0),"",IFERROR(O295/(L295*60*S295/(M295*36))*100,0))</f>
        <v/>
      </c>
      <c r="V295" s="11"/>
      <c r="W295" s="12" t="str">
        <f aca="false">IF(O295="","",IFERROR(V295/O295*100,0))</f>
        <v/>
      </c>
      <c r="X295" s="11"/>
      <c r="Y295" s="11"/>
      <c r="Z295" s="11"/>
      <c r="AA295" s="11"/>
      <c r="AB295" s="11"/>
      <c r="AC295" s="11"/>
      <c r="AD295" s="11"/>
      <c r="AE295" s="11"/>
      <c r="AF295" s="12" t="str">
        <f aca="false">IF(O295="","",SUM(X295:AE295))</f>
        <v/>
      </c>
      <c r="AG295" s="12" t="str">
        <f aca="false">IF(O295="","",IFERROR(AF295/O295*1000,0))</f>
        <v/>
      </c>
      <c r="AH295" s="11"/>
      <c r="AI295" s="11"/>
      <c r="AJ295" s="11"/>
      <c r="AK295" s="9"/>
      <c r="AL295" s="9"/>
      <c r="AM295" s="9"/>
    </row>
    <row r="296" customFormat="false" ht="15" hidden="false" customHeight="true" outlineLevel="0" collapsed="false">
      <c r="A296" s="6"/>
      <c r="B296" s="7"/>
      <c r="C296" s="8"/>
      <c r="D296" s="8"/>
      <c r="E296" s="8"/>
      <c r="F296" s="9"/>
      <c r="G296" s="8"/>
      <c r="H296" s="10" t="str">
        <f aca="false">IFERROR(INDEX('Operator Master'!$B$5:$B$504,MATCH(G296,'Operator Master'!$A$5:$A$504,0)),"")</f>
        <v/>
      </c>
      <c r="I296" s="9"/>
      <c r="J296" s="9"/>
      <c r="K296" s="8"/>
      <c r="L296" s="9"/>
      <c r="M296" s="9"/>
      <c r="N296" s="11"/>
      <c r="O296" s="11"/>
      <c r="P296" s="12" t="str">
        <f aca="false">IF(OR(N296="",O296=""),"",IFERROR(O296/N296*100,0))</f>
        <v/>
      </c>
      <c r="Q296" s="10" t="n">
        <v>8</v>
      </c>
      <c r="R296" s="12" t="str">
        <f aca="false">IF(J296="","",Q296*J296)</f>
        <v/>
      </c>
      <c r="S296" s="11"/>
      <c r="T296" s="12" t="str">
        <f aca="false">IF(OR(R296="",S296=""),"",IFERROR(S296/R296*100,0))</f>
        <v/>
      </c>
      <c r="U296" s="12" t="str">
        <f aca="false">IF(OR(O296="",L296="",M296="",S296="",M296=0),"",IFERROR(O296/(L296*60*S296/(M296*36))*100,0))</f>
        <v/>
      </c>
      <c r="V296" s="11"/>
      <c r="W296" s="12" t="str">
        <f aca="false">IF(O296="","",IFERROR(V296/O296*100,0))</f>
        <v/>
      </c>
      <c r="X296" s="11"/>
      <c r="Y296" s="11"/>
      <c r="Z296" s="11"/>
      <c r="AA296" s="11"/>
      <c r="AB296" s="11"/>
      <c r="AC296" s="11"/>
      <c r="AD296" s="11"/>
      <c r="AE296" s="11"/>
      <c r="AF296" s="12" t="str">
        <f aca="false">IF(O296="","",SUM(X296:AE296))</f>
        <v/>
      </c>
      <c r="AG296" s="12" t="str">
        <f aca="false">IF(O296="","",IFERROR(AF296/O296*1000,0))</f>
        <v/>
      </c>
      <c r="AH296" s="11"/>
      <c r="AI296" s="11"/>
      <c r="AJ296" s="11"/>
      <c r="AK296" s="9"/>
      <c r="AL296" s="9"/>
      <c r="AM296" s="9"/>
    </row>
    <row r="297" customFormat="false" ht="15" hidden="false" customHeight="true" outlineLevel="0" collapsed="false">
      <c r="A297" s="6"/>
      <c r="B297" s="7"/>
      <c r="C297" s="8"/>
      <c r="D297" s="8"/>
      <c r="E297" s="8"/>
      <c r="F297" s="9"/>
      <c r="G297" s="8"/>
      <c r="H297" s="10" t="str">
        <f aca="false">IFERROR(INDEX('Operator Master'!$B$5:$B$504,MATCH(G297,'Operator Master'!$A$5:$A$504,0)),"")</f>
        <v/>
      </c>
      <c r="I297" s="9"/>
      <c r="J297" s="9"/>
      <c r="K297" s="8"/>
      <c r="L297" s="9"/>
      <c r="M297" s="9"/>
      <c r="N297" s="11"/>
      <c r="O297" s="11"/>
      <c r="P297" s="12" t="str">
        <f aca="false">IF(OR(N297="",O297=""),"",IFERROR(O297/N297*100,0))</f>
        <v/>
      </c>
      <c r="Q297" s="10" t="n">
        <v>8</v>
      </c>
      <c r="R297" s="12" t="str">
        <f aca="false">IF(J297="","",Q297*J297)</f>
        <v/>
      </c>
      <c r="S297" s="11"/>
      <c r="T297" s="12" t="str">
        <f aca="false">IF(OR(R297="",S297=""),"",IFERROR(S297/R297*100,0))</f>
        <v/>
      </c>
      <c r="U297" s="12" t="str">
        <f aca="false">IF(OR(O297="",L297="",M297="",S297="",M297=0),"",IFERROR(O297/(L297*60*S297/(M297*36))*100,0))</f>
        <v/>
      </c>
      <c r="V297" s="11"/>
      <c r="W297" s="12" t="str">
        <f aca="false">IF(O297="","",IFERROR(V297/O297*100,0))</f>
        <v/>
      </c>
      <c r="X297" s="11"/>
      <c r="Y297" s="11"/>
      <c r="Z297" s="11"/>
      <c r="AA297" s="11"/>
      <c r="AB297" s="11"/>
      <c r="AC297" s="11"/>
      <c r="AD297" s="11"/>
      <c r="AE297" s="11"/>
      <c r="AF297" s="12" t="str">
        <f aca="false">IF(O297="","",SUM(X297:AE297))</f>
        <v/>
      </c>
      <c r="AG297" s="12" t="str">
        <f aca="false">IF(O297="","",IFERROR(AF297/O297*1000,0))</f>
        <v/>
      </c>
      <c r="AH297" s="11"/>
      <c r="AI297" s="11"/>
      <c r="AJ297" s="11"/>
      <c r="AK297" s="9"/>
      <c r="AL297" s="9"/>
      <c r="AM297" s="9"/>
    </row>
    <row r="298" customFormat="false" ht="15" hidden="false" customHeight="true" outlineLevel="0" collapsed="false">
      <c r="A298" s="6"/>
      <c r="B298" s="7"/>
      <c r="C298" s="8"/>
      <c r="D298" s="8"/>
      <c r="E298" s="8"/>
      <c r="F298" s="9"/>
      <c r="G298" s="8"/>
      <c r="H298" s="10" t="str">
        <f aca="false">IFERROR(INDEX('Operator Master'!$B$5:$B$504,MATCH(G298,'Operator Master'!$A$5:$A$504,0)),"")</f>
        <v/>
      </c>
      <c r="I298" s="9"/>
      <c r="J298" s="9"/>
      <c r="K298" s="8"/>
      <c r="L298" s="9"/>
      <c r="M298" s="9"/>
      <c r="N298" s="11"/>
      <c r="O298" s="11"/>
      <c r="P298" s="12" t="str">
        <f aca="false">IF(OR(N298="",O298=""),"",IFERROR(O298/N298*100,0))</f>
        <v/>
      </c>
      <c r="Q298" s="10" t="n">
        <v>8</v>
      </c>
      <c r="R298" s="12" t="str">
        <f aca="false">IF(J298="","",Q298*J298)</f>
        <v/>
      </c>
      <c r="S298" s="11"/>
      <c r="T298" s="12" t="str">
        <f aca="false">IF(OR(R298="",S298=""),"",IFERROR(S298/R298*100,0))</f>
        <v/>
      </c>
      <c r="U298" s="12" t="str">
        <f aca="false">IF(OR(O298="",L298="",M298="",S298="",M298=0),"",IFERROR(O298/(L298*60*S298/(M298*36))*100,0))</f>
        <v/>
      </c>
      <c r="V298" s="11"/>
      <c r="W298" s="12" t="str">
        <f aca="false">IF(O298="","",IFERROR(V298/O298*100,0))</f>
        <v/>
      </c>
      <c r="X298" s="11"/>
      <c r="Y298" s="11"/>
      <c r="Z298" s="11"/>
      <c r="AA298" s="11"/>
      <c r="AB298" s="11"/>
      <c r="AC298" s="11"/>
      <c r="AD298" s="11"/>
      <c r="AE298" s="11"/>
      <c r="AF298" s="12" t="str">
        <f aca="false">IF(O298="","",SUM(X298:AE298))</f>
        <v/>
      </c>
      <c r="AG298" s="12" t="str">
        <f aca="false">IF(O298="","",IFERROR(AF298/O298*1000,0))</f>
        <v/>
      </c>
      <c r="AH298" s="11"/>
      <c r="AI298" s="11"/>
      <c r="AJ298" s="11"/>
      <c r="AK298" s="9"/>
      <c r="AL298" s="9"/>
      <c r="AM298" s="9"/>
    </row>
    <row r="299" customFormat="false" ht="15" hidden="false" customHeight="true" outlineLevel="0" collapsed="false">
      <c r="A299" s="6"/>
      <c r="B299" s="7"/>
      <c r="C299" s="8"/>
      <c r="D299" s="8"/>
      <c r="E299" s="8"/>
      <c r="F299" s="9"/>
      <c r="G299" s="8"/>
      <c r="H299" s="10" t="str">
        <f aca="false">IFERROR(INDEX('Operator Master'!$B$5:$B$504,MATCH(G299,'Operator Master'!$A$5:$A$504,0)),"")</f>
        <v/>
      </c>
      <c r="I299" s="9"/>
      <c r="J299" s="9"/>
      <c r="K299" s="8"/>
      <c r="L299" s="9"/>
      <c r="M299" s="9"/>
      <c r="N299" s="11"/>
      <c r="O299" s="11"/>
      <c r="P299" s="12" t="str">
        <f aca="false">IF(OR(N299="",O299=""),"",IFERROR(O299/N299*100,0))</f>
        <v/>
      </c>
      <c r="Q299" s="10" t="n">
        <v>8</v>
      </c>
      <c r="R299" s="12" t="str">
        <f aca="false">IF(J299="","",Q299*J299)</f>
        <v/>
      </c>
      <c r="S299" s="11"/>
      <c r="T299" s="12" t="str">
        <f aca="false">IF(OR(R299="",S299=""),"",IFERROR(S299/R299*100,0))</f>
        <v/>
      </c>
      <c r="U299" s="12" t="str">
        <f aca="false">IF(OR(O299="",L299="",M299="",S299="",M299=0),"",IFERROR(O299/(L299*60*S299/(M299*36))*100,0))</f>
        <v/>
      </c>
      <c r="V299" s="11"/>
      <c r="W299" s="12" t="str">
        <f aca="false">IF(O299="","",IFERROR(V299/O299*100,0))</f>
        <v/>
      </c>
      <c r="X299" s="11"/>
      <c r="Y299" s="11"/>
      <c r="Z299" s="11"/>
      <c r="AA299" s="11"/>
      <c r="AB299" s="11"/>
      <c r="AC299" s="11"/>
      <c r="AD299" s="11"/>
      <c r="AE299" s="11"/>
      <c r="AF299" s="12" t="str">
        <f aca="false">IF(O299="","",SUM(X299:AE299))</f>
        <v/>
      </c>
      <c r="AG299" s="12" t="str">
        <f aca="false">IF(O299="","",IFERROR(AF299/O299*1000,0))</f>
        <v/>
      </c>
      <c r="AH299" s="11"/>
      <c r="AI299" s="11"/>
      <c r="AJ299" s="11"/>
      <c r="AK299" s="9"/>
      <c r="AL299" s="9"/>
      <c r="AM299" s="9"/>
    </row>
    <row r="300" customFormat="false" ht="15" hidden="false" customHeight="true" outlineLevel="0" collapsed="false">
      <c r="A300" s="6"/>
      <c r="B300" s="7"/>
      <c r="C300" s="8"/>
      <c r="D300" s="8"/>
      <c r="E300" s="8"/>
      <c r="F300" s="9"/>
      <c r="G300" s="8"/>
      <c r="H300" s="10" t="str">
        <f aca="false">IFERROR(INDEX('Operator Master'!$B$5:$B$504,MATCH(G300,'Operator Master'!$A$5:$A$504,0)),"")</f>
        <v/>
      </c>
      <c r="I300" s="9"/>
      <c r="J300" s="9"/>
      <c r="K300" s="8"/>
      <c r="L300" s="9"/>
      <c r="M300" s="9"/>
      <c r="N300" s="11"/>
      <c r="O300" s="11"/>
      <c r="P300" s="12" t="str">
        <f aca="false">IF(OR(N300="",O300=""),"",IFERROR(O300/N300*100,0))</f>
        <v/>
      </c>
      <c r="Q300" s="10" t="n">
        <v>8</v>
      </c>
      <c r="R300" s="12" t="str">
        <f aca="false">IF(J300="","",Q300*J300)</f>
        <v/>
      </c>
      <c r="S300" s="11"/>
      <c r="T300" s="12" t="str">
        <f aca="false">IF(OR(R300="",S300=""),"",IFERROR(S300/R300*100,0))</f>
        <v/>
      </c>
      <c r="U300" s="12" t="str">
        <f aca="false">IF(OR(O300="",L300="",M300="",S300="",M300=0),"",IFERROR(O300/(L300*60*S300/(M300*36))*100,0))</f>
        <v/>
      </c>
      <c r="V300" s="11"/>
      <c r="W300" s="12" t="str">
        <f aca="false">IF(O300="","",IFERROR(V300/O300*100,0))</f>
        <v/>
      </c>
      <c r="X300" s="11"/>
      <c r="Y300" s="11"/>
      <c r="Z300" s="11"/>
      <c r="AA300" s="11"/>
      <c r="AB300" s="11"/>
      <c r="AC300" s="11"/>
      <c r="AD300" s="11"/>
      <c r="AE300" s="11"/>
      <c r="AF300" s="12" t="str">
        <f aca="false">IF(O300="","",SUM(X300:AE300))</f>
        <v/>
      </c>
      <c r="AG300" s="12" t="str">
        <f aca="false">IF(O300="","",IFERROR(AF300/O300*1000,0))</f>
        <v/>
      </c>
      <c r="AH300" s="11"/>
      <c r="AI300" s="11"/>
      <c r="AJ300" s="11"/>
      <c r="AK300" s="9"/>
      <c r="AL300" s="9"/>
      <c r="AM300" s="9"/>
    </row>
    <row r="301" customFormat="false" ht="15" hidden="false" customHeight="true" outlineLevel="0" collapsed="false">
      <c r="A301" s="6"/>
      <c r="B301" s="7"/>
      <c r="C301" s="8"/>
      <c r="D301" s="8"/>
      <c r="E301" s="8"/>
      <c r="F301" s="9"/>
      <c r="G301" s="8"/>
      <c r="H301" s="10" t="str">
        <f aca="false">IFERROR(INDEX('Operator Master'!$B$5:$B$504,MATCH(G301,'Operator Master'!$A$5:$A$504,0)),"")</f>
        <v/>
      </c>
      <c r="I301" s="9"/>
      <c r="J301" s="9"/>
      <c r="K301" s="8"/>
      <c r="L301" s="9"/>
      <c r="M301" s="9"/>
      <c r="N301" s="11"/>
      <c r="O301" s="11"/>
      <c r="P301" s="12" t="str">
        <f aca="false">IF(OR(N301="",O301=""),"",IFERROR(O301/N301*100,0))</f>
        <v/>
      </c>
      <c r="Q301" s="10" t="n">
        <v>8</v>
      </c>
      <c r="R301" s="12" t="str">
        <f aca="false">IF(J301="","",Q301*J301)</f>
        <v/>
      </c>
      <c r="S301" s="11"/>
      <c r="T301" s="12" t="str">
        <f aca="false">IF(OR(R301="",S301=""),"",IFERROR(S301/R301*100,0))</f>
        <v/>
      </c>
      <c r="U301" s="12" t="str">
        <f aca="false">IF(OR(O301="",L301="",M301="",S301="",M301=0),"",IFERROR(O301/(L301*60*S301/(M301*36))*100,0))</f>
        <v/>
      </c>
      <c r="V301" s="11"/>
      <c r="W301" s="12" t="str">
        <f aca="false">IF(O301="","",IFERROR(V301/O301*100,0))</f>
        <v/>
      </c>
      <c r="X301" s="11"/>
      <c r="Y301" s="11"/>
      <c r="Z301" s="11"/>
      <c r="AA301" s="11"/>
      <c r="AB301" s="11"/>
      <c r="AC301" s="11"/>
      <c r="AD301" s="11"/>
      <c r="AE301" s="11"/>
      <c r="AF301" s="12" t="str">
        <f aca="false">IF(O301="","",SUM(X301:AE301))</f>
        <v/>
      </c>
      <c r="AG301" s="12" t="str">
        <f aca="false">IF(O301="","",IFERROR(AF301/O301*1000,0))</f>
        <v/>
      </c>
      <c r="AH301" s="11"/>
      <c r="AI301" s="11"/>
      <c r="AJ301" s="11"/>
      <c r="AK301" s="9"/>
      <c r="AL301" s="9"/>
      <c r="AM301" s="9"/>
    </row>
    <row r="302" customFormat="false" ht="15" hidden="false" customHeight="true" outlineLevel="0" collapsed="false">
      <c r="A302" s="6"/>
      <c r="B302" s="7"/>
      <c r="C302" s="8"/>
      <c r="D302" s="8"/>
      <c r="E302" s="8"/>
      <c r="F302" s="9"/>
      <c r="G302" s="8"/>
      <c r="H302" s="10" t="str">
        <f aca="false">IFERROR(INDEX('Operator Master'!$B$5:$B$504,MATCH(G302,'Operator Master'!$A$5:$A$504,0)),"")</f>
        <v/>
      </c>
      <c r="I302" s="9"/>
      <c r="J302" s="9"/>
      <c r="K302" s="8"/>
      <c r="L302" s="9"/>
      <c r="M302" s="9"/>
      <c r="N302" s="11"/>
      <c r="O302" s="11"/>
      <c r="P302" s="12" t="str">
        <f aca="false">IF(OR(N302="",O302=""),"",IFERROR(O302/N302*100,0))</f>
        <v/>
      </c>
      <c r="Q302" s="10" t="n">
        <v>8</v>
      </c>
      <c r="R302" s="12" t="str">
        <f aca="false">IF(J302="","",Q302*J302)</f>
        <v/>
      </c>
      <c r="S302" s="11"/>
      <c r="T302" s="12" t="str">
        <f aca="false">IF(OR(R302="",S302=""),"",IFERROR(S302/R302*100,0))</f>
        <v/>
      </c>
      <c r="U302" s="12" t="str">
        <f aca="false">IF(OR(O302="",L302="",M302="",S302="",M302=0),"",IFERROR(O302/(L302*60*S302/(M302*36))*100,0))</f>
        <v/>
      </c>
      <c r="V302" s="11"/>
      <c r="W302" s="12" t="str">
        <f aca="false">IF(O302="","",IFERROR(V302/O302*100,0))</f>
        <v/>
      </c>
      <c r="X302" s="11"/>
      <c r="Y302" s="11"/>
      <c r="Z302" s="11"/>
      <c r="AA302" s="11"/>
      <c r="AB302" s="11"/>
      <c r="AC302" s="11"/>
      <c r="AD302" s="11"/>
      <c r="AE302" s="11"/>
      <c r="AF302" s="12" t="str">
        <f aca="false">IF(O302="","",SUM(X302:AE302))</f>
        <v/>
      </c>
      <c r="AG302" s="12" t="str">
        <f aca="false">IF(O302="","",IFERROR(AF302/O302*1000,0))</f>
        <v/>
      </c>
      <c r="AH302" s="11"/>
      <c r="AI302" s="11"/>
      <c r="AJ302" s="11"/>
      <c r="AK302" s="9"/>
      <c r="AL302" s="9"/>
      <c r="AM302" s="9"/>
    </row>
    <row r="303" customFormat="false" ht="15" hidden="false" customHeight="true" outlineLevel="0" collapsed="false">
      <c r="A303" s="6"/>
      <c r="B303" s="7"/>
      <c r="C303" s="8"/>
      <c r="D303" s="8"/>
      <c r="E303" s="8"/>
      <c r="F303" s="9"/>
      <c r="G303" s="8"/>
      <c r="H303" s="10" t="str">
        <f aca="false">IFERROR(INDEX('Operator Master'!$B$5:$B$504,MATCH(G303,'Operator Master'!$A$5:$A$504,0)),"")</f>
        <v/>
      </c>
      <c r="I303" s="9"/>
      <c r="J303" s="9"/>
      <c r="K303" s="8"/>
      <c r="L303" s="9"/>
      <c r="M303" s="9"/>
      <c r="N303" s="11"/>
      <c r="O303" s="11"/>
      <c r="P303" s="12" t="str">
        <f aca="false">IF(OR(N303="",O303=""),"",IFERROR(O303/N303*100,0))</f>
        <v/>
      </c>
      <c r="Q303" s="10" t="n">
        <v>8</v>
      </c>
      <c r="R303" s="12" t="str">
        <f aca="false">IF(J303="","",Q303*J303)</f>
        <v/>
      </c>
      <c r="S303" s="11"/>
      <c r="T303" s="12" t="str">
        <f aca="false">IF(OR(R303="",S303=""),"",IFERROR(S303/R303*100,0))</f>
        <v/>
      </c>
      <c r="U303" s="12" t="str">
        <f aca="false">IF(OR(O303="",L303="",M303="",S303="",M303=0),"",IFERROR(O303/(L303*60*S303/(M303*36))*100,0))</f>
        <v/>
      </c>
      <c r="V303" s="11"/>
      <c r="W303" s="12" t="str">
        <f aca="false">IF(O303="","",IFERROR(V303/O303*100,0))</f>
        <v/>
      </c>
      <c r="X303" s="11"/>
      <c r="Y303" s="11"/>
      <c r="Z303" s="11"/>
      <c r="AA303" s="11"/>
      <c r="AB303" s="11"/>
      <c r="AC303" s="11"/>
      <c r="AD303" s="11"/>
      <c r="AE303" s="11"/>
      <c r="AF303" s="12" t="str">
        <f aca="false">IF(O303="","",SUM(X303:AE303))</f>
        <v/>
      </c>
      <c r="AG303" s="12" t="str">
        <f aca="false">IF(O303="","",IFERROR(AF303/O303*1000,0))</f>
        <v/>
      </c>
      <c r="AH303" s="11"/>
      <c r="AI303" s="11"/>
      <c r="AJ303" s="11"/>
      <c r="AK303" s="9"/>
      <c r="AL303" s="9"/>
      <c r="AM303" s="9"/>
    </row>
    <row r="304" customFormat="false" ht="15" hidden="false" customHeight="true" outlineLevel="0" collapsed="false">
      <c r="A304" s="6"/>
      <c r="B304" s="7"/>
      <c r="C304" s="8"/>
      <c r="D304" s="8"/>
      <c r="E304" s="8"/>
      <c r="F304" s="9"/>
      <c r="G304" s="8"/>
      <c r="H304" s="10" t="str">
        <f aca="false">IFERROR(INDEX('Operator Master'!$B$5:$B$504,MATCH(G304,'Operator Master'!$A$5:$A$504,0)),"")</f>
        <v/>
      </c>
      <c r="I304" s="9"/>
      <c r="J304" s="9"/>
      <c r="K304" s="8"/>
      <c r="L304" s="9"/>
      <c r="M304" s="9"/>
      <c r="N304" s="11"/>
      <c r="O304" s="11"/>
      <c r="P304" s="12" t="str">
        <f aca="false">IF(OR(N304="",O304=""),"",IFERROR(O304/N304*100,0))</f>
        <v/>
      </c>
      <c r="Q304" s="10" t="n">
        <v>8</v>
      </c>
      <c r="R304" s="12" t="str">
        <f aca="false">IF(J304="","",Q304*J304)</f>
        <v/>
      </c>
      <c r="S304" s="11"/>
      <c r="T304" s="12" t="str">
        <f aca="false">IF(OR(R304="",S304=""),"",IFERROR(S304/R304*100,0))</f>
        <v/>
      </c>
      <c r="U304" s="12" t="str">
        <f aca="false">IF(OR(O304="",L304="",M304="",S304="",M304=0),"",IFERROR(O304/(L304*60*S304/(M304*36))*100,0))</f>
        <v/>
      </c>
      <c r="V304" s="11"/>
      <c r="W304" s="12" t="str">
        <f aca="false">IF(O304="","",IFERROR(V304/O304*100,0))</f>
        <v/>
      </c>
      <c r="X304" s="11"/>
      <c r="Y304" s="11"/>
      <c r="Z304" s="11"/>
      <c r="AA304" s="11"/>
      <c r="AB304" s="11"/>
      <c r="AC304" s="11"/>
      <c r="AD304" s="11"/>
      <c r="AE304" s="11"/>
      <c r="AF304" s="12" t="str">
        <f aca="false">IF(O304="","",SUM(X304:AE304))</f>
        <v/>
      </c>
      <c r="AG304" s="12" t="str">
        <f aca="false">IF(O304="","",IFERROR(AF304/O304*1000,0))</f>
        <v/>
      </c>
      <c r="AH304" s="11"/>
      <c r="AI304" s="11"/>
      <c r="AJ304" s="11"/>
      <c r="AK304" s="9"/>
      <c r="AL304" s="9"/>
      <c r="AM304" s="9"/>
    </row>
    <row r="305" customFormat="false" ht="15" hidden="false" customHeight="true" outlineLevel="0" collapsed="false">
      <c r="A305" s="6"/>
      <c r="B305" s="7"/>
      <c r="C305" s="8"/>
      <c r="D305" s="8"/>
      <c r="E305" s="8"/>
      <c r="F305" s="9"/>
      <c r="G305" s="8"/>
      <c r="H305" s="10" t="str">
        <f aca="false">IFERROR(INDEX('Operator Master'!$B$5:$B$504,MATCH(G305,'Operator Master'!$A$5:$A$504,0)),"")</f>
        <v/>
      </c>
      <c r="I305" s="9"/>
      <c r="J305" s="9"/>
      <c r="K305" s="8"/>
      <c r="L305" s="9"/>
      <c r="M305" s="9"/>
      <c r="N305" s="11"/>
      <c r="O305" s="11"/>
      <c r="P305" s="12" t="str">
        <f aca="false">IF(OR(N305="",O305=""),"",IFERROR(O305/N305*100,0))</f>
        <v/>
      </c>
      <c r="Q305" s="10" t="n">
        <v>8</v>
      </c>
      <c r="R305" s="12" t="str">
        <f aca="false">IF(J305="","",Q305*J305)</f>
        <v/>
      </c>
      <c r="S305" s="11"/>
      <c r="T305" s="12" t="str">
        <f aca="false">IF(OR(R305="",S305=""),"",IFERROR(S305/R305*100,0))</f>
        <v/>
      </c>
      <c r="U305" s="12" t="str">
        <f aca="false">IF(OR(O305="",L305="",M305="",S305="",M305=0),"",IFERROR(O305/(L305*60*S305/(M305*36))*100,0))</f>
        <v/>
      </c>
      <c r="V305" s="11"/>
      <c r="W305" s="12" t="str">
        <f aca="false">IF(O305="","",IFERROR(V305/O305*100,0))</f>
        <v/>
      </c>
      <c r="X305" s="11"/>
      <c r="Y305" s="11"/>
      <c r="Z305" s="11"/>
      <c r="AA305" s="11"/>
      <c r="AB305" s="11"/>
      <c r="AC305" s="11"/>
      <c r="AD305" s="11"/>
      <c r="AE305" s="11"/>
      <c r="AF305" s="12" t="str">
        <f aca="false">IF(O305="","",SUM(X305:AE305))</f>
        <v/>
      </c>
      <c r="AG305" s="12" t="str">
        <f aca="false">IF(O305="","",IFERROR(AF305/O305*1000,0))</f>
        <v/>
      </c>
      <c r="AH305" s="11"/>
      <c r="AI305" s="11"/>
      <c r="AJ305" s="11"/>
      <c r="AK305" s="9"/>
      <c r="AL305" s="9"/>
      <c r="AM305" s="9"/>
    </row>
    <row r="306" customFormat="false" ht="15" hidden="false" customHeight="true" outlineLevel="0" collapsed="false">
      <c r="A306" s="6"/>
      <c r="B306" s="7"/>
      <c r="C306" s="8"/>
      <c r="D306" s="8"/>
      <c r="E306" s="8"/>
      <c r="F306" s="9"/>
      <c r="G306" s="8"/>
      <c r="H306" s="10" t="str">
        <f aca="false">IFERROR(INDEX('Operator Master'!$B$5:$B$504,MATCH(G306,'Operator Master'!$A$5:$A$504,0)),"")</f>
        <v/>
      </c>
      <c r="I306" s="9"/>
      <c r="J306" s="9"/>
      <c r="K306" s="8"/>
      <c r="L306" s="9"/>
      <c r="M306" s="9"/>
      <c r="N306" s="11"/>
      <c r="O306" s="11"/>
      <c r="P306" s="12" t="str">
        <f aca="false">IF(OR(N306="",O306=""),"",IFERROR(O306/N306*100,0))</f>
        <v/>
      </c>
      <c r="Q306" s="10" t="n">
        <v>8</v>
      </c>
      <c r="R306" s="12" t="str">
        <f aca="false">IF(J306="","",Q306*J306)</f>
        <v/>
      </c>
      <c r="S306" s="11"/>
      <c r="T306" s="12" t="str">
        <f aca="false">IF(OR(R306="",S306=""),"",IFERROR(S306/R306*100,0))</f>
        <v/>
      </c>
      <c r="U306" s="12" t="str">
        <f aca="false">IF(OR(O306="",L306="",M306="",S306="",M306=0),"",IFERROR(O306/(L306*60*S306/(M306*36))*100,0))</f>
        <v/>
      </c>
      <c r="V306" s="11"/>
      <c r="W306" s="12" t="str">
        <f aca="false">IF(O306="","",IFERROR(V306/O306*100,0))</f>
        <v/>
      </c>
      <c r="X306" s="11"/>
      <c r="Y306" s="11"/>
      <c r="Z306" s="11"/>
      <c r="AA306" s="11"/>
      <c r="AB306" s="11"/>
      <c r="AC306" s="11"/>
      <c r="AD306" s="11"/>
      <c r="AE306" s="11"/>
      <c r="AF306" s="12" t="str">
        <f aca="false">IF(O306="","",SUM(X306:AE306))</f>
        <v/>
      </c>
      <c r="AG306" s="12" t="str">
        <f aca="false">IF(O306="","",IFERROR(AF306/O306*1000,0))</f>
        <v/>
      </c>
      <c r="AH306" s="11"/>
      <c r="AI306" s="11"/>
      <c r="AJ306" s="11"/>
      <c r="AK306" s="9"/>
      <c r="AL306" s="9"/>
      <c r="AM306" s="9"/>
    </row>
    <row r="307" customFormat="false" ht="15" hidden="false" customHeight="true" outlineLevel="0" collapsed="false">
      <c r="A307" s="6"/>
      <c r="B307" s="7"/>
      <c r="C307" s="8"/>
      <c r="D307" s="8"/>
      <c r="E307" s="8"/>
      <c r="F307" s="9"/>
      <c r="G307" s="8"/>
      <c r="H307" s="10" t="str">
        <f aca="false">IFERROR(INDEX('Operator Master'!$B$5:$B$504,MATCH(G307,'Operator Master'!$A$5:$A$504,0)),"")</f>
        <v/>
      </c>
      <c r="I307" s="9"/>
      <c r="J307" s="9"/>
      <c r="K307" s="8"/>
      <c r="L307" s="9"/>
      <c r="M307" s="9"/>
      <c r="N307" s="11"/>
      <c r="O307" s="11"/>
      <c r="P307" s="12" t="str">
        <f aca="false">IF(OR(N307="",O307=""),"",IFERROR(O307/N307*100,0))</f>
        <v/>
      </c>
      <c r="Q307" s="10" t="n">
        <v>8</v>
      </c>
      <c r="R307" s="12" t="str">
        <f aca="false">IF(J307="","",Q307*J307)</f>
        <v/>
      </c>
      <c r="S307" s="11"/>
      <c r="T307" s="12" t="str">
        <f aca="false">IF(OR(R307="",S307=""),"",IFERROR(S307/R307*100,0))</f>
        <v/>
      </c>
      <c r="U307" s="12" t="str">
        <f aca="false">IF(OR(O307="",L307="",M307="",S307="",M307=0),"",IFERROR(O307/(L307*60*S307/(M307*36))*100,0))</f>
        <v/>
      </c>
      <c r="V307" s="11"/>
      <c r="W307" s="12" t="str">
        <f aca="false">IF(O307="","",IFERROR(V307/O307*100,0))</f>
        <v/>
      </c>
      <c r="X307" s="11"/>
      <c r="Y307" s="11"/>
      <c r="Z307" s="11"/>
      <c r="AA307" s="11"/>
      <c r="AB307" s="11"/>
      <c r="AC307" s="11"/>
      <c r="AD307" s="11"/>
      <c r="AE307" s="11"/>
      <c r="AF307" s="12" t="str">
        <f aca="false">IF(O307="","",SUM(X307:AE307))</f>
        <v/>
      </c>
      <c r="AG307" s="12" t="str">
        <f aca="false">IF(O307="","",IFERROR(AF307/O307*1000,0))</f>
        <v/>
      </c>
      <c r="AH307" s="11"/>
      <c r="AI307" s="11"/>
      <c r="AJ307" s="11"/>
      <c r="AK307" s="9"/>
      <c r="AL307" s="9"/>
      <c r="AM307" s="9"/>
    </row>
    <row r="308" customFormat="false" ht="15" hidden="false" customHeight="true" outlineLevel="0" collapsed="false">
      <c r="A308" s="6"/>
      <c r="B308" s="7"/>
      <c r="C308" s="8"/>
      <c r="D308" s="8"/>
      <c r="E308" s="8"/>
      <c r="F308" s="9"/>
      <c r="G308" s="8"/>
      <c r="H308" s="10" t="str">
        <f aca="false">IFERROR(INDEX('Operator Master'!$B$5:$B$504,MATCH(G308,'Operator Master'!$A$5:$A$504,0)),"")</f>
        <v/>
      </c>
      <c r="I308" s="9"/>
      <c r="J308" s="9"/>
      <c r="K308" s="8"/>
      <c r="L308" s="9"/>
      <c r="M308" s="9"/>
      <c r="N308" s="11"/>
      <c r="O308" s="11"/>
      <c r="P308" s="12" t="str">
        <f aca="false">IF(OR(N308="",O308=""),"",IFERROR(O308/N308*100,0))</f>
        <v/>
      </c>
      <c r="Q308" s="10" t="n">
        <v>8</v>
      </c>
      <c r="R308" s="12" t="str">
        <f aca="false">IF(J308="","",Q308*J308)</f>
        <v/>
      </c>
      <c r="S308" s="11"/>
      <c r="T308" s="12" t="str">
        <f aca="false">IF(OR(R308="",S308=""),"",IFERROR(S308/R308*100,0))</f>
        <v/>
      </c>
      <c r="U308" s="12" t="str">
        <f aca="false">IF(OR(O308="",L308="",M308="",S308="",M308=0),"",IFERROR(O308/(L308*60*S308/(M308*36))*100,0))</f>
        <v/>
      </c>
      <c r="V308" s="11"/>
      <c r="W308" s="12" t="str">
        <f aca="false">IF(O308="","",IFERROR(V308/O308*100,0))</f>
        <v/>
      </c>
      <c r="X308" s="11"/>
      <c r="Y308" s="11"/>
      <c r="Z308" s="11"/>
      <c r="AA308" s="11"/>
      <c r="AB308" s="11"/>
      <c r="AC308" s="11"/>
      <c r="AD308" s="11"/>
      <c r="AE308" s="11"/>
      <c r="AF308" s="12" t="str">
        <f aca="false">IF(O308="","",SUM(X308:AE308))</f>
        <v/>
      </c>
      <c r="AG308" s="12" t="str">
        <f aca="false">IF(O308="","",IFERROR(AF308/O308*1000,0))</f>
        <v/>
      </c>
      <c r="AH308" s="11"/>
      <c r="AI308" s="11"/>
      <c r="AJ308" s="11"/>
      <c r="AK308" s="9"/>
      <c r="AL308" s="9"/>
      <c r="AM308" s="9"/>
    </row>
    <row r="309" customFormat="false" ht="15" hidden="false" customHeight="true" outlineLevel="0" collapsed="false">
      <c r="A309" s="6"/>
      <c r="B309" s="7"/>
      <c r="C309" s="8"/>
      <c r="D309" s="8"/>
      <c r="E309" s="8"/>
      <c r="F309" s="9"/>
      <c r="G309" s="8"/>
      <c r="H309" s="10" t="str">
        <f aca="false">IFERROR(INDEX('Operator Master'!$B$5:$B$504,MATCH(G309,'Operator Master'!$A$5:$A$504,0)),"")</f>
        <v/>
      </c>
      <c r="I309" s="9"/>
      <c r="J309" s="9"/>
      <c r="K309" s="8"/>
      <c r="L309" s="9"/>
      <c r="M309" s="9"/>
      <c r="N309" s="11"/>
      <c r="O309" s="11"/>
      <c r="P309" s="12" t="str">
        <f aca="false">IF(OR(N309="",O309=""),"",IFERROR(O309/N309*100,0))</f>
        <v/>
      </c>
      <c r="Q309" s="10" t="n">
        <v>8</v>
      </c>
      <c r="R309" s="12" t="str">
        <f aca="false">IF(J309="","",Q309*J309)</f>
        <v/>
      </c>
      <c r="S309" s="11"/>
      <c r="T309" s="12" t="str">
        <f aca="false">IF(OR(R309="",S309=""),"",IFERROR(S309/R309*100,0))</f>
        <v/>
      </c>
      <c r="U309" s="12" t="str">
        <f aca="false">IF(OR(O309="",L309="",M309="",S309="",M309=0),"",IFERROR(O309/(L309*60*S309/(M309*36))*100,0))</f>
        <v/>
      </c>
      <c r="V309" s="11"/>
      <c r="W309" s="12" t="str">
        <f aca="false">IF(O309="","",IFERROR(V309/O309*100,0))</f>
        <v/>
      </c>
      <c r="X309" s="11"/>
      <c r="Y309" s="11"/>
      <c r="Z309" s="11"/>
      <c r="AA309" s="11"/>
      <c r="AB309" s="11"/>
      <c r="AC309" s="11"/>
      <c r="AD309" s="11"/>
      <c r="AE309" s="11"/>
      <c r="AF309" s="12" t="str">
        <f aca="false">IF(O309="","",SUM(X309:AE309))</f>
        <v/>
      </c>
      <c r="AG309" s="12" t="str">
        <f aca="false">IF(O309="","",IFERROR(AF309/O309*1000,0))</f>
        <v/>
      </c>
      <c r="AH309" s="11"/>
      <c r="AI309" s="11"/>
      <c r="AJ309" s="11"/>
      <c r="AK309" s="9"/>
      <c r="AL309" s="9"/>
      <c r="AM309" s="9"/>
    </row>
    <row r="310" customFormat="false" ht="15" hidden="false" customHeight="true" outlineLevel="0" collapsed="false">
      <c r="A310" s="6"/>
      <c r="B310" s="7"/>
      <c r="C310" s="8"/>
      <c r="D310" s="8"/>
      <c r="E310" s="8"/>
      <c r="F310" s="9"/>
      <c r="G310" s="8"/>
      <c r="H310" s="10" t="str">
        <f aca="false">IFERROR(INDEX('Operator Master'!$B$5:$B$504,MATCH(G310,'Operator Master'!$A$5:$A$504,0)),"")</f>
        <v/>
      </c>
      <c r="I310" s="9"/>
      <c r="J310" s="9"/>
      <c r="K310" s="8"/>
      <c r="L310" s="9"/>
      <c r="M310" s="9"/>
      <c r="N310" s="11"/>
      <c r="O310" s="11"/>
      <c r="P310" s="12" t="str">
        <f aca="false">IF(OR(N310="",O310=""),"",IFERROR(O310/N310*100,0))</f>
        <v/>
      </c>
      <c r="Q310" s="10" t="n">
        <v>8</v>
      </c>
      <c r="R310" s="12" t="str">
        <f aca="false">IF(J310="","",Q310*J310)</f>
        <v/>
      </c>
      <c r="S310" s="11"/>
      <c r="T310" s="12" t="str">
        <f aca="false">IF(OR(R310="",S310=""),"",IFERROR(S310/R310*100,0))</f>
        <v/>
      </c>
      <c r="U310" s="12" t="str">
        <f aca="false">IF(OR(O310="",L310="",M310="",S310="",M310=0),"",IFERROR(O310/(L310*60*S310/(M310*36))*100,0))</f>
        <v/>
      </c>
      <c r="V310" s="11"/>
      <c r="W310" s="12" t="str">
        <f aca="false">IF(O310="","",IFERROR(V310/O310*100,0))</f>
        <v/>
      </c>
      <c r="X310" s="11"/>
      <c r="Y310" s="11"/>
      <c r="Z310" s="11"/>
      <c r="AA310" s="11"/>
      <c r="AB310" s="11"/>
      <c r="AC310" s="11"/>
      <c r="AD310" s="11"/>
      <c r="AE310" s="11"/>
      <c r="AF310" s="12" t="str">
        <f aca="false">IF(O310="","",SUM(X310:AE310))</f>
        <v/>
      </c>
      <c r="AG310" s="12" t="str">
        <f aca="false">IF(O310="","",IFERROR(AF310/O310*1000,0))</f>
        <v/>
      </c>
      <c r="AH310" s="11"/>
      <c r="AI310" s="11"/>
      <c r="AJ310" s="11"/>
      <c r="AK310" s="9"/>
      <c r="AL310" s="9"/>
      <c r="AM310" s="9"/>
    </row>
    <row r="311" customFormat="false" ht="15" hidden="false" customHeight="true" outlineLevel="0" collapsed="false">
      <c r="A311" s="6"/>
      <c r="B311" s="7"/>
      <c r="C311" s="8"/>
      <c r="D311" s="8"/>
      <c r="E311" s="8"/>
      <c r="F311" s="9"/>
      <c r="G311" s="8"/>
      <c r="H311" s="10" t="str">
        <f aca="false">IFERROR(INDEX('Operator Master'!$B$5:$B$504,MATCH(G311,'Operator Master'!$A$5:$A$504,0)),"")</f>
        <v/>
      </c>
      <c r="I311" s="9"/>
      <c r="J311" s="9"/>
      <c r="K311" s="8"/>
      <c r="L311" s="9"/>
      <c r="M311" s="9"/>
      <c r="N311" s="11"/>
      <c r="O311" s="11"/>
      <c r="P311" s="12" t="str">
        <f aca="false">IF(OR(N311="",O311=""),"",IFERROR(O311/N311*100,0))</f>
        <v/>
      </c>
      <c r="Q311" s="10" t="n">
        <v>8</v>
      </c>
      <c r="R311" s="12" t="str">
        <f aca="false">IF(J311="","",Q311*J311)</f>
        <v/>
      </c>
      <c r="S311" s="11"/>
      <c r="T311" s="12" t="str">
        <f aca="false">IF(OR(R311="",S311=""),"",IFERROR(S311/R311*100,0))</f>
        <v/>
      </c>
      <c r="U311" s="12" t="str">
        <f aca="false">IF(OR(O311="",L311="",M311="",S311="",M311=0),"",IFERROR(O311/(L311*60*S311/(M311*36))*100,0))</f>
        <v/>
      </c>
      <c r="V311" s="11"/>
      <c r="W311" s="12" t="str">
        <f aca="false">IF(O311="","",IFERROR(V311/O311*100,0))</f>
        <v/>
      </c>
      <c r="X311" s="11"/>
      <c r="Y311" s="11"/>
      <c r="Z311" s="11"/>
      <c r="AA311" s="11"/>
      <c r="AB311" s="11"/>
      <c r="AC311" s="11"/>
      <c r="AD311" s="11"/>
      <c r="AE311" s="11"/>
      <c r="AF311" s="12" t="str">
        <f aca="false">IF(O311="","",SUM(X311:AE311))</f>
        <v/>
      </c>
      <c r="AG311" s="12" t="str">
        <f aca="false">IF(O311="","",IFERROR(AF311/O311*1000,0))</f>
        <v/>
      </c>
      <c r="AH311" s="11"/>
      <c r="AI311" s="11"/>
      <c r="AJ311" s="11"/>
      <c r="AK311" s="9"/>
      <c r="AL311" s="9"/>
      <c r="AM311" s="9"/>
    </row>
    <row r="312" customFormat="false" ht="15" hidden="false" customHeight="true" outlineLevel="0" collapsed="false">
      <c r="A312" s="6"/>
      <c r="B312" s="7"/>
      <c r="C312" s="8"/>
      <c r="D312" s="8"/>
      <c r="E312" s="8"/>
      <c r="F312" s="9"/>
      <c r="G312" s="8"/>
      <c r="H312" s="10" t="str">
        <f aca="false">IFERROR(INDEX('Operator Master'!$B$5:$B$504,MATCH(G312,'Operator Master'!$A$5:$A$504,0)),"")</f>
        <v/>
      </c>
      <c r="I312" s="9"/>
      <c r="J312" s="9"/>
      <c r="K312" s="8"/>
      <c r="L312" s="9"/>
      <c r="M312" s="9"/>
      <c r="N312" s="11"/>
      <c r="O312" s="11"/>
      <c r="P312" s="12" t="str">
        <f aca="false">IF(OR(N312="",O312=""),"",IFERROR(O312/N312*100,0))</f>
        <v/>
      </c>
      <c r="Q312" s="10" t="n">
        <v>8</v>
      </c>
      <c r="R312" s="12" t="str">
        <f aca="false">IF(J312="","",Q312*J312)</f>
        <v/>
      </c>
      <c r="S312" s="11"/>
      <c r="T312" s="12" t="str">
        <f aca="false">IF(OR(R312="",S312=""),"",IFERROR(S312/R312*100,0))</f>
        <v/>
      </c>
      <c r="U312" s="12" t="str">
        <f aca="false">IF(OR(O312="",L312="",M312="",S312="",M312=0),"",IFERROR(O312/(L312*60*S312/(M312*36))*100,0))</f>
        <v/>
      </c>
      <c r="V312" s="11"/>
      <c r="W312" s="12" t="str">
        <f aca="false">IF(O312="","",IFERROR(V312/O312*100,0))</f>
        <v/>
      </c>
      <c r="X312" s="11"/>
      <c r="Y312" s="11"/>
      <c r="Z312" s="11"/>
      <c r="AA312" s="11"/>
      <c r="AB312" s="11"/>
      <c r="AC312" s="11"/>
      <c r="AD312" s="11"/>
      <c r="AE312" s="11"/>
      <c r="AF312" s="12" t="str">
        <f aca="false">IF(O312="","",SUM(X312:AE312))</f>
        <v/>
      </c>
      <c r="AG312" s="12" t="str">
        <f aca="false">IF(O312="","",IFERROR(AF312/O312*1000,0))</f>
        <v/>
      </c>
      <c r="AH312" s="11"/>
      <c r="AI312" s="11"/>
      <c r="AJ312" s="11"/>
      <c r="AK312" s="9"/>
      <c r="AL312" s="9"/>
      <c r="AM312" s="9"/>
    </row>
    <row r="313" customFormat="false" ht="15" hidden="false" customHeight="true" outlineLevel="0" collapsed="false">
      <c r="A313" s="6"/>
      <c r="B313" s="7"/>
      <c r="C313" s="8"/>
      <c r="D313" s="8"/>
      <c r="E313" s="8"/>
      <c r="F313" s="9"/>
      <c r="G313" s="8"/>
      <c r="H313" s="10" t="str">
        <f aca="false">IFERROR(INDEX('Operator Master'!$B$5:$B$504,MATCH(G313,'Operator Master'!$A$5:$A$504,0)),"")</f>
        <v/>
      </c>
      <c r="I313" s="9"/>
      <c r="J313" s="9"/>
      <c r="K313" s="8"/>
      <c r="L313" s="9"/>
      <c r="M313" s="9"/>
      <c r="N313" s="11"/>
      <c r="O313" s="11"/>
      <c r="P313" s="12" t="str">
        <f aca="false">IF(OR(N313="",O313=""),"",IFERROR(O313/N313*100,0))</f>
        <v/>
      </c>
      <c r="Q313" s="10" t="n">
        <v>8</v>
      </c>
      <c r="R313" s="12" t="str">
        <f aca="false">IF(J313="","",Q313*J313)</f>
        <v/>
      </c>
      <c r="S313" s="11"/>
      <c r="T313" s="12" t="str">
        <f aca="false">IF(OR(R313="",S313=""),"",IFERROR(S313/R313*100,0))</f>
        <v/>
      </c>
      <c r="U313" s="12" t="str">
        <f aca="false">IF(OR(O313="",L313="",M313="",S313="",M313=0),"",IFERROR(O313/(L313*60*S313/(M313*36))*100,0))</f>
        <v/>
      </c>
      <c r="V313" s="11"/>
      <c r="W313" s="12" t="str">
        <f aca="false">IF(O313="","",IFERROR(V313/O313*100,0))</f>
        <v/>
      </c>
      <c r="X313" s="11"/>
      <c r="Y313" s="11"/>
      <c r="Z313" s="11"/>
      <c r="AA313" s="11"/>
      <c r="AB313" s="11"/>
      <c r="AC313" s="11"/>
      <c r="AD313" s="11"/>
      <c r="AE313" s="11"/>
      <c r="AF313" s="12" t="str">
        <f aca="false">IF(O313="","",SUM(X313:AE313))</f>
        <v/>
      </c>
      <c r="AG313" s="12" t="str">
        <f aca="false">IF(O313="","",IFERROR(AF313/O313*1000,0))</f>
        <v/>
      </c>
      <c r="AH313" s="11"/>
      <c r="AI313" s="11"/>
      <c r="AJ313" s="11"/>
      <c r="AK313" s="9"/>
      <c r="AL313" s="9"/>
      <c r="AM313" s="9"/>
    </row>
    <row r="314" customFormat="false" ht="15" hidden="false" customHeight="true" outlineLevel="0" collapsed="false">
      <c r="A314" s="6"/>
      <c r="B314" s="7"/>
      <c r="C314" s="8"/>
      <c r="D314" s="8"/>
      <c r="E314" s="8"/>
      <c r="F314" s="9"/>
      <c r="G314" s="8"/>
      <c r="H314" s="10" t="str">
        <f aca="false">IFERROR(INDEX('Operator Master'!$B$5:$B$504,MATCH(G314,'Operator Master'!$A$5:$A$504,0)),"")</f>
        <v/>
      </c>
      <c r="I314" s="9"/>
      <c r="J314" s="9"/>
      <c r="K314" s="8"/>
      <c r="L314" s="9"/>
      <c r="M314" s="9"/>
      <c r="N314" s="11"/>
      <c r="O314" s="11"/>
      <c r="P314" s="12" t="str">
        <f aca="false">IF(OR(N314="",O314=""),"",IFERROR(O314/N314*100,0))</f>
        <v/>
      </c>
      <c r="Q314" s="10" t="n">
        <v>8</v>
      </c>
      <c r="R314" s="12" t="str">
        <f aca="false">IF(J314="","",Q314*J314)</f>
        <v/>
      </c>
      <c r="S314" s="11"/>
      <c r="T314" s="12" t="str">
        <f aca="false">IF(OR(R314="",S314=""),"",IFERROR(S314/R314*100,0))</f>
        <v/>
      </c>
      <c r="U314" s="12" t="str">
        <f aca="false">IF(OR(O314="",L314="",M314="",S314="",M314=0),"",IFERROR(O314/(L314*60*S314/(M314*36))*100,0))</f>
        <v/>
      </c>
      <c r="V314" s="11"/>
      <c r="W314" s="12" t="str">
        <f aca="false">IF(O314="","",IFERROR(V314/O314*100,0))</f>
        <v/>
      </c>
      <c r="X314" s="11"/>
      <c r="Y314" s="11"/>
      <c r="Z314" s="11"/>
      <c r="AA314" s="11"/>
      <c r="AB314" s="11"/>
      <c r="AC314" s="11"/>
      <c r="AD314" s="11"/>
      <c r="AE314" s="11"/>
      <c r="AF314" s="12" t="str">
        <f aca="false">IF(O314="","",SUM(X314:AE314))</f>
        <v/>
      </c>
      <c r="AG314" s="12" t="str">
        <f aca="false">IF(O314="","",IFERROR(AF314/O314*1000,0))</f>
        <v/>
      </c>
      <c r="AH314" s="11"/>
      <c r="AI314" s="11"/>
      <c r="AJ314" s="11"/>
      <c r="AK314" s="9"/>
      <c r="AL314" s="9"/>
      <c r="AM314" s="9"/>
    </row>
    <row r="315" customFormat="false" ht="15" hidden="false" customHeight="true" outlineLevel="0" collapsed="false">
      <c r="A315" s="6"/>
      <c r="B315" s="7"/>
      <c r="C315" s="8"/>
      <c r="D315" s="8"/>
      <c r="E315" s="8"/>
      <c r="F315" s="9"/>
      <c r="G315" s="8"/>
      <c r="H315" s="10" t="str">
        <f aca="false">IFERROR(INDEX('Operator Master'!$B$5:$B$504,MATCH(G315,'Operator Master'!$A$5:$A$504,0)),"")</f>
        <v/>
      </c>
      <c r="I315" s="9"/>
      <c r="J315" s="9"/>
      <c r="K315" s="8"/>
      <c r="L315" s="9"/>
      <c r="M315" s="9"/>
      <c r="N315" s="11"/>
      <c r="O315" s="11"/>
      <c r="P315" s="12" t="str">
        <f aca="false">IF(OR(N315="",O315=""),"",IFERROR(O315/N315*100,0))</f>
        <v/>
      </c>
      <c r="Q315" s="10" t="n">
        <v>8</v>
      </c>
      <c r="R315" s="12" t="str">
        <f aca="false">IF(J315="","",Q315*J315)</f>
        <v/>
      </c>
      <c r="S315" s="11"/>
      <c r="T315" s="12" t="str">
        <f aca="false">IF(OR(R315="",S315=""),"",IFERROR(S315/R315*100,0))</f>
        <v/>
      </c>
      <c r="U315" s="12" t="str">
        <f aca="false">IF(OR(O315="",L315="",M315="",S315="",M315=0),"",IFERROR(O315/(L315*60*S315/(M315*36))*100,0))</f>
        <v/>
      </c>
      <c r="V315" s="11"/>
      <c r="W315" s="12" t="str">
        <f aca="false">IF(O315="","",IFERROR(V315/O315*100,0))</f>
        <v/>
      </c>
      <c r="X315" s="11"/>
      <c r="Y315" s="11"/>
      <c r="Z315" s="11"/>
      <c r="AA315" s="11"/>
      <c r="AB315" s="11"/>
      <c r="AC315" s="11"/>
      <c r="AD315" s="11"/>
      <c r="AE315" s="11"/>
      <c r="AF315" s="12" t="str">
        <f aca="false">IF(O315="","",SUM(X315:AE315))</f>
        <v/>
      </c>
      <c r="AG315" s="12" t="str">
        <f aca="false">IF(O315="","",IFERROR(AF315/O315*1000,0))</f>
        <v/>
      </c>
      <c r="AH315" s="11"/>
      <c r="AI315" s="11"/>
      <c r="AJ315" s="11"/>
      <c r="AK315" s="9"/>
      <c r="AL315" s="9"/>
      <c r="AM315" s="9"/>
    </row>
    <row r="316" customFormat="false" ht="15" hidden="false" customHeight="true" outlineLevel="0" collapsed="false">
      <c r="A316" s="6"/>
      <c r="B316" s="7"/>
      <c r="C316" s="8"/>
      <c r="D316" s="8"/>
      <c r="E316" s="8"/>
      <c r="F316" s="9"/>
      <c r="G316" s="8"/>
      <c r="H316" s="10" t="str">
        <f aca="false">IFERROR(INDEX('Operator Master'!$B$5:$B$504,MATCH(G316,'Operator Master'!$A$5:$A$504,0)),"")</f>
        <v/>
      </c>
      <c r="I316" s="9"/>
      <c r="J316" s="9"/>
      <c r="K316" s="8"/>
      <c r="L316" s="9"/>
      <c r="M316" s="9"/>
      <c r="N316" s="11"/>
      <c r="O316" s="11"/>
      <c r="P316" s="12" t="str">
        <f aca="false">IF(OR(N316="",O316=""),"",IFERROR(O316/N316*100,0))</f>
        <v/>
      </c>
      <c r="Q316" s="10" t="n">
        <v>8</v>
      </c>
      <c r="R316" s="12" t="str">
        <f aca="false">IF(J316="","",Q316*J316)</f>
        <v/>
      </c>
      <c r="S316" s="11"/>
      <c r="T316" s="12" t="str">
        <f aca="false">IF(OR(R316="",S316=""),"",IFERROR(S316/R316*100,0))</f>
        <v/>
      </c>
      <c r="U316" s="12" t="str">
        <f aca="false">IF(OR(O316="",L316="",M316="",S316="",M316=0),"",IFERROR(O316/(L316*60*S316/(M316*36))*100,0))</f>
        <v/>
      </c>
      <c r="V316" s="11"/>
      <c r="W316" s="12" t="str">
        <f aca="false">IF(O316="","",IFERROR(V316/O316*100,0))</f>
        <v/>
      </c>
      <c r="X316" s="11"/>
      <c r="Y316" s="11"/>
      <c r="Z316" s="11"/>
      <c r="AA316" s="11"/>
      <c r="AB316" s="11"/>
      <c r="AC316" s="11"/>
      <c r="AD316" s="11"/>
      <c r="AE316" s="11"/>
      <c r="AF316" s="12" t="str">
        <f aca="false">IF(O316="","",SUM(X316:AE316))</f>
        <v/>
      </c>
      <c r="AG316" s="12" t="str">
        <f aca="false">IF(O316="","",IFERROR(AF316/O316*1000,0))</f>
        <v/>
      </c>
      <c r="AH316" s="11"/>
      <c r="AI316" s="11"/>
      <c r="AJ316" s="11"/>
      <c r="AK316" s="9"/>
      <c r="AL316" s="9"/>
      <c r="AM316" s="9"/>
    </row>
    <row r="317" customFormat="false" ht="15" hidden="false" customHeight="true" outlineLevel="0" collapsed="false">
      <c r="A317" s="6"/>
      <c r="B317" s="7"/>
      <c r="C317" s="8"/>
      <c r="D317" s="8"/>
      <c r="E317" s="8"/>
      <c r="F317" s="9"/>
      <c r="G317" s="8"/>
      <c r="H317" s="10" t="str">
        <f aca="false">IFERROR(INDEX('Operator Master'!$B$5:$B$504,MATCH(G317,'Operator Master'!$A$5:$A$504,0)),"")</f>
        <v/>
      </c>
      <c r="I317" s="9"/>
      <c r="J317" s="9"/>
      <c r="K317" s="8"/>
      <c r="L317" s="9"/>
      <c r="M317" s="9"/>
      <c r="N317" s="11"/>
      <c r="O317" s="11"/>
      <c r="P317" s="12" t="str">
        <f aca="false">IF(OR(N317="",O317=""),"",IFERROR(O317/N317*100,0))</f>
        <v/>
      </c>
      <c r="Q317" s="10" t="n">
        <v>8</v>
      </c>
      <c r="R317" s="12" t="str">
        <f aca="false">IF(J317="","",Q317*J317)</f>
        <v/>
      </c>
      <c r="S317" s="11"/>
      <c r="T317" s="12" t="str">
        <f aca="false">IF(OR(R317="",S317=""),"",IFERROR(S317/R317*100,0))</f>
        <v/>
      </c>
      <c r="U317" s="12" t="str">
        <f aca="false">IF(OR(O317="",L317="",M317="",S317="",M317=0),"",IFERROR(O317/(L317*60*S317/(M317*36))*100,0))</f>
        <v/>
      </c>
      <c r="V317" s="11"/>
      <c r="W317" s="12" t="str">
        <f aca="false">IF(O317="","",IFERROR(V317/O317*100,0))</f>
        <v/>
      </c>
      <c r="X317" s="11"/>
      <c r="Y317" s="11"/>
      <c r="Z317" s="11"/>
      <c r="AA317" s="11"/>
      <c r="AB317" s="11"/>
      <c r="AC317" s="11"/>
      <c r="AD317" s="11"/>
      <c r="AE317" s="11"/>
      <c r="AF317" s="12" t="str">
        <f aca="false">IF(O317="","",SUM(X317:AE317))</f>
        <v/>
      </c>
      <c r="AG317" s="12" t="str">
        <f aca="false">IF(O317="","",IFERROR(AF317/O317*1000,0))</f>
        <v/>
      </c>
      <c r="AH317" s="11"/>
      <c r="AI317" s="11"/>
      <c r="AJ317" s="11"/>
      <c r="AK317" s="9"/>
      <c r="AL317" s="9"/>
      <c r="AM317" s="9"/>
    </row>
    <row r="318" customFormat="false" ht="15" hidden="false" customHeight="true" outlineLevel="0" collapsed="false">
      <c r="A318" s="6"/>
      <c r="B318" s="7"/>
      <c r="C318" s="8"/>
      <c r="D318" s="8"/>
      <c r="E318" s="8"/>
      <c r="F318" s="9"/>
      <c r="G318" s="8"/>
      <c r="H318" s="10" t="str">
        <f aca="false">IFERROR(INDEX('Operator Master'!$B$5:$B$504,MATCH(G318,'Operator Master'!$A$5:$A$504,0)),"")</f>
        <v/>
      </c>
      <c r="I318" s="9"/>
      <c r="J318" s="9"/>
      <c r="K318" s="8"/>
      <c r="L318" s="9"/>
      <c r="M318" s="9"/>
      <c r="N318" s="11"/>
      <c r="O318" s="11"/>
      <c r="P318" s="12" t="str">
        <f aca="false">IF(OR(N318="",O318=""),"",IFERROR(O318/N318*100,0))</f>
        <v/>
      </c>
      <c r="Q318" s="10" t="n">
        <v>8</v>
      </c>
      <c r="R318" s="12" t="str">
        <f aca="false">IF(J318="","",Q318*J318)</f>
        <v/>
      </c>
      <c r="S318" s="11"/>
      <c r="T318" s="12" t="str">
        <f aca="false">IF(OR(R318="",S318=""),"",IFERROR(S318/R318*100,0))</f>
        <v/>
      </c>
      <c r="U318" s="12" t="str">
        <f aca="false">IF(OR(O318="",L318="",M318="",S318="",M318=0),"",IFERROR(O318/(L318*60*S318/(M318*36))*100,0))</f>
        <v/>
      </c>
      <c r="V318" s="11"/>
      <c r="W318" s="12" t="str">
        <f aca="false">IF(O318="","",IFERROR(V318/O318*100,0))</f>
        <v/>
      </c>
      <c r="X318" s="11"/>
      <c r="Y318" s="11"/>
      <c r="Z318" s="11"/>
      <c r="AA318" s="11"/>
      <c r="AB318" s="11"/>
      <c r="AC318" s="11"/>
      <c r="AD318" s="11"/>
      <c r="AE318" s="11"/>
      <c r="AF318" s="12" t="str">
        <f aca="false">IF(O318="","",SUM(X318:AE318))</f>
        <v/>
      </c>
      <c r="AG318" s="12" t="str">
        <f aca="false">IF(O318="","",IFERROR(AF318/O318*1000,0))</f>
        <v/>
      </c>
      <c r="AH318" s="11"/>
      <c r="AI318" s="11"/>
      <c r="AJ318" s="11"/>
      <c r="AK318" s="9"/>
      <c r="AL318" s="9"/>
      <c r="AM318" s="9"/>
    </row>
    <row r="319" customFormat="false" ht="15" hidden="false" customHeight="true" outlineLevel="0" collapsed="false">
      <c r="A319" s="6"/>
      <c r="B319" s="7"/>
      <c r="C319" s="8"/>
      <c r="D319" s="8"/>
      <c r="E319" s="8"/>
      <c r="F319" s="9"/>
      <c r="G319" s="8"/>
      <c r="H319" s="10" t="str">
        <f aca="false">IFERROR(INDEX('Operator Master'!$B$5:$B$504,MATCH(G319,'Operator Master'!$A$5:$A$504,0)),"")</f>
        <v/>
      </c>
      <c r="I319" s="9"/>
      <c r="J319" s="9"/>
      <c r="K319" s="8"/>
      <c r="L319" s="9"/>
      <c r="M319" s="9"/>
      <c r="N319" s="11"/>
      <c r="O319" s="11"/>
      <c r="P319" s="12" t="str">
        <f aca="false">IF(OR(N319="",O319=""),"",IFERROR(O319/N319*100,0))</f>
        <v/>
      </c>
      <c r="Q319" s="10" t="n">
        <v>8</v>
      </c>
      <c r="R319" s="12" t="str">
        <f aca="false">IF(J319="","",Q319*J319)</f>
        <v/>
      </c>
      <c r="S319" s="11"/>
      <c r="T319" s="12" t="str">
        <f aca="false">IF(OR(R319="",S319=""),"",IFERROR(S319/R319*100,0))</f>
        <v/>
      </c>
      <c r="U319" s="12" t="str">
        <f aca="false">IF(OR(O319="",L319="",M319="",S319="",M319=0),"",IFERROR(O319/(L319*60*S319/(M319*36))*100,0))</f>
        <v/>
      </c>
      <c r="V319" s="11"/>
      <c r="W319" s="12" t="str">
        <f aca="false">IF(O319="","",IFERROR(V319/O319*100,0))</f>
        <v/>
      </c>
      <c r="X319" s="11"/>
      <c r="Y319" s="11"/>
      <c r="Z319" s="11"/>
      <c r="AA319" s="11"/>
      <c r="AB319" s="11"/>
      <c r="AC319" s="11"/>
      <c r="AD319" s="11"/>
      <c r="AE319" s="11"/>
      <c r="AF319" s="12" t="str">
        <f aca="false">IF(O319="","",SUM(X319:AE319))</f>
        <v/>
      </c>
      <c r="AG319" s="12" t="str">
        <f aca="false">IF(O319="","",IFERROR(AF319/O319*1000,0))</f>
        <v/>
      </c>
      <c r="AH319" s="11"/>
      <c r="AI319" s="11"/>
      <c r="AJ319" s="11"/>
      <c r="AK319" s="9"/>
      <c r="AL319" s="9"/>
      <c r="AM319" s="9"/>
    </row>
    <row r="320" customFormat="false" ht="15" hidden="false" customHeight="true" outlineLevel="0" collapsed="false">
      <c r="A320" s="6"/>
      <c r="B320" s="7"/>
      <c r="C320" s="8"/>
      <c r="D320" s="8"/>
      <c r="E320" s="8"/>
      <c r="F320" s="9"/>
      <c r="G320" s="8"/>
      <c r="H320" s="10" t="str">
        <f aca="false">IFERROR(INDEX('Operator Master'!$B$5:$B$504,MATCH(G320,'Operator Master'!$A$5:$A$504,0)),"")</f>
        <v/>
      </c>
      <c r="I320" s="9"/>
      <c r="J320" s="9"/>
      <c r="K320" s="8"/>
      <c r="L320" s="9"/>
      <c r="M320" s="9"/>
      <c r="N320" s="11"/>
      <c r="O320" s="11"/>
      <c r="P320" s="12" t="str">
        <f aca="false">IF(OR(N320="",O320=""),"",IFERROR(O320/N320*100,0))</f>
        <v/>
      </c>
      <c r="Q320" s="10" t="n">
        <v>8</v>
      </c>
      <c r="R320" s="12" t="str">
        <f aca="false">IF(J320="","",Q320*J320)</f>
        <v/>
      </c>
      <c r="S320" s="11"/>
      <c r="T320" s="12" t="str">
        <f aca="false">IF(OR(R320="",S320=""),"",IFERROR(S320/R320*100,0))</f>
        <v/>
      </c>
      <c r="U320" s="12" t="str">
        <f aca="false">IF(OR(O320="",L320="",M320="",S320="",M320=0),"",IFERROR(O320/(L320*60*S320/(M320*36))*100,0))</f>
        <v/>
      </c>
      <c r="V320" s="11"/>
      <c r="W320" s="12" t="str">
        <f aca="false">IF(O320="","",IFERROR(V320/O320*100,0))</f>
        <v/>
      </c>
      <c r="X320" s="11"/>
      <c r="Y320" s="11"/>
      <c r="Z320" s="11"/>
      <c r="AA320" s="11"/>
      <c r="AB320" s="11"/>
      <c r="AC320" s="11"/>
      <c r="AD320" s="11"/>
      <c r="AE320" s="11"/>
      <c r="AF320" s="12" t="str">
        <f aca="false">IF(O320="","",SUM(X320:AE320))</f>
        <v/>
      </c>
      <c r="AG320" s="12" t="str">
        <f aca="false">IF(O320="","",IFERROR(AF320/O320*1000,0))</f>
        <v/>
      </c>
      <c r="AH320" s="11"/>
      <c r="AI320" s="11"/>
      <c r="AJ320" s="11"/>
      <c r="AK320" s="9"/>
      <c r="AL320" s="9"/>
      <c r="AM320" s="9"/>
    </row>
    <row r="321" customFormat="false" ht="15" hidden="false" customHeight="true" outlineLevel="0" collapsed="false">
      <c r="A321" s="6"/>
      <c r="B321" s="7"/>
      <c r="C321" s="8"/>
      <c r="D321" s="8"/>
      <c r="E321" s="8"/>
      <c r="F321" s="9"/>
      <c r="G321" s="8"/>
      <c r="H321" s="10" t="str">
        <f aca="false">IFERROR(INDEX('Operator Master'!$B$5:$B$504,MATCH(G321,'Operator Master'!$A$5:$A$504,0)),"")</f>
        <v/>
      </c>
      <c r="I321" s="9"/>
      <c r="J321" s="9"/>
      <c r="K321" s="8"/>
      <c r="L321" s="9"/>
      <c r="M321" s="9"/>
      <c r="N321" s="11"/>
      <c r="O321" s="11"/>
      <c r="P321" s="12" t="str">
        <f aca="false">IF(OR(N321="",O321=""),"",IFERROR(O321/N321*100,0))</f>
        <v/>
      </c>
      <c r="Q321" s="10" t="n">
        <v>8</v>
      </c>
      <c r="R321" s="12" t="str">
        <f aca="false">IF(J321="","",Q321*J321)</f>
        <v/>
      </c>
      <c r="S321" s="11"/>
      <c r="T321" s="12" t="str">
        <f aca="false">IF(OR(R321="",S321=""),"",IFERROR(S321/R321*100,0))</f>
        <v/>
      </c>
      <c r="U321" s="12" t="str">
        <f aca="false">IF(OR(O321="",L321="",M321="",S321="",M321=0),"",IFERROR(O321/(L321*60*S321/(M321*36))*100,0))</f>
        <v/>
      </c>
      <c r="V321" s="11"/>
      <c r="W321" s="12" t="str">
        <f aca="false">IF(O321="","",IFERROR(V321/O321*100,0))</f>
        <v/>
      </c>
      <c r="X321" s="11"/>
      <c r="Y321" s="11"/>
      <c r="Z321" s="11"/>
      <c r="AA321" s="11"/>
      <c r="AB321" s="11"/>
      <c r="AC321" s="11"/>
      <c r="AD321" s="11"/>
      <c r="AE321" s="11"/>
      <c r="AF321" s="12" t="str">
        <f aca="false">IF(O321="","",SUM(X321:AE321))</f>
        <v/>
      </c>
      <c r="AG321" s="12" t="str">
        <f aca="false">IF(O321="","",IFERROR(AF321/O321*1000,0))</f>
        <v/>
      </c>
      <c r="AH321" s="11"/>
      <c r="AI321" s="11"/>
      <c r="AJ321" s="11"/>
      <c r="AK321" s="9"/>
      <c r="AL321" s="9"/>
      <c r="AM321" s="9"/>
    </row>
    <row r="322" customFormat="false" ht="15" hidden="false" customHeight="true" outlineLevel="0" collapsed="false">
      <c r="A322" s="6"/>
      <c r="B322" s="7"/>
      <c r="C322" s="8"/>
      <c r="D322" s="8"/>
      <c r="E322" s="8"/>
      <c r="F322" s="9"/>
      <c r="G322" s="8"/>
      <c r="H322" s="10" t="str">
        <f aca="false">IFERROR(INDEX('Operator Master'!$B$5:$B$504,MATCH(G322,'Operator Master'!$A$5:$A$504,0)),"")</f>
        <v/>
      </c>
      <c r="I322" s="9"/>
      <c r="J322" s="9"/>
      <c r="K322" s="8"/>
      <c r="L322" s="9"/>
      <c r="M322" s="9"/>
      <c r="N322" s="11"/>
      <c r="O322" s="11"/>
      <c r="P322" s="12" t="str">
        <f aca="false">IF(OR(N322="",O322=""),"",IFERROR(O322/N322*100,0))</f>
        <v/>
      </c>
      <c r="Q322" s="10" t="n">
        <v>8</v>
      </c>
      <c r="R322" s="12" t="str">
        <f aca="false">IF(J322="","",Q322*J322)</f>
        <v/>
      </c>
      <c r="S322" s="11"/>
      <c r="T322" s="12" t="str">
        <f aca="false">IF(OR(R322="",S322=""),"",IFERROR(S322/R322*100,0))</f>
        <v/>
      </c>
      <c r="U322" s="12" t="str">
        <f aca="false">IF(OR(O322="",L322="",M322="",S322="",M322=0),"",IFERROR(O322/(L322*60*S322/(M322*36))*100,0))</f>
        <v/>
      </c>
      <c r="V322" s="11"/>
      <c r="W322" s="12" t="str">
        <f aca="false">IF(O322="","",IFERROR(V322/O322*100,0))</f>
        <v/>
      </c>
      <c r="X322" s="11"/>
      <c r="Y322" s="11"/>
      <c r="Z322" s="11"/>
      <c r="AA322" s="11"/>
      <c r="AB322" s="11"/>
      <c r="AC322" s="11"/>
      <c r="AD322" s="11"/>
      <c r="AE322" s="11"/>
      <c r="AF322" s="12" t="str">
        <f aca="false">IF(O322="","",SUM(X322:AE322))</f>
        <v/>
      </c>
      <c r="AG322" s="12" t="str">
        <f aca="false">IF(O322="","",IFERROR(AF322/O322*1000,0))</f>
        <v/>
      </c>
      <c r="AH322" s="11"/>
      <c r="AI322" s="11"/>
      <c r="AJ322" s="11"/>
      <c r="AK322" s="9"/>
      <c r="AL322" s="9"/>
      <c r="AM322" s="9"/>
    </row>
    <row r="323" customFormat="false" ht="15" hidden="false" customHeight="true" outlineLevel="0" collapsed="false">
      <c r="A323" s="6"/>
      <c r="B323" s="7"/>
      <c r="C323" s="8"/>
      <c r="D323" s="8"/>
      <c r="E323" s="8"/>
      <c r="F323" s="9"/>
      <c r="G323" s="8"/>
      <c r="H323" s="10" t="str">
        <f aca="false">IFERROR(INDEX('Operator Master'!$B$5:$B$504,MATCH(G323,'Operator Master'!$A$5:$A$504,0)),"")</f>
        <v/>
      </c>
      <c r="I323" s="9"/>
      <c r="J323" s="9"/>
      <c r="K323" s="8"/>
      <c r="L323" s="9"/>
      <c r="M323" s="9"/>
      <c r="N323" s="11"/>
      <c r="O323" s="11"/>
      <c r="P323" s="12" t="str">
        <f aca="false">IF(OR(N323="",O323=""),"",IFERROR(O323/N323*100,0))</f>
        <v/>
      </c>
      <c r="Q323" s="10" t="n">
        <v>8</v>
      </c>
      <c r="R323" s="12" t="str">
        <f aca="false">IF(J323="","",Q323*J323)</f>
        <v/>
      </c>
      <c r="S323" s="11"/>
      <c r="T323" s="12" t="str">
        <f aca="false">IF(OR(R323="",S323=""),"",IFERROR(S323/R323*100,0))</f>
        <v/>
      </c>
      <c r="U323" s="12" t="str">
        <f aca="false">IF(OR(O323="",L323="",M323="",S323="",M323=0),"",IFERROR(O323/(L323*60*S323/(M323*36))*100,0))</f>
        <v/>
      </c>
      <c r="V323" s="11"/>
      <c r="W323" s="12" t="str">
        <f aca="false">IF(O323="","",IFERROR(V323/O323*100,0))</f>
        <v/>
      </c>
      <c r="X323" s="11"/>
      <c r="Y323" s="11"/>
      <c r="Z323" s="11"/>
      <c r="AA323" s="11"/>
      <c r="AB323" s="11"/>
      <c r="AC323" s="11"/>
      <c r="AD323" s="11"/>
      <c r="AE323" s="11"/>
      <c r="AF323" s="12" t="str">
        <f aca="false">IF(O323="","",SUM(X323:AE323))</f>
        <v/>
      </c>
      <c r="AG323" s="12" t="str">
        <f aca="false">IF(O323="","",IFERROR(AF323/O323*1000,0))</f>
        <v/>
      </c>
      <c r="AH323" s="11"/>
      <c r="AI323" s="11"/>
      <c r="AJ323" s="11"/>
      <c r="AK323" s="9"/>
      <c r="AL323" s="9"/>
      <c r="AM323" s="9"/>
    </row>
    <row r="324" customFormat="false" ht="15" hidden="false" customHeight="true" outlineLevel="0" collapsed="false">
      <c r="A324" s="6"/>
      <c r="B324" s="7"/>
      <c r="C324" s="8"/>
      <c r="D324" s="8"/>
      <c r="E324" s="8"/>
      <c r="F324" s="9"/>
      <c r="G324" s="8"/>
      <c r="H324" s="10" t="str">
        <f aca="false">IFERROR(INDEX('Operator Master'!$B$5:$B$504,MATCH(G324,'Operator Master'!$A$5:$A$504,0)),"")</f>
        <v/>
      </c>
      <c r="I324" s="9"/>
      <c r="J324" s="9"/>
      <c r="K324" s="8"/>
      <c r="L324" s="9"/>
      <c r="M324" s="9"/>
      <c r="N324" s="11"/>
      <c r="O324" s="11"/>
      <c r="P324" s="12" t="str">
        <f aca="false">IF(OR(N324="",O324=""),"",IFERROR(O324/N324*100,0))</f>
        <v/>
      </c>
      <c r="Q324" s="10" t="n">
        <v>8</v>
      </c>
      <c r="R324" s="12" t="str">
        <f aca="false">IF(J324="","",Q324*J324)</f>
        <v/>
      </c>
      <c r="S324" s="11"/>
      <c r="T324" s="12" t="str">
        <f aca="false">IF(OR(R324="",S324=""),"",IFERROR(S324/R324*100,0))</f>
        <v/>
      </c>
      <c r="U324" s="12" t="str">
        <f aca="false">IF(OR(O324="",L324="",M324="",S324="",M324=0),"",IFERROR(O324/(L324*60*S324/(M324*36))*100,0))</f>
        <v/>
      </c>
      <c r="V324" s="11"/>
      <c r="W324" s="12" t="str">
        <f aca="false">IF(O324="","",IFERROR(V324/O324*100,0))</f>
        <v/>
      </c>
      <c r="X324" s="11"/>
      <c r="Y324" s="11"/>
      <c r="Z324" s="11"/>
      <c r="AA324" s="11"/>
      <c r="AB324" s="11"/>
      <c r="AC324" s="11"/>
      <c r="AD324" s="11"/>
      <c r="AE324" s="11"/>
      <c r="AF324" s="12" t="str">
        <f aca="false">IF(O324="","",SUM(X324:AE324))</f>
        <v/>
      </c>
      <c r="AG324" s="12" t="str">
        <f aca="false">IF(O324="","",IFERROR(AF324/O324*1000,0))</f>
        <v/>
      </c>
      <c r="AH324" s="11"/>
      <c r="AI324" s="11"/>
      <c r="AJ324" s="11"/>
      <c r="AK324" s="9"/>
      <c r="AL324" s="9"/>
      <c r="AM324" s="9"/>
    </row>
    <row r="325" customFormat="false" ht="15" hidden="false" customHeight="true" outlineLevel="0" collapsed="false">
      <c r="A325" s="6"/>
      <c r="B325" s="7"/>
      <c r="C325" s="8"/>
      <c r="D325" s="8"/>
      <c r="E325" s="8"/>
      <c r="F325" s="9"/>
      <c r="G325" s="8"/>
      <c r="H325" s="10" t="str">
        <f aca="false">IFERROR(INDEX('Operator Master'!$B$5:$B$504,MATCH(G325,'Operator Master'!$A$5:$A$504,0)),"")</f>
        <v/>
      </c>
      <c r="I325" s="9"/>
      <c r="J325" s="9"/>
      <c r="K325" s="8"/>
      <c r="L325" s="9"/>
      <c r="M325" s="9"/>
      <c r="N325" s="11"/>
      <c r="O325" s="11"/>
      <c r="P325" s="12" t="str">
        <f aca="false">IF(OR(N325="",O325=""),"",IFERROR(O325/N325*100,0))</f>
        <v/>
      </c>
      <c r="Q325" s="10" t="n">
        <v>8</v>
      </c>
      <c r="R325" s="12" t="str">
        <f aca="false">IF(J325="","",Q325*J325)</f>
        <v/>
      </c>
      <c r="S325" s="11"/>
      <c r="T325" s="12" t="str">
        <f aca="false">IF(OR(R325="",S325=""),"",IFERROR(S325/R325*100,0))</f>
        <v/>
      </c>
      <c r="U325" s="12" t="str">
        <f aca="false">IF(OR(O325="",L325="",M325="",S325="",M325=0),"",IFERROR(O325/(L325*60*S325/(M325*36))*100,0))</f>
        <v/>
      </c>
      <c r="V325" s="11"/>
      <c r="W325" s="12" t="str">
        <f aca="false">IF(O325="","",IFERROR(V325/O325*100,0))</f>
        <v/>
      </c>
      <c r="X325" s="11"/>
      <c r="Y325" s="11"/>
      <c r="Z325" s="11"/>
      <c r="AA325" s="11"/>
      <c r="AB325" s="11"/>
      <c r="AC325" s="11"/>
      <c r="AD325" s="11"/>
      <c r="AE325" s="11"/>
      <c r="AF325" s="12" t="str">
        <f aca="false">IF(O325="","",SUM(X325:AE325))</f>
        <v/>
      </c>
      <c r="AG325" s="12" t="str">
        <f aca="false">IF(O325="","",IFERROR(AF325/O325*1000,0))</f>
        <v/>
      </c>
      <c r="AH325" s="11"/>
      <c r="AI325" s="11"/>
      <c r="AJ325" s="11"/>
      <c r="AK325" s="9"/>
      <c r="AL325" s="9"/>
      <c r="AM325" s="9"/>
    </row>
    <row r="326" customFormat="false" ht="15" hidden="false" customHeight="true" outlineLevel="0" collapsed="false">
      <c r="A326" s="6"/>
      <c r="B326" s="7"/>
      <c r="C326" s="8"/>
      <c r="D326" s="8"/>
      <c r="E326" s="8"/>
      <c r="F326" s="9"/>
      <c r="G326" s="8"/>
      <c r="H326" s="10" t="str">
        <f aca="false">IFERROR(INDEX('Operator Master'!$B$5:$B$504,MATCH(G326,'Operator Master'!$A$5:$A$504,0)),"")</f>
        <v/>
      </c>
      <c r="I326" s="9"/>
      <c r="J326" s="9"/>
      <c r="K326" s="8"/>
      <c r="L326" s="9"/>
      <c r="M326" s="9"/>
      <c r="N326" s="11"/>
      <c r="O326" s="11"/>
      <c r="P326" s="12" t="str">
        <f aca="false">IF(OR(N326="",O326=""),"",IFERROR(O326/N326*100,0))</f>
        <v/>
      </c>
      <c r="Q326" s="10" t="n">
        <v>8</v>
      </c>
      <c r="R326" s="12" t="str">
        <f aca="false">IF(J326="","",Q326*J326)</f>
        <v/>
      </c>
      <c r="S326" s="11"/>
      <c r="T326" s="12" t="str">
        <f aca="false">IF(OR(R326="",S326=""),"",IFERROR(S326/R326*100,0))</f>
        <v/>
      </c>
      <c r="U326" s="12" t="str">
        <f aca="false">IF(OR(O326="",L326="",M326="",S326="",M326=0),"",IFERROR(O326/(L326*60*S326/(M326*36))*100,0))</f>
        <v/>
      </c>
      <c r="V326" s="11"/>
      <c r="W326" s="12" t="str">
        <f aca="false">IF(O326="","",IFERROR(V326/O326*100,0))</f>
        <v/>
      </c>
      <c r="X326" s="11"/>
      <c r="Y326" s="11"/>
      <c r="Z326" s="11"/>
      <c r="AA326" s="11"/>
      <c r="AB326" s="11"/>
      <c r="AC326" s="11"/>
      <c r="AD326" s="11"/>
      <c r="AE326" s="11"/>
      <c r="AF326" s="12" t="str">
        <f aca="false">IF(O326="","",SUM(X326:AE326))</f>
        <v/>
      </c>
      <c r="AG326" s="12" t="str">
        <f aca="false">IF(O326="","",IFERROR(AF326/O326*1000,0))</f>
        <v/>
      </c>
      <c r="AH326" s="11"/>
      <c r="AI326" s="11"/>
      <c r="AJ326" s="11"/>
      <c r="AK326" s="9"/>
      <c r="AL326" s="9"/>
      <c r="AM326" s="9"/>
    </row>
    <row r="327" customFormat="false" ht="15" hidden="false" customHeight="true" outlineLevel="0" collapsed="false">
      <c r="A327" s="6"/>
      <c r="B327" s="7"/>
      <c r="C327" s="8"/>
      <c r="D327" s="8"/>
      <c r="E327" s="8"/>
      <c r="F327" s="9"/>
      <c r="G327" s="8"/>
      <c r="H327" s="10" t="str">
        <f aca="false">IFERROR(INDEX('Operator Master'!$B$5:$B$504,MATCH(G327,'Operator Master'!$A$5:$A$504,0)),"")</f>
        <v/>
      </c>
      <c r="I327" s="9"/>
      <c r="J327" s="9"/>
      <c r="K327" s="8"/>
      <c r="L327" s="9"/>
      <c r="M327" s="9"/>
      <c r="N327" s="11"/>
      <c r="O327" s="11"/>
      <c r="P327" s="12" t="str">
        <f aca="false">IF(OR(N327="",O327=""),"",IFERROR(O327/N327*100,0))</f>
        <v/>
      </c>
      <c r="Q327" s="10" t="n">
        <v>8</v>
      </c>
      <c r="R327" s="12" t="str">
        <f aca="false">IF(J327="","",Q327*J327)</f>
        <v/>
      </c>
      <c r="S327" s="11"/>
      <c r="T327" s="12" t="str">
        <f aca="false">IF(OR(R327="",S327=""),"",IFERROR(S327/R327*100,0))</f>
        <v/>
      </c>
      <c r="U327" s="12" t="str">
        <f aca="false">IF(OR(O327="",L327="",M327="",S327="",M327=0),"",IFERROR(O327/(L327*60*S327/(M327*36))*100,0))</f>
        <v/>
      </c>
      <c r="V327" s="11"/>
      <c r="W327" s="12" t="str">
        <f aca="false">IF(O327="","",IFERROR(V327/O327*100,0))</f>
        <v/>
      </c>
      <c r="X327" s="11"/>
      <c r="Y327" s="11"/>
      <c r="Z327" s="11"/>
      <c r="AA327" s="11"/>
      <c r="AB327" s="11"/>
      <c r="AC327" s="11"/>
      <c r="AD327" s="11"/>
      <c r="AE327" s="11"/>
      <c r="AF327" s="12" t="str">
        <f aca="false">IF(O327="","",SUM(X327:AE327))</f>
        <v/>
      </c>
      <c r="AG327" s="12" t="str">
        <f aca="false">IF(O327="","",IFERROR(AF327/O327*1000,0))</f>
        <v/>
      </c>
      <c r="AH327" s="11"/>
      <c r="AI327" s="11"/>
      <c r="AJ327" s="11"/>
      <c r="AK327" s="9"/>
      <c r="AL327" s="9"/>
      <c r="AM327" s="9"/>
    </row>
    <row r="328" customFormat="false" ht="15" hidden="false" customHeight="true" outlineLevel="0" collapsed="false">
      <c r="A328" s="6"/>
      <c r="B328" s="7"/>
      <c r="C328" s="8"/>
      <c r="D328" s="8"/>
      <c r="E328" s="8"/>
      <c r="F328" s="9"/>
      <c r="G328" s="8"/>
      <c r="H328" s="10" t="str">
        <f aca="false">IFERROR(INDEX('Operator Master'!$B$5:$B$504,MATCH(G328,'Operator Master'!$A$5:$A$504,0)),"")</f>
        <v/>
      </c>
      <c r="I328" s="9"/>
      <c r="J328" s="9"/>
      <c r="K328" s="8"/>
      <c r="L328" s="9"/>
      <c r="M328" s="9"/>
      <c r="N328" s="11"/>
      <c r="O328" s="11"/>
      <c r="P328" s="12" t="str">
        <f aca="false">IF(OR(N328="",O328=""),"",IFERROR(O328/N328*100,0))</f>
        <v/>
      </c>
      <c r="Q328" s="10" t="n">
        <v>8</v>
      </c>
      <c r="R328" s="12" t="str">
        <f aca="false">IF(J328="","",Q328*J328)</f>
        <v/>
      </c>
      <c r="S328" s="11"/>
      <c r="T328" s="12" t="str">
        <f aca="false">IF(OR(R328="",S328=""),"",IFERROR(S328/R328*100,0))</f>
        <v/>
      </c>
      <c r="U328" s="12" t="str">
        <f aca="false">IF(OR(O328="",L328="",M328="",S328="",M328=0),"",IFERROR(O328/(L328*60*S328/(M328*36))*100,0))</f>
        <v/>
      </c>
      <c r="V328" s="11"/>
      <c r="W328" s="12" t="str">
        <f aca="false">IF(O328="","",IFERROR(V328/O328*100,0))</f>
        <v/>
      </c>
      <c r="X328" s="11"/>
      <c r="Y328" s="11"/>
      <c r="Z328" s="11"/>
      <c r="AA328" s="11"/>
      <c r="AB328" s="11"/>
      <c r="AC328" s="11"/>
      <c r="AD328" s="11"/>
      <c r="AE328" s="11"/>
      <c r="AF328" s="12" t="str">
        <f aca="false">IF(O328="","",SUM(X328:AE328))</f>
        <v/>
      </c>
      <c r="AG328" s="12" t="str">
        <f aca="false">IF(O328="","",IFERROR(AF328/O328*1000,0))</f>
        <v/>
      </c>
      <c r="AH328" s="11"/>
      <c r="AI328" s="11"/>
      <c r="AJ328" s="11"/>
      <c r="AK328" s="9"/>
      <c r="AL328" s="9"/>
      <c r="AM328" s="9"/>
    </row>
    <row r="329" customFormat="false" ht="15" hidden="false" customHeight="true" outlineLevel="0" collapsed="false">
      <c r="A329" s="6"/>
      <c r="B329" s="7"/>
      <c r="C329" s="8"/>
      <c r="D329" s="8"/>
      <c r="E329" s="8"/>
      <c r="F329" s="9"/>
      <c r="G329" s="8"/>
      <c r="H329" s="10" t="str">
        <f aca="false">IFERROR(INDEX('Operator Master'!$B$5:$B$504,MATCH(G329,'Operator Master'!$A$5:$A$504,0)),"")</f>
        <v/>
      </c>
      <c r="I329" s="9"/>
      <c r="J329" s="9"/>
      <c r="K329" s="8"/>
      <c r="L329" s="9"/>
      <c r="M329" s="9"/>
      <c r="N329" s="11"/>
      <c r="O329" s="11"/>
      <c r="P329" s="12" t="str">
        <f aca="false">IF(OR(N329="",O329=""),"",IFERROR(O329/N329*100,0))</f>
        <v/>
      </c>
      <c r="Q329" s="10" t="n">
        <v>8</v>
      </c>
      <c r="R329" s="12" t="str">
        <f aca="false">IF(J329="","",Q329*J329)</f>
        <v/>
      </c>
      <c r="S329" s="11"/>
      <c r="T329" s="12" t="str">
        <f aca="false">IF(OR(R329="",S329=""),"",IFERROR(S329/R329*100,0))</f>
        <v/>
      </c>
      <c r="U329" s="12" t="str">
        <f aca="false">IF(OR(O329="",L329="",M329="",S329="",M329=0),"",IFERROR(O329/(L329*60*S329/(M329*36))*100,0))</f>
        <v/>
      </c>
      <c r="V329" s="11"/>
      <c r="W329" s="12" t="str">
        <f aca="false">IF(O329="","",IFERROR(V329/O329*100,0))</f>
        <v/>
      </c>
      <c r="X329" s="11"/>
      <c r="Y329" s="11"/>
      <c r="Z329" s="11"/>
      <c r="AA329" s="11"/>
      <c r="AB329" s="11"/>
      <c r="AC329" s="11"/>
      <c r="AD329" s="11"/>
      <c r="AE329" s="11"/>
      <c r="AF329" s="12" t="str">
        <f aca="false">IF(O329="","",SUM(X329:AE329))</f>
        <v/>
      </c>
      <c r="AG329" s="12" t="str">
        <f aca="false">IF(O329="","",IFERROR(AF329/O329*1000,0))</f>
        <v/>
      </c>
      <c r="AH329" s="11"/>
      <c r="AI329" s="11"/>
      <c r="AJ329" s="11"/>
      <c r="AK329" s="9"/>
      <c r="AL329" s="9"/>
      <c r="AM329" s="9"/>
    </row>
    <row r="330" customFormat="false" ht="15" hidden="false" customHeight="true" outlineLevel="0" collapsed="false">
      <c r="A330" s="6"/>
      <c r="B330" s="7"/>
      <c r="C330" s="8"/>
      <c r="D330" s="8"/>
      <c r="E330" s="8"/>
      <c r="F330" s="9"/>
      <c r="G330" s="8"/>
      <c r="H330" s="10" t="str">
        <f aca="false">IFERROR(INDEX('Operator Master'!$B$5:$B$504,MATCH(G330,'Operator Master'!$A$5:$A$504,0)),"")</f>
        <v/>
      </c>
      <c r="I330" s="9"/>
      <c r="J330" s="9"/>
      <c r="K330" s="8"/>
      <c r="L330" s="9"/>
      <c r="M330" s="9"/>
      <c r="N330" s="11"/>
      <c r="O330" s="11"/>
      <c r="P330" s="12" t="str">
        <f aca="false">IF(OR(N330="",O330=""),"",IFERROR(O330/N330*100,0))</f>
        <v/>
      </c>
      <c r="Q330" s="10" t="n">
        <v>8</v>
      </c>
      <c r="R330" s="12" t="str">
        <f aca="false">IF(J330="","",Q330*J330)</f>
        <v/>
      </c>
      <c r="S330" s="11"/>
      <c r="T330" s="12" t="str">
        <f aca="false">IF(OR(R330="",S330=""),"",IFERROR(S330/R330*100,0))</f>
        <v/>
      </c>
      <c r="U330" s="12" t="str">
        <f aca="false">IF(OR(O330="",L330="",M330="",S330="",M330=0),"",IFERROR(O330/(L330*60*S330/(M330*36))*100,0))</f>
        <v/>
      </c>
      <c r="V330" s="11"/>
      <c r="W330" s="12" t="str">
        <f aca="false">IF(O330="","",IFERROR(V330/O330*100,0))</f>
        <v/>
      </c>
      <c r="X330" s="11"/>
      <c r="Y330" s="11"/>
      <c r="Z330" s="11"/>
      <c r="AA330" s="11"/>
      <c r="AB330" s="11"/>
      <c r="AC330" s="11"/>
      <c r="AD330" s="11"/>
      <c r="AE330" s="11"/>
      <c r="AF330" s="12" t="str">
        <f aca="false">IF(O330="","",SUM(X330:AE330))</f>
        <v/>
      </c>
      <c r="AG330" s="12" t="str">
        <f aca="false">IF(O330="","",IFERROR(AF330/O330*1000,0))</f>
        <v/>
      </c>
      <c r="AH330" s="11"/>
      <c r="AI330" s="11"/>
      <c r="AJ330" s="11"/>
      <c r="AK330" s="9"/>
      <c r="AL330" s="9"/>
      <c r="AM330" s="9"/>
    </row>
    <row r="331" customFormat="false" ht="15" hidden="false" customHeight="true" outlineLevel="0" collapsed="false">
      <c r="A331" s="6"/>
      <c r="B331" s="7"/>
      <c r="C331" s="8"/>
      <c r="D331" s="8"/>
      <c r="E331" s="8"/>
      <c r="F331" s="9"/>
      <c r="G331" s="8"/>
      <c r="H331" s="10" t="str">
        <f aca="false">IFERROR(INDEX('Operator Master'!$B$5:$B$504,MATCH(G331,'Operator Master'!$A$5:$A$504,0)),"")</f>
        <v/>
      </c>
      <c r="I331" s="9"/>
      <c r="J331" s="9"/>
      <c r="K331" s="8"/>
      <c r="L331" s="9"/>
      <c r="M331" s="9"/>
      <c r="N331" s="11"/>
      <c r="O331" s="11"/>
      <c r="P331" s="12" t="str">
        <f aca="false">IF(OR(N331="",O331=""),"",IFERROR(O331/N331*100,0))</f>
        <v/>
      </c>
      <c r="Q331" s="10" t="n">
        <v>8</v>
      </c>
      <c r="R331" s="12" t="str">
        <f aca="false">IF(J331="","",Q331*J331)</f>
        <v/>
      </c>
      <c r="S331" s="11"/>
      <c r="T331" s="12" t="str">
        <f aca="false">IF(OR(R331="",S331=""),"",IFERROR(S331/R331*100,0))</f>
        <v/>
      </c>
      <c r="U331" s="12" t="str">
        <f aca="false">IF(OR(O331="",L331="",M331="",S331="",M331=0),"",IFERROR(O331/(L331*60*S331/(M331*36))*100,0))</f>
        <v/>
      </c>
      <c r="V331" s="11"/>
      <c r="W331" s="12" t="str">
        <f aca="false">IF(O331="","",IFERROR(V331/O331*100,0))</f>
        <v/>
      </c>
      <c r="X331" s="11"/>
      <c r="Y331" s="11"/>
      <c r="Z331" s="11"/>
      <c r="AA331" s="11"/>
      <c r="AB331" s="11"/>
      <c r="AC331" s="11"/>
      <c r="AD331" s="11"/>
      <c r="AE331" s="11"/>
      <c r="AF331" s="12" t="str">
        <f aca="false">IF(O331="","",SUM(X331:AE331))</f>
        <v/>
      </c>
      <c r="AG331" s="12" t="str">
        <f aca="false">IF(O331="","",IFERROR(AF331/O331*1000,0))</f>
        <v/>
      </c>
      <c r="AH331" s="11"/>
      <c r="AI331" s="11"/>
      <c r="AJ331" s="11"/>
      <c r="AK331" s="9"/>
      <c r="AL331" s="9"/>
      <c r="AM331" s="9"/>
    </row>
    <row r="332" customFormat="false" ht="15" hidden="false" customHeight="true" outlineLevel="0" collapsed="false">
      <c r="A332" s="6"/>
      <c r="B332" s="7"/>
      <c r="C332" s="8"/>
      <c r="D332" s="8"/>
      <c r="E332" s="8"/>
      <c r="F332" s="9"/>
      <c r="G332" s="8"/>
      <c r="H332" s="10" t="str">
        <f aca="false">IFERROR(INDEX('Operator Master'!$B$5:$B$504,MATCH(G332,'Operator Master'!$A$5:$A$504,0)),"")</f>
        <v/>
      </c>
      <c r="I332" s="9"/>
      <c r="J332" s="9"/>
      <c r="K332" s="8"/>
      <c r="L332" s="9"/>
      <c r="M332" s="9"/>
      <c r="N332" s="11"/>
      <c r="O332" s="11"/>
      <c r="P332" s="12" t="str">
        <f aca="false">IF(OR(N332="",O332=""),"",IFERROR(O332/N332*100,0))</f>
        <v/>
      </c>
      <c r="Q332" s="10" t="n">
        <v>8</v>
      </c>
      <c r="R332" s="12" t="str">
        <f aca="false">IF(J332="","",Q332*J332)</f>
        <v/>
      </c>
      <c r="S332" s="11"/>
      <c r="T332" s="12" t="str">
        <f aca="false">IF(OR(R332="",S332=""),"",IFERROR(S332/R332*100,0))</f>
        <v/>
      </c>
      <c r="U332" s="12" t="str">
        <f aca="false">IF(OR(O332="",L332="",M332="",S332="",M332=0),"",IFERROR(O332/(L332*60*S332/(M332*36))*100,0))</f>
        <v/>
      </c>
      <c r="V332" s="11"/>
      <c r="W332" s="12" t="str">
        <f aca="false">IF(O332="","",IFERROR(V332/O332*100,0))</f>
        <v/>
      </c>
      <c r="X332" s="11"/>
      <c r="Y332" s="11"/>
      <c r="Z332" s="11"/>
      <c r="AA332" s="11"/>
      <c r="AB332" s="11"/>
      <c r="AC332" s="11"/>
      <c r="AD332" s="11"/>
      <c r="AE332" s="11"/>
      <c r="AF332" s="12" t="str">
        <f aca="false">IF(O332="","",SUM(X332:AE332))</f>
        <v/>
      </c>
      <c r="AG332" s="12" t="str">
        <f aca="false">IF(O332="","",IFERROR(AF332/O332*1000,0))</f>
        <v/>
      </c>
      <c r="AH332" s="11"/>
      <c r="AI332" s="11"/>
      <c r="AJ332" s="11"/>
      <c r="AK332" s="9"/>
      <c r="AL332" s="9"/>
      <c r="AM332" s="9"/>
    </row>
    <row r="333" customFormat="false" ht="15" hidden="false" customHeight="true" outlineLevel="0" collapsed="false">
      <c r="A333" s="6"/>
      <c r="B333" s="7"/>
      <c r="C333" s="8"/>
      <c r="D333" s="8"/>
      <c r="E333" s="8"/>
      <c r="F333" s="9"/>
      <c r="G333" s="8"/>
      <c r="H333" s="10" t="str">
        <f aca="false">IFERROR(INDEX('Operator Master'!$B$5:$B$504,MATCH(G333,'Operator Master'!$A$5:$A$504,0)),"")</f>
        <v/>
      </c>
      <c r="I333" s="9"/>
      <c r="J333" s="9"/>
      <c r="K333" s="8"/>
      <c r="L333" s="9"/>
      <c r="M333" s="9"/>
      <c r="N333" s="11"/>
      <c r="O333" s="11"/>
      <c r="P333" s="12" t="str">
        <f aca="false">IF(OR(N333="",O333=""),"",IFERROR(O333/N333*100,0))</f>
        <v/>
      </c>
      <c r="Q333" s="10" t="n">
        <v>8</v>
      </c>
      <c r="R333" s="12" t="str">
        <f aca="false">IF(J333="","",Q333*J333)</f>
        <v/>
      </c>
      <c r="S333" s="11"/>
      <c r="T333" s="12" t="str">
        <f aca="false">IF(OR(R333="",S333=""),"",IFERROR(S333/R333*100,0))</f>
        <v/>
      </c>
      <c r="U333" s="12" t="str">
        <f aca="false">IF(OR(O333="",L333="",M333="",S333="",M333=0),"",IFERROR(O333/(L333*60*S333/(M333*36))*100,0))</f>
        <v/>
      </c>
      <c r="V333" s="11"/>
      <c r="W333" s="12" t="str">
        <f aca="false">IF(O333="","",IFERROR(V333/O333*100,0))</f>
        <v/>
      </c>
      <c r="X333" s="11"/>
      <c r="Y333" s="11"/>
      <c r="Z333" s="11"/>
      <c r="AA333" s="11"/>
      <c r="AB333" s="11"/>
      <c r="AC333" s="11"/>
      <c r="AD333" s="11"/>
      <c r="AE333" s="11"/>
      <c r="AF333" s="12" t="str">
        <f aca="false">IF(O333="","",SUM(X333:AE333))</f>
        <v/>
      </c>
      <c r="AG333" s="12" t="str">
        <f aca="false">IF(O333="","",IFERROR(AF333/O333*1000,0))</f>
        <v/>
      </c>
      <c r="AH333" s="11"/>
      <c r="AI333" s="11"/>
      <c r="AJ333" s="11"/>
      <c r="AK333" s="9"/>
      <c r="AL333" s="9"/>
      <c r="AM333" s="9"/>
    </row>
    <row r="334" customFormat="false" ht="15" hidden="false" customHeight="true" outlineLevel="0" collapsed="false">
      <c r="A334" s="6"/>
      <c r="B334" s="7"/>
      <c r="C334" s="8"/>
      <c r="D334" s="8"/>
      <c r="E334" s="8"/>
      <c r="F334" s="9"/>
      <c r="G334" s="8"/>
      <c r="H334" s="10" t="str">
        <f aca="false">IFERROR(INDEX('Operator Master'!$B$5:$B$504,MATCH(G334,'Operator Master'!$A$5:$A$504,0)),"")</f>
        <v/>
      </c>
      <c r="I334" s="9"/>
      <c r="J334" s="9"/>
      <c r="K334" s="8"/>
      <c r="L334" s="9"/>
      <c r="M334" s="9"/>
      <c r="N334" s="11"/>
      <c r="O334" s="11"/>
      <c r="P334" s="12" t="str">
        <f aca="false">IF(OR(N334="",O334=""),"",IFERROR(O334/N334*100,0))</f>
        <v/>
      </c>
      <c r="Q334" s="10" t="n">
        <v>8</v>
      </c>
      <c r="R334" s="12" t="str">
        <f aca="false">IF(J334="","",Q334*J334)</f>
        <v/>
      </c>
      <c r="S334" s="11"/>
      <c r="T334" s="12" t="str">
        <f aca="false">IF(OR(R334="",S334=""),"",IFERROR(S334/R334*100,0))</f>
        <v/>
      </c>
      <c r="U334" s="12" t="str">
        <f aca="false">IF(OR(O334="",L334="",M334="",S334="",M334=0),"",IFERROR(O334/(L334*60*S334/(M334*36))*100,0))</f>
        <v/>
      </c>
      <c r="V334" s="11"/>
      <c r="W334" s="12" t="str">
        <f aca="false">IF(O334="","",IFERROR(V334/O334*100,0))</f>
        <v/>
      </c>
      <c r="X334" s="11"/>
      <c r="Y334" s="11"/>
      <c r="Z334" s="11"/>
      <c r="AA334" s="11"/>
      <c r="AB334" s="11"/>
      <c r="AC334" s="11"/>
      <c r="AD334" s="11"/>
      <c r="AE334" s="11"/>
      <c r="AF334" s="12" t="str">
        <f aca="false">IF(O334="","",SUM(X334:AE334))</f>
        <v/>
      </c>
      <c r="AG334" s="12" t="str">
        <f aca="false">IF(O334="","",IFERROR(AF334/O334*1000,0))</f>
        <v/>
      </c>
      <c r="AH334" s="11"/>
      <c r="AI334" s="11"/>
      <c r="AJ334" s="11"/>
      <c r="AK334" s="9"/>
      <c r="AL334" s="9"/>
      <c r="AM334" s="9"/>
    </row>
    <row r="335" customFormat="false" ht="15" hidden="false" customHeight="true" outlineLevel="0" collapsed="false">
      <c r="A335" s="6"/>
      <c r="B335" s="7"/>
      <c r="C335" s="8"/>
      <c r="D335" s="8"/>
      <c r="E335" s="8"/>
      <c r="F335" s="9"/>
      <c r="G335" s="8"/>
      <c r="H335" s="10" t="str">
        <f aca="false">IFERROR(INDEX('Operator Master'!$B$5:$B$504,MATCH(G335,'Operator Master'!$A$5:$A$504,0)),"")</f>
        <v/>
      </c>
      <c r="I335" s="9"/>
      <c r="J335" s="9"/>
      <c r="K335" s="8"/>
      <c r="L335" s="9"/>
      <c r="M335" s="9"/>
      <c r="N335" s="11"/>
      <c r="O335" s="11"/>
      <c r="P335" s="12" t="str">
        <f aca="false">IF(OR(N335="",O335=""),"",IFERROR(O335/N335*100,0))</f>
        <v/>
      </c>
      <c r="Q335" s="10" t="n">
        <v>8</v>
      </c>
      <c r="R335" s="12" t="str">
        <f aca="false">IF(J335="","",Q335*J335)</f>
        <v/>
      </c>
      <c r="S335" s="11"/>
      <c r="T335" s="12" t="str">
        <f aca="false">IF(OR(R335="",S335=""),"",IFERROR(S335/R335*100,0))</f>
        <v/>
      </c>
      <c r="U335" s="12" t="str">
        <f aca="false">IF(OR(O335="",L335="",M335="",S335="",M335=0),"",IFERROR(O335/(L335*60*S335/(M335*36))*100,0))</f>
        <v/>
      </c>
      <c r="V335" s="11"/>
      <c r="W335" s="12" t="str">
        <f aca="false">IF(O335="","",IFERROR(V335/O335*100,0))</f>
        <v/>
      </c>
      <c r="X335" s="11"/>
      <c r="Y335" s="11"/>
      <c r="Z335" s="11"/>
      <c r="AA335" s="11"/>
      <c r="AB335" s="11"/>
      <c r="AC335" s="11"/>
      <c r="AD335" s="11"/>
      <c r="AE335" s="11"/>
      <c r="AF335" s="12" t="str">
        <f aca="false">IF(O335="","",SUM(X335:AE335))</f>
        <v/>
      </c>
      <c r="AG335" s="12" t="str">
        <f aca="false">IF(O335="","",IFERROR(AF335/O335*1000,0))</f>
        <v/>
      </c>
      <c r="AH335" s="11"/>
      <c r="AI335" s="11"/>
      <c r="AJ335" s="11"/>
      <c r="AK335" s="9"/>
      <c r="AL335" s="9"/>
      <c r="AM335" s="9"/>
    </row>
    <row r="336" customFormat="false" ht="15" hidden="false" customHeight="true" outlineLevel="0" collapsed="false">
      <c r="A336" s="6"/>
      <c r="B336" s="7"/>
      <c r="C336" s="8"/>
      <c r="D336" s="8"/>
      <c r="E336" s="8"/>
      <c r="F336" s="9"/>
      <c r="G336" s="8"/>
      <c r="H336" s="10" t="str">
        <f aca="false">IFERROR(INDEX('Operator Master'!$B$5:$B$504,MATCH(G336,'Operator Master'!$A$5:$A$504,0)),"")</f>
        <v/>
      </c>
      <c r="I336" s="9"/>
      <c r="J336" s="9"/>
      <c r="K336" s="8"/>
      <c r="L336" s="9"/>
      <c r="M336" s="9"/>
      <c r="N336" s="11"/>
      <c r="O336" s="11"/>
      <c r="P336" s="12" t="str">
        <f aca="false">IF(OR(N336="",O336=""),"",IFERROR(O336/N336*100,0))</f>
        <v/>
      </c>
      <c r="Q336" s="10" t="n">
        <v>8</v>
      </c>
      <c r="R336" s="12" t="str">
        <f aca="false">IF(J336="","",Q336*J336)</f>
        <v/>
      </c>
      <c r="S336" s="11"/>
      <c r="T336" s="12" t="str">
        <f aca="false">IF(OR(R336="",S336=""),"",IFERROR(S336/R336*100,0))</f>
        <v/>
      </c>
      <c r="U336" s="12" t="str">
        <f aca="false">IF(OR(O336="",L336="",M336="",S336="",M336=0),"",IFERROR(O336/(L336*60*S336/(M336*36))*100,0))</f>
        <v/>
      </c>
      <c r="V336" s="11"/>
      <c r="W336" s="12" t="str">
        <f aca="false">IF(O336="","",IFERROR(V336/O336*100,0))</f>
        <v/>
      </c>
      <c r="X336" s="11"/>
      <c r="Y336" s="11"/>
      <c r="Z336" s="11"/>
      <c r="AA336" s="11"/>
      <c r="AB336" s="11"/>
      <c r="AC336" s="11"/>
      <c r="AD336" s="11"/>
      <c r="AE336" s="11"/>
      <c r="AF336" s="12" t="str">
        <f aca="false">IF(O336="","",SUM(X336:AE336))</f>
        <v/>
      </c>
      <c r="AG336" s="12" t="str">
        <f aca="false">IF(O336="","",IFERROR(AF336/O336*1000,0))</f>
        <v/>
      </c>
      <c r="AH336" s="11"/>
      <c r="AI336" s="11"/>
      <c r="AJ336" s="11"/>
      <c r="AK336" s="9"/>
      <c r="AL336" s="9"/>
      <c r="AM336" s="9"/>
    </row>
    <row r="337" customFormat="false" ht="15" hidden="false" customHeight="true" outlineLevel="0" collapsed="false">
      <c r="A337" s="6"/>
      <c r="B337" s="7"/>
      <c r="C337" s="8"/>
      <c r="D337" s="8"/>
      <c r="E337" s="8"/>
      <c r="F337" s="9"/>
      <c r="G337" s="8"/>
      <c r="H337" s="10" t="str">
        <f aca="false">IFERROR(INDEX('Operator Master'!$B$5:$B$504,MATCH(G337,'Operator Master'!$A$5:$A$504,0)),"")</f>
        <v/>
      </c>
      <c r="I337" s="9"/>
      <c r="J337" s="9"/>
      <c r="K337" s="8"/>
      <c r="L337" s="9"/>
      <c r="M337" s="9"/>
      <c r="N337" s="11"/>
      <c r="O337" s="11"/>
      <c r="P337" s="12" t="str">
        <f aca="false">IF(OR(N337="",O337=""),"",IFERROR(O337/N337*100,0))</f>
        <v/>
      </c>
      <c r="Q337" s="10" t="n">
        <v>8</v>
      </c>
      <c r="R337" s="12" t="str">
        <f aca="false">IF(J337="","",Q337*J337)</f>
        <v/>
      </c>
      <c r="S337" s="11"/>
      <c r="T337" s="12" t="str">
        <f aca="false">IF(OR(R337="",S337=""),"",IFERROR(S337/R337*100,0))</f>
        <v/>
      </c>
      <c r="U337" s="12" t="str">
        <f aca="false">IF(OR(O337="",L337="",M337="",S337="",M337=0),"",IFERROR(O337/(L337*60*S337/(M337*36))*100,0))</f>
        <v/>
      </c>
      <c r="V337" s="11"/>
      <c r="W337" s="12" t="str">
        <f aca="false">IF(O337="","",IFERROR(V337/O337*100,0))</f>
        <v/>
      </c>
      <c r="X337" s="11"/>
      <c r="Y337" s="11"/>
      <c r="Z337" s="11"/>
      <c r="AA337" s="11"/>
      <c r="AB337" s="11"/>
      <c r="AC337" s="11"/>
      <c r="AD337" s="11"/>
      <c r="AE337" s="11"/>
      <c r="AF337" s="12" t="str">
        <f aca="false">IF(O337="","",SUM(X337:AE337))</f>
        <v/>
      </c>
      <c r="AG337" s="12" t="str">
        <f aca="false">IF(O337="","",IFERROR(AF337/O337*1000,0))</f>
        <v/>
      </c>
      <c r="AH337" s="11"/>
      <c r="AI337" s="11"/>
      <c r="AJ337" s="11"/>
      <c r="AK337" s="9"/>
      <c r="AL337" s="9"/>
      <c r="AM337" s="9"/>
    </row>
    <row r="338" customFormat="false" ht="15" hidden="false" customHeight="true" outlineLevel="0" collapsed="false">
      <c r="A338" s="6"/>
      <c r="B338" s="7"/>
      <c r="C338" s="8"/>
      <c r="D338" s="8"/>
      <c r="E338" s="8"/>
      <c r="F338" s="9"/>
      <c r="G338" s="8"/>
      <c r="H338" s="10" t="str">
        <f aca="false">IFERROR(INDEX('Operator Master'!$B$5:$B$504,MATCH(G338,'Operator Master'!$A$5:$A$504,0)),"")</f>
        <v/>
      </c>
      <c r="I338" s="9"/>
      <c r="J338" s="9"/>
      <c r="K338" s="8"/>
      <c r="L338" s="9"/>
      <c r="M338" s="9"/>
      <c r="N338" s="11"/>
      <c r="O338" s="11"/>
      <c r="P338" s="12" t="str">
        <f aca="false">IF(OR(N338="",O338=""),"",IFERROR(O338/N338*100,0))</f>
        <v/>
      </c>
      <c r="Q338" s="10" t="n">
        <v>8</v>
      </c>
      <c r="R338" s="12" t="str">
        <f aca="false">IF(J338="","",Q338*J338)</f>
        <v/>
      </c>
      <c r="S338" s="11"/>
      <c r="T338" s="12" t="str">
        <f aca="false">IF(OR(R338="",S338=""),"",IFERROR(S338/R338*100,0))</f>
        <v/>
      </c>
      <c r="U338" s="12" t="str">
        <f aca="false">IF(OR(O338="",L338="",M338="",S338="",M338=0),"",IFERROR(O338/(L338*60*S338/(M338*36))*100,0))</f>
        <v/>
      </c>
      <c r="V338" s="11"/>
      <c r="W338" s="12" t="str">
        <f aca="false">IF(O338="","",IFERROR(V338/O338*100,0))</f>
        <v/>
      </c>
      <c r="X338" s="11"/>
      <c r="Y338" s="11"/>
      <c r="Z338" s="11"/>
      <c r="AA338" s="11"/>
      <c r="AB338" s="11"/>
      <c r="AC338" s="11"/>
      <c r="AD338" s="11"/>
      <c r="AE338" s="11"/>
      <c r="AF338" s="12" t="str">
        <f aca="false">IF(O338="","",SUM(X338:AE338))</f>
        <v/>
      </c>
      <c r="AG338" s="12" t="str">
        <f aca="false">IF(O338="","",IFERROR(AF338/O338*1000,0))</f>
        <v/>
      </c>
      <c r="AH338" s="11"/>
      <c r="AI338" s="11"/>
      <c r="AJ338" s="11"/>
      <c r="AK338" s="9"/>
      <c r="AL338" s="9"/>
      <c r="AM338" s="9"/>
    </row>
    <row r="339" customFormat="false" ht="15" hidden="false" customHeight="true" outlineLevel="0" collapsed="false">
      <c r="A339" s="6"/>
      <c r="B339" s="7"/>
      <c r="C339" s="8"/>
      <c r="D339" s="8"/>
      <c r="E339" s="8"/>
      <c r="F339" s="9"/>
      <c r="G339" s="8"/>
      <c r="H339" s="10" t="str">
        <f aca="false">IFERROR(INDEX('Operator Master'!$B$5:$B$504,MATCH(G339,'Operator Master'!$A$5:$A$504,0)),"")</f>
        <v/>
      </c>
      <c r="I339" s="9"/>
      <c r="J339" s="9"/>
      <c r="K339" s="8"/>
      <c r="L339" s="9"/>
      <c r="M339" s="9"/>
      <c r="N339" s="11"/>
      <c r="O339" s="11"/>
      <c r="P339" s="12" t="str">
        <f aca="false">IF(OR(N339="",O339=""),"",IFERROR(O339/N339*100,0))</f>
        <v/>
      </c>
      <c r="Q339" s="10" t="n">
        <v>8</v>
      </c>
      <c r="R339" s="12" t="str">
        <f aca="false">IF(J339="","",Q339*J339)</f>
        <v/>
      </c>
      <c r="S339" s="11"/>
      <c r="T339" s="12" t="str">
        <f aca="false">IF(OR(R339="",S339=""),"",IFERROR(S339/R339*100,0))</f>
        <v/>
      </c>
      <c r="U339" s="12" t="str">
        <f aca="false">IF(OR(O339="",L339="",M339="",S339="",M339=0),"",IFERROR(O339/(L339*60*S339/(M339*36))*100,0))</f>
        <v/>
      </c>
      <c r="V339" s="11"/>
      <c r="W339" s="12" t="str">
        <f aca="false">IF(O339="","",IFERROR(V339/O339*100,0))</f>
        <v/>
      </c>
      <c r="X339" s="11"/>
      <c r="Y339" s="11"/>
      <c r="Z339" s="11"/>
      <c r="AA339" s="11"/>
      <c r="AB339" s="11"/>
      <c r="AC339" s="11"/>
      <c r="AD339" s="11"/>
      <c r="AE339" s="11"/>
      <c r="AF339" s="12" t="str">
        <f aca="false">IF(O339="","",SUM(X339:AE339))</f>
        <v/>
      </c>
      <c r="AG339" s="12" t="str">
        <f aca="false">IF(O339="","",IFERROR(AF339/O339*1000,0))</f>
        <v/>
      </c>
      <c r="AH339" s="11"/>
      <c r="AI339" s="11"/>
      <c r="AJ339" s="11"/>
      <c r="AK339" s="9"/>
      <c r="AL339" s="9"/>
      <c r="AM339" s="9"/>
    </row>
    <row r="340" customFormat="false" ht="15" hidden="false" customHeight="true" outlineLevel="0" collapsed="false">
      <c r="A340" s="6"/>
      <c r="B340" s="7"/>
      <c r="C340" s="8"/>
      <c r="D340" s="8"/>
      <c r="E340" s="8"/>
      <c r="F340" s="9"/>
      <c r="G340" s="8"/>
      <c r="H340" s="10" t="str">
        <f aca="false">IFERROR(INDEX('Operator Master'!$B$5:$B$504,MATCH(G340,'Operator Master'!$A$5:$A$504,0)),"")</f>
        <v/>
      </c>
      <c r="I340" s="9"/>
      <c r="J340" s="9"/>
      <c r="K340" s="8"/>
      <c r="L340" s="9"/>
      <c r="M340" s="9"/>
      <c r="N340" s="11"/>
      <c r="O340" s="11"/>
      <c r="P340" s="12" t="str">
        <f aca="false">IF(OR(N340="",O340=""),"",IFERROR(O340/N340*100,0))</f>
        <v/>
      </c>
      <c r="Q340" s="10" t="n">
        <v>8</v>
      </c>
      <c r="R340" s="12" t="str">
        <f aca="false">IF(J340="","",Q340*J340)</f>
        <v/>
      </c>
      <c r="S340" s="11"/>
      <c r="T340" s="12" t="str">
        <f aca="false">IF(OR(R340="",S340=""),"",IFERROR(S340/R340*100,0))</f>
        <v/>
      </c>
      <c r="U340" s="12" t="str">
        <f aca="false">IF(OR(O340="",L340="",M340="",S340="",M340=0),"",IFERROR(O340/(L340*60*S340/(M340*36))*100,0))</f>
        <v/>
      </c>
      <c r="V340" s="11"/>
      <c r="W340" s="12" t="str">
        <f aca="false">IF(O340="","",IFERROR(V340/O340*100,0))</f>
        <v/>
      </c>
      <c r="X340" s="11"/>
      <c r="Y340" s="11"/>
      <c r="Z340" s="11"/>
      <c r="AA340" s="11"/>
      <c r="AB340" s="11"/>
      <c r="AC340" s="11"/>
      <c r="AD340" s="11"/>
      <c r="AE340" s="11"/>
      <c r="AF340" s="12" t="str">
        <f aca="false">IF(O340="","",SUM(X340:AE340))</f>
        <v/>
      </c>
      <c r="AG340" s="12" t="str">
        <f aca="false">IF(O340="","",IFERROR(AF340/O340*1000,0))</f>
        <v/>
      </c>
      <c r="AH340" s="11"/>
      <c r="AI340" s="11"/>
      <c r="AJ340" s="11"/>
      <c r="AK340" s="9"/>
      <c r="AL340" s="9"/>
      <c r="AM340" s="9"/>
    </row>
    <row r="341" customFormat="false" ht="15" hidden="false" customHeight="true" outlineLevel="0" collapsed="false">
      <c r="A341" s="6"/>
      <c r="B341" s="7"/>
      <c r="C341" s="8"/>
      <c r="D341" s="8"/>
      <c r="E341" s="8"/>
      <c r="F341" s="9"/>
      <c r="G341" s="8"/>
      <c r="H341" s="10" t="str">
        <f aca="false">IFERROR(INDEX('Operator Master'!$B$5:$B$504,MATCH(G341,'Operator Master'!$A$5:$A$504,0)),"")</f>
        <v/>
      </c>
      <c r="I341" s="9"/>
      <c r="J341" s="9"/>
      <c r="K341" s="8"/>
      <c r="L341" s="9"/>
      <c r="M341" s="9"/>
      <c r="N341" s="11"/>
      <c r="O341" s="11"/>
      <c r="P341" s="12" t="str">
        <f aca="false">IF(OR(N341="",O341=""),"",IFERROR(O341/N341*100,0))</f>
        <v/>
      </c>
      <c r="Q341" s="10" t="n">
        <v>8</v>
      </c>
      <c r="R341" s="12" t="str">
        <f aca="false">IF(J341="","",Q341*J341)</f>
        <v/>
      </c>
      <c r="S341" s="11"/>
      <c r="T341" s="12" t="str">
        <f aca="false">IF(OR(R341="",S341=""),"",IFERROR(S341/R341*100,0))</f>
        <v/>
      </c>
      <c r="U341" s="12" t="str">
        <f aca="false">IF(OR(O341="",L341="",M341="",S341="",M341=0),"",IFERROR(O341/(L341*60*S341/(M341*36))*100,0))</f>
        <v/>
      </c>
      <c r="V341" s="11"/>
      <c r="W341" s="12" t="str">
        <f aca="false">IF(O341="","",IFERROR(V341/O341*100,0))</f>
        <v/>
      </c>
      <c r="X341" s="11"/>
      <c r="Y341" s="11"/>
      <c r="Z341" s="11"/>
      <c r="AA341" s="11"/>
      <c r="AB341" s="11"/>
      <c r="AC341" s="11"/>
      <c r="AD341" s="11"/>
      <c r="AE341" s="11"/>
      <c r="AF341" s="12" t="str">
        <f aca="false">IF(O341="","",SUM(X341:AE341))</f>
        <v/>
      </c>
      <c r="AG341" s="12" t="str">
        <f aca="false">IF(O341="","",IFERROR(AF341/O341*1000,0))</f>
        <v/>
      </c>
      <c r="AH341" s="11"/>
      <c r="AI341" s="11"/>
      <c r="AJ341" s="11"/>
      <c r="AK341" s="9"/>
      <c r="AL341" s="9"/>
      <c r="AM341" s="9"/>
    </row>
    <row r="342" customFormat="false" ht="15" hidden="false" customHeight="true" outlineLevel="0" collapsed="false">
      <c r="A342" s="6"/>
      <c r="B342" s="7"/>
      <c r="C342" s="8"/>
      <c r="D342" s="8"/>
      <c r="E342" s="8"/>
      <c r="F342" s="9"/>
      <c r="G342" s="8"/>
      <c r="H342" s="10" t="str">
        <f aca="false">IFERROR(INDEX('Operator Master'!$B$5:$B$504,MATCH(G342,'Operator Master'!$A$5:$A$504,0)),"")</f>
        <v/>
      </c>
      <c r="I342" s="9"/>
      <c r="J342" s="9"/>
      <c r="K342" s="8"/>
      <c r="L342" s="9"/>
      <c r="M342" s="9"/>
      <c r="N342" s="11"/>
      <c r="O342" s="11"/>
      <c r="P342" s="12" t="str">
        <f aca="false">IF(OR(N342="",O342=""),"",IFERROR(O342/N342*100,0))</f>
        <v/>
      </c>
      <c r="Q342" s="10" t="n">
        <v>8</v>
      </c>
      <c r="R342" s="12" t="str">
        <f aca="false">IF(J342="","",Q342*J342)</f>
        <v/>
      </c>
      <c r="S342" s="11"/>
      <c r="T342" s="12" t="str">
        <f aca="false">IF(OR(R342="",S342=""),"",IFERROR(S342/R342*100,0))</f>
        <v/>
      </c>
      <c r="U342" s="12" t="str">
        <f aca="false">IF(OR(O342="",L342="",M342="",S342="",M342=0),"",IFERROR(O342/(L342*60*S342/(M342*36))*100,0))</f>
        <v/>
      </c>
      <c r="V342" s="11"/>
      <c r="W342" s="12" t="str">
        <f aca="false">IF(O342="","",IFERROR(V342/O342*100,0))</f>
        <v/>
      </c>
      <c r="X342" s="11"/>
      <c r="Y342" s="11"/>
      <c r="Z342" s="11"/>
      <c r="AA342" s="11"/>
      <c r="AB342" s="11"/>
      <c r="AC342" s="11"/>
      <c r="AD342" s="11"/>
      <c r="AE342" s="11"/>
      <c r="AF342" s="12" t="str">
        <f aca="false">IF(O342="","",SUM(X342:AE342))</f>
        <v/>
      </c>
      <c r="AG342" s="12" t="str">
        <f aca="false">IF(O342="","",IFERROR(AF342/O342*1000,0))</f>
        <v/>
      </c>
      <c r="AH342" s="11"/>
      <c r="AI342" s="11"/>
      <c r="AJ342" s="11"/>
      <c r="AK342" s="9"/>
      <c r="AL342" s="9"/>
      <c r="AM342" s="9"/>
    </row>
    <row r="343" customFormat="false" ht="15" hidden="false" customHeight="true" outlineLevel="0" collapsed="false">
      <c r="A343" s="6"/>
      <c r="B343" s="7"/>
      <c r="C343" s="8"/>
      <c r="D343" s="8"/>
      <c r="E343" s="8"/>
      <c r="F343" s="9"/>
      <c r="G343" s="8"/>
      <c r="H343" s="10" t="str">
        <f aca="false">IFERROR(INDEX('Operator Master'!$B$5:$B$504,MATCH(G343,'Operator Master'!$A$5:$A$504,0)),"")</f>
        <v/>
      </c>
      <c r="I343" s="9"/>
      <c r="J343" s="9"/>
      <c r="K343" s="8"/>
      <c r="L343" s="9"/>
      <c r="M343" s="9"/>
      <c r="N343" s="11"/>
      <c r="O343" s="11"/>
      <c r="P343" s="12" t="str">
        <f aca="false">IF(OR(N343="",O343=""),"",IFERROR(O343/N343*100,0))</f>
        <v/>
      </c>
      <c r="Q343" s="10" t="n">
        <v>8</v>
      </c>
      <c r="R343" s="12" t="str">
        <f aca="false">IF(J343="","",Q343*J343)</f>
        <v/>
      </c>
      <c r="S343" s="11"/>
      <c r="T343" s="12" t="str">
        <f aca="false">IF(OR(R343="",S343=""),"",IFERROR(S343/R343*100,0))</f>
        <v/>
      </c>
      <c r="U343" s="12" t="str">
        <f aca="false">IF(OR(O343="",L343="",M343="",S343="",M343=0),"",IFERROR(O343/(L343*60*S343/(M343*36))*100,0))</f>
        <v/>
      </c>
      <c r="V343" s="11"/>
      <c r="W343" s="12" t="str">
        <f aca="false">IF(O343="","",IFERROR(V343/O343*100,0))</f>
        <v/>
      </c>
      <c r="X343" s="11"/>
      <c r="Y343" s="11"/>
      <c r="Z343" s="11"/>
      <c r="AA343" s="11"/>
      <c r="AB343" s="11"/>
      <c r="AC343" s="11"/>
      <c r="AD343" s="11"/>
      <c r="AE343" s="11"/>
      <c r="AF343" s="12" t="str">
        <f aca="false">IF(O343="","",SUM(X343:AE343))</f>
        <v/>
      </c>
      <c r="AG343" s="12" t="str">
        <f aca="false">IF(O343="","",IFERROR(AF343/O343*1000,0))</f>
        <v/>
      </c>
      <c r="AH343" s="11"/>
      <c r="AI343" s="11"/>
      <c r="AJ343" s="11"/>
      <c r="AK343" s="9"/>
      <c r="AL343" s="9"/>
      <c r="AM343" s="9"/>
    </row>
    <row r="344" customFormat="false" ht="15" hidden="false" customHeight="true" outlineLevel="0" collapsed="false">
      <c r="A344" s="6"/>
      <c r="B344" s="7"/>
      <c r="C344" s="8"/>
      <c r="D344" s="8"/>
      <c r="E344" s="8"/>
      <c r="F344" s="9"/>
      <c r="G344" s="8"/>
      <c r="H344" s="10" t="str">
        <f aca="false">IFERROR(INDEX('Operator Master'!$B$5:$B$504,MATCH(G344,'Operator Master'!$A$5:$A$504,0)),"")</f>
        <v/>
      </c>
      <c r="I344" s="9"/>
      <c r="J344" s="9"/>
      <c r="K344" s="8"/>
      <c r="L344" s="9"/>
      <c r="M344" s="9"/>
      <c r="N344" s="11"/>
      <c r="O344" s="11"/>
      <c r="P344" s="12" t="str">
        <f aca="false">IF(OR(N344="",O344=""),"",IFERROR(O344/N344*100,0))</f>
        <v/>
      </c>
      <c r="Q344" s="10" t="n">
        <v>8</v>
      </c>
      <c r="R344" s="12" t="str">
        <f aca="false">IF(J344="","",Q344*J344)</f>
        <v/>
      </c>
      <c r="S344" s="11"/>
      <c r="T344" s="12" t="str">
        <f aca="false">IF(OR(R344="",S344=""),"",IFERROR(S344/R344*100,0))</f>
        <v/>
      </c>
      <c r="U344" s="12" t="str">
        <f aca="false">IF(OR(O344="",L344="",M344="",S344="",M344=0),"",IFERROR(O344/(L344*60*S344/(M344*36))*100,0))</f>
        <v/>
      </c>
      <c r="V344" s="11"/>
      <c r="W344" s="12" t="str">
        <f aca="false">IF(O344="","",IFERROR(V344/O344*100,0))</f>
        <v/>
      </c>
      <c r="X344" s="11"/>
      <c r="Y344" s="11"/>
      <c r="Z344" s="11"/>
      <c r="AA344" s="11"/>
      <c r="AB344" s="11"/>
      <c r="AC344" s="11"/>
      <c r="AD344" s="11"/>
      <c r="AE344" s="11"/>
      <c r="AF344" s="12" t="str">
        <f aca="false">IF(O344="","",SUM(X344:AE344))</f>
        <v/>
      </c>
      <c r="AG344" s="12" t="str">
        <f aca="false">IF(O344="","",IFERROR(AF344/O344*1000,0))</f>
        <v/>
      </c>
      <c r="AH344" s="11"/>
      <c r="AI344" s="11"/>
      <c r="AJ344" s="11"/>
      <c r="AK344" s="9"/>
      <c r="AL344" s="9"/>
      <c r="AM344" s="9"/>
    </row>
    <row r="345" customFormat="false" ht="15" hidden="false" customHeight="true" outlineLevel="0" collapsed="false">
      <c r="A345" s="6"/>
      <c r="B345" s="7"/>
      <c r="C345" s="8"/>
      <c r="D345" s="8"/>
      <c r="E345" s="8"/>
      <c r="F345" s="9"/>
      <c r="G345" s="8"/>
      <c r="H345" s="10" t="str">
        <f aca="false">IFERROR(INDEX('Operator Master'!$B$5:$B$504,MATCH(G345,'Operator Master'!$A$5:$A$504,0)),"")</f>
        <v/>
      </c>
      <c r="I345" s="9"/>
      <c r="J345" s="9"/>
      <c r="K345" s="8"/>
      <c r="L345" s="9"/>
      <c r="M345" s="9"/>
      <c r="N345" s="11"/>
      <c r="O345" s="11"/>
      <c r="P345" s="12" t="str">
        <f aca="false">IF(OR(N345="",O345=""),"",IFERROR(O345/N345*100,0))</f>
        <v/>
      </c>
      <c r="Q345" s="10" t="n">
        <v>8</v>
      </c>
      <c r="R345" s="12" t="str">
        <f aca="false">IF(J345="","",Q345*J345)</f>
        <v/>
      </c>
      <c r="S345" s="11"/>
      <c r="T345" s="12" t="str">
        <f aca="false">IF(OR(R345="",S345=""),"",IFERROR(S345/R345*100,0))</f>
        <v/>
      </c>
      <c r="U345" s="12" t="str">
        <f aca="false">IF(OR(O345="",L345="",M345="",S345="",M345=0),"",IFERROR(O345/(L345*60*S345/(M345*36))*100,0))</f>
        <v/>
      </c>
      <c r="V345" s="11"/>
      <c r="W345" s="12" t="str">
        <f aca="false">IF(O345="","",IFERROR(V345/O345*100,0))</f>
        <v/>
      </c>
      <c r="X345" s="11"/>
      <c r="Y345" s="11"/>
      <c r="Z345" s="11"/>
      <c r="AA345" s="11"/>
      <c r="AB345" s="11"/>
      <c r="AC345" s="11"/>
      <c r="AD345" s="11"/>
      <c r="AE345" s="11"/>
      <c r="AF345" s="12" t="str">
        <f aca="false">IF(O345="","",SUM(X345:AE345))</f>
        <v/>
      </c>
      <c r="AG345" s="12" t="str">
        <f aca="false">IF(O345="","",IFERROR(AF345/O345*1000,0))</f>
        <v/>
      </c>
      <c r="AH345" s="11"/>
      <c r="AI345" s="11"/>
      <c r="AJ345" s="11"/>
      <c r="AK345" s="9"/>
      <c r="AL345" s="9"/>
      <c r="AM345" s="9"/>
    </row>
    <row r="346" customFormat="false" ht="15" hidden="false" customHeight="true" outlineLevel="0" collapsed="false">
      <c r="A346" s="6"/>
      <c r="B346" s="7"/>
      <c r="C346" s="8"/>
      <c r="D346" s="8"/>
      <c r="E346" s="8"/>
      <c r="F346" s="9"/>
      <c r="G346" s="8"/>
      <c r="H346" s="10" t="str">
        <f aca="false">IFERROR(INDEX('Operator Master'!$B$5:$B$504,MATCH(G346,'Operator Master'!$A$5:$A$504,0)),"")</f>
        <v/>
      </c>
      <c r="I346" s="9"/>
      <c r="J346" s="9"/>
      <c r="K346" s="8"/>
      <c r="L346" s="9"/>
      <c r="M346" s="9"/>
      <c r="N346" s="11"/>
      <c r="O346" s="11"/>
      <c r="P346" s="12" t="str">
        <f aca="false">IF(OR(N346="",O346=""),"",IFERROR(O346/N346*100,0))</f>
        <v/>
      </c>
      <c r="Q346" s="10" t="n">
        <v>8</v>
      </c>
      <c r="R346" s="12" t="str">
        <f aca="false">IF(J346="","",Q346*J346)</f>
        <v/>
      </c>
      <c r="S346" s="11"/>
      <c r="T346" s="12" t="str">
        <f aca="false">IF(OR(R346="",S346=""),"",IFERROR(S346/R346*100,0))</f>
        <v/>
      </c>
      <c r="U346" s="12" t="str">
        <f aca="false">IF(OR(O346="",L346="",M346="",S346="",M346=0),"",IFERROR(O346/(L346*60*S346/(M346*36))*100,0))</f>
        <v/>
      </c>
      <c r="V346" s="11"/>
      <c r="W346" s="12" t="str">
        <f aca="false">IF(O346="","",IFERROR(V346/O346*100,0))</f>
        <v/>
      </c>
      <c r="X346" s="11"/>
      <c r="Y346" s="11"/>
      <c r="Z346" s="11"/>
      <c r="AA346" s="11"/>
      <c r="AB346" s="11"/>
      <c r="AC346" s="11"/>
      <c r="AD346" s="11"/>
      <c r="AE346" s="11"/>
      <c r="AF346" s="12" t="str">
        <f aca="false">IF(O346="","",SUM(X346:AE346))</f>
        <v/>
      </c>
      <c r="AG346" s="12" t="str">
        <f aca="false">IF(O346="","",IFERROR(AF346/O346*1000,0))</f>
        <v/>
      </c>
      <c r="AH346" s="11"/>
      <c r="AI346" s="11"/>
      <c r="AJ346" s="11"/>
      <c r="AK346" s="9"/>
      <c r="AL346" s="9"/>
      <c r="AM346" s="9"/>
    </row>
    <row r="347" customFormat="false" ht="15" hidden="false" customHeight="true" outlineLevel="0" collapsed="false">
      <c r="A347" s="6"/>
      <c r="B347" s="7"/>
      <c r="C347" s="8"/>
      <c r="D347" s="8"/>
      <c r="E347" s="8"/>
      <c r="F347" s="9"/>
      <c r="G347" s="8"/>
      <c r="H347" s="10" t="str">
        <f aca="false">IFERROR(INDEX('Operator Master'!$B$5:$B$504,MATCH(G347,'Operator Master'!$A$5:$A$504,0)),"")</f>
        <v/>
      </c>
      <c r="I347" s="9"/>
      <c r="J347" s="9"/>
      <c r="K347" s="8"/>
      <c r="L347" s="9"/>
      <c r="M347" s="9"/>
      <c r="N347" s="11"/>
      <c r="O347" s="11"/>
      <c r="P347" s="12" t="str">
        <f aca="false">IF(OR(N347="",O347=""),"",IFERROR(O347/N347*100,0))</f>
        <v/>
      </c>
      <c r="Q347" s="10" t="n">
        <v>8</v>
      </c>
      <c r="R347" s="12" t="str">
        <f aca="false">IF(J347="","",Q347*J347)</f>
        <v/>
      </c>
      <c r="S347" s="11"/>
      <c r="T347" s="12" t="str">
        <f aca="false">IF(OR(R347="",S347=""),"",IFERROR(S347/R347*100,0))</f>
        <v/>
      </c>
      <c r="U347" s="12" t="str">
        <f aca="false">IF(OR(O347="",L347="",M347="",S347="",M347=0),"",IFERROR(O347/(L347*60*S347/(M347*36))*100,0))</f>
        <v/>
      </c>
      <c r="V347" s="11"/>
      <c r="W347" s="12" t="str">
        <f aca="false">IF(O347="","",IFERROR(V347/O347*100,0))</f>
        <v/>
      </c>
      <c r="X347" s="11"/>
      <c r="Y347" s="11"/>
      <c r="Z347" s="11"/>
      <c r="AA347" s="11"/>
      <c r="AB347" s="11"/>
      <c r="AC347" s="11"/>
      <c r="AD347" s="11"/>
      <c r="AE347" s="11"/>
      <c r="AF347" s="12" t="str">
        <f aca="false">IF(O347="","",SUM(X347:AE347))</f>
        <v/>
      </c>
      <c r="AG347" s="12" t="str">
        <f aca="false">IF(O347="","",IFERROR(AF347/O347*1000,0))</f>
        <v/>
      </c>
      <c r="AH347" s="11"/>
      <c r="AI347" s="11"/>
      <c r="AJ347" s="11"/>
      <c r="AK347" s="9"/>
      <c r="AL347" s="9"/>
      <c r="AM347" s="9"/>
    </row>
    <row r="348" customFormat="false" ht="15" hidden="false" customHeight="true" outlineLevel="0" collapsed="false">
      <c r="A348" s="6"/>
      <c r="B348" s="7"/>
      <c r="C348" s="8"/>
      <c r="D348" s="8"/>
      <c r="E348" s="8"/>
      <c r="F348" s="9"/>
      <c r="G348" s="8"/>
      <c r="H348" s="10" t="str">
        <f aca="false">IFERROR(INDEX('Operator Master'!$B$5:$B$504,MATCH(G348,'Operator Master'!$A$5:$A$504,0)),"")</f>
        <v/>
      </c>
      <c r="I348" s="9"/>
      <c r="J348" s="9"/>
      <c r="K348" s="8"/>
      <c r="L348" s="9"/>
      <c r="M348" s="9"/>
      <c r="N348" s="11"/>
      <c r="O348" s="11"/>
      <c r="P348" s="12" t="str">
        <f aca="false">IF(OR(N348="",O348=""),"",IFERROR(O348/N348*100,0))</f>
        <v/>
      </c>
      <c r="Q348" s="10" t="n">
        <v>8</v>
      </c>
      <c r="R348" s="12" t="str">
        <f aca="false">IF(J348="","",Q348*J348)</f>
        <v/>
      </c>
      <c r="S348" s="11"/>
      <c r="T348" s="12" t="str">
        <f aca="false">IF(OR(R348="",S348=""),"",IFERROR(S348/R348*100,0))</f>
        <v/>
      </c>
      <c r="U348" s="12" t="str">
        <f aca="false">IF(OR(O348="",L348="",M348="",S348="",M348=0),"",IFERROR(O348/(L348*60*S348/(M348*36))*100,0))</f>
        <v/>
      </c>
      <c r="V348" s="11"/>
      <c r="W348" s="12" t="str">
        <f aca="false">IF(O348="","",IFERROR(V348/O348*100,0))</f>
        <v/>
      </c>
      <c r="X348" s="11"/>
      <c r="Y348" s="11"/>
      <c r="Z348" s="11"/>
      <c r="AA348" s="11"/>
      <c r="AB348" s="11"/>
      <c r="AC348" s="11"/>
      <c r="AD348" s="11"/>
      <c r="AE348" s="11"/>
      <c r="AF348" s="12" t="str">
        <f aca="false">IF(O348="","",SUM(X348:AE348))</f>
        <v/>
      </c>
      <c r="AG348" s="12" t="str">
        <f aca="false">IF(O348="","",IFERROR(AF348/O348*1000,0))</f>
        <v/>
      </c>
      <c r="AH348" s="11"/>
      <c r="AI348" s="11"/>
      <c r="AJ348" s="11"/>
      <c r="AK348" s="9"/>
      <c r="AL348" s="9"/>
      <c r="AM348" s="9"/>
    </row>
    <row r="349" customFormat="false" ht="15" hidden="false" customHeight="true" outlineLevel="0" collapsed="false">
      <c r="A349" s="6"/>
      <c r="B349" s="7"/>
      <c r="C349" s="8"/>
      <c r="D349" s="8"/>
      <c r="E349" s="8"/>
      <c r="F349" s="9"/>
      <c r="G349" s="8"/>
      <c r="H349" s="10" t="str">
        <f aca="false">IFERROR(INDEX('Operator Master'!$B$5:$B$504,MATCH(G349,'Operator Master'!$A$5:$A$504,0)),"")</f>
        <v/>
      </c>
      <c r="I349" s="9"/>
      <c r="J349" s="9"/>
      <c r="K349" s="8"/>
      <c r="L349" s="9"/>
      <c r="M349" s="9"/>
      <c r="N349" s="11"/>
      <c r="O349" s="11"/>
      <c r="P349" s="12" t="str">
        <f aca="false">IF(OR(N349="",O349=""),"",IFERROR(O349/N349*100,0))</f>
        <v/>
      </c>
      <c r="Q349" s="10" t="n">
        <v>8</v>
      </c>
      <c r="R349" s="12" t="str">
        <f aca="false">IF(J349="","",Q349*J349)</f>
        <v/>
      </c>
      <c r="S349" s="11"/>
      <c r="T349" s="12" t="str">
        <f aca="false">IF(OR(R349="",S349=""),"",IFERROR(S349/R349*100,0))</f>
        <v/>
      </c>
      <c r="U349" s="12" t="str">
        <f aca="false">IF(OR(O349="",L349="",M349="",S349="",M349=0),"",IFERROR(O349/(L349*60*S349/(M349*36))*100,0))</f>
        <v/>
      </c>
      <c r="V349" s="11"/>
      <c r="W349" s="12" t="str">
        <f aca="false">IF(O349="","",IFERROR(V349/O349*100,0))</f>
        <v/>
      </c>
      <c r="X349" s="11"/>
      <c r="Y349" s="11"/>
      <c r="Z349" s="11"/>
      <c r="AA349" s="11"/>
      <c r="AB349" s="11"/>
      <c r="AC349" s="11"/>
      <c r="AD349" s="11"/>
      <c r="AE349" s="11"/>
      <c r="AF349" s="12" t="str">
        <f aca="false">IF(O349="","",SUM(X349:AE349))</f>
        <v/>
      </c>
      <c r="AG349" s="12" t="str">
        <f aca="false">IF(O349="","",IFERROR(AF349/O349*1000,0))</f>
        <v/>
      </c>
      <c r="AH349" s="11"/>
      <c r="AI349" s="11"/>
      <c r="AJ349" s="11"/>
      <c r="AK349" s="9"/>
      <c r="AL349" s="9"/>
      <c r="AM349" s="9"/>
    </row>
    <row r="350" customFormat="false" ht="15" hidden="false" customHeight="true" outlineLevel="0" collapsed="false">
      <c r="A350" s="6"/>
      <c r="B350" s="7"/>
      <c r="C350" s="8"/>
      <c r="D350" s="8"/>
      <c r="E350" s="8"/>
      <c r="F350" s="9"/>
      <c r="G350" s="8"/>
      <c r="H350" s="10" t="str">
        <f aca="false">IFERROR(INDEX('Operator Master'!$B$5:$B$504,MATCH(G350,'Operator Master'!$A$5:$A$504,0)),"")</f>
        <v/>
      </c>
      <c r="I350" s="9"/>
      <c r="J350" s="9"/>
      <c r="K350" s="8"/>
      <c r="L350" s="9"/>
      <c r="M350" s="9"/>
      <c r="N350" s="11"/>
      <c r="O350" s="11"/>
      <c r="P350" s="12" t="str">
        <f aca="false">IF(OR(N350="",O350=""),"",IFERROR(O350/N350*100,0))</f>
        <v/>
      </c>
      <c r="Q350" s="10" t="n">
        <v>8</v>
      </c>
      <c r="R350" s="12" t="str">
        <f aca="false">IF(J350="","",Q350*J350)</f>
        <v/>
      </c>
      <c r="S350" s="11"/>
      <c r="T350" s="12" t="str">
        <f aca="false">IF(OR(R350="",S350=""),"",IFERROR(S350/R350*100,0))</f>
        <v/>
      </c>
      <c r="U350" s="12" t="str">
        <f aca="false">IF(OR(O350="",L350="",M350="",S350="",M350=0),"",IFERROR(O350/(L350*60*S350/(M350*36))*100,0))</f>
        <v/>
      </c>
      <c r="V350" s="11"/>
      <c r="W350" s="12" t="str">
        <f aca="false">IF(O350="","",IFERROR(V350/O350*100,0))</f>
        <v/>
      </c>
      <c r="X350" s="11"/>
      <c r="Y350" s="11"/>
      <c r="Z350" s="11"/>
      <c r="AA350" s="11"/>
      <c r="AB350" s="11"/>
      <c r="AC350" s="11"/>
      <c r="AD350" s="11"/>
      <c r="AE350" s="11"/>
      <c r="AF350" s="12" t="str">
        <f aca="false">IF(O350="","",SUM(X350:AE350))</f>
        <v/>
      </c>
      <c r="AG350" s="12" t="str">
        <f aca="false">IF(O350="","",IFERROR(AF350/O350*1000,0))</f>
        <v/>
      </c>
      <c r="AH350" s="11"/>
      <c r="AI350" s="11"/>
      <c r="AJ350" s="11"/>
      <c r="AK350" s="9"/>
      <c r="AL350" s="9"/>
      <c r="AM350" s="9"/>
    </row>
    <row r="351" customFormat="false" ht="15" hidden="false" customHeight="true" outlineLevel="0" collapsed="false">
      <c r="A351" s="6"/>
      <c r="B351" s="7"/>
      <c r="C351" s="8"/>
      <c r="D351" s="8"/>
      <c r="E351" s="8"/>
      <c r="F351" s="9"/>
      <c r="G351" s="8"/>
      <c r="H351" s="10" t="str">
        <f aca="false">IFERROR(INDEX('Operator Master'!$B$5:$B$504,MATCH(G351,'Operator Master'!$A$5:$A$504,0)),"")</f>
        <v/>
      </c>
      <c r="I351" s="9"/>
      <c r="J351" s="9"/>
      <c r="K351" s="8"/>
      <c r="L351" s="9"/>
      <c r="M351" s="9"/>
      <c r="N351" s="11"/>
      <c r="O351" s="11"/>
      <c r="P351" s="12" t="str">
        <f aca="false">IF(OR(N351="",O351=""),"",IFERROR(O351/N351*100,0))</f>
        <v/>
      </c>
      <c r="Q351" s="10" t="n">
        <v>8</v>
      </c>
      <c r="R351" s="12" t="str">
        <f aca="false">IF(J351="","",Q351*J351)</f>
        <v/>
      </c>
      <c r="S351" s="11"/>
      <c r="T351" s="12" t="str">
        <f aca="false">IF(OR(R351="",S351=""),"",IFERROR(S351/R351*100,0))</f>
        <v/>
      </c>
      <c r="U351" s="12" t="str">
        <f aca="false">IF(OR(O351="",L351="",M351="",S351="",M351=0),"",IFERROR(O351/(L351*60*S351/(M351*36))*100,0))</f>
        <v/>
      </c>
      <c r="V351" s="11"/>
      <c r="W351" s="12" t="str">
        <f aca="false">IF(O351="","",IFERROR(V351/O351*100,0))</f>
        <v/>
      </c>
      <c r="X351" s="11"/>
      <c r="Y351" s="11"/>
      <c r="Z351" s="11"/>
      <c r="AA351" s="11"/>
      <c r="AB351" s="11"/>
      <c r="AC351" s="11"/>
      <c r="AD351" s="11"/>
      <c r="AE351" s="11"/>
      <c r="AF351" s="12" t="str">
        <f aca="false">IF(O351="","",SUM(X351:AE351))</f>
        <v/>
      </c>
      <c r="AG351" s="12" t="str">
        <f aca="false">IF(O351="","",IFERROR(AF351/O351*1000,0))</f>
        <v/>
      </c>
      <c r="AH351" s="11"/>
      <c r="AI351" s="11"/>
      <c r="AJ351" s="11"/>
      <c r="AK351" s="9"/>
      <c r="AL351" s="9"/>
      <c r="AM351" s="9"/>
    </row>
    <row r="352" customFormat="false" ht="15" hidden="false" customHeight="true" outlineLevel="0" collapsed="false">
      <c r="A352" s="6"/>
      <c r="B352" s="7"/>
      <c r="C352" s="8"/>
      <c r="D352" s="8"/>
      <c r="E352" s="8"/>
      <c r="F352" s="9"/>
      <c r="G352" s="8"/>
      <c r="H352" s="10" t="str">
        <f aca="false">IFERROR(INDEX('Operator Master'!$B$5:$B$504,MATCH(G352,'Operator Master'!$A$5:$A$504,0)),"")</f>
        <v/>
      </c>
      <c r="I352" s="9"/>
      <c r="J352" s="9"/>
      <c r="K352" s="8"/>
      <c r="L352" s="9"/>
      <c r="M352" s="9"/>
      <c r="N352" s="11"/>
      <c r="O352" s="11"/>
      <c r="P352" s="12" t="str">
        <f aca="false">IF(OR(N352="",O352=""),"",IFERROR(O352/N352*100,0))</f>
        <v/>
      </c>
      <c r="Q352" s="10" t="n">
        <v>8</v>
      </c>
      <c r="R352" s="12" t="str">
        <f aca="false">IF(J352="","",Q352*J352)</f>
        <v/>
      </c>
      <c r="S352" s="11"/>
      <c r="T352" s="12" t="str">
        <f aca="false">IF(OR(R352="",S352=""),"",IFERROR(S352/R352*100,0))</f>
        <v/>
      </c>
      <c r="U352" s="12" t="str">
        <f aca="false">IF(OR(O352="",L352="",M352="",S352="",M352=0),"",IFERROR(O352/(L352*60*S352/(M352*36))*100,0))</f>
        <v/>
      </c>
      <c r="V352" s="11"/>
      <c r="W352" s="12" t="str">
        <f aca="false">IF(O352="","",IFERROR(V352/O352*100,0))</f>
        <v/>
      </c>
      <c r="X352" s="11"/>
      <c r="Y352" s="11"/>
      <c r="Z352" s="11"/>
      <c r="AA352" s="11"/>
      <c r="AB352" s="11"/>
      <c r="AC352" s="11"/>
      <c r="AD352" s="11"/>
      <c r="AE352" s="11"/>
      <c r="AF352" s="12" t="str">
        <f aca="false">IF(O352="","",SUM(X352:AE352))</f>
        <v/>
      </c>
      <c r="AG352" s="12" t="str">
        <f aca="false">IF(O352="","",IFERROR(AF352/O352*1000,0))</f>
        <v/>
      </c>
      <c r="AH352" s="11"/>
      <c r="AI352" s="11"/>
      <c r="AJ352" s="11"/>
      <c r="AK352" s="9"/>
      <c r="AL352" s="9"/>
      <c r="AM352" s="9"/>
    </row>
    <row r="353" customFormat="false" ht="15" hidden="false" customHeight="true" outlineLevel="0" collapsed="false">
      <c r="A353" s="6"/>
      <c r="B353" s="7"/>
      <c r="C353" s="8"/>
      <c r="D353" s="8"/>
      <c r="E353" s="8"/>
      <c r="F353" s="9"/>
      <c r="G353" s="8"/>
      <c r="H353" s="10" t="str">
        <f aca="false">IFERROR(INDEX('Operator Master'!$B$5:$B$504,MATCH(G353,'Operator Master'!$A$5:$A$504,0)),"")</f>
        <v/>
      </c>
      <c r="I353" s="9"/>
      <c r="J353" s="9"/>
      <c r="K353" s="8"/>
      <c r="L353" s="9"/>
      <c r="M353" s="9"/>
      <c r="N353" s="11"/>
      <c r="O353" s="11"/>
      <c r="P353" s="12" t="str">
        <f aca="false">IF(OR(N353="",O353=""),"",IFERROR(O353/N353*100,0))</f>
        <v/>
      </c>
      <c r="Q353" s="10" t="n">
        <v>8</v>
      </c>
      <c r="R353" s="12" t="str">
        <f aca="false">IF(J353="","",Q353*J353)</f>
        <v/>
      </c>
      <c r="S353" s="11"/>
      <c r="T353" s="12" t="str">
        <f aca="false">IF(OR(R353="",S353=""),"",IFERROR(S353/R353*100,0))</f>
        <v/>
      </c>
      <c r="U353" s="12" t="str">
        <f aca="false">IF(OR(O353="",L353="",M353="",S353="",M353=0),"",IFERROR(O353/(L353*60*S353/(M353*36))*100,0))</f>
        <v/>
      </c>
      <c r="V353" s="11"/>
      <c r="W353" s="12" t="str">
        <f aca="false">IF(O353="","",IFERROR(V353/O353*100,0))</f>
        <v/>
      </c>
      <c r="X353" s="11"/>
      <c r="Y353" s="11"/>
      <c r="Z353" s="11"/>
      <c r="AA353" s="11"/>
      <c r="AB353" s="11"/>
      <c r="AC353" s="11"/>
      <c r="AD353" s="11"/>
      <c r="AE353" s="11"/>
      <c r="AF353" s="12" t="str">
        <f aca="false">IF(O353="","",SUM(X353:AE353))</f>
        <v/>
      </c>
      <c r="AG353" s="12" t="str">
        <f aca="false">IF(O353="","",IFERROR(AF353/O353*1000,0))</f>
        <v/>
      </c>
      <c r="AH353" s="11"/>
      <c r="AI353" s="11"/>
      <c r="AJ353" s="11"/>
      <c r="AK353" s="9"/>
      <c r="AL353" s="9"/>
      <c r="AM353" s="9"/>
    </row>
    <row r="354" customFormat="false" ht="15" hidden="false" customHeight="true" outlineLevel="0" collapsed="false">
      <c r="A354" s="6"/>
      <c r="B354" s="7"/>
      <c r="C354" s="8"/>
      <c r="D354" s="8"/>
      <c r="E354" s="8"/>
      <c r="F354" s="9"/>
      <c r="G354" s="8"/>
      <c r="H354" s="10" t="str">
        <f aca="false">IFERROR(INDEX('Operator Master'!$B$5:$B$504,MATCH(G354,'Operator Master'!$A$5:$A$504,0)),"")</f>
        <v/>
      </c>
      <c r="I354" s="9"/>
      <c r="J354" s="9"/>
      <c r="K354" s="8"/>
      <c r="L354" s="9"/>
      <c r="M354" s="9"/>
      <c r="N354" s="11"/>
      <c r="O354" s="11"/>
      <c r="P354" s="12" t="str">
        <f aca="false">IF(OR(N354="",O354=""),"",IFERROR(O354/N354*100,0))</f>
        <v/>
      </c>
      <c r="Q354" s="10" t="n">
        <v>8</v>
      </c>
      <c r="R354" s="12" t="str">
        <f aca="false">IF(J354="","",Q354*J354)</f>
        <v/>
      </c>
      <c r="S354" s="11"/>
      <c r="T354" s="12" t="str">
        <f aca="false">IF(OR(R354="",S354=""),"",IFERROR(S354/R354*100,0))</f>
        <v/>
      </c>
      <c r="U354" s="12" t="str">
        <f aca="false">IF(OR(O354="",L354="",M354="",S354="",M354=0),"",IFERROR(O354/(L354*60*S354/(M354*36))*100,0))</f>
        <v/>
      </c>
      <c r="V354" s="11"/>
      <c r="W354" s="12" t="str">
        <f aca="false">IF(O354="","",IFERROR(V354/O354*100,0))</f>
        <v/>
      </c>
      <c r="X354" s="11"/>
      <c r="Y354" s="11"/>
      <c r="Z354" s="11"/>
      <c r="AA354" s="11"/>
      <c r="AB354" s="11"/>
      <c r="AC354" s="11"/>
      <c r="AD354" s="11"/>
      <c r="AE354" s="11"/>
      <c r="AF354" s="12" t="str">
        <f aca="false">IF(O354="","",SUM(X354:AE354))</f>
        <v/>
      </c>
      <c r="AG354" s="12" t="str">
        <f aca="false">IF(O354="","",IFERROR(AF354/O354*1000,0))</f>
        <v/>
      </c>
      <c r="AH354" s="11"/>
      <c r="AI354" s="11"/>
      <c r="AJ354" s="11"/>
      <c r="AK354" s="9"/>
      <c r="AL354" s="9"/>
      <c r="AM354" s="9"/>
    </row>
    <row r="355" customFormat="false" ht="15" hidden="false" customHeight="true" outlineLevel="0" collapsed="false">
      <c r="A355" s="6"/>
      <c r="B355" s="7"/>
      <c r="C355" s="8"/>
      <c r="D355" s="8"/>
      <c r="E355" s="8"/>
      <c r="F355" s="9"/>
      <c r="G355" s="8"/>
      <c r="H355" s="10" t="str">
        <f aca="false">IFERROR(INDEX('Operator Master'!$B$5:$B$504,MATCH(G355,'Operator Master'!$A$5:$A$504,0)),"")</f>
        <v/>
      </c>
      <c r="I355" s="9"/>
      <c r="J355" s="9"/>
      <c r="K355" s="8"/>
      <c r="L355" s="9"/>
      <c r="M355" s="9"/>
      <c r="N355" s="11"/>
      <c r="O355" s="11"/>
      <c r="P355" s="12" t="str">
        <f aca="false">IF(OR(N355="",O355=""),"",IFERROR(O355/N355*100,0))</f>
        <v/>
      </c>
      <c r="Q355" s="10" t="n">
        <v>8</v>
      </c>
      <c r="R355" s="12" t="str">
        <f aca="false">IF(J355="","",Q355*J355)</f>
        <v/>
      </c>
      <c r="S355" s="11"/>
      <c r="T355" s="12" t="str">
        <f aca="false">IF(OR(R355="",S355=""),"",IFERROR(S355/R355*100,0))</f>
        <v/>
      </c>
      <c r="U355" s="12" t="str">
        <f aca="false">IF(OR(O355="",L355="",M355="",S355="",M355=0),"",IFERROR(O355/(L355*60*S355/(M355*36))*100,0))</f>
        <v/>
      </c>
      <c r="V355" s="11"/>
      <c r="W355" s="12" t="str">
        <f aca="false">IF(O355="","",IFERROR(V355/O355*100,0))</f>
        <v/>
      </c>
      <c r="X355" s="11"/>
      <c r="Y355" s="11"/>
      <c r="Z355" s="11"/>
      <c r="AA355" s="11"/>
      <c r="AB355" s="11"/>
      <c r="AC355" s="11"/>
      <c r="AD355" s="11"/>
      <c r="AE355" s="11"/>
      <c r="AF355" s="12" t="str">
        <f aca="false">IF(O355="","",SUM(X355:AE355))</f>
        <v/>
      </c>
      <c r="AG355" s="12" t="str">
        <f aca="false">IF(O355="","",IFERROR(AF355/O355*1000,0))</f>
        <v/>
      </c>
      <c r="AH355" s="11"/>
      <c r="AI355" s="11"/>
      <c r="AJ355" s="11"/>
      <c r="AK355" s="9"/>
      <c r="AL355" s="9"/>
      <c r="AM355" s="9"/>
    </row>
    <row r="356" customFormat="false" ht="15" hidden="false" customHeight="true" outlineLevel="0" collapsed="false">
      <c r="A356" s="6"/>
      <c r="B356" s="7"/>
      <c r="C356" s="8"/>
      <c r="D356" s="8"/>
      <c r="E356" s="8"/>
      <c r="F356" s="9"/>
      <c r="G356" s="8"/>
      <c r="H356" s="10" t="str">
        <f aca="false">IFERROR(INDEX('Operator Master'!$B$5:$B$504,MATCH(G356,'Operator Master'!$A$5:$A$504,0)),"")</f>
        <v/>
      </c>
      <c r="I356" s="9"/>
      <c r="J356" s="9"/>
      <c r="K356" s="8"/>
      <c r="L356" s="9"/>
      <c r="M356" s="9"/>
      <c r="N356" s="11"/>
      <c r="O356" s="11"/>
      <c r="P356" s="12" t="str">
        <f aca="false">IF(OR(N356="",O356=""),"",IFERROR(O356/N356*100,0))</f>
        <v/>
      </c>
      <c r="Q356" s="10" t="n">
        <v>8</v>
      </c>
      <c r="R356" s="12" t="str">
        <f aca="false">IF(J356="","",Q356*J356)</f>
        <v/>
      </c>
      <c r="S356" s="11"/>
      <c r="T356" s="12" t="str">
        <f aca="false">IF(OR(R356="",S356=""),"",IFERROR(S356/R356*100,0))</f>
        <v/>
      </c>
      <c r="U356" s="12" t="str">
        <f aca="false">IF(OR(O356="",L356="",M356="",S356="",M356=0),"",IFERROR(O356/(L356*60*S356/(M356*36))*100,0))</f>
        <v/>
      </c>
      <c r="V356" s="11"/>
      <c r="W356" s="12" t="str">
        <f aca="false">IF(O356="","",IFERROR(V356/O356*100,0))</f>
        <v/>
      </c>
      <c r="X356" s="11"/>
      <c r="Y356" s="11"/>
      <c r="Z356" s="11"/>
      <c r="AA356" s="11"/>
      <c r="AB356" s="11"/>
      <c r="AC356" s="11"/>
      <c r="AD356" s="11"/>
      <c r="AE356" s="11"/>
      <c r="AF356" s="12" t="str">
        <f aca="false">IF(O356="","",SUM(X356:AE356))</f>
        <v/>
      </c>
      <c r="AG356" s="12" t="str">
        <f aca="false">IF(O356="","",IFERROR(AF356/O356*1000,0))</f>
        <v/>
      </c>
      <c r="AH356" s="11"/>
      <c r="AI356" s="11"/>
      <c r="AJ356" s="11"/>
      <c r="AK356" s="9"/>
      <c r="AL356" s="9"/>
      <c r="AM356" s="9"/>
    </row>
    <row r="357" customFormat="false" ht="15" hidden="false" customHeight="true" outlineLevel="0" collapsed="false">
      <c r="A357" s="6"/>
      <c r="B357" s="7"/>
      <c r="C357" s="8"/>
      <c r="D357" s="8"/>
      <c r="E357" s="8"/>
      <c r="F357" s="9"/>
      <c r="G357" s="8"/>
      <c r="H357" s="10" t="str">
        <f aca="false">IFERROR(INDEX('Operator Master'!$B$5:$B$504,MATCH(G357,'Operator Master'!$A$5:$A$504,0)),"")</f>
        <v/>
      </c>
      <c r="I357" s="9"/>
      <c r="J357" s="9"/>
      <c r="K357" s="8"/>
      <c r="L357" s="9"/>
      <c r="M357" s="9"/>
      <c r="N357" s="11"/>
      <c r="O357" s="11"/>
      <c r="P357" s="12" t="str">
        <f aca="false">IF(OR(N357="",O357=""),"",IFERROR(O357/N357*100,0))</f>
        <v/>
      </c>
      <c r="Q357" s="10" t="n">
        <v>8</v>
      </c>
      <c r="R357" s="12" t="str">
        <f aca="false">IF(J357="","",Q357*J357)</f>
        <v/>
      </c>
      <c r="S357" s="11"/>
      <c r="T357" s="12" t="str">
        <f aca="false">IF(OR(R357="",S357=""),"",IFERROR(S357/R357*100,0))</f>
        <v/>
      </c>
      <c r="U357" s="12" t="str">
        <f aca="false">IF(OR(O357="",L357="",M357="",S357="",M357=0),"",IFERROR(O357/(L357*60*S357/(M357*36))*100,0))</f>
        <v/>
      </c>
      <c r="V357" s="11"/>
      <c r="W357" s="12" t="str">
        <f aca="false">IF(O357="","",IFERROR(V357/O357*100,0))</f>
        <v/>
      </c>
      <c r="X357" s="11"/>
      <c r="Y357" s="11"/>
      <c r="Z357" s="11"/>
      <c r="AA357" s="11"/>
      <c r="AB357" s="11"/>
      <c r="AC357" s="11"/>
      <c r="AD357" s="11"/>
      <c r="AE357" s="11"/>
      <c r="AF357" s="12" t="str">
        <f aca="false">IF(O357="","",SUM(X357:AE357))</f>
        <v/>
      </c>
      <c r="AG357" s="12" t="str">
        <f aca="false">IF(O357="","",IFERROR(AF357/O357*1000,0))</f>
        <v/>
      </c>
      <c r="AH357" s="11"/>
      <c r="AI357" s="11"/>
      <c r="AJ357" s="11"/>
      <c r="AK357" s="9"/>
      <c r="AL357" s="9"/>
      <c r="AM357" s="9"/>
    </row>
    <row r="358" customFormat="false" ht="15" hidden="false" customHeight="true" outlineLevel="0" collapsed="false">
      <c r="A358" s="6"/>
      <c r="B358" s="7"/>
      <c r="C358" s="8"/>
      <c r="D358" s="8"/>
      <c r="E358" s="8"/>
      <c r="F358" s="9"/>
      <c r="G358" s="8"/>
      <c r="H358" s="10" t="str">
        <f aca="false">IFERROR(INDEX('Operator Master'!$B$5:$B$504,MATCH(G358,'Operator Master'!$A$5:$A$504,0)),"")</f>
        <v/>
      </c>
      <c r="I358" s="9"/>
      <c r="J358" s="9"/>
      <c r="K358" s="8"/>
      <c r="L358" s="9"/>
      <c r="M358" s="9"/>
      <c r="N358" s="11"/>
      <c r="O358" s="11"/>
      <c r="P358" s="12" t="str">
        <f aca="false">IF(OR(N358="",O358=""),"",IFERROR(O358/N358*100,0))</f>
        <v/>
      </c>
      <c r="Q358" s="10" t="n">
        <v>8</v>
      </c>
      <c r="R358" s="12" t="str">
        <f aca="false">IF(J358="","",Q358*J358)</f>
        <v/>
      </c>
      <c r="S358" s="11"/>
      <c r="T358" s="12" t="str">
        <f aca="false">IF(OR(R358="",S358=""),"",IFERROR(S358/R358*100,0))</f>
        <v/>
      </c>
      <c r="U358" s="12" t="str">
        <f aca="false">IF(OR(O358="",L358="",M358="",S358="",M358=0),"",IFERROR(O358/(L358*60*S358/(M358*36))*100,0))</f>
        <v/>
      </c>
      <c r="V358" s="11"/>
      <c r="W358" s="12" t="str">
        <f aca="false">IF(O358="","",IFERROR(V358/O358*100,0))</f>
        <v/>
      </c>
      <c r="X358" s="11"/>
      <c r="Y358" s="11"/>
      <c r="Z358" s="11"/>
      <c r="AA358" s="11"/>
      <c r="AB358" s="11"/>
      <c r="AC358" s="11"/>
      <c r="AD358" s="11"/>
      <c r="AE358" s="11"/>
      <c r="AF358" s="12" t="str">
        <f aca="false">IF(O358="","",SUM(X358:AE358))</f>
        <v/>
      </c>
      <c r="AG358" s="12" t="str">
        <f aca="false">IF(O358="","",IFERROR(AF358/O358*1000,0))</f>
        <v/>
      </c>
      <c r="AH358" s="11"/>
      <c r="AI358" s="11"/>
      <c r="AJ358" s="11"/>
      <c r="AK358" s="9"/>
      <c r="AL358" s="9"/>
      <c r="AM358" s="9"/>
    </row>
    <row r="359" customFormat="false" ht="15" hidden="false" customHeight="true" outlineLevel="0" collapsed="false">
      <c r="A359" s="6"/>
      <c r="B359" s="7"/>
      <c r="C359" s="8"/>
      <c r="D359" s="8"/>
      <c r="E359" s="8"/>
      <c r="F359" s="9"/>
      <c r="G359" s="8"/>
      <c r="H359" s="10" t="str">
        <f aca="false">IFERROR(INDEX('Operator Master'!$B$5:$B$504,MATCH(G359,'Operator Master'!$A$5:$A$504,0)),"")</f>
        <v/>
      </c>
      <c r="I359" s="9"/>
      <c r="J359" s="9"/>
      <c r="K359" s="8"/>
      <c r="L359" s="9"/>
      <c r="M359" s="9"/>
      <c r="N359" s="11"/>
      <c r="O359" s="11"/>
      <c r="P359" s="12" t="str">
        <f aca="false">IF(OR(N359="",O359=""),"",IFERROR(O359/N359*100,0))</f>
        <v/>
      </c>
      <c r="Q359" s="10" t="n">
        <v>8</v>
      </c>
      <c r="R359" s="12" t="str">
        <f aca="false">IF(J359="","",Q359*J359)</f>
        <v/>
      </c>
      <c r="S359" s="11"/>
      <c r="T359" s="12" t="str">
        <f aca="false">IF(OR(R359="",S359=""),"",IFERROR(S359/R359*100,0))</f>
        <v/>
      </c>
      <c r="U359" s="12" t="str">
        <f aca="false">IF(OR(O359="",L359="",M359="",S359="",M359=0),"",IFERROR(O359/(L359*60*S359/(M359*36))*100,0))</f>
        <v/>
      </c>
      <c r="V359" s="11"/>
      <c r="W359" s="12" t="str">
        <f aca="false">IF(O359="","",IFERROR(V359/O359*100,0))</f>
        <v/>
      </c>
      <c r="X359" s="11"/>
      <c r="Y359" s="11"/>
      <c r="Z359" s="11"/>
      <c r="AA359" s="11"/>
      <c r="AB359" s="11"/>
      <c r="AC359" s="11"/>
      <c r="AD359" s="11"/>
      <c r="AE359" s="11"/>
      <c r="AF359" s="12" t="str">
        <f aca="false">IF(O359="","",SUM(X359:AE359))</f>
        <v/>
      </c>
      <c r="AG359" s="12" t="str">
        <f aca="false">IF(O359="","",IFERROR(AF359/O359*1000,0))</f>
        <v/>
      </c>
      <c r="AH359" s="11"/>
      <c r="AI359" s="11"/>
      <c r="AJ359" s="11"/>
      <c r="AK359" s="9"/>
      <c r="AL359" s="9"/>
      <c r="AM359" s="9"/>
    </row>
    <row r="360" customFormat="false" ht="15" hidden="false" customHeight="true" outlineLevel="0" collapsed="false">
      <c r="A360" s="6"/>
      <c r="B360" s="7"/>
      <c r="C360" s="8"/>
      <c r="D360" s="8"/>
      <c r="E360" s="8"/>
      <c r="F360" s="9"/>
      <c r="G360" s="8"/>
      <c r="H360" s="10" t="str">
        <f aca="false">IFERROR(INDEX('Operator Master'!$B$5:$B$504,MATCH(G360,'Operator Master'!$A$5:$A$504,0)),"")</f>
        <v/>
      </c>
      <c r="I360" s="9"/>
      <c r="J360" s="9"/>
      <c r="K360" s="8"/>
      <c r="L360" s="9"/>
      <c r="M360" s="9"/>
      <c r="N360" s="11"/>
      <c r="O360" s="11"/>
      <c r="P360" s="12" t="str">
        <f aca="false">IF(OR(N360="",O360=""),"",IFERROR(O360/N360*100,0))</f>
        <v/>
      </c>
      <c r="Q360" s="10" t="n">
        <v>8</v>
      </c>
      <c r="R360" s="12" t="str">
        <f aca="false">IF(J360="","",Q360*J360)</f>
        <v/>
      </c>
      <c r="S360" s="11"/>
      <c r="T360" s="12" t="str">
        <f aca="false">IF(OR(R360="",S360=""),"",IFERROR(S360/R360*100,0))</f>
        <v/>
      </c>
      <c r="U360" s="12" t="str">
        <f aca="false">IF(OR(O360="",L360="",M360="",S360="",M360=0),"",IFERROR(O360/(L360*60*S360/(M360*36))*100,0))</f>
        <v/>
      </c>
      <c r="V360" s="11"/>
      <c r="W360" s="12" t="str">
        <f aca="false">IF(O360="","",IFERROR(V360/O360*100,0))</f>
        <v/>
      </c>
      <c r="X360" s="11"/>
      <c r="Y360" s="11"/>
      <c r="Z360" s="11"/>
      <c r="AA360" s="11"/>
      <c r="AB360" s="11"/>
      <c r="AC360" s="11"/>
      <c r="AD360" s="11"/>
      <c r="AE360" s="11"/>
      <c r="AF360" s="12" t="str">
        <f aca="false">IF(O360="","",SUM(X360:AE360))</f>
        <v/>
      </c>
      <c r="AG360" s="12" t="str">
        <f aca="false">IF(O360="","",IFERROR(AF360/O360*1000,0))</f>
        <v/>
      </c>
      <c r="AH360" s="11"/>
      <c r="AI360" s="11"/>
      <c r="AJ360" s="11"/>
      <c r="AK360" s="9"/>
      <c r="AL360" s="9"/>
      <c r="AM360" s="9"/>
    </row>
    <row r="361" customFormat="false" ht="15" hidden="false" customHeight="true" outlineLevel="0" collapsed="false">
      <c r="A361" s="6"/>
      <c r="B361" s="7"/>
      <c r="C361" s="8"/>
      <c r="D361" s="8"/>
      <c r="E361" s="8"/>
      <c r="F361" s="9"/>
      <c r="G361" s="8"/>
      <c r="H361" s="10" t="str">
        <f aca="false">IFERROR(INDEX('Operator Master'!$B$5:$B$504,MATCH(G361,'Operator Master'!$A$5:$A$504,0)),"")</f>
        <v/>
      </c>
      <c r="I361" s="9"/>
      <c r="J361" s="9"/>
      <c r="K361" s="8"/>
      <c r="L361" s="9"/>
      <c r="M361" s="9"/>
      <c r="N361" s="11"/>
      <c r="O361" s="11"/>
      <c r="P361" s="12" t="str">
        <f aca="false">IF(OR(N361="",O361=""),"",IFERROR(O361/N361*100,0))</f>
        <v/>
      </c>
      <c r="Q361" s="10" t="n">
        <v>8</v>
      </c>
      <c r="R361" s="12" t="str">
        <f aca="false">IF(J361="","",Q361*J361)</f>
        <v/>
      </c>
      <c r="S361" s="11"/>
      <c r="T361" s="12" t="str">
        <f aca="false">IF(OR(R361="",S361=""),"",IFERROR(S361/R361*100,0))</f>
        <v/>
      </c>
      <c r="U361" s="12" t="str">
        <f aca="false">IF(OR(O361="",L361="",M361="",S361="",M361=0),"",IFERROR(O361/(L361*60*S361/(M361*36))*100,0))</f>
        <v/>
      </c>
      <c r="V361" s="11"/>
      <c r="W361" s="12" t="str">
        <f aca="false">IF(O361="","",IFERROR(V361/O361*100,0))</f>
        <v/>
      </c>
      <c r="X361" s="11"/>
      <c r="Y361" s="11"/>
      <c r="Z361" s="11"/>
      <c r="AA361" s="11"/>
      <c r="AB361" s="11"/>
      <c r="AC361" s="11"/>
      <c r="AD361" s="11"/>
      <c r="AE361" s="11"/>
      <c r="AF361" s="12" t="str">
        <f aca="false">IF(O361="","",SUM(X361:AE361))</f>
        <v/>
      </c>
      <c r="AG361" s="12" t="str">
        <f aca="false">IF(O361="","",IFERROR(AF361/O361*1000,0))</f>
        <v/>
      </c>
      <c r="AH361" s="11"/>
      <c r="AI361" s="11"/>
      <c r="AJ361" s="11"/>
      <c r="AK361" s="9"/>
      <c r="AL361" s="9"/>
      <c r="AM361" s="9"/>
    </row>
    <row r="362" customFormat="false" ht="15" hidden="false" customHeight="true" outlineLevel="0" collapsed="false">
      <c r="A362" s="6"/>
      <c r="B362" s="7"/>
      <c r="C362" s="8"/>
      <c r="D362" s="8"/>
      <c r="E362" s="8"/>
      <c r="F362" s="9"/>
      <c r="G362" s="8"/>
      <c r="H362" s="10" t="str">
        <f aca="false">IFERROR(INDEX('Operator Master'!$B$5:$B$504,MATCH(G362,'Operator Master'!$A$5:$A$504,0)),"")</f>
        <v/>
      </c>
      <c r="I362" s="9"/>
      <c r="J362" s="9"/>
      <c r="K362" s="8"/>
      <c r="L362" s="9"/>
      <c r="M362" s="9"/>
      <c r="N362" s="11"/>
      <c r="O362" s="11"/>
      <c r="P362" s="12" t="str">
        <f aca="false">IF(OR(N362="",O362=""),"",IFERROR(O362/N362*100,0))</f>
        <v/>
      </c>
      <c r="Q362" s="10" t="n">
        <v>8</v>
      </c>
      <c r="R362" s="12" t="str">
        <f aca="false">IF(J362="","",Q362*J362)</f>
        <v/>
      </c>
      <c r="S362" s="11"/>
      <c r="T362" s="12" t="str">
        <f aca="false">IF(OR(R362="",S362=""),"",IFERROR(S362/R362*100,0))</f>
        <v/>
      </c>
      <c r="U362" s="12" t="str">
        <f aca="false">IF(OR(O362="",L362="",M362="",S362="",M362=0),"",IFERROR(O362/(L362*60*S362/(M362*36))*100,0))</f>
        <v/>
      </c>
      <c r="V362" s="11"/>
      <c r="W362" s="12" t="str">
        <f aca="false">IF(O362="","",IFERROR(V362/O362*100,0))</f>
        <v/>
      </c>
      <c r="X362" s="11"/>
      <c r="Y362" s="11"/>
      <c r="Z362" s="11"/>
      <c r="AA362" s="11"/>
      <c r="AB362" s="11"/>
      <c r="AC362" s="11"/>
      <c r="AD362" s="11"/>
      <c r="AE362" s="11"/>
      <c r="AF362" s="12" t="str">
        <f aca="false">IF(O362="","",SUM(X362:AE362))</f>
        <v/>
      </c>
      <c r="AG362" s="12" t="str">
        <f aca="false">IF(O362="","",IFERROR(AF362/O362*1000,0))</f>
        <v/>
      </c>
      <c r="AH362" s="11"/>
      <c r="AI362" s="11"/>
      <c r="AJ362" s="11"/>
      <c r="AK362" s="9"/>
      <c r="AL362" s="9"/>
      <c r="AM362" s="9"/>
    </row>
    <row r="363" customFormat="false" ht="15" hidden="false" customHeight="true" outlineLevel="0" collapsed="false">
      <c r="A363" s="6"/>
      <c r="B363" s="7"/>
      <c r="C363" s="8"/>
      <c r="D363" s="8"/>
      <c r="E363" s="8"/>
      <c r="F363" s="9"/>
      <c r="G363" s="8"/>
      <c r="H363" s="10" t="str">
        <f aca="false">IFERROR(INDEX('Operator Master'!$B$5:$B$504,MATCH(G363,'Operator Master'!$A$5:$A$504,0)),"")</f>
        <v/>
      </c>
      <c r="I363" s="9"/>
      <c r="J363" s="9"/>
      <c r="K363" s="8"/>
      <c r="L363" s="9"/>
      <c r="M363" s="9"/>
      <c r="N363" s="11"/>
      <c r="O363" s="11"/>
      <c r="P363" s="12" t="str">
        <f aca="false">IF(OR(N363="",O363=""),"",IFERROR(O363/N363*100,0))</f>
        <v/>
      </c>
      <c r="Q363" s="10" t="n">
        <v>8</v>
      </c>
      <c r="R363" s="12" t="str">
        <f aca="false">IF(J363="","",Q363*J363)</f>
        <v/>
      </c>
      <c r="S363" s="11"/>
      <c r="T363" s="12" t="str">
        <f aca="false">IF(OR(R363="",S363=""),"",IFERROR(S363/R363*100,0))</f>
        <v/>
      </c>
      <c r="U363" s="12" t="str">
        <f aca="false">IF(OR(O363="",L363="",M363="",S363="",M363=0),"",IFERROR(O363/(L363*60*S363/(M363*36))*100,0))</f>
        <v/>
      </c>
      <c r="V363" s="11"/>
      <c r="W363" s="12" t="str">
        <f aca="false">IF(O363="","",IFERROR(V363/O363*100,0))</f>
        <v/>
      </c>
      <c r="X363" s="11"/>
      <c r="Y363" s="11"/>
      <c r="Z363" s="11"/>
      <c r="AA363" s="11"/>
      <c r="AB363" s="11"/>
      <c r="AC363" s="11"/>
      <c r="AD363" s="11"/>
      <c r="AE363" s="11"/>
      <c r="AF363" s="12" t="str">
        <f aca="false">IF(O363="","",SUM(X363:AE363))</f>
        <v/>
      </c>
      <c r="AG363" s="12" t="str">
        <f aca="false">IF(O363="","",IFERROR(AF363/O363*1000,0))</f>
        <v/>
      </c>
      <c r="AH363" s="11"/>
      <c r="AI363" s="11"/>
      <c r="AJ363" s="11"/>
      <c r="AK363" s="9"/>
      <c r="AL363" s="9"/>
      <c r="AM363" s="9"/>
    </row>
    <row r="364" customFormat="false" ht="15" hidden="false" customHeight="true" outlineLevel="0" collapsed="false">
      <c r="A364" s="6"/>
      <c r="B364" s="7"/>
      <c r="C364" s="8"/>
      <c r="D364" s="8"/>
      <c r="E364" s="8"/>
      <c r="F364" s="9"/>
      <c r="G364" s="8"/>
      <c r="H364" s="10" t="str">
        <f aca="false">IFERROR(INDEX('Operator Master'!$B$5:$B$504,MATCH(G364,'Operator Master'!$A$5:$A$504,0)),"")</f>
        <v/>
      </c>
      <c r="I364" s="9"/>
      <c r="J364" s="9"/>
      <c r="K364" s="8"/>
      <c r="L364" s="9"/>
      <c r="M364" s="9"/>
      <c r="N364" s="11"/>
      <c r="O364" s="11"/>
      <c r="P364" s="12" t="str">
        <f aca="false">IF(OR(N364="",O364=""),"",IFERROR(O364/N364*100,0))</f>
        <v/>
      </c>
      <c r="Q364" s="10" t="n">
        <v>8</v>
      </c>
      <c r="R364" s="12" t="str">
        <f aca="false">IF(J364="","",Q364*J364)</f>
        <v/>
      </c>
      <c r="S364" s="11"/>
      <c r="T364" s="12" t="str">
        <f aca="false">IF(OR(R364="",S364=""),"",IFERROR(S364/R364*100,0))</f>
        <v/>
      </c>
      <c r="U364" s="12" t="str">
        <f aca="false">IF(OR(O364="",L364="",M364="",S364="",M364=0),"",IFERROR(O364/(L364*60*S364/(M364*36))*100,0))</f>
        <v/>
      </c>
      <c r="V364" s="11"/>
      <c r="W364" s="12" t="str">
        <f aca="false">IF(O364="","",IFERROR(V364/O364*100,0))</f>
        <v/>
      </c>
      <c r="X364" s="11"/>
      <c r="Y364" s="11"/>
      <c r="Z364" s="11"/>
      <c r="AA364" s="11"/>
      <c r="AB364" s="11"/>
      <c r="AC364" s="11"/>
      <c r="AD364" s="11"/>
      <c r="AE364" s="11"/>
      <c r="AF364" s="12" t="str">
        <f aca="false">IF(O364="","",SUM(X364:AE364))</f>
        <v/>
      </c>
      <c r="AG364" s="12" t="str">
        <f aca="false">IF(O364="","",IFERROR(AF364/O364*1000,0))</f>
        <v/>
      </c>
      <c r="AH364" s="11"/>
      <c r="AI364" s="11"/>
      <c r="AJ364" s="11"/>
      <c r="AK364" s="9"/>
      <c r="AL364" s="9"/>
      <c r="AM364" s="9"/>
    </row>
    <row r="365" customFormat="false" ht="15" hidden="false" customHeight="true" outlineLevel="0" collapsed="false">
      <c r="A365" s="6"/>
      <c r="B365" s="7"/>
      <c r="C365" s="8"/>
      <c r="D365" s="8"/>
      <c r="E365" s="8"/>
      <c r="F365" s="9"/>
      <c r="G365" s="8"/>
      <c r="H365" s="10" t="str">
        <f aca="false">IFERROR(INDEX('Operator Master'!$B$5:$B$504,MATCH(G365,'Operator Master'!$A$5:$A$504,0)),"")</f>
        <v/>
      </c>
      <c r="I365" s="9"/>
      <c r="J365" s="9"/>
      <c r="K365" s="8"/>
      <c r="L365" s="9"/>
      <c r="M365" s="9"/>
      <c r="N365" s="11"/>
      <c r="O365" s="11"/>
      <c r="P365" s="12" t="str">
        <f aca="false">IF(OR(N365="",O365=""),"",IFERROR(O365/N365*100,0))</f>
        <v/>
      </c>
      <c r="Q365" s="10" t="n">
        <v>8</v>
      </c>
      <c r="R365" s="12" t="str">
        <f aca="false">IF(J365="","",Q365*J365)</f>
        <v/>
      </c>
      <c r="S365" s="11"/>
      <c r="T365" s="12" t="str">
        <f aca="false">IF(OR(R365="",S365=""),"",IFERROR(S365/R365*100,0))</f>
        <v/>
      </c>
      <c r="U365" s="12" t="str">
        <f aca="false">IF(OR(O365="",L365="",M365="",S365="",M365=0),"",IFERROR(O365/(L365*60*S365/(M365*36))*100,0))</f>
        <v/>
      </c>
      <c r="V365" s="11"/>
      <c r="W365" s="12" t="str">
        <f aca="false">IF(O365="","",IFERROR(V365/O365*100,0))</f>
        <v/>
      </c>
      <c r="X365" s="11"/>
      <c r="Y365" s="11"/>
      <c r="Z365" s="11"/>
      <c r="AA365" s="11"/>
      <c r="AB365" s="11"/>
      <c r="AC365" s="11"/>
      <c r="AD365" s="11"/>
      <c r="AE365" s="11"/>
      <c r="AF365" s="12" t="str">
        <f aca="false">IF(O365="","",SUM(X365:AE365))</f>
        <v/>
      </c>
      <c r="AG365" s="12" t="str">
        <f aca="false">IF(O365="","",IFERROR(AF365/O365*1000,0))</f>
        <v/>
      </c>
      <c r="AH365" s="11"/>
      <c r="AI365" s="11"/>
      <c r="AJ365" s="11"/>
      <c r="AK365" s="9"/>
      <c r="AL365" s="9"/>
      <c r="AM365" s="9"/>
    </row>
    <row r="366" customFormat="false" ht="15" hidden="false" customHeight="true" outlineLevel="0" collapsed="false">
      <c r="A366" s="6"/>
      <c r="B366" s="7"/>
      <c r="C366" s="8"/>
      <c r="D366" s="8"/>
      <c r="E366" s="8"/>
      <c r="F366" s="9"/>
      <c r="G366" s="8"/>
      <c r="H366" s="10" t="str">
        <f aca="false">IFERROR(INDEX('Operator Master'!$B$5:$B$504,MATCH(G366,'Operator Master'!$A$5:$A$504,0)),"")</f>
        <v/>
      </c>
      <c r="I366" s="9"/>
      <c r="J366" s="9"/>
      <c r="K366" s="8"/>
      <c r="L366" s="9"/>
      <c r="M366" s="9"/>
      <c r="N366" s="11"/>
      <c r="O366" s="11"/>
      <c r="P366" s="12" t="str">
        <f aca="false">IF(OR(N366="",O366=""),"",IFERROR(O366/N366*100,0))</f>
        <v/>
      </c>
      <c r="Q366" s="10" t="n">
        <v>8</v>
      </c>
      <c r="R366" s="12" t="str">
        <f aca="false">IF(J366="","",Q366*J366)</f>
        <v/>
      </c>
      <c r="S366" s="11"/>
      <c r="T366" s="12" t="str">
        <f aca="false">IF(OR(R366="",S366=""),"",IFERROR(S366/R366*100,0))</f>
        <v/>
      </c>
      <c r="U366" s="12" t="str">
        <f aca="false">IF(OR(O366="",L366="",M366="",S366="",M366=0),"",IFERROR(O366/(L366*60*S366/(M366*36))*100,0))</f>
        <v/>
      </c>
      <c r="V366" s="11"/>
      <c r="W366" s="12" t="str">
        <f aca="false">IF(O366="","",IFERROR(V366/O366*100,0))</f>
        <v/>
      </c>
      <c r="X366" s="11"/>
      <c r="Y366" s="11"/>
      <c r="Z366" s="11"/>
      <c r="AA366" s="11"/>
      <c r="AB366" s="11"/>
      <c r="AC366" s="11"/>
      <c r="AD366" s="11"/>
      <c r="AE366" s="11"/>
      <c r="AF366" s="12" t="str">
        <f aca="false">IF(O366="","",SUM(X366:AE366))</f>
        <v/>
      </c>
      <c r="AG366" s="12" t="str">
        <f aca="false">IF(O366="","",IFERROR(AF366/O366*1000,0))</f>
        <v/>
      </c>
      <c r="AH366" s="11"/>
      <c r="AI366" s="11"/>
      <c r="AJ366" s="11"/>
      <c r="AK366" s="9"/>
      <c r="AL366" s="9"/>
      <c r="AM366" s="9"/>
    </row>
    <row r="367" customFormat="false" ht="15" hidden="false" customHeight="true" outlineLevel="0" collapsed="false">
      <c r="A367" s="6"/>
      <c r="B367" s="7"/>
      <c r="C367" s="8"/>
      <c r="D367" s="8"/>
      <c r="E367" s="8"/>
      <c r="F367" s="9"/>
      <c r="G367" s="8"/>
      <c r="H367" s="10" t="str">
        <f aca="false">IFERROR(INDEX('Operator Master'!$B$5:$B$504,MATCH(G367,'Operator Master'!$A$5:$A$504,0)),"")</f>
        <v/>
      </c>
      <c r="I367" s="9"/>
      <c r="J367" s="9"/>
      <c r="K367" s="8"/>
      <c r="L367" s="9"/>
      <c r="M367" s="9"/>
      <c r="N367" s="11"/>
      <c r="O367" s="11"/>
      <c r="P367" s="12" t="str">
        <f aca="false">IF(OR(N367="",O367=""),"",IFERROR(O367/N367*100,0))</f>
        <v/>
      </c>
      <c r="Q367" s="10" t="n">
        <v>8</v>
      </c>
      <c r="R367" s="12" t="str">
        <f aca="false">IF(J367="","",Q367*J367)</f>
        <v/>
      </c>
      <c r="S367" s="11"/>
      <c r="T367" s="12" t="str">
        <f aca="false">IF(OR(R367="",S367=""),"",IFERROR(S367/R367*100,0))</f>
        <v/>
      </c>
      <c r="U367" s="12" t="str">
        <f aca="false">IF(OR(O367="",L367="",M367="",S367="",M367=0),"",IFERROR(O367/(L367*60*S367/(M367*36))*100,0))</f>
        <v/>
      </c>
      <c r="V367" s="11"/>
      <c r="W367" s="12" t="str">
        <f aca="false">IF(O367="","",IFERROR(V367/O367*100,0))</f>
        <v/>
      </c>
      <c r="X367" s="11"/>
      <c r="Y367" s="11"/>
      <c r="Z367" s="11"/>
      <c r="AA367" s="11"/>
      <c r="AB367" s="11"/>
      <c r="AC367" s="11"/>
      <c r="AD367" s="11"/>
      <c r="AE367" s="11"/>
      <c r="AF367" s="12" t="str">
        <f aca="false">IF(O367="","",SUM(X367:AE367))</f>
        <v/>
      </c>
      <c r="AG367" s="12" t="str">
        <f aca="false">IF(O367="","",IFERROR(AF367/O367*1000,0))</f>
        <v/>
      </c>
      <c r="AH367" s="11"/>
      <c r="AI367" s="11"/>
      <c r="AJ367" s="11"/>
      <c r="AK367" s="9"/>
      <c r="AL367" s="9"/>
      <c r="AM367" s="9"/>
    </row>
    <row r="368" customFormat="false" ht="15" hidden="false" customHeight="true" outlineLevel="0" collapsed="false">
      <c r="A368" s="6"/>
      <c r="B368" s="7"/>
      <c r="C368" s="8"/>
      <c r="D368" s="8"/>
      <c r="E368" s="8"/>
      <c r="F368" s="9"/>
      <c r="G368" s="8"/>
      <c r="H368" s="10" t="str">
        <f aca="false">IFERROR(INDEX('Operator Master'!$B$5:$B$504,MATCH(G368,'Operator Master'!$A$5:$A$504,0)),"")</f>
        <v/>
      </c>
      <c r="I368" s="9"/>
      <c r="J368" s="9"/>
      <c r="K368" s="8"/>
      <c r="L368" s="9"/>
      <c r="M368" s="9"/>
      <c r="N368" s="11"/>
      <c r="O368" s="11"/>
      <c r="P368" s="12" t="str">
        <f aca="false">IF(OR(N368="",O368=""),"",IFERROR(O368/N368*100,0))</f>
        <v/>
      </c>
      <c r="Q368" s="10" t="n">
        <v>8</v>
      </c>
      <c r="R368" s="12" t="str">
        <f aca="false">IF(J368="","",Q368*J368)</f>
        <v/>
      </c>
      <c r="S368" s="11"/>
      <c r="T368" s="12" t="str">
        <f aca="false">IF(OR(R368="",S368=""),"",IFERROR(S368/R368*100,0))</f>
        <v/>
      </c>
      <c r="U368" s="12" t="str">
        <f aca="false">IF(OR(O368="",L368="",M368="",S368="",M368=0),"",IFERROR(O368/(L368*60*S368/(M368*36))*100,0))</f>
        <v/>
      </c>
      <c r="V368" s="11"/>
      <c r="W368" s="12" t="str">
        <f aca="false">IF(O368="","",IFERROR(V368/O368*100,0))</f>
        <v/>
      </c>
      <c r="X368" s="11"/>
      <c r="Y368" s="11"/>
      <c r="Z368" s="11"/>
      <c r="AA368" s="11"/>
      <c r="AB368" s="11"/>
      <c r="AC368" s="11"/>
      <c r="AD368" s="11"/>
      <c r="AE368" s="11"/>
      <c r="AF368" s="12" t="str">
        <f aca="false">IF(O368="","",SUM(X368:AE368))</f>
        <v/>
      </c>
      <c r="AG368" s="12" t="str">
        <f aca="false">IF(O368="","",IFERROR(AF368/O368*1000,0))</f>
        <v/>
      </c>
      <c r="AH368" s="11"/>
      <c r="AI368" s="11"/>
      <c r="AJ368" s="11"/>
      <c r="AK368" s="9"/>
      <c r="AL368" s="9"/>
      <c r="AM368" s="9"/>
    </row>
    <row r="369" customFormat="false" ht="15" hidden="false" customHeight="true" outlineLevel="0" collapsed="false">
      <c r="A369" s="6"/>
      <c r="B369" s="7"/>
      <c r="C369" s="8"/>
      <c r="D369" s="8"/>
      <c r="E369" s="8"/>
      <c r="F369" s="9"/>
      <c r="G369" s="8"/>
      <c r="H369" s="10" t="str">
        <f aca="false">IFERROR(INDEX('Operator Master'!$B$5:$B$504,MATCH(G369,'Operator Master'!$A$5:$A$504,0)),"")</f>
        <v/>
      </c>
      <c r="I369" s="9"/>
      <c r="J369" s="9"/>
      <c r="K369" s="8"/>
      <c r="L369" s="9"/>
      <c r="M369" s="9"/>
      <c r="N369" s="11"/>
      <c r="O369" s="11"/>
      <c r="P369" s="12" t="str">
        <f aca="false">IF(OR(N369="",O369=""),"",IFERROR(O369/N369*100,0))</f>
        <v/>
      </c>
      <c r="Q369" s="10" t="n">
        <v>8</v>
      </c>
      <c r="R369" s="12" t="str">
        <f aca="false">IF(J369="","",Q369*J369)</f>
        <v/>
      </c>
      <c r="S369" s="11"/>
      <c r="T369" s="12" t="str">
        <f aca="false">IF(OR(R369="",S369=""),"",IFERROR(S369/R369*100,0))</f>
        <v/>
      </c>
      <c r="U369" s="12" t="str">
        <f aca="false">IF(OR(O369="",L369="",M369="",S369="",M369=0),"",IFERROR(O369/(L369*60*S369/(M369*36))*100,0))</f>
        <v/>
      </c>
      <c r="V369" s="11"/>
      <c r="W369" s="12" t="str">
        <f aca="false">IF(O369="","",IFERROR(V369/O369*100,0))</f>
        <v/>
      </c>
      <c r="X369" s="11"/>
      <c r="Y369" s="11"/>
      <c r="Z369" s="11"/>
      <c r="AA369" s="11"/>
      <c r="AB369" s="11"/>
      <c r="AC369" s="11"/>
      <c r="AD369" s="11"/>
      <c r="AE369" s="11"/>
      <c r="AF369" s="12" t="str">
        <f aca="false">IF(O369="","",SUM(X369:AE369))</f>
        <v/>
      </c>
      <c r="AG369" s="12" t="str">
        <f aca="false">IF(O369="","",IFERROR(AF369/O369*1000,0))</f>
        <v/>
      </c>
      <c r="AH369" s="11"/>
      <c r="AI369" s="11"/>
      <c r="AJ369" s="11"/>
      <c r="AK369" s="9"/>
      <c r="AL369" s="9"/>
      <c r="AM369" s="9"/>
    </row>
    <row r="370" customFormat="false" ht="15" hidden="false" customHeight="true" outlineLevel="0" collapsed="false">
      <c r="A370" s="6"/>
      <c r="B370" s="7"/>
      <c r="C370" s="8"/>
      <c r="D370" s="8"/>
      <c r="E370" s="8"/>
      <c r="F370" s="9"/>
      <c r="G370" s="8"/>
      <c r="H370" s="10" t="str">
        <f aca="false">IFERROR(INDEX('Operator Master'!$B$5:$B$504,MATCH(G370,'Operator Master'!$A$5:$A$504,0)),"")</f>
        <v/>
      </c>
      <c r="I370" s="9"/>
      <c r="J370" s="9"/>
      <c r="K370" s="8"/>
      <c r="L370" s="9"/>
      <c r="M370" s="9"/>
      <c r="N370" s="11"/>
      <c r="O370" s="11"/>
      <c r="P370" s="12" t="str">
        <f aca="false">IF(OR(N370="",O370=""),"",IFERROR(O370/N370*100,0))</f>
        <v/>
      </c>
      <c r="Q370" s="10" t="n">
        <v>8</v>
      </c>
      <c r="R370" s="12" t="str">
        <f aca="false">IF(J370="","",Q370*J370)</f>
        <v/>
      </c>
      <c r="S370" s="11"/>
      <c r="T370" s="12" t="str">
        <f aca="false">IF(OR(R370="",S370=""),"",IFERROR(S370/R370*100,0))</f>
        <v/>
      </c>
      <c r="U370" s="12" t="str">
        <f aca="false">IF(OR(O370="",L370="",M370="",S370="",M370=0),"",IFERROR(O370/(L370*60*S370/(M370*36))*100,0))</f>
        <v/>
      </c>
      <c r="V370" s="11"/>
      <c r="W370" s="12" t="str">
        <f aca="false">IF(O370="","",IFERROR(V370/O370*100,0))</f>
        <v/>
      </c>
      <c r="X370" s="11"/>
      <c r="Y370" s="11"/>
      <c r="Z370" s="11"/>
      <c r="AA370" s="11"/>
      <c r="AB370" s="11"/>
      <c r="AC370" s="11"/>
      <c r="AD370" s="11"/>
      <c r="AE370" s="11"/>
      <c r="AF370" s="12" t="str">
        <f aca="false">IF(O370="","",SUM(X370:AE370))</f>
        <v/>
      </c>
      <c r="AG370" s="12" t="str">
        <f aca="false">IF(O370="","",IFERROR(AF370/O370*1000,0))</f>
        <v/>
      </c>
      <c r="AH370" s="11"/>
      <c r="AI370" s="11"/>
      <c r="AJ370" s="11"/>
      <c r="AK370" s="9"/>
      <c r="AL370" s="9"/>
      <c r="AM370" s="9"/>
    </row>
    <row r="371" customFormat="false" ht="15" hidden="false" customHeight="true" outlineLevel="0" collapsed="false">
      <c r="A371" s="6"/>
      <c r="B371" s="7"/>
      <c r="C371" s="8"/>
      <c r="D371" s="8"/>
      <c r="E371" s="8"/>
      <c r="F371" s="9"/>
      <c r="G371" s="8"/>
      <c r="H371" s="10" t="str">
        <f aca="false">IFERROR(INDEX('Operator Master'!$B$5:$B$504,MATCH(G371,'Operator Master'!$A$5:$A$504,0)),"")</f>
        <v/>
      </c>
      <c r="I371" s="9"/>
      <c r="J371" s="9"/>
      <c r="K371" s="8"/>
      <c r="L371" s="9"/>
      <c r="M371" s="9"/>
      <c r="N371" s="11"/>
      <c r="O371" s="11"/>
      <c r="P371" s="12" t="str">
        <f aca="false">IF(OR(N371="",O371=""),"",IFERROR(O371/N371*100,0))</f>
        <v/>
      </c>
      <c r="Q371" s="10" t="n">
        <v>8</v>
      </c>
      <c r="R371" s="12" t="str">
        <f aca="false">IF(J371="","",Q371*J371)</f>
        <v/>
      </c>
      <c r="S371" s="11"/>
      <c r="T371" s="12" t="str">
        <f aca="false">IF(OR(R371="",S371=""),"",IFERROR(S371/R371*100,0))</f>
        <v/>
      </c>
      <c r="U371" s="12" t="str">
        <f aca="false">IF(OR(O371="",L371="",M371="",S371="",M371=0),"",IFERROR(O371/(L371*60*S371/(M371*36))*100,0))</f>
        <v/>
      </c>
      <c r="V371" s="11"/>
      <c r="W371" s="12" t="str">
        <f aca="false">IF(O371="","",IFERROR(V371/O371*100,0))</f>
        <v/>
      </c>
      <c r="X371" s="11"/>
      <c r="Y371" s="11"/>
      <c r="Z371" s="11"/>
      <c r="AA371" s="11"/>
      <c r="AB371" s="11"/>
      <c r="AC371" s="11"/>
      <c r="AD371" s="11"/>
      <c r="AE371" s="11"/>
      <c r="AF371" s="12" t="str">
        <f aca="false">IF(O371="","",SUM(X371:AE371))</f>
        <v/>
      </c>
      <c r="AG371" s="12" t="str">
        <f aca="false">IF(O371="","",IFERROR(AF371/O371*1000,0))</f>
        <v/>
      </c>
      <c r="AH371" s="11"/>
      <c r="AI371" s="11"/>
      <c r="AJ371" s="11"/>
      <c r="AK371" s="9"/>
      <c r="AL371" s="9"/>
      <c r="AM371" s="9"/>
    </row>
    <row r="372" customFormat="false" ht="15" hidden="false" customHeight="true" outlineLevel="0" collapsed="false">
      <c r="A372" s="6"/>
      <c r="B372" s="7"/>
      <c r="C372" s="8"/>
      <c r="D372" s="8"/>
      <c r="E372" s="8"/>
      <c r="F372" s="9"/>
      <c r="G372" s="8"/>
      <c r="H372" s="10" t="str">
        <f aca="false">IFERROR(INDEX('Operator Master'!$B$5:$B$504,MATCH(G372,'Operator Master'!$A$5:$A$504,0)),"")</f>
        <v/>
      </c>
      <c r="I372" s="9"/>
      <c r="J372" s="9"/>
      <c r="K372" s="8"/>
      <c r="L372" s="9"/>
      <c r="M372" s="9"/>
      <c r="N372" s="11"/>
      <c r="O372" s="11"/>
      <c r="P372" s="12" t="str">
        <f aca="false">IF(OR(N372="",O372=""),"",IFERROR(O372/N372*100,0))</f>
        <v/>
      </c>
      <c r="Q372" s="10" t="n">
        <v>8</v>
      </c>
      <c r="R372" s="12" t="str">
        <f aca="false">IF(J372="","",Q372*J372)</f>
        <v/>
      </c>
      <c r="S372" s="11"/>
      <c r="T372" s="12" t="str">
        <f aca="false">IF(OR(R372="",S372=""),"",IFERROR(S372/R372*100,0))</f>
        <v/>
      </c>
      <c r="U372" s="12" t="str">
        <f aca="false">IF(OR(O372="",L372="",M372="",S372="",M372=0),"",IFERROR(O372/(L372*60*S372/(M372*36))*100,0))</f>
        <v/>
      </c>
      <c r="V372" s="11"/>
      <c r="W372" s="12" t="str">
        <f aca="false">IF(O372="","",IFERROR(V372/O372*100,0))</f>
        <v/>
      </c>
      <c r="X372" s="11"/>
      <c r="Y372" s="11"/>
      <c r="Z372" s="11"/>
      <c r="AA372" s="11"/>
      <c r="AB372" s="11"/>
      <c r="AC372" s="11"/>
      <c r="AD372" s="11"/>
      <c r="AE372" s="11"/>
      <c r="AF372" s="12" t="str">
        <f aca="false">IF(O372="","",SUM(X372:AE372))</f>
        <v/>
      </c>
      <c r="AG372" s="12" t="str">
        <f aca="false">IF(O372="","",IFERROR(AF372/O372*1000,0))</f>
        <v/>
      </c>
      <c r="AH372" s="11"/>
      <c r="AI372" s="11"/>
      <c r="AJ372" s="11"/>
      <c r="AK372" s="9"/>
      <c r="AL372" s="9"/>
      <c r="AM372" s="9"/>
    </row>
    <row r="373" customFormat="false" ht="15" hidden="false" customHeight="true" outlineLevel="0" collapsed="false">
      <c r="A373" s="6"/>
      <c r="B373" s="7"/>
      <c r="C373" s="8"/>
      <c r="D373" s="8"/>
      <c r="E373" s="8"/>
      <c r="F373" s="9"/>
      <c r="G373" s="8"/>
      <c r="H373" s="10" t="str">
        <f aca="false">IFERROR(INDEX('Operator Master'!$B$5:$B$504,MATCH(G373,'Operator Master'!$A$5:$A$504,0)),"")</f>
        <v/>
      </c>
      <c r="I373" s="9"/>
      <c r="J373" s="9"/>
      <c r="K373" s="8"/>
      <c r="L373" s="9"/>
      <c r="M373" s="9"/>
      <c r="N373" s="11"/>
      <c r="O373" s="11"/>
      <c r="P373" s="12" t="str">
        <f aca="false">IF(OR(N373="",O373=""),"",IFERROR(O373/N373*100,0))</f>
        <v/>
      </c>
      <c r="Q373" s="10" t="n">
        <v>8</v>
      </c>
      <c r="R373" s="12" t="str">
        <f aca="false">IF(J373="","",Q373*J373)</f>
        <v/>
      </c>
      <c r="S373" s="11"/>
      <c r="T373" s="12" t="str">
        <f aca="false">IF(OR(R373="",S373=""),"",IFERROR(S373/R373*100,0))</f>
        <v/>
      </c>
      <c r="U373" s="12" t="str">
        <f aca="false">IF(OR(O373="",L373="",M373="",S373="",M373=0),"",IFERROR(O373/(L373*60*S373/(M373*36))*100,0))</f>
        <v/>
      </c>
      <c r="V373" s="11"/>
      <c r="W373" s="12" t="str">
        <f aca="false">IF(O373="","",IFERROR(V373/O373*100,0))</f>
        <v/>
      </c>
      <c r="X373" s="11"/>
      <c r="Y373" s="11"/>
      <c r="Z373" s="11"/>
      <c r="AA373" s="11"/>
      <c r="AB373" s="11"/>
      <c r="AC373" s="11"/>
      <c r="AD373" s="11"/>
      <c r="AE373" s="11"/>
      <c r="AF373" s="12" t="str">
        <f aca="false">IF(O373="","",SUM(X373:AE373))</f>
        <v/>
      </c>
      <c r="AG373" s="12" t="str">
        <f aca="false">IF(O373="","",IFERROR(AF373/O373*1000,0))</f>
        <v/>
      </c>
      <c r="AH373" s="11"/>
      <c r="AI373" s="11"/>
      <c r="AJ373" s="11"/>
      <c r="AK373" s="9"/>
      <c r="AL373" s="9"/>
      <c r="AM373" s="9"/>
    </row>
    <row r="374" customFormat="false" ht="15" hidden="false" customHeight="true" outlineLevel="0" collapsed="false">
      <c r="A374" s="6"/>
      <c r="B374" s="7"/>
      <c r="C374" s="8"/>
      <c r="D374" s="8"/>
      <c r="E374" s="8"/>
      <c r="F374" s="9"/>
      <c r="G374" s="8"/>
      <c r="H374" s="10" t="str">
        <f aca="false">IFERROR(INDEX('Operator Master'!$B$5:$B$504,MATCH(G374,'Operator Master'!$A$5:$A$504,0)),"")</f>
        <v/>
      </c>
      <c r="I374" s="9"/>
      <c r="J374" s="9"/>
      <c r="K374" s="8"/>
      <c r="L374" s="9"/>
      <c r="M374" s="9"/>
      <c r="N374" s="11"/>
      <c r="O374" s="11"/>
      <c r="P374" s="12" t="str">
        <f aca="false">IF(OR(N374="",O374=""),"",IFERROR(O374/N374*100,0))</f>
        <v/>
      </c>
      <c r="Q374" s="10" t="n">
        <v>8</v>
      </c>
      <c r="R374" s="12" t="str">
        <f aca="false">IF(J374="","",Q374*J374)</f>
        <v/>
      </c>
      <c r="S374" s="11"/>
      <c r="T374" s="12" t="str">
        <f aca="false">IF(OR(R374="",S374=""),"",IFERROR(S374/R374*100,0))</f>
        <v/>
      </c>
      <c r="U374" s="12" t="str">
        <f aca="false">IF(OR(O374="",L374="",M374="",S374="",M374=0),"",IFERROR(O374/(L374*60*S374/(M374*36))*100,0))</f>
        <v/>
      </c>
      <c r="V374" s="11"/>
      <c r="W374" s="12" t="str">
        <f aca="false">IF(O374="","",IFERROR(V374/O374*100,0))</f>
        <v/>
      </c>
      <c r="X374" s="11"/>
      <c r="Y374" s="11"/>
      <c r="Z374" s="11"/>
      <c r="AA374" s="11"/>
      <c r="AB374" s="11"/>
      <c r="AC374" s="11"/>
      <c r="AD374" s="11"/>
      <c r="AE374" s="11"/>
      <c r="AF374" s="12" t="str">
        <f aca="false">IF(O374="","",SUM(X374:AE374))</f>
        <v/>
      </c>
      <c r="AG374" s="12" t="str">
        <f aca="false">IF(O374="","",IFERROR(AF374/O374*1000,0))</f>
        <v/>
      </c>
      <c r="AH374" s="11"/>
      <c r="AI374" s="11"/>
      <c r="AJ374" s="11"/>
      <c r="AK374" s="9"/>
      <c r="AL374" s="9"/>
      <c r="AM374" s="9"/>
    </row>
    <row r="375" customFormat="false" ht="15" hidden="false" customHeight="true" outlineLevel="0" collapsed="false">
      <c r="A375" s="6"/>
      <c r="B375" s="7"/>
      <c r="C375" s="8"/>
      <c r="D375" s="8"/>
      <c r="E375" s="8"/>
      <c r="F375" s="9"/>
      <c r="G375" s="8"/>
      <c r="H375" s="10" t="str">
        <f aca="false">IFERROR(INDEX('Operator Master'!$B$5:$B$504,MATCH(G375,'Operator Master'!$A$5:$A$504,0)),"")</f>
        <v/>
      </c>
      <c r="I375" s="9"/>
      <c r="J375" s="9"/>
      <c r="K375" s="8"/>
      <c r="L375" s="9"/>
      <c r="M375" s="9"/>
      <c r="N375" s="11"/>
      <c r="O375" s="11"/>
      <c r="P375" s="12" t="str">
        <f aca="false">IF(OR(N375="",O375=""),"",IFERROR(O375/N375*100,0))</f>
        <v/>
      </c>
      <c r="Q375" s="10" t="n">
        <v>8</v>
      </c>
      <c r="R375" s="12" t="str">
        <f aca="false">IF(J375="","",Q375*J375)</f>
        <v/>
      </c>
      <c r="S375" s="11"/>
      <c r="T375" s="12" t="str">
        <f aca="false">IF(OR(R375="",S375=""),"",IFERROR(S375/R375*100,0))</f>
        <v/>
      </c>
      <c r="U375" s="12" t="str">
        <f aca="false">IF(OR(O375="",L375="",M375="",S375="",M375=0),"",IFERROR(O375/(L375*60*S375/(M375*36))*100,0))</f>
        <v/>
      </c>
      <c r="V375" s="11"/>
      <c r="W375" s="12" t="str">
        <f aca="false">IF(O375="","",IFERROR(V375/O375*100,0))</f>
        <v/>
      </c>
      <c r="X375" s="11"/>
      <c r="Y375" s="11"/>
      <c r="Z375" s="11"/>
      <c r="AA375" s="11"/>
      <c r="AB375" s="11"/>
      <c r="AC375" s="11"/>
      <c r="AD375" s="11"/>
      <c r="AE375" s="11"/>
      <c r="AF375" s="12" t="str">
        <f aca="false">IF(O375="","",SUM(X375:AE375))</f>
        <v/>
      </c>
      <c r="AG375" s="12" t="str">
        <f aca="false">IF(O375="","",IFERROR(AF375/O375*1000,0))</f>
        <v/>
      </c>
      <c r="AH375" s="11"/>
      <c r="AI375" s="11"/>
      <c r="AJ375" s="11"/>
      <c r="AK375" s="9"/>
      <c r="AL375" s="9"/>
      <c r="AM375" s="9"/>
    </row>
    <row r="376" customFormat="false" ht="15" hidden="false" customHeight="true" outlineLevel="0" collapsed="false">
      <c r="A376" s="6"/>
      <c r="B376" s="7"/>
      <c r="C376" s="8"/>
      <c r="D376" s="8"/>
      <c r="E376" s="8"/>
      <c r="F376" s="9"/>
      <c r="G376" s="8"/>
      <c r="H376" s="10" t="str">
        <f aca="false">IFERROR(INDEX('Operator Master'!$B$5:$B$504,MATCH(G376,'Operator Master'!$A$5:$A$504,0)),"")</f>
        <v/>
      </c>
      <c r="I376" s="9"/>
      <c r="J376" s="9"/>
      <c r="K376" s="8"/>
      <c r="L376" s="9"/>
      <c r="M376" s="9"/>
      <c r="N376" s="11"/>
      <c r="O376" s="11"/>
      <c r="P376" s="12" t="str">
        <f aca="false">IF(OR(N376="",O376=""),"",IFERROR(O376/N376*100,0))</f>
        <v/>
      </c>
      <c r="Q376" s="10" t="n">
        <v>8</v>
      </c>
      <c r="R376" s="12" t="str">
        <f aca="false">IF(J376="","",Q376*J376)</f>
        <v/>
      </c>
      <c r="S376" s="11"/>
      <c r="T376" s="12" t="str">
        <f aca="false">IF(OR(R376="",S376=""),"",IFERROR(S376/R376*100,0))</f>
        <v/>
      </c>
      <c r="U376" s="12" t="str">
        <f aca="false">IF(OR(O376="",L376="",M376="",S376="",M376=0),"",IFERROR(O376/(L376*60*S376/(M376*36))*100,0))</f>
        <v/>
      </c>
      <c r="V376" s="11"/>
      <c r="W376" s="12" t="str">
        <f aca="false">IF(O376="","",IFERROR(V376/O376*100,0))</f>
        <v/>
      </c>
      <c r="X376" s="11"/>
      <c r="Y376" s="11"/>
      <c r="Z376" s="11"/>
      <c r="AA376" s="11"/>
      <c r="AB376" s="11"/>
      <c r="AC376" s="11"/>
      <c r="AD376" s="11"/>
      <c r="AE376" s="11"/>
      <c r="AF376" s="12" t="str">
        <f aca="false">IF(O376="","",SUM(X376:AE376))</f>
        <v/>
      </c>
      <c r="AG376" s="12" t="str">
        <f aca="false">IF(O376="","",IFERROR(AF376/O376*1000,0))</f>
        <v/>
      </c>
      <c r="AH376" s="11"/>
      <c r="AI376" s="11"/>
      <c r="AJ376" s="11"/>
      <c r="AK376" s="9"/>
      <c r="AL376" s="9"/>
      <c r="AM376" s="9"/>
    </row>
    <row r="377" customFormat="false" ht="15" hidden="false" customHeight="true" outlineLevel="0" collapsed="false">
      <c r="A377" s="6"/>
      <c r="B377" s="7"/>
      <c r="C377" s="8"/>
      <c r="D377" s="8"/>
      <c r="E377" s="8"/>
      <c r="F377" s="9"/>
      <c r="G377" s="8"/>
      <c r="H377" s="10" t="str">
        <f aca="false">IFERROR(INDEX('Operator Master'!$B$5:$B$504,MATCH(G377,'Operator Master'!$A$5:$A$504,0)),"")</f>
        <v/>
      </c>
      <c r="I377" s="9"/>
      <c r="J377" s="9"/>
      <c r="K377" s="8"/>
      <c r="L377" s="9"/>
      <c r="M377" s="9"/>
      <c r="N377" s="11"/>
      <c r="O377" s="11"/>
      <c r="P377" s="12" t="str">
        <f aca="false">IF(OR(N377="",O377=""),"",IFERROR(O377/N377*100,0))</f>
        <v/>
      </c>
      <c r="Q377" s="10" t="n">
        <v>8</v>
      </c>
      <c r="R377" s="12" t="str">
        <f aca="false">IF(J377="","",Q377*J377)</f>
        <v/>
      </c>
      <c r="S377" s="11"/>
      <c r="T377" s="12" t="str">
        <f aca="false">IF(OR(R377="",S377=""),"",IFERROR(S377/R377*100,0))</f>
        <v/>
      </c>
      <c r="U377" s="12" t="str">
        <f aca="false">IF(OR(O377="",L377="",M377="",S377="",M377=0),"",IFERROR(O377/(L377*60*S377/(M377*36))*100,0))</f>
        <v/>
      </c>
      <c r="V377" s="11"/>
      <c r="W377" s="12" t="str">
        <f aca="false">IF(O377="","",IFERROR(V377/O377*100,0))</f>
        <v/>
      </c>
      <c r="X377" s="11"/>
      <c r="Y377" s="11"/>
      <c r="Z377" s="11"/>
      <c r="AA377" s="11"/>
      <c r="AB377" s="11"/>
      <c r="AC377" s="11"/>
      <c r="AD377" s="11"/>
      <c r="AE377" s="11"/>
      <c r="AF377" s="12" t="str">
        <f aca="false">IF(O377="","",SUM(X377:AE377))</f>
        <v/>
      </c>
      <c r="AG377" s="12" t="str">
        <f aca="false">IF(O377="","",IFERROR(AF377/O377*1000,0))</f>
        <v/>
      </c>
      <c r="AH377" s="11"/>
      <c r="AI377" s="11"/>
      <c r="AJ377" s="11"/>
      <c r="AK377" s="9"/>
      <c r="AL377" s="9"/>
      <c r="AM377" s="9"/>
    </row>
    <row r="378" customFormat="false" ht="15" hidden="false" customHeight="true" outlineLevel="0" collapsed="false">
      <c r="A378" s="6"/>
      <c r="B378" s="7"/>
      <c r="C378" s="8"/>
      <c r="D378" s="8"/>
      <c r="E378" s="8"/>
      <c r="F378" s="9"/>
      <c r="G378" s="8"/>
      <c r="H378" s="10" t="str">
        <f aca="false">IFERROR(INDEX('Operator Master'!$B$5:$B$504,MATCH(G378,'Operator Master'!$A$5:$A$504,0)),"")</f>
        <v/>
      </c>
      <c r="I378" s="9"/>
      <c r="J378" s="9"/>
      <c r="K378" s="8"/>
      <c r="L378" s="9"/>
      <c r="M378" s="9"/>
      <c r="N378" s="11"/>
      <c r="O378" s="11"/>
      <c r="P378" s="12" t="str">
        <f aca="false">IF(OR(N378="",O378=""),"",IFERROR(O378/N378*100,0))</f>
        <v/>
      </c>
      <c r="Q378" s="10" t="n">
        <v>8</v>
      </c>
      <c r="R378" s="12" t="str">
        <f aca="false">IF(J378="","",Q378*J378)</f>
        <v/>
      </c>
      <c r="S378" s="11"/>
      <c r="T378" s="12" t="str">
        <f aca="false">IF(OR(R378="",S378=""),"",IFERROR(S378/R378*100,0))</f>
        <v/>
      </c>
      <c r="U378" s="12" t="str">
        <f aca="false">IF(OR(O378="",L378="",M378="",S378="",M378=0),"",IFERROR(O378/(L378*60*S378/(M378*36))*100,0))</f>
        <v/>
      </c>
      <c r="V378" s="11"/>
      <c r="W378" s="12" t="str">
        <f aca="false">IF(O378="","",IFERROR(V378/O378*100,0))</f>
        <v/>
      </c>
      <c r="X378" s="11"/>
      <c r="Y378" s="11"/>
      <c r="Z378" s="11"/>
      <c r="AA378" s="11"/>
      <c r="AB378" s="11"/>
      <c r="AC378" s="11"/>
      <c r="AD378" s="11"/>
      <c r="AE378" s="11"/>
      <c r="AF378" s="12" t="str">
        <f aca="false">IF(O378="","",SUM(X378:AE378))</f>
        <v/>
      </c>
      <c r="AG378" s="12" t="str">
        <f aca="false">IF(O378="","",IFERROR(AF378/O378*1000,0))</f>
        <v/>
      </c>
      <c r="AH378" s="11"/>
      <c r="AI378" s="11"/>
      <c r="AJ378" s="11"/>
      <c r="AK378" s="9"/>
      <c r="AL378" s="9"/>
      <c r="AM378" s="9"/>
    </row>
    <row r="379" customFormat="false" ht="15" hidden="false" customHeight="true" outlineLevel="0" collapsed="false">
      <c r="A379" s="6"/>
      <c r="B379" s="7"/>
      <c r="C379" s="8"/>
      <c r="D379" s="8"/>
      <c r="E379" s="8"/>
      <c r="F379" s="9"/>
      <c r="G379" s="8"/>
      <c r="H379" s="10" t="str">
        <f aca="false">IFERROR(INDEX('Operator Master'!$B$5:$B$504,MATCH(G379,'Operator Master'!$A$5:$A$504,0)),"")</f>
        <v/>
      </c>
      <c r="I379" s="9"/>
      <c r="J379" s="9"/>
      <c r="K379" s="8"/>
      <c r="L379" s="9"/>
      <c r="M379" s="9"/>
      <c r="N379" s="11"/>
      <c r="O379" s="11"/>
      <c r="P379" s="12" t="str">
        <f aca="false">IF(OR(N379="",O379=""),"",IFERROR(O379/N379*100,0))</f>
        <v/>
      </c>
      <c r="Q379" s="10" t="n">
        <v>8</v>
      </c>
      <c r="R379" s="12" t="str">
        <f aca="false">IF(J379="","",Q379*J379)</f>
        <v/>
      </c>
      <c r="S379" s="11"/>
      <c r="T379" s="12" t="str">
        <f aca="false">IF(OR(R379="",S379=""),"",IFERROR(S379/R379*100,0))</f>
        <v/>
      </c>
      <c r="U379" s="12" t="str">
        <f aca="false">IF(OR(O379="",L379="",M379="",S379="",M379=0),"",IFERROR(O379/(L379*60*S379/(M379*36))*100,0))</f>
        <v/>
      </c>
      <c r="V379" s="11"/>
      <c r="W379" s="12" t="str">
        <f aca="false">IF(O379="","",IFERROR(V379/O379*100,0))</f>
        <v/>
      </c>
      <c r="X379" s="11"/>
      <c r="Y379" s="11"/>
      <c r="Z379" s="11"/>
      <c r="AA379" s="11"/>
      <c r="AB379" s="11"/>
      <c r="AC379" s="11"/>
      <c r="AD379" s="11"/>
      <c r="AE379" s="11"/>
      <c r="AF379" s="12" t="str">
        <f aca="false">IF(O379="","",SUM(X379:AE379))</f>
        <v/>
      </c>
      <c r="AG379" s="12" t="str">
        <f aca="false">IF(O379="","",IFERROR(AF379/O379*1000,0))</f>
        <v/>
      </c>
      <c r="AH379" s="11"/>
      <c r="AI379" s="11"/>
      <c r="AJ379" s="11"/>
      <c r="AK379" s="9"/>
      <c r="AL379" s="9"/>
      <c r="AM379" s="9"/>
    </row>
    <row r="380" customFormat="false" ht="15" hidden="false" customHeight="true" outlineLevel="0" collapsed="false">
      <c r="A380" s="6"/>
      <c r="B380" s="7"/>
      <c r="C380" s="8"/>
      <c r="D380" s="8"/>
      <c r="E380" s="8"/>
      <c r="F380" s="9"/>
      <c r="G380" s="8"/>
      <c r="H380" s="10" t="str">
        <f aca="false">IFERROR(INDEX('Operator Master'!$B$5:$B$504,MATCH(G380,'Operator Master'!$A$5:$A$504,0)),"")</f>
        <v/>
      </c>
      <c r="I380" s="9"/>
      <c r="J380" s="9"/>
      <c r="K380" s="8"/>
      <c r="L380" s="9"/>
      <c r="M380" s="9"/>
      <c r="N380" s="11"/>
      <c r="O380" s="11"/>
      <c r="P380" s="12" t="str">
        <f aca="false">IF(OR(N380="",O380=""),"",IFERROR(O380/N380*100,0))</f>
        <v/>
      </c>
      <c r="Q380" s="10" t="n">
        <v>8</v>
      </c>
      <c r="R380" s="12" t="str">
        <f aca="false">IF(J380="","",Q380*J380)</f>
        <v/>
      </c>
      <c r="S380" s="11"/>
      <c r="T380" s="12" t="str">
        <f aca="false">IF(OR(R380="",S380=""),"",IFERROR(S380/R380*100,0))</f>
        <v/>
      </c>
      <c r="U380" s="12" t="str">
        <f aca="false">IF(OR(O380="",L380="",M380="",S380="",M380=0),"",IFERROR(O380/(L380*60*S380/(M380*36))*100,0))</f>
        <v/>
      </c>
      <c r="V380" s="11"/>
      <c r="W380" s="12" t="str">
        <f aca="false">IF(O380="","",IFERROR(V380/O380*100,0))</f>
        <v/>
      </c>
      <c r="X380" s="11"/>
      <c r="Y380" s="11"/>
      <c r="Z380" s="11"/>
      <c r="AA380" s="11"/>
      <c r="AB380" s="11"/>
      <c r="AC380" s="11"/>
      <c r="AD380" s="11"/>
      <c r="AE380" s="11"/>
      <c r="AF380" s="12" t="str">
        <f aca="false">IF(O380="","",SUM(X380:AE380))</f>
        <v/>
      </c>
      <c r="AG380" s="12" t="str">
        <f aca="false">IF(O380="","",IFERROR(AF380/O380*1000,0))</f>
        <v/>
      </c>
      <c r="AH380" s="11"/>
      <c r="AI380" s="11"/>
      <c r="AJ380" s="11"/>
      <c r="AK380" s="9"/>
      <c r="AL380" s="9"/>
      <c r="AM380" s="9"/>
    </row>
    <row r="381" customFormat="false" ht="15" hidden="false" customHeight="true" outlineLevel="0" collapsed="false">
      <c r="A381" s="6"/>
      <c r="B381" s="7"/>
      <c r="C381" s="8"/>
      <c r="D381" s="8"/>
      <c r="E381" s="8"/>
      <c r="F381" s="9"/>
      <c r="G381" s="8"/>
      <c r="H381" s="10" t="str">
        <f aca="false">IFERROR(INDEX('Operator Master'!$B$5:$B$504,MATCH(G381,'Operator Master'!$A$5:$A$504,0)),"")</f>
        <v/>
      </c>
      <c r="I381" s="9"/>
      <c r="J381" s="9"/>
      <c r="K381" s="8"/>
      <c r="L381" s="9"/>
      <c r="M381" s="9"/>
      <c r="N381" s="11"/>
      <c r="O381" s="11"/>
      <c r="P381" s="12" t="str">
        <f aca="false">IF(OR(N381="",O381=""),"",IFERROR(O381/N381*100,0))</f>
        <v/>
      </c>
      <c r="Q381" s="10" t="n">
        <v>8</v>
      </c>
      <c r="R381" s="12" t="str">
        <f aca="false">IF(J381="","",Q381*J381)</f>
        <v/>
      </c>
      <c r="S381" s="11"/>
      <c r="T381" s="12" t="str">
        <f aca="false">IF(OR(R381="",S381=""),"",IFERROR(S381/R381*100,0))</f>
        <v/>
      </c>
      <c r="U381" s="12" t="str">
        <f aca="false">IF(OR(O381="",L381="",M381="",S381="",M381=0),"",IFERROR(O381/(L381*60*S381/(M381*36))*100,0))</f>
        <v/>
      </c>
      <c r="V381" s="11"/>
      <c r="W381" s="12" t="str">
        <f aca="false">IF(O381="","",IFERROR(V381/O381*100,0))</f>
        <v/>
      </c>
      <c r="X381" s="11"/>
      <c r="Y381" s="11"/>
      <c r="Z381" s="11"/>
      <c r="AA381" s="11"/>
      <c r="AB381" s="11"/>
      <c r="AC381" s="11"/>
      <c r="AD381" s="11"/>
      <c r="AE381" s="11"/>
      <c r="AF381" s="12" t="str">
        <f aca="false">IF(O381="","",SUM(X381:AE381))</f>
        <v/>
      </c>
      <c r="AG381" s="12" t="str">
        <f aca="false">IF(O381="","",IFERROR(AF381/O381*1000,0))</f>
        <v/>
      </c>
      <c r="AH381" s="11"/>
      <c r="AI381" s="11"/>
      <c r="AJ381" s="11"/>
      <c r="AK381" s="9"/>
      <c r="AL381" s="9"/>
      <c r="AM381" s="9"/>
    </row>
    <row r="382" customFormat="false" ht="15" hidden="false" customHeight="true" outlineLevel="0" collapsed="false">
      <c r="A382" s="6"/>
      <c r="B382" s="7"/>
      <c r="C382" s="8"/>
      <c r="D382" s="8"/>
      <c r="E382" s="8"/>
      <c r="F382" s="9"/>
      <c r="G382" s="8"/>
      <c r="H382" s="10" t="str">
        <f aca="false">IFERROR(INDEX('Operator Master'!$B$5:$B$504,MATCH(G382,'Operator Master'!$A$5:$A$504,0)),"")</f>
        <v/>
      </c>
      <c r="I382" s="9"/>
      <c r="J382" s="9"/>
      <c r="K382" s="8"/>
      <c r="L382" s="9"/>
      <c r="M382" s="9"/>
      <c r="N382" s="11"/>
      <c r="O382" s="11"/>
      <c r="P382" s="12" t="str">
        <f aca="false">IF(OR(N382="",O382=""),"",IFERROR(O382/N382*100,0))</f>
        <v/>
      </c>
      <c r="Q382" s="10" t="n">
        <v>8</v>
      </c>
      <c r="R382" s="12" t="str">
        <f aca="false">IF(J382="","",Q382*J382)</f>
        <v/>
      </c>
      <c r="S382" s="11"/>
      <c r="T382" s="12" t="str">
        <f aca="false">IF(OR(R382="",S382=""),"",IFERROR(S382/R382*100,0))</f>
        <v/>
      </c>
      <c r="U382" s="12" t="str">
        <f aca="false">IF(OR(O382="",L382="",M382="",S382="",M382=0),"",IFERROR(O382/(L382*60*S382/(M382*36))*100,0))</f>
        <v/>
      </c>
      <c r="V382" s="11"/>
      <c r="W382" s="12" t="str">
        <f aca="false">IF(O382="","",IFERROR(V382/O382*100,0))</f>
        <v/>
      </c>
      <c r="X382" s="11"/>
      <c r="Y382" s="11"/>
      <c r="Z382" s="11"/>
      <c r="AA382" s="11"/>
      <c r="AB382" s="11"/>
      <c r="AC382" s="11"/>
      <c r="AD382" s="11"/>
      <c r="AE382" s="11"/>
      <c r="AF382" s="12" t="str">
        <f aca="false">IF(O382="","",SUM(X382:AE382))</f>
        <v/>
      </c>
      <c r="AG382" s="12" t="str">
        <f aca="false">IF(O382="","",IFERROR(AF382/O382*1000,0))</f>
        <v/>
      </c>
      <c r="AH382" s="11"/>
      <c r="AI382" s="11"/>
      <c r="AJ382" s="11"/>
      <c r="AK382" s="9"/>
      <c r="AL382" s="9"/>
      <c r="AM382" s="9"/>
    </row>
    <row r="383" customFormat="false" ht="15" hidden="false" customHeight="true" outlineLevel="0" collapsed="false">
      <c r="A383" s="6"/>
      <c r="B383" s="7"/>
      <c r="C383" s="8"/>
      <c r="D383" s="8"/>
      <c r="E383" s="8"/>
      <c r="F383" s="9"/>
      <c r="G383" s="8"/>
      <c r="H383" s="10" t="str">
        <f aca="false">IFERROR(INDEX('Operator Master'!$B$5:$B$504,MATCH(G383,'Operator Master'!$A$5:$A$504,0)),"")</f>
        <v/>
      </c>
      <c r="I383" s="9"/>
      <c r="J383" s="9"/>
      <c r="K383" s="8"/>
      <c r="L383" s="9"/>
      <c r="M383" s="9"/>
      <c r="N383" s="11"/>
      <c r="O383" s="11"/>
      <c r="P383" s="12" t="str">
        <f aca="false">IF(OR(N383="",O383=""),"",IFERROR(O383/N383*100,0))</f>
        <v/>
      </c>
      <c r="Q383" s="10" t="n">
        <v>8</v>
      </c>
      <c r="R383" s="12" t="str">
        <f aca="false">IF(J383="","",Q383*J383)</f>
        <v/>
      </c>
      <c r="S383" s="11"/>
      <c r="T383" s="12" t="str">
        <f aca="false">IF(OR(R383="",S383=""),"",IFERROR(S383/R383*100,0))</f>
        <v/>
      </c>
      <c r="U383" s="12" t="str">
        <f aca="false">IF(OR(O383="",L383="",M383="",S383="",M383=0),"",IFERROR(O383/(L383*60*S383/(M383*36))*100,0))</f>
        <v/>
      </c>
      <c r="V383" s="11"/>
      <c r="W383" s="12" t="str">
        <f aca="false">IF(O383="","",IFERROR(V383/O383*100,0))</f>
        <v/>
      </c>
      <c r="X383" s="11"/>
      <c r="Y383" s="11"/>
      <c r="Z383" s="11"/>
      <c r="AA383" s="11"/>
      <c r="AB383" s="11"/>
      <c r="AC383" s="11"/>
      <c r="AD383" s="11"/>
      <c r="AE383" s="11"/>
      <c r="AF383" s="12" t="str">
        <f aca="false">IF(O383="","",SUM(X383:AE383))</f>
        <v/>
      </c>
      <c r="AG383" s="12" t="str">
        <f aca="false">IF(O383="","",IFERROR(AF383/O383*1000,0))</f>
        <v/>
      </c>
      <c r="AH383" s="11"/>
      <c r="AI383" s="11"/>
      <c r="AJ383" s="11"/>
      <c r="AK383" s="9"/>
      <c r="AL383" s="9"/>
      <c r="AM383" s="9"/>
    </row>
    <row r="384" customFormat="false" ht="15" hidden="false" customHeight="true" outlineLevel="0" collapsed="false">
      <c r="A384" s="6"/>
      <c r="B384" s="7"/>
      <c r="C384" s="8"/>
      <c r="D384" s="8"/>
      <c r="E384" s="8"/>
      <c r="F384" s="9"/>
      <c r="G384" s="8"/>
      <c r="H384" s="10" t="str">
        <f aca="false">IFERROR(INDEX('Operator Master'!$B$5:$B$504,MATCH(G384,'Operator Master'!$A$5:$A$504,0)),"")</f>
        <v/>
      </c>
      <c r="I384" s="9"/>
      <c r="J384" s="9"/>
      <c r="K384" s="8"/>
      <c r="L384" s="9"/>
      <c r="M384" s="9"/>
      <c r="N384" s="11"/>
      <c r="O384" s="11"/>
      <c r="P384" s="12" t="str">
        <f aca="false">IF(OR(N384="",O384=""),"",IFERROR(O384/N384*100,0))</f>
        <v/>
      </c>
      <c r="Q384" s="10" t="n">
        <v>8</v>
      </c>
      <c r="R384" s="12" t="str">
        <f aca="false">IF(J384="","",Q384*J384)</f>
        <v/>
      </c>
      <c r="S384" s="11"/>
      <c r="T384" s="12" t="str">
        <f aca="false">IF(OR(R384="",S384=""),"",IFERROR(S384/R384*100,0))</f>
        <v/>
      </c>
      <c r="U384" s="12" t="str">
        <f aca="false">IF(OR(O384="",L384="",M384="",S384="",M384=0),"",IFERROR(O384/(L384*60*S384/(M384*36))*100,0))</f>
        <v/>
      </c>
      <c r="V384" s="11"/>
      <c r="W384" s="12" t="str">
        <f aca="false">IF(O384="","",IFERROR(V384/O384*100,0))</f>
        <v/>
      </c>
      <c r="X384" s="11"/>
      <c r="Y384" s="11"/>
      <c r="Z384" s="11"/>
      <c r="AA384" s="11"/>
      <c r="AB384" s="11"/>
      <c r="AC384" s="11"/>
      <c r="AD384" s="11"/>
      <c r="AE384" s="11"/>
      <c r="AF384" s="12" t="str">
        <f aca="false">IF(O384="","",SUM(X384:AE384))</f>
        <v/>
      </c>
      <c r="AG384" s="12" t="str">
        <f aca="false">IF(O384="","",IFERROR(AF384/O384*1000,0))</f>
        <v/>
      </c>
      <c r="AH384" s="11"/>
      <c r="AI384" s="11"/>
      <c r="AJ384" s="11"/>
      <c r="AK384" s="9"/>
      <c r="AL384" s="9"/>
      <c r="AM384" s="9"/>
    </row>
    <row r="385" customFormat="false" ht="15" hidden="false" customHeight="true" outlineLevel="0" collapsed="false">
      <c r="A385" s="6"/>
      <c r="B385" s="7"/>
      <c r="C385" s="8"/>
      <c r="D385" s="8"/>
      <c r="E385" s="8"/>
      <c r="F385" s="9"/>
      <c r="G385" s="8"/>
      <c r="H385" s="10" t="str">
        <f aca="false">IFERROR(INDEX('Operator Master'!$B$5:$B$504,MATCH(G385,'Operator Master'!$A$5:$A$504,0)),"")</f>
        <v/>
      </c>
      <c r="I385" s="9"/>
      <c r="J385" s="9"/>
      <c r="K385" s="8"/>
      <c r="L385" s="9"/>
      <c r="M385" s="9"/>
      <c r="N385" s="11"/>
      <c r="O385" s="11"/>
      <c r="P385" s="12" t="str">
        <f aca="false">IF(OR(N385="",O385=""),"",IFERROR(O385/N385*100,0))</f>
        <v/>
      </c>
      <c r="Q385" s="10" t="n">
        <v>8</v>
      </c>
      <c r="R385" s="12" t="str">
        <f aca="false">IF(J385="","",Q385*J385)</f>
        <v/>
      </c>
      <c r="S385" s="11"/>
      <c r="T385" s="12" t="str">
        <f aca="false">IF(OR(R385="",S385=""),"",IFERROR(S385/R385*100,0))</f>
        <v/>
      </c>
      <c r="U385" s="12" t="str">
        <f aca="false">IF(OR(O385="",L385="",M385="",S385="",M385=0),"",IFERROR(O385/(L385*60*S385/(M385*36))*100,0))</f>
        <v/>
      </c>
      <c r="V385" s="11"/>
      <c r="W385" s="12" t="str">
        <f aca="false">IF(O385="","",IFERROR(V385/O385*100,0))</f>
        <v/>
      </c>
      <c r="X385" s="11"/>
      <c r="Y385" s="11"/>
      <c r="Z385" s="11"/>
      <c r="AA385" s="11"/>
      <c r="AB385" s="11"/>
      <c r="AC385" s="11"/>
      <c r="AD385" s="11"/>
      <c r="AE385" s="11"/>
      <c r="AF385" s="12" t="str">
        <f aca="false">IF(O385="","",SUM(X385:AE385))</f>
        <v/>
      </c>
      <c r="AG385" s="12" t="str">
        <f aca="false">IF(O385="","",IFERROR(AF385/O385*1000,0))</f>
        <v/>
      </c>
      <c r="AH385" s="11"/>
      <c r="AI385" s="11"/>
      <c r="AJ385" s="11"/>
      <c r="AK385" s="9"/>
      <c r="AL385" s="9"/>
      <c r="AM385" s="9"/>
    </row>
    <row r="386" customFormat="false" ht="15" hidden="false" customHeight="true" outlineLevel="0" collapsed="false">
      <c r="A386" s="6"/>
      <c r="B386" s="7"/>
      <c r="C386" s="8"/>
      <c r="D386" s="8"/>
      <c r="E386" s="8"/>
      <c r="F386" s="9"/>
      <c r="G386" s="8"/>
      <c r="H386" s="10" t="str">
        <f aca="false">IFERROR(INDEX('Operator Master'!$B$5:$B$504,MATCH(G386,'Operator Master'!$A$5:$A$504,0)),"")</f>
        <v/>
      </c>
      <c r="I386" s="9"/>
      <c r="J386" s="9"/>
      <c r="K386" s="8"/>
      <c r="L386" s="9"/>
      <c r="M386" s="9"/>
      <c r="N386" s="11"/>
      <c r="O386" s="11"/>
      <c r="P386" s="12" t="str">
        <f aca="false">IF(OR(N386="",O386=""),"",IFERROR(O386/N386*100,0))</f>
        <v/>
      </c>
      <c r="Q386" s="10" t="n">
        <v>8</v>
      </c>
      <c r="R386" s="12" t="str">
        <f aca="false">IF(J386="","",Q386*J386)</f>
        <v/>
      </c>
      <c r="S386" s="11"/>
      <c r="T386" s="12" t="str">
        <f aca="false">IF(OR(R386="",S386=""),"",IFERROR(S386/R386*100,0))</f>
        <v/>
      </c>
      <c r="U386" s="12" t="str">
        <f aca="false">IF(OR(O386="",L386="",M386="",S386="",M386=0),"",IFERROR(O386/(L386*60*S386/(M386*36))*100,0))</f>
        <v/>
      </c>
      <c r="V386" s="11"/>
      <c r="W386" s="12" t="str">
        <f aca="false">IF(O386="","",IFERROR(V386/O386*100,0))</f>
        <v/>
      </c>
      <c r="X386" s="11"/>
      <c r="Y386" s="11"/>
      <c r="Z386" s="11"/>
      <c r="AA386" s="11"/>
      <c r="AB386" s="11"/>
      <c r="AC386" s="11"/>
      <c r="AD386" s="11"/>
      <c r="AE386" s="11"/>
      <c r="AF386" s="12" t="str">
        <f aca="false">IF(O386="","",SUM(X386:AE386))</f>
        <v/>
      </c>
      <c r="AG386" s="12" t="str">
        <f aca="false">IF(O386="","",IFERROR(AF386/O386*1000,0))</f>
        <v/>
      </c>
      <c r="AH386" s="11"/>
      <c r="AI386" s="11"/>
      <c r="AJ386" s="11"/>
      <c r="AK386" s="9"/>
      <c r="AL386" s="9"/>
      <c r="AM386" s="9"/>
    </row>
    <row r="387" customFormat="false" ht="15" hidden="false" customHeight="true" outlineLevel="0" collapsed="false">
      <c r="A387" s="6"/>
      <c r="B387" s="7"/>
      <c r="C387" s="8"/>
      <c r="D387" s="8"/>
      <c r="E387" s="8"/>
      <c r="F387" s="9"/>
      <c r="G387" s="8"/>
      <c r="H387" s="10" t="str">
        <f aca="false">IFERROR(INDEX('Operator Master'!$B$5:$B$504,MATCH(G387,'Operator Master'!$A$5:$A$504,0)),"")</f>
        <v/>
      </c>
      <c r="I387" s="9"/>
      <c r="J387" s="9"/>
      <c r="K387" s="8"/>
      <c r="L387" s="9"/>
      <c r="M387" s="9"/>
      <c r="N387" s="11"/>
      <c r="O387" s="11"/>
      <c r="P387" s="12" t="str">
        <f aca="false">IF(OR(N387="",O387=""),"",IFERROR(O387/N387*100,0))</f>
        <v/>
      </c>
      <c r="Q387" s="10" t="n">
        <v>8</v>
      </c>
      <c r="R387" s="12" t="str">
        <f aca="false">IF(J387="","",Q387*J387)</f>
        <v/>
      </c>
      <c r="S387" s="11"/>
      <c r="T387" s="12" t="str">
        <f aca="false">IF(OR(R387="",S387=""),"",IFERROR(S387/R387*100,0))</f>
        <v/>
      </c>
      <c r="U387" s="12" t="str">
        <f aca="false">IF(OR(O387="",L387="",M387="",S387="",M387=0),"",IFERROR(O387/(L387*60*S387/(M387*36))*100,0))</f>
        <v/>
      </c>
      <c r="V387" s="11"/>
      <c r="W387" s="12" t="str">
        <f aca="false">IF(O387="","",IFERROR(V387/O387*100,0))</f>
        <v/>
      </c>
      <c r="X387" s="11"/>
      <c r="Y387" s="11"/>
      <c r="Z387" s="11"/>
      <c r="AA387" s="11"/>
      <c r="AB387" s="11"/>
      <c r="AC387" s="11"/>
      <c r="AD387" s="11"/>
      <c r="AE387" s="11"/>
      <c r="AF387" s="12" t="str">
        <f aca="false">IF(O387="","",SUM(X387:AE387))</f>
        <v/>
      </c>
      <c r="AG387" s="12" t="str">
        <f aca="false">IF(O387="","",IFERROR(AF387/O387*1000,0))</f>
        <v/>
      </c>
      <c r="AH387" s="11"/>
      <c r="AI387" s="11"/>
      <c r="AJ387" s="11"/>
      <c r="AK387" s="9"/>
      <c r="AL387" s="9"/>
      <c r="AM387" s="9"/>
    </row>
    <row r="388" customFormat="false" ht="15" hidden="false" customHeight="true" outlineLevel="0" collapsed="false">
      <c r="A388" s="6"/>
      <c r="B388" s="7"/>
      <c r="C388" s="8"/>
      <c r="D388" s="8"/>
      <c r="E388" s="8"/>
      <c r="F388" s="9"/>
      <c r="G388" s="8"/>
      <c r="H388" s="10" t="str">
        <f aca="false">IFERROR(INDEX('Operator Master'!$B$5:$B$504,MATCH(G388,'Operator Master'!$A$5:$A$504,0)),"")</f>
        <v/>
      </c>
      <c r="I388" s="9"/>
      <c r="J388" s="9"/>
      <c r="K388" s="8"/>
      <c r="L388" s="9"/>
      <c r="M388" s="9"/>
      <c r="N388" s="11"/>
      <c r="O388" s="11"/>
      <c r="P388" s="12" t="str">
        <f aca="false">IF(OR(N388="",O388=""),"",IFERROR(O388/N388*100,0))</f>
        <v/>
      </c>
      <c r="Q388" s="10" t="n">
        <v>8</v>
      </c>
      <c r="R388" s="12" t="str">
        <f aca="false">IF(J388="","",Q388*J388)</f>
        <v/>
      </c>
      <c r="S388" s="11"/>
      <c r="T388" s="12" t="str">
        <f aca="false">IF(OR(R388="",S388=""),"",IFERROR(S388/R388*100,0))</f>
        <v/>
      </c>
      <c r="U388" s="12" t="str">
        <f aca="false">IF(OR(O388="",L388="",M388="",S388="",M388=0),"",IFERROR(O388/(L388*60*S388/(M388*36))*100,0))</f>
        <v/>
      </c>
      <c r="V388" s="11"/>
      <c r="W388" s="12" t="str">
        <f aca="false">IF(O388="","",IFERROR(V388/O388*100,0))</f>
        <v/>
      </c>
      <c r="X388" s="11"/>
      <c r="Y388" s="11"/>
      <c r="Z388" s="11"/>
      <c r="AA388" s="11"/>
      <c r="AB388" s="11"/>
      <c r="AC388" s="11"/>
      <c r="AD388" s="11"/>
      <c r="AE388" s="11"/>
      <c r="AF388" s="12" t="str">
        <f aca="false">IF(O388="","",SUM(X388:AE388))</f>
        <v/>
      </c>
      <c r="AG388" s="12" t="str">
        <f aca="false">IF(O388="","",IFERROR(AF388/O388*1000,0))</f>
        <v/>
      </c>
      <c r="AH388" s="11"/>
      <c r="AI388" s="11"/>
      <c r="AJ388" s="11"/>
      <c r="AK388" s="9"/>
      <c r="AL388" s="9"/>
      <c r="AM388" s="9"/>
    </row>
    <row r="389" customFormat="false" ht="15" hidden="false" customHeight="true" outlineLevel="0" collapsed="false">
      <c r="A389" s="6"/>
      <c r="B389" s="7"/>
      <c r="C389" s="8"/>
      <c r="D389" s="8"/>
      <c r="E389" s="8"/>
      <c r="F389" s="9"/>
      <c r="G389" s="8"/>
      <c r="H389" s="10" t="str">
        <f aca="false">IFERROR(INDEX('Operator Master'!$B$5:$B$504,MATCH(G389,'Operator Master'!$A$5:$A$504,0)),"")</f>
        <v/>
      </c>
      <c r="I389" s="9"/>
      <c r="J389" s="9"/>
      <c r="K389" s="8"/>
      <c r="L389" s="9"/>
      <c r="M389" s="9"/>
      <c r="N389" s="11"/>
      <c r="O389" s="11"/>
      <c r="P389" s="12" t="str">
        <f aca="false">IF(OR(N389="",O389=""),"",IFERROR(O389/N389*100,0))</f>
        <v/>
      </c>
      <c r="Q389" s="10" t="n">
        <v>8</v>
      </c>
      <c r="R389" s="12" t="str">
        <f aca="false">IF(J389="","",Q389*J389)</f>
        <v/>
      </c>
      <c r="S389" s="11"/>
      <c r="T389" s="12" t="str">
        <f aca="false">IF(OR(R389="",S389=""),"",IFERROR(S389/R389*100,0))</f>
        <v/>
      </c>
      <c r="U389" s="12" t="str">
        <f aca="false">IF(OR(O389="",L389="",M389="",S389="",M389=0),"",IFERROR(O389/(L389*60*S389/(M389*36))*100,0))</f>
        <v/>
      </c>
      <c r="V389" s="11"/>
      <c r="W389" s="12" t="str">
        <f aca="false">IF(O389="","",IFERROR(V389/O389*100,0))</f>
        <v/>
      </c>
      <c r="X389" s="11"/>
      <c r="Y389" s="11"/>
      <c r="Z389" s="11"/>
      <c r="AA389" s="11"/>
      <c r="AB389" s="11"/>
      <c r="AC389" s="11"/>
      <c r="AD389" s="11"/>
      <c r="AE389" s="11"/>
      <c r="AF389" s="12" t="str">
        <f aca="false">IF(O389="","",SUM(X389:AE389))</f>
        <v/>
      </c>
      <c r="AG389" s="12" t="str">
        <f aca="false">IF(O389="","",IFERROR(AF389/O389*1000,0))</f>
        <v/>
      </c>
      <c r="AH389" s="11"/>
      <c r="AI389" s="11"/>
      <c r="AJ389" s="11"/>
      <c r="AK389" s="9"/>
      <c r="AL389" s="9"/>
      <c r="AM389" s="9"/>
    </row>
    <row r="390" customFormat="false" ht="15" hidden="false" customHeight="true" outlineLevel="0" collapsed="false">
      <c r="A390" s="6"/>
      <c r="B390" s="7"/>
      <c r="C390" s="8"/>
      <c r="D390" s="8"/>
      <c r="E390" s="8"/>
      <c r="F390" s="9"/>
      <c r="G390" s="8"/>
      <c r="H390" s="10" t="str">
        <f aca="false">IFERROR(INDEX('Operator Master'!$B$5:$B$504,MATCH(G390,'Operator Master'!$A$5:$A$504,0)),"")</f>
        <v/>
      </c>
      <c r="I390" s="9"/>
      <c r="J390" s="9"/>
      <c r="K390" s="8"/>
      <c r="L390" s="9"/>
      <c r="M390" s="9"/>
      <c r="N390" s="11"/>
      <c r="O390" s="11"/>
      <c r="P390" s="12" t="str">
        <f aca="false">IF(OR(N390="",O390=""),"",IFERROR(O390/N390*100,0))</f>
        <v/>
      </c>
      <c r="Q390" s="10" t="n">
        <v>8</v>
      </c>
      <c r="R390" s="12" t="str">
        <f aca="false">IF(J390="","",Q390*J390)</f>
        <v/>
      </c>
      <c r="S390" s="11"/>
      <c r="T390" s="12" t="str">
        <f aca="false">IF(OR(R390="",S390=""),"",IFERROR(S390/R390*100,0))</f>
        <v/>
      </c>
      <c r="U390" s="12" t="str">
        <f aca="false">IF(OR(O390="",L390="",M390="",S390="",M390=0),"",IFERROR(O390/(L390*60*S390/(M390*36))*100,0))</f>
        <v/>
      </c>
      <c r="V390" s="11"/>
      <c r="W390" s="12" t="str">
        <f aca="false">IF(O390="","",IFERROR(V390/O390*100,0))</f>
        <v/>
      </c>
      <c r="X390" s="11"/>
      <c r="Y390" s="11"/>
      <c r="Z390" s="11"/>
      <c r="AA390" s="11"/>
      <c r="AB390" s="11"/>
      <c r="AC390" s="11"/>
      <c r="AD390" s="11"/>
      <c r="AE390" s="11"/>
      <c r="AF390" s="12" t="str">
        <f aca="false">IF(O390="","",SUM(X390:AE390))</f>
        <v/>
      </c>
      <c r="AG390" s="12" t="str">
        <f aca="false">IF(O390="","",IFERROR(AF390/O390*1000,0))</f>
        <v/>
      </c>
      <c r="AH390" s="11"/>
      <c r="AI390" s="11"/>
      <c r="AJ390" s="11"/>
      <c r="AK390" s="9"/>
      <c r="AL390" s="9"/>
      <c r="AM390" s="9"/>
    </row>
    <row r="391" customFormat="false" ht="15" hidden="false" customHeight="true" outlineLevel="0" collapsed="false">
      <c r="A391" s="6"/>
      <c r="B391" s="7"/>
      <c r="C391" s="8"/>
      <c r="D391" s="8"/>
      <c r="E391" s="8"/>
      <c r="F391" s="9"/>
      <c r="G391" s="8"/>
      <c r="H391" s="10" t="str">
        <f aca="false">IFERROR(INDEX('Operator Master'!$B$5:$B$504,MATCH(G391,'Operator Master'!$A$5:$A$504,0)),"")</f>
        <v/>
      </c>
      <c r="I391" s="9"/>
      <c r="J391" s="9"/>
      <c r="K391" s="8"/>
      <c r="L391" s="9"/>
      <c r="M391" s="9"/>
      <c r="N391" s="11"/>
      <c r="O391" s="11"/>
      <c r="P391" s="12" t="str">
        <f aca="false">IF(OR(N391="",O391=""),"",IFERROR(O391/N391*100,0))</f>
        <v/>
      </c>
      <c r="Q391" s="10" t="n">
        <v>8</v>
      </c>
      <c r="R391" s="12" t="str">
        <f aca="false">IF(J391="","",Q391*J391)</f>
        <v/>
      </c>
      <c r="S391" s="11"/>
      <c r="T391" s="12" t="str">
        <f aca="false">IF(OR(R391="",S391=""),"",IFERROR(S391/R391*100,0))</f>
        <v/>
      </c>
      <c r="U391" s="12" t="str">
        <f aca="false">IF(OR(O391="",L391="",M391="",S391="",M391=0),"",IFERROR(O391/(L391*60*S391/(M391*36))*100,0))</f>
        <v/>
      </c>
      <c r="V391" s="11"/>
      <c r="W391" s="12" t="str">
        <f aca="false">IF(O391="","",IFERROR(V391/O391*100,0))</f>
        <v/>
      </c>
      <c r="X391" s="11"/>
      <c r="Y391" s="11"/>
      <c r="Z391" s="11"/>
      <c r="AA391" s="11"/>
      <c r="AB391" s="11"/>
      <c r="AC391" s="11"/>
      <c r="AD391" s="11"/>
      <c r="AE391" s="11"/>
      <c r="AF391" s="12" t="str">
        <f aca="false">IF(O391="","",SUM(X391:AE391))</f>
        <v/>
      </c>
      <c r="AG391" s="12" t="str">
        <f aca="false">IF(O391="","",IFERROR(AF391/O391*1000,0))</f>
        <v/>
      </c>
      <c r="AH391" s="11"/>
      <c r="AI391" s="11"/>
      <c r="AJ391" s="11"/>
      <c r="AK391" s="9"/>
      <c r="AL391" s="9"/>
      <c r="AM391" s="9"/>
    </row>
    <row r="392" customFormat="false" ht="15" hidden="false" customHeight="true" outlineLevel="0" collapsed="false">
      <c r="A392" s="6"/>
      <c r="B392" s="7"/>
      <c r="C392" s="8"/>
      <c r="D392" s="8"/>
      <c r="E392" s="8"/>
      <c r="F392" s="9"/>
      <c r="G392" s="8"/>
      <c r="H392" s="10" t="str">
        <f aca="false">IFERROR(INDEX('Operator Master'!$B$5:$B$504,MATCH(G392,'Operator Master'!$A$5:$A$504,0)),"")</f>
        <v/>
      </c>
      <c r="I392" s="9"/>
      <c r="J392" s="9"/>
      <c r="K392" s="8"/>
      <c r="L392" s="9"/>
      <c r="M392" s="9"/>
      <c r="N392" s="11"/>
      <c r="O392" s="11"/>
      <c r="P392" s="12" t="str">
        <f aca="false">IF(OR(N392="",O392=""),"",IFERROR(O392/N392*100,0))</f>
        <v/>
      </c>
      <c r="Q392" s="10" t="n">
        <v>8</v>
      </c>
      <c r="R392" s="12" t="str">
        <f aca="false">IF(J392="","",Q392*J392)</f>
        <v/>
      </c>
      <c r="S392" s="11"/>
      <c r="T392" s="12" t="str">
        <f aca="false">IF(OR(R392="",S392=""),"",IFERROR(S392/R392*100,0))</f>
        <v/>
      </c>
      <c r="U392" s="12" t="str">
        <f aca="false">IF(OR(O392="",L392="",M392="",S392="",M392=0),"",IFERROR(O392/(L392*60*S392/(M392*36))*100,0))</f>
        <v/>
      </c>
      <c r="V392" s="11"/>
      <c r="W392" s="12" t="str">
        <f aca="false">IF(O392="","",IFERROR(V392/O392*100,0))</f>
        <v/>
      </c>
      <c r="X392" s="11"/>
      <c r="Y392" s="11"/>
      <c r="Z392" s="11"/>
      <c r="AA392" s="11"/>
      <c r="AB392" s="11"/>
      <c r="AC392" s="11"/>
      <c r="AD392" s="11"/>
      <c r="AE392" s="11"/>
      <c r="AF392" s="12" t="str">
        <f aca="false">IF(O392="","",SUM(X392:AE392))</f>
        <v/>
      </c>
      <c r="AG392" s="12" t="str">
        <f aca="false">IF(O392="","",IFERROR(AF392/O392*1000,0))</f>
        <v/>
      </c>
      <c r="AH392" s="11"/>
      <c r="AI392" s="11"/>
      <c r="AJ392" s="11"/>
      <c r="AK392" s="9"/>
      <c r="AL392" s="9"/>
      <c r="AM392" s="9"/>
    </row>
    <row r="393" customFormat="false" ht="15" hidden="false" customHeight="true" outlineLevel="0" collapsed="false">
      <c r="A393" s="6"/>
      <c r="B393" s="7"/>
      <c r="C393" s="8"/>
      <c r="D393" s="8"/>
      <c r="E393" s="8"/>
      <c r="F393" s="9"/>
      <c r="G393" s="8"/>
      <c r="H393" s="10" t="str">
        <f aca="false">IFERROR(INDEX('Operator Master'!$B$5:$B$504,MATCH(G393,'Operator Master'!$A$5:$A$504,0)),"")</f>
        <v/>
      </c>
      <c r="I393" s="9"/>
      <c r="J393" s="9"/>
      <c r="K393" s="8"/>
      <c r="L393" s="9"/>
      <c r="M393" s="9"/>
      <c r="N393" s="11"/>
      <c r="O393" s="11"/>
      <c r="P393" s="12" t="str">
        <f aca="false">IF(OR(N393="",O393=""),"",IFERROR(O393/N393*100,0))</f>
        <v/>
      </c>
      <c r="Q393" s="10" t="n">
        <v>8</v>
      </c>
      <c r="R393" s="12" t="str">
        <f aca="false">IF(J393="","",Q393*J393)</f>
        <v/>
      </c>
      <c r="S393" s="11"/>
      <c r="T393" s="12" t="str">
        <f aca="false">IF(OR(R393="",S393=""),"",IFERROR(S393/R393*100,0))</f>
        <v/>
      </c>
      <c r="U393" s="12" t="str">
        <f aca="false">IF(OR(O393="",L393="",M393="",S393="",M393=0),"",IFERROR(O393/(L393*60*S393/(M393*36))*100,0))</f>
        <v/>
      </c>
      <c r="V393" s="11"/>
      <c r="W393" s="12" t="str">
        <f aca="false">IF(O393="","",IFERROR(V393/O393*100,0))</f>
        <v/>
      </c>
      <c r="X393" s="11"/>
      <c r="Y393" s="11"/>
      <c r="Z393" s="11"/>
      <c r="AA393" s="11"/>
      <c r="AB393" s="11"/>
      <c r="AC393" s="11"/>
      <c r="AD393" s="11"/>
      <c r="AE393" s="11"/>
      <c r="AF393" s="12" t="str">
        <f aca="false">IF(O393="","",SUM(X393:AE393))</f>
        <v/>
      </c>
      <c r="AG393" s="12" t="str">
        <f aca="false">IF(O393="","",IFERROR(AF393/O393*1000,0))</f>
        <v/>
      </c>
      <c r="AH393" s="11"/>
      <c r="AI393" s="11"/>
      <c r="AJ393" s="11"/>
      <c r="AK393" s="9"/>
      <c r="AL393" s="9"/>
      <c r="AM393" s="9"/>
    </row>
    <row r="394" customFormat="false" ht="15" hidden="false" customHeight="true" outlineLevel="0" collapsed="false">
      <c r="A394" s="6"/>
      <c r="B394" s="7"/>
      <c r="C394" s="8"/>
      <c r="D394" s="8"/>
      <c r="E394" s="8"/>
      <c r="F394" s="9"/>
      <c r="G394" s="8"/>
      <c r="H394" s="10" t="str">
        <f aca="false">IFERROR(INDEX('Operator Master'!$B$5:$B$504,MATCH(G394,'Operator Master'!$A$5:$A$504,0)),"")</f>
        <v/>
      </c>
      <c r="I394" s="9"/>
      <c r="J394" s="9"/>
      <c r="K394" s="8"/>
      <c r="L394" s="9"/>
      <c r="M394" s="9"/>
      <c r="N394" s="11"/>
      <c r="O394" s="11"/>
      <c r="P394" s="12" t="str">
        <f aca="false">IF(OR(N394="",O394=""),"",IFERROR(O394/N394*100,0))</f>
        <v/>
      </c>
      <c r="Q394" s="10" t="n">
        <v>8</v>
      </c>
      <c r="R394" s="12" t="str">
        <f aca="false">IF(J394="","",Q394*J394)</f>
        <v/>
      </c>
      <c r="S394" s="11"/>
      <c r="T394" s="12" t="str">
        <f aca="false">IF(OR(R394="",S394=""),"",IFERROR(S394/R394*100,0))</f>
        <v/>
      </c>
      <c r="U394" s="12" t="str">
        <f aca="false">IF(OR(O394="",L394="",M394="",S394="",M394=0),"",IFERROR(O394/(L394*60*S394/(M394*36))*100,0))</f>
        <v/>
      </c>
      <c r="V394" s="11"/>
      <c r="W394" s="12" t="str">
        <f aca="false">IF(O394="","",IFERROR(V394/O394*100,0))</f>
        <v/>
      </c>
      <c r="X394" s="11"/>
      <c r="Y394" s="11"/>
      <c r="Z394" s="11"/>
      <c r="AA394" s="11"/>
      <c r="AB394" s="11"/>
      <c r="AC394" s="11"/>
      <c r="AD394" s="11"/>
      <c r="AE394" s="11"/>
      <c r="AF394" s="12" t="str">
        <f aca="false">IF(O394="","",SUM(X394:AE394))</f>
        <v/>
      </c>
      <c r="AG394" s="12" t="str">
        <f aca="false">IF(O394="","",IFERROR(AF394/O394*1000,0))</f>
        <v/>
      </c>
      <c r="AH394" s="11"/>
      <c r="AI394" s="11"/>
      <c r="AJ394" s="11"/>
      <c r="AK394" s="9"/>
      <c r="AL394" s="9"/>
      <c r="AM394" s="9"/>
    </row>
    <row r="395" customFormat="false" ht="15" hidden="false" customHeight="true" outlineLevel="0" collapsed="false">
      <c r="A395" s="6"/>
      <c r="B395" s="7"/>
      <c r="C395" s="8"/>
      <c r="D395" s="8"/>
      <c r="E395" s="8"/>
      <c r="F395" s="9"/>
      <c r="G395" s="8"/>
      <c r="H395" s="10" t="str">
        <f aca="false">IFERROR(INDEX('Operator Master'!$B$5:$B$504,MATCH(G395,'Operator Master'!$A$5:$A$504,0)),"")</f>
        <v/>
      </c>
      <c r="I395" s="9"/>
      <c r="J395" s="9"/>
      <c r="K395" s="8"/>
      <c r="L395" s="9"/>
      <c r="M395" s="9"/>
      <c r="N395" s="11"/>
      <c r="O395" s="11"/>
      <c r="P395" s="12" t="str">
        <f aca="false">IF(OR(N395="",O395=""),"",IFERROR(O395/N395*100,0))</f>
        <v/>
      </c>
      <c r="Q395" s="10" t="n">
        <v>8</v>
      </c>
      <c r="R395" s="12" t="str">
        <f aca="false">IF(J395="","",Q395*J395)</f>
        <v/>
      </c>
      <c r="S395" s="11"/>
      <c r="T395" s="12" t="str">
        <f aca="false">IF(OR(R395="",S395=""),"",IFERROR(S395/R395*100,0))</f>
        <v/>
      </c>
      <c r="U395" s="12" t="str">
        <f aca="false">IF(OR(O395="",L395="",M395="",S395="",M395=0),"",IFERROR(O395/(L395*60*S395/(M395*36))*100,0))</f>
        <v/>
      </c>
      <c r="V395" s="11"/>
      <c r="W395" s="12" t="str">
        <f aca="false">IF(O395="","",IFERROR(V395/O395*100,0))</f>
        <v/>
      </c>
      <c r="X395" s="11"/>
      <c r="Y395" s="11"/>
      <c r="Z395" s="11"/>
      <c r="AA395" s="11"/>
      <c r="AB395" s="11"/>
      <c r="AC395" s="11"/>
      <c r="AD395" s="11"/>
      <c r="AE395" s="11"/>
      <c r="AF395" s="12" t="str">
        <f aca="false">IF(O395="","",SUM(X395:AE395))</f>
        <v/>
      </c>
      <c r="AG395" s="12" t="str">
        <f aca="false">IF(O395="","",IFERROR(AF395/O395*1000,0))</f>
        <v/>
      </c>
      <c r="AH395" s="11"/>
      <c r="AI395" s="11"/>
      <c r="AJ395" s="11"/>
      <c r="AK395" s="9"/>
      <c r="AL395" s="9"/>
      <c r="AM395" s="9"/>
    </row>
    <row r="396" customFormat="false" ht="15" hidden="false" customHeight="true" outlineLevel="0" collapsed="false">
      <c r="A396" s="6"/>
      <c r="B396" s="7"/>
      <c r="C396" s="8"/>
      <c r="D396" s="8"/>
      <c r="E396" s="8"/>
      <c r="F396" s="9"/>
      <c r="G396" s="8"/>
      <c r="H396" s="10" t="str">
        <f aca="false">IFERROR(INDEX('Operator Master'!$B$5:$B$504,MATCH(G396,'Operator Master'!$A$5:$A$504,0)),"")</f>
        <v/>
      </c>
      <c r="I396" s="9"/>
      <c r="J396" s="9"/>
      <c r="K396" s="8"/>
      <c r="L396" s="9"/>
      <c r="M396" s="9"/>
      <c r="N396" s="11"/>
      <c r="O396" s="11"/>
      <c r="P396" s="12" t="str">
        <f aca="false">IF(OR(N396="",O396=""),"",IFERROR(O396/N396*100,0))</f>
        <v/>
      </c>
      <c r="Q396" s="10" t="n">
        <v>8</v>
      </c>
      <c r="R396" s="12" t="str">
        <f aca="false">IF(J396="","",Q396*J396)</f>
        <v/>
      </c>
      <c r="S396" s="11"/>
      <c r="T396" s="12" t="str">
        <f aca="false">IF(OR(R396="",S396=""),"",IFERROR(S396/R396*100,0))</f>
        <v/>
      </c>
      <c r="U396" s="12" t="str">
        <f aca="false">IF(OR(O396="",L396="",M396="",S396="",M396=0),"",IFERROR(O396/(L396*60*S396/(M396*36))*100,0))</f>
        <v/>
      </c>
      <c r="V396" s="11"/>
      <c r="W396" s="12" t="str">
        <f aca="false">IF(O396="","",IFERROR(V396/O396*100,0))</f>
        <v/>
      </c>
      <c r="X396" s="11"/>
      <c r="Y396" s="11"/>
      <c r="Z396" s="11"/>
      <c r="AA396" s="11"/>
      <c r="AB396" s="11"/>
      <c r="AC396" s="11"/>
      <c r="AD396" s="11"/>
      <c r="AE396" s="11"/>
      <c r="AF396" s="12" t="str">
        <f aca="false">IF(O396="","",SUM(X396:AE396))</f>
        <v/>
      </c>
      <c r="AG396" s="12" t="str">
        <f aca="false">IF(O396="","",IFERROR(AF396/O396*1000,0))</f>
        <v/>
      </c>
      <c r="AH396" s="11"/>
      <c r="AI396" s="11"/>
      <c r="AJ396" s="11"/>
      <c r="AK396" s="9"/>
      <c r="AL396" s="9"/>
      <c r="AM396" s="9"/>
    </row>
    <row r="397" customFormat="false" ht="15" hidden="false" customHeight="true" outlineLevel="0" collapsed="false">
      <c r="A397" s="6"/>
      <c r="B397" s="7"/>
      <c r="C397" s="8"/>
      <c r="D397" s="8"/>
      <c r="E397" s="8"/>
      <c r="F397" s="9"/>
      <c r="G397" s="8"/>
      <c r="H397" s="10" t="str">
        <f aca="false">IFERROR(INDEX('Operator Master'!$B$5:$B$504,MATCH(G397,'Operator Master'!$A$5:$A$504,0)),"")</f>
        <v/>
      </c>
      <c r="I397" s="9"/>
      <c r="J397" s="9"/>
      <c r="K397" s="8"/>
      <c r="L397" s="9"/>
      <c r="M397" s="9"/>
      <c r="N397" s="11"/>
      <c r="O397" s="11"/>
      <c r="P397" s="12" t="str">
        <f aca="false">IF(OR(N397="",O397=""),"",IFERROR(O397/N397*100,0))</f>
        <v/>
      </c>
      <c r="Q397" s="10" t="n">
        <v>8</v>
      </c>
      <c r="R397" s="12" t="str">
        <f aca="false">IF(J397="","",Q397*J397)</f>
        <v/>
      </c>
      <c r="S397" s="11"/>
      <c r="T397" s="12" t="str">
        <f aca="false">IF(OR(R397="",S397=""),"",IFERROR(S397/R397*100,0))</f>
        <v/>
      </c>
      <c r="U397" s="12" t="str">
        <f aca="false">IF(OR(O397="",L397="",M397="",S397="",M397=0),"",IFERROR(O397/(L397*60*S397/(M397*36))*100,0))</f>
        <v/>
      </c>
      <c r="V397" s="11"/>
      <c r="W397" s="12" t="str">
        <f aca="false">IF(O397="","",IFERROR(V397/O397*100,0))</f>
        <v/>
      </c>
      <c r="X397" s="11"/>
      <c r="Y397" s="11"/>
      <c r="Z397" s="11"/>
      <c r="AA397" s="11"/>
      <c r="AB397" s="11"/>
      <c r="AC397" s="11"/>
      <c r="AD397" s="11"/>
      <c r="AE397" s="11"/>
      <c r="AF397" s="12" t="str">
        <f aca="false">IF(O397="","",SUM(X397:AE397))</f>
        <v/>
      </c>
      <c r="AG397" s="12" t="str">
        <f aca="false">IF(O397="","",IFERROR(AF397/O397*1000,0))</f>
        <v/>
      </c>
      <c r="AH397" s="11"/>
      <c r="AI397" s="11"/>
      <c r="AJ397" s="11"/>
      <c r="AK397" s="9"/>
      <c r="AL397" s="9"/>
      <c r="AM397" s="9"/>
    </row>
    <row r="398" customFormat="false" ht="15" hidden="false" customHeight="true" outlineLevel="0" collapsed="false">
      <c r="A398" s="6"/>
      <c r="B398" s="7"/>
      <c r="C398" s="8"/>
      <c r="D398" s="8"/>
      <c r="E398" s="8"/>
      <c r="F398" s="9"/>
      <c r="G398" s="8"/>
      <c r="H398" s="10" t="str">
        <f aca="false">IFERROR(INDEX('Operator Master'!$B$5:$B$504,MATCH(G398,'Operator Master'!$A$5:$A$504,0)),"")</f>
        <v/>
      </c>
      <c r="I398" s="9"/>
      <c r="J398" s="9"/>
      <c r="K398" s="8"/>
      <c r="L398" s="9"/>
      <c r="M398" s="9"/>
      <c r="N398" s="11"/>
      <c r="O398" s="11"/>
      <c r="P398" s="12" t="str">
        <f aca="false">IF(OR(N398="",O398=""),"",IFERROR(O398/N398*100,0))</f>
        <v/>
      </c>
      <c r="Q398" s="10" t="n">
        <v>8</v>
      </c>
      <c r="R398" s="12" t="str">
        <f aca="false">IF(J398="","",Q398*J398)</f>
        <v/>
      </c>
      <c r="S398" s="11"/>
      <c r="T398" s="12" t="str">
        <f aca="false">IF(OR(R398="",S398=""),"",IFERROR(S398/R398*100,0))</f>
        <v/>
      </c>
      <c r="U398" s="12" t="str">
        <f aca="false">IF(OR(O398="",L398="",M398="",S398="",M398=0),"",IFERROR(O398/(L398*60*S398/(M398*36))*100,0))</f>
        <v/>
      </c>
      <c r="V398" s="11"/>
      <c r="W398" s="12" t="str">
        <f aca="false">IF(O398="","",IFERROR(V398/O398*100,0))</f>
        <v/>
      </c>
      <c r="X398" s="11"/>
      <c r="Y398" s="11"/>
      <c r="Z398" s="11"/>
      <c r="AA398" s="11"/>
      <c r="AB398" s="11"/>
      <c r="AC398" s="11"/>
      <c r="AD398" s="11"/>
      <c r="AE398" s="11"/>
      <c r="AF398" s="12" t="str">
        <f aca="false">IF(O398="","",SUM(X398:AE398))</f>
        <v/>
      </c>
      <c r="AG398" s="12" t="str">
        <f aca="false">IF(O398="","",IFERROR(AF398/O398*1000,0))</f>
        <v/>
      </c>
      <c r="AH398" s="11"/>
      <c r="AI398" s="11"/>
      <c r="AJ398" s="11"/>
      <c r="AK398" s="9"/>
      <c r="AL398" s="9"/>
      <c r="AM398" s="9"/>
    </row>
    <row r="399" customFormat="false" ht="15" hidden="false" customHeight="true" outlineLevel="0" collapsed="false">
      <c r="A399" s="6"/>
      <c r="B399" s="7"/>
      <c r="C399" s="8"/>
      <c r="D399" s="8"/>
      <c r="E399" s="8"/>
      <c r="F399" s="9"/>
      <c r="G399" s="8"/>
      <c r="H399" s="10" t="str">
        <f aca="false">IFERROR(INDEX('Operator Master'!$B$5:$B$504,MATCH(G399,'Operator Master'!$A$5:$A$504,0)),"")</f>
        <v/>
      </c>
      <c r="I399" s="9"/>
      <c r="J399" s="9"/>
      <c r="K399" s="8"/>
      <c r="L399" s="9"/>
      <c r="M399" s="9"/>
      <c r="N399" s="11"/>
      <c r="O399" s="11"/>
      <c r="P399" s="12" t="str">
        <f aca="false">IF(OR(N399="",O399=""),"",IFERROR(O399/N399*100,0))</f>
        <v/>
      </c>
      <c r="Q399" s="10" t="n">
        <v>8</v>
      </c>
      <c r="R399" s="12" t="str">
        <f aca="false">IF(J399="","",Q399*J399)</f>
        <v/>
      </c>
      <c r="S399" s="11"/>
      <c r="T399" s="12" t="str">
        <f aca="false">IF(OR(R399="",S399=""),"",IFERROR(S399/R399*100,0))</f>
        <v/>
      </c>
      <c r="U399" s="12" t="str">
        <f aca="false">IF(OR(O399="",L399="",M399="",S399="",M399=0),"",IFERROR(O399/(L399*60*S399/(M399*36))*100,0))</f>
        <v/>
      </c>
      <c r="V399" s="11"/>
      <c r="W399" s="12" t="str">
        <f aca="false">IF(O399="","",IFERROR(V399/O399*100,0))</f>
        <v/>
      </c>
      <c r="X399" s="11"/>
      <c r="Y399" s="11"/>
      <c r="Z399" s="11"/>
      <c r="AA399" s="11"/>
      <c r="AB399" s="11"/>
      <c r="AC399" s="11"/>
      <c r="AD399" s="11"/>
      <c r="AE399" s="11"/>
      <c r="AF399" s="12" t="str">
        <f aca="false">IF(O399="","",SUM(X399:AE399))</f>
        <v/>
      </c>
      <c r="AG399" s="12" t="str">
        <f aca="false">IF(O399="","",IFERROR(AF399/O399*1000,0))</f>
        <v/>
      </c>
      <c r="AH399" s="11"/>
      <c r="AI399" s="11"/>
      <c r="AJ399" s="11"/>
      <c r="AK399" s="9"/>
      <c r="AL399" s="9"/>
      <c r="AM399" s="9"/>
    </row>
    <row r="400" customFormat="false" ht="15" hidden="false" customHeight="true" outlineLevel="0" collapsed="false">
      <c r="A400" s="6"/>
      <c r="B400" s="7"/>
      <c r="C400" s="8"/>
      <c r="D400" s="8"/>
      <c r="E400" s="8"/>
      <c r="F400" s="9"/>
      <c r="G400" s="8"/>
      <c r="H400" s="10" t="str">
        <f aca="false">IFERROR(INDEX('Operator Master'!$B$5:$B$504,MATCH(G400,'Operator Master'!$A$5:$A$504,0)),"")</f>
        <v/>
      </c>
      <c r="I400" s="9"/>
      <c r="J400" s="9"/>
      <c r="K400" s="8"/>
      <c r="L400" s="9"/>
      <c r="M400" s="9"/>
      <c r="N400" s="11"/>
      <c r="O400" s="11"/>
      <c r="P400" s="12" t="str">
        <f aca="false">IF(OR(N400="",O400=""),"",IFERROR(O400/N400*100,0))</f>
        <v/>
      </c>
      <c r="Q400" s="10" t="n">
        <v>8</v>
      </c>
      <c r="R400" s="12" t="str">
        <f aca="false">IF(J400="","",Q400*J400)</f>
        <v/>
      </c>
      <c r="S400" s="11"/>
      <c r="T400" s="12" t="str">
        <f aca="false">IF(OR(R400="",S400=""),"",IFERROR(S400/R400*100,0))</f>
        <v/>
      </c>
      <c r="U400" s="12" t="str">
        <f aca="false">IF(OR(O400="",L400="",M400="",S400="",M400=0),"",IFERROR(O400/(L400*60*S400/(M400*36))*100,0))</f>
        <v/>
      </c>
      <c r="V400" s="11"/>
      <c r="W400" s="12" t="str">
        <f aca="false">IF(O400="","",IFERROR(V400/O400*100,0))</f>
        <v/>
      </c>
      <c r="X400" s="11"/>
      <c r="Y400" s="11"/>
      <c r="Z400" s="11"/>
      <c r="AA400" s="11"/>
      <c r="AB400" s="11"/>
      <c r="AC400" s="11"/>
      <c r="AD400" s="11"/>
      <c r="AE400" s="11"/>
      <c r="AF400" s="12" t="str">
        <f aca="false">IF(O400="","",SUM(X400:AE400))</f>
        <v/>
      </c>
      <c r="AG400" s="12" t="str">
        <f aca="false">IF(O400="","",IFERROR(AF400/O400*1000,0))</f>
        <v/>
      </c>
      <c r="AH400" s="11"/>
      <c r="AI400" s="11"/>
      <c r="AJ400" s="11"/>
      <c r="AK400" s="9"/>
      <c r="AL400" s="9"/>
      <c r="AM400" s="9"/>
    </row>
    <row r="401" customFormat="false" ht="15" hidden="false" customHeight="true" outlineLevel="0" collapsed="false">
      <c r="A401" s="6"/>
      <c r="B401" s="7"/>
      <c r="C401" s="8"/>
      <c r="D401" s="8"/>
      <c r="E401" s="8"/>
      <c r="F401" s="9"/>
      <c r="G401" s="8"/>
      <c r="H401" s="10" t="str">
        <f aca="false">IFERROR(INDEX('Operator Master'!$B$5:$B$504,MATCH(G401,'Operator Master'!$A$5:$A$504,0)),"")</f>
        <v/>
      </c>
      <c r="I401" s="9"/>
      <c r="J401" s="9"/>
      <c r="K401" s="8"/>
      <c r="L401" s="9"/>
      <c r="M401" s="9"/>
      <c r="N401" s="11"/>
      <c r="O401" s="11"/>
      <c r="P401" s="12" t="str">
        <f aca="false">IF(OR(N401="",O401=""),"",IFERROR(O401/N401*100,0))</f>
        <v/>
      </c>
      <c r="Q401" s="10" t="n">
        <v>8</v>
      </c>
      <c r="R401" s="12" t="str">
        <f aca="false">IF(J401="","",Q401*J401)</f>
        <v/>
      </c>
      <c r="S401" s="11"/>
      <c r="T401" s="12" t="str">
        <f aca="false">IF(OR(R401="",S401=""),"",IFERROR(S401/R401*100,0))</f>
        <v/>
      </c>
      <c r="U401" s="12" t="str">
        <f aca="false">IF(OR(O401="",L401="",M401="",S401="",M401=0),"",IFERROR(O401/(L401*60*S401/(M401*36))*100,0))</f>
        <v/>
      </c>
      <c r="V401" s="11"/>
      <c r="W401" s="12" t="str">
        <f aca="false">IF(O401="","",IFERROR(V401/O401*100,0))</f>
        <v/>
      </c>
      <c r="X401" s="11"/>
      <c r="Y401" s="11"/>
      <c r="Z401" s="11"/>
      <c r="AA401" s="11"/>
      <c r="AB401" s="11"/>
      <c r="AC401" s="11"/>
      <c r="AD401" s="11"/>
      <c r="AE401" s="11"/>
      <c r="AF401" s="12" t="str">
        <f aca="false">IF(O401="","",SUM(X401:AE401))</f>
        <v/>
      </c>
      <c r="AG401" s="12" t="str">
        <f aca="false">IF(O401="","",IFERROR(AF401/O401*1000,0))</f>
        <v/>
      </c>
      <c r="AH401" s="11"/>
      <c r="AI401" s="11"/>
      <c r="AJ401" s="11"/>
      <c r="AK401" s="9"/>
      <c r="AL401" s="9"/>
      <c r="AM401" s="9"/>
    </row>
    <row r="402" customFormat="false" ht="15" hidden="false" customHeight="true" outlineLevel="0" collapsed="false">
      <c r="A402" s="6"/>
      <c r="B402" s="7"/>
      <c r="C402" s="8"/>
      <c r="D402" s="8"/>
      <c r="E402" s="8"/>
      <c r="F402" s="9"/>
      <c r="G402" s="8"/>
      <c r="H402" s="10" t="str">
        <f aca="false">IFERROR(INDEX('Operator Master'!$B$5:$B$504,MATCH(G402,'Operator Master'!$A$5:$A$504,0)),"")</f>
        <v/>
      </c>
      <c r="I402" s="9"/>
      <c r="J402" s="9"/>
      <c r="K402" s="8"/>
      <c r="L402" s="9"/>
      <c r="M402" s="9"/>
      <c r="N402" s="11"/>
      <c r="O402" s="11"/>
      <c r="P402" s="12" t="str">
        <f aca="false">IF(OR(N402="",O402=""),"",IFERROR(O402/N402*100,0))</f>
        <v/>
      </c>
      <c r="Q402" s="10" t="n">
        <v>8</v>
      </c>
      <c r="R402" s="12" t="str">
        <f aca="false">IF(J402="","",Q402*J402)</f>
        <v/>
      </c>
      <c r="S402" s="11"/>
      <c r="T402" s="12" t="str">
        <f aca="false">IF(OR(R402="",S402=""),"",IFERROR(S402/R402*100,0))</f>
        <v/>
      </c>
      <c r="U402" s="12" t="str">
        <f aca="false">IF(OR(O402="",L402="",M402="",S402="",M402=0),"",IFERROR(O402/(L402*60*S402/(M402*36))*100,0))</f>
        <v/>
      </c>
      <c r="V402" s="11"/>
      <c r="W402" s="12" t="str">
        <f aca="false">IF(O402="","",IFERROR(V402/O402*100,0))</f>
        <v/>
      </c>
      <c r="X402" s="11"/>
      <c r="Y402" s="11"/>
      <c r="Z402" s="11"/>
      <c r="AA402" s="11"/>
      <c r="AB402" s="11"/>
      <c r="AC402" s="11"/>
      <c r="AD402" s="11"/>
      <c r="AE402" s="11"/>
      <c r="AF402" s="12" t="str">
        <f aca="false">IF(O402="","",SUM(X402:AE402))</f>
        <v/>
      </c>
      <c r="AG402" s="12" t="str">
        <f aca="false">IF(O402="","",IFERROR(AF402/O402*1000,0))</f>
        <v/>
      </c>
      <c r="AH402" s="11"/>
      <c r="AI402" s="11"/>
      <c r="AJ402" s="11"/>
      <c r="AK402" s="9"/>
      <c r="AL402" s="9"/>
      <c r="AM402" s="9"/>
    </row>
    <row r="403" customFormat="false" ht="15" hidden="false" customHeight="true" outlineLevel="0" collapsed="false">
      <c r="A403" s="6"/>
      <c r="B403" s="7"/>
      <c r="C403" s="8"/>
      <c r="D403" s="8"/>
      <c r="E403" s="8"/>
      <c r="F403" s="9"/>
      <c r="G403" s="8"/>
      <c r="H403" s="10" t="str">
        <f aca="false">IFERROR(INDEX('Operator Master'!$B$5:$B$504,MATCH(G403,'Operator Master'!$A$5:$A$504,0)),"")</f>
        <v/>
      </c>
      <c r="I403" s="9"/>
      <c r="J403" s="9"/>
      <c r="K403" s="8"/>
      <c r="L403" s="9"/>
      <c r="M403" s="9"/>
      <c r="N403" s="11"/>
      <c r="O403" s="11"/>
      <c r="P403" s="12" t="str">
        <f aca="false">IF(OR(N403="",O403=""),"",IFERROR(O403/N403*100,0))</f>
        <v/>
      </c>
      <c r="Q403" s="10" t="n">
        <v>8</v>
      </c>
      <c r="R403" s="12" t="str">
        <f aca="false">IF(J403="","",Q403*J403)</f>
        <v/>
      </c>
      <c r="S403" s="11"/>
      <c r="T403" s="12" t="str">
        <f aca="false">IF(OR(R403="",S403=""),"",IFERROR(S403/R403*100,0))</f>
        <v/>
      </c>
      <c r="U403" s="12" t="str">
        <f aca="false">IF(OR(O403="",L403="",M403="",S403="",M403=0),"",IFERROR(O403/(L403*60*S403/(M403*36))*100,0))</f>
        <v/>
      </c>
      <c r="V403" s="11"/>
      <c r="W403" s="12" t="str">
        <f aca="false">IF(O403="","",IFERROR(V403/O403*100,0))</f>
        <v/>
      </c>
      <c r="X403" s="11"/>
      <c r="Y403" s="11"/>
      <c r="Z403" s="11"/>
      <c r="AA403" s="11"/>
      <c r="AB403" s="11"/>
      <c r="AC403" s="11"/>
      <c r="AD403" s="11"/>
      <c r="AE403" s="11"/>
      <c r="AF403" s="12" t="str">
        <f aca="false">IF(O403="","",SUM(X403:AE403))</f>
        <v/>
      </c>
      <c r="AG403" s="12" t="str">
        <f aca="false">IF(O403="","",IFERROR(AF403/O403*1000,0))</f>
        <v/>
      </c>
      <c r="AH403" s="11"/>
      <c r="AI403" s="11"/>
      <c r="AJ403" s="11"/>
      <c r="AK403" s="9"/>
      <c r="AL403" s="9"/>
      <c r="AM403" s="9"/>
    </row>
    <row r="404" customFormat="false" ht="15" hidden="false" customHeight="true" outlineLevel="0" collapsed="false">
      <c r="A404" s="6"/>
      <c r="B404" s="7"/>
      <c r="C404" s="8"/>
      <c r="D404" s="8"/>
      <c r="E404" s="8"/>
      <c r="F404" s="9"/>
      <c r="G404" s="8"/>
      <c r="H404" s="10" t="str">
        <f aca="false">IFERROR(INDEX('Operator Master'!$B$5:$B$504,MATCH(G404,'Operator Master'!$A$5:$A$504,0)),"")</f>
        <v/>
      </c>
      <c r="I404" s="9"/>
      <c r="J404" s="9"/>
      <c r="K404" s="8"/>
      <c r="L404" s="9"/>
      <c r="M404" s="9"/>
      <c r="N404" s="11"/>
      <c r="O404" s="11"/>
      <c r="P404" s="12" t="str">
        <f aca="false">IF(OR(N404="",O404=""),"",IFERROR(O404/N404*100,0))</f>
        <v/>
      </c>
      <c r="Q404" s="10" t="n">
        <v>8</v>
      </c>
      <c r="R404" s="12" t="str">
        <f aca="false">IF(J404="","",Q404*J404)</f>
        <v/>
      </c>
      <c r="S404" s="11"/>
      <c r="T404" s="12" t="str">
        <f aca="false">IF(OR(R404="",S404=""),"",IFERROR(S404/R404*100,0))</f>
        <v/>
      </c>
      <c r="U404" s="12" t="str">
        <f aca="false">IF(OR(O404="",L404="",M404="",S404="",M404=0),"",IFERROR(O404/(L404*60*S404/(M404*36))*100,0))</f>
        <v/>
      </c>
      <c r="V404" s="11"/>
      <c r="W404" s="12" t="str">
        <f aca="false">IF(O404="","",IFERROR(V404/O404*100,0))</f>
        <v/>
      </c>
      <c r="X404" s="11"/>
      <c r="Y404" s="11"/>
      <c r="Z404" s="11"/>
      <c r="AA404" s="11"/>
      <c r="AB404" s="11"/>
      <c r="AC404" s="11"/>
      <c r="AD404" s="11"/>
      <c r="AE404" s="11"/>
      <c r="AF404" s="12" t="str">
        <f aca="false">IF(O404="","",SUM(X404:AE404))</f>
        <v/>
      </c>
      <c r="AG404" s="12" t="str">
        <f aca="false">IF(O404="","",IFERROR(AF404/O404*1000,0))</f>
        <v/>
      </c>
      <c r="AH404" s="11"/>
      <c r="AI404" s="11"/>
      <c r="AJ404" s="11"/>
      <c r="AK404" s="9"/>
      <c r="AL404" s="9"/>
      <c r="AM404" s="9"/>
    </row>
    <row r="405" customFormat="false" ht="15" hidden="false" customHeight="true" outlineLevel="0" collapsed="false">
      <c r="A405" s="6"/>
      <c r="B405" s="7"/>
      <c r="C405" s="8"/>
      <c r="D405" s="8"/>
      <c r="E405" s="8"/>
      <c r="F405" s="9"/>
      <c r="G405" s="8"/>
      <c r="H405" s="10" t="str">
        <f aca="false">IFERROR(INDEX('Operator Master'!$B$5:$B$504,MATCH(G405,'Operator Master'!$A$5:$A$504,0)),"")</f>
        <v/>
      </c>
      <c r="I405" s="9"/>
      <c r="J405" s="9"/>
      <c r="K405" s="8"/>
      <c r="L405" s="9"/>
      <c r="M405" s="9"/>
      <c r="N405" s="11"/>
      <c r="O405" s="11"/>
      <c r="P405" s="12" t="str">
        <f aca="false">IF(OR(N405="",O405=""),"",IFERROR(O405/N405*100,0))</f>
        <v/>
      </c>
      <c r="Q405" s="10" t="n">
        <v>8</v>
      </c>
      <c r="R405" s="12" t="str">
        <f aca="false">IF(J405="","",Q405*J405)</f>
        <v/>
      </c>
      <c r="S405" s="11"/>
      <c r="T405" s="12" t="str">
        <f aca="false">IF(OR(R405="",S405=""),"",IFERROR(S405/R405*100,0))</f>
        <v/>
      </c>
      <c r="U405" s="12" t="str">
        <f aca="false">IF(OR(O405="",L405="",M405="",S405="",M405=0),"",IFERROR(O405/(L405*60*S405/(M405*36))*100,0))</f>
        <v/>
      </c>
      <c r="V405" s="11"/>
      <c r="W405" s="12" t="str">
        <f aca="false">IF(O405="","",IFERROR(V405/O405*100,0))</f>
        <v/>
      </c>
      <c r="X405" s="11"/>
      <c r="Y405" s="11"/>
      <c r="Z405" s="11"/>
      <c r="AA405" s="11"/>
      <c r="AB405" s="11"/>
      <c r="AC405" s="11"/>
      <c r="AD405" s="11"/>
      <c r="AE405" s="11"/>
      <c r="AF405" s="12" t="str">
        <f aca="false">IF(O405="","",SUM(X405:AE405))</f>
        <v/>
      </c>
      <c r="AG405" s="12" t="str">
        <f aca="false">IF(O405="","",IFERROR(AF405/O405*1000,0))</f>
        <v/>
      </c>
      <c r="AH405" s="11"/>
      <c r="AI405" s="11"/>
      <c r="AJ405" s="11"/>
      <c r="AK405" s="9"/>
      <c r="AL405" s="9"/>
      <c r="AM405" s="9"/>
    </row>
    <row r="406" customFormat="false" ht="15" hidden="false" customHeight="true" outlineLevel="0" collapsed="false">
      <c r="A406" s="6"/>
      <c r="B406" s="7"/>
      <c r="C406" s="8"/>
      <c r="D406" s="8"/>
      <c r="E406" s="8"/>
      <c r="F406" s="9"/>
      <c r="G406" s="8"/>
      <c r="H406" s="10" t="str">
        <f aca="false">IFERROR(INDEX('Operator Master'!$B$5:$B$504,MATCH(G406,'Operator Master'!$A$5:$A$504,0)),"")</f>
        <v/>
      </c>
      <c r="I406" s="9"/>
      <c r="J406" s="9"/>
      <c r="K406" s="8"/>
      <c r="L406" s="9"/>
      <c r="M406" s="9"/>
      <c r="N406" s="11"/>
      <c r="O406" s="11"/>
      <c r="P406" s="12" t="str">
        <f aca="false">IF(OR(N406="",O406=""),"",IFERROR(O406/N406*100,0))</f>
        <v/>
      </c>
      <c r="Q406" s="10" t="n">
        <v>8</v>
      </c>
      <c r="R406" s="12" t="str">
        <f aca="false">IF(J406="","",Q406*J406)</f>
        <v/>
      </c>
      <c r="S406" s="11"/>
      <c r="T406" s="12" t="str">
        <f aca="false">IF(OR(R406="",S406=""),"",IFERROR(S406/R406*100,0))</f>
        <v/>
      </c>
      <c r="U406" s="12" t="str">
        <f aca="false">IF(OR(O406="",L406="",M406="",S406="",M406=0),"",IFERROR(O406/(L406*60*S406/(M406*36))*100,0))</f>
        <v/>
      </c>
      <c r="V406" s="11"/>
      <c r="W406" s="12" t="str">
        <f aca="false">IF(O406="","",IFERROR(V406/O406*100,0))</f>
        <v/>
      </c>
      <c r="X406" s="11"/>
      <c r="Y406" s="11"/>
      <c r="Z406" s="11"/>
      <c r="AA406" s="11"/>
      <c r="AB406" s="11"/>
      <c r="AC406" s="11"/>
      <c r="AD406" s="11"/>
      <c r="AE406" s="11"/>
      <c r="AF406" s="12" t="str">
        <f aca="false">IF(O406="","",SUM(X406:AE406))</f>
        <v/>
      </c>
      <c r="AG406" s="12" t="str">
        <f aca="false">IF(O406="","",IFERROR(AF406/O406*1000,0))</f>
        <v/>
      </c>
      <c r="AH406" s="11"/>
      <c r="AI406" s="11"/>
      <c r="AJ406" s="11"/>
      <c r="AK406" s="9"/>
      <c r="AL406" s="9"/>
      <c r="AM406" s="9"/>
    </row>
    <row r="407" customFormat="false" ht="15" hidden="false" customHeight="true" outlineLevel="0" collapsed="false">
      <c r="A407" s="6"/>
      <c r="B407" s="7"/>
      <c r="C407" s="8"/>
      <c r="D407" s="8"/>
      <c r="E407" s="8"/>
      <c r="F407" s="9"/>
      <c r="G407" s="8"/>
      <c r="H407" s="10" t="str">
        <f aca="false">IFERROR(INDEX('Operator Master'!$B$5:$B$504,MATCH(G407,'Operator Master'!$A$5:$A$504,0)),"")</f>
        <v/>
      </c>
      <c r="I407" s="9"/>
      <c r="J407" s="9"/>
      <c r="K407" s="8"/>
      <c r="L407" s="9"/>
      <c r="M407" s="9"/>
      <c r="N407" s="11"/>
      <c r="O407" s="11"/>
      <c r="P407" s="12" t="str">
        <f aca="false">IF(OR(N407="",O407=""),"",IFERROR(O407/N407*100,0))</f>
        <v/>
      </c>
      <c r="Q407" s="10" t="n">
        <v>8</v>
      </c>
      <c r="R407" s="12" t="str">
        <f aca="false">IF(J407="","",Q407*J407)</f>
        <v/>
      </c>
      <c r="S407" s="11"/>
      <c r="T407" s="12" t="str">
        <f aca="false">IF(OR(R407="",S407=""),"",IFERROR(S407/R407*100,0))</f>
        <v/>
      </c>
      <c r="U407" s="12" t="str">
        <f aca="false">IF(OR(O407="",L407="",M407="",S407="",M407=0),"",IFERROR(O407/(L407*60*S407/(M407*36))*100,0))</f>
        <v/>
      </c>
      <c r="V407" s="11"/>
      <c r="W407" s="12" t="str">
        <f aca="false">IF(O407="","",IFERROR(V407/O407*100,0))</f>
        <v/>
      </c>
      <c r="X407" s="11"/>
      <c r="Y407" s="11"/>
      <c r="Z407" s="11"/>
      <c r="AA407" s="11"/>
      <c r="AB407" s="11"/>
      <c r="AC407" s="11"/>
      <c r="AD407" s="11"/>
      <c r="AE407" s="11"/>
      <c r="AF407" s="12" t="str">
        <f aca="false">IF(O407="","",SUM(X407:AE407))</f>
        <v/>
      </c>
      <c r="AG407" s="12" t="str">
        <f aca="false">IF(O407="","",IFERROR(AF407/O407*1000,0))</f>
        <v/>
      </c>
      <c r="AH407" s="11"/>
      <c r="AI407" s="11"/>
      <c r="AJ407" s="11"/>
      <c r="AK407" s="9"/>
      <c r="AL407" s="9"/>
      <c r="AM407" s="9"/>
    </row>
    <row r="408" customFormat="false" ht="15" hidden="false" customHeight="true" outlineLevel="0" collapsed="false">
      <c r="A408" s="6"/>
      <c r="B408" s="7"/>
      <c r="C408" s="8"/>
      <c r="D408" s="8"/>
      <c r="E408" s="8"/>
      <c r="F408" s="9"/>
      <c r="G408" s="8"/>
      <c r="H408" s="10" t="str">
        <f aca="false">IFERROR(INDEX('Operator Master'!$B$5:$B$504,MATCH(G408,'Operator Master'!$A$5:$A$504,0)),"")</f>
        <v/>
      </c>
      <c r="I408" s="9"/>
      <c r="J408" s="9"/>
      <c r="K408" s="8"/>
      <c r="L408" s="9"/>
      <c r="M408" s="9"/>
      <c r="N408" s="11"/>
      <c r="O408" s="11"/>
      <c r="P408" s="12" t="str">
        <f aca="false">IF(OR(N408="",O408=""),"",IFERROR(O408/N408*100,0))</f>
        <v/>
      </c>
      <c r="Q408" s="10" t="n">
        <v>8</v>
      </c>
      <c r="R408" s="12" t="str">
        <f aca="false">IF(J408="","",Q408*J408)</f>
        <v/>
      </c>
      <c r="S408" s="11"/>
      <c r="T408" s="12" t="str">
        <f aca="false">IF(OR(R408="",S408=""),"",IFERROR(S408/R408*100,0))</f>
        <v/>
      </c>
      <c r="U408" s="12" t="str">
        <f aca="false">IF(OR(O408="",L408="",M408="",S408="",M408=0),"",IFERROR(O408/(L408*60*S408/(M408*36))*100,0))</f>
        <v/>
      </c>
      <c r="V408" s="11"/>
      <c r="W408" s="12" t="str">
        <f aca="false">IF(O408="","",IFERROR(V408/O408*100,0))</f>
        <v/>
      </c>
      <c r="X408" s="11"/>
      <c r="Y408" s="11"/>
      <c r="Z408" s="11"/>
      <c r="AA408" s="11"/>
      <c r="AB408" s="11"/>
      <c r="AC408" s="11"/>
      <c r="AD408" s="11"/>
      <c r="AE408" s="11"/>
      <c r="AF408" s="12" t="str">
        <f aca="false">IF(O408="","",SUM(X408:AE408))</f>
        <v/>
      </c>
      <c r="AG408" s="12" t="str">
        <f aca="false">IF(O408="","",IFERROR(AF408/O408*1000,0))</f>
        <v/>
      </c>
      <c r="AH408" s="11"/>
      <c r="AI408" s="11"/>
      <c r="AJ408" s="11"/>
      <c r="AK408" s="9"/>
      <c r="AL408" s="9"/>
      <c r="AM408" s="9"/>
    </row>
    <row r="409" customFormat="false" ht="15" hidden="false" customHeight="true" outlineLevel="0" collapsed="false">
      <c r="A409" s="6"/>
      <c r="B409" s="7"/>
      <c r="C409" s="8"/>
      <c r="D409" s="8"/>
      <c r="E409" s="8"/>
      <c r="F409" s="9"/>
      <c r="G409" s="8"/>
      <c r="H409" s="10" t="str">
        <f aca="false">IFERROR(INDEX('Operator Master'!$B$5:$B$504,MATCH(G409,'Operator Master'!$A$5:$A$504,0)),"")</f>
        <v/>
      </c>
      <c r="I409" s="9"/>
      <c r="J409" s="9"/>
      <c r="K409" s="8"/>
      <c r="L409" s="9"/>
      <c r="M409" s="9"/>
      <c r="N409" s="11"/>
      <c r="O409" s="11"/>
      <c r="P409" s="12" t="str">
        <f aca="false">IF(OR(N409="",O409=""),"",IFERROR(O409/N409*100,0))</f>
        <v/>
      </c>
      <c r="Q409" s="10" t="n">
        <v>8</v>
      </c>
      <c r="R409" s="12" t="str">
        <f aca="false">IF(J409="","",Q409*J409)</f>
        <v/>
      </c>
      <c r="S409" s="11"/>
      <c r="T409" s="12" t="str">
        <f aca="false">IF(OR(R409="",S409=""),"",IFERROR(S409/R409*100,0))</f>
        <v/>
      </c>
      <c r="U409" s="12" t="str">
        <f aca="false">IF(OR(O409="",L409="",M409="",S409="",M409=0),"",IFERROR(O409/(L409*60*S409/(M409*36))*100,0))</f>
        <v/>
      </c>
      <c r="V409" s="11"/>
      <c r="W409" s="12" t="str">
        <f aca="false">IF(O409="","",IFERROR(V409/O409*100,0))</f>
        <v/>
      </c>
      <c r="X409" s="11"/>
      <c r="Y409" s="11"/>
      <c r="Z409" s="11"/>
      <c r="AA409" s="11"/>
      <c r="AB409" s="11"/>
      <c r="AC409" s="11"/>
      <c r="AD409" s="11"/>
      <c r="AE409" s="11"/>
      <c r="AF409" s="12" t="str">
        <f aca="false">IF(O409="","",SUM(X409:AE409))</f>
        <v/>
      </c>
      <c r="AG409" s="12" t="str">
        <f aca="false">IF(O409="","",IFERROR(AF409/O409*1000,0))</f>
        <v/>
      </c>
      <c r="AH409" s="11"/>
      <c r="AI409" s="11"/>
      <c r="AJ409" s="11"/>
      <c r="AK409" s="9"/>
      <c r="AL409" s="9"/>
      <c r="AM409" s="9"/>
    </row>
    <row r="410" customFormat="false" ht="15" hidden="false" customHeight="true" outlineLevel="0" collapsed="false">
      <c r="A410" s="6"/>
      <c r="B410" s="7"/>
      <c r="C410" s="8"/>
      <c r="D410" s="8"/>
      <c r="E410" s="8"/>
      <c r="F410" s="9"/>
      <c r="G410" s="8"/>
      <c r="H410" s="10" t="str">
        <f aca="false">IFERROR(INDEX('Operator Master'!$B$5:$B$504,MATCH(G410,'Operator Master'!$A$5:$A$504,0)),"")</f>
        <v/>
      </c>
      <c r="I410" s="9"/>
      <c r="J410" s="9"/>
      <c r="K410" s="8"/>
      <c r="L410" s="9"/>
      <c r="M410" s="9"/>
      <c r="N410" s="11"/>
      <c r="O410" s="11"/>
      <c r="P410" s="12" t="str">
        <f aca="false">IF(OR(N410="",O410=""),"",IFERROR(O410/N410*100,0))</f>
        <v/>
      </c>
      <c r="Q410" s="10" t="n">
        <v>8</v>
      </c>
      <c r="R410" s="12" t="str">
        <f aca="false">IF(J410="","",Q410*J410)</f>
        <v/>
      </c>
      <c r="S410" s="11"/>
      <c r="T410" s="12" t="str">
        <f aca="false">IF(OR(R410="",S410=""),"",IFERROR(S410/R410*100,0))</f>
        <v/>
      </c>
      <c r="U410" s="12" t="str">
        <f aca="false">IF(OR(O410="",L410="",M410="",S410="",M410=0),"",IFERROR(O410/(L410*60*S410/(M410*36))*100,0))</f>
        <v/>
      </c>
      <c r="V410" s="11"/>
      <c r="W410" s="12" t="str">
        <f aca="false">IF(O410="","",IFERROR(V410/O410*100,0))</f>
        <v/>
      </c>
      <c r="X410" s="11"/>
      <c r="Y410" s="11"/>
      <c r="Z410" s="11"/>
      <c r="AA410" s="11"/>
      <c r="AB410" s="11"/>
      <c r="AC410" s="11"/>
      <c r="AD410" s="11"/>
      <c r="AE410" s="11"/>
      <c r="AF410" s="12" t="str">
        <f aca="false">IF(O410="","",SUM(X410:AE410))</f>
        <v/>
      </c>
      <c r="AG410" s="12" t="str">
        <f aca="false">IF(O410="","",IFERROR(AF410/O410*1000,0))</f>
        <v/>
      </c>
      <c r="AH410" s="11"/>
      <c r="AI410" s="11"/>
      <c r="AJ410" s="11"/>
      <c r="AK410" s="9"/>
      <c r="AL410" s="9"/>
      <c r="AM410" s="9"/>
    </row>
    <row r="411" customFormat="false" ht="15" hidden="false" customHeight="true" outlineLevel="0" collapsed="false">
      <c r="A411" s="6"/>
      <c r="B411" s="7"/>
      <c r="C411" s="8"/>
      <c r="D411" s="8"/>
      <c r="E411" s="8"/>
      <c r="F411" s="9"/>
      <c r="G411" s="8"/>
      <c r="H411" s="10" t="str">
        <f aca="false">IFERROR(INDEX('Operator Master'!$B$5:$B$504,MATCH(G411,'Operator Master'!$A$5:$A$504,0)),"")</f>
        <v/>
      </c>
      <c r="I411" s="9"/>
      <c r="J411" s="9"/>
      <c r="K411" s="8"/>
      <c r="L411" s="9"/>
      <c r="M411" s="9"/>
      <c r="N411" s="11"/>
      <c r="O411" s="11"/>
      <c r="P411" s="12" t="str">
        <f aca="false">IF(OR(N411="",O411=""),"",IFERROR(O411/N411*100,0))</f>
        <v/>
      </c>
      <c r="Q411" s="10" t="n">
        <v>8</v>
      </c>
      <c r="R411" s="12" t="str">
        <f aca="false">IF(J411="","",Q411*J411)</f>
        <v/>
      </c>
      <c r="S411" s="11"/>
      <c r="T411" s="12" t="str">
        <f aca="false">IF(OR(R411="",S411=""),"",IFERROR(S411/R411*100,0))</f>
        <v/>
      </c>
      <c r="U411" s="12" t="str">
        <f aca="false">IF(OR(O411="",L411="",M411="",S411="",M411=0),"",IFERROR(O411/(L411*60*S411/(M411*36))*100,0))</f>
        <v/>
      </c>
      <c r="V411" s="11"/>
      <c r="W411" s="12" t="str">
        <f aca="false">IF(O411="","",IFERROR(V411/O411*100,0))</f>
        <v/>
      </c>
      <c r="X411" s="11"/>
      <c r="Y411" s="11"/>
      <c r="Z411" s="11"/>
      <c r="AA411" s="11"/>
      <c r="AB411" s="11"/>
      <c r="AC411" s="11"/>
      <c r="AD411" s="11"/>
      <c r="AE411" s="11"/>
      <c r="AF411" s="12" t="str">
        <f aca="false">IF(O411="","",SUM(X411:AE411))</f>
        <v/>
      </c>
      <c r="AG411" s="12" t="str">
        <f aca="false">IF(O411="","",IFERROR(AF411/O411*1000,0))</f>
        <v/>
      </c>
      <c r="AH411" s="11"/>
      <c r="AI411" s="11"/>
      <c r="AJ411" s="11"/>
      <c r="AK411" s="9"/>
      <c r="AL411" s="9"/>
      <c r="AM411" s="9"/>
    </row>
    <row r="412" customFormat="false" ht="15" hidden="false" customHeight="true" outlineLevel="0" collapsed="false">
      <c r="A412" s="6"/>
      <c r="B412" s="7"/>
      <c r="C412" s="8"/>
      <c r="D412" s="8"/>
      <c r="E412" s="8"/>
      <c r="F412" s="9"/>
      <c r="G412" s="8"/>
      <c r="H412" s="10" t="str">
        <f aca="false">IFERROR(INDEX('Operator Master'!$B$5:$B$504,MATCH(G412,'Operator Master'!$A$5:$A$504,0)),"")</f>
        <v/>
      </c>
      <c r="I412" s="9"/>
      <c r="J412" s="9"/>
      <c r="K412" s="8"/>
      <c r="L412" s="9"/>
      <c r="M412" s="9"/>
      <c r="N412" s="11"/>
      <c r="O412" s="11"/>
      <c r="P412" s="12" t="str">
        <f aca="false">IF(OR(N412="",O412=""),"",IFERROR(O412/N412*100,0))</f>
        <v/>
      </c>
      <c r="Q412" s="10" t="n">
        <v>8</v>
      </c>
      <c r="R412" s="12" t="str">
        <f aca="false">IF(J412="","",Q412*J412)</f>
        <v/>
      </c>
      <c r="S412" s="11"/>
      <c r="T412" s="12" t="str">
        <f aca="false">IF(OR(R412="",S412=""),"",IFERROR(S412/R412*100,0))</f>
        <v/>
      </c>
      <c r="U412" s="12" t="str">
        <f aca="false">IF(OR(O412="",L412="",M412="",S412="",M412=0),"",IFERROR(O412/(L412*60*S412/(M412*36))*100,0))</f>
        <v/>
      </c>
      <c r="V412" s="11"/>
      <c r="W412" s="12" t="str">
        <f aca="false">IF(O412="","",IFERROR(V412/O412*100,0))</f>
        <v/>
      </c>
      <c r="X412" s="11"/>
      <c r="Y412" s="11"/>
      <c r="Z412" s="11"/>
      <c r="AA412" s="11"/>
      <c r="AB412" s="11"/>
      <c r="AC412" s="11"/>
      <c r="AD412" s="11"/>
      <c r="AE412" s="11"/>
      <c r="AF412" s="12" t="str">
        <f aca="false">IF(O412="","",SUM(X412:AE412))</f>
        <v/>
      </c>
      <c r="AG412" s="12" t="str">
        <f aca="false">IF(O412="","",IFERROR(AF412/O412*1000,0))</f>
        <v/>
      </c>
      <c r="AH412" s="11"/>
      <c r="AI412" s="11"/>
      <c r="AJ412" s="11"/>
      <c r="AK412" s="9"/>
      <c r="AL412" s="9"/>
      <c r="AM412" s="9"/>
    </row>
    <row r="413" customFormat="false" ht="15" hidden="false" customHeight="true" outlineLevel="0" collapsed="false">
      <c r="A413" s="6"/>
      <c r="B413" s="7"/>
      <c r="C413" s="8"/>
      <c r="D413" s="8"/>
      <c r="E413" s="8"/>
      <c r="F413" s="9"/>
      <c r="G413" s="8"/>
      <c r="H413" s="10" t="str">
        <f aca="false">IFERROR(INDEX('Operator Master'!$B$5:$B$504,MATCH(G413,'Operator Master'!$A$5:$A$504,0)),"")</f>
        <v/>
      </c>
      <c r="I413" s="9"/>
      <c r="J413" s="9"/>
      <c r="K413" s="8"/>
      <c r="L413" s="9"/>
      <c r="M413" s="9"/>
      <c r="N413" s="11"/>
      <c r="O413" s="11"/>
      <c r="P413" s="12" t="str">
        <f aca="false">IF(OR(N413="",O413=""),"",IFERROR(O413/N413*100,0))</f>
        <v/>
      </c>
      <c r="Q413" s="10" t="n">
        <v>8</v>
      </c>
      <c r="R413" s="12" t="str">
        <f aca="false">IF(J413="","",Q413*J413)</f>
        <v/>
      </c>
      <c r="S413" s="11"/>
      <c r="T413" s="12" t="str">
        <f aca="false">IF(OR(R413="",S413=""),"",IFERROR(S413/R413*100,0))</f>
        <v/>
      </c>
      <c r="U413" s="12" t="str">
        <f aca="false">IF(OR(O413="",L413="",M413="",S413="",M413=0),"",IFERROR(O413/(L413*60*S413/(M413*36))*100,0))</f>
        <v/>
      </c>
      <c r="V413" s="11"/>
      <c r="W413" s="12" t="str">
        <f aca="false">IF(O413="","",IFERROR(V413/O413*100,0))</f>
        <v/>
      </c>
      <c r="X413" s="11"/>
      <c r="Y413" s="11"/>
      <c r="Z413" s="11"/>
      <c r="AA413" s="11"/>
      <c r="AB413" s="11"/>
      <c r="AC413" s="11"/>
      <c r="AD413" s="11"/>
      <c r="AE413" s="11"/>
      <c r="AF413" s="12" t="str">
        <f aca="false">IF(O413="","",SUM(X413:AE413))</f>
        <v/>
      </c>
      <c r="AG413" s="12" t="str">
        <f aca="false">IF(O413="","",IFERROR(AF413/O413*1000,0))</f>
        <v/>
      </c>
      <c r="AH413" s="11"/>
      <c r="AI413" s="11"/>
      <c r="AJ413" s="11"/>
      <c r="AK413" s="9"/>
      <c r="AL413" s="9"/>
      <c r="AM413" s="9"/>
    </row>
    <row r="414" customFormat="false" ht="15" hidden="false" customHeight="true" outlineLevel="0" collapsed="false">
      <c r="A414" s="6"/>
      <c r="B414" s="7"/>
      <c r="C414" s="8"/>
      <c r="D414" s="8"/>
      <c r="E414" s="8"/>
      <c r="F414" s="9"/>
      <c r="G414" s="8"/>
      <c r="H414" s="10" t="str">
        <f aca="false">IFERROR(INDEX('Operator Master'!$B$5:$B$504,MATCH(G414,'Operator Master'!$A$5:$A$504,0)),"")</f>
        <v/>
      </c>
      <c r="I414" s="9"/>
      <c r="J414" s="9"/>
      <c r="K414" s="8"/>
      <c r="L414" s="9"/>
      <c r="M414" s="9"/>
      <c r="N414" s="11"/>
      <c r="O414" s="11"/>
      <c r="P414" s="12" t="str">
        <f aca="false">IF(OR(N414="",O414=""),"",IFERROR(O414/N414*100,0))</f>
        <v/>
      </c>
      <c r="Q414" s="10" t="n">
        <v>8</v>
      </c>
      <c r="R414" s="12" t="str">
        <f aca="false">IF(J414="","",Q414*J414)</f>
        <v/>
      </c>
      <c r="S414" s="11"/>
      <c r="T414" s="12" t="str">
        <f aca="false">IF(OR(R414="",S414=""),"",IFERROR(S414/R414*100,0))</f>
        <v/>
      </c>
      <c r="U414" s="12" t="str">
        <f aca="false">IF(OR(O414="",L414="",M414="",S414="",M414=0),"",IFERROR(O414/(L414*60*S414/(M414*36))*100,0))</f>
        <v/>
      </c>
      <c r="V414" s="11"/>
      <c r="W414" s="12" t="str">
        <f aca="false">IF(O414="","",IFERROR(V414/O414*100,0))</f>
        <v/>
      </c>
      <c r="X414" s="11"/>
      <c r="Y414" s="11"/>
      <c r="Z414" s="11"/>
      <c r="AA414" s="11"/>
      <c r="AB414" s="11"/>
      <c r="AC414" s="11"/>
      <c r="AD414" s="11"/>
      <c r="AE414" s="11"/>
      <c r="AF414" s="12" t="str">
        <f aca="false">IF(O414="","",SUM(X414:AE414))</f>
        <v/>
      </c>
      <c r="AG414" s="12" t="str">
        <f aca="false">IF(O414="","",IFERROR(AF414/O414*1000,0))</f>
        <v/>
      </c>
      <c r="AH414" s="11"/>
      <c r="AI414" s="11"/>
      <c r="AJ414" s="11"/>
      <c r="AK414" s="9"/>
      <c r="AL414" s="9"/>
      <c r="AM414" s="9"/>
    </row>
    <row r="415" customFormat="false" ht="15" hidden="false" customHeight="true" outlineLevel="0" collapsed="false">
      <c r="A415" s="6"/>
      <c r="B415" s="7"/>
      <c r="C415" s="8"/>
      <c r="D415" s="8"/>
      <c r="E415" s="8"/>
      <c r="F415" s="9"/>
      <c r="G415" s="8"/>
      <c r="H415" s="10" t="str">
        <f aca="false">IFERROR(INDEX('Operator Master'!$B$5:$B$504,MATCH(G415,'Operator Master'!$A$5:$A$504,0)),"")</f>
        <v/>
      </c>
      <c r="I415" s="9"/>
      <c r="J415" s="9"/>
      <c r="K415" s="8"/>
      <c r="L415" s="9"/>
      <c r="M415" s="9"/>
      <c r="N415" s="11"/>
      <c r="O415" s="11"/>
      <c r="P415" s="12" t="str">
        <f aca="false">IF(OR(N415="",O415=""),"",IFERROR(O415/N415*100,0))</f>
        <v/>
      </c>
      <c r="Q415" s="10" t="n">
        <v>8</v>
      </c>
      <c r="R415" s="12" t="str">
        <f aca="false">IF(J415="","",Q415*J415)</f>
        <v/>
      </c>
      <c r="S415" s="11"/>
      <c r="T415" s="12" t="str">
        <f aca="false">IF(OR(R415="",S415=""),"",IFERROR(S415/R415*100,0))</f>
        <v/>
      </c>
      <c r="U415" s="12" t="str">
        <f aca="false">IF(OR(O415="",L415="",M415="",S415="",M415=0),"",IFERROR(O415/(L415*60*S415/(M415*36))*100,0))</f>
        <v/>
      </c>
      <c r="V415" s="11"/>
      <c r="W415" s="12" t="str">
        <f aca="false">IF(O415="","",IFERROR(V415/O415*100,0))</f>
        <v/>
      </c>
      <c r="X415" s="11"/>
      <c r="Y415" s="11"/>
      <c r="Z415" s="11"/>
      <c r="AA415" s="11"/>
      <c r="AB415" s="11"/>
      <c r="AC415" s="11"/>
      <c r="AD415" s="11"/>
      <c r="AE415" s="11"/>
      <c r="AF415" s="12" t="str">
        <f aca="false">IF(O415="","",SUM(X415:AE415))</f>
        <v/>
      </c>
      <c r="AG415" s="12" t="str">
        <f aca="false">IF(O415="","",IFERROR(AF415/O415*1000,0))</f>
        <v/>
      </c>
      <c r="AH415" s="11"/>
      <c r="AI415" s="11"/>
      <c r="AJ415" s="11"/>
      <c r="AK415" s="9"/>
      <c r="AL415" s="9"/>
      <c r="AM415" s="9"/>
    </row>
    <row r="416" customFormat="false" ht="15" hidden="false" customHeight="true" outlineLevel="0" collapsed="false">
      <c r="A416" s="6"/>
      <c r="B416" s="7"/>
      <c r="C416" s="8"/>
      <c r="D416" s="8"/>
      <c r="E416" s="8"/>
      <c r="F416" s="9"/>
      <c r="G416" s="8"/>
      <c r="H416" s="10" t="str">
        <f aca="false">IFERROR(INDEX('Operator Master'!$B$5:$B$504,MATCH(G416,'Operator Master'!$A$5:$A$504,0)),"")</f>
        <v/>
      </c>
      <c r="I416" s="9"/>
      <c r="J416" s="9"/>
      <c r="K416" s="8"/>
      <c r="L416" s="9"/>
      <c r="M416" s="9"/>
      <c r="N416" s="11"/>
      <c r="O416" s="11"/>
      <c r="P416" s="12" t="str">
        <f aca="false">IF(OR(N416="",O416=""),"",IFERROR(O416/N416*100,0))</f>
        <v/>
      </c>
      <c r="Q416" s="10" t="n">
        <v>8</v>
      </c>
      <c r="R416" s="12" t="str">
        <f aca="false">IF(J416="","",Q416*J416)</f>
        <v/>
      </c>
      <c r="S416" s="11"/>
      <c r="T416" s="12" t="str">
        <f aca="false">IF(OR(R416="",S416=""),"",IFERROR(S416/R416*100,0))</f>
        <v/>
      </c>
      <c r="U416" s="12" t="str">
        <f aca="false">IF(OR(O416="",L416="",M416="",S416="",M416=0),"",IFERROR(O416/(L416*60*S416/(M416*36))*100,0))</f>
        <v/>
      </c>
      <c r="V416" s="11"/>
      <c r="W416" s="12" t="str">
        <f aca="false">IF(O416="","",IFERROR(V416/O416*100,0))</f>
        <v/>
      </c>
      <c r="X416" s="11"/>
      <c r="Y416" s="11"/>
      <c r="Z416" s="11"/>
      <c r="AA416" s="11"/>
      <c r="AB416" s="11"/>
      <c r="AC416" s="11"/>
      <c r="AD416" s="11"/>
      <c r="AE416" s="11"/>
      <c r="AF416" s="12" t="str">
        <f aca="false">IF(O416="","",SUM(X416:AE416))</f>
        <v/>
      </c>
      <c r="AG416" s="12" t="str">
        <f aca="false">IF(O416="","",IFERROR(AF416/O416*1000,0))</f>
        <v/>
      </c>
      <c r="AH416" s="11"/>
      <c r="AI416" s="11"/>
      <c r="AJ416" s="11"/>
      <c r="AK416" s="9"/>
      <c r="AL416" s="9"/>
      <c r="AM416" s="9"/>
    </row>
    <row r="417" customFormat="false" ht="15" hidden="false" customHeight="true" outlineLevel="0" collapsed="false">
      <c r="A417" s="6"/>
      <c r="B417" s="7"/>
      <c r="C417" s="8"/>
      <c r="D417" s="8"/>
      <c r="E417" s="8"/>
      <c r="F417" s="9"/>
      <c r="G417" s="8"/>
      <c r="H417" s="10" t="str">
        <f aca="false">IFERROR(INDEX('Operator Master'!$B$5:$B$504,MATCH(G417,'Operator Master'!$A$5:$A$504,0)),"")</f>
        <v/>
      </c>
      <c r="I417" s="9"/>
      <c r="J417" s="9"/>
      <c r="K417" s="8"/>
      <c r="L417" s="9"/>
      <c r="M417" s="9"/>
      <c r="N417" s="11"/>
      <c r="O417" s="11"/>
      <c r="P417" s="12" t="str">
        <f aca="false">IF(OR(N417="",O417=""),"",IFERROR(O417/N417*100,0))</f>
        <v/>
      </c>
      <c r="Q417" s="10" t="n">
        <v>8</v>
      </c>
      <c r="R417" s="12" t="str">
        <f aca="false">IF(J417="","",Q417*J417)</f>
        <v/>
      </c>
      <c r="S417" s="11"/>
      <c r="T417" s="12" t="str">
        <f aca="false">IF(OR(R417="",S417=""),"",IFERROR(S417/R417*100,0))</f>
        <v/>
      </c>
      <c r="U417" s="12" t="str">
        <f aca="false">IF(OR(O417="",L417="",M417="",S417="",M417=0),"",IFERROR(O417/(L417*60*S417/(M417*36))*100,0))</f>
        <v/>
      </c>
      <c r="V417" s="11"/>
      <c r="W417" s="12" t="str">
        <f aca="false">IF(O417="","",IFERROR(V417/O417*100,0))</f>
        <v/>
      </c>
      <c r="X417" s="11"/>
      <c r="Y417" s="11"/>
      <c r="Z417" s="11"/>
      <c r="AA417" s="11"/>
      <c r="AB417" s="11"/>
      <c r="AC417" s="11"/>
      <c r="AD417" s="11"/>
      <c r="AE417" s="11"/>
      <c r="AF417" s="12" t="str">
        <f aca="false">IF(O417="","",SUM(X417:AE417))</f>
        <v/>
      </c>
      <c r="AG417" s="12" t="str">
        <f aca="false">IF(O417="","",IFERROR(AF417/O417*1000,0))</f>
        <v/>
      </c>
      <c r="AH417" s="11"/>
      <c r="AI417" s="11"/>
      <c r="AJ417" s="11"/>
      <c r="AK417" s="9"/>
      <c r="AL417" s="9"/>
      <c r="AM417" s="9"/>
    </row>
    <row r="418" customFormat="false" ht="15" hidden="false" customHeight="true" outlineLevel="0" collapsed="false">
      <c r="A418" s="6"/>
      <c r="B418" s="7"/>
      <c r="C418" s="8"/>
      <c r="D418" s="8"/>
      <c r="E418" s="8"/>
      <c r="F418" s="9"/>
      <c r="G418" s="8"/>
      <c r="H418" s="10" t="str">
        <f aca="false">IFERROR(INDEX('Operator Master'!$B$5:$B$504,MATCH(G418,'Operator Master'!$A$5:$A$504,0)),"")</f>
        <v/>
      </c>
      <c r="I418" s="9"/>
      <c r="J418" s="9"/>
      <c r="K418" s="8"/>
      <c r="L418" s="9"/>
      <c r="M418" s="9"/>
      <c r="N418" s="11"/>
      <c r="O418" s="11"/>
      <c r="P418" s="12" t="str">
        <f aca="false">IF(OR(N418="",O418=""),"",IFERROR(O418/N418*100,0))</f>
        <v/>
      </c>
      <c r="Q418" s="10" t="n">
        <v>8</v>
      </c>
      <c r="R418" s="12" t="str">
        <f aca="false">IF(J418="","",Q418*J418)</f>
        <v/>
      </c>
      <c r="S418" s="11"/>
      <c r="T418" s="12" t="str">
        <f aca="false">IF(OR(R418="",S418=""),"",IFERROR(S418/R418*100,0))</f>
        <v/>
      </c>
      <c r="U418" s="12" t="str">
        <f aca="false">IF(OR(O418="",L418="",M418="",S418="",M418=0),"",IFERROR(O418/(L418*60*S418/(M418*36))*100,0))</f>
        <v/>
      </c>
      <c r="V418" s="11"/>
      <c r="W418" s="12" t="str">
        <f aca="false">IF(O418="","",IFERROR(V418/O418*100,0))</f>
        <v/>
      </c>
      <c r="X418" s="11"/>
      <c r="Y418" s="11"/>
      <c r="Z418" s="11"/>
      <c r="AA418" s="11"/>
      <c r="AB418" s="11"/>
      <c r="AC418" s="11"/>
      <c r="AD418" s="11"/>
      <c r="AE418" s="11"/>
      <c r="AF418" s="12" t="str">
        <f aca="false">IF(O418="","",SUM(X418:AE418))</f>
        <v/>
      </c>
      <c r="AG418" s="12" t="str">
        <f aca="false">IF(O418="","",IFERROR(AF418/O418*1000,0))</f>
        <v/>
      </c>
      <c r="AH418" s="11"/>
      <c r="AI418" s="11"/>
      <c r="AJ418" s="11"/>
      <c r="AK418" s="9"/>
      <c r="AL418" s="9"/>
      <c r="AM418" s="9"/>
    </row>
    <row r="419" customFormat="false" ht="15" hidden="false" customHeight="true" outlineLevel="0" collapsed="false">
      <c r="A419" s="6"/>
      <c r="B419" s="7"/>
      <c r="C419" s="8"/>
      <c r="D419" s="8"/>
      <c r="E419" s="8"/>
      <c r="F419" s="9"/>
      <c r="G419" s="8"/>
      <c r="H419" s="10" t="str">
        <f aca="false">IFERROR(INDEX('Operator Master'!$B$5:$B$504,MATCH(G419,'Operator Master'!$A$5:$A$504,0)),"")</f>
        <v/>
      </c>
      <c r="I419" s="9"/>
      <c r="J419" s="9"/>
      <c r="K419" s="8"/>
      <c r="L419" s="9"/>
      <c r="M419" s="9"/>
      <c r="N419" s="11"/>
      <c r="O419" s="11"/>
      <c r="P419" s="12" t="str">
        <f aca="false">IF(OR(N419="",O419=""),"",IFERROR(O419/N419*100,0))</f>
        <v/>
      </c>
      <c r="Q419" s="10" t="n">
        <v>8</v>
      </c>
      <c r="R419" s="12" t="str">
        <f aca="false">IF(J419="","",Q419*J419)</f>
        <v/>
      </c>
      <c r="S419" s="11"/>
      <c r="T419" s="12" t="str">
        <f aca="false">IF(OR(R419="",S419=""),"",IFERROR(S419/R419*100,0))</f>
        <v/>
      </c>
      <c r="U419" s="12" t="str">
        <f aca="false">IF(OR(O419="",L419="",M419="",S419="",M419=0),"",IFERROR(O419/(L419*60*S419/(M419*36))*100,0))</f>
        <v/>
      </c>
      <c r="V419" s="11"/>
      <c r="W419" s="12" t="str">
        <f aca="false">IF(O419="","",IFERROR(V419/O419*100,0))</f>
        <v/>
      </c>
      <c r="X419" s="11"/>
      <c r="Y419" s="11"/>
      <c r="Z419" s="11"/>
      <c r="AA419" s="11"/>
      <c r="AB419" s="11"/>
      <c r="AC419" s="11"/>
      <c r="AD419" s="11"/>
      <c r="AE419" s="11"/>
      <c r="AF419" s="12" t="str">
        <f aca="false">IF(O419="","",SUM(X419:AE419))</f>
        <v/>
      </c>
      <c r="AG419" s="12" t="str">
        <f aca="false">IF(O419="","",IFERROR(AF419/O419*1000,0))</f>
        <v/>
      </c>
      <c r="AH419" s="11"/>
      <c r="AI419" s="11"/>
      <c r="AJ419" s="11"/>
      <c r="AK419" s="9"/>
      <c r="AL419" s="9"/>
      <c r="AM419" s="9"/>
    </row>
    <row r="420" customFormat="false" ht="15" hidden="false" customHeight="true" outlineLevel="0" collapsed="false">
      <c r="A420" s="6"/>
      <c r="B420" s="7"/>
      <c r="C420" s="8"/>
      <c r="D420" s="8"/>
      <c r="E420" s="8"/>
      <c r="F420" s="9"/>
      <c r="G420" s="8"/>
      <c r="H420" s="10" t="str">
        <f aca="false">IFERROR(INDEX('Operator Master'!$B$5:$B$504,MATCH(G420,'Operator Master'!$A$5:$A$504,0)),"")</f>
        <v/>
      </c>
      <c r="I420" s="9"/>
      <c r="J420" s="9"/>
      <c r="K420" s="8"/>
      <c r="L420" s="9"/>
      <c r="M420" s="9"/>
      <c r="N420" s="11"/>
      <c r="O420" s="11"/>
      <c r="P420" s="12" t="str">
        <f aca="false">IF(OR(N420="",O420=""),"",IFERROR(O420/N420*100,0))</f>
        <v/>
      </c>
      <c r="Q420" s="10" t="n">
        <v>8</v>
      </c>
      <c r="R420" s="12" t="str">
        <f aca="false">IF(J420="","",Q420*J420)</f>
        <v/>
      </c>
      <c r="S420" s="11"/>
      <c r="T420" s="12" t="str">
        <f aca="false">IF(OR(R420="",S420=""),"",IFERROR(S420/R420*100,0))</f>
        <v/>
      </c>
      <c r="U420" s="12" t="str">
        <f aca="false">IF(OR(O420="",L420="",M420="",S420="",M420=0),"",IFERROR(O420/(L420*60*S420/(M420*36))*100,0))</f>
        <v/>
      </c>
      <c r="V420" s="11"/>
      <c r="W420" s="12" t="str">
        <f aca="false">IF(O420="","",IFERROR(V420/O420*100,0))</f>
        <v/>
      </c>
      <c r="X420" s="11"/>
      <c r="Y420" s="11"/>
      <c r="Z420" s="11"/>
      <c r="AA420" s="11"/>
      <c r="AB420" s="11"/>
      <c r="AC420" s="11"/>
      <c r="AD420" s="11"/>
      <c r="AE420" s="11"/>
      <c r="AF420" s="12" t="str">
        <f aca="false">IF(O420="","",SUM(X420:AE420))</f>
        <v/>
      </c>
      <c r="AG420" s="12" t="str">
        <f aca="false">IF(O420="","",IFERROR(AF420/O420*1000,0))</f>
        <v/>
      </c>
      <c r="AH420" s="11"/>
      <c r="AI420" s="11"/>
      <c r="AJ420" s="11"/>
      <c r="AK420" s="9"/>
      <c r="AL420" s="9"/>
      <c r="AM420" s="9"/>
    </row>
    <row r="421" customFormat="false" ht="15" hidden="false" customHeight="true" outlineLevel="0" collapsed="false">
      <c r="A421" s="6"/>
      <c r="B421" s="7"/>
      <c r="C421" s="8"/>
      <c r="D421" s="8"/>
      <c r="E421" s="8"/>
      <c r="F421" s="9"/>
      <c r="G421" s="8"/>
      <c r="H421" s="10" t="str">
        <f aca="false">IFERROR(INDEX('Operator Master'!$B$5:$B$504,MATCH(G421,'Operator Master'!$A$5:$A$504,0)),"")</f>
        <v/>
      </c>
      <c r="I421" s="9"/>
      <c r="J421" s="9"/>
      <c r="K421" s="8"/>
      <c r="L421" s="9"/>
      <c r="M421" s="9"/>
      <c r="N421" s="11"/>
      <c r="O421" s="11"/>
      <c r="P421" s="12" t="str">
        <f aca="false">IF(OR(N421="",O421=""),"",IFERROR(O421/N421*100,0))</f>
        <v/>
      </c>
      <c r="Q421" s="10" t="n">
        <v>8</v>
      </c>
      <c r="R421" s="12" t="str">
        <f aca="false">IF(J421="","",Q421*J421)</f>
        <v/>
      </c>
      <c r="S421" s="11"/>
      <c r="T421" s="12" t="str">
        <f aca="false">IF(OR(R421="",S421=""),"",IFERROR(S421/R421*100,0))</f>
        <v/>
      </c>
      <c r="U421" s="12" t="str">
        <f aca="false">IF(OR(O421="",L421="",M421="",S421="",M421=0),"",IFERROR(O421/(L421*60*S421/(M421*36))*100,0))</f>
        <v/>
      </c>
      <c r="V421" s="11"/>
      <c r="W421" s="12" t="str">
        <f aca="false">IF(O421="","",IFERROR(V421/O421*100,0))</f>
        <v/>
      </c>
      <c r="X421" s="11"/>
      <c r="Y421" s="11"/>
      <c r="Z421" s="11"/>
      <c r="AA421" s="11"/>
      <c r="AB421" s="11"/>
      <c r="AC421" s="11"/>
      <c r="AD421" s="11"/>
      <c r="AE421" s="11"/>
      <c r="AF421" s="12" t="str">
        <f aca="false">IF(O421="","",SUM(X421:AE421))</f>
        <v/>
      </c>
      <c r="AG421" s="12" t="str">
        <f aca="false">IF(O421="","",IFERROR(AF421/O421*1000,0))</f>
        <v/>
      </c>
      <c r="AH421" s="11"/>
      <c r="AI421" s="11"/>
      <c r="AJ421" s="11"/>
      <c r="AK421" s="9"/>
      <c r="AL421" s="9"/>
      <c r="AM421" s="9"/>
    </row>
    <row r="422" customFormat="false" ht="15" hidden="false" customHeight="true" outlineLevel="0" collapsed="false">
      <c r="A422" s="6"/>
      <c r="B422" s="7"/>
      <c r="C422" s="8"/>
      <c r="D422" s="8"/>
      <c r="E422" s="8"/>
      <c r="F422" s="9"/>
      <c r="G422" s="8"/>
      <c r="H422" s="10" t="str">
        <f aca="false">IFERROR(INDEX('Operator Master'!$B$5:$B$504,MATCH(G422,'Operator Master'!$A$5:$A$504,0)),"")</f>
        <v/>
      </c>
      <c r="I422" s="9"/>
      <c r="J422" s="9"/>
      <c r="K422" s="8"/>
      <c r="L422" s="9"/>
      <c r="M422" s="9"/>
      <c r="N422" s="11"/>
      <c r="O422" s="11"/>
      <c r="P422" s="12" t="str">
        <f aca="false">IF(OR(N422="",O422=""),"",IFERROR(O422/N422*100,0))</f>
        <v/>
      </c>
      <c r="Q422" s="10" t="n">
        <v>8</v>
      </c>
      <c r="R422" s="12" t="str">
        <f aca="false">IF(J422="","",Q422*J422)</f>
        <v/>
      </c>
      <c r="S422" s="11"/>
      <c r="T422" s="12" t="str">
        <f aca="false">IF(OR(R422="",S422=""),"",IFERROR(S422/R422*100,0))</f>
        <v/>
      </c>
      <c r="U422" s="12" t="str">
        <f aca="false">IF(OR(O422="",L422="",M422="",S422="",M422=0),"",IFERROR(O422/(L422*60*S422/(M422*36))*100,0))</f>
        <v/>
      </c>
      <c r="V422" s="11"/>
      <c r="W422" s="12" t="str">
        <f aca="false">IF(O422="","",IFERROR(V422/O422*100,0))</f>
        <v/>
      </c>
      <c r="X422" s="11"/>
      <c r="Y422" s="11"/>
      <c r="Z422" s="11"/>
      <c r="AA422" s="11"/>
      <c r="AB422" s="11"/>
      <c r="AC422" s="11"/>
      <c r="AD422" s="11"/>
      <c r="AE422" s="11"/>
      <c r="AF422" s="12" t="str">
        <f aca="false">IF(O422="","",SUM(X422:AE422))</f>
        <v/>
      </c>
      <c r="AG422" s="12" t="str">
        <f aca="false">IF(O422="","",IFERROR(AF422/O422*1000,0))</f>
        <v/>
      </c>
      <c r="AH422" s="11"/>
      <c r="AI422" s="11"/>
      <c r="AJ422" s="11"/>
      <c r="AK422" s="9"/>
      <c r="AL422" s="9"/>
      <c r="AM422" s="9"/>
    </row>
    <row r="423" customFormat="false" ht="15" hidden="false" customHeight="true" outlineLevel="0" collapsed="false">
      <c r="A423" s="6"/>
      <c r="B423" s="7"/>
      <c r="C423" s="8"/>
      <c r="D423" s="8"/>
      <c r="E423" s="8"/>
      <c r="F423" s="9"/>
      <c r="G423" s="8"/>
      <c r="H423" s="10" t="str">
        <f aca="false">IFERROR(INDEX('Operator Master'!$B$5:$B$504,MATCH(G423,'Operator Master'!$A$5:$A$504,0)),"")</f>
        <v/>
      </c>
      <c r="I423" s="9"/>
      <c r="J423" s="9"/>
      <c r="K423" s="8"/>
      <c r="L423" s="9"/>
      <c r="M423" s="9"/>
      <c r="N423" s="11"/>
      <c r="O423" s="11"/>
      <c r="P423" s="12" t="str">
        <f aca="false">IF(OR(N423="",O423=""),"",IFERROR(O423/N423*100,0))</f>
        <v/>
      </c>
      <c r="Q423" s="10" t="n">
        <v>8</v>
      </c>
      <c r="R423" s="12" t="str">
        <f aca="false">IF(J423="","",Q423*J423)</f>
        <v/>
      </c>
      <c r="S423" s="11"/>
      <c r="T423" s="12" t="str">
        <f aca="false">IF(OR(R423="",S423=""),"",IFERROR(S423/R423*100,0))</f>
        <v/>
      </c>
      <c r="U423" s="12" t="str">
        <f aca="false">IF(OR(O423="",L423="",M423="",S423="",M423=0),"",IFERROR(O423/(L423*60*S423/(M423*36))*100,0))</f>
        <v/>
      </c>
      <c r="V423" s="11"/>
      <c r="W423" s="12" t="str">
        <f aca="false">IF(O423="","",IFERROR(V423/O423*100,0))</f>
        <v/>
      </c>
      <c r="X423" s="11"/>
      <c r="Y423" s="11"/>
      <c r="Z423" s="11"/>
      <c r="AA423" s="11"/>
      <c r="AB423" s="11"/>
      <c r="AC423" s="11"/>
      <c r="AD423" s="11"/>
      <c r="AE423" s="11"/>
      <c r="AF423" s="12" t="str">
        <f aca="false">IF(O423="","",SUM(X423:AE423))</f>
        <v/>
      </c>
      <c r="AG423" s="12" t="str">
        <f aca="false">IF(O423="","",IFERROR(AF423/O423*1000,0))</f>
        <v/>
      </c>
      <c r="AH423" s="11"/>
      <c r="AI423" s="11"/>
      <c r="AJ423" s="11"/>
      <c r="AK423" s="9"/>
      <c r="AL423" s="9"/>
      <c r="AM423" s="9"/>
    </row>
    <row r="424" customFormat="false" ht="15" hidden="false" customHeight="true" outlineLevel="0" collapsed="false">
      <c r="A424" s="6"/>
      <c r="B424" s="7"/>
      <c r="C424" s="8"/>
      <c r="D424" s="8"/>
      <c r="E424" s="8"/>
      <c r="F424" s="9"/>
      <c r="G424" s="8"/>
      <c r="H424" s="10" t="str">
        <f aca="false">IFERROR(INDEX('Operator Master'!$B$5:$B$504,MATCH(G424,'Operator Master'!$A$5:$A$504,0)),"")</f>
        <v/>
      </c>
      <c r="I424" s="9"/>
      <c r="J424" s="9"/>
      <c r="K424" s="8"/>
      <c r="L424" s="9"/>
      <c r="M424" s="9"/>
      <c r="N424" s="11"/>
      <c r="O424" s="11"/>
      <c r="P424" s="12" t="str">
        <f aca="false">IF(OR(N424="",O424=""),"",IFERROR(O424/N424*100,0))</f>
        <v/>
      </c>
      <c r="Q424" s="10" t="n">
        <v>8</v>
      </c>
      <c r="R424" s="12" t="str">
        <f aca="false">IF(J424="","",Q424*J424)</f>
        <v/>
      </c>
      <c r="S424" s="11"/>
      <c r="T424" s="12" t="str">
        <f aca="false">IF(OR(R424="",S424=""),"",IFERROR(S424/R424*100,0))</f>
        <v/>
      </c>
      <c r="U424" s="12" t="str">
        <f aca="false">IF(OR(O424="",L424="",M424="",S424="",M424=0),"",IFERROR(O424/(L424*60*S424/(M424*36))*100,0))</f>
        <v/>
      </c>
      <c r="V424" s="11"/>
      <c r="W424" s="12" t="str">
        <f aca="false">IF(O424="","",IFERROR(V424/O424*100,0))</f>
        <v/>
      </c>
      <c r="X424" s="11"/>
      <c r="Y424" s="11"/>
      <c r="Z424" s="11"/>
      <c r="AA424" s="11"/>
      <c r="AB424" s="11"/>
      <c r="AC424" s="11"/>
      <c r="AD424" s="11"/>
      <c r="AE424" s="11"/>
      <c r="AF424" s="12" t="str">
        <f aca="false">IF(O424="","",SUM(X424:AE424))</f>
        <v/>
      </c>
      <c r="AG424" s="12" t="str">
        <f aca="false">IF(O424="","",IFERROR(AF424/O424*1000,0))</f>
        <v/>
      </c>
      <c r="AH424" s="11"/>
      <c r="AI424" s="11"/>
      <c r="AJ424" s="11"/>
      <c r="AK424" s="9"/>
      <c r="AL424" s="9"/>
      <c r="AM424" s="9"/>
    </row>
    <row r="425" customFormat="false" ht="15" hidden="false" customHeight="true" outlineLevel="0" collapsed="false">
      <c r="A425" s="6"/>
      <c r="B425" s="7"/>
      <c r="C425" s="8"/>
      <c r="D425" s="8"/>
      <c r="E425" s="8"/>
      <c r="F425" s="9"/>
      <c r="G425" s="8"/>
      <c r="H425" s="10" t="str">
        <f aca="false">IFERROR(INDEX('Operator Master'!$B$5:$B$504,MATCH(G425,'Operator Master'!$A$5:$A$504,0)),"")</f>
        <v/>
      </c>
      <c r="I425" s="9"/>
      <c r="J425" s="9"/>
      <c r="K425" s="8"/>
      <c r="L425" s="9"/>
      <c r="M425" s="9"/>
      <c r="N425" s="11"/>
      <c r="O425" s="11"/>
      <c r="P425" s="12" t="str">
        <f aca="false">IF(OR(N425="",O425=""),"",IFERROR(O425/N425*100,0))</f>
        <v/>
      </c>
      <c r="Q425" s="10" t="n">
        <v>8</v>
      </c>
      <c r="R425" s="12" t="str">
        <f aca="false">IF(J425="","",Q425*J425)</f>
        <v/>
      </c>
      <c r="S425" s="11"/>
      <c r="T425" s="12" t="str">
        <f aca="false">IF(OR(R425="",S425=""),"",IFERROR(S425/R425*100,0))</f>
        <v/>
      </c>
      <c r="U425" s="12" t="str">
        <f aca="false">IF(OR(O425="",L425="",M425="",S425="",M425=0),"",IFERROR(O425/(L425*60*S425/(M425*36))*100,0))</f>
        <v/>
      </c>
      <c r="V425" s="11"/>
      <c r="W425" s="12" t="str">
        <f aca="false">IF(O425="","",IFERROR(V425/O425*100,0))</f>
        <v/>
      </c>
      <c r="X425" s="11"/>
      <c r="Y425" s="11"/>
      <c r="Z425" s="11"/>
      <c r="AA425" s="11"/>
      <c r="AB425" s="11"/>
      <c r="AC425" s="11"/>
      <c r="AD425" s="11"/>
      <c r="AE425" s="11"/>
      <c r="AF425" s="12" t="str">
        <f aca="false">IF(O425="","",SUM(X425:AE425))</f>
        <v/>
      </c>
      <c r="AG425" s="12" t="str">
        <f aca="false">IF(O425="","",IFERROR(AF425/O425*1000,0))</f>
        <v/>
      </c>
      <c r="AH425" s="11"/>
      <c r="AI425" s="11"/>
      <c r="AJ425" s="11"/>
      <c r="AK425" s="9"/>
      <c r="AL425" s="9"/>
      <c r="AM425" s="9"/>
    </row>
    <row r="426" customFormat="false" ht="15" hidden="false" customHeight="true" outlineLevel="0" collapsed="false">
      <c r="A426" s="6"/>
      <c r="B426" s="7"/>
      <c r="C426" s="8"/>
      <c r="D426" s="8"/>
      <c r="E426" s="8"/>
      <c r="F426" s="9"/>
      <c r="G426" s="8"/>
      <c r="H426" s="10" t="str">
        <f aca="false">IFERROR(INDEX('Operator Master'!$B$5:$B$504,MATCH(G426,'Operator Master'!$A$5:$A$504,0)),"")</f>
        <v/>
      </c>
      <c r="I426" s="9"/>
      <c r="J426" s="9"/>
      <c r="K426" s="8"/>
      <c r="L426" s="9"/>
      <c r="M426" s="9"/>
      <c r="N426" s="11"/>
      <c r="O426" s="11"/>
      <c r="P426" s="12" t="str">
        <f aca="false">IF(OR(N426="",O426=""),"",IFERROR(O426/N426*100,0))</f>
        <v/>
      </c>
      <c r="Q426" s="10" t="n">
        <v>8</v>
      </c>
      <c r="R426" s="12" t="str">
        <f aca="false">IF(J426="","",Q426*J426)</f>
        <v/>
      </c>
      <c r="S426" s="11"/>
      <c r="T426" s="12" t="str">
        <f aca="false">IF(OR(R426="",S426=""),"",IFERROR(S426/R426*100,0))</f>
        <v/>
      </c>
      <c r="U426" s="12" t="str">
        <f aca="false">IF(OR(O426="",L426="",M426="",S426="",M426=0),"",IFERROR(O426/(L426*60*S426/(M426*36))*100,0))</f>
        <v/>
      </c>
      <c r="V426" s="11"/>
      <c r="W426" s="12" t="str">
        <f aca="false">IF(O426="","",IFERROR(V426/O426*100,0))</f>
        <v/>
      </c>
      <c r="X426" s="11"/>
      <c r="Y426" s="11"/>
      <c r="Z426" s="11"/>
      <c r="AA426" s="11"/>
      <c r="AB426" s="11"/>
      <c r="AC426" s="11"/>
      <c r="AD426" s="11"/>
      <c r="AE426" s="11"/>
      <c r="AF426" s="12" t="str">
        <f aca="false">IF(O426="","",SUM(X426:AE426))</f>
        <v/>
      </c>
      <c r="AG426" s="12" t="str">
        <f aca="false">IF(O426="","",IFERROR(AF426/O426*1000,0))</f>
        <v/>
      </c>
      <c r="AH426" s="11"/>
      <c r="AI426" s="11"/>
      <c r="AJ426" s="11"/>
      <c r="AK426" s="9"/>
      <c r="AL426" s="9"/>
      <c r="AM426" s="9"/>
    </row>
    <row r="427" customFormat="false" ht="15" hidden="false" customHeight="true" outlineLevel="0" collapsed="false">
      <c r="A427" s="6"/>
      <c r="B427" s="7"/>
      <c r="C427" s="8"/>
      <c r="D427" s="8"/>
      <c r="E427" s="8"/>
      <c r="F427" s="9"/>
      <c r="G427" s="8"/>
      <c r="H427" s="10" t="str">
        <f aca="false">IFERROR(INDEX('Operator Master'!$B$5:$B$504,MATCH(G427,'Operator Master'!$A$5:$A$504,0)),"")</f>
        <v/>
      </c>
      <c r="I427" s="9"/>
      <c r="J427" s="9"/>
      <c r="K427" s="8"/>
      <c r="L427" s="9"/>
      <c r="M427" s="9"/>
      <c r="N427" s="11"/>
      <c r="O427" s="11"/>
      <c r="P427" s="12" t="str">
        <f aca="false">IF(OR(N427="",O427=""),"",IFERROR(O427/N427*100,0))</f>
        <v/>
      </c>
      <c r="Q427" s="10" t="n">
        <v>8</v>
      </c>
      <c r="R427" s="12" t="str">
        <f aca="false">IF(J427="","",Q427*J427)</f>
        <v/>
      </c>
      <c r="S427" s="11"/>
      <c r="T427" s="12" t="str">
        <f aca="false">IF(OR(R427="",S427=""),"",IFERROR(S427/R427*100,0))</f>
        <v/>
      </c>
      <c r="U427" s="12" t="str">
        <f aca="false">IF(OR(O427="",L427="",M427="",S427="",M427=0),"",IFERROR(O427/(L427*60*S427/(M427*36))*100,0))</f>
        <v/>
      </c>
      <c r="V427" s="11"/>
      <c r="W427" s="12" t="str">
        <f aca="false">IF(O427="","",IFERROR(V427/O427*100,0))</f>
        <v/>
      </c>
      <c r="X427" s="11"/>
      <c r="Y427" s="11"/>
      <c r="Z427" s="11"/>
      <c r="AA427" s="11"/>
      <c r="AB427" s="11"/>
      <c r="AC427" s="11"/>
      <c r="AD427" s="11"/>
      <c r="AE427" s="11"/>
      <c r="AF427" s="12" t="str">
        <f aca="false">IF(O427="","",SUM(X427:AE427))</f>
        <v/>
      </c>
      <c r="AG427" s="12" t="str">
        <f aca="false">IF(O427="","",IFERROR(AF427/O427*1000,0))</f>
        <v/>
      </c>
      <c r="AH427" s="11"/>
      <c r="AI427" s="11"/>
      <c r="AJ427" s="11"/>
      <c r="AK427" s="9"/>
      <c r="AL427" s="9"/>
      <c r="AM427" s="9"/>
    </row>
    <row r="428" customFormat="false" ht="15" hidden="false" customHeight="true" outlineLevel="0" collapsed="false">
      <c r="A428" s="6"/>
      <c r="B428" s="7"/>
      <c r="C428" s="8"/>
      <c r="D428" s="8"/>
      <c r="E428" s="8"/>
      <c r="F428" s="9"/>
      <c r="G428" s="8"/>
      <c r="H428" s="10" t="str">
        <f aca="false">IFERROR(INDEX('Operator Master'!$B$5:$B$504,MATCH(G428,'Operator Master'!$A$5:$A$504,0)),"")</f>
        <v/>
      </c>
      <c r="I428" s="9"/>
      <c r="J428" s="9"/>
      <c r="K428" s="8"/>
      <c r="L428" s="9"/>
      <c r="M428" s="9"/>
      <c r="N428" s="11"/>
      <c r="O428" s="11"/>
      <c r="P428" s="12" t="str">
        <f aca="false">IF(OR(N428="",O428=""),"",IFERROR(O428/N428*100,0))</f>
        <v/>
      </c>
      <c r="Q428" s="10" t="n">
        <v>8</v>
      </c>
      <c r="R428" s="12" t="str">
        <f aca="false">IF(J428="","",Q428*J428)</f>
        <v/>
      </c>
      <c r="S428" s="11"/>
      <c r="T428" s="12" t="str">
        <f aca="false">IF(OR(R428="",S428=""),"",IFERROR(S428/R428*100,0))</f>
        <v/>
      </c>
      <c r="U428" s="12" t="str">
        <f aca="false">IF(OR(O428="",L428="",M428="",S428="",M428=0),"",IFERROR(O428/(L428*60*S428/(M428*36))*100,0))</f>
        <v/>
      </c>
      <c r="V428" s="11"/>
      <c r="W428" s="12" t="str">
        <f aca="false">IF(O428="","",IFERROR(V428/O428*100,0))</f>
        <v/>
      </c>
      <c r="X428" s="11"/>
      <c r="Y428" s="11"/>
      <c r="Z428" s="11"/>
      <c r="AA428" s="11"/>
      <c r="AB428" s="11"/>
      <c r="AC428" s="11"/>
      <c r="AD428" s="11"/>
      <c r="AE428" s="11"/>
      <c r="AF428" s="12" t="str">
        <f aca="false">IF(O428="","",SUM(X428:AE428))</f>
        <v/>
      </c>
      <c r="AG428" s="12" t="str">
        <f aca="false">IF(O428="","",IFERROR(AF428/O428*1000,0))</f>
        <v/>
      </c>
      <c r="AH428" s="11"/>
      <c r="AI428" s="11"/>
      <c r="AJ428" s="11"/>
      <c r="AK428" s="9"/>
      <c r="AL428" s="9"/>
      <c r="AM428" s="9"/>
    </row>
    <row r="429" customFormat="false" ht="15" hidden="false" customHeight="true" outlineLevel="0" collapsed="false">
      <c r="A429" s="6"/>
      <c r="B429" s="7"/>
      <c r="C429" s="8"/>
      <c r="D429" s="8"/>
      <c r="E429" s="8"/>
      <c r="F429" s="9"/>
      <c r="G429" s="8"/>
      <c r="H429" s="10" t="str">
        <f aca="false">IFERROR(INDEX('Operator Master'!$B$5:$B$504,MATCH(G429,'Operator Master'!$A$5:$A$504,0)),"")</f>
        <v/>
      </c>
      <c r="I429" s="9"/>
      <c r="J429" s="9"/>
      <c r="K429" s="8"/>
      <c r="L429" s="9"/>
      <c r="M429" s="9"/>
      <c r="N429" s="11"/>
      <c r="O429" s="11"/>
      <c r="P429" s="12" t="str">
        <f aca="false">IF(OR(N429="",O429=""),"",IFERROR(O429/N429*100,0))</f>
        <v/>
      </c>
      <c r="Q429" s="10" t="n">
        <v>8</v>
      </c>
      <c r="R429" s="12" t="str">
        <f aca="false">IF(J429="","",Q429*J429)</f>
        <v/>
      </c>
      <c r="S429" s="11"/>
      <c r="T429" s="12" t="str">
        <f aca="false">IF(OR(R429="",S429=""),"",IFERROR(S429/R429*100,0))</f>
        <v/>
      </c>
      <c r="U429" s="12" t="str">
        <f aca="false">IF(OR(O429="",L429="",M429="",S429="",M429=0),"",IFERROR(O429/(L429*60*S429/(M429*36))*100,0))</f>
        <v/>
      </c>
      <c r="V429" s="11"/>
      <c r="W429" s="12" t="str">
        <f aca="false">IF(O429="","",IFERROR(V429/O429*100,0))</f>
        <v/>
      </c>
      <c r="X429" s="11"/>
      <c r="Y429" s="11"/>
      <c r="Z429" s="11"/>
      <c r="AA429" s="11"/>
      <c r="AB429" s="11"/>
      <c r="AC429" s="11"/>
      <c r="AD429" s="11"/>
      <c r="AE429" s="11"/>
      <c r="AF429" s="12" t="str">
        <f aca="false">IF(O429="","",SUM(X429:AE429))</f>
        <v/>
      </c>
      <c r="AG429" s="12" t="str">
        <f aca="false">IF(O429="","",IFERROR(AF429/O429*1000,0))</f>
        <v/>
      </c>
      <c r="AH429" s="11"/>
      <c r="AI429" s="11"/>
      <c r="AJ429" s="11"/>
      <c r="AK429" s="9"/>
      <c r="AL429" s="9"/>
      <c r="AM429" s="9"/>
    </row>
    <row r="430" customFormat="false" ht="15" hidden="false" customHeight="true" outlineLevel="0" collapsed="false">
      <c r="A430" s="6"/>
      <c r="B430" s="7"/>
      <c r="C430" s="8"/>
      <c r="D430" s="8"/>
      <c r="E430" s="8"/>
      <c r="F430" s="9"/>
      <c r="G430" s="8"/>
      <c r="H430" s="10" t="str">
        <f aca="false">IFERROR(INDEX('Operator Master'!$B$5:$B$504,MATCH(G430,'Operator Master'!$A$5:$A$504,0)),"")</f>
        <v/>
      </c>
      <c r="I430" s="9"/>
      <c r="J430" s="9"/>
      <c r="K430" s="8"/>
      <c r="L430" s="9"/>
      <c r="M430" s="9"/>
      <c r="N430" s="11"/>
      <c r="O430" s="11"/>
      <c r="P430" s="12" t="str">
        <f aca="false">IF(OR(N430="",O430=""),"",IFERROR(O430/N430*100,0))</f>
        <v/>
      </c>
      <c r="Q430" s="10" t="n">
        <v>8</v>
      </c>
      <c r="R430" s="12" t="str">
        <f aca="false">IF(J430="","",Q430*J430)</f>
        <v/>
      </c>
      <c r="S430" s="11"/>
      <c r="T430" s="12" t="str">
        <f aca="false">IF(OR(R430="",S430=""),"",IFERROR(S430/R430*100,0))</f>
        <v/>
      </c>
      <c r="U430" s="12" t="str">
        <f aca="false">IF(OR(O430="",L430="",M430="",S430="",M430=0),"",IFERROR(O430/(L430*60*S430/(M430*36))*100,0))</f>
        <v/>
      </c>
      <c r="V430" s="11"/>
      <c r="W430" s="12" t="str">
        <f aca="false">IF(O430="","",IFERROR(V430/O430*100,0))</f>
        <v/>
      </c>
      <c r="X430" s="11"/>
      <c r="Y430" s="11"/>
      <c r="Z430" s="11"/>
      <c r="AA430" s="11"/>
      <c r="AB430" s="11"/>
      <c r="AC430" s="11"/>
      <c r="AD430" s="11"/>
      <c r="AE430" s="11"/>
      <c r="AF430" s="12" t="str">
        <f aca="false">IF(O430="","",SUM(X430:AE430))</f>
        <v/>
      </c>
      <c r="AG430" s="12" t="str">
        <f aca="false">IF(O430="","",IFERROR(AF430/O430*1000,0))</f>
        <v/>
      </c>
      <c r="AH430" s="11"/>
      <c r="AI430" s="11"/>
      <c r="AJ430" s="11"/>
      <c r="AK430" s="9"/>
      <c r="AL430" s="9"/>
      <c r="AM430" s="9"/>
    </row>
    <row r="431" customFormat="false" ht="15" hidden="false" customHeight="true" outlineLevel="0" collapsed="false">
      <c r="A431" s="6"/>
      <c r="B431" s="7"/>
      <c r="C431" s="8"/>
      <c r="D431" s="8"/>
      <c r="E431" s="8"/>
      <c r="F431" s="9"/>
      <c r="G431" s="8"/>
      <c r="H431" s="10" t="str">
        <f aca="false">IFERROR(INDEX('Operator Master'!$B$5:$B$504,MATCH(G431,'Operator Master'!$A$5:$A$504,0)),"")</f>
        <v/>
      </c>
      <c r="I431" s="9"/>
      <c r="J431" s="9"/>
      <c r="K431" s="8"/>
      <c r="L431" s="9"/>
      <c r="M431" s="9"/>
      <c r="N431" s="11"/>
      <c r="O431" s="11"/>
      <c r="P431" s="12" t="str">
        <f aca="false">IF(OR(N431="",O431=""),"",IFERROR(O431/N431*100,0))</f>
        <v/>
      </c>
      <c r="Q431" s="10" t="n">
        <v>8</v>
      </c>
      <c r="R431" s="12" t="str">
        <f aca="false">IF(J431="","",Q431*J431)</f>
        <v/>
      </c>
      <c r="S431" s="11"/>
      <c r="T431" s="12" t="str">
        <f aca="false">IF(OR(R431="",S431=""),"",IFERROR(S431/R431*100,0))</f>
        <v/>
      </c>
      <c r="U431" s="12" t="str">
        <f aca="false">IF(OR(O431="",L431="",M431="",S431="",M431=0),"",IFERROR(O431/(L431*60*S431/(M431*36))*100,0))</f>
        <v/>
      </c>
      <c r="V431" s="11"/>
      <c r="W431" s="12" t="str">
        <f aca="false">IF(O431="","",IFERROR(V431/O431*100,0))</f>
        <v/>
      </c>
      <c r="X431" s="11"/>
      <c r="Y431" s="11"/>
      <c r="Z431" s="11"/>
      <c r="AA431" s="11"/>
      <c r="AB431" s="11"/>
      <c r="AC431" s="11"/>
      <c r="AD431" s="11"/>
      <c r="AE431" s="11"/>
      <c r="AF431" s="12" t="str">
        <f aca="false">IF(O431="","",SUM(X431:AE431))</f>
        <v/>
      </c>
      <c r="AG431" s="12" t="str">
        <f aca="false">IF(O431="","",IFERROR(AF431/O431*1000,0))</f>
        <v/>
      </c>
      <c r="AH431" s="11"/>
      <c r="AI431" s="11"/>
      <c r="AJ431" s="11"/>
      <c r="AK431" s="9"/>
      <c r="AL431" s="9"/>
      <c r="AM431" s="9"/>
    </row>
    <row r="432" customFormat="false" ht="15" hidden="false" customHeight="true" outlineLevel="0" collapsed="false">
      <c r="A432" s="6"/>
      <c r="B432" s="7"/>
      <c r="C432" s="8"/>
      <c r="D432" s="8"/>
      <c r="E432" s="8"/>
      <c r="F432" s="9"/>
      <c r="G432" s="8"/>
      <c r="H432" s="10" t="str">
        <f aca="false">IFERROR(INDEX('Operator Master'!$B$5:$B$504,MATCH(G432,'Operator Master'!$A$5:$A$504,0)),"")</f>
        <v/>
      </c>
      <c r="I432" s="9"/>
      <c r="J432" s="9"/>
      <c r="K432" s="8"/>
      <c r="L432" s="9"/>
      <c r="M432" s="9"/>
      <c r="N432" s="11"/>
      <c r="O432" s="11"/>
      <c r="P432" s="12" t="str">
        <f aca="false">IF(OR(N432="",O432=""),"",IFERROR(O432/N432*100,0))</f>
        <v/>
      </c>
      <c r="Q432" s="10" t="n">
        <v>8</v>
      </c>
      <c r="R432" s="12" t="str">
        <f aca="false">IF(J432="","",Q432*J432)</f>
        <v/>
      </c>
      <c r="S432" s="11"/>
      <c r="T432" s="12" t="str">
        <f aca="false">IF(OR(R432="",S432=""),"",IFERROR(S432/R432*100,0))</f>
        <v/>
      </c>
      <c r="U432" s="12" t="str">
        <f aca="false">IF(OR(O432="",L432="",M432="",S432="",M432=0),"",IFERROR(O432/(L432*60*S432/(M432*36))*100,0))</f>
        <v/>
      </c>
      <c r="V432" s="11"/>
      <c r="W432" s="12" t="str">
        <f aca="false">IF(O432="","",IFERROR(V432/O432*100,0))</f>
        <v/>
      </c>
      <c r="X432" s="11"/>
      <c r="Y432" s="11"/>
      <c r="Z432" s="11"/>
      <c r="AA432" s="11"/>
      <c r="AB432" s="11"/>
      <c r="AC432" s="11"/>
      <c r="AD432" s="11"/>
      <c r="AE432" s="11"/>
      <c r="AF432" s="12" t="str">
        <f aca="false">IF(O432="","",SUM(X432:AE432))</f>
        <v/>
      </c>
      <c r="AG432" s="12" t="str">
        <f aca="false">IF(O432="","",IFERROR(AF432/O432*1000,0))</f>
        <v/>
      </c>
      <c r="AH432" s="11"/>
      <c r="AI432" s="11"/>
      <c r="AJ432" s="11"/>
      <c r="AK432" s="9"/>
      <c r="AL432" s="9"/>
      <c r="AM432" s="9"/>
    </row>
    <row r="433" customFormat="false" ht="15" hidden="false" customHeight="true" outlineLevel="0" collapsed="false">
      <c r="A433" s="6"/>
      <c r="B433" s="7"/>
      <c r="C433" s="8"/>
      <c r="D433" s="8"/>
      <c r="E433" s="8"/>
      <c r="F433" s="9"/>
      <c r="G433" s="8"/>
      <c r="H433" s="10" t="str">
        <f aca="false">IFERROR(INDEX('Operator Master'!$B$5:$B$504,MATCH(G433,'Operator Master'!$A$5:$A$504,0)),"")</f>
        <v/>
      </c>
      <c r="I433" s="9"/>
      <c r="J433" s="9"/>
      <c r="K433" s="8"/>
      <c r="L433" s="9"/>
      <c r="M433" s="9"/>
      <c r="N433" s="11"/>
      <c r="O433" s="11"/>
      <c r="P433" s="12" t="str">
        <f aca="false">IF(OR(N433="",O433=""),"",IFERROR(O433/N433*100,0))</f>
        <v/>
      </c>
      <c r="Q433" s="10" t="n">
        <v>8</v>
      </c>
      <c r="R433" s="12" t="str">
        <f aca="false">IF(J433="","",Q433*J433)</f>
        <v/>
      </c>
      <c r="S433" s="11"/>
      <c r="T433" s="12" t="str">
        <f aca="false">IF(OR(R433="",S433=""),"",IFERROR(S433/R433*100,0))</f>
        <v/>
      </c>
      <c r="U433" s="12" t="str">
        <f aca="false">IF(OR(O433="",L433="",M433="",S433="",M433=0),"",IFERROR(O433/(L433*60*S433/(M433*36))*100,0))</f>
        <v/>
      </c>
      <c r="V433" s="11"/>
      <c r="W433" s="12" t="str">
        <f aca="false">IF(O433="","",IFERROR(V433/O433*100,0))</f>
        <v/>
      </c>
      <c r="X433" s="11"/>
      <c r="Y433" s="11"/>
      <c r="Z433" s="11"/>
      <c r="AA433" s="11"/>
      <c r="AB433" s="11"/>
      <c r="AC433" s="11"/>
      <c r="AD433" s="11"/>
      <c r="AE433" s="11"/>
      <c r="AF433" s="12" t="str">
        <f aca="false">IF(O433="","",SUM(X433:AE433))</f>
        <v/>
      </c>
      <c r="AG433" s="12" t="str">
        <f aca="false">IF(O433="","",IFERROR(AF433/O433*1000,0))</f>
        <v/>
      </c>
      <c r="AH433" s="11"/>
      <c r="AI433" s="11"/>
      <c r="AJ433" s="11"/>
      <c r="AK433" s="9"/>
      <c r="AL433" s="9"/>
      <c r="AM433" s="9"/>
    </row>
    <row r="434" customFormat="false" ht="15" hidden="false" customHeight="true" outlineLevel="0" collapsed="false">
      <c r="A434" s="6"/>
      <c r="B434" s="7"/>
      <c r="C434" s="8"/>
      <c r="D434" s="8"/>
      <c r="E434" s="8"/>
      <c r="F434" s="9"/>
      <c r="G434" s="8"/>
      <c r="H434" s="10" t="str">
        <f aca="false">IFERROR(INDEX('Operator Master'!$B$5:$B$504,MATCH(G434,'Operator Master'!$A$5:$A$504,0)),"")</f>
        <v/>
      </c>
      <c r="I434" s="9"/>
      <c r="J434" s="9"/>
      <c r="K434" s="8"/>
      <c r="L434" s="9"/>
      <c r="M434" s="9"/>
      <c r="N434" s="11"/>
      <c r="O434" s="11"/>
      <c r="P434" s="12" t="str">
        <f aca="false">IF(OR(N434="",O434=""),"",IFERROR(O434/N434*100,0))</f>
        <v/>
      </c>
      <c r="Q434" s="10" t="n">
        <v>8</v>
      </c>
      <c r="R434" s="12" t="str">
        <f aca="false">IF(J434="","",Q434*J434)</f>
        <v/>
      </c>
      <c r="S434" s="11"/>
      <c r="T434" s="12" t="str">
        <f aca="false">IF(OR(R434="",S434=""),"",IFERROR(S434/R434*100,0))</f>
        <v/>
      </c>
      <c r="U434" s="12" t="str">
        <f aca="false">IF(OR(O434="",L434="",M434="",S434="",M434=0),"",IFERROR(O434/(L434*60*S434/(M434*36))*100,0))</f>
        <v/>
      </c>
      <c r="V434" s="11"/>
      <c r="W434" s="12" t="str">
        <f aca="false">IF(O434="","",IFERROR(V434/O434*100,0))</f>
        <v/>
      </c>
      <c r="X434" s="11"/>
      <c r="Y434" s="11"/>
      <c r="Z434" s="11"/>
      <c r="AA434" s="11"/>
      <c r="AB434" s="11"/>
      <c r="AC434" s="11"/>
      <c r="AD434" s="11"/>
      <c r="AE434" s="11"/>
      <c r="AF434" s="12" t="str">
        <f aca="false">IF(O434="","",SUM(X434:AE434))</f>
        <v/>
      </c>
      <c r="AG434" s="12" t="str">
        <f aca="false">IF(O434="","",IFERROR(AF434/O434*1000,0))</f>
        <v/>
      </c>
      <c r="AH434" s="11"/>
      <c r="AI434" s="11"/>
      <c r="AJ434" s="11"/>
      <c r="AK434" s="9"/>
      <c r="AL434" s="9"/>
      <c r="AM434" s="9"/>
    </row>
    <row r="435" customFormat="false" ht="15" hidden="false" customHeight="true" outlineLevel="0" collapsed="false">
      <c r="A435" s="6"/>
      <c r="B435" s="7"/>
      <c r="C435" s="8"/>
      <c r="D435" s="8"/>
      <c r="E435" s="8"/>
      <c r="F435" s="9"/>
      <c r="G435" s="8"/>
      <c r="H435" s="10" t="str">
        <f aca="false">IFERROR(INDEX('Operator Master'!$B$5:$B$504,MATCH(G435,'Operator Master'!$A$5:$A$504,0)),"")</f>
        <v/>
      </c>
      <c r="I435" s="9"/>
      <c r="J435" s="9"/>
      <c r="K435" s="8"/>
      <c r="L435" s="9"/>
      <c r="M435" s="9"/>
      <c r="N435" s="11"/>
      <c r="O435" s="11"/>
      <c r="P435" s="12" t="str">
        <f aca="false">IF(OR(N435="",O435=""),"",IFERROR(O435/N435*100,0))</f>
        <v/>
      </c>
      <c r="Q435" s="10" t="n">
        <v>8</v>
      </c>
      <c r="R435" s="12" t="str">
        <f aca="false">IF(J435="","",Q435*J435)</f>
        <v/>
      </c>
      <c r="S435" s="11"/>
      <c r="T435" s="12" t="str">
        <f aca="false">IF(OR(R435="",S435=""),"",IFERROR(S435/R435*100,0))</f>
        <v/>
      </c>
      <c r="U435" s="12" t="str">
        <f aca="false">IF(OR(O435="",L435="",M435="",S435="",M435=0),"",IFERROR(O435/(L435*60*S435/(M435*36))*100,0))</f>
        <v/>
      </c>
      <c r="V435" s="11"/>
      <c r="W435" s="12" t="str">
        <f aca="false">IF(O435="","",IFERROR(V435/O435*100,0))</f>
        <v/>
      </c>
      <c r="X435" s="11"/>
      <c r="Y435" s="11"/>
      <c r="Z435" s="11"/>
      <c r="AA435" s="11"/>
      <c r="AB435" s="11"/>
      <c r="AC435" s="11"/>
      <c r="AD435" s="11"/>
      <c r="AE435" s="11"/>
      <c r="AF435" s="12" t="str">
        <f aca="false">IF(O435="","",SUM(X435:AE435))</f>
        <v/>
      </c>
      <c r="AG435" s="12" t="str">
        <f aca="false">IF(O435="","",IFERROR(AF435/O435*1000,0))</f>
        <v/>
      </c>
      <c r="AH435" s="11"/>
      <c r="AI435" s="11"/>
      <c r="AJ435" s="11"/>
      <c r="AK435" s="9"/>
      <c r="AL435" s="9"/>
      <c r="AM435" s="9"/>
    </row>
    <row r="436" customFormat="false" ht="15" hidden="false" customHeight="true" outlineLevel="0" collapsed="false">
      <c r="A436" s="6"/>
      <c r="B436" s="7"/>
      <c r="C436" s="8"/>
      <c r="D436" s="8"/>
      <c r="E436" s="8"/>
      <c r="F436" s="9"/>
      <c r="G436" s="8"/>
      <c r="H436" s="10" t="str">
        <f aca="false">IFERROR(INDEX('Operator Master'!$B$5:$B$504,MATCH(G436,'Operator Master'!$A$5:$A$504,0)),"")</f>
        <v/>
      </c>
      <c r="I436" s="9"/>
      <c r="J436" s="9"/>
      <c r="K436" s="8"/>
      <c r="L436" s="9"/>
      <c r="M436" s="9"/>
      <c r="N436" s="11"/>
      <c r="O436" s="11"/>
      <c r="P436" s="12" t="str">
        <f aca="false">IF(OR(N436="",O436=""),"",IFERROR(O436/N436*100,0))</f>
        <v/>
      </c>
      <c r="Q436" s="10" t="n">
        <v>8</v>
      </c>
      <c r="R436" s="12" t="str">
        <f aca="false">IF(J436="","",Q436*J436)</f>
        <v/>
      </c>
      <c r="S436" s="11"/>
      <c r="T436" s="12" t="str">
        <f aca="false">IF(OR(R436="",S436=""),"",IFERROR(S436/R436*100,0))</f>
        <v/>
      </c>
      <c r="U436" s="12" t="str">
        <f aca="false">IF(OR(O436="",L436="",M436="",S436="",M436=0),"",IFERROR(O436/(L436*60*S436/(M436*36))*100,0))</f>
        <v/>
      </c>
      <c r="V436" s="11"/>
      <c r="W436" s="12" t="str">
        <f aca="false">IF(O436="","",IFERROR(V436/O436*100,0))</f>
        <v/>
      </c>
      <c r="X436" s="11"/>
      <c r="Y436" s="11"/>
      <c r="Z436" s="11"/>
      <c r="AA436" s="11"/>
      <c r="AB436" s="11"/>
      <c r="AC436" s="11"/>
      <c r="AD436" s="11"/>
      <c r="AE436" s="11"/>
      <c r="AF436" s="12" t="str">
        <f aca="false">IF(O436="","",SUM(X436:AE436))</f>
        <v/>
      </c>
      <c r="AG436" s="12" t="str">
        <f aca="false">IF(O436="","",IFERROR(AF436/O436*1000,0))</f>
        <v/>
      </c>
      <c r="AH436" s="11"/>
      <c r="AI436" s="11"/>
      <c r="AJ436" s="11"/>
      <c r="AK436" s="9"/>
      <c r="AL436" s="9"/>
      <c r="AM436" s="9"/>
    </row>
    <row r="437" customFormat="false" ht="15" hidden="false" customHeight="true" outlineLevel="0" collapsed="false">
      <c r="A437" s="6"/>
      <c r="B437" s="7"/>
      <c r="C437" s="8"/>
      <c r="D437" s="8"/>
      <c r="E437" s="8"/>
      <c r="F437" s="9"/>
      <c r="G437" s="8"/>
      <c r="H437" s="10" t="str">
        <f aca="false">IFERROR(INDEX('Operator Master'!$B$5:$B$504,MATCH(G437,'Operator Master'!$A$5:$A$504,0)),"")</f>
        <v/>
      </c>
      <c r="I437" s="9"/>
      <c r="J437" s="9"/>
      <c r="K437" s="8"/>
      <c r="L437" s="9"/>
      <c r="M437" s="9"/>
      <c r="N437" s="11"/>
      <c r="O437" s="11"/>
      <c r="P437" s="12" t="str">
        <f aca="false">IF(OR(N437="",O437=""),"",IFERROR(O437/N437*100,0))</f>
        <v/>
      </c>
      <c r="Q437" s="10" t="n">
        <v>8</v>
      </c>
      <c r="R437" s="12" t="str">
        <f aca="false">IF(J437="","",Q437*J437)</f>
        <v/>
      </c>
      <c r="S437" s="11"/>
      <c r="T437" s="12" t="str">
        <f aca="false">IF(OR(R437="",S437=""),"",IFERROR(S437/R437*100,0))</f>
        <v/>
      </c>
      <c r="U437" s="12" t="str">
        <f aca="false">IF(OR(O437="",L437="",M437="",S437="",M437=0),"",IFERROR(O437/(L437*60*S437/(M437*36))*100,0))</f>
        <v/>
      </c>
      <c r="V437" s="11"/>
      <c r="W437" s="12" t="str">
        <f aca="false">IF(O437="","",IFERROR(V437/O437*100,0))</f>
        <v/>
      </c>
      <c r="X437" s="11"/>
      <c r="Y437" s="11"/>
      <c r="Z437" s="11"/>
      <c r="AA437" s="11"/>
      <c r="AB437" s="11"/>
      <c r="AC437" s="11"/>
      <c r="AD437" s="11"/>
      <c r="AE437" s="11"/>
      <c r="AF437" s="12" t="str">
        <f aca="false">IF(O437="","",SUM(X437:AE437))</f>
        <v/>
      </c>
      <c r="AG437" s="12" t="str">
        <f aca="false">IF(O437="","",IFERROR(AF437/O437*1000,0))</f>
        <v/>
      </c>
      <c r="AH437" s="11"/>
      <c r="AI437" s="11"/>
      <c r="AJ437" s="11"/>
      <c r="AK437" s="9"/>
      <c r="AL437" s="9"/>
      <c r="AM437" s="9"/>
    </row>
    <row r="438" customFormat="false" ht="15" hidden="false" customHeight="true" outlineLevel="0" collapsed="false">
      <c r="A438" s="6"/>
      <c r="B438" s="7"/>
      <c r="C438" s="8"/>
      <c r="D438" s="8"/>
      <c r="E438" s="8"/>
      <c r="F438" s="9"/>
      <c r="G438" s="8"/>
      <c r="H438" s="10" t="str">
        <f aca="false">IFERROR(INDEX('Operator Master'!$B$5:$B$504,MATCH(G438,'Operator Master'!$A$5:$A$504,0)),"")</f>
        <v/>
      </c>
      <c r="I438" s="9"/>
      <c r="J438" s="9"/>
      <c r="K438" s="8"/>
      <c r="L438" s="9"/>
      <c r="M438" s="9"/>
      <c r="N438" s="11"/>
      <c r="O438" s="11"/>
      <c r="P438" s="12" t="str">
        <f aca="false">IF(OR(N438="",O438=""),"",IFERROR(O438/N438*100,0))</f>
        <v/>
      </c>
      <c r="Q438" s="10" t="n">
        <v>8</v>
      </c>
      <c r="R438" s="12" t="str">
        <f aca="false">IF(J438="","",Q438*J438)</f>
        <v/>
      </c>
      <c r="S438" s="11"/>
      <c r="T438" s="12" t="str">
        <f aca="false">IF(OR(R438="",S438=""),"",IFERROR(S438/R438*100,0))</f>
        <v/>
      </c>
      <c r="U438" s="12" t="str">
        <f aca="false">IF(OR(O438="",L438="",M438="",S438="",M438=0),"",IFERROR(O438/(L438*60*S438/(M438*36))*100,0))</f>
        <v/>
      </c>
      <c r="V438" s="11"/>
      <c r="W438" s="12" t="str">
        <f aca="false">IF(O438="","",IFERROR(V438/O438*100,0))</f>
        <v/>
      </c>
      <c r="X438" s="11"/>
      <c r="Y438" s="11"/>
      <c r="Z438" s="11"/>
      <c r="AA438" s="11"/>
      <c r="AB438" s="11"/>
      <c r="AC438" s="11"/>
      <c r="AD438" s="11"/>
      <c r="AE438" s="11"/>
      <c r="AF438" s="12" t="str">
        <f aca="false">IF(O438="","",SUM(X438:AE438))</f>
        <v/>
      </c>
      <c r="AG438" s="12" t="str">
        <f aca="false">IF(O438="","",IFERROR(AF438/O438*1000,0))</f>
        <v/>
      </c>
      <c r="AH438" s="11"/>
      <c r="AI438" s="11"/>
      <c r="AJ438" s="11"/>
      <c r="AK438" s="9"/>
      <c r="AL438" s="9"/>
      <c r="AM438" s="9"/>
    </row>
    <row r="439" customFormat="false" ht="15" hidden="false" customHeight="true" outlineLevel="0" collapsed="false">
      <c r="A439" s="6"/>
      <c r="B439" s="7"/>
      <c r="C439" s="8"/>
      <c r="D439" s="8"/>
      <c r="E439" s="8"/>
      <c r="F439" s="9"/>
      <c r="G439" s="8"/>
      <c r="H439" s="10" t="str">
        <f aca="false">IFERROR(INDEX('Operator Master'!$B$5:$B$504,MATCH(G439,'Operator Master'!$A$5:$A$504,0)),"")</f>
        <v/>
      </c>
      <c r="I439" s="9"/>
      <c r="J439" s="9"/>
      <c r="K439" s="8"/>
      <c r="L439" s="9"/>
      <c r="M439" s="9"/>
      <c r="N439" s="11"/>
      <c r="O439" s="11"/>
      <c r="P439" s="12" t="str">
        <f aca="false">IF(OR(N439="",O439=""),"",IFERROR(O439/N439*100,0))</f>
        <v/>
      </c>
      <c r="Q439" s="10" t="n">
        <v>8</v>
      </c>
      <c r="R439" s="12" t="str">
        <f aca="false">IF(J439="","",Q439*J439)</f>
        <v/>
      </c>
      <c r="S439" s="11"/>
      <c r="T439" s="12" t="str">
        <f aca="false">IF(OR(R439="",S439=""),"",IFERROR(S439/R439*100,0))</f>
        <v/>
      </c>
      <c r="U439" s="12" t="str">
        <f aca="false">IF(OR(O439="",L439="",M439="",S439="",M439=0),"",IFERROR(O439/(L439*60*S439/(M439*36))*100,0))</f>
        <v/>
      </c>
      <c r="V439" s="11"/>
      <c r="W439" s="12" t="str">
        <f aca="false">IF(O439="","",IFERROR(V439/O439*100,0))</f>
        <v/>
      </c>
      <c r="X439" s="11"/>
      <c r="Y439" s="11"/>
      <c r="Z439" s="11"/>
      <c r="AA439" s="11"/>
      <c r="AB439" s="11"/>
      <c r="AC439" s="11"/>
      <c r="AD439" s="11"/>
      <c r="AE439" s="11"/>
      <c r="AF439" s="12" t="str">
        <f aca="false">IF(O439="","",SUM(X439:AE439))</f>
        <v/>
      </c>
      <c r="AG439" s="12" t="str">
        <f aca="false">IF(O439="","",IFERROR(AF439/O439*1000,0))</f>
        <v/>
      </c>
      <c r="AH439" s="11"/>
      <c r="AI439" s="11"/>
      <c r="AJ439" s="11"/>
      <c r="AK439" s="9"/>
      <c r="AL439" s="9"/>
      <c r="AM439" s="9"/>
    </row>
    <row r="440" customFormat="false" ht="15" hidden="false" customHeight="true" outlineLevel="0" collapsed="false">
      <c r="A440" s="6"/>
      <c r="B440" s="7"/>
      <c r="C440" s="8"/>
      <c r="D440" s="8"/>
      <c r="E440" s="8"/>
      <c r="F440" s="9"/>
      <c r="G440" s="8"/>
      <c r="H440" s="10" t="str">
        <f aca="false">IFERROR(INDEX('Operator Master'!$B$5:$B$504,MATCH(G440,'Operator Master'!$A$5:$A$504,0)),"")</f>
        <v/>
      </c>
      <c r="I440" s="9"/>
      <c r="J440" s="9"/>
      <c r="K440" s="8"/>
      <c r="L440" s="9"/>
      <c r="M440" s="9"/>
      <c r="N440" s="11"/>
      <c r="O440" s="11"/>
      <c r="P440" s="12" t="str">
        <f aca="false">IF(OR(N440="",O440=""),"",IFERROR(O440/N440*100,0))</f>
        <v/>
      </c>
      <c r="Q440" s="10" t="n">
        <v>8</v>
      </c>
      <c r="R440" s="12" t="str">
        <f aca="false">IF(J440="","",Q440*J440)</f>
        <v/>
      </c>
      <c r="S440" s="11"/>
      <c r="T440" s="12" t="str">
        <f aca="false">IF(OR(R440="",S440=""),"",IFERROR(S440/R440*100,0))</f>
        <v/>
      </c>
      <c r="U440" s="12" t="str">
        <f aca="false">IF(OR(O440="",L440="",M440="",S440="",M440=0),"",IFERROR(O440/(L440*60*S440/(M440*36))*100,0))</f>
        <v/>
      </c>
      <c r="V440" s="11"/>
      <c r="W440" s="12" t="str">
        <f aca="false">IF(O440="","",IFERROR(V440/O440*100,0))</f>
        <v/>
      </c>
      <c r="X440" s="11"/>
      <c r="Y440" s="11"/>
      <c r="Z440" s="11"/>
      <c r="AA440" s="11"/>
      <c r="AB440" s="11"/>
      <c r="AC440" s="11"/>
      <c r="AD440" s="11"/>
      <c r="AE440" s="11"/>
      <c r="AF440" s="12" t="str">
        <f aca="false">IF(O440="","",SUM(X440:AE440))</f>
        <v/>
      </c>
      <c r="AG440" s="12" t="str">
        <f aca="false">IF(O440="","",IFERROR(AF440/O440*1000,0))</f>
        <v/>
      </c>
      <c r="AH440" s="11"/>
      <c r="AI440" s="11"/>
      <c r="AJ440" s="11"/>
      <c r="AK440" s="9"/>
      <c r="AL440" s="9"/>
      <c r="AM440" s="9"/>
    </row>
    <row r="441" customFormat="false" ht="15" hidden="false" customHeight="true" outlineLevel="0" collapsed="false">
      <c r="A441" s="6"/>
      <c r="B441" s="7"/>
      <c r="C441" s="8"/>
      <c r="D441" s="8"/>
      <c r="E441" s="8"/>
      <c r="F441" s="9"/>
      <c r="G441" s="8"/>
      <c r="H441" s="10" t="str">
        <f aca="false">IFERROR(INDEX('Operator Master'!$B$5:$B$504,MATCH(G441,'Operator Master'!$A$5:$A$504,0)),"")</f>
        <v/>
      </c>
      <c r="I441" s="9"/>
      <c r="J441" s="9"/>
      <c r="K441" s="8"/>
      <c r="L441" s="9"/>
      <c r="M441" s="9"/>
      <c r="N441" s="11"/>
      <c r="O441" s="11"/>
      <c r="P441" s="12" t="str">
        <f aca="false">IF(OR(N441="",O441=""),"",IFERROR(O441/N441*100,0))</f>
        <v/>
      </c>
      <c r="Q441" s="10" t="n">
        <v>8</v>
      </c>
      <c r="R441" s="12" t="str">
        <f aca="false">IF(J441="","",Q441*J441)</f>
        <v/>
      </c>
      <c r="S441" s="11"/>
      <c r="T441" s="12" t="str">
        <f aca="false">IF(OR(R441="",S441=""),"",IFERROR(S441/R441*100,0))</f>
        <v/>
      </c>
      <c r="U441" s="12" t="str">
        <f aca="false">IF(OR(O441="",L441="",M441="",S441="",M441=0),"",IFERROR(O441/(L441*60*S441/(M441*36))*100,0))</f>
        <v/>
      </c>
      <c r="V441" s="11"/>
      <c r="W441" s="12" t="str">
        <f aca="false">IF(O441="","",IFERROR(V441/O441*100,0))</f>
        <v/>
      </c>
      <c r="X441" s="11"/>
      <c r="Y441" s="11"/>
      <c r="Z441" s="11"/>
      <c r="AA441" s="11"/>
      <c r="AB441" s="11"/>
      <c r="AC441" s="11"/>
      <c r="AD441" s="11"/>
      <c r="AE441" s="11"/>
      <c r="AF441" s="12" t="str">
        <f aca="false">IF(O441="","",SUM(X441:AE441))</f>
        <v/>
      </c>
      <c r="AG441" s="12" t="str">
        <f aca="false">IF(O441="","",IFERROR(AF441/O441*1000,0))</f>
        <v/>
      </c>
      <c r="AH441" s="11"/>
      <c r="AI441" s="11"/>
      <c r="AJ441" s="11"/>
      <c r="AK441" s="9"/>
      <c r="AL441" s="9"/>
      <c r="AM441" s="9"/>
    </row>
    <row r="442" customFormat="false" ht="15" hidden="false" customHeight="true" outlineLevel="0" collapsed="false">
      <c r="A442" s="6"/>
      <c r="B442" s="7"/>
      <c r="C442" s="8"/>
      <c r="D442" s="8"/>
      <c r="E442" s="8"/>
      <c r="F442" s="9"/>
      <c r="G442" s="8"/>
      <c r="H442" s="10" t="str">
        <f aca="false">IFERROR(INDEX('Operator Master'!$B$5:$B$504,MATCH(G442,'Operator Master'!$A$5:$A$504,0)),"")</f>
        <v/>
      </c>
      <c r="I442" s="9"/>
      <c r="J442" s="9"/>
      <c r="K442" s="8"/>
      <c r="L442" s="9"/>
      <c r="M442" s="9"/>
      <c r="N442" s="11"/>
      <c r="O442" s="11"/>
      <c r="P442" s="12" t="str">
        <f aca="false">IF(OR(N442="",O442=""),"",IFERROR(O442/N442*100,0))</f>
        <v/>
      </c>
      <c r="Q442" s="10" t="n">
        <v>8</v>
      </c>
      <c r="R442" s="12" t="str">
        <f aca="false">IF(J442="","",Q442*J442)</f>
        <v/>
      </c>
      <c r="S442" s="11"/>
      <c r="T442" s="12" t="str">
        <f aca="false">IF(OR(R442="",S442=""),"",IFERROR(S442/R442*100,0))</f>
        <v/>
      </c>
      <c r="U442" s="12" t="str">
        <f aca="false">IF(OR(O442="",L442="",M442="",S442="",M442=0),"",IFERROR(O442/(L442*60*S442/(M442*36))*100,0))</f>
        <v/>
      </c>
      <c r="V442" s="11"/>
      <c r="W442" s="12" t="str">
        <f aca="false">IF(O442="","",IFERROR(V442/O442*100,0))</f>
        <v/>
      </c>
      <c r="X442" s="11"/>
      <c r="Y442" s="11"/>
      <c r="Z442" s="11"/>
      <c r="AA442" s="11"/>
      <c r="AB442" s="11"/>
      <c r="AC442" s="11"/>
      <c r="AD442" s="11"/>
      <c r="AE442" s="11"/>
      <c r="AF442" s="12" t="str">
        <f aca="false">IF(O442="","",SUM(X442:AE442))</f>
        <v/>
      </c>
      <c r="AG442" s="12" t="str">
        <f aca="false">IF(O442="","",IFERROR(AF442/O442*1000,0))</f>
        <v/>
      </c>
      <c r="AH442" s="11"/>
      <c r="AI442" s="11"/>
      <c r="AJ442" s="11"/>
      <c r="AK442" s="9"/>
      <c r="AL442" s="9"/>
      <c r="AM442" s="9"/>
    </row>
    <row r="443" customFormat="false" ht="15" hidden="false" customHeight="true" outlineLevel="0" collapsed="false">
      <c r="A443" s="6"/>
      <c r="B443" s="7"/>
      <c r="C443" s="8"/>
      <c r="D443" s="8"/>
      <c r="E443" s="8"/>
      <c r="F443" s="9"/>
      <c r="G443" s="8"/>
      <c r="H443" s="10" t="str">
        <f aca="false">IFERROR(INDEX('Operator Master'!$B$5:$B$504,MATCH(G443,'Operator Master'!$A$5:$A$504,0)),"")</f>
        <v/>
      </c>
      <c r="I443" s="9"/>
      <c r="J443" s="9"/>
      <c r="K443" s="8"/>
      <c r="L443" s="9"/>
      <c r="M443" s="9"/>
      <c r="N443" s="11"/>
      <c r="O443" s="11"/>
      <c r="P443" s="12" t="str">
        <f aca="false">IF(OR(N443="",O443=""),"",IFERROR(O443/N443*100,0))</f>
        <v/>
      </c>
      <c r="Q443" s="10" t="n">
        <v>8</v>
      </c>
      <c r="R443" s="12" t="str">
        <f aca="false">IF(J443="","",Q443*J443)</f>
        <v/>
      </c>
      <c r="S443" s="11"/>
      <c r="T443" s="12" t="str">
        <f aca="false">IF(OR(R443="",S443=""),"",IFERROR(S443/R443*100,0))</f>
        <v/>
      </c>
      <c r="U443" s="12" t="str">
        <f aca="false">IF(OR(O443="",L443="",M443="",S443="",M443=0),"",IFERROR(O443/(L443*60*S443/(M443*36))*100,0))</f>
        <v/>
      </c>
      <c r="V443" s="11"/>
      <c r="W443" s="12" t="str">
        <f aca="false">IF(O443="","",IFERROR(V443/O443*100,0))</f>
        <v/>
      </c>
      <c r="X443" s="11"/>
      <c r="Y443" s="11"/>
      <c r="Z443" s="11"/>
      <c r="AA443" s="11"/>
      <c r="AB443" s="11"/>
      <c r="AC443" s="11"/>
      <c r="AD443" s="11"/>
      <c r="AE443" s="11"/>
      <c r="AF443" s="12" t="str">
        <f aca="false">IF(O443="","",SUM(X443:AE443))</f>
        <v/>
      </c>
      <c r="AG443" s="12" t="str">
        <f aca="false">IF(O443="","",IFERROR(AF443/O443*1000,0))</f>
        <v/>
      </c>
      <c r="AH443" s="11"/>
      <c r="AI443" s="11"/>
      <c r="AJ443" s="11"/>
      <c r="AK443" s="9"/>
      <c r="AL443" s="9"/>
      <c r="AM443" s="9"/>
    </row>
    <row r="444" customFormat="false" ht="15" hidden="false" customHeight="true" outlineLevel="0" collapsed="false">
      <c r="A444" s="6"/>
      <c r="B444" s="7"/>
      <c r="C444" s="8"/>
      <c r="D444" s="8"/>
      <c r="E444" s="8"/>
      <c r="F444" s="9"/>
      <c r="G444" s="8"/>
      <c r="H444" s="10" t="str">
        <f aca="false">IFERROR(INDEX('Operator Master'!$B$5:$B$504,MATCH(G444,'Operator Master'!$A$5:$A$504,0)),"")</f>
        <v/>
      </c>
      <c r="I444" s="9"/>
      <c r="J444" s="9"/>
      <c r="K444" s="8"/>
      <c r="L444" s="9"/>
      <c r="M444" s="9"/>
      <c r="N444" s="11"/>
      <c r="O444" s="11"/>
      <c r="P444" s="12" t="str">
        <f aca="false">IF(OR(N444="",O444=""),"",IFERROR(O444/N444*100,0))</f>
        <v/>
      </c>
      <c r="Q444" s="10" t="n">
        <v>8</v>
      </c>
      <c r="R444" s="12" t="str">
        <f aca="false">IF(J444="","",Q444*J444)</f>
        <v/>
      </c>
      <c r="S444" s="11"/>
      <c r="T444" s="12" t="str">
        <f aca="false">IF(OR(R444="",S444=""),"",IFERROR(S444/R444*100,0))</f>
        <v/>
      </c>
      <c r="U444" s="12" t="str">
        <f aca="false">IF(OR(O444="",L444="",M444="",S444="",M444=0),"",IFERROR(O444/(L444*60*S444/(M444*36))*100,0))</f>
        <v/>
      </c>
      <c r="V444" s="11"/>
      <c r="W444" s="12" t="str">
        <f aca="false">IF(O444="","",IFERROR(V444/O444*100,0))</f>
        <v/>
      </c>
      <c r="X444" s="11"/>
      <c r="Y444" s="11"/>
      <c r="Z444" s="11"/>
      <c r="AA444" s="11"/>
      <c r="AB444" s="11"/>
      <c r="AC444" s="11"/>
      <c r="AD444" s="11"/>
      <c r="AE444" s="11"/>
      <c r="AF444" s="12" t="str">
        <f aca="false">IF(O444="","",SUM(X444:AE444))</f>
        <v/>
      </c>
      <c r="AG444" s="12" t="str">
        <f aca="false">IF(O444="","",IFERROR(AF444/O444*1000,0))</f>
        <v/>
      </c>
      <c r="AH444" s="11"/>
      <c r="AI444" s="11"/>
      <c r="AJ444" s="11"/>
      <c r="AK444" s="9"/>
      <c r="AL444" s="9"/>
      <c r="AM444" s="9"/>
    </row>
    <row r="445" customFormat="false" ht="15" hidden="false" customHeight="true" outlineLevel="0" collapsed="false">
      <c r="A445" s="6"/>
      <c r="B445" s="7"/>
      <c r="C445" s="8"/>
      <c r="D445" s="8"/>
      <c r="E445" s="8"/>
      <c r="F445" s="9"/>
      <c r="G445" s="8"/>
      <c r="H445" s="10" t="str">
        <f aca="false">IFERROR(INDEX('Operator Master'!$B$5:$B$504,MATCH(G445,'Operator Master'!$A$5:$A$504,0)),"")</f>
        <v/>
      </c>
      <c r="I445" s="9"/>
      <c r="J445" s="9"/>
      <c r="K445" s="8"/>
      <c r="L445" s="9"/>
      <c r="M445" s="9"/>
      <c r="N445" s="11"/>
      <c r="O445" s="11"/>
      <c r="P445" s="12" t="str">
        <f aca="false">IF(OR(N445="",O445=""),"",IFERROR(O445/N445*100,0))</f>
        <v/>
      </c>
      <c r="Q445" s="10" t="n">
        <v>8</v>
      </c>
      <c r="R445" s="12" t="str">
        <f aca="false">IF(J445="","",Q445*J445)</f>
        <v/>
      </c>
      <c r="S445" s="11"/>
      <c r="T445" s="12" t="str">
        <f aca="false">IF(OR(R445="",S445=""),"",IFERROR(S445/R445*100,0))</f>
        <v/>
      </c>
      <c r="U445" s="12" t="str">
        <f aca="false">IF(OR(O445="",L445="",M445="",S445="",M445=0),"",IFERROR(O445/(L445*60*S445/(M445*36))*100,0))</f>
        <v/>
      </c>
      <c r="V445" s="11"/>
      <c r="W445" s="12" t="str">
        <f aca="false">IF(O445="","",IFERROR(V445/O445*100,0))</f>
        <v/>
      </c>
      <c r="X445" s="11"/>
      <c r="Y445" s="11"/>
      <c r="Z445" s="11"/>
      <c r="AA445" s="11"/>
      <c r="AB445" s="11"/>
      <c r="AC445" s="11"/>
      <c r="AD445" s="11"/>
      <c r="AE445" s="11"/>
      <c r="AF445" s="12" t="str">
        <f aca="false">IF(O445="","",SUM(X445:AE445))</f>
        <v/>
      </c>
      <c r="AG445" s="12" t="str">
        <f aca="false">IF(O445="","",IFERROR(AF445/O445*1000,0))</f>
        <v/>
      </c>
      <c r="AH445" s="11"/>
      <c r="AI445" s="11"/>
      <c r="AJ445" s="11"/>
      <c r="AK445" s="9"/>
      <c r="AL445" s="9"/>
      <c r="AM445" s="9"/>
    </row>
    <row r="446" customFormat="false" ht="15" hidden="false" customHeight="true" outlineLevel="0" collapsed="false">
      <c r="A446" s="6"/>
      <c r="B446" s="7"/>
      <c r="C446" s="8"/>
      <c r="D446" s="8"/>
      <c r="E446" s="8"/>
      <c r="F446" s="9"/>
      <c r="G446" s="8"/>
      <c r="H446" s="10" t="str">
        <f aca="false">IFERROR(INDEX('Operator Master'!$B$5:$B$504,MATCH(G446,'Operator Master'!$A$5:$A$504,0)),"")</f>
        <v/>
      </c>
      <c r="I446" s="9"/>
      <c r="J446" s="9"/>
      <c r="K446" s="8"/>
      <c r="L446" s="9"/>
      <c r="M446" s="9"/>
      <c r="N446" s="11"/>
      <c r="O446" s="11"/>
      <c r="P446" s="12" t="str">
        <f aca="false">IF(OR(N446="",O446=""),"",IFERROR(O446/N446*100,0))</f>
        <v/>
      </c>
      <c r="Q446" s="10" t="n">
        <v>8</v>
      </c>
      <c r="R446" s="12" t="str">
        <f aca="false">IF(J446="","",Q446*J446)</f>
        <v/>
      </c>
      <c r="S446" s="11"/>
      <c r="T446" s="12" t="str">
        <f aca="false">IF(OR(R446="",S446=""),"",IFERROR(S446/R446*100,0))</f>
        <v/>
      </c>
      <c r="U446" s="12" t="str">
        <f aca="false">IF(OR(O446="",L446="",M446="",S446="",M446=0),"",IFERROR(O446/(L446*60*S446/(M446*36))*100,0))</f>
        <v/>
      </c>
      <c r="V446" s="11"/>
      <c r="W446" s="12" t="str">
        <f aca="false">IF(O446="","",IFERROR(V446/O446*100,0))</f>
        <v/>
      </c>
      <c r="X446" s="11"/>
      <c r="Y446" s="11"/>
      <c r="Z446" s="11"/>
      <c r="AA446" s="11"/>
      <c r="AB446" s="11"/>
      <c r="AC446" s="11"/>
      <c r="AD446" s="11"/>
      <c r="AE446" s="11"/>
      <c r="AF446" s="12" t="str">
        <f aca="false">IF(O446="","",SUM(X446:AE446))</f>
        <v/>
      </c>
      <c r="AG446" s="12" t="str">
        <f aca="false">IF(O446="","",IFERROR(AF446/O446*1000,0))</f>
        <v/>
      </c>
      <c r="AH446" s="11"/>
      <c r="AI446" s="11"/>
      <c r="AJ446" s="11"/>
      <c r="AK446" s="9"/>
      <c r="AL446" s="9"/>
      <c r="AM446" s="9"/>
    </row>
    <row r="447" customFormat="false" ht="15" hidden="false" customHeight="true" outlineLevel="0" collapsed="false">
      <c r="A447" s="6"/>
      <c r="B447" s="7"/>
      <c r="C447" s="8"/>
      <c r="D447" s="8"/>
      <c r="E447" s="8"/>
      <c r="F447" s="9"/>
      <c r="G447" s="8"/>
      <c r="H447" s="10" t="str">
        <f aca="false">IFERROR(INDEX('Operator Master'!$B$5:$B$504,MATCH(G447,'Operator Master'!$A$5:$A$504,0)),"")</f>
        <v/>
      </c>
      <c r="I447" s="9"/>
      <c r="J447" s="9"/>
      <c r="K447" s="8"/>
      <c r="L447" s="9"/>
      <c r="M447" s="9"/>
      <c r="N447" s="11"/>
      <c r="O447" s="11"/>
      <c r="P447" s="12" t="str">
        <f aca="false">IF(OR(N447="",O447=""),"",IFERROR(O447/N447*100,0))</f>
        <v/>
      </c>
      <c r="Q447" s="10" t="n">
        <v>8</v>
      </c>
      <c r="R447" s="12" t="str">
        <f aca="false">IF(J447="","",Q447*J447)</f>
        <v/>
      </c>
      <c r="S447" s="11"/>
      <c r="T447" s="12" t="str">
        <f aca="false">IF(OR(R447="",S447=""),"",IFERROR(S447/R447*100,0))</f>
        <v/>
      </c>
      <c r="U447" s="12" t="str">
        <f aca="false">IF(OR(O447="",L447="",M447="",S447="",M447=0),"",IFERROR(O447/(L447*60*S447/(M447*36))*100,0))</f>
        <v/>
      </c>
      <c r="V447" s="11"/>
      <c r="W447" s="12" t="str">
        <f aca="false">IF(O447="","",IFERROR(V447/O447*100,0))</f>
        <v/>
      </c>
      <c r="X447" s="11"/>
      <c r="Y447" s="11"/>
      <c r="Z447" s="11"/>
      <c r="AA447" s="11"/>
      <c r="AB447" s="11"/>
      <c r="AC447" s="11"/>
      <c r="AD447" s="11"/>
      <c r="AE447" s="11"/>
      <c r="AF447" s="12" t="str">
        <f aca="false">IF(O447="","",SUM(X447:AE447))</f>
        <v/>
      </c>
      <c r="AG447" s="12" t="str">
        <f aca="false">IF(O447="","",IFERROR(AF447/O447*1000,0))</f>
        <v/>
      </c>
      <c r="AH447" s="11"/>
      <c r="AI447" s="11"/>
      <c r="AJ447" s="11"/>
      <c r="AK447" s="9"/>
      <c r="AL447" s="9"/>
      <c r="AM447" s="9"/>
    </row>
    <row r="448" customFormat="false" ht="15" hidden="false" customHeight="true" outlineLevel="0" collapsed="false">
      <c r="A448" s="6"/>
      <c r="B448" s="7"/>
      <c r="C448" s="8"/>
      <c r="D448" s="8"/>
      <c r="E448" s="8"/>
      <c r="F448" s="9"/>
      <c r="G448" s="8"/>
      <c r="H448" s="10" t="str">
        <f aca="false">IFERROR(INDEX('Operator Master'!$B$5:$B$504,MATCH(G448,'Operator Master'!$A$5:$A$504,0)),"")</f>
        <v/>
      </c>
      <c r="I448" s="9"/>
      <c r="J448" s="9"/>
      <c r="K448" s="8"/>
      <c r="L448" s="9"/>
      <c r="M448" s="9"/>
      <c r="N448" s="11"/>
      <c r="O448" s="11"/>
      <c r="P448" s="12" t="str">
        <f aca="false">IF(OR(N448="",O448=""),"",IFERROR(O448/N448*100,0))</f>
        <v/>
      </c>
      <c r="Q448" s="10" t="n">
        <v>8</v>
      </c>
      <c r="R448" s="12" t="str">
        <f aca="false">IF(J448="","",Q448*J448)</f>
        <v/>
      </c>
      <c r="S448" s="11"/>
      <c r="T448" s="12" t="str">
        <f aca="false">IF(OR(R448="",S448=""),"",IFERROR(S448/R448*100,0))</f>
        <v/>
      </c>
      <c r="U448" s="12" t="str">
        <f aca="false">IF(OR(O448="",L448="",M448="",S448="",M448=0),"",IFERROR(O448/(L448*60*S448/(M448*36))*100,0))</f>
        <v/>
      </c>
      <c r="V448" s="11"/>
      <c r="W448" s="12" t="str">
        <f aca="false">IF(O448="","",IFERROR(V448/O448*100,0))</f>
        <v/>
      </c>
      <c r="X448" s="11"/>
      <c r="Y448" s="11"/>
      <c r="Z448" s="11"/>
      <c r="AA448" s="11"/>
      <c r="AB448" s="11"/>
      <c r="AC448" s="11"/>
      <c r="AD448" s="11"/>
      <c r="AE448" s="11"/>
      <c r="AF448" s="12" t="str">
        <f aca="false">IF(O448="","",SUM(X448:AE448))</f>
        <v/>
      </c>
      <c r="AG448" s="12" t="str">
        <f aca="false">IF(O448="","",IFERROR(AF448/O448*1000,0))</f>
        <v/>
      </c>
      <c r="AH448" s="11"/>
      <c r="AI448" s="11"/>
      <c r="AJ448" s="11"/>
      <c r="AK448" s="9"/>
      <c r="AL448" s="9"/>
      <c r="AM448" s="9"/>
    </row>
    <row r="449" customFormat="false" ht="15" hidden="false" customHeight="true" outlineLevel="0" collapsed="false">
      <c r="A449" s="6"/>
      <c r="B449" s="7"/>
      <c r="C449" s="8"/>
      <c r="D449" s="8"/>
      <c r="E449" s="8"/>
      <c r="F449" s="9"/>
      <c r="G449" s="8"/>
      <c r="H449" s="10" t="str">
        <f aca="false">IFERROR(INDEX('Operator Master'!$B$5:$B$504,MATCH(G449,'Operator Master'!$A$5:$A$504,0)),"")</f>
        <v/>
      </c>
      <c r="I449" s="9"/>
      <c r="J449" s="9"/>
      <c r="K449" s="8"/>
      <c r="L449" s="9"/>
      <c r="M449" s="9"/>
      <c r="N449" s="11"/>
      <c r="O449" s="11"/>
      <c r="P449" s="12" t="str">
        <f aca="false">IF(OR(N449="",O449=""),"",IFERROR(O449/N449*100,0))</f>
        <v/>
      </c>
      <c r="Q449" s="10" t="n">
        <v>8</v>
      </c>
      <c r="R449" s="12" t="str">
        <f aca="false">IF(J449="","",Q449*J449)</f>
        <v/>
      </c>
      <c r="S449" s="11"/>
      <c r="T449" s="12" t="str">
        <f aca="false">IF(OR(R449="",S449=""),"",IFERROR(S449/R449*100,0))</f>
        <v/>
      </c>
      <c r="U449" s="12" t="str">
        <f aca="false">IF(OR(O449="",L449="",M449="",S449="",M449=0),"",IFERROR(O449/(L449*60*S449/(M449*36))*100,0))</f>
        <v/>
      </c>
      <c r="V449" s="11"/>
      <c r="W449" s="12" t="str">
        <f aca="false">IF(O449="","",IFERROR(V449/O449*100,0))</f>
        <v/>
      </c>
      <c r="X449" s="11"/>
      <c r="Y449" s="11"/>
      <c r="Z449" s="11"/>
      <c r="AA449" s="11"/>
      <c r="AB449" s="11"/>
      <c r="AC449" s="11"/>
      <c r="AD449" s="11"/>
      <c r="AE449" s="11"/>
      <c r="AF449" s="12" t="str">
        <f aca="false">IF(O449="","",SUM(X449:AE449))</f>
        <v/>
      </c>
      <c r="AG449" s="12" t="str">
        <f aca="false">IF(O449="","",IFERROR(AF449/O449*1000,0))</f>
        <v/>
      </c>
      <c r="AH449" s="11"/>
      <c r="AI449" s="11"/>
      <c r="AJ449" s="11"/>
      <c r="AK449" s="9"/>
      <c r="AL449" s="9"/>
      <c r="AM449" s="9"/>
    </row>
    <row r="450" customFormat="false" ht="15" hidden="false" customHeight="true" outlineLevel="0" collapsed="false">
      <c r="A450" s="6"/>
      <c r="B450" s="7"/>
      <c r="C450" s="8"/>
      <c r="D450" s="8"/>
      <c r="E450" s="8"/>
      <c r="F450" s="9"/>
      <c r="G450" s="8"/>
      <c r="H450" s="10" t="str">
        <f aca="false">IFERROR(INDEX('Operator Master'!$B$5:$B$504,MATCH(G450,'Operator Master'!$A$5:$A$504,0)),"")</f>
        <v/>
      </c>
      <c r="I450" s="9"/>
      <c r="J450" s="9"/>
      <c r="K450" s="8"/>
      <c r="L450" s="9"/>
      <c r="M450" s="9"/>
      <c r="N450" s="11"/>
      <c r="O450" s="11"/>
      <c r="P450" s="12" t="str">
        <f aca="false">IF(OR(N450="",O450=""),"",IFERROR(O450/N450*100,0))</f>
        <v/>
      </c>
      <c r="Q450" s="10" t="n">
        <v>8</v>
      </c>
      <c r="R450" s="12" t="str">
        <f aca="false">IF(J450="","",Q450*J450)</f>
        <v/>
      </c>
      <c r="S450" s="11"/>
      <c r="T450" s="12" t="str">
        <f aca="false">IF(OR(R450="",S450=""),"",IFERROR(S450/R450*100,0))</f>
        <v/>
      </c>
      <c r="U450" s="12" t="str">
        <f aca="false">IF(OR(O450="",L450="",M450="",S450="",M450=0),"",IFERROR(O450/(L450*60*S450/(M450*36))*100,0))</f>
        <v/>
      </c>
      <c r="V450" s="11"/>
      <c r="W450" s="12" t="str">
        <f aca="false">IF(O450="","",IFERROR(V450/O450*100,0))</f>
        <v/>
      </c>
      <c r="X450" s="11"/>
      <c r="Y450" s="11"/>
      <c r="Z450" s="11"/>
      <c r="AA450" s="11"/>
      <c r="AB450" s="11"/>
      <c r="AC450" s="11"/>
      <c r="AD450" s="11"/>
      <c r="AE450" s="11"/>
      <c r="AF450" s="12" t="str">
        <f aca="false">IF(O450="","",SUM(X450:AE450))</f>
        <v/>
      </c>
      <c r="AG450" s="12" t="str">
        <f aca="false">IF(O450="","",IFERROR(AF450/O450*1000,0))</f>
        <v/>
      </c>
      <c r="AH450" s="11"/>
      <c r="AI450" s="11"/>
      <c r="AJ450" s="11"/>
      <c r="AK450" s="9"/>
      <c r="AL450" s="9"/>
      <c r="AM450" s="9"/>
    </row>
    <row r="451" customFormat="false" ht="15" hidden="false" customHeight="true" outlineLevel="0" collapsed="false">
      <c r="A451" s="6"/>
      <c r="B451" s="7"/>
      <c r="C451" s="8"/>
      <c r="D451" s="8"/>
      <c r="E451" s="8"/>
      <c r="F451" s="9"/>
      <c r="G451" s="8"/>
      <c r="H451" s="10" t="str">
        <f aca="false">IFERROR(INDEX('Operator Master'!$B$5:$B$504,MATCH(G451,'Operator Master'!$A$5:$A$504,0)),"")</f>
        <v/>
      </c>
      <c r="I451" s="9"/>
      <c r="J451" s="9"/>
      <c r="K451" s="8"/>
      <c r="L451" s="9"/>
      <c r="M451" s="9"/>
      <c r="N451" s="11"/>
      <c r="O451" s="11"/>
      <c r="P451" s="12" t="str">
        <f aca="false">IF(OR(N451="",O451=""),"",IFERROR(O451/N451*100,0))</f>
        <v/>
      </c>
      <c r="Q451" s="10" t="n">
        <v>8</v>
      </c>
      <c r="R451" s="12" t="str">
        <f aca="false">IF(J451="","",Q451*J451)</f>
        <v/>
      </c>
      <c r="S451" s="11"/>
      <c r="T451" s="12" t="str">
        <f aca="false">IF(OR(R451="",S451=""),"",IFERROR(S451/R451*100,0))</f>
        <v/>
      </c>
      <c r="U451" s="12" t="str">
        <f aca="false">IF(OR(O451="",L451="",M451="",S451="",M451=0),"",IFERROR(O451/(L451*60*S451/(M451*36))*100,0))</f>
        <v/>
      </c>
      <c r="V451" s="11"/>
      <c r="W451" s="12" t="str">
        <f aca="false">IF(O451="","",IFERROR(V451/O451*100,0))</f>
        <v/>
      </c>
      <c r="X451" s="11"/>
      <c r="Y451" s="11"/>
      <c r="Z451" s="11"/>
      <c r="AA451" s="11"/>
      <c r="AB451" s="11"/>
      <c r="AC451" s="11"/>
      <c r="AD451" s="11"/>
      <c r="AE451" s="11"/>
      <c r="AF451" s="12" t="str">
        <f aca="false">IF(O451="","",SUM(X451:AE451))</f>
        <v/>
      </c>
      <c r="AG451" s="12" t="str">
        <f aca="false">IF(O451="","",IFERROR(AF451/O451*1000,0))</f>
        <v/>
      </c>
      <c r="AH451" s="11"/>
      <c r="AI451" s="11"/>
      <c r="AJ451" s="11"/>
      <c r="AK451" s="9"/>
      <c r="AL451" s="9"/>
      <c r="AM451" s="9"/>
    </row>
    <row r="452" customFormat="false" ht="15" hidden="false" customHeight="true" outlineLevel="0" collapsed="false">
      <c r="A452" s="6"/>
      <c r="B452" s="7"/>
      <c r="C452" s="8"/>
      <c r="D452" s="8"/>
      <c r="E452" s="8"/>
      <c r="F452" s="9"/>
      <c r="G452" s="8"/>
      <c r="H452" s="10" t="str">
        <f aca="false">IFERROR(INDEX('Operator Master'!$B$5:$B$504,MATCH(G452,'Operator Master'!$A$5:$A$504,0)),"")</f>
        <v/>
      </c>
      <c r="I452" s="9"/>
      <c r="J452" s="9"/>
      <c r="K452" s="8"/>
      <c r="L452" s="9"/>
      <c r="M452" s="9"/>
      <c r="N452" s="11"/>
      <c r="O452" s="11"/>
      <c r="P452" s="12" t="str">
        <f aca="false">IF(OR(N452="",O452=""),"",IFERROR(O452/N452*100,0))</f>
        <v/>
      </c>
      <c r="Q452" s="10" t="n">
        <v>8</v>
      </c>
      <c r="R452" s="12" t="str">
        <f aca="false">IF(J452="","",Q452*J452)</f>
        <v/>
      </c>
      <c r="S452" s="11"/>
      <c r="T452" s="12" t="str">
        <f aca="false">IF(OR(R452="",S452=""),"",IFERROR(S452/R452*100,0))</f>
        <v/>
      </c>
      <c r="U452" s="12" t="str">
        <f aca="false">IF(OR(O452="",L452="",M452="",S452="",M452=0),"",IFERROR(O452/(L452*60*S452/(M452*36))*100,0))</f>
        <v/>
      </c>
      <c r="V452" s="11"/>
      <c r="W452" s="12" t="str">
        <f aca="false">IF(O452="","",IFERROR(V452/O452*100,0))</f>
        <v/>
      </c>
      <c r="X452" s="11"/>
      <c r="Y452" s="11"/>
      <c r="Z452" s="11"/>
      <c r="AA452" s="11"/>
      <c r="AB452" s="11"/>
      <c r="AC452" s="11"/>
      <c r="AD452" s="11"/>
      <c r="AE452" s="11"/>
      <c r="AF452" s="12" t="str">
        <f aca="false">IF(O452="","",SUM(X452:AE452))</f>
        <v/>
      </c>
      <c r="AG452" s="12" t="str">
        <f aca="false">IF(O452="","",IFERROR(AF452/O452*1000,0))</f>
        <v/>
      </c>
      <c r="AH452" s="11"/>
      <c r="AI452" s="11"/>
      <c r="AJ452" s="11"/>
      <c r="AK452" s="9"/>
      <c r="AL452" s="9"/>
      <c r="AM452" s="9"/>
    </row>
    <row r="453" customFormat="false" ht="15" hidden="false" customHeight="true" outlineLevel="0" collapsed="false">
      <c r="A453" s="6"/>
      <c r="B453" s="7"/>
      <c r="C453" s="8"/>
      <c r="D453" s="8"/>
      <c r="E453" s="8"/>
      <c r="F453" s="9"/>
      <c r="G453" s="8"/>
      <c r="H453" s="10" t="str">
        <f aca="false">IFERROR(INDEX('Operator Master'!$B$5:$B$504,MATCH(G453,'Operator Master'!$A$5:$A$504,0)),"")</f>
        <v/>
      </c>
      <c r="I453" s="9"/>
      <c r="J453" s="9"/>
      <c r="K453" s="8"/>
      <c r="L453" s="9"/>
      <c r="M453" s="9"/>
      <c r="N453" s="11"/>
      <c r="O453" s="11"/>
      <c r="P453" s="12" t="str">
        <f aca="false">IF(OR(N453="",O453=""),"",IFERROR(O453/N453*100,0))</f>
        <v/>
      </c>
      <c r="Q453" s="10" t="n">
        <v>8</v>
      </c>
      <c r="R453" s="12" t="str">
        <f aca="false">IF(J453="","",Q453*J453)</f>
        <v/>
      </c>
      <c r="S453" s="11"/>
      <c r="T453" s="12" t="str">
        <f aca="false">IF(OR(R453="",S453=""),"",IFERROR(S453/R453*100,0))</f>
        <v/>
      </c>
      <c r="U453" s="12" t="str">
        <f aca="false">IF(OR(O453="",L453="",M453="",S453="",M453=0),"",IFERROR(O453/(L453*60*S453/(M453*36))*100,0))</f>
        <v/>
      </c>
      <c r="V453" s="11"/>
      <c r="W453" s="12" t="str">
        <f aca="false">IF(O453="","",IFERROR(V453/O453*100,0))</f>
        <v/>
      </c>
      <c r="X453" s="11"/>
      <c r="Y453" s="11"/>
      <c r="Z453" s="11"/>
      <c r="AA453" s="11"/>
      <c r="AB453" s="11"/>
      <c r="AC453" s="11"/>
      <c r="AD453" s="11"/>
      <c r="AE453" s="11"/>
      <c r="AF453" s="12" t="str">
        <f aca="false">IF(O453="","",SUM(X453:AE453))</f>
        <v/>
      </c>
      <c r="AG453" s="12" t="str">
        <f aca="false">IF(O453="","",IFERROR(AF453/O453*1000,0))</f>
        <v/>
      </c>
      <c r="AH453" s="11"/>
      <c r="AI453" s="11"/>
      <c r="AJ453" s="11"/>
      <c r="AK453" s="9"/>
      <c r="AL453" s="9"/>
      <c r="AM453" s="9"/>
    </row>
    <row r="454" customFormat="false" ht="15" hidden="false" customHeight="true" outlineLevel="0" collapsed="false">
      <c r="A454" s="6"/>
      <c r="B454" s="7"/>
      <c r="C454" s="8"/>
      <c r="D454" s="8"/>
      <c r="E454" s="8"/>
      <c r="F454" s="9"/>
      <c r="G454" s="8"/>
      <c r="H454" s="10" t="str">
        <f aca="false">IFERROR(INDEX('Operator Master'!$B$5:$B$504,MATCH(G454,'Operator Master'!$A$5:$A$504,0)),"")</f>
        <v/>
      </c>
      <c r="I454" s="9"/>
      <c r="J454" s="9"/>
      <c r="K454" s="8"/>
      <c r="L454" s="9"/>
      <c r="M454" s="9"/>
      <c r="N454" s="11"/>
      <c r="O454" s="11"/>
      <c r="P454" s="12" t="str">
        <f aca="false">IF(OR(N454="",O454=""),"",IFERROR(O454/N454*100,0))</f>
        <v/>
      </c>
      <c r="Q454" s="10" t="n">
        <v>8</v>
      </c>
      <c r="R454" s="12" t="str">
        <f aca="false">IF(J454="","",Q454*J454)</f>
        <v/>
      </c>
      <c r="S454" s="11"/>
      <c r="T454" s="12" t="str">
        <f aca="false">IF(OR(R454="",S454=""),"",IFERROR(S454/R454*100,0))</f>
        <v/>
      </c>
      <c r="U454" s="12" t="str">
        <f aca="false">IF(OR(O454="",L454="",M454="",S454="",M454=0),"",IFERROR(O454/(L454*60*S454/(M454*36))*100,0))</f>
        <v/>
      </c>
      <c r="V454" s="11"/>
      <c r="W454" s="12" t="str">
        <f aca="false">IF(O454="","",IFERROR(V454/O454*100,0))</f>
        <v/>
      </c>
      <c r="X454" s="11"/>
      <c r="Y454" s="11"/>
      <c r="Z454" s="11"/>
      <c r="AA454" s="11"/>
      <c r="AB454" s="11"/>
      <c r="AC454" s="11"/>
      <c r="AD454" s="11"/>
      <c r="AE454" s="11"/>
      <c r="AF454" s="12" t="str">
        <f aca="false">IF(O454="","",SUM(X454:AE454))</f>
        <v/>
      </c>
      <c r="AG454" s="12" t="str">
        <f aca="false">IF(O454="","",IFERROR(AF454/O454*1000,0))</f>
        <v/>
      </c>
      <c r="AH454" s="11"/>
      <c r="AI454" s="11"/>
      <c r="AJ454" s="11"/>
      <c r="AK454" s="9"/>
      <c r="AL454" s="9"/>
      <c r="AM454" s="9"/>
    </row>
    <row r="455" customFormat="false" ht="15" hidden="false" customHeight="true" outlineLevel="0" collapsed="false">
      <c r="A455" s="6"/>
      <c r="B455" s="7"/>
      <c r="C455" s="8"/>
      <c r="D455" s="8"/>
      <c r="E455" s="8"/>
      <c r="F455" s="9"/>
      <c r="G455" s="8"/>
      <c r="H455" s="10" t="str">
        <f aca="false">IFERROR(INDEX('Operator Master'!$B$5:$B$504,MATCH(G455,'Operator Master'!$A$5:$A$504,0)),"")</f>
        <v/>
      </c>
      <c r="I455" s="9"/>
      <c r="J455" s="9"/>
      <c r="K455" s="8"/>
      <c r="L455" s="9"/>
      <c r="M455" s="9"/>
      <c r="N455" s="11"/>
      <c r="O455" s="11"/>
      <c r="P455" s="12" t="str">
        <f aca="false">IF(OR(N455="",O455=""),"",IFERROR(O455/N455*100,0))</f>
        <v/>
      </c>
      <c r="Q455" s="10" t="n">
        <v>8</v>
      </c>
      <c r="R455" s="12" t="str">
        <f aca="false">IF(J455="","",Q455*J455)</f>
        <v/>
      </c>
      <c r="S455" s="11"/>
      <c r="T455" s="12" t="str">
        <f aca="false">IF(OR(R455="",S455=""),"",IFERROR(S455/R455*100,0))</f>
        <v/>
      </c>
      <c r="U455" s="12" t="str">
        <f aca="false">IF(OR(O455="",L455="",M455="",S455="",M455=0),"",IFERROR(O455/(L455*60*S455/(M455*36))*100,0))</f>
        <v/>
      </c>
      <c r="V455" s="11"/>
      <c r="W455" s="12" t="str">
        <f aca="false">IF(O455="","",IFERROR(V455/O455*100,0))</f>
        <v/>
      </c>
      <c r="X455" s="11"/>
      <c r="Y455" s="11"/>
      <c r="Z455" s="11"/>
      <c r="AA455" s="11"/>
      <c r="AB455" s="11"/>
      <c r="AC455" s="11"/>
      <c r="AD455" s="11"/>
      <c r="AE455" s="11"/>
      <c r="AF455" s="12" t="str">
        <f aca="false">IF(O455="","",SUM(X455:AE455))</f>
        <v/>
      </c>
      <c r="AG455" s="12" t="str">
        <f aca="false">IF(O455="","",IFERROR(AF455/O455*1000,0))</f>
        <v/>
      </c>
      <c r="AH455" s="11"/>
      <c r="AI455" s="11"/>
      <c r="AJ455" s="11"/>
      <c r="AK455" s="9"/>
      <c r="AL455" s="9"/>
      <c r="AM455" s="9"/>
    </row>
    <row r="456" customFormat="false" ht="15" hidden="false" customHeight="true" outlineLevel="0" collapsed="false">
      <c r="A456" s="6"/>
      <c r="B456" s="7"/>
      <c r="C456" s="8"/>
      <c r="D456" s="8"/>
      <c r="E456" s="8"/>
      <c r="F456" s="9"/>
      <c r="G456" s="8"/>
      <c r="H456" s="10" t="str">
        <f aca="false">IFERROR(INDEX('Operator Master'!$B$5:$B$504,MATCH(G456,'Operator Master'!$A$5:$A$504,0)),"")</f>
        <v/>
      </c>
      <c r="I456" s="9"/>
      <c r="J456" s="9"/>
      <c r="K456" s="8"/>
      <c r="L456" s="9"/>
      <c r="M456" s="9"/>
      <c r="N456" s="11"/>
      <c r="O456" s="11"/>
      <c r="P456" s="12" t="str">
        <f aca="false">IF(OR(N456="",O456=""),"",IFERROR(O456/N456*100,0))</f>
        <v/>
      </c>
      <c r="Q456" s="10" t="n">
        <v>8</v>
      </c>
      <c r="R456" s="12" t="str">
        <f aca="false">IF(J456="","",Q456*J456)</f>
        <v/>
      </c>
      <c r="S456" s="11"/>
      <c r="T456" s="12" t="str">
        <f aca="false">IF(OR(R456="",S456=""),"",IFERROR(S456/R456*100,0))</f>
        <v/>
      </c>
      <c r="U456" s="12" t="str">
        <f aca="false">IF(OR(O456="",L456="",M456="",S456="",M456=0),"",IFERROR(O456/(L456*60*S456/(M456*36))*100,0))</f>
        <v/>
      </c>
      <c r="V456" s="11"/>
      <c r="W456" s="12" t="str">
        <f aca="false">IF(O456="","",IFERROR(V456/O456*100,0))</f>
        <v/>
      </c>
      <c r="X456" s="11"/>
      <c r="Y456" s="11"/>
      <c r="Z456" s="11"/>
      <c r="AA456" s="11"/>
      <c r="AB456" s="11"/>
      <c r="AC456" s="11"/>
      <c r="AD456" s="11"/>
      <c r="AE456" s="11"/>
      <c r="AF456" s="12" t="str">
        <f aca="false">IF(O456="","",SUM(X456:AE456))</f>
        <v/>
      </c>
      <c r="AG456" s="12" t="str">
        <f aca="false">IF(O456="","",IFERROR(AF456/O456*1000,0))</f>
        <v/>
      </c>
      <c r="AH456" s="11"/>
      <c r="AI456" s="11"/>
      <c r="AJ456" s="11"/>
      <c r="AK456" s="9"/>
      <c r="AL456" s="9"/>
      <c r="AM456" s="9"/>
    </row>
    <row r="457" customFormat="false" ht="15" hidden="false" customHeight="true" outlineLevel="0" collapsed="false">
      <c r="A457" s="6"/>
      <c r="B457" s="7"/>
      <c r="C457" s="8"/>
      <c r="D457" s="8"/>
      <c r="E457" s="8"/>
      <c r="F457" s="9"/>
      <c r="G457" s="8"/>
      <c r="H457" s="10" t="str">
        <f aca="false">IFERROR(INDEX('Operator Master'!$B$5:$B$504,MATCH(G457,'Operator Master'!$A$5:$A$504,0)),"")</f>
        <v/>
      </c>
      <c r="I457" s="9"/>
      <c r="J457" s="9"/>
      <c r="K457" s="8"/>
      <c r="L457" s="9"/>
      <c r="M457" s="9"/>
      <c r="N457" s="11"/>
      <c r="O457" s="11"/>
      <c r="P457" s="12" t="str">
        <f aca="false">IF(OR(N457="",O457=""),"",IFERROR(O457/N457*100,0))</f>
        <v/>
      </c>
      <c r="Q457" s="10" t="n">
        <v>8</v>
      </c>
      <c r="R457" s="12" t="str">
        <f aca="false">IF(J457="","",Q457*J457)</f>
        <v/>
      </c>
      <c r="S457" s="11"/>
      <c r="T457" s="12" t="str">
        <f aca="false">IF(OR(R457="",S457=""),"",IFERROR(S457/R457*100,0))</f>
        <v/>
      </c>
      <c r="U457" s="12" t="str">
        <f aca="false">IF(OR(O457="",L457="",M457="",S457="",M457=0),"",IFERROR(O457/(L457*60*S457/(M457*36))*100,0))</f>
        <v/>
      </c>
      <c r="V457" s="11"/>
      <c r="W457" s="12" t="str">
        <f aca="false">IF(O457="","",IFERROR(V457/O457*100,0))</f>
        <v/>
      </c>
      <c r="X457" s="11"/>
      <c r="Y457" s="11"/>
      <c r="Z457" s="11"/>
      <c r="AA457" s="11"/>
      <c r="AB457" s="11"/>
      <c r="AC457" s="11"/>
      <c r="AD457" s="11"/>
      <c r="AE457" s="11"/>
      <c r="AF457" s="12" t="str">
        <f aca="false">IF(O457="","",SUM(X457:AE457))</f>
        <v/>
      </c>
      <c r="AG457" s="12" t="str">
        <f aca="false">IF(O457="","",IFERROR(AF457/O457*1000,0))</f>
        <v/>
      </c>
      <c r="AH457" s="11"/>
      <c r="AI457" s="11"/>
      <c r="AJ457" s="11"/>
      <c r="AK457" s="9"/>
      <c r="AL457" s="9"/>
      <c r="AM457" s="9"/>
    </row>
    <row r="458" customFormat="false" ht="15" hidden="false" customHeight="true" outlineLevel="0" collapsed="false">
      <c r="A458" s="6"/>
      <c r="B458" s="7"/>
      <c r="C458" s="8"/>
      <c r="D458" s="8"/>
      <c r="E458" s="8"/>
      <c r="F458" s="9"/>
      <c r="G458" s="8"/>
      <c r="H458" s="10" t="str">
        <f aca="false">IFERROR(INDEX('Operator Master'!$B$5:$B$504,MATCH(G458,'Operator Master'!$A$5:$A$504,0)),"")</f>
        <v/>
      </c>
      <c r="I458" s="9"/>
      <c r="J458" s="9"/>
      <c r="K458" s="8"/>
      <c r="L458" s="9"/>
      <c r="M458" s="9"/>
      <c r="N458" s="11"/>
      <c r="O458" s="11"/>
      <c r="P458" s="12" t="str">
        <f aca="false">IF(OR(N458="",O458=""),"",IFERROR(O458/N458*100,0))</f>
        <v/>
      </c>
      <c r="Q458" s="10" t="n">
        <v>8</v>
      </c>
      <c r="R458" s="12" t="str">
        <f aca="false">IF(J458="","",Q458*J458)</f>
        <v/>
      </c>
      <c r="S458" s="11"/>
      <c r="T458" s="12" t="str">
        <f aca="false">IF(OR(R458="",S458=""),"",IFERROR(S458/R458*100,0))</f>
        <v/>
      </c>
      <c r="U458" s="12" t="str">
        <f aca="false">IF(OR(O458="",L458="",M458="",S458="",M458=0),"",IFERROR(O458/(L458*60*S458/(M458*36))*100,0))</f>
        <v/>
      </c>
      <c r="V458" s="11"/>
      <c r="W458" s="12" t="str">
        <f aca="false">IF(O458="","",IFERROR(V458/O458*100,0))</f>
        <v/>
      </c>
      <c r="X458" s="11"/>
      <c r="Y458" s="11"/>
      <c r="Z458" s="11"/>
      <c r="AA458" s="11"/>
      <c r="AB458" s="11"/>
      <c r="AC458" s="11"/>
      <c r="AD458" s="11"/>
      <c r="AE458" s="11"/>
      <c r="AF458" s="12" t="str">
        <f aca="false">IF(O458="","",SUM(X458:AE458))</f>
        <v/>
      </c>
      <c r="AG458" s="12" t="str">
        <f aca="false">IF(O458="","",IFERROR(AF458/O458*1000,0))</f>
        <v/>
      </c>
      <c r="AH458" s="11"/>
      <c r="AI458" s="11"/>
      <c r="AJ458" s="11"/>
      <c r="AK458" s="9"/>
      <c r="AL458" s="9"/>
      <c r="AM458" s="9"/>
    </row>
    <row r="459" customFormat="false" ht="15" hidden="false" customHeight="true" outlineLevel="0" collapsed="false">
      <c r="A459" s="6"/>
      <c r="B459" s="7"/>
      <c r="C459" s="8"/>
      <c r="D459" s="8"/>
      <c r="E459" s="8"/>
      <c r="F459" s="9"/>
      <c r="G459" s="8"/>
      <c r="H459" s="10" t="str">
        <f aca="false">IFERROR(INDEX('Operator Master'!$B$5:$B$504,MATCH(G459,'Operator Master'!$A$5:$A$504,0)),"")</f>
        <v/>
      </c>
      <c r="I459" s="9"/>
      <c r="J459" s="9"/>
      <c r="K459" s="8"/>
      <c r="L459" s="9"/>
      <c r="M459" s="9"/>
      <c r="N459" s="11"/>
      <c r="O459" s="11"/>
      <c r="P459" s="12" t="str">
        <f aca="false">IF(OR(N459="",O459=""),"",IFERROR(O459/N459*100,0))</f>
        <v/>
      </c>
      <c r="Q459" s="10" t="n">
        <v>8</v>
      </c>
      <c r="R459" s="12" t="str">
        <f aca="false">IF(J459="","",Q459*J459)</f>
        <v/>
      </c>
      <c r="S459" s="11"/>
      <c r="T459" s="12" t="str">
        <f aca="false">IF(OR(R459="",S459=""),"",IFERROR(S459/R459*100,0))</f>
        <v/>
      </c>
      <c r="U459" s="12" t="str">
        <f aca="false">IF(OR(O459="",L459="",M459="",S459="",M459=0),"",IFERROR(O459/(L459*60*S459/(M459*36))*100,0))</f>
        <v/>
      </c>
      <c r="V459" s="11"/>
      <c r="W459" s="12" t="str">
        <f aca="false">IF(O459="","",IFERROR(V459/O459*100,0))</f>
        <v/>
      </c>
      <c r="X459" s="11"/>
      <c r="Y459" s="11"/>
      <c r="Z459" s="11"/>
      <c r="AA459" s="11"/>
      <c r="AB459" s="11"/>
      <c r="AC459" s="11"/>
      <c r="AD459" s="11"/>
      <c r="AE459" s="11"/>
      <c r="AF459" s="12" t="str">
        <f aca="false">IF(O459="","",SUM(X459:AE459))</f>
        <v/>
      </c>
      <c r="AG459" s="12" t="str">
        <f aca="false">IF(O459="","",IFERROR(AF459/O459*1000,0))</f>
        <v/>
      </c>
      <c r="AH459" s="11"/>
      <c r="AI459" s="11"/>
      <c r="AJ459" s="11"/>
      <c r="AK459" s="9"/>
      <c r="AL459" s="9"/>
      <c r="AM459" s="9"/>
    </row>
    <row r="460" customFormat="false" ht="15" hidden="false" customHeight="true" outlineLevel="0" collapsed="false">
      <c r="A460" s="6"/>
      <c r="B460" s="7"/>
      <c r="C460" s="8"/>
      <c r="D460" s="8"/>
      <c r="E460" s="8"/>
      <c r="F460" s="9"/>
      <c r="G460" s="8"/>
      <c r="H460" s="10" t="str">
        <f aca="false">IFERROR(INDEX('Operator Master'!$B$5:$B$504,MATCH(G460,'Operator Master'!$A$5:$A$504,0)),"")</f>
        <v/>
      </c>
      <c r="I460" s="9"/>
      <c r="J460" s="9"/>
      <c r="K460" s="8"/>
      <c r="L460" s="9"/>
      <c r="M460" s="9"/>
      <c r="N460" s="11"/>
      <c r="O460" s="11"/>
      <c r="P460" s="12" t="str">
        <f aca="false">IF(OR(N460="",O460=""),"",IFERROR(O460/N460*100,0))</f>
        <v/>
      </c>
      <c r="Q460" s="10" t="n">
        <v>8</v>
      </c>
      <c r="R460" s="12" t="str">
        <f aca="false">IF(J460="","",Q460*J460)</f>
        <v/>
      </c>
      <c r="S460" s="11"/>
      <c r="T460" s="12" t="str">
        <f aca="false">IF(OR(R460="",S460=""),"",IFERROR(S460/R460*100,0))</f>
        <v/>
      </c>
      <c r="U460" s="12" t="str">
        <f aca="false">IF(OR(O460="",L460="",M460="",S460="",M460=0),"",IFERROR(O460/(L460*60*S460/(M460*36))*100,0))</f>
        <v/>
      </c>
      <c r="V460" s="11"/>
      <c r="W460" s="12" t="str">
        <f aca="false">IF(O460="","",IFERROR(V460/O460*100,0))</f>
        <v/>
      </c>
      <c r="X460" s="11"/>
      <c r="Y460" s="11"/>
      <c r="Z460" s="11"/>
      <c r="AA460" s="11"/>
      <c r="AB460" s="11"/>
      <c r="AC460" s="11"/>
      <c r="AD460" s="11"/>
      <c r="AE460" s="11"/>
      <c r="AF460" s="12" t="str">
        <f aca="false">IF(O460="","",SUM(X460:AE460))</f>
        <v/>
      </c>
      <c r="AG460" s="12" t="str">
        <f aca="false">IF(O460="","",IFERROR(AF460/O460*1000,0))</f>
        <v/>
      </c>
      <c r="AH460" s="11"/>
      <c r="AI460" s="11"/>
      <c r="AJ460" s="11"/>
      <c r="AK460" s="9"/>
      <c r="AL460" s="9"/>
      <c r="AM460" s="9"/>
    </row>
    <row r="461" customFormat="false" ht="15" hidden="false" customHeight="true" outlineLevel="0" collapsed="false">
      <c r="A461" s="6"/>
      <c r="B461" s="7"/>
      <c r="C461" s="8"/>
      <c r="D461" s="8"/>
      <c r="E461" s="8"/>
      <c r="F461" s="9"/>
      <c r="G461" s="8"/>
      <c r="H461" s="10" t="str">
        <f aca="false">IFERROR(INDEX('Operator Master'!$B$5:$B$504,MATCH(G461,'Operator Master'!$A$5:$A$504,0)),"")</f>
        <v/>
      </c>
      <c r="I461" s="9"/>
      <c r="J461" s="9"/>
      <c r="K461" s="8"/>
      <c r="L461" s="9"/>
      <c r="M461" s="9"/>
      <c r="N461" s="11"/>
      <c r="O461" s="11"/>
      <c r="P461" s="12" t="str">
        <f aca="false">IF(OR(N461="",O461=""),"",IFERROR(O461/N461*100,0))</f>
        <v/>
      </c>
      <c r="Q461" s="10" t="n">
        <v>8</v>
      </c>
      <c r="R461" s="12" t="str">
        <f aca="false">IF(J461="","",Q461*J461)</f>
        <v/>
      </c>
      <c r="S461" s="11"/>
      <c r="T461" s="12" t="str">
        <f aca="false">IF(OR(R461="",S461=""),"",IFERROR(S461/R461*100,0))</f>
        <v/>
      </c>
      <c r="U461" s="12" t="str">
        <f aca="false">IF(OR(O461="",L461="",M461="",S461="",M461=0),"",IFERROR(O461/(L461*60*S461/(M461*36))*100,0))</f>
        <v/>
      </c>
      <c r="V461" s="11"/>
      <c r="W461" s="12" t="str">
        <f aca="false">IF(O461="","",IFERROR(V461/O461*100,0))</f>
        <v/>
      </c>
      <c r="X461" s="11"/>
      <c r="Y461" s="11"/>
      <c r="Z461" s="11"/>
      <c r="AA461" s="11"/>
      <c r="AB461" s="11"/>
      <c r="AC461" s="11"/>
      <c r="AD461" s="11"/>
      <c r="AE461" s="11"/>
      <c r="AF461" s="12" t="str">
        <f aca="false">IF(O461="","",SUM(X461:AE461))</f>
        <v/>
      </c>
      <c r="AG461" s="12" t="str">
        <f aca="false">IF(O461="","",IFERROR(AF461/O461*1000,0))</f>
        <v/>
      </c>
      <c r="AH461" s="11"/>
      <c r="AI461" s="11"/>
      <c r="AJ461" s="11"/>
      <c r="AK461" s="9"/>
      <c r="AL461" s="9"/>
      <c r="AM461" s="9"/>
    </row>
    <row r="462" customFormat="false" ht="15" hidden="false" customHeight="true" outlineLevel="0" collapsed="false">
      <c r="A462" s="6"/>
      <c r="B462" s="7"/>
      <c r="C462" s="8"/>
      <c r="D462" s="8"/>
      <c r="E462" s="8"/>
      <c r="F462" s="9"/>
      <c r="G462" s="8"/>
      <c r="H462" s="10" t="str">
        <f aca="false">IFERROR(INDEX('Operator Master'!$B$5:$B$504,MATCH(G462,'Operator Master'!$A$5:$A$504,0)),"")</f>
        <v/>
      </c>
      <c r="I462" s="9"/>
      <c r="J462" s="9"/>
      <c r="K462" s="8"/>
      <c r="L462" s="9"/>
      <c r="M462" s="9"/>
      <c r="N462" s="11"/>
      <c r="O462" s="11"/>
      <c r="P462" s="12" t="str">
        <f aca="false">IF(OR(N462="",O462=""),"",IFERROR(O462/N462*100,0))</f>
        <v/>
      </c>
      <c r="Q462" s="10" t="n">
        <v>8</v>
      </c>
      <c r="R462" s="12" t="str">
        <f aca="false">IF(J462="","",Q462*J462)</f>
        <v/>
      </c>
      <c r="S462" s="11"/>
      <c r="T462" s="12" t="str">
        <f aca="false">IF(OR(R462="",S462=""),"",IFERROR(S462/R462*100,0))</f>
        <v/>
      </c>
      <c r="U462" s="12" t="str">
        <f aca="false">IF(OR(O462="",L462="",M462="",S462="",M462=0),"",IFERROR(O462/(L462*60*S462/(M462*36))*100,0))</f>
        <v/>
      </c>
      <c r="V462" s="11"/>
      <c r="W462" s="12" t="str">
        <f aca="false">IF(O462="","",IFERROR(V462/O462*100,0))</f>
        <v/>
      </c>
      <c r="X462" s="11"/>
      <c r="Y462" s="11"/>
      <c r="Z462" s="11"/>
      <c r="AA462" s="11"/>
      <c r="AB462" s="11"/>
      <c r="AC462" s="11"/>
      <c r="AD462" s="11"/>
      <c r="AE462" s="11"/>
      <c r="AF462" s="12" t="str">
        <f aca="false">IF(O462="","",SUM(X462:AE462))</f>
        <v/>
      </c>
      <c r="AG462" s="12" t="str">
        <f aca="false">IF(O462="","",IFERROR(AF462/O462*1000,0))</f>
        <v/>
      </c>
      <c r="AH462" s="11"/>
      <c r="AI462" s="11"/>
      <c r="AJ462" s="11"/>
      <c r="AK462" s="9"/>
      <c r="AL462" s="9"/>
      <c r="AM462" s="9"/>
    </row>
    <row r="463" customFormat="false" ht="15" hidden="false" customHeight="true" outlineLevel="0" collapsed="false">
      <c r="A463" s="6"/>
      <c r="B463" s="7"/>
      <c r="C463" s="8"/>
      <c r="D463" s="8"/>
      <c r="E463" s="8"/>
      <c r="F463" s="9"/>
      <c r="G463" s="8"/>
      <c r="H463" s="10" t="str">
        <f aca="false">IFERROR(INDEX('Operator Master'!$B$5:$B$504,MATCH(G463,'Operator Master'!$A$5:$A$504,0)),"")</f>
        <v/>
      </c>
      <c r="I463" s="9"/>
      <c r="J463" s="9"/>
      <c r="K463" s="8"/>
      <c r="L463" s="9"/>
      <c r="M463" s="9"/>
      <c r="N463" s="11"/>
      <c r="O463" s="11"/>
      <c r="P463" s="12" t="str">
        <f aca="false">IF(OR(N463="",O463=""),"",IFERROR(O463/N463*100,0))</f>
        <v/>
      </c>
      <c r="Q463" s="10" t="n">
        <v>8</v>
      </c>
      <c r="R463" s="12" t="str">
        <f aca="false">IF(J463="","",Q463*J463)</f>
        <v/>
      </c>
      <c r="S463" s="11"/>
      <c r="T463" s="12" t="str">
        <f aca="false">IF(OR(R463="",S463=""),"",IFERROR(S463/R463*100,0))</f>
        <v/>
      </c>
      <c r="U463" s="12" t="str">
        <f aca="false">IF(OR(O463="",L463="",M463="",S463="",M463=0),"",IFERROR(O463/(L463*60*S463/(M463*36))*100,0))</f>
        <v/>
      </c>
      <c r="V463" s="11"/>
      <c r="W463" s="12" t="str">
        <f aca="false">IF(O463="","",IFERROR(V463/O463*100,0))</f>
        <v/>
      </c>
      <c r="X463" s="11"/>
      <c r="Y463" s="11"/>
      <c r="Z463" s="11"/>
      <c r="AA463" s="11"/>
      <c r="AB463" s="11"/>
      <c r="AC463" s="11"/>
      <c r="AD463" s="11"/>
      <c r="AE463" s="11"/>
      <c r="AF463" s="12" t="str">
        <f aca="false">IF(O463="","",SUM(X463:AE463))</f>
        <v/>
      </c>
      <c r="AG463" s="12" t="str">
        <f aca="false">IF(O463="","",IFERROR(AF463/O463*1000,0))</f>
        <v/>
      </c>
      <c r="AH463" s="11"/>
      <c r="AI463" s="11"/>
      <c r="AJ463" s="11"/>
      <c r="AK463" s="9"/>
      <c r="AL463" s="9"/>
      <c r="AM463" s="9"/>
    </row>
    <row r="464" customFormat="false" ht="15" hidden="false" customHeight="true" outlineLevel="0" collapsed="false">
      <c r="A464" s="6"/>
      <c r="B464" s="7"/>
      <c r="C464" s="8"/>
      <c r="D464" s="8"/>
      <c r="E464" s="8"/>
      <c r="F464" s="9"/>
      <c r="G464" s="8"/>
      <c r="H464" s="10" t="str">
        <f aca="false">IFERROR(INDEX('Operator Master'!$B$5:$B$504,MATCH(G464,'Operator Master'!$A$5:$A$504,0)),"")</f>
        <v/>
      </c>
      <c r="I464" s="9"/>
      <c r="J464" s="9"/>
      <c r="K464" s="8"/>
      <c r="L464" s="9"/>
      <c r="M464" s="9"/>
      <c r="N464" s="11"/>
      <c r="O464" s="11"/>
      <c r="P464" s="12" t="str">
        <f aca="false">IF(OR(N464="",O464=""),"",IFERROR(O464/N464*100,0))</f>
        <v/>
      </c>
      <c r="Q464" s="10" t="n">
        <v>8</v>
      </c>
      <c r="R464" s="12" t="str">
        <f aca="false">IF(J464="","",Q464*J464)</f>
        <v/>
      </c>
      <c r="S464" s="11"/>
      <c r="T464" s="12" t="str">
        <f aca="false">IF(OR(R464="",S464=""),"",IFERROR(S464/R464*100,0))</f>
        <v/>
      </c>
      <c r="U464" s="12" t="str">
        <f aca="false">IF(OR(O464="",L464="",M464="",S464="",M464=0),"",IFERROR(O464/(L464*60*S464/(M464*36))*100,0))</f>
        <v/>
      </c>
      <c r="V464" s="11"/>
      <c r="W464" s="12" t="str">
        <f aca="false">IF(O464="","",IFERROR(V464/O464*100,0))</f>
        <v/>
      </c>
      <c r="X464" s="11"/>
      <c r="Y464" s="11"/>
      <c r="Z464" s="11"/>
      <c r="AA464" s="11"/>
      <c r="AB464" s="11"/>
      <c r="AC464" s="11"/>
      <c r="AD464" s="11"/>
      <c r="AE464" s="11"/>
      <c r="AF464" s="12" t="str">
        <f aca="false">IF(O464="","",SUM(X464:AE464))</f>
        <v/>
      </c>
      <c r="AG464" s="12" t="str">
        <f aca="false">IF(O464="","",IFERROR(AF464/O464*1000,0))</f>
        <v/>
      </c>
      <c r="AH464" s="11"/>
      <c r="AI464" s="11"/>
      <c r="AJ464" s="11"/>
      <c r="AK464" s="9"/>
      <c r="AL464" s="9"/>
      <c r="AM464" s="9"/>
    </row>
    <row r="465" customFormat="false" ht="15" hidden="false" customHeight="true" outlineLevel="0" collapsed="false">
      <c r="A465" s="6"/>
      <c r="B465" s="7"/>
      <c r="C465" s="8"/>
      <c r="D465" s="8"/>
      <c r="E465" s="8"/>
      <c r="F465" s="9"/>
      <c r="G465" s="8"/>
      <c r="H465" s="10" t="str">
        <f aca="false">IFERROR(INDEX('Operator Master'!$B$5:$B$504,MATCH(G465,'Operator Master'!$A$5:$A$504,0)),"")</f>
        <v/>
      </c>
      <c r="I465" s="9"/>
      <c r="J465" s="9"/>
      <c r="K465" s="8"/>
      <c r="L465" s="9"/>
      <c r="M465" s="9"/>
      <c r="N465" s="11"/>
      <c r="O465" s="11"/>
      <c r="P465" s="12" t="str">
        <f aca="false">IF(OR(N465="",O465=""),"",IFERROR(O465/N465*100,0))</f>
        <v/>
      </c>
      <c r="Q465" s="10" t="n">
        <v>8</v>
      </c>
      <c r="R465" s="12" t="str">
        <f aca="false">IF(J465="","",Q465*J465)</f>
        <v/>
      </c>
      <c r="S465" s="11"/>
      <c r="T465" s="12" t="str">
        <f aca="false">IF(OR(R465="",S465=""),"",IFERROR(S465/R465*100,0))</f>
        <v/>
      </c>
      <c r="U465" s="12" t="str">
        <f aca="false">IF(OR(O465="",L465="",M465="",S465="",M465=0),"",IFERROR(O465/(L465*60*S465/(M465*36))*100,0))</f>
        <v/>
      </c>
      <c r="V465" s="11"/>
      <c r="W465" s="12" t="str">
        <f aca="false">IF(O465="","",IFERROR(V465/O465*100,0))</f>
        <v/>
      </c>
      <c r="X465" s="11"/>
      <c r="Y465" s="11"/>
      <c r="Z465" s="11"/>
      <c r="AA465" s="11"/>
      <c r="AB465" s="11"/>
      <c r="AC465" s="11"/>
      <c r="AD465" s="11"/>
      <c r="AE465" s="11"/>
      <c r="AF465" s="12" t="str">
        <f aca="false">IF(O465="","",SUM(X465:AE465))</f>
        <v/>
      </c>
      <c r="AG465" s="12" t="str">
        <f aca="false">IF(O465="","",IFERROR(AF465/O465*1000,0))</f>
        <v/>
      </c>
      <c r="AH465" s="11"/>
      <c r="AI465" s="11"/>
      <c r="AJ465" s="11"/>
      <c r="AK465" s="9"/>
      <c r="AL465" s="9"/>
      <c r="AM465" s="9"/>
    </row>
    <row r="466" customFormat="false" ht="15" hidden="false" customHeight="true" outlineLevel="0" collapsed="false">
      <c r="A466" s="6"/>
      <c r="B466" s="7"/>
      <c r="C466" s="8"/>
      <c r="D466" s="8"/>
      <c r="E466" s="8"/>
      <c r="F466" s="9"/>
      <c r="G466" s="8"/>
      <c r="H466" s="10" t="str">
        <f aca="false">IFERROR(INDEX('Operator Master'!$B$5:$B$504,MATCH(G466,'Operator Master'!$A$5:$A$504,0)),"")</f>
        <v/>
      </c>
      <c r="I466" s="9"/>
      <c r="J466" s="9"/>
      <c r="K466" s="8"/>
      <c r="L466" s="9"/>
      <c r="M466" s="9"/>
      <c r="N466" s="11"/>
      <c r="O466" s="11"/>
      <c r="P466" s="12" t="str">
        <f aca="false">IF(OR(N466="",O466=""),"",IFERROR(O466/N466*100,0))</f>
        <v/>
      </c>
      <c r="Q466" s="10" t="n">
        <v>8</v>
      </c>
      <c r="R466" s="12" t="str">
        <f aca="false">IF(J466="","",Q466*J466)</f>
        <v/>
      </c>
      <c r="S466" s="11"/>
      <c r="T466" s="12" t="str">
        <f aca="false">IF(OR(R466="",S466=""),"",IFERROR(S466/R466*100,0))</f>
        <v/>
      </c>
      <c r="U466" s="12" t="str">
        <f aca="false">IF(OR(O466="",L466="",M466="",S466="",M466=0),"",IFERROR(O466/(L466*60*S466/(M466*36))*100,0))</f>
        <v/>
      </c>
      <c r="V466" s="11"/>
      <c r="W466" s="12" t="str">
        <f aca="false">IF(O466="","",IFERROR(V466/O466*100,0))</f>
        <v/>
      </c>
      <c r="X466" s="11"/>
      <c r="Y466" s="11"/>
      <c r="Z466" s="11"/>
      <c r="AA466" s="11"/>
      <c r="AB466" s="11"/>
      <c r="AC466" s="11"/>
      <c r="AD466" s="11"/>
      <c r="AE466" s="11"/>
      <c r="AF466" s="12" t="str">
        <f aca="false">IF(O466="","",SUM(X466:AE466))</f>
        <v/>
      </c>
      <c r="AG466" s="12" t="str">
        <f aca="false">IF(O466="","",IFERROR(AF466/O466*1000,0))</f>
        <v/>
      </c>
      <c r="AH466" s="11"/>
      <c r="AI466" s="11"/>
      <c r="AJ466" s="11"/>
      <c r="AK466" s="9"/>
      <c r="AL466" s="9"/>
      <c r="AM466" s="9"/>
    </row>
    <row r="467" customFormat="false" ht="15" hidden="false" customHeight="true" outlineLevel="0" collapsed="false">
      <c r="A467" s="6"/>
      <c r="B467" s="7"/>
      <c r="C467" s="8"/>
      <c r="D467" s="8"/>
      <c r="E467" s="8"/>
      <c r="F467" s="9"/>
      <c r="G467" s="8"/>
      <c r="H467" s="10" t="str">
        <f aca="false">IFERROR(INDEX('Operator Master'!$B$5:$B$504,MATCH(G467,'Operator Master'!$A$5:$A$504,0)),"")</f>
        <v/>
      </c>
      <c r="I467" s="9"/>
      <c r="J467" s="9"/>
      <c r="K467" s="8"/>
      <c r="L467" s="9"/>
      <c r="M467" s="9"/>
      <c r="N467" s="11"/>
      <c r="O467" s="11"/>
      <c r="P467" s="12" t="str">
        <f aca="false">IF(OR(N467="",O467=""),"",IFERROR(O467/N467*100,0))</f>
        <v/>
      </c>
      <c r="Q467" s="10" t="n">
        <v>8</v>
      </c>
      <c r="R467" s="12" t="str">
        <f aca="false">IF(J467="","",Q467*J467)</f>
        <v/>
      </c>
      <c r="S467" s="11"/>
      <c r="T467" s="12" t="str">
        <f aca="false">IF(OR(R467="",S467=""),"",IFERROR(S467/R467*100,0))</f>
        <v/>
      </c>
      <c r="U467" s="12" t="str">
        <f aca="false">IF(OR(O467="",L467="",M467="",S467="",M467=0),"",IFERROR(O467/(L467*60*S467/(M467*36))*100,0))</f>
        <v/>
      </c>
      <c r="V467" s="11"/>
      <c r="W467" s="12" t="str">
        <f aca="false">IF(O467="","",IFERROR(V467/O467*100,0))</f>
        <v/>
      </c>
      <c r="X467" s="11"/>
      <c r="Y467" s="11"/>
      <c r="Z467" s="11"/>
      <c r="AA467" s="11"/>
      <c r="AB467" s="11"/>
      <c r="AC467" s="11"/>
      <c r="AD467" s="11"/>
      <c r="AE467" s="11"/>
      <c r="AF467" s="12" t="str">
        <f aca="false">IF(O467="","",SUM(X467:AE467))</f>
        <v/>
      </c>
      <c r="AG467" s="12" t="str">
        <f aca="false">IF(O467="","",IFERROR(AF467/O467*1000,0))</f>
        <v/>
      </c>
      <c r="AH467" s="11"/>
      <c r="AI467" s="11"/>
      <c r="AJ467" s="11"/>
      <c r="AK467" s="9"/>
      <c r="AL467" s="9"/>
      <c r="AM467" s="9"/>
    </row>
    <row r="468" customFormat="false" ht="15" hidden="false" customHeight="true" outlineLevel="0" collapsed="false">
      <c r="A468" s="6"/>
      <c r="B468" s="7"/>
      <c r="C468" s="8"/>
      <c r="D468" s="8"/>
      <c r="E468" s="8"/>
      <c r="F468" s="9"/>
      <c r="G468" s="8"/>
      <c r="H468" s="10" t="str">
        <f aca="false">IFERROR(INDEX('Operator Master'!$B$5:$B$504,MATCH(G468,'Operator Master'!$A$5:$A$504,0)),"")</f>
        <v/>
      </c>
      <c r="I468" s="9"/>
      <c r="J468" s="9"/>
      <c r="K468" s="8"/>
      <c r="L468" s="9"/>
      <c r="M468" s="9"/>
      <c r="N468" s="11"/>
      <c r="O468" s="11"/>
      <c r="P468" s="12" t="str">
        <f aca="false">IF(OR(N468="",O468=""),"",IFERROR(O468/N468*100,0))</f>
        <v/>
      </c>
      <c r="Q468" s="10" t="n">
        <v>8</v>
      </c>
      <c r="R468" s="12" t="str">
        <f aca="false">IF(J468="","",Q468*J468)</f>
        <v/>
      </c>
      <c r="S468" s="11"/>
      <c r="T468" s="12" t="str">
        <f aca="false">IF(OR(R468="",S468=""),"",IFERROR(S468/R468*100,0))</f>
        <v/>
      </c>
      <c r="U468" s="12" t="str">
        <f aca="false">IF(OR(O468="",L468="",M468="",S468="",M468=0),"",IFERROR(O468/(L468*60*S468/(M468*36))*100,0))</f>
        <v/>
      </c>
      <c r="V468" s="11"/>
      <c r="W468" s="12" t="str">
        <f aca="false">IF(O468="","",IFERROR(V468/O468*100,0))</f>
        <v/>
      </c>
      <c r="X468" s="11"/>
      <c r="Y468" s="11"/>
      <c r="Z468" s="11"/>
      <c r="AA468" s="11"/>
      <c r="AB468" s="11"/>
      <c r="AC468" s="11"/>
      <c r="AD468" s="11"/>
      <c r="AE468" s="11"/>
      <c r="AF468" s="12" t="str">
        <f aca="false">IF(O468="","",SUM(X468:AE468))</f>
        <v/>
      </c>
      <c r="AG468" s="12" t="str">
        <f aca="false">IF(O468="","",IFERROR(AF468/O468*1000,0))</f>
        <v/>
      </c>
      <c r="AH468" s="11"/>
      <c r="AI468" s="11"/>
      <c r="AJ468" s="11"/>
      <c r="AK468" s="9"/>
      <c r="AL468" s="9"/>
      <c r="AM468" s="9"/>
    </row>
    <row r="469" customFormat="false" ht="15" hidden="false" customHeight="true" outlineLevel="0" collapsed="false">
      <c r="A469" s="6"/>
      <c r="B469" s="7"/>
      <c r="C469" s="8"/>
      <c r="D469" s="8"/>
      <c r="E469" s="8"/>
      <c r="F469" s="9"/>
      <c r="G469" s="8"/>
      <c r="H469" s="10" t="str">
        <f aca="false">IFERROR(INDEX('Operator Master'!$B$5:$B$504,MATCH(G469,'Operator Master'!$A$5:$A$504,0)),"")</f>
        <v/>
      </c>
      <c r="I469" s="9"/>
      <c r="J469" s="9"/>
      <c r="K469" s="8"/>
      <c r="L469" s="9"/>
      <c r="M469" s="9"/>
      <c r="N469" s="11"/>
      <c r="O469" s="11"/>
      <c r="P469" s="12" t="str">
        <f aca="false">IF(OR(N469="",O469=""),"",IFERROR(O469/N469*100,0))</f>
        <v/>
      </c>
      <c r="Q469" s="10" t="n">
        <v>8</v>
      </c>
      <c r="R469" s="12" t="str">
        <f aca="false">IF(J469="","",Q469*J469)</f>
        <v/>
      </c>
      <c r="S469" s="11"/>
      <c r="T469" s="12" t="str">
        <f aca="false">IF(OR(R469="",S469=""),"",IFERROR(S469/R469*100,0))</f>
        <v/>
      </c>
      <c r="U469" s="12" t="str">
        <f aca="false">IF(OR(O469="",L469="",M469="",S469="",M469=0),"",IFERROR(O469/(L469*60*S469/(M469*36))*100,0))</f>
        <v/>
      </c>
      <c r="V469" s="11"/>
      <c r="W469" s="12" t="str">
        <f aca="false">IF(O469="","",IFERROR(V469/O469*100,0))</f>
        <v/>
      </c>
      <c r="X469" s="11"/>
      <c r="Y469" s="11"/>
      <c r="Z469" s="11"/>
      <c r="AA469" s="11"/>
      <c r="AB469" s="11"/>
      <c r="AC469" s="11"/>
      <c r="AD469" s="11"/>
      <c r="AE469" s="11"/>
      <c r="AF469" s="12" t="str">
        <f aca="false">IF(O469="","",SUM(X469:AE469))</f>
        <v/>
      </c>
      <c r="AG469" s="12" t="str">
        <f aca="false">IF(O469="","",IFERROR(AF469/O469*1000,0))</f>
        <v/>
      </c>
      <c r="AH469" s="11"/>
      <c r="AI469" s="11"/>
      <c r="AJ469" s="11"/>
      <c r="AK469" s="9"/>
      <c r="AL469" s="9"/>
      <c r="AM469" s="9"/>
    </row>
    <row r="470" customFormat="false" ht="15" hidden="false" customHeight="true" outlineLevel="0" collapsed="false">
      <c r="A470" s="6"/>
      <c r="B470" s="7"/>
      <c r="C470" s="8"/>
      <c r="D470" s="8"/>
      <c r="E470" s="8"/>
      <c r="F470" s="9"/>
      <c r="G470" s="8"/>
      <c r="H470" s="10" t="str">
        <f aca="false">IFERROR(INDEX('Operator Master'!$B$5:$B$504,MATCH(G470,'Operator Master'!$A$5:$A$504,0)),"")</f>
        <v/>
      </c>
      <c r="I470" s="9"/>
      <c r="J470" s="9"/>
      <c r="K470" s="8"/>
      <c r="L470" s="9"/>
      <c r="M470" s="9"/>
      <c r="N470" s="11"/>
      <c r="O470" s="11"/>
      <c r="P470" s="12" t="str">
        <f aca="false">IF(OR(N470="",O470=""),"",IFERROR(O470/N470*100,0))</f>
        <v/>
      </c>
      <c r="Q470" s="10" t="n">
        <v>8</v>
      </c>
      <c r="R470" s="12" t="str">
        <f aca="false">IF(J470="","",Q470*J470)</f>
        <v/>
      </c>
      <c r="S470" s="11"/>
      <c r="T470" s="12" t="str">
        <f aca="false">IF(OR(R470="",S470=""),"",IFERROR(S470/R470*100,0))</f>
        <v/>
      </c>
      <c r="U470" s="12" t="str">
        <f aca="false">IF(OR(O470="",L470="",M470="",S470="",M470=0),"",IFERROR(O470/(L470*60*S470/(M470*36))*100,0))</f>
        <v/>
      </c>
      <c r="V470" s="11"/>
      <c r="W470" s="12" t="str">
        <f aca="false">IF(O470="","",IFERROR(V470/O470*100,0))</f>
        <v/>
      </c>
      <c r="X470" s="11"/>
      <c r="Y470" s="11"/>
      <c r="Z470" s="11"/>
      <c r="AA470" s="11"/>
      <c r="AB470" s="11"/>
      <c r="AC470" s="11"/>
      <c r="AD470" s="11"/>
      <c r="AE470" s="11"/>
      <c r="AF470" s="12" t="str">
        <f aca="false">IF(O470="","",SUM(X470:AE470))</f>
        <v/>
      </c>
      <c r="AG470" s="12" t="str">
        <f aca="false">IF(O470="","",IFERROR(AF470/O470*1000,0))</f>
        <v/>
      </c>
      <c r="AH470" s="11"/>
      <c r="AI470" s="11"/>
      <c r="AJ470" s="11"/>
      <c r="AK470" s="9"/>
      <c r="AL470" s="9"/>
      <c r="AM470" s="9"/>
    </row>
    <row r="471" customFormat="false" ht="15" hidden="false" customHeight="true" outlineLevel="0" collapsed="false">
      <c r="A471" s="6"/>
      <c r="B471" s="7"/>
      <c r="C471" s="8"/>
      <c r="D471" s="8"/>
      <c r="E471" s="8"/>
      <c r="F471" s="9"/>
      <c r="G471" s="8"/>
      <c r="H471" s="10" t="str">
        <f aca="false">IFERROR(INDEX('Operator Master'!$B$5:$B$504,MATCH(G471,'Operator Master'!$A$5:$A$504,0)),"")</f>
        <v/>
      </c>
      <c r="I471" s="9"/>
      <c r="J471" s="9"/>
      <c r="K471" s="8"/>
      <c r="L471" s="9"/>
      <c r="M471" s="9"/>
      <c r="N471" s="11"/>
      <c r="O471" s="11"/>
      <c r="P471" s="12" t="str">
        <f aca="false">IF(OR(N471="",O471=""),"",IFERROR(O471/N471*100,0))</f>
        <v/>
      </c>
      <c r="Q471" s="10" t="n">
        <v>8</v>
      </c>
      <c r="R471" s="12" t="str">
        <f aca="false">IF(J471="","",Q471*J471)</f>
        <v/>
      </c>
      <c r="S471" s="11"/>
      <c r="T471" s="12" t="str">
        <f aca="false">IF(OR(R471="",S471=""),"",IFERROR(S471/R471*100,0))</f>
        <v/>
      </c>
      <c r="U471" s="12" t="str">
        <f aca="false">IF(OR(O471="",L471="",M471="",S471="",M471=0),"",IFERROR(O471/(L471*60*S471/(M471*36))*100,0))</f>
        <v/>
      </c>
      <c r="V471" s="11"/>
      <c r="W471" s="12" t="str">
        <f aca="false">IF(O471="","",IFERROR(V471/O471*100,0))</f>
        <v/>
      </c>
      <c r="X471" s="11"/>
      <c r="Y471" s="11"/>
      <c r="Z471" s="11"/>
      <c r="AA471" s="11"/>
      <c r="AB471" s="11"/>
      <c r="AC471" s="11"/>
      <c r="AD471" s="11"/>
      <c r="AE471" s="11"/>
      <c r="AF471" s="12" t="str">
        <f aca="false">IF(O471="","",SUM(X471:AE471))</f>
        <v/>
      </c>
      <c r="AG471" s="12" t="str">
        <f aca="false">IF(O471="","",IFERROR(AF471/O471*1000,0))</f>
        <v/>
      </c>
      <c r="AH471" s="11"/>
      <c r="AI471" s="11"/>
      <c r="AJ471" s="11"/>
      <c r="AK471" s="9"/>
      <c r="AL471" s="9"/>
      <c r="AM471" s="9"/>
    </row>
    <row r="472" customFormat="false" ht="15" hidden="false" customHeight="true" outlineLevel="0" collapsed="false">
      <c r="A472" s="6"/>
      <c r="B472" s="7"/>
      <c r="C472" s="8"/>
      <c r="D472" s="8"/>
      <c r="E472" s="8"/>
      <c r="F472" s="9"/>
      <c r="G472" s="8"/>
      <c r="H472" s="10" t="str">
        <f aca="false">IFERROR(INDEX('Operator Master'!$B$5:$B$504,MATCH(G472,'Operator Master'!$A$5:$A$504,0)),"")</f>
        <v/>
      </c>
      <c r="I472" s="9"/>
      <c r="J472" s="9"/>
      <c r="K472" s="8"/>
      <c r="L472" s="9"/>
      <c r="M472" s="9"/>
      <c r="N472" s="11"/>
      <c r="O472" s="11"/>
      <c r="P472" s="12" t="str">
        <f aca="false">IF(OR(N472="",O472=""),"",IFERROR(O472/N472*100,0))</f>
        <v/>
      </c>
      <c r="Q472" s="10" t="n">
        <v>8</v>
      </c>
      <c r="R472" s="12" t="str">
        <f aca="false">IF(J472="","",Q472*J472)</f>
        <v/>
      </c>
      <c r="S472" s="11"/>
      <c r="T472" s="12" t="str">
        <f aca="false">IF(OR(R472="",S472=""),"",IFERROR(S472/R472*100,0))</f>
        <v/>
      </c>
      <c r="U472" s="12" t="str">
        <f aca="false">IF(OR(O472="",L472="",M472="",S472="",M472=0),"",IFERROR(O472/(L472*60*S472/(M472*36))*100,0))</f>
        <v/>
      </c>
      <c r="V472" s="11"/>
      <c r="W472" s="12" t="str">
        <f aca="false">IF(O472="","",IFERROR(V472/O472*100,0))</f>
        <v/>
      </c>
      <c r="X472" s="11"/>
      <c r="Y472" s="11"/>
      <c r="Z472" s="11"/>
      <c r="AA472" s="11"/>
      <c r="AB472" s="11"/>
      <c r="AC472" s="11"/>
      <c r="AD472" s="11"/>
      <c r="AE472" s="11"/>
      <c r="AF472" s="12" t="str">
        <f aca="false">IF(O472="","",SUM(X472:AE472))</f>
        <v/>
      </c>
      <c r="AG472" s="12" t="str">
        <f aca="false">IF(O472="","",IFERROR(AF472/O472*1000,0))</f>
        <v/>
      </c>
      <c r="AH472" s="11"/>
      <c r="AI472" s="11"/>
      <c r="AJ472" s="11"/>
      <c r="AK472" s="9"/>
      <c r="AL472" s="9"/>
      <c r="AM472" s="9"/>
    </row>
    <row r="473" customFormat="false" ht="15" hidden="false" customHeight="true" outlineLevel="0" collapsed="false">
      <c r="A473" s="6"/>
      <c r="B473" s="7"/>
      <c r="C473" s="8"/>
      <c r="D473" s="8"/>
      <c r="E473" s="8"/>
      <c r="F473" s="9"/>
      <c r="G473" s="8"/>
      <c r="H473" s="10" t="str">
        <f aca="false">IFERROR(INDEX('Operator Master'!$B$5:$B$504,MATCH(G473,'Operator Master'!$A$5:$A$504,0)),"")</f>
        <v/>
      </c>
      <c r="I473" s="9"/>
      <c r="J473" s="9"/>
      <c r="K473" s="8"/>
      <c r="L473" s="9"/>
      <c r="M473" s="9"/>
      <c r="N473" s="11"/>
      <c r="O473" s="11"/>
      <c r="P473" s="12" t="str">
        <f aca="false">IF(OR(N473="",O473=""),"",IFERROR(O473/N473*100,0))</f>
        <v/>
      </c>
      <c r="Q473" s="10" t="n">
        <v>8</v>
      </c>
      <c r="R473" s="12" t="str">
        <f aca="false">IF(J473="","",Q473*J473)</f>
        <v/>
      </c>
      <c r="S473" s="11"/>
      <c r="T473" s="12" t="str">
        <f aca="false">IF(OR(R473="",S473=""),"",IFERROR(S473/R473*100,0))</f>
        <v/>
      </c>
      <c r="U473" s="12" t="str">
        <f aca="false">IF(OR(O473="",L473="",M473="",S473="",M473=0),"",IFERROR(O473/(L473*60*S473/(M473*36))*100,0))</f>
        <v/>
      </c>
      <c r="V473" s="11"/>
      <c r="W473" s="12" t="str">
        <f aca="false">IF(O473="","",IFERROR(V473/O473*100,0))</f>
        <v/>
      </c>
      <c r="X473" s="11"/>
      <c r="Y473" s="11"/>
      <c r="Z473" s="11"/>
      <c r="AA473" s="11"/>
      <c r="AB473" s="11"/>
      <c r="AC473" s="11"/>
      <c r="AD473" s="11"/>
      <c r="AE473" s="11"/>
      <c r="AF473" s="12" t="str">
        <f aca="false">IF(O473="","",SUM(X473:AE473))</f>
        <v/>
      </c>
      <c r="AG473" s="12" t="str">
        <f aca="false">IF(O473="","",IFERROR(AF473/O473*1000,0))</f>
        <v/>
      </c>
      <c r="AH473" s="11"/>
      <c r="AI473" s="11"/>
      <c r="AJ473" s="11"/>
      <c r="AK473" s="9"/>
      <c r="AL473" s="9"/>
      <c r="AM473" s="9"/>
    </row>
    <row r="474" customFormat="false" ht="15" hidden="false" customHeight="true" outlineLevel="0" collapsed="false">
      <c r="A474" s="6"/>
      <c r="B474" s="7"/>
      <c r="C474" s="8"/>
      <c r="D474" s="8"/>
      <c r="E474" s="8"/>
      <c r="F474" s="9"/>
      <c r="G474" s="8"/>
      <c r="H474" s="10" t="str">
        <f aca="false">IFERROR(INDEX('Operator Master'!$B$5:$B$504,MATCH(G474,'Operator Master'!$A$5:$A$504,0)),"")</f>
        <v/>
      </c>
      <c r="I474" s="9"/>
      <c r="J474" s="9"/>
      <c r="K474" s="8"/>
      <c r="L474" s="9"/>
      <c r="M474" s="9"/>
      <c r="N474" s="11"/>
      <c r="O474" s="11"/>
      <c r="P474" s="12" t="str">
        <f aca="false">IF(OR(N474="",O474=""),"",IFERROR(O474/N474*100,0))</f>
        <v/>
      </c>
      <c r="Q474" s="10" t="n">
        <v>8</v>
      </c>
      <c r="R474" s="12" t="str">
        <f aca="false">IF(J474="","",Q474*J474)</f>
        <v/>
      </c>
      <c r="S474" s="11"/>
      <c r="T474" s="12" t="str">
        <f aca="false">IF(OR(R474="",S474=""),"",IFERROR(S474/R474*100,0))</f>
        <v/>
      </c>
      <c r="U474" s="12" t="str">
        <f aca="false">IF(OR(O474="",L474="",M474="",S474="",M474=0),"",IFERROR(O474/(L474*60*S474/(M474*36))*100,0))</f>
        <v/>
      </c>
      <c r="V474" s="11"/>
      <c r="W474" s="12" t="str">
        <f aca="false">IF(O474="","",IFERROR(V474/O474*100,0))</f>
        <v/>
      </c>
      <c r="X474" s="11"/>
      <c r="Y474" s="11"/>
      <c r="Z474" s="11"/>
      <c r="AA474" s="11"/>
      <c r="AB474" s="11"/>
      <c r="AC474" s="11"/>
      <c r="AD474" s="11"/>
      <c r="AE474" s="11"/>
      <c r="AF474" s="12" t="str">
        <f aca="false">IF(O474="","",SUM(X474:AE474))</f>
        <v/>
      </c>
      <c r="AG474" s="12" t="str">
        <f aca="false">IF(O474="","",IFERROR(AF474/O474*1000,0))</f>
        <v/>
      </c>
      <c r="AH474" s="11"/>
      <c r="AI474" s="11"/>
      <c r="AJ474" s="11"/>
      <c r="AK474" s="9"/>
      <c r="AL474" s="9"/>
      <c r="AM474" s="9"/>
    </row>
    <row r="475" customFormat="false" ht="15" hidden="false" customHeight="true" outlineLevel="0" collapsed="false">
      <c r="A475" s="6"/>
      <c r="B475" s="7"/>
      <c r="C475" s="8"/>
      <c r="D475" s="8"/>
      <c r="E475" s="8"/>
      <c r="F475" s="9"/>
      <c r="G475" s="8"/>
      <c r="H475" s="10" t="str">
        <f aca="false">IFERROR(INDEX('Operator Master'!$B$5:$B$504,MATCH(G475,'Operator Master'!$A$5:$A$504,0)),"")</f>
        <v/>
      </c>
      <c r="I475" s="9"/>
      <c r="J475" s="9"/>
      <c r="K475" s="8"/>
      <c r="L475" s="9"/>
      <c r="M475" s="9"/>
      <c r="N475" s="11"/>
      <c r="O475" s="11"/>
      <c r="P475" s="12" t="str">
        <f aca="false">IF(OR(N475="",O475=""),"",IFERROR(O475/N475*100,0))</f>
        <v/>
      </c>
      <c r="Q475" s="10" t="n">
        <v>8</v>
      </c>
      <c r="R475" s="12" t="str">
        <f aca="false">IF(J475="","",Q475*J475)</f>
        <v/>
      </c>
      <c r="S475" s="11"/>
      <c r="T475" s="12" t="str">
        <f aca="false">IF(OR(R475="",S475=""),"",IFERROR(S475/R475*100,0))</f>
        <v/>
      </c>
      <c r="U475" s="12" t="str">
        <f aca="false">IF(OR(O475="",L475="",M475="",S475="",M475=0),"",IFERROR(O475/(L475*60*S475/(M475*36))*100,0))</f>
        <v/>
      </c>
      <c r="V475" s="11"/>
      <c r="W475" s="12" t="str">
        <f aca="false">IF(O475="","",IFERROR(V475/O475*100,0))</f>
        <v/>
      </c>
      <c r="X475" s="11"/>
      <c r="Y475" s="11"/>
      <c r="Z475" s="11"/>
      <c r="AA475" s="11"/>
      <c r="AB475" s="11"/>
      <c r="AC475" s="11"/>
      <c r="AD475" s="11"/>
      <c r="AE475" s="11"/>
      <c r="AF475" s="12" t="str">
        <f aca="false">IF(O475="","",SUM(X475:AE475))</f>
        <v/>
      </c>
      <c r="AG475" s="12" t="str">
        <f aca="false">IF(O475="","",IFERROR(AF475/O475*1000,0))</f>
        <v/>
      </c>
      <c r="AH475" s="11"/>
      <c r="AI475" s="11"/>
      <c r="AJ475" s="11"/>
      <c r="AK475" s="9"/>
      <c r="AL475" s="9"/>
      <c r="AM475" s="9"/>
    </row>
    <row r="476" customFormat="false" ht="15" hidden="false" customHeight="true" outlineLevel="0" collapsed="false">
      <c r="A476" s="6"/>
      <c r="B476" s="7"/>
      <c r="C476" s="8"/>
      <c r="D476" s="8"/>
      <c r="E476" s="8"/>
      <c r="F476" s="9"/>
      <c r="G476" s="8"/>
      <c r="H476" s="10" t="str">
        <f aca="false">IFERROR(INDEX('Operator Master'!$B$5:$B$504,MATCH(G476,'Operator Master'!$A$5:$A$504,0)),"")</f>
        <v/>
      </c>
      <c r="I476" s="9"/>
      <c r="J476" s="9"/>
      <c r="K476" s="8"/>
      <c r="L476" s="9"/>
      <c r="M476" s="9"/>
      <c r="N476" s="11"/>
      <c r="O476" s="11"/>
      <c r="P476" s="12" t="str">
        <f aca="false">IF(OR(N476="",O476=""),"",IFERROR(O476/N476*100,0))</f>
        <v/>
      </c>
      <c r="Q476" s="10" t="n">
        <v>8</v>
      </c>
      <c r="R476" s="12" t="str">
        <f aca="false">IF(J476="","",Q476*J476)</f>
        <v/>
      </c>
      <c r="S476" s="11"/>
      <c r="T476" s="12" t="str">
        <f aca="false">IF(OR(R476="",S476=""),"",IFERROR(S476/R476*100,0))</f>
        <v/>
      </c>
      <c r="U476" s="12" t="str">
        <f aca="false">IF(OR(O476="",L476="",M476="",S476="",M476=0),"",IFERROR(O476/(L476*60*S476/(M476*36))*100,0))</f>
        <v/>
      </c>
      <c r="V476" s="11"/>
      <c r="W476" s="12" t="str">
        <f aca="false">IF(O476="","",IFERROR(V476/O476*100,0))</f>
        <v/>
      </c>
      <c r="X476" s="11"/>
      <c r="Y476" s="11"/>
      <c r="Z476" s="11"/>
      <c r="AA476" s="11"/>
      <c r="AB476" s="11"/>
      <c r="AC476" s="11"/>
      <c r="AD476" s="11"/>
      <c r="AE476" s="11"/>
      <c r="AF476" s="12" t="str">
        <f aca="false">IF(O476="","",SUM(X476:AE476))</f>
        <v/>
      </c>
      <c r="AG476" s="12" t="str">
        <f aca="false">IF(O476="","",IFERROR(AF476/O476*1000,0))</f>
        <v/>
      </c>
      <c r="AH476" s="11"/>
      <c r="AI476" s="11"/>
      <c r="AJ476" s="11"/>
      <c r="AK476" s="9"/>
      <c r="AL476" s="9"/>
      <c r="AM476" s="9"/>
    </row>
    <row r="477" customFormat="false" ht="15" hidden="false" customHeight="true" outlineLevel="0" collapsed="false">
      <c r="A477" s="6"/>
      <c r="B477" s="7"/>
      <c r="C477" s="8"/>
      <c r="D477" s="8"/>
      <c r="E477" s="8"/>
      <c r="F477" s="9"/>
      <c r="G477" s="8"/>
      <c r="H477" s="10" t="str">
        <f aca="false">IFERROR(INDEX('Operator Master'!$B$5:$B$504,MATCH(G477,'Operator Master'!$A$5:$A$504,0)),"")</f>
        <v/>
      </c>
      <c r="I477" s="9"/>
      <c r="J477" s="9"/>
      <c r="K477" s="8"/>
      <c r="L477" s="9"/>
      <c r="M477" s="9"/>
      <c r="N477" s="11"/>
      <c r="O477" s="11"/>
      <c r="P477" s="12" t="str">
        <f aca="false">IF(OR(N477="",O477=""),"",IFERROR(O477/N477*100,0))</f>
        <v/>
      </c>
      <c r="Q477" s="10" t="n">
        <v>8</v>
      </c>
      <c r="R477" s="12" t="str">
        <f aca="false">IF(J477="","",Q477*J477)</f>
        <v/>
      </c>
      <c r="S477" s="11"/>
      <c r="T477" s="12" t="str">
        <f aca="false">IF(OR(R477="",S477=""),"",IFERROR(S477/R477*100,0))</f>
        <v/>
      </c>
      <c r="U477" s="12" t="str">
        <f aca="false">IF(OR(O477="",L477="",M477="",S477="",M477=0),"",IFERROR(O477/(L477*60*S477/(M477*36))*100,0))</f>
        <v/>
      </c>
      <c r="V477" s="11"/>
      <c r="W477" s="12" t="str">
        <f aca="false">IF(O477="","",IFERROR(V477/O477*100,0))</f>
        <v/>
      </c>
      <c r="X477" s="11"/>
      <c r="Y477" s="11"/>
      <c r="Z477" s="11"/>
      <c r="AA477" s="11"/>
      <c r="AB477" s="11"/>
      <c r="AC477" s="11"/>
      <c r="AD477" s="11"/>
      <c r="AE477" s="11"/>
      <c r="AF477" s="12" t="str">
        <f aca="false">IF(O477="","",SUM(X477:AE477))</f>
        <v/>
      </c>
      <c r="AG477" s="12" t="str">
        <f aca="false">IF(O477="","",IFERROR(AF477/O477*1000,0))</f>
        <v/>
      </c>
      <c r="AH477" s="11"/>
      <c r="AI477" s="11"/>
      <c r="AJ477" s="11"/>
      <c r="AK477" s="9"/>
      <c r="AL477" s="9"/>
      <c r="AM477" s="9"/>
    </row>
    <row r="478" customFormat="false" ht="15" hidden="false" customHeight="true" outlineLevel="0" collapsed="false">
      <c r="A478" s="6"/>
      <c r="B478" s="7"/>
      <c r="C478" s="8"/>
      <c r="D478" s="8"/>
      <c r="E478" s="8"/>
      <c r="F478" s="9"/>
      <c r="G478" s="8"/>
      <c r="H478" s="10" t="str">
        <f aca="false">IFERROR(INDEX('Operator Master'!$B$5:$B$504,MATCH(G478,'Operator Master'!$A$5:$A$504,0)),"")</f>
        <v/>
      </c>
      <c r="I478" s="9"/>
      <c r="J478" s="9"/>
      <c r="K478" s="8"/>
      <c r="L478" s="9"/>
      <c r="M478" s="9"/>
      <c r="N478" s="11"/>
      <c r="O478" s="11"/>
      <c r="P478" s="12" t="str">
        <f aca="false">IF(OR(N478="",O478=""),"",IFERROR(O478/N478*100,0))</f>
        <v/>
      </c>
      <c r="Q478" s="10" t="n">
        <v>8</v>
      </c>
      <c r="R478" s="12" t="str">
        <f aca="false">IF(J478="","",Q478*J478)</f>
        <v/>
      </c>
      <c r="S478" s="11"/>
      <c r="T478" s="12" t="str">
        <f aca="false">IF(OR(R478="",S478=""),"",IFERROR(S478/R478*100,0))</f>
        <v/>
      </c>
      <c r="U478" s="12" t="str">
        <f aca="false">IF(OR(O478="",L478="",M478="",S478="",M478=0),"",IFERROR(O478/(L478*60*S478/(M478*36))*100,0))</f>
        <v/>
      </c>
      <c r="V478" s="11"/>
      <c r="W478" s="12" t="str">
        <f aca="false">IF(O478="","",IFERROR(V478/O478*100,0))</f>
        <v/>
      </c>
      <c r="X478" s="11"/>
      <c r="Y478" s="11"/>
      <c r="Z478" s="11"/>
      <c r="AA478" s="11"/>
      <c r="AB478" s="11"/>
      <c r="AC478" s="11"/>
      <c r="AD478" s="11"/>
      <c r="AE478" s="11"/>
      <c r="AF478" s="12" t="str">
        <f aca="false">IF(O478="","",SUM(X478:AE478))</f>
        <v/>
      </c>
      <c r="AG478" s="12" t="str">
        <f aca="false">IF(O478="","",IFERROR(AF478/O478*1000,0))</f>
        <v/>
      </c>
      <c r="AH478" s="11"/>
      <c r="AI478" s="11"/>
      <c r="AJ478" s="11"/>
      <c r="AK478" s="9"/>
      <c r="AL478" s="9"/>
      <c r="AM478" s="9"/>
    </row>
    <row r="479" customFormat="false" ht="15" hidden="false" customHeight="true" outlineLevel="0" collapsed="false">
      <c r="A479" s="6"/>
      <c r="B479" s="7"/>
      <c r="C479" s="8"/>
      <c r="D479" s="8"/>
      <c r="E479" s="8"/>
      <c r="F479" s="9"/>
      <c r="G479" s="8"/>
      <c r="H479" s="10" t="str">
        <f aca="false">IFERROR(INDEX('Operator Master'!$B$5:$B$504,MATCH(G479,'Operator Master'!$A$5:$A$504,0)),"")</f>
        <v/>
      </c>
      <c r="I479" s="9"/>
      <c r="J479" s="9"/>
      <c r="K479" s="8"/>
      <c r="L479" s="9"/>
      <c r="M479" s="9"/>
      <c r="N479" s="11"/>
      <c r="O479" s="11"/>
      <c r="P479" s="12" t="str">
        <f aca="false">IF(OR(N479="",O479=""),"",IFERROR(O479/N479*100,0))</f>
        <v/>
      </c>
      <c r="Q479" s="10" t="n">
        <v>8</v>
      </c>
      <c r="R479" s="12" t="str">
        <f aca="false">IF(J479="","",Q479*J479)</f>
        <v/>
      </c>
      <c r="S479" s="11"/>
      <c r="T479" s="12" t="str">
        <f aca="false">IF(OR(R479="",S479=""),"",IFERROR(S479/R479*100,0))</f>
        <v/>
      </c>
      <c r="U479" s="12" t="str">
        <f aca="false">IF(OR(O479="",L479="",M479="",S479="",M479=0),"",IFERROR(O479/(L479*60*S479/(M479*36))*100,0))</f>
        <v/>
      </c>
      <c r="V479" s="11"/>
      <c r="W479" s="12" t="str">
        <f aca="false">IF(O479="","",IFERROR(V479/O479*100,0))</f>
        <v/>
      </c>
      <c r="X479" s="11"/>
      <c r="Y479" s="11"/>
      <c r="Z479" s="11"/>
      <c r="AA479" s="11"/>
      <c r="AB479" s="11"/>
      <c r="AC479" s="11"/>
      <c r="AD479" s="11"/>
      <c r="AE479" s="11"/>
      <c r="AF479" s="12" t="str">
        <f aca="false">IF(O479="","",SUM(X479:AE479))</f>
        <v/>
      </c>
      <c r="AG479" s="12" t="str">
        <f aca="false">IF(O479="","",IFERROR(AF479/O479*1000,0))</f>
        <v/>
      </c>
      <c r="AH479" s="11"/>
      <c r="AI479" s="11"/>
      <c r="AJ479" s="11"/>
      <c r="AK479" s="9"/>
      <c r="AL479" s="9"/>
      <c r="AM479" s="9"/>
    </row>
    <row r="480" customFormat="false" ht="15" hidden="false" customHeight="true" outlineLevel="0" collapsed="false">
      <c r="A480" s="6"/>
      <c r="B480" s="7"/>
      <c r="C480" s="8"/>
      <c r="D480" s="8"/>
      <c r="E480" s="8"/>
      <c r="F480" s="9"/>
      <c r="G480" s="8"/>
      <c r="H480" s="10" t="str">
        <f aca="false">IFERROR(INDEX('Operator Master'!$B$5:$B$504,MATCH(G480,'Operator Master'!$A$5:$A$504,0)),"")</f>
        <v/>
      </c>
      <c r="I480" s="9"/>
      <c r="J480" s="9"/>
      <c r="K480" s="8"/>
      <c r="L480" s="9"/>
      <c r="M480" s="9"/>
      <c r="N480" s="11"/>
      <c r="O480" s="11"/>
      <c r="P480" s="12" t="str">
        <f aca="false">IF(OR(N480="",O480=""),"",IFERROR(O480/N480*100,0))</f>
        <v/>
      </c>
      <c r="Q480" s="10" t="n">
        <v>8</v>
      </c>
      <c r="R480" s="12" t="str">
        <f aca="false">IF(J480="","",Q480*J480)</f>
        <v/>
      </c>
      <c r="S480" s="11"/>
      <c r="T480" s="12" t="str">
        <f aca="false">IF(OR(R480="",S480=""),"",IFERROR(S480/R480*100,0))</f>
        <v/>
      </c>
      <c r="U480" s="12" t="str">
        <f aca="false">IF(OR(O480="",L480="",M480="",S480="",M480=0),"",IFERROR(O480/(L480*60*S480/(M480*36))*100,0))</f>
        <v/>
      </c>
      <c r="V480" s="11"/>
      <c r="W480" s="12" t="str">
        <f aca="false">IF(O480="","",IFERROR(V480/O480*100,0))</f>
        <v/>
      </c>
      <c r="X480" s="11"/>
      <c r="Y480" s="11"/>
      <c r="Z480" s="11"/>
      <c r="AA480" s="11"/>
      <c r="AB480" s="11"/>
      <c r="AC480" s="11"/>
      <c r="AD480" s="11"/>
      <c r="AE480" s="11"/>
      <c r="AF480" s="12" t="str">
        <f aca="false">IF(O480="","",SUM(X480:AE480))</f>
        <v/>
      </c>
      <c r="AG480" s="12" t="str">
        <f aca="false">IF(O480="","",IFERROR(AF480/O480*1000,0))</f>
        <v/>
      </c>
      <c r="AH480" s="11"/>
      <c r="AI480" s="11"/>
      <c r="AJ480" s="11"/>
      <c r="AK480" s="9"/>
      <c r="AL480" s="9"/>
      <c r="AM480" s="9"/>
    </row>
    <row r="481" customFormat="false" ht="15" hidden="false" customHeight="true" outlineLevel="0" collapsed="false">
      <c r="A481" s="6"/>
      <c r="B481" s="7"/>
      <c r="C481" s="8"/>
      <c r="D481" s="8"/>
      <c r="E481" s="8"/>
      <c r="F481" s="9"/>
      <c r="G481" s="8"/>
      <c r="H481" s="10" t="str">
        <f aca="false">IFERROR(INDEX('Operator Master'!$B$5:$B$504,MATCH(G481,'Operator Master'!$A$5:$A$504,0)),"")</f>
        <v/>
      </c>
      <c r="I481" s="9"/>
      <c r="J481" s="9"/>
      <c r="K481" s="8"/>
      <c r="L481" s="9"/>
      <c r="M481" s="9"/>
      <c r="N481" s="11"/>
      <c r="O481" s="11"/>
      <c r="P481" s="12" t="str">
        <f aca="false">IF(OR(N481="",O481=""),"",IFERROR(O481/N481*100,0))</f>
        <v/>
      </c>
      <c r="Q481" s="10" t="n">
        <v>8</v>
      </c>
      <c r="R481" s="12" t="str">
        <f aca="false">IF(J481="","",Q481*J481)</f>
        <v/>
      </c>
      <c r="S481" s="11"/>
      <c r="T481" s="12" t="str">
        <f aca="false">IF(OR(R481="",S481=""),"",IFERROR(S481/R481*100,0))</f>
        <v/>
      </c>
      <c r="U481" s="12" t="str">
        <f aca="false">IF(OR(O481="",L481="",M481="",S481="",M481=0),"",IFERROR(O481/(L481*60*S481/(M481*36))*100,0))</f>
        <v/>
      </c>
      <c r="V481" s="11"/>
      <c r="W481" s="12" t="str">
        <f aca="false">IF(O481="","",IFERROR(V481/O481*100,0))</f>
        <v/>
      </c>
      <c r="X481" s="11"/>
      <c r="Y481" s="11"/>
      <c r="Z481" s="11"/>
      <c r="AA481" s="11"/>
      <c r="AB481" s="11"/>
      <c r="AC481" s="11"/>
      <c r="AD481" s="11"/>
      <c r="AE481" s="11"/>
      <c r="AF481" s="12" t="str">
        <f aca="false">IF(O481="","",SUM(X481:AE481))</f>
        <v/>
      </c>
      <c r="AG481" s="12" t="str">
        <f aca="false">IF(O481="","",IFERROR(AF481/O481*1000,0))</f>
        <v/>
      </c>
      <c r="AH481" s="11"/>
      <c r="AI481" s="11"/>
      <c r="AJ481" s="11"/>
      <c r="AK481" s="9"/>
      <c r="AL481" s="9"/>
      <c r="AM481" s="9"/>
    </row>
    <row r="482" customFormat="false" ht="15" hidden="false" customHeight="true" outlineLevel="0" collapsed="false">
      <c r="A482" s="6"/>
      <c r="B482" s="7"/>
      <c r="C482" s="8"/>
      <c r="D482" s="8"/>
      <c r="E482" s="8"/>
      <c r="F482" s="9"/>
      <c r="G482" s="8"/>
      <c r="H482" s="10" t="str">
        <f aca="false">IFERROR(INDEX('Operator Master'!$B$5:$B$504,MATCH(G482,'Operator Master'!$A$5:$A$504,0)),"")</f>
        <v/>
      </c>
      <c r="I482" s="9"/>
      <c r="J482" s="9"/>
      <c r="K482" s="8"/>
      <c r="L482" s="9"/>
      <c r="M482" s="9"/>
      <c r="N482" s="11"/>
      <c r="O482" s="11"/>
      <c r="P482" s="12" t="str">
        <f aca="false">IF(OR(N482="",O482=""),"",IFERROR(O482/N482*100,0))</f>
        <v/>
      </c>
      <c r="Q482" s="10" t="n">
        <v>8</v>
      </c>
      <c r="R482" s="12" t="str">
        <f aca="false">IF(J482="","",Q482*J482)</f>
        <v/>
      </c>
      <c r="S482" s="11"/>
      <c r="T482" s="12" t="str">
        <f aca="false">IF(OR(R482="",S482=""),"",IFERROR(S482/R482*100,0))</f>
        <v/>
      </c>
      <c r="U482" s="12" t="str">
        <f aca="false">IF(OR(O482="",L482="",M482="",S482="",M482=0),"",IFERROR(O482/(L482*60*S482/(M482*36))*100,0))</f>
        <v/>
      </c>
      <c r="V482" s="11"/>
      <c r="W482" s="12" t="str">
        <f aca="false">IF(O482="","",IFERROR(V482/O482*100,0))</f>
        <v/>
      </c>
      <c r="X482" s="11"/>
      <c r="Y482" s="11"/>
      <c r="Z482" s="11"/>
      <c r="AA482" s="11"/>
      <c r="AB482" s="11"/>
      <c r="AC482" s="11"/>
      <c r="AD482" s="11"/>
      <c r="AE482" s="11"/>
      <c r="AF482" s="12" t="str">
        <f aca="false">IF(O482="","",SUM(X482:AE482))</f>
        <v/>
      </c>
      <c r="AG482" s="12" t="str">
        <f aca="false">IF(O482="","",IFERROR(AF482/O482*1000,0))</f>
        <v/>
      </c>
      <c r="AH482" s="11"/>
      <c r="AI482" s="11"/>
      <c r="AJ482" s="11"/>
      <c r="AK482" s="9"/>
      <c r="AL482" s="9"/>
      <c r="AM482" s="9"/>
    </row>
    <row r="483" customFormat="false" ht="15" hidden="false" customHeight="true" outlineLevel="0" collapsed="false">
      <c r="A483" s="6"/>
      <c r="B483" s="7"/>
      <c r="C483" s="8"/>
      <c r="D483" s="8"/>
      <c r="E483" s="8"/>
      <c r="F483" s="9"/>
      <c r="G483" s="8"/>
      <c r="H483" s="10" t="str">
        <f aca="false">IFERROR(INDEX('Operator Master'!$B$5:$B$504,MATCH(G483,'Operator Master'!$A$5:$A$504,0)),"")</f>
        <v/>
      </c>
      <c r="I483" s="9"/>
      <c r="J483" s="9"/>
      <c r="K483" s="8"/>
      <c r="L483" s="9"/>
      <c r="M483" s="9"/>
      <c r="N483" s="11"/>
      <c r="O483" s="11"/>
      <c r="P483" s="12" t="str">
        <f aca="false">IF(OR(N483="",O483=""),"",IFERROR(O483/N483*100,0))</f>
        <v/>
      </c>
      <c r="Q483" s="10" t="n">
        <v>8</v>
      </c>
      <c r="R483" s="12" t="str">
        <f aca="false">IF(J483="","",Q483*J483)</f>
        <v/>
      </c>
      <c r="S483" s="11"/>
      <c r="T483" s="12" t="str">
        <f aca="false">IF(OR(R483="",S483=""),"",IFERROR(S483/R483*100,0))</f>
        <v/>
      </c>
      <c r="U483" s="12" t="str">
        <f aca="false">IF(OR(O483="",L483="",M483="",S483="",M483=0),"",IFERROR(O483/(L483*60*S483/(M483*36))*100,0))</f>
        <v/>
      </c>
      <c r="V483" s="11"/>
      <c r="W483" s="12" t="str">
        <f aca="false">IF(O483="","",IFERROR(V483/O483*100,0))</f>
        <v/>
      </c>
      <c r="X483" s="11"/>
      <c r="Y483" s="11"/>
      <c r="Z483" s="11"/>
      <c r="AA483" s="11"/>
      <c r="AB483" s="11"/>
      <c r="AC483" s="11"/>
      <c r="AD483" s="11"/>
      <c r="AE483" s="11"/>
      <c r="AF483" s="12" t="str">
        <f aca="false">IF(O483="","",SUM(X483:AE483))</f>
        <v/>
      </c>
      <c r="AG483" s="12" t="str">
        <f aca="false">IF(O483="","",IFERROR(AF483/O483*1000,0))</f>
        <v/>
      </c>
      <c r="AH483" s="11"/>
      <c r="AI483" s="11"/>
      <c r="AJ483" s="11"/>
      <c r="AK483" s="9"/>
      <c r="AL483" s="9"/>
      <c r="AM483" s="9"/>
    </row>
    <row r="484" customFormat="false" ht="15" hidden="false" customHeight="true" outlineLevel="0" collapsed="false">
      <c r="A484" s="6"/>
      <c r="B484" s="7"/>
      <c r="C484" s="8"/>
      <c r="D484" s="8"/>
      <c r="E484" s="8"/>
      <c r="F484" s="9"/>
      <c r="G484" s="8"/>
      <c r="H484" s="10" t="str">
        <f aca="false">IFERROR(INDEX('Operator Master'!$B$5:$B$504,MATCH(G484,'Operator Master'!$A$5:$A$504,0)),"")</f>
        <v/>
      </c>
      <c r="I484" s="9"/>
      <c r="J484" s="9"/>
      <c r="K484" s="8"/>
      <c r="L484" s="9"/>
      <c r="M484" s="9"/>
      <c r="N484" s="11"/>
      <c r="O484" s="11"/>
      <c r="P484" s="12" t="str">
        <f aca="false">IF(OR(N484="",O484=""),"",IFERROR(O484/N484*100,0))</f>
        <v/>
      </c>
      <c r="Q484" s="10" t="n">
        <v>8</v>
      </c>
      <c r="R484" s="12" t="str">
        <f aca="false">IF(J484="","",Q484*J484)</f>
        <v/>
      </c>
      <c r="S484" s="11"/>
      <c r="T484" s="12" t="str">
        <f aca="false">IF(OR(R484="",S484=""),"",IFERROR(S484/R484*100,0))</f>
        <v/>
      </c>
      <c r="U484" s="12" t="str">
        <f aca="false">IF(OR(O484="",L484="",M484="",S484="",M484=0),"",IFERROR(O484/(L484*60*S484/(M484*36))*100,0))</f>
        <v/>
      </c>
      <c r="V484" s="11"/>
      <c r="W484" s="12" t="str">
        <f aca="false">IF(O484="","",IFERROR(V484/O484*100,0))</f>
        <v/>
      </c>
      <c r="X484" s="11"/>
      <c r="Y484" s="11"/>
      <c r="Z484" s="11"/>
      <c r="AA484" s="11"/>
      <c r="AB484" s="11"/>
      <c r="AC484" s="11"/>
      <c r="AD484" s="11"/>
      <c r="AE484" s="11"/>
      <c r="AF484" s="12" t="str">
        <f aca="false">IF(O484="","",SUM(X484:AE484))</f>
        <v/>
      </c>
      <c r="AG484" s="12" t="str">
        <f aca="false">IF(O484="","",IFERROR(AF484/O484*1000,0))</f>
        <v/>
      </c>
      <c r="AH484" s="11"/>
      <c r="AI484" s="11"/>
      <c r="AJ484" s="11"/>
      <c r="AK484" s="9"/>
      <c r="AL484" s="9"/>
      <c r="AM484" s="9"/>
    </row>
    <row r="485" customFormat="false" ht="15" hidden="false" customHeight="true" outlineLevel="0" collapsed="false">
      <c r="A485" s="6"/>
      <c r="B485" s="7"/>
      <c r="C485" s="8"/>
      <c r="D485" s="8"/>
      <c r="E485" s="8"/>
      <c r="F485" s="9"/>
      <c r="G485" s="8"/>
      <c r="H485" s="10" t="str">
        <f aca="false">IFERROR(INDEX('Operator Master'!$B$5:$B$504,MATCH(G485,'Operator Master'!$A$5:$A$504,0)),"")</f>
        <v/>
      </c>
      <c r="I485" s="9"/>
      <c r="J485" s="9"/>
      <c r="K485" s="8"/>
      <c r="L485" s="9"/>
      <c r="M485" s="9"/>
      <c r="N485" s="11"/>
      <c r="O485" s="11"/>
      <c r="P485" s="12" t="str">
        <f aca="false">IF(OR(N485="",O485=""),"",IFERROR(O485/N485*100,0))</f>
        <v/>
      </c>
      <c r="Q485" s="10" t="n">
        <v>8</v>
      </c>
      <c r="R485" s="12" t="str">
        <f aca="false">IF(J485="","",Q485*J485)</f>
        <v/>
      </c>
      <c r="S485" s="11"/>
      <c r="T485" s="12" t="str">
        <f aca="false">IF(OR(R485="",S485=""),"",IFERROR(S485/R485*100,0))</f>
        <v/>
      </c>
      <c r="U485" s="12" t="str">
        <f aca="false">IF(OR(O485="",L485="",M485="",S485="",M485=0),"",IFERROR(O485/(L485*60*S485/(M485*36))*100,0))</f>
        <v/>
      </c>
      <c r="V485" s="11"/>
      <c r="W485" s="12" t="str">
        <f aca="false">IF(O485="","",IFERROR(V485/O485*100,0))</f>
        <v/>
      </c>
      <c r="X485" s="11"/>
      <c r="Y485" s="11"/>
      <c r="Z485" s="11"/>
      <c r="AA485" s="11"/>
      <c r="AB485" s="11"/>
      <c r="AC485" s="11"/>
      <c r="AD485" s="11"/>
      <c r="AE485" s="11"/>
      <c r="AF485" s="12" t="str">
        <f aca="false">IF(O485="","",SUM(X485:AE485))</f>
        <v/>
      </c>
      <c r="AG485" s="12" t="str">
        <f aca="false">IF(O485="","",IFERROR(AF485/O485*1000,0))</f>
        <v/>
      </c>
      <c r="AH485" s="11"/>
      <c r="AI485" s="11"/>
      <c r="AJ485" s="11"/>
      <c r="AK485" s="9"/>
      <c r="AL485" s="9"/>
      <c r="AM485" s="9"/>
    </row>
    <row r="486" customFormat="false" ht="15" hidden="false" customHeight="true" outlineLevel="0" collapsed="false">
      <c r="A486" s="6"/>
      <c r="B486" s="7"/>
      <c r="C486" s="8"/>
      <c r="D486" s="8"/>
      <c r="E486" s="8"/>
      <c r="F486" s="9"/>
      <c r="G486" s="8"/>
      <c r="H486" s="10" t="str">
        <f aca="false">IFERROR(INDEX('Operator Master'!$B$5:$B$504,MATCH(G486,'Operator Master'!$A$5:$A$504,0)),"")</f>
        <v/>
      </c>
      <c r="I486" s="9"/>
      <c r="J486" s="9"/>
      <c r="K486" s="8"/>
      <c r="L486" s="9"/>
      <c r="M486" s="9"/>
      <c r="N486" s="11"/>
      <c r="O486" s="11"/>
      <c r="P486" s="12" t="str">
        <f aca="false">IF(OR(N486="",O486=""),"",IFERROR(O486/N486*100,0))</f>
        <v/>
      </c>
      <c r="Q486" s="10" t="n">
        <v>8</v>
      </c>
      <c r="R486" s="12" t="str">
        <f aca="false">IF(J486="","",Q486*J486)</f>
        <v/>
      </c>
      <c r="S486" s="11"/>
      <c r="T486" s="12" t="str">
        <f aca="false">IF(OR(R486="",S486=""),"",IFERROR(S486/R486*100,0))</f>
        <v/>
      </c>
      <c r="U486" s="12" t="str">
        <f aca="false">IF(OR(O486="",L486="",M486="",S486="",M486=0),"",IFERROR(O486/(L486*60*S486/(M486*36))*100,0))</f>
        <v/>
      </c>
      <c r="V486" s="11"/>
      <c r="W486" s="12" t="str">
        <f aca="false">IF(O486="","",IFERROR(V486/O486*100,0))</f>
        <v/>
      </c>
      <c r="X486" s="11"/>
      <c r="Y486" s="11"/>
      <c r="Z486" s="11"/>
      <c r="AA486" s="11"/>
      <c r="AB486" s="11"/>
      <c r="AC486" s="11"/>
      <c r="AD486" s="11"/>
      <c r="AE486" s="11"/>
      <c r="AF486" s="12" t="str">
        <f aca="false">IF(O486="","",SUM(X486:AE486))</f>
        <v/>
      </c>
      <c r="AG486" s="12" t="str">
        <f aca="false">IF(O486="","",IFERROR(AF486/O486*1000,0))</f>
        <v/>
      </c>
      <c r="AH486" s="11"/>
      <c r="AI486" s="11"/>
      <c r="AJ486" s="11"/>
      <c r="AK486" s="9"/>
      <c r="AL486" s="9"/>
      <c r="AM486" s="9"/>
    </row>
    <row r="487" customFormat="false" ht="15" hidden="false" customHeight="true" outlineLevel="0" collapsed="false">
      <c r="A487" s="6"/>
      <c r="B487" s="7"/>
      <c r="C487" s="8"/>
      <c r="D487" s="8"/>
      <c r="E487" s="8"/>
      <c r="F487" s="9"/>
      <c r="G487" s="8"/>
      <c r="H487" s="10" t="str">
        <f aca="false">IFERROR(INDEX('Operator Master'!$B$5:$B$504,MATCH(G487,'Operator Master'!$A$5:$A$504,0)),"")</f>
        <v/>
      </c>
      <c r="I487" s="9"/>
      <c r="J487" s="9"/>
      <c r="K487" s="8"/>
      <c r="L487" s="9"/>
      <c r="M487" s="9"/>
      <c r="N487" s="11"/>
      <c r="O487" s="11"/>
      <c r="P487" s="12" t="str">
        <f aca="false">IF(OR(N487="",O487=""),"",IFERROR(O487/N487*100,0))</f>
        <v/>
      </c>
      <c r="Q487" s="10" t="n">
        <v>8</v>
      </c>
      <c r="R487" s="12" t="str">
        <f aca="false">IF(J487="","",Q487*J487)</f>
        <v/>
      </c>
      <c r="S487" s="11"/>
      <c r="T487" s="12" t="str">
        <f aca="false">IF(OR(R487="",S487=""),"",IFERROR(S487/R487*100,0))</f>
        <v/>
      </c>
      <c r="U487" s="12" t="str">
        <f aca="false">IF(OR(O487="",L487="",M487="",S487="",M487=0),"",IFERROR(O487/(L487*60*S487/(M487*36))*100,0))</f>
        <v/>
      </c>
      <c r="V487" s="11"/>
      <c r="W487" s="12" t="str">
        <f aca="false">IF(O487="","",IFERROR(V487/O487*100,0))</f>
        <v/>
      </c>
      <c r="X487" s="11"/>
      <c r="Y487" s="11"/>
      <c r="Z487" s="11"/>
      <c r="AA487" s="11"/>
      <c r="AB487" s="11"/>
      <c r="AC487" s="11"/>
      <c r="AD487" s="11"/>
      <c r="AE487" s="11"/>
      <c r="AF487" s="12" t="str">
        <f aca="false">IF(O487="","",SUM(X487:AE487))</f>
        <v/>
      </c>
      <c r="AG487" s="12" t="str">
        <f aca="false">IF(O487="","",IFERROR(AF487/O487*1000,0))</f>
        <v/>
      </c>
      <c r="AH487" s="11"/>
      <c r="AI487" s="11"/>
      <c r="AJ487" s="11"/>
      <c r="AK487" s="9"/>
      <c r="AL487" s="9"/>
      <c r="AM487" s="9"/>
    </row>
    <row r="488" customFormat="false" ht="15" hidden="false" customHeight="true" outlineLevel="0" collapsed="false">
      <c r="A488" s="6"/>
      <c r="B488" s="7"/>
      <c r="C488" s="8"/>
      <c r="D488" s="8"/>
      <c r="E488" s="8"/>
      <c r="F488" s="9"/>
      <c r="G488" s="8"/>
      <c r="H488" s="10" t="str">
        <f aca="false">IFERROR(INDEX('Operator Master'!$B$5:$B$504,MATCH(G488,'Operator Master'!$A$5:$A$504,0)),"")</f>
        <v/>
      </c>
      <c r="I488" s="9"/>
      <c r="J488" s="9"/>
      <c r="K488" s="8"/>
      <c r="L488" s="9"/>
      <c r="M488" s="9"/>
      <c r="N488" s="11"/>
      <c r="O488" s="11"/>
      <c r="P488" s="12" t="str">
        <f aca="false">IF(OR(N488="",O488=""),"",IFERROR(O488/N488*100,0))</f>
        <v/>
      </c>
      <c r="Q488" s="10" t="n">
        <v>8</v>
      </c>
      <c r="R488" s="12" t="str">
        <f aca="false">IF(J488="","",Q488*J488)</f>
        <v/>
      </c>
      <c r="S488" s="11"/>
      <c r="T488" s="12" t="str">
        <f aca="false">IF(OR(R488="",S488=""),"",IFERROR(S488/R488*100,0))</f>
        <v/>
      </c>
      <c r="U488" s="12" t="str">
        <f aca="false">IF(OR(O488="",L488="",M488="",S488="",M488=0),"",IFERROR(O488/(L488*60*S488/(M488*36))*100,0))</f>
        <v/>
      </c>
      <c r="V488" s="11"/>
      <c r="W488" s="12" t="str">
        <f aca="false">IF(O488="","",IFERROR(V488/O488*100,0))</f>
        <v/>
      </c>
      <c r="X488" s="11"/>
      <c r="Y488" s="11"/>
      <c r="Z488" s="11"/>
      <c r="AA488" s="11"/>
      <c r="AB488" s="11"/>
      <c r="AC488" s="11"/>
      <c r="AD488" s="11"/>
      <c r="AE488" s="11"/>
      <c r="AF488" s="12" t="str">
        <f aca="false">IF(O488="","",SUM(X488:AE488))</f>
        <v/>
      </c>
      <c r="AG488" s="12" t="str">
        <f aca="false">IF(O488="","",IFERROR(AF488/O488*1000,0))</f>
        <v/>
      </c>
      <c r="AH488" s="11"/>
      <c r="AI488" s="11"/>
      <c r="AJ488" s="11"/>
      <c r="AK488" s="9"/>
      <c r="AL488" s="9"/>
      <c r="AM488" s="9"/>
    </row>
    <row r="489" customFormat="false" ht="15" hidden="false" customHeight="true" outlineLevel="0" collapsed="false">
      <c r="A489" s="6"/>
      <c r="B489" s="7"/>
      <c r="C489" s="8"/>
      <c r="D489" s="8"/>
      <c r="E489" s="8"/>
      <c r="F489" s="9"/>
      <c r="G489" s="8"/>
      <c r="H489" s="10" t="str">
        <f aca="false">IFERROR(INDEX('Operator Master'!$B$5:$B$504,MATCH(G489,'Operator Master'!$A$5:$A$504,0)),"")</f>
        <v/>
      </c>
      <c r="I489" s="9"/>
      <c r="J489" s="9"/>
      <c r="K489" s="8"/>
      <c r="L489" s="9"/>
      <c r="M489" s="9"/>
      <c r="N489" s="11"/>
      <c r="O489" s="11"/>
      <c r="P489" s="12" t="str">
        <f aca="false">IF(OR(N489="",O489=""),"",IFERROR(O489/N489*100,0))</f>
        <v/>
      </c>
      <c r="Q489" s="10" t="n">
        <v>8</v>
      </c>
      <c r="R489" s="12" t="str">
        <f aca="false">IF(J489="","",Q489*J489)</f>
        <v/>
      </c>
      <c r="S489" s="11"/>
      <c r="T489" s="12" t="str">
        <f aca="false">IF(OR(R489="",S489=""),"",IFERROR(S489/R489*100,0))</f>
        <v/>
      </c>
      <c r="U489" s="12" t="str">
        <f aca="false">IF(OR(O489="",L489="",M489="",S489="",M489=0),"",IFERROR(O489/(L489*60*S489/(M489*36))*100,0))</f>
        <v/>
      </c>
      <c r="V489" s="11"/>
      <c r="W489" s="12" t="str">
        <f aca="false">IF(O489="","",IFERROR(V489/O489*100,0))</f>
        <v/>
      </c>
      <c r="X489" s="11"/>
      <c r="Y489" s="11"/>
      <c r="Z489" s="11"/>
      <c r="AA489" s="11"/>
      <c r="AB489" s="11"/>
      <c r="AC489" s="11"/>
      <c r="AD489" s="11"/>
      <c r="AE489" s="11"/>
      <c r="AF489" s="12" t="str">
        <f aca="false">IF(O489="","",SUM(X489:AE489))</f>
        <v/>
      </c>
      <c r="AG489" s="12" t="str">
        <f aca="false">IF(O489="","",IFERROR(AF489/O489*1000,0))</f>
        <v/>
      </c>
      <c r="AH489" s="11"/>
      <c r="AI489" s="11"/>
      <c r="AJ489" s="11"/>
      <c r="AK489" s="9"/>
      <c r="AL489" s="9"/>
      <c r="AM489" s="9"/>
    </row>
    <row r="490" customFormat="false" ht="15" hidden="false" customHeight="true" outlineLevel="0" collapsed="false">
      <c r="A490" s="6"/>
      <c r="B490" s="7"/>
      <c r="C490" s="8"/>
      <c r="D490" s="8"/>
      <c r="E490" s="8"/>
      <c r="F490" s="9"/>
      <c r="G490" s="8"/>
      <c r="H490" s="10" t="str">
        <f aca="false">IFERROR(INDEX('Operator Master'!$B$5:$B$504,MATCH(G490,'Operator Master'!$A$5:$A$504,0)),"")</f>
        <v/>
      </c>
      <c r="I490" s="9"/>
      <c r="J490" s="9"/>
      <c r="K490" s="8"/>
      <c r="L490" s="9"/>
      <c r="M490" s="9"/>
      <c r="N490" s="11"/>
      <c r="O490" s="11"/>
      <c r="P490" s="12" t="str">
        <f aca="false">IF(OR(N490="",O490=""),"",IFERROR(O490/N490*100,0))</f>
        <v/>
      </c>
      <c r="Q490" s="10" t="n">
        <v>8</v>
      </c>
      <c r="R490" s="12" t="str">
        <f aca="false">IF(J490="","",Q490*J490)</f>
        <v/>
      </c>
      <c r="S490" s="11"/>
      <c r="T490" s="12" t="str">
        <f aca="false">IF(OR(R490="",S490=""),"",IFERROR(S490/R490*100,0))</f>
        <v/>
      </c>
      <c r="U490" s="12" t="str">
        <f aca="false">IF(OR(O490="",L490="",M490="",S490="",M490=0),"",IFERROR(O490/(L490*60*S490/(M490*36))*100,0))</f>
        <v/>
      </c>
      <c r="V490" s="11"/>
      <c r="W490" s="12" t="str">
        <f aca="false">IF(O490="","",IFERROR(V490/O490*100,0))</f>
        <v/>
      </c>
      <c r="X490" s="11"/>
      <c r="Y490" s="11"/>
      <c r="Z490" s="11"/>
      <c r="AA490" s="11"/>
      <c r="AB490" s="11"/>
      <c r="AC490" s="11"/>
      <c r="AD490" s="11"/>
      <c r="AE490" s="11"/>
      <c r="AF490" s="12" t="str">
        <f aca="false">IF(O490="","",SUM(X490:AE490))</f>
        <v/>
      </c>
      <c r="AG490" s="12" t="str">
        <f aca="false">IF(O490="","",IFERROR(AF490/O490*1000,0))</f>
        <v/>
      </c>
      <c r="AH490" s="11"/>
      <c r="AI490" s="11"/>
      <c r="AJ490" s="11"/>
      <c r="AK490" s="9"/>
      <c r="AL490" s="9"/>
      <c r="AM490" s="9"/>
    </row>
    <row r="491" customFormat="false" ht="15" hidden="false" customHeight="true" outlineLevel="0" collapsed="false">
      <c r="A491" s="6"/>
      <c r="B491" s="7"/>
      <c r="C491" s="8"/>
      <c r="D491" s="8"/>
      <c r="E491" s="8"/>
      <c r="F491" s="9"/>
      <c r="G491" s="8"/>
      <c r="H491" s="10" t="str">
        <f aca="false">IFERROR(INDEX('Operator Master'!$B$5:$B$504,MATCH(G491,'Operator Master'!$A$5:$A$504,0)),"")</f>
        <v/>
      </c>
      <c r="I491" s="9"/>
      <c r="J491" s="9"/>
      <c r="K491" s="8"/>
      <c r="L491" s="9"/>
      <c r="M491" s="9"/>
      <c r="N491" s="11"/>
      <c r="O491" s="11"/>
      <c r="P491" s="12" t="str">
        <f aca="false">IF(OR(N491="",O491=""),"",IFERROR(O491/N491*100,0))</f>
        <v/>
      </c>
      <c r="Q491" s="10" t="n">
        <v>8</v>
      </c>
      <c r="R491" s="12" t="str">
        <f aca="false">IF(J491="","",Q491*J491)</f>
        <v/>
      </c>
      <c r="S491" s="11"/>
      <c r="T491" s="12" t="str">
        <f aca="false">IF(OR(R491="",S491=""),"",IFERROR(S491/R491*100,0))</f>
        <v/>
      </c>
      <c r="U491" s="12" t="str">
        <f aca="false">IF(OR(O491="",L491="",M491="",S491="",M491=0),"",IFERROR(O491/(L491*60*S491/(M491*36))*100,0))</f>
        <v/>
      </c>
      <c r="V491" s="11"/>
      <c r="W491" s="12" t="str">
        <f aca="false">IF(O491="","",IFERROR(V491/O491*100,0))</f>
        <v/>
      </c>
      <c r="X491" s="11"/>
      <c r="Y491" s="11"/>
      <c r="Z491" s="11"/>
      <c r="AA491" s="11"/>
      <c r="AB491" s="11"/>
      <c r="AC491" s="11"/>
      <c r="AD491" s="11"/>
      <c r="AE491" s="11"/>
      <c r="AF491" s="12" t="str">
        <f aca="false">IF(O491="","",SUM(X491:AE491))</f>
        <v/>
      </c>
      <c r="AG491" s="12" t="str">
        <f aca="false">IF(O491="","",IFERROR(AF491/O491*1000,0))</f>
        <v/>
      </c>
      <c r="AH491" s="11"/>
      <c r="AI491" s="11"/>
      <c r="AJ491" s="11"/>
      <c r="AK491" s="9"/>
      <c r="AL491" s="9"/>
      <c r="AM491" s="9"/>
    </row>
    <row r="492" customFormat="false" ht="15" hidden="false" customHeight="true" outlineLevel="0" collapsed="false">
      <c r="A492" s="6"/>
      <c r="B492" s="7"/>
      <c r="C492" s="8"/>
      <c r="D492" s="8"/>
      <c r="E492" s="8"/>
      <c r="F492" s="9"/>
      <c r="G492" s="8"/>
      <c r="H492" s="10" t="str">
        <f aca="false">IFERROR(INDEX('Operator Master'!$B$5:$B$504,MATCH(G492,'Operator Master'!$A$5:$A$504,0)),"")</f>
        <v/>
      </c>
      <c r="I492" s="9"/>
      <c r="J492" s="9"/>
      <c r="K492" s="8"/>
      <c r="L492" s="9"/>
      <c r="M492" s="9"/>
      <c r="N492" s="11"/>
      <c r="O492" s="11"/>
      <c r="P492" s="12" t="str">
        <f aca="false">IF(OR(N492="",O492=""),"",IFERROR(O492/N492*100,0))</f>
        <v/>
      </c>
      <c r="Q492" s="10" t="n">
        <v>8</v>
      </c>
      <c r="R492" s="12" t="str">
        <f aca="false">IF(J492="","",Q492*J492)</f>
        <v/>
      </c>
      <c r="S492" s="11"/>
      <c r="T492" s="12" t="str">
        <f aca="false">IF(OR(R492="",S492=""),"",IFERROR(S492/R492*100,0))</f>
        <v/>
      </c>
      <c r="U492" s="12" t="str">
        <f aca="false">IF(OR(O492="",L492="",M492="",S492="",M492=0),"",IFERROR(O492/(L492*60*S492/(M492*36))*100,0))</f>
        <v/>
      </c>
      <c r="V492" s="11"/>
      <c r="W492" s="12" t="str">
        <f aca="false">IF(O492="","",IFERROR(V492/O492*100,0))</f>
        <v/>
      </c>
      <c r="X492" s="11"/>
      <c r="Y492" s="11"/>
      <c r="Z492" s="11"/>
      <c r="AA492" s="11"/>
      <c r="AB492" s="11"/>
      <c r="AC492" s="11"/>
      <c r="AD492" s="11"/>
      <c r="AE492" s="11"/>
      <c r="AF492" s="12" t="str">
        <f aca="false">IF(O492="","",SUM(X492:AE492))</f>
        <v/>
      </c>
      <c r="AG492" s="12" t="str">
        <f aca="false">IF(O492="","",IFERROR(AF492/O492*1000,0))</f>
        <v/>
      </c>
      <c r="AH492" s="11"/>
      <c r="AI492" s="11"/>
      <c r="AJ492" s="11"/>
      <c r="AK492" s="9"/>
      <c r="AL492" s="9"/>
      <c r="AM492" s="9"/>
    </row>
    <row r="493" customFormat="false" ht="15" hidden="false" customHeight="true" outlineLevel="0" collapsed="false">
      <c r="A493" s="6"/>
      <c r="B493" s="7"/>
      <c r="C493" s="8"/>
      <c r="D493" s="8"/>
      <c r="E493" s="8"/>
      <c r="F493" s="9"/>
      <c r="G493" s="8"/>
      <c r="H493" s="10" t="str">
        <f aca="false">IFERROR(INDEX('Operator Master'!$B$5:$B$504,MATCH(G493,'Operator Master'!$A$5:$A$504,0)),"")</f>
        <v/>
      </c>
      <c r="I493" s="9"/>
      <c r="J493" s="9"/>
      <c r="K493" s="8"/>
      <c r="L493" s="9"/>
      <c r="M493" s="9"/>
      <c r="N493" s="11"/>
      <c r="O493" s="11"/>
      <c r="P493" s="12" t="str">
        <f aca="false">IF(OR(N493="",O493=""),"",IFERROR(O493/N493*100,0))</f>
        <v/>
      </c>
      <c r="Q493" s="10" t="n">
        <v>8</v>
      </c>
      <c r="R493" s="12" t="str">
        <f aca="false">IF(J493="","",Q493*J493)</f>
        <v/>
      </c>
      <c r="S493" s="11"/>
      <c r="T493" s="12" t="str">
        <f aca="false">IF(OR(R493="",S493=""),"",IFERROR(S493/R493*100,0))</f>
        <v/>
      </c>
      <c r="U493" s="12" t="str">
        <f aca="false">IF(OR(O493="",L493="",M493="",S493="",M493=0),"",IFERROR(O493/(L493*60*S493/(M493*36))*100,0))</f>
        <v/>
      </c>
      <c r="V493" s="11"/>
      <c r="W493" s="12" t="str">
        <f aca="false">IF(O493="","",IFERROR(V493/O493*100,0))</f>
        <v/>
      </c>
      <c r="X493" s="11"/>
      <c r="Y493" s="11"/>
      <c r="Z493" s="11"/>
      <c r="AA493" s="11"/>
      <c r="AB493" s="11"/>
      <c r="AC493" s="11"/>
      <c r="AD493" s="11"/>
      <c r="AE493" s="11"/>
      <c r="AF493" s="12" t="str">
        <f aca="false">IF(O493="","",SUM(X493:AE493))</f>
        <v/>
      </c>
      <c r="AG493" s="12" t="str">
        <f aca="false">IF(O493="","",IFERROR(AF493/O493*1000,0))</f>
        <v/>
      </c>
      <c r="AH493" s="11"/>
      <c r="AI493" s="11"/>
      <c r="AJ493" s="11"/>
      <c r="AK493" s="9"/>
      <c r="AL493" s="9"/>
      <c r="AM493" s="9"/>
    </row>
    <row r="494" customFormat="false" ht="15" hidden="false" customHeight="true" outlineLevel="0" collapsed="false">
      <c r="A494" s="6"/>
      <c r="B494" s="7"/>
      <c r="C494" s="8"/>
      <c r="D494" s="8"/>
      <c r="E494" s="8"/>
      <c r="F494" s="9"/>
      <c r="G494" s="8"/>
      <c r="H494" s="10" t="str">
        <f aca="false">IFERROR(INDEX('Operator Master'!$B$5:$B$504,MATCH(G494,'Operator Master'!$A$5:$A$504,0)),"")</f>
        <v/>
      </c>
      <c r="I494" s="9"/>
      <c r="J494" s="9"/>
      <c r="K494" s="8"/>
      <c r="L494" s="9"/>
      <c r="M494" s="9"/>
      <c r="N494" s="11"/>
      <c r="O494" s="11"/>
      <c r="P494" s="12" t="str">
        <f aca="false">IF(OR(N494="",O494=""),"",IFERROR(O494/N494*100,0))</f>
        <v/>
      </c>
      <c r="Q494" s="10" t="n">
        <v>8</v>
      </c>
      <c r="R494" s="12" t="str">
        <f aca="false">IF(J494="","",Q494*J494)</f>
        <v/>
      </c>
      <c r="S494" s="11"/>
      <c r="T494" s="12" t="str">
        <f aca="false">IF(OR(R494="",S494=""),"",IFERROR(S494/R494*100,0))</f>
        <v/>
      </c>
      <c r="U494" s="12" t="str">
        <f aca="false">IF(OR(O494="",L494="",M494="",S494="",M494=0),"",IFERROR(O494/(L494*60*S494/(M494*36))*100,0))</f>
        <v/>
      </c>
      <c r="V494" s="11"/>
      <c r="W494" s="12" t="str">
        <f aca="false">IF(O494="","",IFERROR(V494/O494*100,0))</f>
        <v/>
      </c>
      <c r="X494" s="11"/>
      <c r="Y494" s="11"/>
      <c r="Z494" s="11"/>
      <c r="AA494" s="11"/>
      <c r="AB494" s="11"/>
      <c r="AC494" s="11"/>
      <c r="AD494" s="11"/>
      <c r="AE494" s="11"/>
      <c r="AF494" s="12" t="str">
        <f aca="false">IF(O494="","",SUM(X494:AE494))</f>
        <v/>
      </c>
      <c r="AG494" s="12" t="str">
        <f aca="false">IF(O494="","",IFERROR(AF494/O494*1000,0))</f>
        <v/>
      </c>
      <c r="AH494" s="11"/>
      <c r="AI494" s="11"/>
      <c r="AJ494" s="11"/>
      <c r="AK494" s="9"/>
      <c r="AL494" s="9"/>
      <c r="AM494" s="9"/>
    </row>
    <row r="495" customFormat="false" ht="15" hidden="false" customHeight="true" outlineLevel="0" collapsed="false">
      <c r="A495" s="6"/>
      <c r="B495" s="7"/>
      <c r="C495" s="8"/>
      <c r="D495" s="8"/>
      <c r="E495" s="8"/>
      <c r="F495" s="9"/>
      <c r="G495" s="8"/>
      <c r="H495" s="10" t="str">
        <f aca="false">IFERROR(INDEX('Operator Master'!$B$5:$B$504,MATCH(G495,'Operator Master'!$A$5:$A$504,0)),"")</f>
        <v/>
      </c>
      <c r="I495" s="9"/>
      <c r="J495" s="9"/>
      <c r="K495" s="8"/>
      <c r="L495" s="9"/>
      <c r="M495" s="9"/>
      <c r="N495" s="11"/>
      <c r="O495" s="11"/>
      <c r="P495" s="12" t="str">
        <f aca="false">IF(OR(N495="",O495=""),"",IFERROR(O495/N495*100,0))</f>
        <v/>
      </c>
      <c r="Q495" s="10" t="n">
        <v>8</v>
      </c>
      <c r="R495" s="12" t="str">
        <f aca="false">IF(J495="","",Q495*J495)</f>
        <v/>
      </c>
      <c r="S495" s="11"/>
      <c r="T495" s="12" t="str">
        <f aca="false">IF(OR(R495="",S495=""),"",IFERROR(S495/R495*100,0))</f>
        <v/>
      </c>
      <c r="U495" s="12" t="str">
        <f aca="false">IF(OR(O495="",L495="",M495="",S495="",M495=0),"",IFERROR(O495/(L495*60*S495/(M495*36))*100,0))</f>
        <v/>
      </c>
      <c r="V495" s="11"/>
      <c r="W495" s="12" t="str">
        <f aca="false">IF(O495="","",IFERROR(V495/O495*100,0))</f>
        <v/>
      </c>
      <c r="X495" s="11"/>
      <c r="Y495" s="11"/>
      <c r="Z495" s="11"/>
      <c r="AA495" s="11"/>
      <c r="AB495" s="11"/>
      <c r="AC495" s="11"/>
      <c r="AD495" s="11"/>
      <c r="AE495" s="11"/>
      <c r="AF495" s="12" t="str">
        <f aca="false">IF(O495="","",SUM(X495:AE495))</f>
        <v/>
      </c>
      <c r="AG495" s="12" t="str">
        <f aca="false">IF(O495="","",IFERROR(AF495/O495*1000,0))</f>
        <v/>
      </c>
      <c r="AH495" s="11"/>
      <c r="AI495" s="11"/>
      <c r="AJ495" s="11"/>
      <c r="AK495" s="9"/>
      <c r="AL495" s="9"/>
      <c r="AM495" s="9"/>
    </row>
    <row r="496" customFormat="false" ht="15" hidden="false" customHeight="true" outlineLevel="0" collapsed="false">
      <c r="A496" s="6"/>
      <c r="B496" s="7"/>
      <c r="C496" s="8"/>
      <c r="D496" s="8"/>
      <c r="E496" s="8"/>
      <c r="F496" s="9"/>
      <c r="G496" s="8"/>
      <c r="H496" s="10" t="str">
        <f aca="false">IFERROR(INDEX('Operator Master'!$B$5:$B$504,MATCH(G496,'Operator Master'!$A$5:$A$504,0)),"")</f>
        <v/>
      </c>
      <c r="I496" s="9"/>
      <c r="J496" s="9"/>
      <c r="K496" s="8"/>
      <c r="L496" s="9"/>
      <c r="M496" s="9"/>
      <c r="N496" s="11"/>
      <c r="O496" s="11"/>
      <c r="P496" s="12" t="str">
        <f aca="false">IF(OR(N496="",O496=""),"",IFERROR(O496/N496*100,0))</f>
        <v/>
      </c>
      <c r="Q496" s="10" t="n">
        <v>8</v>
      </c>
      <c r="R496" s="12" t="str">
        <f aca="false">IF(J496="","",Q496*J496)</f>
        <v/>
      </c>
      <c r="S496" s="11"/>
      <c r="T496" s="12" t="str">
        <f aca="false">IF(OR(R496="",S496=""),"",IFERROR(S496/R496*100,0))</f>
        <v/>
      </c>
      <c r="U496" s="12" t="str">
        <f aca="false">IF(OR(O496="",L496="",M496="",S496="",M496=0),"",IFERROR(O496/(L496*60*S496/(M496*36))*100,0))</f>
        <v/>
      </c>
      <c r="V496" s="11"/>
      <c r="W496" s="12" t="str">
        <f aca="false">IF(O496="","",IFERROR(V496/O496*100,0))</f>
        <v/>
      </c>
      <c r="X496" s="11"/>
      <c r="Y496" s="11"/>
      <c r="Z496" s="11"/>
      <c r="AA496" s="11"/>
      <c r="AB496" s="11"/>
      <c r="AC496" s="11"/>
      <c r="AD496" s="11"/>
      <c r="AE496" s="11"/>
      <c r="AF496" s="12" t="str">
        <f aca="false">IF(O496="","",SUM(X496:AE496))</f>
        <v/>
      </c>
      <c r="AG496" s="12" t="str">
        <f aca="false">IF(O496="","",IFERROR(AF496/O496*1000,0))</f>
        <v/>
      </c>
      <c r="AH496" s="11"/>
      <c r="AI496" s="11"/>
      <c r="AJ496" s="11"/>
      <c r="AK496" s="9"/>
      <c r="AL496" s="9"/>
      <c r="AM496" s="9"/>
    </row>
    <row r="497" customFormat="false" ht="15" hidden="false" customHeight="true" outlineLevel="0" collapsed="false">
      <c r="A497" s="6"/>
      <c r="B497" s="7"/>
      <c r="C497" s="8"/>
      <c r="D497" s="8"/>
      <c r="E497" s="8"/>
      <c r="F497" s="9"/>
      <c r="G497" s="8"/>
      <c r="H497" s="10" t="str">
        <f aca="false">IFERROR(INDEX('Operator Master'!$B$5:$B$504,MATCH(G497,'Operator Master'!$A$5:$A$504,0)),"")</f>
        <v/>
      </c>
      <c r="I497" s="9"/>
      <c r="J497" s="9"/>
      <c r="K497" s="8"/>
      <c r="L497" s="9"/>
      <c r="M497" s="9"/>
      <c r="N497" s="11"/>
      <c r="O497" s="11"/>
      <c r="P497" s="12" t="str">
        <f aca="false">IF(OR(N497="",O497=""),"",IFERROR(O497/N497*100,0))</f>
        <v/>
      </c>
      <c r="Q497" s="10" t="n">
        <v>8</v>
      </c>
      <c r="R497" s="12" t="str">
        <f aca="false">IF(J497="","",Q497*J497)</f>
        <v/>
      </c>
      <c r="S497" s="11"/>
      <c r="T497" s="12" t="str">
        <f aca="false">IF(OR(R497="",S497=""),"",IFERROR(S497/R497*100,0))</f>
        <v/>
      </c>
      <c r="U497" s="12" t="str">
        <f aca="false">IF(OR(O497="",L497="",M497="",S497="",M497=0),"",IFERROR(O497/(L497*60*S497/(M497*36))*100,0))</f>
        <v/>
      </c>
      <c r="V497" s="11"/>
      <c r="W497" s="12" t="str">
        <f aca="false">IF(O497="","",IFERROR(V497/O497*100,0))</f>
        <v/>
      </c>
      <c r="X497" s="11"/>
      <c r="Y497" s="11"/>
      <c r="Z497" s="11"/>
      <c r="AA497" s="11"/>
      <c r="AB497" s="11"/>
      <c r="AC497" s="11"/>
      <c r="AD497" s="11"/>
      <c r="AE497" s="11"/>
      <c r="AF497" s="12" t="str">
        <f aca="false">IF(O497="","",SUM(X497:AE497))</f>
        <v/>
      </c>
      <c r="AG497" s="12" t="str">
        <f aca="false">IF(O497="","",IFERROR(AF497/O497*1000,0))</f>
        <v/>
      </c>
      <c r="AH497" s="11"/>
      <c r="AI497" s="11"/>
      <c r="AJ497" s="11"/>
      <c r="AK497" s="9"/>
      <c r="AL497" s="9"/>
      <c r="AM497" s="9"/>
    </row>
    <row r="498" customFormat="false" ht="15" hidden="false" customHeight="true" outlineLevel="0" collapsed="false">
      <c r="A498" s="6"/>
      <c r="B498" s="7"/>
      <c r="C498" s="8"/>
      <c r="D498" s="8"/>
      <c r="E498" s="8"/>
      <c r="F498" s="9"/>
      <c r="G498" s="8"/>
      <c r="H498" s="10" t="str">
        <f aca="false">IFERROR(INDEX('Operator Master'!$B$5:$B$504,MATCH(G498,'Operator Master'!$A$5:$A$504,0)),"")</f>
        <v/>
      </c>
      <c r="I498" s="9"/>
      <c r="J498" s="9"/>
      <c r="K498" s="8"/>
      <c r="L498" s="9"/>
      <c r="M498" s="9"/>
      <c r="N498" s="11"/>
      <c r="O498" s="11"/>
      <c r="P498" s="12" t="str">
        <f aca="false">IF(OR(N498="",O498=""),"",IFERROR(O498/N498*100,0))</f>
        <v/>
      </c>
      <c r="Q498" s="10" t="n">
        <v>8</v>
      </c>
      <c r="R498" s="12" t="str">
        <f aca="false">IF(J498="","",Q498*J498)</f>
        <v/>
      </c>
      <c r="S498" s="11"/>
      <c r="T498" s="12" t="str">
        <f aca="false">IF(OR(R498="",S498=""),"",IFERROR(S498/R498*100,0))</f>
        <v/>
      </c>
      <c r="U498" s="12" t="str">
        <f aca="false">IF(OR(O498="",L498="",M498="",S498="",M498=0),"",IFERROR(O498/(L498*60*S498/(M498*36))*100,0))</f>
        <v/>
      </c>
      <c r="V498" s="11"/>
      <c r="W498" s="12" t="str">
        <f aca="false">IF(O498="","",IFERROR(V498/O498*100,0))</f>
        <v/>
      </c>
      <c r="X498" s="11"/>
      <c r="Y498" s="11"/>
      <c r="Z498" s="11"/>
      <c r="AA498" s="11"/>
      <c r="AB498" s="11"/>
      <c r="AC498" s="11"/>
      <c r="AD498" s="11"/>
      <c r="AE498" s="11"/>
      <c r="AF498" s="12" t="str">
        <f aca="false">IF(O498="","",SUM(X498:AE498))</f>
        <v/>
      </c>
      <c r="AG498" s="12" t="str">
        <f aca="false">IF(O498="","",IFERROR(AF498/O498*1000,0))</f>
        <v/>
      </c>
      <c r="AH498" s="11"/>
      <c r="AI498" s="11"/>
      <c r="AJ498" s="11"/>
      <c r="AK498" s="9"/>
      <c r="AL498" s="9"/>
      <c r="AM498" s="9"/>
    </row>
    <row r="499" customFormat="false" ht="15" hidden="false" customHeight="true" outlineLevel="0" collapsed="false">
      <c r="A499" s="6"/>
      <c r="B499" s="7"/>
      <c r="C499" s="8"/>
      <c r="D499" s="8"/>
      <c r="E499" s="8"/>
      <c r="F499" s="9"/>
      <c r="G499" s="8"/>
      <c r="H499" s="10" t="str">
        <f aca="false">IFERROR(INDEX('Operator Master'!$B$5:$B$504,MATCH(G499,'Operator Master'!$A$5:$A$504,0)),"")</f>
        <v/>
      </c>
      <c r="I499" s="9"/>
      <c r="J499" s="9"/>
      <c r="K499" s="8"/>
      <c r="L499" s="9"/>
      <c r="M499" s="9"/>
      <c r="N499" s="11"/>
      <c r="O499" s="11"/>
      <c r="P499" s="12" t="str">
        <f aca="false">IF(OR(N499="",O499=""),"",IFERROR(O499/N499*100,0))</f>
        <v/>
      </c>
      <c r="Q499" s="10" t="n">
        <v>8</v>
      </c>
      <c r="R499" s="12" t="str">
        <f aca="false">IF(J499="","",Q499*J499)</f>
        <v/>
      </c>
      <c r="S499" s="11"/>
      <c r="T499" s="12" t="str">
        <f aca="false">IF(OR(R499="",S499=""),"",IFERROR(S499/R499*100,0))</f>
        <v/>
      </c>
      <c r="U499" s="12" t="str">
        <f aca="false">IF(OR(O499="",L499="",M499="",S499="",M499=0),"",IFERROR(O499/(L499*60*S499/(M499*36))*100,0))</f>
        <v/>
      </c>
      <c r="V499" s="11"/>
      <c r="W499" s="12" t="str">
        <f aca="false">IF(O499="","",IFERROR(V499/O499*100,0))</f>
        <v/>
      </c>
      <c r="X499" s="11"/>
      <c r="Y499" s="11"/>
      <c r="Z499" s="11"/>
      <c r="AA499" s="11"/>
      <c r="AB499" s="11"/>
      <c r="AC499" s="11"/>
      <c r="AD499" s="11"/>
      <c r="AE499" s="11"/>
      <c r="AF499" s="12" t="str">
        <f aca="false">IF(O499="","",SUM(X499:AE499))</f>
        <v/>
      </c>
      <c r="AG499" s="12" t="str">
        <f aca="false">IF(O499="","",IFERROR(AF499/O499*1000,0))</f>
        <v/>
      </c>
      <c r="AH499" s="11"/>
      <c r="AI499" s="11"/>
      <c r="AJ499" s="11"/>
      <c r="AK499" s="9"/>
      <c r="AL499" s="9"/>
      <c r="AM499" s="9"/>
    </row>
    <row r="500" customFormat="false" ht="15" hidden="false" customHeight="true" outlineLevel="0" collapsed="false">
      <c r="A500" s="6"/>
      <c r="B500" s="7"/>
      <c r="C500" s="8"/>
      <c r="D500" s="8"/>
      <c r="E500" s="8"/>
      <c r="F500" s="9"/>
      <c r="G500" s="8"/>
      <c r="H500" s="10" t="str">
        <f aca="false">IFERROR(INDEX('Operator Master'!$B$5:$B$504,MATCH(G500,'Operator Master'!$A$5:$A$504,0)),"")</f>
        <v/>
      </c>
      <c r="I500" s="9"/>
      <c r="J500" s="9"/>
      <c r="K500" s="8"/>
      <c r="L500" s="9"/>
      <c r="M500" s="9"/>
      <c r="N500" s="11"/>
      <c r="O500" s="11"/>
      <c r="P500" s="12" t="str">
        <f aca="false">IF(OR(N500="",O500=""),"",IFERROR(O500/N500*100,0))</f>
        <v/>
      </c>
      <c r="Q500" s="10" t="n">
        <v>8</v>
      </c>
      <c r="R500" s="12" t="str">
        <f aca="false">IF(J500="","",Q500*J500)</f>
        <v/>
      </c>
      <c r="S500" s="11"/>
      <c r="T500" s="12" t="str">
        <f aca="false">IF(OR(R500="",S500=""),"",IFERROR(S500/R500*100,0))</f>
        <v/>
      </c>
      <c r="U500" s="12" t="str">
        <f aca="false">IF(OR(O500="",L500="",M500="",S500="",M500=0),"",IFERROR(O500/(L500*60*S500/(M500*36))*100,0))</f>
        <v/>
      </c>
      <c r="V500" s="11"/>
      <c r="W500" s="12" t="str">
        <f aca="false">IF(O500="","",IFERROR(V500/O500*100,0))</f>
        <v/>
      </c>
      <c r="X500" s="11"/>
      <c r="Y500" s="11"/>
      <c r="Z500" s="11"/>
      <c r="AA500" s="11"/>
      <c r="AB500" s="11"/>
      <c r="AC500" s="11"/>
      <c r="AD500" s="11"/>
      <c r="AE500" s="11"/>
      <c r="AF500" s="12" t="str">
        <f aca="false">IF(O500="","",SUM(X500:AE500))</f>
        <v/>
      </c>
      <c r="AG500" s="12" t="str">
        <f aca="false">IF(O500="","",IFERROR(AF500/O500*1000,0))</f>
        <v/>
      </c>
      <c r="AH500" s="11"/>
      <c r="AI500" s="11"/>
      <c r="AJ500" s="11"/>
      <c r="AK500" s="9"/>
      <c r="AL500" s="9"/>
      <c r="AM500" s="9"/>
    </row>
    <row r="501" customFormat="false" ht="15" hidden="false" customHeight="true" outlineLevel="0" collapsed="false">
      <c r="A501" s="6"/>
      <c r="B501" s="7"/>
      <c r="C501" s="8"/>
      <c r="D501" s="8"/>
      <c r="E501" s="8"/>
      <c r="F501" s="9"/>
      <c r="G501" s="8"/>
      <c r="H501" s="10" t="str">
        <f aca="false">IFERROR(INDEX('Operator Master'!$B$5:$B$504,MATCH(G501,'Operator Master'!$A$5:$A$504,0)),"")</f>
        <v/>
      </c>
      <c r="I501" s="9"/>
      <c r="J501" s="9"/>
      <c r="K501" s="8"/>
      <c r="L501" s="9"/>
      <c r="M501" s="9"/>
      <c r="N501" s="11"/>
      <c r="O501" s="11"/>
      <c r="P501" s="12" t="str">
        <f aca="false">IF(OR(N501="",O501=""),"",IFERROR(O501/N501*100,0))</f>
        <v/>
      </c>
      <c r="Q501" s="10" t="n">
        <v>8</v>
      </c>
      <c r="R501" s="12" t="str">
        <f aca="false">IF(J501="","",Q501*J501)</f>
        <v/>
      </c>
      <c r="S501" s="11"/>
      <c r="T501" s="12" t="str">
        <f aca="false">IF(OR(R501="",S501=""),"",IFERROR(S501/R501*100,0))</f>
        <v/>
      </c>
      <c r="U501" s="12" t="str">
        <f aca="false">IF(OR(O501="",L501="",M501="",S501="",M501=0),"",IFERROR(O501/(L501*60*S501/(M501*36))*100,0))</f>
        <v/>
      </c>
      <c r="V501" s="11"/>
      <c r="W501" s="12" t="str">
        <f aca="false">IF(O501="","",IFERROR(V501/O501*100,0))</f>
        <v/>
      </c>
      <c r="X501" s="11"/>
      <c r="Y501" s="11"/>
      <c r="Z501" s="11"/>
      <c r="AA501" s="11"/>
      <c r="AB501" s="11"/>
      <c r="AC501" s="11"/>
      <c r="AD501" s="11"/>
      <c r="AE501" s="11"/>
      <c r="AF501" s="12" t="str">
        <f aca="false">IF(O501="","",SUM(X501:AE501))</f>
        <v/>
      </c>
      <c r="AG501" s="12" t="str">
        <f aca="false">IF(O501="","",IFERROR(AF501/O501*1000,0))</f>
        <v/>
      </c>
      <c r="AH501" s="11"/>
      <c r="AI501" s="11"/>
      <c r="AJ501" s="11"/>
      <c r="AK501" s="9"/>
      <c r="AL501" s="9"/>
      <c r="AM501" s="9"/>
    </row>
    <row r="502" customFormat="false" ht="15" hidden="false" customHeight="true" outlineLevel="0" collapsed="false">
      <c r="A502" s="6"/>
      <c r="B502" s="7"/>
      <c r="C502" s="8"/>
      <c r="D502" s="8"/>
      <c r="E502" s="8"/>
      <c r="F502" s="9"/>
      <c r="G502" s="8"/>
      <c r="H502" s="10" t="str">
        <f aca="false">IFERROR(INDEX('Operator Master'!$B$5:$B$504,MATCH(G502,'Operator Master'!$A$5:$A$504,0)),"")</f>
        <v/>
      </c>
      <c r="I502" s="9"/>
      <c r="J502" s="9"/>
      <c r="K502" s="8"/>
      <c r="L502" s="9"/>
      <c r="M502" s="9"/>
      <c r="N502" s="11"/>
      <c r="O502" s="11"/>
      <c r="P502" s="12" t="str">
        <f aca="false">IF(OR(N502="",O502=""),"",IFERROR(O502/N502*100,0))</f>
        <v/>
      </c>
      <c r="Q502" s="10" t="n">
        <v>8</v>
      </c>
      <c r="R502" s="12" t="str">
        <f aca="false">IF(J502="","",Q502*J502)</f>
        <v/>
      </c>
      <c r="S502" s="11"/>
      <c r="T502" s="12" t="str">
        <f aca="false">IF(OR(R502="",S502=""),"",IFERROR(S502/R502*100,0))</f>
        <v/>
      </c>
      <c r="U502" s="12" t="str">
        <f aca="false">IF(OR(O502="",L502="",M502="",S502="",M502=0),"",IFERROR(O502/(L502*60*S502/(M502*36))*100,0))</f>
        <v/>
      </c>
      <c r="V502" s="11"/>
      <c r="W502" s="12" t="str">
        <f aca="false">IF(O502="","",IFERROR(V502/O502*100,0))</f>
        <v/>
      </c>
      <c r="X502" s="11"/>
      <c r="Y502" s="11"/>
      <c r="Z502" s="11"/>
      <c r="AA502" s="11"/>
      <c r="AB502" s="11"/>
      <c r="AC502" s="11"/>
      <c r="AD502" s="11"/>
      <c r="AE502" s="11"/>
      <c r="AF502" s="12" t="str">
        <f aca="false">IF(O502="","",SUM(X502:AE502))</f>
        <v/>
      </c>
      <c r="AG502" s="12" t="str">
        <f aca="false">IF(O502="","",IFERROR(AF502/O502*1000,0))</f>
        <v/>
      </c>
      <c r="AH502" s="11"/>
      <c r="AI502" s="11"/>
      <c r="AJ502" s="11"/>
      <c r="AK502" s="9"/>
      <c r="AL502" s="9"/>
      <c r="AM502" s="9"/>
    </row>
    <row r="503" customFormat="false" ht="15" hidden="false" customHeight="true" outlineLevel="0" collapsed="false">
      <c r="A503" s="6"/>
      <c r="B503" s="7"/>
      <c r="C503" s="8"/>
      <c r="D503" s="8"/>
      <c r="E503" s="8"/>
      <c r="F503" s="9"/>
      <c r="G503" s="8"/>
      <c r="H503" s="10" t="str">
        <f aca="false">IFERROR(INDEX('Operator Master'!$B$5:$B$504,MATCH(G503,'Operator Master'!$A$5:$A$504,0)),"")</f>
        <v/>
      </c>
      <c r="I503" s="9"/>
      <c r="J503" s="9"/>
      <c r="K503" s="8"/>
      <c r="L503" s="9"/>
      <c r="M503" s="9"/>
      <c r="N503" s="11"/>
      <c r="O503" s="11"/>
      <c r="P503" s="12" t="str">
        <f aca="false">IF(OR(N503="",O503=""),"",IFERROR(O503/N503*100,0))</f>
        <v/>
      </c>
      <c r="Q503" s="10" t="n">
        <v>8</v>
      </c>
      <c r="R503" s="12" t="str">
        <f aca="false">IF(J503="","",Q503*J503)</f>
        <v/>
      </c>
      <c r="S503" s="11"/>
      <c r="T503" s="12" t="str">
        <f aca="false">IF(OR(R503="",S503=""),"",IFERROR(S503/R503*100,0))</f>
        <v/>
      </c>
      <c r="U503" s="12" t="str">
        <f aca="false">IF(OR(O503="",L503="",M503="",S503="",M503=0),"",IFERROR(O503/(L503*60*S503/(M503*36))*100,0))</f>
        <v/>
      </c>
      <c r="V503" s="11"/>
      <c r="W503" s="12" t="str">
        <f aca="false">IF(O503="","",IFERROR(V503/O503*100,0))</f>
        <v/>
      </c>
      <c r="X503" s="11"/>
      <c r="Y503" s="11"/>
      <c r="Z503" s="11"/>
      <c r="AA503" s="11"/>
      <c r="AB503" s="11"/>
      <c r="AC503" s="11"/>
      <c r="AD503" s="11"/>
      <c r="AE503" s="11"/>
      <c r="AF503" s="12" t="str">
        <f aca="false">IF(O503="","",SUM(X503:AE503))</f>
        <v/>
      </c>
      <c r="AG503" s="12" t="str">
        <f aca="false">IF(O503="","",IFERROR(AF503/O503*1000,0))</f>
        <v/>
      </c>
      <c r="AH503" s="11"/>
      <c r="AI503" s="11"/>
      <c r="AJ503" s="11"/>
      <c r="AK503" s="9"/>
      <c r="AL503" s="9"/>
      <c r="AM503" s="9"/>
    </row>
    <row r="504" customFormat="false" ht="15" hidden="false" customHeight="true" outlineLevel="0" collapsed="false">
      <c r="A504" s="6"/>
      <c r="B504" s="7"/>
      <c r="C504" s="8"/>
      <c r="D504" s="8"/>
      <c r="E504" s="8"/>
      <c r="F504" s="9"/>
      <c r="G504" s="8"/>
      <c r="H504" s="10" t="str">
        <f aca="false">IFERROR(INDEX('Operator Master'!$B$5:$B$504,MATCH(G504,'Operator Master'!$A$5:$A$504,0)),"")</f>
        <v/>
      </c>
      <c r="I504" s="9"/>
      <c r="J504" s="9"/>
      <c r="K504" s="8"/>
      <c r="L504" s="9"/>
      <c r="M504" s="9"/>
      <c r="N504" s="11"/>
      <c r="O504" s="11"/>
      <c r="P504" s="12" t="str">
        <f aca="false">IF(OR(N504="",O504=""),"",IFERROR(O504/N504*100,0))</f>
        <v/>
      </c>
      <c r="Q504" s="10" t="n">
        <v>8</v>
      </c>
      <c r="R504" s="12" t="str">
        <f aca="false">IF(J504="","",Q504*J504)</f>
        <v/>
      </c>
      <c r="S504" s="11"/>
      <c r="T504" s="12" t="str">
        <f aca="false">IF(OR(R504="",S504=""),"",IFERROR(S504/R504*100,0))</f>
        <v/>
      </c>
      <c r="U504" s="12" t="str">
        <f aca="false">IF(OR(O504="",L504="",M504="",S504="",M504=0),"",IFERROR(O504/(L504*60*S504/(M504*36))*100,0))</f>
        <v/>
      </c>
      <c r="V504" s="11"/>
      <c r="W504" s="12" t="str">
        <f aca="false">IF(O504="","",IFERROR(V504/O504*100,0))</f>
        <v/>
      </c>
      <c r="X504" s="11"/>
      <c r="Y504" s="11"/>
      <c r="Z504" s="11"/>
      <c r="AA504" s="11"/>
      <c r="AB504" s="11"/>
      <c r="AC504" s="11"/>
      <c r="AD504" s="11"/>
      <c r="AE504" s="11"/>
      <c r="AF504" s="12" t="str">
        <f aca="false">IF(O504="","",SUM(X504:AE504))</f>
        <v/>
      </c>
      <c r="AG504" s="12" t="str">
        <f aca="false">IF(O504="","",IFERROR(AF504/O504*1000,0))</f>
        <v/>
      </c>
      <c r="AH504" s="11"/>
      <c r="AI504" s="11"/>
      <c r="AJ504" s="11"/>
      <c r="AK504" s="9"/>
      <c r="AL504" s="9"/>
      <c r="AM504" s="9"/>
    </row>
    <row r="505" customFormat="false" ht="15" hidden="false" customHeight="true" outlineLevel="0" collapsed="false">
      <c r="A505" s="6"/>
      <c r="B505" s="7"/>
      <c r="C505" s="8"/>
      <c r="D505" s="8"/>
      <c r="E505" s="8"/>
      <c r="F505" s="9"/>
      <c r="G505" s="8"/>
      <c r="H505" s="10" t="str">
        <f aca="false">IFERROR(INDEX('Operator Master'!$B$5:$B$504,MATCH(G505,'Operator Master'!$A$5:$A$504,0)),"")</f>
        <v/>
      </c>
      <c r="I505" s="9"/>
      <c r="J505" s="9"/>
      <c r="K505" s="8"/>
      <c r="L505" s="9"/>
      <c r="M505" s="9"/>
      <c r="N505" s="11"/>
      <c r="O505" s="11"/>
      <c r="P505" s="12" t="str">
        <f aca="false">IF(OR(N505="",O505=""),"",IFERROR(O505/N505*100,0))</f>
        <v/>
      </c>
      <c r="Q505" s="10" t="n">
        <v>8</v>
      </c>
      <c r="R505" s="12" t="str">
        <f aca="false">IF(J505="","",Q505*J505)</f>
        <v/>
      </c>
      <c r="S505" s="11"/>
      <c r="T505" s="12" t="str">
        <f aca="false">IF(OR(R505="",S505=""),"",IFERROR(S505/R505*100,0))</f>
        <v/>
      </c>
      <c r="U505" s="12" t="str">
        <f aca="false">IF(OR(O505="",L505="",M505="",S505="",M505=0),"",IFERROR(O505/(L505*60*S505/(M505*36))*100,0))</f>
        <v/>
      </c>
      <c r="V505" s="11"/>
      <c r="W505" s="12" t="str">
        <f aca="false">IF(O505="","",IFERROR(V505/O505*100,0))</f>
        <v/>
      </c>
      <c r="X505" s="11"/>
      <c r="Y505" s="11"/>
      <c r="Z505" s="11"/>
      <c r="AA505" s="11"/>
      <c r="AB505" s="11"/>
      <c r="AC505" s="11"/>
      <c r="AD505" s="11"/>
      <c r="AE505" s="11"/>
      <c r="AF505" s="12" t="str">
        <f aca="false">IF(O505="","",SUM(X505:AE505))</f>
        <v/>
      </c>
      <c r="AG505" s="12" t="str">
        <f aca="false">IF(O505="","",IFERROR(AF505/O505*1000,0))</f>
        <v/>
      </c>
      <c r="AH505" s="11"/>
      <c r="AI505" s="11"/>
      <c r="AJ505" s="11"/>
      <c r="AK505" s="9"/>
      <c r="AL505" s="9"/>
      <c r="AM505" s="9"/>
    </row>
  </sheetData>
  <autoFilter ref="A5:AM505"/>
  <mergeCells count="1">
    <mergeCell ref="A1:AM2"/>
  </mergeCells>
  <dataValidations count="7">
    <dataValidation allowBlank="true" errorStyle="stop" operator="between" showDropDown="false" showErrorMessage="false" showInputMessage="false" sqref="C6:C505" type="list">
      <formula1>"A,B,C"</formula1>
      <formula2>0</formula2>
    </dataValidation>
    <dataValidation allowBlank="true" errorStyle="stop" operator="between" showDropDown="false" showErrorMessage="false" showInputMessage="false" sqref="D6:D505" type="list">
      <formula1>"A,B,C"</formula1>
      <formula2>0</formula2>
    </dataValidation>
    <dataValidation allowBlank="true" errorStyle="stop" operator="between" showDropDown="false" showErrorMessage="false" showInputMessage="false" sqref="E6:E505" type="list">
      <formula1>"Normal,Changed,Temporary,Replacement,Unplanned"</formula1>
      <formula2>0</formula2>
    </dataValidation>
    <dataValidation allowBlank="true" errorStyle="stop" operator="between" showDropDown="false" showErrorMessage="false" showInputMessage="false" sqref="F6:F505" type="list">
      <formula1>"Normal Rotation,Shift Swap,Leave Replacement,Absence Replacement,Emergency Assignment,Training,Supervisor Adjustment,Production Requirement,Other"</formula1>
      <formula2>0</formula2>
    </dataValidation>
    <dataValidation allowBlank="true" errorStyle="stop" operator="between" showDropDown="false" showErrorMessage="false" showInputMessage="false" sqref="G6:G505" type="list">
      <formula1>'Operator Master'!$A$5:$A$504</formula1>
      <formula2>0</formula2>
    </dataValidation>
    <dataValidation allowBlank="true" errorStyle="stop" operator="between" showDropDown="false" showErrorMessage="false" showInputMessage="false" sqref="K6:K505" type="list">
      <formula1>'Loom Master'!$A$5:$A$154</formula1>
      <formula2>0</formula2>
    </dataValidation>
    <dataValidation allowBlank="true" errorStyle="stop" operator="between" showDropDown="false" showErrorMessage="false" showInputMessage="false" sqref="AM6:AM5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2" min="11" style="1" width="15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40"/>
  </cols>
  <sheetData>
    <row r="1" customFormat="false" ht="27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128</v>
      </c>
    </row>
    <row r="4" customFormat="false" ht="15" hidden="false" customHeight="true" outlineLevel="0" collapsed="false">
      <c r="A4" s="4" t="s">
        <v>129</v>
      </c>
    </row>
    <row r="5" customFormat="false" ht="33.75" hidden="false" customHeight="true" outlineLevel="0" collapsed="false">
      <c r="A5" s="5" t="s">
        <v>130</v>
      </c>
      <c r="B5" s="5" t="s">
        <v>4</v>
      </c>
      <c r="C5" s="5" t="s">
        <v>6</v>
      </c>
      <c r="D5" s="5" t="s">
        <v>131</v>
      </c>
      <c r="E5" s="5" t="s">
        <v>9</v>
      </c>
      <c r="F5" s="5" t="s">
        <v>10</v>
      </c>
      <c r="G5" s="5" t="s">
        <v>132</v>
      </c>
      <c r="H5" s="5" t="s">
        <v>133</v>
      </c>
      <c r="I5" s="5" t="s">
        <v>134</v>
      </c>
      <c r="J5" s="5" t="s">
        <v>135</v>
      </c>
      <c r="K5" s="5" t="s">
        <v>136</v>
      </c>
      <c r="L5" s="5" t="s">
        <v>137</v>
      </c>
      <c r="M5" s="5" t="s">
        <v>138</v>
      </c>
      <c r="N5" s="5" t="s">
        <v>139</v>
      </c>
      <c r="O5" s="5" t="s">
        <v>140</v>
      </c>
    </row>
    <row r="6" customFormat="false" ht="15" hidden="false" customHeight="true" outlineLevel="0" collapsed="false">
      <c r="A6" s="1" t="n">
        <v>1</v>
      </c>
      <c r="B6" s="13"/>
      <c r="F6" s="14" t="str">
        <f aca="false">IFERROR(INDEX('Operator Master'!$B$5:$B$504,MATCH(E6,'Operator Master'!$A$5:$A$504,0)),"")</f>
        <v/>
      </c>
      <c r="H6" s="14" t="str">
        <f aca="false">IFERROR(INDEX('Fault Master'!$B$5:$B$104,MATCH(G6,'Fault Master'!$A$5:$A$104,0)),"")</f>
        <v/>
      </c>
      <c r="I6" s="14" t="str">
        <f aca="false">IFERROR(INDEX('Fault Master'!$C$5:$C$104,MATCH(G6,'Fault Master'!$A$5:$A$104,0)),"")</f>
        <v/>
      </c>
      <c r="M6" s="14" t="str">
        <f aca="false">IFERROR(INDEX('Fault Master'!$D$5:$D$104,MATCH(G6,'Fault Master'!$A$5:$A$104,0)),"")</f>
        <v/>
      </c>
    </row>
    <row r="7" customFormat="false" ht="15" hidden="false" customHeight="true" outlineLevel="0" collapsed="false">
      <c r="A7" s="1" t="n">
        <v>2</v>
      </c>
      <c r="B7" s="13"/>
      <c r="F7" s="14" t="str">
        <f aca="false">IFERROR(INDEX('Operator Master'!$B$5:$B$504,MATCH(E7,'Operator Master'!$A$5:$A$504,0)),"")</f>
        <v/>
      </c>
      <c r="H7" s="14" t="str">
        <f aca="false">IFERROR(INDEX('Fault Master'!$B$5:$B$104,MATCH(G7,'Fault Master'!$A$5:$A$104,0)),"")</f>
        <v/>
      </c>
      <c r="I7" s="14" t="str">
        <f aca="false">IFERROR(INDEX('Fault Master'!$C$5:$C$104,MATCH(G7,'Fault Master'!$A$5:$A$104,0)),"")</f>
        <v/>
      </c>
      <c r="M7" s="14" t="str">
        <f aca="false">IFERROR(INDEX('Fault Master'!$D$5:$D$104,MATCH(G7,'Fault Master'!$A$5:$A$104,0)),"")</f>
        <v/>
      </c>
    </row>
    <row r="8" customFormat="false" ht="15" hidden="false" customHeight="true" outlineLevel="0" collapsed="false">
      <c r="A8" s="1" t="n">
        <v>3</v>
      </c>
      <c r="B8" s="13"/>
      <c r="F8" s="14" t="str">
        <f aca="false">IFERROR(INDEX('Operator Master'!$B$5:$B$504,MATCH(E8,'Operator Master'!$A$5:$A$504,0)),"")</f>
        <v/>
      </c>
      <c r="H8" s="14" t="str">
        <f aca="false">IFERROR(INDEX('Fault Master'!$B$5:$B$104,MATCH(G8,'Fault Master'!$A$5:$A$104,0)),"")</f>
        <v/>
      </c>
      <c r="I8" s="14" t="str">
        <f aca="false">IFERROR(INDEX('Fault Master'!$C$5:$C$104,MATCH(G8,'Fault Master'!$A$5:$A$104,0)),"")</f>
        <v/>
      </c>
      <c r="M8" s="14" t="str">
        <f aca="false">IFERROR(INDEX('Fault Master'!$D$5:$D$104,MATCH(G8,'Fault Master'!$A$5:$A$104,0)),"")</f>
        <v/>
      </c>
    </row>
    <row r="9" customFormat="false" ht="15" hidden="false" customHeight="true" outlineLevel="0" collapsed="false">
      <c r="A9" s="1" t="n">
        <v>4</v>
      </c>
      <c r="B9" s="13"/>
      <c r="F9" s="14" t="str">
        <f aca="false">IFERROR(INDEX('Operator Master'!$B$5:$B$504,MATCH(E9,'Operator Master'!$A$5:$A$504,0)),"")</f>
        <v/>
      </c>
      <c r="H9" s="14" t="str">
        <f aca="false">IFERROR(INDEX('Fault Master'!$B$5:$B$104,MATCH(G9,'Fault Master'!$A$5:$A$104,0)),"")</f>
        <v/>
      </c>
      <c r="I9" s="14" t="str">
        <f aca="false">IFERROR(INDEX('Fault Master'!$C$5:$C$104,MATCH(G9,'Fault Master'!$A$5:$A$104,0)),"")</f>
        <v/>
      </c>
      <c r="M9" s="14" t="str">
        <f aca="false">IFERROR(INDEX('Fault Master'!$D$5:$D$104,MATCH(G9,'Fault Master'!$A$5:$A$104,0)),"")</f>
        <v/>
      </c>
    </row>
    <row r="10" customFormat="false" ht="15" hidden="false" customHeight="true" outlineLevel="0" collapsed="false">
      <c r="A10" s="1" t="n">
        <v>5</v>
      </c>
      <c r="B10" s="13"/>
      <c r="F10" s="14" t="str">
        <f aca="false">IFERROR(INDEX('Operator Master'!$B$5:$B$504,MATCH(E10,'Operator Master'!$A$5:$A$504,0)),"")</f>
        <v/>
      </c>
      <c r="H10" s="14" t="str">
        <f aca="false">IFERROR(INDEX('Fault Master'!$B$5:$B$104,MATCH(G10,'Fault Master'!$A$5:$A$104,0)),"")</f>
        <v/>
      </c>
      <c r="I10" s="14" t="str">
        <f aca="false">IFERROR(INDEX('Fault Master'!$C$5:$C$104,MATCH(G10,'Fault Master'!$A$5:$A$104,0)),"")</f>
        <v/>
      </c>
      <c r="M10" s="14" t="str">
        <f aca="false">IFERROR(INDEX('Fault Master'!$D$5:$D$104,MATCH(G10,'Fault Master'!$A$5:$A$104,0)),"")</f>
        <v/>
      </c>
    </row>
    <row r="11" customFormat="false" ht="15" hidden="false" customHeight="true" outlineLevel="0" collapsed="false">
      <c r="A11" s="1" t="n">
        <v>6</v>
      </c>
      <c r="B11" s="13"/>
      <c r="F11" s="14" t="str">
        <f aca="false">IFERROR(INDEX('Operator Master'!$B$5:$B$504,MATCH(E11,'Operator Master'!$A$5:$A$504,0)),"")</f>
        <v/>
      </c>
      <c r="H11" s="14" t="str">
        <f aca="false">IFERROR(INDEX('Fault Master'!$B$5:$B$104,MATCH(G11,'Fault Master'!$A$5:$A$104,0)),"")</f>
        <v/>
      </c>
      <c r="I11" s="14" t="str">
        <f aca="false">IFERROR(INDEX('Fault Master'!$C$5:$C$104,MATCH(G11,'Fault Master'!$A$5:$A$104,0)),"")</f>
        <v/>
      </c>
      <c r="M11" s="14" t="str">
        <f aca="false">IFERROR(INDEX('Fault Master'!$D$5:$D$104,MATCH(G11,'Fault Master'!$A$5:$A$104,0)),"")</f>
        <v/>
      </c>
    </row>
    <row r="12" customFormat="false" ht="15" hidden="false" customHeight="true" outlineLevel="0" collapsed="false">
      <c r="A12" s="1" t="n">
        <v>7</v>
      </c>
      <c r="B12" s="13"/>
      <c r="F12" s="14" t="str">
        <f aca="false">IFERROR(INDEX('Operator Master'!$B$5:$B$504,MATCH(E12,'Operator Master'!$A$5:$A$504,0)),"")</f>
        <v/>
      </c>
      <c r="H12" s="14" t="str">
        <f aca="false">IFERROR(INDEX('Fault Master'!$B$5:$B$104,MATCH(G12,'Fault Master'!$A$5:$A$104,0)),"")</f>
        <v/>
      </c>
      <c r="I12" s="14" t="str">
        <f aca="false">IFERROR(INDEX('Fault Master'!$C$5:$C$104,MATCH(G12,'Fault Master'!$A$5:$A$104,0)),"")</f>
        <v/>
      </c>
      <c r="M12" s="14" t="str">
        <f aca="false">IFERROR(INDEX('Fault Master'!$D$5:$D$104,MATCH(G12,'Fault Master'!$A$5:$A$104,0)),"")</f>
        <v/>
      </c>
    </row>
    <row r="13" customFormat="false" ht="15" hidden="false" customHeight="true" outlineLevel="0" collapsed="false">
      <c r="A13" s="1" t="n">
        <v>8</v>
      </c>
      <c r="B13" s="13"/>
      <c r="F13" s="14" t="str">
        <f aca="false">IFERROR(INDEX('Operator Master'!$B$5:$B$504,MATCH(E13,'Operator Master'!$A$5:$A$504,0)),"")</f>
        <v/>
      </c>
      <c r="H13" s="14" t="str">
        <f aca="false">IFERROR(INDEX('Fault Master'!$B$5:$B$104,MATCH(G13,'Fault Master'!$A$5:$A$104,0)),"")</f>
        <v/>
      </c>
      <c r="I13" s="14" t="str">
        <f aca="false">IFERROR(INDEX('Fault Master'!$C$5:$C$104,MATCH(G13,'Fault Master'!$A$5:$A$104,0)),"")</f>
        <v/>
      </c>
      <c r="M13" s="14" t="str">
        <f aca="false">IFERROR(INDEX('Fault Master'!$D$5:$D$104,MATCH(G13,'Fault Master'!$A$5:$A$104,0)),"")</f>
        <v/>
      </c>
    </row>
    <row r="14" customFormat="false" ht="15" hidden="false" customHeight="true" outlineLevel="0" collapsed="false">
      <c r="A14" s="1" t="n">
        <v>9</v>
      </c>
      <c r="B14" s="13"/>
      <c r="F14" s="14" t="str">
        <f aca="false">IFERROR(INDEX('Operator Master'!$B$5:$B$504,MATCH(E14,'Operator Master'!$A$5:$A$504,0)),"")</f>
        <v/>
      </c>
      <c r="H14" s="14" t="str">
        <f aca="false">IFERROR(INDEX('Fault Master'!$B$5:$B$104,MATCH(G14,'Fault Master'!$A$5:$A$104,0)),"")</f>
        <v/>
      </c>
      <c r="I14" s="14" t="str">
        <f aca="false">IFERROR(INDEX('Fault Master'!$C$5:$C$104,MATCH(G14,'Fault Master'!$A$5:$A$104,0)),"")</f>
        <v/>
      </c>
      <c r="M14" s="14" t="str">
        <f aca="false">IFERROR(INDEX('Fault Master'!$D$5:$D$104,MATCH(G14,'Fault Master'!$A$5:$A$104,0)),"")</f>
        <v/>
      </c>
    </row>
    <row r="15" customFormat="false" ht="15" hidden="false" customHeight="true" outlineLevel="0" collapsed="false">
      <c r="A15" s="1" t="n">
        <v>10</v>
      </c>
      <c r="B15" s="13"/>
      <c r="F15" s="14" t="str">
        <f aca="false">IFERROR(INDEX('Operator Master'!$B$5:$B$504,MATCH(E15,'Operator Master'!$A$5:$A$504,0)),"")</f>
        <v/>
      </c>
      <c r="H15" s="14" t="str">
        <f aca="false">IFERROR(INDEX('Fault Master'!$B$5:$B$104,MATCH(G15,'Fault Master'!$A$5:$A$104,0)),"")</f>
        <v/>
      </c>
      <c r="I15" s="14" t="str">
        <f aca="false">IFERROR(INDEX('Fault Master'!$C$5:$C$104,MATCH(G15,'Fault Master'!$A$5:$A$104,0)),"")</f>
        <v/>
      </c>
      <c r="M15" s="14" t="str">
        <f aca="false">IFERROR(INDEX('Fault Master'!$D$5:$D$104,MATCH(G15,'Fault Master'!$A$5:$A$104,0)),"")</f>
        <v/>
      </c>
    </row>
    <row r="16" customFormat="false" ht="15" hidden="false" customHeight="true" outlineLevel="0" collapsed="false">
      <c r="A16" s="1" t="n">
        <v>11</v>
      </c>
      <c r="B16" s="13"/>
      <c r="F16" s="14" t="str">
        <f aca="false">IFERROR(INDEX('Operator Master'!$B$5:$B$504,MATCH(E16,'Operator Master'!$A$5:$A$504,0)),"")</f>
        <v/>
      </c>
      <c r="H16" s="14" t="str">
        <f aca="false">IFERROR(INDEX('Fault Master'!$B$5:$B$104,MATCH(G16,'Fault Master'!$A$5:$A$104,0)),"")</f>
        <v/>
      </c>
      <c r="I16" s="14" t="str">
        <f aca="false">IFERROR(INDEX('Fault Master'!$C$5:$C$104,MATCH(G16,'Fault Master'!$A$5:$A$104,0)),"")</f>
        <v/>
      </c>
      <c r="M16" s="14" t="str">
        <f aca="false">IFERROR(INDEX('Fault Master'!$D$5:$D$104,MATCH(G16,'Fault Master'!$A$5:$A$104,0)),"")</f>
        <v/>
      </c>
    </row>
    <row r="17" customFormat="false" ht="15" hidden="false" customHeight="true" outlineLevel="0" collapsed="false">
      <c r="A17" s="1" t="n">
        <v>12</v>
      </c>
      <c r="B17" s="13"/>
      <c r="F17" s="14" t="str">
        <f aca="false">IFERROR(INDEX('Operator Master'!$B$5:$B$504,MATCH(E17,'Operator Master'!$A$5:$A$504,0)),"")</f>
        <v/>
      </c>
      <c r="H17" s="14" t="str">
        <f aca="false">IFERROR(INDEX('Fault Master'!$B$5:$B$104,MATCH(G17,'Fault Master'!$A$5:$A$104,0)),"")</f>
        <v/>
      </c>
      <c r="I17" s="14" t="str">
        <f aca="false">IFERROR(INDEX('Fault Master'!$C$5:$C$104,MATCH(G17,'Fault Master'!$A$5:$A$104,0)),"")</f>
        <v/>
      </c>
      <c r="M17" s="14" t="str">
        <f aca="false">IFERROR(INDEX('Fault Master'!$D$5:$D$104,MATCH(G17,'Fault Master'!$A$5:$A$104,0)),"")</f>
        <v/>
      </c>
    </row>
    <row r="18" customFormat="false" ht="15" hidden="false" customHeight="true" outlineLevel="0" collapsed="false">
      <c r="A18" s="1" t="n">
        <v>13</v>
      </c>
      <c r="B18" s="13"/>
      <c r="F18" s="14" t="str">
        <f aca="false">IFERROR(INDEX('Operator Master'!$B$5:$B$504,MATCH(E18,'Operator Master'!$A$5:$A$504,0)),"")</f>
        <v/>
      </c>
      <c r="H18" s="14" t="str">
        <f aca="false">IFERROR(INDEX('Fault Master'!$B$5:$B$104,MATCH(G18,'Fault Master'!$A$5:$A$104,0)),"")</f>
        <v/>
      </c>
      <c r="I18" s="14" t="str">
        <f aca="false">IFERROR(INDEX('Fault Master'!$C$5:$C$104,MATCH(G18,'Fault Master'!$A$5:$A$104,0)),"")</f>
        <v/>
      </c>
      <c r="M18" s="14" t="str">
        <f aca="false">IFERROR(INDEX('Fault Master'!$D$5:$D$104,MATCH(G18,'Fault Master'!$A$5:$A$104,0)),"")</f>
        <v/>
      </c>
    </row>
    <row r="19" customFormat="false" ht="15" hidden="false" customHeight="true" outlineLevel="0" collapsed="false">
      <c r="A19" s="1" t="n">
        <v>14</v>
      </c>
      <c r="B19" s="13"/>
      <c r="F19" s="14" t="str">
        <f aca="false">IFERROR(INDEX('Operator Master'!$B$5:$B$504,MATCH(E19,'Operator Master'!$A$5:$A$504,0)),"")</f>
        <v/>
      </c>
      <c r="H19" s="14" t="str">
        <f aca="false">IFERROR(INDEX('Fault Master'!$B$5:$B$104,MATCH(G19,'Fault Master'!$A$5:$A$104,0)),"")</f>
        <v/>
      </c>
      <c r="I19" s="14" t="str">
        <f aca="false">IFERROR(INDEX('Fault Master'!$C$5:$C$104,MATCH(G19,'Fault Master'!$A$5:$A$104,0)),"")</f>
        <v/>
      </c>
      <c r="M19" s="14" t="str">
        <f aca="false">IFERROR(INDEX('Fault Master'!$D$5:$D$104,MATCH(G19,'Fault Master'!$A$5:$A$104,0)),"")</f>
        <v/>
      </c>
    </row>
    <row r="20" customFormat="false" ht="15" hidden="false" customHeight="true" outlineLevel="0" collapsed="false">
      <c r="A20" s="1" t="n">
        <v>15</v>
      </c>
      <c r="B20" s="13"/>
      <c r="F20" s="14" t="str">
        <f aca="false">IFERROR(INDEX('Operator Master'!$B$5:$B$504,MATCH(E20,'Operator Master'!$A$5:$A$504,0)),"")</f>
        <v/>
      </c>
      <c r="H20" s="14" t="str">
        <f aca="false">IFERROR(INDEX('Fault Master'!$B$5:$B$104,MATCH(G20,'Fault Master'!$A$5:$A$104,0)),"")</f>
        <v/>
      </c>
      <c r="I20" s="14" t="str">
        <f aca="false">IFERROR(INDEX('Fault Master'!$C$5:$C$104,MATCH(G20,'Fault Master'!$A$5:$A$104,0)),"")</f>
        <v/>
      </c>
      <c r="M20" s="14" t="str">
        <f aca="false">IFERROR(INDEX('Fault Master'!$D$5:$D$104,MATCH(G20,'Fault Master'!$A$5:$A$104,0)),"")</f>
        <v/>
      </c>
    </row>
    <row r="21" customFormat="false" ht="15" hidden="false" customHeight="true" outlineLevel="0" collapsed="false">
      <c r="A21" s="1" t="n">
        <v>16</v>
      </c>
      <c r="B21" s="13"/>
      <c r="F21" s="14" t="str">
        <f aca="false">IFERROR(INDEX('Operator Master'!$B$5:$B$504,MATCH(E21,'Operator Master'!$A$5:$A$504,0)),"")</f>
        <v/>
      </c>
      <c r="H21" s="14" t="str">
        <f aca="false">IFERROR(INDEX('Fault Master'!$B$5:$B$104,MATCH(G21,'Fault Master'!$A$5:$A$104,0)),"")</f>
        <v/>
      </c>
      <c r="I21" s="14" t="str">
        <f aca="false">IFERROR(INDEX('Fault Master'!$C$5:$C$104,MATCH(G21,'Fault Master'!$A$5:$A$104,0)),"")</f>
        <v/>
      </c>
      <c r="M21" s="14" t="str">
        <f aca="false">IFERROR(INDEX('Fault Master'!$D$5:$D$104,MATCH(G21,'Fault Master'!$A$5:$A$104,0)),"")</f>
        <v/>
      </c>
    </row>
    <row r="22" customFormat="false" ht="15" hidden="false" customHeight="true" outlineLevel="0" collapsed="false">
      <c r="A22" s="1" t="n">
        <v>17</v>
      </c>
      <c r="B22" s="13"/>
      <c r="F22" s="14" t="str">
        <f aca="false">IFERROR(INDEX('Operator Master'!$B$5:$B$504,MATCH(E22,'Operator Master'!$A$5:$A$504,0)),"")</f>
        <v/>
      </c>
      <c r="H22" s="14" t="str">
        <f aca="false">IFERROR(INDEX('Fault Master'!$B$5:$B$104,MATCH(G22,'Fault Master'!$A$5:$A$104,0)),"")</f>
        <v/>
      </c>
      <c r="I22" s="14" t="str">
        <f aca="false">IFERROR(INDEX('Fault Master'!$C$5:$C$104,MATCH(G22,'Fault Master'!$A$5:$A$104,0)),"")</f>
        <v/>
      </c>
      <c r="M22" s="14" t="str">
        <f aca="false">IFERROR(INDEX('Fault Master'!$D$5:$D$104,MATCH(G22,'Fault Master'!$A$5:$A$104,0)),"")</f>
        <v/>
      </c>
    </row>
    <row r="23" customFormat="false" ht="15" hidden="false" customHeight="true" outlineLevel="0" collapsed="false">
      <c r="A23" s="1" t="n">
        <v>18</v>
      </c>
      <c r="B23" s="13"/>
      <c r="F23" s="14" t="str">
        <f aca="false">IFERROR(INDEX('Operator Master'!$B$5:$B$504,MATCH(E23,'Operator Master'!$A$5:$A$504,0)),"")</f>
        <v/>
      </c>
      <c r="H23" s="14" t="str">
        <f aca="false">IFERROR(INDEX('Fault Master'!$B$5:$B$104,MATCH(G23,'Fault Master'!$A$5:$A$104,0)),"")</f>
        <v/>
      </c>
      <c r="I23" s="14" t="str">
        <f aca="false">IFERROR(INDEX('Fault Master'!$C$5:$C$104,MATCH(G23,'Fault Master'!$A$5:$A$104,0)),"")</f>
        <v/>
      </c>
      <c r="M23" s="14" t="str">
        <f aca="false">IFERROR(INDEX('Fault Master'!$D$5:$D$104,MATCH(G23,'Fault Master'!$A$5:$A$104,0)),"")</f>
        <v/>
      </c>
    </row>
    <row r="24" customFormat="false" ht="15" hidden="false" customHeight="true" outlineLevel="0" collapsed="false">
      <c r="A24" s="1" t="n">
        <v>19</v>
      </c>
      <c r="B24" s="13"/>
      <c r="F24" s="14" t="str">
        <f aca="false">IFERROR(INDEX('Operator Master'!$B$5:$B$504,MATCH(E24,'Operator Master'!$A$5:$A$504,0)),"")</f>
        <v/>
      </c>
      <c r="H24" s="14" t="str">
        <f aca="false">IFERROR(INDEX('Fault Master'!$B$5:$B$104,MATCH(G24,'Fault Master'!$A$5:$A$104,0)),"")</f>
        <v/>
      </c>
      <c r="I24" s="14" t="str">
        <f aca="false">IFERROR(INDEX('Fault Master'!$C$5:$C$104,MATCH(G24,'Fault Master'!$A$5:$A$104,0)),"")</f>
        <v/>
      </c>
      <c r="M24" s="14" t="str">
        <f aca="false">IFERROR(INDEX('Fault Master'!$D$5:$D$104,MATCH(G24,'Fault Master'!$A$5:$A$104,0)),"")</f>
        <v/>
      </c>
    </row>
    <row r="25" customFormat="false" ht="15" hidden="false" customHeight="true" outlineLevel="0" collapsed="false">
      <c r="A25" s="1" t="n">
        <v>20</v>
      </c>
      <c r="B25" s="13"/>
      <c r="F25" s="14" t="str">
        <f aca="false">IFERROR(INDEX('Operator Master'!$B$5:$B$504,MATCH(E25,'Operator Master'!$A$5:$A$504,0)),"")</f>
        <v/>
      </c>
      <c r="H25" s="14" t="str">
        <f aca="false">IFERROR(INDEX('Fault Master'!$B$5:$B$104,MATCH(G25,'Fault Master'!$A$5:$A$104,0)),"")</f>
        <v/>
      </c>
      <c r="I25" s="14" t="str">
        <f aca="false">IFERROR(INDEX('Fault Master'!$C$5:$C$104,MATCH(G25,'Fault Master'!$A$5:$A$104,0)),"")</f>
        <v/>
      </c>
      <c r="M25" s="14" t="str">
        <f aca="false">IFERROR(INDEX('Fault Master'!$D$5:$D$104,MATCH(G25,'Fault Master'!$A$5:$A$104,0)),"")</f>
        <v/>
      </c>
    </row>
    <row r="26" customFormat="false" ht="15" hidden="false" customHeight="true" outlineLevel="0" collapsed="false">
      <c r="A26" s="1" t="n">
        <v>21</v>
      </c>
      <c r="B26" s="13"/>
      <c r="F26" s="14" t="str">
        <f aca="false">IFERROR(INDEX('Operator Master'!$B$5:$B$504,MATCH(E26,'Operator Master'!$A$5:$A$504,0)),"")</f>
        <v/>
      </c>
      <c r="H26" s="14" t="str">
        <f aca="false">IFERROR(INDEX('Fault Master'!$B$5:$B$104,MATCH(G26,'Fault Master'!$A$5:$A$104,0)),"")</f>
        <v/>
      </c>
      <c r="I26" s="14" t="str">
        <f aca="false">IFERROR(INDEX('Fault Master'!$C$5:$C$104,MATCH(G26,'Fault Master'!$A$5:$A$104,0)),"")</f>
        <v/>
      </c>
      <c r="M26" s="14" t="str">
        <f aca="false">IFERROR(INDEX('Fault Master'!$D$5:$D$104,MATCH(G26,'Fault Master'!$A$5:$A$104,0)),"")</f>
        <v/>
      </c>
    </row>
    <row r="27" customFormat="false" ht="15" hidden="false" customHeight="true" outlineLevel="0" collapsed="false">
      <c r="A27" s="1" t="n">
        <v>22</v>
      </c>
      <c r="B27" s="13"/>
      <c r="F27" s="14" t="str">
        <f aca="false">IFERROR(INDEX('Operator Master'!$B$5:$B$504,MATCH(E27,'Operator Master'!$A$5:$A$504,0)),"")</f>
        <v/>
      </c>
      <c r="H27" s="14" t="str">
        <f aca="false">IFERROR(INDEX('Fault Master'!$B$5:$B$104,MATCH(G27,'Fault Master'!$A$5:$A$104,0)),"")</f>
        <v/>
      </c>
      <c r="I27" s="14" t="str">
        <f aca="false">IFERROR(INDEX('Fault Master'!$C$5:$C$104,MATCH(G27,'Fault Master'!$A$5:$A$104,0)),"")</f>
        <v/>
      </c>
      <c r="M27" s="14" t="str">
        <f aca="false">IFERROR(INDEX('Fault Master'!$D$5:$D$104,MATCH(G27,'Fault Master'!$A$5:$A$104,0)),"")</f>
        <v/>
      </c>
    </row>
    <row r="28" customFormat="false" ht="15" hidden="false" customHeight="true" outlineLevel="0" collapsed="false">
      <c r="A28" s="1" t="n">
        <v>23</v>
      </c>
      <c r="B28" s="13"/>
      <c r="F28" s="14" t="str">
        <f aca="false">IFERROR(INDEX('Operator Master'!$B$5:$B$504,MATCH(E28,'Operator Master'!$A$5:$A$504,0)),"")</f>
        <v/>
      </c>
      <c r="H28" s="14" t="str">
        <f aca="false">IFERROR(INDEX('Fault Master'!$B$5:$B$104,MATCH(G28,'Fault Master'!$A$5:$A$104,0)),"")</f>
        <v/>
      </c>
      <c r="I28" s="14" t="str">
        <f aca="false">IFERROR(INDEX('Fault Master'!$C$5:$C$104,MATCH(G28,'Fault Master'!$A$5:$A$104,0)),"")</f>
        <v/>
      </c>
      <c r="M28" s="14" t="str">
        <f aca="false">IFERROR(INDEX('Fault Master'!$D$5:$D$104,MATCH(G28,'Fault Master'!$A$5:$A$104,0)),"")</f>
        <v/>
      </c>
    </row>
    <row r="29" customFormat="false" ht="15" hidden="false" customHeight="true" outlineLevel="0" collapsed="false">
      <c r="A29" s="1" t="n">
        <v>24</v>
      </c>
      <c r="B29" s="13"/>
      <c r="F29" s="14" t="str">
        <f aca="false">IFERROR(INDEX('Operator Master'!$B$5:$B$504,MATCH(E29,'Operator Master'!$A$5:$A$504,0)),"")</f>
        <v/>
      </c>
      <c r="H29" s="14" t="str">
        <f aca="false">IFERROR(INDEX('Fault Master'!$B$5:$B$104,MATCH(G29,'Fault Master'!$A$5:$A$104,0)),"")</f>
        <v/>
      </c>
      <c r="I29" s="14" t="str">
        <f aca="false">IFERROR(INDEX('Fault Master'!$C$5:$C$104,MATCH(G29,'Fault Master'!$A$5:$A$104,0)),"")</f>
        <v/>
      </c>
      <c r="M29" s="14" t="str">
        <f aca="false">IFERROR(INDEX('Fault Master'!$D$5:$D$104,MATCH(G29,'Fault Master'!$A$5:$A$104,0)),"")</f>
        <v/>
      </c>
    </row>
    <row r="30" customFormat="false" ht="15" hidden="false" customHeight="true" outlineLevel="0" collapsed="false">
      <c r="A30" s="1" t="n">
        <v>25</v>
      </c>
      <c r="B30" s="13"/>
      <c r="F30" s="14" t="str">
        <f aca="false">IFERROR(INDEX('Operator Master'!$B$5:$B$504,MATCH(E30,'Operator Master'!$A$5:$A$504,0)),"")</f>
        <v/>
      </c>
      <c r="H30" s="14" t="str">
        <f aca="false">IFERROR(INDEX('Fault Master'!$B$5:$B$104,MATCH(G30,'Fault Master'!$A$5:$A$104,0)),"")</f>
        <v/>
      </c>
      <c r="I30" s="14" t="str">
        <f aca="false">IFERROR(INDEX('Fault Master'!$C$5:$C$104,MATCH(G30,'Fault Master'!$A$5:$A$104,0)),"")</f>
        <v/>
      </c>
      <c r="M30" s="14" t="str">
        <f aca="false">IFERROR(INDEX('Fault Master'!$D$5:$D$104,MATCH(G30,'Fault Master'!$A$5:$A$104,0)),"")</f>
        <v/>
      </c>
    </row>
    <row r="31" customFormat="false" ht="15" hidden="false" customHeight="true" outlineLevel="0" collapsed="false">
      <c r="A31" s="1" t="n">
        <v>26</v>
      </c>
      <c r="B31" s="13"/>
      <c r="F31" s="14" t="str">
        <f aca="false">IFERROR(INDEX('Operator Master'!$B$5:$B$504,MATCH(E31,'Operator Master'!$A$5:$A$504,0)),"")</f>
        <v/>
      </c>
      <c r="H31" s="14" t="str">
        <f aca="false">IFERROR(INDEX('Fault Master'!$B$5:$B$104,MATCH(G31,'Fault Master'!$A$5:$A$104,0)),"")</f>
        <v/>
      </c>
      <c r="I31" s="14" t="str">
        <f aca="false">IFERROR(INDEX('Fault Master'!$C$5:$C$104,MATCH(G31,'Fault Master'!$A$5:$A$104,0)),"")</f>
        <v/>
      </c>
      <c r="M31" s="14" t="str">
        <f aca="false">IFERROR(INDEX('Fault Master'!$D$5:$D$104,MATCH(G31,'Fault Master'!$A$5:$A$104,0)),"")</f>
        <v/>
      </c>
    </row>
    <row r="32" customFormat="false" ht="15" hidden="false" customHeight="true" outlineLevel="0" collapsed="false">
      <c r="A32" s="1" t="n">
        <v>27</v>
      </c>
      <c r="B32" s="13"/>
      <c r="F32" s="14" t="str">
        <f aca="false">IFERROR(INDEX('Operator Master'!$B$5:$B$504,MATCH(E32,'Operator Master'!$A$5:$A$504,0)),"")</f>
        <v/>
      </c>
      <c r="H32" s="14" t="str">
        <f aca="false">IFERROR(INDEX('Fault Master'!$B$5:$B$104,MATCH(G32,'Fault Master'!$A$5:$A$104,0)),"")</f>
        <v/>
      </c>
      <c r="I32" s="14" t="str">
        <f aca="false">IFERROR(INDEX('Fault Master'!$C$5:$C$104,MATCH(G32,'Fault Master'!$A$5:$A$104,0)),"")</f>
        <v/>
      </c>
      <c r="M32" s="14" t="str">
        <f aca="false">IFERROR(INDEX('Fault Master'!$D$5:$D$104,MATCH(G32,'Fault Master'!$A$5:$A$104,0)),"")</f>
        <v/>
      </c>
    </row>
    <row r="33" customFormat="false" ht="15" hidden="false" customHeight="true" outlineLevel="0" collapsed="false">
      <c r="A33" s="1" t="n">
        <v>28</v>
      </c>
      <c r="B33" s="13"/>
      <c r="F33" s="14" t="str">
        <f aca="false">IFERROR(INDEX('Operator Master'!$B$5:$B$504,MATCH(E33,'Operator Master'!$A$5:$A$504,0)),"")</f>
        <v/>
      </c>
      <c r="H33" s="14" t="str">
        <f aca="false">IFERROR(INDEX('Fault Master'!$B$5:$B$104,MATCH(G33,'Fault Master'!$A$5:$A$104,0)),"")</f>
        <v/>
      </c>
      <c r="I33" s="14" t="str">
        <f aca="false">IFERROR(INDEX('Fault Master'!$C$5:$C$104,MATCH(G33,'Fault Master'!$A$5:$A$104,0)),"")</f>
        <v/>
      </c>
      <c r="M33" s="14" t="str">
        <f aca="false">IFERROR(INDEX('Fault Master'!$D$5:$D$104,MATCH(G33,'Fault Master'!$A$5:$A$104,0)),"")</f>
        <v/>
      </c>
    </row>
    <row r="34" customFormat="false" ht="15" hidden="false" customHeight="true" outlineLevel="0" collapsed="false">
      <c r="A34" s="1" t="n">
        <v>29</v>
      </c>
      <c r="B34" s="13"/>
      <c r="F34" s="14" t="str">
        <f aca="false">IFERROR(INDEX('Operator Master'!$B$5:$B$504,MATCH(E34,'Operator Master'!$A$5:$A$504,0)),"")</f>
        <v/>
      </c>
      <c r="H34" s="14" t="str">
        <f aca="false">IFERROR(INDEX('Fault Master'!$B$5:$B$104,MATCH(G34,'Fault Master'!$A$5:$A$104,0)),"")</f>
        <v/>
      </c>
      <c r="I34" s="14" t="str">
        <f aca="false">IFERROR(INDEX('Fault Master'!$C$5:$C$104,MATCH(G34,'Fault Master'!$A$5:$A$104,0)),"")</f>
        <v/>
      </c>
      <c r="M34" s="14" t="str">
        <f aca="false">IFERROR(INDEX('Fault Master'!$D$5:$D$104,MATCH(G34,'Fault Master'!$A$5:$A$104,0)),"")</f>
        <v/>
      </c>
    </row>
    <row r="35" customFormat="false" ht="15" hidden="false" customHeight="true" outlineLevel="0" collapsed="false">
      <c r="A35" s="1" t="n">
        <v>30</v>
      </c>
      <c r="B35" s="13"/>
      <c r="F35" s="14" t="str">
        <f aca="false">IFERROR(INDEX('Operator Master'!$B$5:$B$504,MATCH(E35,'Operator Master'!$A$5:$A$504,0)),"")</f>
        <v/>
      </c>
      <c r="H35" s="14" t="str">
        <f aca="false">IFERROR(INDEX('Fault Master'!$B$5:$B$104,MATCH(G35,'Fault Master'!$A$5:$A$104,0)),"")</f>
        <v/>
      </c>
      <c r="I35" s="14" t="str">
        <f aca="false">IFERROR(INDEX('Fault Master'!$C$5:$C$104,MATCH(G35,'Fault Master'!$A$5:$A$104,0)),"")</f>
        <v/>
      </c>
      <c r="M35" s="14" t="str">
        <f aca="false">IFERROR(INDEX('Fault Master'!$D$5:$D$104,MATCH(G35,'Fault Master'!$A$5:$A$104,0)),"")</f>
        <v/>
      </c>
    </row>
    <row r="36" customFormat="false" ht="15" hidden="false" customHeight="true" outlineLevel="0" collapsed="false">
      <c r="A36" s="1" t="n">
        <v>31</v>
      </c>
      <c r="B36" s="13"/>
      <c r="F36" s="14" t="str">
        <f aca="false">IFERROR(INDEX('Operator Master'!$B$5:$B$504,MATCH(E36,'Operator Master'!$A$5:$A$504,0)),"")</f>
        <v/>
      </c>
      <c r="H36" s="14" t="str">
        <f aca="false">IFERROR(INDEX('Fault Master'!$B$5:$B$104,MATCH(G36,'Fault Master'!$A$5:$A$104,0)),"")</f>
        <v/>
      </c>
      <c r="I36" s="14" t="str">
        <f aca="false">IFERROR(INDEX('Fault Master'!$C$5:$C$104,MATCH(G36,'Fault Master'!$A$5:$A$104,0)),"")</f>
        <v/>
      </c>
      <c r="M36" s="14" t="str">
        <f aca="false">IFERROR(INDEX('Fault Master'!$D$5:$D$104,MATCH(G36,'Fault Master'!$A$5:$A$104,0)),"")</f>
        <v/>
      </c>
    </row>
    <row r="37" customFormat="false" ht="15" hidden="false" customHeight="true" outlineLevel="0" collapsed="false">
      <c r="A37" s="1" t="n">
        <v>32</v>
      </c>
      <c r="B37" s="13"/>
      <c r="F37" s="14" t="str">
        <f aca="false">IFERROR(INDEX('Operator Master'!$B$5:$B$504,MATCH(E37,'Operator Master'!$A$5:$A$504,0)),"")</f>
        <v/>
      </c>
      <c r="H37" s="14" t="str">
        <f aca="false">IFERROR(INDEX('Fault Master'!$B$5:$B$104,MATCH(G37,'Fault Master'!$A$5:$A$104,0)),"")</f>
        <v/>
      </c>
      <c r="I37" s="14" t="str">
        <f aca="false">IFERROR(INDEX('Fault Master'!$C$5:$C$104,MATCH(G37,'Fault Master'!$A$5:$A$104,0)),"")</f>
        <v/>
      </c>
      <c r="M37" s="14" t="str">
        <f aca="false">IFERROR(INDEX('Fault Master'!$D$5:$D$104,MATCH(G37,'Fault Master'!$A$5:$A$104,0)),"")</f>
        <v/>
      </c>
    </row>
    <row r="38" customFormat="false" ht="15" hidden="false" customHeight="true" outlineLevel="0" collapsed="false">
      <c r="A38" s="1" t="n">
        <v>33</v>
      </c>
      <c r="B38" s="13"/>
      <c r="F38" s="14" t="str">
        <f aca="false">IFERROR(INDEX('Operator Master'!$B$5:$B$504,MATCH(E38,'Operator Master'!$A$5:$A$504,0)),"")</f>
        <v/>
      </c>
      <c r="H38" s="14" t="str">
        <f aca="false">IFERROR(INDEX('Fault Master'!$B$5:$B$104,MATCH(G38,'Fault Master'!$A$5:$A$104,0)),"")</f>
        <v/>
      </c>
      <c r="I38" s="14" t="str">
        <f aca="false">IFERROR(INDEX('Fault Master'!$C$5:$C$104,MATCH(G38,'Fault Master'!$A$5:$A$104,0)),"")</f>
        <v/>
      </c>
      <c r="M38" s="14" t="str">
        <f aca="false">IFERROR(INDEX('Fault Master'!$D$5:$D$104,MATCH(G38,'Fault Master'!$A$5:$A$104,0)),"")</f>
        <v/>
      </c>
    </row>
    <row r="39" customFormat="false" ht="15" hidden="false" customHeight="true" outlineLevel="0" collapsed="false">
      <c r="A39" s="1" t="n">
        <v>34</v>
      </c>
      <c r="B39" s="13"/>
      <c r="F39" s="14" t="str">
        <f aca="false">IFERROR(INDEX('Operator Master'!$B$5:$B$504,MATCH(E39,'Operator Master'!$A$5:$A$504,0)),"")</f>
        <v/>
      </c>
      <c r="H39" s="14" t="str">
        <f aca="false">IFERROR(INDEX('Fault Master'!$B$5:$B$104,MATCH(G39,'Fault Master'!$A$5:$A$104,0)),"")</f>
        <v/>
      </c>
      <c r="I39" s="14" t="str">
        <f aca="false">IFERROR(INDEX('Fault Master'!$C$5:$C$104,MATCH(G39,'Fault Master'!$A$5:$A$104,0)),"")</f>
        <v/>
      </c>
      <c r="M39" s="14" t="str">
        <f aca="false">IFERROR(INDEX('Fault Master'!$D$5:$D$104,MATCH(G39,'Fault Master'!$A$5:$A$104,0)),"")</f>
        <v/>
      </c>
    </row>
    <row r="40" customFormat="false" ht="15" hidden="false" customHeight="true" outlineLevel="0" collapsed="false">
      <c r="A40" s="1" t="n">
        <v>35</v>
      </c>
      <c r="B40" s="13"/>
      <c r="F40" s="14" t="str">
        <f aca="false">IFERROR(INDEX('Operator Master'!$B$5:$B$504,MATCH(E40,'Operator Master'!$A$5:$A$504,0)),"")</f>
        <v/>
      </c>
      <c r="H40" s="14" t="str">
        <f aca="false">IFERROR(INDEX('Fault Master'!$B$5:$B$104,MATCH(G40,'Fault Master'!$A$5:$A$104,0)),"")</f>
        <v/>
      </c>
      <c r="I40" s="14" t="str">
        <f aca="false">IFERROR(INDEX('Fault Master'!$C$5:$C$104,MATCH(G40,'Fault Master'!$A$5:$A$104,0)),"")</f>
        <v/>
      </c>
      <c r="M40" s="14" t="str">
        <f aca="false">IFERROR(INDEX('Fault Master'!$D$5:$D$104,MATCH(G40,'Fault Master'!$A$5:$A$104,0)),"")</f>
        <v/>
      </c>
    </row>
    <row r="41" customFormat="false" ht="15" hidden="false" customHeight="true" outlineLevel="0" collapsed="false">
      <c r="A41" s="1" t="n">
        <v>36</v>
      </c>
      <c r="B41" s="13"/>
      <c r="F41" s="14" t="str">
        <f aca="false">IFERROR(INDEX('Operator Master'!$B$5:$B$504,MATCH(E41,'Operator Master'!$A$5:$A$504,0)),"")</f>
        <v/>
      </c>
      <c r="H41" s="14" t="str">
        <f aca="false">IFERROR(INDEX('Fault Master'!$B$5:$B$104,MATCH(G41,'Fault Master'!$A$5:$A$104,0)),"")</f>
        <v/>
      </c>
      <c r="I41" s="14" t="str">
        <f aca="false">IFERROR(INDEX('Fault Master'!$C$5:$C$104,MATCH(G41,'Fault Master'!$A$5:$A$104,0)),"")</f>
        <v/>
      </c>
      <c r="M41" s="14" t="str">
        <f aca="false">IFERROR(INDEX('Fault Master'!$D$5:$D$104,MATCH(G41,'Fault Master'!$A$5:$A$104,0)),"")</f>
        <v/>
      </c>
    </row>
    <row r="42" customFormat="false" ht="15" hidden="false" customHeight="true" outlineLevel="0" collapsed="false">
      <c r="A42" s="1" t="n">
        <v>37</v>
      </c>
      <c r="B42" s="13"/>
      <c r="F42" s="14" t="str">
        <f aca="false">IFERROR(INDEX('Operator Master'!$B$5:$B$504,MATCH(E42,'Operator Master'!$A$5:$A$504,0)),"")</f>
        <v/>
      </c>
      <c r="H42" s="14" t="str">
        <f aca="false">IFERROR(INDEX('Fault Master'!$B$5:$B$104,MATCH(G42,'Fault Master'!$A$5:$A$104,0)),"")</f>
        <v/>
      </c>
      <c r="I42" s="14" t="str">
        <f aca="false">IFERROR(INDEX('Fault Master'!$C$5:$C$104,MATCH(G42,'Fault Master'!$A$5:$A$104,0)),"")</f>
        <v/>
      </c>
      <c r="M42" s="14" t="str">
        <f aca="false">IFERROR(INDEX('Fault Master'!$D$5:$D$104,MATCH(G42,'Fault Master'!$A$5:$A$104,0)),"")</f>
        <v/>
      </c>
    </row>
    <row r="43" customFormat="false" ht="15" hidden="false" customHeight="true" outlineLevel="0" collapsed="false">
      <c r="A43" s="1" t="n">
        <v>38</v>
      </c>
      <c r="B43" s="13"/>
      <c r="F43" s="14" t="str">
        <f aca="false">IFERROR(INDEX('Operator Master'!$B$5:$B$504,MATCH(E43,'Operator Master'!$A$5:$A$504,0)),"")</f>
        <v/>
      </c>
      <c r="H43" s="14" t="str">
        <f aca="false">IFERROR(INDEX('Fault Master'!$B$5:$B$104,MATCH(G43,'Fault Master'!$A$5:$A$104,0)),"")</f>
        <v/>
      </c>
      <c r="I43" s="14" t="str">
        <f aca="false">IFERROR(INDEX('Fault Master'!$C$5:$C$104,MATCH(G43,'Fault Master'!$A$5:$A$104,0)),"")</f>
        <v/>
      </c>
      <c r="M43" s="14" t="str">
        <f aca="false">IFERROR(INDEX('Fault Master'!$D$5:$D$104,MATCH(G43,'Fault Master'!$A$5:$A$104,0)),"")</f>
        <v/>
      </c>
    </row>
    <row r="44" customFormat="false" ht="15" hidden="false" customHeight="true" outlineLevel="0" collapsed="false">
      <c r="A44" s="1" t="n">
        <v>39</v>
      </c>
      <c r="B44" s="13"/>
      <c r="F44" s="14" t="str">
        <f aca="false">IFERROR(INDEX('Operator Master'!$B$5:$B$504,MATCH(E44,'Operator Master'!$A$5:$A$504,0)),"")</f>
        <v/>
      </c>
      <c r="H44" s="14" t="str">
        <f aca="false">IFERROR(INDEX('Fault Master'!$B$5:$B$104,MATCH(G44,'Fault Master'!$A$5:$A$104,0)),"")</f>
        <v/>
      </c>
      <c r="I44" s="14" t="str">
        <f aca="false">IFERROR(INDEX('Fault Master'!$C$5:$C$104,MATCH(G44,'Fault Master'!$A$5:$A$104,0)),"")</f>
        <v/>
      </c>
      <c r="M44" s="14" t="str">
        <f aca="false">IFERROR(INDEX('Fault Master'!$D$5:$D$104,MATCH(G44,'Fault Master'!$A$5:$A$104,0)),"")</f>
        <v/>
      </c>
    </row>
    <row r="45" customFormat="false" ht="15" hidden="false" customHeight="true" outlineLevel="0" collapsed="false">
      <c r="A45" s="1" t="n">
        <v>40</v>
      </c>
      <c r="B45" s="13"/>
      <c r="F45" s="14" t="str">
        <f aca="false">IFERROR(INDEX('Operator Master'!$B$5:$B$504,MATCH(E45,'Operator Master'!$A$5:$A$504,0)),"")</f>
        <v/>
      </c>
      <c r="H45" s="14" t="str">
        <f aca="false">IFERROR(INDEX('Fault Master'!$B$5:$B$104,MATCH(G45,'Fault Master'!$A$5:$A$104,0)),"")</f>
        <v/>
      </c>
      <c r="I45" s="14" t="str">
        <f aca="false">IFERROR(INDEX('Fault Master'!$C$5:$C$104,MATCH(G45,'Fault Master'!$A$5:$A$104,0)),"")</f>
        <v/>
      </c>
      <c r="M45" s="14" t="str">
        <f aca="false">IFERROR(INDEX('Fault Master'!$D$5:$D$104,MATCH(G45,'Fault Master'!$A$5:$A$104,0)),"")</f>
        <v/>
      </c>
    </row>
    <row r="46" customFormat="false" ht="15" hidden="false" customHeight="true" outlineLevel="0" collapsed="false">
      <c r="A46" s="1" t="n">
        <v>41</v>
      </c>
      <c r="B46" s="13"/>
      <c r="F46" s="14" t="str">
        <f aca="false">IFERROR(INDEX('Operator Master'!$B$5:$B$504,MATCH(E46,'Operator Master'!$A$5:$A$504,0)),"")</f>
        <v/>
      </c>
      <c r="H46" s="14" t="str">
        <f aca="false">IFERROR(INDEX('Fault Master'!$B$5:$B$104,MATCH(G46,'Fault Master'!$A$5:$A$104,0)),"")</f>
        <v/>
      </c>
      <c r="I46" s="14" t="str">
        <f aca="false">IFERROR(INDEX('Fault Master'!$C$5:$C$104,MATCH(G46,'Fault Master'!$A$5:$A$104,0)),"")</f>
        <v/>
      </c>
      <c r="M46" s="14" t="str">
        <f aca="false">IFERROR(INDEX('Fault Master'!$D$5:$D$104,MATCH(G46,'Fault Master'!$A$5:$A$104,0)),"")</f>
        <v/>
      </c>
    </row>
    <row r="47" customFormat="false" ht="15" hidden="false" customHeight="true" outlineLevel="0" collapsed="false">
      <c r="A47" s="1" t="n">
        <v>42</v>
      </c>
      <c r="B47" s="13"/>
      <c r="F47" s="14" t="str">
        <f aca="false">IFERROR(INDEX('Operator Master'!$B$5:$B$504,MATCH(E47,'Operator Master'!$A$5:$A$504,0)),"")</f>
        <v/>
      </c>
      <c r="H47" s="14" t="str">
        <f aca="false">IFERROR(INDEX('Fault Master'!$B$5:$B$104,MATCH(G47,'Fault Master'!$A$5:$A$104,0)),"")</f>
        <v/>
      </c>
      <c r="I47" s="14" t="str">
        <f aca="false">IFERROR(INDEX('Fault Master'!$C$5:$C$104,MATCH(G47,'Fault Master'!$A$5:$A$104,0)),"")</f>
        <v/>
      </c>
      <c r="M47" s="14" t="str">
        <f aca="false">IFERROR(INDEX('Fault Master'!$D$5:$D$104,MATCH(G47,'Fault Master'!$A$5:$A$104,0)),"")</f>
        <v/>
      </c>
    </row>
    <row r="48" customFormat="false" ht="15" hidden="false" customHeight="true" outlineLevel="0" collapsed="false">
      <c r="A48" s="1" t="n">
        <v>43</v>
      </c>
      <c r="B48" s="13"/>
      <c r="F48" s="14" t="str">
        <f aca="false">IFERROR(INDEX('Operator Master'!$B$5:$B$504,MATCH(E48,'Operator Master'!$A$5:$A$504,0)),"")</f>
        <v/>
      </c>
      <c r="H48" s="14" t="str">
        <f aca="false">IFERROR(INDEX('Fault Master'!$B$5:$B$104,MATCH(G48,'Fault Master'!$A$5:$A$104,0)),"")</f>
        <v/>
      </c>
      <c r="I48" s="14" t="str">
        <f aca="false">IFERROR(INDEX('Fault Master'!$C$5:$C$104,MATCH(G48,'Fault Master'!$A$5:$A$104,0)),"")</f>
        <v/>
      </c>
      <c r="M48" s="14" t="str">
        <f aca="false">IFERROR(INDEX('Fault Master'!$D$5:$D$104,MATCH(G48,'Fault Master'!$A$5:$A$104,0)),"")</f>
        <v/>
      </c>
    </row>
    <row r="49" customFormat="false" ht="15" hidden="false" customHeight="true" outlineLevel="0" collapsed="false">
      <c r="A49" s="1" t="n">
        <v>44</v>
      </c>
      <c r="B49" s="13"/>
      <c r="F49" s="14" t="str">
        <f aca="false">IFERROR(INDEX('Operator Master'!$B$5:$B$504,MATCH(E49,'Operator Master'!$A$5:$A$504,0)),"")</f>
        <v/>
      </c>
      <c r="H49" s="14" t="str">
        <f aca="false">IFERROR(INDEX('Fault Master'!$B$5:$B$104,MATCH(G49,'Fault Master'!$A$5:$A$104,0)),"")</f>
        <v/>
      </c>
      <c r="I49" s="14" t="str">
        <f aca="false">IFERROR(INDEX('Fault Master'!$C$5:$C$104,MATCH(G49,'Fault Master'!$A$5:$A$104,0)),"")</f>
        <v/>
      </c>
      <c r="M49" s="14" t="str">
        <f aca="false">IFERROR(INDEX('Fault Master'!$D$5:$D$104,MATCH(G49,'Fault Master'!$A$5:$A$104,0)),"")</f>
        <v/>
      </c>
    </row>
    <row r="50" customFormat="false" ht="15" hidden="false" customHeight="true" outlineLevel="0" collapsed="false">
      <c r="A50" s="1" t="n">
        <v>45</v>
      </c>
      <c r="B50" s="13"/>
      <c r="F50" s="14" t="str">
        <f aca="false">IFERROR(INDEX('Operator Master'!$B$5:$B$504,MATCH(E50,'Operator Master'!$A$5:$A$504,0)),"")</f>
        <v/>
      </c>
      <c r="H50" s="14" t="str">
        <f aca="false">IFERROR(INDEX('Fault Master'!$B$5:$B$104,MATCH(G50,'Fault Master'!$A$5:$A$104,0)),"")</f>
        <v/>
      </c>
      <c r="I50" s="14" t="str">
        <f aca="false">IFERROR(INDEX('Fault Master'!$C$5:$C$104,MATCH(G50,'Fault Master'!$A$5:$A$104,0)),"")</f>
        <v/>
      </c>
      <c r="M50" s="14" t="str">
        <f aca="false">IFERROR(INDEX('Fault Master'!$D$5:$D$104,MATCH(G50,'Fault Master'!$A$5:$A$104,0)),"")</f>
        <v/>
      </c>
    </row>
    <row r="51" customFormat="false" ht="15" hidden="false" customHeight="true" outlineLevel="0" collapsed="false">
      <c r="A51" s="1" t="n">
        <v>46</v>
      </c>
      <c r="B51" s="13"/>
      <c r="F51" s="14" t="str">
        <f aca="false">IFERROR(INDEX('Operator Master'!$B$5:$B$504,MATCH(E51,'Operator Master'!$A$5:$A$504,0)),"")</f>
        <v/>
      </c>
      <c r="H51" s="14" t="str">
        <f aca="false">IFERROR(INDEX('Fault Master'!$B$5:$B$104,MATCH(G51,'Fault Master'!$A$5:$A$104,0)),"")</f>
        <v/>
      </c>
      <c r="I51" s="14" t="str">
        <f aca="false">IFERROR(INDEX('Fault Master'!$C$5:$C$104,MATCH(G51,'Fault Master'!$A$5:$A$104,0)),"")</f>
        <v/>
      </c>
      <c r="M51" s="14" t="str">
        <f aca="false">IFERROR(INDEX('Fault Master'!$D$5:$D$104,MATCH(G51,'Fault Master'!$A$5:$A$104,0)),"")</f>
        <v/>
      </c>
    </row>
    <row r="52" customFormat="false" ht="15" hidden="false" customHeight="true" outlineLevel="0" collapsed="false">
      <c r="A52" s="1" t="n">
        <v>47</v>
      </c>
      <c r="B52" s="13"/>
      <c r="F52" s="14" t="str">
        <f aca="false">IFERROR(INDEX('Operator Master'!$B$5:$B$504,MATCH(E52,'Operator Master'!$A$5:$A$504,0)),"")</f>
        <v/>
      </c>
      <c r="H52" s="14" t="str">
        <f aca="false">IFERROR(INDEX('Fault Master'!$B$5:$B$104,MATCH(G52,'Fault Master'!$A$5:$A$104,0)),"")</f>
        <v/>
      </c>
      <c r="I52" s="14" t="str">
        <f aca="false">IFERROR(INDEX('Fault Master'!$C$5:$C$104,MATCH(G52,'Fault Master'!$A$5:$A$104,0)),"")</f>
        <v/>
      </c>
      <c r="M52" s="14" t="str">
        <f aca="false">IFERROR(INDEX('Fault Master'!$D$5:$D$104,MATCH(G52,'Fault Master'!$A$5:$A$104,0)),"")</f>
        <v/>
      </c>
    </row>
    <row r="53" customFormat="false" ht="15" hidden="false" customHeight="true" outlineLevel="0" collapsed="false">
      <c r="A53" s="1" t="n">
        <v>48</v>
      </c>
      <c r="B53" s="13"/>
      <c r="F53" s="14" t="str">
        <f aca="false">IFERROR(INDEX('Operator Master'!$B$5:$B$504,MATCH(E53,'Operator Master'!$A$5:$A$504,0)),"")</f>
        <v/>
      </c>
      <c r="H53" s="14" t="str">
        <f aca="false">IFERROR(INDEX('Fault Master'!$B$5:$B$104,MATCH(G53,'Fault Master'!$A$5:$A$104,0)),"")</f>
        <v/>
      </c>
      <c r="I53" s="14" t="str">
        <f aca="false">IFERROR(INDEX('Fault Master'!$C$5:$C$104,MATCH(G53,'Fault Master'!$A$5:$A$104,0)),"")</f>
        <v/>
      </c>
      <c r="M53" s="14" t="str">
        <f aca="false">IFERROR(INDEX('Fault Master'!$D$5:$D$104,MATCH(G53,'Fault Master'!$A$5:$A$104,0)),"")</f>
        <v/>
      </c>
    </row>
    <row r="54" customFormat="false" ht="15" hidden="false" customHeight="true" outlineLevel="0" collapsed="false">
      <c r="A54" s="1" t="n">
        <v>49</v>
      </c>
      <c r="B54" s="13"/>
      <c r="F54" s="14" t="str">
        <f aca="false">IFERROR(INDEX('Operator Master'!$B$5:$B$504,MATCH(E54,'Operator Master'!$A$5:$A$504,0)),"")</f>
        <v/>
      </c>
      <c r="H54" s="14" t="str">
        <f aca="false">IFERROR(INDEX('Fault Master'!$B$5:$B$104,MATCH(G54,'Fault Master'!$A$5:$A$104,0)),"")</f>
        <v/>
      </c>
      <c r="I54" s="14" t="str">
        <f aca="false">IFERROR(INDEX('Fault Master'!$C$5:$C$104,MATCH(G54,'Fault Master'!$A$5:$A$104,0)),"")</f>
        <v/>
      </c>
      <c r="M54" s="14" t="str">
        <f aca="false">IFERROR(INDEX('Fault Master'!$D$5:$D$104,MATCH(G54,'Fault Master'!$A$5:$A$104,0)),"")</f>
        <v/>
      </c>
    </row>
    <row r="55" customFormat="false" ht="15" hidden="false" customHeight="true" outlineLevel="0" collapsed="false">
      <c r="A55" s="1" t="n">
        <v>50</v>
      </c>
      <c r="B55" s="13"/>
      <c r="F55" s="14" t="str">
        <f aca="false">IFERROR(INDEX('Operator Master'!$B$5:$B$504,MATCH(E55,'Operator Master'!$A$5:$A$504,0)),"")</f>
        <v/>
      </c>
      <c r="H55" s="14" t="str">
        <f aca="false">IFERROR(INDEX('Fault Master'!$B$5:$B$104,MATCH(G55,'Fault Master'!$A$5:$A$104,0)),"")</f>
        <v/>
      </c>
      <c r="I55" s="14" t="str">
        <f aca="false">IFERROR(INDEX('Fault Master'!$C$5:$C$104,MATCH(G55,'Fault Master'!$A$5:$A$104,0)),"")</f>
        <v/>
      </c>
      <c r="M55" s="14" t="str">
        <f aca="false">IFERROR(INDEX('Fault Master'!$D$5:$D$104,MATCH(G55,'Fault Master'!$A$5:$A$104,0)),"")</f>
        <v/>
      </c>
    </row>
    <row r="56" customFormat="false" ht="15" hidden="false" customHeight="true" outlineLevel="0" collapsed="false">
      <c r="A56" s="1" t="n">
        <v>51</v>
      </c>
      <c r="B56" s="13"/>
      <c r="F56" s="14" t="str">
        <f aca="false">IFERROR(INDEX('Operator Master'!$B$5:$B$504,MATCH(E56,'Operator Master'!$A$5:$A$504,0)),"")</f>
        <v/>
      </c>
      <c r="H56" s="14" t="str">
        <f aca="false">IFERROR(INDEX('Fault Master'!$B$5:$B$104,MATCH(G56,'Fault Master'!$A$5:$A$104,0)),"")</f>
        <v/>
      </c>
      <c r="I56" s="14" t="str">
        <f aca="false">IFERROR(INDEX('Fault Master'!$C$5:$C$104,MATCH(G56,'Fault Master'!$A$5:$A$104,0)),"")</f>
        <v/>
      </c>
      <c r="M56" s="14" t="str">
        <f aca="false">IFERROR(INDEX('Fault Master'!$D$5:$D$104,MATCH(G56,'Fault Master'!$A$5:$A$104,0)),"")</f>
        <v/>
      </c>
    </row>
    <row r="57" customFormat="false" ht="15" hidden="false" customHeight="true" outlineLevel="0" collapsed="false">
      <c r="A57" s="1" t="n">
        <v>52</v>
      </c>
      <c r="B57" s="13"/>
      <c r="F57" s="14" t="str">
        <f aca="false">IFERROR(INDEX('Operator Master'!$B$5:$B$504,MATCH(E57,'Operator Master'!$A$5:$A$504,0)),"")</f>
        <v/>
      </c>
      <c r="H57" s="14" t="str">
        <f aca="false">IFERROR(INDEX('Fault Master'!$B$5:$B$104,MATCH(G57,'Fault Master'!$A$5:$A$104,0)),"")</f>
        <v/>
      </c>
      <c r="I57" s="14" t="str">
        <f aca="false">IFERROR(INDEX('Fault Master'!$C$5:$C$104,MATCH(G57,'Fault Master'!$A$5:$A$104,0)),"")</f>
        <v/>
      </c>
      <c r="M57" s="14" t="str">
        <f aca="false">IFERROR(INDEX('Fault Master'!$D$5:$D$104,MATCH(G57,'Fault Master'!$A$5:$A$104,0)),"")</f>
        <v/>
      </c>
    </row>
    <row r="58" customFormat="false" ht="15" hidden="false" customHeight="true" outlineLevel="0" collapsed="false">
      <c r="A58" s="1" t="n">
        <v>53</v>
      </c>
      <c r="B58" s="13"/>
      <c r="F58" s="14" t="str">
        <f aca="false">IFERROR(INDEX('Operator Master'!$B$5:$B$504,MATCH(E58,'Operator Master'!$A$5:$A$504,0)),"")</f>
        <v/>
      </c>
      <c r="H58" s="14" t="str">
        <f aca="false">IFERROR(INDEX('Fault Master'!$B$5:$B$104,MATCH(G58,'Fault Master'!$A$5:$A$104,0)),"")</f>
        <v/>
      </c>
      <c r="I58" s="14" t="str">
        <f aca="false">IFERROR(INDEX('Fault Master'!$C$5:$C$104,MATCH(G58,'Fault Master'!$A$5:$A$104,0)),"")</f>
        <v/>
      </c>
      <c r="M58" s="14" t="str">
        <f aca="false">IFERROR(INDEX('Fault Master'!$D$5:$D$104,MATCH(G58,'Fault Master'!$A$5:$A$104,0)),"")</f>
        <v/>
      </c>
    </row>
    <row r="59" customFormat="false" ht="15" hidden="false" customHeight="true" outlineLevel="0" collapsed="false">
      <c r="A59" s="1" t="n">
        <v>54</v>
      </c>
      <c r="B59" s="13"/>
      <c r="F59" s="14" t="str">
        <f aca="false">IFERROR(INDEX('Operator Master'!$B$5:$B$504,MATCH(E59,'Operator Master'!$A$5:$A$504,0)),"")</f>
        <v/>
      </c>
      <c r="H59" s="14" t="str">
        <f aca="false">IFERROR(INDEX('Fault Master'!$B$5:$B$104,MATCH(G59,'Fault Master'!$A$5:$A$104,0)),"")</f>
        <v/>
      </c>
      <c r="I59" s="14" t="str">
        <f aca="false">IFERROR(INDEX('Fault Master'!$C$5:$C$104,MATCH(G59,'Fault Master'!$A$5:$A$104,0)),"")</f>
        <v/>
      </c>
      <c r="M59" s="14" t="str">
        <f aca="false">IFERROR(INDEX('Fault Master'!$D$5:$D$104,MATCH(G59,'Fault Master'!$A$5:$A$104,0)),"")</f>
        <v/>
      </c>
    </row>
    <row r="60" customFormat="false" ht="15" hidden="false" customHeight="true" outlineLevel="0" collapsed="false">
      <c r="A60" s="1" t="n">
        <v>55</v>
      </c>
      <c r="B60" s="13"/>
      <c r="F60" s="14" t="str">
        <f aca="false">IFERROR(INDEX('Operator Master'!$B$5:$B$504,MATCH(E60,'Operator Master'!$A$5:$A$504,0)),"")</f>
        <v/>
      </c>
      <c r="H60" s="14" t="str">
        <f aca="false">IFERROR(INDEX('Fault Master'!$B$5:$B$104,MATCH(G60,'Fault Master'!$A$5:$A$104,0)),"")</f>
        <v/>
      </c>
      <c r="I60" s="14" t="str">
        <f aca="false">IFERROR(INDEX('Fault Master'!$C$5:$C$104,MATCH(G60,'Fault Master'!$A$5:$A$104,0)),"")</f>
        <v/>
      </c>
      <c r="M60" s="14" t="str">
        <f aca="false">IFERROR(INDEX('Fault Master'!$D$5:$D$104,MATCH(G60,'Fault Master'!$A$5:$A$104,0)),"")</f>
        <v/>
      </c>
    </row>
    <row r="61" customFormat="false" ht="15" hidden="false" customHeight="true" outlineLevel="0" collapsed="false">
      <c r="A61" s="1" t="n">
        <v>56</v>
      </c>
      <c r="B61" s="13"/>
      <c r="F61" s="14" t="str">
        <f aca="false">IFERROR(INDEX('Operator Master'!$B$5:$B$504,MATCH(E61,'Operator Master'!$A$5:$A$504,0)),"")</f>
        <v/>
      </c>
      <c r="H61" s="14" t="str">
        <f aca="false">IFERROR(INDEX('Fault Master'!$B$5:$B$104,MATCH(G61,'Fault Master'!$A$5:$A$104,0)),"")</f>
        <v/>
      </c>
      <c r="I61" s="14" t="str">
        <f aca="false">IFERROR(INDEX('Fault Master'!$C$5:$C$104,MATCH(G61,'Fault Master'!$A$5:$A$104,0)),"")</f>
        <v/>
      </c>
      <c r="M61" s="14" t="str">
        <f aca="false">IFERROR(INDEX('Fault Master'!$D$5:$D$104,MATCH(G61,'Fault Master'!$A$5:$A$104,0)),"")</f>
        <v/>
      </c>
    </row>
    <row r="62" customFormat="false" ht="15" hidden="false" customHeight="true" outlineLevel="0" collapsed="false">
      <c r="A62" s="1" t="n">
        <v>57</v>
      </c>
      <c r="B62" s="13"/>
      <c r="F62" s="14" t="str">
        <f aca="false">IFERROR(INDEX('Operator Master'!$B$5:$B$504,MATCH(E62,'Operator Master'!$A$5:$A$504,0)),"")</f>
        <v/>
      </c>
      <c r="H62" s="14" t="str">
        <f aca="false">IFERROR(INDEX('Fault Master'!$B$5:$B$104,MATCH(G62,'Fault Master'!$A$5:$A$104,0)),"")</f>
        <v/>
      </c>
      <c r="I62" s="14" t="str">
        <f aca="false">IFERROR(INDEX('Fault Master'!$C$5:$C$104,MATCH(G62,'Fault Master'!$A$5:$A$104,0)),"")</f>
        <v/>
      </c>
      <c r="M62" s="14" t="str">
        <f aca="false">IFERROR(INDEX('Fault Master'!$D$5:$D$104,MATCH(G62,'Fault Master'!$A$5:$A$104,0)),"")</f>
        <v/>
      </c>
    </row>
    <row r="63" customFormat="false" ht="15" hidden="false" customHeight="true" outlineLevel="0" collapsed="false">
      <c r="A63" s="1" t="n">
        <v>58</v>
      </c>
      <c r="B63" s="13"/>
      <c r="F63" s="14" t="str">
        <f aca="false">IFERROR(INDEX('Operator Master'!$B$5:$B$504,MATCH(E63,'Operator Master'!$A$5:$A$504,0)),"")</f>
        <v/>
      </c>
      <c r="H63" s="14" t="str">
        <f aca="false">IFERROR(INDEX('Fault Master'!$B$5:$B$104,MATCH(G63,'Fault Master'!$A$5:$A$104,0)),"")</f>
        <v/>
      </c>
      <c r="I63" s="14" t="str">
        <f aca="false">IFERROR(INDEX('Fault Master'!$C$5:$C$104,MATCH(G63,'Fault Master'!$A$5:$A$104,0)),"")</f>
        <v/>
      </c>
      <c r="M63" s="14" t="str">
        <f aca="false">IFERROR(INDEX('Fault Master'!$D$5:$D$104,MATCH(G63,'Fault Master'!$A$5:$A$104,0)),"")</f>
        <v/>
      </c>
    </row>
    <row r="64" customFormat="false" ht="15" hidden="false" customHeight="true" outlineLevel="0" collapsed="false">
      <c r="A64" s="1" t="n">
        <v>59</v>
      </c>
      <c r="B64" s="13"/>
      <c r="F64" s="14" t="str">
        <f aca="false">IFERROR(INDEX('Operator Master'!$B$5:$B$504,MATCH(E64,'Operator Master'!$A$5:$A$504,0)),"")</f>
        <v/>
      </c>
      <c r="H64" s="14" t="str">
        <f aca="false">IFERROR(INDEX('Fault Master'!$B$5:$B$104,MATCH(G64,'Fault Master'!$A$5:$A$104,0)),"")</f>
        <v/>
      </c>
      <c r="I64" s="14" t="str">
        <f aca="false">IFERROR(INDEX('Fault Master'!$C$5:$C$104,MATCH(G64,'Fault Master'!$A$5:$A$104,0)),"")</f>
        <v/>
      </c>
      <c r="M64" s="14" t="str">
        <f aca="false">IFERROR(INDEX('Fault Master'!$D$5:$D$104,MATCH(G64,'Fault Master'!$A$5:$A$104,0)),"")</f>
        <v/>
      </c>
    </row>
    <row r="65" customFormat="false" ht="15" hidden="false" customHeight="true" outlineLevel="0" collapsed="false">
      <c r="A65" s="1" t="n">
        <v>60</v>
      </c>
      <c r="B65" s="13"/>
      <c r="F65" s="14" t="str">
        <f aca="false">IFERROR(INDEX('Operator Master'!$B$5:$B$504,MATCH(E65,'Operator Master'!$A$5:$A$504,0)),"")</f>
        <v/>
      </c>
      <c r="H65" s="14" t="str">
        <f aca="false">IFERROR(INDEX('Fault Master'!$B$5:$B$104,MATCH(G65,'Fault Master'!$A$5:$A$104,0)),"")</f>
        <v/>
      </c>
      <c r="I65" s="14" t="str">
        <f aca="false">IFERROR(INDEX('Fault Master'!$C$5:$C$104,MATCH(G65,'Fault Master'!$A$5:$A$104,0)),"")</f>
        <v/>
      </c>
      <c r="M65" s="14" t="str">
        <f aca="false">IFERROR(INDEX('Fault Master'!$D$5:$D$104,MATCH(G65,'Fault Master'!$A$5:$A$104,0)),"")</f>
        <v/>
      </c>
    </row>
    <row r="66" customFormat="false" ht="15" hidden="false" customHeight="true" outlineLevel="0" collapsed="false">
      <c r="A66" s="1" t="n">
        <v>61</v>
      </c>
      <c r="B66" s="13"/>
      <c r="F66" s="14" t="str">
        <f aca="false">IFERROR(INDEX('Operator Master'!$B$5:$B$504,MATCH(E66,'Operator Master'!$A$5:$A$504,0)),"")</f>
        <v/>
      </c>
      <c r="H66" s="14" t="str">
        <f aca="false">IFERROR(INDEX('Fault Master'!$B$5:$B$104,MATCH(G66,'Fault Master'!$A$5:$A$104,0)),"")</f>
        <v/>
      </c>
      <c r="I66" s="14" t="str">
        <f aca="false">IFERROR(INDEX('Fault Master'!$C$5:$C$104,MATCH(G66,'Fault Master'!$A$5:$A$104,0)),"")</f>
        <v/>
      </c>
      <c r="M66" s="14" t="str">
        <f aca="false">IFERROR(INDEX('Fault Master'!$D$5:$D$104,MATCH(G66,'Fault Master'!$A$5:$A$104,0)),"")</f>
        <v/>
      </c>
    </row>
    <row r="67" customFormat="false" ht="15" hidden="false" customHeight="true" outlineLevel="0" collapsed="false">
      <c r="A67" s="1" t="n">
        <v>62</v>
      </c>
      <c r="B67" s="13"/>
      <c r="F67" s="14" t="str">
        <f aca="false">IFERROR(INDEX('Operator Master'!$B$5:$B$504,MATCH(E67,'Operator Master'!$A$5:$A$504,0)),"")</f>
        <v/>
      </c>
      <c r="H67" s="14" t="str">
        <f aca="false">IFERROR(INDEX('Fault Master'!$B$5:$B$104,MATCH(G67,'Fault Master'!$A$5:$A$104,0)),"")</f>
        <v/>
      </c>
      <c r="I67" s="14" t="str">
        <f aca="false">IFERROR(INDEX('Fault Master'!$C$5:$C$104,MATCH(G67,'Fault Master'!$A$5:$A$104,0)),"")</f>
        <v/>
      </c>
      <c r="M67" s="14" t="str">
        <f aca="false">IFERROR(INDEX('Fault Master'!$D$5:$D$104,MATCH(G67,'Fault Master'!$A$5:$A$104,0)),"")</f>
        <v/>
      </c>
    </row>
    <row r="68" customFormat="false" ht="15" hidden="false" customHeight="true" outlineLevel="0" collapsed="false">
      <c r="A68" s="1" t="n">
        <v>63</v>
      </c>
      <c r="B68" s="13"/>
      <c r="F68" s="14" t="str">
        <f aca="false">IFERROR(INDEX('Operator Master'!$B$5:$B$504,MATCH(E68,'Operator Master'!$A$5:$A$504,0)),"")</f>
        <v/>
      </c>
      <c r="H68" s="14" t="str">
        <f aca="false">IFERROR(INDEX('Fault Master'!$B$5:$B$104,MATCH(G68,'Fault Master'!$A$5:$A$104,0)),"")</f>
        <v/>
      </c>
      <c r="I68" s="14" t="str">
        <f aca="false">IFERROR(INDEX('Fault Master'!$C$5:$C$104,MATCH(G68,'Fault Master'!$A$5:$A$104,0)),"")</f>
        <v/>
      </c>
      <c r="M68" s="14" t="str">
        <f aca="false">IFERROR(INDEX('Fault Master'!$D$5:$D$104,MATCH(G68,'Fault Master'!$A$5:$A$104,0)),"")</f>
        <v/>
      </c>
    </row>
    <row r="69" customFormat="false" ht="15" hidden="false" customHeight="true" outlineLevel="0" collapsed="false">
      <c r="A69" s="1" t="n">
        <v>64</v>
      </c>
      <c r="B69" s="13"/>
      <c r="F69" s="14" t="str">
        <f aca="false">IFERROR(INDEX('Operator Master'!$B$5:$B$504,MATCH(E69,'Operator Master'!$A$5:$A$504,0)),"")</f>
        <v/>
      </c>
      <c r="H69" s="14" t="str">
        <f aca="false">IFERROR(INDEX('Fault Master'!$B$5:$B$104,MATCH(G69,'Fault Master'!$A$5:$A$104,0)),"")</f>
        <v/>
      </c>
      <c r="I69" s="14" t="str">
        <f aca="false">IFERROR(INDEX('Fault Master'!$C$5:$C$104,MATCH(G69,'Fault Master'!$A$5:$A$104,0)),"")</f>
        <v/>
      </c>
      <c r="M69" s="14" t="str">
        <f aca="false">IFERROR(INDEX('Fault Master'!$D$5:$D$104,MATCH(G69,'Fault Master'!$A$5:$A$104,0)),"")</f>
        <v/>
      </c>
    </row>
    <row r="70" customFormat="false" ht="15" hidden="false" customHeight="true" outlineLevel="0" collapsed="false">
      <c r="A70" s="1" t="n">
        <v>65</v>
      </c>
      <c r="B70" s="13"/>
      <c r="F70" s="14" t="str">
        <f aca="false">IFERROR(INDEX('Operator Master'!$B$5:$B$504,MATCH(E70,'Operator Master'!$A$5:$A$504,0)),"")</f>
        <v/>
      </c>
      <c r="H70" s="14" t="str">
        <f aca="false">IFERROR(INDEX('Fault Master'!$B$5:$B$104,MATCH(G70,'Fault Master'!$A$5:$A$104,0)),"")</f>
        <v/>
      </c>
      <c r="I70" s="14" t="str">
        <f aca="false">IFERROR(INDEX('Fault Master'!$C$5:$C$104,MATCH(G70,'Fault Master'!$A$5:$A$104,0)),"")</f>
        <v/>
      </c>
      <c r="M70" s="14" t="str">
        <f aca="false">IFERROR(INDEX('Fault Master'!$D$5:$D$104,MATCH(G70,'Fault Master'!$A$5:$A$104,0)),"")</f>
        <v/>
      </c>
    </row>
    <row r="71" customFormat="false" ht="15" hidden="false" customHeight="true" outlineLevel="0" collapsed="false">
      <c r="A71" s="1" t="n">
        <v>66</v>
      </c>
      <c r="B71" s="13"/>
      <c r="F71" s="14" t="str">
        <f aca="false">IFERROR(INDEX('Operator Master'!$B$5:$B$504,MATCH(E71,'Operator Master'!$A$5:$A$504,0)),"")</f>
        <v/>
      </c>
      <c r="H71" s="14" t="str">
        <f aca="false">IFERROR(INDEX('Fault Master'!$B$5:$B$104,MATCH(G71,'Fault Master'!$A$5:$A$104,0)),"")</f>
        <v/>
      </c>
      <c r="I71" s="14" t="str">
        <f aca="false">IFERROR(INDEX('Fault Master'!$C$5:$C$104,MATCH(G71,'Fault Master'!$A$5:$A$104,0)),"")</f>
        <v/>
      </c>
      <c r="M71" s="14" t="str">
        <f aca="false">IFERROR(INDEX('Fault Master'!$D$5:$D$104,MATCH(G71,'Fault Master'!$A$5:$A$104,0)),"")</f>
        <v/>
      </c>
    </row>
    <row r="72" customFormat="false" ht="15" hidden="false" customHeight="true" outlineLevel="0" collapsed="false">
      <c r="A72" s="1" t="n">
        <v>67</v>
      </c>
      <c r="B72" s="13"/>
      <c r="F72" s="14" t="str">
        <f aca="false">IFERROR(INDEX('Operator Master'!$B$5:$B$504,MATCH(E72,'Operator Master'!$A$5:$A$504,0)),"")</f>
        <v/>
      </c>
      <c r="H72" s="14" t="str">
        <f aca="false">IFERROR(INDEX('Fault Master'!$B$5:$B$104,MATCH(G72,'Fault Master'!$A$5:$A$104,0)),"")</f>
        <v/>
      </c>
      <c r="I72" s="14" t="str">
        <f aca="false">IFERROR(INDEX('Fault Master'!$C$5:$C$104,MATCH(G72,'Fault Master'!$A$5:$A$104,0)),"")</f>
        <v/>
      </c>
      <c r="M72" s="14" t="str">
        <f aca="false">IFERROR(INDEX('Fault Master'!$D$5:$D$104,MATCH(G72,'Fault Master'!$A$5:$A$104,0)),"")</f>
        <v/>
      </c>
    </row>
    <row r="73" customFormat="false" ht="15" hidden="false" customHeight="true" outlineLevel="0" collapsed="false">
      <c r="A73" s="1" t="n">
        <v>68</v>
      </c>
      <c r="B73" s="13"/>
      <c r="F73" s="14" t="str">
        <f aca="false">IFERROR(INDEX('Operator Master'!$B$5:$B$504,MATCH(E73,'Operator Master'!$A$5:$A$504,0)),"")</f>
        <v/>
      </c>
      <c r="H73" s="14" t="str">
        <f aca="false">IFERROR(INDEX('Fault Master'!$B$5:$B$104,MATCH(G73,'Fault Master'!$A$5:$A$104,0)),"")</f>
        <v/>
      </c>
      <c r="I73" s="14" t="str">
        <f aca="false">IFERROR(INDEX('Fault Master'!$C$5:$C$104,MATCH(G73,'Fault Master'!$A$5:$A$104,0)),"")</f>
        <v/>
      </c>
      <c r="M73" s="14" t="str">
        <f aca="false">IFERROR(INDEX('Fault Master'!$D$5:$D$104,MATCH(G73,'Fault Master'!$A$5:$A$104,0)),"")</f>
        <v/>
      </c>
    </row>
    <row r="74" customFormat="false" ht="15" hidden="false" customHeight="true" outlineLevel="0" collapsed="false">
      <c r="A74" s="1" t="n">
        <v>69</v>
      </c>
      <c r="B74" s="13"/>
      <c r="F74" s="14" t="str">
        <f aca="false">IFERROR(INDEX('Operator Master'!$B$5:$B$504,MATCH(E74,'Operator Master'!$A$5:$A$504,0)),"")</f>
        <v/>
      </c>
      <c r="H74" s="14" t="str">
        <f aca="false">IFERROR(INDEX('Fault Master'!$B$5:$B$104,MATCH(G74,'Fault Master'!$A$5:$A$104,0)),"")</f>
        <v/>
      </c>
      <c r="I74" s="14" t="str">
        <f aca="false">IFERROR(INDEX('Fault Master'!$C$5:$C$104,MATCH(G74,'Fault Master'!$A$5:$A$104,0)),"")</f>
        <v/>
      </c>
      <c r="M74" s="14" t="str">
        <f aca="false">IFERROR(INDEX('Fault Master'!$D$5:$D$104,MATCH(G74,'Fault Master'!$A$5:$A$104,0)),"")</f>
        <v/>
      </c>
    </row>
    <row r="75" customFormat="false" ht="15" hidden="false" customHeight="true" outlineLevel="0" collapsed="false">
      <c r="A75" s="1" t="n">
        <v>70</v>
      </c>
      <c r="B75" s="13"/>
      <c r="F75" s="14" t="str">
        <f aca="false">IFERROR(INDEX('Operator Master'!$B$5:$B$504,MATCH(E75,'Operator Master'!$A$5:$A$504,0)),"")</f>
        <v/>
      </c>
      <c r="H75" s="14" t="str">
        <f aca="false">IFERROR(INDEX('Fault Master'!$B$5:$B$104,MATCH(G75,'Fault Master'!$A$5:$A$104,0)),"")</f>
        <v/>
      </c>
      <c r="I75" s="14" t="str">
        <f aca="false">IFERROR(INDEX('Fault Master'!$C$5:$C$104,MATCH(G75,'Fault Master'!$A$5:$A$104,0)),"")</f>
        <v/>
      </c>
      <c r="M75" s="14" t="str">
        <f aca="false">IFERROR(INDEX('Fault Master'!$D$5:$D$104,MATCH(G75,'Fault Master'!$A$5:$A$104,0)),"")</f>
        <v/>
      </c>
    </row>
    <row r="76" customFormat="false" ht="15" hidden="false" customHeight="true" outlineLevel="0" collapsed="false">
      <c r="A76" s="1" t="n">
        <v>71</v>
      </c>
      <c r="B76" s="13"/>
      <c r="F76" s="14" t="str">
        <f aca="false">IFERROR(INDEX('Operator Master'!$B$5:$B$504,MATCH(E76,'Operator Master'!$A$5:$A$504,0)),"")</f>
        <v/>
      </c>
      <c r="H76" s="14" t="str">
        <f aca="false">IFERROR(INDEX('Fault Master'!$B$5:$B$104,MATCH(G76,'Fault Master'!$A$5:$A$104,0)),"")</f>
        <v/>
      </c>
      <c r="I76" s="14" t="str">
        <f aca="false">IFERROR(INDEX('Fault Master'!$C$5:$C$104,MATCH(G76,'Fault Master'!$A$5:$A$104,0)),"")</f>
        <v/>
      </c>
      <c r="M76" s="14" t="str">
        <f aca="false">IFERROR(INDEX('Fault Master'!$D$5:$D$104,MATCH(G76,'Fault Master'!$A$5:$A$104,0)),"")</f>
        <v/>
      </c>
    </row>
    <row r="77" customFormat="false" ht="15" hidden="false" customHeight="true" outlineLevel="0" collapsed="false">
      <c r="A77" s="1" t="n">
        <v>72</v>
      </c>
      <c r="B77" s="13"/>
      <c r="F77" s="14" t="str">
        <f aca="false">IFERROR(INDEX('Operator Master'!$B$5:$B$504,MATCH(E77,'Operator Master'!$A$5:$A$504,0)),"")</f>
        <v/>
      </c>
      <c r="H77" s="14" t="str">
        <f aca="false">IFERROR(INDEX('Fault Master'!$B$5:$B$104,MATCH(G77,'Fault Master'!$A$5:$A$104,0)),"")</f>
        <v/>
      </c>
      <c r="I77" s="14" t="str">
        <f aca="false">IFERROR(INDEX('Fault Master'!$C$5:$C$104,MATCH(G77,'Fault Master'!$A$5:$A$104,0)),"")</f>
        <v/>
      </c>
      <c r="M77" s="14" t="str">
        <f aca="false">IFERROR(INDEX('Fault Master'!$D$5:$D$104,MATCH(G77,'Fault Master'!$A$5:$A$104,0)),"")</f>
        <v/>
      </c>
    </row>
    <row r="78" customFormat="false" ht="15" hidden="false" customHeight="true" outlineLevel="0" collapsed="false">
      <c r="A78" s="1" t="n">
        <v>73</v>
      </c>
      <c r="B78" s="13"/>
      <c r="F78" s="14" t="str">
        <f aca="false">IFERROR(INDEX('Operator Master'!$B$5:$B$504,MATCH(E78,'Operator Master'!$A$5:$A$504,0)),"")</f>
        <v/>
      </c>
      <c r="H78" s="14" t="str">
        <f aca="false">IFERROR(INDEX('Fault Master'!$B$5:$B$104,MATCH(G78,'Fault Master'!$A$5:$A$104,0)),"")</f>
        <v/>
      </c>
      <c r="I78" s="14" t="str">
        <f aca="false">IFERROR(INDEX('Fault Master'!$C$5:$C$104,MATCH(G78,'Fault Master'!$A$5:$A$104,0)),"")</f>
        <v/>
      </c>
      <c r="M78" s="14" t="str">
        <f aca="false">IFERROR(INDEX('Fault Master'!$D$5:$D$104,MATCH(G78,'Fault Master'!$A$5:$A$104,0)),"")</f>
        <v/>
      </c>
    </row>
    <row r="79" customFormat="false" ht="15" hidden="false" customHeight="true" outlineLevel="0" collapsed="false">
      <c r="A79" s="1" t="n">
        <v>74</v>
      </c>
      <c r="B79" s="13"/>
      <c r="F79" s="14" t="str">
        <f aca="false">IFERROR(INDEX('Operator Master'!$B$5:$B$504,MATCH(E79,'Operator Master'!$A$5:$A$504,0)),"")</f>
        <v/>
      </c>
      <c r="H79" s="14" t="str">
        <f aca="false">IFERROR(INDEX('Fault Master'!$B$5:$B$104,MATCH(G79,'Fault Master'!$A$5:$A$104,0)),"")</f>
        <v/>
      </c>
      <c r="I79" s="14" t="str">
        <f aca="false">IFERROR(INDEX('Fault Master'!$C$5:$C$104,MATCH(G79,'Fault Master'!$A$5:$A$104,0)),"")</f>
        <v/>
      </c>
      <c r="M79" s="14" t="str">
        <f aca="false">IFERROR(INDEX('Fault Master'!$D$5:$D$104,MATCH(G79,'Fault Master'!$A$5:$A$104,0)),"")</f>
        <v/>
      </c>
    </row>
    <row r="80" customFormat="false" ht="15" hidden="false" customHeight="true" outlineLevel="0" collapsed="false">
      <c r="A80" s="1" t="n">
        <v>75</v>
      </c>
      <c r="B80" s="13"/>
      <c r="F80" s="14" t="str">
        <f aca="false">IFERROR(INDEX('Operator Master'!$B$5:$B$504,MATCH(E80,'Operator Master'!$A$5:$A$504,0)),"")</f>
        <v/>
      </c>
      <c r="H80" s="14" t="str">
        <f aca="false">IFERROR(INDEX('Fault Master'!$B$5:$B$104,MATCH(G80,'Fault Master'!$A$5:$A$104,0)),"")</f>
        <v/>
      </c>
      <c r="I80" s="14" t="str">
        <f aca="false">IFERROR(INDEX('Fault Master'!$C$5:$C$104,MATCH(G80,'Fault Master'!$A$5:$A$104,0)),"")</f>
        <v/>
      </c>
      <c r="M80" s="14" t="str">
        <f aca="false">IFERROR(INDEX('Fault Master'!$D$5:$D$104,MATCH(G80,'Fault Master'!$A$5:$A$104,0)),"")</f>
        <v/>
      </c>
    </row>
    <row r="81" customFormat="false" ht="15" hidden="false" customHeight="true" outlineLevel="0" collapsed="false">
      <c r="A81" s="1" t="n">
        <v>76</v>
      </c>
      <c r="B81" s="13"/>
      <c r="F81" s="14" t="str">
        <f aca="false">IFERROR(INDEX('Operator Master'!$B$5:$B$504,MATCH(E81,'Operator Master'!$A$5:$A$504,0)),"")</f>
        <v/>
      </c>
      <c r="H81" s="14" t="str">
        <f aca="false">IFERROR(INDEX('Fault Master'!$B$5:$B$104,MATCH(G81,'Fault Master'!$A$5:$A$104,0)),"")</f>
        <v/>
      </c>
      <c r="I81" s="14" t="str">
        <f aca="false">IFERROR(INDEX('Fault Master'!$C$5:$C$104,MATCH(G81,'Fault Master'!$A$5:$A$104,0)),"")</f>
        <v/>
      </c>
      <c r="M81" s="14" t="str">
        <f aca="false">IFERROR(INDEX('Fault Master'!$D$5:$D$104,MATCH(G81,'Fault Master'!$A$5:$A$104,0)),"")</f>
        <v/>
      </c>
    </row>
    <row r="82" customFormat="false" ht="15" hidden="false" customHeight="true" outlineLevel="0" collapsed="false">
      <c r="A82" s="1" t="n">
        <v>77</v>
      </c>
      <c r="B82" s="13"/>
      <c r="F82" s="14" t="str">
        <f aca="false">IFERROR(INDEX('Operator Master'!$B$5:$B$504,MATCH(E82,'Operator Master'!$A$5:$A$504,0)),"")</f>
        <v/>
      </c>
      <c r="H82" s="14" t="str">
        <f aca="false">IFERROR(INDEX('Fault Master'!$B$5:$B$104,MATCH(G82,'Fault Master'!$A$5:$A$104,0)),"")</f>
        <v/>
      </c>
      <c r="I82" s="14" t="str">
        <f aca="false">IFERROR(INDEX('Fault Master'!$C$5:$C$104,MATCH(G82,'Fault Master'!$A$5:$A$104,0)),"")</f>
        <v/>
      </c>
      <c r="M82" s="14" t="str">
        <f aca="false">IFERROR(INDEX('Fault Master'!$D$5:$D$104,MATCH(G82,'Fault Master'!$A$5:$A$104,0)),"")</f>
        <v/>
      </c>
    </row>
    <row r="83" customFormat="false" ht="15" hidden="false" customHeight="true" outlineLevel="0" collapsed="false">
      <c r="A83" s="1" t="n">
        <v>78</v>
      </c>
      <c r="B83" s="13"/>
      <c r="F83" s="14" t="str">
        <f aca="false">IFERROR(INDEX('Operator Master'!$B$5:$B$504,MATCH(E83,'Operator Master'!$A$5:$A$504,0)),"")</f>
        <v/>
      </c>
      <c r="H83" s="14" t="str">
        <f aca="false">IFERROR(INDEX('Fault Master'!$B$5:$B$104,MATCH(G83,'Fault Master'!$A$5:$A$104,0)),"")</f>
        <v/>
      </c>
      <c r="I83" s="14" t="str">
        <f aca="false">IFERROR(INDEX('Fault Master'!$C$5:$C$104,MATCH(G83,'Fault Master'!$A$5:$A$104,0)),"")</f>
        <v/>
      </c>
      <c r="M83" s="14" t="str">
        <f aca="false">IFERROR(INDEX('Fault Master'!$D$5:$D$104,MATCH(G83,'Fault Master'!$A$5:$A$104,0)),"")</f>
        <v/>
      </c>
    </row>
    <row r="84" customFormat="false" ht="15" hidden="false" customHeight="true" outlineLevel="0" collapsed="false">
      <c r="A84" s="1" t="n">
        <v>79</v>
      </c>
      <c r="B84" s="13"/>
      <c r="F84" s="14" t="str">
        <f aca="false">IFERROR(INDEX('Operator Master'!$B$5:$B$504,MATCH(E84,'Operator Master'!$A$5:$A$504,0)),"")</f>
        <v/>
      </c>
      <c r="H84" s="14" t="str">
        <f aca="false">IFERROR(INDEX('Fault Master'!$B$5:$B$104,MATCH(G84,'Fault Master'!$A$5:$A$104,0)),"")</f>
        <v/>
      </c>
      <c r="I84" s="14" t="str">
        <f aca="false">IFERROR(INDEX('Fault Master'!$C$5:$C$104,MATCH(G84,'Fault Master'!$A$5:$A$104,0)),"")</f>
        <v/>
      </c>
      <c r="M84" s="14" t="str">
        <f aca="false">IFERROR(INDEX('Fault Master'!$D$5:$D$104,MATCH(G84,'Fault Master'!$A$5:$A$104,0)),"")</f>
        <v/>
      </c>
    </row>
    <row r="85" customFormat="false" ht="15" hidden="false" customHeight="true" outlineLevel="0" collapsed="false">
      <c r="A85" s="1" t="n">
        <v>80</v>
      </c>
      <c r="B85" s="13"/>
      <c r="F85" s="14" t="str">
        <f aca="false">IFERROR(INDEX('Operator Master'!$B$5:$B$504,MATCH(E85,'Operator Master'!$A$5:$A$504,0)),"")</f>
        <v/>
      </c>
      <c r="H85" s="14" t="str">
        <f aca="false">IFERROR(INDEX('Fault Master'!$B$5:$B$104,MATCH(G85,'Fault Master'!$A$5:$A$104,0)),"")</f>
        <v/>
      </c>
      <c r="I85" s="14" t="str">
        <f aca="false">IFERROR(INDEX('Fault Master'!$C$5:$C$104,MATCH(G85,'Fault Master'!$A$5:$A$104,0)),"")</f>
        <v/>
      </c>
      <c r="M85" s="14" t="str">
        <f aca="false">IFERROR(INDEX('Fault Master'!$D$5:$D$104,MATCH(G85,'Fault Master'!$A$5:$A$104,0)),"")</f>
        <v/>
      </c>
    </row>
    <row r="86" customFormat="false" ht="15" hidden="false" customHeight="true" outlineLevel="0" collapsed="false">
      <c r="A86" s="1" t="n">
        <v>81</v>
      </c>
      <c r="B86" s="13"/>
      <c r="F86" s="14" t="str">
        <f aca="false">IFERROR(INDEX('Operator Master'!$B$5:$B$504,MATCH(E86,'Operator Master'!$A$5:$A$504,0)),"")</f>
        <v/>
      </c>
      <c r="H86" s="14" t="str">
        <f aca="false">IFERROR(INDEX('Fault Master'!$B$5:$B$104,MATCH(G86,'Fault Master'!$A$5:$A$104,0)),"")</f>
        <v/>
      </c>
      <c r="I86" s="14" t="str">
        <f aca="false">IFERROR(INDEX('Fault Master'!$C$5:$C$104,MATCH(G86,'Fault Master'!$A$5:$A$104,0)),"")</f>
        <v/>
      </c>
      <c r="M86" s="14" t="str">
        <f aca="false">IFERROR(INDEX('Fault Master'!$D$5:$D$104,MATCH(G86,'Fault Master'!$A$5:$A$104,0)),"")</f>
        <v/>
      </c>
    </row>
    <row r="87" customFormat="false" ht="15" hidden="false" customHeight="true" outlineLevel="0" collapsed="false">
      <c r="A87" s="1" t="n">
        <v>82</v>
      </c>
      <c r="B87" s="13"/>
      <c r="F87" s="14" t="str">
        <f aca="false">IFERROR(INDEX('Operator Master'!$B$5:$B$504,MATCH(E87,'Operator Master'!$A$5:$A$504,0)),"")</f>
        <v/>
      </c>
      <c r="H87" s="14" t="str">
        <f aca="false">IFERROR(INDEX('Fault Master'!$B$5:$B$104,MATCH(G87,'Fault Master'!$A$5:$A$104,0)),"")</f>
        <v/>
      </c>
      <c r="I87" s="14" t="str">
        <f aca="false">IFERROR(INDEX('Fault Master'!$C$5:$C$104,MATCH(G87,'Fault Master'!$A$5:$A$104,0)),"")</f>
        <v/>
      </c>
      <c r="M87" s="14" t="str">
        <f aca="false">IFERROR(INDEX('Fault Master'!$D$5:$D$104,MATCH(G87,'Fault Master'!$A$5:$A$104,0)),"")</f>
        <v/>
      </c>
    </row>
    <row r="88" customFormat="false" ht="15" hidden="false" customHeight="true" outlineLevel="0" collapsed="false">
      <c r="A88" s="1" t="n">
        <v>83</v>
      </c>
      <c r="B88" s="13"/>
      <c r="F88" s="14" t="str">
        <f aca="false">IFERROR(INDEX('Operator Master'!$B$5:$B$504,MATCH(E88,'Operator Master'!$A$5:$A$504,0)),"")</f>
        <v/>
      </c>
      <c r="H88" s="14" t="str">
        <f aca="false">IFERROR(INDEX('Fault Master'!$B$5:$B$104,MATCH(G88,'Fault Master'!$A$5:$A$104,0)),"")</f>
        <v/>
      </c>
      <c r="I88" s="14" t="str">
        <f aca="false">IFERROR(INDEX('Fault Master'!$C$5:$C$104,MATCH(G88,'Fault Master'!$A$5:$A$104,0)),"")</f>
        <v/>
      </c>
      <c r="M88" s="14" t="str">
        <f aca="false">IFERROR(INDEX('Fault Master'!$D$5:$D$104,MATCH(G88,'Fault Master'!$A$5:$A$104,0)),"")</f>
        <v/>
      </c>
    </row>
    <row r="89" customFormat="false" ht="15" hidden="false" customHeight="true" outlineLevel="0" collapsed="false">
      <c r="A89" s="1" t="n">
        <v>84</v>
      </c>
      <c r="B89" s="13"/>
      <c r="F89" s="14" t="str">
        <f aca="false">IFERROR(INDEX('Operator Master'!$B$5:$B$504,MATCH(E89,'Operator Master'!$A$5:$A$504,0)),"")</f>
        <v/>
      </c>
      <c r="H89" s="14" t="str">
        <f aca="false">IFERROR(INDEX('Fault Master'!$B$5:$B$104,MATCH(G89,'Fault Master'!$A$5:$A$104,0)),"")</f>
        <v/>
      </c>
      <c r="I89" s="14" t="str">
        <f aca="false">IFERROR(INDEX('Fault Master'!$C$5:$C$104,MATCH(G89,'Fault Master'!$A$5:$A$104,0)),"")</f>
        <v/>
      </c>
      <c r="M89" s="14" t="str">
        <f aca="false">IFERROR(INDEX('Fault Master'!$D$5:$D$104,MATCH(G89,'Fault Master'!$A$5:$A$104,0)),"")</f>
        <v/>
      </c>
    </row>
    <row r="90" customFormat="false" ht="15" hidden="false" customHeight="true" outlineLevel="0" collapsed="false">
      <c r="A90" s="1" t="n">
        <v>85</v>
      </c>
      <c r="B90" s="13"/>
      <c r="F90" s="14" t="str">
        <f aca="false">IFERROR(INDEX('Operator Master'!$B$5:$B$504,MATCH(E90,'Operator Master'!$A$5:$A$504,0)),"")</f>
        <v/>
      </c>
      <c r="H90" s="14" t="str">
        <f aca="false">IFERROR(INDEX('Fault Master'!$B$5:$B$104,MATCH(G90,'Fault Master'!$A$5:$A$104,0)),"")</f>
        <v/>
      </c>
      <c r="I90" s="14" t="str">
        <f aca="false">IFERROR(INDEX('Fault Master'!$C$5:$C$104,MATCH(G90,'Fault Master'!$A$5:$A$104,0)),"")</f>
        <v/>
      </c>
      <c r="M90" s="14" t="str">
        <f aca="false">IFERROR(INDEX('Fault Master'!$D$5:$D$104,MATCH(G90,'Fault Master'!$A$5:$A$104,0)),"")</f>
        <v/>
      </c>
    </row>
    <row r="91" customFormat="false" ht="15" hidden="false" customHeight="true" outlineLevel="0" collapsed="false">
      <c r="A91" s="1" t="n">
        <v>86</v>
      </c>
      <c r="B91" s="13"/>
      <c r="F91" s="14" t="str">
        <f aca="false">IFERROR(INDEX('Operator Master'!$B$5:$B$504,MATCH(E91,'Operator Master'!$A$5:$A$504,0)),"")</f>
        <v/>
      </c>
      <c r="H91" s="14" t="str">
        <f aca="false">IFERROR(INDEX('Fault Master'!$B$5:$B$104,MATCH(G91,'Fault Master'!$A$5:$A$104,0)),"")</f>
        <v/>
      </c>
      <c r="I91" s="14" t="str">
        <f aca="false">IFERROR(INDEX('Fault Master'!$C$5:$C$104,MATCH(G91,'Fault Master'!$A$5:$A$104,0)),"")</f>
        <v/>
      </c>
      <c r="M91" s="14" t="str">
        <f aca="false">IFERROR(INDEX('Fault Master'!$D$5:$D$104,MATCH(G91,'Fault Master'!$A$5:$A$104,0)),"")</f>
        <v/>
      </c>
    </row>
    <row r="92" customFormat="false" ht="15" hidden="false" customHeight="true" outlineLevel="0" collapsed="false">
      <c r="A92" s="1" t="n">
        <v>87</v>
      </c>
      <c r="B92" s="13"/>
      <c r="F92" s="14" t="str">
        <f aca="false">IFERROR(INDEX('Operator Master'!$B$5:$B$504,MATCH(E92,'Operator Master'!$A$5:$A$504,0)),"")</f>
        <v/>
      </c>
      <c r="H92" s="14" t="str">
        <f aca="false">IFERROR(INDEX('Fault Master'!$B$5:$B$104,MATCH(G92,'Fault Master'!$A$5:$A$104,0)),"")</f>
        <v/>
      </c>
      <c r="I92" s="14" t="str">
        <f aca="false">IFERROR(INDEX('Fault Master'!$C$5:$C$104,MATCH(G92,'Fault Master'!$A$5:$A$104,0)),"")</f>
        <v/>
      </c>
      <c r="M92" s="14" t="str">
        <f aca="false">IFERROR(INDEX('Fault Master'!$D$5:$D$104,MATCH(G92,'Fault Master'!$A$5:$A$104,0)),"")</f>
        <v/>
      </c>
    </row>
    <row r="93" customFormat="false" ht="15" hidden="false" customHeight="true" outlineLevel="0" collapsed="false">
      <c r="A93" s="1" t="n">
        <v>88</v>
      </c>
      <c r="B93" s="13"/>
      <c r="F93" s="14" t="str">
        <f aca="false">IFERROR(INDEX('Operator Master'!$B$5:$B$504,MATCH(E93,'Operator Master'!$A$5:$A$504,0)),"")</f>
        <v/>
      </c>
      <c r="H93" s="14" t="str">
        <f aca="false">IFERROR(INDEX('Fault Master'!$B$5:$B$104,MATCH(G93,'Fault Master'!$A$5:$A$104,0)),"")</f>
        <v/>
      </c>
      <c r="I93" s="14" t="str">
        <f aca="false">IFERROR(INDEX('Fault Master'!$C$5:$C$104,MATCH(G93,'Fault Master'!$A$5:$A$104,0)),"")</f>
        <v/>
      </c>
      <c r="M93" s="14" t="str">
        <f aca="false">IFERROR(INDEX('Fault Master'!$D$5:$D$104,MATCH(G93,'Fault Master'!$A$5:$A$104,0)),"")</f>
        <v/>
      </c>
    </row>
    <row r="94" customFormat="false" ht="15" hidden="false" customHeight="true" outlineLevel="0" collapsed="false">
      <c r="A94" s="1" t="n">
        <v>89</v>
      </c>
      <c r="B94" s="13"/>
      <c r="F94" s="14" t="str">
        <f aca="false">IFERROR(INDEX('Operator Master'!$B$5:$B$504,MATCH(E94,'Operator Master'!$A$5:$A$504,0)),"")</f>
        <v/>
      </c>
      <c r="H94" s="14" t="str">
        <f aca="false">IFERROR(INDEX('Fault Master'!$B$5:$B$104,MATCH(G94,'Fault Master'!$A$5:$A$104,0)),"")</f>
        <v/>
      </c>
      <c r="I94" s="14" t="str">
        <f aca="false">IFERROR(INDEX('Fault Master'!$C$5:$C$104,MATCH(G94,'Fault Master'!$A$5:$A$104,0)),"")</f>
        <v/>
      </c>
      <c r="M94" s="14" t="str">
        <f aca="false">IFERROR(INDEX('Fault Master'!$D$5:$D$104,MATCH(G94,'Fault Master'!$A$5:$A$104,0)),"")</f>
        <v/>
      </c>
    </row>
    <row r="95" customFormat="false" ht="15" hidden="false" customHeight="true" outlineLevel="0" collapsed="false">
      <c r="A95" s="1" t="n">
        <v>90</v>
      </c>
      <c r="B95" s="13"/>
      <c r="F95" s="14" t="str">
        <f aca="false">IFERROR(INDEX('Operator Master'!$B$5:$B$504,MATCH(E95,'Operator Master'!$A$5:$A$504,0)),"")</f>
        <v/>
      </c>
      <c r="H95" s="14" t="str">
        <f aca="false">IFERROR(INDEX('Fault Master'!$B$5:$B$104,MATCH(G95,'Fault Master'!$A$5:$A$104,0)),"")</f>
        <v/>
      </c>
      <c r="I95" s="14" t="str">
        <f aca="false">IFERROR(INDEX('Fault Master'!$C$5:$C$104,MATCH(G95,'Fault Master'!$A$5:$A$104,0)),"")</f>
        <v/>
      </c>
      <c r="M95" s="14" t="str">
        <f aca="false">IFERROR(INDEX('Fault Master'!$D$5:$D$104,MATCH(G95,'Fault Master'!$A$5:$A$104,0)),"")</f>
        <v/>
      </c>
    </row>
    <row r="96" customFormat="false" ht="15" hidden="false" customHeight="true" outlineLevel="0" collapsed="false">
      <c r="A96" s="1" t="n">
        <v>91</v>
      </c>
      <c r="B96" s="13"/>
      <c r="F96" s="14" t="str">
        <f aca="false">IFERROR(INDEX('Operator Master'!$B$5:$B$504,MATCH(E96,'Operator Master'!$A$5:$A$504,0)),"")</f>
        <v/>
      </c>
      <c r="H96" s="14" t="str">
        <f aca="false">IFERROR(INDEX('Fault Master'!$B$5:$B$104,MATCH(G96,'Fault Master'!$A$5:$A$104,0)),"")</f>
        <v/>
      </c>
      <c r="I96" s="14" t="str">
        <f aca="false">IFERROR(INDEX('Fault Master'!$C$5:$C$104,MATCH(G96,'Fault Master'!$A$5:$A$104,0)),"")</f>
        <v/>
      </c>
      <c r="M96" s="14" t="str">
        <f aca="false">IFERROR(INDEX('Fault Master'!$D$5:$D$104,MATCH(G96,'Fault Master'!$A$5:$A$104,0)),"")</f>
        <v/>
      </c>
    </row>
    <row r="97" customFormat="false" ht="15" hidden="false" customHeight="true" outlineLevel="0" collapsed="false">
      <c r="A97" s="1" t="n">
        <v>92</v>
      </c>
      <c r="B97" s="13"/>
      <c r="F97" s="14" t="str">
        <f aca="false">IFERROR(INDEX('Operator Master'!$B$5:$B$504,MATCH(E97,'Operator Master'!$A$5:$A$504,0)),"")</f>
        <v/>
      </c>
      <c r="H97" s="14" t="str">
        <f aca="false">IFERROR(INDEX('Fault Master'!$B$5:$B$104,MATCH(G97,'Fault Master'!$A$5:$A$104,0)),"")</f>
        <v/>
      </c>
      <c r="I97" s="14" t="str">
        <f aca="false">IFERROR(INDEX('Fault Master'!$C$5:$C$104,MATCH(G97,'Fault Master'!$A$5:$A$104,0)),"")</f>
        <v/>
      </c>
      <c r="M97" s="14" t="str">
        <f aca="false">IFERROR(INDEX('Fault Master'!$D$5:$D$104,MATCH(G97,'Fault Master'!$A$5:$A$104,0)),"")</f>
        <v/>
      </c>
    </row>
    <row r="98" customFormat="false" ht="15" hidden="false" customHeight="true" outlineLevel="0" collapsed="false">
      <c r="A98" s="1" t="n">
        <v>93</v>
      </c>
      <c r="B98" s="13"/>
      <c r="F98" s="14" t="str">
        <f aca="false">IFERROR(INDEX('Operator Master'!$B$5:$B$504,MATCH(E98,'Operator Master'!$A$5:$A$504,0)),"")</f>
        <v/>
      </c>
      <c r="H98" s="14" t="str">
        <f aca="false">IFERROR(INDEX('Fault Master'!$B$5:$B$104,MATCH(G98,'Fault Master'!$A$5:$A$104,0)),"")</f>
        <v/>
      </c>
      <c r="I98" s="14" t="str">
        <f aca="false">IFERROR(INDEX('Fault Master'!$C$5:$C$104,MATCH(G98,'Fault Master'!$A$5:$A$104,0)),"")</f>
        <v/>
      </c>
      <c r="M98" s="14" t="str">
        <f aca="false">IFERROR(INDEX('Fault Master'!$D$5:$D$104,MATCH(G98,'Fault Master'!$A$5:$A$104,0)),"")</f>
        <v/>
      </c>
    </row>
    <row r="99" customFormat="false" ht="15" hidden="false" customHeight="true" outlineLevel="0" collapsed="false">
      <c r="A99" s="1" t="n">
        <v>94</v>
      </c>
      <c r="B99" s="13"/>
      <c r="F99" s="14" t="str">
        <f aca="false">IFERROR(INDEX('Operator Master'!$B$5:$B$504,MATCH(E99,'Operator Master'!$A$5:$A$504,0)),"")</f>
        <v/>
      </c>
      <c r="H99" s="14" t="str">
        <f aca="false">IFERROR(INDEX('Fault Master'!$B$5:$B$104,MATCH(G99,'Fault Master'!$A$5:$A$104,0)),"")</f>
        <v/>
      </c>
      <c r="I99" s="14" t="str">
        <f aca="false">IFERROR(INDEX('Fault Master'!$C$5:$C$104,MATCH(G99,'Fault Master'!$A$5:$A$104,0)),"")</f>
        <v/>
      </c>
      <c r="M99" s="14" t="str">
        <f aca="false">IFERROR(INDEX('Fault Master'!$D$5:$D$104,MATCH(G99,'Fault Master'!$A$5:$A$104,0)),"")</f>
        <v/>
      </c>
    </row>
    <row r="100" customFormat="false" ht="15" hidden="false" customHeight="true" outlineLevel="0" collapsed="false">
      <c r="A100" s="1" t="n">
        <v>95</v>
      </c>
      <c r="B100" s="13"/>
      <c r="F100" s="14" t="str">
        <f aca="false">IFERROR(INDEX('Operator Master'!$B$5:$B$504,MATCH(E100,'Operator Master'!$A$5:$A$504,0)),"")</f>
        <v/>
      </c>
      <c r="H100" s="14" t="str">
        <f aca="false">IFERROR(INDEX('Fault Master'!$B$5:$B$104,MATCH(G100,'Fault Master'!$A$5:$A$104,0)),"")</f>
        <v/>
      </c>
      <c r="I100" s="14" t="str">
        <f aca="false">IFERROR(INDEX('Fault Master'!$C$5:$C$104,MATCH(G100,'Fault Master'!$A$5:$A$104,0)),"")</f>
        <v/>
      </c>
      <c r="M100" s="14" t="str">
        <f aca="false">IFERROR(INDEX('Fault Master'!$D$5:$D$104,MATCH(G100,'Fault Master'!$A$5:$A$104,0)),"")</f>
        <v/>
      </c>
    </row>
    <row r="101" customFormat="false" ht="15" hidden="false" customHeight="true" outlineLevel="0" collapsed="false">
      <c r="A101" s="1" t="n">
        <v>96</v>
      </c>
      <c r="B101" s="13"/>
      <c r="F101" s="14" t="str">
        <f aca="false">IFERROR(INDEX('Operator Master'!$B$5:$B$504,MATCH(E101,'Operator Master'!$A$5:$A$504,0)),"")</f>
        <v/>
      </c>
      <c r="H101" s="14" t="str">
        <f aca="false">IFERROR(INDEX('Fault Master'!$B$5:$B$104,MATCH(G101,'Fault Master'!$A$5:$A$104,0)),"")</f>
        <v/>
      </c>
      <c r="I101" s="14" t="str">
        <f aca="false">IFERROR(INDEX('Fault Master'!$C$5:$C$104,MATCH(G101,'Fault Master'!$A$5:$A$104,0)),"")</f>
        <v/>
      </c>
      <c r="M101" s="14" t="str">
        <f aca="false">IFERROR(INDEX('Fault Master'!$D$5:$D$104,MATCH(G101,'Fault Master'!$A$5:$A$104,0)),"")</f>
        <v/>
      </c>
    </row>
    <row r="102" customFormat="false" ht="15" hidden="false" customHeight="true" outlineLevel="0" collapsed="false">
      <c r="A102" s="1" t="n">
        <v>97</v>
      </c>
      <c r="B102" s="13"/>
      <c r="F102" s="14" t="str">
        <f aca="false">IFERROR(INDEX('Operator Master'!$B$5:$B$504,MATCH(E102,'Operator Master'!$A$5:$A$504,0)),"")</f>
        <v/>
      </c>
      <c r="H102" s="14" t="str">
        <f aca="false">IFERROR(INDEX('Fault Master'!$B$5:$B$104,MATCH(G102,'Fault Master'!$A$5:$A$104,0)),"")</f>
        <v/>
      </c>
      <c r="I102" s="14" t="str">
        <f aca="false">IFERROR(INDEX('Fault Master'!$C$5:$C$104,MATCH(G102,'Fault Master'!$A$5:$A$104,0)),"")</f>
        <v/>
      </c>
      <c r="M102" s="14" t="str">
        <f aca="false">IFERROR(INDEX('Fault Master'!$D$5:$D$104,MATCH(G102,'Fault Master'!$A$5:$A$104,0)),"")</f>
        <v/>
      </c>
    </row>
    <row r="103" customFormat="false" ht="15" hidden="false" customHeight="true" outlineLevel="0" collapsed="false">
      <c r="A103" s="1" t="n">
        <v>98</v>
      </c>
      <c r="B103" s="13"/>
      <c r="F103" s="14" t="str">
        <f aca="false">IFERROR(INDEX('Operator Master'!$B$5:$B$504,MATCH(E103,'Operator Master'!$A$5:$A$504,0)),"")</f>
        <v/>
      </c>
      <c r="H103" s="14" t="str">
        <f aca="false">IFERROR(INDEX('Fault Master'!$B$5:$B$104,MATCH(G103,'Fault Master'!$A$5:$A$104,0)),"")</f>
        <v/>
      </c>
      <c r="I103" s="14" t="str">
        <f aca="false">IFERROR(INDEX('Fault Master'!$C$5:$C$104,MATCH(G103,'Fault Master'!$A$5:$A$104,0)),"")</f>
        <v/>
      </c>
      <c r="M103" s="14" t="str">
        <f aca="false">IFERROR(INDEX('Fault Master'!$D$5:$D$104,MATCH(G103,'Fault Master'!$A$5:$A$104,0)),"")</f>
        <v/>
      </c>
    </row>
    <row r="104" customFormat="false" ht="15" hidden="false" customHeight="true" outlineLevel="0" collapsed="false">
      <c r="A104" s="1" t="n">
        <v>99</v>
      </c>
      <c r="B104" s="13"/>
      <c r="F104" s="14" t="str">
        <f aca="false">IFERROR(INDEX('Operator Master'!$B$5:$B$504,MATCH(E104,'Operator Master'!$A$5:$A$504,0)),"")</f>
        <v/>
      </c>
      <c r="H104" s="14" t="str">
        <f aca="false">IFERROR(INDEX('Fault Master'!$B$5:$B$104,MATCH(G104,'Fault Master'!$A$5:$A$104,0)),"")</f>
        <v/>
      </c>
      <c r="I104" s="14" t="str">
        <f aca="false">IFERROR(INDEX('Fault Master'!$C$5:$C$104,MATCH(G104,'Fault Master'!$A$5:$A$104,0)),"")</f>
        <v/>
      </c>
      <c r="M104" s="14" t="str">
        <f aca="false">IFERROR(INDEX('Fault Master'!$D$5:$D$104,MATCH(G104,'Fault Master'!$A$5:$A$104,0)),"")</f>
        <v/>
      </c>
    </row>
    <row r="105" customFormat="false" ht="15" hidden="false" customHeight="true" outlineLevel="0" collapsed="false">
      <c r="A105" s="1" t="n">
        <v>100</v>
      </c>
      <c r="B105" s="13"/>
      <c r="F105" s="14" t="str">
        <f aca="false">IFERROR(INDEX('Operator Master'!$B$5:$B$504,MATCH(E105,'Operator Master'!$A$5:$A$504,0)),"")</f>
        <v/>
      </c>
      <c r="H105" s="14" t="str">
        <f aca="false">IFERROR(INDEX('Fault Master'!$B$5:$B$104,MATCH(G105,'Fault Master'!$A$5:$A$104,0)),"")</f>
        <v/>
      </c>
      <c r="I105" s="14" t="str">
        <f aca="false">IFERROR(INDEX('Fault Master'!$C$5:$C$104,MATCH(G105,'Fault Master'!$A$5:$A$104,0)),"")</f>
        <v/>
      </c>
      <c r="M105" s="14" t="str">
        <f aca="false">IFERROR(INDEX('Fault Master'!$D$5:$D$104,MATCH(G105,'Fault Master'!$A$5:$A$104,0)),"")</f>
        <v/>
      </c>
    </row>
    <row r="106" customFormat="false" ht="15" hidden="false" customHeight="true" outlineLevel="0" collapsed="false">
      <c r="A106" s="1" t="n">
        <v>101</v>
      </c>
      <c r="B106" s="13"/>
      <c r="F106" s="14" t="str">
        <f aca="false">IFERROR(INDEX('Operator Master'!$B$5:$B$504,MATCH(E106,'Operator Master'!$A$5:$A$504,0)),"")</f>
        <v/>
      </c>
      <c r="H106" s="14" t="str">
        <f aca="false">IFERROR(INDEX('Fault Master'!$B$5:$B$104,MATCH(G106,'Fault Master'!$A$5:$A$104,0)),"")</f>
        <v/>
      </c>
      <c r="I106" s="14" t="str">
        <f aca="false">IFERROR(INDEX('Fault Master'!$C$5:$C$104,MATCH(G106,'Fault Master'!$A$5:$A$104,0)),"")</f>
        <v/>
      </c>
      <c r="M106" s="14" t="str">
        <f aca="false">IFERROR(INDEX('Fault Master'!$D$5:$D$104,MATCH(G106,'Fault Master'!$A$5:$A$104,0)),"")</f>
        <v/>
      </c>
    </row>
    <row r="107" customFormat="false" ht="15" hidden="false" customHeight="true" outlineLevel="0" collapsed="false">
      <c r="A107" s="1" t="n">
        <v>102</v>
      </c>
      <c r="B107" s="13"/>
      <c r="F107" s="14" t="str">
        <f aca="false">IFERROR(INDEX('Operator Master'!$B$5:$B$504,MATCH(E107,'Operator Master'!$A$5:$A$504,0)),"")</f>
        <v/>
      </c>
      <c r="H107" s="14" t="str">
        <f aca="false">IFERROR(INDEX('Fault Master'!$B$5:$B$104,MATCH(G107,'Fault Master'!$A$5:$A$104,0)),"")</f>
        <v/>
      </c>
      <c r="I107" s="14" t="str">
        <f aca="false">IFERROR(INDEX('Fault Master'!$C$5:$C$104,MATCH(G107,'Fault Master'!$A$5:$A$104,0)),"")</f>
        <v/>
      </c>
      <c r="M107" s="14" t="str">
        <f aca="false">IFERROR(INDEX('Fault Master'!$D$5:$D$104,MATCH(G107,'Fault Master'!$A$5:$A$104,0)),"")</f>
        <v/>
      </c>
    </row>
    <row r="108" customFormat="false" ht="15" hidden="false" customHeight="true" outlineLevel="0" collapsed="false">
      <c r="A108" s="1" t="n">
        <v>103</v>
      </c>
      <c r="B108" s="13"/>
      <c r="F108" s="14" t="str">
        <f aca="false">IFERROR(INDEX('Operator Master'!$B$5:$B$504,MATCH(E108,'Operator Master'!$A$5:$A$504,0)),"")</f>
        <v/>
      </c>
      <c r="H108" s="14" t="str">
        <f aca="false">IFERROR(INDEX('Fault Master'!$B$5:$B$104,MATCH(G108,'Fault Master'!$A$5:$A$104,0)),"")</f>
        <v/>
      </c>
      <c r="I108" s="14" t="str">
        <f aca="false">IFERROR(INDEX('Fault Master'!$C$5:$C$104,MATCH(G108,'Fault Master'!$A$5:$A$104,0)),"")</f>
        <v/>
      </c>
      <c r="M108" s="14" t="str">
        <f aca="false">IFERROR(INDEX('Fault Master'!$D$5:$D$104,MATCH(G108,'Fault Master'!$A$5:$A$104,0)),"")</f>
        <v/>
      </c>
    </row>
    <row r="109" customFormat="false" ht="15" hidden="false" customHeight="true" outlineLevel="0" collapsed="false">
      <c r="A109" s="1" t="n">
        <v>104</v>
      </c>
      <c r="B109" s="13"/>
      <c r="F109" s="14" t="str">
        <f aca="false">IFERROR(INDEX('Operator Master'!$B$5:$B$504,MATCH(E109,'Operator Master'!$A$5:$A$504,0)),"")</f>
        <v/>
      </c>
      <c r="H109" s="14" t="str">
        <f aca="false">IFERROR(INDEX('Fault Master'!$B$5:$B$104,MATCH(G109,'Fault Master'!$A$5:$A$104,0)),"")</f>
        <v/>
      </c>
      <c r="I109" s="14" t="str">
        <f aca="false">IFERROR(INDEX('Fault Master'!$C$5:$C$104,MATCH(G109,'Fault Master'!$A$5:$A$104,0)),"")</f>
        <v/>
      </c>
      <c r="M109" s="14" t="str">
        <f aca="false">IFERROR(INDEX('Fault Master'!$D$5:$D$104,MATCH(G109,'Fault Master'!$A$5:$A$104,0)),"")</f>
        <v/>
      </c>
    </row>
    <row r="110" customFormat="false" ht="15" hidden="false" customHeight="true" outlineLevel="0" collapsed="false">
      <c r="A110" s="1" t="n">
        <v>105</v>
      </c>
      <c r="B110" s="13"/>
      <c r="F110" s="14" t="str">
        <f aca="false">IFERROR(INDEX('Operator Master'!$B$5:$B$504,MATCH(E110,'Operator Master'!$A$5:$A$504,0)),"")</f>
        <v/>
      </c>
      <c r="H110" s="14" t="str">
        <f aca="false">IFERROR(INDEX('Fault Master'!$B$5:$B$104,MATCH(G110,'Fault Master'!$A$5:$A$104,0)),"")</f>
        <v/>
      </c>
      <c r="I110" s="14" t="str">
        <f aca="false">IFERROR(INDEX('Fault Master'!$C$5:$C$104,MATCH(G110,'Fault Master'!$A$5:$A$104,0)),"")</f>
        <v/>
      </c>
      <c r="M110" s="14" t="str">
        <f aca="false">IFERROR(INDEX('Fault Master'!$D$5:$D$104,MATCH(G110,'Fault Master'!$A$5:$A$104,0)),"")</f>
        <v/>
      </c>
    </row>
    <row r="111" customFormat="false" ht="15" hidden="false" customHeight="true" outlineLevel="0" collapsed="false">
      <c r="A111" s="1" t="n">
        <v>106</v>
      </c>
      <c r="B111" s="13"/>
      <c r="F111" s="14" t="str">
        <f aca="false">IFERROR(INDEX('Operator Master'!$B$5:$B$504,MATCH(E111,'Operator Master'!$A$5:$A$504,0)),"")</f>
        <v/>
      </c>
      <c r="H111" s="14" t="str">
        <f aca="false">IFERROR(INDEX('Fault Master'!$B$5:$B$104,MATCH(G111,'Fault Master'!$A$5:$A$104,0)),"")</f>
        <v/>
      </c>
      <c r="I111" s="14" t="str">
        <f aca="false">IFERROR(INDEX('Fault Master'!$C$5:$C$104,MATCH(G111,'Fault Master'!$A$5:$A$104,0)),"")</f>
        <v/>
      </c>
      <c r="M111" s="14" t="str">
        <f aca="false">IFERROR(INDEX('Fault Master'!$D$5:$D$104,MATCH(G111,'Fault Master'!$A$5:$A$104,0)),"")</f>
        <v/>
      </c>
    </row>
    <row r="112" customFormat="false" ht="15" hidden="false" customHeight="true" outlineLevel="0" collapsed="false">
      <c r="A112" s="1" t="n">
        <v>107</v>
      </c>
      <c r="B112" s="13"/>
      <c r="F112" s="14" t="str">
        <f aca="false">IFERROR(INDEX('Operator Master'!$B$5:$B$504,MATCH(E112,'Operator Master'!$A$5:$A$504,0)),"")</f>
        <v/>
      </c>
      <c r="H112" s="14" t="str">
        <f aca="false">IFERROR(INDEX('Fault Master'!$B$5:$B$104,MATCH(G112,'Fault Master'!$A$5:$A$104,0)),"")</f>
        <v/>
      </c>
      <c r="I112" s="14" t="str">
        <f aca="false">IFERROR(INDEX('Fault Master'!$C$5:$C$104,MATCH(G112,'Fault Master'!$A$5:$A$104,0)),"")</f>
        <v/>
      </c>
      <c r="M112" s="14" t="str">
        <f aca="false">IFERROR(INDEX('Fault Master'!$D$5:$D$104,MATCH(G112,'Fault Master'!$A$5:$A$104,0)),"")</f>
        <v/>
      </c>
    </row>
    <row r="113" customFormat="false" ht="15" hidden="false" customHeight="true" outlineLevel="0" collapsed="false">
      <c r="A113" s="1" t="n">
        <v>108</v>
      </c>
      <c r="B113" s="13"/>
      <c r="F113" s="14" t="str">
        <f aca="false">IFERROR(INDEX('Operator Master'!$B$5:$B$504,MATCH(E113,'Operator Master'!$A$5:$A$504,0)),"")</f>
        <v/>
      </c>
      <c r="H113" s="14" t="str">
        <f aca="false">IFERROR(INDEX('Fault Master'!$B$5:$B$104,MATCH(G113,'Fault Master'!$A$5:$A$104,0)),"")</f>
        <v/>
      </c>
      <c r="I113" s="14" t="str">
        <f aca="false">IFERROR(INDEX('Fault Master'!$C$5:$C$104,MATCH(G113,'Fault Master'!$A$5:$A$104,0)),"")</f>
        <v/>
      </c>
      <c r="M113" s="14" t="str">
        <f aca="false">IFERROR(INDEX('Fault Master'!$D$5:$D$104,MATCH(G113,'Fault Master'!$A$5:$A$104,0)),"")</f>
        <v/>
      </c>
    </row>
    <row r="114" customFormat="false" ht="15" hidden="false" customHeight="true" outlineLevel="0" collapsed="false">
      <c r="A114" s="1" t="n">
        <v>109</v>
      </c>
      <c r="B114" s="13"/>
      <c r="F114" s="14" t="str">
        <f aca="false">IFERROR(INDEX('Operator Master'!$B$5:$B$504,MATCH(E114,'Operator Master'!$A$5:$A$504,0)),"")</f>
        <v/>
      </c>
      <c r="H114" s="14" t="str">
        <f aca="false">IFERROR(INDEX('Fault Master'!$B$5:$B$104,MATCH(G114,'Fault Master'!$A$5:$A$104,0)),"")</f>
        <v/>
      </c>
      <c r="I114" s="14" t="str">
        <f aca="false">IFERROR(INDEX('Fault Master'!$C$5:$C$104,MATCH(G114,'Fault Master'!$A$5:$A$104,0)),"")</f>
        <v/>
      </c>
      <c r="M114" s="14" t="str">
        <f aca="false">IFERROR(INDEX('Fault Master'!$D$5:$D$104,MATCH(G114,'Fault Master'!$A$5:$A$104,0)),"")</f>
        <v/>
      </c>
    </row>
    <row r="115" customFormat="false" ht="15" hidden="false" customHeight="true" outlineLevel="0" collapsed="false">
      <c r="A115" s="1" t="n">
        <v>110</v>
      </c>
      <c r="B115" s="13"/>
      <c r="F115" s="14" t="str">
        <f aca="false">IFERROR(INDEX('Operator Master'!$B$5:$B$504,MATCH(E115,'Operator Master'!$A$5:$A$504,0)),"")</f>
        <v/>
      </c>
      <c r="H115" s="14" t="str">
        <f aca="false">IFERROR(INDEX('Fault Master'!$B$5:$B$104,MATCH(G115,'Fault Master'!$A$5:$A$104,0)),"")</f>
        <v/>
      </c>
      <c r="I115" s="14" t="str">
        <f aca="false">IFERROR(INDEX('Fault Master'!$C$5:$C$104,MATCH(G115,'Fault Master'!$A$5:$A$104,0)),"")</f>
        <v/>
      </c>
      <c r="M115" s="14" t="str">
        <f aca="false">IFERROR(INDEX('Fault Master'!$D$5:$D$104,MATCH(G115,'Fault Master'!$A$5:$A$104,0)),"")</f>
        <v/>
      </c>
    </row>
    <row r="116" customFormat="false" ht="15" hidden="false" customHeight="true" outlineLevel="0" collapsed="false">
      <c r="A116" s="1" t="n">
        <v>111</v>
      </c>
      <c r="B116" s="13"/>
      <c r="F116" s="14" t="str">
        <f aca="false">IFERROR(INDEX('Operator Master'!$B$5:$B$504,MATCH(E116,'Operator Master'!$A$5:$A$504,0)),"")</f>
        <v/>
      </c>
      <c r="H116" s="14" t="str">
        <f aca="false">IFERROR(INDEX('Fault Master'!$B$5:$B$104,MATCH(G116,'Fault Master'!$A$5:$A$104,0)),"")</f>
        <v/>
      </c>
      <c r="I116" s="14" t="str">
        <f aca="false">IFERROR(INDEX('Fault Master'!$C$5:$C$104,MATCH(G116,'Fault Master'!$A$5:$A$104,0)),"")</f>
        <v/>
      </c>
      <c r="M116" s="14" t="str">
        <f aca="false">IFERROR(INDEX('Fault Master'!$D$5:$D$104,MATCH(G116,'Fault Master'!$A$5:$A$104,0)),"")</f>
        <v/>
      </c>
    </row>
    <row r="117" customFormat="false" ht="15" hidden="false" customHeight="true" outlineLevel="0" collapsed="false">
      <c r="A117" s="1" t="n">
        <v>112</v>
      </c>
      <c r="B117" s="13"/>
      <c r="F117" s="14" t="str">
        <f aca="false">IFERROR(INDEX('Operator Master'!$B$5:$B$504,MATCH(E117,'Operator Master'!$A$5:$A$504,0)),"")</f>
        <v/>
      </c>
      <c r="H117" s="14" t="str">
        <f aca="false">IFERROR(INDEX('Fault Master'!$B$5:$B$104,MATCH(G117,'Fault Master'!$A$5:$A$104,0)),"")</f>
        <v/>
      </c>
      <c r="I117" s="14" t="str">
        <f aca="false">IFERROR(INDEX('Fault Master'!$C$5:$C$104,MATCH(G117,'Fault Master'!$A$5:$A$104,0)),"")</f>
        <v/>
      </c>
      <c r="M117" s="14" t="str">
        <f aca="false">IFERROR(INDEX('Fault Master'!$D$5:$D$104,MATCH(G117,'Fault Master'!$A$5:$A$104,0)),"")</f>
        <v/>
      </c>
    </row>
    <row r="118" customFormat="false" ht="15" hidden="false" customHeight="true" outlineLevel="0" collapsed="false">
      <c r="A118" s="1" t="n">
        <v>113</v>
      </c>
      <c r="B118" s="13"/>
      <c r="F118" s="14" t="str">
        <f aca="false">IFERROR(INDEX('Operator Master'!$B$5:$B$504,MATCH(E118,'Operator Master'!$A$5:$A$504,0)),"")</f>
        <v/>
      </c>
      <c r="H118" s="14" t="str">
        <f aca="false">IFERROR(INDEX('Fault Master'!$B$5:$B$104,MATCH(G118,'Fault Master'!$A$5:$A$104,0)),"")</f>
        <v/>
      </c>
      <c r="I118" s="14" t="str">
        <f aca="false">IFERROR(INDEX('Fault Master'!$C$5:$C$104,MATCH(G118,'Fault Master'!$A$5:$A$104,0)),"")</f>
        <v/>
      </c>
      <c r="M118" s="14" t="str">
        <f aca="false">IFERROR(INDEX('Fault Master'!$D$5:$D$104,MATCH(G118,'Fault Master'!$A$5:$A$104,0)),"")</f>
        <v/>
      </c>
    </row>
    <row r="119" customFormat="false" ht="15" hidden="false" customHeight="true" outlineLevel="0" collapsed="false">
      <c r="A119" s="1" t="n">
        <v>114</v>
      </c>
      <c r="B119" s="13"/>
      <c r="F119" s="14" t="str">
        <f aca="false">IFERROR(INDEX('Operator Master'!$B$5:$B$504,MATCH(E119,'Operator Master'!$A$5:$A$504,0)),"")</f>
        <v/>
      </c>
      <c r="H119" s="14" t="str">
        <f aca="false">IFERROR(INDEX('Fault Master'!$B$5:$B$104,MATCH(G119,'Fault Master'!$A$5:$A$104,0)),"")</f>
        <v/>
      </c>
      <c r="I119" s="14" t="str">
        <f aca="false">IFERROR(INDEX('Fault Master'!$C$5:$C$104,MATCH(G119,'Fault Master'!$A$5:$A$104,0)),"")</f>
        <v/>
      </c>
      <c r="M119" s="14" t="str">
        <f aca="false">IFERROR(INDEX('Fault Master'!$D$5:$D$104,MATCH(G119,'Fault Master'!$A$5:$A$104,0)),"")</f>
        <v/>
      </c>
    </row>
    <row r="120" customFormat="false" ht="15" hidden="false" customHeight="true" outlineLevel="0" collapsed="false">
      <c r="A120" s="1" t="n">
        <v>115</v>
      </c>
      <c r="B120" s="13"/>
      <c r="F120" s="14" t="str">
        <f aca="false">IFERROR(INDEX('Operator Master'!$B$5:$B$504,MATCH(E120,'Operator Master'!$A$5:$A$504,0)),"")</f>
        <v/>
      </c>
      <c r="H120" s="14" t="str">
        <f aca="false">IFERROR(INDEX('Fault Master'!$B$5:$B$104,MATCH(G120,'Fault Master'!$A$5:$A$104,0)),"")</f>
        <v/>
      </c>
      <c r="I120" s="14" t="str">
        <f aca="false">IFERROR(INDEX('Fault Master'!$C$5:$C$104,MATCH(G120,'Fault Master'!$A$5:$A$104,0)),"")</f>
        <v/>
      </c>
      <c r="M120" s="14" t="str">
        <f aca="false">IFERROR(INDEX('Fault Master'!$D$5:$D$104,MATCH(G120,'Fault Master'!$A$5:$A$104,0)),"")</f>
        <v/>
      </c>
    </row>
    <row r="121" customFormat="false" ht="15" hidden="false" customHeight="true" outlineLevel="0" collapsed="false">
      <c r="A121" s="1" t="n">
        <v>116</v>
      </c>
      <c r="B121" s="13"/>
      <c r="F121" s="14" t="str">
        <f aca="false">IFERROR(INDEX('Operator Master'!$B$5:$B$504,MATCH(E121,'Operator Master'!$A$5:$A$504,0)),"")</f>
        <v/>
      </c>
      <c r="H121" s="14" t="str">
        <f aca="false">IFERROR(INDEX('Fault Master'!$B$5:$B$104,MATCH(G121,'Fault Master'!$A$5:$A$104,0)),"")</f>
        <v/>
      </c>
      <c r="I121" s="14" t="str">
        <f aca="false">IFERROR(INDEX('Fault Master'!$C$5:$C$104,MATCH(G121,'Fault Master'!$A$5:$A$104,0)),"")</f>
        <v/>
      </c>
      <c r="M121" s="14" t="str">
        <f aca="false">IFERROR(INDEX('Fault Master'!$D$5:$D$104,MATCH(G121,'Fault Master'!$A$5:$A$104,0)),"")</f>
        <v/>
      </c>
    </row>
    <row r="122" customFormat="false" ht="15" hidden="false" customHeight="true" outlineLevel="0" collapsed="false">
      <c r="A122" s="1" t="n">
        <v>117</v>
      </c>
      <c r="B122" s="13"/>
      <c r="F122" s="14" t="str">
        <f aca="false">IFERROR(INDEX('Operator Master'!$B$5:$B$504,MATCH(E122,'Operator Master'!$A$5:$A$504,0)),"")</f>
        <v/>
      </c>
      <c r="H122" s="14" t="str">
        <f aca="false">IFERROR(INDEX('Fault Master'!$B$5:$B$104,MATCH(G122,'Fault Master'!$A$5:$A$104,0)),"")</f>
        <v/>
      </c>
      <c r="I122" s="14" t="str">
        <f aca="false">IFERROR(INDEX('Fault Master'!$C$5:$C$104,MATCH(G122,'Fault Master'!$A$5:$A$104,0)),"")</f>
        <v/>
      </c>
      <c r="M122" s="14" t="str">
        <f aca="false">IFERROR(INDEX('Fault Master'!$D$5:$D$104,MATCH(G122,'Fault Master'!$A$5:$A$104,0)),"")</f>
        <v/>
      </c>
    </row>
    <row r="123" customFormat="false" ht="15" hidden="false" customHeight="true" outlineLevel="0" collapsed="false">
      <c r="A123" s="1" t="n">
        <v>118</v>
      </c>
      <c r="B123" s="13"/>
      <c r="F123" s="14" t="str">
        <f aca="false">IFERROR(INDEX('Operator Master'!$B$5:$B$504,MATCH(E123,'Operator Master'!$A$5:$A$504,0)),"")</f>
        <v/>
      </c>
      <c r="H123" s="14" t="str">
        <f aca="false">IFERROR(INDEX('Fault Master'!$B$5:$B$104,MATCH(G123,'Fault Master'!$A$5:$A$104,0)),"")</f>
        <v/>
      </c>
      <c r="I123" s="14" t="str">
        <f aca="false">IFERROR(INDEX('Fault Master'!$C$5:$C$104,MATCH(G123,'Fault Master'!$A$5:$A$104,0)),"")</f>
        <v/>
      </c>
      <c r="M123" s="14" t="str">
        <f aca="false">IFERROR(INDEX('Fault Master'!$D$5:$D$104,MATCH(G123,'Fault Master'!$A$5:$A$104,0)),"")</f>
        <v/>
      </c>
    </row>
    <row r="124" customFormat="false" ht="15" hidden="false" customHeight="true" outlineLevel="0" collapsed="false">
      <c r="A124" s="1" t="n">
        <v>119</v>
      </c>
      <c r="B124" s="13"/>
      <c r="F124" s="14" t="str">
        <f aca="false">IFERROR(INDEX('Operator Master'!$B$5:$B$504,MATCH(E124,'Operator Master'!$A$5:$A$504,0)),"")</f>
        <v/>
      </c>
      <c r="H124" s="14" t="str">
        <f aca="false">IFERROR(INDEX('Fault Master'!$B$5:$B$104,MATCH(G124,'Fault Master'!$A$5:$A$104,0)),"")</f>
        <v/>
      </c>
      <c r="I124" s="14" t="str">
        <f aca="false">IFERROR(INDEX('Fault Master'!$C$5:$C$104,MATCH(G124,'Fault Master'!$A$5:$A$104,0)),"")</f>
        <v/>
      </c>
      <c r="M124" s="14" t="str">
        <f aca="false">IFERROR(INDEX('Fault Master'!$D$5:$D$104,MATCH(G124,'Fault Master'!$A$5:$A$104,0)),"")</f>
        <v/>
      </c>
    </row>
    <row r="125" customFormat="false" ht="15" hidden="false" customHeight="true" outlineLevel="0" collapsed="false">
      <c r="A125" s="1" t="n">
        <v>120</v>
      </c>
      <c r="B125" s="13"/>
      <c r="F125" s="14" t="str">
        <f aca="false">IFERROR(INDEX('Operator Master'!$B$5:$B$504,MATCH(E125,'Operator Master'!$A$5:$A$504,0)),"")</f>
        <v/>
      </c>
      <c r="H125" s="14" t="str">
        <f aca="false">IFERROR(INDEX('Fault Master'!$B$5:$B$104,MATCH(G125,'Fault Master'!$A$5:$A$104,0)),"")</f>
        <v/>
      </c>
      <c r="I125" s="14" t="str">
        <f aca="false">IFERROR(INDEX('Fault Master'!$C$5:$C$104,MATCH(G125,'Fault Master'!$A$5:$A$104,0)),"")</f>
        <v/>
      </c>
      <c r="M125" s="14" t="str">
        <f aca="false">IFERROR(INDEX('Fault Master'!$D$5:$D$104,MATCH(G125,'Fault Master'!$A$5:$A$104,0)),"")</f>
        <v/>
      </c>
    </row>
    <row r="126" customFormat="false" ht="15" hidden="false" customHeight="true" outlineLevel="0" collapsed="false">
      <c r="A126" s="1" t="n">
        <v>121</v>
      </c>
      <c r="B126" s="13"/>
      <c r="F126" s="14" t="str">
        <f aca="false">IFERROR(INDEX('Operator Master'!$B$5:$B$504,MATCH(E126,'Operator Master'!$A$5:$A$504,0)),"")</f>
        <v/>
      </c>
      <c r="H126" s="14" t="str">
        <f aca="false">IFERROR(INDEX('Fault Master'!$B$5:$B$104,MATCH(G126,'Fault Master'!$A$5:$A$104,0)),"")</f>
        <v/>
      </c>
      <c r="I126" s="14" t="str">
        <f aca="false">IFERROR(INDEX('Fault Master'!$C$5:$C$104,MATCH(G126,'Fault Master'!$A$5:$A$104,0)),"")</f>
        <v/>
      </c>
      <c r="M126" s="14" t="str">
        <f aca="false">IFERROR(INDEX('Fault Master'!$D$5:$D$104,MATCH(G126,'Fault Master'!$A$5:$A$104,0)),"")</f>
        <v/>
      </c>
    </row>
    <row r="127" customFormat="false" ht="15" hidden="false" customHeight="true" outlineLevel="0" collapsed="false">
      <c r="A127" s="1" t="n">
        <v>122</v>
      </c>
      <c r="B127" s="13"/>
      <c r="F127" s="14" t="str">
        <f aca="false">IFERROR(INDEX('Operator Master'!$B$5:$B$504,MATCH(E127,'Operator Master'!$A$5:$A$504,0)),"")</f>
        <v/>
      </c>
      <c r="H127" s="14" t="str">
        <f aca="false">IFERROR(INDEX('Fault Master'!$B$5:$B$104,MATCH(G127,'Fault Master'!$A$5:$A$104,0)),"")</f>
        <v/>
      </c>
      <c r="I127" s="14" t="str">
        <f aca="false">IFERROR(INDEX('Fault Master'!$C$5:$C$104,MATCH(G127,'Fault Master'!$A$5:$A$104,0)),"")</f>
        <v/>
      </c>
      <c r="M127" s="14" t="str">
        <f aca="false">IFERROR(INDEX('Fault Master'!$D$5:$D$104,MATCH(G127,'Fault Master'!$A$5:$A$104,0)),"")</f>
        <v/>
      </c>
    </row>
    <row r="128" customFormat="false" ht="15" hidden="false" customHeight="true" outlineLevel="0" collapsed="false">
      <c r="A128" s="1" t="n">
        <v>123</v>
      </c>
      <c r="B128" s="13"/>
      <c r="F128" s="14" t="str">
        <f aca="false">IFERROR(INDEX('Operator Master'!$B$5:$B$504,MATCH(E128,'Operator Master'!$A$5:$A$504,0)),"")</f>
        <v/>
      </c>
      <c r="H128" s="14" t="str">
        <f aca="false">IFERROR(INDEX('Fault Master'!$B$5:$B$104,MATCH(G128,'Fault Master'!$A$5:$A$104,0)),"")</f>
        <v/>
      </c>
      <c r="I128" s="14" t="str">
        <f aca="false">IFERROR(INDEX('Fault Master'!$C$5:$C$104,MATCH(G128,'Fault Master'!$A$5:$A$104,0)),"")</f>
        <v/>
      </c>
      <c r="M128" s="14" t="str">
        <f aca="false">IFERROR(INDEX('Fault Master'!$D$5:$D$104,MATCH(G128,'Fault Master'!$A$5:$A$104,0)),"")</f>
        <v/>
      </c>
    </row>
    <row r="129" customFormat="false" ht="15" hidden="false" customHeight="true" outlineLevel="0" collapsed="false">
      <c r="A129" s="1" t="n">
        <v>124</v>
      </c>
      <c r="B129" s="13"/>
      <c r="F129" s="14" t="str">
        <f aca="false">IFERROR(INDEX('Operator Master'!$B$5:$B$504,MATCH(E129,'Operator Master'!$A$5:$A$504,0)),"")</f>
        <v/>
      </c>
      <c r="H129" s="14" t="str">
        <f aca="false">IFERROR(INDEX('Fault Master'!$B$5:$B$104,MATCH(G129,'Fault Master'!$A$5:$A$104,0)),"")</f>
        <v/>
      </c>
      <c r="I129" s="14" t="str">
        <f aca="false">IFERROR(INDEX('Fault Master'!$C$5:$C$104,MATCH(G129,'Fault Master'!$A$5:$A$104,0)),"")</f>
        <v/>
      </c>
      <c r="M129" s="14" t="str">
        <f aca="false">IFERROR(INDEX('Fault Master'!$D$5:$D$104,MATCH(G129,'Fault Master'!$A$5:$A$104,0)),"")</f>
        <v/>
      </c>
    </row>
    <row r="130" customFormat="false" ht="15" hidden="false" customHeight="true" outlineLevel="0" collapsed="false">
      <c r="A130" s="1" t="n">
        <v>125</v>
      </c>
      <c r="B130" s="13"/>
      <c r="F130" s="14" t="str">
        <f aca="false">IFERROR(INDEX('Operator Master'!$B$5:$B$504,MATCH(E130,'Operator Master'!$A$5:$A$504,0)),"")</f>
        <v/>
      </c>
      <c r="H130" s="14" t="str">
        <f aca="false">IFERROR(INDEX('Fault Master'!$B$5:$B$104,MATCH(G130,'Fault Master'!$A$5:$A$104,0)),"")</f>
        <v/>
      </c>
      <c r="I130" s="14" t="str">
        <f aca="false">IFERROR(INDEX('Fault Master'!$C$5:$C$104,MATCH(G130,'Fault Master'!$A$5:$A$104,0)),"")</f>
        <v/>
      </c>
      <c r="M130" s="14" t="str">
        <f aca="false">IFERROR(INDEX('Fault Master'!$D$5:$D$104,MATCH(G130,'Fault Master'!$A$5:$A$104,0)),"")</f>
        <v/>
      </c>
    </row>
    <row r="131" customFormat="false" ht="15" hidden="false" customHeight="true" outlineLevel="0" collapsed="false">
      <c r="A131" s="1" t="n">
        <v>126</v>
      </c>
      <c r="B131" s="13"/>
      <c r="F131" s="14" t="str">
        <f aca="false">IFERROR(INDEX('Operator Master'!$B$5:$B$504,MATCH(E131,'Operator Master'!$A$5:$A$504,0)),"")</f>
        <v/>
      </c>
      <c r="H131" s="14" t="str">
        <f aca="false">IFERROR(INDEX('Fault Master'!$B$5:$B$104,MATCH(G131,'Fault Master'!$A$5:$A$104,0)),"")</f>
        <v/>
      </c>
      <c r="I131" s="14" t="str">
        <f aca="false">IFERROR(INDEX('Fault Master'!$C$5:$C$104,MATCH(G131,'Fault Master'!$A$5:$A$104,0)),"")</f>
        <v/>
      </c>
      <c r="M131" s="14" t="str">
        <f aca="false">IFERROR(INDEX('Fault Master'!$D$5:$D$104,MATCH(G131,'Fault Master'!$A$5:$A$104,0)),"")</f>
        <v/>
      </c>
    </row>
    <row r="132" customFormat="false" ht="15" hidden="false" customHeight="true" outlineLevel="0" collapsed="false">
      <c r="A132" s="1" t="n">
        <v>127</v>
      </c>
      <c r="B132" s="13"/>
      <c r="F132" s="14" t="str">
        <f aca="false">IFERROR(INDEX('Operator Master'!$B$5:$B$504,MATCH(E132,'Operator Master'!$A$5:$A$504,0)),"")</f>
        <v/>
      </c>
      <c r="H132" s="14" t="str">
        <f aca="false">IFERROR(INDEX('Fault Master'!$B$5:$B$104,MATCH(G132,'Fault Master'!$A$5:$A$104,0)),"")</f>
        <v/>
      </c>
      <c r="I132" s="14" t="str">
        <f aca="false">IFERROR(INDEX('Fault Master'!$C$5:$C$104,MATCH(G132,'Fault Master'!$A$5:$A$104,0)),"")</f>
        <v/>
      </c>
      <c r="M132" s="14" t="str">
        <f aca="false">IFERROR(INDEX('Fault Master'!$D$5:$D$104,MATCH(G132,'Fault Master'!$A$5:$A$104,0)),"")</f>
        <v/>
      </c>
    </row>
    <row r="133" customFormat="false" ht="15" hidden="false" customHeight="true" outlineLevel="0" collapsed="false">
      <c r="A133" s="1" t="n">
        <v>128</v>
      </c>
      <c r="B133" s="13"/>
      <c r="F133" s="14" t="str">
        <f aca="false">IFERROR(INDEX('Operator Master'!$B$5:$B$504,MATCH(E133,'Operator Master'!$A$5:$A$504,0)),"")</f>
        <v/>
      </c>
      <c r="H133" s="14" t="str">
        <f aca="false">IFERROR(INDEX('Fault Master'!$B$5:$B$104,MATCH(G133,'Fault Master'!$A$5:$A$104,0)),"")</f>
        <v/>
      </c>
      <c r="I133" s="14" t="str">
        <f aca="false">IFERROR(INDEX('Fault Master'!$C$5:$C$104,MATCH(G133,'Fault Master'!$A$5:$A$104,0)),"")</f>
        <v/>
      </c>
      <c r="M133" s="14" t="str">
        <f aca="false">IFERROR(INDEX('Fault Master'!$D$5:$D$104,MATCH(G133,'Fault Master'!$A$5:$A$104,0)),"")</f>
        <v/>
      </c>
    </row>
    <row r="134" customFormat="false" ht="15" hidden="false" customHeight="true" outlineLevel="0" collapsed="false">
      <c r="A134" s="1" t="n">
        <v>129</v>
      </c>
      <c r="B134" s="13"/>
      <c r="F134" s="14" t="str">
        <f aca="false">IFERROR(INDEX('Operator Master'!$B$5:$B$504,MATCH(E134,'Operator Master'!$A$5:$A$504,0)),"")</f>
        <v/>
      </c>
      <c r="H134" s="14" t="str">
        <f aca="false">IFERROR(INDEX('Fault Master'!$B$5:$B$104,MATCH(G134,'Fault Master'!$A$5:$A$104,0)),"")</f>
        <v/>
      </c>
      <c r="I134" s="14" t="str">
        <f aca="false">IFERROR(INDEX('Fault Master'!$C$5:$C$104,MATCH(G134,'Fault Master'!$A$5:$A$104,0)),"")</f>
        <v/>
      </c>
      <c r="M134" s="14" t="str">
        <f aca="false">IFERROR(INDEX('Fault Master'!$D$5:$D$104,MATCH(G134,'Fault Master'!$A$5:$A$104,0)),"")</f>
        <v/>
      </c>
    </row>
    <row r="135" customFormat="false" ht="15" hidden="false" customHeight="true" outlineLevel="0" collapsed="false">
      <c r="A135" s="1" t="n">
        <v>130</v>
      </c>
      <c r="B135" s="13"/>
      <c r="F135" s="14" t="str">
        <f aca="false">IFERROR(INDEX('Operator Master'!$B$5:$B$504,MATCH(E135,'Operator Master'!$A$5:$A$504,0)),"")</f>
        <v/>
      </c>
      <c r="H135" s="14" t="str">
        <f aca="false">IFERROR(INDEX('Fault Master'!$B$5:$B$104,MATCH(G135,'Fault Master'!$A$5:$A$104,0)),"")</f>
        <v/>
      </c>
      <c r="I135" s="14" t="str">
        <f aca="false">IFERROR(INDEX('Fault Master'!$C$5:$C$104,MATCH(G135,'Fault Master'!$A$5:$A$104,0)),"")</f>
        <v/>
      </c>
      <c r="M135" s="14" t="str">
        <f aca="false">IFERROR(INDEX('Fault Master'!$D$5:$D$104,MATCH(G135,'Fault Master'!$A$5:$A$104,0)),"")</f>
        <v/>
      </c>
    </row>
    <row r="136" customFormat="false" ht="15" hidden="false" customHeight="true" outlineLevel="0" collapsed="false">
      <c r="A136" s="1" t="n">
        <v>131</v>
      </c>
      <c r="B136" s="13"/>
      <c r="F136" s="14" t="str">
        <f aca="false">IFERROR(INDEX('Operator Master'!$B$5:$B$504,MATCH(E136,'Operator Master'!$A$5:$A$504,0)),"")</f>
        <v/>
      </c>
      <c r="H136" s="14" t="str">
        <f aca="false">IFERROR(INDEX('Fault Master'!$B$5:$B$104,MATCH(G136,'Fault Master'!$A$5:$A$104,0)),"")</f>
        <v/>
      </c>
      <c r="I136" s="14" t="str">
        <f aca="false">IFERROR(INDEX('Fault Master'!$C$5:$C$104,MATCH(G136,'Fault Master'!$A$5:$A$104,0)),"")</f>
        <v/>
      </c>
      <c r="M136" s="14" t="str">
        <f aca="false">IFERROR(INDEX('Fault Master'!$D$5:$D$104,MATCH(G136,'Fault Master'!$A$5:$A$104,0)),"")</f>
        <v/>
      </c>
    </row>
    <row r="137" customFormat="false" ht="15" hidden="false" customHeight="true" outlineLevel="0" collapsed="false">
      <c r="A137" s="1" t="n">
        <v>132</v>
      </c>
      <c r="B137" s="13"/>
      <c r="F137" s="14" t="str">
        <f aca="false">IFERROR(INDEX('Operator Master'!$B$5:$B$504,MATCH(E137,'Operator Master'!$A$5:$A$504,0)),"")</f>
        <v/>
      </c>
      <c r="H137" s="14" t="str">
        <f aca="false">IFERROR(INDEX('Fault Master'!$B$5:$B$104,MATCH(G137,'Fault Master'!$A$5:$A$104,0)),"")</f>
        <v/>
      </c>
      <c r="I137" s="14" t="str">
        <f aca="false">IFERROR(INDEX('Fault Master'!$C$5:$C$104,MATCH(G137,'Fault Master'!$A$5:$A$104,0)),"")</f>
        <v/>
      </c>
      <c r="M137" s="14" t="str">
        <f aca="false">IFERROR(INDEX('Fault Master'!$D$5:$D$104,MATCH(G137,'Fault Master'!$A$5:$A$104,0)),"")</f>
        <v/>
      </c>
    </row>
    <row r="138" customFormat="false" ht="15" hidden="false" customHeight="true" outlineLevel="0" collapsed="false">
      <c r="A138" s="1" t="n">
        <v>133</v>
      </c>
      <c r="B138" s="13"/>
      <c r="F138" s="14" t="str">
        <f aca="false">IFERROR(INDEX('Operator Master'!$B$5:$B$504,MATCH(E138,'Operator Master'!$A$5:$A$504,0)),"")</f>
        <v/>
      </c>
      <c r="H138" s="14" t="str">
        <f aca="false">IFERROR(INDEX('Fault Master'!$B$5:$B$104,MATCH(G138,'Fault Master'!$A$5:$A$104,0)),"")</f>
        <v/>
      </c>
      <c r="I138" s="14" t="str">
        <f aca="false">IFERROR(INDEX('Fault Master'!$C$5:$C$104,MATCH(G138,'Fault Master'!$A$5:$A$104,0)),"")</f>
        <v/>
      </c>
      <c r="M138" s="14" t="str">
        <f aca="false">IFERROR(INDEX('Fault Master'!$D$5:$D$104,MATCH(G138,'Fault Master'!$A$5:$A$104,0)),"")</f>
        <v/>
      </c>
    </row>
    <row r="139" customFormat="false" ht="15" hidden="false" customHeight="true" outlineLevel="0" collapsed="false">
      <c r="A139" s="1" t="n">
        <v>134</v>
      </c>
      <c r="B139" s="13"/>
      <c r="F139" s="14" t="str">
        <f aca="false">IFERROR(INDEX('Operator Master'!$B$5:$B$504,MATCH(E139,'Operator Master'!$A$5:$A$504,0)),"")</f>
        <v/>
      </c>
      <c r="H139" s="14" t="str">
        <f aca="false">IFERROR(INDEX('Fault Master'!$B$5:$B$104,MATCH(G139,'Fault Master'!$A$5:$A$104,0)),"")</f>
        <v/>
      </c>
      <c r="I139" s="14" t="str">
        <f aca="false">IFERROR(INDEX('Fault Master'!$C$5:$C$104,MATCH(G139,'Fault Master'!$A$5:$A$104,0)),"")</f>
        <v/>
      </c>
      <c r="M139" s="14" t="str">
        <f aca="false">IFERROR(INDEX('Fault Master'!$D$5:$D$104,MATCH(G139,'Fault Master'!$A$5:$A$104,0)),"")</f>
        <v/>
      </c>
    </row>
    <row r="140" customFormat="false" ht="15" hidden="false" customHeight="true" outlineLevel="0" collapsed="false">
      <c r="A140" s="1" t="n">
        <v>135</v>
      </c>
      <c r="B140" s="13"/>
      <c r="F140" s="14" t="str">
        <f aca="false">IFERROR(INDEX('Operator Master'!$B$5:$B$504,MATCH(E140,'Operator Master'!$A$5:$A$504,0)),"")</f>
        <v/>
      </c>
      <c r="H140" s="14" t="str">
        <f aca="false">IFERROR(INDEX('Fault Master'!$B$5:$B$104,MATCH(G140,'Fault Master'!$A$5:$A$104,0)),"")</f>
        <v/>
      </c>
      <c r="I140" s="14" t="str">
        <f aca="false">IFERROR(INDEX('Fault Master'!$C$5:$C$104,MATCH(G140,'Fault Master'!$A$5:$A$104,0)),"")</f>
        <v/>
      </c>
      <c r="M140" s="14" t="str">
        <f aca="false">IFERROR(INDEX('Fault Master'!$D$5:$D$104,MATCH(G140,'Fault Master'!$A$5:$A$104,0)),"")</f>
        <v/>
      </c>
    </row>
    <row r="141" customFormat="false" ht="15" hidden="false" customHeight="true" outlineLevel="0" collapsed="false">
      <c r="A141" s="1" t="n">
        <v>136</v>
      </c>
      <c r="B141" s="13"/>
      <c r="F141" s="14" t="str">
        <f aca="false">IFERROR(INDEX('Operator Master'!$B$5:$B$504,MATCH(E141,'Operator Master'!$A$5:$A$504,0)),"")</f>
        <v/>
      </c>
      <c r="H141" s="14" t="str">
        <f aca="false">IFERROR(INDEX('Fault Master'!$B$5:$B$104,MATCH(G141,'Fault Master'!$A$5:$A$104,0)),"")</f>
        <v/>
      </c>
      <c r="I141" s="14" t="str">
        <f aca="false">IFERROR(INDEX('Fault Master'!$C$5:$C$104,MATCH(G141,'Fault Master'!$A$5:$A$104,0)),"")</f>
        <v/>
      </c>
      <c r="M141" s="14" t="str">
        <f aca="false">IFERROR(INDEX('Fault Master'!$D$5:$D$104,MATCH(G141,'Fault Master'!$A$5:$A$104,0)),"")</f>
        <v/>
      </c>
    </row>
    <row r="142" customFormat="false" ht="15" hidden="false" customHeight="true" outlineLevel="0" collapsed="false">
      <c r="A142" s="1" t="n">
        <v>137</v>
      </c>
      <c r="B142" s="13"/>
      <c r="F142" s="14" t="str">
        <f aca="false">IFERROR(INDEX('Operator Master'!$B$5:$B$504,MATCH(E142,'Operator Master'!$A$5:$A$504,0)),"")</f>
        <v/>
      </c>
      <c r="H142" s="14" t="str">
        <f aca="false">IFERROR(INDEX('Fault Master'!$B$5:$B$104,MATCH(G142,'Fault Master'!$A$5:$A$104,0)),"")</f>
        <v/>
      </c>
      <c r="I142" s="14" t="str">
        <f aca="false">IFERROR(INDEX('Fault Master'!$C$5:$C$104,MATCH(G142,'Fault Master'!$A$5:$A$104,0)),"")</f>
        <v/>
      </c>
      <c r="M142" s="14" t="str">
        <f aca="false">IFERROR(INDEX('Fault Master'!$D$5:$D$104,MATCH(G142,'Fault Master'!$A$5:$A$104,0)),"")</f>
        <v/>
      </c>
    </row>
    <row r="143" customFormat="false" ht="15" hidden="false" customHeight="true" outlineLevel="0" collapsed="false">
      <c r="A143" s="1" t="n">
        <v>138</v>
      </c>
      <c r="B143" s="13"/>
      <c r="F143" s="14" t="str">
        <f aca="false">IFERROR(INDEX('Operator Master'!$B$5:$B$504,MATCH(E143,'Operator Master'!$A$5:$A$504,0)),"")</f>
        <v/>
      </c>
      <c r="H143" s="14" t="str">
        <f aca="false">IFERROR(INDEX('Fault Master'!$B$5:$B$104,MATCH(G143,'Fault Master'!$A$5:$A$104,0)),"")</f>
        <v/>
      </c>
      <c r="I143" s="14" t="str">
        <f aca="false">IFERROR(INDEX('Fault Master'!$C$5:$C$104,MATCH(G143,'Fault Master'!$A$5:$A$104,0)),"")</f>
        <v/>
      </c>
      <c r="M143" s="14" t="str">
        <f aca="false">IFERROR(INDEX('Fault Master'!$D$5:$D$104,MATCH(G143,'Fault Master'!$A$5:$A$104,0)),"")</f>
        <v/>
      </c>
    </row>
    <row r="144" customFormat="false" ht="15" hidden="false" customHeight="true" outlineLevel="0" collapsed="false">
      <c r="A144" s="1" t="n">
        <v>139</v>
      </c>
      <c r="B144" s="13"/>
      <c r="F144" s="14" t="str">
        <f aca="false">IFERROR(INDEX('Operator Master'!$B$5:$B$504,MATCH(E144,'Operator Master'!$A$5:$A$504,0)),"")</f>
        <v/>
      </c>
      <c r="H144" s="14" t="str">
        <f aca="false">IFERROR(INDEX('Fault Master'!$B$5:$B$104,MATCH(G144,'Fault Master'!$A$5:$A$104,0)),"")</f>
        <v/>
      </c>
      <c r="I144" s="14" t="str">
        <f aca="false">IFERROR(INDEX('Fault Master'!$C$5:$C$104,MATCH(G144,'Fault Master'!$A$5:$A$104,0)),"")</f>
        <v/>
      </c>
      <c r="M144" s="14" t="str">
        <f aca="false">IFERROR(INDEX('Fault Master'!$D$5:$D$104,MATCH(G144,'Fault Master'!$A$5:$A$104,0)),"")</f>
        <v/>
      </c>
    </row>
    <row r="145" customFormat="false" ht="15" hidden="false" customHeight="true" outlineLevel="0" collapsed="false">
      <c r="A145" s="1" t="n">
        <v>140</v>
      </c>
      <c r="B145" s="13"/>
      <c r="F145" s="14" t="str">
        <f aca="false">IFERROR(INDEX('Operator Master'!$B$5:$B$504,MATCH(E145,'Operator Master'!$A$5:$A$504,0)),"")</f>
        <v/>
      </c>
      <c r="H145" s="14" t="str">
        <f aca="false">IFERROR(INDEX('Fault Master'!$B$5:$B$104,MATCH(G145,'Fault Master'!$A$5:$A$104,0)),"")</f>
        <v/>
      </c>
      <c r="I145" s="14" t="str">
        <f aca="false">IFERROR(INDEX('Fault Master'!$C$5:$C$104,MATCH(G145,'Fault Master'!$A$5:$A$104,0)),"")</f>
        <v/>
      </c>
      <c r="M145" s="14" t="str">
        <f aca="false">IFERROR(INDEX('Fault Master'!$D$5:$D$104,MATCH(G145,'Fault Master'!$A$5:$A$104,0)),"")</f>
        <v/>
      </c>
    </row>
    <row r="146" customFormat="false" ht="15" hidden="false" customHeight="true" outlineLevel="0" collapsed="false">
      <c r="A146" s="1" t="n">
        <v>141</v>
      </c>
      <c r="B146" s="13"/>
      <c r="F146" s="14" t="str">
        <f aca="false">IFERROR(INDEX('Operator Master'!$B$5:$B$504,MATCH(E146,'Operator Master'!$A$5:$A$504,0)),"")</f>
        <v/>
      </c>
      <c r="H146" s="14" t="str">
        <f aca="false">IFERROR(INDEX('Fault Master'!$B$5:$B$104,MATCH(G146,'Fault Master'!$A$5:$A$104,0)),"")</f>
        <v/>
      </c>
      <c r="I146" s="14" t="str">
        <f aca="false">IFERROR(INDEX('Fault Master'!$C$5:$C$104,MATCH(G146,'Fault Master'!$A$5:$A$104,0)),"")</f>
        <v/>
      </c>
      <c r="M146" s="14" t="str">
        <f aca="false">IFERROR(INDEX('Fault Master'!$D$5:$D$104,MATCH(G146,'Fault Master'!$A$5:$A$104,0)),"")</f>
        <v/>
      </c>
    </row>
    <row r="147" customFormat="false" ht="15" hidden="false" customHeight="true" outlineLevel="0" collapsed="false">
      <c r="A147" s="1" t="n">
        <v>142</v>
      </c>
      <c r="B147" s="13"/>
      <c r="F147" s="14" t="str">
        <f aca="false">IFERROR(INDEX('Operator Master'!$B$5:$B$504,MATCH(E147,'Operator Master'!$A$5:$A$504,0)),"")</f>
        <v/>
      </c>
      <c r="H147" s="14" t="str">
        <f aca="false">IFERROR(INDEX('Fault Master'!$B$5:$B$104,MATCH(G147,'Fault Master'!$A$5:$A$104,0)),"")</f>
        <v/>
      </c>
      <c r="I147" s="14" t="str">
        <f aca="false">IFERROR(INDEX('Fault Master'!$C$5:$C$104,MATCH(G147,'Fault Master'!$A$5:$A$104,0)),"")</f>
        <v/>
      </c>
      <c r="M147" s="14" t="str">
        <f aca="false">IFERROR(INDEX('Fault Master'!$D$5:$D$104,MATCH(G147,'Fault Master'!$A$5:$A$104,0)),"")</f>
        <v/>
      </c>
    </row>
    <row r="148" customFormat="false" ht="15" hidden="false" customHeight="true" outlineLevel="0" collapsed="false">
      <c r="A148" s="1" t="n">
        <v>143</v>
      </c>
      <c r="B148" s="13"/>
      <c r="F148" s="14" t="str">
        <f aca="false">IFERROR(INDEX('Operator Master'!$B$5:$B$504,MATCH(E148,'Operator Master'!$A$5:$A$504,0)),"")</f>
        <v/>
      </c>
      <c r="H148" s="14" t="str">
        <f aca="false">IFERROR(INDEX('Fault Master'!$B$5:$B$104,MATCH(G148,'Fault Master'!$A$5:$A$104,0)),"")</f>
        <v/>
      </c>
      <c r="I148" s="14" t="str">
        <f aca="false">IFERROR(INDEX('Fault Master'!$C$5:$C$104,MATCH(G148,'Fault Master'!$A$5:$A$104,0)),"")</f>
        <v/>
      </c>
      <c r="M148" s="14" t="str">
        <f aca="false">IFERROR(INDEX('Fault Master'!$D$5:$D$104,MATCH(G148,'Fault Master'!$A$5:$A$104,0)),"")</f>
        <v/>
      </c>
    </row>
    <row r="149" customFormat="false" ht="15" hidden="false" customHeight="true" outlineLevel="0" collapsed="false">
      <c r="A149" s="1" t="n">
        <v>144</v>
      </c>
      <c r="B149" s="13"/>
      <c r="F149" s="14" t="str">
        <f aca="false">IFERROR(INDEX('Operator Master'!$B$5:$B$504,MATCH(E149,'Operator Master'!$A$5:$A$504,0)),"")</f>
        <v/>
      </c>
      <c r="H149" s="14" t="str">
        <f aca="false">IFERROR(INDEX('Fault Master'!$B$5:$B$104,MATCH(G149,'Fault Master'!$A$5:$A$104,0)),"")</f>
        <v/>
      </c>
      <c r="I149" s="14" t="str">
        <f aca="false">IFERROR(INDEX('Fault Master'!$C$5:$C$104,MATCH(G149,'Fault Master'!$A$5:$A$104,0)),"")</f>
        <v/>
      </c>
      <c r="M149" s="14" t="str">
        <f aca="false">IFERROR(INDEX('Fault Master'!$D$5:$D$104,MATCH(G149,'Fault Master'!$A$5:$A$104,0)),"")</f>
        <v/>
      </c>
    </row>
    <row r="150" customFormat="false" ht="15" hidden="false" customHeight="true" outlineLevel="0" collapsed="false">
      <c r="A150" s="1" t="n">
        <v>145</v>
      </c>
      <c r="B150" s="13"/>
      <c r="F150" s="14" t="str">
        <f aca="false">IFERROR(INDEX('Operator Master'!$B$5:$B$504,MATCH(E150,'Operator Master'!$A$5:$A$504,0)),"")</f>
        <v/>
      </c>
      <c r="H150" s="14" t="str">
        <f aca="false">IFERROR(INDEX('Fault Master'!$B$5:$B$104,MATCH(G150,'Fault Master'!$A$5:$A$104,0)),"")</f>
        <v/>
      </c>
      <c r="I150" s="14" t="str">
        <f aca="false">IFERROR(INDEX('Fault Master'!$C$5:$C$104,MATCH(G150,'Fault Master'!$A$5:$A$104,0)),"")</f>
        <v/>
      </c>
      <c r="M150" s="14" t="str">
        <f aca="false">IFERROR(INDEX('Fault Master'!$D$5:$D$104,MATCH(G150,'Fault Master'!$A$5:$A$104,0)),"")</f>
        <v/>
      </c>
    </row>
    <row r="151" customFormat="false" ht="15" hidden="false" customHeight="true" outlineLevel="0" collapsed="false">
      <c r="A151" s="1" t="n">
        <v>146</v>
      </c>
      <c r="B151" s="13"/>
      <c r="F151" s="14" t="str">
        <f aca="false">IFERROR(INDEX('Operator Master'!$B$5:$B$504,MATCH(E151,'Operator Master'!$A$5:$A$504,0)),"")</f>
        <v/>
      </c>
      <c r="H151" s="14" t="str">
        <f aca="false">IFERROR(INDEX('Fault Master'!$B$5:$B$104,MATCH(G151,'Fault Master'!$A$5:$A$104,0)),"")</f>
        <v/>
      </c>
      <c r="I151" s="14" t="str">
        <f aca="false">IFERROR(INDEX('Fault Master'!$C$5:$C$104,MATCH(G151,'Fault Master'!$A$5:$A$104,0)),"")</f>
        <v/>
      </c>
      <c r="M151" s="14" t="str">
        <f aca="false">IFERROR(INDEX('Fault Master'!$D$5:$D$104,MATCH(G151,'Fault Master'!$A$5:$A$104,0)),"")</f>
        <v/>
      </c>
    </row>
    <row r="152" customFormat="false" ht="15" hidden="false" customHeight="true" outlineLevel="0" collapsed="false">
      <c r="A152" s="1" t="n">
        <v>147</v>
      </c>
      <c r="B152" s="13"/>
      <c r="F152" s="14" t="str">
        <f aca="false">IFERROR(INDEX('Operator Master'!$B$5:$B$504,MATCH(E152,'Operator Master'!$A$5:$A$504,0)),"")</f>
        <v/>
      </c>
      <c r="H152" s="14" t="str">
        <f aca="false">IFERROR(INDEX('Fault Master'!$B$5:$B$104,MATCH(G152,'Fault Master'!$A$5:$A$104,0)),"")</f>
        <v/>
      </c>
      <c r="I152" s="14" t="str">
        <f aca="false">IFERROR(INDEX('Fault Master'!$C$5:$C$104,MATCH(G152,'Fault Master'!$A$5:$A$104,0)),"")</f>
        <v/>
      </c>
      <c r="M152" s="14" t="str">
        <f aca="false">IFERROR(INDEX('Fault Master'!$D$5:$D$104,MATCH(G152,'Fault Master'!$A$5:$A$104,0)),"")</f>
        <v/>
      </c>
    </row>
    <row r="153" customFormat="false" ht="15" hidden="false" customHeight="true" outlineLevel="0" collapsed="false">
      <c r="A153" s="1" t="n">
        <v>148</v>
      </c>
      <c r="B153" s="13"/>
      <c r="F153" s="14" t="str">
        <f aca="false">IFERROR(INDEX('Operator Master'!$B$5:$B$504,MATCH(E153,'Operator Master'!$A$5:$A$504,0)),"")</f>
        <v/>
      </c>
      <c r="H153" s="14" t="str">
        <f aca="false">IFERROR(INDEX('Fault Master'!$B$5:$B$104,MATCH(G153,'Fault Master'!$A$5:$A$104,0)),"")</f>
        <v/>
      </c>
      <c r="I153" s="14" t="str">
        <f aca="false">IFERROR(INDEX('Fault Master'!$C$5:$C$104,MATCH(G153,'Fault Master'!$A$5:$A$104,0)),"")</f>
        <v/>
      </c>
      <c r="M153" s="14" t="str">
        <f aca="false">IFERROR(INDEX('Fault Master'!$D$5:$D$104,MATCH(G153,'Fault Master'!$A$5:$A$104,0)),"")</f>
        <v/>
      </c>
    </row>
    <row r="154" customFormat="false" ht="15" hidden="false" customHeight="true" outlineLevel="0" collapsed="false">
      <c r="A154" s="1" t="n">
        <v>149</v>
      </c>
      <c r="B154" s="13"/>
      <c r="F154" s="14" t="str">
        <f aca="false">IFERROR(INDEX('Operator Master'!$B$5:$B$504,MATCH(E154,'Operator Master'!$A$5:$A$504,0)),"")</f>
        <v/>
      </c>
      <c r="H154" s="14" t="str">
        <f aca="false">IFERROR(INDEX('Fault Master'!$B$5:$B$104,MATCH(G154,'Fault Master'!$A$5:$A$104,0)),"")</f>
        <v/>
      </c>
      <c r="I154" s="14" t="str">
        <f aca="false">IFERROR(INDEX('Fault Master'!$C$5:$C$104,MATCH(G154,'Fault Master'!$A$5:$A$104,0)),"")</f>
        <v/>
      </c>
      <c r="M154" s="14" t="str">
        <f aca="false">IFERROR(INDEX('Fault Master'!$D$5:$D$104,MATCH(G154,'Fault Master'!$A$5:$A$104,0)),"")</f>
        <v/>
      </c>
    </row>
    <row r="155" customFormat="false" ht="15" hidden="false" customHeight="true" outlineLevel="0" collapsed="false">
      <c r="A155" s="1" t="n">
        <v>150</v>
      </c>
      <c r="B155" s="13"/>
      <c r="F155" s="14" t="str">
        <f aca="false">IFERROR(INDEX('Operator Master'!$B$5:$B$504,MATCH(E155,'Operator Master'!$A$5:$A$504,0)),"")</f>
        <v/>
      </c>
      <c r="H155" s="14" t="str">
        <f aca="false">IFERROR(INDEX('Fault Master'!$B$5:$B$104,MATCH(G155,'Fault Master'!$A$5:$A$104,0)),"")</f>
        <v/>
      </c>
      <c r="I155" s="14" t="str">
        <f aca="false">IFERROR(INDEX('Fault Master'!$C$5:$C$104,MATCH(G155,'Fault Master'!$A$5:$A$104,0)),"")</f>
        <v/>
      </c>
      <c r="M155" s="14" t="str">
        <f aca="false">IFERROR(INDEX('Fault Master'!$D$5:$D$104,MATCH(G155,'Fault Master'!$A$5:$A$104,0)),"")</f>
        <v/>
      </c>
    </row>
    <row r="156" customFormat="false" ht="15" hidden="false" customHeight="true" outlineLevel="0" collapsed="false">
      <c r="A156" s="1" t="n">
        <v>151</v>
      </c>
      <c r="B156" s="13"/>
      <c r="F156" s="14" t="str">
        <f aca="false">IFERROR(INDEX('Operator Master'!$B$5:$B$504,MATCH(E156,'Operator Master'!$A$5:$A$504,0)),"")</f>
        <v/>
      </c>
      <c r="H156" s="14" t="str">
        <f aca="false">IFERROR(INDEX('Fault Master'!$B$5:$B$104,MATCH(G156,'Fault Master'!$A$5:$A$104,0)),"")</f>
        <v/>
      </c>
      <c r="I156" s="14" t="str">
        <f aca="false">IFERROR(INDEX('Fault Master'!$C$5:$C$104,MATCH(G156,'Fault Master'!$A$5:$A$104,0)),"")</f>
        <v/>
      </c>
      <c r="M156" s="14" t="str">
        <f aca="false">IFERROR(INDEX('Fault Master'!$D$5:$D$104,MATCH(G156,'Fault Master'!$A$5:$A$104,0)),"")</f>
        <v/>
      </c>
    </row>
    <row r="157" customFormat="false" ht="15" hidden="false" customHeight="true" outlineLevel="0" collapsed="false">
      <c r="A157" s="1" t="n">
        <v>152</v>
      </c>
      <c r="B157" s="13"/>
      <c r="F157" s="14" t="str">
        <f aca="false">IFERROR(INDEX('Operator Master'!$B$5:$B$504,MATCH(E157,'Operator Master'!$A$5:$A$504,0)),"")</f>
        <v/>
      </c>
      <c r="H157" s="14" t="str">
        <f aca="false">IFERROR(INDEX('Fault Master'!$B$5:$B$104,MATCH(G157,'Fault Master'!$A$5:$A$104,0)),"")</f>
        <v/>
      </c>
      <c r="I157" s="14" t="str">
        <f aca="false">IFERROR(INDEX('Fault Master'!$C$5:$C$104,MATCH(G157,'Fault Master'!$A$5:$A$104,0)),"")</f>
        <v/>
      </c>
      <c r="M157" s="14" t="str">
        <f aca="false">IFERROR(INDEX('Fault Master'!$D$5:$D$104,MATCH(G157,'Fault Master'!$A$5:$A$104,0)),"")</f>
        <v/>
      </c>
    </row>
    <row r="158" customFormat="false" ht="15" hidden="false" customHeight="true" outlineLevel="0" collapsed="false">
      <c r="A158" s="1" t="n">
        <v>153</v>
      </c>
      <c r="B158" s="13"/>
      <c r="F158" s="14" t="str">
        <f aca="false">IFERROR(INDEX('Operator Master'!$B$5:$B$504,MATCH(E158,'Operator Master'!$A$5:$A$504,0)),"")</f>
        <v/>
      </c>
      <c r="H158" s="14" t="str">
        <f aca="false">IFERROR(INDEX('Fault Master'!$B$5:$B$104,MATCH(G158,'Fault Master'!$A$5:$A$104,0)),"")</f>
        <v/>
      </c>
      <c r="I158" s="14" t="str">
        <f aca="false">IFERROR(INDEX('Fault Master'!$C$5:$C$104,MATCH(G158,'Fault Master'!$A$5:$A$104,0)),"")</f>
        <v/>
      </c>
      <c r="M158" s="14" t="str">
        <f aca="false">IFERROR(INDEX('Fault Master'!$D$5:$D$104,MATCH(G158,'Fault Master'!$A$5:$A$104,0)),"")</f>
        <v/>
      </c>
    </row>
    <row r="159" customFormat="false" ht="15" hidden="false" customHeight="true" outlineLevel="0" collapsed="false">
      <c r="A159" s="1" t="n">
        <v>154</v>
      </c>
      <c r="B159" s="13"/>
      <c r="F159" s="14" t="str">
        <f aca="false">IFERROR(INDEX('Operator Master'!$B$5:$B$504,MATCH(E159,'Operator Master'!$A$5:$A$504,0)),"")</f>
        <v/>
      </c>
      <c r="H159" s="14" t="str">
        <f aca="false">IFERROR(INDEX('Fault Master'!$B$5:$B$104,MATCH(G159,'Fault Master'!$A$5:$A$104,0)),"")</f>
        <v/>
      </c>
      <c r="I159" s="14" t="str">
        <f aca="false">IFERROR(INDEX('Fault Master'!$C$5:$C$104,MATCH(G159,'Fault Master'!$A$5:$A$104,0)),"")</f>
        <v/>
      </c>
      <c r="M159" s="14" t="str">
        <f aca="false">IFERROR(INDEX('Fault Master'!$D$5:$D$104,MATCH(G159,'Fault Master'!$A$5:$A$104,0)),"")</f>
        <v/>
      </c>
    </row>
    <row r="160" customFormat="false" ht="15" hidden="false" customHeight="true" outlineLevel="0" collapsed="false">
      <c r="A160" s="1" t="n">
        <v>155</v>
      </c>
      <c r="B160" s="13"/>
      <c r="F160" s="14" t="str">
        <f aca="false">IFERROR(INDEX('Operator Master'!$B$5:$B$504,MATCH(E160,'Operator Master'!$A$5:$A$504,0)),"")</f>
        <v/>
      </c>
      <c r="H160" s="14" t="str">
        <f aca="false">IFERROR(INDEX('Fault Master'!$B$5:$B$104,MATCH(G160,'Fault Master'!$A$5:$A$104,0)),"")</f>
        <v/>
      </c>
      <c r="I160" s="14" t="str">
        <f aca="false">IFERROR(INDEX('Fault Master'!$C$5:$C$104,MATCH(G160,'Fault Master'!$A$5:$A$104,0)),"")</f>
        <v/>
      </c>
      <c r="M160" s="14" t="str">
        <f aca="false">IFERROR(INDEX('Fault Master'!$D$5:$D$104,MATCH(G160,'Fault Master'!$A$5:$A$104,0)),"")</f>
        <v/>
      </c>
    </row>
    <row r="161" customFormat="false" ht="15" hidden="false" customHeight="true" outlineLevel="0" collapsed="false">
      <c r="A161" s="1" t="n">
        <v>156</v>
      </c>
      <c r="B161" s="13"/>
      <c r="F161" s="14" t="str">
        <f aca="false">IFERROR(INDEX('Operator Master'!$B$5:$B$504,MATCH(E161,'Operator Master'!$A$5:$A$504,0)),"")</f>
        <v/>
      </c>
      <c r="H161" s="14" t="str">
        <f aca="false">IFERROR(INDEX('Fault Master'!$B$5:$B$104,MATCH(G161,'Fault Master'!$A$5:$A$104,0)),"")</f>
        <v/>
      </c>
      <c r="I161" s="14" t="str">
        <f aca="false">IFERROR(INDEX('Fault Master'!$C$5:$C$104,MATCH(G161,'Fault Master'!$A$5:$A$104,0)),"")</f>
        <v/>
      </c>
      <c r="M161" s="14" t="str">
        <f aca="false">IFERROR(INDEX('Fault Master'!$D$5:$D$104,MATCH(G161,'Fault Master'!$A$5:$A$104,0)),"")</f>
        <v/>
      </c>
    </row>
    <row r="162" customFormat="false" ht="15" hidden="false" customHeight="true" outlineLevel="0" collapsed="false">
      <c r="A162" s="1" t="n">
        <v>157</v>
      </c>
      <c r="B162" s="13"/>
      <c r="F162" s="14" t="str">
        <f aca="false">IFERROR(INDEX('Operator Master'!$B$5:$B$504,MATCH(E162,'Operator Master'!$A$5:$A$504,0)),"")</f>
        <v/>
      </c>
      <c r="H162" s="14" t="str">
        <f aca="false">IFERROR(INDEX('Fault Master'!$B$5:$B$104,MATCH(G162,'Fault Master'!$A$5:$A$104,0)),"")</f>
        <v/>
      </c>
      <c r="I162" s="14" t="str">
        <f aca="false">IFERROR(INDEX('Fault Master'!$C$5:$C$104,MATCH(G162,'Fault Master'!$A$5:$A$104,0)),"")</f>
        <v/>
      </c>
      <c r="M162" s="14" t="str">
        <f aca="false">IFERROR(INDEX('Fault Master'!$D$5:$D$104,MATCH(G162,'Fault Master'!$A$5:$A$104,0)),"")</f>
        <v/>
      </c>
    </row>
    <row r="163" customFormat="false" ht="15" hidden="false" customHeight="true" outlineLevel="0" collapsed="false">
      <c r="A163" s="1" t="n">
        <v>158</v>
      </c>
      <c r="B163" s="13"/>
      <c r="F163" s="14" t="str">
        <f aca="false">IFERROR(INDEX('Operator Master'!$B$5:$B$504,MATCH(E163,'Operator Master'!$A$5:$A$504,0)),"")</f>
        <v/>
      </c>
      <c r="H163" s="14" t="str">
        <f aca="false">IFERROR(INDEX('Fault Master'!$B$5:$B$104,MATCH(G163,'Fault Master'!$A$5:$A$104,0)),"")</f>
        <v/>
      </c>
      <c r="I163" s="14" t="str">
        <f aca="false">IFERROR(INDEX('Fault Master'!$C$5:$C$104,MATCH(G163,'Fault Master'!$A$5:$A$104,0)),"")</f>
        <v/>
      </c>
      <c r="M163" s="14" t="str">
        <f aca="false">IFERROR(INDEX('Fault Master'!$D$5:$D$104,MATCH(G163,'Fault Master'!$A$5:$A$104,0)),"")</f>
        <v/>
      </c>
    </row>
    <row r="164" customFormat="false" ht="15" hidden="false" customHeight="true" outlineLevel="0" collapsed="false">
      <c r="A164" s="1" t="n">
        <v>159</v>
      </c>
      <c r="B164" s="13"/>
      <c r="F164" s="14" t="str">
        <f aca="false">IFERROR(INDEX('Operator Master'!$B$5:$B$504,MATCH(E164,'Operator Master'!$A$5:$A$504,0)),"")</f>
        <v/>
      </c>
      <c r="H164" s="14" t="str">
        <f aca="false">IFERROR(INDEX('Fault Master'!$B$5:$B$104,MATCH(G164,'Fault Master'!$A$5:$A$104,0)),"")</f>
        <v/>
      </c>
      <c r="I164" s="14" t="str">
        <f aca="false">IFERROR(INDEX('Fault Master'!$C$5:$C$104,MATCH(G164,'Fault Master'!$A$5:$A$104,0)),"")</f>
        <v/>
      </c>
      <c r="M164" s="14" t="str">
        <f aca="false">IFERROR(INDEX('Fault Master'!$D$5:$D$104,MATCH(G164,'Fault Master'!$A$5:$A$104,0)),"")</f>
        <v/>
      </c>
    </row>
    <row r="165" customFormat="false" ht="15" hidden="false" customHeight="true" outlineLevel="0" collapsed="false">
      <c r="A165" s="1" t="n">
        <v>160</v>
      </c>
      <c r="B165" s="13"/>
      <c r="F165" s="14" t="str">
        <f aca="false">IFERROR(INDEX('Operator Master'!$B$5:$B$504,MATCH(E165,'Operator Master'!$A$5:$A$504,0)),"")</f>
        <v/>
      </c>
      <c r="H165" s="14" t="str">
        <f aca="false">IFERROR(INDEX('Fault Master'!$B$5:$B$104,MATCH(G165,'Fault Master'!$A$5:$A$104,0)),"")</f>
        <v/>
      </c>
      <c r="I165" s="14" t="str">
        <f aca="false">IFERROR(INDEX('Fault Master'!$C$5:$C$104,MATCH(G165,'Fault Master'!$A$5:$A$104,0)),"")</f>
        <v/>
      </c>
      <c r="M165" s="14" t="str">
        <f aca="false">IFERROR(INDEX('Fault Master'!$D$5:$D$104,MATCH(G165,'Fault Master'!$A$5:$A$104,0)),"")</f>
        <v/>
      </c>
    </row>
    <row r="166" customFormat="false" ht="15" hidden="false" customHeight="true" outlineLevel="0" collapsed="false">
      <c r="A166" s="1" t="n">
        <v>161</v>
      </c>
      <c r="B166" s="13"/>
      <c r="F166" s="14" t="str">
        <f aca="false">IFERROR(INDEX('Operator Master'!$B$5:$B$504,MATCH(E166,'Operator Master'!$A$5:$A$504,0)),"")</f>
        <v/>
      </c>
      <c r="H166" s="14" t="str">
        <f aca="false">IFERROR(INDEX('Fault Master'!$B$5:$B$104,MATCH(G166,'Fault Master'!$A$5:$A$104,0)),"")</f>
        <v/>
      </c>
      <c r="I166" s="14" t="str">
        <f aca="false">IFERROR(INDEX('Fault Master'!$C$5:$C$104,MATCH(G166,'Fault Master'!$A$5:$A$104,0)),"")</f>
        <v/>
      </c>
      <c r="M166" s="14" t="str">
        <f aca="false">IFERROR(INDEX('Fault Master'!$D$5:$D$104,MATCH(G166,'Fault Master'!$A$5:$A$104,0)),"")</f>
        <v/>
      </c>
    </row>
    <row r="167" customFormat="false" ht="15" hidden="false" customHeight="true" outlineLevel="0" collapsed="false">
      <c r="A167" s="1" t="n">
        <v>162</v>
      </c>
      <c r="B167" s="13"/>
      <c r="F167" s="14" t="str">
        <f aca="false">IFERROR(INDEX('Operator Master'!$B$5:$B$504,MATCH(E167,'Operator Master'!$A$5:$A$504,0)),"")</f>
        <v/>
      </c>
      <c r="H167" s="14" t="str">
        <f aca="false">IFERROR(INDEX('Fault Master'!$B$5:$B$104,MATCH(G167,'Fault Master'!$A$5:$A$104,0)),"")</f>
        <v/>
      </c>
      <c r="I167" s="14" t="str">
        <f aca="false">IFERROR(INDEX('Fault Master'!$C$5:$C$104,MATCH(G167,'Fault Master'!$A$5:$A$104,0)),"")</f>
        <v/>
      </c>
      <c r="M167" s="14" t="str">
        <f aca="false">IFERROR(INDEX('Fault Master'!$D$5:$D$104,MATCH(G167,'Fault Master'!$A$5:$A$104,0)),"")</f>
        <v/>
      </c>
    </row>
    <row r="168" customFormat="false" ht="15" hidden="false" customHeight="true" outlineLevel="0" collapsed="false">
      <c r="A168" s="1" t="n">
        <v>163</v>
      </c>
      <c r="B168" s="13"/>
      <c r="F168" s="14" t="str">
        <f aca="false">IFERROR(INDEX('Operator Master'!$B$5:$B$504,MATCH(E168,'Operator Master'!$A$5:$A$504,0)),"")</f>
        <v/>
      </c>
      <c r="H168" s="14" t="str">
        <f aca="false">IFERROR(INDEX('Fault Master'!$B$5:$B$104,MATCH(G168,'Fault Master'!$A$5:$A$104,0)),"")</f>
        <v/>
      </c>
      <c r="I168" s="14" t="str">
        <f aca="false">IFERROR(INDEX('Fault Master'!$C$5:$C$104,MATCH(G168,'Fault Master'!$A$5:$A$104,0)),"")</f>
        <v/>
      </c>
      <c r="M168" s="14" t="str">
        <f aca="false">IFERROR(INDEX('Fault Master'!$D$5:$D$104,MATCH(G168,'Fault Master'!$A$5:$A$104,0)),"")</f>
        <v/>
      </c>
    </row>
    <row r="169" customFormat="false" ht="15" hidden="false" customHeight="true" outlineLevel="0" collapsed="false">
      <c r="A169" s="1" t="n">
        <v>164</v>
      </c>
      <c r="B169" s="13"/>
      <c r="F169" s="14" t="str">
        <f aca="false">IFERROR(INDEX('Operator Master'!$B$5:$B$504,MATCH(E169,'Operator Master'!$A$5:$A$504,0)),"")</f>
        <v/>
      </c>
      <c r="H169" s="14" t="str">
        <f aca="false">IFERROR(INDEX('Fault Master'!$B$5:$B$104,MATCH(G169,'Fault Master'!$A$5:$A$104,0)),"")</f>
        <v/>
      </c>
      <c r="I169" s="14" t="str">
        <f aca="false">IFERROR(INDEX('Fault Master'!$C$5:$C$104,MATCH(G169,'Fault Master'!$A$5:$A$104,0)),"")</f>
        <v/>
      </c>
      <c r="M169" s="14" t="str">
        <f aca="false">IFERROR(INDEX('Fault Master'!$D$5:$D$104,MATCH(G169,'Fault Master'!$A$5:$A$104,0)),"")</f>
        <v/>
      </c>
    </row>
    <row r="170" customFormat="false" ht="15" hidden="false" customHeight="true" outlineLevel="0" collapsed="false">
      <c r="A170" s="1" t="n">
        <v>165</v>
      </c>
      <c r="B170" s="13"/>
      <c r="F170" s="14" t="str">
        <f aca="false">IFERROR(INDEX('Operator Master'!$B$5:$B$504,MATCH(E170,'Operator Master'!$A$5:$A$504,0)),"")</f>
        <v/>
      </c>
      <c r="H170" s="14" t="str">
        <f aca="false">IFERROR(INDEX('Fault Master'!$B$5:$B$104,MATCH(G170,'Fault Master'!$A$5:$A$104,0)),"")</f>
        <v/>
      </c>
      <c r="I170" s="14" t="str">
        <f aca="false">IFERROR(INDEX('Fault Master'!$C$5:$C$104,MATCH(G170,'Fault Master'!$A$5:$A$104,0)),"")</f>
        <v/>
      </c>
      <c r="M170" s="14" t="str">
        <f aca="false">IFERROR(INDEX('Fault Master'!$D$5:$D$104,MATCH(G170,'Fault Master'!$A$5:$A$104,0)),"")</f>
        <v/>
      </c>
    </row>
    <row r="171" customFormat="false" ht="15" hidden="false" customHeight="true" outlineLevel="0" collapsed="false">
      <c r="A171" s="1" t="n">
        <v>166</v>
      </c>
      <c r="B171" s="13"/>
      <c r="F171" s="14" t="str">
        <f aca="false">IFERROR(INDEX('Operator Master'!$B$5:$B$504,MATCH(E171,'Operator Master'!$A$5:$A$504,0)),"")</f>
        <v/>
      </c>
      <c r="H171" s="14" t="str">
        <f aca="false">IFERROR(INDEX('Fault Master'!$B$5:$B$104,MATCH(G171,'Fault Master'!$A$5:$A$104,0)),"")</f>
        <v/>
      </c>
      <c r="I171" s="14" t="str">
        <f aca="false">IFERROR(INDEX('Fault Master'!$C$5:$C$104,MATCH(G171,'Fault Master'!$A$5:$A$104,0)),"")</f>
        <v/>
      </c>
      <c r="M171" s="14" t="str">
        <f aca="false">IFERROR(INDEX('Fault Master'!$D$5:$D$104,MATCH(G171,'Fault Master'!$A$5:$A$104,0)),"")</f>
        <v/>
      </c>
    </row>
    <row r="172" customFormat="false" ht="15" hidden="false" customHeight="true" outlineLevel="0" collapsed="false">
      <c r="A172" s="1" t="n">
        <v>167</v>
      </c>
      <c r="B172" s="13"/>
      <c r="F172" s="14" t="str">
        <f aca="false">IFERROR(INDEX('Operator Master'!$B$5:$B$504,MATCH(E172,'Operator Master'!$A$5:$A$504,0)),"")</f>
        <v/>
      </c>
      <c r="H172" s="14" t="str">
        <f aca="false">IFERROR(INDEX('Fault Master'!$B$5:$B$104,MATCH(G172,'Fault Master'!$A$5:$A$104,0)),"")</f>
        <v/>
      </c>
      <c r="I172" s="14" t="str">
        <f aca="false">IFERROR(INDEX('Fault Master'!$C$5:$C$104,MATCH(G172,'Fault Master'!$A$5:$A$104,0)),"")</f>
        <v/>
      </c>
      <c r="M172" s="14" t="str">
        <f aca="false">IFERROR(INDEX('Fault Master'!$D$5:$D$104,MATCH(G172,'Fault Master'!$A$5:$A$104,0)),"")</f>
        <v/>
      </c>
    </row>
    <row r="173" customFormat="false" ht="15" hidden="false" customHeight="true" outlineLevel="0" collapsed="false">
      <c r="A173" s="1" t="n">
        <v>168</v>
      </c>
      <c r="B173" s="13"/>
      <c r="F173" s="14" t="str">
        <f aca="false">IFERROR(INDEX('Operator Master'!$B$5:$B$504,MATCH(E173,'Operator Master'!$A$5:$A$504,0)),"")</f>
        <v/>
      </c>
      <c r="H173" s="14" t="str">
        <f aca="false">IFERROR(INDEX('Fault Master'!$B$5:$B$104,MATCH(G173,'Fault Master'!$A$5:$A$104,0)),"")</f>
        <v/>
      </c>
      <c r="I173" s="14" t="str">
        <f aca="false">IFERROR(INDEX('Fault Master'!$C$5:$C$104,MATCH(G173,'Fault Master'!$A$5:$A$104,0)),"")</f>
        <v/>
      </c>
      <c r="M173" s="14" t="str">
        <f aca="false">IFERROR(INDEX('Fault Master'!$D$5:$D$104,MATCH(G173,'Fault Master'!$A$5:$A$104,0)),"")</f>
        <v/>
      </c>
    </row>
    <row r="174" customFormat="false" ht="15" hidden="false" customHeight="true" outlineLevel="0" collapsed="false">
      <c r="A174" s="1" t="n">
        <v>169</v>
      </c>
      <c r="B174" s="13"/>
      <c r="F174" s="14" t="str">
        <f aca="false">IFERROR(INDEX('Operator Master'!$B$5:$B$504,MATCH(E174,'Operator Master'!$A$5:$A$504,0)),"")</f>
        <v/>
      </c>
      <c r="H174" s="14" t="str">
        <f aca="false">IFERROR(INDEX('Fault Master'!$B$5:$B$104,MATCH(G174,'Fault Master'!$A$5:$A$104,0)),"")</f>
        <v/>
      </c>
      <c r="I174" s="14" t="str">
        <f aca="false">IFERROR(INDEX('Fault Master'!$C$5:$C$104,MATCH(G174,'Fault Master'!$A$5:$A$104,0)),"")</f>
        <v/>
      </c>
      <c r="M174" s="14" t="str">
        <f aca="false">IFERROR(INDEX('Fault Master'!$D$5:$D$104,MATCH(G174,'Fault Master'!$A$5:$A$104,0)),"")</f>
        <v/>
      </c>
    </row>
    <row r="175" customFormat="false" ht="15" hidden="false" customHeight="true" outlineLevel="0" collapsed="false">
      <c r="A175" s="1" t="n">
        <v>170</v>
      </c>
      <c r="B175" s="13"/>
      <c r="F175" s="14" t="str">
        <f aca="false">IFERROR(INDEX('Operator Master'!$B$5:$B$504,MATCH(E175,'Operator Master'!$A$5:$A$504,0)),"")</f>
        <v/>
      </c>
      <c r="H175" s="14" t="str">
        <f aca="false">IFERROR(INDEX('Fault Master'!$B$5:$B$104,MATCH(G175,'Fault Master'!$A$5:$A$104,0)),"")</f>
        <v/>
      </c>
      <c r="I175" s="14" t="str">
        <f aca="false">IFERROR(INDEX('Fault Master'!$C$5:$C$104,MATCH(G175,'Fault Master'!$A$5:$A$104,0)),"")</f>
        <v/>
      </c>
      <c r="M175" s="14" t="str">
        <f aca="false">IFERROR(INDEX('Fault Master'!$D$5:$D$104,MATCH(G175,'Fault Master'!$A$5:$A$104,0)),"")</f>
        <v/>
      </c>
    </row>
    <row r="176" customFormat="false" ht="15" hidden="false" customHeight="true" outlineLevel="0" collapsed="false">
      <c r="A176" s="1" t="n">
        <v>171</v>
      </c>
      <c r="B176" s="13"/>
      <c r="F176" s="14" t="str">
        <f aca="false">IFERROR(INDEX('Operator Master'!$B$5:$B$504,MATCH(E176,'Operator Master'!$A$5:$A$504,0)),"")</f>
        <v/>
      </c>
      <c r="H176" s="14" t="str">
        <f aca="false">IFERROR(INDEX('Fault Master'!$B$5:$B$104,MATCH(G176,'Fault Master'!$A$5:$A$104,0)),"")</f>
        <v/>
      </c>
      <c r="I176" s="14" t="str">
        <f aca="false">IFERROR(INDEX('Fault Master'!$C$5:$C$104,MATCH(G176,'Fault Master'!$A$5:$A$104,0)),"")</f>
        <v/>
      </c>
      <c r="M176" s="14" t="str">
        <f aca="false">IFERROR(INDEX('Fault Master'!$D$5:$D$104,MATCH(G176,'Fault Master'!$A$5:$A$104,0)),"")</f>
        <v/>
      </c>
    </row>
    <row r="177" customFormat="false" ht="15" hidden="false" customHeight="true" outlineLevel="0" collapsed="false">
      <c r="A177" s="1" t="n">
        <v>172</v>
      </c>
      <c r="B177" s="13"/>
      <c r="F177" s="14" t="str">
        <f aca="false">IFERROR(INDEX('Operator Master'!$B$5:$B$504,MATCH(E177,'Operator Master'!$A$5:$A$504,0)),"")</f>
        <v/>
      </c>
      <c r="H177" s="14" t="str">
        <f aca="false">IFERROR(INDEX('Fault Master'!$B$5:$B$104,MATCH(G177,'Fault Master'!$A$5:$A$104,0)),"")</f>
        <v/>
      </c>
      <c r="I177" s="14" t="str">
        <f aca="false">IFERROR(INDEX('Fault Master'!$C$5:$C$104,MATCH(G177,'Fault Master'!$A$5:$A$104,0)),"")</f>
        <v/>
      </c>
      <c r="M177" s="14" t="str">
        <f aca="false">IFERROR(INDEX('Fault Master'!$D$5:$D$104,MATCH(G177,'Fault Master'!$A$5:$A$104,0)),"")</f>
        <v/>
      </c>
    </row>
    <row r="178" customFormat="false" ht="15" hidden="false" customHeight="true" outlineLevel="0" collapsed="false">
      <c r="A178" s="1" t="n">
        <v>173</v>
      </c>
      <c r="B178" s="13"/>
      <c r="F178" s="14" t="str">
        <f aca="false">IFERROR(INDEX('Operator Master'!$B$5:$B$504,MATCH(E178,'Operator Master'!$A$5:$A$504,0)),"")</f>
        <v/>
      </c>
      <c r="H178" s="14" t="str">
        <f aca="false">IFERROR(INDEX('Fault Master'!$B$5:$B$104,MATCH(G178,'Fault Master'!$A$5:$A$104,0)),"")</f>
        <v/>
      </c>
      <c r="I178" s="14" t="str">
        <f aca="false">IFERROR(INDEX('Fault Master'!$C$5:$C$104,MATCH(G178,'Fault Master'!$A$5:$A$104,0)),"")</f>
        <v/>
      </c>
      <c r="M178" s="14" t="str">
        <f aca="false">IFERROR(INDEX('Fault Master'!$D$5:$D$104,MATCH(G178,'Fault Master'!$A$5:$A$104,0)),"")</f>
        <v/>
      </c>
    </row>
    <row r="179" customFormat="false" ht="15" hidden="false" customHeight="true" outlineLevel="0" collapsed="false">
      <c r="A179" s="1" t="n">
        <v>174</v>
      </c>
      <c r="B179" s="13"/>
      <c r="F179" s="14" t="str">
        <f aca="false">IFERROR(INDEX('Operator Master'!$B$5:$B$504,MATCH(E179,'Operator Master'!$A$5:$A$504,0)),"")</f>
        <v/>
      </c>
      <c r="H179" s="14" t="str">
        <f aca="false">IFERROR(INDEX('Fault Master'!$B$5:$B$104,MATCH(G179,'Fault Master'!$A$5:$A$104,0)),"")</f>
        <v/>
      </c>
      <c r="I179" s="14" t="str">
        <f aca="false">IFERROR(INDEX('Fault Master'!$C$5:$C$104,MATCH(G179,'Fault Master'!$A$5:$A$104,0)),"")</f>
        <v/>
      </c>
      <c r="M179" s="14" t="str">
        <f aca="false">IFERROR(INDEX('Fault Master'!$D$5:$D$104,MATCH(G179,'Fault Master'!$A$5:$A$104,0)),"")</f>
        <v/>
      </c>
    </row>
    <row r="180" customFormat="false" ht="15" hidden="false" customHeight="true" outlineLevel="0" collapsed="false">
      <c r="A180" s="1" t="n">
        <v>175</v>
      </c>
      <c r="B180" s="13"/>
      <c r="F180" s="14" t="str">
        <f aca="false">IFERROR(INDEX('Operator Master'!$B$5:$B$504,MATCH(E180,'Operator Master'!$A$5:$A$504,0)),"")</f>
        <v/>
      </c>
      <c r="H180" s="14" t="str">
        <f aca="false">IFERROR(INDEX('Fault Master'!$B$5:$B$104,MATCH(G180,'Fault Master'!$A$5:$A$104,0)),"")</f>
        <v/>
      </c>
      <c r="I180" s="14" t="str">
        <f aca="false">IFERROR(INDEX('Fault Master'!$C$5:$C$104,MATCH(G180,'Fault Master'!$A$5:$A$104,0)),"")</f>
        <v/>
      </c>
      <c r="M180" s="14" t="str">
        <f aca="false">IFERROR(INDEX('Fault Master'!$D$5:$D$104,MATCH(G180,'Fault Master'!$A$5:$A$104,0)),"")</f>
        <v/>
      </c>
    </row>
    <row r="181" customFormat="false" ht="15" hidden="false" customHeight="true" outlineLevel="0" collapsed="false">
      <c r="A181" s="1" t="n">
        <v>176</v>
      </c>
      <c r="B181" s="13"/>
      <c r="F181" s="14" t="str">
        <f aca="false">IFERROR(INDEX('Operator Master'!$B$5:$B$504,MATCH(E181,'Operator Master'!$A$5:$A$504,0)),"")</f>
        <v/>
      </c>
      <c r="H181" s="14" t="str">
        <f aca="false">IFERROR(INDEX('Fault Master'!$B$5:$B$104,MATCH(G181,'Fault Master'!$A$5:$A$104,0)),"")</f>
        <v/>
      </c>
      <c r="I181" s="14" t="str">
        <f aca="false">IFERROR(INDEX('Fault Master'!$C$5:$C$104,MATCH(G181,'Fault Master'!$A$5:$A$104,0)),"")</f>
        <v/>
      </c>
      <c r="M181" s="14" t="str">
        <f aca="false">IFERROR(INDEX('Fault Master'!$D$5:$D$104,MATCH(G181,'Fault Master'!$A$5:$A$104,0)),"")</f>
        <v/>
      </c>
    </row>
    <row r="182" customFormat="false" ht="15" hidden="false" customHeight="true" outlineLevel="0" collapsed="false">
      <c r="A182" s="1" t="n">
        <v>177</v>
      </c>
      <c r="B182" s="13"/>
      <c r="F182" s="14" t="str">
        <f aca="false">IFERROR(INDEX('Operator Master'!$B$5:$B$504,MATCH(E182,'Operator Master'!$A$5:$A$504,0)),"")</f>
        <v/>
      </c>
      <c r="H182" s="14" t="str">
        <f aca="false">IFERROR(INDEX('Fault Master'!$B$5:$B$104,MATCH(G182,'Fault Master'!$A$5:$A$104,0)),"")</f>
        <v/>
      </c>
      <c r="I182" s="14" t="str">
        <f aca="false">IFERROR(INDEX('Fault Master'!$C$5:$C$104,MATCH(G182,'Fault Master'!$A$5:$A$104,0)),"")</f>
        <v/>
      </c>
      <c r="M182" s="14" t="str">
        <f aca="false">IFERROR(INDEX('Fault Master'!$D$5:$D$104,MATCH(G182,'Fault Master'!$A$5:$A$104,0)),"")</f>
        <v/>
      </c>
    </row>
    <row r="183" customFormat="false" ht="15" hidden="false" customHeight="true" outlineLevel="0" collapsed="false">
      <c r="A183" s="1" t="n">
        <v>178</v>
      </c>
      <c r="B183" s="13"/>
      <c r="F183" s="14" t="str">
        <f aca="false">IFERROR(INDEX('Operator Master'!$B$5:$B$504,MATCH(E183,'Operator Master'!$A$5:$A$504,0)),"")</f>
        <v/>
      </c>
      <c r="H183" s="14" t="str">
        <f aca="false">IFERROR(INDEX('Fault Master'!$B$5:$B$104,MATCH(G183,'Fault Master'!$A$5:$A$104,0)),"")</f>
        <v/>
      </c>
      <c r="I183" s="14" t="str">
        <f aca="false">IFERROR(INDEX('Fault Master'!$C$5:$C$104,MATCH(G183,'Fault Master'!$A$5:$A$104,0)),"")</f>
        <v/>
      </c>
      <c r="M183" s="14" t="str">
        <f aca="false">IFERROR(INDEX('Fault Master'!$D$5:$D$104,MATCH(G183,'Fault Master'!$A$5:$A$104,0)),"")</f>
        <v/>
      </c>
    </row>
    <row r="184" customFormat="false" ht="15" hidden="false" customHeight="true" outlineLevel="0" collapsed="false">
      <c r="A184" s="1" t="n">
        <v>179</v>
      </c>
      <c r="B184" s="13"/>
      <c r="F184" s="14" t="str">
        <f aca="false">IFERROR(INDEX('Operator Master'!$B$5:$B$504,MATCH(E184,'Operator Master'!$A$5:$A$504,0)),"")</f>
        <v/>
      </c>
      <c r="H184" s="14" t="str">
        <f aca="false">IFERROR(INDEX('Fault Master'!$B$5:$B$104,MATCH(G184,'Fault Master'!$A$5:$A$104,0)),"")</f>
        <v/>
      </c>
      <c r="I184" s="14" t="str">
        <f aca="false">IFERROR(INDEX('Fault Master'!$C$5:$C$104,MATCH(G184,'Fault Master'!$A$5:$A$104,0)),"")</f>
        <v/>
      </c>
      <c r="M184" s="14" t="str">
        <f aca="false">IFERROR(INDEX('Fault Master'!$D$5:$D$104,MATCH(G184,'Fault Master'!$A$5:$A$104,0)),"")</f>
        <v/>
      </c>
    </row>
    <row r="185" customFormat="false" ht="15" hidden="false" customHeight="true" outlineLevel="0" collapsed="false">
      <c r="A185" s="1" t="n">
        <v>180</v>
      </c>
      <c r="B185" s="13"/>
      <c r="F185" s="14" t="str">
        <f aca="false">IFERROR(INDEX('Operator Master'!$B$5:$B$504,MATCH(E185,'Operator Master'!$A$5:$A$504,0)),"")</f>
        <v/>
      </c>
      <c r="H185" s="14" t="str">
        <f aca="false">IFERROR(INDEX('Fault Master'!$B$5:$B$104,MATCH(G185,'Fault Master'!$A$5:$A$104,0)),"")</f>
        <v/>
      </c>
      <c r="I185" s="14" t="str">
        <f aca="false">IFERROR(INDEX('Fault Master'!$C$5:$C$104,MATCH(G185,'Fault Master'!$A$5:$A$104,0)),"")</f>
        <v/>
      </c>
      <c r="M185" s="14" t="str">
        <f aca="false">IFERROR(INDEX('Fault Master'!$D$5:$D$104,MATCH(G185,'Fault Master'!$A$5:$A$104,0)),"")</f>
        <v/>
      </c>
    </row>
    <row r="186" customFormat="false" ht="15" hidden="false" customHeight="true" outlineLevel="0" collapsed="false">
      <c r="A186" s="1" t="n">
        <v>181</v>
      </c>
      <c r="B186" s="13"/>
      <c r="F186" s="14" t="str">
        <f aca="false">IFERROR(INDEX('Operator Master'!$B$5:$B$504,MATCH(E186,'Operator Master'!$A$5:$A$504,0)),"")</f>
        <v/>
      </c>
      <c r="H186" s="14" t="str">
        <f aca="false">IFERROR(INDEX('Fault Master'!$B$5:$B$104,MATCH(G186,'Fault Master'!$A$5:$A$104,0)),"")</f>
        <v/>
      </c>
      <c r="I186" s="14" t="str">
        <f aca="false">IFERROR(INDEX('Fault Master'!$C$5:$C$104,MATCH(G186,'Fault Master'!$A$5:$A$104,0)),"")</f>
        <v/>
      </c>
      <c r="M186" s="14" t="str">
        <f aca="false">IFERROR(INDEX('Fault Master'!$D$5:$D$104,MATCH(G186,'Fault Master'!$A$5:$A$104,0)),"")</f>
        <v/>
      </c>
    </row>
    <row r="187" customFormat="false" ht="15" hidden="false" customHeight="true" outlineLevel="0" collapsed="false">
      <c r="A187" s="1" t="n">
        <v>182</v>
      </c>
      <c r="B187" s="13"/>
      <c r="F187" s="14" t="str">
        <f aca="false">IFERROR(INDEX('Operator Master'!$B$5:$B$504,MATCH(E187,'Operator Master'!$A$5:$A$504,0)),"")</f>
        <v/>
      </c>
      <c r="H187" s="14" t="str">
        <f aca="false">IFERROR(INDEX('Fault Master'!$B$5:$B$104,MATCH(G187,'Fault Master'!$A$5:$A$104,0)),"")</f>
        <v/>
      </c>
      <c r="I187" s="14" t="str">
        <f aca="false">IFERROR(INDEX('Fault Master'!$C$5:$C$104,MATCH(G187,'Fault Master'!$A$5:$A$104,0)),"")</f>
        <v/>
      </c>
      <c r="M187" s="14" t="str">
        <f aca="false">IFERROR(INDEX('Fault Master'!$D$5:$D$104,MATCH(G187,'Fault Master'!$A$5:$A$104,0)),"")</f>
        <v/>
      </c>
    </row>
    <row r="188" customFormat="false" ht="15" hidden="false" customHeight="true" outlineLevel="0" collapsed="false">
      <c r="A188" s="1" t="n">
        <v>183</v>
      </c>
      <c r="B188" s="13"/>
      <c r="F188" s="14" t="str">
        <f aca="false">IFERROR(INDEX('Operator Master'!$B$5:$B$504,MATCH(E188,'Operator Master'!$A$5:$A$504,0)),"")</f>
        <v/>
      </c>
      <c r="H188" s="14" t="str">
        <f aca="false">IFERROR(INDEX('Fault Master'!$B$5:$B$104,MATCH(G188,'Fault Master'!$A$5:$A$104,0)),"")</f>
        <v/>
      </c>
      <c r="I188" s="14" t="str">
        <f aca="false">IFERROR(INDEX('Fault Master'!$C$5:$C$104,MATCH(G188,'Fault Master'!$A$5:$A$104,0)),"")</f>
        <v/>
      </c>
      <c r="M188" s="14" t="str">
        <f aca="false">IFERROR(INDEX('Fault Master'!$D$5:$D$104,MATCH(G188,'Fault Master'!$A$5:$A$104,0)),"")</f>
        <v/>
      </c>
    </row>
    <row r="189" customFormat="false" ht="15" hidden="false" customHeight="true" outlineLevel="0" collapsed="false">
      <c r="A189" s="1" t="n">
        <v>184</v>
      </c>
      <c r="B189" s="13"/>
      <c r="F189" s="14" t="str">
        <f aca="false">IFERROR(INDEX('Operator Master'!$B$5:$B$504,MATCH(E189,'Operator Master'!$A$5:$A$504,0)),"")</f>
        <v/>
      </c>
      <c r="H189" s="14" t="str">
        <f aca="false">IFERROR(INDEX('Fault Master'!$B$5:$B$104,MATCH(G189,'Fault Master'!$A$5:$A$104,0)),"")</f>
        <v/>
      </c>
      <c r="I189" s="14" t="str">
        <f aca="false">IFERROR(INDEX('Fault Master'!$C$5:$C$104,MATCH(G189,'Fault Master'!$A$5:$A$104,0)),"")</f>
        <v/>
      </c>
      <c r="M189" s="14" t="str">
        <f aca="false">IFERROR(INDEX('Fault Master'!$D$5:$D$104,MATCH(G189,'Fault Master'!$A$5:$A$104,0)),"")</f>
        <v/>
      </c>
    </row>
    <row r="190" customFormat="false" ht="15" hidden="false" customHeight="true" outlineLevel="0" collapsed="false">
      <c r="A190" s="1" t="n">
        <v>185</v>
      </c>
      <c r="B190" s="13"/>
      <c r="F190" s="14" t="str">
        <f aca="false">IFERROR(INDEX('Operator Master'!$B$5:$B$504,MATCH(E190,'Operator Master'!$A$5:$A$504,0)),"")</f>
        <v/>
      </c>
      <c r="H190" s="14" t="str">
        <f aca="false">IFERROR(INDEX('Fault Master'!$B$5:$B$104,MATCH(G190,'Fault Master'!$A$5:$A$104,0)),"")</f>
        <v/>
      </c>
      <c r="I190" s="14" t="str">
        <f aca="false">IFERROR(INDEX('Fault Master'!$C$5:$C$104,MATCH(G190,'Fault Master'!$A$5:$A$104,0)),"")</f>
        <v/>
      </c>
      <c r="M190" s="14" t="str">
        <f aca="false">IFERROR(INDEX('Fault Master'!$D$5:$D$104,MATCH(G190,'Fault Master'!$A$5:$A$104,0)),"")</f>
        <v/>
      </c>
    </row>
    <row r="191" customFormat="false" ht="15" hidden="false" customHeight="true" outlineLevel="0" collapsed="false">
      <c r="A191" s="1" t="n">
        <v>186</v>
      </c>
      <c r="B191" s="13"/>
      <c r="F191" s="14" t="str">
        <f aca="false">IFERROR(INDEX('Operator Master'!$B$5:$B$504,MATCH(E191,'Operator Master'!$A$5:$A$504,0)),"")</f>
        <v/>
      </c>
      <c r="H191" s="14" t="str">
        <f aca="false">IFERROR(INDEX('Fault Master'!$B$5:$B$104,MATCH(G191,'Fault Master'!$A$5:$A$104,0)),"")</f>
        <v/>
      </c>
      <c r="I191" s="14" t="str">
        <f aca="false">IFERROR(INDEX('Fault Master'!$C$5:$C$104,MATCH(G191,'Fault Master'!$A$5:$A$104,0)),"")</f>
        <v/>
      </c>
      <c r="M191" s="14" t="str">
        <f aca="false">IFERROR(INDEX('Fault Master'!$D$5:$D$104,MATCH(G191,'Fault Master'!$A$5:$A$104,0)),"")</f>
        <v/>
      </c>
    </row>
    <row r="192" customFormat="false" ht="15" hidden="false" customHeight="true" outlineLevel="0" collapsed="false">
      <c r="A192" s="1" t="n">
        <v>187</v>
      </c>
      <c r="B192" s="13"/>
      <c r="F192" s="14" t="str">
        <f aca="false">IFERROR(INDEX('Operator Master'!$B$5:$B$504,MATCH(E192,'Operator Master'!$A$5:$A$504,0)),"")</f>
        <v/>
      </c>
      <c r="H192" s="14" t="str">
        <f aca="false">IFERROR(INDEX('Fault Master'!$B$5:$B$104,MATCH(G192,'Fault Master'!$A$5:$A$104,0)),"")</f>
        <v/>
      </c>
      <c r="I192" s="14" t="str">
        <f aca="false">IFERROR(INDEX('Fault Master'!$C$5:$C$104,MATCH(G192,'Fault Master'!$A$5:$A$104,0)),"")</f>
        <v/>
      </c>
      <c r="M192" s="14" t="str">
        <f aca="false">IFERROR(INDEX('Fault Master'!$D$5:$D$104,MATCH(G192,'Fault Master'!$A$5:$A$104,0)),"")</f>
        <v/>
      </c>
    </row>
    <row r="193" customFormat="false" ht="15" hidden="false" customHeight="true" outlineLevel="0" collapsed="false">
      <c r="A193" s="1" t="n">
        <v>188</v>
      </c>
      <c r="B193" s="13"/>
      <c r="F193" s="14" t="str">
        <f aca="false">IFERROR(INDEX('Operator Master'!$B$5:$B$504,MATCH(E193,'Operator Master'!$A$5:$A$504,0)),"")</f>
        <v/>
      </c>
      <c r="H193" s="14" t="str">
        <f aca="false">IFERROR(INDEX('Fault Master'!$B$5:$B$104,MATCH(G193,'Fault Master'!$A$5:$A$104,0)),"")</f>
        <v/>
      </c>
      <c r="I193" s="14" t="str">
        <f aca="false">IFERROR(INDEX('Fault Master'!$C$5:$C$104,MATCH(G193,'Fault Master'!$A$5:$A$104,0)),"")</f>
        <v/>
      </c>
      <c r="M193" s="14" t="str">
        <f aca="false">IFERROR(INDEX('Fault Master'!$D$5:$D$104,MATCH(G193,'Fault Master'!$A$5:$A$104,0)),"")</f>
        <v/>
      </c>
    </row>
    <row r="194" customFormat="false" ht="15" hidden="false" customHeight="true" outlineLevel="0" collapsed="false">
      <c r="A194" s="1" t="n">
        <v>189</v>
      </c>
      <c r="B194" s="13"/>
      <c r="F194" s="14" t="str">
        <f aca="false">IFERROR(INDEX('Operator Master'!$B$5:$B$504,MATCH(E194,'Operator Master'!$A$5:$A$504,0)),"")</f>
        <v/>
      </c>
      <c r="H194" s="14" t="str">
        <f aca="false">IFERROR(INDEX('Fault Master'!$B$5:$B$104,MATCH(G194,'Fault Master'!$A$5:$A$104,0)),"")</f>
        <v/>
      </c>
      <c r="I194" s="14" t="str">
        <f aca="false">IFERROR(INDEX('Fault Master'!$C$5:$C$104,MATCH(G194,'Fault Master'!$A$5:$A$104,0)),"")</f>
        <v/>
      </c>
      <c r="M194" s="14" t="str">
        <f aca="false">IFERROR(INDEX('Fault Master'!$D$5:$D$104,MATCH(G194,'Fault Master'!$A$5:$A$104,0)),"")</f>
        <v/>
      </c>
    </row>
    <row r="195" customFormat="false" ht="15" hidden="false" customHeight="true" outlineLevel="0" collapsed="false">
      <c r="A195" s="1" t="n">
        <v>190</v>
      </c>
      <c r="B195" s="13"/>
      <c r="F195" s="14" t="str">
        <f aca="false">IFERROR(INDEX('Operator Master'!$B$5:$B$504,MATCH(E195,'Operator Master'!$A$5:$A$504,0)),"")</f>
        <v/>
      </c>
      <c r="H195" s="14" t="str">
        <f aca="false">IFERROR(INDEX('Fault Master'!$B$5:$B$104,MATCH(G195,'Fault Master'!$A$5:$A$104,0)),"")</f>
        <v/>
      </c>
      <c r="I195" s="14" t="str">
        <f aca="false">IFERROR(INDEX('Fault Master'!$C$5:$C$104,MATCH(G195,'Fault Master'!$A$5:$A$104,0)),"")</f>
        <v/>
      </c>
      <c r="M195" s="14" t="str">
        <f aca="false">IFERROR(INDEX('Fault Master'!$D$5:$D$104,MATCH(G195,'Fault Master'!$A$5:$A$104,0)),"")</f>
        <v/>
      </c>
    </row>
    <row r="196" customFormat="false" ht="15" hidden="false" customHeight="true" outlineLevel="0" collapsed="false">
      <c r="A196" s="1" t="n">
        <v>191</v>
      </c>
      <c r="B196" s="13"/>
      <c r="F196" s="14" t="str">
        <f aca="false">IFERROR(INDEX('Operator Master'!$B$5:$B$504,MATCH(E196,'Operator Master'!$A$5:$A$504,0)),"")</f>
        <v/>
      </c>
      <c r="H196" s="14" t="str">
        <f aca="false">IFERROR(INDEX('Fault Master'!$B$5:$B$104,MATCH(G196,'Fault Master'!$A$5:$A$104,0)),"")</f>
        <v/>
      </c>
      <c r="I196" s="14" t="str">
        <f aca="false">IFERROR(INDEX('Fault Master'!$C$5:$C$104,MATCH(G196,'Fault Master'!$A$5:$A$104,0)),"")</f>
        <v/>
      </c>
      <c r="M196" s="14" t="str">
        <f aca="false">IFERROR(INDEX('Fault Master'!$D$5:$D$104,MATCH(G196,'Fault Master'!$A$5:$A$104,0)),"")</f>
        <v/>
      </c>
    </row>
    <row r="197" customFormat="false" ht="15" hidden="false" customHeight="true" outlineLevel="0" collapsed="false">
      <c r="A197" s="1" t="n">
        <v>192</v>
      </c>
      <c r="B197" s="13"/>
      <c r="F197" s="14" t="str">
        <f aca="false">IFERROR(INDEX('Operator Master'!$B$5:$B$504,MATCH(E197,'Operator Master'!$A$5:$A$504,0)),"")</f>
        <v/>
      </c>
      <c r="H197" s="14" t="str">
        <f aca="false">IFERROR(INDEX('Fault Master'!$B$5:$B$104,MATCH(G197,'Fault Master'!$A$5:$A$104,0)),"")</f>
        <v/>
      </c>
      <c r="I197" s="14" t="str">
        <f aca="false">IFERROR(INDEX('Fault Master'!$C$5:$C$104,MATCH(G197,'Fault Master'!$A$5:$A$104,0)),"")</f>
        <v/>
      </c>
      <c r="M197" s="14" t="str">
        <f aca="false">IFERROR(INDEX('Fault Master'!$D$5:$D$104,MATCH(G197,'Fault Master'!$A$5:$A$104,0)),"")</f>
        <v/>
      </c>
    </row>
    <row r="198" customFormat="false" ht="15" hidden="false" customHeight="true" outlineLevel="0" collapsed="false">
      <c r="A198" s="1" t="n">
        <v>193</v>
      </c>
      <c r="B198" s="13"/>
      <c r="F198" s="14" t="str">
        <f aca="false">IFERROR(INDEX('Operator Master'!$B$5:$B$504,MATCH(E198,'Operator Master'!$A$5:$A$504,0)),"")</f>
        <v/>
      </c>
      <c r="H198" s="14" t="str">
        <f aca="false">IFERROR(INDEX('Fault Master'!$B$5:$B$104,MATCH(G198,'Fault Master'!$A$5:$A$104,0)),"")</f>
        <v/>
      </c>
      <c r="I198" s="14" t="str">
        <f aca="false">IFERROR(INDEX('Fault Master'!$C$5:$C$104,MATCH(G198,'Fault Master'!$A$5:$A$104,0)),"")</f>
        <v/>
      </c>
      <c r="M198" s="14" t="str">
        <f aca="false">IFERROR(INDEX('Fault Master'!$D$5:$D$104,MATCH(G198,'Fault Master'!$A$5:$A$104,0)),"")</f>
        <v/>
      </c>
    </row>
    <row r="199" customFormat="false" ht="15" hidden="false" customHeight="true" outlineLevel="0" collapsed="false">
      <c r="A199" s="1" t="n">
        <v>194</v>
      </c>
      <c r="B199" s="13"/>
      <c r="F199" s="14" t="str">
        <f aca="false">IFERROR(INDEX('Operator Master'!$B$5:$B$504,MATCH(E199,'Operator Master'!$A$5:$A$504,0)),"")</f>
        <v/>
      </c>
      <c r="H199" s="14" t="str">
        <f aca="false">IFERROR(INDEX('Fault Master'!$B$5:$B$104,MATCH(G199,'Fault Master'!$A$5:$A$104,0)),"")</f>
        <v/>
      </c>
      <c r="I199" s="14" t="str">
        <f aca="false">IFERROR(INDEX('Fault Master'!$C$5:$C$104,MATCH(G199,'Fault Master'!$A$5:$A$104,0)),"")</f>
        <v/>
      </c>
      <c r="M199" s="14" t="str">
        <f aca="false">IFERROR(INDEX('Fault Master'!$D$5:$D$104,MATCH(G199,'Fault Master'!$A$5:$A$104,0)),"")</f>
        <v/>
      </c>
    </row>
    <row r="200" customFormat="false" ht="15" hidden="false" customHeight="true" outlineLevel="0" collapsed="false">
      <c r="A200" s="1" t="n">
        <v>195</v>
      </c>
      <c r="B200" s="13"/>
      <c r="F200" s="14" t="str">
        <f aca="false">IFERROR(INDEX('Operator Master'!$B$5:$B$504,MATCH(E200,'Operator Master'!$A$5:$A$504,0)),"")</f>
        <v/>
      </c>
      <c r="H200" s="14" t="str">
        <f aca="false">IFERROR(INDEX('Fault Master'!$B$5:$B$104,MATCH(G200,'Fault Master'!$A$5:$A$104,0)),"")</f>
        <v/>
      </c>
      <c r="I200" s="14" t="str">
        <f aca="false">IFERROR(INDEX('Fault Master'!$C$5:$C$104,MATCH(G200,'Fault Master'!$A$5:$A$104,0)),"")</f>
        <v/>
      </c>
      <c r="M200" s="14" t="str">
        <f aca="false">IFERROR(INDEX('Fault Master'!$D$5:$D$104,MATCH(G200,'Fault Master'!$A$5:$A$104,0)),"")</f>
        <v/>
      </c>
    </row>
    <row r="201" customFormat="false" ht="15" hidden="false" customHeight="true" outlineLevel="0" collapsed="false">
      <c r="A201" s="1" t="n">
        <v>196</v>
      </c>
      <c r="B201" s="13"/>
      <c r="F201" s="14" t="str">
        <f aca="false">IFERROR(INDEX('Operator Master'!$B$5:$B$504,MATCH(E201,'Operator Master'!$A$5:$A$504,0)),"")</f>
        <v/>
      </c>
      <c r="H201" s="14" t="str">
        <f aca="false">IFERROR(INDEX('Fault Master'!$B$5:$B$104,MATCH(G201,'Fault Master'!$A$5:$A$104,0)),"")</f>
        <v/>
      </c>
      <c r="I201" s="14" t="str">
        <f aca="false">IFERROR(INDEX('Fault Master'!$C$5:$C$104,MATCH(G201,'Fault Master'!$A$5:$A$104,0)),"")</f>
        <v/>
      </c>
      <c r="M201" s="14" t="str">
        <f aca="false">IFERROR(INDEX('Fault Master'!$D$5:$D$104,MATCH(G201,'Fault Master'!$A$5:$A$104,0)),"")</f>
        <v/>
      </c>
    </row>
    <row r="202" customFormat="false" ht="15" hidden="false" customHeight="true" outlineLevel="0" collapsed="false">
      <c r="A202" s="1" t="n">
        <v>197</v>
      </c>
      <c r="B202" s="13"/>
      <c r="F202" s="14" t="str">
        <f aca="false">IFERROR(INDEX('Operator Master'!$B$5:$B$504,MATCH(E202,'Operator Master'!$A$5:$A$504,0)),"")</f>
        <v/>
      </c>
      <c r="H202" s="14" t="str">
        <f aca="false">IFERROR(INDEX('Fault Master'!$B$5:$B$104,MATCH(G202,'Fault Master'!$A$5:$A$104,0)),"")</f>
        <v/>
      </c>
      <c r="I202" s="14" t="str">
        <f aca="false">IFERROR(INDEX('Fault Master'!$C$5:$C$104,MATCH(G202,'Fault Master'!$A$5:$A$104,0)),"")</f>
        <v/>
      </c>
      <c r="M202" s="14" t="str">
        <f aca="false">IFERROR(INDEX('Fault Master'!$D$5:$D$104,MATCH(G202,'Fault Master'!$A$5:$A$104,0)),"")</f>
        <v/>
      </c>
    </row>
    <row r="203" customFormat="false" ht="15" hidden="false" customHeight="true" outlineLevel="0" collapsed="false">
      <c r="A203" s="1" t="n">
        <v>198</v>
      </c>
      <c r="B203" s="13"/>
      <c r="F203" s="14" t="str">
        <f aca="false">IFERROR(INDEX('Operator Master'!$B$5:$B$504,MATCH(E203,'Operator Master'!$A$5:$A$504,0)),"")</f>
        <v/>
      </c>
      <c r="H203" s="14" t="str">
        <f aca="false">IFERROR(INDEX('Fault Master'!$B$5:$B$104,MATCH(G203,'Fault Master'!$A$5:$A$104,0)),"")</f>
        <v/>
      </c>
      <c r="I203" s="14" t="str">
        <f aca="false">IFERROR(INDEX('Fault Master'!$C$5:$C$104,MATCH(G203,'Fault Master'!$A$5:$A$104,0)),"")</f>
        <v/>
      </c>
      <c r="M203" s="14" t="str">
        <f aca="false">IFERROR(INDEX('Fault Master'!$D$5:$D$104,MATCH(G203,'Fault Master'!$A$5:$A$104,0)),"")</f>
        <v/>
      </c>
    </row>
    <row r="204" customFormat="false" ht="15" hidden="false" customHeight="true" outlineLevel="0" collapsed="false">
      <c r="A204" s="1" t="n">
        <v>199</v>
      </c>
      <c r="B204" s="13"/>
      <c r="F204" s="14" t="str">
        <f aca="false">IFERROR(INDEX('Operator Master'!$B$5:$B$504,MATCH(E204,'Operator Master'!$A$5:$A$504,0)),"")</f>
        <v/>
      </c>
      <c r="H204" s="14" t="str">
        <f aca="false">IFERROR(INDEX('Fault Master'!$B$5:$B$104,MATCH(G204,'Fault Master'!$A$5:$A$104,0)),"")</f>
        <v/>
      </c>
      <c r="I204" s="14" t="str">
        <f aca="false">IFERROR(INDEX('Fault Master'!$C$5:$C$104,MATCH(G204,'Fault Master'!$A$5:$A$104,0)),"")</f>
        <v/>
      </c>
      <c r="M204" s="14" t="str">
        <f aca="false">IFERROR(INDEX('Fault Master'!$D$5:$D$104,MATCH(G204,'Fault Master'!$A$5:$A$104,0)),"")</f>
        <v/>
      </c>
    </row>
    <row r="205" customFormat="false" ht="15" hidden="false" customHeight="true" outlineLevel="0" collapsed="false">
      <c r="A205" s="1" t="n">
        <v>200</v>
      </c>
      <c r="B205" s="13"/>
      <c r="F205" s="14" t="str">
        <f aca="false">IFERROR(INDEX('Operator Master'!$B$5:$B$504,MATCH(E205,'Operator Master'!$A$5:$A$504,0)),"")</f>
        <v/>
      </c>
      <c r="H205" s="14" t="str">
        <f aca="false">IFERROR(INDEX('Fault Master'!$B$5:$B$104,MATCH(G205,'Fault Master'!$A$5:$A$104,0)),"")</f>
        <v/>
      </c>
      <c r="I205" s="14" t="str">
        <f aca="false">IFERROR(INDEX('Fault Master'!$C$5:$C$104,MATCH(G205,'Fault Master'!$A$5:$A$104,0)),"")</f>
        <v/>
      </c>
      <c r="M205" s="14" t="str">
        <f aca="false">IFERROR(INDEX('Fault Master'!$D$5:$D$104,MATCH(G205,'Fault Master'!$A$5:$A$104,0)),"")</f>
        <v/>
      </c>
    </row>
    <row r="206" customFormat="false" ht="15" hidden="false" customHeight="true" outlineLevel="0" collapsed="false">
      <c r="A206" s="1" t="n">
        <v>201</v>
      </c>
      <c r="B206" s="13"/>
      <c r="F206" s="14" t="str">
        <f aca="false">IFERROR(INDEX('Operator Master'!$B$5:$B$504,MATCH(E206,'Operator Master'!$A$5:$A$504,0)),"")</f>
        <v/>
      </c>
      <c r="H206" s="14" t="str">
        <f aca="false">IFERROR(INDEX('Fault Master'!$B$5:$B$104,MATCH(G206,'Fault Master'!$A$5:$A$104,0)),"")</f>
        <v/>
      </c>
      <c r="I206" s="14" t="str">
        <f aca="false">IFERROR(INDEX('Fault Master'!$C$5:$C$104,MATCH(G206,'Fault Master'!$A$5:$A$104,0)),"")</f>
        <v/>
      </c>
      <c r="M206" s="14" t="str">
        <f aca="false">IFERROR(INDEX('Fault Master'!$D$5:$D$104,MATCH(G206,'Fault Master'!$A$5:$A$104,0)),"")</f>
        <v/>
      </c>
    </row>
    <row r="207" customFormat="false" ht="15" hidden="false" customHeight="true" outlineLevel="0" collapsed="false">
      <c r="A207" s="1" t="n">
        <v>202</v>
      </c>
      <c r="B207" s="13"/>
      <c r="F207" s="14" t="str">
        <f aca="false">IFERROR(INDEX('Operator Master'!$B$5:$B$504,MATCH(E207,'Operator Master'!$A$5:$A$504,0)),"")</f>
        <v/>
      </c>
      <c r="H207" s="14" t="str">
        <f aca="false">IFERROR(INDEX('Fault Master'!$B$5:$B$104,MATCH(G207,'Fault Master'!$A$5:$A$104,0)),"")</f>
        <v/>
      </c>
      <c r="I207" s="14" t="str">
        <f aca="false">IFERROR(INDEX('Fault Master'!$C$5:$C$104,MATCH(G207,'Fault Master'!$A$5:$A$104,0)),"")</f>
        <v/>
      </c>
      <c r="M207" s="14" t="str">
        <f aca="false">IFERROR(INDEX('Fault Master'!$D$5:$D$104,MATCH(G207,'Fault Master'!$A$5:$A$104,0)),"")</f>
        <v/>
      </c>
    </row>
    <row r="208" customFormat="false" ht="15" hidden="false" customHeight="true" outlineLevel="0" collapsed="false">
      <c r="A208" s="1" t="n">
        <v>203</v>
      </c>
      <c r="B208" s="13"/>
      <c r="F208" s="14" t="str">
        <f aca="false">IFERROR(INDEX('Operator Master'!$B$5:$B$504,MATCH(E208,'Operator Master'!$A$5:$A$504,0)),"")</f>
        <v/>
      </c>
      <c r="H208" s="14" t="str">
        <f aca="false">IFERROR(INDEX('Fault Master'!$B$5:$B$104,MATCH(G208,'Fault Master'!$A$5:$A$104,0)),"")</f>
        <v/>
      </c>
      <c r="I208" s="14" t="str">
        <f aca="false">IFERROR(INDEX('Fault Master'!$C$5:$C$104,MATCH(G208,'Fault Master'!$A$5:$A$104,0)),"")</f>
        <v/>
      </c>
      <c r="M208" s="14" t="str">
        <f aca="false">IFERROR(INDEX('Fault Master'!$D$5:$D$104,MATCH(G208,'Fault Master'!$A$5:$A$104,0)),"")</f>
        <v/>
      </c>
    </row>
    <row r="209" customFormat="false" ht="15" hidden="false" customHeight="true" outlineLevel="0" collapsed="false">
      <c r="A209" s="1" t="n">
        <v>204</v>
      </c>
      <c r="B209" s="13"/>
      <c r="F209" s="14" t="str">
        <f aca="false">IFERROR(INDEX('Operator Master'!$B$5:$B$504,MATCH(E209,'Operator Master'!$A$5:$A$504,0)),"")</f>
        <v/>
      </c>
      <c r="H209" s="14" t="str">
        <f aca="false">IFERROR(INDEX('Fault Master'!$B$5:$B$104,MATCH(G209,'Fault Master'!$A$5:$A$104,0)),"")</f>
        <v/>
      </c>
      <c r="I209" s="14" t="str">
        <f aca="false">IFERROR(INDEX('Fault Master'!$C$5:$C$104,MATCH(G209,'Fault Master'!$A$5:$A$104,0)),"")</f>
        <v/>
      </c>
      <c r="M209" s="14" t="str">
        <f aca="false">IFERROR(INDEX('Fault Master'!$D$5:$D$104,MATCH(G209,'Fault Master'!$A$5:$A$104,0)),"")</f>
        <v/>
      </c>
    </row>
    <row r="210" customFormat="false" ht="15" hidden="false" customHeight="true" outlineLevel="0" collapsed="false">
      <c r="A210" s="1" t="n">
        <v>205</v>
      </c>
      <c r="B210" s="13"/>
      <c r="F210" s="14" t="str">
        <f aca="false">IFERROR(INDEX('Operator Master'!$B$5:$B$504,MATCH(E210,'Operator Master'!$A$5:$A$504,0)),"")</f>
        <v/>
      </c>
      <c r="H210" s="14" t="str">
        <f aca="false">IFERROR(INDEX('Fault Master'!$B$5:$B$104,MATCH(G210,'Fault Master'!$A$5:$A$104,0)),"")</f>
        <v/>
      </c>
      <c r="I210" s="14" t="str">
        <f aca="false">IFERROR(INDEX('Fault Master'!$C$5:$C$104,MATCH(G210,'Fault Master'!$A$5:$A$104,0)),"")</f>
        <v/>
      </c>
      <c r="M210" s="14" t="str">
        <f aca="false">IFERROR(INDEX('Fault Master'!$D$5:$D$104,MATCH(G210,'Fault Master'!$A$5:$A$104,0)),"")</f>
        <v/>
      </c>
    </row>
    <row r="211" customFormat="false" ht="15" hidden="false" customHeight="true" outlineLevel="0" collapsed="false">
      <c r="A211" s="1" t="n">
        <v>206</v>
      </c>
      <c r="B211" s="13"/>
      <c r="F211" s="14" t="str">
        <f aca="false">IFERROR(INDEX('Operator Master'!$B$5:$B$504,MATCH(E211,'Operator Master'!$A$5:$A$504,0)),"")</f>
        <v/>
      </c>
      <c r="H211" s="14" t="str">
        <f aca="false">IFERROR(INDEX('Fault Master'!$B$5:$B$104,MATCH(G211,'Fault Master'!$A$5:$A$104,0)),"")</f>
        <v/>
      </c>
      <c r="I211" s="14" t="str">
        <f aca="false">IFERROR(INDEX('Fault Master'!$C$5:$C$104,MATCH(G211,'Fault Master'!$A$5:$A$104,0)),"")</f>
        <v/>
      </c>
      <c r="M211" s="14" t="str">
        <f aca="false">IFERROR(INDEX('Fault Master'!$D$5:$D$104,MATCH(G211,'Fault Master'!$A$5:$A$104,0)),"")</f>
        <v/>
      </c>
    </row>
    <row r="212" customFormat="false" ht="15" hidden="false" customHeight="true" outlineLevel="0" collapsed="false">
      <c r="A212" s="1" t="n">
        <v>207</v>
      </c>
      <c r="B212" s="13"/>
      <c r="F212" s="14" t="str">
        <f aca="false">IFERROR(INDEX('Operator Master'!$B$5:$B$504,MATCH(E212,'Operator Master'!$A$5:$A$504,0)),"")</f>
        <v/>
      </c>
      <c r="H212" s="14" t="str">
        <f aca="false">IFERROR(INDEX('Fault Master'!$B$5:$B$104,MATCH(G212,'Fault Master'!$A$5:$A$104,0)),"")</f>
        <v/>
      </c>
      <c r="I212" s="14" t="str">
        <f aca="false">IFERROR(INDEX('Fault Master'!$C$5:$C$104,MATCH(G212,'Fault Master'!$A$5:$A$104,0)),"")</f>
        <v/>
      </c>
      <c r="M212" s="14" t="str">
        <f aca="false">IFERROR(INDEX('Fault Master'!$D$5:$D$104,MATCH(G212,'Fault Master'!$A$5:$A$104,0)),"")</f>
        <v/>
      </c>
    </row>
    <row r="213" customFormat="false" ht="15" hidden="false" customHeight="true" outlineLevel="0" collapsed="false">
      <c r="A213" s="1" t="n">
        <v>208</v>
      </c>
      <c r="B213" s="13"/>
      <c r="F213" s="14" t="str">
        <f aca="false">IFERROR(INDEX('Operator Master'!$B$5:$B$504,MATCH(E213,'Operator Master'!$A$5:$A$504,0)),"")</f>
        <v/>
      </c>
      <c r="H213" s="14" t="str">
        <f aca="false">IFERROR(INDEX('Fault Master'!$B$5:$B$104,MATCH(G213,'Fault Master'!$A$5:$A$104,0)),"")</f>
        <v/>
      </c>
      <c r="I213" s="14" t="str">
        <f aca="false">IFERROR(INDEX('Fault Master'!$C$5:$C$104,MATCH(G213,'Fault Master'!$A$5:$A$104,0)),"")</f>
        <v/>
      </c>
      <c r="M213" s="14" t="str">
        <f aca="false">IFERROR(INDEX('Fault Master'!$D$5:$D$104,MATCH(G213,'Fault Master'!$A$5:$A$104,0)),"")</f>
        <v/>
      </c>
    </row>
    <row r="214" customFormat="false" ht="15" hidden="false" customHeight="true" outlineLevel="0" collapsed="false">
      <c r="A214" s="1" t="n">
        <v>209</v>
      </c>
      <c r="B214" s="13"/>
      <c r="F214" s="14" t="str">
        <f aca="false">IFERROR(INDEX('Operator Master'!$B$5:$B$504,MATCH(E214,'Operator Master'!$A$5:$A$504,0)),"")</f>
        <v/>
      </c>
      <c r="H214" s="14" t="str">
        <f aca="false">IFERROR(INDEX('Fault Master'!$B$5:$B$104,MATCH(G214,'Fault Master'!$A$5:$A$104,0)),"")</f>
        <v/>
      </c>
      <c r="I214" s="14" t="str">
        <f aca="false">IFERROR(INDEX('Fault Master'!$C$5:$C$104,MATCH(G214,'Fault Master'!$A$5:$A$104,0)),"")</f>
        <v/>
      </c>
      <c r="M214" s="14" t="str">
        <f aca="false">IFERROR(INDEX('Fault Master'!$D$5:$D$104,MATCH(G214,'Fault Master'!$A$5:$A$104,0)),"")</f>
        <v/>
      </c>
    </row>
    <row r="215" customFormat="false" ht="15" hidden="false" customHeight="true" outlineLevel="0" collapsed="false">
      <c r="A215" s="1" t="n">
        <v>210</v>
      </c>
      <c r="B215" s="13"/>
      <c r="F215" s="14" t="str">
        <f aca="false">IFERROR(INDEX('Operator Master'!$B$5:$B$504,MATCH(E215,'Operator Master'!$A$5:$A$504,0)),"")</f>
        <v/>
      </c>
      <c r="H215" s="14" t="str">
        <f aca="false">IFERROR(INDEX('Fault Master'!$B$5:$B$104,MATCH(G215,'Fault Master'!$A$5:$A$104,0)),"")</f>
        <v/>
      </c>
      <c r="I215" s="14" t="str">
        <f aca="false">IFERROR(INDEX('Fault Master'!$C$5:$C$104,MATCH(G215,'Fault Master'!$A$5:$A$104,0)),"")</f>
        <v/>
      </c>
      <c r="M215" s="14" t="str">
        <f aca="false">IFERROR(INDEX('Fault Master'!$D$5:$D$104,MATCH(G215,'Fault Master'!$A$5:$A$104,0)),"")</f>
        <v/>
      </c>
    </row>
    <row r="216" customFormat="false" ht="15" hidden="false" customHeight="true" outlineLevel="0" collapsed="false">
      <c r="A216" s="1" t="n">
        <v>211</v>
      </c>
      <c r="B216" s="13"/>
      <c r="F216" s="14" t="str">
        <f aca="false">IFERROR(INDEX('Operator Master'!$B$5:$B$504,MATCH(E216,'Operator Master'!$A$5:$A$504,0)),"")</f>
        <v/>
      </c>
      <c r="H216" s="14" t="str">
        <f aca="false">IFERROR(INDEX('Fault Master'!$B$5:$B$104,MATCH(G216,'Fault Master'!$A$5:$A$104,0)),"")</f>
        <v/>
      </c>
      <c r="I216" s="14" t="str">
        <f aca="false">IFERROR(INDEX('Fault Master'!$C$5:$C$104,MATCH(G216,'Fault Master'!$A$5:$A$104,0)),"")</f>
        <v/>
      </c>
      <c r="M216" s="14" t="str">
        <f aca="false">IFERROR(INDEX('Fault Master'!$D$5:$D$104,MATCH(G216,'Fault Master'!$A$5:$A$104,0)),"")</f>
        <v/>
      </c>
    </row>
    <row r="217" customFormat="false" ht="15" hidden="false" customHeight="true" outlineLevel="0" collapsed="false">
      <c r="A217" s="1" t="n">
        <v>212</v>
      </c>
      <c r="B217" s="13"/>
      <c r="F217" s="14" t="str">
        <f aca="false">IFERROR(INDEX('Operator Master'!$B$5:$B$504,MATCH(E217,'Operator Master'!$A$5:$A$504,0)),"")</f>
        <v/>
      </c>
      <c r="H217" s="14" t="str">
        <f aca="false">IFERROR(INDEX('Fault Master'!$B$5:$B$104,MATCH(G217,'Fault Master'!$A$5:$A$104,0)),"")</f>
        <v/>
      </c>
      <c r="I217" s="14" t="str">
        <f aca="false">IFERROR(INDEX('Fault Master'!$C$5:$C$104,MATCH(G217,'Fault Master'!$A$5:$A$104,0)),"")</f>
        <v/>
      </c>
      <c r="M217" s="14" t="str">
        <f aca="false">IFERROR(INDEX('Fault Master'!$D$5:$D$104,MATCH(G217,'Fault Master'!$A$5:$A$104,0)),"")</f>
        <v/>
      </c>
    </row>
    <row r="218" customFormat="false" ht="15" hidden="false" customHeight="true" outlineLevel="0" collapsed="false">
      <c r="A218" s="1" t="n">
        <v>213</v>
      </c>
      <c r="B218" s="13"/>
      <c r="F218" s="14" t="str">
        <f aca="false">IFERROR(INDEX('Operator Master'!$B$5:$B$504,MATCH(E218,'Operator Master'!$A$5:$A$504,0)),"")</f>
        <v/>
      </c>
      <c r="H218" s="14" t="str">
        <f aca="false">IFERROR(INDEX('Fault Master'!$B$5:$B$104,MATCH(G218,'Fault Master'!$A$5:$A$104,0)),"")</f>
        <v/>
      </c>
      <c r="I218" s="14" t="str">
        <f aca="false">IFERROR(INDEX('Fault Master'!$C$5:$C$104,MATCH(G218,'Fault Master'!$A$5:$A$104,0)),"")</f>
        <v/>
      </c>
      <c r="M218" s="14" t="str">
        <f aca="false">IFERROR(INDEX('Fault Master'!$D$5:$D$104,MATCH(G218,'Fault Master'!$A$5:$A$104,0)),"")</f>
        <v/>
      </c>
    </row>
    <row r="219" customFormat="false" ht="15" hidden="false" customHeight="true" outlineLevel="0" collapsed="false">
      <c r="A219" s="1" t="n">
        <v>214</v>
      </c>
      <c r="B219" s="13"/>
      <c r="F219" s="14" t="str">
        <f aca="false">IFERROR(INDEX('Operator Master'!$B$5:$B$504,MATCH(E219,'Operator Master'!$A$5:$A$504,0)),"")</f>
        <v/>
      </c>
      <c r="H219" s="14" t="str">
        <f aca="false">IFERROR(INDEX('Fault Master'!$B$5:$B$104,MATCH(G219,'Fault Master'!$A$5:$A$104,0)),"")</f>
        <v/>
      </c>
      <c r="I219" s="14" t="str">
        <f aca="false">IFERROR(INDEX('Fault Master'!$C$5:$C$104,MATCH(G219,'Fault Master'!$A$5:$A$104,0)),"")</f>
        <v/>
      </c>
      <c r="M219" s="14" t="str">
        <f aca="false">IFERROR(INDEX('Fault Master'!$D$5:$D$104,MATCH(G219,'Fault Master'!$A$5:$A$104,0)),"")</f>
        <v/>
      </c>
    </row>
    <row r="220" customFormat="false" ht="15" hidden="false" customHeight="true" outlineLevel="0" collapsed="false">
      <c r="A220" s="1" t="n">
        <v>215</v>
      </c>
      <c r="B220" s="13"/>
      <c r="F220" s="14" t="str">
        <f aca="false">IFERROR(INDEX('Operator Master'!$B$5:$B$504,MATCH(E220,'Operator Master'!$A$5:$A$504,0)),"")</f>
        <v/>
      </c>
      <c r="H220" s="14" t="str">
        <f aca="false">IFERROR(INDEX('Fault Master'!$B$5:$B$104,MATCH(G220,'Fault Master'!$A$5:$A$104,0)),"")</f>
        <v/>
      </c>
      <c r="I220" s="14" t="str">
        <f aca="false">IFERROR(INDEX('Fault Master'!$C$5:$C$104,MATCH(G220,'Fault Master'!$A$5:$A$104,0)),"")</f>
        <v/>
      </c>
      <c r="M220" s="14" t="str">
        <f aca="false">IFERROR(INDEX('Fault Master'!$D$5:$D$104,MATCH(G220,'Fault Master'!$A$5:$A$104,0)),"")</f>
        <v/>
      </c>
    </row>
    <row r="221" customFormat="false" ht="15" hidden="false" customHeight="true" outlineLevel="0" collapsed="false">
      <c r="A221" s="1" t="n">
        <v>216</v>
      </c>
      <c r="B221" s="13"/>
      <c r="F221" s="14" t="str">
        <f aca="false">IFERROR(INDEX('Operator Master'!$B$5:$B$504,MATCH(E221,'Operator Master'!$A$5:$A$504,0)),"")</f>
        <v/>
      </c>
      <c r="H221" s="14" t="str">
        <f aca="false">IFERROR(INDEX('Fault Master'!$B$5:$B$104,MATCH(G221,'Fault Master'!$A$5:$A$104,0)),"")</f>
        <v/>
      </c>
      <c r="I221" s="14" t="str">
        <f aca="false">IFERROR(INDEX('Fault Master'!$C$5:$C$104,MATCH(G221,'Fault Master'!$A$5:$A$104,0)),"")</f>
        <v/>
      </c>
      <c r="M221" s="14" t="str">
        <f aca="false">IFERROR(INDEX('Fault Master'!$D$5:$D$104,MATCH(G221,'Fault Master'!$A$5:$A$104,0)),"")</f>
        <v/>
      </c>
    </row>
    <row r="222" customFormat="false" ht="15" hidden="false" customHeight="true" outlineLevel="0" collapsed="false">
      <c r="A222" s="1" t="n">
        <v>217</v>
      </c>
      <c r="B222" s="13"/>
      <c r="F222" s="14" t="str">
        <f aca="false">IFERROR(INDEX('Operator Master'!$B$5:$B$504,MATCH(E222,'Operator Master'!$A$5:$A$504,0)),"")</f>
        <v/>
      </c>
      <c r="H222" s="14" t="str">
        <f aca="false">IFERROR(INDEX('Fault Master'!$B$5:$B$104,MATCH(G222,'Fault Master'!$A$5:$A$104,0)),"")</f>
        <v/>
      </c>
      <c r="I222" s="14" t="str">
        <f aca="false">IFERROR(INDEX('Fault Master'!$C$5:$C$104,MATCH(G222,'Fault Master'!$A$5:$A$104,0)),"")</f>
        <v/>
      </c>
      <c r="M222" s="14" t="str">
        <f aca="false">IFERROR(INDEX('Fault Master'!$D$5:$D$104,MATCH(G222,'Fault Master'!$A$5:$A$104,0)),"")</f>
        <v/>
      </c>
    </row>
    <row r="223" customFormat="false" ht="15" hidden="false" customHeight="true" outlineLevel="0" collapsed="false">
      <c r="A223" s="1" t="n">
        <v>218</v>
      </c>
      <c r="B223" s="13"/>
      <c r="F223" s="14" t="str">
        <f aca="false">IFERROR(INDEX('Operator Master'!$B$5:$B$504,MATCH(E223,'Operator Master'!$A$5:$A$504,0)),"")</f>
        <v/>
      </c>
      <c r="H223" s="14" t="str">
        <f aca="false">IFERROR(INDEX('Fault Master'!$B$5:$B$104,MATCH(G223,'Fault Master'!$A$5:$A$104,0)),"")</f>
        <v/>
      </c>
      <c r="I223" s="14" t="str">
        <f aca="false">IFERROR(INDEX('Fault Master'!$C$5:$C$104,MATCH(G223,'Fault Master'!$A$5:$A$104,0)),"")</f>
        <v/>
      </c>
      <c r="M223" s="14" t="str">
        <f aca="false">IFERROR(INDEX('Fault Master'!$D$5:$D$104,MATCH(G223,'Fault Master'!$A$5:$A$104,0)),"")</f>
        <v/>
      </c>
    </row>
    <row r="224" customFormat="false" ht="15" hidden="false" customHeight="true" outlineLevel="0" collapsed="false">
      <c r="A224" s="1" t="n">
        <v>219</v>
      </c>
      <c r="B224" s="13"/>
      <c r="F224" s="14" t="str">
        <f aca="false">IFERROR(INDEX('Operator Master'!$B$5:$B$504,MATCH(E224,'Operator Master'!$A$5:$A$504,0)),"")</f>
        <v/>
      </c>
      <c r="H224" s="14" t="str">
        <f aca="false">IFERROR(INDEX('Fault Master'!$B$5:$B$104,MATCH(G224,'Fault Master'!$A$5:$A$104,0)),"")</f>
        <v/>
      </c>
      <c r="I224" s="14" t="str">
        <f aca="false">IFERROR(INDEX('Fault Master'!$C$5:$C$104,MATCH(G224,'Fault Master'!$A$5:$A$104,0)),"")</f>
        <v/>
      </c>
      <c r="M224" s="14" t="str">
        <f aca="false">IFERROR(INDEX('Fault Master'!$D$5:$D$104,MATCH(G224,'Fault Master'!$A$5:$A$104,0)),"")</f>
        <v/>
      </c>
    </row>
    <row r="225" customFormat="false" ht="15" hidden="false" customHeight="true" outlineLevel="0" collapsed="false">
      <c r="A225" s="1" t="n">
        <v>220</v>
      </c>
      <c r="B225" s="13"/>
      <c r="F225" s="14" t="str">
        <f aca="false">IFERROR(INDEX('Operator Master'!$B$5:$B$504,MATCH(E225,'Operator Master'!$A$5:$A$504,0)),"")</f>
        <v/>
      </c>
      <c r="H225" s="14" t="str">
        <f aca="false">IFERROR(INDEX('Fault Master'!$B$5:$B$104,MATCH(G225,'Fault Master'!$A$5:$A$104,0)),"")</f>
        <v/>
      </c>
      <c r="I225" s="14" t="str">
        <f aca="false">IFERROR(INDEX('Fault Master'!$C$5:$C$104,MATCH(G225,'Fault Master'!$A$5:$A$104,0)),"")</f>
        <v/>
      </c>
      <c r="M225" s="14" t="str">
        <f aca="false">IFERROR(INDEX('Fault Master'!$D$5:$D$104,MATCH(G225,'Fault Master'!$A$5:$A$104,0)),"")</f>
        <v/>
      </c>
    </row>
    <row r="226" customFormat="false" ht="15" hidden="false" customHeight="true" outlineLevel="0" collapsed="false">
      <c r="A226" s="1" t="n">
        <v>221</v>
      </c>
      <c r="B226" s="13"/>
      <c r="F226" s="14" t="str">
        <f aca="false">IFERROR(INDEX('Operator Master'!$B$5:$B$504,MATCH(E226,'Operator Master'!$A$5:$A$504,0)),"")</f>
        <v/>
      </c>
      <c r="H226" s="14" t="str">
        <f aca="false">IFERROR(INDEX('Fault Master'!$B$5:$B$104,MATCH(G226,'Fault Master'!$A$5:$A$104,0)),"")</f>
        <v/>
      </c>
      <c r="I226" s="14" t="str">
        <f aca="false">IFERROR(INDEX('Fault Master'!$C$5:$C$104,MATCH(G226,'Fault Master'!$A$5:$A$104,0)),"")</f>
        <v/>
      </c>
      <c r="M226" s="14" t="str">
        <f aca="false">IFERROR(INDEX('Fault Master'!$D$5:$D$104,MATCH(G226,'Fault Master'!$A$5:$A$104,0)),"")</f>
        <v/>
      </c>
    </row>
    <row r="227" customFormat="false" ht="15" hidden="false" customHeight="true" outlineLevel="0" collapsed="false">
      <c r="A227" s="1" t="n">
        <v>222</v>
      </c>
      <c r="B227" s="13"/>
      <c r="F227" s="14" t="str">
        <f aca="false">IFERROR(INDEX('Operator Master'!$B$5:$B$504,MATCH(E227,'Operator Master'!$A$5:$A$504,0)),"")</f>
        <v/>
      </c>
      <c r="H227" s="14" t="str">
        <f aca="false">IFERROR(INDEX('Fault Master'!$B$5:$B$104,MATCH(G227,'Fault Master'!$A$5:$A$104,0)),"")</f>
        <v/>
      </c>
      <c r="I227" s="14" t="str">
        <f aca="false">IFERROR(INDEX('Fault Master'!$C$5:$C$104,MATCH(G227,'Fault Master'!$A$5:$A$104,0)),"")</f>
        <v/>
      </c>
      <c r="M227" s="14" t="str">
        <f aca="false">IFERROR(INDEX('Fault Master'!$D$5:$D$104,MATCH(G227,'Fault Master'!$A$5:$A$104,0)),"")</f>
        <v/>
      </c>
    </row>
    <row r="228" customFormat="false" ht="15" hidden="false" customHeight="true" outlineLevel="0" collapsed="false">
      <c r="A228" s="1" t="n">
        <v>223</v>
      </c>
      <c r="B228" s="13"/>
      <c r="F228" s="14" t="str">
        <f aca="false">IFERROR(INDEX('Operator Master'!$B$5:$B$504,MATCH(E228,'Operator Master'!$A$5:$A$504,0)),"")</f>
        <v/>
      </c>
      <c r="H228" s="14" t="str">
        <f aca="false">IFERROR(INDEX('Fault Master'!$B$5:$B$104,MATCH(G228,'Fault Master'!$A$5:$A$104,0)),"")</f>
        <v/>
      </c>
      <c r="I228" s="14" t="str">
        <f aca="false">IFERROR(INDEX('Fault Master'!$C$5:$C$104,MATCH(G228,'Fault Master'!$A$5:$A$104,0)),"")</f>
        <v/>
      </c>
      <c r="M228" s="14" t="str">
        <f aca="false">IFERROR(INDEX('Fault Master'!$D$5:$D$104,MATCH(G228,'Fault Master'!$A$5:$A$104,0)),"")</f>
        <v/>
      </c>
    </row>
    <row r="229" customFormat="false" ht="15" hidden="false" customHeight="true" outlineLevel="0" collapsed="false">
      <c r="A229" s="1" t="n">
        <v>224</v>
      </c>
      <c r="B229" s="13"/>
      <c r="F229" s="14" t="str">
        <f aca="false">IFERROR(INDEX('Operator Master'!$B$5:$B$504,MATCH(E229,'Operator Master'!$A$5:$A$504,0)),"")</f>
        <v/>
      </c>
      <c r="H229" s="14" t="str">
        <f aca="false">IFERROR(INDEX('Fault Master'!$B$5:$B$104,MATCH(G229,'Fault Master'!$A$5:$A$104,0)),"")</f>
        <v/>
      </c>
      <c r="I229" s="14" t="str">
        <f aca="false">IFERROR(INDEX('Fault Master'!$C$5:$C$104,MATCH(G229,'Fault Master'!$A$5:$A$104,0)),"")</f>
        <v/>
      </c>
      <c r="M229" s="14" t="str">
        <f aca="false">IFERROR(INDEX('Fault Master'!$D$5:$D$104,MATCH(G229,'Fault Master'!$A$5:$A$104,0)),"")</f>
        <v/>
      </c>
    </row>
    <row r="230" customFormat="false" ht="15" hidden="false" customHeight="true" outlineLevel="0" collapsed="false">
      <c r="A230" s="1" t="n">
        <v>225</v>
      </c>
      <c r="B230" s="13"/>
      <c r="F230" s="14" t="str">
        <f aca="false">IFERROR(INDEX('Operator Master'!$B$5:$B$504,MATCH(E230,'Operator Master'!$A$5:$A$504,0)),"")</f>
        <v/>
      </c>
      <c r="H230" s="14" t="str">
        <f aca="false">IFERROR(INDEX('Fault Master'!$B$5:$B$104,MATCH(G230,'Fault Master'!$A$5:$A$104,0)),"")</f>
        <v/>
      </c>
      <c r="I230" s="14" t="str">
        <f aca="false">IFERROR(INDEX('Fault Master'!$C$5:$C$104,MATCH(G230,'Fault Master'!$A$5:$A$104,0)),"")</f>
        <v/>
      </c>
      <c r="M230" s="14" t="str">
        <f aca="false">IFERROR(INDEX('Fault Master'!$D$5:$D$104,MATCH(G230,'Fault Master'!$A$5:$A$104,0)),"")</f>
        <v/>
      </c>
    </row>
    <row r="231" customFormat="false" ht="15" hidden="false" customHeight="true" outlineLevel="0" collapsed="false">
      <c r="A231" s="1" t="n">
        <v>226</v>
      </c>
      <c r="B231" s="13"/>
      <c r="F231" s="14" t="str">
        <f aca="false">IFERROR(INDEX('Operator Master'!$B$5:$B$504,MATCH(E231,'Operator Master'!$A$5:$A$504,0)),"")</f>
        <v/>
      </c>
      <c r="H231" s="14" t="str">
        <f aca="false">IFERROR(INDEX('Fault Master'!$B$5:$B$104,MATCH(G231,'Fault Master'!$A$5:$A$104,0)),"")</f>
        <v/>
      </c>
      <c r="I231" s="14" t="str">
        <f aca="false">IFERROR(INDEX('Fault Master'!$C$5:$C$104,MATCH(G231,'Fault Master'!$A$5:$A$104,0)),"")</f>
        <v/>
      </c>
      <c r="M231" s="14" t="str">
        <f aca="false">IFERROR(INDEX('Fault Master'!$D$5:$D$104,MATCH(G231,'Fault Master'!$A$5:$A$104,0)),"")</f>
        <v/>
      </c>
    </row>
    <row r="232" customFormat="false" ht="15" hidden="false" customHeight="true" outlineLevel="0" collapsed="false">
      <c r="A232" s="1" t="n">
        <v>227</v>
      </c>
      <c r="B232" s="13"/>
      <c r="F232" s="14" t="str">
        <f aca="false">IFERROR(INDEX('Operator Master'!$B$5:$B$504,MATCH(E232,'Operator Master'!$A$5:$A$504,0)),"")</f>
        <v/>
      </c>
      <c r="H232" s="14" t="str">
        <f aca="false">IFERROR(INDEX('Fault Master'!$B$5:$B$104,MATCH(G232,'Fault Master'!$A$5:$A$104,0)),"")</f>
        <v/>
      </c>
      <c r="I232" s="14" t="str">
        <f aca="false">IFERROR(INDEX('Fault Master'!$C$5:$C$104,MATCH(G232,'Fault Master'!$A$5:$A$104,0)),"")</f>
        <v/>
      </c>
      <c r="M232" s="14" t="str">
        <f aca="false">IFERROR(INDEX('Fault Master'!$D$5:$D$104,MATCH(G232,'Fault Master'!$A$5:$A$104,0)),"")</f>
        <v/>
      </c>
    </row>
    <row r="233" customFormat="false" ht="15" hidden="false" customHeight="true" outlineLevel="0" collapsed="false">
      <c r="A233" s="1" t="n">
        <v>228</v>
      </c>
      <c r="B233" s="13"/>
      <c r="F233" s="14" t="str">
        <f aca="false">IFERROR(INDEX('Operator Master'!$B$5:$B$504,MATCH(E233,'Operator Master'!$A$5:$A$504,0)),"")</f>
        <v/>
      </c>
      <c r="H233" s="14" t="str">
        <f aca="false">IFERROR(INDEX('Fault Master'!$B$5:$B$104,MATCH(G233,'Fault Master'!$A$5:$A$104,0)),"")</f>
        <v/>
      </c>
      <c r="I233" s="14" t="str">
        <f aca="false">IFERROR(INDEX('Fault Master'!$C$5:$C$104,MATCH(G233,'Fault Master'!$A$5:$A$104,0)),"")</f>
        <v/>
      </c>
      <c r="M233" s="14" t="str">
        <f aca="false">IFERROR(INDEX('Fault Master'!$D$5:$D$104,MATCH(G233,'Fault Master'!$A$5:$A$104,0)),"")</f>
        <v/>
      </c>
    </row>
    <row r="234" customFormat="false" ht="15" hidden="false" customHeight="true" outlineLevel="0" collapsed="false">
      <c r="A234" s="1" t="n">
        <v>229</v>
      </c>
      <c r="B234" s="13"/>
      <c r="F234" s="14" t="str">
        <f aca="false">IFERROR(INDEX('Operator Master'!$B$5:$B$504,MATCH(E234,'Operator Master'!$A$5:$A$504,0)),"")</f>
        <v/>
      </c>
      <c r="H234" s="14" t="str">
        <f aca="false">IFERROR(INDEX('Fault Master'!$B$5:$B$104,MATCH(G234,'Fault Master'!$A$5:$A$104,0)),"")</f>
        <v/>
      </c>
      <c r="I234" s="14" t="str">
        <f aca="false">IFERROR(INDEX('Fault Master'!$C$5:$C$104,MATCH(G234,'Fault Master'!$A$5:$A$104,0)),"")</f>
        <v/>
      </c>
      <c r="M234" s="14" t="str">
        <f aca="false">IFERROR(INDEX('Fault Master'!$D$5:$D$104,MATCH(G234,'Fault Master'!$A$5:$A$104,0)),"")</f>
        <v/>
      </c>
    </row>
    <row r="235" customFormat="false" ht="15" hidden="false" customHeight="true" outlineLevel="0" collapsed="false">
      <c r="A235" s="1" t="n">
        <v>230</v>
      </c>
      <c r="B235" s="13"/>
      <c r="F235" s="14" t="str">
        <f aca="false">IFERROR(INDEX('Operator Master'!$B$5:$B$504,MATCH(E235,'Operator Master'!$A$5:$A$504,0)),"")</f>
        <v/>
      </c>
      <c r="H235" s="14" t="str">
        <f aca="false">IFERROR(INDEX('Fault Master'!$B$5:$B$104,MATCH(G235,'Fault Master'!$A$5:$A$104,0)),"")</f>
        <v/>
      </c>
      <c r="I235" s="14" t="str">
        <f aca="false">IFERROR(INDEX('Fault Master'!$C$5:$C$104,MATCH(G235,'Fault Master'!$A$5:$A$104,0)),"")</f>
        <v/>
      </c>
      <c r="M235" s="14" t="str">
        <f aca="false">IFERROR(INDEX('Fault Master'!$D$5:$D$104,MATCH(G235,'Fault Master'!$A$5:$A$104,0)),"")</f>
        <v/>
      </c>
    </row>
    <row r="236" customFormat="false" ht="15" hidden="false" customHeight="true" outlineLevel="0" collapsed="false">
      <c r="A236" s="1" t="n">
        <v>231</v>
      </c>
      <c r="B236" s="13"/>
      <c r="F236" s="14" t="str">
        <f aca="false">IFERROR(INDEX('Operator Master'!$B$5:$B$504,MATCH(E236,'Operator Master'!$A$5:$A$504,0)),"")</f>
        <v/>
      </c>
      <c r="H236" s="14" t="str">
        <f aca="false">IFERROR(INDEX('Fault Master'!$B$5:$B$104,MATCH(G236,'Fault Master'!$A$5:$A$104,0)),"")</f>
        <v/>
      </c>
      <c r="I236" s="14" t="str">
        <f aca="false">IFERROR(INDEX('Fault Master'!$C$5:$C$104,MATCH(G236,'Fault Master'!$A$5:$A$104,0)),"")</f>
        <v/>
      </c>
      <c r="M236" s="14" t="str">
        <f aca="false">IFERROR(INDEX('Fault Master'!$D$5:$D$104,MATCH(G236,'Fault Master'!$A$5:$A$104,0)),"")</f>
        <v/>
      </c>
    </row>
    <row r="237" customFormat="false" ht="15" hidden="false" customHeight="true" outlineLevel="0" collapsed="false">
      <c r="A237" s="1" t="n">
        <v>232</v>
      </c>
      <c r="B237" s="13"/>
      <c r="F237" s="14" t="str">
        <f aca="false">IFERROR(INDEX('Operator Master'!$B$5:$B$504,MATCH(E237,'Operator Master'!$A$5:$A$504,0)),"")</f>
        <v/>
      </c>
      <c r="H237" s="14" t="str">
        <f aca="false">IFERROR(INDEX('Fault Master'!$B$5:$B$104,MATCH(G237,'Fault Master'!$A$5:$A$104,0)),"")</f>
        <v/>
      </c>
      <c r="I237" s="14" t="str">
        <f aca="false">IFERROR(INDEX('Fault Master'!$C$5:$C$104,MATCH(G237,'Fault Master'!$A$5:$A$104,0)),"")</f>
        <v/>
      </c>
      <c r="M237" s="14" t="str">
        <f aca="false">IFERROR(INDEX('Fault Master'!$D$5:$D$104,MATCH(G237,'Fault Master'!$A$5:$A$104,0)),"")</f>
        <v/>
      </c>
    </row>
    <row r="238" customFormat="false" ht="15" hidden="false" customHeight="true" outlineLevel="0" collapsed="false">
      <c r="A238" s="1" t="n">
        <v>233</v>
      </c>
      <c r="B238" s="13"/>
      <c r="F238" s="14" t="str">
        <f aca="false">IFERROR(INDEX('Operator Master'!$B$5:$B$504,MATCH(E238,'Operator Master'!$A$5:$A$504,0)),"")</f>
        <v/>
      </c>
      <c r="H238" s="14" t="str">
        <f aca="false">IFERROR(INDEX('Fault Master'!$B$5:$B$104,MATCH(G238,'Fault Master'!$A$5:$A$104,0)),"")</f>
        <v/>
      </c>
      <c r="I238" s="14" t="str">
        <f aca="false">IFERROR(INDEX('Fault Master'!$C$5:$C$104,MATCH(G238,'Fault Master'!$A$5:$A$104,0)),"")</f>
        <v/>
      </c>
      <c r="M238" s="14" t="str">
        <f aca="false">IFERROR(INDEX('Fault Master'!$D$5:$D$104,MATCH(G238,'Fault Master'!$A$5:$A$104,0)),"")</f>
        <v/>
      </c>
    </row>
    <row r="239" customFormat="false" ht="15" hidden="false" customHeight="true" outlineLevel="0" collapsed="false">
      <c r="A239" s="1" t="n">
        <v>234</v>
      </c>
      <c r="B239" s="13"/>
      <c r="F239" s="14" t="str">
        <f aca="false">IFERROR(INDEX('Operator Master'!$B$5:$B$504,MATCH(E239,'Operator Master'!$A$5:$A$504,0)),"")</f>
        <v/>
      </c>
      <c r="H239" s="14" t="str">
        <f aca="false">IFERROR(INDEX('Fault Master'!$B$5:$B$104,MATCH(G239,'Fault Master'!$A$5:$A$104,0)),"")</f>
        <v/>
      </c>
      <c r="I239" s="14" t="str">
        <f aca="false">IFERROR(INDEX('Fault Master'!$C$5:$C$104,MATCH(G239,'Fault Master'!$A$5:$A$104,0)),"")</f>
        <v/>
      </c>
      <c r="M239" s="14" t="str">
        <f aca="false">IFERROR(INDEX('Fault Master'!$D$5:$D$104,MATCH(G239,'Fault Master'!$A$5:$A$104,0)),"")</f>
        <v/>
      </c>
    </row>
    <row r="240" customFormat="false" ht="15" hidden="false" customHeight="true" outlineLevel="0" collapsed="false">
      <c r="A240" s="1" t="n">
        <v>235</v>
      </c>
      <c r="B240" s="13"/>
      <c r="F240" s="14" t="str">
        <f aca="false">IFERROR(INDEX('Operator Master'!$B$5:$B$504,MATCH(E240,'Operator Master'!$A$5:$A$504,0)),"")</f>
        <v/>
      </c>
      <c r="H240" s="14" t="str">
        <f aca="false">IFERROR(INDEX('Fault Master'!$B$5:$B$104,MATCH(G240,'Fault Master'!$A$5:$A$104,0)),"")</f>
        <v/>
      </c>
      <c r="I240" s="14" t="str">
        <f aca="false">IFERROR(INDEX('Fault Master'!$C$5:$C$104,MATCH(G240,'Fault Master'!$A$5:$A$104,0)),"")</f>
        <v/>
      </c>
      <c r="M240" s="14" t="str">
        <f aca="false">IFERROR(INDEX('Fault Master'!$D$5:$D$104,MATCH(G240,'Fault Master'!$A$5:$A$104,0)),"")</f>
        <v/>
      </c>
    </row>
    <row r="241" customFormat="false" ht="15" hidden="false" customHeight="true" outlineLevel="0" collapsed="false">
      <c r="A241" s="1" t="n">
        <v>236</v>
      </c>
      <c r="B241" s="13"/>
      <c r="F241" s="14" t="str">
        <f aca="false">IFERROR(INDEX('Operator Master'!$B$5:$B$504,MATCH(E241,'Operator Master'!$A$5:$A$504,0)),"")</f>
        <v/>
      </c>
      <c r="H241" s="14" t="str">
        <f aca="false">IFERROR(INDEX('Fault Master'!$B$5:$B$104,MATCH(G241,'Fault Master'!$A$5:$A$104,0)),"")</f>
        <v/>
      </c>
      <c r="I241" s="14" t="str">
        <f aca="false">IFERROR(INDEX('Fault Master'!$C$5:$C$104,MATCH(G241,'Fault Master'!$A$5:$A$104,0)),"")</f>
        <v/>
      </c>
      <c r="M241" s="14" t="str">
        <f aca="false">IFERROR(INDEX('Fault Master'!$D$5:$D$104,MATCH(G241,'Fault Master'!$A$5:$A$104,0)),"")</f>
        <v/>
      </c>
    </row>
    <row r="242" customFormat="false" ht="15" hidden="false" customHeight="true" outlineLevel="0" collapsed="false">
      <c r="A242" s="1" t="n">
        <v>237</v>
      </c>
      <c r="B242" s="13"/>
      <c r="F242" s="14" t="str">
        <f aca="false">IFERROR(INDEX('Operator Master'!$B$5:$B$504,MATCH(E242,'Operator Master'!$A$5:$A$504,0)),"")</f>
        <v/>
      </c>
      <c r="H242" s="14" t="str">
        <f aca="false">IFERROR(INDEX('Fault Master'!$B$5:$B$104,MATCH(G242,'Fault Master'!$A$5:$A$104,0)),"")</f>
        <v/>
      </c>
      <c r="I242" s="14" t="str">
        <f aca="false">IFERROR(INDEX('Fault Master'!$C$5:$C$104,MATCH(G242,'Fault Master'!$A$5:$A$104,0)),"")</f>
        <v/>
      </c>
      <c r="M242" s="14" t="str">
        <f aca="false">IFERROR(INDEX('Fault Master'!$D$5:$D$104,MATCH(G242,'Fault Master'!$A$5:$A$104,0)),"")</f>
        <v/>
      </c>
    </row>
    <row r="243" customFormat="false" ht="15" hidden="false" customHeight="true" outlineLevel="0" collapsed="false">
      <c r="A243" s="1" t="n">
        <v>238</v>
      </c>
      <c r="B243" s="13"/>
      <c r="F243" s="14" t="str">
        <f aca="false">IFERROR(INDEX('Operator Master'!$B$5:$B$504,MATCH(E243,'Operator Master'!$A$5:$A$504,0)),"")</f>
        <v/>
      </c>
      <c r="H243" s="14" t="str">
        <f aca="false">IFERROR(INDEX('Fault Master'!$B$5:$B$104,MATCH(G243,'Fault Master'!$A$5:$A$104,0)),"")</f>
        <v/>
      </c>
      <c r="I243" s="14" t="str">
        <f aca="false">IFERROR(INDEX('Fault Master'!$C$5:$C$104,MATCH(G243,'Fault Master'!$A$5:$A$104,0)),"")</f>
        <v/>
      </c>
      <c r="M243" s="14" t="str">
        <f aca="false">IFERROR(INDEX('Fault Master'!$D$5:$D$104,MATCH(G243,'Fault Master'!$A$5:$A$104,0)),"")</f>
        <v/>
      </c>
    </row>
    <row r="244" customFormat="false" ht="15" hidden="false" customHeight="true" outlineLevel="0" collapsed="false">
      <c r="A244" s="1" t="n">
        <v>239</v>
      </c>
      <c r="B244" s="13"/>
      <c r="F244" s="14" t="str">
        <f aca="false">IFERROR(INDEX('Operator Master'!$B$5:$B$504,MATCH(E244,'Operator Master'!$A$5:$A$504,0)),"")</f>
        <v/>
      </c>
      <c r="H244" s="14" t="str">
        <f aca="false">IFERROR(INDEX('Fault Master'!$B$5:$B$104,MATCH(G244,'Fault Master'!$A$5:$A$104,0)),"")</f>
        <v/>
      </c>
      <c r="I244" s="14" t="str">
        <f aca="false">IFERROR(INDEX('Fault Master'!$C$5:$C$104,MATCH(G244,'Fault Master'!$A$5:$A$104,0)),"")</f>
        <v/>
      </c>
      <c r="M244" s="14" t="str">
        <f aca="false">IFERROR(INDEX('Fault Master'!$D$5:$D$104,MATCH(G244,'Fault Master'!$A$5:$A$104,0)),"")</f>
        <v/>
      </c>
    </row>
    <row r="245" customFormat="false" ht="15" hidden="false" customHeight="true" outlineLevel="0" collapsed="false">
      <c r="A245" s="1" t="n">
        <v>240</v>
      </c>
      <c r="B245" s="13"/>
      <c r="F245" s="14" t="str">
        <f aca="false">IFERROR(INDEX('Operator Master'!$B$5:$B$504,MATCH(E245,'Operator Master'!$A$5:$A$504,0)),"")</f>
        <v/>
      </c>
      <c r="H245" s="14" t="str">
        <f aca="false">IFERROR(INDEX('Fault Master'!$B$5:$B$104,MATCH(G245,'Fault Master'!$A$5:$A$104,0)),"")</f>
        <v/>
      </c>
      <c r="I245" s="14" t="str">
        <f aca="false">IFERROR(INDEX('Fault Master'!$C$5:$C$104,MATCH(G245,'Fault Master'!$A$5:$A$104,0)),"")</f>
        <v/>
      </c>
      <c r="M245" s="14" t="str">
        <f aca="false">IFERROR(INDEX('Fault Master'!$D$5:$D$104,MATCH(G245,'Fault Master'!$A$5:$A$104,0)),"")</f>
        <v/>
      </c>
    </row>
    <row r="246" customFormat="false" ht="15" hidden="false" customHeight="true" outlineLevel="0" collapsed="false">
      <c r="A246" s="1" t="n">
        <v>241</v>
      </c>
      <c r="B246" s="13"/>
      <c r="F246" s="14" t="str">
        <f aca="false">IFERROR(INDEX('Operator Master'!$B$5:$B$504,MATCH(E246,'Operator Master'!$A$5:$A$504,0)),"")</f>
        <v/>
      </c>
      <c r="H246" s="14" t="str">
        <f aca="false">IFERROR(INDEX('Fault Master'!$B$5:$B$104,MATCH(G246,'Fault Master'!$A$5:$A$104,0)),"")</f>
        <v/>
      </c>
      <c r="I246" s="14" t="str">
        <f aca="false">IFERROR(INDEX('Fault Master'!$C$5:$C$104,MATCH(G246,'Fault Master'!$A$5:$A$104,0)),"")</f>
        <v/>
      </c>
      <c r="M246" s="14" t="str">
        <f aca="false">IFERROR(INDEX('Fault Master'!$D$5:$D$104,MATCH(G246,'Fault Master'!$A$5:$A$104,0)),"")</f>
        <v/>
      </c>
    </row>
    <row r="247" customFormat="false" ht="15" hidden="false" customHeight="true" outlineLevel="0" collapsed="false">
      <c r="A247" s="1" t="n">
        <v>242</v>
      </c>
      <c r="B247" s="13"/>
      <c r="F247" s="14" t="str">
        <f aca="false">IFERROR(INDEX('Operator Master'!$B$5:$B$504,MATCH(E247,'Operator Master'!$A$5:$A$504,0)),"")</f>
        <v/>
      </c>
      <c r="H247" s="14" t="str">
        <f aca="false">IFERROR(INDEX('Fault Master'!$B$5:$B$104,MATCH(G247,'Fault Master'!$A$5:$A$104,0)),"")</f>
        <v/>
      </c>
      <c r="I247" s="14" t="str">
        <f aca="false">IFERROR(INDEX('Fault Master'!$C$5:$C$104,MATCH(G247,'Fault Master'!$A$5:$A$104,0)),"")</f>
        <v/>
      </c>
      <c r="M247" s="14" t="str">
        <f aca="false">IFERROR(INDEX('Fault Master'!$D$5:$D$104,MATCH(G247,'Fault Master'!$A$5:$A$104,0)),"")</f>
        <v/>
      </c>
    </row>
    <row r="248" customFormat="false" ht="15" hidden="false" customHeight="true" outlineLevel="0" collapsed="false">
      <c r="A248" s="1" t="n">
        <v>243</v>
      </c>
      <c r="B248" s="13"/>
      <c r="F248" s="14" t="str">
        <f aca="false">IFERROR(INDEX('Operator Master'!$B$5:$B$504,MATCH(E248,'Operator Master'!$A$5:$A$504,0)),"")</f>
        <v/>
      </c>
      <c r="H248" s="14" t="str">
        <f aca="false">IFERROR(INDEX('Fault Master'!$B$5:$B$104,MATCH(G248,'Fault Master'!$A$5:$A$104,0)),"")</f>
        <v/>
      </c>
      <c r="I248" s="14" t="str">
        <f aca="false">IFERROR(INDEX('Fault Master'!$C$5:$C$104,MATCH(G248,'Fault Master'!$A$5:$A$104,0)),"")</f>
        <v/>
      </c>
      <c r="M248" s="14" t="str">
        <f aca="false">IFERROR(INDEX('Fault Master'!$D$5:$D$104,MATCH(G248,'Fault Master'!$A$5:$A$104,0)),"")</f>
        <v/>
      </c>
    </row>
    <row r="249" customFormat="false" ht="15" hidden="false" customHeight="true" outlineLevel="0" collapsed="false">
      <c r="A249" s="1" t="n">
        <v>244</v>
      </c>
      <c r="B249" s="13"/>
      <c r="F249" s="14" t="str">
        <f aca="false">IFERROR(INDEX('Operator Master'!$B$5:$B$504,MATCH(E249,'Operator Master'!$A$5:$A$504,0)),"")</f>
        <v/>
      </c>
      <c r="H249" s="14" t="str">
        <f aca="false">IFERROR(INDEX('Fault Master'!$B$5:$B$104,MATCH(G249,'Fault Master'!$A$5:$A$104,0)),"")</f>
        <v/>
      </c>
      <c r="I249" s="14" t="str">
        <f aca="false">IFERROR(INDEX('Fault Master'!$C$5:$C$104,MATCH(G249,'Fault Master'!$A$5:$A$104,0)),"")</f>
        <v/>
      </c>
      <c r="M249" s="14" t="str">
        <f aca="false">IFERROR(INDEX('Fault Master'!$D$5:$D$104,MATCH(G249,'Fault Master'!$A$5:$A$104,0)),"")</f>
        <v/>
      </c>
    </row>
    <row r="250" customFormat="false" ht="15" hidden="false" customHeight="true" outlineLevel="0" collapsed="false">
      <c r="A250" s="1" t="n">
        <v>245</v>
      </c>
      <c r="B250" s="13"/>
      <c r="F250" s="14" t="str">
        <f aca="false">IFERROR(INDEX('Operator Master'!$B$5:$B$504,MATCH(E250,'Operator Master'!$A$5:$A$504,0)),"")</f>
        <v/>
      </c>
      <c r="H250" s="14" t="str">
        <f aca="false">IFERROR(INDEX('Fault Master'!$B$5:$B$104,MATCH(G250,'Fault Master'!$A$5:$A$104,0)),"")</f>
        <v/>
      </c>
      <c r="I250" s="14" t="str">
        <f aca="false">IFERROR(INDEX('Fault Master'!$C$5:$C$104,MATCH(G250,'Fault Master'!$A$5:$A$104,0)),"")</f>
        <v/>
      </c>
      <c r="M250" s="14" t="str">
        <f aca="false">IFERROR(INDEX('Fault Master'!$D$5:$D$104,MATCH(G250,'Fault Master'!$A$5:$A$104,0)),"")</f>
        <v/>
      </c>
    </row>
    <row r="251" customFormat="false" ht="15" hidden="false" customHeight="true" outlineLevel="0" collapsed="false">
      <c r="A251" s="1" t="n">
        <v>246</v>
      </c>
      <c r="B251" s="13"/>
      <c r="F251" s="14" t="str">
        <f aca="false">IFERROR(INDEX('Operator Master'!$B$5:$B$504,MATCH(E251,'Operator Master'!$A$5:$A$504,0)),"")</f>
        <v/>
      </c>
      <c r="H251" s="14" t="str">
        <f aca="false">IFERROR(INDEX('Fault Master'!$B$5:$B$104,MATCH(G251,'Fault Master'!$A$5:$A$104,0)),"")</f>
        <v/>
      </c>
      <c r="I251" s="14" t="str">
        <f aca="false">IFERROR(INDEX('Fault Master'!$C$5:$C$104,MATCH(G251,'Fault Master'!$A$5:$A$104,0)),"")</f>
        <v/>
      </c>
      <c r="M251" s="14" t="str">
        <f aca="false">IFERROR(INDEX('Fault Master'!$D$5:$D$104,MATCH(G251,'Fault Master'!$A$5:$A$104,0)),"")</f>
        <v/>
      </c>
    </row>
    <row r="252" customFormat="false" ht="15" hidden="false" customHeight="true" outlineLevel="0" collapsed="false">
      <c r="A252" s="1" t="n">
        <v>247</v>
      </c>
      <c r="B252" s="13"/>
      <c r="F252" s="14" t="str">
        <f aca="false">IFERROR(INDEX('Operator Master'!$B$5:$B$504,MATCH(E252,'Operator Master'!$A$5:$A$504,0)),"")</f>
        <v/>
      </c>
      <c r="H252" s="14" t="str">
        <f aca="false">IFERROR(INDEX('Fault Master'!$B$5:$B$104,MATCH(G252,'Fault Master'!$A$5:$A$104,0)),"")</f>
        <v/>
      </c>
      <c r="I252" s="14" t="str">
        <f aca="false">IFERROR(INDEX('Fault Master'!$C$5:$C$104,MATCH(G252,'Fault Master'!$A$5:$A$104,0)),"")</f>
        <v/>
      </c>
      <c r="M252" s="14" t="str">
        <f aca="false">IFERROR(INDEX('Fault Master'!$D$5:$D$104,MATCH(G252,'Fault Master'!$A$5:$A$104,0)),"")</f>
        <v/>
      </c>
    </row>
    <row r="253" customFormat="false" ht="15" hidden="false" customHeight="true" outlineLevel="0" collapsed="false">
      <c r="A253" s="1" t="n">
        <v>248</v>
      </c>
      <c r="B253" s="13"/>
      <c r="F253" s="14" t="str">
        <f aca="false">IFERROR(INDEX('Operator Master'!$B$5:$B$504,MATCH(E253,'Operator Master'!$A$5:$A$504,0)),"")</f>
        <v/>
      </c>
      <c r="H253" s="14" t="str">
        <f aca="false">IFERROR(INDEX('Fault Master'!$B$5:$B$104,MATCH(G253,'Fault Master'!$A$5:$A$104,0)),"")</f>
        <v/>
      </c>
      <c r="I253" s="14" t="str">
        <f aca="false">IFERROR(INDEX('Fault Master'!$C$5:$C$104,MATCH(G253,'Fault Master'!$A$5:$A$104,0)),"")</f>
        <v/>
      </c>
      <c r="M253" s="14" t="str">
        <f aca="false">IFERROR(INDEX('Fault Master'!$D$5:$D$104,MATCH(G253,'Fault Master'!$A$5:$A$104,0)),"")</f>
        <v/>
      </c>
    </row>
    <row r="254" customFormat="false" ht="15" hidden="false" customHeight="true" outlineLevel="0" collapsed="false">
      <c r="A254" s="1" t="n">
        <v>249</v>
      </c>
      <c r="B254" s="13"/>
      <c r="F254" s="14" t="str">
        <f aca="false">IFERROR(INDEX('Operator Master'!$B$5:$B$504,MATCH(E254,'Operator Master'!$A$5:$A$504,0)),"")</f>
        <v/>
      </c>
      <c r="H254" s="14" t="str">
        <f aca="false">IFERROR(INDEX('Fault Master'!$B$5:$B$104,MATCH(G254,'Fault Master'!$A$5:$A$104,0)),"")</f>
        <v/>
      </c>
      <c r="I254" s="14" t="str">
        <f aca="false">IFERROR(INDEX('Fault Master'!$C$5:$C$104,MATCH(G254,'Fault Master'!$A$5:$A$104,0)),"")</f>
        <v/>
      </c>
      <c r="M254" s="14" t="str">
        <f aca="false">IFERROR(INDEX('Fault Master'!$D$5:$D$104,MATCH(G254,'Fault Master'!$A$5:$A$104,0)),"")</f>
        <v/>
      </c>
    </row>
    <row r="255" customFormat="false" ht="15" hidden="false" customHeight="true" outlineLevel="0" collapsed="false">
      <c r="A255" s="1" t="n">
        <v>250</v>
      </c>
      <c r="B255" s="13"/>
      <c r="F255" s="14" t="str">
        <f aca="false">IFERROR(INDEX('Operator Master'!$B$5:$B$504,MATCH(E255,'Operator Master'!$A$5:$A$504,0)),"")</f>
        <v/>
      </c>
      <c r="H255" s="14" t="str">
        <f aca="false">IFERROR(INDEX('Fault Master'!$B$5:$B$104,MATCH(G255,'Fault Master'!$A$5:$A$104,0)),"")</f>
        <v/>
      </c>
      <c r="I255" s="14" t="str">
        <f aca="false">IFERROR(INDEX('Fault Master'!$C$5:$C$104,MATCH(G255,'Fault Master'!$A$5:$A$104,0)),"")</f>
        <v/>
      </c>
      <c r="M255" s="14" t="str">
        <f aca="false">IFERROR(INDEX('Fault Master'!$D$5:$D$104,MATCH(G255,'Fault Master'!$A$5:$A$104,0)),"")</f>
        <v/>
      </c>
    </row>
    <row r="256" customFormat="false" ht="15" hidden="false" customHeight="true" outlineLevel="0" collapsed="false">
      <c r="A256" s="1" t="n">
        <v>251</v>
      </c>
      <c r="B256" s="13"/>
      <c r="F256" s="14" t="str">
        <f aca="false">IFERROR(INDEX('Operator Master'!$B$5:$B$504,MATCH(E256,'Operator Master'!$A$5:$A$504,0)),"")</f>
        <v/>
      </c>
      <c r="H256" s="14" t="str">
        <f aca="false">IFERROR(INDEX('Fault Master'!$B$5:$B$104,MATCH(G256,'Fault Master'!$A$5:$A$104,0)),"")</f>
        <v/>
      </c>
      <c r="I256" s="14" t="str">
        <f aca="false">IFERROR(INDEX('Fault Master'!$C$5:$C$104,MATCH(G256,'Fault Master'!$A$5:$A$104,0)),"")</f>
        <v/>
      </c>
      <c r="M256" s="14" t="str">
        <f aca="false">IFERROR(INDEX('Fault Master'!$D$5:$D$104,MATCH(G256,'Fault Master'!$A$5:$A$104,0)),"")</f>
        <v/>
      </c>
    </row>
    <row r="257" customFormat="false" ht="15" hidden="false" customHeight="true" outlineLevel="0" collapsed="false">
      <c r="A257" s="1" t="n">
        <v>252</v>
      </c>
      <c r="B257" s="13"/>
      <c r="F257" s="14" t="str">
        <f aca="false">IFERROR(INDEX('Operator Master'!$B$5:$B$504,MATCH(E257,'Operator Master'!$A$5:$A$504,0)),"")</f>
        <v/>
      </c>
      <c r="H257" s="14" t="str">
        <f aca="false">IFERROR(INDEX('Fault Master'!$B$5:$B$104,MATCH(G257,'Fault Master'!$A$5:$A$104,0)),"")</f>
        <v/>
      </c>
      <c r="I257" s="14" t="str">
        <f aca="false">IFERROR(INDEX('Fault Master'!$C$5:$C$104,MATCH(G257,'Fault Master'!$A$5:$A$104,0)),"")</f>
        <v/>
      </c>
      <c r="M257" s="14" t="str">
        <f aca="false">IFERROR(INDEX('Fault Master'!$D$5:$D$104,MATCH(G257,'Fault Master'!$A$5:$A$104,0)),"")</f>
        <v/>
      </c>
    </row>
    <row r="258" customFormat="false" ht="15" hidden="false" customHeight="true" outlineLevel="0" collapsed="false">
      <c r="A258" s="1" t="n">
        <v>253</v>
      </c>
      <c r="B258" s="13"/>
      <c r="F258" s="14" t="str">
        <f aca="false">IFERROR(INDEX('Operator Master'!$B$5:$B$504,MATCH(E258,'Operator Master'!$A$5:$A$504,0)),"")</f>
        <v/>
      </c>
      <c r="H258" s="14" t="str">
        <f aca="false">IFERROR(INDEX('Fault Master'!$B$5:$B$104,MATCH(G258,'Fault Master'!$A$5:$A$104,0)),"")</f>
        <v/>
      </c>
      <c r="I258" s="14" t="str">
        <f aca="false">IFERROR(INDEX('Fault Master'!$C$5:$C$104,MATCH(G258,'Fault Master'!$A$5:$A$104,0)),"")</f>
        <v/>
      </c>
      <c r="M258" s="14" t="str">
        <f aca="false">IFERROR(INDEX('Fault Master'!$D$5:$D$104,MATCH(G258,'Fault Master'!$A$5:$A$104,0)),"")</f>
        <v/>
      </c>
    </row>
    <row r="259" customFormat="false" ht="15" hidden="false" customHeight="true" outlineLevel="0" collapsed="false">
      <c r="A259" s="1" t="n">
        <v>254</v>
      </c>
      <c r="B259" s="13"/>
      <c r="F259" s="14" t="str">
        <f aca="false">IFERROR(INDEX('Operator Master'!$B$5:$B$504,MATCH(E259,'Operator Master'!$A$5:$A$504,0)),"")</f>
        <v/>
      </c>
      <c r="H259" s="14" t="str">
        <f aca="false">IFERROR(INDEX('Fault Master'!$B$5:$B$104,MATCH(G259,'Fault Master'!$A$5:$A$104,0)),"")</f>
        <v/>
      </c>
      <c r="I259" s="14" t="str">
        <f aca="false">IFERROR(INDEX('Fault Master'!$C$5:$C$104,MATCH(G259,'Fault Master'!$A$5:$A$104,0)),"")</f>
        <v/>
      </c>
      <c r="M259" s="14" t="str">
        <f aca="false">IFERROR(INDEX('Fault Master'!$D$5:$D$104,MATCH(G259,'Fault Master'!$A$5:$A$104,0)),"")</f>
        <v/>
      </c>
    </row>
    <row r="260" customFormat="false" ht="15" hidden="false" customHeight="true" outlineLevel="0" collapsed="false">
      <c r="A260" s="1" t="n">
        <v>255</v>
      </c>
      <c r="B260" s="13"/>
      <c r="F260" s="14" t="str">
        <f aca="false">IFERROR(INDEX('Operator Master'!$B$5:$B$504,MATCH(E260,'Operator Master'!$A$5:$A$504,0)),"")</f>
        <v/>
      </c>
      <c r="H260" s="14" t="str">
        <f aca="false">IFERROR(INDEX('Fault Master'!$B$5:$B$104,MATCH(G260,'Fault Master'!$A$5:$A$104,0)),"")</f>
        <v/>
      </c>
      <c r="I260" s="14" t="str">
        <f aca="false">IFERROR(INDEX('Fault Master'!$C$5:$C$104,MATCH(G260,'Fault Master'!$A$5:$A$104,0)),"")</f>
        <v/>
      </c>
      <c r="M260" s="14" t="str">
        <f aca="false">IFERROR(INDEX('Fault Master'!$D$5:$D$104,MATCH(G260,'Fault Master'!$A$5:$A$104,0)),"")</f>
        <v/>
      </c>
    </row>
    <row r="261" customFormat="false" ht="15" hidden="false" customHeight="true" outlineLevel="0" collapsed="false">
      <c r="A261" s="1" t="n">
        <v>256</v>
      </c>
      <c r="B261" s="13"/>
      <c r="F261" s="14" t="str">
        <f aca="false">IFERROR(INDEX('Operator Master'!$B$5:$B$504,MATCH(E261,'Operator Master'!$A$5:$A$504,0)),"")</f>
        <v/>
      </c>
      <c r="H261" s="14" t="str">
        <f aca="false">IFERROR(INDEX('Fault Master'!$B$5:$B$104,MATCH(G261,'Fault Master'!$A$5:$A$104,0)),"")</f>
        <v/>
      </c>
      <c r="I261" s="14" t="str">
        <f aca="false">IFERROR(INDEX('Fault Master'!$C$5:$C$104,MATCH(G261,'Fault Master'!$A$5:$A$104,0)),"")</f>
        <v/>
      </c>
      <c r="M261" s="14" t="str">
        <f aca="false">IFERROR(INDEX('Fault Master'!$D$5:$D$104,MATCH(G261,'Fault Master'!$A$5:$A$104,0)),"")</f>
        <v/>
      </c>
    </row>
    <row r="262" customFormat="false" ht="15" hidden="false" customHeight="true" outlineLevel="0" collapsed="false">
      <c r="A262" s="1" t="n">
        <v>257</v>
      </c>
      <c r="B262" s="13"/>
      <c r="F262" s="14" t="str">
        <f aca="false">IFERROR(INDEX('Operator Master'!$B$5:$B$504,MATCH(E262,'Operator Master'!$A$5:$A$504,0)),"")</f>
        <v/>
      </c>
      <c r="H262" s="14" t="str">
        <f aca="false">IFERROR(INDEX('Fault Master'!$B$5:$B$104,MATCH(G262,'Fault Master'!$A$5:$A$104,0)),"")</f>
        <v/>
      </c>
      <c r="I262" s="14" t="str">
        <f aca="false">IFERROR(INDEX('Fault Master'!$C$5:$C$104,MATCH(G262,'Fault Master'!$A$5:$A$104,0)),"")</f>
        <v/>
      </c>
      <c r="M262" s="14" t="str">
        <f aca="false">IFERROR(INDEX('Fault Master'!$D$5:$D$104,MATCH(G262,'Fault Master'!$A$5:$A$104,0)),"")</f>
        <v/>
      </c>
    </row>
    <row r="263" customFormat="false" ht="15" hidden="false" customHeight="true" outlineLevel="0" collapsed="false">
      <c r="A263" s="1" t="n">
        <v>258</v>
      </c>
      <c r="B263" s="13"/>
      <c r="F263" s="14" t="str">
        <f aca="false">IFERROR(INDEX('Operator Master'!$B$5:$B$504,MATCH(E263,'Operator Master'!$A$5:$A$504,0)),"")</f>
        <v/>
      </c>
      <c r="H263" s="14" t="str">
        <f aca="false">IFERROR(INDEX('Fault Master'!$B$5:$B$104,MATCH(G263,'Fault Master'!$A$5:$A$104,0)),"")</f>
        <v/>
      </c>
      <c r="I263" s="14" t="str">
        <f aca="false">IFERROR(INDEX('Fault Master'!$C$5:$C$104,MATCH(G263,'Fault Master'!$A$5:$A$104,0)),"")</f>
        <v/>
      </c>
      <c r="M263" s="14" t="str">
        <f aca="false">IFERROR(INDEX('Fault Master'!$D$5:$D$104,MATCH(G263,'Fault Master'!$A$5:$A$104,0)),"")</f>
        <v/>
      </c>
    </row>
    <row r="264" customFormat="false" ht="15" hidden="false" customHeight="true" outlineLevel="0" collapsed="false">
      <c r="A264" s="1" t="n">
        <v>259</v>
      </c>
      <c r="B264" s="13"/>
      <c r="F264" s="14" t="str">
        <f aca="false">IFERROR(INDEX('Operator Master'!$B$5:$B$504,MATCH(E264,'Operator Master'!$A$5:$A$504,0)),"")</f>
        <v/>
      </c>
      <c r="H264" s="14" t="str">
        <f aca="false">IFERROR(INDEX('Fault Master'!$B$5:$B$104,MATCH(G264,'Fault Master'!$A$5:$A$104,0)),"")</f>
        <v/>
      </c>
      <c r="I264" s="14" t="str">
        <f aca="false">IFERROR(INDEX('Fault Master'!$C$5:$C$104,MATCH(G264,'Fault Master'!$A$5:$A$104,0)),"")</f>
        <v/>
      </c>
      <c r="M264" s="14" t="str">
        <f aca="false">IFERROR(INDEX('Fault Master'!$D$5:$D$104,MATCH(G264,'Fault Master'!$A$5:$A$104,0)),"")</f>
        <v/>
      </c>
    </row>
    <row r="265" customFormat="false" ht="15" hidden="false" customHeight="true" outlineLevel="0" collapsed="false">
      <c r="A265" s="1" t="n">
        <v>260</v>
      </c>
      <c r="B265" s="13"/>
      <c r="F265" s="14" t="str">
        <f aca="false">IFERROR(INDEX('Operator Master'!$B$5:$B$504,MATCH(E265,'Operator Master'!$A$5:$A$504,0)),"")</f>
        <v/>
      </c>
      <c r="H265" s="14" t="str">
        <f aca="false">IFERROR(INDEX('Fault Master'!$B$5:$B$104,MATCH(G265,'Fault Master'!$A$5:$A$104,0)),"")</f>
        <v/>
      </c>
      <c r="I265" s="14" t="str">
        <f aca="false">IFERROR(INDEX('Fault Master'!$C$5:$C$104,MATCH(G265,'Fault Master'!$A$5:$A$104,0)),"")</f>
        <v/>
      </c>
      <c r="M265" s="14" t="str">
        <f aca="false">IFERROR(INDEX('Fault Master'!$D$5:$D$104,MATCH(G265,'Fault Master'!$A$5:$A$104,0)),"")</f>
        <v/>
      </c>
    </row>
    <row r="266" customFormat="false" ht="15" hidden="false" customHeight="true" outlineLevel="0" collapsed="false">
      <c r="A266" s="1" t="n">
        <v>261</v>
      </c>
      <c r="B266" s="13"/>
      <c r="F266" s="14" t="str">
        <f aca="false">IFERROR(INDEX('Operator Master'!$B$5:$B$504,MATCH(E266,'Operator Master'!$A$5:$A$504,0)),"")</f>
        <v/>
      </c>
      <c r="H266" s="14" t="str">
        <f aca="false">IFERROR(INDEX('Fault Master'!$B$5:$B$104,MATCH(G266,'Fault Master'!$A$5:$A$104,0)),"")</f>
        <v/>
      </c>
      <c r="I266" s="14" t="str">
        <f aca="false">IFERROR(INDEX('Fault Master'!$C$5:$C$104,MATCH(G266,'Fault Master'!$A$5:$A$104,0)),"")</f>
        <v/>
      </c>
      <c r="M266" s="14" t="str">
        <f aca="false">IFERROR(INDEX('Fault Master'!$D$5:$D$104,MATCH(G266,'Fault Master'!$A$5:$A$104,0)),"")</f>
        <v/>
      </c>
    </row>
    <row r="267" customFormat="false" ht="15" hidden="false" customHeight="true" outlineLevel="0" collapsed="false">
      <c r="A267" s="1" t="n">
        <v>262</v>
      </c>
      <c r="B267" s="13"/>
      <c r="F267" s="14" t="str">
        <f aca="false">IFERROR(INDEX('Operator Master'!$B$5:$B$504,MATCH(E267,'Operator Master'!$A$5:$A$504,0)),"")</f>
        <v/>
      </c>
      <c r="H267" s="14" t="str">
        <f aca="false">IFERROR(INDEX('Fault Master'!$B$5:$B$104,MATCH(G267,'Fault Master'!$A$5:$A$104,0)),"")</f>
        <v/>
      </c>
      <c r="I267" s="14" t="str">
        <f aca="false">IFERROR(INDEX('Fault Master'!$C$5:$C$104,MATCH(G267,'Fault Master'!$A$5:$A$104,0)),"")</f>
        <v/>
      </c>
      <c r="M267" s="14" t="str">
        <f aca="false">IFERROR(INDEX('Fault Master'!$D$5:$D$104,MATCH(G267,'Fault Master'!$A$5:$A$104,0)),"")</f>
        <v/>
      </c>
    </row>
    <row r="268" customFormat="false" ht="15" hidden="false" customHeight="true" outlineLevel="0" collapsed="false">
      <c r="A268" s="1" t="n">
        <v>263</v>
      </c>
      <c r="B268" s="13"/>
      <c r="F268" s="14" t="str">
        <f aca="false">IFERROR(INDEX('Operator Master'!$B$5:$B$504,MATCH(E268,'Operator Master'!$A$5:$A$504,0)),"")</f>
        <v/>
      </c>
      <c r="H268" s="14" t="str">
        <f aca="false">IFERROR(INDEX('Fault Master'!$B$5:$B$104,MATCH(G268,'Fault Master'!$A$5:$A$104,0)),"")</f>
        <v/>
      </c>
      <c r="I268" s="14" t="str">
        <f aca="false">IFERROR(INDEX('Fault Master'!$C$5:$C$104,MATCH(G268,'Fault Master'!$A$5:$A$104,0)),"")</f>
        <v/>
      </c>
      <c r="M268" s="14" t="str">
        <f aca="false">IFERROR(INDEX('Fault Master'!$D$5:$D$104,MATCH(G268,'Fault Master'!$A$5:$A$104,0)),"")</f>
        <v/>
      </c>
    </row>
    <row r="269" customFormat="false" ht="15" hidden="false" customHeight="true" outlineLevel="0" collapsed="false">
      <c r="A269" s="1" t="n">
        <v>264</v>
      </c>
      <c r="B269" s="13"/>
      <c r="F269" s="14" t="str">
        <f aca="false">IFERROR(INDEX('Operator Master'!$B$5:$B$504,MATCH(E269,'Operator Master'!$A$5:$A$504,0)),"")</f>
        <v/>
      </c>
      <c r="H269" s="14" t="str">
        <f aca="false">IFERROR(INDEX('Fault Master'!$B$5:$B$104,MATCH(G269,'Fault Master'!$A$5:$A$104,0)),"")</f>
        <v/>
      </c>
      <c r="I269" s="14" t="str">
        <f aca="false">IFERROR(INDEX('Fault Master'!$C$5:$C$104,MATCH(G269,'Fault Master'!$A$5:$A$104,0)),"")</f>
        <v/>
      </c>
      <c r="M269" s="14" t="str">
        <f aca="false">IFERROR(INDEX('Fault Master'!$D$5:$D$104,MATCH(G269,'Fault Master'!$A$5:$A$104,0)),"")</f>
        <v/>
      </c>
    </row>
    <row r="270" customFormat="false" ht="15" hidden="false" customHeight="true" outlineLevel="0" collapsed="false">
      <c r="A270" s="1" t="n">
        <v>265</v>
      </c>
      <c r="B270" s="13"/>
      <c r="F270" s="14" t="str">
        <f aca="false">IFERROR(INDEX('Operator Master'!$B$5:$B$504,MATCH(E270,'Operator Master'!$A$5:$A$504,0)),"")</f>
        <v/>
      </c>
      <c r="H270" s="14" t="str">
        <f aca="false">IFERROR(INDEX('Fault Master'!$B$5:$B$104,MATCH(G270,'Fault Master'!$A$5:$A$104,0)),"")</f>
        <v/>
      </c>
      <c r="I270" s="14" t="str">
        <f aca="false">IFERROR(INDEX('Fault Master'!$C$5:$C$104,MATCH(G270,'Fault Master'!$A$5:$A$104,0)),"")</f>
        <v/>
      </c>
      <c r="M270" s="14" t="str">
        <f aca="false">IFERROR(INDEX('Fault Master'!$D$5:$D$104,MATCH(G270,'Fault Master'!$A$5:$A$104,0)),"")</f>
        <v/>
      </c>
    </row>
    <row r="271" customFormat="false" ht="15" hidden="false" customHeight="true" outlineLevel="0" collapsed="false">
      <c r="A271" s="1" t="n">
        <v>266</v>
      </c>
      <c r="B271" s="13"/>
      <c r="F271" s="14" t="str">
        <f aca="false">IFERROR(INDEX('Operator Master'!$B$5:$B$504,MATCH(E271,'Operator Master'!$A$5:$A$504,0)),"")</f>
        <v/>
      </c>
      <c r="H271" s="14" t="str">
        <f aca="false">IFERROR(INDEX('Fault Master'!$B$5:$B$104,MATCH(G271,'Fault Master'!$A$5:$A$104,0)),"")</f>
        <v/>
      </c>
      <c r="I271" s="14" t="str">
        <f aca="false">IFERROR(INDEX('Fault Master'!$C$5:$C$104,MATCH(G271,'Fault Master'!$A$5:$A$104,0)),"")</f>
        <v/>
      </c>
      <c r="M271" s="14" t="str">
        <f aca="false">IFERROR(INDEX('Fault Master'!$D$5:$D$104,MATCH(G271,'Fault Master'!$A$5:$A$104,0)),"")</f>
        <v/>
      </c>
    </row>
    <row r="272" customFormat="false" ht="15" hidden="false" customHeight="true" outlineLevel="0" collapsed="false">
      <c r="A272" s="1" t="n">
        <v>267</v>
      </c>
      <c r="B272" s="13"/>
      <c r="F272" s="14" t="str">
        <f aca="false">IFERROR(INDEX('Operator Master'!$B$5:$B$504,MATCH(E272,'Operator Master'!$A$5:$A$504,0)),"")</f>
        <v/>
      </c>
      <c r="H272" s="14" t="str">
        <f aca="false">IFERROR(INDEX('Fault Master'!$B$5:$B$104,MATCH(G272,'Fault Master'!$A$5:$A$104,0)),"")</f>
        <v/>
      </c>
      <c r="I272" s="14" t="str">
        <f aca="false">IFERROR(INDEX('Fault Master'!$C$5:$C$104,MATCH(G272,'Fault Master'!$A$5:$A$104,0)),"")</f>
        <v/>
      </c>
      <c r="M272" s="14" t="str">
        <f aca="false">IFERROR(INDEX('Fault Master'!$D$5:$D$104,MATCH(G272,'Fault Master'!$A$5:$A$104,0)),"")</f>
        <v/>
      </c>
    </row>
    <row r="273" customFormat="false" ht="15" hidden="false" customHeight="true" outlineLevel="0" collapsed="false">
      <c r="A273" s="1" t="n">
        <v>268</v>
      </c>
      <c r="B273" s="13"/>
      <c r="F273" s="14" t="str">
        <f aca="false">IFERROR(INDEX('Operator Master'!$B$5:$B$504,MATCH(E273,'Operator Master'!$A$5:$A$504,0)),"")</f>
        <v/>
      </c>
      <c r="H273" s="14" t="str">
        <f aca="false">IFERROR(INDEX('Fault Master'!$B$5:$B$104,MATCH(G273,'Fault Master'!$A$5:$A$104,0)),"")</f>
        <v/>
      </c>
      <c r="I273" s="14" t="str">
        <f aca="false">IFERROR(INDEX('Fault Master'!$C$5:$C$104,MATCH(G273,'Fault Master'!$A$5:$A$104,0)),"")</f>
        <v/>
      </c>
      <c r="M273" s="14" t="str">
        <f aca="false">IFERROR(INDEX('Fault Master'!$D$5:$D$104,MATCH(G273,'Fault Master'!$A$5:$A$104,0)),"")</f>
        <v/>
      </c>
    </row>
    <row r="274" customFormat="false" ht="15" hidden="false" customHeight="true" outlineLevel="0" collapsed="false">
      <c r="A274" s="1" t="n">
        <v>269</v>
      </c>
      <c r="B274" s="13"/>
      <c r="F274" s="14" t="str">
        <f aca="false">IFERROR(INDEX('Operator Master'!$B$5:$B$504,MATCH(E274,'Operator Master'!$A$5:$A$504,0)),"")</f>
        <v/>
      </c>
      <c r="H274" s="14" t="str">
        <f aca="false">IFERROR(INDEX('Fault Master'!$B$5:$B$104,MATCH(G274,'Fault Master'!$A$5:$A$104,0)),"")</f>
        <v/>
      </c>
      <c r="I274" s="14" t="str">
        <f aca="false">IFERROR(INDEX('Fault Master'!$C$5:$C$104,MATCH(G274,'Fault Master'!$A$5:$A$104,0)),"")</f>
        <v/>
      </c>
      <c r="M274" s="14" t="str">
        <f aca="false">IFERROR(INDEX('Fault Master'!$D$5:$D$104,MATCH(G274,'Fault Master'!$A$5:$A$104,0)),"")</f>
        <v/>
      </c>
    </row>
    <row r="275" customFormat="false" ht="15" hidden="false" customHeight="true" outlineLevel="0" collapsed="false">
      <c r="A275" s="1" t="n">
        <v>270</v>
      </c>
      <c r="B275" s="13"/>
      <c r="F275" s="14" t="str">
        <f aca="false">IFERROR(INDEX('Operator Master'!$B$5:$B$504,MATCH(E275,'Operator Master'!$A$5:$A$504,0)),"")</f>
        <v/>
      </c>
      <c r="H275" s="14" t="str">
        <f aca="false">IFERROR(INDEX('Fault Master'!$B$5:$B$104,MATCH(G275,'Fault Master'!$A$5:$A$104,0)),"")</f>
        <v/>
      </c>
      <c r="I275" s="14" t="str">
        <f aca="false">IFERROR(INDEX('Fault Master'!$C$5:$C$104,MATCH(G275,'Fault Master'!$A$5:$A$104,0)),"")</f>
        <v/>
      </c>
      <c r="M275" s="14" t="str">
        <f aca="false">IFERROR(INDEX('Fault Master'!$D$5:$D$104,MATCH(G275,'Fault Master'!$A$5:$A$104,0)),"")</f>
        <v/>
      </c>
    </row>
    <row r="276" customFormat="false" ht="15" hidden="false" customHeight="true" outlineLevel="0" collapsed="false">
      <c r="A276" s="1" t="n">
        <v>271</v>
      </c>
      <c r="B276" s="13"/>
      <c r="F276" s="14" t="str">
        <f aca="false">IFERROR(INDEX('Operator Master'!$B$5:$B$504,MATCH(E276,'Operator Master'!$A$5:$A$504,0)),"")</f>
        <v/>
      </c>
      <c r="H276" s="14" t="str">
        <f aca="false">IFERROR(INDEX('Fault Master'!$B$5:$B$104,MATCH(G276,'Fault Master'!$A$5:$A$104,0)),"")</f>
        <v/>
      </c>
      <c r="I276" s="14" t="str">
        <f aca="false">IFERROR(INDEX('Fault Master'!$C$5:$C$104,MATCH(G276,'Fault Master'!$A$5:$A$104,0)),"")</f>
        <v/>
      </c>
      <c r="M276" s="14" t="str">
        <f aca="false">IFERROR(INDEX('Fault Master'!$D$5:$D$104,MATCH(G276,'Fault Master'!$A$5:$A$104,0)),"")</f>
        <v/>
      </c>
    </row>
    <row r="277" customFormat="false" ht="15" hidden="false" customHeight="true" outlineLevel="0" collapsed="false">
      <c r="A277" s="1" t="n">
        <v>272</v>
      </c>
      <c r="B277" s="13"/>
      <c r="F277" s="14" t="str">
        <f aca="false">IFERROR(INDEX('Operator Master'!$B$5:$B$504,MATCH(E277,'Operator Master'!$A$5:$A$504,0)),"")</f>
        <v/>
      </c>
      <c r="H277" s="14" t="str">
        <f aca="false">IFERROR(INDEX('Fault Master'!$B$5:$B$104,MATCH(G277,'Fault Master'!$A$5:$A$104,0)),"")</f>
        <v/>
      </c>
      <c r="I277" s="14" t="str">
        <f aca="false">IFERROR(INDEX('Fault Master'!$C$5:$C$104,MATCH(G277,'Fault Master'!$A$5:$A$104,0)),"")</f>
        <v/>
      </c>
      <c r="M277" s="14" t="str">
        <f aca="false">IFERROR(INDEX('Fault Master'!$D$5:$D$104,MATCH(G277,'Fault Master'!$A$5:$A$104,0)),"")</f>
        <v/>
      </c>
    </row>
    <row r="278" customFormat="false" ht="15" hidden="false" customHeight="true" outlineLevel="0" collapsed="false">
      <c r="A278" s="1" t="n">
        <v>273</v>
      </c>
      <c r="B278" s="13"/>
      <c r="F278" s="14" t="str">
        <f aca="false">IFERROR(INDEX('Operator Master'!$B$5:$B$504,MATCH(E278,'Operator Master'!$A$5:$A$504,0)),"")</f>
        <v/>
      </c>
      <c r="H278" s="14" t="str">
        <f aca="false">IFERROR(INDEX('Fault Master'!$B$5:$B$104,MATCH(G278,'Fault Master'!$A$5:$A$104,0)),"")</f>
        <v/>
      </c>
      <c r="I278" s="14" t="str">
        <f aca="false">IFERROR(INDEX('Fault Master'!$C$5:$C$104,MATCH(G278,'Fault Master'!$A$5:$A$104,0)),"")</f>
        <v/>
      </c>
      <c r="M278" s="14" t="str">
        <f aca="false">IFERROR(INDEX('Fault Master'!$D$5:$D$104,MATCH(G278,'Fault Master'!$A$5:$A$104,0)),"")</f>
        <v/>
      </c>
    </row>
    <row r="279" customFormat="false" ht="15" hidden="false" customHeight="true" outlineLevel="0" collapsed="false">
      <c r="A279" s="1" t="n">
        <v>274</v>
      </c>
      <c r="B279" s="13"/>
      <c r="F279" s="14" t="str">
        <f aca="false">IFERROR(INDEX('Operator Master'!$B$5:$B$504,MATCH(E279,'Operator Master'!$A$5:$A$504,0)),"")</f>
        <v/>
      </c>
      <c r="H279" s="14" t="str">
        <f aca="false">IFERROR(INDEX('Fault Master'!$B$5:$B$104,MATCH(G279,'Fault Master'!$A$5:$A$104,0)),"")</f>
        <v/>
      </c>
      <c r="I279" s="14" t="str">
        <f aca="false">IFERROR(INDEX('Fault Master'!$C$5:$C$104,MATCH(G279,'Fault Master'!$A$5:$A$104,0)),"")</f>
        <v/>
      </c>
      <c r="M279" s="14" t="str">
        <f aca="false">IFERROR(INDEX('Fault Master'!$D$5:$D$104,MATCH(G279,'Fault Master'!$A$5:$A$104,0)),"")</f>
        <v/>
      </c>
    </row>
    <row r="280" customFormat="false" ht="15" hidden="false" customHeight="true" outlineLevel="0" collapsed="false">
      <c r="A280" s="1" t="n">
        <v>275</v>
      </c>
      <c r="B280" s="13"/>
      <c r="F280" s="14" t="str">
        <f aca="false">IFERROR(INDEX('Operator Master'!$B$5:$B$504,MATCH(E280,'Operator Master'!$A$5:$A$504,0)),"")</f>
        <v/>
      </c>
      <c r="H280" s="14" t="str">
        <f aca="false">IFERROR(INDEX('Fault Master'!$B$5:$B$104,MATCH(G280,'Fault Master'!$A$5:$A$104,0)),"")</f>
        <v/>
      </c>
      <c r="I280" s="14" t="str">
        <f aca="false">IFERROR(INDEX('Fault Master'!$C$5:$C$104,MATCH(G280,'Fault Master'!$A$5:$A$104,0)),"")</f>
        <v/>
      </c>
      <c r="M280" s="14" t="str">
        <f aca="false">IFERROR(INDEX('Fault Master'!$D$5:$D$104,MATCH(G280,'Fault Master'!$A$5:$A$104,0)),"")</f>
        <v/>
      </c>
    </row>
    <row r="281" customFormat="false" ht="15" hidden="false" customHeight="true" outlineLevel="0" collapsed="false">
      <c r="A281" s="1" t="n">
        <v>276</v>
      </c>
      <c r="B281" s="13"/>
      <c r="F281" s="14" t="str">
        <f aca="false">IFERROR(INDEX('Operator Master'!$B$5:$B$504,MATCH(E281,'Operator Master'!$A$5:$A$504,0)),"")</f>
        <v/>
      </c>
      <c r="H281" s="14" t="str">
        <f aca="false">IFERROR(INDEX('Fault Master'!$B$5:$B$104,MATCH(G281,'Fault Master'!$A$5:$A$104,0)),"")</f>
        <v/>
      </c>
      <c r="I281" s="14" t="str">
        <f aca="false">IFERROR(INDEX('Fault Master'!$C$5:$C$104,MATCH(G281,'Fault Master'!$A$5:$A$104,0)),"")</f>
        <v/>
      </c>
      <c r="M281" s="14" t="str">
        <f aca="false">IFERROR(INDEX('Fault Master'!$D$5:$D$104,MATCH(G281,'Fault Master'!$A$5:$A$104,0)),"")</f>
        <v/>
      </c>
    </row>
    <row r="282" customFormat="false" ht="15" hidden="false" customHeight="true" outlineLevel="0" collapsed="false">
      <c r="A282" s="1" t="n">
        <v>277</v>
      </c>
      <c r="B282" s="13"/>
      <c r="F282" s="14" t="str">
        <f aca="false">IFERROR(INDEX('Operator Master'!$B$5:$B$504,MATCH(E282,'Operator Master'!$A$5:$A$504,0)),"")</f>
        <v/>
      </c>
      <c r="H282" s="14" t="str">
        <f aca="false">IFERROR(INDEX('Fault Master'!$B$5:$B$104,MATCH(G282,'Fault Master'!$A$5:$A$104,0)),"")</f>
        <v/>
      </c>
      <c r="I282" s="14" t="str">
        <f aca="false">IFERROR(INDEX('Fault Master'!$C$5:$C$104,MATCH(G282,'Fault Master'!$A$5:$A$104,0)),"")</f>
        <v/>
      </c>
      <c r="M282" s="14" t="str">
        <f aca="false">IFERROR(INDEX('Fault Master'!$D$5:$D$104,MATCH(G282,'Fault Master'!$A$5:$A$104,0)),"")</f>
        <v/>
      </c>
    </row>
    <row r="283" customFormat="false" ht="15" hidden="false" customHeight="true" outlineLevel="0" collapsed="false">
      <c r="A283" s="1" t="n">
        <v>278</v>
      </c>
      <c r="B283" s="13"/>
      <c r="F283" s="14" t="str">
        <f aca="false">IFERROR(INDEX('Operator Master'!$B$5:$B$504,MATCH(E283,'Operator Master'!$A$5:$A$504,0)),"")</f>
        <v/>
      </c>
      <c r="H283" s="14" t="str">
        <f aca="false">IFERROR(INDEX('Fault Master'!$B$5:$B$104,MATCH(G283,'Fault Master'!$A$5:$A$104,0)),"")</f>
        <v/>
      </c>
      <c r="I283" s="14" t="str">
        <f aca="false">IFERROR(INDEX('Fault Master'!$C$5:$C$104,MATCH(G283,'Fault Master'!$A$5:$A$104,0)),"")</f>
        <v/>
      </c>
      <c r="M283" s="14" t="str">
        <f aca="false">IFERROR(INDEX('Fault Master'!$D$5:$D$104,MATCH(G283,'Fault Master'!$A$5:$A$104,0)),"")</f>
        <v/>
      </c>
    </row>
    <row r="284" customFormat="false" ht="15" hidden="false" customHeight="true" outlineLevel="0" collapsed="false">
      <c r="A284" s="1" t="n">
        <v>279</v>
      </c>
      <c r="B284" s="13"/>
      <c r="F284" s="14" t="str">
        <f aca="false">IFERROR(INDEX('Operator Master'!$B$5:$B$504,MATCH(E284,'Operator Master'!$A$5:$A$504,0)),"")</f>
        <v/>
      </c>
      <c r="H284" s="14" t="str">
        <f aca="false">IFERROR(INDEX('Fault Master'!$B$5:$B$104,MATCH(G284,'Fault Master'!$A$5:$A$104,0)),"")</f>
        <v/>
      </c>
      <c r="I284" s="14" t="str">
        <f aca="false">IFERROR(INDEX('Fault Master'!$C$5:$C$104,MATCH(G284,'Fault Master'!$A$5:$A$104,0)),"")</f>
        <v/>
      </c>
      <c r="M284" s="14" t="str">
        <f aca="false">IFERROR(INDEX('Fault Master'!$D$5:$D$104,MATCH(G284,'Fault Master'!$A$5:$A$104,0)),"")</f>
        <v/>
      </c>
    </row>
    <row r="285" customFormat="false" ht="15" hidden="false" customHeight="true" outlineLevel="0" collapsed="false">
      <c r="A285" s="1" t="n">
        <v>280</v>
      </c>
      <c r="B285" s="13"/>
      <c r="F285" s="14" t="str">
        <f aca="false">IFERROR(INDEX('Operator Master'!$B$5:$B$504,MATCH(E285,'Operator Master'!$A$5:$A$504,0)),"")</f>
        <v/>
      </c>
      <c r="H285" s="14" t="str">
        <f aca="false">IFERROR(INDEX('Fault Master'!$B$5:$B$104,MATCH(G285,'Fault Master'!$A$5:$A$104,0)),"")</f>
        <v/>
      </c>
      <c r="I285" s="14" t="str">
        <f aca="false">IFERROR(INDEX('Fault Master'!$C$5:$C$104,MATCH(G285,'Fault Master'!$A$5:$A$104,0)),"")</f>
        <v/>
      </c>
      <c r="M285" s="14" t="str">
        <f aca="false">IFERROR(INDEX('Fault Master'!$D$5:$D$104,MATCH(G285,'Fault Master'!$A$5:$A$104,0)),"")</f>
        <v/>
      </c>
    </row>
    <row r="286" customFormat="false" ht="15" hidden="false" customHeight="true" outlineLevel="0" collapsed="false">
      <c r="A286" s="1" t="n">
        <v>281</v>
      </c>
      <c r="B286" s="13"/>
      <c r="F286" s="14" t="str">
        <f aca="false">IFERROR(INDEX('Operator Master'!$B$5:$B$504,MATCH(E286,'Operator Master'!$A$5:$A$504,0)),"")</f>
        <v/>
      </c>
      <c r="H286" s="14" t="str">
        <f aca="false">IFERROR(INDEX('Fault Master'!$B$5:$B$104,MATCH(G286,'Fault Master'!$A$5:$A$104,0)),"")</f>
        <v/>
      </c>
      <c r="I286" s="14" t="str">
        <f aca="false">IFERROR(INDEX('Fault Master'!$C$5:$C$104,MATCH(G286,'Fault Master'!$A$5:$A$104,0)),"")</f>
        <v/>
      </c>
      <c r="M286" s="14" t="str">
        <f aca="false">IFERROR(INDEX('Fault Master'!$D$5:$D$104,MATCH(G286,'Fault Master'!$A$5:$A$104,0)),"")</f>
        <v/>
      </c>
    </row>
    <row r="287" customFormat="false" ht="15" hidden="false" customHeight="true" outlineLevel="0" collapsed="false">
      <c r="A287" s="1" t="n">
        <v>282</v>
      </c>
      <c r="B287" s="13"/>
      <c r="F287" s="14" t="str">
        <f aca="false">IFERROR(INDEX('Operator Master'!$B$5:$B$504,MATCH(E287,'Operator Master'!$A$5:$A$504,0)),"")</f>
        <v/>
      </c>
      <c r="H287" s="14" t="str">
        <f aca="false">IFERROR(INDEX('Fault Master'!$B$5:$B$104,MATCH(G287,'Fault Master'!$A$5:$A$104,0)),"")</f>
        <v/>
      </c>
      <c r="I287" s="14" t="str">
        <f aca="false">IFERROR(INDEX('Fault Master'!$C$5:$C$104,MATCH(G287,'Fault Master'!$A$5:$A$104,0)),"")</f>
        <v/>
      </c>
      <c r="M287" s="14" t="str">
        <f aca="false">IFERROR(INDEX('Fault Master'!$D$5:$D$104,MATCH(G287,'Fault Master'!$A$5:$A$104,0)),"")</f>
        <v/>
      </c>
    </row>
    <row r="288" customFormat="false" ht="15" hidden="false" customHeight="true" outlineLevel="0" collapsed="false">
      <c r="A288" s="1" t="n">
        <v>283</v>
      </c>
      <c r="B288" s="13"/>
      <c r="F288" s="14" t="str">
        <f aca="false">IFERROR(INDEX('Operator Master'!$B$5:$B$504,MATCH(E288,'Operator Master'!$A$5:$A$504,0)),"")</f>
        <v/>
      </c>
      <c r="H288" s="14" t="str">
        <f aca="false">IFERROR(INDEX('Fault Master'!$B$5:$B$104,MATCH(G288,'Fault Master'!$A$5:$A$104,0)),"")</f>
        <v/>
      </c>
      <c r="I288" s="14" t="str">
        <f aca="false">IFERROR(INDEX('Fault Master'!$C$5:$C$104,MATCH(G288,'Fault Master'!$A$5:$A$104,0)),"")</f>
        <v/>
      </c>
      <c r="M288" s="14" t="str">
        <f aca="false">IFERROR(INDEX('Fault Master'!$D$5:$D$104,MATCH(G288,'Fault Master'!$A$5:$A$104,0)),"")</f>
        <v/>
      </c>
    </row>
    <row r="289" customFormat="false" ht="15" hidden="false" customHeight="true" outlineLevel="0" collapsed="false">
      <c r="A289" s="1" t="n">
        <v>284</v>
      </c>
      <c r="B289" s="13"/>
      <c r="F289" s="14" t="str">
        <f aca="false">IFERROR(INDEX('Operator Master'!$B$5:$B$504,MATCH(E289,'Operator Master'!$A$5:$A$504,0)),"")</f>
        <v/>
      </c>
      <c r="H289" s="14" t="str">
        <f aca="false">IFERROR(INDEX('Fault Master'!$B$5:$B$104,MATCH(G289,'Fault Master'!$A$5:$A$104,0)),"")</f>
        <v/>
      </c>
      <c r="I289" s="14" t="str">
        <f aca="false">IFERROR(INDEX('Fault Master'!$C$5:$C$104,MATCH(G289,'Fault Master'!$A$5:$A$104,0)),"")</f>
        <v/>
      </c>
      <c r="M289" s="14" t="str">
        <f aca="false">IFERROR(INDEX('Fault Master'!$D$5:$D$104,MATCH(G289,'Fault Master'!$A$5:$A$104,0)),"")</f>
        <v/>
      </c>
    </row>
    <row r="290" customFormat="false" ht="15" hidden="false" customHeight="true" outlineLevel="0" collapsed="false">
      <c r="A290" s="1" t="n">
        <v>285</v>
      </c>
      <c r="B290" s="13"/>
      <c r="F290" s="14" t="str">
        <f aca="false">IFERROR(INDEX('Operator Master'!$B$5:$B$504,MATCH(E290,'Operator Master'!$A$5:$A$504,0)),"")</f>
        <v/>
      </c>
      <c r="H290" s="14" t="str">
        <f aca="false">IFERROR(INDEX('Fault Master'!$B$5:$B$104,MATCH(G290,'Fault Master'!$A$5:$A$104,0)),"")</f>
        <v/>
      </c>
      <c r="I290" s="14" t="str">
        <f aca="false">IFERROR(INDEX('Fault Master'!$C$5:$C$104,MATCH(G290,'Fault Master'!$A$5:$A$104,0)),"")</f>
        <v/>
      </c>
      <c r="M290" s="14" t="str">
        <f aca="false">IFERROR(INDEX('Fault Master'!$D$5:$D$104,MATCH(G290,'Fault Master'!$A$5:$A$104,0)),"")</f>
        <v/>
      </c>
    </row>
    <row r="291" customFormat="false" ht="15" hidden="false" customHeight="true" outlineLevel="0" collapsed="false">
      <c r="A291" s="1" t="n">
        <v>286</v>
      </c>
      <c r="B291" s="13"/>
      <c r="F291" s="14" t="str">
        <f aca="false">IFERROR(INDEX('Operator Master'!$B$5:$B$504,MATCH(E291,'Operator Master'!$A$5:$A$504,0)),"")</f>
        <v/>
      </c>
      <c r="H291" s="14" t="str">
        <f aca="false">IFERROR(INDEX('Fault Master'!$B$5:$B$104,MATCH(G291,'Fault Master'!$A$5:$A$104,0)),"")</f>
        <v/>
      </c>
      <c r="I291" s="14" t="str">
        <f aca="false">IFERROR(INDEX('Fault Master'!$C$5:$C$104,MATCH(G291,'Fault Master'!$A$5:$A$104,0)),"")</f>
        <v/>
      </c>
      <c r="M291" s="14" t="str">
        <f aca="false">IFERROR(INDEX('Fault Master'!$D$5:$D$104,MATCH(G291,'Fault Master'!$A$5:$A$104,0)),"")</f>
        <v/>
      </c>
    </row>
    <row r="292" customFormat="false" ht="15" hidden="false" customHeight="true" outlineLevel="0" collapsed="false">
      <c r="A292" s="1" t="n">
        <v>287</v>
      </c>
      <c r="B292" s="13"/>
      <c r="F292" s="14" t="str">
        <f aca="false">IFERROR(INDEX('Operator Master'!$B$5:$B$504,MATCH(E292,'Operator Master'!$A$5:$A$504,0)),"")</f>
        <v/>
      </c>
      <c r="H292" s="14" t="str">
        <f aca="false">IFERROR(INDEX('Fault Master'!$B$5:$B$104,MATCH(G292,'Fault Master'!$A$5:$A$104,0)),"")</f>
        <v/>
      </c>
      <c r="I292" s="14" t="str">
        <f aca="false">IFERROR(INDEX('Fault Master'!$C$5:$C$104,MATCH(G292,'Fault Master'!$A$5:$A$104,0)),"")</f>
        <v/>
      </c>
      <c r="M292" s="14" t="str">
        <f aca="false">IFERROR(INDEX('Fault Master'!$D$5:$D$104,MATCH(G292,'Fault Master'!$A$5:$A$104,0)),"")</f>
        <v/>
      </c>
    </row>
    <row r="293" customFormat="false" ht="15" hidden="false" customHeight="true" outlineLevel="0" collapsed="false">
      <c r="A293" s="1" t="n">
        <v>288</v>
      </c>
      <c r="B293" s="13"/>
      <c r="F293" s="14" t="str">
        <f aca="false">IFERROR(INDEX('Operator Master'!$B$5:$B$504,MATCH(E293,'Operator Master'!$A$5:$A$504,0)),"")</f>
        <v/>
      </c>
      <c r="H293" s="14" t="str">
        <f aca="false">IFERROR(INDEX('Fault Master'!$B$5:$B$104,MATCH(G293,'Fault Master'!$A$5:$A$104,0)),"")</f>
        <v/>
      </c>
      <c r="I293" s="14" t="str">
        <f aca="false">IFERROR(INDEX('Fault Master'!$C$5:$C$104,MATCH(G293,'Fault Master'!$A$5:$A$104,0)),"")</f>
        <v/>
      </c>
      <c r="M293" s="14" t="str">
        <f aca="false">IFERROR(INDEX('Fault Master'!$D$5:$D$104,MATCH(G293,'Fault Master'!$A$5:$A$104,0)),"")</f>
        <v/>
      </c>
    </row>
    <row r="294" customFormat="false" ht="15" hidden="false" customHeight="true" outlineLevel="0" collapsed="false">
      <c r="A294" s="1" t="n">
        <v>289</v>
      </c>
      <c r="B294" s="13"/>
      <c r="F294" s="14" t="str">
        <f aca="false">IFERROR(INDEX('Operator Master'!$B$5:$B$504,MATCH(E294,'Operator Master'!$A$5:$A$504,0)),"")</f>
        <v/>
      </c>
      <c r="H294" s="14" t="str">
        <f aca="false">IFERROR(INDEX('Fault Master'!$B$5:$B$104,MATCH(G294,'Fault Master'!$A$5:$A$104,0)),"")</f>
        <v/>
      </c>
      <c r="I294" s="14" t="str">
        <f aca="false">IFERROR(INDEX('Fault Master'!$C$5:$C$104,MATCH(G294,'Fault Master'!$A$5:$A$104,0)),"")</f>
        <v/>
      </c>
      <c r="M294" s="14" t="str">
        <f aca="false">IFERROR(INDEX('Fault Master'!$D$5:$D$104,MATCH(G294,'Fault Master'!$A$5:$A$104,0)),"")</f>
        <v/>
      </c>
    </row>
    <row r="295" customFormat="false" ht="15" hidden="false" customHeight="true" outlineLevel="0" collapsed="false">
      <c r="A295" s="1" t="n">
        <v>290</v>
      </c>
      <c r="B295" s="13"/>
      <c r="F295" s="14" t="str">
        <f aca="false">IFERROR(INDEX('Operator Master'!$B$5:$B$504,MATCH(E295,'Operator Master'!$A$5:$A$504,0)),"")</f>
        <v/>
      </c>
      <c r="H295" s="14" t="str">
        <f aca="false">IFERROR(INDEX('Fault Master'!$B$5:$B$104,MATCH(G295,'Fault Master'!$A$5:$A$104,0)),"")</f>
        <v/>
      </c>
      <c r="I295" s="14" t="str">
        <f aca="false">IFERROR(INDEX('Fault Master'!$C$5:$C$104,MATCH(G295,'Fault Master'!$A$5:$A$104,0)),"")</f>
        <v/>
      </c>
      <c r="M295" s="14" t="str">
        <f aca="false">IFERROR(INDEX('Fault Master'!$D$5:$D$104,MATCH(G295,'Fault Master'!$A$5:$A$104,0)),"")</f>
        <v/>
      </c>
    </row>
    <row r="296" customFormat="false" ht="15" hidden="false" customHeight="true" outlineLevel="0" collapsed="false">
      <c r="A296" s="1" t="n">
        <v>291</v>
      </c>
      <c r="B296" s="13"/>
      <c r="F296" s="14" t="str">
        <f aca="false">IFERROR(INDEX('Operator Master'!$B$5:$B$504,MATCH(E296,'Operator Master'!$A$5:$A$504,0)),"")</f>
        <v/>
      </c>
      <c r="H296" s="14" t="str">
        <f aca="false">IFERROR(INDEX('Fault Master'!$B$5:$B$104,MATCH(G296,'Fault Master'!$A$5:$A$104,0)),"")</f>
        <v/>
      </c>
      <c r="I296" s="14" t="str">
        <f aca="false">IFERROR(INDEX('Fault Master'!$C$5:$C$104,MATCH(G296,'Fault Master'!$A$5:$A$104,0)),"")</f>
        <v/>
      </c>
      <c r="M296" s="14" t="str">
        <f aca="false">IFERROR(INDEX('Fault Master'!$D$5:$D$104,MATCH(G296,'Fault Master'!$A$5:$A$104,0)),"")</f>
        <v/>
      </c>
    </row>
    <row r="297" customFormat="false" ht="15" hidden="false" customHeight="true" outlineLevel="0" collapsed="false">
      <c r="A297" s="1" t="n">
        <v>292</v>
      </c>
      <c r="B297" s="13"/>
      <c r="F297" s="14" t="str">
        <f aca="false">IFERROR(INDEX('Operator Master'!$B$5:$B$504,MATCH(E297,'Operator Master'!$A$5:$A$504,0)),"")</f>
        <v/>
      </c>
      <c r="H297" s="14" t="str">
        <f aca="false">IFERROR(INDEX('Fault Master'!$B$5:$B$104,MATCH(G297,'Fault Master'!$A$5:$A$104,0)),"")</f>
        <v/>
      </c>
      <c r="I297" s="14" t="str">
        <f aca="false">IFERROR(INDEX('Fault Master'!$C$5:$C$104,MATCH(G297,'Fault Master'!$A$5:$A$104,0)),"")</f>
        <v/>
      </c>
      <c r="M297" s="14" t="str">
        <f aca="false">IFERROR(INDEX('Fault Master'!$D$5:$D$104,MATCH(G297,'Fault Master'!$A$5:$A$104,0)),"")</f>
        <v/>
      </c>
    </row>
    <row r="298" customFormat="false" ht="15" hidden="false" customHeight="true" outlineLevel="0" collapsed="false">
      <c r="A298" s="1" t="n">
        <v>293</v>
      </c>
      <c r="B298" s="13"/>
      <c r="F298" s="14" t="str">
        <f aca="false">IFERROR(INDEX('Operator Master'!$B$5:$B$504,MATCH(E298,'Operator Master'!$A$5:$A$504,0)),"")</f>
        <v/>
      </c>
      <c r="H298" s="14" t="str">
        <f aca="false">IFERROR(INDEX('Fault Master'!$B$5:$B$104,MATCH(G298,'Fault Master'!$A$5:$A$104,0)),"")</f>
        <v/>
      </c>
      <c r="I298" s="14" t="str">
        <f aca="false">IFERROR(INDEX('Fault Master'!$C$5:$C$104,MATCH(G298,'Fault Master'!$A$5:$A$104,0)),"")</f>
        <v/>
      </c>
      <c r="M298" s="14" t="str">
        <f aca="false">IFERROR(INDEX('Fault Master'!$D$5:$D$104,MATCH(G298,'Fault Master'!$A$5:$A$104,0)),"")</f>
        <v/>
      </c>
    </row>
    <row r="299" customFormat="false" ht="15" hidden="false" customHeight="true" outlineLevel="0" collapsed="false">
      <c r="A299" s="1" t="n">
        <v>294</v>
      </c>
      <c r="B299" s="13"/>
      <c r="F299" s="14" t="str">
        <f aca="false">IFERROR(INDEX('Operator Master'!$B$5:$B$504,MATCH(E299,'Operator Master'!$A$5:$A$504,0)),"")</f>
        <v/>
      </c>
      <c r="H299" s="14" t="str">
        <f aca="false">IFERROR(INDEX('Fault Master'!$B$5:$B$104,MATCH(G299,'Fault Master'!$A$5:$A$104,0)),"")</f>
        <v/>
      </c>
      <c r="I299" s="14" t="str">
        <f aca="false">IFERROR(INDEX('Fault Master'!$C$5:$C$104,MATCH(G299,'Fault Master'!$A$5:$A$104,0)),"")</f>
        <v/>
      </c>
      <c r="M299" s="14" t="str">
        <f aca="false">IFERROR(INDEX('Fault Master'!$D$5:$D$104,MATCH(G299,'Fault Master'!$A$5:$A$104,0)),"")</f>
        <v/>
      </c>
    </row>
    <row r="300" customFormat="false" ht="15" hidden="false" customHeight="true" outlineLevel="0" collapsed="false">
      <c r="A300" s="1" t="n">
        <v>295</v>
      </c>
      <c r="B300" s="13"/>
      <c r="F300" s="14" t="str">
        <f aca="false">IFERROR(INDEX('Operator Master'!$B$5:$B$504,MATCH(E300,'Operator Master'!$A$5:$A$504,0)),"")</f>
        <v/>
      </c>
      <c r="H300" s="14" t="str">
        <f aca="false">IFERROR(INDEX('Fault Master'!$B$5:$B$104,MATCH(G300,'Fault Master'!$A$5:$A$104,0)),"")</f>
        <v/>
      </c>
      <c r="I300" s="14" t="str">
        <f aca="false">IFERROR(INDEX('Fault Master'!$C$5:$C$104,MATCH(G300,'Fault Master'!$A$5:$A$104,0)),"")</f>
        <v/>
      </c>
      <c r="M300" s="14" t="str">
        <f aca="false">IFERROR(INDEX('Fault Master'!$D$5:$D$104,MATCH(G300,'Fault Master'!$A$5:$A$104,0)),"")</f>
        <v/>
      </c>
    </row>
    <row r="301" customFormat="false" ht="15" hidden="false" customHeight="true" outlineLevel="0" collapsed="false">
      <c r="A301" s="1" t="n">
        <v>296</v>
      </c>
      <c r="B301" s="13"/>
      <c r="F301" s="14" t="str">
        <f aca="false">IFERROR(INDEX('Operator Master'!$B$5:$B$504,MATCH(E301,'Operator Master'!$A$5:$A$504,0)),"")</f>
        <v/>
      </c>
      <c r="H301" s="14" t="str">
        <f aca="false">IFERROR(INDEX('Fault Master'!$B$5:$B$104,MATCH(G301,'Fault Master'!$A$5:$A$104,0)),"")</f>
        <v/>
      </c>
      <c r="I301" s="14" t="str">
        <f aca="false">IFERROR(INDEX('Fault Master'!$C$5:$C$104,MATCH(G301,'Fault Master'!$A$5:$A$104,0)),"")</f>
        <v/>
      </c>
      <c r="M301" s="14" t="str">
        <f aca="false">IFERROR(INDEX('Fault Master'!$D$5:$D$104,MATCH(G301,'Fault Master'!$A$5:$A$104,0)),"")</f>
        <v/>
      </c>
    </row>
    <row r="302" customFormat="false" ht="15" hidden="false" customHeight="true" outlineLevel="0" collapsed="false">
      <c r="A302" s="1" t="n">
        <v>297</v>
      </c>
      <c r="B302" s="13"/>
      <c r="F302" s="14" t="str">
        <f aca="false">IFERROR(INDEX('Operator Master'!$B$5:$B$504,MATCH(E302,'Operator Master'!$A$5:$A$504,0)),"")</f>
        <v/>
      </c>
      <c r="H302" s="14" t="str">
        <f aca="false">IFERROR(INDEX('Fault Master'!$B$5:$B$104,MATCH(G302,'Fault Master'!$A$5:$A$104,0)),"")</f>
        <v/>
      </c>
      <c r="I302" s="14" t="str">
        <f aca="false">IFERROR(INDEX('Fault Master'!$C$5:$C$104,MATCH(G302,'Fault Master'!$A$5:$A$104,0)),"")</f>
        <v/>
      </c>
      <c r="M302" s="14" t="str">
        <f aca="false">IFERROR(INDEX('Fault Master'!$D$5:$D$104,MATCH(G302,'Fault Master'!$A$5:$A$104,0)),"")</f>
        <v/>
      </c>
    </row>
    <row r="303" customFormat="false" ht="15" hidden="false" customHeight="true" outlineLevel="0" collapsed="false">
      <c r="A303" s="1" t="n">
        <v>298</v>
      </c>
      <c r="B303" s="13"/>
      <c r="F303" s="14" t="str">
        <f aca="false">IFERROR(INDEX('Operator Master'!$B$5:$B$504,MATCH(E303,'Operator Master'!$A$5:$A$504,0)),"")</f>
        <v/>
      </c>
      <c r="H303" s="14" t="str">
        <f aca="false">IFERROR(INDEX('Fault Master'!$B$5:$B$104,MATCH(G303,'Fault Master'!$A$5:$A$104,0)),"")</f>
        <v/>
      </c>
      <c r="I303" s="14" t="str">
        <f aca="false">IFERROR(INDEX('Fault Master'!$C$5:$C$104,MATCH(G303,'Fault Master'!$A$5:$A$104,0)),"")</f>
        <v/>
      </c>
      <c r="M303" s="14" t="str">
        <f aca="false">IFERROR(INDEX('Fault Master'!$D$5:$D$104,MATCH(G303,'Fault Master'!$A$5:$A$104,0)),"")</f>
        <v/>
      </c>
    </row>
    <row r="304" customFormat="false" ht="15" hidden="false" customHeight="true" outlineLevel="0" collapsed="false">
      <c r="A304" s="1" t="n">
        <v>299</v>
      </c>
      <c r="B304" s="13"/>
      <c r="F304" s="14" t="str">
        <f aca="false">IFERROR(INDEX('Operator Master'!$B$5:$B$504,MATCH(E304,'Operator Master'!$A$5:$A$504,0)),"")</f>
        <v/>
      </c>
      <c r="H304" s="14" t="str">
        <f aca="false">IFERROR(INDEX('Fault Master'!$B$5:$B$104,MATCH(G304,'Fault Master'!$A$5:$A$104,0)),"")</f>
        <v/>
      </c>
      <c r="I304" s="14" t="str">
        <f aca="false">IFERROR(INDEX('Fault Master'!$C$5:$C$104,MATCH(G304,'Fault Master'!$A$5:$A$104,0)),"")</f>
        <v/>
      </c>
      <c r="M304" s="14" t="str">
        <f aca="false">IFERROR(INDEX('Fault Master'!$D$5:$D$104,MATCH(G304,'Fault Master'!$A$5:$A$104,0)),"")</f>
        <v/>
      </c>
    </row>
    <row r="305" customFormat="false" ht="15" hidden="false" customHeight="true" outlineLevel="0" collapsed="false">
      <c r="A305" s="1" t="n">
        <v>300</v>
      </c>
      <c r="B305" s="13"/>
      <c r="F305" s="14" t="str">
        <f aca="false">IFERROR(INDEX('Operator Master'!$B$5:$B$504,MATCH(E305,'Operator Master'!$A$5:$A$504,0)),"")</f>
        <v/>
      </c>
      <c r="H305" s="14" t="str">
        <f aca="false">IFERROR(INDEX('Fault Master'!$B$5:$B$104,MATCH(G305,'Fault Master'!$A$5:$A$104,0)),"")</f>
        <v/>
      </c>
      <c r="I305" s="14" t="str">
        <f aca="false">IFERROR(INDEX('Fault Master'!$C$5:$C$104,MATCH(G305,'Fault Master'!$A$5:$A$104,0)),"")</f>
        <v/>
      </c>
      <c r="M305" s="14" t="str">
        <f aca="false">IFERROR(INDEX('Fault Master'!$D$5:$D$104,MATCH(G305,'Fault Master'!$A$5:$A$104,0)),"")</f>
        <v/>
      </c>
    </row>
    <row r="306" customFormat="false" ht="15" hidden="false" customHeight="true" outlineLevel="0" collapsed="false">
      <c r="A306" s="1" t="n">
        <v>301</v>
      </c>
      <c r="B306" s="13"/>
      <c r="F306" s="14" t="str">
        <f aca="false">IFERROR(INDEX('Operator Master'!$B$5:$B$504,MATCH(E306,'Operator Master'!$A$5:$A$504,0)),"")</f>
        <v/>
      </c>
      <c r="H306" s="14" t="str">
        <f aca="false">IFERROR(INDEX('Fault Master'!$B$5:$B$104,MATCH(G306,'Fault Master'!$A$5:$A$104,0)),"")</f>
        <v/>
      </c>
      <c r="I306" s="14" t="str">
        <f aca="false">IFERROR(INDEX('Fault Master'!$C$5:$C$104,MATCH(G306,'Fault Master'!$A$5:$A$104,0)),"")</f>
        <v/>
      </c>
      <c r="M306" s="14" t="str">
        <f aca="false">IFERROR(INDEX('Fault Master'!$D$5:$D$104,MATCH(G306,'Fault Master'!$A$5:$A$104,0)),"")</f>
        <v/>
      </c>
    </row>
    <row r="307" customFormat="false" ht="15" hidden="false" customHeight="true" outlineLevel="0" collapsed="false">
      <c r="A307" s="1" t="n">
        <v>302</v>
      </c>
      <c r="B307" s="13"/>
      <c r="F307" s="14" t="str">
        <f aca="false">IFERROR(INDEX('Operator Master'!$B$5:$B$504,MATCH(E307,'Operator Master'!$A$5:$A$504,0)),"")</f>
        <v/>
      </c>
      <c r="H307" s="14" t="str">
        <f aca="false">IFERROR(INDEX('Fault Master'!$B$5:$B$104,MATCH(G307,'Fault Master'!$A$5:$A$104,0)),"")</f>
        <v/>
      </c>
      <c r="I307" s="14" t="str">
        <f aca="false">IFERROR(INDEX('Fault Master'!$C$5:$C$104,MATCH(G307,'Fault Master'!$A$5:$A$104,0)),"")</f>
        <v/>
      </c>
      <c r="M307" s="14" t="str">
        <f aca="false">IFERROR(INDEX('Fault Master'!$D$5:$D$104,MATCH(G307,'Fault Master'!$A$5:$A$104,0)),"")</f>
        <v/>
      </c>
    </row>
    <row r="308" customFormat="false" ht="15" hidden="false" customHeight="true" outlineLevel="0" collapsed="false">
      <c r="A308" s="1" t="n">
        <v>303</v>
      </c>
      <c r="B308" s="13"/>
      <c r="F308" s="14" t="str">
        <f aca="false">IFERROR(INDEX('Operator Master'!$B$5:$B$504,MATCH(E308,'Operator Master'!$A$5:$A$504,0)),"")</f>
        <v/>
      </c>
      <c r="H308" s="14" t="str">
        <f aca="false">IFERROR(INDEX('Fault Master'!$B$5:$B$104,MATCH(G308,'Fault Master'!$A$5:$A$104,0)),"")</f>
        <v/>
      </c>
      <c r="I308" s="14" t="str">
        <f aca="false">IFERROR(INDEX('Fault Master'!$C$5:$C$104,MATCH(G308,'Fault Master'!$A$5:$A$104,0)),"")</f>
        <v/>
      </c>
      <c r="M308" s="14" t="str">
        <f aca="false">IFERROR(INDEX('Fault Master'!$D$5:$D$104,MATCH(G308,'Fault Master'!$A$5:$A$104,0)),"")</f>
        <v/>
      </c>
    </row>
    <row r="309" customFormat="false" ht="15" hidden="false" customHeight="true" outlineLevel="0" collapsed="false">
      <c r="A309" s="1" t="n">
        <v>304</v>
      </c>
      <c r="B309" s="13"/>
      <c r="F309" s="14" t="str">
        <f aca="false">IFERROR(INDEX('Operator Master'!$B$5:$B$504,MATCH(E309,'Operator Master'!$A$5:$A$504,0)),"")</f>
        <v/>
      </c>
      <c r="H309" s="14" t="str">
        <f aca="false">IFERROR(INDEX('Fault Master'!$B$5:$B$104,MATCH(G309,'Fault Master'!$A$5:$A$104,0)),"")</f>
        <v/>
      </c>
      <c r="I309" s="14" t="str">
        <f aca="false">IFERROR(INDEX('Fault Master'!$C$5:$C$104,MATCH(G309,'Fault Master'!$A$5:$A$104,0)),"")</f>
        <v/>
      </c>
      <c r="M309" s="14" t="str">
        <f aca="false">IFERROR(INDEX('Fault Master'!$D$5:$D$104,MATCH(G309,'Fault Master'!$A$5:$A$104,0)),"")</f>
        <v/>
      </c>
    </row>
    <row r="310" customFormat="false" ht="15" hidden="false" customHeight="true" outlineLevel="0" collapsed="false">
      <c r="A310" s="1" t="n">
        <v>305</v>
      </c>
      <c r="B310" s="13"/>
      <c r="F310" s="14" t="str">
        <f aca="false">IFERROR(INDEX('Operator Master'!$B$5:$B$504,MATCH(E310,'Operator Master'!$A$5:$A$504,0)),"")</f>
        <v/>
      </c>
      <c r="H310" s="14" t="str">
        <f aca="false">IFERROR(INDEX('Fault Master'!$B$5:$B$104,MATCH(G310,'Fault Master'!$A$5:$A$104,0)),"")</f>
        <v/>
      </c>
      <c r="I310" s="14" t="str">
        <f aca="false">IFERROR(INDEX('Fault Master'!$C$5:$C$104,MATCH(G310,'Fault Master'!$A$5:$A$104,0)),"")</f>
        <v/>
      </c>
      <c r="M310" s="14" t="str">
        <f aca="false">IFERROR(INDEX('Fault Master'!$D$5:$D$104,MATCH(G310,'Fault Master'!$A$5:$A$104,0)),"")</f>
        <v/>
      </c>
    </row>
    <row r="311" customFormat="false" ht="15" hidden="false" customHeight="true" outlineLevel="0" collapsed="false">
      <c r="A311" s="1" t="n">
        <v>306</v>
      </c>
      <c r="B311" s="13"/>
      <c r="F311" s="14" t="str">
        <f aca="false">IFERROR(INDEX('Operator Master'!$B$5:$B$504,MATCH(E311,'Operator Master'!$A$5:$A$504,0)),"")</f>
        <v/>
      </c>
      <c r="H311" s="14" t="str">
        <f aca="false">IFERROR(INDEX('Fault Master'!$B$5:$B$104,MATCH(G311,'Fault Master'!$A$5:$A$104,0)),"")</f>
        <v/>
      </c>
      <c r="I311" s="14" t="str">
        <f aca="false">IFERROR(INDEX('Fault Master'!$C$5:$C$104,MATCH(G311,'Fault Master'!$A$5:$A$104,0)),"")</f>
        <v/>
      </c>
      <c r="M311" s="14" t="str">
        <f aca="false">IFERROR(INDEX('Fault Master'!$D$5:$D$104,MATCH(G311,'Fault Master'!$A$5:$A$104,0)),"")</f>
        <v/>
      </c>
    </row>
    <row r="312" customFormat="false" ht="15" hidden="false" customHeight="true" outlineLevel="0" collapsed="false">
      <c r="A312" s="1" t="n">
        <v>307</v>
      </c>
      <c r="B312" s="13"/>
      <c r="F312" s="14" t="str">
        <f aca="false">IFERROR(INDEX('Operator Master'!$B$5:$B$504,MATCH(E312,'Operator Master'!$A$5:$A$504,0)),"")</f>
        <v/>
      </c>
      <c r="H312" s="14" t="str">
        <f aca="false">IFERROR(INDEX('Fault Master'!$B$5:$B$104,MATCH(G312,'Fault Master'!$A$5:$A$104,0)),"")</f>
        <v/>
      </c>
      <c r="I312" s="14" t="str">
        <f aca="false">IFERROR(INDEX('Fault Master'!$C$5:$C$104,MATCH(G312,'Fault Master'!$A$5:$A$104,0)),"")</f>
        <v/>
      </c>
      <c r="M312" s="14" t="str">
        <f aca="false">IFERROR(INDEX('Fault Master'!$D$5:$D$104,MATCH(G312,'Fault Master'!$A$5:$A$104,0)),"")</f>
        <v/>
      </c>
    </row>
    <row r="313" customFormat="false" ht="15" hidden="false" customHeight="true" outlineLevel="0" collapsed="false">
      <c r="A313" s="1" t="n">
        <v>308</v>
      </c>
      <c r="B313" s="13"/>
      <c r="F313" s="14" t="str">
        <f aca="false">IFERROR(INDEX('Operator Master'!$B$5:$B$504,MATCH(E313,'Operator Master'!$A$5:$A$504,0)),"")</f>
        <v/>
      </c>
      <c r="H313" s="14" t="str">
        <f aca="false">IFERROR(INDEX('Fault Master'!$B$5:$B$104,MATCH(G313,'Fault Master'!$A$5:$A$104,0)),"")</f>
        <v/>
      </c>
      <c r="I313" s="14" t="str">
        <f aca="false">IFERROR(INDEX('Fault Master'!$C$5:$C$104,MATCH(G313,'Fault Master'!$A$5:$A$104,0)),"")</f>
        <v/>
      </c>
      <c r="M313" s="14" t="str">
        <f aca="false">IFERROR(INDEX('Fault Master'!$D$5:$D$104,MATCH(G313,'Fault Master'!$A$5:$A$104,0)),"")</f>
        <v/>
      </c>
    </row>
    <row r="314" customFormat="false" ht="15" hidden="false" customHeight="true" outlineLevel="0" collapsed="false">
      <c r="A314" s="1" t="n">
        <v>309</v>
      </c>
      <c r="B314" s="13"/>
      <c r="F314" s="14" t="str">
        <f aca="false">IFERROR(INDEX('Operator Master'!$B$5:$B$504,MATCH(E314,'Operator Master'!$A$5:$A$504,0)),"")</f>
        <v/>
      </c>
      <c r="H314" s="14" t="str">
        <f aca="false">IFERROR(INDEX('Fault Master'!$B$5:$B$104,MATCH(G314,'Fault Master'!$A$5:$A$104,0)),"")</f>
        <v/>
      </c>
      <c r="I314" s="14" t="str">
        <f aca="false">IFERROR(INDEX('Fault Master'!$C$5:$C$104,MATCH(G314,'Fault Master'!$A$5:$A$104,0)),"")</f>
        <v/>
      </c>
      <c r="M314" s="14" t="str">
        <f aca="false">IFERROR(INDEX('Fault Master'!$D$5:$D$104,MATCH(G314,'Fault Master'!$A$5:$A$104,0)),"")</f>
        <v/>
      </c>
    </row>
    <row r="315" customFormat="false" ht="15" hidden="false" customHeight="true" outlineLevel="0" collapsed="false">
      <c r="A315" s="1" t="n">
        <v>310</v>
      </c>
      <c r="B315" s="13"/>
      <c r="F315" s="14" t="str">
        <f aca="false">IFERROR(INDEX('Operator Master'!$B$5:$B$504,MATCH(E315,'Operator Master'!$A$5:$A$504,0)),"")</f>
        <v/>
      </c>
      <c r="H315" s="14" t="str">
        <f aca="false">IFERROR(INDEX('Fault Master'!$B$5:$B$104,MATCH(G315,'Fault Master'!$A$5:$A$104,0)),"")</f>
        <v/>
      </c>
      <c r="I315" s="14" t="str">
        <f aca="false">IFERROR(INDEX('Fault Master'!$C$5:$C$104,MATCH(G315,'Fault Master'!$A$5:$A$104,0)),"")</f>
        <v/>
      </c>
      <c r="M315" s="14" t="str">
        <f aca="false">IFERROR(INDEX('Fault Master'!$D$5:$D$104,MATCH(G315,'Fault Master'!$A$5:$A$104,0)),"")</f>
        <v/>
      </c>
    </row>
    <row r="316" customFormat="false" ht="15" hidden="false" customHeight="true" outlineLevel="0" collapsed="false">
      <c r="A316" s="1" t="n">
        <v>311</v>
      </c>
      <c r="B316" s="13"/>
      <c r="F316" s="14" t="str">
        <f aca="false">IFERROR(INDEX('Operator Master'!$B$5:$B$504,MATCH(E316,'Operator Master'!$A$5:$A$504,0)),"")</f>
        <v/>
      </c>
      <c r="H316" s="14" t="str">
        <f aca="false">IFERROR(INDEX('Fault Master'!$B$5:$B$104,MATCH(G316,'Fault Master'!$A$5:$A$104,0)),"")</f>
        <v/>
      </c>
      <c r="I316" s="14" t="str">
        <f aca="false">IFERROR(INDEX('Fault Master'!$C$5:$C$104,MATCH(G316,'Fault Master'!$A$5:$A$104,0)),"")</f>
        <v/>
      </c>
      <c r="M316" s="14" t="str">
        <f aca="false">IFERROR(INDEX('Fault Master'!$D$5:$D$104,MATCH(G316,'Fault Master'!$A$5:$A$104,0)),"")</f>
        <v/>
      </c>
    </row>
    <row r="317" customFormat="false" ht="15" hidden="false" customHeight="true" outlineLevel="0" collapsed="false">
      <c r="A317" s="1" t="n">
        <v>312</v>
      </c>
      <c r="B317" s="13"/>
      <c r="F317" s="14" t="str">
        <f aca="false">IFERROR(INDEX('Operator Master'!$B$5:$B$504,MATCH(E317,'Operator Master'!$A$5:$A$504,0)),"")</f>
        <v/>
      </c>
      <c r="H317" s="14" t="str">
        <f aca="false">IFERROR(INDEX('Fault Master'!$B$5:$B$104,MATCH(G317,'Fault Master'!$A$5:$A$104,0)),"")</f>
        <v/>
      </c>
      <c r="I317" s="14" t="str">
        <f aca="false">IFERROR(INDEX('Fault Master'!$C$5:$C$104,MATCH(G317,'Fault Master'!$A$5:$A$104,0)),"")</f>
        <v/>
      </c>
      <c r="M317" s="14" t="str">
        <f aca="false">IFERROR(INDEX('Fault Master'!$D$5:$D$104,MATCH(G317,'Fault Master'!$A$5:$A$104,0)),"")</f>
        <v/>
      </c>
    </row>
    <row r="318" customFormat="false" ht="15" hidden="false" customHeight="true" outlineLevel="0" collapsed="false">
      <c r="A318" s="1" t="n">
        <v>313</v>
      </c>
      <c r="B318" s="13"/>
      <c r="F318" s="14" t="str">
        <f aca="false">IFERROR(INDEX('Operator Master'!$B$5:$B$504,MATCH(E318,'Operator Master'!$A$5:$A$504,0)),"")</f>
        <v/>
      </c>
      <c r="H318" s="14" t="str">
        <f aca="false">IFERROR(INDEX('Fault Master'!$B$5:$B$104,MATCH(G318,'Fault Master'!$A$5:$A$104,0)),"")</f>
        <v/>
      </c>
      <c r="I318" s="14" t="str">
        <f aca="false">IFERROR(INDEX('Fault Master'!$C$5:$C$104,MATCH(G318,'Fault Master'!$A$5:$A$104,0)),"")</f>
        <v/>
      </c>
      <c r="M318" s="14" t="str">
        <f aca="false">IFERROR(INDEX('Fault Master'!$D$5:$D$104,MATCH(G318,'Fault Master'!$A$5:$A$104,0)),"")</f>
        <v/>
      </c>
    </row>
    <row r="319" customFormat="false" ht="15" hidden="false" customHeight="true" outlineLevel="0" collapsed="false">
      <c r="A319" s="1" t="n">
        <v>314</v>
      </c>
      <c r="B319" s="13"/>
      <c r="F319" s="14" t="str">
        <f aca="false">IFERROR(INDEX('Operator Master'!$B$5:$B$504,MATCH(E319,'Operator Master'!$A$5:$A$504,0)),"")</f>
        <v/>
      </c>
      <c r="H319" s="14" t="str">
        <f aca="false">IFERROR(INDEX('Fault Master'!$B$5:$B$104,MATCH(G319,'Fault Master'!$A$5:$A$104,0)),"")</f>
        <v/>
      </c>
      <c r="I319" s="14" t="str">
        <f aca="false">IFERROR(INDEX('Fault Master'!$C$5:$C$104,MATCH(G319,'Fault Master'!$A$5:$A$104,0)),"")</f>
        <v/>
      </c>
      <c r="M319" s="14" t="str">
        <f aca="false">IFERROR(INDEX('Fault Master'!$D$5:$D$104,MATCH(G319,'Fault Master'!$A$5:$A$104,0)),"")</f>
        <v/>
      </c>
    </row>
    <row r="320" customFormat="false" ht="15" hidden="false" customHeight="true" outlineLevel="0" collapsed="false">
      <c r="A320" s="1" t="n">
        <v>315</v>
      </c>
      <c r="B320" s="13"/>
      <c r="F320" s="14" t="str">
        <f aca="false">IFERROR(INDEX('Operator Master'!$B$5:$B$504,MATCH(E320,'Operator Master'!$A$5:$A$504,0)),"")</f>
        <v/>
      </c>
      <c r="H320" s="14" t="str">
        <f aca="false">IFERROR(INDEX('Fault Master'!$B$5:$B$104,MATCH(G320,'Fault Master'!$A$5:$A$104,0)),"")</f>
        <v/>
      </c>
      <c r="I320" s="14" t="str">
        <f aca="false">IFERROR(INDEX('Fault Master'!$C$5:$C$104,MATCH(G320,'Fault Master'!$A$5:$A$104,0)),"")</f>
        <v/>
      </c>
      <c r="M320" s="14" t="str">
        <f aca="false">IFERROR(INDEX('Fault Master'!$D$5:$D$104,MATCH(G320,'Fault Master'!$A$5:$A$104,0)),"")</f>
        <v/>
      </c>
    </row>
    <row r="321" customFormat="false" ht="15" hidden="false" customHeight="true" outlineLevel="0" collapsed="false">
      <c r="A321" s="1" t="n">
        <v>316</v>
      </c>
      <c r="B321" s="13"/>
      <c r="F321" s="14" t="str">
        <f aca="false">IFERROR(INDEX('Operator Master'!$B$5:$B$504,MATCH(E321,'Operator Master'!$A$5:$A$504,0)),"")</f>
        <v/>
      </c>
      <c r="H321" s="14" t="str">
        <f aca="false">IFERROR(INDEX('Fault Master'!$B$5:$B$104,MATCH(G321,'Fault Master'!$A$5:$A$104,0)),"")</f>
        <v/>
      </c>
      <c r="I321" s="14" t="str">
        <f aca="false">IFERROR(INDEX('Fault Master'!$C$5:$C$104,MATCH(G321,'Fault Master'!$A$5:$A$104,0)),"")</f>
        <v/>
      </c>
      <c r="M321" s="14" t="str">
        <f aca="false">IFERROR(INDEX('Fault Master'!$D$5:$D$104,MATCH(G321,'Fault Master'!$A$5:$A$104,0)),"")</f>
        <v/>
      </c>
    </row>
    <row r="322" customFormat="false" ht="15" hidden="false" customHeight="true" outlineLevel="0" collapsed="false">
      <c r="A322" s="1" t="n">
        <v>317</v>
      </c>
      <c r="B322" s="13"/>
      <c r="F322" s="14" t="str">
        <f aca="false">IFERROR(INDEX('Operator Master'!$B$5:$B$504,MATCH(E322,'Operator Master'!$A$5:$A$504,0)),"")</f>
        <v/>
      </c>
      <c r="H322" s="14" t="str">
        <f aca="false">IFERROR(INDEX('Fault Master'!$B$5:$B$104,MATCH(G322,'Fault Master'!$A$5:$A$104,0)),"")</f>
        <v/>
      </c>
      <c r="I322" s="14" t="str">
        <f aca="false">IFERROR(INDEX('Fault Master'!$C$5:$C$104,MATCH(G322,'Fault Master'!$A$5:$A$104,0)),"")</f>
        <v/>
      </c>
      <c r="M322" s="14" t="str">
        <f aca="false">IFERROR(INDEX('Fault Master'!$D$5:$D$104,MATCH(G322,'Fault Master'!$A$5:$A$104,0)),"")</f>
        <v/>
      </c>
    </row>
    <row r="323" customFormat="false" ht="15" hidden="false" customHeight="true" outlineLevel="0" collapsed="false">
      <c r="A323" s="1" t="n">
        <v>318</v>
      </c>
      <c r="B323" s="13"/>
      <c r="F323" s="14" t="str">
        <f aca="false">IFERROR(INDEX('Operator Master'!$B$5:$B$504,MATCH(E323,'Operator Master'!$A$5:$A$504,0)),"")</f>
        <v/>
      </c>
      <c r="H323" s="14" t="str">
        <f aca="false">IFERROR(INDEX('Fault Master'!$B$5:$B$104,MATCH(G323,'Fault Master'!$A$5:$A$104,0)),"")</f>
        <v/>
      </c>
      <c r="I323" s="14" t="str">
        <f aca="false">IFERROR(INDEX('Fault Master'!$C$5:$C$104,MATCH(G323,'Fault Master'!$A$5:$A$104,0)),"")</f>
        <v/>
      </c>
      <c r="M323" s="14" t="str">
        <f aca="false">IFERROR(INDEX('Fault Master'!$D$5:$D$104,MATCH(G323,'Fault Master'!$A$5:$A$104,0)),"")</f>
        <v/>
      </c>
    </row>
    <row r="324" customFormat="false" ht="15" hidden="false" customHeight="true" outlineLevel="0" collapsed="false">
      <c r="A324" s="1" t="n">
        <v>319</v>
      </c>
      <c r="B324" s="13"/>
      <c r="F324" s="14" t="str">
        <f aca="false">IFERROR(INDEX('Operator Master'!$B$5:$B$504,MATCH(E324,'Operator Master'!$A$5:$A$504,0)),"")</f>
        <v/>
      </c>
      <c r="H324" s="14" t="str">
        <f aca="false">IFERROR(INDEX('Fault Master'!$B$5:$B$104,MATCH(G324,'Fault Master'!$A$5:$A$104,0)),"")</f>
        <v/>
      </c>
      <c r="I324" s="14" t="str">
        <f aca="false">IFERROR(INDEX('Fault Master'!$C$5:$C$104,MATCH(G324,'Fault Master'!$A$5:$A$104,0)),"")</f>
        <v/>
      </c>
      <c r="M324" s="14" t="str">
        <f aca="false">IFERROR(INDEX('Fault Master'!$D$5:$D$104,MATCH(G324,'Fault Master'!$A$5:$A$104,0)),"")</f>
        <v/>
      </c>
    </row>
    <row r="325" customFormat="false" ht="15" hidden="false" customHeight="true" outlineLevel="0" collapsed="false">
      <c r="A325" s="1" t="n">
        <v>320</v>
      </c>
      <c r="B325" s="13"/>
      <c r="F325" s="14" t="str">
        <f aca="false">IFERROR(INDEX('Operator Master'!$B$5:$B$504,MATCH(E325,'Operator Master'!$A$5:$A$504,0)),"")</f>
        <v/>
      </c>
      <c r="H325" s="14" t="str">
        <f aca="false">IFERROR(INDEX('Fault Master'!$B$5:$B$104,MATCH(G325,'Fault Master'!$A$5:$A$104,0)),"")</f>
        <v/>
      </c>
      <c r="I325" s="14" t="str">
        <f aca="false">IFERROR(INDEX('Fault Master'!$C$5:$C$104,MATCH(G325,'Fault Master'!$A$5:$A$104,0)),"")</f>
        <v/>
      </c>
      <c r="M325" s="14" t="str">
        <f aca="false">IFERROR(INDEX('Fault Master'!$D$5:$D$104,MATCH(G325,'Fault Master'!$A$5:$A$104,0)),"")</f>
        <v/>
      </c>
    </row>
    <row r="326" customFormat="false" ht="15" hidden="false" customHeight="true" outlineLevel="0" collapsed="false">
      <c r="A326" s="1" t="n">
        <v>321</v>
      </c>
      <c r="B326" s="13"/>
      <c r="F326" s="14" t="str">
        <f aca="false">IFERROR(INDEX('Operator Master'!$B$5:$B$504,MATCH(E326,'Operator Master'!$A$5:$A$504,0)),"")</f>
        <v/>
      </c>
      <c r="H326" s="14" t="str">
        <f aca="false">IFERROR(INDEX('Fault Master'!$B$5:$B$104,MATCH(G326,'Fault Master'!$A$5:$A$104,0)),"")</f>
        <v/>
      </c>
      <c r="I326" s="14" t="str">
        <f aca="false">IFERROR(INDEX('Fault Master'!$C$5:$C$104,MATCH(G326,'Fault Master'!$A$5:$A$104,0)),"")</f>
        <v/>
      </c>
      <c r="M326" s="14" t="str">
        <f aca="false">IFERROR(INDEX('Fault Master'!$D$5:$D$104,MATCH(G326,'Fault Master'!$A$5:$A$104,0)),"")</f>
        <v/>
      </c>
    </row>
    <row r="327" customFormat="false" ht="15" hidden="false" customHeight="true" outlineLevel="0" collapsed="false">
      <c r="A327" s="1" t="n">
        <v>322</v>
      </c>
      <c r="B327" s="13"/>
      <c r="F327" s="14" t="str">
        <f aca="false">IFERROR(INDEX('Operator Master'!$B$5:$B$504,MATCH(E327,'Operator Master'!$A$5:$A$504,0)),"")</f>
        <v/>
      </c>
      <c r="H327" s="14" t="str">
        <f aca="false">IFERROR(INDEX('Fault Master'!$B$5:$B$104,MATCH(G327,'Fault Master'!$A$5:$A$104,0)),"")</f>
        <v/>
      </c>
      <c r="I327" s="14" t="str">
        <f aca="false">IFERROR(INDEX('Fault Master'!$C$5:$C$104,MATCH(G327,'Fault Master'!$A$5:$A$104,0)),"")</f>
        <v/>
      </c>
      <c r="M327" s="14" t="str">
        <f aca="false">IFERROR(INDEX('Fault Master'!$D$5:$D$104,MATCH(G327,'Fault Master'!$A$5:$A$104,0)),"")</f>
        <v/>
      </c>
    </row>
    <row r="328" customFormat="false" ht="15" hidden="false" customHeight="true" outlineLevel="0" collapsed="false">
      <c r="A328" s="1" t="n">
        <v>323</v>
      </c>
      <c r="B328" s="13"/>
      <c r="F328" s="14" t="str">
        <f aca="false">IFERROR(INDEX('Operator Master'!$B$5:$B$504,MATCH(E328,'Operator Master'!$A$5:$A$504,0)),"")</f>
        <v/>
      </c>
      <c r="H328" s="14" t="str">
        <f aca="false">IFERROR(INDEX('Fault Master'!$B$5:$B$104,MATCH(G328,'Fault Master'!$A$5:$A$104,0)),"")</f>
        <v/>
      </c>
      <c r="I328" s="14" t="str">
        <f aca="false">IFERROR(INDEX('Fault Master'!$C$5:$C$104,MATCH(G328,'Fault Master'!$A$5:$A$104,0)),"")</f>
        <v/>
      </c>
      <c r="M328" s="14" t="str">
        <f aca="false">IFERROR(INDEX('Fault Master'!$D$5:$D$104,MATCH(G328,'Fault Master'!$A$5:$A$104,0)),"")</f>
        <v/>
      </c>
    </row>
    <row r="329" customFormat="false" ht="15" hidden="false" customHeight="true" outlineLevel="0" collapsed="false">
      <c r="A329" s="1" t="n">
        <v>324</v>
      </c>
      <c r="B329" s="13"/>
      <c r="F329" s="14" t="str">
        <f aca="false">IFERROR(INDEX('Operator Master'!$B$5:$B$504,MATCH(E329,'Operator Master'!$A$5:$A$504,0)),"")</f>
        <v/>
      </c>
      <c r="H329" s="14" t="str">
        <f aca="false">IFERROR(INDEX('Fault Master'!$B$5:$B$104,MATCH(G329,'Fault Master'!$A$5:$A$104,0)),"")</f>
        <v/>
      </c>
      <c r="I329" s="14" t="str">
        <f aca="false">IFERROR(INDEX('Fault Master'!$C$5:$C$104,MATCH(G329,'Fault Master'!$A$5:$A$104,0)),"")</f>
        <v/>
      </c>
      <c r="M329" s="14" t="str">
        <f aca="false">IFERROR(INDEX('Fault Master'!$D$5:$D$104,MATCH(G329,'Fault Master'!$A$5:$A$104,0)),"")</f>
        <v/>
      </c>
    </row>
    <row r="330" customFormat="false" ht="15" hidden="false" customHeight="true" outlineLevel="0" collapsed="false">
      <c r="A330" s="1" t="n">
        <v>325</v>
      </c>
      <c r="B330" s="13"/>
      <c r="F330" s="14" t="str">
        <f aca="false">IFERROR(INDEX('Operator Master'!$B$5:$B$504,MATCH(E330,'Operator Master'!$A$5:$A$504,0)),"")</f>
        <v/>
      </c>
      <c r="H330" s="14" t="str">
        <f aca="false">IFERROR(INDEX('Fault Master'!$B$5:$B$104,MATCH(G330,'Fault Master'!$A$5:$A$104,0)),"")</f>
        <v/>
      </c>
      <c r="I330" s="14" t="str">
        <f aca="false">IFERROR(INDEX('Fault Master'!$C$5:$C$104,MATCH(G330,'Fault Master'!$A$5:$A$104,0)),"")</f>
        <v/>
      </c>
      <c r="M330" s="14" t="str">
        <f aca="false">IFERROR(INDEX('Fault Master'!$D$5:$D$104,MATCH(G330,'Fault Master'!$A$5:$A$104,0)),"")</f>
        <v/>
      </c>
    </row>
    <row r="331" customFormat="false" ht="15" hidden="false" customHeight="true" outlineLevel="0" collapsed="false">
      <c r="A331" s="1" t="n">
        <v>326</v>
      </c>
      <c r="B331" s="13"/>
      <c r="F331" s="14" t="str">
        <f aca="false">IFERROR(INDEX('Operator Master'!$B$5:$B$504,MATCH(E331,'Operator Master'!$A$5:$A$504,0)),"")</f>
        <v/>
      </c>
      <c r="H331" s="14" t="str">
        <f aca="false">IFERROR(INDEX('Fault Master'!$B$5:$B$104,MATCH(G331,'Fault Master'!$A$5:$A$104,0)),"")</f>
        <v/>
      </c>
      <c r="I331" s="14" t="str">
        <f aca="false">IFERROR(INDEX('Fault Master'!$C$5:$C$104,MATCH(G331,'Fault Master'!$A$5:$A$104,0)),"")</f>
        <v/>
      </c>
      <c r="M331" s="14" t="str">
        <f aca="false">IFERROR(INDEX('Fault Master'!$D$5:$D$104,MATCH(G331,'Fault Master'!$A$5:$A$104,0)),"")</f>
        <v/>
      </c>
    </row>
    <row r="332" customFormat="false" ht="15" hidden="false" customHeight="true" outlineLevel="0" collapsed="false">
      <c r="A332" s="1" t="n">
        <v>327</v>
      </c>
      <c r="B332" s="13"/>
      <c r="F332" s="14" t="str">
        <f aca="false">IFERROR(INDEX('Operator Master'!$B$5:$B$504,MATCH(E332,'Operator Master'!$A$5:$A$504,0)),"")</f>
        <v/>
      </c>
      <c r="H332" s="14" t="str">
        <f aca="false">IFERROR(INDEX('Fault Master'!$B$5:$B$104,MATCH(G332,'Fault Master'!$A$5:$A$104,0)),"")</f>
        <v/>
      </c>
      <c r="I332" s="14" t="str">
        <f aca="false">IFERROR(INDEX('Fault Master'!$C$5:$C$104,MATCH(G332,'Fault Master'!$A$5:$A$104,0)),"")</f>
        <v/>
      </c>
      <c r="M332" s="14" t="str">
        <f aca="false">IFERROR(INDEX('Fault Master'!$D$5:$D$104,MATCH(G332,'Fault Master'!$A$5:$A$104,0)),"")</f>
        <v/>
      </c>
    </row>
    <row r="333" customFormat="false" ht="15" hidden="false" customHeight="true" outlineLevel="0" collapsed="false">
      <c r="A333" s="1" t="n">
        <v>328</v>
      </c>
      <c r="B333" s="13"/>
      <c r="F333" s="14" t="str">
        <f aca="false">IFERROR(INDEX('Operator Master'!$B$5:$B$504,MATCH(E333,'Operator Master'!$A$5:$A$504,0)),"")</f>
        <v/>
      </c>
      <c r="H333" s="14" t="str">
        <f aca="false">IFERROR(INDEX('Fault Master'!$B$5:$B$104,MATCH(G333,'Fault Master'!$A$5:$A$104,0)),"")</f>
        <v/>
      </c>
      <c r="I333" s="14" t="str">
        <f aca="false">IFERROR(INDEX('Fault Master'!$C$5:$C$104,MATCH(G333,'Fault Master'!$A$5:$A$104,0)),"")</f>
        <v/>
      </c>
      <c r="M333" s="14" t="str">
        <f aca="false">IFERROR(INDEX('Fault Master'!$D$5:$D$104,MATCH(G333,'Fault Master'!$A$5:$A$104,0)),"")</f>
        <v/>
      </c>
    </row>
    <row r="334" customFormat="false" ht="15" hidden="false" customHeight="true" outlineLevel="0" collapsed="false">
      <c r="A334" s="1" t="n">
        <v>329</v>
      </c>
      <c r="B334" s="13"/>
      <c r="F334" s="14" t="str">
        <f aca="false">IFERROR(INDEX('Operator Master'!$B$5:$B$504,MATCH(E334,'Operator Master'!$A$5:$A$504,0)),"")</f>
        <v/>
      </c>
      <c r="H334" s="14" t="str">
        <f aca="false">IFERROR(INDEX('Fault Master'!$B$5:$B$104,MATCH(G334,'Fault Master'!$A$5:$A$104,0)),"")</f>
        <v/>
      </c>
      <c r="I334" s="14" t="str">
        <f aca="false">IFERROR(INDEX('Fault Master'!$C$5:$C$104,MATCH(G334,'Fault Master'!$A$5:$A$104,0)),"")</f>
        <v/>
      </c>
      <c r="M334" s="14" t="str">
        <f aca="false">IFERROR(INDEX('Fault Master'!$D$5:$D$104,MATCH(G334,'Fault Master'!$A$5:$A$104,0)),"")</f>
        <v/>
      </c>
    </row>
    <row r="335" customFormat="false" ht="15" hidden="false" customHeight="true" outlineLevel="0" collapsed="false">
      <c r="A335" s="1" t="n">
        <v>330</v>
      </c>
      <c r="B335" s="13"/>
      <c r="F335" s="14" t="str">
        <f aca="false">IFERROR(INDEX('Operator Master'!$B$5:$B$504,MATCH(E335,'Operator Master'!$A$5:$A$504,0)),"")</f>
        <v/>
      </c>
      <c r="H335" s="14" t="str">
        <f aca="false">IFERROR(INDEX('Fault Master'!$B$5:$B$104,MATCH(G335,'Fault Master'!$A$5:$A$104,0)),"")</f>
        <v/>
      </c>
      <c r="I335" s="14" t="str">
        <f aca="false">IFERROR(INDEX('Fault Master'!$C$5:$C$104,MATCH(G335,'Fault Master'!$A$5:$A$104,0)),"")</f>
        <v/>
      </c>
      <c r="M335" s="14" t="str">
        <f aca="false">IFERROR(INDEX('Fault Master'!$D$5:$D$104,MATCH(G335,'Fault Master'!$A$5:$A$104,0)),"")</f>
        <v/>
      </c>
    </row>
    <row r="336" customFormat="false" ht="15" hidden="false" customHeight="true" outlineLevel="0" collapsed="false">
      <c r="A336" s="1" t="n">
        <v>331</v>
      </c>
      <c r="B336" s="13"/>
      <c r="F336" s="14" t="str">
        <f aca="false">IFERROR(INDEX('Operator Master'!$B$5:$B$504,MATCH(E336,'Operator Master'!$A$5:$A$504,0)),"")</f>
        <v/>
      </c>
      <c r="H336" s="14" t="str">
        <f aca="false">IFERROR(INDEX('Fault Master'!$B$5:$B$104,MATCH(G336,'Fault Master'!$A$5:$A$104,0)),"")</f>
        <v/>
      </c>
      <c r="I336" s="14" t="str">
        <f aca="false">IFERROR(INDEX('Fault Master'!$C$5:$C$104,MATCH(G336,'Fault Master'!$A$5:$A$104,0)),"")</f>
        <v/>
      </c>
      <c r="M336" s="14" t="str">
        <f aca="false">IFERROR(INDEX('Fault Master'!$D$5:$D$104,MATCH(G336,'Fault Master'!$A$5:$A$104,0)),"")</f>
        <v/>
      </c>
    </row>
    <row r="337" customFormat="false" ht="15" hidden="false" customHeight="true" outlineLevel="0" collapsed="false">
      <c r="A337" s="1" t="n">
        <v>332</v>
      </c>
      <c r="B337" s="13"/>
      <c r="F337" s="14" t="str">
        <f aca="false">IFERROR(INDEX('Operator Master'!$B$5:$B$504,MATCH(E337,'Operator Master'!$A$5:$A$504,0)),"")</f>
        <v/>
      </c>
      <c r="H337" s="14" t="str">
        <f aca="false">IFERROR(INDEX('Fault Master'!$B$5:$B$104,MATCH(G337,'Fault Master'!$A$5:$A$104,0)),"")</f>
        <v/>
      </c>
      <c r="I337" s="14" t="str">
        <f aca="false">IFERROR(INDEX('Fault Master'!$C$5:$C$104,MATCH(G337,'Fault Master'!$A$5:$A$104,0)),"")</f>
        <v/>
      </c>
      <c r="M337" s="14" t="str">
        <f aca="false">IFERROR(INDEX('Fault Master'!$D$5:$D$104,MATCH(G337,'Fault Master'!$A$5:$A$104,0)),"")</f>
        <v/>
      </c>
    </row>
    <row r="338" customFormat="false" ht="15" hidden="false" customHeight="true" outlineLevel="0" collapsed="false">
      <c r="A338" s="1" t="n">
        <v>333</v>
      </c>
      <c r="B338" s="13"/>
      <c r="F338" s="14" t="str">
        <f aca="false">IFERROR(INDEX('Operator Master'!$B$5:$B$504,MATCH(E338,'Operator Master'!$A$5:$A$504,0)),"")</f>
        <v/>
      </c>
      <c r="H338" s="14" t="str">
        <f aca="false">IFERROR(INDEX('Fault Master'!$B$5:$B$104,MATCH(G338,'Fault Master'!$A$5:$A$104,0)),"")</f>
        <v/>
      </c>
      <c r="I338" s="14" t="str">
        <f aca="false">IFERROR(INDEX('Fault Master'!$C$5:$C$104,MATCH(G338,'Fault Master'!$A$5:$A$104,0)),"")</f>
        <v/>
      </c>
      <c r="M338" s="14" t="str">
        <f aca="false">IFERROR(INDEX('Fault Master'!$D$5:$D$104,MATCH(G338,'Fault Master'!$A$5:$A$104,0)),"")</f>
        <v/>
      </c>
    </row>
    <row r="339" customFormat="false" ht="15" hidden="false" customHeight="true" outlineLevel="0" collapsed="false">
      <c r="A339" s="1" t="n">
        <v>334</v>
      </c>
      <c r="B339" s="13"/>
      <c r="F339" s="14" t="str">
        <f aca="false">IFERROR(INDEX('Operator Master'!$B$5:$B$504,MATCH(E339,'Operator Master'!$A$5:$A$504,0)),"")</f>
        <v/>
      </c>
      <c r="H339" s="14" t="str">
        <f aca="false">IFERROR(INDEX('Fault Master'!$B$5:$B$104,MATCH(G339,'Fault Master'!$A$5:$A$104,0)),"")</f>
        <v/>
      </c>
      <c r="I339" s="14" t="str">
        <f aca="false">IFERROR(INDEX('Fault Master'!$C$5:$C$104,MATCH(G339,'Fault Master'!$A$5:$A$104,0)),"")</f>
        <v/>
      </c>
      <c r="M339" s="14" t="str">
        <f aca="false">IFERROR(INDEX('Fault Master'!$D$5:$D$104,MATCH(G339,'Fault Master'!$A$5:$A$104,0)),"")</f>
        <v/>
      </c>
    </row>
    <row r="340" customFormat="false" ht="15" hidden="false" customHeight="true" outlineLevel="0" collapsed="false">
      <c r="A340" s="1" t="n">
        <v>335</v>
      </c>
      <c r="B340" s="13"/>
      <c r="F340" s="14" t="str">
        <f aca="false">IFERROR(INDEX('Operator Master'!$B$5:$B$504,MATCH(E340,'Operator Master'!$A$5:$A$504,0)),"")</f>
        <v/>
      </c>
      <c r="H340" s="14" t="str">
        <f aca="false">IFERROR(INDEX('Fault Master'!$B$5:$B$104,MATCH(G340,'Fault Master'!$A$5:$A$104,0)),"")</f>
        <v/>
      </c>
      <c r="I340" s="14" t="str">
        <f aca="false">IFERROR(INDEX('Fault Master'!$C$5:$C$104,MATCH(G340,'Fault Master'!$A$5:$A$104,0)),"")</f>
        <v/>
      </c>
      <c r="M340" s="14" t="str">
        <f aca="false">IFERROR(INDEX('Fault Master'!$D$5:$D$104,MATCH(G340,'Fault Master'!$A$5:$A$104,0)),"")</f>
        <v/>
      </c>
    </row>
    <row r="341" customFormat="false" ht="15" hidden="false" customHeight="true" outlineLevel="0" collapsed="false">
      <c r="A341" s="1" t="n">
        <v>336</v>
      </c>
      <c r="B341" s="13"/>
      <c r="F341" s="14" t="str">
        <f aca="false">IFERROR(INDEX('Operator Master'!$B$5:$B$504,MATCH(E341,'Operator Master'!$A$5:$A$504,0)),"")</f>
        <v/>
      </c>
      <c r="H341" s="14" t="str">
        <f aca="false">IFERROR(INDEX('Fault Master'!$B$5:$B$104,MATCH(G341,'Fault Master'!$A$5:$A$104,0)),"")</f>
        <v/>
      </c>
      <c r="I341" s="14" t="str">
        <f aca="false">IFERROR(INDEX('Fault Master'!$C$5:$C$104,MATCH(G341,'Fault Master'!$A$5:$A$104,0)),"")</f>
        <v/>
      </c>
      <c r="M341" s="14" t="str">
        <f aca="false">IFERROR(INDEX('Fault Master'!$D$5:$D$104,MATCH(G341,'Fault Master'!$A$5:$A$104,0)),"")</f>
        <v/>
      </c>
    </row>
    <row r="342" customFormat="false" ht="15" hidden="false" customHeight="true" outlineLevel="0" collapsed="false">
      <c r="A342" s="1" t="n">
        <v>337</v>
      </c>
      <c r="B342" s="13"/>
      <c r="F342" s="14" t="str">
        <f aca="false">IFERROR(INDEX('Operator Master'!$B$5:$B$504,MATCH(E342,'Operator Master'!$A$5:$A$504,0)),"")</f>
        <v/>
      </c>
      <c r="H342" s="14" t="str">
        <f aca="false">IFERROR(INDEX('Fault Master'!$B$5:$B$104,MATCH(G342,'Fault Master'!$A$5:$A$104,0)),"")</f>
        <v/>
      </c>
      <c r="I342" s="14" t="str">
        <f aca="false">IFERROR(INDEX('Fault Master'!$C$5:$C$104,MATCH(G342,'Fault Master'!$A$5:$A$104,0)),"")</f>
        <v/>
      </c>
      <c r="M342" s="14" t="str">
        <f aca="false">IFERROR(INDEX('Fault Master'!$D$5:$D$104,MATCH(G342,'Fault Master'!$A$5:$A$104,0)),"")</f>
        <v/>
      </c>
    </row>
    <row r="343" customFormat="false" ht="15" hidden="false" customHeight="true" outlineLevel="0" collapsed="false">
      <c r="A343" s="1" t="n">
        <v>338</v>
      </c>
      <c r="B343" s="13"/>
      <c r="F343" s="14" t="str">
        <f aca="false">IFERROR(INDEX('Operator Master'!$B$5:$B$504,MATCH(E343,'Operator Master'!$A$5:$A$504,0)),"")</f>
        <v/>
      </c>
      <c r="H343" s="14" t="str">
        <f aca="false">IFERROR(INDEX('Fault Master'!$B$5:$B$104,MATCH(G343,'Fault Master'!$A$5:$A$104,0)),"")</f>
        <v/>
      </c>
      <c r="I343" s="14" t="str">
        <f aca="false">IFERROR(INDEX('Fault Master'!$C$5:$C$104,MATCH(G343,'Fault Master'!$A$5:$A$104,0)),"")</f>
        <v/>
      </c>
      <c r="M343" s="14" t="str">
        <f aca="false">IFERROR(INDEX('Fault Master'!$D$5:$D$104,MATCH(G343,'Fault Master'!$A$5:$A$104,0)),"")</f>
        <v/>
      </c>
    </row>
    <row r="344" customFormat="false" ht="15" hidden="false" customHeight="true" outlineLevel="0" collapsed="false">
      <c r="A344" s="1" t="n">
        <v>339</v>
      </c>
      <c r="B344" s="13"/>
      <c r="F344" s="14" t="str">
        <f aca="false">IFERROR(INDEX('Operator Master'!$B$5:$B$504,MATCH(E344,'Operator Master'!$A$5:$A$504,0)),"")</f>
        <v/>
      </c>
      <c r="H344" s="14" t="str">
        <f aca="false">IFERROR(INDEX('Fault Master'!$B$5:$B$104,MATCH(G344,'Fault Master'!$A$5:$A$104,0)),"")</f>
        <v/>
      </c>
      <c r="I344" s="14" t="str">
        <f aca="false">IFERROR(INDEX('Fault Master'!$C$5:$C$104,MATCH(G344,'Fault Master'!$A$5:$A$104,0)),"")</f>
        <v/>
      </c>
      <c r="M344" s="14" t="str">
        <f aca="false">IFERROR(INDEX('Fault Master'!$D$5:$D$104,MATCH(G344,'Fault Master'!$A$5:$A$104,0)),"")</f>
        <v/>
      </c>
    </row>
    <row r="345" customFormat="false" ht="15" hidden="false" customHeight="true" outlineLevel="0" collapsed="false">
      <c r="A345" s="1" t="n">
        <v>340</v>
      </c>
      <c r="B345" s="13"/>
      <c r="F345" s="14" t="str">
        <f aca="false">IFERROR(INDEX('Operator Master'!$B$5:$B$504,MATCH(E345,'Operator Master'!$A$5:$A$504,0)),"")</f>
        <v/>
      </c>
      <c r="H345" s="14" t="str">
        <f aca="false">IFERROR(INDEX('Fault Master'!$B$5:$B$104,MATCH(G345,'Fault Master'!$A$5:$A$104,0)),"")</f>
        <v/>
      </c>
      <c r="I345" s="14" t="str">
        <f aca="false">IFERROR(INDEX('Fault Master'!$C$5:$C$104,MATCH(G345,'Fault Master'!$A$5:$A$104,0)),"")</f>
        <v/>
      </c>
      <c r="M345" s="14" t="str">
        <f aca="false">IFERROR(INDEX('Fault Master'!$D$5:$D$104,MATCH(G345,'Fault Master'!$A$5:$A$104,0)),"")</f>
        <v/>
      </c>
    </row>
    <row r="346" customFormat="false" ht="15" hidden="false" customHeight="true" outlineLevel="0" collapsed="false">
      <c r="A346" s="1" t="n">
        <v>341</v>
      </c>
      <c r="B346" s="13"/>
      <c r="F346" s="14" t="str">
        <f aca="false">IFERROR(INDEX('Operator Master'!$B$5:$B$504,MATCH(E346,'Operator Master'!$A$5:$A$504,0)),"")</f>
        <v/>
      </c>
      <c r="H346" s="14" t="str">
        <f aca="false">IFERROR(INDEX('Fault Master'!$B$5:$B$104,MATCH(G346,'Fault Master'!$A$5:$A$104,0)),"")</f>
        <v/>
      </c>
      <c r="I346" s="14" t="str">
        <f aca="false">IFERROR(INDEX('Fault Master'!$C$5:$C$104,MATCH(G346,'Fault Master'!$A$5:$A$104,0)),"")</f>
        <v/>
      </c>
      <c r="M346" s="14" t="str">
        <f aca="false">IFERROR(INDEX('Fault Master'!$D$5:$D$104,MATCH(G346,'Fault Master'!$A$5:$A$104,0)),"")</f>
        <v/>
      </c>
    </row>
    <row r="347" customFormat="false" ht="15" hidden="false" customHeight="true" outlineLevel="0" collapsed="false">
      <c r="A347" s="1" t="n">
        <v>342</v>
      </c>
      <c r="B347" s="13"/>
      <c r="F347" s="14" t="str">
        <f aca="false">IFERROR(INDEX('Operator Master'!$B$5:$B$504,MATCH(E347,'Operator Master'!$A$5:$A$504,0)),"")</f>
        <v/>
      </c>
      <c r="H347" s="14" t="str">
        <f aca="false">IFERROR(INDEX('Fault Master'!$B$5:$B$104,MATCH(G347,'Fault Master'!$A$5:$A$104,0)),"")</f>
        <v/>
      </c>
      <c r="I347" s="14" t="str">
        <f aca="false">IFERROR(INDEX('Fault Master'!$C$5:$C$104,MATCH(G347,'Fault Master'!$A$5:$A$104,0)),"")</f>
        <v/>
      </c>
      <c r="M347" s="14" t="str">
        <f aca="false">IFERROR(INDEX('Fault Master'!$D$5:$D$104,MATCH(G347,'Fault Master'!$A$5:$A$104,0)),"")</f>
        <v/>
      </c>
    </row>
    <row r="348" customFormat="false" ht="15" hidden="false" customHeight="true" outlineLevel="0" collapsed="false">
      <c r="A348" s="1" t="n">
        <v>343</v>
      </c>
      <c r="B348" s="13"/>
      <c r="F348" s="14" t="str">
        <f aca="false">IFERROR(INDEX('Operator Master'!$B$5:$B$504,MATCH(E348,'Operator Master'!$A$5:$A$504,0)),"")</f>
        <v/>
      </c>
      <c r="H348" s="14" t="str">
        <f aca="false">IFERROR(INDEX('Fault Master'!$B$5:$B$104,MATCH(G348,'Fault Master'!$A$5:$A$104,0)),"")</f>
        <v/>
      </c>
      <c r="I348" s="14" t="str">
        <f aca="false">IFERROR(INDEX('Fault Master'!$C$5:$C$104,MATCH(G348,'Fault Master'!$A$5:$A$104,0)),"")</f>
        <v/>
      </c>
      <c r="M348" s="14" t="str">
        <f aca="false">IFERROR(INDEX('Fault Master'!$D$5:$D$104,MATCH(G348,'Fault Master'!$A$5:$A$104,0)),"")</f>
        <v/>
      </c>
    </row>
    <row r="349" customFormat="false" ht="15" hidden="false" customHeight="true" outlineLevel="0" collapsed="false">
      <c r="A349" s="1" t="n">
        <v>344</v>
      </c>
      <c r="B349" s="13"/>
      <c r="F349" s="14" t="str">
        <f aca="false">IFERROR(INDEX('Operator Master'!$B$5:$B$504,MATCH(E349,'Operator Master'!$A$5:$A$504,0)),"")</f>
        <v/>
      </c>
      <c r="H349" s="14" t="str">
        <f aca="false">IFERROR(INDEX('Fault Master'!$B$5:$B$104,MATCH(G349,'Fault Master'!$A$5:$A$104,0)),"")</f>
        <v/>
      </c>
      <c r="I349" s="14" t="str">
        <f aca="false">IFERROR(INDEX('Fault Master'!$C$5:$C$104,MATCH(G349,'Fault Master'!$A$5:$A$104,0)),"")</f>
        <v/>
      </c>
      <c r="M349" s="14" t="str">
        <f aca="false">IFERROR(INDEX('Fault Master'!$D$5:$D$104,MATCH(G349,'Fault Master'!$A$5:$A$104,0)),"")</f>
        <v/>
      </c>
    </row>
    <row r="350" customFormat="false" ht="15" hidden="false" customHeight="true" outlineLevel="0" collapsed="false">
      <c r="A350" s="1" t="n">
        <v>345</v>
      </c>
      <c r="B350" s="13"/>
      <c r="F350" s="14" t="str">
        <f aca="false">IFERROR(INDEX('Operator Master'!$B$5:$B$504,MATCH(E350,'Operator Master'!$A$5:$A$504,0)),"")</f>
        <v/>
      </c>
      <c r="H350" s="14" t="str">
        <f aca="false">IFERROR(INDEX('Fault Master'!$B$5:$B$104,MATCH(G350,'Fault Master'!$A$5:$A$104,0)),"")</f>
        <v/>
      </c>
      <c r="I350" s="14" t="str">
        <f aca="false">IFERROR(INDEX('Fault Master'!$C$5:$C$104,MATCH(G350,'Fault Master'!$A$5:$A$104,0)),"")</f>
        <v/>
      </c>
      <c r="M350" s="14" t="str">
        <f aca="false">IFERROR(INDEX('Fault Master'!$D$5:$D$104,MATCH(G350,'Fault Master'!$A$5:$A$104,0)),"")</f>
        <v/>
      </c>
    </row>
    <row r="351" customFormat="false" ht="15" hidden="false" customHeight="true" outlineLevel="0" collapsed="false">
      <c r="A351" s="1" t="n">
        <v>346</v>
      </c>
      <c r="B351" s="13"/>
      <c r="F351" s="14" t="str">
        <f aca="false">IFERROR(INDEX('Operator Master'!$B$5:$B$504,MATCH(E351,'Operator Master'!$A$5:$A$504,0)),"")</f>
        <v/>
      </c>
      <c r="H351" s="14" t="str">
        <f aca="false">IFERROR(INDEX('Fault Master'!$B$5:$B$104,MATCH(G351,'Fault Master'!$A$5:$A$104,0)),"")</f>
        <v/>
      </c>
      <c r="I351" s="14" t="str">
        <f aca="false">IFERROR(INDEX('Fault Master'!$C$5:$C$104,MATCH(G351,'Fault Master'!$A$5:$A$104,0)),"")</f>
        <v/>
      </c>
      <c r="M351" s="14" t="str">
        <f aca="false">IFERROR(INDEX('Fault Master'!$D$5:$D$104,MATCH(G351,'Fault Master'!$A$5:$A$104,0)),"")</f>
        <v/>
      </c>
    </row>
    <row r="352" customFormat="false" ht="15" hidden="false" customHeight="true" outlineLevel="0" collapsed="false">
      <c r="A352" s="1" t="n">
        <v>347</v>
      </c>
      <c r="B352" s="13"/>
      <c r="F352" s="14" t="str">
        <f aca="false">IFERROR(INDEX('Operator Master'!$B$5:$B$504,MATCH(E352,'Operator Master'!$A$5:$A$504,0)),"")</f>
        <v/>
      </c>
      <c r="H352" s="14" t="str">
        <f aca="false">IFERROR(INDEX('Fault Master'!$B$5:$B$104,MATCH(G352,'Fault Master'!$A$5:$A$104,0)),"")</f>
        <v/>
      </c>
      <c r="I352" s="14" t="str">
        <f aca="false">IFERROR(INDEX('Fault Master'!$C$5:$C$104,MATCH(G352,'Fault Master'!$A$5:$A$104,0)),"")</f>
        <v/>
      </c>
      <c r="M352" s="14" t="str">
        <f aca="false">IFERROR(INDEX('Fault Master'!$D$5:$D$104,MATCH(G352,'Fault Master'!$A$5:$A$104,0)),"")</f>
        <v/>
      </c>
    </row>
    <row r="353" customFormat="false" ht="15" hidden="false" customHeight="true" outlineLevel="0" collapsed="false">
      <c r="A353" s="1" t="n">
        <v>348</v>
      </c>
      <c r="B353" s="13"/>
      <c r="F353" s="14" t="str">
        <f aca="false">IFERROR(INDEX('Operator Master'!$B$5:$B$504,MATCH(E353,'Operator Master'!$A$5:$A$504,0)),"")</f>
        <v/>
      </c>
      <c r="H353" s="14" t="str">
        <f aca="false">IFERROR(INDEX('Fault Master'!$B$5:$B$104,MATCH(G353,'Fault Master'!$A$5:$A$104,0)),"")</f>
        <v/>
      </c>
      <c r="I353" s="14" t="str">
        <f aca="false">IFERROR(INDEX('Fault Master'!$C$5:$C$104,MATCH(G353,'Fault Master'!$A$5:$A$104,0)),"")</f>
        <v/>
      </c>
      <c r="M353" s="14" t="str">
        <f aca="false">IFERROR(INDEX('Fault Master'!$D$5:$D$104,MATCH(G353,'Fault Master'!$A$5:$A$104,0)),"")</f>
        <v/>
      </c>
    </row>
    <row r="354" customFormat="false" ht="15" hidden="false" customHeight="true" outlineLevel="0" collapsed="false">
      <c r="A354" s="1" t="n">
        <v>349</v>
      </c>
      <c r="B354" s="13"/>
      <c r="F354" s="14" t="str">
        <f aca="false">IFERROR(INDEX('Operator Master'!$B$5:$B$504,MATCH(E354,'Operator Master'!$A$5:$A$504,0)),"")</f>
        <v/>
      </c>
      <c r="H354" s="14" t="str">
        <f aca="false">IFERROR(INDEX('Fault Master'!$B$5:$B$104,MATCH(G354,'Fault Master'!$A$5:$A$104,0)),"")</f>
        <v/>
      </c>
      <c r="I354" s="14" t="str">
        <f aca="false">IFERROR(INDEX('Fault Master'!$C$5:$C$104,MATCH(G354,'Fault Master'!$A$5:$A$104,0)),"")</f>
        <v/>
      </c>
      <c r="M354" s="14" t="str">
        <f aca="false">IFERROR(INDEX('Fault Master'!$D$5:$D$104,MATCH(G354,'Fault Master'!$A$5:$A$104,0)),"")</f>
        <v/>
      </c>
    </row>
    <row r="355" customFormat="false" ht="15" hidden="false" customHeight="true" outlineLevel="0" collapsed="false">
      <c r="A355" s="1" t="n">
        <v>350</v>
      </c>
      <c r="B355" s="13"/>
      <c r="F355" s="14" t="str">
        <f aca="false">IFERROR(INDEX('Operator Master'!$B$5:$B$504,MATCH(E355,'Operator Master'!$A$5:$A$504,0)),"")</f>
        <v/>
      </c>
      <c r="H355" s="14" t="str">
        <f aca="false">IFERROR(INDEX('Fault Master'!$B$5:$B$104,MATCH(G355,'Fault Master'!$A$5:$A$104,0)),"")</f>
        <v/>
      </c>
      <c r="I355" s="14" t="str">
        <f aca="false">IFERROR(INDEX('Fault Master'!$C$5:$C$104,MATCH(G355,'Fault Master'!$A$5:$A$104,0)),"")</f>
        <v/>
      </c>
      <c r="M355" s="14" t="str">
        <f aca="false">IFERROR(INDEX('Fault Master'!$D$5:$D$104,MATCH(G355,'Fault Master'!$A$5:$A$104,0)),"")</f>
        <v/>
      </c>
    </row>
    <row r="356" customFormat="false" ht="15" hidden="false" customHeight="true" outlineLevel="0" collapsed="false">
      <c r="A356" s="1" t="n">
        <v>351</v>
      </c>
      <c r="B356" s="13"/>
      <c r="F356" s="14" t="str">
        <f aca="false">IFERROR(INDEX('Operator Master'!$B$5:$B$504,MATCH(E356,'Operator Master'!$A$5:$A$504,0)),"")</f>
        <v/>
      </c>
      <c r="H356" s="14" t="str">
        <f aca="false">IFERROR(INDEX('Fault Master'!$B$5:$B$104,MATCH(G356,'Fault Master'!$A$5:$A$104,0)),"")</f>
        <v/>
      </c>
      <c r="I356" s="14" t="str">
        <f aca="false">IFERROR(INDEX('Fault Master'!$C$5:$C$104,MATCH(G356,'Fault Master'!$A$5:$A$104,0)),"")</f>
        <v/>
      </c>
      <c r="M356" s="14" t="str">
        <f aca="false">IFERROR(INDEX('Fault Master'!$D$5:$D$104,MATCH(G356,'Fault Master'!$A$5:$A$104,0)),"")</f>
        <v/>
      </c>
    </row>
    <row r="357" customFormat="false" ht="15" hidden="false" customHeight="true" outlineLevel="0" collapsed="false">
      <c r="A357" s="1" t="n">
        <v>352</v>
      </c>
      <c r="B357" s="13"/>
      <c r="F357" s="14" t="str">
        <f aca="false">IFERROR(INDEX('Operator Master'!$B$5:$B$504,MATCH(E357,'Operator Master'!$A$5:$A$504,0)),"")</f>
        <v/>
      </c>
      <c r="H357" s="14" t="str">
        <f aca="false">IFERROR(INDEX('Fault Master'!$B$5:$B$104,MATCH(G357,'Fault Master'!$A$5:$A$104,0)),"")</f>
        <v/>
      </c>
      <c r="I357" s="14" t="str">
        <f aca="false">IFERROR(INDEX('Fault Master'!$C$5:$C$104,MATCH(G357,'Fault Master'!$A$5:$A$104,0)),"")</f>
        <v/>
      </c>
      <c r="M357" s="14" t="str">
        <f aca="false">IFERROR(INDEX('Fault Master'!$D$5:$D$104,MATCH(G357,'Fault Master'!$A$5:$A$104,0)),"")</f>
        <v/>
      </c>
    </row>
    <row r="358" customFormat="false" ht="15" hidden="false" customHeight="true" outlineLevel="0" collapsed="false">
      <c r="A358" s="1" t="n">
        <v>353</v>
      </c>
      <c r="B358" s="13"/>
      <c r="F358" s="14" t="str">
        <f aca="false">IFERROR(INDEX('Operator Master'!$B$5:$B$504,MATCH(E358,'Operator Master'!$A$5:$A$504,0)),"")</f>
        <v/>
      </c>
      <c r="H358" s="14" t="str">
        <f aca="false">IFERROR(INDEX('Fault Master'!$B$5:$B$104,MATCH(G358,'Fault Master'!$A$5:$A$104,0)),"")</f>
        <v/>
      </c>
      <c r="I358" s="14" t="str">
        <f aca="false">IFERROR(INDEX('Fault Master'!$C$5:$C$104,MATCH(G358,'Fault Master'!$A$5:$A$104,0)),"")</f>
        <v/>
      </c>
      <c r="M358" s="14" t="str">
        <f aca="false">IFERROR(INDEX('Fault Master'!$D$5:$D$104,MATCH(G358,'Fault Master'!$A$5:$A$104,0)),"")</f>
        <v/>
      </c>
    </row>
    <row r="359" customFormat="false" ht="15" hidden="false" customHeight="true" outlineLevel="0" collapsed="false">
      <c r="A359" s="1" t="n">
        <v>354</v>
      </c>
      <c r="B359" s="13"/>
      <c r="F359" s="14" t="str">
        <f aca="false">IFERROR(INDEX('Operator Master'!$B$5:$B$504,MATCH(E359,'Operator Master'!$A$5:$A$504,0)),"")</f>
        <v/>
      </c>
      <c r="H359" s="14" t="str">
        <f aca="false">IFERROR(INDEX('Fault Master'!$B$5:$B$104,MATCH(G359,'Fault Master'!$A$5:$A$104,0)),"")</f>
        <v/>
      </c>
      <c r="I359" s="14" t="str">
        <f aca="false">IFERROR(INDEX('Fault Master'!$C$5:$C$104,MATCH(G359,'Fault Master'!$A$5:$A$104,0)),"")</f>
        <v/>
      </c>
      <c r="M359" s="14" t="str">
        <f aca="false">IFERROR(INDEX('Fault Master'!$D$5:$D$104,MATCH(G359,'Fault Master'!$A$5:$A$104,0)),"")</f>
        <v/>
      </c>
    </row>
    <row r="360" customFormat="false" ht="15" hidden="false" customHeight="true" outlineLevel="0" collapsed="false">
      <c r="A360" s="1" t="n">
        <v>355</v>
      </c>
      <c r="B360" s="13"/>
      <c r="F360" s="14" t="str">
        <f aca="false">IFERROR(INDEX('Operator Master'!$B$5:$B$504,MATCH(E360,'Operator Master'!$A$5:$A$504,0)),"")</f>
        <v/>
      </c>
      <c r="H360" s="14" t="str">
        <f aca="false">IFERROR(INDEX('Fault Master'!$B$5:$B$104,MATCH(G360,'Fault Master'!$A$5:$A$104,0)),"")</f>
        <v/>
      </c>
      <c r="I360" s="14" t="str">
        <f aca="false">IFERROR(INDEX('Fault Master'!$C$5:$C$104,MATCH(G360,'Fault Master'!$A$5:$A$104,0)),"")</f>
        <v/>
      </c>
      <c r="M360" s="14" t="str">
        <f aca="false">IFERROR(INDEX('Fault Master'!$D$5:$D$104,MATCH(G360,'Fault Master'!$A$5:$A$104,0)),"")</f>
        <v/>
      </c>
    </row>
    <row r="361" customFormat="false" ht="15" hidden="false" customHeight="true" outlineLevel="0" collapsed="false">
      <c r="A361" s="1" t="n">
        <v>356</v>
      </c>
      <c r="B361" s="13"/>
      <c r="F361" s="14" t="str">
        <f aca="false">IFERROR(INDEX('Operator Master'!$B$5:$B$504,MATCH(E361,'Operator Master'!$A$5:$A$504,0)),"")</f>
        <v/>
      </c>
      <c r="H361" s="14" t="str">
        <f aca="false">IFERROR(INDEX('Fault Master'!$B$5:$B$104,MATCH(G361,'Fault Master'!$A$5:$A$104,0)),"")</f>
        <v/>
      </c>
      <c r="I361" s="14" t="str">
        <f aca="false">IFERROR(INDEX('Fault Master'!$C$5:$C$104,MATCH(G361,'Fault Master'!$A$5:$A$104,0)),"")</f>
        <v/>
      </c>
      <c r="M361" s="14" t="str">
        <f aca="false">IFERROR(INDEX('Fault Master'!$D$5:$D$104,MATCH(G361,'Fault Master'!$A$5:$A$104,0)),"")</f>
        <v/>
      </c>
    </row>
    <row r="362" customFormat="false" ht="15" hidden="false" customHeight="true" outlineLevel="0" collapsed="false">
      <c r="A362" s="1" t="n">
        <v>357</v>
      </c>
      <c r="B362" s="13"/>
      <c r="F362" s="14" t="str">
        <f aca="false">IFERROR(INDEX('Operator Master'!$B$5:$B$504,MATCH(E362,'Operator Master'!$A$5:$A$504,0)),"")</f>
        <v/>
      </c>
      <c r="H362" s="14" t="str">
        <f aca="false">IFERROR(INDEX('Fault Master'!$B$5:$B$104,MATCH(G362,'Fault Master'!$A$5:$A$104,0)),"")</f>
        <v/>
      </c>
      <c r="I362" s="14" t="str">
        <f aca="false">IFERROR(INDEX('Fault Master'!$C$5:$C$104,MATCH(G362,'Fault Master'!$A$5:$A$104,0)),"")</f>
        <v/>
      </c>
      <c r="M362" s="14" t="str">
        <f aca="false">IFERROR(INDEX('Fault Master'!$D$5:$D$104,MATCH(G362,'Fault Master'!$A$5:$A$104,0)),"")</f>
        <v/>
      </c>
    </row>
    <row r="363" customFormat="false" ht="15" hidden="false" customHeight="true" outlineLevel="0" collapsed="false">
      <c r="A363" s="1" t="n">
        <v>358</v>
      </c>
      <c r="B363" s="13"/>
      <c r="F363" s="14" t="str">
        <f aca="false">IFERROR(INDEX('Operator Master'!$B$5:$B$504,MATCH(E363,'Operator Master'!$A$5:$A$504,0)),"")</f>
        <v/>
      </c>
      <c r="H363" s="14" t="str">
        <f aca="false">IFERROR(INDEX('Fault Master'!$B$5:$B$104,MATCH(G363,'Fault Master'!$A$5:$A$104,0)),"")</f>
        <v/>
      </c>
      <c r="I363" s="14" t="str">
        <f aca="false">IFERROR(INDEX('Fault Master'!$C$5:$C$104,MATCH(G363,'Fault Master'!$A$5:$A$104,0)),"")</f>
        <v/>
      </c>
      <c r="M363" s="14" t="str">
        <f aca="false">IFERROR(INDEX('Fault Master'!$D$5:$D$104,MATCH(G363,'Fault Master'!$A$5:$A$104,0)),"")</f>
        <v/>
      </c>
    </row>
    <row r="364" customFormat="false" ht="15" hidden="false" customHeight="true" outlineLevel="0" collapsed="false">
      <c r="A364" s="1" t="n">
        <v>359</v>
      </c>
      <c r="B364" s="13"/>
      <c r="F364" s="14" t="str">
        <f aca="false">IFERROR(INDEX('Operator Master'!$B$5:$B$504,MATCH(E364,'Operator Master'!$A$5:$A$504,0)),"")</f>
        <v/>
      </c>
      <c r="H364" s="14" t="str">
        <f aca="false">IFERROR(INDEX('Fault Master'!$B$5:$B$104,MATCH(G364,'Fault Master'!$A$5:$A$104,0)),"")</f>
        <v/>
      </c>
      <c r="I364" s="14" t="str">
        <f aca="false">IFERROR(INDEX('Fault Master'!$C$5:$C$104,MATCH(G364,'Fault Master'!$A$5:$A$104,0)),"")</f>
        <v/>
      </c>
      <c r="M364" s="14" t="str">
        <f aca="false">IFERROR(INDEX('Fault Master'!$D$5:$D$104,MATCH(G364,'Fault Master'!$A$5:$A$104,0)),"")</f>
        <v/>
      </c>
    </row>
    <row r="365" customFormat="false" ht="15" hidden="false" customHeight="true" outlineLevel="0" collapsed="false">
      <c r="A365" s="1" t="n">
        <v>360</v>
      </c>
      <c r="B365" s="13"/>
      <c r="F365" s="14" t="str">
        <f aca="false">IFERROR(INDEX('Operator Master'!$B$5:$B$504,MATCH(E365,'Operator Master'!$A$5:$A$504,0)),"")</f>
        <v/>
      </c>
      <c r="H365" s="14" t="str">
        <f aca="false">IFERROR(INDEX('Fault Master'!$B$5:$B$104,MATCH(G365,'Fault Master'!$A$5:$A$104,0)),"")</f>
        <v/>
      </c>
      <c r="I365" s="14" t="str">
        <f aca="false">IFERROR(INDEX('Fault Master'!$C$5:$C$104,MATCH(G365,'Fault Master'!$A$5:$A$104,0)),"")</f>
        <v/>
      </c>
      <c r="M365" s="14" t="str">
        <f aca="false">IFERROR(INDEX('Fault Master'!$D$5:$D$104,MATCH(G365,'Fault Master'!$A$5:$A$104,0)),"")</f>
        <v/>
      </c>
    </row>
    <row r="366" customFormat="false" ht="15" hidden="false" customHeight="true" outlineLevel="0" collapsed="false">
      <c r="A366" s="1" t="n">
        <v>361</v>
      </c>
      <c r="B366" s="13"/>
      <c r="F366" s="14" t="str">
        <f aca="false">IFERROR(INDEX('Operator Master'!$B$5:$B$504,MATCH(E366,'Operator Master'!$A$5:$A$504,0)),"")</f>
        <v/>
      </c>
      <c r="H366" s="14" t="str">
        <f aca="false">IFERROR(INDEX('Fault Master'!$B$5:$B$104,MATCH(G366,'Fault Master'!$A$5:$A$104,0)),"")</f>
        <v/>
      </c>
      <c r="I366" s="14" t="str">
        <f aca="false">IFERROR(INDEX('Fault Master'!$C$5:$C$104,MATCH(G366,'Fault Master'!$A$5:$A$104,0)),"")</f>
        <v/>
      </c>
      <c r="M366" s="14" t="str">
        <f aca="false">IFERROR(INDEX('Fault Master'!$D$5:$D$104,MATCH(G366,'Fault Master'!$A$5:$A$104,0)),"")</f>
        <v/>
      </c>
    </row>
    <row r="367" customFormat="false" ht="15" hidden="false" customHeight="true" outlineLevel="0" collapsed="false">
      <c r="A367" s="1" t="n">
        <v>362</v>
      </c>
      <c r="B367" s="13"/>
      <c r="F367" s="14" t="str">
        <f aca="false">IFERROR(INDEX('Operator Master'!$B$5:$B$504,MATCH(E367,'Operator Master'!$A$5:$A$504,0)),"")</f>
        <v/>
      </c>
      <c r="H367" s="14" t="str">
        <f aca="false">IFERROR(INDEX('Fault Master'!$B$5:$B$104,MATCH(G367,'Fault Master'!$A$5:$A$104,0)),"")</f>
        <v/>
      </c>
      <c r="I367" s="14" t="str">
        <f aca="false">IFERROR(INDEX('Fault Master'!$C$5:$C$104,MATCH(G367,'Fault Master'!$A$5:$A$104,0)),"")</f>
        <v/>
      </c>
      <c r="M367" s="14" t="str">
        <f aca="false">IFERROR(INDEX('Fault Master'!$D$5:$D$104,MATCH(G367,'Fault Master'!$A$5:$A$104,0)),"")</f>
        <v/>
      </c>
    </row>
    <row r="368" customFormat="false" ht="15" hidden="false" customHeight="true" outlineLevel="0" collapsed="false">
      <c r="A368" s="1" t="n">
        <v>363</v>
      </c>
      <c r="B368" s="13"/>
      <c r="F368" s="14" t="str">
        <f aca="false">IFERROR(INDEX('Operator Master'!$B$5:$B$504,MATCH(E368,'Operator Master'!$A$5:$A$504,0)),"")</f>
        <v/>
      </c>
      <c r="H368" s="14" t="str">
        <f aca="false">IFERROR(INDEX('Fault Master'!$B$5:$B$104,MATCH(G368,'Fault Master'!$A$5:$A$104,0)),"")</f>
        <v/>
      </c>
      <c r="I368" s="14" t="str">
        <f aca="false">IFERROR(INDEX('Fault Master'!$C$5:$C$104,MATCH(G368,'Fault Master'!$A$5:$A$104,0)),"")</f>
        <v/>
      </c>
      <c r="M368" s="14" t="str">
        <f aca="false">IFERROR(INDEX('Fault Master'!$D$5:$D$104,MATCH(G368,'Fault Master'!$A$5:$A$104,0)),"")</f>
        <v/>
      </c>
    </row>
    <row r="369" customFormat="false" ht="15" hidden="false" customHeight="true" outlineLevel="0" collapsed="false">
      <c r="A369" s="1" t="n">
        <v>364</v>
      </c>
      <c r="B369" s="13"/>
      <c r="F369" s="14" t="str">
        <f aca="false">IFERROR(INDEX('Operator Master'!$B$5:$B$504,MATCH(E369,'Operator Master'!$A$5:$A$504,0)),"")</f>
        <v/>
      </c>
      <c r="H369" s="14" t="str">
        <f aca="false">IFERROR(INDEX('Fault Master'!$B$5:$B$104,MATCH(G369,'Fault Master'!$A$5:$A$104,0)),"")</f>
        <v/>
      </c>
      <c r="I369" s="14" t="str">
        <f aca="false">IFERROR(INDEX('Fault Master'!$C$5:$C$104,MATCH(G369,'Fault Master'!$A$5:$A$104,0)),"")</f>
        <v/>
      </c>
      <c r="M369" s="14" t="str">
        <f aca="false">IFERROR(INDEX('Fault Master'!$D$5:$D$104,MATCH(G369,'Fault Master'!$A$5:$A$104,0)),"")</f>
        <v/>
      </c>
    </row>
    <row r="370" customFormat="false" ht="15" hidden="false" customHeight="true" outlineLevel="0" collapsed="false">
      <c r="A370" s="1" t="n">
        <v>365</v>
      </c>
      <c r="B370" s="13"/>
      <c r="F370" s="14" t="str">
        <f aca="false">IFERROR(INDEX('Operator Master'!$B$5:$B$504,MATCH(E370,'Operator Master'!$A$5:$A$504,0)),"")</f>
        <v/>
      </c>
      <c r="H370" s="14" t="str">
        <f aca="false">IFERROR(INDEX('Fault Master'!$B$5:$B$104,MATCH(G370,'Fault Master'!$A$5:$A$104,0)),"")</f>
        <v/>
      </c>
      <c r="I370" s="14" t="str">
        <f aca="false">IFERROR(INDEX('Fault Master'!$C$5:$C$104,MATCH(G370,'Fault Master'!$A$5:$A$104,0)),"")</f>
        <v/>
      </c>
      <c r="M370" s="14" t="str">
        <f aca="false">IFERROR(INDEX('Fault Master'!$D$5:$D$104,MATCH(G370,'Fault Master'!$A$5:$A$104,0)),"")</f>
        <v/>
      </c>
    </row>
    <row r="371" customFormat="false" ht="15" hidden="false" customHeight="true" outlineLevel="0" collapsed="false">
      <c r="A371" s="1" t="n">
        <v>366</v>
      </c>
      <c r="B371" s="13"/>
      <c r="F371" s="14" t="str">
        <f aca="false">IFERROR(INDEX('Operator Master'!$B$5:$B$504,MATCH(E371,'Operator Master'!$A$5:$A$504,0)),"")</f>
        <v/>
      </c>
      <c r="H371" s="14" t="str">
        <f aca="false">IFERROR(INDEX('Fault Master'!$B$5:$B$104,MATCH(G371,'Fault Master'!$A$5:$A$104,0)),"")</f>
        <v/>
      </c>
      <c r="I371" s="14" t="str">
        <f aca="false">IFERROR(INDEX('Fault Master'!$C$5:$C$104,MATCH(G371,'Fault Master'!$A$5:$A$104,0)),"")</f>
        <v/>
      </c>
      <c r="M371" s="14" t="str">
        <f aca="false">IFERROR(INDEX('Fault Master'!$D$5:$D$104,MATCH(G371,'Fault Master'!$A$5:$A$104,0)),"")</f>
        <v/>
      </c>
    </row>
    <row r="372" customFormat="false" ht="15" hidden="false" customHeight="true" outlineLevel="0" collapsed="false">
      <c r="A372" s="1" t="n">
        <v>367</v>
      </c>
      <c r="B372" s="13"/>
      <c r="F372" s="14" t="str">
        <f aca="false">IFERROR(INDEX('Operator Master'!$B$5:$B$504,MATCH(E372,'Operator Master'!$A$5:$A$504,0)),"")</f>
        <v/>
      </c>
      <c r="H372" s="14" t="str">
        <f aca="false">IFERROR(INDEX('Fault Master'!$B$5:$B$104,MATCH(G372,'Fault Master'!$A$5:$A$104,0)),"")</f>
        <v/>
      </c>
      <c r="I372" s="14" t="str">
        <f aca="false">IFERROR(INDEX('Fault Master'!$C$5:$C$104,MATCH(G372,'Fault Master'!$A$5:$A$104,0)),"")</f>
        <v/>
      </c>
      <c r="M372" s="14" t="str">
        <f aca="false">IFERROR(INDEX('Fault Master'!$D$5:$D$104,MATCH(G372,'Fault Master'!$A$5:$A$104,0)),"")</f>
        <v/>
      </c>
    </row>
    <row r="373" customFormat="false" ht="15" hidden="false" customHeight="true" outlineLevel="0" collapsed="false">
      <c r="A373" s="1" t="n">
        <v>368</v>
      </c>
      <c r="B373" s="13"/>
      <c r="F373" s="14" t="str">
        <f aca="false">IFERROR(INDEX('Operator Master'!$B$5:$B$504,MATCH(E373,'Operator Master'!$A$5:$A$504,0)),"")</f>
        <v/>
      </c>
      <c r="H373" s="14" t="str">
        <f aca="false">IFERROR(INDEX('Fault Master'!$B$5:$B$104,MATCH(G373,'Fault Master'!$A$5:$A$104,0)),"")</f>
        <v/>
      </c>
      <c r="I373" s="14" t="str">
        <f aca="false">IFERROR(INDEX('Fault Master'!$C$5:$C$104,MATCH(G373,'Fault Master'!$A$5:$A$104,0)),"")</f>
        <v/>
      </c>
      <c r="M373" s="14" t="str">
        <f aca="false">IFERROR(INDEX('Fault Master'!$D$5:$D$104,MATCH(G373,'Fault Master'!$A$5:$A$104,0)),"")</f>
        <v/>
      </c>
    </row>
    <row r="374" customFormat="false" ht="15" hidden="false" customHeight="true" outlineLevel="0" collapsed="false">
      <c r="A374" s="1" t="n">
        <v>369</v>
      </c>
      <c r="B374" s="13"/>
      <c r="F374" s="14" t="str">
        <f aca="false">IFERROR(INDEX('Operator Master'!$B$5:$B$504,MATCH(E374,'Operator Master'!$A$5:$A$504,0)),"")</f>
        <v/>
      </c>
      <c r="H374" s="14" t="str">
        <f aca="false">IFERROR(INDEX('Fault Master'!$B$5:$B$104,MATCH(G374,'Fault Master'!$A$5:$A$104,0)),"")</f>
        <v/>
      </c>
      <c r="I374" s="14" t="str">
        <f aca="false">IFERROR(INDEX('Fault Master'!$C$5:$C$104,MATCH(G374,'Fault Master'!$A$5:$A$104,0)),"")</f>
        <v/>
      </c>
      <c r="M374" s="14" t="str">
        <f aca="false">IFERROR(INDEX('Fault Master'!$D$5:$D$104,MATCH(G374,'Fault Master'!$A$5:$A$104,0)),"")</f>
        <v/>
      </c>
    </row>
    <row r="375" customFormat="false" ht="15" hidden="false" customHeight="true" outlineLevel="0" collapsed="false">
      <c r="A375" s="1" t="n">
        <v>370</v>
      </c>
      <c r="B375" s="13"/>
      <c r="F375" s="14" t="str">
        <f aca="false">IFERROR(INDEX('Operator Master'!$B$5:$B$504,MATCH(E375,'Operator Master'!$A$5:$A$504,0)),"")</f>
        <v/>
      </c>
      <c r="H375" s="14" t="str">
        <f aca="false">IFERROR(INDEX('Fault Master'!$B$5:$B$104,MATCH(G375,'Fault Master'!$A$5:$A$104,0)),"")</f>
        <v/>
      </c>
      <c r="I375" s="14" t="str">
        <f aca="false">IFERROR(INDEX('Fault Master'!$C$5:$C$104,MATCH(G375,'Fault Master'!$A$5:$A$104,0)),"")</f>
        <v/>
      </c>
      <c r="M375" s="14" t="str">
        <f aca="false">IFERROR(INDEX('Fault Master'!$D$5:$D$104,MATCH(G375,'Fault Master'!$A$5:$A$104,0)),"")</f>
        <v/>
      </c>
    </row>
    <row r="376" customFormat="false" ht="15" hidden="false" customHeight="true" outlineLevel="0" collapsed="false">
      <c r="A376" s="1" t="n">
        <v>371</v>
      </c>
      <c r="B376" s="13"/>
      <c r="F376" s="14" t="str">
        <f aca="false">IFERROR(INDEX('Operator Master'!$B$5:$B$504,MATCH(E376,'Operator Master'!$A$5:$A$504,0)),"")</f>
        <v/>
      </c>
      <c r="H376" s="14" t="str">
        <f aca="false">IFERROR(INDEX('Fault Master'!$B$5:$B$104,MATCH(G376,'Fault Master'!$A$5:$A$104,0)),"")</f>
        <v/>
      </c>
      <c r="I376" s="14" t="str">
        <f aca="false">IFERROR(INDEX('Fault Master'!$C$5:$C$104,MATCH(G376,'Fault Master'!$A$5:$A$104,0)),"")</f>
        <v/>
      </c>
      <c r="M376" s="14" t="str">
        <f aca="false">IFERROR(INDEX('Fault Master'!$D$5:$D$104,MATCH(G376,'Fault Master'!$A$5:$A$104,0)),"")</f>
        <v/>
      </c>
    </row>
    <row r="377" customFormat="false" ht="15" hidden="false" customHeight="true" outlineLevel="0" collapsed="false">
      <c r="A377" s="1" t="n">
        <v>372</v>
      </c>
      <c r="B377" s="13"/>
      <c r="F377" s="14" t="str">
        <f aca="false">IFERROR(INDEX('Operator Master'!$B$5:$B$504,MATCH(E377,'Operator Master'!$A$5:$A$504,0)),"")</f>
        <v/>
      </c>
      <c r="H377" s="14" t="str">
        <f aca="false">IFERROR(INDEX('Fault Master'!$B$5:$B$104,MATCH(G377,'Fault Master'!$A$5:$A$104,0)),"")</f>
        <v/>
      </c>
      <c r="I377" s="14" t="str">
        <f aca="false">IFERROR(INDEX('Fault Master'!$C$5:$C$104,MATCH(G377,'Fault Master'!$A$5:$A$104,0)),"")</f>
        <v/>
      </c>
      <c r="M377" s="14" t="str">
        <f aca="false">IFERROR(INDEX('Fault Master'!$D$5:$D$104,MATCH(G377,'Fault Master'!$A$5:$A$104,0)),"")</f>
        <v/>
      </c>
    </row>
    <row r="378" customFormat="false" ht="15" hidden="false" customHeight="true" outlineLevel="0" collapsed="false">
      <c r="A378" s="1" t="n">
        <v>373</v>
      </c>
      <c r="B378" s="13"/>
      <c r="F378" s="14" t="str">
        <f aca="false">IFERROR(INDEX('Operator Master'!$B$5:$B$504,MATCH(E378,'Operator Master'!$A$5:$A$504,0)),"")</f>
        <v/>
      </c>
      <c r="H378" s="14" t="str">
        <f aca="false">IFERROR(INDEX('Fault Master'!$B$5:$B$104,MATCH(G378,'Fault Master'!$A$5:$A$104,0)),"")</f>
        <v/>
      </c>
      <c r="I378" s="14" t="str">
        <f aca="false">IFERROR(INDEX('Fault Master'!$C$5:$C$104,MATCH(G378,'Fault Master'!$A$5:$A$104,0)),"")</f>
        <v/>
      </c>
      <c r="M378" s="14" t="str">
        <f aca="false">IFERROR(INDEX('Fault Master'!$D$5:$D$104,MATCH(G378,'Fault Master'!$A$5:$A$104,0)),"")</f>
        <v/>
      </c>
    </row>
    <row r="379" customFormat="false" ht="15" hidden="false" customHeight="true" outlineLevel="0" collapsed="false">
      <c r="A379" s="1" t="n">
        <v>374</v>
      </c>
      <c r="B379" s="13"/>
      <c r="F379" s="14" t="str">
        <f aca="false">IFERROR(INDEX('Operator Master'!$B$5:$B$504,MATCH(E379,'Operator Master'!$A$5:$A$504,0)),"")</f>
        <v/>
      </c>
      <c r="H379" s="14" t="str">
        <f aca="false">IFERROR(INDEX('Fault Master'!$B$5:$B$104,MATCH(G379,'Fault Master'!$A$5:$A$104,0)),"")</f>
        <v/>
      </c>
      <c r="I379" s="14" t="str">
        <f aca="false">IFERROR(INDEX('Fault Master'!$C$5:$C$104,MATCH(G379,'Fault Master'!$A$5:$A$104,0)),"")</f>
        <v/>
      </c>
      <c r="M379" s="14" t="str">
        <f aca="false">IFERROR(INDEX('Fault Master'!$D$5:$D$104,MATCH(G379,'Fault Master'!$A$5:$A$104,0)),"")</f>
        <v/>
      </c>
    </row>
    <row r="380" customFormat="false" ht="15" hidden="false" customHeight="true" outlineLevel="0" collapsed="false">
      <c r="A380" s="1" t="n">
        <v>375</v>
      </c>
      <c r="B380" s="13"/>
      <c r="F380" s="14" t="str">
        <f aca="false">IFERROR(INDEX('Operator Master'!$B$5:$B$504,MATCH(E380,'Operator Master'!$A$5:$A$504,0)),"")</f>
        <v/>
      </c>
      <c r="H380" s="14" t="str">
        <f aca="false">IFERROR(INDEX('Fault Master'!$B$5:$B$104,MATCH(G380,'Fault Master'!$A$5:$A$104,0)),"")</f>
        <v/>
      </c>
      <c r="I380" s="14" t="str">
        <f aca="false">IFERROR(INDEX('Fault Master'!$C$5:$C$104,MATCH(G380,'Fault Master'!$A$5:$A$104,0)),"")</f>
        <v/>
      </c>
      <c r="M380" s="14" t="str">
        <f aca="false">IFERROR(INDEX('Fault Master'!$D$5:$D$104,MATCH(G380,'Fault Master'!$A$5:$A$104,0)),"")</f>
        <v/>
      </c>
    </row>
    <row r="381" customFormat="false" ht="15" hidden="false" customHeight="true" outlineLevel="0" collapsed="false">
      <c r="A381" s="1" t="n">
        <v>376</v>
      </c>
      <c r="B381" s="13"/>
      <c r="F381" s="14" t="str">
        <f aca="false">IFERROR(INDEX('Operator Master'!$B$5:$B$504,MATCH(E381,'Operator Master'!$A$5:$A$504,0)),"")</f>
        <v/>
      </c>
      <c r="H381" s="14" t="str">
        <f aca="false">IFERROR(INDEX('Fault Master'!$B$5:$B$104,MATCH(G381,'Fault Master'!$A$5:$A$104,0)),"")</f>
        <v/>
      </c>
      <c r="I381" s="14" t="str">
        <f aca="false">IFERROR(INDEX('Fault Master'!$C$5:$C$104,MATCH(G381,'Fault Master'!$A$5:$A$104,0)),"")</f>
        <v/>
      </c>
      <c r="M381" s="14" t="str">
        <f aca="false">IFERROR(INDEX('Fault Master'!$D$5:$D$104,MATCH(G381,'Fault Master'!$A$5:$A$104,0)),"")</f>
        <v/>
      </c>
    </row>
    <row r="382" customFormat="false" ht="15" hidden="false" customHeight="true" outlineLevel="0" collapsed="false">
      <c r="A382" s="1" t="n">
        <v>377</v>
      </c>
      <c r="B382" s="13"/>
      <c r="F382" s="14" t="str">
        <f aca="false">IFERROR(INDEX('Operator Master'!$B$5:$B$504,MATCH(E382,'Operator Master'!$A$5:$A$504,0)),"")</f>
        <v/>
      </c>
      <c r="H382" s="14" t="str">
        <f aca="false">IFERROR(INDEX('Fault Master'!$B$5:$B$104,MATCH(G382,'Fault Master'!$A$5:$A$104,0)),"")</f>
        <v/>
      </c>
      <c r="I382" s="14" t="str">
        <f aca="false">IFERROR(INDEX('Fault Master'!$C$5:$C$104,MATCH(G382,'Fault Master'!$A$5:$A$104,0)),"")</f>
        <v/>
      </c>
      <c r="M382" s="14" t="str">
        <f aca="false">IFERROR(INDEX('Fault Master'!$D$5:$D$104,MATCH(G382,'Fault Master'!$A$5:$A$104,0)),"")</f>
        <v/>
      </c>
    </row>
    <row r="383" customFormat="false" ht="15" hidden="false" customHeight="true" outlineLevel="0" collapsed="false">
      <c r="A383" s="1" t="n">
        <v>378</v>
      </c>
      <c r="B383" s="13"/>
      <c r="F383" s="14" t="str">
        <f aca="false">IFERROR(INDEX('Operator Master'!$B$5:$B$504,MATCH(E383,'Operator Master'!$A$5:$A$504,0)),"")</f>
        <v/>
      </c>
      <c r="H383" s="14" t="str">
        <f aca="false">IFERROR(INDEX('Fault Master'!$B$5:$B$104,MATCH(G383,'Fault Master'!$A$5:$A$104,0)),"")</f>
        <v/>
      </c>
      <c r="I383" s="14" t="str">
        <f aca="false">IFERROR(INDEX('Fault Master'!$C$5:$C$104,MATCH(G383,'Fault Master'!$A$5:$A$104,0)),"")</f>
        <v/>
      </c>
      <c r="M383" s="14" t="str">
        <f aca="false">IFERROR(INDEX('Fault Master'!$D$5:$D$104,MATCH(G383,'Fault Master'!$A$5:$A$104,0)),"")</f>
        <v/>
      </c>
    </row>
    <row r="384" customFormat="false" ht="15" hidden="false" customHeight="true" outlineLevel="0" collapsed="false">
      <c r="A384" s="1" t="n">
        <v>379</v>
      </c>
      <c r="B384" s="13"/>
      <c r="F384" s="14" t="str">
        <f aca="false">IFERROR(INDEX('Operator Master'!$B$5:$B$504,MATCH(E384,'Operator Master'!$A$5:$A$504,0)),"")</f>
        <v/>
      </c>
      <c r="H384" s="14" t="str">
        <f aca="false">IFERROR(INDEX('Fault Master'!$B$5:$B$104,MATCH(G384,'Fault Master'!$A$5:$A$104,0)),"")</f>
        <v/>
      </c>
      <c r="I384" s="14" t="str">
        <f aca="false">IFERROR(INDEX('Fault Master'!$C$5:$C$104,MATCH(G384,'Fault Master'!$A$5:$A$104,0)),"")</f>
        <v/>
      </c>
      <c r="M384" s="14" t="str">
        <f aca="false">IFERROR(INDEX('Fault Master'!$D$5:$D$104,MATCH(G384,'Fault Master'!$A$5:$A$104,0)),"")</f>
        <v/>
      </c>
    </row>
    <row r="385" customFormat="false" ht="15" hidden="false" customHeight="true" outlineLevel="0" collapsed="false">
      <c r="A385" s="1" t="n">
        <v>380</v>
      </c>
      <c r="B385" s="13"/>
      <c r="F385" s="14" t="str">
        <f aca="false">IFERROR(INDEX('Operator Master'!$B$5:$B$504,MATCH(E385,'Operator Master'!$A$5:$A$504,0)),"")</f>
        <v/>
      </c>
      <c r="H385" s="14" t="str">
        <f aca="false">IFERROR(INDEX('Fault Master'!$B$5:$B$104,MATCH(G385,'Fault Master'!$A$5:$A$104,0)),"")</f>
        <v/>
      </c>
      <c r="I385" s="14" t="str">
        <f aca="false">IFERROR(INDEX('Fault Master'!$C$5:$C$104,MATCH(G385,'Fault Master'!$A$5:$A$104,0)),"")</f>
        <v/>
      </c>
      <c r="M385" s="14" t="str">
        <f aca="false">IFERROR(INDEX('Fault Master'!$D$5:$D$104,MATCH(G385,'Fault Master'!$A$5:$A$104,0)),"")</f>
        <v/>
      </c>
    </row>
    <row r="386" customFormat="false" ht="15" hidden="false" customHeight="true" outlineLevel="0" collapsed="false">
      <c r="A386" s="1" t="n">
        <v>381</v>
      </c>
      <c r="B386" s="13"/>
      <c r="F386" s="14" t="str">
        <f aca="false">IFERROR(INDEX('Operator Master'!$B$5:$B$504,MATCH(E386,'Operator Master'!$A$5:$A$504,0)),"")</f>
        <v/>
      </c>
      <c r="H386" s="14" t="str">
        <f aca="false">IFERROR(INDEX('Fault Master'!$B$5:$B$104,MATCH(G386,'Fault Master'!$A$5:$A$104,0)),"")</f>
        <v/>
      </c>
      <c r="I386" s="14" t="str">
        <f aca="false">IFERROR(INDEX('Fault Master'!$C$5:$C$104,MATCH(G386,'Fault Master'!$A$5:$A$104,0)),"")</f>
        <v/>
      </c>
      <c r="M386" s="14" t="str">
        <f aca="false">IFERROR(INDEX('Fault Master'!$D$5:$D$104,MATCH(G386,'Fault Master'!$A$5:$A$104,0)),"")</f>
        <v/>
      </c>
    </row>
    <row r="387" customFormat="false" ht="15" hidden="false" customHeight="true" outlineLevel="0" collapsed="false">
      <c r="A387" s="1" t="n">
        <v>382</v>
      </c>
      <c r="B387" s="13"/>
      <c r="F387" s="14" t="str">
        <f aca="false">IFERROR(INDEX('Operator Master'!$B$5:$B$504,MATCH(E387,'Operator Master'!$A$5:$A$504,0)),"")</f>
        <v/>
      </c>
      <c r="H387" s="14" t="str">
        <f aca="false">IFERROR(INDEX('Fault Master'!$B$5:$B$104,MATCH(G387,'Fault Master'!$A$5:$A$104,0)),"")</f>
        <v/>
      </c>
      <c r="I387" s="14" t="str">
        <f aca="false">IFERROR(INDEX('Fault Master'!$C$5:$C$104,MATCH(G387,'Fault Master'!$A$5:$A$104,0)),"")</f>
        <v/>
      </c>
      <c r="M387" s="14" t="str">
        <f aca="false">IFERROR(INDEX('Fault Master'!$D$5:$D$104,MATCH(G387,'Fault Master'!$A$5:$A$104,0)),"")</f>
        <v/>
      </c>
    </row>
    <row r="388" customFormat="false" ht="15" hidden="false" customHeight="true" outlineLevel="0" collapsed="false">
      <c r="A388" s="1" t="n">
        <v>383</v>
      </c>
      <c r="B388" s="13"/>
      <c r="F388" s="14" t="str">
        <f aca="false">IFERROR(INDEX('Operator Master'!$B$5:$B$504,MATCH(E388,'Operator Master'!$A$5:$A$504,0)),"")</f>
        <v/>
      </c>
      <c r="H388" s="14" t="str">
        <f aca="false">IFERROR(INDEX('Fault Master'!$B$5:$B$104,MATCH(G388,'Fault Master'!$A$5:$A$104,0)),"")</f>
        <v/>
      </c>
      <c r="I388" s="14" t="str">
        <f aca="false">IFERROR(INDEX('Fault Master'!$C$5:$C$104,MATCH(G388,'Fault Master'!$A$5:$A$104,0)),"")</f>
        <v/>
      </c>
      <c r="M388" s="14" t="str">
        <f aca="false">IFERROR(INDEX('Fault Master'!$D$5:$D$104,MATCH(G388,'Fault Master'!$A$5:$A$104,0)),"")</f>
        <v/>
      </c>
    </row>
    <row r="389" customFormat="false" ht="15" hidden="false" customHeight="true" outlineLevel="0" collapsed="false">
      <c r="A389" s="1" t="n">
        <v>384</v>
      </c>
      <c r="B389" s="13"/>
      <c r="F389" s="14" t="str">
        <f aca="false">IFERROR(INDEX('Operator Master'!$B$5:$B$504,MATCH(E389,'Operator Master'!$A$5:$A$504,0)),"")</f>
        <v/>
      </c>
      <c r="H389" s="14" t="str">
        <f aca="false">IFERROR(INDEX('Fault Master'!$B$5:$B$104,MATCH(G389,'Fault Master'!$A$5:$A$104,0)),"")</f>
        <v/>
      </c>
      <c r="I389" s="14" t="str">
        <f aca="false">IFERROR(INDEX('Fault Master'!$C$5:$C$104,MATCH(G389,'Fault Master'!$A$5:$A$104,0)),"")</f>
        <v/>
      </c>
      <c r="M389" s="14" t="str">
        <f aca="false">IFERROR(INDEX('Fault Master'!$D$5:$D$104,MATCH(G389,'Fault Master'!$A$5:$A$104,0)),"")</f>
        <v/>
      </c>
    </row>
    <row r="390" customFormat="false" ht="15" hidden="false" customHeight="true" outlineLevel="0" collapsed="false">
      <c r="A390" s="1" t="n">
        <v>385</v>
      </c>
      <c r="B390" s="13"/>
      <c r="F390" s="14" t="str">
        <f aca="false">IFERROR(INDEX('Operator Master'!$B$5:$B$504,MATCH(E390,'Operator Master'!$A$5:$A$504,0)),"")</f>
        <v/>
      </c>
      <c r="H390" s="14" t="str">
        <f aca="false">IFERROR(INDEX('Fault Master'!$B$5:$B$104,MATCH(G390,'Fault Master'!$A$5:$A$104,0)),"")</f>
        <v/>
      </c>
      <c r="I390" s="14" t="str">
        <f aca="false">IFERROR(INDEX('Fault Master'!$C$5:$C$104,MATCH(G390,'Fault Master'!$A$5:$A$104,0)),"")</f>
        <v/>
      </c>
      <c r="M390" s="14" t="str">
        <f aca="false">IFERROR(INDEX('Fault Master'!$D$5:$D$104,MATCH(G390,'Fault Master'!$A$5:$A$104,0)),"")</f>
        <v/>
      </c>
    </row>
    <row r="391" customFormat="false" ht="15" hidden="false" customHeight="true" outlineLevel="0" collapsed="false">
      <c r="A391" s="1" t="n">
        <v>386</v>
      </c>
      <c r="B391" s="13"/>
      <c r="F391" s="14" t="str">
        <f aca="false">IFERROR(INDEX('Operator Master'!$B$5:$B$504,MATCH(E391,'Operator Master'!$A$5:$A$504,0)),"")</f>
        <v/>
      </c>
      <c r="H391" s="14" t="str">
        <f aca="false">IFERROR(INDEX('Fault Master'!$B$5:$B$104,MATCH(G391,'Fault Master'!$A$5:$A$104,0)),"")</f>
        <v/>
      </c>
      <c r="I391" s="14" t="str">
        <f aca="false">IFERROR(INDEX('Fault Master'!$C$5:$C$104,MATCH(G391,'Fault Master'!$A$5:$A$104,0)),"")</f>
        <v/>
      </c>
      <c r="M391" s="14" t="str">
        <f aca="false">IFERROR(INDEX('Fault Master'!$D$5:$D$104,MATCH(G391,'Fault Master'!$A$5:$A$104,0)),"")</f>
        <v/>
      </c>
    </row>
    <row r="392" customFormat="false" ht="15" hidden="false" customHeight="true" outlineLevel="0" collapsed="false">
      <c r="A392" s="1" t="n">
        <v>387</v>
      </c>
      <c r="B392" s="13"/>
      <c r="F392" s="14" t="str">
        <f aca="false">IFERROR(INDEX('Operator Master'!$B$5:$B$504,MATCH(E392,'Operator Master'!$A$5:$A$504,0)),"")</f>
        <v/>
      </c>
      <c r="H392" s="14" t="str">
        <f aca="false">IFERROR(INDEX('Fault Master'!$B$5:$B$104,MATCH(G392,'Fault Master'!$A$5:$A$104,0)),"")</f>
        <v/>
      </c>
      <c r="I392" s="14" t="str">
        <f aca="false">IFERROR(INDEX('Fault Master'!$C$5:$C$104,MATCH(G392,'Fault Master'!$A$5:$A$104,0)),"")</f>
        <v/>
      </c>
      <c r="M392" s="14" t="str">
        <f aca="false">IFERROR(INDEX('Fault Master'!$D$5:$D$104,MATCH(G392,'Fault Master'!$A$5:$A$104,0)),"")</f>
        <v/>
      </c>
    </row>
    <row r="393" customFormat="false" ht="15" hidden="false" customHeight="true" outlineLevel="0" collapsed="false">
      <c r="A393" s="1" t="n">
        <v>388</v>
      </c>
      <c r="B393" s="13"/>
      <c r="F393" s="14" t="str">
        <f aca="false">IFERROR(INDEX('Operator Master'!$B$5:$B$504,MATCH(E393,'Operator Master'!$A$5:$A$504,0)),"")</f>
        <v/>
      </c>
      <c r="H393" s="14" t="str">
        <f aca="false">IFERROR(INDEX('Fault Master'!$B$5:$B$104,MATCH(G393,'Fault Master'!$A$5:$A$104,0)),"")</f>
        <v/>
      </c>
      <c r="I393" s="14" t="str">
        <f aca="false">IFERROR(INDEX('Fault Master'!$C$5:$C$104,MATCH(G393,'Fault Master'!$A$5:$A$104,0)),"")</f>
        <v/>
      </c>
      <c r="M393" s="14" t="str">
        <f aca="false">IFERROR(INDEX('Fault Master'!$D$5:$D$104,MATCH(G393,'Fault Master'!$A$5:$A$104,0)),"")</f>
        <v/>
      </c>
    </row>
    <row r="394" customFormat="false" ht="15" hidden="false" customHeight="true" outlineLevel="0" collapsed="false">
      <c r="A394" s="1" t="n">
        <v>389</v>
      </c>
      <c r="B394" s="13"/>
      <c r="F394" s="14" t="str">
        <f aca="false">IFERROR(INDEX('Operator Master'!$B$5:$B$504,MATCH(E394,'Operator Master'!$A$5:$A$504,0)),"")</f>
        <v/>
      </c>
      <c r="H394" s="14" t="str">
        <f aca="false">IFERROR(INDEX('Fault Master'!$B$5:$B$104,MATCH(G394,'Fault Master'!$A$5:$A$104,0)),"")</f>
        <v/>
      </c>
      <c r="I394" s="14" t="str">
        <f aca="false">IFERROR(INDEX('Fault Master'!$C$5:$C$104,MATCH(G394,'Fault Master'!$A$5:$A$104,0)),"")</f>
        <v/>
      </c>
      <c r="M394" s="14" t="str">
        <f aca="false">IFERROR(INDEX('Fault Master'!$D$5:$D$104,MATCH(G394,'Fault Master'!$A$5:$A$104,0)),"")</f>
        <v/>
      </c>
    </row>
    <row r="395" customFormat="false" ht="15" hidden="false" customHeight="true" outlineLevel="0" collapsed="false">
      <c r="A395" s="1" t="n">
        <v>390</v>
      </c>
      <c r="B395" s="13"/>
      <c r="F395" s="14" t="str">
        <f aca="false">IFERROR(INDEX('Operator Master'!$B$5:$B$504,MATCH(E395,'Operator Master'!$A$5:$A$504,0)),"")</f>
        <v/>
      </c>
      <c r="H395" s="14" t="str">
        <f aca="false">IFERROR(INDEX('Fault Master'!$B$5:$B$104,MATCH(G395,'Fault Master'!$A$5:$A$104,0)),"")</f>
        <v/>
      </c>
      <c r="I395" s="14" t="str">
        <f aca="false">IFERROR(INDEX('Fault Master'!$C$5:$C$104,MATCH(G395,'Fault Master'!$A$5:$A$104,0)),"")</f>
        <v/>
      </c>
      <c r="M395" s="14" t="str">
        <f aca="false">IFERROR(INDEX('Fault Master'!$D$5:$D$104,MATCH(G395,'Fault Master'!$A$5:$A$104,0)),"")</f>
        <v/>
      </c>
    </row>
    <row r="396" customFormat="false" ht="15" hidden="false" customHeight="true" outlineLevel="0" collapsed="false">
      <c r="A396" s="1" t="n">
        <v>391</v>
      </c>
      <c r="B396" s="13"/>
      <c r="F396" s="14" t="str">
        <f aca="false">IFERROR(INDEX('Operator Master'!$B$5:$B$504,MATCH(E396,'Operator Master'!$A$5:$A$504,0)),"")</f>
        <v/>
      </c>
      <c r="H396" s="14" t="str">
        <f aca="false">IFERROR(INDEX('Fault Master'!$B$5:$B$104,MATCH(G396,'Fault Master'!$A$5:$A$104,0)),"")</f>
        <v/>
      </c>
      <c r="I396" s="14" t="str">
        <f aca="false">IFERROR(INDEX('Fault Master'!$C$5:$C$104,MATCH(G396,'Fault Master'!$A$5:$A$104,0)),"")</f>
        <v/>
      </c>
      <c r="M396" s="14" t="str">
        <f aca="false">IFERROR(INDEX('Fault Master'!$D$5:$D$104,MATCH(G396,'Fault Master'!$A$5:$A$104,0)),"")</f>
        <v/>
      </c>
    </row>
    <row r="397" customFormat="false" ht="15" hidden="false" customHeight="true" outlineLevel="0" collapsed="false">
      <c r="A397" s="1" t="n">
        <v>392</v>
      </c>
      <c r="B397" s="13"/>
      <c r="F397" s="14" t="str">
        <f aca="false">IFERROR(INDEX('Operator Master'!$B$5:$B$504,MATCH(E397,'Operator Master'!$A$5:$A$504,0)),"")</f>
        <v/>
      </c>
      <c r="H397" s="14" t="str">
        <f aca="false">IFERROR(INDEX('Fault Master'!$B$5:$B$104,MATCH(G397,'Fault Master'!$A$5:$A$104,0)),"")</f>
        <v/>
      </c>
      <c r="I397" s="14" t="str">
        <f aca="false">IFERROR(INDEX('Fault Master'!$C$5:$C$104,MATCH(G397,'Fault Master'!$A$5:$A$104,0)),"")</f>
        <v/>
      </c>
      <c r="M397" s="14" t="str">
        <f aca="false">IFERROR(INDEX('Fault Master'!$D$5:$D$104,MATCH(G397,'Fault Master'!$A$5:$A$104,0)),"")</f>
        <v/>
      </c>
    </row>
    <row r="398" customFormat="false" ht="15" hidden="false" customHeight="true" outlineLevel="0" collapsed="false">
      <c r="A398" s="1" t="n">
        <v>393</v>
      </c>
      <c r="B398" s="13"/>
      <c r="F398" s="14" t="str">
        <f aca="false">IFERROR(INDEX('Operator Master'!$B$5:$B$504,MATCH(E398,'Operator Master'!$A$5:$A$504,0)),"")</f>
        <v/>
      </c>
      <c r="H398" s="14" t="str">
        <f aca="false">IFERROR(INDEX('Fault Master'!$B$5:$B$104,MATCH(G398,'Fault Master'!$A$5:$A$104,0)),"")</f>
        <v/>
      </c>
      <c r="I398" s="14" t="str">
        <f aca="false">IFERROR(INDEX('Fault Master'!$C$5:$C$104,MATCH(G398,'Fault Master'!$A$5:$A$104,0)),"")</f>
        <v/>
      </c>
      <c r="M398" s="14" t="str">
        <f aca="false">IFERROR(INDEX('Fault Master'!$D$5:$D$104,MATCH(G398,'Fault Master'!$A$5:$A$104,0)),"")</f>
        <v/>
      </c>
    </row>
    <row r="399" customFormat="false" ht="15" hidden="false" customHeight="true" outlineLevel="0" collapsed="false">
      <c r="A399" s="1" t="n">
        <v>394</v>
      </c>
      <c r="B399" s="13"/>
      <c r="F399" s="14" t="str">
        <f aca="false">IFERROR(INDEX('Operator Master'!$B$5:$B$504,MATCH(E399,'Operator Master'!$A$5:$A$504,0)),"")</f>
        <v/>
      </c>
      <c r="H399" s="14" t="str">
        <f aca="false">IFERROR(INDEX('Fault Master'!$B$5:$B$104,MATCH(G399,'Fault Master'!$A$5:$A$104,0)),"")</f>
        <v/>
      </c>
      <c r="I399" s="14" t="str">
        <f aca="false">IFERROR(INDEX('Fault Master'!$C$5:$C$104,MATCH(G399,'Fault Master'!$A$5:$A$104,0)),"")</f>
        <v/>
      </c>
      <c r="M399" s="14" t="str">
        <f aca="false">IFERROR(INDEX('Fault Master'!$D$5:$D$104,MATCH(G399,'Fault Master'!$A$5:$A$104,0)),"")</f>
        <v/>
      </c>
    </row>
    <row r="400" customFormat="false" ht="15" hidden="false" customHeight="true" outlineLevel="0" collapsed="false">
      <c r="A400" s="1" t="n">
        <v>395</v>
      </c>
      <c r="B400" s="13"/>
      <c r="F400" s="14" t="str">
        <f aca="false">IFERROR(INDEX('Operator Master'!$B$5:$B$504,MATCH(E400,'Operator Master'!$A$5:$A$504,0)),"")</f>
        <v/>
      </c>
      <c r="H400" s="14" t="str">
        <f aca="false">IFERROR(INDEX('Fault Master'!$B$5:$B$104,MATCH(G400,'Fault Master'!$A$5:$A$104,0)),"")</f>
        <v/>
      </c>
      <c r="I400" s="14" t="str">
        <f aca="false">IFERROR(INDEX('Fault Master'!$C$5:$C$104,MATCH(G400,'Fault Master'!$A$5:$A$104,0)),"")</f>
        <v/>
      </c>
      <c r="M400" s="14" t="str">
        <f aca="false">IFERROR(INDEX('Fault Master'!$D$5:$D$104,MATCH(G400,'Fault Master'!$A$5:$A$104,0)),"")</f>
        <v/>
      </c>
    </row>
    <row r="401" customFormat="false" ht="15" hidden="false" customHeight="true" outlineLevel="0" collapsed="false">
      <c r="A401" s="1" t="n">
        <v>396</v>
      </c>
      <c r="B401" s="13"/>
      <c r="F401" s="14" t="str">
        <f aca="false">IFERROR(INDEX('Operator Master'!$B$5:$B$504,MATCH(E401,'Operator Master'!$A$5:$A$504,0)),"")</f>
        <v/>
      </c>
      <c r="H401" s="14" t="str">
        <f aca="false">IFERROR(INDEX('Fault Master'!$B$5:$B$104,MATCH(G401,'Fault Master'!$A$5:$A$104,0)),"")</f>
        <v/>
      </c>
      <c r="I401" s="14" t="str">
        <f aca="false">IFERROR(INDEX('Fault Master'!$C$5:$C$104,MATCH(G401,'Fault Master'!$A$5:$A$104,0)),"")</f>
        <v/>
      </c>
      <c r="M401" s="14" t="str">
        <f aca="false">IFERROR(INDEX('Fault Master'!$D$5:$D$104,MATCH(G401,'Fault Master'!$A$5:$A$104,0)),"")</f>
        <v/>
      </c>
    </row>
    <row r="402" customFormat="false" ht="15" hidden="false" customHeight="true" outlineLevel="0" collapsed="false">
      <c r="A402" s="1" t="n">
        <v>397</v>
      </c>
      <c r="B402" s="13"/>
      <c r="F402" s="14" t="str">
        <f aca="false">IFERROR(INDEX('Operator Master'!$B$5:$B$504,MATCH(E402,'Operator Master'!$A$5:$A$504,0)),"")</f>
        <v/>
      </c>
      <c r="H402" s="14" t="str">
        <f aca="false">IFERROR(INDEX('Fault Master'!$B$5:$B$104,MATCH(G402,'Fault Master'!$A$5:$A$104,0)),"")</f>
        <v/>
      </c>
      <c r="I402" s="14" t="str">
        <f aca="false">IFERROR(INDEX('Fault Master'!$C$5:$C$104,MATCH(G402,'Fault Master'!$A$5:$A$104,0)),"")</f>
        <v/>
      </c>
      <c r="M402" s="14" t="str">
        <f aca="false">IFERROR(INDEX('Fault Master'!$D$5:$D$104,MATCH(G402,'Fault Master'!$A$5:$A$104,0)),"")</f>
        <v/>
      </c>
    </row>
    <row r="403" customFormat="false" ht="15" hidden="false" customHeight="true" outlineLevel="0" collapsed="false">
      <c r="A403" s="1" t="n">
        <v>398</v>
      </c>
      <c r="B403" s="13"/>
      <c r="F403" s="14" t="str">
        <f aca="false">IFERROR(INDEX('Operator Master'!$B$5:$B$504,MATCH(E403,'Operator Master'!$A$5:$A$504,0)),"")</f>
        <v/>
      </c>
      <c r="H403" s="14" t="str">
        <f aca="false">IFERROR(INDEX('Fault Master'!$B$5:$B$104,MATCH(G403,'Fault Master'!$A$5:$A$104,0)),"")</f>
        <v/>
      </c>
      <c r="I403" s="14" t="str">
        <f aca="false">IFERROR(INDEX('Fault Master'!$C$5:$C$104,MATCH(G403,'Fault Master'!$A$5:$A$104,0)),"")</f>
        <v/>
      </c>
      <c r="M403" s="14" t="str">
        <f aca="false">IFERROR(INDEX('Fault Master'!$D$5:$D$104,MATCH(G403,'Fault Master'!$A$5:$A$104,0)),"")</f>
        <v/>
      </c>
    </row>
    <row r="404" customFormat="false" ht="15" hidden="false" customHeight="true" outlineLevel="0" collapsed="false">
      <c r="A404" s="1" t="n">
        <v>399</v>
      </c>
      <c r="B404" s="13"/>
      <c r="F404" s="14" t="str">
        <f aca="false">IFERROR(INDEX('Operator Master'!$B$5:$B$504,MATCH(E404,'Operator Master'!$A$5:$A$504,0)),"")</f>
        <v/>
      </c>
      <c r="H404" s="14" t="str">
        <f aca="false">IFERROR(INDEX('Fault Master'!$B$5:$B$104,MATCH(G404,'Fault Master'!$A$5:$A$104,0)),"")</f>
        <v/>
      </c>
      <c r="I404" s="14" t="str">
        <f aca="false">IFERROR(INDEX('Fault Master'!$C$5:$C$104,MATCH(G404,'Fault Master'!$A$5:$A$104,0)),"")</f>
        <v/>
      </c>
      <c r="M404" s="14" t="str">
        <f aca="false">IFERROR(INDEX('Fault Master'!$D$5:$D$104,MATCH(G404,'Fault Master'!$A$5:$A$104,0)),"")</f>
        <v/>
      </c>
    </row>
    <row r="405" customFormat="false" ht="15" hidden="false" customHeight="true" outlineLevel="0" collapsed="false">
      <c r="A405" s="1" t="n">
        <v>400</v>
      </c>
      <c r="B405" s="13"/>
      <c r="F405" s="14" t="str">
        <f aca="false">IFERROR(INDEX('Operator Master'!$B$5:$B$504,MATCH(E405,'Operator Master'!$A$5:$A$504,0)),"")</f>
        <v/>
      </c>
      <c r="H405" s="14" t="str">
        <f aca="false">IFERROR(INDEX('Fault Master'!$B$5:$B$104,MATCH(G405,'Fault Master'!$A$5:$A$104,0)),"")</f>
        <v/>
      </c>
      <c r="I405" s="14" t="str">
        <f aca="false">IFERROR(INDEX('Fault Master'!$C$5:$C$104,MATCH(G405,'Fault Master'!$A$5:$A$104,0)),"")</f>
        <v/>
      </c>
      <c r="M405" s="14" t="str">
        <f aca="false">IFERROR(INDEX('Fault Master'!$D$5:$D$104,MATCH(G405,'Fault Master'!$A$5:$A$104,0)),"")</f>
        <v/>
      </c>
    </row>
    <row r="406" customFormat="false" ht="15" hidden="false" customHeight="true" outlineLevel="0" collapsed="false">
      <c r="A406" s="1" t="n">
        <v>401</v>
      </c>
      <c r="B406" s="13"/>
      <c r="F406" s="14" t="str">
        <f aca="false">IFERROR(INDEX('Operator Master'!$B$5:$B$504,MATCH(E406,'Operator Master'!$A$5:$A$504,0)),"")</f>
        <v/>
      </c>
      <c r="H406" s="14" t="str">
        <f aca="false">IFERROR(INDEX('Fault Master'!$B$5:$B$104,MATCH(G406,'Fault Master'!$A$5:$A$104,0)),"")</f>
        <v/>
      </c>
      <c r="I406" s="14" t="str">
        <f aca="false">IFERROR(INDEX('Fault Master'!$C$5:$C$104,MATCH(G406,'Fault Master'!$A$5:$A$104,0)),"")</f>
        <v/>
      </c>
      <c r="M406" s="14" t="str">
        <f aca="false">IFERROR(INDEX('Fault Master'!$D$5:$D$104,MATCH(G406,'Fault Master'!$A$5:$A$104,0)),"")</f>
        <v/>
      </c>
    </row>
    <row r="407" customFormat="false" ht="15" hidden="false" customHeight="true" outlineLevel="0" collapsed="false">
      <c r="A407" s="1" t="n">
        <v>402</v>
      </c>
      <c r="B407" s="13"/>
      <c r="F407" s="14" t="str">
        <f aca="false">IFERROR(INDEX('Operator Master'!$B$5:$B$504,MATCH(E407,'Operator Master'!$A$5:$A$504,0)),"")</f>
        <v/>
      </c>
      <c r="H407" s="14" t="str">
        <f aca="false">IFERROR(INDEX('Fault Master'!$B$5:$B$104,MATCH(G407,'Fault Master'!$A$5:$A$104,0)),"")</f>
        <v/>
      </c>
      <c r="I407" s="14" t="str">
        <f aca="false">IFERROR(INDEX('Fault Master'!$C$5:$C$104,MATCH(G407,'Fault Master'!$A$5:$A$104,0)),"")</f>
        <v/>
      </c>
      <c r="M407" s="14" t="str">
        <f aca="false">IFERROR(INDEX('Fault Master'!$D$5:$D$104,MATCH(G407,'Fault Master'!$A$5:$A$104,0)),"")</f>
        <v/>
      </c>
    </row>
    <row r="408" customFormat="false" ht="15" hidden="false" customHeight="true" outlineLevel="0" collapsed="false">
      <c r="A408" s="1" t="n">
        <v>403</v>
      </c>
      <c r="B408" s="13"/>
      <c r="F408" s="14" t="str">
        <f aca="false">IFERROR(INDEX('Operator Master'!$B$5:$B$504,MATCH(E408,'Operator Master'!$A$5:$A$504,0)),"")</f>
        <v/>
      </c>
      <c r="H408" s="14" t="str">
        <f aca="false">IFERROR(INDEX('Fault Master'!$B$5:$B$104,MATCH(G408,'Fault Master'!$A$5:$A$104,0)),"")</f>
        <v/>
      </c>
      <c r="I408" s="14" t="str">
        <f aca="false">IFERROR(INDEX('Fault Master'!$C$5:$C$104,MATCH(G408,'Fault Master'!$A$5:$A$104,0)),"")</f>
        <v/>
      </c>
      <c r="M408" s="14" t="str">
        <f aca="false">IFERROR(INDEX('Fault Master'!$D$5:$D$104,MATCH(G408,'Fault Master'!$A$5:$A$104,0)),"")</f>
        <v/>
      </c>
    </row>
    <row r="409" customFormat="false" ht="15" hidden="false" customHeight="true" outlineLevel="0" collapsed="false">
      <c r="A409" s="1" t="n">
        <v>404</v>
      </c>
      <c r="B409" s="13"/>
      <c r="F409" s="14" t="str">
        <f aca="false">IFERROR(INDEX('Operator Master'!$B$5:$B$504,MATCH(E409,'Operator Master'!$A$5:$A$504,0)),"")</f>
        <v/>
      </c>
      <c r="H409" s="14" t="str">
        <f aca="false">IFERROR(INDEX('Fault Master'!$B$5:$B$104,MATCH(G409,'Fault Master'!$A$5:$A$104,0)),"")</f>
        <v/>
      </c>
      <c r="I409" s="14" t="str">
        <f aca="false">IFERROR(INDEX('Fault Master'!$C$5:$C$104,MATCH(G409,'Fault Master'!$A$5:$A$104,0)),"")</f>
        <v/>
      </c>
      <c r="M409" s="14" t="str">
        <f aca="false">IFERROR(INDEX('Fault Master'!$D$5:$D$104,MATCH(G409,'Fault Master'!$A$5:$A$104,0)),"")</f>
        <v/>
      </c>
    </row>
    <row r="410" customFormat="false" ht="15" hidden="false" customHeight="true" outlineLevel="0" collapsed="false">
      <c r="A410" s="1" t="n">
        <v>405</v>
      </c>
      <c r="B410" s="13"/>
      <c r="F410" s="14" t="str">
        <f aca="false">IFERROR(INDEX('Operator Master'!$B$5:$B$504,MATCH(E410,'Operator Master'!$A$5:$A$504,0)),"")</f>
        <v/>
      </c>
      <c r="H410" s="14" t="str">
        <f aca="false">IFERROR(INDEX('Fault Master'!$B$5:$B$104,MATCH(G410,'Fault Master'!$A$5:$A$104,0)),"")</f>
        <v/>
      </c>
      <c r="I410" s="14" t="str">
        <f aca="false">IFERROR(INDEX('Fault Master'!$C$5:$C$104,MATCH(G410,'Fault Master'!$A$5:$A$104,0)),"")</f>
        <v/>
      </c>
      <c r="M410" s="14" t="str">
        <f aca="false">IFERROR(INDEX('Fault Master'!$D$5:$D$104,MATCH(G410,'Fault Master'!$A$5:$A$104,0)),"")</f>
        <v/>
      </c>
    </row>
    <row r="411" customFormat="false" ht="15" hidden="false" customHeight="true" outlineLevel="0" collapsed="false">
      <c r="A411" s="1" t="n">
        <v>406</v>
      </c>
      <c r="B411" s="13"/>
      <c r="F411" s="14" t="str">
        <f aca="false">IFERROR(INDEX('Operator Master'!$B$5:$B$504,MATCH(E411,'Operator Master'!$A$5:$A$504,0)),"")</f>
        <v/>
      </c>
      <c r="H411" s="14" t="str">
        <f aca="false">IFERROR(INDEX('Fault Master'!$B$5:$B$104,MATCH(G411,'Fault Master'!$A$5:$A$104,0)),"")</f>
        <v/>
      </c>
      <c r="I411" s="14" t="str">
        <f aca="false">IFERROR(INDEX('Fault Master'!$C$5:$C$104,MATCH(G411,'Fault Master'!$A$5:$A$104,0)),"")</f>
        <v/>
      </c>
      <c r="M411" s="14" t="str">
        <f aca="false">IFERROR(INDEX('Fault Master'!$D$5:$D$104,MATCH(G411,'Fault Master'!$A$5:$A$104,0)),"")</f>
        <v/>
      </c>
    </row>
    <row r="412" customFormat="false" ht="15" hidden="false" customHeight="true" outlineLevel="0" collapsed="false">
      <c r="A412" s="1" t="n">
        <v>407</v>
      </c>
      <c r="B412" s="13"/>
      <c r="F412" s="14" t="str">
        <f aca="false">IFERROR(INDEX('Operator Master'!$B$5:$B$504,MATCH(E412,'Operator Master'!$A$5:$A$504,0)),"")</f>
        <v/>
      </c>
      <c r="H412" s="14" t="str">
        <f aca="false">IFERROR(INDEX('Fault Master'!$B$5:$B$104,MATCH(G412,'Fault Master'!$A$5:$A$104,0)),"")</f>
        <v/>
      </c>
      <c r="I412" s="14" t="str">
        <f aca="false">IFERROR(INDEX('Fault Master'!$C$5:$C$104,MATCH(G412,'Fault Master'!$A$5:$A$104,0)),"")</f>
        <v/>
      </c>
      <c r="M412" s="14" t="str">
        <f aca="false">IFERROR(INDEX('Fault Master'!$D$5:$D$104,MATCH(G412,'Fault Master'!$A$5:$A$104,0)),"")</f>
        <v/>
      </c>
    </row>
    <row r="413" customFormat="false" ht="15" hidden="false" customHeight="true" outlineLevel="0" collapsed="false">
      <c r="A413" s="1" t="n">
        <v>408</v>
      </c>
      <c r="B413" s="13"/>
      <c r="F413" s="14" t="str">
        <f aca="false">IFERROR(INDEX('Operator Master'!$B$5:$B$504,MATCH(E413,'Operator Master'!$A$5:$A$504,0)),"")</f>
        <v/>
      </c>
      <c r="H413" s="14" t="str">
        <f aca="false">IFERROR(INDEX('Fault Master'!$B$5:$B$104,MATCH(G413,'Fault Master'!$A$5:$A$104,0)),"")</f>
        <v/>
      </c>
      <c r="I413" s="14" t="str">
        <f aca="false">IFERROR(INDEX('Fault Master'!$C$5:$C$104,MATCH(G413,'Fault Master'!$A$5:$A$104,0)),"")</f>
        <v/>
      </c>
      <c r="M413" s="14" t="str">
        <f aca="false">IFERROR(INDEX('Fault Master'!$D$5:$D$104,MATCH(G413,'Fault Master'!$A$5:$A$104,0)),"")</f>
        <v/>
      </c>
    </row>
    <row r="414" customFormat="false" ht="15" hidden="false" customHeight="true" outlineLevel="0" collapsed="false">
      <c r="A414" s="1" t="n">
        <v>409</v>
      </c>
      <c r="B414" s="13"/>
      <c r="F414" s="14" t="str">
        <f aca="false">IFERROR(INDEX('Operator Master'!$B$5:$B$504,MATCH(E414,'Operator Master'!$A$5:$A$504,0)),"")</f>
        <v/>
      </c>
      <c r="H414" s="14" t="str">
        <f aca="false">IFERROR(INDEX('Fault Master'!$B$5:$B$104,MATCH(G414,'Fault Master'!$A$5:$A$104,0)),"")</f>
        <v/>
      </c>
      <c r="I414" s="14" t="str">
        <f aca="false">IFERROR(INDEX('Fault Master'!$C$5:$C$104,MATCH(G414,'Fault Master'!$A$5:$A$104,0)),"")</f>
        <v/>
      </c>
      <c r="M414" s="14" t="str">
        <f aca="false">IFERROR(INDEX('Fault Master'!$D$5:$D$104,MATCH(G414,'Fault Master'!$A$5:$A$104,0)),"")</f>
        <v/>
      </c>
    </row>
    <row r="415" customFormat="false" ht="15" hidden="false" customHeight="true" outlineLevel="0" collapsed="false">
      <c r="A415" s="1" t="n">
        <v>410</v>
      </c>
      <c r="B415" s="13"/>
      <c r="F415" s="14" t="str">
        <f aca="false">IFERROR(INDEX('Operator Master'!$B$5:$B$504,MATCH(E415,'Operator Master'!$A$5:$A$504,0)),"")</f>
        <v/>
      </c>
      <c r="H415" s="14" t="str">
        <f aca="false">IFERROR(INDEX('Fault Master'!$B$5:$B$104,MATCH(G415,'Fault Master'!$A$5:$A$104,0)),"")</f>
        <v/>
      </c>
      <c r="I415" s="14" t="str">
        <f aca="false">IFERROR(INDEX('Fault Master'!$C$5:$C$104,MATCH(G415,'Fault Master'!$A$5:$A$104,0)),"")</f>
        <v/>
      </c>
      <c r="M415" s="14" t="str">
        <f aca="false">IFERROR(INDEX('Fault Master'!$D$5:$D$104,MATCH(G415,'Fault Master'!$A$5:$A$104,0)),"")</f>
        <v/>
      </c>
    </row>
    <row r="416" customFormat="false" ht="15" hidden="false" customHeight="true" outlineLevel="0" collapsed="false">
      <c r="A416" s="1" t="n">
        <v>411</v>
      </c>
      <c r="B416" s="13"/>
      <c r="F416" s="14" t="str">
        <f aca="false">IFERROR(INDEX('Operator Master'!$B$5:$B$504,MATCH(E416,'Operator Master'!$A$5:$A$504,0)),"")</f>
        <v/>
      </c>
      <c r="H416" s="14" t="str">
        <f aca="false">IFERROR(INDEX('Fault Master'!$B$5:$B$104,MATCH(G416,'Fault Master'!$A$5:$A$104,0)),"")</f>
        <v/>
      </c>
      <c r="I416" s="14" t="str">
        <f aca="false">IFERROR(INDEX('Fault Master'!$C$5:$C$104,MATCH(G416,'Fault Master'!$A$5:$A$104,0)),"")</f>
        <v/>
      </c>
      <c r="M416" s="14" t="str">
        <f aca="false">IFERROR(INDEX('Fault Master'!$D$5:$D$104,MATCH(G416,'Fault Master'!$A$5:$A$104,0)),"")</f>
        <v/>
      </c>
    </row>
    <row r="417" customFormat="false" ht="15" hidden="false" customHeight="true" outlineLevel="0" collapsed="false">
      <c r="A417" s="1" t="n">
        <v>412</v>
      </c>
      <c r="B417" s="13"/>
      <c r="F417" s="14" t="str">
        <f aca="false">IFERROR(INDEX('Operator Master'!$B$5:$B$504,MATCH(E417,'Operator Master'!$A$5:$A$504,0)),"")</f>
        <v/>
      </c>
      <c r="H417" s="14" t="str">
        <f aca="false">IFERROR(INDEX('Fault Master'!$B$5:$B$104,MATCH(G417,'Fault Master'!$A$5:$A$104,0)),"")</f>
        <v/>
      </c>
      <c r="I417" s="14" t="str">
        <f aca="false">IFERROR(INDEX('Fault Master'!$C$5:$C$104,MATCH(G417,'Fault Master'!$A$5:$A$104,0)),"")</f>
        <v/>
      </c>
      <c r="M417" s="14" t="str">
        <f aca="false">IFERROR(INDEX('Fault Master'!$D$5:$D$104,MATCH(G417,'Fault Master'!$A$5:$A$104,0)),"")</f>
        <v/>
      </c>
    </row>
    <row r="418" customFormat="false" ht="15" hidden="false" customHeight="true" outlineLevel="0" collapsed="false">
      <c r="A418" s="1" t="n">
        <v>413</v>
      </c>
      <c r="B418" s="13"/>
      <c r="F418" s="14" t="str">
        <f aca="false">IFERROR(INDEX('Operator Master'!$B$5:$B$504,MATCH(E418,'Operator Master'!$A$5:$A$504,0)),"")</f>
        <v/>
      </c>
      <c r="H418" s="14" t="str">
        <f aca="false">IFERROR(INDEX('Fault Master'!$B$5:$B$104,MATCH(G418,'Fault Master'!$A$5:$A$104,0)),"")</f>
        <v/>
      </c>
      <c r="I418" s="14" t="str">
        <f aca="false">IFERROR(INDEX('Fault Master'!$C$5:$C$104,MATCH(G418,'Fault Master'!$A$5:$A$104,0)),"")</f>
        <v/>
      </c>
      <c r="M418" s="14" t="str">
        <f aca="false">IFERROR(INDEX('Fault Master'!$D$5:$D$104,MATCH(G418,'Fault Master'!$A$5:$A$104,0)),"")</f>
        <v/>
      </c>
    </row>
    <row r="419" customFormat="false" ht="15" hidden="false" customHeight="true" outlineLevel="0" collapsed="false">
      <c r="A419" s="1" t="n">
        <v>414</v>
      </c>
      <c r="B419" s="13"/>
      <c r="F419" s="14" t="str">
        <f aca="false">IFERROR(INDEX('Operator Master'!$B$5:$B$504,MATCH(E419,'Operator Master'!$A$5:$A$504,0)),"")</f>
        <v/>
      </c>
      <c r="H419" s="14" t="str">
        <f aca="false">IFERROR(INDEX('Fault Master'!$B$5:$B$104,MATCH(G419,'Fault Master'!$A$5:$A$104,0)),"")</f>
        <v/>
      </c>
      <c r="I419" s="14" t="str">
        <f aca="false">IFERROR(INDEX('Fault Master'!$C$5:$C$104,MATCH(G419,'Fault Master'!$A$5:$A$104,0)),"")</f>
        <v/>
      </c>
      <c r="M419" s="14" t="str">
        <f aca="false">IFERROR(INDEX('Fault Master'!$D$5:$D$104,MATCH(G419,'Fault Master'!$A$5:$A$104,0)),"")</f>
        <v/>
      </c>
    </row>
    <row r="420" customFormat="false" ht="15" hidden="false" customHeight="true" outlineLevel="0" collapsed="false">
      <c r="A420" s="1" t="n">
        <v>415</v>
      </c>
      <c r="B420" s="13"/>
      <c r="F420" s="14" t="str">
        <f aca="false">IFERROR(INDEX('Operator Master'!$B$5:$B$504,MATCH(E420,'Operator Master'!$A$5:$A$504,0)),"")</f>
        <v/>
      </c>
      <c r="H420" s="14" t="str">
        <f aca="false">IFERROR(INDEX('Fault Master'!$B$5:$B$104,MATCH(G420,'Fault Master'!$A$5:$A$104,0)),"")</f>
        <v/>
      </c>
      <c r="I420" s="14" t="str">
        <f aca="false">IFERROR(INDEX('Fault Master'!$C$5:$C$104,MATCH(G420,'Fault Master'!$A$5:$A$104,0)),"")</f>
        <v/>
      </c>
      <c r="M420" s="14" t="str">
        <f aca="false">IFERROR(INDEX('Fault Master'!$D$5:$D$104,MATCH(G420,'Fault Master'!$A$5:$A$104,0)),"")</f>
        <v/>
      </c>
    </row>
    <row r="421" customFormat="false" ht="15" hidden="false" customHeight="true" outlineLevel="0" collapsed="false">
      <c r="A421" s="1" t="n">
        <v>416</v>
      </c>
      <c r="B421" s="13"/>
      <c r="F421" s="14" t="str">
        <f aca="false">IFERROR(INDEX('Operator Master'!$B$5:$B$504,MATCH(E421,'Operator Master'!$A$5:$A$504,0)),"")</f>
        <v/>
      </c>
      <c r="H421" s="14" t="str">
        <f aca="false">IFERROR(INDEX('Fault Master'!$B$5:$B$104,MATCH(G421,'Fault Master'!$A$5:$A$104,0)),"")</f>
        <v/>
      </c>
      <c r="I421" s="14" t="str">
        <f aca="false">IFERROR(INDEX('Fault Master'!$C$5:$C$104,MATCH(G421,'Fault Master'!$A$5:$A$104,0)),"")</f>
        <v/>
      </c>
      <c r="M421" s="14" t="str">
        <f aca="false">IFERROR(INDEX('Fault Master'!$D$5:$D$104,MATCH(G421,'Fault Master'!$A$5:$A$104,0)),"")</f>
        <v/>
      </c>
    </row>
    <row r="422" customFormat="false" ht="15" hidden="false" customHeight="true" outlineLevel="0" collapsed="false">
      <c r="A422" s="1" t="n">
        <v>417</v>
      </c>
      <c r="B422" s="13"/>
      <c r="F422" s="14" t="str">
        <f aca="false">IFERROR(INDEX('Operator Master'!$B$5:$B$504,MATCH(E422,'Operator Master'!$A$5:$A$504,0)),"")</f>
        <v/>
      </c>
      <c r="H422" s="14" t="str">
        <f aca="false">IFERROR(INDEX('Fault Master'!$B$5:$B$104,MATCH(G422,'Fault Master'!$A$5:$A$104,0)),"")</f>
        <v/>
      </c>
      <c r="I422" s="14" t="str">
        <f aca="false">IFERROR(INDEX('Fault Master'!$C$5:$C$104,MATCH(G422,'Fault Master'!$A$5:$A$104,0)),"")</f>
        <v/>
      </c>
      <c r="M422" s="14" t="str">
        <f aca="false">IFERROR(INDEX('Fault Master'!$D$5:$D$104,MATCH(G422,'Fault Master'!$A$5:$A$104,0)),"")</f>
        <v/>
      </c>
    </row>
    <row r="423" customFormat="false" ht="15" hidden="false" customHeight="true" outlineLevel="0" collapsed="false">
      <c r="A423" s="1" t="n">
        <v>418</v>
      </c>
      <c r="B423" s="13"/>
      <c r="F423" s="14" t="str">
        <f aca="false">IFERROR(INDEX('Operator Master'!$B$5:$B$504,MATCH(E423,'Operator Master'!$A$5:$A$504,0)),"")</f>
        <v/>
      </c>
      <c r="H423" s="14" t="str">
        <f aca="false">IFERROR(INDEX('Fault Master'!$B$5:$B$104,MATCH(G423,'Fault Master'!$A$5:$A$104,0)),"")</f>
        <v/>
      </c>
      <c r="I423" s="14" t="str">
        <f aca="false">IFERROR(INDEX('Fault Master'!$C$5:$C$104,MATCH(G423,'Fault Master'!$A$5:$A$104,0)),"")</f>
        <v/>
      </c>
      <c r="M423" s="14" t="str">
        <f aca="false">IFERROR(INDEX('Fault Master'!$D$5:$D$104,MATCH(G423,'Fault Master'!$A$5:$A$104,0)),"")</f>
        <v/>
      </c>
    </row>
    <row r="424" customFormat="false" ht="15" hidden="false" customHeight="true" outlineLevel="0" collapsed="false">
      <c r="A424" s="1" t="n">
        <v>419</v>
      </c>
      <c r="B424" s="13"/>
      <c r="F424" s="14" t="str">
        <f aca="false">IFERROR(INDEX('Operator Master'!$B$5:$B$504,MATCH(E424,'Operator Master'!$A$5:$A$504,0)),"")</f>
        <v/>
      </c>
      <c r="H424" s="14" t="str">
        <f aca="false">IFERROR(INDEX('Fault Master'!$B$5:$B$104,MATCH(G424,'Fault Master'!$A$5:$A$104,0)),"")</f>
        <v/>
      </c>
      <c r="I424" s="14" t="str">
        <f aca="false">IFERROR(INDEX('Fault Master'!$C$5:$C$104,MATCH(G424,'Fault Master'!$A$5:$A$104,0)),"")</f>
        <v/>
      </c>
      <c r="M424" s="14" t="str">
        <f aca="false">IFERROR(INDEX('Fault Master'!$D$5:$D$104,MATCH(G424,'Fault Master'!$A$5:$A$104,0)),"")</f>
        <v/>
      </c>
    </row>
    <row r="425" customFormat="false" ht="15" hidden="false" customHeight="true" outlineLevel="0" collapsed="false">
      <c r="A425" s="1" t="n">
        <v>420</v>
      </c>
      <c r="B425" s="13"/>
      <c r="F425" s="14" t="str">
        <f aca="false">IFERROR(INDEX('Operator Master'!$B$5:$B$504,MATCH(E425,'Operator Master'!$A$5:$A$504,0)),"")</f>
        <v/>
      </c>
      <c r="H425" s="14" t="str">
        <f aca="false">IFERROR(INDEX('Fault Master'!$B$5:$B$104,MATCH(G425,'Fault Master'!$A$5:$A$104,0)),"")</f>
        <v/>
      </c>
      <c r="I425" s="14" t="str">
        <f aca="false">IFERROR(INDEX('Fault Master'!$C$5:$C$104,MATCH(G425,'Fault Master'!$A$5:$A$104,0)),"")</f>
        <v/>
      </c>
      <c r="M425" s="14" t="str">
        <f aca="false">IFERROR(INDEX('Fault Master'!$D$5:$D$104,MATCH(G425,'Fault Master'!$A$5:$A$104,0)),"")</f>
        <v/>
      </c>
    </row>
    <row r="426" customFormat="false" ht="15" hidden="false" customHeight="true" outlineLevel="0" collapsed="false">
      <c r="A426" s="1" t="n">
        <v>421</v>
      </c>
      <c r="B426" s="13"/>
      <c r="F426" s="14" t="str">
        <f aca="false">IFERROR(INDEX('Operator Master'!$B$5:$B$504,MATCH(E426,'Operator Master'!$A$5:$A$504,0)),"")</f>
        <v/>
      </c>
      <c r="H426" s="14" t="str">
        <f aca="false">IFERROR(INDEX('Fault Master'!$B$5:$B$104,MATCH(G426,'Fault Master'!$A$5:$A$104,0)),"")</f>
        <v/>
      </c>
      <c r="I426" s="14" t="str">
        <f aca="false">IFERROR(INDEX('Fault Master'!$C$5:$C$104,MATCH(G426,'Fault Master'!$A$5:$A$104,0)),"")</f>
        <v/>
      </c>
      <c r="M426" s="14" t="str">
        <f aca="false">IFERROR(INDEX('Fault Master'!$D$5:$D$104,MATCH(G426,'Fault Master'!$A$5:$A$104,0)),"")</f>
        <v/>
      </c>
    </row>
    <row r="427" customFormat="false" ht="15" hidden="false" customHeight="true" outlineLevel="0" collapsed="false">
      <c r="A427" s="1" t="n">
        <v>422</v>
      </c>
      <c r="B427" s="13"/>
      <c r="F427" s="14" t="str">
        <f aca="false">IFERROR(INDEX('Operator Master'!$B$5:$B$504,MATCH(E427,'Operator Master'!$A$5:$A$504,0)),"")</f>
        <v/>
      </c>
      <c r="H427" s="14" t="str">
        <f aca="false">IFERROR(INDEX('Fault Master'!$B$5:$B$104,MATCH(G427,'Fault Master'!$A$5:$A$104,0)),"")</f>
        <v/>
      </c>
      <c r="I427" s="14" t="str">
        <f aca="false">IFERROR(INDEX('Fault Master'!$C$5:$C$104,MATCH(G427,'Fault Master'!$A$5:$A$104,0)),"")</f>
        <v/>
      </c>
      <c r="M427" s="14" t="str">
        <f aca="false">IFERROR(INDEX('Fault Master'!$D$5:$D$104,MATCH(G427,'Fault Master'!$A$5:$A$104,0)),"")</f>
        <v/>
      </c>
    </row>
    <row r="428" customFormat="false" ht="15" hidden="false" customHeight="true" outlineLevel="0" collapsed="false">
      <c r="A428" s="1" t="n">
        <v>423</v>
      </c>
      <c r="B428" s="13"/>
      <c r="F428" s="14" t="str">
        <f aca="false">IFERROR(INDEX('Operator Master'!$B$5:$B$504,MATCH(E428,'Operator Master'!$A$5:$A$504,0)),"")</f>
        <v/>
      </c>
      <c r="H428" s="14" t="str">
        <f aca="false">IFERROR(INDEX('Fault Master'!$B$5:$B$104,MATCH(G428,'Fault Master'!$A$5:$A$104,0)),"")</f>
        <v/>
      </c>
      <c r="I428" s="14" t="str">
        <f aca="false">IFERROR(INDEX('Fault Master'!$C$5:$C$104,MATCH(G428,'Fault Master'!$A$5:$A$104,0)),"")</f>
        <v/>
      </c>
      <c r="M428" s="14" t="str">
        <f aca="false">IFERROR(INDEX('Fault Master'!$D$5:$D$104,MATCH(G428,'Fault Master'!$A$5:$A$104,0)),"")</f>
        <v/>
      </c>
    </row>
    <row r="429" customFormat="false" ht="15" hidden="false" customHeight="true" outlineLevel="0" collapsed="false">
      <c r="A429" s="1" t="n">
        <v>424</v>
      </c>
      <c r="B429" s="13"/>
      <c r="F429" s="14" t="str">
        <f aca="false">IFERROR(INDEX('Operator Master'!$B$5:$B$504,MATCH(E429,'Operator Master'!$A$5:$A$504,0)),"")</f>
        <v/>
      </c>
      <c r="H429" s="14" t="str">
        <f aca="false">IFERROR(INDEX('Fault Master'!$B$5:$B$104,MATCH(G429,'Fault Master'!$A$5:$A$104,0)),"")</f>
        <v/>
      </c>
      <c r="I429" s="14" t="str">
        <f aca="false">IFERROR(INDEX('Fault Master'!$C$5:$C$104,MATCH(G429,'Fault Master'!$A$5:$A$104,0)),"")</f>
        <v/>
      </c>
      <c r="M429" s="14" t="str">
        <f aca="false">IFERROR(INDEX('Fault Master'!$D$5:$D$104,MATCH(G429,'Fault Master'!$A$5:$A$104,0)),"")</f>
        <v/>
      </c>
    </row>
    <row r="430" customFormat="false" ht="15" hidden="false" customHeight="true" outlineLevel="0" collapsed="false">
      <c r="A430" s="1" t="n">
        <v>425</v>
      </c>
      <c r="B430" s="13"/>
      <c r="F430" s="14" t="str">
        <f aca="false">IFERROR(INDEX('Operator Master'!$B$5:$B$504,MATCH(E430,'Operator Master'!$A$5:$A$504,0)),"")</f>
        <v/>
      </c>
      <c r="H430" s="14" t="str">
        <f aca="false">IFERROR(INDEX('Fault Master'!$B$5:$B$104,MATCH(G430,'Fault Master'!$A$5:$A$104,0)),"")</f>
        <v/>
      </c>
      <c r="I430" s="14" t="str">
        <f aca="false">IFERROR(INDEX('Fault Master'!$C$5:$C$104,MATCH(G430,'Fault Master'!$A$5:$A$104,0)),"")</f>
        <v/>
      </c>
      <c r="M430" s="14" t="str">
        <f aca="false">IFERROR(INDEX('Fault Master'!$D$5:$D$104,MATCH(G430,'Fault Master'!$A$5:$A$104,0)),"")</f>
        <v/>
      </c>
    </row>
    <row r="431" customFormat="false" ht="15" hidden="false" customHeight="true" outlineLevel="0" collapsed="false">
      <c r="A431" s="1" t="n">
        <v>426</v>
      </c>
      <c r="B431" s="13"/>
      <c r="F431" s="14" t="str">
        <f aca="false">IFERROR(INDEX('Operator Master'!$B$5:$B$504,MATCH(E431,'Operator Master'!$A$5:$A$504,0)),"")</f>
        <v/>
      </c>
      <c r="H431" s="14" t="str">
        <f aca="false">IFERROR(INDEX('Fault Master'!$B$5:$B$104,MATCH(G431,'Fault Master'!$A$5:$A$104,0)),"")</f>
        <v/>
      </c>
      <c r="I431" s="14" t="str">
        <f aca="false">IFERROR(INDEX('Fault Master'!$C$5:$C$104,MATCH(G431,'Fault Master'!$A$5:$A$104,0)),"")</f>
        <v/>
      </c>
      <c r="M431" s="14" t="str">
        <f aca="false">IFERROR(INDEX('Fault Master'!$D$5:$D$104,MATCH(G431,'Fault Master'!$A$5:$A$104,0)),"")</f>
        <v/>
      </c>
    </row>
    <row r="432" customFormat="false" ht="15" hidden="false" customHeight="true" outlineLevel="0" collapsed="false">
      <c r="A432" s="1" t="n">
        <v>427</v>
      </c>
      <c r="B432" s="13"/>
      <c r="F432" s="14" t="str">
        <f aca="false">IFERROR(INDEX('Operator Master'!$B$5:$B$504,MATCH(E432,'Operator Master'!$A$5:$A$504,0)),"")</f>
        <v/>
      </c>
      <c r="H432" s="14" t="str">
        <f aca="false">IFERROR(INDEX('Fault Master'!$B$5:$B$104,MATCH(G432,'Fault Master'!$A$5:$A$104,0)),"")</f>
        <v/>
      </c>
      <c r="I432" s="14" t="str">
        <f aca="false">IFERROR(INDEX('Fault Master'!$C$5:$C$104,MATCH(G432,'Fault Master'!$A$5:$A$104,0)),"")</f>
        <v/>
      </c>
      <c r="M432" s="14" t="str">
        <f aca="false">IFERROR(INDEX('Fault Master'!$D$5:$D$104,MATCH(G432,'Fault Master'!$A$5:$A$104,0)),"")</f>
        <v/>
      </c>
    </row>
    <row r="433" customFormat="false" ht="15" hidden="false" customHeight="true" outlineLevel="0" collapsed="false">
      <c r="A433" s="1" t="n">
        <v>428</v>
      </c>
      <c r="B433" s="13"/>
      <c r="F433" s="14" t="str">
        <f aca="false">IFERROR(INDEX('Operator Master'!$B$5:$B$504,MATCH(E433,'Operator Master'!$A$5:$A$504,0)),"")</f>
        <v/>
      </c>
      <c r="H433" s="14" t="str">
        <f aca="false">IFERROR(INDEX('Fault Master'!$B$5:$B$104,MATCH(G433,'Fault Master'!$A$5:$A$104,0)),"")</f>
        <v/>
      </c>
      <c r="I433" s="14" t="str">
        <f aca="false">IFERROR(INDEX('Fault Master'!$C$5:$C$104,MATCH(G433,'Fault Master'!$A$5:$A$104,0)),"")</f>
        <v/>
      </c>
      <c r="M433" s="14" t="str">
        <f aca="false">IFERROR(INDEX('Fault Master'!$D$5:$D$104,MATCH(G433,'Fault Master'!$A$5:$A$104,0)),"")</f>
        <v/>
      </c>
    </row>
    <row r="434" customFormat="false" ht="15" hidden="false" customHeight="true" outlineLevel="0" collapsed="false">
      <c r="A434" s="1" t="n">
        <v>429</v>
      </c>
      <c r="B434" s="13"/>
      <c r="F434" s="14" t="str">
        <f aca="false">IFERROR(INDEX('Operator Master'!$B$5:$B$504,MATCH(E434,'Operator Master'!$A$5:$A$504,0)),"")</f>
        <v/>
      </c>
      <c r="H434" s="14" t="str">
        <f aca="false">IFERROR(INDEX('Fault Master'!$B$5:$B$104,MATCH(G434,'Fault Master'!$A$5:$A$104,0)),"")</f>
        <v/>
      </c>
      <c r="I434" s="14" t="str">
        <f aca="false">IFERROR(INDEX('Fault Master'!$C$5:$C$104,MATCH(G434,'Fault Master'!$A$5:$A$104,0)),"")</f>
        <v/>
      </c>
      <c r="M434" s="14" t="str">
        <f aca="false">IFERROR(INDEX('Fault Master'!$D$5:$D$104,MATCH(G434,'Fault Master'!$A$5:$A$104,0)),"")</f>
        <v/>
      </c>
    </row>
    <row r="435" customFormat="false" ht="15" hidden="false" customHeight="true" outlineLevel="0" collapsed="false">
      <c r="A435" s="1" t="n">
        <v>430</v>
      </c>
      <c r="B435" s="13"/>
      <c r="F435" s="14" t="str">
        <f aca="false">IFERROR(INDEX('Operator Master'!$B$5:$B$504,MATCH(E435,'Operator Master'!$A$5:$A$504,0)),"")</f>
        <v/>
      </c>
      <c r="H435" s="14" t="str">
        <f aca="false">IFERROR(INDEX('Fault Master'!$B$5:$B$104,MATCH(G435,'Fault Master'!$A$5:$A$104,0)),"")</f>
        <v/>
      </c>
      <c r="I435" s="14" t="str">
        <f aca="false">IFERROR(INDEX('Fault Master'!$C$5:$C$104,MATCH(G435,'Fault Master'!$A$5:$A$104,0)),"")</f>
        <v/>
      </c>
      <c r="M435" s="14" t="str">
        <f aca="false">IFERROR(INDEX('Fault Master'!$D$5:$D$104,MATCH(G435,'Fault Master'!$A$5:$A$104,0)),"")</f>
        <v/>
      </c>
    </row>
    <row r="436" customFormat="false" ht="15" hidden="false" customHeight="true" outlineLevel="0" collapsed="false">
      <c r="A436" s="1" t="n">
        <v>431</v>
      </c>
      <c r="B436" s="13"/>
      <c r="F436" s="14" t="str">
        <f aca="false">IFERROR(INDEX('Operator Master'!$B$5:$B$504,MATCH(E436,'Operator Master'!$A$5:$A$504,0)),"")</f>
        <v/>
      </c>
      <c r="H436" s="14" t="str">
        <f aca="false">IFERROR(INDEX('Fault Master'!$B$5:$B$104,MATCH(G436,'Fault Master'!$A$5:$A$104,0)),"")</f>
        <v/>
      </c>
      <c r="I436" s="14" t="str">
        <f aca="false">IFERROR(INDEX('Fault Master'!$C$5:$C$104,MATCH(G436,'Fault Master'!$A$5:$A$104,0)),"")</f>
        <v/>
      </c>
      <c r="M436" s="14" t="str">
        <f aca="false">IFERROR(INDEX('Fault Master'!$D$5:$D$104,MATCH(G436,'Fault Master'!$A$5:$A$104,0)),"")</f>
        <v/>
      </c>
    </row>
    <row r="437" customFormat="false" ht="15" hidden="false" customHeight="true" outlineLevel="0" collapsed="false">
      <c r="A437" s="1" t="n">
        <v>432</v>
      </c>
      <c r="B437" s="13"/>
      <c r="F437" s="14" t="str">
        <f aca="false">IFERROR(INDEX('Operator Master'!$B$5:$B$504,MATCH(E437,'Operator Master'!$A$5:$A$504,0)),"")</f>
        <v/>
      </c>
      <c r="H437" s="14" t="str">
        <f aca="false">IFERROR(INDEX('Fault Master'!$B$5:$B$104,MATCH(G437,'Fault Master'!$A$5:$A$104,0)),"")</f>
        <v/>
      </c>
      <c r="I437" s="14" t="str">
        <f aca="false">IFERROR(INDEX('Fault Master'!$C$5:$C$104,MATCH(G437,'Fault Master'!$A$5:$A$104,0)),"")</f>
        <v/>
      </c>
      <c r="M437" s="14" t="str">
        <f aca="false">IFERROR(INDEX('Fault Master'!$D$5:$D$104,MATCH(G437,'Fault Master'!$A$5:$A$104,0)),"")</f>
        <v/>
      </c>
    </row>
    <row r="438" customFormat="false" ht="15" hidden="false" customHeight="true" outlineLevel="0" collapsed="false">
      <c r="A438" s="1" t="n">
        <v>433</v>
      </c>
      <c r="B438" s="13"/>
      <c r="F438" s="14" t="str">
        <f aca="false">IFERROR(INDEX('Operator Master'!$B$5:$B$504,MATCH(E438,'Operator Master'!$A$5:$A$504,0)),"")</f>
        <v/>
      </c>
      <c r="H438" s="14" t="str">
        <f aca="false">IFERROR(INDEX('Fault Master'!$B$5:$B$104,MATCH(G438,'Fault Master'!$A$5:$A$104,0)),"")</f>
        <v/>
      </c>
      <c r="I438" s="14" t="str">
        <f aca="false">IFERROR(INDEX('Fault Master'!$C$5:$C$104,MATCH(G438,'Fault Master'!$A$5:$A$104,0)),"")</f>
        <v/>
      </c>
      <c r="M438" s="14" t="str">
        <f aca="false">IFERROR(INDEX('Fault Master'!$D$5:$D$104,MATCH(G438,'Fault Master'!$A$5:$A$104,0)),"")</f>
        <v/>
      </c>
    </row>
    <row r="439" customFormat="false" ht="15" hidden="false" customHeight="true" outlineLevel="0" collapsed="false">
      <c r="A439" s="1" t="n">
        <v>434</v>
      </c>
      <c r="B439" s="13"/>
      <c r="F439" s="14" t="str">
        <f aca="false">IFERROR(INDEX('Operator Master'!$B$5:$B$504,MATCH(E439,'Operator Master'!$A$5:$A$504,0)),"")</f>
        <v/>
      </c>
      <c r="H439" s="14" t="str">
        <f aca="false">IFERROR(INDEX('Fault Master'!$B$5:$B$104,MATCH(G439,'Fault Master'!$A$5:$A$104,0)),"")</f>
        <v/>
      </c>
      <c r="I439" s="14" t="str">
        <f aca="false">IFERROR(INDEX('Fault Master'!$C$5:$C$104,MATCH(G439,'Fault Master'!$A$5:$A$104,0)),"")</f>
        <v/>
      </c>
      <c r="M439" s="14" t="str">
        <f aca="false">IFERROR(INDEX('Fault Master'!$D$5:$D$104,MATCH(G439,'Fault Master'!$A$5:$A$104,0)),"")</f>
        <v/>
      </c>
    </row>
    <row r="440" customFormat="false" ht="15" hidden="false" customHeight="true" outlineLevel="0" collapsed="false">
      <c r="A440" s="1" t="n">
        <v>435</v>
      </c>
      <c r="B440" s="13"/>
      <c r="F440" s="14" t="str">
        <f aca="false">IFERROR(INDEX('Operator Master'!$B$5:$B$504,MATCH(E440,'Operator Master'!$A$5:$A$504,0)),"")</f>
        <v/>
      </c>
      <c r="H440" s="14" t="str">
        <f aca="false">IFERROR(INDEX('Fault Master'!$B$5:$B$104,MATCH(G440,'Fault Master'!$A$5:$A$104,0)),"")</f>
        <v/>
      </c>
      <c r="I440" s="14" t="str">
        <f aca="false">IFERROR(INDEX('Fault Master'!$C$5:$C$104,MATCH(G440,'Fault Master'!$A$5:$A$104,0)),"")</f>
        <v/>
      </c>
      <c r="M440" s="14" t="str">
        <f aca="false">IFERROR(INDEX('Fault Master'!$D$5:$D$104,MATCH(G440,'Fault Master'!$A$5:$A$104,0)),"")</f>
        <v/>
      </c>
    </row>
    <row r="441" customFormat="false" ht="15" hidden="false" customHeight="true" outlineLevel="0" collapsed="false">
      <c r="A441" s="1" t="n">
        <v>436</v>
      </c>
      <c r="B441" s="13"/>
      <c r="F441" s="14" t="str">
        <f aca="false">IFERROR(INDEX('Operator Master'!$B$5:$B$504,MATCH(E441,'Operator Master'!$A$5:$A$504,0)),"")</f>
        <v/>
      </c>
      <c r="H441" s="14" t="str">
        <f aca="false">IFERROR(INDEX('Fault Master'!$B$5:$B$104,MATCH(G441,'Fault Master'!$A$5:$A$104,0)),"")</f>
        <v/>
      </c>
      <c r="I441" s="14" t="str">
        <f aca="false">IFERROR(INDEX('Fault Master'!$C$5:$C$104,MATCH(G441,'Fault Master'!$A$5:$A$104,0)),"")</f>
        <v/>
      </c>
      <c r="M441" s="14" t="str">
        <f aca="false">IFERROR(INDEX('Fault Master'!$D$5:$D$104,MATCH(G441,'Fault Master'!$A$5:$A$104,0)),"")</f>
        <v/>
      </c>
    </row>
    <row r="442" customFormat="false" ht="15" hidden="false" customHeight="true" outlineLevel="0" collapsed="false">
      <c r="A442" s="1" t="n">
        <v>437</v>
      </c>
      <c r="B442" s="13"/>
      <c r="F442" s="14" t="str">
        <f aca="false">IFERROR(INDEX('Operator Master'!$B$5:$B$504,MATCH(E442,'Operator Master'!$A$5:$A$504,0)),"")</f>
        <v/>
      </c>
      <c r="H442" s="14" t="str">
        <f aca="false">IFERROR(INDEX('Fault Master'!$B$5:$B$104,MATCH(G442,'Fault Master'!$A$5:$A$104,0)),"")</f>
        <v/>
      </c>
      <c r="I442" s="14" t="str">
        <f aca="false">IFERROR(INDEX('Fault Master'!$C$5:$C$104,MATCH(G442,'Fault Master'!$A$5:$A$104,0)),"")</f>
        <v/>
      </c>
      <c r="M442" s="14" t="str">
        <f aca="false">IFERROR(INDEX('Fault Master'!$D$5:$D$104,MATCH(G442,'Fault Master'!$A$5:$A$104,0)),"")</f>
        <v/>
      </c>
    </row>
    <row r="443" customFormat="false" ht="15" hidden="false" customHeight="true" outlineLevel="0" collapsed="false">
      <c r="A443" s="1" t="n">
        <v>438</v>
      </c>
      <c r="B443" s="13"/>
      <c r="F443" s="14" t="str">
        <f aca="false">IFERROR(INDEX('Operator Master'!$B$5:$B$504,MATCH(E443,'Operator Master'!$A$5:$A$504,0)),"")</f>
        <v/>
      </c>
      <c r="H443" s="14" t="str">
        <f aca="false">IFERROR(INDEX('Fault Master'!$B$5:$B$104,MATCH(G443,'Fault Master'!$A$5:$A$104,0)),"")</f>
        <v/>
      </c>
      <c r="I443" s="14" t="str">
        <f aca="false">IFERROR(INDEX('Fault Master'!$C$5:$C$104,MATCH(G443,'Fault Master'!$A$5:$A$104,0)),"")</f>
        <v/>
      </c>
      <c r="M443" s="14" t="str">
        <f aca="false">IFERROR(INDEX('Fault Master'!$D$5:$D$104,MATCH(G443,'Fault Master'!$A$5:$A$104,0)),"")</f>
        <v/>
      </c>
    </row>
    <row r="444" customFormat="false" ht="15" hidden="false" customHeight="true" outlineLevel="0" collapsed="false">
      <c r="A444" s="1" t="n">
        <v>439</v>
      </c>
      <c r="B444" s="13"/>
      <c r="F444" s="14" t="str">
        <f aca="false">IFERROR(INDEX('Operator Master'!$B$5:$B$504,MATCH(E444,'Operator Master'!$A$5:$A$504,0)),"")</f>
        <v/>
      </c>
      <c r="H444" s="14" t="str">
        <f aca="false">IFERROR(INDEX('Fault Master'!$B$5:$B$104,MATCH(G444,'Fault Master'!$A$5:$A$104,0)),"")</f>
        <v/>
      </c>
      <c r="I444" s="14" t="str">
        <f aca="false">IFERROR(INDEX('Fault Master'!$C$5:$C$104,MATCH(G444,'Fault Master'!$A$5:$A$104,0)),"")</f>
        <v/>
      </c>
      <c r="M444" s="14" t="str">
        <f aca="false">IFERROR(INDEX('Fault Master'!$D$5:$D$104,MATCH(G444,'Fault Master'!$A$5:$A$104,0)),"")</f>
        <v/>
      </c>
    </row>
    <row r="445" customFormat="false" ht="15" hidden="false" customHeight="true" outlineLevel="0" collapsed="false">
      <c r="A445" s="1" t="n">
        <v>440</v>
      </c>
      <c r="B445" s="13"/>
      <c r="F445" s="14" t="str">
        <f aca="false">IFERROR(INDEX('Operator Master'!$B$5:$B$504,MATCH(E445,'Operator Master'!$A$5:$A$504,0)),"")</f>
        <v/>
      </c>
      <c r="H445" s="14" t="str">
        <f aca="false">IFERROR(INDEX('Fault Master'!$B$5:$B$104,MATCH(G445,'Fault Master'!$A$5:$A$104,0)),"")</f>
        <v/>
      </c>
      <c r="I445" s="14" t="str">
        <f aca="false">IFERROR(INDEX('Fault Master'!$C$5:$C$104,MATCH(G445,'Fault Master'!$A$5:$A$104,0)),"")</f>
        <v/>
      </c>
      <c r="M445" s="14" t="str">
        <f aca="false">IFERROR(INDEX('Fault Master'!$D$5:$D$104,MATCH(G445,'Fault Master'!$A$5:$A$104,0)),"")</f>
        <v/>
      </c>
    </row>
    <row r="446" customFormat="false" ht="15" hidden="false" customHeight="true" outlineLevel="0" collapsed="false">
      <c r="A446" s="1" t="n">
        <v>441</v>
      </c>
      <c r="B446" s="13"/>
      <c r="F446" s="14" t="str">
        <f aca="false">IFERROR(INDEX('Operator Master'!$B$5:$B$504,MATCH(E446,'Operator Master'!$A$5:$A$504,0)),"")</f>
        <v/>
      </c>
      <c r="H446" s="14" t="str">
        <f aca="false">IFERROR(INDEX('Fault Master'!$B$5:$B$104,MATCH(G446,'Fault Master'!$A$5:$A$104,0)),"")</f>
        <v/>
      </c>
      <c r="I446" s="14" t="str">
        <f aca="false">IFERROR(INDEX('Fault Master'!$C$5:$C$104,MATCH(G446,'Fault Master'!$A$5:$A$104,0)),"")</f>
        <v/>
      </c>
      <c r="M446" s="14" t="str">
        <f aca="false">IFERROR(INDEX('Fault Master'!$D$5:$D$104,MATCH(G446,'Fault Master'!$A$5:$A$104,0)),"")</f>
        <v/>
      </c>
    </row>
    <row r="447" customFormat="false" ht="15" hidden="false" customHeight="true" outlineLevel="0" collapsed="false">
      <c r="A447" s="1" t="n">
        <v>442</v>
      </c>
      <c r="B447" s="13"/>
      <c r="F447" s="14" t="str">
        <f aca="false">IFERROR(INDEX('Operator Master'!$B$5:$B$504,MATCH(E447,'Operator Master'!$A$5:$A$504,0)),"")</f>
        <v/>
      </c>
      <c r="H447" s="14" t="str">
        <f aca="false">IFERROR(INDEX('Fault Master'!$B$5:$B$104,MATCH(G447,'Fault Master'!$A$5:$A$104,0)),"")</f>
        <v/>
      </c>
      <c r="I447" s="14" t="str">
        <f aca="false">IFERROR(INDEX('Fault Master'!$C$5:$C$104,MATCH(G447,'Fault Master'!$A$5:$A$104,0)),"")</f>
        <v/>
      </c>
      <c r="M447" s="14" t="str">
        <f aca="false">IFERROR(INDEX('Fault Master'!$D$5:$D$104,MATCH(G447,'Fault Master'!$A$5:$A$104,0)),"")</f>
        <v/>
      </c>
    </row>
    <row r="448" customFormat="false" ht="15" hidden="false" customHeight="true" outlineLevel="0" collapsed="false">
      <c r="A448" s="1" t="n">
        <v>443</v>
      </c>
      <c r="B448" s="13"/>
      <c r="F448" s="14" t="str">
        <f aca="false">IFERROR(INDEX('Operator Master'!$B$5:$B$504,MATCH(E448,'Operator Master'!$A$5:$A$504,0)),"")</f>
        <v/>
      </c>
      <c r="H448" s="14" t="str">
        <f aca="false">IFERROR(INDEX('Fault Master'!$B$5:$B$104,MATCH(G448,'Fault Master'!$A$5:$A$104,0)),"")</f>
        <v/>
      </c>
      <c r="I448" s="14" t="str">
        <f aca="false">IFERROR(INDEX('Fault Master'!$C$5:$C$104,MATCH(G448,'Fault Master'!$A$5:$A$104,0)),"")</f>
        <v/>
      </c>
      <c r="M448" s="14" t="str">
        <f aca="false">IFERROR(INDEX('Fault Master'!$D$5:$D$104,MATCH(G448,'Fault Master'!$A$5:$A$104,0)),"")</f>
        <v/>
      </c>
    </row>
    <row r="449" customFormat="false" ht="15" hidden="false" customHeight="true" outlineLevel="0" collapsed="false">
      <c r="A449" s="1" t="n">
        <v>444</v>
      </c>
      <c r="B449" s="13"/>
      <c r="F449" s="14" t="str">
        <f aca="false">IFERROR(INDEX('Operator Master'!$B$5:$B$504,MATCH(E449,'Operator Master'!$A$5:$A$504,0)),"")</f>
        <v/>
      </c>
      <c r="H449" s="14" t="str">
        <f aca="false">IFERROR(INDEX('Fault Master'!$B$5:$B$104,MATCH(G449,'Fault Master'!$A$5:$A$104,0)),"")</f>
        <v/>
      </c>
      <c r="I449" s="14" t="str">
        <f aca="false">IFERROR(INDEX('Fault Master'!$C$5:$C$104,MATCH(G449,'Fault Master'!$A$5:$A$104,0)),"")</f>
        <v/>
      </c>
      <c r="M449" s="14" t="str">
        <f aca="false">IFERROR(INDEX('Fault Master'!$D$5:$D$104,MATCH(G449,'Fault Master'!$A$5:$A$104,0)),"")</f>
        <v/>
      </c>
    </row>
    <row r="450" customFormat="false" ht="15" hidden="false" customHeight="true" outlineLevel="0" collapsed="false">
      <c r="A450" s="1" t="n">
        <v>445</v>
      </c>
      <c r="B450" s="13"/>
      <c r="F450" s="14" t="str">
        <f aca="false">IFERROR(INDEX('Operator Master'!$B$5:$B$504,MATCH(E450,'Operator Master'!$A$5:$A$504,0)),"")</f>
        <v/>
      </c>
      <c r="H450" s="14" t="str">
        <f aca="false">IFERROR(INDEX('Fault Master'!$B$5:$B$104,MATCH(G450,'Fault Master'!$A$5:$A$104,0)),"")</f>
        <v/>
      </c>
      <c r="I450" s="14" t="str">
        <f aca="false">IFERROR(INDEX('Fault Master'!$C$5:$C$104,MATCH(G450,'Fault Master'!$A$5:$A$104,0)),"")</f>
        <v/>
      </c>
      <c r="M450" s="14" t="str">
        <f aca="false">IFERROR(INDEX('Fault Master'!$D$5:$D$104,MATCH(G450,'Fault Master'!$A$5:$A$104,0)),"")</f>
        <v/>
      </c>
    </row>
    <row r="451" customFormat="false" ht="15" hidden="false" customHeight="true" outlineLevel="0" collapsed="false">
      <c r="A451" s="1" t="n">
        <v>446</v>
      </c>
      <c r="B451" s="13"/>
      <c r="F451" s="14" t="str">
        <f aca="false">IFERROR(INDEX('Operator Master'!$B$5:$B$504,MATCH(E451,'Operator Master'!$A$5:$A$504,0)),"")</f>
        <v/>
      </c>
      <c r="H451" s="14" t="str">
        <f aca="false">IFERROR(INDEX('Fault Master'!$B$5:$B$104,MATCH(G451,'Fault Master'!$A$5:$A$104,0)),"")</f>
        <v/>
      </c>
      <c r="I451" s="14" t="str">
        <f aca="false">IFERROR(INDEX('Fault Master'!$C$5:$C$104,MATCH(G451,'Fault Master'!$A$5:$A$104,0)),"")</f>
        <v/>
      </c>
      <c r="M451" s="14" t="str">
        <f aca="false">IFERROR(INDEX('Fault Master'!$D$5:$D$104,MATCH(G451,'Fault Master'!$A$5:$A$104,0)),"")</f>
        <v/>
      </c>
    </row>
    <row r="452" customFormat="false" ht="15" hidden="false" customHeight="true" outlineLevel="0" collapsed="false">
      <c r="A452" s="1" t="n">
        <v>447</v>
      </c>
      <c r="B452" s="13"/>
      <c r="F452" s="14" t="str">
        <f aca="false">IFERROR(INDEX('Operator Master'!$B$5:$B$504,MATCH(E452,'Operator Master'!$A$5:$A$504,0)),"")</f>
        <v/>
      </c>
      <c r="H452" s="14" t="str">
        <f aca="false">IFERROR(INDEX('Fault Master'!$B$5:$B$104,MATCH(G452,'Fault Master'!$A$5:$A$104,0)),"")</f>
        <v/>
      </c>
      <c r="I452" s="14" t="str">
        <f aca="false">IFERROR(INDEX('Fault Master'!$C$5:$C$104,MATCH(G452,'Fault Master'!$A$5:$A$104,0)),"")</f>
        <v/>
      </c>
      <c r="M452" s="14" t="str">
        <f aca="false">IFERROR(INDEX('Fault Master'!$D$5:$D$104,MATCH(G452,'Fault Master'!$A$5:$A$104,0)),"")</f>
        <v/>
      </c>
    </row>
    <row r="453" customFormat="false" ht="15" hidden="false" customHeight="true" outlineLevel="0" collapsed="false">
      <c r="A453" s="1" t="n">
        <v>448</v>
      </c>
      <c r="B453" s="13"/>
      <c r="F453" s="14" t="str">
        <f aca="false">IFERROR(INDEX('Operator Master'!$B$5:$B$504,MATCH(E453,'Operator Master'!$A$5:$A$504,0)),"")</f>
        <v/>
      </c>
      <c r="H453" s="14" t="str">
        <f aca="false">IFERROR(INDEX('Fault Master'!$B$5:$B$104,MATCH(G453,'Fault Master'!$A$5:$A$104,0)),"")</f>
        <v/>
      </c>
      <c r="I453" s="14" t="str">
        <f aca="false">IFERROR(INDEX('Fault Master'!$C$5:$C$104,MATCH(G453,'Fault Master'!$A$5:$A$104,0)),"")</f>
        <v/>
      </c>
      <c r="M453" s="14" t="str">
        <f aca="false">IFERROR(INDEX('Fault Master'!$D$5:$D$104,MATCH(G453,'Fault Master'!$A$5:$A$104,0)),"")</f>
        <v/>
      </c>
    </row>
    <row r="454" customFormat="false" ht="15" hidden="false" customHeight="true" outlineLevel="0" collapsed="false">
      <c r="A454" s="1" t="n">
        <v>449</v>
      </c>
      <c r="B454" s="13"/>
      <c r="F454" s="14" t="str">
        <f aca="false">IFERROR(INDEX('Operator Master'!$B$5:$B$504,MATCH(E454,'Operator Master'!$A$5:$A$504,0)),"")</f>
        <v/>
      </c>
      <c r="H454" s="14" t="str">
        <f aca="false">IFERROR(INDEX('Fault Master'!$B$5:$B$104,MATCH(G454,'Fault Master'!$A$5:$A$104,0)),"")</f>
        <v/>
      </c>
      <c r="I454" s="14" t="str">
        <f aca="false">IFERROR(INDEX('Fault Master'!$C$5:$C$104,MATCH(G454,'Fault Master'!$A$5:$A$104,0)),"")</f>
        <v/>
      </c>
      <c r="M454" s="14" t="str">
        <f aca="false">IFERROR(INDEX('Fault Master'!$D$5:$D$104,MATCH(G454,'Fault Master'!$A$5:$A$104,0)),"")</f>
        <v/>
      </c>
    </row>
    <row r="455" customFormat="false" ht="15" hidden="false" customHeight="true" outlineLevel="0" collapsed="false">
      <c r="A455" s="1" t="n">
        <v>450</v>
      </c>
      <c r="B455" s="13"/>
      <c r="F455" s="14" t="str">
        <f aca="false">IFERROR(INDEX('Operator Master'!$B$5:$B$504,MATCH(E455,'Operator Master'!$A$5:$A$504,0)),"")</f>
        <v/>
      </c>
      <c r="H455" s="14" t="str">
        <f aca="false">IFERROR(INDEX('Fault Master'!$B$5:$B$104,MATCH(G455,'Fault Master'!$A$5:$A$104,0)),"")</f>
        <v/>
      </c>
      <c r="I455" s="14" t="str">
        <f aca="false">IFERROR(INDEX('Fault Master'!$C$5:$C$104,MATCH(G455,'Fault Master'!$A$5:$A$104,0)),"")</f>
        <v/>
      </c>
      <c r="M455" s="14" t="str">
        <f aca="false">IFERROR(INDEX('Fault Master'!$D$5:$D$104,MATCH(G455,'Fault Master'!$A$5:$A$104,0)),"")</f>
        <v/>
      </c>
    </row>
    <row r="456" customFormat="false" ht="15" hidden="false" customHeight="true" outlineLevel="0" collapsed="false">
      <c r="A456" s="1" t="n">
        <v>451</v>
      </c>
      <c r="B456" s="13"/>
      <c r="F456" s="14" t="str">
        <f aca="false">IFERROR(INDEX('Operator Master'!$B$5:$B$504,MATCH(E456,'Operator Master'!$A$5:$A$504,0)),"")</f>
        <v/>
      </c>
      <c r="H456" s="14" t="str">
        <f aca="false">IFERROR(INDEX('Fault Master'!$B$5:$B$104,MATCH(G456,'Fault Master'!$A$5:$A$104,0)),"")</f>
        <v/>
      </c>
      <c r="I456" s="14" t="str">
        <f aca="false">IFERROR(INDEX('Fault Master'!$C$5:$C$104,MATCH(G456,'Fault Master'!$A$5:$A$104,0)),"")</f>
        <v/>
      </c>
      <c r="M456" s="14" t="str">
        <f aca="false">IFERROR(INDEX('Fault Master'!$D$5:$D$104,MATCH(G456,'Fault Master'!$A$5:$A$104,0)),"")</f>
        <v/>
      </c>
    </row>
    <row r="457" customFormat="false" ht="15" hidden="false" customHeight="true" outlineLevel="0" collapsed="false">
      <c r="A457" s="1" t="n">
        <v>452</v>
      </c>
      <c r="B457" s="13"/>
      <c r="F457" s="14" t="str">
        <f aca="false">IFERROR(INDEX('Operator Master'!$B$5:$B$504,MATCH(E457,'Operator Master'!$A$5:$A$504,0)),"")</f>
        <v/>
      </c>
      <c r="H457" s="14" t="str">
        <f aca="false">IFERROR(INDEX('Fault Master'!$B$5:$B$104,MATCH(G457,'Fault Master'!$A$5:$A$104,0)),"")</f>
        <v/>
      </c>
      <c r="I457" s="14" t="str">
        <f aca="false">IFERROR(INDEX('Fault Master'!$C$5:$C$104,MATCH(G457,'Fault Master'!$A$5:$A$104,0)),"")</f>
        <v/>
      </c>
      <c r="M457" s="14" t="str">
        <f aca="false">IFERROR(INDEX('Fault Master'!$D$5:$D$104,MATCH(G457,'Fault Master'!$A$5:$A$104,0)),"")</f>
        <v/>
      </c>
    </row>
    <row r="458" customFormat="false" ht="15" hidden="false" customHeight="true" outlineLevel="0" collapsed="false">
      <c r="A458" s="1" t="n">
        <v>453</v>
      </c>
      <c r="B458" s="13"/>
      <c r="F458" s="14" t="str">
        <f aca="false">IFERROR(INDEX('Operator Master'!$B$5:$B$504,MATCH(E458,'Operator Master'!$A$5:$A$504,0)),"")</f>
        <v/>
      </c>
      <c r="H458" s="14" t="str">
        <f aca="false">IFERROR(INDEX('Fault Master'!$B$5:$B$104,MATCH(G458,'Fault Master'!$A$5:$A$104,0)),"")</f>
        <v/>
      </c>
      <c r="I458" s="14" t="str">
        <f aca="false">IFERROR(INDEX('Fault Master'!$C$5:$C$104,MATCH(G458,'Fault Master'!$A$5:$A$104,0)),"")</f>
        <v/>
      </c>
      <c r="M458" s="14" t="str">
        <f aca="false">IFERROR(INDEX('Fault Master'!$D$5:$D$104,MATCH(G458,'Fault Master'!$A$5:$A$104,0)),"")</f>
        <v/>
      </c>
    </row>
    <row r="459" customFormat="false" ht="15" hidden="false" customHeight="true" outlineLevel="0" collapsed="false">
      <c r="A459" s="1" t="n">
        <v>454</v>
      </c>
      <c r="B459" s="13"/>
      <c r="F459" s="14" t="str">
        <f aca="false">IFERROR(INDEX('Operator Master'!$B$5:$B$504,MATCH(E459,'Operator Master'!$A$5:$A$504,0)),"")</f>
        <v/>
      </c>
      <c r="H459" s="14" t="str">
        <f aca="false">IFERROR(INDEX('Fault Master'!$B$5:$B$104,MATCH(G459,'Fault Master'!$A$5:$A$104,0)),"")</f>
        <v/>
      </c>
      <c r="I459" s="14" t="str">
        <f aca="false">IFERROR(INDEX('Fault Master'!$C$5:$C$104,MATCH(G459,'Fault Master'!$A$5:$A$104,0)),"")</f>
        <v/>
      </c>
      <c r="M459" s="14" t="str">
        <f aca="false">IFERROR(INDEX('Fault Master'!$D$5:$D$104,MATCH(G459,'Fault Master'!$A$5:$A$104,0)),"")</f>
        <v/>
      </c>
    </row>
    <row r="460" customFormat="false" ht="15" hidden="false" customHeight="true" outlineLevel="0" collapsed="false">
      <c r="A460" s="1" t="n">
        <v>455</v>
      </c>
      <c r="B460" s="13"/>
      <c r="F460" s="14" t="str">
        <f aca="false">IFERROR(INDEX('Operator Master'!$B$5:$B$504,MATCH(E460,'Operator Master'!$A$5:$A$504,0)),"")</f>
        <v/>
      </c>
      <c r="H460" s="14" t="str">
        <f aca="false">IFERROR(INDEX('Fault Master'!$B$5:$B$104,MATCH(G460,'Fault Master'!$A$5:$A$104,0)),"")</f>
        <v/>
      </c>
      <c r="I460" s="14" t="str">
        <f aca="false">IFERROR(INDEX('Fault Master'!$C$5:$C$104,MATCH(G460,'Fault Master'!$A$5:$A$104,0)),"")</f>
        <v/>
      </c>
      <c r="M460" s="14" t="str">
        <f aca="false">IFERROR(INDEX('Fault Master'!$D$5:$D$104,MATCH(G460,'Fault Master'!$A$5:$A$104,0)),"")</f>
        <v/>
      </c>
    </row>
    <row r="461" customFormat="false" ht="15" hidden="false" customHeight="true" outlineLevel="0" collapsed="false">
      <c r="A461" s="1" t="n">
        <v>456</v>
      </c>
      <c r="B461" s="13"/>
      <c r="F461" s="14" t="str">
        <f aca="false">IFERROR(INDEX('Operator Master'!$B$5:$B$504,MATCH(E461,'Operator Master'!$A$5:$A$504,0)),"")</f>
        <v/>
      </c>
      <c r="H461" s="14" t="str">
        <f aca="false">IFERROR(INDEX('Fault Master'!$B$5:$B$104,MATCH(G461,'Fault Master'!$A$5:$A$104,0)),"")</f>
        <v/>
      </c>
      <c r="I461" s="14" t="str">
        <f aca="false">IFERROR(INDEX('Fault Master'!$C$5:$C$104,MATCH(G461,'Fault Master'!$A$5:$A$104,0)),"")</f>
        <v/>
      </c>
      <c r="M461" s="14" t="str">
        <f aca="false">IFERROR(INDEX('Fault Master'!$D$5:$D$104,MATCH(G461,'Fault Master'!$A$5:$A$104,0)),"")</f>
        <v/>
      </c>
    </row>
    <row r="462" customFormat="false" ht="15" hidden="false" customHeight="true" outlineLevel="0" collapsed="false">
      <c r="A462" s="1" t="n">
        <v>457</v>
      </c>
      <c r="B462" s="13"/>
      <c r="F462" s="14" t="str">
        <f aca="false">IFERROR(INDEX('Operator Master'!$B$5:$B$504,MATCH(E462,'Operator Master'!$A$5:$A$504,0)),"")</f>
        <v/>
      </c>
      <c r="H462" s="14" t="str">
        <f aca="false">IFERROR(INDEX('Fault Master'!$B$5:$B$104,MATCH(G462,'Fault Master'!$A$5:$A$104,0)),"")</f>
        <v/>
      </c>
      <c r="I462" s="14" t="str">
        <f aca="false">IFERROR(INDEX('Fault Master'!$C$5:$C$104,MATCH(G462,'Fault Master'!$A$5:$A$104,0)),"")</f>
        <v/>
      </c>
      <c r="M462" s="14" t="str">
        <f aca="false">IFERROR(INDEX('Fault Master'!$D$5:$D$104,MATCH(G462,'Fault Master'!$A$5:$A$104,0)),"")</f>
        <v/>
      </c>
    </row>
    <row r="463" customFormat="false" ht="15" hidden="false" customHeight="true" outlineLevel="0" collapsed="false">
      <c r="A463" s="1" t="n">
        <v>458</v>
      </c>
      <c r="B463" s="13"/>
      <c r="F463" s="14" t="str">
        <f aca="false">IFERROR(INDEX('Operator Master'!$B$5:$B$504,MATCH(E463,'Operator Master'!$A$5:$A$504,0)),"")</f>
        <v/>
      </c>
      <c r="H463" s="14" t="str">
        <f aca="false">IFERROR(INDEX('Fault Master'!$B$5:$B$104,MATCH(G463,'Fault Master'!$A$5:$A$104,0)),"")</f>
        <v/>
      </c>
      <c r="I463" s="14" t="str">
        <f aca="false">IFERROR(INDEX('Fault Master'!$C$5:$C$104,MATCH(G463,'Fault Master'!$A$5:$A$104,0)),"")</f>
        <v/>
      </c>
      <c r="M463" s="14" t="str">
        <f aca="false">IFERROR(INDEX('Fault Master'!$D$5:$D$104,MATCH(G463,'Fault Master'!$A$5:$A$104,0)),"")</f>
        <v/>
      </c>
    </row>
    <row r="464" customFormat="false" ht="15" hidden="false" customHeight="true" outlineLevel="0" collapsed="false">
      <c r="A464" s="1" t="n">
        <v>459</v>
      </c>
      <c r="B464" s="13"/>
      <c r="F464" s="14" t="str">
        <f aca="false">IFERROR(INDEX('Operator Master'!$B$5:$B$504,MATCH(E464,'Operator Master'!$A$5:$A$504,0)),"")</f>
        <v/>
      </c>
      <c r="H464" s="14" t="str">
        <f aca="false">IFERROR(INDEX('Fault Master'!$B$5:$B$104,MATCH(G464,'Fault Master'!$A$5:$A$104,0)),"")</f>
        <v/>
      </c>
      <c r="I464" s="14" t="str">
        <f aca="false">IFERROR(INDEX('Fault Master'!$C$5:$C$104,MATCH(G464,'Fault Master'!$A$5:$A$104,0)),"")</f>
        <v/>
      </c>
      <c r="M464" s="14" t="str">
        <f aca="false">IFERROR(INDEX('Fault Master'!$D$5:$D$104,MATCH(G464,'Fault Master'!$A$5:$A$104,0)),"")</f>
        <v/>
      </c>
    </row>
    <row r="465" customFormat="false" ht="15" hidden="false" customHeight="true" outlineLevel="0" collapsed="false">
      <c r="A465" s="1" t="n">
        <v>460</v>
      </c>
      <c r="B465" s="13"/>
      <c r="F465" s="14" t="str">
        <f aca="false">IFERROR(INDEX('Operator Master'!$B$5:$B$504,MATCH(E465,'Operator Master'!$A$5:$A$504,0)),"")</f>
        <v/>
      </c>
      <c r="H465" s="14" t="str">
        <f aca="false">IFERROR(INDEX('Fault Master'!$B$5:$B$104,MATCH(G465,'Fault Master'!$A$5:$A$104,0)),"")</f>
        <v/>
      </c>
      <c r="I465" s="14" t="str">
        <f aca="false">IFERROR(INDEX('Fault Master'!$C$5:$C$104,MATCH(G465,'Fault Master'!$A$5:$A$104,0)),"")</f>
        <v/>
      </c>
      <c r="M465" s="14" t="str">
        <f aca="false">IFERROR(INDEX('Fault Master'!$D$5:$D$104,MATCH(G465,'Fault Master'!$A$5:$A$104,0)),"")</f>
        <v/>
      </c>
    </row>
    <row r="466" customFormat="false" ht="15" hidden="false" customHeight="true" outlineLevel="0" collapsed="false">
      <c r="A466" s="1" t="n">
        <v>461</v>
      </c>
      <c r="B466" s="13"/>
      <c r="F466" s="14" t="str">
        <f aca="false">IFERROR(INDEX('Operator Master'!$B$5:$B$504,MATCH(E466,'Operator Master'!$A$5:$A$504,0)),"")</f>
        <v/>
      </c>
      <c r="H466" s="14" t="str">
        <f aca="false">IFERROR(INDEX('Fault Master'!$B$5:$B$104,MATCH(G466,'Fault Master'!$A$5:$A$104,0)),"")</f>
        <v/>
      </c>
      <c r="I466" s="14" t="str">
        <f aca="false">IFERROR(INDEX('Fault Master'!$C$5:$C$104,MATCH(G466,'Fault Master'!$A$5:$A$104,0)),"")</f>
        <v/>
      </c>
      <c r="M466" s="14" t="str">
        <f aca="false">IFERROR(INDEX('Fault Master'!$D$5:$D$104,MATCH(G466,'Fault Master'!$A$5:$A$104,0)),"")</f>
        <v/>
      </c>
    </row>
    <row r="467" customFormat="false" ht="15" hidden="false" customHeight="true" outlineLevel="0" collapsed="false">
      <c r="A467" s="1" t="n">
        <v>462</v>
      </c>
      <c r="B467" s="13"/>
      <c r="F467" s="14" t="str">
        <f aca="false">IFERROR(INDEX('Operator Master'!$B$5:$B$504,MATCH(E467,'Operator Master'!$A$5:$A$504,0)),"")</f>
        <v/>
      </c>
      <c r="H467" s="14" t="str">
        <f aca="false">IFERROR(INDEX('Fault Master'!$B$5:$B$104,MATCH(G467,'Fault Master'!$A$5:$A$104,0)),"")</f>
        <v/>
      </c>
      <c r="I467" s="14" t="str">
        <f aca="false">IFERROR(INDEX('Fault Master'!$C$5:$C$104,MATCH(G467,'Fault Master'!$A$5:$A$104,0)),"")</f>
        <v/>
      </c>
      <c r="M467" s="14" t="str">
        <f aca="false">IFERROR(INDEX('Fault Master'!$D$5:$D$104,MATCH(G467,'Fault Master'!$A$5:$A$104,0)),"")</f>
        <v/>
      </c>
    </row>
    <row r="468" customFormat="false" ht="15" hidden="false" customHeight="true" outlineLevel="0" collapsed="false">
      <c r="A468" s="1" t="n">
        <v>463</v>
      </c>
      <c r="B468" s="13"/>
      <c r="F468" s="14" t="str">
        <f aca="false">IFERROR(INDEX('Operator Master'!$B$5:$B$504,MATCH(E468,'Operator Master'!$A$5:$A$504,0)),"")</f>
        <v/>
      </c>
      <c r="H468" s="14" t="str">
        <f aca="false">IFERROR(INDEX('Fault Master'!$B$5:$B$104,MATCH(G468,'Fault Master'!$A$5:$A$104,0)),"")</f>
        <v/>
      </c>
      <c r="I468" s="14" t="str">
        <f aca="false">IFERROR(INDEX('Fault Master'!$C$5:$C$104,MATCH(G468,'Fault Master'!$A$5:$A$104,0)),"")</f>
        <v/>
      </c>
      <c r="M468" s="14" t="str">
        <f aca="false">IFERROR(INDEX('Fault Master'!$D$5:$D$104,MATCH(G468,'Fault Master'!$A$5:$A$104,0)),"")</f>
        <v/>
      </c>
    </row>
    <row r="469" customFormat="false" ht="15" hidden="false" customHeight="true" outlineLevel="0" collapsed="false">
      <c r="A469" s="1" t="n">
        <v>464</v>
      </c>
      <c r="B469" s="13"/>
      <c r="F469" s="14" t="str">
        <f aca="false">IFERROR(INDEX('Operator Master'!$B$5:$B$504,MATCH(E469,'Operator Master'!$A$5:$A$504,0)),"")</f>
        <v/>
      </c>
      <c r="H469" s="14" t="str">
        <f aca="false">IFERROR(INDEX('Fault Master'!$B$5:$B$104,MATCH(G469,'Fault Master'!$A$5:$A$104,0)),"")</f>
        <v/>
      </c>
      <c r="I469" s="14" t="str">
        <f aca="false">IFERROR(INDEX('Fault Master'!$C$5:$C$104,MATCH(G469,'Fault Master'!$A$5:$A$104,0)),"")</f>
        <v/>
      </c>
      <c r="M469" s="14" t="str">
        <f aca="false">IFERROR(INDEX('Fault Master'!$D$5:$D$104,MATCH(G469,'Fault Master'!$A$5:$A$104,0)),"")</f>
        <v/>
      </c>
    </row>
    <row r="470" customFormat="false" ht="15" hidden="false" customHeight="true" outlineLevel="0" collapsed="false">
      <c r="A470" s="1" t="n">
        <v>465</v>
      </c>
      <c r="B470" s="13"/>
      <c r="F470" s="14" t="str">
        <f aca="false">IFERROR(INDEX('Operator Master'!$B$5:$B$504,MATCH(E470,'Operator Master'!$A$5:$A$504,0)),"")</f>
        <v/>
      </c>
      <c r="H470" s="14" t="str">
        <f aca="false">IFERROR(INDEX('Fault Master'!$B$5:$B$104,MATCH(G470,'Fault Master'!$A$5:$A$104,0)),"")</f>
        <v/>
      </c>
      <c r="I470" s="14" t="str">
        <f aca="false">IFERROR(INDEX('Fault Master'!$C$5:$C$104,MATCH(G470,'Fault Master'!$A$5:$A$104,0)),"")</f>
        <v/>
      </c>
      <c r="M470" s="14" t="str">
        <f aca="false">IFERROR(INDEX('Fault Master'!$D$5:$D$104,MATCH(G470,'Fault Master'!$A$5:$A$104,0)),"")</f>
        <v/>
      </c>
    </row>
    <row r="471" customFormat="false" ht="15" hidden="false" customHeight="true" outlineLevel="0" collapsed="false">
      <c r="A471" s="1" t="n">
        <v>466</v>
      </c>
      <c r="B471" s="13"/>
      <c r="F471" s="14" t="str">
        <f aca="false">IFERROR(INDEX('Operator Master'!$B$5:$B$504,MATCH(E471,'Operator Master'!$A$5:$A$504,0)),"")</f>
        <v/>
      </c>
      <c r="H471" s="14" t="str">
        <f aca="false">IFERROR(INDEX('Fault Master'!$B$5:$B$104,MATCH(G471,'Fault Master'!$A$5:$A$104,0)),"")</f>
        <v/>
      </c>
      <c r="I471" s="14" t="str">
        <f aca="false">IFERROR(INDEX('Fault Master'!$C$5:$C$104,MATCH(G471,'Fault Master'!$A$5:$A$104,0)),"")</f>
        <v/>
      </c>
      <c r="M471" s="14" t="str">
        <f aca="false">IFERROR(INDEX('Fault Master'!$D$5:$D$104,MATCH(G471,'Fault Master'!$A$5:$A$104,0)),"")</f>
        <v/>
      </c>
    </row>
    <row r="472" customFormat="false" ht="15" hidden="false" customHeight="true" outlineLevel="0" collapsed="false">
      <c r="A472" s="1" t="n">
        <v>467</v>
      </c>
      <c r="B472" s="13"/>
      <c r="F472" s="14" t="str">
        <f aca="false">IFERROR(INDEX('Operator Master'!$B$5:$B$504,MATCH(E472,'Operator Master'!$A$5:$A$504,0)),"")</f>
        <v/>
      </c>
      <c r="H472" s="14" t="str">
        <f aca="false">IFERROR(INDEX('Fault Master'!$B$5:$B$104,MATCH(G472,'Fault Master'!$A$5:$A$104,0)),"")</f>
        <v/>
      </c>
      <c r="I472" s="14" t="str">
        <f aca="false">IFERROR(INDEX('Fault Master'!$C$5:$C$104,MATCH(G472,'Fault Master'!$A$5:$A$104,0)),"")</f>
        <v/>
      </c>
      <c r="M472" s="14" t="str">
        <f aca="false">IFERROR(INDEX('Fault Master'!$D$5:$D$104,MATCH(G472,'Fault Master'!$A$5:$A$104,0)),"")</f>
        <v/>
      </c>
    </row>
    <row r="473" customFormat="false" ht="15" hidden="false" customHeight="true" outlineLevel="0" collapsed="false">
      <c r="A473" s="1" t="n">
        <v>468</v>
      </c>
      <c r="B473" s="13"/>
      <c r="F473" s="14" t="str">
        <f aca="false">IFERROR(INDEX('Operator Master'!$B$5:$B$504,MATCH(E473,'Operator Master'!$A$5:$A$504,0)),"")</f>
        <v/>
      </c>
      <c r="H473" s="14" t="str">
        <f aca="false">IFERROR(INDEX('Fault Master'!$B$5:$B$104,MATCH(G473,'Fault Master'!$A$5:$A$104,0)),"")</f>
        <v/>
      </c>
      <c r="I473" s="14" t="str">
        <f aca="false">IFERROR(INDEX('Fault Master'!$C$5:$C$104,MATCH(G473,'Fault Master'!$A$5:$A$104,0)),"")</f>
        <v/>
      </c>
      <c r="M473" s="14" t="str">
        <f aca="false">IFERROR(INDEX('Fault Master'!$D$5:$D$104,MATCH(G473,'Fault Master'!$A$5:$A$104,0)),"")</f>
        <v/>
      </c>
    </row>
    <row r="474" customFormat="false" ht="15" hidden="false" customHeight="true" outlineLevel="0" collapsed="false">
      <c r="A474" s="1" t="n">
        <v>469</v>
      </c>
      <c r="B474" s="13"/>
      <c r="F474" s="14" t="str">
        <f aca="false">IFERROR(INDEX('Operator Master'!$B$5:$B$504,MATCH(E474,'Operator Master'!$A$5:$A$504,0)),"")</f>
        <v/>
      </c>
      <c r="H474" s="14" t="str">
        <f aca="false">IFERROR(INDEX('Fault Master'!$B$5:$B$104,MATCH(G474,'Fault Master'!$A$5:$A$104,0)),"")</f>
        <v/>
      </c>
      <c r="I474" s="14" t="str">
        <f aca="false">IFERROR(INDEX('Fault Master'!$C$5:$C$104,MATCH(G474,'Fault Master'!$A$5:$A$104,0)),"")</f>
        <v/>
      </c>
      <c r="M474" s="14" t="str">
        <f aca="false">IFERROR(INDEX('Fault Master'!$D$5:$D$104,MATCH(G474,'Fault Master'!$A$5:$A$104,0)),"")</f>
        <v/>
      </c>
    </row>
    <row r="475" customFormat="false" ht="15" hidden="false" customHeight="true" outlineLevel="0" collapsed="false">
      <c r="A475" s="1" t="n">
        <v>470</v>
      </c>
      <c r="B475" s="13"/>
      <c r="F475" s="14" t="str">
        <f aca="false">IFERROR(INDEX('Operator Master'!$B$5:$B$504,MATCH(E475,'Operator Master'!$A$5:$A$504,0)),"")</f>
        <v/>
      </c>
      <c r="H475" s="14" t="str">
        <f aca="false">IFERROR(INDEX('Fault Master'!$B$5:$B$104,MATCH(G475,'Fault Master'!$A$5:$A$104,0)),"")</f>
        <v/>
      </c>
      <c r="I475" s="14" t="str">
        <f aca="false">IFERROR(INDEX('Fault Master'!$C$5:$C$104,MATCH(G475,'Fault Master'!$A$5:$A$104,0)),"")</f>
        <v/>
      </c>
      <c r="M475" s="14" t="str">
        <f aca="false">IFERROR(INDEX('Fault Master'!$D$5:$D$104,MATCH(G475,'Fault Master'!$A$5:$A$104,0)),"")</f>
        <v/>
      </c>
    </row>
    <row r="476" customFormat="false" ht="15" hidden="false" customHeight="true" outlineLevel="0" collapsed="false">
      <c r="A476" s="1" t="n">
        <v>471</v>
      </c>
      <c r="B476" s="13"/>
      <c r="F476" s="14" t="str">
        <f aca="false">IFERROR(INDEX('Operator Master'!$B$5:$B$504,MATCH(E476,'Operator Master'!$A$5:$A$504,0)),"")</f>
        <v/>
      </c>
      <c r="H476" s="14" t="str">
        <f aca="false">IFERROR(INDEX('Fault Master'!$B$5:$B$104,MATCH(G476,'Fault Master'!$A$5:$A$104,0)),"")</f>
        <v/>
      </c>
      <c r="I476" s="14" t="str">
        <f aca="false">IFERROR(INDEX('Fault Master'!$C$5:$C$104,MATCH(G476,'Fault Master'!$A$5:$A$104,0)),"")</f>
        <v/>
      </c>
      <c r="M476" s="14" t="str">
        <f aca="false">IFERROR(INDEX('Fault Master'!$D$5:$D$104,MATCH(G476,'Fault Master'!$A$5:$A$104,0)),"")</f>
        <v/>
      </c>
    </row>
    <row r="477" customFormat="false" ht="15" hidden="false" customHeight="true" outlineLevel="0" collapsed="false">
      <c r="A477" s="1" t="n">
        <v>472</v>
      </c>
      <c r="B477" s="13"/>
      <c r="F477" s="14" t="str">
        <f aca="false">IFERROR(INDEX('Operator Master'!$B$5:$B$504,MATCH(E477,'Operator Master'!$A$5:$A$504,0)),"")</f>
        <v/>
      </c>
      <c r="H477" s="14" t="str">
        <f aca="false">IFERROR(INDEX('Fault Master'!$B$5:$B$104,MATCH(G477,'Fault Master'!$A$5:$A$104,0)),"")</f>
        <v/>
      </c>
      <c r="I477" s="14" t="str">
        <f aca="false">IFERROR(INDEX('Fault Master'!$C$5:$C$104,MATCH(G477,'Fault Master'!$A$5:$A$104,0)),"")</f>
        <v/>
      </c>
      <c r="M477" s="14" t="str">
        <f aca="false">IFERROR(INDEX('Fault Master'!$D$5:$D$104,MATCH(G477,'Fault Master'!$A$5:$A$104,0)),"")</f>
        <v/>
      </c>
    </row>
    <row r="478" customFormat="false" ht="15" hidden="false" customHeight="true" outlineLevel="0" collapsed="false">
      <c r="A478" s="1" t="n">
        <v>473</v>
      </c>
      <c r="B478" s="13"/>
      <c r="F478" s="14" t="str">
        <f aca="false">IFERROR(INDEX('Operator Master'!$B$5:$B$504,MATCH(E478,'Operator Master'!$A$5:$A$504,0)),"")</f>
        <v/>
      </c>
      <c r="H478" s="14" t="str">
        <f aca="false">IFERROR(INDEX('Fault Master'!$B$5:$B$104,MATCH(G478,'Fault Master'!$A$5:$A$104,0)),"")</f>
        <v/>
      </c>
      <c r="I478" s="14" t="str">
        <f aca="false">IFERROR(INDEX('Fault Master'!$C$5:$C$104,MATCH(G478,'Fault Master'!$A$5:$A$104,0)),"")</f>
        <v/>
      </c>
      <c r="M478" s="14" t="str">
        <f aca="false">IFERROR(INDEX('Fault Master'!$D$5:$D$104,MATCH(G478,'Fault Master'!$A$5:$A$104,0)),"")</f>
        <v/>
      </c>
    </row>
    <row r="479" customFormat="false" ht="15" hidden="false" customHeight="true" outlineLevel="0" collapsed="false">
      <c r="A479" s="1" t="n">
        <v>474</v>
      </c>
      <c r="B479" s="13"/>
      <c r="F479" s="14" t="str">
        <f aca="false">IFERROR(INDEX('Operator Master'!$B$5:$B$504,MATCH(E479,'Operator Master'!$A$5:$A$504,0)),"")</f>
        <v/>
      </c>
      <c r="H479" s="14" t="str">
        <f aca="false">IFERROR(INDEX('Fault Master'!$B$5:$B$104,MATCH(G479,'Fault Master'!$A$5:$A$104,0)),"")</f>
        <v/>
      </c>
      <c r="I479" s="14" t="str">
        <f aca="false">IFERROR(INDEX('Fault Master'!$C$5:$C$104,MATCH(G479,'Fault Master'!$A$5:$A$104,0)),"")</f>
        <v/>
      </c>
      <c r="M479" s="14" t="str">
        <f aca="false">IFERROR(INDEX('Fault Master'!$D$5:$D$104,MATCH(G479,'Fault Master'!$A$5:$A$104,0)),"")</f>
        <v/>
      </c>
    </row>
    <row r="480" customFormat="false" ht="15" hidden="false" customHeight="true" outlineLevel="0" collapsed="false">
      <c r="A480" s="1" t="n">
        <v>475</v>
      </c>
      <c r="B480" s="13"/>
      <c r="F480" s="14" t="str">
        <f aca="false">IFERROR(INDEX('Operator Master'!$B$5:$B$504,MATCH(E480,'Operator Master'!$A$5:$A$504,0)),"")</f>
        <v/>
      </c>
      <c r="H480" s="14" t="str">
        <f aca="false">IFERROR(INDEX('Fault Master'!$B$5:$B$104,MATCH(G480,'Fault Master'!$A$5:$A$104,0)),"")</f>
        <v/>
      </c>
      <c r="I480" s="14" t="str">
        <f aca="false">IFERROR(INDEX('Fault Master'!$C$5:$C$104,MATCH(G480,'Fault Master'!$A$5:$A$104,0)),"")</f>
        <v/>
      </c>
      <c r="M480" s="14" t="str">
        <f aca="false">IFERROR(INDEX('Fault Master'!$D$5:$D$104,MATCH(G480,'Fault Master'!$A$5:$A$104,0)),"")</f>
        <v/>
      </c>
    </row>
    <row r="481" customFormat="false" ht="15" hidden="false" customHeight="true" outlineLevel="0" collapsed="false">
      <c r="A481" s="1" t="n">
        <v>476</v>
      </c>
      <c r="B481" s="13"/>
      <c r="F481" s="14" t="str">
        <f aca="false">IFERROR(INDEX('Operator Master'!$B$5:$B$504,MATCH(E481,'Operator Master'!$A$5:$A$504,0)),"")</f>
        <v/>
      </c>
      <c r="H481" s="14" t="str">
        <f aca="false">IFERROR(INDEX('Fault Master'!$B$5:$B$104,MATCH(G481,'Fault Master'!$A$5:$A$104,0)),"")</f>
        <v/>
      </c>
      <c r="I481" s="14" t="str">
        <f aca="false">IFERROR(INDEX('Fault Master'!$C$5:$C$104,MATCH(G481,'Fault Master'!$A$5:$A$104,0)),"")</f>
        <v/>
      </c>
      <c r="M481" s="14" t="str">
        <f aca="false">IFERROR(INDEX('Fault Master'!$D$5:$D$104,MATCH(G481,'Fault Master'!$A$5:$A$104,0)),"")</f>
        <v/>
      </c>
    </row>
    <row r="482" customFormat="false" ht="15" hidden="false" customHeight="true" outlineLevel="0" collapsed="false">
      <c r="A482" s="1" t="n">
        <v>477</v>
      </c>
      <c r="B482" s="13"/>
      <c r="F482" s="14" t="str">
        <f aca="false">IFERROR(INDEX('Operator Master'!$B$5:$B$504,MATCH(E482,'Operator Master'!$A$5:$A$504,0)),"")</f>
        <v/>
      </c>
      <c r="H482" s="14" t="str">
        <f aca="false">IFERROR(INDEX('Fault Master'!$B$5:$B$104,MATCH(G482,'Fault Master'!$A$5:$A$104,0)),"")</f>
        <v/>
      </c>
      <c r="I482" s="14" t="str">
        <f aca="false">IFERROR(INDEX('Fault Master'!$C$5:$C$104,MATCH(G482,'Fault Master'!$A$5:$A$104,0)),"")</f>
        <v/>
      </c>
      <c r="M482" s="14" t="str">
        <f aca="false">IFERROR(INDEX('Fault Master'!$D$5:$D$104,MATCH(G482,'Fault Master'!$A$5:$A$104,0)),"")</f>
        <v/>
      </c>
    </row>
    <row r="483" customFormat="false" ht="15" hidden="false" customHeight="true" outlineLevel="0" collapsed="false">
      <c r="A483" s="1" t="n">
        <v>478</v>
      </c>
      <c r="B483" s="13"/>
      <c r="F483" s="14" t="str">
        <f aca="false">IFERROR(INDEX('Operator Master'!$B$5:$B$504,MATCH(E483,'Operator Master'!$A$5:$A$504,0)),"")</f>
        <v/>
      </c>
      <c r="H483" s="14" t="str">
        <f aca="false">IFERROR(INDEX('Fault Master'!$B$5:$B$104,MATCH(G483,'Fault Master'!$A$5:$A$104,0)),"")</f>
        <v/>
      </c>
      <c r="I483" s="14" t="str">
        <f aca="false">IFERROR(INDEX('Fault Master'!$C$5:$C$104,MATCH(G483,'Fault Master'!$A$5:$A$104,0)),"")</f>
        <v/>
      </c>
      <c r="M483" s="14" t="str">
        <f aca="false">IFERROR(INDEX('Fault Master'!$D$5:$D$104,MATCH(G483,'Fault Master'!$A$5:$A$104,0)),"")</f>
        <v/>
      </c>
    </row>
    <row r="484" customFormat="false" ht="15" hidden="false" customHeight="true" outlineLevel="0" collapsed="false">
      <c r="A484" s="1" t="n">
        <v>479</v>
      </c>
      <c r="B484" s="13"/>
      <c r="F484" s="14" t="str">
        <f aca="false">IFERROR(INDEX('Operator Master'!$B$5:$B$504,MATCH(E484,'Operator Master'!$A$5:$A$504,0)),"")</f>
        <v/>
      </c>
      <c r="H484" s="14" t="str">
        <f aca="false">IFERROR(INDEX('Fault Master'!$B$5:$B$104,MATCH(G484,'Fault Master'!$A$5:$A$104,0)),"")</f>
        <v/>
      </c>
      <c r="I484" s="14" t="str">
        <f aca="false">IFERROR(INDEX('Fault Master'!$C$5:$C$104,MATCH(G484,'Fault Master'!$A$5:$A$104,0)),"")</f>
        <v/>
      </c>
      <c r="M484" s="14" t="str">
        <f aca="false">IFERROR(INDEX('Fault Master'!$D$5:$D$104,MATCH(G484,'Fault Master'!$A$5:$A$104,0)),"")</f>
        <v/>
      </c>
    </row>
    <row r="485" customFormat="false" ht="15" hidden="false" customHeight="true" outlineLevel="0" collapsed="false">
      <c r="A485" s="1" t="n">
        <v>480</v>
      </c>
      <c r="B485" s="13"/>
      <c r="F485" s="14" t="str">
        <f aca="false">IFERROR(INDEX('Operator Master'!$B$5:$B$504,MATCH(E485,'Operator Master'!$A$5:$A$504,0)),"")</f>
        <v/>
      </c>
      <c r="H485" s="14" t="str">
        <f aca="false">IFERROR(INDEX('Fault Master'!$B$5:$B$104,MATCH(G485,'Fault Master'!$A$5:$A$104,0)),"")</f>
        <v/>
      </c>
      <c r="I485" s="14" t="str">
        <f aca="false">IFERROR(INDEX('Fault Master'!$C$5:$C$104,MATCH(G485,'Fault Master'!$A$5:$A$104,0)),"")</f>
        <v/>
      </c>
      <c r="M485" s="14" t="str">
        <f aca="false">IFERROR(INDEX('Fault Master'!$D$5:$D$104,MATCH(G485,'Fault Master'!$A$5:$A$104,0)),"")</f>
        <v/>
      </c>
    </row>
    <row r="486" customFormat="false" ht="15" hidden="false" customHeight="true" outlineLevel="0" collapsed="false">
      <c r="A486" s="1" t="n">
        <v>481</v>
      </c>
      <c r="B486" s="13"/>
      <c r="F486" s="14" t="str">
        <f aca="false">IFERROR(INDEX('Operator Master'!$B$5:$B$504,MATCH(E486,'Operator Master'!$A$5:$A$504,0)),"")</f>
        <v/>
      </c>
      <c r="H486" s="14" t="str">
        <f aca="false">IFERROR(INDEX('Fault Master'!$B$5:$B$104,MATCH(G486,'Fault Master'!$A$5:$A$104,0)),"")</f>
        <v/>
      </c>
      <c r="I486" s="14" t="str">
        <f aca="false">IFERROR(INDEX('Fault Master'!$C$5:$C$104,MATCH(G486,'Fault Master'!$A$5:$A$104,0)),"")</f>
        <v/>
      </c>
      <c r="M486" s="14" t="str">
        <f aca="false">IFERROR(INDEX('Fault Master'!$D$5:$D$104,MATCH(G486,'Fault Master'!$A$5:$A$104,0)),"")</f>
        <v/>
      </c>
    </row>
    <row r="487" customFormat="false" ht="15" hidden="false" customHeight="true" outlineLevel="0" collapsed="false">
      <c r="A487" s="1" t="n">
        <v>482</v>
      </c>
      <c r="B487" s="13"/>
      <c r="F487" s="14" t="str">
        <f aca="false">IFERROR(INDEX('Operator Master'!$B$5:$B$504,MATCH(E487,'Operator Master'!$A$5:$A$504,0)),"")</f>
        <v/>
      </c>
      <c r="H487" s="14" t="str">
        <f aca="false">IFERROR(INDEX('Fault Master'!$B$5:$B$104,MATCH(G487,'Fault Master'!$A$5:$A$104,0)),"")</f>
        <v/>
      </c>
      <c r="I487" s="14" t="str">
        <f aca="false">IFERROR(INDEX('Fault Master'!$C$5:$C$104,MATCH(G487,'Fault Master'!$A$5:$A$104,0)),"")</f>
        <v/>
      </c>
      <c r="M487" s="14" t="str">
        <f aca="false">IFERROR(INDEX('Fault Master'!$D$5:$D$104,MATCH(G487,'Fault Master'!$A$5:$A$104,0)),"")</f>
        <v/>
      </c>
    </row>
    <row r="488" customFormat="false" ht="15" hidden="false" customHeight="true" outlineLevel="0" collapsed="false">
      <c r="A488" s="1" t="n">
        <v>483</v>
      </c>
      <c r="B488" s="13"/>
      <c r="F488" s="14" t="str">
        <f aca="false">IFERROR(INDEX('Operator Master'!$B$5:$B$504,MATCH(E488,'Operator Master'!$A$5:$A$504,0)),"")</f>
        <v/>
      </c>
      <c r="H488" s="14" t="str">
        <f aca="false">IFERROR(INDEX('Fault Master'!$B$5:$B$104,MATCH(G488,'Fault Master'!$A$5:$A$104,0)),"")</f>
        <v/>
      </c>
      <c r="I488" s="14" t="str">
        <f aca="false">IFERROR(INDEX('Fault Master'!$C$5:$C$104,MATCH(G488,'Fault Master'!$A$5:$A$104,0)),"")</f>
        <v/>
      </c>
      <c r="M488" s="14" t="str">
        <f aca="false">IFERROR(INDEX('Fault Master'!$D$5:$D$104,MATCH(G488,'Fault Master'!$A$5:$A$104,0)),"")</f>
        <v/>
      </c>
    </row>
    <row r="489" customFormat="false" ht="15" hidden="false" customHeight="true" outlineLevel="0" collapsed="false">
      <c r="A489" s="1" t="n">
        <v>484</v>
      </c>
      <c r="B489" s="13"/>
      <c r="F489" s="14" t="str">
        <f aca="false">IFERROR(INDEX('Operator Master'!$B$5:$B$504,MATCH(E489,'Operator Master'!$A$5:$A$504,0)),"")</f>
        <v/>
      </c>
      <c r="H489" s="14" t="str">
        <f aca="false">IFERROR(INDEX('Fault Master'!$B$5:$B$104,MATCH(G489,'Fault Master'!$A$5:$A$104,0)),"")</f>
        <v/>
      </c>
      <c r="I489" s="14" t="str">
        <f aca="false">IFERROR(INDEX('Fault Master'!$C$5:$C$104,MATCH(G489,'Fault Master'!$A$5:$A$104,0)),"")</f>
        <v/>
      </c>
      <c r="M489" s="14" t="str">
        <f aca="false">IFERROR(INDEX('Fault Master'!$D$5:$D$104,MATCH(G489,'Fault Master'!$A$5:$A$104,0)),"")</f>
        <v/>
      </c>
    </row>
    <row r="490" customFormat="false" ht="15" hidden="false" customHeight="true" outlineLevel="0" collapsed="false">
      <c r="A490" s="1" t="n">
        <v>485</v>
      </c>
      <c r="B490" s="13"/>
      <c r="F490" s="14" t="str">
        <f aca="false">IFERROR(INDEX('Operator Master'!$B$5:$B$504,MATCH(E490,'Operator Master'!$A$5:$A$504,0)),"")</f>
        <v/>
      </c>
      <c r="H490" s="14" t="str">
        <f aca="false">IFERROR(INDEX('Fault Master'!$B$5:$B$104,MATCH(G490,'Fault Master'!$A$5:$A$104,0)),"")</f>
        <v/>
      </c>
      <c r="I490" s="14" t="str">
        <f aca="false">IFERROR(INDEX('Fault Master'!$C$5:$C$104,MATCH(G490,'Fault Master'!$A$5:$A$104,0)),"")</f>
        <v/>
      </c>
      <c r="M490" s="14" t="str">
        <f aca="false">IFERROR(INDEX('Fault Master'!$D$5:$D$104,MATCH(G490,'Fault Master'!$A$5:$A$104,0)),"")</f>
        <v/>
      </c>
    </row>
    <row r="491" customFormat="false" ht="15" hidden="false" customHeight="true" outlineLevel="0" collapsed="false">
      <c r="A491" s="1" t="n">
        <v>486</v>
      </c>
      <c r="B491" s="13"/>
      <c r="F491" s="14" t="str">
        <f aca="false">IFERROR(INDEX('Operator Master'!$B$5:$B$504,MATCH(E491,'Operator Master'!$A$5:$A$504,0)),"")</f>
        <v/>
      </c>
      <c r="H491" s="14" t="str">
        <f aca="false">IFERROR(INDEX('Fault Master'!$B$5:$B$104,MATCH(G491,'Fault Master'!$A$5:$A$104,0)),"")</f>
        <v/>
      </c>
      <c r="I491" s="14" t="str">
        <f aca="false">IFERROR(INDEX('Fault Master'!$C$5:$C$104,MATCH(G491,'Fault Master'!$A$5:$A$104,0)),"")</f>
        <v/>
      </c>
      <c r="M491" s="14" t="str">
        <f aca="false">IFERROR(INDEX('Fault Master'!$D$5:$D$104,MATCH(G491,'Fault Master'!$A$5:$A$104,0)),"")</f>
        <v/>
      </c>
    </row>
    <row r="492" customFormat="false" ht="15" hidden="false" customHeight="true" outlineLevel="0" collapsed="false">
      <c r="A492" s="1" t="n">
        <v>487</v>
      </c>
      <c r="B492" s="13"/>
      <c r="F492" s="14" t="str">
        <f aca="false">IFERROR(INDEX('Operator Master'!$B$5:$B$504,MATCH(E492,'Operator Master'!$A$5:$A$504,0)),"")</f>
        <v/>
      </c>
      <c r="H492" s="14" t="str">
        <f aca="false">IFERROR(INDEX('Fault Master'!$B$5:$B$104,MATCH(G492,'Fault Master'!$A$5:$A$104,0)),"")</f>
        <v/>
      </c>
      <c r="I492" s="14" t="str">
        <f aca="false">IFERROR(INDEX('Fault Master'!$C$5:$C$104,MATCH(G492,'Fault Master'!$A$5:$A$104,0)),"")</f>
        <v/>
      </c>
      <c r="M492" s="14" t="str">
        <f aca="false">IFERROR(INDEX('Fault Master'!$D$5:$D$104,MATCH(G492,'Fault Master'!$A$5:$A$104,0)),"")</f>
        <v/>
      </c>
    </row>
    <row r="493" customFormat="false" ht="15" hidden="false" customHeight="true" outlineLevel="0" collapsed="false">
      <c r="A493" s="1" t="n">
        <v>488</v>
      </c>
      <c r="B493" s="13"/>
      <c r="F493" s="14" t="str">
        <f aca="false">IFERROR(INDEX('Operator Master'!$B$5:$B$504,MATCH(E493,'Operator Master'!$A$5:$A$504,0)),"")</f>
        <v/>
      </c>
      <c r="H493" s="14" t="str">
        <f aca="false">IFERROR(INDEX('Fault Master'!$B$5:$B$104,MATCH(G493,'Fault Master'!$A$5:$A$104,0)),"")</f>
        <v/>
      </c>
      <c r="I493" s="14" t="str">
        <f aca="false">IFERROR(INDEX('Fault Master'!$C$5:$C$104,MATCH(G493,'Fault Master'!$A$5:$A$104,0)),"")</f>
        <v/>
      </c>
      <c r="M493" s="14" t="str">
        <f aca="false">IFERROR(INDEX('Fault Master'!$D$5:$D$104,MATCH(G493,'Fault Master'!$A$5:$A$104,0)),"")</f>
        <v/>
      </c>
    </row>
    <row r="494" customFormat="false" ht="15" hidden="false" customHeight="true" outlineLevel="0" collapsed="false">
      <c r="A494" s="1" t="n">
        <v>489</v>
      </c>
      <c r="B494" s="13"/>
      <c r="F494" s="14" t="str">
        <f aca="false">IFERROR(INDEX('Operator Master'!$B$5:$B$504,MATCH(E494,'Operator Master'!$A$5:$A$504,0)),"")</f>
        <v/>
      </c>
      <c r="H494" s="14" t="str">
        <f aca="false">IFERROR(INDEX('Fault Master'!$B$5:$B$104,MATCH(G494,'Fault Master'!$A$5:$A$104,0)),"")</f>
        <v/>
      </c>
      <c r="I494" s="14" t="str">
        <f aca="false">IFERROR(INDEX('Fault Master'!$C$5:$C$104,MATCH(G494,'Fault Master'!$A$5:$A$104,0)),"")</f>
        <v/>
      </c>
      <c r="M494" s="14" t="str">
        <f aca="false">IFERROR(INDEX('Fault Master'!$D$5:$D$104,MATCH(G494,'Fault Master'!$A$5:$A$104,0)),"")</f>
        <v/>
      </c>
    </row>
    <row r="495" customFormat="false" ht="15" hidden="false" customHeight="true" outlineLevel="0" collapsed="false">
      <c r="A495" s="1" t="n">
        <v>490</v>
      </c>
      <c r="B495" s="13"/>
      <c r="F495" s="14" t="str">
        <f aca="false">IFERROR(INDEX('Operator Master'!$B$5:$B$504,MATCH(E495,'Operator Master'!$A$5:$A$504,0)),"")</f>
        <v/>
      </c>
      <c r="H495" s="14" t="str">
        <f aca="false">IFERROR(INDEX('Fault Master'!$B$5:$B$104,MATCH(G495,'Fault Master'!$A$5:$A$104,0)),"")</f>
        <v/>
      </c>
      <c r="I495" s="14" t="str">
        <f aca="false">IFERROR(INDEX('Fault Master'!$C$5:$C$104,MATCH(G495,'Fault Master'!$A$5:$A$104,0)),"")</f>
        <v/>
      </c>
      <c r="M495" s="14" t="str">
        <f aca="false">IFERROR(INDEX('Fault Master'!$D$5:$D$104,MATCH(G495,'Fault Master'!$A$5:$A$104,0)),"")</f>
        <v/>
      </c>
    </row>
    <row r="496" customFormat="false" ht="15" hidden="false" customHeight="true" outlineLevel="0" collapsed="false">
      <c r="A496" s="1" t="n">
        <v>491</v>
      </c>
      <c r="B496" s="13"/>
      <c r="F496" s="14" t="str">
        <f aca="false">IFERROR(INDEX('Operator Master'!$B$5:$B$504,MATCH(E496,'Operator Master'!$A$5:$A$504,0)),"")</f>
        <v/>
      </c>
      <c r="H496" s="14" t="str">
        <f aca="false">IFERROR(INDEX('Fault Master'!$B$5:$B$104,MATCH(G496,'Fault Master'!$A$5:$A$104,0)),"")</f>
        <v/>
      </c>
      <c r="I496" s="14" t="str">
        <f aca="false">IFERROR(INDEX('Fault Master'!$C$5:$C$104,MATCH(G496,'Fault Master'!$A$5:$A$104,0)),"")</f>
        <v/>
      </c>
      <c r="M496" s="14" t="str">
        <f aca="false">IFERROR(INDEX('Fault Master'!$D$5:$D$104,MATCH(G496,'Fault Master'!$A$5:$A$104,0)),"")</f>
        <v/>
      </c>
    </row>
    <row r="497" customFormat="false" ht="15" hidden="false" customHeight="true" outlineLevel="0" collapsed="false">
      <c r="A497" s="1" t="n">
        <v>492</v>
      </c>
      <c r="B497" s="13"/>
      <c r="F497" s="14" t="str">
        <f aca="false">IFERROR(INDEX('Operator Master'!$B$5:$B$504,MATCH(E497,'Operator Master'!$A$5:$A$504,0)),"")</f>
        <v/>
      </c>
      <c r="H497" s="14" t="str">
        <f aca="false">IFERROR(INDEX('Fault Master'!$B$5:$B$104,MATCH(G497,'Fault Master'!$A$5:$A$104,0)),"")</f>
        <v/>
      </c>
      <c r="I497" s="14" t="str">
        <f aca="false">IFERROR(INDEX('Fault Master'!$C$5:$C$104,MATCH(G497,'Fault Master'!$A$5:$A$104,0)),"")</f>
        <v/>
      </c>
      <c r="M497" s="14" t="str">
        <f aca="false">IFERROR(INDEX('Fault Master'!$D$5:$D$104,MATCH(G497,'Fault Master'!$A$5:$A$104,0)),"")</f>
        <v/>
      </c>
    </row>
    <row r="498" customFormat="false" ht="15" hidden="false" customHeight="true" outlineLevel="0" collapsed="false">
      <c r="A498" s="1" t="n">
        <v>493</v>
      </c>
      <c r="B498" s="13"/>
      <c r="F498" s="14" t="str">
        <f aca="false">IFERROR(INDEX('Operator Master'!$B$5:$B$504,MATCH(E498,'Operator Master'!$A$5:$A$504,0)),"")</f>
        <v/>
      </c>
      <c r="H498" s="14" t="str">
        <f aca="false">IFERROR(INDEX('Fault Master'!$B$5:$B$104,MATCH(G498,'Fault Master'!$A$5:$A$104,0)),"")</f>
        <v/>
      </c>
      <c r="I498" s="14" t="str">
        <f aca="false">IFERROR(INDEX('Fault Master'!$C$5:$C$104,MATCH(G498,'Fault Master'!$A$5:$A$104,0)),"")</f>
        <v/>
      </c>
      <c r="M498" s="14" t="str">
        <f aca="false">IFERROR(INDEX('Fault Master'!$D$5:$D$104,MATCH(G498,'Fault Master'!$A$5:$A$104,0)),"")</f>
        <v/>
      </c>
    </row>
    <row r="499" customFormat="false" ht="15" hidden="false" customHeight="true" outlineLevel="0" collapsed="false">
      <c r="A499" s="1" t="n">
        <v>494</v>
      </c>
      <c r="B499" s="13"/>
      <c r="F499" s="14" t="str">
        <f aca="false">IFERROR(INDEX('Operator Master'!$B$5:$B$504,MATCH(E499,'Operator Master'!$A$5:$A$504,0)),"")</f>
        <v/>
      </c>
      <c r="H499" s="14" t="str">
        <f aca="false">IFERROR(INDEX('Fault Master'!$B$5:$B$104,MATCH(G499,'Fault Master'!$A$5:$A$104,0)),"")</f>
        <v/>
      </c>
      <c r="I499" s="14" t="str">
        <f aca="false">IFERROR(INDEX('Fault Master'!$C$5:$C$104,MATCH(G499,'Fault Master'!$A$5:$A$104,0)),"")</f>
        <v/>
      </c>
      <c r="M499" s="14" t="str">
        <f aca="false">IFERROR(INDEX('Fault Master'!$D$5:$D$104,MATCH(G499,'Fault Master'!$A$5:$A$104,0)),"")</f>
        <v/>
      </c>
    </row>
    <row r="500" customFormat="false" ht="15" hidden="false" customHeight="true" outlineLevel="0" collapsed="false">
      <c r="A500" s="1" t="n">
        <v>495</v>
      </c>
      <c r="B500" s="13"/>
      <c r="F500" s="14" t="str">
        <f aca="false">IFERROR(INDEX('Operator Master'!$B$5:$B$504,MATCH(E500,'Operator Master'!$A$5:$A$504,0)),"")</f>
        <v/>
      </c>
      <c r="H500" s="14" t="str">
        <f aca="false">IFERROR(INDEX('Fault Master'!$B$5:$B$104,MATCH(G500,'Fault Master'!$A$5:$A$104,0)),"")</f>
        <v/>
      </c>
      <c r="I500" s="14" t="str">
        <f aca="false">IFERROR(INDEX('Fault Master'!$C$5:$C$104,MATCH(G500,'Fault Master'!$A$5:$A$104,0)),"")</f>
        <v/>
      </c>
      <c r="M500" s="14" t="str">
        <f aca="false">IFERROR(INDEX('Fault Master'!$D$5:$D$104,MATCH(G500,'Fault Master'!$A$5:$A$104,0)),"")</f>
        <v/>
      </c>
    </row>
    <row r="501" customFormat="false" ht="15" hidden="false" customHeight="true" outlineLevel="0" collapsed="false">
      <c r="A501" s="1" t="n">
        <v>496</v>
      </c>
      <c r="B501" s="13"/>
      <c r="F501" s="14" t="str">
        <f aca="false">IFERROR(INDEX('Operator Master'!$B$5:$B$504,MATCH(E501,'Operator Master'!$A$5:$A$504,0)),"")</f>
        <v/>
      </c>
      <c r="H501" s="14" t="str">
        <f aca="false">IFERROR(INDEX('Fault Master'!$B$5:$B$104,MATCH(G501,'Fault Master'!$A$5:$A$104,0)),"")</f>
        <v/>
      </c>
      <c r="I501" s="14" t="str">
        <f aca="false">IFERROR(INDEX('Fault Master'!$C$5:$C$104,MATCH(G501,'Fault Master'!$A$5:$A$104,0)),"")</f>
        <v/>
      </c>
      <c r="M501" s="14" t="str">
        <f aca="false">IFERROR(INDEX('Fault Master'!$D$5:$D$104,MATCH(G501,'Fault Master'!$A$5:$A$104,0)),"")</f>
        <v/>
      </c>
    </row>
    <row r="502" customFormat="false" ht="15" hidden="false" customHeight="true" outlineLevel="0" collapsed="false">
      <c r="A502" s="1" t="n">
        <v>497</v>
      </c>
      <c r="B502" s="13"/>
      <c r="F502" s="14" t="str">
        <f aca="false">IFERROR(INDEX('Operator Master'!$B$5:$B$504,MATCH(E502,'Operator Master'!$A$5:$A$504,0)),"")</f>
        <v/>
      </c>
      <c r="H502" s="14" t="str">
        <f aca="false">IFERROR(INDEX('Fault Master'!$B$5:$B$104,MATCH(G502,'Fault Master'!$A$5:$A$104,0)),"")</f>
        <v/>
      </c>
      <c r="I502" s="14" t="str">
        <f aca="false">IFERROR(INDEX('Fault Master'!$C$5:$C$104,MATCH(G502,'Fault Master'!$A$5:$A$104,0)),"")</f>
        <v/>
      </c>
      <c r="M502" s="14" t="str">
        <f aca="false">IFERROR(INDEX('Fault Master'!$D$5:$D$104,MATCH(G502,'Fault Master'!$A$5:$A$104,0)),"")</f>
        <v/>
      </c>
    </row>
    <row r="503" customFormat="false" ht="15" hidden="false" customHeight="true" outlineLevel="0" collapsed="false">
      <c r="A503" s="1" t="n">
        <v>498</v>
      </c>
      <c r="B503" s="13"/>
      <c r="F503" s="14" t="str">
        <f aca="false">IFERROR(INDEX('Operator Master'!$B$5:$B$504,MATCH(E503,'Operator Master'!$A$5:$A$504,0)),"")</f>
        <v/>
      </c>
      <c r="H503" s="14" t="str">
        <f aca="false">IFERROR(INDEX('Fault Master'!$B$5:$B$104,MATCH(G503,'Fault Master'!$A$5:$A$104,0)),"")</f>
        <v/>
      </c>
      <c r="I503" s="14" t="str">
        <f aca="false">IFERROR(INDEX('Fault Master'!$C$5:$C$104,MATCH(G503,'Fault Master'!$A$5:$A$104,0)),"")</f>
        <v/>
      </c>
      <c r="M503" s="14" t="str">
        <f aca="false">IFERROR(INDEX('Fault Master'!$D$5:$D$104,MATCH(G503,'Fault Master'!$A$5:$A$104,0)),"")</f>
        <v/>
      </c>
    </row>
    <row r="504" customFormat="false" ht="15" hidden="false" customHeight="true" outlineLevel="0" collapsed="false">
      <c r="A504" s="1" t="n">
        <v>499</v>
      </c>
      <c r="B504" s="13"/>
      <c r="F504" s="14" t="str">
        <f aca="false">IFERROR(INDEX('Operator Master'!$B$5:$B$504,MATCH(E504,'Operator Master'!$A$5:$A$504,0)),"")</f>
        <v/>
      </c>
      <c r="H504" s="14" t="str">
        <f aca="false">IFERROR(INDEX('Fault Master'!$B$5:$B$104,MATCH(G504,'Fault Master'!$A$5:$A$104,0)),"")</f>
        <v/>
      </c>
      <c r="I504" s="14" t="str">
        <f aca="false">IFERROR(INDEX('Fault Master'!$C$5:$C$104,MATCH(G504,'Fault Master'!$A$5:$A$104,0)),"")</f>
        <v/>
      </c>
      <c r="M504" s="14" t="str">
        <f aca="false">IFERROR(INDEX('Fault Master'!$D$5:$D$104,MATCH(G504,'Fault Master'!$A$5:$A$104,0)),"")</f>
        <v/>
      </c>
    </row>
    <row r="505" customFormat="false" ht="15" hidden="false" customHeight="true" outlineLevel="0" collapsed="false">
      <c r="A505" s="1" t="n">
        <v>500</v>
      </c>
      <c r="B505" s="13"/>
      <c r="F505" s="14" t="str">
        <f aca="false">IFERROR(INDEX('Operator Master'!$B$5:$B$504,MATCH(E505,'Operator Master'!$A$5:$A$504,0)),"")</f>
        <v/>
      </c>
      <c r="H505" s="14" t="str">
        <f aca="false">IFERROR(INDEX('Fault Master'!$B$5:$B$104,MATCH(G505,'Fault Master'!$A$5:$A$104,0)),"")</f>
        <v/>
      </c>
      <c r="I505" s="14" t="str">
        <f aca="false">IFERROR(INDEX('Fault Master'!$C$5:$C$104,MATCH(G505,'Fault Master'!$A$5:$A$104,0)),"")</f>
        <v/>
      </c>
      <c r="M505" s="14" t="str">
        <f aca="false">IFERROR(INDEX('Fault Master'!$D$5:$D$104,MATCH(G505,'Fault Master'!$A$5:$A$104,0)),"")</f>
        <v/>
      </c>
    </row>
    <row r="506" customFormat="false" ht="15" hidden="false" customHeight="true" outlineLevel="0" collapsed="false">
      <c r="A506" s="1" t="n">
        <v>501</v>
      </c>
      <c r="B506" s="13"/>
      <c r="F506" s="14" t="str">
        <f aca="false">IFERROR(INDEX('Operator Master'!$B$5:$B$504,MATCH(E506,'Operator Master'!$A$5:$A$504,0)),"")</f>
        <v/>
      </c>
      <c r="H506" s="14" t="str">
        <f aca="false">IFERROR(INDEX('Fault Master'!$B$5:$B$104,MATCH(G506,'Fault Master'!$A$5:$A$104,0)),"")</f>
        <v/>
      </c>
      <c r="I506" s="14" t="str">
        <f aca="false">IFERROR(INDEX('Fault Master'!$C$5:$C$104,MATCH(G506,'Fault Master'!$A$5:$A$104,0)),"")</f>
        <v/>
      </c>
      <c r="M506" s="14" t="str">
        <f aca="false">IFERROR(INDEX('Fault Master'!$D$5:$D$104,MATCH(G506,'Fault Master'!$A$5:$A$104,0)),"")</f>
        <v/>
      </c>
    </row>
    <row r="507" customFormat="false" ht="15" hidden="false" customHeight="true" outlineLevel="0" collapsed="false">
      <c r="A507" s="1" t="n">
        <v>502</v>
      </c>
      <c r="B507" s="13"/>
      <c r="F507" s="14" t="str">
        <f aca="false">IFERROR(INDEX('Operator Master'!$B$5:$B$504,MATCH(E507,'Operator Master'!$A$5:$A$504,0)),"")</f>
        <v/>
      </c>
      <c r="H507" s="14" t="str">
        <f aca="false">IFERROR(INDEX('Fault Master'!$B$5:$B$104,MATCH(G507,'Fault Master'!$A$5:$A$104,0)),"")</f>
        <v/>
      </c>
      <c r="I507" s="14" t="str">
        <f aca="false">IFERROR(INDEX('Fault Master'!$C$5:$C$104,MATCH(G507,'Fault Master'!$A$5:$A$104,0)),"")</f>
        <v/>
      </c>
      <c r="M507" s="14" t="str">
        <f aca="false">IFERROR(INDEX('Fault Master'!$D$5:$D$104,MATCH(G507,'Fault Master'!$A$5:$A$104,0)),"")</f>
        <v/>
      </c>
    </row>
    <row r="508" customFormat="false" ht="15" hidden="false" customHeight="true" outlineLevel="0" collapsed="false">
      <c r="A508" s="1" t="n">
        <v>503</v>
      </c>
      <c r="B508" s="13"/>
      <c r="F508" s="14" t="str">
        <f aca="false">IFERROR(INDEX('Operator Master'!$B$5:$B$504,MATCH(E508,'Operator Master'!$A$5:$A$504,0)),"")</f>
        <v/>
      </c>
      <c r="H508" s="14" t="str">
        <f aca="false">IFERROR(INDEX('Fault Master'!$B$5:$B$104,MATCH(G508,'Fault Master'!$A$5:$A$104,0)),"")</f>
        <v/>
      </c>
      <c r="I508" s="14" t="str">
        <f aca="false">IFERROR(INDEX('Fault Master'!$C$5:$C$104,MATCH(G508,'Fault Master'!$A$5:$A$104,0)),"")</f>
        <v/>
      </c>
      <c r="M508" s="14" t="str">
        <f aca="false">IFERROR(INDEX('Fault Master'!$D$5:$D$104,MATCH(G508,'Fault Master'!$A$5:$A$104,0)),"")</f>
        <v/>
      </c>
    </row>
    <row r="509" customFormat="false" ht="15" hidden="false" customHeight="true" outlineLevel="0" collapsed="false">
      <c r="A509" s="1" t="n">
        <v>504</v>
      </c>
      <c r="B509" s="13"/>
      <c r="F509" s="14" t="str">
        <f aca="false">IFERROR(INDEX('Operator Master'!$B$5:$B$504,MATCH(E509,'Operator Master'!$A$5:$A$504,0)),"")</f>
        <v/>
      </c>
      <c r="H509" s="14" t="str">
        <f aca="false">IFERROR(INDEX('Fault Master'!$B$5:$B$104,MATCH(G509,'Fault Master'!$A$5:$A$104,0)),"")</f>
        <v/>
      </c>
      <c r="I509" s="14" t="str">
        <f aca="false">IFERROR(INDEX('Fault Master'!$C$5:$C$104,MATCH(G509,'Fault Master'!$A$5:$A$104,0)),"")</f>
        <v/>
      </c>
      <c r="M509" s="14" t="str">
        <f aca="false">IFERROR(INDEX('Fault Master'!$D$5:$D$104,MATCH(G509,'Fault Master'!$A$5:$A$104,0)),"")</f>
        <v/>
      </c>
    </row>
    <row r="510" customFormat="false" ht="15" hidden="false" customHeight="true" outlineLevel="0" collapsed="false">
      <c r="A510" s="1" t="n">
        <v>505</v>
      </c>
      <c r="B510" s="13"/>
      <c r="F510" s="14" t="str">
        <f aca="false">IFERROR(INDEX('Operator Master'!$B$5:$B$504,MATCH(E510,'Operator Master'!$A$5:$A$504,0)),"")</f>
        <v/>
      </c>
      <c r="H510" s="14" t="str">
        <f aca="false">IFERROR(INDEX('Fault Master'!$B$5:$B$104,MATCH(G510,'Fault Master'!$A$5:$A$104,0)),"")</f>
        <v/>
      </c>
      <c r="I510" s="14" t="str">
        <f aca="false">IFERROR(INDEX('Fault Master'!$C$5:$C$104,MATCH(G510,'Fault Master'!$A$5:$A$104,0)),"")</f>
        <v/>
      </c>
      <c r="M510" s="14" t="str">
        <f aca="false">IFERROR(INDEX('Fault Master'!$D$5:$D$104,MATCH(G510,'Fault Master'!$A$5:$A$104,0)),"")</f>
        <v/>
      </c>
    </row>
    <row r="511" customFormat="false" ht="15" hidden="false" customHeight="true" outlineLevel="0" collapsed="false">
      <c r="A511" s="1" t="n">
        <v>506</v>
      </c>
      <c r="B511" s="13"/>
      <c r="F511" s="14" t="str">
        <f aca="false">IFERROR(INDEX('Operator Master'!$B$5:$B$504,MATCH(E511,'Operator Master'!$A$5:$A$504,0)),"")</f>
        <v/>
      </c>
      <c r="H511" s="14" t="str">
        <f aca="false">IFERROR(INDEX('Fault Master'!$B$5:$B$104,MATCH(G511,'Fault Master'!$A$5:$A$104,0)),"")</f>
        <v/>
      </c>
      <c r="I511" s="14" t="str">
        <f aca="false">IFERROR(INDEX('Fault Master'!$C$5:$C$104,MATCH(G511,'Fault Master'!$A$5:$A$104,0)),"")</f>
        <v/>
      </c>
      <c r="M511" s="14" t="str">
        <f aca="false">IFERROR(INDEX('Fault Master'!$D$5:$D$104,MATCH(G511,'Fault Master'!$A$5:$A$104,0)),"")</f>
        <v/>
      </c>
    </row>
    <row r="512" customFormat="false" ht="15" hidden="false" customHeight="true" outlineLevel="0" collapsed="false">
      <c r="A512" s="1" t="n">
        <v>507</v>
      </c>
      <c r="B512" s="13"/>
      <c r="F512" s="14" t="str">
        <f aca="false">IFERROR(INDEX('Operator Master'!$B$5:$B$504,MATCH(E512,'Operator Master'!$A$5:$A$504,0)),"")</f>
        <v/>
      </c>
      <c r="H512" s="14" t="str">
        <f aca="false">IFERROR(INDEX('Fault Master'!$B$5:$B$104,MATCH(G512,'Fault Master'!$A$5:$A$104,0)),"")</f>
        <v/>
      </c>
      <c r="I512" s="14" t="str">
        <f aca="false">IFERROR(INDEX('Fault Master'!$C$5:$C$104,MATCH(G512,'Fault Master'!$A$5:$A$104,0)),"")</f>
        <v/>
      </c>
      <c r="M512" s="14" t="str">
        <f aca="false">IFERROR(INDEX('Fault Master'!$D$5:$D$104,MATCH(G512,'Fault Master'!$A$5:$A$104,0)),"")</f>
        <v/>
      </c>
    </row>
    <row r="513" customFormat="false" ht="15" hidden="false" customHeight="true" outlineLevel="0" collapsed="false">
      <c r="A513" s="1" t="n">
        <v>508</v>
      </c>
      <c r="B513" s="13"/>
      <c r="F513" s="14" t="str">
        <f aca="false">IFERROR(INDEX('Operator Master'!$B$5:$B$504,MATCH(E513,'Operator Master'!$A$5:$A$504,0)),"")</f>
        <v/>
      </c>
      <c r="H513" s="14" t="str">
        <f aca="false">IFERROR(INDEX('Fault Master'!$B$5:$B$104,MATCH(G513,'Fault Master'!$A$5:$A$104,0)),"")</f>
        <v/>
      </c>
      <c r="I513" s="14" t="str">
        <f aca="false">IFERROR(INDEX('Fault Master'!$C$5:$C$104,MATCH(G513,'Fault Master'!$A$5:$A$104,0)),"")</f>
        <v/>
      </c>
      <c r="M513" s="14" t="str">
        <f aca="false">IFERROR(INDEX('Fault Master'!$D$5:$D$104,MATCH(G513,'Fault Master'!$A$5:$A$104,0)),"")</f>
        <v/>
      </c>
    </row>
    <row r="514" customFormat="false" ht="15" hidden="false" customHeight="true" outlineLevel="0" collapsed="false">
      <c r="A514" s="1" t="n">
        <v>509</v>
      </c>
      <c r="B514" s="13"/>
      <c r="F514" s="14" t="str">
        <f aca="false">IFERROR(INDEX('Operator Master'!$B$5:$B$504,MATCH(E514,'Operator Master'!$A$5:$A$504,0)),"")</f>
        <v/>
      </c>
      <c r="H514" s="14" t="str">
        <f aca="false">IFERROR(INDEX('Fault Master'!$B$5:$B$104,MATCH(G514,'Fault Master'!$A$5:$A$104,0)),"")</f>
        <v/>
      </c>
      <c r="I514" s="14" t="str">
        <f aca="false">IFERROR(INDEX('Fault Master'!$C$5:$C$104,MATCH(G514,'Fault Master'!$A$5:$A$104,0)),"")</f>
        <v/>
      </c>
      <c r="M514" s="14" t="str">
        <f aca="false">IFERROR(INDEX('Fault Master'!$D$5:$D$104,MATCH(G514,'Fault Master'!$A$5:$A$104,0)),"")</f>
        <v/>
      </c>
    </row>
    <row r="515" customFormat="false" ht="15" hidden="false" customHeight="true" outlineLevel="0" collapsed="false">
      <c r="A515" s="1" t="n">
        <v>510</v>
      </c>
      <c r="B515" s="13"/>
      <c r="F515" s="14" t="str">
        <f aca="false">IFERROR(INDEX('Operator Master'!$B$5:$B$504,MATCH(E515,'Operator Master'!$A$5:$A$504,0)),"")</f>
        <v/>
      </c>
      <c r="H515" s="14" t="str">
        <f aca="false">IFERROR(INDEX('Fault Master'!$B$5:$B$104,MATCH(G515,'Fault Master'!$A$5:$A$104,0)),"")</f>
        <v/>
      </c>
      <c r="I515" s="14" t="str">
        <f aca="false">IFERROR(INDEX('Fault Master'!$C$5:$C$104,MATCH(G515,'Fault Master'!$A$5:$A$104,0)),"")</f>
        <v/>
      </c>
      <c r="M515" s="14" t="str">
        <f aca="false">IFERROR(INDEX('Fault Master'!$D$5:$D$104,MATCH(G515,'Fault Master'!$A$5:$A$104,0)),"")</f>
        <v/>
      </c>
    </row>
    <row r="516" customFormat="false" ht="15" hidden="false" customHeight="true" outlineLevel="0" collapsed="false">
      <c r="A516" s="1" t="n">
        <v>511</v>
      </c>
      <c r="B516" s="13"/>
      <c r="F516" s="14" t="str">
        <f aca="false">IFERROR(INDEX('Operator Master'!$B$5:$B$504,MATCH(E516,'Operator Master'!$A$5:$A$504,0)),"")</f>
        <v/>
      </c>
      <c r="H516" s="14" t="str">
        <f aca="false">IFERROR(INDEX('Fault Master'!$B$5:$B$104,MATCH(G516,'Fault Master'!$A$5:$A$104,0)),"")</f>
        <v/>
      </c>
      <c r="I516" s="14" t="str">
        <f aca="false">IFERROR(INDEX('Fault Master'!$C$5:$C$104,MATCH(G516,'Fault Master'!$A$5:$A$104,0)),"")</f>
        <v/>
      </c>
      <c r="M516" s="14" t="str">
        <f aca="false">IFERROR(INDEX('Fault Master'!$D$5:$D$104,MATCH(G516,'Fault Master'!$A$5:$A$104,0)),"")</f>
        <v/>
      </c>
    </row>
    <row r="517" customFormat="false" ht="15" hidden="false" customHeight="true" outlineLevel="0" collapsed="false">
      <c r="A517" s="1" t="n">
        <v>512</v>
      </c>
      <c r="B517" s="13"/>
      <c r="F517" s="14" t="str">
        <f aca="false">IFERROR(INDEX('Operator Master'!$B$5:$B$504,MATCH(E517,'Operator Master'!$A$5:$A$504,0)),"")</f>
        <v/>
      </c>
      <c r="H517" s="14" t="str">
        <f aca="false">IFERROR(INDEX('Fault Master'!$B$5:$B$104,MATCH(G517,'Fault Master'!$A$5:$A$104,0)),"")</f>
        <v/>
      </c>
      <c r="I517" s="14" t="str">
        <f aca="false">IFERROR(INDEX('Fault Master'!$C$5:$C$104,MATCH(G517,'Fault Master'!$A$5:$A$104,0)),"")</f>
        <v/>
      </c>
      <c r="M517" s="14" t="str">
        <f aca="false">IFERROR(INDEX('Fault Master'!$D$5:$D$104,MATCH(G517,'Fault Master'!$A$5:$A$104,0)),"")</f>
        <v/>
      </c>
    </row>
    <row r="518" customFormat="false" ht="15" hidden="false" customHeight="true" outlineLevel="0" collapsed="false">
      <c r="A518" s="1" t="n">
        <v>513</v>
      </c>
      <c r="B518" s="13"/>
      <c r="F518" s="14" t="str">
        <f aca="false">IFERROR(INDEX('Operator Master'!$B$5:$B$504,MATCH(E518,'Operator Master'!$A$5:$A$504,0)),"")</f>
        <v/>
      </c>
      <c r="H518" s="14" t="str">
        <f aca="false">IFERROR(INDEX('Fault Master'!$B$5:$B$104,MATCH(G518,'Fault Master'!$A$5:$A$104,0)),"")</f>
        <v/>
      </c>
      <c r="I518" s="14" t="str">
        <f aca="false">IFERROR(INDEX('Fault Master'!$C$5:$C$104,MATCH(G518,'Fault Master'!$A$5:$A$104,0)),"")</f>
        <v/>
      </c>
      <c r="M518" s="14" t="str">
        <f aca="false">IFERROR(INDEX('Fault Master'!$D$5:$D$104,MATCH(G518,'Fault Master'!$A$5:$A$104,0)),"")</f>
        <v/>
      </c>
    </row>
    <row r="519" customFormat="false" ht="15" hidden="false" customHeight="true" outlineLevel="0" collapsed="false">
      <c r="A519" s="1" t="n">
        <v>514</v>
      </c>
      <c r="B519" s="13"/>
      <c r="F519" s="14" t="str">
        <f aca="false">IFERROR(INDEX('Operator Master'!$B$5:$B$504,MATCH(E519,'Operator Master'!$A$5:$A$504,0)),"")</f>
        <v/>
      </c>
      <c r="H519" s="14" t="str">
        <f aca="false">IFERROR(INDEX('Fault Master'!$B$5:$B$104,MATCH(G519,'Fault Master'!$A$5:$A$104,0)),"")</f>
        <v/>
      </c>
      <c r="I519" s="14" t="str">
        <f aca="false">IFERROR(INDEX('Fault Master'!$C$5:$C$104,MATCH(G519,'Fault Master'!$A$5:$A$104,0)),"")</f>
        <v/>
      </c>
      <c r="M519" s="14" t="str">
        <f aca="false">IFERROR(INDEX('Fault Master'!$D$5:$D$104,MATCH(G519,'Fault Master'!$A$5:$A$104,0)),"")</f>
        <v/>
      </c>
    </row>
    <row r="520" customFormat="false" ht="15" hidden="false" customHeight="true" outlineLevel="0" collapsed="false">
      <c r="A520" s="1" t="n">
        <v>515</v>
      </c>
      <c r="B520" s="13"/>
      <c r="F520" s="14" t="str">
        <f aca="false">IFERROR(INDEX('Operator Master'!$B$5:$B$504,MATCH(E520,'Operator Master'!$A$5:$A$504,0)),"")</f>
        <v/>
      </c>
      <c r="H520" s="14" t="str">
        <f aca="false">IFERROR(INDEX('Fault Master'!$B$5:$B$104,MATCH(G520,'Fault Master'!$A$5:$A$104,0)),"")</f>
        <v/>
      </c>
      <c r="I520" s="14" t="str">
        <f aca="false">IFERROR(INDEX('Fault Master'!$C$5:$C$104,MATCH(G520,'Fault Master'!$A$5:$A$104,0)),"")</f>
        <v/>
      </c>
      <c r="M520" s="14" t="str">
        <f aca="false">IFERROR(INDEX('Fault Master'!$D$5:$D$104,MATCH(G520,'Fault Master'!$A$5:$A$104,0)),"")</f>
        <v/>
      </c>
    </row>
    <row r="521" customFormat="false" ht="15" hidden="false" customHeight="true" outlineLevel="0" collapsed="false">
      <c r="A521" s="1" t="n">
        <v>516</v>
      </c>
      <c r="B521" s="13"/>
      <c r="F521" s="14" t="str">
        <f aca="false">IFERROR(INDEX('Operator Master'!$B$5:$B$504,MATCH(E521,'Operator Master'!$A$5:$A$504,0)),"")</f>
        <v/>
      </c>
      <c r="H521" s="14" t="str">
        <f aca="false">IFERROR(INDEX('Fault Master'!$B$5:$B$104,MATCH(G521,'Fault Master'!$A$5:$A$104,0)),"")</f>
        <v/>
      </c>
      <c r="I521" s="14" t="str">
        <f aca="false">IFERROR(INDEX('Fault Master'!$C$5:$C$104,MATCH(G521,'Fault Master'!$A$5:$A$104,0)),"")</f>
        <v/>
      </c>
      <c r="M521" s="14" t="str">
        <f aca="false">IFERROR(INDEX('Fault Master'!$D$5:$D$104,MATCH(G521,'Fault Master'!$A$5:$A$104,0)),"")</f>
        <v/>
      </c>
    </row>
    <row r="522" customFormat="false" ht="15" hidden="false" customHeight="true" outlineLevel="0" collapsed="false">
      <c r="A522" s="1" t="n">
        <v>517</v>
      </c>
      <c r="B522" s="13"/>
      <c r="F522" s="14" t="str">
        <f aca="false">IFERROR(INDEX('Operator Master'!$B$5:$B$504,MATCH(E522,'Operator Master'!$A$5:$A$504,0)),"")</f>
        <v/>
      </c>
      <c r="H522" s="14" t="str">
        <f aca="false">IFERROR(INDEX('Fault Master'!$B$5:$B$104,MATCH(G522,'Fault Master'!$A$5:$A$104,0)),"")</f>
        <v/>
      </c>
      <c r="I522" s="14" t="str">
        <f aca="false">IFERROR(INDEX('Fault Master'!$C$5:$C$104,MATCH(G522,'Fault Master'!$A$5:$A$104,0)),"")</f>
        <v/>
      </c>
      <c r="M522" s="14" t="str">
        <f aca="false">IFERROR(INDEX('Fault Master'!$D$5:$D$104,MATCH(G522,'Fault Master'!$A$5:$A$104,0)),"")</f>
        <v/>
      </c>
    </row>
    <row r="523" customFormat="false" ht="15" hidden="false" customHeight="true" outlineLevel="0" collapsed="false">
      <c r="A523" s="1" t="n">
        <v>518</v>
      </c>
      <c r="B523" s="13"/>
      <c r="F523" s="14" t="str">
        <f aca="false">IFERROR(INDEX('Operator Master'!$B$5:$B$504,MATCH(E523,'Operator Master'!$A$5:$A$504,0)),"")</f>
        <v/>
      </c>
      <c r="H523" s="14" t="str">
        <f aca="false">IFERROR(INDEX('Fault Master'!$B$5:$B$104,MATCH(G523,'Fault Master'!$A$5:$A$104,0)),"")</f>
        <v/>
      </c>
      <c r="I523" s="14" t="str">
        <f aca="false">IFERROR(INDEX('Fault Master'!$C$5:$C$104,MATCH(G523,'Fault Master'!$A$5:$A$104,0)),"")</f>
        <v/>
      </c>
      <c r="M523" s="14" t="str">
        <f aca="false">IFERROR(INDEX('Fault Master'!$D$5:$D$104,MATCH(G523,'Fault Master'!$A$5:$A$104,0)),"")</f>
        <v/>
      </c>
    </row>
    <row r="524" customFormat="false" ht="15" hidden="false" customHeight="true" outlineLevel="0" collapsed="false">
      <c r="A524" s="1" t="n">
        <v>519</v>
      </c>
      <c r="B524" s="13"/>
      <c r="F524" s="14" t="str">
        <f aca="false">IFERROR(INDEX('Operator Master'!$B$5:$B$504,MATCH(E524,'Operator Master'!$A$5:$A$504,0)),"")</f>
        <v/>
      </c>
      <c r="H524" s="14" t="str">
        <f aca="false">IFERROR(INDEX('Fault Master'!$B$5:$B$104,MATCH(G524,'Fault Master'!$A$5:$A$104,0)),"")</f>
        <v/>
      </c>
      <c r="I524" s="14" t="str">
        <f aca="false">IFERROR(INDEX('Fault Master'!$C$5:$C$104,MATCH(G524,'Fault Master'!$A$5:$A$104,0)),"")</f>
        <v/>
      </c>
      <c r="M524" s="14" t="str">
        <f aca="false">IFERROR(INDEX('Fault Master'!$D$5:$D$104,MATCH(G524,'Fault Master'!$A$5:$A$104,0)),"")</f>
        <v/>
      </c>
    </row>
    <row r="525" customFormat="false" ht="15" hidden="false" customHeight="true" outlineLevel="0" collapsed="false">
      <c r="A525" s="1" t="n">
        <v>520</v>
      </c>
      <c r="B525" s="13"/>
      <c r="F525" s="14" t="str">
        <f aca="false">IFERROR(INDEX('Operator Master'!$B$5:$B$504,MATCH(E525,'Operator Master'!$A$5:$A$504,0)),"")</f>
        <v/>
      </c>
      <c r="H525" s="14" t="str">
        <f aca="false">IFERROR(INDEX('Fault Master'!$B$5:$B$104,MATCH(G525,'Fault Master'!$A$5:$A$104,0)),"")</f>
        <v/>
      </c>
      <c r="I525" s="14" t="str">
        <f aca="false">IFERROR(INDEX('Fault Master'!$C$5:$C$104,MATCH(G525,'Fault Master'!$A$5:$A$104,0)),"")</f>
        <v/>
      </c>
      <c r="M525" s="14" t="str">
        <f aca="false">IFERROR(INDEX('Fault Master'!$D$5:$D$104,MATCH(G525,'Fault Master'!$A$5:$A$104,0)),"")</f>
        <v/>
      </c>
    </row>
    <row r="526" customFormat="false" ht="15" hidden="false" customHeight="true" outlineLevel="0" collapsed="false">
      <c r="A526" s="1" t="n">
        <v>521</v>
      </c>
      <c r="B526" s="13"/>
      <c r="F526" s="14" t="str">
        <f aca="false">IFERROR(INDEX('Operator Master'!$B$5:$B$504,MATCH(E526,'Operator Master'!$A$5:$A$504,0)),"")</f>
        <v/>
      </c>
      <c r="H526" s="14" t="str">
        <f aca="false">IFERROR(INDEX('Fault Master'!$B$5:$B$104,MATCH(G526,'Fault Master'!$A$5:$A$104,0)),"")</f>
        <v/>
      </c>
      <c r="I526" s="14" t="str">
        <f aca="false">IFERROR(INDEX('Fault Master'!$C$5:$C$104,MATCH(G526,'Fault Master'!$A$5:$A$104,0)),"")</f>
        <v/>
      </c>
      <c r="M526" s="14" t="str">
        <f aca="false">IFERROR(INDEX('Fault Master'!$D$5:$D$104,MATCH(G526,'Fault Master'!$A$5:$A$104,0)),"")</f>
        <v/>
      </c>
    </row>
    <row r="527" customFormat="false" ht="15" hidden="false" customHeight="true" outlineLevel="0" collapsed="false">
      <c r="A527" s="1" t="n">
        <v>522</v>
      </c>
      <c r="B527" s="13"/>
      <c r="F527" s="14" t="str">
        <f aca="false">IFERROR(INDEX('Operator Master'!$B$5:$B$504,MATCH(E527,'Operator Master'!$A$5:$A$504,0)),"")</f>
        <v/>
      </c>
      <c r="H527" s="14" t="str">
        <f aca="false">IFERROR(INDEX('Fault Master'!$B$5:$B$104,MATCH(G527,'Fault Master'!$A$5:$A$104,0)),"")</f>
        <v/>
      </c>
      <c r="I527" s="14" t="str">
        <f aca="false">IFERROR(INDEX('Fault Master'!$C$5:$C$104,MATCH(G527,'Fault Master'!$A$5:$A$104,0)),"")</f>
        <v/>
      </c>
      <c r="M527" s="14" t="str">
        <f aca="false">IFERROR(INDEX('Fault Master'!$D$5:$D$104,MATCH(G527,'Fault Master'!$A$5:$A$104,0)),"")</f>
        <v/>
      </c>
    </row>
    <row r="528" customFormat="false" ht="15" hidden="false" customHeight="true" outlineLevel="0" collapsed="false">
      <c r="A528" s="1" t="n">
        <v>523</v>
      </c>
      <c r="B528" s="13"/>
      <c r="F528" s="14" t="str">
        <f aca="false">IFERROR(INDEX('Operator Master'!$B$5:$B$504,MATCH(E528,'Operator Master'!$A$5:$A$504,0)),"")</f>
        <v/>
      </c>
      <c r="H528" s="14" t="str">
        <f aca="false">IFERROR(INDEX('Fault Master'!$B$5:$B$104,MATCH(G528,'Fault Master'!$A$5:$A$104,0)),"")</f>
        <v/>
      </c>
      <c r="I528" s="14" t="str">
        <f aca="false">IFERROR(INDEX('Fault Master'!$C$5:$C$104,MATCH(G528,'Fault Master'!$A$5:$A$104,0)),"")</f>
        <v/>
      </c>
      <c r="M528" s="14" t="str">
        <f aca="false">IFERROR(INDEX('Fault Master'!$D$5:$D$104,MATCH(G528,'Fault Master'!$A$5:$A$104,0)),"")</f>
        <v/>
      </c>
    </row>
    <row r="529" customFormat="false" ht="15" hidden="false" customHeight="true" outlineLevel="0" collapsed="false">
      <c r="A529" s="1" t="n">
        <v>524</v>
      </c>
      <c r="B529" s="13"/>
      <c r="F529" s="14" t="str">
        <f aca="false">IFERROR(INDEX('Operator Master'!$B$5:$B$504,MATCH(E529,'Operator Master'!$A$5:$A$504,0)),"")</f>
        <v/>
      </c>
      <c r="H529" s="14" t="str">
        <f aca="false">IFERROR(INDEX('Fault Master'!$B$5:$B$104,MATCH(G529,'Fault Master'!$A$5:$A$104,0)),"")</f>
        <v/>
      </c>
      <c r="I529" s="14" t="str">
        <f aca="false">IFERROR(INDEX('Fault Master'!$C$5:$C$104,MATCH(G529,'Fault Master'!$A$5:$A$104,0)),"")</f>
        <v/>
      </c>
      <c r="M529" s="14" t="str">
        <f aca="false">IFERROR(INDEX('Fault Master'!$D$5:$D$104,MATCH(G529,'Fault Master'!$A$5:$A$104,0)),"")</f>
        <v/>
      </c>
    </row>
    <row r="530" customFormat="false" ht="15" hidden="false" customHeight="true" outlineLevel="0" collapsed="false">
      <c r="A530" s="1" t="n">
        <v>525</v>
      </c>
      <c r="B530" s="13"/>
      <c r="F530" s="14" t="str">
        <f aca="false">IFERROR(INDEX('Operator Master'!$B$5:$B$504,MATCH(E530,'Operator Master'!$A$5:$A$504,0)),"")</f>
        <v/>
      </c>
      <c r="H530" s="14" t="str">
        <f aca="false">IFERROR(INDEX('Fault Master'!$B$5:$B$104,MATCH(G530,'Fault Master'!$A$5:$A$104,0)),"")</f>
        <v/>
      </c>
      <c r="I530" s="14" t="str">
        <f aca="false">IFERROR(INDEX('Fault Master'!$C$5:$C$104,MATCH(G530,'Fault Master'!$A$5:$A$104,0)),"")</f>
        <v/>
      </c>
      <c r="M530" s="14" t="str">
        <f aca="false">IFERROR(INDEX('Fault Master'!$D$5:$D$104,MATCH(G530,'Fault Master'!$A$5:$A$104,0)),"")</f>
        <v/>
      </c>
    </row>
    <row r="531" customFormat="false" ht="15" hidden="false" customHeight="true" outlineLevel="0" collapsed="false">
      <c r="A531" s="1" t="n">
        <v>526</v>
      </c>
      <c r="B531" s="13"/>
      <c r="F531" s="14" t="str">
        <f aca="false">IFERROR(INDEX('Operator Master'!$B$5:$B$504,MATCH(E531,'Operator Master'!$A$5:$A$504,0)),"")</f>
        <v/>
      </c>
      <c r="H531" s="14" t="str">
        <f aca="false">IFERROR(INDEX('Fault Master'!$B$5:$B$104,MATCH(G531,'Fault Master'!$A$5:$A$104,0)),"")</f>
        <v/>
      </c>
      <c r="I531" s="14" t="str">
        <f aca="false">IFERROR(INDEX('Fault Master'!$C$5:$C$104,MATCH(G531,'Fault Master'!$A$5:$A$104,0)),"")</f>
        <v/>
      </c>
      <c r="M531" s="14" t="str">
        <f aca="false">IFERROR(INDEX('Fault Master'!$D$5:$D$104,MATCH(G531,'Fault Master'!$A$5:$A$104,0)),"")</f>
        <v/>
      </c>
    </row>
    <row r="532" customFormat="false" ht="15" hidden="false" customHeight="true" outlineLevel="0" collapsed="false">
      <c r="A532" s="1" t="n">
        <v>527</v>
      </c>
      <c r="B532" s="13"/>
      <c r="F532" s="14" t="str">
        <f aca="false">IFERROR(INDEX('Operator Master'!$B$5:$B$504,MATCH(E532,'Operator Master'!$A$5:$A$504,0)),"")</f>
        <v/>
      </c>
      <c r="H532" s="14" t="str">
        <f aca="false">IFERROR(INDEX('Fault Master'!$B$5:$B$104,MATCH(G532,'Fault Master'!$A$5:$A$104,0)),"")</f>
        <v/>
      </c>
      <c r="I532" s="14" t="str">
        <f aca="false">IFERROR(INDEX('Fault Master'!$C$5:$C$104,MATCH(G532,'Fault Master'!$A$5:$A$104,0)),"")</f>
        <v/>
      </c>
      <c r="M532" s="14" t="str">
        <f aca="false">IFERROR(INDEX('Fault Master'!$D$5:$D$104,MATCH(G532,'Fault Master'!$A$5:$A$104,0)),"")</f>
        <v/>
      </c>
    </row>
    <row r="533" customFormat="false" ht="15" hidden="false" customHeight="true" outlineLevel="0" collapsed="false">
      <c r="A533" s="1" t="n">
        <v>528</v>
      </c>
      <c r="B533" s="13"/>
      <c r="F533" s="14" t="str">
        <f aca="false">IFERROR(INDEX('Operator Master'!$B$5:$B$504,MATCH(E533,'Operator Master'!$A$5:$A$504,0)),"")</f>
        <v/>
      </c>
      <c r="H533" s="14" t="str">
        <f aca="false">IFERROR(INDEX('Fault Master'!$B$5:$B$104,MATCH(G533,'Fault Master'!$A$5:$A$104,0)),"")</f>
        <v/>
      </c>
      <c r="I533" s="14" t="str">
        <f aca="false">IFERROR(INDEX('Fault Master'!$C$5:$C$104,MATCH(G533,'Fault Master'!$A$5:$A$104,0)),"")</f>
        <v/>
      </c>
      <c r="M533" s="14" t="str">
        <f aca="false">IFERROR(INDEX('Fault Master'!$D$5:$D$104,MATCH(G533,'Fault Master'!$A$5:$A$104,0)),"")</f>
        <v/>
      </c>
    </row>
    <row r="534" customFormat="false" ht="15" hidden="false" customHeight="true" outlineLevel="0" collapsed="false">
      <c r="A534" s="1" t="n">
        <v>529</v>
      </c>
      <c r="B534" s="13"/>
      <c r="F534" s="14" t="str">
        <f aca="false">IFERROR(INDEX('Operator Master'!$B$5:$B$504,MATCH(E534,'Operator Master'!$A$5:$A$504,0)),"")</f>
        <v/>
      </c>
      <c r="H534" s="14" t="str">
        <f aca="false">IFERROR(INDEX('Fault Master'!$B$5:$B$104,MATCH(G534,'Fault Master'!$A$5:$A$104,0)),"")</f>
        <v/>
      </c>
      <c r="I534" s="14" t="str">
        <f aca="false">IFERROR(INDEX('Fault Master'!$C$5:$C$104,MATCH(G534,'Fault Master'!$A$5:$A$104,0)),"")</f>
        <v/>
      </c>
      <c r="M534" s="14" t="str">
        <f aca="false">IFERROR(INDEX('Fault Master'!$D$5:$D$104,MATCH(G534,'Fault Master'!$A$5:$A$104,0)),"")</f>
        <v/>
      </c>
    </row>
    <row r="535" customFormat="false" ht="15" hidden="false" customHeight="true" outlineLevel="0" collapsed="false">
      <c r="A535" s="1" t="n">
        <v>530</v>
      </c>
      <c r="B535" s="13"/>
      <c r="F535" s="14" t="str">
        <f aca="false">IFERROR(INDEX('Operator Master'!$B$5:$B$504,MATCH(E535,'Operator Master'!$A$5:$A$504,0)),"")</f>
        <v/>
      </c>
      <c r="H535" s="14" t="str">
        <f aca="false">IFERROR(INDEX('Fault Master'!$B$5:$B$104,MATCH(G535,'Fault Master'!$A$5:$A$104,0)),"")</f>
        <v/>
      </c>
      <c r="I535" s="14" t="str">
        <f aca="false">IFERROR(INDEX('Fault Master'!$C$5:$C$104,MATCH(G535,'Fault Master'!$A$5:$A$104,0)),"")</f>
        <v/>
      </c>
      <c r="M535" s="14" t="str">
        <f aca="false">IFERROR(INDEX('Fault Master'!$D$5:$D$104,MATCH(G535,'Fault Master'!$A$5:$A$104,0)),"")</f>
        <v/>
      </c>
    </row>
    <row r="536" customFormat="false" ht="15" hidden="false" customHeight="true" outlineLevel="0" collapsed="false">
      <c r="A536" s="1" t="n">
        <v>531</v>
      </c>
      <c r="B536" s="13"/>
      <c r="F536" s="14" t="str">
        <f aca="false">IFERROR(INDEX('Operator Master'!$B$5:$B$504,MATCH(E536,'Operator Master'!$A$5:$A$504,0)),"")</f>
        <v/>
      </c>
      <c r="H536" s="14" t="str">
        <f aca="false">IFERROR(INDEX('Fault Master'!$B$5:$B$104,MATCH(G536,'Fault Master'!$A$5:$A$104,0)),"")</f>
        <v/>
      </c>
      <c r="I536" s="14" t="str">
        <f aca="false">IFERROR(INDEX('Fault Master'!$C$5:$C$104,MATCH(G536,'Fault Master'!$A$5:$A$104,0)),"")</f>
        <v/>
      </c>
      <c r="M536" s="14" t="str">
        <f aca="false">IFERROR(INDEX('Fault Master'!$D$5:$D$104,MATCH(G536,'Fault Master'!$A$5:$A$104,0)),"")</f>
        <v/>
      </c>
    </row>
    <row r="537" customFormat="false" ht="15" hidden="false" customHeight="true" outlineLevel="0" collapsed="false">
      <c r="A537" s="1" t="n">
        <v>532</v>
      </c>
      <c r="B537" s="13"/>
      <c r="F537" s="14" t="str">
        <f aca="false">IFERROR(INDEX('Operator Master'!$B$5:$B$504,MATCH(E537,'Operator Master'!$A$5:$A$504,0)),"")</f>
        <v/>
      </c>
      <c r="H537" s="14" t="str">
        <f aca="false">IFERROR(INDEX('Fault Master'!$B$5:$B$104,MATCH(G537,'Fault Master'!$A$5:$A$104,0)),"")</f>
        <v/>
      </c>
      <c r="I537" s="14" t="str">
        <f aca="false">IFERROR(INDEX('Fault Master'!$C$5:$C$104,MATCH(G537,'Fault Master'!$A$5:$A$104,0)),"")</f>
        <v/>
      </c>
      <c r="M537" s="14" t="str">
        <f aca="false">IFERROR(INDEX('Fault Master'!$D$5:$D$104,MATCH(G537,'Fault Master'!$A$5:$A$104,0)),"")</f>
        <v/>
      </c>
    </row>
    <row r="538" customFormat="false" ht="15" hidden="false" customHeight="true" outlineLevel="0" collapsed="false">
      <c r="A538" s="1" t="n">
        <v>533</v>
      </c>
      <c r="B538" s="13"/>
      <c r="F538" s="14" t="str">
        <f aca="false">IFERROR(INDEX('Operator Master'!$B$5:$B$504,MATCH(E538,'Operator Master'!$A$5:$A$504,0)),"")</f>
        <v/>
      </c>
      <c r="H538" s="14" t="str">
        <f aca="false">IFERROR(INDEX('Fault Master'!$B$5:$B$104,MATCH(G538,'Fault Master'!$A$5:$A$104,0)),"")</f>
        <v/>
      </c>
      <c r="I538" s="14" t="str">
        <f aca="false">IFERROR(INDEX('Fault Master'!$C$5:$C$104,MATCH(G538,'Fault Master'!$A$5:$A$104,0)),"")</f>
        <v/>
      </c>
      <c r="M538" s="14" t="str">
        <f aca="false">IFERROR(INDEX('Fault Master'!$D$5:$D$104,MATCH(G538,'Fault Master'!$A$5:$A$104,0)),"")</f>
        <v/>
      </c>
    </row>
    <row r="539" customFormat="false" ht="15" hidden="false" customHeight="true" outlineLevel="0" collapsed="false">
      <c r="A539" s="1" t="n">
        <v>534</v>
      </c>
      <c r="B539" s="13"/>
      <c r="F539" s="14" t="str">
        <f aca="false">IFERROR(INDEX('Operator Master'!$B$5:$B$504,MATCH(E539,'Operator Master'!$A$5:$A$504,0)),"")</f>
        <v/>
      </c>
      <c r="H539" s="14" t="str">
        <f aca="false">IFERROR(INDEX('Fault Master'!$B$5:$B$104,MATCH(G539,'Fault Master'!$A$5:$A$104,0)),"")</f>
        <v/>
      </c>
      <c r="I539" s="14" t="str">
        <f aca="false">IFERROR(INDEX('Fault Master'!$C$5:$C$104,MATCH(G539,'Fault Master'!$A$5:$A$104,0)),"")</f>
        <v/>
      </c>
      <c r="M539" s="14" t="str">
        <f aca="false">IFERROR(INDEX('Fault Master'!$D$5:$D$104,MATCH(G539,'Fault Master'!$A$5:$A$104,0)),"")</f>
        <v/>
      </c>
    </row>
    <row r="540" customFormat="false" ht="15" hidden="false" customHeight="true" outlineLevel="0" collapsed="false">
      <c r="A540" s="1" t="n">
        <v>535</v>
      </c>
      <c r="B540" s="13"/>
      <c r="F540" s="14" t="str">
        <f aca="false">IFERROR(INDEX('Operator Master'!$B$5:$B$504,MATCH(E540,'Operator Master'!$A$5:$A$504,0)),"")</f>
        <v/>
      </c>
      <c r="H540" s="14" t="str">
        <f aca="false">IFERROR(INDEX('Fault Master'!$B$5:$B$104,MATCH(G540,'Fault Master'!$A$5:$A$104,0)),"")</f>
        <v/>
      </c>
      <c r="I540" s="14" t="str">
        <f aca="false">IFERROR(INDEX('Fault Master'!$C$5:$C$104,MATCH(G540,'Fault Master'!$A$5:$A$104,0)),"")</f>
        <v/>
      </c>
      <c r="M540" s="14" t="str">
        <f aca="false">IFERROR(INDEX('Fault Master'!$D$5:$D$104,MATCH(G540,'Fault Master'!$A$5:$A$104,0)),"")</f>
        <v/>
      </c>
    </row>
    <row r="541" customFormat="false" ht="15" hidden="false" customHeight="true" outlineLevel="0" collapsed="false">
      <c r="A541" s="1" t="n">
        <v>536</v>
      </c>
      <c r="B541" s="13"/>
      <c r="F541" s="14" t="str">
        <f aca="false">IFERROR(INDEX('Operator Master'!$B$5:$B$504,MATCH(E541,'Operator Master'!$A$5:$A$504,0)),"")</f>
        <v/>
      </c>
      <c r="H541" s="14" t="str">
        <f aca="false">IFERROR(INDEX('Fault Master'!$B$5:$B$104,MATCH(G541,'Fault Master'!$A$5:$A$104,0)),"")</f>
        <v/>
      </c>
      <c r="I541" s="14" t="str">
        <f aca="false">IFERROR(INDEX('Fault Master'!$C$5:$C$104,MATCH(G541,'Fault Master'!$A$5:$A$104,0)),"")</f>
        <v/>
      </c>
      <c r="M541" s="14" t="str">
        <f aca="false">IFERROR(INDEX('Fault Master'!$D$5:$D$104,MATCH(G541,'Fault Master'!$A$5:$A$104,0)),"")</f>
        <v/>
      </c>
    </row>
    <row r="542" customFormat="false" ht="15" hidden="false" customHeight="true" outlineLevel="0" collapsed="false">
      <c r="A542" s="1" t="n">
        <v>537</v>
      </c>
      <c r="B542" s="13"/>
      <c r="F542" s="14" t="str">
        <f aca="false">IFERROR(INDEX('Operator Master'!$B$5:$B$504,MATCH(E542,'Operator Master'!$A$5:$A$504,0)),"")</f>
        <v/>
      </c>
      <c r="H542" s="14" t="str">
        <f aca="false">IFERROR(INDEX('Fault Master'!$B$5:$B$104,MATCH(G542,'Fault Master'!$A$5:$A$104,0)),"")</f>
        <v/>
      </c>
      <c r="I542" s="14" t="str">
        <f aca="false">IFERROR(INDEX('Fault Master'!$C$5:$C$104,MATCH(G542,'Fault Master'!$A$5:$A$104,0)),"")</f>
        <v/>
      </c>
      <c r="M542" s="14" t="str">
        <f aca="false">IFERROR(INDEX('Fault Master'!$D$5:$D$104,MATCH(G542,'Fault Master'!$A$5:$A$104,0)),"")</f>
        <v/>
      </c>
    </row>
    <row r="543" customFormat="false" ht="15" hidden="false" customHeight="true" outlineLevel="0" collapsed="false">
      <c r="A543" s="1" t="n">
        <v>538</v>
      </c>
      <c r="B543" s="13"/>
      <c r="F543" s="14" t="str">
        <f aca="false">IFERROR(INDEX('Operator Master'!$B$5:$B$504,MATCH(E543,'Operator Master'!$A$5:$A$504,0)),"")</f>
        <v/>
      </c>
      <c r="H543" s="14" t="str">
        <f aca="false">IFERROR(INDEX('Fault Master'!$B$5:$B$104,MATCH(G543,'Fault Master'!$A$5:$A$104,0)),"")</f>
        <v/>
      </c>
      <c r="I543" s="14" t="str">
        <f aca="false">IFERROR(INDEX('Fault Master'!$C$5:$C$104,MATCH(G543,'Fault Master'!$A$5:$A$104,0)),"")</f>
        <v/>
      </c>
      <c r="M543" s="14" t="str">
        <f aca="false">IFERROR(INDEX('Fault Master'!$D$5:$D$104,MATCH(G543,'Fault Master'!$A$5:$A$104,0)),"")</f>
        <v/>
      </c>
    </row>
    <row r="544" customFormat="false" ht="15" hidden="false" customHeight="true" outlineLevel="0" collapsed="false">
      <c r="A544" s="1" t="n">
        <v>539</v>
      </c>
      <c r="B544" s="13"/>
      <c r="F544" s="14" t="str">
        <f aca="false">IFERROR(INDEX('Operator Master'!$B$5:$B$504,MATCH(E544,'Operator Master'!$A$5:$A$504,0)),"")</f>
        <v/>
      </c>
      <c r="H544" s="14" t="str">
        <f aca="false">IFERROR(INDEX('Fault Master'!$B$5:$B$104,MATCH(G544,'Fault Master'!$A$5:$A$104,0)),"")</f>
        <v/>
      </c>
      <c r="I544" s="14" t="str">
        <f aca="false">IFERROR(INDEX('Fault Master'!$C$5:$C$104,MATCH(G544,'Fault Master'!$A$5:$A$104,0)),"")</f>
        <v/>
      </c>
      <c r="M544" s="14" t="str">
        <f aca="false">IFERROR(INDEX('Fault Master'!$D$5:$D$104,MATCH(G544,'Fault Master'!$A$5:$A$104,0)),"")</f>
        <v/>
      </c>
    </row>
    <row r="545" customFormat="false" ht="15" hidden="false" customHeight="true" outlineLevel="0" collapsed="false">
      <c r="A545" s="1" t="n">
        <v>540</v>
      </c>
      <c r="B545" s="13"/>
      <c r="F545" s="14" t="str">
        <f aca="false">IFERROR(INDEX('Operator Master'!$B$5:$B$504,MATCH(E545,'Operator Master'!$A$5:$A$504,0)),"")</f>
        <v/>
      </c>
      <c r="H545" s="14" t="str">
        <f aca="false">IFERROR(INDEX('Fault Master'!$B$5:$B$104,MATCH(G545,'Fault Master'!$A$5:$A$104,0)),"")</f>
        <v/>
      </c>
      <c r="I545" s="14" t="str">
        <f aca="false">IFERROR(INDEX('Fault Master'!$C$5:$C$104,MATCH(G545,'Fault Master'!$A$5:$A$104,0)),"")</f>
        <v/>
      </c>
      <c r="M545" s="14" t="str">
        <f aca="false">IFERROR(INDEX('Fault Master'!$D$5:$D$104,MATCH(G545,'Fault Master'!$A$5:$A$104,0)),"")</f>
        <v/>
      </c>
    </row>
    <row r="546" customFormat="false" ht="15" hidden="false" customHeight="true" outlineLevel="0" collapsed="false">
      <c r="A546" s="1" t="n">
        <v>541</v>
      </c>
      <c r="B546" s="13"/>
      <c r="F546" s="14" t="str">
        <f aca="false">IFERROR(INDEX('Operator Master'!$B$5:$B$504,MATCH(E546,'Operator Master'!$A$5:$A$504,0)),"")</f>
        <v/>
      </c>
      <c r="H546" s="14" t="str">
        <f aca="false">IFERROR(INDEX('Fault Master'!$B$5:$B$104,MATCH(G546,'Fault Master'!$A$5:$A$104,0)),"")</f>
        <v/>
      </c>
      <c r="I546" s="14" t="str">
        <f aca="false">IFERROR(INDEX('Fault Master'!$C$5:$C$104,MATCH(G546,'Fault Master'!$A$5:$A$104,0)),"")</f>
        <v/>
      </c>
      <c r="M546" s="14" t="str">
        <f aca="false">IFERROR(INDEX('Fault Master'!$D$5:$D$104,MATCH(G546,'Fault Master'!$A$5:$A$104,0)),"")</f>
        <v/>
      </c>
    </row>
    <row r="547" customFormat="false" ht="15" hidden="false" customHeight="true" outlineLevel="0" collapsed="false">
      <c r="A547" s="1" t="n">
        <v>542</v>
      </c>
      <c r="B547" s="13"/>
      <c r="F547" s="14" t="str">
        <f aca="false">IFERROR(INDEX('Operator Master'!$B$5:$B$504,MATCH(E547,'Operator Master'!$A$5:$A$504,0)),"")</f>
        <v/>
      </c>
      <c r="H547" s="14" t="str">
        <f aca="false">IFERROR(INDEX('Fault Master'!$B$5:$B$104,MATCH(G547,'Fault Master'!$A$5:$A$104,0)),"")</f>
        <v/>
      </c>
      <c r="I547" s="14" t="str">
        <f aca="false">IFERROR(INDEX('Fault Master'!$C$5:$C$104,MATCH(G547,'Fault Master'!$A$5:$A$104,0)),"")</f>
        <v/>
      </c>
      <c r="M547" s="14" t="str">
        <f aca="false">IFERROR(INDEX('Fault Master'!$D$5:$D$104,MATCH(G547,'Fault Master'!$A$5:$A$104,0)),"")</f>
        <v/>
      </c>
    </row>
    <row r="548" customFormat="false" ht="15" hidden="false" customHeight="true" outlineLevel="0" collapsed="false">
      <c r="A548" s="1" t="n">
        <v>543</v>
      </c>
      <c r="B548" s="13"/>
      <c r="F548" s="14" t="str">
        <f aca="false">IFERROR(INDEX('Operator Master'!$B$5:$B$504,MATCH(E548,'Operator Master'!$A$5:$A$504,0)),"")</f>
        <v/>
      </c>
      <c r="H548" s="14" t="str">
        <f aca="false">IFERROR(INDEX('Fault Master'!$B$5:$B$104,MATCH(G548,'Fault Master'!$A$5:$A$104,0)),"")</f>
        <v/>
      </c>
      <c r="I548" s="14" t="str">
        <f aca="false">IFERROR(INDEX('Fault Master'!$C$5:$C$104,MATCH(G548,'Fault Master'!$A$5:$A$104,0)),"")</f>
        <v/>
      </c>
      <c r="M548" s="14" t="str">
        <f aca="false">IFERROR(INDEX('Fault Master'!$D$5:$D$104,MATCH(G548,'Fault Master'!$A$5:$A$104,0)),"")</f>
        <v/>
      </c>
    </row>
    <row r="549" customFormat="false" ht="15" hidden="false" customHeight="true" outlineLevel="0" collapsed="false">
      <c r="A549" s="1" t="n">
        <v>544</v>
      </c>
      <c r="B549" s="13"/>
      <c r="F549" s="14" t="str">
        <f aca="false">IFERROR(INDEX('Operator Master'!$B$5:$B$504,MATCH(E549,'Operator Master'!$A$5:$A$504,0)),"")</f>
        <v/>
      </c>
      <c r="H549" s="14" t="str">
        <f aca="false">IFERROR(INDEX('Fault Master'!$B$5:$B$104,MATCH(G549,'Fault Master'!$A$5:$A$104,0)),"")</f>
        <v/>
      </c>
      <c r="I549" s="14" t="str">
        <f aca="false">IFERROR(INDEX('Fault Master'!$C$5:$C$104,MATCH(G549,'Fault Master'!$A$5:$A$104,0)),"")</f>
        <v/>
      </c>
      <c r="M549" s="14" t="str">
        <f aca="false">IFERROR(INDEX('Fault Master'!$D$5:$D$104,MATCH(G549,'Fault Master'!$A$5:$A$104,0)),"")</f>
        <v/>
      </c>
    </row>
    <row r="550" customFormat="false" ht="15" hidden="false" customHeight="true" outlineLevel="0" collapsed="false">
      <c r="A550" s="1" t="n">
        <v>545</v>
      </c>
      <c r="B550" s="13"/>
      <c r="F550" s="14" t="str">
        <f aca="false">IFERROR(INDEX('Operator Master'!$B$5:$B$504,MATCH(E550,'Operator Master'!$A$5:$A$504,0)),"")</f>
        <v/>
      </c>
      <c r="H550" s="14" t="str">
        <f aca="false">IFERROR(INDEX('Fault Master'!$B$5:$B$104,MATCH(G550,'Fault Master'!$A$5:$A$104,0)),"")</f>
        <v/>
      </c>
      <c r="I550" s="14" t="str">
        <f aca="false">IFERROR(INDEX('Fault Master'!$C$5:$C$104,MATCH(G550,'Fault Master'!$A$5:$A$104,0)),"")</f>
        <v/>
      </c>
      <c r="M550" s="14" t="str">
        <f aca="false">IFERROR(INDEX('Fault Master'!$D$5:$D$104,MATCH(G550,'Fault Master'!$A$5:$A$104,0)),"")</f>
        <v/>
      </c>
    </row>
    <row r="551" customFormat="false" ht="15" hidden="false" customHeight="true" outlineLevel="0" collapsed="false">
      <c r="A551" s="1" t="n">
        <v>546</v>
      </c>
      <c r="B551" s="13"/>
      <c r="F551" s="14" t="str">
        <f aca="false">IFERROR(INDEX('Operator Master'!$B$5:$B$504,MATCH(E551,'Operator Master'!$A$5:$A$504,0)),"")</f>
        <v/>
      </c>
      <c r="H551" s="14" t="str">
        <f aca="false">IFERROR(INDEX('Fault Master'!$B$5:$B$104,MATCH(G551,'Fault Master'!$A$5:$A$104,0)),"")</f>
        <v/>
      </c>
      <c r="I551" s="14" t="str">
        <f aca="false">IFERROR(INDEX('Fault Master'!$C$5:$C$104,MATCH(G551,'Fault Master'!$A$5:$A$104,0)),"")</f>
        <v/>
      </c>
      <c r="M551" s="14" t="str">
        <f aca="false">IFERROR(INDEX('Fault Master'!$D$5:$D$104,MATCH(G551,'Fault Master'!$A$5:$A$104,0)),"")</f>
        <v/>
      </c>
    </row>
    <row r="552" customFormat="false" ht="15" hidden="false" customHeight="true" outlineLevel="0" collapsed="false">
      <c r="A552" s="1" t="n">
        <v>547</v>
      </c>
      <c r="B552" s="13"/>
      <c r="F552" s="14" t="str">
        <f aca="false">IFERROR(INDEX('Operator Master'!$B$5:$B$504,MATCH(E552,'Operator Master'!$A$5:$A$504,0)),"")</f>
        <v/>
      </c>
      <c r="H552" s="14" t="str">
        <f aca="false">IFERROR(INDEX('Fault Master'!$B$5:$B$104,MATCH(G552,'Fault Master'!$A$5:$A$104,0)),"")</f>
        <v/>
      </c>
      <c r="I552" s="14" t="str">
        <f aca="false">IFERROR(INDEX('Fault Master'!$C$5:$C$104,MATCH(G552,'Fault Master'!$A$5:$A$104,0)),"")</f>
        <v/>
      </c>
      <c r="M552" s="14" t="str">
        <f aca="false">IFERROR(INDEX('Fault Master'!$D$5:$D$104,MATCH(G552,'Fault Master'!$A$5:$A$104,0)),"")</f>
        <v/>
      </c>
    </row>
    <row r="553" customFormat="false" ht="15" hidden="false" customHeight="true" outlineLevel="0" collapsed="false">
      <c r="A553" s="1" t="n">
        <v>548</v>
      </c>
      <c r="B553" s="13"/>
      <c r="F553" s="14" t="str">
        <f aca="false">IFERROR(INDEX('Operator Master'!$B$5:$B$504,MATCH(E553,'Operator Master'!$A$5:$A$504,0)),"")</f>
        <v/>
      </c>
      <c r="H553" s="14" t="str">
        <f aca="false">IFERROR(INDEX('Fault Master'!$B$5:$B$104,MATCH(G553,'Fault Master'!$A$5:$A$104,0)),"")</f>
        <v/>
      </c>
      <c r="I553" s="14" t="str">
        <f aca="false">IFERROR(INDEX('Fault Master'!$C$5:$C$104,MATCH(G553,'Fault Master'!$A$5:$A$104,0)),"")</f>
        <v/>
      </c>
      <c r="M553" s="14" t="str">
        <f aca="false">IFERROR(INDEX('Fault Master'!$D$5:$D$104,MATCH(G553,'Fault Master'!$A$5:$A$104,0)),"")</f>
        <v/>
      </c>
    </row>
    <row r="554" customFormat="false" ht="15" hidden="false" customHeight="true" outlineLevel="0" collapsed="false">
      <c r="A554" s="1" t="n">
        <v>549</v>
      </c>
      <c r="B554" s="13"/>
      <c r="F554" s="14" t="str">
        <f aca="false">IFERROR(INDEX('Operator Master'!$B$5:$B$504,MATCH(E554,'Operator Master'!$A$5:$A$504,0)),"")</f>
        <v/>
      </c>
      <c r="H554" s="14" t="str">
        <f aca="false">IFERROR(INDEX('Fault Master'!$B$5:$B$104,MATCH(G554,'Fault Master'!$A$5:$A$104,0)),"")</f>
        <v/>
      </c>
      <c r="I554" s="14" t="str">
        <f aca="false">IFERROR(INDEX('Fault Master'!$C$5:$C$104,MATCH(G554,'Fault Master'!$A$5:$A$104,0)),"")</f>
        <v/>
      </c>
      <c r="M554" s="14" t="str">
        <f aca="false">IFERROR(INDEX('Fault Master'!$D$5:$D$104,MATCH(G554,'Fault Master'!$A$5:$A$104,0)),"")</f>
        <v/>
      </c>
    </row>
    <row r="555" customFormat="false" ht="15" hidden="false" customHeight="true" outlineLevel="0" collapsed="false">
      <c r="A555" s="1" t="n">
        <v>550</v>
      </c>
      <c r="B555" s="13"/>
      <c r="F555" s="14" t="str">
        <f aca="false">IFERROR(INDEX('Operator Master'!$B$5:$B$504,MATCH(E555,'Operator Master'!$A$5:$A$504,0)),"")</f>
        <v/>
      </c>
      <c r="H555" s="14" t="str">
        <f aca="false">IFERROR(INDEX('Fault Master'!$B$5:$B$104,MATCH(G555,'Fault Master'!$A$5:$A$104,0)),"")</f>
        <v/>
      </c>
      <c r="I555" s="14" t="str">
        <f aca="false">IFERROR(INDEX('Fault Master'!$C$5:$C$104,MATCH(G555,'Fault Master'!$A$5:$A$104,0)),"")</f>
        <v/>
      </c>
      <c r="M555" s="14" t="str">
        <f aca="false">IFERROR(INDEX('Fault Master'!$D$5:$D$104,MATCH(G555,'Fault Master'!$A$5:$A$104,0)),"")</f>
        <v/>
      </c>
    </row>
    <row r="556" customFormat="false" ht="15" hidden="false" customHeight="true" outlineLevel="0" collapsed="false">
      <c r="A556" s="1" t="n">
        <v>551</v>
      </c>
      <c r="B556" s="13"/>
      <c r="F556" s="14" t="str">
        <f aca="false">IFERROR(INDEX('Operator Master'!$B$5:$B$504,MATCH(E556,'Operator Master'!$A$5:$A$504,0)),"")</f>
        <v/>
      </c>
      <c r="H556" s="14" t="str">
        <f aca="false">IFERROR(INDEX('Fault Master'!$B$5:$B$104,MATCH(G556,'Fault Master'!$A$5:$A$104,0)),"")</f>
        <v/>
      </c>
      <c r="I556" s="14" t="str">
        <f aca="false">IFERROR(INDEX('Fault Master'!$C$5:$C$104,MATCH(G556,'Fault Master'!$A$5:$A$104,0)),"")</f>
        <v/>
      </c>
      <c r="M556" s="14" t="str">
        <f aca="false">IFERROR(INDEX('Fault Master'!$D$5:$D$104,MATCH(G556,'Fault Master'!$A$5:$A$104,0)),"")</f>
        <v/>
      </c>
    </row>
    <row r="557" customFormat="false" ht="15" hidden="false" customHeight="true" outlineLevel="0" collapsed="false">
      <c r="A557" s="1" t="n">
        <v>552</v>
      </c>
      <c r="B557" s="13"/>
      <c r="F557" s="14" t="str">
        <f aca="false">IFERROR(INDEX('Operator Master'!$B$5:$B$504,MATCH(E557,'Operator Master'!$A$5:$A$504,0)),"")</f>
        <v/>
      </c>
      <c r="H557" s="14" t="str">
        <f aca="false">IFERROR(INDEX('Fault Master'!$B$5:$B$104,MATCH(G557,'Fault Master'!$A$5:$A$104,0)),"")</f>
        <v/>
      </c>
      <c r="I557" s="14" t="str">
        <f aca="false">IFERROR(INDEX('Fault Master'!$C$5:$C$104,MATCH(G557,'Fault Master'!$A$5:$A$104,0)),"")</f>
        <v/>
      </c>
      <c r="M557" s="14" t="str">
        <f aca="false">IFERROR(INDEX('Fault Master'!$D$5:$D$104,MATCH(G557,'Fault Master'!$A$5:$A$104,0)),"")</f>
        <v/>
      </c>
    </row>
    <row r="558" customFormat="false" ht="15" hidden="false" customHeight="true" outlineLevel="0" collapsed="false">
      <c r="A558" s="1" t="n">
        <v>553</v>
      </c>
      <c r="B558" s="13"/>
      <c r="F558" s="14" t="str">
        <f aca="false">IFERROR(INDEX('Operator Master'!$B$5:$B$504,MATCH(E558,'Operator Master'!$A$5:$A$504,0)),"")</f>
        <v/>
      </c>
      <c r="H558" s="14" t="str">
        <f aca="false">IFERROR(INDEX('Fault Master'!$B$5:$B$104,MATCH(G558,'Fault Master'!$A$5:$A$104,0)),"")</f>
        <v/>
      </c>
      <c r="I558" s="14" t="str">
        <f aca="false">IFERROR(INDEX('Fault Master'!$C$5:$C$104,MATCH(G558,'Fault Master'!$A$5:$A$104,0)),"")</f>
        <v/>
      </c>
      <c r="M558" s="14" t="str">
        <f aca="false">IFERROR(INDEX('Fault Master'!$D$5:$D$104,MATCH(G558,'Fault Master'!$A$5:$A$104,0)),"")</f>
        <v/>
      </c>
    </row>
    <row r="559" customFormat="false" ht="15" hidden="false" customHeight="true" outlineLevel="0" collapsed="false">
      <c r="A559" s="1" t="n">
        <v>554</v>
      </c>
      <c r="B559" s="13"/>
      <c r="F559" s="14" t="str">
        <f aca="false">IFERROR(INDEX('Operator Master'!$B$5:$B$504,MATCH(E559,'Operator Master'!$A$5:$A$504,0)),"")</f>
        <v/>
      </c>
      <c r="H559" s="14" t="str">
        <f aca="false">IFERROR(INDEX('Fault Master'!$B$5:$B$104,MATCH(G559,'Fault Master'!$A$5:$A$104,0)),"")</f>
        <v/>
      </c>
      <c r="I559" s="14" t="str">
        <f aca="false">IFERROR(INDEX('Fault Master'!$C$5:$C$104,MATCH(G559,'Fault Master'!$A$5:$A$104,0)),"")</f>
        <v/>
      </c>
      <c r="M559" s="14" t="str">
        <f aca="false">IFERROR(INDEX('Fault Master'!$D$5:$D$104,MATCH(G559,'Fault Master'!$A$5:$A$104,0)),"")</f>
        <v/>
      </c>
    </row>
    <row r="560" customFormat="false" ht="15" hidden="false" customHeight="true" outlineLevel="0" collapsed="false">
      <c r="A560" s="1" t="n">
        <v>555</v>
      </c>
      <c r="B560" s="13"/>
      <c r="F560" s="14" t="str">
        <f aca="false">IFERROR(INDEX('Operator Master'!$B$5:$B$504,MATCH(E560,'Operator Master'!$A$5:$A$504,0)),"")</f>
        <v/>
      </c>
      <c r="H560" s="14" t="str">
        <f aca="false">IFERROR(INDEX('Fault Master'!$B$5:$B$104,MATCH(G560,'Fault Master'!$A$5:$A$104,0)),"")</f>
        <v/>
      </c>
      <c r="I560" s="14" t="str">
        <f aca="false">IFERROR(INDEX('Fault Master'!$C$5:$C$104,MATCH(G560,'Fault Master'!$A$5:$A$104,0)),"")</f>
        <v/>
      </c>
      <c r="M560" s="14" t="str">
        <f aca="false">IFERROR(INDEX('Fault Master'!$D$5:$D$104,MATCH(G560,'Fault Master'!$A$5:$A$104,0)),"")</f>
        <v/>
      </c>
    </row>
    <row r="561" customFormat="false" ht="15" hidden="false" customHeight="true" outlineLevel="0" collapsed="false">
      <c r="A561" s="1" t="n">
        <v>556</v>
      </c>
      <c r="B561" s="13"/>
      <c r="F561" s="14" t="str">
        <f aca="false">IFERROR(INDEX('Operator Master'!$B$5:$B$504,MATCH(E561,'Operator Master'!$A$5:$A$504,0)),"")</f>
        <v/>
      </c>
      <c r="H561" s="14" t="str">
        <f aca="false">IFERROR(INDEX('Fault Master'!$B$5:$B$104,MATCH(G561,'Fault Master'!$A$5:$A$104,0)),"")</f>
        <v/>
      </c>
      <c r="I561" s="14" t="str">
        <f aca="false">IFERROR(INDEX('Fault Master'!$C$5:$C$104,MATCH(G561,'Fault Master'!$A$5:$A$104,0)),"")</f>
        <v/>
      </c>
      <c r="M561" s="14" t="str">
        <f aca="false">IFERROR(INDEX('Fault Master'!$D$5:$D$104,MATCH(G561,'Fault Master'!$A$5:$A$104,0)),"")</f>
        <v/>
      </c>
    </row>
    <row r="562" customFormat="false" ht="15" hidden="false" customHeight="true" outlineLevel="0" collapsed="false">
      <c r="A562" s="1" t="n">
        <v>557</v>
      </c>
      <c r="B562" s="13"/>
      <c r="F562" s="14" t="str">
        <f aca="false">IFERROR(INDEX('Operator Master'!$B$5:$B$504,MATCH(E562,'Operator Master'!$A$5:$A$504,0)),"")</f>
        <v/>
      </c>
      <c r="H562" s="14" t="str">
        <f aca="false">IFERROR(INDEX('Fault Master'!$B$5:$B$104,MATCH(G562,'Fault Master'!$A$5:$A$104,0)),"")</f>
        <v/>
      </c>
      <c r="I562" s="14" t="str">
        <f aca="false">IFERROR(INDEX('Fault Master'!$C$5:$C$104,MATCH(G562,'Fault Master'!$A$5:$A$104,0)),"")</f>
        <v/>
      </c>
      <c r="M562" s="14" t="str">
        <f aca="false">IFERROR(INDEX('Fault Master'!$D$5:$D$104,MATCH(G562,'Fault Master'!$A$5:$A$104,0)),"")</f>
        <v/>
      </c>
    </row>
    <row r="563" customFormat="false" ht="15" hidden="false" customHeight="true" outlineLevel="0" collapsed="false">
      <c r="A563" s="1" t="n">
        <v>558</v>
      </c>
      <c r="B563" s="13"/>
      <c r="F563" s="14" t="str">
        <f aca="false">IFERROR(INDEX('Operator Master'!$B$5:$B$504,MATCH(E563,'Operator Master'!$A$5:$A$504,0)),"")</f>
        <v/>
      </c>
      <c r="H563" s="14" t="str">
        <f aca="false">IFERROR(INDEX('Fault Master'!$B$5:$B$104,MATCH(G563,'Fault Master'!$A$5:$A$104,0)),"")</f>
        <v/>
      </c>
      <c r="I563" s="14" t="str">
        <f aca="false">IFERROR(INDEX('Fault Master'!$C$5:$C$104,MATCH(G563,'Fault Master'!$A$5:$A$104,0)),"")</f>
        <v/>
      </c>
      <c r="M563" s="14" t="str">
        <f aca="false">IFERROR(INDEX('Fault Master'!$D$5:$D$104,MATCH(G563,'Fault Master'!$A$5:$A$104,0)),"")</f>
        <v/>
      </c>
    </row>
    <row r="564" customFormat="false" ht="15" hidden="false" customHeight="true" outlineLevel="0" collapsed="false">
      <c r="A564" s="1" t="n">
        <v>559</v>
      </c>
      <c r="B564" s="13"/>
      <c r="F564" s="14" t="str">
        <f aca="false">IFERROR(INDEX('Operator Master'!$B$5:$B$504,MATCH(E564,'Operator Master'!$A$5:$A$504,0)),"")</f>
        <v/>
      </c>
      <c r="H564" s="14" t="str">
        <f aca="false">IFERROR(INDEX('Fault Master'!$B$5:$B$104,MATCH(G564,'Fault Master'!$A$5:$A$104,0)),"")</f>
        <v/>
      </c>
      <c r="I564" s="14" t="str">
        <f aca="false">IFERROR(INDEX('Fault Master'!$C$5:$C$104,MATCH(G564,'Fault Master'!$A$5:$A$104,0)),"")</f>
        <v/>
      </c>
      <c r="M564" s="14" t="str">
        <f aca="false">IFERROR(INDEX('Fault Master'!$D$5:$D$104,MATCH(G564,'Fault Master'!$A$5:$A$104,0)),"")</f>
        <v/>
      </c>
    </row>
    <row r="565" customFormat="false" ht="15" hidden="false" customHeight="true" outlineLevel="0" collapsed="false">
      <c r="A565" s="1" t="n">
        <v>560</v>
      </c>
      <c r="B565" s="13"/>
      <c r="F565" s="14" t="str">
        <f aca="false">IFERROR(INDEX('Operator Master'!$B$5:$B$504,MATCH(E565,'Operator Master'!$A$5:$A$504,0)),"")</f>
        <v/>
      </c>
      <c r="H565" s="14" t="str">
        <f aca="false">IFERROR(INDEX('Fault Master'!$B$5:$B$104,MATCH(G565,'Fault Master'!$A$5:$A$104,0)),"")</f>
        <v/>
      </c>
      <c r="I565" s="14" t="str">
        <f aca="false">IFERROR(INDEX('Fault Master'!$C$5:$C$104,MATCH(G565,'Fault Master'!$A$5:$A$104,0)),"")</f>
        <v/>
      </c>
      <c r="M565" s="14" t="str">
        <f aca="false">IFERROR(INDEX('Fault Master'!$D$5:$D$104,MATCH(G565,'Fault Master'!$A$5:$A$104,0)),"")</f>
        <v/>
      </c>
    </row>
    <row r="566" customFormat="false" ht="15" hidden="false" customHeight="true" outlineLevel="0" collapsed="false">
      <c r="A566" s="1" t="n">
        <v>561</v>
      </c>
      <c r="B566" s="13"/>
      <c r="F566" s="14" t="str">
        <f aca="false">IFERROR(INDEX('Operator Master'!$B$5:$B$504,MATCH(E566,'Operator Master'!$A$5:$A$504,0)),"")</f>
        <v/>
      </c>
      <c r="H566" s="14" t="str">
        <f aca="false">IFERROR(INDEX('Fault Master'!$B$5:$B$104,MATCH(G566,'Fault Master'!$A$5:$A$104,0)),"")</f>
        <v/>
      </c>
      <c r="I566" s="14" t="str">
        <f aca="false">IFERROR(INDEX('Fault Master'!$C$5:$C$104,MATCH(G566,'Fault Master'!$A$5:$A$104,0)),"")</f>
        <v/>
      </c>
      <c r="M566" s="14" t="str">
        <f aca="false">IFERROR(INDEX('Fault Master'!$D$5:$D$104,MATCH(G566,'Fault Master'!$A$5:$A$104,0)),"")</f>
        <v/>
      </c>
    </row>
    <row r="567" customFormat="false" ht="15" hidden="false" customHeight="true" outlineLevel="0" collapsed="false">
      <c r="A567" s="1" t="n">
        <v>562</v>
      </c>
      <c r="B567" s="13"/>
      <c r="F567" s="14" t="str">
        <f aca="false">IFERROR(INDEX('Operator Master'!$B$5:$B$504,MATCH(E567,'Operator Master'!$A$5:$A$504,0)),"")</f>
        <v/>
      </c>
      <c r="H567" s="14" t="str">
        <f aca="false">IFERROR(INDEX('Fault Master'!$B$5:$B$104,MATCH(G567,'Fault Master'!$A$5:$A$104,0)),"")</f>
        <v/>
      </c>
      <c r="I567" s="14" t="str">
        <f aca="false">IFERROR(INDEX('Fault Master'!$C$5:$C$104,MATCH(G567,'Fault Master'!$A$5:$A$104,0)),"")</f>
        <v/>
      </c>
      <c r="M567" s="14" t="str">
        <f aca="false">IFERROR(INDEX('Fault Master'!$D$5:$D$104,MATCH(G567,'Fault Master'!$A$5:$A$104,0)),"")</f>
        <v/>
      </c>
    </row>
    <row r="568" customFormat="false" ht="15" hidden="false" customHeight="true" outlineLevel="0" collapsed="false">
      <c r="A568" s="1" t="n">
        <v>563</v>
      </c>
      <c r="B568" s="13"/>
      <c r="F568" s="14" t="str">
        <f aca="false">IFERROR(INDEX('Operator Master'!$B$5:$B$504,MATCH(E568,'Operator Master'!$A$5:$A$504,0)),"")</f>
        <v/>
      </c>
      <c r="H568" s="14" t="str">
        <f aca="false">IFERROR(INDEX('Fault Master'!$B$5:$B$104,MATCH(G568,'Fault Master'!$A$5:$A$104,0)),"")</f>
        <v/>
      </c>
      <c r="I568" s="14" t="str">
        <f aca="false">IFERROR(INDEX('Fault Master'!$C$5:$C$104,MATCH(G568,'Fault Master'!$A$5:$A$104,0)),"")</f>
        <v/>
      </c>
      <c r="M568" s="14" t="str">
        <f aca="false">IFERROR(INDEX('Fault Master'!$D$5:$D$104,MATCH(G568,'Fault Master'!$A$5:$A$104,0)),"")</f>
        <v/>
      </c>
    </row>
    <row r="569" customFormat="false" ht="15" hidden="false" customHeight="true" outlineLevel="0" collapsed="false">
      <c r="A569" s="1" t="n">
        <v>564</v>
      </c>
      <c r="B569" s="13"/>
      <c r="F569" s="14" t="str">
        <f aca="false">IFERROR(INDEX('Operator Master'!$B$5:$B$504,MATCH(E569,'Operator Master'!$A$5:$A$504,0)),"")</f>
        <v/>
      </c>
      <c r="H569" s="14" t="str">
        <f aca="false">IFERROR(INDEX('Fault Master'!$B$5:$B$104,MATCH(G569,'Fault Master'!$A$5:$A$104,0)),"")</f>
        <v/>
      </c>
      <c r="I569" s="14" t="str">
        <f aca="false">IFERROR(INDEX('Fault Master'!$C$5:$C$104,MATCH(G569,'Fault Master'!$A$5:$A$104,0)),"")</f>
        <v/>
      </c>
      <c r="M569" s="14" t="str">
        <f aca="false">IFERROR(INDEX('Fault Master'!$D$5:$D$104,MATCH(G569,'Fault Master'!$A$5:$A$104,0)),"")</f>
        <v/>
      </c>
    </row>
    <row r="570" customFormat="false" ht="15" hidden="false" customHeight="true" outlineLevel="0" collapsed="false">
      <c r="A570" s="1" t="n">
        <v>565</v>
      </c>
      <c r="B570" s="13"/>
      <c r="F570" s="14" t="str">
        <f aca="false">IFERROR(INDEX('Operator Master'!$B$5:$B$504,MATCH(E570,'Operator Master'!$A$5:$A$504,0)),"")</f>
        <v/>
      </c>
      <c r="H570" s="14" t="str">
        <f aca="false">IFERROR(INDEX('Fault Master'!$B$5:$B$104,MATCH(G570,'Fault Master'!$A$5:$A$104,0)),"")</f>
        <v/>
      </c>
      <c r="I570" s="14" t="str">
        <f aca="false">IFERROR(INDEX('Fault Master'!$C$5:$C$104,MATCH(G570,'Fault Master'!$A$5:$A$104,0)),"")</f>
        <v/>
      </c>
      <c r="M570" s="14" t="str">
        <f aca="false">IFERROR(INDEX('Fault Master'!$D$5:$D$104,MATCH(G570,'Fault Master'!$A$5:$A$104,0)),"")</f>
        <v/>
      </c>
    </row>
    <row r="571" customFormat="false" ht="15" hidden="false" customHeight="true" outlineLevel="0" collapsed="false">
      <c r="A571" s="1" t="n">
        <v>566</v>
      </c>
      <c r="B571" s="13"/>
      <c r="F571" s="14" t="str">
        <f aca="false">IFERROR(INDEX('Operator Master'!$B$5:$B$504,MATCH(E571,'Operator Master'!$A$5:$A$504,0)),"")</f>
        <v/>
      </c>
      <c r="H571" s="14" t="str">
        <f aca="false">IFERROR(INDEX('Fault Master'!$B$5:$B$104,MATCH(G571,'Fault Master'!$A$5:$A$104,0)),"")</f>
        <v/>
      </c>
      <c r="I571" s="14" t="str">
        <f aca="false">IFERROR(INDEX('Fault Master'!$C$5:$C$104,MATCH(G571,'Fault Master'!$A$5:$A$104,0)),"")</f>
        <v/>
      </c>
      <c r="M571" s="14" t="str">
        <f aca="false">IFERROR(INDEX('Fault Master'!$D$5:$D$104,MATCH(G571,'Fault Master'!$A$5:$A$104,0)),"")</f>
        <v/>
      </c>
    </row>
    <row r="572" customFormat="false" ht="15" hidden="false" customHeight="true" outlineLevel="0" collapsed="false">
      <c r="A572" s="1" t="n">
        <v>567</v>
      </c>
      <c r="B572" s="13"/>
      <c r="F572" s="14" t="str">
        <f aca="false">IFERROR(INDEX('Operator Master'!$B$5:$B$504,MATCH(E572,'Operator Master'!$A$5:$A$504,0)),"")</f>
        <v/>
      </c>
      <c r="H572" s="14" t="str">
        <f aca="false">IFERROR(INDEX('Fault Master'!$B$5:$B$104,MATCH(G572,'Fault Master'!$A$5:$A$104,0)),"")</f>
        <v/>
      </c>
      <c r="I572" s="14" t="str">
        <f aca="false">IFERROR(INDEX('Fault Master'!$C$5:$C$104,MATCH(G572,'Fault Master'!$A$5:$A$104,0)),"")</f>
        <v/>
      </c>
      <c r="M572" s="14" t="str">
        <f aca="false">IFERROR(INDEX('Fault Master'!$D$5:$D$104,MATCH(G572,'Fault Master'!$A$5:$A$104,0)),"")</f>
        <v/>
      </c>
    </row>
    <row r="573" customFormat="false" ht="15" hidden="false" customHeight="true" outlineLevel="0" collapsed="false">
      <c r="A573" s="1" t="n">
        <v>568</v>
      </c>
      <c r="B573" s="13"/>
      <c r="F573" s="14" t="str">
        <f aca="false">IFERROR(INDEX('Operator Master'!$B$5:$B$504,MATCH(E573,'Operator Master'!$A$5:$A$504,0)),"")</f>
        <v/>
      </c>
      <c r="H573" s="14" t="str">
        <f aca="false">IFERROR(INDEX('Fault Master'!$B$5:$B$104,MATCH(G573,'Fault Master'!$A$5:$A$104,0)),"")</f>
        <v/>
      </c>
      <c r="I573" s="14" t="str">
        <f aca="false">IFERROR(INDEX('Fault Master'!$C$5:$C$104,MATCH(G573,'Fault Master'!$A$5:$A$104,0)),"")</f>
        <v/>
      </c>
      <c r="M573" s="14" t="str">
        <f aca="false">IFERROR(INDEX('Fault Master'!$D$5:$D$104,MATCH(G573,'Fault Master'!$A$5:$A$104,0)),"")</f>
        <v/>
      </c>
    </row>
    <row r="574" customFormat="false" ht="15" hidden="false" customHeight="true" outlineLevel="0" collapsed="false">
      <c r="A574" s="1" t="n">
        <v>569</v>
      </c>
      <c r="B574" s="13"/>
      <c r="F574" s="14" t="str">
        <f aca="false">IFERROR(INDEX('Operator Master'!$B$5:$B$504,MATCH(E574,'Operator Master'!$A$5:$A$504,0)),"")</f>
        <v/>
      </c>
      <c r="H574" s="14" t="str">
        <f aca="false">IFERROR(INDEX('Fault Master'!$B$5:$B$104,MATCH(G574,'Fault Master'!$A$5:$A$104,0)),"")</f>
        <v/>
      </c>
      <c r="I574" s="14" t="str">
        <f aca="false">IFERROR(INDEX('Fault Master'!$C$5:$C$104,MATCH(G574,'Fault Master'!$A$5:$A$104,0)),"")</f>
        <v/>
      </c>
      <c r="M574" s="14" t="str">
        <f aca="false">IFERROR(INDEX('Fault Master'!$D$5:$D$104,MATCH(G574,'Fault Master'!$A$5:$A$104,0)),"")</f>
        <v/>
      </c>
    </row>
    <row r="575" customFormat="false" ht="15" hidden="false" customHeight="true" outlineLevel="0" collapsed="false">
      <c r="A575" s="1" t="n">
        <v>570</v>
      </c>
      <c r="B575" s="13"/>
      <c r="F575" s="14" t="str">
        <f aca="false">IFERROR(INDEX('Operator Master'!$B$5:$B$504,MATCH(E575,'Operator Master'!$A$5:$A$504,0)),"")</f>
        <v/>
      </c>
      <c r="H575" s="14" t="str">
        <f aca="false">IFERROR(INDEX('Fault Master'!$B$5:$B$104,MATCH(G575,'Fault Master'!$A$5:$A$104,0)),"")</f>
        <v/>
      </c>
      <c r="I575" s="14" t="str">
        <f aca="false">IFERROR(INDEX('Fault Master'!$C$5:$C$104,MATCH(G575,'Fault Master'!$A$5:$A$104,0)),"")</f>
        <v/>
      </c>
      <c r="M575" s="14" t="str">
        <f aca="false">IFERROR(INDEX('Fault Master'!$D$5:$D$104,MATCH(G575,'Fault Master'!$A$5:$A$104,0)),"")</f>
        <v/>
      </c>
    </row>
    <row r="576" customFormat="false" ht="15" hidden="false" customHeight="true" outlineLevel="0" collapsed="false">
      <c r="A576" s="1" t="n">
        <v>571</v>
      </c>
      <c r="B576" s="13"/>
      <c r="F576" s="14" t="str">
        <f aca="false">IFERROR(INDEX('Operator Master'!$B$5:$B$504,MATCH(E576,'Operator Master'!$A$5:$A$504,0)),"")</f>
        <v/>
      </c>
      <c r="H576" s="14" t="str">
        <f aca="false">IFERROR(INDEX('Fault Master'!$B$5:$B$104,MATCH(G576,'Fault Master'!$A$5:$A$104,0)),"")</f>
        <v/>
      </c>
      <c r="I576" s="14" t="str">
        <f aca="false">IFERROR(INDEX('Fault Master'!$C$5:$C$104,MATCH(G576,'Fault Master'!$A$5:$A$104,0)),"")</f>
        <v/>
      </c>
      <c r="M576" s="14" t="str">
        <f aca="false">IFERROR(INDEX('Fault Master'!$D$5:$D$104,MATCH(G576,'Fault Master'!$A$5:$A$104,0)),"")</f>
        <v/>
      </c>
    </row>
    <row r="577" customFormat="false" ht="15" hidden="false" customHeight="true" outlineLevel="0" collapsed="false">
      <c r="A577" s="1" t="n">
        <v>572</v>
      </c>
      <c r="B577" s="13"/>
      <c r="F577" s="14" t="str">
        <f aca="false">IFERROR(INDEX('Operator Master'!$B$5:$B$504,MATCH(E577,'Operator Master'!$A$5:$A$504,0)),"")</f>
        <v/>
      </c>
      <c r="H577" s="14" t="str">
        <f aca="false">IFERROR(INDEX('Fault Master'!$B$5:$B$104,MATCH(G577,'Fault Master'!$A$5:$A$104,0)),"")</f>
        <v/>
      </c>
      <c r="I577" s="14" t="str">
        <f aca="false">IFERROR(INDEX('Fault Master'!$C$5:$C$104,MATCH(G577,'Fault Master'!$A$5:$A$104,0)),"")</f>
        <v/>
      </c>
      <c r="M577" s="14" t="str">
        <f aca="false">IFERROR(INDEX('Fault Master'!$D$5:$D$104,MATCH(G577,'Fault Master'!$A$5:$A$104,0)),"")</f>
        <v/>
      </c>
    </row>
    <row r="578" customFormat="false" ht="15" hidden="false" customHeight="true" outlineLevel="0" collapsed="false">
      <c r="A578" s="1" t="n">
        <v>573</v>
      </c>
      <c r="B578" s="13"/>
      <c r="F578" s="14" t="str">
        <f aca="false">IFERROR(INDEX('Operator Master'!$B$5:$B$504,MATCH(E578,'Operator Master'!$A$5:$A$504,0)),"")</f>
        <v/>
      </c>
      <c r="H578" s="14" t="str">
        <f aca="false">IFERROR(INDEX('Fault Master'!$B$5:$B$104,MATCH(G578,'Fault Master'!$A$5:$A$104,0)),"")</f>
        <v/>
      </c>
      <c r="I578" s="14" t="str">
        <f aca="false">IFERROR(INDEX('Fault Master'!$C$5:$C$104,MATCH(G578,'Fault Master'!$A$5:$A$104,0)),"")</f>
        <v/>
      </c>
      <c r="M578" s="14" t="str">
        <f aca="false">IFERROR(INDEX('Fault Master'!$D$5:$D$104,MATCH(G578,'Fault Master'!$A$5:$A$104,0)),"")</f>
        <v/>
      </c>
    </row>
    <row r="579" customFormat="false" ht="15" hidden="false" customHeight="true" outlineLevel="0" collapsed="false">
      <c r="A579" s="1" t="n">
        <v>574</v>
      </c>
      <c r="B579" s="13"/>
      <c r="F579" s="14" t="str">
        <f aca="false">IFERROR(INDEX('Operator Master'!$B$5:$B$504,MATCH(E579,'Operator Master'!$A$5:$A$504,0)),"")</f>
        <v/>
      </c>
      <c r="H579" s="14" t="str">
        <f aca="false">IFERROR(INDEX('Fault Master'!$B$5:$B$104,MATCH(G579,'Fault Master'!$A$5:$A$104,0)),"")</f>
        <v/>
      </c>
      <c r="I579" s="14" t="str">
        <f aca="false">IFERROR(INDEX('Fault Master'!$C$5:$C$104,MATCH(G579,'Fault Master'!$A$5:$A$104,0)),"")</f>
        <v/>
      </c>
      <c r="M579" s="14" t="str">
        <f aca="false">IFERROR(INDEX('Fault Master'!$D$5:$D$104,MATCH(G579,'Fault Master'!$A$5:$A$104,0)),"")</f>
        <v/>
      </c>
    </row>
    <row r="580" customFormat="false" ht="15" hidden="false" customHeight="true" outlineLevel="0" collapsed="false">
      <c r="A580" s="1" t="n">
        <v>575</v>
      </c>
      <c r="B580" s="13"/>
      <c r="F580" s="14" t="str">
        <f aca="false">IFERROR(INDEX('Operator Master'!$B$5:$B$504,MATCH(E580,'Operator Master'!$A$5:$A$504,0)),"")</f>
        <v/>
      </c>
      <c r="H580" s="14" t="str">
        <f aca="false">IFERROR(INDEX('Fault Master'!$B$5:$B$104,MATCH(G580,'Fault Master'!$A$5:$A$104,0)),"")</f>
        <v/>
      </c>
      <c r="I580" s="14" t="str">
        <f aca="false">IFERROR(INDEX('Fault Master'!$C$5:$C$104,MATCH(G580,'Fault Master'!$A$5:$A$104,0)),"")</f>
        <v/>
      </c>
      <c r="M580" s="14" t="str">
        <f aca="false">IFERROR(INDEX('Fault Master'!$D$5:$D$104,MATCH(G580,'Fault Master'!$A$5:$A$104,0)),"")</f>
        <v/>
      </c>
    </row>
    <row r="581" customFormat="false" ht="15" hidden="false" customHeight="true" outlineLevel="0" collapsed="false">
      <c r="A581" s="1" t="n">
        <v>576</v>
      </c>
      <c r="B581" s="13"/>
      <c r="F581" s="14" t="str">
        <f aca="false">IFERROR(INDEX('Operator Master'!$B$5:$B$504,MATCH(E581,'Operator Master'!$A$5:$A$504,0)),"")</f>
        <v/>
      </c>
      <c r="H581" s="14" t="str">
        <f aca="false">IFERROR(INDEX('Fault Master'!$B$5:$B$104,MATCH(G581,'Fault Master'!$A$5:$A$104,0)),"")</f>
        <v/>
      </c>
      <c r="I581" s="14" t="str">
        <f aca="false">IFERROR(INDEX('Fault Master'!$C$5:$C$104,MATCH(G581,'Fault Master'!$A$5:$A$104,0)),"")</f>
        <v/>
      </c>
      <c r="M581" s="14" t="str">
        <f aca="false">IFERROR(INDEX('Fault Master'!$D$5:$D$104,MATCH(G581,'Fault Master'!$A$5:$A$104,0)),"")</f>
        <v/>
      </c>
    </row>
    <row r="582" customFormat="false" ht="15" hidden="false" customHeight="true" outlineLevel="0" collapsed="false">
      <c r="A582" s="1" t="n">
        <v>577</v>
      </c>
      <c r="B582" s="13"/>
      <c r="F582" s="14" t="str">
        <f aca="false">IFERROR(INDEX('Operator Master'!$B$5:$B$504,MATCH(E582,'Operator Master'!$A$5:$A$504,0)),"")</f>
        <v/>
      </c>
      <c r="H582" s="14" t="str">
        <f aca="false">IFERROR(INDEX('Fault Master'!$B$5:$B$104,MATCH(G582,'Fault Master'!$A$5:$A$104,0)),"")</f>
        <v/>
      </c>
      <c r="I582" s="14" t="str">
        <f aca="false">IFERROR(INDEX('Fault Master'!$C$5:$C$104,MATCH(G582,'Fault Master'!$A$5:$A$104,0)),"")</f>
        <v/>
      </c>
      <c r="M582" s="14" t="str">
        <f aca="false">IFERROR(INDEX('Fault Master'!$D$5:$D$104,MATCH(G582,'Fault Master'!$A$5:$A$104,0)),"")</f>
        <v/>
      </c>
    </row>
    <row r="583" customFormat="false" ht="15" hidden="false" customHeight="true" outlineLevel="0" collapsed="false">
      <c r="A583" s="1" t="n">
        <v>578</v>
      </c>
      <c r="B583" s="13"/>
      <c r="F583" s="14" t="str">
        <f aca="false">IFERROR(INDEX('Operator Master'!$B$5:$B$504,MATCH(E583,'Operator Master'!$A$5:$A$504,0)),"")</f>
        <v/>
      </c>
      <c r="H583" s="14" t="str">
        <f aca="false">IFERROR(INDEX('Fault Master'!$B$5:$B$104,MATCH(G583,'Fault Master'!$A$5:$A$104,0)),"")</f>
        <v/>
      </c>
      <c r="I583" s="14" t="str">
        <f aca="false">IFERROR(INDEX('Fault Master'!$C$5:$C$104,MATCH(G583,'Fault Master'!$A$5:$A$104,0)),"")</f>
        <v/>
      </c>
      <c r="M583" s="14" t="str">
        <f aca="false">IFERROR(INDEX('Fault Master'!$D$5:$D$104,MATCH(G583,'Fault Master'!$A$5:$A$104,0)),"")</f>
        <v/>
      </c>
    </row>
    <row r="584" customFormat="false" ht="15" hidden="false" customHeight="true" outlineLevel="0" collapsed="false">
      <c r="A584" s="1" t="n">
        <v>579</v>
      </c>
      <c r="B584" s="13"/>
      <c r="F584" s="14" t="str">
        <f aca="false">IFERROR(INDEX('Operator Master'!$B$5:$B$504,MATCH(E584,'Operator Master'!$A$5:$A$504,0)),"")</f>
        <v/>
      </c>
      <c r="H584" s="14" t="str">
        <f aca="false">IFERROR(INDEX('Fault Master'!$B$5:$B$104,MATCH(G584,'Fault Master'!$A$5:$A$104,0)),"")</f>
        <v/>
      </c>
      <c r="I584" s="14" t="str">
        <f aca="false">IFERROR(INDEX('Fault Master'!$C$5:$C$104,MATCH(G584,'Fault Master'!$A$5:$A$104,0)),"")</f>
        <v/>
      </c>
      <c r="M584" s="14" t="str">
        <f aca="false">IFERROR(INDEX('Fault Master'!$D$5:$D$104,MATCH(G584,'Fault Master'!$A$5:$A$104,0)),"")</f>
        <v/>
      </c>
    </row>
    <row r="585" customFormat="false" ht="15" hidden="false" customHeight="true" outlineLevel="0" collapsed="false">
      <c r="A585" s="1" t="n">
        <v>580</v>
      </c>
      <c r="B585" s="13"/>
      <c r="F585" s="14" t="str">
        <f aca="false">IFERROR(INDEX('Operator Master'!$B$5:$B$504,MATCH(E585,'Operator Master'!$A$5:$A$504,0)),"")</f>
        <v/>
      </c>
      <c r="H585" s="14" t="str">
        <f aca="false">IFERROR(INDEX('Fault Master'!$B$5:$B$104,MATCH(G585,'Fault Master'!$A$5:$A$104,0)),"")</f>
        <v/>
      </c>
      <c r="I585" s="14" t="str">
        <f aca="false">IFERROR(INDEX('Fault Master'!$C$5:$C$104,MATCH(G585,'Fault Master'!$A$5:$A$104,0)),"")</f>
        <v/>
      </c>
      <c r="M585" s="14" t="str">
        <f aca="false">IFERROR(INDEX('Fault Master'!$D$5:$D$104,MATCH(G585,'Fault Master'!$A$5:$A$104,0)),"")</f>
        <v/>
      </c>
    </row>
    <row r="586" customFormat="false" ht="15" hidden="false" customHeight="true" outlineLevel="0" collapsed="false">
      <c r="A586" s="1" t="n">
        <v>581</v>
      </c>
      <c r="B586" s="13"/>
      <c r="F586" s="14" t="str">
        <f aca="false">IFERROR(INDEX('Operator Master'!$B$5:$B$504,MATCH(E586,'Operator Master'!$A$5:$A$504,0)),"")</f>
        <v/>
      </c>
      <c r="H586" s="14" t="str">
        <f aca="false">IFERROR(INDEX('Fault Master'!$B$5:$B$104,MATCH(G586,'Fault Master'!$A$5:$A$104,0)),"")</f>
        <v/>
      </c>
      <c r="I586" s="14" t="str">
        <f aca="false">IFERROR(INDEX('Fault Master'!$C$5:$C$104,MATCH(G586,'Fault Master'!$A$5:$A$104,0)),"")</f>
        <v/>
      </c>
      <c r="M586" s="14" t="str">
        <f aca="false">IFERROR(INDEX('Fault Master'!$D$5:$D$104,MATCH(G586,'Fault Master'!$A$5:$A$104,0)),"")</f>
        <v/>
      </c>
    </row>
    <row r="587" customFormat="false" ht="15" hidden="false" customHeight="true" outlineLevel="0" collapsed="false">
      <c r="A587" s="1" t="n">
        <v>582</v>
      </c>
      <c r="B587" s="13"/>
      <c r="F587" s="14" t="str">
        <f aca="false">IFERROR(INDEX('Operator Master'!$B$5:$B$504,MATCH(E587,'Operator Master'!$A$5:$A$504,0)),"")</f>
        <v/>
      </c>
      <c r="H587" s="14" t="str">
        <f aca="false">IFERROR(INDEX('Fault Master'!$B$5:$B$104,MATCH(G587,'Fault Master'!$A$5:$A$104,0)),"")</f>
        <v/>
      </c>
      <c r="I587" s="14" t="str">
        <f aca="false">IFERROR(INDEX('Fault Master'!$C$5:$C$104,MATCH(G587,'Fault Master'!$A$5:$A$104,0)),"")</f>
        <v/>
      </c>
      <c r="M587" s="14" t="str">
        <f aca="false">IFERROR(INDEX('Fault Master'!$D$5:$D$104,MATCH(G587,'Fault Master'!$A$5:$A$104,0)),"")</f>
        <v/>
      </c>
    </row>
    <row r="588" customFormat="false" ht="15" hidden="false" customHeight="true" outlineLevel="0" collapsed="false">
      <c r="A588" s="1" t="n">
        <v>583</v>
      </c>
      <c r="B588" s="13"/>
      <c r="F588" s="14" t="str">
        <f aca="false">IFERROR(INDEX('Operator Master'!$B$5:$B$504,MATCH(E588,'Operator Master'!$A$5:$A$504,0)),"")</f>
        <v/>
      </c>
      <c r="H588" s="14" t="str">
        <f aca="false">IFERROR(INDEX('Fault Master'!$B$5:$B$104,MATCH(G588,'Fault Master'!$A$5:$A$104,0)),"")</f>
        <v/>
      </c>
      <c r="I588" s="14" t="str">
        <f aca="false">IFERROR(INDEX('Fault Master'!$C$5:$C$104,MATCH(G588,'Fault Master'!$A$5:$A$104,0)),"")</f>
        <v/>
      </c>
      <c r="M588" s="14" t="str">
        <f aca="false">IFERROR(INDEX('Fault Master'!$D$5:$D$104,MATCH(G588,'Fault Master'!$A$5:$A$104,0)),"")</f>
        <v/>
      </c>
    </row>
    <row r="589" customFormat="false" ht="15" hidden="false" customHeight="true" outlineLevel="0" collapsed="false">
      <c r="A589" s="1" t="n">
        <v>584</v>
      </c>
      <c r="B589" s="13"/>
      <c r="F589" s="14" t="str">
        <f aca="false">IFERROR(INDEX('Operator Master'!$B$5:$B$504,MATCH(E589,'Operator Master'!$A$5:$A$504,0)),"")</f>
        <v/>
      </c>
      <c r="H589" s="14" t="str">
        <f aca="false">IFERROR(INDEX('Fault Master'!$B$5:$B$104,MATCH(G589,'Fault Master'!$A$5:$A$104,0)),"")</f>
        <v/>
      </c>
      <c r="I589" s="14" t="str">
        <f aca="false">IFERROR(INDEX('Fault Master'!$C$5:$C$104,MATCH(G589,'Fault Master'!$A$5:$A$104,0)),"")</f>
        <v/>
      </c>
      <c r="M589" s="14" t="str">
        <f aca="false">IFERROR(INDEX('Fault Master'!$D$5:$D$104,MATCH(G589,'Fault Master'!$A$5:$A$104,0)),"")</f>
        <v/>
      </c>
    </row>
    <row r="590" customFormat="false" ht="15" hidden="false" customHeight="true" outlineLevel="0" collapsed="false">
      <c r="A590" s="1" t="n">
        <v>585</v>
      </c>
      <c r="B590" s="13"/>
      <c r="F590" s="14" t="str">
        <f aca="false">IFERROR(INDEX('Operator Master'!$B$5:$B$504,MATCH(E590,'Operator Master'!$A$5:$A$504,0)),"")</f>
        <v/>
      </c>
      <c r="H590" s="14" t="str">
        <f aca="false">IFERROR(INDEX('Fault Master'!$B$5:$B$104,MATCH(G590,'Fault Master'!$A$5:$A$104,0)),"")</f>
        <v/>
      </c>
      <c r="I590" s="14" t="str">
        <f aca="false">IFERROR(INDEX('Fault Master'!$C$5:$C$104,MATCH(G590,'Fault Master'!$A$5:$A$104,0)),"")</f>
        <v/>
      </c>
      <c r="M590" s="14" t="str">
        <f aca="false">IFERROR(INDEX('Fault Master'!$D$5:$D$104,MATCH(G590,'Fault Master'!$A$5:$A$104,0)),"")</f>
        <v/>
      </c>
    </row>
    <row r="591" customFormat="false" ht="15" hidden="false" customHeight="true" outlineLevel="0" collapsed="false">
      <c r="A591" s="1" t="n">
        <v>586</v>
      </c>
      <c r="B591" s="13"/>
      <c r="F591" s="14" t="str">
        <f aca="false">IFERROR(INDEX('Operator Master'!$B$5:$B$504,MATCH(E591,'Operator Master'!$A$5:$A$504,0)),"")</f>
        <v/>
      </c>
      <c r="H591" s="14" t="str">
        <f aca="false">IFERROR(INDEX('Fault Master'!$B$5:$B$104,MATCH(G591,'Fault Master'!$A$5:$A$104,0)),"")</f>
        <v/>
      </c>
      <c r="I591" s="14" t="str">
        <f aca="false">IFERROR(INDEX('Fault Master'!$C$5:$C$104,MATCH(G591,'Fault Master'!$A$5:$A$104,0)),"")</f>
        <v/>
      </c>
      <c r="M591" s="14" t="str">
        <f aca="false">IFERROR(INDEX('Fault Master'!$D$5:$D$104,MATCH(G591,'Fault Master'!$A$5:$A$104,0)),"")</f>
        <v/>
      </c>
    </row>
    <row r="592" customFormat="false" ht="15" hidden="false" customHeight="true" outlineLevel="0" collapsed="false">
      <c r="A592" s="1" t="n">
        <v>587</v>
      </c>
      <c r="B592" s="13"/>
      <c r="F592" s="14" t="str">
        <f aca="false">IFERROR(INDEX('Operator Master'!$B$5:$B$504,MATCH(E592,'Operator Master'!$A$5:$A$504,0)),"")</f>
        <v/>
      </c>
      <c r="H592" s="14" t="str">
        <f aca="false">IFERROR(INDEX('Fault Master'!$B$5:$B$104,MATCH(G592,'Fault Master'!$A$5:$A$104,0)),"")</f>
        <v/>
      </c>
      <c r="I592" s="14" t="str">
        <f aca="false">IFERROR(INDEX('Fault Master'!$C$5:$C$104,MATCH(G592,'Fault Master'!$A$5:$A$104,0)),"")</f>
        <v/>
      </c>
      <c r="M592" s="14" t="str">
        <f aca="false">IFERROR(INDEX('Fault Master'!$D$5:$D$104,MATCH(G592,'Fault Master'!$A$5:$A$104,0)),"")</f>
        <v/>
      </c>
    </row>
    <row r="593" customFormat="false" ht="15" hidden="false" customHeight="true" outlineLevel="0" collapsed="false">
      <c r="A593" s="1" t="n">
        <v>588</v>
      </c>
      <c r="B593" s="13"/>
      <c r="F593" s="14" t="str">
        <f aca="false">IFERROR(INDEX('Operator Master'!$B$5:$B$504,MATCH(E593,'Operator Master'!$A$5:$A$504,0)),"")</f>
        <v/>
      </c>
      <c r="H593" s="14" t="str">
        <f aca="false">IFERROR(INDEX('Fault Master'!$B$5:$B$104,MATCH(G593,'Fault Master'!$A$5:$A$104,0)),"")</f>
        <v/>
      </c>
      <c r="I593" s="14" t="str">
        <f aca="false">IFERROR(INDEX('Fault Master'!$C$5:$C$104,MATCH(G593,'Fault Master'!$A$5:$A$104,0)),"")</f>
        <v/>
      </c>
      <c r="M593" s="14" t="str">
        <f aca="false">IFERROR(INDEX('Fault Master'!$D$5:$D$104,MATCH(G593,'Fault Master'!$A$5:$A$104,0)),"")</f>
        <v/>
      </c>
    </row>
    <row r="594" customFormat="false" ht="15" hidden="false" customHeight="true" outlineLevel="0" collapsed="false">
      <c r="A594" s="1" t="n">
        <v>589</v>
      </c>
      <c r="B594" s="13"/>
      <c r="F594" s="14" t="str">
        <f aca="false">IFERROR(INDEX('Operator Master'!$B$5:$B$504,MATCH(E594,'Operator Master'!$A$5:$A$504,0)),"")</f>
        <v/>
      </c>
      <c r="H594" s="14" t="str">
        <f aca="false">IFERROR(INDEX('Fault Master'!$B$5:$B$104,MATCH(G594,'Fault Master'!$A$5:$A$104,0)),"")</f>
        <v/>
      </c>
      <c r="I594" s="14" t="str">
        <f aca="false">IFERROR(INDEX('Fault Master'!$C$5:$C$104,MATCH(G594,'Fault Master'!$A$5:$A$104,0)),"")</f>
        <v/>
      </c>
      <c r="M594" s="14" t="str">
        <f aca="false">IFERROR(INDEX('Fault Master'!$D$5:$D$104,MATCH(G594,'Fault Master'!$A$5:$A$104,0)),"")</f>
        <v/>
      </c>
    </row>
    <row r="595" customFormat="false" ht="15" hidden="false" customHeight="true" outlineLevel="0" collapsed="false">
      <c r="A595" s="1" t="n">
        <v>590</v>
      </c>
      <c r="B595" s="13"/>
      <c r="F595" s="14" t="str">
        <f aca="false">IFERROR(INDEX('Operator Master'!$B$5:$B$504,MATCH(E595,'Operator Master'!$A$5:$A$504,0)),"")</f>
        <v/>
      </c>
      <c r="H595" s="14" t="str">
        <f aca="false">IFERROR(INDEX('Fault Master'!$B$5:$B$104,MATCH(G595,'Fault Master'!$A$5:$A$104,0)),"")</f>
        <v/>
      </c>
      <c r="I595" s="14" t="str">
        <f aca="false">IFERROR(INDEX('Fault Master'!$C$5:$C$104,MATCH(G595,'Fault Master'!$A$5:$A$104,0)),"")</f>
        <v/>
      </c>
      <c r="M595" s="14" t="str">
        <f aca="false">IFERROR(INDEX('Fault Master'!$D$5:$D$104,MATCH(G595,'Fault Master'!$A$5:$A$104,0)),"")</f>
        <v/>
      </c>
    </row>
    <row r="596" customFormat="false" ht="15" hidden="false" customHeight="true" outlineLevel="0" collapsed="false">
      <c r="A596" s="1" t="n">
        <v>591</v>
      </c>
      <c r="B596" s="13"/>
      <c r="F596" s="14" t="str">
        <f aca="false">IFERROR(INDEX('Operator Master'!$B$5:$B$504,MATCH(E596,'Operator Master'!$A$5:$A$504,0)),"")</f>
        <v/>
      </c>
      <c r="H596" s="14" t="str">
        <f aca="false">IFERROR(INDEX('Fault Master'!$B$5:$B$104,MATCH(G596,'Fault Master'!$A$5:$A$104,0)),"")</f>
        <v/>
      </c>
      <c r="I596" s="14" t="str">
        <f aca="false">IFERROR(INDEX('Fault Master'!$C$5:$C$104,MATCH(G596,'Fault Master'!$A$5:$A$104,0)),"")</f>
        <v/>
      </c>
      <c r="M596" s="14" t="str">
        <f aca="false">IFERROR(INDEX('Fault Master'!$D$5:$D$104,MATCH(G596,'Fault Master'!$A$5:$A$104,0)),"")</f>
        <v/>
      </c>
    </row>
    <row r="597" customFormat="false" ht="15" hidden="false" customHeight="true" outlineLevel="0" collapsed="false">
      <c r="A597" s="1" t="n">
        <v>592</v>
      </c>
      <c r="B597" s="13"/>
      <c r="F597" s="14" t="str">
        <f aca="false">IFERROR(INDEX('Operator Master'!$B$5:$B$504,MATCH(E597,'Operator Master'!$A$5:$A$504,0)),"")</f>
        <v/>
      </c>
      <c r="H597" s="14" t="str">
        <f aca="false">IFERROR(INDEX('Fault Master'!$B$5:$B$104,MATCH(G597,'Fault Master'!$A$5:$A$104,0)),"")</f>
        <v/>
      </c>
      <c r="I597" s="14" t="str">
        <f aca="false">IFERROR(INDEX('Fault Master'!$C$5:$C$104,MATCH(G597,'Fault Master'!$A$5:$A$104,0)),"")</f>
        <v/>
      </c>
      <c r="M597" s="14" t="str">
        <f aca="false">IFERROR(INDEX('Fault Master'!$D$5:$D$104,MATCH(G597,'Fault Master'!$A$5:$A$104,0)),"")</f>
        <v/>
      </c>
    </row>
    <row r="598" customFormat="false" ht="15" hidden="false" customHeight="true" outlineLevel="0" collapsed="false">
      <c r="A598" s="1" t="n">
        <v>593</v>
      </c>
      <c r="B598" s="13"/>
      <c r="F598" s="14" t="str">
        <f aca="false">IFERROR(INDEX('Operator Master'!$B$5:$B$504,MATCH(E598,'Operator Master'!$A$5:$A$504,0)),"")</f>
        <v/>
      </c>
      <c r="H598" s="14" t="str">
        <f aca="false">IFERROR(INDEX('Fault Master'!$B$5:$B$104,MATCH(G598,'Fault Master'!$A$5:$A$104,0)),"")</f>
        <v/>
      </c>
      <c r="I598" s="14" t="str">
        <f aca="false">IFERROR(INDEX('Fault Master'!$C$5:$C$104,MATCH(G598,'Fault Master'!$A$5:$A$104,0)),"")</f>
        <v/>
      </c>
      <c r="M598" s="14" t="str">
        <f aca="false">IFERROR(INDEX('Fault Master'!$D$5:$D$104,MATCH(G598,'Fault Master'!$A$5:$A$104,0)),"")</f>
        <v/>
      </c>
    </row>
    <row r="599" customFormat="false" ht="15" hidden="false" customHeight="true" outlineLevel="0" collapsed="false">
      <c r="A599" s="1" t="n">
        <v>594</v>
      </c>
      <c r="B599" s="13"/>
      <c r="F599" s="14" t="str">
        <f aca="false">IFERROR(INDEX('Operator Master'!$B$5:$B$504,MATCH(E599,'Operator Master'!$A$5:$A$504,0)),"")</f>
        <v/>
      </c>
      <c r="H599" s="14" t="str">
        <f aca="false">IFERROR(INDEX('Fault Master'!$B$5:$B$104,MATCH(G599,'Fault Master'!$A$5:$A$104,0)),"")</f>
        <v/>
      </c>
      <c r="I599" s="14" t="str">
        <f aca="false">IFERROR(INDEX('Fault Master'!$C$5:$C$104,MATCH(G599,'Fault Master'!$A$5:$A$104,0)),"")</f>
        <v/>
      </c>
      <c r="M599" s="14" t="str">
        <f aca="false">IFERROR(INDEX('Fault Master'!$D$5:$D$104,MATCH(G599,'Fault Master'!$A$5:$A$104,0)),"")</f>
        <v/>
      </c>
    </row>
    <row r="600" customFormat="false" ht="15" hidden="false" customHeight="true" outlineLevel="0" collapsed="false">
      <c r="A600" s="1" t="n">
        <v>595</v>
      </c>
      <c r="B600" s="13"/>
      <c r="F600" s="14" t="str">
        <f aca="false">IFERROR(INDEX('Operator Master'!$B$5:$B$504,MATCH(E600,'Operator Master'!$A$5:$A$504,0)),"")</f>
        <v/>
      </c>
      <c r="H600" s="14" t="str">
        <f aca="false">IFERROR(INDEX('Fault Master'!$B$5:$B$104,MATCH(G600,'Fault Master'!$A$5:$A$104,0)),"")</f>
        <v/>
      </c>
      <c r="I600" s="14" t="str">
        <f aca="false">IFERROR(INDEX('Fault Master'!$C$5:$C$104,MATCH(G600,'Fault Master'!$A$5:$A$104,0)),"")</f>
        <v/>
      </c>
      <c r="M600" s="14" t="str">
        <f aca="false">IFERROR(INDEX('Fault Master'!$D$5:$D$104,MATCH(G600,'Fault Master'!$A$5:$A$104,0)),"")</f>
        <v/>
      </c>
    </row>
    <row r="601" customFormat="false" ht="15" hidden="false" customHeight="true" outlineLevel="0" collapsed="false">
      <c r="A601" s="1" t="n">
        <v>596</v>
      </c>
      <c r="B601" s="13"/>
      <c r="F601" s="14" t="str">
        <f aca="false">IFERROR(INDEX('Operator Master'!$B$5:$B$504,MATCH(E601,'Operator Master'!$A$5:$A$504,0)),"")</f>
        <v/>
      </c>
      <c r="H601" s="14" t="str">
        <f aca="false">IFERROR(INDEX('Fault Master'!$B$5:$B$104,MATCH(G601,'Fault Master'!$A$5:$A$104,0)),"")</f>
        <v/>
      </c>
      <c r="I601" s="14" t="str">
        <f aca="false">IFERROR(INDEX('Fault Master'!$C$5:$C$104,MATCH(G601,'Fault Master'!$A$5:$A$104,0)),"")</f>
        <v/>
      </c>
      <c r="M601" s="14" t="str">
        <f aca="false">IFERROR(INDEX('Fault Master'!$D$5:$D$104,MATCH(G601,'Fault Master'!$A$5:$A$104,0)),"")</f>
        <v/>
      </c>
    </row>
    <row r="602" customFormat="false" ht="15" hidden="false" customHeight="true" outlineLevel="0" collapsed="false">
      <c r="A602" s="1" t="n">
        <v>597</v>
      </c>
      <c r="B602" s="13"/>
      <c r="F602" s="14" t="str">
        <f aca="false">IFERROR(INDEX('Operator Master'!$B$5:$B$504,MATCH(E602,'Operator Master'!$A$5:$A$504,0)),"")</f>
        <v/>
      </c>
      <c r="H602" s="14" t="str">
        <f aca="false">IFERROR(INDEX('Fault Master'!$B$5:$B$104,MATCH(G602,'Fault Master'!$A$5:$A$104,0)),"")</f>
        <v/>
      </c>
      <c r="I602" s="14" t="str">
        <f aca="false">IFERROR(INDEX('Fault Master'!$C$5:$C$104,MATCH(G602,'Fault Master'!$A$5:$A$104,0)),"")</f>
        <v/>
      </c>
      <c r="M602" s="14" t="str">
        <f aca="false">IFERROR(INDEX('Fault Master'!$D$5:$D$104,MATCH(G602,'Fault Master'!$A$5:$A$104,0)),"")</f>
        <v/>
      </c>
    </row>
    <row r="603" customFormat="false" ht="15" hidden="false" customHeight="true" outlineLevel="0" collapsed="false">
      <c r="A603" s="1" t="n">
        <v>598</v>
      </c>
      <c r="B603" s="13"/>
      <c r="F603" s="14" t="str">
        <f aca="false">IFERROR(INDEX('Operator Master'!$B$5:$B$504,MATCH(E603,'Operator Master'!$A$5:$A$504,0)),"")</f>
        <v/>
      </c>
      <c r="H603" s="14" t="str">
        <f aca="false">IFERROR(INDEX('Fault Master'!$B$5:$B$104,MATCH(G603,'Fault Master'!$A$5:$A$104,0)),"")</f>
        <v/>
      </c>
      <c r="I603" s="14" t="str">
        <f aca="false">IFERROR(INDEX('Fault Master'!$C$5:$C$104,MATCH(G603,'Fault Master'!$A$5:$A$104,0)),"")</f>
        <v/>
      </c>
      <c r="M603" s="14" t="str">
        <f aca="false">IFERROR(INDEX('Fault Master'!$D$5:$D$104,MATCH(G603,'Fault Master'!$A$5:$A$104,0)),"")</f>
        <v/>
      </c>
    </row>
    <row r="604" customFormat="false" ht="15" hidden="false" customHeight="true" outlineLevel="0" collapsed="false">
      <c r="A604" s="1" t="n">
        <v>599</v>
      </c>
      <c r="B604" s="13"/>
      <c r="F604" s="14" t="str">
        <f aca="false">IFERROR(INDEX('Operator Master'!$B$5:$B$504,MATCH(E604,'Operator Master'!$A$5:$A$504,0)),"")</f>
        <v/>
      </c>
      <c r="H604" s="14" t="str">
        <f aca="false">IFERROR(INDEX('Fault Master'!$B$5:$B$104,MATCH(G604,'Fault Master'!$A$5:$A$104,0)),"")</f>
        <v/>
      </c>
      <c r="I604" s="14" t="str">
        <f aca="false">IFERROR(INDEX('Fault Master'!$C$5:$C$104,MATCH(G604,'Fault Master'!$A$5:$A$104,0)),"")</f>
        <v/>
      </c>
      <c r="M604" s="14" t="str">
        <f aca="false">IFERROR(INDEX('Fault Master'!$D$5:$D$104,MATCH(G604,'Fault Master'!$A$5:$A$104,0)),"")</f>
        <v/>
      </c>
    </row>
    <row r="605" customFormat="false" ht="15" hidden="false" customHeight="true" outlineLevel="0" collapsed="false">
      <c r="A605" s="1" t="n">
        <v>600</v>
      </c>
      <c r="B605" s="13"/>
      <c r="F605" s="14" t="str">
        <f aca="false">IFERROR(INDEX('Operator Master'!$B$5:$B$504,MATCH(E605,'Operator Master'!$A$5:$A$504,0)),"")</f>
        <v/>
      </c>
      <c r="H605" s="14" t="str">
        <f aca="false">IFERROR(INDEX('Fault Master'!$B$5:$B$104,MATCH(G605,'Fault Master'!$A$5:$A$104,0)),"")</f>
        <v/>
      </c>
      <c r="I605" s="14" t="str">
        <f aca="false">IFERROR(INDEX('Fault Master'!$C$5:$C$104,MATCH(G605,'Fault Master'!$A$5:$A$104,0)),"")</f>
        <v/>
      </c>
      <c r="M605" s="14" t="str">
        <f aca="false">IFERROR(INDEX('Fault Master'!$D$5:$D$104,MATCH(G605,'Fault Master'!$A$5:$A$104,0)),"")</f>
        <v/>
      </c>
    </row>
    <row r="606" customFormat="false" ht="15" hidden="false" customHeight="true" outlineLevel="0" collapsed="false">
      <c r="A606" s="1" t="n">
        <v>601</v>
      </c>
      <c r="B606" s="13"/>
      <c r="F606" s="14" t="str">
        <f aca="false">IFERROR(INDEX('Operator Master'!$B$5:$B$504,MATCH(E606,'Operator Master'!$A$5:$A$504,0)),"")</f>
        <v/>
      </c>
      <c r="H606" s="14" t="str">
        <f aca="false">IFERROR(INDEX('Fault Master'!$B$5:$B$104,MATCH(G606,'Fault Master'!$A$5:$A$104,0)),"")</f>
        <v/>
      </c>
      <c r="I606" s="14" t="str">
        <f aca="false">IFERROR(INDEX('Fault Master'!$C$5:$C$104,MATCH(G606,'Fault Master'!$A$5:$A$104,0)),"")</f>
        <v/>
      </c>
      <c r="M606" s="14" t="str">
        <f aca="false">IFERROR(INDEX('Fault Master'!$D$5:$D$104,MATCH(G606,'Fault Master'!$A$5:$A$104,0)),"")</f>
        <v/>
      </c>
    </row>
    <row r="607" customFormat="false" ht="15" hidden="false" customHeight="true" outlineLevel="0" collapsed="false">
      <c r="A607" s="1" t="n">
        <v>602</v>
      </c>
      <c r="B607" s="13"/>
      <c r="F607" s="14" t="str">
        <f aca="false">IFERROR(INDEX('Operator Master'!$B$5:$B$504,MATCH(E607,'Operator Master'!$A$5:$A$504,0)),"")</f>
        <v/>
      </c>
      <c r="H607" s="14" t="str">
        <f aca="false">IFERROR(INDEX('Fault Master'!$B$5:$B$104,MATCH(G607,'Fault Master'!$A$5:$A$104,0)),"")</f>
        <v/>
      </c>
      <c r="I607" s="14" t="str">
        <f aca="false">IFERROR(INDEX('Fault Master'!$C$5:$C$104,MATCH(G607,'Fault Master'!$A$5:$A$104,0)),"")</f>
        <v/>
      </c>
      <c r="M607" s="14" t="str">
        <f aca="false">IFERROR(INDEX('Fault Master'!$D$5:$D$104,MATCH(G607,'Fault Master'!$A$5:$A$104,0)),"")</f>
        <v/>
      </c>
    </row>
    <row r="608" customFormat="false" ht="15" hidden="false" customHeight="true" outlineLevel="0" collapsed="false">
      <c r="A608" s="1" t="n">
        <v>603</v>
      </c>
      <c r="B608" s="13"/>
      <c r="F608" s="14" t="str">
        <f aca="false">IFERROR(INDEX('Operator Master'!$B$5:$B$504,MATCH(E608,'Operator Master'!$A$5:$A$504,0)),"")</f>
        <v/>
      </c>
      <c r="H608" s="14" t="str">
        <f aca="false">IFERROR(INDEX('Fault Master'!$B$5:$B$104,MATCH(G608,'Fault Master'!$A$5:$A$104,0)),"")</f>
        <v/>
      </c>
      <c r="I608" s="14" t="str">
        <f aca="false">IFERROR(INDEX('Fault Master'!$C$5:$C$104,MATCH(G608,'Fault Master'!$A$5:$A$104,0)),"")</f>
        <v/>
      </c>
      <c r="M608" s="14" t="str">
        <f aca="false">IFERROR(INDEX('Fault Master'!$D$5:$D$104,MATCH(G608,'Fault Master'!$A$5:$A$104,0)),"")</f>
        <v/>
      </c>
    </row>
    <row r="609" customFormat="false" ht="15" hidden="false" customHeight="true" outlineLevel="0" collapsed="false">
      <c r="A609" s="1" t="n">
        <v>604</v>
      </c>
      <c r="B609" s="13"/>
      <c r="F609" s="14" t="str">
        <f aca="false">IFERROR(INDEX('Operator Master'!$B$5:$B$504,MATCH(E609,'Operator Master'!$A$5:$A$504,0)),"")</f>
        <v/>
      </c>
      <c r="H609" s="14" t="str">
        <f aca="false">IFERROR(INDEX('Fault Master'!$B$5:$B$104,MATCH(G609,'Fault Master'!$A$5:$A$104,0)),"")</f>
        <v/>
      </c>
      <c r="I609" s="14" t="str">
        <f aca="false">IFERROR(INDEX('Fault Master'!$C$5:$C$104,MATCH(G609,'Fault Master'!$A$5:$A$104,0)),"")</f>
        <v/>
      </c>
      <c r="M609" s="14" t="str">
        <f aca="false">IFERROR(INDEX('Fault Master'!$D$5:$D$104,MATCH(G609,'Fault Master'!$A$5:$A$104,0)),"")</f>
        <v/>
      </c>
    </row>
    <row r="610" customFormat="false" ht="15" hidden="false" customHeight="true" outlineLevel="0" collapsed="false">
      <c r="A610" s="1" t="n">
        <v>605</v>
      </c>
      <c r="B610" s="13"/>
      <c r="F610" s="14" t="str">
        <f aca="false">IFERROR(INDEX('Operator Master'!$B$5:$B$504,MATCH(E610,'Operator Master'!$A$5:$A$504,0)),"")</f>
        <v/>
      </c>
      <c r="H610" s="14" t="str">
        <f aca="false">IFERROR(INDEX('Fault Master'!$B$5:$B$104,MATCH(G610,'Fault Master'!$A$5:$A$104,0)),"")</f>
        <v/>
      </c>
      <c r="I610" s="14" t="str">
        <f aca="false">IFERROR(INDEX('Fault Master'!$C$5:$C$104,MATCH(G610,'Fault Master'!$A$5:$A$104,0)),"")</f>
        <v/>
      </c>
      <c r="M610" s="14" t="str">
        <f aca="false">IFERROR(INDEX('Fault Master'!$D$5:$D$104,MATCH(G610,'Fault Master'!$A$5:$A$104,0)),"")</f>
        <v/>
      </c>
    </row>
    <row r="611" customFormat="false" ht="15" hidden="false" customHeight="true" outlineLevel="0" collapsed="false">
      <c r="A611" s="1" t="n">
        <v>606</v>
      </c>
      <c r="B611" s="13"/>
      <c r="F611" s="14" t="str">
        <f aca="false">IFERROR(INDEX('Operator Master'!$B$5:$B$504,MATCH(E611,'Operator Master'!$A$5:$A$504,0)),"")</f>
        <v/>
      </c>
      <c r="H611" s="14" t="str">
        <f aca="false">IFERROR(INDEX('Fault Master'!$B$5:$B$104,MATCH(G611,'Fault Master'!$A$5:$A$104,0)),"")</f>
        <v/>
      </c>
      <c r="I611" s="14" t="str">
        <f aca="false">IFERROR(INDEX('Fault Master'!$C$5:$C$104,MATCH(G611,'Fault Master'!$A$5:$A$104,0)),"")</f>
        <v/>
      </c>
      <c r="M611" s="14" t="str">
        <f aca="false">IFERROR(INDEX('Fault Master'!$D$5:$D$104,MATCH(G611,'Fault Master'!$A$5:$A$104,0)),"")</f>
        <v/>
      </c>
    </row>
    <row r="612" customFormat="false" ht="15" hidden="false" customHeight="true" outlineLevel="0" collapsed="false">
      <c r="A612" s="1" t="n">
        <v>607</v>
      </c>
      <c r="B612" s="13"/>
      <c r="F612" s="14" t="str">
        <f aca="false">IFERROR(INDEX('Operator Master'!$B$5:$B$504,MATCH(E612,'Operator Master'!$A$5:$A$504,0)),"")</f>
        <v/>
      </c>
      <c r="H612" s="14" t="str">
        <f aca="false">IFERROR(INDEX('Fault Master'!$B$5:$B$104,MATCH(G612,'Fault Master'!$A$5:$A$104,0)),"")</f>
        <v/>
      </c>
      <c r="I612" s="14" t="str">
        <f aca="false">IFERROR(INDEX('Fault Master'!$C$5:$C$104,MATCH(G612,'Fault Master'!$A$5:$A$104,0)),"")</f>
        <v/>
      </c>
      <c r="M612" s="14" t="str">
        <f aca="false">IFERROR(INDEX('Fault Master'!$D$5:$D$104,MATCH(G612,'Fault Master'!$A$5:$A$104,0)),"")</f>
        <v/>
      </c>
    </row>
    <row r="613" customFormat="false" ht="15" hidden="false" customHeight="true" outlineLevel="0" collapsed="false">
      <c r="A613" s="1" t="n">
        <v>608</v>
      </c>
      <c r="B613" s="13"/>
      <c r="F613" s="14" t="str">
        <f aca="false">IFERROR(INDEX('Operator Master'!$B$5:$B$504,MATCH(E613,'Operator Master'!$A$5:$A$504,0)),"")</f>
        <v/>
      </c>
      <c r="H613" s="14" t="str">
        <f aca="false">IFERROR(INDEX('Fault Master'!$B$5:$B$104,MATCH(G613,'Fault Master'!$A$5:$A$104,0)),"")</f>
        <v/>
      </c>
      <c r="I613" s="14" t="str">
        <f aca="false">IFERROR(INDEX('Fault Master'!$C$5:$C$104,MATCH(G613,'Fault Master'!$A$5:$A$104,0)),"")</f>
        <v/>
      </c>
      <c r="M613" s="14" t="str">
        <f aca="false">IFERROR(INDEX('Fault Master'!$D$5:$D$104,MATCH(G613,'Fault Master'!$A$5:$A$104,0)),"")</f>
        <v/>
      </c>
    </row>
    <row r="614" customFormat="false" ht="15" hidden="false" customHeight="true" outlineLevel="0" collapsed="false">
      <c r="A614" s="1" t="n">
        <v>609</v>
      </c>
      <c r="B614" s="13"/>
      <c r="F614" s="14" t="str">
        <f aca="false">IFERROR(INDEX('Operator Master'!$B$5:$B$504,MATCH(E614,'Operator Master'!$A$5:$A$504,0)),"")</f>
        <v/>
      </c>
      <c r="H614" s="14" t="str">
        <f aca="false">IFERROR(INDEX('Fault Master'!$B$5:$B$104,MATCH(G614,'Fault Master'!$A$5:$A$104,0)),"")</f>
        <v/>
      </c>
      <c r="I614" s="14" t="str">
        <f aca="false">IFERROR(INDEX('Fault Master'!$C$5:$C$104,MATCH(G614,'Fault Master'!$A$5:$A$104,0)),"")</f>
        <v/>
      </c>
      <c r="M614" s="14" t="str">
        <f aca="false">IFERROR(INDEX('Fault Master'!$D$5:$D$104,MATCH(G614,'Fault Master'!$A$5:$A$104,0)),"")</f>
        <v/>
      </c>
    </row>
    <row r="615" customFormat="false" ht="15" hidden="false" customHeight="true" outlineLevel="0" collapsed="false">
      <c r="A615" s="1" t="n">
        <v>610</v>
      </c>
      <c r="B615" s="13"/>
      <c r="F615" s="14" t="str">
        <f aca="false">IFERROR(INDEX('Operator Master'!$B$5:$B$504,MATCH(E615,'Operator Master'!$A$5:$A$504,0)),"")</f>
        <v/>
      </c>
      <c r="H615" s="14" t="str">
        <f aca="false">IFERROR(INDEX('Fault Master'!$B$5:$B$104,MATCH(G615,'Fault Master'!$A$5:$A$104,0)),"")</f>
        <v/>
      </c>
      <c r="I615" s="14" t="str">
        <f aca="false">IFERROR(INDEX('Fault Master'!$C$5:$C$104,MATCH(G615,'Fault Master'!$A$5:$A$104,0)),"")</f>
        <v/>
      </c>
      <c r="M615" s="14" t="str">
        <f aca="false">IFERROR(INDEX('Fault Master'!$D$5:$D$104,MATCH(G615,'Fault Master'!$A$5:$A$104,0)),"")</f>
        <v/>
      </c>
    </row>
    <row r="616" customFormat="false" ht="15" hidden="false" customHeight="true" outlineLevel="0" collapsed="false">
      <c r="A616" s="1" t="n">
        <v>611</v>
      </c>
      <c r="B616" s="13"/>
      <c r="F616" s="14" t="str">
        <f aca="false">IFERROR(INDEX('Operator Master'!$B$5:$B$504,MATCH(E616,'Operator Master'!$A$5:$A$504,0)),"")</f>
        <v/>
      </c>
      <c r="H616" s="14" t="str">
        <f aca="false">IFERROR(INDEX('Fault Master'!$B$5:$B$104,MATCH(G616,'Fault Master'!$A$5:$A$104,0)),"")</f>
        <v/>
      </c>
      <c r="I616" s="14" t="str">
        <f aca="false">IFERROR(INDEX('Fault Master'!$C$5:$C$104,MATCH(G616,'Fault Master'!$A$5:$A$104,0)),"")</f>
        <v/>
      </c>
      <c r="M616" s="14" t="str">
        <f aca="false">IFERROR(INDEX('Fault Master'!$D$5:$D$104,MATCH(G616,'Fault Master'!$A$5:$A$104,0)),"")</f>
        <v/>
      </c>
    </row>
    <row r="617" customFormat="false" ht="15" hidden="false" customHeight="true" outlineLevel="0" collapsed="false">
      <c r="A617" s="1" t="n">
        <v>612</v>
      </c>
      <c r="B617" s="13"/>
      <c r="F617" s="14" t="str">
        <f aca="false">IFERROR(INDEX('Operator Master'!$B$5:$B$504,MATCH(E617,'Operator Master'!$A$5:$A$504,0)),"")</f>
        <v/>
      </c>
      <c r="H617" s="14" t="str">
        <f aca="false">IFERROR(INDEX('Fault Master'!$B$5:$B$104,MATCH(G617,'Fault Master'!$A$5:$A$104,0)),"")</f>
        <v/>
      </c>
      <c r="I617" s="14" t="str">
        <f aca="false">IFERROR(INDEX('Fault Master'!$C$5:$C$104,MATCH(G617,'Fault Master'!$A$5:$A$104,0)),"")</f>
        <v/>
      </c>
      <c r="M617" s="14" t="str">
        <f aca="false">IFERROR(INDEX('Fault Master'!$D$5:$D$104,MATCH(G617,'Fault Master'!$A$5:$A$104,0)),"")</f>
        <v/>
      </c>
    </row>
    <row r="618" customFormat="false" ht="15" hidden="false" customHeight="true" outlineLevel="0" collapsed="false">
      <c r="A618" s="1" t="n">
        <v>613</v>
      </c>
      <c r="B618" s="13"/>
      <c r="F618" s="14" t="str">
        <f aca="false">IFERROR(INDEX('Operator Master'!$B$5:$B$504,MATCH(E618,'Operator Master'!$A$5:$A$504,0)),"")</f>
        <v/>
      </c>
      <c r="H618" s="14" t="str">
        <f aca="false">IFERROR(INDEX('Fault Master'!$B$5:$B$104,MATCH(G618,'Fault Master'!$A$5:$A$104,0)),"")</f>
        <v/>
      </c>
      <c r="I618" s="14" t="str">
        <f aca="false">IFERROR(INDEX('Fault Master'!$C$5:$C$104,MATCH(G618,'Fault Master'!$A$5:$A$104,0)),"")</f>
        <v/>
      </c>
      <c r="M618" s="14" t="str">
        <f aca="false">IFERROR(INDEX('Fault Master'!$D$5:$D$104,MATCH(G618,'Fault Master'!$A$5:$A$104,0)),"")</f>
        <v/>
      </c>
    </row>
    <row r="619" customFormat="false" ht="15" hidden="false" customHeight="true" outlineLevel="0" collapsed="false">
      <c r="A619" s="1" t="n">
        <v>614</v>
      </c>
      <c r="B619" s="13"/>
      <c r="F619" s="14" t="str">
        <f aca="false">IFERROR(INDEX('Operator Master'!$B$5:$B$504,MATCH(E619,'Operator Master'!$A$5:$A$504,0)),"")</f>
        <v/>
      </c>
      <c r="H619" s="14" t="str">
        <f aca="false">IFERROR(INDEX('Fault Master'!$B$5:$B$104,MATCH(G619,'Fault Master'!$A$5:$A$104,0)),"")</f>
        <v/>
      </c>
      <c r="I619" s="14" t="str">
        <f aca="false">IFERROR(INDEX('Fault Master'!$C$5:$C$104,MATCH(G619,'Fault Master'!$A$5:$A$104,0)),"")</f>
        <v/>
      </c>
      <c r="M619" s="14" t="str">
        <f aca="false">IFERROR(INDEX('Fault Master'!$D$5:$D$104,MATCH(G619,'Fault Master'!$A$5:$A$104,0)),"")</f>
        <v/>
      </c>
    </row>
    <row r="620" customFormat="false" ht="15" hidden="false" customHeight="true" outlineLevel="0" collapsed="false">
      <c r="A620" s="1" t="n">
        <v>615</v>
      </c>
      <c r="B620" s="13"/>
      <c r="F620" s="14" t="str">
        <f aca="false">IFERROR(INDEX('Operator Master'!$B$5:$B$504,MATCH(E620,'Operator Master'!$A$5:$A$504,0)),"")</f>
        <v/>
      </c>
      <c r="H620" s="14" t="str">
        <f aca="false">IFERROR(INDEX('Fault Master'!$B$5:$B$104,MATCH(G620,'Fault Master'!$A$5:$A$104,0)),"")</f>
        <v/>
      </c>
      <c r="I620" s="14" t="str">
        <f aca="false">IFERROR(INDEX('Fault Master'!$C$5:$C$104,MATCH(G620,'Fault Master'!$A$5:$A$104,0)),"")</f>
        <v/>
      </c>
      <c r="M620" s="14" t="str">
        <f aca="false">IFERROR(INDEX('Fault Master'!$D$5:$D$104,MATCH(G620,'Fault Master'!$A$5:$A$104,0)),"")</f>
        <v/>
      </c>
    </row>
    <row r="621" customFormat="false" ht="15" hidden="false" customHeight="true" outlineLevel="0" collapsed="false">
      <c r="A621" s="1" t="n">
        <v>616</v>
      </c>
      <c r="B621" s="13"/>
      <c r="F621" s="14" t="str">
        <f aca="false">IFERROR(INDEX('Operator Master'!$B$5:$B$504,MATCH(E621,'Operator Master'!$A$5:$A$504,0)),"")</f>
        <v/>
      </c>
      <c r="H621" s="14" t="str">
        <f aca="false">IFERROR(INDEX('Fault Master'!$B$5:$B$104,MATCH(G621,'Fault Master'!$A$5:$A$104,0)),"")</f>
        <v/>
      </c>
      <c r="I621" s="14" t="str">
        <f aca="false">IFERROR(INDEX('Fault Master'!$C$5:$C$104,MATCH(G621,'Fault Master'!$A$5:$A$104,0)),"")</f>
        <v/>
      </c>
      <c r="M621" s="14" t="str">
        <f aca="false">IFERROR(INDEX('Fault Master'!$D$5:$D$104,MATCH(G621,'Fault Master'!$A$5:$A$104,0)),"")</f>
        <v/>
      </c>
    </row>
    <row r="622" customFormat="false" ht="15" hidden="false" customHeight="true" outlineLevel="0" collapsed="false">
      <c r="A622" s="1" t="n">
        <v>617</v>
      </c>
      <c r="B622" s="13"/>
      <c r="F622" s="14" t="str">
        <f aca="false">IFERROR(INDEX('Operator Master'!$B$5:$B$504,MATCH(E622,'Operator Master'!$A$5:$A$504,0)),"")</f>
        <v/>
      </c>
      <c r="H622" s="14" t="str">
        <f aca="false">IFERROR(INDEX('Fault Master'!$B$5:$B$104,MATCH(G622,'Fault Master'!$A$5:$A$104,0)),"")</f>
        <v/>
      </c>
      <c r="I622" s="14" t="str">
        <f aca="false">IFERROR(INDEX('Fault Master'!$C$5:$C$104,MATCH(G622,'Fault Master'!$A$5:$A$104,0)),"")</f>
        <v/>
      </c>
      <c r="M622" s="14" t="str">
        <f aca="false">IFERROR(INDEX('Fault Master'!$D$5:$D$104,MATCH(G622,'Fault Master'!$A$5:$A$104,0)),"")</f>
        <v/>
      </c>
    </row>
    <row r="623" customFormat="false" ht="15" hidden="false" customHeight="true" outlineLevel="0" collapsed="false">
      <c r="A623" s="1" t="n">
        <v>618</v>
      </c>
      <c r="B623" s="13"/>
      <c r="F623" s="14" t="str">
        <f aca="false">IFERROR(INDEX('Operator Master'!$B$5:$B$504,MATCH(E623,'Operator Master'!$A$5:$A$504,0)),"")</f>
        <v/>
      </c>
      <c r="H623" s="14" t="str">
        <f aca="false">IFERROR(INDEX('Fault Master'!$B$5:$B$104,MATCH(G623,'Fault Master'!$A$5:$A$104,0)),"")</f>
        <v/>
      </c>
      <c r="I623" s="14" t="str">
        <f aca="false">IFERROR(INDEX('Fault Master'!$C$5:$C$104,MATCH(G623,'Fault Master'!$A$5:$A$104,0)),"")</f>
        <v/>
      </c>
      <c r="M623" s="14" t="str">
        <f aca="false">IFERROR(INDEX('Fault Master'!$D$5:$D$104,MATCH(G623,'Fault Master'!$A$5:$A$104,0)),"")</f>
        <v/>
      </c>
    </row>
    <row r="624" customFormat="false" ht="15" hidden="false" customHeight="true" outlineLevel="0" collapsed="false">
      <c r="A624" s="1" t="n">
        <v>619</v>
      </c>
      <c r="B624" s="13"/>
      <c r="F624" s="14" t="str">
        <f aca="false">IFERROR(INDEX('Operator Master'!$B$5:$B$504,MATCH(E624,'Operator Master'!$A$5:$A$504,0)),"")</f>
        <v/>
      </c>
      <c r="H624" s="14" t="str">
        <f aca="false">IFERROR(INDEX('Fault Master'!$B$5:$B$104,MATCH(G624,'Fault Master'!$A$5:$A$104,0)),"")</f>
        <v/>
      </c>
      <c r="I624" s="14" t="str">
        <f aca="false">IFERROR(INDEX('Fault Master'!$C$5:$C$104,MATCH(G624,'Fault Master'!$A$5:$A$104,0)),"")</f>
        <v/>
      </c>
      <c r="M624" s="14" t="str">
        <f aca="false">IFERROR(INDEX('Fault Master'!$D$5:$D$104,MATCH(G624,'Fault Master'!$A$5:$A$104,0)),"")</f>
        <v/>
      </c>
    </row>
    <row r="625" customFormat="false" ht="15" hidden="false" customHeight="true" outlineLevel="0" collapsed="false">
      <c r="A625" s="1" t="n">
        <v>620</v>
      </c>
      <c r="B625" s="13"/>
      <c r="F625" s="14" t="str">
        <f aca="false">IFERROR(INDEX('Operator Master'!$B$5:$B$504,MATCH(E625,'Operator Master'!$A$5:$A$504,0)),"")</f>
        <v/>
      </c>
      <c r="H625" s="14" t="str">
        <f aca="false">IFERROR(INDEX('Fault Master'!$B$5:$B$104,MATCH(G625,'Fault Master'!$A$5:$A$104,0)),"")</f>
        <v/>
      </c>
      <c r="I625" s="14" t="str">
        <f aca="false">IFERROR(INDEX('Fault Master'!$C$5:$C$104,MATCH(G625,'Fault Master'!$A$5:$A$104,0)),"")</f>
        <v/>
      </c>
      <c r="M625" s="14" t="str">
        <f aca="false">IFERROR(INDEX('Fault Master'!$D$5:$D$104,MATCH(G625,'Fault Master'!$A$5:$A$104,0)),"")</f>
        <v/>
      </c>
    </row>
    <row r="626" customFormat="false" ht="15" hidden="false" customHeight="true" outlineLevel="0" collapsed="false">
      <c r="A626" s="1" t="n">
        <v>621</v>
      </c>
      <c r="B626" s="13"/>
      <c r="F626" s="14" t="str">
        <f aca="false">IFERROR(INDEX('Operator Master'!$B$5:$B$504,MATCH(E626,'Operator Master'!$A$5:$A$504,0)),"")</f>
        <v/>
      </c>
      <c r="H626" s="14" t="str">
        <f aca="false">IFERROR(INDEX('Fault Master'!$B$5:$B$104,MATCH(G626,'Fault Master'!$A$5:$A$104,0)),"")</f>
        <v/>
      </c>
      <c r="I626" s="14" t="str">
        <f aca="false">IFERROR(INDEX('Fault Master'!$C$5:$C$104,MATCH(G626,'Fault Master'!$A$5:$A$104,0)),"")</f>
        <v/>
      </c>
      <c r="M626" s="14" t="str">
        <f aca="false">IFERROR(INDEX('Fault Master'!$D$5:$D$104,MATCH(G626,'Fault Master'!$A$5:$A$104,0)),"")</f>
        <v/>
      </c>
    </row>
    <row r="627" customFormat="false" ht="15" hidden="false" customHeight="true" outlineLevel="0" collapsed="false">
      <c r="A627" s="1" t="n">
        <v>622</v>
      </c>
      <c r="B627" s="13"/>
      <c r="F627" s="14" t="str">
        <f aca="false">IFERROR(INDEX('Operator Master'!$B$5:$B$504,MATCH(E627,'Operator Master'!$A$5:$A$504,0)),"")</f>
        <v/>
      </c>
      <c r="H627" s="14" t="str">
        <f aca="false">IFERROR(INDEX('Fault Master'!$B$5:$B$104,MATCH(G627,'Fault Master'!$A$5:$A$104,0)),"")</f>
        <v/>
      </c>
      <c r="I627" s="14" t="str">
        <f aca="false">IFERROR(INDEX('Fault Master'!$C$5:$C$104,MATCH(G627,'Fault Master'!$A$5:$A$104,0)),"")</f>
        <v/>
      </c>
      <c r="M627" s="14" t="str">
        <f aca="false">IFERROR(INDEX('Fault Master'!$D$5:$D$104,MATCH(G627,'Fault Master'!$A$5:$A$104,0)),"")</f>
        <v/>
      </c>
    </row>
    <row r="628" customFormat="false" ht="15" hidden="false" customHeight="true" outlineLevel="0" collapsed="false">
      <c r="A628" s="1" t="n">
        <v>623</v>
      </c>
      <c r="B628" s="13"/>
      <c r="F628" s="14" t="str">
        <f aca="false">IFERROR(INDEX('Operator Master'!$B$5:$B$504,MATCH(E628,'Operator Master'!$A$5:$A$504,0)),"")</f>
        <v/>
      </c>
      <c r="H628" s="14" t="str">
        <f aca="false">IFERROR(INDEX('Fault Master'!$B$5:$B$104,MATCH(G628,'Fault Master'!$A$5:$A$104,0)),"")</f>
        <v/>
      </c>
      <c r="I628" s="14" t="str">
        <f aca="false">IFERROR(INDEX('Fault Master'!$C$5:$C$104,MATCH(G628,'Fault Master'!$A$5:$A$104,0)),"")</f>
        <v/>
      </c>
      <c r="M628" s="14" t="str">
        <f aca="false">IFERROR(INDEX('Fault Master'!$D$5:$D$104,MATCH(G628,'Fault Master'!$A$5:$A$104,0)),"")</f>
        <v/>
      </c>
    </row>
    <row r="629" customFormat="false" ht="15" hidden="false" customHeight="true" outlineLevel="0" collapsed="false">
      <c r="A629" s="1" t="n">
        <v>624</v>
      </c>
      <c r="B629" s="13"/>
      <c r="F629" s="14" t="str">
        <f aca="false">IFERROR(INDEX('Operator Master'!$B$5:$B$504,MATCH(E629,'Operator Master'!$A$5:$A$504,0)),"")</f>
        <v/>
      </c>
      <c r="H629" s="14" t="str">
        <f aca="false">IFERROR(INDEX('Fault Master'!$B$5:$B$104,MATCH(G629,'Fault Master'!$A$5:$A$104,0)),"")</f>
        <v/>
      </c>
      <c r="I629" s="14" t="str">
        <f aca="false">IFERROR(INDEX('Fault Master'!$C$5:$C$104,MATCH(G629,'Fault Master'!$A$5:$A$104,0)),"")</f>
        <v/>
      </c>
      <c r="M629" s="14" t="str">
        <f aca="false">IFERROR(INDEX('Fault Master'!$D$5:$D$104,MATCH(G629,'Fault Master'!$A$5:$A$104,0)),"")</f>
        <v/>
      </c>
    </row>
    <row r="630" customFormat="false" ht="15" hidden="false" customHeight="true" outlineLevel="0" collapsed="false">
      <c r="A630" s="1" t="n">
        <v>625</v>
      </c>
      <c r="B630" s="13"/>
      <c r="F630" s="14" t="str">
        <f aca="false">IFERROR(INDEX('Operator Master'!$B$5:$B$504,MATCH(E630,'Operator Master'!$A$5:$A$504,0)),"")</f>
        <v/>
      </c>
      <c r="H630" s="14" t="str">
        <f aca="false">IFERROR(INDEX('Fault Master'!$B$5:$B$104,MATCH(G630,'Fault Master'!$A$5:$A$104,0)),"")</f>
        <v/>
      </c>
      <c r="I630" s="14" t="str">
        <f aca="false">IFERROR(INDEX('Fault Master'!$C$5:$C$104,MATCH(G630,'Fault Master'!$A$5:$A$104,0)),"")</f>
        <v/>
      </c>
      <c r="M630" s="14" t="str">
        <f aca="false">IFERROR(INDEX('Fault Master'!$D$5:$D$104,MATCH(G630,'Fault Master'!$A$5:$A$104,0)),"")</f>
        <v/>
      </c>
    </row>
    <row r="631" customFormat="false" ht="15" hidden="false" customHeight="true" outlineLevel="0" collapsed="false">
      <c r="A631" s="1" t="n">
        <v>626</v>
      </c>
      <c r="B631" s="13"/>
      <c r="F631" s="14" t="str">
        <f aca="false">IFERROR(INDEX('Operator Master'!$B$5:$B$504,MATCH(E631,'Operator Master'!$A$5:$A$504,0)),"")</f>
        <v/>
      </c>
      <c r="H631" s="14" t="str">
        <f aca="false">IFERROR(INDEX('Fault Master'!$B$5:$B$104,MATCH(G631,'Fault Master'!$A$5:$A$104,0)),"")</f>
        <v/>
      </c>
      <c r="I631" s="14" t="str">
        <f aca="false">IFERROR(INDEX('Fault Master'!$C$5:$C$104,MATCH(G631,'Fault Master'!$A$5:$A$104,0)),"")</f>
        <v/>
      </c>
      <c r="M631" s="14" t="str">
        <f aca="false">IFERROR(INDEX('Fault Master'!$D$5:$D$104,MATCH(G631,'Fault Master'!$A$5:$A$104,0)),"")</f>
        <v/>
      </c>
    </row>
    <row r="632" customFormat="false" ht="15" hidden="false" customHeight="true" outlineLevel="0" collapsed="false">
      <c r="A632" s="1" t="n">
        <v>627</v>
      </c>
      <c r="B632" s="13"/>
      <c r="F632" s="14" t="str">
        <f aca="false">IFERROR(INDEX('Operator Master'!$B$5:$B$504,MATCH(E632,'Operator Master'!$A$5:$A$504,0)),"")</f>
        <v/>
      </c>
      <c r="H632" s="14" t="str">
        <f aca="false">IFERROR(INDEX('Fault Master'!$B$5:$B$104,MATCH(G632,'Fault Master'!$A$5:$A$104,0)),"")</f>
        <v/>
      </c>
      <c r="I632" s="14" t="str">
        <f aca="false">IFERROR(INDEX('Fault Master'!$C$5:$C$104,MATCH(G632,'Fault Master'!$A$5:$A$104,0)),"")</f>
        <v/>
      </c>
      <c r="M632" s="14" t="str">
        <f aca="false">IFERROR(INDEX('Fault Master'!$D$5:$D$104,MATCH(G632,'Fault Master'!$A$5:$A$104,0)),"")</f>
        <v/>
      </c>
    </row>
    <row r="633" customFormat="false" ht="15" hidden="false" customHeight="true" outlineLevel="0" collapsed="false">
      <c r="A633" s="1" t="n">
        <v>628</v>
      </c>
      <c r="B633" s="13"/>
      <c r="F633" s="14" t="str">
        <f aca="false">IFERROR(INDEX('Operator Master'!$B$5:$B$504,MATCH(E633,'Operator Master'!$A$5:$A$504,0)),"")</f>
        <v/>
      </c>
      <c r="H633" s="14" t="str">
        <f aca="false">IFERROR(INDEX('Fault Master'!$B$5:$B$104,MATCH(G633,'Fault Master'!$A$5:$A$104,0)),"")</f>
        <v/>
      </c>
      <c r="I633" s="14" t="str">
        <f aca="false">IFERROR(INDEX('Fault Master'!$C$5:$C$104,MATCH(G633,'Fault Master'!$A$5:$A$104,0)),"")</f>
        <v/>
      </c>
      <c r="M633" s="14" t="str">
        <f aca="false">IFERROR(INDEX('Fault Master'!$D$5:$D$104,MATCH(G633,'Fault Master'!$A$5:$A$104,0)),"")</f>
        <v/>
      </c>
    </row>
    <row r="634" customFormat="false" ht="15" hidden="false" customHeight="true" outlineLevel="0" collapsed="false">
      <c r="A634" s="1" t="n">
        <v>629</v>
      </c>
      <c r="B634" s="13"/>
      <c r="F634" s="14" t="str">
        <f aca="false">IFERROR(INDEX('Operator Master'!$B$5:$B$504,MATCH(E634,'Operator Master'!$A$5:$A$504,0)),"")</f>
        <v/>
      </c>
      <c r="H634" s="14" t="str">
        <f aca="false">IFERROR(INDEX('Fault Master'!$B$5:$B$104,MATCH(G634,'Fault Master'!$A$5:$A$104,0)),"")</f>
        <v/>
      </c>
      <c r="I634" s="14" t="str">
        <f aca="false">IFERROR(INDEX('Fault Master'!$C$5:$C$104,MATCH(G634,'Fault Master'!$A$5:$A$104,0)),"")</f>
        <v/>
      </c>
      <c r="M634" s="14" t="str">
        <f aca="false">IFERROR(INDEX('Fault Master'!$D$5:$D$104,MATCH(G634,'Fault Master'!$A$5:$A$104,0)),"")</f>
        <v/>
      </c>
    </row>
    <row r="635" customFormat="false" ht="15" hidden="false" customHeight="true" outlineLevel="0" collapsed="false">
      <c r="A635" s="1" t="n">
        <v>630</v>
      </c>
      <c r="B635" s="13"/>
      <c r="F635" s="14" t="str">
        <f aca="false">IFERROR(INDEX('Operator Master'!$B$5:$B$504,MATCH(E635,'Operator Master'!$A$5:$A$504,0)),"")</f>
        <v/>
      </c>
      <c r="H635" s="14" t="str">
        <f aca="false">IFERROR(INDEX('Fault Master'!$B$5:$B$104,MATCH(G635,'Fault Master'!$A$5:$A$104,0)),"")</f>
        <v/>
      </c>
      <c r="I635" s="14" t="str">
        <f aca="false">IFERROR(INDEX('Fault Master'!$C$5:$C$104,MATCH(G635,'Fault Master'!$A$5:$A$104,0)),"")</f>
        <v/>
      </c>
      <c r="M635" s="14" t="str">
        <f aca="false">IFERROR(INDEX('Fault Master'!$D$5:$D$104,MATCH(G635,'Fault Master'!$A$5:$A$104,0)),"")</f>
        <v/>
      </c>
    </row>
    <row r="636" customFormat="false" ht="15" hidden="false" customHeight="true" outlineLevel="0" collapsed="false">
      <c r="A636" s="1" t="n">
        <v>631</v>
      </c>
      <c r="B636" s="13"/>
      <c r="F636" s="14" t="str">
        <f aca="false">IFERROR(INDEX('Operator Master'!$B$5:$B$504,MATCH(E636,'Operator Master'!$A$5:$A$504,0)),"")</f>
        <v/>
      </c>
      <c r="H636" s="14" t="str">
        <f aca="false">IFERROR(INDEX('Fault Master'!$B$5:$B$104,MATCH(G636,'Fault Master'!$A$5:$A$104,0)),"")</f>
        <v/>
      </c>
      <c r="I636" s="14" t="str">
        <f aca="false">IFERROR(INDEX('Fault Master'!$C$5:$C$104,MATCH(G636,'Fault Master'!$A$5:$A$104,0)),"")</f>
        <v/>
      </c>
      <c r="M636" s="14" t="str">
        <f aca="false">IFERROR(INDEX('Fault Master'!$D$5:$D$104,MATCH(G636,'Fault Master'!$A$5:$A$104,0)),"")</f>
        <v/>
      </c>
    </row>
    <row r="637" customFormat="false" ht="15" hidden="false" customHeight="true" outlineLevel="0" collapsed="false">
      <c r="A637" s="1" t="n">
        <v>632</v>
      </c>
      <c r="B637" s="13"/>
      <c r="F637" s="14" t="str">
        <f aca="false">IFERROR(INDEX('Operator Master'!$B$5:$B$504,MATCH(E637,'Operator Master'!$A$5:$A$504,0)),"")</f>
        <v/>
      </c>
      <c r="H637" s="14" t="str">
        <f aca="false">IFERROR(INDEX('Fault Master'!$B$5:$B$104,MATCH(G637,'Fault Master'!$A$5:$A$104,0)),"")</f>
        <v/>
      </c>
      <c r="I637" s="14" t="str">
        <f aca="false">IFERROR(INDEX('Fault Master'!$C$5:$C$104,MATCH(G637,'Fault Master'!$A$5:$A$104,0)),"")</f>
        <v/>
      </c>
      <c r="M637" s="14" t="str">
        <f aca="false">IFERROR(INDEX('Fault Master'!$D$5:$D$104,MATCH(G637,'Fault Master'!$A$5:$A$104,0)),"")</f>
        <v/>
      </c>
    </row>
    <row r="638" customFormat="false" ht="15" hidden="false" customHeight="true" outlineLevel="0" collapsed="false">
      <c r="A638" s="1" t="n">
        <v>633</v>
      </c>
      <c r="B638" s="13"/>
      <c r="F638" s="14" t="str">
        <f aca="false">IFERROR(INDEX('Operator Master'!$B$5:$B$504,MATCH(E638,'Operator Master'!$A$5:$A$504,0)),"")</f>
        <v/>
      </c>
      <c r="H638" s="14" t="str">
        <f aca="false">IFERROR(INDEX('Fault Master'!$B$5:$B$104,MATCH(G638,'Fault Master'!$A$5:$A$104,0)),"")</f>
        <v/>
      </c>
      <c r="I638" s="14" t="str">
        <f aca="false">IFERROR(INDEX('Fault Master'!$C$5:$C$104,MATCH(G638,'Fault Master'!$A$5:$A$104,0)),"")</f>
        <v/>
      </c>
      <c r="M638" s="14" t="str">
        <f aca="false">IFERROR(INDEX('Fault Master'!$D$5:$D$104,MATCH(G638,'Fault Master'!$A$5:$A$104,0)),"")</f>
        <v/>
      </c>
    </row>
    <row r="639" customFormat="false" ht="15" hidden="false" customHeight="true" outlineLevel="0" collapsed="false">
      <c r="A639" s="1" t="n">
        <v>634</v>
      </c>
      <c r="B639" s="13"/>
      <c r="F639" s="14" t="str">
        <f aca="false">IFERROR(INDEX('Operator Master'!$B$5:$B$504,MATCH(E639,'Operator Master'!$A$5:$A$504,0)),"")</f>
        <v/>
      </c>
      <c r="H639" s="14" t="str">
        <f aca="false">IFERROR(INDEX('Fault Master'!$B$5:$B$104,MATCH(G639,'Fault Master'!$A$5:$A$104,0)),"")</f>
        <v/>
      </c>
      <c r="I639" s="14" t="str">
        <f aca="false">IFERROR(INDEX('Fault Master'!$C$5:$C$104,MATCH(G639,'Fault Master'!$A$5:$A$104,0)),"")</f>
        <v/>
      </c>
      <c r="M639" s="14" t="str">
        <f aca="false">IFERROR(INDEX('Fault Master'!$D$5:$D$104,MATCH(G639,'Fault Master'!$A$5:$A$104,0)),"")</f>
        <v/>
      </c>
    </row>
    <row r="640" customFormat="false" ht="15" hidden="false" customHeight="true" outlineLevel="0" collapsed="false">
      <c r="A640" s="1" t="n">
        <v>635</v>
      </c>
      <c r="B640" s="13"/>
      <c r="F640" s="14" t="str">
        <f aca="false">IFERROR(INDEX('Operator Master'!$B$5:$B$504,MATCH(E640,'Operator Master'!$A$5:$A$504,0)),"")</f>
        <v/>
      </c>
      <c r="H640" s="14" t="str">
        <f aca="false">IFERROR(INDEX('Fault Master'!$B$5:$B$104,MATCH(G640,'Fault Master'!$A$5:$A$104,0)),"")</f>
        <v/>
      </c>
      <c r="I640" s="14" t="str">
        <f aca="false">IFERROR(INDEX('Fault Master'!$C$5:$C$104,MATCH(G640,'Fault Master'!$A$5:$A$104,0)),"")</f>
        <v/>
      </c>
      <c r="M640" s="14" t="str">
        <f aca="false">IFERROR(INDEX('Fault Master'!$D$5:$D$104,MATCH(G640,'Fault Master'!$A$5:$A$104,0)),"")</f>
        <v/>
      </c>
    </row>
    <row r="641" customFormat="false" ht="15" hidden="false" customHeight="true" outlineLevel="0" collapsed="false">
      <c r="A641" s="1" t="n">
        <v>636</v>
      </c>
      <c r="B641" s="13"/>
      <c r="F641" s="14" t="str">
        <f aca="false">IFERROR(INDEX('Operator Master'!$B$5:$B$504,MATCH(E641,'Operator Master'!$A$5:$A$504,0)),"")</f>
        <v/>
      </c>
      <c r="H641" s="14" t="str">
        <f aca="false">IFERROR(INDEX('Fault Master'!$B$5:$B$104,MATCH(G641,'Fault Master'!$A$5:$A$104,0)),"")</f>
        <v/>
      </c>
      <c r="I641" s="14" t="str">
        <f aca="false">IFERROR(INDEX('Fault Master'!$C$5:$C$104,MATCH(G641,'Fault Master'!$A$5:$A$104,0)),"")</f>
        <v/>
      </c>
      <c r="M641" s="14" t="str">
        <f aca="false">IFERROR(INDEX('Fault Master'!$D$5:$D$104,MATCH(G641,'Fault Master'!$A$5:$A$104,0)),"")</f>
        <v/>
      </c>
    </row>
    <row r="642" customFormat="false" ht="15" hidden="false" customHeight="true" outlineLevel="0" collapsed="false">
      <c r="A642" s="1" t="n">
        <v>637</v>
      </c>
      <c r="B642" s="13"/>
      <c r="F642" s="14" t="str">
        <f aca="false">IFERROR(INDEX('Operator Master'!$B$5:$B$504,MATCH(E642,'Operator Master'!$A$5:$A$504,0)),"")</f>
        <v/>
      </c>
      <c r="H642" s="14" t="str">
        <f aca="false">IFERROR(INDEX('Fault Master'!$B$5:$B$104,MATCH(G642,'Fault Master'!$A$5:$A$104,0)),"")</f>
        <v/>
      </c>
      <c r="I642" s="14" t="str">
        <f aca="false">IFERROR(INDEX('Fault Master'!$C$5:$C$104,MATCH(G642,'Fault Master'!$A$5:$A$104,0)),"")</f>
        <v/>
      </c>
      <c r="M642" s="14" t="str">
        <f aca="false">IFERROR(INDEX('Fault Master'!$D$5:$D$104,MATCH(G642,'Fault Master'!$A$5:$A$104,0)),"")</f>
        <v/>
      </c>
    </row>
    <row r="643" customFormat="false" ht="15" hidden="false" customHeight="true" outlineLevel="0" collapsed="false">
      <c r="A643" s="1" t="n">
        <v>638</v>
      </c>
      <c r="B643" s="13"/>
      <c r="F643" s="14" t="str">
        <f aca="false">IFERROR(INDEX('Operator Master'!$B$5:$B$504,MATCH(E643,'Operator Master'!$A$5:$A$504,0)),"")</f>
        <v/>
      </c>
      <c r="H643" s="14" t="str">
        <f aca="false">IFERROR(INDEX('Fault Master'!$B$5:$B$104,MATCH(G643,'Fault Master'!$A$5:$A$104,0)),"")</f>
        <v/>
      </c>
      <c r="I643" s="14" t="str">
        <f aca="false">IFERROR(INDEX('Fault Master'!$C$5:$C$104,MATCH(G643,'Fault Master'!$A$5:$A$104,0)),"")</f>
        <v/>
      </c>
      <c r="M643" s="14" t="str">
        <f aca="false">IFERROR(INDEX('Fault Master'!$D$5:$D$104,MATCH(G643,'Fault Master'!$A$5:$A$104,0)),"")</f>
        <v/>
      </c>
    </row>
    <row r="644" customFormat="false" ht="15" hidden="false" customHeight="true" outlineLevel="0" collapsed="false">
      <c r="A644" s="1" t="n">
        <v>639</v>
      </c>
      <c r="B644" s="13"/>
      <c r="F644" s="14" t="str">
        <f aca="false">IFERROR(INDEX('Operator Master'!$B$5:$B$504,MATCH(E644,'Operator Master'!$A$5:$A$504,0)),"")</f>
        <v/>
      </c>
      <c r="H644" s="14" t="str">
        <f aca="false">IFERROR(INDEX('Fault Master'!$B$5:$B$104,MATCH(G644,'Fault Master'!$A$5:$A$104,0)),"")</f>
        <v/>
      </c>
      <c r="I644" s="14" t="str">
        <f aca="false">IFERROR(INDEX('Fault Master'!$C$5:$C$104,MATCH(G644,'Fault Master'!$A$5:$A$104,0)),"")</f>
        <v/>
      </c>
      <c r="M644" s="14" t="str">
        <f aca="false">IFERROR(INDEX('Fault Master'!$D$5:$D$104,MATCH(G644,'Fault Master'!$A$5:$A$104,0)),"")</f>
        <v/>
      </c>
    </row>
    <row r="645" customFormat="false" ht="15" hidden="false" customHeight="true" outlineLevel="0" collapsed="false">
      <c r="A645" s="1" t="n">
        <v>640</v>
      </c>
      <c r="B645" s="13"/>
      <c r="F645" s="14" t="str">
        <f aca="false">IFERROR(INDEX('Operator Master'!$B$5:$B$504,MATCH(E645,'Operator Master'!$A$5:$A$504,0)),"")</f>
        <v/>
      </c>
      <c r="H645" s="14" t="str">
        <f aca="false">IFERROR(INDEX('Fault Master'!$B$5:$B$104,MATCH(G645,'Fault Master'!$A$5:$A$104,0)),"")</f>
        <v/>
      </c>
      <c r="I645" s="14" t="str">
        <f aca="false">IFERROR(INDEX('Fault Master'!$C$5:$C$104,MATCH(G645,'Fault Master'!$A$5:$A$104,0)),"")</f>
        <v/>
      </c>
      <c r="M645" s="14" t="str">
        <f aca="false">IFERROR(INDEX('Fault Master'!$D$5:$D$104,MATCH(G645,'Fault Master'!$A$5:$A$104,0)),"")</f>
        <v/>
      </c>
    </row>
    <row r="646" customFormat="false" ht="15" hidden="false" customHeight="true" outlineLevel="0" collapsed="false">
      <c r="A646" s="1" t="n">
        <v>641</v>
      </c>
      <c r="B646" s="13"/>
      <c r="F646" s="14" t="str">
        <f aca="false">IFERROR(INDEX('Operator Master'!$B$5:$B$504,MATCH(E646,'Operator Master'!$A$5:$A$504,0)),"")</f>
        <v/>
      </c>
      <c r="H646" s="14" t="str">
        <f aca="false">IFERROR(INDEX('Fault Master'!$B$5:$B$104,MATCH(G646,'Fault Master'!$A$5:$A$104,0)),"")</f>
        <v/>
      </c>
      <c r="I646" s="14" t="str">
        <f aca="false">IFERROR(INDEX('Fault Master'!$C$5:$C$104,MATCH(G646,'Fault Master'!$A$5:$A$104,0)),"")</f>
        <v/>
      </c>
      <c r="M646" s="14" t="str">
        <f aca="false">IFERROR(INDEX('Fault Master'!$D$5:$D$104,MATCH(G646,'Fault Master'!$A$5:$A$104,0)),"")</f>
        <v/>
      </c>
    </row>
    <row r="647" customFormat="false" ht="15" hidden="false" customHeight="true" outlineLevel="0" collapsed="false">
      <c r="A647" s="1" t="n">
        <v>642</v>
      </c>
      <c r="B647" s="13"/>
      <c r="F647" s="14" t="str">
        <f aca="false">IFERROR(INDEX('Operator Master'!$B$5:$B$504,MATCH(E647,'Operator Master'!$A$5:$A$504,0)),"")</f>
        <v/>
      </c>
      <c r="H647" s="14" t="str">
        <f aca="false">IFERROR(INDEX('Fault Master'!$B$5:$B$104,MATCH(G647,'Fault Master'!$A$5:$A$104,0)),"")</f>
        <v/>
      </c>
      <c r="I647" s="14" t="str">
        <f aca="false">IFERROR(INDEX('Fault Master'!$C$5:$C$104,MATCH(G647,'Fault Master'!$A$5:$A$104,0)),"")</f>
        <v/>
      </c>
      <c r="M647" s="14" t="str">
        <f aca="false">IFERROR(INDEX('Fault Master'!$D$5:$D$104,MATCH(G647,'Fault Master'!$A$5:$A$104,0)),"")</f>
        <v/>
      </c>
    </row>
    <row r="648" customFormat="false" ht="15" hidden="false" customHeight="true" outlineLevel="0" collapsed="false">
      <c r="A648" s="1" t="n">
        <v>643</v>
      </c>
      <c r="B648" s="13"/>
      <c r="F648" s="14" t="str">
        <f aca="false">IFERROR(INDEX('Operator Master'!$B$5:$B$504,MATCH(E648,'Operator Master'!$A$5:$A$504,0)),"")</f>
        <v/>
      </c>
      <c r="H648" s="14" t="str">
        <f aca="false">IFERROR(INDEX('Fault Master'!$B$5:$B$104,MATCH(G648,'Fault Master'!$A$5:$A$104,0)),"")</f>
        <v/>
      </c>
      <c r="I648" s="14" t="str">
        <f aca="false">IFERROR(INDEX('Fault Master'!$C$5:$C$104,MATCH(G648,'Fault Master'!$A$5:$A$104,0)),"")</f>
        <v/>
      </c>
      <c r="M648" s="14" t="str">
        <f aca="false">IFERROR(INDEX('Fault Master'!$D$5:$D$104,MATCH(G648,'Fault Master'!$A$5:$A$104,0)),"")</f>
        <v/>
      </c>
    </row>
    <row r="649" customFormat="false" ht="15" hidden="false" customHeight="true" outlineLevel="0" collapsed="false">
      <c r="A649" s="1" t="n">
        <v>644</v>
      </c>
      <c r="B649" s="13"/>
      <c r="F649" s="14" t="str">
        <f aca="false">IFERROR(INDEX('Operator Master'!$B$5:$B$504,MATCH(E649,'Operator Master'!$A$5:$A$504,0)),"")</f>
        <v/>
      </c>
      <c r="H649" s="14" t="str">
        <f aca="false">IFERROR(INDEX('Fault Master'!$B$5:$B$104,MATCH(G649,'Fault Master'!$A$5:$A$104,0)),"")</f>
        <v/>
      </c>
      <c r="I649" s="14" t="str">
        <f aca="false">IFERROR(INDEX('Fault Master'!$C$5:$C$104,MATCH(G649,'Fault Master'!$A$5:$A$104,0)),"")</f>
        <v/>
      </c>
      <c r="M649" s="14" t="str">
        <f aca="false">IFERROR(INDEX('Fault Master'!$D$5:$D$104,MATCH(G649,'Fault Master'!$A$5:$A$104,0)),"")</f>
        <v/>
      </c>
    </row>
    <row r="650" customFormat="false" ht="15" hidden="false" customHeight="true" outlineLevel="0" collapsed="false">
      <c r="A650" s="1" t="n">
        <v>645</v>
      </c>
      <c r="B650" s="13"/>
      <c r="F650" s="14" t="str">
        <f aca="false">IFERROR(INDEX('Operator Master'!$B$5:$B$504,MATCH(E650,'Operator Master'!$A$5:$A$504,0)),"")</f>
        <v/>
      </c>
      <c r="H650" s="14" t="str">
        <f aca="false">IFERROR(INDEX('Fault Master'!$B$5:$B$104,MATCH(G650,'Fault Master'!$A$5:$A$104,0)),"")</f>
        <v/>
      </c>
      <c r="I650" s="14" t="str">
        <f aca="false">IFERROR(INDEX('Fault Master'!$C$5:$C$104,MATCH(G650,'Fault Master'!$A$5:$A$104,0)),"")</f>
        <v/>
      </c>
      <c r="M650" s="14" t="str">
        <f aca="false">IFERROR(INDEX('Fault Master'!$D$5:$D$104,MATCH(G650,'Fault Master'!$A$5:$A$104,0)),"")</f>
        <v/>
      </c>
    </row>
    <row r="651" customFormat="false" ht="15" hidden="false" customHeight="true" outlineLevel="0" collapsed="false">
      <c r="A651" s="1" t="n">
        <v>646</v>
      </c>
      <c r="B651" s="13"/>
      <c r="F651" s="14" t="str">
        <f aca="false">IFERROR(INDEX('Operator Master'!$B$5:$B$504,MATCH(E651,'Operator Master'!$A$5:$A$504,0)),"")</f>
        <v/>
      </c>
      <c r="H651" s="14" t="str">
        <f aca="false">IFERROR(INDEX('Fault Master'!$B$5:$B$104,MATCH(G651,'Fault Master'!$A$5:$A$104,0)),"")</f>
        <v/>
      </c>
      <c r="I651" s="14" t="str">
        <f aca="false">IFERROR(INDEX('Fault Master'!$C$5:$C$104,MATCH(G651,'Fault Master'!$A$5:$A$104,0)),"")</f>
        <v/>
      </c>
      <c r="M651" s="14" t="str">
        <f aca="false">IFERROR(INDEX('Fault Master'!$D$5:$D$104,MATCH(G651,'Fault Master'!$A$5:$A$104,0)),"")</f>
        <v/>
      </c>
    </row>
    <row r="652" customFormat="false" ht="15" hidden="false" customHeight="true" outlineLevel="0" collapsed="false">
      <c r="A652" s="1" t="n">
        <v>647</v>
      </c>
      <c r="B652" s="13"/>
      <c r="F652" s="14" t="str">
        <f aca="false">IFERROR(INDEX('Operator Master'!$B$5:$B$504,MATCH(E652,'Operator Master'!$A$5:$A$504,0)),"")</f>
        <v/>
      </c>
      <c r="H652" s="14" t="str">
        <f aca="false">IFERROR(INDEX('Fault Master'!$B$5:$B$104,MATCH(G652,'Fault Master'!$A$5:$A$104,0)),"")</f>
        <v/>
      </c>
      <c r="I652" s="14" t="str">
        <f aca="false">IFERROR(INDEX('Fault Master'!$C$5:$C$104,MATCH(G652,'Fault Master'!$A$5:$A$104,0)),"")</f>
        <v/>
      </c>
      <c r="M652" s="14" t="str">
        <f aca="false">IFERROR(INDEX('Fault Master'!$D$5:$D$104,MATCH(G652,'Fault Master'!$A$5:$A$104,0)),"")</f>
        <v/>
      </c>
    </row>
    <row r="653" customFormat="false" ht="15" hidden="false" customHeight="true" outlineLevel="0" collapsed="false">
      <c r="A653" s="1" t="n">
        <v>648</v>
      </c>
      <c r="B653" s="13"/>
      <c r="F653" s="14" t="str">
        <f aca="false">IFERROR(INDEX('Operator Master'!$B$5:$B$504,MATCH(E653,'Operator Master'!$A$5:$A$504,0)),"")</f>
        <v/>
      </c>
      <c r="H653" s="14" t="str">
        <f aca="false">IFERROR(INDEX('Fault Master'!$B$5:$B$104,MATCH(G653,'Fault Master'!$A$5:$A$104,0)),"")</f>
        <v/>
      </c>
      <c r="I653" s="14" t="str">
        <f aca="false">IFERROR(INDEX('Fault Master'!$C$5:$C$104,MATCH(G653,'Fault Master'!$A$5:$A$104,0)),"")</f>
        <v/>
      </c>
      <c r="M653" s="14" t="str">
        <f aca="false">IFERROR(INDEX('Fault Master'!$D$5:$D$104,MATCH(G653,'Fault Master'!$A$5:$A$104,0)),"")</f>
        <v/>
      </c>
    </row>
    <row r="654" customFormat="false" ht="15" hidden="false" customHeight="true" outlineLevel="0" collapsed="false">
      <c r="A654" s="1" t="n">
        <v>649</v>
      </c>
      <c r="B654" s="13"/>
      <c r="F654" s="14" t="str">
        <f aca="false">IFERROR(INDEX('Operator Master'!$B$5:$B$504,MATCH(E654,'Operator Master'!$A$5:$A$504,0)),"")</f>
        <v/>
      </c>
      <c r="H654" s="14" t="str">
        <f aca="false">IFERROR(INDEX('Fault Master'!$B$5:$B$104,MATCH(G654,'Fault Master'!$A$5:$A$104,0)),"")</f>
        <v/>
      </c>
      <c r="I654" s="14" t="str">
        <f aca="false">IFERROR(INDEX('Fault Master'!$C$5:$C$104,MATCH(G654,'Fault Master'!$A$5:$A$104,0)),"")</f>
        <v/>
      </c>
      <c r="M654" s="14" t="str">
        <f aca="false">IFERROR(INDEX('Fault Master'!$D$5:$D$104,MATCH(G654,'Fault Master'!$A$5:$A$104,0)),"")</f>
        <v/>
      </c>
    </row>
    <row r="655" customFormat="false" ht="15" hidden="false" customHeight="true" outlineLevel="0" collapsed="false">
      <c r="A655" s="1" t="n">
        <v>650</v>
      </c>
      <c r="B655" s="13"/>
      <c r="F655" s="14" t="str">
        <f aca="false">IFERROR(INDEX('Operator Master'!$B$5:$B$504,MATCH(E655,'Operator Master'!$A$5:$A$504,0)),"")</f>
        <v/>
      </c>
      <c r="H655" s="14" t="str">
        <f aca="false">IFERROR(INDEX('Fault Master'!$B$5:$B$104,MATCH(G655,'Fault Master'!$A$5:$A$104,0)),"")</f>
        <v/>
      </c>
      <c r="I655" s="14" t="str">
        <f aca="false">IFERROR(INDEX('Fault Master'!$C$5:$C$104,MATCH(G655,'Fault Master'!$A$5:$A$104,0)),"")</f>
        <v/>
      </c>
      <c r="M655" s="14" t="str">
        <f aca="false">IFERROR(INDEX('Fault Master'!$D$5:$D$104,MATCH(G655,'Fault Master'!$A$5:$A$104,0)),"")</f>
        <v/>
      </c>
    </row>
    <row r="656" customFormat="false" ht="15" hidden="false" customHeight="true" outlineLevel="0" collapsed="false">
      <c r="A656" s="1" t="n">
        <v>651</v>
      </c>
      <c r="B656" s="13"/>
      <c r="F656" s="14" t="str">
        <f aca="false">IFERROR(INDEX('Operator Master'!$B$5:$B$504,MATCH(E656,'Operator Master'!$A$5:$A$504,0)),"")</f>
        <v/>
      </c>
      <c r="H656" s="14" t="str">
        <f aca="false">IFERROR(INDEX('Fault Master'!$B$5:$B$104,MATCH(G656,'Fault Master'!$A$5:$A$104,0)),"")</f>
        <v/>
      </c>
      <c r="I656" s="14" t="str">
        <f aca="false">IFERROR(INDEX('Fault Master'!$C$5:$C$104,MATCH(G656,'Fault Master'!$A$5:$A$104,0)),"")</f>
        <v/>
      </c>
      <c r="M656" s="14" t="str">
        <f aca="false">IFERROR(INDEX('Fault Master'!$D$5:$D$104,MATCH(G656,'Fault Master'!$A$5:$A$104,0)),"")</f>
        <v/>
      </c>
    </row>
    <row r="657" customFormat="false" ht="15" hidden="false" customHeight="true" outlineLevel="0" collapsed="false">
      <c r="A657" s="1" t="n">
        <v>652</v>
      </c>
      <c r="B657" s="13"/>
      <c r="F657" s="14" t="str">
        <f aca="false">IFERROR(INDEX('Operator Master'!$B$5:$B$504,MATCH(E657,'Operator Master'!$A$5:$A$504,0)),"")</f>
        <v/>
      </c>
      <c r="H657" s="14" t="str">
        <f aca="false">IFERROR(INDEX('Fault Master'!$B$5:$B$104,MATCH(G657,'Fault Master'!$A$5:$A$104,0)),"")</f>
        <v/>
      </c>
      <c r="I657" s="14" t="str">
        <f aca="false">IFERROR(INDEX('Fault Master'!$C$5:$C$104,MATCH(G657,'Fault Master'!$A$5:$A$104,0)),"")</f>
        <v/>
      </c>
      <c r="M657" s="14" t="str">
        <f aca="false">IFERROR(INDEX('Fault Master'!$D$5:$D$104,MATCH(G657,'Fault Master'!$A$5:$A$104,0)),"")</f>
        <v/>
      </c>
    </row>
    <row r="658" customFormat="false" ht="15" hidden="false" customHeight="true" outlineLevel="0" collapsed="false">
      <c r="A658" s="1" t="n">
        <v>653</v>
      </c>
      <c r="B658" s="13"/>
      <c r="F658" s="14" t="str">
        <f aca="false">IFERROR(INDEX('Operator Master'!$B$5:$B$504,MATCH(E658,'Operator Master'!$A$5:$A$504,0)),"")</f>
        <v/>
      </c>
      <c r="H658" s="14" t="str">
        <f aca="false">IFERROR(INDEX('Fault Master'!$B$5:$B$104,MATCH(G658,'Fault Master'!$A$5:$A$104,0)),"")</f>
        <v/>
      </c>
      <c r="I658" s="14" t="str">
        <f aca="false">IFERROR(INDEX('Fault Master'!$C$5:$C$104,MATCH(G658,'Fault Master'!$A$5:$A$104,0)),"")</f>
        <v/>
      </c>
      <c r="M658" s="14" t="str">
        <f aca="false">IFERROR(INDEX('Fault Master'!$D$5:$D$104,MATCH(G658,'Fault Master'!$A$5:$A$104,0)),"")</f>
        <v/>
      </c>
    </row>
    <row r="659" customFormat="false" ht="15" hidden="false" customHeight="true" outlineLevel="0" collapsed="false">
      <c r="A659" s="1" t="n">
        <v>654</v>
      </c>
      <c r="B659" s="13"/>
      <c r="F659" s="14" t="str">
        <f aca="false">IFERROR(INDEX('Operator Master'!$B$5:$B$504,MATCH(E659,'Operator Master'!$A$5:$A$504,0)),"")</f>
        <v/>
      </c>
      <c r="H659" s="14" t="str">
        <f aca="false">IFERROR(INDEX('Fault Master'!$B$5:$B$104,MATCH(G659,'Fault Master'!$A$5:$A$104,0)),"")</f>
        <v/>
      </c>
      <c r="I659" s="14" t="str">
        <f aca="false">IFERROR(INDEX('Fault Master'!$C$5:$C$104,MATCH(G659,'Fault Master'!$A$5:$A$104,0)),"")</f>
        <v/>
      </c>
      <c r="M659" s="14" t="str">
        <f aca="false">IFERROR(INDEX('Fault Master'!$D$5:$D$104,MATCH(G659,'Fault Master'!$A$5:$A$104,0)),"")</f>
        <v/>
      </c>
    </row>
    <row r="660" customFormat="false" ht="15" hidden="false" customHeight="true" outlineLevel="0" collapsed="false">
      <c r="A660" s="1" t="n">
        <v>655</v>
      </c>
      <c r="B660" s="13"/>
      <c r="F660" s="14" t="str">
        <f aca="false">IFERROR(INDEX('Operator Master'!$B$5:$B$504,MATCH(E660,'Operator Master'!$A$5:$A$504,0)),"")</f>
        <v/>
      </c>
      <c r="H660" s="14" t="str">
        <f aca="false">IFERROR(INDEX('Fault Master'!$B$5:$B$104,MATCH(G660,'Fault Master'!$A$5:$A$104,0)),"")</f>
        <v/>
      </c>
      <c r="I660" s="14" t="str">
        <f aca="false">IFERROR(INDEX('Fault Master'!$C$5:$C$104,MATCH(G660,'Fault Master'!$A$5:$A$104,0)),"")</f>
        <v/>
      </c>
      <c r="M660" s="14" t="str">
        <f aca="false">IFERROR(INDEX('Fault Master'!$D$5:$D$104,MATCH(G660,'Fault Master'!$A$5:$A$104,0)),"")</f>
        <v/>
      </c>
    </row>
    <row r="661" customFormat="false" ht="15" hidden="false" customHeight="true" outlineLevel="0" collapsed="false">
      <c r="A661" s="1" t="n">
        <v>656</v>
      </c>
      <c r="B661" s="13"/>
      <c r="F661" s="14" t="str">
        <f aca="false">IFERROR(INDEX('Operator Master'!$B$5:$B$504,MATCH(E661,'Operator Master'!$A$5:$A$504,0)),"")</f>
        <v/>
      </c>
      <c r="H661" s="14" t="str">
        <f aca="false">IFERROR(INDEX('Fault Master'!$B$5:$B$104,MATCH(G661,'Fault Master'!$A$5:$A$104,0)),"")</f>
        <v/>
      </c>
      <c r="I661" s="14" t="str">
        <f aca="false">IFERROR(INDEX('Fault Master'!$C$5:$C$104,MATCH(G661,'Fault Master'!$A$5:$A$104,0)),"")</f>
        <v/>
      </c>
      <c r="M661" s="14" t="str">
        <f aca="false">IFERROR(INDEX('Fault Master'!$D$5:$D$104,MATCH(G661,'Fault Master'!$A$5:$A$104,0)),"")</f>
        <v/>
      </c>
    </row>
    <row r="662" customFormat="false" ht="15" hidden="false" customHeight="true" outlineLevel="0" collapsed="false">
      <c r="A662" s="1" t="n">
        <v>657</v>
      </c>
      <c r="B662" s="13"/>
      <c r="F662" s="14" t="str">
        <f aca="false">IFERROR(INDEX('Operator Master'!$B$5:$B$504,MATCH(E662,'Operator Master'!$A$5:$A$504,0)),"")</f>
        <v/>
      </c>
      <c r="H662" s="14" t="str">
        <f aca="false">IFERROR(INDEX('Fault Master'!$B$5:$B$104,MATCH(G662,'Fault Master'!$A$5:$A$104,0)),"")</f>
        <v/>
      </c>
      <c r="I662" s="14" t="str">
        <f aca="false">IFERROR(INDEX('Fault Master'!$C$5:$C$104,MATCH(G662,'Fault Master'!$A$5:$A$104,0)),"")</f>
        <v/>
      </c>
      <c r="M662" s="14" t="str">
        <f aca="false">IFERROR(INDEX('Fault Master'!$D$5:$D$104,MATCH(G662,'Fault Master'!$A$5:$A$104,0)),"")</f>
        <v/>
      </c>
    </row>
    <row r="663" customFormat="false" ht="15" hidden="false" customHeight="true" outlineLevel="0" collapsed="false">
      <c r="A663" s="1" t="n">
        <v>658</v>
      </c>
      <c r="B663" s="13"/>
      <c r="F663" s="14" t="str">
        <f aca="false">IFERROR(INDEX('Operator Master'!$B$5:$B$504,MATCH(E663,'Operator Master'!$A$5:$A$504,0)),"")</f>
        <v/>
      </c>
      <c r="H663" s="14" t="str">
        <f aca="false">IFERROR(INDEX('Fault Master'!$B$5:$B$104,MATCH(G663,'Fault Master'!$A$5:$A$104,0)),"")</f>
        <v/>
      </c>
      <c r="I663" s="14" t="str">
        <f aca="false">IFERROR(INDEX('Fault Master'!$C$5:$C$104,MATCH(G663,'Fault Master'!$A$5:$A$104,0)),"")</f>
        <v/>
      </c>
      <c r="M663" s="14" t="str">
        <f aca="false">IFERROR(INDEX('Fault Master'!$D$5:$D$104,MATCH(G663,'Fault Master'!$A$5:$A$104,0)),"")</f>
        <v/>
      </c>
    </row>
    <row r="664" customFormat="false" ht="15" hidden="false" customHeight="true" outlineLevel="0" collapsed="false">
      <c r="A664" s="1" t="n">
        <v>659</v>
      </c>
      <c r="B664" s="13"/>
      <c r="F664" s="14" t="str">
        <f aca="false">IFERROR(INDEX('Operator Master'!$B$5:$B$504,MATCH(E664,'Operator Master'!$A$5:$A$504,0)),"")</f>
        <v/>
      </c>
      <c r="H664" s="14" t="str">
        <f aca="false">IFERROR(INDEX('Fault Master'!$B$5:$B$104,MATCH(G664,'Fault Master'!$A$5:$A$104,0)),"")</f>
        <v/>
      </c>
      <c r="I664" s="14" t="str">
        <f aca="false">IFERROR(INDEX('Fault Master'!$C$5:$C$104,MATCH(G664,'Fault Master'!$A$5:$A$104,0)),"")</f>
        <v/>
      </c>
      <c r="M664" s="14" t="str">
        <f aca="false">IFERROR(INDEX('Fault Master'!$D$5:$D$104,MATCH(G664,'Fault Master'!$A$5:$A$104,0)),"")</f>
        <v/>
      </c>
    </row>
    <row r="665" customFormat="false" ht="15" hidden="false" customHeight="true" outlineLevel="0" collapsed="false">
      <c r="A665" s="1" t="n">
        <v>660</v>
      </c>
      <c r="B665" s="13"/>
      <c r="F665" s="14" t="str">
        <f aca="false">IFERROR(INDEX('Operator Master'!$B$5:$B$504,MATCH(E665,'Operator Master'!$A$5:$A$504,0)),"")</f>
        <v/>
      </c>
      <c r="H665" s="14" t="str">
        <f aca="false">IFERROR(INDEX('Fault Master'!$B$5:$B$104,MATCH(G665,'Fault Master'!$A$5:$A$104,0)),"")</f>
        <v/>
      </c>
      <c r="I665" s="14" t="str">
        <f aca="false">IFERROR(INDEX('Fault Master'!$C$5:$C$104,MATCH(G665,'Fault Master'!$A$5:$A$104,0)),"")</f>
        <v/>
      </c>
      <c r="M665" s="14" t="str">
        <f aca="false">IFERROR(INDEX('Fault Master'!$D$5:$D$104,MATCH(G665,'Fault Master'!$A$5:$A$104,0)),"")</f>
        <v/>
      </c>
    </row>
    <row r="666" customFormat="false" ht="15" hidden="false" customHeight="true" outlineLevel="0" collapsed="false">
      <c r="A666" s="1" t="n">
        <v>661</v>
      </c>
      <c r="B666" s="13"/>
      <c r="F666" s="14" t="str">
        <f aca="false">IFERROR(INDEX('Operator Master'!$B$5:$B$504,MATCH(E666,'Operator Master'!$A$5:$A$504,0)),"")</f>
        <v/>
      </c>
      <c r="H666" s="14" t="str">
        <f aca="false">IFERROR(INDEX('Fault Master'!$B$5:$B$104,MATCH(G666,'Fault Master'!$A$5:$A$104,0)),"")</f>
        <v/>
      </c>
      <c r="I666" s="14" t="str">
        <f aca="false">IFERROR(INDEX('Fault Master'!$C$5:$C$104,MATCH(G666,'Fault Master'!$A$5:$A$104,0)),"")</f>
        <v/>
      </c>
      <c r="M666" s="14" t="str">
        <f aca="false">IFERROR(INDEX('Fault Master'!$D$5:$D$104,MATCH(G666,'Fault Master'!$A$5:$A$104,0)),"")</f>
        <v/>
      </c>
    </row>
    <row r="667" customFormat="false" ht="15" hidden="false" customHeight="true" outlineLevel="0" collapsed="false">
      <c r="A667" s="1" t="n">
        <v>662</v>
      </c>
      <c r="B667" s="13"/>
      <c r="F667" s="14" t="str">
        <f aca="false">IFERROR(INDEX('Operator Master'!$B$5:$B$504,MATCH(E667,'Operator Master'!$A$5:$A$504,0)),"")</f>
        <v/>
      </c>
      <c r="H667" s="14" t="str">
        <f aca="false">IFERROR(INDEX('Fault Master'!$B$5:$B$104,MATCH(G667,'Fault Master'!$A$5:$A$104,0)),"")</f>
        <v/>
      </c>
      <c r="I667" s="14" t="str">
        <f aca="false">IFERROR(INDEX('Fault Master'!$C$5:$C$104,MATCH(G667,'Fault Master'!$A$5:$A$104,0)),"")</f>
        <v/>
      </c>
      <c r="M667" s="14" t="str">
        <f aca="false">IFERROR(INDEX('Fault Master'!$D$5:$D$104,MATCH(G667,'Fault Master'!$A$5:$A$104,0)),"")</f>
        <v/>
      </c>
    </row>
    <row r="668" customFormat="false" ht="15" hidden="false" customHeight="true" outlineLevel="0" collapsed="false">
      <c r="A668" s="1" t="n">
        <v>663</v>
      </c>
      <c r="B668" s="13"/>
      <c r="F668" s="14" t="str">
        <f aca="false">IFERROR(INDEX('Operator Master'!$B$5:$B$504,MATCH(E668,'Operator Master'!$A$5:$A$504,0)),"")</f>
        <v/>
      </c>
      <c r="H668" s="14" t="str">
        <f aca="false">IFERROR(INDEX('Fault Master'!$B$5:$B$104,MATCH(G668,'Fault Master'!$A$5:$A$104,0)),"")</f>
        <v/>
      </c>
      <c r="I668" s="14" t="str">
        <f aca="false">IFERROR(INDEX('Fault Master'!$C$5:$C$104,MATCH(G668,'Fault Master'!$A$5:$A$104,0)),"")</f>
        <v/>
      </c>
      <c r="M668" s="14" t="str">
        <f aca="false">IFERROR(INDEX('Fault Master'!$D$5:$D$104,MATCH(G668,'Fault Master'!$A$5:$A$104,0)),"")</f>
        <v/>
      </c>
    </row>
    <row r="669" customFormat="false" ht="15" hidden="false" customHeight="true" outlineLevel="0" collapsed="false">
      <c r="A669" s="1" t="n">
        <v>664</v>
      </c>
      <c r="B669" s="13"/>
      <c r="F669" s="14" t="str">
        <f aca="false">IFERROR(INDEX('Operator Master'!$B$5:$B$504,MATCH(E669,'Operator Master'!$A$5:$A$504,0)),"")</f>
        <v/>
      </c>
      <c r="H669" s="14" t="str">
        <f aca="false">IFERROR(INDEX('Fault Master'!$B$5:$B$104,MATCH(G669,'Fault Master'!$A$5:$A$104,0)),"")</f>
        <v/>
      </c>
      <c r="I669" s="14" t="str">
        <f aca="false">IFERROR(INDEX('Fault Master'!$C$5:$C$104,MATCH(G669,'Fault Master'!$A$5:$A$104,0)),"")</f>
        <v/>
      </c>
      <c r="M669" s="14" t="str">
        <f aca="false">IFERROR(INDEX('Fault Master'!$D$5:$D$104,MATCH(G669,'Fault Master'!$A$5:$A$104,0)),"")</f>
        <v/>
      </c>
    </row>
    <row r="670" customFormat="false" ht="15" hidden="false" customHeight="true" outlineLevel="0" collapsed="false">
      <c r="A670" s="1" t="n">
        <v>665</v>
      </c>
      <c r="B670" s="13"/>
      <c r="F670" s="14" t="str">
        <f aca="false">IFERROR(INDEX('Operator Master'!$B$5:$B$504,MATCH(E670,'Operator Master'!$A$5:$A$504,0)),"")</f>
        <v/>
      </c>
      <c r="H670" s="14" t="str">
        <f aca="false">IFERROR(INDEX('Fault Master'!$B$5:$B$104,MATCH(G670,'Fault Master'!$A$5:$A$104,0)),"")</f>
        <v/>
      </c>
      <c r="I670" s="14" t="str">
        <f aca="false">IFERROR(INDEX('Fault Master'!$C$5:$C$104,MATCH(G670,'Fault Master'!$A$5:$A$104,0)),"")</f>
        <v/>
      </c>
      <c r="M670" s="14" t="str">
        <f aca="false">IFERROR(INDEX('Fault Master'!$D$5:$D$104,MATCH(G670,'Fault Master'!$A$5:$A$104,0)),"")</f>
        <v/>
      </c>
    </row>
    <row r="671" customFormat="false" ht="15" hidden="false" customHeight="true" outlineLevel="0" collapsed="false">
      <c r="A671" s="1" t="n">
        <v>666</v>
      </c>
      <c r="B671" s="13"/>
      <c r="F671" s="14" t="str">
        <f aca="false">IFERROR(INDEX('Operator Master'!$B$5:$B$504,MATCH(E671,'Operator Master'!$A$5:$A$504,0)),"")</f>
        <v/>
      </c>
      <c r="H671" s="14" t="str">
        <f aca="false">IFERROR(INDEX('Fault Master'!$B$5:$B$104,MATCH(G671,'Fault Master'!$A$5:$A$104,0)),"")</f>
        <v/>
      </c>
      <c r="I671" s="14" t="str">
        <f aca="false">IFERROR(INDEX('Fault Master'!$C$5:$C$104,MATCH(G671,'Fault Master'!$A$5:$A$104,0)),"")</f>
        <v/>
      </c>
      <c r="M671" s="14" t="str">
        <f aca="false">IFERROR(INDEX('Fault Master'!$D$5:$D$104,MATCH(G671,'Fault Master'!$A$5:$A$104,0)),"")</f>
        <v/>
      </c>
    </row>
    <row r="672" customFormat="false" ht="15" hidden="false" customHeight="true" outlineLevel="0" collapsed="false">
      <c r="A672" s="1" t="n">
        <v>667</v>
      </c>
      <c r="B672" s="13"/>
      <c r="F672" s="14" t="str">
        <f aca="false">IFERROR(INDEX('Operator Master'!$B$5:$B$504,MATCH(E672,'Operator Master'!$A$5:$A$504,0)),"")</f>
        <v/>
      </c>
      <c r="H672" s="14" t="str">
        <f aca="false">IFERROR(INDEX('Fault Master'!$B$5:$B$104,MATCH(G672,'Fault Master'!$A$5:$A$104,0)),"")</f>
        <v/>
      </c>
      <c r="I672" s="14" t="str">
        <f aca="false">IFERROR(INDEX('Fault Master'!$C$5:$C$104,MATCH(G672,'Fault Master'!$A$5:$A$104,0)),"")</f>
        <v/>
      </c>
      <c r="M672" s="14" t="str">
        <f aca="false">IFERROR(INDEX('Fault Master'!$D$5:$D$104,MATCH(G672,'Fault Master'!$A$5:$A$104,0)),"")</f>
        <v/>
      </c>
    </row>
    <row r="673" customFormat="false" ht="15" hidden="false" customHeight="true" outlineLevel="0" collapsed="false">
      <c r="A673" s="1" t="n">
        <v>668</v>
      </c>
      <c r="B673" s="13"/>
      <c r="F673" s="14" t="str">
        <f aca="false">IFERROR(INDEX('Operator Master'!$B$5:$B$504,MATCH(E673,'Operator Master'!$A$5:$A$504,0)),"")</f>
        <v/>
      </c>
      <c r="H673" s="14" t="str">
        <f aca="false">IFERROR(INDEX('Fault Master'!$B$5:$B$104,MATCH(G673,'Fault Master'!$A$5:$A$104,0)),"")</f>
        <v/>
      </c>
      <c r="I673" s="14" t="str">
        <f aca="false">IFERROR(INDEX('Fault Master'!$C$5:$C$104,MATCH(G673,'Fault Master'!$A$5:$A$104,0)),"")</f>
        <v/>
      </c>
      <c r="M673" s="14" t="str">
        <f aca="false">IFERROR(INDEX('Fault Master'!$D$5:$D$104,MATCH(G673,'Fault Master'!$A$5:$A$104,0)),"")</f>
        <v/>
      </c>
    </row>
    <row r="674" customFormat="false" ht="15" hidden="false" customHeight="true" outlineLevel="0" collapsed="false">
      <c r="A674" s="1" t="n">
        <v>669</v>
      </c>
      <c r="B674" s="13"/>
      <c r="F674" s="14" t="str">
        <f aca="false">IFERROR(INDEX('Operator Master'!$B$5:$B$504,MATCH(E674,'Operator Master'!$A$5:$A$504,0)),"")</f>
        <v/>
      </c>
      <c r="H674" s="14" t="str">
        <f aca="false">IFERROR(INDEX('Fault Master'!$B$5:$B$104,MATCH(G674,'Fault Master'!$A$5:$A$104,0)),"")</f>
        <v/>
      </c>
      <c r="I674" s="14" t="str">
        <f aca="false">IFERROR(INDEX('Fault Master'!$C$5:$C$104,MATCH(G674,'Fault Master'!$A$5:$A$104,0)),"")</f>
        <v/>
      </c>
      <c r="M674" s="14" t="str">
        <f aca="false">IFERROR(INDEX('Fault Master'!$D$5:$D$104,MATCH(G674,'Fault Master'!$A$5:$A$104,0)),"")</f>
        <v/>
      </c>
    </row>
    <row r="675" customFormat="false" ht="15" hidden="false" customHeight="true" outlineLevel="0" collapsed="false">
      <c r="A675" s="1" t="n">
        <v>670</v>
      </c>
      <c r="B675" s="13"/>
      <c r="F675" s="14" t="str">
        <f aca="false">IFERROR(INDEX('Operator Master'!$B$5:$B$504,MATCH(E675,'Operator Master'!$A$5:$A$504,0)),"")</f>
        <v/>
      </c>
      <c r="H675" s="14" t="str">
        <f aca="false">IFERROR(INDEX('Fault Master'!$B$5:$B$104,MATCH(G675,'Fault Master'!$A$5:$A$104,0)),"")</f>
        <v/>
      </c>
      <c r="I675" s="14" t="str">
        <f aca="false">IFERROR(INDEX('Fault Master'!$C$5:$C$104,MATCH(G675,'Fault Master'!$A$5:$A$104,0)),"")</f>
        <v/>
      </c>
      <c r="M675" s="14" t="str">
        <f aca="false">IFERROR(INDEX('Fault Master'!$D$5:$D$104,MATCH(G675,'Fault Master'!$A$5:$A$104,0)),"")</f>
        <v/>
      </c>
    </row>
    <row r="676" customFormat="false" ht="15" hidden="false" customHeight="true" outlineLevel="0" collapsed="false">
      <c r="A676" s="1" t="n">
        <v>671</v>
      </c>
      <c r="B676" s="13"/>
      <c r="F676" s="14" t="str">
        <f aca="false">IFERROR(INDEX('Operator Master'!$B$5:$B$504,MATCH(E676,'Operator Master'!$A$5:$A$504,0)),"")</f>
        <v/>
      </c>
      <c r="H676" s="14" t="str">
        <f aca="false">IFERROR(INDEX('Fault Master'!$B$5:$B$104,MATCH(G676,'Fault Master'!$A$5:$A$104,0)),"")</f>
        <v/>
      </c>
      <c r="I676" s="14" t="str">
        <f aca="false">IFERROR(INDEX('Fault Master'!$C$5:$C$104,MATCH(G676,'Fault Master'!$A$5:$A$104,0)),"")</f>
        <v/>
      </c>
      <c r="M676" s="14" t="str">
        <f aca="false">IFERROR(INDEX('Fault Master'!$D$5:$D$104,MATCH(G676,'Fault Master'!$A$5:$A$104,0)),"")</f>
        <v/>
      </c>
    </row>
    <row r="677" customFormat="false" ht="15" hidden="false" customHeight="true" outlineLevel="0" collapsed="false">
      <c r="A677" s="1" t="n">
        <v>672</v>
      </c>
      <c r="B677" s="13"/>
      <c r="F677" s="14" t="str">
        <f aca="false">IFERROR(INDEX('Operator Master'!$B$5:$B$504,MATCH(E677,'Operator Master'!$A$5:$A$504,0)),"")</f>
        <v/>
      </c>
      <c r="H677" s="14" t="str">
        <f aca="false">IFERROR(INDEX('Fault Master'!$B$5:$B$104,MATCH(G677,'Fault Master'!$A$5:$A$104,0)),"")</f>
        <v/>
      </c>
      <c r="I677" s="14" t="str">
        <f aca="false">IFERROR(INDEX('Fault Master'!$C$5:$C$104,MATCH(G677,'Fault Master'!$A$5:$A$104,0)),"")</f>
        <v/>
      </c>
      <c r="M677" s="14" t="str">
        <f aca="false">IFERROR(INDEX('Fault Master'!$D$5:$D$104,MATCH(G677,'Fault Master'!$A$5:$A$104,0)),"")</f>
        <v/>
      </c>
    </row>
    <row r="678" customFormat="false" ht="15" hidden="false" customHeight="true" outlineLevel="0" collapsed="false">
      <c r="A678" s="1" t="n">
        <v>673</v>
      </c>
      <c r="B678" s="13"/>
      <c r="F678" s="14" t="str">
        <f aca="false">IFERROR(INDEX('Operator Master'!$B$5:$B$504,MATCH(E678,'Operator Master'!$A$5:$A$504,0)),"")</f>
        <v/>
      </c>
      <c r="H678" s="14" t="str">
        <f aca="false">IFERROR(INDEX('Fault Master'!$B$5:$B$104,MATCH(G678,'Fault Master'!$A$5:$A$104,0)),"")</f>
        <v/>
      </c>
      <c r="I678" s="14" t="str">
        <f aca="false">IFERROR(INDEX('Fault Master'!$C$5:$C$104,MATCH(G678,'Fault Master'!$A$5:$A$104,0)),"")</f>
        <v/>
      </c>
      <c r="M678" s="14" t="str">
        <f aca="false">IFERROR(INDEX('Fault Master'!$D$5:$D$104,MATCH(G678,'Fault Master'!$A$5:$A$104,0)),"")</f>
        <v/>
      </c>
    </row>
    <row r="679" customFormat="false" ht="15" hidden="false" customHeight="true" outlineLevel="0" collapsed="false">
      <c r="A679" s="1" t="n">
        <v>674</v>
      </c>
      <c r="B679" s="13"/>
      <c r="F679" s="14" t="str">
        <f aca="false">IFERROR(INDEX('Operator Master'!$B$5:$B$504,MATCH(E679,'Operator Master'!$A$5:$A$504,0)),"")</f>
        <v/>
      </c>
      <c r="H679" s="14" t="str">
        <f aca="false">IFERROR(INDEX('Fault Master'!$B$5:$B$104,MATCH(G679,'Fault Master'!$A$5:$A$104,0)),"")</f>
        <v/>
      </c>
      <c r="I679" s="14" t="str">
        <f aca="false">IFERROR(INDEX('Fault Master'!$C$5:$C$104,MATCH(G679,'Fault Master'!$A$5:$A$104,0)),"")</f>
        <v/>
      </c>
      <c r="M679" s="14" t="str">
        <f aca="false">IFERROR(INDEX('Fault Master'!$D$5:$D$104,MATCH(G679,'Fault Master'!$A$5:$A$104,0)),"")</f>
        <v/>
      </c>
    </row>
    <row r="680" customFormat="false" ht="15" hidden="false" customHeight="true" outlineLevel="0" collapsed="false">
      <c r="A680" s="1" t="n">
        <v>675</v>
      </c>
      <c r="B680" s="13"/>
      <c r="F680" s="14" t="str">
        <f aca="false">IFERROR(INDEX('Operator Master'!$B$5:$B$504,MATCH(E680,'Operator Master'!$A$5:$A$504,0)),"")</f>
        <v/>
      </c>
      <c r="H680" s="14" t="str">
        <f aca="false">IFERROR(INDEX('Fault Master'!$B$5:$B$104,MATCH(G680,'Fault Master'!$A$5:$A$104,0)),"")</f>
        <v/>
      </c>
      <c r="I680" s="14" t="str">
        <f aca="false">IFERROR(INDEX('Fault Master'!$C$5:$C$104,MATCH(G680,'Fault Master'!$A$5:$A$104,0)),"")</f>
        <v/>
      </c>
      <c r="M680" s="14" t="str">
        <f aca="false">IFERROR(INDEX('Fault Master'!$D$5:$D$104,MATCH(G680,'Fault Master'!$A$5:$A$104,0)),"")</f>
        <v/>
      </c>
    </row>
    <row r="681" customFormat="false" ht="15" hidden="false" customHeight="true" outlineLevel="0" collapsed="false">
      <c r="A681" s="1" t="n">
        <v>676</v>
      </c>
      <c r="B681" s="13"/>
      <c r="F681" s="14" t="str">
        <f aca="false">IFERROR(INDEX('Operator Master'!$B$5:$B$504,MATCH(E681,'Operator Master'!$A$5:$A$504,0)),"")</f>
        <v/>
      </c>
      <c r="H681" s="14" t="str">
        <f aca="false">IFERROR(INDEX('Fault Master'!$B$5:$B$104,MATCH(G681,'Fault Master'!$A$5:$A$104,0)),"")</f>
        <v/>
      </c>
      <c r="I681" s="14" t="str">
        <f aca="false">IFERROR(INDEX('Fault Master'!$C$5:$C$104,MATCH(G681,'Fault Master'!$A$5:$A$104,0)),"")</f>
        <v/>
      </c>
      <c r="M681" s="14" t="str">
        <f aca="false">IFERROR(INDEX('Fault Master'!$D$5:$D$104,MATCH(G681,'Fault Master'!$A$5:$A$104,0)),"")</f>
        <v/>
      </c>
    </row>
    <row r="682" customFormat="false" ht="15" hidden="false" customHeight="true" outlineLevel="0" collapsed="false">
      <c r="A682" s="1" t="n">
        <v>677</v>
      </c>
      <c r="B682" s="13"/>
      <c r="F682" s="14" t="str">
        <f aca="false">IFERROR(INDEX('Operator Master'!$B$5:$B$504,MATCH(E682,'Operator Master'!$A$5:$A$504,0)),"")</f>
        <v/>
      </c>
      <c r="H682" s="14" t="str">
        <f aca="false">IFERROR(INDEX('Fault Master'!$B$5:$B$104,MATCH(G682,'Fault Master'!$A$5:$A$104,0)),"")</f>
        <v/>
      </c>
      <c r="I682" s="14" t="str">
        <f aca="false">IFERROR(INDEX('Fault Master'!$C$5:$C$104,MATCH(G682,'Fault Master'!$A$5:$A$104,0)),"")</f>
        <v/>
      </c>
      <c r="M682" s="14" t="str">
        <f aca="false">IFERROR(INDEX('Fault Master'!$D$5:$D$104,MATCH(G682,'Fault Master'!$A$5:$A$104,0)),"")</f>
        <v/>
      </c>
    </row>
    <row r="683" customFormat="false" ht="15" hidden="false" customHeight="true" outlineLevel="0" collapsed="false">
      <c r="A683" s="1" t="n">
        <v>678</v>
      </c>
      <c r="B683" s="13"/>
      <c r="F683" s="14" t="str">
        <f aca="false">IFERROR(INDEX('Operator Master'!$B$5:$B$504,MATCH(E683,'Operator Master'!$A$5:$A$504,0)),"")</f>
        <v/>
      </c>
      <c r="H683" s="14" t="str">
        <f aca="false">IFERROR(INDEX('Fault Master'!$B$5:$B$104,MATCH(G683,'Fault Master'!$A$5:$A$104,0)),"")</f>
        <v/>
      </c>
      <c r="I683" s="14" t="str">
        <f aca="false">IFERROR(INDEX('Fault Master'!$C$5:$C$104,MATCH(G683,'Fault Master'!$A$5:$A$104,0)),"")</f>
        <v/>
      </c>
      <c r="M683" s="14" t="str">
        <f aca="false">IFERROR(INDEX('Fault Master'!$D$5:$D$104,MATCH(G683,'Fault Master'!$A$5:$A$104,0)),"")</f>
        <v/>
      </c>
    </row>
    <row r="684" customFormat="false" ht="15" hidden="false" customHeight="true" outlineLevel="0" collapsed="false">
      <c r="A684" s="1" t="n">
        <v>679</v>
      </c>
      <c r="B684" s="13"/>
      <c r="F684" s="14" t="str">
        <f aca="false">IFERROR(INDEX('Operator Master'!$B$5:$B$504,MATCH(E684,'Operator Master'!$A$5:$A$504,0)),"")</f>
        <v/>
      </c>
      <c r="H684" s="14" t="str">
        <f aca="false">IFERROR(INDEX('Fault Master'!$B$5:$B$104,MATCH(G684,'Fault Master'!$A$5:$A$104,0)),"")</f>
        <v/>
      </c>
      <c r="I684" s="14" t="str">
        <f aca="false">IFERROR(INDEX('Fault Master'!$C$5:$C$104,MATCH(G684,'Fault Master'!$A$5:$A$104,0)),"")</f>
        <v/>
      </c>
      <c r="M684" s="14" t="str">
        <f aca="false">IFERROR(INDEX('Fault Master'!$D$5:$D$104,MATCH(G684,'Fault Master'!$A$5:$A$104,0)),"")</f>
        <v/>
      </c>
    </row>
    <row r="685" customFormat="false" ht="15" hidden="false" customHeight="true" outlineLevel="0" collapsed="false">
      <c r="A685" s="1" t="n">
        <v>680</v>
      </c>
      <c r="B685" s="13"/>
      <c r="F685" s="14" t="str">
        <f aca="false">IFERROR(INDEX('Operator Master'!$B$5:$B$504,MATCH(E685,'Operator Master'!$A$5:$A$504,0)),"")</f>
        <v/>
      </c>
      <c r="H685" s="14" t="str">
        <f aca="false">IFERROR(INDEX('Fault Master'!$B$5:$B$104,MATCH(G685,'Fault Master'!$A$5:$A$104,0)),"")</f>
        <v/>
      </c>
      <c r="I685" s="14" t="str">
        <f aca="false">IFERROR(INDEX('Fault Master'!$C$5:$C$104,MATCH(G685,'Fault Master'!$A$5:$A$104,0)),"")</f>
        <v/>
      </c>
      <c r="M685" s="14" t="str">
        <f aca="false">IFERROR(INDEX('Fault Master'!$D$5:$D$104,MATCH(G685,'Fault Master'!$A$5:$A$104,0)),"")</f>
        <v/>
      </c>
    </row>
    <row r="686" customFormat="false" ht="15" hidden="false" customHeight="true" outlineLevel="0" collapsed="false">
      <c r="A686" s="1" t="n">
        <v>681</v>
      </c>
      <c r="B686" s="13"/>
      <c r="F686" s="14" t="str">
        <f aca="false">IFERROR(INDEX('Operator Master'!$B$5:$B$504,MATCH(E686,'Operator Master'!$A$5:$A$504,0)),"")</f>
        <v/>
      </c>
      <c r="H686" s="14" t="str">
        <f aca="false">IFERROR(INDEX('Fault Master'!$B$5:$B$104,MATCH(G686,'Fault Master'!$A$5:$A$104,0)),"")</f>
        <v/>
      </c>
      <c r="I686" s="14" t="str">
        <f aca="false">IFERROR(INDEX('Fault Master'!$C$5:$C$104,MATCH(G686,'Fault Master'!$A$5:$A$104,0)),"")</f>
        <v/>
      </c>
      <c r="M686" s="14" t="str">
        <f aca="false">IFERROR(INDEX('Fault Master'!$D$5:$D$104,MATCH(G686,'Fault Master'!$A$5:$A$104,0)),"")</f>
        <v/>
      </c>
    </row>
    <row r="687" customFormat="false" ht="15" hidden="false" customHeight="true" outlineLevel="0" collapsed="false">
      <c r="A687" s="1" t="n">
        <v>682</v>
      </c>
      <c r="B687" s="13"/>
      <c r="F687" s="14" t="str">
        <f aca="false">IFERROR(INDEX('Operator Master'!$B$5:$B$504,MATCH(E687,'Operator Master'!$A$5:$A$504,0)),"")</f>
        <v/>
      </c>
      <c r="H687" s="14" t="str">
        <f aca="false">IFERROR(INDEX('Fault Master'!$B$5:$B$104,MATCH(G687,'Fault Master'!$A$5:$A$104,0)),"")</f>
        <v/>
      </c>
      <c r="I687" s="14" t="str">
        <f aca="false">IFERROR(INDEX('Fault Master'!$C$5:$C$104,MATCH(G687,'Fault Master'!$A$5:$A$104,0)),"")</f>
        <v/>
      </c>
      <c r="M687" s="14" t="str">
        <f aca="false">IFERROR(INDEX('Fault Master'!$D$5:$D$104,MATCH(G687,'Fault Master'!$A$5:$A$104,0)),"")</f>
        <v/>
      </c>
    </row>
    <row r="688" customFormat="false" ht="15" hidden="false" customHeight="true" outlineLevel="0" collapsed="false">
      <c r="A688" s="1" t="n">
        <v>683</v>
      </c>
      <c r="B688" s="13"/>
      <c r="F688" s="14" t="str">
        <f aca="false">IFERROR(INDEX('Operator Master'!$B$5:$B$504,MATCH(E688,'Operator Master'!$A$5:$A$504,0)),"")</f>
        <v/>
      </c>
      <c r="H688" s="14" t="str">
        <f aca="false">IFERROR(INDEX('Fault Master'!$B$5:$B$104,MATCH(G688,'Fault Master'!$A$5:$A$104,0)),"")</f>
        <v/>
      </c>
      <c r="I688" s="14" t="str">
        <f aca="false">IFERROR(INDEX('Fault Master'!$C$5:$C$104,MATCH(G688,'Fault Master'!$A$5:$A$104,0)),"")</f>
        <v/>
      </c>
      <c r="M688" s="14" t="str">
        <f aca="false">IFERROR(INDEX('Fault Master'!$D$5:$D$104,MATCH(G688,'Fault Master'!$A$5:$A$104,0)),"")</f>
        <v/>
      </c>
    </row>
    <row r="689" customFormat="false" ht="15" hidden="false" customHeight="true" outlineLevel="0" collapsed="false">
      <c r="A689" s="1" t="n">
        <v>684</v>
      </c>
      <c r="B689" s="13"/>
      <c r="F689" s="14" t="str">
        <f aca="false">IFERROR(INDEX('Operator Master'!$B$5:$B$504,MATCH(E689,'Operator Master'!$A$5:$A$504,0)),"")</f>
        <v/>
      </c>
      <c r="H689" s="14" t="str">
        <f aca="false">IFERROR(INDEX('Fault Master'!$B$5:$B$104,MATCH(G689,'Fault Master'!$A$5:$A$104,0)),"")</f>
        <v/>
      </c>
      <c r="I689" s="14" t="str">
        <f aca="false">IFERROR(INDEX('Fault Master'!$C$5:$C$104,MATCH(G689,'Fault Master'!$A$5:$A$104,0)),"")</f>
        <v/>
      </c>
      <c r="M689" s="14" t="str">
        <f aca="false">IFERROR(INDEX('Fault Master'!$D$5:$D$104,MATCH(G689,'Fault Master'!$A$5:$A$104,0)),"")</f>
        <v/>
      </c>
    </row>
    <row r="690" customFormat="false" ht="15" hidden="false" customHeight="true" outlineLevel="0" collapsed="false">
      <c r="A690" s="1" t="n">
        <v>685</v>
      </c>
      <c r="B690" s="13"/>
      <c r="F690" s="14" t="str">
        <f aca="false">IFERROR(INDEX('Operator Master'!$B$5:$B$504,MATCH(E690,'Operator Master'!$A$5:$A$504,0)),"")</f>
        <v/>
      </c>
      <c r="H690" s="14" t="str">
        <f aca="false">IFERROR(INDEX('Fault Master'!$B$5:$B$104,MATCH(G690,'Fault Master'!$A$5:$A$104,0)),"")</f>
        <v/>
      </c>
      <c r="I690" s="14" t="str">
        <f aca="false">IFERROR(INDEX('Fault Master'!$C$5:$C$104,MATCH(G690,'Fault Master'!$A$5:$A$104,0)),"")</f>
        <v/>
      </c>
      <c r="M690" s="14" t="str">
        <f aca="false">IFERROR(INDEX('Fault Master'!$D$5:$D$104,MATCH(G690,'Fault Master'!$A$5:$A$104,0)),"")</f>
        <v/>
      </c>
    </row>
    <row r="691" customFormat="false" ht="15" hidden="false" customHeight="true" outlineLevel="0" collapsed="false">
      <c r="A691" s="1" t="n">
        <v>686</v>
      </c>
      <c r="B691" s="13"/>
      <c r="F691" s="14" t="str">
        <f aca="false">IFERROR(INDEX('Operator Master'!$B$5:$B$504,MATCH(E691,'Operator Master'!$A$5:$A$504,0)),"")</f>
        <v/>
      </c>
      <c r="H691" s="14" t="str">
        <f aca="false">IFERROR(INDEX('Fault Master'!$B$5:$B$104,MATCH(G691,'Fault Master'!$A$5:$A$104,0)),"")</f>
        <v/>
      </c>
      <c r="I691" s="14" t="str">
        <f aca="false">IFERROR(INDEX('Fault Master'!$C$5:$C$104,MATCH(G691,'Fault Master'!$A$5:$A$104,0)),"")</f>
        <v/>
      </c>
      <c r="M691" s="14" t="str">
        <f aca="false">IFERROR(INDEX('Fault Master'!$D$5:$D$104,MATCH(G691,'Fault Master'!$A$5:$A$104,0)),"")</f>
        <v/>
      </c>
    </row>
    <row r="692" customFormat="false" ht="15" hidden="false" customHeight="true" outlineLevel="0" collapsed="false">
      <c r="A692" s="1" t="n">
        <v>687</v>
      </c>
      <c r="B692" s="13"/>
      <c r="F692" s="14" t="str">
        <f aca="false">IFERROR(INDEX('Operator Master'!$B$5:$B$504,MATCH(E692,'Operator Master'!$A$5:$A$504,0)),"")</f>
        <v/>
      </c>
      <c r="H692" s="14" t="str">
        <f aca="false">IFERROR(INDEX('Fault Master'!$B$5:$B$104,MATCH(G692,'Fault Master'!$A$5:$A$104,0)),"")</f>
        <v/>
      </c>
      <c r="I692" s="14" t="str">
        <f aca="false">IFERROR(INDEX('Fault Master'!$C$5:$C$104,MATCH(G692,'Fault Master'!$A$5:$A$104,0)),"")</f>
        <v/>
      </c>
      <c r="M692" s="14" t="str">
        <f aca="false">IFERROR(INDEX('Fault Master'!$D$5:$D$104,MATCH(G692,'Fault Master'!$A$5:$A$104,0)),"")</f>
        <v/>
      </c>
    </row>
    <row r="693" customFormat="false" ht="15" hidden="false" customHeight="true" outlineLevel="0" collapsed="false">
      <c r="A693" s="1" t="n">
        <v>688</v>
      </c>
      <c r="B693" s="13"/>
      <c r="F693" s="14" t="str">
        <f aca="false">IFERROR(INDEX('Operator Master'!$B$5:$B$504,MATCH(E693,'Operator Master'!$A$5:$A$504,0)),"")</f>
        <v/>
      </c>
      <c r="H693" s="14" t="str">
        <f aca="false">IFERROR(INDEX('Fault Master'!$B$5:$B$104,MATCH(G693,'Fault Master'!$A$5:$A$104,0)),"")</f>
        <v/>
      </c>
      <c r="I693" s="14" t="str">
        <f aca="false">IFERROR(INDEX('Fault Master'!$C$5:$C$104,MATCH(G693,'Fault Master'!$A$5:$A$104,0)),"")</f>
        <v/>
      </c>
      <c r="M693" s="14" t="str">
        <f aca="false">IFERROR(INDEX('Fault Master'!$D$5:$D$104,MATCH(G693,'Fault Master'!$A$5:$A$104,0)),"")</f>
        <v/>
      </c>
    </row>
    <row r="694" customFormat="false" ht="15" hidden="false" customHeight="true" outlineLevel="0" collapsed="false">
      <c r="A694" s="1" t="n">
        <v>689</v>
      </c>
      <c r="B694" s="13"/>
      <c r="F694" s="14" t="str">
        <f aca="false">IFERROR(INDEX('Operator Master'!$B$5:$B$504,MATCH(E694,'Operator Master'!$A$5:$A$504,0)),"")</f>
        <v/>
      </c>
      <c r="H694" s="14" t="str">
        <f aca="false">IFERROR(INDEX('Fault Master'!$B$5:$B$104,MATCH(G694,'Fault Master'!$A$5:$A$104,0)),"")</f>
        <v/>
      </c>
      <c r="I694" s="14" t="str">
        <f aca="false">IFERROR(INDEX('Fault Master'!$C$5:$C$104,MATCH(G694,'Fault Master'!$A$5:$A$104,0)),"")</f>
        <v/>
      </c>
      <c r="M694" s="14" t="str">
        <f aca="false">IFERROR(INDEX('Fault Master'!$D$5:$D$104,MATCH(G694,'Fault Master'!$A$5:$A$104,0)),"")</f>
        <v/>
      </c>
    </row>
    <row r="695" customFormat="false" ht="15" hidden="false" customHeight="true" outlineLevel="0" collapsed="false">
      <c r="A695" s="1" t="n">
        <v>690</v>
      </c>
      <c r="B695" s="13"/>
      <c r="F695" s="14" t="str">
        <f aca="false">IFERROR(INDEX('Operator Master'!$B$5:$B$504,MATCH(E695,'Operator Master'!$A$5:$A$504,0)),"")</f>
        <v/>
      </c>
      <c r="H695" s="14" t="str">
        <f aca="false">IFERROR(INDEX('Fault Master'!$B$5:$B$104,MATCH(G695,'Fault Master'!$A$5:$A$104,0)),"")</f>
        <v/>
      </c>
      <c r="I695" s="14" t="str">
        <f aca="false">IFERROR(INDEX('Fault Master'!$C$5:$C$104,MATCH(G695,'Fault Master'!$A$5:$A$104,0)),"")</f>
        <v/>
      </c>
      <c r="M695" s="14" t="str">
        <f aca="false">IFERROR(INDEX('Fault Master'!$D$5:$D$104,MATCH(G695,'Fault Master'!$A$5:$A$104,0)),"")</f>
        <v/>
      </c>
    </row>
    <row r="696" customFormat="false" ht="15" hidden="false" customHeight="true" outlineLevel="0" collapsed="false">
      <c r="A696" s="1" t="n">
        <v>691</v>
      </c>
      <c r="B696" s="13"/>
      <c r="F696" s="14" t="str">
        <f aca="false">IFERROR(INDEX('Operator Master'!$B$5:$B$504,MATCH(E696,'Operator Master'!$A$5:$A$504,0)),"")</f>
        <v/>
      </c>
      <c r="H696" s="14" t="str">
        <f aca="false">IFERROR(INDEX('Fault Master'!$B$5:$B$104,MATCH(G696,'Fault Master'!$A$5:$A$104,0)),"")</f>
        <v/>
      </c>
      <c r="I696" s="14" t="str">
        <f aca="false">IFERROR(INDEX('Fault Master'!$C$5:$C$104,MATCH(G696,'Fault Master'!$A$5:$A$104,0)),"")</f>
        <v/>
      </c>
      <c r="M696" s="14" t="str">
        <f aca="false">IFERROR(INDEX('Fault Master'!$D$5:$D$104,MATCH(G696,'Fault Master'!$A$5:$A$104,0)),"")</f>
        <v/>
      </c>
    </row>
    <row r="697" customFormat="false" ht="15" hidden="false" customHeight="true" outlineLevel="0" collapsed="false">
      <c r="A697" s="1" t="n">
        <v>692</v>
      </c>
      <c r="B697" s="13"/>
      <c r="F697" s="14" t="str">
        <f aca="false">IFERROR(INDEX('Operator Master'!$B$5:$B$504,MATCH(E697,'Operator Master'!$A$5:$A$504,0)),"")</f>
        <v/>
      </c>
      <c r="H697" s="14" t="str">
        <f aca="false">IFERROR(INDEX('Fault Master'!$B$5:$B$104,MATCH(G697,'Fault Master'!$A$5:$A$104,0)),"")</f>
        <v/>
      </c>
      <c r="I697" s="14" t="str">
        <f aca="false">IFERROR(INDEX('Fault Master'!$C$5:$C$104,MATCH(G697,'Fault Master'!$A$5:$A$104,0)),"")</f>
        <v/>
      </c>
      <c r="M697" s="14" t="str">
        <f aca="false">IFERROR(INDEX('Fault Master'!$D$5:$D$104,MATCH(G697,'Fault Master'!$A$5:$A$104,0)),"")</f>
        <v/>
      </c>
    </row>
    <row r="698" customFormat="false" ht="15" hidden="false" customHeight="true" outlineLevel="0" collapsed="false">
      <c r="A698" s="1" t="n">
        <v>693</v>
      </c>
      <c r="B698" s="13"/>
      <c r="F698" s="14" t="str">
        <f aca="false">IFERROR(INDEX('Operator Master'!$B$5:$B$504,MATCH(E698,'Operator Master'!$A$5:$A$504,0)),"")</f>
        <v/>
      </c>
      <c r="H698" s="14" t="str">
        <f aca="false">IFERROR(INDEX('Fault Master'!$B$5:$B$104,MATCH(G698,'Fault Master'!$A$5:$A$104,0)),"")</f>
        <v/>
      </c>
      <c r="I698" s="14" t="str">
        <f aca="false">IFERROR(INDEX('Fault Master'!$C$5:$C$104,MATCH(G698,'Fault Master'!$A$5:$A$104,0)),"")</f>
        <v/>
      </c>
      <c r="M698" s="14" t="str">
        <f aca="false">IFERROR(INDEX('Fault Master'!$D$5:$D$104,MATCH(G698,'Fault Master'!$A$5:$A$104,0)),"")</f>
        <v/>
      </c>
    </row>
    <row r="699" customFormat="false" ht="15" hidden="false" customHeight="true" outlineLevel="0" collapsed="false">
      <c r="A699" s="1" t="n">
        <v>694</v>
      </c>
      <c r="B699" s="13"/>
      <c r="F699" s="14" t="str">
        <f aca="false">IFERROR(INDEX('Operator Master'!$B$5:$B$504,MATCH(E699,'Operator Master'!$A$5:$A$504,0)),"")</f>
        <v/>
      </c>
      <c r="H699" s="14" t="str">
        <f aca="false">IFERROR(INDEX('Fault Master'!$B$5:$B$104,MATCH(G699,'Fault Master'!$A$5:$A$104,0)),"")</f>
        <v/>
      </c>
      <c r="I699" s="14" t="str">
        <f aca="false">IFERROR(INDEX('Fault Master'!$C$5:$C$104,MATCH(G699,'Fault Master'!$A$5:$A$104,0)),"")</f>
        <v/>
      </c>
      <c r="M699" s="14" t="str">
        <f aca="false">IFERROR(INDEX('Fault Master'!$D$5:$D$104,MATCH(G699,'Fault Master'!$A$5:$A$104,0)),"")</f>
        <v/>
      </c>
    </row>
    <row r="700" customFormat="false" ht="15" hidden="false" customHeight="true" outlineLevel="0" collapsed="false">
      <c r="A700" s="1" t="n">
        <v>695</v>
      </c>
      <c r="B700" s="13"/>
      <c r="F700" s="14" t="str">
        <f aca="false">IFERROR(INDEX('Operator Master'!$B$5:$B$504,MATCH(E700,'Operator Master'!$A$5:$A$504,0)),"")</f>
        <v/>
      </c>
      <c r="H700" s="14" t="str">
        <f aca="false">IFERROR(INDEX('Fault Master'!$B$5:$B$104,MATCH(G700,'Fault Master'!$A$5:$A$104,0)),"")</f>
        <v/>
      </c>
      <c r="I700" s="14" t="str">
        <f aca="false">IFERROR(INDEX('Fault Master'!$C$5:$C$104,MATCH(G700,'Fault Master'!$A$5:$A$104,0)),"")</f>
        <v/>
      </c>
      <c r="M700" s="14" t="str">
        <f aca="false">IFERROR(INDEX('Fault Master'!$D$5:$D$104,MATCH(G700,'Fault Master'!$A$5:$A$104,0)),"")</f>
        <v/>
      </c>
    </row>
    <row r="701" customFormat="false" ht="15" hidden="false" customHeight="true" outlineLevel="0" collapsed="false">
      <c r="A701" s="1" t="n">
        <v>696</v>
      </c>
      <c r="B701" s="13"/>
      <c r="F701" s="14" t="str">
        <f aca="false">IFERROR(INDEX('Operator Master'!$B$5:$B$504,MATCH(E701,'Operator Master'!$A$5:$A$504,0)),"")</f>
        <v/>
      </c>
      <c r="H701" s="14" t="str">
        <f aca="false">IFERROR(INDEX('Fault Master'!$B$5:$B$104,MATCH(G701,'Fault Master'!$A$5:$A$104,0)),"")</f>
        <v/>
      </c>
      <c r="I701" s="14" t="str">
        <f aca="false">IFERROR(INDEX('Fault Master'!$C$5:$C$104,MATCH(G701,'Fault Master'!$A$5:$A$104,0)),"")</f>
        <v/>
      </c>
      <c r="M701" s="14" t="str">
        <f aca="false">IFERROR(INDEX('Fault Master'!$D$5:$D$104,MATCH(G701,'Fault Master'!$A$5:$A$104,0)),"")</f>
        <v/>
      </c>
    </row>
    <row r="702" customFormat="false" ht="15" hidden="false" customHeight="true" outlineLevel="0" collapsed="false">
      <c r="A702" s="1" t="n">
        <v>697</v>
      </c>
      <c r="B702" s="13"/>
      <c r="F702" s="14" t="str">
        <f aca="false">IFERROR(INDEX('Operator Master'!$B$5:$B$504,MATCH(E702,'Operator Master'!$A$5:$A$504,0)),"")</f>
        <v/>
      </c>
      <c r="H702" s="14" t="str">
        <f aca="false">IFERROR(INDEX('Fault Master'!$B$5:$B$104,MATCH(G702,'Fault Master'!$A$5:$A$104,0)),"")</f>
        <v/>
      </c>
      <c r="I702" s="14" t="str">
        <f aca="false">IFERROR(INDEX('Fault Master'!$C$5:$C$104,MATCH(G702,'Fault Master'!$A$5:$A$104,0)),"")</f>
        <v/>
      </c>
      <c r="M702" s="14" t="str">
        <f aca="false">IFERROR(INDEX('Fault Master'!$D$5:$D$104,MATCH(G702,'Fault Master'!$A$5:$A$104,0)),"")</f>
        <v/>
      </c>
    </row>
    <row r="703" customFormat="false" ht="15" hidden="false" customHeight="true" outlineLevel="0" collapsed="false">
      <c r="A703" s="1" t="n">
        <v>698</v>
      </c>
      <c r="B703" s="13"/>
      <c r="F703" s="14" t="str">
        <f aca="false">IFERROR(INDEX('Operator Master'!$B$5:$B$504,MATCH(E703,'Operator Master'!$A$5:$A$504,0)),"")</f>
        <v/>
      </c>
      <c r="H703" s="14" t="str">
        <f aca="false">IFERROR(INDEX('Fault Master'!$B$5:$B$104,MATCH(G703,'Fault Master'!$A$5:$A$104,0)),"")</f>
        <v/>
      </c>
      <c r="I703" s="14" t="str">
        <f aca="false">IFERROR(INDEX('Fault Master'!$C$5:$C$104,MATCH(G703,'Fault Master'!$A$5:$A$104,0)),"")</f>
        <v/>
      </c>
      <c r="M703" s="14" t="str">
        <f aca="false">IFERROR(INDEX('Fault Master'!$D$5:$D$104,MATCH(G703,'Fault Master'!$A$5:$A$104,0)),"")</f>
        <v/>
      </c>
    </row>
    <row r="704" customFormat="false" ht="15" hidden="false" customHeight="true" outlineLevel="0" collapsed="false">
      <c r="A704" s="1" t="n">
        <v>699</v>
      </c>
      <c r="B704" s="13"/>
      <c r="F704" s="14" t="str">
        <f aca="false">IFERROR(INDEX('Operator Master'!$B$5:$B$504,MATCH(E704,'Operator Master'!$A$5:$A$504,0)),"")</f>
        <v/>
      </c>
      <c r="H704" s="14" t="str">
        <f aca="false">IFERROR(INDEX('Fault Master'!$B$5:$B$104,MATCH(G704,'Fault Master'!$A$5:$A$104,0)),"")</f>
        <v/>
      </c>
      <c r="I704" s="14" t="str">
        <f aca="false">IFERROR(INDEX('Fault Master'!$C$5:$C$104,MATCH(G704,'Fault Master'!$A$5:$A$104,0)),"")</f>
        <v/>
      </c>
      <c r="M704" s="14" t="str">
        <f aca="false">IFERROR(INDEX('Fault Master'!$D$5:$D$104,MATCH(G704,'Fault Master'!$A$5:$A$104,0)),"")</f>
        <v/>
      </c>
    </row>
    <row r="705" customFormat="false" ht="15" hidden="false" customHeight="true" outlineLevel="0" collapsed="false">
      <c r="A705" s="1" t="n">
        <v>700</v>
      </c>
      <c r="B705" s="13"/>
      <c r="F705" s="14" t="str">
        <f aca="false">IFERROR(INDEX('Operator Master'!$B$5:$B$504,MATCH(E705,'Operator Master'!$A$5:$A$504,0)),"")</f>
        <v/>
      </c>
      <c r="H705" s="14" t="str">
        <f aca="false">IFERROR(INDEX('Fault Master'!$B$5:$B$104,MATCH(G705,'Fault Master'!$A$5:$A$104,0)),"")</f>
        <v/>
      </c>
      <c r="I705" s="14" t="str">
        <f aca="false">IFERROR(INDEX('Fault Master'!$C$5:$C$104,MATCH(G705,'Fault Master'!$A$5:$A$104,0)),"")</f>
        <v/>
      </c>
      <c r="M705" s="14" t="str">
        <f aca="false">IFERROR(INDEX('Fault Master'!$D$5:$D$104,MATCH(G705,'Fault Master'!$A$5:$A$104,0)),"")</f>
        <v/>
      </c>
    </row>
    <row r="706" customFormat="false" ht="15" hidden="false" customHeight="true" outlineLevel="0" collapsed="false">
      <c r="A706" s="1" t="n">
        <v>701</v>
      </c>
      <c r="B706" s="13"/>
      <c r="F706" s="14" t="str">
        <f aca="false">IFERROR(INDEX('Operator Master'!$B$5:$B$504,MATCH(E706,'Operator Master'!$A$5:$A$504,0)),"")</f>
        <v/>
      </c>
      <c r="H706" s="14" t="str">
        <f aca="false">IFERROR(INDEX('Fault Master'!$B$5:$B$104,MATCH(G706,'Fault Master'!$A$5:$A$104,0)),"")</f>
        <v/>
      </c>
      <c r="I706" s="14" t="str">
        <f aca="false">IFERROR(INDEX('Fault Master'!$C$5:$C$104,MATCH(G706,'Fault Master'!$A$5:$A$104,0)),"")</f>
        <v/>
      </c>
      <c r="M706" s="14" t="str">
        <f aca="false">IFERROR(INDEX('Fault Master'!$D$5:$D$104,MATCH(G706,'Fault Master'!$A$5:$A$104,0)),"")</f>
        <v/>
      </c>
    </row>
    <row r="707" customFormat="false" ht="15" hidden="false" customHeight="true" outlineLevel="0" collapsed="false">
      <c r="A707" s="1" t="n">
        <v>702</v>
      </c>
      <c r="B707" s="13"/>
      <c r="F707" s="14" t="str">
        <f aca="false">IFERROR(INDEX('Operator Master'!$B$5:$B$504,MATCH(E707,'Operator Master'!$A$5:$A$504,0)),"")</f>
        <v/>
      </c>
      <c r="H707" s="14" t="str">
        <f aca="false">IFERROR(INDEX('Fault Master'!$B$5:$B$104,MATCH(G707,'Fault Master'!$A$5:$A$104,0)),"")</f>
        <v/>
      </c>
      <c r="I707" s="14" t="str">
        <f aca="false">IFERROR(INDEX('Fault Master'!$C$5:$C$104,MATCH(G707,'Fault Master'!$A$5:$A$104,0)),"")</f>
        <v/>
      </c>
      <c r="M707" s="14" t="str">
        <f aca="false">IFERROR(INDEX('Fault Master'!$D$5:$D$104,MATCH(G707,'Fault Master'!$A$5:$A$104,0)),"")</f>
        <v/>
      </c>
    </row>
    <row r="708" customFormat="false" ht="15" hidden="false" customHeight="true" outlineLevel="0" collapsed="false">
      <c r="A708" s="1" t="n">
        <v>703</v>
      </c>
      <c r="B708" s="13"/>
      <c r="F708" s="14" t="str">
        <f aca="false">IFERROR(INDEX('Operator Master'!$B$5:$B$504,MATCH(E708,'Operator Master'!$A$5:$A$504,0)),"")</f>
        <v/>
      </c>
      <c r="H708" s="14" t="str">
        <f aca="false">IFERROR(INDEX('Fault Master'!$B$5:$B$104,MATCH(G708,'Fault Master'!$A$5:$A$104,0)),"")</f>
        <v/>
      </c>
      <c r="I708" s="14" t="str">
        <f aca="false">IFERROR(INDEX('Fault Master'!$C$5:$C$104,MATCH(G708,'Fault Master'!$A$5:$A$104,0)),"")</f>
        <v/>
      </c>
      <c r="M708" s="14" t="str">
        <f aca="false">IFERROR(INDEX('Fault Master'!$D$5:$D$104,MATCH(G708,'Fault Master'!$A$5:$A$104,0)),"")</f>
        <v/>
      </c>
    </row>
    <row r="709" customFormat="false" ht="15" hidden="false" customHeight="true" outlineLevel="0" collapsed="false">
      <c r="A709" s="1" t="n">
        <v>704</v>
      </c>
      <c r="B709" s="13"/>
      <c r="F709" s="14" t="str">
        <f aca="false">IFERROR(INDEX('Operator Master'!$B$5:$B$504,MATCH(E709,'Operator Master'!$A$5:$A$504,0)),"")</f>
        <v/>
      </c>
      <c r="H709" s="14" t="str">
        <f aca="false">IFERROR(INDEX('Fault Master'!$B$5:$B$104,MATCH(G709,'Fault Master'!$A$5:$A$104,0)),"")</f>
        <v/>
      </c>
      <c r="I709" s="14" t="str">
        <f aca="false">IFERROR(INDEX('Fault Master'!$C$5:$C$104,MATCH(G709,'Fault Master'!$A$5:$A$104,0)),"")</f>
        <v/>
      </c>
      <c r="M709" s="14" t="str">
        <f aca="false">IFERROR(INDEX('Fault Master'!$D$5:$D$104,MATCH(G709,'Fault Master'!$A$5:$A$104,0)),"")</f>
        <v/>
      </c>
    </row>
    <row r="710" customFormat="false" ht="15" hidden="false" customHeight="true" outlineLevel="0" collapsed="false">
      <c r="A710" s="1" t="n">
        <v>705</v>
      </c>
      <c r="B710" s="13"/>
      <c r="F710" s="14" t="str">
        <f aca="false">IFERROR(INDEX('Operator Master'!$B$5:$B$504,MATCH(E710,'Operator Master'!$A$5:$A$504,0)),"")</f>
        <v/>
      </c>
      <c r="H710" s="14" t="str">
        <f aca="false">IFERROR(INDEX('Fault Master'!$B$5:$B$104,MATCH(G710,'Fault Master'!$A$5:$A$104,0)),"")</f>
        <v/>
      </c>
      <c r="I710" s="14" t="str">
        <f aca="false">IFERROR(INDEX('Fault Master'!$C$5:$C$104,MATCH(G710,'Fault Master'!$A$5:$A$104,0)),"")</f>
        <v/>
      </c>
      <c r="M710" s="14" t="str">
        <f aca="false">IFERROR(INDEX('Fault Master'!$D$5:$D$104,MATCH(G710,'Fault Master'!$A$5:$A$104,0)),"")</f>
        <v/>
      </c>
    </row>
    <row r="711" customFormat="false" ht="15" hidden="false" customHeight="true" outlineLevel="0" collapsed="false">
      <c r="A711" s="1" t="n">
        <v>706</v>
      </c>
      <c r="B711" s="13"/>
      <c r="F711" s="14" t="str">
        <f aca="false">IFERROR(INDEX('Operator Master'!$B$5:$B$504,MATCH(E711,'Operator Master'!$A$5:$A$504,0)),"")</f>
        <v/>
      </c>
      <c r="H711" s="14" t="str">
        <f aca="false">IFERROR(INDEX('Fault Master'!$B$5:$B$104,MATCH(G711,'Fault Master'!$A$5:$A$104,0)),"")</f>
        <v/>
      </c>
      <c r="I711" s="14" t="str">
        <f aca="false">IFERROR(INDEX('Fault Master'!$C$5:$C$104,MATCH(G711,'Fault Master'!$A$5:$A$104,0)),"")</f>
        <v/>
      </c>
      <c r="M711" s="14" t="str">
        <f aca="false">IFERROR(INDEX('Fault Master'!$D$5:$D$104,MATCH(G711,'Fault Master'!$A$5:$A$104,0)),"")</f>
        <v/>
      </c>
    </row>
    <row r="712" customFormat="false" ht="15" hidden="false" customHeight="true" outlineLevel="0" collapsed="false">
      <c r="A712" s="1" t="n">
        <v>707</v>
      </c>
      <c r="B712" s="13"/>
      <c r="F712" s="14" t="str">
        <f aca="false">IFERROR(INDEX('Operator Master'!$B$5:$B$504,MATCH(E712,'Operator Master'!$A$5:$A$504,0)),"")</f>
        <v/>
      </c>
      <c r="H712" s="14" t="str">
        <f aca="false">IFERROR(INDEX('Fault Master'!$B$5:$B$104,MATCH(G712,'Fault Master'!$A$5:$A$104,0)),"")</f>
        <v/>
      </c>
      <c r="I712" s="14" t="str">
        <f aca="false">IFERROR(INDEX('Fault Master'!$C$5:$C$104,MATCH(G712,'Fault Master'!$A$5:$A$104,0)),"")</f>
        <v/>
      </c>
      <c r="M712" s="14" t="str">
        <f aca="false">IFERROR(INDEX('Fault Master'!$D$5:$D$104,MATCH(G712,'Fault Master'!$A$5:$A$104,0)),"")</f>
        <v/>
      </c>
    </row>
    <row r="713" customFormat="false" ht="15" hidden="false" customHeight="true" outlineLevel="0" collapsed="false">
      <c r="A713" s="1" t="n">
        <v>708</v>
      </c>
      <c r="B713" s="13"/>
      <c r="F713" s="14" t="str">
        <f aca="false">IFERROR(INDEX('Operator Master'!$B$5:$B$504,MATCH(E713,'Operator Master'!$A$5:$A$504,0)),"")</f>
        <v/>
      </c>
      <c r="H713" s="14" t="str">
        <f aca="false">IFERROR(INDEX('Fault Master'!$B$5:$B$104,MATCH(G713,'Fault Master'!$A$5:$A$104,0)),"")</f>
        <v/>
      </c>
      <c r="I713" s="14" t="str">
        <f aca="false">IFERROR(INDEX('Fault Master'!$C$5:$C$104,MATCH(G713,'Fault Master'!$A$5:$A$104,0)),"")</f>
        <v/>
      </c>
      <c r="M713" s="14" t="str">
        <f aca="false">IFERROR(INDEX('Fault Master'!$D$5:$D$104,MATCH(G713,'Fault Master'!$A$5:$A$104,0)),"")</f>
        <v/>
      </c>
    </row>
    <row r="714" customFormat="false" ht="15" hidden="false" customHeight="true" outlineLevel="0" collapsed="false">
      <c r="A714" s="1" t="n">
        <v>709</v>
      </c>
      <c r="B714" s="13"/>
      <c r="F714" s="14" t="str">
        <f aca="false">IFERROR(INDEX('Operator Master'!$B$5:$B$504,MATCH(E714,'Operator Master'!$A$5:$A$504,0)),"")</f>
        <v/>
      </c>
      <c r="H714" s="14" t="str">
        <f aca="false">IFERROR(INDEX('Fault Master'!$B$5:$B$104,MATCH(G714,'Fault Master'!$A$5:$A$104,0)),"")</f>
        <v/>
      </c>
      <c r="I714" s="14" t="str">
        <f aca="false">IFERROR(INDEX('Fault Master'!$C$5:$C$104,MATCH(G714,'Fault Master'!$A$5:$A$104,0)),"")</f>
        <v/>
      </c>
      <c r="M714" s="14" t="str">
        <f aca="false">IFERROR(INDEX('Fault Master'!$D$5:$D$104,MATCH(G714,'Fault Master'!$A$5:$A$104,0)),"")</f>
        <v/>
      </c>
    </row>
    <row r="715" customFormat="false" ht="15" hidden="false" customHeight="true" outlineLevel="0" collapsed="false">
      <c r="A715" s="1" t="n">
        <v>710</v>
      </c>
      <c r="B715" s="13"/>
      <c r="F715" s="14" t="str">
        <f aca="false">IFERROR(INDEX('Operator Master'!$B$5:$B$504,MATCH(E715,'Operator Master'!$A$5:$A$504,0)),"")</f>
        <v/>
      </c>
      <c r="H715" s="14" t="str">
        <f aca="false">IFERROR(INDEX('Fault Master'!$B$5:$B$104,MATCH(G715,'Fault Master'!$A$5:$A$104,0)),"")</f>
        <v/>
      </c>
      <c r="I715" s="14" t="str">
        <f aca="false">IFERROR(INDEX('Fault Master'!$C$5:$C$104,MATCH(G715,'Fault Master'!$A$5:$A$104,0)),"")</f>
        <v/>
      </c>
      <c r="M715" s="14" t="str">
        <f aca="false">IFERROR(INDEX('Fault Master'!$D$5:$D$104,MATCH(G715,'Fault Master'!$A$5:$A$104,0)),"")</f>
        <v/>
      </c>
    </row>
    <row r="716" customFormat="false" ht="15" hidden="false" customHeight="true" outlineLevel="0" collapsed="false">
      <c r="A716" s="1" t="n">
        <v>711</v>
      </c>
      <c r="B716" s="13"/>
      <c r="F716" s="14" t="str">
        <f aca="false">IFERROR(INDEX('Operator Master'!$B$5:$B$504,MATCH(E716,'Operator Master'!$A$5:$A$504,0)),"")</f>
        <v/>
      </c>
      <c r="H716" s="14" t="str">
        <f aca="false">IFERROR(INDEX('Fault Master'!$B$5:$B$104,MATCH(G716,'Fault Master'!$A$5:$A$104,0)),"")</f>
        <v/>
      </c>
      <c r="I716" s="14" t="str">
        <f aca="false">IFERROR(INDEX('Fault Master'!$C$5:$C$104,MATCH(G716,'Fault Master'!$A$5:$A$104,0)),"")</f>
        <v/>
      </c>
      <c r="M716" s="14" t="str">
        <f aca="false">IFERROR(INDEX('Fault Master'!$D$5:$D$104,MATCH(G716,'Fault Master'!$A$5:$A$104,0)),"")</f>
        <v/>
      </c>
    </row>
    <row r="717" customFormat="false" ht="15" hidden="false" customHeight="true" outlineLevel="0" collapsed="false">
      <c r="A717" s="1" t="n">
        <v>712</v>
      </c>
      <c r="B717" s="13"/>
      <c r="F717" s="14" t="str">
        <f aca="false">IFERROR(INDEX('Operator Master'!$B$5:$B$504,MATCH(E717,'Operator Master'!$A$5:$A$504,0)),"")</f>
        <v/>
      </c>
      <c r="H717" s="14" t="str">
        <f aca="false">IFERROR(INDEX('Fault Master'!$B$5:$B$104,MATCH(G717,'Fault Master'!$A$5:$A$104,0)),"")</f>
        <v/>
      </c>
      <c r="I717" s="14" t="str">
        <f aca="false">IFERROR(INDEX('Fault Master'!$C$5:$C$104,MATCH(G717,'Fault Master'!$A$5:$A$104,0)),"")</f>
        <v/>
      </c>
      <c r="M717" s="14" t="str">
        <f aca="false">IFERROR(INDEX('Fault Master'!$D$5:$D$104,MATCH(G717,'Fault Master'!$A$5:$A$104,0)),"")</f>
        <v/>
      </c>
    </row>
    <row r="718" customFormat="false" ht="15" hidden="false" customHeight="true" outlineLevel="0" collapsed="false">
      <c r="A718" s="1" t="n">
        <v>713</v>
      </c>
      <c r="B718" s="13"/>
      <c r="F718" s="14" t="str">
        <f aca="false">IFERROR(INDEX('Operator Master'!$B$5:$B$504,MATCH(E718,'Operator Master'!$A$5:$A$504,0)),"")</f>
        <v/>
      </c>
      <c r="H718" s="14" t="str">
        <f aca="false">IFERROR(INDEX('Fault Master'!$B$5:$B$104,MATCH(G718,'Fault Master'!$A$5:$A$104,0)),"")</f>
        <v/>
      </c>
      <c r="I718" s="14" t="str">
        <f aca="false">IFERROR(INDEX('Fault Master'!$C$5:$C$104,MATCH(G718,'Fault Master'!$A$5:$A$104,0)),"")</f>
        <v/>
      </c>
      <c r="M718" s="14" t="str">
        <f aca="false">IFERROR(INDEX('Fault Master'!$D$5:$D$104,MATCH(G718,'Fault Master'!$A$5:$A$104,0)),"")</f>
        <v/>
      </c>
    </row>
    <row r="719" customFormat="false" ht="15" hidden="false" customHeight="true" outlineLevel="0" collapsed="false">
      <c r="A719" s="1" t="n">
        <v>714</v>
      </c>
      <c r="B719" s="13"/>
      <c r="F719" s="14" t="str">
        <f aca="false">IFERROR(INDEX('Operator Master'!$B$5:$B$504,MATCH(E719,'Operator Master'!$A$5:$A$504,0)),"")</f>
        <v/>
      </c>
      <c r="H719" s="14" t="str">
        <f aca="false">IFERROR(INDEX('Fault Master'!$B$5:$B$104,MATCH(G719,'Fault Master'!$A$5:$A$104,0)),"")</f>
        <v/>
      </c>
      <c r="I719" s="14" t="str">
        <f aca="false">IFERROR(INDEX('Fault Master'!$C$5:$C$104,MATCH(G719,'Fault Master'!$A$5:$A$104,0)),"")</f>
        <v/>
      </c>
      <c r="M719" s="14" t="str">
        <f aca="false">IFERROR(INDEX('Fault Master'!$D$5:$D$104,MATCH(G719,'Fault Master'!$A$5:$A$104,0)),"")</f>
        <v/>
      </c>
    </row>
    <row r="720" customFormat="false" ht="15" hidden="false" customHeight="true" outlineLevel="0" collapsed="false">
      <c r="A720" s="1" t="n">
        <v>715</v>
      </c>
      <c r="B720" s="13"/>
      <c r="F720" s="14" t="str">
        <f aca="false">IFERROR(INDEX('Operator Master'!$B$5:$B$504,MATCH(E720,'Operator Master'!$A$5:$A$504,0)),"")</f>
        <v/>
      </c>
      <c r="H720" s="14" t="str">
        <f aca="false">IFERROR(INDEX('Fault Master'!$B$5:$B$104,MATCH(G720,'Fault Master'!$A$5:$A$104,0)),"")</f>
        <v/>
      </c>
      <c r="I720" s="14" t="str">
        <f aca="false">IFERROR(INDEX('Fault Master'!$C$5:$C$104,MATCH(G720,'Fault Master'!$A$5:$A$104,0)),"")</f>
        <v/>
      </c>
      <c r="M720" s="14" t="str">
        <f aca="false">IFERROR(INDEX('Fault Master'!$D$5:$D$104,MATCH(G720,'Fault Master'!$A$5:$A$104,0)),"")</f>
        <v/>
      </c>
    </row>
    <row r="721" customFormat="false" ht="15" hidden="false" customHeight="true" outlineLevel="0" collapsed="false">
      <c r="A721" s="1" t="n">
        <v>716</v>
      </c>
      <c r="B721" s="13"/>
      <c r="F721" s="14" t="str">
        <f aca="false">IFERROR(INDEX('Operator Master'!$B$5:$B$504,MATCH(E721,'Operator Master'!$A$5:$A$504,0)),"")</f>
        <v/>
      </c>
      <c r="H721" s="14" t="str">
        <f aca="false">IFERROR(INDEX('Fault Master'!$B$5:$B$104,MATCH(G721,'Fault Master'!$A$5:$A$104,0)),"")</f>
        <v/>
      </c>
      <c r="I721" s="14" t="str">
        <f aca="false">IFERROR(INDEX('Fault Master'!$C$5:$C$104,MATCH(G721,'Fault Master'!$A$5:$A$104,0)),"")</f>
        <v/>
      </c>
      <c r="M721" s="14" t="str">
        <f aca="false">IFERROR(INDEX('Fault Master'!$D$5:$D$104,MATCH(G721,'Fault Master'!$A$5:$A$104,0)),"")</f>
        <v/>
      </c>
    </row>
    <row r="722" customFormat="false" ht="15" hidden="false" customHeight="true" outlineLevel="0" collapsed="false">
      <c r="A722" s="1" t="n">
        <v>717</v>
      </c>
      <c r="B722" s="13"/>
      <c r="F722" s="14" t="str">
        <f aca="false">IFERROR(INDEX('Operator Master'!$B$5:$B$504,MATCH(E722,'Operator Master'!$A$5:$A$504,0)),"")</f>
        <v/>
      </c>
      <c r="H722" s="14" t="str">
        <f aca="false">IFERROR(INDEX('Fault Master'!$B$5:$B$104,MATCH(G722,'Fault Master'!$A$5:$A$104,0)),"")</f>
        <v/>
      </c>
      <c r="I722" s="14" t="str">
        <f aca="false">IFERROR(INDEX('Fault Master'!$C$5:$C$104,MATCH(G722,'Fault Master'!$A$5:$A$104,0)),"")</f>
        <v/>
      </c>
      <c r="M722" s="14" t="str">
        <f aca="false">IFERROR(INDEX('Fault Master'!$D$5:$D$104,MATCH(G722,'Fault Master'!$A$5:$A$104,0)),"")</f>
        <v/>
      </c>
    </row>
    <row r="723" customFormat="false" ht="15" hidden="false" customHeight="true" outlineLevel="0" collapsed="false">
      <c r="A723" s="1" t="n">
        <v>718</v>
      </c>
      <c r="B723" s="13"/>
      <c r="F723" s="14" t="str">
        <f aca="false">IFERROR(INDEX('Operator Master'!$B$5:$B$504,MATCH(E723,'Operator Master'!$A$5:$A$504,0)),"")</f>
        <v/>
      </c>
      <c r="H723" s="14" t="str">
        <f aca="false">IFERROR(INDEX('Fault Master'!$B$5:$B$104,MATCH(G723,'Fault Master'!$A$5:$A$104,0)),"")</f>
        <v/>
      </c>
      <c r="I723" s="14" t="str">
        <f aca="false">IFERROR(INDEX('Fault Master'!$C$5:$C$104,MATCH(G723,'Fault Master'!$A$5:$A$104,0)),"")</f>
        <v/>
      </c>
      <c r="M723" s="14" t="str">
        <f aca="false">IFERROR(INDEX('Fault Master'!$D$5:$D$104,MATCH(G723,'Fault Master'!$A$5:$A$104,0)),"")</f>
        <v/>
      </c>
    </row>
    <row r="724" customFormat="false" ht="15" hidden="false" customHeight="true" outlineLevel="0" collapsed="false">
      <c r="A724" s="1" t="n">
        <v>719</v>
      </c>
      <c r="B724" s="13"/>
      <c r="F724" s="14" t="str">
        <f aca="false">IFERROR(INDEX('Operator Master'!$B$5:$B$504,MATCH(E724,'Operator Master'!$A$5:$A$504,0)),"")</f>
        <v/>
      </c>
      <c r="H724" s="14" t="str">
        <f aca="false">IFERROR(INDEX('Fault Master'!$B$5:$B$104,MATCH(G724,'Fault Master'!$A$5:$A$104,0)),"")</f>
        <v/>
      </c>
      <c r="I724" s="14" t="str">
        <f aca="false">IFERROR(INDEX('Fault Master'!$C$5:$C$104,MATCH(G724,'Fault Master'!$A$5:$A$104,0)),"")</f>
        <v/>
      </c>
      <c r="M724" s="14" t="str">
        <f aca="false">IFERROR(INDEX('Fault Master'!$D$5:$D$104,MATCH(G724,'Fault Master'!$A$5:$A$104,0)),"")</f>
        <v/>
      </c>
    </row>
    <row r="725" customFormat="false" ht="15" hidden="false" customHeight="true" outlineLevel="0" collapsed="false">
      <c r="A725" s="1" t="n">
        <v>720</v>
      </c>
      <c r="B725" s="13"/>
      <c r="F725" s="14" t="str">
        <f aca="false">IFERROR(INDEX('Operator Master'!$B$5:$B$504,MATCH(E725,'Operator Master'!$A$5:$A$504,0)),"")</f>
        <v/>
      </c>
      <c r="H725" s="14" t="str">
        <f aca="false">IFERROR(INDEX('Fault Master'!$B$5:$B$104,MATCH(G725,'Fault Master'!$A$5:$A$104,0)),"")</f>
        <v/>
      </c>
      <c r="I725" s="14" t="str">
        <f aca="false">IFERROR(INDEX('Fault Master'!$C$5:$C$104,MATCH(G725,'Fault Master'!$A$5:$A$104,0)),"")</f>
        <v/>
      </c>
      <c r="M725" s="14" t="str">
        <f aca="false">IFERROR(INDEX('Fault Master'!$D$5:$D$104,MATCH(G725,'Fault Master'!$A$5:$A$104,0)),"")</f>
        <v/>
      </c>
    </row>
    <row r="726" customFormat="false" ht="15" hidden="false" customHeight="true" outlineLevel="0" collapsed="false">
      <c r="A726" s="1" t="n">
        <v>721</v>
      </c>
      <c r="B726" s="13"/>
      <c r="F726" s="14" t="str">
        <f aca="false">IFERROR(INDEX('Operator Master'!$B$5:$B$504,MATCH(E726,'Operator Master'!$A$5:$A$504,0)),"")</f>
        <v/>
      </c>
      <c r="H726" s="14" t="str">
        <f aca="false">IFERROR(INDEX('Fault Master'!$B$5:$B$104,MATCH(G726,'Fault Master'!$A$5:$A$104,0)),"")</f>
        <v/>
      </c>
      <c r="I726" s="14" t="str">
        <f aca="false">IFERROR(INDEX('Fault Master'!$C$5:$C$104,MATCH(G726,'Fault Master'!$A$5:$A$104,0)),"")</f>
        <v/>
      </c>
      <c r="M726" s="14" t="str">
        <f aca="false">IFERROR(INDEX('Fault Master'!$D$5:$D$104,MATCH(G726,'Fault Master'!$A$5:$A$104,0)),"")</f>
        <v/>
      </c>
    </row>
    <row r="727" customFormat="false" ht="15" hidden="false" customHeight="true" outlineLevel="0" collapsed="false">
      <c r="A727" s="1" t="n">
        <v>722</v>
      </c>
      <c r="B727" s="13"/>
      <c r="F727" s="14" t="str">
        <f aca="false">IFERROR(INDEX('Operator Master'!$B$5:$B$504,MATCH(E727,'Operator Master'!$A$5:$A$504,0)),"")</f>
        <v/>
      </c>
      <c r="H727" s="14" t="str">
        <f aca="false">IFERROR(INDEX('Fault Master'!$B$5:$B$104,MATCH(G727,'Fault Master'!$A$5:$A$104,0)),"")</f>
        <v/>
      </c>
      <c r="I727" s="14" t="str">
        <f aca="false">IFERROR(INDEX('Fault Master'!$C$5:$C$104,MATCH(G727,'Fault Master'!$A$5:$A$104,0)),"")</f>
        <v/>
      </c>
      <c r="M727" s="14" t="str">
        <f aca="false">IFERROR(INDEX('Fault Master'!$D$5:$D$104,MATCH(G727,'Fault Master'!$A$5:$A$104,0)),"")</f>
        <v/>
      </c>
    </row>
    <row r="728" customFormat="false" ht="15" hidden="false" customHeight="true" outlineLevel="0" collapsed="false">
      <c r="A728" s="1" t="n">
        <v>723</v>
      </c>
      <c r="B728" s="13"/>
      <c r="F728" s="14" t="str">
        <f aca="false">IFERROR(INDEX('Operator Master'!$B$5:$B$504,MATCH(E728,'Operator Master'!$A$5:$A$504,0)),"")</f>
        <v/>
      </c>
      <c r="H728" s="14" t="str">
        <f aca="false">IFERROR(INDEX('Fault Master'!$B$5:$B$104,MATCH(G728,'Fault Master'!$A$5:$A$104,0)),"")</f>
        <v/>
      </c>
      <c r="I728" s="14" t="str">
        <f aca="false">IFERROR(INDEX('Fault Master'!$C$5:$C$104,MATCH(G728,'Fault Master'!$A$5:$A$104,0)),"")</f>
        <v/>
      </c>
      <c r="M728" s="14" t="str">
        <f aca="false">IFERROR(INDEX('Fault Master'!$D$5:$D$104,MATCH(G728,'Fault Master'!$A$5:$A$104,0)),"")</f>
        <v/>
      </c>
    </row>
    <row r="729" customFormat="false" ht="15" hidden="false" customHeight="true" outlineLevel="0" collapsed="false">
      <c r="A729" s="1" t="n">
        <v>724</v>
      </c>
      <c r="B729" s="13"/>
      <c r="F729" s="14" t="str">
        <f aca="false">IFERROR(INDEX('Operator Master'!$B$5:$B$504,MATCH(E729,'Operator Master'!$A$5:$A$504,0)),"")</f>
        <v/>
      </c>
      <c r="H729" s="14" t="str">
        <f aca="false">IFERROR(INDEX('Fault Master'!$B$5:$B$104,MATCH(G729,'Fault Master'!$A$5:$A$104,0)),"")</f>
        <v/>
      </c>
      <c r="I729" s="14" t="str">
        <f aca="false">IFERROR(INDEX('Fault Master'!$C$5:$C$104,MATCH(G729,'Fault Master'!$A$5:$A$104,0)),"")</f>
        <v/>
      </c>
      <c r="M729" s="14" t="str">
        <f aca="false">IFERROR(INDEX('Fault Master'!$D$5:$D$104,MATCH(G729,'Fault Master'!$A$5:$A$104,0)),"")</f>
        <v/>
      </c>
    </row>
    <row r="730" customFormat="false" ht="15" hidden="false" customHeight="true" outlineLevel="0" collapsed="false">
      <c r="A730" s="1" t="n">
        <v>725</v>
      </c>
      <c r="B730" s="13"/>
      <c r="F730" s="14" t="str">
        <f aca="false">IFERROR(INDEX('Operator Master'!$B$5:$B$504,MATCH(E730,'Operator Master'!$A$5:$A$504,0)),"")</f>
        <v/>
      </c>
      <c r="H730" s="14" t="str">
        <f aca="false">IFERROR(INDEX('Fault Master'!$B$5:$B$104,MATCH(G730,'Fault Master'!$A$5:$A$104,0)),"")</f>
        <v/>
      </c>
      <c r="I730" s="14" t="str">
        <f aca="false">IFERROR(INDEX('Fault Master'!$C$5:$C$104,MATCH(G730,'Fault Master'!$A$5:$A$104,0)),"")</f>
        <v/>
      </c>
      <c r="M730" s="14" t="str">
        <f aca="false">IFERROR(INDEX('Fault Master'!$D$5:$D$104,MATCH(G730,'Fault Master'!$A$5:$A$104,0)),"")</f>
        <v/>
      </c>
    </row>
    <row r="731" customFormat="false" ht="15" hidden="false" customHeight="true" outlineLevel="0" collapsed="false">
      <c r="A731" s="1" t="n">
        <v>726</v>
      </c>
      <c r="B731" s="13"/>
      <c r="F731" s="14" t="str">
        <f aca="false">IFERROR(INDEX('Operator Master'!$B$5:$B$504,MATCH(E731,'Operator Master'!$A$5:$A$504,0)),"")</f>
        <v/>
      </c>
      <c r="H731" s="14" t="str">
        <f aca="false">IFERROR(INDEX('Fault Master'!$B$5:$B$104,MATCH(G731,'Fault Master'!$A$5:$A$104,0)),"")</f>
        <v/>
      </c>
      <c r="I731" s="14" t="str">
        <f aca="false">IFERROR(INDEX('Fault Master'!$C$5:$C$104,MATCH(G731,'Fault Master'!$A$5:$A$104,0)),"")</f>
        <v/>
      </c>
      <c r="M731" s="14" t="str">
        <f aca="false">IFERROR(INDEX('Fault Master'!$D$5:$D$104,MATCH(G731,'Fault Master'!$A$5:$A$104,0)),"")</f>
        <v/>
      </c>
    </row>
    <row r="732" customFormat="false" ht="15" hidden="false" customHeight="true" outlineLevel="0" collapsed="false">
      <c r="A732" s="1" t="n">
        <v>727</v>
      </c>
      <c r="B732" s="13"/>
      <c r="F732" s="14" t="str">
        <f aca="false">IFERROR(INDEX('Operator Master'!$B$5:$B$504,MATCH(E732,'Operator Master'!$A$5:$A$504,0)),"")</f>
        <v/>
      </c>
      <c r="H732" s="14" t="str">
        <f aca="false">IFERROR(INDEX('Fault Master'!$B$5:$B$104,MATCH(G732,'Fault Master'!$A$5:$A$104,0)),"")</f>
        <v/>
      </c>
      <c r="I732" s="14" t="str">
        <f aca="false">IFERROR(INDEX('Fault Master'!$C$5:$C$104,MATCH(G732,'Fault Master'!$A$5:$A$104,0)),"")</f>
        <v/>
      </c>
      <c r="M732" s="14" t="str">
        <f aca="false">IFERROR(INDEX('Fault Master'!$D$5:$D$104,MATCH(G732,'Fault Master'!$A$5:$A$104,0)),"")</f>
        <v/>
      </c>
    </row>
    <row r="733" customFormat="false" ht="15" hidden="false" customHeight="true" outlineLevel="0" collapsed="false">
      <c r="A733" s="1" t="n">
        <v>728</v>
      </c>
      <c r="B733" s="13"/>
      <c r="F733" s="14" t="str">
        <f aca="false">IFERROR(INDEX('Operator Master'!$B$5:$B$504,MATCH(E733,'Operator Master'!$A$5:$A$504,0)),"")</f>
        <v/>
      </c>
      <c r="H733" s="14" t="str">
        <f aca="false">IFERROR(INDEX('Fault Master'!$B$5:$B$104,MATCH(G733,'Fault Master'!$A$5:$A$104,0)),"")</f>
        <v/>
      </c>
      <c r="I733" s="14" t="str">
        <f aca="false">IFERROR(INDEX('Fault Master'!$C$5:$C$104,MATCH(G733,'Fault Master'!$A$5:$A$104,0)),"")</f>
        <v/>
      </c>
      <c r="M733" s="14" t="str">
        <f aca="false">IFERROR(INDEX('Fault Master'!$D$5:$D$104,MATCH(G733,'Fault Master'!$A$5:$A$104,0)),"")</f>
        <v/>
      </c>
    </row>
    <row r="734" customFormat="false" ht="15" hidden="false" customHeight="true" outlineLevel="0" collapsed="false">
      <c r="A734" s="1" t="n">
        <v>729</v>
      </c>
      <c r="B734" s="13"/>
      <c r="F734" s="14" t="str">
        <f aca="false">IFERROR(INDEX('Operator Master'!$B$5:$B$504,MATCH(E734,'Operator Master'!$A$5:$A$504,0)),"")</f>
        <v/>
      </c>
      <c r="H734" s="14" t="str">
        <f aca="false">IFERROR(INDEX('Fault Master'!$B$5:$B$104,MATCH(G734,'Fault Master'!$A$5:$A$104,0)),"")</f>
        <v/>
      </c>
      <c r="I734" s="14" t="str">
        <f aca="false">IFERROR(INDEX('Fault Master'!$C$5:$C$104,MATCH(G734,'Fault Master'!$A$5:$A$104,0)),"")</f>
        <v/>
      </c>
      <c r="M734" s="14" t="str">
        <f aca="false">IFERROR(INDEX('Fault Master'!$D$5:$D$104,MATCH(G734,'Fault Master'!$A$5:$A$104,0)),"")</f>
        <v/>
      </c>
    </row>
    <row r="735" customFormat="false" ht="15" hidden="false" customHeight="true" outlineLevel="0" collapsed="false">
      <c r="A735" s="1" t="n">
        <v>730</v>
      </c>
      <c r="B735" s="13"/>
      <c r="F735" s="14" t="str">
        <f aca="false">IFERROR(INDEX('Operator Master'!$B$5:$B$504,MATCH(E735,'Operator Master'!$A$5:$A$504,0)),"")</f>
        <v/>
      </c>
      <c r="H735" s="14" t="str">
        <f aca="false">IFERROR(INDEX('Fault Master'!$B$5:$B$104,MATCH(G735,'Fault Master'!$A$5:$A$104,0)),"")</f>
        <v/>
      </c>
      <c r="I735" s="14" t="str">
        <f aca="false">IFERROR(INDEX('Fault Master'!$C$5:$C$104,MATCH(G735,'Fault Master'!$A$5:$A$104,0)),"")</f>
        <v/>
      </c>
      <c r="M735" s="14" t="str">
        <f aca="false">IFERROR(INDEX('Fault Master'!$D$5:$D$104,MATCH(G735,'Fault Master'!$A$5:$A$104,0)),"")</f>
        <v/>
      </c>
    </row>
    <row r="736" customFormat="false" ht="15" hidden="false" customHeight="true" outlineLevel="0" collapsed="false">
      <c r="A736" s="1" t="n">
        <v>731</v>
      </c>
      <c r="B736" s="13"/>
      <c r="F736" s="14" t="str">
        <f aca="false">IFERROR(INDEX('Operator Master'!$B$5:$B$504,MATCH(E736,'Operator Master'!$A$5:$A$504,0)),"")</f>
        <v/>
      </c>
      <c r="H736" s="14" t="str">
        <f aca="false">IFERROR(INDEX('Fault Master'!$B$5:$B$104,MATCH(G736,'Fault Master'!$A$5:$A$104,0)),"")</f>
        <v/>
      </c>
      <c r="I736" s="14" t="str">
        <f aca="false">IFERROR(INDEX('Fault Master'!$C$5:$C$104,MATCH(G736,'Fault Master'!$A$5:$A$104,0)),"")</f>
        <v/>
      </c>
      <c r="M736" s="14" t="str">
        <f aca="false">IFERROR(INDEX('Fault Master'!$D$5:$D$104,MATCH(G736,'Fault Master'!$A$5:$A$104,0)),"")</f>
        <v/>
      </c>
    </row>
    <row r="737" customFormat="false" ht="15" hidden="false" customHeight="true" outlineLevel="0" collapsed="false">
      <c r="A737" s="1" t="n">
        <v>732</v>
      </c>
      <c r="B737" s="13"/>
      <c r="F737" s="14" t="str">
        <f aca="false">IFERROR(INDEX('Operator Master'!$B$5:$B$504,MATCH(E737,'Operator Master'!$A$5:$A$504,0)),"")</f>
        <v/>
      </c>
      <c r="H737" s="14" t="str">
        <f aca="false">IFERROR(INDEX('Fault Master'!$B$5:$B$104,MATCH(G737,'Fault Master'!$A$5:$A$104,0)),"")</f>
        <v/>
      </c>
      <c r="I737" s="14" t="str">
        <f aca="false">IFERROR(INDEX('Fault Master'!$C$5:$C$104,MATCH(G737,'Fault Master'!$A$5:$A$104,0)),"")</f>
        <v/>
      </c>
      <c r="M737" s="14" t="str">
        <f aca="false">IFERROR(INDEX('Fault Master'!$D$5:$D$104,MATCH(G737,'Fault Master'!$A$5:$A$104,0)),"")</f>
        <v/>
      </c>
    </row>
    <row r="738" customFormat="false" ht="15" hidden="false" customHeight="true" outlineLevel="0" collapsed="false">
      <c r="A738" s="1" t="n">
        <v>733</v>
      </c>
      <c r="B738" s="13"/>
      <c r="F738" s="14" t="str">
        <f aca="false">IFERROR(INDEX('Operator Master'!$B$5:$B$504,MATCH(E738,'Operator Master'!$A$5:$A$504,0)),"")</f>
        <v/>
      </c>
      <c r="H738" s="14" t="str">
        <f aca="false">IFERROR(INDEX('Fault Master'!$B$5:$B$104,MATCH(G738,'Fault Master'!$A$5:$A$104,0)),"")</f>
        <v/>
      </c>
      <c r="I738" s="14" t="str">
        <f aca="false">IFERROR(INDEX('Fault Master'!$C$5:$C$104,MATCH(G738,'Fault Master'!$A$5:$A$104,0)),"")</f>
        <v/>
      </c>
      <c r="M738" s="14" t="str">
        <f aca="false">IFERROR(INDEX('Fault Master'!$D$5:$D$104,MATCH(G738,'Fault Master'!$A$5:$A$104,0)),"")</f>
        <v/>
      </c>
    </row>
    <row r="739" customFormat="false" ht="15" hidden="false" customHeight="true" outlineLevel="0" collapsed="false">
      <c r="A739" s="1" t="n">
        <v>734</v>
      </c>
      <c r="B739" s="13"/>
      <c r="F739" s="14" t="str">
        <f aca="false">IFERROR(INDEX('Operator Master'!$B$5:$B$504,MATCH(E739,'Operator Master'!$A$5:$A$504,0)),"")</f>
        <v/>
      </c>
      <c r="H739" s="14" t="str">
        <f aca="false">IFERROR(INDEX('Fault Master'!$B$5:$B$104,MATCH(G739,'Fault Master'!$A$5:$A$104,0)),"")</f>
        <v/>
      </c>
      <c r="I739" s="14" t="str">
        <f aca="false">IFERROR(INDEX('Fault Master'!$C$5:$C$104,MATCH(G739,'Fault Master'!$A$5:$A$104,0)),"")</f>
        <v/>
      </c>
      <c r="M739" s="14" t="str">
        <f aca="false">IFERROR(INDEX('Fault Master'!$D$5:$D$104,MATCH(G739,'Fault Master'!$A$5:$A$104,0)),"")</f>
        <v/>
      </c>
    </row>
    <row r="740" customFormat="false" ht="15" hidden="false" customHeight="true" outlineLevel="0" collapsed="false">
      <c r="A740" s="1" t="n">
        <v>735</v>
      </c>
      <c r="B740" s="13"/>
      <c r="F740" s="14" t="str">
        <f aca="false">IFERROR(INDEX('Operator Master'!$B$5:$B$504,MATCH(E740,'Operator Master'!$A$5:$A$504,0)),"")</f>
        <v/>
      </c>
      <c r="H740" s="14" t="str">
        <f aca="false">IFERROR(INDEX('Fault Master'!$B$5:$B$104,MATCH(G740,'Fault Master'!$A$5:$A$104,0)),"")</f>
        <v/>
      </c>
      <c r="I740" s="14" t="str">
        <f aca="false">IFERROR(INDEX('Fault Master'!$C$5:$C$104,MATCH(G740,'Fault Master'!$A$5:$A$104,0)),"")</f>
        <v/>
      </c>
      <c r="M740" s="14" t="str">
        <f aca="false">IFERROR(INDEX('Fault Master'!$D$5:$D$104,MATCH(G740,'Fault Master'!$A$5:$A$104,0)),"")</f>
        <v/>
      </c>
    </row>
    <row r="741" customFormat="false" ht="15" hidden="false" customHeight="true" outlineLevel="0" collapsed="false">
      <c r="A741" s="1" t="n">
        <v>736</v>
      </c>
      <c r="B741" s="13"/>
      <c r="F741" s="14" t="str">
        <f aca="false">IFERROR(INDEX('Operator Master'!$B$5:$B$504,MATCH(E741,'Operator Master'!$A$5:$A$504,0)),"")</f>
        <v/>
      </c>
      <c r="H741" s="14" t="str">
        <f aca="false">IFERROR(INDEX('Fault Master'!$B$5:$B$104,MATCH(G741,'Fault Master'!$A$5:$A$104,0)),"")</f>
        <v/>
      </c>
      <c r="I741" s="14" t="str">
        <f aca="false">IFERROR(INDEX('Fault Master'!$C$5:$C$104,MATCH(G741,'Fault Master'!$A$5:$A$104,0)),"")</f>
        <v/>
      </c>
      <c r="M741" s="14" t="str">
        <f aca="false">IFERROR(INDEX('Fault Master'!$D$5:$D$104,MATCH(G741,'Fault Master'!$A$5:$A$104,0)),"")</f>
        <v/>
      </c>
    </row>
    <row r="742" customFormat="false" ht="15" hidden="false" customHeight="true" outlineLevel="0" collapsed="false">
      <c r="A742" s="1" t="n">
        <v>737</v>
      </c>
      <c r="B742" s="13"/>
      <c r="F742" s="14" t="str">
        <f aca="false">IFERROR(INDEX('Operator Master'!$B$5:$B$504,MATCH(E742,'Operator Master'!$A$5:$A$504,0)),"")</f>
        <v/>
      </c>
      <c r="H742" s="14" t="str">
        <f aca="false">IFERROR(INDEX('Fault Master'!$B$5:$B$104,MATCH(G742,'Fault Master'!$A$5:$A$104,0)),"")</f>
        <v/>
      </c>
      <c r="I742" s="14" t="str">
        <f aca="false">IFERROR(INDEX('Fault Master'!$C$5:$C$104,MATCH(G742,'Fault Master'!$A$5:$A$104,0)),"")</f>
        <v/>
      </c>
      <c r="M742" s="14" t="str">
        <f aca="false">IFERROR(INDEX('Fault Master'!$D$5:$D$104,MATCH(G742,'Fault Master'!$A$5:$A$104,0)),"")</f>
        <v/>
      </c>
    </row>
    <row r="743" customFormat="false" ht="15" hidden="false" customHeight="true" outlineLevel="0" collapsed="false">
      <c r="A743" s="1" t="n">
        <v>738</v>
      </c>
      <c r="B743" s="13"/>
      <c r="F743" s="14" t="str">
        <f aca="false">IFERROR(INDEX('Operator Master'!$B$5:$B$504,MATCH(E743,'Operator Master'!$A$5:$A$504,0)),"")</f>
        <v/>
      </c>
      <c r="H743" s="14" t="str">
        <f aca="false">IFERROR(INDEX('Fault Master'!$B$5:$B$104,MATCH(G743,'Fault Master'!$A$5:$A$104,0)),"")</f>
        <v/>
      </c>
      <c r="I743" s="14" t="str">
        <f aca="false">IFERROR(INDEX('Fault Master'!$C$5:$C$104,MATCH(G743,'Fault Master'!$A$5:$A$104,0)),"")</f>
        <v/>
      </c>
      <c r="M743" s="14" t="str">
        <f aca="false">IFERROR(INDEX('Fault Master'!$D$5:$D$104,MATCH(G743,'Fault Master'!$A$5:$A$104,0)),"")</f>
        <v/>
      </c>
    </row>
    <row r="744" customFormat="false" ht="15" hidden="false" customHeight="true" outlineLevel="0" collapsed="false">
      <c r="A744" s="1" t="n">
        <v>739</v>
      </c>
      <c r="B744" s="13"/>
      <c r="F744" s="14" t="str">
        <f aca="false">IFERROR(INDEX('Operator Master'!$B$5:$B$504,MATCH(E744,'Operator Master'!$A$5:$A$504,0)),"")</f>
        <v/>
      </c>
      <c r="H744" s="14" t="str">
        <f aca="false">IFERROR(INDEX('Fault Master'!$B$5:$B$104,MATCH(G744,'Fault Master'!$A$5:$A$104,0)),"")</f>
        <v/>
      </c>
      <c r="I744" s="14" t="str">
        <f aca="false">IFERROR(INDEX('Fault Master'!$C$5:$C$104,MATCH(G744,'Fault Master'!$A$5:$A$104,0)),"")</f>
        <v/>
      </c>
      <c r="M744" s="14" t="str">
        <f aca="false">IFERROR(INDEX('Fault Master'!$D$5:$D$104,MATCH(G744,'Fault Master'!$A$5:$A$104,0)),"")</f>
        <v/>
      </c>
    </row>
    <row r="745" customFormat="false" ht="15" hidden="false" customHeight="true" outlineLevel="0" collapsed="false">
      <c r="A745" s="1" t="n">
        <v>740</v>
      </c>
      <c r="B745" s="13"/>
      <c r="F745" s="14" t="str">
        <f aca="false">IFERROR(INDEX('Operator Master'!$B$5:$B$504,MATCH(E745,'Operator Master'!$A$5:$A$504,0)),"")</f>
        <v/>
      </c>
      <c r="H745" s="14" t="str">
        <f aca="false">IFERROR(INDEX('Fault Master'!$B$5:$B$104,MATCH(G745,'Fault Master'!$A$5:$A$104,0)),"")</f>
        <v/>
      </c>
      <c r="I745" s="14" t="str">
        <f aca="false">IFERROR(INDEX('Fault Master'!$C$5:$C$104,MATCH(G745,'Fault Master'!$A$5:$A$104,0)),"")</f>
        <v/>
      </c>
      <c r="M745" s="14" t="str">
        <f aca="false">IFERROR(INDEX('Fault Master'!$D$5:$D$104,MATCH(G745,'Fault Master'!$A$5:$A$104,0)),"")</f>
        <v/>
      </c>
    </row>
    <row r="746" customFormat="false" ht="15" hidden="false" customHeight="true" outlineLevel="0" collapsed="false">
      <c r="A746" s="1" t="n">
        <v>741</v>
      </c>
      <c r="B746" s="13"/>
      <c r="F746" s="14" t="str">
        <f aca="false">IFERROR(INDEX('Operator Master'!$B$5:$B$504,MATCH(E746,'Operator Master'!$A$5:$A$504,0)),"")</f>
        <v/>
      </c>
      <c r="H746" s="14" t="str">
        <f aca="false">IFERROR(INDEX('Fault Master'!$B$5:$B$104,MATCH(G746,'Fault Master'!$A$5:$A$104,0)),"")</f>
        <v/>
      </c>
      <c r="I746" s="14" t="str">
        <f aca="false">IFERROR(INDEX('Fault Master'!$C$5:$C$104,MATCH(G746,'Fault Master'!$A$5:$A$104,0)),"")</f>
        <v/>
      </c>
      <c r="M746" s="14" t="str">
        <f aca="false">IFERROR(INDEX('Fault Master'!$D$5:$D$104,MATCH(G746,'Fault Master'!$A$5:$A$104,0)),"")</f>
        <v/>
      </c>
    </row>
    <row r="747" customFormat="false" ht="15" hidden="false" customHeight="true" outlineLevel="0" collapsed="false">
      <c r="A747" s="1" t="n">
        <v>742</v>
      </c>
      <c r="B747" s="13"/>
      <c r="F747" s="14" t="str">
        <f aca="false">IFERROR(INDEX('Operator Master'!$B$5:$B$504,MATCH(E747,'Operator Master'!$A$5:$A$504,0)),"")</f>
        <v/>
      </c>
      <c r="H747" s="14" t="str">
        <f aca="false">IFERROR(INDEX('Fault Master'!$B$5:$B$104,MATCH(G747,'Fault Master'!$A$5:$A$104,0)),"")</f>
        <v/>
      </c>
      <c r="I747" s="14" t="str">
        <f aca="false">IFERROR(INDEX('Fault Master'!$C$5:$C$104,MATCH(G747,'Fault Master'!$A$5:$A$104,0)),"")</f>
        <v/>
      </c>
      <c r="M747" s="14" t="str">
        <f aca="false">IFERROR(INDEX('Fault Master'!$D$5:$D$104,MATCH(G747,'Fault Master'!$A$5:$A$104,0)),"")</f>
        <v/>
      </c>
    </row>
    <row r="748" customFormat="false" ht="15" hidden="false" customHeight="true" outlineLevel="0" collapsed="false">
      <c r="A748" s="1" t="n">
        <v>743</v>
      </c>
      <c r="B748" s="13"/>
      <c r="F748" s="14" t="str">
        <f aca="false">IFERROR(INDEX('Operator Master'!$B$5:$B$504,MATCH(E748,'Operator Master'!$A$5:$A$504,0)),"")</f>
        <v/>
      </c>
      <c r="H748" s="14" t="str">
        <f aca="false">IFERROR(INDEX('Fault Master'!$B$5:$B$104,MATCH(G748,'Fault Master'!$A$5:$A$104,0)),"")</f>
        <v/>
      </c>
      <c r="I748" s="14" t="str">
        <f aca="false">IFERROR(INDEX('Fault Master'!$C$5:$C$104,MATCH(G748,'Fault Master'!$A$5:$A$104,0)),"")</f>
        <v/>
      </c>
      <c r="M748" s="14" t="str">
        <f aca="false">IFERROR(INDEX('Fault Master'!$D$5:$D$104,MATCH(G748,'Fault Master'!$A$5:$A$104,0)),"")</f>
        <v/>
      </c>
    </row>
    <row r="749" customFormat="false" ht="15" hidden="false" customHeight="true" outlineLevel="0" collapsed="false">
      <c r="A749" s="1" t="n">
        <v>744</v>
      </c>
      <c r="B749" s="13"/>
      <c r="F749" s="14" t="str">
        <f aca="false">IFERROR(INDEX('Operator Master'!$B$5:$B$504,MATCH(E749,'Operator Master'!$A$5:$A$504,0)),"")</f>
        <v/>
      </c>
      <c r="H749" s="14" t="str">
        <f aca="false">IFERROR(INDEX('Fault Master'!$B$5:$B$104,MATCH(G749,'Fault Master'!$A$5:$A$104,0)),"")</f>
        <v/>
      </c>
      <c r="I749" s="14" t="str">
        <f aca="false">IFERROR(INDEX('Fault Master'!$C$5:$C$104,MATCH(G749,'Fault Master'!$A$5:$A$104,0)),"")</f>
        <v/>
      </c>
      <c r="M749" s="14" t="str">
        <f aca="false">IFERROR(INDEX('Fault Master'!$D$5:$D$104,MATCH(G749,'Fault Master'!$A$5:$A$104,0)),"")</f>
        <v/>
      </c>
    </row>
    <row r="750" customFormat="false" ht="15" hidden="false" customHeight="true" outlineLevel="0" collapsed="false">
      <c r="A750" s="1" t="n">
        <v>745</v>
      </c>
      <c r="B750" s="13"/>
      <c r="F750" s="14" t="str">
        <f aca="false">IFERROR(INDEX('Operator Master'!$B$5:$B$504,MATCH(E750,'Operator Master'!$A$5:$A$504,0)),"")</f>
        <v/>
      </c>
      <c r="H750" s="14" t="str">
        <f aca="false">IFERROR(INDEX('Fault Master'!$B$5:$B$104,MATCH(G750,'Fault Master'!$A$5:$A$104,0)),"")</f>
        <v/>
      </c>
      <c r="I750" s="14" t="str">
        <f aca="false">IFERROR(INDEX('Fault Master'!$C$5:$C$104,MATCH(G750,'Fault Master'!$A$5:$A$104,0)),"")</f>
        <v/>
      </c>
      <c r="M750" s="14" t="str">
        <f aca="false">IFERROR(INDEX('Fault Master'!$D$5:$D$104,MATCH(G750,'Fault Master'!$A$5:$A$104,0)),"")</f>
        <v/>
      </c>
    </row>
    <row r="751" customFormat="false" ht="15" hidden="false" customHeight="true" outlineLevel="0" collapsed="false">
      <c r="A751" s="1" t="n">
        <v>746</v>
      </c>
      <c r="B751" s="13"/>
      <c r="F751" s="14" t="str">
        <f aca="false">IFERROR(INDEX('Operator Master'!$B$5:$B$504,MATCH(E751,'Operator Master'!$A$5:$A$504,0)),"")</f>
        <v/>
      </c>
      <c r="H751" s="14" t="str">
        <f aca="false">IFERROR(INDEX('Fault Master'!$B$5:$B$104,MATCH(G751,'Fault Master'!$A$5:$A$104,0)),"")</f>
        <v/>
      </c>
      <c r="I751" s="14" t="str">
        <f aca="false">IFERROR(INDEX('Fault Master'!$C$5:$C$104,MATCH(G751,'Fault Master'!$A$5:$A$104,0)),"")</f>
        <v/>
      </c>
      <c r="M751" s="14" t="str">
        <f aca="false">IFERROR(INDEX('Fault Master'!$D$5:$D$104,MATCH(G751,'Fault Master'!$A$5:$A$104,0)),"")</f>
        <v/>
      </c>
    </row>
    <row r="752" customFormat="false" ht="15" hidden="false" customHeight="true" outlineLevel="0" collapsed="false">
      <c r="A752" s="1" t="n">
        <v>747</v>
      </c>
      <c r="B752" s="13"/>
      <c r="F752" s="14" t="str">
        <f aca="false">IFERROR(INDEX('Operator Master'!$B$5:$B$504,MATCH(E752,'Operator Master'!$A$5:$A$504,0)),"")</f>
        <v/>
      </c>
      <c r="H752" s="14" t="str">
        <f aca="false">IFERROR(INDEX('Fault Master'!$B$5:$B$104,MATCH(G752,'Fault Master'!$A$5:$A$104,0)),"")</f>
        <v/>
      </c>
      <c r="I752" s="14" t="str">
        <f aca="false">IFERROR(INDEX('Fault Master'!$C$5:$C$104,MATCH(G752,'Fault Master'!$A$5:$A$104,0)),"")</f>
        <v/>
      </c>
      <c r="M752" s="14" t="str">
        <f aca="false">IFERROR(INDEX('Fault Master'!$D$5:$D$104,MATCH(G752,'Fault Master'!$A$5:$A$104,0)),"")</f>
        <v/>
      </c>
    </row>
    <row r="753" customFormat="false" ht="15" hidden="false" customHeight="true" outlineLevel="0" collapsed="false">
      <c r="A753" s="1" t="n">
        <v>748</v>
      </c>
      <c r="B753" s="13"/>
      <c r="F753" s="14" t="str">
        <f aca="false">IFERROR(INDEX('Operator Master'!$B$5:$B$504,MATCH(E753,'Operator Master'!$A$5:$A$504,0)),"")</f>
        <v/>
      </c>
      <c r="H753" s="14" t="str">
        <f aca="false">IFERROR(INDEX('Fault Master'!$B$5:$B$104,MATCH(G753,'Fault Master'!$A$5:$A$104,0)),"")</f>
        <v/>
      </c>
      <c r="I753" s="14" t="str">
        <f aca="false">IFERROR(INDEX('Fault Master'!$C$5:$C$104,MATCH(G753,'Fault Master'!$A$5:$A$104,0)),"")</f>
        <v/>
      </c>
      <c r="M753" s="14" t="str">
        <f aca="false">IFERROR(INDEX('Fault Master'!$D$5:$D$104,MATCH(G753,'Fault Master'!$A$5:$A$104,0)),"")</f>
        <v/>
      </c>
    </row>
    <row r="754" customFormat="false" ht="15" hidden="false" customHeight="true" outlineLevel="0" collapsed="false">
      <c r="A754" s="1" t="n">
        <v>749</v>
      </c>
      <c r="B754" s="13"/>
      <c r="F754" s="14" t="str">
        <f aca="false">IFERROR(INDEX('Operator Master'!$B$5:$B$504,MATCH(E754,'Operator Master'!$A$5:$A$504,0)),"")</f>
        <v/>
      </c>
      <c r="H754" s="14" t="str">
        <f aca="false">IFERROR(INDEX('Fault Master'!$B$5:$B$104,MATCH(G754,'Fault Master'!$A$5:$A$104,0)),"")</f>
        <v/>
      </c>
      <c r="I754" s="14" t="str">
        <f aca="false">IFERROR(INDEX('Fault Master'!$C$5:$C$104,MATCH(G754,'Fault Master'!$A$5:$A$104,0)),"")</f>
        <v/>
      </c>
      <c r="M754" s="14" t="str">
        <f aca="false">IFERROR(INDEX('Fault Master'!$D$5:$D$104,MATCH(G754,'Fault Master'!$A$5:$A$104,0)),"")</f>
        <v/>
      </c>
    </row>
    <row r="755" customFormat="false" ht="15" hidden="false" customHeight="true" outlineLevel="0" collapsed="false">
      <c r="A755" s="1" t="n">
        <v>750</v>
      </c>
      <c r="B755" s="13"/>
      <c r="F755" s="14" t="str">
        <f aca="false">IFERROR(INDEX('Operator Master'!$B$5:$B$504,MATCH(E755,'Operator Master'!$A$5:$A$504,0)),"")</f>
        <v/>
      </c>
      <c r="H755" s="14" t="str">
        <f aca="false">IFERROR(INDEX('Fault Master'!$B$5:$B$104,MATCH(G755,'Fault Master'!$A$5:$A$104,0)),"")</f>
        <v/>
      </c>
      <c r="I755" s="14" t="str">
        <f aca="false">IFERROR(INDEX('Fault Master'!$C$5:$C$104,MATCH(G755,'Fault Master'!$A$5:$A$104,0)),"")</f>
        <v/>
      </c>
      <c r="M755" s="14" t="str">
        <f aca="false">IFERROR(INDEX('Fault Master'!$D$5:$D$104,MATCH(G755,'Fault Master'!$A$5:$A$104,0)),"")</f>
        <v/>
      </c>
    </row>
    <row r="756" customFormat="false" ht="15" hidden="false" customHeight="true" outlineLevel="0" collapsed="false">
      <c r="A756" s="1" t="n">
        <v>751</v>
      </c>
      <c r="B756" s="13"/>
      <c r="F756" s="14" t="str">
        <f aca="false">IFERROR(INDEX('Operator Master'!$B$5:$B$504,MATCH(E756,'Operator Master'!$A$5:$A$504,0)),"")</f>
        <v/>
      </c>
      <c r="H756" s="14" t="str">
        <f aca="false">IFERROR(INDEX('Fault Master'!$B$5:$B$104,MATCH(G756,'Fault Master'!$A$5:$A$104,0)),"")</f>
        <v/>
      </c>
      <c r="I756" s="14" t="str">
        <f aca="false">IFERROR(INDEX('Fault Master'!$C$5:$C$104,MATCH(G756,'Fault Master'!$A$5:$A$104,0)),"")</f>
        <v/>
      </c>
      <c r="M756" s="14" t="str">
        <f aca="false">IFERROR(INDEX('Fault Master'!$D$5:$D$104,MATCH(G756,'Fault Master'!$A$5:$A$104,0)),"")</f>
        <v/>
      </c>
    </row>
    <row r="757" customFormat="false" ht="15" hidden="false" customHeight="true" outlineLevel="0" collapsed="false">
      <c r="A757" s="1" t="n">
        <v>752</v>
      </c>
      <c r="B757" s="13"/>
      <c r="F757" s="14" t="str">
        <f aca="false">IFERROR(INDEX('Operator Master'!$B$5:$B$504,MATCH(E757,'Operator Master'!$A$5:$A$504,0)),"")</f>
        <v/>
      </c>
      <c r="H757" s="14" t="str">
        <f aca="false">IFERROR(INDEX('Fault Master'!$B$5:$B$104,MATCH(G757,'Fault Master'!$A$5:$A$104,0)),"")</f>
        <v/>
      </c>
      <c r="I757" s="14" t="str">
        <f aca="false">IFERROR(INDEX('Fault Master'!$C$5:$C$104,MATCH(G757,'Fault Master'!$A$5:$A$104,0)),"")</f>
        <v/>
      </c>
      <c r="M757" s="14" t="str">
        <f aca="false">IFERROR(INDEX('Fault Master'!$D$5:$D$104,MATCH(G757,'Fault Master'!$A$5:$A$104,0)),"")</f>
        <v/>
      </c>
    </row>
    <row r="758" customFormat="false" ht="15" hidden="false" customHeight="true" outlineLevel="0" collapsed="false">
      <c r="A758" s="1" t="n">
        <v>753</v>
      </c>
      <c r="B758" s="13"/>
      <c r="F758" s="14" t="str">
        <f aca="false">IFERROR(INDEX('Operator Master'!$B$5:$B$504,MATCH(E758,'Operator Master'!$A$5:$A$504,0)),"")</f>
        <v/>
      </c>
      <c r="H758" s="14" t="str">
        <f aca="false">IFERROR(INDEX('Fault Master'!$B$5:$B$104,MATCH(G758,'Fault Master'!$A$5:$A$104,0)),"")</f>
        <v/>
      </c>
      <c r="I758" s="14" t="str">
        <f aca="false">IFERROR(INDEX('Fault Master'!$C$5:$C$104,MATCH(G758,'Fault Master'!$A$5:$A$104,0)),"")</f>
        <v/>
      </c>
      <c r="M758" s="14" t="str">
        <f aca="false">IFERROR(INDEX('Fault Master'!$D$5:$D$104,MATCH(G758,'Fault Master'!$A$5:$A$104,0)),"")</f>
        <v/>
      </c>
    </row>
    <row r="759" customFormat="false" ht="15" hidden="false" customHeight="true" outlineLevel="0" collapsed="false">
      <c r="A759" s="1" t="n">
        <v>754</v>
      </c>
      <c r="B759" s="13"/>
      <c r="F759" s="14" t="str">
        <f aca="false">IFERROR(INDEX('Operator Master'!$B$5:$B$504,MATCH(E759,'Operator Master'!$A$5:$A$504,0)),"")</f>
        <v/>
      </c>
      <c r="H759" s="14" t="str">
        <f aca="false">IFERROR(INDEX('Fault Master'!$B$5:$B$104,MATCH(G759,'Fault Master'!$A$5:$A$104,0)),"")</f>
        <v/>
      </c>
      <c r="I759" s="14" t="str">
        <f aca="false">IFERROR(INDEX('Fault Master'!$C$5:$C$104,MATCH(G759,'Fault Master'!$A$5:$A$104,0)),"")</f>
        <v/>
      </c>
      <c r="M759" s="14" t="str">
        <f aca="false">IFERROR(INDEX('Fault Master'!$D$5:$D$104,MATCH(G759,'Fault Master'!$A$5:$A$104,0)),"")</f>
        <v/>
      </c>
    </row>
    <row r="760" customFormat="false" ht="15" hidden="false" customHeight="true" outlineLevel="0" collapsed="false">
      <c r="A760" s="1" t="n">
        <v>755</v>
      </c>
      <c r="B760" s="13"/>
      <c r="F760" s="14" t="str">
        <f aca="false">IFERROR(INDEX('Operator Master'!$B$5:$B$504,MATCH(E760,'Operator Master'!$A$5:$A$504,0)),"")</f>
        <v/>
      </c>
      <c r="H760" s="14" t="str">
        <f aca="false">IFERROR(INDEX('Fault Master'!$B$5:$B$104,MATCH(G760,'Fault Master'!$A$5:$A$104,0)),"")</f>
        <v/>
      </c>
      <c r="I760" s="14" t="str">
        <f aca="false">IFERROR(INDEX('Fault Master'!$C$5:$C$104,MATCH(G760,'Fault Master'!$A$5:$A$104,0)),"")</f>
        <v/>
      </c>
      <c r="M760" s="14" t="str">
        <f aca="false">IFERROR(INDEX('Fault Master'!$D$5:$D$104,MATCH(G760,'Fault Master'!$A$5:$A$104,0)),"")</f>
        <v/>
      </c>
    </row>
    <row r="761" customFormat="false" ht="15" hidden="false" customHeight="true" outlineLevel="0" collapsed="false">
      <c r="A761" s="1" t="n">
        <v>756</v>
      </c>
      <c r="B761" s="13"/>
      <c r="F761" s="14" t="str">
        <f aca="false">IFERROR(INDEX('Operator Master'!$B$5:$B$504,MATCH(E761,'Operator Master'!$A$5:$A$504,0)),"")</f>
        <v/>
      </c>
      <c r="H761" s="14" t="str">
        <f aca="false">IFERROR(INDEX('Fault Master'!$B$5:$B$104,MATCH(G761,'Fault Master'!$A$5:$A$104,0)),"")</f>
        <v/>
      </c>
      <c r="I761" s="14" t="str">
        <f aca="false">IFERROR(INDEX('Fault Master'!$C$5:$C$104,MATCH(G761,'Fault Master'!$A$5:$A$104,0)),"")</f>
        <v/>
      </c>
      <c r="M761" s="14" t="str">
        <f aca="false">IFERROR(INDEX('Fault Master'!$D$5:$D$104,MATCH(G761,'Fault Master'!$A$5:$A$104,0)),"")</f>
        <v/>
      </c>
    </row>
    <row r="762" customFormat="false" ht="15" hidden="false" customHeight="true" outlineLevel="0" collapsed="false">
      <c r="A762" s="1" t="n">
        <v>757</v>
      </c>
      <c r="B762" s="13"/>
      <c r="F762" s="14" t="str">
        <f aca="false">IFERROR(INDEX('Operator Master'!$B$5:$B$504,MATCH(E762,'Operator Master'!$A$5:$A$504,0)),"")</f>
        <v/>
      </c>
      <c r="H762" s="14" t="str">
        <f aca="false">IFERROR(INDEX('Fault Master'!$B$5:$B$104,MATCH(G762,'Fault Master'!$A$5:$A$104,0)),"")</f>
        <v/>
      </c>
      <c r="I762" s="14" t="str">
        <f aca="false">IFERROR(INDEX('Fault Master'!$C$5:$C$104,MATCH(G762,'Fault Master'!$A$5:$A$104,0)),"")</f>
        <v/>
      </c>
      <c r="M762" s="14" t="str">
        <f aca="false">IFERROR(INDEX('Fault Master'!$D$5:$D$104,MATCH(G762,'Fault Master'!$A$5:$A$104,0)),"")</f>
        <v/>
      </c>
    </row>
    <row r="763" customFormat="false" ht="15" hidden="false" customHeight="true" outlineLevel="0" collapsed="false">
      <c r="A763" s="1" t="n">
        <v>758</v>
      </c>
      <c r="B763" s="13"/>
      <c r="F763" s="14" t="str">
        <f aca="false">IFERROR(INDEX('Operator Master'!$B$5:$B$504,MATCH(E763,'Operator Master'!$A$5:$A$504,0)),"")</f>
        <v/>
      </c>
      <c r="H763" s="14" t="str">
        <f aca="false">IFERROR(INDEX('Fault Master'!$B$5:$B$104,MATCH(G763,'Fault Master'!$A$5:$A$104,0)),"")</f>
        <v/>
      </c>
      <c r="I763" s="14" t="str">
        <f aca="false">IFERROR(INDEX('Fault Master'!$C$5:$C$104,MATCH(G763,'Fault Master'!$A$5:$A$104,0)),"")</f>
        <v/>
      </c>
      <c r="M763" s="14" t="str">
        <f aca="false">IFERROR(INDEX('Fault Master'!$D$5:$D$104,MATCH(G763,'Fault Master'!$A$5:$A$104,0)),"")</f>
        <v/>
      </c>
    </row>
    <row r="764" customFormat="false" ht="15" hidden="false" customHeight="true" outlineLevel="0" collapsed="false">
      <c r="A764" s="1" t="n">
        <v>759</v>
      </c>
      <c r="B764" s="13"/>
      <c r="F764" s="14" t="str">
        <f aca="false">IFERROR(INDEX('Operator Master'!$B$5:$B$504,MATCH(E764,'Operator Master'!$A$5:$A$504,0)),"")</f>
        <v/>
      </c>
      <c r="H764" s="14" t="str">
        <f aca="false">IFERROR(INDEX('Fault Master'!$B$5:$B$104,MATCH(G764,'Fault Master'!$A$5:$A$104,0)),"")</f>
        <v/>
      </c>
      <c r="I764" s="14" t="str">
        <f aca="false">IFERROR(INDEX('Fault Master'!$C$5:$C$104,MATCH(G764,'Fault Master'!$A$5:$A$104,0)),"")</f>
        <v/>
      </c>
      <c r="M764" s="14" t="str">
        <f aca="false">IFERROR(INDEX('Fault Master'!$D$5:$D$104,MATCH(G764,'Fault Master'!$A$5:$A$104,0)),"")</f>
        <v/>
      </c>
    </row>
    <row r="765" customFormat="false" ht="15" hidden="false" customHeight="true" outlineLevel="0" collapsed="false">
      <c r="A765" s="1" t="n">
        <v>760</v>
      </c>
      <c r="B765" s="13"/>
      <c r="F765" s="14" t="str">
        <f aca="false">IFERROR(INDEX('Operator Master'!$B$5:$B$504,MATCH(E765,'Operator Master'!$A$5:$A$504,0)),"")</f>
        <v/>
      </c>
      <c r="H765" s="14" t="str">
        <f aca="false">IFERROR(INDEX('Fault Master'!$B$5:$B$104,MATCH(G765,'Fault Master'!$A$5:$A$104,0)),"")</f>
        <v/>
      </c>
      <c r="I765" s="14" t="str">
        <f aca="false">IFERROR(INDEX('Fault Master'!$C$5:$C$104,MATCH(G765,'Fault Master'!$A$5:$A$104,0)),"")</f>
        <v/>
      </c>
      <c r="M765" s="14" t="str">
        <f aca="false">IFERROR(INDEX('Fault Master'!$D$5:$D$104,MATCH(G765,'Fault Master'!$A$5:$A$104,0)),"")</f>
        <v/>
      </c>
    </row>
    <row r="766" customFormat="false" ht="15" hidden="false" customHeight="true" outlineLevel="0" collapsed="false">
      <c r="A766" s="1" t="n">
        <v>761</v>
      </c>
      <c r="B766" s="13"/>
      <c r="F766" s="14" t="str">
        <f aca="false">IFERROR(INDEX('Operator Master'!$B$5:$B$504,MATCH(E766,'Operator Master'!$A$5:$A$504,0)),"")</f>
        <v/>
      </c>
      <c r="H766" s="14" t="str">
        <f aca="false">IFERROR(INDEX('Fault Master'!$B$5:$B$104,MATCH(G766,'Fault Master'!$A$5:$A$104,0)),"")</f>
        <v/>
      </c>
      <c r="I766" s="14" t="str">
        <f aca="false">IFERROR(INDEX('Fault Master'!$C$5:$C$104,MATCH(G766,'Fault Master'!$A$5:$A$104,0)),"")</f>
        <v/>
      </c>
      <c r="M766" s="14" t="str">
        <f aca="false">IFERROR(INDEX('Fault Master'!$D$5:$D$104,MATCH(G766,'Fault Master'!$A$5:$A$104,0)),"")</f>
        <v/>
      </c>
    </row>
    <row r="767" customFormat="false" ht="15" hidden="false" customHeight="true" outlineLevel="0" collapsed="false">
      <c r="A767" s="1" t="n">
        <v>762</v>
      </c>
      <c r="B767" s="13"/>
      <c r="F767" s="14" t="str">
        <f aca="false">IFERROR(INDEX('Operator Master'!$B$5:$B$504,MATCH(E767,'Operator Master'!$A$5:$A$504,0)),"")</f>
        <v/>
      </c>
      <c r="H767" s="14" t="str">
        <f aca="false">IFERROR(INDEX('Fault Master'!$B$5:$B$104,MATCH(G767,'Fault Master'!$A$5:$A$104,0)),"")</f>
        <v/>
      </c>
      <c r="I767" s="14" t="str">
        <f aca="false">IFERROR(INDEX('Fault Master'!$C$5:$C$104,MATCH(G767,'Fault Master'!$A$5:$A$104,0)),"")</f>
        <v/>
      </c>
      <c r="M767" s="14" t="str">
        <f aca="false">IFERROR(INDEX('Fault Master'!$D$5:$D$104,MATCH(G767,'Fault Master'!$A$5:$A$104,0)),"")</f>
        <v/>
      </c>
    </row>
    <row r="768" customFormat="false" ht="15" hidden="false" customHeight="true" outlineLevel="0" collapsed="false">
      <c r="A768" s="1" t="n">
        <v>763</v>
      </c>
      <c r="B768" s="13"/>
      <c r="F768" s="14" t="str">
        <f aca="false">IFERROR(INDEX('Operator Master'!$B$5:$B$504,MATCH(E768,'Operator Master'!$A$5:$A$504,0)),"")</f>
        <v/>
      </c>
      <c r="H768" s="14" t="str">
        <f aca="false">IFERROR(INDEX('Fault Master'!$B$5:$B$104,MATCH(G768,'Fault Master'!$A$5:$A$104,0)),"")</f>
        <v/>
      </c>
      <c r="I768" s="14" t="str">
        <f aca="false">IFERROR(INDEX('Fault Master'!$C$5:$C$104,MATCH(G768,'Fault Master'!$A$5:$A$104,0)),"")</f>
        <v/>
      </c>
      <c r="M768" s="14" t="str">
        <f aca="false">IFERROR(INDEX('Fault Master'!$D$5:$D$104,MATCH(G768,'Fault Master'!$A$5:$A$104,0)),"")</f>
        <v/>
      </c>
    </row>
    <row r="769" customFormat="false" ht="15" hidden="false" customHeight="true" outlineLevel="0" collapsed="false">
      <c r="A769" s="1" t="n">
        <v>764</v>
      </c>
      <c r="B769" s="13"/>
      <c r="F769" s="14" t="str">
        <f aca="false">IFERROR(INDEX('Operator Master'!$B$5:$B$504,MATCH(E769,'Operator Master'!$A$5:$A$504,0)),"")</f>
        <v/>
      </c>
      <c r="H769" s="14" t="str">
        <f aca="false">IFERROR(INDEX('Fault Master'!$B$5:$B$104,MATCH(G769,'Fault Master'!$A$5:$A$104,0)),"")</f>
        <v/>
      </c>
      <c r="I769" s="14" t="str">
        <f aca="false">IFERROR(INDEX('Fault Master'!$C$5:$C$104,MATCH(G769,'Fault Master'!$A$5:$A$104,0)),"")</f>
        <v/>
      </c>
      <c r="M769" s="14" t="str">
        <f aca="false">IFERROR(INDEX('Fault Master'!$D$5:$D$104,MATCH(G769,'Fault Master'!$A$5:$A$104,0)),"")</f>
        <v/>
      </c>
    </row>
    <row r="770" customFormat="false" ht="15" hidden="false" customHeight="true" outlineLevel="0" collapsed="false">
      <c r="A770" s="1" t="n">
        <v>765</v>
      </c>
      <c r="B770" s="13"/>
      <c r="F770" s="14" t="str">
        <f aca="false">IFERROR(INDEX('Operator Master'!$B$5:$B$504,MATCH(E770,'Operator Master'!$A$5:$A$504,0)),"")</f>
        <v/>
      </c>
      <c r="H770" s="14" t="str">
        <f aca="false">IFERROR(INDEX('Fault Master'!$B$5:$B$104,MATCH(G770,'Fault Master'!$A$5:$A$104,0)),"")</f>
        <v/>
      </c>
      <c r="I770" s="14" t="str">
        <f aca="false">IFERROR(INDEX('Fault Master'!$C$5:$C$104,MATCH(G770,'Fault Master'!$A$5:$A$104,0)),"")</f>
        <v/>
      </c>
      <c r="M770" s="14" t="str">
        <f aca="false">IFERROR(INDEX('Fault Master'!$D$5:$D$104,MATCH(G770,'Fault Master'!$A$5:$A$104,0)),"")</f>
        <v/>
      </c>
    </row>
    <row r="771" customFormat="false" ht="15" hidden="false" customHeight="true" outlineLevel="0" collapsed="false">
      <c r="A771" s="1" t="n">
        <v>766</v>
      </c>
      <c r="B771" s="13"/>
      <c r="F771" s="14" t="str">
        <f aca="false">IFERROR(INDEX('Operator Master'!$B$5:$B$504,MATCH(E771,'Operator Master'!$A$5:$A$504,0)),"")</f>
        <v/>
      </c>
      <c r="H771" s="14" t="str">
        <f aca="false">IFERROR(INDEX('Fault Master'!$B$5:$B$104,MATCH(G771,'Fault Master'!$A$5:$A$104,0)),"")</f>
        <v/>
      </c>
      <c r="I771" s="14" t="str">
        <f aca="false">IFERROR(INDEX('Fault Master'!$C$5:$C$104,MATCH(G771,'Fault Master'!$A$5:$A$104,0)),"")</f>
        <v/>
      </c>
      <c r="M771" s="14" t="str">
        <f aca="false">IFERROR(INDEX('Fault Master'!$D$5:$D$104,MATCH(G771,'Fault Master'!$A$5:$A$104,0)),"")</f>
        <v/>
      </c>
    </row>
    <row r="772" customFormat="false" ht="15" hidden="false" customHeight="true" outlineLevel="0" collapsed="false">
      <c r="A772" s="1" t="n">
        <v>767</v>
      </c>
      <c r="B772" s="13"/>
      <c r="F772" s="14" t="str">
        <f aca="false">IFERROR(INDEX('Operator Master'!$B$5:$B$504,MATCH(E772,'Operator Master'!$A$5:$A$504,0)),"")</f>
        <v/>
      </c>
      <c r="H772" s="14" t="str">
        <f aca="false">IFERROR(INDEX('Fault Master'!$B$5:$B$104,MATCH(G772,'Fault Master'!$A$5:$A$104,0)),"")</f>
        <v/>
      </c>
      <c r="I772" s="14" t="str">
        <f aca="false">IFERROR(INDEX('Fault Master'!$C$5:$C$104,MATCH(G772,'Fault Master'!$A$5:$A$104,0)),"")</f>
        <v/>
      </c>
      <c r="M772" s="14" t="str">
        <f aca="false">IFERROR(INDEX('Fault Master'!$D$5:$D$104,MATCH(G772,'Fault Master'!$A$5:$A$104,0)),"")</f>
        <v/>
      </c>
    </row>
    <row r="773" customFormat="false" ht="15" hidden="false" customHeight="true" outlineLevel="0" collapsed="false">
      <c r="A773" s="1" t="n">
        <v>768</v>
      </c>
      <c r="B773" s="13"/>
      <c r="F773" s="14" t="str">
        <f aca="false">IFERROR(INDEX('Operator Master'!$B$5:$B$504,MATCH(E773,'Operator Master'!$A$5:$A$504,0)),"")</f>
        <v/>
      </c>
      <c r="H773" s="14" t="str">
        <f aca="false">IFERROR(INDEX('Fault Master'!$B$5:$B$104,MATCH(G773,'Fault Master'!$A$5:$A$104,0)),"")</f>
        <v/>
      </c>
      <c r="I773" s="14" t="str">
        <f aca="false">IFERROR(INDEX('Fault Master'!$C$5:$C$104,MATCH(G773,'Fault Master'!$A$5:$A$104,0)),"")</f>
        <v/>
      </c>
      <c r="M773" s="14" t="str">
        <f aca="false">IFERROR(INDEX('Fault Master'!$D$5:$D$104,MATCH(G773,'Fault Master'!$A$5:$A$104,0)),"")</f>
        <v/>
      </c>
    </row>
    <row r="774" customFormat="false" ht="15" hidden="false" customHeight="true" outlineLevel="0" collapsed="false">
      <c r="A774" s="1" t="n">
        <v>769</v>
      </c>
      <c r="B774" s="13"/>
      <c r="F774" s="14" t="str">
        <f aca="false">IFERROR(INDEX('Operator Master'!$B$5:$B$504,MATCH(E774,'Operator Master'!$A$5:$A$504,0)),"")</f>
        <v/>
      </c>
      <c r="H774" s="14" t="str">
        <f aca="false">IFERROR(INDEX('Fault Master'!$B$5:$B$104,MATCH(G774,'Fault Master'!$A$5:$A$104,0)),"")</f>
        <v/>
      </c>
      <c r="I774" s="14" t="str">
        <f aca="false">IFERROR(INDEX('Fault Master'!$C$5:$C$104,MATCH(G774,'Fault Master'!$A$5:$A$104,0)),"")</f>
        <v/>
      </c>
      <c r="M774" s="14" t="str">
        <f aca="false">IFERROR(INDEX('Fault Master'!$D$5:$D$104,MATCH(G774,'Fault Master'!$A$5:$A$104,0)),"")</f>
        <v/>
      </c>
    </row>
    <row r="775" customFormat="false" ht="15" hidden="false" customHeight="true" outlineLevel="0" collapsed="false">
      <c r="A775" s="1" t="n">
        <v>770</v>
      </c>
      <c r="B775" s="13"/>
      <c r="F775" s="14" t="str">
        <f aca="false">IFERROR(INDEX('Operator Master'!$B$5:$B$504,MATCH(E775,'Operator Master'!$A$5:$A$504,0)),"")</f>
        <v/>
      </c>
      <c r="H775" s="14" t="str">
        <f aca="false">IFERROR(INDEX('Fault Master'!$B$5:$B$104,MATCH(G775,'Fault Master'!$A$5:$A$104,0)),"")</f>
        <v/>
      </c>
      <c r="I775" s="14" t="str">
        <f aca="false">IFERROR(INDEX('Fault Master'!$C$5:$C$104,MATCH(G775,'Fault Master'!$A$5:$A$104,0)),"")</f>
        <v/>
      </c>
      <c r="M775" s="14" t="str">
        <f aca="false">IFERROR(INDEX('Fault Master'!$D$5:$D$104,MATCH(G775,'Fault Master'!$A$5:$A$104,0)),"")</f>
        <v/>
      </c>
    </row>
    <row r="776" customFormat="false" ht="15" hidden="false" customHeight="true" outlineLevel="0" collapsed="false">
      <c r="A776" s="1" t="n">
        <v>771</v>
      </c>
      <c r="B776" s="13"/>
      <c r="F776" s="14" t="str">
        <f aca="false">IFERROR(INDEX('Operator Master'!$B$5:$B$504,MATCH(E776,'Operator Master'!$A$5:$A$504,0)),"")</f>
        <v/>
      </c>
      <c r="H776" s="14" t="str">
        <f aca="false">IFERROR(INDEX('Fault Master'!$B$5:$B$104,MATCH(G776,'Fault Master'!$A$5:$A$104,0)),"")</f>
        <v/>
      </c>
      <c r="I776" s="14" t="str">
        <f aca="false">IFERROR(INDEX('Fault Master'!$C$5:$C$104,MATCH(G776,'Fault Master'!$A$5:$A$104,0)),"")</f>
        <v/>
      </c>
      <c r="M776" s="14" t="str">
        <f aca="false">IFERROR(INDEX('Fault Master'!$D$5:$D$104,MATCH(G776,'Fault Master'!$A$5:$A$104,0)),"")</f>
        <v/>
      </c>
    </row>
    <row r="777" customFormat="false" ht="15" hidden="false" customHeight="true" outlineLevel="0" collapsed="false">
      <c r="A777" s="1" t="n">
        <v>772</v>
      </c>
      <c r="B777" s="13"/>
      <c r="F777" s="14" t="str">
        <f aca="false">IFERROR(INDEX('Operator Master'!$B$5:$B$504,MATCH(E777,'Operator Master'!$A$5:$A$504,0)),"")</f>
        <v/>
      </c>
      <c r="H777" s="14" t="str">
        <f aca="false">IFERROR(INDEX('Fault Master'!$B$5:$B$104,MATCH(G777,'Fault Master'!$A$5:$A$104,0)),"")</f>
        <v/>
      </c>
      <c r="I777" s="14" t="str">
        <f aca="false">IFERROR(INDEX('Fault Master'!$C$5:$C$104,MATCH(G777,'Fault Master'!$A$5:$A$104,0)),"")</f>
        <v/>
      </c>
      <c r="M777" s="14" t="str">
        <f aca="false">IFERROR(INDEX('Fault Master'!$D$5:$D$104,MATCH(G777,'Fault Master'!$A$5:$A$104,0)),"")</f>
        <v/>
      </c>
    </row>
    <row r="778" customFormat="false" ht="15" hidden="false" customHeight="true" outlineLevel="0" collapsed="false">
      <c r="A778" s="1" t="n">
        <v>773</v>
      </c>
      <c r="B778" s="13"/>
      <c r="F778" s="14" t="str">
        <f aca="false">IFERROR(INDEX('Operator Master'!$B$5:$B$504,MATCH(E778,'Operator Master'!$A$5:$A$504,0)),"")</f>
        <v/>
      </c>
      <c r="H778" s="14" t="str">
        <f aca="false">IFERROR(INDEX('Fault Master'!$B$5:$B$104,MATCH(G778,'Fault Master'!$A$5:$A$104,0)),"")</f>
        <v/>
      </c>
      <c r="I778" s="14" t="str">
        <f aca="false">IFERROR(INDEX('Fault Master'!$C$5:$C$104,MATCH(G778,'Fault Master'!$A$5:$A$104,0)),"")</f>
        <v/>
      </c>
      <c r="M778" s="14" t="str">
        <f aca="false">IFERROR(INDEX('Fault Master'!$D$5:$D$104,MATCH(G778,'Fault Master'!$A$5:$A$104,0)),"")</f>
        <v/>
      </c>
    </row>
    <row r="779" customFormat="false" ht="15" hidden="false" customHeight="true" outlineLevel="0" collapsed="false">
      <c r="A779" s="1" t="n">
        <v>774</v>
      </c>
      <c r="B779" s="13"/>
      <c r="F779" s="14" t="str">
        <f aca="false">IFERROR(INDEX('Operator Master'!$B$5:$B$504,MATCH(E779,'Operator Master'!$A$5:$A$504,0)),"")</f>
        <v/>
      </c>
      <c r="H779" s="14" t="str">
        <f aca="false">IFERROR(INDEX('Fault Master'!$B$5:$B$104,MATCH(G779,'Fault Master'!$A$5:$A$104,0)),"")</f>
        <v/>
      </c>
      <c r="I779" s="14" t="str">
        <f aca="false">IFERROR(INDEX('Fault Master'!$C$5:$C$104,MATCH(G779,'Fault Master'!$A$5:$A$104,0)),"")</f>
        <v/>
      </c>
      <c r="M779" s="14" t="str">
        <f aca="false">IFERROR(INDEX('Fault Master'!$D$5:$D$104,MATCH(G779,'Fault Master'!$A$5:$A$104,0)),"")</f>
        <v/>
      </c>
    </row>
    <row r="780" customFormat="false" ht="15" hidden="false" customHeight="true" outlineLevel="0" collapsed="false">
      <c r="A780" s="1" t="n">
        <v>775</v>
      </c>
      <c r="B780" s="13"/>
      <c r="F780" s="14" t="str">
        <f aca="false">IFERROR(INDEX('Operator Master'!$B$5:$B$504,MATCH(E780,'Operator Master'!$A$5:$A$504,0)),"")</f>
        <v/>
      </c>
      <c r="H780" s="14" t="str">
        <f aca="false">IFERROR(INDEX('Fault Master'!$B$5:$B$104,MATCH(G780,'Fault Master'!$A$5:$A$104,0)),"")</f>
        <v/>
      </c>
      <c r="I780" s="14" t="str">
        <f aca="false">IFERROR(INDEX('Fault Master'!$C$5:$C$104,MATCH(G780,'Fault Master'!$A$5:$A$104,0)),"")</f>
        <v/>
      </c>
      <c r="M780" s="14" t="str">
        <f aca="false">IFERROR(INDEX('Fault Master'!$D$5:$D$104,MATCH(G780,'Fault Master'!$A$5:$A$104,0)),"")</f>
        <v/>
      </c>
    </row>
    <row r="781" customFormat="false" ht="15" hidden="false" customHeight="true" outlineLevel="0" collapsed="false">
      <c r="A781" s="1" t="n">
        <v>776</v>
      </c>
      <c r="B781" s="13"/>
      <c r="F781" s="14" t="str">
        <f aca="false">IFERROR(INDEX('Operator Master'!$B$5:$B$504,MATCH(E781,'Operator Master'!$A$5:$A$504,0)),"")</f>
        <v/>
      </c>
      <c r="H781" s="14" t="str">
        <f aca="false">IFERROR(INDEX('Fault Master'!$B$5:$B$104,MATCH(G781,'Fault Master'!$A$5:$A$104,0)),"")</f>
        <v/>
      </c>
      <c r="I781" s="14" t="str">
        <f aca="false">IFERROR(INDEX('Fault Master'!$C$5:$C$104,MATCH(G781,'Fault Master'!$A$5:$A$104,0)),"")</f>
        <v/>
      </c>
      <c r="M781" s="14" t="str">
        <f aca="false">IFERROR(INDEX('Fault Master'!$D$5:$D$104,MATCH(G781,'Fault Master'!$A$5:$A$104,0)),"")</f>
        <v/>
      </c>
    </row>
    <row r="782" customFormat="false" ht="15" hidden="false" customHeight="true" outlineLevel="0" collapsed="false">
      <c r="A782" s="1" t="n">
        <v>777</v>
      </c>
      <c r="B782" s="13"/>
      <c r="F782" s="14" t="str">
        <f aca="false">IFERROR(INDEX('Operator Master'!$B$5:$B$504,MATCH(E782,'Operator Master'!$A$5:$A$504,0)),"")</f>
        <v/>
      </c>
      <c r="H782" s="14" t="str">
        <f aca="false">IFERROR(INDEX('Fault Master'!$B$5:$B$104,MATCH(G782,'Fault Master'!$A$5:$A$104,0)),"")</f>
        <v/>
      </c>
      <c r="I782" s="14" t="str">
        <f aca="false">IFERROR(INDEX('Fault Master'!$C$5:$C$104,MATCH(G782,'Fault Master'!$A$5:$A$104,0)),"")</f>
        <v/>
      </c>
      <c r="M782" s="14" t="str">
        <f aca="false">IFERROR(INDEX('Fault Master'!$D$5:$D$104,MATCH(G782,'Fault Master'!$A$5:$A$104,0)),"")</f>
        <v/>
      </c>
    </row>
    <row r="783" customFormat="false" ht="15" hidden="false" customHeight="true" outlineLevel="0" collapsed="false">
      <c r="A783" s="1" t="n">
        <v>778</v>
      </c>
      <c r="B783" s="13"/>
      <c r="F783" s="14" t="str">
        <f aca="false">IFERROR(INDEX('Operator Master'!$B$5:$B$504,MATCH(E783,'Operator Master'!$A$5:$A$504,0)),"")</f>
        <v/>
      </c>
      <c r="H783" s="14" t="str">
        <f aca="false">IFERROR(INDEX('Fault Master'!$B$5:$B$104,MATCH(G783,'Fault Master'!$A$5:$A$104,0)),"")</f>
        <v/>
      </c>
      <c r="I783" s="14" t="str">
        <f aca="false">IFERROR(INDEX('Fault Master'!$C$5:$C$104,MATCH(G783,'Fault Master'!$A$5:$A$104,0)),"")</f>
        <v/>
      </c>
      <c r="M783" s="14" t="str">
        <f aca="false">IFERROR(INDEX('Fault Master'!$D$5:$D$104,MATCH(G783,'Fault Master'!$A$5:$A$104,0)),"")</f>
        <v/>
      </c>
    </row>
    <row r="784" customFormat="false" ht="15" hidden="false" customHeight="true" outlineLevel="0" collapsed="false">
      <c r="A784" s="1" t="n">
        <v>779</v>
      </c>
      <c r="B784" s="13"/>
      <c r="F784" s="14" t="str">
        <f aca="false">IFERROR(INDEX('Operator Master'!$B$5:$B$504,MATCH(E784,'Operator Master'!$A$5:$A$504,0)),"")</f>
        <v/>
      </c>
      <c r="H784" s="14" t="str">
        <f aca="false">IFERROR(INDEX('Fault Master'!$B$5:$B$104,MATCH(G784,'Fault Master'!$A$5:$A$104,0)),"")</f>
        <v/>
      </c>
      <c r="I784" s="14" t="str">
        <f aca="false">IFERROR(INDEX('Fault Master'!$C$5:$C$104,MATCH(G784,'Fault Master'!$A$5:$A$104,0)),"")</f>
        <v/>
      </c>
      <c r="M784" s="14" t="str">
        <f aca="false">IFERROR(INDEX('Fault Master'!$D$5:$D$104,MATCH(G784,'Fault Master'!$A$5:$A$104,0)),"")</f>
        <v/>
      </c>
    </row>
    <row r="785" customFormat="false" ht="15" hidden="false" customHeight="true" outlineLevel="0" collapsed="false">
      <c r="A785" s="1" t="n">
        <v>780</v>
      </c>
      <c r="B785" s="13"/>
      <c r="F785" s="14" t="str">
        <f aca="false">IFERROR(INDEX('Operator Master'!$B$5:$B$504,MATCH(E785,'Operator Master'!$A$5:$A$504,0)),"")</f>
        <v/>
      </c>
      <c r="H785" s="14" t="str">
        <f aca="false">IFERROR(INDEX('Fault Master'!$B$5:$B$104,MATCH(G785,'Fault Master'!$A$5:$A$104,0)),"")</f>
        <v/>
      </c>
      <c r="I785" s="14" t="str">
        <f aca="false">IFERROR(INDEX('Fault Master'!$C$5:$C$104,MATCH(G785,'Fault Master'!$A$5:$A$104,0)),"")</f>
        <v/>
      </c>
      <c r="M785" s="14" t="str">
        <f aca="false">IFERROR(INDEX('Fault Master'!$D$5:$D$104,MATCH(G785,'Fault Master'!$A$5:$A$104,0)),"")</f>
        <v/>
      </c>
    </row>
    <row r="786" customFormat="false" ht="15" hidden="false" customHeight="true" outlineLevel="0" collapsed="false">
      <c r="A786" s="1" t="n">
        <v>781</v>
      </c>
      <c r="B786" s="13"/>
      <c r="F786" s="14" t="str">
        <f aca="false">IFERROR(INDEX('Operator Master'!$B$5:$B$504,MATCH(E786,'Operator Master'!$A$5:$A$504,0)),"")</f>
        <v/>
      </c>
      <c r="H786" s="14" t="str">
        <f aca="false">IFERROR(INDEX('Fault Master'!$B$5:$B$104,MATCH(G786,'Fault Master'!$A$5:$A$104,0)),"")</f>
        <v/>
      </c>
      <c r="I786" s="14" t="str">
        <f aca="false">IFERROR(INDEX('Fault Master'!$C$5:$C$104,MATCH(G786,'Fault Master'!$A$5:$A$104,0)),"")</f>
        <v/>
      </c>
      <c r="M786" s="14" t="str">
        <f aca="false">IFERROR(INDEX('Fault Master'!$D$5:$D$104,MATCH(G786,'Fault Master'!$A$5:$A$104,0)),"")</f>
        <v/>
      </c>
    </row>
    <row r="787" customFormat="false" ht="15" hidden="false" customHeight="true" outlineLevel="0" collapsed="false">
      <c r="A787" s="1" t="n">
        <v>782</v>
      </c>
      <c r="B787" s="13"/>
      <c r="F787" s="14" t="str">
        <f aca="false">IFERROR(INDEX('Operator Master'!$B$5:$B$504,MATCH(E787,'Operator Master'!$A$5:$A$504,0)),"")</f>
        <v/>
      </c>
      <c r="H787" s="14" t="str">
        <f aca="false">IFERROR(INDEX('Fault Master'!$B$5:$B$104,MATCH(G787,'Fault Master'!$A$5:$A$104,0)),"")</f>
        <v/>
      </c>
      <c r="I787" s="14" t="str">
        <f aca="false">IFERROR(INDEX('Fault Master'!$C$5:$C$104,MATCH(G787,'Fault Master'!$A$5:$A$104,0)),"")</f>
        <v/>
      </c>
      <c r="M787" s="14" t="str">
        <f aca="false">IFERROR(INDEX('Fault Master'!$D$5:$D$104,MATCH(G787,'Fault Master'!$A$5:$A$104,0)),"")</f>
        <v/>
      </c>
    </row>
    <row r="788" customFormat="false" ht="15" hidden="false" customHeight="true" outlineLevel="0" collapsed="false">
      <c r="A788" s="1" t="n">
        <v>783</v>
      </c>
      <c r="B788" s="13"/>
      <c r="F788" s="14" t="str">
        <f aca="false">IFERROR(INDEX('Operator Master'!$B$5:$B$504,MATCH(E788,'Operator Master'!$A$5:$A$504,0)),"")</f>
        <v/>
      </c>
      <c r="H788" s="14" t="str">
        <f aca="false">IFERROR(INDEX('Fault Master'!$B$5:$B$104,MATCH(G788,'Fault Master'!$A$5:$A$104,0)),"")</f>
        <v/>
      </c>
      <c r="I788" s="14" t="str">
        <f aca="false">IFERROR(INDEX('Fault Master'!$C$5:$C$104,MATCH(G788,'Fault Master'!$A$5:$A$104,0)),"")</f>
        <v/>
      </c>
      <c r="M788" s="14" t="str">
        <f aca="false">IFERROR(INDEX('Fault Master'!$D$5:$D$104,MATCH(G788,'Fault Master'!$A$5:$A$104,0)),"")</f>
        <v/>
      </c>
    </row>
    <row r="789" customFormat="false" ht="15" hidden="false" customHeight="true" outlineLevel="0" collapsed="false">
      <c r="A789" s="1" t="n">
        <v>784</v>
      </c>
      <c r="B789" s="13"/>
      <c r="F789" s="14" t="str">
        <f aca="false">IFERROR(INDEX('Operator Master'!$B$5:$B$504,MATCH(E789,'Operator Master'!$A$5:$A$504,0)),"")</f>
        <v/>
      </c>
      <c r="H789" s="14" t="str">
        <f aca="false">IFERROR(INDEX('Fault Master'!$B$5:$B$104,MATCH(G789,'Fault Master'!$A$5:$A$104,0)),"")</f>
        <v/>
      </c>
      <c r="I789" s="14" t="str">
        <f aca="false">IFERROR(INDEX('Fault Master'!$C$5:$C$104,MATCH(G789,'Fault Master'!$A$5:$A$104,0)),"")</f>
        <v/>
      </c>
      <c r="M789" s="14" t="str">
        <f aca="false">IFERROR(INDEX('Fault Master'!$D$5:$D$104,MATCH(G789,'Fault Master'!$A$5:$A$104,0)),"")</f>
        <v/>
      </c>
    </row>
    <row r="790" customFormat="false" ht="15" hidden="false" customHeight="true" outlineLevel="0" collapsed="false">
      <c r="A790" s="1" t="n">
        <v>785</v>
      </c>
      <c r="B790" s="13"/>
      <c r="F790" s="14" t="str">
        <f aca="false">IFERROR(INDEX('Operator Master'!$B$5:$B$504,MATCH(E790,'Operator Master'!$A$5:$A$504,0)),"")</f>
        <v/>
      </c>
      <c r="H790" s="14" t="str">
        <f aca="false">IFERROR(INDEX('Fault Master'!$B$5:$B$104,MATCH(G790,'Fault Master'!$A$5:$A$104,0)),"")</f>
        <v/>
      </c>
      <c r="I790" s="14" t="str">
        <f aca="false">IFERROR(INDEX('Fault Master'!$C$5:$C$104,MATCH(G790,'Fault Master'!$A$5:$A$104,0)),"")</f>
        <v/>
      </c>
      <c r="M790" s="14" t="str">
        <f aca="false">IFERROR(INDEX('Fault Master'!$D$5:$D$104,MATCH(G790,'Fault Master'!$A$5:$A$104,0)),"")</f>
        <v/>
      </c>
    </row>
    <row r="791" customFormat="false" ht="15" hidden="false" customHeight="true" outlineLevel="0" collapsed="false">
      <c r="A791" s="1" t="n">
        <v>786</v>
      </c>
      <c r="B791" s="13"/>
      <c r="F791" s="14" t="str">
        <f aca="false">IFERROR(INDEX('Operator Master'!$B$5:$B$504,MATCH(E791,'Operator Master'!$A$5:$A$504,0)),"")</f>
        <v/>
      </c>
      <c r="H791" s="14" t="str">
        <f aca="false">IFERROR(INDEX('Fault Master'!$B$5:$B$104,MATCH(G791,'Fault Master'!$A$5:$A$104,0)),"")</f>
        <v/>
      </c>
      <c r="I791" s="14" t="str">
        <f aca="false">IFERROR(INDEX('Fault Master'!$C$5:$C$104,MATCH(G791,'Fault Master'!$A$5:$A$104,0)),"")</f>
        <v/>
      </c>
      <c r="M791" s="14" t="str">
        <f aca="false">IFERROR(INDEX('Fault Master'!$D$5:$D$104,MATCH(G791,'Fault Master'!$A$5:$A$104,0)),"")</f>
        <v/>
      </c>
    </row>
    <row r="792" customFormat="false" ht="15" hidden="false" customHeight="true" outlineLevel="0" collapsed="false">
      <c r="A792" s="1" t="n">
        <v>787</v>
      </c>
      <c r="B792" s="13"/>
      <c r="F792" s="14" t="str">
        <f aca="false">IFERROR(INDEX('Operator Master'!$B$5:$B$504,MATCH(E792,'Operator Master'!$A$5:$A$504,0)),"")</f>
        <v/>
      </c>
      <c r="H792" s="14" t="str">
        <f aca="false">IFERROR(INDEX('Fault Master'!$B$5:$B$104,MATCH(G792,'Fault Master'!$A$5:$A$104,0)),"")</f>
        <v/>
      </c>
      <c r="I792" s="14" t="str">
        <f aca="false">IFERROR(INDEX('Fault Master'!$C$5:$C$104,MATCH(G792,'Fault Master'!$A$5:$A$104,0)),"")</f>
        <v/>
      </c>
      <c r="M792" s="14" t="str">
        <f aca="false">IFERROR(INDEX('Fault Master'!$D$5:$D$104,MATCH(G792,'Fault Master'!$A$5:$A$104,0)),"")</f>
        <v/>
      </c>
    </row>
    <row r="793" customFormat="false" ht="15" hidden="false" customHeight="true" outlineLevel="0" collapsed="false">
      <c r="A793" s="1" t="n">
        <v>788</v>
      </c>
      <c r="B793" s="13"/>
      <c r="F793" s="14" t="str">
        <f aca="false">IFERROR(INDEX('Operator Master'!$B$5:$B$504,MATCH(E793,'Operator Master'!$A$5:$A$504,0)),"")</f>
        <v/>
      </c>
      <c r="H793" s="14" t="str">
        <f aca="false">IFERROR(INDEX('Fault Master'!$B$5:$B$104,MATCH(G793,'Fault Master'!$A$5:$A$104,0)),"")</f>
        <v/>
      </c>
      <c r="I793" s="14" t="str">
        <f aca="false">IFERROR(INDEX('Fault Master'!$C$5:$C$104,MATCH(G793,'Fault Master'!$A$5:$A$104,0)),"")</f>
        <v/>
      </c>
      <c r="M793" s="14" t="str">
        <f aca="false">IFERROR(INDEX('Fault Master'!$D$5:$D$104,MATCH(G793,'Fault Master'!$A$5:$A$104,0)),"")</f>
        <v/>
      </c>
    </row>
    <row r="794" customFormat="false" ht="15" hidden="false" customHeight="true" outlineLevel="0" collapsed="false">
      <c r="A794" s="1" t="n">
        <v>789</v>
      </c>
      <c r="B794" s="13"/>
      <c r="F794" s="14" t="str">
        <f aca="false">IFERROR(INDEX('Operator Master'!$B$5:$B$504,MATCH(E794,'Operator Master'!$A$5:$A$504,0)),"")</f>
        <v/>
      </c>
      <c r="H794" s="14" t="str">
        <f aca="false">IFERROR(INDEX('Fault Master'!$B$5:$B$104,MATCH(G794,'Fault Master'!$A$5:$A$104,0)),"")</f>
        <v/>
      </c>
      <c r="I794" s="14" t="str">
        <f aca="false">IFERROR(INDEX('Fault Master'!$C$5:$C$104,MATCH(G794,'Fault Master'!$A$5:$A$104,0)),"")</f>
        <v/>
      </c>
      <c r="M794" s="14" t="str">
        <f aca="false">IFERROR(INDEX('Fault Master'!$D$5:$D$104,MATCH(G794,'Fault Master'!$A$5:$A$104,0)),"")</f>
        <v/>
      </c>
    </row>
    <row r="795" customFormat="false" ht="15" hidden="false" customHeight="true" outlineLevel="0" collapsed="false">
      <c r="A795" s="1" t="n">
        <v>790</v>
      </c>
      <c r="B795" s="13"/>
      <c r="F795" s="14" t="str">
        <f aca="false">IFERROR(INDEX('Operator Master'!$B$5:$B$504,MATCH(E795,'Operator Master'!$A$5:$A$504,0)),"")</f>
        <v/>
      </c>
      <c r="H795" s="14" t="str">
        <f aca="false">IFERROR(INDEX('Fault Master'!$B$5:$B$104,MATCH(G795,'Fault Master'!$A$5:$A$104,0)),"")</f>
        <v/>
      </c>
      <c r="I795" s="14" t="str">
        <f aca="false">IFERROR(INDEX('Fault Master'!$C$5:$C$104,MATCH(G795,'Fault Master'!$A$5:$A$104,0)),"")</f>
        <v/>
      </c>
      <c r="M795" s="14" t="str">
        <f aca="false">IFERROR(INDEX('Fault Master'!$D$5:$D$104,MATCH(G795,'Fault Master'!$A$5:$A$104,0)),"")</f>
        <v/>
      </c>
    </row>
    <row r="796" customFormat="false" ht="15" hidden="false" customHeight="true" outlineLevel="0" collapsed="false">
      <c r="A796" s="1" t="n">
        <v>791</v>
      </c>
      <c r="B796" s="13"/>
      <c r="F796" s="14" t="str">
        <f aca="false">IFERROR(INDEX('Operator Master'!$B$5:$B$504,MATCH(E796,'Operator Master'!$A$5:$A$504,0)),"")</f>
        <v/>
      </c>
      <c r="H796" s="14" t="str">
        <f aca="false">IFERROR(INDEX('Fault Master'!$B$5:$B$104,MATCH(G796,'Fault Master'!$A$5:$A$104,0)),"")</f>
        <v/>
      </c>
      <c r="I796" s="14" t="str">
        <f aca="false">IFERROR(INDEX('Fault Master'!$C$5:$C$104,MATCH(G796,'Fault Master'!$A$5:$A$104,0)),"")</f>
        <v/>
      </c>
      <c r="M796" s="14" t="str">
        <f aca="false">IFERROR(INDEX('Fault Master'!$D$5:$D$104,MATCH(G796,'Fault Master'!$A$5:$A$104,0)),"")</f>
        <v/>
      </c>
    </row>
    <row r="797" customFormat="false" ht="15" hidden="false" customHeight="true" outlineLevel="0" collapsed="false">
      <c r="A797" s="1" t="n">
        <v>792</v>
      </c>
      <c r="B797" s="13"/>
      <c r="F797" s="14" t="str">
        <f aca="false">IFERROR(INDEX('Operator Master'!$B$5:$B$504,MATCH(E797,'Operator Master'!$A$5:$A$504,0)),"")</f>
        <v/>
      </c>
      <c r="H797" s="14" t="str">
        <f aca="false">IFERROR(INDEX('Fault Master'!$B$5:$B$104,MATCH(G797,'Fault Master'!$A$5:$A$104,0)),"")</f>
        <v/>
      </c>
      <c r="I797" s="14" t="str">
        <f aca="false">IFERROR(INDEX('Fault Master'!$C$5:$C$104,MATCH(G797,'Fault Master'!$A$5:$A$104,0)),"")</f>
        <v/>
      </c>
      <c r="M797" s="14" t="str">
        <f aca="false">IFERROR(INDEX('Fault Master'!$D$5:$D$104,MATCH(G797,'Fault Master'!$A$5:$A$104,0)),"")</f>
        <v/>
      </c>
    </row>
    <row r="798" customFormat="false" ht="15" hidden="false" customHeight="true" outlineLevel="0" collapsed="false">
      <c r="A798" s="1" t="n">
        <v>793</v>
      </c>
      <c r="B798" s="13"/>
      <c r="F798" s="14" t="str">
        <f aca="false">IFERROR(INDEX('Operator Master'!$B$5:$B$504,MATCH(E798,'Operator Master'!$A$5:$A$504,0)),"")</f>
        <v/>
      </c>
      <c r="H798" s="14" t="str">
        <f aca="false">IFERROR(INDEX('Fault Master'!$B$5:$B$104,MATCH(G798,'Fault Master'!$A$5:$A$104,0)),"")</f>
        <v/>
      </c>
      <c r="I798" s="14" t="str">
        <f aca="false">IFERROR(INDEX('Fault Master'!$C$5:$C$104,MATCH(G798,'Fault Master'!$A$5:$A$104,0)),"")</f>
        <v/>
      </c>
      <c r="M798" s="14" t="str">
        <f aca="false">IFERROR(INDEX('Fault Master'!$D$5:$D$104,MATCH(G798,'Fault Master'!$A$5:$A$104,0)),"")</f>
        <v/>
      </c>
    </row>
    <row r="799" customFormat="false" ht="15" hidden="false" customHeight="true" outlineLevel="0" collapsed="false">
      <c r="A799" s="1" t="n">
        <v>794</v>
      </c>
      <c r="B799" s="13"/>
      <c r="F799" s="14" t="str">
        <f aca="false">IFERROR(INDEX('Operator Master'!$B$5:$B$504,MATCH(E799,'Operator Master'!$A$5:$A$504,0)),"")</f>
        <v/>
      </c>
      <c r="H799" s="14" t="str">
        <f aca="false">IFERROR(INDEX('Fault Master'!$B$5:$B$104,MATCH(G799,'Fault Master'!$A$5:$A$104,0)),"")</f>
        <v/>
      </c>
      <c r="I799" s="14" t="str">
        <f aca="false">IFERROR(INDEX('Fault Master'!$C$5:$C$104,MATCH(G799,'Fault Master'!$A$5:$A$104,0)),"")</f>
        <v/>
      </c>
      <c r="M799" s="14" t="str">
        <f aca="false">IFERROR(INDEX('Fault Master'!$D$5:$D$104,MATCH(G799,'Fault Master'!$A$5:$A$104,0)),"")</f>
        <v/>
      </c>
    </row>
    <row r="800" customFormat="false" ht="15" hidden="false" customHeight="true" outlineLevel="0" collapsed="false">
      <c r="A800" s="1" t="n">
        <v>795</v>
      </c>
      <c r="B800" s="13"/>
      <c r="F800" s="14" t="str">
        <f aca="false">IFERROR(INDEX('Operator Master'!$B$5:$B$504,MATCH(E800,'Operator Master'!$A$5:$A$504,0)),"")</f>
        <v/>
      </c>
      <c r="H800" s="14" t="str">
        <f aca="false">IFERROR(INDEX('Fault Master'!$B$5:$B$104,MATCH(G800,'Fault Master'!$A$5:$A$104,0)),"")</f>
        <v/>
      </c>
      <c r="I800" s="14" t="str">
        <f aca="false">IFERROR(INDEX('Fault Master'!$C$5:$C$104,MATCH(G800,'Fault Master'!$A$5:$A$104,0)),"")</f>
        <v/>
      </c>
      <c r="M800" s="14" t="str">
        <f aca="false">IFERROR(INDEX('Fault Master'!$D$5:$D$104,MATCH(G800,'Fault Master'!$A$5:$A$104,0)),"")</f>
        <v/>
      </c>
    </row>
    <row r="801" customFormat="false" ht="15" hidden="false" customHeight="true" outlineLevel="0" collapsed="false">
      <c r="A801" s="1" t="n">
        <v>796</v>
      </c>
      <c r="B801" s="13"/>
      <c r="F801" s="14" t="str">
        <f aca="false">IFERROR(INDEX('Operator Master'!$B$5:$B$504,MATCH(E801,'Operator Master'!$A$5:$A$504,0)),"")</f>
        <v/>
      </c>
      <c r="H801" s="14" t="str">
        <f aca="false">IFERROR(INDEX('Fault Master'!$B$5:$B$104,MATCH(G801,'Fault Master'!$A$5:$A$104,0)),"")</f>
        <v/>
      </c>
      <c r="I801" s="14" t="str">
        <f aca="false">IFERROR(INDEX('Fault Master'!$C$5:$C$104,MATCH(G801,'Fault Master'!$A$5:$A$104,0)),"")</f>
        <v/>
      </c>
      <c r="M801" s="14" t="str">
        <f aca="false">IFERROR(INDEX('Fault Master'!$D$5:$D$104,MATCH(G801,'Fault Master'!$A$5:$A$104,0)),"")</f>
        <v/>
      </c>
    </row>
    <row r="802" customFormat="false" ht="15" hidden="false" customHeight="true" outlineLevel="0" collapsed="false">
      <c r="A802" s="1" t="n">
        <v>797</v>
      </c>
      <c r="B802" s="13"/>
      <c r="F802" s="14" t="str">
        <f aca="false">IFERROR(INDEX('Operator Master'!$B$5:$B$504,MATCH(E802,'Operator Master'!$A$5:$A$504,0)),"")</f>
        <v/>
      </c>
      <c r="H802" s="14" t="str">
        <f aca="false">IFERROR(INDEX('Fault Master'!$B$5:$B$104,MATCH(G802,'Fault Master'!$A$5:$A$104,0)),"")</f>
        <v/>
      </c>
      <c r="I802" s="14" t="str">
        <f aca="false">IFERROR(INDEX('Fault Master'!$C$5:$C$104,MATCH(G802,'Fault Master'!$A$5:$A$104,0)),"")</f>
        <v/>
      </c>
      <c r="M802" s="14" t="str">
        <f aca="false">IFERROR(INDEX('Fault Master'!$D$5:$D$104,MATCH(G802,'Fault Master'!$A$5:$A$104,0)),"")</f>
        <v/>
      </c>
    </row>
    <row r="803" customFormat="false" ht="15" hidden="false" customHeight="true" outlineLevel="0" collapsed="false">
      <c r="A803" s="1" t="n">
        <v>798</v>
      </c>
      <c r="B803" s="13"/>
      <c r="F803" s="14" t="str">
        <f aca="false">IFERROR(INDEX('Operator Master'!$B$5:$B$504,MATCH(E803,'Operator Master'!$A$5:$A$504,0)),"")</f>
        <v/>
      </c>
      <c r="H803" s="14" t="str">
        <f aca="false">IFERROR(INDEX('Fault Master'!$B$5:$B$104,MATCH(G803,'Fault Master'!$A$5:$A$104,0)),"")</f>
        <v/>
      </c>
      <c r="I803" s="14" t="str">
        <f aca="false">IFERROR(INDEX('Fault Master'!$C$5:$C$104,MATCH(G803,'Fault Master'!$A$5:$A$104,0)),"")</f>
        <v/>
      </c>
      <c r="M803" s="14" t="str">
        <f aca="false">IFERROR(INDEX('Fault Master'!$D$5:$D$104,MATCH(G803,'Fault Master'!$A$5:$A$104,0)),"")</f>
        <v/>
      </c>
    </row>
    <row r="804" customFormat="false" ht="15" hidden="false" customHeight="true" outlineLevel="0" collapsed="false">
      <c r="A804" s="1" t="n">
        <v>799</v>
      </c>
      <c r="B804" s="13"/>
      <c r="F804" s="14" t="str">
        <f aca="false">IFERROR(INDEX('Operator Master'!$B$5:$B$504,MATCH(E804,'Operator Master'!$A$5:$A$504,0)),"")</f>
        <v/>
      </c>
      <c r="H804" s="14" t="str">
        <f aca="false">IFERROR(INDEX('Fault Master'!$B$5:$B$104,MATCH(G804,'Fault Master'!$A$5:$A$104,0)),"")</f>
        <v/>
      </c>
      <c r="I804" s="14" t="str">
        <f aca="false">IFERROR(INDEX('Fault Master'!$C$5:$C$104,MATCH(G804,'Fault Master'!$A$5:$A$104,0)),"")</f>
        <v/>
      </c>
      <c r="M804" s="14" t="str">
        <f aca="false">IFERROR(INDEX('Fault Master'!$D$5:$D$104,MATCH(G804,'Fault Master'!$A$5:$A$104,0)),"")</f>
        <v/>
      </c>
    </row>
    <row r="805" customFormat="false" ht="15" hidden="false" customHeight="true" outlineLevel="0" collapsed="false">
      <c r="A805" s="1" t="n">
        <v>800</v>
      </c>
      <c r="B805" s="13"/>
      <c r="F805" s="14" t="str">
        <f aca="false">IFERROR(INDEX('Operator Master'!$B$5:$B$504,MATCH(E805,'Operator Master'!$A$5:$A$504,0)),"")</f>
        <v/>
      </c>
      <c r="H805" s="14" t="str">
        <f aca="false">IFERROR(INDEX('Fault Master'!$B$5:$B$104,MATCH(G805,'Fault Master'!$A$5:$A$104,0)),"")</f>
        <v/>
      </c>
      <c r="I805" s="14" t="str">
        <f aca="false">IFERROR(INDEX('Fault Master'!$C$5:$C$104,MATCH(G805,'Fault Master'!$A$5:$A$104,0)),"")</f>
        <v/>
      </c>
      <c r="M805" s="14" t="str">
        <f aca="false">IFERROR(INDEX('Fault Master'!$D$5:$D$104,MATCH(G805,'Fault Master'!$A$5:$A$104,0)),"")</f>
        <v/>
      </c>
    </row>
    <row r="806" customFormat="false" ht="15" hidden="false" customHeight="true" outlineLevel="0" collapsed="false">
      <c r="A806" s="1" t="n">
        <v>801</v>
      </c>
      <c r="B806" s="13"/>
      <c r="F806" s="14" t="str">
        <f aca="false">IFERROR(INDEX('Operator Master'!$B$5:$B$504,MATCH(E806,'Operator Master'!$A$5:$A$504,0)),"")</f>
        <v/>
      </c>
      <c r="H806" s="14" t="str">
        <f aca="false">IFERROR(INDEX('Fault Master'!$B$5:$B$104,MATCH(G806,'Fault Master'!$A$5:$A$104,0)),"")</f>
        <v/>
      </c>
      <c r="I806" s="14" t="str">
        <f aca="false">IFERROR(INDEX('Fault Master'!$C$5:$C$104,MATCH(G806,'Fault Master'!$A$5:$A$104,0)),"")</f>
        <v/>
      </c>
      <c r="M806" s="14" t="str">
        <f aca="false">IFERROR(INDEX('Fault Master'!$D$5:$D$104,MATCH(G806,'Fault Master'!$A$5:$A$104,0)),"")</f>
        <v/>
      </c>
    </row>
    <row r="807" customFormat="false" ht="15" hidden="false" customHeight="true" outlineLevel="0" collapsed="false">
      <c r="A807" s="1" t="n">
        <v>802</v>
      </c>
      <c r="B807" s="13"/>
      <c r="F807" s="14" t="str">
        <f aca="false">IFERROR(INDEX('Operator Master'!$B$5:$B$504,MATCH(E807,'Operator Master'!$A$5:$A$504,0)),"")</f>
        <v/>
      </c>
      <c r="H807" s="14" t="str">
        <f aca="false">IFERROR(INDEX('Fault Master'!$B$5:$B$104,MATCH(G807,'Fault Master'!$A$5:$A$104,0)),"")</f>
        <v/>
      </c>
      <c r="I807" s="14" t="str">
        <f aca="false">IFERROR(INDEX('Fault Master'!$C$5:$C$104,MATCH(G807,'Fault Master'!$A$5:$A$104,0)),"")</f>
        <v/>
      </c>
      <c r="M807" s="14" t="str">
        <f aca="false">IFERROR(INDEX('Fault Master'!$D$5:$D$104,MATCH(G807,'Fault Master'!$A$5:$A$104,0)),"")</f>
        <v/>
      </c>
    </row>
    <row r="808" customFormat="false" ht="15" hidden="false" customHeight="true" outlineLevel="0" collapsed="false">
      <c r="A808" s="1" t="n">
        <v>803</v>
      </c>
      <c r="B808" s="13"/>
      <c r="F808" s="14" t="str">
        <f aca="false">IFERROR(INDEX('Operator Master'!$B$5:$B$504,MATCH(E808,'Operator Master'!$A$5:$A$504,0)),"")</f>
        <v/>
      </c>
      <c r="H808" s="14" t="str">
        <f aca="false">IFERROR(INDEX('Fault Master'!$B$5:$B$104,MATCH(G808,'Fault Master'!$A$5:$A$104,0)),"")</f>
        <v/>
      </c>
      <c r="I808" s="14" t="str">
        <f aca="false">IFERROR(INDEX('Fault Master'!$C$5:$C$104,MATCH(G808,'Fault Master'!$A$5:$A$104,0)),"")</f>
        <v/>
      </c>
      <c r="M808" s="14" t="str">
        <f aca="false">IFERROR(INDEX('Fault Master'!$D$5:$D$104,MATCH(G808,'Fault Master'!$A$5:$A$104,0)),"")</f>
        <v/>
      </c>
    </row>
    <row r="809" customFormat="false" ht="15" hidden="false" customHeight="true" outlineLevel="0" collapsed="false">
      <c r="A809" s="1" t="n">
        <v>804</v>
      </c>
      <c r="B809" s="13"/>
      <c r="F809" s="14" t="str">
        <f aca="false">IFERROR(INDEX('Operator Master'!$B$5:$B$504,MATCH(E809,'Operator Master'!$A$5:$A$504,0)),"")</f>
        <v/>
      </c>
      <c r="H809" s="14" t="str">
        <f aca="false">IFERROR(INDEX('Fault Master'!$B$5:$B$104,MATCH(G809,'Fault Master'!$A$5:$A$104,0)),"")</f>
        <v/>
      </c>
      <c r="I809" s="14" t="str">
        <f aca="false">IFERROR(INDEX('Fault Master'!$C$5:$C$104,MATCH(G809,'Fault Master'!$A$5:$A$104,0)),"")</f>
        <v/>
      </c>
      <c r="M809" s="14" t="str">
        <f aca="false">IFERROR(INDEX('Fault Master'!$D$5:$D$104,MATCH(G809,'Fault Master'!$A$5:$A$104,0)),"")</f>
        <v/>
      </c>
    </row>
    <row r="810" customFormat="false" ht="15" hidden="false" customHeight="true" outlineLevel="0" collapsed="false">
      <c r="A810" s="1" t="n">
        <v>805</v>
      </c>
      <c r="B810" s="13"/>
      <c r="F810" s="14" t="str">
        <f aca="false">IFERROR(INDEX('Operator Master'!$B$5:$B$504,MATCH(E810,'Operator Master'!$A$5:$A$504,0)),"")</f>
        <v/>
      </c>
      <c r="H810" s="14" t="str">
        <f aca="false">IFERROR(INDEX('Fault Master'!$B$5:$B$104,MATCH(G810,'Fault Master'!$A$5:$A$104,0)),"")</f>
        <v/>
      </c>
      <c r="I810" s="14" t="str">
        <f aca="false">IFERROR(INDEX('Fault Master'!$C$5:$C$104,MATCH(G810,'Fault Master'!$A$5:$A$104,0)),"")</f>
        <v/>
      </c>
      <c r="M810" s="14" t="str">
        <f aca="false">IFERROR(INDEX('Fault Master'!$D$5:$D$104,MATCH(G810,'Fault Master'!$A$5:$A$104,0)),"")</f>
        <v/>
      </c>
    </row>
    <row r="811" customFormat="false" ht="15" hidden="false" customHeight="true" outlineLevel="0" collapsed="false">
      <c r="A811" s="1" t="n">
        <v>806</v>
      </c>
      <c r="B811" s="13"/>
      <c r="F811" s="14" t="str">
        <f aca="false">IFERROR(INDEX('Operator Master'!$B$5:$B$504,MATCH(E811,'Operator Master'!$A$5:$A$504,0)),"")</f>
        <v/>
      </c>
      <c r="H811" s="14" t="str">
        <f aca="false">IFERROR(INDEX('Fault Master'!$B$5:$B$104,MATCH(G811,'Fault Master'!$A$5:$A$104,0)),"")</f>
        <v/>
      </c>
      <c r="I811" s="14" t="str">
        <f aca="false">IFERROR(INDEX('Fault Master'!$C$5:$C$104,MATCH(G811,'Fault Master'!$A$5:$A$104,0)),"")</f>
        <v/>
      </c>
      <c r="M811" s="14" t="str">
        <f aca="false">IFERROR(INDEX('Fault Master'!$D$5:$D$104,MATCH(G811,'Fault Master'!$A$5:$A$104,0)),"")</f>
        <v/>
      </c>
    </row>
    <row r="812" customFormat="false" ht="15" hidden="false" customHeight="true" outlineLevel="0" collapsed="false">
      <c r="A812" s="1" t="n">
        <v>807</v>
      </c>
      <c r="B812" s="13"/>
      <c r="F812" s="14" t="str">
        <f aca="false">IFERROR(INDEX('Operator Master'!$B$5:$B$504,MATCH(E812,'Operator Master'!$A$5:$A$504,0)),"")</f>
        <v/>
      </c>
      <c r="H812" s="14" t="str">
        <f aca="false">IFERROR(INDEX('Fault Master'!$B$5:$B$104,MATCH(G812,'Fault Master'!$A$5:$A$104,0)),"")</f>
        <v/>
      </c>
      <c r="I812" s="14" t="str">
        <f aca="false">IFERROR(INDEX('Fault Master'!$C$5:$C$104,MATCH(G812,'Fault Master'!$A$5:$A$104,0)),"")</f>
        <v/>
      </c>
      <c r="M812" s="14" t="str">
        <f aca="false">IFERROR(INDEX('Fault Master'!$D$5:$D$104,MATCH(G812,'Fault Master'!$A$5:$A$104,0)),"")</f>
        <v/>
      </c>
    </row>
    <row r="813" customFormat="false" ht="15" hidden="false" customHeight="true" outlineLevel="0" collapsed="false">
      <c r="A813" s="1" t="n">
        <v>808</v>
      </c>
      <c r="B813" s="13"/>
      <c r="F813" s="14" t="str">
        <f aca="false">IFERROR(INDEX('Operator Master'!$B$5:$B$504,MATCH(E813,'Operator Master'!$A$5:$A$504,0)),"")</f>
        <v/>
      </c>
      <c r="H813" s="14" t="str">
        <f aca="false">IFERROR(INDEX('Fault Master'!$B$5:$B$104,MATCH(G813,'Fault Master'!$A$5:$A$104,0)),"")</f>
        <v/>
      </c>
      <c r="I813" s="14" t="str">
        <f aca="false">IFERROR(INDEX('Fault Master'!$C$5:$C$104,MATCH(G813,'Fault Master'!$A$5:$A$104,0)),"")</f>
        <v/>
      </c>
      <c r="M813" s="14" t="str">
        <f aca="false">IFERROR(INDEX('Fault Master'!$D$5:$D$104,MATCH(G813,'Fault Master'!$A$5:$A$104,0)),"")</f>
        <v/>
      </c>
    </row>
    <row r="814" customFormat="false" ht="15" hidden="false" customHeight="true" outlineLevel="0" collapsed="false">
      <c r="A814" s="1" t="n">
        <v>809</v>
      </c>
      <c r="B814" s="13"/>
      <c r="F814" s="14" t="str">
        <f aca="false">IFERROR(INDEX('Operator Master'!$B$5:$B$504,MATCH(E814,'Operator Master'!$A$5:$A$504,0)),"")</f>
        <v/>
      </c>
      <c r="H814" s="14" t="str">
        <f aca="false">IFERROR(INDEX('Fault Master'!$B$5:$B$104,MATCH(G814,'Fault Master'!$A$5:$A$104,0)),"")</f>
        <v/>
      </c>
      <c r="I814" s="14" t="str">
        <f aca="false">IFERROR(INDEX('Fault Master'!$C$5:$C$104,MATCH(G814,'Fault Master'!$A$5:$A$104,0)),"")</f>
        <v/>
      </c>
      <c r="M814" s="14" t="str">
        <f aca="false">IFERROR(INDEX('Fault Master'!$D$5:$D$104,MATCH(G814,'Fault Master'!$A$5:$A$104,0)),"")</f>
        <v/>
      </c>
    </row>
    <row r="815" customFormat="false" ht="15" hidden="false" customHeight="true" outlineLevel="0" collapsed="false">
      <c r="A815" s="1" t="n">
        <v>810</v>
      </c>
      <c r="B815" s="13"/>
      <c r="F815" s="14" t="str">
        <f aca="false">IFERROR(INDEX('Operator Master'!$B$5:$B$504,MATCH(E815,'Operator Master'!$A$5:$A$504,0)),"")</f>
        <v/>
      </c>
      <c r="H815" s="14" t="str">
        <f aca="false">IFERROR(INDEX('Fault Master'!$B$5:$B$104,MATCH(G815,'Fault Master'!$A$5:$A$104,0)),"")</f>
        <v/>
      </c>
      <c r="I815" s="14" t="str">
        <f aca="false">IFERROR(INDEX('Fault Master'!$C$5:$C$104,MATCH(G815,'Fault Master'!$A$5:$A$104,0)),"")</f>
        <v/>
      </c>
      <c r="M815" s="14" t="str">
        <f aca="false">IFERROR(INDEX('Fault Master'!$D$5:$D$104,MATCH(G815,'Fault Master'!$A$5:$A$104,0)),"")</f>
        <v/>
      </c>
    </row>
    <row r="816" customFormat="false" ht="15" hidden="false" customHeight="true" outlineLevel="0" collapsed="false">
      <c r="A816" s="1" t="n">
        <v>811</v>
      </c>
      <c r="B816" s="13"/>
      <c r="F816" s="14" t="str">
        <f aca="false">IFERROR(INDEX('Operator Master'!$B$5:$B$504,MATCH(E816,'Operator Master'!$A$5:$A$504,0)),"")</f>
        <v/>
      </c>
      <c r="H816" s="14" t="str">
        <f aca="false">IFERROR(INDEX('Fault Master'!$B$5:$B$104,MATCH(G816,'Fault Master'!$A$5:$A$104,0)),"")</f>
        <v/>
      </c>
      <c r="I816" s="14" t="str">
        <f aca="false">IFERROR(INDEX('Fault Master'!$C$5:$C$104,MATCH(G816,'Fault Master'!$A$5:$A$104,0)),"")</f>
        <v/>
      </c>
      <c r="M816" s="14" t="str">
        <f aca="false">IFERROR(INDEX('Fault Master'!$D$5:$D$104,MATCH(G816,'Fault Master'!$A$5:$A$104,0)),"")</f>
        <v/>
      </c>
    </row>
    <row r="817" customFormat="false" ht="15" hidden="false" customHeight="true" outlineLevel="0" collapsed="false">
      <c r="A817" s="1" t="n">
        <v>812</v>
      </c>
      <c r="B817" s="13"/>
      <c r="F817" s="14" t="str">
        <f aca="false">IFERROR(INDEX('Operator Master'!$B$5:$B$504,MATCH(E817,'Operator Master'!$A$5:$A$504,0)),"")</f>
        <v/>
      </c>
      <c r="H817" s="14" t="str">
        <f aca="false">IFERROR(INDEX('Fault Master'!$B$5:$B$104,MATCH(G817,'Fault Master'!$A$5:$A$104,0)),"")</f>
        <v/>
      </c>
      <c r="I817" s="14" t="str">
        <f aca="false">IFERROR(INDEX('Fault Master'!$C$5:$C$104,MATCH(G817,'Fault Master'!$A$5:$A$104,0)),"")</f>
        <v/>
      </c>
      <c r="M817" s="14" t="str">
        <f aca="false">IFERROR(INDEX('Fault Master'!$D$5:$D$104,MATCH(G817,'Fault Master'!$A$5:$A$104,0)),"")</f>
        <v/>
      </c>
    </row>
    <row r="818" customFormat="false" ht="15" hidden="false" customHeight="true" outlineLevel="0" collapsed="false">
      <c r="A818" s="1" t="n">
        <v>813</v>
      </c>
      <c r="B818" s="13"/>
      <c r="F818" s="14" t="str">
        <f aca="false">IFERROR(INDEX('Operator Master'!$B$5:$B$504,MATCH(E818,'Operator Master'!$A$5:$A$504,0)),"")</f>
        <v/>
      </c>
      <c r="H818" s="14" t="str">
        <f aca="false">IFERROR(INDEX('Fault Master'!$B$5:$B$104,MATCH(G818,'Fault Master'!$A$5:$A$104,0)),"")</f>
        <v/>
      </c>
      <c r="I818" s="14" t="str">
        <f aca="false">IFERROR(INDEX('Fault Master'!$C$5:$C$104,MATCH(G818,'Fault Master'!$A$5:$A$104,0)),"")</f>
        <v/>
      </c>
      <c r="M818" s="14" t="str">
        <f aca="false">IFERROR(INDEX('Fault Master'!$D$5:$D$104,MATCH(G818,'Fault Master'!$A$5:$A$104,0)),"")</f>
        <v/>
      </c>
    </row>
    <row r="819" customFormat="false" ht="15" hidden="false" customHeight="true" outlineLevel="0" collapsed="false">
      <c r="A819" s="1" t="n">
        <v>814</v>
      </c>
      <c r="B819" s="13"/>
      <c r="F819" s="14" t="str">
        <f aca="false">IFERROR(INDEX('Operator Master'!$B$5:$B$504,MATCH(E819,'Operator Master'!$A$5:$A$504,0)),"")</f>
        <v/>
      </c>
      <c r="H819" s="14" t="str">
        <f aca="false">IFERROR(INDEX('Fault Master'!$B$5:$B$104,MATCH(G819,'Fault Master'!$A$5:$A$104,0)),"")</f>
        <v/>
      </c>
      <c r="I819" s="14" t="str">
        <f aca="false">IFERROR(INDEX('Fault Master'!$C$5:$C$104,MATCH(G819,'Fault Master'!$A$5:$A$104,0)),"")</f>
        <v/>
      </c>
      <c r="M819" s="14" t="str">
        <f aca="false">IFERROR(INDEX('Fault Master'!$D$5:$D$104,MATCH(G819,'Fault Master'!$A$5:$A$104,0)),"")</f>
        <v/>
      </c>
    </row>
    <row r="820" customFormat="false" ht="15" hidden="false" customHeight="true" outlineLevel="0" collapsed="false">
      <c r="A820" s="1" t="n">
        <v>815</v>
      </c>
      <c r="B820" s="13"/>
      <c r="F820" s="14" t="str">
        <f aca="false">IFERROR(INDEX('Operator Master'!$B$5:$B$504,MATCH(E820,'Operator Master'!$A$5:$A$504,0)),"")</f>
        <v/>
      </c>
      <c r="H820" s="14" t="str">
        <f aca="false">IFERROR(INDEX('Fault Master'!$B$5:$B$104,MATCH(G820,'Fault Master'!$A$5:$A$104,0)),"")</f>
        <v/>
      </c>
      <c r="I820" s="14" t="str">
        <f aca="false">IFERROR(INDEX('Fault Master'!$C$5:$C$104,MATCH(G820,'Fault Master'!$A$5:$A$104,0)),"")</f>
        <v/>
      </c>
      <c r="M820" s="14" t="str">
        <f aca="false">IFERROR(INDEX('Fault Master'!$D$5:$D$104,MATCH(G820,'Fault Master'!$A$5:$A$104,0)),"")</f>
        <v/>
      </c>
    </row>
    <row r="821" customFormat="false" ht="15" hidden="false" customHeight="true" outlineLevel="0" collapsed="false">
      <c r="A821" s="1" t="n">
        <v>816</v>
      </c>
      <c r="B821" s="13"/>
      <c r="F821" s="14" t="str">
        <f aca="false">IFERROR(INDEX('Operator Master'!$B$5:$B$504,MATCH(E821,'Operator Master'!$A$5:$A$504,0)),"")</f>
        <v/>
      </c>
      <c r="H821" s="14" t="str">
        <f aca="false">IFERROR(INDEX('Fault Master'!$B$5:$B$104,MATCH(G821,'Fault Master'!$A$5:$A$104,0)),"")</f>
        <v/>
      </c>
      <c r="I821" s="14" t="str">
        <f aca="false">IFERROR(INDEX('Fault Master'!$C$5:$C$104,MATCH(G821,'Fault Master'!$A$5:$A$104,0)),"")</f>
        <v/>
      </c>
      <c r="M821" s="14" t="str">
        <f aca="false">IFERROR(INDEX('Fault Master'!$D$5:$D$104,MATCH(G821,'Fault Master'!$A$5:$A$104,0)),"")</f>
        <v/>
      </c>
    </row>
    <row r="822" customFormat="false" ht="15" hidden="false" customHeight="true" outlineLevel="0" collapsed="false">
      <c r="A822" s="1" t="n">
        <v>817</v>
      </c>
      <c r="B822" s="13"/>
      <c r="F822" s="14" t="str">
        <f aca="false">IFERROR(INDEX('Operator Master'!$B$5:$B$504,MATCH(E822,'Operator Master'!$A$5:$A$504,0)),"")</f>
        <v/>
      </c>
      <c r="H822" s="14" t="str">
        <f aca="false">IFERROR(INDEX('Fault Master'!$B$5:$B$104,MATCH(G822,'Fault Master'!$A$5:$A$104,0)),"")</f>
        <v/>
      </c>
      <c r="I822" s="14" t="str">
        <f aca="false">IFERROR(INDEX('Fault Master'!$C$5:$C$104,MATCH(G822,'Fault Master'!$A$5:$A$104,0)),"")</f>
        <v/>
      </c>
      <c r="M822" s="14" t="str">
        <f aca="false">IFERROR(INDEX('Fault Master'!$D$5:$D$104,MATCH(G822,'Fault Master'!$A$5:$A$104,0)),"")</f>
        <v/>
      </c>
    </row>
    <row r="823" customFormat="false" ht="15" hidden="false" customHeight="true" outlineLevel="0" collapsed="false">
      <c r="A823" s="1" t="n">
        <v>818</v>
      </c>
      <c r="B823" s="13"/>
      <c r="F823" s="14" t="str">
        <f aca="false">IFERROR(INDEX('Operator Master'!$B$5:$B$504,MATCH(E823,'Operator Master'!$A$5:$A$504,0)),"")</f>
        <v/>
      </c>
      <c r="H823" s="14" t="str">
        <f aca="false">IFERROR(INDEX('Fault Master'!$B$5:$B$104,MATCH(G823,'Fault Master'!$A$5:$A$104,0)),"")</f>
        <v/>
      </c>
      <c r="I823" s="14" t="str">
        <f aca="false">IFERROR(INDEX('Fault Master'!$C$5:$C$104,MATCH(G823,'Fault Master'!$A$5:$A$104,0)),"")</f>
        <v/>
      </c>
      <c r="M823" s="14" t="str">
        <f aca="false">IFERROR(INDEX('Fault Master'!$D$5:$D$104,MATCH(G823,'Fault Master'!$A$5:$A$104,0)),"")</f>
        <v/>
      </c>
    </row>
    <row r="824" customFormat="false" ht="15" hidden="false" customHeight="true" outlineLevel="0" collapsed="false">
      <c r="A824" s="1" t="n">
        <v>819</v>
      </c>
      <c r="B824" s="13"/>
      <c r="F824" s="14" t="str">
        <f aca="false">IFERROR(INDEX('Operator Master'!$B$5:$B$504,MATCH(E824,'Operator Master'!$A$5:$A$504,0)),"")</f>
        <v/>
      </c>
      <c r="H824" s="14" t="str">
        <f aca="false">IFERROR(INDEX('Fault Master'!$B$5:$B$104,MATCH(G824,'Fault Master'!$A$5:$A$104,0)),"")</f>
        <v/>
      </c>
      <c r="I824" s="14" t="str">
        <f aca="false">IFERROR(INDEX('Fault Master'!$C$5:$C$104,MATCH(G824,'Fault Master'!$A$5:$A$104,0)),"")</f>
        <v/>
      </c>
      <c r="M824" s="14" t="str">
        <f aca="false">IFERROR(INDEX('Fault Master'!$D$5:$D$104,MATCH(G824,'Fault Master'!$A$5:$A$104,0)),"")</f>
        <v/>
      </c>
    </row>
    <row r="825" customFormat="false" ht="15" hidden="false" customHeight="true" outlineLevel="0" collapsed="false">
      <c r="A825" s="1" t="n">
        <v>820</v>
      </c>
      <c r="B825" s="13"/>
      <c r="F825" s="14" t="str">
        <f aca="false">IFERROR(INDEX('Operator Master'!$B$5:$B$504,MATCH(E825,'Operator Master'!$A$5:$A$504,0)),"")</f>
        <v/>
      </c>
      <c r="H825" s="14" t="str">
        <f aca="false">IFERROR(INDEX('Fault Master'!$B$5:$B$104,MATCH(G825,'Fault Master'!$A$5:$A$104,0)),"")</f>
        <v/>
      </c>
      <c r="I825" s="14" t="str">
        <f aca="false">IFERROR(INDEX('Fault Master'!$C$5:$C$104,MATCH(G825,'Fault Master'!$A$5:$A$104,0)),"")</f>
        <v/>
      </c>
      <c r="M825" s="14" t="str">
        <f aca="false">IFERROR(INDEX('Fault Master'!$D$5:$D$104,MATCH(G825,'Fault Master'!$A$5:$A$104,0)),"")</f>
        <v/>
      </c>
    </row>
    <row r="826" customFormat="false" ht="15" hidden="false" customHeight="true" outlineLevel="0" collapsed="false">
      <c r="A826" s="1" t="n">
        <v>821</v>
      </c>
      <c r="B826" s="13"/>
      <c r="F826" s="14" t="str">
        <f aca="false">IFERROR(INDEX('Operator Master'!$B$5:$B$504,MATCH(E826,'Operator Master'!$A$5:$A$504,0)),"")</f>
        <v/>
      </c>
      <c r="H826" s="14" t="str">
        <f aca="false">IFERROR(INDEX('Fault Master'!$B$5:$B$104,MATCH(G826,'Fault Master'!$A$5:$A$104,0)),"")</f>
        <v/>
      </c>
      <c r="I826" s="14" t="str">
        <f aca="false">IFERROR(INDEX('Fault Master'!$C$5:$C$104,MATCH(G826,'Fault Master'!$A$5:$A$104,0)),"")</f>
        <v/>
      </c>
      <c r="M826" s="14" t="str">
        <f aca="false">IFERROR(INDEX('Fault Master'!$D$5:$D$104,MATCH(G826,'Fault Master'!$A$5:$A$104,0)),"")</f>
        <v/>
      </c>
    </row>
    <row r="827" customFormat="false" ht="15" hidden="false" customHeight="true" outlineLevel="0" collapsed="false">
      <c r="A827" s="1" t="n">
        <v>822</v>
      </c>
      <c r="B827" s="13"/>
      <c r="F827" s="14" t="str">
        <f aca="false">IFERROR(INDEX('Operator Master'!$B$5:$B$504,MATCH(E827,'Operator Master'!$A$5:$A$504,0)),"")</f>
        <v/>
      </c>
      <c r="H827" s="14" t="str">
        <f aca="false">IFERROR(INDEX('Fault Master'!$B$5:$B$104,MATCH(G827,'Fault Master'!$A$5:$A$104,0)),"")</f>
        <v/>
      </c>
      <c r="I827" s="14" t="str">
        <f aca="false">IFERROR(INDEX('Fault Master'!$C$5:$C$104,MATCH(G827,'Fault Master'!$A$5:$A$104,0)),"")</f>
        <v/>
      </c>
      <c r="M827" s="14" t="str">
        <f aca="false">IFERROR(INDEX('Fault Master'!$D$5:$D$104,MATCH(G827,'Fault Master'!$A$5:$A$104,0)),"")</f>
        <v/>
      </c>
    </row>
    <row r="828" customFormat="false" ht="15" hidden="false" customHeight="true" outlineLevel="0" collapsed="false">
      <c r="A828" s="1" t="n">
        <v>823</v>
      </c>
      <c r="B828" s="13"/>
      <c r="F828" s="14" t="str">
        <f aca="false">IFERROR(INDEX('Operator Master'!$B$5:$B$504,MATCH(E828,'Operator Master'!$A$5:$A$504,0)),"")</f>
        <v/>
      </c>
      <c r="H828" s="14" t="str">
        <f aca="false">IFERROR(INDEX('Fault Master'!$B$5:$B$104,MATCH(G828,'Fault Master'!$A$5:$A$104,0)),"")</f>
        <v/>
      </c>
      <c r="I828" s="14" t="str">
        <f aca="false">IFERROR(INDEX('Fault Master'!$C$5:$C$104,MATCH(G828,'Fault Master'!$A$5:$A$104,0)),"")</f>
        <v/>
      </c>
      <c r="M828" s="14" t="str">
        <f aca="false">IFERROR(INDEX('Fault Master'!$D$5:$D$104,MATCH(G828,'Fault Master'!$A$5:$A$104,0)),"")</f>
        <v/>
      </c>
    </row>
    <row r="829" customFormat="false" ht="15" hidden="false" customHeight="true" outlineLevel="0" collapsed="false">
      <c r="A829" s="1" t="n">
        <v>824</v>
      </c>
      <c r="B829" s="13"/>
      <c r="F829" s="14" t="str">
        <f aca="false">IFERROR(INDEX('Operator Master'!$B$5:$B$504,MATCH(E829,'Operator Master'!$A$5:$A$504,0)),"")</f>
        <v/>
      </c>
      <c r="H829" s="14" t="str">
        <f aca="false">IFERROR(INDEX('Fault Master'!$B$5:$B$104,MATCH(G829,'Fault Master'!$A$5:$A$104,0)),"")</f>
        <v/>
      </c>
      <c r="I829" s="14" t="str">
        <f aca="false">IFERROR(INDEX('Fault Master'!$C$5:$C$104,MATCH(G829,'Fault Master'!$A$5:$A$104,0)),"")</f>
        <v/>
      </c>
      <c r="M829" s="14" t="str">
        <f aca="false">IFERROR(INDEX('Fault Master'!$D$5:$D$104,MATCH(G829,'Fault Master'!$A$5:$A$104,0)),"")</f>
        <v/>
      </c>
    </row>
    <row r="830" customFormat="false" ht="15" hidden="false" customHeight="true" outlineLevel="0" collapsed="false">
      <c r="A830" s="1" t="n">
        <v>825</v>
      </c>
      <c r="B830" s="13"/>
      <c r="F830" s="14" t="str">
        <f aca="false">IFERROR(INDEX('Operator Master'!$B$5:$B$504,MATCH(E830,'Operator Master'!$A$5:$A$504,0)),"")</f>
        <v/>
      </c>
      <c r="H830" s="14" t="str">
        <f aca="false">IFERROR(INDEX('Fault Master'!$B$5:$B$104,MATCH(G830,'Fault Master'!$A$5:$A$104,0)),"")</f>
        <v/>
      </c>
      <c r="I830" s="14" t="str">
        <f aca="false">IFERROR(INDEX('Fault Master'!$C$5:$C$104,MATCH(G830,'Fault Master'!$A$5:$A$104,0)),"")</f>
        <v/>
      </c>
      <c r="M830" s="14" t="str">
        <f aca="false">IFERROR(INDEX('Fault Master'!$D$5:$D$104,MATCH(G830,'Fault Master'!$A$5:$A$104,0)),"")</f>
        <v/>
      </c>
    </row>
    <row r="831" customFormat="false" ht="15" hidden="false" customHeight="true" outlineLevel="0" collapsed="false">
      <c r="A831" s="1" t="n">
        <v>826</v>
      </c>
      <c r="B831" s="13"/>
      <c r="F831" s="14" t="str">
        <f aca="false">IFERROR(INDEX('Operator Master'!$B$5:$B$504,MATCH(E831,'Operator Master'!$A$5:$A$504,0)),"")</f>
        <v/>
      </c>
      <c r="H831" s="14" t="str">
        <f aca="false">IFERROR(INDEX('Fault Master'!$B$5:$B$104,MATCH(G831,'Fault Master'!$A$5:$A$104,0)),"")</f>
        <v/>
      </c>
      <c r="I831" s="14" t="str">
        <f aca="false">IFERROR(INDEX('Fault Master'!$C$5:$C$104,MATCH(G831,'Fault Master'!$A$5:$A$104,0)),"")</f>
        <v/>
      </c>
      <c r="M831" s="14" t="str">
        <f aca="false">IFERROR(INDEX('Fault Master'!$D$5:$D$104,MATCH(G831,'Fault Master'!$A$5:$A$104,0)),"")</f>
        <v/>
      </c>
    </row>
    <row r="832" customFormat="false" ht="15" hidden="false" customHeight="true" outlineLevel="0" collapsed="false">
      <c r="A832" s="1" t="n">
        <v>827</v>
      </c>
      <c r="B832" s="13"/>
      <c r="F832" s="14" t="str">
        <f aca="false">IFERROR(INDEX('Operator Master'!$B$5:$B$504,MATCH(E832,'Operator Master'!$A$5:$A$504,0)),"")</f>
        <v/>
      </c>
      <c r="H832" s="14" t="str">
        <f aca="false">IFERROR(INDEX('Fault Master'!$B$5:$B$104,MATCH(G832,'Fault Master'!$A$5:$A$104,0)),"")</f>
        <v/>
      </c>
      <c r="I832" s="14" t="str">
        <f aca="false">IFERROR(INDEX('Fault Master'!$C$5:$C$104,MATCH(G832,'Fault Master'!$A$5:$A$104,0)),"")</f>
        <v/>
      </c>
      <c r="M832" s="14" t="str">
        <f aca="false">IFERROR(INDEX('Fault Master'!$D$5:$D$104,MATCH(G832,'Fault Master'!$A$5:$A$104,0)),"")</f>
        <v/>
      </c>
    </row>
    <row r="833" customFormat="false" ht="15" hidden="false" customHeight="true" outlineLevel="0" collapsed="false">
      <c r="A833" s="1" t="n">
        <v>828</v>
      </c>
      <c r="B833" s="13"/>
      <c r="F833" s="14" t="str">
        <f aca="false">IFERROR(INDEX('Operator Master'!$B$5:$B$504,MATCH(E833,'Operator Master'!$A$5:$A$504,0)),"")</f>
        <v/>
      </c>
      <c r="H833" s="14" t="str">
        <f aca="false">IFERROR(INDEX('Fault Master'!$B$5:$B$104,MATCH(G833,'Fault Master'!$A$5:$A$104,0)),"")</f>
        <v/>
      </c>
      <c r="I833" s="14" t="str">
        <f aca="false">IFERROR(INDEX('Fault Master'!$C$5:$C$104,MATCH(G833,'Fault Master'!$A$5:$A$104,0)),"")</f>
        <v/>
      </c>
      <c r="M833" s="14" t="str">
        <f aca="false">IFERROR(INDEX('Fault Master'!$D$5:$D$104,MATCH(G833,'Fault Master'!$A$5:$A$104,0)),"")</f>
        <v/>
      </c>
    </row>
    <row r="834" customFormat="false" ht="15" hidden="false" customHeight="true" outlineLevel="0" collapsed="false">
      <c r="A834" s="1" t="n">
        <v>829</v>
      </c>
      <c r="B834" s="13"/>
      <c r="F834" s="14" t="str">
        <f aca="false">IFERROR(INDEX('Operator Master'!$B$5:$B$504,MATCH(E834,'Operator Master'!$A$5:$A$504,0)),"")</f>
        <v/>
      </c>
      <c r="H834" s="14" t="str">
        <f aca="false">IFERROR(INDEX('Fault Master'!$B$5:$B$104,MATCH(G834,'Fault Master'!$A$5:$A$104,0)),"")</f>
        <v/>
      </c>
      <c r="I834" s="14" t="str">
        <f aca="false">IFERROR(INDEX('Fault Master'!$C$5:$C$104,MATCH(G834,'Fault Master'!$A$5:$A$104,0)),"")</f>
        <v/>
      </c>
      <c r="M834" s="14" t="str">
        <f aca="false">IFERROR(INDEX('Fault Master'!$D$5:$D$104,MATCH(G834,'Fault Master'!$A$5:$A$104,0)),"")</f>
        <v/>
      </c>
    </row>
    <row r="835" customFormat="false" ht="15" hidden="false" customHeight="true" outlineLevel="0" collapsed="false">
      <c r="A835" s="1" t="n">
        <v>830</v>
      </c>
      <c r="B835" s="13"/>
      <c r="F835" s="14" t="str">
        <f aca="false">IFERROR(INDEX('Operator Master'!$B$5:$B$504,MATCH(E835,'Operator Master'!$A$5:$A$504,0)),"")</f>
        <v/>
      </c>
      <c r="H835" s="14" t="str">
        <f aca="false">IFERROR(INDEX('Fault Master'!$B$5:$B$104,MATCH(G835,'Fault Master'!$A$5:$A$104,0)),"")</f>
        <v/>
      </c>
      <c r="I835" s="14" t="str">
        <f aca="false">IFERROR(INDEX('Fault Master'!$C$5:$C$104,MATCH(G835,'Fault Master'!$A$5:$A$104,0)),"")</f>
        <v/>
      </c>
      <c r="M835" s="14" t="str">
        <f aca="false">IFERROR(INDEX('Fault Master'!$D$5:$D$104,MATCH(G835,'Fault Master'!$A$5:$A$104,0)),"")</f>
        <v/>
      </c>
    </row>
    <row r="836" customFormat="false" ht="15" hidden="false" customHeight="true" outlineLevel="0" collapsed="false">
      <c r="A836" s="1" t="n">
        <v>831</v>
      </c>
      <c r="B836" s="13"/>
      <c r="F836" s="14" t="str">
        <f aca="false">IFERROR(INDEX('Operator Master'!$B$5:$B$504,MATCH(E836,'Operator Master'!$A$5:$A$504,0)),"")</f>
        <v/>
      </c>
      <c r="H836" s="14" t="str">
        <f aca="false">IFERROR(INDEX('Fault Master'!$B$5:$B$104,MATCH(G836,'Fault Master'!$A$5:$A$104,0)),"")</f>
        <v/>
      </c>
      <c r="I836" s="14" t="str">
        <f aca="false">IFERROR(INDEX('Fault Master'!$C$5:$C$104,MATCH(G836,'Fault Master'!$A$5:$A$104,0)),"")</f>
        <v/>
      </c>
      <c r="M836" s="14" t="str">
        <f aca="false">IFERROR(INDEX('Fault Master'!$D$5:$D$104,MATCH(G836,'Fault Master'!$A$5:$A$104,0)),"")</f>
        <v/>
      </c>
    </row>
    <row r="837" customFormat="false" ht="15" hidden="false" customHeight="true" outlineLevel="0" collapsed="false">
      <c r="A837" s="1" t="n">
        <v>832</v>
      </c>
      <c r="B837" s="13"/>
      <c r="F837" s="14" t="str">
        <f aca="false">IFERROR(INDEX('Operator Master'!$B$5:$B$504,MATCH(E837,'Operator Master'!$A$5:$A$504,0)),"")</f>
        <v/>
      </c>
      <c r="H837" s="14" t="str">
        <f aca="false">IFERROR(INDEX('Fault Master'!$B$5:$B$104,MATCH(G837,'Fault Master'!$A$5:$A$104,0)),"")</f>
        <v/>
      </c>
      <c r="I837" s="14" t="str">
        <f aca="false">IFERROR(INDEX('Fault Master'!$C$5:$C$104,MATCH(G837,'Fault Master'!$A$5:$A$104,0)),"")</f>
        <v/>
      </c>
      <c r="M837" s="14" t="str">
        <f aca="false">IFERROR(INDEX('Fault Master'!$D$5:$D$104,MATCH(G837,'Fault Master'!$A$5:$A$104,0)),"")</f>
        <v/>
      </c>
    </row>
    <row r="838" customFormat="false" ht="15" hidden="false" customHeight="true" outlineLevel="0" collapsed="false">
      <c r="A838" s="1" t="n">
        <v>833</v>
      </c>
      <c r="B838" s="13"/>
      <c r="F838" s="14" t="str">
        <f aca="false">IFERROR(INDEX('Operator Master'!$B$5:$B$504,MATCH(E838,'Operator Master'!$A$5:$A$504,0)),"")</f>
        <v/>
      </c>
      <c r="H838" s="14" t="str">
        <f aca="false">IFERROR(INDEX('Fault Master'!$B$5:$B$104,MATCH(G838,'Fault Master'!$A$5:$A$104,0)),"")</f>
        <v/>
      </c>
      <c r="I838" s="14" t="str">
        <f aca="false">IFERROR(INDEX('Fault Master'!$C$5:$C$104,MATCH(G838,'Fault Master'!$A$5:$A$104,0)),"")</f>
        <v/>
      </c>
      <c r="M838" s="14" t="str">
        <f aca="false">IFERROR(INDEX('Fault Master'!$D$5:$D$104,MATCH(G838,'Fault Master'!$A$5:$A$104,0)),"")</f>
        <v/>
      </c>
    </row>
    <row r="839" customFormat="false" ht="15" hidden="false" customHeight="true" outlineLevel="0" collapsed="false">
      <c r="A839" s="1" t="n">
        <v>834</v>
      </c>
      <c r="B839" s="13"/>
      <c r="F839" s="14" t="str">
        <f aca="false">IFERROR(INDEX('Operator Master'!$B$5:$B$504,MATCH(E839,'Operator Master'!$A$5:$A$504,0)),"")</f>
        <v/>
      </c>
      <c r="H839" s="14" t="str">
        <f aca="false">IFERROR(INDEX('Fault Master'!$B$5:$B$104,MATCH(G839,'Fault Master'!$A$5:$A$104,0)),"")</f>
        <v/>
      </c>
      <c r="I839" s="14" t="str">
        <f aca="false">IFERROR(INDEX('Fault Master'!$C$5:$C$104,MATCH(G839,'Fault Master'!$A$5:$A$104,0)),"")</f>
        <v/>
      </c>
      <c r="M839" s="14" t="str">
        <f aca="false">IFERROR(INDEX('Fault Master'!$D$5:$D$104,MATCH(G839,'Fault Master'!$A$5:$A$104,0)),"")</f>
        <v/>
      </c>
    </row>
    <row r="840" customFormat="false" ht="15" hidden="false" customHeight="true" outlineLevel="0" collapsed="false">
      <c r="A840" s="1" t="n">
        <v>835</v>
      </c>
      <c r="B840" s="13"/>
      <c r="F840" s="14" t="str">
        <f aca="false">IFERROR(INDEX('Operator Master'!$B$5:$B$504,MATCH(E840,'Operator Master'!$A$5:$A$504,0)),"")</f>
        <v/>
      </c>
      <c r="H840" s="14" t="str">
        <f aca="false">IFERROR(INDEX('Fault Master'!$B$5:$B$104,MATCH(G840,'Fault Master'!$A$5:$A$104,0)),"")</f>
        <v/>
      </c>
      <c r="I840" s="14" t="str">
        <f aca="false">IFERROR(INDEX('Fault Master'!$C$5:$C$104,MATCH(G840,'Fault Master'!$A$5:$A$104,0)),"")</f>
        <v/>
      </c>
      <c r="M840" s="14" t="str">
        <f aca="false">IFERROR(INDEX('Fault Master'!$D$5:$D$104,MATCH(G840,'Fault Master'!$A$5:$A$104,0)),"")</f>
        <v/>
      </c>
    </row>
    <row r="841" customFormat="false" ht="15" hidden="false" customHeight="true" outlineLevel="0" collapsed="false">
      <c r="A841" s="1" t="n">
        <v>836</v>
      </c>
      <c r="B841" s="13"/>
      <c r="F841" s="14" t="str">
        <f aca="false">IFERROR(INDEX('Operator Master'!$B$5:$B$504,MATCH(E841,'Operator Master'!$A$5:$A$504,0)),"")</f>
        <v/>
      </c>
      <c r="H841" s="14" t="str">
        <f aca="false">IFERROR(INDEX('Fault Master'!$B$5:$B$104,MATCH(G841,'Fault Master'!$A$5:$A$104,0)),"")</f>
        <v/>
      </c>
      <c r="I841" s="14" t="str">
        <f aca="false">IFERROR(INDEX('Fault Master'!$C$5:$C$104,MATCH(G841,'Fault Master'!$A$5:$A$104,0)),"")</f>
        <v/>
      </c>
      <c r="M841" s="14" t="str">
        <f aca="false">IFERROR(INDEX('Fault Master'!$D$5:$D$104,MATCH(G841,'Fault Master'!$A$5:$A$104,0)),"")</f>
        <v/>
      </c>
    </row>
    <row r="842" customFormat="false" ht="15" hidden="false" customHeight="true" outlineLevel="0" collapsed="false">
      <c r="A842" s="1" t="n">
        <v>837</v>
      </c>
      <c r="B842" s="13"/>
      <c r="F842" s="14" t="str">
        <f aca="false">IFERROR(INDEX('Operator Master'!$B$5:$B$504,MATCH(E842,'Operator Master'!$A$5:$A$504,0)),"")</f>
        <v/>
      </c>
      <c r="H842" s="14" t="str">
        <f aca="false">IFERROR(INDEX('Fault Master'!$B$5:$B$104,MATCH(G842,'Fault Master'!$A$5:$A$104,0)),"")</f>
        <v/>
      </c>
      <c r="I842" s="14" t="str">
        <f aca="false">IFERROR(INDEX('Fault Master'!$C$5:$C$104,MATCH(G842,'Fault Master'!$A$5:$A$104,0)),"")</f>
        <v/>
      </c>
      <c r="M842" s="14" t="str">
        <f aca="false">IFERROR(INDEX('Fault Master'!$D$5:$D$104,MATCH(G842,'Fault Master'!$A$5:$A$104,0)),"")</f>
        <v/>
      </c>
    </row>
    <row r="843" customFormat="false" ht="15" hidden="false" customHeight="true" outlineLevel="0" collapsed="false">
      <c r="A843" s="1" t="n">
        <v>838</v>
      </c>
      <c r="B843" s="13"/>
      <c r="F843" s="14" t="str">
        <f aca="false">IFERROR(INDEX('Operator Master'!$B$5:$B$504,MATCH(E843,'Operator Master'!$A$5:$A$504,0)),"")</f>
        <v/>
      </c>
      <c r="H843" s="14" t="str">
        <f aca="false">IFERROR(INDEX('Fault Master'!$B$5:$B$104,MATCH(G843,'Fault Master'!$A$5:$A$104,0)),"")</f>
        <v/>
      </c>
      <c r="I843" s="14" t="str">
        <f aca="false">IFERROR(INDEX('Fault Master'!$C$5:$C$104,MATCH(G843,'Fault Master'!$A$5:$A$104,0)),"")</f>
        <v/>
      </c>
      <c r="M843" s="14" t="str">
        <f aca="false">IFERROR(INDEX('Fault Master'!$D$5:$D$104,MATCH(G843,'Fault Master'!$A$5:$A$104,0)),"")</f>
        <v/>
      </c>
    </row>
    <row r="844" customFormat="false" ht="15" hidden="false" customHeight="true" outlineLevel="0" collapsed="false">
      <c r="A844" s="1" t="n">
        <v>839</v>
      </c>
      <c r="B844" s="13"/>
      <c r="F844" s="14" t="str">
        <f aca="false">IFERROR(INDEX('Operator Master'!$B$5:$B$504,MATCH(E844,'Operator Master'!$A$5:$A$504,0)),"")</f>
        <v/>
      </c>
      <c r="H844" s="14" t="str">
        <f aca="false">IFERROR(INDEX('Fault Master'!$B$5:$B$104,MATCH(G844,'Fault Master'!$A$5:$A$104,0)),"")</f>
        <v/>
      </c>
      <c r="I844" s="14" t="str">
        <f aca="false">IFERROR(INDEX('Fault Master'!$C$5:$C$104,MATCH(G844,'Fault Master'!$A$5:$A$104,0)),"")</f>
        <v/>
      </c>
      <c r="M844" s="14" t="str">
        <f aca="false">IFERROR(INDEX('Fault Master'!$D$5:$D$104,MATCH(G844,'Fault Master'!$A$5:$A$104,0)),"")</f>
        <v/>
      </c>
    </row>
    <row r="845" customFormat="false" ht="15" hidden="false" customHeight="true" outlineLevel="0" collapsed="false">
      <c r="A845" s="1" t="n">
        <v>840</v>
      </c>
      <c r="B845" s="13"/>
      <c r="F845" s="14" t="str">
        <f aca="false">IFERROR(INDEX('Operator Master'!$B$5:$B$504,MATCH(E845,'Operator Master'!$A$5:$A$504,0)),"")</f>
        <v/>
      </c>
      <c r="H845" s="14" t="str">
        <f aca="false">IFERROR(INDEX('Fault Master'!$B$5:$B$104,MATCH(G845,'Fault Master'!$A$5:$A$104,0)),"")</f>
        <v/>
      </c>
      <c r="I845" s="14" t="str">
        <f aca="false">IFERROR(INDEX('Fault Master'!$C$5:$C$104,MATCH(G845,'Fault Master'!$A$5:$A$104,0)),"")</f>
        <v/>
      </c>
      <c r="M845" s="14" t="str">
        <f aca="false">IFERROR(INDEX('Fault Master'!$D$5:$D$104,MATCH(G845,'Fault Master'!$A$5:$A$104,0)),"")</f>
        <v/>
      </c>
    </row>
    <row r="846" customFormat="false" ht="15" hidden="false" customHeight="true" outlineLevel="0" collapsed="false">
      <c r="A846" s="1" t="n">
        <v>841</v>
      </c>
      <c r="B846" s="13"/>
      <c r="F846" s="14" t="str">
        <f aca="false">IFERROR(INDEX('Operator Master'!$B$5:$B$504,MATCH(E846,'Operator Master'!$A$5:$A$504,0)),"")</f>
        <v/>
      </c>
      <c r="H846" s="14" t="str">
        <f aca="false">IFERROR(INDEX('Fault Master'!$B$5:$B$104,MATCH(G846,'Fault Master'!$A$5:$A$104,0)),"")</f>
        <v/>
      </c>
      <c r="I846" s="14" t="str">
        <f aca="false">IFERROR(INDEX('Fault Master'!$C$5:$C$104,MATCH(G846,'Fault Master'!$A$5:$A$104,0)),"")</f>
        <v/>
      </c>
      <c r="M846" s="14" t="str">
        <f aca="false">IFERROR(INDEX('Fault Master'!$D$5:$D$104,MATCH(G846,'Fault Master'!$A$5:$A$104,0)),"")</f>
        <v/>
      </c>
    </row>
    <row r="847" customFormat="false" ht="15" hidden="false" customHeight="true" outlineLevel="0" collapsed="false">
      <c r="A847" s="1" t="n">
        <v>842</v>
      </c>
      <c r="B847" s="13"/>
      <c r="F847" s="14" t="str">
        <f aca="false">IFERROR(INDEX('Operator Master'!$B$5:$B$504,MATCH(E847,'Operator Master'!$A$5:$A$504,0)),"")</f>
        <v/>
      </c>
      <c r="H847" s="14" t="str">
        <f aca="false">IFERROR(INDEX('Fault Master'!$B$5:$B$104,MATCH(G847,'Fault Master'!$A$5:$A$104,0)),"")</f>
        <v/>
      </c>
      <c r="I847" s="14" t="str">
        <f aca="false">IFERROR(INDEX('Fault Master'!$C$5:$C$104,MATCH(G847,'Fault Master'!$A$5:$A$104,0)),"")</f>
        <v/>
      </c>
      <c r="M847" s="14" t="str">
        <f aca="false">IFERROR(INDEX('Fault Master'!$D$5:$D$104,MATCH(G847,'Fault Master'!$A$5:$A$104,0)),"")</f>
        <v/>
      </c>
    </row>
    <row r="848" customFormat="false" ht="15" hidden="false" customHeight="true" outlineLevel="0" collapsed="false">
      <c r="A848" s="1" t="n">
        <v>843</v>
      </c>
      <c r="B848" s="13"/>
      <c r="F848" s="14" t="str">
        <f aca="false">IFERROR(INDEX('Operator Master'!$B$5:$B$504,MATCH(E848,'Operator Master'!$A$5:$A$504,0)),"")</f>
        <v/>
      </c>
      <c r="H848" s="14" t="str">
        <f aca="false">IFERROR(INDEX('Fault Master'!$B$5:$B$104,MATCH(G848,'Fault Master'!$A$5:$A$104,0)),"")</f>
        <v/>
      </c>
      <c r="I848" s="14" t="str">
        <f aca="false">IFERROR(INDEX('Fault Master'!$C$5:$C$104,MATCH(G848,'Fault Master'!$A$5:$A$104,0)),"")</f>
        <v/>
      </c>
      <c r="M848" s="14" t="str">
        <f aca="false">IFERROR(INDEX('Fault Master'!$D$5:$D$104,MATCH(G848,'Fault Master'!$A$5:$A$104,0)),"")</f>
        <v/>
      </c>
    </row>
    <row r="849" customFormat="false" ht="15" hidden="false" customHeight="true" outlineLevel="0" collapsed="false">
      <c r="A849" s="1" t="n">
        <v>844</v>
      </c>
      <c r="B849" s="13"/>
      <c r="F849" s="14" t="str">
        <f aca="false">IFERROR(INDEX('Operator Master'!$B$5:$B$504,MATCH(E849,'Operator Master'!$A$5:$A$504,0)),"")</f>
        <v/>
      </c>
      <c r="H849" s="14" t="str">
        <f aca="false">IFERROR(INDEX('Fault Master'!$B$5:$B$104,MATCH(G849,'Fault Master'!$A$5:$A$104,0)),"")</f>
        <v/>
      </c>
      <c r="I849" s="14" t="str">
        <f aca="false">IFERROR(INDEX('Fault Master'!$C$5:$C$104,MATCH(G849,'Fault Master'!$A$5:$A$104,0)),"")</f>
        <v/>
      </c>
      <c r="M849" s="14" t="str">
        <f aca="false">IFERROR(INDEX('Fault Master'!$D$5:$D$104,MATCH(G849,'Fault Master'!$A$5:$A$104,0)),"")</f>
        <v/>
      </c>
    </row>
    <row r="850" customFormat="false" ht="15" hidden="false" customHeight="true" outlineLevel="0" collapsed="false">
      <c r="A850" s="1" t="n">
        <v>845</v>
      </c>
      <c r="B850" s="13"/>
      <c r="F850" s="14" t="str">
        <f aca="false">IFERROR(INDEX('Operator Master'!$B$5:$B$504,MATCH(E850,'Operator Master'!$A$5:$A$504,0)),"")</f>
        <v/>
      </c>
      <c r="H850" s="14" t="str">
        <f aca="false">IFERROR(INDEX('Fault Master'!$B$5:$B$104,MATCH(G850,'Fault Master'!$A$5:$A$104,0)),"")</f>
        <v/>
      </c>
      <c r="I850" s="14" t="str">
        <f aca="false">IFERROR(INDEX('Fault Master'!$C$5:$C$104,MATCH(G850,'Fault Master'!$A$5:$A$104,0)),"")</f>
        <v/>
      </c>
      <c r="M850" s="14" t="str">
        <f aca="false">IFERROR(INDEX('Fault Master'!$D$5:$D$104,MATCH(G850,'Fault Master'!$A$5:$A$104,0)),"")</f>
        <v/>
      </c>
    </row>
    <row r="851" customFormat="false" ht="15" hidden="false" customHeight="true" outlineLevel="0" collapsed="false">
      <c r="A851" s="1" t="n">
        <v>846</v>
      </c>
      <c r="B851" s="13"/>
      <c r="F851" s="14" t="str">
        <f aca="false">IFERROR(INDEX('Operator Master'!$B$5:$B$504,MATCH(E851,'Operator Master'!$A$5:$A$504,0)),"")</f>
        <v/>
      </c>
      <c r="H851" s="14" t="str">
        <f aca="false">IFERROR(INDEX('Fault Master'!$B$5:$B$104,MATCH(G851,'Fault Master'!$A$5:$A$104,0)),"")</f>
        <v/>
      </c>
      <c r="I851" s="14" t="str">
        <f aca="false">IFERROR(INDEX('Fault Master'!$C$5:$C$104,MATCH(G851,'Fault Master'!$A$5:$A$104,0)),"")</f>
        <v/>
      </c>
      <c r="M851" s="14" t="str">
        <f aca="false">IFERROR(INDEX('Fault Master'!$D$5:$D$104,MATCH(G851,'Fault Master'!$A$5:$A$104,0)),"")</f>
        <v/>
      </c>
    </row>
    <row r="852" customFormat="false" ht="15" hidden="false" customHeight="true" outlineLevel="0" collapsed="false">
      <c r="A852" s="1" t="n">
        <v>847</v>
      </c>
      <c r="B852" s="13"/>
      <c r="F852" s="14" t="str">
        <f aca="false">IFERROR(INDEX('Operator Master'!$B$5:$B$504,MATCH(E852,'Operator Master'!$A$5:$A$504,0)),"")</f>
        <v/>
      </c>
      <c r="H852" s="14" t="str">
        <f aca="false">IFERROR(INDEX('Fault Master'!$B$5:$B$104,MATCH(G852,'Fault Master'!$A$5:$A$104,0)),"")</f>
        <v/>
      </c>
      <c r="I852" s="14" t="str">
        <f aca="false">IFERROR(INDEX('Fault Master'!$C$5:$C$104,MATCH(G852,'Fault Master'!$A$5:$A$104,0)),"")</f>
        <v/>
      </c>
      <c r="M852" s="14" t="str">
        <f aca="false">IFERROR(INDEX('Fault Master'!$D$5:$D$104,MATCH(G852,'Fault Master'!$A$5:$A$104,0)),"")</f>
        <v/>
      </c>
    </row>
    <row r="853" customFormat="false" ht="15" hidden="false" customHeight="true" outlineLevel="0" collapsed="false">
      <c r="A853" s="1" t="n">
        <v>848</v>
      </c>
      <c r="B853" s="13"/>
      <c r="F853" s="14" t="str">
        <f aca="false">IFERROR(INDEX('Operator Master'!$B$5:$B$504,MATCH(E853,'Operator Master'!$A$5:$A$504,0)),"")</f>
        <v/>
      </c>
      <c r="H853" s="14" t="str">
        <f aca="false">IFERROR(INDEX('Fault Master'!$B$5:$B$104,MATCH(G853,'Fault Master'!$A$5:$A$104,0)),"")</f>
        <v/>
      </c>
      <c r="I853" s="14" t="str">
        <f aca="false">IFERROR(INDEX('Fault Master'!$C$5:$C$104,MATCH(G853,'Fault Master'!$A$5:$A$104,0)),"")</f>
        <v/>
      </c>
      <c r="M853" s="14" t="str">
        <f aca="false">IFERROR(INDEX('Fault Master'!$D$5:$D$104,MATCH(G853,'Fault Master'!$A$5:$A$104,0)),"")</f>
        <v/>
      </c>
    </row>
    <row r="854" customFormat="false" ht="15" hidden="false" customHeight="true" outlineLevel="0" collapsed="false">
      <c r="A854" s="1" t="n">
        <v>849</v>
      </c>
      <c r="B854" s="13"/>
      <c r="F854" s="14" t="str">
        <f aca="false">IFERROR(INDEX('Operator Master'!$B$5:$B$504,MATCH(E854,'Operator Master'!$A$5:$A$504,0)),"")</f>
        <v/>
      </c>
      <c r="H854" s="14" t="str">
        <f aca="false">IFERROR(INDEX('Fault Master'!$B$5:$B$104,MATCH(G854,'Fault Master'!$A$5:$A$104,0)),"")</f>
        <v/>
      </c>
      <c r="I854" s="14" t="str">
        <f aca="false">IFERROR(INDEX('Fault Master'!$C$5:$C$104,MATCH(G854,'Fault Master'!$A$5:$A$104,0)),"")</f>
        <v/>
      </c>
      <c r="M854" s="14" t="str">
        <f aca="false">IFERROR(INDEX('Fault Master'!$D$5:$D$104,MATCH(G854,'Fault Master'!$A$5:$A$104,0)),"")</f>
        <v/>
      </c>
    </row>
    <row r="855" customFormat="false" ht="15" hidden="false" customHeight="true" outlineLevel="0" collapsed="false">
      <c r="A855" s="1" t="n">
        <v>850</v>
      </c>
      <c r="B855" s="13"/>
      <c r="F855" s="14" t="str">
        <f aca="false">IFERROR(INDEX('Operator Master'!$B$5:$B$504,MATCH(E855,'Operator Master'!$A$5:$A$504,0)),"")</f>
        <v/>
      </c>
      <c r="H855" s="14" t="str">
        <f aca="false">IFERROR(INDEX('Fault Master'!$B$5:$B$104,MATCH(G855,'Fault Master'!$A$5:$A$104,0)),"")</f>
        <v/>
      </c>
      <c r="I855" s="14" t="str">
        <f aca="false">IFERROR(INDEX('Fault Master'!$C$5:$C$104,MATCH(G855,'Fault Master'!$A$5:$A$104,0)),"")</f>
        <v/>
      </c>
      <c r="M855" s="14" t="str">
        <f aca="false">IFERROR(INDEX('Fault Master'!$D$5:$D$104,MATCH(G855,'Fault Master'!$A$5:$A$104,0)),"")</f>
        <v/>
      </c>
    </row>
    <row r="856" customFormat="false" ht="15" hidden="false" customHeight="true" outlineLevel="0" collapsed="false">
      <c r="A856" s="1" t="n">
        <v>851</v>
      </c>
      <c r="B856" s="13"/>
      <c r="F856" s="14" t="str">
        <f aca="false">IFERROR(INDEX('Operator Master'!$B$5:$B$504,MATCH(E856,'Operator Master'!$A$5:$A$504,0)),"")</f>
        <v/>
      </c>
      <c r="H856" s="14" t="str">
        <f aca="false">IFERROR(INDEX('Fault Master'!$B$5:$B$104,MATCH(G856,'Fault Master'!$A$5:$A$104,0)),"")</f>
        <v/>
      </c>
      <c r="I856" s="14" t="str">
        <f aca="false">IFERROR(INDEX('Fault Master'!$C$5:$C$104,MATCH(G856,'Fault Master'!$A$5:$A$104,0)),"")</f>
        <v/>
      </c>
      <c r="M856" s="14" t="str">
        <f aca="false">IFERROR(INDEX('Fault Master'!$D$5:$D$104,MATCH(G856,'Fault Master'!$A$5:$A$104,0)),"")</f>
        <v/>
      </c>
    </row>
    <row r="857" customFormat="false" ht="15" hidden="false" customHeight="true" outlineLevel="0" collapsed="false">
      <c r="A857" s="1" t="n">
        <v>852</v>
      </c>
      <c r="B857" s="13"/>
      <c r="F857" s="14" t="str">
        <f aca="false">IFERROR(INDEX('Operator Master'!$B$5:$B$504,MATCH(E857,'Operator Master'!$A$5:$A$504,0)),"")</f>
        <v/>
      </c>
      <c r="H857" s="14" t="str">
        <f aca="false">IFERROR(INDEX('Fault Master'!$B$5:$B$104,MATCH(G857,'Fault Master'!$A$5:$A$104,0)),"")</f>
        <v/>
      </c>
      <c r="I857" s="14" t="str">
        <f aca="false">IFERROR(INDEX('Fault Master'!$C$5:$C$104,MATCH(G857,'Fault Master'!$A$5:$A$104,0)),"")</f>
        <v/>
      </c>
      <c r="M857" s="14" t="str">
        <f aca="false">IFERROR(INDEX('Fault Master'!$D$5:$D$104,MATCH(G857,'Fault Master'!$A$5:$A$104,0)),"")</f>
        <v/>
      </c>
    </row>
    <row r="858" customFormat="false" ht="15" hidden="false" customHeight="true" outlineLevel="0" collapsed="false">
      <c r="A858" s="1" t="n">
        <v>853</v>
      </c>
      <c r="B858" s="13"/>
      <c r="F858" s="14" t="str">
        <f aca="false">IFERROR(INDEX('Operator Master'!$B$5:$B$504,MATCH(E858,'Operator Master'!$A$5:$A$504,0)),"")</f>
        <v/>
      </c>
      <c r="H858" s="14" t="str">
        <f aca="false">IFERROR(INDEX('Fault Master'!$B$5:$B$104,MATCH(G858,'Fault Master'!$A$5:$A$104,0)),"")</f>
        <v/>
      </c>
      <c r="I858" s="14" t="str">
        <f aca="false">IFERROR(INDEX('Fault Master'!$C$5:$C$104,MATCH(G858,'Fault Master'!$A$5:$A$104,0)),"")</f>
        <v/>
      </c>
      <c r="M858" s="14" t="str">
        <f aca="false">IFERROR(INDEX('Fault Master'!$D$5:$D$104,MATCH(G858,'Fault Master'!$A$5:$A$104,0)),"")</f>
        <v/>
      </c>
    </row>
    <row r="859" customFormat="false" ht="15" hidden="false" customHeight="true" outlineLevel="0" collapsed="false">
      <c r="A859" s="1" t="n">
        <v>854</v>
      </c>
      <c r="B859" s="13"/>
      <c r="F859" s="14" t="str">
        <f aca="false">IFERROR(INDEX('Operator Master'!$B$5:$B$504,MATCH(E859,'Operator Master'!$A$5:$A$504,0)),"")</f>
        <v/>
      </c>
      <c r="H859" s="14" t="str">
        <f aca="false">IFERROR(INDEX('Fault Master'!$B$5:$B$104,MATCH(G859,'Fault Master'!$A$5:$A$104,0)),"")</f>
        <v/>
      </c>
      <c r="I859" s="14" t="str">
        <f aca="false">IFERROR(INDEX('Fault Master'!$C$5:$C$104,MATCH(G859,'Fault Master'!$A$5:$A$104,0)),"")</f>
        <v/>
      </c>
      <c r="M859" s="14" t="str">
        <f aca="false">IFERROR(INDEX('Fault Master'!$D$5:$D$104,MATCH(G859,'Fault Master'!$A$5:$A$104,0)),"")</f>
        <v/>
      </c>
    </row>
    <row r="860" customFormat="false" ht="15" hidden="false" customHeight="true" outlineLevel="0" collapsed="false">
      <c r="A860" s="1" t="n">
        <v>855</v>
      </c>
      <c r="B860" s="13"/>
      <c r="F860" s="14" t="str">
        <f aca="false">IFERROR(INDEX('Operator Master'!$B$5:$B$504,MATCH(E860,'Operator Master'!$A$5:$A$504,0)),"")</f>
        <v/>
      </c>
      <c r="H860" s="14" t="str">
        <f aca="false">IFERROR(INDEX('Fault Master'!$B$5:$B$104,MATCH(G860,'Fault Master'!$A$5:$A$104,0)),"")</f>
        <v/>
      </c>
      <c r="I860" s="14" t="str">
        <f aca="false">IFERROR(INDEX('Fault Master'!$C$5:$C$104,MATCH(G860,'Fault Master'!$A$5:$A$104,0)),"")</f>
        <v/>
      </c>
      <c r="M860" s="14" t="str">
        <f aca="false">IFERROR(INDEX('Fault Master'!$D$5:$D$104,MATCH(G860,'Fault Master'!$A$5:$A$104,0)),"")</f>
        <v/>
      </c>
    </row>
    <row r="861" customFormat="false" ht="15" hidden="false" customHeight="true" outlineLevel="0" collapsed="false">
      <c r="A861" s="1" t="n">
        <v>856</v>
      </c>
      <c r="B861" s="13"/>
      <c r="F861" s="14" t="str">
        <f aca="false">IFERROR(INDEX('Operator Master'!$B$5:$B$504,MATCH(E861,'Operator Master'!$A$5:$A$504,0)),"")</f>
        <v/>
      </c>
      <c r="H861" s="14" t="str">
        <f aca="false">IFERROR(INDEX('Fault Master'!$B$5:$B$104,MATCH(G861,'Fault Master'!$A$5:$A$104,0)),"")</f>
        <v/>
      </c>
      <c r="I861" s="14" t="str">
        <f aca="false">IFERROR(INDEX('Fault Master'!$C$5:$C$104,MATCH(G861,'Fault Master'!$A$5:$A$104,0)),"")</f>
        <v/>
      </c>
      <c r="M861" s="14" t="str">
        <f aca="false">IFERROR(INDEX('Fault Master'!$D$5:$D$104,MATCH(G861,'Fault Master'!$A$5:$A$104,0)),"")</f>
        <v/>
      </c>
    </row>
    <row r="862" customFormat="false" ht="15" hidden="false" customHeight="true" outlineLevel="0" collapsed="false">
      <c r="A862" s="1" t="n">
        <v>857</v>
      </c>
      <c r="B862" s="13"/>
      <c r="F862" s="14" t="str">
        <f aca="false">IFERROR(INDEX('Operator Master'!$B$5:$B$504,MATCH(E862,'Operator Master'!$A$5:$A$504,0)),"")</f>
        <v/>
      </c>
      <c r="H862" s="14" t="str">
        <f aca="false">IFERROR(INDEX('Fault Master'!$B$5:$B$104,MATCH(G862,'Fault Master'!$A$5:$A$104,0)),"")</f>
        <v/>
      </c>
      <c r="I862" s="14" t="str">
        <f aca="false">IFERROR(INDEX('Fault Master'!$C$5:$C$104,MATCH(G862,'Fault Master'!$A$5:$A$104,0)),"")</f>
        <v/>
      </c>
      <c r="M862" s="14" t="str">
        <f aca="false">IFERROR(INDEX('Fault Master'!$D$5:$D$104,MATCH(G862,'Fault Master'!$A$5:$A$104,0)),"")</f>
        <v/>
      </c>
    </row>
    <row r="863" customFormat="false" ht="15" hidden="false" customHeight="true" outlineLevel="0" collapsed="false">
      <c r="A863" s="1" t="n">
        <v>858</v>
      </c>
      <c r="B863" s="13"/>
      <c r="F863" s="14" t="str">
        <f aca="false">IFERROR(INDEX('Operator Master'!$B$5:$B$504,MATCH(E863,'Operator Master'!$A$5:$A$504,0)),"")</f>
        <v/>
      </c>
      <c r="H863" s="14" t="str">
        <f aca="false">IFERROR(INDEX('Fault Master'!$B$5:$B$104,MATCH(G863,'Fault Master'!$A$5:$A$104,0)),"")</f>
        <v/>
      </c>
      <c r="I863" s="14" t="str">
        <f aca="false">IFERROR(INDEX('Fault Master'!$C$5:$C$104,MATCH(G863,'Fault Master'!$A$5:$A$104,0)),"")</f>
        <v/>
      </c>
      <c r="M863" s="14" t="str">
        <f aca="false">IFERROR(INDEX('Fault Master'!$D$5:$D$104,MATCH(G863,'Fault Master'!$A$5:$A$104,0)),"")</f>
        <v/>
      </c>
    </row>
    <row r="864" customFormat="false" ht="15" hidden="false" customHeight="true" outlineLevel="0" collapsed="false">
      <c r="A864" s="1" t="n">
        <v>859</v>
      </c>
      <c r="B864" s="13"/>
      <c r="F864" s="14" t="str">
        <f aca="false">IFERROR(INDEX('Operator Master'!$B$5:$B$504,MATCH(E864,'Operator Master'!$A$5:$A$504,0)),"")</f>
        <v/>
      </c>
      <c r="H864" s="14" t="str">
        <f aca="false">IFERROR(INDEX('Fault Master'!$B$5:$B$104,MATCH(G864,'Fault Master'!$A$5:$A$104,0)),"")</f>
        <v/>
      </c>
      <c r="I864" s="14" t="str">
        <f aca="false">IFERROR(INDEX('Fault Master'!$C$5:$C$104,MATCH(G864,'Fault Master'!$A$5:$A$104,0)),"")</f>
        <v/>
      </c>
      <c r="M864" s="14" t="str">
        <f aca="false">IFERROR(INDEX('Fault Master'!$D$5:$D$104,MATCH(G864,'Fault Master'!$A$5:$A$104,0)),"")</f>
        <v/>
      </c>
    </row>
    <row r="865" customFormat="false" ht="15" hidden="false" customHeight="true" outlineLevel="0" collapsed="false">
      <c r="A865" s="1" t="n">
        <v>860</v>
      </c>
      <c r="B865" s="13"/>
      <c r="F865" s="14" t="str">
        <f aca="false">IFERROR(INDEX('Operator Master'!$B$5:$B$504,MATCH(E865,'Operator Master'!$A$5:$A$504,0)),"")</f>
        <v/>
      </c>
      <c r="H865" s="14" t="str">
        <f aca="false">IFERROR(INDEX('Fault Master'!$B$5:$B$104,MATCH(G865,'Fault Master'!$A$5:$A$104,0)),"")</f>
        <v/>
      </c>
      <c r="I865" s="14" t="str">
        <f aca="false">IFERROR(INDEX('Fault Master'!$C$5:$C$104,MATCH(G865,'Fault Master'!$A$5:$A$104,0)),"")</f>
        <v/>
      </c>
      <c r="M865" s="14" t="str">
        <f aca="false">IFERROR(INDEX('Fault Master'!$D$5:$D$104,MATCH(G865,'Fault Master'!$A$5:$A$104,0)),"")</f>
        <v/>
      </c>
    </row>
    <row r="866" customFormat="false" ht="15" hidden="false" customHeight="true" outlineLevel="0" collapsed="false">
      <c r="A866" s="1" t="n">
        <v>861</v>
      </c>
      <c r="B866" s="13"/>
      <c r="F866" s="14" t="str">
        <f aca="false">IFERROR(INDEX('Operator Master'!$B$5:$B$504,MATCH(E866,'Operator Master'!$A$5:$A$504,0)),"")</f>
        <v/>
      </c>
      <c r="H866" s="14" t="str">
        <f aca="false">IFERROR(INDEX('Fault Master'!$B$5:$B$104,MATCH(G866,'Fault Master'!$A$5:$A$104,0)),"")</f>
        <v/>
      </c>
      <c r="I866" s="14" t="str">
        <f aca="false">IFERROR(INDEX('Fault Master'!$C$5:$C$104,MATCH(G866,'Fault Master'!$A$5:$A$104,0)),"")</f>
        <v/>
      </c>
      <c r="M866" s="14" t="str">
        <f aca="false">IFERROR(INDEX('Fault Master'!$D$5:$D$104,MATCH(G866,'Fault Master'!$A$5:$A$104,0)),"")</f>
        <v/>
      </c>
    </row>
    <row r="867" customFormat="false" ht="15" hidden="false" customHeight="true" outlineLevel="0" collapsed="false">
      <c r="A867" s="1" t="n">
        <v>862</v>
      </c>
      <c r="B867" s="13"/>
      <c r="F867" s="14" t="str">
        <f aca="false">IFERROR(INDEX('Operator Master'!$B$5:$B$504,MATCH(E867,'Operator Master'!$A$5:$A$504,0)),"")</f>
        <v/>
      </c>
      <c r="H867" s="14" t="str">
        <f aca="false">IFERROR(INDEX('Fault Master'!$B$5:$B$104,MATCH(G867,'Fault Master'!$A$5:$A$104,0)),"")</f>
        <v/>
      </c>
      <c r="I867" s="14" t="str">
        <f aca="false">IFERROR(INDEX('Fault Master'!$C$5:$C$104,MATCH(G867,'Fault Master'!$A$5:$A$104,0)),"")</f>
        <v/>
      </c>
      <c r="M867" s="14" t="str">
        <f aca="false">IFERROR(INDEX('Fault Master'!$D$5:$D$104,MATCH(G867,'Fault Master'!$A$5:$A$104,0)),"")</f>
        <v/>
      </c>
    </row>
    <row r="868" customFormat="false" ht="15" hidden="false" customHeight="true" outlineLevel="0" collapsed="false">
      <c r="A868" s="1" t="n">
        <v>863</v>
      </c>
      <c r="B868" s="13"/>
      <c r="F868" s="14" t="str">
        <f aca="false">IFERROR(INDEX('Operator Master'!$B$5:$B$504,MATCH(E868,'Operator Master'!$A$5:$A$504,0)),"")</f>
        <v/>
      </c>
      <c r="H868" s="14" t="str">
        <f aca="false">IFERROR(INDEX('Fault Master'!$B$5:$B$104,MATCH(G868,'Fault Master'!$A$5:$A$104,0)),"")</f>
        <v/>
      </c>
      <c r="I868" s="14" t="str">
        <f aca="false">IFERROR(INDEX('Fault Master'!$C$5:$C$104,MATCH(G868,'Fault Master'!$A$5:$A$104,0)),"")</f>
        <v/>
      </c>
      <c r="M868" s="14" t="str">
        <f aca="false">IFERROR(INDEX('Fault Master'!$D$5:$D$104,MATCH(G868,'Fault Master'!$A$5:$A$104,0)),"")</f>
        <v/>
      </c>
    </row>
    <row r="869" customFormat="false" ht="15" hidden="false" customHeight="true" outlineLevel="0" collapsed="false">
      <c r="A869" s="1" t="n">
        <v>864</v>
      </c>
      <c r="B869" s="13"/>
      <c r="F869" s="14" t="str">
        <f aca="false">IFERROR(INDEX('Operator Master'!$B$5:$B$504,MATCH(E869,'Operator Master'!$A$5:$A$504,0)),"")</f>
        <v/>
      </c>
      <c r="H869" s="14" t="str">
        <f aca="false">IFERROR(INDEX('Fault Master'!$B$5:$B$104,MATCH(G869,'Fault Master'!$A$5:$A$104,0)),"")</f>
        <v/>
      </c>
      <c r="I869" s="14" t="str">
        <f aca="false">IFERROR(INDEX('Fault Master'!$C$5:$C$104,MATCH(G869,'Fault Master'!$A$5:$A$104,0)),"")</f>
        <v/>
      </c>
      <c r="M869" s="14" t="str">
        <f aca="false">IFERROR(INDEX('Fault Master'!$D$5:$D$104,MATCH(G869,'Fault Master'!$A$5:$A$104,0)),"")</f>
        <v/>
      </c>
    </row>
    <row r="870" customFormat="false" ht="15" hidden="false" customHeight="true" outlineLevel="0" collapsed="false">
      <c r="A870" s="1" t="n">
        <v>865</v>
      </c>
      <c r="B870" s="13"/>
      <c r="F870" s="14" t="str">
        <f aca="false">IFERROR(INDEX('Operator Master'!$B$5:$B$504,MATCH(E870,'Operator Master'!$A$5:$A$504,0)),"")</f>
        <v/>
      </c>
      <c r="H870" s="14" t="str">
        <f aca="false">IFERROR(INDEX('Fault Master'!$B$5:$B$104,MATCH(G870,'Fault Master'!$A$5:$A$104,0)),"")</f>
        <v/>
      </c>
      <c r="I870" s="14" t="str">
        <f aca="false">IFERROR(INDEX('Fault Master'!$C$5:$C$104,MATCH(G870,'Fault Master'!$A$5:$A$104,0)),"")</f>
        <v/>
      </c>
      <c r="M870" s="14" t="str">
        <f aca="false">IFERROR(INDEX('Fault Master'!$D$5:$D$104,MATCH(G870,'Fault Master'!$A$5:$A$104,0)),"")</f>
        <v/>
      </c>
    </row>
    <row r="871" customFormat="false" ht="15" hidden="false" customHeight="true" outlineLevel="0" collapsed="false">
      <c r="A871" s="1" t="n">
        <v>866</v>
      </c>
      <c r="B871" s="13"/>
      <c r="F871" s="14" t="str">
        <f aca="false">IFERROR(INDEX('Operator Master'!$B$5:$B$504,MATCH(E871,'Operator Master'!$A$5:$A$504,0)),"")</f>
        <v/>
      </c>
      <c r="H871" s="14" t="str">
        <f aca="false">IFERROR(INDEX('Fault Master'!$B$5:$B$104,MATCH(G871,'Fault Master'!$A$5:$A$104,0)),"")</f>
        <v/>
      </c>
      <c r="I871" s="14" t="str">
        <f aca="false">IFERROR(INDEX('Fault Master'!$C$5:$C$104,MATCH(G871,'Fault Master'!$A$5:$A$104,0)),"")</f>
        <v/>
      </c>
      <c r="M871" s="14" t="str">
        <f aca="false">IFERROR(INDEX('Fault Master'!$D$5:$D$104,MATCH(G871,'Fault Master'!$A$5:$A$104,0)),"")</f>
        <v/>
      </c>
    </row>
    <row r="872" customFormat="false" ht="15" hidden="false" customHeight="true" outlineLevel="0" collapsed="false">
      <c r="A872" s="1" t="n">
        <v>867</v>
      </c>
      <c r="B872" s="13"/>
      <c r="F872" s="14" t="str">
        <f aca="false">IFERROR(INDEX('Operator Master'!$B$5:$B$504,MATCH(E872,'Operator Master'!$A$5:$A$504,0)),"")</f>
        <v/>
      </c>
      <c r="H872" s="14" t="str">
        <f aca="false">IFERROR(INDEX('Fault Master'!$B$5:$B$104,MATCH(G872,'Fault Master'!$A$5:$A$104,0)),"")</f>
        <v/>
      </c>
      <c r="I872" s="14" t="str">
        <f aca="false">IFERROR(INDEX('Fault Master'!$C$5:$C$104,MATCH(G872,'Fault Master'!$A$5:$A$104,0)),"")</f>
        <v/>
      </c>
      <c r="M872" s="14" t="str">
        <f aca="false">IFERROR(INDEX('Fault Master'!$D$5:$D$104,MATCH(G872,'Fault Master'!$A$5:$A$104,0)),"")</f>
        <v/>
      </c>
    </row>
    <row r="873" customFormat="false" ht="15" hidden="false" customHeight="true" outlineLevel="0" collapsed="false">
      <c r="A873" s="1" t="n">
        <v>868</v>
      </c>
      <c r="B873" s="13"/>
      <c r="F873" s="14" t="str">
        <f aca="false">IFERROR(INDEX('Operator Master'!$B$5:$B$504,MATCH(E873,'Operator Master'!$A$5:$A$504,0)),"")</f>
        <v/>
      </c>
      <c r="H873" s="14" t="str">
        <f aca="false">IFERROR(INDEX('Fault Master'!$B$5:$B$104,MATCH(G873,'Fault Master'!$A$5:$A$104,0)),"")</f>
        <v/>
      </c>
      <c r="I873" s="14" t="str">
        <f aca="false">IFERROR(INDEX('Fault Master'!$C$5:$C$104,MATCH(G873,'Fault Master'!$A$5:$A$104,0)),"")</f>
        <v/>
      </c>
      <c r="M873" s="14" t="str">
        <f aca="false">IFERROR(INDEX('Fault Master'!$D$5:$D$104,MATCH(G873,'Fault Master'!$A$5:$A$104,0)),"")</f>
        <v/>
      </c>
    </row>
    <row r="874" customFormat="false" ht="15" hidden="false" customHeight="true" outlineLevel="0" collapsed="false">
      <c r="A874" s="1" t="n">
        <v>869</v>
      </c>
      <c r="B874" s="13"/>
      <c r="F874" s="14" t="str">
        <f aca="false">IFERROR(INDEX('Operator Master'!$B$5:$B$504,MATCH(E874,'Operator Master'!$A$5:$A$504,0)),"")</f>
        <v/>
      </c>
      <c r="H874" s="14" t="str">
        <f aca="false">IFERROR(INDEX('Fault Master'!$B$5:$B$104,MATCH(G874,'Fault Master'!$A$5:$A$104,0)),"")</f>
        <v/>
      </c>
      <c r="I874" s="14" t="str">
        <f aca="false">IFERROR(INDEX('Fault Master'!$C$5:$C$104,MATCH(G874,'Fault Master'!$A$5:$A$104,0)),"")</f>
        <v/>
      </c>
      <c r="M874" s="14" t="str">
        <f aca="false">IFERROR(INDEX('Fault Master'!$D$5:$D$104,MATCH(G874,'Fault Master'!$A$5:$A$104,0)),"")</f>
        <v/>
      </c>
    </row>
    <row r="875" customFormat="false" ht="15" hidden="false" customHeight="true" outlineLevel="0" collapsed="false">
      <c r="A875" s="1" t="n">
        <v>870</v>
      </c>
      <c r="B875" s="13"/>
      <c r="F875" s="14" t="str">
        <f aca="false">IFERROR(INDEX('Operator Master'!$B$5:$B$504,MATCH(E875,'Operator Master'!$A$5:$A$504,0)),"")</f>
        <v/>
      </c>
      <c r="H875" s="14" t="str">
        <f aca="false">IFERROR(INDEX('Fault Master'!$B$5:$B$104,MATCH(G875,'Fault Master'!$A$5:$A$104,0)),"")</f>
        <v/>
      </c>
      <c r="I875" s="14" t="str">
        <f aca="false">IFERROR(INDEX('Fault Master'!$C$5:$C$104,MATCH(G875,'Fault Master'!$A$5:$A$104,0)),"")</f>
        <v/>
      </c>
      <c r="M875" s="14" t="str">
        <f aca="false">IFERROR(INDEX('Fault Master'!$D$5:$D$104,MATCH(G875,'Fault Master'!$A$5:$A$104,0)),"")</f>
        <v/>
      </c>
    </row>
    <row r="876" customFormat="false" ht="15" hidden="false" customHeight="true" outlineLevel="0" collapsed="false">
      <c r="A876" s="1" t="n">
        <v>871</v>
      </c>
      <c r="B876" s="13"/>
      <c r="F876" s="14" t="str">
        <f aca="false">IFERROR(INDEX('Operator Master'!$B$5:$B$504,MATCH(E876,'Operator Master'!$A$5:$A$504,0)),"")</f>
        <v/>
      </c>
      <c r="H876" s="14" t="str">
        <f aca="false">IFERROR(INDEX('Fault Master'!$B$5:$B$104,MATCH(G876,'Fault Master'!$A$5:$A$104,0)),"")</f>
        <v/>
      </c>
      <c r="I876" s="14" t="str">
        <f aca="false">IFERROR(INDEX('Fault Master'!$C$5:$C$104,MATCH(G876,'Fault Master'!$A$5:$A$104,0)),"")</f>
        <v/>
      </c>
      <c r="M876" s="14" t="str">
        <f aca="false">IFERROR(INDEX('Fault Master'!$D$5:$D$104,MATCH(G876,'Fault Master'!$A$5:$A$104,0)),"")</f>
        <v/>
      </c>
    </row>
    <row r="877" customFormat="false" ht="15" hidden="false" customHeight="true" outlineLevel="0" collapsed="false">
      <c r="A877" s="1" t="n">
        <v>872</v>
      </c>
      <c r="B877" s="13"/>
      <c r="F877" s="14" t="str">
        <f aca="false">IFERROR(INDEX('Operator Master'!$B$5:$B$504,MATCH(E877,'Operator Master'!$A$5:$A$504,0)),"")</f>
        <v/>
      </c>
      <c r="H877" s="14" t="str">
        <f aca="false">IFERROR(INDEX('Fault Master'!$B$5:$B$104,MATCH(G877,'Fault Master'!$A$5:$A$104,0)),"")</f>
        <v/>
      </c>
      <c r="I877" s="14" t="str">
        <f aca="false">IFERROR(INDEX('Fault Master'!$C$5:$C$104,MATCH(G877,'Fault Master'!$A$5:$A$104,0)),"")</f>
        <v/>
      </c>
      <c r="M877" s="14" t="str">
        <f aca="false">IFERROR(INDEX('Fault Master'!$D$5:$D$104,MATCH(G877,'Fault Master'!$A$5:$A$104,0)),"")</f>
        <v/>
      </c>
    </row>
    <row r="878" customFormat="false" ht="15" hidden="false" customHeight="true" outlineLevel="0" collapsed="false">
      <c r="A878" s="1" t="n">
        <v>873</v>
      </c>
      <c r="B878" s="13"/>
      <c r="F878" s="14" t="str">
        <f aca="false">IFERROR(INDEX('Operator Master'!$B$5:$B$504,MATCH(E878,'Operator Master'!$A$5:$A$504,0)),"")</f>
        <v/>
      </c>
      <c r="H878" s="14" t="str">
        <f aca="false">IFERROR(INDEX('Fault Master'!$B$5:$B$104,MATCH(G878,'Fault Master'!$A$5:$A$104,0)),"")</f>
        <v/>
      </c>
      <c r="I878" s="14" t="str">
        <f aca="false">IFERROR(INDEX('Fault Master'!$C$5:$C$104,MATCH(G878,'Fault Master'!$A$5:$A$104,0)),"")</f>
        <v/>
      </c>
      <c r="M878" s="14" t="str">
        <f aca="false">IFERROR(INDEX('Fault Master'!$D$5:$D$104,MATCH(G878,'Fault Master'!$A$5:$A$104,0)),"")</f>
        <v/>
      </c>
    </row>
    <row r="879" customFormat="false" ht="15" hidden="false" customHeight="true" outlineLevel="0" collapsed="false">
      <c r="A879" s="1" t="n">
        <v>874</v>
      </c>
      <c r="B879" s="13"/>
      <c r="F879" s="14" t="str">
        <f aca="false">IFERROR(INDEX('Operator Master'!$B$5:$B$504,MATCH(E879,'Operator Master'!$A$5:$A$504,0)),"")</f>
        <v/>
      </c>
      <c r="H879" s="14" t="str">
        <f aca="false">IFERROR(INDEX('Fault Master'!$B$5:$B$104,MATCH(G879,'Fault Master'!$A$5:$A$104,0)),"")</f>
        <v/>
      </c>
      <c r="I879" s="14" t="str">
        <f aca="false">IFERROR(INDEX('Fault Master'!$C$5:$C$104,MATCH(G879,'Fault Master'!$A$5:$A$104,0)),"")</f>
        <v/>
      </c>
      <c r="M879" s="14" t="str">
        <f aca="false">IFERROR(INDEX('Fault Master'!$D$5:$D$104,MATCH(G879,'Fault Master'!$A$5:$A$104,0)),"")</f>
        <v/>
      </c>
    </row>
    <row r="880" customFormat="false" ht="15" hidden="false" customHeight="true" outlineLevel="0" collapsed="false">
      <c r="A880" s="1" t="n">
        <v>875</v>
      </c>
      <c r="B880" s="13"/>
      <c r="F880" s="14" t="str">
        <f aca="false">IFERROR(INDEX('Operator Master'!$B$5:$B$504,MATCH(E880,'Operator Master'!$A$5:$A$504,0)),"")</f>
        <v/>
      </c>
      <c r="H880" s="14" t="str">
        <f aca="false">IFERROR(INDEX('Fault Master'!$B$5:$B$104,MATCH(G880,'Fault Master'!$A$5:$A$104,0)),"")</f>
        <v/>
      </c>
      <c r="I880" s="14" t="str">
        <f aca="false">IFERROR(INDEX('Fault Master'!$C$5:$C$104,MATCH(G880,'Fault Master'!$A$5:$A$104,0)),"")</f>
        <v/>
      </c>
      <c r="M880" s="14" t="str">
        <f aca="false">IFERROR(INDEX('Fault Master'!$D$5:$D$104,MATCH(G880,'Fault Master'!$A$5:$A$104,0)),"")</f>
        <v/>
      </c>
    </row>
    <row r="881" customFormat="false" ht="15" hidden="false" customHeight="true" outlineLevel="0" collapsed="false">
      <c r="A881" s="1" t="n">
        <v>876</v>
      </c>
      <c r="B881" s="13"/>
      <c r="F881" s="14" t="str">
        <f aca="false">IFERROR(INDEX('Operator Master'!$B$5:$B$504,MATCH(E881,'Operator Master'!$A$5:$A$504,0)),"")</f>
        <v/>
      </c>
      <c r="H881" s="14" t="str">
        <f aca="false">IFERROR(INDEX('Fault Master'!$B$5:$B$104,MATCH(G881,'Fault Master'!$A$5:$A$104,0)),"")</f>
        <v/>
      </c>
      <c r="I881" s="14" t="str">
        <f aca="false">IFERROR(INDEX('Fault Master'!$C$5:$C$104,MATCH(G881,'Fault Master'!$A$5:$A$104,0)),"")</f>
        <v/>
      </c>
      <c r="M881" s="14" t="str">
        <f aca="false">IFERROR(INDEX('Fault Master'!$D$5:$D$104,MATCH(G881,'Fault Master'!$A$5:$A$104,0)),"")</f>
        <v/>
      </c>
    </row>
    <row r="882" customFormat="false" ht="15" hidden="false" customHeight="true" outlineLevel="0" collapsed="false">
      <c r="A882" s="1" t="n">
        <v>877</v>
      </c>
      <c r="B882" s="13"/>
      <c r="F882" s="14" t="str">
        <f aca="false">IFERROR(INDEX('Operator Master'!$B$5:$B$504,MATCH(E882,'Operator Master'!$A$5:$A$504,0)),"")</f>
        <v/>
      </c>
      <c r="H882" s="14" t="str">
        <f aca="false">IFERROR(INDEX('Fault Master'!$B$5:$B$104,MATCH(G882,'Fault Master'!$A$5:$A$104,0)),"")</f>
        <v/>
      </c>
      <c r="I882" s="14" t="str">
        <f aca="false">IFERROR(INDEX('Fault Master'!$C$5:$C$104,MATCH(G882,'Fault Master'!$A$5:$A$104,0)),"")</f>
        <v/>
      </c>
      <c r="M882" s="14" t="str">
        <f aca="false">IFERROR(INDEX('Fault Master'!$D$5:$D$104,MATCH(G882,'Fault Master'!$A$5:$A$104,0)),"")</f>
        <v/>
      </c>
    </row>
    <row r="883" customFormat="false" ht="15" hidden="false" customHeight="true" outlineLevel="0" collapsed="false">
      <c r="A883" s="1" t="n">
        <v>878</v>
      </c>
      <c r="B883" s="13"/>
      <c r="F883" s="14" t="str">
        <f aca="false">IFERROR(INDEX('Operator Master'!$B$5:$B$504,MATCH(E883,'Operator Master'!$A$5:$A$504,0)),"")</f>
        <v/>
      </c>
      <c r="H883" s="14" t="str">
        <f aca="false">IFERROR(INDEX('Fault Master'!$B$5:$B$104,MATCH(G883,'Fault Master'!$A$5:$A$104,0)),"")</f>
        <v/>
      </c>
      <c r="I883" s="14" t="str">
        <f aca="false">IFERROR(INDEX('Fault Master'!$C$5:$C$104,MATCH(G883,'Fault Master'!$A$5:$A$104,0)),"")</f>
        <v/>
      </c>
      <c r="M883" s="14" t="str">
        <f aca="false">IFERROR(INDEX('Fault Master'!$D$5:$D$104,MATCH(G883,'Fault Master'!$A$5:$A$104,0)),"")</f>
        <v/>
      </c>
    </row>
    <row r="884" customFormat="false" ht="15" hidden="false" customHeight="true" outlineLevel="0" collapsed="false">
      <c r="A884" s="1" t="n">
        <v>879</v>
      </c>
      <c r="B884" s="13"/>
      <c r="F884" s="14" t="str">
        <f aca="false">IFERROR(INDEX('Operator Master'!$B$5:$B$504,MATCH(E884,'Operator Master'!$A$5:$A$504,0)),"")</f>
        <v/>
      </c>
      <c r="H884" s="14" t="str">
        <f aca="false">IFERROR(INDEX('Fault Master'!$B$5:$B$104,MATCH(G884,'Fault Master'!$A$5:$A$104,0)),"")</f>
        <v/>
      </c>
      <c r="I884" s="14" t="str">
        <f aca="false">IFERROR(INDEX('Fault Master'!$C$5:$C$104,MATCH(G884,'Fault Master'!$A$5:$A$104,0)),"")</f>
        <v/>
      </c>
      <c r="M884" s="14" t="str">
        <f aca="false">IFERROR(INDEX('Fault Master'!$D$5:$D$104,MATCH(G884,'Fault Master'!$A$5:$A$104,0)),"")</f>
        <v/>
      </c>
    </row>
    <row r="885" customFormat="false" ht="15" hidden="false" customHeight="true" outlineLevel="0" collapsed="false">
      <c r="A885" s="1" t="n">
        <v>880</v>
      </c>
      <c r="B885" s="13"/>
      <c r="F885" s="14" t="str">
        <f aca="false">IFERROR(INDEX('Operator Master'!$B$5:$B$504,MATCH(E885,'Operator Master'!$A$5:$A$504,0)),"")</f>
        <v/>
      </c>
      <c r="H885" s="14" t="str">
        <f aca="false">IFERROR(INDEX('Fault Master'!$B$5:$B$104,MATCH(G885,'Fault Master'!$A$5:$A$104,0)),"")</f>
        <v/>
      </c>
      <c r="I885" s="14" t="str">
        <f aca="false">IFERROR(INDEX('Fault Master'!$C$5:$C$104,MATCH(G885,'Fault Master'!$A$5:$A$104,0)),"")</f>
        <v/>
      </c>
      <c r="M885" s="14" t="str">
        <f aca="false">IFERROR(INDEX('Fault Master'!$D$5:$D$104,MATCH(G885,'Fault Master'!$A$5:$A$104,0)),"")</f>
        <v/>
      </c>
    </row>
    <row r="886" customFormat="false" ht="15" hidden="false" customHeight="true" outlineLevel="0" collapsed="false">
      <c r="A886" s="1" t="n">
        <v>881</v>
      </c>
      <c r="B886" s="13"/>
      <c r="F886" s="14" t="str">
        <f aca="false">IFERROR(INDEX('Operator Master'!$B$5:$B$504,MATCH(E886,'Operator Master'!$A$5:$A$504,0)),"")</f>
        <v/>
      </c>
      <c r="H886" s="14" t="str">
        <f aca="false">IFERROR(INDEX('Fault Master'!$B$5:$B$104,MATCH(G886,'Fault Master'!$A$5:$A$104,0)),"")</f>
        <v/>
      </c>
      <c r="I886" s="14" t="str">
        <f aca="false">IFERROR(INDEX('Fault Master'!$C$5:$C$104,MATCH(G886,'Fault Master'!$A$5:$A$104,0)),"")</f>
        <v/>
      </c>
      <c r="M886" s="14" t="str">
        <f aca="false">IFERROR(INDEX('Fault Master'!$D$5:$D$104,MATCH(G886,'Fault Master'!$A$5:$A$104,0)),"")</f>
        <v/>
      </c>
    </row>
    <row r="887" customFormat="false" ht="15" hidden="false" customHeight="true" outlineLevel="0" collapsed="false">
      <c r="A887" s="1" t="n">
        <v>882</v>
      </c>
      <c r="B887" s="13"/>
      <c r="F887" s="14" t="str">
        <f aca="false">IFERROR(INDEX('Operator Master'!$B$5:$B$504,MATCH(E887,'Operator Master'!$A$5:$A$504,0)),"")</f>
        <v/>
      </c>
      <c r="H887" s="14" t="str">
        <f aca="false">IFERROR(INDEX('Fault Master'!$B$5:$B$104,MATCH(G887,'Fault Master'!$A$5:$A$104,0)),"")</f>
        <v/>
      </c>
      <c r="I887" s="14" t="str">
        <f aca="false">IFERROR(INDEX('Fault Master'!$C$5:$C$104,MATCH(G887,'Fault Master'!$A$5:$A$104,0)),"")</f>
        <v/>
      </c>
      <c r="M887" s="14" t="str">
        <f aca="false">IFERROR(INDEX('Fault Master'!$D$5:$D$104,MATCH(G887,'Fault Master'!$A$5:$A$104,0)),"")</f>
        <v/>
      </c>
    </row>
    <row r="888" customFormat="false" ht="15" hidden="false" customHeight="true" outlineLevel="0" collapsed="false">
      <c r="A888" s="1" t="n">
        <v>883</v>
      </c>
      <c r="B888" s="13"/>
      <c r="F888" s="14" t="str">
        <f aca="false">IFERROR(INDEX('Operator Master'!$B$5:$B$504,MATCH(E888,'Operator Master'!$A$5:$A$504,0)),"")</f>
        <v/>
      </c>
      <c r="H888" s="14" t="str">
        <f aca="false">IFERROR(INDEX('Fault Master'!$B$5:$B$104,MATCH(G888,'Fault Master'!$A$5:$A$104,0)),"")</f>
        <v/>
      </c>
      <c r="I888" s="14" t="str">
        <f aca="false">IFERROR(INDEX('Fault Master'!$C$5:$C$104,MATCH(G888,'Fault Master'!$A$5:$A$104,0)),"")</f>
        <v/>
      </c>
      <c r="M888" s="14" t="str">
        <f aca="false">IFERROR(INDEX('Fault Master'!$D$5:$D$104,MATCH(G888,'Fault Master'!$A$5:$A$104,0)),"")</f>
        <v/>
      </c>
    </row>
    <row r="889" customFormat="false" ht="15" hidden="false" customHeight="true" outlineLevel="0" collapsed="false">
      <c r="A889" s="1" t="n">
        <v>884</v>
      </c>
      <c r="B889" s="13"/>
      <c r="F889" s="14" t="str">
        <f aca="false">IFERROR(INDEX('Operator Master'!$B$5:$B$504,MATCH(E889,'Operator Master'!$A$5:$A$504,0)),"")</f>
        <v/>
      </c>
      <c r="H889" s="14" t="str">
        <f aca="false">IFERROR(INDEX('Fault Master'!$B$5:$B$104,MATCH(G889,'Fault Master'!$A$5:$A$104,0)),"")</f>
        <v/>
      </c>
      <c r="I889" s="14" t="str">
        <f aca="false">IFERROR(INDEX('Fault Master'!$C$5:$C$104,MATCH(G889,'Fault Master'!$A$5:$A$104,0)),"")</f>
        <v/>
      </c>
      <c r="M889" s="14" t="str">
        <f aca="false">IFERROR(INDEX('Fault Master'!$D$5:$D$104,MATCH(G889,'Fault Master'!$A$5:$A$104,0)),"")</f>
        <v/>
      </c>
    </row>
    <row r="890" customFormat="false" ht="15" hidden="false" customHeight="true" outlineLevel="0" collapsed="false">
      <c r="A890" s="1" t="n">
        <v>885</v>
      </c>
      <c r="B890" s="13"/>
      <c r="F890" s="14" t="str">
        <f aca="false">IFERROR(INDEX('Operator Master'!$B$5:$B$504,MATCH(E890,'Operator Master'!$A$5:$A$504,0)),"")</f>
        <v/>
      </c>
      <c r="H890" s="14" t="str">
        <f aca="false">IFERROR(INDEX('Fault Master'!$B$5:$B$104,MATCH(G890,'Fault Master'!$A$5:$A$104,0)),"")</f>
        <v/>
      </c>
      <c r="I890" s="14" t="str">
        <f aca="false">IFERROR(INDEX('Fault Master'!$C$5:$C$104,MATCH(G890,'Fault Master'!$A$5:$A$104,0)),"")</f>
        <v/>
      </c>
      <c r="M890" s="14" t="str">
        <f aca="false">IFERROR(INDEX('Fault Master'!$D$5:$D$104,MATCH(G890,'Fault Master'!$A$5:$A$104,0)),"")</f>
        <v/>
      </c>
    </row>
    <row r="891" customFormat="false" ht="15" hidden="false" customHeight="true" outlineLevel="0" collapsed="false">
      <c r="A891" s="1" t="n">
        <v>886</v>
      </c>
      <c r="B891" s="13"/>
      <c r="F891" s="14" t="str">
        <f aca="false">IFERROR(INDEX('Operator Master'!$B$5:$B$504,MATCH(E891,'Operator Master'!$A$5:$A$504,0)),"")</f>
        <v/>
      </c>
      <c r="H891" s="14" t="str">
        <f aca="false">IFERROR(INDEX('Fault Master'!$B$5:$B$104,MATCH(G891,'Fault Master'!$A$5:$A$104,0)),"")</f>
        <v/>
      </c>
      <c r="I891" s="14" t="str">
        <f aca="false">IFERROR(INDEX('Fault Master'!$C$5:$C$104,MATCH(G891,'Fault Master'!$A$5:$A$104,0)),"")</f>
        <v/>
      </c>
      <c r="M891" s="14" t="str">
        <f aca="false">IFERROR(INDEX('Fault Master'!$D$5:$D$104,MATCH(G891,'Fault Master'!$A$5:$A$104,0)),"")</f>
        <v/>
      </c>
    </row>
    <row r="892" customFormat="false" ht="15" hidden="false" customHeight="true" outlineLevel="0" collapsed="false">
      <c r="A892" s="1" t="n">
        <v>887</v>
      </c>
      <c r="B892" s="13"/>
      <c r="F892" s="14" t="str">
        <f aca="false">IFERROR(INDEX('Operator Master'!$B$5:$B$504,MATCH(E892,'Operator Master'!$A$5:$A$504,0)),"")</f>
        <v/>
      </c>
      <c r="H892" s="14" t="str">
        <f aca="false">IFERROR(INDEX('Fault Master'!$B$5:$B$104,MATCH(G892,'Fault Master'!$A$5:$A$104,0)),"")</f>
        <v/>
      </c>
      <c r="I892" s="14" t="str">
        <f aca="false">IFERROR(INDEX('Fault Master'!$C$5:$C$104,MATCH(G892,'Fault Master'!$A$5:$A$104,0)),"")</f>
        <v/>
      </c>
      <c r="M892" s="14" t="str">
        <f aca="false">IFERROR(INDEX('Fault Master'!$D$5:$D$104,MATCH(G892,'Fault Master'!$A$5:$A$104,0)),"")</f>
        <v/>
      </c>
    </row>
    <row r="893" customFormat="false" ht="15" hidden="false" customHeight="true" outlineLevel="0" collapsed="false">
      <c r="A893" s="1" t="n">
        <v>888</v>
      </c>
      <c r="B893" s="13"/>
      <c r="F893" s="14" t="str">
        <f aca="false">IFERROR(INDEX('Operator Master'!$B$5:$B$504,MATCH(E893,'Operator Master'!$A$5:$A$504,0)),"")</f>
        <v/>
      </c>
      <c r="H893" s="14" t="str">
        <f aca="false">IFERROR(INDEX('Fault Master'!$B$5:$B$104,MATCH(G893,'Fault Master'!$A$5:$A$104,0)),"")</f>
        <v/>
      </c>
      <c r="I893" s="14" t="str">
        <f aca="false">IFERROR(INDEX('Fault Master'!$C$5:$C$104,MATCH(G893,'Fault Master'!$A$5:$A$104,0)),"")</f>
        <v/>
      </c>
      <c r="M893" s="14" t="str">
        <f aca="false">IFERROR(INDEX('Fault Master'!$D$5:$D$104,MATCH(G893,'Fault Master'!$A$5:$A$104,0)),"")</f>
        <v/>
      </c>
    </row>
    <row r="894" customFormat="false" ht="15" hidden="false" customHeight="true" outlineLevel="0" collapsed="false">
      <c r="A894" s="1" t="n">
        <v>889</v>
      </c>
      <c r="B894" s="13"/>
      <c r="F894" s="14" t="str">
        <f aca="false">IFERROR(INDEX('Operator Master'!$B$5:$B$504,MATCH(E894,'Operator Master'!$A$5:$A$504,0)),"")</f>
        <v/>
      </c>
      <c r="H894" s="14" t="str">
        <f aca="false">IFERROR(INDEX('Fault Master'!$B$5:$B$104,MATCH(G894,'Fault Master'!$A$5:$A$104,0)),"")</f>
        <v/>
      </c>
      <c r="I894" s="14" t="str">
        <f aca="false">IFERROR(INDEX('Fault Master'!$C$5:$C$104,MATCH(G894,'Fault Master'!$A$5:$A$104,0)),"")</f>
        <v/>
      </c>
      <c r="M894" s="14" t="str">
        <f aca="false">IFERROR(INDEX('Fault Master'!$D$5:$D$104,MATCH(G894,'Fault Master'!$A$5:$A$104,0)),"")</f>
        <v/>
      </c>
    </row>
    <row r="895" customFormat="false" ht="15" hidden="false" customHeight="true" outlineLevel="0" collapsed="false">
      <c r="A895" s="1" t="n">
        <v>890</v>
      </c>
      <c r="B895" s="13"/>
      <c r="F895" s="14" t="str">
        <f aca="false">IFERROR(INDEX('Operator Master'!$B$5:$B$504,MATCH(E895,'Operator Master'!$A$5:$A$504,0)),"")</f>
        <v/>
      </c>
      <c r="H895" s="14" t="str">
        <f aca="false">IFERROR(INDEX('Fault Master'!$B$5:$B$104,MATCH(G895,'Fault Master'!$A$5:$A$104,0)),"")</f>
        <v/>
      </c>
      <c r="I895" s="14" t="str">
        <f aca="false">IFERROR(INDEX('Fault Master'!$C$5:$C$104,MATCH(G895,'Fault Master'!$A$5:$A$104,0)),"")</f>
        <v/>
      </c>
      <c r="M895" s="14" t="str">
        <f aca="false">IFERROR(INDEX('Fault Master'!$D$5:$D$104,MATCH(G895,'Fault Master'!$A$5:$A$104,0)),"")</f>
        <v/>
      </c>
    </row>
    <row r="896" customFormat="false" ht="15" hidden="false" customHeight="true" outlineLevel="0" collapsed="false">
      <c r="A896" s="1" t="n">
        <v>891</v>
      </c>
      <c r="B896" s="13"/>
      <c r="F896" s="14" t="str">
        <f aca="false">IFERROR(INDEX('Operator Master'!$B$5:$B$504,MATCH(E896,'Operator Master'!$A$5:$A$504,0)),"")</f>
        <v/>
      </c>
      <c r="H896" s="14" t="str">
        <f aca="false">IFERROR(INDEX('Fault Master'!$B$5:$B$104,MATCH(G896,'Fault Master'!$A$5:$A$104,0)),"")</f>
        <v/>
      </c>
      <c r="I896" s="14" t="str">
        <f aca="false">IFERROR(INDEX('Fault Master'!$C$5:$C$104,MATCH(G896,'Fault Master'!$A$5:$A$104,0)),"")</f>
        <v/>
      </c>
      <c r="M896" s="14" t="str">
        <f aca="false">IFERROR(INDEX('Fault Master'!$D$5:$D$104,MATCH(G896,'Fault Master'!$A$5:$A$104,0)),"")</f>
        <v/>
      </c>
    </row>
    <row r="897" customFormat="false" ht="15" hidden="false" customHeight="true" outlineLevel="0" collapsed="false">
      <c r="A897" s="1" t="n">
        <v>892</v>
      </c>
      <c r="B897" s="13"/>
      <c r="F897" s="14" t="str">
        <f aca="false">IFERROR(INDEX('Operator Master'!$B$5:$B$504,MATCH(E897,'Operator Master'!$A$5:$A$504,0)),"")</f>
        <v/>
      </c>
      <c r="H897" s="14" t="str">
        <f aca="false">IFERROR(INDEX('Fault Master'!$B$5:$B$104,MATCH(G897,'Fault Master'!$A$5:$A$104,0)),"")</f>
        <v/>
      </c>
      <c r="I897" s="14" t="str">
        <f aca="false">IFERROR(INDEX('Fault Master'!$C$5:$C$104,MATCH(G897,'Fault Master'!$A$5:$A$104,0)),"")</f>
        <v/>
      </c>
      <c r="M897" s="14" t="str">
        <f aca="false">IFERROR(INDEX('Fault Master'!$D$5:$D$104,MATCH(G897,'Fault Master'!$A$5:$A$104,0)),"")</f>
        <v/>
      </c>
    </row>
    <row r="898" customFormat="false" ht="15" hidden="false" customHeight="true" outlineLevel="0" collapsed="false">
      <c r="A898" s="1" t="n">
        <v>893</v>
      </c>
      <c r="B898" s="13"/>
      <c r="F898" s="14" t="str">
        <f aca="false">IFERROR(INDEX('Operator Master'!$B$5:$B$504,MATCH(E898,'Operator Master'!$A$5:$A$504,0)),"")</f>
        <v/>
      </c>
      <c r="H898" s="14" t="str">
        <f aca="false">IFERROR(INDEX('Fault Master'!$B$5:$B$104,MATCH(G898,'Fault Master'!$A$5:$A$104,0)),"")</f>
        <v/>
      </c>
      <c r="I898" s="14" t="str">
        <f aca="false">IFERROR(INDEX('Fault Master'!$C$5:$C$104,MATCH(G898,'Fault Master'!$A$5:$A$104,0)),"")</f>
        <v/>
      </c>
      <c r="M898" s="14" t="str">
        <f aca="false">IFERROR(INDEX('Fault Master'!$D$5:$D$104,MATCH(G898,'Fault Master'!$A$5:$A$104,0)),"")</f>
        <v/>
      </c>
    </row>
    <row r="899" customFormat="false" ht="15" hidden="false" customHeight="true" outlineLevel="0" collapsed="false">
      <c r="A899" s="1" t="n">
        <v>894</v>
      </c>
      <c r="B899" s="13"/>
      <c r="F899" s="14" t="str">
        <f aca="false">IFERROR(INDEX('Operator Master'!$B$5:$B$504,MATCH(E899,'Operator Master'!$A$5:$A$504,0)),"")</f>
        <v/>
      </c>
      <c r="H899" s="14" t="str">
        <f aca="false">IFERROR(INDEX('Fault Master'!$B$5:$B$104,MATCH(G899,'Fault Master'!$A$5:$A$104,0)),"")</f>
        <v/>
      </c>
      <c r="I899" s="14" t="str">
        <f aca="false">IFERROR(INDEX('Fault Master'!$C$5:$C$104,MATCH(G899,'Fault Master'!$A$5:$A$104,0)),"")</f>
        <v/>
      </c>
      <c r="M899" s="14" t="str">
        <f aca="false">IFERROR(INDEX('Fault Master'!$D$5:$D$104,MATCH(G899,'Fault Master'!$A$5:$A$104,0)),"")</f>
        <v/>
      </c>
    </row>
    <row r="900" customFormat="false" ht="15" hidden="false" customHeight="true" outlineLevel="0" collapsed="false">
      <c r="A900" s="1" t="n">
        <v>895</v>
      </c>
      <c r="B900" s="13"/>
      <c r="F900" s="14" t="str">
        <f aca="false">IFERROR(INDEX('Operator Master'!$B$5:$B$504,MATCH(E900,'Operator Master'!$A$5:$A$504,0)),"")</f>
        <v/>
      </c>
      <c r="H900" s="14" t="str">
        <f aca="false">IFERROR(INDEX('Fault Master'!$B$5:$B$104,MATCH(G900,'Fault Master'!$A$5:$A$104,0)),"")</f>
        <v/>
      </c>
      <c r="I900" s="14" t="str">
        <f aca="false">IFERROR(INDEX('Fault Master'!$C$5:$C$104,MATCH(G900,'Fault Master'!$A$5:$A$104,0)),"")</f>
        <v/>
      </c>
      <c r="M900" s="14" t="str">
        <f aca="false">IFERROR(INDEX('Fault Master'!$D$5:$D$104,MATCH(G900,'Fault Master'!$A$5:$A$104,0)),"")</f>
        <v/>
      </c>
    </row>
    <row r="901" customFormat="false" ht="15" hidden="false" customHeight="true" outlineLevel="0" collapsed="false">
      <c r="A901" s="1" t="n">
        <v>896</v>
      </c>
      <c r="B901" s="13"/>
      <c r="F901" s="14" t="str">
        <f aca="false">IFERROR(INDEX('Operator Master'!$B$5:$B$504,MATCH(E901,'Operator Master'!$A$5:$A$504,0)),"")</f>
        <v/>
      </c>
      <c r="H901" s="14" t="str">
        <f aca="false">IFERROR(INDEX('Fault Master'!$B$5:$B$104,MATCH(G901,'Fault Master'!$A$5:$A$104,0)),"")</f>
        <v/>
      </c>
      <c r="I901" s="14" t="str">
        <f aca="false">IFERROR(INDEX('Fault Master'!$C$5:$C$104,MATCH(G901,'Fault Master'!$A$5:$A$104,0)),"")</f>
        <v/>
      </c>
      <c r="M901" s="14" t="str">
        <f aca="false">IFERROR(INDEX('Fault Master'!$D$5:$D$104,MATCH(G901,'Fault Master'!$A$5:$A$104,0)),"")</f>
        <v/>
      </c>
    </row>
    <row r="902" customFormat="false" ht="15" hidden="false" customHeight="true" outlineLevel="0" collapsed="false">
      <c r="A902" s="1" t="n">
        <v>897</v>
      </c>
      <c r="B902" s="13"/>
      <c r="F902" s="14" t="str">
        <f aca="false">IFERROR(INDEX('Operator Master'!$B$5:$B$504,MATCH(E902,'Operator Master'!$A$5:$A$504,0)),"")</f>
        <v/>
      </c>
      <c r="H902" s="14" t="str">
        <f aca="false">IFERROR(INDEX('Fault Master'!$B$5:$B$104,MATCH(G902,'Fault Master'!$A$5:$A$104,0)),"")</f>
        <v/>
      </c>
      <c r="I902" s="14" t="str">
        <f aca="false">IFERROR(INDEX('Fault Master'!$C$5:$C$104,MATCH(G902,'Fault Master'!$A$5:$A$104,0)),"")</f>
        <v/>
      </c>
      <c r="M902" s="14" t="str">
        <f aca="false">IFERROR(INDEX('Fault Master'!$D$5:$D$104,MATCH(G902,'Fault Master'!$A$5:$A$104,0)),"")</f>
        <v/>
      </c>
    </row>
    <row r="903" customFormat="false" ht="15" hidden="false" customHeight="true" outlineLevel="0" collapsed="false">
      <c r="A903" s="1" t="n">
        <v>898</v>
      </c>
      <c r="B903" s="13"/>
      <c r="F903" s="14" t="str">
        <f aca="false">IFERROR(INDEX('Operator Master'!$B$5:$B$504,MATCH(E903,'Operator Master'!$A$5:$A$504,0)),"")</f>
        <v/>
      </c>
      <c r="H903" s="14" t="str">
        <f aca="false">IFERROR(INDEX('Fault Master'!$B$5:$B$104,MATCH(G903,'Fault Master'!$A$5:$A$104,0)),"")</f>
        <v/>
      </c>
      <c r="I903" s="14" t="str">
        <f aca="false">IFERROR(INDEX('Fault Master'!$C$5:$C$104,MATCH(G903,'Fault Master'!$A$5:$A$104,0)),"")</f>
        <v/>
      </c>
      <c r="M903" s="14" t="str">
        <f aca="false">IFERROR(INDEX('Fault Master'!$D$5:$D$104,MATCH(G903,'Fault Master'!$A$5:$A$104,0)),"")</f>
        <v/>
      </c>
    </row>
    <row r="904" customFormat="false" ht="15" hidden="false" customHeight="true" outlineLevel="0" collapsed="false">
      <c r="A904" s="1" t="n">
        <v>899</v>
      </c>
      <c r="B904" s="13"/>
      <c r="F904" s="14" t="str">
        <f aca="false">IFERROR(INDEX('Operator Master'!$B$5:$B$504,MATCH(E904,'Operator Master'!$A$5:$A$504,0)),"")</f>
        <v/>
      </c>
      <c r="H904" s="14" t="str">
        <f aca="false">IFERROR(INDEX('Fault Master'!$B$5:$B$104,MATCH(G904,'Fault Master'!$A$5:$A$104,0)),"")</f>
        <v/>
      </c>
      <c r="I904" s="14" t="str">
        <f aca="false">IFERROR(INDEX('Fault Master'!$C$5:$C$104,MATCH(G904,'Fault Master'!$A$5:$A$104,0)),"")</f>
        <v/>
      </c>
      <c r="M904" s="14" t="str">
        <f aca="false">IFERROR(INDEX('Fault Master'!$D$5:$D$104,MATCH(G904,'Fault Master'!$A$5:$A$104,0)),"")</f>
        <v/>
      </c>
    </row>
    <row r="905" customFormat="false" ht="15" hidden="false" customHeight="true" outlineLevel="0" collapsed="false">
      <c r="A905" s="1" t="n">
        <v>900</v>
      </c>
      <c r="B905" s="13"/>
      <c r="F905" s="14" t="str">
        <f aca="false">IFERROR(INDEX('Operator Master'!$B$5:$B$504,MATCH(E905,'Operator Master'!$A$5:$A$504,0)),"")</f>
        <v/>
      </c>
      <c r="H905" s="14" t="str">
        <f aca="false">IFERROR(INDEX('Fault Master'!$B$5:$B$104,MATCH(G905,'Fault Master'!$A$5:$A$104,0)),"")</f>
        <v/>
      </c>
      <c r="I905" s="14" t="str">
        <f aca="false">IFERROR(INDEX('Fault Master'!$C$5:$C$104,MATCH(G905,'Fault Master'!$A$5:$A$104,0)),"")</f>
        <v/>
      </c>
      <c r="M905" s="14" t="str">
        <f aca="false">IFERROR(INDEX('Fault Master'!$D$5:$D$104,MATCH(G905,'Fault Master'!$A$5:$A$104,0)),"")</f>
        <v/>
      </c>
    </row>
    <row r="906" customFormat="false" ht="15" hidden="false" customHeight="true" outlineLevel="0" collapsed="false">
      <c r="A906" s="1" t="n">
        <v>901</v>
      </c>
      <c r="B906" s="13"/>
      <c r="F906" s="14" t="str">
        <f aca="false">IFERROR(INDEX('Operator Master'!$B$5:$B$504,MATCH(E906,'Operator Master'!$A$5:$A$504,0)),"")</f>
        <v/>
      </c>
      <c r="H906" s="14" t="str">
        <f aca="false">IFERROR(INDEX('Fault Master'!$B$5:$B$104,MATCH(G906,'Fault Master'!$A$5:$A$104,0)),"")</f>
        <v/>
      </c>
      <c r="I906" s="14" t="str">
        <f aca="false">IFERROR(INDEX('Fault Master'!$C$5:$C$104,MATCH(G906,'Fault Master'!$A$5:$A$104,0)),"")</f>
        <v/>
      </c>
      <c r="M906" s="14" t="str">
        <f aca="false">IFERROR(INDEX('Fault Master'!$D$5:$D$104,MATCH(G906,'Fault Master'!$A$5:$A$104,0)),"")</f>
        <v/>
      </c>
    </row>
    <row r="907" customFormat="false" ht="15" hidden="false" customHeight="true" outlineLevel="0" collapsed="false">
      <c r="A907" s="1" t="n">
        <v>902</v>
      </c>
      <c r="B907" s="13"/>
      <c r="F907" s="14" t="str">
        <f aca="false">IFERROR(INDEX('Operator Master'!$B$5:$B$504,MATCH(E907,'Operator Master'!$A$5:$A$504,0)),"")</f>
        <v/>
      </c>
      <c r="H907" s="14" t="str">
        <f aca="false">IFERROR(INDEX('Fault Master'!$B$5:$B$104,MATCH(G907,'Fault Master'!$A$5:$A$104,0)),"")</f>
        <v/>
      </c>
      <c r="I907" s="14" t="str">
        <f aca="false">IFERROR(INDEX('Fault Master'!$C$5:$C$104,MATCH(G907,'Fault Master'!$A$5:$A$104,0)),"")</f>
        <v/>
      </c>
      <c r="M907" s="14" t="str">
        <f aca="false">IFERROR(INDEX('Fault Master'!$D$5:$D$104,MATCH(G907,'Fault Master'!$A$5:$A$104,0)),"")</f>
        <v/>
      </c>
    </row>
    <row r="908" customFormat="false" ht="15" hidden="false" customHeight="true" outlineLevel="0" collapsed="false">
      <c r="A908" s="1" t="n">
        <v>903</v>
      </c>
      <c r="B908" s="13"/>
      <c r="F908" s="14" t="str">
        <f aca="false">IFERROR(INDEX('Operator Master'!$B$5:$B$504,MATCH(E908,'Operator Master'!$A$5:$A$504,0)),"")</f>
        <v/>
      </c>
      <c r="H908" s="14" t="str">
        <f aca="false">IFERROR(INDEX('Fault Master'!$B$5:$B$104,MATCH(G908,'Fault Master'!$A$5:$A$104,0)),"")</f>
        <v/>
      </c>
      <c r="I908" s="14" t="str">
        <f aca="false">IFERROR(INDEX('Fault Master'!$C$5:$C$104,MATCH(G908,'Fault Master'!$A$5:$A$104,0)),"")</f>
        <v/>
      </c>
      <c r="M908" s="14" t="str">
        <f aca="false">IFERROR(INDEX('Fault Master'!$D$5:$D$104,MATCH(G908,'Fault Master'!$A$5:$A$104,0)),"")</f>
        <v/>
      </c>
    </row>
    <row r="909" customFormat="false" ht="15" hidden="false" customHeight="true" outlineLevel="0" collapsed="false">
      <c r="A909" s="1" t="n">
        <v>904</v>
      </c>
      <c r="B909" s="13"/>
      <c r="F909" s="14" t="str">
        <f aca="false">IFERROR(INDEX('Operator Master'!$B$5:$B$504,MATCH(E909,'Operator Master'!$A$5:$A$504,0)),"")</f>
        <v/>
      </c>
      <c r="H909" s="14" t="str">
        <f aca="false">IFERROR(INDEX('Fault Master'!$B$5:$B$104,MATCH(G909,'Fault Master'!$A$5:$A$104,0)),"")</f>
        <v/>
      </c>
      <c r="I909" s="14" t="str">
        <f aca="false">IFERROR(INDEX('Fault Master'!$C$5:$C$104,MATCH(G909,'Fault Master'!$A$5:$A$104,0)),"")</f>
        <v/>
      </c>
      <c r="M909" s="14" t="str">
        <f aca="false">IFERROR(INDEX('Fault Master'!$D$5:$D$104,MATCH(G909,'Fault Master'!$A$5:$A$104,0)),"")</f>
        <v/>
      </c>
    </row>
    <row r="910" customFormat="false" ht="15" hidden="false" customHeight="true" outlineLevel="0" collapsed="false">
      <c r="A910" s="1" t="n">
        <v>905</v>
      </c>
      <c r="B910" s="13"/>
      <c r="F910" s="14" t="str">
        <f aca="false">IFERROR(INDEX('Operator Master'!$B$5:$B$504,MATCH(E910,'Operator Master'!$A$5:$A$504,0)),"")</f>
        <v/>
      </c>
      <c r="H910" s="14" t="str">
        <f aca="false">IFERROR(INDEX('Fault Master'!$B$5:$B$104,MATCH(G910,'Fault Master'!$A$5:$A$104,0)),"")</f>
        <v/>
      </c>
      <c r="I910" s="14" t="str">
        <f aca="false">IFERROR(INDEX('Fault Master'!$C$5:$C$104,MATCH(G910,'Fault Master'!$A$5:$A$104,0)),"")</f>
        <v/>
      </c>
      <c r="M910" s="14" t="str">
        <f aca="false">IFERROR(INDEX('Fault Master'!$D$5:$D$104,MATCH(G910,'Fault Master'!$A$5:$A$104,0)),"")</f>
        <v/>
      </c>
    </row>
    <row r="911" customFormat="false" ht="15" hidden="false" customHeight="true" outlineLevel="0" collapsed="false">
      <c r="A911" s="1" t="n">
        <v>906</v>
      </c>
      <c r="B911" s="13"/>
      <c r="F911" s="14" t="str">
        <f aca="false">IFERROR(INDEX('Operator Master'!$B$5:$B$504,MATCH(E911,'Operator Master'!$A$5:$A$504,0)),"")</f>
        <v/>
      </c>
      <c r="H911" s="14" t="str">
        <f aca="false">IFERROR(INDEX('Fault Master'!$B$5:$B$104,MATCH(G911,'Fault Master'!$A$5:$A$104,0)),"")</f>
        <v/>
      </c>
      <c r="I911" s="14" t="str">
        <f aca="false">IFERROR(INDEX('Fault Master'!$C$5:$C$104,MATCH(G911,'Fault Master'!$A$5:$A$104,0)),"")</f>
        <v/>
      </c>
      <c r="M911" s="14" t="str">
        <f aca="false">IFERROR(INDEX('Fault Master'!$D$5:$D$104,MATCH(G911,'Fault Master'!$A$5:$A$104,0)),"")</f>
        <v/>
      </c>
    </row>
    <row r="912" customFormat="false" ht="15" hidden="false" customHeight="true" outlineLevel="0" collapsed="false">
      <c r="A912" s="1" t="n">
        <v>907</v>
      </c>
      <c r="B912" s="13"/>
      <c r="F912" s="14" t="str">
        <f aca="false">IFERROR(INDEX('Operator Master'!$B$5:$B$504,MATCH(E912,'Operator Master'!$A$5:$A$504,0)),"")</f>
        <v/>
      </c>
      <c r="H912" s="14" t="str">
        <f aca="false">IFERROR(INDEX('Fault Master'!$B$5:$B$104,MATCH(G912,'Fault Master'!$A$5:$A$104,0)),"")</f>
        <v/>
      </c>
      <c r="I912" s="14" t="str">
        <f aca="false">IFERROR(INDEX('Fault Master'!$C$5:$C$104,MATCH(G912,'Fault Master'!$A$5:$A$104,0)),"")</f>
        <v/>
      </c>
      <c r="M912" s="14" t="str">
        <f aca="false">IFERROR(INDEX('Fault Master'!$D$5:$D$104,MATCH(G912,'Fault Master'!$A$5:$A$104,0)),"")</f>
        <v/>
      </c>
    </row>
    <row r="913" customFormat="false" ht="15" hidden="false" customHeight="true" outlineLevel="0" collapsed="false">
      <c r="A913" s="1" t="n">
        <v>908</v>
      </c>
      <c r="B913" s="13"/>
      <c r="F913" s="14" t="str">
        <f aca="false">IFERROR(INDEX('Operator Master'!$B$5:$B$504,MATCH(E913,'Operator Master'!$A$5:$A$504,0)),"")</f>
        <v/>
      </c>
      <c r="H913" s="14" t="str">
        <f aca="false">IFERROR(INDEX('Fault Master'!$B$5:$B$104,MATCH(G913,'Fault Master'!$A$5:$A$104,0)),"")</f>
        <v/>
      </c>
      <c r="I913" s="14" t="str">
        <f aca="false">IFERROR(INDEX('Fault Master'!$C$5:$C$104,MATCH(G913,'Fault Master'!$A$5:$A$104,0)),"")</f>
        <v/>
      </c>
      <c r="M913" s="14" t="str">
        <f aca="false">IFERROR(INDEX('Fault Master'!$D$5:$D$104,MATCH(G913,'Fault Master'!$A$5:$A$104,0)),"")</f>
        <v/>
      </c>
    </row>
    <row r="914" customFormat="false" ht="15" hidden="false" customHeight="true" outlineLevel="0" collapsed="false">
      <c r="A914" s="1" t="n">
        <v>909</v>
      </c>
      <c r="B914" s="13"/>
      <c r="F914" s="14" t="str">
        <f aca="false">IFERROR(INDEX('Operator Master'!$B$5:$B$504,MATCH(E914,'Operator Master'!$A$5:$A$504,0)),"")</f>
        <v/>
      </c>
      <c r="H914" s="14" t="str">
        <f aca="false">IFERROR(INDEX('Fault Master'!$B$5:$B$104,MATCH(G914,'Fault Master'!$A$5:$A$104,0)),"")</f>
        <v/>
      </c>
      <c r="I914" s="14" t="str">
        <f aca="false">IFERROR(INDEX('Fault Master'!$C$5:$C$104,MATCH(G914,'Fault Master'!$A$5:$A$104,0)),"")</f>
        <v/>
      </c>
      <c r="M914" s="14" t="str">
        <f aca="false">IFERROR(INDEX('Fault Master'!$D$5:$D$104,MATCH(G914,'Fault Master'!$A$5:$A$104,0)),"")</f>
        <v/>
      </c>
    </row>
    <row r="915" customFormat="false" ht="15" hidden="false" customHeight="true" outlineLevel="0" collapsed="false">
      <c r="A915" s="1" t="n">
        <v>910</v>
      </c>
      <c r="B915" s="13"/>
      <c r="F915" s="14" t="str">
        <f aca="false">IFERROR(INDEX('Operator Master'!$B$5:$B$504,MATCH(E915,'Operator Master'!$A$5:$A$504,0)),"")</f>
        <v/>
      </c>
      <c r="H915" s="14" t="str">
        <f aca="false">IFERROR(INDEX('Fault Master'!$B$5:$B$104,MATCH(G915,'Fault Master'!$A$5:$A$104,0)),"")</f>
        <v/>
      </c>
      <c r="I915" s="14" t="str">
        <f aca="false">IFERROR(INDEX('Fault Master'!$C$5:$C$104,MATCH(G915,'Fault Master'!$A$5:$A$104,0)),"")</f>
        <v/>
      </c>
      <c r="M915" s="14" t="str">
        <f aca="false">IFERROR(INDEX('Fault Master'!$D$5:$D$104,MATCH(G915,'Fault Master'!$A$5:$A$104,0)),"")</f>
        <v/>
      </c>
    </row>
    <row r="916" customFormat="false" ht="15" hidden="false" customHeight="true" outlineLevel="0" collapsed="false">
      <c r="A916" s="1" t="n">
        <v>911</v>
      </c>
      <c r="B916" s="13"/>
      <c r="F916" s="14" t="str">
        <f aca="false">IFERROR(INDEX('Operator Master'!$B$5:$B$504,MATCH(E916,'Operator Master'!$A$5:$A$504,0)),"")</f>
        <v/>
      </c>
      <c r="H916" s="14" t="str">
        <f aca="false">IFERROR(INDEX('Fault Master'!$B$5:$B$104,MATCH(G916,'Fault Master'!$A$5:$A$104,0)),"")</f>
        <v/>
      </c>
      <c r="I916" s="14" t="str">
        <f aca="false">IFERROR(INDEX('Fault Master'!$C$5:$C$104,MATCH(G916,'Fault Master'!$A$5:$A$104,0)),"")</f>
        <v/>
      </c>
      <c r="M916" s="14" t="str">
        <f aca="false">IFERROR(INDEX('Fault Master'!$D$5:$D$104,MATCH(G916,'Fault Master'!$A$5:$A$104,0)),"")</f>
        <v/>
      </c>
    </row>
    <row r="917" customFormat="false" ht="15" hidden="false" customHeight="true" outlineLevel="0" collapsed="false">
      <c r="A917" s="1" t="n">
        <v>912</v>
      </c>
      <c r="B917" s="13"/>
      <c r="F917" s="14" t="str">
        <f aca="false">IFERROR(INDEX('Operator Master'!$B$5:$B$504,MATCH(E917,'Operator Master'!$A$5:$A$504,0)),"")</f>
        <v/>
      </c>
      <c r="H917" s="14" t="str">
        <f aca="false">IFERROR(INDEX('Fault Master'!$B$5:$B$104,MATCH(G917,'Fault Master'!$A$5:$A$104,0)),"")</f>
        <v/>
      </c>
      <c r="I917" s="14" t="str">
        <f aca="false">IFERROR(INDEX('Fault Master'!$C$5:$C$104,MATCH(G917,'Fault Master'!$A$5:$A$104,0)),"")</f>
        <v/>
      </c>
      <c r="M917" s="14" t="str">
        <f aca="false">IFERROR(INDEX('Fault Master'!$D$5:$D$104,MATCH(G917,'Fault Master'!$A$5:$A$104,0)),"")</f>
        <v/>
      </c>
    </row>
    <row r="918" customFormat="false" ht="15" hidden="false" customHeight="true" outlineLevel="0" collapsed="false">
      <c r="A918" s="1" t="n">
        <v>913</v>
      </c>
      <c r="B918" s="13"/>
      <c r="F918" s="14" t="str">
        <f aca="false">IFERROR(INDEX('Operator Master'!$B$5:$B$504,MATCH(E918,'Operator Master'!$A$5:$A$504,0)),"")</f>
        <v/>
      </c>
      <c r="H918" s="14" t="str">
        <f aca="false">IFERROR(INDEX('Fault Master'!$B$5:$B$104,MATCH(G918,'Fault Master'!$A$5:$A$104,0)),"")</f>
        <v/>
      </c>
      <c r="I918" s="14" t="str">
        <f aca="false">IFERROR(INDEX('Fault Master'!$C$5:$C$104,MATCH(G918,'Fault Master'!$A$5:$A$104,0)),"")</f>
        <v/>
      </c>
      <c r="M918" s="14" t="str">
        <f aca="false">IFERROR(INDEX('Fault Master'!$D$5:$D$104,MATCH(G918,'Fault Master'!$A$5:$A$104,0)),"")</f>
        <v/>
      </c>
    </row>
    <row r="919" customFormat="false" ht="15" hidden="false" customHeight="true" outlineLevel="0" collapsed="false">
      <c r="A919" s="1" t="n">
        <v>914</v>
      </c>
      <c r="B919" s="13"/>
      <c r="F919" s="14" t="str">
        <f aca="false">IFERROR(INDEX('Operator Master'!$B$5:$B$504,MATCH(E919,'Operator Master'!$A$5:$A$504,0)),"")</f>
        <v/>
      </c>
      <c r="H919" s="14" t="str">
        <f aca="false">IFERROR(INDEX('Fault Master'!$B$5:$B$104,MATCH(G919,'Fault Master'!$A$5:$A$104,0)),"")</f>
        <v/>
      </c>
      <c r="I919" s="14" t="str">
        <f aca="false">IFERROR(INDEX('Fault Master'!$C$5:$C$104,MATCH(G919,'Fault Master'!$A$5:$A$104,0)),"")</f>
        <v/>
      </c>
      <c r="M919" s="14" t="str">
        <f aca="false">IFERROR(INDEX('Fault Master'!$D$5:$D$104,MATCH(G919,'Fault Master'!$A$5:$A$104,0)),"")</f>
        <v/>
      </c>
    </row>
    <row r="920" customFormat="false" ht="15" hidden="false" customHeight="true" outlineLevel="0" collapsed="false">
      <c r="A920" s="1" t="n">
        <v>915</v>
      </c>
      <c r="B920" s="13"/>
      <c r="F920" s="14" t="str">
        <f aca="false">IFERROR(INDEX('Operator Master'!$B$5:$B$504,MATCH(E920,'Operator Master'!$A$5:$A$504,0)),"")</f>
        <v/>
      </c>
      <c r="H920" s="14" t="str">
        <f aca="false">IFERROR(INDEX('Fault Master'!$B$5:$B$104,MATCH(G920,'Fault Master'!$A$5:$A$104,0)),"")</f>
        <v/>
      </c>
      <c r="I920" s="14" t="str">
        <f aca="false">IFERROR(INDEX('Fault Master'!$C$5:$C$104,MATCH(G920,'Fault Master'!$A$5:$A$104,0)),"")</f>
        <v/>
      </c>
      <c r="M920" s="14" t="str">
        <f aca="false">IFERROR(INDEX('Fault Master'!$D$5:$D$104,MATCH(G920,'Fault Master'!$A$5:$A$104,0)),"")</f>
        <v/>
      </c>
    </row>
    <row r="921" customFormat="false" ht="15" hidden="false" customHeight="true" outlineLevel="0" collapsed="false">
      <c r="A921" s="1" t="n">
        <v>916</v>
      </c>
      <c r="B921" s="13"/>
      <c r="F921" s="14" t="str">
        <f aca="false">IFERROR(INDEX('Operator Master'!$B$5:$B$504,MATCH(E921,'Operator Master'!$A$5:$A$504,0)),"")</f>
        <v/>
      </c>
      <c r="H921" s="14" t="str">
        <f aca="false">IFERROR(INDEX('Fault Master'!$B$5:$B$104,MATCH(G921,'Fault Master'!$A$5:$A$104,0)),"")</f>
        <v/>
      </c>
      <c r="I921" s="14" t="str">
        <f aca="false">IFERROR(INDEX('Fault Master'!$C$5:$C$104,MATCH(G921,'Fault Master'!$A$5:$A$104,0)),"")</f>
        <v/>
      </c>
      <c r="M921" s="14" t="str">
        <f aca="false">IFERROR(INDEX('Fault Master'!$D$5:$D$104,MATCH(G921,'Fault Master'!$A$5:$A$104,0)),"")</f>
        <v/>
      </c>
    </row>
    <row r="922" customFormat="false" ht="15" hidden="false" customHeight="true" outlineLevel="0" collapsed="false">
      <c r="A922" s="1" t="n">
        <v>917</v>
      </c>
      <c r="B922" s="13"/>
      <c r="F922" s="14" t="str">
        <f aca="false">IFERROR(INDEX('Operator Master'!$B$5:$B$504,MATCH(E922,'Operator Master'!$A$5:$A$504,0)),"")</f>
        <v/>
      </c>
      <c r="H922" s="14" t="str">
        <f aca="false">IFERROR(INDEX('Fault Master'!$B$5:$B$104,MATCH(G922,'Fault Master'!$A$5:$A$104,0)),"")</f>
        <v/>
      </c>
      <c r="I922" s="14" t="str">
        <f aca="false">IFERROR(INDEX('Fault Master'!$C$5:$C$104,MATCH(G922,'Fault Master'!$A$5:$A$104,0)),"")</f>
        <v/>
      </c>
      <c r="M922" s="14" t="str">
        <f aca="false">IFERROR(INDEX('Fault Master'!$D$5:$D$104,MATCH(G922,'Fault Master'!$A$5:$A$104,0)),"")</f>
        <v/>
      </c>
    </row>
    <row r="923" customFormat="false" ht="15" hidden="false" customHeight="true" outlineLevel="0" collapsed="false">
      <c r="A923" s="1" t="n">
        <v>918</v>
      </c>
      <c r="B923" s="13"/>
      <c r="F923" s="14" t="str">
        <f aca="false">IFERROR(INDEX('Operator Master'!$B$5:$B$504,MATCH(E923,'Operator Master'!$A$5:$A$504,0)),"")</f>
        <v/>
      </c>
      <c r="H923" s="14" t="str">
        <f aca="false">IFERROR(INDEX('Fault Master'!$B$5:$B$104,MATCH(G923,'Fault Master'!$A$5:$A$104,0)),"")</f>
        <v/>
      </c>
      <c r="I923" s="14" t="str">
        <f aca="false">IFERROR(INDEX('Fault Master'!$C$5:$C$104,MATCH(G923,'Fault Master'!$A$5:$A$104,0)),"")</f>
        <v/>
      </c>
      <c r="M923" s="14" t="str">
        <f aca="false">IFERROR(INDEX('Fault Master'!$D$5:$D$104,MATCH(G923,'Fault Master'!$A$5:$A$104,0)),"")</f>
        <v/>
      </c>
    </row>
    <row r="924" customFormat="false" ht="15" hidden="false" customHeight="true" outlineLevel="0" collapsed="false">
      <c r="A924" s="1" t="n">
        <v>919</v>
      </c>
      <c r="B924" s="13"/>
      <c r="F924" s="14" t="str">
        <f aca="false">IFERROR(INDEX('Operator Master'!$B$5:$B$504,MATCH(E924,'Operator Master'!$A$5:$A$504,0)),"")</f>
        <v/>
      </c>
      <c r="H924" s="14" t="str">
        <f aca="false">IFERROR(INDEX('Fault Master'!$B$5:$B$104,MATCH(G924,'Fault Master'!$A$5:$A$104,0)),"")</f>
        <v/>
      </c>
      <c r="I924" s="14" t="str">
        <f aca="false">IFERROR(INDEX('Fault Master'!$C$5:$C$104,MATCH(G924,'Fault Master'!$A$5:$A$104,0)),"")</f>
        <v/>
      </c>
      <c r="M924" s="14" t="str">
        <f aca="false">IFERROR(INDEX('Fault Master'!$D$5:$D$104,MATCH(G924,'Fault Master'!$A$5:$A$104,0)),"")</f>
        <v/>
      </c>
    </row>
    <row r="925" customFormat="false" ht="15" hidden="false" customHeight="true" outlineLevel="0" collapsed="false">
      <c r="A925" s="1" t="n">
        <v>920</v>
      </c>
      <c r="B925" s="13"/>
      <c r="F925" s="14" t="str">
        <f aca="false">IFERROR(INDEX('Operator Master'!$B$5:$B$504,MATCH(E925,'Operator Master'!$A$5:$A$504,0)),"")</f>
        <v/>
      </c>
      <c r="H925" s="14" t="str">
        <f aca="false">IFERROR(INDEX('Fault Master'!$B$5:$B$104,MATCH(G925,'Fault Master'!$A$5:$A$104,0)),"")</f>
        <v/>
      </c>
      <c r="I925" s="14" t="str">
        <f aca="false">IFERROR(INDEX('Fault Master'!$C$5:$C$104,MATCH(G925,'Fault Master'!$A$5:$A$104,0)),"")</f>
        <v/>
      </c>
      <c r="M925" s="14" t="str">
        <f aca="false">IFERROR(INDEX('Fault Master'!$D$5:$D$104,MATCH(G925,'Fault Master'!$A$5:$A$104,0)),"")</f>
        <v/>
      </c>
    </row>
    <row r="926" customFormat="false" ht="15" hidden="false" customHeight="true" outlineLevel="0" collapsed="false">
      <c r="A926" s="1" t="n">
        <v>921</v>
      </c>
      <c r="B926" s="13"/>
      <c r="F926" s="14" t="str">
        <f aca="false">IFERROR(INDEX('Operator Master'!$B$5:$B$504,MATCH(E926,'Operator Master'!$A$5:$A$504,0)),"")</f>
        <v/>
      </c>
      <c r="H926" s="14" t="str">
        <f aca="false">IFERROR(INDEX('Fault Master'!$B$5:$B$104,MATCH(G926,'Fault Master'!$A$5:$A$104,0)),"")</f>
        <v/>
      </c>
      <c r="I926" s="14" t="str">
        <f aca="false">IFERROR(INDEX('Fault Master'!$C$5:$C$104,MATCH(G926,'Fault Master'!$A$5:$A$104,0)),"")</f>
        <v/>
      </c>
      <c r="M926" s="14" t="str">
        <f aca="false">IFERROR(INDEX('Fault Master'!$D$5:$D$104,MATCH(G926,'Fault Master'!$A$5:$A$104,0)),"")</f>
        <v/>
      </c>
    </row>
    <row r="927" customFormat="false" ht="15" hidden="false" customHeight="true" outlineLevel="0" collapsed="false">
      <c r="A927" s="1" t="n">
        <v>922</v>
      </c>
      <c r="B927" s="13"/>
      <c r="F927" s="14" t="str">
        <f aca="false">IFERROR(INDEX('Operator Master'!$B$5:$B$504,MATCH(E927,'Operator Master'!$A$5:$A$504,0)),"")</f>
        <v/>
      </c>
      <c r="H927" s="14" t="str">
        <f aca="false">IFERROR(INDEX('Fault Master'!$B$5:$B$104,MATCH(G927,'Fault Master'!$A$5:$A$104,0)),"")</f>
        <v/>
      </c>
      <c r="I927" s="14" t="str">
        <f aca="false">IFERROR(INDEX('Fault Master'!$C$5:$C$104,MATCH(G927,'Fault Master'!$A$5:$A$104,0)),"")</f>
        <v/>
      </c>
      <c r="M927" s="14" t="str">
        <f aca="false">IFERROR(INDEX('Fault Master'!$D$5:$D$104,MATCH(G927,'Fault Master'!$A$5:$A$104,0)),"")</f>
        <v/>
      </c>
    </row>
    <row r="928" customFormat="false" ht="15" hidden="false" customHeight="true" outlineLevel="0" collapsed="false">
      <c r="A928" s="1" t="n">
        <v>923</v>
      </c>
      <c r="B928" s="13"/>
      <c r="F928" s="14" t="str">
        <f aca="false">IFERROR(INDEX('Operator Master'!$B$5:$B$504,MATCH(E928,'Operator Master'!$A$5:$A$504,0)),"")</f>
        <v/>
      </c>
      <c r="H928" s="14" t="str">
        <f aca="false">IFERROR(INDEX('Fault Master'!$B$5:$B$104,MATCH(G928,'Fault Master'!$A$5:$A$104,0)),"")</f>
        <v/>
      </c>
      <c r="I928" s="14" t="str">
        <f aca="false">IFERROR(INDEX('Fault Master'!$C$5:$C$104,MATCH(G928,'Fault Master'!$A$5:$A$104,0)),"")</f>
        <v/>
      </c>
      <c r="M928" s="14" t="str">
        <f aca="false">IFERROR(INDEX('Fault Master'!$D$5:$D$104,MATCH(G928,'Fault Master'!$A$5:$A$104,0)),"")</f>
        <v/>
      </c>
    </row>
    <row r="929" customFormat="false" ht="15" hidden="false" customHeight="true" outlineLevel="0" collapsed="false">
      <c r="A929" s="1" t="n">
        <v>924</v>
      </c>
      <c r="B929" s="13"/>
      <c r="F929" s="14" t="str">
        <f aca="false">IFERROR(INDEX('Operator Master'!$B$5:$B$504,MATCH(E929,'Operator Master'!$A$5:$A$504,0)),"")</f>
        <v/>
      </c>
      <c r="H929" s="14" t="str">
        <f aca="false">IFERROR(INDEX('Fault Master'!$B$5:$B$104,MATCH(G929,'Fault Master'!$A$5:$A$104,0)),"")</f>
        <v/>
      </c>
      <c r="I929" s="14" t="str">
        <f aca="false">IFERROR(INDEX('Fault Master'!$C$5:$C$104,MATCH(G929,'Fault Master'!$A$5:$A$104,0)),"")</f>
        <v/>
      </c>
      <c r="M929" s="14" t="str">
        <f aca="false">IFERROR(INDEX('Fault Master'!$D$5:$D$104,MATCH(G929,'Fault Master'!$A$5:$A$104,0)),"")</f>
        <v/>
      </c>
    </row>
    <row r="930" customFormat="false" ht="15" hidden="false" customHeight="true" outlineLevel="0" collapsed="false">
      <c r="A930" s="1" t="n">
        <v>925</v>
      </c>
      <c r="B930" s="13"/>
      <c r="F930" s="14" t="str">
        <f aca="false">IFERROR(INDEX('Operator Master'!$B$5:$B$504,MATCH(E930,'Operator Master'!$A$5:$A$504,0)),"")</f>
        <v/>
      </c>
      <c r="H930" s="14" t="str">
        <f aca="false">IFERROR(INDEX('Fault Master'!$B$5:$B$104,MATCH(G930,'Fault Master'!$A$5:$A$104,0)),"")</f>
        <v/>
      </c>
      <c r="I930" s="14" t="str">
        <f aca="false">IFERROR(INDEX('Fault Master'!$C$5:$C$104,MATCH(G930,'Fault Master'!$A$5:$A$104,0)),"")</f>
        <v/>
      </c>
      <c r="M930" s="14" t="str">
        <f aca="false">IFERROR(INDEX('Fault Master'!$D$5:$D$104,MATCH(G930,'Fault Master'!$A$5:$A$104,0)),"")</f>
        <v/>
      </c>
    </row>
    <row r="931" customFormat="false" ht="15" hidden="false" customHeight="true" outlineLevel="0" collapsed="false">
      <c r="A931" s="1" t="n">
        <v>926</v>
      </c>
      <c r="B931" s="13"/>
      <c r="F931" s="14" t="str">
        <f aca="false">IFERROR(INDEX('Operator Master'!$B$5:$B$504,MATCH(E931,'Operator Master'!$A$5:$A$504,0)),"")</f>
        <v/>
      </c>
      <c r="H931" s="14" t="str">
        <f aca="false">IFERROR(INDEX('Fault Master'!$B$5:$B$104,MATCH(G931,'Fault Master'!$A$5:$A$104,0)),"")</f>
        <v/>
      </c>
      <c r="I931" s="14" t="str">
        <f aca="false">IFERROR(INDEX('Fault Master'!$C$5:$C$104,MATCH(G931,'Fault Master'!$A$5:$A$104,0)),"")</f>
        <v/>
      </c>
      <c r="M931" s="14" t="str">
        <f aca="false">IFERROR(INDEX('Fault Master'!$D$5:$D$104,MATCH(G931,'Fault Master'!$A$5:$A$104,0)),"")</f>
        <v/>
      </c>
    </row>
    <row r="932" customFormat="false" ht="15" hidden="false" customHeight="true" outlineLevel="0" collapsed="false">
      <c r="A932" s="1" t="n">
        <v>927</v>
      </c>
      <c r="B932" s="13"/>
      <c r="F932" s="14" t="str">
        <f aca="false">IFERROR(INDEX('Operator Master'!$B$5:$B$504,MATCH(E932,'Operator Master'!$A$5:$A$504,0)),"")</f>
        <v/>
      </c>
      <c r="H932" s="14" t="str">
        <f aca="false">IFERROR(INDEX('Fault Master'!$B$5:$B$104,MATCH(G932,'Fault Master'!$A$5:$A$104,0)),"")</f>
        <v/>
      </c>
      <c r="I932" s="14" t="str">
        <f aca="false">IFERROR(INDEX('Fault Master'!$C$5:$C$104,MATCH(G932,'Fault Master'!$A$5:$A$104,0)),"")</f>
        <v/>
      </c>
      <c r="M932" s="14" t="str">
        <f aca="false">IFERROR(INDEX('Fault Master'!$D$5:$D$104,MATCH(G932,'Fault Master'!$A$5:$A$104,0)),"")</f>
        <v/>
      </c>
    </row>
    <row r="933" customFormat="false" ht="15" hidden="false" customHeight="true" outlineLevel="0" collapsed="false">
      <c r="A933" s="1" t="n">
        <v>928</v>
      </c>
      <c r="B933" s="13"/>
      <c r="F933" s="14" t="str">
        <f aca="false">IFERROR(INDEX('Operator Master'!$B$5:$B$504,MATCH(E933,'Operator Master'!$A$5:$A$504,0)),"")</f>
        <v/>
      </c>
      <c r="H933" s="14" t="str">
        <f aca="false">IFERROR(INDEX('Fault Master'!$B$5:$B$104,MATCH(G933,'Fault Master'!$A$5:$A$104,0)),"")</f>
        <v/>
      </c>
      <c r="I933" s="14" t="str">
        <f aca="false">IFERROR(INDEX('Fault Master'!$C$5:$C$104,MATCH(G933,'Fault Master'!$A$5:$A$104,0)),"")</f>
        <v/>
      </c>
      <c r="M933" s="14" t="str">
        <f aca="false">IFERROR(INDEX('Fault Master'!$D$5:$D$104,MATCH(G933,'Fault Master'!$A$5:$A$104,0)),"")</f>
        <v/>
      </c>
    </row>
    <row r="934" customFormat="false" ht="15" hidden="false" customHeight="true" outlineLevel="0" collapsed="false">
      <c r="A934" s="1" t="n">
        <v>929</v>
      </c>
      <c r="B934" s="13"/>
      <c r="F934" s="14" t="str">
        <f aca="false">IFERROR(INDEX('Operator Master'!$B$5:$B$504,MATCH(E934,'Operator Master'!$A$5:$A$504,0)),"")</f>
        <v/>
      </c>
      <c r="H934" s="14" t="str">
        <f aca="false">IFERROR(INDEX('Fault Master'!$B$5:$B$104,MATCH(G934,'Fault Master'!$A$5:$A$104,0)),"")</f>
        <v/>
      </c>
      <c r="I934" s="14" t="str">
        <f aca="false">IFERROR(INDEX('Fault Master'!$C$5:$C$104,MATCH(G934,'Fault Master'!$A$5:$A$104,0)),"")</f>
        <v/>
      </c>
      <c r="M934" s="14" t="str">
        <f aca="false">IFERROR(INDEX('Fault Master'!$D$5:$D$104,MATCH(G934,'Fault Master'!$A$5:$A$104,0)),"")</f>
        <v/>
      </c>
    </row>
    <row r="935" customFormat="false" ht="15" hidden="false" customHeight="true" outlineLevel="0" collapsed="false">
      <c r="A935" s="1" t="n">
        <v>930</v>
      </c>
      <c r="B935" s="13"/>
      <c r="F935" s="14" t="str">
        <f aca="false">IFERROR(INDEX('Operator Master'!$B$5:$B$504,MATCH(E935,'Operator Master'!$A$5:$A$504,0)),"")</f>
        <v/>
      </c>
      <c r="H935" s="14" t="str">
        <f aca="false">IFERROR(INDEX('Fault Master'!$B$5:$B$104,MATCH(G935,'Fault Master'!$A$5:$A$104,0)),"")</f>
        <v/>
      </c>
      <c r="I935" s="14" t="str">
        <f aca="false">IFERROR(INDEX('Fault Master'!$C$5:$C$104,MATCH(G935,'Fault Master'!$A$5:$A$104,0)),"")</f>
        <v/>
      </c>
      <c r="M935" s="14" t="str">
        <f aca="false">IFERROR(INDEX('Fault Master'!$D$5:$D$104,MATCH(G935,'Fault Master'!$A$5:$A$104,0)),"")</f>
        <v/>
      </c>
    </row>
    <row r="936" customFormat="false" ht="15" hidden="false" customHeight="true" outlineLevel="0" collapsed="false">
      <c r="A936" s="1" t="n">
        <v>931</v>
      </c>
      <c r="B936" s="13"/>
      <c r="F936" s="14" t="str">
        <f aca="false">IFERROR(INDEX('Operator Master'!$B$5:$B$504,MATCH(E936,'Operator Master'!$A$5:$A$504,0)),"")</f>
        <v/>
      </c>
      <c r="H936" s="14" t="str">
        <f aca="false">IFERROR(INDEX('Fault Master'!$B$5:$B$104,MATCH(G936,'Fault Master'!$A$5:$A$104,0)),"")</f>
        <v/>
      </c>
      <c r="I936" s="14" t="str">
        <f aca="false">IFERROR(INDEX('Fault Master'!$C$5:$C$104,MATCH(G936,'Fault Master'!$A$5:$A$104,0)),"")</f>
        <v/>
      </c>
      <c r="M936" s="14" t="str">
        <f aca="false">IFERROR(INDEX('Fault Master'!$D$5:$D$104,MATCH(G936,'Fault Master'!$A$5:$A$104,0)),"")</f>
        <v/>
      </c>
    </row>
    <row r="937" customFormat="false" ht="15" hidden="false" customHeight="true" outlineLevel="0" collapsed="false">
      <c r="A937" s="1" t="n">
        <v>932</v>
      </c>
      <c r="B937" s="13"/>
      <c r="F937" s="14" t="str">
        <f aca="false">IFERROR(INDEX('Operator Master'!$B$5:$B$504,MATCH(E937,'Operator Master'!$A$5:$A$504,0)),"")</f>
        <v/>
      </c>
      <c r="H937" s="14" t="str">
        <f aca="false">IFERROR(INDEX('Fault Master'!$B$5:$B$104,MATCH(G937,'Fault Master'!$A$5:$A$104,0)),"")</f>
        <v/>
      </c>
      <c r="I937" s="14" t="str">
        <f aca="false">IFERROR(INDEX('Fault Master'!$C$5:$C$104,MATCH(G937,'Fault Master'!$A$5:$A$104,0)),"")</f>
        <v/>
      </c>
      <c r="M937" s="14" t="str">
        <f aca="false">IFERROR(INDEX('Fault Master'!$D$5:$D$104,MATCH(G937,'Fault Master'!$A$5:$A$104,0)),"")</f>
        <v/>
      </c>
    </row>
    <row r="938" customFormat="false" ht="15" hidden="false" customHeight="true" outlineLevel="0" collapsed="false">
      <c r="A938" s="1" t="n">
        <v>933</v>
      </c>
      <c r="B938" s="13"/>
      <c r="F938" s="14" t="str">
        <f aca="false">IFERROR(INDEX('Operator Master'!$B$5:$B$504,MATCH(E938,'Operator Master'!$A$5:$A$504,0)),"")</f>
        <v/>
      </c>
      <c r="H938" s="14" t="str">
        <f aca="false">IFERROR(INDEX('Fault Master'!$B$5:$B$104,MATCH(G938,'Fault Master'!$A$5:$A$104,0)),"")</f>
        <v/>
      </c>
      <c r="I938" s="14" t="str">
        <f aca="false">IFERROR(INDEX('Fault Master'!$C$5:$C$104,MATCH(G938,'Fault Master'!$A$5:$A$104,0)),"")</f>
        <v/>
      </c>
      <c r="M938" s="14" t="str">
        <f aca="false">IFERROR(INDEX('Fault Master'!$D$5:$D$104,MATCH(G938,'Fault Master'!$A$5:$A$104,0)),"")</f>
        <v/>
      </c>
    </row>
    <row r="939" customFormat="false" ht="15" hidden="false" customHeight="true" outlineLevel="0" collapsed="false">
      <c r="A939" s="1" t="n">
        <v>934</v>
      </c>
      <c r="B939" s="13"/>
      <c r="F939" s="14" t="str">
        <f aca="false">IFERROR(INDEX('Operator Master'!$B$5:$B$504,MATCH(E939,'Operator Master'!$A$5:$A$504,0)),"")</f>
        <v/>
      </c>
      <c r="H939" s="14" t="str">
        <f aca="false">IFERROR(INDEX('Fault Master'!$B$5:$B$104,MATCH(G939,'Fault Master'!$A$5:$A$104,0)),"")</f>
        <v/>
      </c>
      <c r="I939" s="14" t="str">
        <f aca="false">IFERROR(INDEX('Fault Master'!$C$5:$C$104,MATCH(G939,'Fault Master'!$A$5:$A$104,0)),"")</f>
        <v/>
      </c>
      <c r="M939" s="14" t="str">
        <f aca="false">IFERROR(INDEX('Fault Master'!$D$5:$D$104,MATCH(G939,'Fault Master'!$A$5:$A$104,0)),"")</f>
        <v/>
      </c>
    </row>
    <row r="940" customFormat="false" ht="15" hidden="false" customHeight="true" outlineLevel="0" collapsed="false">
      <c r="A940" s="1" t="n">
        <v>935</v>
      </c>
      <c r="B940" s="13"/>
      <c r="F940" s="14" t="str">
        <f aca="false">IFERROR(INDEX('Operator Master'!$B$5:$B$504,MATCH(E940,'Operator Master'!$A$5:$A$504,0)),"")</f>
        <v/>
      </c>
      <c r="H940" s="14" t="str">
        <f aca="false">IFERROR(INDEX('Fault Master'!$B$5:$B$104,MATCH(G940,'Fault Master'!$A$5:$A$104,0)),"")</f>
        <v/>
      </c>
      <c r="I940" s="14" t="str">
        <f aca="false">IFERROR(INDEX('Fault Master'!$C$5:$C$104,MATCH(G940,'Fault Master'!$A$5:$A$104,0)),"")</f>
        <v/>
      </c>
      <c r="M940" s="14" t="str">
        <f aca="false">IFERROR(INDEX('Fault Master'!$D$5:$D$104,MATCH(G940,'Fault Master'!$A$5:$A$104,0)),"")</f>
        <v/>
      </c>
    </row>
    <row r="941" customFormat="false" ht="15" hidden="false" customHeight="true" outlineLevel="0" collapsed="false">
      <c r="A941" s="1" t="n">
        <v>936</v>
      </c>
      <c r="B941" s="13"/>
      <c r="F941" s="14" t="str">
        <f aca="false">IFERROR(INDEX('Operator Master'!$B$5:$B$504,MATCH(E941,'Operator Master'!$A$5:$A$504,0)),"")</f>
        <v/>
      </c>
      <c r="H941" s="14" t="str">
        <f aca="false">IFERROR(INDEX('Fault Master'!$B$5:$B$104,MATCH(G941,'Fault Master'!$A$5:$A$104,0)),"")</f>
        <v/>
      </c>
      <c r="I941" s="14" t="str">
        <f aca="false">IFERROR(INDEX('Fault Master'!$C$5:$C$104,MATCH(G941,'Fault Master'!$A$5:$A$104,0)),"")</f>
        <v/>
      </c>
      <c r="M941" s="14" t="str">
        <f aca="false">IFERROR(INDEX('Fault Master'!$D$5:$D$104,MATCH(G941,'Fault Master'!$A$5:$A$104,0)),"")</f>
        <v/>
      </c>
    </row>
    <row r="942" customFormat="false" ht="15" hidden="false" customHeight="true" outlineLevel="0" collapsed="false">
      <c r="A942" s="1" t="n">
        <v>937</v>
      </c>
      <c r="B942" s="13"/>
      <c r="F942" s="14" t="str">
        <f aca="false">IFERROR(INDEX('Operator Master'!$B$5:$B$504,MATCH(E942,'Operator Master'!$A$5:$A$504,0)),"")</f>
        <v/>
      </c>
      <c r="H942" s="14" t="str">
        <f aca="false">IFERROR(INDEX('Fault Master'!$B$5:$B$104,MATCH(G942,'Fault Master'!$A$5:$A$104,0)),"")</f>
        <v/>
      </c>
      <c r="I942" s="14" t="str">
        <f aca="false">IFERROR(INDEX('Fault Master'!$C$5:$C$104,MATCH(G942,'Fault Master'!$A$5:$A$104,0)),"")</f>
        <v/>
      </c>
      <c r="M942" s="14" t="str">
        <f aca="false">IFERROR(INDEX('Fault Master'!$D$5:$D$104,MATCH(G942,'Fault Master'!$A$5:$A$104,0)),"")</f>
        <v/>
      </c>
    </row>
    <row r="943" customFormat="false" ht="15" hidden="false" customHeight="true" outlineLevel="0" collapsed="false">
      <c r="A943" s="1" t="n">
        <v>938</v>
      </c>
      <c r="B943" s="13"/>
      <c r="F943" s="14" t="str">
        <f aca="false">IFERROR(INDEX('Operator Master'!$B$5:$B$504,MATCH(E943,'Operator Master'!$A$5:$A$504,0)),"")</f>
        <v/>
      </c>
      <c r="H943" s="14" t="str">
        <f aca="false">IFERROR(INDEX('Fault Master'!$B$5:$B$104,MATCH(G943,'Fault Master'!$A$5:$A$104,0)),"")</f>
        <v/>
      </c>
      <c r="I943" s="14" t="str">
        <f aca="false">IFERROR(INDEX('Fault Master'!$C$5:$C$104,MATCH(G943,'Fault Master'!$A$5:$A$104,0)),"")</f>
        <v/>
      </c>
      <c r="M943" s="14" t="str">
        <f aca="false">IFERROR(INDEX('Fault Master'!$D$5:$D$104,MATCH(G943,'Fault Master'!$A$5:$A$104,0)),"")</f>
        <v/>
      </c>
    </row>
    <row r="944" customFormat="false" ht="15" hidden="false" customHeight="true" outlineLevel="0" collapsed="false">
      <c r="A944" s="1" t="n">
        <v>939</v>
      </c>
      <c r="B944" s="13"/>
      <c r="F944" s="14" t="str">
        <f aca="false">IFERROR(INDEX('Operator Master'!$B$5:$B$504,MATCH(E944,'Operator Master'!$A$5:$A$504,0)),"")</f>
        <v/>
      </c>
      <c r="H944" s="14" t="str">
        <f aca="false">IFERROR(INDEX('Fault Master'!$B$5:$B$104,MATCH(G944,'Fault Master'!$A$5:$A$104,0)),"")</f>
        <v/>
      </c>
      <c r="I944" s="14" t="str">
        <f aca="false">IFERROR(INDEX('Fault Master'!$C$5:$C$104,MATCH(G944,'Fault Master'!$A$5:$A$104,0)),"")</f>
        <v/>
      </c>
      <c r="M944" s="14" t="str">
        <f aca="false">IFERROR(INDEX('Fault Master'!$D$5:$D$104,MATCH(G944,'Fault Master'!$A$5:$A$104,0)),"")</f>
        <v/>
      </c>
    </row>
    <row r="945" customFormat="false" ht="15" hidden="false" customHeight="true" outlineLevel="0" collapsed="false">
      <c r="A945" s="1" t="n">
        <v>940</v>
      </c>
      <c r="B945" s="13"/>
      <c r="F945" s="14" t="str">
        <f aca="false">IFERROR(INDEX('Operator Master'!$B$5:$B$504,MATCH(E945,'Operator Master'!$A$5:$A$504,0)),"")</f>
        <v/>
      </c>
      <c r="H945" s="14" t="str">
        <f aca="false">IFERROR(INDEX('Fault Master'!$B$5:$B$104,MATCH(G945,'Fault Master'!$A$5:$A$104,0)),"")</f>
        <v/>
      </c>
      <c r="I945" s="14" t="str">
        <f aca="false">IFERROR(INDEX('Fault Master'!$C$5:$C$104,MATCH(G945,'Fault Master'!$A$5:$A$104,0)),"")</f>
        <v/>
      </c>
      <c r="M945" s="14" t="str">
        <f aca="false">IFERROR(INDEX('Fault Master'!$D$5:$D$104,MATCH(G945,'Fault Master'!$A$5:$A$104,0)),"")</f>
        <v/>
      </c>
    </row>
    <row r="946" customFormat="false" ht="15" hidden="false" customHeight="true" outlineLevel="0" collapsed="false">
      <c r="A946" s="1" t="n">
        <v>941</v>
      </c>
      <c r="B946" s="13"/>
      <c r="F946" s="14" t="str">
        <f aca="false">IFERROR(INDEX('Operator Master'!$B$5:$B$504,MATCH(E946,'Operator Master'!$A$5:$A$504,0)),"")</f>
        <v/>
      </c>
      <c r="H946" s="14" t="str">
        <f aca="false">IFERROR(INDEX('Fault Master'!$B$5:$B$104,MATCH(G946,'Fault Master'!$A$5:$A$104,0)),"")</f>
        <v/>
      </c>
      <c r="I946" s="14" t="str">
        <f aca="false">IFERROR(INDEX('Fault Master'!$C$5:$C$104,MATCH(G946,'Fault Master'!$A$5:$A$104,0)),"")</f>
        <v/>
      </c>
      <c r="M946" s="14" t="str">
        <f aca="false">IFERROR(INDEX('Fault Master'!$D$5:$D$104,MATCH(G946,'Fault Master'!$A$5:$A$104,0)),"")</f>
        <v/>
      </c>
    </row>
    <row r="947" customFormat="false" ht="15" hidden="false" customHeight="true" outlineLevel="0" collapsed="false">
      <c r="A947" s="1" t="n">
        <v>942</v>
      </c>
      <c r="B947" s="13"/>
      <c r="F947" s="14" t="str">
        <f aca="false">IFERROR(INDEX('Operator Master'!$B$5:$B$504,MATCH(E947,'Operator Master'!$A$5:$A$504,0)),"")</f>
        <v/>
      </c>
      <c r="H947" s="14" t="str">
        <f aca="false">IFERROR(INDEX('Fault Master'!$B$5:$B$104,MATCH(G947,'Fault Master'!$A$5:$A$104,0)),"")</f>
        <v/>
      </c>
      <c r="I947" s="14" t="str">
        <f aca="false">IFERROR(INDEX('Fault Master'!$C$5:$C$104,MATCH(G947,'Fault Master'!$A$5:$A$104,0)),"")</f>
        <v/>
      </c>
      <c r="M947" s="14" t="str">
        <f aca="false">IFERROR(INDEX('Fault Master'!$D$5:$D$104,MATCH(G947,'Fault Master'!$A$5:$A$104,0)),"")</f>
        <v/>
      </c>
    </row>
    <row r="948" customFormat="false" ht="15" hidden="false" customHeight="true" outlineLevel="0" collapsed="false">
      <c r="A948" s="1" t="n">
        <v>943</v>
      </c>
      <c r="B948" s="13"/>
      <c r="F948" s="14" t="str">
        <f aca="false">IFERROR(INDEX('Operator Master'!$B$5:$B$504,MATCH(E948,'Operator Master'!$A$5:$A$504,0)),"")</f>
        <v/>
      </c>
      <c r="H948" s="14" t="str">
        <f aca="false">IFERROR(INDEX('Fault Master'!$B$5:$B$104,MATCH(G948,'Fault Master'!$A$5:$A$104,0)),"")</f>
        <v/>
      </c>
      <c r="I948" s="14" t="str">
        <f aca="false">IFERROR(INDEX('Fault Master'!$C$5:$C$104,MATCH(G948,'Fault Master'!$A$5:$A$104,0)),"")</f>
        <v/>
      </c>
      <c r="M948" s="14" t="str">
        <f aca="false">IFERROR(INDEX('Fault Master'!$D$5:$D$104,MATCH(G948,'Fault Master'!$A$5:$A$104,0)),"")</f>
        <v/>
      </c>
    </row>
    <row r="949" customFormat="false" ht="15" hidden="false" customHeight="true" outlineLevel="0" collapsed="false">
      <c r="A949" s="1" t="n">
        <v>944</v>
      </c>
      <c r="B949" s="13"/>
      <c r="F949" s="14" t="str">
        <f aca="false">IFERROR(INDEX('Operator Master'!$B$5:$B$504,MATCH(E949,'Operator Master'!$A$5:$A$504,0)),"")</f>
        <v/>
      </c>
      <c r="H949" s="14" t="str">
        <f aca="false">IFERROR(INDEX('Fault Master'!$B$5:$B$104,MATCH(G949,'Fault Master'!$A$5:$A$104,0)),"")</f>
        <v/>
      </c>
      <c r="I949" s="14" t="str">
        <f aca="false">IFERROR(INDEX('Fault Master'!$C$5:$C$104,MATCH(G949,'Fault Master'!$A$5:$A$104,0)),"")</f>
        <v/>
      </c>
      <c r="M949" s="14" t="str">
        <f aca="false">IFERROR(INDEX('Fault Master'!$D$5:$D$104,MATCH(G949,'Fault Master'!$A$5:$A$104,0)),"")</f>
        <v/>
      </c>
    </row>
    <row r="950" customFormat="false" ht="15" hidden="false" customHeight="true" outlineLevel="0" collapsed="false">
      <c r="A950" s="1" t="n">
        <v>945</v>
      </c>
      <c r="B950" s="13"/>
      <c r="F950" s="14" t="str">
        <f aca="false">IFERROR(INDEX('Operator Master'!$B$5:$B$504,MATCH(E950,'Operator Master'!$A$5:$A$504,0)),"")</f>
        <v/>
      </c>
      <c r="H950" s="14" t="str">
        <f aca="false">IFERROR(INDEX('Fault Master'!$B$5:$B$104,MATCH(G950,'Fault Master'!$A$5:$A$104,0)),"")</f>
        <v/>
      </c>
      <c r="I950" s="14" t="str">
        <f aca="false">IFERROR(INDEX('Fault Master'!$C$5:$C$104,MATCH(G950,'Fault Master'!$A$5:$A$104,0)),"")</f>
        <v/>
      </c>
      <c r="M950" s="14" t="str">
        <f aca="false">IFERROR(INDEX('Fault Master'!$D$5:$D$104,MATCH(G950,'Fault Master'!$A$5:$A$104,0)),"")</f>
        <v/>
      </c>
    </row>
    <row r="951" customFormat="false" ht="15" hidden="false" customHeight="true" outlineLevel="0" collapsed="false">
      <c r="A951" s="1" t="n">
        <v>946</v>
      </c>
      <c r="B951" s="13"/>
      <c r="F951" s="14" t="str">
        <f aca="false">IFERROR(INDEX('Operator Master'!$B$5:$B$504,MATCH(E951,'Operator Master'!$A$5:$A$504,0)),"")</f>
        <v/>
      </c>
      <c r="H951" s="14" t="str">
        <f aca="false">IFERROR(INDEX('Fault Master'!$B$5:$B$104,MATCH(G951,'Fault Master'!$A$5:$A$104,0)),"")</f>
        <v/>
      </c>
      <c r="I951" s="14" t="str">
        <f aca="false">IFERROR(INDEX('Fault Master'!$C$5:$C$104,MATCH(G951,'Fault Master'!$A$5:$A$104,0)),"")</f>
        <v/>
      </c>
      <c r="M951" s="14" t="str">
        <f aca="false">IFERROR(INDEX('Fault Master'!$D$5:$D$104,MATCH(G951,'Fault Master'!$A$5:$A$104,0)),"")</f>
        <v/>
      </c>
    </row>
    <row r="952" customFormat="false" ht="15" hidden="false" customHeight="true" outlineLevel="0" collapsed="false">
      <c r="A952" s="1" t="n">
        <v>947</v>
      </c>
      <c r="B952" s="13"/>
      <c r="F952" s="14" t="str">
        <f aca="false">IFERROR(INDEX('Operator Master'!$B$5:$B$504,MATCH(E952,'Operator Master'!$A$5:$A$504,0)),"")</f>
        <v/>
      </c>
      <c r="H952" s="14" t="str">
        <f aca="false">IFERROR(INDEX('Fault Master'!$B$5:$B$104,MATCH(G952,'Fault Master'!$A$5:$A$104,0)),"")</f>
        <v/>
      </c>
      <c r="I952" s="14" t="str">
        <f aca="false">IFERROR(INDEX('Fault Master'!$C$5:$C$104,MATCH(G952,'Fault Master'!$A$5:$A$104,0)),"")</f>
        <v/>
      </c>
      <c r="M952" s="14" t="str">
        <f aca="false">IFERROR(INDEX('Fault Master'!$D$5:$D$104,MATCH(G952,'Fault Master'!$A$5:$A$104,0)),"")</f>
        <v/>
      </c>
    </row>
    <row r="953" customFormat="false" ht="15" hidden="false" customHeight="true" outlineLevel="0" collapsed="false">
      <c r="A953" s="1" t="n">
        <v>948</v>
      </c>
      <c r="B953" s="13"/>
      <c r="F953" s="14" t="str">
        <f aca="false">IFERROR(INDEX('Operator Master'!$B$5:$B$504,MATCH(E953,'Operator Master'!$A$5:$A$504,0)),"")</f>
        <v/>
      </c>
      <c r="H953" s="14" t="str">
        <f aca="false">IFERROR(INDEX('Fault Master'!$B$5:$B$104,MATCH(G953,'Fault Master'!$A$5:$A$104,0)),"")</f>
        <v/>
      </c>
      <c r="I953" s="14" t="str">
        <f aca="false">IFERROR(INDEX('Fault Master'!$C$5:$C$104,MATCH(G953,'Fault Master'!$A$5:$A$104,0)),"")</f>
        <v/>
      </c>
      <c r="M953" s="14" t="str">
        <f aca="false">IFERROR(INDEX('Fault Master'!$D$5:$D$104,MATCH(G953,'Fault Master'!$A$5:$A$104,0)),"")</f>
        <v/>
      </c>
    </row>
    <row r="954" customFormat="false" ht="15" hidden="false" customHeight="true" outlineLevel="0" collapsed="false">
      <c r="A954" s="1" t="n">
        <v>949</v>
      </c>
      <c r="B954" s="13"/>
      <c r="F954" s="14" t="str">
        <f aca="false">IFERROR(INDEX('Operator Master'!$B$5:$B$504,MATCH(E954,'Operator Master'!$A$5:$A$504,0)),"")</f>
        <v/>
      </c>
      <c r="H954" s="14" t="str">
        <f aca="false">IFERROR(INDEX('Fault Master'!$B$5:$B$104,MATCH(G954,'Fault Master'!$A$5:$A$104,0)),"")</f>
        <v/>
      </c>
      <c r="I954" s="14" t="str">
        <f aca="false">IFERROR(INDEX('Fault Master'!$C$5:$C$104,MATCH(G954,'Fault Master'!$A$5:$A$104,0)),"")</f>
        <v/>
      </c>
      <c r="M954" s="14" t="str">
        <f aca="false">IFERROR(INDEX('Fault Master'!$D$5:$D$104,MATCH(G954,'Fault Master'!$A$5:$A$104,0)),"")</f>
        <v/>
      </c>
    </row>
    <row r="955" customFormat="false" ht="15" hidden="false" customHeight="true" outlineLevel="0" collapsed="false">
      <c r="A955" s="1" t="n">
        <v>950</v>
      </c>
      <c r="B955" s="13"/>
      <c r="F955" s="14" t="str">
        <f aca="false">IFERROR(INDEX('Operator Master'!$B$5:$B$504,MATCH(E955,'Operator Master'!$A$5:$A$504,0)),"")</f>
        <v/>
      </c>
      <c r="H955" s="14" t="str">
        <f aca="false">IFERROR(INDEX('Fault Master'!$B$5:$B$104,MATCH(G955,'Fault Master'!$A$5:$A$104,0)),"")</f>
        <v/>
      </c>
      <c r="I955" s="14" t="str">
        <f aca="false">IFERROR(INDEX('Fault Master'!$C$5:$C$104,MATCH(G955,'Fault Master'!$A$5:$A$104,0)),"")</f>
        <v/>
      </c>
      <c r="M955" s="14" t="str">
        <f aca="false">IFERROR(INDEX('Fault Master'!$D$5:$D$104,MATCH(G955,'Fault Master'!$A$5:$A$104,0)),"")</f>
        <v/>
      </c>
    </row>
    <row r="956" customFormat="false" ht="15" hidden="false" customHeight="true" outlineLevel="0" collapsed="false">
      <c r="A956" s="1" t="n">
        <v>951</v>
      </c>
      <c r="B956" s="13"/>
      <c r="F956" s="14" t="str">
        <f aca="false">IFERROR(INDEX('Operator Master'!$B$5:$B$504,MATCH(E956,'Operator Master'!$A$5:$A$504,0)),"")</f>
        <v/>
      </c>
      <c r="H956" s="14" t="str">
        <f aca="false">IFERROR(INDEX('Fault Master'!$B$5:$B$104,MATCH(G956,'Fault Master'!$A$5:$A$104,0)),"")</f>
        <v/>
      </c>
      <c r="I956" s="14" t="str">
        <f aca="false">IFERROR(INDEX('Fault Master'!$C$5:$C$104,MATCH(G956,'Fault Master'!$A$5:$A$104,0)),"")</f>
        <v/>
      </c>
      <c r="M956" s="14" t="str">
        <f aca="false">IFERROR(INDEX('Fault Master'!$D$5:$D$104,MATCH(G956,'Fault Master'!$A$5:$A$104,0)),"")</f>
        <v/>
      </c>
    </row>
    <row r="957" customFormat="false" ht="15" hidden="false" customHeight="true" outlineLevel="0" collapsed="false">
      <c r="A957" s="1" t="n">
        <v>952</v>
      </c>
      <c r="B957" s="13"/>
      <c r="F957" s="14" t="str">
        <f aca="false">IFERROR(INDEX('Operator Master'!$B$5:$B$504,MATCH(E957,'Operator Master'!$A$5:$A$504,0)),"")</f>
        <v/>
      </c>
      <c r="H957" s="14" t="str">
        <f aca="false">IFERROR(INDEX('Fault Master'!$B$5:$B$104,MATCH(G957,'Fault Master'!$A$5:$A$104,0)),"")</f>
        <v/>
      </c>
      <c r="I957" s="14" t="str">
        <f aca="false">IFERROR(INDEX('Fault Master'!$C$5:$C$104,MATCH(G957,'Fault Master'!$A$5:$A$104,0)),"")</f>
        <v/>
      </c>
      <c r="M957" s="14" t="str">
        <f aca="false">IFERROR(INDEX('Fault Master'!$D$5:$D$104,MATCH(G957,'Fault Master'!$A$5:$A$104,0)),"")</f>
        <v/>
      </c>
    </row>
    <row r="958" customFormat="false" ht="15" hidden="false" customHeight="true" outlineLevel="0" collapsed="false">
      <c r="A958" s="1" t="n">
        <v>953</v>
      </c>
      <c r="B958" s="13"/>
      <c r="F958" s="14" t="str">
        <f aca="false">IFERROR(INDEX('Operator Master'!$B$5:$B$504,MATCH(E958,'Operator Master'!$A$5:$A$504,0)),"")</f>
        <v/>
      </c>
      <c r="H958" s="14" t="str">
        <f aca="false">IFERROR(INDEX('Fault Master'!$B$5:$B$104,MATCH(G958,'Fault Master'!$A$5:$A$104,0)),"")</f>
        <v/>
      </c>
      <c r="I958" s="14" t="str">
        <f aca="false">IFERROR(INDEX('Fault Master'!$C$5:$C$104,MATCH(G958,'Fault Master'!$A$5:$A$104,0)),"")</f>
        <v/>
      </c>
      <c r="M958" s="14" t="str">
        <f aca="false">IFERROR(INDEX('Fault Master'!$D$5:$D$104,MATCH(G958,'Fault Master'!$A$5:$A$104,0)),"")</f>
        <v/>
      </c>
    </row>
    <row r="959" customFormat="false" ht="15" hidden="false" customHeight="true" outlineLevel="0" collapsed="false">
      <c r="A959" s="1" t="n">
        <v>954</v>
      </c>
      <c r="B959" s="13"/>
      <c r="F959" s="14" t="str">
        <f aca="false">IFERROR(INDEX('Operator Master'!$B$5:$B$504,MATCH(E959,'Operator Master'!$A$5:$A$504,0)),"")</f>
        <v/>
      </c>
      <c r="H959" s="14" t="str">
        <f aca="false">IFERROR(INDEX('Fault Master'!$B$5:$B$104,MATCH(G959,'Fault Master'!$A$5:$A$104,0)),"")</f>
        <v/>
      </c>
      <c r="I959" s="14" t="str">
        <f aca="false">IFERROR(INDEX('Fault Master'!$C$5:$C$104,MATCH(G959,'Fault Master'!$A$5:$A$104,0)),"")</f>
        <v/>
      </c>
      <c r="M959" s="14" t="str">
        <f aca="false">IFERROR(INDEX('Fault Master'!$D$5:$D$104,MATCH(G959,'Fault Master'!$A$5:$A$104,0)),"")</f>
        <v/>
      </c>
    </row>
    <row r="960" customFormat="false" ht="15" hidden="false" customHeight="true" outlineLevel="0" collapsed="false">
      <c r="A960" s="1" t="n">
        <v>955</v>
      </c>
      <c r="B960" s="13"/>
      <c r="F960" s="14" t="str">
        <f aca="false">IFERROR(INDEX('Operator Master'!$B$5:$B$504,MATCH(E960,'Operator Master'!$A$5:$A$504,0)),"")</f>
        <v/>
      </c>
      <c r="H960" s="14" t="str">
        <f aca="false">IFERROR(INDEX('Fault Master'!$B$5:$B$104,MATCH(G960,'Fault Master'!$A$5:$A$104,0)),"")</f>
        <v/>
      </c>
      <c r="I960" s="14" t="str">
        <f aca="false">IFERROR(INDEX('Fault Master'!$C$5:$C$104,MATCH(G960,'Fault Master'!$A$5:$A$104,0)),"")</f>
        <v/>
      </c>
      <c r="M960" s="14" t="str">
        <f aca="false">IFERROR(INDEX('Fault Master'!$D$5:$D$104,MATCH(G960,'Fault Master'!$A$5:$A$104,0)),"")</f>
        <v/>
      </c>
    </row>
    <row r="961" customFormat="false" ht="15" hidden="false" customHeight="true" outlineLevel="0" collapsed="false">
      <c r="A961" s="1" t="n">
        <v>956</v>
      </c>
      <c r="B961" s="13"/>
      <c r="F961" s="14" t="str">
        <f aca="false">IFERROR(INDEX('Operator Master'!$B$5:$B$504,MATCH(E961,'Operator Master'!$A$5:$A$504,0)),"")</f>
        <v/>
      </c>
      <c r="H961" s="14" t="str">
        <f aca="false">IFERROR(INDEX('Fault Master'!$B$5:$B$104,MATCH(G961,'Fault Master'!$A$5:$A$104,0)),"")</f>
        <v/>
      </c>
      <c r="I961" s="14" t="str">
        <f aca="false">IFERROR(INDEX('Fault Master'!$C$5:$C$104,MATCH(G961,'Fault Master'!$A$5:$A$104,0)),"")</f>
        <v/>
      </c>
      <c r="M961" s="14" t="str">
        <f aca="false">IFERROR(INDEX('Fault Master'!$D$5:$D$104,MATCH(G961,'Fault Master'!$A$5:$A$104,0)),"")</f>
        <v/>
      </c>
    </row>
    <row r="962" customFormat="false" ht="15" hidden="false" customHeight="true" outlineLevel="0" collapsed="false">
      <c r="A962" s="1" t="n">
        <v>957</v>
      </c>
      <c r="B962" s="13"/>
      <c r="F962" s="14" t="str">
        <f aca="false">IFERROR(INDEX('Operator Master'!$B$5:$B$504,MATCH(E962,'Operator Master'!$A$5:$A$504,0)),"")</f>
        <v/>
      </c>
      <c r="H962" s="14" t="str">
        <f aca="false">IFERROR(INDEX('Fault Master'!$B$5:$B$104,MATCH(G962,'Fault Master'!$A$5:$A$104,0)),"")</f>
        <v/>
      </c>
      <c r="I962" s="14" t="str">
        <f aca="false">IFERROR(INDEX('Fault Master'!$C$5:$C$104,MATCH(G962,'Fault Master'!$A$5:$A$104,0)),"")</f>
        <v/>
      </c>
      <c r="M962" s="14" t="str">
        <f aca="false">IFERROR(INDEX('Fault Master'!$D$5:$D$104,MATCH(G962,'Fault Master'!$A$5:$A$104,0)),"")</f>
        <v/>
      </c>
    </row>
    <row r="963" customFormat="false" ht="15" hidden="false" customHeight="true" outlineLevel="0" collapsed="false">
      <c r="A963" s="1" t="n">
        <v>958</v>
      </c>
      <c r="B963" s="13"/>
      <c r="F963" s="14" t="str">
        <f aca="false">IFERROR(INDEX('Operator Master'!$B$5:$B$504,MATCH(E963,'Operator Master'!$A$5:$A$504,0)),"")</f>
        <v/>
      </c>
      <c r="H963" s="14" t="str">
        <f aca="false">IFERROR(INDEX('Fault Master'!$B$5:$B$104,MATCH(G963,'Fault Master'!$A$5:$A$104,0)),"")</f>
        <v/>
      </c>
      <c r="I963" s="14" t="str">
        <f aca="false">IFERROR(INDEX('Fault Master'!$C$5:$C$104,MATCH(G963,'Fault Master'!$A$5:$A$104,0)),"")</f>
        <v/>
      </c>
      <c r="M963" s="14" t="str">
        <f aca="false">IFERROR(INDEX('Fault Master'!$D$5:$D$104,MATCH(G963,'Fault Master'!$A$5:$A$104,0)),"")</f>
        <v/>
      </c>
    </row>
    <row r="964" customFormat="false" ht="15" hidden="false" customHeight="true" outlineLevel="0" collapsed="false">
      <c r="A964" s="1" t="n">
        <v>959</v>
      </c>
      <c r="B964" s="13"/>
      <c r="F964" s="14" t="str">
        <f aca="false">IFERROR(INDEX('Operator Master'!$B$5:$B$504,MATCH(E964,'Operator Master'!$A$5:$A$504,0)),"")</f>
        <v/>
      </c>
      <c r="H964" s="14" t="str">
        <f aca="false">IFERROR(INDEX('Fault Master'!$B$5:$B$104,MATCH(G964,'Fault Master'!$A$5:$A$104,0)),"")</f>
        <v/>
      </c>
      <c r="I964" s="14" t="str">
        <f aca="false">IFERROR(INDEX('Fault Master'!$C$5:$C$104,MATCH(G964,'Fault Master'!$A$5:$A$104,0)),"")</f>
        <v/>
      </c>
      <c r="M964" s="14" t="str">
        <f aca="false">IFERROR(INDEX('Fault Master'!$D$5:$D$104,MATCH(G964,'Fault Master'!$A$5:$A$104,0)),"")</f>
        <v/>
      </c>
    </row>
    <row r="965" customFormat="false" ht="15" hidden="false" customHeight="true" outlineLevel="0" collapsed="false">
      <c r="A965" s="1" t="n">
        <v>960</v>
      </c>
      <c r="B965" s="13"/>
      <c r="F965" s="14" t="str">
        <f aca="false">IFERROR(INDEX('Operator Master'!$B$5:$B$504,MATCH(E965,'Operator Master'!$A$5:$A$504,0)),"")</f>
        <v/>
      </c>
      <c r="H965" s="14" t="str">
        <f aca="false">IFERROR(INDEX('Fault Master'!$B$5:$B$104,MATCH(G965,'Fault Master'!$A$5:$A$104,0)),"")</f>
        <v/>
      </c>
      <c r="I965" s="14" t="str">
        <f aca="false">IFERROR(INDEX('Fault Master'!$C$5:$C$104,MATCH(G965,'Fault Master'!$A$5:$A$104,0)),"")</f>
        <v/>
      </c>
      <c r="M965" s="14" t="str">
        <f aca="false">IFERROR(INDEX('Fault Master'!$D$5:$D$104,MATCH(G965,'Fault Master'!$A$5:$A$104,0)),"")</f>
        <v/>
      </c>
    </row>
    <row r="966" customFormat="false" ht="15" hidden="false" customHeight="true" outlineLevel="0" collapsed="false">
      <c r="A966" s="1" t="n">
        <v>961</v>
      </c>
      <c r="B966" s="13"/>
      <c r="F966" s="14" t="str">
        <f aca="false">IFERROR(INDEX('Operator Master'!$B$5:$B$504,MATCH(E966,'Operator Master'!$A$5:$A$504,0)),"")</f>
        <v/>
      </c>
      <c r="H966" s="14" t="str">
        <f aca="false">IFERROR(INDEX('Fault Master'!$B$5:$B$104,MATCH(G966,'Fault Master'!$A$5:$A$104,0)),"")</f>
        <v/>
      </c>
      <c r="I966" s="14" t="str">
        <f aca="false">IFERROR(INDEX('Fault Master'!$C$5:$C$104,MATCH(G966,'Fault Master'!$A$5:$A$104,0)),"")</f>
        <v/>
      </c>
      <c r="M966" s="14" t="str">
        <f aca="false">IFERROR(INDEX('Fault Master'!$D$5:$D$104,MATCH(G966,'Fault Master'!$A$5:$A$104,0)),"")</f>
        <v/>
      </c>
    </row>
    <row r="967" customFormat="false" ht="15" hidden="false" customHeight="true" outlineLevel="0" collapsed="false">
      <c r="A967" s="1" t="n">
        <v>962</v>
      </c>
      <c r="B967" s="13"/>
      <c r="F967" s="14" t="str">
        <f aca="false">IFERROR(INDEX('Operator Master'!$B$5:$B$504,MATCH(E967,'Operator Master'!$A$5:$A$504,0)),"")</f>
        <v/>
      </c>
      <c r="H967" s="14" t="str">
        <f aca="false">IFERROR(INDEX('Fault Master'!$B$5:$B$104,MATCH(G967,'Fault Master'!$A$5:$A$104,0)),"")</f>
        <v/>
      </c>
      <c r="I967" s="14" t="str">
        <f aca="false">IFERROR(INDEX('Fault Master'!$C$5:$C$104,MATCH(G967,'Fault Master'!$A$5:$A$104,0)),"")</f>
        <v/>
      </c>
      <c r="M967" s="14" t="str">
        <f aca="false">IFERROR(INDEX('Fault Master'!$D$5:$D$104,MATCH(G967,'Fault Master'!$A$5:$A$104,0)),"")</f>
        <v/>
      </c>
    </row>
    <row r="968" customFormat="false" ht="15" hidden="false" customHeight="true" outlineLevel="0" collapsed="false">
      <c r="A968" s="1" t="n">
        <v>963</v>
      </c>
      <c r="B968" s="13"/>
      <c r="F968" s="14" t="str">
        <f aca="false">IFERROR(INDEX('Operator Master'!$B$5:$B$504,MATCH(E968,'Operator Master'!$A$5:$A$504,0)),"")</f>
        <v/>
      </c>
      <c r="H968" s="14" t="str">
        <f aca="false">IFERROR(INDEX('Fault Master'!$B$5:$B$104,MATCH(G968,'Fault Master'!$A$5:$A$104,0)),"")</f>
        <v/>
      </c>
      <c r="I968" s="14" t="str">
        <f aca="false">IFERROR(INDEX('Fault Master'!$C$5:$C$104,MATCH(G968,'Fault Master'!$A$5:$A$104,0)),"")</f>
        <v/>
      </c>
      <c r="M968" s="14" t="str">
        <f aca="false">IFERROR(INDEX('Fault Master'!$D$5:$D$104,MATCH(G968,'Fault Master'!$A$5:$A$104,0)),"")</f>
        <v/>
      </c>
    </row>
    <row r="969" customFormat="false" ht="15" hidden="false" customHeight="true" outlineLevel="0" collapsed="false">
      <c r="A969" s="1" t="n">
        <v>964</v>
      </c>
      <c r="B969" s="13"/>
      <c r="F969" s="14" t="str">
        <f aca="false">IFERROR(INDEX('Operator Master'!$B$5:$B$504,MATCH(E969,'Operator Master'!$A$5:$A$504,0)),"")</f>
        <v/>
      </c>
      <c r="H969" s="14" t="str">
        <f aca="false">IFERROR(INDEX('Fault Master'!$B$5:$B$104,MATCH(G969,'Fault Master'!$A$5:$A$104,0)),"")</f>
        <v/>
      </c>
      <c r="I969" s="14" t="str">
        <f aca="false">IFERROR(INDEX('Fault Master'!$C$5:$C$104,MATCH(G969,'Fault Master'!$A$5:$A$104,0)),"")</f>
        <v/>
      </c>
      <c r="M969" s="14" t="str">
        <f aca="false">IFERROR(INDEX('Fault Master'!$D$5:$D$104,MATCH(G969,'Fault Master'!$A$5:$A$104,0)),"")</f>
        <v/>
      </c>
    </row>
    <row r="970" customFormat="false" ht="15" hidden="false" customHeight="true" outlineLevel="0" collapsed="false">
      <c r="A970" s="1" t="n">
        <v>965</v>
      </c>
      <c r="B970" s="13"/>
      <c r="F970" s="14" t="str">
        <f aca="false">IFERROR(INDEX('Operator Master'!$B$5:$B$504,MATCH(E970,'Operator Master'!$A$5:$A$504,0)),"")</f>
        <v/>
      </c>
      <c r="H970" s="14" t="str">
        <f aca="false">IFERROR(INDEX('Fault Master'!$B$5:$B$104,MATCH(G970,'Fault Master'!$A$5:$A$104,0)),"")</f>
        <v/>
      </c>
      <c r="I970" s="14" t="str">
        <f aca="false">IFERROR(INDEX('Fault Master'!$C$5:$C$104,MATCH(G970,'Fault Master'!$A$5:$A$104,0)),"")</f>
        <v/>
      </c>
      <c r="M970" s="14" t="str">
        <f aca="false">IFERROR(INDEX('Fault Master'!$D$5:$D$104,MATCH(G970,'Fault Master'!$A$5:$A$104,0)),"")</f>
        <v/>
      </c>
    </row>
    <row r="971" customFormat="false" ht="15" hidden="false" customHeight="true" outlineLevel="0" collapsed="false">
      <c r="A971" s="1" t="n">
        <v>966</v>
      </c>
      <c r="B971" s="13"/>
      <c r="F971" s="14" t="str">
        <f aca="false">IFERROR(INDEX('Operator Master'!$B$5:$B$504,MATCH(E971,'Operator Master'!$A$5:$A$504,0)),"")</f>
        <v/>
      </c>
      <c r="H971" s="14" t="str">
        <f aca="false">IFERROR(INDEX('Fault Master'!$B$5:$B$104,MATCH(G971,'Fault Master'!$A$5:$A$104,0)),"")</f>
        <v/>
      </c>
      <c r="I971" s="14" t="str">
        <f aca="false">IFERROR(INDEX('Fault Master'!$C$5:$C$104,MATCH(G971,'Fault Master'!$A$5:$A$104,0)),"")</f>
        <v/>
      </c>
      <c r="M971" s="14" t="str">
        <f aca="false">IFERROR(INDEX('Fault Master'!$D$5:$D$104,MATCH(G971,'Fault Master'!$A$5:$A$104,0)),"")</f>
        <v/>
      </c>
    </row>
    <row r="972" customFormat="false" ht="15" hidden="false" customHeight="true" outlineLevel="0" collapsed="false">
      <c r="A972" s="1" t="n">
        <v>967</v>
      </c>
      <c r="B972" s="13"/>
      <c r="F972" s="14" t="str">
        <f aca="false">IFERROR(INDEX('Operator Master'!$B$5:$B$504,MATCH(E972,'Operator Master'!$A$5:$A$504,0)),"")</f>
        <v/>
      </c>
      <c r="H972" s="14" t="str">
        <f aca="false">IFERROR(INDEX('Fault Master'!$B$5:$B$104,MATCH(G972,'Fault Master'!$A$5:$A$104,0)),"")</f>
        <v/>
      </c>
      <c r="I972" s="14" t="str">
        <f aca="false">IFERROR(INDEX('Fault Master'!$C$5:$C$104,MATCH(G972,'Fault Master'!$A$5:$A$104,0)),"")</f>
        <v/>
      </c>
      <c r="M972" s="14" t="str">
        <f aca="false">IFERROR(INDEX('Fault Master'!$D$5:$D$104,MATCH(G972,'Fault Master'!$A$5:$A$104,0)),"")</f>
        <v/>
      </c>
    </row>
    <row r="973" customFormat="false" ht="15" hidden="false" customHeight="true" outlineLevel="0" collapsed="false">
      <c r="A973" s="1" t="n">
        <v>968</v>
      </c>
      <c r="B973" s="13"/>
      <c r="F973" s="14" t="str">
        <f aca="false">IFERROR(INDEX('Operator Master'!$B$5:$B$504,MATCH(E973,'Operator Master'!$A$5:$A$504,0)),"")</f>
        <v/>
      </c>
      <c r="H973" s="14" t="str">
        <f aca="false">IFERROR(INDEX('Fault Master'!$B$5:$B$104,MATCH(G973,'Fault Master'!$A$5:$A$104,0)),"")</f>
        <v/>
      </c>
      <c r="I973" s="14" t="str">
        <f aca="false">IFERROR(INDEX('Fault Master'!$C$5:$C$104,MATCH(G973,'Fault Master'!$A$5:$A$104,0)),"")</f>
        <v/>
      </c>
      <c r="M973" s="14" t="str">
        <f aca="false">IFERROR(INDEX('Fault Master'!$D$5:$D$104,MATCH(G973,'Fault Master'!$A$5:$A$104,0)),"")</f>
        <v/>
      </c>
    </row>
    <row r="974" customFormat="false" ht="15" hidden="false" customHeight="true" outlineLevel="0" collapsed="false">
      <c r="A974" s="1" t="n">
        <v>969</v>
      </c>
      <c r="B974" s="13"/>
      <c r="F974" s="14" t="str">
        <f aca="false">IFERROR(INDEX('Operator Master'!$B$5:$B$504,MATCH(E974,'Operator Master'!$A$5:$A$504,0)),"")</f>
        <v/>
      </c>
      <c r="H974" s="14" t="str">
        <f aca="false">IFERROR(INDEX('Fault Master'!$B$5:$B$104,MATCH(G974,'Fault Master'!$A$5:$A$104,0)),"")</f>
        <v/>
      </c>
      <c r="I974" s="14" t="str">
        <f aca="false">IFERROR(INDEX('Fault Master'!$C$5:$C$104,MATCH(G974,'Fault Master'!$A$5:$A$104,0)),"")</f>
        <v/>
      </c>
      <c r="M974" s="14" t="str">
        <f aca="false">IFERROR(INDEX('Fault Master'!$D$5:$D$104,MATCH(G974,'Fault Master'!$A$5:$A$104,0)),"")</f>
        <v/>
      </c>
    </row>
    <row r="975" customFormat="false" ht="15" hidden="false" customHeight="true" outlineLevel="0" collapsed="false">
      <c r="A975" s="1" t="n">
        <v>970</v>
      </c>
      <c r="B975" s="13"/>
      <c r="F975" s="14" t="str">
        <f aca="false">IFERROR(INDEX('Operator Master'!$B$5:$B$504,MATCH(E975,'Operator Master'!$A$5:$A$504,0)),"")</f>
        <v/>
      </c>
      <c r="H975" s="14" t="str">
        <f aca="false">IFERROR(INDEX('Fault Master'!$B$5:$B$104,MATCH(G975,'Fault Master'!$A$5:$A$104,0)),"")</f>
        <v/>
      </c>
      <c r="I975" s="14" t="str">
        <f aca="false">IFERROR(INDEX('Fault Master'!$C$5:$C$104,MATCH(G975,'Fault Master'!$A$5:$A$104,0)),"")</f>
        <v/>
      </c>
      <c r="M975" s="14" t="str">
        <f aca="false">IFERROR(INDEX('Fault Master'!$D$5:$D$104,MATCH(G975,'Fault Master'!$A$5:$A$104,0)),"")</f>
        <v/>
      </c>
    </row>
    <row r="976" customFormat="false" ht="15" hidden="false" customHeight="true" outlineLevel="0" collapsed="false">
      <c r="A976" s="1" t="n">
        <v>971</v>
      </c>
      <c r="B976" s="13"/>
      <c r="F976" s="14" t="str">
        <f aca="false">IFERROR(INDEX('Operator Master'!$B$5:$B$504,MATCH(E976,'Operator Master'!$A$5:$A$504,0)),"")</f>
        <v/>
      </c>
      <c r="H976" s="14" t="str">
        <f aca="false">IFERROR(INDEX('Fault Master'!$B$5:$B$104,MATCH(G976,'Fault Master'!$A$5:$A$104,0)),"")</f>
        <v/>
      </c>
      <c r="I976" s="14" t="str">
        <f aca="false">IFERROR(INDEX('Fault Master'!$C$5:$C$104,MATCH(G976,'Fault Master'!$A$5:$A$104,0)),"")</f>
        <v/>
      </c>
      <c r="M976" s="14" t="str">
        <f aca="false">IFERROR(INDEX('Fault Master'!$D$5:$D$104,MATCH(G976,'Fault Master'!$A$5:$A$104,0)),"")</f>
        <v/>
      </c>
    </row>
    <row r="977" customFormat="false" ht="15" hidden="false" customHeight="true" outlineLevel="0" collapsed="false">
      <c r="A977" s="1" t="n">
        <v>972</v>
      </c>
      <c r="B977" s="13"/>
      <c r="F977" s="14" t="str">
        <f aca="false">IFERROR(INDEX('Operator Master'!$B$5:$B$504,MATCH(E977,'Operator Master'!$A$5:$A$504,0)),"")</f>
        <v/>
      </c>
      <c r="H977" s="14" t="str">
        <f aca="false">IFERROR(INDEX('Fault Master'!$B$5:$B$104,MATCH(G977,'Fault Master'!$A$5:$A$104,0)),"")</f>
        <v/>
      </c>
      <c r="I977" s="14" t="str">
        <f aca="false">IFERROR(INDEX('Fault Master'!$C$5:$C$104,MATCH(G977,'Fault Master'!$A$5:$A$104,0)),"")</f>
        <v/>
      </c>
      <c r="M977" s="14" t="str">
        <f aca="false">IFERROR(INDEX('Fault Master'!$D$5:$D$104,MATCH(G977,'Fault Master'!$A$5:$A$104,0)),"")</f>
        <v/>
      </c>
    </row>
    <row r="978" customFormat="false" ht="15" hidden="false" customHeight="true" outlineLevel="0" collapsed="false">
      <c r="A978" s="1" t="n">
        <v>973</v>
      </c>
      <c r="B978" s="13"/>
      <c r="F978" s="14" t="str">
        <f aca="false">IFERROR(INDEX('Operator Master'!$B$5:$B$504,MATCH(E978,'Operator Master'!$A$5:$A$504,0)),"")</f>
        <v/>
      </c>
      <c r="H978" s="14" t="str">
        <f aca="false">IFERROR(INDEX('Fault Master'!$B$5:$B$104,MATCH(G978,'Fault Master'!$A$5:$A$104,0)),"")</f>
        <v/>
      </c>
      <c r="I978" s="14" t="str">
        <f aca="false">IFERROR(INDEX('Fault Master'!$C$5:$C$104,MATCH(G978,'Fault Master'!$A$5:$A$104,0)),"")</f>
        <v/>
      </c>
      <c r="M978" s="14" t="str">
        <f aca="false">IFERROR(INDEX('Fault Master'!$D$5:$D$104,MATCH(G978,'Fault Master'!$A$5:$A$104,0)),"")</f>
        <v/>
      </c>
    </row>
    <row r="979" customFormat="false" ht="15" hidden="false" customHeight="true" outlineLevel="0" collapsed="false">
      <c r="A979" s="1" t="n">
        <v>974</v>
      </c>
      <c r="B979" s="13"/>
      <c r="F979" s="14" t="str">
        <f aca="false">IFERROR(INDEX('Operator Master'!$B$5:$B$504,MATCH(E979,'Operator Master'!$A$5:$A$504,0)),"")</f>
        <v/>
      </c>
      <c r="H979" s="14" t="str">
        <f aca="false">IFERROR(INDEX('Fault Master'!$B$5:$B$104,MATCH(G979,'Fault Master'!$A$5:$A$104,0)),"")</f>
        <v/>
      </c>
      <c r="I979" s="14" t="str">
        <f aca="false">IFERROR(INDEX('Fault Master'!$C$5:$C$104,MATCH(G979,'Fault Master'!$A$5:$A$104,0)),"")</f>
        <v/>
      </c>
      <c r="M979" s="14" t="str">
        <f aca="false">IFERROR(INDEX('Fault Master'!$D$5:$D$104,MATCH(G979,'Fault Master'!$A$5:$A$104,0)),"")</f>
        <v/>
      </c>
    </row>
    <row r="980" customFormat="false" ht="15" hidden="false" customHeight="true" outlineLevel="0" collapsed="false">
      <c r="A980" s="1" t="n">
        <v>975</v>
      </c>
      <c r="B980" s="13"/>
      <c r="F980" s="14" t="str">
        <f aca="false">IFERROR(INDEX('Operator Master'!$B$5:$B$504,MATCH(E980,'Operator Master'!$A$5:$A$504,0)),"")</f>
        <v/>
      </c>
      <c r="H980" s="14" t="str">
        <f aca="false">IFERROR(INDEX('Fault Master'!$B$5:$B$104,MATCH(G980,'Fault Master'!$A$5:$A$104,0)),"")</f>
        <v/>
      </c>
      <c r="I980" s="14" t="str">
        <f aca="false">IFERROR(INDEX('Fault Master'!$C$5:$C$104,MATCH(G980,'Fault Master'!$A$5:$A$104,0)),"")</f>
        <v/>
      </c>
      <c r="M980" s="14" t="str">
        <f aca="false">IFERROR(INDEX('Fault Master'!$D$5:$D$104,MATCH(G980,'Fault Master'!$A$5:$A$104,0)),"")</f>
        <v/>
      </c>
    </row>
    <row r="981" customFormat="false" ht="15" hidden="false" customHeight="true" outlineLevel="0" collapsed="false">
      <c r="A981" s="1" t="n">
        <v>976</v>
      </c>
      <c r="B981" s="13"/>
      <c r="F981" s="14" t="str">
        <f aca="false">IFERROR(INDEX('Operator Master'!$B$5:$B$504,MATCH(E981,'Operator Master'!$A$5:$A$504,0)),"")</f>
        <v/>
      </c>
      <c r="H981" s="14" t="str">
        <f aca="false">IFERROR(INDEX('Fault Master'!$B$5:$B$104,MATCH(G981,'Fault Master'!$A$5:$A$104,0)),"")</f>
        <v/>
      </c>
      <c r="I981" s="14" t="str">
        <f aca="false">IFERROR(INDEX('Fault Master'!$C$5:$C$104,MATCH(G981,'Fault Master'!$A$5:$A$104,0)),"")</f>
        <v/>
      </c>
      <c r="M981" s="14" t="str">
        <f aca="false">IFERROR(INDEX('Fault Master'!$D$5:$D$104,MATCH(G981,'Fault Master'!$A$5:$A$104,0)),"")</f>
        <v/>
      </c>
    </row>
    <row r="982" customFormat="false" ht="15" hidden="false" customHeight="true" outlineLevel="0" collapsed="false">
      <c r="A982" s="1" t="n">
        <v>977</v>
      </c>
      <c r="B982" s="13"/>
      <c r="F982" s="14" t="str">
        <f aca="false">IFERROR(INDEX('Operator Master'!$B$5:$B$504,MATCH(E982,'Operator Master'!$A$5:$A$504,0)),"")</f>
        <v/>
      </c>
      <c r="H982" s="14" t="str">
        <f aca="false">IFERROR(INDEX('Fault Master'!$B$5:$B$104,MATCH(G982,'Fault Master'!$A$5:$A$104,0)),"")</f>
        <v/>
      </c>
      <c r="I982" s="14" t="str">
        <f aca="false">IFERROR(INDEX('Fault Master'!$C$5:$C$104,MATCH(G982,'Fault Master'!$A$5:$A$104,0)),"")</f>
        <v/>
      </c>
      <c r="M982" s="14" t="str">
        <f aca="false">IFERROR(INDEX('Fault Master'!$D$5:$D$104,MATCH(G982,'Fault Master'!$A$5:$A$104,0)),"")</f>
        <v/>
      </c>
    </row>
    <row r="983" customFormat="false" ht="15" hidden="false" customHeight="true" outlineLevel="0" collapsed="false">
      <c r="A983" s="1" t="n">
        <v>978</v>
      </c>
      <c r="B983" s="13"/>
      <c r="F983" s="14" t="str">
        <f aca="false">IFERROR(INDEX('Operator Master'!$B$5:$B$504,MATCH(E983,'Operator Master'!$A$5:$A$504,0)),"")</f>
        <v/>
      </c>
      <c r="H983" s="14" t="str">
        <f aca="false">IFERROR(INDEX('Fault Master'!$B$5:$B$104,MATCH(G983,'Fault Master'!$A$5:$A$104,0)),"")</f>
        <v/>
      </c>
      <c r="I983" s="14" t="str">
        <f aca="false">IFERROR(INDEX('Fault Master'!$C$5:$C$104,MATCH(G983,'Fault Master'!$A$5:$A$104,0)),"")</f>
        <v/>
      </c>
      <c r="M983" s="14" t="str">
        <f aca="false">IFERROR(INDEX('Fault Master'!$D$5:$D$104,MATCH(G983,'Fault Master'!$A$5:$A$104,0)),"")</f>
        <v/>
      </c>
    </row>
    <row r="984" customFormat="false" ht="15" hidden="false" customHeight="true" outlineLevel="0" collapsed="false">
      <c r="A984" s="1" t="n">
        <v>979</v>
      </c>
      <c r="B984" s="13"/>
      <c r="F984" s="14" t="str">
        <f aca="false">IFERROR(INDEX('Operator Master'!$B$5:$B$504,MATCH(E984,'Operator Master'!$A$5:$A$504,0)),"")</f>
        <v/>
      </c>
      <c r="H984" s="14" t="str">
        <f aca="false">IFERROR(INDEX('Fault Master'!$B$5:$B$104,MATCH(G984,'Fault Master'!$A$5:$A$104,0)),"")</f>
        <v/>
      </c>
      <c r="I984" s="14" t="str">
        <f aca="false">IFERROR(INDEX('Fault Master'!$C$5:$C$104,MATCH(G984,'Fault Master'!$A$5:$A$104,0)),"")</f>
        <v/>
      </c>
      <c r="M984" s="14" t="str">
        <f aca="false">IFERROR(INDEX('Fault Master'!$D$5:$D$104,MATCH(G984,'Fault Master'!$A$5:$A$104,0)),"")</f>
        <v/>
      </c>
    </row>
    <row r="985" customFormat="false" ht="15" hidden="false" customHeight="true" outlineLevel="0" collapsed="false">
      <c r="A985" s="1" t="n">
        <v>980</v>
      </c>
      <c r="B985" s="13"/>
      <c r="F985" s="14" t="str">
        <f aca="false">IFERROR(INDEX('Operator Master'!$B$5:$B$504,MATCH(E985,'Operator Master'!$A$5:$A$504,0)),"")</f>
        <v/>
      </c>
      <c r="H985" s="14" t="str">
        <f aca="false">IFERROR(INDEX('Fault Master'!$B$5:$B$104,MATCH(G985,'Fault Master'!$A$5:$A$104,0)),"")</f>
        <v/>
      </c>
      <c r="I985" s="14" t="str">
        <f aca="false">IFERROR(INDEX('Fault Master'!$C$5:$C$104,MATCH(G985,'Fault Master'!$A$5:$A$104,0)),"")</f>
        <v/>
      </c>
      <c r="M985" s="14" t="str">
        <f aca="false">IFERROR(INDEX('Fault Master'!$D$5:$D$104,MATCH(G985,'Fault Master'!$A$5:$A$104,0)),"")</f>
        <v/>
      </c>
    </row>
    <row r="986" customFormat="false" ht="15" hidden="false" customHeight="true" outlineLevel="0" collapsed="false">
      <c r="A986" s="1" t="n">
        <v>981</v>
      </c>
      <c r="B986" s="13"/>
      <c r="F986" s="14" t="str">
        <f aca="false">IFERROR(INDEX('Operator Master'!$B$5:$B$504,MATCH(E986,'Operator Master'!$A$5:$A$504,0)),"")</f>
        <v/>
      </c>
      <c r="H986" s="14" t="str">
        <f aca="false">IFERROR(INDEX('Fault Master'!$B$5:$B$104,MATCH(G986,'Fault Master'!$A$5:$A$104,0)),"")</f>
        <v/>
      </c>
      <c r="I986" s="14" t="str">
        <f aca="false">IFERROR(INDEX('Fault Master'!$C$5:$C$104,MATCH(G986,'Fault Master'!$A$5:$A$104,0)),"")</f>
        <v/>
      </c>
      <c r="M986" s="14" t="str">
        <f aca="false">IFERROR(INDEX('Fault Master'!$D$5:$D$104,MATCH(G986,'Fault Master'!$A$5:$A$104,0)),"")</f>
        <v/>
      </c>
    </row>
    <row r="987" customFormat="false" ht="15" hidden="false" customHeight="true" outlineLevel="0" collapsed="false">
      <c r="A987" s="1" t="n">
        <v>982</v>
      </c>
      <c r="B987" s="13"/>
      <c r="F987" s="14" t="str">
        <f aca="false">IFERROR(INDEX('Operator Master'!$B$5:$B$504,MATCH(E987,'Operator Master'!$A$5:$A$504,0)),"")</f>
        <v/>
      </c>
      <c r="H987" s="14" t="str">
        <f aca="false">IFERROR(INDEX('Fault Master'!$B$5:$B$104,MATCH(G987,'Fault Master'!$A$5:$A$104,0)),"")</f>
        <v/>
      </c>
      <c r="I987" s="14" t="str">
        <f aca="false">IFERROR(INDEX('Fault Master'!$C$5:$C$104,MATCH(G987,'Fault Master'!$A$5:$A$104,0)),"")</f>
        <v/>
      </c>
      <c r="M987" s="14" t="str">
        <f aca="false">IFERROR(INDEX('Fault Master'!$D$5:$D$104,MATCH(G987,'Fault Master'!$A$5:$A$104,0)),"")</f>
        <v/>
      </c>
    </row>
    <row r="988" customFormat="false" ht="15" hidden="false" customHeight="true" outlineLevel="0" collapsed="false">
      <c r="A988" s="1" t="n">
        <v>983</v>
      </c>
      <c r="B988" s="13"/>
      <c r="F988" s="14" t="str">
        <f aca="false">IFERROR(INDEX('Operator Master'!$B$5:$B$504,MATCH(E988,'Operator Master'!$A$5:$A$504,0)),"")</f>
        <v/>
      </c>
      <c r="H988" s="14" t="str">
        <f aca="false">IFERROR(INDEX('Fault Master'!$B$5:$B$104,MATCH(G988,'Fault Master'!$A$5:$A$104,0)),"")</f>
        <v/>
      </c>
      <c r="I988" s="14" t="str">
        <f aca="false">IFERROR(INDEX('Fault Master'!$C$5:$C$104,MATCH(G988,'Fault Master'!$A$5:$A$104,0)),"")</f>
        <v/>
      </c>
      <c r="M988" s="14" t="str">
        <f aca="false">IFERROR(INDEX('Fault Master'!$D$5:$D$104,MATCH(G988,'Fault Master'!$A$5:$A$104,0)),"")</f>
        <v/>
      </c>
    </row>
    <row r="989" customFormat="false" ht="15" hidden="false" customHeight="true" outlineLevel="0" collapsed="false">
      <c r="A989" s="1" t="n">
        <v>984</v>
      </c>
      <c r="B989" s="13"/>
      <c r="F989" s="14" t="str">
        <f aca="false">IFERROR(INDEX('Operator Master'!$B$5:$B$504,MATCH(E989,'Operator Master'!$A$5:$A$504,0)),"")</f>
        <v/>
      </c>
      <c r="H989" s="14" t="str">
        <f aca="false">IFERROR(INDEX('Fault Master'!$B$5:$B$104,MATCH(G989,'Fault Master'!$A$5:$A$104,0)),"")</f>
        <v/>
      </c>
      <c r="I989" s="14" t="str">
        <f aca="false">IFERROR(INDEX('Fault Master'!$C$5:$C$104,MATCH(G989,'Fault Master'!$A$5:$A$104,0)),"")</f>
        <v/>
      </c>
      <c r="M989" s="14" t="str">
        <f aca="false">IFERROR(INDEX('Fault Master'!$D$5:$D$104,MATCH(G989,'Fault Master'!$A$5:$A$104,0)),"")</f>
        <v/>
      </c>
    </row>
    <row r="990" customFormat="false" ht="15" hidden="false" customHeight="true" outlineLevel="0" collapsed="false">
      <c r="A990" s="1" t="n">
        <v>985</v>
      </c>
      <c r="B990" s="13"/>
      <c r="F990" s="14" t="str">
        <f aca="false">IFERROR(INDEX('Operator Master'!$B$5:$B$504,MATCH(E990,'Operator Master'!$A$5:$A$504,0)),"")</f>
        <v/>
      </c>
      <c r="H990" s="14" t="str">
        <f aca="false">IFERROR(INDEX('Fault Master'!$B$5:$B$104,MATCH(G990,'Fault Master'!$A$5:$A$104,0)),"")</f>
        <v/>
      </c>
      <c r="I990" s="14" t="str">
        <f aca="false">IFERROR(INDEX('Fault Master'!$C$5:$C$104,MATCH(G990,'Fault Master'!$A$5:$A$104,0)),"")</f>
        <v/>
      </c>
      <c r="M990" s="14" t="str">
        <f aca="false">IFERROR(INDEX('Fault Master'!$D$5:$D$104,MATCH(G990,'Fault Master'!$A$5:$A$104,0)),"")</f>
        <v/>
      </c>
    </row>
    <row r="991" customFormat="false" ht="15" hidden="false" customHeight="true" outlineLevel="0" collapsed="false">
      <c r="A991" s="1" t="n">
        <v>986</v>
      </c>
      <c r="B991" s="13"/>
      <c r="F991" s="14" t="str">
        <f aca="false">IFERROR(INDEX('Operator Master'!$B$5:$B$504,MATCH(E991,'Operator Master'!$A$5:$A$504,0)),"")</f>
        <v/>
      </c>
      <c r="H991" s="14" t="str">
        <f aca="false">IFERROR(INDEX('Fault Master'!$B$5:$B$104,MATCH(G991,'Fault Master'!$A$5:$A$104,0)),"")</f>
        <v/>
      </c>
      <c r="I991" s="14" t="str">
        <f aca="false">IFERROR(INDEX('Fault Master'!$C$5:$C$104,MATCH(G991,'Fault Master'!$A$5:$A$104,0)),"")</f>
        <v/>
      </c>
      <c r="M991" s="14" t="str">
        <f aca="false">IFERROR(INDEX('Fault Master'!$D$5:$D$104,MATCH(G991,'Fault Master'!$A$5:$A$104,0)),"")</f>
        <v/>
      </c>
    </row>
    <row r="992" customFormat="false" ht="15" hidden="false" customHeight="true" outlineLevel="0" collapsed="false">
      <c r="A992" s="1" t="n">
        <v>987</v>
      </c>
      <c r="B992" s="13"/>
      <c r="F992" s="14" t="str">
        <f aca="false">IFERROR(INDEX('Operator Master'!$B$5:$B$504,MATCH(E992,'Operator Master'!$A$5:$A$504,0)),"")</f>
        <v/>
      </c>
      <c r="H992" s="14" t="str">
        <f aca="false">IFERROR(INDEX('Fault Master'!$B$5:$B$104,MATCH(G992,'Fault Master'!$A$5:$A$104,0)),"")</f>
        <v/>
      </c>
      <c r="I992" s="14" t="str">
        <f aca="false">IFERROR(INDEX('Fault Master'!$C$5:$C$104,MATCH(G992,'Fault Master'!$A$5:$A$104,0)),"")</f>
        <v/>
      </c>
      <c r="M992" s="14" t="str">
        <f aca="false">IFERROR(INDEX('Fault Master'!$D$5:$D$104,MATCH(G992,'Fault Master'!$A$5:$A$104,0)),"")</f>
        <v/>
      </c>
    </row>
    <row r="993" customFormat="false" ht="15" hidden="false" customHeight="true" outlineLevel="0" collapsed="false">
      <c r="A993" s="1" t="n">
        <v>988</v>
      </c>
      <c r="B993" s="13"/>
      <c r="F993" s="14" t="str">
        <f aca="false">IFERROR(INDEX('Operator Master'!$B$5:$B$504,MATCH(E993,'Operator Master'!$A$5:$A$504,0)),"")</f>
        <v/>
      </c>
      <c r="H993" s="14" t="str">
        <f aca="false">IFERROR(INDEX('Fault Master'!$B$5:$B$104,MATCH(G993,'Fault Master'!$A$5:$A$104,0)),"")</f>
        <v/>
      </c>
      <c r="I993" s="14" t="str">
        <f aca="false">IFERROR(INDEX('Fault Master'!$C$5:$C$104,MATCH(G993,'Fault Master'!$A$5:$A$104,0)),"")</f>
        <v/>
      </c>
      <c r="M993" s="14" t="str">
        <f aca="false">IFERROR(INDEX('Fault Master'!$D$5:$D$104,MATCH(G993,'Fault Master'!$A$5:$A$104,0)),"")</f>
        <v/>
      </c>
    </row>
    <row r="994" customFormat="false" ht="15" hidden="false" customHeight="true" outlineLevel="0" collapsed="false">
      <c r="A994" s="1" t="n">
        <v>989</v>
      </c>
      <c r="B994" s="13"/>
      <c r="F994" s="14" t="str">
        <f aca="false">IFERROR(INDEX('Operator Master'!$B$5:$B$504,MATCH(E994,'Operator Master'!$A$5:$A$504,0)),"")</f>
        <v/>
      </c>
      <c r="H994" s="14" t="str">
        <f aca="false">IFERROR(INDEX('Fault Master'!$B$5:$B$104,MATCH(G994,'Fault Master'!$A$5:$A$104,0)),"")</f>
        <v/>
      </c>
      <c r="I994" s="14" t="str">
        <f aca="false">IFERROR(INDEX('Fault Master'!$C$5:$C$104,MATCH(G994,'Fault Master'!$A$5:$A$104,0)),"")</f>
        <v/>
      </c>
      <c r="M994" s="14" t="str">
        <f aca="false">IFERROR(INDEX('Fault Master'!$D$5:$D$104,MATCH(G994,'Fault Master'!$A$5:$A$104,0)),"")</f>
        <v/>
      </c>
    </row>
    <row r="995" customFormat="false" ht="15" hidden="false" customHeight="true" outlineLevel="0" collapsed="false">
      <c r="A995" s="1" t="n">
        <v>990</v>
      </c>
      <c r="B995" s="13"/>
      <c r="F995" s="14" t="str">
        <f aca="false">IFERROR(INDEX('Operator Master'!$B$5:$B$504,MATCH(E995,'Operator Master'!$A$5:$A$504,0)),"")</f>
        <v/>
      </c>
      <c r="H995" s="14" t="str">
        <f aca="false">IFERROR(INDEX('Fault Master'!$B$5:$B$104,MATCH(G995,'Fault Master'!$A$5:$A$104,0)),"")</f>
        <v/>
      </c>
      <c r="I995" s="14" t="str">
        <f aca="false">IFERROR(INDEX('Fault Master'!$C$5:$C$104,MATCH(G995,'Fault Master'!$A$5:$A$104,0)),"")</f>
        <v/>
      </c>
      <c r="M995" s="14" t="str">
        <f aca="false">IFERROR(INDEX('Fault Master'!$D$5:$D$104,MATCH(G995,'Fault Master'!$A$5:$A$104,0)),"")</f>
        <v/>
      </c>
    </row>
    <row r="996" customFormat="false" ht="15" hidden="false" customHeight="true" outlineLevel="0" collapsed="false">
      <c r="A996" s="1" t="n">
        <v>991</v>
      </c>
      <c r="B996" s="13"/>
      <c r="F996" s="14" t="str">
        <f aca="false">IFERROR(INDEX('Operator Master'!$B$5:$B$504,MATCH(E996,'Operator Master'!$A$5:$A$504,0)),"")</f>
        <v/>
      </c>
      <c r="H996" s="14" t="str">
        <f aca="false">IFERROR(INDEX('Fault Master'!$B$5:$B$104,MATCH(G996,'Fault Master'!$A$5:$A$104,0)),"")</f>
        <v/>
      </c>
      <c r="I996" s="14" t="str">
        <f aca="false">IFERROR(INDEX('Fault Master'!$C$5:$C$104,MATCH(G996,'Fault Master'!$A$5:$A$104,0)),"")</f>
        <v/>
      </c>
      <c r="M996" s="14" t="str">
        <f aca="false">IFERROR(INDEX('Fault Master'!$D$5:$D$104,MATCH(G996,'Fault Master'!$A$5:$A$104,0)),"")</f>
        <v/>
      </c>
    </row>
    <row r="997" customFormat="false" ht="15" hidden="false" customHeight="true" outlineLevel="0" collapsed="false">
      <c r="A997" s="1" t="n">
        <v>992</v>
      </c>
      <c r="B997" s="13"/>
      <c r="F997" s="14" t="str">
        <f aca="false">IFERROR(INDEX('Operator Master'!$B$5:$B$504,MATCH(E997,'Operator Master'!$A$5:$A$504,0)),"")</f>
        <v/>
      </c>
      <c r="H997" s="14" t="str">
        <f aca="false">IFERROR(INDEX('Fault Master'!$B$5:$B$104,MATCH(G997,'Fault Master'!$A$5:$A$104,0)),"")</f>
        <v/>
      </c>
      <c r="I997" s="14" t="str">
        <f aca="false">IFERROR(INDEX('Fault Master'!$C$5:$C$104,MATCH(G997,'Fault Master'!$A$5:$A$104,0)),"")</f>
        <v/>
      </c>
      <c r="M997" s="14" t="str">
        <f aca="false">IFERROR(INDEX('Fault Master'!$D$5:$D$104,MATCH(G997,'Fault Master'!$A$5:$A$104,0)),"")</f>
        <v/>
      </c>
    </row>
    <row r="998" customFormat="false" ht="15" hidden="false" customHeight="true" outlineLevel="0" collapsed="false">
      <c r="A998" s="1" t="n">
        <v>993</v>
      </c>
      <c r="B998" s="13"/>
      <c r="F998" s="14" t="str">
        <f aca="false">IFERROR(INDEX('Operator Master'!$B$5:$B$504,MATCH(E998,'Operator Master'!$A$5:$A$504,0)),"")</f>
        <v/>
      </c>
      <c r="H998" s="14" t="str">
        <f aca="false">IFERROR(INDEX('Fault Master'!$B$5:$B$104,MATCH(G998,'Fault Master'!$A$5:$A$104,0)),"")</f>
        <v/>
      </c>
      <c r="I998" s="14" t="str">
        <f aca="false">IFERROR(INDEX('Fault Master'!$C$5:$C$104,MATCH(G998,'Fault Master'!$A$5:$A$104,0)),"")</f>
        <v/>
      </c>
      <c r="M998" s="14" t="str">
        <f aca="false">IFERROR(INDEX('Fault Master'!$D$5:$D$104,MATCH(G998,'Fault Master'!$A$5:$A$104,0)),"")</f>
        <v/>
      </c>
    </row>
    <row r="999" customFormat="false" ht="15" hidden="false" customHeight="true" outlineLevel="0" collapsed="false">
      <c r="A999" s="1" t="n">
        <v>994</v>
      </c>
      <c r="B999" s="13"/>
      <c r="F999" s="14" t="str">
        <f aca="false">IFERROR(INDEX('Operator Master'!$B$5:$B$504,MATCH(E999,'Operator Master'!$A$5:$A$504,0)),"")</f>
        <v/>
      </c>
      <c r="H999" s="14" t="str">
        <f aca="false">IFERROR(INDEX('Fault Master'!$B$5:$B$104,MATCH(G999,'Fault Master'!$A$5:$A$104,0)),"")</f>
        <v/>
      </c>
      <c r="I999" s="14" t="str">
        <f aca="false">IFERROR(INDEX('Fault Master'!$C$5:$C$104,MATCH(G999,'Fault Master'!$A$5:$A$104,0)),"")</f>
        <v/>
      </c>
      <c r="M999" s="14" t="str">
        <f aca="false">IFERROR(INDEX('Fault Master'!$D$5:$D$104,MATCH(G999,'Fault Master'!$A$5:$A$104,0)),"")</f>
        <v/>
      </c>
    </row>
    <row r="1000" customFormat="false" ht="15" hidden="false" customHeight="true" outlineLevel="0" collapsed="false">
      <c r="A1000" s="1" t="n">
        <v>995</v>
      </c>
      <c r="B1000" s="13"/>
      <c r="F1000" s="14" t="str">
        <f aca="false">IFERROR(INDEX('Operator Master'!$B$5:$B$504,MATCH(E1000,'Operator Master'!$A$5:$A$504,0)),"")</f>
        <v/>
      </c>
      <c r="H1000" s="14" t="str">
        <f aca="false">IFERROR(INDEX('Fault Master'!$B$5:$B$104,MATCH(G1000,'Fault Master'!$A$5:$A$104,0)),"")</f>
        <v/>
      </c>
      <c r="I1000" s="14" t="str">
        <f aca="false">IFERROR(INDEX('Fault Master'!$C$5:$C$104,MATCH(G1000,'Fault Master'!$A$5:$A$104,0)),"")</f>
        <v/>
      </c>
      <c r="M1000" s="14" t="str">
        <f aca="false">IFERROR(INDEX('Fault Master'!$D$5:$D$104,MATCH(G1000,'Fault Master'!$A$5:$A$104,0)),"")</f>
        <v/>
      </c>
    </row>
    <row r="1001" customFormat="false" ht="15" hidden="false" customHeight="true" outlineLevel="0" collapsed="false">
      <c r="A1001" s="1" t="n">
        <v>996</v>
      </c>
      <c r="B1001" s="13"/>
      <c r="F1001" s="14" t="str">
        <f aca="false">IFERROR(INDEX('Operator Master'!$B$5:$B$504,MATCH(E1001,'Operator Master'!$A$5:$A$504,0)),"")</f>
        <v/>
      </c>
      <c r="H1001" s="14" t="str">
        <f aca="false">IFERROR(INDEX('Fault Master'!$B$5:$B$104,MATCH(G1001,'Fault Master'!$A$5:$A$104,0)),"")</f>
        <v/>
      </c>
      <c r="I1001" s="14" t="str">
        <f aca="false">IFERROR(INDEX('Fault Master'!$C$5:$C$104,MATCH(G1001,'Fault Master'!$A$5:$A$104,0)),"")</f>
        <v/>
      </c>
      <c r="M1001" s="14" t="str">
        <f aca="false">IFERROR(INDEX('Fault Master'!$D$5:$D$104,MATCH(G1001,'Fault Master'!$A$5:$A$104,0)),"")</f>
        <v/>
      </c>
    </row>
    <row r="1002" customFormat="false" ht="15" hidden="false" customHeight="true" outlineLevel="0" collapsed="false">
      <c r="A1002" s="1" t="n">
        <v>997</v>
      </c>
      <c r="B1002" s="13"/>
      <c r="F1002" s="14" t="str">
        <f aca="false">IFERROR(INDEX('Operator Master'!$B$5:$B$504,MATCH(E1002,'Operator Master'!$A$5:$A$504,0)),"")</f>
        <v/>
      </c>
      <c r="H1002" s="14" t="str">
        <f aca="false">IFERROR(INDEX('Fault Master'!$B$5:$B$104,MATCH(G1002,'Fault Master'!$A$5:$A$104,0)),"")</f>
        <v/>
      </c>
      <c r="I1002" s="14" t="str">
        <f aca="false">IFERROR(INDEX('Fault Master'!$C$5:$C$104,MATCH(G1002,'Fault Master'!$A$5:$A$104,0)),"")</f>
        <v/>
      </c>
      <c r="M1002" s="14" t="str">
        <f aca="false">IFERROR(INDEX('Fault Master'!$D$5:$D$104,MATCH(G1002,'Fault Master'!$A$5:$A$104,0)),"")</f>
        <v/>
      </c>
    </row>
    <row r="1003" customFormat="false" ht="15" hidden="false" customHeight="true" outlineLevel="0" collapsed="false">
      <c r="A1003" s="1" t="n">
        <v>998</v>
      </c>
      <c r="B1003" s="13"/>
      <c r="F1003" s="14" t="str">
        <f aca="false">IFERROR(INDEX('Operator Master'!$B$5:$B$504,MATCH(E1003,'Operator Master'!$A$5:$A$504,0)),"")</f>
        <v/>
      </c>
      <c r="H1003" s="14" t="str">
        <f aca="false">IFERROR(INDEX('Fault Master'!$B$5:$B$104,MATCH(G1003,'Fault Master'!$A$5:$A$104,0)),"")</f>
        <v/>
      </c>
      <c r="I1003" s="14" t="str">
        <f aca="false">IFERROR(INDEX('Fault Master'!$C$5:$C$104,MATCH(G1003,'Fault Master'!$A$5:$A$104,0)),"")</f>
        <v/>
      </c>
      <c r="M1003" s="14" t="str">
        <f aca="false">IFERROR(INDEX('Fault Master'!$D$5:$D$104,MATCH(G1003,'Fault Master'!$A$5:$A$104,0)),"")</f>
        <v/>
      </c>
    </row>
    <row r="1004" customFormat="false" ht="15" hidden="false" customHeight="true" outlineLevel="0" collapsed="false">
      <c r="A1004" s="1" t="n">
        <v>999</v>
      </c>
      <c r="B1004" s="13"/>
      <c r="F1004" s="14" t="str">
        <f aca="false">IFERROR(INDEX('Operator Master'!$B$5:$B$504,MATCH(E1004,'Operator Master'!$A$5:$A$504,0)),"")</f>
        <v/>
      </c>
      <c r="H1004" s="14" t="str">
        <f aca="false">IFERROR(INDEX('Fault Master'!$B$5:$B$104,MATCH(G1004,'Fault Master'!$A$5:$A$104,0)),"")</f>
        <v/>
      </c>
      <c r="I1004" s="14" t="str">
        <f aca="false">IFERROR(INDEX('Fault Master'!$C$5:$C$104,MATCH(G1004,'Fault Master'!$A$5:$A$104,0)),"")</f>
        <v/>
      </c>
      <c r="M1004" s="14" t="str">
        <f aca="false">IFERROR(INDEX('Fault Master'!$D$5:$D$104,MATCH(G1004,'Fault Master'!$A$5:$A$104,0)),"")</f>
        <v/>
      </c>
    </row>
    <row r="1005" customFormat="false" ht="15" hidden="false" customHeight="true" outlineLevel="0" collapsed="false">
      <c r="A1005" s="1" t="n">
        <v>1000</v>
      </c>
      <c r="B1005" s="13"/>
      <c r="F1005" s="14" t="str">
        <f aca="false">IFERROR(INDEX('Operator Master'!$B$5:$B$504,MATCH(E1005,'Operator Master'!$A$5:$A$504,0)),"")</f>
        <v/>
      </c>
      <c r="H1005" s="14" t="str">
        <f aca="false">IFERROR(INDEX('Fault Master'!$B$5:$B$104,MATCH(G1005,'Fault Master'!$A$5:$A$104,0)),"")</f>
        <v/>
      </c>
      <c r="I1005" s="14" t="str">
        <f aca="false">IFERROR(INDEX('Fault Master'!$C$5:$C$104,MATCH(G1005,'Fault Master'!$A$5:$A$104,0)),"")</f>
        <v/>
      </c>
      <c r="M1005" s="14" t="str">
        <f aca="false">IFERROR(INDEX('Fault Master'!$D$5:$D$104,MATCH(G1005,'Fault Master'!$A$5:$A$104,0)),"")</f>
        <v/>
      </c>
    </row>
  </sheetData>
  <autoFilter ref="A5:O1005"/>
  <mergeCells count="1">
    <mergeCell ref="A1:O2"/>
  </mergeCells>
  <dataValidations count="5">
    <dataValidation allowBlank="true" errorStyle="stop" operator="between" showDropDown="false" showErrorMessage="false" showInputMessage="false" sqref="C6:C1005" type="list">
      <formula1>"A,B,C"</formula1>
      <formula2>0</formula2>
    </dataValidation>
    <dataValidation allowBlank="true" errorStyle="stop" operator="between" showDropDown="false" showErrorMessage="false" showInputMessage="false" sqref="D6:D1005" type="list">
      <formula1>'Loom Master'!$A$5:$A$154</formula1>
      <formula2>0</formula2>
    </dataValidation>
    <dataValidation allowBlank="true" errorStyle="stop" operator="between" showDropDown="false" showErrorMessage="false" showInputMessage="false" sqref="E6:E1005" type="list">
      <formula1>'Operator Master'!$A$5:$A$504</formula1>
      <formula2>0</formula2>
    </dataValidation>
    <dataValidation allowBlank="true" errorStyle="stop" operator="between" showDropDown="false" showErrorMessage="false" showInputMessage="false" sqref="G6:G1005" type="list">
      <formula1>'Fault Master'!$A$5:$A$104</formula1>
      <formula2>0</formula2>
    </dataValidation>
    <dataValidation allowBlank="true" errorStyle="stop" operator="between" showDropDown="false" showErrorMessage="false" showInputMessage="false" sqref="N6:N1005" type="list">
      <formula1>"Operator,Supervisor,Machine,Material,Process,Other"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5" min="4" style="1" width="15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15" t="s">
        <v>141</v>
      </c>
      <c r="B1" s="15"/>
      <c r="C1" s="15"/>
      <c r="D1" s="15"/>
      <c r="E1" s="15"/>
      <c r="F1" s="15"/>
      <c r="G1" s="15"/>
    </row>
    <row r="2" customFormat="false" ht="30" hidden="false" customHeight="true" outlineLevel="0" collapsed="false">
      <c r="A2" s="16" t="s">
        <v>142</v>
      </c>
      <c r="B2" s="16"/>
      <c r="C2" s="16"/>
      <c r="D2" s="16"/>
      <c r="E2" s="16"/>
      <c r="F2" s="16"/>
      <c r="G2" s="16"/>
    </row>
    <row r="4" customFormat="false" ht="31.5" hidden="false" customHeight="true" outlineLevel="0" collapsed="false">
      <c r="A4" s="17" t="s">
        <v>9</v>
      </c>
      <c r="B4" s="17" t="s">
        <v>10</v>
      </c>
      <c r="C4" s="17" t="s">
        <v>143</v>
      </c>
      <c r="D4" s="17" t="s">
        <v>144</v>
      </c>
      <c r="E4" s="17" t="s">
        <v>145</v>
      </c>
      <c r="F4" s="17" t="s">
        <v>146</v>
      </c>
      <c r="G4" s="17" t="s">
        <v>147</v>
      </c>
    </row>
    <row r="5" customFormat="false" ht="14.25" hidden="false" customHeight="true" outlineLevel="0" collapsed="false">
      <c r="A5" s="18" t="s">
        <v>44</v>
      </c>
      <c r="B5" s="18" t="s">
        <v>148</v>
      </c>
      <c r="C5" s="18" t="s">
        <v>149</v>
      </c>
      <c r="D5" s="18" t="s">
        <v>150</v>
      </c>
      <c r="E5" s="19"/>
      <c r="F5" s="18" t="s">
        <v>151</v>
      </c>
      <c r="G5" s="18"/>
    </row>
    <row r="6" customFormat="false" ht="14.25" hidden="false" customHeight="true" outlineLevel="0" collapsed="false">
      <c r="A6" s="18" t="s">
        <v>49</v>
      </c>
      <c r="B6" s="18" t="s">
        <v>152</v>
      </c>
      <c r="C6" s="18" t="s">
        <v>149</v>
      </c>
      <c r="D6" s="18" t="s">
        <v>150</v>
      </c>
      <c r="E6" s="19"/>
      <c r="F6" s="18" t="s">
        <v>153</v>
      </c>
      <c r="G6" s="18"/>
    </row>
    <row r="7" customFormat="false" ht="14.25" hidden="false" customHeight="true" outlineLevel="0" collapsed="false">
      <c r="A7" s="18" t="s">
        <v>51</v>
      </c>
      <c r="B7" s="18" t="s">
        <v>154</v>
      </c>
      <c r="C7" s="18" t="s">
        <v>149</v>
      </c>
      <c r="D7" s="18" t="s">
        <v>150</v>
      </c>
      <c r="E7" s="19"/>
      <c r="F7" s="18" t="s">
        <v>153</v>
      </c>
      <c r="G7" s="18"/>
    </row>
    <row r="8" customFormat="false" ht="14.25" hidden="false" customHeight="true" outlineLevel="0" collapsed="false">
      <c r="A8" s="18" t="s">
        <v>53</v>
      </c>
      <c r="B8" s="18" t="s">
        <v>155</v>
      </c>
      <c r="C8" s="18" t="s">
        <v>149</v>
      </c>
      <c r="D8" s="18" t="s">
        <v>150</v>
      </c>
      <c r="E8" s="19"/>
      <c r="F8" s="18" t="s">
        <v>153</v>
      </c>
      <c r="G8" s="18"/>
    </row>
    <row r="9" customFormat="false" ht="14.25" hidden="false" customHeight="true" outlineLevel="0" collapsed="false">
      <c r="A9" s="18" t="s">
        <v>55</v>
      </c>
      <c r="B9" s="18" t="s">
        <v>156</v>
      </c>
      <c r="C9" s="18" t="s">
        <v>149</v>
      </c>
      <c r="D9" s="18" t="s">
        <v>150</v>
      </c>
      <c r="E9" s="19"/>
      <c r="F9" s="18" t="s">
        <v>151</v>
      </c>
      <c r="G9" s="18"/>
    </row>
    <row r="10" customFormat="false" ht="14.25" hidden="false" customHeight="true" outlineLevel="0" collapsed="false">
      <c r="A10" s="18" t="s">
        <v>57</v>
      </c>
      <c r="B10" s="18" t="s">
        <v>157</v>
      </c>
      <c r="C10" s="18" t="s">
        <v>149</v>
      </c>
      <c r="D10" s="18" t="s">
        <v>150</v>
      </c>
      <c r="E10" s="19"/>
      <c r="F10" s="18" t="s">
        <v>153</v>
      </c>
      <c r="G10" s="18"/>
    </row>
    <row r="11" customFormat="false" ht="14.25" hidden="false" customHeight="true" outlineLevel="0" collapsed="false">
      <c r="A11" s="18" t="s">
        <v>59</v>
      </c>
      <c r="B11" s="18" t="s">
        <v>158</v>
      </c>
      <c r="C11" s="18" t="s">
        <v>149</v>
      </c>
      <c r="D11" s="18" t="s">
        <v>150</v>
      </c>
      <c r="E11" s="19"/>
      <c r="F11" s="18" t="s">
        <v>151</v>
      </c>
      <c r="G11" s="18"/>
    </row>
    <row r="12" customFormat="false" ht="14.25" hidden="false" customHeight="true" outlineLevel="0" collapsed="false">
      <c r="A12" s="18" t="s">
        <v>61</v>
      </c>
      <c r="B12" s="18" t="s">
        <v>159</v>
      </c>
      <c r="C12" s="18" t="s">
        <v>149</v>
      </c>
      <c r="D12" s="18" t="s">
        <v>150</v>
      </c>
      <c r="E12" s="19"/>
      <c r="F12" s="18" t="s">
        <v>153</v>
      </c>
      <c r="G12" s="18"/>
    </row>
    <row r="13" customFormat="false" ht="14.25" hidden="false" customHeight="true" outlineLevel="0" collapsed="false">
      <c r="A13" s="18" t="s">
        <v>63</v>
      </c>
      <c r="B13" s="18" t="s">
        <v>160</v>
      </c>
      <c r="C13" s="18" t="s">
        <v>149</v>
      </c>
      <c r="D13" s="18" t="s">
        <v>150</v>
      </c>
      <c r="E13" s="19"/>
      <c r="F13" s="18" t="s">
        <v>153</v>
      </c>
      <c r="G13" s="18"/>
    </row>
    <row r="14" customFormat="false" ht="28.5" hidden="false" customHeight="true" outlineLevel="0" collapsed="false">
      <c r="A14" s="18" t="s">
        <v>65</v>
      </c>
      <c r="B14" s="18" t="s">
        <v>161</v>
      </c>
      <c r="C14" s="18" t="s">
        <v>149</v>
      </c>
      <c r="D14" s="18" t="s">
        <v>150</v>
      </c>
      <c r="E14" s="19"/>
      <c r="F14" s="18" t="s">
        <v>153</v>
      </c>
      <c r="G14" s="18"/>
    </row>
    <row r="15" customFormat="false" ht="14.25" hidden="false" customHeight="true" outlineLevel="0" collapsed="false">
      <c r="A15" s="18" t="s">
        <v>67</v>
      </c>
      <c r="B15" s="18" t="s">
        <v>162</v>
      </c>
      <c r="C15" s="18" t="s">
        <v>149</v>
      </c>
      <c r="D15" s="18" t="s">
        <v>150</v>
      </c>
      <c r="E15" s="19"/>
      <c r="F15" s="18" t="s">
        <v>153</v>
      </c>
      <c r="G15" s="18"/>
    </row>
    <row r="16" customFormat="false" ht="14.25" hidden="false" customHeight="true" outlineLevel="0" collapsed="false">
      <c r="A16" s="18" t="s">
        <v>69</v>
      </c>
      <c r="B16" s="18" t="s">
        <v>163</v>
      </c>
      <c r="C16" s="18" t="s">
        <v>149</v>
      </c>
      <c r="D16" s="18" t="s">
        <v>150</v>
      </c>
      <c r="E16" s="19"/>
      <c r="F16" s="18" t="s">
        <v>153</v>
      </c>
      <c r="G16" s="18"/>
    </row>
    <row r="17" customFormat="false" ht="14.25" hidden="false" customHeight="true" outlineLevel="0" collapsed="false">
      <c r="A17" s="18" t="s">
        <v>71</v>
      </c>
      <c r="B17" s="18" t="s">
        <v>164</v>
      </c>
      <c r="C17" s="18" t="s">
        <v>149</v>
      </c>
      <c r="D17" s="18" t="s">
        <v>150</v>
      </c>
      <c r="E17" s="19"/>
      <c r="F17" s="18" t="s">
        <v>153</v>
      </c>
      <c r="G17" s="18"/>
    </row>
    <row r="18" customFormat="false" ht="14.25" hidden="false" customHeight="true" outlineLevel="0" collapsed="false">
      <c r="A18" s="18" t="s">
        <v>73</v>
      </c>
      <c r="B18" s="18" t="s">
        <v>165</v>
      </c>
      <c r="C18" s="18" t="s">
        <v>149</v>
      </c>
      <c r="D18" s="18" t="s">
        <v>150</v>
      </c>
      <c r="E18" s="19"/>
      <c r="F18" s="18" t="s">
        <v>153</v>
      </c>
      <c r="G18" s="18"/>
    </row>
    <row r="19" customFormat="false" ht="14.25" hidden="false" customHeight="true" outlineLevel="0" collapsed="false">
      <c r="A19" s="18" t="s">
        <v>75</v>
      </c>
      <c r="B19" s="18" t="s">
        <v>166</v>
      </c>
      <c r="C19" s="18" t="s">
        <v>149</v>
      </c>
      <c r="D19" s="18" t="s">
        <v>150</v>
      </c>
      <c r="E19" s="19"/>
      <c r="F19" s="18" t="s">
        <v>151</v>
      </c>
      <c r="G19" s="18"/>
    </row>
    <row r="20" customFormat="false" ht="14.25" hidden="false" customHeight="true" outlineLevel="0" collapsed="false">
      <c r="A20" s="18" t="s">
        <v>76</v>
      </c>
      <c r="B20" s="18" t="s">
        <v>167</v>
      </c>
      <c r="C20" s="18" t="s">
        <v>149</v>
      </c>
      <c r="D20" s="18" t="s">
        <v>150</v>
      </c>
      <c r="E20" s="19"/>
      <c r="F20" s="18" t="s">
        <v>153</v>
      </c>
      <c r="G20" s="18"/>
    </row>
    <row r="21" customFormat="false" ht="14.25" hidden="false" customHeight="true" outlineLevel="0" collapsed="false">
      <c r="A21" s="18" t="s">
        <v>78</v>
      </c>
      <c r="B21" s="18" t="s">
        <v>168</v>
      </c>
      <c r="C21" s="18" t="s">
        <v>149</v>
      </c>
      <c r="D21" s="18" t="s">
        <v>150</v>
      </c>
      <c r="E21" s="19"/>
      <c r="F21" s="18" t="s">
        <v>151</v>
      </c>
      <c r="G21" s="18"/>
    </row>
    <row r="22" customFormat="false" ht="14.25" hidden="false" customHeight="true" outlineLevel="0" collapsed="false">
      <c r="A22" s="18" t="s">
        <v>80</v>
      </c>
      <c r="B22" s="18" t="s">
        <v>169</v>
      </c>
      <c r="C22" s="18" t="s">
        <v>149</v>
      </c>
      <c r="D22" s="18" t="s">
        <v>150</v>
      </c>
      <c r="E22" s="19"/>
      <c r="F22" s="18" t="s">
        <v>151</v>
      </c>
      <c r="G22" s="18"/>
    </row>
    <row r="23" customFormat="false" ht="14.25" hidden="false" customHeight="true" outlineLevel="0" collapsed="false">
      <c r="A23" s="18" t="s">
        <v>82</v>
      </c>
      <c r="B23" s="18" t="s">
        <v>170</v>
      </c>
      <c r="C23" s="18" t="s">
        <v>149</v>
      </c>
      <c r="D23" s="18" t="s">
        <v>150</v>
      </c>
      <c r="E23" s="19"/>
      <c r="F23" s="18" t="s">
        <v>153</v>
      </c>
      <c r="G23" s="18"/>
    </row>
    <row r="24" customFormat="false" ht="14.25" hidden="false" customHeight="true" outlineLevel="0" collapsed="false">
      <c r="A24" s="18" t="s">
        <v>84</v>
      </c>
      <c r="B24" s="18" t="s">
        <v>171</v>
      </c>
      <c r="C24" s="18" t="s">
        <v>149</v>
      </c>
      <c r="D24" s="18" t="s">
        <v>150</v>
      </c>
      <c r="E24" s="19"/>
      <c r="F24" s="18" t="s">
        <v>153</v>
      </c>
      <c r="G24" s="18"/>
    </row>
    <row r="25" customFormat="false" ht="14.25" hidden="false" customHeight="true" outlineLevel="0" collapsed="false">
      <c r="A25" s="18" t="s">
        <v>86</v>
      </c>
      <c r="B25" s="18" t="s">
        <v>172</v>
      </c>
      <c r="C25" s="18" t="s">
        <v>149</v>
      </c>
      <c r="D25" s="18" t="s">
        <v>150</v>
      </c>
      <c r="E25" s="19"/>
      <c r="F25" s="18" t="s">
        <v>153</v>
      </c>
      <c r="G25" s="18"/>
    </row>
    <row r="26" customFormat="false" ht="14.25" hidden="false" customHeight="true" outlineLevel="0" collapsed="false">
      <c r="A26" s="18" t="s">
        <v>87</v>
      </c>
      <c r="B26" s="18" t="s">
        <v>173</v>
      </c>
      <c r="C26" s="18" t="s">
        <v>149</v>
      </c>
      <c r="D26" s="18" t="s">
        <v>150</v>
      </c>
      <c r="E26" s="19"/>
      <c r="F26" s="18" t="s">
        <v>153</v>
      </c>
      <c r="G26" s="18"/>
    </row>
    <row r="27" customFormat="false" ht="14.25" hidden="false" customHeight="true" outlineLevel="0" collapsed="false">
      <c r="A27" s="18" t="s">
        <v>89</v>
      </c>
      <c r="B27" s="18" t="s">
        <v>174</v>
      </c>
      <c r="C27" s="18" t="s">
        <v>149</v>
      </c>
      <c r="D27" s="18" t="s">
        <v>150</v>
      </c>
      <c r="E27" s="19"/>
      <c r="F27" s="18" t="s">
        <v>153</v>
      </c>
      <c r="G27" s="18"/>
    </row>
    <row r="28" customFormat="false" ht="14.25" hidden="false" customHeight="true" outlineLevel="0" collapsed="false">
      <c r="A28" s="18" t="s">
        <v>91</v>
      </c>
      <c r="B28" s="18" t="s">
        <v>175</v>
      </c>
      <c r="C28" s="18" t="s">
        <v>149</v>
      </c>
      <c r="D28" s="18" t="s">
        <v>150</v>
      </c>
      <c r="E28" s="19"/>
      <c r="F28" s="18" t="s">
        <v>151</v>
      </c>
      <c r="G28" s="18"/>
    </row>
    <row r="29" customFormat="false" ht="14.25" hidden="false" customHeight="true" outlineLevel="0" collapsed="false">
      <c r="A29" s="18" t="s">
        <v>93</v>
      </c>
      <c r="B29" s="18" t="s">
        <v>176</v>
      </c>
      <c r="C29" s="18" t="s">
        <v>149</v>
      </c>
      <c r="D29" s="18" t="s">
        <v>150</v>
      </c>
      <c r="E29" s="19"/>
      <c r="F29" s="18" t="s">
        <v>151</v>
      </c>
      <c r="G29" s="18"/>
    </row>
    <row r="30" customFormat="false" ht="14.25" hidden="false" customHeight="true" outlineLevel="0" collapsed="false">
      <c r="A30" s="18" t="s">
        <v>95</v>
      </c>
      <c r="B30" s="18" t="s">
        <v>177</v>
      </c>
      <c r="C30" s="18" t="s">
        <v>149</v>
      </c>
      <c r="D30" s="18" t="s">
        <v>150</v>
      </c>
      <c r="E30" s="19"/>
      <c r="F30" s="18" t="s">
        <v>151</v>
      </c>
      <c r="G30" s="18"/>
    </row>
    <row r="31" customFormat="false" ht="14.25" hidden="false" customHeight="true" outlineLevel="0" collapsed="false">
      <c r="A31" s="18" t="s">
        <v>97</v>
      </c>
      <c r="B31" s="18" t="s">
        <v>178</v>
      </c>
      <c r="C31" s="18" t="s">
        <v>149</v>
      </c>
      <c r="D31" s="18" t="s">
        <v>150</v>
      </c>
      <c r="E31" s="19"/>
      <c r="F31" s="18" t="s">
        <v>153</v>
      </c>
      <c r="G31" s="18"/>
    </row>
    <row r="32" customFormat="false" ht="14.25" hidden="false" customHeight="true" outlineLevel="0" collapsed="false">
      <c r="A32" s="18" t="s">
        <v>98</v>
      </c>
      <c r="B32" s="18" t="s">
        <v>179</v>
      </c>
      <c r="C32" s="18" t="s">
        <v>149</v>
      </c>
      <c r="D32" s="18" t="s">
        <v>150</v>
      </c>
      <c r="E32" s="19"/>
      <c r="F32" s="18" t="s">
        <v>153</v>
      </c>
      <c r="G32" s="18"/>
    </row>
    <row r="33" customFormat="false" ht="14.25" hidden="false" customHeight="true" outlineLevel="0" collapsed="false">
      <c r="A33" s="18" t="s">
        <v>99</v>
      </c>
      <c r="B33" s="18" t="s">
        <v>180</v>
      </c>
      <c r="C33" s="18" t="s">
        <v>149</v>
      </c>
      <c r="D33" s="18" t="s">
        <v>150</v>
      </c>
      <c r="E33" s="19"/>
      <c r="F33" s="18" t="s">
        <v>153</v>
      </c>
      <c r="G33" s="18"/>
    </row>
    <row r="34" customFormat="false" ht="14.25" hidden="false" customHeight="true" outlineLevel="0" collapsed="false">
      <c r="A34" s="18" t="s">
        <v>100</v>
      </c>
      <c r="B34" s="18" t="s">
        <v>181</v>
      </c>
      <c r="C34" s="18" t="s">
        <v>149</v>
      </c>
      <c r="D34" s="18" t="s">
        <v>150</v>
      </c>
      <c r="E34" s="19"/>
      <c r="F34" s="18" t="s">
        <v>151</v>
      </c>
      <c r="G34" s="18"/>
    </row>
    <row r="35" customFormat="false" ht="14.25" hidden="false" customHeight="true" outlineLevel="0" collapsed="false">
      <c r="A35" s="18" t="s">
        <v>101</v>
      </c>
      <c r="B35" s="18" t="s">
        <v>182</v>
      </c>
      <c r="C35" s="18" t="s">
        <v>149</v>
      </c>
      <c r="D35" s="18" t="s">
        <v>150</v>
      </c>
      <c r="E35" s="19"/>
      <c r="F35" s="18" t="s">
        <v>153</v>
      </c>
      <c r="G35" s="18"/>
    </row>
    <row r="36" customFormat="false" ht="14.25" hidden="false" customHeight="true" outlineLevel="0" collapsed="false">
      <c r="A36" s="18" t="s">
        <v>102</v>
      </c>
      <c r="B36" s="18" t="s">
        <v>183</v>
      </c>
      <c r="C36" s="18" t="s">
        <v>149</v>
      </c>
      <c r="D36" s="18" t="s">
        <v>150</v>
      </c>
      <c r="E36" s="19"/>
      <c r="F36" s="18" t="s">
        <v>153</v>
      </c>
      <c r="G36" s="18"/>
    </row>
    <row r="37" customFormat="false" ht="14.25" hidden="false" customHeight="true" outlineLevel="0" collapsed="false">
      <c r="A37" s="18" t="s">
        <v>103</v>
      </c>
      <c r="B37" s="18" t="s">
        <v>184</v>
      </c>
      <c r="C37" s="18" t="s">
        <v>149</v>
      </c>
      <c r="D37" s="18" t="s">
        <v>150</v>
      </c>
      <c r="E37" s="19"/>
      <c r="F37" s="18" t="s">
        <v>153</v>
      </c>
      <c r="G37" s="18"/>
    </row>
    <row r="38" customFormat="false" ht="14.25" hidden="false" customHeight="true" outlineLevel="0" collapsed="false">
      <c r="A38" s="18" t="s">
        <v>104</v>
      </c>
      <c r="B38" s="18" t="s">
        <v>185</v>
      </c>
      <c r="C38" s="18" t="s">
        <v>149</v>
      </c>
      <c r="D38" s="18" t="s">
        <v>150</v>
      </c>
      <c r="E38" s="19"/>
      <c r="F38" s="18" t="s">
        <v>153</v>
      </c>
      <c r="G38" s="18"/>
    </row>
    <row r="39" customFormat="false" ht="14.25" hidden="false" customHeight="true" outlineLevel="0" collapsed="false">
      <c r="A39" s="18" t="s">
        <v>105</v>
      </c>
      <c r="B39" s="18" t="s">
        <v>186</v>
      </c>
      <c r="C39" s="18" t="s">
        <v>149</v>
      </c>
      <c r="D39" s="18" t="s">
        <v>150</v>
      </c>
      <c r="E39" s="19"/>
      <c r="F39" s="18" t="s">
        <v>153</v>
      </c>
      <c r="G39" s="18"/>
    </row>
    <row r="40" customFormat="false" ht="14.25" hidden="false" customHeight="true" outlineLevel="0" collapsed="false">
      <c r="A40" s="18" t="s">
        <v>106</v>
      </c>
      <c r="B40" s="18" t="s">
        <v>187</v>
      </c>
      <c r="C40" s="18" t="s">
        <v>149</v>
      </c>
      <c r="D40" s="18" t="s">
        <v>150</v>
      </c>
      <c r="E40" s="19"/>
      <c r="F40" s="18" t="s">
        <v>153</v>
      </c>
      <c r="G40" s="18"/>
    </row>
    <row r="41" customFormat="false" ht="14.25" hidden="false" customHeight="true" outlineLevel="0" collapsed="false">
      <c r="A41" s="18" t="s">
        <v>107</v>
      </c>
      <c r="B41" s="18" t="s">
        <v>188</v>
      </c>
      <c r="C41" s="18" t="s">
        <v>149</v>
      </c>
      <c r="D41" s="18" t="s">
        <v>150</v>
      </c>
      <c r="E41" s="19"/>
      <c r="F41" s="18" t="s">
        <v>151</v>
      </c>
      <c r="G41" s="18"/>
    </row>
    <row r="42" customFormat="false" ht="14.25" hidden="false" customHeight="true" outlineLevel="0" collapsed="false">
      <c r="A42" s="18" t="s">
        <v>108</v>
      </c>
      <c r="B42" s="18" t="s">
        <v>189</v>
      </c>
      <c r="C42" s="18" t="s">
        <v>149</v>
      </c>
      <c r="D42" s="18" t="s">
        <v>150</v>
      </c>
      <c r="E42" s="19"/>
      <c r="F42" s="18" t="s">
        <v>153</v>
      </c>
      <c r="G42" s="18"/>
    </row>
    <row r="43" customFormat="false" ht="14.25" hidden="false" customHeight="true" outlineLevel="0" collapsed="false">
      <c r="A43" s="18" t="s">
        <v>109</v>
      </c>
      <c r="B43" s="18" t="s">
        <v>190</v>
      </c>
      <c r="C43" s="18" t="s">
        <v>149</v>
      </c>
      <c r="D43" s="18" t="s">
        <v>150</v>
      </c>
      <c r="E43" s="19"/>
      <c r="F43" s="18" t="s">
        <v>153</v>
      </c>
      <c r="G43" s="18"/>
    </row>
    <row r="44" customFormat="false" ht="14.25" hidden="false" customHeight="true" outlineLevel="0" collapsed="false">
      <c r="A44" s="18" t="s">
        <v>110</v>
      </c>
      <c r="B44" s="18" t="s">
        <v>191</v>
      </c>
      <c r="C44" s="18" t="s">
        <v>149</v>
      </c>
      <c r="D44" s="18" t="s">
        <v>150</v>
      </c>
      <c r="E44" s="19"/>
      <c r="F44" s="18" t="s">
        <v>153</v>
      </c>
      <c r="G44" s="18"/>
    </row>
    <row r="45" customFormat="false" ht="14.25" hidden="false" customHeight="true" outlineLevel="0" collapsed="false">
      <c r="A45" s="18" t="s">
        <v>111</v>
      </c>
      <c r="B45" s="18" t="s">
        <v>192</v>
      </c>
      <c r="C45" s="18" t="s">
        <v>149</v>
      </c>
      <c r="D45" s="18" t="s">
        <v>150</v>
      </c>
      <c r="E45" s="19"/>
      <c r="F45" s="18" t="s">
        <v>153</v>
      </c>
      <c r="G45" s="18"/>
    </row>
    <row r="46" customFormat="false" ht="14.25" hidden="false" customHeight="true" outlineLevel="0" collapsed="false">
      <c r="A46" s="18" t="s">
        <v>112</v>
      </c>
      <c r="B46" s="18" t="s">
        <v>193</v>
      </c>
      <c r="C46" s="18" t="s">
        <v>149</v>
      </c>
      <c r="D46" s="18" t="s">
        <v>150</v>
      </c>
      <c r="E46" s="19"/>
      <c r="F46" s="18" t="s">
        <v>153</v>
      </c>
      <c r="G46" s="18"/>
    </row>
    <row r="47" customFormat="false" ht="14.25" hidden="false" customHeight="true" outlineLevel="0" collapsed="false">
      <c r="A47" s="18" t="s">
        <v>113</v>
      </c>
      <c r="B47" s="18" t="s">
        <v>194</v>
      </c>
      <c r="C47" s="18" t="s">
        <v>149</v>
      </c>
      <c r="D47" s="18" t="s">
        <v>150</v>
      </c>
      <c r="E47" s="19"/>
      <c r="F47" s="18" t="s">
        <v>153</v>
      </c>
      <c r="G47" s="18"/>
    </row>
    <row r="48" customFormat="false" ht="14.25" hidden="false" customHeight="true" outlineLevel="0" collapsed="false">
      <c r="A48" s="18" t="s">
        <v>114</v>
      </c>
      <c r="B48" s="18" t="s">
        <v>195</v>
      </c>
      <c r="C48" s="18" t="s">
        <v>149</v>
      </c>
      <c r="D48" s="18" t="s">
        <v>150</v>
      </c>
      <c r="E48" s="19"/>
      <c r="F48" s="18" t="s">
        <v>153</v>
      </c>
      <c r="G48" s="18"/>
    </row>
    <row r="49" customFormat="false" ht="14.25" hidden="false" customHeight="true" outlineLevel="0" collapsed="false">
      <c r="A49" s="18" t="s">
        <v>115</v>
      </c>
      <c r="B49" s="18" t="s">
        <v>196</v>
      </c>
      <c r="C49" s="18" t="s">
        <v>149</v>
      </c>
      <c r="D49" s="18" t="s">
        <v>150</v>
      </c>
      <c r="E49" s="19"/>
      <c r="F49" s="18" t="s">
        <v>153</v>
      </c>
      <c r="G49" s="18"/>
    </row>
    <row r="50" customFormat="false" ht="14.25" hidden="false" customHeight="true" outlineLevel="0" collapsed="false">
      <c r="A50" s="18" t="s">
        <v>116</v>
      </c>
      <c r="B50" s="18" t="s">
        <v>197</v>
      </c>
      <c r="C50" s="18" t="s">
        <v>149</v>
      </c>
      <c r="D50" s="18" t="s">
        <v>150</v>
      </c>
      <c r="E50" s="19"/>
      <c r="F50" s="18" t="s">
        <v>153</v>
      </c>
      <c r="G50" s="18"/>
    </row>
    <row r="51" customFormat="false" ht="14.25" hidden="false" customHeight="true" outlineLevel="0" collapsed="false">
      <c r="A51" s="18" t="s">
        <v>117</v>
      </c>
      <c r="B51" s="18" t="s">
        <v>198</v>
      </c>
      <c r="C51" s="18" t="s">
        <v>149</v>
      </c>
      <c r="D51" s="18" t="s">
        <v>150</v>
      </c>
      <c r="E51" s="19"/>
      <c r="F51" s="18" t="s">
        <v>153</v>
      </c>
      <c r="G51" s="18"/>
    </row>
    <row r="52" customFormat="false" ht="14.25" hidden="false" customHeight="true" outlineLevel="0" collapsed="false">
      <c r="A52" s="18" t="s">
        <v>118</v>
      </c>
      <c r="B52" s="18" t="s">
        <v>199</v>
      </c>
      <c r="C52" s="18" t="s">
        <v>149</v>
      </c>
      <c r="D52" s="18" t="s">
        <v>150</v>
      </c>
      <c r="E52" s="19"/>
      <c r="F52" s="18" t="s">
        <v>153</v>
      </c>
      <c r="G52" s="18"/>
    </row>
    <row r="53" customFormat="false" ht="14.25" hidden="false" customHeight="true" outlineLevel="0" collapsed="false">
      <c r="A53" s="18" t="s">
        <v>119</v>
      </c>
      <c r="B53" s="18" t="s">
        <v>200</v>
      </c>
      <c r="C53" s="18" t="s">
        <v>149</v>
      </c>
      <c r="D53" s="18" t="s">
        <v>150</v>
      </c>
      <c r="E53" s="19"/>
      <c r="F53" s="18" t="s">
        <v>153</v>
      </c>
      <c r="G53" s="18"/>
    </row>
    <row r="54" customFormat="false" ht="14.25" hidden="false" customHeight="true" outlineLevel="0" collapsed="false">
      <c r="A54" s="18" t="s">
        <v>120</v>
      </c>
      <c r="B54" s="18" t="s">
        <v>201</v>
      </c>
      <c r="C54" s="18" t="s">
        <v>149</v>
      </c>
      <c r="D54" s="18" t="s">
        <v>150</v>
      </c>
      <c r="E54" s="19"/>
      <c r="F54" s="18" t="s">
        <v>153</v>
      </c>
      <c r="G54" s="18"/>
    </row>
    <row r="55" customFormat="false" ht="14.25" hidden="false" customHeight="true" outlineLevel="0" collapsed="false">
      <c r="A55" s="18" t="s">
        <v>121</v>
      </c>
      <c r="B55" s="18" t="s">
        <v>202</v>
      </c>
      <c r="C55" s="18" t="s">
        <v>149</v>
      </c>
      <c r="D55" s="18" t="s">
        <v>150</v>
      </c>
      <c r="E55" s="19"/>
      <c r="F55" s="18" t="s">
        <v>153</v>
      </c>
      <c r="G55" s="18"/>
    </row>
    <row r="56" customFormat="false" ht="14.25" hidden="false" customHeight="true" outlineLevel="0" collapsed="false">
      <c r="A56" s="18" t="s">
        <v>122</v>
      </c>
      <c r="B56" s="18" t="s">
        <v>203</v>
      </c>
      <c r="C56" s="18" t="s">
        <v>149</v>
      </c>
      <c r="D56" s="18" t="s">
        <v>150</v>
      </c>
      <c r="E56" s="19"/>
      <c r="F56" s="18" t="s">
        <v>153</v>
      </c>
      <c r="G56" s="18"/>
    </row>
    <row r="57" customFormat="false" ht="14.25" hidden="false" customHeight="true" outlineLevel="0" collapsed="false">
      <c r="A57" s="18" t="s">
        <v>123</v>
      </c>
      <c r="B57" s="18" t="s">
        <v>204</v>
      </c>
      <c r="C57" s="18" t="s">
        <v>149</v>
      </c>
      <c r="D57" s="18" t="s">
        <v>150</v>
      </c>
      <c r="E57" s="19"/>
      <c r="F57" s="18" t="s">
        <v>153</v>
      </c>
      <c r="G57" s="18"/>
    </row>
    <row r="58" customFormat="false" ht="14.25" hidden="false" customHeight="true" outlineLevel="0" collapsed="false">
      <c r="A58" s="18" t="s">
        <v>124</v>
      </c>
      <c r="B58" s="18" t="s">
        <v>205</v>
      </c>
      <c r="C58" s="18" t="s">
        <v>149</v>
      </c>
      <c r="D58" s="18" t="s">
        <v>150</v>
      </c>
      <c r="E58" s="19"/>
      <c r="F58" s="18" t="s">
        <v>153</v>
      </c>
      <c r="G58" s="18"/>
    </row>
    <row r="59" customFormat="false" ht="14.25" hidden="false" customHeight="true" outlineLevel="0" collapsed="false">
      <c r="A59" s="18" t="s">
        <v>125</v>
      </c>
      <c r="B59" s="18" t="s">
        <v>206</v>
      </c>
      <c r="C59" s="18" t="s">
        <v>149</v>
      </c>
      <c r="D59" s="18" t="s">
        <v>150</v>
      </c>
      <c r="E59" s="19"/>
      <c r="F59" s="18" t="s">
        <v>153</v>
      </c>
      <c r="G59" s="18"/>
    </row>
    <row r="60" customFormat="false" ht="14.25" hidden="false" customHeight="true" outlineLevel="0" collapsed="false">
      <c r="A60" s="18" t="s">
        <v>126</v>
      </c>
      <c r="B60" s="18" t="s">
        <v>207</v>
      </c>
      <c r="C60" s="18" t="s">
        <v>149</v>
      </c>
      <c r="D60" s="18" t="s">
        <v>150</v>
      </c>
      <c r="E60" s="19"/>
      <c r="F60" s="18" t="s">
        <v>153</v>
      </c>
      <c r="G60" s="18"/>
    </row>
    <row r="61" customFormat="false" ht="14.25" hidden="false" customHeight="true" outlineLevel="0" collapsed="false">
      <c r="A61" s="18"/>
      <c r="B61" s="18"/>
      <c r="C61" s="18"/>
      <c r="D61" s="18" t="s">
        <v>150</v>
      </c>
      <c r="E61" s="19"/>
      <c r="F61" s="18" t="s">
        <v>153</v>
      </c>
      <c r="G61" s="18"/>
    </row>
    <row r="62" customFormat="false" ht="14.25" hidden="false" customHeight="true" outlineLevel="0" collapsed="false">
      <c r="A62" s="18"/>
      <c r="B62" s="18"/>
      <c r="C62" s="18"/>
      <c r="D62" s="18" t="s">
        <v>150</v>
      </c>
      <c r="E62" s="19"/>
      <c r="F62" s="18" t="s">
        <v>153</v>
      </c>
      <c r="G62" s="18"/>
    </row>
    <row r="63" customFormat="false" ht="14.25" hidden="false" customHeight="true" outlineLevel="0" collapsed="false">
      <c r="A63" s="18"/>
      <c r="B63" s="18"/>
      <c r="C63" s="18"/>
      <c r="D63" s="18" t="s">
        <v>150</v>
      </c>
      <c r="E63" s="19"/>
      <c r="F63" s="18" t="s">
        <v>153</v>
      </c>
      <c r="G63" s="18"/>
    </row>
    <row r="64" customFormat="false" ht="14.25" hidden="false" customHeight="true" outlineLevel="0" collapsed="false">
      <c r="A64" s="18"/>
      <c r="B64" s="18"/>
      <c r="C64" s="18"/>
      <c r="D64" s="18" t="s">
        <v>150</v>
      </c>
      <c r="E64" s="19"/>
      <c r="F64" s="18" t="s">
        <v>153</v>
      </c>
      <c r="G64" s="18"/>
    </row>
    <row r="65" customFormat="false" ht="14.25" hidden="false" customHeight="true" outlineLevel="0" collapsed="false">
      <c r="A65" s="18"/>
      <c r="B65" s="18"/>
      <c r="C65" s="18"/>
      <c r="D65" s="18" t="s">
        <v>150</v>
      </c>
      <c r="E65" s="19"/>
      <c r="F65" s="18" t="s">
        <v>153</v>
      </c>
      <c r="G65" s="18"/>
    </row>
    <row r="66" customFormat="false" ht="14.25" hidden="false" customHeight="true" outlineLevel="0" collapsed="false">
      <c r="A66" s="18"/>
      <c r="B66" s="18"/>
      <c r="C66" s="18"/>
      <c r="D66" s="18" t="s">
        <v>150</v>
      </c>
      <c r="E66" s="19"/>
      <c r="F66" s="18" t="s">
        <v>153</v>
      </c>
      <c r="G66" s="18"/>
    </row>
    <row r="67" customFormat="false" ht="14.25" hidden="false" customHeight="true" outlineLevel="0" collapsed="false">
      <c r="A67" s="18"/>
      <c r="B67" s="18"/>
      <c r="C67" s="18"/>
      <c r="D67" s="18" t="s">
        <v>150</v>
      </c>
      <c r="E67" s="19"/>
      <c r="F67" s="18" t="s">
        <v>153</v>
      </c>
      <c r="G67" s="18"/>
    </row>
    <row r="68" customFormat="false" ht="14.25" hidden="false" customHeight="true" outlineLevel="0" collapsed="false">
      <c r="A68" s="18"/>
      <c r="B68" s="18"/>
      <c r="C68" s="18"/>
      <c r="D68" s="18" t="s">
        <v>150</v>
      </c>
      <c r="E68" s="19"/>
      <c r="F68" s="18" t="s">
        <v>153</v>
      </c>
      <c r="G68" s="18"/>
    </row>
    <row r="69" customFormat="false" ht="14.25" hidden="false" customHeight="true" outlineLevel="0" collapsed="false">
      <c r="A69" s="18"/>
      <c r="B69" s="18"/>
      <c r="C69" s="18"/>
      <c r="D69" s="18" t="s">
        <v>150</v>
      </c>
      <c r="E69" s="19"/>
      <c r="F69" s="18" t="s">
        <v>153</v>
      </c>
      <c r="G69" s="18"/>
    </row>
    <row r="70" customFormat="false" ht="14.25" hidden="false" customHeight="true" outlineLevel="0" collapsed="false">
      <c r="A70" s="18"/>
      <c r="B70" s="18"/>
      <c r="C70" s="18"/>
      <c r="D70" s="18" t="s">
        <v>150</v>
      </c>
      <c r="E70" s="19"/>
      <c r="F70" s="18" t="s">
        <v>153</v>
      </c>
      <c r="G70" s="18"/>
    </row>
    <row r="71" customFormat="false" ht="14.25" hidden="false" customHeight="true" outlineLevel="0" collapsed="false">
      <c r="A71" s="18"/>
      <c r="B71" s="18"/>
      <c r="C71" s="18"/>
      <c r="D71" s="18" t="s">
        <v>150</v>
      </c>
      <c r="E71" s="19"/>
      <c r="F71" s="18" t="s">
        <v>153</v>
      </c>
      <c r="G71" s="18"/>
    </row>
    <row r="72" customFormat="false" ht="14.25" hidden="false" customHeight="true" outlineLevel="0" collapsed="false">
      <c r="A72" s="18"/>
      <c r="B72" s="18"/>
      <c r="C72" s="18"/>
      <c r="D72" s="18" t="s">
        <v>150</v>
      </c>
      <c r="E72" s="19"/>
      <c r="F72" s="18" t="s">
        <v>153</v>
      </c>
      <c r="G72" s="18"/>
    </row>
    <row r="73" customFormat="false" ht="14.25" hidden="false" customHeight="true" outlineLevel="0" collapsed="false">
      <c r="A73" s="18"/>
      <c r="B73" s="18"/>
      <c r="C73" s="18"/>
      <c r="D73" s="18" t="s">
        <v>150</v>
      </c>
      <c r="E73" s="19"/>
      <c r="F73" s="18" t="s">
        <v>153</v>
      </c>
      <c r="G73" s="18"/>
    </row>
    <row r="74" customFormat="false" ht="14.25" hidden="false" customHeight="true" outlineLevel="0" collapsed="false">
      <c r="A74" s="18"/>
      <c r="B74" s="18"/>
      <c r="C74" s="18"/>
      <c r="D74" s="18" t="s">
        <v>150</v>
      </c>
      <c r="E74" s="19"/>
      <c r="F74" s="18" t="s">
        <v>153</v>
      </c>
      <c r="G74" s="18"/>
    </row>
    <row r="75" customFormat="false" ht="14.25" hidden="false" customHeight="true" outlineLevel="0" collapsed="false">
      <c r="A75" s="18"/>
      <c r="B75" s="18"/>
      <c r="C75" s="18"/>
      <c r="D75" s="18" t="s">
        <v>150</v>
      </c>
      <c r="E75" s="19"/>
      <c r="F75" s="18" t="s">
        <v>153</v>
      </c>
      <c r="G75" s="18"/>
    </row>
    <row r="76" customFormat="false" ht="14.25" hidden="false" customHeight="true" outlineLevel="0" collapsed="false">
      <c r="A76" s="18"/>
      <c r="B76" s="18"/>
      <c r="C76" s="18"/>
      <c r="D76" s="18" t="s">
        <v>150</v>
      </c>
      <c r="E76" s="19"/>
      <c r="F76" s="18" t="s">
        <v>153</v>
      </c>
      <c r="G76" s="18"/>
    </row>
    <row r="77" customFormat="false" ht="14.25" hidden="false" customHeight="true" outlineLevel="0" collapsed="false">
      <c r="A77" s="18"/>
      <c r="B77" s="18"/>
      <c r="C77" s="18"/>
      <c r="D77" s="18" t="s">
        <v>150</v>
      </c>
      <c r="E77" s="19"/>
      <c r="F77" s="18" t="s">
        <v>153</v>
      </c>
      <c r="G77" s="18"/>
    </row>
    <row r="78" customFormat="false" ht="14.25" hidden="false" customHeight="true" outlineLevel="0" collapsed="false">
      <c r="A78" s="18"/>
      <c r="B78" s="18"/>
      <c r="C78" s="18"/>
      <c r="D78" s="18" t="s">
        <v>150</v>
      </c>
      <c r="E78" s="19"/>
      <c r="F78" s="18" t="s">
        <v>153</v>
      </c>
      <c r="G78" s="18"/>
    </row>
    <row r="79" customFormat="false" ht="14.25" hidden="false" customHeight="true" outlineLevel="0" collapsed="false">
      <c r="A79" s="18"/>
      <c r="B79" s="18"/>
      <c r="C79" s="18"/>
      <c r="D79" s="18" t="s">
        <v>150</v>
      </c>
      <c r="E79" s="19"/>
      <c r="F79" s="18" t="s">
        <v>153</v>
      </c>
      <c r="G79" s="18"/>
    </row>
    <row r="80" customFormat="false" ht="14.25" hidden="false" customHeight="true" outlineLevel="0" collapsed="false">
      <c r="A80" s="18"/>
      <c r="B80" s="18"/>
      <c r="C80" s="18"/>
      <c r="D80" s="18" t="s">
        <v>150</v>
      </c>
      <c r="E80" s="19"/>
      <c r="F80" s="18" t="s">
        <v>153</v>
      </c>
      <c r="G80" s="18"/>
    </row>
    <row r="81" customFormat="false" ht="14.25" hidden="false" customHeight="true" outlineLevel="0" collapsed="false">
      <c r="A81" s="18"/>
      <c r="B81" s="18"/>
      <c r="C81" s="18"/>
      <c r="D81" s="18" t="s">
        <v>150</v>
      </c>
      <c r="E81" s="19"/>
      <c r="F81" s="18" t="s">
        <v>153</v>
      </c>
      <c r="G81" s="18"/>
    </row>
    <row r="82" customFormat="false" ht="14.25" hidden="false" customHeight="true" outlineLevel="0" collapsed="false">
      <c r="A82" s="18"/>
      <c r="B82" s="18"/>
      <c r="C82" s="18"/>
      <c r="D82" s="18" t="s">
        <v>150</v>
      </c>
      <c r="E82" s="19"/>
      <c r="F82" s="18" t="s">
        <v>153</v>
      </c>
      <c r="G82" s="18"/>
    </row>
    <row r="83" customFormat="false" ht="14.25" hidden="false" customHeight="true" outlineLevel="0" collapsed="false">
      <c r="A83" s="18"/>
      <c r="B83" s="18"/>
      <c r="C83" s="18"/>
      <c r="D83" s="18" t="s">
        <v>150</v>
      </c>
      <c r="E83" s="19"/>
      <c r="F83" s="18" t="s">
        <v>153</v>
      </c>
      <c r="G83" s="18"/>
    </row>
    <row r="84" customFormat="false" ht="14.25" hidden="false" customHeight="true" outlineLevel="0" collapsed="false">
      <c r="A84" s="18"/>
      <c r="B84" s="18"/>
      <c r="C84" s="18"/>
      <c r="D84" s="18" t="s">
        <v>150</v>
      </c>
      <c r="E84" s="19"/>
      <c r="F84" s="18" t="s">
        <v>153</v>
      </c>
      <c r="G84" s="18"/>
    </row>
    <row r="85" customFormat="false" ht="14.25" hidden="false" customHeight="true" outlineLevel="0" collapsed="false">
      <c r="A85" s="18"/>
      <c r="B85" s="18"/>
      <c r="C85" s="18"/>
      <c r="D85" s="18" t="s">
        <v>150</v>
      </c>
      <c r="E85" s="19"/>
      <c r="F85" s="18" t="s">
        <v>153</v>
      </c>
      <c r="G85" s="18"/>
    </row>
    <row r="86" customFormat="false" ht="14.25" hidden="false" customHeight="true" outlineLevel="0" collapsed="false">
      <c r="A86" s="18"/>
      <c r="B86" s="18"/>
      <c r="C86" s="18"/>
      <c r="D86" s="18" t="s">
        <v>150</v>
      </c>
      <c r="E86" s="19"/>
      <c r="F86" s="18" t="s">
        <v>153</v>
      </c>
      <c r="G86" s="18"/>
    </row>
    <row r="87" customFormat="false" ht="14.25" hidden="false" customHeight="true" outlineLevel="0" collapsed="false">
      <c r="A87" s="18"/>
      <c r="B87" s="18"/>
      <c r="C87" s="18"/>
      <c r="D87" s="18" t="s">
        <v>150</v>
      </c>
      <c r="E87" s="19"/>
      <c r="F87" s="18" t="s">
        <v>153</v>
      </c>
      <c r="G87" s="18"/>
    </row>
    <row r="88" customFormat="false" ht="14.25" hidden="false" customHeight="true" outlineLevel="0" collapsed="false">
      <c r="A88" s="18"/>
      <c r="B88" s="18"/>
      <c r="C88" s="18"/>
      <c r="D88" s="18" t="s">
        <v>150</v>
      </c>
      <c r="E88" s="19"/>
      <c r="F88" s="18" t="s">
        <v>153</v>
      </c>
      <c r="G88" s="18"/>
    </row>
    <row r="89" customFormat="false" ht="14.25" hidden="false" customHeight="true" outlineLevel="0" collapsed="false">
      <c r="A89" s="18"/>
      <c r="B89" s="18"/>
      <c r="C89" s="18"/>
      <c r="D89" s="18" t="s">
        <v>150</v>
      </c>
      <c r="E89" s="19"/>
      <c r="F89" s="18" t="s">
        <v>153</v>
      </c>
      <c r="G89" s="18"/>
    </row>
    <row r="90" customFormat="false" ht="14.25" hidden="false" customHeight="true" outlineLevel="0" collapsed="false">
      <c r="A90" s="18"/>
      <c r="B90" s="18"/>
      <c r="C90" s="18"/>
      <c r="D90" s="18" t="s">
        <v>150</v>
      </c>
      <c r="E90" s="19"/>
      <c r="F90" s="18" t="s">
        <v>153</v>
      </c>
      <c r="G90" s="18"/>
    </row>
    <row r="91" customFormat="false" ht="14.25" hidden="false" customHeight="true" outlineLevel="0" collapsed="false">
      <c r="A91" s="18"/>
      <c r="B91" s="18"/>
      <c r="C91" s="18"/>
      <c r="D91" s="18" t="s">
        <v>150</v>
      </c>
      <c r="E91" s="19"/>
      <c r="F91" s="18" t="s">
        <v>153</v>
      </c>
      <c r="G91" s="18"/>
    </row>
    <row r="92" customFormat="false" ht="14.25" hidden="false" customHeight="true" outlineLevel="0" collapsed="false">
      <c r="A92" s="18"/>
      <c r="B92" s="18"/>
      <c r="C92" s="18"/>
      <c r="D92" s="18" t="s">
        <v>150</v>
      </c>
      <c r="E92" s="19"/>
      <c r="F92" s="18" t="s">
        <v>153</v>
      </c>
      <c r="G92" s="18"/>
    </row>
    <row r="93" customFormat="false" ht="14.25" hidden="false" customHeight="true" outlineLevel="0" collapsed="false">
      <c r="A93" s="18"/>
      <c r="B93" s="18"/>
      <c r="C93" s="18"/>
      <c r="D93" s="18" t="s">
        <v>150</v>
      </c>
      <c r="E93" s="19"/>
      <c r="F93" s="18" t="s">
        <v>153</v>
      </c>
      <c r="G93" s="18"/>
    </row>
    <row r="94" customFormat="false" ht="14.25" hidden="false" customHeight="true" outlineLevel="0" collapsed="false">
      <c r="A94" s="18"/>
      <c r="B94" s="18"/>
      <c r="C94" s="18"/>
      <c r="D94" s="18" t="s">
        <v>150</v>
      </c>
      <c r="E94" s="19"/>
      <c r="F94" s="18" t="s">
        <v>153</v>
      </c>
      <c r="G94" s="18"/>
    </row>
    <row r="95" customFormat="false" ht="14.25" hidden="false" customHeight="true" outlineLevel="0" collapsed="false">
      <c r="A95" s="18"/>
      <c r="B95" s="18"/>
      <c r="C95" s="18"/>
      <c r="D95" s="18" t="s">
        <v>150</v>
      </c>
      <c r="E95" s="19"/>
      <c r="F95" s="18" t="s">
        <v>153</v>
      </c>
      <c r="G95" s="18"/>
    </row>
    <row r="96" customFormat="false" ht="14.25" hidden="false" customHeight="true" outlineLevel="0" collapsed="false">
      <c r="A96" s="18"/>
      <c r="B96" s="18"/>
      <c r="C96" s="18"/>
      <c r="D96" s="18" t="s">
        <v>150</v>
      </c>
      <c r="E96" s="19"/>
      <c r="F96" s="18" t="s">
        <v>153</v>
      </c>
      <c r="G96" s="18"/>
    </row>
    <row r="97" customFormat="false" ht="14.25" hidden="false" customHeight="true" outlineLevel="0" collapsed="false">
      <c r="A97" s="18"/>
      <c r="B97" s="18"/>
      <c r="C97" s="18"/>
      <c r="D97" s="18" t="s">
        <v>150</v>
      </c>
      <c r="E97" s="19"/>
      <c r="F97" s="18" t="s">
        <v>153</v>
      </c>
      <c r="G97" s="18"/>
    </row>
    <row r="98" customFormat="false" ht="14.25" hidden="false" customHeight="true" outlineLevel="0" collapsed="false">
      <c r="A98" s="18"/>
      <c r="B98" s="18"/>
      <c r="C98" s="18"/>
      <c r="D98" s="18" t="s">
        <v>150</v>
      </c>
      <c r="E98" s="19"/>
      <c r="F98" s="18" t="s">
        <v>153</v>
      </c>
      <c r="G98" s="18"/>
    </row>
    <row r="99" customFormat="false" ht="14.25" hidden="false" customHeight="true" outlineLevel="0" collapsed="false">
      <c r="A99" s="18"/>
      <c r="B99" s="18"/>
      <c r="C99" s="18"/>
      <c r="D99" s="18" t="s">
        <v>150</v>
      </c>
      <c r="E99" s="19"/>
      <c r="F99" s="18" t="s">
        <v>153</v>
      </c>
      <c r="G99" s="18"/>
    </row>
    <row r="100" customFormat="false" ht="14.25" hidden="false" customHeight="true" outlineLevel="0" collapsed="false">
      <c r="A100" s="18"/>
      <c r="B100" s="18"/>
      <c r="C100" s="18"/>
      <c r="D100" s="18" t="s">
        <v>150</v>
      </c>
      <c r="E100" s="19"/>
      <c r="F100" s="18" t="s">
        <v>153</v>
      </c>
      <c r="G100" s="18"/>
    </row>
    <row r="101" customFormat="false" ht="14.25" hidden="false" customHeight="true" outlineLevel="0" collapsed="false">
      <c r="A101" s="18"/>
      <c r="B101" s="18"/>
      <c r="C101" s="18"/>
      <c r="D101" s="18" t="s">
        <v>150</v>
      </c>
      <c r="E101" s="19"/>
      <c r="F101" s="18" t="s">
        <v>153</v>
      </c>
      <c r="G101" s="18"/>
    </row>
    <row r="102" customFormat="false" ht="14.25" hidden="false" customHeight="true" outlineLevel="0" collapsed="false">
      <c r="A102" s="18"/>
      <c r="B102" s="18"/>
      <c r="C102" s="18"/>
      <c r="D102" s="18" t="s">
        <v>150</v>
      </c>
      <c r="E102" s="19"/>
      <c r="F102" s="18" t="s">
        <v>153</v>
      </c>
      <c r="G102" s="18"/>
    </row>
    <row r="103" customFormat="false" ht="14.25" hidden="false" customHeight="true" outlineLevel="0" collapsed="false">
      <c r="A103" s="18"/>
      <c r="B103" s="18"/>
      <c r="C103" s="18"/>
      <c r="D103" s="18" t="s">
        <v>150</v>
      </c>
      <c r="E103" s="19"/>
      <c r="F103" s="18" t="s">
        <v>153</v>
      </c>
      <c r="G103" s="18"/>
    </row>
    <row r="104" customFormat="false" ht="14.25" hidden="false" customHeight="true" outlineLevel="0" collapsed="false">
      <c r="A104" s="18"/>
      <c r="B104" s="18"/>
      <c r="C104" s="18"/>
      <c r="D104" s="18" t="s">
        <v>150</v>
      </c>
      <c r="E104" s="19"/>
      <c r="F104" s="18" t="s">
        <v>153</v>
      </c>
      <c r="G104" s="18"/>
    </row>
    <row r="105" customFormat="false" ht="14.25" hidden="false" customHeight="true" outlineLevel="0" collapsed="false">
      <c r="A105" s="18"/>
      <c r="B105" s="18"/>
      <c r="C105" s="18"/>
      <c r="D105" s="18" t="s">
        <v>150</v>
      </c>
      <c r="E105" s="19"/>
      <c r="F105" s="18" t="s">
        <v>153</v>
      </c>
      <c r="G105" s="18"/>
    </row>
    <row r="106" customFormat="false" ht="14.25" hidden="false" customHeight="true" outlineLevel="0" collapsed="false">
      <c r="A106" s="18"/>
      <c r="B106" s="18"/>
      <c r="C106" s="18"/>
      <c r="D106" s="18" t="s">
        <v>150</v>
      </c>
      <c r="E106" s="19"/>
      <c r="F106" s="18" t="s">
        <v>153</v>
      </c>
      <c r="G106" s="18"/>
    </row>
    <row r="107" customFormat="false" ht="14.25" hidden="false" customHeight="true" outlineLevel="0" collapsed="false">
      <c r="A107" s="18"/>
      <c r="B107" s="18"/>
      <c r="C107" s="18"/>
      <c r="D107" s="18" t="s">
        <v>150</v>
      </c>
      <c r="E107" s="19"/>
      <c r="F107" s="18" t="s">
        <v>153</v>
      </c>
      <c r="G107" s="18"/>
    </row>
    <row r="108" customFormat="false" ht="14.25" hidden="false" customHeight="true" outlineLevel="0" collapsed="false">
      <c r="A108" s="18"/>
      <c r="B108" s="18"/>
      <c r="C108" s="18"/>
      <c r="D108" s="18" t="s">
        <v>150</v>
      </c>
      <c r="E108" s="19"/>
      <c r="F108" s="18" t="s">
        <v>153</v>
      </c>
      <c r="G108" s="18"/>
    </row>
    <row r="109" customFormat="false" ht="14.25" hidden="false" customHeight="true" outlineLevel="0" collapsed="false">
      <c r="A109" s="18"/>
      <c r="B109" s="18"/>
      <c r="C109" s="18"/>
      <c r="D109" s="18" t="s">
        <v>150</v>
      </c>
      <c r="E109" s="19"/>
      <c r="F109" s="18" t="s">
        <v>153</v>
      </c>
      <c r="G109" s="18"/>
    </row>
    <row r="110" customFormat="false" ht="14.25" hidden="false" customHeight="true" outlineLevel="0" collapsed="false">
      <c r="A110" s="18"/>
      <c r="B110" s="18"/>
      <c r="C110" s="18"/>
      <c r="D110" s="18" t="s">
        <v>150</v>
      </c>
      <c r="E110" s="19"/>
      <c r="F110" s="18" t="s">
        <v>153</v>
      </c>
      <c r="G110" s="18"/>
    </row>
    <row r="111" customFormat="false" ht="14.25" hidden="false" customHeight="true" outlineLevel="0" collapsed="false">
      <c r="A111" s="18"/>
      <c r="B111" s="18"/>
      <c r="C111" s="18"/>
      <c r="D111" s="18" t="s">
        <v>150</v>
      </c>
      <c r="E111" s="19"/>
      <c r="F111" s="18" t="s">
        <v>153</v>
      </c>
      <c r="G111" s="18"/>
    </row>
    <row r="112" customFormat="false" ht="14.25" hidden="false" customHeight="true" outlineLevel="0" collapsed="false">
      <c r="A112" s="18"/>
      <c r="B112" s="18"/>
      <c r="C112" s="18"/>
      <c r="D112" s="18" t="s">
        <v>150</v>
      </c>
      <c r="E112" s="19"/>
      <c r="F112" s="18" t="s">
        <v>153</v>
      </c>
      <c r="G112" s="18"/>
    </row>
    <row r="113" customFormat="false" ht="14.25" hidden="false" customHeight="true" outlineLevel="0" collapsed="false">
      <c r="A113" s="18"/>
      <c r="B113" s="18"/>
      <c r="C113" s="18"/>
      <c r="D113" s="18" t="s">
        <v>150</v>
      </c>
      <c r="E113" s="19"/>
      <c r="F113" s="18" t="s">
        <v>153</v>
      </c>
      <c r="G113" s="18"/>
    </row>
    <row r="114" customFormat="false" ht="14.25" hidden="false" customHeight="true" outlineLevel="0" collapsed="false">
      <c r="A114" s="18"/>
      <c r="B114" s="18"/>
      <c r="C114" s="18"/>
      <c r="D114" s="18" t="s">
        <v>150</v>
      </c>
      <c r="E114" s="19"/>
      <c r="F114" s="18" t="s">
        <v>153</v>
      </c>
      <c r="G114" s="18"/>
    </row>
    <row r="115" customFormat="false" ht="14.25" hidden="false" customHeight="true" outlineLevel="0" collapsed="false">
      <c r="A115" s="18"/>
      <c r="B115" s="18"/>
      <c r="C115" s="18"/>
      <c r="D115" s="18" t="s">
        <v>150</v>
      </c>
      <c r="E115" s="19"/>
      <c r="F115" s="18" t="s">
        <v>153</v>
      </c>
      <c r="G115" s="18"/>
    </row>
    <row r="116" customFormat="false" ht="14.25" hidden="false" customHeight="true" outlineLevel="0" collapsed="false">
      <c r="A116" s="18"/>
      <c r="B116" s="18"/>
      <c r="C116" s="18"/>
      <c r="D116" s="18" t="s">
        <v>150</v>
      </c>
      <c r="E116" s="19"/>
      <c r="F116" s="18" t="s">
        <v>153</v>
      </c>
      <c r="G116" s="18"/>
    </row>
    <row r="117" customFormat="false" ht="14.25" hidden="false" customHeight="true" outlineLevel="0" collapsed="false">
      <c r="A117" s="18"/>
      <c r="B117" s="18"/>
      <c r="C117" s="18"/>
      <c r="D117" s="18" t="s">
        <v>150</v>
      </c>
      <c r="E117" s="19"/>
      <c r="F117" s="18" t="s">
        <v>153</v>
      </c>
      <c r="G117" s="18"/>
    </row>
    <row r="118" customFormat="false" ht="14.25" hidden="false" customHeight="true" outlineLevel="0" collapsed="false">
      <c r="A118" s="18"/>
      <c r="B118" s="18"/>
      <c r="C118" s="18"/>
      <c r="D118" s="18" t="s">
        <v>150</v>
      </c>
      <c r="E118" s="19"/>
      <c r="F118" s="18" t="s">
        <v>153</v>
      </c>
      <c r="G118" s="18"/>
    </row>
    <row r="119" customFormat="false" ht="14.25" hidden="false" customHeight="true" outlineLevel="0" collapsed="false">
      <c r="A119" s="18"/>
      <c r="B119" s="18"/>
      <c r="C119" s="18"/>
      <c r="D119" s="18" t="s">
        <v>150</v>
      </c>
      <c r="E119" s="19"/>
      <c r="F119" s="18" t="s">
        <v>153</v>
      </c>
      <c r="G119" s="18"/>
    </row>
    <row r="120" customFormat="false" ht="14.25" hidden="false" customHeight="true" outlineLevel="0" collapsed="false">
      <c r="A120" s="18"/>
      <c r="B120" s="18"/>
      <c r="C120" s="18"/>
      <c r="D120" s="18" t="s">
        <v>150</v>
      </c>
      <c r="E120" s="19"/>
      <c r="F120" s="18" t="s">
        <v>153</v>
      </c>
      <c r="G120" s="18"/>
    </row>
    <row r="121" customFormat="false" ht="14.25" hidden="false" customHeight="true" outlineLevel="0" collapsed="false">
      <c r="A121" s="18"/>
      <c r="B121" s="18"/>
      <c r="C121" s="18"/>
      <c r="D121" s="18" t="s">
        <v>150</v>
      </c>
      <c r="E121" s="19"/>
      <c r="F121" s="18" t="s">
        <v>153</v>
      </c>
      <c r="G121" s="18"/>
    </row>
    <row r="122" customFormat="false" ht="14.25" hidden="false" customHeight="true" outlineLevel="0" collapsed="false">
      <c r="A122" s="18"/>
      <c r="B122" s="18"/>
      <c r="C122" s="18"/>
      <c r="D122" s="18" t="s">
        <v>150</v>
      </c>
      <c r="E122" s="19"/>
      <c r="F122" s="18" t="s">
        <v>153</v>
      </c>
      <c r="G122" s="18"/>
    </row>
    <row r="123" customFormat="false" ht="14.25" hidden="false" customHeight="true" outlineLevel="0" collapsed="false">
      <c r="A123" s="18"/>
      <c r="B123" s="18"/>
      <c r="C123" s="18"/>
      <c r="D123" s="18" t="s">
        <v>150</v>
      </c>
      <c r="E123" s="19"/>
      <c r="F123" s="18" t="s">
        <v>153</v>
      </c>
      <c r="G123" s="18"/>
    </row>
    <row r="124" customFormat="false" ht="14.25" hidden="false" customHeight="true" outlineLevel="0" collapsed="false">
      <c r="A124" s="18"/>
      <c r="B124" s="18"/>
      <c r="C124" s="18"/>
      <c r="D124" s="18" t="s">
        <v>150</v>
      </c>
      <c r="E124" s="19"/>
      <c r="F124" s="18" t="s">
        <v>153</v>
      </c>
      <c r="G124" s="18"/>
    </row>
    <row r="125" customFormat="false" ht="14.25" hidden="false" customHeight="true" outlineLevel="0" collapsed="false">
      <c r="A125" s="18"/>
      <c r="B125" s="18"/>
      <c r="C125" s="18"/>
      <c r="D125" s="18" t="s">
        <v>150</v>
      </c>
      <c r="E125" s="19"/>
      <c r="F125" s="18" t="s">
        <v>153</v>
      </c>
      <c r="G125" s="18"/>
    </row>
    <row r="126" customFormat="false" ht="14.25" hidden="false" customHeight="true" outlineLevel="0" collapsed="false">
      <c r="A126" s="18"/>
      <c r="B126" s="18"/>
      <c r="C126" s="18"/>
      <c r="D126" s="18" t="s">
        <v>150</v>
      </c>
      <c r="E126" s="19"/>
      <c r="F126" s="18" t="s">
        <v>153</v>
      </c>
      <c r="G126" s="18"/>
    </row>
    <row r="127" customFormat="false" ht="14.25" hidden="false" customHeight="true" outlineLevel="0" collapsed="false">
      <c r="A127" s="18"/>
      <c r="B127" s="18"/>
      <c r="C127" s="18"/>
      <c r="D127" s="18" t="s">
        <v>150</v>
      </c>
      <c r="E127" s="19"/>
      <c r="F127" s="18" t="s">
        <v>153</v>
      </c>
      <c r="G127" s="18"/>
    </row>
    <row r="128" customFormat="false" ht="14.25" hidden="false" customHeight="true" outlineLevel="0" collapsed="false">
      <c r="A128" s="18"/>
      <c r="B128" s="18"/>
      <c r="C128" s="18"/>
      <c r="D128" s="18" t="s">
        <v>150</v>
      </c>
      <c r="E128" s="19"/>
      <c r="F128" s="18" t="s">
        <v>153</v>
      </c>
      <c r="G128" s="18"/>
    </row>
    <row r="129" customFormat="false" ht="14.25" hidden="false" customHeight="true" outlineLevel="0" collapsed="false">
      <c r="A129" s="18"/>
      <c r="B129" s="18"/>
      <c r="C129" s="18"/>
      <c r="D129" s="18" t="s">
        <v>150</v>
      </c>
      <c r="E129" s="19"/>
      <c r="F129" s="18" t="s">
        <v>153</v>
      </c>
      <c r="G129" s="18"/>
    </row>
    <row r="130" customFormat="false" ht="14.25" hidden="false" customHeight="true" outlineLevel="0" collapsed="false">
      <c r="A130" s="18"/>
      <c r="B130" s="18"/>
      <c r="C130" s="18"/>
      <c r="D130" s="18" t="s">
        <v>150</v>
      </c>
      <c r="E130" s="19"/>
      <c r="F130" s="18" t="s">
        <v>153</v>
      </c>
      <c r="G130" s="18"/>
    </row>
    <row r="131" customFormat="false" ht="14.25" hidden="false" customHeight="true" outlineLevel="0" collapsed="false">
      <c r="A131" s="18"/>
      <c r="B131" s="18"/>
      <c r="C131" s="18"/>
      <c r="D131" s="18" t="s">
        <v>150</v>
      </c>
      <c r="E131" s="19"/>
      <c r="F131" s="18" t="s">
        <v>153</v>
      </c>
      <c r="G131" s="18"/>
    </row>
    <row r="132" customFormat="false" ht="14.25" hidden="false" customHeight="true" outlineLevel="0" collapsed="false">
      <c r="A132" s="18"/>
      <c r="B132" s="18"/>
      <c r="C132" s="18"/>
      <c r="D132" s="18" t="s">
        <v>150</v>
      </c>
      <c r="E132" s="19"/>
      <c r="F132" s="18" t="s">
        <v>153</v>
      </c>
      <c r="G132" s="18"/>
    </row>
    <row r="133" customFormat="false" ht="14.25" hidden="false" customHeight="true" outlineLevel="0" collapsed="false">
      <c r="A133" s="18"/>
      <c r="B133" s="18"/>
      <c r="C133" s="18"/>
      <c r="D133" s="18" t="s">
        <v>150</v>
      </c>
      <c r="E133" s="19"/>
      <c r="F133" s="18" t="s">
        <v>153</v>
      </c>
      <c r="G133" s="18"/>
    </row>
    <row r="134" customFormat="false" ht="14.25" hidden="false" customHeight="true" outlineLevel="0" collapsed="false">
      <c r="A134" s="18"/>
      <c r="B134" s="18"/>
      <c r="C134" s="18"/>
      <c r="D134" s="18" t="s">
        <v>150</v>
      </c>
      <c r="E134" s="19"/>
      <c r="F134" s="18" t="s">
        <v>153</v>
      </c>
      <c r="G134" s="18"/>
    </row>
    <row r="135" customFormat="false" ht="14.25" hidden="false" customHeight="true" outlineLevel="0" collapsed="false">
      <c r="A135" s="18"/>
      <c r="B135" s="18"/>
      <c r="C135" s="18"/>
      <c r="D135" s="18" t="s">
        <v>150</v>
      </c>
      <c r="E135" s="19"/>
      <c r="F135" s="18" t="s">
        <v>153</v>
      </c>
      <c r="G135" s="18"/>
    </row>
    <row r="136" customFormat="false" ht="14.25" hidden="false" customHeight="true" outlineLevel="0" collapsed="false">
      <c r="A136" s="18"/>
      <c r="B136" s="18"/>
      <c r="C136" s="18"/>
      <c r="D136" s="18" t="s">
        <v>150</v>
      </c>
      <c r="E136" s="19"/>
      <c r="F136" s="18" t="s">
        <v>153</v>
      </c>
      <c r="G136" s="18"/>
    </row>
    <row r="137" customFormat="false" ht="14.25" hidden="false" customHeight="true" outlineLevel="0" collapsed="false">
      <c r="A137" s="18"/>
      <c r="B137" s="18"/>
      <c r="C137" s="18"/>
      <c r="D137" s="18" t="s">
        <v>150</v>
      </c>
      <c r="E137" s="19"/>
      <c r="F137" s="18" t="s">
        <v>153</v>
      </c>
      <c r="G137" s="18"/>
    </row>
    <row r="138" customFormat="false" ht="14.25" hidden="false" customHeight="true" outlineLevel="0" collapsed="false">
      <c r="A138" s="18"/>
      <c r="B138" s="18"/>
      <c r="C138" s="18"/>
      <c r="D138" s="18" t="s">
        <v>150</v>
      </c>
      <c r="E138" s="19"/>
      <c r="F138" s="18" t="s">
        <v>153</v>
      </c>
      <c r="G138" s="18"/>
    </row>
    <row r="139" customFormat="false" ht="14.25" hidden="false" customHeight="true" outlineLevel="0" collapsed="false">
      <c r="A139" s="18"/>
      <c r="B139" s="18"/>
      <c r="C139" s="18"/>
      <c r="D139" s="18" t="s">
        <v>150</v>
      </c>
      <c r="E139" s="19"/>
      <c r="F139" s="18" t="s">
        <v>153</v>
      </c>
      <c r="G139" s="18"/>
    </row>
    <row r="140" customFormat="false" ht="14.25" hidden="false" customHeight="true" outlineLevel="0" collapsed="false">
      <c r="A140" s="18"/>
      <c r="B140" s="18"/>
      <c r="C140" s="18"/>
      <c r="D140" s="18" t="s">
        <v>150</v>
      </c>
      <c r="E140" s="19"/>
      <c r="F140" s="18" t="s">
        <v>153</v>
      </c>
      <c r="G140" s="18"/>
    </row>
    <row r="141" customFormat="false" ht="14.25" hidden="false" customHeight="true" outlineLevel="0" collapsed="false">
      <c r="A141" s="18"/>
      <c r="B141" s="18"/>
      <c r="C141" s="18"/>
      <c r="D141" s="18" t="s">
        <v>150</v>
      </c>
      <c r="E141" s="19"/>
      <c r="F141" s="18" t="s">
        <v>153</v>
      </c>
      <c r="G141" s="18"/>
    </row>
    <row r="142" customFormat="false" ht="14.25" hidden="false" customHeight="true" outlineLevel="0" collapsed="false">
      <c r="A142" s="18"/>
      <c r="B142" s="18"/>
      <c r="C142" s="18"/>
      <c r="D142" s="18" t="s">
        <v>150</v>
      </c>
      <c r="E142" s="19"/>
      <c r="F142" s="18" t="s">
        <v>153</v>
      </c>
      <c r="G142" s="18"/>
    </row>
    <row r="143" customFormat="false" ht="14.25" hidden="false" customHeight="true" outlineLevel="0" collapsed="false">
      <c r="A143" s="18"/>
      <c r="B143" s="18"/>
      <c r="C143" s="18"/>
      <c r="D143" s="18" t="s">
        <v>150</v>
      </c>
      <c r="E143" s="19"/>
      <c r="F143" s="18" t="s">
        <v>153</v>
      </c>
      <c r="G143" s="18"/>
    </row>
    <row r="144" customFormat="false" ht="14.25" hidden="false" customHeight="true" outlineLevel="0" collapsed="false">
      <c r="A144" s="18"/>
      <c r="B144" s="18"/>
      <c r="C144" s="18"/>
      <c r="D144" s="18" t="s">
        <v>150</v>
      </c>
      <c r="E144" s="19"/>
      <c r="F144" s="18" t="s">
        <v>153</v>
      </c>
      <c r="G144" s="18"/>
    </row>
    <row r="145" customFormat="false" ht="14.25" hidden="false" customHeight="true" outlineLevel="0" collapsed="false">
      <c r="A145" s="18"/>
      <c r="B145" s="18"/>
      <c r="C145" s="18"/>
      <c r="D145" s="18" t="s">
        <v>150</v>
      </c>
      <c r="E145" s="19"/>
      <c r="F145" s="18" t="s">
        <v>153</v>
      </c>
      <c r="G145" s="18"/>
    </row>
    <row r="146" customFormat="false" ht="14.25" hidden="false" customHeight="true" outlineLevel="0" collapsed="false">
      <c r="A146" s="18"/>
      <c r="B146" s="18"/>
      <c r="C146" s="18"/>
      <c r="D146" s="18" t="s">
        <v>150</v>
      </c>
      <c r="E146" s="19"/>
      <c r="F146" s="18" t="s">
        <v>153</v>
      </c>
      <c r="G146" s="18"/>
    </row>
    <row r="147" customFormat="false" ht="14.25" hidden="false" customHeight="true" outlineLevel="0" collapsed="false">
      <c r="A147" s="18"/>
      <c r="B147" s="18"/>
      <c r="C147" s="18"/>
      <c r="D147" s="18" t="s">
        <v>150</v>
      </c>
      <c r="E147" s="19"/>
      <c r="F147" s="18" t="s">
        <v>153</v>
      </c>
      <c r="G147" s="18"/>
    </row>
    <row r="148" customFormat="false" ht="14.25" hidden="false" customHeight="true" outlineLevel="0" collapsed="false">
      <c r="A148" s="18"/>
      <c r="B148" s="18"/>
      <c r="C148" s="18"/>
      <c r="D148" s="18" t="s">
        <v>150</v>
      </c>
      <c r="E148" s="19"/>
      <c r="F148" s="18" t="s">
        <v>153</v>
      </c>
      <c r="G148" s="18"/>
    </row>
    <row r="149" customFormat="false" ht="14.25" hidden="false" customHeight="true" outlineLevel="0" collapsed="false">
      <c r="A149" s="18"/>
      <c r="B149" s="18"/>
      <c r="C149" s="18"/>
      <c r="D149" s="18" t="s">
        <v>150</v>
      </c>
      <c r="E149" s="19"/>
      <c r="F149" s="18" t="s">
        <v>153</v>
      </c>
      <c r="G149" s="18"/>
    </row>
    <row r="150" customFormat="false" ht="14.25" hidden="false" customHeight="true" outlineLevel="0" collapsed="false">
      <c r="A150" s="18"/>
      <c r="B150" s="18"/>
      <c r="C150" s="18"/>
      <c r="D150" s="18" t="s">
        <v>150</v>
      </c>
      <c r="E150" s="19"/>
      <c r="F150" s="18" t="s">
        <v>153</v>
      </c>
      <c r="G150" s="18"/>
    </row>
    <row r="151" customFormat="false" ht="14.25" hidden="false" customHeight="true" outlineLevel="0" collapsed="false">
      <c r="A151" s="18"/>
      <c r="B151" s="18"/>
      <c r="C151" s="18"/>
      <c r="D151" s="18" t="s">
        <v>150</v>
      </c>
      <c r="E151" s="19"/>
      <c r="F151" s="18" t="s">
        <v>153</v>
      </c>
      <c r="G151" s="18"/>
    </row>
    <row r="152" customFormat="false" ht="14.25" hidden="false" customHeight="true" outlineLevel="0" collapsed="false">
      <c r="A152" s="18"/>
      <c r="B152" s="18"/>
      <c r="C152" s="18"/>
      <c r="D152" s="18" t="s">
        <v>150</v>
      </c>
      <c r="E152" s="19"/>
      <c r="F152" s="18" t="s">
        <v>153</v>
      </c>
      <c r="G152" s="18"/>
    </row>
    <row r="153" customFormat="false" ht="14.25" hidden="false" customHeight="true" outlineLevel="0" collapsed="false">
      <c r="A153" s="18"/>
      <c r="B153" s="18"/>
      <c r="C153" s="18"/>
      <c r="D153" s="18" t="s">
        <v>150</v>
      </c>
      <c r="E153" s="19"/>
      <c r="F153" s="18" t="s">
        <v>153</v>
      </c>
      <c r="G153" s="18"/>
    </row>
    <row r="154" customFormat="false" ht="14.25" hidden="false" customHeight="true" outlineLevel="0" collapsed="false">
      <c r="A154" s="18"/>
      <c r="B154" s="18"/>
      <c r="C154" s="18"/>
      <c r="D154" s="18" t="s">
        <v>150</v>
      </c>
      <c r="E154" s="19"/>
      <c r="F154" s="18" t="s">
        <v>153</v>
      </c>
      <c r="G154" s="18"/>
    </row>
    <row r="155" customFormat="false" ht="14.25" hidden="false" customHeight="true" outlineLevel="0" collapsed="false">
      <c r="A155" s="18"/>
      <c r="B155" s="18"/>
      <c r="C155" s="18"/>
      <c r="D155" s="18" t="s">
        <v>150</v>
      </c>
      <c r="E155" s="19"/>
      <c r="F155" s="18" t="s">
        <v>153</v>
      </c>
      <c r="G155" s="18"/>
    </row>
    <row r="156" customFormat="false" ht="14.25" hidden="false" customHeight="true" outlineLevel="0" collapsed="false">
      <c r="A156" s="18"/>
      <c r="B156" s="18"/>
      <c r="C156" s="18"/>
      <c r="D156" s="18" t="s">
        <v>150</v>
      </c>
      <c r="E156" s="19"/>
      <c r="F156" s="18" t="s">
        <v>153</v>
      </c>
      <c r="G156" s="18"/>
    </row>
    <row r="157" customFormat="false" ht="14.25" hidden="false" customHeight="true" outlineLevel="0" collapsed="false">
      <c r="A157" s="18"/>
      <c r="B157" s="18"/>
      <c r="C157" s="18"/>
      <c r="D157" s="18" t="s">
        <v>150</v>
      </c>
      <c r="E157" s="19"/>
      <c r="F157" s="18" t="s">
        <v>153</v>
      </c>
      <c r="G157" s="18"/>
    </row>
    <row r="158" customFormat="false" ht="14.25" hidden="false" customHeight="true" outlineLevel="0" collapsed="false">
      <c r="A158" s="18"/>
      <c r="B158" s="18"/>
      <c r="C158" s="18"/>
      <c r="D158" s="18" t="s">
        <v>150</v>
      </c>
      <c r="E158" s="19"/>
      <c r="F158" s="18" t="s">
        <v>153</v>
      </c>
      <c r="G158" s="18"/>
    </row>
    <row r="159" customFormat="false" ht="14.25" hidden="false" customHeight="true" outlineLevel="0" collapsed="false">
      <c r="A159" s="18"/>
      <c r="B159" s="18"/>
      <c r="C159" s="18"/>
      <c r="D159" s="18" t="s">
        <v>150</v>
      </c>
      <c r="E159" s="19"/>
      <c r="F159" s="18" t="s">
        <v>153</v>
      </c>
      <c r="G159" s="18"/>
    </row>
    <row r="160" customFormat="false" ht="14.25" hidden="false" customHeight="true" outlineLevel="0" collapsed="false">
      <c r="A160" s="18"/>
      <c r="B160" s="18"/>
      <c r="C160" s="18"/>
      <c r="D160" s="18" t="s">
        <v>150</v>
      </c>
      <c r="E160" s="19"/>
      <c r="F160" s="18" t="s">
        <v>153</v>
      </c>
      <c r="G160" s="18"/>
    </row>
    <row r="161" customFormat="false" ht="14.25" hidden="false" customHeight="true" outlineLevel="0" collapsed="false">
      <c r="A161" s="18"/>
      <c r="B161" s="18"/>
      <c r="C161" s="18"/>
      <c r="D161" s="18" t="s">
        <v>150</v>
      </c>
      <c r="E161" s="19"/>
      <c r="F161" s="18" t="s">
        <v>153</v>
      </c>
      <c r="G161" s="18"/>
    </row>
    <row r="162" customFormat="false" ht="14.25" hidden="false" customHeight="true" outlineLevel="0" collapsed="false">
      <c r="A162" s="18"/>
      <c r="B162" s="18"/>
      <c r="C162" s="18"/>
      <c r="D162" s="18" t="s">
        <v>150</v>
      </c>
      <c r="E162" s="19"/>
      <c r="F162" s="18" t="s">
        <v>153</v>
      </c>
      <c r="G162" s="18"/>
    </row>
    <row r="163" customFormat="false" ht="14.25" hidden="false" customHeight="true" outlineLevel="0" collapsed="false">
      <c r="A163" s="18"/>
      <c r="B163" s="18"/>
      <c r="C163" s="18"/>
      <c r="D163" s="18" t="s">
        <v>150</v>
      </c>
      <c r="E163" s="19"/>
      <c r="F163" s="18" t="s">
        <v>153</v>
      </c>
      <c r="G163" s="18"/>
    </row>
    <row r="164" customFormat="false" ht="14.25" hidden="false" customHeight="true" outlineLevel="0" collapsed="false">
      <c r="A164" s="18"/>
      <c r="B164" s="18"/>
      <c r="C164" s="18"/>
      <c r="D164" s="18" t="s">
        <v>150</v>
      </c>
      <c r="E164" s="19"/>
      <c r="F164" s="18" t="s">
        <v>153</v>
      </c>
      <c r="G164" s="18"/>
    </row>
    <row r="165" customFormat="false" ht="14.25" hidden="false" customHeight="true" outlineLevel="0" collapsed="false">
      <c r="A165" s="18"/>
      <c r="B165" s="18"/>
      <c r="C165" s="18"/>
      <c r="D165" s="18" t="s">
        <v>150</v>
      </c>
      <c r="E165" s="19"/>
      <c r="F165" s="18" t="s">
        <v>153</v>
      </c>
      <c r="G165" s="18"/>
    </row>
    <row r="166" customFormat="false" ht="14.25" hidden="false" customHeight="true" outlineLevel="0" collapsed="false">
      <c r="A166" s="18"/>
      <c r="B166" s="18"/>
      <c r="C166" s="18"/>
      <c r="D166" s="18" t="s">
        <v>150</v>
      </c>
      <c r="E166" s="19"/>
      <c r="F166" s="18" t="s">
        <v>153</v>
      </c>
      <c r="G166" s="18"/>
    </row>
    <row r="167" customFormat="false" ht="14.25" hidden="false" customHeight="true" outlineLevel="0" collapsed="false">
      <c r="A167" s="18"/>
      <c r="B167" s="18"/>
      <c r="C167" s="18"/>
      <c r="D167" s="18" t="s">
        <v>150</v>
      </c>
      <c r="E167" s="19"/>
      <c r="F167" s="18" t="s">
        <v>153</v>
      </c>
      <c r="G167" s="18"/>
    </row>
    <row r="168" customFormat="false" ht="14.25" hidden="false" customHeight="true" outlineLevel="0" collapsed="false">
      <c r="A168" s="18"/>
      <c r="B168" s="18"/>
      <c r="C168" s="18"/>
      <c r="D168" s="18" t="s">
        <v>150</v>
      </c>
      <c r="E168" s="19"/>
      <c r="F168" s="18" t="s">
        <v>153</v>
      </c>
      <c r="G168" s="18"/>
    </row>
    <row r="169" customFormat="false" ht="14.25" hidden="false" customHeight="true" outlineLevel="0" collapsed="false">
      <c r="A169" s="18"/>
      <c r="B169" s="18"/>
      <c r="C169" s="18"/>
      <c r="D169" s="18" t="s">
        <v>150</v>
      </c>
      <c r="E169" s="19"/>
      <c r="F169" s="18" t="s">
        <v>153</v>
      </c>
      <c r="G169" s="18"/>
    </row>
    <row r="170" customFormat="false" ht="14.25" hidden="false" customHeight="true" outlineLevel="0" collapsed="false">
      <c r="A170" s="18"/>
      <c r="B170" s="18"/>
      <c r="C170" s="18"/>
      <c r="D170" s="18" t="s">
        <v>150</v>
      </c>
      <c r="E170" s="19"/>
      <c r="F170" s="18" t="s">
        <v>153</v>
      </c>
      <c r="G170" s="18"/>
    </row>
    <row r="171" customFormat="false" ht="14.25" hidden="false" customHeight="true" outlineLevel="0" collapsed="false">
      <c r="A171" s="18"/>
      <c r="B171" s="18"/>
      <c r="C171" s="18"/>
      <c r="D171" s="18" t="s">
        <v>150</v>
      </c>
      <c r="E171" s="19"/>
      <c r="F171" s="18" t="s">
        <v>153</v>
      </c>
      <c r="G171" s="18"/>
    </row>
    <row r="172" customFormat="false" ht="14.25" hidden="false" customHeight="true" outlineLevel="0" collapsed="false">
      <c r="A172" s="18"/>
      <c r="B172" s="18"/>
      <c r="C172" s="18"/>
      <c r="D172" s="18" t="s">
        <v>150</v>
      </c>
      <c r="E172" s="19"/>
      <c r="F172" s="18" t="s">
        <v>153</v>
      </c>
      <c r="G172" s="18"/>
    </row>
    <row r="173" customFormat="false" ht="14.25" hidden="false" customHeight="true" outlineLevel="0" collapsed="false">
      <c r="A173" s="18"/>
      <c r="B173" s="18"/>
      <c r="C173" s="18"/>
      <c r="D173" s="18" t="s">
        <v>150</v>
      </c>
      <c r="E173" s="19"/>
      <c r="F173" s="18" t="s">
        <v>153</v>
      </c>
      <c r="G173" s="18"/>
    </row>
    <row r="174" customFormat="false" ht="14.25" hidden="false" customHeight="true" outlineLevel="0" collapsed="false">
      <c r="A174" s="18"/>
      <c r="B174" s="18"/>
      <c r="C174" s="18"/>
      <c r="D174" s="18" t="s">
        <v>150</v>
      </c>
      <c r="E174" s="19"/>
      <c r="F174" s="18" t="s">
        <v>153</v>
      </c>
      <c r="G174" s="18"/>
    </row>
    <row r="175" customFormat="false" ht="14.25" hidden="false" customHeight="true" outlineLevel="0" collapsed="false">
      <c r="A175" s="18"/>
      <c r="B175" s="18"/>
      <c r="C175" s="18"/>
      <c r="D175" s="18" t="s">
        <v>150</v>
      </c>
      <c r="E175" s="19"/>
      <c r="F175" s="18" t="s">
        <v>153</v>
      </c>
      <c r="G175" s="18"/>
    </row>
    <row r="176" customFormat="false" ht="14.25" hidden="false" customHeight="true" outlineLevel="0" collapsed="false">
      <c r="A176" s="18"/>
      <c r="B176" s="18"/>
      <c r="C176" s="18"/>
      <c r="D176" s="18" t="s">
        <v>150</v>
      </c>
      <c r="E176" s="19"/>
      <c r="F176" s="18" t="s">
        <v>153</v>
      </c>
      <c r="G176" s="18"/>
    </row>
    <row r="177" customFormat="false" ht="14.25" hidden="false" customHeight="true" outlineLevel="0" collapsed="false">
      <c r="A177" s="18"/>
      <c r="B177" s="18"/>
      <c r="C177" s="18"/>
      <c r="D177" s="18" t="s">
        <v>150</v>
      </c>
      <c r="E177" s="19"/>
      <c r="F177" s="18" t="s">
        <v>153</v>
      </c>
      <c r="G177" s="18"/>
    </row>
    <row r="178" customFormat="false" ht="14.25" hidden="false" customHeight="true" outlineLevel="0" collapsed="false">
      <c r="A178" s="18"/>
      <c r="B178" s="18"/>
      <c r="C178" s="18"/>
      <c r="D178" s="18" t="s">
        <v>150</v>
      </c>
      <c r="E178" s="19"/>
      <c r="F178" s="18" t="s">
        <v>153</v>
      </c>
      <c r="G178" s="18"/>
    </row>
    <row r="179" customFormat="false" ht="14.25" hidden="false" customHeight="true" outlineLevel="0" collapsed="false">
      <c r="A179" s="18"/>
      <c r="B179" s="18"/>
      <c r="C179" s="18"/>
      <c r="D179" s="18" t="s">
        <v>150</v>
      </c>
      <c r="E179" s="19"/>
      <c r="F179" s="18" t="s">
        <v>153</v>
      </c>
      <c r="G179" s="18"/>
    </row>
    <row r="180" customFormat="false" ht="14.25" hidden="false" customHeight="true" outlineLevel="0" collapsed="false">
      <c r="A180" s="18"/>
      <c r="B180" s="18"/>
      <c r="C180" s="18"/>
      <c r="D180" s="18" t="s">
        <v>150</v>
      </c>
      <c r="E180" s="19"/>
      <c r="F180" s="18" t="s">
        <v>153</v>
      </c>
      <c r="G180" s="18"/>
    </row>
    <row r="181" customFormat="false" ht="14.25" hidden="false" customHeight="true" outlineLevel="0" collapsed="false">
      <c r="A181" s="18"/>
      <c r="B181" s="18"/>
      <c r="C181" s="18"/>
      <c r="D181" s="18" t="s">
        <v>150</v>
      </c>
      <c r="E181" s="19"/>
      <c r="F181" s="18" t="s">
        <v>153</v>
      </c>
      <c r="G181" s="18"/>
    </row>
    <row r="182" customFormat="false" ht="14.25" hidden="false" customHeight="true" outlineLevel="0" collapsed="false">
      <c r="A182" s="18"/>
      <c r="B182" s="18"/>
      <c r="C182" s="18"/>
      <c r="D182" s="18" t="s">
        <v>150</v>
      </c>
      <c r="E182" s="19"/>
      <c r="F182" s="18" t="s">
        <v>153</v>
      </c>
      <c r="G182" s="18"/>
    </row>
    <row r="183" customFormat="false" ht="14.25" hidden="false" customHeight="true" outlineLevel="0" collapsed="false">
      <c r="A183" s="18"/>
      <c r="B183" s="18"/>
      <c r="C183" s="18"/>
      <c r="D183" s="18" t="s">
        <v>150</v>
      </c>
      <c r="E183" s="19"/>
      <c r="F183" s="18" t="s">
        <v>153</v>
      </c>
      <c r="G183" s="18"/>
    </row>
    <row r="184" customFormat="false" ht="14.25" hidden="false" customHeight="true" outlineLevel="0" collapsed="false">
      <c r="A184" s="18"/>
      <c r="B184" s="18"/>
      <c r="C184" s="18"/>
      <c r="D184" s="18" t="s">
        <v>150</v>
      </c>
      <c r="E184" s="19"/>
      <c r="F184" s="18" t="s">
        <v>153</v>
      </c>
      <c r="G184" s="18"/>
    </row>
    <row r="185" customFormat="false" ht="14.25" hidden="false" customHeight="true" outlineLevel="0" collapsed="false">
      <c r="A185" s="18"/>
      <c r="B185" s="18"/>
      <c r="C185" s="18"/>
      <c r="D185" s="18" t="s">
        <v>150</v>
      </c>
      <c r="E185" s="19"/>
      <c r="F185" s="18" t="s">
        <v>153</v>
      </c>
      <c r="G185" s="18"/>
    </row>
    <row r="186" customFormat="false" ht="14.25" hidden="false" customHeight="true" outlineLevel="0" collapsed="false">
      <c r="A186" s="18"/>
      <c r="B186" s="18"/>
      <c r="C186" s="18"/>
      <c r="D186" s="18" t="s">
        <v>150</v>
      </c>
      <c r="E186" s="19"/>
      <c r="F186" s="18" t="s">
        <v>153</v>
      </c>
      <c r="G186" s="18"/>
    </row>
    <row r="187" customFormat="false" ht="14.25" hidden="false" customHeight="true" outlineLevel="0" collapsed="false">
      <c r="A187" s="18"/>
      <c r="B187" s="18"/>
      <c r="C187" s="18"/>
      <c r="D187" s="18" t="s">
        <v>150</v>
      </c>
      <c r="E187" s="19"/>
      <c r="F187" s="18" t="s">
        <v>153</v>
      </c>
      <c r="G187" s="18"/>
    </row>
    <row r="188" customFormat="false" ht="14.25" hidden="false" customHeight="true" outlineLevel="0" collapsed="false">
      <c r="A188" s="18"/>
      <c r="B188" s="18"/>
      <c r="C188" s="18"/>
      <c r="D188" s="18" t="s">
        <v>150</v>
      </c>
      <c r="E188" s="19"/>
      <c r="F188" s="18" t="s">
        <v>153</v>
      </c>
      <c r="G188" s="18"/>
    </row>
    <row r="189" customFormat="false" ht="14.25" hidden="false" customHeight="true" outlineLevel="0" collapsed="false">
      <c r="A189" s="18"/>
      <c r="B189" s="18"/>
      <c r="C189" s="18"/>
      <c r="D189" s="18" t="s">
        <v>150</v>
      </c>
      <c r="E189" s="19"/>
      <c r="F189" s="18" t="s">
        <v>153</v>
      </c>
      <c r="G189" s="18"/>
    </row>
    <row r="190" customFormat="false" ht="14.25" hidden="false" customHeight="true" outlineLevel="0" collapsed="false">
      <c r="A190" s="18"/>
      <c r="B190" s="18"/>
      <c r="C190" s="18"/>
      <c r="D190" s="18" t="s">
        <v>150</v>
      </c>
      <c r="E190" s="19"/>
      <c r="F190" s="18" t="s">
        <v>153</v>
      </c>
      <c r="G190" s="18"/>
    </row>
    <row r="191" customFormat="false" ht="14.25" hidden="false" customHeight="true" outlineLevel="0" collapsed="false">
      <c r="A191" s="18"/>
      <c r="B191" s="18"/>
      <c r="C191" s="18"/>
      <c r="D191" s="18" t="s">
        <v>150</v>
      </c>
      <c r="E191" s="19"/>
      <c r="F191" s="18" t="s">
        <v>153</v>
      </c>
      <c r="G191" s="18"/>
    </row>
    <row r="192" customFormat="false" ht="14.25" hidden="false" customHeight="true" outlineLevel="0" collapsed="false">
      <c r="A192" s="18"/>
      <c r="B192" s="18"/>
      <c r="C192" s="18"/>
      <c r="D192" s="18" t="s">
        <v>150</v>
      </c>
      <c r="E192" s="19"/>
      <c r="F192" s="18" t="s">
        <v>153</v>
      </c>
      <c r="G192" s="18"/>
    </row>
    <row r="193" customFormat="false" ht="14.25" hidden="false" customHeight="true" outlineLevel="0" collapsed="false">
      <c r="A193" s="18"/>
      <c r="B193" s="18"/>
      <c r="C193" s="18"/>
      <c r="D193" s="18" t="s">
        <v>150</v>
      </c>
      <c r="E193" s="19"/>
      <c r="F193" s="18" t="s">
        <v>153</v>
      </c>
      <c r="G193" s="18"/>
    </row>
    <row r="194" customFormat="false" ht="14.25" hidden="false" customHeight="true" outlineLevel="0" collapsed="false">
      <c r="A194" s="18"/>
      <c r="B194" s="18"/>
      <c r="C194" s="18"/>
      <c r="D194" s="18" t="s">
        <v>150</v>
      </c>
      <c r="E194" s="19"/>
      <c r="F194" s="18" t="s">
        <v>153</v>
      </c>
      <c r="G194" s="18"/>
    </row>
    <row r="195" customFormat="false" ht="14.25" hidden="false" customHeight="true" outlineLevel="0" collapsed="false">
      <c r="A195" s="18"/>
      <c r="B195" s="18"/>
      <c r="C195" s="18"/>
      <c r="D195" s="18" t="s">
        <v>150</v>
      </c>
      <c r="E195" s="19"/>
      <c r="F195" s="18" t="s">
        <v>153</v>
      </c>
      <c r="G195" s="18"/>
    </row>
    <row r="196" customFormat="false" ht="14.25" hidden="false" customHeight="true" outlineLevel="0" collapsed="false">
      <c r="A196" s="18"/>
      <c r="B196" s="18"/>
      <c r="C196" s="18"/>
      <c r="D196" s="18" t="s">
        <v>150</v>
      </c>
      <c r="E196" s="19"/>
      <c r="F196" s="18" t="s">
        <v>153</v>
      </c>
      <c r="G196" s="18"/>
    </row>
    <row r="197" customFormat="false" ht="14.25" hidden="false" customHeight="true" outlineLevel="0" collapsed="false">
      <c r="A197" s="18"/>
      <c r="B197" s="18"/>
      <c r="C197" s="18"/>
      <c r="D197" s="18" t="s">
        <v>150</v>
      </c>
      <c r="E197" s="19"/>
      <c r="F197" s="18" t="s">
        <v>153</v>
      </c>
      <c r="G197" s="18"/>
    </row>
    <row r="198" customFormat="false" ht="14.25" hidden="false" customHeight="true" outlineLevel="0" collapsed="false">
      <c r="A198" s="18"/>
      <c r="B198" s="18"/>
      <c r="C198" s="18"/>
      <c r="D198" s="18" t="s">
        <v>150</v>
      </c>
      <c r="E198" s="19"/>
      <c r="F198" s="18" t="s">
        <v>153</v>
      </c>
      <c r="G198" s="18"/>
    </row>
    <row r="199" customFormat="false" ht="14.25" hidden="false" customHeight="true" outlineLevel="0" collapsed="false">
      <c r="A199" s="18"/>
      <c r="B199" s="18"/>
      <c r="C199" s="18"/>
      <c r="D199" s="18" t="s">
        <v>150</v>
      </c>
      <c r="E199" s="19"/>
      <c r="F199" s="18" t="s">
        <v>153</v>
      </c>
      <c r="G199" s="18"/>
    </row>
    <row r="200" customFormat="false" ht="14.25" hidden="false" customHeight="true" outlineLevel="0" collapsed="false">
      <c r="A200" s="18"/>
      <c r="B200" s="18"/>
      <c r="C200" s="18"/>
      <c r="D200" s="18" t="s">
        <v>150</v>
      </c>
      <c r="E200" s="19"/>
      <c r="F200" s="18" t="s">
        <v>153</v>
      </c>
      <c r="G200" s="18"/>
    </row>
    <row r="201" customFormat="false" ht="14.25" hidden="false" customHeight="true" outlineLevel="0" collapsed="false">
      <c r="A201" s="18"/>
      <c r="B201" s="18"/>
      <c r="C201" s="18"/>
      <c r="D201" s="18" t="s">
        <v>150</v>
      </c>
      <c r="E201" s="19"/>
      <c r="F201" s="18" t="s">
        <v>153</v>
      </c>
      <c r="G201" s="18"/>
    </row>
    <row r="202" customFormat="false" ht="14.25" hidden="false" customHeight="true" outlineLevel="0" collapsed="false">
      <c r="A202" s="18"/>
      <c r="B202" s="18"/>
      <c r="C202" s="18"/>
      <c r="D202" s="18" t="s">
        <v>150</v>
      </c>
      <c r="E202" s="19"/>
      <c r="F202" s="18" t="s">
        <v>153</v>
      </c>
      <c r="G202" s="18"/>
    </row>
    <row r="203" customFormat="false" ht="14.25" hidden="false" customHeight="true" outlineLevel="0" collapsed="false">
      <c r="A203" s="18"/>
      <c r="B203" s="18"/>
      <c r="C203" s="18"/>
      <c r="D203" s="18" t="s">
        <v>150</v>
      </c>
      <c r="E203" s="19"/>
      <c r="F203" s="18" t="s">
        <v>153</v>
      </c>
      <c r="G203" s="18"/>
    </row>
    <row r="204" customFormat="false" ht="14.25" hidden="false" customHeight="true" outlineLevel="0" collapsed="false">
      <c r="A204" s="18"/>
      <c r="B204" s="18"/>
      <c r="C204" s="18"/>
      <c r="D204" s="18" t="s">
        <v>150</v>
      </c>
      <c r="E204" s="19"/>
      <c r="F204" s="18" t="s">
        <v>153</v>
      </c>
      <c r="G204" s="18"/>
    </row>
    <row r="205" customFormat="false" ht="14.25" hidden="false" customHeight="true" outlineLevel="0" collapsed="false">
      <c r="A205" s="18"/>
      <c r="B205" s="18"/>
      <c r="C205" s="18"/>
      <c r="D205" s="18" t="s">
        <v>150</v>
      </c>
      <c r="E205" s="19"/>
      <c r="F205" s="18" t="s">
        <v>153</v>
      </c>
      <c r="G205" s="18"/>
    </row>
    <row r="206" customFormat="false" ht="14.25" hidden="false" customHeight="true" outlineLevel="0" collapsed="false">
      <c r="A206" s="18"/>
      <c r="B206" s="18"/>
      <c r="C206" s="18"/>
      <c r="D206" s="18" t="s">
        <v>150</v>
      </c>
      <c r="E206" s="19"/>
      <c r="F206" s="18" t="s">
        <v>153</v>
      </c>
      <c r="G206" s="18"/>
    </row>
    <row r="207" customFormat="false" ht="14.25" hidden="false" customHeight="true" outlineLevel="0" collapsed="false">
      <c r="A207" s="18"/>
      <c r="B207" s="18"/>
      <c r="C207" s="18"/>
      <c r="D207" s="18" t="s">
        <v>150</v>
      </c>
      <c r="E207" s="19"/>
      <c r="F207" s="18" t="s">
        <v>153</v>
      </c>
      <c r="G207" s="18"/>
    </row>
    <row r="208" customFormat="false" ht="14.25" hidden="false" customHeight="true" outlineLevel="0" collapsed="false">
      <c r="A208" s="18"/>
      <c r="B208" s="18"/>
      <c r="C208" s="18"/>
      <c r="D208" s="18" t="s">
        <v>150</v>
      </c>
      <c r="E208" s="19"/>
      <c r="F208" s="18" t="s">
        <v>153</v>
      </c>
      <c r="G208" s="18"/>
    </row>
    <row r="209" customFormat="false" ht="14.25" hidden="false" customHeight="true" outlineLevel="0" collapsed="false">
      <c r="A209" s="18"/>
      <c r="B209" s="18"/>
      <c r="C209" s="18"/>
      <c r="D209" s="18" t="s">
        <v>150</v>
      </c>
      <c r="E209" s="19"/>
      <c r="F209" s="18" t="s">
        <v>153</v>
      </c>
      <c r="G209" s="18"/>
    </row>
    <row r="210" customFormat="false" ht="14.25" hidden="false" customHeight="true" outlineLevel="0" collapsed="false">
      <c r="A210" s="18"/>
      <c r="B210" s="18"/>
      <c r="C210" s="18"/>
      <c r="D210" s="18" t="s">
        <v>150</v>
      </c>
      <c r="E210" s="19"/>
      <c r="F210" s="18" t="s">
        <v>153</v>
      </c>
      <c r="G210" s="18"/>
    </row>
    <row r="211" customFormat="false" ht="14.25" hidden="false" customHeight="true" outlineLevel="0" collapsed="false">
      <c r="A211" s="18"/>
      <c r="B211" s="18"/>
      <c r="C211" s="18"/>
      <c r="D211" s="18" t="s">
        <v>150</v>
      </c>
      <c r="E211" s="19"/>
      <c r="F211" s="18" t="s">
        <v>153</v>
      </c>
      <c r="G211" s="18"/>
    </row>
    <row r="212" customFormat="false" ht="14.25" hidden="false" customHeight="true" outlineLevel="0" collapsed="false">
      <c r="A212" s="18"/>
      <c r="B212" s="18"/>
      <c r="C212" s="18"/>
      <c r="D212" s="18" t="s">
        <v>150</v>
      </c>
      <c r="E212" s="19"/>
      <c r="F212" s="18" t="s">
        <v>153</v>
      </c>
      <c r="G212" s="18"/>
    </row>
    <row r="213" customFormat="false" ht="14.25" hidden="false" customHeight="true" outlineLevel="0" collapsed="false">
      <c r="A213" s="18"/>
      <c r="B213" s="18"/>
      <c r="C213" s="18"/>
      <c r="D213" s="18" t="s">
        <v>150</v>
      </c>
      <c r="E213" s="19"/>
      <c r="F213" s="18" t="s">
        <v>153</v>
      </c>
      <c r="G213" s="18"/>
    </row>
    <row r="214" customFormat="false" ht="14.25" hidden="false" customHeight="true" outlineLevel="0" collapsed="false">
      <c r="A214" s="18"/>
      <c r="B214" s="18"/>
      <c r="C214" s="18"/>
      <c r="D214" s="18" t="s">
        <v>150</v>
      </c>
      <c r="E214" s="19"/>
      <c r="F214" s="18" t="s">
        <v>153</v>
      </c>
      <c r="G214" s="18"/>
    </row>
    <row r="215" customFormat="false" ht="14.25" hidden="false" customHeight="true" outlineLevel="0" collapsed="false">
      <c r="A215" s="18"/>
      <c r="B215" s="18"/>
      <c r="C215" s="18"/>
      <c r="D215" s="18" t="s">
        <v>150</v>
      </c>
      <c r="E215" s="19"/>
      <c r="F215" s="18" t="s">
        <v>153</v>
      </c>
      <c r="G215" s="18"/>
    </row>
    <row r="216" customFormat="false" ht="14.25" hidden="false" customHeight="true" outlineLevel="0" collapsed="false">
      <c r="A216" s="18"/>
      <c r="B216" s="18"/>
      <c r="C216" s="18"/>
      <c r="D216" s="18" t="s">
        <v>150</v>
      </c>
      <c r="E216" s="19"/>
      <c r="F216" s="18" t="s">
        <v>153</v>
      </c>
      <c r="G216" s="18"/>
    </row>
    <row r="217" customFormat="false" ht="14.25" hidden="false" customHeight="true" outlineLevel="0" collapsed="false">
      <c r="A217" s="18"/>
      <c r="B217" s="18"/>
      <c r="C217" s="18"/>
      <c r="D217" s="18" t="s">
        <v>150</v>
      </c>
      <c r="E217" s="19"/>
      <c r="F217" s="18" t="s">
        <v>153</v>
      </c>
      <c r="G217" s="18"/>
    </row>
    <row r="218" customFormat="false" ht="14.25" hidden="false" customHeight="true" outlineLevel="0" collapsed="false">
      <c r="A218" s="18"/>
      <c r="B218" s="18"/>
      <c r="C218" s="18"/>
      <c r="D218" s="18" t="s">
        <v>150</v>
      </c>
      <c r="E218" s="19"/>
      <c r="F218" s="18" t="s">
        <v>153</v>
      </c>
      <c r="G218" s="18"/>
    </row>
    <row r="219" customFormat="false" ht="14.25" hidden="false" customHeight="true" outlineLevel="0" collapsed="false">
      <c r="A219" s="18"/>
      <c r="B219" s="18"/>
      <c r="C219" s="18"/>
      <c r="D219" s="18" t="s">
        <v>150</v>
      </c>
      <c r="E219" s="19"/>
      <c r="F219" s="18" t="s">
        <v>153</v>
      </c>
      <c r="G219" s="18"/>
    </row>
    <row r="220" customFormat="false" ht="14.25" hidden="false" customHeight="true" outlineLevel="0" collapsed="false">
      <c r="A220" s="18"/>
      <c r="B220" s="18"/>
      <c r="C220" s="18"/>
      <c r="D220" s="18" t="s">
        <v>150</v>
      </c>
      <c r="E220" s="19"/>
      <c r="F220" s="18" t="s">
        <v>153</v>
      </c>
      <c r="G220" s="18"/>
    </row>
    <row r="221" customFormat="false" ht="14.25" hidden="false" customHeight="true" outlineLevel="0" collapsed="false">
      <c r="A221" s="18"/>
      <c r="B221" s="18"/>
      <c r="C221" s="18"/>
      <c r="D221" s="18" t="s">
        <v>150</v>
      </c>
      <c r="E221" s="19"/>
      <c r="F221" s="18" t="s">
        <v>153</v>
      </c>
      <c r="G221" s="18"/>
    </row>
    <row r="222" customFormat="false" ht="14.25" hidden="false" customHeight="true" outlineLevel="0" collapsed="false">
      <c r="A222" s="18"/>
      <c r="B222" s="18"/>
      <c r="C222" s="18"/>
      <c r="D222" s="18" t="s">
        <v>150</v>
      </c>
      <c r="E222" s="19"/>
      <c r="F222" s="18" t="s">
        <v>153</v>
      </c>
      <c r="G222" s="18"/>
    </row>
    <row r="223" customFormat="false" ht="14.25" hidden="false" customHeight="true" outlineLevel="0" collapsed="false">
      <c r="A223" s="18"/>
      <c r="B223" s="18"/>
      <c r="C223" s="18"/>
      <c r="D223" s="18" t="s">
        <v>150</v>
      </c>
      <c r="E223" s="19"/>
      <c r="F223" s="18" t="s">
        <v>153</v>
      </c>
      <c r="G223" s="18"/>
    </row>
    <row r="224" customFormat="false" ht="14.25" hidden="false" customHeight="true" outlineLevel="0" collapsed="false">
      <c r="A224" s="18"/>
      <c r="B224" s="18"/>
      <c r="C224" s="18"/>
      <c r="D224" s="18" t="s">
        <v>150</v>
      </c>
      <c r="E224" s="19"/>
      <c r="F224" s="18" t="s">
        <v>153</v>
      </c>
      <c r="G224" s="18"/>
    </row>
    <row r="225" customFormat="false" ht="14.25" hidden="false" customHeight="true" outlineLevel="0" collapsed="false">
      <c r="A225" s="18"/>
      <c r="B225" s="18"/>
      <c r="C225" s="18"/>
      <c r="D225" s="18" t="s">
        <v>150</v>
      </c>
      <c r="E225" s="19"/>
      <c r="F225" s="18" t="s">
        <v>153</v>
      </c>
      <c r="G225" s="18"/>
    </row>
    <row r="226" customFormat="false" ht="14.25" hidden="false" customHeight="true" outlineLevel="0" collapsed="false">
      <c r="A226" s="18"/>
      <c r="B226" s="18"/>
      <c r="C226" s="18"/>
      <c r="D226" s="18" t="s">
        <v>150</v>
      </c>
      <c r="E226" s="19"/>
      <c r="F226" s="18" t="s">
        <v>153</v>
      </c>
      <c r="G226" s="18"/>
    </row>
    <row r="227" customFormat="false" ht="14.25" hidden="false" customHeight="true" outlineLevel="0" collapsed="false">
      <c r="A227" s="18"/>
      <c r="B227" s="18"/>
      <c r="C227" s="18"/>
      <c r="D227" s="18" t="s">
        <v>150</v>
      </c>
      <c r="E227" s="19"/>
      <c r="F227" s="18" t="s">
        <v>153</v>
      </c>
      <c r="G227" s="18"/>
    </row>
    <row r="228" customFormat="false" ht="14.25" hidden="false" customHeight="true" outlineLevel="0" collapsed="false">
      <c r="A228" s="18"/>
      <c r="B228" s="18"/>
      <c r="C228" s="18"/>
      <c r="D228" s="18" t="s">
        <v>150</v>
      </c>
      <c r="E228" s="19"/>
      <c r="F228" s="18" t="s">
        <v>153</v>
      </c>
      <c r="G228" s="18"/>
    </row>
    <row r="229" customFormat="false" ht="14.25" hidden="false" customHeight="true" outlineLevel="0" collapsed="false">
      <c r="A229" s="18"/>
      <c r="B229" s="18"/>
      <c r="C229" s="18"/>
      <c r="D229" s="18" t="s">
        <v>150</v>
      </c>
      <c r="E229" s="19"/>
      <c r="F229" s="18" t="s">
        <v>153</v>
      </c>
      <c r="G229" s="18"/>
    </row>
    <row r="230" customFormat="false" ht="14.25" hidden="false" customHeight="true" outlineLevel="0" collapsed="false">
      <c r="A230" s="18"/>
      <c r="B230" s="18"/>
      <c r="C230" s="18"/>
      <c r="D230" s="18" t="s">
        <v>150</v>
      </c>
      <c r="E230" s="19"/>
      <c r="F230" s="18" t="s">
        <v>153</v>
      </c>
      <c r="G230" s="18"/>
    </row>
    <row r="231" customFormat="false" ht="14.25" hidden="false" customHeight="true" outlineLevel="0" collapsed="false">
      <c r="A231" s="18"/>
      <c r="B231" s="18"/>
      <c r="C231" s="18"/>
      <c r="D231" s="18" t="s">
        <v>150</v>
      </c>
      <c r="E231" s="19"/>
      <c r="F231" s="18" t="s">
        <v>153</v>
      </c>
      <c r="G231" s="18"/>
    </row>
    <row r="232" customFormat="false" ht="14.25" hidden="false" customHeight="true" outlineLevel="0" collapsed="false">
      <c r="A232" s="18"/>
      <c r="B232" s="18"/>
      <c r="C232" s="18"/>
      <c r="D232" s="18" t="s">
        <v>150</v>
      </c>
      <c r="E232" s="19"/>
      <c r="F232" s="18" t="s">
        <v>153</v>
      </c>
      <c r="G232" s="18"/>
    </row>
    <row r="233" customFormat="false" ht="14.25" hidden="false" customHeight="true" outlineLevel="0" collapsed="false">
      <c r="A233" s="18"/>
      <c r="B233" s="18"/>
      <c r="C233" s="18"/>
      <c r="D233" s="18" t="s">
        <v>150</v>
      </c>
      <c r="E233" s="19"/>
      <c r="F233" s="18" t="s">
        <v>153</v>
      </c>
      <c r="G233" s="18"/>
    </row>
    <row r="234" customFormat="false" ht="14.25" hidden="false" customHeight="true" outlineLevel="0" collapsed="false">
      <c r="A234" s="18"/>
      <c r="B234" s="18"/>
      <c r="C234" s="18"/>
      <c r="D234" s="18" t="s">
        <v>150</v>
      </c>
      <c r="E234" s="19"/>
      <c r="F234" s="18" t="s">
        <v>153</v>
      </c>
      <c r="G234" s="18"/>
    </row>
    <row r="235" customFormat="false" ht="14.25" hidden="false" customHeight="true" outlineLevel="0" collapsed="false">
      <c r="A235" s="18"/>
      <c r="B235" s="18"/>
      <c r="C235" s="18"/>
      <c r="D235" s="18" t="s">
        <v>150</v>
      </c>
      <c r="E235" s="19"/>
      <c r="F235" s="18" t="s">
        <v>153</v>
      </c>
      <c r="G235" s="18"/>
    </row>
    <row r="236" customFormat="false" ht="14.25" hidden="false" customHeight="true" outlineLevel="0" collapsed="false">
      <c r="A236" s="18"/>
      <c r="B236" s="18"/>
      <c r="C236" s="18"/>
      <c r="D236" s="18" t="s">
        <v>150</v>
      </c>
      <c r="E236" s="19"/>
      <c r="F236" s="18" t="s">
        <v>153</v>
      </c>
      <c r="G236" s="18"/>
    </row>
    <row r="237" customFormat="false" ht="14.25" hidden="false" customHeight="true" outlineLevel="0" collapsed="false">
      <c r="A237" s="18"/>
      <c r="B237" s="18"/>
      <c r="C237" s="18"/>
      <c r="D237" s="18" t="s">
        <v>150</v>
      </c>
      <c r="E237" s="19"/>
      <c r="F237" s="18" t="s">
        <v>153</v>
      </c>
      <c r="G237" s="18"/>
    </row>
    <row r="238" customFormat="false" ht="14.25" hidden="false" customHeight="true" outlineLevel="0" collapsed="false">
      <c r="A238" s="18"/>
      <c r="B238" s="18"/>
      <c r="C238" s="18"/>
      <c r="D238" s="18" t="s">
        <v>150</v>
      </c>
      <c r="E238" s="19"/>
      <c r="F238" s="18" t="s">
        <v>153</v>
      </c>
      <c r="G238" s="18"/>
    </row>
    <row r="239" customFormat="false" ht="14.25" hidden="false" customHeight="true" outlineLevel="0" collapsed="false">
      <c r="A239" s="18"/>
      <c r="B239" s="18"/>
      <c r="C239" s="18"/>
      <c r="D239" s="18" t="s">
        <v>150</v>
      </c>
      <c r="E239" s="19"/>
      <c r="F239" s="18" t="s">
        <v>153</v>
      </c>
      <c r="G239" s="18"/>
    </row>
    <row r="240" customFormat="false" ht="14.25" hidden="false" customHeight="true" outlineLevel="0" collapsed="false">
      <c r="A240" s="18"/>
      <c r="B240" s="18"/>
      <c r="C240" s="18"/>
      <c r="D240" s="18" t="s">
        <v>150</v>
      </c>
      <c r="E240" s="19"/>
      <c r="F240" s="18" t="s">
        <v>153</v>
      </c>
      <c r="G240" s="18"/>
    </row>
    <row r="241" customFormat="false" ht="14.25" hidden="false" customHeight="true" outlineLevel="0" collapsed="false">
      <c r="A241" s="18"/>
      <c r="B241" s="18"/>
      <c r="C241" s="18"/>
      <c r="D241" s="18" t="s">
        <v>150</v>
      </c>
      <c r="E241" s="19"/>
      <c r="F241" s="18" t="s">
        <v>153</v>
      </c>
      <c r="G241" s="18"/>
    </row>
    <row r="242" customFormat="false" ht="14.25" hidden="false" customHeight="true" outlineLevel="0" collapsed="false">
      <c r="A242" s="18"/>
      <c r="B242" s="18"/>
      <c r="C242" s="18"/>
      <c r="D242" s="18" t="s">
        <v>150</v>
      </c>
      <c r="E242" s="19"/>
      <c r="F242" s="18" t="s">
        <v>153</v>
      </c>
      <c r="G242" s="18"/>
    </row>
    <row r="243" customFormat="false" ht="14.25" hidden="false" customHeight="true" outlineLevel="0" collapsed="false">
      <c r="A243" s="18"/>
      <c r="B243" s="18"/>
      <c r="C243" s="18"/>
      <c r="D243" s="18" t="s">
        <v>150</v>
      </c>
      <c r="E243" s="19"/>
      <c r="F243" s="18" t="s">
        <v>153</v>
      </c>
      <c r="G243" s="18"/>
    </row>
    <row r="244" customFormat="false" ht="14.25" hidden="false" customHeight="true" outlineLevel="0" collapsed="false">
      <c r="A244" s="18"/>
      <c r="B244" s="18"/>
      <c r="C244" s="18"/>
      <c r="D244" s="18" t="s">
        <v>150</v>
      </c>
      <c r="E244" s="19"/>
      <c r="F244" s="18" t="s">
        <v>153</v>
      </c>
      <c r="G244" s="18"/>
    </row>
    <row r="245" customFormat="false" ht="14.25" hidden="false" customHeight="true" outlineLevel="0" collapsed="false">
      <c r="A245" s="18"/>
      <c r="B245" s="18"/>
      <c r="C245" s="18"/>
      <c r="D245" s="18" t="s">
        <v>150</v>
      </c>
      <c r="E245" s="19"/>
      <c r="F245" s="18" t="s">
        <v>153</v>
      </c>
      <c r="G245" s="18"/>
    </row>
    <row r="246" customFormat="false" ht="14.25" hidden="false" customHeight="true" outlineLevel="0" collapsed="false">
      <c r="A246" s="18"/>
      <c r="B246" s="18"/>
      <c r="C246" s="18"/>
      <c r="D246" s="18" t="s">
        <v>150</v>
      </c>
      <c r="E246" s="19"/>
      <c r="F246" s="18" t="s">
        <v>153</v>
      </c>
      <c r="G246" s="18"/>
    </row>
    <row r="247" customFormat="false" ht="14.25" hidden="false" customHeight="true" outlineLevel="0" collapsed="false">
      <c r="A247" s="18"/>
      <c r="B247" s="18"/>
      <c r="C247" s="18"/>
      <c r="D247" s="18" t="s">
        <v>150</v>
      </c>
      <c r="E247" s="19"/>
      <c r="F247" s="18" t="s">
        <v>153</v>
      </c>
      <c r="G247" s="18"/>
    </row>
    <row r="248" customFormat="false" ht="14.25" hidden="false" customHeight="true" outlineLevel="0" collapsed="false">
      <c r="A248" s="18"/>
      <c r="B248" s="18"/>
      <c r="C248" s="18"/>
      <c r="D248" s="18" t="s">
        <v>150</v>
      </c>
      <c r="E248" s="19"/>
      <c r="F248" s="18" t="s">
        <v>153</v>
      </c>
      <c r="G248" s="18"/>
    </row>
    <row r="249" customFormat="false" ht="14.25" hidden="false" customHeight="true" outlineLevel="0" collapsed="false">
      <c r="A249" s="18"/>
      <c r="B249" s="18"/>
      <c r="C249" s="18"/>
      <c r="D249" s="18" t="s">
        <v>150</v>
      </c>
      <c r="E249" s="19"/>
      <c r="F249" s="18" t="s">
        <v>153</v>
      </c>
      <c r="G249" s="18"/>
    </row>
    <row r="250" customFormat="false" ht="14.25" hidden="false" customHeight="true" outlineLevel="0" collapsed="false">
      <c r="A250" s="18"/>
      <c r="B250" s="18"/>
      <c r="C250" s="18"/>
      <c r="D250" s="18" t="s">
        <v>150</v>
      </c>
      <c r="E250" s="19"/>
      <c r="F250" s="18" t="s">
        <v>153</v>
      </c>
      <c r="G250" s="18"/>
    </row>
    <row r="251" customFormat="false" ht="14.25" hidden="false" customHeight="true" outlineLevel="0" collapsed="false">
      <c r="A251" s="18"/>
      <c r="B251" s="18"/>
      <c r="C251" s="18"/>
      <c r="D251" s="18" t="s">
        <v>150</v>
      </c>
      <c r="E251" s="19"/>
      <c r="F251" s="18" t="s">
        <v>153</v>
      </c>
      <c r="G251" s="18"/>
    </row>
    <row r="252" customFormat="false" ht="14.25" hidden="false" customHeight="true" outlineLevel="0" collapsed="false">
      <c r="A252" s="18"/>
      <c r="B252" s="18"/>
      <c r="C252" s="18"/>
      <c r="D252" s="18" t="s">
        <v>150</v>
      </c>
      <c r="E252" s="19"/>
      <c r="F252" s="18" t="s">
        <v>153</v>
      </c>
      <c r="G252" s="18"/>
    </row>
    <row r="253" customFormat="false" ht="14.25" hidden="false" customHeight="true" outlineLevel="0" collapsed="false">
      <c r="A253" s="18"/>
      <c r="B253" s="18"/>
      <c r="C253" s="18"/>
      <c r="D253" s="18" t="s">
        <v>150</v>
      </c>
      <c r="E253" s="19"/>
      <c r="F253" s="18" t="s">
        <v>153</v>
      </c>
      <c r="G253" s="18"/>
    </row>
    <row r="254" customFormat="false" ht="14.25" hidden="false" customHeight="true" outlineLevel="0" collapsed="false">
      <c r="A254" s="18"/>
      <c r="B254" s="18"/>
      <c r="C254" s="18"/>
      <c r="D254" s="18" t="s">
        <v>150</v>
      </c>
      <c r="E254" s="19"/>
      <c r="F254" s="18" t="s">
        <v>153</v>
      </c>
      <c r="G254" s="18"/>
    </row>
    <row r="255" customFormat="false" ht="14.25" hidden="false" customHeight="true" outlineLevel="0" collapsed="false">
      <c r="A255" s="18"/>
      <c r="B255" s="18"/>
      <c r="C255" s="18"/>
      <c r="D255" s="18" t="s">
        <v>150</v>
      </c>
      <c r="E255" s="19"/>
      <c r="F255" s="18" t="s">
        <v>153</v>
      </c>
      <c r="G255" s="18"/>
    </row>
    <row r="256" customFormat="false" ht="14.25" hidden="false" customHeight="true" outlineLevel="0" collapsed="false">
      <c r="A256" s="18"/>
      <c r="B256" s="18"/>
      <c r="C256" s="18"/>
      <c r="D256" s="18" t="s">
        <v>150</v>
      </c>
      <c r="E256" s="19"/>
      <c r="F256" s="18" t="s">
        <v>153</v>
      </c>
      <c r="G256" s="18"/>
    </row>
    <row r="257" customFormat="false" ht="14.25" hidden="false" customHeight="true" outlineLevel="0" collapsed="false">
      <c r="A257" s="18"/>
      <c r="B257" s="18"/>
      <c r="C257" s="18"/>
      <c r="D257" s="18" t="s">
        <v>150</v>
      </c>
      <c r="E257" s="19"/>
      <c r="F257" s="18" t="s">
        <v>153</v>
      </c>
      <c r="G257" s="18"/>
    </row>
    <row r="258" customFormat="false" ht="14.25" hidden="false" customHeight="true" outlineLevel="0" collapsed="false">
      <c r="A258" s="18"/>
      <c r="B258" s="18"/>
      <c r="C258" s="18"/>
      <c r="D258" s="18" t="s">
        <v>150</v>
      </c>
      <c r="E258" s="19"/>
      <c r="F258" s="18" t="s">
        <v>153</v>
      </c>
      <c r="G258" s="18"/>
    </row>
    <row r="259" customFormat="false" ht="14.25" hidden="false" customHeight="true" outlineLevel="0" collapsed="false">
      <c r="A259" s="18"/>
      <c r="B259" s="18"/>
      <c r="C259" s="18"/>
      <c r="D259" s="18" t="s">
        <v>150</v>
      </c>
      <c r="E259" s="19"/>
      <c r="F259" s="18" t="s">
        <v>153</v>
      </c>
      <c r="G259" s="18"/>
    </row>
    <row r="260" customFormat="false" ht="14.25" hidden="false" customHeight="true" outlineLevel="0" collapsed="false">
      <c r="A260" s="18"/>
      <c r="B260" s="18"/>
      <c r="C260" s="18"/>
      <c r="D260" s="18" t="s">
        <v>150</v>
      </c>
      <c r="E260" s="19"/>
      <c r="F260" s="18" t="s">
        <v>153</v>
      </c>
      <c r="G260" s="18"/>
    </row>
    <row r="261" customFormat="false" ht="14.25" hidden="false" customHeight="true" outlineLevel="0" collapsed="false">
      <c r="A261" s="18"/>
      <c r="B261" s="18"/>
      <c r="C261" s="18"/>
      <c r="D261" s="18" t="s">
        <v>150</v>
      </c>
      <c r="E261" s="19"/>
      <c r="F261" s="18" t="s">
        <v>153</v>
      </c>
      <c r="G261" s="18"/>
    </row>
    <row r="262" customFormat="false" ht="14.25" hidden="false" customHeight="true" outlineLevel="0" collapsed="false">
      <c r="A262" s="18"/>
      <c r="B262" s="18"/>
      <c r="C262" s="18"/>
      <c r="D262" s="18" t="s">
        <v>150</v>
      </c>
      <c r="E262" s="19"/>
      <c r="F262" s="18" t="s">
        <v>153</v>
      </c>
      <c r="G262" s="18"/>
    </row>
    <row r="263" customFormat="false" ht="14.25" hidden="false" customHeight="true" outlineLevel="0" collapsed="false">
      <c r="A263" s="18"/>
      <c r="B263" s="18"/>
      <c r="C263" s="18"/>
      <c r="D263" s="18" t="s">
        <v>150</v>
      </c>
      <c r="E263" s="19"/>
      <c r="F263" s="18" t="s">
        <v>153</v>
      </c>
      <c r="G263" s="18"/>
    </row>
    <row r="264" customFormat="false" ht="14.25" hidden="false" customHeight="true" outlineLevel="0" collapsed="false">
      <c r="A264" s="18"/>
      <c r="B264" s="18"/>
      <c r="C264" s="18"/>
      <c r="D264" s="18" t="s">
        <v>150</v>
      </c>
      <c r="E264" s="19"/>
      <c r="F264" s="18" t="s">
        <v>153</v>
      </c>
      <c r="G264" s="18"/>
    </row>
    <row r="265" customFormat="false" ht="14.25" hidden="false" customHeight="true" outlineLevel="0" collapsed="false">
      <c r="A265" s="18"/>
      <c r="B265" s="18"/>
      <c r="C265" s="18"/>
      <c r="D265" s="18" t="s">
        <v>150</v>
      </c>
      <c r="E265" s="19"/>
      <c r="F265" s="18" t="s">
        <v>153</v>
      </c>
      <c r="G265" s="18"/>
    </row>
    <row r="266" customFormat="false" ht="14.25" hidden="false" customHeight="true" outlineLevel="0" collapsed="false">
      <c r="A266" s="18"/>
      <c r="B266" s="18"/>
      <c r="C266" s="18"/>
      <c r="D266" s="18" t="s">
        <v>150</v>
      </c>
      <c r="E266" s="19"/>
      <c r="F266" s="18" t="s">
        <v>153</v>
      </c>
      <c r="G266" s="18"/>
    </row>
    <row r="267" customFormat="false" ht="14.25" hidden="false" customHeight="true" outlineLevel="0" collapsed="false">
      <c r="A267" s="18"/>
      <c r="B267" s="18"/>
      <c r="C267" s="18"/>
      <c r="D267" s="18" t="s">
        <v>150</v>
      </c>
      <c r="E267" s="19"/>
      <c r="F267" s="18" t="s">
        <v>153</v>
      </c>
      <c r="G267" s="18"/>
    </row>
    <row r="268" customFormat="false" ht="14.25" hidden="false" customHeight="true" outlineLevel="0" collapsed="false">
      <c r="A268" s="18"/>
      <c r="B268" s="18"/>
      <c r="C268" s="18"/>
      <c r="D268" s="18" t="s">
        <v>150</v>
      </c>
      <c r="E268" s="19"/>
      <c r="F268" s="18" t="s">
        <v>153</v>
      </c>
      <c r="G268" s="18"/>
    </row>
    <row r="269" customFormat="false" ht="14.25" hidden="false" customHeight="true" outlineLevel="0" collapsed="false">
      <c r="A269" s="18"/>
      <c r="B269" s="18"/>
      <c r="C269" s="18"/>
      <c r="D269" s="18" t="s">
        <v>150</v>
      </c>
      <c r="E269" s="19"/>
      <c r="F269" s="18" t="s">
        <v>153</v>
      </c>
      <c r="G269" s="18"/>
    </row>
    <row r="270" customFormat="false" ht="14.25" hidden="false" customHeight="true" outlineLevel="0" collapsed="false">
      <c r="A270" s="18"/>
      <c r="B270" s="18"/>
      <c r="C270" s="18"/>
      <c r="D270" s="18" t="s">
        <v>150</v>
      </c>
      <c r="E270" s="19"/>
      <c r="F270" s="18" t="s">
        <v>153</v>
      </c>
      <c r="G270" s="18"/>
    </row>
    <row r="271" customFormat="false" ht="14.25" hidden="false" customHeight="true" outlineLevel="0" collapsed="false">
      <c r="A271" s="18"/>
      <c r="B271" s="18"/>
      <c r="C271" s="18"/>
      <c r="D271" s="18" t="s">
        <v>150</v>
      </c>
      <c r="E271" s="19"/>
      <c r="F271" s="18" t="s">
        <v>153</v>
      </c>
      <c r="G271" s="18"/>
    </row>
    <row r="272" customFormat="false" ht="14.25" hidden="false" customHeight="true" outlineLevel="0" collapsed="false">
      <c r="A272" s="18"/>
      <c r="B272" s="18"/>
      <c r="C272" s="18"/>
      <c r="D272" s="18" t="s">
        <v>150</v>
      </c>
      <c r="E272" s="19"/>
      <c r="F272" s="18" t="s">
        <v>153</v>
      </c>
      <c r="G272" s="18"/>
    </row>
    <row r="273" customFormat="false" ht="14.25" hidden="false" customHeight="true" outlineLevel="0" collapsed="false">
      <c r="A273" s="18"/>
      <c r="B273" s="18"/>
      <c r="C273" s="18"/>
      <c r="D273" s="18" t="s">
        <v>150</v>
      </c>
      <c r="E273" s="19"/>
      <c r="F273" s="18" t="s">
        <v>153</v>
      </c>
      <c r="G273" s="18"/>
    </row>
    <row r="274" customFormat="false" ht="14.25" hidden="false" customHeight="true" outlineLevel="0" collapsed="false">
      <c r="A274" s="18"/>
      <c r="B274" s="18"/>
      <c r="C274" s="18"/>
      <c r="D274" s="18" t="s">
        <v>150</v>
      </c>
      <c r="E274" s="19"/>
      <c r="F274" s="18" t="s">
        <v>153</v>
      </c>
      <c r="G274" s="18"/>
    </row>
    <row r="275" customFormat="false" ht="14.25" hidden="false" customHeight="true" outlineLevel="0" collapsed="false">
      <c r="A275" s="18"/>
      <c r="B275" s="18"/>
      <c r="C275" s="18"/>
      <c r="D275" s="18" t="s">
        <v>150</v>
      </c>
      <c r="E275" s="19"/>
      <c r="F275" s="18" t="s">
        <v>153</v>
      </c>
      <c r="G275" s="18"/>
    </row>
    <row r="276" customFormat="false" ht="14.25" hidden="false" customHeight="true" outlineLevel="0" collapsed="false">
      <c r="A276" s="18"/>
      <c r="B276" s="18"/>
      <c r="C276" s="18"/>
      <c r="D276" s="18" t="s">
        <v>150</v>
      </c>
      <c r="E276" s="19"/>
      <c r="F276" s="18" t="s">
        <v>153</v>
      </c>
      <c r="G276" s="18"/>
    </row>
    <row r="277" customFormat="false" ht="14.25" hidden="false" customHeight="true" outlineLevel="0" collapsed="false">
      <c r="A277" s="18"/>
      <c r="B277" s="18"/>
      <c r="C277" s="18"/>
      <c r="D277" s="18" t="s">
        <v>150</v>
      </c>
      <c r="E277" s="19"/>
      <c r="F277" s="18" t="s">
        <v>153</v>
      </c>
      <c r="G277" s="18"/>
    </row>
    <row r="278" customFormat="false" ht="14.25" hidden="false" customHeight="true" outlineLevel="0" collapsed="false">
      <c r="A278" s="18"/>
      <c r="B278" s="18"/>
      <c r="C278" s="18"/>
      <c r="D278" s="18" t="s">
        <v>150</v>
      </c>
      <c r="E278" s="19"/>
      <c r="F278" s="18" t="s">
        <v>153</v>
      </c>
      <c r="G278" s="18"/>
    </row>
    <row r="279" customFormat="false" ht="14.25" hidden="false" customHeight="true" outlineLevel="0" collapsed="false">
      <c r="A279" s="18"/>
      <c r="B279" s="18"/>
      <c r="C279" s="18"/>
      <c r="D279" s="18" t="s">
        <v>150</v>
      </c>
      <c r="E279" s="19"/>
      <c r="F279" s="18" t="s">
        <v>153</v>
      </c>
      <c r="G279" s="18"/>
    </row>
    <row r="280" customFormat="false" ht="14.25" hidden="false" customHeight="true" outlineLevel="0" collapsed="false">
      <c r="A280" s="18"/>
      <c r="B280" s="18"/>
      <c r="C280" s="18"/>
      <c r="D280" s="18" t="s">
        <v>150</v>
      </c>
      <c r="E280" s="19"/>
      <c r="F280" s="18" t="s">
        <v>153</v>
      </c>
      <c r="G280" s="18"/>
    </row>
    <row r="281" customFormat="false" ht="14.25" hidden="false" customHeight="true" outlineLevel="0" collapsed="false">
      <c r="A281" s="18"/>
      <c r="B281" s="18"/>
      <c r="C281" s="18"/>
      <c r="D281" s="18" t="s">
        <v>150</v>
      </c>
      <c r="E281" s="19"/>
      <c r="F281" s="18" t="s">
        <v>153</v>
      </c>
      <c r="G281" s="18"/>
    </row>
    <row r="282" customFormat="false" ht="14.25" hidden="false" customHeight="true" outlineLevel="0" collapsed="false">
      <c r="A282" s="18"/>
      <c r="B282" s="18"/>
      <c r="C282" s="18"/>
      <c r="D282" s="18" t="s">
        <v>150</v>
      </c>
      <c r="E282" s="19"/>
      <c r="F282" s="18" t="s">
        <v>153</v>
      </c>
      <c r="G282" s="18"/>
    </row>
    <row r="283" customFormat="false" ht="14.25" hidden="false" customHeight="true" outlineLevel="0" collapsed="false">
      <c r="A283" s="18"/>
      <c r="B283" s="18"/>
      <c r="C283" s="18"/>
      <c r="D283" s="18" t="s">
        <v>150</v>
      </c>
      <c r="E283" s="19"/>
      <c r="F283" s="18" t="s">
        <v>153</v>
      </c>
      <c r="G283" s="18"/>
    </row>
    <row r="284" customFormat="false" ht="14.25" hidden="false" customHeight="true" outlineLevel="0" collapsed="false">
      <c r="A284" s="18"/>
      <c r="B284" s="18"/>
      <c r="C284" s="18"/>
      <c r="D284" s="18" t="s">
        <v>150</v>
      </c>
      <c r="E284" s="19"/>
      <c r="F284" s="18" t="s">
        <v>153</v>
      </c>
      <c r="G284" s="18"/>
    </row>
    <row r="285" customFormat="false" ht="14.25" hidden="false" customHeight="true" outlineLevel="0" collapsed="false">
      <c r="A285" s="18"/>
      <c r="B285" s="18"/>
      <c r="C285" s="18"/>
      <c r="D285" s="18" t="s">
        <v>150</v>
      </c>
      <c r="E285" s="19"/>
      <c r="F285" s="18" t="s">
        <v>153</v>
      </c>
      <c r="G285" s="18"/>
    </row>
    <row r="286" customFormat="false" ht="14.25" hidden="false" customHeight="true" outlineLevel="0" collapsed="false">
      <c r="A286" s="18"/>
      <c r="B286" s="18"/>
      <c r="C286" s="18"/>
      <c r="D286" s="18" t="s">
        <v>150</v>
      </c>
      <c r="E286" s="19"/>
      <c r="F286" s="18" t="s">
        <v>153</v>
      </c>
      <c r="G286" s="18"/>
    </row>
    <row r="287" customFormat="false" ht="14.25" hidden="false" customHeight="true" outlineLevel="0" collapsed="false">
      <c r="A287" s="18"/>
      <c r="B287" s="18"/>
      <c r="C287" s="18"/>
      <c r="D287" s="18" t="s">
        <v>150</v>
      </c>
      <c r="E287" s="19"/>
      <c r="F287" s="18" t="s">
        <v>153</v>
      </c>
      <c r="G287" s="18"/>
    </row>
    <row r="288" customFormat="false" ht="14.25" hidden="false" customHeight="true" outlineLevel="0" collapsed="false">
      <c r="A288" s="18"/>
      <c r="B288" s="18"/>
      <c r="C288" s="18"/>
      <c r="D288" s="18" t="s">
        <v>150</v>
      </c>
      <c r="E288" s="19"/>
      <c r="F288" s="18" t="s">
        <v>153</v>
      </c>
      <c r="G288" s="18"/>
    </row>
    <row r="289" customFormat="false" ht="14.25" hidden="false" customHeight="true" outlineLevel="0" collapsed="false">
      <c r="A289" s="18"/>
      <c r="B289" s="18"/>
      <c r="C289" s="18"/>
      <c r="D289" s="18" t="s">
        <v>150</v>
      </c>
      <c r="E289" s="19"/>
      <c r="F289" s="18" t="s">
        <v>153</v>
      </c>
      <c r="G289" s="18"/>
    </row>
    <row r="290" customFormat="false" ht="14.25" hidden="false" customHeight="true" outlineLevel="0" collapsed="false">
      <c r="A290" s="18"/>
      <c r="B290" s="18"/>
      <c r="C290" s="18"/>
      <c r="D290" s="18" t="s">
        <v>150</v>
      </c>
      <c r="E290" s="19"/>
      <c r="F290" s="18" t="s">
        <v>153</v>
      </c>
      <c r="G290" s="18"/>
    </row>
    <row r="291" customFormat="false" ht="14.25" hidden="false" customHeight="true" outlineLevel="0" collapsed="false">
      <c r="A291" s="18"/>
      <c r="B291" s="18"/>
      <c r="C291" s="18"/>
      <c r="D291" s="18" t="s">
        <v>150</v>
      </c>
      <c r="E291" s="19"/>
      <c r="F291" s="18" t="s">
        <v>153</v>
      </c>
      <c r="G291" s="18"/>
    </row>
    <row r="292" customFormat="false" ht="14.25" hidden="false" customHeight="true" outlineLevel="0" collapsed="false">
      <c r="A292" s="18"/>
      <c r="B292" s="18"/>
      <c r="C292" s="18"/>
      <c r="D292" s="18" t="s">
        <v>150</v>
      </c>
      <c r="E292" s="19"/>
      <c r="F292" s="18" t="s">
        <v>153</v>
      </c>
      <c r="G292" s="18"/>
    </row>
    <row r="293" customFormat="false" ht="14.25" hidden="false" customHeight="true" outlineLevel="0" collapsed="false">
      <c r="A293" s="18"/>
      <c r="B293" s="18"/>
      <c r="C293" s="18"/>
      <c r="D293" s="18" t="s">
        <v>150</v>
      </c>
      <c r="E293" s="19"/>
      <c r="F293" s="18" t="s">
        <v>153</v>
      </c>
      <c r="G293" s="18"/>
    </row>
    <row r="294" customFormat="false" ht="14.25" hidden="false" customHeight="true" outlineLevel="0" collapsed="false">
      <c r="A294" s="18"/>
      <c r="B294" s="18"/>
      <c r="C294" s="18"/>
      <c r="D294" s="18" t="s">
        <v>150</v>
      </c>
      <c r="E294" s="19"/>
      <c r="F294" s="18" t="s">
        <v>153</v>
      </c>
      <c r="G294" s="18"/>
    </row>
    <row r="295" customFormat="false" ht="14.25" hidden="false" customHeight="true" outlineLevel="0" collapsed="false">
      <c r="A295" s="18"/>
      <c r="B295" s="18"/>
      <c r="C295" s="18"/>
      <c r="D295" s="18" t="s">
        <v>150</v>
      </c>
      <c r="E295" s="19"/>
      <c r="F295" s="18" t="s">
        <v>153</v>
      </c>
      <c r="G295" s="18"/>
    </row>
    <row r="296" customFormat="false" ht="14.25" hidden="false" customHeight="true" outlineLevel="0" collapsed="false">
      <c r="A296" s="18"/>
      <c r="B296" s="18"/>
      <c r="C296" s="18"/>
      <c r="D296" s="18" t="s">
        <v>150</v>
      </c>
      <c r="E296" s="19"/>
      <c r="F296" s="18" t="s">
        <v>153</v>
      </c>
      <c r="G296" s="18"/>
    </row>
    <row r="297" customFormat="false" ht="14.25" hidden="false" customHeight="true" outlineLevel="0" collapsed="false">
      <c r="A297" s="18"/>
      <c r="B297" s="18"/>
      <c r="C297" s="18"/>
      <c r="D297" s="18" t="s">
        <v>150</v>
      </c>
      <c r="E297" s="19"/>
      <c r="F297" s="18" t="s">
        <v>153</v>
      </c>
      <c r="G297" s="18"/>
    </row>
    <row r="298" customFormat="false" ht="14.25" hidden="false" customHeight="true" outlineLevel="0" collapsed="false">
      <c r="A298" s="18"/>
      <c r="B298" s="18"/>
      <c r="C298" s="18"/>
      <c r="D298" s="18" t="s">
        <v>150</v>
      </c>
      <c r="E298" s="19"/>
      <c r="F298" s="18" t="s">
        <v>153</v>
      </c>
      <c r="G298" s="18"/>
    </row>
    <row r="299" customFormat="false" ht="14.25" hidden="false" customHeight="true" outlineLevel="0" collapsed="false">
      <c r="A299" s="18"/>
      <c r="B299" s="18"/>
      <c r="C299" s="18"/>
      <c r="D299" s="18" t="s">
        <v>150</v>
      </c>
      <c r="E299" s="19"/>
      <c r="F299" s="18" t="s">
        <v>153</v>
      </c>
      <c r="G299" s="18"/>
    </row>
    <row r="300" customFormat="false" ht="14.25" hidden="false" customHeight="true" outlineLevel="0" collapsed="false">
      <c r="A300" s="18"/>
      <c r="B300" s="18"/>
      <c r="C300" s="18"/>
      <c r="D300" s="18" t="s">
        <v>150</v>
      </c>
      <c r="E300" s="19"/>
      <c r="F300" s="18" t="s">
        <v>153</v>
      </c>
      <c r="G300" s="18"/>
    </row>
    <row r="301" customFormat="false" ht="14.25" hidden="false" customHeight="true" outlineLevel="0" collapsed="false">
      <c r="A301" s="18"/>
      <c r="B301" s="18"/>
      <c r="C301" s="18"/>
      <c r="D301" s="18" t="s">
        <v>150</v>
      </c>
      <c r="E301" s="19"/>
      <c r="F301" s="18" t="s">
        <v>153</v>
      </c>
      <c r="G301" s="18"/>
    </row>
    <row r="302" customFormat="false" ht="14.25" hidden="false" customHeight="true" outlineLevel="0" collapsed="false">
      <c r="A302" s="18"/>
      <c r="B302" s="18"/>
      <c r="C302" s="18"/>
      <c r="D302" s="18" t="s">
        <v>150</v>
      </c>
      <c r="E302" s="19"/>
      <c r="F302" s="18" t="s">
        <v>153</v>
      </c>
      <c r="G302" s="18"/>
    </row>
    <row r="303" customFormat="false" ht="14.25" hidden="false" customHeight="true" outlineLevel="0" collapsed="false">
      <c r="A303" s="18"/>
      <c r="B303" s="18"/>
      <c r="C303" s="18"/>
      <c r="D303" s="18" t="s">
        <v>150</v>
      </c>
      <c r="E303" s="19"/>
      <c r="F303" s="18" t="s">
        <v>153</v>
      </c>
      <c r="G303" s="18"/>
    </row>
    <row r="304" customFormat="false" ht="14.25" hidden="false" customHeight="true" outlineLevel="0" collapsed="false">
      <c r="A304" s="18"/>
      <c r="B304" s="18"/>
      <c r="C304" s="18"/>
      <c r="D304" s="18" t="s">
        <v>150</v>
      </c>
      <c r="E304" s="19"/>
      <c r="F304" s="18" t="s">
        <v>153</v>
      </c>
      <c r="G304" s="18"/>
    </row>
    <row r="305" customFormat="false" ht="14.25" hidden="false" customHeight="true" outlineLevel="0" collapsed="false">
      <c r="A305" s="18"/>
      <c r="B305" s="18"/>
      <c r="C305" s="18"/>
      <c r="D305" s="18" t="s">
        <v>150</v>
      </c>
      <c r="E305" s="19"/>
      <c r="F305" s="18" t="s">
        <v>153</v>
      </c>
      <c r="G305" s="18"/>
    </row>
    <row r="306" customFormat="false" ht="14.25" hidden="false" customHeight="true" outlineLevel="0" collapsed="false">
      <c r="A306" s="18"/>
      <c r="B306" s="18"/>
      <c r="C306" s="18"/>
      <c r="D306" s="18" t="s">
        <v>150</v>
      </c>
      <c r="E306" s="19"/>
      <c r="F306" s="18" t="s">
        <v>153</v>
      </c>
      <c r="G306" s="18"/>
    </row>
    <row r="307" customFormat="false" ht="14.25" hidden="false" customHeight="true" outlineLevel="0" collapsed="false">
      <c r="A307" s="18"/>
      <c r="B307" s="18"/>
      <c r="C307" s="18"/>
      <c r="D307" s="18" t="s">
        <v>150</v>
      </c>
      <c r="E307" s="19"/>
      <c r="F307" s="18" t="s">
        <v>153</v>
      </c>
      <c r="G307" s="18"/>
    </row>
    <row r="308" customFormat="false" ht="14.25" hidden="false" customHeight="true" outlineLevel="0" collapsed="false">
      <c r="A308" s="18"/>
      <c r="B308" s="18"/>
      <c r="C308" s="18"/>
      <c r="D308" s="18" t="s">
        <v>150</v>
      </c>
      <c r="E308" s="19"/>
      <c r="F308" s="18" t="s">
        <v>153</v>
      </c>
      <c r="G308" s="18"/>
    </row>
    <row r="309" customFormat="false" ht="14.25" hidden="false" customHeight="true" outlineLevel="0" collapsed="false">
      <c r="A309" s="18"/>
      <c r="B309" s="18"/>
      <c r="C309" s="18"/>
      <c r="D309" s="18" t="s">
        <v>150</v>
      </c>
      <c r="E309" s="19"/>
      <c r="F309" s="18" t="s">
        <v>153</v>
      </c>
      <c r="G309" s="18"/>
    </row>
    <row r="310" customFormat="false" ht="14.25" hidden="false" customHeight="true" outlineLevel="0" collapsed="false">
      <c r="A310" s="18"/>
      <c r="B310" s="18"/>
      <c r="C310" s="18"/>
      <c r="D310" s="18" t="s">
        <v>150</v>
      </c>
      <c r="E310" s="19"/>
      <c r="F310" s="18" t="s">
        <v>153</v>
      </c>
      <c r="G310" s="18"/>
    </row>
    <row r="311" customFormat="false" ht="14.25" hidden="false" customHeight="true" outlineLevel="0" collapsed="false">
      <c r="A311" s="18"/>
      <c r="B311" s="18"/>
      <c r="C311" s="18"/>
      <c r="D311" s="18" t="s">
        <v>150</v>
      </c>
      <c r="E311" s="19"/>
      <c r="F311" s="18" t="s">
        <v>153</v>
      </c>
      <c r="G311" s="18"/>
    </row>
    <row r="312" customFormat="false" ht="14.25" hidden="false" customHeight="true" outlineLevel="0" collapsed="false">
      <c r="A312" s="18"/>
      <c r="B312" s="18"/>
      <c r="C312" s="18"/>
      <c r="D312" s="18" t="s">
        <v>150</v>
      </c>
      <c r="E312" s="19"/>
      <c r="F312" s="18" t="s">
        <v>153</v>
      </c>
      <c r="G312" s="18"/>
    </row>
    <row r="313" customFormat="false" ht="14.25" hidden="false" customHeight="true" outlineLevel="0" collapsed="false">
      <c r="A313" s="18"/>
      <c r="B313" s="18"/>
      <c r="C313" s="18"/>
      <c r="D313" s="18" t="s">
        <v>150</v>
      </c>
      <c r="E313" s="19"/>
      <c r="F313" s="18" t="s">
        <v>153</v>
      </c>
      <c r="G313" s="18"/>
    </row>
    <row r="314" customFormat="false" ht="14.25" hidden="false" customHeight="true" outlineLevel="0" collapsed="false">
      <c r="A314" s="18"/>
      <c r="B314" s="18"/>
      <c r="C314" s="18"/>
      <c r="D314" s="18" t="s">
        <v>150</v>
      </c>
      <c r="E314" s="19"/>
      <c r="F314" s="18" t="s">
        <v>153</v>
      </c>
      <c r="G314" s="18"/>
    </row>
    <row r="315" customFormat="false" ht="14.25" hidden="false" customHeight="true" outlineLevel="0" collapsed="false">
      <c r="A315" s="18"/>
      <c r="B315" s="18"/>
      <c r="C315" s="18"/>
      <c r="D315" s="18" t="s">
        <v>150</v>
      </c>
      <c r="E315" s="19"/>
      <c r="F315" s="18" t="s">
        <v>153</v>
      </c>
      <c r="G315" s="18"/>
    </row>
    <row r="316" customFormat="false" ht="14.25" hidden="false" customHeight="true" outlineLevel="0" collapsed="false">
      <c r="A316" s="18"/>
      <c r="B316" s="18"/>
      <c r="C316" s="18"/>
      <c r="D316" s="18" t="s">
        <v>150</v>
      </c>
      <c r="E316" s="19"/>
      <c r="F316" s="18" t="s">
        <v>153</v>
      </c>
      <c r="G316" s="18"/>
    </row>
    <row r="317" customFormat="false" ht="14.25" hidden="false" customHeight="true" outlineLevel="0" collapsed="false">
      <c r="A317" s="18"/>
      <c r="B317" s="18"/>
      <c r="C317" s="18"/>
      <c r="D317" s="18" t="s">
        <v>150</v>
      </c>
      <c r="E317" s="19"/>
      <c r="F317" s="18" t="s">
        <v>153</v>
      </c>
      <c r="G317" s="18"/>
    </row>
    <row r="318" customFormat="false" ht="14.25" hidden="false" customHeight="true" outlineLevel="0" collapsed="false">
      <c r="A318" s="18"/>
      <c r="B318" s="18"/>
      <c r="C318" s="18"/>
      <c r="D318" s="18" t="s">
        <v>150</v>
      </c>
      <c r="E318" s="19"/>
      <c r="F318" s="18" t="s">
        <v>153</v>
      </c>
      <c r="G318" s="18"/>
    </row>
    <row r="319" customFormat="false" ht="14.25" hidden="false" customHeight="true" outlineLevel="0" collapsed="false">
      <c r="A319" s="18"/>
      <c r="B319" s="18"/>
      <c r="C319" s="18"/>
      <c r="D319" s="18" t="s">
        <v>150</v>
      </c>
      <c r="E319" s="19"/>
      <c r="F319" s="18" t="s">
        <v>153</v>
      </c>
      <c r="G319" s="18"/>
    </row>
    <row r="320" customFormat="false" ht="14.25" hidden="false" customHeight="true" outlineLevel="0" collapsed="false">
      <c r="A320" s="18"/>
      <c r="B320" s="18"/>
      <c r="C320" s="18"/>
      <c r="D320" s="18" t="s">
        <v>150</v>
      </c>
      <c r="E320" s="19"/>
      <c r="F320" s="18" t="s">
        <v>153</v>
      </c>
      <c r="G320" s="18"/>
    </row>
    <row r="321" customFormat="false" ht="14.25" hidden="false" customHeight="true" outlineLevel="0" collapsed="false">
      <c r="A321" s="18"/>
      <c r="B321" s="18"/>
      <c r="C321" s="18"/>
      <c r="D321" s="18" t="s">
        <v>150</v>
      </c>
      <c r="E321" s="19"/>
      <c r="F321" s="18" t="s">
        <v>153</v>
      </c>
      <c r="G321" s="18"/>
    </row>
    <row r="322" customFormat="false" ht="14.25" hidden="false" customHeight="true" outlineLevel="0" collapsed="false">
      <c r="A322" s="18"/>
      <c r="B322" s="18"/>
      <c r="C322" s="18"/>
      <c r="D322" s="18" t="s">
        <v>150</v>
      </c>
      <c r="E322" s="19"/>
      <c r="F322" s="18" t="s">
        <v>153</v>
      </c>
      <c r="G322" s="18"/>
    </row>
    <row r="323" customFormat="false" ht="14.25" hidden="false" customHeight="true" outlineLevel="0" collapsed="false">
      <c r="A323" s="18"/>
      <c r="B323" s="18"/>
      <c r="C323" s="18"/>
      <c r="D323" s="18" t="s">
        <v>150</v>
      </c>
      <c r="E323" s="19"/>
      <c r="F323" s="18" t="s">
        <v>153</v>
      </c>
      <c r="G323" s="18"/>
    </row>
    <row r="324" customFormat="false" ht="14.25" hidden="false" customHeight="true" outlineLevel="0" collapsed="false">
      <c r="A324" s="18"/>
      <c r="B324" s="18"/>
      <c r="C324" s="18"/>
      <c r="D324" s="18" t="s">
        <v>150</v>
      </c>
      <c r="E324" s="19"/>
      <c r="F324" s="18" t="s">
        <v>153</v>
      </c>
      <c r="G324" s="18"/>
    </row>
    <row r="325" customFormat="false" ht="14.25" hidden="false" customHeight="true" outlineLevel="0" collapsed="false">
      <c r="A325" s="18"/>
      <c r="B325" s="18"/>
      <c r="C325" s="18"/>
      <c r="D325" s="18" t="s">
        <v>150</v>
      </c>
      <c r="E325" s="19"/>
      <c r="F325" s="18" t="s">
        <v>153</v>
      </c>
      <c r="G325" s="18"/>
    </row>
    <row r="326" customFormat="false" ht="14.25" hidden="false" customHeight="true" outlineLevel="0" collapsed="false">
      <c r="A326" s="18"/>
      <c r="B326" s="18"/>
      <c r="C326" s="18"/>
      <c r="D326" s="18" t="s">
        <v>150</v>
      </c>
      <c r="E326" s="19"/>
      <c r="F326" s="18" t="s">
        <v>153</v>
      </c>
      <c r="G326" s="18"/>
    </row>
    <row r="327" customFormat="false" ht="14.25" hidden="false" customHeight="true" outlineLevel="0" collapsed="false">
      <c r="A327" s="18"/>
      <c r="B327" s="18"/>
      <c r="C327" s="18"/>
      <c r="D327" s="18" t="s">
        <v>150</v>
      </c>
      <c r="E327" s="19"/>
      <c r="F327" s="18" t="s">
        <v>153</v>
      </c>
      <c r="G327" s="18"/>
    </row>
    <row r="328" customFormat="false" ht="14.25" hidden="false" customHeight="true" outlineLevel="0" collapsed="false">
      <c r="A328" s="18"/>
      <c r="B328" s="18"/>
      <c r="C328" s="18"/>
      <c r="D328" s="18" t="s">
        <v>150</v>
      </c>
      <c r="E328" s="19"/>
      <c r="F328" s="18" t="s">
        <v>153</v>
      </c>
      <c r="G328" s="18"/>
    </row>
    <row r="329" customFormat="false" ht="14.25" hidden="false" customHeight="true" outlineLevel="0" collapsed="false">
      <c r="A329" s="18"/>
      <c r="B329" s="18"/>
      <c r="C329" s="18"/>
      <c r="D329" s="18" t="s">
        <v>150</v>
      </c>
      <c r="E329" s="19"/>
      <c r="F329" s="18" t="s">
        <v>153</v>
      </c>
      <c r="G329" s="18"/>
    </row>
    <row r="330" customFormat="false" ht="14.25" hidden="false" customHeight="true" outlineLevel="0" collapsed="false">
      <c r="A330" s="18"/>
      <c r="B330" s="18"/>
      <c r="C330" s="18"/>
      <c r="D330" s="18" t="s">
        <v>150</v>
      </c>
      <c r="E330" s="19"/>
      <c r="F330" s="18" t="s">
        <v>153</v>
      </c>
      <c r="G330" s="18"/>
    </row>
    <row r="331" customFormat="false" ht="14.25" hidden="false" customHeight="true" outlineLevel="0" collapsed="false">
      <c r="A331" s="18"/>
      <c r="B331" s="18"/>
      <c r="C331" s="18"/>
      <c r="D331" s="18" t="s">
        <v>150</v>
      </c>
      <c r="E331" s="19"/>
      <c r="F331" s="18" t="s">
        <v>153</v>
      </c>
      <c r="G331" s="18"/>
    </row>
    <row r="332" customFormat="false" ht="14.25" hidden="false" customHeight="true" outlineLevel="0" collapsed="false">
      <c r="A332" s="18"/>
      <c r="B332" s="18"/>
      <c r="C332" s="18"/>
      <c r="D332" s="18" t="s">
        <v>150</v>
      </c>
      <c r="E332" s="19"/>
      <c r="F332" s="18" t="s">
        <v>153</v>
      </c>
      <c r="G332" s="18"/>
    </row>
    <row r="333" customFormat="false" ht="14.25" hidden="false" customHeight="true" outlineLevel="0" collapsed="false">
      <c r="A333" s="18"/>
      <c r="B333" s="18"/>
      <c r="C333" s="18"/>
      <c r="D333" s="18" t="s">
        <v>150</v>
      </c>
      <c r="E333" s="19"/>
      <c r="F333" s="18" t="s">
        <v>153</v>
      </c>
      <c r="G333" s="18"/>
    </row>
    <row r="334" customFormat="false" ht="14.25" hidden="false" customHeight="true" outlineLevel="0" collapsed="false">
      <c r="A334" s="18"/>
      <c r="B334" s="18"/>
      <c r="C334" s="18"/>
      <c r="D334" s="18" t="s">
        <v>150</v>
      </c>
      <c r="E334" s="19"/>
      <c r="F334" s="18" t="s">
        <v>153</v>
      </c>
      <c r="G334" s="18"/>
    </row>
    <row r="335" customFormat="false" ht="14.25" hidden="false" customHeight="true" outlineLevel="0" collapsed="false">
      <c r="A335" s="18"/>
      <c r="B335" s="18"/>
      <c r="C335" s="18"/>
      <c r="D335" s="18" t="s">
        <v>150</v>
      </c>
      <c r="E335" s="19"/>
      <c r="F335" s="18" t="s">
        <v>153</v>
      </c>
      <c r="G335" s="18"/>
    </row>
    <row r="336" customFormat="false" ht="14.25" hidden="false" customHeight="true" outlineLevel="0" collapsed="false">
      <c r="A336" s="18"/>
      <c r="B336" s="18"/>
      <c r="C336" s="18"/>
      <c r="D336" s="18" t="s">
        <v>150</v>
      </c>
      <c r="E336" s="19"/>
      <c r="F336" s="18" t="s">
        <v>153</v>
      </c>
      <c r="G336" s="18"/>
    </row>
    <row r="337" customFormat="false" ht="14.25" hidden="false" customHeight="true" outlineLevel="0" collapsed="false">
      <c r="A337" s="18"/>
      <c r="B337" s="18"/>
      <c r="C337" s="18"/>
      <c r="D337" s="18" t="s">
        <v>150</v>
      </c>
      <c r="E337" s="19"/>
      <c r="F337" s="18" t="s">
        <v>153</v>
      </c>
      <c r="G337" s="18"/>
    </row>
    <row r="338" customFormat="false" ht="14.25" hidden="false" customHeight="true" outlineLevel="0" collapsed="false">
      <c r="A338" s="18"/>
      <c r="B338" s="18"/>
      <c r="C338" s="18"/>
      <c r="D338" s="18" t="s">
        <v>150</v>
      </c>
      <c r="E338" s="19"/>
      <c r="F338" s="18" t="s">
        <v>153</v>
      </c>
      <c r="G338" s="18"/>
    </row>
    <row r="339" customFormat="false" ht="14.25" hidden="false" customHeight="true" outlineLevel="0" collapsed="false">
      <c r="A339" s="18"/>
      <c r="B339" s="18"/>
      <c r="C339" s="18"/>
      <c r="D339" s="18" t="s">
        <v>150</v>
      </c>
      <c r="E339" s="19"/>
      <c r="F339" s="18" t="s">
        <v>153</v>
      </c>
      <c r="G339" s="18"/>
    </row>
    <row r="340" customFormat="false" ht="14.25" hidden="false" customHeight="true" outlineLevel="0" collapsed="false">
      <c r="A340" s="18"/>
      <c r="B340" s="18"/>
      <c r="C340" s="18"/>
      <c r="D340" s="18" t="s">
        <v>150</v>
      </c>
      <c r="E340" s="19"/>
      <c r="F340" s="18" t="s">
        <v>153</v>
      </c>
      <c r="G340" s="18"/>
    </row>
    <row r="341" customFormat="false" ht="14.25" hidden="false" customHeight="true" outlineLevel="0" collapsed="false">
      <c r="A341" s="18"/>
      <c r="B341" s="18"/>
      <c r="C341" s="18"/>
      <c r="D341" s="18" t="s">
        <v>150</v>
      </c>
      <c r="E341" s="19"/>
      <c r="F341" s="18" t="s">
        <v>153</v>
      </c>
      <c r="G341" s="18"/>
    </row>
    <row r="342" customFormat="false" ht="14.25" hidden="false" customHeight="true" outlineLevel="0" collapsed="false">
      <c r="A342" s="18"/>
      <c r="B342" s="18"/>
      <c r="C342" s="18"/>
      <c r="D342" s="18" t="s">
        <v>150</v>
      </c>
      <c r="E342" s="19"/>
      <c r="F342" s="18" t="s">
        <v>153</v>
      </c>
      <c r="G342" s="18"/>
    </row>
    <row r="343" customFormat="false" ht="14.25" hidden="false" customHeight="true" outlineLevel="0" collapsed="false">
      <c r="A343" s="18"/>
      <c r="B343" s="18"/>
      <c r="C343" s="18"/>
      <c r="D343" s="18" t="s">
        <v>150</v>
      </c>
      <c r="E343" s="19"/>
      <c r="F343" s="18" t="s">
        <v>153</v>
      </c>
      <c r="G343" s="18"/>
    </row>
    <row r="344" customFormat="false" ht="14.25" hidden="false" customHeight="true" outlineLevel="0" collapsed="false">
      <c r="A344" s="18"/>
      <c r="B344" s="18"/>
      <c r="C344" s="18"/>
      <c r="D344" s="18" t="s">
        <v>150</v>
      </c>
      <c r="E344" s="19"/>
      <c r="F344" s="18" t="s">
        <v>153</v>
      </c>
      <c r="G344" s="18"/>
    </row>
    <row r="345" customFormat="false" ht="14.25" hidden="false" customHeight="true" outlineLevel="0" collapsed="false">
      <c r="A345" s="18"/>
      <c r="B345" s="18"/>
      <c r="C345" s="18"/>
      <c r="D345" s="18" t="s">
        <v>150</v>
      </c>
      <c r="E345" s="19"/>
      <c r="F345" s="18" t="s">
        <v>153</v>
      </c>
      <c r="G345" s="18"/>
    </row>
    <row r="346" customFormat="false" ht="14.25" hidden="false" customHeight="true" outlineLevel="0" collapsed="false">
      <c r="A346" s="18"/>
      <c r="B346" s="18"/>
      <c r="C346" s="18"/>
      <c r="D346" s="18" t="s">
        <v>150</v>
      </c>
      <c r="E346" s="19"/>
      <c r="F346" s="18" t="s">
        <v>153</v>
      </c>
      <c r="G346" s="18"/>
    </row>
    <row r="347" customFormat="false" ht="14.25" hidden="false" customHeight="true" outlineLevel="0" collapsed="false">
      <c r="A347" s="18"/>
      <c r="B347" s="18"/>
      <c r="C347" s="18"/>
      <c r="D347" s="18" t="s">
        <v>150</v>
      </c>
      <c r="E347" s="19"/>
      <c r="F347" s="18" t="s">
        <v>153</v>
      </c>
      <c r="G347" s="18"/>
    </row>
    <row r="348" customFormat="false" ht="14.25" hidden="false" customHeight="true" outlineLevel="0" collapsed="false">
      <c r="A348" s="18"/>
      <c r="B348" s="18"/>
      <c r="C348" s="18"/>
      <c r="D348" s="18" t="s">
        <v>150</v>
      </c>
      <c r="E348" s="19"/>
      <c r="F348" s="18" t="s">
        <v>153</v>
      </c>
      <c r="G348" s="18"/>
    </row>
    <row r="349" customFormat="false" ht="14.25" hidden="false" customHeight="true" outlineLevel="0" collapsed="false">
      <c r="A349" s="18"/>
      <c r="B349" s="18"/>
      <c r="C349" s="18"/>
      <c r="D349" s="18" t="s">
        <v>150</v>
      </c>
      <c r="E349" s="19"/>
      <c r="F349" s="18" t="s">
        <v>153</v>
      </c>
      <c r="G349" s="18"/>
    </row>
    <row r="350" customFormat="false" ht="14.25" hidden="false" customHeight="true" outlineLevel="0" collapsed="false">
      <c r="A350" s="18"/>
      <c r="B350" s="18"/>
      <c r="C350" s="18"/>
      <c r="D350" s="18" t="s">
        <v>150</v>
      </c>
      <c r="E350" s="19"/>
      <c r="F350" s="18" t="s">
        <v>153</v>
      </c>
      <c r="G350" s="18"/>
    </row>
    <row r="351" customFormat="false" ht="14.25" hidden="false" customHeight="true" outlineLevel="0" collapsed="false">
      <c r="A351" s="18"/>
      <c r="B351" s="18"/>
      <c r="C351" s="18"/>
      <c r="D351" s="18" t="s">
        <v>150</v>
      </c>
      <c r="E351" s="19"/>
      <c r="F351" s="18" t="s">
        <v>153</v>
      </c>
      <c r="G351" s="18"/>
    </row>
    <row r="352" customFormat="false" ht="14.25" hidden="false" customHeight="true" outlineLevel="0" collapsed="false">
      <c r="A352" s="18"/>
      <c r="B352" s="18"/>
      <c r="C352" s="18"/>
      <c r="D352" s="18" t="s">
        <v>150</v>
      </c>
      <c r="E352" s="19"/>
      <c r="F352" s="18" t="s">
        <v>153</v>
      </c>
      <c r="G352" s="18"/>
    </row>
    <row r="353" customFormat="false" ht="14.25" hidden="false" customHeight="true" outlineLevel="0" collapsed="false">
      <c r="A353" s="18"/>
      <c r="B353" s="18"/>
      <c r="C353" s="18"/>
      <c r="D353" s="18" t="s">
        <v>150</v>
      </c>
      <c r="E353" s="19"/>
      <c r="F353" s="18" t="s">
        <v>153</v>
      </c>
      <c r="G353" s="18"/>
    </row>
    <row r="354" customFormat="false" ht="14.25" hidden="false" customHeight="true" outlineLevel="0" collapsed="false">
      <c r="A354" s="18"/>
      <c r="B354" s="18"/>
      <c r="C354" s="18"/>
      <c r="D354" s="18" t="s">
        <v>150</v>
      </c>
      <c r="E354" s="19"/>
      <c r="F354" s="18" t="s">
        <v>153</v>
      </c>
      <c r="G354" s="18"/>
    </row>
    <row r="355" customFormat="false" ht="14.25" hidden="false" customHeight="true" outlineLevel="0" collapsed="false">
      <c r="A355" s="18"/>
      <c r="B355" s="18"/>
      <c r="C355" s="18"/>
      <c r="D355" s="18" t="s">
        <v>150</v>
      </c>
      <c r="E355" s="19"/>
      <c r="F355" s="18" t="s">
        <v>153</v>
      </c>
      <c r="G355" s="18"/>
    </row>
    <row r="356" customFormat="false" ht="14.25" hidden="false" customHeight="true" outlineLevel="0" collapsed="false">
      <c r="A356" s="18"/>
      <c r="B356" s="18"/>
      <c r="C356" s="18"/>
      <c r="D356" s="18" t="s">
        <v>150</v>
      </c>
      <c r="E356" s="19"/>
      <c r="F356" s="18" t="s">
        <v>153</v>
      </c>
      <c r="G356" s="18"/>
    </row>
    <row r="357" customFormat="false" ht="14.25" hidden="false" customHeight="true" outlineLevel="0" collapsed="false">
      <c r="A357" s="18"/>
      <c r="B357" s="18"/>
      <c r="C357" s="18"/>
      <c r="D357" s="18" t="s">
        <v>150</v>
      </c>
      <c r="E357" s="19"/>
      <c r="F357" s="18" t="s">
        <v>153</v>
      </c>
      <c r="G357" s="18"/>
    </row>
    <row r="358" customFormat="false" ht="14.25" hidden="false" customHeight="true" outlineLevel="0" collapsed="false">
      <c r="A358" s="18"/>
      <c r="B358" s="18"/>
      <c r="C358" s="18"/>
      <c r="D358" s="18" t="s">
        <v>150</v>
      </c>
      <c r="E358" s="19"/>
      <c r="F358" s="18" t="s">
        <v>153</v>
      </c>
      <c r="G358" s="18"/>
    </row>
    <row r="359" customFormat="false" ht="14.25" hidden="false" customHeight="true" outlineLevel="0" collapsed="false">
      <c r="A359" s="18"/>
      <c r="B359" s="18"/>
      <c r="C359" s="18"/>
      <c r="D359" s="18" t="s">
        <v>150</v>
      </c>
      <c r="E359" s="19"/>
      <c r="F359" s="18" t="s">
        <v>153</v>
      </c>
      <c r="G359" s="18"/>
    </row>
    <row r="360" customFormat="false" ht="14.25" hidden="false" customHeight="true" outlineLevel="0" collapsed="false">
      <c r="A360" s="18"/>
      <c r="B360" s="18"/>
      <c r="C360" s="18"/>
      <c r="D360" s="18" t="s">
        <v>150</v>
      </c>
      <c r="E360" s="19"/>
      <c r="F360" s="18" t="s">
        <v>153</v>
      </c>
      <c r="G360" s="18"/>
    </row>
    <row r="361" customFormat="false" ht="14.25" hidden="false" customHeight="true" outlineLevel="0" collapsed="false">
      <c r="A361" s="18"/>
      <c r="B361" s="18"/>
      <c r="C361" s="18"/>
      <c r="D361" s="18" t="s">
        <v>150</v>
      </c>
      <c r="E361" s="19"/>
      <c r="F361" s="18" t="s">
        <v>153</v>
      </c>
      <c r="G361" s="18"/>
    </row>
    <row r="362" customFormat="false" ht="14.25" hidden="false" customHeight="true" outlineLevel="0" collapsed="false">
      <c r="A362" s="18"/>
      <c r="B362" s="18"/>
      <c r="C362" s="18"/>
      <c r="D362" s="18" t="s">
        <v>150</v>
      </c>
      <c r="E362" s="19"/>
      <c r="F362" s="18" t="s">
        <v>153</v>
      </c>
      <c r="G362" s="18"/>
    </row>
    <row r="363" customFormat="false" ht="14.25" hidden="false" customHeight="true" outlineLevel="0" collapsed="false">
      <c r="A363" s="18"/>
      <c r="B363" s="18"/>
      <c r="C363" s="18"/>
      <c r="D363" s="18" t="s">
        <v>150</v>
      </c>
      <c r="E363" s="19"/>
      <c r="F363" s="18" t="s">
        <v>153</v>
      </c>
      <c r="G363" s="18"/>
    </row>
    <row r="364" customFormat="false" ht="14.25" hidden="false" customHeight="true" outlineLevel="0" collapsed="false">
      <c r="A364" s="18"/>
      <c r="B364" s="18"/>
      <c r="C364" s="18"/>
      <c r="D364" s="18" t="s">
        <v>150</v>
      </c>
      <c r="E364" s="19"/>
      <c r="F364" s="18" t="s">
        <v>153</v>
      </c>
      <c r="G364" s="18"/>
    </row>
    <row r="365" customFormat="false" ht="14.25" hidden="false" customHeight="true" outlineLevel="0" collapsed="false">
      <c r="A365" s="18"/>
      <c r="B365" s="18"/>
      <c r="C365" s="18"/>
      <c r="D365" s="18" t="s">
        <v>150</v>
      </c>
      <c r="E365" s="19"/>
      <c r="F365" s="18" t="s">
        <v>153</v>
      </c>
      <c r="G365" s="18"/>
    </row>
    <row r="366" customFormat="false" ht="14.25" hidden="false" customHeight="true" outlineLevel="0" collapsed="false">
      <c r="A366" s="18"/>
      <c r="B366" s="18"/>
      <c r="C366" s="18"/>
      <c r="D366" s="18" t="s">
        <v>150</v>
      </c>
      <c r="E366" s="19"/>
      <c r="F366" s="18" t="s">
        <v>153</v>
      </c>
      <c r="G366" s="18"/>
    </row>
    <row r="367" customFormat="false" ht="14.25" hidden="false" customHeight="true" outlineLevel="0" collapsed="false">
      <c r="A367" s="18"/>
      <c r="B367" s="18"/>
      <c r="C367" s="18"/>
      <c r="D367" s="18" t="s">
        <v>150</v>
      </c>
      <c r="E367" s="19"/>
      <c r="F367" s="18" t="s">
        <v>153</v>
      </c>
      <c r="G367" s="18"/>
    </row>
    <row r="368" customFormat="false" ht="14.25" hidden="false" customHeight="true" outlineLevel="0" collapsed="false">
      <c r="A368" s="18"/>
      <c r="B368" s="18"/>
      <c r="C368" s="18"/>
      <c r="D368" s="18" t="s">
        <v>150</v>
      </c>
      <c r="E368" s="19"/>
      <c r="F368" s="18" t="s">
        <v>153</v>
      </c>
      <c r="G368" s="18"/>
    </row>
    <row r="369" customFormat="false" ht="14.25" hidden="false" customHeight="true" outlineLevel="0" collapsed="false">
      <c r="A369" s="18"/>
      <c r="B369" s="18"/>
      <c r="C369" s="18"/>
      <c r="D369" s="18" t="s">
        <v>150</v>
      </c>
      <c r="E369" s="19"/>
      <c r="F369" s="18" t="s">
        <v>153</v>
      </c>
      <c r="G369" s="18"/>
    </row>
    <row r="370" customFormat="false" ht="14.25" hidden="false" customHeight="true" outlineLevel="0" collapsed="false">
      <c r="A370" s="18"/>
      <c r="B370" s="18"/>
      <c r="C370" s="18"/>
      <c r="D370" s="18" t="s">
        <v>150</v>
      </c>
      <c r="E370" s="19"/>
      <c r="F370" s="18" t="s">
        <v>153</v>
      </c>
      <c r="G370" s="18"/>
    </row>
    <row r="371" customFormat="false" ht="14.25" hidden="false" customHeight="true" outlineLevel="0" collapsed="false">
      <c r="A371" s="18"/>
      <c r="B371" s="18"/>
      <c r="C371" s="18"/>
      <c r="D371" s="18" t="s">
        <v>150</v>
      </c>
      <c r="E371" s="19"/>
      <c r="F371" s="18" t="s">
        <v>153</v>
      </c>
      <c r="G371" s="18"/>
    </row>
    <row r="372" customFormat="false" ht="14.25" hidden="false" customHeight="true" outlineLevel="0" collapsed="false">
      <c r="A372" s="18"/>
      <c r="B372" s="18"/>
      <c r="C372" s="18"/>
      <c r="D372" s="18" t="s">
        <v>150</v>
      </c>
      <c r="E372" s="19"/>
      <c r="F372" s="18" t="s">
        <v>153</v>
      </c>
      <c r="G372" s="18"/>
    </row>
    <row r="373" customFormat="false" ht="14.25" hidden="false" customHeight="true" outlineLevel="0" collapsed="false">
      <c r="A373" s="18"/>
      <c r="B373" s="18"/>
      <c r="C373" s="18"/>
      <c r="D373" s="18" t="s">
        <v>150</v>
      </c>
      <c r="E373" s="19"/>
      <c r="F373" s="18" t="s">
        <v>153</v>
      </c>
      <c r="G373" s="18"/>
    </row>
    <row r="374" customFormat="false" ht="14.25" hidden="false" customHeight="true" outlineLevel="0" collapsed="false">
      <c r="A374" s="18"/>
      <c r="B374" s="18"/>
      <c r="C374" s="18"/>
      <c r="D374" s="18" t="s">
        <v>150</v>
      </c>
      <c r="E374" s="19"/>
      <c r="F374" s="18" t="s">
        <v>153</v>
      </c>
      <c r="G374" s="18"/>
    </row>
    <row r="375" customFormat="false" ht="14.25" hidden="false" customHeight="true" outlineLevel="0" collapsed="false">
      <c r="A375" s="18"/>
      <c r="B375" s="18"/>
      <c r="C375" s="18"/>
      <c r="D375" s="18" t="s">
        <v>150</v>
      </c>
      <c r="E375" s="19"/>
      <c r="F375" s="18" t="s">
        <v>153</v>
      </c>
      <c r="G375" s="18"/>
    </row>
    <row r="376" customFormat="false" ht="14.25" hidden="false" customHeight="true" outlineLevel="0" collapsed="false">
      <c r="A376" s="18"/>
      <c r="B376" s="18"/>
      <c r="C376" s="18"/>
      <c r="D376" s="18" t="s">
        <v>150</v>
      </c>
      <c r="E376" s="19"/>
      <c r="F376" s="18" t="s">
        <v>153</v>
      </c>
      <c r="G376" s="18"/>
    </row>
    <row r="377" customFormat="false" ht="14.25" hidden="false" customHeight="true" outlineLevel="0" collapsed="false">
      <c r="A377" s="18"/>
      <c r="B377" s="18"/>
      <c r="C377" s="18"/>
      <c r="D377" s="18" t="s">
        <v>150</v>
      </c>
      <c r="E377" s="19"/>
      <c r="F377" s="18" t="s">
        <v>153</v>
      </c>
      <c r="G377" s="18"/>
    </row>
    <row r="378" customFormat="false" ht="14.25" hidden="false" customHeight="true" outlineLevel="0" collapsed="false">
      <c r="A378" s="18"/>
      <c r="B378" s="18"/>
      <c r="C378" s="18"/>
      <c r="D378" s="18" t="s">
        <v>150</v>
      </c>
      <c r="E378" s="19"/>
      <c r="F378" s="18" t="s">
        <v>153</v>
      </c>
      <c r="G378" s="18"/>
    </row>
    <row r="379" customFormat="false" ht="14.25" hidden="false" customHeight="true" outlineLevel="0" collapsed="false">
      <c r="A379" s="18"/>
      <c r="B379" s="18"/>
      <c r="C379" s="18"/>
      <c r="D379" s="18" t="s">
        <v>150</v>
      </c>
      <c r="E379" s="19"/>
      <c r="F379" s="18" t="s">
        <v>153</v>
      </c>
      <c r="G379" s="18"/>
    </row>
    <row r="380" customFormat="false" ht="14.25" hidden="false" customHeight="true" outlineLevel="0" collapsed="false">
      <c r="A380" s="18"/>
      <c r="B380" s="18"/>
      <c r="C380" s="18"/>
      <c r="D380" s="18" t="s">
        <v>150</v>
      </c>
      <c r="E380" s="19"/>
      <c r="F380" s="18" t="s">
        <v>153</v>
      </c>
      <c r="G380" s="18"/>
    </row>
    <row r="381" customFormat="false" ht="14.25" hidden="false" customHeight="true" outlineLevel="0" collapsed="false">
      <c r="A381" s="18"/>
      <c r="B381" s="18"/>
      <c r="C381" s="18"/>
      <c r="D381" s="18" t="s">
        <v>150</v>
      </c>
      <c r="E381" s="19"/>
      <c r="F381" s="18" t="s">
        <v>153</v>
      </c>
      <c r="G381" s="18"/>
    </row>
    <row r="382" customFormat="false" ht="14.25" hidden="false" customHeight="true" outlineLevel="0" collapsed="false">
      <c r="A382" s="18"/>
      <c r="B382" s="18"/>
      <c r="C382" s="18"/>
      <c r="D382" s="18" t="s">
        <v>150</v>
      </c>
      <c r="E382" s="19"/>
      <c r="F382" s="18" t="s">
        <v>153</v>
      </c>
      <c r="G382" s="18"/>
    </row>
    <row r="383" customFormat="false" ht="14.25" hidden="false" customHeight="true" outlineLevel="0" collapsed="false">
      <c r="A383" s="18"/>
      <c r="B383" s="18"/>
      <c r="C383" s="18"/>
      <c r="D383" s="18" t="s">
        <v>150</v>
      </c>
      <c r="E383" s="19"/>
      <c r="F383" s="18" t="s">
        <v>153</v>
      </c>
      <c r="G383" s="18"/>
    </row>
    <row r="384" customFormat="false" ht="14.25" hidden="false" customHeight="true" outlineLevel="0" collapsed="false">
      <c r="A384" s="18"/>
      <c r="B384" s="18"/>
      <c r="C384" s="18"/>
      <c r="D384" s="18" t="s">
        <v>150</v>
      </c>
      <c r="E384" s="19"/>
      <c r="F384" s="18" t="s">
        <v>153</v>
      </c>
      <c r="G384" s="18"/>
    </row>
    <row r="385" customFormat="false" ht="14.25" hidden="false" customHeight="true" outlineLevel="0" collapsed="false">
      <c r="A385" s="18"/>
      <c r="B385" s="18"/>
      <c r="C385" s="18"/>
      <c r="D385" s="18" t="s">
        <v>150</v>
      </c>
      <c r="E385" s="19"/>
      <c r="F385" s="18" t="s">
        <v>153</v>
      </c>
      <c r="G385" s="18"/>
    </row>
    <row r="386" customFormat="false" ht="14.25" hidden="false" customHeight="true" outlineLevel="0" collapsed="false">
      <c r="A386" s="18"/>
      <c r="B386" s="18"/>
      <c r="C386" s="18"/>
      <c r="D386" s="18" t="s">
        <v>150</v>
      </c>
      <c r="E386" s="19"/>
      <c r="F386" s="18" t="s">
        <v>153</v>
      </c>
      <c r="G386" s="18"/>
    </row>
    <row r="387" customFormat="false" ht="14.25" hidden="false" customHeight="true" outlineLevel="0" collapsed="false">
      <c r="A387" s="18"/>
      <c r="B387" s="18"/>
      <c r="C387" s="18"/>
      <c r="D387" s="18" t="s">
        <v>150</v>
      </c>
      <c r="E387" s="19"/>
      <c r="F387" s="18" t="s">
        <v>153</v>
      </c>
      <c r="G387" s="18"/>
    </row>
    <row r="388" customFormat="false" ht="14.25" hidden="false" customHeight="true" outlineLevel="0" collapsed="false">
      <c r="A388" s="18"/>
      <c r="B388" s="18"/>
      <c r="C388" s="18"/>
      <c r="D388" s="18" t="s">
        <v>150</v>
      </c>
      <c r="E388" s="19"/>
      <c r="F388" s="18" t="s">
        <v>153</v>
      </c>
      <c r="G388" s="18"/>
    </row>
    <row r="389" customFormat="false" ht="14.25" hidden="false" customHeight="true" outlineLevel="0" collapsed="false">
      <c r="A389" s="18"/>
      <c r="B389" s="18"/>
      <c r="C389" s="18"/>
      <c r="D389" s="18" t="s">
        <v>150</v>
      </c>
      <c r="E389" s="19"/>
      <c r="F389" s="18" t="s">
        <v>153</v>
      </c>
      <c r="G389" s="18"/>
    </row>
    <row r="390" customFormat="false" ht="14.25" hidden="false" customHeight="true" outlineLevel="0" collapsed="false">
      <c r="A390" s="18"/>
      <c r="B390" s="18"/>
      <c r="C390" s="18"/>
      <c r="D390" s="18" t="s">
        <v>150</v>
      </c>
      <c r="E390" s="19"/>
      <c r="F390" s="18" t="s">
        <v>153</v>
      </c>
      <c r="G390" s="18"/>
    </row>
    <row r="391" customFormat="false" ht="14.25" hidden="false" customHeight="true" outlineLevel="0" collapsed="false">
      <c r="A391" s="18"/>
      <c r="B391" s="18"/>
      <c r="C391" s="18"/>
      <c r="D391" s="18" t="s">
        <v>150</v>
      </c>
      <c r="E391" s="19"/>
      <c r="F391" s="18" t="s">
        <v>153</v>
      </c>
      <c r="G391" s="18"/>
    </row>
    <row r="392" customFormat="false" ht="14.25" hidden="false" customHeight="true" outlineLevel="0" collapsed="false">
      <c r="A392" s="18"/>
      <c r="B392" s="18"/>
      <c r="C392" s="18"/>
      <c r="D392" s="18" t="s">
        <v>150</v>
      </c>
      <c r="E392" s="19"/>
      <c r="F392" s="18" t="s">
        <v>153</v>
      </c>
      <c r="G392" s="18"/>
    </row>
    <row r="393" customFormat="false" ht="14.25" hidden="false" customHeight="true" outlineLevel="0" collapsed="false">
      <c r="A393" s="18"/>
      <c r="B393" s="18"/>
      <c r="C393" s="18"/>
      <c r="D393" s="18" t="s">
        <v>150</v>
      </c>
      <c r="E393" s="19"/>
      <c r="F393" s="18" t="s">
        <v>153</v>
      </c>
      <c r="G393" s="18"/>
    </row>
    <row r="394" customFormat="false" ht="14.25" hidden="false" customHeight="true" outlineLevel="0" collapsed="false">
      <c r="A394" s="18"/>
      <c r="B394" s="18"/>
      <c r="C394" s="18"/>
      <c r="D394" s="18" t="s">
        <v>150</v>
      </c>
      <c r="E394" s="19"/>
      <c r="F394" s="18" t="s">
        <v>153</v>
      </c>
      <c r="G394" s="18"/>
    </row>
    <row r="395" customFormat="false" ht="14.25" hidden="false" customHeight="true" outlineLevel="0" collapsed="false">
      <c r="A395" s="18"/>
      <c r="B395" s="18"/>
      <c r="C395" s="18"/>
      <c r="D395" s="18" t="s">
        <v>150</v>
      </c>
      <c r="E395" s="19"/>
      <c r="F395" s="18" t="s">
        <v>153</v>
      </c>
      <c r="G395" s="18"/>
    </row>
    <row r="396" customFormat="false" ht="14.25" hidden="false" customHeight="true" outlineLevel="0" collapsed="false">
      <c r="A396" s="18"/>
      <c r="B396" s="18"/>
      <c r="C396" s="18"/>
      <c r="D396" s="18" t="s">
        <v>150</v>
      </c>
      <c r="E396" s="19"/>
      <c r="F396" s="18" t="s">
        <v>153</v>
      </c>
      <c r="G396" s="18"/>
    </row>
    <row r="397" customFormat="false" ht="14.25" hidden="false" customHeight="true" outlineLevel="0" collapsed="false">
      <c r="A397" s="18"/>
      <c r="B397" s="18"/>
      <c r="C397" s="18"/>
      <c r="D397" s="18" t="s">
        <v>150</v>
      </c>
      <c r="E397" s="19"/>
      <c r="F397" s="18" t="s">
        <v>153</v>
      </c>
      <c r="G397" s="18"/>
    </row>
    <row r="398" customFormat="false" ht="14.25" hidden="false" customHeight="true" outlineLevel="0" collapsed="false">
      <c r="A398" s="18"/>
      <c r="B398" s="18"/>
      <c r="C398" s="18"/>
      <c r="D398" s="18" t="s">
        <v>150</v>
      </c>
      <c r="E398" s="19"/>
      <c r="F398" s="18" t="s">
        <v>153</v>
      </c>
      <c r="G398" s="18"/>
    </row>
    <row r="399" customFormat="false" ht="14.25" hidden="false" customHeight="true" outlineLevel="0" collapsed="false">
      <c r="A399" s="18"/>
      <c r="B399" s="18"/>
      <c r="C399" s="18"/>
      <c r="D399" s="18" t="s">
        <v>150</v>
      </c>
      <c r="E399" s="19"/>
      <c r="F399" s="18" t="s">
        <v>153</v>
      </c>
      <c r="G399" s="18"/>
    </row>
    <row r="400" customFormat="false" ht="14.25" hidden="false" customHeight="true" outlineLevel="0" collapsed="false">
      <c r="A400" s="18"/>
      <c r="B400" s="18"/>
      <c r="C400" s="18"/>
      <c r="D400" s="18" t="s">
        <v>150</v>
      </c>
      <c r="E400" s="19"/>
      <c r="F400" s="18" t="s">
        <v>153</v>
      </c>
      <c r="G400" s="18"/>
    </row>
    <row r="401" customFormat="false" ht="14.25" hidden="false" customHeight="true" outlineLevel="0" collapsed="false">
      <c r="A401" s="18"/>
      <c r="B401" s="18"/>
      <c r="C401" s="18"/>
      <c r="D401" s="18" t="s">
        <v>150</v>
      </c>
      <c r="E401" s="19"/>
      <c r="F401" s="18" t="s">
        <v>153</v>
      </c>
      <c r="G401" s="18"/>
    </row>
    <row r="402" customFormat="false" ht="14.25" hidden="false" customHeight="true" outlineLevel="0" collapsed="false">
      <c r="A402" s="18"/>
      <c r="B402" s="18"/>
      <c r="C402" s="18"/>
      <c r="D402" s="18" t="s">
        <v>150</v>
      </c>
      <c r="E402" s="19"/>
      <c r="F402" s="18" t="s">
        <v>153</v>
      </c>
      <c r="G402" s="18"/>
    </row>
    <row r="403" customFormat="false" ht="14.25" hidden="false" customHeight="true" outlineLevel="0" collapsed="false">
      <c r="A403" s="18"/>
      <c r="B403" s="18"/>
      <c r="C403" s="18"/>
      <c r="D403" s="18" t="s">
        <v>150</v>
      </c>
      <c r="E403" s="19"/>
      <c r="F403" s="18" t="s">
        <v>153</v>
      </c>
      <c r="G403" s="18"/>
    </row>
    <row r="404" customFormat="false" ht="14.25" hidden="false" customHeight="true" outlineLevel="0" collapsed="false">
      <c r="A404" s="18"/>
      <c r="B404" s="18"/>
      <c r="C404" s="18"/>
      <c r="D404" s="18" t="s">
        <v>150</v>
      </c>
      <c r="E404" s="19"/>
      <c r="F404" s="18" t="s">
        <v>153</v>
      </c>
      <c r="G404" s="18"/>
    </row>
    <row r="405" customFormat="false" ht="14.25" hidden="false" customHeight="true" outlineLevel="0" collapsed="false">
      <c r="A405" s="18"/>
      <c r="B405" s="18"/>
      <c r="C405" s="18"/>
      <c r="D405" s="18" t="s">
        <v>150</v>
      </c>
      <c r="E405" s="19"/>
      <c r="F405" s="18" t="s">
        <v>153</v>
      </c>
      <c r="G405" s="18"/>
    </row>
    <row r="406" customFormat="false" ht="14.25" hidden="false" customHeight="true" outlineLevel="0" collapsed="false">
      <c r="A406" s="18"/>
      <c r="B406" s="18"/>
      <c r="C406" s="18"/>
      <c r="D406" s="18" t="s">
        <v>150</v>
      </c>
      <c r="E406" s="19"/>
      <c r="F406" s="18" t="s">
        <v>153</v>
      </c>
      <c r="G406" s="18"/>
    </row>
    <row r="407" customFormat="false" ht="14.25" hidden="false" customHeight="true" outlineLevel="0" collapsed="false">
      <c r="A407" s="18"/>
      <c r="B407" s="18"/>
      <c r="C407" s="18"/>
      <c r="D407" s="18" t="s">
        <v>150</v>
      </c>
      <c r="E407" s="19"/>
      <c r="F407" s="18" t="s">
        <v>153</v>
      </c>
      <c r="G407" s="18"/>
    </row>
    <row r="408" customFormat="false" ht="14.25" hidden="false" customHeight="true" outlineLevel="0" collapsed="false">
      <c r="A408" s="18"/>
      <c r="B408" s="18"/>
      <c r="C408" s="18"/>
      <c r="D408" s="18" t="s">
        <v>150</v>
      </c>
      <c r="E408" s="19"/>
      <c r="F408" s="18" t="s">
        <v>153</v>
      </c>
      <c r="G408" s="18"/>
    </row>
    <row r="409" customFormat="false" ht="14.25" hidden="false" customHeight="true" outlineLevel="0" collapsed="false">
      <c r="A409" s="18"/>
      <c r="B409" s="18"/>
      <c r="C409" s="18"/>
      <c r="D409" s="18" t="s">
        <v>150</v>
      </c>
      <c r="E409" s="19"/>
      <c r="F409" s="18" t="s">
        <v>153</v>
      </c>
      <c r="G409" s="18"/>
    </row>
    <row r="410" customFormat="false" ht="14.25" hidden="false" customHeight="true" outlineLevel="0" collapsed="false">
      <c r="A410" s="18"/>
      <c r="B410" s="18"/>
      <c r="C410" s="18"/>
      <c r="D410" s="18" t="s">
        <v>150</v>
      </c>
      <c r="E410" s="19"/>
      <c r="F410" s="18" t="s">
        <v>153</v>
      </c>
      <c r="G410" s="18"/>
    </row>
    <row r="411" customFormat="false" ht="14.25" hidden="false" customHeight="true" outlineLevel="0" collapsed="false">
      <c r="A411" s="18"/>
      <c r="B411" s="18"/>
      <c r="C411" s="18"/>
      <c r="D411" s="18" t="s">
        <v>150</v>
      </c>
      <c r="E411" s="19"/>
      <c r="F411" s="18" t="s">
        <v>153</v>
      </c>
      <c r="G411" s="18"/>
    </row>
    <row r="412" customFormat="false" ht="14.25" hidden="false" customHeight="true" outlineLevel="0" collapsed="false">
      <c r="A412" s="18"/>
      <c r="B412" s="18"/>
      <c r="C412" s="18"/>
      <c r="D412" s="18" t="s">
        <v>150</v>
      </c>
      <c r="E412" s="19"/>
      <c r="F412" s="18" t="s">
        <v>153</v>
      </c>
      <c r="G412" s="18"/>
    </row>
    <row r="413" customFormat="false" ht="14.25" hidden="false" customHeight="true" outlineLevel="0" collapsed="false">
      <c r="A413" s="18"/>
      <c r="B413" s="18"/>
      <c r="C413" s="18"/>
      <c r="D413" s="18" t="s">
        <v>150</v>
      </c>
      <c r="E413" s="19"/>
      <c r="F413" s="18" t="s">
        <v>153</v>
      </c>
      <c r="G413" s="18"/>
    </row>
    <row r="414" customFormat="false" ht="14.25" hidden="false" customHeight="true" outlineLevel="0" collapsed="false">
      <c r="A414" s="18"/>
      <c r="B414" s="18"/>
      <c r="C414" s="18"/>
      <c r="D414" s="18" t="s">
        <v>150</v>
      </c>
      <c r="E414" s="19"/>
      <c r="F414" s="18" t="s">
        <v>153</v>
      </c>
      <c r="G414" s="18"/>
    </row>
    <row r="415" customFormat="false" ht="14.25" hidden="false" customHeight="true" outlineLevel="0" collapsed="false">
      <c r="A415" s="18"/>
      <c r="B415" s="18"/>
      <c r="C415" s="18"/>
      <c r="D415" s="18" t="s">
        <v>150</v>
      </c>
      <c r="E415" s="19"/>
      <c r="F415" s="18" t="s">
        <v>153</v>
      </c>
      <c r="G415" s="18"/>
    </row>
    <row r="416" customFormat="false" ht="14.25" hidden="false" customHeight="true" outlineLevel="0" collapsed="false">
      <c r="A416" s="18"/>
      <c r="B416" s="18"/>
      <c r="C416" s="18"/>
      <c r="D416" s="18" t="s">
        <v>150</v>
      </c>
      <c r="E416" s="19"/>
      <c r="F416" s="18" t="s">
        <v>153</v>
      </c>
      <c r="G416" s="18"/>
    </row>
    <row r="417" customFormat="false" ht="14.25" hidden="false" customHeight="true" outlineLevel="0" collapsed="false">
      <c r="A417" s="18"/>
      <c r="B417" s="18"/>
      <c r="C417" s="18"/>
      <c r="D417" s="18" t="s">
        <v>150</v>
      </c>
      <c r="E417" s="19"/>
      <c r="F417" s="18" t="s">
        <v>153</v>
      </c>
      <c r="G417" s="18"/>
    </row>
    <row r="418" customFormat="false" ht="14.25" hidden="false" customHeight="true" outlineLevel="0" collapsed="false">
      <c r="A418" s="18"/>
      <c r="B418" s="18"/>
      <c r="C418" s="18"/>
      <c r="D418" s="18" t="s">
        <v>150</v>
      </c>
      <c r="E418" s="19"/>
      <c r="F418" s="18" t="s">
        <v>153</v>
      </c>
      <c r="G418" s="18"/>
    </row>
    <row r="419" customFormat="false" ht="14.25" hidden="false" customHeight="true" outlineLevel="0" collapsed="false">
      <c r="A419" s="18"/>
      <c r="B419" s="18"/>
      <c r="C419" s="18"/>
      <c r="D419" s="18" t="s">
        <v>150</v>
      </c>
      <c r="E419" s="19"/>
      <c r="F419" s="18" t="s">
        <v>153</v>
      </c>
      <c r="G419" s="18"/>
    </row>
    <row r="420" customFormat="false" ht="14.25" hidden="false" customHeight="true" outlineLevel="0" collapsed="false">
      <c r="A420" s="18"/>
      <c r="B420" s="18"/>
      <c r="C420" s="18"/>
      <c r="D420" s="18" t="s">
        <v>150</v>
      </c>
      <c r="E420" s="19"/>
      <c r="F420" s="18" t="s">
        <v>153</v>
      </c>
      <c r="G420" s="18"/>
    </row>
    <row r="421" customFormat="false" ht="14.25" hidden="false" customHeight="true" outlineLevel="0" collapsed="false">
      <c r="A421" s="18"/>
      <c r="B421" s="18"/>
      <c r="C421" s="18"/>
      <c r="D421" s="18" t="s">
        <v>150</v>
      </c>
      <c r="E421" s="19"/>
      <c r="F421" s="18" t="s">
        <v>153</v>
      </c>
      <c r="G421" s="18"/>
    </row>
    <row r="422" customFormat="false" ht="14.25" hidden="false" customHeight="true" outlineLevel="0" collapsed="false">
      <c r="A422" s="18"/>
      <c r="B422" s="18"/>
      <c r="C422" s="18"/>
      <c r="D422" s="18" t="s">
        <v>150</v>
      </c>
      <c r="E422" s="19"/>
      <c r="F422" s="18" t="s">
        <v>153</v>
      </c>
      <c r="G422" s="18"/>
    </row>
    <row r="423" customFormat="false" ht="14.25" hidden="false" customHeight="true" outlineLevel="0" collapsed="false">
      <c r="A423" s="18"/>
      <c r="B423" s="18"/>
      <c r="C423" s="18"/>
      <c r="D423" s="18" t="s">
        <v>150</v>
      </c>
      <c r="E423" s="19"/>
      <c r="F423" s="18" t="s">
        <v>153</v>
      </c>
      <c r="G423" s="18"/>
    </row>
    <row r="424" customFormat="false" ht="14.25" hidden="false" customHeight="true" outlineLevel="0" collapsed="false">
      <c r="A424" s="18"/>
      <c r="B424" s="18"/>
      <c r="C424" s="18"/>
      <c r="D424" s="18" t="s">
        <v>150</v>
      </c>
      <c r="E424" s="19"/>
      <c r="F424" s="18" t="s">
        <v>153</v>
      </c>
      <c r="G424" s="18"/>
    </row>
    <row r="425" customFormat="false" ht="14.25" hidden="false" customHeight="true" outlineLevel="0" collapsed="false">
      <c r="A425" s="18"/>
      <c r="B425" s="18"/>
      <c r="C425" s="18"/>
      <c r="D425" s="18" t="s">
        <v>150</v>
      </c>
      <c r="E425" s="19"/>
      <c r="F425" s="18" t="s">
        <v>153</v>
      </c>
      <c r="G425" s="18"/>
    </row>
    <row r="426" customFormat="false" ht="14.25" hidden="false" customHeight="true" outlineLevel="0" collapsed="false">
      <c r="A426" s="18"/>
      <c r="B426" s="18"/>
      <c r="C426" s="18"/>
      <c r="D426" s="18" t="s">
        <v>150</v>
      </c>
      <c r="E426" s="19"/>
      <c r="F426" s="18" t="s">
        <v>153</v>
      </c>
      <c r="G426" s="18"/>
    </row>
    <row r="427" customFormat="false" ht="14.25" hidden="false" customHeight="true" outlineLevel="0" collapsed="false">
      <c r="A427" s="18"/>
      <c r="B427" s="18"/>
      <c r="C427" s="18"/>
      <c r="D427" s="18" t="s">
        <v>150</v>
      </c>
      <c r="E427" s="19"/>
      <c r="F427" s="18" t="s">
        <v>153</v>
      </c>
      <c r="G427" s="18"/>
    </row>
    <row r="428" customFormat="false" ht="14.25" hidden="false" customHeight="true" outlineLevel="0" collapsed="false">
      <c r="A428" s="18"/>
      <c r="B428" s="18"/>
      <c r="C428" s="18"/>
      <c r="D428" s="18" t="s">
        <v>150</v>
      </c>
      <c r="E428" s="19"/>
      <c r="F428" s="18" t="s">
        <v>153</v>
      </c>
      <c r="G428" s="18"/>
    </row>
    <row r="429" customFormat="false" ht="14.25" hidden="false" customHeight="true" outlineLevel="0" collapsed="false">
      <c r="A429" s="18"/>
      <c r="B429" s="18"/>
      <c r="C429" s="18"/>
      <c r="D429" s="18" t="s">
        <v>150</v>
      </c>
      <c r="E429" s="19"/>
      <c r="F429" s="18" t="s">
        <v>153</v>
      </c>
      <c r="G429" s="18"/>
    </row>
    <row r="430" customFormat="false" ht="14.25" hidden="false" customHeight="true" outlineLevel="0" collapsed="false">
      <c r="A430" s="18"/>
      <c r="B430" s="18"/>
      <c r="C430" s="18"/>
      <c r="D430" s="18" t="s">
        <v>150</v>
      </c>
      <c r="E430" s="19"/>
      <c r="F430" s="18" t="s">
        <v>153</v>
      </c>
      <c r="G430" s="18"/>
    </row>
    <row r="431" customFormat="false" ht="14.25" hidden="false" customHeight="true" outlineLevel="0" collapsed="false">
      <c r="A431" s="18"/>
      <c r="B431" s="18"/>
      <c r="C431" s="18"/>
      <c r="D431" s="18" t="s">
        <v>150</v>
      </c>
      <c r="E431" s="19"/>
      <c r="F431" s="18" t="s">
        <v>153</v>
      </c>
      <c r="G431" s="18"/>
    </row>
    <row r="432" customFormat="false" ht="14.25" hidden="false" customHeight="true" outlineLevel="0" collapsed="false">
      <c r="A432" s="18"/>
      <c r="B432" s="18"/>
      <c r="C432" s="18"/>
      <c r="D432" s="18" t="s">
        <v>150</v>
      </c>
      <c r="E432" s="19"/>
      <c r="F432" s="18" t="s">
        <v>153</v>
      </c>
      <c r="G432" s="18"/>
    </row>
    <row r="433" customFormat="false" ht="14.25" hidden="false" customHeight="true" outlineLevel="0" collapsed="false">
      <c r="A433" s="18"/>
      <c r="B433" s="18"/>
      <c r="C433" s="18"/>
      <c r="D433" s="18" t="s">
        <v>150</v>
      </c>
      <c r="E433" s="19"/>
      <c r="F433" s="18" t="s">
        <v>153</v>
      </c>
      <c r="G433" s="18"/>
    </row>
    <row r="434" customFormat="false" ht="14.25" hidden="false" customHeight="true" outlineLevel="0" collapsed="false">
      <c r="A434" s="18"/>
      <c r="B434" s="18"/>
      <c r="C434" s="18"/>
      <c r="D434" s="18" t="s">
        <v>150</v>
      </c>
      <c r="E434" s="19"/>
      <c r="F434" s="18" t="s">
        <v>153</v>
      </c>
      <c r="G434" s="18"/>
    </row>
    <row r="435" customFormat="false" ht="14.25" hidden="false" customHeight="true" outlineLevel="0" collapsed="false">
      <c r="A435" s="18"/>
      <c r="B435" s="18"/>
      <c r="C435" s="18"/>
      <c r="D435" s="18" t="s">
        <v>150</v>
      </c>
      <c r="E435" s="19"/>
      <c r="F435" s="18" t="s">
        <v>153</v>
      </c>
      <c r="G435" s="18"/>
    </row>
    <row r="436" customFormat="false" ht="14.25" hidden="false" customHeight="true" outlineLevel="0" collapsed="false">
      <c r="A436" s="18"/>
      <c r="B436" s="18"/>
      <c r="C436" s="18"/>
      <c r="D436" s="18" t="s">
        <v>150</v>
      </c>
      <c r="E436" s="19"/>
      <c r="F436" s="18" t="s">
        <v>153</v>
      </c>
      <c r="G436" s="18"/>
    </row>
    <row r="437" customFormat="false" ht="14.25" hidden="false" customHeight="true" outlineLevel="0" collapsed="false">
      <c r="A437" s="18"/>
      <c r="B437" s="18"/>
      <c r="C437" s="18"/>
      <c r="D437" s="18" t="s">
        <v>150</v>
      </c>
      <c r="E437" s="19"/>
      <c r="F437" s="18" t="s">
        <v>153</v>
      </c>
      <c r="G437" s="18"/>
    </row>
    <row r="438" customFormat="false" ht="14.25" hidden="false" customHeight="true" outlineLevel="0" collapsed="false">
      <c r="A438" s="18"/>
      <c r="B438" s="18"/>
      <c r="C438" s="18"/>
      <c r="D438" s="18" t="s">
        <v>150</v>
      </c>
      <c r="E438" s="19"/>
      <c r="F438" s="18" t="s">
        <v>153</v>
      </c>
      <c r="G438" s="18"/>
    </row>
    <row r="439" customFormat="false" ht="14.25" hidden="false" customHeight="true" outlineLevel="0" collapsed="false">
      <c r="A439" s="18"/>
      <c r="B439" s="18"/>
      <c r="C439" s="18"/>
      <c r="D439" s="18" t="s">
        <v>150</v>
      </c>
      <c r="E439" s="19"/>
      <c r="F439" s="18" t="s">
        <v>153</v>
      </c>
      <c r="G439" s="18"/>
    </row>
    <row r="440" customFormat="false" ht="14.25" hidden="false" customHeight="true" outlineLevel="0" collapsed="false">
      <c r="A440" s="18"/>
      <c r="B440" s="18"/>
      <c r="C440" s="18"/>
      <c r="D440" s="18" t="s">
        <v>150</v>
      </c>
      <c r="E440" s="19"/>
      <c r="F440" s="18" t="s">
        <v>153</v>
      </c>
      <c r="G440" s="18"/>
    </row>
    <row r="441" customFormat="false" ht="14.25" hidden="false" customHeight="true" outlineLevel="0" collapsed="false">
      <c r="A441" s="18"/>
      <c r="B441" s="18"/>
      <c r="C441" s="18"/>
      <c r="D441" s="18" t="s">
        <v>150</v>
      </c>
      <c r="E441" s="19"/>
      <c r="F441" s="18" t="s">
        <v>153</v>
      </c>
      <c r="G441" s="18"/>
    </row>
    <row r="442" customFormat="false" ht="14.25" hidden="false" customHeight="true" outlineLevel="0" collapsed="false">
      <c r="A442" s="18"/>
      <c r="B442" s="18"/>
      <c r="C442" s="18"/>
      <c r="D442" s="18" t="s">
        <v>150</v>
      </c>
      <c r="E442" s="19"/>
      <c r="F442" s="18" t="s">
        <v>153</v>
      </c>
      <c r="G442" s="18"/>
    </row>
    <row r="443" customFormat="false" ht="14.25" hidden="false" customHeight="true" outlineLevel="0" collapsed="false">
      <c r="A443" s="18"/>
      <c r="B443" s="18"/>
      <c r="C443" s="18"/>
      <c r="D443" s="18" t="s">
        <v>150</v>
      </c>
      <c r="E443" s="19"/>
      <c r="F443" s="18" t="s">
        <v>153</v>
      </c>
      <c r="G443" s="18"/>
    </row>
    <row r="444" customFormat="false" ht="14.25" hidden="false" customHeight="true" outlineLevel="0" collapsed="false">
      <c r="A444" s="18"/>
      <c r="B444" s="18"/>
      <c r="C444" s="18"/>
      <c r="D444" s="18" t="s">
        <v>150</v>
      </c>
      <c r="E444" s="19"/>
      <c r="F444" s="18" t="s">
        <v>153</v>
      </c>
      <c r="G444" s="18"/>
    </row>
    <row r="445" customFormat="false" ht="14.25" hidden="false" customHeight="true" outlineLevel="0" collapsed="false">
      <c r="A445" s="18"/>
      <c r="B445" s="18"/>
      <c r="C445" s="18"/>
      <c r="D445" s="18" t="s">
        <v>150</v>
      </c>
      <c r="E445" s="19"/>
      <c r="F445" s="18" t="s">
        <v>153</v>
      </c>
      <c r="G445" s="18"/>
    </row>
    <row r="446" customFormat="false" ht="14.25" hidden="false" customHeight="true" outlineLevel="0" collapsed="false">
      <c r="A446" s="18"/>
      <c r="B446" s="18"/>
      <c r="C446" s="18"/>
      <c r="D446" s="18" t="s">
        <v>150</v>
      </c>
      <c r="E446" s="19"/>
      <c r="F446" s="18" t="s">
        <v>153</v>
      </c>
      <c r="G446" s="18"/>
    </row>
    <row r="447" customFormat="false" ht="14.25" hidden="false" customHeight="true" outlineLevel="0" collapsed="false">
      <c r="A447" s="18"/>
      <c r="B447" s="18"/>
      <c r="C447" s="18"/>
      <c r="D447" s="18" t="s">
        <v>150</v>
      </c>
      <c r="E447" s="19"/>
      <c r="F447" s="18" t="s">
        <v>153</v>
      </c>
      <c r="G447" s="18"/>
    </row>
    <row r="448" customFormat="false" ht="14.25" hidden="false" customHeight="true" outlineLevel="0" collapsed="false">
      <c r="A448" s="18"/>
      <c r="B448" s="18"/>
      <c r="C448" s="18"/>
      <c r="D448" s="18" t="s">
        <v>150</v>
      </c>
      <c r="E448" s="19"/>
      <c r="F448" s="18" t="s">
        <v>153</v>
      </c>
      <c r="G448" s="18"/>
    </row>
    <row r="449" customFormat="false" ht="14.25" hidden="false" customHeight="true" outlineLevel="0" collapsed="false">
      <c r="A449" s="18"/>
      <c r="B449" s="18"/>
      <c r="C449" s="18"/>
      <c r="D449" s="18" t="s">
        <v>150</v>
      </c>
      <c r="E449" s="19"/>
      <c r="F449" s="18" t="s">
        <v>153</v>
      </c>
      <c r="G449" s="18"/>
    </row>
    <row r="450" customFormat="false" ht="14.25" hidden="false" customHeight="true" outlineLevel="0" collapsed="false">
      <c r="A450" s="18"/>
      <c r="B450" s="18"/>
      <c r="C450" s="18"/>
      <c r="D450" s="18" t="s">
        <v>150</v>
      </c>
      <c r="E450" s="19"/>
      <c r="F450" s="18" t="s">
        <v>153</v>
      </c>
      <c r="G450" s="18"/>
    </row>
    <row r="451" customFormat="false" ht="14.25" hidden="false" customHeight="true" outlineLevel="0" collapsed="false">
      <c r="A451" s="18"/>
      <c r="B451" s="18"/>
      <c r="C451" s="18"/>
      <c r="D451" s="18" t="s">
        <v>150</v>
      </c>
      <c r="E451" s="19"/>
      <c r="F451" s="18" t="s">
        <v>153</v>
      </c>
      <c r="G451" s="18"/>
    </row>
    <row r="452" customFormat="false" ht="14.25" hidden="false" customHeight="true" outlineLevel="0" collapsed="false">
      <c r="A452" s="18"/>
      <c r="B452" s="18"/>
      <c r="C452" s="18"/>
      <c r="D452" s="18" t="s">
        <v>150</v>
      </c>
      <c r="E452" s="19"/>
      <c r="F452" s="18" t="s">
        <v>153</v>
      </c>
      <c r="G452" s="18"/>
    </row>
    <row r="453" customFormat="false" ht="14.25" hidden="false" customHeight="true" outlineLevel="0" collapsed="false">
      <c r="A453" s="18"/>
      <c r="B453" s="18"/>
      <c r="C453" s="18"/>
      <c r="D453" s="18" t="s">
        <v>150</v>
      </c>
      <c r="E453" s="19"/>
      <c r="F453" s="18" t="s">
        <v>153</v>
      </c>
      <c r="G453" s="18"/>
    </row>
    <row r="454" customFormat="false" ht="14.25" hidden="false" customHeight="true" outlineLevel="0" collapsed="false">
      <c r="A454" s="18"/>
      <c r="B454" s="18"/>
      <c r="C454" s="18"/>
      <c r="D454" s="18" t="s">
        <v>150</v>
      </c>
      <c r="E454" s="19"/>
      <c r="F454" s="18" t="s">
        <v>153</v>
      </c>
      <c r="G454" s="18"/>
    </row>
    <row r="455" customFormat="false" ht="14.25" hidden="false" customHeight="true" outlineLevel="0" collapsed="false">
      <c r="A455" s="18"/>
      <c r="B455" s="18"/>
      <c r="C455" s="18"/>
      <c r="D455" s="18" t="s">
        <v>150</v>
      </c>
      <c r="E455" s="19"/>
      <c r="F455" s="18" t="s">
        <v>153</v>
      </c>
      <c r="G455" s="18"/>
    </row>
    <row r="456" customFormat="false" ht="14.25" hidden="false" customHeight="true" outlineLevel="0" collapsed="false">
      <c r="A456" s="18"/>
      <c r="B456" s="18"/>
      <c r="C456" s="18"/>
      <c r="D456" s="18" t="s">
        <v>150</v>
      </c>
      <c r="E456" s="19"/>
      <c r="F456" s="18" t="s">
        <v>153</v>
      </c>
      <c r="G456" s="18"/>
    </row>
    <row r="457" customFormat="false" ht="14.25" hidden="false" customHeight="true" outlineLevel="0" collapsed="false">
      <c r="A457" s="18"/>
      <c r="B457" s="18"/>
      <c r="C457" s="18"/>
      <c r="D457" s="18" t="s">
        <v>150</v>
      </c>
      <c r="E457" s="19"/>
      <c r="F457" s="18" t="s">
        <v>153</v>
      </c>
      <c r="G457" s="18"/>
    </row>
    <row r="458" customFormat="false" ht="14.25" hidden="false" customHeight="true" outlineLevel="0" collapsed="false">
      <c r="A458" s="18"/>
      <c r="B458" s="18"/>
      <c r="C458" s="18"/>
      <c r="D458" s="18" t="s">
        <v>150</v>
      </c>
      <c r="E458" s="19"/>
      <c r="F458" s="18" t="s">
        <v>153</v>
      </c>
      <c r="G458" s="18"/>
    </row>
    <row r="459" customFormat="false" ht="14.25" hidden="false" customHeight="true" outlineLevel="0" collapsed="false">
      <c r="A459" s="18"/>
      <c r="B459" s="18"/>
      <c r="C459" s="18"/>
      <c r="D459" s="18" t="s">
        <v>150</v>
      </c>
      <c r="E459" s="19"/>
      <c r="F459" s="18" t="s">
        <v>153</v>
      </c>
      <c r="G459" s="18"/>
    </row>
    <row r="460" customFormat="false" ht="14.25" hidden="false" customHeight="true" outlineLevel="0" collapsed="false">
      <c r="A460" s="18"/>
      <c r="B460" s="18"/>
      <c r="C460" s="18"/>
      <c r="D460" s="18" t="s">
        <v>150</v>
      </c>
      <c r="E460" s="19"/>
      <c r="F460" s="18" t="s">
        <v>153</v>
      </c>
      <c r="G460" s="18"/>
    </row>
    <row r="461" customFormat="false" ht="14.25" hidden="false" customHeight="true" outlineLevel="0" collapsed="false">
      <c r="A461" s="18"/>
      <c r="B461" s="18"/>
      <c r="C461" s="18"/>
      <c r="D461" s="18" t="s">
        <v>150</v>
      </c>
      <c r="E461" s="19"/>
      <c r="F461" s="18" t="s">
        <v>153</v>
      </c>
      <c r="G461" s="18"/>
    </row>
    <row r="462" customFormat="false" ht="14.25" hidden="false" customHeight="true" outlineLevel="0" collapsed="false">
      <c r="A462" s="18"/>
      <c r="B462" s="18"/>
      <c r="C462" s="18"/>
      <c r="D462" s="18" t="s">
        <v>150</v>
      </c>
      <c r="E462" s="19"/>
      <c r="F462" s="18" t="s">
        <v>153</v>
      </c>
      <c r="G462" s="18"/>
    </row>
    <row r="463" customFormat="false" ht="14.25" hidden="false" customHeight="true" outlineLevel="0" collapsed="false">
      <c r="A463" s="18"/>
      <c r="B463" s="18"/>
      <c r="C463" s="18"/>
      <c r="D463" s="18" t="s">
        <v>150</v>
      </c>
      <c r="E463" s="19"/>
      <c r="F463" s="18" t="s">
        <v>153</v>
      </c>
      <c r="G463" s="18"/>
    </row>
    <row r="464" customFormat="false" ht="14.25" hidden="false" customHeight="true" outlineLevel="0" collapsed="false">
      <c r="A464" s="18"/>
      <c r="B464" s="18"/>
      <c r="C464" s="18"/>
      <c r="D464" s="18" t="s">
        <v>150</v>
      </c>
      <c r="E464" s="19"/>
      <c r="F464" s="18" t="s">
        <v>153</v>
      </c>
      <c r="G464" s="18"/>
    </row>
    <row r="465" customFormat="false" ht="14.25" hidden="false" customHeight="true" outlineLevel="0" collapsed="false">
      <c r="A465" s="18"/>
      <c r="B465" s="18"/>
      <c r="C465" s="18"/>
      <c r="D465" s="18" t="s">
        <v>150</v>
      </c>
      <c r="E465" s="19"/>
      <c r="F465" s="18" t="s">
        <v>153</v>
      </c>
      <c r="G465" s="18"/>
    </row>
    <row r="466" customFormat="false" ht="14.25" hidden="false" customHeight="true" outlineLevel="0" collapsed="false">
      <c r="A466" s="18"/>
      <c r="B466" s="18"/>
      <c r="C466" s="18"/>
      <c r="D466" s="18" t="s">
        <v>150</v>
      </c>
      <c r="E466" s="19"/>
      <c r="F466" s="18" t="s">
        <v>153</v>
      </c>
      <c r="G466" s="18"/>
    </row>
    <row r="467" customFormat="false" ht="14.25" hidden="false" customHeight="true" outlineLevel="0" collapsed="false">
      <c r="A467" s="18"/>
      <c r="B467" s="18"/>
      <c r="C467" s="18"/>
      <c r="D467" s="18" t="s">
        <v>150</v>
      </c>
      <c r="E467" s="19"/>
      <c r="F467" s="18" t="s">
        <v>153</v>
      </c>
      <c r="G467" s="18"/>
    </row>
    <row r="468" customFormat="false" ht="14.25" hidden="false" customHeight="true" outlineLevel="0" collapsed="false">
      <c r="A468" s="18"/>
      <c r="B468" s="18"/>
      <c r="C468" s="18"/>
      <c r="D468" s="18" t="s">
        <v>150</v>
      </c>
      <c r="E468" s="19"/>
      <c r="F468" s="18" t="s">
        <v>153</v>
      </c>
      <c r="G468" s="18"/>
    </row>
    <row r="469" customFormat="false" ht="14.25" hidden="false" customHeight="true" outlineLevel="0" collapsed="false">
      <c r="A469" s="18"/>
      <c r="B469" s="18"/>
      <c r="C469" s="18"/>
      <c r="D469" s="18" t="s">
        <v>150</v>
      </c>
      <c r="E469" s="19"/>
      <c r="F469" s="18" t="s">
        <v>153</v>
      </c>
      <c r="G469" s="18"/>
    </row>
    <row r="470" customFormat="false" ht="14.25" hidden="false" customHeight="true" outlineLevel="0" collapsed="false">
      <c r="A470" s="18"/>
      <c r="B470" s="18"/>
      <c r="C470" s="18"/>
      <c r="D470" s="18" t="s">
        <v>150</v>
      </c>
      <c r="E470" s="19"/>
      <c r="F470" s="18" t="s">
        <v>153</v>
      </c>
      <c r="G470" s="18"/>
    </row>
    <row r="471" customFormat="false" ht="14.25" hidden="false" customHeight="true" outlineLevel="0" collapsed="false">
      <c r="A471" s="18"/>
      <c r="B471" s="18"/>
      <c r="C471" s="18"/>
      <c r="D471" s="18" t="s">
        <v>150</v>
      </c>
      <c r="E471" s="19"/>
      <c r="F471" s="18" t="s">
        <v>153</v>
      </c>
      <c r="G471" s="18"/>
    </row>
    <row r="472" customFormat="false" ht="14.25" hidden="false" customHeight="true" outlineLevel="0" collapsed="false">
      <c r="A472" s="18"/>
      <c r="B472" s="18"/>
      <c r="C472" s="18"/>
      <c r="D472" s="18" t="s">
        <v>150</v>
      </c>
      <c r="E472" s="19"/>
      <c r="F472" s="18" t="s">
        <v>153</v>
      </c>
      <c r="G472" s="18"/>
    </row>
    <row r="473" customFormat="false" ht="14.25" hidden="false" customHeight="true" outlineLevel="0" collapsed="false">
      <c r="A473" s="18"/>
      <c r="B473" s="18"/>
      <c r="C473" s="18"/>
      <c r="D473" s="18" t="s">
        <v>150</v>
      </c>
      <c r="E473" s="19"/>
      <c r="F473" s="18" t="s">
        <v>153</v>
      </c>
      <c r="G473" s="18"/>
    </row>
    <row r="474" customFormat="false" ht="14.25" hidden="false" customHeight="true" outlineLevel="0" collapsed="false">
      <c r="A474" s="18"/>
      <c r="B474" s="18"/>
      <c r="C474" s="18"/>
      <c r="D474" s="18" t="s">
        <v>150</v>
      </c>
      <c r="E474" s="19"/>
      <c r="F474" s="18" t="s">
        <v>153</v>
      </c>
      <c r="G474" s="18"/>
    </row>
    <row r="475" customFormat="false" ht="14.25" hidden="false" customHeight="true" outlineLevel="0" collapsed="false">
      <c r="A475" s="18"/>
      <c r="B475" s="18"/>
      <c r="C475" s="18"/>
      <c r="D475" s="18" t="s">
        <v>150</v>
      </c>
      <c r="E475" s="19"/>
      <c r="F475" s="18" t="s">
        <v>153</v>
      </c>
      <c r="G475" s="18"/>
    </row>
    <row r="476" customFormat="false" ht="14.25" hidden="false" customHeight="true" outlineLevel="0" collapsed="false">
      <c r="A476" s="18"/>
      <c r="B476" s="18"/>
      <c r="C476" s="18"/>
      <c r="D476" s="18" t="s">
        <v>150</v>
      </c>
      <c r="E476" s="19"/>
      <c r="F476" s="18" t="s">
        <v>153</v>
      </c>
      <c r="G476" s="18"/>
    </row>
    <row r="477" customFormat="false" ht="14.25" hidden="false" customHeight="true" outlineLevel="0" collapsed="false">
      <c r="A477" s="18"/>
      <c r="B477" s="18"/>
      <c r="C477" s="18"/>
      <c r="D477" s="18" t="s">
        <v>150</v>
      </c>
      <c r="E477" s="19"/>
      <c r="F477" s="18" t="s">
        <v>153</v>
      </c>
      <c r="G477" s="18"/>
    </row>
    <row r="478" customFormat="false" ht="14.25" hidden="false" customHeight="true" outlineLevel="0" collapsed="false">
      <c r="A478" s="18"/>
      <c r="B478" s="18"/>
      <c r="C478" s="18"/>
      <c r="D478" s="18" t="s">
        <v>150</v>
      </c>
      <c r="E478" s="19"/>
      <c r="F478" s="18" t="s">
        <v>153</v>
      </c>
      <c r="G478" s="18"/>
    </row>
    <row r="479" customFormat="false" ht="14.25" hidden="false" customHeight="true" outlineLevel="0" collapsed="false">
      <c r="A479" s="18"/>
      <c r="B479" s="18"/>
      <c r="C479" s="18"/>
      <c r="D479" s="18" t="s">
        <v>150</v>
      </c>
      <c r="E479" s="19"/>
      <c r="F479" s="18" t="s">
        <v>153</v>
      </c>
      <c r="G479" s="18"/>
    </row>
    <row r="480" customFormat="false" ht="14.25" hidden="false" customHeight="true" outlineLevel="0" collapsed="false">
      <c r="A480" s="18"/>
      <c r="B480" s="18"/>
      <c r="C480" s="18"/>
      <c r="D480" s="18" t="s">
        <v>150</v>
      </c>
      <c r="E480" s="19"/>
      <c r="F480" s="18" t="s">
        <v>153</v>
      </c>
      <c r="G480" s="18"/>
    </row>
    <row r="481" customFormat="false" ht="14.25" hidden="false" customHeight="true" outlineLevel="0" collapsed="false">
      <c r="A481" s="18"/>
      <c r="B481" s="18"/>
      <c r="C481" s="18"/>
      <c r="D481" s="18" t="s">
        <v>150</v>
      </c>
      <c r="E481" s="19"/>
      <c r="F481" s="18" t="s">
        <v>153</v>
      </c>
      <c r="G481" s="18"/>
    </row>
    <row r="482" customFormat="false" ht="14.25" hidden="false" customHeight="true" outlineLevel="0" collapsed="false">
      <c r="A482" s="18"/>
      <c r="B482" s="18"/>
      <c r="C482" s="18"/>
      <c r="D482" s="18" t="s">
        <v>150</v>
      </c>
      <c r="E482" s="19"/>
      <c r="F482" s="18" t="s">
        <v>153</v>
      </c>
      <c r="G482" s="18"/>
    </row>
    <row r="483" customFormat="false" ht="14.25" hidden="false" customHeight="true" outlineLevel="0" collapsed="false">
      <c r="A483" s="18"/>
      <c r="B483" s="18"/>
      <c r="C483" s="18"/>
      <c r="D483" s="18" t="s">
        <v>150</v>
      </c>
      <c r="E483" s="19"/>
      <c r="F483" s="18" t="s">
        <v>153</v>
      </c>
      <c r="G483" s="18"/>
    </row>
    <row r="484" customFormat="false" ht="14.25" hidden="false" customHeight="true" outlineLevel="0" collapsed="false">
      <c r="A484" s="18"/>
      <c r="B484" s="18"/>
      <c r="C484" s="18"/>
      <c r="D484" s="18" t="s">
        <v>150</v>
      </c>
      <c r="E484" s="19"/>
      <c r="F484" s="18" t="s">
        <v>153</v>
      </c>
      <c r="G484" s="18"/>
    </row>
    <row r="485" customFormat="false" ht="14.25" hidden="false" customHeight="true" outlineLevel="0" collapsed="false">
      <c r="A485" s="18"/>
      <c r="B485" s="18"/>
      <c r="C485" s="18"/>
      <c r="D485" s="18" t="s">
        <v>150</v>
      </c>
      <c r="E485" s="19"/>
      <c r="F485" s="18" t="s">
        <v>153</v>
      </c>
      <c r="G485" s="18"/>
    </row>
    <row r="486" customFormat="false" ht="14.25" hidden="false" customHeight="true" outlineLevel="0" collapsed="false">
      <c r="A486" s="18"/>
      <c r="B486" s="18"/>
      <c r="C486" s="18"/>
      <c r="D486" s="18" t="s">
        <v>150</v>
      </c>
      <c r="E486" s="19"/>
      <c r="F486" s="18" t="s">
        <v>153</v>
      </c>
      <c r="G486" s="18"/>
    </row>
    <row r="487" customFormat="false" ht="14.25" hidden="false" customHeight="true" outlineLevel="0" collapsed="false">
      <c r="A487" s="18"/>
      <c r="B487" s="18"/>
      <c r="C487" s="18"/>
      <c r="D487" s="18" t="s">
        <v>150</v>
      </c>
      <c r="E487" s="19"/>
      <c r="F487" s="18" t="s">
        <v>153</v>
      </c>
      <c r="G487" s="18"/>
    </row>
    <row r="488" customFormat="false" ht="14.25" hidden="false" customHeight="true" outlineLevel="0" collapsed="false">
      <c r="A488" s="18"/>
      <c r="B488" s="18"/>
      <c r="C488" s="18"/>
      <c r="D488" s="18" t="s">
        <v>150</v>
      </c>
      <c r="E488" s="19"/>
      <c r="F488" s="18" t="s">
        <v>153</v>
      </c>
      <c r="G488" s="18"/>
    </row>
    <row r="489" customFormat="false" ht="14.25" hidden="false" customHeight="true" outlineLevel="0" collapsed="false">
      <c r="A489" s="18"/>
      <c r="B489" s="18"/>
      <c r="C489" s="18"/>
      <c r="D489" s="18" t="s">
        <v>150</v>
      </c>
      <c r="E489" s="19"/>
      <c r="F489" s="18" t="s">
        <v>153</v>
      </c>
      <c r="G489" s="18"/>
    </row>
    <row r="490" customFormat="false" ht="14.25" hidden="false" customHeight="true" outlineLevel="0" collapsed="false">
      <c r="A490" s="18"/>
      <c r="B490" s="18"/>
      <c r="C490" s="18"/>
      <c r="D490" s="18" t="s">
        <v>150</v>
      </c>
      <c r="E490" s="19"/>
      <c r="F490" s="18" t="s">
        <v>153</v>
      </c>
      <c r="G490" s="18"/>
    </row>
    <row r="491" customFormat="false" ht="14.25" hidden="false" customHeight="true" outlineLevel="0" collapsed="false">
      <c r="A491" s="18"/>
      <c r="B491" s="18"/>
      <c r="C491" s="18"/>
      <c r="D491" s="18" t="s">
        <v>150</v>
      </c>
      <c r="E491" s="19"/>
      <c r="F491" s="18" t="s">
        <v>153</v>
      </c>
      <c r="G491" s="18"/>
    </row>
    <row r="492" customFormat="false" ht="14.25" hidden="false" customHeight="true" outlineLevel="0" collapsed="false">
      <c r="A492" s="18"/>
      <c r="B492" s="18"/>
      <c r="C492" s="18"/>
      <c r="D492" s="18" t="s">
        <v>150</v>
      </c>
      <c r="E492" s="19"/>
      <c r="F492" s="18" t="s">
        <v>153</v>
      </c>
      <c r="G492" s="18"/>
    </row>
    <row r="493" customFormat="false" ht="14.25" hidden="false" customHeight="true" outlineLevel="0" collapsed="false">
      <c r="A493" s="18"/>
      <c r="B493" s="18"/>
      <c r="C493" s="18"/>
      <c r="D493" s="18" t="s">
        <v>150</v>
      </c>
      <c r="E493" s="19"/>
      <c r="F493" s="18" t="s">
        <v>153</v>
      </c>
      <c r="G493" s="18"/>
    </row>
    <row r="494" customFormat="false" ht="14.25" hidden="false" customHeight="true" outlineLevel="0" collapsed="false">
      <c r="A494" s="18"/>
      <c r="B494" s="18"/>
      <c r="C494" s="18"/>
      <c r="D494" s="18" t="s">
        <v>150</v>
      </c>
      <c r="E494" s="19"/>
      <c r="F494" s="18" t="s">
        <v>153</v>
      </c>
      <c r="G494" s="18"/>
    </row>
    <row r="495" customFormat="false" ht="14.25" hidden="false" customHeight="true" outlineLevel="0" collapsed="false">
      <c r="A495" s="18"/>
      <c r="B495" s="18"/>
      <c r="C495" s="18"/>
      <c r="D495" s="18" t="s">
        <v>150</v>
      </c>
      <c r="E495" s="19"/>
      <c r="F495" s="18" t="s">
        <v>153</v>
      </c>
      <c r="G495" s="18"/>
    </row>
    <row r="496" customFormat="false" ht="14.25" hidden="false" customHeight="true" outlineLevel="0" collapsed="false">
      <c r="A496" s="18"/>
      <c r="B496" s="18"/>
      <c r="C496" s="18"/>
      <c r="D496" s="18" t="s">
        <v>150</v>
      </c>
      <c r="E496" s="19"/>
      <c r="F496" s="18" t="s">
        <v>153</v>
      </c>
      <c r="G496" s="18"/>
    </row>
    <row r="497" customFormat="false" ht="14.25" hidden="false" customHeight="true" outlineLevel="0" collapsed="false">
      <c r="A497" s="18"/>
      <c r="B497" s="18"/>
      <c r="C497" s="18"/>
      <c r="D497" s="18" t="s">
        <v>150</v>
      </c>
      <c r="E497" s="19"/>
      <c r="F497" s="18" t="s">
        <v>153</v>
      </c>
      <c r="G497" s="18"/>
    </row>
    <row r="498" customFormat="false" ht="14.25" hidden="false" customHeight="true" outlineLevel="0" collapsed="false">
      <c r="A498" s="18"/>
      <c r="B498" s="18"/>
      <c r="C498" s="18"/>
      <c r="D498" s="18" t="s">
        <v>150</v>
      </c>
      <c r="E498" s="19"/>
      <c r="F498" s="18" t="s">
        <v>153</v>
      </c>
      <c r="G498" s="18"/>
    </row>
    <row r="499" customFormat="false" ht="14.25" hidden="false" customHeight="true" outlineLevel="0" collapsed="false">
      <c r="A499" s="18"/>
      <c r="B499" s="18"/>
      <c r="C499" s="18"/>
      <c r="D499" s="18" t="s">
        <v>150</v>
      </c>
      <c r="E499" s="19"/>
      <c r="F499" s="18" t="s">
        <v>153</v>
      </c>
      <c r="G499" s="18"/>
    </row>
    <row r="500" customFormat="false" ht="14.25" hidden="false" customHeight="true" outlineLevel="0" collapsed="false">
      <c r="A500" s="18"/>
      <c r="B500" s="18"/>
      <c r="C500" s="18"/>
      <c r="D500" s="18" t="s">
        <v>150</v>
      </c>
      <c r="E500" s="19"/>
      <c r="F500" s="18" t="s">
        <v>153</v>
      </c>
      <c r="G500" s="18"/>
    </row>
    <row r="501" customFormat="false" ht="14.25" hidden="false" customHeight="true" outlineLevel="0" collapsed="false">
      <c r="A501" s="18"/>
      <c r="B501" s="18"/>
      <c r="C501" s="18"/>
      <c r="D501" s="18" t="s">
        <v>150</v>
      </c>
      <c r="E501" s="19"/>
      <c r="F501" s="18" t="s">
        <v>153</v>
      </c>
      <c r="G501" s="18"/>
    </row>
    <row r="502" customFormat="false" ht="14.25" hidden="false" customHeight="true" outlineLevel="0" collapsed="false">
      <c r="A502" s="18"/>
      <c r="B502" s="18"/>
      <c r="C502" s="18"/>
      <c r="D502" s="18" t="s">
        <v>150</v>
      </c>
      <c r="E502" s="19"/>
      <c r="F502" s="18" t="s">
        <v>153</v>
      </c>
      <c r="G502" s="18"/>
    </row>
    <row r="503" customFormat="false" ht="14.25" hidden="false" customHeight="true" outlineLevel="0" collapsed="false">
      <c r="A503" s="18"/>
      <c r="B503" s="18"/>
      <c r="C503" s="18"/>
      <c r="D503" s="18" t="s">
        <v>150</v>
      </c>
      <c r="E503" s="19"/>
      <c r="F503" s="18" t="s">
        <v>153</v>
      </c>
      <c r="G503" s="18"/>
    </row>
    <row r="504" customFormat="false" ht="14.25" hidden="false" customHeight="true" outlineLevel="0" collapsed="false">
      <c r="A504" s="18"/>
      <c r="B504" s="18"/>
      <c r="C504" s="18"/>
      <c r="D504" s="18" t="s">
        <v>150</v>
      </c>
      <c r="E504" s="19"/>
      <c r="F504" s="18" t="s">
        <v>153</v>
      </c>
      <c r="G504" s="18"/>
    </row>
  </sheetData>
  <mergeCells count="2">
    <mergeCell ref="A1:G1"/>
    <mergeCell ref="A2:G2"/>
  </mergeCells>
  <dataValidations count="1">
    <dataValidation allowBlank="true" error="Please select a value from the dropdown." errorStyle="stop" errorTitle="Invalid Entry" operator="between" showDropDown="false" showErrorMessage="false" showInputMessage="false" sqref="F5:F504" type="list">
      <formula1>"=StatusList"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35"/>
  </cols>
  <sheetData>
    <row r="1" customFormat="false" ht="27.75" hidden="false" customHeight="true" outlineLevel="0" collapsed="false">
      <c r="A1" s="15" t="s">
        <v>208</v>
      </c>
      <c r="B1" s="15"/>
      <c r="C1" s="15"/>
      <c r="D1" s="15"/>
      <c r="E1" s="15"/>
      <c r="F1" s="15"/>
      <c r="G1" s="15"/>
    </row>
    <row r="2" customFormat="false" ht="30" hidden="false" customHeight="true" outlineLevel="0" collapsed="false">
      <c r="A2" s="16" t="s">
        <v>209</v>
      </c>
      <c r="B2" s="16"/>
      <c r="C2" s="16"/>
      <c r="D2" s="16"/>
      <c r="E2" s="16"/>
      <c r="F2" s="16"/>
      <c r="G2" s="16"/>
    </row>
    <row r="4" customFormat="false" ht="31.5" hidden="false" customHeight="true" outlineLevel="0" collapsed="false">
      <c r="A4" s="17" t="s">
        <v>210</v>
      </c>
      <c r="B4" s="17" t="s">
        <v>211</v>
      </c>
      <c r="C4" s="17" t="s">
        <v>9</v>
      </c>
      <c r="D4" s="17" t="s">
        <v>10</v>
      </c>
      <c r="E4" s="17" t="s">
        <v>5</v>
      </c>
      <c r="F4" s="17" t="s">
        <v>11</v>
      </c>
      <c r="G4" s="17" t="s">
        <v>147</v>
      </c>
    </row>
    <row r="5" customFormat="false" ht="14.25" hidden="false" customHeight="true" outlineLevel="0" collapsed="false">
      <c r="A5" s="19"/>
      <c r="B5" s="19" t="str">
        <f aca="false">IF(A5="","",A5+6)</f>
        <v/>
      </c>
      <c r="C5" s="20"/>
      <c r="D5" s="18" t="str">
        <f aca="false">IFERROR(INDEX('Operator Master'!$B$5:$B$504,MATCH(C5,'Operator Master'!$A$5:$A$504,0)),"")</f>
        <v/>
      </c>
      <c r="E5" s="20"/>
      <c r="F5" s="18"/>
      <c r="G5" s="18"/>
    </row>
    <row r="6" customFormat="false" ht="14.25" hidden="false" customHeight="true" outlineLevel="0" collapsed="false">
      <c r="A6" s="19"/>
      <c r="B6" s="19" t="str">
        <f aca="false">IF(A6="","",A6+6)</f>
        <v/>
      </c>
      <c r="C6" s="20"/>
      <c r="D6" s="18" t="str">
        <f aca="false">IFERROR(INDEX('Operator Master'!$B$5:$B$504,MATCH(C6,'Operator Master'!$A$5:$A$504,0)),"")</f>
        <v/>
      </c>
      <c r="E6" s="20"/>
      <c r="F6" s="18"/>
      <c r="G6" s="18"/>
    </row>
    <row r="7" customFormat="false" ht="14.25" hidden="false" customHeight="true" outlineLevel="0" collapsed="false">
      <c r="A7" s="19"/>
      <c r="B7" s="19" t="str">
        <f aca="false">IF(A7="","",A7+6)</f>
        <v/>
      </c>
      <c r="C7" s="20"/>
      <c r="D7" s="18" t="str">
        <f aca="false">IFERROR(INDEX('Operator Master'!$B$5:$B$504,MATCH(C7,'Operator Master'!$A$5:$A$504,0)),"")</f>
        <v/>
      </c>
      <c r="E7" s="20"/>
      <c r="F7" s="18"/>
      <c r="G7" s="18"/>
    </row>
    <row r="8" customFormat="false" ht="14.25" hidden="false" customHeight="true" outlineLevel="0" collapsed="false">
      <c r="A8" s="19"/>
      <c r="B8" s="19" t="str">
        <f aca="false">IF(A8="","",A8+6)</f>
        <v/>
      </c>
      <c r="C8" s="20"/>
      <c r="D8" s="18" t="str">
        <f aca="false">IFERROR(INDEX('Operator Master'!$B$5:$B$504,MATCH(C8,'Operator Master'!$A$5:$A$504,0)),"")</f>
        <v/>
      </c>
      <c r="E8" s="20"/>
      <c r="F8" s="18"/>
      <c r="G8" s="18"/>
    </row>
    <row r="9" customFormat="false" ht="14.25" hidden="false" customHeight="true" outlineLevel="0" collapsed="false">
      <c r="A9" s="19"/>
      <c r="B9" s="19" t="str">
        <f aca="false">IF(A9="","",A9+6)</f>
        <v/>
      </c>
      <c r="C9" s="20"/>
      <c r="D9" s="18" t="str">
        <f aca="false">IFERROR(INDEX('Operator Master'!$B$5:$B$504,MATCH(C9,'Operator Master'!$A$5:$A$504,0)),"")</f>
        <v/>
      </c>
      <c r="E9" s="20"/>
      <c r="F9" s="18"/>
      <c r="G9" s="18"/>
    </row>
    <row r="10" customFormat="false" ht="14.25" hidden="false" customHeight="true" outlineLevel="0" collapsed="false">
      <c r="A10" s="19"/>
      <c r="B10" s="19" t="str">
        <f aca="false">IF(A10="","",A10+6)</f>
        <v/>
      </c>
      <c r="C10" s="20"/>
      <c r="D10" s="18" t="str">
        <f aca="false">IFERROR(INDEX('Operator Master'!$B$5:$B$504,MATCH(C10,'Operator Master'!$A$5:$A$504,0)),"")</f>
        <v/>
      </c>
      <c r="E10" s="20"/>
      <c r="F10" s="18"/>
      <c r="G10" s="18"/>
    </row>
    <row r="11" customFormat="false" ht="14.25" hidden="false" customHeight="true" outlineLevel="0" collapsed="false">
      <c r="A11" s="19"/>
      <c r="B11" s="19" t="str">
        <f aca="false">IF(A11="","",A11+6)</f>
        <v/>
      </c>
      <c r="C11" s="20"/>
      <c r="D11" s="18" t="str">
        <f aca="false">IFERROR(INDEX('Operator Master'!$B$5:$B$504,MATCH(C11,'Operator Master'!$A$5:$A$504,0)),"")</f>
        <v/>
      </c>
      <c r="E11" s="20"/>
      <c r="F11" s="18"/>
      <c r="G11" s="18"/>
    </row>
    <row r="12" customFormat="false" ht="14.25" hidden="false" customHeight="true" outlineLevel="0" collapsed="false">
      <c r="A12" s="19"/>
      <c r="B12" s="19" t="str">
        <f aca="false">IF(A12="","",A12+6)</f>
        <v/>
      </c>
      <c r="C12" s="20"/>
      <c r="D12" s="18" t="str">
        <f aca="false">IFERROR(INDEX('Operator Master'!$B$5:$B$504,MATCH(C12,'Operator Master'!$A$5:$A$504,0)),"")</f>
        <v/>
      </c>
      <c r="E12" s="20"/>
      <c r="F12" s="18"/>
      <c r="G12" s="18"/>
    </row>
    <row r="13" customFormat="false" ht="14.25" hidden="false" customHeight="true" outlineLevel="0" collapsed="false">
      <c r="A13" s="19"/>
      <c r="B13" s="19" t="str">
        <f aca="false">IF(A13="","",A13+6)</f>
        <v/>
      </c>
      <c r="C13" s="20"/>
      <c r="D13" s="18" t="str">
        <f aca="false">IFERROR(INDEX('Operator Master'!$B$5:$B$504,MATCH(C13,'Operator Master'!$A$5:$A$504,0)),"")</f>
        <v/>
      </c>
      <c r="E13" s="20"/>
      <c r="F13" s="18"/>
      <c r="G13" s="18"/>
    </row>
    <row r="14" customFormat="false" ht="14.25" hidden="false" customHeight="true" outlineLevel="0" collapsed="false">
      <c r="A14" s="19"/>
      <c r="B14" s="19" t="str">
        <f aca="false">IF(A14="","",A14+6)</f>
        <v/>
      </c>
      <c r="C14" s="20"/>
      <c r="D14" s="18" t="str">
        <f aca="false">IFERROR(INDEX('Operator Master'!$B$5:$B$504,MATCH(C14,'Operator Master'!$A$5:$A$504,0)),"")</f>
        <v/>
      </c>
      <c r="E14" s="20"/>
      <c r="F14" s="18"/>
      <c r="G14" s="18"/>
    </row>
    <row r="15" customFormat="false" ht="14.25" hidden="false" customHeight="true" outlineLevel="0" collapsed="false">
      <c r="A15" s="19"/>
      <c r="B15" s="19" t="str">
        <f aca="false">IF(A15="","",A15+6)</f>
        <v/>
      </c>
      <c r="C15" s="20"/>
      <c r="D15" s="18" t="str">
        <f aca="false">IFERROR(INDEX('Operator Master'!$B$5:$B$504,MATCH(C15,'Operator Master'!$A$5:$A$504,0)),"")</f>
        <v/>
      </c>
      <c r="E15" s="20"/>
      <c r="F15" s="18"/>
      <c r="G15" s="18"/>
    </row>
    <row r="16" customFormat="false" ht="14.25" hidden="false" customHeight="true" outlineLevel="0" collapsed="false">
      <c r="A16" s="19"/>
      <c r="B16" s="19" t="str">
        <f aca="false">IF(A16="","",A16+6)</f>
        <v/>
      </c>
      <c r="C16" s="20"/>
      <c r="D16" s="18" t="str">
        <f aca="false">IFERROR(INDEX('Operator Master'!$B$5:$B$504,MATCH(C16,'Operator Master'!$A$5:$A$504,0)),"")</f>
        <v/>
      </c>
      <c r="E16" s="20"/>
      <c r="F16" s="18"/>
      <c r="G16" s="18"/>
    </row>
    <row r="17" customFormat="false" ht="14.25" hidden="false" customHeight="true" outlineLevel="0" collapsed="false">
      <c r="A17" s="19"/>
      <c r="B17" s="19" t="str">
        <f aca="false">IF(A17="","",A17+6)</f>
        <v/>
      </c>
      <c r="C17" s="20"/>
      <c r="D17" s="18" t="str">
        <f aca="false">IFERROR(INDEX('Operator Master'!$B$5:$B$504,MATCH(C17,'Operator Master'!$A$5:$A$504,0)),"")</f>
        <v/>
      </c>
      <c r="E17" s="20"/>
      <c r="F17" s="18"/>
      <c r="G17" s="18"/>
    </row>
    <row r="18" customFormat="false" ht="14.25" hidden="false" customHeight="true" outlineLevel="0" collapsed="false">
      <c r="A18" s="19"/>
      <c r="B18" s="19" t="str">
        <f aca="false">IF(A18="","",A18+6)</f>
        <v/>
      </c>
      <c r="C18" s="20"/>
      <c r="D18" s="18" t="str">
        <f aca="false">IFERROR(INDEX('Operator Master'!$B$5:$B$504,MATCH(C18,'Operator Master'!$A$5:$A$504,0)),"")</f>
        <v/>
      </c>
      <c r="E18" s="20"/>
      <c r="F18" s="18"/>
      <c r="G18" s="18"/>
    </row>
    <row r="19" customFormat="false" ht="14.25" hidden="false" customHeight="true" outlineLevel="0" collapsed="false">
      <c r="A19" s="19"/>
      <c r="B19" s="19" t="str">
        <f aca="false">IF(A19="","",A19+6)</f>
        <v/>
      </c>
      <c r="C19" s="20"/>
      <c r="D19" s="18" t="str">
        <f aca="false">IFERROR(INDEX('Operator Master'!$B$5:$B$504,MATCH(C19,'Operator Master'!$A$5:$A$504,0)),"")</f>
        <v/>
      </c>
      <c r="E19" s="20"/>
      <c r="F19" s="18"/>
      <c r="G19" s="18"/>
    </row>
    <row r="20" customFormat="false" ht="14.25" hidden="false" customHeight="true" outlineLevel="0" collapsed="false">
      <c r="A20" s="19"/>
      <c r="B20" s="19" t="str">
        <f aca="false">IF(A20="","",A20+6)</f>
        <v/>
      </c>
      <c r="C20" s="20"/>
      <c r="D20" s="18" t="str">
        <f aca="false">IFERROR(INDEX('Operator Master'!$B$5:$B$504,MATCH(C20,'Operator Master'!$A$5:$A$504,0)),"")</f>
        <v/>
      </c>
      <c r="E20" s="20"/>
      <c r="F20" s="18"/>
      <c r="G20" s="18"/>
    </row>
    <row r="21" customFormat="false" ht="14.25" hidden="false" customHeight="true" outlineLevel="0" collapsed="false">
      <c r="A21" s="19"/>
      <c r="B21" s="19" t="str">
        <f aca="false">IF(A21="","",A21+6)</f>
        <v/>
      </c>
      <c r="C21" s="20"/>
      <c r="D21" s="18" t="str">
        <f aca="false">IFERROR(INDEX('Operator Master'!$B$5:$B$504,MATCH(C21,'Operator Master'!$A$5:$A$504,0)),"")</f>
        <v/>
      </c>
      <c r="E21" s="20"/>
      <c r="F21" s="18"/>
      <c r="G21" s="18"/>
    </row>
    <row r="22" customFormat="false" ht="14.25" hidden="false" customHeight="true" outlineLevel="0" collapsed="false">
      <c r="A22" s="19"/>
      <c r="B22" s="19" t="str">
        <f aca="false">IF(A22="","",A22+6)</f>
        <v/>
      </c>
      <c r="C22" s="20"/>
      <c r="D22" s="18" t="str">
        <f aca="false">IFERROR(INDEX('Operator Master'!$B$5:$B$504,MATCH(C22,'Operator Master'!$A$5:$A$504,0)),"")</f>
        <v/>
      </c>
      <c r="E22" s="20"/>
      <c r="F22" s="18"/>
      <c r="G22" s="18"/>
    </row>
    <row r="23" customFormat="false" ht="14.25" hidden="false" customHeight="true" outlineLevel="0" collapsed="false">
      <c r="A23" s="19"/>
      <c r="B23" s="19" t="str">
        <f aca="false">IF(A23="","",A23+6)</f>
        <v/>
      </c>
      <c r="C23" s="20"/>
      <c r="D23" s="18" t="str">
        <f aca="false">IFERROR(INDEX('Operator Master'!$B$5:$B$504,MATCH(C23,'Operator Master'!$A$5:$A$504,0)),"")</f>
        <v/>
      </c>
      <c r="E23" s="20"/>
      <c r="F23" s="18"/>
      <c r="G23" s="18"/>
    </row>
    <row r="24" customFormat="false" ht="14.25" hidden="false" customHeight="true" outlineLevel="0" collapsed="false">
      <c r="A24" s="19"/>
      <c r="B24" s="19" t="str">
        <f aca="false">IF(A24="","",A24+6)</f>
        <v/>
      </c>
      <c r="C24" s="20"/>
      <c r="D24" s="18" t="str">
        <f aca="false">IFERROR(INDEX('Operator Master'!$B$5:$B$504,MATCH(C24,'Operator Master'!$A$5:$A$504,0)),"")</f>
        <v/>
      </c>
      <c r="E24" s="20"/>
      <c r="F24" s="18"/>
      <c r="G24" s="18"/>
    </row>
    <row r="25" customFormat="false" ht="14.25" hidden="false" customHeight="true" outlineLevel="0" collapsed="false">
      <c r="A25" s="19"/>
      <c r="B25" s="19" t="str">
        <f aca="false">IF(A25="","",A25+6)</f>
        <v/>
      </c>
      <c r="C25" s="20"/>
      <c r="D25" s="18" t="str">
        <f aca="false">IFERROR(INDEX('Operator Master'!$B$5:$B$504,MATCH(C25,'Operator Master'!$A$5:$A$504,0)),"")</f>
        <v/>
      </c>
      <c r="E25" s="20"/>
      <c r="F25" s="18"/>
      <c r="G25" s="18"/>
    </row>
    <row r="26" customFormat="false" ht="14.25" hidden="false" customHeight="true" outlineLevel="0" collapsed="false">
      <c r="A26" s="19"/>
      <c r="B26" s="19" t="str">
        <f aca="false">IF(A26="","",A26+6)</f>
        <v/>
      </c>
      <c r="C26" s="20"/>
      <c r="D26" s="18" t="str">
        <f aca="false">IFERROR(INDEX('Operator Master'!$B$5:$B$504,MATCH(C26,'Operator Master'!$A$5:$A$504,0)),"")</f>
        <v/>
      </c>
      <c r="E26" s="20"/>
      <c r="F26" s="18"/>
      <c r="G26" s="18"/>
    </row>
    <row r="27" customFormat="false" ht="14.25" hidden="false" customHeight="true" outlineLevel="0" collapsed="false">
      <c r="A27" s="19"/>
      <c r="B27" s="19" t="str">
        <f aca="false">IF(A27="","",A27+6)</f>
        <v/>
      </c>
      <c r="C27" s="20"/>
      <c r="D27" s="18" t="str">
        <f aca="false">IFERROR(INDEX('Operator Master'!$B$5:$B$504,MATCH(C27,'Operator Master'!$A$5:$A$504,0)),"")</f>
        <v/>
      </c>
      <c r="E27" s="20"/>
      <c r="F27" s="18"/>
      <c r="G27" s="18"/>
    </row>
    <row r="28" customFormat="false" ht="14.25" hidden="false" customHeight="true" outlineLevel="0" collapsed="false">
      <c r="A28" s="19"/>
      <c r="B28" s="19" t="str">
        <f aca="false">IF(A28="","",A28+6)</f>
        <v/>
      </c>
      <c r="C28" s="20"/>
      <c r="D28" s="18" t="str">
        <f aca="false">IFERROR(INDEX('Operator Master'!$B$5:$B$504,MATCH(C28,'Operator Master'!$A$5:$A$504,0)),"")</f>
        <v/>
      </c>
      <c r="E28" s="20"/>
      <c r="F28" s="18"/>
      <c r="G28" s="18"/>
    </row>
    <row r="29" customFormat="false" ht="14.25" hidden="false" customHeight="true" outlineLevel="0" collapsed="false">
      <c r="A29" s="19"/>
      <c r="B29" s="19" t="str">
        <f aca="false">IF(A29="","",A29+6)</f>
        <v/>
      </c>
      <c r="C29" s="20"/>
      <c r="D29" s="18" t="str">
        <f aca="false">IFERROR(INDEX('Operator Master'!$B$5:$B$504,MATCH(C29,'Operator Master'!$A$5:$A$504,0)),"")</f>
        <v/>
      </c>
      <c r="E29" s="20"/>
      <c r="F29" s="18"/>
      <c r="G29" s="18"/>
    </row>
    <row r="30" customFormat="false" ht="14.25" hidden="false" customHeight="true" outlineLevel="0" collapsed="false">
      <c r="A30" s="19"/>
      <c r="B30" s="19" t="str">
        <f aca="false">IF(A30="","",A30+6)</f>
        <v/>
      </c>
      <c r="C30" s="20"/>
      <c r="D30" s="18" t="str">
        <f aca="false">IFERROR(INDEX('Operator Master'!$B$5:$B$504,MATCH(C30,'Operator Master'!$A$5:$A$504,0)),"")</f>
        <v/>
      </c>
      <c r="E30" s="20"/>
      <c r="F30" s="18"/>
      <c r="G30" s="18"/>
    </row>
    <row r="31" customFormat="false" ht="14.25" hidden="false" customHeight="true" outlineLevel="0" collapsed="false">
      <c r="A31" s="19"/>
      <c r="B31" s="19" t="str">
        <f aca="false">IF(A31="","",A31+6)</f>
        <v/>
      </c>
      <c r="C31" s="20"/>
      <c r="D31" s="18" t="str">
        <f aca="false">IFERROR(INDEX('Operator Master'!$B$5:$B$504,MATCH(C31,'Operator Master'!$A$5:$A$504,0)),"")</f>
        <v/>
      </c>
      <c r="E31" s="20"/>
      <c r="F31" s="18"/>
      <c r="G31" s="18"/>
    </row>
    <row r="32" customFormat="false" ht="14.25" hidden="false" customHeight="true" outlineLevel="0" collapsed="false">
      <c r="A32" s="19"/>
      <c r="B32" s="19" t="str">
        <f aca="false">IF(A32="","",A32+6)</f>
        <v/>
      </c>
      <c r="C32" s="20"/>
      <c r="D32" s="18" t="str">
        <f aca="false">IFERROR(INDEX('Operator Master'!$B$5:$B$504,MATCH(C32,'Operator Master'!$A$5:$A$504,0)),"")</f>
        <v/>
      </c>
      <c r="E32" s="20"/>
      <c r="F32" s="18"/>
      <c r="G32" s="18"/>
    </row>
    <row r="33" customFormat="false" ht="14.25" hidden="false" customHeight="true" outlineLevel="0" collapsed="false">
      <c r="A33" s="19"/>
      <c r="B33" s="19" t="str">
        <f aca="false">IF(A33="","",A33+6)</f>
        <v/>
      </c>
      <c r="C33" s="20"/>
      <c r="D33" s="18" t="str">
        <f aca="false">IFERROR(INDEX('Operator Master'!$B$5:$B$504,MATCH(C33,'Operator Master'!$A$5:$A$504,0)),"")</f>
        <v/>
      </c>
      <c r="E33" s="20"/>
      <c r="F33" s="18"/>
      <c r="G33" s="18"/>
    </row>
    <row r="34" customFormat="false" ht="14.25" hidden="false" customHeight="true" outlineLevel="0" collapsed="false">
      <c r="A34" s="19"/>
      <c r="B34" s="19" t="str">
        <f aca="false">IF(A34="","",A34+6)</f>
        <v/>
      </c>
      <c r="C34" s="20"/>
      <c r="D34" s="18" t="str">
        <f aca="false">IFERROR(INDEX('Operator Master'!$B$5:$B$504,MATCH(C34,'Operator Master'!$A$5:$A$504,0)),"")</f>
        <v/>
      </c>
      <c r="E34" s="20"/>
      <c r="F34" s="18"/>
      <c r="G34" s="18"/>
    </row>
    <row r="35" customFormat="false" ht="14.25" hidden="false" customHeight="true" outlineLevel="0" collapsed="false">
      <c r="A35" s="19"/>
      <c r="B35" s="19" t="str">
        <f aca="false">IF(A35="","",A35+6)</f>
        <v/>
      </c>
      <c r="C35" s="20"/>
      <c r="D35" s="18" t="str">
        <f aca="false">IFERROR(INDEX('Operator Master'!$B$5:$B$504,MATCH(C35,'Operator Master'!$A$5:$A$504,0)),"")</f>
        <v/>
      </c>
      <c r="E35" s="20"/>
      <c r="F35" s="18"/>
      <c r="G35" s="18"/>
    </row>
    <row r="36" customFormat="false" ht="14.25" hidden="false" customHeight="true" outlineLevel="0" collapsed="false">
      <c r="A36" s="19"/>
      <c r="B36" s="19" t="str">
        <f aca="false">IF(A36="","",A36+6)</f>
        <v/>
      </c>
      <c r="C36" s="20"/>
      <c r="D36" s="18" t="str">
        <f aca="false">IFERROR(INDEX('Operator Master'!$B$5:$B$504,MATCH(C36,'Operator Master'!$A$5:$A$504,0)),"")</f>
        <v/>
      </c>
      <c r="E36" s="20"/>
      <c r="F36" s="18"/>
      <c r="G36" s="18"/>
    </row>
    <row r="37" customFormat="false" ht="14.25" hidden="false" customHeight="true" outlineLevel="0" collapsed="false">
      <c r="A37" s="19"/>
      <c r="B37" s="19" t="str">
        <f aca="false">IF(A37="","",A37+6)</f>
        <v/>
      </c>
      <c r="C37" s="20"/>
      <c r="D37" s="18" t="str">
        <f aca="false">IFERROR(INDEX('Operator Master'!$B$5:$B$504,MATCH(C37,'Operator Master'!$A$5:$A$504,0)),"")</f>
        <v/>
      </c>
      <c r="E37" s="20"/>
      <c r="F37" s="18"/>
      <c r="G37" s="18"/>
    </row>
    <row r="38" customFormat="false" ht="14.25" hidden="false" customHeight="true" outlineLevel="0" collapsed="false">
      <c r="A38" s="19"/>
      <c r="B38" s="19" t="str">
        <f aca="false">IF(A38="","",A38+6)</f>
        <v/>
      </c>
      <c r="C38" s="20"/>
      <c r="D38" s="18" t="str">
        <f aca="false">IFERROR(INDEX('Operator Master'!$B$5:$B$504,MATCH(C38,'Operator Master'!$A$5:$A$504,0)),"")</f>
        <v/>
      </c>
      <c r="E38" s="20"/>
      <c r="F38" s="18"/>
      <c r="G38" s="18"/>
    </row>
    <row r="39" customFormat="false" ht="14.25" hidden="false" customHeight="true" outlineLevel="0" collapsed="false">
      <c r="A39" s="19"/>
      <c r="B39" s="19" t="str">
        <f aca="false">IF(A39="","",A39+6)</f>
        <v/>
      </c>
      <c r="C39" s="20"/>
      <c r="D39" s="18" t="str">
        <f aca="false">IFERROR(INDEX('Operator Master'!$B$5:$B$504,MATCH(C39,'Operator Master'!$A$5:$A$504,0)),"")</f>
        <v/>
      </c>
      <c r="E39" s="20"/>
      <c r="F39" s="18"/>
      <c r="G39" s="18"/>
    </row>
    <row r="40" customFormat="false" ht="14.25" hidden="false" customHeight="true" outlineLevel="0" collapsed="false">
      <c r="A40" s="19"/>
      <c r="B40" s="19" t="str">
        <f aca="false">IF(A40="","",A40+6)</f>
        <v/>
      </c>
      <c r="C40" s="20"/>
      <c r="D40" s="18" t="str">
        <f aca="false">IFERROR(INDEX('Operator Master'!$B$5:$B$504,MATCH(C40,'Operator Master'!$A$5:$A$504,0)),"")</f>
        <v/>
      </c>
      <c r="E40" s="20"/>
      <c r="F40" s="18"/>
      <c r="G40" s="18"/>
    </row>
    <row r="41" customFormat="false" ht="14.25" hidden="false" customHeight="true" outlineLevel="0" collapsed="false">
      <c r="A41" s="19"/>
      <c r="B41" s="19" t="str">
        <f aca="false">IF(A41="","",A41+6)</f>
        <v/>
      </c>
      <c r="C41" s="20"/>
      <c r="D41" s="18" t="str">
        <f aca="false">IFERROR(INDEX('Operator Master'!$B$5:$B$504,MATCH(C41,'Operator Master'!$A$5:$A$504,0)),"")</f>
        <v/>
      </c>
      <c r="E41" s="20"/>
      <c r="F41" s="18"/>
      <c r="G41" s="18"/>
    </row>
    <row r="42" customFormat="false" ht="14.25" hidden="false" customHeight="true" outlineLevel="0" collapsed="false">
      <c r="A42" s="19"/>
      <c r="B42" s="19" t="str">
        <f aca="false">IF(A42="","",A42+6)</f>
        <v/>
      </c>
      <c r="C42" s="20"/>
      <c r="D42" s="18" t="str">
        <f aca="false">IFERROR(INDEX('Operator Master'!$B$5:$B$504,MATCH(C42,'Operator Master'!$A$5:$A$504,0)),"")</f>
        <v/>
      </c>
      <c r="E42" s="20"/>
      <c r="F42" s="18"/>
      <c r="G42" s="18"/>
    </row>
    <row r="43" customFormat="false" ht="14.25" hidden="false" customHeight="true" outlineLevel="0" collapsed="false">
      <c r="A43" s="19"/>
      <c r="B43" s="19" t="str">
        <f aca="false">IF(A43="","",A43+6)</f>
        <v/>
      </c>
      <c r="C43" s="20"/>
      <c r="D43" s="18" t="str">
        <f aca="false">IFERROR(INDEX('Operator Master'!$B$5:$B$504,MATCH(C43,'Operator Master'!$A$5:$A$504,0)),"")</f>
        <v/>
      </c>
      <c r="E43" s="20"/>
      <c r="F43" s="18"/>
      <c r="G43" s="18"/>
    </row>
    <row r="44" customFormat="false" ht="14.25" hidden="false" customHeight="true" outlineLevel="0" collapsed="false">
      <c r="A44" s="19"/>
      <c r="B44" s="19" t="str">
        <f aca="false">IF(A44="","",A44+6)</f>
        <v/>
      </c>
      <c r="C44" s="20"/>
      <c r="D44" s="18" t="str">
        <f aca="false">IFERROR(INDEX('Operator Master'!$B$5:$B$504,MATCH(C44,'Operator Master'!$A$5:$A$504,0)),"")</f>
        <v/>
      </c>
      <c r="E44" s="20"/>
      <c r="F44" s="18"/>
      <c r="G44" s="18"/>
    </row>
    <row r="45" customFormat="false" ht="14.25" hidden="false" customHeight="true" outlineLevel="0" collapsed="false">
      <c r="A45" s="19"/>
      <c r="B45" s="19" t="str">
        <f aca="false">IF(A45="","",A45+6)</f>
        <v/>
      </c>
      <c r="C45" s="20"/>
      <c r="D45" s="18" t="str">
        <f aca="false">IFERROR(INDEX('Operator Master'!$B$5:$B$504,MATCH(C45,'Operator Master'!$A$5:$A$504,0)),"")</f>
        <v/>
      </c>
      <c r="E45" s="20"/>
      <c r="F45" s="18"/>
      <c r="G45" s="18"/>
    </row>
    <row r="46" customFormat="false" ht="14.25" hidden="false" customHeight="true" outlineLevel="0" collapsed="false">
      <c r="A46" s="19"/>
      <c r="B46" s="19" t="str">
        <f aca="false">IF(A46="","",A46+6)</f>
        <v/>
      </c>
      <c r="C46" s="20"/>
      <c r="D46" s="18" t="str">
        <f aca="false">IFERROR(INDEX('Operator Master'!$B$5:$B$504,MATCH(C46,'Operator Master'!$A$5:$A$504,0)),"")</f>
        <v/>
      </c>
      <c r="E46" s="20"/>
      <c r="F46" s="18"/>
      <c r="G46" s="18"/>
    </row>
    <row r="47" customFormat="false" ht="14.25" hidden="false" customHeight="true" outlineLevel="0" collapsed="false">
      <c r="A47" s="19"/>
      <c r="B47" s="19" t="str">
        <f aca="false">IF(A47="","",A47+6)</f>
        <v/>
      </c>
      <c r="C47" s="20"/>
      <c r="D47" s="18" t="str">
        <f aca="false">IFERROR(INDEX('Operator Master'!$B$5:$B$504,MATCH(C47,'Operator Master'!$A$5:$A$504,0)),"")</f>
        <v/>
      </c>
      <c r="E47" s="20"/>
      <c r="F47" s="18"/>
      <c r="G47" s="18"/>
    </row>
    <row r="48" customFormat="false" ht="14.25" hidden="false" customHeight="true" outlineLevel="0" collapsed="false">
      <c r="A48" s="19"/>
      <c r="B48" s="19" t="str">
        <f aca="false">IF(A48="","",A48+6)</f>
        <v/>
      </c>
      <c r="C48" s="20"/>
      <c r="D48" s="18" t="str">
        <f aca="false">IFERROR(INDEX('Operator Master'!$B$5:$B$504,MATCH(C48,'Operator Master'!$A$5:$A$504,0)),"")</f>
        <v/>
      </c>
      <c r="E48" s="20"/>
      <c r="F48" s="18"/>
      <c r="G48" s="18"/>
    </row>
    <row r="49" customFormat="false" ht="14.25" hidden="false" customHeight="true" outlineLevel="0" collapsed="false">
      <c r="A49" s="19"/>
      <c r="B49" s="19" t="str">
        <f aca="false">IF(A49="","",A49+6)</f>
        <v/>
      </c>
      <c r="C49" s="20"/>
      <c r="D49" s="18" t="str">
        <f aca="false">IFERROR(INDEX('Operator Master'!$B$5:$B$504,MATCH(C49,'Operator Master'!$A$5:$A$504,0)),"")</f>
        <v/>
      </c>
      <c r="E49" s="20"/>
      <c r="F49" s="18"/>
      <c r="G49" s="18"/>
    </row>
    <row r="50" customFormat="false" ht="14.25" hidden="false" customHeight="true" outlineLevel="0" collapsed="false">
      <c r="A50" s="19"/>
      <c r="B50" s="19" t="str">
        <f aca="false">IF(A50="","",A50+6)</f>
        <v/>
      </c>
      <c r="C50" s="20"/>
      <c r="D50" s="18" t="str">
        <f aca="false">IFERROR(INDEX('Operator Master'!$B$5:$B$504,MATCH(C50,'Operator Master'!$A$5:$A$504,0)),"")</f>
        <v/>
      </c>
      <c r="E50" s="20"/>
      <c r="F50" s="18"/>
      <c r="G50" s="18"/>
    </row>
    <row r="51" customFormat="false" ht="14.25" hidden="false" customHeight="true" outlineLevel="0" collapsed="false">
      <c r="A51" s="19"/>
      <c r="B51" s="19" t="str">
        <f aca="false">IF(A51="","",A51+6)</f>
        <v/>
      </c>
      <c r="C51" s="20"/>
      <c r="D51" s="18" t="str">
        <f aca="false">IFERROR(INDEX('Operator Master'!$B$5:$B$504,MATCH(C51,'Operator Master'!$A$5:$A$504,0)),"")</f>
        <v/>
      </c>
      <c r="E51" s="20"/>
      <c r="F51" s="18"/>
      <c r="G51" s="18"/>
    </row>
    <row r="52" customFormat="false" ht="14.25" hidden="false" customHeight="true" outlineLevel="0" collapsed="false">
      <c r="A52" s="19"/>
      <c r="B52" s="19" t="str">
        <f aca="false">IF(A52="","",A52+6)</f>
        <v/>
      </c>
      <c r="C52" s="20"/>
      <c r="D52" s="18" t="str">
        <f aca="false">IFERROR(INDEX('Operator Master'!$B$5:$B$504,MATCH(C52,'Operator Master'!$A$5:$A$504,0)),"")</f>
        <v/>
      </c>
      <c r="E52" s="20"/>
      <c r="F52" s="18"/>
      <c r="G52" s="18"/>
    </row>
    <row r="53" customFormat="false" ht="14.25" hidden="false" customHeight="true" outlineLevel="0" collapsed="false">
      <c r="A53" s="19"/>
      <c r="B53" s="19" t="str">
        <f aca="false">IF(A53="","",A53+6)</f>
        <v/>
      </c>
      <c r="C53" s="20"/>
      <c r="D53" s="18" t="str">
        <f aca="false">IFERROR(INDEX('Operator Master'!$B$5:$B$504,MATCH(C53,'Operator Master'!$A$5:$A$504,0)),"")</f>
        <v/>
      </c>
      <c r="E53" s="20"/>
      <c r="F53" s="18"/>
      <c r="G53" s="18"/>
    </row>
    <row r="54" customFormat="false" ht="14.25" hidden="false" customHeight="true" outlineLevel="0" collapsed="false">
      <c r="A54" s="19"/>
      <c r="B54" s="19" t="str">
        <f aca="false">IF(A54="","",A54+6)</f>
        <v/>
      </c>
      <c r="C54" s="20"/>
      <c r="D54" s="18" t="str">
        <f aca="false">IFERROR(INDEX('Operator Master'!$B$5:$B$504,MATCH(C54,'Operator Master'!$A$5:$A$504,0)),"")</f>
        <v/>
      </c>
      <c r="E54" s="20"/>
      <c r="F54" s="18"/>
      <c r="G54" s="18"/>
    </row>
    <row r="55" customFormat="false" ht="14.25" hidden="false" customHeight="true" outlineLevel="0" collapsed="false">
      <c r="A55" s="19"/>
      <c r="B55" s="19" t="str">
        <f aca="false">IF(A55="","",A55+6)</f>
        <v/>
      </c>
      <c r="C55" s="20"/>
      <c r="D55" s="18" t="str">
        <f aca="false">IFERROR(INDEX('Operator Master'!$B$5:$B$504,MATCH(C55,'Operator Master'!$A$5:$A$504,0)),"")</f>
        <v/>
      </c>
      <c r="E55" s="20"/>
      <c r="F55" s="18"/>
      <c r="G55" s="18"/>
    </row>
    <row r="56" customFormat="false" ht="14.25" hidden="false" customHeight="true" outlineLevel="0" collapsed="false">
      <c r="A56" s="19"/>
      <c r="B56" s="19" t="str">
        <f aca="false">IF(A56="","",A56+6)</f>
        <v/>
      </c>
      <c r="C56" s="20"/>
      <c r="D56" s="18" t="str">
        <f aca="false">IFERROR(INDEX('Operator Master'!$B$5:$B$504,MATCH(C56,'Operator Master'!$A$5:$A$504,0)),"")</f>
        <v/>
      </c>
      <c r="E56" s="20"/>
      <c r="F56" s="18"/>
      <c r="G56" s="18"/>
    </row>
    <row r="57" customFormat="false" ht="14.25" hidden="false" customHeight="true" outlineLevel="0" collapsed="false">
      <c r="A57" s="19"/>
      <c r="B57" s="19" t="str">
        <f aca="false">IF(A57="","",A57+6)</f>
        <v/>
      </c>
      <c r="C57" s="20"/>
      <c r="D57" s="18" t="str">
        <f aca="false">IFERROR(INDEX('Operator Master'!$B$5:$B$504,MATCH(C57,'Operator Master'!$A$5:$A$504,0)),"")</f>
        <v/>
      </c>
      <c r="E57" s="20"/>
      <c r="F57" s="18"/>
      <c r="G57" s="18"/>
    </row>
    <row r="58" customFormat="false" ht="14.25" hidden="false" customHeight="true" outlineLevel="0" collapsed="false">
      <c r="A58" s="19"/>
      <c r="B58" s="19" t="str">
        <f aca="false">IF(A58="","",A58+6)</f>
        <v/>
      </c>
      <c r="C58" s="20"/>
      <c r="D58" s="18" t="str">
        <f aca="false">IFERROR(INDEX('Operator Master'!$B$5:$B$504,MATCH(C58,'Operator Master'!$A$5:$A$504,0)),"")</f>
        <v/>
      </c>
      <c r="E58" s="20"/>
      <c r="F58" s="18"/>
      <c r="G58" s="18"/>
    </row>
    <row r="59" customFormat="false" ht="14.25" hidden="false" customHeight="true" outlineLevel="0" collapsed="false">
      <c r="A59" s="19"/>
      <c r="B59" s="19" t="str">
        <f aca="false">IF(A59="","",A59+6)</f>
        <v/>
      </c>
      <c r="C59" s="20"/>
      <c r="D59" s="18" t="str">
        <f aca="false">IFERROR(INDEX('Operator Master'!$B$5:$B$504,MATCH(C59,'Operator Master'!$A$5:$A$504,0)),"")</f>
        <v/>
      </c>
      <c r="E59" s="20"/>
      <c r="F59" s="18"/>
      <c r="G59" s="18"/>
    </row>
    <row r="60" customFormat="false" ht="14.25" hidden="false" customHeight="true" outlineLevel="0" collapsed="false">
      <c r="A60" s="19"/>
      <c r="B60" s="19" t="str">
        <f aca="false">IF(A60="","",A60+6)</f>
        <v/>
      </c>
      <c r="C60" s="20"/>
      <c r="D60" s="18" t="str">
        <f aca="false">IFERROR(INDEX('Operator Master'!$B$5:$B$504,MATCH(C60,'Operator Master'!$A$5:$A$504,0)),"")</f>
        <v/>
      </c>
      <c r="E60" s="20"/>
      <c r="F60" s="18"/>
      <c r="G60" s="18"/>
    </row>
    <row r="61" customFormat="false" ht="14.25" hidden="false" customHeight="true" outlineLevel="0" collapsed="false">
      <c r="A61" s="19"/>
      <c r="B61" s="19" t="str">
        <f aca="false">IF(A61="","",A61+6)</f>
        <v/>
      </c>
      <c r="C61" s="20"/>
      <c r="D61" s="18" t="str">
        <f aca="false">IFERROR(INDEX('Operator Master'!$B$5:$B$504,MATCH(C61,'Operator Master'!$A$5:$A$504,0)),"")</f>
        <v/>
      </c>
      <c r="E61" s="20"/>
      <c r="F61" s="18"/>
      <c r="G61" s="18"/>
    </row>
    <row r="62" customFormat="false" ht="14.25" hidden="false" customHeight="true" outlineLevel="0" collapsed="false">
      <c r="A62" s="19"/>
      <c r="B62" s="19" t="str">
        <f aca="false">IF(A62="","",A62+6)</f>
        <v/>
      </c>
      <c r="C62" s="20"/>
      <c r="D62" s="18" t="str">
        <f aca="false">IFERROR(INDEX('Operator Master'!$B$5:$B$504,MATCH(C62,'Operator Master'!$A$5:$A$504,0)),"")</f>
        <v/>
      </c>
      <c r="E62" s="20"/>
      <c r="F62" s="18"/>
      <c r="G62" s="18"/>
    </row>
    <row r="63" customFormat="false" ht="14.25" hidden="false" customHeight="true" outlineLevel="0" collapsed="false">
      <c r="A63" s="19"/>
      <c r="B63" s="19" t="str">
        <f aca="false">IF(A63="","",A63+6)</f>
        <v/>
      </c>
      <c r="C63" s="20"/>
      <c r="D63" s="18" t="str">
        <f aca="false">IFERROR(INDEX('Operator Master'!$B$5:$B$504,MATCH(C63,'Operator Master'!$A$5:$A$504,0)),"")</f>
        <v/>
      </c>
      <c r="E63" s="20"/>
      <c r="F63" s="18"/>
      <c r="G63" s="18"/>
    </row>
    <row r="64" customFormat="false" ht="14.25" hidden="false" customHeight="true" outlineLevel="0" collapsed="false">
      <c r="A64" s="19"/>
      <c r="B64" s="19" t="str">
        <f aca="false">IF(A64="","",A64+6)</f>
        <v/>
      </c>
      <c r="C64" s="20"/>
      <c r="D64" s="18" t="str">
        <f aca="false">IFERROR(INDEX('Operator Master'!$B$5:$B$504,MATCH(C64,'Operator Master'!$A$5:$A$504,0)),"")</f>
        <v/>
      </c>
      <c r="E64" s="20"/>
      <c r="F64" s="18"/>
      <c r="G64" s="18"/>
    </row>
    <row r="65" customFormat="false" ht="14.25" hidden="false" customHeight="true" outlineLevel="0" collapsed="false">
      <c r="A65" s="19"/>
      <c r="B65" s="19" t="str">
        <f aca="false">IF(A65="","",A65+6)</f>
        <v/>
      </c>
      <c r="C65" s="20"/>
      <c r="D65" s="18" t="str">
        <f aca="false">IFERROR(INDEX('Operator Master'!$B$5:$B$504,MATCH(C65,'Operator Master'!$A$5:$A$504,0)),"")</f>
        <v/>
      </c>
      <c r="E65" s="20"/>
      <c r="F65" s="18"/>
      <c r="G65" s="18"/>
    </row>
    <row r="66" customFormat="false" ht="14.25" hidden="false" customHeight="true" outlineLevel="0" collapsed="false">
      <c r="A66" s="19"/>
      <c r="B66" s="19" t="str">
        <f aca="false">IF(A66="","",A66+6)</f>
        <v/>
      </c>
      <c r="C66" s="20"/>
      <c r="D66" s="18" t="str">
        <f aca="false">IFERROR(INDEX('Operator Master'!$B$5:$B$504,MATCH(C66,'Operator Master'!$A$5:$A$504,0)),"")</f>
        <v/>
      </c>
      <c r="E66" s="20"/>
      <c r="F66" s="18"/>
      <c r="G66" s="18"/>
    </row>
    <row r="67" customFormat="false" ht="14.25" hidden="false" customHeight="true" outlineLevel="0" collapsed="false">
      <c r="A67" s="19"/>
      <c r="B67" s="19" t="str">
        <f aca="false">IF(A67="","",A67+6)</f>
        <v/>
      </c>
      <c r="C67" s="20"/>
      <c r="D67" s="18" t="str">
        <f aca="false">IFERROR(INDEX('Operator Master'!$B$5:$B$504,MATCH(C67,'Operator Master'!$A$5:$A$504,0)),"")</f>
        <v/>
      </c>
      <c r="E67" s="20"/>
      <c r="F67" s="18"/>
      <c r="G67" s="18"/>
    </row>
    <row r="68" customFormat="false" ht="14.25" hidden="false" customHeight="true" outlineLevel="0" collapsed="false">
      <c r="A68" s="19"/>
      <c r="B68" s="19" t="str">
        <f aca="false">IF(A68="","",A68+6)</f>
        <v/>
      </c>
      <c r="C68" s="20"/>
      <c r="D68" s="18" t="str">
        <f aca="false">IFERROR(INDEX('Operator Master'!$B$5:$B$504,MATCH(C68,'Operator Master'!$A$5:$A$504,0)),"")</f>
        <v/>
      </c>
      <c r="E68" s="20"/>
      <c r="F68" s="18"/>
      <c r="G68" s="18"/>
    </row>
    <row r="69" customFormat="false" ht="14.25" hidden="false" customHeight="true" outlineLevel="0" collapsed="false">
      <c r="A69" s="19"/>
      <c r="B69" s="19" t="str">
        <f aca="false">IF(A69="","",A69+6)</f>
        <v/>
      </c>
      <c r="C69" s="20"/>
      <c r="D69" s="18" t="str">
        <f aca="false">IFERROR(INDEX('Operator Master'!$B$5:$B$504,MATCH(C69,'Operator Master'!$A$5:$A$504,0)),"")</f>
        <v/>
      </c>
      <c r="E69" s="20"/>
      <c r="F69" s="18"/>
      <c r="G69" s="18"/>
    </row>
    <row r="70" customFormat="false" ht="14.25" hidden="false" customHeight="true" outlineLevel="0" collapsed="false">
      <c r="A70" s="19"/>
      <c r="B70" s="19" t="str">
        <f aca="false">IF(A70="","",A70+6)</f>
        <v/>
      </c>
      <c r="C70" s="20"/>
      <c r="D70" s="18" t="str">
        <f aca="false">IFERROR(INDEX('Operator Master'!$B$5:$B$504,MATCH(C70,'Operator Master'!$A$5:$A$504,0)),"")</f>
        <v/>
      </c>
      <c r="E70" s="20"/>
      <c r="F70" s="18"/>
      <c r="G70" s="18"/>
    </row>
    <row r="71" customFormat="false" ht="14.25" hidden="false" customHeight="true" outlineLevel="0" collapsed="false">
      <c r="A71" s="19"/>
      <c r="B71" s="19" t="str">
        <f aca="false">IF(A71="","",A71+6)</f>
        <v/>
      </c>
      <c r="C71" s="20"/>
      <c r="D71" s="18" t="str">
        <f aca="false">IFERROR(INDEX('Operator Master'!$B$5:$B$504,MATCH(C71,'Operator Master'!$A$5:$A$504,0)),"")</f>
        <v/>
      </c>
      <c r="E71" s="20"/>
      <c r="F71" s="18"/>
      <c r="G71" s="18"/>
    </row>
    <row r="72" customFormat="false" ht="14.25" hidden="false" customHeight="true" outlineLevel="0" collapsed="false">
      <c r="A72" s="19"/>
      <c r="B72" s="19" t="str">
        <f aca="false">IF(A72="","",A72+6)</f>
        <v/>
      </c>
      <c r="C72" s="20"/>
      <c r="D72" s="18" t="str">
        <f aca="false">IFERROR(INDEX('Operator Master'!$B$5:$B$504,MATCH(C72,'Operator Master'!$A$5:$A$504,0)),"")</f>
        <v/>
      </c>
      <c r="E72" s="20"/>
      <c r="F72" s="18"/>
      <c r="G72" s="18"/>
    </row>
    <row r="73" customFormat="false" ht="14.25" hidden="false" customHeight="true" outlineLevel="0" collapsed="false">
      <c r="A73" s="19"/>
      <c r="B73" s="19" t="str">
        <f aca="false">IF(A73="","",A73+6)</f>
        <v/>
      </c>
      <c r="C73" s="20"/>
      <c r="D73" s="18" t="str">
        <f aca="false">IFERROR(INDEX('Operator Master'!$B$5:$B$504,MATCH(C73,'Operator Master'!$A$5:$A$504,0)),"")</f>
        <v/>
      </c>
      <c r="E73" s="20"/>
      <c r="F73" s="18"/>
      <c r="G73" s="18"/>
    </row>
    <row r="74" customFormat="false" ht="14.25" hidden="false" customHeight="true" outlineLevel="0" collapsed="false">
      <c r="A74" s="19"/>
      <c r="B74" s="19" t="str">
        <f aca="false">IF(A74="","",A74+6)</f>
        <v/>
      </c>
      <c r="C74" s="20"/>
      <c r="D74" s="18" t="str">
        <f aca="false">IFERROR(INDEX('Operator Master'!$B$5:$B$504,MATCH(C74,'Operator Master'!$A$5:$A$504,0)),"")</f>
        <v/>
      </c>
      <c r="E74" s="20"/>
      <c r="F74" s="18"/>
      <c r="G74" s="18"/>
    </row>
    <row r="75" customFormat="false" ht="14.25" hidden="false" customHeight="true" outlineLevel="0" collapsed="false">
      <c r="A75" s="19"/>
      <c r="B75" s="19" t="str">
        <f aca="false">IF(A75="","",A75+6)</f>
        <v/>
      </c>
      <c r="C75" s="20"/>
      <c r="D75" s="18" t="str">
        <f aca="false">IFERROR(INDEX('Operator Master'!$B$5:$B$504,MATCH(C75,'Operator Master'!$A$5:$A$504,0)),"")</f>
        <v/>
      </c>
      <c r="E75" s="20"/>
      <c r="F75" s="18"/>
      <c r="G75" s="18"/>
    </row>
    <row r="76" customFormat="false" ht="14.25" hidden="false" customHeight="true" outlineLevel="0" collapsed="false">
      <c r="A76" s="19"/>
      <c r="B76" s="19" t="str">
        <f aca="false">IF(A76="","",A76+6)</f>
        <v/>
      </c>
      <c r="C76" s="20"/>
      <c r="D76" s="18" t="str">
        <f aca="false">IFERROR(INDEX('Operator Master'!$B$5:$B$504,MATCH(C76,'Operator Master'!$A$5:$A$504,0)),"")</f>
        <v/>
      </c>
      <c r="E76" s="20"/>
      <c r="F76" s="18"/>
      <c r="G76" s="18"/>
    </row>
    <row r="77" customFormat="false" ht="14.25" hidden="false" customHeight="true" outlineLevel="0" collapsed="false">
      <c r="A77" s="19"/>
      <c r="B77" s="19" t="str">
        <f aca="false">IF(A77="","",A77+6)</f>
        <v/>
      </c>
      <c r="C77" s="20"/>
      <c r="D77" s="18" t="str">
        <f aca="false">IFERROR(INDEX('Operator Master'!$B$5:$B$504,MATCH(C77,'Operator Master'!$A$5:$A$504,0)),"")</f>
        <v/>
      </c>
      <c r="E77" s="20"/>
      <c r="F77" s="18"/>
      <c r="G77" s="18"/>
    </row>
    <row r="78" customFormat="false" ht="14.25" hidden="false" customHeight="true" outlineLevel="0" collapsed="false">
      <c r="A78" s="19"/>
      <c r="B78" s="19" t="str">
        <f aca="false">IF(A78="","",A78+6)</f>
        <v/>
      </c>
      <c r="C78" s="20"/>
      <c r="D78" s="18" t="str">
        <f aca="false">IFERROR(INDEX('Operator Master'!$B$5:$B$504,MATCH(C78,'Operator Master'!$A$5:$A$504,0)),"")</f>
        <v/>
      </c>
      <c r="E78" s="20"/>
      <c r="F78" s="18"/>
      <c r="G78" s="18"/>
    </row>
    <row r="79" customFormat="false" ht="14.25" hidden="false" customHeight="true" outlineLevel="0" collapsed="false">
      <c r="A79" s="19"/>
      <c r="B79" s="19" t="str">
        <f aca="false">IF(A79="","",A79+6)</f>
        <v/>
      </c>
      <c r="C79" s="20"/>
      <c r="D79" s="18" t="str">
        <f aca="false">IFERROR(INDEX('Operator Master'!$B$5:$B$504,MATCH(C79,'Operator Master'!$A$5:$A$504,0)),"")</f>
        <v/>
      </c>
      <c r="E79" s="20"/>
      <c r="F79" s="18"/>
      <c r="G79" s="18"/>
    </row>
    <row r="80" customFormat="false" ht="14.25" hidden="false" customHeight="true" outlineLevel="0" collapsed="false">
      <c r="A80" s="19"/>
      <c r="B80" s="19" t="str">
        <f aca="false">IF(A80="","",A80+6)</f>
        <v/>
      </c>
      <c r="C80" s="20"/>
      <c r="D80" s="18" t="str">
        <f aca="false">IFERROR(INDEX('Operator Master'!$B$5:$B$504,MATCH(C80,'Operator Master'!$A$5:$A$504,0)),"")</f>
        <v/>
      </c>
      <c r="E80" s="20"/>
      <c r="F80" s="18"/>
      <c r="G80" s="18"/>
    </row>
    <row r="81" customFormat="false" ht="14.25" hidden="false" customHeight="true" outlineLevel="0" collapsed="false">
      <c r="A81" s="19"/>
      <c r="B81" s="19" t="str">
        <f aca="false">IF(A81="","",A81+6)</f>
        <v/>
      </c>
      <c r="C81" s="20"/>
      <c r="D81" s="18" t="str">
        <f aca="false">IFERROR(INDEX('Operator Master'!$B$5:$B$504,MATCH(C81,'Operator Master'!$A$5:$A$504,0)),"")</f>
        <v/>
      </c>
      <c r="E81" s="20"/>
      <c r="F81" s="18"/>
      <c r="G81" s="18"/>
    </row>
    <row r="82" customFormat="false" ht="14.25" hidden="false" customHeight="true" outlineLevel="0" collapsed="false">
      <c r="A82" s="19"/>
      <c r="B82" s="19" t="str">
        <f aca="false">IF(A82="","",A82+6)</f>
        <v/>
      </c>
      <c r="C82" s="20"/>
      <c r="D82" s="18" t="str">
        <f aca="false">IFERROR(INDEX('Operator Master'!$B$5:$B$504,MATCH(C82,'Operator Master'!$A$5:$A$504,0)),"")</f>
        <v/>
      </c>
      <c r="E82" s="20"/>
      <c r="F82" s="18"/>
      <c r="G82" s="18"/>
    </row>
    <row r="83" customFormat="false" ht="14.25" hidden="false" customHeight="true" outlineLevel="0" collapsed="false">
      <c r="A83" s="19"/>
      <c r="B83" s="19" t="str">
        <f aca="false">IF(A83="","",A83+6)</f>
        <v/>
      </c>
      <c r="C83" s="20"/>
      <c r="D83" s="18" t="str">
        <f aca="false">IFERROR(INDEX('Operator Master'!$B$5:$B$504,MATCH(C83,'Operator Master'!$A$5:$A$504,0)),"")</f>
        <v/>
      </c>
      <c r="E83" s="20"/>
      <c r="F83" s="18"/>
      <c r="G83" s="18"/>
    </row>
    <row r="84" customFormat="false" ht="14.25" hidden="false" customHeight="true" outlineLevel="0" collapsed="false">
      <c r="A84" s="19"/>
      <c r="B84" s="19" t="str">
        <f aca="false">IF(A84="","",A84+6)</f>
        <v/>
      </c>
      <c r="C84" s="20"/>
      <c r="D84" s="18" t="str">
        <f aca="false">IFERROR(INDEX('Operator Master'!$B$5:$B$504,MATCH(C84,'Operator Master'!$A$5:$A$504,0)),"")</f>
        <v/>
      </c>
      <c r="E84" s="20"/>
      <c r="F84" s="18"/>
      <c r="G84" s="18"/>
    </row>
    <row r="85" customFormat="false" ht="14.25" hidden="false" customHeight="true" outlineLevel="0" collapsed="false">
      <c r="A85" s="19"/>
      <c r="B85" s="19" t="str">
        <f aca="false">IF(A85="","",A85+6)</f>
        <v/>
      </c>
      <c r="C85" s="20"/>
      <c r="D85" s="18" t="str">
        <f aca="false">IFERROR(INDEX('Operator Master'!$B$5:$B$504,MATCH(C85,'Operator Master'!$A$5:$A$504,0)),"")</f>
        <v/>
      </c>
      <c r="E85" s="20"/>
      <c r="F85" s="18"/>
      <c r="G85" s="18"/>
    </row>
    <row r="86" customFormat="false" ht="14.25" hidden="false" customHeight="true" outlineLevel="0" collapsed="false">
      <c r="A86" s="19"/>
      <c r="B86" s="19" t="str">
        <f aca="false">IF(A86="","",A86+6)</f>
        <v/>
      </c>
      <c r="C86" s="20"/>
      <c r="D86" s="18" t="str">
        <f aca="false">IFERROR(INDEX('Operator Master'!$B$5:$B$504,MATCH(C86,'Operator Master'!$A$5:$A$504,0)),"")</f>
        <v/>
      </c>
      <c r="E86" s="20"/>
      <c r="F86" s="18"/>
      <c r="G86" s="18"/>
    </row>
    <row r="87" customFormat="false" ht="14.25" hidden="false" customHeight="true" outlineLevel="0" collapsed="false">
      <c r="A87" s="19"/>
      <c r="B87" s="19" t="str">
        <f aca="false">IF(A87="","",A87+6)</f>
        <v/>
      </c>
      <c r="C87" s="20"/>
      <c r="D87" s="18" t="str">
        <f aca="false">IFERROR(INDEX('Operator Master'!$B$5:$B$504,MATCH(C87,'Operator Master'!$A$5:$A$504,0)),"")</f>
        <v/>
      </c>
      <c r="E87" s="20"/>
      <c r="F87" s="18"/>
      <c r="G87" s="18"/>
    </row>
    <row r="88" customFormat="false" ht="14.25" hidden="false" customHeight="true" outlineLevel="0" collapsed="false">
      <c r="A88" s="19"/>
      <c r="B88" s="19" t="str">
        <f aca="false">IF(A88="","",A88+6)</f>
        <v/>
      </c>
      <c r="C88" s="20"/>
      <c r="D88" s="18" t="str">
        <f aca="false">IFERROR(INDEX('Operator Master'!$B$5:$B$504,MATCH(C88,'Operator Master'!$A$5:$A$504,0)),"")</f>
        <v/>
      </c>
      <c r="E88" s="20"/>
      <c r="F88" s="18"/>
      <c r="G88" s="18"/>
    </row>
    <row r="89" customFormat="false" ht="14.25" hidden="false" customHeight="true" outlineLevel="0" collapsed="false">
      <c r="A89" s="19"/>
      <c r="B89" s="19" t="str">
        <f aca="false">IF(A89="","",A89+6)</f>
        <v/>
      </c>
      <c r="C89" s="20"/>
      <c r="D89" s="18" t="str">
        <f aca="false">IFERROR(INDEX('Operator Master'!$B$5:$B$504,MATCH(C89,'Operator Master'!$A$5:$A$504,0)),"")</f>
        <v/>
      </c>
      <c r="E89" s="20"/>
      <c r="F89" s="18"/>
      <c r="G89" s="18"/>
    </row>
    <row r="90" customFormat="false" ht="14.25" hidden="false" customHeight="true" outlineLevel="0" collapsed="false">
      <c r="A90" s="19"/>
      <c r="B90" s="19" t="str">
        <f aca="false">IF(A90="","",A90+6)</f>
        <v/>
      </c>
      <c r="C90" s="20"/>
      <c r="D90" s="18" t="str">
        <f aca="false">IFERROR(INDEX('Operator Master'!$B$5:$B$504,MATCH(C90,'Operator Master'!$A$5:$A$504,0)),"")</f>
        <v/>
      </c>
      <c r="E90" s="20"/>
      <c r="F90" s="18"/>
      <c r="G90" s="18"/>
    </row>
    <row r="91" customFormat="false" ht="14.25" hidden="false" customHeight="true" outlineLevel="0" collapsed="false">
      <c r="A91" s="19"/>
      <c r="B91" s="19" t="str">
        <f aca="false">IF(A91="","",A91+6)</f>
        <v/>
      </c>
      <c r="C91" s="20"/>
      <c r="D91" s="18" t="str">
        <f aca="false">IFERROR(INDEX('Operator Master'!$B$5:$B$504,MATCH(C91,'Operator Master'!$A$5:$A$504,0)),"")</f>
        <v/>
      </c>
      <c r="E91" s="20"/>
      <c r="F91" s="18"/>
      <c r="G91" s="18"/>
    </row>
    <row r="92" customFormat="false" ht="14.25" hidden="false" customHeight="true" outlineLevel="0" collapsed="false">
      <c r="A92" s="19"/>
      <c r="B92" s="19" t="str">
        <f aca="false">IF(A92="","",A92+6)</f>
        <v/>
      </c>
      <c r="C92" s="20"/>
      <c r="D92" s="18" t="str">
        <f aca="false">IFERROR(INDEX('Operator Master'!$B$5:$B$504,MATCH(C92,'Operator Master'!$A$5:$A$504,0)),"")</f>
        <v/>
      </c>
      <c r="E92" s="20"/>
      <c r="F92" s="18"/>
      <c r="G92" s="18"/>
    </row>
    <row r="93" customFormat="false" ht="14.25" hidden="false" customHeight="true" outlineLevel="0" collapsed="false">
      <c r="A93" s="19"/>
      <c r="B93" s="19" t="str">
        <f aca="false">IF(A93="","",A93+6)</f>
        <v/>
      </c>
      <c r="C93" s="20"/>
      <c r="D93" s="18" t="str">
        <f aca="false">IFERROR(INDEX('Operator Master'!$B$5:$B$504,MATCH(C93,'Operator Master'!$A$5:$A$504,0)),"")</f>
        <v/>
      </c>
      <c r="E93" s="20"/>
      <c r="F93" s="18"/>
      <c r="G93" s="18"/>
    </row>
    <row r="94" customFormat="false" ht="14.25" hidden="false" customHeight="true" outlineLevel="0" collapsed="false">
      <c r="A94" s="19"/>
      <c r="B94" s="19" t="str">
        <f aca="false">IF(A94="","",A94+6)</f>
        <v/>
      </c>
      <c r="C94" s="20"/>
      <c r="D94" s="18" t="str">
        <f aca="false">IFERROR(INDEX('Operator Master'!$B$5:$B$504,MATCH(C94,'Operator Master'!$A$5:$A$504,0)),"")</f>
        <v/>
      </c>
      <c r="E94" s="20"/>
      <c r="F94" s="18"/>
      <c r="G94" s="18"/>
    </row>
    <row r="95" customFormat="false" ht="14.25" hidden="false" customHeight="true" outlineLevel="0" collapsed="false">
      <c r="A95" s="19"/>
      <c r="B95" s="19" t="str">
        <f aca="false">IF(A95="","",A95+6)</f>
        <v/>
      </c>
      <c r="C95" s="20"/>
      <c r="D95" s="18" t="str">
        <f aca="false">IFERROR(INDEX('Operator Master'!$B$5:$B$504,MATCH(C95,'Operator Master'!$A$5:$A$504,0)),"")</f>
        <v/>
      </c>
      <c r="E95" s="20"/>
      <c r="F95" s="18"/>
      <c r="G95" s="18"/>
    </row>
    <row r="96" customFormat="false" ht="14.25" hidden="false" customHeight="true" outlineLevel="0" collapsed="false">
      <c r="A96" s="19"/>
      <c r="B96" s="19" t="str">
        <f aca="false">IF(A96="","",A96+6)</f>
        <v/>
      </c>
      <c r="C96" s="20"/>
      <c r="D96" s="18" t="str">
        <f aca="false">IFERROR(INDEX('Operator Master'!$B$5:$B$504,MATCH(C96,'Operator Master'!$A$5:$A$504,0)),"")</f>
        <v/>
      </c>
      <c r="E96" s="20"/>
      <c r="F96" s="18"/>
      <c r="G96" s="18"/>
    </row>
    <row r="97" customFormat="false" ht="14.25" hidden="false" customHeight="true" outlineLevel="0" collapsed="false">
      <c r="A97" s="19"/>
      <c r="B97" s="19" t="str">
        <f aca="false">IF(A97="","",A97+6)</f>
        <v/>
      </c>
      <c r="C97" s="20"/>
      <c r="D97" s="18" t="str">
        <f aca="false">IFERROR(INDEX('Operator Master'!$B$5:$B$504,MATCH(C97,'Operator Master'!$A$5:$A$504,0)),"")</f>
        <v/>
      </c>
      <c r="E97" s="20"/>
      <c r="F97" s="18"/>
      <c r="G97" s="18"/>
    </row>
    <row r="98" customFormat="false" ht="14.25" hidden="false" customHeight="true" outlineLevel="0" collapsed="false">
      <c r="A98" s="19"/>
      <c r="B98" s="19" t="str">
        <f aca="false">IF(A98="","",A98+6)</f>
        <v/>
      </c>
      <c r="C98" s="20"/>
      <c r="D98" s="18" t="str">
        <f aca="false">IFERROR(INDEX('Operator Master'!$B$5:$B$504,MATCH(C98,'Operator Master'!$A$5:$A$504,0)),"")</f>
        <v/>
      </c>
      <c r="E98" s="20"/>
      <c r="F98" s="18"/>
      <c r="G98" s="18"/>
    </row>
    <row r="99" customFormat="false" ht="14.25" hidden="false" customHeight="true" outlineLevel="0" collapsed="false">
      <c r="A99" s="19"/>
      <c r="B99" s="19" t="str">
        <f aca="false">IF(A99="","",A99+6)</f>
        <v/>
      </c>
      <c r="C99" s="20"/>
      <c r="D99" s="18" t="str">
        <f aca="false">IFERROR(INDEX('Operator Master'!$B$5:$B$504,MATCH(C99,'Operator Master'!$A$5:$A$504,0)),"")</f>
        <v/>
      </c>
      <c r="E99" s="20"/>
      <c r="F99" s="18"/>
      <c r="G99" s="18"/>
    </row>
    <row r="100" customFormat="false" ht="14.25" hidden="false" customHeight="true" outlineLevel="0" collapsed="false">
      <c r="A100" s="19"/>
      <c r="B100" s="19" t="str">
        <f aca="false">IF(A100="","",A100+6)</f>
        <v/>
      </c>
      <c r="C100" s="20"/>
      <c r="D100" s="18" t="str">
        <f aca="false">IFERROR(INDEX('Operator Master'!$B$5:$B$504,MATCH(C100,'Operator Master'!$A$5:$A$504,0)),"")</f>
        <v/>
      </c>
      <c r="E100" s="20"/>
      <c r="F100" s="18"/>
      <c r="G100" s="18"/>
    </row>
    <row r="101" customFormat="false" ht="14.25" hidden="false" customHeight="true" outlineLevel="0" collapsed="false">
      <c r="A101" s="19"/>
      <c r="B101" s="19" t="str">
        <f aca="false">IF(A101="","",A101+6)</f>
        <v/>
      </c>
      <c r="C101" s="20"/>
      <c r="D101" s="18" t="str">
        <f aca="false">IFERROR(INDEX('Operator Master'!$B$5:$B$504,MATCH(C101,'Operator Master'!$A$5:$A$504,0)),"")</f>
        <v/>
      </c>
      <c r="E101" s="20"/>
      <c r="F101" s="18"/>
      <c r="G101" s="18"/>
    </row>
    <row r="102" customFormat="false" ht="14.25" hidden="false" customHeight="true" outlineLevel="0" collapsed="false">
      <c r="A102" s="19"/>
      <c r="B102" s="19" t="str">
        <f aca="false">IF(A102="","",A102+6)</f>
        <v/>
      </c>
      <c r="C102" s="20"/>
      <c r="D102" s="18" t="str">
        <f aca="false">IFERROR(INDEX('Operator Master'!$B$5:$B$504,MATCH(C102,'Operator Master'!$A$5:$A$504,0)),"")</f>
        <v/>
      </c>
      <c r="E102" s="20"/>
      <c r="F102" s="18"/>
      <c r="G102" s="18"/>
    </row>
    <row r="103" customFormat="false" ht="14.25" hidden="false" customHeight="true" outlineLevel="0" collapsed="false">
      <c r="A103" s="19"/>
      <c r="B103" s="19" t="str">
        <f aca="false">IF(A103="","",A103+6)</f>
        <v/>
      </c>
      <c r="C103" s="20"/>
      <c r="D103" s="18" t="str">
        <f aca="false">IFERROR(INDEX('Operator Master'!$B$5:$B$504,MATCH(C103,'Operator Master'!$A$5:$A$504,0)),"")</f>
        <v/>
      </c>
      <c r="E103" s="20"/>
      <c r="F103" s="18"/>
      <c r="G103" s="18"/>
    </row>
    <row r="104" customFormat="false" ht="14.25" hidden="false" customHeight="true" outlineLevel="0" collapsed="false">
      <c r="A104" s="19"/>
      <c r="B104" s="19" t="str">
        <f aca="false">IF(A104="","",A104+6)</f>
        <v/>
      </c>
      <c r="C104" s="20"/>
      <c r="D104" s="18" t="str">
        <f aca="false">IFERROR(INDEX('Operator Master'!$B$5:$B$504,MATCH(C104,'Operator Master'!$A$5:$A$504,0)),"")</f>
        <v/>
      </c>
      <c r="E104" s="20"/>
      <c r="F104" s="18"/>
      <c r="G104" s="18"/>
    </row>
    <row r="105" customFormat="false" ht="14.25" hidden="false" customHeight="true" outlineLevel="0" collapsed="false">
      <c r="A105" s="19"/>
      <c r="B105" s="19" t="str">
        <f aca="false">IF(A105="","",A105+6)</f>
        <v/>
      </c>
      <c r="C105" s="20"/>
      <c r="D105" s="18" t="str">
        <f aca="false">IFERROR(INDEX('Operator Master'!$B$5:$B$504,MATCH(C105,'Operator Master'!$A$5:$A$504,0)),"")</f>
        <v/>
      </c>
      <c r="E105" s="20"/>
      <c r="F105" s="18"/>
      <c r="G105" s="18"/>
    </row>
    <row r="106" customFormat="false" ht="14.25" hidden="false" customHeight="true" outlineLevel="0" collapsed="false">
      <c r="A106" s="19"/>
      <c r="B106" s="19" t="str">
        <f aca="false">IF(A106="","",A106+6)</f>
        <v/>
      </c>
      <c r="C106" s="20"/>
      <c r="D106" s="18" t="str">
        <f aca="false">IFERROR(INDEX('Operator Master'!$B$5:$B$504,MATCH(C106,'Operator Master'!$A$5:$A$504,0)),"")</f>
        <v/>
      </c>
      <c r="E106" s="20"/>
      <c r="F106" s="18"/>
      <c r="G106" s="18"/>
    </row>
    <row r="107" customFormat="false" ht="14.25" hidden="false" customHeight="true" outlineLevel="0" collapsed="false">
      <c r="A107" s="19"/>
      <c r="B107" s="19" t="str">
        <f aca="false">IF(A107="","",A107+6)</f>
        <v/>
      </c>
      <c r="C107" s="20"/>
      <c r="D107" s="18" t="str">
        <f aca="false">IFERROR(INDEX('Operator Master'!$B$5:$B$504,MATCH(C107,'Operator Master'!$A$5:$A$504,0)),"")</f>
        <v/>
      </c>
      <c r="E107" s="20"/>
      <c r="F107" s="18"/>
      <c r="G107" s="18"/>
    </row>
    <row r="108" customFormat="false" ht="14.25" hidden="false" customHeight="true" outlineLevel="0" collapsed="false">
      <c r="A108" s="19"/>
      <c r="B108" s="19" t="str">
        <f aca="false">IF(A108="","",A108+6)</f>
        <v/>
      </c>
      <c r="C108" s="20"/>
      <c r="D108" s="18" t="str">
        <f aca="false">IFERROR(INDEX('Operator Master'!$B$5:$B$504,MATCH(C108,'Operator Master'!$A$5:$A$504,0)),"")</f>
        <v/>
      </c>
      <c r="E108" s="20"/>
      <c r="F108" s="18"/>
      <c r="G108" s="18"/>
    </row>
    <row r="109" customFormat="false" ht="14.25" hidden="false" customHeight="true" outlineLevel="0" collapsed="false">
      <c r="A109" s="19"/>
      <c r="B109" s="19" t="str">
        <f aca="false">IF(A109="","",A109+6)</f>
        <v/>
      </c>
      <c r="C109" s="20"/>
      <c r="D109" s="18" t="str">
        <f aca="false">IFERROR(INDEX('Operator Master'!$B$5:$B$504,MATCH(C109,'Operator Master'!$A$5:$A$504,0)),"")</f>
        <v/>
      </c>
      <c r="E109" s="20"/>
      <c r="F109" s="18"/>
      <c r="G109" s="18"/>
    </row>
    <row r="110" customFormat="false" ht="14.25" hidden="false" customHeight="true" outlineLevel="0" collapsed="false">
      <c r="A110" s="19"/>
      <c r="B110" s="19" t="str">
        <f aca="false">IF(A110="","",A110+6)</f>
        <v/>
      </c>
      <c r="C110" s="20"/>
      <c r="D110" s="18" t="str">
        <f aca="false">IFERROR(INDEX('Operator Master'!$B$5:$B$504,MATCH(C110,'Operator Master'!$A$5:$A$504,0)),"")</f>
        <v/>
      </c>
      <c r="E110" s="20"/>
      <c r="F110" s="18"/>
      <c r="G110" s="18"/>
    </row>
    <row r="111" customFormat="false" ht="14.25" hidden="false" customHeight="true" outlineLevel="0" collapsed="false">
      <c r="A111" s="19"/>
      <c r="B111" s="19" t="str">
        <f aca="false">IF(A111="","",A111+6)</f>
        <v/>
      </c>
      <c r="C111" s="20"/>
      <c r="D111" s="18" t="str">
        <f aca="false">IFERROR(INDEX('Operator Master'!$B$5:$B$504,MATCH(C111,'Operator Master'!$A$5:$A$504,0)),"")</f>
        <v/>
      </c>
      <c r="E111" s="20"/>
      <c r="F111" s="18"/>
      <c r="G111" s="18"/>
    </row>
    <row r="112" customFormat="false" ht="14.25" hidden="false" customHeight="true" outlineLevel="0" collapsed="false">
      <c r="A112" s="19"/>
      <c r="B112" s="19" t="str">
        <f aca="false">IF(A112="","",A112+6)</f>
        <v/>
      </c>
      <c r="C112" s="20"/>
      <c r="D112" s="18" t="str">
        <f aca="false">IFERROR(INDEX('Operator Master'!$B$5:$B$504,MATCH(C112,'Operator Master'!$A$5:$A$504,0)),"")</f>
        <v/>
      </c>
      <c r="E112" s="20"/>
      <c r="F112" s="18"/>
      <c r="G112" s="18"/>
    </row>
    <row r="113" customFormat="false" ht="14.25" hidden="false" customHeight="true" outlineLevel="0" collapsed="false">
      <c r="A113" s="19"/>
      <c r="B113" s="19" t="str">
        <f aca="false">IF(A113="","",A113+6)</f>
        <v/>
      </c>
      <c r="C113" s="20"/>
      <c r="D113" s="18" t="str">
        <f aca="false">IFERROR(INDEX('Operator Master'!$B$5:$B$504,MATCH(C113,'Operator Master'!$A$5:$A$504,0)),"")</f>
        <v/>
      </c>
      <c r="E113" s="20"/>
      <c r="F113" s="18"/>
      <c r="G113" s="18"/>
    </row>
    <row r="114" customFormat="false" ht="14.25" hidden="false" customHeight="true" outlineLevel="0" collapsed="false">
      <c r="A114" s="19"/>
      <c r="B114" s="19" t="str">
        <f aca="false">IF(A114="","",A114+6)</f>
        <v/>
      </c>
      <c r="C114" s="20"/>
      <c r="D114" s="18" t="str">
        <f aca="false">IFERROR(INDEX('Operator Master'!$B$5:$B$504,MATCH(C114,'Operator Master'!$A$5:$A$504,0)),"")</f>
        <v/>
      </c>
      <c r="E114" s="20"/>
      <c r="F114" s="18"/>
      <c r="G114" s="18"/>
    </row>
    <row r="115" customFormat="false" ht="14.25" hidden="false" customHeight="true" outlineLevel="0" collapsed="false">
      <c r="A115" s="19"/>
      <c r="B115" s="19" t="str">
        <f aca="false">IF(A115="","",A115+6)</f>
        <v/>
      </c>
      <c r="C115" s="20"/>
      <c r="D115" s="18" t="str">
        <f aca="false">IFERROR(INDEX('Operator Master'!$B$5:$B$504,MATCH(C115,'Operator Master'!$A$5:$A$504,0)),"")</f>
        <v/>
      </c>
      <c r="E115" s="20"/>
      <c r="F115" s="18"/>
      <c r="G115" s="18"/>
    </row>
    <row r="116" customFormat="false" ht="14.25" hidden="false" customHeight="true" outlineLevel="0" collapsed="false">
      <c r="A116" s="19"/>
      <c r="B116" s="19" t="str">
        <f aca="false">IF(A116="","",A116+6)</f>
        <v/>
      </c>
      <c r="C116" s="20"/>
      <c r="D116" s="18" t="str">
        <f aca="false">IFERROR(INDEX('Operator Master'!$B$5:$B$504,MATCH(C116,'Operator Master'!$A$5:$A$504,0)),"")</f>
        <v/>
      </c>
      <c r="E116" s="20"/>
      <c r="F116" s="18"/>
      <c r="G116" s="18"/>
    </row>
    <row r="117" customFormat="false" ht="14.25" hidden="false" customHeight="true" outlineLevel="0" collapsed="false">
      <c r="A117" s="19"/>
      <c r="B117" s="19" t="str">
        <f aca="false">IF(A117="","",A117+6)</f>
        <v/>
      </c>
      <c r="C117" s="20"/>
      <c r="D117" s="18" t="str">
        <f aca="false">IFERROR(INDEX('Operator Master'!$B$5:$B$504,MATCH(C117,'Operator Master'!$A$5:$A$504,0)),"")</f>
        <v/>
      </c>
      <c r="E117" s="20"/>
      <c r="F117" s="18"/>
      <c r="G117" s="18"/>
    </row>
    <row r="118" customFormat="false" ht="14.25" hidden="false" customHeight="true" outlineLevel="0" collapsed="false">
      <c r="A118" s="19"/>
      <c r="B118" s="19" t="str">
        <f aca="false">IF(A118="","",A118+6)</f>
        <v/>
      </c>
      <c r="C118" s="20"/>
      <c r="D118" s="18" t="str">
        <f aca="false">IFERROR(INDEX('Operator Master'!$B$5:$B$504,MATCH(C118,'Operator Master'!$A$5:$A$504,0)),"")</f>
        <v/>
      </c>
      <c r="E118" s="20"/>
      <c r="F118" s="18"/>
      <c r="G118" s="18"/>
    </row>
    <row r="119" customFormat="false" ht="14.25" hidden="false" customHeight="true" outlineLevel="0" collapsed="false">
      <c r="A119" s="19"/>
      <c r="B119" s="19" t="str">
        <f aca="false">IF(A119="","",A119+6)</f>
        <v/>
      </c>
      <c r="C119" s="20"/>
      <c r="D119" s="18" t="str">
        <f aca="false">IFERROR(INDEX('Operator Master'!$B$5:$B$504,MATCH(C119,'Operator Master'!$A$5:$A$504,0)),"")</f>
        <v/>
      </c>
      <c r="E119" s="20"/>
      <c r="F119" s="18"/>
      <c r="G119" s="18"/>
    </row>
    <row r="120" customFormat="false" ht="14.25" hidden="false" customHeight="true" outlineLevel="0" collapsed="false">
      <c r="A120" s="19"/>
      <c r="B120" s="19" t="str">
        <f aca="false">IF(A120="","",A120+6)</f>
        <v/>
      </c>
      <c r="C120" s="20"/>
      <c r="D120" s="18" t="str">
        <f aca="false">IFERROR(INDEX('Operator Master'!$B$5:$B$504,MATCH(C120,'Operator Master'!$A$5:$A$504,0)),"")</f>
        <v/>
      </c>
      <c r="E120" s="20"/>
      <c r="F120" s="18"/>
      <c r="G120" s="18"/>
    </row>
    <row r="121" customFormat="false" ht="14.25" hidden="false" customHeight="true" outlineLevel="0" collapsed="false">
      <c r="A121" s="19"/>
      <c r="B121" s="19" t="str">
        <f aca="false">IF(A121="","",A121+6)</f>
        <v/>
      </c>
      <c r="C121" s="20"/>
      <c r="D121" s="18" t="str">
        <f aca="false">IFERROR(INDEX('Operator Master'!$B$5:$B$504,MATCH(C121,'Operator Master'!$A$5:$A$504,0)),"")</f>
        <v/>
      </c>
      <c r="E121" s="20"/>
      <c r="F121" s="18"/>
      <c r="G121" s="18"/>
    </row>
    <row r="122" customFormat="false" ht="14.25" hidden="false" customHeight="true" outlineLevel="0" collapsed="false">
      <c r="A122" s="19"/>
      <c r="B122" s="19" t="str">
        <f aca="false">IF(A122="","",A122+6)</f>
        <v/>
      </c>
      <c r="C122" s="20"/>
      <c r="D122" s="18" t="str">
        <f aca="false">IFERROR(INDEX('Operator Master'!$B$5:$B$504,MATCH(C122,'Operator Master'!$A$5:$A$504,0)),"")</f>
        <v/>
      </c>
      <c r="E122" s="20"/>
      <c r="F122" s="18"/>
      <c r="G122" s="18"/>
    </row>
    <row r="123" customFormat="false" ht="14.25" hidden="false" customHeight="true" outlineLevel="0" collapsed="false">
      <c r="A123" s="19"/>
      <c r="B123" s="19" t="str">
        <f aca="false">IF(A123="","",A123+6)</f>
        <v/>
      </c>
      <c r="C123" s="20"/>
      <c r="D123" s="18" t="str">
        <f aca="false">IFERROR(INDEX('Operator Master'!$B$5:$B$504,MATCH(C123,'Operator Master'!$A$5:$A$504,0)),"")</f>
        <v/>
      </c>
      <c r="E123" s="20"/>
      <c r="F123" s="18"/>
      <c r="G123" s="18"/>
    </row>
    <row r="124" customFormat="false" ht="14.25" hidden="false" customHeight="true" outlineLevel="0" collapsed="false">
      <c r="A124" s="19"/>
      <c r="B124" s="19" t="str">
        <f aca="false">IF(A124="","",A124+6)</f>
        <v/>
      </c>
      <c r="C124" s="20"/>
      <c r="D124" s="18" t="str">
        <f aca="false">IFERROR(INDEX('Operator Master'!$B$5:$B$504,MATCH(C124,'Operator Master'!$A$5:$A$504,0)),"")</f>
        <v/>
      </c>
      <c r="E124" s="20"/>
      <c r="F124" s="18"/>
      <c r="G124" s="18"/>
    </row>
    <row r="125" customFormat="false" ht="14.25" hidden="false" customHeight="true" outlineLevel="0" collapsed="false">
      <c r="A125" s="19"/>
      <c r="B125" s="19" t="str">
        <f aca="false">IF(A125="","",A125+6)</f>
        <v/>
      </c>
      <c r="C125" s="20"/>
      <c r="D125" s="18" t="str">
        <f aca="false">IFERROR(INDEX('Operator Master'!$B$5:$B$504,MATCH(C125,'Operator Master'!$A$5:$A$504,0)),"")</f>
        <v/>
      </c>
      <c r="E125" s="20"/>
      <c r="F125" s="18"/>
      <c r="G125" s="18"/>
    </row>
    <row r="126" customFormat="false" ht="14.25" hidden="false" customHeight="true" outlineLevel="0" collapsed="false">
      <c r="A126" s="19"/>
      <c r="B126" s="19" t="str">
        <f aca="false">IF(A126="","",A126+6)</f>
        <v/>
      </c>
      <c r="C126" s="20"/>
      <c r="D126" s="18" t="str">
        <f aca="false">IFERROR(INDEX('Operator Master'!$B$5:$B$504,MATCH(C126,'Operator Master'!$A$5:$A$504,0)),"")</f>
        <v/>
      </c>
      <c r="E126" s="20"/>
      <c r="F126" s="18"/>
      <c r="G126" s="18"/>
    </row>
    <row r="127" customFormat="false" ht="14.25" hidden="false" customHeight="true" outlineLevel="0" collapsed="false">
      <c r="A127" s="19"/>
      <c r="B127" s="19" t="str">
        <f aca="false">IF(A127="","",A127+6)</f>
        <v/>
      </c>
      <c r="C127" s="20"/>
      <c r="D127" s="18" t="str">
        <f aca="false">IFERROR(INDEX('Operator Master'!$B$5:$B$504,MATCH(C127,'Operator Master'!$A$5:$A$504,0)),"")</f>
        <v/>
      </c>
      <c r="E127" s="20"/>
      <c r="F127" s="18"/>
      <c r="G127" s="18"/>
    </row>
    <row r="128" customFormat="false" ht="14.25" hidden="false" customHeight="true" outlineLevel="0" collapsed="false">
      <c r="A128" s="19"/>
      <c r="B128" s="19" t="str">
        <f aca="false">IF(A128="","",A128+6)</f>
        <v/>
      </c>
      <c r="C128" s="20"/>
      <c r="D128" s="18" t="str">
        <f aca="false">IFERROR(INDEX('Operator Master'!$B$5:$B$504,MATCH(C128,'Operator Master'!$A$5:$A$504,0)),"")</f>
        <v/>
      </c>
      <c r="E128" s="20"/>
      <c r="F128" s="18"/>
      <c r="G128" s="18"/>
    </row>
    <row r="129" customFormat="false" ht="14.25" hidden="false" customHeight="true" outlineLevel="0" collapsed="false">
      <c r="A129" s="19"/>
      <c r="B129" s="19" t="str">
        <f aca="false">IF(A129="","",A129+6)</f>
        <v/>
      </c>
      <c r="C129" s="20"/>
      <c r="D129" s="18" t="str">
        <f aca="false">IFERROR(INDEX('Operator Master'!$B$5:$B$504,MATCH(C129,'Operator Master'!$A$5:$A$504,0)),"")</f>
        <v/>
      </c>
      <c r="E129" s="20"/>
      <c r="F129" s="18"/>
      <c r="G129" s="18"/>
    </row>
    <row r="130" customFormat="false" ht="14.25" hidden="false" customHeight="true" outlineLevel="0" collapsed="false">
      <c r="A130" s="19"/>
      <c r="B130" s="19" t="str">
        <f aca="false">IF(A130="","",A130+6)</f>
        <v/>
      </c>
      <c r="C130" s="20"/>
      <c r="D130" s="18" t="str">
        <f aca="false">IFERROR(INDEX('Operator Master'!$B$5:$B$504,MATCH(C130,'Operator Master'!$A$5:$A$504,0)),"")</f>
        <v/>
      </c>
      <c r="E130" s="20"/>
      <c r="F130" s="18"/>
      <c r="G130" s="18"/>
    </row>
    <row r="131" customFormat="false" ht="14.25" hidden="false" customHeight="true" outlineLevel="0" collapsed="false">
      <c r="A131" s="19"/>
      <c r="B131" s="19" t="str">
        <f aca="false">IF(A131="","",A131+6)</f>
        <v/>
      </c>
      <c r="C131" s="20"/>
      <c r="D131" s="18" t="str">
        <f aca="false">IFERROR(INDEX('Operator Master'!$B$5:$B$504,MATCH(C131,'Operator Master'!$A$5:$A$504,0)),"")</f>
        <v/>
      </c>
      <c r="E131" s="20"/>
      <c r="F131" s="18"/>
      <c r="G131" s="18"/>
    </row>
    <row r="132" customFormat="false" ht="14.25" hidden="false" customHeight="true" outlineLevel="0" collapsed="false">
      <c r="A132" s="19"/>
      <c r="B132" s="19" t="str">
        <f aca="false">IF(A132="","",A132+6)</f>
        <v/>
      </c>
      <c r="C132" s="20"/>
      <c r="D132" s="18" t="str">
        <f aca="false">IFERROR(INDEX('Operator Master'!$B$5:$B$504,MATCH(C132,'Operator Master'!$A$5:$A$504,0)),"")</f>
        <v/>
      </c>
      <c r="E132" s="20"/>
      <c r="F132" s="18"/>
      <c r="G132" s="18"/>
    </row>
    <row r="133" customFormat="false" ht="14.25" hidden="false" customHeight="true" outlineLevel="0" collapsed="false">
      <c r="A133" s="19"/>
      <c r="B133" s="19" t="str">
        <f aca="false">IF(A133="","",A133+6)</f>
        <v/>
      </c>
      <c r="C133" s="20"/>
      <c r="D133" s="18" t="str">
        <f aca="false">IFERROR(INDEX('Operator Master'!$B$5:$B$504,MATCH(C133,'Operator Master'!$A$5:$A$504,0)),"")</f>
        <v/>
      </c>
      <c r="E133" s="20"/>
      <c r="F133" s="18"/>
      <c r="G133" s="18"/>
    </row>
    <row r="134" customFormat="false" ht="14.25" hidden="false" customHeight="true" outlineLevel="0" collapsed="false">
      <c r="A134" s="19"/>
      <c r="B134" s="19" t="str">
        <f aca="false">IF(A134="","",A134+6)</f>
        <v/>
      </c>
      <c r="C134" s="20"/>
      <c r="D134" s="18" t="str">
        <f aca="false">IFERROR(INDEX('Operator Master'!$B$5:$B$504,MATCH(C134,'Operator Master'!$A$5:$A$504,0)),"")</f>
        <v/>
      </c>
      <c r="E134" s="20"/>
      <c r="F134" s="18"/>
      <c r="G134" s="18"/>
    </row>
    <row r="135" customFormat="false" ht="14.25" hidden="false" customHeight="true" outlineLevel="0" collapsed="false">
      <c r="A135" s="19"/>
      <c r="B135" s="19" t="str">
        <f aca="false">IF(A135="","",A135+6)</f>
        <v/>
      </c>
      <c r="C135" s="20"/>
      <c r="D135" s="18" t="str">
        <f aca="false">IFERROR(INDEX('Operator Master'!$B$5:$B$504,MATCH(C135,'Operator Master'!$A$5:$A$504,0)),"")</f>
        <v/>
      </c>
      <c r="E135" s="20"/>
      <c r="F135" s="18"/>
      <c r="G135" s="18"/>
    </row>
    <row r="136" customFormat="false" ht="14.25" hidden="false" customHeight="true" outlineLevel="0" collapsed="false">
      <c r="A136" s="19"/>
      <c r="B136" s="19" t="str">
        <f aca="false">IF(A136="","",A136+6)</f>
        <v/>
      </c>
      <c r="C136" s="20"/>
      <c r="D136" s="18" t="str">
        <f aca="false">IFERROR(INDEX('Operator Master'!$B$5:$B$504,MATCH(C136,'Operator Master'!$A$5:$A$504,0)),"")</f>
        <v/>
      </c>
      <c r="E136" s="20"/>
      <c r="F136" s="18"/>
      <c r="G136" s="18"/>
    </row>
    <row r="137" customFormat="false" ht="14.25" hidden="false" customHeight="true" outlineLevel="0" collapsed="false">
      <c r="A137" s="19"/>
      <c r="B137" s="19" t="str">
        <f aca="false">IF(A137="","",A137+6)</f>
        <v/>
      </c>
      <c r="C137" s="20"/>
      <c r="D137" s="18" t="str">
        <f aca="false">IFERROR(INDEX('Operator Master'!$B$5:$B$504,MATCH(C137,'Operator Master'!$A$5:$A$504,0)),"")</f>
        <v/>
      </c>
      <c r="E137" s="20"/>
      <c r="F137" s="18"/>
      <c r="G137" s="18"/>
    </row>
    <row r="138" customFormat="false" ht="14.25" hidden="false" customHeight="true" outlineLevel="0" collapsed="false">
      <c r="A138" s="19"/>
      <c r="B138" s="19" t="str">
        <f aca="false">IF(A138="","",A138+6)</f>
        <v/>
      </c>
      <c r="C138" s="20"/>
      <c r="D138" s="18" t="str">
        <f aca="false">IFERROR(INDEX('Operator Master'!$B$5:$B$504,MATCH(C138,'Operator Master'!$A$5:$A$504,0)),"")</f>
        <v/>
      </c>
      <c r="E138" s="20"/>
      <c r="F138" s="18"/>
      <c r="G138" s="18"/>
    </row>
    <row r="139" customFormat="false" ht="14.25" hidden="false" customHeight="true" outlineLevel="0" collapsed="false">
      <c r="A139" s="19"/>
      <c r="B139" s="19" t="str">
        <f aca="false">IF(A139="","",A139+6)</f>
        <v/>
      </c>
      <c r="C139" s="20"/>
      <c r="D139" s="18" t="str">
        <f aca="false">IFERROR(INDEX('Operator Master'!$B$5:$B$504,MATCH(C139,'Operator Master'!$A$5:$A$504,0)),"")</f>
        <v/>
      </c>
      <c r="E139" s="20"/>
      <c r="F139" s="18"/>
      <c r="G139" s="18"/>
    </row>
    <row r="140" customFormat="false" ht="14.25" hidden="false" customHeight="true" outlineLevel="0" collapsed="false">
      <c r="A140" s="19"/>
      <c r="B140" s="19" t="str">
        <f aca="false">IF(A140="","",A140+6)</f>
        <v/>
      </c>
      <c r="C140" s="20"/>
      <c r="D140" s="18" t="str">
        <f aca="false">IFERROR(INDEX('Operator Master'!$B$5:$B$504,MATCH(C140,'Operator Master'!$A$5:$A$504,0)),"")</f>
        <v/>
      </c>
      <c r="E140" s="20"/>
      <c r="F140" s="18"/>
      <c r="G140" s="18"/>
    </row>
    <row r="141" customFormat="false" ht="14.25" hidden="false" customHeight="true" outlineLevel="0" collapsed="false">
      <c r="A141" s="19"/>
      <c r="B141" s="19" t="str">
        <f aca="false">IF(A141="","",A141+6)</f>
        <v/>
      </c>
      <c r="C141" s="20"/>
      <c r="D141" s="18" t="str">
        <f aca="false">IFERROR(INDEX('Operator Master'!$B$5:$B$504,MATCH(C141,'Operator Master'!$A$5:$A$504,0)),"")</f>
        <v/>
      </c>
      <c r="E141" s="20"/>
      <c r="F141" s="18"/>
      <c r="G141" s="18"/>
    </row>
    <row r="142" customFormat="false" ht="14.25" hidden="false" customHeight="true" outlineLevel="0" collapsed="false">
      <c r="A142" s="19"/>
      <c r="B142" s="19" t="str">
        <f aca="false">IF(A142="","",A142+6)</f>
        <v/>
      </c>
      <c r="C142" s="20"/>
      <c r="D142" s="18" t="str">
        <f aca="false">IFERROR(INDEX('Operator Master'!$B$5:$B$504,MATCH(C142,'Operator Master'!$A$5:$A$504,0)),"")</f>
        <v/>
      </c>
      <c r="E142" s="20"/>
      <c r="F142" s="18"/>
      <c r="G142" s="18"/>
    </row>
    <row r="143" customFormat="false" ht="14.25" hidden="false" customHeight="true" outlineLevel="0" collapsed="false">
      <c r="A143" s="19"/>
      <c r="B143" s="19" t="str">
        <f aca="false">IF(A143="","",A143+6)</f>
        <v/>
      </c>
      <c r="C143" s="20"/>
      <c r="D143" s="18" t="str">
        <f aca="false">IFERROR(INDEX('Operator Master'!$B$5:$B$504,MATCH(C143,'Operator Master'!$A$5:$A$504,0)),"")</f>
        <v/>
      </c>
      <c r="E143" s="20"/>
      <c r="F143" s="18"/>
      <c r="G143" s="18"/>
    </row>
    <row r="144" customFormat="false" ht="14.25" hidden="false" customHeight="true" outlineLevel="0" collapsed="false">
      <c r="A144" s="19"/>
      <c r="B144" s="19" t="str">
        <f aca="false">IF(A144="","",A144+6)</f>
        <v/>
      </c>
      <c r="C144" s="20"/>
      <c r="D144" s="18" t="str">
        <f aca="false">IFERROR(INDEX('Operator Master'!$B$5:$B$504,MATCH(C144,'Operator Master'!$A$5:$A$504,0)),"")</f>
        <v/>
      </c>
      <c r="E144" s="20"/>
      <c r="F144" s="18"/>
      <c r="G144" s="18"/>
    </row>
    <row r="145" customFormat="false" ht="14.25" hidden="false" customHeight="true" outlineLevel="0" collapsed="false">
      <c r="A145" s="19"/>
      <c r="B145" s="19" t="str">
        <f aca="false">IF(A145="","",A145+6)</f>
        <v/>
      </c>
      <c r="C145" s="20"/>
      <c r="D145" s="18" t="str">
        <f aca="false">IFERROR(INDEX('Operator Master'!$B$5:$B$504,MATCH(C145,'Operator Master'!$A$5:$A$504,0)),"")</f>
        <v/>
      </c>
      <c r="E145" s="20"/>
      <c r="F145" s="18"/>
      <c r="G145" s="18"/>
    </row>
    <row r="146" customFormat="false" ht="14.25" hidden="false" customHeight="true" outlineLevel="0" collapsed="false">
      <c r="A146" s="19"/>
      <c r="B146" s="19" t="str">
        <f aca="false">IF(A146="","",A146+6)</f>
        <v/>
      </c>
      <c r="C146" s="20"/>
      <c r="D146" s="18" t="str">
        <f aca="false">IFERROR(INDEX('Operator Master'!$B$5:$B$504,MATCH(C146,'Operator Master'!$A$5:$A$504,0)),"")</f>
        <v/>
      </c>
      <c r="E146" s="20"/>
      <c r="F146" s="18"/>
      <c r="G146" s="18"/>
    </row>
    <row r="147" customFormat="false" ht="14.25" hidden="false" customHeight="true" outlineLevel="0" collapsed="false">
      <c r="A147" s="19"/>
      <c r="B147" s="19" t="str">
        <f aca="false">IF(A147="","",A147+6)</f>
        <v/>
      </c>
      <c r="C147" s="20"/>
      <c r="D147" s="18" t="str">
        <f aca="false">IFERROR(INDEX('Operator Master'!$B$5:$B$504,MATCH(C147,'Operator Master'!$A$5:$A$504,0)),"")</f>
        <v/>
      </c>
      <c r="E147" s="20"/>
      <c r="F147" s="18"/>
      <c r="G147" s="18"/>
    </row>
    <row r="148" customFormat="false" ht="14.25" hidden="false" customHeight="true" outlineLevel="0" collapsed="false">
      <c r="A148" s="19"/>
      <c r="B148" s="19" t="str">
        <f aca="false">IF(A148="","",A148+6)</f>
        <v/>
      </c>
      <c r="C148" s="20"/>
      <c r="D148" s="18" t="str">
        <f aca="false">IFERROR(INDEX('Operator Master'!$B$5:$B$504,MATCH(C148,'Operator Master'!$A$5:$A$504,0)),"")</f>
        <v/>
      </c>
      <c r="E148" s="20"/>
      <c r="F148" s="18"/>
      <c r="G148" s="18"/>
    </row>
    <row r="149" customFormat="false" ht="14.25" hidden="false" customHeight="true" outlineLevel="0" collapsed="false">
      <c r="A149" s="19"/>
      <c r="B149" s="19" t="str">
        <f aca="false">IF(A149="","",A149+6)</f>
        <v/>
      </c>
      <c r="C149" s="20"/>
      <c r="D149" s="18" t="str">
        <f aca="false">IFERROR(INDEX('Operator Master'!$B$5:$B$504,MATCH(C149,'Operator Master'!$A$5:$A$504,0)),"")</f>
        <v/>
      </c>
      <c r="E149" s="20"/>
      <c r="F149" s="18"/>
      <c r="G149" s="18"/>
    </row>
    <row r="150" customFormat="false" ht="14.25" hidden="false" customHeight="true" outlineLevel="0" collapsed="false">
      <c r="A150" s="19"/>
      <c r="B150" s="19" t="str">
        <f aca="false">IF(A150="","",A150+6)</f>
        <v/>
      </c>
      <c r="C150" s="20"/>
      <c r="D150" s="18" t="str">
        <f aca="false">IFERROR(INDEX('Operator Master'!$B$5:$B$504,MATCH(C150,'Operator Master'!$A$5:$A$504,0)),"")</f>
        <v/>
      </c>
      <c r="E150" s="20"/>
      <c r="F150" s="18"/>
      <c r="G150" s="18"/>
    </row>
    <row r="151" customFormat="false" ht="14.25" hidden="false" customHeight="true" outlineLevel="0" collapsed="false">
      <c r="A151" s="19"/>
      <c r="B151" s="19" t="str">
        <f aca="false">IF(A151="","",A151+6)</f>
        <v/>
      </c>
      <c r="C151" s="20"/>
      <c r="D151" s="18" t="str">
        <f aca="false">IFERROR(INDEX('Operator Master'!$B$5:$B$504,MATCH(C151,'Operator Master'!$A$5:$A$504,0)),"")</f>
        <v/>
      </c>
      <c r="E151" s="20"/>
      <c r="F151" s="18"/>
      <c r="G151" s="18"/>
    </row>
    <row r="152" customFormat="false" ht="14.25" hidden="false" customHeight="true" outlineLevel="0" collapsed="false">
      <c r="A152" s="19"/>
      <c r="B152" s="19" t="str">
        <f aca="false">IF(A152="","",A152+6)</f>
        <v/>
      </c>
      <c r="C152" s="20"/>
      <c r="D152" s="18" t="str">
        <f aca="false">IFERROR(INDEX('Operator Master'!$B$5:$B$504,MATCH(C152,'Operator Master'!$A$5:$A$504,0)),"")</f>
        <v/>
      </c>
      <c r="E152" s="20"/>
      <c r="F152" s="18"/>
      <c r="G152" s="18"/>
    </row>
    <row r="153" customFormat="false" ht="14.25" hidden="false" customHeight="true" outlineLevel="0" collapsed="false">
      <c r="A153" s="19"/>
      <c r="B153" s="19" t="str">
        <f aca="false">IF(A153="","",A153+6)</f>
        <v/>
      </c>
      <c r="C153" s="20"/>
      <c r="D153" s="18" t="str">
        <f aca="false">IFERROR(INDEX('Operator Master'!$B$5:$B$504,MATCH(C153,'Operator Master'!$A$5:$A$504,0)),"")</f>
        <v/>
      </c>
      <c r="E153" s="20"/>
      <c r="F153" s="18"/>
      <c r="G153" s="18"/>
    </row>
    <row r="154" customFormat="false" ht="14.25" hidden="false" customHeight="true" outlineLevel="0" collapsed="false">
      <c r="A154" s="19"/>
      <c r="B154" s="19" t="str">
        <f aca="false">IF(A154="","",A154+6)</f>
        <v/>
      </c>
      <c r="C154" s="20"/>
      <c r="D154" s="18" t="str">
        <f aca="false">IFERROR(INDEX('Operator Master'!$B$5:$B$504,MATCH(C154,'Operator Master'!$A$5:$A$504,0)),"")</f>
        <v/>
      </c>
      <c r="E154" s="20"/>
      <c r="F154" s="18"/>
      <c r="G154" s="18"/>
    </row>
    <row r="155" customFormat="false" ht="14.25" hidden="false" customHeight="true" outlineLevel="0" collapsed="false">
      <c r="A155" s="19"/>
      <c r="B155" s="19" t="str">
        <f aca="false">IF(A155="","",A155+6)</f>
        <v/>
      </c>
      <c r="C155" s="20"/>
      <c r="D155" s="18" t="str">
        <f aca="false">IFERROR(INDEX('Operator Master'!$B$5:$B$504,MATCH(C155,'Operator Master'!$A$5:$A$504,0)),"")</f>
        <v/>
      </c>
      <c r="E155" s="20"/>
      <c r="F155" s="18"/>
      <c r="G155" s="18"/>
    </row>
    <row r="156" customFormat="false" ht="14.25" hidden="false" customHeight="true" outlineLevel="0" collapsed="false">
      <c r="A156" s="19"/>
      <c r="B156" s="19" t="str">
        <f aca="false">IF(A156="","",A156+6)</f>
        <v/>
      </c>
      <c r="C156" s="20"/>
      <c r="D156" s="18" t="str">
        <f aca="false">IFERROR(INDEX('Operator Master'!$B$5:$B$504,MATCH(C156,'Operator Master'!$A$5:$A$504,0)),"")</f>
        <v/>
      </c>
      <c r="E156" s="20"/>
      <c r="F156" s="18"/>
      <c r="G156" s="18"/>
    </row>
    <row r="157" customFormat="false" ht="14.25" hidden="false" customHeight="true" outlineLevel="0" collapsed="false">
      <c r="A157" s="19"/>
      <c r="B157" s="19" t="str">
        <f aca="false">IF(A157="","",A157+6)</f>
        <v/>
      </c>
      <c r="C157" s="20"/>
      <c r="D157" s="18" t="str">
        <f aca="false">IFERROR(INDEX('Operator Master'!$B$5:$B$504,MATCH(C157,'Operator Master'!$A$5:$A$504,0)),"")</f>
        <v/>
      </c>
      <c r="E157" s="20"/>
      <c r="F157" s="18"/>
      <c r="G157" s="18"/>
    </row>
    <row r="158" customFormat="false" ht="14.25" hidden="false" customHeight="true" outlineLevel="0" collapsed="false">
      <c r="A158" s="19"/>
      <c r="B158" s="19" t="str">
        <f aca="false">IF(A158="","",A158+6)</f>
        <v/>
      </c>
      <c r="C158" s="20"/>
      <c r="D158" s="18" t="str">
        <f aca="false">IFERROR(INDEX('Operator Master'!$B$5:$B$504,MATCH(C158,'Operator Master'!$A$5:$A$504,0)),"")</f>
        <v/>
      </c>
      <c r="E158" s="20"/>
      <c r="F158" s="18"/>
      <c r="G158" s="18"/>
    </row>
    <row r="159" customFormat="false" ht="14.25" hidden="false" customHeight="true" outlineLevel="0" collapsed="false">
      <c r="A159" s="19"/>
      <c r="B159" s="19" t="str">
        <f aca="false">IF(A159="","",A159+6)</f>
        <v/>
      </c>
      <c r="C159" s="20"/>
      <c r="D159" s="18" t="str">
        <f aca="false">IFERROR(INDEX('Operator Master'!$B$5:$B$504,MATCH(C159,'Operator Master'!$A$5:$A$504,0)),"")</f>
        <v/>
      </c>
      <c r="E159" s="20"/>
      <c r="F159" s="18"/>
      <c r="G159" s="18"/>
    </row>
    <row r="160" customFormat="false" ht="14.25" hidden="false" customHeight="true" outlineLevel="0" collapsed="false">
      <c r="A160" s="19"/>
      <c r="B160" s="19" t="str">
        <f aca="false">IF(A160="","",A160+6)</f>
        <v/>
      </c>
      <c r="C160" s="20"/>
      <c r="D160" s="18" t="str">
        <f aca="false">IFERROR(INDEX('Operator Master'!$B$5:$B$504,MATCH(C160,'Operator Master'!$A$5:$A$504,0)),"")</f>
        <v/>
      </c>
      <c r="E160" s="20"/>
      <c r="F160" s="18"/>
      <c r="G160" s="18"/>
    </row>
    <row r="161" customFormat="false" ht="14.25" hidden="false" customHeight="true" outlineLevel="0" collapsed="false">
      <c r="A161" s="19"/>
      <c r="B161" s="19" t="str">
        <f aca="false">IF(A161="","",A161+6)</f>
        <v/>
      </c>
      <c r="C161" s="20"/>
      <c r="D161" s="18" t="str">
        <f aca="false">IFERROR(INDEX('Operator Master'!$B$5:$B$504,MATCH(C161,'Operator Master'!$A$5:$A$504,0)),"")</f>
        <v/>
      </c>
      <c r="E161" s="20"/>
      <c r="F161" s="18"/>
      <c r="G161" s="18"/>
    </row>
    <row r="162" customFormat="false" ht="14.25" hidden="false" customHeight="true" outlineLevel="0" collapsed="false">
      <c r="A162" s="19"/>
      <c r="B162" s="19" t="str">
        <f aca="false">IF(A162="","",A162+6)</f>
        <v/>
      </c>
      <c r="C162" s="20"/>
      <c r="D162" s="18" t="str">
        <f aca="false">IFERROR(INDEX('Operator Master'!$B$5:$B$504,MATCH(C162,'Operator Master'!$A$5:$A$504,0)),"")</f>
        <v/>
      </c>
      <c r="E162" s="20"/>
      <c r="F162" s="18"/>
      <c r="G162" s="18"/>
    </row>
    <row r="163" customFormat="false" ht="14.25" hidden="false" customHeight="true" outlineLevel="0" collapsed="false">
      <c r="A163" s="19"/>
      <c r="B163" s="19" t="str">
        <f aca="false">IF(A163="","",A163+6)</f>
        <v/>
      </c>
      <c r="C163" s="20"/>
      <c r="D163" s="18" t="str">
        <f aca="false">IFERROR(INDEX('Operator Master'!$B$5:$B$504,MATCH(C163,'Operator Master'!$A$5:$A$504,0)),"")</f>
        <v/>
      </c>
      <c r="E163" s="20"/>
      <c r="F163" s="18"/>
      <c r="G163" s="18"/>
    </row>
    <row r="164" customFormat="false" ht="14.25" hidden="false" customHeight="true" outlineLevel="0" collapsed="false">
      <c r="A164" s="19"/>
      <c r="B164" s="19" t="str">
        <f aca="false">IF(A164="","",A164+6)</f>
        <v/>
      </c>
      <c r="C164" s="20"/>
      <c r="D164" s="18" t="str">
        <f aca="false">IFERROR(INDEX('Operator Master'!$B$5:$B$504,MATCH(C164,'Operator Master'!$A$5:$A$504,0)),"")</f>
        <v/>
      </c>
      <c r="E164" s="20"/>
      <c r="F164" s="18"/>
      <c r="G164" s="18"/>
    </row>
    <row r="165" customFormat="false" ht="14.25" hidden="false" customHeight="true" outlineLevel="0" collapsed="false">
      <c r="A165" s="19"/>
      <c r="B165" s="19" t="str">
        <f aca="false">IF(A165="","",A165+6)</f>
        <v/>
      </c>
      <c r="C165" s="20"/>
      <c r="D165" s="18" t="str">
        <f aca="false">IFERROR(INDEX('Operator Master'!$B$5:$B$504,MATCH(C165,'Operator Master'!$A$5:$A$504,0)),"")</f>
        <v/>
      </c>
      <c r="E165" s="20"/>
      <c r="F165" s="18"/>
      <c r="G165" s="18"/>
    </row>
    <row r="166" customFormat="false" ht="14.25" hidden="false" customHeight="true" outlineLevel="0" collapsed="false">
      <c r="A166" s="19"/>
      <c r="B166" s="19" t="str">
        <f aca="false">IF(A166="","",A166+6)</f>
        <v/>
      </c>
      <c r="C166" s="20"/>
      <c r="D166" s="18" t="str">
        <f aca="false">IFERROR(INDEX('Operator Master'!$B$5:$B$504,MATCH(C166,'Operator Master'!$A$5:$A$504,0)),"")</f>
        <v/>
      </c>
      <c r="E166" s="20"/>
      <c r="F166" s="18"/>
      <c r="G166" s="18"/>
    </row>
    <row r="167" customFormat="false" ht="14.25" hidden="false" customHeight="true" outlineLevel="0" collapsed="false">
      <c r="A167" s="19"/>
      <c r="B167" s="19" t="str">
        <f aca="false">IF(A167="","",A167+6)</f>
        <v/>
      </c>
      <c r="C167" s="20"/>
      <c r="D167" s="18" t="str">
        <f aca="false">IFERROR(INDEX('Operator Master'!$B$5:$B$504,MATCH(C167,'Operator Master'!$A$5:$A$504,0)),"")</f>
        <v/>
      </c>
      <c r="E167" s="20"/>
      <c r="F167" s="18"/>
      <c r="G167" s="18"/>
    </row>
    <row r="168" customFormat="false" ht="14.25" hidden="false" customHeight="true" outlineLevel="0" collapsed="false">
      <c r="A168" s="19"/>
      <c r="B168" s="19" t="str">
        <f aca="false">IF(A168="","",A168+6)</f>
        <v/>
      </c>
      <c r="C168" s="20"/>
      <c r="D168" s="18" t="str">
        <f aca="false">IFERROR(INDEX('Operator Master'!$B$5:$B$504,MATCH(C168,'Operator Master'!$A$5:$A$504,0)),"")</f>
        <v/>
      </c>
      <c r="E168" s="20"/>
      <c r="F168" s="18"/>
      <c r="G168" s="18"/>
    </row>
    <row r="169" customFormat="false" ht="14.25" hidden="false" customHeight="true" outlineLevel="0" collapsed="false">
      <c r="A169" s="19"/>
      <c r="B169" s="19" t="str">
        <f aca="false">IF(A169="","",A169+6)</f>
        <v/>
      </c>
      <c r="C169" s="20"/>
      <c r="D169" s="18" t="str">
        <f aca="false">IFERROR(INDEX('Operator Master'!$B$5:$B$504,MATCH(C169,'Operator Master'!$A$5:$A$504,0)),"")</f>
        <v/>
      </c>
      <c r="E169" s="20"/>
      <c r="F169" s="18"/>
      <c r="G169" s="18"/>
    </row>
    <row r="170" customFormat="false" ht="14.25" hidden="false" customHeight="true" outlineLevel="0" collapsed="false">
      <c r="A170" s="19"/>
      <c r="B170" s="19" t="str">
        <f aca="false">IF(A170="","",A170+6)</f>
        <v/>
      </c>
      <c r="C170" s="20"/>
      <c r="D170" s="18" t="str">
        <f aca="false">IFERROR(INDEX('Operator Master'!$B$5:$B$504,MATCH(C170,'Operator Master'!$A$5:$A$504,0)),"")</f>
        <v/>
      </c>
      <c r="E170" s="20"/>
      <c r="F170" s="18"/>
      <c r="G170" s="18"/>
    </row>
    <row r="171" customFormat="false" ht="14.25" hidden="false" customHeight="true" outlineLevel="0" collapsed="false">
      <c r="A171" s="19"/>
      <c r="B171" s="19" t="str">
        <f aca="false">IF(A171="","",A171+6)</f>
        <v/>
      </c>
      <c r="C171" s="20"/>
      <c r="D171" s="18" t="str">
        <f aca="false">IFERROR(INDEX('Operator Master'!$B$5:$B$504,MATCH(C171,'Operator Master'!$A$5:$A$504,0)),"")</f>
        <v/>
      </c>
      <c r="E171" s="20"/>
      <c r="F171" s="18"/>
      <c r="G171" s="18"/>
    </row>
    <row r="172" customFormat="false" ht="14.25" hidden="false" customHeight="true" outlineLevel="0" collapsed="false">
      <c r="A172" s="19"/>
      <c r="B172" s="19" t="str">
        <f aca="false">IF(A172="","",A172+6)</f>
        <v/>
      </c>
      <c r="C172" s="20"/>
      <c r="D172" s="18" t="str">
        <f aca="false">IFERROR(INDEX('Operator Master'!$B$5:$B$504,MATCH(C172,'Operator Master'!$A$5:$A$504,0)),"")</f>
        <v/>
      </c>
      <c r="E172" s="20"/>
      <c r="F172" s="18"/>
      <c r="G172" s="18"/>
    </row>
    <row r="173" customFormat="false" ht="14.25" hidden="false" customHeight="true" outlineLevel="0" collapsed="false">
      <c r="A173" s="19"/>
      <c r="B173" s="19" t="str">
        <f aca="false">IF(A173="","",A173+6)</f>
        <v/>
      </c>
      <c r="C173" s="20"/>
      <c r="D173" s="18" t="str">
        <f aca="false">IFERROR(INDEX('Operator Master'!$B$5:$B$504,MATCH(C173,'Operator Master'!$A$5:$A$504,0)),"")</f>
        <v/>
      </c>
      <c r="E173" s="20"/>
      <c r="F173" s="18"/>
      <c r="G173" s="18"/>
    </row>
    <row r="174" customFormat="false" ht="14.25" hidden="false" customHeight="true" outlineLevel="0" collapsed="false">
      <c r="A174" s="19"/>
      <c r="B174" s="19" t="str">
        <f aca="false">IF(A174="","",A174+6)</f>
        <v/>
      </c>
      <c r="C174" s="20"/>
      <c r="D174" s="18" t="str">
        <f aca="false">IFERROR(INDEX('Operator Master'!$B$5:$B$504,MATCH(C174,'Operator Master'!$A$5:$A$504,0)),"")</f>
        <v/>
      </c>
      <c r="E174" s="20"/>
      <c r="F174" s="18"/>
      <c r="G174" s="18"/>
    </row>
    <row r="175" customFormat="false" ht="14.25" hidden="false" customHeight="true" outlineLevel="0" collapsed="false">
      <c r="A175" s="19"/>
      <c r="B175" s="19" t="str">
        <f aca="false">IF(A175="","",A175+6)</f>
        <v/>
      </c>
      <c r="C175" s="20"/>
      <c r="D175" s="18" t="str">
        <f aca="false">IFERROR(INDEX('Operator Master'!$B$5:$B$504,MATCH(C175,'Operator Master'!$A$5:$A$504,0)),"")</f>
        <v/>
      </c>
      <c r="E175" s="20"/>
      <c r="F175" s="18"/>
      <c r="G175" s="18"/>
    </row>
    <row r="176" customFormat="false" ht="14.25" hidden="false" customHeight="true" outlineLevel="0" collapsed="false">
      <c r="A176" s="19"/>
      <c r="B176" s="19" t="str">
        <f aca="false">IF(A176="","",A176+6)</f>
        <v/>
      </c>
      <c r="C176" s="20"/>
      <c r="D176" s="18" t="str">
        <f aca="false">IFERROR(INDEX('Operator Master'!$B$5:$B$504,MATCH(C176,'Operator Master'!$A$5:$A$504,0)),"")</f>
        <v/>
      </c>
      <c r="E176" s="20"/>
      <c r="F176" s="18"/>
      <c r="G176" s="18"/>
    </row>
    <row r="177" customFormat="false" ht="14.25" hidden="false" customHeight="true" outlineLevel="0" collapsed="false">
      <c r="A177" s="19"/>
      <c r="B177" s="19" t="str">
        <f aca="false">IF(A177="","",A177+6)</f>
        <v/>
      </c>
      <c r="C177" s="20"/>
      <c r="D177" s="18" t="str">
        <f aca="false">IFERROR(INDEX('Operator Master'!$B$5:$B$504,MATCH(C177,'Operator Master'!$A$5:$A$504,0)),"")</f>
        <v/>
      </c>
      <c r="E177" s="20"/>
      <c r="F177" s="18"/>
      <c r="G177" s="18"/>
    </row>
    <row r="178" customFormat="false" ht="14.25" hidden="false" customHeight="true" outlineLevel="0" collapsed="false">
      <c r="A178" s="19"/>
      <c r="B178" s="19" t="str">
        <f aca="false">IF(A178="","",A178+6)</f>
        <v/>
      </c>
      <c r="C178" s="20"/>
      <c r="D178" s="18" t="str">
        <f aca="false">IFERROR(INDEX('Operator Master'!$B$5:$B$504,MATCH(C178,'Operator Master'!$A$5:$A$504,0)),"")</f>
        <v/>
      </c>
      <c r="E178" s="20"/>
      <c r="F178" s="18"/>
      <c r="G178" s="18"/>
    </row>
    <row r="179" customFormat="false" ht="14.25" hidden="false" customHeight="true" outlineLevel="0" collapsed="false">
      <c r="A179" s="19"/>
      <c r="B179" s="19" t="str">
        <f aca="false">IF(A179="","",A179+6)</f>
        <v/>
      </c>
      <c r="C179" s="20"/>
      <c r="D179" s="18" t="str">
        <f aca="false">IFERROR(INDEX('Operator Master'!$B$5:$B$504,MATCH(C179,'Operator Master'!$A$5:$A$504,0)),"")</f>
        <v/>
      </c>
      <c r="E179" s="20"/>
      <c r="F179" s="18"/>
      <c r="G179" s="18"/>
    </row>
    <row r="180" customFormat="false" ht="14.25" hidden="false" customHeight="true" outlineLevel="0" collapsed="false">
      <c r="A180" s="19"/>
      <c r="B180" s="19" t="str">
        <f aca="false">IF(A180="","",A180+6)</f>
        <v/>
      </c>
      <c r="C180" s="20"/>
      <c r="D180" s="18" t="str">
        <f aca="false">IFERROR(INDEX('Operator Master'!$B$5:$B$504,MATCH(C180,'Operator Master'!$A$5:$A$504,0)),"")</f>
        <v/>
      </c>
      <c r="E180" s="20"/>
      <c r="F180" s="18"/>
      <c r="G180" s="18"/>
    </row>
    <row r="181" customFormat="false" ht="14.25" hidden="false" customHeight="true" outlineLevel="0" collapsed="false">
      <c r="A181" s="19"/>
      <c r="B181" s="19" t="str">
        <f aca="false">IF(A181="","",A181+6)</f>
        <v/>
      </c>
      <c r="C181" s="20"/>
      <c r="D181" s="18" t="str">
        <f aca="false">IFERROR(INDEX('Operator Master'!$B$5:$B$504,MATCH(C181,'Operator Master'!$A$5:$A$504,0)),"")</f>
        <v/>
      </c>
      <c r="E181" s="20"/>
      <c r="F181" s="18"/>
      <c r="G181" s="18"/>
    </row>
    <row r="182" customFormat="false" ht="14.25" hidden="false" customHeight="true" outlineLevel="0" collapsed="false">
      <c r="A182" s="19"/>
      <c r="B182" s="19" t="str">
        <f aca="false">IF(A182="","",A182+6)</f>
        <v/>
      </c>
      <c r="C182" s="20"/>
      <c r="D182" s="18" t="str">
        <f aca="false">IFERROR(INDEX('Operator Master'!$B$5:$B$504,MATCH(C182,'Operator Master'!$A$5:$A$504,0)),"")</f>
        <v/>
      </c>
      <c r="E182" s="20"/>
      <c r="F182" s="18"/>
      <c r="G182" s="18"/>
    </row>
    <row r="183" customFormat="false" ht="14.25" hidden="false" customHeight="true" outlineLevel="0" collapsed="false">
      <c r="A183" s="19"/>
      <c r="B183" s="19" t="str">
        <f aca="false">IF(A183="","",A183+6)</f>
        <v/>
      </c>
      <c r="C183" s="20"/>
      <c r="D183" s="18" t="str">
        <f aca="false">IFERROR(INDEX('Operator Master'!$B$5:$B$504,MATCH(C183,'Operator Master'!$A$5:$A$504,0)),"")</f>
        <v/>
      </c>
      <c r="E183" s="20"/>
      <c r="F183" s="18"/>
      <c r="G183" s="18"/>
    </row>
    <row r="184" customFormat="false" ht="14.25" hidden="false" customHeight="true" outlineLevel="0" collapsed="false">
      <c r="A184" s="19"/>
      <c r="B184" s="19" t="str">
        <f aca="false">IF(A184="","",A184+6)</f>
        <v/>
      </c>
      <c r="C184" s="20"/>
      <c r="D184" s="18" t="str">
        <f aca="false">IFERROR(INDEX('Operator Master'!$B$5:$B$504,MATCH(C184,'Operator Master'!$A$5:$A$504,0)),"")</f>
        <v/>
      </c>
      <c r="E184" s="20"/>
      <c r="F184" s="18"/>
      <c r="G184" s="18"/>
    </row>
    <row r="185" customFormat="false" ht="14.25" hidden="false" customHeight="true" outlineLevel="0" collapsed="false">
      <c r="A185" s="19"/>
      <c r="B185" s="19" t="str">
        <f aca="false">IF(A185="","",A185+6)</f>
        <v/>
      </c>
      <c r="C185" s="20"/>
      <c r="D185" s="18" t="str">
        <f aca="false">IFERROR(INDEX('Operator Master'!$B$5:$B$504,MATCH(C185,'Operator Master'!$A$5:$A$504,0)),"")</f>
        <v/>
      </c>
      <c r="E185" s="20"/>
      <c r="F185" s="18"/>
      <c r="G185" s="18"/>
    </row>
    <row r="186" customFormat="false" ht="14.25" hidden="false" customHeight="true" outlineLevel="0" collapsed="false">
      <c r="A186" s="19"/>
      <c r="B186" s="19" t="str">
        <f aca="false">IF(A186="","",A186+6)</f>
        <v/>
      </c>
      <c r="C186" s="20"/>
      <c r="D186" s="18" t="str">
        <f aca="false">IFERROR(INDEX('Operator Master'!$B$5:$B$504,MATCH(C186,'Operator Master'!$A$5:$A$504,0)),"")</f>
        <v/>
      </c>
      <c r="E186" s="20"/>
      <c r="F186" s="18"/>
      <c r="G186" s="18"/>
    </row>
    <row r="187" customFormat="false" ht="14.25" hidden="false" customHeight="true" outlineLevel="0" collapsed="false">
      <c r="A187" s="19"/>
      <c r="B187" s="19" t="str">
        <f aca="false">IF(A187="","",A187+6)</f>
        <v/>
      </c>
      <c r="C187" s="20"/>
      <c r="D187" s="18" t="str">
        <f aca="false">IFERROR(INDEX('Operator Master'!$B$5:$B$504,MATCH(C187,'Operator Master'!$A$5:$A$504,0)),"")</f>
        <v/>
      </c>
      <c r="E187" s="20"/>
      <c r="F187" s="18"/>
      <c r="G187" s="18"/>
    </row>
    <row r="188" customFormat="false" ht="14.25" hidden="false" customHeight="true" outlineLevel="0" collapsed="false">
      <c r="A188" s="19"/>
      <c r="B188" s="19" t="str">
        <f aca="false">IF(A188="","",A188+6)</f>
        <v/>
      </c>
      <c r="C188" s="20"/>
      <c r="D188" s="18" t="str">
        <f aca="false">IFERROR(INDEX('Operator Master'!$B$5:$B$504,MATCH(C188,'Operator Master'!$A$5:$A$504,0)),"")</f>
        <v/>
      </c>
      <c r="E188" s="20"/>
      <c r="F188" s="18"/>
      <c r="G188" s="18"/>
    </row>
    <row r="189" customFormat="false" ht="14.25" hidden="false" customHeight="true" outlineLevel="0" collapsed="false">
      <c r="A189" s="19"/>
      <c r="B189" s="19" t="str">
        <f aca="false">IF(A189="","",A189+6)</f>
        <v/>
      </c>
      <c r="C189" s="20"/>
      <c r="D189" s="18" t="str">
        <f aca="false">IFERROR(INDEX('Operator Master'!$B$5:$B$504,MATCH(C189,'Operator Master'!$A$5:$A$504,0)),"")</f>
        <v/>
      </c>
      <c r="E189" s="20"/>
      <c r="F189" s="18"/>
      <c r="G189" s="18"/>
    </row>
    <row r="190" customFormat="false" ht="14.25" hidden="false" customHeight="true" outlineLevel="0" collapsed="false">
      <c r="A190" s="19"/>
      <c r="B190" s="19" t="str">
        <f aca="false">IF(A190="","",A190+6)</f>
        <v/>
      </c>
      <c r="C190" s="20"/>
      <c r="D190" s="18" t="str">
        <f aca="false">IFERROR(INDEX('Operator Master'!$B$5:$B$504,MATCH(C190,'Operator Master'!$A$5:$A$504,0)),"")</f>
        <v/>
      </c>
      <c r="E190" s="20"/>
      <c r="F190" s="18"/>
      <c r="G190" s="18"/>
    </row>
    <row r="191" customFormat="false" ht="14.25" hidden="false" customHeight="true" outlineLevel="0" collapsed="false">
      <c r="A191" s="19"/>
      <c r="B191" s="19" t="str">
        <f aca="false">IF(A191="","",A191+6)</f>
        <v/>
      </c>
      <c r="C191" s="20"/>
      <c r="D191" s="18" t="str">
        <f aca="false">IFERROR(INDEX('Operator Master'!$B$5:$B$504,MATCH(C191,'Operator Master'!$A$5:$A$504,0)),"")</f>
        <v/>
      </c>
      <c r="E191" s="20"/>
      <c r="F191" s="18"/>
      <c r="G191" s="18"/>
    </row>
    <row r="192" customFormat="false" ht="14.25" hidden="false" customHeight="true" outlineLevel="0" collapsed="false">
      <c r="A192" s="19"/>
      <c r="B192" s="19" t="str">
        <f aca="false">IF(A192="","",A192+6)</f>
        <v/>
      </c>
      <c r="C192" s="20"/>
      <c r="D192" s="18" t="str">
        <f aca="false">IFERROR(INDEX('Operator Master'!$B$5:$B$504,MATCH(C192,'Operator Master'!$A$5:$A$504,0)),"")</f>
        <v/>
      </c>
      <c r="E192" s="20"/>
      <c r="F192" s="18"/>
      <c r="G192" s="18"/>
    </row>
    <row r="193" customFormat="false" ht="14.25" hidden="false" customHeight="true" outlineLevel="0" collapsed="false">
      <c r="A193" s="19"/>
      <c r="B193" s="19" t="str">
        <f aca="false">IF(A193="","",A193+6)</f>
        <v/>
      </c>
      <c r="C193" s="20"/>
      <c r="D193" s="18" t="str">
        <f aca="false">IFERROR(INDEX('Operator Master'!$B$5:$B$504,MATCH(C193,'Operator Master'!$A$5:$A$504,0)),"")</f>
        <v/>
      </c>
      <c r="E193" s="20"/>
      <c r="F193" s="18"/>
      <c r="G193" s="18"/>
    </row>
    <row r="194" customFormat="false" ht="14.25" hidden="false" customHeight="true" outlineLevel="0" collapsed="false">
      <c r="A194" s="19"/>
      <c r="B194" s="19" t="str">
        <f aca="false">IF(A194="","",A194+6)</f>
        <v/>
      </c>
      <c r="C194" s="20"/>
      <c r="D194" s="18" t="str">
        <f aca="false">IFERROR(INDEX('Operator Master'!$B$5:$B$504,MATCH(C194,'Operator Master'!$A$5:$A$504,0)),"")</f>
        <v/>
      </c>
      <c r="E194" s="20"/>
      <c r="F194" s="18"/>
      <c r="G194" s="18"/>
    </row>
    <row r="195" customFormat="false" ht="14.25" hidden="false" customHeight="true" outlineLevel="0" collapsed="false">
      <c r="A195" s="19"/>
      <c r="B195" s="19" t="str">
        <f aca="false">IF(A195="","",A195+6)</f>
        <v/>
      </c>
      <c r="C195" s="20"/>
      <c r="D195" s="18" t="str">
        <f aca="false">IFERROR(INDEX('Operator Master'!$B$5:$B$504,MATCH(C195,'Operator Master'!$A$5:$A$504,0)),"")</f>
        <v/>
      </c>
      <c r="E195" s="20"/>
      <c r="F195" s="18"/>
      <c r="G195" s="18"/>
    </row>
    <row r="196" customFormat="false" ht="14.25" hidden="false" customHeight="true" outlineLevel="0" collapsed="false">
      <c r="A196" s="19"/>
      <c r="B196" s="19" t="str">
        <f aca="false">IF(A196="","",A196+6)</f>
        <v/>
      </c>
      <c r="C196" s="20"/>
      <c r="D196" s="18" t="str">
        <f aca="false">IFERROR(INDEX('Operator Master'!$B$5:$B$504,MATCH(C196,'Operator Master'!$A$5:$A$504,0)),"")</f>
        <v/>
      </c>
      <c r="E196" s="20"/>
      <c r="F196" s="18"/>
      <c r="G196" s="18"/>
    </row>
    <row r="197" customFormat="false" ht="14.25" hidden="false" customHeight="true" outlineLevel="0" collapsed="false">
      <c r="A197" s="19"/>
      <c r="B197" s="19" t="str">
        <f aca="false">IF(A197="","",A197+6)</f>
        <v/>
      </c>
      <c r="C197" s="20"/>
      <c r="D197" s="18" t="str">
        <f aca="false">IFERROR(INDEX('Operator Master'!$B$5:$B$504,MATCH(C197,'Operator Master'!$A$5:$A$504,0)),"")</f>
        <v/>
      </c>
      <c r="E197" s="20"/>
      <c r="F197" s="18"/>
      <c r="G197" s="18"/>
    </row>
    <row r="198" customFormat="false" ht="14.25" hidden="false" customHeight="true" outlineLevel="0" collapsed="false">
      <c r="A198" s="19"/>
      <c r="B198" s="19" t="str">
        <f aca="false">IF(A198="","",A198+6)</f>
        <v/>
      </c>
      <c r="C198" s="20"/>
      <c r="D198" s="18" t="str">
        <f aca="false">IFERROR(INDEX('Operator Master'!$B$5:$B$504,MATCH(C198,'Operator Master'!$A$5:$A$504,0)),"")</f>
        <v/>
      </c>
      <c r="E198" s="20"/>
      <c r="F198" s="18"/>
      <c r="G198" s="18"/>
    </row>
    <row r="199" customFormat="false" ht="14.25" hidden="false" customHeight="true" outlineLevel="0" collapsed="false">
      <c r="A199" s="19"/>
      <c r="B199" s="19" t="str">
        <f aca="false">IF(A199="","",A199+6)</f>
        <v/>
      </c>
      <c r="C199" s="20"/>
      <c r="D199" s="18" t="str">
        <f aca="false">IFERROR(INDEX('Operator Master'!$B$5:$B$504,MATCH(C199,'Operator Master'!$A$5:$A$504,0)),"")</f>
        <v/>
      </c>
      <c r="E199" s="20"/>
      <c r="F199" s="18"/>
      <c r="G199" s="18"/>
    </row>
    <row r="200" customFormat="false" ht="14.25" hidden="false" customHeight="true" outlineLevel="0" collapsed="false">
      <c r="A200" s="19"/>
      <c r="B200" s="19" t="str">
        <f aca="false">IF(A200="","",A200+6)</f>
        <v/>
      </c>
      <c r="C200" s="20"/>
      <c r="D200" s="18" t="str">
        <f aca="false">IFERROR(INDEX('Operator Master'!$B$5:$B$504,MATCH(C200,'Operator Master'!$A$5:$A$504,0)),"")</f>
        <v/>
      </c>
      <c r="E200" s="20"/>
      <c r="F200" s="18"/>
      <c r="G200" s="18"/>
    </row>
    <row r="201" customFormat="false" ht="14.25" hidden="false" customHeight="true" outlineLevel="0" collapsed="false">
      <c r="A201" s="19"/>
      <c r="B201" s="19" t="str">
        <f aca="false">IF(A201="","",A201+6)</f>
        <v/>
      </c>
      <c r="C201" s="20"/>
      <c r="D201" s="18" t="str">
        <f aca="false">IFERROR(INDEX('Operator Master'!$B$5:$B$504,MATCH(C201,'Operator Master'!$A$5:$A$504,0)),"")</f>
        <v/>
      </c>
      <c r="E201" s="20"/>
      <c r="F201" s="18"/>
      <c r="G201" s="18"/>
    </row>
    <row r="202" customFormat="false" ht="14.25" hidden="false" customHeight="true" outlineLevel="0" collapsed="false">
      <c r="A202" s="19"/>
      <c r="B202" s="19" t="str">
        <f aca="false">IF(A202="","",A202+6)</f>
        <v/>
      </c>
      <c r="C202" s="20"/>
      <c r="D202" s="18" t="str">
        <f aca="false">IFERROR(INDEX('Operator Master'!$B$5:$B$504,MATCH(C202,'Operator Master'!$A$5:$A$504,0)),"")</f>
        <v/>
      </c>
      <c r="E202" s="20"/>
      <c r="F202" s="18"/>
      <c r="G202" s="18"/>
    </row>
    <row r="203" customFormat="false" ht="14.25" hidden="false" customHeight="true" outlineLevel="0" collapsed="false">
      <c r="A203" s="19"/>
      <c r="B203" s="19" t="str">
        <f aca="false">IF(A203="","",A203+6)</f>
        <v/>
      </c>
      <c r="C203" s="20"/>
      <c r="D203" s="18" t="str">
        <f aca="false">IFERROR(INDEX('Operator Master'!$B$5:$B$504,MATCH(C203,'Operator Master'!$A$5:$A$504,0)),"")</f>
        <v/>
      </c>
      <c r="E203" s="20"/>
      <c r="F203" s="18"/>
      <c r="G203" s="18"/>
    </row>
    <row r="204" customFormat="false" ht="14.25" hidden="false" customHeight="true" outlineLevel="0" collapsed="false">
      <c r="A204" s="19"/>
      <c r="B204" s="19" t="str">
        <f aca="false">IF(A204="","",A204+6)</f>
        <v/>
      </c>
      <c r="C204" s="20"/>
      <c r="D204" s="18" t="str">
        <f aca="false">IFERROR(INDEX('Operator Master'!$B$5:$B$504,MATCH(C204,'Operator Master'!$A$5:$A$504,0)),"")</f>
        <v/>
      </c>
      <c r="E204" s="20"/>
      <c r="F204" s="18"/>
      <c r="G204" s="18"/>
    </row>
    <row r="205" customFormat="false" ht="14.25" hidden="false" customHeight="true" outlineLevel="0" collapsed="false">
      <c r="A205" s="19"/>
      <c r="B205" s="19" t="str">
        <f aca="false">IF(A205="","",A205+6)</f>
        <v/>
      </c>
      <c r="C205" s="20"/>
      <c r="D205" s="18" t="str">
        <f aca="false">IFERROR(INDEX('Operator Master'!$B$5:$B$504,MATCH(C205,'Operator Master'!$A$5:$A$504,0)),"")</f>
        <v/>
      </c>
      <c r="E205" s="20"/>
      <c r="F205" s="18"/>
      <c r="G205" s="18"/>
    </row>
    <row r="206" customFormat="false" ht="14.25" hidden="false" customHeight="true" outlineLevel="0" collapsed="false">
      <c r="A206" s="19"/>
      <c r="B206" s="19" t="str">
        <f aca="false">IF(A206="","",A206+6)</f>
        <v/>
      </c>
      <c r="C206" s="20"/>
      <c r="D206" s="18" t="str">
        <f aca="false">IFERROR(INDEX('Operator Master'!$B$5:$B$504,MATCH(C206,'Operator Master'!$A$5:$A$504,0)),"")</f>
        <v/>
      </c>
      <c r="E206" s="20"/>
      <c r="F206" s="18"/>
      <c r="G206" s="18"/>
    </row>
    <row r="207" customFormat="false" ht="14.25" hidden="false" customHeight="true" outlineLevel="0" collapsed="false">
      <c r="A207" s="19"/>
      <c r="B207" s="19" t="str">
        <f aca="false">IF(A207="","",A207+6)</f>
        <v/>
      </c>
      <c r="C207" s="20"/>
      <c r="D207" s="18" t="str">
        <f aca="false">IFERROR(INDEX('Operator Master'!$B$5:$B$504,MATCH(C207,'Operator Master'!$A$5:$A$504,0)),"")</f>
        <v/>
      </c>
      <c r="E207" s="20"/>
      <c r="F207" s="18"/>
      <c r="G207" s="18"/>
    </row>
    <row r="208" customFormat="false" ht="14.25" hidden="false" customHeight="true" outlineLevel="0" collapsed="false">
      <c r="A208" s="19"/>
      <c r="B208" s="19" t="str">
        <f aca="false">IF(A208="","",A208+6)</f>
        <v/>
      </c>
      <c r="C208" s="20"/>
      <c r="D208" s="18" t="str">
        <f aca="false">IFERROR(INDEX('Operator Master'!$B$5:$B$504,MATCH(C208,'Operator Master'!$A$5:$A$504,0)),"")</f>
        <v/>
      </c>
      <c r="E208" s="20"/>
      <c r="F208" s="18"/>
      <c r="G208" s="18"/>
    </row>
    <row r="209" customFormat="false" ht="14.25" hidden="false" customHeight="true" outlineLevel="0" collapsed="false">
      <c r="A209" s="19"/>
      <c r="B209" s="19" t="str">
        <f aca="false">IF(A209="","",A209+6)</f>
        <v/>
      </c>
      <c r="C209" s="20"/>
      <c r="D209" s="18" t="str">
        <f aca="false">IFERROR(INDEX('Operator Master'!$B$5:$B$504,MATCH(C209,'Operator Master'!$A$5:$A$504,0)),"")</f>
        <v/>
      </c>
      <c r="E209" s="20"/>
      <c r="F209" s="18"/>
      <c r="G209" s="18"/>
    </row>
    <row r="210" customFormat="false" ht="14.25" hidden="false" customHeight="true" outlineLevel="0" collapsed="false">
      <c r="A210" s="19"/>
      <c r="B210" s="19" t="str">
        <f aca="false">IF(A210="","",A210+6)</f>
        <v/>
      </c>
      <c r="C210" s="20"/>
      <c r="D210" s="18" t="str">
        <f aca="false">IFERROR(INDEX('Operator Master'!$B$5:$B$504,MATCH(C210,'Operator Master'!$A$5:$A$504,0)),"")</f>
        <v/>
      </c>
      <c r="E210" s="20"/>
      <c r="F210" s="18"/>
      <c r="G210" s="18"/>
    </row>
    <row r="211" customFormat="false" ht="14.25" hidden="false" customHeight="true" outlineLevel="0" collapsed="false">
      <c r="A211" s="19"/>
      <c r="B211" s="19" t="str">
        <f aca="false">IF(A211="","",A211+6)</f>
        <v/>
      </c>
      <c r="C211" s="20"/>
      <c r="D211" s="18" t="str">
        <f aca="false">IFERROR(INDEX('Operator Master'!$B$5:$B$504,MATCH(C211,'Operator Master'!$A$5:$A$504,0)),"")</f>
        <v/>
      </c>
      <c r="E211" s="20"/>
      <c r="F211" s="18"/>
      <c r="G211" s="18"/>
    </row>
    <row r="212" customFormat="false" ht="14.25" hidden="false" customHeight="true" outlineLevel="0" collapsed="false">
      <c r="A212" s="19"/>
      <c r="B212" s="19" t="str">
        <f aca="false">IF(A212="","",A212+6)</f>
        <v/>
      </c>
      <c r="C212" s="20"/>
      <c r="D212" s="18" t="str">
        <f aca="false">IFERROR(INDEX('Operator Master'!$B$5:$B$504,MATCH(C212,'Operator Master'!$A$5:$A$504,0)),"")</f>
        <v/>
      </c>
      <c r="E212" s="20"/>
      <c r="F212" s="18"/>
      <c r="G212" s="18"/>
    </row>
    <row r="213" customFormat="false" ht="14.25" hidden="false" customHeight="true" outlineLevel="0" collapsed="false">
      <c r="A213" s="19"/>
      <c r="B213" s="19" t="str">
        <f aca="false">IF(A213="","",A213+6)</f>
        <v/>
      </c>
      <c r="C213" s="20"/>
      <c r="D213" s="18" t="str">
        <f aca="false">IFERROR(INDEX('Operator Master'!$B$5:$B$504,MATCH(C213,'Operator Master'!$A$5:$A$504,0)),"")</f>
        <v/>
      </c>
      <c r="E213" s="20"/>
      <c r="F213" s="18"/>
      <c r="G213" s="18"/>
    </row>
    <row r="214" customFormat="false" ht="14.25" hidden="false" customHeight="true" outlineLevel="0" collapsed="false">
      <c r="A214" s="19"/>
      <c r="B214" s="19" t="str">
        <f aca="false">IF(A214="","",A214+6)</f>
        <v/>
      </c>
      <c r="C214" s="20"/>
      <c r="D214" s="18" t="str">
        <f aca="false">IFERROR(INDEX('Operator Master'!$B$5:$B$504,MATCH(C214,'Operator Master'!$A$5:$A$504,0)),"")</f>
        <v/>
      </c>
      <c r="E214" s="20"/>
      <c r="F214" s="18"/>
      <c r="G214" s="18"/>
    </row>
    <row r="215" customFormat="false" ht="14.25" hidden="false" customHeight="true" outlineLevel="0" collapsed="false">
      <c r="A215" s="19"/>
      <c r="B215" s="19" t="str">
        <f aca="false">IF(A215="","",A215+6)</f>
        <v/>
      </c>
      <c r="C215" s="20"/>
      <c r="D215" s="18" t="str">
        <f aca="false">IFERROR(INDEX('Operator Master'!$B$5:$B$504,MATCH(C215,'Operator Master'!$A$5:$A$504,0)),"")</f>
        <v/>
      </c>
      <c r="E215" s="20"/>
      <c r="F215" s="18"/>
      <c r="G215" s="18"/>
    </row>
    <row r="216" customFormat="false" ht="14.25" hidden="false" customHeight="true" outlineLevel="0" collapsed="false">
      <c r="A216" s="19"/>
      <c r="B216" s="19" t="str">
        <f aca="false">IF(A216="","",A216+6)</f>
        <v/>
      </c>
      <c r="C216" s="20"/>
      <c r="D216" s="18" t="str">
        <f aca="false">IFERROR(INDEX('Operator Master'!$B$5:$B$504,MATCH(C216,'Operator Master'!$A$5:$A$504,0)),"")</f>
        <v/>
      </c>
      <c r="E216" s="20"/>
      <c r="F216" s="18"/>
      <c r="G216" s="18"/>
    </row>
    <row r="217" customFormat="false" ht="14.25" hidden="false" customHeight="true" outlineLevel="0" collapsed="false">
      <c r="A217" s="19"/>
      <c r="B217" s="19" t="str">
        <f aca="false">IF(A217="","",A217+6)</f>
        <v/>
      </c>
      <c r="C217" s="20"/>
      <c r="D217" s="18" t="str">
        <f aca="false">IFERROR(INDEX('Operator Master'!$B$5:$B$504,MATCH(C217,'Operator Master'!$A$5:$A$504,0)),"")</f>
        <v/>
      </c>
      <c r="E217" s="20"/>
      <c r="F217" s="18"/>
      <c r="G217" s="18"/>
    </row>
    <row r="218" customFormat="false" ht="14.25" hidden="false" customHeight="true" outlineLevel="0" collapsed="false">
      <c r="A218" s="19"/>
      <c r="B218" s="19" t="str">
        <f aca="false">IF(A218="","",A218+6)</f>
        <v/>
      </c>
      <c r="C218" s="20"/>
      <c r="D218" s="18" t="str">
        <f aca="false">IFERROR(INDEX('Operator Master'!$B$5:$B$504,MATCH(C218,'Operator Master'!$A$5:$A$504,0)),"")</f>
        <v/>
      </c>
      <c r="E218" s="20"/>
      <c r="F218" s="18"/>
      <c r="G218" s="18"/>
    </row>
    <row r="219" customFormat="false" ht="14.25" hidden="false" customHeight="true" outlineLevel="0" collapsed="false">
      <c r="A219" s="19"/>
      <c r="B219" s="19" t="str">
        <f aca="false">IF(A219="","",A219+6)</f>
        <v/>
      </c>
      <c r="C219" s="20"/>
      <c r="D219" s="18" t="str">
        <f aca="false">IFERROR(INDEX('Operator Master'!$B$5:$B$504,MATCH(C219,'Operator Master'!$A$5:$A$504,0)),"")</f>
        <v/>
      </c>
      <c r="E219" s="20"/>
      <c r="F219" s="18"/>
      <c r="G219" s="18"/>
    </row>
    <row r="220" customFormat="false" ht="14.25" hidden="false" customHeight="true" outlineLevel="0" collapsed="false">
      <c r="A220" s="19"/>
      <c r="B220" s="19" t="str">
        <f aca="false">IF(A220="","",A220+6)</f>
        <v/>
      </c>
      <c r="C220" s="20"/>
      <c r="D220" s="18" t="str">
        <f aca="false">IFERROR(INDEX('Operator Master'!$B$5:$B$504,MATCH(C220,'Operator Master'!$A$5:$A$504,0)),"")</f>
        <v/>
      </c>
      <c r="E220" s="20"/>
      <c r="F220" s="18"/>
      <c r="G220" s="18"/>
    </row>
    <row r="221" customFormat="false" ht="14.25" hidden="false" customHeight="true" outlineLevel="0" collapsed="false">
      <c r="A221" s="19"/>
      <c r="B221" s="19" t="str">
        <f aca="false">IF(A221="","",A221+6)</f>
        <v/>
      </c>
      <c r="C221" s="20"/>
      <c r="D221" s="18" t="str">
        <f aca="false">IFERROR(INDEX('Operator Master'!$B$5:$B$504,MATCH(C221,'Operator Master'!$A$5:$A$504,0)),"")</f>
        <v/>
      </c>
      <c r="E221" s="20"/>
      <c r="F221" s="18"/>
      <c r="G221" s="18"/>
    </row>
    <row r="222" customFormat="false" ht="14.25" hidden="false" customHeight="true" outlineLevel="0" collapsed="false">
      <c r="A222" s="19"/>
      <c r="B222" s="19" t="str">
        <f aca="false">IF(A222="","",A222+6)</f>
        <v/>
      </c>
      <c r="C222" s="20"/>
      <c r="D222" s="18" t="str">
        <f aca="false">IFERROR(INDEX('Operator Master'!$B$5:$B$504,MATCH(C222,'Operator Master'!$A$5:$A$504,0)),"")</f>
        <v/>
      </c>
      <c r="E222" s="20"/>
      <c r="F222" s="18"/>
      <c r="G222" s="18"/>
    </row>
    <row r="223" customFormat="false" ht="14.25" hidden="false" customHeight="true" outlineLevel="0" collapsed="false">
      <c r="A223" s="19"/>
      <c r="B223" s="19" t="str">
        <f aca="false">IF(A223="","",A223+6)</f>
        <v/>
      </c>
      <c r="C223" s="20"/>
      <c r="D223" s="18" t="str">
        <f aca="false">IFERROR(INDEX('Operator Master'!$B$5:$B$504,MATCH(C223,'Operator Master'!$A$5:$A$504,0)),"")</f>
        <v/>
      </c>
      <c r="E223" s="20"/>
      <c r="F223" s="18"/>
      <c r="G223" s="18"/>
    </row>
    <row r="224" customFormat="false" ht="14.25" hidden="false" customHeight="true" outlineLevel="0" collapsed="false">
      <c r="A224" s="19"/>
      <c r="B224" s="19" t="str">
        <f aca="false">IF(A224="","",A224+6)</f>
        <v/>
      </c>
      <c r="C224" s="20"/>
      <c r="D224" s="18" t="str">
        <f aca="false">IFERROR(INDEX('Operator Master'!$B$5:$B$504,MATCH(C224,'Operator Master'!$A$5:$A$504,0)),"")</f>
        <v/>
      </c>
      <c r="E224" s="20"/>
      <c r="F224" s="18"/>
      <c r="G224" s="18"/>
    </row>
    <row r="225" customFormat="false" ht="14.25" hidden="false" customHeight="true" outlineLevel="0" collapsed="false">
      <c r="A225" s="19"/>
      <c r="B225" s="19" t="str">
        <f aca="false">IF(A225="","",A225+6)</f>
        <v/>
      </c>
      <c r="C225" s="20"/>
      <c r="D225" s="18" t="str">
        <f aca="false">IFERROR(INDEX('Operator Master'!$B$5:$B$504,MATCH(C225,'Operator Master'!$A$5:$A$504,0)),"")</f>
        <v/>
      </c>
      <c r="E225" s="20"/>
      <c r="F225" s="18"/>
      <c r="G225" s="18"/>
    </row>
    <row r="226" customFormat="false" ht="14.25" hidden="false" customHeight="true" outlineLevel="0" collapsed="false">
      <c r="A226" s="19"/>
      <c r="B226" s="19" t="str">
        <f aca="false">IF(A226="","",A226+6)</f>
        <v/>
      </c>
      <c r="C226" s="20"/>
      <c r="D226" s="18" t="str">
        <f aca="false">IFERROR(INDEX('Operator Master'!$B$5:$B$504,MATCH(C226,'Operator Master'!$A$5:$A$504,0)),"")</f>
        <v/>
      </c>
      <c r="E226" s="20"/>
      <c r="F226" s="18"/>
      <c r="G226" s="18"/>
    </row>
    <row r="227" customFormat="false" ht="14.25" hidden="false" customHeight="true" outlineLevel="0" collapsed="false">
      <c r="A227" s="19"/>
      <c r="B227" s="19" t="str">
        <f aca="false">IF(A227="","",A227+6)</f>
        <v/>
      </c>
      <c r="C227" s="20"/>
      <c r="D227" s="18" t="str">
        <f aca="false">IFERROR(INDEX('Operator Master'!$B$5:$B$504,MATCH(C227,'Operator Master'!$A$5:$A$504,0)),"")</f>
        <v/>
      </c>
      <c r="E227" s="20"/>
      <c r="F227" s="18"/>
      <c r="G227" s="18"/>
    </row>
    <row r="228" customFormat="false" ht="14.25" hidden="false" customHeight="true" outlineLevel="0" collapsed="false">
      <c r="A228" s="19"/>
      <c r="B228" s="19" t="str">
        <f aca="false">IF(A228="","",A228+6)</f>
        <v/>
      </c>
      <c r="C228" s="20"/>
      <c r="D228" s="18" t="str">
        <f aca="false">IFERROR(INDEX('Operator Master'!$B$5:$B$504,MATCH(C228,'Operator Master'!$A$5:$A$504,0)),"")</f>
        <v/>
      </c>
      <c r="E228" s="20"/>
      <c r="F228" s="18"/>
      <c r="G228" s="18"/>
    </row>
    <row r="229" customFormat="false" ht="14.25" hidden="false" customHeight="true" outlineLevel="0" collapsed="false">
      <c r="A229" s="19"/>
      <c r="B229" s="19" t="str">
        <f aca="false">IF(A229="","",A229+6)</f>
        <v/>
      </c>
      <c r="C229" s="20"/>
      <c r="D229" s="18" t="str">
        <f aca="false">IFERROR(INDEX('Operator Master'!$B$5:$B$504,MATCH(C229,'Operator Master'!$A$5:$A$504,0)),"")</f>
        <v/>
      </c>
      <c r="E229" s="20"/>
      <c r="F229" s="18"/>
      <c r="G229" s="18"/>
    </row>
    <row r="230" customFormat="false" ht="14.25" hidden="false" customHeight="true" outlineLevel="0" collapsed="false">
      <c r="A230" s="19"/>
      <c r="B230" s="19" t="str">
        <f aca="false">IF(A230="","",A230+6)</f>
        <v/>
      </c>
      <c r="C230" s="20"/>
      <c r="D230" s="18" t="str">
        <f aca="false">IFERROR(INDEX('Operator Master'!$B$5:$B$504,MATCH(C230,'Operator Master'!$A$5:$A$504,0)),"")</f>
        <v/>
      </c>
      <c r="E230" s="20"/>
      <c r="F230" s="18"/>
      <c r="G230" s="18"/>
    </row>
    <row r="231" customFormat="false" ht="14.25" hidden="false" customHeight="true" outlineLevel="0" collapsed="false">
      <c r="A231" s="19"/>
      <c r="B231" s="19" t="str">
        <f aca="false">IF(A231="","",A231+6)</f>
        <v/>
      </c>
      <c r="C231" s="20"/>
      <c r="D231" s="18" t="str">
        <f aca="false">IFERROR(INDEX('Operator Master'!$B$5:$B$504,MATCH(C231,'Operator Master'!$A$5:$A$504,0)),"")</f>
        <v/>
      </c>
      <c r="E231" s="20"/>
      <c r="F231" s="18"/>
      <c r="G231" s="18"/>
    </row>
    <row r="232" customFormat="false" ht="14.25" hidden="false" customHeight="true" outlineLevel="0" collapsed="false">
      <c r="A232" s="19"/>
      <c r="B232" s="19" t="str">
        <f aca="false">IF(A232="","",A232+6)</f>
        <v/>
      </c>
      <c r="C232" s="20"/>
      <c r="D232" s="18" t="str">
        <f aca="false">IFERROR(INDEX('Operator Master'!$B$5:$B$504,MATCH(C232,'Operator Master'!$A$5:$A$504,0)),"")</f>
        <v/>
      </c>
      <c r="E232" s="20"/>
      <c r="F232" s="18"/>
      <c r="G232" s="18"/>
    </row>
    <row r="233" customFormat="false" ht="14.25" hidden="false" customHeight="true" outlineLevel="0" collapsed="false">
      <c r="A233" s="19"/>
      <c r="B233" s="19" t="str">
        <f aca="false">IF(A233="","",A233+6)</f>
        <v/>
      </c>
      <c r="C233" s="20"/>
      <c r="D233" s="18" t="str">
        <f aca="false">IFERROR(INDEX('Operator Master'!$B$5:$B$504,MATCH(C233,'Operator Master'!$A$5:$A$504,0)),"")</f>
        <v/>
      </c>
      <c r="E233" s="20"/>
      <c r="F233" s="18"/>
      <c r="G233" s="18"/>
    </row>
    <row r="234" customFormat="false" ht="14.25" hidden="false" customHeight="true" outlineLevel="0" collapsed="false">
      <c r="A234" s="19"/>
      <c r="B234" s="19" t="str">
        <f aca="false">IF(A234="","",A234+6)</f>
        <v/>
      </c>
      <c r="C234" s="20"/>
      <c r="D234" s="18" t="str">
        <f aca="false">IFERROR(INDEX('Operator Master'!$B$5:$B$504,MATCH(C234,'Operator Master'!$A$5:$A$504,0)),"")</f>
        <v/>
      </c>
      <c r="E234" s="20"/>
      <c r="F234" s="18"/>
      <c r="G234" s="18"/>
    </row>
    <row r="235" customFormat="false" ht="14.25" hidden="false" customHeight="true" outlineLevel="0" collapsed="false">
      <c r="A235" s="19"/>
      <c r="B235" s="19" t="str">
        <f aca="false">IF(A235="","",A235+6)</f>
        <v/>
      </c>
      <c r="C235" s="20"/>
      <c r="D235" s="18" t="str">
        <f aca="false">IFERROR(INDEX('Operator Master'!$B$5:$B$504,MATCH(C235,'Operator Master'!$A$5:$A$504,0)),"")</f>
        <v/>
      </c>
      <c r="E235" s="20"/>
      <c r="F235" s="18"/>
      <c r="G235" s="18"/>
    </row>
    <row r="236" customFormat="false" ht="14.25" hidden="false" customHeight="true" outlineLevel="0" collapsed="false">
      <c r="A236" s="19"/>
      <c r="B236" s="19" t="str">
        <f aca="false">IF(A236="","",A236+6)</f>
        <v/>
      </c>
      <c r="C236" s="20"/>
      <c r="D236" s="18" t="str">
        <f aca="false">IFERROR(INDEX('Operator Master'!$B$5:$B$504,MATCH(C236,'Operator Master'!$A$5:$A$504,0)),"")</f>
        <v/>
      </c>
      <c r="E236" s="20"/>
      <c r="F236" s="18"/>
      <c r="G236" s="18"/>
    </row>
    <row r="237" customFormat="false" ht="14.25" hidden="false" customHeight="true" outlineLevel="0" collapsed="false">
      <c r="A237" s="19"/>
      <c r="B237" s="19" t="str">
        <f aca="false">IF(A237="","",A237+6)</f>
        <v/>
      </c>
      <c r="C237" s="20"/>
      <c r="D237" s="18" t="str">
        <f aca="false">IFERROR(INDEX('Operator Master'!$B$5:$B$504,MATCH(C237,'Operator Master'!$A$5:$A$504,0)),"")</f>
        <v/>
      </c>
      <c r="E237" s="20"/>
      <c r="F237" s="18"/>
      <c r="G237" s="18"/>
    </row>
    <row r="238" customFormat="false" ht="14.25" hidden="false" customHeight="true" outlineLevel="0" collapsed="false">
      <c r="A238" s="19"/>
      <c r="B238" s="19" t="str">
        <f aca="false">IF(A238="","",A238+6)</f>
        <v/>
      </c>
      <c r="C238" s="20"/>
      <c r="D238" s="18" t="str">
        <f aca="false">IFERROR(INDEX('Operator Master'!$B$5:$B$504,MATCH(C238,'Operator Master'!$A$5:$A$504,0)),"")</f>
        <v/>
      </c>
      <c r="E238" s="20"/>
      <c r="F238" s="18"/>
      <c r="G238" s="18"/>
    </row>
    <row r="239" customFormat="false" ht="14.25" hidden="false" customHeight="true" outlineLevel="0" collapsed="false">
      <c r="A239" s="19"/>
      <c r="B239" s="19" t="str">
        <f aca="false">IF(A239="","",A239+6)</f>
        <v/>
      </c>
      <c r="C239" s="20"/>
      <c r="D239" s="18" t="str">
        <f aca="false">IFERROR(INDEX('Operator Master'!$B$5:$B$504,MATCH(C239,'Operator Master'!$A$5:$A$504,0)),"")</f>
        <v/>
      </c>
      <c r="E239" s="20"/>
      <c r="F239" s="18"/>
      <c r="G239" s="18"/>
    </row>
    <row r="240" customFormat="false" ht="14.25" hidden="false" customHeight="true" outlineLevel="0" collapsed="false">
      <c r="A240" s="19"/>
      <c r="B240" s="19" t="str">
        <f aca="false">IF(A240="","",A240+6)</f>
        <v/>
      </c>
      <c r="C240" s="20"/>
      <c r="D240" s="18" t="str">
        <f aca="false">IFERROR(INDEX('Operator Master'!$B$5:$B$504,MATCH(C240,'Operator Master'!$A$5:$A$504,0)),"")</f>
        <v/>
      </c>
      <c r="E240" s="20"/>
      <c r="F240" s="18"/>
      <c r="G240" s="18"/>
    </row>
    <row r="241" customFormat="false" ht="14.25" hidden="false" customHeight="true" outlineLevel="0" collapsed="false">
      <c r="A241" s="19"/>
      <c r="B241" s="19" t="str">
        <f aca="false">IF(A241="","",A241+6)</f>
        <v/>
      </c>
      <c r="C241" s="20"/>
      <c r="D241" s="18" t="str">
        <f aca="false">IFERROR(INDEX('Operator Master'!$B$5:$B$504,MATCH(C241,'Operator Master'!$A$5:$A$504,0)),"")</f>
        <v/>
      </c>
      <c r="E241" s="20"/>
      <c r="F241" s="18"/>
      <c r="G241" s="18"/>
    </row>
    <row r="242" customFormat="false" ht="14.25" hidden="false" customHeight="true" outlineLevel="0" collapsed="false">
      <c r="A242" s="19"/>
      <c r="B242" s="19" t="str">
        <f aca="false">IF(A242="","",A242+6)</f>
        <v/>
      </c>
      <c r="C242" s="20"/>
      <c r="D242" s="18" t="str">
        <f aca="false">IFERROR(INDEX('Operator Master'!$B$5:$B$504,MATCH(C242,'Operator Master'!$A$5:$A$504,0)),"")</f>
        <v/>
      </c>
      <c r="E242" s="20"/>
      <c r="F242" s="18"/>
      <c r="G242" s="18"/>
    </row>
    <row r="243" customFormat="false" ht="14.25" hidden="false" customHeight="true" outlineLevel="0" collapsed="false">
      <c r="A243" s="19"/>
      <c r="B243" s="19" t="str">
        <f aca="false">IF(A243="","",A243+6)</f>
        <v/>
      </c>
      <c r="C243" s="20"/>
      <c r="D243" s="18" t="str">
        <f aca="false">IFERROR(INDEX('Operator Master'!$B$5:$B$504,MATCH(C243,'Operator Master'!$A$5:$A$504,0)),"")</f>
        <v/>
      </c>
      <c r="E243" s="20"/>
      <c r="F243" s="18"/>
      <c r="G243" s="18"/>
    </row>
    <row r="244" customFormat="false" ht="14.25" hidden="false" customHeight="true" outlineLevel="0" collapsed="false">
      <c r="A244" s="19"/>
      <c r="B244" s="19" t="str">
        <f aca="false">IF(A244="","",A244+6)</f>
        <v/>
      </c>
      <c r="C244" s="20"/>
      <c r="D244" s="18" t="str">
        <f aca="false">IFERROR(INDEX('Operator Master'!$B$5:$B$504,MATCH(C244,'Operator Master'!$A$5:$A$504,0)),"")</f>
        <v/>
      </c>
      <c r="E244" s="20"/>
      <c r="F244" s="18"/>
      <c r="G244" s="18"/>
    </row>
    <row r="245" customFormat="false" ht="14.25" hidden="false" customHeight="true" outlineLevel="0" collapsed="false">
      <c r="A245" s="19"/>
      <c r="B245" s="19" t="str">
        <f aca="false">IF(A245="","",A245+6)</f>
        <v/>
      </c>
      <c r="C245" s="20"/>
      <c r="D245" s="18" t="str">
        <f aca="false">IFERROR(INDEX('Operator Master'!$B$5:$B$504,MATCH(C245,'Operator Master'!$A$5:$A$504,0)),"")</f>
        <v/>
      </c>
      <c r="E245" s="20"/>
      <c r="F245" s="18"/>
      <c r="G245" s="18"/>
    </row>
    <row r="246" customFormat="false" ht="14.25" hidden="false" customHeight="true" outlineLevel="0" collapsed="false">
      <c r="A246" s="19"/>
      <c r="B246" s="19" t="str">
        <f aca="false">IF(A246="","",A246+6)</f>
        <v/>
      </c>
      <c r="C246" s="20"/>
      <c r="D246" s="18" t="str">
        <f aca="false">IFERROR(INDEX('Operator Master'!$B$5:$B$504,MATCH(C246,'Operator Master'!$A$5:$A$504,0)),"")</f>
        <v/>
      </c>
      <c r="E246" s="20"/>
      <c r="F246" s="18"/>
      <c r="G246" s="18"/>
    </row>
    <row r="247" customFormat="false" ht="14.25" hidden="false" customHeight="true" outlineLevel="0" collapsed="false">
      <c r="A247" s="19"/>
      <c r="B247" s="19" t="str">
        <f aca="false">IF(A247="","",A247+6)</f>
        <v/>
      </c>
      <c r="C247" s="20"/>
      <c r="D247" s="18" t="str">
        <f aca="false">IFERROR(INDEX('Operator Master'!$B$5:$B$504,MATCH(C247,'Operator Master'!$A$5:$A$504,0)),"")</f>
        <v/>
      </c>
      <c r="E247" s="20"/>
      <c r="F247" s="18"/>
      <c r="G247" s="18"/>
    </row>
    <row r="248" customFormat="false" ht="14.25" hidden="false" customHeight="true" outlineLevel="0" collapsed="false">
      <c r="A248" s="19"/>
      <c r="B248" s="19" t="str">
        <f aca="false">IF(A248="","",A248+6)</f>
        <v/>
      </c>
      <c r="C248" s="20"/>
      <c r="D248" s="18" t="str">
        <f aca="false">IFERROR(INDEX('Operator Master'!$B$5:$B$504,MATCH(C248,'Operator Master'!$A$5:$A$504,0)),"")</f>
        <v/>
      </c>
      <c r="E248" s="20"/>
      <c r="F248" s="18"/>
      <c r="G248" s="18"/>
    </row>
    <row r="249" customFormat="false" ht="14.25" hidden="false" customHeight="true" outlineLevel="0" collapsed="false">
      <c r="A249" s="19"/>
      <c r="B249" s="19" t="str">
        <f aca="false">IF(A249="","",A249+6)</f>
        <v/>
      </c>
      <c r="C249" s="20"/>
      <c r="D249" s="18" t="str">
        <f aca="false">IFERROR(INDEX('Operator Master'!$B$5:$B$504,MATCH(C249,'Operator Master'!$A$5:$A$504,0)),"")</f>
        <v/>
      </c>
      <c r="E249" s="20"/>
      <c r="F249" s="18"/>
      <c r="G249" s="18"/>
    </row>
    <row r="250" customFormat="false" ht="14.25" hidden="false" customHeight="true" outlineLevel="0" collapsed="false">
      <c r="A250" s="19"/>
      <c r="B250" s="19" t="str">
        <f aca="false">IF(A250="","",A250+6)</f>
        <v/>
      </c>
      <c r="C250" s="20"/>
      <c r="D250" s="18" t="str">
        <f aca="false">IFERROR(INDEX('Operator Master'!$B$5:$B$504,MATCH(C250,'Operator Master'!$A$5:$A$504,0)),"")</f>
        <v/>
      </c>
      <c r="E250" s="20"/>
      <c r="F250" s="18"/>
      <c r="G250" s="18"/>
    </row>
    <row r="251" customFormat="false" ht="14.25" hidden="false" customHeight="true" outlineLevel="0" collapsed="false">
      <c r="A251" s="19"/>
      <c r="B251" s="19" t="str">
        <f aca="false">IF(A251="","",A251+6)</f>
        <v/>
      </c>
      <c r="C251" s="20"/>
      <c r="D251" s="18" t="str">
        <f aca="false">IFERROR(INDEX('Operator Master'!$B$5:$B$504,MATCH(C251,'Operator Master'!$A$5:$A$504,0)),"")</f>
        <v/>
      </c>
      <c r="E251" s="20"/>
      <c r="F251" s="18"/>
      <c r="G251" s="18"/>
    </row>
    <row r="252" customFormat="false" ht="14.25" hidden="false" customHeight="true" outlineLevel="0" collapsed="false">
      <c r="A252" s="19"/>
      <c r="B252" s="19" t="str">
        <f aca="false">IF(A252="","",A252+6)</f>
        <v/>
      </c>
      <c r="C252" s="20"/>
      <c r="D252" s="18" t="str">
        <f aca="false">IFERROR(INDEX('Operator Master'!$B$5:$B$504,MATCH(C252,'Operator Master'!$A$5:$A$504,0)),"")</f>
        <v/>
      </c>
      <c r="E252" s="20"/>
      <c r="F252" s="18"/>
      <c r="G252" s="18"/>
    </row>
    <row r="253" customFormat="false" ht="14.25" hidden="false" customHeight="true" outlineLevel="0" collapsed="false">
      <c r="A253" s="19"/>
      <c r="B253" s="19" t="str">
        <f aca="false">IF(A253="","",A253+6)</f>
        <v/>
      </c>
      <c r="C253" s="20"/>
      <c r="D253" s="18" t="str">
        <f aca="false">IFERROR(INDEX('Operator Master'!$B$5:$B$504,MATCH(C253,'Operator Master'!$A$5:$A$504,0)),"")</f>
        <v/>
      </c>
      <c r="E253" s="20"/>
      <c r="F253" s="18"/>
      <c r="G253" s="18"/>
    </row>
    <row r="254" customFormat="false" ht="14.25" hidden="false" customHeight="true" outlineLevel="0" collapsed="false">
      <c r="A254" s="19"/>
      <c r="B254" s="19" t="str">
        <f aca="false">IF(A254="","",A254+6)</f>
        <v/>
      </c>
      <c r="C254" s="20"/>
      <c r="D254" s="18" t="str">
        <f aca="false">IFERROR(INDEX('Operator Master'!$B$5:$B$504,MATCH(C254,'Operator Master'!$A$5:$A$504,0)),"")</f>
        <v/>
      </c>
      <c r="E254" s="20"/>
      <c r="F254" s="18"/>
      <c r="G254" s="18"/>
    </row>
    <row r="255" customFormat="false" ht="14.25" hidden="false" customHeight="true" outlineLevel="0" collapsed="false">
      <c r="A255" s="19"/>
      <c r="B255" s="19" t="str">
        <f aca="false">IF(A255="","",A255+6)</f>
        <v/>
      </c>
      <c r="C255" s="20"/>
      <c r="D255" s="18" t="str">
        <f aca="false">IFERROR(INDEX('Operator Master'!$B$5:$B$504,MATCH(C255,'Operator Master'!$A$5:$A$504,0)),"")</f>
        <v/>
      </c>
      <c r="E255" s="20"/>
      <c r="F255" s="18"/>
      <c r="G255" s="18"/>
    </row>
    <row r="256" customFormat="false" ht="14.25" hidden="false" customHeight="true" outlineLevel="0" collapsed="false">
      <c r="A256" s="19"/>
      <c r="B256" s="19" t="str">
        <f aca="false">IF(A256="","",A256+6)</f>
        <v/>
      </c>
      <c r="C256" s="20"/>
      <c r="D256" s="18" t="str">
        <f aca="false">IFERROR(INDEX('Operator Master'!$B$5:$B$504,MATCH(C256,'Operator Master'!$A$5:$A$504,0)),"")</f>
        <v/>
      </c>
      <c r="E256" s="20"/>
      <c r="F256" s="18"/>
      <c r="G256" s="18"/>
    </row>
    <row r="257" customFormat="false" ht="14.25" hidden="false" customHeight="true" outlineLevel="0" collapsed="false">
      <c r="A257" s="19"/>
      <c r="B257" s="19" t="str">
        <f aca="false">IF(A257="","",A257+6)</f>
        <v/>
      </c>
      <c r="C257" s="20"/>
      <c r="D257" s="18" t="str">
        <f aca="false">IFERROR(INDEX('Operator Master'!$B$5:$B$504,MATCH(C257,'Operator Master'!$A$5:$A$504,0)),"")</f>
        <v/>
      </c>
      <c r="E257" s="20"/>
      <c r="F257" s="18"/>
      <c r="G257" s="18"/>
    </row>
    <row r="258" customFormat="false" ht="14.25" hidden="false" customHeight="true" outlineLevel="0" collapsed="false">
      <c r="A258" s="19"/>
      <c r="B258" s="19" t="str">
        <f aca="false">IF(A258="","",A258+6)</f>
        <v/>
      </c>
      <c r="C258" s="20"/>
      <c r="D258" s="18" t="str">
        <f aca="false">IFERROR(INDEX('Operator Master'!$B$5:$B$504,MATCH(C258,'Operator Master'!$A$5:$A$504,0)),"")</f>
        <v/>
      </c>
      <c r="E258" s="20"/>
      <c r="F258" s="18"/>
      <c r="G258" s="18"/>
    </row>
    <row r="259" customFormat="false" ht="14.25" hidden="false" customHeight="true" outlineLevel="0" collapsed="false">
      <c r="A259" s="19"/>
      <c r="B259" s="19" t="str">
        <f aca="false">IF(A259="","",A259+6)</f>
        <v/>
      </c>
      <c r="C259" s="20"/>
      <c r="D259" s="18" t="str">
        <f aca="false">IFERROR(INDEX('Operator Master'!$B$5:$B$504,MATCH(C259,'Operator Master'!$A$5:$A$504,0)),"")</f>
        <v/>
      </c>
      <c r="E259" s="20"/>
      <c r="F259" s="18"/>
      <c r="G259" s="18"/>
    </row>
    <row r="260" customFormat="false" ht="14.25" hidden="false" customHeight="true" outlineLevel="0" collapsed="false">
      <c r="A260" s="19"/>
      <c r="B260" s="19" t="str">
        <f aca="false">IF(A260="","",A260+6)</f>
        <v/>
      </c>
      <c r="C260" s="20"/>
      <c r="D260" s="18" t="str">
        <f aca="false">IFERROR(INDEX('Operator Master'!$B$5:$B$504,MATCH(C260,'Operator Master'!$A$5:$A$504,0)),"")</f>
        <v/>
      </c>
      <c r="E260" s="20"/>
      <c r="F260" s="18"/>
      <c r="G260" s="18"/>
    </row>
    <row r="261" customFormat="false" ht="14.25" hidden="false" customHeight="true" outlineLevel="0" collapsed="false">
      <c r="A261" s="19"/>
      <c r="B261" s="19" t="str">
        <f aca="false">IF(A261="","",A261+6)</f>
        <v/>
      </c>
      <c r="C261" s="20"/>
      <c r="D261" s="18" t="str">
        <f aca="false">IFERROR(INDEX('Operator Master'!$B$5:$B$504,MATCH(C261,'Operator Master'!$A$5:$A$504,0)),"")</f>
        <v/>
      </c>
      <c r="E261" s="20"/>
      <c r="F261" s="18"/>
      <c r="G261" s="18"/>
    </row>
    <row r="262" customFormat="false" ht="14.25" hidden="false" customHeight="true" outlineLevel="0" collapsed="false">
      <c r="A262" s="19"/>
      <c r="B262" s="19" t="str">
        <f aca="false">IF(A262="","",A262+6)</f>
        <v/>
      </c>
      <c r="C262" s="20"/>
      <c r="D262" s="18" t="str">
        <f aca="false">IFERROR(INDEX('Operator Master'!$B$5:$B$504,MATCH(C262,'Operator Master'!$A$5:$A$504,0)),"")</f>
        <v/>
      </c>
      <c r="E262" s="20"/>
      <c r="F262" s="18"/>
      <c r="G262" s="18"/>
    </row>
    <row r="263" customFormat="false" ht="14.25" hidden="false" customHeight="true" outlineLevel="0" collapsed="false">
      <c r="A263" s="19"/>
      <c r="B263" s="19" t="str">
        <f aca="false">IF(A263="","",A263+6)</f>
        <v/>
      </c>
      <c r="C263" s="20"/>
      <c r="D263" s="18" t="str">
        <f aca="false">IFERROR(INDEX('Operator Master'!$B$5:$B$504,MATCH(C263,'Operator Master'!$A$5:$A$504,0)),"")</f>
        <v/>
      </c>
      <c r="E263" s="20"/>
      <c r="F263" s="18"/>
      <c r="G263" s="18"/>
    </row>
    <row r="264" customFormat="false" ht="14.25" hidden="false" customHeight="true" outlineLevel="0" collapsed="false">
      <c r="A264" s="19"/>
      <c r="B264" s="19" t="str">
        <f aca="false">IF(A264="","",A264+6)</f>
        <v/>
      </c>
      <c r="C264" s="20"/>
      <c r="D264" s="18" t="str">
        <f aca="false">IFERROR(INDEX('Operator Master'!$B$5:$B$504,MATCH(C264,'Operator Master'!$A$5:$A$504,0)),"")</f>
        <v/>
      </c>
      <c r="E264" s="20"/>
      <c r="F264" s="18"/>
      <c r="G264" s="18"/>
    </row>
    <row r="265" customFormat="false" ht="14.25" hidden="false" customHeight="true" outlineLevel="0" collapsed="false">
      <c r="A265" s="19"/>
      <c r="B265" s="19" t="str">
        <f aca="false">IF(A265="","",A265+6)</f>
        <v/>
      </c>
      <c r="C265" s="20"/>
      <c r="D265" s="18" t="str">
        <f aca="false">IFERROR(INDEX('Operator Master'!$B$5:$B$504,MATCH(C265,'Operator Master'!$A$5:$A$504,0)),"")</f>
        <v/>
      </c>
      <c r="E265" s="20"/>
      <c r="F265" s="18"/>
      <c r="G265" s="18"/>
    </row>
    <row r="266" customFormat="false" ht="14.25" hidden="false" customHeight="true" outlineLevel="0" collapsed="false">
      <c r="A266" s="19"/>
      <c r="B266" s="19" t="str">
        <f aca="false">IF(A266="","",A266+6)</f>
        <v/>
      </c>
      <c r="C266" s="20"/>
      <c r="D266" s="18" t="str">
        <f aca="false">IFERROR(INDEX('Operator Master'!$B$5:$B$504,MATCH(C266,'Operator Master'!$A$5:$A$504,0)),"")</f>
        <v/>
      </c>
      <c r="E266" s="20"/>
      <c r="F266" s="18"/>
      <c r="G266" s="18"/>
    </row>
    <row r="267" customFormat="false" ht="14.25" hidden="false" customHeight="true" outlineLevel="0" collapsed="false">
      <c r="A267" s="19"/>
      <c r="B267" s="19" t="str">
        <f aca="false">IF(A267="","",A267+6)</f>
        <v/>
      </c>
      <c r="C267" s="20"/>
      <c r="D267" s="18" t="str">
        <f aca="false">IFERROR(INDEX('Operator Master'!$B$5:$B$504,MATCH(C267,'Operator Master'!$A$5:$A$504,0)),"")</f>
        <v/>
      </c>
      <c r="E267" s="20"/>
      <c r="F267" s="18"/>
      <c r="G267" s="18"/>
    </row>
    <row r="268" customFormat="false" ht="14.25" hidden="false" customHeight="true" outlineLevel="0" collapsed="false">
      <c r="A268" s="19"/>
      <c r="B268" s="19" t="str">
        <f aca="false">IF(A268="","",A268+6)</f>
        <v/>
      </c>
      <c r="C268" s="20"/>
      <c r="D268" s="18" t="str">
        <f aca="false">IFERROR(INDEX('Operator Master'!$B$5:$B$504,MATCH(C268,'Operator Master'!$A$5:$A$504,0)),"")</f>
        <v/>
      </c>
      <c r="E268" s="20"/>
      <c r="F268" s="18"/>
      <c r="G268" s="18"/>
    </row>
    <row r="269" customFormat="false" ht="14.25" hidden="false" customHeight="true" outlineLevel="0" collapsed="false">
      <c r="A269" s="19"/>
      <c r="B269" s="19" t="str">
        <f aca="false">IF(A269="","",A269+6)</f>
        <v/>
      </c>
      <c r="C269" s="20"/>
      <c r="D269" s="18" t="str">
        <f aca="false">IFERROR(INDEX('Operator Master'!$B$5:$B$504,MATCH(C269,'Operator Master'!$A$5:$A$504,0)),"")</f>
        <v/>
      </c>
      <c r="E269" s="20"/>
      <c r="F269" s="18"/>
      <c r="G269" s="18"/>
    </row>
    <row r="270" customFormat="false" ht="14.25" hidden="false" customHeight="true" outlineLevel="0" collapsed="false">
      <c r="A270" s="19"/>
      <c r="B270" s="19" t="str">
        <f aca="false">IF(A270="","",A270+6)</f>
        <v/>
      </c>
      <c r="C270" s="20"/>
      <c r="D270" s="18" t="str">
        <f aca="false">IFERROR(INDEX('Operator Master'!$B$5:$B$504,MATCH(C270,'Operator Master'!$A$5:$A$504,0)),"")</f>
        <v/>
      </c>
      <c r="E270" s="20"/>
      <c r="F270" s="18"/>
      <c r="G270" s="18"/>
    </row>
    <row r="271" customFormat="false" ht="14.25" hidden="false" customHeight="true" outlineLevel="0" collapsed="false">
      <c r="A271" s="19"/>
      <c r="B271" s="19" t="str">
        <f aca="false">IF(A271="","",A271+6)</f>
        <v/>
      </c>
      <c r="C271" s="20"/>
      <c r="D271" s="18" t="str">
        <f aca="false">IFERROR(INDEX('Operator Master'!$B$5:$B$504,MATCH(C271,'Operator Master'!$A$5:$A$504,0)),"")</f>
        <v/>
      </c>
      <c r="E271" s="20"/>
      <c r="F271" s="18"/>
      <c r="G271" s="18"/>
    </row>
    <row r="272" customFormat="false" ht="14.25" hidden="false" customHeight="true" outlineLevel="0" collapsed="false">
      <c r="A272" s="19"/>
      <c r="B272" s="19" t="str">
        <f aca="false">IF(A272="","",A272+6)</f>
        <v/>
      </c>
      <c r="C272" s="20"/>
      <c r="D272" s="18" t="str">
        <f aca="false">IFERROR(INDEX('Operator Master'!$B$5:$B$504,MATCH(C272,'Operator Master'!$A$5:$A$504,0)),"")</f>
        <v/>
      </c>
      <c r="E272" s="20"/>
      <c r="F272" s="18"/>
      <c r="G272" s="18"/>
    </row>
    <row r="273" customFormat="false" ht="14.25" hidden="false" customHeight="true" outlineLevel="0" collapsed="false">
      <c r="A273" s="19"/>
      <c r="B273" s="19" t="str">
        <f aca="false">IF(A273="","",A273+6)</f>
        <v/>
      </c>
      <c r="C273" s="20"/>
      <c r="D273" s="18" t="str">
        <f aca="false">IFERROR(INDEX('Operator Master'!$B$5:$B$504,MATCH(C273,'Operator Master'!$A$5:$A$504,0)),"")</f>
        <v/>
      </c>
      <c r="E273" s="20"/>
      <c r="F273" s="18"/>
      <c r="G273" s="18"/>
    </row>
    <row r="274" customFormat="false" ht="14.25" hidden="false" customHeight="true" outlineLevel="0" collapsed="false">
      <c r="A274" s="19"/>
      <c r="B274" s="19" t="str">
        <f aca="false">IF(A274="","",A274+6)</f>
        <v/>
      </c>
      <c r="C274" s="20"/>
      <c r="D274" s="18" t="str">
        <f aca="false">IFERROR(INDEX('Operator Master'!$B$5:$B$504,MATCH(C274,'Operator Master'!$A$5:$A$504,0)),"")</f>
        <v/>
      </c>
      <c r="E274" s="20"/>
      <c r="F274" s="18"/>
      <c r="G274" s="18"/>
    </row>
    <row r="275" customFormat="false" ht="14.25" hidden="false" customHeight="true" outlineLevel="0" collapsed="false">
      <c r="A275" s="19"/>
      <c r="B275" s="19" t="str">
        <f aca="false">IF(A275="","",A275+6)</f>
        <v/>
      </c>
      <c r="C275" s="20"/>
      <c r="D275" s="18" t="str">
        <f aca="false">IFERROR(INDEX('Operator Master'!$B$5:$B$504,MATCH(C275,'Operator Master'!$A$5:$A$504,0)),"")</f>
        <v/>
      </c>
      <c r="E275" s="20"/>
      <c r="F275" s="18"/>
      <c r="G275" s="18"/>
    </row>
    <row r="276" customFormat="false" ht="14.25" hidden="false" customHeight="true" outlineLevel="0" collapsed="false">
      <c r="A276" s="19"/>
      <c r="B276" s="19" t="str">
        <f aca="false">IF(A276="","",A276+6)</f>
        <v/>
      </c>
      <c r="C276" s="20"/>
      <c r="D276" s="18" t="str">
        <f aca="false">IFERROR(INDEX('Operator Master'!$B$5:$B$504,MATCH(C276,'Operator Master'!$A$5:$A$504,0)),"")</f>
        <v/>
      </c>
      <c r="E276" s="20"/>
      <c r="F276" s="18"/>
      <c r="G276" s="18"/>
    </row>
    <row r="277" customFormat="false" ht="14.25" hidden="false" customHeight="true" outlineLevel="0" collapsed="false">
      <c r="A277" s="19"/>
      <c r="B277" s="19" t="str">
        <f aca="false">IF(A277="","",A277+6)</f>
        <v/>
      </c>
      <c r="C277" s="20"/>
      <c r="D277" s="18" t="str">
        <f aca="false">IFERROR(INDEX('Operator Master'!$B$5:$B$504,MATCH(C277,'Operator Master'!$A$5:$A$504,0)),"")</f>
        <v/>
      </c>
      <c r="E277" s="20"/>
      <c r="F277" s="18"/>
      <c r="G277" s="18"/>
    </row>
    <row r="278" customFormat="false" ht="14.25" hidden="false" customHeight="true" outlineLevel="0" collapsed="false">
      <c r="A278" s="19"/>
      <c r="B278" s="19" t="str">
        <f aca="false">IF(A278="","",A278+6)</f>
        <v/>
      </c>
      <c r="C278" s="20"/>
      <c r="D278" s="18" t="str">
        <f aca="false">IFERROR(INDEX('Operator Master'!$B$5:$B$504,MATCH(C278,'Operator Master'!$A$5:$A$504,0)),"")</f>
        <v/>
      </c>
      <c r="E278" s="20"/>
      <c r="F278" s="18"/>
      <c r="G278" s="18"/>
    </row>
    <row r="279" customFormat="false" ht="14.25" hidden="false" customHeight="true" outlineLevel="0" collapsed="false">
      <c r="A279" s="19"/>
      <c r="B279" s="19" t="str">
        <f aca="false">IF(A279="","",A279+6)</f>
        <v/>
      </c>
      <c r="C279" s="20"/>
      <c r="D279" s="18" t="str">
        <f aca="false">IFERROR(INDEX('Operator Master'!$B$5:$B$504,MATCH(C279,'Operator Master'!$A$5:$A$504,0)),"")</f>
        <v/>
      </c>
      <c r="E279" s="20"/>
      <c r="F279" s="18"/>
      <c r="G279" s="18"/>
    </row>
    <row r="280" customFormat="false" ht="14.25" hidden="false" customHeight="true" outlineLevel="0" collapsed="false">
      <c r="A280" s="19"/>
      <c r="B280" s="19" t="str">
        <f aca="false">IF(A280="","",A280+6)</f>
        <v/>
      </c>
      <c r="C280" s="20"/>
      <c r="D280" s="18" t="str">
        <f aca="false">IFERROR(INDEX('Operator Master'!$B$5:$B$504,MATCH(C280,'Operator Master'!$A$5:$A$504,0)),"")</f>
        <v/>
      </c>
      <c r="E280" s="20"/>
      <c r="F280" s="18"/>
      <c r="G280" s="18"/>
    </row>
    <row r="281" customFormat="false" ht="14.25" hidden="false" customHeight="true" outlineLevel="0" collapsed="false">
      <c r="A281" s="19"/>
      <c r="B281" s="19" t="str">
        <f aca="false">IF(A281="","",A281+6)</f>
        <v/>
      </c>
      <c r="C281" s="20"/>
      <c r="D281" s="18" t="str">
        <f aca="false">IFERROR(INDEX('Operator Master'!$B$5:$B$504,MATCH(C281,'Operator Master'!$A$5:$A$504,0)),"")</f>
        <v/>
      </c>
      <c r="E281" s="20"/>
      <c r="F281" s="18"/>
      <c r="G281" s="18"/>
    </row>
    <row r="282" customFormat="false" ht="14.25" hidden="false" customHeight="true" outlineLevel="0" collapsed="false">
      <c r="A282" s="19"/>
      <c r="B282" s="19" t="str">
        <f aca="false">IF(A282="","",A282+6)</f>
        <v/>
      </c>
      <c r="C282" s="20"/>
      <c r="D282" s="18" t="str">
        <f aca="false">IFERROR(INDEX('Operator Master'!$B$5:$B$504,MATCH(C282,'Operator Master'!$A$5:$A$504,0)),"")</f>
        <v/>
      </c>
      <c r="E282" s="20"/>
      <c r="F282" s="18"/>
      <c r="G282" s="18"/>
    </row>
    <row r="283" customFormat="false" ht="14.25" hidden="false" customHeight="true" outlineLevel="0" collapsed="false">
      <c r="A283" s="19"/>
      <c r="B283" s="19" t="str">
        <f aca="false">IF(A283="","",A283+6)</f>
        <v/>
      </c>
      <c r="C283" s="20"/>
      <c r="D283" s="18" t="str">
        <f aca="false">IFERROR(INDEX('Operator Master'!$B$5:$B$504,MATCH(C283,'Operator Master'!$A$5:$A$504,0)),"")</f>
        <v/>
      </c>
      <c r="E283" s="20"/>
      <c r="F283" s="18"/>
      <c r="G283" s="18"/>
    </row>
    <row r="284" customFormat="false" ht="14.25" hidden="false" customHeight="true" outlineLevel="0" collapsed="false">
      <c r="A284" s="19"/>
      <c r="B284" s="19" t="str">
        <f aca="false">IF(A284="","",A284+6)</f>
        <v/>
      </c>
      <c r="C284" s="20"/>
      <c r="D284" s="18" t="str">
        <f aca="false">IFERROR(INDEX('Operator Master'!$B$5:$B$504,MATCH(C284,'Operator Master'!$A$5:$A$504,0)),"")</f>
        <v/>
      </c>
      <c r="E284" s="20"/>
      <c r="F284" s="18"/>
      <c r="G284" s="18"/>
    </row>
    <row r="285" customFormat="false" ht="14.25" hidden="false" customHeight="true" outlineLevel="0" collapsed="false">
      <c r="A285" s="19"/>
      <c r="B285" s="19" t="str">
        <f aca="false">IF(A285="","",A285+6)</f>
        <v/>
      </c>
      <c r="C285" s="20"/>
      <c r="D285" s="18" t="str">
        <f aca="false">IFERROR(INDEX('Operator Master'!$B$5:$B$504,MATCH(C285,'Operator Master'!$A$5:$A$504,0)),"")</f>
        <v/>
      </c>
      <c r="E285" s="20"/>
      <c r="F285" s="18"/>
      <c r="G285" s="18"/>
    </row>
    <row r="286" customFormat="false" ht="14.25" hidden="false" customHeight="true" outlineLevel="0" collapsed="false">
      <c r="A286" s="19"/>
      <c r="B286" s="19" t="str">
        <f aca="false">IF(A286="","",A286+6)</f>
        <v/>
      </c>
      <c r="C286" s="20"/>
      <c r="D286" s="18" t="str">
        <f aca="false">IFERROR(INDEX('Operator Master'!$B$5:$B$504,MATCH(C286,'Operator Master'!$A$5:$A$504,0)),"")</f>
        <v/>
      </c>
      <c r="E286" s="20"/>
      <c r="F286" s="18"/>
      <c r="G286" s="18"/>
    </row>
    <row r="287" customFormat="false" ht="14.25" hidden="false" customHeight="true" outlineLevel="0" collapsed="false">
      <c r="A287" s="19"/>
      <c r="B287" s="19" t="str">
        <f aca="false">IF(A287="","",A287+6)</f>
        <v/>
      </c>
      <c r="C287" s="20"/>
      <c r="D287" s="18" t="str">
        <f aca="false">IFERROR(INDEX('Operator Master'!$B$5:$B$504,MATCH(C287,'Operator Master'!$A$5:$A$504,0)),"")</f>
        <v/>
      </c>
      <c r="E287" s="20"/>
      <c r="F287" s="18"/>
      <c r="G287" s="18"/>
    </row>
    <row r="288" customFormat="false" ht="14.25" hidden="false" customHeight="true" outlineLevel="0" collapsed="false">
      <c r="A288" s="19"/>
      <c r="B288" s="19" t="str">
        <f aca="false">IF(A288="","",A288+6)</f>
        <v/>
      </c>
      <c r="C288" s="20"/>
      <c r="D288" s="18" t="str">
        <f aca="false">IFERROR(INDEX('Operator Master'!$B$5:$B$504,MATCH(C288,'Operator Master'!$A$5:$A$504,0)),"")</f>
        <v/>
      </c>
      <c r="E288" s="20"/>
      <c r="F288" s="18"/>
      <c r="G288" s="18"/>
    </row>
    <row r="289" customFormat="false" ht="14.25" hidden="false" customHeight="true" outlineLevel="0" collapsed="false">
      <c r="A289" s="19"/>
      <c r="B289" s="19" t="str">
        <f aca="false">IF(A289="","",A289+6)</f>
        <v/>
      </c>
      <c r="C289" s="20"/>
      <c r="D289" s="18" t="str">
        <f aca="false">IFERROR(INDEX('Operator Master'!$B$5:$B$504,MATCH(C289,'Operator Master'!$A$5:$A$504,0)),"")</f>
        <v/>
      </c>
      <c r="E289" s="20"/>
      <c r="F289" s="18"/>
      <c r="G289" s="18"/>
    </row>
    <row r="290" customFormat="false" ht="14.25" hidden="false" customHeight="true" outlineLevel="0" collapsed="false">
      <c r="A290" s="19"/>
      <c r="B290" s="19" t="str">
        <f aca="false">IF(A290="","",A290+6)</f>
        <v/>
      </c>
      <c r="C290" s="20"/>
      <c r="D290" s="18" t="str">
        <f aca="false">IFERROR(INDEX('Operator Master'!$B$5:$B$504,MATCH(C290,'Operator Master'!$A$5:$A$504,0)),"")</f>
        <v/>
      </c>
      <c r="E290" s="20"/>
      <c r="F290" s="18"/>
      <c r="G290" s="18"/>
    </row>
    <row r="291" customFormat="false" ht="14.25" hidden="false" customHeight="true" outlineLevel="0" collapsed="false">
      <c r="A291" s="19"/>
      <c r="B291" s="19" t="str">
        <f aca="false">IF(A291="","",A291+6)</f>
        <v/>
      </c>
      <c r="C291" s="20"/>
      <c r="D291" s="18" t="str">
        <f aca="false">IFERROR(INDEX('Operator Master'!$B$5:$B$504,MATCH(C291,'Operator Master'!$A$5:$A$504,0)),"")</f>
        <v/>
      </c>
      <c r="E291" s="20"/>
      <c r="F291" s="18"/>
      <c r="G291" s="18"/>
    </row>
    <row r="292" customFormat="false" ht="14.25" hidden="false" customHeight="true" outlineLevel="0" collapsed="false">
      <c r="A292" s="19"/>
      <c r="B292" s="19" t="str">
        <f aca="false">IF(A292="","",A292+6)</f>
        <v/>
      </c>
      <c r="C292" s="20"/>
      <c r="D292" s="18" t="str">
        <f aca="false">IFERROR(INDEX('Operator Master'!$B$5:$B$504,MATCH(C292,'Operator Master'!$A$5:$A$504,0)),"")</f>
        <v/>
      </c>
      <c r="E292" s="20"/>
      <c r="F292" s="18"/>
      <c r="G292" s="18"/>
    </row>
    <row r="293" customFormat="false" ht="14.25" hidden="false" customHeight="true" outlineLevel="0" collapsed="false">
      <c r="A293" s="19"/>
      <c r="B293" s="19" t="str">
        <f aca="false">IF(A293="","",A293+6)</f>
        <v/>
      </c>
      <c r="C293" s="20"/>
      <c r="D293" s="18" t="str">
        <f aca="false">IFERROR(INDEX('Operator Master'!$B$5:$B$504,MATCH(C293,'Operator Master'!$A$5:$A$504,0)),"")</f>
        <v/>
      </c>
      <c r="E293" s="20"/>
      <c r="F293" s="18"/>
      <c r="G293" s="18"/>
    </row>
    <row r="294" customFormat="false" ht="14.25" hidden="false" customHeight="true" outlineLevel="0" collapsed="false">
      <c r="A294" s="19"/>
      <c r="B294" s="19" t="str">
        <f aca="false">IF(A294="","",A294+6)</f>
        <v/>
      </c>
      <c r="C294" s="20"/>
      <c r="D294" s="18" t="str">
        <f aca="false">IFERROR(INDEX('Operator Master'!$B$5:$B$504,MATCH(C294,'Operator Master'!$A$5:$A$504,0)),"")</f>
        <v/>
      </c>
      <c r="E294" s="20"/>
      <c r="F294" s="18"/>
      <c r="G294" s="18"/>
    </row>
    <row r="295" customFormat="false" ht="14.25" hidden="false" customHeight="true" outlineLevel="0" collapsed="false">
      <c r="A295" s="19"/>
      <c r="B295" s="19" t="str">
        <f aca="false">IF(A295="","",A295+6)</f>
        <v/>
      </c>
      <c r="C295" s="20"/>
      <c r="D295" s="18" t="str">
        <f aca="false">IFERROR(INDEX('Operator Master'!$B$5:$B$504,MATCH(C295,'Operator Master'!$A$5:$A$504,0)),"")</f>
        <v/>
      </c>
      <c r="E295" s="20"/>
      <c r="F295" s="18"/>
      <c r="G295" s="18"/>
    </row>
    <row r="296" customFormat="false" ht="14.25" hidden="false" customHeight="true" outlineLevel="0" collapsed="false">
      <c r="A296" s="19"/>
      <c r="B296" s="19" t="str">
        <f aca="false">IF(A296="","",A296+6)</f>
        <v/>
      </c>
      <c r="C296" s="20"/>
      <c r="D296" s="18" t="str">
        <f aca="false">IFERROR(INDEX('Operator Master'!$B$5:$B$504,MATCH(C296,'Operator Master'!$A$5:$A$504,0)),"")</f>
        <v/>
      </c>
      <c r="E296" s="20"/>
      <c r="F296" s="18"/>
      <c r="G296" s="18"/>
    </row>
    <row r="297" customFormat="false" ht="14.25" hidden="false" customHeight="true" outlineLevel="0" collapsed="false">
      <c r="A297" s="19"/>
      <c r="B297" s="19" t="str">
        <f aca="false">IF(A297="","",A297+6)</f>
        <v/>
      </c>
      <c r="C297" s="20"/>
      <c r="D297" s="18" t="str">
        <f aca="false">IFERROR(INDEX('Operator Master'!$B$5:$B$504,MATCH(C297,'Operator Master'!$A$5:$A$504,0)),"")</f>
        <v/>
      </c>
      <c r="E297" s="20"/>
      <c r="F297" s="18"/>
      <c r="G297" s="18"/>
    </row>
    <row r="298" customFormat="false" ht="14.25" hidden="false" customHeight="true" outlineLevel="0" collapsed="false">
      <c r="A298" s="19"/>
      <c r="B298" s="19" t="str">
        <f aca="false">IF(A298="","",A298+6)</f>
        <v/>
      </c>
      <c r="C298" s="20"/>
      <c r="D298" s="18" t="str">
        <f aca="false">IFERROR(INDEX('Operator Master'!$B$5:$B$504,MATCH(C298,'Operator Master'!$A$5:$A$504,0)),"")</f>
        <v/>
      </c>
      <c r="E298" s="20"/>
      <c r="F298" s="18"/>
      <c r="G298" s="18"/>
    </row>
    <row r="299" customFormat="false" ht="14.25" hidden="false" customHeight="true" outlineLevel="0" collapsed="false">
      <c r="A299" s="19"/>
      <c r="B299" s="19" t="str">
        <f aca="false">IF(A299="","",A299+6)</f>
        <v/>
      </c>
      <c r="C299" s="20"/>
      <c r="D299" s="18" t="str">
        <f aca="false">IFERROR(INDEX('Operator Master'!$B$5:$B$504,MATCH(C299,'Operator Master'!$A$5:$A$504,0)),"")</f>
        <v/>
      </c>
      <c r="E299" s="20"/>
      <c r="F299" s="18"/>
      <c r="G299" s="18"/>
    </row>
    <row r="300" customFormat="false" ht="14.25" hidden="false" customHeight="true" outlineLevel="0" collapsed="false">
      <c r="A300" s="19"/>
      <c r="B300" s="19" t="str">
        <f aca="false">IF(A300="","",A300+6)</f>
        <v/>
      </c>
      <c r="C300" s="20"/>
      <c r="D300" s="18" t="str">
        <f aca="false">IFERROR(INDEX('Operator Master'!$B$5:$B$504,MATCH(C300,'Operator Master'!$A$5:$A$504,0)),"")</f>
        <v/>
      </c>
      <c r="E300" s="20"/>
      <c r="F300" s="18"/>
      <c r="G300" s="18"/>
    </row>
    <row r="301" customFormat="false" ht="14.25" hidden="false" customHeight="true" outlineLevel="0" collapsed="false">
      <c r="A301" s="19"/>
      <c r="B301" s="19" t="str">
        <f aca="false">IF(A301="","",A301+6)</f>
        <v/>
      </c>
      <c r="C301" s="20"/>
      <c r="D301" s="18" t="str">
        <f aca="false">IFERROR(INDEX('Operator Master'!$B$5:$B$504,MATCH(C301,'Operator Master'!$A$5:$A$504,0)),"")</f>
        <v/>
      </c>
      <c r="E301" s="20"/>
      <c r="F301" s="18"/>
      <c r="G301" s="18"/>
    </row>
    <row r="302" customFormat="false" ht="14.25" hidden="false" customHeight="true" outlineLevel="0" collapsed="false">
      <c r="A302" s="19"/>
      <c r="B302" s="19" t="str">
        <f aca="false">IF(A302="","",A302+6)</f>
        <v/>
      </c>
      <c r="C302" s="20"/>
      <c r="D302" s="18" t="str">
        <f aca="false">IFERROR(INDEX('Operator Master'!$B$5:$B$504,MATCH(C302,'Operator Master'!$A$5:$A$504,0)),"")</f>
        <v/>
      </c>
      <c r="E302" s="20"/>
      <c r="F302" s="18"/>
      <c r="G302" s="18"/>
    </row>
    <row r="303" customFormat="false" ht="14.25" hidden="false" customHeight="true" outlineLevel="0" collapsed="false">
      <c r="A303" s="19"/>
      <c r="B303" s="19" t="str">
        <f aca="false">IF(A303="","",A303+6)</f>
        <v/>
      </c>
      <c r="C303" s="20"/>
      <c r="D303" s="18" t="str">
        <f aca="false">IFERROR(INDEX('Operator Master'!$B$5:$B$504,MATCH(C303,'Operator Master'!$A$5:$A$504,0)),"")</f>
        <v/>
      </c>
      <c r="E303" s="20"/>
      <c r="F303" s="18"/>
      <c r="G303" s="18"/>
    </row>
    <row r="304" customFormat="false" ht="14.25" hidden="false" customHeight="true" outlineLevel="0" collapsed="false">
      <c r="A304" s="19"/>
      <c r="B304" s="19" t="str">
        <f aca="false">IF(A304="","",A304+6)</f>
        <v/>
      </c>
      <c r="C304" s="20"/>
      <c r="D304" s="18" t="str">
        <f aca="false">IFERROR(INDEX('Operator Master'!$B$5:$B$504,MATCH(C304,'Operator Master'!$A$5:$A$504,0)),"")</f>
        <v/>
      </c>
      <c r="E304" s="20"/>
      <c r="F304" s="18"/>
      <c r="G304" s="18"/>
    </row>
    <row r="305" customFormat="false" ht="14.25" hidden="false" customHeight="true" outlineLevel="0" collapsed="false">
      <c r="A305" s="19"/>
      <c r="B305" s="19" t="str">
        <f aca="false">IF(A305="","",A305+6)</f>
        <v/>
      </c>
      <c r="C305" s="20"/>
      <c r="D305" s="18" t="str">
        <f aca="false">IFERROR(INDEX('Operator Master'!$B$5:$B$504,MATCH(C305,'Operator Master'!$A$5:$A$504,0)),"")</f>
        <v/>
      </c>
      <c r="E305" s="20"/>
      <c r="F305" s="18"/>
      <c r="G305" s="18"/>
    </row>
    <row r="306" customFormat="false" ht="14.25" hidden="false" customHeight="true" outlineLevel="0" collapsed="false">
      <c r="A306" s="19"/>
      <c r="B306" s="19" t="str">
        <f aca="false">IF(A306="","",A306+6)</f>
        <v/>
      </c>
      <c r="C306" s="20"/>
      <c r="D306" s="18" t="str">
        <f aca="false">IFERROR(INDEX('Operator Master'!$B$5:$B$504,MATCH(C306,'Operator Master'!$A$5:$A$504,0)),"")</f>
        <v/>
      </c>
      <c r="E306" s="20"/>
      <c r="F306" s="18"/>
      <c r="G306" s="18"/>
    </row>
    <row r="307" customFormat="false" ht="14.25" hidden="false" customHeight="true" outlineLevel="0" collapsed="false">
      <c r="A307" s="19"/>
      <c r="B307" s="19" t="str">
        <f aca="false">IF(A307="","",A307+6)</f>
        <v/>
      </c>
      <c r="C307" s="20"/>
      <c r="D307" s="18" t="str">
        <f aca="false">IFERROR(INDEX('Operator Master'!$B$5:$B$504,MATCH(C307,'Operator Master'!$A$5:$A$504,0)),"")</f>
        <v/>
      </c>
      <c r="E307" s="20"/>
      <c r="F307" s="18"/>
      <c r="G307" s="18"/>
    </row>
    <row r="308" customFormat="false" ht="14.25" hidden="false" customHeight="true" outlineLevel="0" collapsed="false">
      <c r="A308" s="19"/>
      <c r="B308" s="19" t="str">
        <f aca="false">IF(A308="","",A308+6)</f>
        <v/>
      </c>
      <c r="C308" s="20"/>
      <c r="D308" s="18" t="str">
        <f aca="false">IFERROR(INDEX('Operator Master'!$B$5:$B$504,MATCH(C308,'Operator Master'!$A$5:$A$504,0)),"")</f>
        <v/>
      </c>
      <c r="E308" s="20"/>
      <c r="F308" s="18"/>
      <c r="G308" s="18"/>
    </row>
    <row r="309" customFormat="false" ht="14.25" hidden="false" customHeight="true" outlineLevel="0" collapsed="false">
      <c r="A309" s="19"/>
      <c r="B309" s="19" t="str">
        <f aca="false">IF(A309="","",A309+6)</f>
        <v/>
      </c>
      <c r="C309" s="20"/>
      <c r="D309" s="18" t="str">
        <f aca="false">IFERROR(INDEX('Operator Master'!$B$5:$B$504,MATCH(C309,'Operator Master'!$A$5:$A$504,0)),"")</f>
        <v/>
      </c>
      <c r="E309" s="20"/>
      <c r="F309" s="18"/>
      <c r="G309" s="18"/>
    </row>
    <row r="310" customFormat="false" ht="14.25" hidden="false" customHeight="true" outlineLevel="0" collapsed="false">
      <c r="A310" s="19"/>
      <c r="B310" s="19" t="str">
        <f aca="false">IF(A310="","",A310+6)</f>
        <v/>
      </c>
      <c r="C310" s="20"/>
      <c r="D310" s="18" t="str">
        <f aca="false">IFERROR(INDEX('Operator Master'!$B$5:$B$504,MATCH(C310,'Operator Master'!$A$5:$A$504,0)),"")</f>
        <v/>
      </c>
      <c r="E310" s="20"/>
      <c r="F310" s="18"/>
      <c r="G310" s="18"/>
    </row>
    <row r="311" customFormat="false" ht="14.25" hidden="false" customHeight="true" outlineLevel="0" collapsed="false">
      <c r="A311" s="19"/>
      <c r="B311" s="19" t="str">
        <f aca="false">IF(A311="","",A311+6)</f>
        <v/>
      </c>
      <c r="C311" s="20"/>
      <c r="D311" s="18" t="str">
        <f aca="false">IFERROR(INDEX('Operator Master'!$B$5:$B$504,MATCH(C311,'Operator Master'!$A$5:$A$504,0)),"")</f>
        <v/>
      </c>
      <c r="E311" s="20"/>
      <c r="F311" s="18"/>
      <c r="G311" s="18"/>
    </row>
    <row r="312" customFormat="false" ht="14.25" hidden="false" customHeight="true" outlineLevel="0" collapsed="false">
      <c r="A312" s="19"/>
      <c r="B312" s="19" t="str">
        <f aca="false">IF(A312="","",A312+6)</f>
        <v/>
      </c>
      <c r="C312" s="20"/>
      <c r="D312" s="18" t="str">
        <f aca="false">IFERROR(INDEX('Operator Master'!$B$5:$B$504,MATCH(C312,'Operator Master'!$A$5:$A$504,0)),"")</f>
        <v/>
      </c>
      <c r="E312" s="20"/>
      <c r="F312" s="18"/>
      <c r="G312" s="18"/>
    </row>
    <row r="313" customFormat="false" ht="14.25" hidden="false" customHeight="true" outlineLevel="0" collapsed="false">
      <c r="A313" s="19"/>
      <c r="B313" s="19" t="str">
        <f aca="false">IF(A313="","",A313+6)</f>
        <v/>
      </c>
      <c r="C313" s="20"/>
      <c r="D313" s="18" t="str">
        <f aca="false">IFERROR(INDEX('Operator Master'!$B$5:$B$504,MATCH(C313,'Operator Master'!$A$5:$A$504,0)),"")</f>
        <v/>
      </c>
      <c r="E313" s="20"/>
      <c r="F313" s="18"/>
      <c r="G313" s="18"/>
    </row>
    <row r="314" customFormat="false" ht="14.25" hidden="false" customHeight="true" outlineLevel="0" collapsed="false">
      <c r="A314" s="19"/>
      <c r="B314" s="19" t="str">
        <f aca="false">IF(A314="","",A314+6)</f>
        <v/>
      </c>
      <c r="C314" s="20"/>
      <c r="D314" s="18" t="str">
        <f aca="false">IFERROR(INDEX('Operator Master'!$B$5:$B$504,MATCH(C314,'Operator Master'!$A$5:$A$504,0)),"")</f>
        <v/>
      </c>
      <c r="E314" s="20"/>
      <c r="F314" s="18"/>
      <c r="G314" s="18"/>
    </row>
    <row r="315" customFormat="false" ht="14.25" hidden="false" customHeight="true" outlineLevel="0" collapsed="false">
      <c r="A315" s="19"/>
      <c r="B315" s="19" t="str">
        <f aca="false">IF(A315="","",A315+6)</f>
        <v/>
      </c>
      <c r="C315" s="20"/>
      <c r="D315" s="18" t="str">
        <f aca="false">IFERROR(INDEX('Operator Master'!$B$5:$B$504,MATCH(C315,'Operator Master'!$A$5:$A$504,0)),"")</f>
        <v/>
      </c>
      <c r="E315" s="20"/>
      <c r="F315" s="18"/>
      <c r="G315" s="18"/>
    </row>
    <row r="316" customFormat="false" ht="14.25" hidden="false" customHeight="true" outlineLevel="0" collapsed="false">
      <c r="A316" s="19"/>
      <c r="B316" s="19" t="str">
        <f aca="false">IF(A316="","",A316+6)</f>
        <v/>
      </c>
      <c r="C316" s="20"/>
      <c r="D316" s="18" t="str">
        <f aca="false">IFERROR(INDEX('Operator Master'!$B$5:$B$504,MATCH(C316,'Operator Master'!$A$5:$A$504,0)),"")</f>
        <v/>
      </c>
      <c r="E316" s="20"/>
      <c r="F316" s="18"/>
      <c r="G316" s="18"/>
    </row>
    <row r="317" customFormat="false" ht="14.25" hidden="false" customHeight="true" outlineLevel="0" collapsed="false">
      <c r="A317" s="19"/>
      <c r="B317" s="19" t="str">
        <f aca="false">IF(A317="","",A317+6)</f>
        <v/>
      </c>
      <c r="C317" s="20"/>
      <c r="D317" s="18" t="str">
        <f aca="false">IFERROR(INDEX('Operator Master'!$B$5:$B$504,MATCH(C317,'Operator Master'!$A$5:$A$504,0)),"")</f>
        <v/>
      </c>
      <c r="E317" s="20"/>
      <c r="F317" s="18"/>
      <c r="G317" s="18"/>
    </row>
    <row r="318" customFormat="false" ht="14.25" hidden="false" customHeight="true" outlineLevel="0" collapsed="false">
      <c r="A318" s="19"/>
      <c r="B318" s="19" t="str">
        <f aca="false">IF(A318="","",A318+6)</f>
        <v/>
      </c>
      <c r="C318" s="20"/>
      <c r="D318" s="18" t="str">
        <f aca="false">IFERROR(INDEX('Operator Master'!$B$5:$B$504,MATCH(C318,'Operator Master'!$A$5:$A$504,0)),"")</f>
        <v/>
      </c>
      <c r="E318" s="20"/>
      <c r="F318" s="18"/>
      <c r="G318" s="18"/>
    </row>
    <row r="319" customFormat="false" ht="14.25" hidden="false" customHeight="true" outlineLevel="0" collapsed="false">
      <c r="A319" s="19"/>
      <c r="B319" s="19" t="str">
        <f aca="false">IF(A319="","",A319+6)</f>
        <v/>
      </c>
      <c r="C319" s="20"/>
      <c r="D319" s="18" t="str">
        <f aca="false">IFERROR(INDEX('Operator Master'!$B$5:$B$504,MATCH(C319,'Operator Master'!$A$5:$A$504,0)),"")</f>
        <v/>
      </c>
      <c r="E319" s="20"/>
      <c r="F319" s="18"/>
      <c r="G319" s="18"/>
    </row>
    <row r="320" customFormat="false" ht="14.25" hidden="false" customHeight="true" outlineLevel="0" collapsed="false">
      <c r="A320" s="19"/>
      <c r="B320" s="19" t="str">
        <f aca="false">IF(A320="","",A320+6)</f>
        <v/>
      </c>
      <c r="C320" s="20"/>
      <c r="D320" s="18" t="str">
        <f aca="false">IFERROR(INDEX('Operator Master'!$B$5:$B$504,MATCH(C320,'Operator Master'!$A$5:$A$504,0)),"")</f>
        <v/>
      </c>
      <c r="E320" s="20"/>
      <c r="F320" s="18"/>
      <c r="G320" s="18"/>
    </row>
    <row r="321" customFormat="false" ht="14.25" hidden="false" customHeight="true" outlineLevel="0" collapsed="false">
      <c r="A321" s="19"/>
      <c r="B321" s="19" t="str">
        <f aca="false">IF(A321="","",A321+6)</f>
        <v/>
      </c>
      <c r="C321" s="20"/>
      <c r="D321" s="18" t="str">
        <f aca="false">IFERROR(INDEX('Operator Master'!$B$5:$B$504,MATCH(C321,'Operator Master'!$A$5:$A$504,0)),"")</f>
        <v/>
      </c>
      <c r="E321" s="20"/>
      <c r="F321" s="18"/>
      <c r="G321" s="18"/>
    </row>
    <row r="322" customFormat="false" ht="14.25" hidden="false" customHeight="true" outlineLevel="0" collapsed="false">
      <c r="A322" s="19"/>
      <c r="B322" s="19" t="str">
        <f aca="false">IF(A322="","",A322+6)</f>
        <v/>
      </c>
      <c r="C322" s="20"/>
      <c r="D322" s="18" t="str">
        <f aca="false">IFERROR(INDEX('Operator Master'!$B$5:$B$504,MATCH(C322,'Operator Master'!$A$5:$A$504,0)),"")</f>
        <v/>
      </c>
      <c r="E322" s="20"/>
      <c r="F322" s="18"/>
      <c r="G322" s="18"/>
    </row>
    <row r="323" customFormat="false" ht="14.25" hidden="false" customHeight="true" outlineLevel="0" collapsed="false">
      <c r="A323" s="19"/>
      <c r="B323" s="19" t="str">
        <f aca="false">IF(A323="","",A323+6)</f>
        <v/>
      </c>
      <c r="C323" s="20"/>
      <c r="D323" s="18" t="str">
        <f aca="false">IFERROR(INDEX('Operator Master'!$B$5:$B$504,MATCH(C323,'Operator Master'!$A$5:$A$504,0)),"")</f>
        <v/>
      </c>
      <c r="E323" s="20"/>
      <c r="F323" s="18"/>
      <c r="G323" s="18"/>
    </row>
    <row r="324" customFormat="false" ht="14.25" hidden="false" customHeight="true" outlineLevel="0" collapsed="false">
      <c r="A324" s="19"/>
      <c r="B324" s="19" t="str">
        <f aca="false">IF(A324="","",A324+6)</f>
        <v/>
      </c>
      <c r="C324" s="20"/>
      <c r="D324" s="18" t="str">
        <f aca="false">IFERROR(INDEX('Operator Master'!$B$5:$B$504,MATCH(C324,'Operator Master'!$A$5:$A$504,0)),"")</f>
        <v/>
      </c>
      <c r="E324" s="20"/>
      <c r="F324" s="18"/>
      <c r="G324" s="18"/>
    </row>
    <row r="325" customFormat="false" ht="14.25" hidden="false" customHeight="true" outlineLevel="0" collapsed="false">
      <c r="A325" s="19"/>
      <c r="B325" s="19" t="str">
        <f aca="false">IF(A325="","",A325+6)</f>
        <v/>
      </c>
      <c r="C325" s="20"/>
      <c r="D325" s="18" t="str">
        <f aca="false">IFERROR(INDEX('Operator Master'!$B$5:$B$504,MATCH(C325,'Operator Master'!$A$5:$A$504,0)),"")</f>
        <v/>
      </c>
      <c r="E325" s="20"/>
      <c r="F325" s="18"/>
      <c r="G325" s="18"/>
    </row>
    <row r="326" customFormat="false" ht="14.25" hidden="false" customHeight="true" outlineLevel="0" collapsed="false">
      <c r="A326" s="19"/>
      <c r="B326" s="19" t="str">
        <f aca="false">IF(A326="","",A326+6)</f>
        <v/>
      </c>
      <c r="C326" s="20"/>
      <c r="D326" s="18" t="str">
        <f aca="false">IFERROR(INDEX('Operator Master'!$B$5:$B$504,MATCH(C326,'Operator Master'!$A$5:$A$504,0)),"")</f>
        <v/>
      </c>
      <c r="E326" s="20"/>
      <c r="F326" s="18"/>
      <c r="G326" s="18"/>
    </row>
    <row r="327" customFormat="false" ht="14.25" hidden="false" customHeight="true" outlineLevel="0" collapsed="false">
      <c r="A327" s="19"/>
      <c r="B327" s="19" t="str">
        <f aca="false">IF(A327="","",A327+6)</f>
        <v/>
      </c>
      <c r="C327" s="20"/>
      <c r="D327" s="18" t="str">
        <f aca="false">IFERROR(INDEX('Operator Master'!$B$5:$B$504,MATCH(C327,'Operator Master'!$A$5:$A$504,0)),"")</f>
        <v/>
      </c>
      <c r="E327" s="20"/>
      <c r="F327" s="18"/>
      <c r="G327" s="18"/>
    </row>
    <row r="328" customFormat="false" ht="14.25" hidden="false" customHeight="true" outlineLevel="0" collapsed="false">
      <c r="A328" s="19"/>
      <c r="B328" s="19" t="str">
        <f aca="false">IF(A328="","",A328+6)</f>
        <v/>
      </c>
      <c r="C328" s="20"/>
      <c r="D328" s="18" t="str">
        <f aca="false">IFERROR(INDEX('Operator Master'!$B$5:$B$504,MATCH(C328,'Operator Master'!$A$5:$A$504,0)),"")</f>
        <v/>
      </c>
      <c r="E328" s="20"/>
      <c r="F328" s="18"/>
      <c r="G328" s="18"/>
    </row>
    <row r="329" customFormat="false" ht="14.25" hidden="false" customHeight="true" outlineLevel="0" collapsed="false">
      <c r="A329" s="19"/>
      <c r="B329" s="19" t="str">
        <f aca="false">IF(A329="","",A329+6)</f>
        <v/>
      </c>
      <c r="C329" s="20"/>
      <c r="D329" s="18" t="str">
        <f aca="false">IFERROR(INDEX('Operator Master'!$B$5:$B$504,MATCH(C329,'Operator Master'!$A$5:$A$504,0)),"")</f>
        <v/>
      </c>
      <c r="E329" s="20"/>
      <c r="F329" s="18"/>
      <c r="G329" s="18"/>
    </row>
    <row r="330" customFormat="false" ht="14.25" hidden="false" customHeight="true" outlineLevel="0" collapsed="false">
      <c r="A330" s="19"/>
      <c r="B330" s="19" t="str">
        <f aca="false">IF(A330="","",A330+6)</f>
        <v/>
      </c>
      <c r="C330" s="20"/>
      <c r="D330" s="18" t="str">
        <f aca="false">IFERROR(INDEX('Operator Master'!$B$5:$B$504,MATCH(C330,'Operator Master'!$A$5:$A$504,0)),"")</f>
        <v/>
      </c>
      <c r="E330" s="20"/>
      <c r="F330" s="18"/>
      <c r="G330" s="18"/>
    </row>
    <row r="331" customFormat="false" ht="14.25" hidden="false" customHeight="true" outlineLevel="0" collapsed="false">
      <c r="A331" s="19"/>
      <c r="B331" s="19" t="str">
        <f aca="false">IF(A331="","",A331+6)</f>
        <v/>
      </c>
      <c r="C331" s="20"/>
      <c r="D331" s="18" t="str">
        <f aca="false">IFERROR(INDEX('Operator Master'!$B$5:$B$504,MATCH(C331,'Operator Master'!$A$5:$A$504,0)),"")</f>
        <v/>
      </c>
      <c r="E331" s="20"/>
      <c r="F331" s="18"/>
      <c r="G331" s="18"/>
    </row>
    <row r="332" customFormat="false" ht="14.25" hidden="false" customHeight="true" outlineLevel="0" collapsed="false">
      <c r="A332" s="19"/>
      <c r="B332" s="19" t="str">
        <f aca="false">IF(A332="","",A332+6)</f>
        <v/>
      </c>
      <c r="C332" s="20"/>
      <c r="D332" s="18" t="str">
        <f aca="false">IFERROR(INDEX('Operator Master'!$B$5:$B$504,MATCH(C332,'Operator Master'!$A$5:$A$504,0)),"")</f>
        <v/>
      </c>
      <c r="E332" s="20"/>
      <c r="F332" s="18"/>
      <c r="G332" s="18"/>
    </row>
    <row r="333" customFormat="false" ht="14.25" hidden="false" customHeight="true" outlineLevel="0" collapsed="false">
      <c r="A333" s="19"/>
      <c r="B333" s="19" t="str">
        <f aca="false">IF(A333="","",A333+6)</f>
        <v/>
      </c>
      <c r="C333" s="20"/>
      <c r="D333" s="18" t="str">
        <f aca="false">IFERROR(INDEX('Operator Master'!$B$5:$B$504,MATCH(C333,'Operator Master'!$A$5:$A$504,0)),"")</f>
        <v/>
      </c>
      <c r="E333" s="20"/>
      <c r="F333" s="18"/>
      <c r="G333" s="18"/>
    </row>
    <row r="334" customFormat="false" ht="14.25" hidden="false" customHeight="true" outlineLevel="0" collapsed="false">
      <c r="A334" s="19"/>
      <c r="B334" s="19" t="str">
        <f aca="false">IF(A334="","",A334+6)</f>
        <v/>
      </c>
      <c r="C334" s="20"/>
      <c r="D334" s="18" t="str">
        <f aca="false">IFERROR(INDEX('Operator Master'!$B$5:$B$504,MATCH(C334,'Operator Master'!$A$5:$A$504,0)),"")</f>
        <v/>
      </c>
      <c r="E334" s="20"/>
      <c r="F334" s="18"/>
      <c r="G334" s="18"/>
    </row>
    <row r="335" customFormat="false" ht="14.25" hidden="false" customHeight="true" outlineLevel="0" collapsed="false">
      <c r="A335" s="19"/>
      <c r="B335" s="19" t="str">
        <f aca="false">IF(A335="","",A335+6)</f>
        <v/>
      </c>
      <c r="C335" s="20"/>
      <c r="D335" s="18" t="str">
        <f aca="false">IFERROR(INDEX('Operator Master'!$B$5:$B$504,MATCH(C335,'Operator Master'!$A$5:$A$504,0)),"")</f>
        <v/>
      </c>
      <c r="E335" s="20"/>
      <c r="F335" s="18"/>
      <c r="G335" s="18"/>
    </row>
    <row r="336" customFormat="false" ht="14.25" hidden="false" customHeight="true" outlineLevel="0" collapsed="false">
      <c r="A336" s="19"/>
      <c r="B336" s="19" t="str">
        <f aca="false">IF(A336="","",A336+6)</f>
        <v/>
      </c>
      <c r="C336" s="20"/>
      <c r="D336" s="18" t="str">
        <f aca="false">IFERROR(INDEX('Operator Master'!$B$5:$B$504,MATCH(C336,'Operator Master'!$A$5:$A$504,0)),"")</f>
        <v/>
      </c>
      <c r="E336" s="20"/>
      <c r="F336" s="18"/>
      <c r="G336" s="18"/>
    </row>
    <row r="337" customFormat="false" ht="14.25" hidden="false" customHeight="true" outlineLevel="0" collapsed="false">
      <c r="A337" s="19"/>
      <c r="B337" s="19" t="str">
        <f aca="false">IF(A337="","",A337+6)</f>
        <v/>
      </c>
      <c r="C337" s="20"/>
      <c r="D337" s="18" t="str">
        <f aca="false">IFERROR(INDEX('Operator Master'!$B$5:$B$504,MATCH(C337,'Operator Master'!$A$5:$A$504,0)),"")</f>
        <v/>
      </c>
      <c r="E337" s="20"/>
      <c r="F337" s="18"/>
      <c r="G337" s="18"/>
    </row>
    <row r="338" customFormat="false" ht="14.25" hidden="false" customHeight="true" outlineLevel="0" collapsed="false">
      <c r="A338" s="19"/>
      <c r="B338" s="19" t="str">
        <f aca="false">IF(A338="","",A338+6)</f>
        <v/>
      </c>
      <c r="C338" s="20"/>
      <c r="D338" s="18" t="str">
        <f aca="false">IFERROR(INDEX('Operator Master'!$B$5:$B$504,MATCH(C338,'Operator Master'!$A$5:$A$504,0)),"")</f>
        <v/>
      </c>
      <c r="E338" s="20"/>
      <c r="F338" s="18"/>
      <c r="G338" s="18"/>
    </row>
    <row r="339" customFormat="false" ht="14.25" hidden="false" customHeight="true" outlineLevel="0" collapsed="false">
      <c r="A339" s="19"/>
      <c r="B339" s="19" t="str">
        <f aca="false">IF(A339="","",A339+6)</f>
        <v/>
      </c>
      <c r="C339" s="20"/>
      <c r="D339" s="18" t="str">
        <f aca="false">IFERROR(INDEX('Operator Master'!$B$5:$B$504,MATCH(C339,'Operator Master'!$A$5:$A$504,0)),"")</f>
        <v/>
      </c>
      <c r="E339" s="20"/>
      <c r="F339" s="18"/>
      <c r="G339" s="18"/>
    </row>
    <row r="340" customFormat="false" ht="14.25" hidden="false" customHeight="true" outlineLevel="0" collapsed="false">
      <c r="A340" s="19"/>
      <c r="B340" s="19" t="str">
        <f aca="false">IF(A340="","",A340+6)</f>
        <v/>
      </c>
      <c r="C340" s="20"/>
      <c r="D340" s="18" t="str">
        <f aca="false">IFERROR(INDEX('Operator Master'!$B$5:$B$504,MATCH(C340,'Operator Master'!$A$5:$A$504,0)),"")</f>
        <v/>
      </c>
      <c r="E340" s="20"/>
      <c r="F340" s="18"/>
      <c r="G340" s="18"/>
    </row>
    <row r="341" customFormat="false" ht="14.25" hidden="false" customHeight="true" outlineLevel="0" collapsed="false">
      <c r="A341" s="19"/>
      <c r="B341" s="19" t="str">
        <f aca="false">IF(A341="","",A341+6)</f>
        <v/>
      </c>
      <c r="C341" s="20"/>
      <c r="D341" s="18" t="str">
        <f aca="false">IFERROR(INDEX('Operator Master'!$B$5:$B$504,MATCH(C341,'Operator Master'!$A$5:$A$504,0)),"")</f>
        <v/>
      </c>
      <c r="E341" s="20"/>
      <c r="F341" s="18"/>
      <c r="G341" s="18"/>
    </row>
    <row r="342" customFormat="false" ht="14.25" hidden="false" customHeight="true" outlineLevel="0" collapsed="false">
      <c r="A342" s="19"/>
      <c r="B342" s="19" t="str">
        <f aca="false">IF(A342="","",A342+6)</f>
        <v/>
      </c>
      <c r="C342" s="20"/>
      <c r="D342" s="18" t="str">
        <f aca="false">IFERROR(INDEX('Operator Master'!$B$5:$B$504,MATCH(C342,'Operator Master'!$A$5:$A$504,0)),"")</f>
        <v/>
      </c>
      <c r="E342" s="20"/>
      <c r="F342" s="18"/>
      <c r="G342" s="18"/>
    </row>
    <row r="343" customFormat="false" ht="14.25" hidden="false" customHeight="true" outlineLevel="0" collapsed="false">
      <c r="A343" s="19"/>
      <c r="B343" s="19" t="str">
        <f aca="false">IF(A343="","",A343+6)</f>
        <v/>
      </c>
      <c r="C343" s="20"/>
      <c r="D343" s="18" t="str">
        <f aca="false">IFERROR(INDEX('Operator Master'!$B$5:$B$504,MATCH(C343,'Operator Master'!$A$5:$A$504,0)),"")</f>
        <v/>
      </c>
      <c r="E343" s="20"/>
      <c r="F343" s="18"/>
      <c r="G343" s="18"/>
    </row>
    <row r="344" customFormat="false" ht="14.25" hidden="false" customHeight="true" outlineLevel="0" collapsed="false">
      <c r="A344" s="19"/>
      <c r="B344" s="19" t="str">
        <f aca="false">IF(A344="","",A344+6)</f>
        <v/>
      </c>
      <c r="C344" s="20"/>
      <c r="D344" s="18" t="str">
        <f aca="false">IFERROR(INDEX('Operator Master'!$B$5:$B$504,MATCH(C344,'Operator Master'!$A$5:$A$504,0)),"")</f>
        <v/>
      </c>
      <c r="E344" s="20"/>
      <c r="F344" s="18"/>
      <c r="G344" s="18"/>
    </row>
    <row r="345" customFormat="false" ht="14.25" hidden="false" customHeight="true" outlineLevel="0" collapsed="false">
      <c r="A345" s="19"/>
      <c r="B345" s="19" t="str">
        <f aca="false">IF(A345="","",A345+6)</f>
        <v/>
      </c>
      <c r="C345" s="20"/>
      <c r="D345" s="18" t="str">
        <f aca="false">IFERROR(INDEX('Operator Master'!$B$5:$B$504,MATCH(C345,'Operator Master'!$A$5:$A$504,0)),"")</f>
        <v/>
      </c>
      <c r="E345" s="20"/>
      <c r="F345" s="18"/>
      <c r="G345" s="18"/>
    </row>
    <row r="346" customFormat="false" ht="14.25" hidden="false" customHeight="true" outlineLevel="0" collapsed="false">
      <c r="A346" s="19"/>
      <c r="B346" s="19" t="str">
        <f aca="false">IF(A346="","",A346+6)</f>
        <v/>
      </c>
      <c r="C346" s="20"/>
      <c r="D346" s="18" t="str">
        <f aca="false">IFERROR(INDEX('Operator Master'!$B$5:$B$504,MATCH(C346,'Operator Master'!$A$5:$A$504,0)),"")</f>
        <v/>
      </c>
      <c r="E346" s="20"/>
      <c r="F346" s="18"/>
      <c r="G346" s="18"/>
    </row>
    <row r="347" customFormat="false" ht="14.25" hidden="false" customHeight="true" outlineLevel="0" collapsed="false">
      <c r="A347" s="19"/>
      <c r="B347" s="19" t="str">
        <f aca="false">IF(A347="","",A347+6)</f>
        <v/>
      </c>
      <c r="C347" s="20"/>
      <c r="D347" s="18" t="str">
        <f aca="false">IFERROR(INDEX('Operator Master'!$B$5:$B$504,MATCH(C347,'Operator Master'!$A$5:$A$504,0)),"")</f>
        <v/>
      </c>
      <c r="E347" s="20"/>
      <c r="F347" s="18"/>
      <c r="G347" s="18"/>
    </row>
    <row r="348" customFormat="false" ht="14.25" hidden="false" customHeight="true" outlineLevel="0" collapsed="false">
      <c r="A348" s="19"/>
      <c r="B348" s="19" t="str">
        <f aca="false">IF(A348="","",A348+6)</f>
        <v/>
      </c>
      <c r="C348" s="20"/>
      <c r="D348" s="18" t="str">
        <f aca="false">IFERROR(INDEX('Operator Master'!$B$5:$B$504,MATCH(C348,'Operator Master'!$A$5:$A$504,0)),"")</f>
        <v/>
      </c>
      <c r="E348" s="20"/>
      <c r="F348" s="18"/>
      <c r="G348" s="18"/>
    </row>
    <row r="349" customFormat="false" ht="14.25" hidden="false" customHeight="true" outlineLevel="0" collapsed="false">
      <c r="A349" s="19"/>
      <c r="B349" s="19" t="str">
        <f aca="false">IF(A349="","",A349+6)</f>
        <v/>
      </c>
      <c r="C349" s="20"/>
      <c r="D349" s="18" t="str">
        <f aca="false">IFERROR(INDEX('Operator Master'!$B$5:$B$504,MATCH(C349,'Operator Master'!$A$5:$A$504,0)),"")</f>
        <v/>
      </c>
      <c r="E349" s="20"/>
      <c r="F349" s="18"/>
      <c r="G349" s="18"/>
    </row>
    <row r="350" customFormat="false" ht="14.25" hidden="false" customHeight="true" outlineLevel="0" collapsed="false">
      <c r="A350" s="19"/>
      <c r="B350" s="19" t="str">
        <f aca="false">IF(A350="","",A350+6)</f>
        <v/>
      </c>
      <c r="C350" s="20"/>
      <c r="D350" s="18" t="str">
        <f aca="false">IFERROR(INDEX('Operator Master'!$B$5:$B$504,MATCH(C350,'Operator Master'!$A$5:$A$504,0)),"")</f>
        <v/>
      </c>
      <c r="E350" s="20"/>
      <c r="F350" s="18"/>
      <c r="G350" s="18"/>
    </row>
    <row r="351" customFormat="false" ht="14.25" hidden="false" customHeight="true" outlineLevel="0" collapsed="false">
      <c r="A351" s="19"/>
      <c r="B351" s="19" t="str">
        <f aca="false">IF(A351="","",A351+6)</f>
        <v/>
      </c>
      <c r="C351" s="20"/>
      <c r="D351" s="18" t="str">
        <f aca="false">IFERROR(INDEX('Operator Master'!$B$5:$B$504,MATCH(C351,'Operator Master'!$A$5:$A$504,0)),"")</f>
        <v/>
      </c>
      <c r="E351" s="20"/>
      <c r="F351" s="18"/>
      <c r="G351" s="18"/>
    </row>
    <row r="352" customFormat="false" ht="14.25" hidden="false" customHeight="true" outlineLevel="0" collapsed="false">
      <c r="A352" s="19"/>
      <c r="B352" s="19" t="str">
        <f aca="false">IF(A352="","",A352+6)</f>
        <v/>
      </c>
      <c r="C352" s="20"/>
      <c r="D352" s="18" t="str">
        <f aca="false">IFERROR(INDEX('Operator Master'!$B$5:$B$504,MATCH(C352,'Operator Master'!$A$5:$A$504,0)),"")</f>
        <v/>
      </c>
      <c r="E352" s="20"/>
      <c r="F352" s="18"/>
      <c r="G352" s="18"/>
    </row>
    <row r="353" customFormat="false" ht="14.25" hidden="false" customHeight="true" outlineLevel="0" collapsed="false">
      <c r="A353" s="19"/>
      <c r="B353" s="19" t="str">
        <f aca="false">IF(A353="","",A353+6)</f>
        <v/>
      </c>
      <c r="C353" s="20"/>
      <c r="D353" s="18" t="str">
        <f aca="false">IFERROR(INDEX('Operator Master'!$B$5:$B$504,MATCH(C353,'Operator Master'!$A$5:$A$504,0)),"")</f>
        <v/>
      </c>
      <c r="E353" s="20"/>
      <c r="F353" s="18"/>
      <c r="G353" s="18"/>
    </row>
    <row r="354" customFormat="false" ht="14.25" hidden="false" customHeight="true" outlineLevel="0" collapsed="false">
      <c r="A354" s="19"/>
      <c r="B354" s="19" t="str">
        <f aca="false">IF(A354="","",A354+6)</f>
        <v/>
      </c>
      <c r="C354" s="20"/>
      <c r="D354" s="18" t="str">
        <f aca="false">IFERROR(INDEX('Operator Master'!$B$5:$B$504,MATCH(C354,'Operator Master'!$A$5:$A$504,0)),"")</f>
        <v/>
      </c>
      <c r="E354" s="20"/>
      <c r="F354" s="18"/>
      <c r="G354" s="18"/>
    </row>
    <row r="355" customFormat="false" ht="14.25" hidden="false" customHeight="true" outlineLevel="0" collapsed="false">
      <c r="A355" s="19"/>
      <c r="B355" s="19" t="str">
        <f aca="false">IF(A355="","",A355+6)</f>
        <v/>
      </c>
      <c r="C355" s="20"/>
      <c r="D355" s="18" t="str">
        <f aca="false">IFERROR(INDEX('Operator Master'!$B$5:$B$504,MATCH(C355,'Operator Master'!$A$5:$A$504,0)),"")</f>
        <v/>
      </c>
      <c r="E355" s="20"/>
      <c r="F355" s="18"/>
      <c r="G355" s="18"/>
    </row>
    <row r="356" customFormat="false" ht="14.25" hidden="false" customHeight="true" outlineLevel="0" collapsed="false">
      <c r="A356" s="19"/>
      <c r="B356" s="19" t="str">
        <f aca="false">IF(A356="","",A356+6)</f>
        <v/>
      </c>
      <c r="C356" s="20"/>
      <c r="D356" s="18" t="str">
        <f aca="false">IFERROR(INDEX('Operator Master'!$B$5:$B$504,MATCH(C356,'Operator Master'!$A$5:$A$504,0)),"")</f>
        <v/>
      </c>
      <c r="E356" s="20"/>
      <c r="F356" s="18"/>
      <c r="G356" s="18"/>
    </row>
    <row r="357" customFormat="false" ht="14.25" hidden="false" customHeight="true" outlineLevel="0" collapsed="false">
      <c r="A357" s="19"/>
      <c r="B357" s="19" t="str">
        <f aca="false">IF(A357="","",A357+6)</f>
        <v/>
      </c>
      <c r="C357" s="20"/>
      <c r="D357" s="18" t="str">
        <f aca="false">IFERROR(INDEX('Operator Master'!$B$5:$B$504,MATCH(C357,'Operator Master'!$A$5:$A$504,0)),"")</f>
        <v/>
      </c>
      <c r="E357" s="20"/>
      <c r="F357" s="18"/>
      <c r="G357" s="18"/>
    </row>
    <row r="358" customFormat="false" ht="14.25" hidden="false" customHeight="true" outlineLevel="0" collapsed="false">
      <c r="A358" s="19"/>
      <c r="B358" s="19" t="str">
        <f aca="false">IF(A358="","",A358+6)</f>
        <v/>
      </c>
      <c r="C358" s="20"/>
      <c r="D358" s="18" t="str">
        <f aca="false">IFERROR(INDEX('Operator Master'!$B$5:$B$504,MATCH(C358,'Operator Master'!$A$5:$A$504,0)),"")</f>
        <v/>
      </c>
      <c r="E358" s="20"/>
      <c r="F358" s="18"/>
      <c r="G358" s="18"/>
    </row>
    <row r="359" customFormat="false" ht="14.25" hidden="false" customHeight="true" outlineLevel="0" collapsed="false">
      <c r="A359" s="19"/>
      <c r="B359" s="19" t="str">
        <f aca="false">IF(A359="","",A359+6)</f>
        <v/>
      </c>
      <c r="C359" s="20"/>
      <c r="D359" s="18" t="str">
        <f aca="false">IFERROR(INDEX('Operator Master'!$B$5:$B$504,MATCH(C359,'Operator Master'!$A$5:$A$504,0)),"")</f>
        <v/>
      </c>
      <c r="E359" s="20"/>
      <c r="F359" s="18"/>
      <c r="G359" s="18"/>
    </row>
    <row r="360" customFormat="false" ht="14.25" hidden="false" customHeight="true" outlineLevel="0" collapsed="false">
      <c r="A360" s="19"/>
      <c r="B360" s="19" t="str">
        <f aca="false">IF(A360="","",A360+6)</f>
        <v/>
      </c>
      <c r="C360" s="20"/>
      <c r="D360" s="18" t="str">
        <f aca="false">IFERROR(INDEX('Operator Master'!$B$5:$B$504,MATCH(C360,'Operator Master'!$A$5:$A$504,0)),"")</f>
        <v/>
      </c>
      <c r="E360" s="20"/>
      <c r="F360" s="18"/>
      <c r="G360" s="18"/>
    </row>
    <row r="361" customFormat="false" ht="14.25" hidden="false" customHeight="true" outlineLevel="0" collapsed="false">
      <c r="A361" s="19"/>
      <c r="B361" s="19" t="str">
        <f aca="false">IF(A361="","",A361+6)</f>
        <v/>
      </c>
      <c r="C361" s="20"/>
      <c r="D361" s="18" t="str">
        <f aca="false">IFERROR(INDEX('Operator Master'!$B$5:$B$504,MATCH(C361,'Operator Master'!$A$5:$A$504,0)),"")</f>
        <v/>
      </c>
      <c r="E361" s="20"/>
      <c r="F361" s="18"/>
      <c r="G361" s="18"/>
    </row>
    <row r="362" customFormat="false" ht="14.25" hidden="false" customHeight="true" outlineLevel="0" collapsed="false">
      <c r="A362" s="19"/>
      <c r="B362" s="19" t="str">
        <f aca="false">IF(A362="","",A362+6)</f>
        <v/>
      </c>
      <c r="C362" s="20"/>
      <c r="D362" s="18" t="str">
        <f aca="false">IFERROR(INDEX('Operator Master'!$B$5:$B$504,MATCH(C362,'Operator Master'!$A$5:$A$504,0)),"")</f>
        <v/>
      </c>
      <c r="E362" s="20"/>
      <c r="F362" s="18"/>
      <c r="G362" s="18"/>
    </row>
    <row r="363" customFormat="false" ht="14.25" hidden="false" customHeight="true" outlineLevel="0" collapsed="false">
      <c r="A363" s="19"/>
      <c r="B363" s="19" t="str">
        <f aca="false">IF(A363="","",A363+6)</f>
        <v/>
      </c>
      <c r="C363" s="20"/>
      <c r="D363" s="18" t="str">
        <f aca="false">IFERROR(INDEX('Operator Master'!$B$5:$B$504,MATCH(C363,'Operator Master'!$A$5:$A$504,0)),"")</f>
        <v/>
      </c>
      <c r="E363" s="20"/>
      <c r="F363" s="18"/>
      <c r="G363" s="18"/>
    </row>
    <row r="364" customFormat="false" ht="14.25" hidden="false" customHeight="true" outlineLevel="0" collapsed="false">
      <c r="A364" s="19"/>
      <c r="B364" s="19" t="str">
        <f aca="false">IF(A364="","",A364+6)</f>
        <v/>
      </c>
      <c r="C364" s="20"/>
      <c r="D364" s="18" t="str">
        <f aca="false">IFERROR(INDEX('Operator Master'!$B$5:$B$504,MATCH(C364,'Operator Master'!$A$5:$A$504,0)),"")</f>
        <v/>
      </c>
      <c r="E364" s="20"/>
      <c r="F364" s="18"/>
      <c r="G364" s="18"/>
    </row>
    <row r="365" customFormat="false" ht="14.25" hidden="false" customHeight="true" outlineLevel="0" collapsed="false">
      <c r="A365" s="19"/>
      <c r="B365" s="19" t="str">
        <f aca="false">IF(A365="","",A365+6)</f>
        <v/>
      </c>
      <c r="C365" s="20"/>
      <c r="D365" s="18" t="str">
        <f aca="false">IFERROR(INDEX('Operator Master'!$B$5:$B$504,MATCH(C365,'Operator Master'!$A$5:$A$504,0)),"")</f>
        <v/>
      </c>
      <c r="E365" s="20"/>
      <c r="F365" s="18"/>
      <c r="G365" s="18"/>
    </row>
    <row r="366" customFormat="false" ht="14.25" hidden="false" customHeight="true" outlineLevel="0" collapsed="false">
      <c r="A366" s="19"/>
      <c r="B366" s="19" t="str">
        <f aca="false">IF(A366="","",A366+6)</f>
        <v/>
      </c>
      <c r="C366" s="20"/>
      <c r="D366" s="18" t="str">
        <f aca="false">IFERROR(INDEX('Operator Master'!$B$5:$B$504,MATCH(C366,'Operator Master'!$A$5:$A$504,0)),"")</f>
        <v/>
      </c>
      <c r="E366" s="20"/>
      <c r="F366" s="18"/>
      <c r="G366" s="18"/>
    </row>
    <row r="367" customFormat="false" ht="14.25" hidden="false" customHeight="true" outlineLevel="0" collapsed="false">
      <c r="A367" s="19"/>
      <c r="B367" s="19" t="str">
        <f aca="false">IF(A367="","",A367+6)</f>
        <v/>
      </c>
      <c r="C367" s="20"/>
      <c r="D367" s="18" t="str">
        <f aca="false">IFERROR(INDEX('Operator Master'!$B$5:$B$504,MATCH(C367,'Operator Master'!$A$5:$A$504,0)),"")</f>
        <v/>
      </c>
      <c r="E367" s="20"/>
      <c r="F367" s="18"/>
      <c r="G367" s="18"/>
    </row>
    <row r="368" customFormat="false" ht="14.25" hidden="false" customHeight="true" outlineLevel="0" collapsed="false">
      <c r="A368" s="19"/>
      <c r="B368" s="19" t="str">
        <f aca="false">IF(A368="","",A368+6)</f>
        <v/>
      </c>
      <c r="C368" s="20"/>
      <c r="D368" s="18" t="str">
        <f aca="false">IFERROR(INDEX('Operator Master'!$B$5:$B$504,MATCH(C368,'Operator Master'!$A$5:$A$504,0)),"")</f>
        <v/>
      </c>
      <c r="E368" s="20"/>
      <c r="F368" s="18"/>
      <c r="G368" s="18"/>
    </row>
    <row r="369" customFormat="false" ht="14.25" hidden="false" customHeight="true" outlineLevel="0" collapsed="false">
      <c r="A369" s="19"/>
      <c r="B369" s="19" t="str">
        <f aca="false">IF(A369="","",A369+6)</f>
        <v/>
      </c>
      <c r="C369" s="20"/>
      <c r="D369" s="18" t="str">
        <f aca="false">IFERROR(INDEX('Operator Master'!$B$5:$B$504,MATCH(C369,'Operator Master'!$A$5:$A$504,0)),"")</f>
        <v/>
      </c>
      <c r="E369" s="20"/>
      <c r="F369" s="18"/>
      <c r="G369" s="18"/>
    </row>
    <row r="370" customFormat="false" ht="14.25" hidden="false" customHeight="true" outlineLevel="0" collapsed="false">
      <c r="A370" s="19"/>
      <c r="B370" s="19" t="str">
        <f aca="false">IF(A370="","",A370+6)</f>
        <v/>
      </c>
      <c r="C370" s="20"/>
      <c r="D370" s="18" t="str">
        <f aca="false">IFERROR(INDEX('Operator Master'!$B$5:$B$504,MATCH(C370,'Operator Master'!$A$5:$A$504,0)),"")</f>
        <v/>
      </c>
      <c r="E370" s="20"/>
      <c r="F370" s="18"/>
      <c r="G370" s="18"/>
    </row>
    <row r="371" customFormat="false" ht="14.25" hidden="false" customHeight="true" outlineLevel="0" collapsed="false">
      <c r="A371" s="19"/>
      <c r="B371" s="19" t="str">
        <f aca="false">IF(A371="","",A371+6)</f>
        <v/>
      </c>
      <c r="C371" s="20"/>
      <c r="D371" s="18" t="str">
        <f aca="false">IFERROR(INDEX('Operator Master'!$B$5:$B$504,MATCH(C371,'Operator Master'!$A$5:$A$504,0)),"")</f>
        <v/>
      </c>
      <c r="E371" s="20"/>
      <c r="F371" s="18"/>
      <c r="G371" s="18"/>
    </row>
    <row r="372" customFormat="false" ht="14.25" hidden="false" customHeight="true" outlineLevel="0" collapsed="false">
      <c r="A372" s="19"/>
      <c r="B372" s="19" t="str">
        <f aca="false">IF(A372="","",A372+6)</f>
        <v/>
      </c>
      <c r="C372" s="20"/>
      <c r="D372" s="18" t="str">
        <f aca="false">IFERROR(INDEX('Operator Master'!$B$5:$B$504,MATCH(C372,'Operator Master'!$A$5:$A$504,0)),"")</f>
        <v/>
      </c>
      <c r="E372" s="20"/>
      <c r="F372" s="18"/>
      <c r="G372" s="18"/>
    </row>
    <row r="373" customFormat="false" ht="14.25" hidden="false" customHeight="true" outlineLevel="0" collapsed="false">
      <c r="A373" s="19"/>
      <c r="B373" s="19" t="str">
        <f aca="false">IF(A373="","",A373+6)</f>
        <v/>
      </c>
      <c r="C373" s="20"/>
      <c r="D373" s="18" t="str">
        <f aca="false">IFERROR(INDEX('Operator Master'!$B$5:$B$504,MATCH(C373,'Operator Master'!$A$5:$A$504,0)),"")</f>
        <v/>
      </c>
      <c r="E373" s="20"/>
      <c r="F373" s="18"/>
      <c r="G373" s="18"/>
    </row>
    <row r="374" customFormat="false" ht="14.25" hidden="false" customHeight="true" outlineLevel="0" collapsed="false">
      <c r="A374" s="19"/>
      <c r="B374" s="19" t="str">
        <f aca="false">IF(A374="","",A374+6)</f>
        <v/>
      </c>
      <c r="C374" s="20"/>
      <c r="D374" s="18" t="str">
        <f aca="false">IFERROR(INDEX('Operator Master'!$B$5:$B$504,MATCH(C374,'Operator Master'!$A$5:$A$504,0)),"")</f>
        <v/>
      </c>
      <c r="E374" s="20"/>
      <c r="F374" s="18"/>
      <c r="G374" s="18"/>
    </row>
    <row r="375" customFormat="false" ht="14.25" hidden="false" customHeight="true" outlineLevel="0" collapsed="false">
      <c r="A375" s="19"/>
      <c r="B375" s="19" t="str">
        <f aca="false">IF(A375="","",A375+6)</f>
        <v/>
      </c>
      <c r="C375" s="20"/>
      <c r="D375" s="18" t="str">
        <f aca="false">IFERROR(INDEX('Operator Master'!$B$5:$B$504,MATCH(C375,'Operator Master'!$A$5:$A$504,0)),"")</f>
        <v/>
      </c>
      <c r="E375" s="20"/>
      <c r="F375" s="18"/>
      <c r="G375" s="18"/>
    </row>
    <row r="376" customFormat="false" ht="14.25" hidden="false" customHeight="true" outlineLevel="0" collapsed="false">
      <c r="A376" s="19"/>
      <c r="B376" s="19" t="str">
        <f aca="false">IF(A376="","",A376+6)</f>
        <v/>
      </c>
      <c r="C376" s="20"/>
      <c r="D376" s="18" t="str">
        <f aca="false">IFERROR(INDEX('Operator Master'!$B$5:$B$504,MATCH(C376,'Operator Master'!$A$5:$A$504,0)),"")</f>
        <v/>
      </c>
      <c r="E376" s="20"/>
      <c r="F376" s="18"/>
      <c r="G376" s="18"/>
    </row>
    <row r="377" customFormat="false" ht="14.25" hidden="false" customHeight="true" outlineLevel="0" collapsed="false">
      <c r="A377" s="19"/>
      <c r="B377" s="19" t="str">
        <f aca="false">IF(A377="","",A377+6)</f>
        <v/>
      </c>
      <c r="C377" s="20"/>
      <c r="D377" s="18" t="str">
        <f aca="false">IFERROR(INDEX('Operator Master'!$B$5:$B$504,MATCH(C377,'Operator Master'!$A$5:$A$504,0)),"")</f>
        <v/>
      </c>
      <c r="E377" s="20"/>
      <c r="F377" s="18"/>
      <c r="G377" s="18"/>
    </row>
    <row r="378" customFormat="false" ht="14.25" hidden="false" customHeight="true" outlineLevel="0" collapsed="false">
      <c r="A378" s="19"/>
      <c r="B378" s="19" t="str">
        <f aca="false">IF(A378="","",A378+6)</f>
        <v/>
      </c>
      <c r="C378" s="20"/>
      <c r="D378" s="18" t="str">
        <f aca="false">IFERROR(INDEX('Operator Master'!$B$5:$B$504,MATCH(C378,'Operator Master'!$A$5:$A$504,0)),"")</f>
        <v/>
      </c>
      <c r="E378" s="20"/>
      <c r="F378" s="18"/>
      <c r="G378" s="18"/>
    </row>
    <row r="379" customFormat="false" ht="14.25" hidden="false" customHeight="true" outlineLevel="0" collapsed="false">
      <c r="A379" s="19"/>
      <c r="B379" s="19" t="str">
        <f aca="false">IF(A379="","",A379+6)</f>
        <v/>
      </c>
      <c r="C379" s="20"/>
      <c r="D379" s="18" t="str">
        <f aca="false">IFERROR(INDEX('Operator Master'!$B$5:$B$504,MATCH(C379,'Operator Master'!$A$5:$A$504,0)),"")</f>
        <v/>
      </c>
      <c r="E379" s="20"/>
      <c r="F379" s="18"/>
      <c r="G379" s="18"/>
    </row>
    <row r="380" customFormat="false" ht="14.25" hidden="false" customHeight="true" outlineLevel="0" collapsed="false">
      <c r="A380" s="19"/>
      <c r="B380" s="19" t="str">
        <f aca="false">IF(A380="","",A380+6)</f>
        <v/>
      </c>
      <c r="C380" s="20"/>
      <c r="D380" s="18" t="str">
        <f aca="false">IFERROR(INDEX('Operator Master'!$B$5:$B$504,MATCH(C380,'Operator Master'!$A$5:$A$504,0)),"")</f>
        <v/>
      </c>
      <c r="E380" s="20"/>
      <c r="F380" s="18"/>
      <c r="G380" s="18"/>
    </row>
    <row r="381" customFormat="false" ht="14.25" hidden="false" customHeight="true" outlineLevel="0" collapsed="false">
      <c r="A381" s="19"/>
      <c r="B381" s="19" t="str">
        <f aca="false">IF(A381="","",A381+6)</f>
        <v/>
      </c>
      <c r="C381" s="20"/>
      <c r="D381" s="18" t="str">
        <f aca="false">IFERROR(INDEX('Operator Master'!$B$5:$B$504,MATCH(C381,'Operator Master'!$A$5:$A$504,0)),"")</f>
        <v/>
      </c>
      <c r="E381" s="20"/>
      <c r="F381" s="18"/>
      <c r="G381" s="18"/>
    </row>
    <row r="382" customFormat="false" ht="14.25" hidden="false" customHeight="true" outlineLevel="0" collapsed="false">
      <c r="A382" s="19"/>
      <c r="B382" s="19" t="str">
        <f aca="false">IF(A382="","",A382+6)</f>
        <v/>
      </c>
      <c r="C382" s="20"/>
      <c r="D382" s="18" t="str">
        <f aca="false">IFERROR(INDEX('Operator Master'!$B$5:$B$504,MATCH(C382,'Operator Master'!$A$5:$A$504,0)),"")</f>
        <v/>
      </c>
      <c r="E382" s="20"/>
      <c r="F382" s="18"/>
      <c r="G382" s="18"/>
    </row>
    <row r="383" customFormat="false" ht="14.25" hidden="false" customHeight="true" outlineLevel="0" collapsed="false">
      <c r="A383" s="19"/>
      <c r="B383" s="19" t="str">
        <f aca="false">IF(A383="","",A383+6)</f>
        <v/>
      </c>
      <c r="C383" s="20"/>
      <c r="D383" s="18" t="str">
        <f aca="false">IFERROR(INDEX('Operator Master'!$B$5:$B$504,MATCH(C383,'Operator Master'!$A$5:$A$504,0)),"")</f>
        <v/>
      </c>
      <c r="E383" s="20"/>
      <c r="F383" s="18"/>
      <c r="G383" s="18"/>
    </row>
    <row r="384" customFormat="false" ht="14.25" hidden="false" customHeight="true" outlineLevel="0" collapsed="false">
      <c r="A384" s="19"/>
      <c r="B384" s="19" t="str">
        <f aca="false">IF(A384="","",A384+6)</f>
        <v/>
      </c>
      <c r="C384" s="20"/>
      <c r="D384" s="18" t="str">
        <f aca="false">IFERROR(INDEX('Operator Master'!$B$5:$B$504,MATCH(C384,'Operator Master'!$A$5:$A$504,0)),"")</f>
        <v/>
      </c>
      <c r="E384" s="20"/>
      <c r="F384" s="18"/>
      <c r="G384" s="18"/>
    </row>
    <row r="385" customFormat="false" ht="14.25" hidden="false" customHeight="true" outlineLevel="0" collapsed="false">
      <c r="A385" s="19"/>
      <c r="B385" s="19" t="str">
        <f aca="false">IF(A385="","",A385+6)</f>
        <v/>
      </c>
      <c r="C385" s="20"/>
      <c r="D385" s="18" t="str">
        <f aca="false">IFERROR(INDEX('Operator Master'!$B$5:$B$504,MATCH(C385,'Operator Master'!$A$5:$A$504,0)),"")</f>
        <v/>
      </c>
      <c r="E385" s="20"/>
      <c r="F385" s="18"/>
      <c r="G385" s="18"/>
    </row>
    <row r="386" customFormat="false" ht="14.25" hidden="false" customHeight="true" outlineLevel="0" collapsed="false">
      <c r="A386" s="19"/>
      <c r="B386" s="19" t="str">
        <f aca="false">IF(A386="","",A386+6)</f>
        <v/>
      </c>
      <c r="C386" s="20"/>
      <c r="D386" s="18" t="str">
        <f aca="false">IFERROR(INDEX('Operator Master'!$B$5:$B$504,MATCH(C386,'Operator Master'!$A$5:$A$504,0)),"")</f>
        <v/>
      </c>
      <c r="E386" s="20"/>
      <c r="F386" s="18"/>
      <c r="G386" s="18"/>
    </row>
    <row r="387" customFormat="false" ht="14.25" hidden="false" customHeight="true" outlineLevel="0" collapsed="false">
      <c r="A387" s="19"/>
      <c r="B387" s="19" t="str">
        <f aca="false">IF(A387="","",A387+6)</f>
        <v/>
      </c>
      <c r="C387" s="20"/>
      <c r="D387" s="18" t="str">
        <f aca="false">IFERROR(INDEX('Operator Master'!$B$5:$B$504,MATCH(C387,'Operator Master'!$A$5:$A$504,0)),"")</f>
        <v/>
      </c>
      <c r="E387" s="20"/>
      <c r="F387" s="18"/>
      <c r="G387" s="18"/>
    </row>
    <row r="388" customFormat="false" ht="14.25" hidden="false" customHeight="true" outlineLevel="0" collapsed="false">
      <c r="A388" s="19"/>
      <c r="B388" s="19" t="str">
        <f aca="false">IF(A388="","",A388+6)</f>
        <v/>
      </c>
      <c r="C388" s="20"/>
      <c r="D388" s="18" t="str">
        <f aca="false">IFERROR(INDEX('Operator Master'!$B$5:$B$504,MATCH(C388,'Operator Master'!$A$5:$A$504,0)),"")</f>
        <v/>
      </c>
      <c r="E388" s="20"/>
      <c r="F388" s="18"/>
      <c r="G388" s="18"/>
    </row>
    <row r="389" customFormat="false" ht="14.25" hidden="false" customHeight="true" outlineLevel="0" collapsed="false">
      <c r="A389" s="19"/>
      <c r="B389" s="19" t="str">
        <f aca="false">IF(A389="","",A389+6)</f>
        <v/>
      </c>
      <c r="C389" s="20"/>
      <c r="D389" s="18" t="str">
        <f aca="false">IFERROR(INDEX('Operator Master'!$B$5:$B$504,MATCH(C389,'Operator Master'!$A$5:$A$504,0)),"")</f>
        <v/>
      </c>
      <c r="E389" s="20"/>
      <c r="F389" s="18"/>
      <c r="G389" s="18"/>
    </row>
    <row r="390" customFormat="false" ht="14.25" hidden="false" customHeight="true" outlineLevel="0" collapsed="false">
      <c r="A390" s="19"/>
      <c r="B390" s="19" t="str">
        <f aca="false">IF(A390="","",A390+6)</f>
        <v/>
      </c>
      <c r="C390" s="20"/>
      <c r="D390" s="18" t="str">
        <f aca="false">IFERROR(INDEX('Operator Master'!$B$5:$B$504,MATCH(C390,'Operator Master'!$A$5:$A$504,0)),"")</f>
        <v/>
      </c>
      <c r="E390" s="20"/>
      <c r="F390" s="18"/>
      <c r="G390" s="18"/>
    </row>
    <row r="391" customFormat="false" ht="14.25" hidden="false" customHeight="true" outlineLevel="0" collapsed="false">
      <c r="A391" s="19"/>
      <c r="B391" s="19" t="str">
        <f aca="false">IF(A391="","",A391+6)</f>
        <v/>
      </c>
      <c r="C391" s="20"/>
      <c r="D391" s="18" t="str">
        <f aca="false">IFERROR(INDEX('Operator Master'!$B$5:$B$504,MATCH(C391,'Operator Master'!$A$5:$A$504,0)),"")</f>
        <v/>
      </c>
      <c r="E391" s="20"/>
      <c r="F391" s="18"/>
      <c r="G391" s="18"/>
    </row>
    <row r="392" customFormat="false" ht="14.25" hidden="false" customHeight="true" outlineLevel="0" collapsed="false">
      <c r="A392" s="19"/>
      <c r="B392" s="19" t="str">
        <f aca="false">IF(A392="","",A392+6)</f>
        <v/>
      </c>
      <c r="C392" s="20"/>
      <c r="D392" s="18" t="str">
        <f aca="false">IFERROR(INDEX('Operator Master'!$B$5:$B$504,MATCH(C392,'Operator Master'!$A$5:$A$504,0)),"")</f>
        <v/>
      </c>
      <c r="E392" s="20"/>
      <c r="F392" s="18"/>
      <c r="G392" s="18"/>
    </row>
    <row r="393" customFormat="false" ht="14.25" hidden="false" customHeight="true" outlineLevel="0" collapsed="false">
      <c r="A393" s="19"/>
      <c r="B393" s="19" t="str">
        <f aca="false">IF(A393="","",A393+6)</f>
        <v/>
      </c>
      <c r="C393" s="20"/>
      <c r="D393" s="18" t="str">
        <f aca="false">IFERROR(INDEX('Operator Master'!$B$5:$B$504,MATCH(C393,'Operator Master'!$A$5:$A$504,0)),"")</f>
        <v/>
      </c>
      <c r="E393" s="20"/>
      <c r="F393" s="18"/>
      <c r="G393" s="18"/>
    </row>
    <row r="394" customFormat="false" ht="14.25" hidden="false" customHeight="true" outlineLevel="0" collapsed="false">
      <c r="A394" s="19"/>
      <c r="B394" s="19" t="str">
        <f aca="false">IF(A394="","",A394+6)</f>
        <v/>
      </c>
      <c r="C394" s="20"/>
      <c r="D394" s="18" t="str">
        <f aca="false">IFERROR(INDEX('Operator Master'!$B$5:$B$504,MATCH(C394,'Operator Master'!$A$5:$A$504,0)),"")</f>
        <v/>
      </c>
      <c r="E394" s="20"/>
      <c r="F394" s="18"/>
      <c r="G394" s="18"/>
    </row>
    <row r="395" customFormat="false" ht="14.25" hidden="false" customHeight="true" outlineLevel="0" collapsed="false">
      <c r="A395" s="19"/>
      <c r="B395" s="19" t="str">
        <f aca="false">IF(A395="","",A395+6)</f>
        <v/>
      </c>
      <c r="C395" s="20"/>
      <c r="D395" s="18" t="str">
        <f aca="false">IFERROR(INDEX('Operator Master'!$B$5:$B$504,MATCH(C395,'Operator Master'!$A$5:$A$504,0)),"")</f>
        <v/>
      </c>
      <c r="E395" s="20"/>
      <c r="F395" s="18"/>
      <c r="G395" s="18"/>
    </row>
    <row r="396" customFormat="false" ht="14.25" hidden="false" customHeight="true" outlineLevel="0" collapsed="false">
      <c r="A396" s="19"/>
      <c r="B396" s="19" t="str">
        <f aca="false">IF(A396="","",A396+6)</f>
        <v/>
      </c>
      <c r="C396" s="20"/>
      <c r="D396" s="18" t="str">
        <f aca="false">IFERROR(INDEX('Operator Master'!$B$5:$B$504,MATCH(C396,'Operator Master'!$A$5:$A$504,0)),"")</f>
        <v/>
      </c>
      <c r="E396" s="20"/>
      <c r="F396" s="18"/>
      <c r="G396" s="18"/>
    </row>
    <row r="397" customFormat="false" ht="14.25" hidden="false" customHeight="true" outlineLevel="0" collapsed="false">
      <c r="A397" s="19"/>
      <c r="B397" s="19" t="str">
        <f aca="false">IF(A397="","",A397+6)</f>
        <v/>
      </c>
      <c r="C397" s="20"/>
      <c r="D397" s="18" t="str">
        <f aca="false">IFERROR(INDEX('Operator Master'!$B$5:$B$504,MATCH(C397,'Operator Master'!$A$5:$A$504,0)),"")</f>
        <v/>
      </c>
      <c r="E397" s="20"/>
      <c r="F397" s="18"/>
      <c r="G397" s="18"/>
    </row>
    <row r="398" customFormat="false" ht="14.25" hidden="false" customHeight="true" outlineLevel="0" collapsed="false">
      <c r="A398" s="19"/>
      <c r="B398" s="19" t="str">
        <f aca="false">IF(A398="","",A398+6)</f>
        <v/>
      </c>
      <c r="C398" s="20"/>
      <c r="D398" s="18" t="str">
        <f aca="false">IFERROR(INDEX('Operator Master'!$B$5:$B$504,MATCH(C398,'Operator Master'!$A$5:$A$504,0)),"")</f>
        <v/>
      </c>
      <c r="E398" s="20"/>
      <c r="F398" s="18"/>
      <c r="G398" s="18"/>
    </row>
    <row r="399" customFormat="false" ht="14.25" hidden="false" customHeight="true" outlineLevel="0" collapsed="false">
      <c r="A399" s="19"/>
      <c r="B399" s="19" t="str">
        <f aca="false">IF(A399="","",A399+6)</f>
        <v/>
      </c>
      <c r="C399" s="20"/>
      <c r="D399" s="18" t="str">
        <f aca="false">IFERROR(INDEX('Operator Master'!$B$5:$B$504,MATCH(C399,'Operator Master'!$A$5:$A$504,0)),"")</f>
        <v/>
      </c>
      <c r="E399" s="20"/>
      <c r="F399" s="18"/>
      <c r="G399" s="18"/>
    </row>
    <row r="400" customFormat="false" ht="14.25" hidden="false" customHeight="true" outlineLevel="0" collapsed="false">
      <c r="A400" s="19"/>
      <c r="B400" s="19" t="str">
        <f aca="false">IF(A400="","",A400+6)</f>
        <v/>
      </c>
      <c r="C400" s="20"/>
      <c r="D400" s="18" t="str">
        <f aca="false">IFERROR(INDEX('Operator Master'!$B$5:$B$504,MATCH(C400,'Operator Master'!$A$5:$A$504,0)),"")</f>
        <v/>
      </c>
      <c r="E400" s="20"/>
      <c r="F400" s="18"/>
      <c r="G400" s="18"/>
    </row>
    <row r="401" customFormat="false" ht="14.25" hidden="false" customHeight="true" outlineLevel="0" collapsed="false">
      <c r="A401" s="19"/>
      <c r="B401" s="19" t="str">
        <f aca="false">IF(A401="","",A401+6)</f>
        <v/>
      </c>
      <c r="C401" s="20"/>
      <c r="D401" s="18" t="str">
        <f aca="false">IFERROR(INDEX('Operator Master'!$B$5:$B$504,MATCH(C401,'Operator Master'!$A$5:$A$504,0)),"")</f>
        <v/>
      </c>
      <c r="E401" s="20"/>
      <c r="F401" s="18"/>
      <c r="G401" s="18"/>
    </row>
    <row r="402" customFormat="false" ht="14.25" hidden="false" customHeight="true" outlineLevel="0" collapsed="false">
      <c r="A402" s="19"/>
      <c r="B402" s="19" t="str">
        <f aca="false">IF(A402="","",A402+6)</f>
        <v/>
      </c>
      <c r="C402" s="20"/>
      <c r="D402" s="18" t="str">
        <f aca="false">IFERROR(INDEX('Operator Master'!$B$5:$B$504,MATCH(C402,'Operator Master'!$A$5:$A$504,0)),"")</f>
        <v/>
      </c>
      <c r="E402" s="20"/>
      <c r="F402" s="18"/>
      <c r="G402" s="18"/>
    </row>
    <row r="403" customFormat="false" ht="14.25" hidden="false" customHeight="true" outlineLevel="0" collapsed="false">
      <c r="A403" s="19"/>
      <c r="B403" s="19" t="str">
        <f aca="false">IF(A403="","",A403+6)</f>
        <v/>
      </c>
      <c r="C403" s="20"/>
      <c r="D403" s="18" t="str">
        <f aca="false">IFERROR(INDEX('Operator Master'!$B$5:$B$504,MATCH(C403,'Operator Master'!$A$5:$A$504,0)),"")</f>
        <v/>
      </c>
      <c r="E403" s="20"/>
      <c r="F403" s="18"/>
      <c r="G403" s="18"/>
    </row>
    <row r="404" customFormat="false" ht="14.25" hidden="false" customHeight="true" outlineLevel="0" collapsed="false">
      <c r="A404" s="19"/>
      <c r="B404" s="19" t="str">
        <f aca="false">IF(A404="","",A404+6)</f>
        <v/>
      </c>
      <c r="C404" s="20"/>
      <c r="D404" s="18" t="str">
        <f aca="false">IFERROR(INDEX('Operator Master'!$B$5:$B$504,MATCH(C404,'Operator Master'!$A$5:$A$504,0)),"")</f>
        <v/>
      </c>
      <c r="E404" s="20"/>
      <c r="F404" s="18"/>
      <c r="G404" s="18"/>
    </row>
    <row r="405" customFormat="false" ht="14.25" hidden="false" customHeight="true" outlineLevel="0" collapsed="false">
      <c r="A405" s="19"/>
      <c r="B405" s="19" t="str">
        <f aca="false">IF(A405="","",A405+6)</f>
        <v/>
      </c>
      <c r="C405" s="20"/>
      <c r="D405" s="18" t="str">
        <f aca="false">IFERROR(INDEX('Operator Master'!$B$5:$B$504,MATCH(C405,'Operator Master'!$A$5:$A$504,0)),"")</f>
        <v/>
      </c>
      <c r="E405" s="20"/>
      <c r="F405" s="18"/>
      <c r="G405" s="18"/>
    </row>
    <row r="406" customFormat="false" ht="14.25" hidden="false" customHeight="true" outlineLevel="0" collapsed="false">
      <c r="A406" s="19"/>
      <c r="B406" s="19" t="str">
        <f aca="false">IF(A406="","",A406+6)</f>
        <v/>
      </c>
      <c r="C406" s="20"/>
      <c r="D406" s="18" t="str">
        <f aca="false">IFERROR(INDEX('Operator Master'!$B$5:$B$504,MATCH(C406,'Operator Master'!$A$5:$A$504,0)),"")</f>
        <v/>
      </c>
      <c r="E406" s="20"/>
      <c r="F406" s="18"/>
      <c r="G406" s="18"/>
    </row>
    <row r="407" customFormat="false" ht="14.25" hidden="false" customHeight="true" outlineLevel="0" collapsed="false">
      <c r="A407" s="19"/>
      <c r="B407" s="19" t="str">
        <f aca="false">IF(A407="","",A407+6)</f>
        <v/>
      </c>
      <c r="C407" s="20"/>
      <c r="D407" s="18" t="str">
        <f aca="false">IFERROR(INDEX('Operator Master'!$B$5:$B$504,MATCH(C407,'Operator Master'!$A$5:$A$504,0)),"")</f>
        <v/>
      </c>
      <c r="E407" s="20"/>
      <c r="F407" s="18"/>
      <c r="G407" s="18"/>
    </row>
    <row r="408" customFormat="false" ht="14.25" hidden="false" customHeight="true" outlineLevel="0" collapsed="false">
      <c r="A408" s="19"/>
      <c r="B408" s="19" t="str">
        <f aca="false">IF(A408="","",A408+6)</f>
        <v/>
      </c>
      <c r="C408" s="20"/>
      <c r="D408" s="18" t="str">
        <f aca="false">IFERROR(INDEX('Operator Master'!$B$5:$B$504,MATCH(C408,'Operator Master'!$A$5:$A$504,0)),"")</f>
        <v/>
      </c>
      <c r="E408" s="20"/>
      <c r="F408" s="18"/>
      <c r="G408" s="18"/>
    </row>
    <row r="409" customFormat="false" ht="14.25" hidden="false" customHeight="true" outlineLevel="0" collapsed="false">
      <c r="A409" s="19"/>
      <c r="B409" s="19" t="str">
        <f aca="false">IF(A409="","",A409+6)</f>
        <v/>
      </c>
      <c r="C409" s="20"/>
      <c r="D409" s="18" t="str">
        <f aca="false">IFERROR(INDEX('Operator Master'!$B$5:$B$504,MATCH(C409,'Operator Master'!$A$5:$A$504,0)),"")</f>
        <v/>
      </c>
      <c r="E409" s="20"/>
      <c r="F409" s="18"/>
      <c r="G409" s="18"/>
    </row>
    <row r="410" customFormat="false" ht="14.25" hidden="false" customHeight="true" outlineLevel="0" collapsed="false">
      <c r="A410" s="19"/>
      <c r="B410" s="19" t="str">
        <f aca="false">IF(A410="","",A410+6)</f>
        <v/>
      </c>
      <c r="C410" s="20"/>
      <c r="D410" s="18" t="str">
        <f aca="false">IFERROR(INDEX('Operator Master'!$B$5:$B$504,MATCH(C410,'Operator Master'!$A$5:$A$504,0)),"")</f>
        <v/>
      </c>
      <c r="E410" s="20"/>
      <c r="F410" s="18"/>
      <c r="G410" s="18"/>
    </row>
    <row r="411" customFormat="false" ht="14.25" hidden="false" customHeight="true" outlineLevel="0" collapsed="false">
      <c r="A411" s="19"/>
      <c r="B411" s="19" t="str">
        <f aca="false">IF(A411="","",A411+6)</f>
        <v/>
      </c>
      <c r="C411" s="20"/>
      <c r="D411" s="18" t="str">
        <f aca="false">IFERROR(INDEX('Operator Master'!$B$5:$B$504,MATCH(C411,'Operator Master'!$A$5:$A$504,0)),"")</f>
        <v/>
      </c>
      <c r="E411" s="20"/>
      <c r="F411" s="18"/>
      <c r="G411" s="18"/>
    </row>
    <row r="412" customFormat="false" ht="14.25" hidden="false" customHeight="true" outlineLevel="0" collapsed="false">
      <c r="A412" s="19"/>
      <c r="B412" s="19" t="str">
        <f aca="false">IF(A412="","",A412+6)</f>
        <v/>
      </c>
      <c r="C412" s="20"/>
      <c r="D412" s="18" t="str">
        <f aca="false">IFERROR(INDEX('Operator Master'!$B$5:$B$504,MATCH(C412,'Operator Master'!$A$5:$A$504,0)),"")</f>
        <v/>
      </c>
      <c r="E412" s="20"/>
      <c r="F412" s="18"/>
      <c r="G412" s="18"/>
    </row>
    <row r="413" customFormat="false" ht="14.25" hidden="false" customHeight="true" outlineLevel="0" collapsed="false">
      <c r="A413" s="19"/>
      <c r="B413" s="19" t="str">
        <f aca="false">IF(A413="","",A413+6)</f>
        <v/>
      </c>
      <c r="C413" s="20"/>
      <c r="D413" s="18" t="str">
        <f aca="false">IFERROR(INDEX('Operator Master'!$B$5:$B$504,MATCH(C413,'Operator Master'!$A$5:$A$504,0)),"")</f>
        <v/>
      </c>
      <c r="E413" s="20"/>
      <c r="F413" s="18"/>
      <c r="G413" s="18"/>
    </row>
    <row r="414" customFormat="false" ht="14.25" hidden="false" customHeight="true" outlineLevel="0" collapsed="false">
      <c r="A414" s="19"/>
      <c r="B414" s="19" t="str">
        <f aca="false">IF(A414="","",A414+6)</f>
        <v/>
      </c>
      <c r="C414" s="20"/>
      <c r="D414" s="18" t="str">
        <f aca="false">IFERROR(INDEX('Operator Master'!$B$5:$B$504,MATCH(C414,'Operator Master'!$A$5:$A$504,0)),"")</f>
        <v/>
      </c>
      <c r="E414" s="20"/>
      <c r="F414" s="18"/>
      <c r="G414" s="18"/>
    </row>
    <row r="415" customFormat="false" ht="14.25" hidden="false" customHeight="true" outlineLevel="0" collapsed="false">
      <c r="A415" s="19"/>
      <c r="B415" s="19" t="str">
        <f aca="false">IF(A415="","",A415+6)</f>
        <v/>
      </c>
      <c r="C415" s="20"/>
      <c r="D415" s="18" t="str">
        <f aca="false">IFERROR(INDEX('Operator Master'!$B$5:$B$504,MATCH(C415,'Operator Master'!$A$5:$A$504,0)),"")</f>
        <v/>
      </c>
      <c r="E415" s="20"/>
      <c r="F415" s="18"/>
      <c r="G415" s="18"/>
    </row>
    <row r="416" customFormat="false" ht="14.25" hidden="false" customHeight="true" outlineLevel="0" collapsed="false">
      <c r="A416" s="19"/>
      <c r="B416" s="19" t="str">
        <f aca="false">IF(A416="","",A416+6)</f>
        <v/>
      </c>
      <c r="C416" s="20"/>
      <c r="D416" s="18" t="str">
        <f aca="false">IFERROR(INDEX('Operator Master'!$B$5:$B$504,MATCH(C416,'Operator Master'!$A$5:$A$504,0)),"")</f>
        <v/>
      </c>
      <c r="E416" s="20"/>
      <c r="F416" s="18"/>
      <c r="G416" s="18"/>
    </row>
    <row r="417" customFormat="false" ht="14.25" hidden="false" customHeight="true" outlineLevel="0" collapsed="false">
      <c r="A417" s="19"/>
      <c r="B417" s="19" t="str">
        <f aca="false">IF(A417="","",A417+6)</f>
        <v/>
      </c>
      <c r="C417" s="20"/>
      <c r="D417" s="18" t="str">
        <f aca="false">IFERROR(INDEX('Operator Master'!$B$5:$B$504,MATCH(C417,'Operator Master'!$A$5:$A$504,0)),"")</f>
        <v/>
      </c>
      <c r="E417" s="20"/>
      <c r="F417" s="18"/>
      <c r="G417" s="18"/>
    </row>
    <row r="418" customFormat="false" ht="14.25" hidden="false" customHeight="true" outlineLevel="0" collapsed="false">
      <c r="A418" s="19"/>
      <c r="B418" s="19" t="str">
        <f aca="false">IF(A418="","",A418+6)</f>
        <v/>
      </c>
      <c r="C418" s="20"/>
      <c r="D418" s="18" t="str">
        <f aca="false">IFERROR(INDEX('Operator Master'!$B$5:$B$504,MATCH(C418,'Operator Master'!$A$5:$A$504,0)),"")</f>
        <v/>
      </c>
      <c r="E418" s="20"/>
      <c r="F418" s="18"/>
      <c r="G418" s="18"/>
    </row>
    <row r="419" customFormat="false" ht="14.25" hidden="false" customHeight="true" outlineLevel="0" collapsed="false">
      <c r="A419" s="19"/>
      <c r="B419" s="19" t="str">
        <f aca="false">IF(A419="","",A419+6)</f>
        <v/>
      </c>
      <c r="C419" s="20"/>
      <c r="D419" s="18" t="str">
        <f aca="false">IFERROR(INDEX('Operator Master'!$B$5:$B$504,MATCH(C419,'Operator Master'!$A$5:$A$504,0)),"")</f>
        <v/>
      </c>
      <c r="E419" s="20"/>
      <c r="F419" s="18"/>
      <c r="G419" s="18"/>
    </row>
    <row r="420" customFormat="false" ht="14.25" hidden="false" customHeight="true" outlineLevel="0" collapsed="false">
      <c r="A420" s="19"/>
      <c r="B420" s="19" t="str">
        <f aca="false">IF(A420="","",A420+6)</f>
        <v/>
      </c>
      <c r="C420" s="20"/>
      <c r="D420" s="18" t="str">
        <f aca="false">IFERROR(INDEX('Operator Master'!$B$5:$B$504,MATCH(C420,'Operator Master'!$A$5:$A$504,0)),"")</f>
        <v/>
      </c>
      <c r="E420" s="20"/>
      <c r="F420" s="18"/>
      <c r="G420" s="18"/>
    </row>
    <row r="421" customFormat="false" ht="14.25" hidden="false" customHeight="true" outlineLevel="0" collapsed="false">
      <c r="A421" s="19"/>
      <c r="B421" s="19" t="str">
        <f aca="false">IF(A421="","",A421+6)</f>
        <v/>
      </c>
      <c r="C421" s="20"/>
      <c r="D421" s="18" t="str">
        <f aca="false">IFERROR(INDEX('Operator Master'!$B$5:$B$504,MATCH(C421,'Operator Master'!$A$5:$A$504,0)),"")</f>
        <v/>
      </c>
      <c r="E421" s="20"/>
      <c r="F421" s="18"/>
      <c r="G421" s="18"/>
    </row>
    <row r="422" customFormat="false" ht="14.25" hidden="false" customHeight="true" outlineLevel="0" collapsed="false">
      <c r="A422" s="19"/>
      <c r="B422" s="19" t="str">
        <f aca="false">IF(A422="","",A422+6)</f>
        <v/>
      </c>
      <c r="C422" s="20"/>
      <c r="D422" s="18" t="str">
        <f aca="false">IFERROR(INDEX('Operator Master'!$B$5:$B$504,MATCH(C422,'Operator Master'!$A$5:$A$504,0)),"")</f>
        <v/>
      </c>
      <c r="E422" s="20"/>
      <c r="F422" s="18"/>
      <c r="G422" s="18"/>
    </row>
    <row r="423" customFormat="false" ht="14.25" hidden="false" customHeight="true" outlineLevel="0" collapsed="false">
      <c r="A423" s="19"/>
      <c r="B423" s="19" t="str">
        <f aca="false">IF(A423="","",A423+6)</f>
        <v/>
      </c>
      <c r="C423" s="20"/>
      <c r="D423" s="18" t="str">
        <f aca="false">IFERROR(INDEX('Operator Master'!$B$5:$B$504,MATCH(C423,'Operator Master'!$A$5:$A$504,0)),"")</f>
        <v/>
      </c>
      <c r="E423" s="20"/>
      <c r="F423" s="18"/>
      <c r="G423" s="18"/>
    </row>
    <row r="424" customFormat="false" ht="14.25" hidden="false" customHeight="true" outlineLevel="0" collapsed="false">
      <c r="A424" s="19"/>
      <c r="B424" s="19" t="str">
        <f aca="false">IF(A424="","",A424+6)</f>
        <v/>
      </c>
      <c r="C424" s="20"/>
      <c r="D424" s="18" t="str">
        <f aca="false">IFERROR(INDEX('Operator Master'!$B$5:$B$504,MATCH(C424,'Operator Master'!$A$5:$A$504,0)),"")</f>
        <v/>
      </c>
      <c r="E424" s="20"/>
      <c r="F424" s="18"/>
      <c r="G424" s="18"/>
    </row>
    <row r="425" customFormat="false" ht="14.25" hidden="false" customHeight="true" outlineLevel="0" collapsed="false">
      <c r="A425" s="19"/>
      <c r="B425" s="19" t="str">
        <f aca="false">IF(A425="","",A425+6)</f>
        <v/>
      </c>
      <c r="C425" s="20"/>
      <c r="D425" s="18" t="str">
        <f aca="false">IFERROR(INDEX('Operator Master'!$B$5:$B$504,MATCH(C425,'Operator Master'!$A$5:$A$504,0)),"")</f>
        <v/>
      </c>
      <c r="E425" s="20"/>
      <c r="F425" s="18"/>
      <c r="G425" s="18"/>
    </row>
    <row r="426" customFormat="false" ht="14.25" hidden="false" customHeight="true" outlineLevel="0" collapsed="false">
      <c r="A426" s="19"/>
      <c r="B426" s="19" t="str">
        <f aca="false">IF(A426="","",A426+6)</f>
        <v/>
      </c>
      <c r="C426" s="20"/>
      <c r="D426" s="18" t="str">
        <f aca="false">IFERROR(INDEX('Operator Master'!$B$5:$B$504,MATCH(C426,'Operator Master'!$A$5:$A$504,0)),"")</f>
        <v/>
      </c>
      <c r="E426" s="20"/>
      <c r="F426" s="18"/>
      <c r="G426" s="18"/>
    </row>
    <row r="427" customFormat="false" ht="14.25" hidden="false" customHeight="true" outlineLevel="0" collapsed="false">
      <c r="A427" s="19"/>
      <c r="B427" s="19" t="str">
        <f aca="false">IF(A427="","",A427+6)</f>
        <v/>
      </c>
      <c r="C427" s="20"/>
      <c r="D427" s="18" t="str">
        <f aca="false">IFERROR(INDEX('Operator Master'!$B$5:$B$504,MATCH(C427,'Operator Master'!$A$5:$A$504,0)),"")</f>
        <v/>
      </c>
      <c r="E427" s="20"/>
      <c r="F427" s="18"/>
      <c r="G427" s="18"/>
    </row>
    <row r="428" customFormat="false" ht="14.25" hidden="false" customHeight="true" outlineLevel="0" collapsed="false">
      <c r="A428" s="19"/>
      <c r="B428" s="19" t="str">
        <f aca="false">IF(A428="","",A428+6)</f>
        <v/>
      </c>
      <c r="C428" s="20"/>
      <c r="D428" s="18" t="str">
        <f aca="false">IFERROR(INDEX('Operator Master'!$B$5:$B$504,MATCH(C428,'Operator Master'!$A$5:$A$504,0)),"")</f>
        <v/>
      </c>
      <c r="E428" s="20"/>
      <c r="F428" s="18"/>
      <c r="G428" s="18"/>
    </row>
    <row r="429" customFormat="false" ht="14.25" hidden="false" customHeight="true" outlineLevel="0" collapsed="false">
      <c r="A429" s="19"/>
      <c r="B429" s="19" t="str">
        <f aca="false">IF(A429="","",A429+6)</f>
        <v/>
      </c>
      <c r="C429" s="20"/>
      <c r="D429" s="18" t="str">
        <f aca="false">IFERROR(INDEX('Operator Master'!$B$5:$B$504,MATCH(C429,'Operator Master'!$A$5:$A$504,0)),"")</f>
        <v/>
      </c>
      <c r="E429" s="20"/>
      <c r="F429" s="18"/>
      <c r="G429" s="18"/>
    </row>
    <row r="430" customFormat="false" ht="14.25" hidden="false" customHeight="true" outlineLevel="0" collapsed="false">
      <c r="A430" s="19"/>
      <c r="B430" s="19" t="str">
        <f aca="false">IF(A430="","",A430+6)</f>
        <v/>
      </c>
      <c r="C430" s="20"/>
      <c r="D430" s="18" t="str">
        <f aca="false">IFERROR(INDEX('Operator Master'!$B$5:$B$504,MATCH(C430,'Operator Master'!$A$5:$A$504,0)),"")</f>
        <v/>
      </c>
      <c r="E430" s="20"/>
      <c r="F430" s="18"/>
      <c r="G430" s="18"/>
    </row>
    <row r="431" customFormat="false" ht="14.25" hidden="false" customHeight="true" outlineLevel="0" collapsed="false">
      <c r="A431" s="19"/>
      <c r="B431" s="19" t="str">
        <f aca="false">IF(A431="","",A431+6)</f>
        <v/>
      </c>
      <c r="C431" s="20"/>
      <c r="D431" s="18" t="str">
        <f aca="false">IFERROR(INDEX('Operator Master'!$B$5:$B$504,MATCH(C431,'Operator Master'!$A$5:$A$504,0)),"")</f>
        <v/>
      </c>
      <c r="E431" s="20"/>
      <c r="F431" s="18"/>
      <c r="G431" s="18"/>
    </row>
    <row r="432" customFormat="false" ht="14.25" hidden="false" customHeight="true" outlineLevel="0" collapsed="false">
      <c r="A432" s="19"/>
      <c r="B432" s="19" t="str">
        <f aca="false">IF(A432="","",A432+6)</f>
        <v/>
      </c>
      <c r="C432" s="20"/>
      <c r="D432" s="18" t="str">
        <f aca="false">IFERROR(INDEX('Operator Master'!$B$5:$B$504,MATCH(C432,'Operator Master'!$A$5:$A$504,0)),"")</f>
        <v/>
      </c>
      <c r="E432" s="20"/>
      <c r="F432" s="18"/>
      <c r="G432" s="18"/>
    </row>
    <row r="433" customFormat="false" ht="14.25" hidden="false" customHeight="true" outlineLevel="0" collapsed="false">
      <c r="A433" s="19"/>
      <c r="B433" s="19" t="str">
        <f aca="false">IF(A433="","",A433+6)</f>
        <v/>
      </c>
      <c r="C433" s="20"/>
      <c r="D433" s="18" t="str">
        <f aca="false">IFERROR(INDEX('Operator Master'!$B$5:$B$504,MATCH(C433,'Operator Master'!$A$5:$A$504,0)),"")</f>
        <v/>
      </c>
      <c r="E433" s="20"/>
      <c r="F433" s="18"/>
      <c r="G433" s="18"/>
    </row>
    <row r="434" customFormat="false" ht="14.25" hidden="false" customHeight="true" outlineLevel="0" collapsed="false">
      <c r="A434" s="19"/>
      <c r="B434" s="19" t="str">
        <f aca="false">IF(A434="","",A434+6)</f>
        <v/>
      </c>
      <c r="C434" s="20"/>
      <c r="D434" s="18" t="str">
        <f aca="false">IFERROR(INDEX('Operator Master'!$B$5:$B$504,MATCH(C434,'Operator Master'!$A$5:$A$504,0)),"")</f>
        <v/>
      </c>
      <c r="E434" s="20"/>
      <c r="F434" s="18"/>
      <c r="G434" s="18"/>
    </row>
    <row r="435" customFormat="false" ht="14.25" hidden="false" customHeight="true" outlineLevel="0" collapsed="false">
      <c r="A435" s="19"/>
      <c r="B435" s="19" t="str">
        <f aca="false">IF(A435="","",A435+6)</f>
        <v/>
      </c>
      <c r="C435" s="20"/>
      <c r="D435" s="18" t="str">
        <f aca="false">IFERROR(INDEX('Operator Master'!$B$5:$B$504,MATCH(C435,'Operator Master'!$A$5:$A$504,0)),"")</f>
        <v/>
      </c>
      <c r="E435" s="20"/>
      <c r="F435" s="18"/>
      <c r="G435" s="18"/>
    </row>
    <row r="436" customFormat="false" ht="14.25" hidden="false" customHeight="true" outlineLevel="0" collapsed="false">
      <c r="A436" s="19"/>
      <c r="B436" s="19" t="str">
        <f aca="false">IF(A436="","",A436+6)</f>
        <v/>
      </c>
      <c r="C436" s="20"/>
      <c r="D436" s="18" t="str">
        <f aca="false">IFERROR(INDEX('Operator Master'!$B$5:$B$504,MATCH(C436,'Operator Master'!$A$5:$A$504,0)),"")</f>
        <v/>
      </c>
      <c r="E436" s="20"/>
      <c r="F436" s="18"/>
      <c r="G436" s="18"/>
    </row>
    <row r="437" customFormat="false" ht="14.25" hidden="false" customHeight="true" outlineLevel="0" collapsed="false">
      <c r="A437" s="19"/>
      <c r="B437" s="19" t="str">
        <f aca="false">IF(A437="","",A437+6)</f>
        <v/>
      </c>
      <c r="C437" s="20"/>
      <c r="D437" s="18" t="str">
        <f aca="false">IFERROR(INDEX('Operator Master'!$B$5:$B$504,MATCH(C437,'Operator Master'!$A$5:$A$504,0)),"")</f>
        <v/>
      </c>
      <c r="E437" s="20"/>
      <c r="F437" s="18"/>
      <c r="G437" s="18"/>
    </row>
    <row r="438" customFormat="false" ht="14.25" hidden="false" customHeight="true" outlineLevel="0" collapsed="false">
      <c r="A438" s="19"/>
      <c r="B438" s="19" t="str">
        <f aca="false">IF(A438="","",A438+6)</f>
        <v/>
      </c>
      <c r="C438" s="20"/>
      <c r="D438" s="18" t="str">
        <f aca="false">IFERROR(INDEX('Operator Master'!$B$5:$B$504,MATCH(C438,'Operator Master'!$A$5:$A$504,0)),"")</f>
        <v/>
      </c>
      <c r="E438" s="20"/>
      <c r="F438" s="18"/>
      <c r="G438" s="18"/>
    </row>
    <row r="439" customFormat="false" ht="14.25" hidden="false" customHeight="true" outlineLevel="0" collapsed="false">
      <c r="A439" s="19"/>
      <c r="B439" s="19" t="str">
        <f aca="false">IF(A439="","",A439+6)</f>
        <v/>
      </c>
      <c r="C439" s="20"/>
      <c r="D439" s="18" t="str">
        <f aca="false">IFERROR(INDEX('Operator Master'!$B$5:$B$504,MATCH(C439,'Operator Master'!$A$5:$A$504,0)),"")</f>
        <v/>
      </c>
      <c r="E439" s="20"/>
      <c r="F439" s="18"/>
      <c r="G439" s="18"/>
    </row>
    <row r="440" customFormat="false" ht="14.25" hidden="false" customHeight="true" outlineLevel="0" collapsed="false">
      <c r="A440" s="19"/>
      <c r="B440" s="19" t="str">
        <f aca="false">IF(A440="","",A440+6)</f>
        <v/>
      </c>
      <c r="C440" s="20"/>
      <c r="D440" s="18" t="str">
        <f aca="false">IFERROR(INDEX('Operator Master'!$B$5:$B$504,MATCH(C440,'Operator Master'!$A$5:$A$504,0)),"")</f>
        <v/>
      </c>
      <c r="E440" s="20"/>
      <c r="F440" s="18"/>
      <c r="G440" s="18"/>
    </row>
    <row r="441" customFormat="false" ht="14.25" hidden="false" customHeight="true" outlineLevel="0" collapsed="false">
      <c r="A441" s="19"/>
      <c r="B441" s="19" t="str">
        <f aca="false">IF(A441="","",A441+6)</f>
        <v/>
      </c>
      <c r="C441" s="20"/>
      <c r="D441" s="18" t="str">
        <f aca="false">IFERROR(INDEX('Operator Master'!$B$5:$B$504,MATCH(C441,'Operator Master'!$A$5:$A$504,0)),"")</f>
        <v/>
      </c>
      <c r="E441" s="20"/>
      <c r="F441" s="18"/>
      <c r="G441" s="18"/>
    </row>
    <row r="442" customFormat="false" ht="14.25" hidden="false" customHeight="true" outlineLevel="0" collapsed="false">
      <c r="A442" s="19"/>
      <c r="B442" s="19" t="str">
        <f aca="false">IF(A442="","",A442+6)</f>
        <v/>
      </c>
      <c r="C442" s="20"/>
      <c r="D442" s="18" t="str">
        <f aca="false">IFERROR(INDEX('Operator Master'!$B$5:$B$504,MATCH(C442,'Operator Master'!$A$5:$A$504,0)),"")</f>
        <v/>
      </c>
      <c r="E442" s="20"/>
      <c r="F442" s="18"/>
      <c r="G442" s="18"/>
    </row>
    <row r="443" customFormat="false" ht="14.25" hidden="false" customHeight="true" outlineLevel="0" collapsed="false">
      <c r="A443" s="19"/>
      <c r="B443" s="19" t="str">
        <f aca="false">IF(A443="","",A443+6)</f>
        <v/>
      </c>
      <c r="C443" s="20"/>
      <c r="D443" s="18" t="str">
        <f aca="false">IFERROR(INDEX('Operator Master'!$B$5:$B$504,MATCH(C443,'Operator Master'!$A$5:$A$504,0)),"")</f>
        <v/>
      </c>
      <c r="E443" s="20"/>
      <c r="F443" s="18"/>
      <c r="G443" s="18"/>
    </row>
    <row r="444" customFormat="false" ht="14.25" hidden="false" customHeight="true" outlineLevel="0" collapsed="false">
      <c r="A444" s="19"/>
      <c r="B444" s="19" t="str">
        <f aca="false">IF(A444="","",A444+6)</f>
        <v/>
      </c>
      <c r="C444" s="20"/>
      <c r="D444" s="18" t="str">
        <f aca="false">IFERROR(INDEX('Operator Master'!$B$5:$B$504,MATCH(C444,'Operator Master'!$A$5:$A$504,0)),"")</f>
        <v/>
      </c>
      <c r="E444" s="20"/>
      <c r="F444" s="18"/>
      <c r="G444" s="18"/>
    </row>
    <row r="445" customFormat="false" ht="14.25" hidden="false" customHeight="true" outlineLevel="0" collapsed="false">
      <c r="A445" s="19"/>
      <c r="B445" s="19" t="str">
        <f aca="false">IF(A445="","",A445+6)</f>
        <v/>
      </c>
      <c r="C445" s="20"/>
      <c r="D445" s="18" t="str">
        <f aca="false">IFERROR(INDEX('Operator Master'!$B$5:$B$504,MATCH(C445,'Operator Master'!$A$5:$A$504,0)),"")</f>
        <v/>
      </c>
      <c r="E445" s="20"/>
      <c r="F445" s="18"/>
      <c r="G445" s="18"/>
    </row>
    <row r="446" customFormat="false" ht="14.25" hidden="false" customHeight="true" outlineLevel="0" collapsed="false">
      <c r="A446" s="19"/>
      <c r="B446" s="19" t="str">
        <f aca="false">IF(A446="","",A446+6)</f>
        <v/>
      </c>
      <c r="C446" s="20"/>
      <c r="D446" s="18" t="str">
        <f aca="false">IFERROR(INDEX('Operator Master'!$B$5:$B$504,MATCH(C446,'Operator Master'!$A$5:$A$504,0)),"")</f>
        <v/>
      </c>
      <c r="E446" s="20"/>
      <c r="F446" s="18"/>
      <c r="G446" s="18"/>
    </row>
    <row r="447" customFormat="false" ht="14.25" hidden="false" customHeight="true" outlineLevel="0" collapsed="false">
      <c r="A447" s="19"/>
      <c r="B447" s="19" t="str">
        <f aca="false">IF(A447="","",A447+6)</f>
        <v/>
      </c>
      <c r="C447" s="20"/>
      <c r="D447" s="18" t="str">
        <f aca="false">IFERROR(INDEX('Operator Master'!$B$5:$B$504,MATCH(C447,'Operator Master'!$A$5:$A$504,0)),"")</f>
        <v/>
      </c>
      <c r="E447" s="20"/>
      <c r="F447" s="18"/>
      <c r="G447" s="18"/>
    </row>
    <row r="448" customFormat="false" ht="14.25" hidden="false" customHeight="true" outlineLevel="0" collapsed="false">
      <c r="A448" s="19"/>
      <c r="B448" s="19" t="str">
        <f aca="false">IF(A448="","",A448+6)</f>
        <v/>
      </c>
      <c r="C448" s="20"/>
      <c r="D448" s="18" t="str">
        <f aca="false">IFERROR(INDEX('Operator Master'!$B$5:$B$504,MATCH(C448,'Operator Master'!$A$5:$A$504,0)),"")</f>
        <v/>
      </c>
      <c r="E448" s="20"/>
      <c r="F448" s="18"/>
      <c r="G448" s="18"/>
    </row>
    <row r="449" customFormat="false" ht="14.25" hidden="false" customHeight="true" outlineLevel="0" collapsed="false">
      <c r="A449" s="19"/>
      <c r="B449" s="19" t="str">
        <f aca="false">IF(A449="","",A449+6)</f>
        <v/>
      </c>
      <c r="C449" s="20"/>
      <c r="D449" s="18" t="str">
        <f aca="false">IFERROR(INDEX('Operator Master'!$B$5:$B$504,MATCH(C449,'Operator Master'!$A$5:$A$504,0)),"")</f>
        <v/>
      </c>
      <c r="E449" s="20"/>
      <c r="F449" s="18"/>
      <c r="G449" s="18"/>
    </row>
    <row r="450" customFormat="false" ht="14.25" hidden="false" customHeight="true" outlineLevel="0" collapsed="false">
      <c r="A450" s="19"/>
      <c r="B450" s="19" t="str">
        <f aca="false">IF(A450="","",A450+6)</f>
        <v/>
      </c>
      <c r="C450" s="20"/>
      <c r="D450" s="18" t="str">
        <f aca="false">IFERROR(INDEX('Operator Master'!$B$5:$B$504,MATCH(C450,'Operator Master'!$A$5:$A$504,0)),"")</f>
        <v/>
      </c>
      <c r="E450" s="20"/>
      <c r="F450" s="18"/>
      <c r="G450" s="18"/>
    </row>
    <row r="451" customFormat="false" ht="14.25" hidden="false" customHeight="true" outlineLevel="0" collapsed="false">
      <c r="A451" s="19"/>
      <c r="B451" s="19" t="str">
        <f aca="false">IF(A451="","",A451+6)</f>
        <v/>
      </c>
      <c r="C451" s="20"/>
      <c r="D451" s="18" t="str">
        <f aca="false">IFERROR(INDEX('Operator Master'!$B$5:$B$504,MATCH(C451,'Operator Master'!$A$5:$A$504,0)),"")</f>
        <v/>
      </c>
      <c r="E451" s="20"/>
      <c r="F451" s="18"/>
      <c r="G451" s="18"/>
    </row>
    <row r="452" customFormat="false" ht="14.25" hidden="false" customHeight="true" outlineLevel="0" collapsed="false">
      <c r="A452" s="19"/>
      <c r="B452" s="19" t="str">
        <f aca="false">IF(A452="","",A452+6)</f>
        <v/>
      </c>
      <c r="C452" s="20"/>
      <c r="D452" s="18" t="str">
        <f aca="false">IFERROR(INDEX('Operator Master'!$B$5:$B$504,MATCH(C452,'Operator Master'!$A$5:$A$504,0)),"")</f>
        <v/>
      </c>
      <c r="E452" s="20"/>
      <c r="F452" s="18"/>
      <c r="G452" s="18"/>
    </row>
    <row r="453" customFormat="false" ht="14.25" hidden="false" customHeight="true" outlineLevel="0" collapsed="false">
      <c r="A453" s="19"/>
      <c r="B453" s="19" t="str">
        <f aca="false">IF(A453="","",A453+6)</f>
        <v/>
      </c>
      <c r="C453" s="20"/>
      <c r="D453" s="18" t="str">
        <f aca="false">IFERROR(INDEX('Operator Master'!$B$5:$B$504,MATCH(C453,'Operator Master'!$A$5:$A$504,0)),"")</f>
        <v/>
      </c>
      <c r="E453" s="20"/>
      <c r="F453" s="18"/>
      <c r="G453" s="18"/>
    </row>
    <row r="454" customFormat="false" ht="14.25" hidden="false" customHeight="true" outlineLevel="0" collapsed="false">
      <c r="A454" s="19"/>
      <c r="B454" s="19" t="str">
        <f aca="false">IF(A454="","",A454+6)</f>
        <v/>
      </c>
      <c r="C454" s="20"/>
      <c r="D454" s="18" t="str">
        <f aca="false">IFERROR(INDEX('Operator Master'!$B$5:$B$504,MATCH(C454,'Operator Master'!$A$5:$A$504,0)),"")</f>
        <v/>
      </c>
      <c r="E454" s="20"/>
      <c r="F454" s="18"/>
      <c r="G454" s="18"/>
    </row>
    <row r="455" customFormat="false" ht="14.25" hidden="false" customHeight="true" outlineLevel="0" collapsed="false">
      <c r="A455" s="19"/>
      <c r="B455" s="19" t="str">
        <f aca="false">IF(A455="","",A455+6)</f>
        <v/>
      </c>
      <c r="C455" s="20"/>
      <c r="D455" s="18" t="str">
        <f aca="false">IFERROR(INDEX('Operator Master'!$B$5:$B$504,MATCH(C455,'Operator Master'!$A$5:$A$504,0)),"")</f>
        <v/>
      </c>
      <c r="E455" s="20"/>
      <c r="F455" s="18"/>
      <c r="G455" s="18"/>
    </row>
    <row r="456" customFormat="false" ht="14.25" hidden="false" customHeight="true" outlineLevel="0" collapsed="false">
      <c r="A456" s="19"/>
      <c r="B456" s="19" t="str">
        <f aca="false">IF(A456="","",A456+6)</f>
        <v/>
      </c>
      <c r="C456" s="20"/>
      <c r="D456" s="18" t="str">
        <f aca="false">IFERROR(INDEX('Operator Master'!$B$5:$B$504,MATCH(C456,'Operator Master'!$A$5:$A$504,0)),"")</f>
        <v/>
      </c>
      <c r="E456" s="20"/>
      <c r="F456" s="18"/>
      <c r="G456" s="18"/>
    </row>
    <row r="457" customFormat="false" ht="14.25" hidden="false" customHeight="true" outlineLevel="0" collapsed="false">
      <c r="A457" s="19"/>
      <c r="B457" s="19" t="str">
        <f aca="false">IF(A457="","",A457+6)</f>
        <v/>
      </c>
      <c r="C457" s="20"/>
      <c r="D457" s="18" t="str">
        <f aca="false">IFERROR(INDEX('Operator Master'!$B$5:$B$504,MATCH(C457,'Operator Master'!$A$5:$A$504,0)),"")</f>
        <v/>
      </c>
      <c r="E457" s="20"/>
      <c r="F457" s="18"/>
      <c r="G457" s="18"/>
    </row>
    <row r="458" customFormat="false" ht="14.25" hidden="false" customHeight="true" outlineLevel="0" collapsed="false">
      <c r="A458" s="19"/>
      <c r="B458" s="19" t="str">
        <f aca="false">IF(A458="","",A458+6)</f>
        <v/>
      </c>
      <c r="C458" s="20"/>
      <c r="D458" s="18" t="str">
        <f aca="false">IFERROR(INDEX('Operator Master'!$B$5:$B$504,MATCH(C458,'Operator Master'!$A$5:$A$504,0)),"")</f>
        <v/>
      </c>
      <c r="E458" s="20"/>
      <c r="F458" s="18"/>
      <c r="G458" s="18"/>
    </row>
    <row r="459" customFormat="false" ht="14.25" hidden="false" customHeight="true" outlineLevel="0" collapsed="false">
      <c r="A459" s="19"/>
      <c r="B459" s="19" t="str">
        <f aca="false">IF(A459="","",A459+6)</f>
        <v/>
      </c>
      <c r="C459" s="20"/>
      <c r="D459" s="18" t="str">
        <f aca="false">IFERROR(INDEX('Operator Master'!$B$5:$B$504,MATCH(C459,'Operator Master'!$A$5:$A$504,0)),"")</f>
        <v/>
      </c>
      <c r="E459" s="20"/>
      <c r="F459" s="18"/>
      <c r="G459" s="18"/>
    </row>
    <row r="460" customFormat="false" ht="14.25" hidden="false" customHeight="true" outlineLevel="0" collapsed="false">
      <c r="A460" s="19"/>
      <c r="B460" s="19" t="str">
        <f aca="false">IF(A460="","",A460+6)</f>
        <v/>
      </c>
      <c r="C460" s="20"/>
      <c r="D460" s="18" t="str">
        <f aca="false">IFERROR(INDEX('Operator Master'!$B$5:$B$504,MATCH(C460,'Operator Master'!$A$5:$A$504,0)),"")</f>
        <v/>
      </c>
      <c r="E460" s="20"/>
      <c r="F460" s="18"/>
      <c r="G460" s="18"/>
    </row>
    <row r="461" customFormat="false" ht="14.25" hidden="false" customHeight="true" outlineLevel="0" collapsed="false">
      <c r="A461" s="19"/>
      <c r="B461" s="19" t="str">
        <f aca="false">IF(A461="","",A461+6)</f>
        <v/>
      </c>
      <c r="C461" s="20"/>
      <c r="D461" s="18" t="str">
        <f aca="false">IFERROR(INDEX('Operator Master'!$B$5:$B$504,MATCH(C461,'Operator Master'!$A$5:$A$504,0)),"")</f>
        <v/>
      </c>
      <c r="E461" s="20"/>
      <c r="F461" s="18"/>
      <c r="G461" s="18"/>
    </row>
    <row r="462" customFormat="false" ht="14.25" hidden="false" customHeight="true" outlineLevel="0" collapsed="false">
      <c r="A462" s="19"/>
      <c r="B462" s="19" t="str">
        <f aca="false">IF(A462="","",A462+6)</f>
        <v/>
      </c>
      <c r="C462" s="20"/>
      <c r="D462" s="18" t="str">
        <f aca="false">IFERROR(INDEX('Operator Master'!$B$5:$B$504,MATCH(C462,'Operator Master'!$A$5:$A$504,0)),"")</f>
        <v/>
      </c>
      <c r="E462" s="20"/>
      <c r="F462" s="18"/>
      <c r="G462" s="18"/>
    </row>
    <row r="463" customFormat="false" ht="14.25" hidden="false" customHeight="true" outlineLevel="0" collapsed="false">
      <c r="A463" s="19"/>
      <c r="B463" s="19" t="str">
        <f aca="false">IF(A463="","",A463+6)</f>
        <v/>
      </c>
      <c r="C463" s="20"/>
      <c r="D463" s="18" t="str">
        <f aca="false">IFERROR(INDEX('Operator Master'!$B$5:$B$504,MATCH(C463,'Operator Master'!$A$5:$A$504,0)),"")</f>
        <v/>
      </c>
      <c r="E463" s="20"/>
      <c r="F463" s="18"/>
      <c r="G463" s="18"/>
    </row>
    <row r="464" customFormat="false" ht="14.25" hidden="false" customHeight="true" outlineLevel="0" collapsed="false">
      <c r="A464" s="19"/>
      <c r="B464" s="19" t="str">
        <f aca="false">IF(A464="","",A464+6)</f>
        <v/>
      </c>
      <c r="C464" s="20"/>
      <c r="D464" s="18" t="str">
        <f aca="false">IFERROR(INDEX('Operator Master'!$B$5:$B$504,MATCH(C464,'Operator Master'!$A$5:$A$504,0)),"")</f>
        <v/>
      </c>
      <c r="E464" s="20"/>
      <c r="F464" s="18"/>
      <c r="G464" s="18"/>
    </row>
    <row r="465" customFormat="false" ht="14.25" hidden="false" customHeight="true" outlineLevel="0" collapsed="false">
      <c r="A465" s="19"/>
      <c r="B465" s="19" t="str">
        <f aca="false">IF(A465="","",A465+6)</f>
        <v/>
      </c>
      <c r="C465" s="20"/>
      <c r="D465" s="18" t="str">
        <f aca="false">IFERROR(INDEX('Operator Master'!$B$5:$B$504,MATCH(C465,'Operator Master'!$A$5:$A$504,0)),"")</f>
        <v/>
      </c>
      <c r="E465" s="20"/>
      <c r="F465" s="18"/>
      <c r="G465" s="18"/>
    </row>
    <row r="466" customFormat="false" ht="14.25" hidden="false" customHeight="true" outlineLevel="0" collapsed="false">
      <c r="A466" s="19"/>
      <c r="B466" s="19" t="str">
        <f aca="false">IF(A466="","",A466+6)</f>
        <v/>
      </c>
      <c r="C466" s="20"/>
      <c r="D466" s="18" t="str">
        <f aca="false">IFERROR(INDEX('Operator Master'!$B$5:$B$504,MATCH(C466,'Operator Master'!$A$5:$A$504,0)),"")</f>
        <v/>
      </c>
      <c r="E466" s="20"/>
      <c r="F466" s="18"/>
      <c r="G466" s="18"/>
    </row>
    <row r="467" customFormat="false" ht="14.25" hidden="false" customHeight="true" outlineLevel="0" collapsed="false">
      <c r="A467" s="19"/>
      <c r="B467" s="19" t="str">
        <f aca="false">IF(A467="","",A467+6)</f>
        <v/>
      </c>
      <c r="C467" s="20"/>
      <c r="D467" s="18" t="str">
        <f aca="false">IFERROR(INDEX('Operator Master'!$B$5:$B$504,MATCH(C467,'Operator Master'!$A$5:$A$504,0)),"")</f>
        <v/>
      </c>
      <c r="E467" s="20"/>
      <c r="F467" s="18"/>
      <c r="G467" s="18"/>
    </row>
    <row r="468" customFormat="false" ht="14.25" hidden="false" customHeight="true" outlineLevel="0" collapsed="false">
      <c r="A468" s="19"/>
      <c r="B468" s="19" t="str">
        <f aca="false">IF(A468="","",A468+6)</f>
        <v/>
      </c>
      <c r="C468" s="20"/>
      <c r="D468" s="18" t="str">
        <f aca="false">IFERROR(INDEX('Operator Master'!$B$5:$B$504,MATCH(C468,'Operator Master'!$A$5:$A$504,0)),"")</f>
        <v/>
      </c>
      <c r="E468" s="20"/>
      <c r="F468" s="18"/>
      <c r="G468" s="18"/>
    </row>
    <row r="469" customFormat="false" ht="14.25" hidden="false" customHeight="true" outlineLevel="0" collapsed="false">
      <c r="A469" s="19"/>
      <c r="B469" s="19" t="str">
        <f aca="false">IF(A469="","",A469+6)</f>
        <v/>
      </c>
      <c r="C469" s="20"/>
      <c r="D469" s="18" t="str">
        <f aca="false">IFERROR(INDEX('Operator Master'!$B$5:$B$504,MATCH(C469,'Operator Master'!$A$5:$A$504,0)),"")</f>
        <v/>
      </c>
      <c r="E469" s="20"/>
      <c r="F469" s="18"/>
      <c r="G469" s="18"/>
    </row>
    <row r="470" customFormat="false" ht="14.25" hidden="false" customHeight="true" outlineLevel="0" collapsed="false">
      <c r="A470" s="19"/>
      <c r="B470" s="19" t="str">
        <f aca="false">IF(A470="","",A470+6)</f>
        <v/>
      </c>
      <c r="C470" s="20"/>
      <c r="D470" s="18" t="str">
        <f aca="false">IFERROR(INDEX('Operator Master'!$B$5:$B$504,MATCH(C470,'Operator Master'!$A$5:$A$504,0)),"")</f>
        <v/>
      </c>
      <c r="E470" s="20"/>
      <c r="F470" s="18"/>
      <c r="G470" s="18"/>
    </row>
    <row r="471" customFormat="false" ht="14.25" hidden="false" customHeight="true" outlineLevel="0" collapsed="false">
      <c r="A471" s="19"/>
      <c r="B471" s="19" t="str">
        <f aca="false">IF(A471="","",A471+6)</f>
        <v/>
      </c>
      <c r="C471" s="20"/>
      <c r="D471" s="18" t="str">
        <f aca="false">IFERROR(INDEX('Operator Master'!$B$5:$B$504,MATCH(C471,'Operator Master'!$A$5:$A$504,0)),"")</f>
        <v/>
      </c>
      <c r="E471" s="20"/>
      <c r="F471" s="18"/>
      <c r="G471" s="18"/>
    </row>
    <row r="472" customFormat="false" ht="14.25" hidden="false" customHeight="true" outlineLevel="0" collapsed="false">
      <c r="A472" s="19"/>
      <c r="B472" s="19" t="str">
        <f aca="false">IF(A472="","",A472+6)</f>
        <v/>
      </c>
      <c r="C472" s="20"/>
      <c r="D472" s="18" t="str">
        <f aca="false">IFERROR(INDEX('Operator Master'!$B$5:$B$504,MATCH(C472,'Operator Master'!$A$5:$A$504,0)),"")</f>
        <v/>
      </c>
      <c r="E472" s="20"/>
      <c r="F472" s="18"/>
      <c r="G472" s="18"/>
    </row>
    <row r="473" customFormat="false" ht="14.25" hidden="false" customHeight="true" outlineLevel="0" collapsed="false">
      <c r="A473" s="19"/>
      <c r="B473" s="19" t="str">
        <f aca="false">IF(A473="","",A473+6)</f>
        <v/>
      </c>
      <c r="C473" s="20"/>
      <c r="D473" s="18" t="str">
        <f aca="false">IFERROR(INDEX('Operator Master'!$B$5:$B$504,MATCH(C473,'Operator Master'!$A$5:$A$504,0)),"")</f>
        <v/>
      </c>
      <c r="E473" s="20"/>
      <c r="F473" s="18"/>
      <c r="G473" s="18"/>
    </row>
    <row r="474" customFormat="false" ht="14.25" hidden="false" customHeight="true" outlineLevel="0" collapsed="false">
      <c r="A474" s="19"/>
      <c r="B474" s="19" t="str">
        <f aca="false">IF(A474="","",A474+6)</f>
        <v/>
      </c>
      <c r="C474" s="20"/>
      <c r="D474" s="18" t="str">
        <f aca="false">IFERROR(INDEX('Operator Master'!$B$5:$B$504,MATCH(C474,'Operator Master'!$A$5:$A$504,0)),"")</f>
        <v/>
      </c>
      <c r="E474" s="20"/>
      <c r="F474" s="18"/>
      <c r="G474" s="18"/>
    </row>
    <row r="475" customFormat="false" ht="14.25" hidden="false" customHeight="true" outlineLevel="0" collapsed="false">
      <c r="A475" s="19"/>
      <c r="B475" s="19" t="str">
        <f aca="false">IF(A475="","",A475+6)</f>
        <v/>
      </c>
      <c r="C475" s="20"/>
      <c r="D475" s="18" t="str">
        <f aca="false">IFERROR(INDEX('Operator Master'!$B$5:$B$504,MATCH(C475,'Operator Master'!$A$5:$A$504,0)),"")</f>
        <v/>
      </c>
      <c r="E475" s="20"/>
      <c r="F475" s="18"/>
      <c r="G475" s="18"/>
    </row>
    <row r="476" customFormat="false" ht="14.25" hidden="false" customHeight="true" outlineLevel="0" collapsed="false">
      <c r="A476" s="19"/>
      <c r="B476" s="19" t="str">
        <f aca="false">IF(A476="","",A476+6)</f>
        <v/>
      </c>
      <c r="C476" s="20"/>
      <c r="D476" s="18" t="str">
        <f aca="false">IFERROR(INDEX('Operator Master'!$B$5:$B$504,MATCH(C476,'Operator Master'!$A$5:$A$504,0)),"")</f>
        <v/>
      </c>
      <c r="E476" s="20"/>
      <c r="F476" s="18"/>
      <c r="G476" s="18"/>
    </row>
    <row r="477" customFormat="false" ht="14.25" hidden="false" customHeight="true" outlineLevel="0" collapsed="false">
      <c r="A477" s="19"/>
      <c r="B477" s="19" t="str">
        <f aca="false">IF(A477="","",A477+6)</f>
        <v/>
      </c>
      <c r="C477" s="20"/>
      <c r="D477" s="18" t="str">
        <f aca="false">IFERROR(INDEX('Operator Master'!$B$5:$B$504,MATCH(C477,'Operator Master'!$A$5:$A$504,0)),"")</f>
        <v/>
      </c>
      <c r="E477" s="20"/>
      <c r="F477" s="18"/>
      <c r="G477" s="18"/>
    </row>
    <row r="478" customFormat="false" ht="14.25" hidden="false" customHeight="true" outlineLevel="0" collapsed="false">
      <c r="A478" s="19"/>
      <c r="B478" s="19" t="str">
        <f aca="false">IF(A478="","",A478+6)</f>
        <v/>
      </c>
      <c r="C478" s="20"/>
      <c r="D478" s="18" t="str">
        <f aca="false">IFERROR(INDEX('Operator Master'!$B$5:$B$504,MATCH(C478,'Operator Master'!$A$5:$A$504,0)),"")</f>
        <v/>
      </c>
      <c r="E478" s="20"/>
      <c r="F478" s="18"/>
      <c r="G478" s="18"/>
    </row>
    <row r="479" customFormat="false" ht="14.25" hidden="false" customHeight="true" outlineLevel="0" collapsed="false">
      <c r="A479" s="19"/>
      <c r="B479" s="19" t="str">
        <f aca="false">IF(A479="","",A479+6)</f>
        <v/>
      </c>
      <c r="C479" s="20"/>
      <c r="D479" s="18" t="str">
        <f aca="false">IFERROR(INDEX('Operator Master'!$B$5:$B$504,MATCH(C479,'Operator Master'!$A$5:$A$504,0)),"")</f>
        <v/>
      </c>
      <c r="E479" s="20"/>
      <c r="F479" s="18"/>
      <c r="G479" s="18"/>
    </row>
    <row r="480" customFormat="false" ht="14.25" hidden="false" customHeight="true" outlineLevel="0" collapsed="false">
      <c r="A480" s="19"/>
      <c r="B480" s="19" t="str">
        <f aca="false">IF(A480="","",A480+6)</f>
        <v/>
      </c>
      <c r="C480" s="20"/>
      <c r="D480" s="18" t="str">
        <f aca="false">IFERROR(INDEX('Operator Master'!$B$5:$B$504,MATCH(C480,'Operator Master'!$A$5:$A$504,0)),"")</f>
        <v/>
      </c>
      <c r="E480" s="20"/>
      <c r="F480" s="18"/>
      <c r="G480" s="18"/>
    </row>
    <row r="481" customFormat="false" ht="14.25" hidden="false" customHeight="true" outlineLevel="0" collapsed="false">
      <c r="A481" s="19"/>
      <c r="B481" s="19" t="str">
        <f aca="false">IF(A481="","",A481+6)</f>
        <v/>
      </c>
      <c r="C481" s="20"/>
      <c r="D481" s="18" t="str">
        <f aca="false">IFERROR(INDEX('Operator Master'!$B$5:$B$504,MATCH(C481,'Operator Master'!$A$5:$A$504,0)),"")</f>
        <v/>
      </c>
      <c r="E481" s="20"/>
      <c r="F481" s="18"/>
      <c r="G481" s="18"/>
    </row>
    <row r="482" customFormat="false" ht="14.25" hidden="false" customHeight="true" outlineLevel="0" collapsed="false">
      <c r="A482" s="19"/>
      <c r="B482" s="19" t="str">
        <f aca="false">IF(A482="","",A482+6)</f>
        <v/>
      </c>
      <c r="C482" s="20"/>
      <c r="D482" s="18" t="str">
        <f aca="false">IFERROR(INDEX('Operator Master'!$B$5:$B$504,MATCH(C482,'Operator Master'!$A$5:$A$504,0)),"")</f>
        <v/>
      </c>
      <c r="E482" s="20"/>
      <c r="F482" s="18"/>
      <c r="G482" s="18"/>
    </row>
    <row r="483" customFormat="false" ht="14.25" hidden="false" customHeight="true" outlineLevel="0" collapsed="false">
      <c r="A483" s="19"/>
      <c r="B483" s="19" t="str">
        <f aca="false">IF(A483="","",A483+6)</f>
        <v/>
      </c>
      <c r="C483" s="20"/>
      <c r="D483" s="18" t="str">
        <f aca="false">IFERROR(INDEX('Operator Master'!$B$5:$B$504,MATCH(C483,'Operator Master'!$A$5:$A$504,0)),"")</f>
        <v/>
      </c>
      <c r="E483" s="20"/>
      <c r="F483" s="18"/>
      <c r="G483" s="18"/>
    </row>
    <row r="484" customFormat="false" ht="14.25" hidden="false" customHeight="true" outlineLevel="0" collapsed="false">
      <c r="A484" s="19"/>
      <c r="B484" s="19" t="str">
        <f aca="false">IF(A484="","",A484+6)</f>
        <v/>
      </c>
      <c r="C484" s="20"/>
      <c r="D484" s="18" t="str">
        <f aca="false">IFERROR(INDEX('Operator Master'!$B$5:$B$504,MATCH(C484,'Operator Master'!$A$5:$A$504,0)),"")</f>
        <v/>
      </c>
      <c r="E484" s="20"/>
      <c r="F484" s="18"/>
      <c r="G484" s="18"/>
    </row>
    <row r="485" customFormat="false" ht="14.25" hidden="false" customHeight="true" outlineLevel="0" collapsed="false">
      <c r="A485" s="19"/>
      <c r="B485" s="19" t="str">
        <f aca="false">IF(A485="","",A485+6)</f>
        <v/>
      </c>
      <c r="C485" s="20"/>
      <c r="D485" s="18" t="str">
        <f aca="false">IFERROR(INDEX('Operator Master'!$B$5:$B$504,MATCH(C485,'Operator Master'!$A$5:$A$504,0)),"")</f>
        <v/>
      </c>
      <c r="E485" s="20"/>
      <c r="F485" s="18"/>
      <c r="G485" s="18"/>
    </row>
    <row r="486" customFormat="false" ht="14.25" hidden="false" customHeight="true" outlineLevel="0" collapsed="false">
      <c r="A486" s="19"/>
      <c r="B486" s="19" t="str">
        <f aca="false">IF(A486="","",A486+6)</f>
        <v/>
      </c>
      <c r="C486" s="20"/>
      <c r="D486" s="18" t="str">
        <f aca="false">IFERROR(INDEX('Operator Master'!$B$5:$B$504,MATCH(C486,'Operator Master'!$A$5:$A$504,0)),"")</f>
        <v/>
      </c>
      <c r="E486" s="20"/>
      <c r="F486" s="18"/>
      <c r="G486" s="18"/>
    </row>
    <row r="487" customFormat="false" ht="14.25" hidden="false" customHeight="true" outlineLevel="0" collapsed="false">
      <c r="A487" s="19"/>
      <c r="B487" s="19" t="str">
        <f aca="false">IF(A487="","",A487+6)</f>
        <v/>
      </c>
      <c r="C487" s="20"/>
      <c r="D487" s="18" t="str">
        <f aca="false">IFERROR(INDEX('Operator Master'!$B$5:$B$504,MATCH(C487,'Operator Master'!$A$5:$A$504,0)),"")</f>
        <v/>
      </c>
      <c r="E487" s="20"/>
      <c r="F487" s="18"/>
      <c r="G487" s="18"/>
    </row>
    <row r="488" customFormat="false" ht="14.25" hidden="false" customHeight="true" outlineLevel="0" collapsed="false">
      <c r="A488" s="19"/>
      <c r="B488" s="19" t="str">
        <f aca="false">IF(A488="","",A488+6)</f>
        <v/>
      </c>
      <c r="C488" s="20"/>
      <c r="D488" s="18" t="str">
        <f aca="false">IFERROR(INDEX('Operator Master'!$B$5:$B$504,MATCH(C488,'Operator Master'!$A$5:$A$504,0)),"")</f>
        <v/>
      </c>
      <c r="E488" s="20"/>
      <c r="F488" s="18"/>
      <c r="G488" s="18"/>
    </row>
    <row r="489" customFormat="false" ht="14.25" hidden="false" customHeight="true" outlineLevel="0" collapsed="false">
      <c r="A489" s="19"/>
      <c r="B489" s="19" t="str">
        <f aca="false">IF(A489="","",A489+6)</f>
        <v/>
      </c>
      <c r="C489" s="20"/>
      <c r="D489" s="18" t="str">
        <f aca="false">IFERROR(INDEX('Operator Master'!$B$5:$B$504,MATCH(C489,'Operator Master'!$A$5:$A$504,0)),"")</f>
        <v/>
      </c>
      <c r="E489" s="20"/>
      <c r="F489" s="18"/>
      <c r="G489" s="18"/>
    </row>
    <row r="490" customFormat="false" ht="14.25" hidden="false" customHeight="true" outlineLevel="0" collapsed="false">
      <c r="A490" s="19"/>
      <c r="B490" s="19" t="str">
        <f aca="false">IF(A490="","",A490+6)</f>
        <v/>
      </c>
      <c r="C490" s="20"/>
      <c r="D490" s="18" t="str">
        <f aca="false">IFERROR(INDEX('Operator Master'!$B$5:$B$504,MATCH(C490,'Operator Master'!$A$5:$A$504,0)),"")</f>
        <v/>
      </c>
      <c r="E490" s="20"/>
      <c r="F490" s="18"/>
      <c r="G490" s="18"/>
    </row>
    <row r="491" customFormat="false" ht="14.25" hidden="false" customHeight="true" outlineLevel="0" collapsed="false">
      <c r="A491" s="19"/>
      <c r="B491" s="19" t="str">
        <f aca="false">IF(A491="","",A491+6)</f>
        <v/>
      </c>
      <c r="C491" s="20"/>
      <c r="D491" s="18" t="str">
        <f aca="false">IFERROR(INDEX('Operator Master'!$B$5:$B$504,MATCH(C491,'Operator Master'!$A$5:$A$504,0)),"")</f>
        <v/>
      </c>
      <c r="E491" s="20"/>
      <c r="F491" s="18"/>
      <c r="G491" s="18"/>
    </row>
    <row r="492" customFormat="false" ht="14.25" hidden="false" customHeight="true" outlineLevel="0" collapsed="false">
      <c r="A492" s="19"/>
      <c r="B492" s="19" t="str">
        <f aca="false">IF(A492="","",A492+6)</f>
        <v/>
      </c>
      <c r="C492" s="20"/>
      <c r="D492" s="18" t="str">
        <f aca="false">IFERROR(INDEX('Operator Master'!$B$5:$B$504,MATCH(C492,'Operator Master'!$A$5:$A$504,0)),"")</f>
        <v/>
      </c>
      <c r="E492" s="20"/>
      <c r="F492" s="18"/>
      <c r="G492" s="18"/>
    </row>
    <row r="493" customFormat="false" ht="14.25" hidden="false" customHeight="true" outlineLevel="0" collapsed="false">
      <c r="A493" s="19"/>
      <c r="B493" s="19" t="str">
        <f aca="false">IF(A493="","",A493+6)</f>
        <v/>
      </c>
      <c r="C493" s="20"/>
      <c r="D493" s="18" t="str">
        <f aca="false">IFERROR(INDEX('Operator Master'!$B$5:$B$504,MATCH(C493,'Operator Master'!$A$5:$A$504,0)),"")</f>
        <v/>
      </c>
      <c r="E493" s="20"/>
      <c r="F493" s="18"/>
      <c r="G493" s="18"/>
    </row>
    <row r="494" customFormat="false" ht="14.25" hidden="false" customHeight="true" outlineLevel="0" collapsed="false">
      <c r="A494" s="19"/>
      <c r="B494" s="19" t="str">
        <f aca="false">IF(A494="","",A494+6)</f>
        <v/>
      </c>
      <c r="C494" s="20"/>
      <c r="D494" s="18" t="str">
        <f aca="false">IFERROR(INDEX('Operator Master'!$B$5:$B$504,MATCH(C494,'Operator Master'!$A$5:$A$504,0)),"")</f>
        <v/>
      </c>
      <c r="E494" s="20"/>
      <c r="F494" s="18"/>
      <c r="G494" s="18"/>
    </row>
    <row r="495" customFormat="false" ht="14.25" hidden="false" customHeight="true" outlineLevel="0" collapsed="false">
      <c r="A495" s="19"/>
      <c r="B495" s="19" t="str">
        <f aca="false">IF(A495="","",A495+6)</f>
        <v/>
      </c>
      <c r="C495" s="20"/>
      <c r="D495" s="18" t="str">
        <f aca="false">IFERROR(INDEX('Operator Master'!$B$5:$B$504,MATCH(C495,'Operator Master'!$A$5:$A$504,0)),"")</f>
        <v/>
      </c>
      <c r="E495" s="20"/>
      <c r="F495" s="18"/>
      <c r="G495" s="18"/>
    </row>
    <row r="496" customFormat="false" ht="14.25" hidden="false" customHeight="true" outlineLevel="0" collapsed="false">
      <c r="A496" s="19"/>
      <c r="B496" s="19" t="str">
        <f aca="false">IF(A496="","",A496+6)</f>
        <v/>
      </c>
      <c r="C496" s="20"/>
      <c r="D496" s="18" t="str">
        <f aca="false">IFERROR(INDEX('Operator Master'!$B$5:$B$504,MATCH(C496,'Operator Master'!$A$5:$A$504,0)),"")</f>
        <v/>
      </c>
      <c r="E496" s="20"/>
      <c r="F496" s="18"/>
      <c r="G496" s="18"/>
    </row>
    <row r="497" customFormat="false" ht="14.25" hidden="false" customHeight="true" outlineLevel="0" collapsed="false">
      <c r="A497" s="19"/>
      <c r="B497" s="19" t="str">
        <f aca="false">IF(A497="","",A497+6)</f>
        <v/>
      </c>
      <c r="C497" s="20"/>
      <c r="D497" s="18" t="str">
        <f aca="false">IFERROR(INDEX('Operator Master'!$B$5:$B$504,MATCH(C497,'Operator Master'!$A$5:$A$504,0)),"")</f>
        <v/>
      </c>
      <c r="E497" s="20"/>
      <c r="F497" s="18"/>
      <c r="G497" s="18"/>
    </row>
    <row r="498" customFormat="false" ht="14.25" hidden="false" customHeight="true" outlineLevel="0" collapsed="false">
      <c r="A498" s="19"/>
      <c r="B498" s="19" t="str">
        <f aca="false">IF(A498="","",A498+6)</f>
        <v/>
      </c>
      <c r="C498" s="20"/>
      <c r="D498" s="18" t="str">
        <f aca="false">IFERROR(INDEX('Operator Master'!$B$5:$B$504,MATCH(C498,'Operator Master'!$A$5:$A$504,0)),"")</f>
        <v/>
      </c>
      <c r="E498" s="20"/>
      <c r="F498" s="18"/>
      <c r="G498" s="18"/>
    </row>
    <row r="499" customFormat="false" ht="14.25" hidden="false" customHeight="true" outlineLevel="0" collapsed="false">
      <c r="A499" s="19"/>
      <c r="B499" s="19" t="str">
        <f aca="false">IF(A499="","",A499+6)</f>
        <v/>
      </c>
      <c r="C499" s="20"/>
      <c r="D499" s="18" t="str">
        <f aca="false">IFERROR(INDEX('Operator Master'!$B$5:$B$504,MATCH(C499,'Operator Master'!$A$5:$A$504,0)),"")</f>
        <v/>
      </c>
      <c r="E499" s="20"/>
      <c r="F499" s="18"/>
      <c r="G499" s="18"/>
    </row>
    <row r="500" customFormat="false" ht="14.25" hidden="false" customHeight="true" outlineLevel="0" collapsed="false">
      <c r="A500" s="19"/>
      <c r="B500" s="19" t="str">
        <f aca="false">IF(A500="","",A500+6)</f>
        <v/>
      </c>
      <c r="C500" s="20"/>
      <c r="D500" s="18" t="str">
        <f aca="false">IFERROR(INDEX('Operator Master'!$B$5:$B$504,MATCH(C500,'Operator Master'!$A$5:$A$504,0)),"")</f>
        <v/>
      </c>
      <c r="E500" s="20"/>
      <c r="F500" s="18"/>
      <c r="G500" s="18"/>
    </row>
    <row r="501" customFormat="false" ht="14.25" hidden="false" customHeight="true" outlineLevel="0" collapsed="false">
      <c r="A501" s="19"/>
      <c r="B501" s="19" t="str">
        <f aca="false">IF(A501="","",A501+6)</f>
        <v/>
      </c>
      <c r="C501" s="20"/>
      <c r="D501" s="18" t="str">
        <f aca="false">IFERROR(INDEX('Operator Master'!$B$5:$B$504,MATCH(C501,'Operator Master'!$A$5:$A$504,0)),"")</f>
        <v/>
      </c>
      <c r="E501" s="20"/>
      <c r="F501" s="18"/>
      <c r="G501" s="18"/>
    </row>
    <row r="502" customFormat="false" ht="14.25" hidden="false" customHeight="true" outlineLevel="0" collapsed="false">
      <c r="A502" s="19"/>
      <c r="B502" s="19" t="str">
        <f aca="false">IF(A502="","",A502+6)</f>
        <v/>
      </c>
      <c r="C502" s="20"/>
      <c r="D502" s="18" t="str">
        <f aca="false">IFERROR(INDEX('Operator Master'!$B$5:$B$504,MATCH(C502,'Operator Master'!$A$5:$A$504,0)),"")</f>
        <v/>
      </c>
      <c r="E502" s="20"/>
      <c r="F502" s="18"/>
      <c r="G502" s="18"/>
    </row>
    <row r="503" customFormat="false" ht="14.25" hidden="false" customHeight="true" outlineLevel="0" collapsed="false">
      <c r="A503" s="19"/>
      <c r="B503" s="19" t="str">
        <f aca="false">IF(A503="","",A503+6)</f>
        <v/>
      </c>
      <c r="C503" s="20"/>
      <c r="D503" s="18" t="str">
        <f aca="false">IFERROR(INDEX('Operator Master'!$B$5:$B$504,MATCH(C503,'Operator Master'!$A$5:$A$504,0)),"")</f>
        <v/>
      </c>
      <c r="E503" s="20"/>
      <c r="F503" s="18"/>
      <c r="G503" s="18"/>
    </row>
    <row r="504" customFormat="false" ht="14.25" hidden="false" customHeight="true" outlineLevel="0" collapsed="false">
      <c r="A504" s="19"/>
      <c r="B504" s="19" t="str">
        <f aca="false">IF(A504="","",A504+6)</f>
        <v/>
      </c>
      <c r="C504" s="20"/>
      <c r="D504" s="18" t="str">
        <f aca="false">IFERROR(INDEX('Operator Master'!$B$5:$B$504,MATCH(C504,'Operator Master'!$A$5:$A$504,0)),"")</f>
        <v/>
      </c>
      <c r="E504" s="20"/>
      <c r="F504" s="18"/>
      <c r="G504" s="18"/>
    </row>
  </sheetData>
  <mergeCells count="2">
    <mergeCell ref="A1:G1"/>
    <mergeCell ref="A2:G2"/>
  </mergeCells>
  <dataValidations count="2">
    <dataValidation allowBlank="true" error="Please select a value from the dropdown." errorStyle="stop" errorTitle="Invalid Entry" operator="between" showDropDown="false" showErrorMessage="false" showInputMessage="false" sqref="C5:C504" type="list">
      <formula1>OperatorIDList</formula1>
      <formula2>0</formula2>
    </dataValidation>
    <dataValidation allowBlank="true" error="Please select a value from the dropdown." errorStyle="stop" errorTitle="Invalid Entry" operator="between" showDropDown="false" showErrorMessage="false" showInputMessage="false" sqref="E5:E504" type="list">
      <formula1>ShiftList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15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28"/>
    <col collapsed="false" customWidth="true" hidden="false" outlineLevel="0" max="8" min="8" style="1" width="30"/>
  </cols>
  <sheetData>
    <row r="1" customFormat="false" ht="27.75" hidden="false" customHeight="true" outlineLevel="0" collapsed="false">
      <c r="A1" s="15" t="s">
        <v>212</v>
      </c>
      <c r="B1" s="15"/>
      <c r="C1" s="15"/>
      <c r="D1" s="15"/>
      <c r="E1" s="15"/>
      <c r="F1" s="15"/>
      <c r="G1" s="15"/>
      <c r="H1" s="15"/>
    </row>
    <row r="2" customFormat="false" ht="30" hidden="false" customHeight="true" outlineLevel="0" collapsed="false">
      <c r="A2" s="16" t="s">
        <v>213</v>
      </c>
      <c r="B2" s="16"/>
      <c r="C2" s="16"/>
      <c r="D2" s="16"/>
      <c r="E2" s="16"/>
      <c r="F2" s="16"/>
      <c r="G2" s="16"/>
      <c r="H2" s="16"/>
    </row>
    <row r="4" customFormat="false" ht="31.5" hidden="false" customHeight="true" outlineLevel="0" collapsed="false">
      <c r="A4" s="17" t="s">
        <v>131</v>
      </c>
      <c r="B4" s="17" t="s">
        <v>214</v>
      </c>
      <c r="C4" s="17" t="s">
        <v>215</v>
      </c>
      <c r="D4" s="17" t="s">
        <v>216</v>
      </c>
      <c r="E4" s="17" t="s">
        <v>217</v>
      </c>
      <c r="F4" s="17" t="s">
        <v>218</v>
      </c>
      <c r="G4" s="17" t="s">
        <v>219</v>
      </c>
      <c r="H4" s="17" t="s">
        <v>147</v>
      </c>
    </row>
    <row r="5" customFormat="false" ht="14.25" hidden="false" customHeight="true" outlineLevel="0" collapsed="false">
      <c r="A5" s="18" t="s">
        <v>220</v>
      </c>
      <c r="B5" s="18" t="s">
        <v>221</v>
      </c>
      <c r="C5" s="18" t="n">
        <v>800</v>
      </c>
      <c r="D5" s="18" t="s">
        <v>222</v>
      </c>
      <c r="E5" s="18"/>
      <c r="F5" s="18" t="s">
        <v>153</v>
      </c>
      <c r="G5" s="18"/>
      <c r="H5" s="18"/>
    </row>
    <row r="6" customFormat="false" ht="14.25" hidden="false" customHeight="true" outlineLevel="0" collapsed="false">
      <c r="A6" s="18" t="s">
        <v>223</v>
      </c>
      <c r="B6" s="18" t="s">
        <v>221</v>
      </c>
      <c r="C6" s="18" t="n">
        <v>800</v>
      </c>
      <c r="D6" s="18" t="s">
        <v>222</v>
      </c>
      <c r="E6" s="18"/>
      <c r="F6" s="18" t="s">
        <v>153</v>
      </c>
      <c r="G6" s="18"/>
      <c r="H6" s="18"/>
    </row>
    <row r="7" customFormat="false" ht="14.25" hidden="false" customHeight="true" outlineLevel="0" collapsed="false">
      <c r="A7" s="18" t="s">
        <v>224</v>
      </c>
      <c r="B7" s="18" t="s">
        <v>221</v>
      </c>
      <c r="C7" s="18" t="n">
        <v>800</v>
      </c>
      <c r="D7" s="18" t="s">
        <v>222</v>
      </c>
      <c r="E7" s="18"/>
      <c r="F7" s="18" t="s">
        <v>153</v>
      </c>
      <c r="G7" s="18"/>
      <c r="H7" s="18"/>
    </row>
    <row r="8" customFormat="false" ht="14.25" hidden="false" customHeight="true" outlineLevel="0" collapsed="false">
      <c r="A8" s="18" t="s">
        <v>225</v>
      </c>
      <c r="B8" s="18" t="s">
        <v>221</v>
      </c>
      <c r="C8" s="18" t="n">
        <v>800</v>
      </c>
      <c r="D8" s="18" t="s">
        <v>222</v>
      </c>
      <c r="E8" s="18"/>
      <c r="F8" s="18" t="s">
        <v>153</v>
      </c>
      <c r="G8" s="18"/>
      <c r="H8" s="18"/>
    </row>
    <row r="9" customFormat="false" ht="14.25" hidden="false" customHeight="true" outlineLevel="0" collapsed="false">
      <c r="A9" s="18" t="s">
        <v>226</v>
      </c>
      <c r="B9" s="18" t="s">
        <v>221</v>
      </c>
      <c r="C9" s="18" t="n">
        <v>800</v>
      </c>
      <c r="D9" s="18" t="s">
        <v>222</v>
      </c>
      <c r="E9" s="18"/>
      <c r="F9" s="18" t="s">
        <v>153</v>
      </c>
      <c r="G9" s="18"/>
      <c r="H9" s="18"/>
    </row>
    <row r="10" customFormat="false" ht="14.25" hidden="false" customHeight="true" outlineLevel="0" collapsed="false">
      <c r="A10" s="18" t="s">
        <v>227</v>
      </c>
      <c r="B10" s="18" t="s">
        <v>221</v>
      </c>
      <c r="C10" s="18" t="n">
        <v>800</v>
      </c>
      <c r="D10" s="18" t="s">
        <v>222</v>
      </c>
      <c r="E10" s="18"/>
      <c r="F10" s="18" t="s">
        <v>153</v>
      </c>
      <c r="G10" s="18"/>
      <c r="H10" s="18"/>
    </row>
    <row r="11" customFormat="false" ht="14.25" hidden="false" customHeight="true" outlineLevel="0" collapsed="false">
      <c r="A11" s="18" t="s">
        <v>228</v>
      </c>
      <c r="B11" s="18" t="s">
        <v>221</v>
      </c>
      <c r="C11" s="18" t="n">
        <v>800</v>
      </c>
      <c r="D11" s="18" t="s">
        <v>222</v>
      </c>
      <c r="E11" s="18"/>
      <c r="F11" s="18" t="s">
        <v>153</v>
      </c>
      <c r="G11" s="18"/>
      <c r="H11" s="18"/>
    </row>
    <row r="12" customFormat="false" ht="14.25" hidden="false" customHeight="true" outlineLevel="0" collapsed="false">
      <c r="A12" s="18" t="s">
        <v>229</v>
      </c>
      <c r="B12" s="18" t="s">
        <v>221</v>
      </c>
      <c r="C12" s="18" t="n">
        <v>800</v>
      </c>
      <c r="D12" s="18" t="s">
        <v>222</v>
      </c>
      <c r="E12" s="18"/>
      <c r="F12" s="18" t="s">
        <v>153</v>
      </c>
      <c r="G12" s="18"/>
      <c r="H12" s="18"/>
    </row>
    <row r="13" customFormat="false" ht="14.25" hidden="false" customHeight="true" outlineLevel="0" collapsed="false">
      <c r="A13" s="18" t="s">
        <v>230</v>
      </c>
      <c r="B13" s="18" t="s">
        <v>221</v>
      </c>
      <c r="C13" s="18" t="n">
        <v>800</v>
      </c>
      <c r="D13" s="18" t="s">
        <v>222</v>
      </c>
      <c r="E13" s="18"/>
      <c r="F13" s="18" t="s">
        <v>153</v>
      </c>
      <c r="G13" s="18"/>
      <c r="H13" s="18"/>
    </row>
    <row r="14" customFormat="false" ht="14.25" hidden="false" customHeight="true" outlineLevel="0" collapsed="false">
      <c r="A14" s="18" t="s">
        <v>231</v>
      </c>
      <c r="B14" s="18" t="s">
        <v>221</v>
      </c>
      <c r="C14" s="18" t="n">
        <v>800</v>
      </c>
      <c r="D14" s="18" t="s">
        <v>222</v>
      </c>
      <c r="E14" s="18"/>
      <c r="F14" s="18" t="s">
        <v>153</v>
      </c>
      <c r="G14" s="18"/>
      <c r="H14" s="18"/>
    </row>
    <row r="15" customFormat="false" ht="14.25" hidden="false" customHeight="true" outlineLevel="0" collapsed="false">
      <c r="A15" s="18" t="s">
        <v>232</v>
      </c>
      <c r="B15" s="18" t="s">
        <v>221</v>
      </c>
      <c r="C15" s="18" t="n">
        <v>800</v>
      </c>
      <c r="D15" s="18" t="s">
        <v>222</v>
      </c>
      <c r="E15" s="18"/>
      <c r="F15" s="18" t="s">
        <v>153</v>
      </c>
      <c r="G15" s="18"/>
      <c r="H15" s="18"/>
    </row>
    <row r="16" customFormat="false" ht="14.25" hidden="false" customHeight="true" outlineLevel="0" collapsed="false">
      <c r="A16" s="18" t="s">
        <v>233</v>
      </c>
      <c r="B16" s="18" t="s">
        <v>221</v>
      </c>
      <c r="C16" s="18" t="n">
        <v>800</v>
      </c>
      <c r="D16" s="18" t="s">
        <v>222</v>
      </c>
      <c r="E16" s="18"/>
      <c r="F16" s="18" t="s">
        <v>153</v>
      </c>
      <c r="G16" s="18"/>
      <c r="H16" s="18"/>
    </row>
    <row r="17" customFormat="false" ht="14.25" hidden="false" customHeight="true" outlineLevel="0" collapsed="false">
      <c r="A17" s="18" t="s">
        <v>234</v>
      </c>
      <c r="B17" s="18" t="s">
        <v>221</v>
      </c>
      <c r="C17" s="18" t="n">
        <v>800</v>
      </c>
      <c r="D17" s="18" t="s">
        <v>222</v>
      </c>
      <c r="E17" s="18"/>
      <c r="F17" s="18" t="s">
        <v>153</v>
      </c>
      <c r="G17" s="18"/>
      <c r="H17" s="18"/>
    </row>
    <row r="18" customFormat="false" ht="14.25" hidden="false" customHeight="true" outlineLevel="0" collapsed="false">
      <c r="A18" s="18" t="s">
        <v>235</v>
      </c>
      <c r="B18" s="18" t="s">
        <v>221</v>
      </c>
      <c r="C18" s="18" t="n">
        <v>800</v>
      </c>
      <c r="D18" s="18" t="s">
        <v>222</v>
      </c>
      <c r="E18" s="18"/>
      <c r="F18" s="18" t="s">
        <v>153</v>
      </c>
      <c r="G18" s="18"/>
      <c r="H18" s="18"/>
    </row>
    <row r="19" customFormat="false" ht="14.25" hidden="false" customHeight="true" outlineLevel="0" collapsed="false">
      <c r="A19" s="18" t="s">
        <v>236</v>
      </c>
      <c r="B19" s="18" t="s">
        <v>237</v>
      </c>
      <c r="C19" s="18" t="n">
        <v>600</v>
      </c>
      <c r="D19" s="18" t="s">
        <v>222</v>
      </c>
      <c r="E19" s="18"/>
      <c r="F19" s="18" t="s">
        <v>153</v>
      </c>
      <c r="G19" s="18"/>
      <c r="H19" s="18"/>
    </row>
    <row r="20" customFormat="false" ht="14.25" hidden="false" customHeight="true" outlineLevel="0" collapsed="false">
      <c r="A20" s="18" t="s">
        <v>238</v>
      </c>
      <c r="B20" s="18" t="s">
        <v>237</v>
      </c>
      <c r="C20" s="18" t="n">
        <v>600</v>
      </c>
      <c r="D20" s="18" t="s">
        <v>222</v>
      </c>
      <c r="E20" s="18"/>
      <c r="F20" s="18" t="s">
        <v>153</v>
      </c>
      <c r="G20" s="18"/>
      <c r="H20" s="18"/>
    </row>
    <row r="21" customFormat="false" ht="14.25" hidden="false" customHeight="true" outlineLevel="0" collapsed="false">
      <c r="A21" s="18" t="s">
        <v>239</v>
      </c>
      <c r="B21" s="18" t="s">
        <v>237</v>
      </c>
      <c r="C21" s="18" t="n">
        <v>600</v>
      </c>
      <c r="D21" s="18" t="s">
        <v>222</v>
      </c>
      <c r="E21" s="18"/>
      <c r="F21" s="18" t="s">
        <v>153</v>
      </c>
      <c r="G21" s="18"/>
      <c r="H21" s="18"/>
    </row>
    <row r="22" customFormat="false" ht="14.25" hidden="false" customHeight="true" outlineLevel="0" collapsed="false">
      <c r="A22" s="18" t="s">
        <v>240</v>
      </c>
      <c r="B22" s="18" t="s">
        <v>237</v>
      </c>
      <c r="C22" s="18" t="n">
        <v>600</v>
      </c>
      <c r="D22" s="18" t="s">
        <v>222</v>
      </c>
      <c r="E22" s="18"/>
      <c r="F22" s="18" t="s">
        <v>153</v>
      </c>
      <c r="G22" s="18"/>
      <c r="H22" s="18"/>
    </row>
    <row r="23" customFormat="false" ht="14.25" hidden="false" customHeight="true" outlineLevel="0" collapsed="false">
      <c r="A23" s="18" t="s">
        <v>241</v>
      </c>
      <c r="B23" s="18" t="s">
        <v>237</v>
      </c>
      <c r="C23" s="18" t="n">
        <v>600</v>
      </c>
      <c r="D23" s="18" t="s">
        <v>222</v>
      </c>
      <c r="E23" s="18"/>
      <c r="F23" s="18" t="s">
        <v>153</v>
      </c>
      <c r="G23" s="18"/>
      <c r="H23" s="18"/>
    </row>
    <row r="24" customFormat="false" ht="14.25" hidden="false" customHeight="true" outlineLevel="0" collapsed="false">
      <c r="A24" s="18" t="s">
        <v>242</v>
      </c>
      <c r="B24" s="18" t="s">
        <v>237</v>
      </c>
      <c r="C24" s="18" t="n">
        <v>600</v>
      </c>
      <c r="D24" s="18" t="s">
        <v>222</v>
      </c>
      <c r="E24" s="18"/>
      <c r="F24" s="18" t="s">
        <v>153</v>
      </c>
      <c r="G24" s="18"/>
      <c r="H24" s="18"/>
    </row>
    <row r="25" customFormat="false" ht="14.25" hidden="false" customHeight="true" outlineLevel="0" collapsed="false">
      <c r="A25" s="18" t="s">
        <v>243</v>
      </c>
      <c r="B25" s="18" t="s">
        <v>237</v>
      </c>
      <c r="C25" s="18" t="n">
        <v>600</v>
      </c>
      <c r="D25" s="18" t="s">
        <v>222</v>
      </c>
      <c r="E25" s="18"/>
      <c r="F25" s="18" t="s">
        <v>153</v>
      </c>
      <c r="G25" s="18"/>
      <c r="H25" s="18"/>
    </row>
    <row r="26" customFormat="false" ht="14.25" hidden="false" customHeight="true" outlineLevel="0" collapsed="false">
      <c r="A26" s="18" t="s">
        <v>244</v>
      </c>
      <c r="B26" s="18" t="s">
        <v>245</v>
      </c>
      <c r="C26" s="18" t="n">
        <v>600</v>
      </c>
      <c r="D26" s="18" t="s">
        <v>222</v>
      </c>
      <c r="E26" s="18"/>
      <c r="F26" s="18" t="s">
        <v>153</v>
      </c>
      <c r="G26" s="18"/>
      <c r="H26" s="18"/>
    </row>
    <row r="27" customFormat="false" ht="14.25" hidden="false" customHeight="true" outlineLevel="0" collapsed="false">
      <c r="A27" s="18" t="s">
        <v>246</v>
      </c>
      <c r="B27" s="18" t="s">
        <v>237</v>
      </c>
      <c r="C27" s="18" t="n">
        <v>600</v>
      </c>
      <c r="D27" s="18" t="s">
        <v>222</v>
      </c>
      <c r="E27" s="18"/>
      <c r="F27" s="18" t="s">
        <v>153</v>
      </c>
      <c r="G27" s="18"/>
      <c r="H27" s="18"/>
    </row>
    <row r="28" customFormat="false" ht="14.25" hidden="false" customHeight="true" outlineLevel="0" collapsed="false">
      <c r="A28" s="18" t="s">
        <v>247</v>
      </c>
      <c r="B28" s="18" t="s">
        <v>237</v>
      </c>
      <c r="C28" s="18" t="n">
        <v>600</v>
      </c>
      <c r="D28" s="18" t="s">
        <v>222</v>
      </c>
      <c r="E28" s="18"/>
      <c r="F28" s="18" t="s">
        <v>153</v>
      </c>
      <c r="G28" s="18"/>
      <c r="H28" s="18"/>
    </row>
    <row r="29" customFormat="false" ht="14.25" hidden="false" customHeight="true" outlineLevel="0" collapsed="false">
      <c r="A29" s="18" t="s">
        <v>248</v>
      </c>
      <c r="B29" s="18" t="s">
        <v>237</v>
      </c>
      <c r="C29" s="18" t="n">
        <v>600</v>
      </c>
      <c r="D29" s="18" t="s">
        <v>222</v>
      </c>
      <c r="E29" s="18"/>
      <c r="F29" s="18" t="s">
        <v>153</v>
      </c>
      <c r="G29" s="18"/>
      <c r="H29" s="18"/>
    </row>
    <row r="30" customFormat="false" ht="14.25" hidden="false" customHeight="true" outlineLevel="0" collapsed="false">
      <c r="A30" s="18" t="s">
        <v>249</v>
      </c>
      <c r="B30" s="18" t="s">
        <v>237</v>
      </c>
      <c r="C30" s="18" t="n">
        <v>600</v>
      </c>
      <c r="D30" s="18" t="s">
        <v>222</v>
      </c>
      <c r="E30" s="18"/>
      <c r="F30" s="18" t="s">
        <v>153</v>
      </c>
      <c r="G30" s="18"/>
      <c r="H30" s="18"/>
    </row>
    <row r="31" customFormat="false" ht="14.25" hidden="false" customHeight="true" outlineLevel="0" collapsed="false">
      <c r="A31" s="18" t="s">
        <v>250</v>
      </c>
      <c r="B31" s="18" t="s">
        <v>237</v>
      </c>
      <c r="C31" s="18" t="n">
        <v>600</v>
      </c>
      <c r="D31" s="18" t="s">
        <v>222</v>
      </c>
      <c r="E31" s="18"/>
      <c r="F31" s="18" t="s">
        <v>153</v>
      </c>
      <c r="G31" s="18"/>
      <c r="H31" s="18"/>
    </row>
    <row r="32" customFormat="false" ht="14.25" hidden="false" customHeight="true" outlineLevel="0" collapsed="false">
      <c r="A32" s="18" t="s">
        <v>251</v>
      </c>
      <c r="B32" s="18" t="s">
        <v>237</v>
      </c>
      <c r="C32" s="18" t="n">
        <v>600</v>
      </c>
      <c r="D32" s="18" t="s">
        <v>222</v>
      </c>
      <c r="E32" s="18"/>
      <c r="F32" s="18" t="s">
        <v>153</v>
      </c>
      <c r="G32" s="18"/>
      <c r="H32" s="18"/>
    </row>
    <row r="33" customFormat="false" ht="14.25" hidden="false" customHeight="true" outlineLevel="0" collapsed="false">
      <c r="A33" s="18" t="s">
        <v>252</v>
      </c>
      <c r="B33" s="18" t="s">
        <v>237</v>
      </c>
      <c r="C33" s="18" t="n">
        <v>600</v>
      </c>
      <c r="D33" s="18" t="s">
        <v>222</v>
      </c>
      <c r="E33" s="18"/>
      <c r="F33" s="18" t="s">
        <v>153</v>
      </c>
      <c r="G33" s="18"/>
      <c r="H33" s="18"/>
    </row>
    <row r="34" customFormat="false" ht="14.25" hidden="false" customHeight="true" outlineLevel="0" collapsed="false">
      <c r="A34" s="18" t="s">
        <v>253</v>
      </c>
      <c r="B34" s="18" t="s">
        <v>237</v>
      </c>
      <c r="C34" s="18" t="n">
        <v>600</v>
      </c>
      <c r="D34" s="18" t="s">
        <v>222</v>
      </c>
      <c r="E34" s="18"/>
      <c r="F34" s="18" t="s">
        <v>153</v>
      </c>
      <c r="G34" s="18"/>
      <c r="H34" s="18"/>
    </row>
    <row r="35" customFormat="false" ht="14.25" hidden="false" customHeight="true" outlineLevel="0" collapsed="false">
      <c r="A35" s="18" t="s">
        <v>254</v>
      </c>
      <c r="B35" s="18" t="s">
        <v>237</v>
      </c>
      <c r="C35" s="18" t="n">
        <v>600</v>
      </c>
      <c r="D35" s="18" t="s">
        <v>222</v>
      </c>
      <c r="E35" s="18"/>
      <c r="F35" s="18" t="s">
        <v>153</v>
      </c>
      <c r="G35" s="18"/>
      <c r="H35" s="18"/>
    </row>
    <row r="36" customFormat="false" ht="14.25" hidden="false" customHeight="true" outlineLevel="0" collapsed="false">
      <c r="A36" s="18" t="s">
        <v>255</v>
      </c>
      <c r="B36" s="18" t="s">
        <v>237</v>
      </c>
      <c r="C36" s="18" t="n">
        <v>600</v>
      </c>
      <c r="D36" s="18" t="s">
        <v>222</v>
      </c>
      <c r="E36" s="18"/>
      <c r="F36" s="18" t="s">
        <v>153</v>
      </c>
      <c r="G36" s="18"/>
      <c r="H36" s="18"/>
    </row>
    <row r="37" customFormat="false" ht="14.25" hidden="false" customHeight="true" outlineLevel="0" collapsed="false">
      <c r="A37" s="18" t="s">
        <v>256</v>
      </c>
      <c r="B37" s="18" t="s">
        <v>237</v>
      </c>
      <c r="C37" s="18" t="n">
        <v>600</v>
      </c>
      <c r="D37" s="18" t="s">
        <v>222</v>
      </c>
      <c r="E37" s="18"/>
      <c r="F37" s="18" t="s">
        <v>153</v>
      </c>
      <c r="G37" s="18"/>
      <c r="H37" s="18"/>
    </row>
    <row r="38" customFormat="false" ht="14.25" hidden="false" customHeight="true" outlineLevel="0" collapsed="false">
      <c r="A38" s="18" t="s">
        <v>257</v>
      </c>
      <c r="B38" s="18" t="s">
        <v>237</v>
      </c>
      <c r="C38" s="18" t="n">
        <v>600</v>
      </c>
      <c r="D38" s="18" t="s">
        <v>222</v>
      </c>
      <c r="E38" s="18"/>
      <c r="F38" s="18" t="s">
        <v>153</v>
      </c>
      <c r="G38" s="18"/>
      <c r="H38" s="18"/>
    </row>
    <row r="39" customFormat="false" ht="14.25" hidden="false" customHeight="true" outlineLevel="0" collapsed="false">
      <c r="A39" s="18" t="s">
        <v>258</v>
      </c>
      <c r="B39" s="18" t="s">
        <v>237</v>
      </c>
      <c r="C39" s="18" t="n">
        <v>600</v>
      </c>
      <c r="D39" s="18" t="s">
        <v>222</v>
      </c>
      <c r="E39" s="18"/>
      <c r="F39" s="18" t="s">
        <v>153</v>
      </c>
      <c r="G39" s="18"/>
      <c r="H39" s="18"/>
    </row>
    <row r="40" customFormat="false" ht="14.25" hidden="false" customHeight="true" outlineLevel="0" collapsed="false">
      <c r="A40" s="18" t="s">
        <v>259</v>
      </c>
      <c r="B40" s="18" t="s">
        <v>245</v>
      </c>
      <c r="C40" s="18" t="n">
        <v>600</v>
      </c>
      <c r="D40" s="18" t="s">
        <v>222</v>
      </c>
      <c r="E40" s="18"/>
      <c r="F40" s="18" t="s">
        <v>153</v>
      </c>
      <c r="G40" s="18"/>
      <c r="H40" s="18"/>
    </row>
    <row r="41" customFormat="false" ht="14.25" hidden="false" customHeight="true" outlineLevel="0" collapsed="false">
      <c r="A41" s="18" t="s">
        <v>260</v>
      </c>
      <c r="B41" s="18" t="s">
        <v>245</v>
      </c>
      <c r="C41" s="18" t="n">
        <v>600</v>
      </c>
      <c r="D41" s="18" t="s">
        <v>222</v>
      </c>
      <c r="E41" s="18"/>
      <c r="F41" s="18" t="s">
        <v>153</v>
      </c>
      <c r="G41" s="18"/>
      <c r="H41" s="18"/>
    </row>
    <row r="42" customFormat="false" ht="14.25" hidden="false" customHeight="true" outlineLevel="0" collapsed="false">
      <c r="A42" s="18" t="s">
        <v>261</v>
      </c>
      <c r="B42" s="18" t="s">
        <v>237</v>
      </c>
      <c r="C42" s="18" t="n">
        <v>600</v>
      </c>
      <c r="D42" s="18" t="s">
        <v>222</v>
      </c>
      <c r="E42" s="18"/>
      <c r="F42" s="18" t="s">
        <v>153</v>
      </c>
      <c r="G42" s="18"/>
      <c r="H42" s="18"/>
    </row>
    <row r="43" customFormat="false" ht="14.25" hidden="false" customHeight="true" outlineLevel="0" collapsed="false">
      <c r="A43" s="18" t="s">
        <v>262</v>
      </c>
      <c r="B43" s="18" t="s">
        <v>245</v>
      </c>
      <c r="C43" s="18" t="n">
        <v>600</v>
      </c>
      <c r="D43" s="18" t="s">
        <v>222</v>
      </c>
      <c r="E43" s="18"/>
      <c r="F43" s="18" t="s">
        <v>153</v>
      </c>
      <c r="G43" s="18"/>
      <c r="H43" s="18"/>
    </row>
    <row r="44" customFormat="false" ht="14.25" hidden="false" customHeight="true" outlineLevel="0" collapsed="false">
      <c r="A44" s="18" t="s">
        <v>263</v>
      </c>
      <c r="B44" s="18" t="s">
        <v>237</v>
      </c>
      <c r="C44" s="18" t="n">
        <v>600</v>
      </c>
      <c r="D44" s="18" t="s">
        <v>222</v>
      </c>
      <c r="E44" s="18"/>
      <c r="F44" s="18" t="s">
        <v>153</v>
      </c>
      <c r="G44" s="18"/>
      <c r="H44" s="18"/>
    </row>
    <row r="45" customFormat="false" ht="14.25" hidden="false" customHeight="true" outlineLevel="0" collapsed="false">
      <c r="A45" s="18" t="s">
        <v>264</v>
      </c>
      <c r="B45" s="18" t="s">
        <v>237</v>
      </c>
      <c r="C45" s="18" t="n">
        <v>600</v>
      </c>
      <c r="D45" s="18" t="s">
        <v>222</v>
      </c>
      <c r="E45" s="18"/>
      <c r="F45" s="18" t="s">
        <v>153</v>
      </c>
      <c r="G45" s="18"/>
      <c r="H45" s="18"/>
    </row>
    <row r="46" customFormat="false" ht="14.25" hidden="false" customHeight="true" outlineLevel="0" collapsed="false">
      <c r="A46" s="18" t="s">
        <v>265</v>
      </c>
      <c r="B46" s="18" t="s">
        <v>237</v>
      </c>
      <c r="C46" s="18" t="n">
        <v>600</v>
      </c>
      <c r="D46" s="18" t="s">
        <v>222</v>
      </c>
      <c r="E46" s="18"/>
      <c r="F46" s="18" t="s">
        <v>153</v>
      </c>
      <c r="G46" s="18"/>
      <c r="H46" s="18"/>
    </row>
    <row r="47" customFormat="false" ht="14.25" hidden="false" customHeight="true" outlineLevel="0" collapsed="false">
      <c r="A47" s="18" t="s">
        <v>266</v>
      </c>
      <c r="B47" s="18" t="s">
        <v>237</v>
      </c>
      <c r="C47" s="18" t="n">
        <v>600</v>
      </c>
      <c r="D47" s="18" t="s">
        <v>222</v>
      </c>
      <c r="E47" s="18"/>
      <c r="F47" s="18" t="s">
        <v>153</v>
      </c>
      <c r="G47" s="18"/>
      <c r="H47" s="18"/>
    </row>
    <row r="48" customFormat="false" ht="14.25" hidden="false" customHeight="true" outlineLevel="0" collapsed="false">
      <c r="A48" s="18" t="s">
        <v>267</v>
      </c>
      <c r="B48" s="18" t="s">
        <v>237</v>
      </c>
      <c r="C48" s="18" t="n">
        <v>600</v>
      </c>
      <c r="D48" s="18" t="s">
        <v>222</v>
      </c>
      <c r="E48" s="18"/>
      <c r="F48" s="18" t="s">
        <v>153</v>
      </c>
      <c r="G48" s="18"/>
      <c r="H48" s="18"/>
    </row>
    <row r="49" customFormat="false" ht="14.25" hidden="false" customHeight="true" outlineLevel="0" collapsed="false">
      <c r="A49" s="18" t="s">
        <v>268</v>
      </c>
      <c r="B49" s="18" t="s">
        <v>237</v>
      </c>
      <c r="C49" s="18" t="n">
        <v>600</v>
      </c>
      <c r="D49" s="18" t="s">
        <v>222</v>
      </c>
      <c r="E49" s="18"/>
      <c r="F49" s="18" t="s">
        <v>153</v>
      </c>
      <c r="G49" s="18"/>
      <c r="H49" s="18"/>
    </row>
    <row r="50" customFormat="false" ht="14.25" hidden="false" customHeight="true" outlineLevel="0" collapsed="false">
      <c r="A50" s="18" t="s">
        <v>269</v>
      </c>
      <c r="B50" s="18" t="s">
        <v>237</v>
      </c>
      <c r="C50" s="18" t="n">
        <v>600</v>
      </c>
      <c r="D50" s="18" t="s">
        <v>222</v>
      </c>
      <c r="E50" s="18"/>
      <c r="F50" s="18" t="s">
        <v>153</v>
      </c>
      <c r="G50" s="18"/>
      <c r="H50" s="18"/>
    </row>
    <row r="51" customFormat="false" ht="14.25" hidden="false" customHeight="true" outlineLevel="0" collapsed="false">
      <c r="A51" s="18" t="s">
        <v>270</v>
      </c>
      <c r="B51" s="18" t="s">
        <v>237</v>
      </c>
      <c r="C51" s="18" t="n">
        <v>600</v>
      </c>
      <c r="D51" s="18" t="s">
        <v>222</v>
      </c>
      <c r="E51" s="18"/>
      <c r="F51" s="18" t="s">
        <v>153</v>
      </c>
      <c r="G51" s="18"/>
      <c r="H51" s="18"/>
    </row>
    <row r="52" customFormat="false" ht="14.25" hidden="false" customHeight="true" outlineLevel="0" collapsed="false">
      <c r="A52" s="18" t="s">
        <v>271</v>
      </c>
      <c r="B52" s="18" t="s">
        <v>237</v>
      </c>
      <c r="C52" s="18" t="n">
        <v>600</v>
      </c>
      <c r="D52" s="18" t="s">
        <v>222</v>
      </c>
      <c r="E52" s="18"/>
      <c r="F52" s="18" t="s">
        <v>153</v>
      </c>
      <c r="G52" s="18"/>
      <c r="H52" s="18"/>
    </row>
    <row r="53" customFormat="false" ht="14.25" hidden="false" customHeight="true" outlineLevel="0" collapsed="false">
      <c r="A53" s="18" t="s">
        <v>272</v>
      </c>
      <c r="B53" s="18" t="s">
        <v>237</v>
      </c>
      <c r="C53" s="18" t="n">
        <v>600</v>
      </c>
      <c r="D53" s="18" t="s">
        <v>222</v>
      </c>
      <c r="E53" s="18"/>
      <c r="F53" s="18" t="s">
        <v>153</v>
      </c>
      <c r="G53" s="18"/>
      <c r="H53" s="18"/>
    </row>
    <row r="54" customFormat="false" ht="14.25" hidden="false" customHeight="true" outlineLevel="0" collapsed="false">
      <c r="A54" s="18" t="s">
        <v>273</v>
      </c>
      <c r="B54" s="18" t="s">
        <v>237</v>
      </c>
      <c r="C54" s="18" t="n">
        <v>600</v>
      </c>
      <c r="D54" s="18" t="s">
        <v>222</v>
      </c>
      <c r="E54" s="18"/>
      <c r="F54" s="18" t="s">
        <v>153</v>
      </c>
      <c r="G54" s="18"/>
      <c r="H54" s="18"/>
    </row>
    <row r="55" customFormat="false" ht="14.25" hidden="false" customHeight="true" outlineLevel="0" collapsed="false">
      <c r="A55" s="18" t="s">
        <v>274</v>
      </c>
      <c r="B55" s="18" t="s">
        <v>237</v>
      </c>
      <c r="C55" s="18" t="n">
        <v>600</v>
      </c>
      <c r="D55" s="18" t="s">
        <v>222</v>
      </c>
      <c r="E55" s="18"/>
      <c r="F55" s="18" t="s">
        <v>153</v>
      </c>
      <c r="G55" s="18"/>
      <c r="H55" s="18"/>
    </row>
    <row r="56" customFormat="false" ht="14.25" hidden="false" customHeight="true" outlineLevel="0" collapsed="false">
      <c r="A56" s="18" t="s">
        <v>275</v>
      </c>
      <c r="B56" s="18" t="s">
        <v>237</v>
      </c>
      <c r="C56" s="18" t="n">
        <v>600</v>
      </c>
      <c r="D56" s="18" t="s">
        <v>222</v>
      </c>
      <c r="E56" s="18"/>
      <c r="F56" s="18" t="s">
        <v>153</v>
      </c>
      <c r="G56" s="18"/>
      <c r="H56" s="18"/>
    </row>
    <row r="57" customFormat="false" ht="14.25" hidden="false" customHeight="true" outlineLevel="0" collapsed="false">
      <c r="A57" s="18" t="s">
        <v>276</v>
      </c>
      <c r="B57" s="18" t="s">
        <v>237</v>
      </c>
      <c r="C57" s="18" t="n">
        <v>600</v>
      </c>
      <c r="D57" s="18" t="s">
        <v>222</v>
      </c>
      <c r="E57" s="18"/>
      <c r="F57" s="18" t="s">
        <v>153</v>
      </c>
      <c r="G57" s="18"/>
      <c r="H57" s="18"/>
    </row>
    <row r="58" customFormat="false" ht="14.25" hidden="false" customHeight="true" outlineLevel="0" collapsed="false">
      <c r="A58" s="18" t="s">
        <v>277</v>
      </c>
      <c r="B58" s="18" t="s">
        <v>237</v>
      </c>
      <c r="C58" s="18" t="n">
        <v>600</v>
      </c>
      <c r="D58" s="18" t="s">
        <v>222</v>
      </c>
      <c r="E58" s="18"/>
      <c r="F58" s="18" t="s">
        <v>153</v>
      </c>
      <c r="G58" s="18"/>
      <c r="H58" s="18"/>
    </row>
    <row r="59" customFormat="false" ht="14.25" hidden="false" customHeight="true" outlineLevel="0" collapsed="false">
      <c r="A59" s="18" t="s">
        <v>278</v>
      </c>
      <c r="B59" s="18" t="s">
        <v>237</v>
      </c>
      <c r="C59" s="18" t="n">
        <v>600</v>
      </c>
      <c r="D59" s="18" t="s">
        <v>222</v>
      </c>
      <c r="E59" s="18"/>
      <c r="F59" s="18" t="s">
        <v>153</v>
      </c>
      <c r="G59" s="18"/>
      <c r="H59" s="18"/>
    </row>
    <row r="60" customFormat="false" ht="14.25" hidden="false" customHeight="true" outlineLevel="0" collapsed="false">
      <c r="A60" s="18" t="s">
        <v>279</v>
      </c>
      <c r="B60" s="18" t="s">
        <v>237</v>
      </c>
      <c r="C60" s="18" t="n">
        <v>600</v>
      </c>
      <c r="D60" s="18" t="s">
        <v>222</v>
      </c>
      <c r="E60" s="18"/>
      <c r="F60" s="18" t="s">
        <v>153</v>
      </c>
      <c r="G60" s="18"/>
      <c r="H60" s="18"/>
    </row>
    <row r="61" customFormat="false" ht="14.25" hidden="false" customHeight="true" outlineLevel="0" collapsed="false">
      <c r="A61" s="18" t="s">
        <v>280</v>
      </c>
      <c r="B61" s="18" t="s">
        <v>237</v>
      </c>
      <c r="C61" s="18" t="n">
        <v>600</v>
      </c>
      <c r="D61" s="18" t="s">
        <v>222</v>
      </c>
      <c r="E61" s="18"/>
      <c r="F61" s="18" t="s">
        <v>153</v>
      </c>
      <c r="G61" s="18"/>
      <c r="H61" s="18"/>
    </row>
    <row r="62" customFormat="false" ht="14.25" hidden="false" customHeight="true" outlineLevel="0" collapsed="false">
      <c r="A62" s="18" t="s">
        <v>281</v>
      </c>
      <c r="B62" s="18" t="s">
        <v>237</v>
      </c>
      <c r="C62" s="18" t="n">
        <v>600</v>
      </c>
      <c r="D62" s="18" t="s">
        <v>222</v>
      </c>
      <c r="E62" s="18"/>
      <c r="F62" s="18" t="s">
        <v>153</v>
      </c>
      <c r="G62" s="18"/>
      <c r="H62" s="18"/>
    </row>
    <row r="63" customFormat="false" ht="14.25" hidden="false" customHeight="true" outlineLevel="0" collapsed="false">
      <c r="A63" s="18" t="s">
        <v>282</v>
      </c>
      <c r="B63" s="18" t="s">
        <v>237</v>
      </c>
      <c r="C63" s="18" t="n">
        <v>600</v>
      </c>
      <c r="D63" s="18" t="s">
        <v>222</v>
      </c>
      <c r="E63" s="18"/>
      <c r="F63" s="18" t="s">
        <v>153</v>
      </c>
      <c r="G63" s="18"/>
      <c r="H63" s="18"/>
    </row>
    <row r="64" customFormat="false" ht="14.25" hidden="false" customHeight="true" outlineLevel="0" collapsed="false">
      <c r="A64" s="18" t="s">
        <v>283</v>
      </c>
      <c r="B64" s="18" t="s">
        <v>237</v>
      </c>
      <c r="C64" s="18" t="n">
        <v>600</v>
      </c>
      <c r="D64" s="18" t="s">
        <v>222</v>
      </c>
      <c r="E64" s="18"/>
      <c r="F64" s="18" t="s">
        <v>153</v>
      </c>
      <c r="G64" s="18"/>
      <c r="H64" s="18"/>
    </row>
    <row r="65" customFormat="false" ht="14.25" hidden="false" customHeight="true" outlineLevel="0" collapsed="false">
      <c r="A65" s="18" t="s">
        <v>284</v>
      </c>
      <c r="B65" s="18" t="s">
        <v>237</v>
      </c>
      <c r="C65" s="18" t="n">
        <v>600</v>
      </c>
      <c r="D65" s="18" t="s">
        <v>222</v>
      </c>
      <c r="E65" s="18"/>
      <c r="F65" s="18" t="s">
        <v>153</v>
      </c>
      <c r="G65" s="18"/>
      <c r="H65" s="18"/>
    </row>
    <row r="66" customFormat="false" ht="14.25" hidden="false" customHeight="true" outlineLevel="0" collapsed="false">
      <c r="A66" s="18" t="s">
        <v>285</v>
      </c>
      <c r="B66" s="18" t="s">
        <v>237</v>
      </c>
      <c r="C66" s="18" t="n">
        <v>600</v>
      </c>
      <c r="D66" s="18" t="s">
        <v>222</v>
      </c>
      <c r="E66" s="18"/>
      <c r="F66" s="18" t="s">
        <v>153</v>
      </c>
      <c r="G66" s="18"/>
      <c r="H66" s="18"/>
    </row>
    <row r="67" customFormat="false" ht="14.25" hidden="false" customHeight="true" outlineLevel="0" collapsed="false">
      <c r="A67" s="18" t="s">
        <v>286</v>
      </c>
      <c r="B67" s="18" t="s">
        <v>237</v>
      </c>
      <c r="C67" s="18" t="n">
        <v>600</v>
      </c>
      <c r="D67" s="18" t="s">
        <v>222</v>
      </c>
      <c r="E67" s="18"/>
      <c r="F67" s="18" t="s">
        <v>153</v>
      </c>
      <c r="G67" s="18"/>
      <c r="H67" s="18"/>
    </row>
    <row r="68" customFormat="false" ht="14.25" hidden="false" customHeight="true" outlineLevel="0" collapsed="false">
      <c r="A68" s="18" t="s">
        <v>287</v>
      </c>
      <c r="B68" s="18" t="s">
        <v>237</v>
      </c>
      <c r="C68" s="18" t="n">
        <v>600</v>
      </c>
      <c r="D68" s="18" t="s">
        <v>222</v>
      </c>
      <c r="E68" s="18"/>
      <c r="F68" s="18" t="s">
        <v>153</v>
      </c>
      <c r="G68" s="18"/>
      <c r="H68" s="18"/>
    </row>
    <row r="69" customFormat="false" ht="14.25" hidden="false" customHeight="true" outlineLevel="0" collapsed="false">
      <c r="A69" s="18" t="s">
        <v>288</v>
      </c>
      <c r="B69" s="18" t="s">
        <v>237</v>
      </c>
      <c r="C69" s="18" t="n">
        <v>600</v>
      </c>
      <c r="D69" s="18" t="s">
        <v>222</v>
      </c>
      <c r="E69" s="18"/>
      <c r="F69" s="18" t="s">
        <v>153</v>
      </c>
      <c r="G69" s="18"/>
      <c r="H69" s="18"/>
    </row>
    <row r="70" customFormat="false" ht="14.25" hidden="false" customHeight="true" outlineLevel="0" collapsed="false">
      <c r="A70" s="18" t="s">
        <v>289</v>
      </c>
      <c r="B70" s="18" t="s">
        <v>237</v>
      </c>
      <c r="C70" s="18" t="n">
        <v>600</v>
      </c>
      <c r="D70" s="18" t="s">
        <v>222</v>
      </c>
      <c r="E70" s="18"/>
      <c r="F70" s="18" t="s">
        <v>153</v>
      </c>
      <c r="G70" s="18"/>
      <c r="H70" s="18"/>
    </row>
    <row r="71" customFormat="false" ht="14.25" hidden="false" customHeight="true" outlineLevel="0" collapsed="false">
      <c r="A71" s="18" t="s">
        <v>290</v>
      </c>
      <c r="B71" s="18" t="s">
        <v>237</v>
      </c>
      <c r="C71" s="18" t="n">
        <v>600</v>
      </c>
      <c r="D71" s="18" t="s">
        <v>222</v>
      </c>
      <c r="E71" s="18"/>
      <c r="F71" s="18" t="s">
        <v>153</v>
      </c>
      <c r="G71" s="18"/>
      <c r="H71" s="18"/>
    </row>
    <row r="72" customFormat="false" ht="14.25" hidden="false" customHeight="true" outlineLevel="0" collapsed="false">
      <c r="A72" s="18" t="s">
        <v>291</v>
      </c>
      <c r="B72" s="18" t="s">
        <v>237</v>
      </c>
      <c r="C72" s="18" t="n">
        <v>600</v>
      </c>
      <c r="D72" s="18" t="s">
        <v>222</v>
      </c>
      <c r="E72" s="18"/>
      <c r="F72" s="18" t="s">
        <v>153</v>
      </c>
      <c r="G72" s="18"/>
      <c r="H72" s="18"/>
    </row>
    <row r="73" customFormat="false" ht="14.25" hidden="false" customHeight="true" outlineLevel="0" collapsed="false">
      <c r="A73" s="18" t="s">
        <v>292</v>
      </c>
      <c r="B73" s="18" t="s">
        <v>237</v>
      </c>
      <c r="C73" s="18" t="n">
        <v>600</v>
      </c>
      <c r="D73" s="18" t="s">
        <v>222</v>
      </c>
      <c r="E73" s="18"/>
      <c r="F73" s="18" t="s">
        <v>153</v>
      </c>
      <c r="G73" s="18"/>
      <c r="H73" s="18"/>
    </row>
    <row r="74" customFormat="false" ht="14.25" hidden="false" customHeight="true" outlineLevel="0" collapsed="false">
      <c r="A74" s="18" t="s">
        <v>293</v>
      </c>
      <c r="B74" s="18" t="s">
        <v>237</v>
      </c>
      <c r="C74" s="18" t="n">
        <v>600</v>
      </c>
      <c r="D74" s="18" t="s">
        <v>222</v>
      </c>
      <c r="E74" s="18"/>
      <c r="F74" s="18" t="s">
        <v>153</v>
      </c>
      <c r="G74" s="18"/>
      <c r="H74" s="18"/>
    </row>
    <row r="75" customFormat="false" ht="14.25" hidden="false" customHeight="true" outlineLevel="0" collapsed="false">
      <c r="A75" s="18" t="s">
        <v>294</v>
      </c>
      <c r="B75" s="18" t="s">
        <v>237</v>
      </c>
      <c r="C75" s="18" t="n">
        <v>600</v>
      </c>
      <c r="D75" s="18" t="s">
        <v>295</v>
      </c>
      <c r="E75" s="18"/>
      <c r="F75" s="18" t="s">
        <v>153</v>
      </c>
      <c r="G75" s="18"/>
      <c r="H75" s="18"/>
    </row>
    <row r="76" customFormat="false" ht="14.25" hidden="false" customHeight="true" outlineLevel="0" collapsed="false">
      <c r="A76" s="18" t="s">
        <v>296</v>
      </c>
      <c r="B76" s="18" t="s">
        <v>237</v>
      </c>
      <c r="C76" s="18" t="n">
        <v>600</v>
      </c>
      <c r="D76" s="18" t="s">
        <v>295</v>
      </c>
      <c r="E76" s="18"/>
      <c r="F76" s="18" t="s">
        <v>153</v>
      </c>
      <c r="G76" s="18"/>
      <c r="H76" s="18"/>
    </row>
    <row r="77" customFormat="false" ht="14.25" hidden="false" customHeight="true" outlineLevel="0" collapsed="false">
      <c r="A77" s="18" t="s">
        <v>297</v>
      </c>
      <c r="B77" s="18" t="s">
        <v>237</v>
      </c>
      <c r="C77" s="18" t="n">
        <v>600</v>
      </c>
      <c r="D77" s="18" t="s">
        <v>295</v>
      </c>
      <c r="E77" s="18"/>
      <c r="F77" s="18" t="s">
        <v>153</v>
      </c>
      <c r="G77" s="18"/>
      <c r="H77" s="18"/>
    </row>
    <row r="78" customFormat="false" ht="14.25" hidden="false" customHeight="true" outlineLevel="0" collapsed="false">
      <c r="A78" s="18" t="s">
        <v>298</v>
      </c>
      <c r="B78" s="18" t="s">
        <v>237</v>
      </c>
      <c r="C78" s="18" t="n">
        <v>600</v>
      </c>
      <c r="D78" s="18" t="s">
        <v>295</v>
      </c>
      <c r="E78" s="18"/>
      <c r="F78" s="18" t="s">
        <v>153</v>
      </c>
      <c r="G78" s="18"/>
      <c r="H78" s="18"/>
    </row>
    <row r="79" customFormat="false" ht="14.25" hidden="false" customHeight="true" outlineLevel="0" collapsed="false">
      <c r="A79" s="18" t="s">
        <v>299</v>
      </c>
      <c r="B79" s="18" t="s">
        <v>237</v>
      </c>
      <c r="C79" s="18" t="n">
        <v>600</v>
      </c>
      <c r="D79" s="18" t="s">
        <v>295</v>
      </c>
      <c r="E79" s="18"/>
      <c r="F79" s="18" t="s">
        <v>153</v>
      </c>
      <c r="G79" s="18"/>
      <c r="H79" s="18"/>
    </row>
    <row r="80" customFormat="false" ht="14.25" hidden="false" customHeight="true" outlineLevel="0" collapsed="false">
      <c r="A80" s="18" t="s">
        <v>300</v>
      </c>
      <c r="B80" s="18" t="s">
        <v>237</v>
      </c>
      <c r="C80" s="18" t="n">
        <v>600</v>
      </c>
      <c r="D80" s="18" t="s">
        <v>295</v>
      </c>
      <c r="E80" s="18"/>
      <c r="F80" s="18" t="s">
        <v>153</v>
      </c>
      <c r="G80" s="18"/>
      <c r="H80" s="18"/>
    </row>
    <row r="81" customFormat="false" ht="14.25" hidden="false" customHeight="true" outlineLevel="0" collapsed="false">
      <c r="A81" s="18" t="s">
        <v>301</v>
      </c>
      <c r="B81" s="18" t="s">
        <v>237</v>
      </c>
      <c r="C81" s="18" t="n">
        <v>600</v>
      </c>
      <c r="D81" s="18" t="s">
        <v>295</v>
      </c>
      <c r="E81" s="18"/>
      <c r="F81" s="18" t="s">
        <v>153</v>
      </c>
      <c r="G81" s="18"/>
      <c r="H81" s="18"/>
    </row>
    <row r="82" customFormat="false" ht="14.25" hidden="false" customHeight="true" outlineLevel="0" collapsed="false">
      <c r="A82" s="18" t="s">
        <v>302</v>
      </c>
      <c r="B82" s="18" t="s">
        <v>237</v>
      </c>
      <c r="C82" s="18" t="n">
        <v>600</v>
      </c>
      <c r="D82" s="18" t="s">
        <v>295</v>
      </c>
      <c r="E82" s="18"/>
      <c r="F82" s="18" t="s">
        <v>153</v>
      </c>
      <c r="G82" s="18"/>
      <c r="H82" s="18"/>
    </row>
    <row r="83" customFormat="false" ht="14.25" hidden="false" customHeight="true" outlineLevel="0" collapsed="false">
      <c r="A83" s="18" t="s">
        <v>303</v>
      </c>
      <c r="B83" s="18" t="s">
        <v>237</v>
      </c>
      <c r="C83" s="18" t="n">
        <v>600</v>
      </c>
      <c r="D83" s="18" t="s">
        <v>295</v>
      </c>
      <c r="E83" s="18"/>
      <c r="F83" s="18" t="s">
        <v>153</v>
      </c>
      <c r="G83" s="18"/>
      <c r="H83" s="18"/>
    </row>
    <row r="84" customFormat="false" ht="14.25" hidden="false" customHeight="true" outlineLevel="0" collapsed="false">
      <c r="A84" s="18" t="s">
        <v>304</v>
      </c>
      <c r="B84" s="18" t="s">
        <v>237</v>
      </c>
      <c r="C84" s="18" t="n">
        <v>600</v>
      </c>
      <c r="D84" s="18" t="s">
        <v>295</v>
      </c>
      <c r="E84" s="18"/>
      <c r="F84" s="18" t="s">
        <v>153</v>
      </c>
      <c r="G84" s="18"/>
      <c r="H84" s="18"/>
    </row>
    <row r="85" customFormat="false" ht="14.25" hidden="false" customHeight="true" outlineLevel="0" collapsed="false">
      <c r="A85" s="18" t="s">
        <v>305</v>
      </c>
      <c r="B85" s="18" t="s">
        <v>237</v>
      </c>
      <c r="C85" s="18" t="n">
        <v>600</v>
      </c>
      <c r="D85" s="18" t="s">
        <v>295</v>
      </c>
      <c r="E85" s="18"/>
      <c r="F85" s="18" t="s">
        <v>153</v>
      </c>
      <c r="G85" s="18"/>
      <c r="H85" s="18"/>
    </row>
    <row r="86" customFormat="false" ht="14.25" hidden="false" customHeight="true" outlineLevel="0" collapsed="false">
      <c r="A86" s="18" t="s">
        <v>306</v>
      </c>
      <c r="B86" s="18" t="s">
        <v>237</v>
      </c>
      <c r="C86" s="18" t="n">
        <v>600</v>
      </c>
      <c r="D86" s="18" t="s">
        <v>295</v>
      </c>
      <c r="E86" s="18"/>
      <c r="F86" s="18" t="s">
        <v>153</v>
      </c>
      <c r="G86" s="18"/>
      <c r="H86" s="18"/>
    </row>
    <row r="87" customFormat="false" ht="14.25" hidden="false" customHeight="true" outlineLevel="0" collapsed="false">
      <c r="A87" s="18" t="s">
        <v>307</v>
      </c>
      <c r="B87" s="18" t="s">
        <v>237</v>
      </c>
      <c r="C87" s="18" t="n">
        <v>600</v>
      </c>
      <c r="D87" s="18" t="s">
        <v>295</v>
      </c>
      <c r="E87" s="18"/>
      <c r="F87" s="18" t="s">
        <v>153</v>
      </c>
      <c r="G87" s="18"/>
      <c r="H87" s="18"/>
    </row>
    <row r="88" customFormat="false" ht="14.25" hidden="false" customHeight="true" outlineLevel="0" collapsed="false">
      <c r="A88" s="18" t="s">
        <v>308</v>
      </c>
      <c r="B88" s="18" t="s">
        <v>237</v>
      </c>
      <c r="C88" s="18" t="n">
        <v>600</v>
      </c>
      <c r="D88" s="18" t="s">
        <v>295</v>
      </c>
      <c r="E88" s="18"/>
      <c r="F88" s="18" t="s">
        <v>153</v>
      </c>
      <c r="G88" s="18"/>
      <c r="H88" s="18"/>
    </row>
    <row r="89" customFormat="false" ht="14.25" hidden="false" customHeight="true" outlineLevel="0" collapsed="false">
      <c r="A89" s="18" t="s">
        <v>309</v>
      </c>
      <c r="B89" s="18" t="s">
        <v>237</v>
      </c>
      <c r="C89" s="18" t="n">
        <v>600</v>
      </c>
      <c r="D89" s="18" t="s">
        <v>295</v>
      </c>
      <c r="E89" s="18"/>
      <c r="F89" s="18" t="s">
        <v>153</v>
      </c>
      <c r="G89" s="18"/>
      <c r="H89" s="18"/>
    </row>
    <row r="90" customFormat="false" ht="14.25" hidden="false" customHeight="true" outlineLevel="0" collapsed="false">
      <c r="A90" s="18" t="s">
        <v>310</v>
      </c>
      <c r="B90" s="18" t="s">
        <v>237</v>
      </c>
      <c r="C90" s="18" t="n">
        <v>600</v>
      </c>
      <c r="D90" s="18" t="s">
        <v>295</v>
      </c>
      <c r="E90" s="18"/>
      <c r="F90" s="18" t="s">
        <v>153</v>
      </c>
      <c r="G90" s="18"/>
      <c r="H90" s="18"/>
    </row>
    <row r="91" customFormat="false" ht="14.25" hidden="false" customHeight="true" outlineLevel="0" collapsed="false">
      <c r="A91" s="18" t="s">
        <v>311</v>
      </c>
      <c r="B91" s="18" t="s">
        <v>237</v>
      </c>
      <c r="C91" s="18" t="n">
        <v>600</v>
      </c>
      <c r="D91" s="18" t="s">
        <v>295</v>
      </c>
      <c r="E91" s="18"/>
      <c r="F91" s="18" t="s">
        <v>153</v>
      </c>
      <c r="G91" s="18"/>
      <c r="H91" s="18"/>
    </row>
    <row r="92" customFormat="false" ht="14.25" hidden="false" customHeight="true" outlineLevel="0" collapsed="false">
      <c r="A92" s="18" t="s">
        <v>312</v>
      </c>
      <c r="B92" s="18" t="s">
        <v>237</v>
      </c>
      <c r="C92" s="18" t="n">
        <v>600</v>
      </c>
      <c r="D92" s="18" t="s">
        <v>295</v>
      </c>
      <c r="E92" s="18"/>
      <c r="F92" s="18" t="s">
        <v>153</v>
      </c>
      <c r="G92" s="18"/>
      <c r="H92" s="18"/>
    </row>
    <row r="93" customFormat="false" ht="14.25" hidden="false" customHeight="true" outlineLevel="0" collapsed="false">
      <c r="A93" s="18" t="s">
        <v>313</v>
      </c>
      <c r="B93" s="18" t="s">
        <v>237</v>
      </c>
      <c r="C93" s="18" t="n">
        <v>600</v>
      </c>
      <c r="D93" s="18" t="s">
        <v>295</v>
      </c>
      <c r="E93" s="18"/>
      <c r="F93" s="18" t="s">
        <v>153</v>
      </c>
      <c r="G93" s="18"/>
      <c r="H93" s="18"/>
    </row>
    <row r="94" customFormat="false" ht="14.25" hidden="false" customHeight="true" outlineLevel="0" collapsed="false">
      <c r="A94" s="18" t="s">
        <v>314</v>
      </c>
      <c r="B94" s="18" t="s">
        <v>237</v>
      </c>
      <c r="C94" s="18" t="n">
        <v>600</v>
      </c>
      <c r="D94" s="18" t="s">
        <v>295</v>
      </c>
      <c r="E94" s="18"/>
      <c r="F94" s="18" t="s">
        <v>153</v>
      </c>
      <c r="G94" s="18"/>
      <c r="H94" s="18"/>
    </row>
    <row r="95" customFormat="false" ht="14.25" hidden="false" customHeight="true" outlineLevel="0" collapsed="false">
      <c r="A95" s="18" t="s">
        <v>315</v>
      </c>
      <c r="B95" s="18" t="s">
        <v>237</v>
      </c>
      <c r="C95" s="18" t="n">
        <v>600</v>
      </c>
      <c r="D95" s="18" t="s">
        <v>295</v>
      </c>
      <c r="E95" s="18"/>
      <c r="F95" s="18" t="s">
        <v>153</v>
      </c>
      <c r="G95" s="18"/>
      <c r="H95" s="18"/>
    </row>
    <row r="96" customFormat="false" ht="14.25" hidden="false" customHeight="true" outlineLevel="0" collapsed="false">
      <c r="A96" s="18" t="s">
        <v>316</v>
      </c>
      <c r="B96" s="18" t="s">
        <v>237</v>
      </c>
      <c r="C96" s="18" t="n">
        <v>600</v>
      </c>
      <c r="D96" s="18" t="s">
        <v>295</v>
      </c>
      <c r="E96" s="18"/>
      <c r="F96" s="18" t="s">
        <v>153</v>
      </c>
      <c r="G96" s="18"/>
      <c r="H96" s="18"/>
    </row>
    <row r="97" customFormat="false" ht="14.25" hidden="false" customHeight="true" outlineLevel="0" collapsed="false">
      <c r="A97" s="18" t="s">
        <v>317</v>
      </c>
      <c r="B97" s="18" t="s">
        <v>237</v>
      </c>
      <c r="C97" s="18" t="n">
        <v>600</v>
      </c>
      <c r="D97" s="18" t="s">
        <v>295</v>
      </c>
      <c r="E97" s="18"/>
      <c r="F97" s="18" t="s">
        <v>153</v>
      </c>
      <c r="G97" s="18"/>
      <c r="H97" s="18"/>
    </row>
    <row r="98" customFormat="false" ht="14.25" hidden="false" customHeight="true" outlineLevel="0" collapsed="false">
      <c r="A98" s="18" t="s">
        <v>318</v>
      </c>
      <c r="B98" s="18" t="s">
        <v>237</v>
      </c>
      <c r="C98" s="18" t="n">
        <v>600</v>
      </c>
      <c r="D98" s="18" t="s">
        <v>295</v>
      </c>
      <c r="E98" s="18"/>
      <c r="F98" s="18" t="s">
        <v>153</v>
      </c>
      <c r="G98" s="18"/>
      <c r="H98" s="18"/>
    </row>
    <row r="99" customFormat="false" ht="14.25" hidden="false" customHeight="true" outlineLevel="0" collapsed="false">
      <c r="A99" s="18" t="s">
        <v>319</v>
      </c>
      <c r="B99" s="18" t="s">
        <v>237</v>
      </c>
      <c r="C99" s="18" t="n">
        <v>600</v>
      </c>
      <c r="D99" s="18" t="s">
        <v>295</v>
      </c>
      <c r="E99" s="18"/>
      <c r="F99" s="18" t="s">
        <v>153</v>
      </c>
      <c r="G99" s="18"/>
      <c r="H99" s="18"/>
    </row>
    <row r="100" customFormat="false" ht="14.25" hidden="false" customHeight="true" outlineLevel="0" collapsed="false">
      <c r="A100" s="18" t="s">
        <v>320</v>
      </c>
      <c r="B100" s="18" t="s">
        <v>237</v>
      </c>
      <c r="C100" s="18" t="n">
        <v>600</v>
      </c>
      <c r="D100" s="18" t="s">
        <v>295</v>
      </c>
      <c r="E100" s="18"/>
      <c r="F100" s="18" t="s">
        <v>153</v>
      </c>
      <c r="G100" s="18"/>
      <c r="H100" s="18"/>
    </row>
    <row r="101" customFormat="false" ht="14.25" hidden="false" customHeight="true" outlineLevel="0" collapsed="false">
      <c r="A101" s="18" t="s">
        <v>321</v>
      </c>
      <c r="B101" s="18" t="s">
        <v>237</v>
      </c>
      <c r="C101" s="18" t="n">
        <v>600</v>
      </c>
      <c r="D101" s="18" t="s">
        <v>295</v>
      </c>
      <c r="E101" s="18"/>
      <c r="F101" s="18" t="s">
        <v>153</v>
      </c>
      <c r="G101" s="18"/>
      <c r="H101" s="18"/>
    </row>
    <row r="102" customFormat="false" ht="14.25" hidden="false" customHeight="true" outlineLevel="0" collapsed="false">
      <c r="A102" s="18" t="s">
        <v>322</v>
      </c>
      <c r="B102" s="18" t="s">
        <v>237</v>
      </c>
      <c r="C102" s="18" t="n">
        <v>600</v>
      </c>
      <c r="D102" s="18" t="s">
        <v>295</v>
      </c>
      <c r="E102" s="18"/>
      <c r="F102" s="18" t="s">
        <v>153</v>
      </c>
      <c r="G102" s="18"/>
      <c r="H102" s="18"/>
    </row>
    <row r="103" customFormat="false" ht="14.25" hidden="false" customHeight="true" outlineLevel="0" collapsed="false">
      <c r="A103" s="18" t="s">
        <v>323</v>
      </c>
      <c r="B103" s="18" t="s">
        <v>237</v>
      </c>
      <c r="C103" s="18" t="n">
        <v>600</v>
      </c>
      <c r="D103" s="18" t="s">
        <v>295</v>
      </c>
      <c r="E103" s="18"/>
      <c r="F103" s="18" t="s">
        <v>153</v>
      </c>
      <c r="G103" s="18"/>
      <c r="H103" s="18"/>
    </row>
    <row r="104" customFormat="false" ht="14.25" hidden="false" customHeight="true" outlineLevel="0" collapsed="false">
      <c r="A104" s="18" t="s">
        <v>324</v>
      </c>
      <c r="B104" s="18" t="s">
        <v>237</v>
      </c>
      <c r="C104" s="18" t="n">
        <v>600</v>
      </c>
      <c r="D104" s="18" t="s">
        <v>295</v>
      </c>
      <c r="E104" s="18"/>
      <c r="F104" s="18" t="s">
        <v>153</v>
      </c>
      <c r="G104" s="18"/>
      <c r="H104" s="18"/>
    </row>
    <row r="105" customFormat="false" ht="14.25" hidden="false" customHeight="true" outlineLevel="0" collapsed="false">
      <c r="A105" s="18" t="s">
        <v>325</v>
      </c>
      <c r="B105" s="18" t="s">
        <v>237</v>
      </c>
      <c r="C105" s="18" t="n">
        <v>600</v>
      </c>
      <c r="D105" s="18" t="s">
        <v>295</v>
      </c>
      <c r="E105" s="18"/>
      <c r="F105" s="18"/>
      <c r="G105" s="18"/>
      <c r="H105" s="18"/>
    </row>
    <row r="106" customFormat="false" ht="14.25" hidden="false" customHeight="true" outlineLevel="0" collapsed="false">
      <c r="A106" s="18" t="s">
        <v>326</v>
      </c>
      <c r="B106" s="18" t="s">
        <v>237</v>
      </c>
      <c r="C106" s="18" t="n">
        <v>600</v>
      </c>
      <c r="D106" s="18" t="s">
        <v>295</v>
      </c>
      <c r="E106" s="18"/>
      <c r="F106" s="18"/>
      <c r="G106" s="18"/>
      <c r="H106" s="18"/>
    </row>
    <row r="107" customFormat="false" ht="14.25" hidden="false" customHeight="true" outlineLevel="0" collapsed="false">
      <c r="A107" s="18" t="s">
        <v>327</v>
      </c>
      <c r="B107" s="18" t="s">
        <v>237</v>
      </c>
      <c r="C107" s="18" t="n">
        <v>600</v>
      </c>
      <c r="D107" s="18" t="s">
        <v>295</v>
      </c>
      <c r="E107" s="18"/>
      <c r="F107" s="18"/>
      <c r="G107" s="18"/>
      <c r="H107" s="18"/>
    </row>
    <row r="108" customFormat="false" ht="14.25" hidden="false" customHeight="true" outlineLevel="0" collapsed="false">
      <c r="A108" s="18" t="s">
        <v>328</v>
      </c>
      <c r="B108" s="18" t="s">
        <v>237</v>
      </c>
      <c r="C108" s="18" t="n">
        <v>600</v>
      </c>
      <c r="D108" s="18" t="s">
        <v>295</v>
      </c>
      <c r="E108" s="18"/>
      <c r="F108" s="18"/>
      <c r="G108" s="18"/>
      <c r="H108" s="18"/>
    </row>
    <row r="109" customFormat="false" ht="14.25" hidden="false" customHeight="true" outlineLevel="0" collapsed="false">
      <c r="A109" s="18" t="s">
        <v>329</v>
      </c>
      <c r="B109" s="18" t="s">
        <v>237</v>
      </c>
      <c r="C109" s="18" t="n">
        <v>600</v>
      </c>
      <c r="D109" s="18" t="s">
        <v>295</v>
      </c>
      <c r="E109" s="18"/>
      <c r="F109" s="18"/>
      <c r="G109" s="18"/>
      <c r="H109" s="18"/>
    </row>
    <row r="110" customFormat="false" ht="14.25" hidden="false" customHeight="true" outlineLevel="0" collapsed="false">
      <c r="A110" s="18" t="s">
        <v>330</v>
      </c>
      <c r="B110" s="18" t="s">
        <v>237</v>
      </c>
      <c r="C110" s="18" t="n">
        <v>600</v>
      </c>
      <c r="D110" s="18" t="s">
        <v>295</v>
      </c>
      <c r="E110" s="18"/>
      <c r="F110" s="18"/>
      <c r="G110" s="18"/>
      <c r="H110" s="18"/>
    </row>
    <row r="111" customFormat="false" ht="14.25" hidden="false" customHeight="true" outlineLevel="0" collapsed="false">
      <c r="A111" s="18" t="s">
        <v>331</v>
      </c>
      <c r="B111" s="18" t="s">
        <v>237</v>
      </c>
      <c r="C111" s="18" t="n">
        <v>600</v>
      </c>
      <c r="D111" s="18" t="s">
        <v>295</v>
      </c>
      <c r="E111" s="18"/>
      <c r="F111" s="18"/>
      <c r="G111" s="18"/>
      <c r="H111" s="18"/>
    </row>
    <row r="112" customFormat="false" ht="14.25" hidden="false" customHeight="true" outlineLevel="0" collapsed="false">
      <c r="A112" s="18" t="s">
        <v>332</v>
      </c>
      <c r="B112" s="18" t="s">
        <v>237</v>
      </c>
      <c r="C112" s="18" t="n">
        <v>600</v>
      </c>
      <c r="D112" s="18" t="s">
        <v>295</v>
      </c>
      <c r="E112" s="18"/>
      <c r="F112" s="18"/>
      <c r="G112" s="18"/>
      <c r="H112" s="18"/>
    </row>
    <row r="113" customFormat="false" ht="14.25" hidden="false" customHeight="true" outlineLevel="0" collapsed="false">
      <c r="A113" s="18" t="s">
        <v>333</v>
      </c>
      <c r="B113" s="18" t="s">
        <v>237</v>
      </c>
      <c r="C113" s="18" t="n">
        <v>600</v>
      </c>
      <c r="D113" s="18" t="s">
        <v>295</v>
      </c>
      <c r="E113" s="18"/>
      <c r="F113" s="18"/>
      <c r="G113" s="18"/>
      <c r="H113" s="18"/>
    </row>
    <row r="114" customFormat="false" ht="14.25" hidden="false" customHeight="true" outlineLevel="0" collapsed="false">
      <c r="A114" s="18" t="s">
        <v>334</v>
      </c>
      <c r="B114" s="18" t="s">
        <v>237</v>
      </c>
      <c r="C114" s="18" t="n">
        <v>600</v>
      </c>
      <c r="D114" s="18" t="s">
        <v>295</v>
      </c>
      <c r="E114" s="18"/>
      <c r="F114" s="18"/>
      <c r="G114" s="18"/>
      <c r="H114" s="18"/>
    </row>
    <row r="115" customFormat="false" ht="14.25" hidden="false" customHeight="true" outlineLevel="0" collapsed="false">
      <c r="A115" s="18" t="s">
        <v>335</v>
      </c>
      <c r="B115" s="18" t="s">
        <v>237</v>
      </c>
      <c r="C115" s="18" t="n">
        <v>600</v>
      </c>
      <c r="D115" s="18" t="s">
        <v>295</v>
      </c>
      <c r="E115" s="18"/>
      <c r="F115" s="18"/>
      <c r="G115" s="18"/>
      <c r="H115" s="18"/>
    </row>
    <row r="116" customFormat="false" ht="14.25" hidden="false" customHeight="true" outlineLevel="0" collapsed="false">
      <c r="A116" s="18" t="s">
        <v>336</v>
      </c>
      <c r="B116" s="18" t="s">
        <v>237</v>
      </c>
      <c r="C116" s="18" t="n">
        <v>600</v>
      </c>
      <c r="D116" s="18" t="s">
        <v>295</v>
      </c>
      <c r="E116" s="18"/>
      <c r="F116" s="18"/>
      <c r="G116" s="18"/>
      <c r="H116" s="18"/>
    </row>
    <row r="117" customFormat="false" ht="14.25" hidden="false" customHeight="true" outlineLevel="0" collapsed="false">
      <c r="A117" s="18" t="s">
        <v>337</v>
      </c>
      <c r="B117" s="18" t="s">
        <v>237</v>
      </c>
      <c r="C117" s="18" t="n">
        <v>600</v>
      </c>
      <c r="D117" s="18" t="s">
        <v>295</v>
      </c>
      <c r="E117" s="18"/>
      <c r="F117" s="18"/>
      <c r="G117" s="18"/>
      <c r="H117" s="18"/>
    </row>
    <row r="118" customFormat="false" ht="14.25" hidden="false" customHeight="true" outlineLevel="0" collapsed="false">
      <c r="A118" s="18" t="s">
        <v>338</v>
      </c>
      <c r="B118" s="18" t="s">
        <v>237</v>
      </c>
      <c r="C118" s="18" t="n">
        <v>600</v>
      </c>
      <c r="D118" s="18" t="s">
        <v>295</v>
      </c>
      <c r="E118" s="18"/>
      <c r="F118" s="18"/>
      <c r="G118" s="18"/>
      <c r="H118" s="18"/>
    </row>
    <row r="119" customFormat="false" ht="14.25" hidden="false" customHeight="true" outlineLevel="0" collapsed="false">
      <c r="A119" s="18" t="s">
        <v>339</v>
      </c>
      <c r="B119" s="18" t="s">
        <v>237</v>
      </c>
      <c r="C119" s="18" t="n">
        <v>600</v>
      </c>
      <c r="D119" s="18" t="s">
        <v>295</v>
      </c>
      <c r="E119" s="18"/>
      <c r="F119" s="18"/>
      <c r="G119" s="18"/>
      <c r="H119" s="18"/>
    </row>
    <row r="120" customFormat="false" ht="14.25" hidden="false" customHeight="true" outlineLevel="0" collapsed="false">
      <c r="A120" s="18" t="s">
        <v>340</v>
      </c>
      <c r="B120" s="18" t="s">
        <v>237</v>
      </c>
      <c r="C120" s="18" t="n">
        <v>600</v>
      </c>
      <c r="D120" s="18" t="s">
        <v>295</v>
      </c>
      <c r="E120" s="18"/>
      <c r="F120" s="18"/>
      <c r="G120" s="18"/>
      <c r="H120" s="18"/>
    </row>
    <row r="121" customFormat="false" ht="14.25" hidden="false" customHeight="true" outlineLevel="0" collapsed="false">
      <c r="A121" s="18" t="s">
        <v>341</v>
      </c>
      <c r="B121" s="18" t="s">
        <v>237</v>
      </c>
      <c r="C121" s="18" t="n">
        <v>600</v>
      </c>
      <c r="D121" s="18" t="s">
        <v>295</v>
      </c>
      <c r="E121" s="18"/>
      <c r="F121" s="18"/>
      <c r="G121" s="18"/>
      <c r="H121" s="18"/>
    </row>
    <row r="122" customFormat="false" ht="14.25" hidden="false" customHeight="true" outlineLevel="0" collapsed="false">
      <c r="A122" s="18" t="s">
        <v>342</v>
      </c>
      <c r="B122" s="18" t="s">
        <v>237</v>
      </c>
      <c r="C122" s="18" t="n">
        <v>600</v>
      </c>
      <c r="D122" s="18" t="s">
        <v>295</v>
      </c>
      <c r="E122" s="18"/>
      <c r="F122" s="18"/>
      <c r="G122" s="18"/>
      <c r="H122" s="18"/>
    </row>
    <row r="123" customFormat="false" ht="14.25" hidden="false" customHeight="true" outlineLevel="0" collapsed="false">
      <c r="A123" s="18" t="s">
        <v>343</v>
      </c>
      <c r="B123" s="18" t="s">
        <v>237</v>
      </c>
      <c r="C123" s="18" t="n">
        <v>600</v>
      </c>
      <c r="D123" s="18" t="s">
        <v>295</v>
      </c>
      <c r="E123" s="18"/>
      <c r="F123" s="18"/>
      <c r="G123" s="18"/>
      <c r="H123" s="18"/>
    </row>
    <row r="124" customFormat="false" ht="14.25" hidden="false" customHeight="true" outlineLevel="0" collapsed="false">
      <c r="A124" s="18" t="s">
        <v>344</v>
      </c>
      <c r="B124" s="18" t="s">
        <v>237</v>
      </c>
      <c r="C124" s="18" t="n">
        <v>600</v>
      </c>
      <c r="D124" s="18" t="s">
        <v>295</v>
      </c>
      <c r="E124" s="18"/>
      <c r="F124" s="18"/>
      <c r="G124" s="18"/>
      <c r="H124" s="18"/>
    </row>
    <row r="125" customFormat="false" ht="14.25" hidden="false" customHeight="true" outlineLevel="0" collapsed="false">
      <c r="A125" s="18" t="s">
        <v>345</v>
      </c>
      <c r="B125" s="18" t="s">
        <v>237</v>
      </c>
      <c r="C125" s="18" t="n">
        <v>600</v>
      </c>
      <c r="D125" s="18" t="s">
        <v>295</v>
      </c>
      <c r="E125" s="18"/>
      <c r="F125" s="18"/>
      <c r="G125" s="18"/>
      <c r="H125" s="18"/>
    </row>
    <row r="126" customFormat="false" ht="14.25" hidden="false" customHeight="true" outlineLevel="0" collapsed="false">
      <c r="A126" s="18" t="s">
        <v>346</v>
      </c>
      <c r="B126" s="18" t="s">
        <v>237</v>
      </c>
      <c r="C126" s="18" t="n">
        <v>600</v>
      </c>
      <c r="D126" s="18" t="s">
        <v>295</v>
      </c>
      <c r="E126" s="18"/>
      <c r="F126" s="18"/>
      <c r="G126" s="18"/>
      <c r="H126" s="18"/>
    </row>
    <row r="127" customFormat="false" ht="14.25" hidden="false" customHeight="true" outlineLevel="0" collapsed="false">
      <c r="A127" s="18" t="s">
        <v>347</v>
      </c>
      <c r="B127" s="18" t="s">
        <v>237</v>
      </c>
      <c r="C127" s="18" t="n">
        <v>600</v>
      </c>
      <c r="D127" s="18" t="s">
        <v>295</v>
      </c>
      <c r="E127" s="18"/>
      <c r="F127" s="18"/>
      <c r="G127" s="18"/>
      <c r="H127" s="18"/>
    </row>
    <row r="128" customFormat="false" ht="14.25" hidden="false" customHeight="true" outlineLevel="0" collapsed="false">
      <c r="A128" s="18" t="s">
        <v>348</v>
      </c>
      <c r="B128" s="18" t="s">
        <v>237</v>
      </c>
      <c r="C128" s="18" t="n">
        <v>600</v>
      </c>
      <c r="D128" s="18" t="s">
        <v>295</v>
      </c>
      <c r="E128" s="18"/>
      <c r="F128" s="18"/>
      <c r="G128" s="18"/>
      <c r="H128" s="18"/>
    </row>
    <row r="129" customFormat="false" ht="14.25" hidden="false" customHeight="true" outlineLevel="0" collapsed="false">
      <c r="A129" s="18" t="s">
        <v>349</v>
      </c>
      <c r="B129" s="18" t="s">
        <v>245</v>
      </c>
      <c r="C129" s="18" t="n">
        <v>600</v>
      </c>
      <c r="D129" s="18" t="s">
        <v>295</v>
      </c>
      <c r="E129" s="18"/>
      <c r="F129" s="18"/>
      <c r="G129" s="18"/>
      <c r="H129" s="18"/>
    </row>
    <row r="130" customFormat="false" ht="14.25" hidden="false" customHeight="true" outlineLevel="0" collapsed="false">
      <c r="A130" s="18" t="s">
        <v>350</v>
      </c>
      <c r="B130" s="18" t="s">
        <v>245</v>
      </c>
      <c r="C130" s="18" t="n">
        <v>600</v>
      </c>
      <c r="D130" s="18" t="s">
        <v>295</v>
      </c>
      <c r="E130" s="18"/>
      <c r="F130" s="18"/>
      <c r="G130" s="18"/>
      <c r="H130" s="18"/>
    </row>
    <row r="131" customFormat="false" ht="14.25" hidden="false" customHeight="true" outlineLevel="0" collapsed="false">
      <c r="A131" s="18" t="s">
        <v>351</v>
      </c>
      <c r="B131" s="18" t="s">
        <v>245</v>
      </c>
      <c r="C131" s="18" t="n">
        <v>600</v>
      </c>
      <c r="D131" s="18" t="s">
        <v>295</v>
      </c>
      <c r="E131" s="18"/>
      <c r="F131" s="18"/>
      <c r="G131" s="18"/>
      <c r="H131" s="18"/>
    </row>
    <row r="132" customFormat="false" ht="14.25" hidden="false" customHeight="true" outlineLevel="0" collapsed="false">
      <c r="A132" s="18" t="s">
        <v>352</v>
      </c>
      <c r="B132" s="18" t="s">
        <v>245</v>
      </c>
      <c r="C132" s="18" t="n">
        <v>600</v>
      </c>
      <c r="D132" s="18" t="s">
        <v>295</v>
      </c>
      <c r="E132" s="18"/>
      <c r="F132" s="18"/>
      <c r="G132" s="18"/>
      <c r="H132" s="18"/>
    </row>
    <row r="133" customFormat="false" ht="14.25" hidden="false" customHeight="true" outlineLevel="0" collapsed="false">
      <c r="A133" s="18" t="s">
        <v>353</v>
      </c>
      <c r="B133" s="18" t="s">
        <v>237</v>
      </c>
      <c r="C133" s="18" t="n">
        <v>600</v>
      </c>
      <c r="D133" s="18" t="s">
        <v>295</v>
      </c>
      <c r="E133" s="18"/>
      <c r="F133" s="18"/>
      <c r="G133" s="18"/>
      <c r="H133" s="18"/>
    </row>
    <row r="134" customFormat="false" ht="14.25" hidden="false" customHeight="true" outlineLevel="0" collapsed="false">
      <c r="A134" s="18" t="s">
        <v>354</v>
      </c>
      <c r="B134" s="18" t="s">
        <v>237</v>
      </c>
      <c r="C134" s="18" t="n">
        <v>600</v>
      </c>
      <c r="D134" s="18" t="s">
        <v>295</v>
      </c>
      <c r="E134" s="18"/>
      <c r="F134" s="18"/>
      <c r="G134" s="18"/>
      <c r="H134" s="18"/>
    </row>
    <row r="135" customFormat="false" ht="14.25" hidden="false" customHeight="true" outlineLevel="0" collapsed="false">
      <c r="A135" s="18" t="s">
        <v>355</v>
      </c>
      <c r="B135" s="18" t="s">
        <v>245</v>
      </c>
      <c r="C135" s="18" t="n">
        <v>600</v>
      </c>
      <c r="D135" s="18" t="s">
        <v>295</v>
      </c>
      <c r="E135" s="18"/>
      <c r="F135" s="18"/>
      <c r="G135" s="18"/>
      <c r="H135" s="18"/>
    </row>
    <row r="136" customFormat="false" ht="14.25" hidden="false" customHeight="true" outlineLevel="0" collapsed="false">
      <c r="A136" s="18" t="s">
        <v>356</v>
      </c>
      <c r="B136" s="18" t="s">
        <v>245</v>
      </c>
      <c r="C136" s="18" t="n">
        <v>600</v>
      </c>
      <c r="D136" s="18" t="s">
        <v>295</v>
      </c>
      <c r="E136" s="18"/>
      <c r="F136" s="18"/>
      <c r="G136" s="18"/>
      <c r="H136" s="18"/>
    </row>
    <row r="137" customFormat="false" ht="14.25" hidden="false" customHeight="true" outlineLevel="0" collapsed="false">
      <c r="A137" s="18" t="s">
        <v>357</v>
      </c>
      <c r="B137" s="18" t="s">
        <v>245</v>
      </c>
      <c r="C137" s="18" t="n">
        <v>600</v>
      </c>
      <c r="D137" s="18" t="s">
        <v>295</v>
      </c>
      <c r="E137" s="18"/>
      <c r="F137" s="18"/>
      <c r="G137" s="18"/>
      <c r="H137" s="18"/>
    </row>
    <row r="138" customFormat="false" ht="14.25" hidden="false" customHeight="true" outlineLevel="0" collapsed="false">
      <c r="A138" s="18" t="s">
        <v>358</v>
      </c>
      <c r="B138" s="18" t="s">
        <v>245</v>
      </c>
      <c r="C138" s="18" t="n">
        <v>600</v>
      </c>
      <c r="D138" s="18" t="s">
        <v>295</v>
      </c>
      <c r="E138" s="18"/>
      <c r="F138" s="18"/>
      <c r="G138" s="18"/>
      <c r="H138" s="18"/>
    </row>
    <row r="139" customFormat="false" ht="14.25" hidden="false" customHeight="true" outlineLevel="0" collapsed="false">
      <c r="A139" s="18" t="s">
        <v>359</v>
      </c>
      <c r="B139" s="18" t="s">
        <v>245</v>
      </c>
      <c r="C139" s="18" t="n">
        <v>600</v>
      </c>
      <c r="D139" s="18" t="s">
        <v>295</v>
      </c>
      <c r="E139" s="18"/>
      <c r="F139" s="18"/>
      <c r="G139" s="18"/>
      <c r="H139" s="18"/>
    </row>
    <row r="140" customFormat="false" ht="14.25" hidden="false" customHeight="true" outlineLevel="0" collapsed="false">
      <c r="A140" s="18" t="s">
        <v>360</v>
      </c>
      <c r="B140" s="18" t="s">
        <v>245</v>
      </c>
      <c r="C140" s="18" t="n">
        <v>600</v>
      </c>
      <c r="D140" s="18" t="s">
        <v>295</v>
      </c>
      <c r="E140" s="18"/>
      <c r="F140" s="18"/>
      <c r="G140" s="18"/>
      <c r="H140" s="18"/>
    </row>
    <row r="141" customFormat="false" ht="14.25" hidden="false" customHeight="true" outlineLevel="0" collapsed="false">
      <c r="A141" s="18" t="s">
        <v>361</v>
      </c>
      <c r="B141" s="18" t="s">
        <v>245</v>
      </c>
      <c r="C141" s="18" t="n">
        <v>600</v>
      </c>
      <c r="D141" s="18" t="s">
        <v>295</v>
      </c>
      <c r="E141" s="18"/>
      <c r="F141" s="18"/>
      <c r="G141" s="18"/>
      <c r="H141" s="18"/>
    </row>
    <row r="142" customFormat="false" ht="14.25" hidden="false" customHeight="true" outlineLevel="0" collapsed="false">
      <c r="A142" s="18" t="s">
        <v>362</v>
      </c>
      <c r="B142" s="18" t="s">
        <v>245</v>
      </c>
      <c r="C142" s="18" t="n">
        <v>600</v>
      </c>
      <c r="D142" s="18" t="s">
        <v>295</v>
      </c>
      <c r="E142" s="18"/>
      <c r="F142" s="18"/>
      <c r="G142" s="18"/>
      <c r="H142" s="18"/>
    </row>
    <row r="143" customFormat="false" ht="14.25" hidden="false" customHeight="true" outlineLevel="0" collapsed="false">
      <c r="A143" s="18" t="s">
        <v>363</v>
      </c>
      <c r="B143" s="18" t="s">
        <v>245</v>
      </c>
      <c r="C143" s="18" t="n">
        <v>600</v>
      </c>
      <c r="D143" s="18" t="s">
        <v>295</v>
      </c>
      <c r="E143" s="18"/>
      <c r="F143" s="18"/>
      <c r="G143" s="18"/>
      <c r="H143" s="18"/>
    </row>
    <row r="144" customFormat="false" ht="14.25" hidden="false" customHeight="true" outlineLevel="0" collapsed="false">
      <c r="A144" s="18" t="s">
        <v>364</v>
      </c>
      <c r="B144" s="18" t="s">
        <v>245</v>
      </c>
      <c r="C144" s="18" t="n">
        <v>600</v>
      </c>
      <c r="D144" s="18" t="s">
        <v>295</v>
      </c>
      <c r="E144" s="18"/>
      <c r="F144" s="18"/>
      <c r="G144" s="18"/>
      <c r="H144" s="18"/>
    </row>
    <row r="145" customFormat="false" ht="14.2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</row>
    <row r="146" customFormat="false" ht="14.2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</row>
    <row r="147" customFormat="false" ht="14.2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</row>
    <row r="148" customFormat="false" ht="14.2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</row>
    <row r="149" customFormat="false" ht="14.2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</row>
    <row r="150" customFormat="false" ht="14.2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</row>
    <row r="151" customFormat="false" ht="14.2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</row>
    <row r="152" customFormat="false" ht="14.2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</row>
    <row r="153" customFormat="false" ht="14.2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</row>
    <row r="154" customFormat="false" ht="14.2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</row>
  </sheetData>
  <mergeCells count="2">
    <mergeCell ref="A1:H1"/>
    <mergeCell ref="A2:H2"/>
  </mergeCells>
  <dataValidations count="1">
    <dataValidation allowBlank="true" error="Please select a value from the dropdown." errorStyle="stop" errorTitle="Invalid Entry" operator="between" showDropDown="false" showErrorMessage="false" showInputMessage="false" sqref="F5:F154" type="list">
      <formula1>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"/>
    <col collapsed="false" customWidth="true" hidden="false" outlineLevel="0" max="3" min="3" style="1" width="25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15" t="s">
        <v>365</v>
      </c>
      <c r="B1" s="15"/>
      <c r="C1" s="15"/>
      <c r="D1" s="15"/>
      <c r="E1" s="15"/>
      <c r="F1" s="15"/>
      <c r="G1" s="15"/>
    </row>
    <row r="2" customFormat="false" ht="30" hidden="false" customHeight="true" outlineLevel="0" collapsed="false">
      <c r="A2" s="16" t="s">
        <v>366</v>
      </c>
      <c r="B2" s="16"/>
      <c r="C2" s="16"/>
      <c r="D2" s="16"/>
      <c r="E2" s="16"/>
      <c r="F2" s="16"/>
      <c r="G2" s="16"/>
    </row>
    <row r="4" customFormat="false" ht="31.5" hidden="false" customHeight="true" outlineLevel="0" collapsed="false">
      <c r="A4" s="17" t="s">
        <v>132</v>
      </c>
      <c r="B4" s="17" t="s">
        <v>133</v>
      </c>
      <c r="C4" s="17" t="s">
        <v>134</v>
      </c>
      <c r="D4" s="17" t="s">
        <v>138</v>
      </c>
      <c r="E4" s="17" t="s">
        <v>367</v>
      </c>
      <c r="F4" s="17" t="s">
        <v>368</v>
      </c>
      <c r="G4" s="17" t="s">
        <v>369</v>
      </c>
    </row>
    <row r="5" customFormat="false" ht="14.25" hidden="false" customHeight="true" outlineLevel="0" collapsed="false">
      <c r="A5" s="18" t="s">
        <v>370</v>
      </c>
      <c r="B5" s="18" t="s">
        <v>371</v>
      </c>
      <c r="C5" s="18" t="s">
        <v>26</v>
      </c>
      <c r="D5" s="18" t="s">
        <v>372</v>
      </c>
      <c r="E5" s="18" t="s">
        <v>153</v>
      </c>
      <c r="F5" s="18" t="n">
        <v>2</v>
      </c>
      <c r="G5" s="18" t="s">
        <v>373</v>
      </c>
    </row>
    <row r="6" customFormat="false" ht="14.25" hidden="false" customHeight="true" outlineLevel="0" collapsed="false">
      <c r="A6" s="18" t="s">
        <v>374</v>
      </c>
      <c r="B6" s="18" t="s">
        <v>375</v>
      </c>
      <c r="C6" s="18" t="s">
        <v>27</v>
      </c>
      <c r="D6" s="18" t="s">
        <v>372</v>
      </c>
      <c r="E6" s="18" t="s">
        <v>153</v>
      </c>
      <c r="F6" s="18" t="n">
        <v>3</v>
      </c>
      <c r="G6" s="18" t="s">
        <v>376</v>
      </c>
    </row>
    <row r="7" customFormat="false" ht="14.25" hidden="false" customHeight="true" outlineLevel="0" collapsed="false">
      <c r="A7" s="18" t="s">
        <v>377</v>
      </c>
      <c r="B7" s="18" t="s">
        <v>375</v>
      </c>
      <c r="C7" s="18" t="s">
        <v>28</v>
      </c>
      <c r="D7" s="18" t="s">
        <v>378</v>
      </c>
      <c r="E7" s="18" t="s">
        <v>153</v>
      </c>
      <c r="F7" s="18" t="n">
        <v>0.5</v>
      </c>
      <c r="G7" s="18" t="s">
        <v>379</v>
      </c>
    </row>
    <row r="8" customFormat="false" ht="14.25" hidden="false" customHeight="true" outlineLevel="0" collapsed="false">
      <c r="A8" s="18" t="s">
        <v>380</v>
      </c>
      <c r="B8" s="18" t="s">
        <v>381</v>
      </c>
      <c r="C8" s="18" t="s">
        <v>382</v>
      </c>
      <c r="D8" s="18" t="s">
        <v>372</v>
      </c>
      <c r="E8" s="18" t="s">
        <v>383</v>
      </c>
      <c r="F8" s="18" t="n">
        <v>0.5</v>
      </c>
      <c r="G8" s="18" t="s">
        <v>384</v>
      </c>
    </row>
    <row r="9" customFormat="false" ht="14.25" hidden="false" customHeight="true" outlineLevel="0" collapsed="false">
      <c r="A9" s="18" t="s">
        <v>385</v>
      </c>
      <c r="B9" s="18" t="s">
        <v>381</v>
      </c>
      <c r="C9" s="18" t="s">
        <v>386</v>
      </c>
      <c r="D9" s="18" t="s">
        <v>372</v>
      </c>
      <c r="E9" s="18" t="s">
        <v>383</v>
      </c>
      <c r="F9" s="18" t="n">
        <v>0.5</v>
      </c>
      <c r="G9" s="18" t="s">
        <v>384</v>
      </c>
    </row>
    <row r="10" customFormat="false" ht="14.25" hidden="false" customHeight="true" outlineLevel="0" collapsed="false">
      <c r="A10" s="18" t="s">
        <v>387</v>
      </c>
      <c r="B10" s="18" t="s">
        <v>381</v>
      </c>
      <c r="C10" s="18" t="s">
        <v>388</v>
      </c>
      <c r="D10" s="18" t="s">
        <v>372</v>
      </c>
      <c r="E10" s="18" t="s">
        <v>383</v>
      </c>
      <c r="F10" s="18" t="n">
        <v>0.5</v>
      </c>
      <c r="G10" s="18" t="s">
        <v>389</v>
      </c>
    </row>
    <row r="11" customFormat="false" ht="14.25" hidden="false" customHeight="true" outlineLevel="0" collapsed="false">
      <c r="A11" s="18" t="s">
        <v>390</v>
      </c>
      <c r="B11" s="18" t="s">
        <v>381</v>
      </c>
      <c r="C11" s="18" t="s">
        <v>391</v>
      </c>
      <c r="D11" s="18" t="s">
        <v>378</v>
      </c>
      <c r="E11" s="18" t="s">
        <v>383</v>
      </c>
      <c r="F11" s="18" t="n">
        <v>0.2</v>
      </c>
      <c r="G11" s="18" t="s">
        <v>392</v>
      </c>
    </row>
    <row r="12" customFormat="false" ht="14.25" hidden="false" customHeight="true" outlineLevel="0" collapsed="false">
      <c r="A12" s="18" t="s">
        <v>393</v>
      </c>
      <c r="B12" s="18" t="s">
        <v>394</v>
      </c>
      <c r="C12" s="18" t="s">
        <v>395</v>
      </c>
      <c r="D12" s="18" t="s">
        <v>372</v>
      </c>
      <c r="E12" s="18" t="s">
        <v>153</v>
      </c>
      <c r="F12" s="18" t="n">
        <v>0.5</v>
      </c>
      <c r="G12" s="18" t="s">
        <v>396</v>
      </c>
    </row>
    <row r="13" customFormat="false" ht="14.25" hidden="false" customHeight="true" outlineLevel="0" collapsed="false">
      <c r="A13" s="18" t="s">
        <v>397</v>
      </c>
      <c r="B13" s="18" t="s">
        <v>398</v>
      </c>
      <c r="C13" s="18" t="s">
        <v>399</v>
      </c>
      <c r="D13" s="18" t="s">
        <v>372</v>
      </c>
      <c r="E13" s="18" t="s">
        <v>153</v>
      </c>
      <c r="F13" s="18" t="n">
        <v>0.5</v>
      </c>
      <c r="G13" s="18" t="s">
        <v>400</v>
      </c>
    </row>
    <row r="14" customFormat="false" ht="14.25" hidden="false" customHeight="true" outlineLevel="0" collapsed="false">
      <c r="A14" s="18" t="s">
        <v>401</v>
      </c>
      <c r="B14" s="18" t="s">
        <v>398</v>
      </c>
      <c r="C14" s="18" t="s">
        <v>402</v>
      </c>
      <c r="D14" s="18" t="s">
        <v>378</v>
      </c>
      <c r="E14" s="18" t="s">
        <v>383</v>
      </c>
      <c r="F14" s="18" t="n">
        <v>0.2</v>
      </c>
      <c r="G14" s="18" t="s">
        <v>403</v>
      </c>
    </row>
    <row r="15" customFormat="false" ht="14.25" hidden="false" customHeight="true" outlineLevel="0" collapsed="false">
      <c r="A15" s="18" t="s">
        <v>404</v>
      </c>
      <c r="B15" s="18" t="s">
        <v>405</v>
      </c>
      <c r="C15" s="18" t="s">
        <v>406</v>
      </c>
      <c r="D15" s="18" t="s">
        <v>378</v>
      </c>
      <c r="E15" s="18" t="s">
        <v>383</v>
      </c>
      <c r="F15" s="18" t="n">
        <v>0.2</v>
      </c>
      <c r="G15" s="18" t="s">
        <v>407</v>
      </c>
    </row>
    <row r="16" customFormat="false" ht="14.25" hidden="false" customHeight="true" outlineLevel="0" collapsed="false">
      <c r="A16" s="18" t="s">
        <v>408</v>
      </c>
      <c r="B16" s="18" t="s">
        <v>409</v>
      </c>
      <c r="C16" s="18" t="s">
        <v>410</v>
      </c>
      <c r="D16" s="18" t="s">
        <v>378</v>
      </c>
      <c r="E16" s="18" t="s">
        <v>383</v>
      </c>
      <c r="F16" s="18" t="n">
        <v>0.5</v>
      </c>
      <c r="G16" s="18" t="s">
        <v>411</v>
      </c>
    </row>
    <row r="17" customFormat="false" ht="14.25" hidden="false" customHeight="true" outlineLevel="0" collapsed="false">
      <c r="A17" s="18" t="s">
        <v>412</v>
      </c>
      <c r="B17" s="18" t="s">
        <v>413</v>
      </c>
      <c r="C17" s="18" t="s">
        <v>33</v>
      </c>
      <c r="D17" s="18" t="s">
        <v>414</v>
      </c>
      <c r="E17" s="18" t="s">
        <v>415</v>
      </c>
      <c r="F17" s="18" t="n">
        <v>1</v>
      </c>
      <c r="G17" s="18" t="s">
        <v>416</v>
      </c>
    </row>
    <row r="18" customFormat="false" ht="14.25" hidden="false" customHeight="true" outlineLevel="0" collapsed="false">
      <c r="A18" s="18"/>
      <c r="B18" s="18"/>
      <c r="C18" s="18"/>
      <c r="D18" s="18"/>
      <c r="E18" s="18"/>
      <c r="F18" s="18"/>
      <c r="G18" s="18"/>
    </row>
    <row r="19" customFormat="false" ht="14.25" hidden="false" customHeight="true" outlineLevel="0" collapsed="false">
      <c r="A19" s="18"/>
      <c r="B19" s="18"/>
      <c r="C19" s="18"/>
      <c r="D19" s="18"/>
      <c r="E19" s="18"/>
      <c r="F19" s="18"/>
      <c r="G19" s="18"/>
    </row>
    <row r="20" customFormat="false" ht="14.25" hidden="false" customHeight="true" outlineLevel="0" collapsed="false">
      <c r="A20" s="18"/>
      <c r="B20" s="18"/>
      <c r="C20" s="18"/>
      <c r="D20" s="18"/>
      <c r="E20" s="18"/>
      <c r="F20" s="18"/>
      <c r="G20" s="18"/>
    </row>
    <row r="21" customFormat="false" ht="14.25" hidden="false" customHeight="true" outlineLevel="0" collapsed="false">
      <c r="A21" s="18"/>
      <c r="B21" s="18"/>
      <c r="C21" s="18"/>
      <c r="D21" s="18"/>
      <c r="E21" s="18"/>
      <c r="F21" s="18"/>
      <c r="G21" s="18"/>
    </row>
    <row r="22" customFormat="false" ht="14.25" hidden="false" customHeight="true" outlineLevel="0" collapsed="false">
      <c r="A22" s="18"/>
      <c r="B22" s="18"/>
      <c r="C22" s="18"/>
      <c r="D22" s="18"/>
      <c r="E22" s="18"/>
      <c r="F22" s="18"/>
      <c r="G22" s="18"/>
    </row>
    <row r="23" customFormat="false" ht="14.25" hidden="false" customHeight="true" outlineLevel="0" collapsed="false">
      <c r="A23" s="18"/>
      <c r="B23" s="18"/>
      <c r="C23" s="18"/>
      <c r="D23" s="18"/>
      <c r="E23" s="18"/>
      <c r="F23" s="18"/>
      <c r="G23" s="18"/>
    </row>
    <row r="24" customFormat="false" ht="14.25" hidden="false" customHeight="true" outlineLevel="0" collapsed="false">
      <c r="A24" s="18"/>
      <c r="B24" s="18"/>
      <c r="C24" s="18"/>
      <c r="D24" s="18"/>
      <c r="E24" s="18"/>
      <c r="F24" s="18"/>
      <c r="G24" s="18"/>
    </row>
    <row r="25" customFormat="false" ht="14.25" hidden="false" customHeight="true" outlineLevel="0" collapsed="false">
      <c r="A25" s="18"/>
      <c r="B25" s="18"/>
      <c r="C25" s="18"/>
      <c r="D25" s="18"/>
      <c r="E25" s="18"/>
      <c r="F25" s="18"/>
      <c r="G25" s="18"/>
    </row>
    <row r="26" customFormat="false" ht="14.25" hidden="false" customHeight="true" outlineLevel="0" collapsed="false">
      <c r="A26" s="18"/>
      <c r="B26" s="18"/>
      <c r="C26" s="18"/>
      <c r="D26" s="18"/>
      <c r="E26" s="18"/>
      <c r="F26" s="18"/>
      <c r="G26" s="18"/>
    </row>
    <row r="27" customFormat="false" ht="14.25" hidden="false" customHeight="true" outlineLevel="0" collapsed="false">
      <c r="A27" s="18"/>
      <c r="B27" s="18"/>
      <c r="C27" s="18"/>
      <c r="D27" s="18"/>
      <c r="E27" s="18"/>
      <c r="F27" s="18"/>
      <c r="G27" s="18"/>
    </row>
    <row r="28" customFormat="false" ht="14.25" hidden="false" customHeight="true" outlineLevel="0" collapsed="false">
      <c r="A28" s="18"/>
      <c r="B28" s="18"/>
      <c r="C28" s="18"/>
      <c r="D28" s="18"/>
      <c r="E28" s="18"/>
      <c r="F28" s="18"/>
      <c r="G28" s="18"/>
    </row>
    <row r="29" customFormat="false" ht="14.25" hidden="false" customHeight="true" outlineLevel="0" collapsed="false">
      <c r="A29" s="18"/>
      <c r="B29" s="18"/>
      <c r="C29" s="18"/>
      <c r="D29" s="18"/>
      <c r="E29" s="18"/>
      <c r="F29" s="18"/>
      <c r="G29" s="18"/>
    </row>
    <row r="30" customFormat="false" ht="14.25" hidden="false" customHeight="true" outlineLevel="0" collapsed="false">
      <c r="A30" s="18"/>
      <c r="B30" s="18"/>
      <c r="C30" s="18"/>
      <c r="D30" s="18"/>
      <c r="E30" s="18"/>
      <c r="F30" s="18"/>
      <c r="G30" s="18"/>
    </row>
    <row r="31" customFormat="false" ht="14.25" hidden="false" customHeight="true" outlineLevel="0" collapsed="false">
      <c r="A31" s="18"/>
      <c r="B31" s="18"/>
      <c r="C31" s="18"/>
      <c r="D31" s="18"/>
      <c r="E31" s="18"/>
      <c r="F31" s="18"/>
      <c r="G31" s="18"/>
    </row>
    <row r="32" customFormat="false" ht="14.25" hidden="false" customHeight="true" outlineLevel="0" collapsed="false">
      <c r="A32" s="18"/>
      <c r="B32" s="18"/>
      <c r="C32" s="18"/>
      <c r="D32" s="18"/>
      <c r="E32" s="18"/>
      <c r="F32" s="18"/>
      <c r="G32" s="18"/>
    </row>
    <row r="33" customFormat="false" ht="14.25" hidden="false" customHeight="true" outlineLevel="0" collapsed="false">
      <c r="A33" s="18"/>
      <c r="B33" s="18"/>
      <c r="C33" s="18"/>
      <c r="D33" s="18"/>
      <c r="E33" s="18"/>
      <c r="F33" s="18"/>
      <c r="G33" s="18"/>
    </row>
    <row r="34" customFormat="false" ht="14.25" hidden="false" customHeight="true" outlineLevel="0" collapsed="false">
      <c r="A34" s="18"/>
      <c r="B34" s="18"/>
      <c r="C34" s="18"/>
      <c r="D34" s="18"/>
      <c r="E34" s="18"/>
      <c r="F34" s="18"/>
      <c r="G34" s="18"/>
    </row>
    <row r="35" customFormat="false" ht="14.25" hidden="false" customHeight="true" outlineLevel="0" collapsed="false">
      <c r="A35" s="18"/>
      <c r="B35" s="18"/>
      <c r="C35" s="18"/>
      <c r="D35" s="18"/>
      <c r="E35" s="18"/>
      <c r="F35" s="18"/>
      <c r="G35" s="18"/>
    </row>
    <row r="36" customFormat="false" ht="14.25" hidden="false" customHeight="true" outlineLevel="0" collapsed="false">
      <c r="A36" s="18"/>
      <c r="B36" s="18"/>
      <c r="C36" s="18"/>
      <c r="D36" s="18"/>
      <c r="E36" s="18"/>
      <c r="F36" s="18"/>
      <c r="G36" s="18"/>
    </row>
    <row r="37" customFormat="false" ht="14.25" hidden="false" customHeight="true" outlineLevel="0" collapsed="false">
      <c r="A37" s="18"/>
      <c r="B37" s="18"/>
      <c r="C37" s="18"/>
      <c r="D37" s="18"/>
      <c r="E37" s="18"/>
      <c r="F37" s="18"/>
      <c r="G37" s="18"/>
    </row>
    <row r="38" customFormat="false" ht="14.25" hidden="false" customHeight="true" outlineLevel="0" collapsed="false">
      <c r="A38" s="18"/>
      <c r="B38" s="18"/>
      <c r="C38" s="18"/>
      <c r="D38" s="18"/>
      <c r="E38" s="18"/>
      <c r="F38" s="18"/>
      <c r="G38" s="18"/>
    </row>
    <row r="39" customFormat="false" ht="14.25" hidden="false" customHeight="true" outlineLevel="0" collapsed="false">
      <c r="A39" s="18"/>
      <c r="B39" s="18"/>
      <c r="C39" s="18"/>
      <c r="D39" s="18"/>
      <c r="E39" s="18"/>
      <c r="F39" s="18"/>
      <c r="G39" s="18"/>
    </row>
    <row r="40" customFormat="false" ht="14.25" hidden="false" customHeight="true" outlineLevel="0" collapsed="false">
      <c r="A40" s="18"/>
      <c r="B40" s="18"/>
      <c r="C40" s="18"/>
      <c r="D40" s="18"/>
      <c r="E40" s="18"/>
      <c r="F40" s="18"/>
      <c r="G40" s="18"/>
    </row>
    <row r="41" customFormat="false" ht="14.25" hidden="false" customHeight="true" outlineLevel="0" collapsed="false">
      <c r="A41" s="18"/>
      <c r="B41" s="18"/>
      <c r="C41" s="18"/>
      <c r="D41" s="18"/>
      <c r="E41" s="18"/>
      <c r="F41" s="18"/>
      <c r="G41" s="18"/>
    </row>
    <row r="42" customFormat="false" ht="14.25" hidden="false" customHeight="true" outlineLevel="0" collapsed="false">
      <c r="A42" s="18"/>
      <c r="B42" s="18"/>
      <c r="C42" s="18"/>
      <c r="D42" s="18"/>
      <c r="E42" s="18"/>
      <c r="F42" s="18"/>
      <c r="G42" s="18"/>
    </row>
    <row r="43" customFormat="false" ht="14.25" hidden="false" customHeight="true" outlineLevel="0" collapsed="false">
      <c r="A43" s="18"/>
      <c r="B43" s="18"/>
      <c r="C43" s="18"/>
      <c r="D43" s="18"/>
      <c r="E43" s="18"/>
      <c r="F43" s="18"/>
      <c r="G43" s="18"/>
    </row>
    <row r="44" customFormat="false" ht="14.25" hidden="false" customHeight="true" outlineLevel="0" collapsed="false">
      <c r="A44" s="18"/>
      <c r="B44" s="18"/>
      <c r="C44" s="18"/>
      <c r="D44" s="18"/>
      <c r="E44" s="18"/>
      <c r="F44" s="18"/>
      <c r="G44" s="18"/>
    </row>
    <row r="45" customFormat="false" ht="14.25" hidden="false" customHeight="true" outlineLevel="0" collapsed="false">
      <c r="A45" s="18"/>
      <c r="B45" s="18"/>
      <c r="C45" s="18"/>
      <c r="D45" s="18"/>
      <c r="E45" s="18"/>
      <c r="F45" s="18"/>
      <c r="G45" s="18"/>
    </row>
    <row r="46" customFormat="false" ht="14.25" hidden="false" customHeight="true" outlineLevel="0" collapsed="false">
      <c r="A46" s="18"/>
      <c r="B46" s="18"/>
      <c r="C46" s="18"/>
      <c r="D46" s="18"/>
      <c r="E46" s="18"/>
      <c r="F46" s="18"/>
      <c r="G46" s="18"/>
    </row>
    <row r="47" customFormat="false" ht="14.25" hidden="false" customHeight="true" outlineLevel="0" collapsed="false">
      <c r="A47" s="18"/>
      <c r="B47" s="18"/>
      <c r="C47" s="18"/>
      <c r="D47" s="18"/>
      <c r="E47" s="18"/>
      <c r="F47" s="18"/>
      <c r="G47" s="18"/>
    </row>
    <row r="48" customFormat="false" ht="14.25" hidden="false" customHeight="true" outlineLevel="0" collapsed="false">
      <c r="A48" s="18"/>
      <c r="B48" s="18"/>
      <c r="C48" s="18"/>
      <c r="D48" s="18"/>
      <c r="E48" s="18"/>
      <c r="F48" s="18"/>
      <c r="G48" s="18"/>
    </row>
    <row r="49" customFormat="false" ht="14.25" hidden="false" customHeight="true" outlineLevel="0" collapsed="false">
      <c r="A49" s="18"/>
      <c r="B49" s="18"/>
      <c r="C49" s="18"/>
      <c r="D49" s="18"/>
      <c r="E49" s="18"/>
      <c r="F49" s="18"/>
      <c r="G49" s="18"/>
    </row>
    <row r="50" customFormat="false" ht="14.25" hidden="false" customHeight="true" outlineLevel="0" collapsed="false">
      <c r="A50" s="18"/>
      <c r="B50" s="18"/>
      <c r="C50" s="18"/>
      <c r="D50" s="18"/>
      <c r="E50" s="18"/>
      <c r="F50" s="18"/>
      <c r="G50" s="18"/>
    </row>
    <row r="51" customFormat="false" ht="14.25" hidden="false" customHeight="true" outlineLevel="0" collapsed="false">
      <c r="A51" s="18"/>
      <c r="B51" s="18"/>
      <c r="C51" s="18"/>
      <c r="D51" s="18"/>
      <c r="E51" s="18"/>
      <c r="F51" s="18"/>
      <c r="G51" s="18"/>
    </row>
    <row r="52" customFormat="false" ht="14.25" hidden="false" customHeight="true" outlineLevel="0" collapsed="false">
      <c r="A52" s="18"/>
      <c r="B52" s="18"/>
      <c r="C52" s="18"/>
      <c r="D52" s="18"/>
      <c r="E52" s="18"/>
      <c r="F52" s="18"/>
      <c r="G52" s="18"/>
    </row>
    <row r="53" customFormat="false" ht="14.25" hidden="false" customHeight="true" outlineLevel="0" collapsed="false">
      <c r="A53" s="18"/>
      <c r="B53" s="18"/>
      <c r="C53" s="18"/>
      <c r="D53" s="18"/>
      <c r="E53" s="18"/>
      <c r="F53" s="18"/>
      <c r="G53" s="18"/>
    </row>
    <row r="54" customFormat="false" ht="14.25" hidden="false" customHeight="true" outlineLevel="0" collapsed="false">
      <c r="A54" s="18"/>
      <c r="B54" s="18"/>
      <c r="C54" s="18"/>
      <c r="D54" s="18"/>
      <c r="E54" s="18"/>
      <c r="F54" s="18"/>
      <c r="G54" s="18"/>
    </row>
    <row r="55" customFormat="false" ht="14.25" hidden="false" customHeight="true" outlineLevel="0" collapsed="false">
      <c r="A55" s="18"/>
      <c r="B55" s="18"/>
      <c r="C55" s="18"/>
      <c r="D55" s="18"/>
      <c r="E55" s="18"/>
      <c r="F55" s="18"/>
      <c r="G55" s="18"/>
    </row>
    <row r="56" customFormat="false" ht="14.25" hidden="false" customHeight="true" outlineLevel="0" collapsed="false">
      <c r="A56" s="18"/>
      <c r="B56" s="18"/>
      <c r="C56" s="18"/>
      <c r="D56" s="18"/>
      <c r="E56" s="18"/>
      <c r="F56" s="18"/>
      <c r="G56" s="18"/>
    </row>
    <row r="57" customFormat="false" ht="14.25" hidden="false" customHeight="true" outlineLevel="0" collapsed="false">
      <c r="A57" s="18"/>
      <c r="B57" s="18"/>
      <c r="C57" s="18"/>
      <c r="D57" s="18"/>
      <c r="E57" s="18"/>
      <c r="F57" s="18"/>
      <c r="G57" s="18"/>
    </row>
    <row r="58" customFormat="false" ht="14.25" hidden="false" customHeight="true" outlineLevel="0" collapsed="false">
      <c r="A58" s="18"/>
      <c r="B58" s="18"/>
      <c r="C58" s="18"/>
      <c r="D58" s="18"/>
      <c r="E58" s="18"/>
      <c r="F58" s="18"/>
      <c r="G58" s="18"/>
    </row>
    <row r="59" customFormat="false" ht="14.25" hidden="false" customHeight="true" outlineLevel="0" collapsed="false">
      <c r="A59" s="18"/>
      <c r="B59" s="18"/>
      <c r="C59" s="18"/>
      <c r="D59" s="18"/>
      <c r="E59" s="18"/>
      <c r="F59" s="18"/>
      <c r="G59" s="18"/>
    </row>
    <row r="60" customFormat="false" ht="14.25" hidden="false" customHeight="true" outlineLevel="0" collapsed="false">
      <c r="A60" s="18"/>
      <c r="B60" s="18"/>
      <c r="C60" s="18"/>
      <c r="D60" s="18"/>
      <c r="E60" s="18"/>
      <c r="F60" s="18"/>
      <c r="G60" s="18"/>
    </row>
    <row r="61" customFormat="false" ht="14.25" hidden="false" customHeight="true" outlineLevel="0" collapsed="false">
      <c r="A61" s="18"/>
      <c r="B61" s="18"/>
      <c r="C61" s="18"/>
      <c r="D61" s="18"/>
      <c r="E61" s="18"/>
      <c r="F61" s="18"/>
      <c r="G61" s="18"/>
    </row>
    <row r="62" customFormat="false" ht="14.25" hidden="false" customHeight="true" outlineLevel="0" collapsed="false">
      <c r="A62" s="18"/>
      <c r="B62" s="18"/>
      <c r="C62" s="18"/>
      <c r="D62" s="18"/>
      <c r="E62" s="18"/>
      <c r="F62" s="18"/>
      <c r="G62" s="18"/>
    </row>
    <row r="63" customFormat="false" ht="14.25" hidden="false" customHeight="true" outlineLevel="0" collapsed="false">
      <c r="A63" s="18"/>
      <c r="B63" s="18"/>
      <c r="C63" s="18"/>
      <c r="D63" s="18"/>
      <c r="E63" s="18"/>
      <c r="F63" s="18"/>
      <c r="G63" s="18"/>
    </row>
    <row r="64" customFormat="false" ht="14.25" hidden="false" customHeight="true" outlineLevel="0" collapsed="false">
      <c r="A64" s="18"/>
      <c r="B64" s="18"/>
      <c r="C64" s="18"/>
      <c r="D64" s="18"/>
      <c r="E64" s="18"/>
      <c r="F64" s="18"/>
      <c r="G64" s="18"/>
    </row>
    <row r="65" customFormat="false" ht="14.25" hidden="false" customHeight="true" outlineLevel="0" collapsed="false">
      <c r="A65" s="18"/>
      <c r="B65" s="18"/>
      <c r="C65" s="18"/>
      <c r="D65" s="18"/>
      <c r="E65" s="18"/>
      <c r="F65" s="18"/>
      <c r="G65" s="18"/>
    </row>
    <row r="66" customFormat="false" ht="14.25" hidden="false" customHeight="true" outlineLevel="0" collapsed="false">
      <c r="A66" s="18"/>
      <c r="B66" s="18"/>
      <c r="C66" s="18"/>
      <c r="D66" s="18"/>
      <c r="E66" s="18"/>
      <c r="F66" s="18"/>
      <c r="G66" s="18"/>
    </row>
    <row r="67" customFormat="false" ht="14.25" hidden="false" customHeight="true" outlineLevel="0" collapsed="false">
      <c r="A67" s="18"/>
      <c r="B67" s="18"/>
      <c r="C67" s="18"/>
      <c r="D67" s="18"/>
      <c r="E67" s="18"/>
      <c r="F67" s="18"/>
      <c r="G67" s="18"/>
    </row>
    <row r="68" customFormat="false" ht="14.25" hidden="false" customHeight="true" outlineLevel="0" collapsed="false">
      <c r="A68" s="18"/>
      <c r="B68" s="18"/>
      <c r="C68" s="18"/>
      <c r="D68" s="18"/>
      <c r="E68" s="18"/>
      <c r="F68" s="18"/>
      <c r="G68" s="18"/>
    </row>
    <row r="69" customFormat="false" ht="14.25" hidden="false" customHeight="true" outlineLevel="0" collapsed="false">
      <c r="A69" s="18"/>
      <c r="B69" s="18"/>
      <c r="C69" s="18"/>
      <c r="D69" s="18"/>
      <c r="E69" s="18"/>
      <c r="F69" s="18"/>
      <c r="G69" s="18"/>
    </row>
    <row r="70" customFormat="false" ht="14.25" hidden="false" customHeight="true" outlineLevel="0" collapsed="false">
      <c r="A70" s="18"/>
      <c r="B70" s="18"/>
      <c r="C70" s="18"/>
      <c r="D70" s="18"/>
      <c r="E70" s="18"/>
      <c r="F70" s="18"/>
      <c r="G70" s="18"/>
    </row>
    <row r="71" customFormat="false" ht="14.25" hidden="false" customHeight="true" outlineLevel="0" collapsed="false">
      <c r="A71" s="18"/>
      <c r="B71" s="18"/>
      <c r="C71" s="18"/>
      <c r="D71" s="18"/>
      <c r="E71" s="18"/>
      <c r="F71" s="18"/>
      <c r="G71" s="18"/>
    </row>
    <row r="72" customFormat="false" ht="14.25" hidden="false" customHeight="true" outlineLevel="0" collapsed="false">
      <c r="A72" s="18"/>
      <c r="B72" s="18"/>
      <c r="C72" s="18"/>
      <c r="D72" s="18"/>
      <c r="E72" s="18"/>
      <c r="F72" s="18"/>
      <c r="G72" s="18"/>
    </row>
    <row r="73" customFormat="false" ht="14.25" hidden="false" customHeight="true" outlineLevel="0" collapsed="false">
      <c r="A73" s="18"/>
      <c r="B73" s="18"/>
      <c r="C73" s="18"/>
      <c r="D73" s="18"/>
      <c r="E73" s="18"/>
      <c r="F73" s="18"/>
      <c r="G73" s="18"/>
    </row>
    <row r="74" customFormat="false" ht="14.25" hidden="false" customHeight="true" outlineLevel="0" collapsed="false">
      <c r="A74" s="18"/>
      <c r="B74" s="18"/>
      <c r="C74" s="18"/>
      <c r="D74" s="18"/>
      <c r="E74" s="18"/>
      <c r="F74" s="18"/>
      <c r="G74" s="18"/>
    </row>
    <row r="75" customFormat="false" ht="14.25" hidden="false" customHeight="true" outlineLevel="0" collapsed="false">
      <c r="A75" s="18"/>
      <c r="B75" s="18"/>
      <c r="C75" s="18"/>
      <c r="D75" s="18"/>
      <c r="E75" s="18"/>
      <c r="F75" s="18"/>
      <c r="G75" s="18"/>
    </row>
    <row r="76" customFormat="false" ht="14.25" hidden="false" customHeight="true" outlineLevel="0" collapsed="false">
      <c r="A76" s="18"/>
      <c r="B76" s="18"/>
      <c r="C76" s="18"/>
      <c r="D76" s="18"/>
      <c r="E76" s="18"/>
      <c r="F76" s="18"/>
      <c r="G76" s="18"/>
    </row>
    <row r="77" customFormat="false" ht="14.25" hidden="false" customHeight="true" outlineLevel="0" collapsed="false">
      <c r="A77" s="18"/>
      <c r="B77" s="18"/>
      <c r="C77" s="18"/>
      <c r="D77" s="18"/>
      <c r="E77" s="18"/>
      <c r="F77" s="18"/>
      <c r="G77" s="18"/>
    </row>
    <row r="78" customFormat="false" ht="14.25" hidden="false" customHeight="true" outlineLevel="0" collapsed="false">
      <c r="A78" s="18"/>
      <c r="B78" s="18"/>
      <c r="C78" s="18"/>
      <c r="D78" s="18"/>
      <c r="E78" s="18"/>
      <c r="F78" s="18"/>
      <c r="G78" s="18"/>
    </row>
    <row r="79" customFormat="false" ht="14.25" hidden="false" customHeight="true" outlineLevel="0" collapsed="false">
      <c r="A79" s="18"/>
      <c r="B79" s="18"/>
      <c r="C79" s="18"/>
      <c r="D79" s="18"/>
      <c r="E79" s="18"/>
      <c r="F79" s="18"/>
      <c r="G79" s="18"/>
    </row>
    <row r="80" customFormat="false" ht="14.25" hidden="false" customHeight="true" outlineLevel="0" collapsed="false">
      <c r="A80" s="18"/>
      <c r="B80" s="18"/>
      <c r="C80" s="18"/>
      <c r="D80" s="18"/>
      <c r="E80" s="18"/>
      <c r="F80" s="18"/>
      <c r="G80" s="18"/>
    </row>
    <row r="81" customFormat="false" ht="14.25" hidden="false" customHeight="true" outlineLevel="0" collapsed="false">
      <c r="A81" s="18"/>
      <c r="B81" s="18"/>
      <c r="C81" s="18"/>
      <c r="D81" s="18"/>
      <c r="E81" s="18"/>
      <c r="F81" s="18"/>
      <c r="G81" s="18"/>
    </row>
    <row r="82" customFormat="false" ht="14.25" hidden="false" customHeight="true" outlineLevel="0" collapsed="false">
      <c r="A82" s="18"/>
      <c r="B82" s="18"/>
      <c r="C82" s="18"/>
      <c r="D82" s="18"/>
      <c r="E82" s="18"/>
      <c r="F82" s="18"/>
      <c r="G82" s="18"/>
    </row>
    <row r="83" customFormat="false" ht="14.25" hidden="false" customHeight="true" outlineLevel="0" collapsed="false">
      <c r="A83" s="18"/>
      <c r="B83" s="18"/>
      <c r="C83" s="18"/>
      <c r="D83" s="18"/>
      <c r="E83" s="18"/>
      <c r="F83" s="18"/>
      <c r="G83" s="18"/>
    </row>
    <row r="84" customFormat="false" ht="14.25" hidden="false" customHeight="true" outlineLevel="0" collapsed="false">
      <c r="A84" s="18"/>
      <c r="B84" s="18"/>
      <c r="C84" s="18"/>
      <c r="D84" s="18"/>
      <c r="E84" s="18"/>
      <c r="F84" s="18"/>
      <c r="G84" s="18"/>
    </row>
    <row r="85" customFormat="false" ht="14.25" hidden="false" customHeight="true" outlineLevel="0" collapsed="false">
      <c r="A85" s="18"/>
      <c r="B85" s="18"/>
      <c r="C85" s="18"/>
      <c r="D85" s="18"/>
      <c r="E85" s="18"/>
      <c r="F85" s="18"/>
      <c r="G85" s="18"/>
    </row>
    <row r="86" customFormat="false" ht="14.25" hidden="false" customHeight="true" outlineLevel="0" collapsed="false">
      <c r="A86" s="18"/>
      <c r="B86" s="18"/>
      <c r="C86" s="18"/>
      <c r="D86" s="18"/>
      <c r="E86" s="18"/>
      <c r="F86" s="18"/>
      <c r="G86" s="18"/>
    </row>
    <row r="87" customFormat="false" ht="14.25" hidden="false" customHeight="true" outlineLevel="0" collapsed="false">
      <c r="A87" s="18"/>
      <c r="B87" s="18"/>
      <c r="C87" s="18"/>
      <c r="D87" s="18"/>
      <c r="E87" s="18"/>
      <c r="F87" s="18"/>
      <c r="G87" s="18"/>
    </row>
    <row r="88" customFormat="false" ht="14.25" hidden="false" customHeight="true" outlineLevel="0" collapsed="false">
      <c r="A88" s="18"/>
      <c r="B88" s="18"/>
      <c r="C88" s="18"/>
      <c r="D88" s="18"/>
      <c r="E88" s="18"/>
      <c r="F88" s="18"/>
      <c r="G88" s="18"/>
    </row>
    <row r="89" customFormat="false" ht="14.25" hidden="false" customHeight="true" outlineLevel="0" collapsed="false">
      <c r="A89" s="18"/>
      <c r="B89" s="18"/>
      <c r="C89" s="18"/>
      <c r="D89" s="18"/>
      <c r="E89" s="18"/>
      <c r="F89" s="18"/>
      <c r="G89" s="18"/>
    </row>
    <row r="90" customFormat="false" ht="14.25" hidden="false" customHeight="true" outlineLevel="0" collapsed="false">
      <c r="A90" s="18"/>
      <c r="B90" s="18"/>
      <c r="C90" s="18"/>
      <c r="D90" s="18"/>
      <c r="E90" s="18"/>
      <c r="F90" s="18"/>
      <c r="G90" s="18"/>
    </row>
    <row r="91" customFormat="false" ht="14.25" hidden="false" customHeight="true" outlineLevel="0" collapsed="false">
      <c r="A91" s="18"/>
      <c r="B91" s="18"/>
      <c r="C91" s="18"/>
      <c r="D91" s="18"/>
      <c r="E91" s="18"/>
      <c r="F91" s="18"/>
      <c r="G91" s="18"/>
    </row>
    <row r="92" customFormat="false" ht="14.25" hidden="false" customHeight="true" outlineLevel="0" collapsed="false">
      <c r="A92" s="18"/>
      <c r="B92" s="18"/>
      <c r="C92" s="18"/>
      <c r="D92" s="18"/>
      <c r="E92" s="18"/>
      <c r="F92" s="18"/>
      <c r="G92" s="18"/>
    </row>
    <row r="93" customFormat="false" ht="14.25" hidden="false" customHeight="true" outlineLevel="0" collapsed="false">
      <c r="A93" s="18"/>
      <c r="B93" s="18"/>
      <c r="C93" s="18"/>
      <c r="D93" s="18"/>
      <c r="E93" s="18"/>
      <c r="F93" s="18"/>
      <c r="G93" s="18"/>
    </row>
    <row r="94" customFormat="false" ht="14.25" hidden="false" customHeight="true" outlineLevel="0" collapsed="false">
      <c r="A94" s="18"/>
      <c r="B94" s="18"/>
      <c r="C94" s="18"/>
      <c r="D94" s="18"/>
      <c r="E94" s="18"/>
      <c r="F94" s="18"/>
      <c r="G94" s="18"/>
    </row>
    <row r="95" customFormat="false" ht="14.25" hidden="false" customHeight="true" outlineLevel="0" collapsed="false">
      <c r="A95" s="18"/>
      <c r="B95" s="18"/>
      <c r="C95" s="18"/>
      <c r="D95" s="18"/>
      <c r="E95" s="18"/>
      <c r="F95" s="18"/>
      <c r="G95" s="18"/>
    </row>
    <row r="96" customFormat="false" ht="14.25" hidden="false" customHeight="true" outlineLevel="0" collapsed="false">
      <c r="A96" s="18"/>
      <c r="B96" s="18"/>
      <c r="C96" s="18"/>
      <c r="D96" s="18"/>
      <c r="E96" s="18"/>
      <c r="F96" s="18"/>
      <c r="G96" s="18"/>
    </row>
    <row r="97" customFormat="false" ht="14.25" hidden="false" customHeight="true" outlineLevel="0" collapsed="false">
      <c r="A97" s="18"/>
      <c r="B97" s="18"/>
      <c r="C97" s="18"/>
      <c r="D97" s="18"/>
      <c r="E97" s="18"/>
      <c r="F97" s="18"/>
      <c r="G97" s="18"/>
    </row>
    <row r="98" customFormat="false" ht="14.25" hidden="false" customHeight="true" outlineLevel="0" collapsed="false">
      <c r="A98" s="18"/>
      <c r="B98" s="18"/>
      <c r="C98" s="18"/>
      <c r="D98" s="18"/>
      <c r="E98" s="18"/>
      <c r="F98" s="18"/>
      <c r="G98" s="18"/>
    </row>
    <row r="99" customFormat="false" ht="14.25" hidden="false" customHeight="true" outlineLevel="0" collapsed="false">
      <c r="A99" s="18"/>
      <c r="B99" s="18"/>
      <c r="C99" s="18"/>
      <c r="D99" s="18"/>
      <c r="E99" s="18"/>
      <c r="F99" s="18"/>
      <c r="G99" s="18"/>
    </row>
    <row r="100" customFormat="false" ht="14.25" hidden="false" customHeight="true" outlineLevel="0" collapsed="false">
      <c r="A100" s="18"/>
      <c r="B100" s="18"/>
      <c r="C100" s="18"/>
      <c r="D100" s="18"/>
      <c r="E100" s="18"/>
      <c r="F100" s="18"/>
      <c r="G100" s="18"/>
    </row>
    <row r="101" customFormat="false" ht="14.25" hidden="false" customHeight="true" outlineLevel="0" collapsed="false">
      <c r="A101" s="18"/>
      <c r="B101" s="18"/>
      <c r="C101" s="18"/>
      <c r="D101" s="18"/>
      <c r="E101" s="18"/>
      <c r="F101" s="18"/>
      <c r="G101" s="18"/>
    </row>
    <row r="102" customFormat="false" ht="14.25" hidden="false" customHeight="true" outlineLevel="0" collapsed="false">
      <c r="A102" s="18"/>
      <c r="B102" s="18"/>
      <c r="C102" s="18"/>
      <c r="D102" s="18"/>
      <c r="E102" s="18"/>
      <c r="F102" s="18"/>
      <c r="G102" s="18"/>
    </row>
    <row r="103" customFormat="false" ht="14.25" hidden="false" customHeight="true" outlineLevel="0" collapsed="false">
      <c r="A103" s="18"/>
      <c r="B103" s="18"/>
      <c r="C103" s="18"/>
      <c r="D103" s="18"/>
      <c r="E103" s="18"/>
      <c r="F103" s="18"/>
      <c r="G103" s="18"/>
    </row>
    <row r="104" customFormat="false" ht="14.25" hidden="false" customHeight="true" outlineLevel="0" collapsed="false">
      <c r="A104" s="18"/>
      <c r="B104" s="18"/>
      <c r="C104" s="18"/>
      <c r="D104" s="18"/>
      <c r="E104" s="18"/>
      <c r="F104" s="18"/>
      <c r="G104" s="18"/>
    </row>
  </sheetData>
  <mergeCells count="2">
    <mergeCell ref="A1:G1"/>
    <mergeCell ref="A2:G2"/>
  </mergeCells>
  <dataValidations count="2">
    <dataValidation allowBlank="true" error="Please select a value from the dropdown." errorStyle="stop" errorTitle="Invalid Entry" operator="between" showDropDown="false" showErrorMessage="false" showInputMessage="false" sqref="D5:D104" type="list">
      <formula1>severitylist</formula1>
      <formula2>0</formula2>
    </dataValidation>
    <dataValidation allowBlank="true" errorStyle="stop" operator="between" showDropDown="false" showErrorMessage="false" showInputMessage="false" sqref="E5:E1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5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9.5" hidden="false" customHeight="true" outlineLevel="0" collapsed="false">
      <c r="A1" s="21" t="s">
        <v>417</v>
      </c>
    </row>
    <row r="2" customFormat="false" ht="213.75" hidden="false" customHeight="true" outlineLevel="0" collapsed="false">
      <c r="A2" s="22" t="s">
        <v>418</v>
      </c>
    </row>
    <row r="3" customFormat="false" ht="15" hidden="false" customHeight="true" outlineLevel="0" collapsed="false">
      <c r="A3" s="23" t="s">
        <v>419</v>
      </c>
    </row>
    <row r="5" customFormat="false" ht="54.75" hidden="false" customHeight="true" outlineLevel="0" collapsed="false">
      <c r="A5" s="17" t="s">
        <v>3</v>
      </c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  <c r="J5" s="17" t="s">
        <v>12</v>
      </c>
      <c r="K5" s="17" t="s">
        <v>420</v>
      </c>
      <c r="L5" s="17" t="s">
        <v>421</v>
      </c>
      <c r="M5" s="17" t="s">
        <v>15</v>
      </c>
      <c r="N5" s="17" t="s">
        <v>16</v>
      </c>
      <c r="O5" s="17" t="s">
        <v>17</v>
      </c>
      <c r="P5" s="17" t="s">
        <v>422</v>
      </c>
      <c r="Q5" s="17" t="s">
        <v>423</v>
      </c>
      <c r="R5" s="17" t="s">
        <v>21</v>
      </c>
      <c r="S5" s="17" t="s">
        <v>24</v>
      </c>
      <c r="T5" s="17" t="s">
        <v>26</v>
      </c>
      <c r="U5" s="17" t="s">
        <v>27</v>
      </c>
      <c r="V5" s="17" t="s">
        <v>28</v>
      </c>
      <c r="W5" s="17" t="s">
        <v>29</v>
      </c>
      <c r="X5" s="17" t="s">
        <v>30</v>
      </c>
      <c r="Y5" s="17" t="s">
        <v>31</v>
      </c>
      <c r="Z5" s="17" t="s">
        <v>32</v>
      </c>
      <c r="AA5" s="17" t="s">
        <v>33</v>
      </c>
      <c r="AB5" s="17" t="s">
        <v>36</v>
      </c>
      <c r="AC5" s="17" t="s">
        <v>37</v>
      </c>
      <c r="AD5" s="17" t="s">
        <v>38</v>
      </c>
      <c r="AE5" s="17" t="s">
        <v>39</v>
      </c>
      <c r="AF5" s="17" t="s">
        <v>40</v>
      </c>
      <c r="AG5" s="17" t="s">
        <v>41</v>
      </c>
    </row>
    <row r="6" customFormat="false" ht="54.75" hidden="false" customHeight="true" outlineLevel="0" collapsed="false">
      <c r="A6" s="24" t="n">
        <v>1</v>
      </c>
      <c r="B6" s="25" t="n">
        <v>46288</v>
      </c>
      <c r="C6" s="26" t="s">
        <v>42</v>
      </c>
      <c r="D6" s="26" t="s">
        <v>42</v>
      </c>
      <c r="E6" s="26" t="s">
        <v>43</v>
      </c>
      <c r="F6" s="26"/>
      <c r="G6" s="18" t="s">
        <v>44</v>
      </c>
      <c r="H6" s="24" t="str">
        <f aca="false">IFERROR(INDEX('Operator Master'!$B$5:$B$504,MATCH(G6,'Operator Master'!$A$5:$A$504,0)),"")</f>
        <v>MD. MAHABUB ALAM</v>
      </c>
      <c r="I6" s="26"/>
      <c r="J6" s="27" t="n">
        <v>8</v>
      </c>
      <c r="K6" s="27" t="s">
        <v>45</v>
      </c>
      <c r="L6" s="28" t="n">
        <v>531.25</v>
      </c>
      <c r="M6" s="29" t="n">
        <v>42</v>
      </c>
      <c r="N6" s="29" t="n">
        <v>1500</v>
      </c>
      <c r="O6" s="29" t="n">
        <v>1130</v>
      </c>
      <c r="P6" s="30" t="n">
        <v>8</v>
      </c>
      <c r="Q6" s="26" t="n">
        <f aca="false">P6*J6</f>
        <v>64</v>
      </c>
      <c r="R6" s="26" t="n">
        <v>61</v>
      </c>
      <c r="S6" s="26" t="n">
        <v>32</v>
      </c>
      <c r="T6" s="26" t="n">
        <v>3</v>
      </c>
      <c r="U6" s="26" t="n">
        <v>5</v>
      </c>
      <c r="V6" s="26" t="n">
        <v>3</v>
      </c>
      <c r="W6" s="26" t="n">
        <v>5</v>
      </c>
      <c r="X6" s="26" t="n">
        <v>3</v>
      </c>
      <c r="Y6" s="26" t="n">
        <v>0</v>
      </c>
      <c r="Z6" s="26" t="n">
        <v>0</v>
      </c>
      <c r="AA6" s="26"/>
      <c r="AB6" s="31" t="n">
        <v>80</v>
      </c>
      <c r="AC6" s="31" t="n">
        <v>100</v>
      </c>
      <c r="AD6" s="31" t="n">
        <v>90</v>
      </c>
      <c r="AE6" s="26"/>
      <c r="AF6" s="26"/>
      <c r="AG6" s="26" t="s">
        <v>424</v>
      </c>
    </row>
    <row r="7" customFormat="false" ht="41.25" hidden="false" customHeight="true" outlineLevel="0" collapsed="false">
      <c r="A7" s="24" t="n">
        <v>2</v>
      </c>
      <c r="B7" s="25" t="n">
        <v>46288</v>
      </c>
      <c r="C7" s="26" t="s">
        <v>46</v>
      </c>
      <c r="D7" s="26" t="s">
        <v>42</v>
      </c>
      <c r="E7" s="26" t="s">
        <v>47</v>
      </c>
      <c r="F7" s="26" t="s">
        <v>48</v>
      </c>
      <c r="G7" s="18" t="s">
        <v>49</v>
      </c>
      <c r="H7" s="24" t="str">
        <f aca="false">IFERROR(INDEX('Operator Master'!$B$5:$B$504,MATCH(G7,'Operator Master'!$A$5:$A$504,0)),"")</f>
        <v>MD. RIPU MIAH</v>
      </c>
      <c r="I7" s="26"/>
      <c r="J7" s="27" t="n">
        <v>9</v>
      </c>
      <c r="K7" s="27" t="s">
        <v>50</v>
      </c>
      <c r="L7" s="28" t="n">
        <v>569.444444444445</v>
      </c>
      <c r="M7" s="29" t="n">
        <v>43.11</v>
      </c>
      <c r="N7" s="29" t="n">
        <v>1800</v>
      </c>
      <c r="O7" s="29" t="n">
        <v>1127</v>
      </c>
      <c r="P7" s="30" t="n">
        <v>8</v>
      </c>
      <c r="Q7" s="26" t="n">
        <f aca="false">P7*J7</f>
        <v>72</v>
      </c>
      <c r="R7" s="26" t="n">
        <v>68</v>
      </c>
      <c r="S7" s="26" t="n">
        <v>17</v>
      </c>
      <c r="T7" s="26" t="n">
        <v>6</v>
      </c>
      <c r="U7" s="26" t="n">
        <v>4</v>
      </c>
      <c r="V7" s="26" t="n">
        <v>7</v>
      </c>
      <c r="W7" s="26" t="n">
        <v>3</v>
      </c>
      <c r="X7" s="26" t="n">
        <v>6</v>
      </c>
      <c r="Y7" s="26" t="n">
        <v>1</v>
      </c>
      <c r="Z7" s="26" t="n">
        <v>0</v>
      </c>
      <c r="AA7" s="26"/>
      <c r="AB7" s="31" t="n">
        <v>90</v>
      </c>
      <c r="AC7" s="31" t="n">
        <v>95</v>
      </c>
      <c r="AD7" s="31" t="n">
        <v>100</v>
      </c>
      <c r="AE7" s="26"/>
      <c r="AF7" s="26"/>
      <c r="AG7" s="26" t="s">
        <v>424</v>
      </c>
    </row>
    <row r="8" customFormat="false" ht="54.75" hidden="false" customHeight="true" outlineLevel="0" collapsed="false">
      <c r="A8" s="24" t="n">
        <v>3</v>
      </c>
      <c r="B8" s="25" t="n">
        <v>46288</v>
      </c>
      <c r="C8" s="26" t="s">
        <v>42</v>
      </c>
      <c r="D8" s="26" t="s">
        <v>42</v>
      </c>
      <c r="E8" s="26" t="s">
        <v>43</v>
      </c>
      <c r="F8" s="26"/>
      <c r="G8" s="18" t="s">
        <v>51</v>
      </c>
      <c r="H8" s="24" t="str">
        <f aca="false">IFERROR(INDEX('Operator Master'!$B$5:$B$504,MATCH(G8,'Operator Master'!$A$5:$A$504,0)),"")</f>
        <v>MD. MINHAZ ALI</v>
      </c>
      <c r="I8" s="26"/>
      <c r="J8" s="27" t="n">
        <v>10</v>
      </c>
      <c r="K8" s="27" t="s">
        <v>52</v>
      </c>
      <c r="L8" s="28" t="n">
        <v>537.5</v>
      </c>
      <c r="M8" s="29" t="n">
        <v>41.6</v>
      </c>
      <c r="N8" s="29" t="n">
        <v>1900</v>
      </c>
      <c r="O8" s="29" t="n">
        <v>1602</v>
      </c>
      <c r="P8" s="30" t="n">
        <v>8</v>
      </c>
      <c r="Q8" s="26" t="n">
        <f aca="false">P8*J8</f>
        <v>80</v>
      </c>
      <c r="R8" s="26" t="n">
        <v>79</v>
      </c>
      <c r="S8" s="26" t="n">
        <v>20</v>
      </c>
      <c r="T8" s="26" t="n">
        <v>4</v>
      </c>
      <c r="U8" s="26" t="n">
        <v>4</v>
      </c>
      <c r="V8" s="26" t="n">
        <v>1</v>
      </c>
      <c r="W8" s="26" t="n">
        <v>3</v>
      </c>
      <c r="X8" s="26" t="n">
        <v>2</v>
      </c>
      <c r="Y8" s="26" t="n">
        <v>0</v>
      </c>
      <c r="Z8" s="26" t="n">
        <v>0</v>
      </c>
      <c r="AA8" s="26"/>
      <c r="AB8" s="31" t="n">
        <v>95</v>
      </c>
      <c r="AC8" s="31" t="n">
        <v>100</v>
      </c>
      <c r="AD8" s="31" t="n">
        <v>100</v>
      </c>
      <c r="AE8" s="26"/>
      <c r="AF8" s="26"/>
      <c r="AG8" s="26" t="s">
        <v>424</v>
      </c>
    </row>
    <row r="9" customFormat="false" ht="54.75" hidden="false" customHeight="true" outlineLevel="0" collapsed="false">
      <c r="A9" s="24" t="n">
        <v>4</v>
      </c>
      <c r="B9" s="25" t="n">
        <v>46288</v>
      </c>
      <c r="C9" s="26" t="s">
        <v>42</v>
      </c>
      <c r="D9" s="26" t="s">
        <v>42</v>
      </c>
      <c r="E9" s="26" t="s">
        <v>43</v>
      </c>
      <c r="F9" s="26"/>
      <c r="G9" s="18" t="s">
        <v>53</v>
      </c>
      <c r="H9" s="24" t="str">
        <f aca="false">IFERROR(INDEX('Operator Master'!$B$5:$B$504,MATCH(G9,'Operator Master'!$A$5:$A$504,0)),"")</f>
        <v>MD. FORIDUL ISLAM</v>
      </c>
      <c r="I9" s="26"/>
      <c r="J9" s="27" t="n">
        <v>9</v>
      </c>
      <c r="K9" s="27" t="s">
        <v>54</v>
      </c>
      <c r="L9" s="28" t="n">
        <v>519.444444444445</v>
      </c>
      <c r="M9" s="29" t="n">
        <v>44.78</v>
      </c>
      <c r="N9" s="29" t="n">
        <v>1500</v>
      </c>
      <c r="O9" s="29" t="n">
        <v>781</v>
      </c>
      <c r="P9" s="30" t="n">
        <v>8</v>
      </c>
      <c r="Q9" s="26" t="n">
        <f aca="false">P9*J9</f>
        <v>72</v>
      </c>
      <c r="R9" s="26" t="n">
        <v>60</v>
      </c>
      <c r="S9" s="26" t="n">
        <v>16</v>
      </c>
      <c r="T9" s="26" t="n">
        <v>2</v>
      </c>
      <c r="U9" s="26" t="n">
        <v>5</v>
      </c>
      <c r="V9" s="26" t="n">
        <v>3</v>
      </c>
      <c r="W9" s="26" t="n">
        <v>6</v>
      </c>
      <c r="X9" s="26" t="n">
        <v>2</v>
      </c>
      <c r="Y9" s="26" t="n">
        <v>3</v>
      </c>
      <c r="Z9" s="26" t="n">
        <v>0</v>
      </c>
      <c r="AA9" s="26"/>
      <c r="AB9" s="31" t="n">
        <v>90</v>
      </c>
      <c r="AC9" s="31" t="n">
        <v>100</v>
      </c>
      <c r="AD9" s="31" t="n">
        <v>100</v>
      </c>
      <c r="AE9" s="26"/>
      <c r="AF9" s="26"/>
      <c r="AG9" s="26" t="s">
        <v>424</v>
      </c>
    </row>
    <row r="10" customFormat="false" ht="41.25" hidden="false" customHeight="true" outlineLevel="0" collapsed="false">
      <c r="A10" s="24" t="n">
        <v>5</v>
      </c>
      <c r="B10" s="25" t="n">
        <v>46288</v>
      </c>
      <c r="C10" s="26"/>
      <c r="D10" s="26"/>
      <c r="E10" s="26"/>
      <c r="F10" s="26"/>
      <c r="G10" s="18" t="s">
        <v>55</v>
      </c>
      <c r="H10" s="24" t="str">
        <f aca="false">IFERROR(INDEX('Operator Master'!$B$5:$B$504,MATCH(G10,'Operator Master'!$A$5:$A$504,0)),"")</f>
        <v>MD. SAIFUL ISLAM-2</v>
      </c>
      <c r="I10" s="26"/>
      <c r="J10" s="27" t="n">
        <v>10</v>
      </c>
      <c r="K10" s="27" t="s">
        <v>56</v>
      </c>
      <c r="L10" s="28" t="n">
        <v>582.5</v>
      </c>
      <c r="M10" s="29" t="n">
        <v>43.7</v>
      </c>
      <c r="N10" s="29" t="n">
        <v>1900</v>
      </c>
      <c r="O10" s="29" t="n">
        <v>1170</v>
      </c>
      <c r="P10" s="30" t="n">
        <v>8</v>
      </c>
      <c r="Q10" s="26" t="n">
        <f aca="false">P10*J10</f>
        <v>80</v>
      </c>
      <c r="R10" s="26" t="n">
        <v>78</v>
      </c>
      <c r="S10" s="26" t="n">
        <v>12</v>
      </c>
      <c r="T10" s="26" t="n">
        <v>5</v>
      </c>
      <c r="U10" s="26" t="n">
        <v>3</v>
      </c>
      <c r="V10" s="26" t="n">
        <v>4</v>
      </c>
      <c r="W10" s="26" t="n">
        <v>1</v>
      </c>
      <c r="X10" s="26" t="n">
        <v>5</v>
      </c>
      <c r="Y10" s="26" t="n">
        <v>1</v>
      </c>
      <c r="Z10" s="26" t="n">
        <v>1</v>
      </c>
      <c r="AA10" s="26"/>
      <c r="AB10" s="31" t="n">
        <v>95</v>
      </c>
      <c r="AC10" s="31" t="n">
        <v>100</v>
      </c>
      <c r="AD10" s="31" t="n">
        <v>95</v>
      </c>
      <c r="AE10" s="26"/>
      <c r="AF10" s="26"/>
      <c r="AG10" s="26" t="s">
        <v>424</v>
      </c>
    </row>
    <row r="11" customFormat="false" ht="41.25" hidden="false" customHeight="true" outlineLevel="0" collapsed="false">
      <c r="A11" s="24" t="n">
        <v>6</v>
      </c>
      <c r="B11" s="25" t="n">
        <v>46288</v>
      </c>
      <c r="C11" s="26"/>
      <c r="D11" s="26"/>
      <c r="E11" s="26"/>
      <c r="F11" s="26"/>
      <c r="G11" s="18" t="s">
        <v>57</v>
      </c>
      <c r="H11" s="24" t="str">
        <f aca="false">IFERROR(INDEX('Operator Master'!$B$5:$B$504,MATCH(G11,'Operator Master'!$A$5:$A$504,0)),"")</f>
        <v>MD. ZIAUL HAQUE</v>
      </c>
      <c r="I11" s="26"/>
      <c r="J11" s="27" t="n">
        <v>9</v>
      </c>
      <c r="K11" s="27" t="s">
        <v>58</v>
      </c>
      <c r="L11" s="28" t="n">
        <v>558.333333333333</v>
      </c>
      <c r="M11" s="29" t="n">
        <v>41.22</v>
      </c>
      <c r="N11" s="29" t="n">
        <v>1800</v>
      </c>
      <c r="O11" s="29" t="n">
        <v>1598</v>
      </c>
      <c r="P11" s="30" t="n">
        <v>8</v>
      </c>
      <c r="Q11" s="26" t="n">
        <f aca="false">P11*J11</f>
        <v>72</v>
      </c>
      <c r="R11" s="26" t="n">
        <v>68</v>
      </c>
      <c r="S11" s="26"/>
      <c r="T11" s="26"/>
      <c r="U11" s="26"/>
      <c r="V11" s="26"/>
      <c r="W11" s="26"/>
      <c r="X11" s="26"/>
      <c r="Y11" s="26"/>
      <c r="Z11" s="26"/>
      <c r="AA11" s="26"/>
      <c r="AB11" s="31"/>
      <c r="AC11" s="31"/>
      <c r="AD11" s="31"/>
      <c r="AE11" s="26"/>
      <c r="AF11" s="26"/>
      <c r="AG11" s="26"/>
    </row>
    <row r="12" customFormat="false" ht="54.75" hidden="false" customHeight="true" outlineLevel="0" collapsed="false">
      <c r="A12" s="24" t="n">
        <v>7</v>
      </c>
      <c r="B12" s="25" t="n">
        <v>46288</v>
      </c>
      <c r="C12" s="26"/>
      <c r="D12" s="26"/>
      <c r="E12" s="26"/>
      <c r="F12" s="26"/>
      <c r="G12" s="18" t="s">
        <v>59</v>
      </c>
      <c r="H12" s="24" t="str">
        <f aca="false">IFERROR(INDEX('Operator Master'!$B$5:$B$504,MATCH(G12,'Operator Master'!$A$5:$A$504,0)),"")</f>
        <v>MD. ANOWAR HOSEN-3</v>
      </c>
      <c r="I12" s="26"/>
      <c r="J12" s="27" t="n">
        <v>9</v>
      </c>
      <c r="K12" s="27" t="s">
        <v>60</v>
      </c>
      <c r="L12" s="28" t="n">
        <v>505.555555555556</v>
      </c>
      <c r="M12" s="29" t="n">
        <v>44.78</v>
      </c>
      <c r="N12" s="29" t="n">
        <v>1600</v>
      </c>
      <c r="O12" s="29" t="n">
        <v>1156</v>
      </c>
      <c r="P12" s="30" t="n">
        <v>8</v>
      </c>
      <c r="Q12" s="26" t="n">
        <f aca="false">P12*J12</f>
        <v>72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31"/>
      <c r="AC12" s="31"/>
      <c r="AD12" s="31"/>
      <c r="AE12" s="26"/>
      <c r="AF12" s="26"/>
      <c r="AG12" s="26"/>
    </row>
    <row r="13" customFormat="false" ht="54.75" hidden="false" customHeight="true" outlineLevel="0" collapsed="false">
      <c r="A13" s="24" t="n">
        <v>8</v>
      </c>
      <c r="B13" s="25" t="n">
        <v>46288</v>
      </c>
      <c r="C13" s="26"/>
      <c r="D13" s="26"/>
      <c r="E13" s="26"/>
      <c r="F13" s="26"/>
      <c r="G13" s="18" t="s">
        <v>61</v>
      </c>
      <c r="H13" s="24" t="str">
        <f aca="false">IFERROR(INDEX('Operator Master'!$B$5:$B$504,MATCH(G13,'Operator Master'!$A$5:$A$504,0)),"")</f>
        <v>MD. ALAM MIA</v>
      </c>
      <c r="I13" s="26"/>
      <c r="J13" s="27" t="n">
        <v>9</v>
      </c>
      <c r="K13" s="27" t="s">
        <v>62</v>
      </c>
      <c r="L13" s="28" t="n">
        <v>555.555555555556</v>
      </c>
      <c r="M13" s="29" t="n">
        <f aca="false">377/9</f>
        <v>41.8888888888889</v>
      </c>
      <c r="N13" s="29" t="n">
        <v>1750</v>
      </c>
      <c r="O13" s="29" t="n">
        <v>1255</v>
      </c>
      <c r="P13" s="30" t="n">
        <v>8</v>
      </c>
      <c r="Q13" s="26" t="n">
        <f aca="false">P13*J13</f>
        <v>72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31"/>
      <c r="AC13" s="31"/>
      <c r="AD13" s="31"/>
      <c r="AE13" s="26"/>
      <c r="AF13" s="26"/>
      <c r="AG13" s="26"/>
    </row>
    <row r="14" customFormat="false" ht="41.25" hidden="false" customHeight="true" outlineLevel="0" collapsed="false">
      <c r="A14" s="24" t="n">
        <v>9</v>
      </c>
      <c r="B14" s="25" t="n">
        <v>46288</v>
      </c>
      <c r="C14" s="26"/>
      <c r="D14" s="26"/>
      <c r="E14" s="26"/>
      <c r="F14" s="26"/>
      <c r="G14" s="18" t="s">
        <v>63</v>
      </c>
      <c r="H14" s="24" t="str">
        <f aca="false">IFERROR(INDEX('Operator Master'!$B$5:$B$504,MATCH(G14,'Operator Master'!$A$5:$A$504,0)),"")</f>
        <v>MD. MOMINUL ISLAM</v>
      </c>
      <c r="I14" s="26"/>
      <c r="J14" s="27" t="n">
        <v>5</v>
      </c>
      <c r="K14" s="27" t="s">
        <v>64</v>
      </c>
      <c r="L14" s="28" t="n">
        <v>545</v>
      </c>
      <c r="M14" s="29" t="n">
        <v>41.8</v>
      </c>
      <c r="N14" s="29" t="n">
        <v>1100</v>
      </c>
      <c r="O14" s="29" t="n">
        <v>876</v>
      </c>
      <c r="P14" s="30" t="n">
        <v>8</v>
      </c>
      <c r="Q14" s="26" t="n">
        <f aca="false">P14*J14</f>
        <v>40</v>
      </c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31"/>
      <c r="AC14" s="31"/>
      <c r="AD14" s="31"/>
      <c r="AE14" s="26"/>
      <c r="AF14" s="26"/>
      <c r="AG14" s="26"/>
    </row>
    <row r="15" customFormat="false" ht="68.25" hidden="false" customHeight="true" outlineLevel="0" collapsed="false">
      <c r="A15" s="24" t="n">
        <v>10</v>
      </c>
      <c r="B15" s="25" t="n">
        <v>46288</v>
      </c>
      <c r="C15" s="26"/>
      <c r="D15" s="26"/>
      <c r="E15" s="26"/>
      <c r="F15" s="26"/>
      <c r="G15" s="18" t="s">
        <v>65</v>
      </c>
      <c r="H15" s="24" t="str">
        <f aca="false">IFERROR(INDEX('Operator Master'!$B$5:$B$504,MATCH(G15,'Operator Master'!$A$5:$A$504,0)),"")</f>
        <v>MD. JAHIDUL ISLAM HOWLADER</v>
      </c>
      <c r="I15" s="26"/>
      <c r="J15" s="27" t="n">
        <v>9</v>
      </c>
      <c r="K15" s="27" t="s">
        <v>66</v>
      </c>
      <c r="L15" s="28" t="n">
        <v>555.555555555556</v>
      </c>
      <c r="M15" s="29" t="n">
        <v>43.78</v>
      </c>
      <c r="N15" s="29" t="n">
        <v>1700</v>
      </c>
      <c r="O15" s="29" t="n">
        <v>1187</v>
      </c>
      <c r="P15" s="30" t="n">
        <v>8</v>
      </c>
      <c r="Q15" s="26" t="n">
        <f aca="false">P15*J15</f>
        <v>72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31"/>
      <c r="AC15" s="31"/>
      <c r="AD15" s="31"/>
      <c r="AE15" s="26"/>
      <c r="AF15" s="26"/>
      <c r="AG15" s="26"/>
    </row>
    <row r="16" customFormat="false" ht="54.75" hidden="false" customHeight="true" outlineLevel="0" collapsed="false">
      <c r="A16" s="24" t="n">
        <v>11</v>
      </c>
      <c r="B16" s="25" t="n">
        <v>46288</v>
      </c>
      <c r="C16" s="26"/>
      <c r="D16" s="26"/>
      <c r="E16" s="26"/>
      <c r="F16" s="26"/>
      <c r="G16" s="18" t="s">
        <v>67</v>
      </c>
      <c r="H16" s="24" t="str">
        <f aca="false">IFERROR(INDEX('Operator Master'!$B$5:$B$504,MATCH(G16,'Operator Master'!$A$5:$A$504,0)),"")</f>
        <v>MD. RIPON MIA-2</v>
      </c>
      <c r="I16" s="26"/>
      <c r="J16" s="27" t="n">
        <v>10</v>
      </c>
      <c r="K16" s="27" t="s">
        <v>68</v>
      </c>
      <c r="L16" s="28" t="n">
        <v>530</v>
      </c>
      <c r="M16" s="29" t="n">
        <v>44.7</v>
      </c>
      <c r="N16" s="29" t="n">
        <v>1800</v>
      </c>
      <c r="O16" s="29" t="n">
        <v>1265</v>
      </c>
      <c r="P16" s="30" t="n">
        <v>8</v>
      </c>
      <c r="Q16" s="26" t="n">
        <f aca="false">P16*J16</f>
        <v>80</v>
      </c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31"/>
      <c r="AC16" s="31"/>
      <c r="AD16" s="31"/>
      <c r="AE16" s="26"/>
      <c r="AF16" s="26"/>
      <c r="AG16" s="26"/>
    </row>
    <row r="17" customFormat="false" ht="54.75" hidden="false" customHeight="true" outlineLevel="0" collapsed="false">
      <c r="A17" s="24" t="n">
        <v>12</v>
      </c>
      <c r="B17" s="25" t="n">
        <v>46288</v>
      </c>
      <c r="C17" s="26"/>
      <c r="D17" s="26"/>
      <c r="E17" s="26"/>
      <c r="F17" s="26"/>
      <c r="G17" s="18" t="s">
        <v>69</v>
      </c>
      <c r="H17" s="24" t="str">
        <f aca="false">IFERROR(INDEX('Operator Master'!$B$5:$B$504,MATCH(G17,'Operator Master'!$A$5:$A$504,0)),"")</f>
        <v>GOULAM RABBANI</v>
      </c>
      <c r="I17" s="26"/>
      <c r="J17" s="27" t="n">
        <v>10</v>
      </c>
      <c r="K17" s="27" t="s">
        <v>70</v>
      </c>
      <c r="L17" s="28" t="n">
        <v>555</v>
      </c>
      <c r="M17" s="29" t="n">
        <v>41.9</v>
      </c>
      <c r="N17" s="29" t="n">
        <v>1700</v>
      </c>
      <c r="O17" s="29" t="n">
        <v>1292</v>
      </c>
      <c r="P17" s="30" t="n">
        <v>8</v>
      </c>
      <c r="Q17" s="26" t="n">
        <f aca="false">P17*J17</f>
        <v>80</v>
      </c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31"/>
      <c r="AC17" s="31"/>
      <c r="AD17" s="31"/>
      <c r="AE17" s="26"/>
      <c r="AF17" s="26"/>
      <c r="AG17" s="26"/>
    </row>
    <row r="18" customFormat="false" ht="54.75" hidden="false" customHeight="true" outlineLevel="0" collapsed="false">
      <c r="A18" s="24" t="n">
        <v>13</v>
      </c>
      <c r="B18" s="25" t="n">
        <v>46288</v>
      </c>
      <c r="C18" s="26"/>
      <c r="D18" s="26"/>
      <c r="E18" s="26"/>
      <c r="F18" s="26"/>
      <c r="G18" s="18" t="s">
        <v>71</v>
      </c>
      <c r="H18" s="24" t="str">
        <f aca="false">IFERROR(INDEX('Operator Master'!$B$5:$B$504,MATCH(G18,'Operator Master'!$A$5:$A$504,0)),"")</f>
        <v>MD. HABIBUR RAHMAN</v>
      </c>
      <c r="I18" s="26"/>
      <c r="J18" s="27" t="n">
        <v>9</v>
      </c>
      <c r="K18" s="27" t="s">
        <v>72</v>
      </c>
      <c r="L18" s="28" t="n">
        <v>541.666666666667</v>
      </c>
      <c r="M18" s="29" t="n">
        <v>42.44</v>
      </c>
      <c r="N18" s="29" t="n">
        <v>1700</v>
      </c>
      <c r="O18" s="29" t="n">
        <v>1168</v>
      </c>
      <c r="P18" s="30" t="n">
        <v>8</v>
      </c>
      <c r="Q18" s="26" t="n">
        <f aca="false">P18*J18</f>
        <v>72</v>
      </c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31"/>
      <c r="AC18" s="31"/>
      <c r="AD18" s="31"/>
      <c r="AE18" s="26"/>
      <c r="AF18" s="26"/>
      <c r="AG18" s="26"/>
    </row>
    <row r="19" customFormat="false" ht="41.25" hidden="false" customHeight="true" outlineLevel="0" collapsed="false">
      <c r="A19" s="24" t="n">
        <v>14</v>
      </c>
      <c r="B19" s="25" t="n">
        <v>46288</v>
      </c>
      <c r="C19" s="26"/>
      <c r="D19" s="26"/>
      <c r="E19" s="26"/>
      <c r="F19" s="26"/>
      <c r="G19" s="18" t="s">
        <v>73</v>
      </c>
      <c r="H19" s="24" t="str">
        <f aca="false">IFERROR(INDEX('Operator Master'!$B$5:$B$504,MATCH(G19,'Operator Master'!$A$5:$A$504,0)),"")</f>
        <v>MD. SAIFUL ISLAM-3</v>
      </c>
      <c r="I19" s="26"/>
      <c r="J19" s="27" t="n">
        <v>9</v>
      </c>
      <c r="K19" s="27" t="s">
        <v>74</v>
      </c>
      <c r="L19" s="28" t="n">
        <v>525</v>
      </c>
      <c r="M19" s="29" t="n">
        <v>39.22</v>
      </c>
      <c r="N19" s="29" t="n">
        <v>1600</v>
      </c>
      <c r="O19" s="29"/>
      <c r="P19" s="30" t="n">
        <v>8</v>
      </c>
      <c r="Q19" s="26" t="n">
        <f aca="false">P19*J19</f>
        <v>72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31"/>
      <c r="AC19" s="31"/>
      <c r="AD19" s="31"/>
      <c r="AE19" s="26"/>
      <c r="AF19" s="26"/>
      <c r="AG19" s="26"/>
    </row>
    <row r="20" customFormat="false" ht="54.75" hidden="false" customHeight="true" outlineLevel="0" collapsed="false">
      <c r="A20" s="24" t="n">
        <v>15</v>
      </c>
      <c r="B20" s="25" t="n">
        <v>46288</v>
      </c>
      <c r="C20" s="26"/>
      <c r="D20" s="26"/>
      <c r="E20" s="26"/>
      <c r="F20" s="26"/>
      <c r="G20" s="18" t="s">
        <v>75</v>
      </c>
      <c r="H20" s="24" t="str">
        <f aca="false">IFERROR(INDEX('Operator Master'!$B$5:$B$504,MATCH(G20,'Operator Master'!$A$5:$A$504,0)),"")</f>
        <v>MD. JAKIR HOSEN</v>
      </c>
      <c r="I20" s="26"/>
      <c r="J20" s="27" t="n">
        <v>10</v>
      </c>
      <c r="K20" s="27" t="s">
        <v>52</v>
      </c>
      <c r="L20" s="28" t="n">
        <v>537.5</v>
      </c>
      <c r="M20" s="29" t="n">
        <v>41.6</v>
      </c>
      <c r="N20" s="29" t="n">
        <v>1800</v>
      </c>
      <c r="O20" s="29"/>
      <c r="P20" s="30" t="n">
        <v>8</v>
      </c>
      <c r="Q20" s="26" t="n">
        <f aca="false">P20*J20</f>
        <v>80</v>
      </c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31"/>
      <c r="AC20" s="31"/>
      <c r="AD20" s="31"/>
      <c r="AE20" s="26"/>
      <c r="AF20" s="26"/>
      <c r="AG20" s="26"/>
    </row>
    <row r="21" customFormat="false" ht="41.25" hidden="false" customHeight="true" outlineLevel="0" collapsed="false">
      <c r="A21" s="24" t="n">
        <v>16</v>
      </c>
      <c r="B21" s="25" t="n">
        <v>46288</v>
      </c>
      <c r="C21" s="26"/>
      <c r="D21" s="26"/>
      <c r="E21" s="26"/>
      <c r="F21" s="26"/>
      <c r="G21" s="18" t="s">
        <v>76</v>
      </c>
      <c r="H21" s="24" t="str">
        <f aca="false">IFERROR(INDEX('Operator Master'!$B$5:$B$504,MATCH(G21,'Operator Master'!$A$5:$A$504,0)),"")</f>
        <v>AZIZUL HAQUE</v>
      </c>
      <c r="I21" s="26"/>
      <c r="J21" s="27" t="n">
        <v>8</v>
      </c>
      <c r="K21" s="27" t="s">
        <v>77</v>
      </c>
      <c r="L21" s="28" t="n">
        <v>559.375</v>
      </c>
      <c r="M21" s="29" t="n">
        <v>41.75</v>
      </c>
      <c r="N21" s="29" t="n">
        <v>1500</v>
      </c>
      <c r="O21" s="29"/>
      <c r="P21" s="30" t="n">
        <v>8</v>
      </c>
      <c r="Q21" s="26" t="n">
        <f aca="false">P21*J21</f>
        <v>64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31"/>
      <c r="AC21" s="31"/>
      <c r="AD21" s="31"/>
      <c r="AE21" s="26"/>
      <c r="AF21" s="26"/>
      <c r="AG21" s="26"/>
    </row>
    <row r="22" customFormat="false" ht="41.25" hidden="false" customHeight="true" outlineLevel="0" collapsed="false">
      <c r="A22" s="24" t="n">
        <v>17</v>
      </c>
      <c r="B22" s="25" t="n">
        <v>46288</v>
      </c>
      <c r="C22" s="26"/>
      <c r="D22" s="26"/>
      <c r="E22" s="26"/>
      <c r="F22" s="26"/>
      <c r="G22" s="18" t="s">
        <v>78</v>
      </c>
      <c r="H22" s="24" t="str">
        <f aca="false">IFERROR(INDEX('Operator Master'!$B$5:$B$504,MATCH(G22,'Operator Master'!$A$5:$A$504,0)),"")</f>
        <v>MD. ANARUL ISLAM </v>
      </c>
      <c r="I22" s="26"/>
      <c r="J22" s="27" t="n">
        <v>8</v>
      </c>
      <c r="K22" s="27" t="s">
        <v>79</v>
      </c>
      <c r="L22" s="28" t="n">
        <v>553.125</v>
      </c>
      <c r="M22" s="29" t="n">
        <v>41.25</v>
      </c>
      <c r="N22" s="29" t="n">
        <v>1600</v>
      </c>
      <c r="O22" s="29"/>
      <c r="P22" s="30" t="n">
        <v>8</v>
      </c>
      <c r="Q22" s="26" t="n">
        <f aca="false">P22*J22</f>
        <v>64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31"/>
      <c r="AC22" s="31"/>
      <c r="AD22" s="31"/>
      <c r="AE22" s="26"/>
      <c r="AF22" s="26"/>
      <c r="AG22" s="26"/>
    </row>
    <row r="23" customFormat="false" ht="54.75" hidden="false" customHeight="true" outlineLevel="0" collapsed="false">
      <c r="A23" s="24" t="n">
        <v>18</v>
      </c>
      <c r="B23" s="25" t="n">
        <v>46288</v>
      </c>
      <c r="C23" s="26"/>
      <c r="D23" s="26"/>
      <c r="E23" s="26"/>
      <c r="F23" s="26"/>
      <c r="G23" s="18" t="s">
        <v>80</v>
      </c>
      <c r="H23" s="24" t="str">
        <f aca="false">IFERROR(INDEX('Operator Master'!$B$5:$B$504,MATCH(G23,'Operator Master'!$A$5:$A$504,0)),"")</f>
        <v>MD. ROSHID</v>
      </c>
      <c r="I23" s="26"/>
      <c r="J23" s="27" t="n">
        <v>9</v>
      </c>
      <c r="K23" s="27" t="s">
        <v>81</v>
      </c>
      <c r="L23" s="28" t="n">
        <v>533.333333333333</v>
      </c>
      <c r="M23" s="29" t="n">
        <v>44.67</v>
      </c>
      <c r="N23" s="29" t="n">
        <v>1600</v>
      </c>
      <c r="O23" s="29"/>
      <c r="P23" s="30" t="n">
        <v>8</v>
      </c>
      <c r="Q23" s="26" t="n">
        <f aca="false">P23*J23</f>
        <v>72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31"/>
      <c r="AC23" s="31"/>
      <c r="AD23" s="31"/>
      <c r="AE23" s="26"/>
      <c r="AF23" s="26"/>
      <c r="AG23" s="26"/>
    </row>
    <row r="24" customFormat="false" ht="54.75" hidden="false" customHeight="true" outlineLevel="0" collapsed="false">
      <c r="A24" s="24" t="n">
        <v>19</v>
      </c>
      <c r="B24" s="25" t="n">
        <v>46288</v>
      </c>
      <c r="C24" s="26"/>
      <c r="D24" s="26"/>
      <c r="E24" s="26"/>
      <c r="F24" s="26"/>
      <c r="G24" s="18" t="s">
        <v>82</v>
      </c>
      <c r="H24" s="24" t="str">
        <f aca="false">IFERROR(INDEX('Operator Master'!$B$5:$B$504,MATCH(G24,'Operator Master'!$A$5:$A$504,0)),"")</f>
        <v>MD. AZIM </v>
      </c>
      <c r="I24" s="26"/>
      <c r="J24" s="27" t="n">
        <v>10</v>
      </c>
      <c r="K24" s="27" t="s">
        <v>83</v>
      </c>
      <c r="L24" s="28" t="n">
        <v>552.5</v>
      </c>
      <c r="M24" s="29" t="n">
        <v>43.4</v>
      </c>
      <c r="N24" s="29" t="n">
        <v>1800</v>
      </c>
      <c r="O24" s="29"/>
      <c r="P24" s="30" t="n">
        <v>8</v>
      </c>
      <c r="Q24" s="26" t="n">
        <f aca="false">P24*J24</f>
        <v>80</v>
      </c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31"/>
      <c r="AC24" s="31"/>
      <c r="AD24" s="31"/>
      <c r="AE24" s="26"/>
      <c r="AF24" s="26"/>
      <c r="AG24" s="26"/>
    </row>
    <row r="25" customFormat="false" ht="54.75" hidden="false" customHeight="true" outlineLevel="0" collapsed="false">
      <c r="A25" s="24" t="n">
        <v>20</v>
      </c>
      <c r="B25" s="25" t="n">
        <v>46288</v>
      </c>
      <c r="C25" s="26"/>
      <c r="D25" s="26"/>
      <c r="E25" s="26"/>
      <c r="F25" s="26"/>
      <c r="G25" s="18" t="s">
        <v>84</v>
      </c>
      <c r="H25" s="24" t="str">
        <f aca="false">IFERROR(INDEX('Operator Master'!$B$5:$B$504,MATCH(G25,'Operator Master'!$A$5:$A$504,0)),"")</f>
        <v>MD. MOTALEB HOSEN</v>
      </c>
      <c r="I25" s="26"/>
      <c r="J25" s="27" t="n">
        <v>10</v>
      </c>
      <c r="K25" s="27" t="s">
        <v>85</v>
      </c>
      <c r="L25" s="28" t="n">
        <v>527.5</v>
      </c>
      <c r="M25" s="29" t="n">
        <v>44.8</v>
      </c>
      <c r="N25" s="29" t="n">
        <v>1600</v>
      </c>
      <c r="O25" s="29"/>
      <c r="P25" s="30" t="n">
        <v>8</v>
      </c>
      <c r="Q25" s="26" t="n">
        <f aca="false">P25*J25</f>
        <v>80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31"/>
      <c r="AC25" s="31"/>
      <c r="AD25" s="31"/>
      <c r="AE25" s="26"/>
      <c r="AF25" s="26"/>
      <c r="AG25" s="26"/>
    </row>
    <row r="26" customFormat="false" ht="54.75" hidden="false" customHeight="true" outlineLevel="0" collapsed="false">
      <c r="A26" s="24" t="n">
        <v>21</v>
      </c>
      <c r="B26" s="25" t="n">
        <v>46288</v>
      </c>
      <c r="C26" s="26"/>
      <c r="D26" s="26"/>
      <c r="E26" s="26"/>
      <c r="F26" s="26"/>
      <c r="G26" s="18" t="s">
        <v>86</v>
      </c>
      <c r="H26" s="24" t="str">
        <f aca="false">IFERROR(INDEX('Operator Master'!$B$5:$B$504,MATCH(G26,'Operator Master'!$A$5:$A$504,0)),"")</f>
        <v>MD. KAWSAR ALI</v>
      </c>
      <c r="I26" s="26"/>
      <c r="J26" s="27" t="n">
        <v>10</v>
      </c>
      <c r="K26" s="27" t="s">
        <v>70</v>
      </c>
      <c r="L26" s="28" t="n">
        <v>555</v>
      </c>
      <c r="M26" s="29" t="n">
        <v>41.8</v>
      </c>
      <c r="N26" s="29" t="n">
        <v>1900</v>
      </c>
      <c r="O26" s="29"/>
      <c r="P26" s="30" t="n">
        <v>8</v>
      </c>
      <c r="Q26" s="26" t="n">
        <f aca="false">P26*J26</f>
        <v>80</v>
      </c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31"/>
      <c r="AC26" s="31"/>
      <c r="AD26" s="31"/>
      <c r="AE26" s="26"/>
      <c r="AF26" s="26"/>
      <c r="AG26" s="26"/>
    </row>
    <row r="27" customFormat="false" ht="41.25" hidden="false" customHeight="true" outlineLevel="0" collapsed="false">
      <c r="A27" s="24" t="n">
        <v>22</v>
      </c>
      <c r="B27" s="25" t="n">
        <v>46288</v>
      </c>
      <c r="C27" s="26"/>
      <c r="D27" s="26"/>
      <c r="E27" s="26"/>
      <c r="F27" s="26"/>
      <c r="G27" s="18" t="s">
        <v>87</v>
      </c>
      <c r="H27" s="24" t="str">
        <f aca="false">IFERROR(INDEX('Operator Master'!$B$5:$B$504,MATCH(G27,'Operator Master'!$A$5:$A$504,0)),"")</f>
        <v>MD. FARMAN ALI</v>
      </c>
      <c r="I27" s="26"/>
      <c r="J27" s="27" t="n">
        <v>9</v>
      </c>
      <c r="K27" s="27" t="s">
        <v>88</v>
      </c>
      <c r="L27" s="28" t="n">
        <v>569.444444444445</v>
      </c>
      <c r="M27" s="29" t="n">
        <v>42.22</v>
      </c>
      <c r="N27" s="29" t="n">
        <v>1700</v>
      </c>
      <c r="O27" s="29"/>
      <c r="P27" s="30" t="n">
        <v>8</v>
      </c>
      <c r="Q27" s="26" t="n">
        <f aca="false">P27*J27</f>
        <v>72</v>
      </c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31"/>
      <c r="AC27" s="31"/>
      <c r="AD27" s="31"/>
      <c r="AE27" s="26"/>
      <c r="AF27" s="26"/>
      <c r="AG27" s="26"/>
    </row>
    <row r="28" customFormat="false" ht="54.75" hidden="false" customHeight="true" outlineLevel="0" collapsed="false">
      <c r="A28" s="24" t="n">
        <v>23</v>
      </c>
      <c r="B28" s="25" t="n">
        <v>46288</v>
      </c>
      <c r="C28" s="26"/>
      <c r="D28" s="26"/>
      <c r="E28" s="26"/>
      <c r="F28" s="26"/>
      <c r="G28" s="18" t="s">
        <v>89</v>
      </c>
      <c r="H28" s="24" t="str">
        <f aca="false">IFERROR(INDEX('Operator Master'!$B$5:$B$504,MATCH(G28,'Operator Master'!$A$5:$A$504,0)),"")</f>
        <v>MD. JULHAS UDDIN</v>
      </c>
      <c r="I28" s="26"/>
      <c r="J28" s="27" t="n">
        <v>9</v>
      </c>
      <c r="K28" s="27" t="s">
        <v>90</v>
      </c>
      <c r="L28" s="28" t="n">
        <v>505.555555555556</v>
      </c>
      <c r="M28" s="29" t="n">
        <v>44.81</v>
      </c>
      <c r="N28" s="29" t="n">
        <v>1500</v>
      </c>
      <c r="O28" s="29"/>
      <c r="P28" s="30" t="n">
        <v>8</v>
      </c>
      <c r="Q28" s="26" t="n">
        <f aca="false">P28*J28</f>
        <v>72</v>
      </c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31"/>
      <c r="AC28" s="31"/>
      <c r="AD28" s="31"/>
      <c r="AE28" s="26"/>
      <c r="AF28" s="26"/>
      <c r="AG28" s="26"/>
    </row>
    <row r="29" customFormat="false" ht="41.25" hidden="false" customHeight="true" outlineLevel="0" collapsed="false">
      <c r="A29" s="24" t="n">
        <v>24</v>
      </c>
      <c r="B29" s="25" t="n">
        <v>46288</v>
      </c>
      <c r="C29" s="26"/>
      <c r="D29" s="26"/>
      <c r="E29" s="26"/>
      <c r="F29" s="26"/>
      <c r="G29" s="18" t="s">
        <v>91</v>
      </c>
      <c r="H29" s="24" t="str">
        <f aca="false">IFERROR(INDEX('Operator Master'!$B$5:$B$504,MATCH(G29,'Operator Master'!$A$5:$A$504,0)),"")</f>
        <v>MD. ABDUL AWAL</v>
      </c>
      <c r="I29" s="26"/>
      <c r="J29" s="27" t="n">
        <v>7</v>
      </c>
      <c r="K29" s="27" t="s">
        <v>92</v>
      </c>
      <c r="L29" s="28" t="n">
        <v>539.285714285714</v>
      </c>
      <c r="M29" s="29" t="n">
        <v>40.43</v>
      </c>
      <c r="N29" s="29" t="n">
        <v>1400</v>
      </c>
      <c r="O29" s="29"/>
      <c r="P29" s="30" t="n">
        <v>8</v>
      </c>
      <c r="Q29" s="26" t="n">
        <f aca="false">P29*J29</f>
        <v>56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31"/>
      <c r="AC29" s="31"/>
      <c r="AD29" s="31"/>
      <c r="AE29" s="26"/>
      <c r="AF29" s="26"/>
      <c r="AG29" s="26"/>
    </row>
    <row r="30" customFormat="false" ht="41.25" hidden="false" customHeight="true" outlineLevel="0" collapsed="false">
      <c r="A30" s="24" t="n">
        <v>25</v>
      </c>
      <c r="B30" s="25" t="n">
        <v>46288</v>
      </c>
      <c r="C30" s="26"/>
      <c r="D30" s="26"/>
      <c r="E30" s="26"/>
      <c r="F30" s="26"/>
      <c r="G30" s="18" t="s">
        <v>93</v>
      </c>
      <c r="H30" s="24" t="str">
        <f aca="false">IFERROR(INDEX('Operator Master'!$B$5:$B$504,MATCH(G30,'Operator Master'!$A$5:$A$504,0)),"")</f>
        <v>MD. DULU MIA</v>
      </c>
      <c r="I30" s="26"/>
      <c r="J30" s="27" t="n">
        <v>8</v>
      </c>
      <c r="K30" s="27" t="s">
        <v>94</v>
      </c>
      <c r="L30" s="28" t="n">
        <v>540.625</v>
      </c>
      <c r="M30" s="29" t="n">
        <v>42.63</v>
      </c>
      <c r="N30" s="29" t="n">
        <v>1500</v>
      </c>
      <c r="O30" s="29"/>
      <c r="P30" s="30" t="n">
        <v>8</v>
      </c>
      <c r="Q30" s="26" t="n">
        <f aca="false">P30*J30</f>
        <v>64</v>
      </c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31"/>
      <c r="AC30" s="31"/>
      <c r="AD30" s="31"/>
      <c r="AE30" s="26"/>
      <c r="AF30" s="26"/>
      <c r="AG30" s="26"/>
    </row>
    <row r="31" customFormat="false" ht="68.25" hidden="false" customHeight="true" outlineLevel="0" collapsed="false">
      <c r="A31" s="24" t="n">
        <v>26</v>
      </c>
      <c r="B31" s="25" t="n">
        <v>46288</v>
      </c>
      <c r="C31" s="26"/>
      <c r="D31" s="26"/>
      <c r="E31" s="26"/>
      <c r="F31" s="26"/>
      <c r="G31" s="18" t="s">
        <v>95</v>
      </c>
      <c r="H31" s="24" t="str">
        <f aca="false">IFERROR(INDEX('Operator Master'!$B$5:$B$504,MATCH(G31,'Operator Master'!$A$5:$A$504,0)),"")</f>
        <v>SREE SUSANTO CHANDRA</v>
      </c>
      <c r="I31" s="26"/>
      <c r="J31" s="27" t="n">
        <v>8</v>
      </c>
      <c r="K31" s="27" t="s">
        <v>96</v>
      </c>
      <c r="L31" s="28" t="n">
        <v>543.75</v>
      </c>
      <c r="M31" s="29" t="n">
        <v>42.5</v>
      </c>
      <c r="N31" s="29" t="n">
        <v>1500</v>
      </c>
      <c r="O31" s="29"/>
      <c r="P31" s="30" t="n">
        <v>8</v>
      </c>
      <c r="Q31" s="26" t="n">
        <f aca="false">P31*J31</f>
        <v>64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31"/>
      <c r="AC31" s="31"/>
      <c r="AD31" s="31"/>
      <c r="AE31" s="26"/>
      <c r="AF31" s="26"/>
      <c r="AG31" s="26"/>
    </row>
    <row r="32" customFormat="false" ht="41.25" hidden="false" customHeight="true" outlineLevel="0" collapsed="false">
      <c r="A32" s="24" t="n">
        <v>27</v>
      </c>
      <c r="B32" s="25" t="n">
        <v>46288</v>
      </c>
      <c r="C32" s="26"/>
      <c r="D32" s="26"/>
      <c r="E32" s="26"/>
      <c r="F32" s="26"/>
      <c r="G32" s="18" t="s">
        <v>97</v>
      </c>
      <c r="H32" s="24" t="str">
        <f aca="false">IFERROR(INDEX('Operator Master'!$B$5:$B$504,MATCH(G32,'Operator Master'!$A$5:$A$504,0)),"")</f>
        <v>MD. ASHRAFUL ISLAM</v>
      </c>
      <c r="I32" s="26"/>
      <c r="J32" s="26"/>
      <c r="K32" s="26"/>
      <c r="L32" s="28" t="n">
        <v>545</v>
      </c>
      <c r="M32" s="29" t="n">
        <v>41.8</v>
      </c>
      <c r="N32" s="26"/>
      <c r="O32" s="26"/>
      <c r="P32" s="30" t="n">
        <v>8</v>
      </c>
      <c r="Q32" s="26" t="n">
        <f aca="false">P32*J32</f>
        <v>0</v>
      </c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31"/>
      <c r="AC32" s="31"/>
      <c r="AD32" s="31"/>
      <c r="AE32" s="26"/>
      <c r="AF32" s="26"/>
      <c r="AG32" s="26"/>
    </row>
    <row r="33" customFormat="false" ht="41.25" hidden="false" customHeight="true" outlineLevel="0" collapsed="false">
      <c r="A33" s="24" t="n">
        <v>28</v>
      </c>
      <c r="B33" s="25" t="n">
        <v>46288</v>
      </c>
      <c r="C33" s="26"/>
      <c r="D33" s="26"/>
      <c r="E33" s="26"/>
      <c r="F33" s="26"/>
      <c r="G33" s="18" t="s">
        <v>98</v>
      </c>
      <c r="H33" s="24" t="str">
        <f aca="false">IFERROR(INDEX('Operator Master'!$B$5:$B$504,MATCH(G33,'Operator Master'!$A$5:$A$504,0)),"")</f>
        <v>MD. ASRAF AKANDA</v>
      </c>
      <c r="I33" s="26"/>
      <c r="J33" s="26"/>
      <c r="K33" s="26"/>
      <c r="L33" s="28" t="n">
        <v>555.555555555556</v>
      </c>
      <c r="M33" s="29" t="n">
        <v>43.78</v>
      </c>
      <c r="N33" s="26"/>
      <c r="O33" s="26"/>
      <c r="P33" s="30" t="n">
        <v>8</v>
      </c>
      <c r="Q33" s="26" t="n">
        <f aca="false">P33*J33</f>
        <v>0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31"/>
      <c r="AC33" s="31"/>
      <c r="AD33" s="31"/>
      <c r="AE33" s="26"/>
      <c r="AF33" s="26"/>
      <c r="AG33" s="26"/>
    </row>
    <row r="34" customFormat="false" ht="54.75" hidden="false" customHeight="true" outlineLevel="0" collapsed="false">
      <c r="A34" s="24" t="n">
        <v>29</v>
      </c>
      <c r="B34" s="25" t="n">
        <v>46288</v>
      </c>
      <c r="C34" s="26"/>
      <c r="D34" s="26"/>
      <c r="E34" s="26"/>
      <c r="F34" s="26"/>
      <c r="G34" s="18" t="s">
        <v>99</v>
      </c>
      <c r="H34" s="24" t="str">
        <f aca="false">IFERROR(INDEX('Operator Master'!$B$5:$B$504,MATCH(G34,'Operator Master'!$A$5:$A$504,0)),"")</f>
        <v>MD. JIHADUZZAMAN (JIAD)</v>
      </c>
      <c r="I34" s="26"/>
      <c r="J34" s="26"/>
      <c r="K34" s="26"/>
      <c r="L34" s="28" t="n">
        <v>530</v>
      </c>
      <c r="M34" s="29" t="n">
        <v>44.7</v>
      </c>
      <c r="N34" s="26"/>
      <c r="O34" s="26"/>
      <c r="P34" s="30" t="n">
        <v>8</v>
      </c>
      <c r="Q34" s="26" t="n">
        <f aca="false">P34*J34</f>
        <v>0</v>
      </c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31"/>
      <c r="AC34" s="31"/>
      <c r="AD34" s="31"/>
      <c r="AE34" s="26"/>
      <c r="AF34" s="26"/>
      <c r="AG34" s="26"/>
    </row>
    <row r="35" customFormat="false" ht="41.25" hidden="false" customHeight="true" outlineLevel="0" collapsed="false">
      <c r="A35" s="24" t="n">
        <v>30</v>
      </c>
      <c r="B35" s="25" t="n">
        <v>46288</v>
      </c>
      <c r="C35" s="26"/>
      <c r="D35" s="26"/>
      <c r="E35" s="26"/>
      <c r="F35" s="26"/>
      <c r="G35" s="18" t="s">
        <v>100</v>
      </c>
      <c r="H35" s="24" t="str">
        <f aca="false">IFERROR(INDEX('Operator Master'!$B$5:$B$504,MATCH(G35,'Operator Master'!$A$5:$A$504,0)),"")</f>
        <v>MD. MOZNU SHEKH</v>
      </c>
      <c r="I35" s="26"/>
      <c r="J35" s="26"/>
      <c r="K35" s="26"/>
      <c r="L35" s="28" t="n">
        <v>555</v>
      </c>
      <c r="M35" s="29" t="n">
        <v>41.9</v>
      </c>
      <c r="N35" s="26"/>
      <c r="O35" s="26"/>
      <c r="P35" s="30" t="n">
        <v>8</v>
      </c>
      <c r="Q35" s="26" t="n">
        <f aca="false">P35*J35</f>
        <v>0</v>
      </c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31"/>
      <c r="AC35" s="31"/>
      <c r="AD35" s="31"/>
      <c r="AE35" s="26"/>
      <c r="AF35" s="26"/>
      <c r="AG35" s="26"/>
    </row>
    <row r="36" customFormat="false" ht="41.25" hidden="false" customHeight="true" outlineLevel="0" collapsed="false">
      <c r="A36" s="24" t="n">
        <v>31</v>
      </c>
      <c r="B36" s="25" t="n">
        <v>46288</v>
      </c>
      <c r="C36" s="26"/>
      <c r="D36" s="26"/>
      <c r="E36" s="26"/>
      <c r="F36" s="26"/>
      <c r="G36" s="18" t="s">
        <v>101</v>
      </c>
      <c r="H36" s="24" t="str">
        <f aca="false">IFERROR(INDEX('Operator Master'!$B$5:$B$504,MATCH(G36,'Operator Master'!$A$5:$A$504,0)),"")</f>
        <v>MD. AMINUR ISLAM</v>
      </c>
      <c r="I36" s="26"/>
      <c r="J36" s="26"/>
      <c r="K36" s="26"/>
      <c r="L36" s="28" t="n">
        <v>541.666666666667</v>
      </c>
      <c r="M36" s="29" t="n">
        <v>42.44</v>
      </c>
      <c r="N36" s="26"/>
      <c r="O36" s="26"/>
      <c r="P36" s="30" t="n">
        <v>8</v>
      </c>
      <c r="Q36" s="26" t="n">
        <f aca="false">P36*J36</f>
        <v>0</v>
      </c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31"/>
      <c r="AC36" s="31"/>
      <c r="AD36" s="31"/>
      <c r="AE36" s="26"/>
      <c r="AF36" s="26"/>
      <c r="AG36" s="26"/>
    </row>
    <row r="37" customFormat="false" ht="41.25" hidden="false" customHeight="true" outlineLevel="0" collapsed="false">
      <c r="A37" s="24" t="n">
        <v>32</v>
      </c>
      <c r="B37" s="25" t="n">
        <v>46288</v>
      </c>
      <c r="C37" s="26"/>
      <c r="D37" s="26"/>
      <c r="E37" s="26"/>
      <c r="F37" s="26"/>
      <c r="G37" s="18" t="s">
        <v>102</v>
      </c>
      <c r="H37" s="24" t="str">
        <f aca="false">IFERROR(INDEX('Operator Master'!$B$5:$B$504,MATCH(G37,'Operator Master'!$A$5:$A$504,0)),"")</f>
        <v>MD. BABUL MIAH</v>
      </c>
      <c r="I37" s="26"/>
      <c r="J37" s="26"/>
      <c r="K37" s="26"/>
      <c r="L37" s="28" t="n">
        <v>525</v>
      </c>
      <c r="M37" s="29" t="n">
        <v>39.22</v>
      </c>
      <c r="N37" s="26"/>
      <c r="O37" s="26"/>
      <c r="P37" s="30" t="n">
        <v>8</v>
      </c>
      <c r="Q37" s="26" t="n">
        <f aca="false">P37*J37</f>
        <v>0</v>
      </c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31"/>
      <c r="AC37" s="31"/>
      <c r="AD37" s="31"/>
      <c r="AE37" s="26"/>
      <c r="AF37" s="26"/>
      <c r="AG37" s="26"/>
    </row>
    <row r="38" customFormat="false" ht="41.25" hidden="false" customHeight="true" outlineLevel="0" collapsed="false">
      <c r="A38" s="24" t="n">
        <v>33</v>
      </c>
      <c r="B38" s="25" t="n">
        <v>46288</v>
      </c>
      <c r="C38" s="26"/>
      <c r="D38" s="26"/>
      <c r="E38" s="26"/>
      <c r="F38" s="26"/>
      <c r="G38" s="18" t="s">
        <v>103</v>
      </c>
      <c r="H38" s="24" t="str">
        <f aca="false">IFERROR(INDEX('Operator Master'!$B$5:$B$504,MATCH(G38,'Operator Master'!$A$5:$A$504,0)),"")</f>
        <v>MD. ROFIKUL ISLAM</v>
      </c>
      <c r="I38" s="26"/>
      <c r="J38" s="26"/>
      <c r="K38" s="26"/>
      <c r="L38" s="28" t="n">
        <v>537.5</v>
      </c>
      <c r="M38" s="29" t="n">
        <v>41.6</v>
      </c>
      <c r="N38" s="26"/>
      <c r="O38" s="26"/>
      <c r="P38" s="30" t="n">
        <v>8</v>
      </c>
      <c r="Q38" s="26" t="n">
        <f aca="false">P38*J38</f>
        <v>0</v>
      </c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31"/>
      <c r="AC38" s="31"/>
      <c r="AD38" s="31"/>
      <c r="AE38" s="26"/>
      <c r="AF38" s="26"/>
      <c r="AG38" s="26"/>
    </row>
    <row r="39" customFormat="false" ht="41.25" hidden="false" customHeight="true" outlineLevel="0" collapsed="false">
      <c r="A39" s="24" t="n">
        <v>34</v>
      </c>
      <c r="B39" s="25" t="n">
        <v>46288</v>
      </c>
      <c r="C39" s="26"/>
      <c r="D39" s="26"/>
      <c r="E39" s="26"/>
      <c r="F39" s="26"/>
      <c r="G39" s="18" t="s">
        <v>104</v>
      </c>
      <c r="H39" s="24" t="str">
        <f aca="false">IFERROR(INDEX('Operator Master'!$B$5:$B$504,MATCH(G39,'Operator Master'!$A$5:$A$504,0)),"")</f>
        <v>MD. AMINUL ISLAM-2</v>
      </c>
      <c r="I39" s="26"/>
      <c r="J39" s="26"/>
      <c r="K39" s="26"/>
      <c r="L39" s="28" t="n">
        <v>559.375</v>
      </c>
      <c r="M39" s="29" t="n">
        <v>41.75</v>
      </c>
      <c r="N39" s="26"/>
      <c r="O39" s="26"/>
      <c r="P39" s="30" t="n">
        <v>8</v>
      </c>
      <c r="Q39" s="26" t="n">
        <f aca="false">P39*J39</f>
        <v>0</v>
      </c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31"/>
      <c r="AC39" s="31"/>
      <c r="AD39" s="31"/>
      <c r="AE39" s="26"/>
      <c r="AF39" s="26"/>
      <c r="AG39" s="26"/>
    </row>
    <row r="40" customFormat="false" ht="41.25" hidden="false" customHeight="true" outlineLevel="0" collapsed="false">
      <c r="A40" s="24" t="n">
        <v>35</v>
      </c>
      <c r="B40" s="25" t="n">
        <v>46288</v>
      </c>
      <c r="C40" s="26"/>
      <c r="D40" s="26"/>
      <c r="E40" s="26"/>
      <c r="F40" s="26"/>
      <c r="G40" s="18" t="s">
        <v>105</v>
      </c>
      <c r="H40" s="24" t="str">
        <f aca="false">IFERROR(INDEX('Operator Master'!$B$5:$B$504,MATCH(G40,'Operator Master'!$A$5:$A$504,0)),"")</f>
        <v>MD. JONY ALOM</v>
      </c>
      <c r="I40" s="26"/>
      <c r="J40" s="26"/>
      <c r="K40" s="26"/>
      <c r="L40" s="28" t="n">
        <v>553.125</v>
      </c>
      <c r="M40" s="29" t="n">
        <v>41.25</v>
      </c>
      <c r="N40" s="26"/>
      <c r="O40" s="26"/>
      <c r="P40" s="30" t="n">
        <v>8</v>
      </c>
      <c r="Q40" s="26" t="n">
        <f aca="false">P40*J40</f>
        <v>0</v>
      </c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31"/>
      <c r="AC40" s="31"/>
      <c r="AD40" s="31"/>
      <c r="AE40" s="26"/>
      <c r="AF40" s="26"/>
      <c r="AG40" s="26"/>
    </row>
    <row r="41" customFormat="false" ht="41.25" hidden="false" customHeight="true" outlineLevel="0" collapsed="false">
      <c r="A41" s="24" t="n">
        <v>36</v>
      </c>
      <c r="B41" s="25" t="n">
        <v>46288</v>
      </c>
      <c r="C41" s="26"/>
      <c r="D41" s="26"/>
      <c r="E41" s="26"/>
      <c r="F41" s="26"/>
      <c r="G41" s="18" t="s">
        <v>106</v>
      </c>
      <c r="H41" s="24" t="str">
        <f aca="false">IFERROR(INDEX('Operator Master'!$B$5:$B$504,MATCH(G41,'Operator Master'!$A$5:$A$504,0)),"")</f>
        <v>MD. HELIM ISLAM</v>
      </c>
      <c r="I41" s="26"/>
      <c r="J41" s="26"/>
      <c r="K41" s="26"/>
      <c r="L41" s="28" t="n">
        <v>533.333333333333</v>
      </c>
      <c r="M41" s="29" t="n">
        <v>44.67</v>
      </c>
      <c r="N41" s="26"/>
      <c r="O41" s="26"/>
      <c r="P41" s="30" t="n">
        <v>8</v>
      </c>
      <c r="Q41" s="26" t="n">
        <f aca="false">P41*J41</f>
        <v>0</v>
      </c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31"/>
      <c r="AC41" s="31"/>
      <c r="AD41" s="31"/>
      <c r="AE41" s="26"/>
      <c r="AF41" s="26"/>
      <c r="AG41" s="26"/>
    </row>
    <row r="42" customFormat="false" ht="41.25" hidden="false" customHeight="true" outlineLevel="0" collapsed="false">
      <c r="A42" s="24" t="n">
        <v>37</v>
      </c>
      <c r="B42" s="25" t="n">
        <v>46288</v>
      </c>
      <c r="C42" s="26"/>
      <c r="D42" s="26"/>
      <c r="E42" s="26"/>
      <c r="F42" s="26"/>
      <c r="G42" s="18" t="s">
        <v>107</v>
      </c>
      <c r="H42" s="24" t="str">
        <f aca="false">IFERROR(INDEX('Operator Master'!$B$5:$B$504,MATCH(G42,'Operator Master'!$A$5:$A$504,0)),"")</f>
        <v>MD. JIHAD MOLLA</v>
      </c>
      <c r="I42" s="26"/>
      <c r="J42" s="26"/>
      <c r="K42" s="26"/>
      <c r="L42" s="28" t="n">
        <v>552.5</v>
      </c>
      <c r="M42" s="29" t="n">
        <v>43.4</v>
      </c>
      <c r="N42" s="26"/>
      <c r="O42" s="26"/>
      <c r="P42" s="30" t="n">
        <v>8</v>
      </c>
      <c r="Q42" s="26" t="n">
        <f aca="false">P42*J42</f>
        <v>0</v>
      </c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31"/>
      <c r="AC42" s="31"/>
      <c r="AD42" s="31"/>
      <c r="AE42" s="26"/>
      <c r="AF42" s="26"/>
      <c r="AG42" s="26"/>
    </row>
    <row r="43" customFormat="false" ht="41.25" hidden="false" customHeight="true" outlineLevel="0" collapsed="false">
      <c r="A43" s="24" t="n">
        <v>38</v>
      </c>
      <c r="B43" s="25" t="n">
        <v>46288</v>
      </c>
      <c r="C43" s="26"/>
      <c r="D43" s="26"/>
      <c r="E43" s="26"/>
      <c r="F43" s="26"/>
      <c r="G43" s="18" t="s">
        <v>108</v>
      </c>
      <c r="H43" s="24" t="str">
        <f aca="false">IFERROR(INDEX('Operator Master'!$B$5:$B$504,MATCH(G43,'Operator Master'!$A$5:$A$504,0)),"")</f>
        <v>MD. ABDUL KADIR</v>
      </c>
      <c r="I43" s="26"/>
      <c r="J43" s="26"/>
      <c r="K43" s="26"/>
      <c r="L43" s="28" t="n">
        <v>527.5</v>
      </c>
      <c r="M43" s="29" t="n">
        <v>44.8</v>
      </c>
      <c r="N43" s="26"/>
      <c r="O43" s="26"/>
      <c r="P43" s="30" t="n">
        <v>8</v>
      </c>
      <c r="Q43" s="26" t="n">
        <f aca="false">P43*J43</f>
        <v>0</v>
      </c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31"/>
      <c r="AC43" s="31"/>
      <c r="AD43" s="31"/>
      <c r="AE43" s="26"/>
      <c r="AF43" s="26"/>
      <c r="AG43" s="26"/>
    </row>
    <row r="44" customFormat="false" ht="41.25" hidden="false" customHeight="true" outlineLevel="0" collapsed="false">
      <c r="A44" s="24" t="n">
        <v>39</v>
      </c>
      <c r="B44" s="25" t="n">
        <v>46288</v>
      </c>
      <c r="C44" s="26"/>
      <c r="D44" s="26"/>
      <c r="E44" s="26"/>
      <c r="F44" s="26"/>
      <c r="G44" s="18" t="s">
        <v>109</v>
      </c>
      <c r="H44" s="24" t="str">
        <f aca="false">IFERROR(INDEX('Operator Master'!$B$5:$B$504,MATCH(G44,'Operator Master'!$A$5:$A$504,0)),"")</f>
        <v>MD. BILLAL HOSEN</v>
      </c>
      <c r="I44" s="26"/>
      <c r="J44" s="26"/>
      <c r="K44" s="26"/>
      <c r="L44" s="28" t="n">
        <v>555</v>
      </c>
      <c r="M44" s="29" t="n">
        <v>41.8</v>
      </c>
      <c r="N44" s="26"/>
      <c r="O44" s="26"/>
      <c r="P44" s="30" t="n">
        <v>8</v>
      </c>
      <c r="Q44" s="26" t="n">
        <f aca="false">P44*J44</f>
        <v>0</v>
      </c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31"/>
      <c r="AC44" s="31"/>
      <c r="AD44" s="31"/>
      <c r="AE44" s="26"/>
      <c r="AF44" s="26"/>
      <c r="AG44" s="26"/>
    </row>
    <row r="45" customFormat="false" ht="54.75" hidden="false" customHeight="true" outlineLevel="0" collapsed="false">
      <c r="A45" s="24" t="n">
        <v>40</v>
      </c>
      <c r="B45" s="25" t="n">
        <v>46288</v>
      </c>
      <c r="C45" s="26"/>
      <c r="D45" s="26"/>
      <c r="E45" s="26"/>
      <c r="F45" s="26"/>
      <c r="G45" s="18" t="s">
        <v>110</v>
      </c>
      <c r="H45" s="24" t="str">
        <f aca="false">IFERROR(INDEX('Operator Master'!$B$5:$B$504,MATCH(G45,'Operator Master'!$A$5:$A$504,0)),"")</f>
        <v>MD. MOJAMMEL HOSEN</v>
      </c>
      <c r="I45" s="26"/>
      <c r="J45" s="26"/>
      <c r="K45" s="26"/>
      <c r="L45" s="28" t="n">
        <v>569.444444444445</v>
      </c>
      <c r="M45" s="29" t="n">
        <v>42.22</v>
      </c>
      <c r="N45" s="26"/>
      <c r="O45" s="26"/>
      <c r="P45" s="30" t="n">
        <v>8</v>
      </c>
      <c r="Q45" s="26" t="n">
        <f aca="false">P45*J45</f>
        <v>0</v>
      </c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31"/>
      <c r="AC45" s="31"/>
      <c r="AD45" s="31"/>
      <c r="AE45" s="26"/>
      <c r="AF45" s="26"/>
      <c r="AG45" s="26"/>
    </row>
    <row r="46" customFormat="false" ht="41.25" hidden="false" customHeight="true" outlineLevel="0" collapsed="false">
      <c r="A46" s="24" t="n">
        <v>41</v>
      </c>
      <c r="B46" s="25" t="n">
        <v>46288</v>
      </c>
      <c r="C46" s="26"/>
      <c r="D46" s="26"/>
      <c r="E46" s="26"/>
      <c r="F46" s="26"/>
      <c r="G46" s="18" t="s">
        <v>111</v>
      </c>
      <c r="H46" s="24" t="str">
        <f aca="false">IFERROR(INDEX('Operator Master'!$B$5:$B$504,MATCH(G46,'Operator Master'!$A$5:$A$504,0)),"")</f>
        <v>MD. MONARUL ISLAM</v>
      </c>
      <c r="I46" s="26"/>
      <c r="J46" s="26"/>
      <c r="K46" s="26"/>
      <c r="L46" s="28" t="n">
        <v>505.555555555556</v>
      </c>
      <c r="M46" s="29" t="n">
        <v>44.81</v>
      </c>
      <c r="N46" s="26"/>
      <c r="O46" s="26"/>
      <c r="P46" s="30" t="n">
        <v>8</v>
      </c>
      <c r="Q46" s="26" t="n">
        <f aca="false">P46*J46</f>
        <v>0</v>
      </c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31"/>
      <c r="AC46" s="31"/>
      <c r="AD46" s="31"/>
      <c r="AE46" s="26"/>
      <c r="AF46" s="26"/>
      <c r="AG46" s="26"/>
    </row>
    <row r="47" customFormat="false" ht="41.25" hidden="false" customHeight="true" outlineLevel="0" collapsed="false">
      <c r="A47" s="24" t="n">
        <v>42</v>
      </c>
      <c r="B47" s="25" t="n">
        <v>46288</v>
      </c>
      <c r="C47" s="26"/>
      <c r="D47" s="26"/>
      <c r="E47" s="26"/>
      <c r="F47" s="26"/>
      <c r="G47" s="18" t="s">
        <v>112</v>
      </c>
      <c r="H47" s="24" t="str">
        <f aca="false">IFERROR(INDEX('Operator Master'!$B$5:$B$504,MATCH(G47,'Operator Master'!$A$5:$A$504,0)),"")</f>
        <v>MD. NURUL ISLAM</v>
      </c>
      <c r="I47" s="26"/>
      <c r="J47" s="26"/>
      <c r="K47" s="26"/>
      <c r="L47" s="28" t="n">
        <v>539.285714285714</v>
      </c>
      <c r="M47" s="29" t="n">
        <v>40.43</v>
      </c>
      <c r="N47" s="26"/>
      <c r="O47" s="26"/>
      <c r="P47" s="30" t="n">
        <v>8</v>
      </c>
      <c r="Q47" s="26" t="n">
        <f aca="false">P47*J47</f>
        <v>0</v>
      </c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31"/>
      <c r="AC47" s="31"/>
      <c r="AD47" s="31"/>
      <c r="AE47" s="26"/>
      <c r="AF47" s="26"/>
      <c r="AG47" s="26"/>
    </row>
    <row r="48" customFormat="false" ht="27.75" hidden="false" customHeight="true" outlineLevel="0" collapsed="false">
      <c r="A48" s="24" t="n">
        <v>43</v>
      </c>
      <c r="B48" s="25" t="n">
        <v>46288</v>
      </c>
      <c r="C48" s="26"/>
      <c r="D48" s="26"/>
      <c r="E48" s="26"/>
      <c r="F48" s="26"/>
      <c r="G48" s="18" t="s">
        <v>113</v>
      </c>
      <c r="H48" s="24" t="str">
        <f aca="false">IFERROR(INDEX('Operator Master'!$B$5:$B$504,MATCH(G48,'Operator Master'!$A$5:$A$504,0)),"")</f>
        <v>SHAIDUL</v>
      </c>
      <c r="I48" s="26"/>
      <c r="J48" s="26"/>
      <c r="K48" s="26"/>
      <c r="L48" s="28" t="n">
        <v>540.625</v>
      </c>
      <c r="M48" s="29" t="n">
        <v>42.63</v>
      </c>
      <c r="N48" s="26"/>
      <c r="O48" s="26"/>
      <c r="P48" s="30" t="n">
        <v>8</v>
      </c>
      <c r="Q48" s="26" t="n">
        <f aca="false">P48*J48</f>
        <v>0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31"/>
      <c r="AC48" s="31"/>
      <c r="AD48" s="31"/>
      <c r="AE48" s="26"/>
      <c r="AF48" s="26"/>
      <c r="AG48" s="26"/>
    </row>
    <row r="49" customFormat="false" ht="41.25" hidden="false" customHeight="true" outlineLevel="0" collapsed="false">
      <c r="A49" s="24" t="n">
        <v>44</v>
      </c>
      <c r="B49" s="25" t="n">
        <v>46288</v>
      </c>
      <c r="C49" s="26"/>
      <c r="D49" s="26"/>
      <c r="E49" s="26"/>
      <c r="F49" s="26"/>
      <c r="G49" s="18" t="s">
        <v>114</v>
      </c>
      <c r="H49" s="24" t="str">
        <f aca="false">IFERROR(INDEX('Operator Master'!$B$5:$B$504,MATCH(G49,'Operator Master'!$A$5:$A$504,0)),"")</f>
        <v>MD. SAIFUL ISLAM</v>
      </c>
      <c r="I49" s="26"/>
      <c r="J49" s="26"/>
      <c r="K49" s="26"/>
      <c r="L49" s="28" t="n">
        <v>543.75</v>
      </c>
      <c r="M49" s="29" t="n">
        <v>42.5</v>
      </c>
      <c r="N49" s="26"/>
      <c r="O49" s="26"/>
      <c r="P49" s="30" t="n">
        <v>8</v>
      </c>
      <c r="Q49" s="26" t="n">
        <f aca="false">P49*J49</f>
        <v>0</v>
      </c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31"/>
      <c r="AC49" s="31"/>
      <c r="AD49" s="31"/>
      <c r="AE49" s="26"/>
      <c r="AF49" s="26"/>
      <c r="AG49" s="26"/>
    </row>
    <row r="50" customFormat="false" ht="41.25" hidden="false" customHeight="true" outlineLevel="0" collapsed="false">
      <c r="A50" s="24" t="n">
        <v>45</v>
      </c>
      <c r="B50" s="25" t="n">
        <v>46288</v>
      </c>
      <c r="C50" s="26"/>
      <c r="D50" s="26"/>
      <c r="E50" s="26"/>
      <c r="F50" s="26"/>
      <c r="G50" s="18" t="s">
        <v>115</v>
      </c>
      <c r="H50" s="24" t="str">
        <f aca="false">IFERROR(INDEX('Operator Master'!$B$5:$B$504,MATCH(G50,'Operator Master'!$A$5:$A$504,0)),"")</f>
        <v>MD. NAJMUL ISLAM</v>
      </c>
      <c r="I50" s="26"/>
      <c r="J50" s="26"/>
      <c r="K50" s="26"/>
      <c r="L50" s="26"/>
      <c r="M50" s="26"/>
      <c r="N50" s="26"/>
      <c r="O50" s="26"/>
      <c r="P50" s="30" t="n">
        <v>8</v>
      </c>
      <c r="Q50" s="26" t="n">
        <f aca="false">P50*J50</f>
        <v>0</v>
      </c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31"/>
      <c r="AC50" s="31"/>
      <c r="AD50" s="31"/>
      <c r="AE50" s="26"/>
      <c r="AF50" s="26"/>
      <c r="AG50" s="26"/>
    </row>
    <row r="51" customFormat="false" ht="41.25" hidden="false" customHeight="true" outlineLevel="0" collapsed="false">
      <c r="A51" s="24" t="n">
        <v>46</v>
      </c>
      <c r="B51" s="25" t="n">
        <v>46288</v>
      </c>
      <c r="C51" s="26"/>
      <c r="D51" s="26"/>
      <c r="E51" s="26"/>
      <c r="F51" s="26"/>
      <c r="G51" s="18" t="s">
        <v>116</v>
      </c>
      <c r="H51" s="24" t="str">
        <f aca="false">IFERROR(INDEX('Operator Master'!$B$5:$B$504,MATCH(G51,'Operator Master'!$A$5:$A$504,0)),"")</f>
        <v>MD. ANOWAR HOSEN-1</v>
      </c>
      <c r="I51" s="26"/>
      <c r="J51" s="26"/>
      <c r="K51" s="26"/>
      <c r="L51" s="26"/>
      <c r="M51" s="26"/>
      <c r="N51" s="26"/>
      <c r="O51" s="26"/>
      <c r="P51" s="30" t="n">
        <v>8</v>
      </c>
      <c r="Q51" s="26" t="n">
        <f aca="false">P51*J51</f>
        <v>0</v>
      </c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31"/>
      <c r="AC51" s="31"/>
      <c r="AD51" s="31"/>
      <c r="AE51" s="26"/>
      <c r="AF51" s="26"/>
      <c r="AG51" s="26"/>
    </row>
    <row r="52" customFormat="false" ht="41.25" hidden="false" customHeight="true" outlineLevel="0" collapsed="false">
      <c r="A52" s="24" t="n">
        <v>47</v>
      </c>
      <c r="B52" s="25" t="n">
        <v>46288</v>
      </c>
      <c r="C52" s="26"/>
      <c r="D52" s="26"/>
      <c r="E52" s="26"/>
      <c r="F52" s="26"/>
      <c r="G52" s="18" t="s">
        <v>117</v>
      </c>
      <c r="H52" s="24" t="str">
        <f aca="false">IFERROR(INDEX('Operator Master'!$B$5:$B$504,MATCH(G52,'Operator Master'!$A$5:$A$504,0)),"")</f>
        <v>MD. JAHANGIR  </v>
      </c>
      <c r="I52" s="26"/>
      <c r="J52" s="26"/>
      <c r="K52" s="26"/>
      <c r="L52" s="26"/>
      <c r="M52" s="26"/>
      <c r="N52" s="26"/>
      <c r="O52" s="26"/>
      <c r="P52" s="30" t="n">
        <v>8</v>
      </c>
      <c r="Q52" s="26" t="n">
        <f aca="false">P52*J52</f>
        <v>0</v>
      </c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31"/>
      <c r="AC52" s="31"/>
      <c r="AD52" s="31"/>
      <c r="AE52" s="26"/>
      <c r="AF52" s="26"/>
      <c r="AG52" s="26"/>
    </row>
    <row r="53" customFormat="false" ht="41.25" hidden="false" customHeight="true" outlineLevel="0" collapsed="false">
      <c r="A53" s="24" t="n">
        <v>48</v>
      </c>
      <c r="B53" s="25" t="n">
        <v>46288</v>
      </c>
      <c r="C53" s="26"/>
      <c r="D53" s="26"/>
      <c r="E53" s="26"/>
      <c r="F53" s="26"/>
      <c r="G53" s="18" t="s">
        <v>118</v>
      </c>
      <c r="H53" s="24" t="str">
        <f aca="false">IFERROR(INDEX('Operator Master'!$B$5:$B$504,MATCH(G53,'Operator Master'!$A$5:$A$504,0)),"")</f>
        <v>MD. FAZLUL HAQUE</v>
      </c>
      <c r="I53" s="26"/>
      <c r="J53" s="26"/>
      <c r="K53" s="26"/>
      <c r="L53" s="26"/>
      <c r="M53" s="26"/>
      <c r="N53" s="26"/>
      <c r="O53" s="26"/>
      <c r="P53" s="30" t="n">
        <v>8</v>
      </c>
      <c r="Q53" s="26" t="n">
        <f aca="false">P53*J53</f>
        <v>0</v>
      </c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31"/>
      <c r="AC53" s="31"/>
      <c r="AD53" s="31"/>
      <c r="AE53" s="26"/>
      <c r="AF53" s="26"/>
      <c r="AG53" s="26"/>
    </row>
    <row r="54" customFormat="false" ht="41.25" hidden="false" customHeight="true" outlineLevel="0" collapsed="false">
      <c r="A54" s="24" t="n">
        <v>49</v>
      </c>
      <c r="B54" s="25" t="n">
        <v>46288</v>
      </c>
      <c r="C54" s="26"/>
      <c r="D54" s="26"/>
      <c r="E54" s="26"/>
      <c r="F54" s="26"/>
      <c r="G54" s="18" t="s">
        <v>119</v>
      </c>
      <c r="H54" s="24" t="str">
        <f aca="false">IFERROR(INDEX('Operator Master'!$B$5:$B$504,MATCH(G54,'Operator Master'!$A$5:$A$504,0)),"")</f>
        <v>MD. AMJAD ALI</v>
      </c>
      <c r="I54" s="26"/>
      <c r="J54" s="26"/>
      <c r="K54" s="26"/>
      <c r="L54" s="26"/>
      <c r="M54" s="26"/>
      <c r="N54" s="26"/>
      <c r="O54" s="26"/>
      <c r="P54" s="30" t="n">
        <v>8</v>
      </c>
      <c r="Q54" s="26" t="n">
        <f aca="false">P54*J54</f>
        <v>0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31"/>
      <c r="AC54" s="31"/>
      <c r="AD54" s="31"/>
      <c r="AE54" s="26"/>
      <c r="AF54" s="26"/>
      <c r="AG54" s="26"/>
    </row>
    <row r="55" customFormat="false" ht="27.75" hidden="false" customHeight="true" outlineLevel="0" collapsed="false">
      <c r="A55" s="24" t="n">
        <v>50</v>
      </c>
      <c r="B55" s="25" t="n">
        <v>46288</v>
      </c>
      <c r="C55" s="26"/>
      <c r="D55" s="26"/>
      <c r="E55" s="26"/>
      <c r="F55" s="26"/>
      <c r="G55" s="18" t="s">
        <v>120</v>
      </c>
      <c r="H55" s="24" t="str">
        <f aca="false">IFERROR(INDEX('Operator Master'!$B$5:$B$504,MATCH(G55,'Operator Master'!$A$5:$A$504,0)),"")</f>
        <v>MD. MAKHON</v>
      </c>
      <c r="I55" s="26"/>
      <c r="J55" s="26"/>
      <c r="K55" s="26"/>
      <c r="L55" s="26"/>
      <c r="M55" s="26"/>
      <c r="N55" s="26"/>
      <c r="O55" s="26"/>
      <c r="P55" s="30" t="n">
        <v>8</v>
      </c>
      <c r="Q55" s="26" t="n">
        <f aca="false">P55*J55</f>
        <v>0</v>
      </c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31"/>
      <c r="AC55" s="31"/>
      <c r="AD55" s="31"/>
      <c r="AE55" s="26"/>
      <c r="AF55" s="26"/>
      <c r="AG55" s="26"/>
    </row>
    <row r="56" customFormat="false" ht="41.25" hidden="false" customHeight="true" outlineLevel="0" collapsed="false">
      <c r="A56" s="24" t="n">
        <v>51</v>
      </c>
      <c r="B56" s="25" t="n">
        <v>46288</v>
      </c>
      <c r="C56" s="26"/>
      <c r="D56" s="26"/>
      <c r="E56" s="26"/>
      <c r="F56" s="26"/>
      <c r="G56" s="18" t="s">
        <v>121</v>
      </c>
      <c r="H56" s="24" t="str">
        <f aca="false">IFERROR(INDEX('Operator Master'!$B$5:$B$504,MATCH(G56,'Operator Master'!$A$5:$A$504,0)),"")</f>
        <v>MD. BELAYET HOSSAIN</v>
      </c>
      <c r="I56" s="26"/>
      <c r="J56" s="26"/>
      <c r="K56" s="26"/>
      <c r="L56" s="26"/>
      <c r="M56" s="26"/>
      <c r="N56" s="26"/>
      <c r="O56" s="26"/>
      <c r="P56" s="30" t="n">
        <v>8</v>
      </c>
      <c r="Q56" s="26" t="n">
        <f aca="false">P56*J56</f>
        <v>0</v>
      </c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31"/>
      <c r="AC56" s="31"/>
      <c r="AD56" s="31"/>
      <c r="AE56" s="26"/>
      <c r="AF56" s="26"/>
      <c r="AG56" s="26"/>
    </row>
    <row r="57" customFormat="false" ht="41.25" hidden="false" customHeight="true" outlineLevel="0" collapsed="false">
      <c r="A57" s="24" t="n">
        <v>52</v>
      </c>
      <c r="B57" s="25" t="n">
        <v>46288</v>
      </c>
      <c r="C57" s="26"/>
      <c r="D57" s="26"/>
      <c r="E57" s="26"/>
      <c r="F57" s="26"/>
      <c r="G57" s="18" t="s">
        <v>122</v>
      </c>
      <c r="H57" s="24" t="str">
        <f aca="false">IFERROR(INDEX('Operator Master'!$B$5:$B$504,MATCH(G57,'Operator Master'!$A$5:$A$504,0)),"")</f>
        <v>MD. SELIM HOSSEN</v>
      </c>
      <c r="I57" s="26"/>
      <c r="J57" s="26"/>
      <c r="K57" s="26"/>
      <c r="L57" s="26"/>
      <c r="M57" s="26"/>
      <c r="N57" s="26"/>
      <c r="O57" s="26"/>
      <c r="P57" s="30" t="n">
        <v>8</v>
      </c>
      <c r="Q57" s="26" t="n">
        <f aca="false">P57*J57</f>
        <v>0</v>
      </c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31"/>
      <c r="AC57" s="31"/>
      <c r="AD57" s="31"/>
      <c r="AE57" s="26"/>
      <c r="AF57" s="26"/>
      <c r="AG57" s="26"/>
    </row>
    <row r="58" customFormat="false" ht="27.75" hidden="false" customHeight="true" outlineLevel="0" collapsed="false">
      <c r="A58" s="24" t="n">
        <v>53</v>
      </c>
      <c r="B58" s="25" t="n">
        <v>46288</v>
      </c>
      <c r="C58" s="26"/>
      <c r="D58" s="26"/>
      <c r="E58" s="26"/>
      <c r="F58" s="26"/>
      <c r="G58" s="18" t="s">
        <v>123</v>
      </c>
      <c r="H58" s="24" t="str">
        <f aca="false">IFERROR(INDEX('Operator Master'!$B$5:$B$504,MATCH(G58,'Operator Master'!$A$5:$A$504,0)),"")</f>
        <v>MD. MARUF</v>
      </c>
      <c r="I58" s="26"/>
      <c r="J58" s="26"/>
      <c r="K58" s="26"/>
      <c r="L58" s="26"/>
      <c r="M58" s="26"/>
      <c r="N58" s="26"/>
      <c r="O58" s="26"/>
      <c r="P58" s="30" t="n">
        <v>8</v>
      </c>
      <c r="Q58" s="26" t="n">
        <f aca="false">P58*J58</f>
        <v>0</v>
      </c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31"/>
      <c r="AC58" s="31"/>
      <c r="AD58" s="31"/>
      <c r="AE58" s="26"/>
      <c r="AF58" s="26"/>
      <c r="AG58" s="26"/>
    </row>
    <row r="59" customFormat="false" ht="27.75" hidden="false" customHeight="true" outlineLevel="0" collapsed="false">
      <c r="A59" s="24" t="n">
        <v>54</v>
      </c>
      <c r="B59" s="25" t="n">
        <v>46288</v>
      </c>
      <c r="C59" s="26"/>
      <c r="D59" s="26"/>
      <c r="E59" s="26"/>
      <c r="F59" s="26"/>
      <c r="G59" s="18" t="s">
        <v>124</v>
      </c>
      <c r="H59" s="24" t="str">
        <f aca="false">IFERROR(INDEX('Operator Master'!$B$5:$B$504,MATCH(G59,'Operator Master'!$A$5:$A$504,0)),"")</f>
        <v>MD. ISMAHIL</v>
      </c>
      <c r="I59" s="26"/>
      <c r="J59" s="26"/>
      <c r="K59" s="26"/>
      <c r="L59" s="26"/>
      <c r="M59" s="26"/>
      <c r="N59" s="26"/>
      <c r="O59" s="26"/>
      <c r="P59" s="30" t="n">
        <v>8</v>
      </c>
      <c r="Q59" s="26" t="n">
        <f aca="false">P59*J59</f>
        <v>0</v>
      </c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31"/>
      <c r="AC59" s="31"/>
      <c r="AD59" s="31"/>
      <c r="AE59" s="26"/>
      <c r="AF59" s="26"/>
      <c r="AG59" s="26"/>
    </row>
    <row r="60" customFormat="false" ht="41.25" hidden="false" customHeight="true" outlineLevel="0" collapsed="false">
      <c r="A60" s="24" t="n">
        <v>55</v>
      </c>
      <c r="B60" s="25" t="n">
        <v>46288</v>
      </c>
      <c r="C60" s="26"/>
      <c r="D60" s="26"/>
      <c r="E60" s="26"/>
      <c r="F60" s="26"/>
      <c r="G60" s="18" t="s">
        <v>125</v>
      </c>
      <c r="H60" s="24" t="str">
        <f aca="false">IFERROR(INDEX('Operator Master'!$B$5:$B$504,MATCH(G60,'Operator Master'!$A$5:$A$504,0)),"")</f>
        <v>MD. KHABIR MOLLA</v>
      </c>
      <c r="I60" s="26"/>
      <c r="J60" s="26"/>
      <c r="K60" s="26"/>
      <c r="L60" s="26"/>
      <c r="M60" s="26"/>
      <c r="N60" s="26"/>
      <c r="O60" s="26"/>
      <c r="P60" s="30" t="n">
        <v>8</v>
      </c>
      <c r="Q60" s="26" t="n">
        <f aca="false">P60*J60</f>
        <v>0</v>
      </c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31"/>
      <c r="AC60" s="31"/>
      <c r="AD60" s="31"/>
      <c r="AE60" s="26"/>
      <c r="AF60" s="26"/>
      <c r="AG60" s="26"/>
    </row>
    <row r="61" customFormat="false" ht="41.25" hidden="false" customHeight="true" outlineLevel="0" collapsed="false">
      <c r="A61" s="24" t="n">
        <v>56</v>
      </c>
      <c r="B61" s="25" t="n">
        <v>46288</v>
      </c>
      <c r="C61" s="26"/>
      <c r="D61" s="26"/>
      <c r="E61" s="26"/>
      <c r="F61" s="26"/>
      <c r="G61" s="18" t="s">
        <v>126</v>
      </c>
      <c r="H61" s="24" t="str">
        <f aca="false">IFERROR(INDEX('Operator Master'!$B$5:$B$504,MATCH(G61,'Operator Master'!$A$5:$A$504,0)),"")</f>
        <v>MD. ALOM ISLAM</v>
      </c>
      <c r="I61" s="26"/>
      <c r="J61" s="26"/>
      <c r="K61" s="26"/>
      <c r="L61" s="26"/>
      <c r="M61" s="26"/>
      <c r="N61" s="26"/>
      <c r="O61" s="26"/>
      <c r="P61" s="30" t="n">
        <v>8</v>
      </c>
      <c r="Q61" s="26" t="n">
        <f aca="false">P61*J61</f>
        <v>0</v>
      </c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31"/>
      <c r="AC61" s="31"/>
      <c r="AD61" s="31"/>
      <c r="AE61" s="26"/>
      <c r="AF61" s="26"/>
      <c r="AG61" s="26"/>
    </row>
    <row r="62" customFormat="false" ht="15" hidden="false" customHeight="true" outlineLevel="0" collapsed="false">
      <c r="A62" s="24" t="n">
        <v>57</v>
      </c>
      <c r="B62" s="25"/>
      <c r="C62" s="26"/>
      <c r="D62" s="26"/>
      <c r="E62" s="26"/>
      <c r="F62" s="26"/>
      <c r="G62" s="26"/>
      <c r="H62" s="24" t="str">
        <f aca="false">IFERROR(INDEX('Operator Master'!$B$5:$B$504,MATCH(G62,'Operator Master'!$A$5:$A$504,0)),"")</f>
        <v/>
      </c>
      <c r="I62" s="26"/>
      <c r="J62" s="26"/>
      <c r="K62" s="26"/>
      <c r="L62" s="26"/>
      <c r="M62" s="26"/>
      <c r="N62" s="26"/>
      <c r="O62" s="26"/>
      <c r="P62" s="30" t="n">
        <v>8</v>
      </c>
      <c r="Q62" s="26" t="n">
        <f aca="false">P62*J62</f>
        <v>0</v>
      </c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31"/>
      <c r="AC62" s="31"/>
      <c r="AD62" s="31"/>
      <c r="AE62" s="26"/>
      <c r="AF62" s="26"/>
      <c r="AG62" s="26"/>
    </row>
    <row r="63" customFormat="false" ht="15" hidden="false" customHeight="true" outlineLevel="0" collapsed="false">
      <c r="A63" s="24" t="n">
        <v>58</v>
      </c>
      <c r="B63" s="25"/>
      <c r="C63" s="26"/>
      <c r="D63" s="26"/>
      <c r="E63" s="26"/>
      <c r="F63" s="26"/>
      <c r="G63" s="26"/>
      <c r="H63" s="24" t="str">
        <f aca="false">IFERROR(INDEX('Operator Master'!$B$5:$B$504,MATCH(G63,'Operator Master'!$A$5:$A$504,0)),"")</f>
        <v/>
      </c>
      <c r="I63" s="26"/>
      <c r="J63" s="26"/>
      <c r="K63" s="26"/>
      <c r="L63" s="26"/>
      <c r="M63" s="26"/>
      <c r="N63" s="26"/>
      <c r="O63" s="26"/>
      <c r="P63" s="30" t="n">
        <v>8</v>
      </c>
      <c r="Q63" s="26" t="n">
        <f aca="false">P63*J63</f>
        <v>0</v>
      </c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31"/>
      <c r="AC63" s="31"/>
      <c r="AD63" s="31"/>
      <c r="AE63" s="26"/>
      <c r="AF63" s="26"/>
      <c r="AG63" s="26"/>
    </row>
    <row r="64" customFormat="false" ht="15" hidden="false" customHeight="true" outlineLevel="0" collapsed="false">
      <c r="A64" s="24" t="n">
        <v>59</v>
      </c>
      <c r="B64" s="25"/>
      <c r="C64" s="26"/>
      <c r="D64" s="26"/>
      <c r="E64" s="26"/>
      <c r="F64" s="26"/>
      <c r="G64" s="26"/>
      <c r="H64" s="24" t="str">
        <f aca="false">IFERROR(INDEX('Operator Master'!$B$5:$B$504,MATCH(G64,'Operator Master'!$A$5:$A$504,0)),"")</f>
        <v/>
      </c>
      <c r="I64" s="26"/>
      <c r="J64" s="26"/>
      <c r="K64" s="26"/>
      <c r="L64" s="26"/>
      <c r="M64" s="26"/>
      <c r="N64" s="26"/>
      <c r="O64" s="26"/>
      <c r="P64" s="30" t="n">
        <v>8</v>
      </c>
      <c r="Q64" s="26" t="n">
        <f aca="false">P64*J64</f>
        <v>0</v>
      </c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31"/>
      <c r="AC64" s="31"/>
      <c r="AD64" s="31"/>
      <c r="AE64" s="26"/>
      <c r="AF64" s="26"/>
      <c r="AG64" s="26"/>
    </row>
    <row r="65" customFormat="false" ht="15" hidden="false" customHeight="true" outlineLevel="0" collapsed="false">
      <c r="A65" s="24" t="n">
        <v>60</v>
      </c>
      <c r="B65" s="25"/>
      <c r="C65" s="26"/>
      <c r="D65" s="26"/>
      <c r="E65" s="26"/>
      <c r="F65" s="26"/>
      <c r="G65" s="26"/>
      <c r="H65" s="24" t="str">
        <f aca="false">IFERROR(INDEX('Operator Master'!$B$5:$B$504,MATCH(G65,'Operator Master'!$A$5:$A$504,0)),"")</f>
        <v/>
      </c>
      <c r="I65" s="26"/>
      <c r="J65" s="26"/>
      <c r="K65" s="26"/>
      <c r="L65" s="26"/>
      <c r="M65" s="26"/>
      <c r="N65" s="26"/>
      <c r="O65" s="26"/>
      <c r="P65" s="30" t="n">
        <v>8</v>
      </c>
      <c r="Q65" s="26" t="n">
        <f aca="false">P65*J65</f>
        <v>0</v>
      </c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31"/>
      <c r="AC65" s="31"/>
      <c r="AD65" s="31"/>
      <c r="AE65" s="26"/>
      <c r="AF65" s="26"/>
      <c r="AG65" s="26"/>
    </row>
    <row r="66" customFormat="false" ht="15" hidden="false" customHeight="true" outlineLevel="0" collapsed="false">
      <c r="A66" s="24" t="n">
        <v>61</v>
      </c>
      <c r="B66" s="25"/>
      <c r="C66" s="26"/>
      <c r="D66" s="26"/>
      <c r="E66" s="26"/>
      <c r="F66" s="26"/>
      <c r="G66" s="26"/>
      <c r="H66" s="24" t="str">
        <f aca="false">IFERROR(INDEX('Operator Master'!$B$5:$B$504,MATCH(G66,'Operator Master'!$A$5:$A$504,0)),"")</f>
        <v/>
      </c>
      <c r="I66" s="26"/>
      <c r="J66" s="26"/>
      <c r="K66" s="26"/>
      <c r="L66" s="26"/>
      <c r="M66" s="26"/>
      <c r="N66" s="26"/>
      <c r="O66" s="26"/>
      <c r="P66" s="30" t="n">
        <v>8</v>
      </c>
      <c r="Q66" s="26" t="n">
        <f aca="false">P66*J66</f>
        <v>0</v>
      </c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31"/>
      <c r="AC66" s="31"/>
      <c r="AD66" s="31"/>
      <c r="AE66" s="26"/>
      <c r="AF66" s="26"/>
      <c r="AG66" s="26"/>
    </row>
    <row r="67" customFormat="false" ht="15" hidden="false" customHeight="true" outlineLevel="0" collapsed="false">
      <c r="A67" s="24" t="n">
        <v>62</v>
      </c>
      <c r="B67" s="25"/>
      <c r="C67" s="26"/>
      <c r="D67" s="26"/>
      <c r="E67" s="26"/>
      <c r="F67" s="26"/>
      <c r="G67" s="26"/>
      <c r="H67" s="24" t="str">
        <f aca="false">IFERROR(INDEX('Operator Master'!$B$5:$B$504,MATCH(G67,'Operator Master'!$A$5:$A$504,0)),"")</f>
        <v/>
      </c>
      <c r="I67" s="26"/>
      <c r="J67" s="26"/>
      <c r="K67" s="26"/>
      <c r="L67" s="26"/>
      <c r="M67" s="26"/>
      <c r="N67" s="26"/>
      <c r="O67" s="26"/>
      <c r="P67" s="30" t="n">
        <v>8</v>
      </c>
      <c r="Q67" s="26" t="n">
        <f aca="false">P67*J67</f>
        <v>0</v>
      </c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31"/>
      <c r="AC67" s="31"/>
      <c r="AD67" s="31"/>
      <c r="AE67" s="26"/>
      <c r="AF67" s="26"/>
      <c r="AG67" s="26"/>
    </row>
    <row r="68" customFormat="false" ht="15" hidden="false" customHeight="true" outlineLevel="0" collapsed="false">
      <c r="A68" s="24" t="n">
        <v>63</v>
      </c>
      <c r="B68" s="25"/>
      <c r="C68" s="26"/>
      <c r="D68" s="26"/>
      <c r="E68" s="26"/>
      <c r="F68" s="26"/>
      <c r="G68" s="26"/>
      <c r="H68" s="24" t="str">
        <f aca="false">IFERROR(INDEX('Operator Master'!$B$5:$B$504,MATCH(G68,'Operator Master'!$A$5:$A$504,0)),"")</f>
        <v/>
      </c>
      <c r="I68" s="26"/>
      <c r="J68" s="26"/>
      <c r="K68" s="26"/>
      <c r="L68" s="26"/>
      <c r="M68" s="26"/>
      <c r="N68" s="26"/>
      <c r="O68" s="26"/>
      <c r="P68" s="30" t="n">
        <v>8</v>
      </c>
      <c r="Q68" s="26" t="n">
        <f aca="false">P68*J68</f>
        <v>0</v>
      </c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31"/>
      <c r="AC68" s="31"/>
      <c r="AD68" s="31"/>
      <c r="AE68" s="26"/>
      <c r="AF68" s="26"/>
      <c r="AG68" s="26"/>
    </row>
    <row r="69" customFormat="false" ht="15" hidden="false" customHeight="true" outlineLevel="0" collapsed="false">
      <c r="A69" s="24" t="n">
        <v>64</v>
      </c>
      <c r="B69" s="25"/>
      <c r="C69" s="26"/>
      <c r="D69" s="26"/>
      <c r="E69" s="26"/>
      <c r="F69" s="26"/>
      <c r="G69" s="26"/>
      <c r="H69" s="24" t="str">
        <f aca="false">IFERROR(INDEX('Operator Master'!$B$5:$B$504,MATCH(G69,'Operator Master'!$A$5:$A$504,0)),"")</f>
        <v/>
      </c>
      <c r="I69" s="26"/>
      <c r="J69" s="26"/>
      <c r="K69" s="26"/>
      <c r="L69" s="26"/>
      <c r="M69" s="26"/>
      <c r="N69" s="26"/>
      <c r="O69" s="26"/>
      <c r="P69" s="30" t="n">
        <v>8</v>
      </c>
      <c r="Q69" s="26" t="n">
        <f aca="false">P69*J69</f>
        <v>0</v>
      </c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31"/>
      <c r="AC69" s="31"/>
      <c r="AD69" s="31"/>
      <c r="AE69" s="26"/>
      <c r="AF69" s="26"/>
      <c r="AG69" s="26"/>
    </row>
    <row r="70" customFormat="false" ht="15" hidden="false" customHeight="true" outlineLevel="0" collapsed="false">
      <c r="A70" s="24" t="n">
        <v>65</v>
      </c>
      <c r="B70" s="25"/>
      <c r="C70" s="26"/>
      <c r="D70" s="26"/>
      <c r="E70" s="26"/>
      <c r="F70" s="26"/>
      <c r="G70" s="26"/>
      <c r="H70" s="24" t="str">
        <f aca="false">IFERROR(INDEX('Operator Master'!$B$5:$B$504,MATCH(G70,'Operator Master'!$A$5:$A$504,0)),"")</f>
        <v/>
      </c>
      <c r="I70" s="26"/>
      <c r="J70" s="26"/>
      <c r="K70" s="26"/>
      <c r="L70" s="26"/>
      <c r="M70" s="26"/>
      <c r="N70" s="26"/>
      <c r="O70" s="26"/>
      <c r="P70" s="30" t="n">
        <v>8</v>
      </c>
      <c r="Q70" s="26" t="n">
        <f aca="false">P70*J70</f>
        <v>0</v>
      </c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31"/>
      <c r="AC70" s="31"/>
      <c r="AD70" s="31"/>
      <c r="AE70" s="26"/>
      <c r="AF70" s="26"/>
      <c r="AG70" s="26"/>
    </row>
    <row r="71" customFormat="false" ht="15" hidden="false" customHeight="true" outlineLevel="0" collapsed="false">
      <c r="A71" s="24" t="n">
        <v>66</v>
      </c>
      <c r="B71" s="25"/>
      <c r="C71" s="26"/>
      <c r="D71" s="26"/>
      <c r="E71" s="26"/>
      <c r="F71" s="26"/>
      <c r="G71" s="26"/>
      <c r="H71" s="24" t="str">
        <f aca="false">IFERROR(INDEX('Operator Master'!$B$5:$B$504,MATCH(G71,'Operator Master'!$A$5:$A$504,0)),"")</f>
        <v/>
      </c>
      <c r="I71" s="26"/>
      <c r="J71" s="26"/>
      <c r="K71" s="26"/>
      <c r="L71" s="26"/>
      <c r="M71" s="26"/>
      <c r="N71" s="26"/>
      <c r="O71" s="26"/>
      <c r="P71" s="30" t="n">
        <v>8</v>
      </c>
      <c r="Q71" s="26" t="n">
        <f aca="false">P71*J71</f>
        <v>0</v>
      </c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31"/>
      <c r="AC71" s="31"/>
      <c r="AD71" s="31"/>
      <c r="AE71" s="26"/>
      <c r="AF71" s="26"/>
      <c r="AG71" s="26"/>
    </row>
    <row r="72" customFormat="false" ht="15" hidden="false" customHeight="true" outlineLevel="0" collapsed="false">
      <c r="A72" s="24" t="n">
        <v>67</v>
      </c>
      <c r="B72" s="25"/>
      <c r="C72" s="26"/>
      <c r="D72" s="26"/>
      <c r="E72" s="26"/>
      <c r="F72" s="26"/>
      <c r="G72" s="26"/>
      <c r="H72" s="24" t="str">
        <f aca="false">IFERROR(INDEX('Operator Master'!$B$5:$B$504,MATCH(G72,'Operator Master'!$A$5:$A$504,0)),"")</f>
        <v/>
      </c>
      <c r="I72" s="26"/>
      <c r="J72" s="26"/>
      <c r="K72" s="26"/>
      <c r="L72" s="26"/>
      <c r="M72" s="26"/>
      <c r="N72" s="26"/>
      <c r="O72" s="26"/>
      <c r="P72" s="30" t="n">
        <v>8</v>
      </c>
      <c r="Q72" s="26" t="n">
        <f aca="false">P72*J72</f>
        <v>0</v>
      </c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31"/>
      <c r="AC72" s="31"/>
      <c r="AD72" s="31"/>
      <c r="AE72" s="26"/>
      <c r="AF72" s="26"/>
      <c r="AG72" s="26"/>
    </row>
    <row r="73" customFormat="false" ht="15" hidden="false" customHeight="true" outlineLevel="0" collapsed="false">
      <c r="A73" s="24" t="n">
        <v>68</v>
      </c>
      <c r="B73" s="25"/>
      <c r="C73" s="26"/>
      <c r="D73" s="26"/>
      <c r="E73" s="26"/>
      <c r="F73" s="26"/>
      <c r="G73" s="26"/>
      <c r="H73" s="24" t="str">
        <f aca="false">IFERROR(INDEX('Operator Master'!$B$5:$B$504,MATCH(G73,'Operator Master'!$A$5:$A$504,0)),"")</f>
        <v/>
      </c>
      <c r="I73" s="26"/>
      <c r="J73" s="26"/>
      <c r="K73" s="26"/>
      <c r="L73" s="26"/>
      <c r="M73" s="26"/>
      <c r="N73" s="26"/>
      <c r="O73" s="26"/>
      <c r="P73" s="30" t="n">
        <v>8</v>
      </c>
      <c r="Q73" s="26" t="n">
        <f aca="false">P73*J73</f>
        <v>0</v>
      </c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31"/>
      <c r="AC73" s="31"/>
      <c r="AD73" s="31"/>
      <c r="AE73" s="26"/>
      <c r="AF73" s="26"/>
      <c r="AG73" s="26"/>
    </row>
    <row r="74" customFormat="false" ht="15" hidden="false" customHeight="true" outlineLevel="0" collapsed="false">
      <c r="A74" s="24" t="n">
        <v>69</v>
      </c>
      <c r="B74" s="25"/>
      <c r="C74" s="26"/>
      <c r="D74" s="26"/>
      <c r="E74" s="26"/>
      <c r="F74" s="26"/>
      <c r="G74" s="26"/>
      <c r="H74" s="24" t="str">
        <f aca="false">IFERROR(INDEX('Operator Master'!$B$5:$B$504,MATCH(G74,'Operator Master'!$A$5:$A$504,0)),"")</f>
        <v/>
      </c>
      <c r="I74" s="26"/>
      <c r="J74" s="26"/>
      <c r="K74" s="26"/>
      <c r="L74" s="26"/>
      <c r="M74" s="26"/>
      <c r="N74" s="26"/>
      <c r="O74" s="26"/>
      <c r="P74" s="30" t="n">
        <v>8</v>
      </c>
      <c r="Q74" s="26" t="n">
        <f aca="false">P74*J74</f>
        <v>0</v>
      </c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31"/>
      <c r="AC74" s="31"/>
      <c r="AD74" s="31"/>
      <c r="AE74" s="26"/>
      <c r="AF74" s="26"/>
      <c r="AG74" s="26"/>
    </row>
    <row r="75" customFormat="false" ht="15" hidden="false" customHeight="true" outlineLevel="0" collapsed="false">
      <c r="A75" s="24" t="n">
        <v>70</v>
      </c>
      <c r="B75" s="25"/>
      <c r="C75" s="26"/>
      <c r="D75" s="26"/>
      <c r="E75" s="26"/>
      <c r="F75" s="26"/>
      <c r="G75" s="26"/>
      <c r="H75" s="24" t="str">
        <f aca="false">IFERROR(INDEX('Operator Master'!$B$5:$B$504,MATCH(G75,'Operator Master'!$A$5:$A$504,0)),"")</f>
        <v/>
      </c>
      <c r="I75" s="26"/>
      <c r="J75" s="26"/>
      <c r="K75" s="26"/>
      <c r="L75" s="26"/>
      <c r="M75" s="26"/>
      <c r="N75" s="26"/>
      <c r="O75" s="26"/>
      <c r="P75" s="30" t="n">
        <v>8</v>
      </c>
      <c r="Q75" s="26" t="n">
        <f aca="false">P75*J75</f>
        <v>0</v>
      </c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31"/>
      <c r="AC75" s="31"/>
      <c r="AD75" s="31"/>
      <c r="AE75" s="26"/>
      <c r="AF75" s="26"/>
      <c r="AG75" s="26"/>
    </row>
    <row r="76" customFormat="false" ht="15" hidden="false" customHeight="true" outlineLevel="0" collapsed="false">
      <c r="A76" s="24" t="n">
        <v>71</v>
      </c>
      <c r="B76" s="25"/>
      <c r="C76" s="26"/>
      <c r="D76" s="26"/>
      <c r="E76" s="26"/>
      <c r="F76" s="26"/>
      <c r="G76" s="26"/>
      <c r="H76" s="24" t="str">
        <f aca="false">IFERROR(INDEX('Operator Master'!$B$5:$B$504,MATCH(G76,'Operator Master'!$A$5:$A$504,0)),"")</f>
        <v/>
      </c>
      <c r="I76" s="26"/>
      <c r="J76" s="26"/>
      <c r="K76" s="26"/>
      <c r="L76" s="26"/>
      <c r="M76" s="26"/>
      <c r="N76" s="26"/>
      <c r="O76" s="26"/>
      <c r="P76" s="30" t="n">
        <v>8</v>
      </c>
      <c r="Q76" s="26" t="n">
        <f aca="false">P76*J76</f>
        <v>0</v>
      </c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31"/>
      <c r="AC76" s="31"/>
      <c r="AD76" s="31"/>
      <c r="AE76" s="26"/>
      <c r="AF76" s="26"/>
      <c r="AG76" s="26"/>
    </row>
    <row r="77" customFormat="false" ht="15" hidden="false" customHeight="true" outlineLevel="0" collapsed="false">
      <c r="A77" s="24" t="n">
        <v>72</v>
      </c>
      <c r="B77" s="25"/>
      <c r="C77" s="26"/>
      <c r="D77" s="26"/>
      <c r="E77" s="26"/>
      <c r="F77" s="26"/>
      <c r="G77" s="26"/>
      <c r="H77" s="24" t="str">
        <f aca="false">IFERROR(INDEX('Operator Master'!$B$5:$B$504,MATCH(G77,'Operator Master'!$A$5:$A$504,0)),"")</f>
        <v/>
      </c>
      <c r="I77" s="26"/>
      <c r="J77" s="26"/>
      <c r="K77" s="26"/>
      <c r="L77" s="26"/>
      <c r="M77" s="26"/>
      <c r="N77" s="26"/>
      <c r="O77" s="26"/>
      <c r="P77" s="30" t="n">
        <v>8</v>
      </c>
      <c r="Q77" s="26" t="n">
        <f aca="false">P77*J77</f>
        <v>0</v>
      </c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31"/>
      <c r="AC77" s="31"/>
      <c r="AD77" s="31"/>
      <c r="AE77" s="26"/>
      <c r="AF77" s="26"/>
      <c r="AG77" s="26"/>
    </row>
    <row r="78" customFormat="false" ht="15" hidden="false" customHeight="true" outlineLevel="0" collapsed="false">
      <c r="A78" s="24" t="n">
        <v>73</v>
      </c>
      <c r="B78" s="25"/>
      <c r="C78" s="26"/>
      <c r="D78" s="26"/>
      <c r="E78" s="26"/>
      <c r="F78" s="26"/>
      <c r="G78" s="26"/>
      <c r="H78" s="24" t="str">
        <f aca="false">IFERROR(INDEX('Operator Master'!$B$5:$B$504,MATCH(G78,'Operator Master'!$A$5:$A$504,0)),"")</f>
        <v/>
      </c>
      <c r="I78" s="26"/>
      <c r="J78" s="26"/>
      <c r="K78" s="26"/>
      <c r="L78" s="26"/>
      <c r="M78" s="26"/>
      <c r="N78" s="26"/>
      <c r="O78" s="26"/>
      <c r="P78" s="30" t="n">
        <v>8</v>
      </c>
      <c r="Q78" s="26" t="n">
        <f aca="false">P78*J78</f>
        <v>0</v>
      </c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31"/>
      <c r="AC78" s="31"/>
      <c r="AD78" s="31"/>
      <c r="AE78" s="26"/>
      <c r="AF78" s="26"/>
      <c r="AG78" s="26"/>
    </row>
    <row r="79" customFormat="false" ht="15" hidden="false" customHeight="true" outlineLevel="0" collapsed="false">
      <c r="A79" s="24" t="n">
        <v>74</v>
      </c>
      <c r="B79" s="25"/>
      <c r="C79" s="26"/>
      <c r="D79" s="26"/>
      <c r="E79" s="26"/>
      <c r="F79" s="26"/>
      <c r="G79" s="26"/>
      <c r="H79" s="24" t="str">
        <f aca="false">IFERROR(INDEX('Operator Master'!$B$5:$B$504,MATCH(G79,'Operator Master'!$A$5:$A$504,0)),"")</f>
        <v/>
      </c>
      <c r="I79" s="26"/>
      <c r="J79" s="26"/>
      <c r="K79" s="26"/>
      <c r="L79" s="26"/>
      <c r="M79" s="26"/>
      <c r="N79" s="26"/>
      <c r="O79" s="26"/>
      <c r="P79" s="30" t="n">
        <v>8</v>
      </c>
      <c r="Q79" s="26" t="n">
        <f aca="false">P79*J79</f>
        <v>0</v>
      </c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31"/>
      <c r="AC79" s="31"/>
      <c r="AD79" s="31"/>
      <c r="AE79" s="26"/>
      <c r="AF79" s="26"/>
      <c r="AG79" s="26"/>
    </row>
    <row r="80" customFormat="false" ht="15" hidden="false" customHeight="true" outlineLevel="0" collapsed="false">
      <c r="A80" s="24" t="n">
        <v>75</v>
      </c>
      <c r="B80" s="25"/>
      <c r="C80" s="26"/>
      <c r="D80" s="26"/>
      <c r="E80" s="26"/>
      <c r="F80" s="26"/>
      <c r="G80" s="26"/>
      <c r="H80" s="24" t="str">
        <f aca="false">IFERROR(INDEX('Operator Master'!$B$5:$B$504,MATCH(G80,'Operator Master'!$A$5:$A$504,0)),"")</f>
        <v/>
      </c>
      <c r="I80" s="26"/>
      <c r="J80" s="26"/>
      <c r="K80" s="26"/>
      <c r="L80" s="26"/>
      <c r="M80" s="26"/>
      <c r="N80" s="26"/>
      <c r="O80" s="26"/>
      <c r="P80" s="30" t="n">
        <v>8</v>
      </c>
      <c r="Q80" s="26" t="n">
        <f aca="false">P80*J80</f>
        <v>0</v>
      </c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31"/>
      <c r="AC80" s="31"/>
      <c r="AD80" s="31"/>
      <c r="AE80" s="26"/>
      <c r="AF80" s="26"/>
      <c r="AG80" s="26"/>
    </row>
    <row r="81" customFormat="false" ht="15" hidden="false" customHeight="true" outlineLevel="0" collapsed="false">
      <c r="A81" s="24" t="n">
        <v>76</v>
      </c>
      <c r="B81" s="25"/>
      <c r="C81" s="26"/>
      <c r="D81" s="26"/>
      <c r="E81" s="26"/>
      <c r="F81" s="26"/>
      <c r="G81" s="26"/>
      <c r="H81" s="24" t="str">
        <f aca="false">IFERROR(INDEX('Operator Master'!$B$5:$B$504,MATCH(G81,'Operator Master'!$A$5:$A$504,0)),"")</f>
        <v/>
      </c>
      <c r="I81" s="26"/>
      <c r="J81" s="26"/>
      <c r="K81" s="26"/>
      <c r="L81" s="26"/>
      <c r="M81" s="26"/>
      <c r="N81" s="26"/>
      <c r="O81" s="26"/>
      <c r="P81" s="30" t="n">
        <v>8</v>
      </c>
      <c r="Q81" s="26" t="n">
        <f aca="false">P81*J81</f>
        <v>0</v>
      </c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31"/>
      <c r="AC81" s="31"/>
      <c r="AD81" s="31"/>
      <c r="AE81" s="26"/>
      <c r="AF81" s="26"/>
      <c r="AG81" s="26"/>
    </row>
    <row r="82" customFormat="false" ht="15" hidden="false" customHeight="true" outlineLevel="0" collapsed="false">
      <c r="A82" s="24" t="n">
        <v>77</v>
      </c>
      <c r="B82" s="25"/>
      <c r="C82" s="26"/>
      <c r="D82" s="26"/>
      <c r="E82" s="26"/>
      <c r="F82" s="26"/>
      <c r="G82" s="26"/>
      <c r="H82" s="24" t="str">
        <f aca="false">IFERROR(INDEX('Operator Master'!$B$5:$B$504,MATCH(G82,'Operator Master'!$A$5:$A$504,0)),"")</f>
        <v/>
      </c>
      <c r="I82" s="26"/>
      <c r="J82" s="26"/>
      <c r="K82" s="26"/>
      <c r="L82" s="26"/>
      <c r="M82" s="26"/>
      <c r="N82" s="26"/>
      <c r="O82" s="26"/>
      <c r="P82" s="30" t="n">
        <v>8</v>
      </c>
      <c r="Q82" s="26" t="n">
        <f aca="false">P82*J82</f>
        <v>0</v>
      </c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31"/>
      <c r="AC82" s="31"/>
      <c r="AD82" s="31"/>
      <c r="AE82" s="26"/>
      <c r="AF82" s="26"/>
      <c r="AG82" s="26"/>
    </row>
    <row r="83" customFormat="false" ht="15" hidden="false" customHeight="true" outlineLevel="0" collapsed="false">
      <c r="A83" s="24" t="n">
        <v>78</v>
      </c>
      <c r="B83" s="25"/>
      <c r="C83" s="26"/>
      <c r="D83" s="26"/>
      <c r="E83" s="26"/>
      <c r="F83" s="26"/>
      <c r="G83" s="26"/>
      <c r="H83" s="24" t="str">
        <f aca="false">IFERROR(INDEX('Operator Master'!$B$5:$B$504,MATCH(G83,'Operator Master'!$A$5:$A$504,0)),"")</f>
        <v/>
      </c>
      <c r="I83" s="26"/>
      <c r="J83" s="26"/>
      <c r="K83" s="26"/>
      <c r="L83" s="26"/>
      <c r="M83" s="26"/>
      <c r="N83" s="26"/>
      <c r="O83" s="26"/>
      <c r="P83" s="30" t="n">
        <v>8</v>
      </c>
      <c r="Q83" s="26" t="n">
        <f aca="false">P83*J83</f>
        <v>0</v>
      </c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31"/>
      <c r="AC83" s="31"/>
      <c r="AD83" s="31"/>
      <c r="AE83" s="26"/>
      <c r="AF83" s="26"/>
      <c r="AG83" s="26"/>
    </row>
    <row r="84" customFormat="false" ht="15" hidden="false" customHeight="true" outlineLevel="0" collapsed="false">
      <c r="A84" s="24" t="n">
        <v>79</v>
      </c>
      <c r="B84" s="25"/>
      <c r="C84" s="26"/>
      <c r="D84" s="26"/>
      <c r="E84" s="26"/>
      <c r="F84" s="26"/>
      <c r="G84" s="26"/>
      <c r="H84" s="24" t="str">
        <f aca="false">IFERROR(INDEX('Operator Master'!$B$5:$B$504,MATCH(G84,'Operator Master'!$A$5:$A$504,0)),"")</f>
        <v/>
      </c>
      <c r="I84" s="26"/>
      <c r="J84" s="26"/>
      <c r="K84" s="26"/>
      <c r="L84" s="26"/>
      <c r="M84" s="26"/>
      <c r="N84" s="26"/>
      <c r="O84" s="26"/>
      <c r="P84" s="30" t="n">
        <v>8</v>
      </c>
      <c r="Q84" s="26" t="n">
        <f aca="false">P84*J84</f>
        <v>0</v>
      </c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31"/>
      <c r="AC84" s="31"/>
      <c r="AD84" s="31"/>
      <c r="AE84" s="26"/>
      <c r="AF84" s="26"/>
      <c r="AG84" s="26"/>
    </row>
    <row r="85" customFormat="false" ht="15" hidden="false" customHeight="true" outlineLevel="0" collapsed="false">
      <c r="A85" s="24" t="n">
        <v>80</v>
      </c>
      <c r="B85" s="25"/>
      <c r="C85" s="26"/>
      <c r="D85" s="26"/>
      <c r="E85" s="26"/>
      <c r="F85" s="26"/>
      <c r="G85" s="26"/>
      <c r="H85" s="24" t="str">
        <f aca="false">IFERROR(INDEX('Operator Master'!$B$5:$B$504,MATCH(G85,'Operator Master'!$A$5:$A$504,0)),"")</f>
        <v/>
      </c>
      <c r="I85" s="26"/>
      <c r="J85" s="26"/>
      <c r="K85" s="26"/>
      <c r="L85" s="26"/>
      <c r="M85" s="26"/>
      <c r="N85" s="26"/>
      <c r="O85" s="26"/>
      <c r="P85" s="30" t="n">
        <v>8</v>
      </c>
      <c r="Q85" s="26" t="n">
        <f aca="false">P85*J85</f>
        <v>0</v>
      </c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31"/>
      <c r="AC85" s="31"/>
      <c r="AD85" s="31"/>
      <c r="AE85" s="26"/>
      <c r="AF85" s="26"/>
      <c r="AG85" s="26"/>
    </row>
    <row r="86" customFormat="false" ht="15" hidden="false" customHeight="true" outlineLevel="0" collapsed="false">
      <c r="A86" s="24" t="n">
        <v>81</v>
      </c>
      <c r="B86" s="25"/>
      <c r="C86" s="26"/>
      <c r="D86" s="26"/>
      <c r="E86" s="26"/>
      <c r="F86" s="26"/>
      <c r="G86" s="26"/>
      <c r="H86" s="24" t="str">
        <f aca="false">IFERROR(INDEX('Operator Master'!$B$5:$B$504,MATCH(G86,'Operator Master'!$A$5:$A$504,0)),"")</f>
        <v/>
      </c>
      <c r="I86" s="26"/>
      <c r="J86" s="26"/>
      <c r="K86" s="26"/>
      <c r="L86" s="26"/>
      <c r="M86" s="26"/>
      <c r="N86" s="26"/>
      <c r="O86" s="26"/>
      <c r="P86" s="30" t="n">
        <v>8</v>
      </c>
      <c r="Q86" s="26" t="n">
        <f aca="false">P86*J86</f>
        <v>0</v>
      </c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31"/>
      <c r="AC86" s="31"/>
      <c r="AD86" s="31"/>
      <c r="AE86" s="26"/>
      <c r="AF86" s="26"/>
      <c r="AG86" s="26"/>
    </row>
    <row r="87" customFormat="false" ht="15" hidden="false" customHeight="true" outlineLevel="0" collapsed="false">
      <c r="A87" s="24" t="n">
        <v>82</v>
      </c>
      <c r="B87" s="25"/>
      <c r="C87" s="26"/>
      <c r="D87" s="26"/>
      <c r="E87" s="26"/>
      <c r="F87" s="26"/>
      <c r="G87" s="26"/>
      <c r="H87" s="24" t="str">
        <f aca="false">IFERROR(INDEX('Operator Master'!$B$5:$B$504,MATCH(G87,'Operator Master'!$A$5:$A$504,0)),"")</f>
        <v/>
      </c>
      <c r="I87" s="26"/>
      <c r="J87" s="26"/>
      <c r="K87" s="26"/>
      <c r="L87" s="26"/>
      <c r="M87" s="26"/>
      <c r="N87" s="26"/>
      <c r="O87" s="26"/>
      <c r="P87" s="30" t="n">
        <v>8</v>
      </c>
      <c r="Q87" s="26" t="n">
        <f aca="false">P87*J87</f>
        <v>0</v>
      </c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31"/>
      <c r="AC87" s="31"/>
      <c r="AD87" s="31"/>
      <c r="AE87" s="26"/>
      <c r="AF87" s="26"/>
      <c r="AG87" s="26"/>
    </row>
    <row r="88" customFormat="false" ht="15" hidden="false" customHeight="true" outlineLevel="0" collapsed="false">
      <c r="A88" s="24" t="n">
        <v>83</v>
      </c>
      <c r="B88" s="25"/>
      <c r="C88" s="26"/>
      <c r="D88" s="26"/>
      <c r="E88" s="26"/>
      <c r="F88" s="26"/>
      <c r="G88" s="26"/>
      <c r="H88" s="24" t="str">
        <f aca="false">IFERROR(INDEX('Operator Master'!$B$5:$B$504,MATCH(G88,'Operator Master'!$A$5:$A$504,0)),"")</f>
        <v/>
      </c>
      <c r="I88" s="26"/>
      <c r="J88" s="26"/>
      <c r="K88" s="26"/>
      <c r="L88" s="26"/>
      <c r="M88" s="26"/>
      <c r="N88" s="26"/>
      <c r="O88" s="26"/>
      <c r="P88" s="30" t="n">
        <v>8</v>
      </c>
      <c r="Q88" s="26" t="n">
        <f aca="false">P88*J88</f>
        <v>0</v>
      </c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31"/>
      <c r="AC88" s="31"/>
      <c r="AD88" s="31"/>
      <c r="AE88" s="26"/>
      <c r="AF88" s="26"/>
      <c r="AG88" s="26"/>
    </row>
    <row r="89" customFormat="false" ht="15" hidden="false" customHeight="true" outlineLevel="0" collapsed="false">
      <c r="A89" s="24" t="n">
        <v>84</v>
      </c>
      <c r="B89" s="25"/>
      <c r="C89" s="26"/>
      <c r="D89" s="26"/>
      <c r="E89" s="26"/>
      <c r="F89" s="26"/>
      <c r="G89" s="26"/>
      <c r="H89" s="24" t="str">
        <f aca="false">IFERROR(INDEX('Operator Master'!$B$5:$B$504,MATCH(G89,'Operator Master'!$A$5:$A$504,0)),"")</f>
        <v/>
      </c>
      <c r="I89" s="26"/>
      <c r="J89" s="26"/>
      <c r="K89" s="26"/>
      <c r="L89" s="26"/>
      <c r="M89" s="26"/>
      <c r="N89" s="26"/>
      <c r="O89" s="26"/>
      <c r="P89" s="30" t="n">
        <v>8</v>
      </c>
      <c r="Q89" s="26" t="n">
        <f aca="false">P89*J89</f>
        <v>0</v>
      </c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31"/>
      <c r="AC89" s="31"/>
      <c r="AD89" s="31"/>
      <c r="AE89" s="26"/>
      <c r="AF89" s="26"/>
      <c r="AG89" s="26"/>
    </row>
    <row r="90" customFormat="false" ht="15" hidden="false" customHeight="true" outlineLevel="0" collapsed="false">
      <c r="A90" s="24" t="n">
        <v>85</v>
      </c>
      <c r="B90" s="25"/>
      <c r="C90" s="26"/>
      <c r="D90" s="26"/>
      <c r="E90" s="26"/>
      <c r="F90" s="26"/>
      <c r="G90" s="26"/>
      <c r="H90" s="24" t="str">
        <f aca="false">IFERROR(INDEX('Operator Master'!$B$5:$B$504,MATCH(G90,'Operator Master'!$A$5:$A$504,0)),"")</f>
        <v/>
      </c>
      <c r="I90" s="26"/>
      <c r="J90" s="26"/>
      <c r="K90" s="26"/>
      <c r="L90" s="26"/>
      <c r="M90" s="26"/>
      <c r="N90" s="26"/>
      <c r="O90" s="26"/>
      <c r="P90" s="30" t="n">
        <v>8</v>
      </c>
      <c r="Q90" s="26" t="n">
        <f aca="false">P90*J90</f>
        <v>0</v>
      </c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31"/>
      <c r="AC90" s="31"/>
      <c r="AD90" s="31"/>
      <c r="AE90" s="26"/>
      <c r="AF90" s="26"/>
      <c r="AG90" s="26"/>
    </row>
    <row r="91" customFormat="false" ht="15" hidden="false" customHeight="true" outlineLevel="0" collapsed="false">
      <c r="A91" s="24" t="n">
        <v>86</v>
      </c>
      <c r="B91" s="25"/>
      <c r="C91" s="26"/>
      <c r="D91" s="26"/>
      <c r="E91" s="26"/>
      <c r="F91" s="26"/>
      <c r="G91" s="26"/>
      <c r="H91" s="24" t="str">
        <f aca="false">IFERROR(INDEX('Operator Master'!$B$5:$B$504,MATCH(G91,'Operator Master'!$A$5:$A$504,0)),"")</f>
        <v/>
      </c>
      <c r="I91" s="26"/>
      <c r="J91" s="26"/>
      <c r="K91" s="26"/>
      <c r="L91" s="26"/>
      <c r="M91" s="26"/>
      <c r="N91" s="26"/>
      <c r="O91" s="26"/>
      <c r="P91" s="30" t="n">
        <v>8</v>
      </c>
      <c r="Q91" s="26" t="n">
        <f aca="false">P91*J91</f>
        <v>0</v>
      </c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31"/>
      <c r="AC91" s="31"/>
      <c r="AD91" s="31"/>
      <c r="AE91" s="26"/>
      <c r="AF91" s="26"/>
      <c r="AG91" s="26"/>
    </row>
    <row r="92" customFormat="false" ht="15" hidden="false" customHeight="true" outlineLevel="0" collapsed="false">
      <c r="A92" s="24" t="n">
        <v>87</v>
      </c>
      <c r="B92" s="25"/>
      <c r="C92" s="26"/>
      <c r="D92" s="26"/>
      <c r="E92" s="26"/>
      <c r="F92" s="26"/>
      <c r="G92" s="26"/>
      <c r="H92" s="24" t="str">
        <f aca="false">IFERROR(INDEX('Operator Master'!$B$5:$B$504,MATCH(G92,'Operator Master'!$A$5:$A$504,0)),"")</f>
        <v/>
      </c>
      <c r="I92" s="26"/>
      <c r="J92" s="26"/>
      <c r="K92" s="26"/>
      <c r="L92" s="26"/>
      <c r="M92" s="26"/>
      <c r="N92" s="26"/>
      <c r="O92" s="26"/>
      <c r="P92" s="30" t="n">
        <v>8</v>
      </c>
      <c r="Q92" s="26" t="n">
        <f aca="false">P92*J92</f>
        <v>0</v>
      </c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31"/>
      <c r="AC92" s="31"/>
      <c r="AD92" s="31"/>
      <c r="AE92" s="26"/>
      <c r="AF92" s="26"/>
      <c r="AG92" s="26"/>
    </row>
    <row r="93" customFormat="false" ht="15" hidden="false" customHeight="true" outlineLevel="0" collapsed="false">
      <c r="A93" s="24" t="n">
        <v>88</v>
      </c>
      <c r="B93" s="25"/>
      <c r="C93" s="26"/>
      <c r="D93" s="26"/>
      <c r="E93" s="26"/>
      <c r="F93" s="26"/>
      <c r="G93" s="26"/>
      <c r="H93" s="24" t="str">
        <f aca="false">IFERROR(INDEX('Operator Master'!$B$5:$B$504,MATCH(G93,'Operator Master'!$A$5:$A$504,0)),"")</f>
        <v/>
      </c>
      <c r="I93" s="26"/>
      <c r="J93" s="26"/>
      <c r="K93" s="26"/>
      <c r="L93" s="26"/>
      <c r="M93" s="26"/>
      <c r="N93" s="26"/>
      <c r="O93" s="26"/>
      <c r="P93" s="30" t="n">
        <v>8</v>
      </c>
      <c r="Q93" s="26" t="n">
        <f aca="false">P93*J93</f>
        <v>0</v>
      </c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31"/>
      <c r="AC93" s="31"/>
      <c r="AD93" s="31"/>
      <c r="AE93" s="26"/>
      <c r="AF93" s="26"/>
      <c r="AG93" s="26"/>
    </row>
    <row r="94" customFormat="false" ht="15" hidden="false" customHeight="true" outlineLevel="0" collapsed="false">
      <c r="A94" s="24" t="n">
        <v>89</v>
      </c>
      <c r="B94" s="25"/>
      <c r="C94" s="26"/>
      <c r="D94" s="26"/>
      <c r="E94" s="26"/>
      <c r="F94" s="26"/>
      <c r="G94" s="26"/>
      <c r="H94" s="24" t="str">
        <f aca="false">IFERROR(INDEX('Operator Master'!$B$5:$B$504,MATCH(G94,'Operator Master'!$A$5:$A$504,0)),"")</f>
        <v/>
      </c>
      <c r="I94" s="26"/>
      <c r="J94" s="26"/>
      <c r="K94" s="26"/>
      <c r="L94" s="26"/>
      <c r="M94" s="26"/>
      <c r="N94" s="26"/>
      <c r="O94" s="26"/>
      <c r="P94" s="30" t="n">
        <v>8</v>
      </c>
      <c r="Q94" s="26" t="n">
        <f aca="false">P94*J94</f>
        <v>0</v>
      </c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31"/>
      <c r="AC94" s="31"/>
      <c r="AD94" s="31"/>
      <c r="AE94" s="26"/>
      <c r="AF94" s="26"/>
      <c r="AG94" s="26"/>
    </row>
    <row r="95" customFormat="false" ht="15" hidden="false" customHeight="true" outlineLevel="0" collapsed="false">
      <c r="A95" s="24" t="n">
        <v>90</v>
      </c>
      <c r="B95" s="25"/>
      <c r="C95" s="26"/>
      <c r="D95" s="26"/>
      <c r="E95" s="26"/>
      <c r="F95" s="26"/>
      <c r="G95" s="26"/>
      <c r="H95" s="24" t="str">
        <f aca="false">IFERROR(INDEX('Operator Master'!$B$5:$B$504,MATCH(G95,'Operator Master'!$A$5:$A$504,0)),"")</f>
        <v/>
      </c>
      <c r="I95" s="26"/>
      <c r="J95" s="26"/>
      <c r="K95" s="26"/>
      <c r="L95" s="26"/>
      <c r="M95" s="26"/>
      <c r="N95" s="26"/>
      <c r="O95" s="26"/>
      <c r="P95" s="30" t="n">
        <v>8</v>
      </c>
      <c r="Q95" s="26" t="n">
        <f aca="false">P95*J95</f>
        <v>0</v>
      </c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31"/>
      <c r="AC95" s="31"/>
      <c r="AD95" s="31"/>
      <c r="AE95" s="26"/>
      <c r="AF95" s="26"/>
      <c r="AG95" s="26"/>
    </row>
    <row r="96" customFormat="false" ht="15" hidden="false" customHeight="true" outlineLevel="0" collapsed="false">
      <c r="A96" s="24" t="n">
        <v>91</v>
      </c>
      <c r="B96" s="25"/>
      <c r="C96" s="26"/>
      <c r="D96" s="26"/>
      <c r="E96" s="26"/>
      <c r="F96" s="26"/>
      <c r="G96" s="26"/>
      <c r="H96" s="24" t="str">
        <f aca="false">IFERROR(INDEX('Operator Master'!$B$5:$B$504,MATCH(G96,'Operator Master'!$A$5:$A$504,0)),"")</f>
        <v/>
      </c>
      <c r="I96" s="26"/>
      <c r="J96" s="26"/>
      <c r="K96" s="26"/>
      <c r="L96" s="26"/>
      <c r="M96" s="26"/>
      <c r="N96" s="26"/>
      <c r="O96" s="26"/>
      <c r="P96" s="30" t="n">
        <v>8</v>
      </c>
      <c r="Q96" s="26" t="n">
        <f aca="false">P96*J96</f>
        <v>0</v>
      </c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31"/>
      <c r="AC96" s="31"/>
      <c r="AD96" s="31"/>
      <c r="AE96" s="26"/>
      <c r="AF96" s="26"/>
      <c r="AG96" s="26"/>
    </row>
    <row r="97" customFormat="false" ht="15" hidden="false" customHeight="true" outlineLevel="0" collapsed="false">
      <c r="A97" s="24" t="n">
        <v>92</v>
      </c>
      <c r="B97" s="25"/>
      <c r="C97" s="26"/>
      <c r="D97" s="26"/>
      <c r="E97" s="26"/>
      <c r="F97" s="26"/>
      <c r="G97" s="26"/>
      <c r="H97" s="24" t="str">
        <f aca="false">IFERROR(INDEX('Operator Master'!$B$5:$B$504,MATCH(G97,'Operator Master'!$A$5:$A$504,0)),"")</f>
        <v/>
      </c>
      <c r="I97" s="26"/>
      <c r="J97" s="26"/>
      <c r="K97" s="26"/>
      <c r="L97" s="26"/>
      <c r="M97" s="26"/>
      <c r="N97" s="26"/>
      <c r="O97" s="26"/>
      <c r="P97" s="30" t="n">
        <v>8</v>
      </c>
      <c r="Q97" s="26" t="n">
        <f aca="false">P97*J97</f>
        <v>0</v>
      </c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31"/>
      <c r="AC97" s="31"/>
      <c r="AD97" s="31"/>
      <c r="AE97" s="26"/>
      <c r="AF97" s="26"/>
      <c r="AG97" s="26"/>
    </row>
    <row r="98" customFormat="false" ht="15" hidden="false" customHeight="true" outlineLevel="0" collapsed="false">
      <c r="A98" s="24" t="n">
        <v>93</v>
      </c>
      <c r="B98" s="25"/>
      <c r="C98" s="26"/>
      <c r="D98" s="26"/>
      <c r="E98" s="26"/>
      <c r="F98" s="26"/>
      <c r="G98" s="26"/>
      <c r="H98" s="24" t="str">
        <f aca="false">IFERROR(INDEX('Operator Master'!$B$5:$B$504,MATCH(G98,'Operator Master'!$A$5:$A$504,0)),"")</f>
        <v/>
      </c>
      <c r="I98" s="26"/>
      <c r="J98" s="26"/>
      <c r="K98" s="26"/>
      <c r="L98" s="26"/>
      <c r="M98" s="26"/>
      <c r="N98" s="26"/>
      <c r="O98" s="26"/>
      <c r="P98" s="30" t="n">
        <v>8</v>
      </c>
      <c r="Q98" s="26" t="n">
        <f aca="false">P98*J98</f>
        <v>0</v>
      </c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31"/>
      <c r="AC98" s="31"/>
      <c r="AD98" s="31"/>
      <c r="AE98" s="26"/>
      <c r="AF98" s="26"/>
      <c r="AG98" s="26"/>
    </row>
    <row r="99" customFormat="false" ht="15" hidden="false" customHeight="true" outlineLevel="0" collapsed="false">
      <c r="A99" s="24" t="n">
        <v>94</v>
      </c>
      <c r="B99" s="25"/>
      <c r="C99" s="26"/>
      <c r="D99" s="26"/>
      <c r="E99" s="26"/>
      <c r="F99" s="26"/>
      <c r="G99" s="26"/>
      <c r="H99" s="24" t="str">
        <f aca="false">IFERROR(INDEX('Operator Master'!$B$5:$B$504,MATCH(G99,'Operator Master'!$A$5:$A$504,0)),"")</f>
        <v/>
      </c>
      <c r="I99" s="26"/>
      <c r="J99" s="26"/>
      <c r="K99" s="26"/>
      <c r="L99" s="26"/>
      <c r="M99" s="26"/>
      <c r="N99" s="26"/>
      <c r="O99" s="26"/>
      <c r="P99" s="30" t="n">
        <v>8</v>
      </c>
      <c r="Q99" s="26" t="n">
        <f aca="false">P99*J99</f>
        <v>0</v>
      </c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31"/>
      <c r="AC99" s="31"/>
      <c r="AD99" s="31"/>
      <c r="AE99" s="26"/>
      <c r="AF99" s="26"/>
      <c r="AG99" s="26"/>
    </row>
    <row r="100" customFormat="false" ht="15" hidden="false" customHeight="true" outlineLevel="0" collapsed="false">
      <c r="A100" s="24" t="n">
        <v>95</v>
      </c>
      <c r="B100" s="25"/>
      <c r="C100" s="26"/>
      <c r="D100" s="26"/>
      <c r="E100" s="26"/>
      <c r="F100" s="26"/>
      <c r="G100" s="26"/>
      <c r="H100" s="24" t="str">
        <f aca="false">IFERROR(INDEX('Operator Master'!$B$5:$B$504,MATCH(G100,'Operator Master'!$A$5:$A$504,0)),"")</f>
        <v/>
      </c>
      <c r="I100" s="26"/>
      <c r="J100" s="26"/>
      <c r="K100" s="26"/>
      <c r="L100" s="26"/>
      <c r="M100" s="26"/>
      <c r="N100" s="26"/>
      <c r="O100" s="26"/>
      <c r="P100" s="30" t="n">
        <v>8</v>
      </c>
      <c r="Q100" s="26" t="n">
        <f aca="false">P100*J100</f>
        <v>0</v>
      </c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31"/>
      <c r="AC100" s="31"/>
      <c r="AD100" s="31"/>
      <c r="AE100" s="26"/>
      <c r="AF100" s="26"/>
      <c r="AG100" s="26"/>
    </row>
    <row r="101" customFormat="false" ht="15" hidden="false" customHeight="true" outlineLevel="0" collapsed="false">
      <c r="A101" s="24" t="n">
        <v>96</v>
      </c>
      <c r="B101" s="25"/>
      <c r="C101" s="26"/>
      <c r="D101" s="26"/>
      <c r="E101" s="26"/>
      <c r="F101" s="26"/>
      <c r="G101" s="26"/>
      <c r="H101" s="24" t="str">
        <f aca="false">IFERROR(INDEX('Operator Master'!$B$5:$B$504,MATCH(G101,'Operator Master'!$A$5:$A$504,0)),"")</f>
        <v/>
      </c>
      <c r="I101" s="26"/>
      <c r="J101" s="26"/>
      <c r="K101" s="26"/>
      <c r="L101" s="26"/>
      <c r="M101" s="26"/>
      <c r="N101" s="26"/>
      <c r="O101" s="26"/>
      <c r="P101" s="30" t="n">
        <v>8</v>
      </c>
      <c r="Q101" s="26" t="n">
        <f aca="false">P101*J101</f>
        <v>0</v>
      </c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31"/>
      <c r="AC101" s="31"/>
      <c r="AD101" s="31"/>
      <c r="AE101" s="26"/>
      <c r="AF101" s="26"/>
      <c r="AG101" s="26"/>
    </row>
    <row r="102" customFormat="false" ht="15" hidden="false" customHeight="true" outlineLevel="0" collapsed="false">
      <c r="A102" s="24" t="n">
        <v>97</v>
      </c>
      <c r="B102" s="25"/>
      <c r="C102" s="26"/>
      <c r="D102" s="26"/>
      <c r="E102" s="26"/>
      <c r="F102" s="26"/>
      <c r="G102" s="26"/>
      <c r="H102" s="24" t="str">
        <f aca="false">IFERROR(INDEX('Operator Master'!$B$5:$B$504,MATCH(G102,'Operator Master'!$A$5:$A$504,0)),"")</f>
        <v/>
      </c>
      <c r="I102" s="26"/>
      <c r="J102" s="26"/>
      <c r="K102" s="26"/>
      <c r="L102" s="26"/>
      <c r="M102" s="26"/>
      <c r="N102" s="26"/>
      <c r="O102" s="26"/>
      <c r="P102" s="30" t="n">
        <v>8</v>
      </c>
      <c r="Q102" s="26" t="n">
        <f aca="false">P102*J102</f>
        <v>0</v>
      </c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31"/>
      <c r="AC102" s="31"/>
      <c r="AD102" s="31"/>
      <c r="AE102" s="26"/>
      <c r="AF102" s="26"/>
      <c r="AG102" s="26"/>
    </row>
    <row r="103" customFormat="false" ht="15" hidden="false" customHeight="true" outlineLevel="0" collapsed="false">
      <c r="A103" s="24" t="n">
        <v>98</v>
      </c>
      <c r="B103" s="25"/>
      <c r="C103" s="26"/>
      <c r="D103" s="26"/>
      <c r="E103" s="26"/>
      <c r="F103" s="26"/>
      <c r="G103" s="26"/>
      <c r="H103" s="24" t="str">
        <f aca="false">IFERROR(INDEX('Operator Master'!$B$5:$B$504,MATCH(G103,'Operator Master'!$A$5:$A$504,0)),"")</f>
        <v/>
      </c>
      <c r="I103" s="26"/>
      <c r="J103" s="26"/>
      <c r="K103" s="26"/>
      <c r="L103" s="26"/>
      <c r="M103" s="26"/>
      <c r="N103" s="26"/>
      <c r="O103" s="26"/>
      <c r="P103" s="30" t="n">
        <v>8</v>
      </c>
      <c r="Q103" s="26" t="n">
        <f aca="false">P103*J103</f>
        <v>0</v>
      </c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31"/>
      <c r="AC103" s="31"/>
      <c r="AD103" s="31"/>
      <c r="AE103" s="26"/>
      <c r="AF103" s="26"/>
      <c r="AG103" s="26"/>
    </row>
    <row r="104" customFormat="false" ht="15" hidden="false" customHeight="true" outlineLevel="0" collapsed="false">
      <c r="A104" s="24" t="n">
        <v>99</v>
      </c>
      <c r="B104" s="25"/>
      <c r="C104" s="26"/>
      <c r="D104" s="26"/>
      <c r="E104" s="26"/>
      <c r="F104" s="26"/>
      <c r="G104" s="26"/>
      <c r="H104" s="24" t="str">
        <f aca="false">IFERROR(INDEX('Operator Master'!$B$5:$B$504,MATCH(G104,'Operator Master'!$A$5:$A$504,0)),"")</f>
        <v/>
      </c>
      <c r="I104" s="26"/>
      <c r="J104" s="26"/>
      <c r="K104" s="26"/>
      <c r="L104" s="26"/>
      <c r="M104" s="26"/>
      <c r="N104" s="26"/>
      <c r="O104" s="26"/>
      <c r="P104" s="30" t="n">
        <v>8</v>
      </c>
      <c r="Q104" s="26" t="n">
        <f aca="false">P104*J104</f>
        <v>0</v>
      </c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31"/>
      <c r="AC104" s="31"/>
      <c r="AD104" s="31"/>
      <c r="AE104" s="26"/>
      <c r="AF104" s="26"/>
      <c r="AG104" s="26"/>
    </row>
    <row r="105" customFormat="false" ht="15" hidden="false" customHeight="true" outlineLevel="0" collapsed="false">
      <c r="A105" s="24" t="n">
        <v>100</v>
      </c>
      <c r="B105" s="25"/>
      <c r="C105" s="26"/>
      <c r="D105" s="26"/>
      <c r="E105" s="26"/>
      <c r="F105" s="26"/>
      <c r="G105" s="26"/>
      <c r="H105" s="24" t="str">
        <f aca="false">IFERROR(INDEX('Operator Master'!$B$5:$B$504,MATCH(G105,'Operator Master'!$A$5:$A$504,0)),"")</f>
        <v/>
      </c>
      <c r="I105" s="26"/>
      <c r="J105" s="26"/>
      <c r="K105" s="26"/>
      <c r="L105" s="26"/>
      <c r="M105" s="26"/>
      <c r="N105" s="26"/>
      <c r="O105" s="26"/>
      <c r="P105" s="30" t="n">
        <v>8</v>
      </c>
      <c r="Q105" s="26" t="n">
        <f aca="false">P105*J105</f>
        <v>0</v>
      </c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31"/>
      <c r="AC105" s="31"/>
      <c r="AD105" s="31"/>
      <c r="AE105" s="26"/>
      <c r="AF105" s="26"/>
      <c r="AG105" s="26"/>
    </row>
    <row r="106" customFormat="false" ht="15" hidden="false" customHeight="true" outlineLevel="0" collapsed="false">
      <c r="A106" s="24" t="n">
        <v>101</v>
      </c>
      <c r="B106" s="25"/>
      <c r="C106" s="26"/>
      <c r="D106" s="26"/>
      <c r="E106" s="26"/>
      <c r="F106" s="26"/>
      <c r="G106" s="26"/>
      <c r="H106" s="24" t="str">
        <f aca="false">IFERROR(INDEX('Operator Master'!$B$5:$B$504,MATCH(G106,'Operator Master'!$A$5:$A$504,0)),"")</f>
        <v/>
      </c>
      <c r="I106" s="26"/>
      <c r="J106" s="26"/>
      <c r="K106" s="26"/>
      <c r="L106" s="26"/>
      <c r="M106" s="26"/>
      <c r="N106" s="26"/>
      <c r="O106" s="26"/>
      <c r="P106" s="30" t="n">
        <v>8</v>
      </c>
      <c r="Q106" s="26" t="n">
        <f aca="false">P106*J106</f>
        <v>0</v>
      </c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31"/>
      <c r="AC106" s="31"/>
      <c r="AD106" s="31"/>
      <c r="AE106" s="26"/>
      <c r="AF106" s="26"/>
      <c r="AG106" s="26"/>
    </row>
    <row r="107" customFormat="false" ht="15" hidden="false" customHeight="true" outlineLevel="0" collapsed="false">
      <c r="A107" s="24" t="n">
        <v>102</v>
      </c>
      <c r="B107" s="25"/>
      <c r="C107" s="26"/>
      <c r="D107" s="26"/>
      <c r="E107" s="26"/>
      <c r="F107" s="26"/>
      <c r="G107" s="26"/>
      <c r="H107" s="24" t="str">
        <f aca="false">IFERROR(INDEX('Operator Master'!$B$5:$B$504,MATCH(G107,'Operator Master'!$A$5:$A$504,0)),"")</f>
        <v/>
      </c>
      <c r="I107" s="26"/>
      <c r="J107" s="26"/>
      <c r="K107" s="26"/>
      <c r="L107" s="26"/>
      <c r="M107" s="26"/>
      <c r="N107" s="26"/>
      <c r="O107" s="26"/>
      <c r="P107" s="30" t="n">
        <v>8</v>
      </c>
      <c r="Q107" s="26" t="n">
        <f aca="false">P107*J107</f>
        <v>0</v>
      </c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31"/>
      <c r="AC107" s="31"/>
      <c r="AD107" s="31"/>
      <c r="AE107" s="26"/>
      <c r="AF107" s="26"/>
      <c r="AG107" s="26"/>
    </row>
    <row r="108" customFormat="false" ht="15" hidden="false" customHeight="true" outlineLevel="0" collapsed="false">
      <c r="A108" s="24" t="n">
        <v>103</v>
      </c>
      <c r="B108" s="25"/>
      <c r="C108" s="26"/>
      <c r="D108" s="26"/>
      <c r="E108" s="26"/>
      <c r="F108" s="26"/>
      <c r="G108" s="26"/>
      <c r="H108" s="24" t="str">
        <f aca="false">IFERROR(INDEX('Operator Master'!$B$5:$B$504,MATCH(G108,'Operator Master'!$A$5:$A$504,0)),"")</f>
        <v/>
      </c>
      <c r="I108" s="26"/>
      <c r="J108" s="26"/>
      <c r="K108" s="26"/>
      <c r="L108" s="26"/>
      <c r="M108" s="26"/>
      <c r="N108" s="26"/>
      <c r="O108" s="26"/>
      <c r="P108" s="30" t="n">
        <v>8</v>
      </c>
      <c r="Q108" s="26" t="n">
        <f aca="false">P108*J108</f>
        <v>0</v>
      </c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31"/>
      <c r="AC108" s="31"/>
      <c r="AD108" s="31"/>
      <c r="AE108" s="26"/>
      <c r="AF108" s="26"/>
      <c r="AG108" s="26"/>
    </row>
    <row r="109" customFormat="false" ht="15" hidden="false" customHeight="true" outlineLevel="0" collapsed="false">
      <c r="A109" s="24" t="n">
        <v>104</v>
      </c>
      <c r="B109" s="25"/>
      <c r="C109" s="26"/>
      <c r="D109" s="26"/>
      <c r="E109" s="26"/>
      <c r="F109" s="26"/>
      <c r="G109" s="26"/>
      <c r="H109" s="24" t="str">
        <f aca="false">IFERROR(INDEX('Operator Master'!$B$5:$B$504,MATCH(G109,'Operator Master'!$A$5:$A$504,0)),"")</f>
        <v/>
      </c>
      <c r="I109" s="26"/>
      <c r="J109" s="26"/>
      <c r="K109" s="26"/>
      <c r="L109" s="26"/>
      <c r="M109" s="26"/>
      <c r="N109" s="26"/>
      <c r="O109" s="26"/>
      <c r="P109" s="30" t="n">
        <v>8</v>
      </c>
      <c r="Q109" s="26" t="n">
        <f aca="false">P109*J109</f>
        <v>0</v>
      </c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31"/>
      <c r="AC109" s="31"/>
      <c r="AD109" s="31"/>
      <c r="AE109" s="26"/>
      <c r="AF109" s="26"/>
      <c r="AG109" s="26"/>
    </row>
    <row r="110" customFormat="false" ht="15" hidden="false" customHeight="true" outlineLevel="0" collapsed="false">
      <c r="A110" s="24" t="n">
        <v>105</v>
      </c>
      <c r="B110" s="25"/>
      <c r="C110" s="26"/>
      <c r="D110" s="26"/>
      <c r="E110" s="26"/>
      <c r="F110" s="26"/>
      <c r="G110" s="26"/>
      <c r="H110" s="24" t="str">
        <f aca="false">IFERROR(INDEX('Operator Master'!$B$5:$B$504,MATCH(G110,'Operator Master'!$A$5:$A$504,0)),"")</f>
        <v/>
      </c>
      <c r="I110" s="26"/>
      <c r="J110" s="26"/>
      <c r="K110" s="26"/>
      <c r="L110" s="26"/>
      <c r="M110" s="26"/>
      <c r="N110" s="26"/>
      <c r="O110" s="26"/>
      <c r="P110" s="30" t="n">
        <v>8</v>
      </c>
      <c r="Q110" s="26" t="n">
        <f aca="false">P110*J110</f>
        <v>0</v>
      </c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31"/>
      <c r="AC110" s="31"/>
      <c r="AD110" s="31"/>
      <c r="AE110" s="26"/>
      <c r="AF110" s="26"/>
      <c r="AG110" s="26"/>
    </row>
    <row r="111" customFormat="false" ht="15" hidden="false" customHeight="true" outlineLevel="0" collapsed="false">
      <c r="A111" s="24" t="n">
        <v>106</v>
      </c>
      <c r="B111" s="25"/>
      <c r="C111" s="26"/>
      <c r="D111" s="26"/>
      <c r="E111" s="26"/>
      <c r="F111" s="26"/>
      <c r="G111" s="26"/>
      <c r="H111" s="24" t="str">
        <f aca="false">IFERROR(INDEX('Operator Master'!$B$5:$B$504,MATCH(G111,'Operator Master'!$A$5:$A$504,0)),"")</f>
        <v/>
      </c>
      <c r="I111" s="26"/>
      <c r="J111" s="26"/>
      <c r="K111" s="26"/>
      <c r="L111" s="26"/>
      <c r="M111" s="26"/>
      <c r="N111" s="26"/>
      <c r="O111" s="26"/>
      <c r="P111" s="30" t="n">
        <v>8</v>
      </c>
      <c r="Q111" s="26" t="n">
        <f aca="false">P111*J111</f>
        <v>0</v>
      </c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31"/>
      <c r="AC111" s="31"/>
      <c r="AD111" s="31"/>
      <c r="AE111" s="26"/>
      <c r="AF111" s="26"/>
      <c r="AG111" s="26"/>
    </row>
    <row r="112" customFormat="false" ht="15" hidden="false" customHeight="true" outlineLevel="0" collapsed="false">
      <c r="A112" s="24" t="n">
        <v>107</v>
      </c>
      <c r="B112" s="25"/>
      <c r="C112" s="26"/>
      <c r="D112" s="26"/>
      <c r="E112" s="26"/>
      <c r="F112" s="26"/>
      <c r="G112" s="26"/>
      <c r="H112" s="24" t="str">
        <f aca="false">IFERROR(INDEX('Operator Master'!$B$5:$B$504,MATCH(G112,'Operator Master'!$A$5:$A$504,0)),"")</f>
        <v/>
      </c>
      <c r="I112" s="26"/>
      <c r="J112" s="26"/>
      <c r="K112" s="26"/>
      <c r="L112" s="26"/>
      <c r="M112" s="26"/>
      <c r="N112" s="26"/>
      <c r="O112" s="26"/>
      <c r="P112" s="30" t="n">
        <v>8</v>
      </c>
      <c r="Q112" s="26" t="n">
        <f aca="false">P112*J112</f>
        <v>0</v>
      </c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31"/>
      <c r="AC112" s="31"/>
      <c r="AD112" s="31"/>
      <c r="AE112" s="26"/>
      <c r="AF112" s="26"/>
      <c r="AG112" s="26"/>
    </row>
    <row r="113" customFormat="false" ht="15" hidden="false" customHeight="true" outlineLevel="0" collapsed="false">
      <c r="A113" s="24" t="n">
        <v>108</v>
      </c>
      <c r="B113" s="25"/>
      <c r="C113" s="26"/>
      <c r="D113" s="26"/>
      <c r="E113" s="26"/>
      <c r="F113" s="26"/>
      <c r="G113" s="26"/>
      <c r="H113" s="24" t="str">
        <f aca="false">IFERROR(INDEX('Operator Master'!$B$5:$B$504,MATCH(G113,'Operator Master'!$A$5:$A$504,0)),"")</f>
        <v/>
      </c>
      <c r="I113" s="26"/>
      <c r="J113" s="26"/>
      <c r="K113" s="26"/>
      <c r="L113" s="26"/>
      <c r="M113" s="26"/>
      <c r="N113" s="26"/>
      <c r="O113" s="26"/>
      <c r="P113" s="30" t="n">
        <v>8</v>
      </c>
      <c r="Q113" s="26" t="n">
        <f aca="false">P113*J113</f>
        <v>0</v>
      </c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31"/>
      <c r="AC113" s="31"/>
      <c r="AD113" s="31"/>
      <c r="AE113" s="26"/>
      <c r="AF113" s="26"/>
      <c r="AG113" s="26"/>
    </row>
    <row r="114" customFormat="false" ht="15" hidden="false" customHeight="true" outlineLevel="0" collapsed="false">
      <c r="A114" s="24" t="n">
        <v>109</v>
      </c>
      <c r="B114" s="25"/>
      <c r="C114" s="26"/>
      <c r="D114" s="26"/>
      <c r="E114" s="26"/>
      <c r="F114" s="26"/>
      <c r="G114" s="26"/>
      <c r="H114" s="24" t="str">
        <f aca="false">IFERROR(INDEX('Operator Master'!$B$5:$B$504,MATCH(G114,'Operator Master'!$A$5:$A$504,0)),"")</f>
        <v/>
      </c>
      <c r="I114" s="26"/>
      <c r="J114" s="26"/>
      <c r="K114" s="26"/>
      <c r="L114" s="26"/>
      <c r="M114" s="26"/>
      <c r="N114" s="26"/>
      <c r="O114" s="26"/>
      <c r="P114" s="30" t="n">
        <v>8</v>
      </c>
      <c r="Q114" s="26" t="n">
        <f aca="false">P114*J114</f>
        <v>0</v>
      </c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31"/>
      <c r="AC114" s="31"/>
      <c r="AD114" s="31"/>
      <c r="AE114" s="26"/>
      <c r="AF114" s="26"/>
      <c r="AG114" s="26"/>
    </row>
    <row r="115" customFormat="false" ht="15" hidden="false" customHeight="true" outlineLevel="0" collapsed="false">
      <c r="A115" s="24" t="n">
        <v>110</v>
      </c>
      <c r="B115" s="25"/>
      <c r="C115" s="26"/>
      <c r="D115" s="26"/>
      <c r="E115" s="26"/>
      <c r="F115" s="26"/>
      <c r="G115" s="26"/>
      <c r="H115" s="24" t="str">
        <f aca="false">IFERROR(INDEX('Operator Master'!$B$5:$B$504,MATCH(G115,'Operator Master'!$A$5:$A$504,0)),"")</f>
        <v/>
      </c>
      <c r="I115" s="26"/>
      <c r="J115" s="26"/>
      <c r="K115" s="26"/>
      <c r="L115" s="26"/>
      <c r="M115" s="26"/>
      <c r="N115" s="26"/>
      <c r="O115" s="26"/>
      <c r="P115" s="30" t="n">
        <v>8</v>
      </c>
      <c r="Q115" s="26" t="n">
        <f aca="false">P115*J115</f>
        <v>0</v>
      </c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31"/>
      <c r="AC115" s="31"/>
      <c r="AD115" s="31"/>
      <c r="AE115" s="26"/>
      <c r="AF115" s="26"/>
      <c r="AG115" s="26"/>
    </row>
    <row r="116" customFormat="false" ht="15" hidden="false" customHeight="true" outlineLevel="0" collapsed="false">
      <c r="A116" s="24" t="n">
        <v>111</v>
      </c>
      <c r="B116" s="25"/>
      <c r="C116" s="26"/>
      <c r="D116" s="26"/>
      <c r="E116" s="26"/>
      <c r="F116" s="26"/>
      <c r="G116" s="26"/>
      <c r="H116" s="24" t="str">
        <f aca="false">IFERROR(INDEX('Operator Master'!$B$5:$B$504,MATCH(G116,'Operator Master'!$A$5:$A$504,0)),"")</f>
        <v/>
      </c>
      <c r="I116" s="26"/>
      <c r="J116" s="26"/>
      <c r="K116" s="26"/>
      <c r="L116" s="26"/>
      <c r="M116" s="26"/>
      <c r="N116" s="26"/>
      <c r="O116" s="26"/>
      <c r="P116" s="30" t="n">
        <v>8</v>
      </c>
      <c r="Q116" s="26" t="n">
        <f aca="false">P116*J116</f>
        <v>0</v>
      </c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31"/>
      <c r="AC116" s="31"/>
      <c r="AD116" s="31"/>
      <c r="AE116" s="26"/>
      <c r="AF116" s="26"/>
      <c r="AG116" s="26"/>
    </row>
    <row r="117" customFormat="false" ht="15" hidden="false" customHeight="true" outlineLevel="0" collapsed="false">
      <c r="A117" s="24" t="n">
        <v>112</v>
      </c>
      <c r="B117" s="25"/>
      <c r="C117" s="26"/>
      <c r="D117" s="26"/>
      <c r="E117" s="26"/>
      <c r="F117" s="26"/>
      <c r="G117" s="26"/>
      <c r="H117" s="24" t="str">
        <f aca="false">IFERROR(INDEX('Operator Master'!$B$5:$B$504,MATCH(G117,'Operator Master'!$A$5:$A$504,0)),"")</f>
        <v/>
      </c>
      <c r="I117" s="26"/>
      <c r="J117" s="26"/>
      <c r="K117" s="26"/>
      <c r="L117" s="26"/>
      <c r="M117" s="26"/>
      <c r="N117" s="26"/>
      <c r="O117" s="26"/>
      <c r="P117" s="30" t="n">
        <v>8</v>
      </c>
      <c r="Q117" s="26" t="n">
        <f aca="false">P117*J117</f>
        <v>0</v>
      </c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31"/>
      <c r="AC117" s="31"/>
      <c r="AD117" s="31"/>
      <c r="AE117" s="26"/>
      <c r="AF117" s="26"/>
      <c r="AG117" s="26"/>
    </row>
    <row r="118" customFormat="false" ht="15" hidden="false" customHeight="true" outlineLevel="0" collapsed="false">
      <c r="A118" s="24" t="n">
        <v>113</v>
      </c>
      <c r="B118" s="25"/>
      <c r="C118" s="26"/>
      <c r="D118" s="26"/>
      <c r="E118" s="26"/>
      <c r="F118" s="26"/>
      <c r="G118" s="26"/>
      <c r="H118" s="24" t="str">
        <f aca="false">IFERROR(INDEX('Operator Master'!$B$5:$B$504,MATCH(G118,'Operator Master'!$A$5:$A$504,0)),"")</f>
        <v/>
      </c>
      <c r="I118" s="26"/>
      <c r="J118" s="26"/>
      <c r="K118" s="26"/>
      <c r="L118" s="26"/>
      <c r="M118" s="26"/>
      <c r="N118" s="26"/>
      <c r="O118" s="26"/>
      <c r="P118" s="30" t="n">
        <v>8</v>
      </c>
      <c r="Q118" s="26" t="n">
        <f aca="false">P118*J118</f>
        <v>0</v>
      </c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31"/>
      <c r="AC118" s="31"/>
      <c r="AD118" s="31"/>
      <c r="AE118" s="26"/>
      <c r="AF118" s="26"/>
      <c r="AG118" s="26"/>
    </row>
    <row r="119" customFormat="false" ht="15" hidden="false" customHeight="true" outlineLevel="0" collapsed="false">
      <c r="A119" s="24" t="n">
        <v>114</v>
      </c>
      <c r="B119" s="25"/>
      <c r="C119" s="26"/>
      <c r="D119" s="26"/>
      <c r="E119" s="26"/>
      <c r="F119" s="26"/>
      <c r="G119" s="26"/>
      <c r="H119" s="24" t="str">
        <f aca="false">IFERROR(INDEX('Operator Master'!$B$5:$B$504,MATCH(G119,'Operator Master'!$A$5:$A$504,0)),"")</f>
        <v/>
      </c>
      <c r="I119" s="26"/>
      <c r="J119" s="26"/>
      <c r="K119" s="26"/>
      <c r="L119" s="26"/>
      <c r="M119" s="26"/>
      <c r="N119" s="26"/>
      <c r="O119" s="26"/>
      <c r="P119" s="30" t="n">
        <v>8</v>
      </c>
      <c r="Q119" s="26" t="n">
        <f aca="false">P119*J119</f>
        <v>0</v>
      </c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31"/>
      <c r="AC119" s="31"/>
      <c r="AD119" s="31"/>
      <c r="AE119" s="26"/>
      <c r="AF119" s="26"/>
      <c r="AG119" s="26"/>
    </row>
    <row r="120" customFormat="false" ht="15" hidden="false" customHeight="true" outlineLevel="0" collapsed="false">
      <c r="A120" s="24" t="n">
        <v>115</v>
      </c>
      <c r="B120" s="25"/>
      <c r="C120" s="26"/>
      <c r="D120" s="26"/>
      <c r="E120" s="26"/>
      <c r="F120" s="26"/>
      <c r="G120" s="26"/>
      <c r="H120" s="24" t="str">
        <f aca="false">IFERROR(INDEX('Operator Master'!$B$5:$B$504,MATCH(G120,'Operator Master'!$A$5:$A$504,0)),"")</f>
        <v/>
      </c>
      <c r="I120" s="26"/>
      <c r="J120" s="26"/>
      <c r="K120" s="26"/>
      <c r="L120" s="26"/>
      <c r="M120" s="26"/>
      <c r="N120" s="26"/>
      <c r="O120" s="26"/>
      <c r="P120" s="30" t="n">
        <v>8</v>
      </c>
      <c r="Q120" s="26" t="n">
        <f aca="false">P120*J120</f>
        <v>0</v>
      </c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31"/>
      <c r="AC120" s="31"/>
      <c r="AD120" s="31"/>
      <c r="AE120" s="26"/>
      <c r="AF120" s="26"/>
      <c r="AG120" s="26"/>
    </row>
    <row r="121" customFormat="false" ht="15" hidden="false" customHeight="true" outlineLevel="0" collapsed="false">
      <c r="A121" s="24" t="n">
        <v>116</v>
      </c>
      <c r="B121" s="25"/>
      <c r="C121" s="26"/>
      <c r="D121" s="26"/>
      <c r="E121" s="26"/>
      <c r="F121" s="26"/>
      <c r="G121" s="26"/>
      <c r="H121" s="24" t="str">
        <f aca="false">IFERROR(INDEX('Operator Master'!$B$5:$B$504,MATCH(G121,'Operator Master'!$A$5:$A$504,0)),"")</f>
        <v/>
      </c>
      <c r="I121" s="26"/>
      <c r="J121" s="26"/>
      <c r="K121" s="26"/>
      <c r="L121" s="26"/>
      <c r="M121" s="26"/>
      <c r="N121" s="26"/>
      <c r="O121" s="26"/>
      <c r="P121" s="30" t="n">
        <v>8</v>
      </c>
      <c r="Q121" s="26" t="n">
        <f aca="false">P121*J121</f>
        <v>0</v>
      </c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31"/>
      <c r="AC121" s="31"/>
      <c r="AD121" s="31"/>
      <c r="AE121" s="26"/>
      <c r="AF121" s="26"/>
      <c r="AG121" s="26"/>
    </row>
    <row r="122" customFormat="false" ht="15" hidden="false" customHeight="true" outlineLevel="0" collapsed="false">
      <c r="A122" s="24" t="n">
        <v>117</v>
      </c>
      <c r="B122" s="25"/>
      <c r="C122" s="26"/>
      <c r="D122" s="26"/>
      <c r="E122" s="26"/>
      <c r="F122" s="26"/>
      <c r="G122" s="26"/>
      <c r="H122" s="24" t="str">
        <f aca="false">IFERROR(INDEX('Operator Master'!$B$5:$B$504,MATCH(G122,'Operator Master'!$A$5:$A$504,0)),"")</f>
        <v/>
      </c>
      <c r="I122" s="26"/>
      <c r="J122" s="26"/>
      <c r="K122" s="26"/>
      <c r="L122" s="26"/>
      <c r="M122" s="26"/>
      <c r="N122" s="26"/>
      <c r="O122" s="26"/>
      <c r="P122" s="30" t="n">
        <v>8</v>
      </c>
      <c r="Q122" s="26" t="n">
        <f aca="false">P122*J122</f>
        <v>0</v>
      </c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31"/>
      <c r="AC122" s="31"/>
      <c r="AD122" s="31"/>
      <c r="AE122" s="26"/>
      <c r="AF122" s="26"/>
      <c r="AG122" s="26"/>
    </row>
    <row r="123" customFormat="false" ht="15" hidden="false" customHeight="true" outlineLevel="0" collapsed="false">
      <c r="A123" s="24" t="n">
        <v>118</v>
      </c>
      <c r="B123" s="25"/>
      <c r="C123" s="26"/>
      <c r="D123" s="26"/>
      <c r="E123" s="26"/>
      <c r="F123" s="26"/>
      <c r="G123" s="26"/>
      <c r="H123" s="24" t="str">
        <f aca="false">IFERROR(INDEX('Operator Master'!$B$5:$B$504,MATCH(G123,'Operator Master'!$A$5:$A$504,0)),"")</f>
        <v/>
      </c>
      <c r="I123" s="26"/>
      <c r="J123" s="26"/>
      <c r="K123" s="26"/>
      <c r="L123" s="26"/>
      <c r="M123" s="26"/>
      <c r="N123" s="26"/>
      <c r="O123" s="26"/>
      <c r="P123" s="30" t="n">
        <v>8</v>
      </c>
      <c r="Q123" s="26" t="n">
        <f aca="false">P123*J123</f>
        <v>0</v>
      </c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31"/>
      <c r="AC123" s="31"/>
      <c r="AD123" s="31"/>
      <c r="AE123" s="26"/>
      <c r="AF123" s="26"/>
      <c r="AG123" s="26"/>
    </row>
    <row r="124" customFormat="false" ht="15" hidden="false" customHeight="true" outlineLevel="0" collapsed="false">
      <c r="A124" s="24" t="n">
        <v>119</v>
      </c>
      <c r="B124" s="25"/>
      <c r="C124" s="26"/>
      <c r="D124" s="26"/>
      <c r="E124" s="26"/>
      <c r="F124" s="26"/>
      <c r="G124" s="26"/>
      <c r="H124" s="24" t="str">
        <f aca="false">IFERROR(INDEX('Operator Master'!$B$5:$B$504,MATCH(G124,'Operator Master'!$A$5:$A$504,0)),"")</f>
        <v/>
      </c>
      <c r="I124" s="26"/>
      <c r="J124" s="26"/>
      <c r="K124" s="26"/>
      <c r="L124" s="26"/>
      <c r="M124" s="26"/>
      <c r="N124" s="26"/>
      <c r="O124" s="26"/>
      <c r="P124" s="30" t="n">
        <v>8</v>
      </c>
      <c r="Q124" s="26" t="n">
        <f aca="false">P124*J124</f>
        <v>0</v>
      </c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31"/>
      <c r="AC124" s="31"/>
      <c r="AD124" s="31"/>
      <c r="AE124" s="26"/>
      <c r="AF124" s="26"/>
      <c r="AG124" s="26"/>
    </row>
    <row r="125" customFormat="false" ht="15" hidden="false" customHeight="true" outlineLevel="0" collapsed="false">
      <c r="A125" s="24" t="n">
        <v>120</v>
      </c>
      <c r="B125" s="25"/>
      <c r="C125" s="26"/>
      <c r="D125" s="26"/>
      <c r="E125" s="26"/>
      <c r="F125" s="26"/>
      <c r="G125" s="26"/>
      <c r="H125" s="24" t="str">
        <f aca="false">IFERROR(INDEX('Operator Master'!$B$5:$B$504,MATCH(G125,'Operator Master'!$A$5:$A$504,0)),"")</f>
        <v/>
      </c>
      <c r="I125" s="26"/>
      <c r="J125" s="26"/>
      <c r="K125" s="26"/>
      <c r="L125" s="26"/>
      <c r="M125" s="26"/>
      <c r="N125" s="26"/>
      <c r="O125" s="26"/>
      <c r="P125" s="30" t="n">
        <v>8</v>
      </c>
      <c r="Q125" s="26" t="n">
        <f aca="false">P125*J125</f>
        <v>0</v>
      </c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31"/>
      <c r="AC125" s="31"/>
      <c r="AD125" s="31"/>
      <c r="AE125" s="26"/>
      <c r="AF125" s="26"/>
      <c r="AG125" s="26"/>
    </row>
    <row r="126" customFormat="false" ht="15" hidden="false" customHeight="true" outlineLevel="0" collapsed="false">
      <c r="A126" s="24" t="n">
        <v>121</v>
      </c>
      <c r="B126" s="25"/>
      <c r="C126" s="26"/>
      <c r="D126" s="26"/>
      <c r="E126" s="26"/>
      <c r="F126" s="26"/>
      <c r="G126" s="26"/>
      <c r="H126" s="24" t="str">
        <f aca="false">IFERROR(INDEX('Operator Master'!$B$5:$B$504,MATCH(G126,'Operator Master'!$A$5:$A$504,0)),"")</f>
        <v/>
      </c>
      <c r="I126" s="26"/>
      <c r="J126" s="26"/>
      <c r="K126" s="26"/>
      <c r="L126" s="26"/>
      <c r="M126" s="26"/>
      <c r="N126" s="26"/>
      <c r="O126" s="26"/>
      <c r="P126" s="30" t="n">
        <v>8</v>
      </c>
      <c r="Q126" s="26" t="n">
        <f aca="false">P126*J126</f>
        <v>0</v>
      </c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31"/>
      <c r="AC126" s="31"/>
      <c r="AD126" s="31"/>
      <c r="AE126" s="26"/>
      <c r="AF126" s="26"/>
      <c r="AG126" s="26"/>
    </row>
    <row r="127" customFormat="false" ht="15" hidden="false" customHeight="true" outlineLevel="0" collapsed="false">
      <c r="A127" s="24" t="n">
        <v>122</v>
      </c>
      <c r="B127" s="25"/>
      <c r="C127" s="26"/>
      <c r="D127" s="26"/>
      <c r="E127" s="26"/>
      <c r="F127" s="26"/>
      <c r="G127" s="26"/>
      <c r="H127" s="24" t="str">
        <f aca="false">IFERROR(INDEX('Operator Master'!$B$5:$B$504,MATCH(G127,'Operator Master'!$A$5:$A$504,0)),"")</f>
        <v/>
      </c>
      <c r="I127" s="26"/>
      <c r="J127" s="26"/>
      <c r="K127" s="26"/>
      <c r="L127" s="26"/>
      <c r="M127" s="26"/>
      <c r="N127" s="26"/>
      <c r="O127" s="26"/>
      <c r="P127" s="30" t="n">
        <v>8</v>
      </c>
      <c r="Q127" s="26" t="n">
        <f aca="false">P127*J127</f>
        <v>0</v>
      </c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31"/>
      <c r="AC127" s="31"/>
      <c r="AD127" s="31"/>
      <c r="AE127" s="26"/>
      <c r="AF127" s="26"/>
      <c r="AG127" s="26"/>
    </row>
    <row r="128" customFormat="false" ht="15" hidden="false" customHeight="true" outlineLevel="0" collapsed="false">
      <c r="A128" s="24" t="n">
        <v>123</v>
      </c>
      <c r="B128" s="25"/>
      <c r="C128" s="26"/>
      <c r="D128" s="26"/>
      <c r="E128" s="26"/>
      <c r="F128" s="26"/>
      <c r="G128" s="26"/>
      <c r="H128" s="24" t="str">
        <f aca="false">IFERROR(INDEX('Operator Master'!$B$5:$B$504,MATCH(G128,'Operator Master'!$A$5:$A$504,0)),"")</f>
        <v/>
      </c>
      <c r="I128" s="26"/>
      <c r="J128" s="26"/>
      <c r="K128" s="26"/>
      <c r="L128" s="26"/>
      <c r="M128" s="26"/>
      <c r="N128" s="26"/>
      <c r="O128" s="26"/>
      <c r="P128" s="30" t="n">
        <v>8</v>
      </c>
      <c r="Q128" s="26" t="n">
        <f aca="false">P128*J128</f>
        <v>0</v>
      </c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31"/>
      <c r="AC128" s="31"/>
      <c r="AD128" s="31"/>
      <c r="AE128" s="26"/>
      <c r="AF128" s="26"/>
      <c r="AG128" s="26"/>
    </row>
    <row r="129" customFormat="false" ht="15" hidden="false" customHeight="true" outlineLevel="0" collapsed="false">
      <c r="A129" s="24" t="n">
        <v>124</v>
      </c>
      <c r="B129" s="25"/>
      <c r="C129" s="26"/>
      <c r="D129" s="26"/>
      <c r="E129" s="26"/>
      <c r="F129" s="26"/>
      <c r="G129" s="26"/>
      <c r="H129" s="24" t="str">
        <f aca="false">IFERROR(INDEX('Operator Master'!$B$5:$B$504,MATCH(G129,'Operator Master'!$A$5:$A$504,0)),"")</f>
        <v/>
      </c>
      <c r="I129" s="26"/>
      <c r="J129" s="26"/>
      <c r="K129" s="26"/>
      <c r="L129" s="26"/>
      <c r="M129" s="26"/>
      <c r="N129" s="26"/>
      <c r="O129" s="26"/>
      <c r="P129" s="30" t="n">
        <v>8</v>
      </c>
      <c r="Q129" s="26" t="n">
        <f aca="false">P129*J129</f>
        <v>0</v>
      </c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31"/>
      <c r="AC129" s="31"/>
      <c r="AD129" s="31"/>
      <c r="AE129" s="26"/>
      <c r="AF129" s="26"/>
      <c r="AG129" s="26"/>
    </row>
    <row r="130" customFormat="false" ht="15" hidden="false" customHeight="true" outlineLevel="0" collapsed="false">
      <c r="A130" s="24" t="n">
        <v>125</v>
      </c>
      <c r="B130" s="25"/>
      <c r="C130" s="26"/>
      <c r="D130" s="26"/>
      <c r="E130" s="26"/>
      <c r="F130" s="26"/>
      <c r="G130" s="26"/>
      <c r="H130" s="24" t="str">
        <f aca="false">IFERROR(INDEX('Operator Master'!$B$5:$B$504,MATCH(G130,'Operator Master'!$A$5:$A$504,0)),"")</f>
        <v/>
      </c>
      <c r="I130" s="26"/>
      <c r="J130" s="26"/>
      <c r="K130" s="26"/>
      <c r="L130" s="26"/>
      <c r="M130" s="26"/>
      <c r="N130" s="26"/>
      <c r="O130" s="26"/>
      <c r="P130" s="30" t="n">
        <v>8</v>
      </c>
      <c r="Q130" s="26" t="n">
        <f aca="false">P130*J130</f>
        <v>0</v>
      </c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31"/>
      <c r="AC130" s="31"/>
      <c r="AD130" s="31"/>
      <c r="AE130" s="26"/>
      <c r="AF130" s="26"/>
      <c r="AG130" s="26"/>
    </row>
    <row r="131" customFormat="false" ht="15" hidden="false" customHeight="true" outlineLevel="0" collapsed="false">
      <c r="A131" s="24" t="n">
        <v>126</v>
      </c>
      <c r="B131" s="25"/>
      <c r="C131" s="26"/>
      <c r="D131" s="26"/>
      <c r="E131" s="26"/>
      <c r="F131" s="26"/>
      <c r="G131" s="26"/>
      <c r="H131" s="24" t="str">
        <f aca="false">IFERROR(INDEX('Operator Master'!$B$5:$B$504,MATCH(G131,'Operator Master'!$A$5:$A$504,0)),"")</f>
        <v/>
      </c>
      <c r="I131" s="26"/>
      <c r="J131" s="26"/>
      <c r="K131" s="26"/>
      <c r="L131" s="26"/>
      <c r="M131" s="26"/>
      <c r="N131" s="26"/>
      <c r="O131" s="26"/>
      <c r="P131" s="30" t="n">
        <v>8</v>
      </c>
      <c r="Q131" s="26" t="n">
        <f aca="false">P131*J131</f>
        <v>0</v>
      </c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31"/>
      <c r="AC131" s="31"/>
      <c r="AD131" s="31"/>
      <c r="AE131" s="26"/>
      <c r="AF131" s="26"/>
      <c r="AG131" s="26"/>
    </row>
    <row r="132" customFormat="false" ht="15" hidden="false" customHeight="true" outlineLevel="0" collapsed="false">
      <c r="A132" s="24" t="n">
        <v>127</v>
      </c>
      <c r="B132" s="25"/>
      <c r="C132" s="26"/>
      <c r="D132" s="26"/>
      <c r="E132" s="26"/>
      <c r="F132" s="26"/>
      <c r="G132" s="26"/>
      <c r="H132" s="24" t="str">
        <f aca="false">IFERROR(INDEX('Operator Master'!$B$5:$B$504,MATCH(G132,'Operator Master'!$A$5:$A$504,0)),"")</f>
        <v/>
      </c>
      <c r="I132" s="26"/>
      <c r="J132" s="26"/>
      <c r="K132" s="26"/>
      <c r="L132" s="26"/>
      <c r="M132" s="26"/>
      <c r="N132" s="26"/>
      <c r="O132" s="26"/>
      <c r="P132" s="30" t="n">
        <v>8</v>
      </c>
      <c r="Q132" s="26" t="n">
        <f aca="false">P132*J132</f>
        <v>0</v>
      </c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31"/>
      <c r="AC132" s="31"/>
      <c r="AD132" s="31"/>
      <c r="AE132" s="26"/>
      <c r="AF132" s="26"/>
      <c r="AG132" s="26"/>
    </row>
    <row r="133" customFormat="false" ht="15" hidden="false" customHeight="true" outlineLevel="0" collapsed="false">
      <c r="A133" s="24" t="n">
        <v>128</v>
      </c>
      <c r="B133" s="25"/>
      <c r="C133" s="26"/>
      <c r="D133" s="26"/>
      <c r="E133" s="26"/>
      <c r="F133" s="26"/>
      <c r="G133" s="26"/>
      <c r="H133" s="24" t="str">
        <f aca="false">IFERROR(INDEX('Operator Master'!$B$5:$B$504,MATCH(G133,'Operator Master'!$A$5:$A$504,0)),"")</f>
        <v/>
      </c>
      <c r="I133" s="26"/>
      <c r="J133" s="26"/>
      <c r="K133" s="26"/>
      <c r="L133" s="26"/>
      <c r="M133" s="26"/>
      <c r="N133" s="26"/>
      <c r="O133" s="26"/>
      <c r="P133" s="30" t="n">
        <v>8</v>
      </c>
      <c r="Q133" s="26" t="n">
        <f aca="false">P133*J133</f>
        <v>0</v>
      </c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31"/>
      <c r="AC133" s="31"/>
      <c r="AD133" s="31"/>
      <c r="AE133" s="26"/>
      <c r="AF133" s="26"/>
      <c r="AG133" s="26"/>
    </row>
    <row r="134" customFormat="false" ht="15" hidden="false" customHeight="true" outlineLevel="0" collapsed="false">
      <c r="A134" s="24" t="n">
        <v>129</v>
      </c>
      <c r="B134" s="25"/>
      <c r="C134" s="26"/>
      <c r="D134" s="26"/>
      <c r="E134" s="26"/>
      <c r="F134" s="26"/>
      <c r="G134" s="26"/>
      <c r="H134" s="24" t="str">
        <f aca="false">IFERROR(INDEX('Operator Master'!$B$5:$B$504,MATCH(G134,'Operator Master'!$A$5:$A$504,0)),"")</f>
        <v/>
      </c>
      <c r="I134" s="26"/>
      <c r="J134" s="26"/>
      <c r="K134" s="26"/>
      <c r="L134" s="26"/>
      <c r="M134" s="26"/>
      <c r="N134" s="26"/>
      <c r="O134" s="26"/>
      <c r="P134" s="30" t="n">
        <v>8</v>
      </c>
      <c r="Q134" s="26" t="n">
        <f aca="false">P134*J134</f>
        <v>0</v>
      </c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31"/>
      <c r="AC134" s="31"/>
      <c r="AD134" s="31"/>
      <c r="AE134" s="26"/>
      <c r="AF134" s="26"/>
      <c r="AG134" s="26"/>
    </row>
    <row r="135" customFormat="false" ht="15" hidden="false" customHeight="true" outlineLevel="0" collapsed="false">
      <c r="A135" s="24" t="n">
        <v>130</v>
      </c>
      <c r="B135" s="25"/>
      <c r="C135" s="26"/>
      <c r="D135" s="26"/>
      <c r="E135" s="26"/>
      <c r="F135" s="26"/>
      <c r="G135" s="26"/>
      <c r="H135" s="24" t="str">
        <f aca="false">IFERROR(INDEX('Operator Master'!$B$5:$B$504,MATCH(G135,'Operator Master'!$A$5:$A$504,0)),"")</f>
        <v/>
      </c>
      <c r="I135" s="26"/>
      <c r="J135" s="26"/>
      <c r="K135" s="26"/>
      <c r="L135" s="26"/>
      <c r="M135" s="26"/>
      <c r="N135" s="26"/>
      <c r="O135" s="26"/>
      <c r="P135" s="30" t="n">
        <v>8</v>
      </c>
      <c r="Q135" s="26" t="n">
        <f aca="false">P135*J135</f>
        <v>0</v>
      </c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31"/>
      <c r="AC135" s="31"/>
      <c r="AD135" s="31"/>
      <c r="AE135" s="26"/>
      <c r="AF135" s="26"/>
      <c r="AG135" s="26"/>
    </row>
    <row r="136" customFormat="false" ht="15" hidden="false" customHeight="true" outlineLevel="0" collapsed="false">
      <c r="A136" s="24" t="n">
        <v>131</v>
      </c>
      <c r="B136" s="25"/>
      <c r="C136" s="26"/>
      <c r="D136" s="26"/>
      <c r="E136" s="26"/>
      <c r="F136" s="26"/>
      <c r="G136" s="26"/>
      <c r="H136" s="24" t="str">
        <f aca="false">IFERROR(INDEX('Operator Master'!$B$5:$B$504,MATCH(G136,'Operator Master'!$A$5:$A$504,0)),"")</f>
        <v/>
      </c>
      <c r="I136" s="26"/>
      <c r="J136" s="26"/>
      <c r="K136" s="26"/>
      <c r="L136" s="26"/>
      <c r="M136" s="26"/>
      <c r="N136" s="26"/>
      <c r="O136" s="26"/>
      <c r="P136" s="30" t="n">
        <v>8</v>
      </c>
      <c r="Q136" s="26" t="n">
        <f aca="false">P136*J136</f>
        <v>0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31"/>
      <c r="AC136" s="31"/>
      <c r="AD136" s="31"/>
      <c r="AE136" s="26"/>
      <c r="AF136" s="26"/>
      <c r="AG136" s="26"/>
    </row>
    <row r="137" customFormat="false" ht="15" hidden="false" customHeight="true" outlineLevel="0" collapsed="false">
      <c r="A137" s="24" t="n">
        <v>132</v>
      </c>
      <c r="B137" s="25"/>
      <c r="C137" s="26"/>
      <c r="D137" s="26"/>
      <c r="E137" s="26"/>
      <c r="F137" s="26"/>
      <c r="G137" s="26"/>
      <c r="H137" s="24" t="str">
        <f aca="false">IFERROR(INDEX('Operator Master'!$B$5:$B$504,MATCH(G137,'Operator Master'!$A$5:$A$504,0)),"")</f>
        <v/>
      </c>
      <c r="I137" s="26"/>
      <c r="J137" s="26"/>
      <c r="K137" s="26"/>
      <c r="L137" s="26"/>
      <c r="M137" s="26"/>
      <c r="N137" s="26"/>
      <c r="O137" s="26"/>
      <c r="P137" s="30" t="n">
        <v>8</v>
      </c>
      <c r="Q137" s="26" t="n">
        <f aca="false">P137*J137</f>
        <v>0</v>
      </c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31"/>
      <c r="AC137" s="31"/>
      <c r="AD137" s="31"/>
      <c r="AE137" s="26"/>
      <c r="AF137" s="26"/>
      <c r="AG137" s="26"/>
    </row>
    <row r="138" customFormat="false" ht="15" hidden="false" customHeight="true" outlineLevel="0" collapsed="false">
      <c r="A138" s="24" t="n">
        <v>133</v>
      </c>
      <c r="B138" s="25"/>
      <c r="C138" s="26"/>
      <c r="D138" s="26"/>
      <c r="E138" s="26"/>
      <c r="F138" s="26"/>
      <c r="G138" s="26"/>
      <c r="H138" s="24" t="str">
        <f aca="false">IFERROR(INDEX('Operator Master'!$B$5:$B$504,MATCH(G138,'Operator Master'!$A$5:$A$504,0)),"")</f>
        <v/>
      </c>
      <c r="I138" s="26"/>
      <c r="J138" s="26"/>
      <c r="K138" s="26"/>
      <c r="L138" s="26"/>
      <c r="M138" s="26"/>
      <c r="N138" s="26"/>
      <c r="O138" s="26"/>
      <c r="P138" s="30" t="n">
        <v>8</v>
      </c>
      <c r="Q138" s="26" t="n">
        <f aca="false">P138*J138</f>
        <v>0</v>
      </c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31"/>
      <c r="AC138" s="31"/>
      <c r="AD138" s="31"/>
      <c r="AE138" s="26"/>
      <c r="AF138" s="26"/>
      <c r="AG138" s="26"/>
    </row>
    <row r="139" customFormat="false" ht="15" hidden="false" customHeight="true" outlineLevel="0" collapsed="false">
      <c r="A139" s="24" t="n">
        <v>134</v>
      </c>
      <c r="B139" s="25"/>
      <c r="C139" s="26"/>
      <c r="D139" s="26"/>
      <c r="E139" s="26"/>
      <c r="F139" s="26"/>
      <c r="G139" s="26"/>
      <c r="H139" s="24" t="str">
        <f aca="false">IFERROR(INDEX('Operator Master'!$B$5:$B$504,MATCH(G139,'Operator Master'!$A$5:$A$504,0)),"")</f>
        <v/>
      </c>
      <c r="I139" s="26"/>
      <c r="J139" s="26"/>
      <c r="K139" s="26"/>
      <c r="L139" s="26"/>
      <c r="M139" s="26"/>
      <c r="N139" s="26"/>
      <c r="O139" s="26"/>
      <c r="P139" s="30" t="n">
        <v>8</v>
      </c>
      <c r="Q139" s="26" t="n">
        <f aca="false">P139*J139</f>
        <v>0</v>
      </c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31"/>
      <c r="AC139" s="31"/>
      <c r="AD139" s="31"/>
      <c r="AE139" s="26"/>
      <c r="AF139" s="26"/>
      <c r="AG139" s="26"/>
    </row>
    <row r="140" customFormat="false" ht="15" hidden="false" customHeight="true" outlineLevel="0" collapsed="false">
      <c r="A140" s="24" t="n">
        <v>135</v>
      </c>
      <c r="B140" s="25"/>
      <c r="C140" s="26"/>
      <c r="D140" s="26"/>
      <c r="E140" s="26"/>
      <c r="F140" s="26"/>
      <c r="G140" s="26"/>
      <c r="H140" s="24" t="str">
        <f aca="false">IFERROR(INDEX('Operator Master'!$B$5:$B$504,MATCH(G140,'Operator Master'!$A$5:$A$504,0)),"")</f>
        <v/>
      </c>
      <c r="I140" s="26"/>
      <c r="J140" s="26"/>
      <c r="K140" s="26"/>
      <c r="L140" s="26"/>
      <c r="M140" s="26"/>
      <c r="N140" s="26"/>
      <c r="O140" s="26"/>
      <c r="P140" s="30" t="n">
        <v>8</v>
      </c>
      <c r="Q140" s="26" t="n">
        <f aca="false">P140*J140</f>
        <v>0</v>
      </c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31"/>
      <c r="AC140" s="31"/>
      <c r="AD140" s="31"/>
      <c r="AE140" s="26"/>
      <c r="AF140" s="26"/>
      <c r="AG140" s="26"/>
    </row>
    <row r="141" customFormat="false" ht="15" hidden="false" customHeight="true" outlineLevel="0" collapsed="false">
      <c r="A141" s="24" t="n">
        <v>136</v>
      </c>
      <c r="B141" s="25"/>
      <c r="C141" s="26"/>
      <c r="D141" s="26"/>
      <c r="E141" s="26"/>
      <c r="F141" s="26"/>
      <c r="G141" s="26"/>
      <c r="H141" s="24" t="str">
        <f aca="false">IFERROR(INDEX('Operator Master'!$B$5:$B$504,MATCH(G141,'Operator Master'!$A$5:$A$504,0)),"")</f>
        <v/>
      </c>
      <c r="I141" s="26"/>
      <c r="J141" s="26"/>
      <c r="K141" s="26"/>
      <c r="L141" s="26"/>
      <c r="M141" s="26"/>
      <c r="N141" s="26"/>
      <c r="O141" s="26"/>
      <c r="P141" s="30" t="n">
        <v>8</v>
      </c>
      <c r="Q141" s="26" t="n">
        <f aca="false">P141*J141</f>
        <v>0</v>
      </c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31"/>
      <c r="AC141" s="31"/>
      <c r="AD141" s="31"/>
      <c r="AE141" s="26"/>
      <c r="AF141" s="26"/>
      <c r="AG141" s="26"/>
    </row>
    <row r="142" customFormat="false" ht="15" hidden="false" customHeight="true" outlineLevel="0" collapsed="false">
      <c r="A142" s="24" t="n">
        <v>137</v>
      </c>
      <c r="B142" s="25"/>
      <c r="C142" s="26"/>
      <c r="D142" s="26"/>
      <c r="E142" s="26"/>
      <c r="F142" s="26"/>
      <c r="G142" s="26"/>
      <c r="H142" s="24" t="str">
        <f aca="false">IFERROR(INDEX('Operator Master'!$B$5:$B$504,MATCH(G142,'Operator Master'!$A$5:$A$504,0)),"")</f>
        <v/>
      </c>
      <c r="I142" s="26"/>
      <c r="J142" s="26"/>
      <c r="K142" s="26"/>
      <c r="L142" s="26"/>
      <c r="M142" s="26"/>
      <c r="N142" s="26"/>
      <c r="O142" s="26"/>
      <c r="P142" s="30" t="n">
        <v>8</v>
      </c>
      <c r="Q142" s="26" t="n">
        <f aca="false">P142*J142</f>
        <v>0</v>
      </c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31"/>
      <c r="AC142" s="31"/>
      <c r="AD142" s="31"/>
      <c r="AE142" s="26"/>
      <c r="AF142" s="26"/>
      <c r="AG142" s="26"/>
    </row>
    <row r="143" customFormat="false" ht="15" hidden="false" customHeight="true" outlineLevel="0" collapsed="false">
      <c r="A143" s="24" t="n">
        <v>138</v>
      </c>
      <c r="B143" s="25"/>
      <c r="C143" s="26"/>
      <c r="D143" s="26"/>
      <c r="E143" s="26"/>
      <c r="F143" s="26"/>
      <c r="G143" s="26"/>
      <c r="H143" s="24" t="str">
        <f aca="false">IFERROR(INDEX('Operator Master'!$B$5:$B$504,MATCH(G143,'Operator Master'!$A$5:$A$504,0)),"")</f>
        <v/>
      </c>
      <c r="I143" s="26"/>
      <c r="J143" s="26"/>
      <c r="K143" s="26"/>
      <c r="L143" s="26"/>
      <c r="M143" s="26"/>
      <c r="N143" s="26"/>
      <c r="O143" s="26"/>
      <c r="P143" s="30" t="n">
        <v>8</v>
      </c>
      <c r="Q143" s="26" t="n">
        <f aca="false">P143*J143</f>
        <v>0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31"/>
      <c r="AC143" s="31"/>
      <c r="AD143" s="31"/>
      <c r="AE143" s="26"/>
      <c r="AF143" s="26"/>
      <c r="AG143" s="26"/>
    </row>
    <row r="144" customFormat="false" ht="15" hidden="false" customHeight="true" outlineLevel="0" collapsed="false">
      <c r="A144" s="24" t="n">
        <v>139</v>
      </c>
      <c r="B144" s="25"/>
      <c r="C144" s="26"/>
      <c r="D144" s="26"/>
      <c r="E144" s="26"/>
      <c r="F144" s="26"/>
      <c r="G144" s="26"/>
      <c r="H144" s="24" t="str">
        <f aca="false">IFERROR(INDEX('Operator Master'!$B$5:$B$504,MATCH(G144,'Operator Master'!$A$5:$A$504,0)),"")</f>
        <v/>
      </c>
      <c r="I144" s="26"/>
      <c r="J144" s="26"/>
      <c r="K144" s="26"/>
      <c r="L144" s="26"/>
      <c r="M144" s="26"/>
      <c r="N144" s="26"/>
      <c r="O144" s="26"/>
      <c r="P144" s="30" t="n">
        <v>8</v>
      </c>
      <c r="Q144" s="26" t="n">
        <f aca="false">P144*J144</f>
        <v>0</v>
      </c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31"/>
      <c r="AC144" s="31"/>
      <c r="AD144" s="31"/>
      <c r="AE144" s="26"/>
      <c r="AF144" s="26"/>
      <c r="AG144" s="26"/>
    </row>
    <row r="145" customFormat="false" ht="15" hidden="false" customHeight="true" outlineLevel="0" collapsed="false">
      <c r="A145" s="24" t="n">
        <v>140</v>
      </c>
      <c r="B145" s="25"/>
      <c r="C145" s="26"/>
      <c r="D145" s="26"/>
      <c r="E145" s="26"/>
      <c r="F145" s="26"/>
      <c r="G145" s="26"/>
      <c r="H145" s="24" t="str">
        <f aca="false">IFERROR(INDEX('Operator Master'!$B$5:$B$504,MATCH(G145,'Operator Master'!$A$5:$A$504,0)),"")</f>
        <v/>
      </c>
      <c r="I145" s="26"/>
      <c r="J145" s="26"/>
      <c r="K145" s="26"/>
      <c r="L145" s="26"/>
      <c r="M145" s="26"/>
      <c r="N145" s="26"/>
      <c r="O145" s="26"/>
      <c r="P145" s="30" t="n">
        <v>8</v>
      </c>
      <c r="Q145" s="26" t="n">
        <f aca="false">P145*J145</f>
        <v>0</v>
      </c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31"/>
      <c r="AC145" s="31"/>
      <c r="AD145" s="31"/>
      <c r="AE145" s="26"/>
      <c r="AF145" s="26"/>
      <c r="AG145" s="26"/>
    </row>
    <row r="146" customFormat="false" ht="15" hidden="false" customHeight="true" outlineLevel="0" collapsed="false">
      <c r="A146" s="24" t="n">
        <v>141</v>
      </c>
      <c r="B146" s="25"/>
      <c r="C146" s="26"/>
      <c r="D146" s="26"/>
      <c r="E146" s="26"/>
      <c r="F146" s="26"/>
      <c r="G146" s="26"/>
      <c r="H146" s="24" t="str">
        <f aca="false">IFERROR(INDEX('Operator Master'!$B$5:$B$504,MATCH(G146,'Operator Master'!$A$5:$A$504,0)),"")</f>
        <v/>
      </c>
      <c r="I146" s="26"/>
      <c r="J146" s="26"/>
      <c r="K146" s="26"/>
      <c r="L146" s="26"/>
      <c r="M146" s="26"/>
      <c r="N146" s="26"/>
      <c r="O146" s="26"/>
      <c r="P146" s="30" t="n">
        <v>8</v>
      </c>
      <c r="Q146" s="26" t="n">
        <f aca="false">P146*J146</f>
        <v>0</v>
      </c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31"/>
      <c r="AC146" s="31"/>
      <c r="AD146" s="31"/>
      <c r="AE146" s="26"/>
      <c r="AF146" s="26"/>
      <c r="AG146" s="26"/>
    </row>
    <row r="147" customFormat="false" ht="15" hidden="false" customHeight="true" outlineLevel="0" collapsed="false">
      <c r="A147" s="24" t="n">
        <v>142</v>
      </c>
      <c r="B147" s="25"/>
      <c r="C147" s="26"/>
      <c r="D147" s="26"/>
      <c r="E147" s="26"/>
      <c r="F147" s="26"/>
      <c r="G147" s="26"/>
      <c r="H147" s="24" t="str">
        <f aca="false">IFERROR(INDEX('Operator Master'!$B$5:$B$504,MATCH(G147,'Operator Master'!$A$5:$A$504,0)),"")</f>
        <v/>
      </c>
      <c r="I147" s="26"/>
      <c r="J147" s="26"/>
      <c r="K147" s="26"/>
      <c r="L147" s="26"/>
      <c r="M147" s="26"/>
      <c r="N147" s="26"/>
      <c r="O147" s="26"/>
      <c r="P147" s="30" t="n">
        <v>8</v>
      </c>
      <c r="Q147" s="26" t="n">
        <f aca="false">P147*J147</f>
        <v>0</v>
      </c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31"/>
      <c r="AC147" s="31"/>
      <c r="AD147" s="31"/>
      <c r="AE147" s="26"/>
      <c r="AF147" s="26"/>
      <c r="AG147" s="26"/>
    </row>
    <row r="148" customFormat="false" ht="15" hidden="false" customHeight="true" outlineLevel="0" collapsed="false">
      <c r="A148" s="24" t="n">
        <v>143</v>
      </c>
      <c r="B148" s="25"/>
      <c r="C148" s="26"/>
      <c r="D148" s="26"/>
      <c r="E148" s="26"/>
      <c r="F148" s="26"/>
      <c r="G148" s="26"/>
      <c r="H148" s="24" t="str">
        <f aca="false">IFERROR(INDEX('Operator Master'!$B$5:$B$504,MATCH(G148,'Operator Master'!$A$5:$A$504,0)),"")</f>
        <v/>
      </c>
      <c r="I148" s="26"/>
      <c r="J148" s="26"/>
      <c r="K148" s="26"/>
      <c r="L148" s="26"/>
      <c r="M148" s="26"/>
      <c r="N148" s="26"/>
      <c r="O148" s="26"/>
      <c r="P148" s="30" t="n">
        <v>8</v>
      </c>
      <c r="Q148" s="26" t="n">
        <f aca="false">P148*J148</f>
        <v>0</v>
      </c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31"/>
      <c r="AC148" s="31"/>
      <c r="AD148" s="31"/>
      <c r="AE148" s="26"/>
      <c r="AF148" s="26"/>
      <c r="AG148" s="26"/>
    </row>
    <row r="149" customFormat="false" ht="15" hidden="false" customHeight="true" outlineLevel="0" collapsed="false">
      <c r="A149" s="24" t="n">
        <v>144</v>
      </c>
      <c r="B149" s="25"/>
      <c r="C149" s="26"/>
      <c r="D149" s="26"/>
      <c r="E149" s="26"/>
      <c r="F149" s="26"/>
      <c r="G149" s="26"/>
      <c r="H149" s="24" t="str">
        <f aca="false">IFERROR(INDEX('Operator Master'!$B$5:$B$504,MATCH(G149,'Operator Master'!$A$5:$A$504,0)),"")</f>
        <v/>
      </c>
      <c r="I149" s="26"/>
      <c r="J149" s="26"/>
      <c r="K149" s="26"/>
      <c r="L149" s="26"/>
      <c r="M149" s="26"/>
      <c r="N149" s="26"/>
      <c r="O149" s="26"/>
      <c r="P149" s="30" t="n">
        <v>8</v>
      </c>
      <c r="Q149" s="26" t="n">
        <f aca="false">P149*J149</f>
        <v>0</v>
      </c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31"/>
      <c r="AC149" s="31"/>
      <c r="AD149" s="31"/>
      <c r="AE149" s="26"/>
      <c r="AF149" s="26"/>
      <c r="AG149" s="26"/>
    </row>
    <row r="150" customFormat="false" ht="15" hidden="false" customHeight="true" outlineLevel="0" collapsed="false">
      <c r="A150" s="24" t="n">
        <v>145</v>
      </c>
      <c r="B150" s="25"/>
      <c r="C150" s="26"/>
      <c r="D150" s="26"/>
      <c r="E150" s="26"/>
      <c r="F150" s="26"/>
      <c r="G150" s="26"/>
      <c r="H150" s="24" t="str">
        <f aca="false">IFERROR(INDEX('Operator Master'!$B$5:$B$504,MATCH(G150,'Operator Master'!$A$5:$A$504,0)),"")</f>
        <v/>
      </c>
      <c r="I150" s="26"/>
      <c r="J150" s="26"/>
      <c r="K150" s="26"/>
      <c r="L150" s="26"/>
      <c r="M150" s="26"/>
      <c r="N150" s="26"/>
      <c r="O150" s="26"/>
      <c r="P150" s="30" t="n">
        <v>8</v>
      </c>
      <c r="Q150" s="26" t="n">
        <f aca="false">P150*J150</f>
        <v>0</v>
      </c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31"/>
      <c r="AC150" s="31"/>
      <c r="AD150" s="31"/>
      <c r="AE150" s="26"/>
      <c r="AF150" s="26"/>
      <c r="AG150" s="26"/>
    </row>
    <row r="151" customFormat="false" ht="15" hidden="false" customHeight="true" outlineLevel="0" collapsed="false">
      <c r="A151" s="24" t="n">
        <v>146</v>
      </c>
      <c r="B151" s="25"/>
      <c r="C151" s="26"/>
      <c r="D151" s="26"/>
      <c r="E151" s="26"/>
      <c r="F151" s="26"/>
      <c r="G151" s="26"/>
      <c r="H151" s="24" t="str">
        <f aca="false">IFERROR(INDEX('Operator Master'!$B$5:$B$504,MATCH(G151,'Operator Master'!$A$5:$A$504,0)),"")</f>
        <v/>
      </c>
      <c r="I151" s="26"/>
      <c r="J151" s="26"/>
      <c r="K151" s="26"/>
      <c r="L151" s="26"/>
      <c r="M151" s="26"/>
      <c r="N151" s="26"/>
      <c r="O151" s="26"/>
      <c r="P151" s="30" t="n">
        <v>8</v>
      </c>
      <c r="Q151" s="26" t="n">
        <f aca="false">P151*J151</f>
        <v>0</v>
      </c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31"/>
      <c r="AC151" s="31"/>
      <c r="AD151" s="31"/>
      <c r="AE151" s="26"/>
      <c r="AF151" s="26"/>
      <c r="AG151" s="26"/>
    </row>
    <row r="152" customFormat="false" ht="15" hidden="false" customHeight="true" outlineLevel="0" collapsed="false">
      <c r="A152" s="24" t="n">
        <v>147</v>
      </c>
      <c r="B152" s="25"/>
      <c r="C152" s="26"/>
      <c r="D152" s="26"/>
      <c r="E152" s="26"/>
      <c r="F152" s="26"/>
      <c r="G152" s="26"/>
      <c r="H152" s="24" t="str">
        <f aca="false">IFERROR(INDEX('Operator Master'!$B$5:$B$504,MATCH(G152,'Operator Master'!$A$5:$A$504,0)),"")</f>
        <v/>
      </c>
      <c r="I152" s="26"/>
      <c r="J152" s="26"/>
      <c r="K152" s="26"/>
      <c r="L152" s="26"/>
      <c r="M152" s="26"/>
      <c r="N152" s="26"/>
      <c r="O152" s="26"/>
      <c r="P152" s="30" t="n">
        <v>8</v>
      </c>
      <c r="Q152" s="26" t="n">
        <f aca="false">P152*J152</f>
        <v>0</v>
      </c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31"/>
      <c r="AC152" s="31"/>
      <c r="AD152" s="31"/>
      <c r="AE152" s="26"/>
      <c r="AF152" s="26"/>
      <c r="AG152" s="26"/>
    </row>
    <row r="153" customFormat="false" ht="15" hidden="false" customHeight="true" outlineLevel="0" collapsed="false">
      <c r="A153" s="24" t="n">
        <v>148</v>
      </c>
      <c r="B153" s="25"/>
      <c r="C153" s="26"/>
      <c r="D153" s="26"/>
      <c r="E153" s="26"/>
      <c r="F153" s="26"/>
      <c r="G153" s="26"/>
      <c r="H153" s="24" t="str">
        <f aca="false">IFERROR(INDEX('Operator Master'!$B$5:$B$504,MATCH(G153,'Operator Master'!$A$5:$A$504,0)),"")</f>
        <v/>
      </c>
      <c r="I153" s="26"/>
      <c r="J153" s="26"/>
      <c r="K153" s="26"/>
      <c r="L153" s="26"/>
      <c r="M153" s="26"/>
      <c r="N153" s="26"/>
      <c r="O153" s="26"/>
      <c r="P153" s="30" t="n">
        <v>8</v>
      </c>
      <c r="Q153" s="26" t="n">
        <f aca="false">P153*J153</f>
        <v>0</v>
      </c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31"/>
      <c r="AC153" s="31"/>
      <c r="AD153" s="31"/>
      <c r="AE153" s="26"/>
      <c r="AF153" s="26"/>
      <c r="AG153" s="26"/>
    </row>
    <row r="154" customFormat="false" ht="15" hidden="false" customHeight="true" outlineLevel="0" collapsed="false">
      <c r="A154" s="24" t="n">
        <v>149</v>
      </c>
      <c r="B154" s="25"/>
      <c r="C154" s="26"/>
      <c r="D154" s="26"/>
      <c r="E154" s="26"/>
      <c r="F154" s="26"/>
      <c r="G154" s="26"/>
      <c r="H154" s="24" t="str">
        <f aca="false">IFERROR(INDEX('Operator Master'!$B$5:$B$504,MATCH(G154,'Operator Master'!$A$5:$A$504,0)),"")</f>
        <v/>
      </c>
      <c r="I154" s="26"/>
      <c r="J154" s="26"/>
      <c r="K154" s="26"/>
      <c r="L154" s="26"/>
      <c r="M154" s="26"/>
      <c r="N154" s="26"/>
      <c r="O154" s="26"/>
      <c r="P154" s="30" t="n">
        <v>8</v>
      </c>
      <c r="Q154" s="26" t="n">
        <f aca="false">P154*J154</f>
        <v>0</v>
      </c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31"/>
      <c r="AC154" s="31"/>
      <c r="AD154" s="31"/>
      <c r="AE154" s="26"/>
      <c r="AF154" s="26"/>
      <c r="AG154" s="26"/>
    </row>
    <row r="155" customFormat="false" ht="15" hidden="false" customHeight="true" outlineLevel="0" collapsed="false">
      <c r="A155" s="24" t="n">
        <v>150</v>
      </c>
      <c r="B155" s="25"/>
      <c r="C155" s="26"/>
      <c r="D155" s="26"/>
      <c r="E155" s="26"/>
      <c r="F155" s="26"/>
      <c r="G155" s="26"/>
      <c r="H155" s="24" t="str">
        <f aca="false">IFERROR(INDEX('Operator Master'!$B$5:$B$504,MATCH(G155,'Operator Master'!$A$5:$A$504,0)),"")</f>
        <v/>
      </c>
      <c r="I155" s="26"/>
      <c r="J155" s="26"/>
      <c r="K155" s="26"/>
      <c r="L155" s="26"/>
      <c r="M155" s="26"/>
      <c r="N155" s="26"/>
      <c r="O155" s="26"/>
      <c r="P155" s="30" t="n">
        <v>8</v>
      </c>
      <c r="Q155" s="26" t="n">
        <f aca="false">P155*J155</f>
        <v>0</v>
      </c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31"/>
      <c r="AC155" s="31"/>
      <c r="AD155" s="31"/>
      <c r="AE155" s="26"/>
      <c r="AF155" s="26"/>
      <c r="AG155" s="26"/>
    </row>
    <row r="156" customFormat="false" ht="15" hidden="false" customHeight="true" outlineLevel="0" collapsed="false">
      <c r="A156" s="24" t="n">
        <v>151</v>
      </c>
      <c r="B156" s="25"/>
      <c r="C156" s="26"/>
      <c r="D156" s="26"/>
      <c r="E156" s="26"/>
      <c r="F156" s="26"/>
      <c r="G156" s="26"/>
      <c r="H156" s="24" t="str">
        <f aca="false">IFERROR(INDEX('Operator Master'!$B$5:$B$504,MATCH(G156,'Operator Master'!$A$5:$A$504,0)),"")</f>
        <v/>
      </c>
      <c r="I156" s="26"/>
      <c r="J156" s="26"/>
      <c r="K156" s="26"/>
      <c r="L156" s="26"/>
      <c r="M156" s="26"/>
      <c r="N156" s="26"/>
      <c r="O156" s="26"/>
      <c r="P156" s="30" t="n">
        <v>8</v>
      </c>
      <c r="Q156" s="26" t="n">
        <f aca="false">P156*J156</f>
        <v>0</v>
      </c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31"/>
      <c r="AC156" s="31"/>
      <c r="AD156" s="31"/>
      <c r="AE156" s="26"/>
      <c r="AF156" s="26"/>
      <c r="AG156" s="26"/>
    </row>
    <row r="157" customFormat="false" ht="15" hidden="false" customHeight="true" outlineLevel="0" collapsed="false">
      <c r="A157" s="24" t="n">
        <v>152</v>
      </c>
      <c r="B157" s="25"/>
      <c r="C157" s="26"/>
      <c r="D157" s="26"/>
      <c r="E157" s="26"/>
      <c r="F157" s="26"/>
      <c r="G157" s="26"/>
      <c r="H157" s="24" t="str">
        <f aca="false">IFERROR(INDEX('Operator Master'!$B$5:$B$504,MATCH(G157,'Operator Master'!$A$5:$A$504,0)),"")</f>
        <v/>
      </c>
      <c r="I157" s="26"/>
      <c r="J157" s="26"/>
      <c r="K157" s="26"/>
      <c r="L157" s="26"/>
      <c r="M157" s="26"/>
      <c r="N157" s="26"/>
      <c r="O157" s="26"/>
      <c r="P157" s="30" t="n">
        <v>8</v>
      </c>
      <c r="Q157" s="26" t="n">
        <f aca="false">P157*J157</f>
        <v>0</v>
      </c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31"/>
      <c r="AC157" s="31"/>
      <c r="AD157" s="31"/>
      <c r="AE157" s="26"/>
      <c r="AF157" s="26"/>
      <c r="AG157" s="26"/>
    </row>
    <row r="158" customFormat="false" ht="15" hidden="false" customHeight="true" outlineLevel="0" collapsed="false">
      <c r="A158" s="24" t="n">
        <v>153</v>
      </c>
      <c r="B158" s="25"/>
      <c r="C158" s="26"/>
      <c r="D158" s="26"/>
      <c r="E158" s="26"/>
      <c r="F158" s="26"/>
      <c r="G158" s="26"/>
      <c r="H158" s="24" t="str">
        <f aca="false">IFERROR(INDEX('Operator Master'!$B$5:$B$504,MATCH(G158,'Operator Master'!$A$5:$A$504,0)),"")</f>
        <v/>
      </c>
      <c r="I158" s="26"/>
      <c r="J158" s="26"/>
      <c r="K158" s="26"/>
      <c r="L158" s="26"/>
      <c r="M158" s="26"/>
      <c r="N158" s="26"/>
      <c r="O158" s="26"/>
      <c r="P158" s="30" t="n">
        <v>8</v>
      </c>
      <c r="Q158" s="26" t="n">
        <f aca="false">P158*J158</f>
        <v>0</v>
      </c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31"/>
      <c r="AC158" s="31"/>
      <c r="AD158" s="31"/>
      <c r="AE158" s="26"/>
      <c r="AF158" s="26"/>
      <c r="AG158" s="26"/>
    </row>
    <row r="159" customFormat="false" ht="15" hidden="false" customHeight="true" outlineLevel="0" collapsed="false">
      <c r="A159" s="24" t="n">
        <v>154</v>
      </c>
      <c r="B159" s="25"/>
      <c r="C159" s="26"/>
      <c r="D159" s="26"/>
      <c r="E159" s="26"/>
      <c r="F159" s="26"/>
      <c r="G159" s="26"/>
      <c r="H159" s="24" t="str">
        <f aca="false">IFERROR(INDEX('Operator Master'!$B$5:$B$504,MATCH(G159,'Operator Master'!$A$5:$A$504,0)),"")</f>
        <v/>
      </c>
      <c r="I159" s="26"/>
      <c r="J159" s="26"/>
      <c r="K159" s="26"/>
      <c r="L159" s="26"/>
      <c r="M159" s="26"/>
      <c r="N159" s="26"/>
      <c r="O159" s="26"/>
      <c r="P159" s="30" t="n">
        <v>8</v>
      </c>
      <c r="Q159" s="26" t="n">
        <f aca="false">P159*J159</f>
        <v>0</v>
      </c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31"/>
      <c r="AC159" s="31"/>
      <c r="AD159" s="31"/>
      <c r="AE159" s="26"/>
      <c r="AF159" s="26"/>
      <c r="AG159" s="26"/>
    </row>
    <row r="160" customFormat="false" ht="15" hidden="false" customHeight="true" outlineLevel="0" collapsed="false">
      <c r="A160" s="24" t="n">
        <v>155</v>
      </c>
      <c r="B160" s="25"/>
      <c r="C160" s="26"/>
      <c r="D160" s="26"/>
      <c r="E160" s="26"/>
      <c r="F160" s="26"/>
      <c r="G160" s="26"/>
      <c r="H160" s="24" t="str">
        <f aca="false">IFERROR(INDEX('Operator Master'!$B$5:$B$504,MATCH(G160,'Operator Master'!$A$5:$A$504,0)),"")</f>
        <v/>
      </c>
      <c r="I160" s="26"/>
      <c r="J160" s="26"/>
      <c r="K160" s="26"/>
      <c r="L160" s="26"/>
      <c r="M160" s="26"/>
      <c r="N160" s="26"/>
      <c r="O160" s="26"/>
      <c r="P160" s="30" t="n">
        <v>8</v>
      </c>
      <c r="Q160" s="26" t="n">
        <f aca="false">P160*J160</f>
        <v>0</v>
      </c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31"/>
      <c r="AC160" s="31"/>
      <c r="AD160" s="31"/>
      <c r="AE160" s="26"/>
      <c r="AF160" s="26"/>
      <c r="AG160" s="26"/>
    </row>
    <row r="161" customFormat="false" ht="15" hidden="false" customHeight="true" outlineLevel="0" collapsed="false">
      <c r="A161" s="24" t="n">
        <v>156</v>
      </c>
      <c r="B161" s="25"/>
      <c r="C161" s="26"/>
      <c r="D161" s="26"/>
      <c r="E161" s="26"/>
      <c r="F161" s="26"/>
      <c r="G161" s="26"/>
      <c r="H161" s="24" t="str">
        <f aca="false">IFERROR(INDEX('Operator Master'!$B$5:$B$504,MATCH(G161,'Operator Master'!$A$5:$A$504,0)),"")</f>
        <v/>
      </c>
      <c r="I161" s="26"/>
      <c r="J161" s="26"/>
      <c r="K161" s="26"/>
      <c r="L161" s="26"/>
      <c r="M161" s="26"/>
      <c r="N161" s="26"/>
      <c r="O161" s="26"/>
      <c r="P161" s="30" t="n">
        <v>8</v>
      </c>
      <c r="Q161" s="26" t="n">
        <f aca="false">P161*J161</f>
        <v>0</v>
      </c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31"/>
      <c r="AC161" s="31"/>
      <c r="AD161" s="31"/>
      <c r="AE161" s="26"/>
      <c r="AF161" s="26"/>
      <c r="AG161" s="26"/>
    </row>
    <row r="162" customFormat="false" ht="15" hidden="false" customHeight="true" outlineLevel="0" collapsed="false">
      <c r="A162" s="24" t="n">
        <v>157</v>
      </c>
      <c r="B162" s="25"/>
      <c r="C162" s="26"/>
      <c r="D162" s="26"/>
      <c r="E162" s="26"/>
      <c r="F162" s="26"/>
      <c r="G162" s="26"/>
      <c r="H162" s="24" t="str">
        <f aca="false">IFERROR(INDEX('Operator Master'!$B$5:$B$504,MATCH(G162,'Operator Master'!$A$5:$A$504,0)),"")</f>
        <v/>
      </c>
      <c r="I162" s="26"/>
      <c r="J162" s="26"/>
      <c r="K162" s="26"/>
      <c r="L162" s="26"/>
      <c r="M162" s="26"/>
      <c r="N162" s="26"/>
      <c r="O162" s="26"/>
      <c r="P162" s="30" t="n">
        <v>8</v>
      </c>
      <c r="Q162" s="26" t="n">
        <f aca="false">P162*J162</f>
        <v>0</v>
      </c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31"/>
      <c r="AC162" s="31"/>
      <c r="AD162" s="31"/>
      <c r="AE162" s="26"/>
      <c r="AF162" s="26"/>
      <c r="AG162" s="26"/>
    </row>
    <row r="163" customFormat="false" ht="15" hidden="false" customHeight="true" outlineLevel="0" collapsed="false">
      <c r="A163" s="24" t="n">
        <v>158</v>
      </c>
      <c r="B163" s="25"/>
      <c r="C163" s="26"/>
      <c r="D163" s="26"/>
      <c r="E163" s="26"/>
      <c r="F163" s="26"/>
      <c r="G163" s="26"/>
      <c r="H163" s="24" t="str">
        <f aca="false">IFERROR(INDEX('Operator Master'!$B$5:$B$504,MATCH(G163,'Operator Master'!$A$5:$A$504,0)),"")</f>
        <v/>
      </c>
      <c r="I163" s="26"/>
      <c r="J163" s="26"/>
      <c r="K163" s="26"/>
      <c r="L163" s="26"/>
      <c r="M163" s="26"/>
      <c r="N163" s="26"/>
      <c r="O163" s="26"/>
      <c r="P163" s="30" t="n">
        <v>8</v>
      </c>
      <c r="Q163" s="26" t="n">
        <f aca="false">P163*J163</f>
        <v>0</v>
      </c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31"/>
      <c r="AC163" s="31"/>
      <c r="AD163" s="31"/>
      <c r="AE163" s="26"/>
      <c r="AF163" s="26"/>
      <c r="AG163" s="26"/>
    </row>
    <row r="164" customFormat="false" ht="15" hidden="false" customHeight="true" outlineLevel="0" collapsed="false">
      <c r="A164" s="24" t="n">
        <v>159</v>
      </c>
      <c r="B164" s="25"/>
      <c r="C164" s="26"/>
      <c r="D164" s="26"/>
      <c r="E164" s="26"/>
      <c r="F164" s="26"/>
      <c r="G164" s="26"/>
      <c r="H164" s="24" t="str">
        <f aca="false">IFERROR(INDEX('Operator Master'!$B$5:$B$504,MATCH(G164,'Operator Master'!$A$5:$A$504,0)),"")</f>
        <v/>
      </c>
      <c r="I164" s="26"/>
      <c r="J164" s="26"/>
      <c r="K164" s="26"/>
      <c r="L164" s="26"/>
      <c r="M164" s="26"/>
      <c r="N164" s="26"/>
      <c r="O164" s="26"/>
      <c r="P164" s="30" t="n">
        <v>8</v>
      </c>
      <c r="Q164" s="26" t="n">
        <f aca="false">P164*J164</f>
        <v>0</v>
      </c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31"/>
      <c r="AC164" s="31"/>
      <c r="AD164" s="31"/>
      <c r="AE164" s="26"/>
      <c r="AF164" s="26"/>
      <c r="AG164" s="26"/>
    </row>
    <row r="165" customFormat="false" ht="15" hidden="false" customHeight="true" outlineLevel="0" collapsed="false">
      <c r="A165" s="24" t="n">
        <v>160</v>
      </c>
      <c r="B165" s="25"/>
      <c r="C165" s="26"/>
      <c r="D165" s="26"/>
      <c r="E165" s="26"/>
      <c r="F165" s="26"/>
      <c r="G165" s="26"/>
      <c r="H165" s="24" t="str">
        <f aca="false">IFERROR(INDEX('Operator Master'!$B$5:$B$504,MATCH(G165,'Operator Master'!$A$5:$A$504,0)),"")</f>
        <v/>
      </c>
      <c r="I165" s="26"/>
      <c r="J165" s="26"/>
      <c r="K165" s="26"/>
      <c r="L165" s="26"/>
      <c r="M165" s="26"/>
      <c r="N165" s="26"/>
      <c r="O165" s="26"/>
      <c r="P165" s="30" t="n">
        <v>8</v>
      </c>
      <c r="Q165" s="26" t="n">
        <f aca="false">P165*J165</f>
        <v>0</v>
      </c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31"/>
      <c r="AC165" s="31"/>
      <c r="AD165" s="31"/>
      <c r="AE165" s="26"/>
      <c r="AF165" s="26"/>
      <c r="AG165" s="26"/>
    </row>
    <row r="166" customFormat="false" ht="15" hidden="false" customHeight="true" outlineLevel="0" collapsed="false">
      <c r="A166" s="24" t="n">
        <v>161</v>
      </c>
      <c r="B166" s="25"/>
      <c r="C166" s="26"/>
      <c r="D166" s="26"/>
      <c r="E166" s="26"/>
      <c r="F166" s="26"/>
      <c r="G166" s="26"/>
      <c r="H166" s="24" t="str">
        <f aca="false">IFERROR(INDEX('Operator Master'!$B$5:$B$504,MATCH(G166,'Operator Master'!$A$5:$A$504,0)),"")</f>
        <v/>
      </c>
      <c r="I166" s="26"/>
      <c r="J166" s="26"/>
      <c r="K166" s="26"/>
      <c r="L166" s="26"/>
      <c r="M166" s="26"/>
      <c r="N166" s="26"/>
      <c r="O166" s="26"/>
      <c r="P166" s="30" t="n">
        <v>8</v>
      </c>
      <c r="Q166" s="26" t="n">
        <f aca="false">P166*J166</f>
        <v>0</v>
      </c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31"/>
      <c r="AC166" s="31"/>
      <c r="AD166" s="31"/>
      <c r="AE166" s="26"/>
      <c r="AF166" s="26"/>
      <c r="AG166" s="26"/>
    </row>
    <row r="167" customFormat="false" ht="15" hidden="false" customHeight="true" outlineLevel="0" collapsed="false">
      <c r="A167" s="24" t="n">
        <v>162</v>
      </c>
      <c r="B167" s="25"/>
      <c r="C167" s="26"/>
      <c r="D167" s="26"/>
      <c r="E167" s="26"/>
      <c r="F167" s="26"/>
      <c r="G167" s="26"/>
      <c r="H167" s="24" t="str">
        <f aca="false">IFERROR(INDEX('Operator Master'!$B$5:$B$504,MATCH(G167,'Operator Master'!$A$5:$A$504,0)),"")</f>
        <v/>
      </c>
      <c r="I167" s="26"/>
      <c r="J167" s="26"/>
      <c r="K167" s="26"/>
      <c r="L167" s="26"/>
      <c r="M167" s="26"/>
      <c r="N167" s="26"/>
      <c r="O167" s="26"/>
      <c r="P167" s="30" t="n">
        <v>8</v>
      </c>
      <c r="Q167" s="26" t="n">
        <f aca="false">P167*J167</f>
        <v>0</v>
      </c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31"/>
      <c r="AC167" s="31"/>
      <c r="AD167" s="31"/>
      <c r="AE167" s="26"/>
      <c r="AF167" s="26"/>
      <c r="AG167" s="26"/>
    </row>
    <row r="168" customFormat="false" ht="15" hidden="false" customHeight="true" outlineLevel="0" collapsed="false">
      <c r="A168" s="24" t="n">
        <v>163</v>
      </c>
      <c r="B168" s="25"/>
      <c r="C168" s="26"/>
      <c r="D168" s="26"/>
      <c r="E168" s="26"/>
      <c r="F168" s="26"/>
      <c r="G168" s="26"/>
      <c r="H168" s="24" t="str">
        <f aca="false">IFERROR(INDEX('Operator Master'!$B$5:$B$504,MATCH(G168,'Operator Master'!$A$5:$A$504,0)),"")</f>
        <v/>
      </c>
      <c r="I168" s="26"/>
      <c r="J168" s="26"/>
      <c r="K168" s="26"/>
      <c r="L168" s="26"/>
      <c r="M168" s="26"/>
      <c r="N168" s="26"/>
      <c r="O168" s="26"/>
      <c r="P168" s="30" t="n">
        <v>8</v>
      </c>
      <c r="Q168" s="26" t="n">
        <f aca="false">P168*J168</f>
        <v>0</v>
      </c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31"/>
      <c r="AC168" s="31"/>
      <c r="AD168" s="31"/>
      <c r="AE168" s="26"/>
      <c r="AF168" s="26"/>
      <c r="AG168" s="26"/>
    </row>
    <row r="169" customFormat="false" ht="15" hidden="false" customHeight="true" outlineLevel="0" collapsed="false">
      <c r="A169" s="24" t="n">
        <v>164</v>
      </c>
      <c r="B169" s="25"/>
      <c r="C169" s="26"/>
      <c r="D169" s="26"/>
      <c r="E169" s="26"/>
      <c r="F169" s="26"/>
      <c r="G169" s="26"/>
      <c r="H169" s="24" t="str">
        <f aca="false">IFERROR(INDEX('Operator Master'!$B$5:$B$504,MATCH(G169,'Operator Master'!$A$5:$A$504,0)),"")</f>
        <v/>
      </c>
      <c r="I169" s="26"/>
      <c r="J169" s="26"/>
      <c r="K169" s="26"/>
      <c r="L169" s="26"/>
      <c r="M169" s="26"/>
      <c r="N169" s="26"/>
      <c r="O169" s="26"/>
      <c r="P169" s="30" t="n">
        <v>8</v>
      </c>
      <c r="Q169" s="26" t="n">
        <f aca="false">P169*J169</f>
        <v>0</v>
      </c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31"/>
      <c r="AC169" s="31"/>
      <c r="AD169" s="31"/>
      <c r="AE169" s="26"/>
      <c r="AF169" s="26"/>
      <c r="AG169" s="26"/>
    </row>
    <row r="170" customFormat="false" ht="15" hidden="false" customHeight="true" outlineLevel="0" collapsed="false">
      <c r="A170" s="24" t="n">
        <v>165</v>
      </c>
      <c r="B170" s="25"/>
      <c r="C170" s="26"/>
      <c r="D170" s="26"/>
      <c r="E170" s="26"/>
      <c r="F170" s="26"/>
      <c r="G170" s="26"/>
      <c r="H170" s="24" t="str">
        <f aca="false">IFERROR(INDEX('Operator Master'!$B$5:$B$504,MATCH(G170,'Operator Master'!$A$5:$A$504,0)),"")</f>
        <v/>
      </c>
      <c r="I170" s="26"/>
      <c r="J170" s="26"/>
      <c r="K170" s="26"/>
      <c r="L170" s="26"/>
      <c r="M170" s="26"/>
      <c r="N170" s="26"/>
      <c r="O170" s="26"/>
      <c r="P170" s="30" t="n">
        <v>8</v>
      </c>
      <c r="Q170" s="26" t="n">
        <f aca="false">P170*J170</f>
        <v>0</v>
      </c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31"/>
      <c r="AC170" s="31"/>
      <c r="AD170" s="31"/>
      <c r="AE170" s="26"/>
      <c r="AF170" s="26"/>
      <c r="AG170" s="26"/>
    </row>
    <row r="171" customFormat="false" ht="15" hidden="false" customHeight="true" outlineLevel="0" collapsed="false">
      <c r="A171" s="24" t="n">
        <v>166</v>
      </c>
      <c r="B171" s="25"/>
      <c r="C171" s="26"/>
      <c r="D171" s="26"/>
      <c r="E171" s="26"/>
      <c r="F171" s="26"/>
      <c r="G171" s="26"/>
      <c r="H171" s="24" t="str">
        <f aca="false">IFERROR(INDEX('Operator Master'!$B$5:$B$504,MATCH(G171,'Operator Master'!$A$5:$A$504,0)),"")</f>
        <v/>
      </c>
      <c r="I171" s="26"/>
      <c r="J171" s="26"/>
      <c r="K171" s="26"/>
      <c r="L171" s="26"/>
      <c r="M171" s="26"/>
      <c r="N171" s="26"/>
      <c r="O171" s="26"/>
      <c r="P171" s="30" t="n">
        <v>8</v>
      </c>
      <c r="Q171" s="26" t="n">
        <f aca="false">P171*J171</f>
        <v>0</v>
      </c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31"/>
      <c r="AC171" s="31"/>
      <c r="AD171" s="31"/>
      <c r="AE171" s="26"/>
      <c r="AF171" s="26"/>
      <c r="AG171" s="26"/>
    </row>
    <row r="172" customFormat="false" ht="15" hidden="false" customHeight="true" outlineLevel="0" collapsed="false">
      <c r="A172" s="24" t="n">
        <v>167</v>
      </c>
      <c r="B172" s="25"/>
      <c r="C172" s="26"/>
      <c r="D172" s="26"/>
      <c r="E172" s="26"/>
      <c r="F172" s="26"/>
      <c r="G172" s="26"/>
      <c r="H172" s="24" t="str">
        <f aca="false">IFERROR(INDEX('Operator Master'!$B$5:$B$504,MATCH(G172,'Operator Master'!$A$5:$A$504,0)),"")</f>
        <v/>
      </c>
      <c r="I172" s="26"/>
      <c r="J172" s="26"/>
      <c r="K172" s="26"/>
      <c r="L172" s="26"/>
      <c r="M172" s="26"/>
      <c r="N172" s="26"/>
      <c r="O172" s="26"/>
      <c r="P172" s="30" t="n">
        <v>8</v>
      </c>
      <c r="Q172" s="26" t="n">
        <f aca="false">P172*J172</f>
        <v>0</v>
      </c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31"/>
      <c r="AC172" s="31"/>
      <c r="AD172" s="31"/>
      <c r="AE172" s="26"/>
      <c r="AF172" s="26"/>
      <c r="AG172" s="26"/>
    </row>
    <row r="173" customFormat="false" ht="15" hidden="false" customHeight="true" outlineLevel="0" collapsed="false">
      <c r="A173" s="24" t="n">
        <v>168</v>
      </c>
      <c r="B173" s="25"/>
      <c r="C173" s="26"/>
      <c r="D173" s="26"/>
      <c r="E173" s="26"/>
      <c r="F173" s="26"/>
      <c r="G173" s="26"/>
      <c r="H173" s="24" t="str">
        <f aca="false">IFERROR(INDEX('Operator Master'!$B$5:$B$504,MATCH(G173,'Operator Master'!$A$5:$A$504,0)),"")</f>
        <v/>
      </c>
      <c r="I173" s="26"/>
      <c r="J173" s="26"/>
      <c r="K173" s="26"/>
      <c r="L173" s="26"/>
      <c r="M173" s="26"/>
      <c r="N173" s="26"/>
      <c r="O173" s="26"/>
      <c r="P173" s="30" t="n">
        <v>8</v>
      </c>
      <c r="Q173" s="26" t="n">
        <f aca="false">P173*J173</f>
        <v>0</v>
      </c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31"/>
      <c r="AC173" s="31"/>
      <c r="AD173" s="31"/>
      <c r="AE173" s="26"/>
      <c r="AF173" s="26"/>
      <c r="AG173" s="26"/>
    </row>
    <row r="174" customFormat="false" ht="15" hidden="false" customHeight="true" outlineLevel="0" collapsed="false">
      <c r="A174" s="24" t="n">
        <v>169</v>
      </c>
      <c r="B174" s="25"/>
      <c r="C174" s="26"/>
      <c r="D174" s="26"/>
      <c r="E174" s="26"/>
      <c r="F174" s="26"/>
      <c r="G174" s="26"/>
      <c r="H174" s="24" t="str">
        <f aca="false">IFERROR(INDEX('Operator Master'!$B$5:$B$504,MATCH(G174,'Operator Master'!$A$5:$A$504,0)),"")</f>
        <v/>
      </c>
      <c r="I174" s="26"/>
      <c r="J174" s="26"/>
      <c r="K174" s="26"/>
      <c r="L174" s="26"/>
      <c r="M174" s="26"/>
      <c r="N174" s="26"/>
      <c r="O174" s="26"/>
      <c r="P174" s="30" t="n">
        <v>8</v>
      </c>
      <c r="Q174" s="26" t="n">
        <f aca="false">P174*J174</f>
        <v>0</v>
      </c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31"/>
      <c r="AC174" s="31"/>
      <c r="AD174" s="31"/>
      <c r="AE174" s="26"/>
      <c r="AF174" s="26"/>
      <c r="AG174" s="26"/>
    </row>
    <row r="175" customFormat="false" ht="15" hidden="false" customHeight="true" outlineLevel="0" collapsed="false">
      <c r="A175" s="24" t="n">
        <v>170</v>
      </c>
      <c r="B175" s="25"/>
      <c r="C175" s="26"/>
      <c r="D175" s="26"/>
      <c r="E175" s="26"/>
      <c r="F175" s="26"/>
      <c r="G175" s="26"/>
      <c r="H175" s="24" t="str">
        <f aca="false">IFERROR(INDEX('Operator Master'!$B$5:$B$504,MATCH(G175,'Operator Master'!$A$5:$A$504,0)),"")</f>
        <v/>
      </c>
      <c r="I175" s="26"/>
      <c r="J175" s="26"/>
      <c r="K175" s="26"/>
      <c r="L175" s="26"/>
      <c r="M175" s="26"/>
      <c r="N175" s="26"/>
      <c r="O175" s="26"/>
      <c r="P175" s="30" t="n">
        <v>8</v>
      </c>
      <c r="Q175" s="26" t="n">
        <f aca="false">P175*J175</f>
        <v>0</v>
      </c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31"/>
      <c r="AC175" s="31"/>
      <c r="AD175" s="31"/>
      <c r="AE175" s="26"/>
      <c r="AF175" s="26"/>
      <c r="AG175" s="26"/>
    </row>
    <row r="176" customFormat="false" ht="15" hidden="false" customHeight="true" outlineLevel="0" collapsed="false">
      <c r="A176" s="24" t="n">
        <v>171</v>
      </c>
      <c r="B176" s="25"/>
      <c r="C176" s="26"/>
      <c r="D176" s="26"/>
      <c r="E176" s="26"/>
      <c r="F176" s="26"/>
      <c r="G176" s="26"/>
      <c r="H176" s="24" t="str">
        <f aca="false">IFERROR(INDEX('Operator Master'!$B$5:$B$504,MATCH(G176,'Operator Master'!$A$5:$A$504,0)),"")</f>
        <v/>
      </c>
      <c r="I176" s="26"/>
      <c r="J176" s="26"/>
      <c r="K176" s="26"/>
      <c r="L176" s="26"/>
      <c r="M176" s="26"/>
      <c r="N176" s="26"/>
      <c r="O176" s="26"/>
      <c r="P176" s="30" t="n">
        <v>8</v>
      </c>
      <c r="Q176" s="26" t="n">
        <f aca="false">P176*J176</f>
        <v>0</v>
      </c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31"/>
      <c r="AC176" s="31"/>
      <c r="AD176" s="31"/>
      <c r="AE176" s="26"/>
      <c r="AF176" s="26"/>
      <c r="AG176" s="26"/>
    </row>
    <row r="177" customFormat="false" ht="15" hidden="false" customHeight="true" outlineLevel="0" collapsed="false">
      <c r="A177" s="24" t="n">
        <v>172</v>
      </c>
      <c r="B177" s="25"/>
      <c r="C177" s="26"/>
      <c r="D177" s="26"/>
      <c r="E177" s="26"/>
      <c r="F177" s="26"/>
      <c r="G177" s="26"/>
      <c r="H177" s="24" t="str">
        <f aca="false">IFERROR(INDEX('Operator Master'!$B$5:$B$504,MATCH(G177,'Operator Master'!$A$5:$A$504,0)),"")</f>
        <v/>
      </c>
      <c r="I177" s="26"/>
      <c r="J177" s="26"/>
      <c r="K177" s="26"/>
      <c r="L177" s="26"/>
      <c r="M177" s="26"/>
      <c r="N177" s="26"/>
      <c r="O177" s="26"/>
      <c r="P177" s="30" t="n">
        <v>8</v>
      </c>
      <c r="Q177" s="26" t="n">
        <f aca="false">P177*J177</f>
        <v>0</v>
      </c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31"/>
      <c r="AC177" s="31"/>
      <c r="AD177" s="31"/>
      <c r="AE177" s="26"/>
      <c r="AF177" s="26"/>
      <c r="AG177" s="26"/>
    </row>
    <row r="178" customFormat="false" ht="15" hidden="false" customHeight="true" outlineLevel="0" collapsed="false">
      <c r="A178" s="24" t="n">
        <v>173</v>
      </c>
      <c r="B178" s="25"/>
      <c r="C178" s="26"/>
      <c r="D178" s="26"/>
      <c r="E178" s="26"/>
      <c r="F178" s="26"/>
      <c r="G178" s="26"/>
      <c r="H178" s="24" t="str">
        <f aca="false">IFERROR(INDEX('Operator Master'!$B$5:$B$504,MATCH(G178,'Operator Master'!$A$5:$A$504,0)),"")</f>
        <v/>
      </c>
      <c r="I178" s="26"/>
      <c r="J178" s="26"/>
      <c r="K178" s="26"/>
      <c r="L178" s="26"/>
      <c r="M178" s="26"/>
      <c r="N178" s="26"/>
      <c r="O178" s="26"/>
      <c r="P178" s="30" t="n">
        <v>8</v>
      </c>
      <c r="Q178" s="26" t="n">
        <f aca="false">P178*J178</f>
        <v>0</v>
      </c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31"/>
      <c r="AC178" s="31"/>
      <c r="AD178" s="31"/>
      <c r="AE178" s="26"/>
      <c r="AF178" s="26"/>
      <c r="AG178" s="26"/>
    </row>
    <row r="179" customFormat="false" ht="15" hidden="false" customHeight="true" outlineLevel="0" collapsed="false">
      <c r="A179" s="24" t="n">
        <v>174</v>
      </c>
      <c r="B179" s="25"/>
      <c r="C179" s="26"/>
      <c r="D179" s="26"/>
      <c r="E179" s="26"/>
      <c r="F179" s="26"/>
      <c r="G179" s="26"/>
      <c r="H179" s="24" t="str">
        <f aca="false">IFERROR(INDEX('Operator Master'!$B$5:$B$504,MATCH(G179,'Operator Master'!$A$5:$A$504,0)),"")</f>
        <v/>
      </c>
      <c r="I179" s="26"/>
      <c r="J179" s="26"/>
      <c r="K179" s="26"/>
      <c r="L179" s="26"/>
      <c r="M179" s="26"/>
      <c r="N179" s="26"/>
      <c r="O179" s="26"/>
      <c r="P179" s="30" t="n">
        <v>8</v>
      </c>
      <c r="Q179" s="26" t="n">
        <f aca="false">P179*J179</f>
        <v>0</v>
      </c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31"/>
      <c r="AC179" s="31"/>
      <c r="AD179" s="31"/>
      <c r="AE179" s="26"/>
      <c r="AF179" s="26"/>
      <c r="AG179" s="26"/>
    </row>
    <row r="180" customFormat="false" ht="15" hidden="false" customHeight="true" outlineLevel="0" collapsed="false">
      <c r="A180" s="24" t="n">
        <v>175</v>
      </c>
      <c r="B180" s="25"/>
      <c r="C180" s="26"/>
      <c r="D180" s="26"/>
      <c r="E180" s="26"/>
      <c r="F180" s="26"/>
      <c r="G180" s="26"/>
      <c r="H180" s="24" t="str">
        <f aca="false">IFERROR(INDEX('Operator Master'!$B$5:$B$504,MATCH(G180,'Operator Master'!$A$5:$A$504,0)),"")</f>
        <v/>
      </c>
      <c r="I180" s="26"/>
      <c r="J180" s="26"/>
      <c r="K180" s="26"/>
      <c r="L180" s="26"/>
      <c r="M180" s="26"/>
      <c r="N180" s="26"/>
      <c r="O180" s="26"/>
      <c r="P180" s="30" t="n">
        <v>8</v>
      </c>
      <c r="Q180" s="26" t="n">
        <f aca="false">P180*J180</f>
        <v>0</v>
      </c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31"/>
      <c r="AC180" s="31"/>
      <c r="AD180" s="31"/>
      <c r="AE180" s="26"/>
      <c r="AF180" s="26"/>
      <c r="AG180" s="26"/>
    </row>
    <row r="181" customFormat="false" ht="15" hidden="false" customHeight="true" outlineLevel="0" collapsed="false">
      <c r="A181" s="24" t="n">
        <v>176</v>
      </c>
      <c r="B181" s="25"/>
      <c r="C181" s="26"/>
      <c r="D181" s="26"/>
      <c r="E181" s="26"/>
      <c r="F181" s="26"/>
      <c r="G181" s="26"/>
      <c r="H181" s="24" t="str">
        <f aca="false">IFERROR(INDEX('Operator Master'!$B$5:$B$504,MATCH(G181,'Operator Master'!$A$5:$A$504,0)),"")</f>
        <v/>
      </c>
      <c r="I181" s="26"/>
      <c r="J181" s="26"/>
      <c r="K181" s="26"/>
      <c r="L181" s="26"/>
      <c r="M181" s="26"/>
      <c r="N181" s="26"/>
      <c r="O181" s="26"/>
      <c r="P181" s="30" t="n">
        <v>8</v>
      </c>
      <c r="Q181" s="26" t="n">
        <f aca="false">P181*J181</f>
        <v>0</v>
      </c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31"/>
      <c r="AC181" s="31"/>
      <c r="AD181" s="31"/>
      <c r="AE181" s="26"/>
      <c r="AF181" s="26"/>
      <c r="AG181" s="26"/>
    </row>
    <row r="182" customFormat="false" ht="15" hidden="false" customHeight="true" outlineLevel="0" collapsed="false">
      <c r="A182" s="24" t="n">
        <v>177</v>
      </c>
      <c r="B182" s="25"/>
      <c r="C182" s="26"/>
      <c r="D182" s="26"/>
      <c r="E182" s="26"/>
      <c r="F182" s="26"/>
      <c r="G182" s="26"/>
      <c r="H182" s="24" t="str">
        <f aca="false">IFERROR(INDEX('Operator Master'!$B$5:$B$504,MATCH(G182,'Operator Master'!$A$5:$A$504,0)),"")</f>
        <v/>
      </c>
      <c r="I182" s="26"/>
      <c r="J182" s="26"/>
      <c r="K182" s="26"/>
      <c r="L182" s="26"/>
      <c r="M182" s="26"/>
      <c r="N182" s="26"/>
      <c r="O182" s="26"/>
      <c r="P182" s="30" t="n">
        <v>8</v>
      </c>
      <c r="Q182" s="26" t="n">
        <f aca="false">P182*J182</f>
        <v>0</v>
      </c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31"/>
      <c r="AC182" s="31"/>
      <c r="AD182" s="31"/>
      <c r="AE182" s="26"/>
      <c r="AF182" s="26"/>
      <c r="AG182" s="26"/>
    </row>
    <row r="183" customFormat="false" ht="15" hidden="false" customHeight="true" outlineLevel="0" collapsed="false">
      <c r="A183" s="24" t="n">
        <v>178</v>
      </c>
      <c r="B183" s="25"/>
      <c r="C183" s="26"/>
      <c r="D183" s="26"/>
      <c r="E183" s="26"/>
      <c r="F183" s="26"/>
      <c r="G183" s="26"/>
      <c r="H183" s="24" t="str">
        <f aca="false">IFERROR(INDEX('Operator Master'!$B$5:$B$504,MATCH(G183,'Operator Master'!$A$5:$A$504,0)),"")</f>
        <v/>
      </c>
      <c r="I183" s="26"/>
      <c r="J183" s="26"/>
      <c r="K183" s="26"/>
      <c r="L183" s="26"/>
      <c r="M183" s="26"/>
      <c r="N183" s="26"/>
      <c r="O183" s="26"/>
      <c r="P183" s="30" t="n">
        <v>8</v>
      </c>
      <c r="Q183" s="26" t="n">
        <f aca="false">P183*J183</f>
        <v>0</v>
      </c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31"/>
      <c r="AC183" s="31"/>
      <c r="AD183" s="31"/>
      <c r="AE183" s="26"/>
      <c r="AF183" s="26"/>
      <c r="AG183" s="26"/>
    </row>
    <row r="184" customFormat="false" ht="15" hidden="false" customHeight="true" outlineLevel="0" collapsed="false">
      <c r="A184" s="24" t="n">
        <v>179</v>
      </c>
      <c r="B184" s="25"/>
      <c r="C184" s="26"/>
      <c r="D184" s="26"/>
      <c r="E184" s="26"/>
      <c r="F184" s="26"/>
      <c r="G184" s="26"/>
      <c r="H184" s="24" t="str">
        <f aca="false">IFERROR(INDEX('Operator Master'!$B$5:$B$504,MATCH(G184,'Operator Master'!$A$5:$A$504,0)),"")</f>
        <v/>
      </c>
      <c r="I184" s="26"/>
      <c r="J184" s="26"/>
      <c r="K184" s="26"/>
      <c r="L184" s="26"/>
      <c r="M184" s="26"/>
      <c r="N184" s="26"/>
      <c r="O184" s="26"/>
      <c r="P184" s="30" t="n">
        <v>8</v>
      </c>
      <c r="Q184" s="26" t="n">
        <f aca="false">P184*J184</f>
        <v>0</v>
      </c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31"/>
      <c r="AC184" s="31"/>
      <c r="AD184" s="31"/>
      <c r="AE184" s="26"/>
      <c r="AF184" s="26"/>
      <c r="AG184" s="26"/>
    </row>
    <row r="185" customFormat="false" ht="15" hidden="false" customHeight="true" outlineLevel="0" collapsed="false">
      <c r="A185" s="24" t="n">
        <v>180</v>
      </c>
      <c r="B185" s="25"/>
      <c r="C185" s="26"/>
      <c r="D185" s="26"/>
      <c r="E185" s="26"/>
      <c r="F185" s="26"/>
      <c r="G185" s="26"/>
      <c r="H185" s="24" t="str">
        <f aca="false">IFERROR(INDEX('Operator Master'!$B$5:$B$504,MATCH(G185,'Operator Master'!$A$5:$A$504,0)),"")</f>
        <v/>
      </c>
      <c r="I185" s="26"/>
      <c r="J185" s="26"/>
      <c r="K185" s="26"/>
      <c r="L185" s="26"/>
      <c r="M185" s="26"/>
      <c r="N185" s="26"/>
      <c r="O185" s="26"/>
      <c r="P185" s="30" t="n">
        <v>8</v>
      </c>
      <c r="Q185" s="26" t="n">
        <f aca="false">P185*J185</f>
        <v>0</v>
      </c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31"/>
      <c r="AC185" s="31"/>
      <c r="AD185" s="31"/>
      <c r="AE185" s="26"/>
      <c r="AF185" s="26"/>
      <c r="AG185" s="26"/>
    </row>
    <row r="186" customFormat="false" ht="15" hidden="false" customHeight="true" outlineLevel="0" collapsed="false">
      <c r="A186" s="24" t="n">
        <v>181</v>
      </c>
      <c r="B186" s="25"/>
      <c r="C186" s="26"/>
      <c r="D186" s="26"/>
      <c r="E186" s="26"/>
      <c r="F186" s="26"/>
      <c r="G186" s="26"/>
      <c r="H186" s="24" t="str">
        <f aca="false">IFERROR(INDEX('Operator Master'!$B$5:$B$504,MATCH(G186,'Operator Master'!$A$5:$A$504,0)),"")</f>
        <v/>
      </c>
      <c r="I186" s="26"/>
      <c r="J186" s="26"/>
      <c r="K186" s="26"/>
      <c r="L186" s="26"/>
      <c r="M186" s="26"/>
      <c r="N186" s="26"/>
      <c r="O186" s="26"/>
      <c r="P186" s="30" t="n">
        <v>8</v>
      </c>
      <c r="Q186" s="26" t="n">
        <f aca="false">P186*J186</f>
        <v>0</v>
      </c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31"/>
      <c r="AC186" s="31"/>
      <c r="AD186" s="31"/>
      <c r="AE186" s="26"/>
      <c r="AF186" s="26"/>
      <c r="AG186" s="26"/>
    </row>
    <row r="187" customFormat="false" ht="15" hidden="false" customHeight="true" outlineLevel="0" collapsed="false">
      <c r="A187" s="24" t="n">
        <v>182</v>
      </c>
      <c r="B187" s="25"/>
      <c r="C187" s="26"/>
      <c r="D187" s="26"/>
      <c r="E187" s="26"/>
      <c r="F187" s="26"/>
      <c r="G187" s="26"/>
      <c r="H187" s="24" t="str">
        <f aca="false">IFERROR(INDEX('Operator Master'!$B$5:$B$504,MATCH(G187,'Operator Master'!$A$5:$A$504,0)),"")</f>
        <v/>
      </c>
      <c r="I187" s="26"/>
      <c r="J187" s="26"/>
      <c r="K187" s="26"/>
      <c r="L187" s="26"/>
      <c r="M187" s="26"/>
      <c r="N187" s="26"/>
      <c r="O187" s="26"/>
      <c r="P187" s="30" t="n">
        <v>8</v>
      </c>
      <c r="Q187" s="26" t="n">
        <f aca="false">P187*J187</f>
        <v>0</v>
      </c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31"/>
      <c r="AC187" s="31"/>
      <c r="AD187" s="31"/>
      <c r="AE187" s="26"/>
      <c r="AF187" s="26"/>
      <c r="AG187" s="26"/>
    </row>
    <row r="188" customFormat="false" ht="15" hidden="false" customHeight="true" outlineLevel="0" collapsed="false">
      <c r="A188" s="24" t="n">
        <v>183</v>
      </c>
      <c r="B188" s="25"/>
      <c r="C188" s="26"/>
      <c r="D188" s="26"/>
      <c r="E188" s="26"/>
      <c r="F188" s="26"/>
      <c r="G188" s="26"/>
      <c r="H188" s="24" t="str">
        <f aca="false">IFERROR(INDEX('Operator Master'!$B$5:$B$504,MATCH(G188,'Operator Master'!$A$5:$A$504,0)),"")</f>
        <v/>
      </c>
      <c r="I188" s="26"/>
      <c r="J188" s="26"/>
      <c r="K188" s="26"/>
      <c r="L188" s="26"/>
      <c r="M188" s="26"/>
      <c r="N188" s="26"/>
      <c r="O188" s="26"/>
      <c r="P188" s="30" t="n">
        <v>8</v>
      </c>
      <c r="Q188" s="26" t="n">
        <f aca="false">P188*J188</f>
        <v>0</v>
      </c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31"/>
      <c r="AC188" s="31"/>
      <c r="AD188" s="31"/>
      <c r="AE188" s="26"/>
      <c r="AF188" s="26"/>
      <c r="AG188" s="26"/>
    </row>
    <row r="189" customFormat="false" ht="15" hidden="false" customHeight="true" outlineLevel="0" collapsed="false">
      <c r="A189" s="24" t="n">
        <v>184</v>
      </c>
      <c r="B189" s="25"/>
      <c r="C189" s="26"/>
      <c r="D189" s="26"/>
      <c r="E189" s="26"/>
      <c r="F189" s="26"/>
      <c r="G189" s="26"/>
      <c r="H189" s="24" t="str">
        <f aca="false">IFERROR(INDEX('Operator Master'!$B$5:$B$504,MATCH(G189,'Operator Master'!$A$5:$A$504,0)),"")</f>
        <v/>
      </c>
      <c r="I189" s="26"/>
      <c r="J189" s="26"/>
      <c r="K189" s="26"/>
      <c r="L189" s="26"/>
      <c r="M189" s="26"/>
      <c r="N189" s="26"/>
      <c r="O189" s="26"/>
      <c r="P189" s="30" t="n">
        <v>8</v>
      </c>
      <c r="Q189" s="26" t="n">
        <f aca="false">P189*J189</f>
        <v>0</v>
      </c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31"/>
      <c r="AC189" s="31"/>
      <c r="AD189" s="31"/>
      <c r="AE189" s="26"/>
      <c r="AF189" s="26"/>
      <c r="AG189" s="26"/>
    </row>
    <row r="190" customFormat="false" ht="15" hidden="false" customHeight="true" outlineLevel="0" collapsed="false">
      <c r="A190" s="24" t="n">
        <v>185</v>
      </c>
      <c r="B190" s="25"/>
      <c r="C190" s="26"/>
      <c r="D190" s="26"/>
      <c r="E190" s="26"/>
      <c r="F190" s="26"/>
      <c r="G190" s="26"/>
      <c r="H190" s="24" t="str">
        <f aca="false">IFERROR(INDEX('Operator Master'!$B$5:$B$504,MATCH(G190,'Operator Master'!$A$5:$A$504,0)),"")</f>
        <v/>
      </c>
      <c r="I190" s="26"/>
      <c r="J190" s="26"/>
      <c r="K190" s="26"/>
      <c r="L190" s="26"/>
      <c r="M190" s="26"/>
      <c r="N190" s="26"/>
      <c r="O190" s="26"/>
      <c r="P190" s="30" t="n">
        <v>8</v>
      </c>
      <c r="Q190" s="26" t="n">
        <f aca="false">P190*J190</f>
        <v>0</v>
      </c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31"/>
      <c r="AC190" s="31"/>
      <c r="AD190" s="31"/>
      <c r="AE190" s="26"/>
      <c r="AF190" s="26"/>
      <c r="AG190" s="26"/>
    </row>
    <row r="191" customFormat="false" ht="15" hidden="false" customHeight="true" outlineLevel="0" collapsed="false">
      <c r="A191" s="24" t="n">
        <v>186</v>
      </c>
      <c r="B191" s="25"/>
      <c r="C191" s="26"/>
      <c r="D191" s="26"/>
      <c r="E191" s="26"/>
      <c r="F191" s="26"/>
      <c r="G191" s="26"/>
      <c r="H191" s="24" t="str">
        <f aca="false">IFERROR(INDEX('Operator Master'!$B$5:$B$504,MATCH(G191,'Operator Master'!$A$5:$A$504,0)),"")</f>
        <v/>
      </c>
      <c r="I191" s="26"/>
      <c r="J191" s="26"/>
      <c r="K191" s="26"/>
      <c r="L191" s="26"/>
      <c r="M191" s="26"/>
      <c r="N191" s="26"/>
      <c r="O191" s="26"/>
      <c r="P191" s="30" t="n">
        <v>8</v>
      </c>
      <c r="Q191" s="26" t="n">
        <f aca="false">P191*J191</f>
        <v>0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31"/>
      <c r="AC191" s="31"/>
      <c r="AD191" s="31"/>
      <c r="AE191" s="26"/>
      <c r="AF191" s="26"/>
      <c r="AG191" s="26"/>
    </row>
    <row r="192" customFormat="false" ht="15" hidden="false" customHeight="true" outlineLevel="0" collapsed="false">
      <c r="A192" s="24" t="n">
        <v>187</v>
      </c>
      <c r="B192" s="25"/>
      <c r="C192" s="26"/>
      <c r="D192" s="26"/>
      <c r="E192" s="26"/>
      <c r="F192" s="26"/>
      <c r="G192" s="26"/>
      <c r="H192" s="24" t="str">
        <f aca="false">IFERROR(INDEX('Operator Master'!$B$5:$B$504,MATCH(G192,'Operator Master'!$A$5:$A$504,0)),"")</f>
        <v/>
      </c>
      <c r="I192" s="26"/>
      <c r="J192" s="26"/>
      <c r="K192" s="26"/>
      <c r="L192" s="26"/>
      <c r="M192" s="26"/>
      <c r="N192" s="26"/>
      <c r="O192" s="26"/>
      <c r="P192" s="30" t="n">
        <v>8</v>
      </c>
      <c r="Q192" s="26" t="n">
        <f aca="false">P192*J192</f>
        <v>0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31"/>
      <c r="AC192" s="31"/>
      <c r="AD192" s="31"/>
      <c r="AE192" s="26"/>
      <c r="AF192" s="26"/>
      <c r="AG192" s="26"/>
    </row>
    <row r="193" customFormat="false" ht="15" hidden="false" customHeight="true" outlineLevel="0" collapsed="false">
      <c r="A193" s="24" t="n">
        <v>188</v>
      </c>
      <c r="B193" s="25"/>
      <c r="C193" s="26"/>
      <c r="D193" s="26"/>
      <c r="E193" s="26"/>
      <c r="F193" s="26"/>
      <c r="G193" s="26"/>
      <c r="H193" s="24" t="str">
        <f aca="false">IFERROR(INDEX('Operator Master'!$B$5:$B$504,MATCH(G193,'Operator Master'!$A$5:$A$504,0)),"")</f>
        <v/>
      </c>
      <c r="I193" s="26"/>
      <c r="J193" s="26"/>
      <c r="K193" s="26"/>
      <c r="L193" s="26"/>
      <c r="M193" s="26"/>
      <c r="N193" s="26"/>
      <c r="O193" s="26"/>
      <c r="P193" s="30" t="n">
        <v>8</v>
      </c>
      <c r="Q193" s="26" t="n">
        <f aca="false">P193*J193</f>
        <v>0</v>
      </c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31"/>
      <c r="AC193" s="31"/>
      <c r="AD193" s="31"/>
      <c r="AE193" s="26"/>
      <c r="AF193" s="26"/>
      <c r="AG193" s="26"/>
    </row>
    <row r="194" customFormat="false" ht="15" hidden="false" customHeight="true" outlineLevel="0" collapsed="false">
      <c r="A194" s="24" t="n">
        <v>189</v>
      </c>
      <c r="B194" s="25"/>
      <c r="C194" s="26"/>
      <c r="D194" s="26"/>
      <c r="E194" s="26"/>
      <c r="F194" s="26"/>
      <c r="G194" s="26"/>
      <c r="H194" s="24" t="str">
        <f aca="false">IFERROR(INDEX('Operator Master'!$B$5:$B$504,MATCH(G194,'Operator Master'!$A$5:$A$504,0)),"")</f>
        <v/>
      </c>
      <c r="I194" s="26"/>
      <c r="J194" s="26"/>
      <c r="K194" s="26"/>
      <c r="L194" s="26"/>
      <c r="M194" s="26"/>
      <c r="N194" s="26"/>
      <c r="O194" s="26"/>
      <c r="P194" s="30" t="n">
        <v>8</v>
      </c>
      <c r="Q194" s="26" t="n">
        <f aca="false">P194*J194</f>
        <v>0</v>
      </c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31"/>
      <c r="AC194" s="31"/>
      <c r="AD194" s="31"/>
      <c r="AE194" s="26"/>
      <c r="AF194" s="26"/>
      <c r="AG194" s="26"/>
    </row>
    <row r="195" customFormat="false" ht="15" hidden="false" customHeight="true" outlineLevel="0" collapsed="false">
      <c r="A195" s="24" t="n">
        <v>190</v>
      </c>
      <c r="B195" s="25"/>
      <c r="C195" s="26"/>
      <c r="D195" s="26"/>
      <c r="E195" s="26"/>
      <c r="F195" s="26"/>
      <c r="G195" s="26"/>
      <c r="H195" s="24" t="str">
        <f aca="false">IFERROR(INDEX('Operator Master'!$B$5:$B$504,MATCH(G195,'Operator Master'!$A$5:$A$504,0)),"")</f>
        <v/>
      </c>
      <c r="I195" s="26"/>
      <c r="J195" s="26"/>
      <c r="K195" s="26"/>
      <c r="L195" s="26"/>
      <c r="M195" s="26"/>
      <c r="N195" s="26"/>
      <c r="O195" s="26"/>
      <c r="P195" s="30" t="n">
        <v>8</v>
      </c>
      <c r="Q195" s="26" t="n">
        <f aca="false">P195*J195</f>
        <v>0</v>
      </c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31"/>
      <c r="AC195" s="31"/>
      <c r="AD195" s="31"/>
      <c r="AE195" s="26"/>
      <c r="AF195" s="26"/>
      <c r="AG195" s="26"/>
    </row>
    <row r="196" customFormat="false" ht="15" hidden="false" customHeight="true" outlineLevel="0" collapsed="false">
      <c r="A196" s="24" t="n">
        <v>191</v>
      </c>
      <c r="B196" s="25"/>
      <c r="C196" s="26"/>
      <c r="D196" s="26"/>
      <c r="E196" s="26"/>
      <c r="F196" s="26"/>
      <c r="G196" s="26"/>
      <c r="H196" s="24" t="str">
        <f aca="false">IFERROR(INDEX('Operator Master'!$B$5:$B$504,MATCH(G196,'Operator Master'!$A$5:$A$504,0)),"")</f>
        <v/>
      </c>
      <c r="I196" s="26"/>
      <c r="J196" s="26"/>
      <c r="K196" s="26"/>
      <c r="L196" s="26"/>
      <c r="M196" s="26"/>
      <c r="N196" s="26"/>
      <c r="O196" s="26"/>
      <c r="P196" s="30" t="n">
        <v>8</v>
      </c>
      <c r="Q196" s="26" t="n">
        <f aca="false">P196*J196</f>
        <v>0</v>
      </c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31"/>
      <c r="AC196" s="31"/>
      <c r="AD196" s="31"/>
      <c r="AE196" s="26"/>
      <c r="AF196" s="26"/>
      <c r="AG196" s="26"/>
    </row>
    <row r="197" customFormat="false" ht="15" hidden="false" customHeight="true" outlineLevel="0" collapsed="false">
      <c r="A197" s="24" t="n">
        <v>192</v>
      </c>
      <c r="B197" s="25"/>
      <c r="C197" s="26"/>
      <c r="D197" s="26"/>
      <c r="E197" s="26"/>
      <c r="F197" s="26"/>
      <c r="G197" s="26"/>
      <c r="H197" s="24" t="str">
        <f aca="false">IFERROR(INDEX('Operator Master'!$B$5:$B$504,MATCH(G197,'Operator Master'!$A$5:$A$504,0)),"")</f>
        <v/>
      </c>
      <c r="I197" s="26"/>
      <c r="J197" s="26"/>
      <c r="K197" s="26"/>
      <c r="L197" s="26"/>
      <c r="M197" s="26"/>
      <c r="N197" s="26"/>
      <c r="O197" s="26"/>
      <c r="P197" s="30" t="n">
        <v>8</v>
      </c>
      <c r="Q197" s="26" t="n">
        <f aca="false">P197*J197</f>
        <v>0</v>
      </c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31"/>
      <c r="AC197" s="31"/>
      <c r="AD197" s="31"/>
      <c r="AE197" s="26"/>
      <c r="AF197" s="26"/>
      <c r="AG197" s="26"/>
    </row>
    <row r="198" customFormat="false" ht="15" hidden="false" customHeight="true" outlineLevel="0" collapsed="false">
      <c r="A198" s="24" t="n">
        <v>193</v>
      </c>
      <c r="B198" s="25"/>
      <c r="C198" s="26"/>
      <c r="D198" s="26"/>
      <c r="E198" s="26"/>
      <c r="F198" s="26"/>
      <c r="G198" s="26"/>
      <c r="H198" s="24" t="str">
        <f aca="false">IFERROR(INDEX('Operator Master'!$B$5:$B$504,MATCH(G198,'Operator Master'!$A$5:$A$504,0)),"")</f>
        <v/>
      </c>
      <c r="I198" s="26"/>
      <c r="J198" s="26"/>
      <c r="K198" s="26"/>
      <c r="L198" s="26"/>
      <c r="M198" s="26"/>
      <c r="N198" s="26"/>
      <c r="O198" s="26"/>
      <c r="P198" s="30" t="n">
        <v>8</v>
      </c>
      <c r="Q198" s="26" t="n">
        <f aca="false">P198*J198</f>
        <v>0</v>
      </c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31"/>
      <c r="AC198" s="31"/>
      <c r="AD198" s="31"/>
      <c r="AE198" s="26"/>
      <c r="AF198" s="26"/>
      <c r="AG198" s="26"/>
    </row>
    <row r="199" customFormat="false" ht="15" hidden="false" customHeight="true" outlineLevel="0" collapsed="false">
      <c r="A199" s="24" t="n">
        <v>194</v>
      </c>
      <c r="B199" s="25"/>
      <c r="C199" s="26"/>
      <c r="D199" s="26"/>
      <c r="E199" s="26"/>
      <c r="F199" s="26"/>
      <c r="G199" s="26"/>
      <c r="H199" s="24" t="str">
        <f aca="false">IFERROR(INDEX('Operator Master'!$B$5:$B$504,MATCH(G199,'Operator Master'!$A$5:$A$504,0)),"")</f>
        <v/>
      </c>
      <c r="I199" s="26"/>
      <c r="J199" s="26"/>
      <c r="K199" s="26"/>
      <c r="L199" s="26"/>
      <c r="M199" s="26"/>
      <c r="N199" s="26"/>
      <c r="O199" s="26"/>
      <c r="P199" s="30" t="n">
        <v>8</v>
      </c>
      <c r="Q199" s="26" t="n">
        <f aca="false">P199*J199</f>
        <v>0</v>
      </c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31"/>
      <c r="AC199" s="31"/>
      <c r="AD199" s="31"/>
      <c r="AE199" s="26"/>
      <c r="AF199" s="26"/>
      <c r="AG199" s="26"/>
    </row>
    <row r="200" customFormat="false" ht="15" hidden="false" customHeight="true" outlineLevel="0" collapsed="false">
      <c r="A200" s="24" t="n">
        <v>195</v>
      </c>
      <c r="B200" s="25"/>
      <c r="C200" s="26"/>
      <c r="D200" s="26"/>
      <c r="E200" s="26"/>
      <c r="F200" s="26"/>
      <c r="G200" s="26"/>
      <c r="H200" s="24" t="str">
        <f aca="false">IFERROR(INDEX('Operator Master'!$B$5:$B$504,MATCH(G200,'Operator Master'!$A$5:$A$504,0)),"")</f>
        <v/>
      </c>
      <c r="I200" s="26"/>
      <c r="J200" s="26"/>
      <c r="K200" s="26"/>
      <c r="L200" s="26"/>
      <c r="M200" s="26"/>
      <c r="N200" s="26"/>
      <c r="O200" s="26"/>
      <c r="P200" s="30" t="n">
        <v>8</v>
      </c>
      <c r="Q200" s="26" t="n">
        <f aca="false">P200*J200</f>
        <v>0</v>
      </c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31"/>
      <c r="AC200" s="31"/>
      <c r="AD200" s="31"/>
      <c r="AE200" s="26"/>
      <c r="AF200" s="26"/>
      <c r="AG200" s="26"/>
    </row>
    <row r="201" customFormat="false" ht="15" hidden="false" customHeight="true" outlineLevel="0" collapsed="false">
      <c r="A201" s="24" t="n">
        <v>196</v>
      </c>
      <c r="B201" s="25"/>
      <c r="C201" s="26"/>
      <c r="D201" s="26"/>
      <c r="E201" s="26"/>
      <c r="F201" s="26"/>
      <c r="G201" s="26"/>
      <c r="H201" s="24" t="str">
        <f aca="false">IFERROR(INDEX('Operator Master'!$B$5:$B$504,MATCH(G201,'Operator Master'!$A$5:$A$504,0)),"")</f>
        <v/>
      </c>
      <c r="I201" s="26"/>
      <c r="J201" s="26"/>
      <c r="K201" s="26"/>
      <c r="L201" s="26"/>
      <c r="M201" s="26"/>
      <c r="N201" s="26"/>
      <c r="O201" s="26"/>
      <c r="P201" s="30" t="n">
        <v>8</v>
      </c>
      <c r="Q201" s="26" t="n">
        <f aca="false">P201*J201</f>
        <v>0</v>
      </c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31"/>
      <c r="AC201" s="31"/>
      <c r="AD201" s="31"/>
      <c r="AE201" s="26"/>
      <c r="AF201" s="26"/>
      <c r="AG201" s="26"/>
    </row>
    <row r="202" customFormat="false" ht="15" hidden="false" customHeight="true" outlineLevel="0" collapsed="false">
      <c r="A202" s="24" t="n">
        <v>197</v>
      </c>
      <c r="B202" s="25"/>
      <c r="C202" s="26"/>
      <c r="D202" s="26"/>
      <c r="E202" s="26"/>
      <c r="F202" s="26"/>
      <c r="G202" s="26"/>
      <c r="H202" s="24" t="str">
        <f aca="false">IFERROR(INDEX('Operator Master'!$B$5:$B$504,MATCH(G202,'Operator Master'!$A$5:$A$504,0)),"")</f>
        <v/>
      </c>
      <c r="I202" s="26"/>
      <c r="J202" s="26"/>
      <c r="K202" s="26"/>
      <c r="L202" s="26"/>
      <c r="M202" s="26"/>
      <c r="N202" s="26"/>
      <c r="O202" s="26"/>
      <c r="P202" s="30" t="n">
        <v>8</v>
      </c>
      <c r="Q202" s="26" t="n">
        <f aca="false">P202*J202</f>
        <v>0</v>
      </c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31"/>
      <c r="AC202" s="31"/>
      <c r="AD202" s="31"/>
      <c r="AE202" s="26"/>
      <c r="AF202" s="26"/>
      <c r="AG202" s="26"/>
    </row>
    <row r="203" customFormat="false" ht="15" hidden="false" customHeight="true" outlineLevel="0" collapsed="false">
      <c r="A203" s="24" t="n">
        <v>198</v>
      </c>
      <c r="B203" s="25"/>
      <c r="C203" s="26"/>
      <c r="D203" s="26"/>
      <c r="E203" s="26"/>
      <c r="F203" s="26"/>
      <c r="G203" s="26"/>
      <c r="H203" s="24" t="str">
        <f aca="false">IFERROR(INDEX('Operator Master'!$B$5:$B$504,MATCH(G203,'Operator Master'!$A$5:$A$504,0)),"")</f>
        <v/>
      </c>
      <c r="I203" s="26"/>
      <c r="J203" s="26"/>
      <c r="K203" s="26"/>
      <c r="L203" s="26"/>
      <c r="M203" s="26"/>
      <c r="N203" s="26"/>
      <c r="O203" s="26"/>
      <c r="P203" s="30" t="n">
        <v>8</v>
      </c>
      <c r="Q203" s="26" t="n">
        <f aca="false">P203*J203</f>
        <v>0</v>
      </c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31"/>
      <c r="AC203" s="31"/>
      <c r="AD203" s="31"/>
      <c r="AE203" s="26"/>
      <c r="AF203" s="26"/>
      <c r="AG203" s="26"/>
    </row>
    <row r="204" customFormat="false" ht="15" hidden="false" customHeight="true" outlineLevel="0" collapsed="false">
      <c r="A204" s="24" t="n">
        <v>199</v>
      </c>
      <c r="B204" s="25"/>
      <c r="C204" s="26"/>
      <c r="D204" s="26"/>
      <c r="E204" s="26"/>
      <c r="F204" s="26"/>
      <c r="G204" s="26"/>
      <c r="H204" s="24" t="str">
        <f aca="false">IFERROR(INDEX('Operator Master'!$B$5:$B$504,MATCH(G204,'Operator Master'!$A$5:$A$504,0)),"")</f>
        <v/>
      </c>
      <c r="I204" s="26"/>
      <c r="J204" s="26"/>
      <c r="K204" s="26"/>
      <c r="L204" s="26"/>
      <c r="M204" s="26"/>
      <c r="N204" s="26"/>
      <c r="O204" s="26"/>
      <c r="P204" s="30" t="n">
        <v>8</v>
      </c>
      <c r="Q204" s="26" t="n">
        <f aca="false">P204*J204</f>
        <v>0</v>
      </c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31"/>
      <c r="AC204" s="31"/>
      <c r="AD204" s="31"/>
      <c r="AE204" s="26"/>
      <c r="AF204" s="26"/>
      <c r="AG204" s="26"/>
    </row>
    <row r="205" customFormat="false" ht="15" hidden="false" customHeight="true" outlineLevel="0" collapsed="false">
      <c r="A205" s="24" t="n">
        <v>200</v>
      </c>
      <c r="B205" s="25"/>
      <c r="C205" s="26"/>
      <c r="D205" s="26"/>
      <c r="E205" s="26"/>
      <c r="F205" s="26"/>
      <c r="G205" s="26"/>
      <c r="H205" s="24" t="str">
        <f aca="false">IFERROR(INDEX('Operator Master'!$B$5:$B$504,MATCH(G205,'Operator Master'!$A$5:$A$504,0)),"")</f>
        <v/>
      </c>
      <c r="I205" s="26"/>
      <c r="J205" s="26"/>
      <c r="K205" s="26"/>
      <c r="L205" s="26"/>
      <c r="M205" s="26"/>
      <c r="N205" s="26"/>
      <c r="O205" s="26"/>
      <c r="P205" s="30" t="n">
        <v>8</v>
      </c>
      <c r="Q205" s="26" t="n">
        <f aca="false">P205*J205</f>
        <v>0</v>
      </c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31"/>
      <c r="AC205" s="31"/>
      <c r="AD205" s="31"/>
      <c r="AE205" s="26"/>
      <c r="AF205" s="26"/>
      <c r="AG205" s="26"/>
    </row>
    <row r="206" customFormat="false" ht="15" hidden="false" customHeight="true" outlineLevel="0" collapsed="false">
      <c r="A206" s="24" t="n">
        <v>201</v>
      </c>
      <c r="B206" s="25"/>
      <c r="C206" s="26"/>
      <c r="D206" s="26"/>
      <c r="E206" s="26"/>
      <c r="F206" s="26"/>
      <c r="G206" s="26"/>
      <c r="H206" s="24" t="str">
        <f aca="false">IFERROR(INDEX('Operator Master'!$B$5:$B$504,MATCH(G206,'Operator Master'!$A$5:$A$504,0)),"")</f>
        <v/>
      </c>
      <c r="I206" s="26"/>
      <c r="J206" s="26"/>
      <c r="K206" s="26"/>
      <c r="L206" s="26"/>
      <c r="M206" s="26"/>
      <c r="N206" s="26"/>
      <c r="O206" s="26"/>
      <c r="P206" s="30" t="n">
        <v>8</v>
      </c>
      <c r="Q206" s="26" t="n">
        <f aca="false">P206*J206</f>
        <v>0</v>
      </c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31"/>
      <c r="AC206" s="31"/>
      <c r="AD206" s="31"/>
      <c r="AE206" s="26"/>
      <c r="AF206" s="26"/>
      <c r="AG206" s="26"/>
    </row>
    <row r="207" customFormat="false" ht="15" hidden="false" customHeight="true" outlineLevel="0" collapsed="false">
      <c r="A207" s="24" t="n">
        <v>202</v>
      </c>
      <c r="B207" s="25"/>
      <c r="C207" s="26"/>
      <c r="D207" s="26"/>
      <c r="E207" s="26"/>
      <c r="F207" s="26"/>
      <c r="G207" s="26"/>
      <c r="H207" s="24" t="str">
        <f aca="false">IFERROR(INDEX('Operator Master'!$B$5:$B$504,MATCH(G207,'Operator Master'!$A$5:$A$504,0)),"")</f>
        <v/>
      </c>
      <c r="I207" s="26"/>
      <c r="J207" s="26"/>
      <c r="K207" s="26"/>
      <c r="L207" s="26"/>
      <c r="M207" s="26"/>
      <c r="N207" s="26"/>
      <c r="O207" s="26"/>
      <c r="P207" s="30" t="n">
        <v>8</v>
      </c>
      <c r="Q207" s="26" t="n">
        <f aca="false">P207*J207</f>
        <v>0</v>
      </c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31"/>
      <c r="AC207" s="31"/>
      <c r="AD207" s="31"/>
      <c r="AE207" s="26"/>
      <c r="AF207" s="26"/>
      <c r="AG207" s="26"/>
    </row>
    <row r="208" customFormat="false" ht="15" hidden="false" customHeight="true" outlineLevel="0" collapsed="false">
      <c r="A208" s="24" t="n">
        <v>203</v>
      </c>
      <c r="B208" s="25"/>
      <c r="C208" s="26"/>
      <c r="D208" s="26"/>
      <c r="E208" s="26"/>
      <c r="F208" s="26"/>
      <c r="G208" s="26"/>
      <c r="H208" s="24" t="str">
        <f aca="false">IFERROR(INDEX('Operator Master'!$B$5:$B$504,MATCH(G208,'Operator Master'!$A$5:$A$504,0)),"")</f>
        <v/>
      </c>
      <c r="I208" s="26"/>
      <c r="J208" s="26"/>
      <c r="K208" s="26"/>
      <c r="L208" s="26"/>
      <c r="M208" s="26"/>
      <c r="N208" s="26"/>
      <c r="O208" s="26"/>
      <c r="P208" s="30" t="n">
        <v>8</v>
      </c>
      <c r="Q208" s="26" t="n">
        <f aca="false">P208*J208</f>
        <v>0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31"/>
      <c r="AC208" s="31"/>
      <c r="AD208" s="31"/>
      <c r="AE208" s="26"/>
      <c r="AF208" s="26"/>
      <c r="AG208" s="26"/>
    </row>
    <row r="209" customFormat="false" ht="15" hidden="false" customHeight="true" outlineLevel="0" collapsed="false">
      <c r="A209" s="24" t="n">
        <v>204</v>
      </c>
      <c r="B209" s="25"/>
      <c r="C209" s="26"/>
      <c r="D209" s="26"/>
      <c r="E209" s="26"/>
      <c r="F209" s="26"/>
      <c r="G209" s="26"/>
      <c r="H209" s="24" t="str">
        <f aca="false">IFERROR(INDEX('Operator Master'!$B$5:$B$504,MATCH(G209,'Operator Master'!$A$5:$A$504,0)),"")</f>
        <v/>
      </c>
      <c r="I209" s="26"/>
      <c r="J209" s="26"/>
      <c r="K209" s="26"/>
      <c r="L209" s="26"/>
      <c r="M209" s="26"/>
      <c r="N209" s="26"/>
      <c r="O209" s="26"/>
      <c r="P209" s="30" t="n">
        <v>8</v>
      </c>
      <c r="Q209" s="26" t="n">
        <f aca="false">P209*J209</f>
        <v>0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31"/>
      <c r="AC209" s="31"/>
      <c r="AD209" s="31"/>
      <c r="AE209" s="26"/>
      <c r="AF209" s="26"/>
      <c r="AG209" s="26"/>
    </row>
    <row r="210" customFormat="false" ht="15" hidden="false" customHeight="true" outlineLevel="0" collapsed="false">
      <c r="A210" s="24" t="n">
        <v>205</v>
      </c>
      <c r="B210" s="25"/>
      <c r="C210" s="26"/>
      <c r="D210" s="26"/>
      <c r="E210" s="26"/>
      <c r="F210" s="26"/>
      <c r="G210" s="26"/>
      <c r="H210" s="24" t="str">
        <f aca="false">IFERROR(INDEX('Operator Master'!$B$5:$B$504,MATCH(G210,'Operator Master'!$A$5:$A$504,0)),"")</f>
        <v/>
      </c>
      <c r="I210" s="26"/>
      <c r="J210" s="26"/>
      <c r="K210" s="26"/>
      <c r="L210" s="26"/>
      <c r="M210" s="26"/>
      <c r="N210" s="26"/>
      <c r="O210" s="26"/>
      <c r="P210" s="30" t="n">
        <v>8</v>
      </c>
      <c r="Q210" s="26" t="n">
        <f aca="false">P210*J210</f>
        <v>0</v>
      </c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31"/>
      <c r="AC210" s="31"/>
      <c r="AD210" s="31"/>
      <c r="AE210" s="26"/>
      <c r="AF210" s="26"/>
      <c r="AG210" s="26"/>
    </row>
    <row r="211" customFormat="false" ht="15" hidden="false" customHeight="true" outlineLevel="0" collapsed="false">
      <c r="A211" s="24" t="n">
        <v>206</v>
      </c>
      <c r="B211" s="25"/>
      <c r="C211" s="26"/>
      <c r="D211" s="26"/>
      <c r="E211" s="26"/>
      <c r="F211" s="26"/>
      <c r="G211" s="26"/>
      <c r="H211" s="24" t="str">
        <f aca="false">IFERROR(INDEX('Operator Master'!$B$5:$B$504,MATCH(G211,'Operator Master'!$A$5:$A$504,0)),"")</f>
        <v/>
      </c>
      <c r="I211" s="26"/>
      <c r="J211" s="26"/>
      <c r="K211" s="26"/>
      <c r="L211" s="26"/>
      <c r="M211" s="26"/>
      <c r="N211" s="26"/>
      <c r="O211" s="26"/>
      <c r="P211" s="30" t="n">
        <v>8</v>
      </c>
      <c r="Q211" s="26" t="n">
        <f aca="false">P211*J211</f>
        <v>0</v>
      </c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31"/>
      <c r="AC211" s="31"/>
      <c r="AD211" s="31"/>
      <c r="AE211" s="26"/>
      <c r="AF211" s="26"/>
      <c r="AG211" s="26"/>
    </row>
    <row r="212" customFormat="false" ht="15" hidden="false" customHeight="true" outlineLevel="0" collapsed="false">
      <c r="A212" s="24" t="n">
        <v>207</v>
      </c>
      <c r="B212" s="25"/>
      <c r="C212" s="26"/>
      <c r="D212" s="26"/>
      <c r="E212" s="26"/>
      <c r="F212" s="26"/>
      <c r="G212" s="26"/>
      <c r="H212" s="24" t="str">
        <f aca="false">IFERROR(INDEX('Operator Master'!$B$5:$B$504,MATCH(G212,'Operator Master'!$A$5:$A$504,0)),"")</f>
        <v/>
      </c>
      <c r="I212" s="26"/>
      <c r="J212" s="26"/>
      <c r="K212" s="26"/>
      <c r="L212" s="26"/>
      <c r="M212" s="26"/>
      <c r="N212" s="26"/>
      <c r="O212" s="26"/>
      <c r="P212" s="30" t="n">
        <v>8</v>
      </c>
      <c r="Q212" s="26" t="n">
        <f aca="false">P212*J212</f>
        <v>0</v>
      </c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31"/>
      <c r="AC212" s="31"/>
      <c r="AD212" s="31"/>
      <c r="AE212" s="26"/>
      <c r="AF212" s="26"/>
      <c r="AG212" s="26"/>
    </row>
    <row r="213" customFormat="false" ht="15" hidden="false" customHeight="true" outlineLevel="0" collapsed="false">
      <c r="A213" s="24" t="n">
        <v>208</v>
      </c>
      <c r="B213" s="25"/>
      <c r="C213" s="26"/>
      <c r="D213" s="26"/>
      <c r="E213" s="26"/>
      <c r="F213" s="26"/>
      <c r="G213" s="26"/>
      <c r="H213" s="24" t="str">
        <f aca="false">IFERROR(INDEX('Operator Master'!$B$5:$B$504,MATCH(G213,'Operator Master'!$A$5:$A$504,0)),"")</f>
        <v/>
      </c>
      <c r="I213" s="26"/>
      <c r="J213" s="26"/>
      <c r="K213" s="26"/>
      <c r="L213" s="26"/>
      <c r="M213" s="26"/>
      <c r="N213" s="26"/>
      <c r="O213" s="26"/>
      <c r="P213" s="30" t="n">
        <v>8</v>
      </c>
      <c r="Q213" s="26" t="n">
        <f aca="false">P213*J213</f>
        <v>0</v>
      </c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31"/>
      <c r="AC213" s="31"/>
      <c r="AD213" s="31"/>
      <c r="AE213" s="26"/>
      <c r="AF213" s="26"/>
      <c r="AG213" s="26"/>
    </row>
    <row r="214" customFormat="false" ht="15" hidden="false" customHeight="true" outlineLevel="0" collapsed="false">
      <c r="A214" s="24" t="n">
        <v>209</v>
      </c>
      <c r="B214" s="25"/>
      <c r="C214" s="26"/>
      <c r="D214" s="26"/>
      <c r="E214" s="26"/>
      <c r="F214" s="26"/>
      <c r="G214" s="26"/>
      <c r="H214" s="24" t="str">
        <f aca="false">IFERROR(INDEX('Operator Master'!$B$5:$B$504,MATCH(G214,'Operator Master'!$A$5:$A$504,0)),"")</f>
        <v/>
      </c>
      <c r="I214" s="26"/>
      <c r="J214" s="26"/>
      <c r="K214" s="26"/>
      <c r="L214" s="26"/>
      <c r="M214" s="26"/>
      <c r="N214" s="26"/>
      <c r="O214" s="26"/>
      <c r="P214" s="30" t="n">
        <v>8</v>
      </c>
      <c r="Q214" s="26" t="n">
        <f aca="false">P214*J214</f>
        <v>0</v>
      </c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31"/>
      <c r="AC214" s="31"/>
      <c r="AD214" s="31"/>
      <c r="AE214" s="26"/>
      <c r="AF214" s="26"/>
      <c r="AG214" s="26"/>
    </row>
    <row r="215" customFormat="false" ht="15" hidden="false" customHeight="true" outlineLevel="0" collapsed="false">
      <c r="A215" s="24" t="n">
        <v>210</v>
      </c>
      <c r="B215" s="25"/>
      <c r="C215" s="26"/>
      <c r="D215" s="26"/>
      <c r="E215" s="26"/>
      <c r="F215" s="26"/>
      <c r="G215" s="26"/>
      <c r="H215" s="24" t="str">
        <f aca="false">IFERROR(INDEX('Operator Master'!$B$5:$B$504,MATCH(G215,'Operator Master'!$A$5:$A$504,0)),"")</f>
        <v/>
      </c>
      <c r="I215" s="26"/>
      <c r="J215" s="26"/>
      <c r="K215" s="26"/>
      <c r="L215" s="26"/>
      <c r="M215" s="26"/>
      <c r="N215" s="26"/>
      <c r="O215" s="26"/>
      <c r="P215" s="30" t="n">
        <v>8</v>
      </c>
      <c r="Q215" s="26" t="n">
        <f aca="false">P215*J215</f>
        <v>0</v>
      </c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31"/>
      <c r="AC215" s="31"/>
      <c r="AD215" s="31"/>
      <c r="AE215" s="26"/>
      <c r="AF215" s="26"/>
      <c r="AG215" s="26"/>
    </row>
    <row r="216" customFormat="false" ht="15" hidden="false" customHeight="true" outlineLevel="0" collapsed="false">
      <c r="A216" s="24" t="n">
        <v>211</v>
      </c>
      <c r="B216" s="25"/>
      <c r="C216" s="26"/>
      <c r="D216" s="26"/>
      <c r="E216" s="26"/>
      <c r="F216" s="26"/>
      <c r="G216" s="26"/>
      <c r="H216" s="24" t="str">
        <f aca="false">IFERROR(INDEX('Operator Master'!$B$5:$B$504,MATCH(G216,'Operator Master'!$A$5:$A$504,0)),"")</f>
        <v/>
      </c>
      <c r="I216" s="26"/>
      <c r="J216" s="26"/>
      <c r="K216" s="26"/>
      <c r="L216" s="26"/>
      <c r="M216" s="26"/>
      <c r="N216" s="26"/>
      <c r="O216" s="26"/>
      <c r="P216" s="30" t="n">
        <v>8</v>
      </c>
      <c r="Q216" s="26" t="n">
        <f aca="false">P216*J216</f>
        <v>0</v>
      </c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31"/>
      <c r="AC216" s="31"/>
      <c r="AD216" s="31"/>
      <c r="AE216" s="26"/>
      <c r="AF216" s="26"/>
      <c r="AG216" s="26"/>
    </row>
    <row r="217" customFormat="false" ht="15" hidden="false" customHeight="true" outlineLevel="0" collapsed="false">
      <c r="A217" s="24" t="n">
        <v>212</v>
      </c>
      <c r="B217" s="25"/>
      <c r="C217" s="26"/>
      <c r="D217" s="26"/>
      <c r="E217" s="26"/>
      <c r="F217" s="26"/>
      <c r="G217" s="26"/>
      <c r="H217" s="24" t="str">
        <f aca="false">IFERROR(INDEX('Operator Master'!$B$5:$B$504,MATCH(G217,'Operator Master'!$A$5:$A$504,0)),"")</f>
        <v/>
      </c>
      <c r="I217" s="26"/>
      <c r="J217" s="26"/>
      <c r="K217" s="26"/>
      <c r="L217" s="26"/>
      <c r="M217" s="26"/>
      <c r="N217" s="26"/>
      <c r="O217" s="26"/>
      <c r="P217" s="30" t="n">
        <v>8</v>
      </c>
      <c r="Q217" s="26" t="n">
        <f aca="false">P217*J217</f>
        <v>0</v>
      </c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31"/>
      <c r="AC217" s="31"/>
      <c r="AD217" s="31"/>
      <c r="AE217" s="26"/>
      <c r="AF217" s="26"/>
      <c r="AG217" s="26"/>
    </row>
    <row r="218" customFormat="false" ht="15" hidden="false" customHeight="true" outlineLevel="0" collapsed="false">
      <c r="A218" s="24" t="n">
        <v>213</v>
      </c>
      <c r="B218" s="25"/>
      <c r="C218" s="26"/>
      <c r="D218" s="26"/>
      <c r="E218" s="26"/>
      <c r="F218" s="26"/>
      <c r="G218" s="26"/>
      <c r="H218" s="24" t="str">
        <f aca="false">IFERROR(INDEX('Operator Master'!$B$5:$B$504,MATCH(G218,'Operator Master'!$A$5:$A$504,0)),"")</f>
        <v/>
      </c>
      <c r="I218" s="26"/>
      <c r="J218" s="26"/>
      <c r="K218" s="26"/>
      <c r="L218" s="26"/>
      <c r="M218" s="26"/>
      <c r="N218" s="26"/>
      <c r="O218" s="26"/>
      <c r="P218" s="30" t="n">
        <v>8</v>
      </c>
      <c r="Q218" s="26" t="n">
        <f aca="false">P218*J218</f>
        <v>0</v>
      </c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31"/>
      <c r="AC218" s="31"/>
      <c r="AD218" s="31"/>
      <c r="AE218" s="26"/>
      <c r="AF218" s="26"/>
      <c r="AG218" s="26"/>
    </row>
    <row r="219" customFormat="false" ht="15" hidden="false" customHeight="true" outlineLevel="0" collapsed="false">
      <c r="A219" s="24" t="n">
        <v>214</v>
      </c>
      <c r="B219" s="25"/>
      <c r="C219" s="26"/>
      <c r="D219" s="26"/>
      <c r="E219" s="26"/>
      <c r="F219" s="26"/>
      <c r="G219" s="26"/>
      <c r="H219" s="24" t="str">
        <f aca="false">IFERROR(INDEX('Operator Master'!$B$5:$B$504,MATCH(G219,'Operator Master'!$A$5:$A$504,0)),"")</f>
        <v/>
      </c>
      <c r="I219" s="26"/>
      <c r="J219" s="26"/>
      <c r="K219" s="26"/>
      <c r="L219" s="26"/>
      <c r="M219" s="26"/>
      <c r="N219" s="26"/>
      <c r="O219" s="26"/>
      <c r="P219" s="30" t="n">
        <v>8</v>
      </c>
      <c r="Q219" s="26" t="n">
        <f aca="false">P219*J219</f>
        <v>0</v>
      </c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31"/>
      <c r="AC219" s="31"/>
      <c r="AD219" s="31"/>
      <c r="AE219" s="26"/>
      <c r="AF219" s="26"/>
      <c r="AG219" s="26"/>
    </row>
    <row r="220" customFormat="false" ht="15" hidden="false" customHeight="true" outlineLevel="0" collapsed="false">
      <c r="A220" s="24" t="n">
        <v>215</v>
      </c>
      <c r="B220" s="25"/>
      <c r="C220" s="26"/>
      <c r="D220" s="26"/>
      <c r="E220" s="26"/>
      <c r="F220" s="26"/>
      <c r="G220" s="26"/>
      <c r="H220" s="24" t="str">
        <f aca="false">IFERROR(INDEX('Operator Master'!$B$5:$B$504,MATCH(G220,'Operator Master'!$A$5:$A$504,0)),"")</f>
        <v/>
      </c>
      <c r="I220" s="26"/>
      <c r="J220" s="26"/>
      <c r="K220" s="26"/>
      <c r="L220" s="26"/>
      <c r="M220" s="26"/>
      <c r="N220" s="26"/>
      <c r="O220" s="26"/>
      <c r="P220" s="30" t="n">
        <v>8</v>
      </c>
      <c r="Q220" s="26" t="n">
        <f aca="false">P220*J220</f>
        <v>0</v>
      </c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31"/>
      <c r="AC220" s="31"/>
      <c r="AD220" s="31"/>
      <c r="AE220" s="26"/>
      <c r="AF220" s="26"/>
      <c r="AG220" s="26"/>
    </row>
    <row r="221" customFormat="false" ht="15" hidden="false" customHeight="true" outlineLevel="0" collapsed="false">
      <c r="A221" s="24" t="n">
        <v>216</v>
      </c>
      <c r="B221" s="25"/>
      <c r="C221" s="26"/>
      <c r="D221" s="26"/>
      <c r="E221" s="26"/>
      <c r="F221" s="26"/>
      <c r="G221" s="26"/>
      <c r="H221" s="24" t="str">
        <f aca="false">IFERROR(INDEX('Operator Master'!$B$5:$B$504,MATCH(G221,'Operator Master'!$A$5:$A$504,0)),"")</f>
        <v/>
      </c>
      <c r="I221" s="26"/>
      <c r="J221" s="26"/>
      <c r="K221" s="26"/>
      <c r="L221" s="26"/>
      <c r="M221" s="26"/>
      <c r="N221" s="26"/>
      <c r="O221" s="26"/>
      <c r="P221" s="30" t="n">
        <v>8</v>
      </c>
      <c r="Q221" s="26" t="n">
        <f aca="false">P221*J221</f>
        <v>0</v>
      </c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31"/>
      <c r="AC221" s="31"/>
      <c r="AD221" s="31"/>
      <c r="AE221" s="26"/>
      <c r="AF221" s="26"/>
      <c r="AG221" s="26"/>
    </row>
    <row r="222" customFormat="false" ht="15" hidden="false" customHeight="true" outlineLevel="0" collapsed="false">
      <c r="A222" s="24" t="n">
        <v>217</v>
      </c>
      <c r="B222" s="25"/>
      <c r="C222" s="26"/>
      <c r="D222" s="26"/>
      <c r="E222" s="26"/>
      <c r="F222" s="26"/>
      <c r="G222" s="26"/>
      <c r="H222" s="24" t="str">
        <f aca="false">IFERROR(INDEX('Operator Master'!$B$5:$B$504,MATCH(G222,'Operator Master'!$A$5:$A$504,0)),"")</f>
        <v/>
      </c>
      <c r="I222" s="26"/>
      <c r="J222" s="26"/>
      <c r="K222" s="26"/>
      <c r="L222" s="26"/>
      <c r="M222" s="26"/>
      <c r="N222" s="26"/>
      <c r="O222" s="26"/>
      <c r="P222" s="30" t="n">
        <v>8</v>
      </c>
      <c r="Q222" s="26" t="n">
        <f aca="false">P222*J222</f>
        <v>0</v>
      </c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31"/>
      <c r="AC222" s="31"/>
      <c r="AD222" s="31"/>
      <c r="AE222" s="26"/>
      <c r="AF222" s="26"/>
      <c r="AG222" s="26"/>
    </row>
    <row r="223" customFormat="false" ht="15" hidden="false" customHeight="true" outlineLevel="0" collapsed="false">
      <c r="A223" s="24" t="n">
        <v>218</v>
      </c>
      <c r="B223" s="25"/>
      <c r="C223" s="26"/>
      <c r="D223" s="26"/>
      <c r="E223" s="26"/>
      <c r="F223" s="26"/>
      <c r="G223" s="26"/>
      <c r="H223" s="24" t="str">
        <f aca="false">IFERROR(INDEX('Operator Master'!$B$5:$B$504,MATCH(G223,'Operator Master'!$A$5:$A$504,0)),"")</f>
        <v/>
      </c>
      <c r="I223" s="26"/>
      <c r="J223" s="26"/>
      <c r="K223" s="26"/>
      <c r="L223" s="26"/>
      <c r="M223" s="26"/>
      <c r="N223" s="26"/>
      <c r="O223" s="26"/>
      <c r="P223" s="30" t="n">
        <v>8</v>
      </c>
      <c r="Q223" s="26" t="n">
        <f aca="false">P223*J223</f>
        <v>0</v>
      </c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31"/>
      <c r="AC223" s="31"/>
      <c r="AD223" s="31"/>
      <c r="AE223" s="26"/>
      <c r="AF223" s="26"/>
      <c r="AG223" s="26"/>
    </row>
    <row r="224" customFormat="false" ht="15" hidden="false" customHeight="true" outlineLevel="0" collapsed="false">
      <c r="A224" s="24" t="n">
        <v>219</v>
      </c>
      <c r="B224" s="25"/>
      <c r="C224" s="26"/>
      <c r="D224" s="26"/>
      <c r="E224" s="26"/>
      <c r="F224" s="26"/>
      <c r="G224" s="26"/>
      <c r="H224" s="24" t="str">
        <f aca="false">IFERROR(INDEX('Operator Master'!$B$5:$B$504,MATCH(G224,'Operator Master'!$A$5:$A$504,0)),"")</f>
        <v/>
      </c>
      <c r="I224" s="26"/>
      <c r="J224" s="26"/>
      <c r="K224" s="26"/>
      <c r="L224" s="26"/>
      <c r="M224" s="26"/>
      <c r="N224" s="26"/>
      <c r="O224" s="26"/>
      <c r="P224" s="30" t="n">
        <v>8</v>
      </c>
      <c r="Q224" s="26" t="n">
        <f aca="false">P224*J224</f>
        <v>0</v>
      </c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31"/>
      <c r="AC224" s="31"/>
      <c r="AD224" s="31"/>
      <c r="AE224" s="26"/>
      <c r="AF224" s="26"/>
      <c r="AG224" s="26"/>
    </row>
    <row r="225" customFormat="false" ht="15" hidden="false" customHeight="true" outlineLevel="0" collapsed="false">
      <c r="A225" s="24" t="n">
        <v>220</v>
      </c>
      <c r="B225" s="25"/>
      <c r="C225" s="26"/>
      <c r="D225" s="26"/>
      <c r="E225" s="26"/>
      <c r="F225" s="26"/>
      <c r="G225" s="26"/>
      <c r="H225" s="24" t="str">
        <f aca="false">IFERROR(INDEX('Operator Master'!$B$5:$B$504,MATCH(G225,'Operator Master'!$A$5:$A$504,0)),"")</f>
        <v/>
      </c>
      <c r="I225" s="26"/>
      <c r="J225" s="26"/>
      <c r="K225" s="26"/>
      <c r="L225" s="26"/>
      <c r="M225" s="26"/>
      <c r="N225" s="26"/>
      <c r="O225" s="26"/>
      <c r="P225" s="30" t="n">
        <v>8</v>
      </c>
      <c r="Q225" s="26" t="n">
        <f aca="false">P225*J225</f>
        <v>0</v>
      </c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31"/>
      <c r="AC225" s="31"/>
      <c r="AD225" s="31"/>
      <c r="AE225" s="26"/>
      <c r="AF225" s="26"/>
      <c r="AG225" s="26"/>
    </row>
    <row r="226" customFormat="false" ht="15" hidden="false" customHeight="true" outlineLevel="0" collapsed="false">
      <c r="A226" s="24" t="n">
        <v>221</v>
      </c>
      <c r="B226" s="25"/>
      <c r="C226" s="26"/>
      <c r="D226" s="26"/>
      <c r="E226" s="26"/>
      <c r="F226" s="26"/>
      <c r="G226" s="26"/>
      <c r="H226" s="24" t="str">
        <f aca="false">IFERROR(INDEX('Operator Master'!$B$5:$B$504,MATCH(G226,'Operator Master'!$A$5:$A$504,0)),"")</f>
        <v/>
      </c>
      <c r="I226" s="26"/>
      <c r="J226" s="26"/>
      <c r="K226" s="26"/>
      <c r="L226" s="26"/>
      <c r="M226" s="26"/>
      <c r="N226" s="26"/>
      <c r="O226" s="26"/>
      <c r="P226" s="30" t="n">
        <v>8</v>
      </c>
      <c r="Q226" s="26" t="n">
        <f aca="false">P226*J226</f>
        <v>0</v>
      </c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31"/>
      <c r="AC226" s="31"/>
      <c r="AD226" s="31"/>
      <c r="AE226" s="26"/>
      <c r="AF226" s="26"/>
      <c r="AG226" s="26"/>
    </row>
    <row r="227" customFormat="false" ht="15" hidden="false" customHeight="true" outlineLevel="0" collapsed="false">
      <c r="A227" s="24" t="n">
        <v>222</v>
      </c>
      <c r="B227" s="25"/>
      <c r="C227" s="26"/>
      <c r="D227" s="26"/>
      <c r="E227" s="26"/>
      <c r="F227" s="26"/>
      <c r="G227" s="26"/>
      <c r="H227" s="24" t="str">
        <f aca="false">IFERROR(INDEX('Operator Master'!$B$5:$B$504,MATCH(G227,'Operator Master'!$A$5:$A$504,0)),"")</f>
        <v/>
      </c>
      <c r="I227" s="26"/>
      <c r="J227" s="26"/>
      <c r="K227" s="26"/>
      <c r="L227" s="26"/>
      <c r="M227" s="26"/>
      <c r="N227" s="26"/>
      <c r="O227" s="26"/>
      <c r="P227" s="30" t="n">
        <v>8</v>
      </c>
      <c r="Q227" s="26" t="n">
        <f aca="false">P227*J227</f>
        <v>0</v>
      </c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31"/>
      <c r="AC227" s="31"/>
      <c r="AD227" s="31"/>
      <c r="AE227" s="26"/>
      <c r="AF227" s="26"/>
      <c r="AG227" s="26"/>
    </row>
    <row r="228" customFormat="false" ht="15" hidden="false" customHeight="true" outlineLevel="0" collapsed="false">
      <c r="A228" s="24" t="n">
        <v>223</v>
      </c>
      <c r="B228" s="25"/>
      <c r="C228" s="26"/>
      <c r="D228" s="26"/>
      <c r="E228" s="26"/>
      <c r="F228" s="26"/>
      <c r="G228" s="26"/>
      <c r="H228" s="24" t="str">
        <f aca="false">IFERROR(INDEX('Operator Master'!$B$5:$B$504,MATCH(G228,'Operator Master'!$A$5:$A$504,0)),"")</f>
        <v/>
      </c>
      <c r="I228" s="26"/>
      <c r="J228" s="26"/>
      <c r="K228" s="26"/>
      <c r="L228" s="26"/>
      <c r="M228" s="26"/>
      <c r="N228" s="26"/>
      <c r="O228" s="26"/>
      <c r="P228" s="30" t="n">
        <v>8</v>
      </c>
      <c r="Q228" s="26" t="n">
        <f aca="false">P228*J228</f>
        <v>0</v>
      </c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31"/>
      <c r="AC228" s="31"/>
      <c r="AD228" s="31"/>
      <c r="AE228" s="26"/>
      <c r="AF228" s="26"/>
      <c r="AG228" s="26"/>
    </row>
    <row r="229" customFormat="false" ht="15" hidden="false" customHeight="true" outlineLevel="0" collapsed="false">
      <c r="A229" s="24" t="n">
        <v>224</v>
      </c>
      <c r="B229" s="25"/>
      <c r="C229" s="26"/>
      <c r="D229" s="26"/>
      <c r="E229" s="26"/>
      <c r="F229" s="26"/>
      <c r="G229" s="26"/>
      <c r="H229" s="24" t="str">
        <f aca="false">IFERROR(INDEX('Operator Master'!$B$5:$B$504,MATCH(G229,'Operator Master'!$A$5:$A$504,0)),"")</f>
        <v/>
      </c>
      <c r="I229" s="26"/>
      <c r="J229" s="26"/>
      <c r="K229" s="26"/>
      <c r="L229" s="26"/>
      <c r="M229" s="26"/>
      <c r="N229" s="26"/>
      <c r="O229" s="26"/>
      <c r="P229" s="30" t="n">
        <v>8</v>
      </c>
      <c r="Q229" s="26" t="n">
        <f aca="false">P229*J229</f>
        <v>0</v>
      </c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31"/>
      <c r="AC229" s="31"/>
      <c r="AD229" s="31"/>
      <c r="AE229" s="26"/>
      <c r="AF229" s="26"/>
      <c r="AG229" s="26"/>
    </row>
    <row r="230" customFormat="false" ht="15" hidden="false" customHeight="true" outlineLevel="0" collapsed="false">
      <c r="A230" s="24" t="n">
        <v>225</v>
      </c>
      <c r="B230" s="25"/>
      <c r="C230" s="26"/>
      <c r="D230" s="26"/>
      <c r="E230" s="26"/>
      <c r="F230" s="26"/>
      <c r="G230" s="26"/>
      <c r="H230" s="24" t="str">
        <f aca="false">IFERROR(INDEX('Operator Master'!$B$5:$B$504,MATCH(G230,'Operator Master'!$A$5:$A$504,0)),"")</f>
        <v/>
      </c>
      <c r="I230" s="26"/>
      <c r="J230" s="26"/>
      <c r="K230" s="26"/>
      <c r="L230" s="26"/>
      <c r="M230" s="26"/>
      <c r="N230" s="26"/>
      <c r="O230" s="26"/>
      <c r="P230" s="30" t="n">
        <v>8</v>
      </c>
      <c r="Q230" s="26" t="n">
        <f aca="false">P230*J230</f>
        <v>0</v>
      </c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31"/>
      <c r="AC230" s="31"/>
      <c r="AD230" s="31"/>
      <c r="AE230" s="26"/>
      <c r="AF230" s="26"/>
      <c r="AG230" s="26"/>
    </row>
    <row r="231" customFormat="false" ht="15" hidden="false" customHeight="true" outlineLevel="0" collapsed="false">
      <c r="A231" s="24" t="n">
        <v>226</v>
      </c>
      <c r="B231" s="25"/>
      <c r="C231" s="26"/>
      <c r="D231" s="26"/>
      <c r="E231" s="26"/>
      <c r="F231" s="26"/>
      <c r="G231" s="26"/>
      <c r="H231" s="24" t="str">
        <f aca="false">IFERROR(INDEX('Operator Master'!$B$5:$B$504,MATCH(G231,'Operator Master'!$A$5:$A$504,0)),"")</f>
        <v/>
      </c>
      <c r="I231" s="26"/>
      <c r="J231" s="26"/>
      <c r="K231" s="26"/>
      <c r="L231" s="26"/>
      <c r="M231" s="26"/>
      <c r="N231" s="26"/>
      <c r="O231" s="26"/>
      <c r="P231" s="30" t="n">
        <v>8</v>
      </c>
      <c r="Q231" s="26" t="n">
        <f aca="false">P231*J231</f>
        <v>0</v>
      </c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31"/>
      <c r="AC231" s="31"/>
      <c r="AD231" s="31"/>
      <c r="AE231" s="26"/>
      <c r="AF231" s="26"/>
      <c r="AG231" s="26"/>
    </row>
    <row r="232" customFormat="false" ht="15" hidden="false" customHeight="true" outlineLevel="0" collapsed="false">
      <c r="A232" s="24" t="n">
        <v>227</v>
      </c>
      <c r="B232" s="25"/>
      <c r="C232" s="26"/>
      <c r="D232" s="26"/>
      <c r="E232" s="26"/>
      <c r="F232" s="26"/>
      <c r="G232" s="26"/>
      <c r="H232" s="24" t="str">
        <f aca="false">IFERROR(INDEX('Operator Master'!$B$5:$B$504,MATCH(G232,'Operator Master'!$A$5:$A$504,0)),"")</f>
        <v/>
      </c>
      <c r="I232" s="26"/>
      <c r="J232" s="26"/>
      <c r="K232" s="26"/>
      <c r="L232" s="26"/>
      <c r="M232" s="26"/>
      <c r="N232" s="26"/>
      <c r="O232" s="26"/>
      <c r="P232" s="30" t="n">
        <v>8</v>
      </c>
      <c r="Q232" s="26" t="n">
        <f aca="false">P232*J232</f>
        <v>0</v>
      </c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31"/>
      <c r="AC232" s="31"/>
      <c r="AD232" s="31"/>
      <c r="AE232" s="26"/>
      <c r="AF232" s="26"/>
      <c r="AG232" s="26"/>
    </row>
    <row r="233" customFormat="false" ht="15" hidden="false" customHeight="true" outlineLevel="0" collapsed="false">
      <c r="A233" s="24" t="n">
        <v>228</v>
      </c>
      <c r="B233" s="25"/>
      <c r="C233" s="26"/>
      <c r="D233" s="26"/>
      <c r="E233" s="26"/>
      <c r="F233" s="26"/>
      <c r="G233" s="26"/>
      <c r="H233" s="24" t="str">
        <f aca="false">IFERROR(INDEX('Operator Master'!$B$5:$B$504,MATCH(G233,'Operator Master'!$A$5:$A$504,0)),"")</f>
        <v/>
      </c>
      <c r="I233" s="26"/>
      <c r="J233" s="26"/>
      <c r="K233" s="26"/>
      <c r="L233" s="26"/>
      <c r="M233" s="26"/>
      <c r="N233" s="26"/>
      <c r="O233" s="26"/>
      <c r="P233" s="30" t="n">
        <v>8</v>
      </c>
      <c r="Q233" s="26" t="n">
        <f aca="false">P233*J233</f>
        <v>0</v>
      </c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31"/>
      <c r="AC233" s="31"/>
      <c r="AD233" s="31"/>
      <c r="AE233" s="26"/>
      <c r="AF233" s="26"/>
      <c r="AG233" s="26"/>
    </row>
    <row r="234" customFormat="false" ht="15" hidden="false" customHeight="true" outlineLevel="0" collapsed="false">
      <c r="A234" s="24" t="n">
        <v>229</v>
      </c>
      <c r="B234" s="25"/>
      <c r="C234" s="26"/>
      <c r="D234" s="26"/>
      <c r="E234" s="26"/>
      <c r="F234" s="26"/>
      <c r="G234" s="26"/>
      <c r="H234" s="24" t="str">
        <f aca="false">IFERROR(INDEX('Operator Master'!$B$5:$B$504,MATCH(G234,'Operator Master'!$A$5:$A$504,0)),"")</f>
        <v/>
      </c>
      <c r="I234" s="26"/>
      <c r="J234" s="26"/>
      <c r="K234" s="26"/>
      <c r="L234" s="26"/>
      <c r="M234" s="26"/>
      <c r="N234" s="26"/>
      <c r="O234" s="26"/>
      <c r="P234" s="30" t="n">
        <v>8</v>
      </c>
      <c r="Q234" s="26" t="n">
        <f aca="false">P234*J234</f>
        <v>0</v>
      </c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31"/>
      <c r="AC234" s="31"/>
      <c r="AD234" s="31"/>
      <c r="AE234" s="26"/>
      <c r="AF234" s="26"/>
      <c r="AG234" s="26"/>
    </row>
    <row r="235" customFormat="false" ht="15" hidden="false" customHeight="true" outlineLevel="0" collapsed="false">
      <c r="A235" s="24" t="n">
        <v>230</v>
      </c>
      <c r="B235" s="25"/>
      <c r="C235" s="26"/>
      <c r="D235" s="26"/>
      <c r="E235" s="26"/>
      <c r="F235" s="26"/>
      <c r="G235" s="26"/>
      <c r="H235" s="24" t="str">
        <f aca="false">IFERROR(INDEX('Operator Master'!$B$5:$B$504,MATCH(G235,'Operator Master'!$A$5:$A$504,0)),"")</f>
        <v/>
      </c>
      <c r="I235" s="26"/>
      <c r="J235" s="26"/>
      <c r="K235" s="26"/>
      <c r="L235" s="26"/>
      <c r="M235" s="26"/>
      <c r="N235" s="26"/>
      <c r="O235" s="26"/>
      <c r="P235" s="30" t="n">
        <v>8</v>
      </c>
      <c r="Q235" s="26" t="n">
        <f aca="false">P235*J235</f>
        <v>0</v>
      </c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31"/>
      <c r="AC235" s="31"/>
      <c r="AD235" s="31"/>
      <c r="AE235" s="26"/>
      <c r="AF235" s="26"/>
      <c r="AG235" s="26"/>
    </row>
    <row r="236" customFormat="false" ht="15" hidden="false" customHeight="true" outlineLevel="0" collapsed="false">
      <c r="A236" s="24" t="n">
        <v>231</v>
      </c>
      <c r="B236" s="25"/>
      <c r="C236" s="26"/>
      <c r="D236" s="26"/>
      <c r="E236" s="26"/>
      <c r="F236" s="26"/>
      <c r="G236" s="26"/>
      <c r="H236" s="24" t="str">
        <f aca="false">IFERROR(INDEX('Operator Master'!$B$5:$B$504,MATCH(G236,'Operator Master'!$A$5:$A$504,0)),"")</f>
        <v/>
      </c>
      <c r="I236" s="26"/>
      <c r="J236" s="26"/>
      <c r="K236" s="26"/>
      <c r="L236" s="26"/>
      <c r="M236" s="26"/>
      <c r="N236" s="26"/>
      <c r="O236" s="26"/>
      <c r="P236" s="30" t="n">
        <v>8</v>
      </c>
      <c r="Q236" s="26" t="n">
        <f aca="false">P236*J236</f>
        <v>0</v>
      </c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31"/>
      <c r="AC236" s="31"/>
      <c r="AD236" s="31"/>
      <c r="AE236" s="26"/>
      <c r="AF236" s="26"/>
      <c r="AG236" s="26"/>
    </row>
    <row r="237" customFormat="false" ht="15" hidden="false" customHeight="true" outlineLevel="0" collapsed="false">
      <c r="A237" s="24" t="n">
        <v>232</v>
      </c>
      <c r="B237" s="25"/>
      <c r="C237" s="26"/>
      <c r="D237" s="26"/>
      <c r="E237" s="26"/>
      <c r="F237" s="26"/>
      <c r="G237" s="26"/>
      <c r="H237" s="24" t="str">
        <f aca="false">IFERROR(INDEX('Operator Master'!$B$5:$B$504,MATCH(G237,'Operator Master'!$A$5:$A$504,0)),"")</f>
        <v/>
      </c>
      <c r="I237" s="26"/>
      <c r="J237" s="26"/>
      <c r="K237" s="26"/>
      <c r="L237" s="26"/>
      <c r="M237" s="26"/>
      <c r="N237" s="26"/>
      <c r="O237" s="26"/>
      <c r="P237" s="30" t="n">
        <v>8</v>
      </c>
      <c r="Q237" s="26" t="n">
        <f aca="false">P237*J237</f>
        <v>0</v>
      </c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31"/>
      <c r="AC237" s="31"/>
      <c r="AD237" s="31"/>
      <c r="AE237" s="26"/>
      <c r="AF237" s="26"/>
      <c r="AG237" s="26"/>
    </row>
    <row r="238" customFormat="false" ht="15" hidden="false" customHeight="true" outlineLevel="0" collapsed="false">
      <c r="A238" s="24" t="n">
        <v>233</v>
      </c>
      <c r="B238" s="25"/>
      <c r="C238" s="26"/>
      <c r="D238" s="26"/>
      <c r="E238" s="26"/>
      <c r="F238" s="26"/>
      <c r="G238" s="26"/>
      <c r="H238" s="24" t="str">
        <f aca="false">IFERROR(INDEX('Operator Master'!$B$5:$B$504,MATCH(G238,'Operator Master'!$A$5:$A$504,0)),"")</f>
        <v/>
      </c>
      <c r="I238" s="26"/>
      <c r="J238" s="26"/>
      <c r="K238" s="26"/>
      <c r="L238" s="26"/>
      <c r="M238" s="26"/>
      <c r="N238" s="26"/>
      <c r="O238" s="26"/>
      <c r="P238" s="30" t="n">
        <v>8</v>
      </c>
      <c r="Q238" s="26" t="n">
        <f aca="false">P238*J238</f>
        <v>0</v>
      </c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31"/>
      <c r="AC238" s="31"/>
      <c r="AD238" s="31"/>
      <c r="AE238" s="26"/>
      <c r="AF238" s="26"/>
      <c r="AG238" s="26"/>
    </row>
    <row r="239" customFormat="false" ht="15" hidden="false" customHeight="true" outlineLevel="0" collapsed="false">
      <c r="A239" s="24" t="n">
        <v>234</v>
      </c>
      <c r="B239" s="25"/>
      <c r="C239" s="26"/>
      <c r="D239" s="26"/>
      <c r="E239" s="26"/>
      <c r="F239" s="26"/>
      <c r="G239" s="26"/>
      <c r="H239" s="24" t="str">
        <f aca="false">IFERROR(INDEX('Operator Master'!$B$5:$B$504,MATCH(G239,'Operator Master'!$A$5:$A$504,0)),"")</f>
        <v/>
      </c>
      <c r="I239" s="26"/>
      <c r="J239" s="26"/>
      <c r="K239" s="26"/>
      <c r="L239" s="26"/>
      <c r="M239" s="26"/>
      <c r="N239" s="26"/>
      <c r="O239" s="26"/>
      <c r="P239" s="30" t="n">
        <v>8</v>
      </c>
      <c r="Q239" s="26" t="n">
        <f aca="false">P239*J239</f>
        <v>0</v>
      </c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31"/>
      <c r="AC239" s="31"/>
      <c r="AD239" s="31"/>
      <c r="AE239" s="26"/>
      <c r="AF239" s="26"/>
      <c r="AG239" s="26"/>
    </row>
    <row r="240" customFormat="false" ht="15" hidden="false" customHeight="true" outlineLevel="0" collapsed="false">
      <c r="A240" s="24" t="n">
        <v>235</v>
      </c>
      <c r="B240" s="25"/>
      <c r="C240" s="26"/>
      <c r="D240" s="26"/>
      <c r="E240" s="26"/>
      <c r="F240" s="26"/>
      <c r="G240" s="26"/>
      <c r="H240" s="24" t="str">
        <f aca="false">IFERROR(INDEX('Operator Master'!$B$5:$B$504,MATCH(G240,'Operator Master'!$A$5:$A$504,0)),"")</f>
        <v/>
      </c>
      <c r="I240" s="26"/>
      <c r="J240" s="26"/>
      <c r="K240" s="26"/>
      <c r="L240" s="26"/>
      <c r="M240" s="26"/>
      <c r="N240" s="26"/>
      <c r="O240" s="26"/>
      <c r="P240" s="30" t="n">
        <v>8</v>
      </c>
      <c r="Q240" s="26" t="n">
        <f aca="false">P240*J240</f>
        <v>0</v>
      </c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31"/>
      <c r="AC240" s="31"/>
      <c r="AD240" s="31"/>
      <c r="AE240" s="26"/>
      <c r="AF240" s="26"/>
      <c r="AG240" s="26"/>
    </row>
    <row r="241" customFormat="false" ht="15" hidden="false" customHeight="true" outlineLevel="0" collapsed="false">
      <c r="A241" s="24" t="n">
        <v>236</v>
      </c>
      <c r="B241" s="25"/>
      <c r="C241" s="26"/>
      <c r="D241" s="26"/>
      <c r="E241" s="26"/>
      <c r="F241" s="26"/>
      <c r="G241" s="26"/>
      <c r="H241" s="24" t="str">
        <f aca="false">IFERROR(INDEX('Operator Master'!$B$5:$B$504,MATCH(G241,'Operator Master'!$A$5:$A$504,0)),"")</f>
        <v/>
      </c>
      <c r="I241" s="26"/>
      <c r="J241" s="26"/>
      <c r="K241" s="26"/>
      <c r="L241" s="26"/>
      <c r="M241" s="26"/>
      <c r="N241" s="26"/>
      <c r="O241" s="26"/>
      <c r="P241" s="30" t="n">
        <v>8</v>
      </c>
      <c r="Q241" s="26" t="n">
        <f aca="false">P241*J241</f>
        <v>0</v>
      </c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31"/>
      <c r="AC241" s="31"/>
      <c r="AD241" s="31"/>
      <c r="AE241" s="26"/>
      <c r="AF241" s="26"/>
      <c r="AG241" s="26"/>
    </row>
    <row r="242" customFormat="false" ht="15" hidden="false" customHeight="true" outlineLevel="0" collapsed="false">
      <c r="A242" s="24" t="n">
        <v>237</v>
      </c>
      <c r="B242" s="25"/>
      <c r="C242" s="26"/>
      <c r="D242" s="26"/>
      <c r="E242" s="26"/>
      <c r="F242" s="26"/>
      <c r="G242" s="26"/>
      <c r="H242" s="24" t="str">
        <f aca="false">IFERROR(INDEX('Operator Master'!$B$5:$B$504,MATCH(G242,'Operator Master'!$A$5:$A$504,0)),"")</f>
        <v/>
      </c>
      <c r="I242" s="26"/>
      <c r="J242" s="26"/>
      <c r="K242" s="26"/>
      <c r="L242" s="26"/>
      <c r="M242" s="26"/>
      <c r="N242" s="26"/>
      <c r="O242" s="26"/>
      <c r="P242" s="30" t="n">
        <v>8</v>
      </c>
      <c r="Q242" s="26" t="n">
        <f aca="false">P242*J242</f>
        <v>0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31"/>
      <c r="AC242" s="31"/>
      <c r="AD242" s="31"/>
      <c r="AE242" s="26"/>
      <c r="AF242" s="26"/>
      <c r="AG242" s="26"/>
    </row>
    <row r="243" customFormat="false" ht="15" hidden="false" customHeight="true" outlineLevel="0" collapsed="false">
      <c r="A243" s="24" t="n">
        <v>238</v>
      </c>
      <c r="B243" s="25"/>
      <c r="C243" s="26"/>
      <c r="D243" s="26"/>
      <c r="E243" s="26"/>
      <c r="F243" s="26"/>
      <c r="G243" s="26"/>
      <c r="H243" s="24" t="str">
        <f aca="false">IFERROR(INDEX('Operator Master'!$B$5:$B$504,MATCH(G243,'Operator Master'!$A$5:$A$504,0)),"")</f>
        <v/>
      </c>
      <c r="I243" s="26"/>
      <c r="J243" s="26"/>
      <c r="K243" s="26"/>
      <c r="L243" s="26"/>
      <c r="M243" s="26"/>
      <c r="N243" s="26"/>
      <c r="O243" s="26"/>
      <c r="P243" s="30" t="n">
        <v>8</v>
      </c>
      <c r="Q243" s="26" t="n">
        <f aca="false">P243*J243</f>
        <v>0</v>
      </c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31"/>
      <c r="AC243" s="31"/>
      <c r="AD243" s="31"/>
      <c r="AE243" s="26"/>
      <c r="AF243" s="26"/>
      <c r="AG243" s="26"/>
    </row>
    <row r="244" customFormat="false" ht="15" hidden="false" customHeight="true" outlineLevel="0" collapsed="false">
      <c r="A244" s="24" t="n">
        <v>239</v>
      </c>
      <c r="B244" s="25"/>
      <c r="C244" s="26"/>
      <c r="D244" s="26"/>
      <c r="E244" s="26"/>
      <c r="F244" s="26"/>
      <c r="G244" s="26"/>
      <c r="H244" s="24" t="str">
        <f aca="false">IFERROR(INDEX('Operator Master'!$B$5:$B$504,MATCH(G244,'Operator Master'!$A$5:$A$504,0)),"")</f>
        <v/>
      </c>
      <c r="I244" s="26"/>
      <c r="J244" s="26"/>
      <c r="K244" s="26"/>
      <c r="L244" s="26"/>
      <c r="M244" s="26"/>
      <c r="N244" s="26"/>
      <c r="O244" s="26"/>
      <c r="P244" s="30" t="n">
        <v>8</v>
      </c>
      <c r="Q244" s="26" t="n">
        <f aca="false">P244*J244</f>
        <v>0</v>
      </c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31"/>
      <c r="AC244" s="31"/>
      <c r="AD244" s="31"/>
      <c r="AE244" s="26"/>
      <c r="AF244" s="26"/>
      <c r="AG244" s="26"/>
    </row>
    <row r="245" customFormat="false" ht="15" hidden="false" customHeight="true" outlineLevel="0" collapsed="false">
      <c r="A245" s="24" t="n">
        <v>240</v>
      </c>
      <c r="B245" s="25"/>
      <c r="C245" s="26"/>
      <c r="D245" s="26"/>
      <c r="E245" s="26"/>
      <c r="F245" s="26"/>
      <c r="G245" s="26"/>
      <c r="H245" s="24" t="str">
        <f aca="false">IFERROR(INDEX('Operator Master'!$B$5:$B$504,MATCH(G245,'Operator Master'!$A$5:$A$504,0)),"")</f>
        <v/>
      </c>
      <c r="I245" s="26"/>
      <c r="J245" s="26"/>
      <c r="K245" s="26"/>
      <c r="L245" s="26"/>
      <c r="M245" s="26"/>
      <c r="N245" s="26"/>
      <c r="O245" s="26"/>
      <c r="P245" s="30" t="n">
        <v>8</v>
      </c>
      <c r="Q245" s="26" t="n">
        <f aca="false">P245*J245</f>
        <v>0</v>
      </c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31"/>
      <c r="AC245" s="31"/>
      <c r="AD245" s="31"/>
      <c r="AE245" s="26"/>
      <c r="AF245" s="26"/>
      <c r="AG245" s="26"/>
    </row>
    <row r="246" customFormat="false" ht="15" hidden="false" customHeight="true" outlineLevel="0" collapsed="false">
      <c r="A246" s="24" t="n">
        <v>241</v>
      </c>
      <c r="B246" s="25"/>
      <c r="C246" s="26"/>
      <c r="D246" s="26"/>
      <c r="E246" s="26"/>
      <c r="F246" s="26"/>
      <c r="G246" s="26"/>
      <c r="H246" s="24" t="str">
        <f aca="false">IFERROR(INDEX('Operator Master'!$B$5:$B$504,MATCH(G246,'Operator Master'!$A$5:$A$504,0)),"")</f>
        <v/>
      </c>
      <c r="I246" s="26"/>
      <c r="J246" s="26"/>
      <c r="K246" s="26"/>
      <c r="L246" s="26"/>
      <c r="M246" s="26"/>
      <c r="N246" s="26"/>
      <c r="O246" s="26"/>
      <c r="P246" s="30" t="n">
        <v>8</v>
      </c>
      <c r="Q246" s="26" t="n">
        <f aca="false">P246*J246</f>
        <v>0</v>
      </c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31"/>
      <c r="AC246" s="31"/>
      <c r="AD246" s="31"/>
      <c r="AE246" s="26"/>
      <c r="AF246" s="26"/>
      <c r="AG246" s="26"/>
    </row>
    <row r="247" customFormat="false" ht="15" hidden="false" customHeight="true" outlineLevel="0" collapsed="false">
      <c r="A247" s="24" t="n">
        <v>242</v>
      </c>
      <c r="B247" s="25"/>
      <c r="C247" s="26"/>
      <c r="D247" s="26"/>
      <c r="E247" s="26"/>
      <c r="F247" s="26"/>
      <c r="G247" s="26"/>
      <c r="H247" s="24" t="str">
        <f aca="false">IFERROR(INDEX('Operator Master'!$B$5:$B$504,MATCH(G247,'Operator Master'!$A$5:$A$504,0)),"")</f>
        <v/>
      </c>
      <c r="I247" s="26"/>
      <c r="J247" s="26"/>
      <c r="K247" s="26"/>
      <c r="L247" s="26"/>
      <c r="M247" s="26"/>
      <c r="N247" s="26"/>
      <c r="O247" s="26"/>
      <c r="P247" s="30" t="n">
        <v>8</v>
      </c>
      <c r="Q247" s="26" t="n">
        <f aca="false">P247*J247</f>
        <v>0</v>
      </c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31"/>
      <c r="AC247" s="31"/>
      <c r="AD247" s="31"/>
      <c r="AE247" s="26"/>
      <c r="AF247" s="26"/>
      <c r="AG247" s="26"/>
    </row>
    <row r="248" customFormat="false" ht="15" hidden="false" customHeight="true" outlineLevel="0" collapsed="false">
      <c r="A248" s="24" t="n">
        <v>243</v>
      </c>
      <c r="B248" s="25"/>
      <c r="C248" s="26"/>
      <c r="D248" s="26"/>
      <c r="E248" s="26"/>
      <c r="F248" s="26"/>
      <c r="G248" s="26"/>
      <c r="H248" s="24" t="str">
        <f aca="false">IFERROR(INDEX('Operator Master'!$B$5:$B$504,MATCH(G248,'Operator Master'!$A$5:$A$504,0)),"")</f>
        <v/>
      </c>
      <c r="I248" s="26"/>
      <c r="J248" s="26"/>
      <c r="K248" s="26"/>
      <c r="L248" s="26"/>
      <c r="M248" s="26"/>
      <c r="N248" s="26"/>
      <c r="O248" s="26"/>
      <c r="P248" s="30" t="n">
        <v>8</v>
      </c>
      <c r="Q248" s="26" t="n">
        <f aca="false">P248*J248</f>
        <v>0</v>
      </c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31"/>
      <c r="AC248" s="31"/>
      <c r="AD248" s="31"/>
      <c r="AE248" s="26"/>
      <c r="AF248" s="26"/>
      <c r="AG248" s="26"/>
    </row>
    <row r="249" customFormat="false" ht="15" hidden="false" customHeight="true" outlineLevel="0" collapsed="false">
      <c r="A249" s="24" t="n">
        <v>244</v>
      </c>
      <c r="B249" s="25"/>
      <c r="C249" s="26"/>
      <c r="D249" s="26"/>
      <c r="E249" s="26"/>
      <c r="F249" s="26"/>
      <c r="G249" s="26"/>
      <c r="H249" s="24" t="str">
        <f aca="false">IFERROR(INDEX('Operator Master'!$B$5:$B$504,MATCH(G249,'Operator Master'!$A$5:$A$504,0)),"")</f>
        <v/>
      </c>
      <c r="I249" s="26"/>
      <c r="J249" s="26"/>
      <c r="K249" s="26"/>
      <c r="L249" s="26"/>
      <c r="M249" s="26"/>
      <c r="N249" s="26"/>
      <c r="O249" s="26"/>
      <c r="P249" s="30" t="n">
        <v>8</v>
      </c>
      <c r="Q249" s="26" t="n">
        <f aca="false">P249*J249</f>
        <v>0</v>
      </c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31"/>
      <c r="AC249" s="31"/>
      <c r="AD249" s="31"/>
      <c r="AE249" s="26"/>
      <c r="AF249" s="26"/>
      <c r="AG249" s="26"/>
    </row>
    <row r="250" customFormat="false" ht="15" hidden="false" customHeight="true" outlineLevel="0" collapsed="false">
      <c r="A250" s="24" t="n">
        <v>245</v>
      </c>
      <c r="B250" s="25"/>
      <c r="C250" s="26"/>
      <c r="D250" s="26"/>
      <c r="E250" s="26"/>
      <c r="F250" s="26"/>
      <c r="G250" s="26"/>
      <c r="H250" s="24" t="str">
        <f aca="false">IFERROR(INDEX('Operator Master'!$B$5:$B$504,MATCH(G250,'Operator Master'!$A$5:$A$504,0)),"")</f>
        <v/>
      </c>
      <c r="I250" s="26"/>
      <c r="J250" s="26"/>
      <c r="K250" s="26"/>
      <c r="L250" s="26"/>
      <c r="M250" s="26"/>
      <c r="N250" s="26"/>
      <c r="O250" s="26"/>
      <c r="P250" s="30" t="n">
        <v>8</v>
      </c>
      <c r="Q250" s="26" t="n">
        <f aca="false">P250*J250</f>
        <v>0</v>
      </c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31"/>
      <c r="AC250" s="31"/>
      <c r="AD250" s="31"/>
      <c r="AE250" s="26"/>
      <c r="AF250" s="26"/>
      <c r="AG250" s="26"/>
    </row>
    <row r="251" customFormat="false" ht="15" hidden="false" customHeight="true" outlineLevel="0" collapsed="false">
      <c r="A251" s="24" t="n">
        <v>246</v>
      </c>
      <c r="B251" s="25"/>
      <c r="C251" s="26"/>
      <c r="D251" s="26"/>
      <c r="E251" s="26"/>
      <c r="F251" s="26"/>
      <c r="G251" s="26"/>
      <c r="H251" s="24" t="str">
        <f aca="false">IFERROR(INDEX('Operator Master'!$B$5:$B$504,MATCH(G251,'Operator Master'!$A$5:$A$504,0)),"")</f>
        <v/>
      </c>
      <c r="I251" s="26"/>
      <c r="J251" s="26"/>
      <c r="K251" s="26"/>
      <c r="L251" s="26"/>
      <c r="M251" s="26"/>
      <c r="N251" s="26"/>
      <c r="O251" s="26"/>
      <c r="P251" s="30" t="n">
        <v>8</v>
      </c>
      <c r="Q251" s="26" t="n">
        <f aca="false">P251*J251</f>
        <v>0</v>
      </c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31"/>
      <c r="AC251" s="31"/>
      <c r="AD251" s="31"/>
      <c r="AE251" s="26"/>
      <c r="AF251" s="26"/>
      <c r="AG251" s="26"/>
    </row>
    <row r="252" customFormat="false" ht="15" hidden="false" customHeight="true" outlineLevel="0" collapsed="false">
      <c r="A252" s="24" t="n">
        <v>247</v>
      </c>
      <c r="B252" s="25"/>
      <c r="C252" s="26"/>
      <c r="D252" s="26"/>
      <c r="E252" s="26"/>
      <c r="F252" s="26"/>
      <c r="G252" s="26"/>
      <c r="H252" s="24" t="str">
        <f aca="false">IFERROR(INDEX('Operator Master'!$B$5:$B$504,MATCH(G252,'Operator Master'!$A$5:$A$504,0)),"")</f>
        <v/>
      </c>
      <c r="I252" s="26"/>
      <c r="J252" s="26"/>
      <c r="K252" s="26"/>
      <c r="L252" s="26"/>
      <c r="M252" s="26"/>
      <c r="N252" s="26"/>
      <c r="O252" s="26"/>
      <c r="P252" s="30" t="n">
        <v>8</v>
      </c>
      <c r="Q252" s="26" t="n">
        <f aca="false">P252*J252</f>
        <v>0</v>
      </c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31"/>
      <c r="AC252" s="31"/>
      <c r="AD252" s="31"/>
      <c r="AE252" s="26"/>
      <c r="AF252" s="26"/>
      <c r="AG252" s="26"/>
    </row>
    <row r="253" customFormat="false" ht="15" hidden="false" customHeight="true" outlineLevel="0" collapsed="false">
      <c r="A253" s="24" t="n">
        <v>248</v>
      </c>
      <c r="B253" s="25"/>
      <c r="C253" s="26"/>
      <c r="D253" s="26"/>
      <c r="E253" s="26"/>
      <c r="F253" s="26"/>
      <c r="G253" s="26"/>
      <c r="H253" s="24" t="str">
        <f aca="false">IFERROR(INDEX('Operator Master'!$B$5:$B$504,MATCH(G253,'Operator Master'!$A$5:$A$504,0)),"")</f>
        <v/>
      </c>
      <c r="I253" s="26"/>
      <c r="J253" s="26"/>
      <c r="K253" s="26"/>
      <c r="L253" s="26"/>
      <c r="M253" s="26"/>
      <c r="N253" s="26"/>
      <c r="O253" s="26"/>
      <c r="P253" s="30" t="n">
        <v>8</v>
      </c>
      <c r="Q253" s="26" t="n">
        <f aca="false">P253*J253</f>
        <v>0</v>
      </c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31"/>
      <c r="AC253" s="31"/>
      <c r="AD253" s="31"/>
      <c r="AE253" s="26"/>
      <c r="AF253" s="26"/>
      <c r="AG253" s="26"/>
    </row>
    <row r="254" customFormat="false" ht="15" hidden="false" customHeight="true" outlineLevel="0" collapsed="false">
      <c r="A254" s="24" t="n">
        <v>249</v>
      </c>
      <c r="B254" s="25"/>
      <c r="C254" s="26"/>
      <c r="D254" s="26"/>
      <c r="E254" s="26"/>
      <c r="F254" s="26"/>
      <c r="G254" s="26"/>
      <c r="H254" s="24" t="str">
        <f aca="false">IFERROR(INDEX('Operator Master'!$B$5:$B$504,MATCH(G254,'Operator Master'!$A$5:$A$504,0)),"")</f>
        <v/>
      </c>
      <c r="I254" s="26"/>
      <c r="J254" s="26"/>
      <c r="K254" s="26"/>
      <c r="L254" s="26"/>
      <c r="M254" s="26"/>
      <c r="N254" s="26"/>
      <c r="O254" s="26"/>
      <c r="P254" s="30" t="n">
        <v>8</v>
      </c>
      <c r="Q254" s="26" t="n">
        <f aca="false">P254*J254</f>
        <v>0</v>
      </c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31"/>
      <c r="AC254" s="31"/>
      <c r="AD254" s="31"/>
      <c r="AE254" s="26"/>
      <c r="AF254" s="26"/>
      <c r="AG254" s="26"/>
    </row>
    <row r="255" customFormat="false" ht="15" hidden="false" customHeight="true" outlineLevel="0" collapsed="false">
      <c r="A255" s="24" t="n">
        <v>250</v>
      </c>
      <c r="B255" s="25"/>
      <c r="C255" s="26"/>
      <c r="D255" s="26"/>
      <c r="E255" s="26"/>
      <c r="F255" s="26"/>
      <c r="G255" s="26"/>
      <c r="H255" s="24" t="str">
        <f aca="false">IFERROR(INDEX('Operator Master'!$B$5:$B$504,MATCH(G255,'Operator Master'!$A$5:$A$504,0)),"")</f>
        <v/>
      </c>
      <c r="I255" s="26"/>
      <c r="J255" s="26"/>
      <c r="K255" s="26"/>
      <c r="L255" s="26"/>
      <c r="M255" s="26"/>
      <c r="N255" s="26"/>
      <c r="O255" s="26"/>
      <c r="P255" s="30" t="n">
        <v>8</v>
      </c>
      <c r="Q255" s="26" t="n">
        <f aca="false">P255*J255</f>
        <v>0</v>
      </c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31"/>
      <c r="AC255" s="31"/>
      <c r="AD255" s="31"/>
      <c r="AE255" s="26"/>
      <c r="AF255" s="26"/>
      <c r="AG255" s="26"/>
    </row>
    <row r="256" customFormat="false" ht="15" hidden="false" customHeight="true" outlineLevel="0" collapsed="false">
      <c r="A256" s="24" t="n">
        <v>251</v>
      </c>
      <c r="B256" s="25"/>
      <c r="C256" s="26"/>
      <c r="D256" s="26"/>
      <c r="E256" s="26"/>
      <c r="F256" s="26"/>
      <c r="G256" s="26"/>
      <c r="H256" s="24" t="str">
        <f aca="false">IFERROR(INDEX('Operator Master'!$B$5:$B$504,MATCH(G256,'Operator Master'!$A$5:$A$504,0)),"")</f>
        <v/>
      </c>
      <c r="I256" s="26"/>
      <c r="J256" s="26"/>
      <c r="K256" s="26"/>
      <c r="L256" s="26"/>
      <c r="M256" s="26"/>
      <c r="N256" s="26"/>
      <c r="O256" s="26"/>
      <c r="P256" s="30" t="n">
        <v>8</v>
      </c>
      <c r="Q256" s="26" t="n">
        <f aca="false">P256*J256</f>
        <v>0</v>
      </c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31"/>
      <c r="AC256" s="31"/>
      <c r="AD256" s="31"/>
      <c r="AE256" s="26"/>
      <c r="AF256" s="26"/>
      <c r="AG256" s="26"/>
    </row>
    <row r="257" customFormat="false" ht="15" hidden="false" customHeight="true" outlineLevel="0" collapsed="false">
      <c r="A257" s="24" t="n">
        <v>252</v>
      </c>
      <c r="B257" s="25"/>
      <c r="C257" s="26"/>
      <c r="D257" s="26"/>
      <c r="E257" s="26"/>
      <c r="F257" s="26"/>
      <c r="G257" s="26"/>
      <c r="H257" s="24" t="str">
        <f aca="false">IFERROR(INDEX('Operator Master'!$B$5:$B$504,MATCH(G257,'Operator Master'!$A$5:$A$504,0)),"")</f>
        <v/>
      </c>
      <c r="I257" s="26"/>
      <c r="J257" s="26"/>
      <c r="K257" s="26"/>
      <c r="L257" s="26"/>
      <c r="M257" s="26"/>
      <c r="N257" s="26"/>
      <c r="O257" s="26"/>
      <c r="P257" s="30" t="n">
        <v>8</v>
      </c>
      <c r="Q257" s="26" t="n">
        <f aca="false">P257*J257</f>
        <v>0</v>
      </c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31"/>
      <c r="AC257" s="31"/>
      <c r="AD257" s="31"/>
      <c r="AE257" s="26"/>
      <c r="AF257" s="26"/>
      <c r="AG257" s="26"/>
    </row>
    <row r="258" customFormat="false" ht="15" hidden="false" customHeight="true" outlineLevel="0" collapsed="false">
      <c r="A258" s="24" t="n">
        <v>253</v>
      </c>
      <c r="B258" s="25"/>
      <c r="C258" s="26"/>
      <c r="D258" s="26"/>
      <c r="E258" s="26"/>
      <c r="F258" s="26"/>
      <c r="G258" s="26"/>
      <c r="H258" s="24" t="str">
        <f aca="false">IFERROR(INDEX('Operator Master'!$B$5:$B$504,MATCH(G258,'Operator Master'!$A$5:$A$504,0)),"")</f>
        <v/>
      </c>
      <c r="I258" s="26"/>
      <c r="J258" s="26"/>
      <c r="K258" s="26"/>
      <c r="L258" s="26"/>
      <c r="M258" s="26"/>
      <c r="N258" s="26"/>
      <c r="O258" s="26"/>
      <c r="P258" s="30" t="n">
        <v>8</v>
      </c>
      <c r="Q258" s="26" t="n">
        <f aca="false">P258*J258</f>
        <v>0</v>
      </c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31"/>
      <c r="AC258" s="31"/>
      <c r="AD258" s="31"/>
      <c r="AE258" s="26"/>
      <c r="AF258" s="26"/>
      <c r="AG258" s="26"/>
    </row>
    <row r="259" customFormat="false" ht="15" hidden="false" customHeight="true" outlineLevel="0" collapsed="false">
      <c r="A259" s="24" t="n">
        <v>254</v>
      </c>
      <c r="B259" s="25"/>
      <c r="C259" s="26"/>
      <c r="D259" s="26"/>
      <c r="E259" s="26"/>
      <c r="F259" s="26"/>
      <c r="G259" s="26"/>
      <c r="H259" s="24" t="str">
        <f aca="false">IFERROR(INDEX('Operator Master'!$B$5:$B$504,MATCH(G259,'Operator Master'!$A$5:$A$504,0)),"")</f>
        <v/>
      </c>
      <c r="I259" s="26"/>
      <c r="J259" s="26"/>
      <c r="K259" s="26"/>
      <c r="L259" s="26"/>
      <c r="M259" s="26"/>
      <c r="N259" s="26"/>
      <c r="O259" s="26"/>
      <c r="P259" s="30" t="n">
        <v>8</v>
      </c>
      <c r="Q259" s="26" t="n">
        <f aca="false">P259*J259</f>
        <v>0</v>
      </c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31"/>
      <c r="AC259" s="31"/>
      <c r="AD259" s="31"/>
      <c r="AE259" s="26"/>
      <c r="AF259" s="26"/>
      <c r="AG259" s="26"/>
    </row>
    <row r="260" customFormat="false" ht="15" hidden="false" customHeight="true" outlineLevel="0" collapsed="false">
      <c r="A260" s="24" t="n">
        <v>255</v>
      </c>
      <c r="B260" s="25"/>
      <c r="C260" s="26"/>
      <c r="D260" s="26"/>
      <c r="E260" s="26"/>
      <c r="F260" s="26"/>
      <c r="G260" s="26"/>
      <c r="H260" s="24" t="str">
        <f aca="false">IFERROR(INDEX('Operator Master'!$B$5:$B$504,MATCH(G260,'Operator Master'!$A$5:$A$504,0)),"")</f>
        <v/>
      </c>
      <c r="I260" s="26"/>
      <c r="J260" s="26"/>
      <c r="K260" s="26"/>
      <c r="L260" s="26"/>
      <c r="M260" s="26"/>
      <c r="N260" s="26"/>
      <c r="O260" s="26"/>
      <c r="P260" s="30" t="n">
        <v>8</v>
      </c>
      <c r="Q260" s="26" t="n">
        <f aca="false">P260*J260</f>
        <v>0</v>
      </c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31"/>
      <c r="AC260" s="31"/>
      <c r="AD260" s="31"/>
      <c r="AE260" s="26"/>
      <c r="AF260" s="26"/>
      <c r="AG260" s="26"/>
    </row>
    <row r="261" customFormat="false" ht="15" hidden="false" customHeight="true" outlineLevel="0" collapsed="false">
      <c r="A261" s="24" t="n">
        <v>256</v>
      </c>
      <c r="B261" s="25"/>
      <c r="C261" s="26"/>
      <c r="D261" s="26"/>
      <c r="E261" s="26"/>
      <c r="F261" s="26"/>
      <c r="G261" s="26"/>
      <c r="H261" s="24" t="str">
        <f aca="false">IFERROR(INDEX('Operator Master'!$B$5:$B$504,MATCH(G261,'Operator Master'!$A$5:$A$504,0)),"")</f>
        <v/>
      </c>
      <c r="I261" s="26"/>
      <c r="J261" s="26"/>
      <c r="K261" s="26"/>
      <c r="L261" s="26"/>
      <c r="M261" s="26"/>
      <c r="N261" s="26"/>
      <c r="O261" s="26"/>
      <c r="P261" s="30" t="n">
        <v>8</v>
      </c>
      <c r="Q261" s="26" t="n">
        <f aca="false">P261*J261</f>
        <v>0</v>
      </c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31"/>
      <c r="AC261" s="31"/>
      <c r="AD261" s="31"/>
      <c r="AE261" s="26"/>
      <c r="AF261" s="26"/>
      <c r="AG261" s="26"/>
    </row>
    <row r="262" customFormat="false" ht="15" hidden="false" customHeight="true" outlineLevel="0" collapsed="false">
      <c r="A262" s="24" t="n">
        <v>257</v>
      </c>
      <c r="B262" s="25"/>
      <c r="C262" s="26"/>
      <c r="D262" s="26"/>
      <c r="E262" s="26"/>
      <c r="F262" s="26"/>
      <c r="G262" s="26"/>
      <c r="H262" s="24" t="str">
        <f aca="false">IFERROR(INDEX('Operator Master'!$B$5:$B$504,MATCH(G262,'Operator Master'!$A$5:$A$504,0)),"")</f>
        <v/>
      </c>
      <c r="I262" s="26"/>
      <c r="J262" s="26"/>
      <c r="K262" s="26"/>
      <c r="L262" s="26"/>
      <c r="M262" s="26"/>
      <c r="N262" s="26"/>
      <c r="O262" s="26"/>
      <c r="P262" s="30" t="n">
        <v>8</v>
      </c>
      <c r="Q262" s="26" t="n">
        <f aca="false">P262*J262</f>
        <v>0</v>
      </c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31"/>
      <c r="AC262" s="31"/>
      <c r="AD262" s="31"/>
      <c r="AE262" s="26"/>
      <c r="AF262" s="26"/>
      <c r="AG262" s="26"/>
    </row>
    <row r="263" customFormat="false" ht="15" hidden="false" customHeight="true" outlineLevel="0" collapsed="false">
      <c r="A263" s="24" t="n">
        <v>258</v>
      </c>
      <c r="B263" s="25"/>
      <c r="C263" s="26"/>
      <c r="D263" s="26"/>
      <c r="E263" s="26"/>
      <c r="F263" s="26"/>
      <c r="G263" s="26"/>
      <c r="H263" s="24" t="str">
        <f aca="false">IFERROR(INDEX('Operator Master'!$B$5:$B$504,MATCH(G263,'Operator Master'!$A$5:$A$504,0)),"")</f>
        <v/>
      </c>
      <c r="I263" s="26"/>
      <c r="J263" s="26"/>
      <c r="K263" s="26"/>
      <c r="L263" s="26"/>
      <c r="M263" s="26"/>
      <c r="N263" s="26"/>
      <c r="O263" s="26"/>
      <c r="P263" s="30" t="n">
        <v>8</v>
      </c>
      <c r="Q263" s="26" t="n">
        <f aca="false">P263*J263</f>
        <v>0</v>
      </c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31"/>
      <c r="AC263" s="31"/>
      <c r="AD263" s="31"/>
      <c r="AE263" s="26"/>
      <c r="AF263" s="26"/>
      <c r="AG263" s="26"/>
    </row>
    <row r="264" customFormat="false" ht="15" hidden="false" customHeight="true" outlineLevel="0" collapsed="false">
      <c r="A264" s="24" t="n">
        <v>259</v>
      </c>
      <c r="B264" s="25"/>
      <c r="C264" s="26"/>
      <c r="D264" s="26"/>
      <c r="E264" s="26"/>
      <c r="F264" s="26"/>
      <c r="G264" s="26"/>
      <c r="H264" s="24" t="str">
        <f aca="false">IFERROR(INDEX('Operator Master'!$B$5:$B$504,MATCH(G264,'Operator Master'!$A$5:$A$504,0)),"")</f>
        <v/>
      </c>
      <c r="I264" s="26"/>
      <c r="J264" s="26"/>
      <c r="K264" s="26"/>
      <c r="L264" s="26"/>
      <c r="M264" s="26"/>
      <c r="N264" s="26"/>
      <c r="O264" s="26"/>
      <c r="P264" s="30" t="n">
        <v>8</v>
      </c>
      <c r="Q264" s="26" t="n">
        <f aca="false">P264*J264</f>
        <v>0</v>
      </c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31"/>
      <c r="AC264" s="31"/>
      <c r="AD264" s="31"/>
      <c r="AE264" s="26"/>
      <c r="AF264" s="26"/>
      <c r="AG264" s="26"/>
    </row>
    <row r="265" customFormat="false" ht="15" hidden="false" customHeight="true" outlineLevel="0" collapsed="false">
      <c r="A265" s="24" t="n">
        <v>260</v>
      </c>
      <c r="B265" s="25"/>
      <c r="C265" s="26"/>
      <c r="D265" s="26"/>
      <c r="E265" s="26"/>
      <c r="F265" s="26"/>
      <c r="G265" s="26"/>
      <c r="H265" s="24" t="str">
        <f aca="false">IFERROR(INDEX('Operator Master'!$B$5:$B$504,MATCH(G265,'Operator Master'!$A$5:$A$504,0)),"")</f>
        <v/>
      </c>
      <c r="I265" s="26"/>
      <c r="J265" s="26"/>
      <c r="K265" s="26"/>
      <c r="L265" s="26"/>
      <c r="M265" s="26"/>
      <c r="N265" s="26"/>
      <c r="O265" s="26"/>
      <c r="P265" s="30" t="n">
        <v>8</v>
      </c>
      <c r="Q265" s="26" t="n">
        <f aca="false">P265*J265</f>
        <v>0</v>
      </c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31"/>
      <c r="AC265" s="31"/>
      <c r="AD265" s="31"/>
      <c r="AE265" s="26"/>
      <c r="AF265" s="26"/>
      <c r="AG265" s="26"/>
    </row>
    <row r="266" customFormat="false" ht="15" hidden="false" customHeight="true" outlineLevel="0" collapsed="false">
      <c r="A266" s="24" t="n">
        <v>261</v>
      </c>
      <c r="B266" s="25"/>
      <c r="C266" s="26"/>
      <c r="D266" s="26"/>
      <c r="E266" s="26"/>
      <c r="F266" s="26"/>
      <c r="G266" s="26"/>
      <c r="H266" s="24" t="str">
        <f aca="false">IFERROR(INDEX('Operator Master'!$B$5:$B$504,MATCH(G266,'Operator Master'!$A$5:$A$504,0)),"")</f>
        <v/>
      </c>
      <c r="I266" s="26"/>
      <c r="J266" s="26"/>
      <c r="K266" s="26"/>
      <c r="L266" s="26"/>
      <c r="M266" s="26"/>
      <c r="N266" s="26"/>
      <c r="O266" s="26"/>
      <c r="P266" s="30" t="n">
        <v>8</v>
      </c>
      <c r="Q266" s="26" t="n">
        <f aca="false">P266*J266</f>
        <v>0</v>
      </c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31"/>
      <c r="AC266" s="31"/>
      <c r="AD266" s="31"/>
      <c r="AE266" s="26"/>
      <c r="AF266" s="26"/>
      <c r="AG266" s="26"/>
    </row>
    <row r="267" customFormat="false" ht="15" hidden="false" customHeight="true" outlineLevel="0" collapsed="false">
      <c r="A267" s="24" t="n">
        <v>262</v>
      </c>
      <c r="B267" s="25"/>
      <c r="C267" s="26"/>
      <c r="D267" s="26"/>
      <c r="E267" s="26"/>
      <c r="F267" s="26"/>
      <c r="G267" s="26"/>
      <c r="H267" s="24" t="str">
        <f aca="false">IFERROR(INDEX('Operator Master'!$B$5:$B$504,MATCH(G267,'Operator Master'!$A$5:$A$504,0)),"")</f>
        <v/>
      </c>
      <c r="I267" s="26"/>
      <c r="J267" s="26"/>
      <c r="K267" s="26"/>
      <c r="L267" s="26"/>
      <c r="M267" s="26"/>
      <c r="N267" s="26"/>
      <c r="O267" s="26"/>
      <c r="P267" s="30" t="n">
        <v>8</v>
      </c>
      <c r="Q267" s="26" t="n">
        <f aca="false">P267*J267</f>
        <v>0</v>
      </c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31"/>
      <c r="AC267" s="31"/>
      <c r="AD267" s="31"/>
      <c r="AE267" s="26"/>
      <c r="AF267" s="26"/>
      <c r="AG267" s="26"/>
    </row>
    <row r="268" customFormat="false" ht="15" hidden="false" customHeight="true" outlineLevel="0" collapsed="false">
      <c r="A268" s="24" t="n">
        <v>263</v>
      </c>
      <c r="B268" s="25"/>
      <c r="C268" s="26"/>
      <c r="D268" s="26"/>
      <c r="E268" s="26"/>
      <c r="F268" s="26"/>
      <c r="G268" s="26"/>
      <c r="H268" s="24" t="str">
        <f aca="false">IFERROR(INDEX('Operator Master'!$B$5:$B$504,MATCH(G268,'Operator Master'!$A$5:$A$504,0)),"")</f>
        <v/>
      </c>
      <c r="I268" s="26"/>
      <c r="J268" s="26"/>
      <c r="K268" s="26"/>
      <c r="L268" s="26"/>
      <c r="M268" s="26"/>
      <c r="N268" s="26"/>
      <c r="O268" s="26"/>
      <c r="P268" s="30" t="n">
        <v>8</v>
      </c>
      <c r="Q268" s="26" t="n">
        <f aca="false">P268*J268</f>
        <v>0</v>
      </c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31"/>
      <c r="AC268" s="31"/>
      <c r="AD268" s="31"/>
      <c r="AE268" s="26"/>
      <c r="AF268" s="26"/>
      <c r="AG268" s="26"/>
    </row>
    <row r="269" customFormat="false" ht="15" hidden="false" customHeight="true" outlineLevel="0" collapsed="false">
      <c r="A269" s="24" t="n">
        <v>264</v>
      </c>
      <c r="B269" s="25"/>
      <c r="C269" s="26"/>
      <c r="D269" s="26"/>
      <c r="E269" s="26"/>
      <c r="F269" s="26"/>
      <c r="G269" s="26"/>
      <c r="H269" s="24" t="str">
        <f aca="false">IFERROR(INDEX('Operator Master'!$B$5:$B$504,MATCH(G269,'Operator Master'!$A$5:$A$504,0)),"")</f>
        <v/>
      </c>
      <c r="I269" s="26"/>
      <c r="J269" s="26"/>
      <c r="K269" s="26"/>
      <c r="L269" s="26"/>
      <c r="M269" s="26"/>
      <c r="N269" s="26"/>
      <c r="O269" s="26"/>
      <c r="P269" s="30" t="n">
        <v>8</v>
      </c>
      <c r="Q269" s="26" t="n">
        <f aca="false">P269*J269</f>
        <v>0</v>
      </c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31"/>
      <c r="AC269" s="31"/>
      <c r="AD269" s="31"/>
      <c r="AE269" s="26"/>
      <c r="AF269" s="26"/>
      <c r="AG269" s="26"/>
    </row>
    <row r="270" customFormat="false" ht="15" hidden="false" customHeight="true" outlineLevel="0" collapsed="false">
      <c r="A270" s="24" t="n">
        <v>265</v>
      </c>
      <c r="B270" s="25"/>
      <c r="C270" s="26"/>
      <c r="D270" s="26"/>
      <c r="E270" s="26"/>
      <c r="F270" s="26"/>
      <c r="G270" s="26"/>
      <c r="H270" s="24" t="str">
        <f aca="false">IFERROR(INDEX('Operator Master'!$B$5:$B$504,MATCH(G270,'Operator Master'!$A$5:$A$504,0)),"")</f>
        <v/>
      </c>
      <c r="I270" s="26"/>
      <c r="J270" s="26"/>
      <c r="K270" s="26"/>
      <c r="L270" s="26"/>
      <c r="M270" s="26"/>
      <c r="N270" s="26"/>
      <c r="O270" s="26"/>
      <c r="P270" s="30" t="n">
        <v>8</v>
      </c>
      <c r="Q270" s="26" t="n">
        <f aca="false">P270*J270</f>
        <v>0</v>
      </c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31"/>
      <c r="AC270" s="31"/>
      <c r="AD270" s="31"/>
      <c r="AE270" s="26"/>
      <c r="AF270" s="26"/>
      <c r="AG270" s="26"/>
    </row>
    <row r="271" customFormat="false" ht="15" hidden="false" customHeight="true" outlineLevel="0" collapsed="false">
      <c r="A271" s="24" t="n">
        <v>266</v>
      </c>
      <c r="B271" s="25"/>
      <c r="C271" s="26"/>
      <c r="D271" s="26"/>
      <c r="E271" s="26"/>
      <c r="F271" s="26"/>
      <c r="G271" s="26"/>
      <c r="H271" s="24" t="str">
        <f aca="false">IFERROR(INDEX('Operator Master'!$B$5:$B$504,MATCH(G271,'Operator Master'!$A$5:$A$504,0)),"")</f>
        <v/>
      </c>
      <c r="I271" s="26"/>
      <c r="J271" s="26"/>
      <c r="K271" s="26"/>
      <c r="L271" s="26"/>
      <c r="M271" s="26"/>
      <c r="N271" s="26"/>
      <c r="O271" s="26"/>
      <c r="P271" s="30" t="n">
        <v>8</v>
      </c>
      <c r="Q271" s="26" t="n">
        <f aca="false">P271*J271</f>
        <v>0</v>
      </c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31"/>
      <c r="AC271" s="31"/>
      <c r="AD271" s="31"/>
      <c r="AE271" s="26"/>
      <c r="AF271" s="26"/>
      <c r="AG271" s="26"/>
    </row>
    <row r="272" customFormat="false" ht="15" hidden="false" customHeight="true" outlineLevel="0" collapsed="false">
      <c r="A272" s="24" t="n">
        <v>267</v>
      </c>
      <c r="B272" s="25"/>
      <c r="C272" s="26"/>
      <c r="D272" s="26"/>
      <c r="E272" s="26"/>
      <c r="F272" s="26"/>
      <c r="G272" s="26"/>
      <c r="H272" s="24" t="str">
        <f aca="false">IFERROR(INDEX('Operator Master'!$B$5:$B$504,MATCH(G272,'Operator Master'!$A$5:$A$504,0)),"")</f>
        <v/>
      </c>
      <c r="I272" s="26"/>
      <c r="J272" s="26"/>
      <c r="K272" s="26"/>
      <c r="L272" s="26"/>
      <c r="M272" s="26"/>
      <c r="N272" s="26"/>
      <c r="O272" s="26"/>
      <c r="P272" s="30" t="n">
        <v>8</v>
      </c>
      <c r="Q272" s="26" t="n">
        <f aca="false">P272*J272</f>
        <v>0</v>
      </c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31"/>
      <c r="AC272" s="31"/>
      <c r="AD272" s="31"/>
      <c r="AE272" s="26"/>
      <c r="AF272" s="26"/>
      <c r="AG272" s="26"/>
    </row>
    <row r="273" customFormat="false" ht="15" hidden="false" customHeight="true" outlineLevel="0" collapsed="false">
      <c r="A273" s="24" t="n">
        <v>268</v>
      </c>
      <c r="B273" s="25"/>
      <c r="C273" s="26"/>
      <c r="D273" s="26"/>
      <c r="E273" s="26"/>
      <c r="F273" s="26"/>
      <c r="G273" s="26"/>
      <c r="H273" s="24" t="str">
        <f aca="false">IFERROR(INDEX('Operator Master'!$B$5:$B$504,MATCH(G273,'Operator Master'!$A$5:$A$504,0)),"")</f>
        <v/>
      </c>
      <c r="I273" s="26"/>
      <c r="J273" s="26"/>
      <c r="K273" s="26"/>
      <c r="L273" s="26"/>
      <c r="M273" s="26"/>
      <c r="N273" s="26"/>
      <c r="O273" s="26"/>
      <c r="P273" s="30" t="n">
        <v>8</v>
      </c>
      <c r="Q273" s="26" t="n">
        <f aca="false">P273*J273</f>
        <v>0</v>
      </c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31"/>
      <c r="AC273" s="31"/>
      <c r="AD273" s="31"/>
      <c r="AE273" s="26"/>
      <c r="AF273" s="26"/>
      <c r="AG273" s="26"/>
    </row>
    <row r="274" customFormat="false" ht="15" hidden="false" customHeight="true" outlineLevel="0" collapsed="false">
      <c r="A274" s="24" t="n">
        <v>269</v>
      </c>
      <c r="B274" s="25"/>
      <c r="C274" s="26"/>
      <c r="D274" s="26"/>
      <c r="E274" s="26"/>
      <c r="F274" s="26"/>
      <c r="G274" s="26"/>
      <c r="H274" s="24" t="str">
        <f aca="false">IFERROR(INDEX('Operator Master'!$B$5:$B$504,MATCH(G274,'Operator Master'!$A$5:$A$504,0)),"")</f>
        <v/>
      </c>
      <c r="I274" s="26"/>
      <c r="J274" s="26"/>
      <c r="K274" s="26"/>
      <c r="L274" s="26"/>
      <c r="M274" s="26"/>
      <c r="N274" s="26"/>
      <c r="O274" s="26"/>
      <c r="P274" s="30" t="n">
        <v>8</v>
      </c>
      <c r="Q274" s="26" t="n">
        <f aca="false">P274*J274</f>
        <v>0</v>
      </c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31"/>
      <c r="AC274" s="31"/>
      <c r="AD274" s="31"/>
      <c r="AE274" s="26"/>
      <c r="AF274" s="26"/>
      <c r="AG274" s="26"/>
    </row>
    <row r="275" customFormat="false" ht="15" hidden="false" customHeight="true" outlineLevel="0" collapsed="false">
      <c r="A275" s="24" t="n">
        <v>270</v>
      </c>
      <c r="B275" s="25"/>
      <c r="C275" s="26"/>
      <c r="D275" s="26"/>
      <c r="E275" s="26"/>
      <c r="F275" s="26"/>
      <c r="G275" s="26"/>
      <c r="H275" s="24" t="str">
        <f aca="false">IFERROR(INDEX('Operator Master'!$B$5:$B$504,MATCH(G275,'Operator Master'!$A$5:$A$504,0)),"")</f>
        <v/>
      </c>
      <c r="I275" s="26"/>
      <c r="J275" s="26"/>
      <c r="K275" s="26"/>
      <c r="L275" s="26"/>
      <c r="M275" s="26"/>
      <c r="N275" s="26"/>
      <c r="O275" s="26"/>
      <c r="P275" s="30" t="n">
        <v>8</v>
      </c>
      <c r="Q275" s="26" t="n">
        <f aca="false">P275*J275</f>
        <v>0</v>
      </c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31"/>
      <c r="AC275" s="31"/>
      <c r="AD275" s="31"/>
      <c r="AE275" s="26"/>
      <c r="AF275" s="26"/>
      <c r="AG275" s="26"/>
    </row>
    <row r="276" customFormat="false" ht="15" hidden="false" customHeight="true" outlineLevel="0" collapsed="false">
      <c r="A276" s="24" t="n">
        <v>271</v>
      </c>
      <c r="B276" s="25"/>
      <c r="C276" s="26"/>
      <c r="D276" s="26"/>
      <c r="E276" s="26"/>
      <c r="F276" s="26"/>
      <c r="G276" s="26"/>
      <c r="H276" s="24" t="str">
        <f aca="false">IFERROR(INDEX('Operator Master'!$B$5:$B$504,MATCH(G276,'Operator Master'!$A$5:$A$504,0)),"")</f>
        <v/>
      </c>
      <c r="I276" s="26"/>
      <c r="J276" s="26"/>
      <c r="K276" s="26"/>
      <c r="L276" s="26"/>
      <c r="M276" s="26"/>
      <c r="N276" s="26"/>
      <c r="O276" s="26"/>
      <c r="P276" s="30" t="n">
        <v>8</v>
      </c>
      <c r="Q276" s="26" t="n">
        <f aca="false">P276*J276</f>
        <v>0</v>
      </c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31"/>
      <c r="AC276" s="31"/>
      <c r="AD276" s="31"/>
      <c r="AE276" s="26"/>
      <c r="AF276" s="26"/>
      <c r="AG276" s="26"/>
    </row>
    <row r="277" customFormat="false" ht="15" hidden="false" customHeight="true" outlineLevel="0" collapsed="false">
      <c r="A277" s="24" t="n">
        <v>272</v>
      </c>
      <c r="B277" s="25"/>
      <c r="C277" s="26"/>
      <c r="D277" s="26"/>
      <c r="E277" s="26"/>
      <c r="F277" s="26"/>
      <c r="G277" s="26"/>
      <c r="H277" s="24" t="str">
        <f aca="false">IFERROR(INDEX('Operator Master'!$B$5:$B$504,MATCH(G277,'Operator Master'!$A$5:$A$504,0)),"")</f>
        <v/>
      </c>
      <c r="I277" s="26"/>
      <c r="J277" s="26"/>
      <c r="K277" s="26"/>
      <c r="L277" s="26"/>
      <c r="M277" s="26"/>
      <c r="N277" s="26"/>
      <c r="O277" s="26"/>
      <c r="P277" s="30" t="n">
        <v>8</v>
      </c>
      <c r="Q277" s="26" t="n">
        <f aca="false">P277*J277</f>
        <v>0</v>
      </c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31"/>
      <c r="AC277" s="31"/>
      <c r="AD277" s="31"/>
      <c r="AE277" s="26"/>
      <c r="AF277" s="26"/>
      <c r="AG277" s="26"/>
    </row>
    <row r="278" customFormat="false" ht="15" hidden="false" customHeight="true" outlineLevel="0" collapsed="false">
      <c r="A278" s="24" t="n">
        <v>273</v>
      </c>
      <c r="B278" s="25"/>
      <c r="C278" s="26"/>
      <c r="D278" s="26"/>
      <c r="E278" s="26"/>
      <c r="F278" s="26"/>
      <c r="G278" s="26"/>
      <c r="H278" s="24" t="str">
        <f aca="false">IFERROR(INDEX('Operator Master'!$B$5:$B$504,MATCH(G278,'Operator Master'!$A$5:$A$504,0)),"")</f>
        <v/>
      </c>
      <c r="I278" s="26"/>
      <c r="J278" s="26"/>
      <c r="K278" s="26"/>
      <c r="L278" s="26"/>
      <c r="M278" s="26"/>
      <c r="N278" s="26"/>
      <c r="O278" s="26"/>
      <c r="P278" s="30" t="n">
        <v>8</v>
      </c>
      <c r="Q278" s="26" t="n">
        <f aca="false">P278*J278</f>
        <v>0</v>
      </c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31"/>
      <c r="AC278" s="31"/>
      <c r="AD278" s="31"/>
      <c r="AE278" s="26"/>
      <c r="AF278" s="26"/>
      <c r="AG278" s="26"/>
    </row>
    <row r="279" customFormat="false" ht="15" hidden="false" customHeight="true" outlineLevel="0" collapsed="false">
      <c r="A279" s="24" t="n">
        <v>274</v>
      </c>
      <c r="B279" s="25"/>
      <c r="C279" s="26"/>
      <c r="D279" s="26"/>
      <c r="E279" s="26"/>
      <c r="F279" s="26"/>
      <c r="G279" s="26"/>
      <c r="H279" s="24" t="str">
        <f aca="false">IFERROR(INDEX('Operator Master'!$B$5:$B$504,MATCH(G279,'Operator Master'!$A$5:$A$504,0)),"")</f>
        <v/>
      </c>
      <c r="I279" s="26"/>
      <c r="J279" s="26"/>
      <c r="K279" s="26"/>
      <c r="L279" s="26"/>
      <c r="M279" s="26"/>
      <c r="N279" s="26"/>
      <c r="O279" s="26"/>
      <c r="P279" s="30" t="n">
        <v>8</v>
      </c>
      <c r="Q279" s="26" t="n">
        <f aca="false">P279*J279</f>
        <v>0</v>
      </c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31"/>
      <c r="AC279" s="31"/>
      <c r="AD279" s="31"/>
      <c r="AE279" s="26"/>
      <c r="AF279" s="26"/>
      <c r="AG279" s="26"/>
    </row>
    <row r="280" customFormat="false" ht="15" hidden="false" customHeight="true" outlineLevel="0" collapsed="false">
      <c r="A280" s="24" t="n">
        <v>275</v>
      </c>
      <c r="B280" s="25"/>
      <c r="C280" s="26"/>
      <c r="D280" s="26"/>
      <c r="E280" s="26"/>
      <c r="F280" s="26"/>
      <c r="G280" s="26"/>
      <c r="H280" s="24" t="str">
        <f aca="false">IFERROR(INDEX('Operator Master'!$B$5:$B$504,MATCH(G280,'Operator Master'!$A$5:$A$504,0)),"")</f>
        <v/>
      </c>
      <c r="I280" s="26"/>
      <c r="J280" s="26"/>
      <c r="K280" s="26"/>
      <c r="L280" s="26"/>
      <c r="M280" s="26"/>
      <c r="N280" s="26"/>
      <c r="O280" s="26"/>
      <c r="P280" s="30" t="n">
        <v>8</v>
      </c>
      <c r="Q280" s="26" t="n">
        <f aca="false">P280*J280</f>
        <v>0</v>
      </c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31"/>
      <c r="AC280" s="31"/>
      <c r="AD280" s="31"/>
      <c r="AE280" s="26"/>
      <c r="AF280" s="26"/>
      <c r="AG280" s="26"/>
    </row>
    <row r="281" customFormat="false" ht="15" hidden="false" customHeight="true" outlineLevel="0" collapsed="false">
      <c r="A281" s="24" t="n">
        <v>276</v>
      </c>
      <c r="B281" s="25"/>
      <c r="C281" s="26"/>
      <c r="D281" s="26"/>
      <c r="E281" s="26"/>
      <c r="F281" s="26"/>
      <c r="G281" s="26"/>
      <c r="H281" s="24" t="str">
        <f aca="false">IFERROR(INDEX('Operator Master'!$B$5:$B$504,MATCH(G281,'Operator Master'!$A$5:$A$504,0)),"")</f>
        <v/>
      </c>
      <c r="I281" s="26"/>
      <c r="J281" s="26"/>
      <c r="K281" s="26"/>
      <c r="L281" s="26"/>
      <c r="M281" s="26"/>
      <c r="N281" s="26"/>
      <c r="O281" s="26"/>
      <c r="P281" s="30" t="n">
        <v>8</v>
      </c>
      <c r="Q281" s="26" t="n">
        <f aca="false">P281*J281</f>
        <v>0</v>
      </c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31"/>
      <c r="AC281" s="31"/>
      <c r="AD281" s="31"/>
      <c r="AE281" s="26"/>
      <c r="AF281" s="26"/>
      <c r="AG281" s="26"/>
    </row>
    <row r="282" customFormat="false" ht="15" hidden="false" customHeight="true" outlineLevel="0" collapsed="false">
      <c r="A282" s="24" t="n">
        <v>277</v>
      </c>
      <c r="B282" s="25"/>
      <c r="C282" s="26"/>
      <c r="D282" s="26"/>
      <c r="E282" s="26"/>
      <c r="F282" s="26"/>
      <c r="G282" s="26"/>
      <c r="H282" s="24" t="str">
        <f aca="false">IFERROR(INDEX('Operator Master'!$B$5:$B$504,MATCH(G282,'Operator Master'!$A$5:$A$504,0)),"")</f>
        <v/>
      </c>
      <c r="I282" s="26"/>
      <c r="J282" s="26"/>
      <c r="K282" s="26"/>
      <c r="L282" s="26"/>
      <c r="M282" s="26"/>
      <c r="N282" s="26"/>
      <c r="O282" s="26"/>
      <c r="P282" s="30" t="n">
        <v>8</v>
      </c>
      <c r="Q282" s="26" t="n">
        <f aca="false">P282*J282</f>
        <v>0</v>
      </c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31"/>
      <c r="AC282" s="31"/>
      <c r="AD282" s="31"/>
      <c r="AE282" s="26"/>
      <c r="AF282" s="26"/>
      <c r="AG282" s="26"/>
    </row>
    <row r="283" customFormat="false" ht="15" hidden="false" customHeight="true" outlineLevel="0" collapsed="false">
      <c r="A283" s="24" t="n">
        <v>278</v>
      </c>
      <c r="B283" s="25"/>
      <c r="C283" s="26"/>
      <c r="D283" s="26"/>
      <c r="E283" s="26"/>
      <c r="F283" s="26"/>
      <c r="G283" s="26"/>
      <c r="H283" s="24" t="str">
        <f aca="false">IFERROR(INDEX('Operator Master'!$B$5:$B$504,MATCH(G283,'Operator Master'!$A$5:$A$504,0)),"")</f>
        <v/>
      </c>
      <c r="I283" s="26"/>
      <c r="J283" s="26"/>
      <c r="K283" s="26"/>
      <c r="L283" s="26"/>
      <c r="M283" s="26"/>
      <c r="N283" s="26"/>
      <c r="O283" s="26"/>
      <c r="P283" s="30" t="n">
        <v>8</v>
      </c>
      <c r="Q283" s="26" t="n">
        <f aca="false">P283*J283</f>
        <v>0</v>
      </c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31"/>
      <c r="AC283" s="31"/>
      <c r="AD283" s="31"/>
      <c r="AE283" s="26"/>
      <c r="AF283" s="26"/>
      <c r="AG283" s="26"/>
    </row>
    <row r="284" customFormat="false" ht="15" hidden="false" customHeight="true" outlineLevel="0" collapsed="false">
      <c r="A284" s="24" t="n">
        <v>279</v>
      </c>
      <c r="B284" s="25"/>
      <c r="C284" s="26"/>
      <c r="D284" s="26"/>
      <c r="E284" s="26"/>
      <c r="F284" s="26"/>
      <c r="G284" s="26"/>
      <c r="H284" s="24" t="str">
        <f aca="false">IFERROR(INDEX('Operator Master'!$B$5:$B$504,MATCH(G284,'Operator Master'!$A$5:$A$504,0)),"")</f>
        <v/>
      </c>
      <c r="I284" s="26"/>
      <c r="J284" s="26"/>
      <c r="K284" s="26"/>
      <c r="L284" s="26"/>
      <c r="M284" s="26"/>
      <c r="N284" s="26"/>
      <c r="O284" s="26"/>
      <c r="P284" s="30" t="n">
        <v>8</v>
      </c>
      <c r="Q284" s="26" t="n">
        <f aca="false">P284*J284</f>
        <v>0</v>
      </c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31"/>
      <c r="AC284" s="31"/>
      <c r="AD284" s="31"/>
      <c r="AE284" s="26"/>
      <c r="AF284" s="26"/>
      <c r="AG284" s="26"/>
    </row>
    <row r="285" customFormat="false" ht="15" hidden="false" customHeight="true" outlineLevel="0" collapsed="false">
      <c r="A285" s="24" t="n">
        <v>280</v>
      </c>
      <c r="B285" s="25"/>
      <c r="C285" s="26"/>
      <c r="D285" s="26"/>
      <c r="E285" s="26"/>
      <c r="F285" s="26"/>
      <c r="G285" s="26"/>
      <c r="H285" s="24" t="str">
        <f aca="false">IFERROR(INDEX('Operator Master'!$B$5:$B$504,MATCH(G285,'Operator Master'!$A$5:$A$504,0)),"")</f>
        <v/>
      </c>
      <c r="I285" s="26"/>
      <c r="J285" s="26"/>
      <c r="K285" s="26"/>
      <c r="L285" s="26"/>
      <c r="M285" s="26"/>
      <c r="N285" s="26"/>
      <c r="O285" s="26"/>
      <c r="P285" s="30" t="n">
        <v>8</v>
      </c>
      <c r="Q285" s="26" t="n">
        <f aca="false">P285*J285</f>
        <v>0</v>
      </c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31"/>
      <c r="AC285" s="31"/>
      <c r="AD285" s="31"/>
      <c r="AE285" s="26"/>
      <c r="AF285" s="26"/>
      <c r="AG285" s="26"/>
    </row>
    <row r="286" customFormat="false" ht="15" hidden="false" customHeight="true" outlineLevel="0" collapsed="false">
      <c r="A286" s="24" t="n">
        <v>281</v>
      </c>
      <c r="B286" s="25"/>
      <c r="C286" s="26"/>
      <c r="D286" s="26"/>
      <c r="E286" s="26"/>
      <c r="F286" s="26"/>
      <c r="G286" s="26"/>
      <c r="H286" s="24" t="str">
        <f aca="false">IFERROR(INDEX('Operator Master'!$B$5:$B$504,MATCH(G286,'Operator Master'!$A$5:$A$504,0)),"")</f>
        <v/>
      </c>
      <c r="I286" s="26"/>
      <c r="J286" s="26"/>
      <c r="K286" s="26"/>
      <c r="L286" s="26"/>
      <c r="M286" s="26"/>
      <c r="N286" s="26"/>
      <c r="O286" s="26"/>
      <c r="P286" s="30" t="n">
        <v>8</v>
      </c>
      <c r="Q286" s="26" t="n">
        <f aca="false">P286*J286</f>
        <v>0</v>
      </c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31"/>
      <c r="AC286" s="31"/>
      <c r="AD286" s="31"/>
      <c r="AE286" s="26"/>
      <c r="AF286" s="26"/>
      <c r="AG286" s="26"/>
    </row>
    <row r="287" customFormat="false" ht="15" hidden="false" customHeight="true" outlineLevel="0" collapsed="false">
      <c r="A287" s="24" t="n">
        <v>282</v>
      </c>
      <c r="B287" s="25"/>
      <c r="C287" s="26"/>
      <c r="D287" s="26"/>
      <c r="E287" s="26"/>
      <c r="F287" s="26"/>
      <c r="G287" s="26"/>
      <c r="H287" s="24" t="str">
        <f aca="false">IFERROR(INDEX('Operator Master'!$B$5:$B$504,MATCH(G287,'Operator Master'!$A$5:$A$504,0)),"")</f>
        <v/>
      </c>
      <c r="I287" s="26"/>
      <c r="J287" s="26"/>
      <c r="K287" s="26"/>
      <c r="L287" s="26"/>
      <c r="M287" s="26"/>
      <c r="N287" s="26"/>
      <c r="O287" s="26"/>
      <c r="P287" s="30" t="n">
        <v>8</v>
      </c>
      <c r="Q287" s="26" t="n">
        <f aca="false">P287*J287</f>
        <v>0</v>
      </c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31"/>
      <c r="AC287" s="31"/>
      <c r="AD287" s="31"/>
      <c r="AE287" s="26"/>
      <c r="AF287" s="26"/>
      <c r="AG287" s="26"/>
    </row>
    <row r="288" customFormat="false" ht="15" hidden="false" customHeight="true" outlineLevel="0" collapsed="false">
      <c r="A288" s="24" t="n">
        <v>283</v>
      </c>
      <c r="B288" s="25"/>
      <c r="C288" s="26"/>
      <c r="D288" s="26"/>
      <c r="E288" s="26"/>
      <c r="F288" s="26"/>
      <c r="G288" s="26"/>
      <c r="H288" s="24" t="str">
        <f aca="false">IFERROR(INDEX('Operator Master'!$B$5:$B$504,MATCH(G288,'Operator Master'!$A$5:$A$504,0)),"")</f>
        <v/>
      </c>
      <c r="I288" s="26"/>
      <c r="J288" s="26"/>
      <c r="K288" s="26"/>
      <c r="L288" s="26"/>
      <c r="M288" s="26"/>
      <c r="N288" s="26"/>
      <c r="O288" s="26"/>
      <c r="P288" s="30" t="n">
        <v>8</v>
      </c>
      <c r="Q288" s="26" t="n">
        <f aca="false">P288*J288</f>
        <v>0</v>
      </c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31"/>
      <c r="AC288" s="31"/>
      <c r="AD288" s="31"/>
      <c r="AE288" s="26"/>
      <c r="AF288" s="26"/>
      <c r="AG288" s="26"/>
    </row>
    <row r="289" customFormat="false" ht="15" hidden="false" customHeight="true" outlineLevel="0" collapsed="false">
      <c r="A289" s="24" t="n">
        <v>284</v>
      </c>
      <c r="B289" s="25"/>
      <c r="C289" s="26"/>
      <c r="D289" s="26"/>
      <c r="E289" s="26"/>
      <c r="F289" s="26"/>
      <c r="G289" s="26"/>
      <c r="H289" s="24" t="str">
        <f aca="false">IFERROR(INDEX('Operator Master'!$B$5:$B$504,MATCH(G289,'Operator Master'!$A$5:$A$504,0)),"")</f>
        <v/>
      </c>
      <c r="I289" s="26"/>
      <c r="J289" s="26"/>
      <c r="K289" s="26"/>
      <c r="L289" s="26"/>
      <c r="M289" s="26"/>
      <c r="N289" s="26"/>
      <c r="O289" s="26"/>
      <c r="P289" s="30" t="n">
        <v>8</v>
      </c>
      <c r="Q289" s="26" t="n">
        <f aca="false">P289*J289</f>
        <v>0</v>
      </c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31"/>
      <c r="AC289" s="31"/>
      <c r="AD289" s="31"/>
      <c r="AE289" s="26"/>
      <c r="AF289" s="26"/>
      <c r="AG289" s="26"/>
    </row>
    <row r="290" customFormat="false" ht="15" hidden="false" customHeight="true" outlineLevel="0" collapsed="false">
      <c r="A290" s="24" t="n">
        <v>285</v>
      </c>
      <c r="B290" s="25"/>
      <c r="C290" s="26"/>
      <c r="D290" s="26"/>
      <c r="E290" s="26"/>
      <c r="F290" s="26"/>
      <c r="G290" s="26"/>
      <c r="H290" s="24" t="str">
        <f aca="false">IFERROR(INDEX('Operator Master'!$B$5:$B$504,MATCH(G290,'Operator Master'!$A$5:$A$504,0)),"")</f>
        <v/>
      </c>
      <c r="I290" s="26"/>
      <c r="J290" s="26"/>
      <c r="K290" s="26"/>
      <c r="L290" s="26"/>
      <c r="M290" s="26"/>
      <c r="N290" s="26"/>
      <c r="O290" s="26"/>
      <c r="P290" s="30" t="n">
        <v>8</v>
      </c>
      <c r="Q290" s="26" t="n">
        <f aca="false">P290*J290</f>
        <v>0</v>
      </c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31"/>
      <c r="AC290" s="31"/>
      <c r="AD290" s="31"/>
      <c r="AE290" s="26"/>
      <c r="AF290" s="26"/>
      <c r="AG290" s="26"/>
    </row>
    <row r="291" customFormat="false" ht="15" hidden="false" customHeight="true" outlineLevel="0" collapsed="false">
      <c r="A291" s="24" t="n">
        <v>286</v>
      </c>
      <c r="B291" s="25"/>
      <c r="C291" s="26"/>
      <c r="D291" s="26"/>
      <c r="E291" s="26"/>
      <c r="F291" s="26"/>
      <c r="G291" s="26"/>
      <c r="H291" s="24" t="str">
        <f aca="false">IFERROR(INDEX('Operator Master'!$B$5:$B$504,MATCH(G291,'Operator Master'!$A$5:$A$504,0)),"")</f>
        <v/>
      </c>
      <c r="I291" s="26"/>
      <c r="J291" s="26"/>
      <c r="K291" s="26"/>
      <c r="L291" s="26"/>
      <c r="M291" s="26"/>
      <c r="N291" s="26"/>
      <c r="O291" s="26"/>
      <c r="P291" s="30" t="n">
        <v>8</v>
      </c>
      <c r="Q291" s="26" t="n">
        <f aca="false">P291*J291</f>
        <v>0</v>
      </c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31"/>
      <c r="AC291" s="31"/>
      <c r="AD291" s="31"/>
      <c r="AE291" s="26"/>
      <c r="AF291" s="26"/>
      <c r="AG291" s="26"/>
    </row>
    <row r="292" customFormat="false" ht="15" hidden="false" customHeight="true" outlineLevel="0" collapsed="false">
      <c r="A292" s="24" t="n">
        <v>287</v>
      </c>
      <c r="B292" s="25"/>
      <c r="C292" s="26"/>
      <c r="D292" s="26"/>
      <c r="E292" s="26"/>
      <c r="F292" s="26"/>
      <c r="G292" s="26"/>
      <c r="H292" s="24" t="str">
        <f aca="false">IFERROR(INDEX('Operator Master'!$B$5:$B$504,MATCH(G292,'Operator Master'!$A$5:$A$504,0)),"")</f>
        <v/>
      </c>
      <c r="I292" s="26"/>
      <c r="J292" s="26"/>
      <c r="K292" s="26"/>
      <c r="L292" s="26"/>
      <c r="M292" s="26"/>
      <c r="N292" s="26"/>
      <c r="O292" s="26"/>
      <c r="P292" s="30" t="n">
        <v>8</v>
      </c>
      <c r="Q292" s="26" t="n">
        <f aca="false">P292*J292</f>
        <v>0</v>
      </c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31"/>
      <c r="AC292" s="31"/>
      <c r="AD292" s="31"/>
      <c r="AE292" s="26"/>
      <c r="AF292" s="26"/>
      <c r="AG292" s="26"/>
    </row>
    <row r="293" customFormat="false" ht="15" hidden="false" customHeight="true" outlineLevel="0" collapsed="false">
      <c r="A293" s="24" t="n">
        <v>288</v>
      </c>
      <c r="B293" s="25"/>
      <c r="C293" s="26"/>
      <c r="D293" s="26"/>
      <c r="E293" s="26"/>
      <c r="F293" s="26"/>
      <c r="G293" s="26"/>
      <c r="H293" s="24" t="str">
        <f aca="false">IFERROR(INDEX('Operator Master'!$B$5:$B$504,MATCH(G293,'Operator Master'!$A$5:$A$504,0)),"")</f>
        <v/>
      </c>
      <c r="I293" s="26"/>
      <c r="J293" s="26"/>
      <c r="K293" s="26"/>
      <c r="L293" s="26"/>
      <c r="M293" s="26"/>
      <c r="N293" s="26"/>
      <c r="O293" s="26"/>
      <c r="P293" s="30" t="n">
        <v>8</v>
      </c>
      <c r="Q293" s="26" t="n">
        <f aca="false">P293*J293</f>
        <v>0</v>
      </c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31"/>
      <c r="AC293" s="31"/>
      <c r="AD293" s="31"/>
      <c r="AE293" s="26"/>
      <c r="AF293" s="26"/>
      <c r="AG293" s="26"/>
    </row>
    <row r="294" customFormat="false" ht="15" hidden="false" customHeight="true" outlineLevel="0" collapsed="false">
      <c r="A294" s="24" t="n">
        <v>289</v>
      </c>
      <c r="B294" s="25"/>
      <c r="C294" s="26"/>
      <c r="D294" s="26"/>
      <c r="E294" s="26"/>
      <c r="F294" s="26"/>
      <c r="G294" s="26"/>
      <c r="H294" s="24" t="str">
        <f aca="false">IFERROR(INDEX('Operator Master'!$B$5:$B$504,MATCH(G294,'Operator Master'!$A$5:$A$504,0)),"")</f>
        <v/>
      </c>
      <c r="I294" s="26"/>
      <c r="J294" s="26"/>
      <c r="K294" s="26"/>
      <c r="L294" s="26"/>
      <c r="M294" s="26"/>
      <c r="N294" s="26"/>
      <c r="O294" s="26"/>
      <c r="P294" s="30" t="n">
        <v>8</v>
      </c>
      <c r="Q294" s="26" t="n">
        <f aca="false">P294*J294</f>
        <v>0</v>
      </c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31"/>
      <c r="AC294" s="31"/>
      <c r="AD294" s="31"/>
      <c r="AE294" s="26"/>
      <c r="AF294" s="26"/>
      <c r="AG294" s="26"/>
    </row>
    <row r="295" customFormat="false" ht="15" hidden="false" customHeight="true" outlineLevel="0" collapsed="false">
      <c r="A295" s="24" t="n">
        <v>290</v>
      </c>
      <c r="B295" s="25"/>
      <c r="C295" s="26"/>
      <c r="D295" s="26"/>
      <c r="E295" s="26"/>
      <c r="F295" s="26"/>
      <c r="G295" s="26"/>
      <c r="H295" s="24" t="str">
        <f aca="false">IFERROR(INDEX('Operator Master'!$B$5:$B$504,MATCH(G295,'Operator Master'!$A$5:$A$504,0)),"")</f>
        <v/>
      </c>
      <c r="I295" s="26"/>
      <c r="J295" s="26"/>
      <c r="K295" s="26"/>
      <c r="L295" s="26"/>
      <c r="M295" s="26"/>
      <c r="N295" s="26"/>
      <c r="O295" s="26"/>
      <c r="P295" s="30" t="n">
        <v>8</v>
      </c>
      <c r="Q295" s="26" t="n">
        <f aca="false">P295*J295</f>
        <v>0</v>
      </c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31"/>
      <c r="AC295" s="31"/>
      <c r="AD295" s="31"/>
      <c r="AE295" s="26"/>
      <c r="AF295" s="26"/>
      <c r="AG295" s="26"/>
    </row>
    <row r="296" customFormat="false" ht="15" hidden="false" customHeight="true" outlineLevel="0" collapsed="false">
      <c r="A296" s="24" t="n">
        <v>291</v>
      </c>
      <c r="B296" s="25"/>
      <c r="C296" s="26"/>
      <c r="D296" s="26"/>
      <c r="E296" s="26"/>
      <c r="F296" s="26"/>
      <c r="G296" s="26"/>
      <c r="H296" s="24" t="str">
        <f aca="false">IFERROR(INDEX('Operator Master'!$B$5:$B$504,MATCH(G296,'Operator Master'!$A$5:$A$504,0)),"")</f>
        <v/>
      </c>
      <c r="I296" s="26"/>
      <c r="J296" s="26"/>
      <c r="K296" s="26"/>
      <c r="L296" s="26"/>
      <c r="M296" s="26"/>
      <c r="N296" s="26"/>
      <c r="O296" s="26"/>
      <c r="P296" s="30" t="n">
        <v>8</v>
      </c>
      <c r="Q296" s="26" t="n">
        <f aca="false">P296*J296</f>
        <v>0</v>
      </c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31"/>
      <c r="AC296" s="31"/>
      <c r="AD296" s="31"/>
      <c r="AE296" s="26"/>
      <c r="AF296" s="26"/>
      <c r="AG296" s="26"/>
    </row>
    <row r="297" customFormat="false" ht="15" hidden="false" customHeight="true" outlineLevel="0" collapsed="false">
      <c r="A297" s="24" t="n">
        <v>292</v>
      </c>
      <c r="B297" s="25"/>
      <c r="C297" s="26"/>
      <c r="D297" s="26"/>
      <c r="E297" s="26"/>
      <c r="F297" s="26"/>
      <c r="G297" s="26"/>
      <c r="H297" s="24" t="str">
        <f aca="false">IFERROR(INDEX('Operator Master'!$B$5:$B$504,MATCH(G297,'Operator Master'!$A$5:$A$504,0)),"")</f>
        <v/>
      </c>
      <c r="I297" s="26"/>
      <c r="J297" s="26"/>
      <c r="K297" s="26"/>
      <c r="L297" s="26"/>
      <c r="M297" s="26"/>
      <c r="N297" s="26"/>
      <c r="O297" s="26"/>
      <c r="P297" s="30" t="n">
        <v>8</v>
      </c>
      <c r="Q297" s="26" t="n">
        <f aca="false">P297*J297</f>
        <v>0</v>
      </c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31"/>
      <c r="AC297" s="31"/>
      <c r="AD297" s="31"/>
      <c r="AE297" s="26"/>
      <c r="AF297" s="26"/>
      <c r="AG297" s="26"/>
    </row>
    <row r="298" customFormat="false" ht="15" hidden="false" customHeight="true" outlineLevel="0" collapsed="false">
      <c r="A298" s="24" t="n">
        <v>293</v>
      </c>
      <c r="B298" s="25"/>
      <c r="C298" s="26"/>
      <c r="D298" s="26"/>
      <c r="E298" s="26"/>
      <c r="F298" s="26"/>
      <c r="G298" s="26"/>
      <c r="H298" s="24" t="str">
        <f aca="false">IFERROR(INDEX('Operator Master'!$B$5:$B$504,MATCH(G298,'Operator Master'!$A$5:$A$504,0)),"")</f>
        <v/>
      </c>
      <c r="I298" s="26"/>
      <c r="J298" s="26"/>
      <c r="K298" s="26"/>
      <c r="L298" s="26"/>
      <c r="M298" s="26"/>
      <c r="N298" s="26"/>
      <c r="O298" s="26"/>
      <c r="P298" s="30" t="n">
        <v>8</v>
      </c>
      <c r="Q298" s="26" t="n">
        <f aca="false">P298*J298</f>
        <v>0</v>
      </c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31"/>
      <c r="AC298" s="31"/>
      <c r="AD298" s="31"/>
      <c r="AE298" s="26"/>
      <c r="AF298" s="26"/>
      <c r="AG298" s="26"/>
    </row>
    <row r="299" customFormat="false" ht="15" hidden="false" customHeight="true" outlineLevel="0" collapsed="false">
      <c r="A299" s="24" t="n">
        <v>294</v>
      </c>
      <c r="B299" s="25"/>
      <c r="C299" s="26"/>
      <c r="D299" s="26"/>
      <c r="E299" s="26"/>
      <c r="F299" s="26"/>
      <c r="G299" s="26"/>
      <c r="H299" s="24" t="str">
        <f aca="false">IFERROR(INDEX('Operator Master'!$B$5:$B$504,MATCH(G299,'Operator Master'!$A$5:$A$504,0)),"")</f>
        <v/>
      </c>
      <c r="I299" s="26"/>
      <c r="J299" s="26"/>
      <c r="K299" s="26"/>
      <c r="L299" s="26"/>
      <c r="M299" s="26"/>
      <c r="N299" s="26"/>
      <c r="O299" s="26"/>
      <c r="P299" s="30" t="n">
        <v>8</v>
      </c>
      <c r="Q299" s="26" t="n">
        <f aca="false">P299*J299</f>
        <v>0</v>
      </c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31"/>
      <c r="AC299" s="31"/>
      <c r="AD299" s="31"/>
      <c r="AE299" s="26"/>
      <c r="AF299" s="26"/>
      <c r="AG299" s="26"/>
    </row>
    <row r="300" customFormat="false" ht="15" hidden="false" customHeight="true" outlineLevel="0" collapsed="false">
      <c r="A300" s="24" t="n">
        <v>295</v>
      </c>
      <c r="B300" s="25"/>
      <c r="C300" s="26"/>
      <c r="D300" s="26"/>
      <c r="E300" s="26"/>
      <c r="F300" s="26"/>
      <c r="G300" s="26"/>
      <c r="H300" s="24" t="str">
        <f aca="false">IFERROR(INDEX('Operator Master'!$B$5:$B$504,MATCH(G300,'Operator Master'!$A$5:$A$504,0)),"")</f>
        <v/>
      </c>
      <c r="I300" s="26"/>
      <c r="J300" s="26"/>
      <c r="K300" s="26"/>
      <c r="L300" s="26"/>
      <c r="M300" s="26"/>
      <c r="N300" s="26"/>
      <c r="O300" s="26"/>
      <c r="P300" s="30" t="n">
        <v>8</v>
      </c>
      <c r="Q300" s="26" t="n">
        <f aca="false">P300*J300</f>
        <v>0</v>
      </c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31"/>
      <c r="AC300" s="31"/>
      <c r="AD300" s="31"/>
      <c r="AE300" s="26"/>
      <c r="AF300" s="26"/>
      <c r="AG300" s="26"/>
    </row>
    <row r="301" customFormat="false" ht="15" hidden="false" customHeight="true" outlineLevel="0" collapsed="false">
      <c r="A301" s="24" t="n">
        <v>296</v>
      </c>
      <c r="B301" s="25"/>
      <c r="C301" s="26"/>
      <c r="D301" s="26"/>
      <c r="E301" s="26"/>
      <c r="F301" s="26"/>
      <c r="G301" s="26"/>
      <c r="H301" s="24" t="str">
        <f aca="false">IFERROR(INDEX('Operator Master'!$B$5:$B$504,MATCH(G301,'Operator Master'!$A$5:$A$504,0)),"")</f>
        <v/>
      </c>
      <c r="I301" s="26"/>
      <c r="J301" s="26"/>
      <c r="K301" s="26"/>
      <c r="L301" s="26"/>
      <c r="M301" s="26"/>
      <c r="N301" s="26"/>
      <c r="O301" s="26"/>
      <c r="P301" s="30" t="n">
        <v>8</v>
      </c>
      <c r="Q301" s="26" t="n">
        <f aca="false">P301*J301</f>
        <v>0</v>
      </c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31"/>
      <c r="AC301" s="31"/>
      <c r="AD301" s="31"/>
      <c r="AE301" s="26"/>
      <c r="AF301" s="26"/>
      <c r="AG301" s="26"/>
    </row>
    <row r="302" customFormat="false" ht="15" hidden="false" customHeight="true" outlineLevel="0" collapsed="false">
      <c r="A302" s="24" t="n">
        <v>297</v>
      </c>
      <c r="B302" s="25"/>
      <c r="C302" s="26"/>
      <c r="D302" s="26"/>
      <c r="E302" s="26"/>
      <c r="F302" s="26"/>
      <c r="G302" s="26"/>
      <c r="H302" s="24" t="str">
        <f aca="false">IFERROR(INDEX('Operator Master'!$B$5:$B$504,MATCH(G302,'Operator Master'!$A$5:$A$504,0)),"")</f>
        <v/>
      </c>
      <c r="I302" s="26"/>
      <c r="J302" s="26"/>
      <c r="K302" s="26"/>
      <c r="L302" s="26"/>
      <c r="M302" s="26"/>
      <c r="N302" s="26"/>
      <c r="O302" s="26"/>
      <c r="P302" s="30" t="n">
        <v>8</v>
      </c>
      <c r="Q302" s="26" t="n">
        <f aca="false">P302*J302</f>
        <v>0</v>
      </c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31"/>
      <c r="AC302" s="31"/>
      <c r="AD302" s="31"/>
      <c r="AE302" s="26"/>
      <c r="AF302" s="26"/>
      <c r="AG302" s="26"/>
    </row>
    <row r="303" customFormat="false" ht="15" hidden="false" customHeight="true" outlineLevel="0" collapsed="false">
      <c r="A303" s="24" t="n">
        <v>298</v>
      </c>
      <c r="B303" s="25"/>
      <c r="C303" s="26"/>
      <c r="D303" s="26"/>
      <c r="E303" s="26"/>
      <c r="F303" s="26"/>
      <c r="G303" s="26"/>
      <c r="H303" s="24" t="str">
        <f aca="false">IFERROR(INDEX('Operator Master'!$B$5:$B$504,MATCH(G303,'Operator Master'!$A$5:$A$504,0)),"")</f>
        <v/>
      </c>
      <c r="I303" s="26"/>
      <c r="J303" s="26"/>
      <c r="K303" s="26"/>
      <c r="L303" s="26"/>
      <c r="M303" s="26"/>
      <c r="N303" s="26"/>
      <c r="O303" s="26"/>
      <c r="P303" s="30" t="n">
        <v>8</v>
      </c>
      <c r="Q303" s="26" t="n">
        <f aca="false">P303*J303</f>
        <v>0</v>
      </c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31"/>
      <c r="AC303" s="31"/>
      <c r="AD303" s="31"/>
      <c r="AE303" s="26"/>
      <c r="AF303" s="26"/>
      <c r="AG303" s="26"/>
    </row>
    <row r="304" customFormat="false" ht="15" hidden="false" customHeight="true" outlineLevel="0" collapsed="false">
      <c r="A304" s="24" t="n">
        <v>299</v>
      </c>
      <c r="B304" s="25"/>
      <c r="C304" s="26"/>
      <c r="D304" s="26"/>
      <c r="E304" s="26"/>
      <c r="F304" s="26"/>
      <c r="G304" s="26"/>
      <c r="H304" s="24" t="str">
        <f aca="false">IFERROR(INDEX('Operator Master'!$B$5:$B$504,MATCH(G304,'Operator Master'!$A$5:$A$504,0)),"")</f>
        <v/>
      </c>
      <c r="I304" s="26"/>
      <c r="J304" s="26"/>
      <c r="K304" s="26"/>
      <c r="L304" s="26"/>
      <c r="M304" s="26"/>
      <c r="N304" s="26"/>
      <c r="O304" s="26"/>
      <c r="P304" s="30" t="n">
        <v>8</v>
      </c>
      <c r="Q304" s="26" t="n">
        <f aca="false">P304*J304</f>
        <v>0</v>
      </c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31"/>
      <c r="AC304" s="31"/>
      <c r="AD304" s="31"/>
      <c r="AE304" s="26"/>
      <c r="AF304" s="26"/>
      <c r="AG304" s="26"/>
    </row>
    <row r="305" customFormat="false" ht="15" hidden="false" customHeight="true" outlineLevel="0" collapsed="false">
      <c r="A305" s="24" t="n">
        <v>300</v>
      </c>
      <c r="B305" s="25"/>
      <c r="C305" s="26"/>
      <c r="D305" s="26"/>
      <c r="E305" s="26"/>
      <c r="F305" s="26"/>
      <c r="G305" s="26"/>
      <c r="H305" s="24" t="str">
        <f aca="false">IFERROR(INDEX('Operator Master'!$B$5:$B$504,MATCH(G305,'Operator Master'!$A$5:$A$504,0)),"")</f>
        <v/>
      </c>
      <c r="I305" s="26"/>
      <c r="J305" s="26"/>
      <c r="K305" s="26"/>
      <c r="L305" s="26"/>
      <c r="M305" s="26"/>
      <c r="N305" s="26"/>
      <c r="O305" s="26"/>
      <c r="P305" s="30" t="n">
        <v>8</v>
      </c>
      <c r="Q305" s="26" t="n">
        <f aca="false">P305*J305</f>
        <v>0</v>
      </c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31"/>
      <c r="AC305" s="31"/>
      <c r="AD305" s="31"/>
      <c r="AE305" s="26"/>
      <c r="AF305" s="26"/>
      <c r="AG305" s="26"/>
    </row>
    <row r="306" customFormat="false" ht="15" hidden="false" customHeight="true" outlineLevel="0" collapsed="false">
      <c r="A306" s="24" t="n">
        <v>301</v>
      </c>
      <c r="B306" s="25"/>
      <c r="C306" s="26"/>
      <c r="D306" s="26"/>
      <c r="E306" s="26"/>
      <c r="F306" s="26"/>
      <c r="G306" s="26"/>
      <c r="H306" s="24" t="str">
        <f aca="false">IFERROR(INDEX('Operator Master'!$B$5:$B$504,MATCH(G306,'Operator Master'!$A$5:$A$504,0)),"")</f>
        <v/>
      </c>
      <c r="I306" s="26"/>
      <c r="J306" s="26"/>
      <c r="K306" s="26"/>
      <c r="L306" s="26"/>
      <c r="M306" s="26"/>
      <c r="N306" s="26"/>
      <c r="O306" s="26"/>
      <c r="P306" s="30" t="n">
        <v>8</v>
      </c>
      <c r="Q306" s="26" t="n">
        <f aca="false">P306*J306</f>
        <v>0</v>
      </c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31"/>
      <c r="AC306" s="31"/>
      <c r="AD306" s="31"/>
      <c r="AE306" s="26"/>
      <c r="AF306" s="26"/>
      <c r="AG306" s="26"/>
    </row>
    <row r="307" customFormat="false" ht="15" hidden="false" customHeight="true" outlineLevel="0" collapsed="false">
      <c r="A307" s="24" t="n">
        <v>302</v>
      </c>
      <c r="B307" s="25"/>
      <c r="C307" s="26"/>
      <c r="D307" s="26"/>
      <c r="E307" s="26"/>
      <c r="F307" s="26"/>
      <c r="G307" s="26"/>
      <c r="H307" s="24" t="str">
        <f aca="false">IFERROR(INDEX('Operator Master'!$B$5:$B$504,MATCH(G307,'Operator Master'!$A$5:$A$504,0)),"")</f>
        <v/>
      </c>
      <c r="I307" s="26"/>
      <c r="J307" s="26"/>
      <c r="K307" s="26"/>
      <c r="L307" s="26"/>
      <c r="M307" s="26"/>
      <c r="N307" s="26"/>
      <c r="O307" s="26"/>
      <c r="P307" s="30" t="n">
        <v>8</v>
      </c>
      <c r="Q307" s="26" t="n">
        <f aca="false">P307*J307</f>
        <v>0</v>
      </c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31"/>
      <c r="AC307" s="31"/>
      <c r="AD307" s="31"/>
      <c r="AE307" s="26"/>
      <c r="AF307" s="26"/>
      <c r="AG307" s="26"/>
    </row>
    <row r="308" customFormat="false" ht="15" hidden="false" customHeight="true" outlineLevel="0" collapsed="false">
      <c r="A308" s="24" t="n">
        <v>303</v>
      </c>
      <c r="B308" s="25"/>
      <c r="C308" s="26"/>
      <c r="D308" s="26"/>
      <c r="E308" s="26"/>
      <c r="F308" s="26"/>
      <c r="G308" s="26"/>
      <c r="H308" s="24" t="str">
        <f aca="false">IFERROR(INDEX('Operator Master'!$B$5:$B$504,MATCH(G308,'Operator Master'!$A$5:$A$504,0)),"")</f>
        <v/>
      </c>
      <c r="I308" s="26"/>
      <c r="J308" s="26"/>
      <c r="K308" s="26"/>
      <c r="L308" s="26"/>
      <c r="M308" s="26"/>
      <c r="N308" s="26"/>
      <c r="O308" s="26"/>
      <c r="P308" s="30" t="n">
        <v>8</v>
      </c>
      <c r="Q308" s="26" t="n">
        <f aca="false">P308*J308</f>
        <v>0</v>
      </c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31"/>
      <c r="AC308" s="31"/>
      <c r="AD308" s="31"/>
      <c r="AE308" s="26"/>
      <c r="AF308" s="26"/>
      <c r="AG308" s="26"/>
    </row>
    <row r="309" customFormat="false" ht="15" hidden="false" customHeight="true" outlineLevel="0" collapsed="false">
      <c r="A309" s="24" t="n">
        <v>304</v>
      </c>
      <c r="B309" s="25"/>
      <c r="C309" s="26"/>
      <c r="D309" s="26"/>
      <c r="E309" s="26"/>
      <c r="F309" s="26"/>
      <c r="G309" s="26"/>
      <c r="H309" s="24" t="str">
        <f aca="false">IFERROR(INDEX('Operator Master'!$B$5:$B$504,MATCH(G309,'Operator Master'!$A$5:$A$504,0)),"")</f>
        <v/>
      </c>
      <c r="I309" s="26"/>
      <c r="J309" s="26"/>
      <c r="K309" s="26"/>
      <c r="L309" s="26"/>
      <c r="M309" s="26"/>
      <c r="N309" s="26"/>
      <c r="O309" s="26"/>
      <c r="P309" s="30" t="n">
        <v>8</v>
      </c>
      <c r="Q309" s="26" t="n">
        <f aca="false">P309*J309</f>
        <v>0</v>
      </c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31"/>
      <c r="AC309" s="31"/>
      <c r="AD309" s="31"/>
      <c r="AE309" s="26"/>
      <c r="AF309" s="26"/>
      <c r="AG309" s="26"/>
    </row>
    <row r="310" customFormat="false" ht="15" hidden="false" customHeight="true" outlineLevel="0" collapsed="false">
      <c r="A310" s="24" t="n">
        <v>305</v>
      </c>
      <c r="B310" s="25"/>
      <c r="C310" s="26"/>
      <c r="D310" s="26"/>
      <c r="E310" s="26"/>
      <c r="F310" s="26"/>
      <c r="G310" s="26"/>
      <c r="H310" s="24" t="str">
        <f aca="false">IFERROR(INDEX('Operator Master'!$B$5:$B$504,MATCH(G310,'Operator Master'!$A$5:$A$504,0)),"")</f>
        <v/>
      </c>
      <c r="I310" s="26"/>
      <c r="J310" s="26"/>
      <c r="K310" s="26"/>
      <c r="L310" s="26"/>
      <c r="M310" s="26"/>
      <c r="N310" s="26"/>
      <c r="O310" s="26"/>
      <c r="P310" s="30" t="n">
        <v>8</v>
      </c>
      <c r="Q310" s="26" t="n">
        <f aca="false">P310*J310</f>
        <v>0</v>
      </c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31"/>
      <c r="AC310" s="31"/>
      <c r="AD310" s="31"/>
      <c r="AE310" s="26"/>
      <c r="AF310" s="26"/>
      <c r="AG310" s="26"/>
    </row>
    <row r="311" customFormat="false" ht="15" hidden="false" customHeight="true" outlineLevel="0" collapsed="false">
      <c r="A311" s="24" t="n">
        <v>306</v>
      </c>
      <c r="B311" s="25"/>
      <c r="C311" s="26"/>
      <c r="D311" s="26"/>
      <c r="E311" s="26"/>
      <c r="F311" s="26"/>
      <c r="G311" s="26"/>
      <c r="H311" s="24" t="str">
        <f aca="false">IFERROR(INDEX('Operator Master'!$B$5:$B$504,MATCH(G311,'Operator Master'!$A$5:$A$504,0)),"")</f>
        <v/>
      </c>
      <c r="I311" s="26"/>
      <c r="J311" s="26"/>
      <c r="K311" s="26"/>
      <c r="L311" s="26"/>
      <c r="M311" s="26"/>
      <c r="N311" s="26"/>
      <c r="O311" s="26"/>
      <c r="P311" s="30" t="n">
        <v>8</v>
      </c>
      <c r="Q311" s="26" t="n">
        <f aca="false">P311*J311</f>
        <v>0</v>
      </c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31"/>
      <c r="AC311" s="31"/>
      <c r="AD311" s="31"/>
      <c r="AE311" s="26"/>
      <c r="AF311" s="26"/>
      <c r="AG311" s="26"/>
    </row>
    <row r="312" customFormat="false" ht="15" hidden="false" customHeight="true" outlineLevel="0" collapsed="false">
      <c r="A312" s="24" t="n">
        <v>307</v>
      </c>
      <c r="B312" s="25"/>
      <c r="C312" s="26"/>
      <c r="D312" s="26"/>
      <c r="E312" s="26"/>
      <c r="F312" s="26"/>
      <c r="G312" s="26"/>
      <c r="H312" s="24" t="str">
        <f aca="false">IFERROR(INDEX('Operator Master'!$B$5:$B$504,MATCH(G312,'Operator Master'!$A$5:$A$504,0)),"")</f>
        <v/>
      </c>
      <c r="I312" s="26"/>
      <c r="J312" s="26"/>
      <c r="K312" s="26"/>
      <c r="L312" s="26"/>
      <c r="M312" s="26"/>
      <c r="N312" s="26"/>
      <c r="O312" s="26"/>
      <c r="P312" s="30" t="n">
        <v>8</v>
      </c>
      <c r="Q312" s="26" t="n">
        <f aca="false">P312*J312</f>
        <v>0</v>
      </c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31"/>
      <c r="AC312" s="31"/>
      <c r="AD312" s="31"/>
      <c r="AE312" s="26"/>
      <c r="AF312" s="26"/>
      <c r="AG312" s="26"/>
    </row>
    <row r="313" customFormat="false" ht="15" hidden="false" customHeight="true" outlineLevel="0" collapsed="false">
      <c r="A313" s="24" t="n">
        <v>308</v>
      </c>
      <c r="B313" s="25"/>
      <c r="C313" s="26"/>
      <c r="D313" s="26"/>
      <c r="E313" s="26"/>
      <c r="F313" s="26"/>
      <c r="G313" s="26"/>
      <c r="H313" s="24" t="str">
        <f aca="false">IFERROR(INDEX('Operator Master'!$B$5:$B$504,MATCH(G313,'Operator Master'!$A$5:$A$504,0)),"")</f>
        <v/>
      </c>
      <c r="I313" s="26"/>
      <c r="J313" s="26"/>
      <c r="K313" s="26"/>
      <c r="L313" s="26"/>
      <c r="M313" s="26"/>
      <c r="N313" s="26"/>
      <c r="O313" s="26"/>
      <c r="P313" s="30" t="n">
        <v>8</v>
      </c>
      <c r="Q313" s="26" t="n">
        <f aca="false">P313*J313</f>
        <v>0</v>
      </c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31"/>
      <c r="AC313" s="31"/>
      <c r="AD313" s="31"/>
      <c r="AE313" s="26"/>
      <c r="AF313" s="26"/>
      <c r="AG313" s="26"/>
    </row>
    <row r="314" customFormat="false" ht="15" hidden="false" customHeight="true" outlineLevel="0" collapsed="false">
      <c r="A314" s="24" t="n">
        <v>309</v>
      </c>
      <c r="B314" s="25"/>
      <c r="C314" s="26"/>
      <c r="D314" s="26"/>
      <c r="E314" s="26"/>
      <c r="F314" s="26"/>
      <c r="G314" s="26"/>
      <c r="H314" s="24" t="str">
        <f aca="false">IFERROR(INDEX('Operator Master'!$B$5:$B$504,MATCH(G314,'Operator Master'!$A$5:$A$504,0)),"")</f>
        <v/>
      </c>
      <c r="I314" s="26"/>
      <c r="J314" s="26"/>
      <c r="K314" s="26"/>
      <c r="L314" s="26"/>
      <c r="M314" s="26"/>
      <c r="N314" s="26"/>
      <c r="O314" s="26"/>
      <c r="P314" s="30" t="n">
        <v>8</v>
      </c>
      <c r="Q314" s="26" t="n">
        <f aca="false">P314*J314</f>
        <v>0</v>
      </c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31"/>
      <c r="AC314" s="31"/>
      <c r="AD314" s="31"/>
      <c r="AE314" s="26"/>
      <c r="AF314" s="26"/>
      <c r="AG314" s="26"/>
    </row>
    <row r="315" customFormat="false" ht="15" hidden="false" customHeight="true" outlineLevel="0" collapsed="false">
      <c r="A315" s="24" t="n">
        <v>310</v>
      </c>
      <c r="B315" s="25"/>
      <c r="C315" s="26"/>
      <c r="D315" s="26"/>
      <c r="E315" s="26"/>
      <c r="F315" s="26"/>
      <c r="G315" s="26"/>
      <c r="H315" s="24" t="str">
        <f aca="false">IFERROR(INDEX('Operator Master'!$B$5:$B$504,MATCH(G315,'Operator Master'!$A$5:$A$504,0)),"")</f>
        <v/>
      </c>
      <c r="I315" s="26"/>
      <c r="J315" s="26"/>
      <c r="K315" s="26"/>
      <c r="L315" s="26"/>
      <c r="M315" s="26"/>
      <c r="N315" s="26"/>
      <c r="O315" s="26"/>
      <c r="P315" s="30" t="n">
        <v>8</v>
      </c>
      <c r="Q315" s="26" t="n">
        <f aca="false">P315*J315</f>
        <v>0</v>
      </c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31"/>
      <c r="AC315" s="31"/>
      <c r="AD315" s="31"/>
      <c r="AE315" s="26"/>
      <c r="AF315" s="26"/>
      <c r="AG315" s="26"/>
    </row>
    <row r="316" customFormat="false" ht="15" hidden="false" customHeight="true" outlineLevel="0" collapsed="false">
      <c r="A316" s="24" t="n">
        <v>311</v>
      </c>
      <c r="B316" s="25"/>
      <c r="C316" s="26"/>
      <c r="D316" s="26"/>
      <c r="E316" s="26"/>
      <c r="F316" s="26"/>
      <c r="G316" s="26"/>
      <c r="H316" s="24" t="str">
        <f aca="false">IFERROR(INDEX('Operator Master'!$B$5:$B$504,MATCH(G316,'Operator Master'!$A$5:$A$504,0)),"")</f>
        <v/>
      </c>
      <c r="I316" s="26"/>
      <c r="J316" s="26"/>
      <c r="K316" s="26"/>
      <c r="L316" s="26"/>
      <c r="M316" s="26"/>
      <c r="N316" s="26"/>
      <c r="O316" s="26"/>
      <c r="P316" s="30" t="n">
        <v>8</v>
      </c>
      <c r="Q316" s="26" t="n">
        <f aca="false">P316*J316</f>
        <v>0</v>
      </c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31"/>
      <c r="AC316" s="31"/>
      <c r="AD316" s="31"/>
      <c r="AE316" s="26"/>
      <c r="AF316" s="26"/>
      <c r="AG316" s="26"/>
    </row>
    <row r="317" customFormat="false" ht="15" hidden="false" customHeight="true" outlineLevel="0" collapsed="false">
      <c r="A317" s="24" t="n">
        <v>312</v>
      </c>
      <c r="B317" s="25"/>
      <c r="C317" s="26"/>
      <c r="D317" s="26"/>
      <c r="E317" s="26"/>
      <c r="F317" s="26"/>
      <c r="G317" s="26"/>
      <c r="H317" s="24" t="str">
        <f aca="false">IFERROR(INDEX('Operator Master'!$B$5:$B$504,MATCH(G317,'Operator Master'!$A$5:$A$504,0)),"")</f>
        <v/>
      </c>
      <c r="I317" s="26"/>
      <c r="J317" s="26"/>
      <c r="K317" s="26"/>
      <c r="L317" s="26"/>
      <c r="M317" s="26"/>
      <c r="N317" s="26"/>
      <c r="O317" s="26"/>
      <c r="P317" s="30" t="n">
        <v>8</v>
      </c>
      <c r="Q317" s="26" t="n">
        <f aca="false">P317*J317</f>
        <v>0</v>
      </c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31"/>
      <c r="AC317" s="31"/>
      <c r="AD317" s="31"/>
      <c r="AE317" s="26"/>
      <c r="AF317" s="26"/>
      <c r="AG317" s="26"/>
    </row>
    <row r="318" customFormat="false" ht="15" hidden="false" customHeight="true" outlineLevel="0" collapsed="false">
      <c r="A318" s="24" t="n">
        <v>313</v>
      </c>
      <c r="B318" s="25"/>
      <c r="C318" s="26"/>
      <c r="D318" s="26"/>
      <c r="E318" s="26"/>
      <c r="F318" s="26"/>
      <c r="G318" s="26"/>
      <c r="H318" s="24" t="str">
        <f aca="false">IFERROR(INDEX('Operator Master'!$B$5:$B$504,MATCH(G318,'Operator Master'!$A$5:$A$504,0)),"")</f>
        <v/>
      </c>
      <c r="I318" s="26"/>
      <c r="J318" s="26"/>
      <c r="K318" s="26"/>
      <c r="L318" s="26"/>
      <c r="M318" s="26"/>
      <c r="N318" s="26"/>
      <c r="O318" s="26"/>
      <c r="P318" s="30" t="n">
        <v>8</v>
      </c>
      <c r="Q318" s="26" t="n">
        <f aca="false">P318*J318</f>
        <v>0</v>
      </c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31"/>
      <c r="AC318" s="31"/>
      <c r="AD318" s="31"/>
      <c r="AE318" s="26"/>
      <c r="AF318" s="26"/>
      <c r="AG318" s="26"/>
    </row>
    <row r="319" customFormat="false" ht="15" hidden="false" customHeight="true" outlineLevel="0" collapsed="false">
      <c r="A319" s="24" t="n">
        <v>314</v>
      </c>
      <c r="B319" s="25"/>
      <c r="C319" s="26"/>
      <c r="D319" s="26"/>
      <c r="E319" s="26"/>
      <c r="F319" s="26"/>
      <c r="G319" s="26"/>
      <c r="H319" s="24" t="str">
        <f aca="false">IFERROR(INDEX('Operator Master'!$B$5:$B$504,MATCH(G319,'Operator Master'!$A$5:$A$504,0)),"")</f>
        <v/>
      </c>
      <c r="I319" s="26"/>
      <c r="J319" s="26"/>
      <c r="K319" s="26"/>
      <c r="L319" s="26"/>
      <c r="M319" s="26"/>
      <c r="N319" s="26"/>
      <c r="O319" s="26"/>
      <c r="P319" s="30" t="n">
        <v>8</v>
      </c>
      <c r="Q319" s="26" t="n">
        <f aca="false">P319*J319</f>
        <v>0</v>
      </c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31"/>
      <c r="AC319" s="31"/>
      <c r="AD319" s="31"/>
      <c r="AE319" s="26"/>
      <c r="AF319" s="26"/>
      <c r="AG319" s="26"/>
    </row>
    <row r="320" customFormat="false" ht="15" hidden="false" customHeight="true" outlineLevel="0" collapsed="false">
      <c r="A320" s="24" t="n">
        <v>315</v>
      </c>
      <c r="B320" s="25"/>
      <c r="C320" s="26"/>
      <c r="D320" s="26"/>
      <c r="E320" s="26"/>
      <c r="F320" s="26"/>
      <c r="G320" s="26"/>
      <c r="H320" s="24" t="str">
        <f aca="false">IFERROR(INDEX('Operator Master'!$B$5:$B$504,MATCH(G320,'Operator Master'!$A$5:$A$504,0)),"")</f>
        <v/>
      </c>
      <c r="I320" s="26"/>
      <c r="J320" s="26"/>
      <c r="K320" s="26"/>
      <c r="L320" s="26"/>
      <c r="M320" s="26"/>
      <c r="N320" s="26"/>
      <c r="O320" s="26"/>
      <c r="P320" s="30" t="n">
        <v>8</v>
      </c>
      <c r="Q320" s="26" t="n">
        <f aca="false">P320*J320</f>
        <v>0</v>
      </c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31"/>
      <c r="AC320" s="31"/>
      <c r="AD320" s="31"/>
      <c r="AE320" s="26"/>
      <c r="AF320" s="26"/>
      <c r="AG320" s="26"/>
    </row>
    <row r="321" customFormat="false" ht="15" hidden="false" customHeight="true" outlineLevel="0" collapsed="false">
      <c r="A321" s="24" t="n">
        <v>316</v>
      </c>
      <c r="B321" s="25"/>
      <c r="C321" s="26"/>
      <c r="D321" s="26"/>
      <c r="E321" s="26"/>
      <c r="F321" s="26"/>
      <c r="G321" s="26"/>
      <c r="H321" s="24" t="str">
        <f aca="false">IFERROR(INDEX('Operator Master'!$B$5:$B$504,MATCH(G321,'Operator Master'!$A$5:$A$504,0)),"")</f>
        <v/>
      </c>
      <c r="I321" s="26"/>
      <c r="J321" s="26"/>
      <c r="K321" s="26"/>
      <c r="L321" s="26"/>
      <c r="M321" s="26"/>
      <c r="N321" s="26"/>
      <c r="O321" s="26"/>
      <c r="P321" s="30" t="n">
        <v>8</v>
      </c>
      <c r="Q321" s="26" t="n">
        <f aca="false">P321*J321</f>
        <v>0</v>
      </c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31"/>
      <c r="AC321" s="31"/>
      <c r="AD321" s="31"/>
      <c r="AE321" s="26"/>
      <c r="AF321" s="26"/>
      <c r="AG321" s="26"/>
    </row>
    <row r="322" customFormat="false" ht="15" hidden="false" customHeight="true" outlineLevel="0" collapsed="false">
      <c r="A322" s="24" t="n">
        <v>317</v>
      </c>
      <c r="B322" s="25"/>
      <c r="C322" s="26"/>
      <c r="D322" s="26"/>
      <c r="E322" s="26"/>
      <c r="F322" s="26"/>
      <c r="G322" s="26"/>
      <c r="H322" s="24" t="str">
        <f aca="false">IFERROR(INDEX('Operator Master'!$B$5:$B$504,MATCH(G322,'Operator Master'!$A$5:$A$504,0)),"")</f>
        <v/>
      </c>
      <c r="I322" s="26"/>
      <c r="J322" s="26"/>
      <c r="K322" s="26"/>
      <c r="L322" s="26"/>
      <c r="M322" s="26"/>
      <c r="N322" s="26"/>
      <c r="O322" s="26"/>
      <c r="P322" s="30" t="n">
        <v>8</v>
      </c>
      <c r="Q322" s="26" t="n">
        <f aca="false">P322*J322</f>
        <v>0</v>
      </c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31"/>
      <c r="AC322" s="31"/>
      <c r="AD322" s="31"/>
      <c r="AE322" s="26"/>
      <c r="AF322" s="26"/>
      <c r="AG322" s="26"/>
    </row>
    <row r="323" customFormat="false" ht="15" hidden="false" customHeight="true" outlineLevel="0" collapsed="false">
      <c r="A323" s="24" t="n">
        <v>318</v>
      </c>
      <c r="B323" s="25"/>
      <c r="C323" s="26"/>
      <c r="D323" s="26"/>
      <c r="E323" s="26"/>
      <c r="F323" s="26"/>
      <c r="G323" s="26"/>
      <c r="H323" s="24" t="str">
        <f aca="false">IFERROR(INDEX('Operator Master'!$B$5:$B$504,MATCH(G323,'Operator Master'!$A$5:$A$504,0)),"")</f>
        <v/>
      </c>
      <c r="I323" s="26"/>
      <c r="J323" s="26"/>
      <c r="K323" s="26"/>
      <c r="L323" s="26"/>
      <c r="M323" s="26"/>
      <c r="N323" s="26"/>
      <c r="O323" s="26"/>
      <c r="P323" s="30" t="n">
        <v>8</v>
      </c>
      <c r="Q323" s="26" t="n">
        <f aca="false">P323*J323</f>
        <v>0</v>
      </c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31"/>
      <c r="AC323" s="31"/>
      <c r="AD323" s="31"/>
      <c r="AE323" s="26"/>
      <c r="AF323" s="26"/>
      <c r="AG323" s="26"/>
    </row>
    <row r="324" customFormat="false" ht="15" hidden="false" customHeight="true" outlineLevel="0" collapsed="false">
      <c r="A324" s="24" t="n">
        <v>319</v>
      </c>
      <c r="B324" s="25"/>
      <c r="C324" s="26"/>
      <c r="D324" s="26"/>
      <c r="E324" s="26"/>
      <c r="F324" s="26"/>
      <c r="G324" s="26"/>
      <c r="H324" s="24" t="str">
        <f aca="false">IFERROR(INDEX('Operator Master'!$B$5:$B$504,MATCH(G324,'Operator Master'!$A$5:$A$504,0)),"")</f>
        <v/>
      </c>
      <c r="I324" s="26"/>
      <c r="J324" s="26"/>
      <c r="K324" s="26"/>
      <c r="L324" s="26"/>
      <c r="M324" s="26"/>
      <c r="N324" s="26"/>
      <c r="O324" s="26"/>
      <c r="P324" s="30" t="n">
        <v>8</v>
      </c>
      <c r="Q324" s="26" t="n">
        <f aca="false">P324*J324</f>
        <v>0</v>
      </c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31"/>
      <c r="AC324" s="31"/>
      <c r="AD324" s="31"/>
      <c r="AE324" s="26"/>
      <c r="AF324" s="26"/>
      <c r="AG324" s="26"/>
    </row>
    <row r="325" customFormat="false" ht="15" hidden="false" customHeight="true" outlineLevel="0" collapsed="false">
      <c r="A325" s="24" t="n">
        <v>320</v>
      </c>
      <c r="B325" s="25"/>
      <c r="C325" s="26"/>
      <c r="D325" s="26"/>
      <c r="E325" s="26"/>
      <c r="F325" s="26"/>
      <c r="G325" s="26"/>
      <c r="H325" s="24" t="str">
        <f aca="false">IFERROR(INDEX('Operator Master'!$B$5:$B$504,MATCH(G325,'Operator Master'!$A$5:$A$504,0)),"")</f>
        <v/>
      </c>
      <c r="I325" s="26"/>
      <c r="J325" s="26"/>
      <c r="K325" s="26"/>
      <c r="L325" s="26"/>
      <c r="M325" s="26"/>
      <c r="N325" s="26"/>
      <c r="O325" s="26"/>
      <c r="P325" s="30" t="n">
        <v>8</v>
      </c>
      <c r="Q325" s="26" t="n">
        <f aca="false">P325*J325</f>
        <v>0</v>
      </c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31"/>
      <c r="AC325" s="31"/>
      <c r="AD325" s="31"/>
      <c r="AE325" s="26"/>
      <c r="AF325" s="26"/>
      <c r="AG325" s="26"/>
    </row>
    <row r="326" customFormat="false" ht="15" hidden="false" customHeight="true" outlineLevel="0" collapsed="false">
      <c r="A326" s="24" t="n">
        <v>321</v>
      </c>
      <c r="B326" s="25"/>
      <c r="C326" s="26"/>
      <c r="D326" s="26"/>
      <c r="E326" s="26"/>
      <c r="F326" s="26"/>
      <c r="G326" s="26"/>
      <c r="H326" s="24" t="str">
        <f aca="false">IFERROR(INDEX('Operator Master'!$B$5:$B$504,MATCH(G326,'Operator Master'!$A$5:$A$504,0)),"")</f>
        <v/>
      </c>
      <c r="I326" s="26"/>
      <c r="J326" s="26"/>
      <c r="K326" s="26"/>
      <c r="L326" s="26"/>
      <c r="M326" s="26"/>
      <c r="N326" s="26"/>
      <c r="O326" s="26"/>
      <c r="P326" s="30" t="n">
        <v>8</v>
      </c>
      <c r="Q326" s="26" t="n">
        <f aca="false">P326*J326</f>
        <v>0</v>
      </c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31"/>
      <c r="AC326" s="31"/>
      <c r="AD326" s="31"/>
      <c r="AE326" s="26"/>
      <c r="AF326" s="26"/>
      <c r="AG326" s="26"/>
    </row>
    <row r="327" customFormat="false" ht="15" hidden="false" customHeight="true" outlineLevel="0" collapsed="false">
      <c r="A327" s="24" t="n">
        <v>322</v>
      </c>
      <c r="B327" s="25"/>
      <c r="C327" s="26"/>
      <c r="D327" s="26"/>
      <c r="E327" s="26"/>
      <c r="F327" s="26"/>
      <c r="G327" s="26"/>
      <c r="H327" s="24" t="str">
        <f aca="false">IFERROR(INDEX('Operator Master'!$B$5:$B$504,MATCH(G327,'Operator Master'!$A$5:$A$504,0)),"")</f>
        <v/>
      </c>
      <c r="I327" s="26"/>
      <c r="J327" s="26"/>
      <c r="K327" s="26"/>
      <c r="L327" s="26"/>
      <c r="M327" s="26"/>
      <c r="N327" s="26"/>
      <c r="O327" s="26"/>
      <c r="P327" s="30" t="n">
        <v>8</v>
      </c>
      <c r="Q327" s="26" t="n">
        <f aca="false">P327*J327</f>
        <v>0</v>
      </c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31"/>
      <c r="AC327" s="31"/>
      <c r="AD327" s="31"/>
      <c r="AE327" s="26"/>
      <c r="AF327" s="26"/>
      <c r="AG327" s="26"/>
    </row>
    <row r="328" customFormat="false" ht="15" hidden="false" customHeight="true" outlineLevel="0" collapsed="false">
      <c r="A328" s="24" t="n">
        <v>323</v>
      </c>
      <c r="B328" s="25"/>
      <c r="C328" s="26"/>
      <c r="D328" s="26"/>
      <c r="E328" s="26"/>
      <c r="F328" s="26"/>
      <c r="G328" s="26"/>
      <c r="H328" s="24" t="str">
        <f aca="false">IFERROR(INDEX('Operator Master'!$B$5:$B$504,MATCH(G328,'Operator Master'!$A$5:$A$504,0)),"")</f>
        <v/>
      </c>
      <c r="I328" s="26"/>
      <c r="J328" s="26"/>
      <c r="K328" s="26"/>
      <c r="L328" s="26"/>
      <c r="M328" s="26"/>
      <c r="N328" s="26"/>
      <c r="O328" s="26"/>
      <c r="P328" s="30" t="n">
        <v>8</v>
      </c>
      <c r="Q328" s="26" t="n">
        <f aca="false">P328*J328</f>
        <v>0</v>
      </c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31"/>
      <c r="AC328" s="31"/>
      <c r="AD328" s="31"/>
      <c r="AE328" s="26"/>
      <c r="AF328" s="26"/>
      <c r="AG328" s="26"/>
    </row>
    <row r="329" customFormat="false" ht="15" hidden="false" customHeight="true" outlineLevel="0" collapsed="false">
      <c r="A329" s="24" t="n">
        <v>324</v>
      </c>
      <c r="B329" s="25"/>
      <c r="C329" s="26"/>
      <c r="D329" s="26"/>
      <c r="E329" s="26"/>
      <c r="F329" s="26"/>
      <c r="G329" s="26"/>
      <c r="H329" s="24" t="str">
        <f aca="false">IFERROR(INDEX('Operator Master'!$B$5:$B$504,MATCH(G329,'Operator Master'!$A$5:$A$504,0)),"")</f>
        <v/>
      </c>
      <c r="I329" s="26"/>
      <c r="J329" s="26"/>
      <c r="K329" s="26"/>
      <c r="L329" s="26"/>
      <c r="M329" s="26"/>
      <c r="N329" s="26"/>
      <c r="O329" s="26"/>
      <c r="P329" s="30" t="n">
        <v>8</v>
      </c>
      <c r="Q329" s="26" t="n">
        <f aca="false">P329*J329</f>
        <v>0</v>
      </c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31"/>
      <c r="AC329" s="31"/>
      <c r="AD329" s="31"/>
      <c r="AE329" s="26"/>
      <c r="AF329" s="26"/>
      <c r="AG329" s="26"/>
    </row>
    <row r="330" customFormat="false" ht="15" hidden="false" customHeight="true" outlineLevel="0" collapsed="false">
      <c r="A330" s="24" t="n">
        <v>325</v>
      </c>
      <c r="B330" s="25"/>
      <c r="C330" s="26"/>
      <c r="D330" s="26"/>
      <c r="E330" s="26"/>
      <c r="F330" s="26"/>
      <c r="G330" s="26"/>
      <c r="H330" s="24" t="str">
        <f aca="false">IFERROR(INDEX('Operator Master'!$B$5:$B$504,MATCH(G330,'Operator Master'!$A$5:$A$504,0)),"")</f>
        <v/>
      </c>
      <c r="I330" s="26"/>
      <c r="J330" s="26"/>
      <c r="K330" s="26"/>
      <c r="L330" s="26"/>
      <c r="M330" s="26"/>
      <c r="N330" s="26"/>
      <c r="O330" s="26"/>
      <c r="P330" s="30" t="n">
        <v>8</v>
      </c>
      <c r="Q330" s="26" t="n">
        <f aca="false">P330*J330</f>
        <v>0</v>
      </c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31"/>
      <c r="AC330" s="31"/>
      <c r="AD330" s="31"/>
      <c r="AE330" s="26"/>
      <c r="AF330" s="26"/>
      <c r="AG330" s="26"/>
    </row>
    <row r="331" customFormat="false" ht="15" hidden="false" customHeight="true" outlineLevel="0" collapsed="false">
      <c r="A331" s="24" t="n">
        <v>326</v>
      </c>
      <c r="B331" s="25"/>
      <c r="C331" s="26"/>
      <c r="D331" s="26"/>
      <c r="E331" s="26"/>
      <c r="F331" s="26"/>
      <c r="G331" s="26"/>
      <c r="H331" s="24" t="str">
        <f aca="false">IFERROR(INDEX('Operator Master'!$B$5:$B$504,MATCH(G331,'Operator Master'!$A$5:$A$504,0)),"")</f>
        <v/>
      </c>
      <c r="I331" s="26"/>
      <c r="J331" s="26"/>
      <c r="K331" s="26"/>
      <c r="L331" s="26"/>
      <c r="M331" s="26"/>
      <c r="N331" s="26"/>
      <c r="O331" s="26"/>
      <c r="P331" s="30" t="n">
        <v>8</v>
      </c>
      <c r="Q331" s="26" t="n">
        <f aca="false">P331*J331</f>
        <v>0</v>
      </c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31"/>
      <c r="AC331" s="31"/>
      <c r="AD331" s="31"/>
      <c r="AE331" s="26"/>
      <c r="AF331" s="26"/>
      <c r="AG331" s="26"/>
    </row>
    <row r="332" customFormat="false" ht="15" hidden="false" customHeight="true" outlineLevel="0" collapsed="false">
      <c r="A332" s="24" t="n">
        <v>327</v>
      </c>
      <c r="B332" s="25"/>
      <c r="C332" s="26"/>
      <c r="D332" s="26"/>
      <c r="E332" s="26"/>
      <c r="F332" s="26"/>
      <c r="G332" s="26"/>
      <c r="H332" s="24" t="str">
        <f aca="false">IFERROR(INDEX('Operator Master'!$B$5:$B$504,MATCH(G332,'Operator Master'!$A$5:$A$504,0)),"")</f>
        <v/>
      </c>
      <c r="I332" s="26"/>
      <c r="J332" s="26"/>
      <c r="K332" s="26"/>
      <c r="L332" s="26"/>
      <c r="M332" s="26"/>
      <c r="N332" s="26"/>
      <c r="O332" s="26"/>
      <c r="P332" s="30" t="n">
        <v>8</v>
      </c>
      <c r="Q332" s="26" t="n">
        <f aca="false">P332*J332</f>
        <v>0</v>
      </c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31"/>
      <c r="AC332" s="31"/>
      <c r="AD332" s="31"/>
      <c r="AE332" s="26"/>
      <c r="AF332" s="26"/>
      <c r="AG332" s="26"/>
    </row>
    <row r="333" customFormat="false" ht="15" hidden="false" customHeight="true" outlineLevel="0" collapsed="false">
      <c r="A333" s="24" t="n">
        <v>328</v>
      </c>
      <c r="B333" s="25"/>
      <c r="C333" s="26"/>
      <c r="D333" s="26"/>
      <c r="E333" s="26"/>
      <c r="F333" s="26"/>
      <c r="G333" s="26"/>
      <c r="H333" s="24" t="str">
        <f aca="false">IFERROR(INDEX('Operator Master'!$B$5:$B$504,MATCH(G333,'Operator Master'!$A$5:$A$504,0)),"")</f>
        <v/>
      </c>
      <c r="I333" s="26"/>
      <c r="J333" s="26"/>
      <c r="K333" s="26"/>
      <c r="L333" s="26"/>
      <c r="M333" s="26"/>
      <c r="N333" s="26"/>
      <c r="O333" s="26"/>
      <c r="P333" s="30" t="n">
        <v>8</v>
      </c>
      <c r="Q333" s="26" t="n">
        <f aca="false">P333*J333</f>
        <v>0</v>
      </c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31"/>
      <c r="AC333" s="31"/>
      <c r="AD333" s="31"/>
      <c r="AE333" s="26"/>
      <c r="AF333" s="26"/>
      <c r="AG333" s="26"/>
    </row>
    <row r="334" customFormat="false" ht="15" hidden="false" customHeight="true" outlineLevel="0" collapsed="false">
      <c r="A334" s="24" t="n">
        <v>329</v>
      </c>
      <c r="B334" s="25"/>
      <c r="C334" s="26"/>
      <c r="D334" s="26"/>
      <c r="E334" s="26"/>
      <c r="F334" s="26"/>
      <c r="G334" s="26"/>
      <c r="H334" s="24" t="str">
        <f aca="false">IFERROR(INDEX('Operator Master'!$B$5:$B$504,MATCH(G334,'Operator Master'!$A$5:$A$504,0)),"")</f>
        <v/>
      </c>
      <c r="I334" s="26"/>
      <c r="J334" s="26"/>
      <c r="K334" s="26"/>
      <c r="L334" s="26"/>
      <c r="M334" s="26"/>
      <c r="N334" s="26"/>
      <c r="O334" s="26"/>
      <c r="P334" s="30" t="n">
        <v>8</v>
      </c>
      <c r="Q334" s="26" t="n">
        <f aca="false">P334*J334</f>
        <v>0</v>
      </c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31"/>
      <c r="AC334" s="31"/>
      <c r="AD334" s="31"/>
      <c r="AE334" s="26"/>
      <c r="AF334" s="26"/>
      <c r="AG334" s="26"/>
    </row>
    <row r="335" customFormat="false" ht="15" hidden="false" customHeight="true" outlineLevel="0" collapsed="false">
      <c r="A335" s="24" t="n">
        <v>330</v>
      </c>
      <c r="B335" s="25"/>
      <c r="C335" s="26"/>
      <c r="D335" s="26"/>
      <c r="E335" s="26"/>
      <c r="F335" s="26"/>
      <c r="G335" s="26"/>
      <c r="H335" s="24" t="str">
        <f aca="false">IFERROR(INDEX('Operator Master'!$B$5:$B$504,MATCH(G335,'Operator Master'!$A$5:$A$504,0)),"")</f>
        <v/>
      </c>
      <c r="I335" s="26"/>
      <c r="J335" s="26"/>
      <c r="K335" s="26"/>
      <c r="L335" s="26"/>
      <c r="M335" s="26"/>
      <c r="N335" s="26"/>
      <c r="O335" s="26"/>
      <c r="P335" s="30" t="n">
        <v>8</v>
      </c>
      <c r="Q335" s="26" t="n">
        <f aca="false">P335*J335</f>
        <v>0</v>
      </c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31"/>
      <c r="AC335" s="31"/>
      <c r="AD335" s="31"/>
      <c r="AE335" s="26"/>
      <c r="AF335" s="26"/>
      <c r="AG335" s="26"/>
    </row>
    <row r="336" customFormat="false" ht="15" hidden="false" customHeight="true" outlineLevel="0" collapsed="false">
      <c r="A336" s="24" t="n">
        <v>331</v>
      </c>
      <c r="B336" s="25"/>
      <c r="C336" s="26"/>
      <c r="D336" s="26"/>
      <c r="E336" s="26"/>
      <c r="F336" s="26"/>
      <c r="G336" s="26"/>
      <c r="H336" s="24" t="str">
        <f aca="false">IFERROR(INDEX('Operator Master'!$B$5:$B$504,MATCH(G336,'Operator Master'!$A$5:$A$504,0)),"")</f>
        <v/>
      </c>
      <c r="I336" s="26"/>
      <c r="J336" s="26"/>
      <c r="K336" s="26"/>
      <c r="L336" s="26"/>
      <c r="M336" s="26"/>
      <c r="N336" s="26"/>
      <c r="O336" s="26"/>
      <c r="P336" s="30" t="n">
        <v>8</v>
      </c>
      <c r="Q336" s="26" t="n">
        <f aca="false">P336*J336</f>
        <v>0</v>
      </c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31"/>
      <c r="AC336" s="31"/>
      <c r="AD336" s="31"/>
      <c r="AE336" s="26"/>
      <c r="AF336" s="26"/>
      <c r="AG336" s="26"/>
    </row>
    <row r="337" customFormat="false" ht="15" hidden="false" customHeight="true" outlineLevel="0" collapsed="false">
      <c r="A337" s="24" t="n">
        <v>332</v>
      </c>
      <c r="B337" s="25"/>
      <c r="C337" s="26"/>
      <c r="D337" s="26"/>
      <c r="E337" s="26"/>
      <c r="F337" s="26"/>
      <c r="G337" s="26"/>
      <c r="H337" s="24" t="str">
        <f aca="false">IFERROR(INDEX('Operator Master'!$B$5:$B$504,MATCH(G337,'Operator Master'!$A$5:$A$504,0)),"")</f>
        <v/>
      </c>
      <c r="I337" s="26"/>
      <c r="J337" s="26"/>
      <c r="K337" s="26"/>
      <c r="L337" s="26"/>
      <c r="M337" s="26"/>
      <c r="N337" s="26"/>
      <c r="O337" s="26"/>
      <c r="P337" s="30" t="n">
        <v>8</v>
      </c>
      <c r="Q337" s="26" t="n">
        <f aca="false">P337*J337</f>
        <v>0</v>
      </c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31"/>
      <c r="AC337" s="31"/>
      <c r="AD337" s="31"/>
      <c r="AE337" s="26"/>
      <c r="AF337" s="26"/>
      <c r="AG337" s="26"/>
    </row>
    <row r="338" customFormat="false" ht="15" hidden="false" customHeight="true" outlineLevel="0" collapsed="false">
      <c r="A338" s="24" t="n">
        <v>333</v>
      </c>
      <c r="B338" s="25"/>
      <c r="C338" s="26"/>
      <c r="D338" s="26"/>
      <c r="E338" s="26"/>
      <c r="F338" s="26"/>
      <c r="G338" s="26"/>
      <c r="H338" s="24" t="str">
        <f aca="false">IFERROR(INDEX('Operator Master'!$B$5:$B$504,MATCH(G338,'Operator Master'!$A$5:$A$504,0)),"")</f>
        <v/>
      </c>
      <c r="I338" s="26"/>
      <c r="J338" s="26"/>
      <c r="K338" s="26"/>
      <c r="L338" s="26"/>
      <c r="M338" s="26"/>
      <c r="N338" s="26"/>
      <c r="O338" s="26"/>
      <c r="P338" s="30" t="n">
        <v>8</v>
      </c>
      <c r="Q338" s="26" t="n">
        <f aca="false">P338*J338</f>
        <v>0</v>
      </c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31"/>
      <c r="AC338" s="31"/>
      <c r="AD338" s="31"/>
      <c r="AE338" s="26"/>
      <c r="AF338" s="26"/>
      <c r="AG338" s="26"/>
    </row>
    <row r="339" customFormat="false" ht="15" hidden="false" customHeight="true" outlineLevel="0" collapsed="false">
      <c r="A339" s="24" t="n">
        <v>334</v>
      </c>
      <c r="B339" s="25"/>
      <c r="C339" s="26"/>
      <c r="D339" s="26"/>
      <c r="E339" s="26"/>
      <c r="F339" s="26"/>
      <c r="G339" s="26"/>
      <c r="H339" s="24" t="str">
        <f aca="false">IFERROR(INDEX('Operator Master'!$B$5:$B$504,MATCH(G339,'Operator Master'!$A$5:$A$504,0)),"")</f>
        <v/>
      </c>
      <c r="I339" s="26"/>
      <c r="J339" s="26"/>
      <c r="K339" s="26"/>
      <c r="L339" s="26"/>
      <c r="M339" s="26"/>
      <c r="N339" s="26"/>
      <c r="O339" s="26"/>
      <c r="P339" s="30" t="n">
        <v>8</v>
      </c>
      <c r="Q339" s="26" t="n">
        <f aca="false">P339*J339</f>
        <v>0</v>
      </c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31"/>
      <c r="AC339" s="31"/>
      <c r="AD339" s="31"/>
      <c r="AE339" s="26"/>
      <c r="AF339" s="26"/>
      <c r="AG339" s="26"/>
    </row>
    <row r="340" customFormat="false" ht="15" hidden="false" customHeight="true" outlineLevel="0" collapsed="false">
      <c r="A340" s="24" t="n">
        <v>335</v>
      </c>
      <c r="B340" s="25"/>
      <c r="C340" s="26"/>
      <c r="D340" s="26"/>
      <c r="E340" s="26"/>
      <c r="F340" s="26"/>
      <c r="G340" s="26"/>
      <c r="H340" s="24" t="str">
        <f aca="false">IFERROR(INDEX('Operator Master'!$B$5:$B$504,MATCH(G340,'Operator Master'!$A$5:$A$504,0)),"")</f>
        <v/>
      </c>
      <c r="I340" s="26"/>
      <c r="J340" s="26"/>
      <c r="K340" s="26"/>
      <c r="L340" s="26"/>
      <c r="M340" s="26"/>
      <c r="N340" s="26"/>
      <c r="O340" s="26"/>
      <c r="P340" s="30" t="n">
        <v>8</v>
      </c>
      <c r="Q340" s="26" t="n">
        <f aca="false">P340*J340</f>
        <v>0</v>
      </c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31"/>
      <c r="AC340" s="31"/>
      <c r="AD340" s="31"/>
      <c r="AE340" s="26"/>
      <c r="AF340" s="26"/>
      <c r="AG340" s="26"/>
    </row>
    <row r="341" customFormat="false" ht="15" hidden="false" customHeight="true" outlineLevel="0" collapsed="false">
      <c r="A341" s="24" t="n">
        <v>336</v>
      </c>
      <c r="B341" s="25"/>
      <c r="C341" s="26"/>
      <c r="D341" s="26"/>
      <c r="E341" s="26"/>
      <c r="F341" s="26"/>
      <c r="G341" s="26"/>
      <c r="H341" s="24" t="str">
        <f aca="false">IFERROR(INDEX('Operator Master'!$B$5:$B$504,MATCH(G341,'Operator Master'!$A$5:$A$504,0)),"")</f>
        <v/>
      </c>
      <c r="I341" s="26"/>
      <c r="J341" s="26"/>
      <c r="K341" s="26"/>
      <c r="L341" s="26"/>
      <c r="M341" s="26"/>
      <c r="N341" s="26"/>
      <c r="O341" s="26"/>
      <c r="P341" s="30" t="n">
        <v>8</v>
      </c>
      <c r="Q341" s="26" t="n">
        <f aca="false">P341*J341</f>
        <v>0</v>
      </c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31"/>
      <c r="AC341" s="31"/>
      <c r="AD341" s="31"/>
      <c r="AE341" s="26"/>
      <c r="AF341" s="26"/>
      <c r="AG341" s="26"/>
    </row>
    <row r="342" customFormat="false" ht="15" hidden="false" customHeight="true" outlineLevel="0" collapsed="false">
      <c r="A342" s="24" t="n">
        <v>337</v>
      </c>
      <c r="B342" s="25"/>
      <c r="C342" s="26"/>
      <c r="D342" s="26"/>
      <c r="E342" s="26"/>
      <c r="F342" s="26"/>
      <c r="G342" s="26"/>
      <c r="H342" s="24" t="str">
        <f aca="false">IFERROR(INDEX('Operator Master'!$B$5:$B$504,MATCH(G342,'Operator Master'!$A$5:$A$504,0)),"")</f>
        <v/>
      </c>
      <c r="I342" s="26"/>
      <c r="J342" s="26"/>
      <c r="K342" s="26"/>
      <c r="L342" s="26"/>
      <c r="M342" s="26"/>
      <c r="N342" s="26"/>
      <c r="O342" s="26"/>
      <c r="P342" s="30" t="n">
        <v>8</v>
      </c>
      <c r="Q342" s="26" t="n">
        <f aca="false">P342*J342</f>
        <v>0</v>
      </c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31"/>
      <c r="AC342" s="31"/>
      <c r="AD342" s="31"/>
      <c r="AE342" s="26"/>
      <c r="AF342" s="26"/>
      <c r="AG342" s="26"/>
    </row>
    <row r="343" customFormat="false" ht="15" hidden="false" customHeight="true" outlineLevel="0" collapsed="false">
      <c r="A343" s="24" t="n">
        <v>338</v>
      </c>
      <c r="B343" s="25"/>
      <c r="C343" s="26"/>
      <c r="D343" s="26"/>
      <c r="E343" s="26"/>
      <c r="F343" s="26"/>
      <c r="G343" s="26"/>
      <c r="H343" s="24" t="str">
        <f aca="false">IFERROR(INDEX('Operator Master'!$B$5:$B$504,MATCH(G343,'Operator Master'!$A$5:$A$504,0)),"")</f>
        <v/>
      </c>
      <c r="I343" s="26"/>
      <c r="J343" s="26"/>
      <c r="K343" s="26"/>
      <c r="L343" s="26"/>
      <c r="M343" s="26"/>
      <c r="N343" s="26"/>
      <c r="O343" s="26"/>
      <c r="P343" s="30" t="n">
        <v>8</v>
      </c>
      <c r="Q343" s="26" t="n">
        <f aca="false">P343*J343</f>
        <v>0</v>
      </c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31"/>
      <c r="AC343" s="31"/>
      <c r="AD343" s="31"/>
      <c r="AE343" s="26"/>
      <c r="AF343" s="26"/>
      <c r="AG343" s="26"/>
    </row>
    <row r="344" customFormat="false" ht="15" hidden="false" customHeight="true" outlineLevel="0" collapsed="false">
      <c r="A344" s="24" t="n">
        <v>339</v>
      </c>
      <c r="B344" s="25"/>
      <c r="C344" s="26"/>
      <c r="D344" s="26"/>
      <c r="E344" s="26"/>
      <c r="F344" s="26"/>
      <c r="G344" s="26"/>
      <c r="H344" s="24" t="str">
        <f aca="false">IFERROR(INDEX('Operator Master'!$B$5:$B$504,MATCH(G344,'Operator Master'!$A$5:$A$504,0)),"")</f>
        <v/>
      </c>
      <c r="I344" s="26"/>
      <c r="J344" s="26"/>
      <c r="K344" s="26"/>
      <c r="L344" s="26"/>
      <c r="M344" s="26"/>
      <c r="N344" s="26"/>
      <c r="O344" s="26"/>
      <c r="P344" s="30" t="n">
        <v>8</v>
      </c>
      <c r="Q344" s="26" t="n">
        <f aca="false">P344*J344</f>
        <v>0</v>
      </c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31"/>
      <c r="AC344" s="31"/>
      <c r="AD344" s="31"/>
      <c r="AE344" s="26"/>
      <c r="AF344" s="26"/>
      <c r="AG344" s="26"/>
    </row>
    <row r="345" customFormat="false" ht="15" hidden="false" customHeight="true" outlineLevel="0" collapsed="false">
      <c r="A345" s="24" t="n">
        <v>340</v>
      </c>
      <c r="B345" s="25"/>
      <c r="C345" s="26"/>
      <c r="D345" s="26"/>
      <c r="E345" s="26"/>
      <c r="F345" s="26"/>
      <c r="G345" s="26"/>
      <c r="H345" s="24" t="str">
        <f aca="false">IFERROR(INDEX('Operator Master'!$B$5:$B$504,MATCH(G345,'Operator Master'!$A$5:$A$504,0)),"")</f>
        <v/>
      </c>
      <c r="I345" s="26"/>
      <c r="J345" s="26"/>
      <c r="K345" s="26"/>
      <c r="L345" s="26"/>
      <c r="M345" s="26"/>
      <c r="N345" s="26"/>
      <c r="O345" s="26"/>
      <c r="P345" s="30" t="n">
        <v>8</v>
      </c>
      <c r="Q345" s="26" t="n">
        <f aca="false">P345*J345</f>
        <v>0</v>
      </c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31"/>
      <c r="AC345" s="31"/>
      <c r="AD345" s="31"/>
      <c r="AE345" s="26"/>
      <c r="AF345" s="26"/>
      <c r="AG345" s="26"/>
    </row>
    <row r="346" customFormat="false" ht="15" hidden="false" customHeight="true" outlineLevel="0" collapsed="false">
      <c r="A346" s="24" t="n">
        <v>341</v>
      </c>
      <c r="B346" s="25"/>
      <c r="C346" s="26"/>
      <c r="D346" s="26"/>
      <c r="E346" s="26"/>
      <c r="F346" s="26"/>
      <c r="G346" s="26"/>
      <c r="H346" s="24" t="str">
        <f aca="false">IFERROR(INDEX('Operator Master'!$B$5:$B$504,MATCH(G346,'Operator Master'!$A$5:$A$504,0)),"")</f>
        <v/>
      </c>
      <c r="I346" s="26"/>
      <c r="J346" s="26"/>
      <c r="K346" s="26"/>
      <c r="L346" s="26"/>
      <c r="M346" s="26"/>
      <c r="N346" s="26"/>
      <c r="O346" s="26"/>
      <c r="P346" s="30" t="n">
        <v>8</v>
      </c>
      <c r="Q346" s="26" t="n">
        <f aca="false">P346*J346</f>
        <v>0</v>
      </c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31"/>
      <c r="AC346" s="31"/>
      <c r="AD346" s="31"/>
      <c r="AE346" s="26"/>
      <c r="AF346" s="26"/>
      <c r="AG346" s="26"/>
    </row>
    <row r="347" customFormat="false" ht="15" hidden="false" customHeight="true" outlineLevel="0" collapsed="false">
      <c r="A347" s="24" t="n">
        <v>342</v>
      </c>
      <c r="B347" s="25"/>
      <c r="C347" s="26"/>
      <c r="D347" s="26"/>
      <c r="E347" s="26"/>
      <c r="F347" s="26"/>
      <c r="G347" s="26"/>
      <c r="H347" s="24" t="str">
        <f aca="false">IFERROR(INDEX('Operator Master'!$B$5:$B$504,MATCH(G347,'Operator Master'!$A$5:$A$504,0)),"")</f>
        <v/>
      </c>
      <c r="I347" s="26"/>
      <c r="J347" s="26"/>
      <c r="K347" s="26"/>
      <c r="L347" s="26"/>
      <c r="M347" s="26"/>
      <c r="N347" s="26"/>
      <c r="O347" s="26"/>
      <c r="P347" s="30" t="n">
        <v>8</v>
      </c>
      <c r="Q347" s="26" t="n">
        <f aca="false">P347*J347</f>
        <v>0</v>
      </c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31"/>
      <c r="AC347" s="31"/>
      <c r="AD347" s="31"/>
      <c r="AE347" s="26"/>
      <c r="AF347" s="26"/>
      <c r="AG347" s="26"/>
    </row>
    <row r="348" customFormat="false" ht="15" hidden="false" customHeight="true" outlineLevel="0" collapsed="false">
      <c r="A348" s="24" t="n">
        <v>343</v>
      </c>
      <c r="B348" s="25"/>
      <c r="C348" s="26"/>
      <c r="D348" s="26"/>
      <c r="E348" s="26"/>
      <c r="F348" s="26"/>
      <c r="G348" s="26"/>
      <c r="H348" s="24" t="str">
        <f aca="false">IFERROR(INDEX('Operator Master'!$B$5:$B$504,MATCH(G348,'Operator Master'!$A$5:$A$504,0)),"")</f>
        <v/>
      </c>
      <c r="I348" s="26"/>
      <c r="J348" s="26"/>
      <c r="K348" s="26"/>
      <c r="L348" s="26"/>
      <c r="M348" s="26"/>
      <c r="N348" s="26"/>
      <c r="O348" s="26"/>
      <c r="P348" s="30" t="n">
        <v>8</v>
      </c>
      <c r="Q348" s="26" t="n">
        <f aca="false">P348*J348</f>
        <v>0</v>
      </c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31"/>
      <c r="AC348" s="31"/>
      <c r="AD348" s="31"/>
      <c r="AE348" s="26"/>
      <c r="AF348" s="26"/>
      <c r="AG348" s="26"/>
    </row>
    <row r="349" customFormat="false" ht="15" hidden="false" customHeight="true" outlineLevel="0" collapsed="false">
      <c r="A349" s="24" t="n">
        <v>344</v>
      </c>
      <c r="B349" s="25"/>
      <c r="C349" s="26"/>
      <c r="D349" s="26"/>
      <c r="E349" s="26"/>
      <c r="F349" s="26"/>
      <c r="G349" s="26"/>
      <c r="H349" s="24" t="str">
        <f aca="false">IFERROR(INDEX('Operator Master'!$B$5:$B$504,MATCH(G349,'Operator Master'!$A$5:$A$504,0)),"")</f>
        <v/>
      </c>
      <c r="I349" s="26"/>
      <c r="J349" s="26"/>
      <c r="K349" s="26"/>
      <c r="L349" s="26"/>
      <c r="M349" s="26"/>
      <c r="N349" s="26"/>
      <c r="O349" s="26"/>
      <c r="P349" s="30" t="n">
        <v>8</v>
      </c>
      <c r="Q349" s="26" t="n">
        <f aca="false">P349*J349</f>
        <v>0</v>
      </c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31"/>
      <c r="AC349" s="31"/>
      <c r="AD349" s="31"/>
      <c r="AE349" s="26"/>
      <c r="AF349" s="26"/>
      <c r="AG349" s="26"/>
    </row>
    <row r="350" customFormat="false" ht="15" hidden="false" customHeight="true" outlineLevel="0" collapsed="false">
      <c r="A350" s="24" t="n">
        <v>345</v>
      </c>
      <c r="B350" s="25"/>
      <c r="C350" s="26"/>
      <c r="D350" s="26"/>
      <c r="E350" s="26"/>
      <c r="F350" s="26"/>
      <c r="G350" s="26"/>
      <c r="H350" s="24" t="str">
        <f aca="false">IFERROR(INDEX('Operator Master'!$B$5:$B$504,MATCH(G350,'Operator Master'!$A$5:$A$504,0)),"")</f>
        <v/>
      </c>
      <c r="I350" s="26"/>
      <c r="J350" s="26"/>
      <c r="K350" s="26"/>
      <c r="L350" s="26"/>
      <c r="M350" s="26"/>
      <c r="N350" s="26"/>
      <c r="O350" s="26"/>
      <c r="P350" s="30" t="n">
        <v>8</v>
      </c>
      <c r="Q350" s="26" t="n">
        <f aca="false">P350*J350</f>
        <v>0</v>
      </c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31"/>
      <c r="AC350" s="31"/>
      <c r="AD350" s="31"/>
      <c r="AE350" s="26"/>
      <c r="AF350" s="26"/>
      <c r="AG350" s="26"/>
    </row>
    <row r="351" customFormat="false" ht="15" hidden="false" customHeight="true" outlineLevel="0" collapsed="false">
      <c r="A351" s="24" t="n">
        <v>346</v>
      </c>
      <c r="B351" s="25"/>
      <c r="C351" s="26"/>
      <c r="D351" s="26"/>
      <c r="E351" s="26"/>
      <c r="F351" s="26"/>
      <c r="G351" s="26"/>
      <c r="H351" s="24" t="str">
        <f aca="false">IFERROR(INDEX('Operator Master'!$B$5:$B$504,MATCH(G351,'Operator Master'!$A$5:$A$504,0)),"")</f>
        <v/>
      </c>
      <c r="I351" s="26"/>
      <c r="J351" s="26"/>
      <c r="K351" s="26"/>
      <c r="L351" s="26"/>
      <c r="M351" s="26"/>
      <c r="N351" s="26"/>
      <c r="O351" s="26"/>
      <c r="P351" s="30" t="n">
        <v>8</v>
      </c>
      <c r="Q351" s="26" t="n">
        <f aca="false">P351*J351</f>
        <v>0</v>
      </c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31"/>
      <c r="AC351" s="31"/>
      <c r="AD351" s="31"/>
      <c r="AE351" s="26"/>
      <c r="AF351" s="26"/>
      <c r="AG351" s="26"/>
    </row>
    <row r="352" customFormat="false" ht="15" hidden="false" customHeight="true" outlineLevel="0" collapsed="false">
      <c r="A352" s="24" t="n">
        <v>347</v>
      </c>
      <c r="B352" s="25"/>
      <c r="C352" s="26"/>
      <c r="D352" s="26"/>
      <c r="E352" s="26"/>
      <c r="F352" s="26"/>
      <c r="G352" s="26"/>
      <c r="H352" s="24" t="str">
        <f aca="false">IFERROR(INDEX('Operator Master'!$B$5:$B$504,MATCH(G352,'Operator Master'!$A$5:$A$504,0)),"")</f>
        <v/>
      </c>
      <c r="I352" s="26"/>
      <c r="J352" s="26"/>
      <c r="K352" s="26"/>
      <c r="L352" s="26"/>
      <c r="M352" s="26"/>
      <c r="N352" s="26"/>
      <c r="O352" s="26"/>
      <c r="P352" s="30" t="n">
        <v>8</v>
      </c>
      <c r="Q352" s="26" t="n">
        <f aca="false">P352*J352</f>
        <v>0</v>
      </c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31"/>
      <c r="AC352" s="31"/>
      <c r="AD352" s="31"/>
      <c r="AE352" s="26"/>
      <c r="AF352" s="26"/>
      <c r="AG352" s="26"/>
    </row>
    <row r="353" customFormat="false" ht="15" hidden="false" customHeight="true" outlineLevel="0" collapsed="false">
      <c r="A353" s="24" t="n">
        <v>348</v>
      </c>
      <c r="B353" s="25"/>
      <c r="C353" s="26"/>
      <c r="D353" s="26"/>
      <c r="E353" s="26"/>
      <c r="F353" s="26"/>
      <c r="G353" s="26"/>
      <c r="H353" s="24" t="str">
        <f aca="false">IFERROR(INDEX('Operator Master'!$B$5:$B$504,MATCH(G353,'Operator Master'!$A$5:$A$504,0)),"")</f>
        <v/>
      </c>
      <c r="I353" s="26"/>
      <c r="J353" s="26"/>
      <c r="K353" s="26"/>
      <c r="L353" s="26"/>
      <c r="M353" s="26"/>
      <c r="N353" s="26"/>
      <c r="O353" s="26"/>
      <c r="P353" s="30" t="n">
        <v>8</v>
      </c>
      <c r="Q353" s="26" t="n">
        <f aca="false">P353*J353</f>
        <v>0</v>
      </c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31"/>
      <c r="AC353" s="31"/>
      <c r="AD353" s="31"/>
      <c r="AE353" s="26"/>
      <c r="AF353" s="26"/>
      <c r="AG353" s="26"/>
    </row>
    <row r="354" customFormat="false" ht="15" hidden="false" customHeight="true" outlineLevel="0" collapsed="false">
      <c r="A354" s="24" t="n">
        <v>349</v>
      </c>
      <c r="B354" s="25"/>
      <c r="C354" s="26"/>
      <c r="D354" s="26"/>
      <c r="E354" s="26"/>
      <c r="F354" s="26"/>
      <c r="G354" s="26"/>
      <c r="H354" s="24" t="str">
        <f aca="false">IFERROR(INDEX('Operator Master'!$B$5:$B$504,MATCH(G354,'Operator Master'!$A$5:$A$504,0)),"")</f>
        <v/>
      </c>
      <c r="I354" s="26"/>
      <c r="J354" s="26"/>
      <c r="K354" s="26"/>
      <c r="L354" s="26"/>
      <c r="M354" s="26"/>
      <c r="N354" s="26"/>
      <c r="O354" s="26"/>
      <c r="P354" s="30" t="n">
        <v>8</v>
      </c>
      <c r="Q354" s="26" t="n">
        <f aca="false">P354*J354</f>
        <v>0</v>
      </c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31"/>
      <c r="AC354" s="31"/>
      <c r="AD354" s="31"/>
      <c r="AE354" s="26"/>
      <c r="AF354" s="26"/>
      <c r="AG354" s="26"/>
    </row>
    <row r="355" customFormat="false" ht="15" hidden="false" customHeight="true" outlineLevel="0" collapsed="false">
      <c r="A355" s="24" t="n">
        <v>350</v>
      </c>
      <c r="B355" s="25"/>
      <c r="C355" s="26"/>
      <c r="D355" s="26"/>
      <c r="E355" s="26"/>
      <c r="F355" s="26"/>
      <c r="G355" s="26"/>
      <c r="H355" s="24" t="str">
        <f aca="false">IFERROR(INDEX('Operator Master'!$B$5:$B$504,MATCH(G355,'Operator Master'!$A$5:$A$504,0)),"")</f>
        <v/>
      </c>
      <c r="I355" s="26"/>
      <c r="J355" s="26"/>
      <c r="K355" s="26"/>
      <c r="L355" s="26"/>
      <c r="M355" s="26"/>
      <c r="N355" s="26"/>
      <c r="O355" s="26"/>
      <c r="P355" s="30" t="n">
        <v>8</v>
      </c>
      <c r="Q355" s="26" t="n">
        <f aca="false">P355*J355</f>
        <v>0</v>
      </c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31"/>
      <c r="AC355" s="31"/>
      <c r="AD355" s="31"/>
      <c r="AE355" s="26"/>
      <c r="AF355" s="26"/>
      <c r="AG355" s="26"/>
    </row>
    <row r="356" customFormat="false" ht="15" hidden="false" customHeight="true" outlineLevel="0" collapsed="false">
      <c r="A356" s="24" t="n">
        <v>351</v>
      </c>
      <c r="B356" s="25"/>
      <c r="C356" s="26"/>
      <c r="D356" s="26"/>
      <c r="E356" s="26"/>
      <c r="F356" s="26"/>
      <c r="G356" s="26"/>
      <c r="H356" s="24" t="str">
        <f aca="false">IFERROR(INDEX('Operator Master'!$B$5:$B$504,MATCH(G356,'Operator Master'!$A$5:$A$504,0)),"")</f>
        <v/>
      </c>
      <c r="I356" s="26"/>
      <c r="J356" s="26"/>
      <c r="K356" s="26"/>
      <c r="L356" s="26"/>
      <c r="M356" s="26"/>
      <c r="N356" s="26"/>
      <c r="O356" s="26"/>
      <c r="P356" s="30" t="n">
        <v>8</v>
      </c>
      <c r="Q356" s="26" t="n">
        <f aca="false">P356*J356</f>
        <v>0</v>
      </c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31"/>
      <c r="AC356" s="31"/>
      <c r="AD356" s="31"/>
      <c r="AE356" s="26"/>
      <c r="AF356" s="26"/>
      <c r="AG356" s="26"/>
    </row>
    <row r="357" customFormat="false" ht="15" hidden="false" customHeight="true" outlineLevel="0" collapsed="false">
      <c r="A357" s="24" t="n">
        <v>352</v>
      </c>
      <c r="B357" s="25"/>
      <c r="C357" s="26"/>
      <c r="D357" s="26"/>
      <c r="E357" s="26"/>
      <c r="F357" s="26"/>
      <c r="G357" s="26"/>
      <c r="H357" s="24" t="str">
        <f aca="false">IFERROR(INDEX('Operator Master'!$B$5:$B$504,MATCH(G357,'Operator Master'!$A$5:$A$504,0)),"")</f>
        <v/>
      </c>
      <c r="I357" s="26"/>
      <c r="J357" s="26"/>
      <c r="K357" s="26"/>
      <c r="L357" s="26"/>
      <c r="M357" s="26"/>
      <c r="N357" s="26"/>
      <c r="O357" s="26"/>
      <c r="P357" s="30" t="n">
        <v>8</v>
      </c>
      <c r="Q357" s="26" t="n">
        <f aca="false">P357*J357</f>
        <v>0</v>
      </c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31"/>
      <c r="AC357" s="31"/>
      <c r="AD357" s="31"/>
      <c r="AE357" s="26"/>
      <c r="AF357" s="26"/>
      <c r="AG357" s="26"/>
    </row>
    <row r="358" customFormat="false" ht="15" hidden="false" customHeight="true" outlineLevel="0" collapsed="false">
      <c r="A358" s="24" t="n">
        <v>353</v>
      </c>
      <c r="B358" s="25"/>
      <c r="C358" s="26"/>
      <c r="D358" s="26"/>
      <c r="E358" s="26"/>
      <c r="F358" s="26"/>
      <c r="G358" s="26"/>
      <c r="H358" s="24" t="str">
        <f aca="false">IFERROR(INDEX('Operator Master'!$B$5:$B$504,MATCH(G358,'Operator Master'!$A$5:$A$504,0)),"")</f>
        <v/>
      </c>
      <c r="I358" s="26"/>
      <c r="J358" s="26"/>
      <c r="K358" s="26"/>
      <c r="L358" s="26"/>
      <c r="M358" s="26"/>
      <c r="N358" s="26"/>
      <c r="O358" s="26"/>
      <c r="P358" s="30" t="n">
        <v>8</v>
      </c>
      <c r="Q358" s="26" t="n">
        <f aca="false">P358*J358</f>
        <v>0</v>
      </c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31"/>
      <c r="AC358" s="31"/>
      <c r="AD358" s="31"/>
      <c r="AE358" s="26"/>
      <c r="AF358" s="26"/>
      <c r="AG358" s="26"/>
    </row>
    <row r="359" customFormat="false" ht="15" hidden="false" customHeight="true" outlineLevel="0" collapsed="false">
      <c r="A359" s="24" t="n">
        <v>354</v>
      </c>
      <c r="B359" s="25"/>
      <c r="C359" s="26"/>
      <c r="D359" s="26"/>
      <c r="E359" s="26"/>
      <c r="F359" s="26"/>
      <c r="G359" s="26"/>
      <c r="H359" s="24" t="str">
        <f aca="false">IFERROR(INDEX('Operator Master'!$B$5:$B$504,MATCH(G359,'Operator Master'!$A$5:$A$504,0)),"")</f>
        <v/>
      </c>
      <c r="I359" s="26"/>
      <c r="J359" s="26"/>
      <c r="K359" s="26"/>
      <c r="L359" s="26"/>
      <c r="M359" s="26"/>
      <c r="N359" s="26"/>
      <c r="O359" s="26"/>
      <c r="P359" s="30" t="n">
        <v>8</v>
      </c>
      <c r="Q359" s="26" t="n">
        <f aca="false">P359*J359</f>
        <v>0</v>
      </c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31"/>
      <c r="AC359" s="31"/>
      <c r="AD359" s="31"/>
      <c r="AE359" s="26"/>
      <c r="AF359" s="26"/>
      <c r="AG359" s="26"/>
    </row>
    <row r="360" customFormat="false" ht="15" hidden="false" customHeight="true" outlineLevel="0" collapsed="false">
      <c r="A360" s="24" t="n">
        <v>355</v>
      </c>
      <c r="B360" s="25"/>
      <c r="C360" s="26"/>
      <c r="D360" s="26"/>
      <c r="E360" s="26"/>
      <c r="F360" s="26"/>
      <c r="G360" s="26"/>
      <c r="H360" s="24" t="str">
        <f aca="false">IFERROR(INDEX('Operator Master'!$B$5:$B$504,MATCH(G360,'Operator Master'!$A$5:$A$504,0)),"")</f>
        <v/>
      </c>
      <c r="I360" s="26"/>
      <c r="J360" s="26"/>
      <c r="K360" s="26"/>
      <c r="L360" s="26"/>
      <c r="M360" s="26"/>
      <c r="N360" s="26"/>
      <c r="O360" s="26"/>
      <c r="P360" s="30" t="n">
        <v>8</v>
      </c>
      <c r="Q360" s="26" t="n">
        <f aca="false">P360*J360</f>
        <v>0</v>
      </c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31"/>
      <c r="AC360" s="31"/>
      <c r="AD360" s="31"/>
      <c r="AE360" s="26"/>
      <c r="AF360" s="26"/>
      <c r="AG360" s="26"/>
    </row>
    <row r="361" customFormat="false" ht="15" hidden="false" customHeight="true" outlineLevel="0" collapsed="false">
      <c r="A361" s="24" t="n">
        <v>356</v>
      </c>
      <c r="B361" s="25"/>
      <c r="C361" s="26"/>
      <c r="D361" s="26"/>
      <c r="E361" s="26"/>
      <c r="F361" s="26"/>
      <c r="G361" s="26"/>
      <c r="H361" s="24" t="str">
        <f aca="false">IFERROR(INDEX('Operator Master'!$B$5:$B$504,MATCH(G361,'Operator Master'!$A$5:$A$504,0)),"")</f>
        <v/>
      </c>
      <c r="I361" s="26"/>
      <c r="J361" s="26"/>
      <c r="K361" s="26"/>
      <c r="L361" s="26"/>
      <c r="M361" s="26"/>
      <c r="N361" s="26"/>
      <c r="O361" s="26"/>
      <c r="P361" s="30" t="n">
        <v>8</v>
      </c>
      <c r="Q361" s="26" t="n">
        <f aca="false">P361*J361</f>
        <v>0</v>
      </c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31"/>
      <c r="AC361" s="31"/>
      <c r="AD361" s="31"/>
      <c r="AE361" s="26"/>
      <c r="AF361" s="26"/>
      <c r="AG361" s="26"/>
    </row>
    <row r="362" customFormat="false" ht="15" hidden="false" customHeight="true" outlineLevel="0" collapsed="false">
      <c r="A362" s="24" t="n">
        <v>357</v>
      </c>
      <c r="B362" s="25"/>
      <c r="C362" s="26"/>
      <c r="D362" s="26"/>
      <c r="E362" s="26"/>
      <c r="F362" s="26"/>
      <c r="G362" s="26"/>
      <c r="H362" s="24" t="str">
        <f aca="false">IFERROR(INDEX('Operator Master'!$B$5:$B$504,MATCH(G362,'Operator Master'!$A$5:$A$504,0)),"")</f>
        <v/>
      </c>
      <c r="I362" s="26"/>
      <c r="J362" s="26"/>
      <c r="K362" s="26"/>
      <c r="L362" s="26"/>
      <c r="M362" s="26"/>
      <c r="N362" s="26"/>
      <c r="O362" s="26"/>
      <c r="P362" s="30" t="n">
        <v>8</v>
      </c>
      <c r="Q362" s="26" t="n">
        <f aca="false">P362*J362</f>
        <v>0</v>
      </c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31"/>
      <c r="AC362" s="31"/>
      <c r="AD362" s="31"/>
      <c r="AE362" s="26"/>
      <c r="AF362" s="26"/>
      <c r="AG362" s="26"/>
    </row>
    <row r="363" customFormat="false" ht="15" hidden="false" customHeight="true" outlineLevel="0" collapsed="false">
      <c r="A363" s="24" t="n">
        <v>358</v>
      </c>
      <c r="B363" s="25"/>
      <c r="C363" s="26"/>
      <c r="D363" s="26"/>
      <c r="E363" s="26"/>
      <c r="F363" s="26"/>
      <c r="G363" s="26"/>
      <c r="H363" s="24" t="str">
        <f aca="false">IFERROR(INDEX('Operator Master'!$B$5:$B$504,MATCH(G363,'Operator Master'!$A$5:$A$504,0)),"")</f>
        <v/>
      </c>
      <c r="I363" s="26"/>
      <c r="J363" s="26"/>
      <c r="K363" s="26"/>
      <c r="L363" s="26"/>
      <c r="M363" s="26"/>
      <c r="N363" s="26"/>
      <c r="O363" s="26"/>
      <c r="P363" s="30" t="n">
        <v>8</v>
      </c>
      <c r="Q363" s="26" t="n">
        <f aca="false">P363*J363</f>
        <v>0</v>
      </c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31"/>
      <c r="AC363" s="31"/>
      <c r="AD363" s="31"/>
      <c r="AE363" s="26"/>
      <c r="AF363" s="26"/>
      <c r="AG363" s="26"/>
    </row>
    <row r="364" customFormat="false" ht="15" hidden="false" customHeight="true" outlineLevel="0" collapsed="false">
      <c r="A364" s="24" t="n">
        <v>359</v>
      </c>
      <c r="B364" s="25"/>
      <c r="C364" s="26"/>
      <c r="D364" s="26"/>
      <c r="E364" s="26"/>
      <c r="F364" s="26"/>
      <c r="G364" s="26"/>
      <c r="H364" s="24" t="str">
        <f aca="false">IFERROR(INDEX('Operator Master'!$B$5:$B$504,MATCH(G364,'Operator Master'!$A$5:$A$504,0)),"")</f>
        <v/>
      </c>
      <c r="I364" s="26"/>
      <c r="J364" s="26"/>
      <c r="K364" s="26"/>
      <c r="L364" s="26"/>
      <c r="M364" s="26"/>
      <c r="N364" s="26"/>
      <c r="O364" s="26"/>
      <c r="P364" s="30" t="n">
        <v>8</v>
      </c>
      <c r="Q364" s="26" t="n">
        <f aca="false">P364*J364</f>
        <v>0</v>
      </c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31"/>
      <c r="AC364" s="31"/>
      <c r="AD364" s="31"/>
      <c r="AE364" s="26"/>
      <c r="AF364" s="26"/>
      <c r="AG364" s="26"/>
    </row>
    <row r="365" customFormat="false" ht="15" hidden="false" customHeight="true" outlineLevel="0" collapsed="false">
      <c r="A365" s="24" t="n">
        <v>360</v>
      </c>
      <c r="B365" s="25"/>
      <c r="C365" s="26"/>
      <c r="D365" s="26"/>
      <c r="E365" s="26"/>
      <c r="F365" s="26"/>
      <c r="G365" s="26"/>
      <c r="H365" s="24" t="str">
        <f aca="false">IFERROR(INDEX('Operator Master'!$B$5:$B$504,MATCH(G365,'Operator Master'!$A$5:$A$504,0)),"")</f>
        <v/>
      </c>
      <c r="I365" s="26"/>
      <c r="J365" s="26"/>
      <c r="K365" s="26"/>
      <c r="L365" s="26"/>
      <c r="M365" s="26"/>
      <c r="N365" s="26"/>
      <c r="O365" s="26"/>
      <c r="P365" s="30" t="n">
        <v>8</v>
      </c>
      <c r="Q365" s="26" t="n">
        <f aca="false">P365*J365</f>
        <v>0</v>
      </c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31"/>
      <c r="AC365" s="31"/>
      <c r="AD365" s="31"/>
      <c r="AE365" s="26"/>
      <c r="AF365" s="26"/>
      <c r="AG365" s="26"/>
    </row>
    <row r="366" customFormat="false" ht="15" hidden="false" customHeight="true" outlineLevel="0" collapsed="false">
      <c r="A366" s="24" t="n">
        <v>361</v>
      </c>
      <c r="B366" s="25"/>
      <c r="C366" s="26"/>
      <c r="D366" s="26"/>
      <c r="E366" s="26"/>
      <c r="F366" s="26"/>
      <c r="G366" s="26"/>
      <c r="H366" s="24" t="str">
        <f aca="false">IFERROR(INDEX('Operator Master'!$B$5:$B$504,MATCH(G366,'Operator Master'!$A$5:$A$504,0)),"")</f>
        <v/>
      </c>
      <c r="I366" s="26"/>
      <c r="J366" s="26"/>
      <c r="K366" s="26"/>
      <c r="L366" s="26"/>
      <c r="M366" s="26"/>
      <c r="N366" s="26"/>
      <c r="O366" s="26"/>
      <c r="P366" s="30" t="n">
        <v>8</v>
      </c>
      <c r="Q366" s="26" t="n">
        <f aca="false">P366*J366</f>
        <v>0</v>
      </c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31"/>
      <c r="AC366" s="31"/>
      <c r="AD366" s="31"/>
      <c r="AE366" s="26"/>
      <c r="AF366" s="26"/>
      <c r="AG366" s="26"/>
    </row>
    <row r="367" customFormat="false" ht="15" hidden="false" customHeight="true" outlineLevel="0" collapsed="false">
      <c r="A367" s="24" t="n">
        <v>362</v>
      </c>
      <c r="B367" s="25"/>
      <c r="C367" s="26"/>
      <c r="D367" s="26"/>
      <c r="E367" s="26"/>
      <c r="F367" s="26"/>
      <c r="G367" s="26"/>
      <c r="H367" s="24" t="str">
        <f aca="false">IFERROR(INDEX('Operator Master'!$B$5:$B$504,MATCH(G367,'Operator Master'!$A$5:$A$504,0)),"")</f>
        <v/>
      </c>
      <c r="I367" s="26"/>
      <c r="J367" s="26"/>
      <c r="K367" s="26"/>
      <c r="L367" s="26"/>
      <c r="M367" s="26"/>
      <c r="N367" s="26"/>
      <c r="O367" s="26"/>
      <c r="P367" s="30" t="n">
        <v>8</v>
      </c>
      <c r="Q367" s="26" t="n">
        <f aca="false">P367*J367</f>
        <v>0</v>
      </c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31"/>
      <c r="AC367" s="31"/>
      <c r="AD367" s="31"/>
      <c r="AE367" s="26"/>
      <c r="AF367" s="26"/>
      <c r="AG367" s="26"/>
    </row>
    <row r="368" customFormat="false" ht="15" hidden="false" customHeight="true" outlineLevel="0" collapsed="false">
      <c r="A368" s="24" t="n">
        <v>363</v>
      </c>
      <c r="B368" s="25"/>
      <c r="C368" s="26"/>
      <c r="D368" s="26"/>
      <c r="E368" s="26"/>
      <c r="F368" s="26"/>
      <c r="G368" s="26"/>
      <c r="H368" s="24" t="str">
        <f aca="false">IFERROR(INDEX('Operator Master'!$B$5:$B$504,MATCH(G368,'Operator Master'!$A$5:$A$504,0)),"")</f>
        <v/>
      </c>
      <c r="I368" s="26"/>
      <c r="J368" s="26"/>
      <c r="K368" s="26"/>
      <c r="L368" s="26"/>
      <c r="M368" s="26"/>
      <c r="N368" s="26"/>
      <c r="O368" s="26"/>
      <c r="P368" s="30" t="n">
        <v>8</v>
      </c>
      <c r="Q368" s="26" t="n">
        <f aca="false">P368*J368</f>
        <v>0</v>
      </c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31"/>
      <c r="AC368" s="31"/>
      <c r="AD368" s="31"/>
      <c r="AE368" s="26"/>
      <c r="AF368" s="26"/>
      <c r="AG368" s="26"/>
    </row>
    <row r="369" customFormat="false" ht="15" hidden="false" customHeight="true" outlineLevel="0" collapsed="false">
      <c r="A369" s="24" t="n">
        <v>364</v>
      </c>
      <c r="B369" s="25"/>
      <c r="C369" s="26"/>
      <c r="D369" s="26"/>
      <c r="E369" s="26"/>
      <c r="F369" s="26"/>
      <c r="G369" s="26"/>
      <c r="H369" s="24" t="str">
        <f aca="false">IFERROR(INDEX('Operator Master'!$B$5:$B$504,MATCH(G369,'Operator Master'!$A$5:$A$504,0)),"")</f>
        <v/>
      </c>
      <c r="I369" s="26"/>
      <c r="J369" s="26"/>
      <c r="K369" s="26"/>
      <c r="L369" s="26"/>
      <c r="M369" s="26"/>
      <c r="N369" s="26"/>
      <c r="O369" s="26"/>
      <c r="P369" s="30" t="n">
        <v>8</v>
      </c>
      <c r="Q369" s="26" t="n">
        <f aca="false">P369*J369</f>
        <v>0</v>
      </c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31"/>
      <c r="AC369" s="31"/>
      <c r="AD369" s="31"/>
      <c r="AE369" s="26"/>
      <c r="AF369" s="26"/>
      <c r="AG369" s="26"/>
    </row>
    <row r="370" customFormat="false" ht="15" hidden="false" customHeight="true" outlineLevel="0" collapsed="false">
      <c r="A370" s="24" t="n">
        <v>365</v>
      </c>
      <c r="B370" s="25"/>
      <c r="C370" s="26"/>
      <c r="D370" s="26"/>
      <c r="E370" s="26"/>
      <c r="F370" s="26"/>
      <c r="G370" s="26"/>
      <c r="H370" s="24" t="str">
        <f aca="false">IFERROR(INDEX('Operator Master'!$B$5:$B$504,MATCH(G370,'Operator Master'!$A$5:$A$504,0)),"")</f>
        <v/>
      </c>
      <c r="I370" s="26"/>
      <c r="J370" s="26"/>
      <c r="K370" s="26"/>
      <c r="L370" s="26"/>
      <c r="M370" s="26"/>
      <c r="N370" s="26"/>
      <c r="O370" s="26"/>
      <c r="P370" s="30" t="n">
        <v>8</v>
      </c>
      <c r="Q370" s="26" t="n">
        <f aca="false">P370*J370</f>
        <v>0</v>
      </c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31"/>
      <c r="AC370" s="31"/>
      <c r="AD370" s="31"/>
      <c r="AE370" s="26"/>
      <c r="AF370" s="26"/>
      <c r="AG370" s="26"/>
    </row>
    <row r="371" customFormat="false" ht="15" hidden="false" customHeight="true" outlineLevel="0" collapsed="false">
      <c r="A371" s="24" t="n">
        <v>366</v>
      </c>
      <c r="B371" s="25"/>
      <c r="C371" s="26"/>
      <c r="D371" s="26"/>
      <c r="E371" s="26"/>
      <c r="F371" s="26"/>
      <c r="G371" s="26"/>
      <c r="H371" s="24" t="str">
        <f aca="false">IFERROR(INDEX('Operator Master'!$B$5:$B$504,MATCH(G371,'Operator Master'!$A$5:$A$504,0)),"")</f>
        <v/>
      </c>
      <c r="I371" s="26"/>
      <c r="J371" s="26"/>
      <c r="K371" s="26"/>
      <c r="L371" s="26"/>
      <c r="M371" s="26"/>
      <c r="N371" s="26"/>
      <c r="O371" s="26"/>
      <c r="P371" s="30" t="n">
        <v>8</v>
      </c>
      <c r="Q371" s="26" t="n">
        <f aca="false">P371*J371</f>
        <v>0</v>
      </c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31"/>
      <c r="AC371" s="31"/>
      <c r="AD371" s="31"/>
      <c r="AE371" s="26"/>
      <c r="AF371" s="26"/>
      <c r="AG371" s="26"/>
    </row>
    <row r="372" customFormat="false" ht="15" hidden="false" customHeight="true" outlineLevel="0" collapsed="false">
      <c r="A372" s="24" t="n">
        <v>367</v>
      </c>
      <c r="B372" s="25"/>
      <c r="C372" s="26"/>
      <c r="D372" s="26"/>
      <c r="E372" s="26"/>
      <c r="F372" s="26"/>
      <c r="G372" s="26"/>
      <c r="H372" s="24" t="str">
        <f aca="false">IFERROR(INDEX('Operator Master'!$B$5:$B$504,MATCH(G372,'Operator Master'!$A$5:$A$504,0)),"")</f>
        <v/>
      </c>
      <c r="I372" s="26"/>
      <c r="J372" s="26"/>
      <c r="K372" s="26"/>
      <c r="L372" s="26"/>
      <c r="M372" s="26"/>
      <c r="N372" s="26"/>
      <c r="O372" s="26"/>
      <c r="P372" s="30" t="n">
        <v>8</v>
      </c>
      <c r="Q372" s="26" t="n">
        <f aca="false">P372*J372</f>
        <v>0</v>
      </c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31"/>
      <c r="AC372" s="31"/>
      <c r="AD372" s="31"/>
      <c r="AE372" s="26"/>
      <c r="AF372" s="26"/>
      <c r="AG372" s="26"/>
    </row>
    <row r="373" customFormat="false" ht="15" hidden="false" customHeight="true" outlineLevel="0" collapsed="false">
      <c r="A373" s="24" t="n">
        <v>368</v>
      </c>
      <c r="B373" s="25"/>
      <c r="C373" s="26"/>
      <c r="D373" s="26"/>
      <c r="E373" s="26"/>
      <c r="F373" s="26"/>
      <c r="G373" s="26"/>
      <c r="H373" s="24" t="str">
        <f aca="false">IFERROR(INDEX('Operator Master'!$B$5:$B$504,MATCH(G373,'Operator Master'!$A$5:$A$504,0)),"")</f>
        <v/>
      </c>
      <c r="I373" s="26"/>
      <c r="J373" s="26"/>
      <c r="K373" s="26"/>
      <c r="L373" s="26"/>
      <c r="M373" s="26"/>
      <c r="N373" s="26"/>
      <c r="O373" s="26"/>
      <c r="P373" s="30" t="n">
        <v>8</v>
      </c>
      <c r="Q373" s="26" t="n">
        <f aca="false">P373*J373</f>
        <v>0</v>
      </c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31"/>
      <c r="AC373" s="31"/>
      <c r="AD373" s="31"/>
      <c r="AE373" s="26"/>
      <c r="AF373" s="26"/>
      <c r="AG373" s="26"/>
    </row>
    <row r="374" customFormat="false" ht="15" hidden="false" customHeight="true" outlineLevel="0" collapsed="false">
      <c r="A374" s="24" t="n">
        <v>369</v>
      </c>
      <c r="B374" s="25"/>
      <c r="C374" s="26"/>
      <c r="D374" s="26"/>
      <c r="E374" s="26"/>
      <c r="F374" s="26"/>
      <c r="G374" s="26"/>
      <c r="H374" s="24" t="str">
        <f aca="false">IFERROR(INDEX('Operator Master'!$B$5:$B$504,MATCH(G374,'Operator Master'!$A$5:$A$504,0)),"")</f>
        <v/>
      </c>
      <c r="I374" s="26"/>
      <c r="J374" s="26"/>
      <c r="K374" s="26"/>
      <c r="L374" s="26"/>
      <c r="M374" s="26"/>
      <c r="N374" s="26"/>
      <c r="O374" s="26"/>
      <c r="P374" s="30" t="n">
        <v>8</v>
      </c>
      <c r="Q374" s="26" t="n">
        <f aca="false">P374*J374</f>
        <v>0</v>
      </c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31"/>
      <c r="AC374" s="31"/>
      <c r="AD374" s="31"/>
      <c r="AE374" s="26"/>
      <c r="AF374" s="26"/>
      <c r="AG374" s="26"/>
    </row>
    <row r="375" customFormat="false" ht="15" hidden="false" customHeight="true" outlineLevel="0" collapsed="false">
      <c r="A375" s="24" t="n">
        <v>370</v>
      </c>
      <c r="B375" s="25"/>
      <c r="C375" s="26"/>
      <c r="D375" s="26"/>
      <c r="E375" s="26"/>
      <c r="F375" s="26"/>
      <c r="G375" s="26"/>
      <c r="H375" s="24" t="str">
        <f aca="false">IFERROR(INDEX('Operator Master'!$B$5:$B$504,MATCH(G375,'Operator Master'!$A$5:$A$504,0)),"")</f>
        <v/>
      </c>
      <c r="I375" s="26"/>
      <c r="J375" s="26"/>
      <c r="K375" s="26"/>
      <c r="L375" s="26"/>
      <c r="M375" s="26"/>
      <c r="N375" s="26"/>
      <c r="O375" s="26"/>
      <c r="P375" s="30" t="n">
        <v>8</v>
      </c>
      <c r="Q375" s="26" t="n">
        <f aca="false">P375*J375</f>
        <v>0</v>
      </c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31"/>
      <c r="AC375" s="31"/>
      <c r="AD375" s="31"/>
      <c r="AE375" s="26"/>
      <c r="AF375" s="26"/>
      <c r="AG375" s="26"/>
    </row>
    <row r="376" customFormat="false" ht="15" hidden="false" customHeight="true" outlineLevel="0" collapsed="false">
      <c r="A376" s="24" t="n">
        <v>371</v>
      </c>
      <c r="B376" s="25"/>
      <c r="C376" s="26"/>
      <c r="D376" s="26"/>
      <c r="E376" s="26"/>
      <c r="F376" s="26"/>
      <c r="G376" s="26"/>
      <c r="H376" s="24" t="str">
        <f aca="false">IFERROR(INDEX('Operator Master'!$B$5:$B$504,MATCH(G376,'Operator Master'!$A$5:$A$504,0)),"")</f>
        <v/>
      </c>
      <c r="I376" s="26"/>
      <c r="J376" s="26"/>
      <c r="K376" s="26"/>
      <c r="L376" s="26"/>
      <c r="M376" s="26"/>
      <c r="N376" s="26"/>
      <c r="O376" s="26"/>
      <c r="P376" s="30" t="n">
        <v>8</v>
      </c>
      <c r="Q376" s="26" t="n">
        <f aca="false">P376*J376</f>
        <v>0</v>
      </c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31"/>
      <c r="AC376" s="31"/>
      <c r="AD376" s="31"/>
      <c r="AE376" s="26"/>
      <c r="AF376" s="26"/>
      <c r="AG376" s="26"/>
    </row>
    <row r="377" customFormat="false" ht="15" hidden="false" customHeight="true" outlineLevel="0" collapsed="false">
      <c r="A377" s="24" t="n">
        <v>372</v>
      </c>
      <c r="B377" s="25"/>
      <c r="C377" s="26"/>
      <c r="D377" s="26"/>
      <c r="E377" s="26"/>
      <c r="F377" s="26"/>
      <c r="G377" s="26"/>
      <c r="H377" s="24" t="str">
        <f aca="false">IFERROR(INDEX('Operator Master'!$B$5:$B$504,MATCH(G377,'Operator Master'!$A$5:$A$504,0)),"")</f>
        <v/>
      </c>
      <c r="I377" s="26"/>
      <c r="J377" s="26"/>
      <c r="K377" s="26"/>
      <c r="L377" s="26"/>
      <c r="M377" s="26"/>
      <c r="N377" s="26"/>
      <c r="O377" s="26"/>
      <c r="P377" s="30" t="n">
        <v>8</v>
      </c>
      <c r="Q377" s="26" t="n">
        <f aca="false">P377*J377</f>
        <v>0</v>
      </c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31"/>
      <c r="AC377" s="31"/>
      <c r="AD377" s="31"/>
      <c r="AE377" s="26"/>
      <c r="AF377" s="26"/>
      <c r="AG377" s="26"/>
    </row>
    <row r="378" customFormat="false" ht="15" hidden="false" customHeight="true" outlineLevel="0" collapsed="false">
      <c r="A378" s="24" t="n">
        <v>373</v>
      </c>
      <c r="B378" s="25"/>
      <c r="C378" s="26"/>
      <c r="D378" s="26"/>
      <c r="E378" s="26"/>
      <c r="F378" s="26"/>
      <c r="G378" s="26"/>
      <c r="H378" s="24" t="str">
        <f aca="false">IFERROR(INDEX('Operator Master'!$B$5:$B$504,MATCH(G378,'Operator Master'!$A$5:$A$504,0)),"")</f>
        <v/>
      </c>
      <c r="I378" s="26"/>
      <c r="J378" s="26"/>
      <c r="K378" s="26"/>
      <c r="L378" s="26"/>
      <c r="M378" s="26"/>
      <c r="N378" s="26"/>
      <c r="O378" s="26"/>
      <c r="P378" s="30" t="n">
        <v>8</v>
      </c>
      <c r="Q378" s="26" t="n">
        <f aca="false">P378*J378</f>
        <v>0</v>
      </c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31"/>
      <c r="AC378" s="31"/>
      <c r="AD378" s="31"/>
      <c r="AE378" s="26"/>
      <c r="AF378" s="26"/>
      <c r="AG378" s="26"/>
    </row>
    <row r="379" customFormat="false" ht="15" hidden="false" customHeight="true" outlineLevel="0" collapsed="false">
      <c r="A379" s="24" t="n">
        <v>374</v>
      </c>
      <c r="B379" s="25"/>
      <c r="C379" s="26"/>
      <c r="D379" s="26"/>
      <c r="E379" s="26"/>
      <c r="F379" s="26"/>
      <c r="G379" s="26"/>
      <c r="H379" s="24" t="str">
        <f aca="false">IFERROR(INDEX('Operator Master'!$B$5:$B$504,MATCH(G379,'Operator Master'!$A$5:$A$504,0)),"")</f>
        <v/>
      </c>
      <c r="I379" s="26"/>
      <c r="J379" s="26"/>
      <c r="K379" s="26"/>
      <c r="L379" s="26"/>
      <c r="M379" s="26"/>
      <c r="N379" s="26"/>
      <c r="O379" s="26"/>
      <c r="P379" s="30" t="n">
        <v>8</v>
      </c>
      <c r="Q379" s="26" t="n">
        <f aca="false">P379*J379</f>
        <v>0</v>
      </c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31"/>
      <c r="AC379" s="31"/>
      <c r="AD379" s="31"/>
      <c r="AE379" s="26"/>
      <c r="AF379" s="26"/>
      <c r="AG379" s="26"/>
    </row>
    <row r="380" customFormat="false" ht="15" hidden="false" customHeight="true" outlineLevel="0" collapsed="false">
      <c r="A380" s="24" t="n">
        <v>375</v>
      </c>
      <c r="B380" s="25"/>
      <c r="C380" s="26"/>
      <c r="D380" s="26"/>
      <c r="E380" s="26"/>
      <c r="F380" s="26"/>
      <c r="G380" s="26"/>
      <c r="H380" s="24" t="str">
        <f aca="false">IFERROR(INDEX('Operator Master'!$B$5:$B$504,MATCH(G380,'Operator Master'!$A$5:$A$504,0)),"")</f>
        <v/>
      </c>
      <c r="I380" s="26"/>
      <c r="J380" s="26"/>
      <c r="K380" s="26"/>
      <c r="L380" s="26"/>
      <c r="M380" s="26"/>
      <c r="N380" s="26"/>
      <c r="O380" s="26"/>
      <c r="P380" s="30" t="n">
        <v>8</v>
      </c>
      <c r="Q380" s="26" t="n">
        <f aca="false">P380*J380</f>
        <v>0</v>
      </c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31"/>
      <c r="AC380" s="31"/>
      <c r="AD380" s="31"/>
      <c r="AE380" s="26"/>
      <c r="AF380" s="26"/>
      <c r="AG380" s="26"/>
    </row>
    <row r="381" customFormat="false" ht="15" hidden="false" customHeight="true" outlineLevel="0" collapsed="false">
      <c r="A381" s="24" t="n">
        <v>376</v>
      </c>
      <c r="B381" s="25"/>
      <c r="C381" s="26"/>
      <c r="D381" s="26"/>
      <c r="E381" s="26"/>
      <c r="F381" s="26"/>
      <c r="G381" s="26"/>
      <c r="H381" s="24" t="str">
        <f aca="false">IFERROR(INDEX('Operator Master'!$B$5:$B$504,MATCH(G381,'Operator Master'!$A$5:$A$504,0)),"")</f>
        <v/>
      </c>
      <c r="I381" s="26"/>
      <c r="J381" s="26"/>
      <c r="K381" s="26"/>
      <c r="L381" s="26"/>
      <c r="M381" s="26"/>
      <c r="N381" s="26"/>
      <c r="O381" s="26"/>
      <c r="P381" s="30" t="n">
        <v>8</v>
      </c>
      <c r="Q381" s="26" t="n">
        <f aca="false">P381*J381</f>
        <v>0</v>
      </c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31"/>
      <c r="AC381" s="31"/>
      <c r="AD381" s="31"/>
      <c r="AE381" s="26"/>
      <c r="AF381" s="26"/>
      <c r="AG381" s="26"/>
    </row>
    <row r="382" customFormat="false" ht="15" hidden="false" customHeight="true" outlineLevel="0" collapsed="false">
      <c r="A382" s="24" t="n">
        <v>377</v>
      </c>
      <c r="B382" s="25"/>
      <c r="C382" s="26"/>
      <c r="D382" s="26"/>
      <c r="E382" s="26"/>
      <c r="F382" s="26"/>
      <c r="G382" s="26"/>
      <c r="H382" s="24" t="str">
        <f aca="false">IFERROR(INDEX('Operator Master'!$B$5:$B$504,MATCH(G382,'Operator Master'!$A$5:$A$504,0)),"")</f>
        <v/>
      </c>
      <c r="I382" s="26"/>
      <c r="J382" s="26"/>
      <c r="K382" s="26"/>
      <c r="L382" s="26"/>
      <c r="M382" s="26"/>
      <c r="N382" s="26"/>
      <c r="O382" s="26"/>
      <c r="P382" s="30" t="n">
        <v>8</v>
      </c>
      <c r="Q382" s="26" t="n">
        <f aca="false">P382*J382</f>
        <v>0</v>
      </c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31"/>
      <c r="AC382" s="31"/>
      <c r="AD382" s="31"/>
      <c r="AE382" s="26"/>
      <c r="AF382" s="26"/>
      <c r="AG382" s="26"/>
    </row>
    <row r="383" customFormat="false" ht="15" hidden="false" customHeight="true" outlineLevel="0" collapsed="false">
      <c r="A383" s="24" t="n">
        <v>378</v>
      </c>
      <c r="B383" s="25"/>
      <c r="C383" s="26"/>
      <c r="D383" s="26"/>
      <c r="E383" s="26"/>
      <c r="F383" s="26"/>
      <c r="G383" s="26"/>
      <c r="H383" s="24" t="str">
        <f aca="false">IFERROR(INDEX('Operator Master'!$B$5:$B$504,MATCH(G383,'Operator Master'!$A$5:$A$504,0)),"")</f>
        <v/>
      </c>
      <c r="I383" s="26"/>
      <c r="J383" s="26"/>
      <c r="K383" s="26"/>
      <c r="L383" s="26"/>
      <c r="M383" s="26"/>
      <c r="N383" s="26"/>
      <c r="O383" s="26"/>
      <c r="P383" s="30" t="n">
        <v>8</v>
      </c>
      <c r="Q383" s="26" t="n">
        <f aca="false">P383*J383</f>
        <v>0</v>
      </c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31"/>
      <c r="AC383" s="31"/>
      <c r="AD383" s="31"/>
      <c r="AE383" s="26"/>
      <c r="AF383" s="26"/>
      <c r="AG383" s="26"/>
    </row>
    <row r="384" customFormat="false" ht="15" hidden="false" customHeight="true" outlineLevel="0" collapsed="false">
      <c r="A384" s="24" t="n">
        <v>379</v>
      </c>
      <c r="B384" s="25"/>
      <c r="C384" s="26"/>
      <c r="D384" s="26"/>
      <c r="E384" s="26"/>
      <c r="F384" s="26"/>
      <c r="G384" s="26"/>
      <c r="H384" s="24" t="str">
        <f aca="false">IFERROR(INDEX('Operator Master'!$B$5:$B$504,MATCH(G384,'Operator Master'!$A$5:$A$504,0)),"")</f>
        <v/>
      </c>
      <c r="I384" s="26"/>
      <c r="J384" s="26"/>
      <c r="K384" s="26"/>
      <c r="L384" s="26"/>
      <c r="M384" s="26"/>
      <c r="N384" s="26"/>
      <c r="O384" s="26"/>
      <c r="P384" s="30" t="n">
        <v>8</v>
      </c>
      <c r="Q384" s="26" t="n">
        <f aca="false">P384*J384</f>
        <v>0</v>
      </c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31"/>
      <c r="AC384" s="31"/>
      <c r="AD384" s="31"/>
      <c r="AE384" s="26"/>
      <c r="AF384" s="26"/>
      <c r="AG384" s="26"/>
    </row>
    <row r="385" customFormat="false" ht="15" hidden="false" customHeight="true" outlineLevel="0" collapsed="false">
      <c r="A385" s="24" t="n">
        <v>380</v>
      </c>
      <c r="B385" s="25"/>
      <c r="C385" s="26"/>
      <c r="D385" s="26"/>
      <c r="E385" s="26"/>
      <c r="F385" s="26"/>
      <c r="G385" s="26"/>
      <c r="H385" s="24" t="str">
        <f aca="false">IFERROR(INDEX('Operator Master'!$B$5:$B$504,MATCH(G385,'Operator Master'!$A$5:$A$504,0)),"")</f>
        <v/>
      </c>
      <c r="I385" s="26"/>
      <c r="J385" s="26"/>
      <c r="K385" s="26"/>
      <c r="L385" s="26"/>
      <c r="M385" s="26"/>
      <c r="N385" s="26"/>
      <c r="O385" s="26"/>
      <c r="P385" s="30" t="n">
        <v>8</v>
      </c>
      <c r="Q385" s="26" t="n">
        <f aca="false">P385*J385</f>
        <v>0</v>
      </c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31"/>
      <c r="AC385" s="31"/>
      <c r="AD385" s="31"/>
      <c r="AE385" s="26"/>
      <c r="AF385" s="26"/>
      <c r="AG385" s="26"/>
    </row>
    <row r="386" customFormat="false" ht="15" hidden="false" customHeight="true" outlineLevel="0" collapsed="false">
      <c r="A386" s="24" t="n">
        <v>381</v>
      </c>
      <c r="B386" s="25"/>
      <c r="C386" s="26"/>
      <c r="D386" s="26"/>
      <c r="E386" s="26"/>
      <c r="F386" s="26"/>
      <c r="G386" s="26"/>
      <c r="H386" s="24" t="str">
        <f aca="false">IFERROR(INDEX('Operator Master'!$B$5:$B$504,MATCH(G386,'Operator Master'!$A$5:$A$504,0)),"")</f>
        <v/>
      </c>
      <c r="I386" s="26"/>
      <c r="J386" s="26"/>
      <c r="K386" s="26"/>
      <c r="L386" s="26"/>
      <c r="M386" s="26"/>
      <c r="N386" s="26"/>
      <c r="O386" s="26"/>
      <c r="P386" s="30" t="n">
        <v>8</v>
      </c>
      <c r="Q386" s="26" t="n">
        <f aca="false">P386*J386</f>
        <v>0</v>
      </c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31"/>
      <c r="AC386" s="31"/>
      <c r="AD386" s="31"/>
      <c r="AE386" s="26"/>
      <c r="AF386" s="26"/>
      <c r="AG386" s="26"/>
    </row>
    <row r="387" customFormat="false" ht="15" hidden="false" customHeight="true" outlineLevel="0" collapsed="false">
      <c r="A387" s="24" t="n">
        <v>382</v>
      </c>
      <c r="B387" s="25"/>
      <c r="C387" s="26"/>
      <c r="D387" s="26"/>
      <c r="E387" s="26"/>
      <c r="F387" s="26"/>
      <c r="G387" s="26"/>
      <c r="H387" s="24" t="str">
        <f aca="false">IFERROR(INDEX('Operator Master'!$B$5:$B$504,MATCH(G387,'Operator Master'!$A$5:$A$504,0)),"")</f>
        <v/>
      </c>
      <c r="I387" s="26"/>
      <c r="J387" s="26"/>
      <c r="K387" s="26"/>
      <c r="L387" s="26"/>
      <c r="M387" s="26"/>
      <c r="N387" s="26"/>
      <c r="O387" s="26"/>
      <c r="P387" s="30" t="n">
        <v>8</v>
      </c>
      <c r="Q387" s="26" t="n">
        <f aca="false">P387*J387</f>
        <v>0</v>
      </c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31"/>
      <c r="AC387" s="31"/>
      <c r="AD387" s="31"/>
      <c r="AE387" s="26"/>
      <c r="AF387" s="26"/>
      <c r="AG387" s="26"/>
    </row>
    <row r="388" customFormat="false" ht="15" hidden="false" customHeight="true" outlineLevel="0" collapsed="false">
      <c r="A388" s="24" t="n">
        <v>383</v>
      </c>
      <c r="B388" s="25"/>
      <c r="C388" s="26"/>
      <c r="D388" s="26"/>
      <c r="E388" s="26"/>
      <c r="F388" s="26"/>
      <c r="G388" s="26"/>
      <c r="H388" s="24" t="str">
        <f aca="false">IFERROR(INDEX('Operator Master'!$B$5:$B$504,MATCH(G388,'Operator Master'!$A$5:$A$504,0)),"")</f>
        <v/>
      </c>
      <c r="I388" s="26"/>
      <c r="J388" s="26"/>
      <c r="K388" s="26"/>
      <c r="L388" s="26"/>
      <c r="M388" s="26"/>
      <c r="N388" s="26"/>
      <c r="O388" s="26"/>
      <c r="P388" s="30" t="n">
        <v>8</v>
      </c>
      <c r="Q388" s="26" t="n">
        <f aca="false">P388*J388</f>
        <v>0</v>
      </c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31"/>
      <c r="AC388" s="31"/>
      <c r="AD388" s="31"/>
      <c r="AE388" s="26"/>
      <c r="AF388" s="26"/>
      <c r="AG388" s="26"/>
    </row>
    <row r="389" customFormat="false" ht="15" hidden="false" customHeight="true" outlineLevel="0" collapsed="false">
      <c r="A389" s="24" t="n">
        <v>384</v>
      </c>
      <c r="B389" s="25"/>
      <c r="C389" s="26"/>
      <c r="D389" s="26"/>
      <c r="E389" s="26"/>
      <c r="F389" s="26"/>
      <c r="G389" s="26"/>
      <c r="H389" s="24" t="str">
        <f aca="false">IFERROR(INDEX('Operator Master'!$B$5:$B$504,MATCH(G389,'Operator Master'!$A$5:$A$504,0)),"")</f>
        <v/>
      </c>
      <c r="I389" s="26"/>
      <c r="J389" s="26"/>
      <c r="K389" s="26"/>
      <c r="L389" s="26"/>
      <c r="M389" s="26"/>
      <c r="N389" s="26"/>
      <c r="O389" s="26"/>
      <c r="P389" s="30" t="n">
        <v>8</v>
      </c>
      <c r="Q389" s="26" t="n">
        <f aca="false">P389*J389</f>
        <v>0</v>
      </c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31"/>
      <c r="AC389" s="31"/>
      <c r="AD389" s="31"/>
      <c r="AE389" s="26"/>
      <c r="AF389" s="26"/>
      <c r="AG389" s="26"/>
    </row>
    <row r="390" customFormat="false" ht="15" hidden="false" customHeight="true" outlineLevel="0" collapsed="false">
      <c r="A390" s="24" t="n">
        <v>385</v>
      </c>
      <c r="B390" s="25"/>
      <c r="C390" s="26"/>
      <c r="D390" s="26"/>
      <c r="E390" s="26"/>
      <c r="F390" s="26"/>
      <c r="G390" s="26"/>
      <c r="H390" s="24" t="str">
        <f aca="false">IFERROR(INDEX('Operator Master'!$B$5:$B$504,MATCH(G390,'Operator Master'!$A$5:$A$504,0)),"")</f>
        <v/>
      </c>
      <c r="I390" s="26"/>
      <c r="J390" s="26"/>
      <c r="K390" s="26"/>
      <c r="L390" s="26"/>
      <c r="M390" s="26"/>
      <c r="N390" s="26"/>
      <c r="O390" s="26"/>
      <c r="P390" s="30" t="n">
        <v>8</v>
      </c>
      <c r="Q390" s="26" t="n">
        <f aca="false">P390*J390</f>
        <v>0</v>
      </c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31"/>
      <c r="AC390" s="31"/>
      <c r="AD390" s="31"/>
      <c r="AE390" s="26"/>
      <c r="AF390" s="26"/>
      <c r="AG390" s="26"/>
    </row>
    <row r="391" customFormat="false" ht="15" hidden="false" customHeight="true" outlineLevel="0" collapsed="false">
      <c r="A391" s="24" t="n">
        <v>386</v>
      </c>
      <c r="B391" s="25"/>
      <c r="C391" s="26"/>
      <c r="D391" s="26"/>
      <c r="E391" s="26"/>
      <c r="F391" s="26"/>
      <c r="G391" s="26"/>
      <c r="H391" s="24" t="str">
        <f aca="false">IFERROR(INDEX('Operator Master'!$B$5:$B$504,MATCH(G391,'Operator Master'!$A$5:$A$504,0)),"")</f>
        <v/>
      </c>
      <c r="I391" s="26"/>
      <c r="J391" s="26"/>
      <c r="K391" s="26"/>
      <c r="L391" s="26"/>
      <c r="M391" s="26"/>
      <c r="N391" s="26"/>
      <c r="O391" s="26"/>
      <c r="P391" s="30" t="n">
        <v>8</v>
      </c>
      <c r="Q391" s="26" t="n">
        <f aca="false">P391*J391</f>
        <v>0</v>
      </c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31"/>
      <c r="AC391" s="31"/>
      <c r="AD391" s="31"/>
      <c r="AE391" s="26"/>
      <c r="AF391" s="26"/>
      <c r="AG391" s="26"/>
    </row>
    <row r="392" customFormat="false" ht="15" hidden="false" customHeight="true" outlineLevel="0" collapsed="false">
      <c r="A392" s="24" t="n">
        <v>387</v>
      </c>
      <c r="B392" s="25"/>
      <c r="C392" s="26"/>
      <c r="D392" s="26"/>
      <c r="E392" s="26"/>
      <c r="F392" s="26"/>
      <c r="G392" s="26"/>
      <c r="H392" s="24" t="str">
        <f aca="false">IFERROR(INDEX('Operator Master'!$B$5:$B$504,MATCH(G392,'Operator Master'!$A$5:$A$504,0)),"")</f>
        <v/>
      </c>
      <c r="I392" s="26"/>
      <c r="J392" s="26"/>
      <c r="K392" s="26"/>
      <c r="L392" s="26"/>
      <c r="M392" s="26"/>
      <c r="N392" s="26"/>
      <c r="O392" s="26"/>
      <c r="P392" s="30" t="n">
        <v>8</v>
      </c>
      <c r="Q392" s="26" t="n">
        <f aca="false">P392*J392</f>
        <v>0</v>
      </c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31"/>
      <c r="AC392" s="31"/>
      <c r="AD392" s="31"/>
      <c r="AE392" s="26"/>
      <c r="AF392" s="26"/>
      <c r="AG392" s="26"/>
    </row>
    <row r="393" customFormat="false" ht="15" hidden="false" customHeight="true" outlineLevel="0" collapsed="false">
      <c r="A393" s="24" t="n">
        <v>388</v>
      </c>
      <c r="B393" s="25"/>
      <c r="C393" s="26"/>
      <c r="D393" s="26"/>
      <c r="E393" s="26"/>
      <c r="F393" s="26"/>
      <c r="G393" s="26"/>
      <c r="H393" s="24" t="str">
        <f aca="false">IFERROR(INDEX('Operator Master'!$B$5:$B$504,MATCH(G393,'Operator Master'!$A$5:$A$504,0)),"")</f>
        <v/>
      </c>
      <c r="I393" s="26"/>
      <c r="J393" s="26"/>
      <c r="K393" s="26"/>
      <c r="L393" s="26"/>
      <c r="M393" s="26"/>
      <c r="N393" s="26"/>
      <c r="O393" s="26"/>
      <c r="P393" s="30" t="n">
        <v>8</v>
      </c>
      <c r="Q393" s="26" t="n">
        <f aca="false">P393*J393</f>
        <v>0</v>
      </c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31"/>
      <c r="AC393" s="31"/>
      <c r="AD393" s="31"/>
      <c r="AE393" s="26"/>
      <c r="AF393" s="26"/>
      <c r="AG393" s="26"/>
    </row>
    <row r="394" customFormat="false" ht="15" hidden="false" customHeight="true" outlineLevel="0" collapsed="false">
      <c r="A394" s="24" t="n">
        <v>389</v>
      </c>
      <c r="B394" s="25"/>
      <c r="C394" s="26"/>
      <c r="D394" s="26"/>
      <c r="E394" s="26"/>
      <c r="F394" s="26"/>
      <c r="G394" s="26"/>
      <c r="H394" s="24" t="str">
        <f aca="false">IFERROR(INDEX('Operator Master'!$B$5:$B$504,MATCH(G394,'Operator Master'!$A$5:$A$504,0)),"")</f>
        <v/>
      </c>
      <c r="I394" s="26"/>
      <c r="J394" s="26"/>
      <c r="K394" s="26"/>
      <c r="L394" s="26"/>
      <c r="M394" s="26"/>
      <c r="N394" s="26"/>
      <c r="O394" s="26"/>
      <c r="P394" s="30" t="n">
        <v>8</v>
      </c>
      <c r="Q394" s="26" t="n">
        <f aca="false">P394*J394</f>
        <v>0</v>
      </c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31"/>
      <c r="AC394" s="31"/>
      <c r="AD394" s="31"/>
      <c r="AE394" s="26"/>
      <c r="AF394" s="26"/>
      <c r="AG394" s="26"/>
    </row>
    <row r="395" customFormat="false" ht="15" hidden="false" customHeight="true" outlineLevel="0" collapsed="false">
      <c r="A395" s="24" t="n">
        <v>390</v>
      </c>
      <c r="B395" s="25"/>
      <c r="C395" s="26"/>
      <c r="D395" s="26"/>
      <c r="E395" s="26"/>
      <c r="F395" s="26"/>
      <c r="G395" s="26"/>
      <c r="H395" s="24" t="str">
        <f aca="false">IFERROR(INDEX('Operator Master'!$B$5:$B$504,MATCH(G395,'Operator Master'!$A$5:$A$504,0)),"")</f>
        <v/>
      </c>
      <c r="I395" s="26"/>
      <c r="J395" s="26"/>
      <c r="K395" s="26"/>
      <c r="L395" s="26"/>
      <c r="M395" s="26"/>
      <c r="N395" s="26"/>
      <c r="O395" s="26"/>
      <c r="P395" s="30" t="n">
        <v>8</v>
      </c>
      <c r="Q395" s="26" t="n">
        <f aca="false">P395*J395</f>
        <v>0</v>
      </c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31"/>
      <c r="AC395" s="31"/>
      <c r="AD395" s="31"/>
      <c r="AE395" s="26"/>
      <c r="AF395" s="26"/>
      <c r="AG395" s="26"/>
    </row>
    <row r="396" customFormat="false" ht="15" hidden="false" customHeight="true" outlineLevel="0" collapsed="false">
      <c r="A396" s="24" t="n">
        <v>391</v>
      </c>
      <c r="B396" s="25"/>
      <c r="C396" s="26"/>
      <c r="D396" s="26"/>
      <c r="E396" s="26"/>
      <c r="F396" s="26"/>
      <c r="G396" s="26"/>
      <c r="H396" s="24" t="str">
        <f aca="false">IFERROR(INDEX('Operator Master'!$B$5:$B$504,MATCH(G396,'Operator Master'!$A$5:$A$504,0)),"")</f>
        <v/>
      </c>
      <c r="I396" s="26"/>
      <c r="J396" s="26"/>
      <c r="K396" s="26"/>
      <c r="L396" s="26"/>
      <c r="M396" s="26"/>
      <c r="N396" s="26"/>
      <c r="O396" s="26"/>
      <c r="P396" s="30" t="n">
        <v>8</v>
      </c>
      <c r="Q396" s="26" t="n">
        <f aca="false">P396*J396</f>
        <v>0</v>
      </c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31"/>
      <c r="AC396" s="31"/>
      <c r="AD396" s="31"/>
      <c r="AE396" s="26"/>
      <c r="AF396" s="26"/>
      <c r="AG396" s="26"/>
    </row>
    <row r="397" customFormat="false" ht="15" hidden="false" customHeight="true" outlineLevel="0" collapsed="false">
      <c r="A397" s="24" t="n">
        <v>392</v>
      </c>
      <c r="B397" s="25"/>
      <c r="C397" s="26"/>
      <c r="D397" s="26"/>
      <c r="E397" s="26"/>
      <c r="F397" s="26"/>
      <c r="G397" s="26"/>
      <c r="H397" s="24" t="str">
        <f aca="false">IFERROR(INDEX('Operator Master'!$B$5:$B$504,MATCH(G397,'Operator Master'!$A$5:$A$504,0)),"")</f>
        <v/>
      </c>
      <c r="I397" s="26"/>
      <c r="J397" s="26"/>
      <c r="K397" s="26"/>
      <c r="L397" s="26"/>
      <c r="M397" s="26"/>
      <c r="N397" s="26"/>
      <c r="O397" s="26"/>
      <c r="P397" s="30" t="n">
        <v>8</v>
      </c>
      <c r="Q397" s="26" t="n">
        <f aca="false">P397*J397</f>
        <v>0</v>
      </c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31"/>
      <c r="AC397" s="31"/>
      <c r="AD397" s="31"/>
      <c r="AE397" s="26"/>
      <c r="AF397" s="26"/>
      <c r="AG397" s="26"/>
    </row>
    <row r="398" customFormat="false" ht="15" hidden="false" customHeight="true" outlineLevel="0" collapsed="false">
      <c r="A398" s="24" t="n">
        <v>393</v>
      </c>
      <c r="B398" s="25"/>
      <c r="C398" s="26"/>
      <c r="D398" s="26"/>
      <c r="E398" s="26"/>
      <c r="F398" s="26"/>
      <c r="G398" s="26"/>
      <c r="H398" s="24" t="str">
        <f aca="false">IFERROR(INDEX('Operator Master'!$B$5:$B$504,MATCH(G398,'Operator Master'!$A$5:$A$504,0)),"")</f>
        <v/>
      </c>
      <c r="I398" s="26"/>
      <c r="J398" s="26"/>
      <c r="K398" s="26"/>
      <c r="L398" s="26"/>
      <c r="M398" s="26"/>
      <c r="N398" s="26"/>
      <c r="O398" s="26"/>
      <c r="P398" s="30" t="n">
        <v>8</v>
      </c>
      <c r="Q398" s="26" t="n">
        <f aca="false">P398*J398</f>
        <v>0</v>
      </c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31"/>
      <c r="AC398" s="31"/>
      <c r="AD398" s="31"/>
      <c r="AE398" s="26"/>
      <c r="AF398" s="26"/>
      <c r="AG398" s="26"/>
    </row>
    <row r="399" customFormat="false" ht="15" hidden="false" customHeight="true" outlineLevel="0" collapsed="false">
      <c r="A399" s="24" t="n">
        <v>394</v>
      </c>
      <c r="B399" s="25"/>
      <c r="C399" s="26"/>
      <c r="D399" s="26"/>
      <c r="E399" s="26"/>
      <c r="F399" s="26"/>
      <c r="G399" s="26"/>
      <c r="H399" s="24" t="str">
        <f aca="false">IFERROR(INDEX('Operator Master'!$B$5:$B$504,MATCH(G399,'Operator Master'!$A$5:$A$504,0)),"")</f>
        <v/>
      </c>
      <c r="I399" s="26"/>
      <c r="J399" s="26"/>
      <c r="K399" s="26"/>
      <c r="L399" s="26"/>
      <c r="M399" s="26"/>
      <c r="N399" s="26"/>
      <c r="O399" s="26"/>
      <c r="P399" s="30" t="n">
        <v>8</v>
      </c>
      <c r="Q399" s="26" t="n">
        <f aca="false">P399*J399</f>
        <v>0</v>
      </c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31"/>
      <c r="AC399" s="31"/>
      <c r="AD399" s="31"/>
      <c r="AE399" s="26"/>
      <c r="AF399" s="26"/>
      <c r="AG399" s="26"/>
    </row>
    <row r="400" customFormat="false" ht="15" hidden="false" customHeight="true" outlineLevel="0" collapsed="false">
      <c r="A400" s="24" t="n">
        <v>395</v>
      </c>
      <c r="B400" s="25"/>
      <c r="C400" s="26"/>
      <c r="D400" s="26"/>
      <c r="E400" s="26"/>
      <c r="F400" s="26"/>
      <c r="G400" s="26"/>
      <c r="H400" s="24" t="str">
        <f aca="false">IFERROR(INDEX('Operator Master'!$B$5:$B$504,MATCH(G400,'Operator Master'!$A$5:$A$504,0)),"")</f>
        <v/>
      </c>
      <c r="I400" s="26"/>
      <c r="J400" s="26"/>
      <c r="K400" s="26"/>
      <c r="L400" s="26"/>
      <c r="M400" s="26"/>
      <c r="N400" s="26"/>
      <c r="O400" s="26"/>
      <c r="P400" s="30" t="n">
        <v>8</v>
      </c>
      <c r="Q400" s="26" t="n">
        <f aca="false">P400*J400</f>
        <v>0</v>
      </c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31"/>
      <c r="AC400" s="31"/>
      <c r="AD400" s="31"/>
      <c r="AE400" s="26"/>
      <c r="AF400" s="26"/>
      <c r="AG400" s="26"/>
    </row>
    <row r="401" customFormat="false" ht="15" hidden="false" customHeight="true" outlineLevel="0" collapsed="false">
      <c r="A401" s="24" t="n">
        <v>396</v>
      </c>
      <c r="B401" s="25"/>
      <c r="C401" s="26"/>
      <c r="D401" s="26"/>
      <c r="E401" s="26"/>
      <c r="F401" s="26"/>
      <c r="G401" s="26"/>
      <c r="H401" s="24" t="str">
        <f aca="false">IFERROR(INDEX('Operator Master'!$B$5:$B$504,MATCH(G401,'Operator Master'!$A$5:$A$504,0)),"")</f>
        <v/>
      </c>
      <c r="I401" s="26"/>
      <c r="J401" s="26"/>
      <c r="K401" s="26"/>
      <c r="L401" s="26"/>
      <c r="M401" s="26"/>
      <c r="N401" s="26"/>
      <c r="O401" s="26"/>
      <c r="P401" s="30" t="n">
        <v>8</v>
      </c>
      <c r="Q401" s="26" t="n">
        <f aca="false">P401*J401</f>
        <v>0</v>
      </c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31"/>
      <c r="AC401" s="31"/>
      <c r="AD401" s="31"/>
      <c r="AE401" s="26"/>
      <c r="AF401" s="26"/>
      <c r="AG401" s="26"/>
    </row>
    <row r="402" customFormat="false" ht="15" hidden="false" customHeight="true" outlineLevel="0" collapsed="false">
      <c r="A402" s="24" t="n">
        <v>397</v>
      </c>
      <c r="B402" s="25"/>
      <c r="C402" s="26"/>
      <c r="D402" s="26"/>
      <c r="E402" s="26"/>
      <c r="F402" s="26"/>
      <c r="G402" s="26"/>
      <c r="H402" s="24" t="str">
        <f aca="false">IFERROR(INDEX('Operator Master'!$B$5:$B$504,MATCH(G402,'Operator Master'!$A$5:$A$504,0)),"")</f>
        <v/>
      </c>
      <c r="I402" s="26"/>
      <c r="J402" s="26"/>
      <c r="K402" s="26"/>
      <c r="L402" s="26"/>
      <c r="M402" s="26"/>
      <c r="N402" s="26"/>
      <c r="O402" s="26"/>
      <c r="P402" s="30" t="n">
        <v>8</v>
      </c>
      <c r="Q402" s="26" t="n">
        <f aca="false">P402*J402</f>
        <v>0</v>
      </c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31"/>
      <c r="AC402" s="31"/>
      <c r="AD402" s="31"/>
      <c r="AE402" s="26"/>
      <c r="AF402" s="26"/>
      <c r="AG402" s="26"/>
    </row>
    <row r="403" customFormat="false" ht="15" hidden="false" customHeight="true" outlineLevel="0" collapsed="false">
      <c r="A403" s="24" t="n">
        <v>398</v>
      </c>
      <c r="B403" s="25"/>
      <c r="C403" s="26"/>
      <c r="D403" s="26"/>
      <c r="E403" s="26"/>
      <c r="F403" s="26"/>
      <c r="G403" s="26"/>
      <c r="H403" s="24" t="str">
        <f aca="false">IFERROR(INDEX('Operator Master'!$B$5:$B$504,MATCH(G403,'Operator Master'!$A$5:$A$504,0)),"")</f>
        <v/>
      </c>
      <c r="I403" s="26"/>
      <c r="J403" s="26"/>
      <c r="K403" s="26"/>
      <c r="L403" s="26"/>
      <c r="M403" s="26"/>
      <c r="N403" s="26"/>
      <c r="O403" s="26"/>
      <c r="P403" s="30" t="n">
        <v>8</v>
      </c>
      <c r="Q403" s="26" t="n">
        <f aca="false">P403*J403</f>
        <v>0</v>
      </c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31"/>
      <c r="AC403" s="31"/>
      <c r="AD403" s="31"/>
      <c r="AE403" s="26"/>
      <c r="AF403" s="26"/>
      <c r="AG403" s="26"/>
    </row>
    <row r="404" customFormat="false" ht="15" hidden="false" customHeight="true" outlineLevel="0" collapsed="false">
      <c r="A404" s="24" t="n">
        <v>399</v>
      </c>
      <c r="B404" s="25"/>
      <c r="C404" s="26"/>
      <c r="D404" s="26"/>
      <c r="E404" s="26"/>
      <c r="F404" s="26"/>
      <c r="G404" s="26"/>
      <c r="H404" s="24" t="str">
        <f aca="false">IFERROR(INDEX('Operator Master'!$B$5:$B$504,MATCH(G404,'Operator Master'!$A$5:$A$504,0)),"")</f>
        <v/>
      </c>
      <c r="I404" s="26"/>
      <c r="J404" s="26"/>
      <c r="K404" s="26"/>
      <c r="L404" s="26"/>
      <c r="M404" s="26"/>
      <c r="N404" s="26"/>
      <c r="O404" s="26"/>
      <c r="P404" s="30" t="n">
        <v>8</v>
      </c>
      <c r="Q404" s="26" t="n">
        <f aca="false">P404*J404</f>
        <v>0</v>
      </c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31"/>
      <c r="AC404" s="31"/>
      <c r="AD404" s="31"/>
      <c r="AE404" s="26"/>
      <c r="AF404" s="26"/>
      <c r="AG404" s="26"/>
    </row>
    <row r="405" customFormat="false" ht="15" hidden="false" customHeight="true" outlineLevel="0" collapsed="false">
      <c r="A405" s="24" t="n">
        <v>400</v>
      </c>
      <c r="B405" s="25"/>
      <c r="C405" s="26"/>
      <c r="D405" s="26"/>
      <c r="E405" s="26"/>
      <c r="F405" s="26"/>
      <c r="G405" s="26"/>
      <c r="H405" s="24" t="str">
        <f aca="false">IFERROR(INDEX('Operator Master'!$B$5:$B$504,MATCH(G405,'Operator Master'!$A$5:$A$504,0)),"")</f>
        <v/>
      </c>
      <c r="I405" s="26"/>
      <c r="J405" s="26"/>
      <c r="K405" s="26"/>
      <c r="L405" s="26"/>
      <c r="M405" s="26"/>
      <c r="N405" s="26"/>
      <c r="O405" s="26"/>
      <c r="P405" s="30" t="n">
        <v>8</v>
      </c>
      <c r="Q405" s="26" t="n">
        <f aca="false">P405*J405</f>
        <v>0</v>
      </c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31"/>
      <c r="AC405" s="31"/>
      <c r="AD405" s="31"/>
      <c r="AE405" s="26"/>
      <c r="AF405" s="26"/>
      <c r="AG405" s="26"/>
    </row>
    <row r="406" customFormat="false" ht="15" hidden="false" customHeight="true" outlineLevel="0" collapsed="false">
      <c r="A406" s="24" t="n">
        <v>401</v>
      </c>
      <c r="B406" s="25"/>
      <c r="C406" s="26"/>
      <c r="D406" s="26"/>
      <c r="E406" s="26"/>
      <c r="F406" s="26"/>
      <c r="G406" s="26"/>
      <c r="H406" s="24" t="str">
        <f aca="false">IFERROR(INDEX('Operator Master'!$B$5:$B$504,MATCH(G406,'Operator Master'!$A$5:$A$504,0)),"")</f>
        <v/>
      </c>
      <c r="I406" s="26"/>
      <c r="J406" s="26"/>
      <c r="K406" s="26"/>
      <c r="L406" s="26"/>
      <c r="M406" s="26"/>
      <c r="N406" s="26"/>
      <c r="O406" s="26"/>
      <c r="P406" s="30" t="n">
        <v>8</v>
      </c>
      <c r="Q406" s="26" t="n">
        <f aca="false">P406*J406</f>
        <v>0</v>
      </c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31"/>
      <c r="AC406" s="31"/>
      <c r="AD406" s="31"/>
      <c r="AE406" s="26"/>
      <c r="AF406" s="26"/>
      <c r="AG406" s="26"/>
    </row>
    <row r="407" customFormat="false" ht="15" hidden="false" customHeight="true" outlineLevel="0" collapsed="false">
      <c r="A407" s="24" t="n">
        <v>402</v>
      </c>
      <c r="B407" s="25"/>
      <c r="C407" s="26"/>
      <c r="D407" s="26"/>
      <c r="E407" s="26"/>
      <c r="F407" s="26"/>
      <c r="G407" s="26"/>
      <c r="H407" s="24" t="str">
        <f aca="false">IFERROR(INDEX('Operator Master'!$B$5:$B$504,MATCH(G407,'Operator Master'!$A$5:$A$504,0)),"")</f>
        <v/>
      </c>
      <c r="I407" s="26"/>
      <c r="J407" s="26"/>
      <c r="K407" s="26"/>
      <c r="L407" s="26"/>
      <c r="M407" s="26"/>
      <c r="N407" s="26"/>
      <c r="O407" s="26"/>
      <c r="P407" s="30" t="n">
        <v>8</v>
      </c>
      <c r="Q407" s="26" t="n">
        <f aca="false">P407*J407</f>
        <v>0</v>
      </c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31"/>
      <c r="AC407" s="31"/>
      <c r="AD407" s="31"/>
      <c r="AE407" s="26"/>
      <c r="AF407" s="26"/>
      <c r="AG407" s="26"/>
    </row>
    <row r="408" customFormat="false" ht="15" hidden="false" customHeight="true" outlineLevel="0" collapsed="false">
      <c r="A408" s="24" t="n">
        <v>403</v>
      </c>
      <c r="B408" s="25"/>
      <c r="C408" s="26"/>
      <c r="D408" s="26"/>
      <c r="E408" s="26"/>
      <c r="F408" s="26"/>
      <c r="G408" s="26"/>
      <c r="H408" s="24" t="str">
        <f aca="false">IFERROR(INDEX('Operator Master'!$B$5:$B$504,MATCH(G408,'Operator Master'!$A$5:$A$504,0)),"")</f>
        <v/>
      </c>
      <c r="I408" s="26"/>
      <c r="J408" s="26"/>
      <c r="K408" s="26"/>
      <c r="L408" s="26"/>
      <c r="M408" s="26"/>
      <c r="N408" s="26"/>
      <c r="O408" s="26"/>
      <c r="P408" s="30" t="n">
        <v>8</v>
      </c>
      <c r="Q408" s="26" t="n">
        <f aca="false">P408*J408</f>
        <v>0</v>
      </c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31"/>
      <c r="AC408" s="31"/>
      <c r="AD408" s="31"/>
      <c r="AE408" s="26"/>
      <c r="AF408" s="26"/>
      <c r="AG408" s="26"/>
    </row>
    <row r="409" customFormat="false" ht="15" hidden="false" customHeight="true" outlineLevel="0" collapsed="false">
      <c r="A409" s="24" t="n">
        <v>404</v>
      </c>
      <c r="B409" s="25"/>
      <c r="C409" s="26"/>
      <c r="D409" s="26"/>
      <c r="E409" s="26"/>
      <c r="F409" s="26"/>
      <c r="G409" s="26"/>
      <c r="H409" s="24" t="str">
        <f aca="false">IFERROR(INDEX('Operator Master'!$B$5:$B$504,MATCH(G409,'Operator Master'!$A$5:$A$504,0)),"")</f>
        <v/>
      </c>
      <c r="I409" s="26"/>
      <c r="J409" s="26"/>
      <c r="K409" s="26"/>
      <c r="L409" s="26"/>
      <c r="M409" s="26"/>
      <c r="N409" s="26"/>
      <c r="O409" s="26"/>
      <c r="P409" s="30" t="n">
        <v>8</v>
      </c>
      <c r="Q409" s="26" t="n">
        <f aca="false">P409*J409</f>
        <v>0</v>
      </c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31"/>
      <c r="AC409" s="31"/>
      <c r="AD409" s="31"/>
      <c r="AE409" s="26"/>
      <c r="AF409" s="26"/>
      <c r="AG409" s="26"/>
    </row>
    <row r="410" customFormat="false" ht="15" hidden="false" customHeight="true" outlineLevel="0" collapsed="false">
      <c r="A410" s="24" t="n">
        <v>405</v>
      </c>
      <c r="B410" s="25"/>
      <c r="C410" s="26"/>
      <c r="D410" s="26"/>
      <c r="E410" s="26"/>
      <c r="F410" s="26"/>
      <c r="G410" s="26"/>
      <c r="H410" s="24" t="str">
        <f aca="false">IFERROR(INDEX('Operator Master'!$B$5:$B$504,MATCH(G410,'Operator Master'!$A$5:$A$504,0)),"")</f>
        <v/>
      </c>
      <c r="I410" s="26"/>
      <c r="J410" s="26"/>
      <c r="K410" s="26"/>
      <c r="L410" s="26"/>
      <c r="M410" s="26"/>
      <c r="N410" s="26"/>
      <c r="O410" s="26"/>
      <c r="P410" s="30" t="n">
        <v>8</v>
      </c>
      <c r="Q410" s="26" t="n">
        <f aca="false">P410*J410</f>
        <v>0</v>
      </c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31"/>
      <c r="AC410" s="31"/>
      <c r="AD410" s="31"/>
      <c r="AE410" s="26"/>
      <c r="AF410" s="26"/>
      <c r="AG410" s="26"/>
    </row>
    <row r="411" customFormat="false" ht="15" hidden="false" customHeight="true" outlineLevel="0" collapsed="false">
      <c r="A411" s="24" t="n">
        <v>406</v>
      </c>
      <c r="B411" s="25"/>
      <c r="C411" s="26"/>
      <c r="D411" s="26"/>
      <c r="E411" s="26"/>
      <c r="F411" s="26"/>
      <c r="G411" s="26"/>
      <c r="H411" s="24" t="str">
        <f aca="false">IFERROR(INDEX('Operator Master'!$B$5:$B$504,MATCH(G411,'Operator Master'!$A$5:$A$504,0)),"")</f>
        <v/>
      </c>
      <c r="I411" s="26"/>
      <c r="J411" s="26"/>
      <c r="K411" s="26"/>
      <c r="L411" s="26"/>
      <c r="M411" s="26"/>
      <c r="N411" s="26"/>
      <c r="O411" s="26"/>
      <c r="P411" s="30" t="n">
        <v>8</v>
      </c>
      <c r="Q411" s="26" t="n">
        <f aca="false">P411*J411</f>
        <v>0</v>
      </c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31"/>
      <c r="AC411" s="31"/>
      <c r="AD411" s="31"/>
      <c r="AE411" s="26"/>
      <c r="AF411" s="26"/>
      <c r="AG411" s="26"/>
    </row>
    <row r="412" customFormat="false" ht="15" hidden="false" customHeight="true" outlineLevel="0" collapsed="false">
      <c r="A412" s="24" t="n">
        <v>407</v>
      </c>
      <c r="B412" s="25"/>
      <c r="C412" s="26"/>
      <c r="D412" s="26"/>
      <c r="E412" s="26"/>
      <c r="F412" s="26"/>
      <c r="G412" s="26"/>
      <c r="H412" s="24" t="str">
        <f aca="false">IFERROR(INDEX('Operator Master'!$B$5:$B$504,MATCH(G412,'Operator Master'!$A$5:$A$504,0)),"")</f>
        <v/>
      </c>
      <c r="I412" s="26"/>
      <c r="J412" s="26"/>
      <c r="K412" s="26"/>
      <c r="L412" s="26"/>
      <c r="M412" s="26"/>
      <c r="N412" s="26"/>
      <c r="O412" s="26"/>
      <c r="P412" s="30" t="n">
        <v>8</v>
      </c>
      <c r="Q412" s="26" t="n">
        <f aca="false">P412*J412</f>
        <v>0</v>
      </c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31"/>
      <c r="AC412" s="31"/>
      <c r="AD412" s="31"/>
      <c r="AE412" s="26"/>
      <c r="AF412" s="26"/>
      <c r="AG412" s="26"/>
    </row>
    <row r="413" customFormat="false" ht="15" hidden="false" customHeight="true" outlineLevel="0" collapsed="false">
      <c r="A413" s="24" t="n">
        <v>408</v>
      </c>
      <c r="B413" s="25"/>
      <c r="C413" s="26"/>
      <c r="D413" s="26"/>
      <c r="E413" s="26"/>
      <c r="F413" s="26"/>
      <c r="G413" s="26"/>
      <c r="H413" s="24" t="str">
        <f aca="false">IFERROR(INDEX('Operator Master'!$B$5:$B$504,MATCH(G413,'Operator Master'!$A$5:$A$504,0)),"")</f>
        <v/>
      </c>
      <c r="I413" s="26"/>
      <c r="J413" s="26"/>
      <c r="K413" s="26"/>
      <c r="L413" s="26"/>
      <c r="M413" s="26"/>
      <c r="N413" s="26"/>
      <c r="O413" s="26"/>
      <c r="P413" s="30" t="n">
        <v>8</v>
      </c>
      <c r="Q413" s="26" t="n">
        <f aca="false">P413*J413</f>
        <v>0</v>
      </c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31"/>
      <c r="AC413" s="31"/>
      <c r="AD413" s="31"/>
      <c r="AE413" s="26"/>
      <c r="AF413" s="26"/>
      <c r="AG413" s="26"/>
    </row>
    <row r="414" customFormat="false" ht="15" hidden="false" customHeight="true" outlineLevel="0" collapsed="false">
      <c r="A414" s="24" t="n">
        <v>409</v>
      </c>
      <c r="B414" s="25"/>
      <c r="C414" s="26"/>
      <c r="D414" s="26"/>
      <c r="E414" s="26"/>
      <c r="F414" s="26"/>
      <c r="G414" s="26"/>
      <c r="H414" s="24" t="str">
        <f aca="false">IFERROR(INDEX('Operator Master'!$B$5:$B$504,MATCH(G414,'Operator Master'!$A$5:$A$504,0)),"")</f>
        <v/>
      </c>
      <c r="I414" s="26"/>
      <c r="J414" s="26"/>
      <c r="K414" s="26"/>
      <c r="L414" s="26"/>
      <c r="M414" s="26"/>
      <c r="N414" s="26"/>
      <c r="O414" s="26"/>
      <c r="P414" s="30" t="n">
        <v>8</v>
      </c>
      <c r="Q414" s="26" t="n">
        <f aca="false">P414*J414</f>
        <v>0</v>
      </c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31"/>
      <c r="AC414" s="31"/>
      <c r="AD414" s="31"/>
      <c r="AE414" s="26"/>
      <c r="AF414" s="26"/>
      <c r="AG414" s="26"/>
    </row>
    <row r="415" customFormat="false" ht="15" hidden="false" customHeight="true" outlineLevel="0" collapsed="false">
      <c r="A415" s="24" t="n">
        <v>410</v>
      </c>
      <c r="B415" s="25"/>
      <c r="C415" s="26"/>
      <c r="D415" s="26"/>
      <c r="E415" s="26"/>
      <c r="F415" s="26"/>
      <c r="G415" s="26"/>
      <c r="H415" s="24" t="str">
        <f aca="false">IFERROR(INDEX('Operator Master'!$B$5:$B$504,MATCH(G415,'Operator Master'!$A$5:$A$504,0)),"")</f>
        <v/>
      </c>
      <c r="I415" s="26"/>
      <c r="J415" s="26"/>
      <c r="K415" s="26"/>
      <c r="L415" s="26"/>
      <c r="M415" s="26"/>
      <c r="N415" s="26"/>
      <c r="O415" s="26"/>
      <c r="P415" s="30" t="n">
        <v>8</v>
      </c>
      <c r="Q415" s="26" t="n">
        <f aca="false">P415*J415</f>
        <v>0</v>
      </c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31"/>
      <c r="AC415" s="31"/>
      <c r="AD415" s="31"/>
      <c r="AE415" s="26"/>
      <c r="AF415" s="26"/>
      <c r="AG415" s="26"/>
    </row>
    <row r="416" customFormat="false" ht="15" hidden="false" customHeight="true" outlineLevel="0" collapsed="false">
      <c r="A416" s="24" t="n">
        <v>411</v>
      </c>
      <c r="B416" s="25"/>
      <c r="C416" s="26"/>
      <c r="D416" s="26"/>
      <c r="E416" s="26"/>
      <c r="F416" s="26"/>
      <c r="G416" s="26"/>
      <c r="H416" s="24" t="str">
        <f aca="false">IFERROR(INDEX('Operator Master'!$B$5:$B$504,MATCH(G416,'Operator Master'!$A$5:$A$504,0)),"")</f>
        <v/>
      </c>
      <c r="I416" s="26"/>
      <c r="J416" s="26"/>
      <c r="K416" s="26"/>
      <c r="L416" s="26"/>
      <c r="M416" s="26"/>
      <c r="N416" s="26"/>
      <c r="O416" s="26"/>
      <c r="P416" s="30" t="n">
        <v>8</v>
      </c>
      <c r="Q416" s="26" t="n">
        <f aca="false">P416*J416</f>
        <v>0</v>
      </c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31"/>
      <c r="AC416" s="31"/>
      <c r="AD416" s="31"/>
      <c r="AE416" s="26"/>
      <c r="AF416" s="26"/>
      <c r="AG416" s="26"/>
    </row>
    <row r="417" customFormat="false" ht="15" hidden="false" customHeight="true" outlineLevel="0" collapsed="false">
      <c r="A417" s="24" t="n">
        <v>412</v>
      </c>
      <c r="B417" s="25"/>
      <c r="C417" s="26"/>
      <c r="D417" s="26"/>
      <c r="E417" s="26"/>
      <c r="F417" s="26"/>
      <c r="G417" s="26"/>
      <c r="H417" s="24" t="str">
        <f aca="false">IFERROR(INDEX('Operator Master'!$B$5:$B$504,MATCH(G417,'Operator Master'!$A$5:$A$504,0)),"")</f>
        <v/>
      </c>
      <c r="I417" s="26"/>
      <c r="J417" s="26"/>
      <c r="K417" s="26"/>
      <c r="L417" s="26"/>
      <c r="M417" s="26"/>
      <c r="N417" s="26"/>
      <c r="O417" s="26"/>
      <c r="P417" s="30" t="n">
        <v>8</v>
      </c>
      <c r="Q417" s="26" t="n">
        <f aca="false">P417*J417</f>
        <v>0</v>
      </c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31"/>
      <c r="AC417" s="31"/>
      <c r="AD417" s="31"/>
      <c r="AE417" s="26"/>
      <c r="AF417" s="26"/>
      <c r="AG417" s="26"/>
    </row>
    <row r="418" customFormat="false" ht="15" hidden="false" customHeight="true" outlineLevel="0" collapsed="false">
      <c r="A418" s="24" t="n">
        <v>413</v>
      </c>
      <c r="B418" s="25"/>
      <c r="C418" s="26"/>
      <c r="D418" s="26"/>
      <c r="E418" s="26"/>
      <c r="F418" s="26"/>
      <c r="G418" s="26"/>
      <c r="H418" s="24" t="str">
        <f aca="false">IFERROR(INDEX('Operator Master'!$B$5:$B$504,MATCH(G418,'Operator Master'!$A$5:$A$504,0)),"")</f>
        <v/>
      </c>
      <c r="I418" s="26"/>
      <c r="J418" s="26"/>
      <c r="K418" s="26"/>
      <c r="L418" s="26"/>
      <c r="M418" s="26"/>
      <c r="N418" s="26"/>
      <c r="O418" s="26"/>
      <c r="P418" s="30" t="n">
        <v>8</v>
      </c>
      <c r="Q418" s="26" t="n">
        <f aca="false">P418*J418</f>
        <v>0</v>
      </c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31"/>
      <c r="AC418" s="31"/>
      <c r="AD418" s="31"/>
      <c r="AE418" s="26"/>
      <c r="AF418" s="26"/>
      <c r="AG418" s="26"/>
    </row>
    <row r="419" customFormat="false" ht="15" hidden="false" customHeight="true" outlineLevel="0" collapsed="false">
      <c r="A419" s="24" t="n">
        <v>414</v>
      </c>
      <c r="B419" s="25"/>
      <c r="C419" s="26"/>
      <c r="D419" s="26"/>
      <c r="E419" s="26"/>
      <c r="F419" s="26"/>
      <c r="G419" s="26"/>
      <c r="H419" s="24" t="str">
        <f aca="false">IFERROR(INDEX('Operator Master'!$B$5:$B$504,MATCH(G419,'Operator Master'!$A$5:$A$504,0)),"")</f>
        <v/>
      </c>
      <c r="I419" s="26"/>
      <c r="J419" s="26"/>
      <c r="K419" s="26"/>
      <c r="L419" s="26"/>
      <c r="M419" s="26"/>
      <c r="N419" s="26"/>
      <c r="O419" s="26"/>
      <c r="P419" s="30" t="n">
        <v>8</v>
      </c>
      <c r="Q419" s="26" t="n">
        <f aca="false">P419*J419</f>
        <v>0</v>
      </c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31"/>
      <c r="AC419" s="31"/>
      <c r="AD419" s="31"/>
      <c r="AE419" s="26"/>
      <c r="AF419" s="26"/>
      <c r="AG419" s="26"/>
    </row>
    <row r="420" customFormat="false" ht="15" hidden="false" customHeight="true" outlineLevel="0" collapsed="false">
      <c r="A420" s="24" t="n">
        <v>415</v>
      </c>
      <c r="B420" s="25"/>
      <c r="C420" s="26"/>
      <c r="D420" s="26"/>
      <c r="E420" s="26"/>
      <c r="F420" s="26"/>
      <c r="G420" s="26"/>
      <c r="H420" s="24" t="str">
        <f aca="false">IFERROR(INDEX('Operator Master'!$B$5:$B$504,MATCH(G420,'Operator Master'!$A$5:$A$504,0)),"")</f>
        <v/>
      </c>
      <c r="I420" s="26"/>
      <c r="J420" s="26"/>
      <c r="K420" s="26"/>
      <c r="L420" s="26"/>
      <c r="M420" s="26"/>
      <c r="N420" s="26"/>
      <c r="O420" s="26"/>
      <c r="P420" s="30" t="n">
        <v>8</v>
      </c>
      <c r="Q420" s="26" t="n">
        <f aca="false">P420*J420</f>
        <v>0</v>
      </c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31"/>
      <c r="AC420" s="31"/>
      <c r="AD420" s="31"/>
      <c r="AE420" s="26"/>
      <c r="AF420" s="26"/>
      <c r="AG420" s="26"/>
    </row>
    <row r="421" customFormat="false" ht="15" hidden="false" customHeight="true" outlineLevel="0" collapsed="false">
      <c r="A421" s="24" t="n">
        <v>416</v>
      </c>
      <c r="B421" s="25"/>
      <c r="C421" s="26"/>
      <c r="D421" s="26"/>
      <c r="E421" s="26"/>
      <c r="F421" s="26"/>
      <c r="G421" s="26"/>
      <c r="H421" s="24" t="str">
        <f aca="false">IFERROR(INDEX('Operator Master'!$B$5:$B$504,MATCH(G421,'Operator Master'!$A$5:$A$504,0)),"")</f>
        <v/>
      </c>
      <c r="I421" s="26"/>
      <c r="J421" s="26"/>
      <c r="K421" s="26"/>
      <c r="L421" s="26"/>
      <c r="M421" s="26"/>
      <c r="N421" s="26"/>
      <c r="O421" s="26"/>
      <c r="P421" s="30" t="n">
        <v>8</v>
      </c>
      <c r="Q421" s="26" t="n">
        <f aca="false">P421*J421</f>
        <v>0</v>
      </c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31"/>
      <c r="AC421" s="31"/>
      <c r="AD421" s="31"/>
      <c r="AE421" s="26"/>
      <c r="AF421" s="26"/>
      <c r="AG421" s="26"/>
    </row>
    <row r="422" customFormat="false" ht="15" hidden="false" customHeight="true" outlineLevel="0" collapsed="false">
      <c r="A422" s="24" t="n">
        <v>417</v>
      </c>
      <c r="B422" s="25"/>
      <c r="C422" s="26"/>
      <c r="D422" s="26"/>
      <c r="E422" s="26"/>
      <c r="F422" s="26"/>
      <c r="G422" s="26"/>
      <c r="H422" s="24" t="str">
        <f aca="false">IFERROR(INDEX('Operator Master'!$B$5:$B$504,MATCH(G422,'Operator Master'!$A$5:$A$504,0)),"")</f>
        <v/>
      </c>
      <c r="I422" s="26"/>
      <c r="J422" s="26"/>
      <c r="K422" s="26"/>
      <c r="L422" s="26"/>
      <c r="M422" s="26"/>
      <c r="N422" s="26"/>
      <c r="O422" s="26"/>
      <c r="P422" s="30" t="n">
        <v>8</v>
      </c>
      <c r="Q422" s="26" t="n">
        <f aca="false">P422*J422</f>
        <v>0</v>
      </c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31"/>
      <c r="AC422" s="31"/>
      <c r="AD422" s="31"/>
      <c r="AE422" s="26"/>
      <c r="AF422" s="26"/>
      <c r="AG422" s="26"/>
    </row>
    <row r="423" customFormat="false" ht="15" hidden="false" customHeight="true" outlineLevel="0" collapsed="false">
      <c r="A423" s="24" t="n">
        <v>418</v>
      </c>
      <c r="B423" s="25"/>
      <c r="C423" s="26"/>
      <c r="D423" s="26"/>
      <c r="E423" s="26"/>
      <c r="F423" s="26"/>
      <c r="G423" s="26"/>
      <c r="H423" s="24" t="str">
        <f aca="false">IFERROR(INDEX('Operator Master'!$B$5:$B$504,MATCH(G423,'Operator Master'!$A$5:$A$504,0)),"")</f>
        <v/>
      </c>
      <c r="I423" s="26"/>
      <c r="J423" s="26"/>
      <c r="K423" s="26"/>
      <c r="L423" s="26"/>
      <c r="M423" s="26"/>
      <c r="N423" s="26"/>
      <c r="O423" s="26"/>
      <c r="P423" s="30" t="n">
        <v>8</v>
      </c>
      <c r="Q423" s="26" t="n">
        <f aca="false">P423*J423</f>
        <v>0</v>
      </c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31"/>
      <c r="AC423" s="31"/>
      <c r="AD423" s="31"/>
      <c r="AE423" s="26"/>
      <c r="AF423" s="26"/>
      <c r="AG423" s="26"/>
    </row>
    <row r="424" customFormat="false" ht="15" hidden="false" customHeight="true" outlineLevel="0" collapsed="false">
      <c r="A424" s="24" t="n">
        <v>419</v>
      </c>
      <c r="B424" s="25"/>
      <c r="C424" s="26"/>
      <c r="D424" s="26"/>
      <c r="E424" s="26"/>
      <c r="F424" s="26"/>
      <c r="G424" s="26"/>
      <c r="H424" s="24" t="str">
        <f aca="false">IFERROR(INDEX('Operator Master'!$B$5:$B$504,MATCH(G424,'Operator Master'!$A$5:$A$504,0)),"")</f>
        <v/>
      </c>
      <c r="I424" s="26"/>
      <c r="J424" s="26"/>
      <c r="K424" s="26"/>
      <c r="L424" s="26"/>
      <c r="M424" s="26"/>
      <c r="N424" s="26"/>
      <c r="O424" s="26"/>
      <c r="P424" s="30" t="n">
        <v>8</v>
      </c>
      <c r="Q424" s="26" t="n">
        <f aca="false">P424*J424</f>
        <v>0</v>
      </c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31"/>
      <c r="AC424" s="31"/>
      <c r="AD424" s="31"/>
      <c r="AE424" s="26"/>
      <c r="AF424" s="26"/>
      <c r="AG424" s="26"/>
    </row>
    <row r="425" customFormat="false" ht="15" hidden="false" customHeight="true" outlineLevel="0" collapsed="false">
      <c r="A425" s="24" t="n">
        <v>420</v>
      </c>
      <c r="B425" s="25"/>
      <c r="C425" s="26"/>
      <c r="D425" s="26"/>
      <c r="E425" s="26"/>
      <c r="F425" s="26"/>
      <c r="G425" s="26"/>
      <c r="H425" s="24" t="str">
        <f aca="false">IFERROR(INDEX('Operator Master'!$B$5:$B$504,MATCH(G425,'Operator Master'!$A$5:$A$504,0)),"")</f>
        <v/>
      </c>
      <c r="I425" s="26"/>
      <c r="J425" s="26"/>
      <c r="K425" s="26"/>
      <c r="L425" s="26"/>
      <c r="M425" s="26"/>
      <c r="N425" s="26"/>
      <c r="O425" s="26"/>
      <c r="P425" s="30" t="n">
        <v>8</v>
      </c>
      <c r="Q425" s="26" t="n">
        <f aca="false">P425*J425</f>
        <v>0</v>
      </c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31"/>
      <c r="AC425" s="31"/>
      <c r="AD425" s="31"/>
      <c r="AE425" s="26"/>
      <c r="AF425" s="26"/>
      <c r="AG425" s="26"/>
    </row>
    <row r="426" customFormat="false" ht="15" hidden="false" customHeight="true" outlineLevel="0" collapsed="false">
      <c r="A426" s="24" t="n">
        <v>421</v>
      </c>
      <c r="B426" s="25"/>
      <c r="C426" s="26"/>
      <c r="D426" s="26"/>
      <c r="E426" s="26"/>
      <c r="F426" s="26"/>
      <c r="G426" s="26"/>
      <c r="H426" s="24" t="str">
        <f aca="false">IFERROR(INDEX('Operator Master'!$B$5:$B$504,MATCH(G426,'Operator Master'!$A$5:$A$504,0)),"")</f>
        <v/>
      </c>
      <c r="I426" s="26"/>
      <c r="J426" s="26"/>
      <c r="K426" s="26"/>
      <c r="L426" s="26"/>
      <c r="M426" s="26"/>
      <c r="N426" s="26"/>
      <c r="O426" s="26"/>
      <c r="P426" s="30" t="n">
        <v>8</v>
      </c>
      <c r="Q426" s="26" t="n">
        <f aca="false">P426*J426</f>
        <v>0</v>
      </c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31"/>
      <c r="AC426" s="31"/>
      <c r="AD426" s="31"/>
      <c r="AE426" s="26"/>
      <c r="AF426" s="26"/>
      <c r="AG426" s="26"/>
    </row>
    <row r="427" customFormat="false" ht="15" hidden="false" customHeight="true" outlineLevel="0" collapsed="false">
      <c r="A427" s="24" t="n">
        <v>422</v>
      </c>
      <c r="B427" s="25"/>
      <c r="C427" s="26"/>
      <c r="D427" s="26"/>
      <c r="E427" s="26"/>
      <c r="F427" s="26"/>
      <c r="G427" s="26"/>
      <c r="H427" s="24" t="str">
        <f aca="false">IFERROR(INDEX('Operator Master'!$B$5:$B$504,MATCH(G427,'Operator Master'!$A$5:$A$504,0)),"")</f>
        <v/>
      </c>
      <c r="I427" s="26"/>
      <c r="J427" s="26"/>
      <c r="K427" s="26"/>
      <c r="L427" s="26"/>
      <c r="M427" s="26"/>
      <c r="N427" s="26"/>
      <c r="O427" s="26"/>
      <c r="P427" s="30" t="n">
        <v>8</v>
      </c>
      <c r="Q427" s="26" t="n">
        <f aca="false">P427*J427</f>
        <v>0</v>
      </c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31"/>
      <c r="AC427" s="31"/>
      <c r="AD427" s="31"/>
      <c r="AE427" s="26"/>
      <c r="AF427" s="26"/>
      <c r="AG427" s="26"/>
    </row>
    <row r="428" customFormat="false" ht="15" hidden="false" customHeight="true" outlineLevel="0" collapsed="false">
      <c r="A428" s="24" t="n">
        <v>423</v>
      </c>
      <c r="B428" s="25"/>
      <c r="C428" s="26"/>
      <c r="D428" s="26"/>
      <c r="E428" s="26"/>
      <c r="F428" s="26"/>
      <c r="G428" s="26"/>
      <c r="H428" s="24" t="str">
        <f aca="false">IFERROR(INDEX('Operator Master'!$B$5:$B$504,MATCH(G428,'Operator Master'!$A$5:$A$504,0)),"")</f>
        <v/>
      </c>
      <c r="I428" s="26"/>
      <c r="J428" s="26"/>
      <c r="K428" s="26"/>
      <c r="L428" s="26"/>
      <c r="M428" s="26"/>
      <c r="N428" s="26"/>
      <c r="O428" s="26"/>
      <c r="P428" s="30" t="n">
        <v>8</v>
      </c>
      <c r="Q428" s="26" t="n">
        <f aca="false">P428*J428</f>
        <v>0</v>
      </c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31"/>
      <c r="AC428" s="31"/>
      <c r="AD428" s="31"/>
      <c r="AE428" s="26"/>
      <c r="AF428" s="26"/>
      <c r="AG428" s="26"/>
    </row>
    <row r="429" customFormat="false" ht="15" hidden="false" customHeight="true" outlineLevel="0" collapsed="false">
      <c r="A429" s="24" t="n">
        <v>424</v>
      </c>
      <c r="B429" s="25"/>
      <c r="C429" s="26"/>
      <c r="D429" s="26"/>
      <c r="E429" s="26"/>
      <c r="F429" s="26"/>
      <c r="G429" s="26"/>
      <c r="H429" s="24" t="str">
        <f aca="false">IFERROR(INDEX('Operator Master'!$B$5:$B$504,MATCH(G429,'Operator Master'!$A$5:$A$504,0)),"")</f>
        <v/>
      </c>
      <c r="I429" s="26"/>
      <c r="J429" s="26"/>
      <c r="K429" s="26"/>
      <c r="L429" s="26"/>
      <c r="M429" s="26"/>
      <c r="N429" s="26"/>
      <c r="O429" s="26"/>
      <c r="P429" s="30" t="n">
        <v>8</v>
      </c>
      <c r="Q429" s="26" t="n">
        <f aca="false">P429*J429</f>
        <v>0</v>
      </c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31"/>
      <c r="AC429" s="31"/>
      <c r="AD429" s="31"/>
      <c r="AE429" s="26"/>
      <c r="AF429" s="26"/>
      <c r="AG429" s="26"/>
    </row>
    <row r="430" customFormat="false" ht="15" hidden="false" customHeight="true" outlineLevel="0" collapsed="false">
      <c r="A430" s="24" t="n">
        <v>425</v>
      </c>
      <c r="B430" s="25"/>
      <c r="C430" s="26"/>
      <c r="D430" s="26"/>
      <c r="E430" s="26"/>
      <c r="F430" s="26"/>
      <c r="G430" s="26"/>
      <c r="H430" s="24" t="str">
        <f aca="false">IFERROR(INDEX('Operator Master'!$B$5:$B$504,MATCH(G430,'Operator Master'!$A$5:$A$504,0)),"")</f>
        <v/>
      </c>
      <c r="I430" s="26"/>
      <c r="J430" s="26"/>
      <c r="K430" s="26"/>
      <c r="L430" s="26"/>
      <c r="M430" s="26"/>
      <c r="N430" s="26"/>
      <c r="O430" s="26"/>
      <c r="P430" s="30" t="n">
        <v>8</v>
      </c>
      <c r="Q430" s="26" t="n">
        <f aca="false">P430*J430</f>
        <v>0</v>
      </c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31"/>
      <c r="AC430" s="31"/>
      <c r="AD430" s="31"/>
      <c r="AE430" s="26"/>
      <c r="AF430" s="26"/>
      <c r="AG430" s="26"/>
    </row>
    <row r="431" customFormat="false" ht="15" hidden="false" customHeight="true" outlineLevel="0" collapsed="false">
      <c r="A431" s="24" t="n">
        <v>426</v>
      </c>
      <c r="B431" s="25"/>
      <c r="C431" s="26"/>
      <c r="D431" s="26"/>
      <c r="E431" s="26"/>
      <c r="F431" s="26"/>
      <c r="G431" s="26"/>
      <c r="H431" s="24" t="str">
        <f aca="false">IFERROR(INDEX('Operator Master'!$B$5:$B$504,MATCH(G431,'Operator Master'!$A$5:$A$504,0)),"")</f>
        <v/>
      </c>
      <c r="I431" s="26"/>
      <c r="J431" s="26"/>
      <c r="K431" s="26"/>
      <c r="L431" s="26"/>
      <c r="M431" s="26"/>
      <c r="N431" s="26"/>
      <c r="O431" s="26"/>
      <c r="P431" s="30" t="n">
        <v>8</v>
      </c>
      <c r="Q431" s="26" t="n">
        <f aca="false">P431*J431</f>
        <v>0</v>
      </c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31"/>
      <c r="AC431" s="31"/>
      <c r="AD431" s="31"/>
      <c r="AE431" s="26"/>
      <c r="AF431" s="26"/>
      <c r="AG431" s="26"/>
    </row>
    <row r="432" customFormat="false" ht="15" hidden="false" customHeight="true" outlineLevel="0" collapsed="false">
      <c r="A432" s="24" t="n">
        <v>427</v>
      </c>
      <c r="B432" s="25"/>
      <c r="C432" s="26"/>
      <c r="D432" s="26"/>
      <c r="E432" s="26"/>
      <c r="F432" s="26"/>
      <c r="G432" s="26"/>
      <c r="H432" s="24" t="str">
        <f aca="false">IFERROR(INDEX('Operator Master'!$B$5:$B$504,MATCH(G432,'Operator Master'!$A$5:$A$504,0)),"")</f>
        <v/>
      </c>
      <c r="I432" s="26"/>
      <c r="J432" s="26"/>
      <c r="K432" s="26"/>
      <c r="L432" s="26"/>
      <c r="M432" s="26"/>
      <c r="N432" s="26"/>
      <c r="O432" s="26"/>
      <c r="P432" s="30" t="n">
        <v>8</v>
      </c>
      <c r="Q432" s="26" t="n">
        <f aca="false">P432*J432</f>
        <v>0</v>
      </c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31"/>
      <c r="AC432" s="31"/>
      <c r="AD432" s="31"/>
      <c r="AE432" s="26"/>
      <c r="AF432" s="26"/>
      <c r="AG432" s="26"/>
    </row>
    <row r="433" customFormat="false" ht="15" hidden="false" customHeight="true" outlineLevel="0" collapsed="false">
      <c r="A433" s="24" t="n">
        <v>428</v>
      </c>
      <c r="B433" s="25"/>
      <c r="C433" s="26"/>
      <c r="D433" s="26"/>
      <c r="E433" s="26"/>
      <c r="F433" s="26"/>
      <c r="G433" s="26"/>
      <c r="H433" s="24" t="str">
        <f aca="false">IFERROR(INDEX('Operator Master'!$B$5:$B$504,MATCH(G433,'Operator Master'!$A$5:$A$504,0)),"")</f>
        <v/>
      </c>
      <c r="I433" s="26"/>
      <c r="J433" s="26"/>
      <c r="K433" s="26"/>
      <c r="L433" s="26"/>
      <c r="M433" s="26"/>
      <c r="N433" s="26"/>
      <c r="O433" s="26"/>
      <c r="P433" s="30" t="n">
        <v>8</v>
      </c>
      <c r="Q433" s="26" t="n">
        <f aca="false">P433*J433</f>
        <v>0</v>
      </c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31"/>
      <c r="AC433" s="31"/>
      <c r="AD433" s="31"/>
      <c r="AE433" s="26"/>
      <c r="AF433" s="26"/>
      <c r="AG433" s="26"/>
    </row>
    <row r="434" customFormat="false" ht="15" hidden="false" customHeight="true" outlineLevel="0" collapsed="false">
      <c r="A434" s="24" t="n">
        <v>429</v>
      </c>
      <c r="B434" s="25"/>
      <c r="C434" s="26"/>
      <c r="D434" s="26"/>
      <c r="E434" s="26"/>
      <c r="F434" s="26"/>
      <c r="G434" s="26"/>
      <c r="H434" s="24" t="str">
        <f aca="false">IFERROR(INDEX('Operator Master'!$B$5:$B$504,MATCH(G434,'Operator Master'!$A$5:$A$504,0)),"")</f>
        <v/>
      </c>
      <c r="I434" s="26"/>
      <c r="J434" s="26"/>
      <c r="K434" s="26"/>
      <c r="L434" s="26"/>
      <c r="M434" s="26"/>
      <c r="N434" s="26"/>
      <c r="O434" s="26"/>
      <c r="P434" s="30" t="n">
        <v>8</v>
      </c>
      <c r="Q434" s="26" t="n">
        <f aca="false">P434*J434</f>
        <v>0</v>
      </c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31"/>
      <c r="AC434" s="31"/>
      <c r="AD434" s="31"/>
      <c r="AE434" s="26"/>
      <c r="AF434" s="26"/>
      <c r="AG434" s="26"/>
    </row>
    <row r="435" customFormat="false" ht="15" hidden="false" customHeight="true" outlineLevel="0" collapsed="false">
      <c r="A435" s="24" t="n">
        <v>430</v>
      </c>
      <c r="B435" s="25"/>
      <c r="C435" s="26"/>
      <c r="D435" s="26"/>
      <c r="E435" s="26"/>
      <c r="F435" s="26"/>
      <c r="G435" s="26"/>
      <c r="H435" s="24" t="str">
        <f aca="false">IFERROR(INDEX('Operator Master'!$B$5:$B$504,MATCH(G435,'Operator Master'!$A$5:$A$504,0)),"")</f>
        <v/>
      </c>
      <c r="I435" s="26"/>
      <c r="J435" s="26"/>
      <c r="K435" s="26"/>
      <c r="L435" s="26"/>
      <c r="M435" s="26"/>
      <c r="N435" s="26"/>
      <c r="O435" s="26"/>
      <c r="P435" s="30" t="n">
        <v>8</v>
      </c>
      <c r="Q435" s="26" t="n">
        <f aca="false">P435*J435</f>
        <v>0</v>
      </c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31"/>
      <c r="AC435" s="31"/>
      <c r="AD435" s="31"/>
      <c r="AE435" s="26"/>
      <c r="AF435" s="26"/>
      <c r="AG435" s="26"/>
    </row>
    <row r="436" customFormat="false" ht="15" hidden="false" customHeight="true" outlineLevel="0" collapsed="false">
      <c r="A436" s="24" t="n">
        <v>431</v>
      </c>
      <c r="B436" s="25"/>
      <c r="C436" s="26"/>
      <c r="D436" s="26"/>
      <c r="E436" s="26"/>
      <c r="F436" s="26"/>
      <c r="G436" s="26"/>
      <c r="H436" s="24" t="str">
        <f aca="false">IFERROR(INDEX('Operator Master'!$B$5:$B$504,MATCH(G436,'Operator Master'!$A$5:$A$504,0)),"")</f>
        <v/>
      </c>
      <c r="I436" s="26"/>
      <c r="J436" s="26"/>
      <c r="K436" s="26"/>
      <c r="L436" s="26"/>
      <c r="M436" s="26"/>
      <c r="N436" s="26"/>
      <c r="O436" s="26"/>
      <c r="P436" s="30" t="n">
        <v>8</v>
      </c>
      <c r="Q436" s="26" t="n">
        <f aca="false">P436*J436</f>
        <v>0</v>
      </c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31"/>
      <c r="AC436" s="31"/>
      <c r="AD436" s="31"/>
      <c r="AE436" s="26"/>
      <c r="AF436" s="26"/>
      <c r="AG436" s="26"/>
    </row>
    <row r="437" customFormat="false" ht="15" hidden="false" customHeight="true" outlineLevel="0" collapsed="false">
      <c r="A437" s="24" t="n">
        <v>432</v>
      </c>
      <c r="B437" s="25"/>
      <c r="C437" s="26"/>
      <c r="D437" s="26"/>
      <c r="E437" s="26"/>
      <c r="F437" s="26"/>
      <c r="G437" s="26"/>
      <c r="H437" s="24" t="str">
        <f aca="false">IFERROR(INDEX('Operator Master'!$B$5:$B$504,MATCH(G437,'Operator Master'!$A$5:$A$504,0)),"")</f>
        <v/>
      </c>
      <c r="I437" s="26"/>
      <c r="J437" s="26"/>
      <c r="K437" s="26"/>
      <c r="L437" s="26"/>
      <c r="M437" s="26"/>
      <c r="N437" s="26"/>
      <c r="O437" s="26"/>
      <c r="P437" s="30" t="n">
        <v>8</v>
      </c>
      <c r="Q437" s="26" t="n">
        <f aca="false">P437*J437</f>
        <v>0</v>
      </c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31"/>
      <c r="AC437" s="31"/>
      <c r="AD437" s="31"/>
      <c r="AE437" s="26"/>
      <c r="AF437" s="26"/>
      <c r="AG437" s="26"/>
    </row>
    <row r="438" customFormat="false" ht="15" hidden="false" customHeight="true" outlineLevel="0" collapsed="false">
      <c r="A438" s="24" t="n">
        <v>433</v>
      </c>
      <c r="B438" s="25"/>
      <c r="C438" s="26"/>
      <c r="D438" s="26"/>
      <c r="E438" s="26"/>
      <c r="F438" s="26"/>
      <c r="G438" s="26"/>
      <c r="H438" s="24" t="str">
        <f aca="false">IFERROR(INDEX('Operator Master'!$B$5:$B$504,MATCH(G438,'Operator Master'!$A$5:$A$504,0)),"")</f>
        <v/>
      </c>
      <c r="I438" s="26"/>
      <c r="J438" s="26"/>
      <c r="K438" s="26"/>
      <c r="L438" s="26"/>
      <c r="M438" s="26"/>
      <c r="N438" s="26"/>
      <c r="O438" s="26"/>
      <c r="P438" s="30" t="n">
        <v>8</v>
      </c>
      <c r="Q438" s="26" t="n">
        <f aca="false">P438*J438</f>
        <v>0</v>
      </c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31"/>
      <c r="AC438" s="31"/>
      <c r="AD438" s="31"/>
      <c r="AE438" s="26"/>
      <c r="AF438" s="26"/>
      <c r="AG438" s="26"/>
    </row>
    <row r="439" customFormat="false" ht="15" hidden="false" customHeight="true" outlineLevel="0" collapsed="false">
      <c r="A439" s="24" t="n">
        <v>434</v>
      </c>
      <c r="B439" s="25"/>
      <c r="C439" s="26"/>
      <c r="D439" s="26"/>
      <c r="E439" s="26"/>
      <c r="F439" s="26"/>
      <c r="G439" s="26"/>
      <c r="H439" s="24" t="str">
        <f aca="false">IFERROR(INDEX('Operator Master'!$B$5:$B$504,MATCH(G439,'Operator Master'!$A$5:$A$504,0)),"")</f>
        <v/>
      </c>
      <c r="I439" s="26"/>
      <c r="J439" s="26"/>
      <c r="K439" s="26"/>
      <c r="L439" s="26"/>
      <c r="M439" s="26"/>
      <c r="N439" s="26"/>
      <c r="O439" s="26"/>
      <c r="P439" s="30" t="n">
        <v>8</v>
      </c>
      <c r="Q439" s="26" t="n">
        <f aca="false">P439*J439</f>
        <v>0</v>
      </c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31"/>
      <c r="AC439" s="31"/>
      <c r="AD439" s="31"/>
      <c r="AE439" s="26"/>
      <c r="AF439" s="26"/>
      <c r="AG439" s="26"/>
    </row>
    <row r="440" customFormat="false" ht="15" hidden="false" customHeight="true" outlineLevel="0" collapsed="false">
      <c r="A440" s="24" t="n">
        <v>435</v>
      </c>
      <c r="B440" s="25"/>
      <c r="C440" s="26"/>
      <c r="D440" s="26"/>
      <c r="E440" s="26"/>
      <c r="F440" s="26"/>
      <c r="G440" s="26"/>
      <c r="H440" s="24" t="str">
        <f aca="false">IFERROR(INDEX('Operator Master'!$B$5:$B$504,MATCH(G440,'Operator Master'!$A$5:$A$504,0)),"")</f>
        <v/>
      </c>
      <c r="I440" s="26"/>
      <c r="J440" s="26"/>
      <c r="K440" s="26"/>
      <c r="L440" s="26"/>
      <c r="M440" s="26"/>
      <c r="N440" s="26"/>
      <c r="O440" s="26"/>
      <c r="P440" s="30" t="n">
        <v>8</v>
      </c>
      <c r="Q440" s="26" t="n">
        <f aca="false">P440*J440</f>
        <v>0</v>
      </c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31"/>
      <c r="AC440" s="31"/>
      <c r="AD440" s="31"/>
      <c r="AE440" s="26"/>
      <c r="AF440" s="26"/>
      <c r="AG440" s="26"/>
    </row>
    <row r="441" customFormat="false" ht="15" hidden="false" customHeight="true" outlineLevel="0" collapsed="false">
      <c r="A441" s="24" t="n">
        <v>436</v>
      </c>
      <c r="B441" s="25"/>
      <c r="C441" s="26"/>
      <c r="D441" s="26"/>
      <c r="E441" s="26"/>
      <c r="F441" s="26"/>
      <c r="G441" s="26"/>
      <c r="H441" s="24" t="str">
        <f aca="false">IFERROR(INDEX('Operator Master'!$B$5:$B$504,MATCH(G441,'Operator Master'!$A$5:$A$504,0)),"")</f>
        <v/>
      </c>
      <c r="I441" s="26"/>
      <c r="J441" s="26"/>
      <c r="K441" s="26"/>
      <c r="L441" s="26"/>
      <c r="M441" s="26"/>
      <c r="N441" s="26"/>
      <c r="O441" s="26"/>
      <c r="P441" s="30" t="n">
        <v>8</v>
      </c>
      <c r="Q441" s="26" t="n">
        <f aca="false">P441*J441</f>
        <v>0</v>
      </c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31"/>
      <c r="AC441" s="31"/>
      <c r="AD441" s="31"/>
      <c r="AE441" s="26"/>
      <c r="AF441" s="26"/>
      <c r="AG441" s="26"/>
    </row>
    <row r="442" customFormat="false" ht="15" hidden="false" customHeight="true" outlineLevel="0" collapsed="false">
      <c r="A442" s="24" t="n">
        <v>437</v>
      </c>
      <c r="B442" s="25"/>
      <c r="C442" s="26"/>
      <c r="D442" s="26"/>
      <c r="E442" s="26"/>
      <c r="F442" s="26"/>
      <c r="G442" s="26"/>
      <c r="H442" s="24" t="str">
        <f aca="false">IFERROR(INDEX('Operator Master'!$B$5:$B$504,MATCH(G442,'Operator Master'!$A$5:$A$504,0)),"")</f>
        <v/>
      </c>
      <c r="I442" s="26"/>
      <c r="J442" s="26"/>
      <c r="K442" s="26"/>
      <c r="L442" s="26"/>
      <c r="M442" s="26"/>
      <c r="N442" s="26"/>
      <c r="O442" s="26"/>
      <c r="P442" s="30" t="n">
        <v>8</v>
      </c>
      <c r="Q442" s="26" t="n">
        <f aca="false">P442*J442</f>
        <v>0</v>
      </c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31"/>
      <c r="AC442" s="31"/>
      <c r="AD442" s="31"/>
      <c r="AE442" s="26"/>
      <c r="AF442" s="26"/>
      <c r="AG442" s="26"/>
    </row>
    <row r="443" customFormat="false" ht="15" hidden="false" customHeight="true" outlineLevel="0" collapsed="false">
      <c r="A443" s="24" t="n">
        <v>438</v>
      </c>
      <c r="B443" s="25"/>
      <c r="C443" s="26"/>
      <c r="D443" s="26"/>
      <c r="E443" s="26"/>
      <c r="F443" s="26"/>
      <c r="G443" s="26"/>
      <c r="H443" s="24" t="str">
        <f aca="false">IFERROR(INDEX('Operator Master'!$B$5:$B$504,MATCH(G443,'Operator Master'!$A$5:$A$504,0)),"")</f>
        <v/>
      </c>
      <c r="I443" s="26"/>
      <c r="J443" s="26"/>
      <c r="K443" s="26"/>
      <c r="L443" s="26"/>
      <c r="M443" s="26"/>
      <c r="N443" s="26"/>
      <c r="O443" s="26"/>
      <c r="P443" s="30" t="n">
        <v>8</v>
      </c>
      <c r="Q443" s="26" t="n">
        <f aca="false">P443*J443</f>
        <v>0</v>
      </c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31"/>
      <c r="AC443" s="31"/>
      <c r="AD443" s="31"/>
      <c r="AE443" s="26"/>
      <c r="AF443" s="26"/>
      <c r="AG443" s="26"/>
    </row>
    <row r="444" customFormat="false" ht="15" hidden="false" customHeight="true" outlineLevel="0" collapsed="false">
      <c r="A444" s="24" t="n">
        <v>439</v>
      </c>
      <c r="B444" s="25"/>
      <c r="C444" s="26"/>
      <c r="D444" s="26"/>
      <c r="E444" s="26"/>
      <c r="F444" s="26"/>
      <c r="G444" s="26"/>
      <c r="H444" s="24" t="str">
        <f aca="false">IFERROR(INDEX('Operator Master'!$B$5:$B$504,MATCH(G444,'Operator Master'!$A$5:$A$504,0)),"")</f>
        <v/>
      </c>
      <c r="I444" s="26"/>
      <c r="J444" s="26"/>
      <c r="K444" s="26"/>
      <c r="L444" s="26"/>
      <c r="M444" s="26"/>
      <c r="N444" s="26"/>
      <c r="O444" s="26"/>
      <c r="P444" s="30" t="n">
        <v>8</v>
      </c>
      <c r="Q444" s="26" t="n">
        <f aca="false">P444*J444</f>
        <v>0</v>
      </c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31"/>
      <c r="AC444" s="31"/>
      <c r="AD444" s="31"/>
      <c r="AE444" s="26"/>
      <c r="AF444" s="26"/>
      <c r="AG444" s="26"/>
    </row>
    <row r="445" customFormat="false" ht="15" hidden="false" customHeight="true" outlineLevel="0" collapsed="false">
      <c r="A445" s="24" t="n">
        <v>440</v>
      </c>
      <c r="B445" s="25"/>
      <c r="C445" s="26"/>
      <c r="D445" s="26"/>
      <c r="E445" s="26"/>
      <c r="F445" s="26"/>
      <c r="G445" s="26"/>
      <c r="H445" s="24" t="str">
        <f aca="false">IFERROR(INDEX('Operator Master'!$B$5:$B$504,MATCH(G445,'Operator Master'!$A$5:$A$504,0)),"")</f>
        <v/>
      </c>
      <c r="I445" s="26"/>
      <c r="J445" s="26"/>
      <c r="K445" s="26"/>
      <c r="L445" s="26"/>
      <c r="M445" s="26"/>
      <c r="N445" s="26"/>
      <c r="O445" s="26"/>
      <c r="P445" s="30" t="n">
        <v>8</v>
      </c>
      <c r="Q445" s="26" t="n">
        <f aca="false">P445*J445</f>
        <v>0</v>
      </c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31"/>
      <c r="AC445" s="31"/>
      <c r="AD445" s="31"/>
      <c r="AE445" s="26"/>
      <c r="AF445" s="26"/>
      <c r="AG445" s="26"/>
    </row>
    <row r="446" customFormat="false" ht="15" hidden="false" customHeight="true" outlineLevel="0" collapsed="false">
      <c r="A446" s="24" t="n">
        <v>441</v>
      </c>
      <c r="B446" s="25"/>
      <c r="C446" s="26"/>
      <c r="D446" s="26"/>
      <c r="E446" s="26"/>
      <c r="F446" s="26"/>
      <c r="G446" s="26"/>
      <c r="H446" s="24" t="str">
        <f aca="false">IFERROR(INDEX('Operator Master'!$B$5:$B$504,MATCH(G446,'Operator Master'!$A$5:$A$504,0)),"")</f>
        <v/>
      </c>
      <c r="I446" s="26"/>
      <c r="J446" s="26"/>
      <c r="K446" s="26"/>
      <c r="L446" s="26"/>
      <c r="M446" s="26"/>
      <c r="N446" s="26"/>
      <c r="O446" s="26"/>
      <c r="P446" s="30" t="n">
        <v>8</v>
      </c>
      <c r="Q446" s="26" t="n">
        <f aca="false">P446*J446</f>
        <v>0</v>
      </c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31"/>
      <c r="AC446" s="31"/>
      <c r="AD446" s="31"/>
      <c r="AE446" s="26"/>
      <c r="AF446" s="26"/>
      <c r="AG446" s="26"/>
    </row>
    <row r="447" customFormat="false" ht="15" hidden="false" customHeight="true" outlineLevel="0" collapsed="false">
      <c r="A447" s="24" t="n">
        <v>442</v>
      </c>
      <c r="B447" s="25"/>
      <c r="C447" s="26"/>
      <c r="D447" s="26"/>
      <c r="E447" s="26"/>
      <c r="F447" s="26"/>
      <c r="G447" s="26"/>
      <c r="H447" s="24" t="str">
        <f aca="false">IFERROR(INDEX('Operator Master'!$B$5:$B$504,MATCH(G447,'Operator Master'!$A$5:$A$504,0)),"")</f>
        <v/>
      </c>
      <c r="I447" s="26"/>
      <c r="J447" s="26"/>
      <c r="K447" s="26"/>
      <c r="L447" s="26"/>
      <c r="M447" s="26"/>
      <c r="N447" s="26"/>
      <c r="O447" s="26"/>
      <c r="P447" s="30" t="n">
        <v>8</v>
      </c>
      <c r="Q447" s="26" t="n">
        <f aca="false">P447*J447</f>
        <v>0</v>
      </c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31"/>
      <c r="AC447" s="31"/>
      <c r="AD447" s="31"/>
      <c r="AE447" s="26"/>
      <c r="AF447" s="26"/>
      <c r="AG447" s="26"/>
    </row>
    <row r="448" customFormat="false" ht="15" hidden="false" customHeight="true" outlineLevel="0" collapsed="false">
      <c r="A448" s="24" t="n">
        <v>443</v>
      </c>
      <c r="B448" s="25"/>
      <c r="C448" s="26"/>
      <c r="D448" s="26"/>
      <c r="E448" s="26"/>
      <c r="F448" s="26"/>
      <c r="G448" s="26"/>
      <c r="H448" s="24" t="str">
        <f aca="false">IFERROR(INDEX('Operator Master'!$B$5:$B$504,MATCH(G448,'Operator Master'!$A$5:$A$504,0)),"")</f>
        <v/>
      </c>
      <c r="I448" s="26"/>
      <c r="J448" s="26"/>
      <c r="K448" s="26"/>
      <c r="L448" s="26"/>
      <c r="M448" s="26"/>
      <c r="N448" s="26"/>
      <c r="O448" s="26"/>
      <c r="P448" s="30" t="n">
        <v>8</v>
      </c>
      <c r="Q448" s="26" t="n">
        <f aca="false">P448*J448</f>
        <v>0</v>
      </c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31"/>
      <c r="AC448" s="31"/>
      <c r="AD448" s="31"/>
      <c r="AE448" s="26"/>
      <c r="AF448" s="26"/>
      <c r="AG448" s="26"/>
    </row>
    <row r="449" customFormat="false" ht="15" hidden="false" customHeight="true" outlineLevel="0" collapsed="false">
      <c r="A449" s="24" t="n">
        <v>444</v>
      </c>
      <c r="B449" s="25"/>
      <c r="C449" s="26"/>
      <c r="D449" s="26"/>
      <c r="E449" s="26"/>
      <c r="F449" s="26"/>
      <c r="G449" s="26"/>
      <c r="H449" s="24" t="str">
        <f aca="false">IFERROR(INDEX('Operator Master'!$B$5:$B$504,MATCH(G449,'Operator Master'!$A$5:$A$504,0)),"")</f>
        <v/>
      </c>
      <c r="I449" s="26"/>
      <c r="J449" s="26"/>
      <c r="K449" s="26"/>
      <c r="L449" s="26"/>
      <c r="M449" s="26"/>
      <c r="N449" s="26"/>
      <c r="O449" s="26"/>
      <c r="P449" s="30" t="n">
        <v>8</v>
      </c>
      <c r="Q449" s="26" t="n">
        <f aca="false">P449*J449</f>
        <v>0</v>
      </c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31"/>
      <c r="AC449" s="31"/>
      <c r="AD449" s="31"/>
      <c r="AE449" s="26"/>
      <c r="AF449" s="26"/>
      <c r="AG449" s="26"/>
    </row>
    <row r="450" customFormat="false" ht="15" hidden="false" customHeight="true" outlineLevel="0" collapsed="false">
      <c r="A450" s="24" t="n">
        <v>445</v>
      </c>
      <c r="B450" s="25"/>
      <c r="C450" s="26"/>
      <c r="D450" s="26"/>
      <c r="E450" s="26"/>
      <c r="F450" s="26"/>
      <c r="G450" s="26"/>
      <c r="H450" s="24" t="str">
        <f aca="false">IFERROR(INDEX('Operator Master'!$B$5:$B$504,MATCH(G450,'Operator Master'!$A$5:$A$504,0)),"")</f>
        <v/>
      </c>
      <c r="I450" s="26"/>
      <c r="J450" s="26"/>
      <c r="K450" s="26"/>
      <c r="L450" s="26"/>
      <c r="M450" s="26"/>
      <c r="N450" s="26"/>
      <c r="O450" s="26"/>
      <c r="P450" s="30" t="n">
        <v>8</v>
      </c>
      <c r="Q450" s="26" t="n">
        <f aca="false">P450*J450</f>
        <v>0</v>
      </c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31"/>
      <c r="AC450" s="31"/>
      <c r="AD450" s="31"/>
      <c r="AE450" s="26"/>
      <c r="AF450" s="26"/>
      <c r="AG450" s="26"/>
    </row>
    <row r="451" customFormat="false" ht="15" hidden="false" customHeight="true" outlineLevel="0" collapsed="false">
      <c r="A451" s="24" t="n">
        <v>446</v>
      </c>
      <c r="B451" s="25"/>
      <c r="C451" s="26"/>
      <c r="D451" s="26"/>
      <c r="E451" s="26"/>
      <c r="F451" s="26"/>
      <c r="G451" s="26"/>
      <c r="H451" s="24" t="str">
        <f aca="false">IFERROR(INDEX('Operator Master'!$B$5:$B$504,MATCH(G451,'Operator Master'!$A$5:$A$504,0)),"")</f>
        <v/>
      </c>
      <c r="I451" s="26"/>
      <c r="J451" s="26"/>
      <c r="K451" s="26"/>
      <c r="L451" s="26"/>
      <c r="M451" s="26"/>
      <c r="N451" s="26"/>
      <c r="O451" s="26"/>
      <c r="P451" s="30" t="n">
        <v>8</v>
      </c>
      <c r="Q451" s="26" t="n">
        <f aca="false">P451*J451</f>
        <v>0</v>
      </c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31"/>
      <c r="AC451" s="31"/>
      <c r="AD451" s="31"/>
      <c r="AE451" s="26"/>
      <c r="AF451" s="26"/>
      <c r="AG451" s="26"/>
    </row>
    <row r="452" customFormat="false" ht="15" hidden="false" customHeight="true" outlineLevel="0" collapsed="false">
      <c r="A452" s="24" t="n">
        <v>447</v>
      </c>
      <c r="B452" s="25"/>
      <c r="C452" s="26"/>
      <c r="D452" s="26"/>
      <c r="E452" s="26"/>
      <c r="F452" s="26"/>
      <c r="G452" s="26"/>
      <c r="H452" s="24" t="str">
        <f aca="false">IFERROR(INDEX('Operator Master'!$B$5:$B$504,MATCH(G452,'Operator Master'!$A$5:$A$504,0)),"")</f>
        <v/>
      </c>
      <c r="I452" s="26"/>
      <c r="J452" s="26"/>
      <c r="K452" s="26"/>
      <c r="L452" s="26"/>
      <c r="M452" s="26"/>
      <c r="N452" s="26"/>
      <c r="O452" s="26"/>
      <c r="P452" s="30" t="n">
        <v>8</v>
      </c>
      <c r="Q452" s="26" t="n">
        <f aca="false">P452*J452</f>
        <v>0</v>
      </c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31"/>
      <c r="AC452" s="31"/>
      <c r="AD452" s="31"/>
      <c r="AE452" s="26"/>
      <c r="AF452" s="26"/>
      <c r="AG452" s="26"/>
    </row>
    <row r="453" customFormat="false" ht="15" hidden="false" customHeight="true" outlineLevel="0" collapsed="false">
      <c r="A453" s="24" t="n">
        <v>448</v>
      </c>
      <c r="B453" s="25"/>
      <c r="C453" s="26"/>
      <c r="D453" s="26"/>
      <c r="E453" s="26"/>
      <c r="F453" s="26"/>
      <c r="G453" s="26"/>
      <c r="H453" s="24" t="str">
        <f aca="false">IFERROR(INDEX('Operator Master'!$B$5:$B$504,MATCH(G453,'Operator Master'!$A$5:$A$504,0)),"")</f>
        <v/>
      </c>
      <c r="I453" s="26"/>
      <c r="J453" s="26"/>
      <c r="K453" s="26"/>
      <c r="L453" s="26"/>
      <c r="M453" s="26"/>
      <c r="N453" s="26"/>
      <c r="O453" s="26"/>
      <c r="P453" s="30" t="n">
        <v>8</v>
      </c>
      <c r="Q453" s="26" t="n">
        <f aca="false">P453*J453</f>
        <v>0</v>
      </c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31"/>
      <c r="AC453" s="31"/>
      <c r="AD453" s="31"/>
      <c r="AE453" s="26"/>
      <c r="AF453" s="26"/>
      <c r="AG453" s="26"/>
    </row>
    <row r="454" customFormat="false" ht="15" hidden="false" customHeight="true" outlineLevel="0" collapsed="false">
      <c r="A454" s="24" t="n">
        <v>449</v>
      </c>
      <c r="B454" s="25"/>
      <c r="C454" s="26"/>
      <c r="D454" s="26"/>
      <c r="E454" s="26"/>
      <c r="F454" s="26"/>
      <c r="G454" s="26"/>
      <c r="H454" s="24" t="str">
        <f aca="false">IFERROR(INDEX('Operator Master'!$B$5:$B$504,MATCH(G454,'Operator Master'!$A$5:$A$504,0)),"")</f>
        <v/>
      </c>
      <c r="I454" s="26"/>
      <c r="J454" s="26"/>
      <c r="K454" s="26"/>
      <c r="L454" s="26"/>
      <c r="M454" s="26"/>
      <c r="N454" s="26"/>
      <c r="O454" s="26"/>
      <c r="P454" s="30" t="n">
        <v>8</v>
      </c>
      <c r="Q454" s="26" t="n">
        <f aca="false">P454*J454</f>
        <v>0</v>
      </c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31"/>
      <c r="AC454" s="31"/>
      <c r="AD454" s="31"/>
      <c r="AE454" s="26"/>
      <c r="AF454" s="26"/>
      <c r="AG454" s="26"/>
    </row>
    <row r="455" customFormat="false" ht="15" hidden="false" customHeight="true" outlineLevel="0" collapsed="false">
      <c r="A455" s="24" t="n">
        <v>450</v>
      </c>
      <c r="B455" s="25"/>
      <c r="C455" s="26"/>
      <c r="D455" s="26"/>
      <c r="E455" s="26"/>
      <c r="F455" s="26"/>
      <c r="G455" s="26"/>
      <c r="H455" s="24" t="str">
        <f aca="false">IFERROR(INDEX('Operator Master'!$B$5:$B$504,MATCH(G455,'Operator Master'!$A$5:$A$504,0)),"")</f>
        <v/>
      </c>
      <c r="I455" s="26"/>
      <c r="J455" s="26"/>
      <c r="K455" s="26"/>
      <c r="L455" s="26"/>
      <c r="M455" s="26"/>
      <c r="N455" s="26"/>
      <c r="O455" s="26"/>
      <c r="P455" s="30" t="n">
        <v>8</v>
      </c>
      <c r="Q455" s="26" t="n">
        <f aca="false">P455*J455</f>
        <v>0</v>
      </c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31"/>
      <c r="AC455" s="31"/>
      <c r="AD455" s="31"/>
      <c r="AE455" s="26"/>
      <c r="AF455" s="26"/>
      <c r="AG455" s="26"/>
    </row>
    <row r="456" customFormat="false" ht="15" hidden="false" customHeight="true" outlineLevel="0" collapsed="false">
      <c r="A456" s="24" t="n">
        <v>451</v>
      </c>
      <c r="B456" s="25"/>
      <c r="C456" s="26"/>
      <c r="D456" s="26"/>
      <c r="E456" s="26"/>
      <c r="F456" s="26"/>
      <c r="G456" s="26"/>
      <c r="H456" s="24" t="str">
        <f aca="false">IFERROR(INDEX('Operator Master'!$B$5:$B$504,MATCH(G456,'Operator Master'!$A$5:$A$504,0)),"")</f>
        <v/>
      </c>
      <c r="I456" s="26"/>
      <c r="J456" s="26"/>
      <c r="K456" s="26"/>
      <c r="L456" s="26"/>
      <c r="M456" s="26"/>
      <c r="N456" s="26"/>
      <c r="O456" s="26"/>
      <c r="P456" s="30" t="n">
        <v>8</v>
      </c>
      <c r="Q456" s="26" t="n">
        <f aca="false">P456*J456</f>
        <v>0</v>
      </c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31"/>
      <c r="AC456" s="31"/>
      <c r="AD456" s="31"/>
      <c r="AE456" s="26"/>
      <c r="AF456" s="26"/>
      <c r="AG456" s="26"/>
    </row>
    <row r="457" customFormat="false" ht="15" hidden="false" customHeight="true" outlineLevel="0" collapsed="false">
      <c r="A457" s="24" t="n">
        <v>452</v>
      </c>
      <c r="B457" s="25"/>
      <c r="C457" s="26"/>
      <c r="D457" s="26"/>
      <c r="E457" s="26"/>
      <c r="F457" s="26"/>
      <c r="G457" s="26"/>
      <c r="H457" s="24" t="str">
        <f aca="false">IFERROR(INDEX('Operator Master'!$B$5:$B$504,MATCH(G457,'Operator Master'!$A$5:$A$504,0)),"")</f>
        <v/>
      </c>
      <c r="I457" s="26"/>
      <c r="J457" s="26"/>
      <c r="K457" s="26"/>
      <c r="L457" s="26"/>
      <c r="M457" s="26"/>
      <c r="N457" s="26"/>
      <c r="O457" s="26"/>
      <c r="P457" s="30" t="n">
        <v>8</v>
      </c>
      <c r="Q457" s="26" t="n">
        <f aca="false">P457*J457</f>
        <v>0</v>
      </c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31"/>
      <c r="AC457" s="31"/>
      <c r="AD457" s="31"/>
      <c r="AE457" s="26"/>
      <c r="AF457" s="26"/>
      <c r="AG457" s="26"/>
    </row>
    <row r="458" customFormat="false" ht="15" hidden="false" customHeight="true" outlineLevel="0" collapsed="false">
      <c r="A458" s="24" t="n">
        <v>453</v>
      </c>
      <c r="B458" s="25"/>
      <c r="C458" s="26"/>
      <c r="D458" s="26"/>
      <c r="E458" s="26"/>
      <c r="F458" s="26"/>
      <c r="G458" s="26"/>
      <c r="H458" s="24" t="str">
        <f aca="false">IFERROR(INDEX('Operator Master'!$B$5:$B$504,MATCH(G458,'Operator Master'!$A$5:$A$504,0)),"")</f>
        <v/>
      </c>
      <c r="I458" s="26"/>
      <c r="J458" s="26"/>
      <c r="K458" s="26"/>
      <c r="L458" s="26"/>
      <c r="M458" s="26"/>
      <c r="N458" s="26"/>
      <c r="O458" s="26"/>
      <c r="P458" s="30" t="n">
        <v>8</v>
      </c>
      <c r="Q458" s="26" t="n">
        <f aca="false">P458*J458</f>
        <v>0</v>
      </c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31"/>
      <c r="AC458" s="31"/>
      <c r="AD458" s="31"/>
      <c r="AE458" s="26"/>
      <c r="AF458" s="26"/>
      <c r="AG458" s="26"/>
    </row>
    <row r="459" customFormat="false" ht="15" hidden="false" customHeight="true" outlineLevel="0" collapsed="false">
      <c r="A459" s="24" t="n">
        <v>454</v>
      </c>
      <c r="B459" s="25"/>
      <c r="C459" s="26"/>
      <c r="D459" s="26"/>
      <c r="E459" s="26"/>
      <c r="F459" s="26"/>
      <c r="G459" s="26"/>
      <c r="H459" s="24" t="str">
        <f aca="false">IFERROR(INDEX('Operator Master'!$B$5:$B$504,MATCH(G459,'Operator Master'!$A$5:$A$504,0)),"")</f>
        <v/>
      </c>
      <c r="I459" s="26"/>
      <c r="J459" s="26"/>
      <c r="K459" s="26"/>
      <c r="L459" s="26"/>
      <c r="M459" s="26"/>
      <c r="N459" s="26"/>
      <c r="O459" s="26"/>
      <c r="P459" s="30" t="n">
        <v>8</v>
      </c>
      <c r="Q459" s="26" t="n">
        <f aca="false">P459*J459</f>
        <v>0</v>
      </c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31"/>
      <c r="AC459" s="31"/>
      <c r="AD459" s="31"/>
      <c r="AE459" s="26"/>
      <c r="AF459" s="26"/>
      <c r="AG459" s="26"/>
    </row>
    <row r="460" customFormat="false" ht="15" hidden="false" customHeight="true" outlineLevel="0" collapsed="false">
      <c r="A460" s="24" t="n">
        <v>455</v>
      </c>
      <c r="B460" s="25"/>
      <c r="C460" s="26"/>
      <c r="D460" s="26"/>
      <c r="E460" s="26"/>
      <c r="F460" s="26"/>
      <c r="G460" s="26"/>
      <c r="H460" s="24" t="str">
        <f aca="false">IFERROR(INDEX('Operator Master'!$B$5:$B$504,MATCH(G460,'Operator Master'!$A$5:$A$504,0)),"")</f>
        <v/>
      </c>
      <c r="I460" s="26"/>
      <c r="J460" s="26"/>
      <c r="K460" s="26"/>
      <c r="L460" s="26"/>
      <c r="M460" s="26"/>
      <c r="N460" s="26"/>
      <c r="O460" s="26"/>
      <c r="P460" s="30" t="n">
        <v>8</v>
      </c>
      <c r="Q460" s="26" t="n">
        <f aca="false">P460*J460</f>
        <v>0</v>
      </c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31"/>
      <c r="AC460" s="31"/>
      <c r="AD460" s="31"/>
      <c r="AE460" s="26"/>
      <c r="AF460" s="26"/>
      <c r="AG460" s="26"/>
    </row>
    <row r="461" customFormat="false" ht="15" hidden="false" customHeight="true" outlineLevel="0" collapsed="false">
      <c r="A461" s="24" t="n">
        <v>456</v>
      </c>
      <c r="B461" s="25"/>
      <c r="C461" s="26"/>
      <c r="D461" s="26"/>
      <c r="E461" s="26"/>
      <c r="F461" s="26"/>
      <c r="G461" s="26"/>
      <c r="H461" s="24" t="str">
        <f aca="false">IFERROR(INDEX('Operator Master'!$B$5:$B$504,MATCH(G461,'Operator Master'!$A$5:$A$504,0)),"")</f>
        <v/>
      </c>
      <c r="I461" s="26"/>
      <c r="J461" s="26"/>
      <c r="K461" s="26"/>
      <c r="L461" s="26"/>
      <c r="M461" s="26"/>
      <c r="N461" s="26"/>
      <c r="O461" s="26"/>
      <c r="P461" s="30" t="n">
        <v>8</v>
      </c>
      <c r="Q461" s="26" t="n">
        <f aca="false">P461*J461</f>
        <v>0</v>
      </c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31"/>
      <c r="AC461" s="31"/>
      <c r="AD461" s="31"/>
      <c r="AE461" s="26"/>
      <c r="AF461" s="26"/>
      <c r="AG461" s="26"/>
    </row>
    <row r="462" customFormat="false" ht="15" hidden="false" customHeight="true" outlineLevel="0" collapsed="false">
      <c r="A462" s="24" t="n">
        <v>457</v>
      </c>
      <c r="B462" s="25"/>
      <c r="C462" s="26"/>
      <c r="D462" s="26"/>
      <c r="E462" s="26"/>
      <c r="F462" s="26"/>
      <c r="G462" s="26"/>
      <c r="H462" s="24" t="str">
        <f aca="false">IFERROR(INDEX('Operator Master'!$B$5:$B$504,MATCH(G462,'Operator Master'!$A$5:$A$504,0)),"")</f>
        <v/>
      </c>
      <c r="I462" s="26"/>
      <c r="J462" s="26"/>
      <c r="K462" s="26"/>
      <c r="L462" s="26"/>
      <c r="M462" s="26"/>
      <c r="N462" s="26"/>
      <c r="O462" s="26"/>
      <c r="P462" s="30" t="n">
        <v>8</v>
      </c>
      <c r="Q462" s="26" t="n">
        <f aca="false">P462*J462</f>
        <v>0</v>
      </c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31"/>
      <c r="AC462" s="31"/>
      <c r="AD462" s="31"/>
      <c r="AE462" s="26"/>
      <c r="AF462" s="26"/>
      <c r="AG462" s="26"/>
    </row>
    <row r="463" customFormat="false" ht="15" hidden="false" customHeight="true" outlineLevel="0" collapsed="false">
      <c r="A463" s="24" t="n">
        <v>458</v>
      </c>
      <c r="B463" s="25"/>
      <c r="C463" s="26"/>
      <c r="D463" s="26"/>
      <c r="E463" s="26"/>
      <c r="F463" s="26"/>
      <c r="G463" s="26"/>
      <c r="H463" s="24" t="str">
        <f aca="false">IFERROR(INDEX('Operator Master'!$B$5:$B$504,MATCH(G463,'Operator Master'!$A$5:$A$504,0)),"")</f>
        <v/>
      </c>
      <c r="I463" s="26"/>
      <c r="J463" s="26"/>
      <c r="K463" s="26"/>
      <c r="L463" s="26"/>
      <c r="M463" s="26"/>
      <c r="N463" s="26"/>
      <c r="O463" s="26"/>
      <c r="P463" s="30" t="n">
        <v>8</v>
      </c>
      <c r="Q463" s="26" t="n">
        <f aca="false">P463*J463</f>
        <v>0</v>
      </c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31"/>
      <c r="AC463" s="31"/>
      <c r="AD463" s="31"/>
      <c r="AE463" s="26"/>
      <c r="AF463" s="26"/>
      <c r="AG463" s="26"/>
    </row>
    <row r="464" customFormat="false" ht="15" hidden="false" customHeight="true" outlineLevel="0" collapsed="false">
      <c r="A464" s="24" t="n">
        <v>459</v>
      </c>
      <c r="B464" s="25"/>
      <c r="C464" s="26"/>
      <c r="D464" s="26"/>
      <c r="E464" s="26"/>
      <c r="F464" s="26"/>
      <c r="G464" s="26"/>
      <c r="H464" s="24" t="str">
        <f aca="false">IFERROR(INDEX('Operator Master'!$B$5:$B$504,MATCH(G464,'Operator Master'!$A$5:$A$504,0)),"")</f>
        <v/>
      </c>
      <c r="I464" s="26"/>
      <c r="J464" s="26"/>
      <c r="K464" s="26"/>
      <c r="L464" s="26"/>
      <c r="M464" s="26"/>
      <c r="N464" s="26"/>
      <c r="O464" s="26"/>
      <c r="P464" s="30" t="n">
        <v>8</v>
      </c>
      <c r="Q464" s="26" t="n">
        <f aca="false">P464*J464</f>
        <v>0</v>
      </c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31"/>
      <c r="AC464" s="31"/>
      <c r="AD464" s="31"/>
      <c r="AE464" s="26"/>
      <c r="AF464" s="26"/>
      <c r="AG464" s="26"/>
    </row>
    <row r="465" customFormat="false" ht="15" hidden="false" customHeight="true" outlineLevel="0" collapsed="false">
      <c r="A465" s="24" t="n">
        <v>460</v>
      </c>
      <c r="B465" s="25"/>
      <c r="C465" s="26"/>
      <c r="D465" s="26"/>
      <c r="E465" s="26"/>
      <c r="F465" s="26"/>
      <c r="G465" s="26"/>
      <c r="H465" s="24" t="str">
        <f aca="false">IFERROR(INDEX('Operator Master'!$B$5:$B$504,MATCH(G465,'Operator Master'!$A$5:$A$504,0)),"")</f>
        <v/>
      </c>
      <c r="I465" s="26"/>
      <c r="J465" s="26"/>
      <c r="K465" s="26"/>
      <c r="L465" s="26"/>
      <c r="M465" s="26"/>
      <c r="N465" s="26"/>
      <c r="O465" s="26"/>
      <c r="P465" s="30" t="n">
        <v>8</v>
      </c>
      <c r="Q465" s="26" t="n">
        <f aca="false">P465*J465</f>
        <v>0</v>
      </c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31"/>
      <c r="AC465" s="31"/>
      <c r="AD465" s="31"/>
      <c r="AE465" s="26"/>
      <c r="AF465" s="26"/>
      <c r="AG465" s="26"/>
    </row>
    <row r="466" customFormat="false" ht="15" hidden="false" customHeight="true" outlineLevel="0" collapsed="false">
      <c r="A466" s="24" t="n">
        <v>461</v>
      </c>
      <c r="B466" s="25"/>
      <c r="C466" s="26"/>
      <c r="D466" s="26"/>
      <c r="E466" s="26"/>
      <c r="F466" s="26"/>
      <c r="G466" s="26"/>
      <c r="H466" s="24" t="str">
        <f aca="false">IFERROR(INDEX('Operator Master'!$B$5:$B$504,MATCH(G466,'Operator Master'!$A$5:$A$504,0)),"")</f>
        <v/>
      </c>
      <c r="I466" s="26"/>
      <c r="J466" s="26"/>
      <c r="K466" s="26"/>
      <c r="L466" s="26"/>
      <c r="M466" s="26"/>
      <c r="N466" s="26"/>
      <c r="O466" s="26"/>
      <c r="P466" s="30" t="n">
        <v>8</v>
      </c>
      <c r="Q466" s="26" t="n">
        <f aca="false">P466*J466</f>
        <v>0</v>
      </c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31"/>
      <c r="AC466" s="31"/>
      <c r="AD466" s="31"/>
      <c r="AE466" s="26"/>
      <c r="AF466" s="26"/>
      <c r="AG466" s="26"/>
    </row>
    <row r="467" customFormat="false" ht="15" hidden="false" customHeight="true" outlineLevel="0" collapsed="false">
      <c r="A467" s="24" t="n">
        <v>462</v>
      </c>
      <c r="B467" s="25"/>
      <c r="C467" s="26"/>
      <c r="D467" s="26"/>
      <c r="E467" s="26"/>
      <c r="F467" s="26"/>
      <c r="G467" s="26"/>
      <c r="H467" s="24" t="str">
        <f aca="false">IFERROR(INDEX('Operator Master'!$B$5:$B$504,MATCH(G467,'Operator Master'!$A$5:$A$504,0)),"")</f>
        <v/>
      </c>
      <c r="I467" s="26"/>
      <c r="J467" s="26"/>
      <c r="K467" s="26"/>
      <c r="L467" s="26"/>
      <c r="M467" s="26"/>
      <c r="N467" s="26"/>
      <c r="O467" s="26"/>
      <c r="P467" s="30" t="n">
        <v>8</v>
      </c>
      <c r="Q467" s="26" t="n">
        <f aca="false">P467*J467</f>
        <v>0</v>
      </c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31"/>
      <c r="AC467" s="31"/>
      <c r="AD467" s="31"/>
      <c r="AE467" s="26"/>
      <c r="AF467" s="26"/>
      <c r="AG467" s="26"/>
    </row>
    <row r="468" customFormat="false" ht="15" hidden="false" customHeight="true" outlineLevel="0" collapsed="false">
      <c r="A468" s="24" t="n">
        <v>463</v>
      </c>
      <c r="B468" s="25"/>
      <c r="C468" s="26"/>
      <c r="D468" s="26"/>
      <c r="E468" s="26"/>
      <c r="F468" s="26"/>
      <c r="G468" s="26"/>
      <c r="H468" s="24" t="str">
        <f aca="false">IFERROR(INDEX('Operator Master'!$B$5:$B$504,MATCH(G468,'Operator Master'!$A$5:$A$504,0)),"")</f>
        <v/>
      </c>
      <c r="I468" s="26"/>
      <c r="J468" s="26"/>
      <c r="K468" s="26"/>
      <c r="L468" s="26"/>
      <c r="M468" s="26"/>
      <c r="N468" s="26"/>
      <c r="O468" s="26"/>
      <c r="P468" s="30" t="n">
        <v>8</v>
      </c>
      <c r="Q468" s="26" t="n">
        <f aca="false">P468*J468</f>
        <v>0</v>
      </c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31"/>
      <c r="AC468" s="31"/>
      <c r="AD468" s="31"/>
      <c r="AE468" s="26"/>
      <c r="AF468" s="26"/>
      <c r="AG468" s="26"/>
    </row>
    <row r="469" customFormat="false" ht="15" hidden="false" customHeight="true" outlineLevel="0" collapsed="false">
      <c r="A469" s="24" t="n">
        <v>464</v>
      </c>
      <c r="B469" s="25"/>
      <c r="C469" s="26"/>
      <c r="D469" s="26"/>
      <c r="E469" s="26"/>
      <c r="F469" s="26"/>
      <c r="G469" s="26"/>
      <c r="H469" s="24" t="str">
        <f aca="false">IFERROR(INDEX('Operator Master'!$B$5:$B$504,MATCH(G469,'Operator Master'!$A$5:$A$504,0)),"")</f>
        <v/>
      </c>
      <c r="I469" s="26"/>
      <c r="J469" s="26"/>
      <c r="K469" s="26"/>
      <c r="L469" s="26"/>
      <c r="M469" s="26"/>
      <c r="N469" s="26"/>
      <c r="O469" s="26"/>
      <c r="P469" s="30" t="n">
        <v>8</v>
      </c>
      <c r="Q469" s="26" t="n">
        <f aca="false">P469*J469</f>
        <v>0</v>
      </c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31"/>
      <c r="AC469" s="31"/>
      <c r="AD469" s="31"/>
      <c r="AE469" s="26"/>
      <c r="AF469" s="26"/>
      <c r="AG469" s="26"/>
    </row>
    <row r="470" customFormat="false" ht="15" hidden="false" customHeight="true" outlineLevel="0" collapsed="false">
      <c r="A470" s="24" t="n">
        <v>465</v>
      </c>
      <c r="B470" s="25"/>
      <c r="C470" s="26"/>
      <c r="D470" s="26"/>
      <c r="E470" s="26"/>
      <c r="F470" s="26"/>
      <c r="G470" s="26"/>
      <c r="H470" s="24" t="str">
        <f aca="false">IFERROR(INDEX('Operator Master'!$B$5:$B$504,MATCH(G470,'Operator Master'!$A$5:$A$504,0)),"")</f>
        <v/>
      </c>
      <c r="I470" s="26"/>
      <c r="J470" s="26"/>
      <c r="K470" s="26"/>
      <c r="L470" s="26"/>
      <c r="M470" s="26"/>
      <c r="N470" s="26"/>
      <c r="O470" s="26"/>
      <c r="P470" s="30" t="n">
        <v>8</v>
      </c>
      <c r="Q470" s="26" t="n">
        <f aca="false">P470*J470</f>
        <v>0</v>
      </c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31"/>
      <c r="AC470" s="31"/>
      <c r="AD470" s="31"/>
      <c r="AE470" s="26"/>
      <c r="AF470" s="26"/>
      <c r="AG470" s="26"/>
    </row>
    <row r="471" customFormat="false" ht="15" hidden="false" customHeight="true" outlineLevel="0" collapsed="false">
      <c r="A471" s="24" t="n">
        <v>466</v>
      </c>
      <c r="B471" s="25"/>
      <c r="C471" s="26"/>
      <c r="D471" s="26"/>
      <c r="E471" s="26"/>
      <c r="F471" s="26"/>
      <c r="G471" s="26"/>
      <c r="H471" s="24" t="str">
        <f aca="false">IFERROR(INDEX('Operator Master'!$B$5:$B$504,MATCH(G471,'Operator Master'!$A$5:$A$504,0)),"")</f>
        <v/>
      </c>
      <c r="I471" s="26"/>
      <c r="J471" s="26"/>
      <c r="K471" s="26"/>
      <c r="L471" s="26"/>
      <c r="M471" s="26"/>
      <c r="N471" s="26"/>
      <c r="O471" s="26"/>
      <c r="P471" s="30" t="n">
        <v>8</v>
      </c>
      <c r="Q471" s="26" t="n">
        <f aca="false">P471*J471</f>
        <v>0</v>
      </c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31"/>
      <c r="AC471" s="31"/>
      <c r="AD471" s="31"/>
      <c r="AE471" s="26"/>
      <c r="AF471" s="26"/>
      <c r="AG471" s="26"/>
    </row>
    <row r="472" customFormat="false" ht="15" hidden="false" customHeight="true" outlineLevel="0" collapsed="false">
      <c r="A472" s="24" t="n">
        <v>467</v>
      </c>
      <c r="B472" s="25"/>
      <c r="C472" s="26"/>
      <c r="D472" s="26"/>
      <c r="E472" s="26"/>
      <c r="F472" s="26"/>
      <c r="G472" s="26"/>
      <c r="H472" s="24" t="str">
        <f aca="false">IFERROR(INDEX('Operator Master'!$B$5:$B$504,MATCH(G472,'Operator Master'!$A$5:$A$504,0)),"")</f>
        <v/>
      </c>
      <c r="I472" s="26"/>
      <c r="J472" s="26"/>
      <c r="K472" s="26"/>
      <c r="L472" s="26"/>
      <c r="M472" s="26"/>
      <c r="N472" s="26"/>
      <c r="O472" s="26"/>
      <c r="P472" s="30" t="n">
        <v>8</v>
      </c>
      <c r="Q472" s="26" t="n">
        <f aca="false">P472*J472</f>
        <v>0</v>
      </c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31"/>
      <c r="AC472" s="31"/>
      <c r="AD472" s="31"/>
      <c r="AE472" s="26"/>
      <c r="AF472" s="26"/>
      <c r="AG472" s="26"/>
    </row>
    <row r="473" customFormat="false" ht="15" hidden="false" customHeight="true" outlineLevel="0" collapsed="false">
      <c r="A473" s="24" t="n">
        <v>468</v>
      </c>
      <c r="B473" s="25"/>
      <c r="C473" s="26"/>
      <c r="D473" s="26"/>
      <c r="E473" s="26"/>
      <c r="F473" s="26"/>
      <c r="G473" s="26"/>
      <c r="H473" s="24" t="str">
        <f aca="false">IFERROR(INDEX('Operator Master'!$B$5:$B$504,MATCH(G473,'Operator Master'!$A$5:$A$504,0)),"")</f>
        <v/>
      </c>
      <c r="I473" s="26"/>
      <c r="J473" s="26"/>
      <c r="K473" s="26"/>
      <c r="L473" s="26"/>
      <c r="M473" s="26"/>
      <c r="N473" s="26"/>
      <c r="O473" s="26"/>
      <c r="P473" s="30" t="n">
        <v>8</v>
      </c>
      <c r="Q473" s="26" t="n">
        <f aca="false">P473*J473</f>
        <v>0</v>
      </c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31"/>
      <c r="AC473" s="31"/>
      <c r="AD473" s="31"/>
      <c r="AE473" s="26"/>
      <c r="AF473" s="26"/>
      <c r="AG473" s="26"/>
    </row>
    <row r="474" customFormat="false" ht="15" hidden="false" customHeight="true" outlineLevel="0" collapsed="false">
      <c r="A474" s="24" t="n">
        <v>469</v>
      </c>
      <c r="B474" s="25"/>
      <c r="C474" s="26"/>
      <c r="D474" s="26"/>
      <c r="E474" s="26"/>
      <c r="F474" s="26"/>
      <c r="G474" s="26"/>
      <c r="H474" s="24" t="str">
        <f aca="false">IFERROR(INDEX('Operator Master'!$B$5:$B$504,MATCH(G474,'Operator Master'!$A$5:$A$504,0)),"")</f>
        <v/>
      </c>
      <c r="I474" s="26"/>
      <c r="J474" s="26"/>
      <c r="K474" s="26"/>
      <c r="L474" s="26"/>
      <c r="M474" s="26"/>
      <c r="N474" s="26"/>
      <c r="O474" s="26"/>
      <c r="P474" s="30" t="n">
        <v>8</v>
      </c>
      <c r="Q474" s="26" t="n">
        <f aca="false">P474*J474</f>
        <v>0</v>
      </c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31"/>
      <c r="AC474" s="31"/>
      <c r="AD474" s="31"/>
      <c r="AE474" s="26"/>
      <c r="AF474" s="26"/>
      <c r="AG474" s="26"/>
    </row>
    <row r="475" customFormat="false" ht="15" hidden="false" customHeight="true" outlineLevel="0" collapsed="false">
      <c r="A475" s="24" t="n">
        <v>470</v>
      </c>
      <c r="B475" s="25"/>
      <c r="C475" s="26"/>
      <c r="D475" s="26"/>
      <c r="E475" s="26"/>
      <c r="F475" s="26"/>
      <c r="G475" s="26"/>
      <c r="H475" s="24" t="str">
        <f aca="false">IFERROR(INDEX('Operator Master'!$B$5:$B$504,MATCH(G475,'Operator Master'!$A$5:$A$504,0)),"")</f>
        <v/>
      </c>
      <c r="I475" s="26"/>
      <c r="J475" s="26"/>
      <c r="K475" s="26"/>
      <c r="L475" s="26"/>
      <c r="M475" s="26"/>
      <c r="N475" s="26"/>
      <c r="O475" s="26"/>
      <c r="P475" s="30" t="n">
        <v>8</v>
      </c>
      <c r="Q475" s="26" t="n">
        <f aca="false">P475*J475</f>
        <v>0</v>
      </c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31"/>
      <c r="AC475" s="31"/>
      <c r="AD475" s="31"/>
      <c r="AE475" s="26"/>
      <c r="AF475" s="26"/>
      <c r="AG475" s="26"/>
    </row>
    <row r="476" customFormat="false" ht="15" hidden="false" customHeight="true" outlineLevel="0" collapsed="false">
      <c r="A476" s="24" t="n">
        <v>471</v>
      </c>
      <c r="B476" s="25"/>
      <c r="C476" s="26"/>
      <c r="D476" s="26"/>
      <c r="E476" s="26"/>
      <c r="F476" s="26"/>
      <c r="G476" s="26"/>
      <c r="H476" s="24" t="str">
        <f aca="false">IFERROR(INDEX('Operator Master'!$B$5:$B$504,MATCH(G476,'Operator Master'!$A$5:$A$504,0)),"")</f>
        <v/>
      </c>
      <c r="I476" s="26"/>
      <c r="J476" s="26"/>
      <c r="K476" s="26"/>
      <c r="L476" s="26"/>
      <c r="M476" s="26"/>
      <c r="N476" s="26"/>
      <c r="O476" s="26"/>
      <c r="P476" s="30" t="n">
        <v>8</v>
      </c>
      <c r="Q476" s="26" t="n">
        <f aca="false">P476*J476</f>
        <v>0</v>
      </c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31"/>
      <c r="AC476" s="31"/>
      <c r="AD476" s="31"/>
      <c r="AE476" s="26"/>
      <c r="AF476" s="26"/>
      <c r="AG476" s="26"/>
    </row>
    <row r="477" customFormat="false" ht="15" hidden="false" customHeight="true" outlineLevel="0" collapsed="false">
      <c r="A477" s="24" t="n">
        <v>472</v>
      </c>
      <c r="B477" s="25"/>
      <c r="C477" s="26"/>
      <c r="D477" s="26"/>
      <c r="E477" s="26"/>
      <c r="F477" s="26"/>
      <c r="G477" s="26"/>
      <c r="H477" s="24" t="str">
        <f aca="false">IFERROR(INDEX('Operator Master'!$B$5:$B$504,MATCH(G477,'Operator Master'!$A$5:$A$504,0)),"")</f>
        <v/>
      </c>
      <c r="I477" s="26"/>
      <c r="J477" s="26"/>
      <c r="K477" s="26"/>
      <c r="L477" s="26"/>
      <c r="M477" s="26"/>
      <c r="N477" s="26"/>
      <c r="O477" s="26"/>
      <c r="P477" s="30" t="n">
        <v>8</v>
      </c>
      <c r="Q477" s="26" t="n">
        <f aca="false">P477*J477</f>
        <v>0</v>
      </c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31"/>
      <c r="AC477" s="31"/>
      <c r="AD477" s="31"/>
      <c r="AE477" s="26"/>
      <c r="AF477" s="26"/>
      <c r="AG477" s="26"/>
    </row>
    <row r="478" customFormat="false" ht="15" hidden="false" customHeight="true" outlineLevel="0" collapsed="false">
      <c r="A478" s="24" t="n">
        <v>473</v>
      </c>
      <c r="B478" s="25"/>
      <c r="C478" s="26"/>
      <c r="D478" s="26"/>
      <c r="E478" s="26"/>
      <c r="F478" s="26"/>
      <c r="G478" s="26"/>
      <c r="H478" s="24" t="str">
        <f aca="false">IFERROR(INDEX('Operator Master'!$B$5:$B$504,MATCH(G478,'Operator Master'!$A$5:$A$504,0)),"")</f>
        <v/>
      </c>
      <c r="I478" s="26"/>
      <c r="J478" s="26"/>
      <c r="K478" s="26"/>
      <c r="L478" s="26"/>
      <c r="M478" s="26"/>
      <c r="N478" s="26"/>
      <c r="O478" s="26"/>
      <c r="P478" s="30" t="n">
        <v>8</v>
      </c>
      <c r="Q478" s="26" t="n">
        <f aca="false">P478*J478</f>
        <v>0</v>
      </c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31"/>
      <c r="AC478" s="31"/>
      <c r="AD478" s="31"/>
      <c r="AE478" s="26"/>
      <c r="AF478" s="26"/>
      <c r="AG478" s="26"/>
    </row>
    <row r="479" customFormat="false" ht="15" hidden="false" customHeight="true" outlineLevel="0" collapsed="false">
      <c r="A479" s="24" t="n">
        <v>474</v>
      </c>
      <c r="B479" s="25"/>
      <c r="C479" s="26"/>
      <c r="D479" s="26"/>
      <c r="E479" s="26"/>
      <c r="F479" s="26"/>
      <c r="G479" s="26"/>
      <c r="H479" s="24" t="str">
        <f aca="false">IFERROR(INDEX('Operator Master'!$B$5:$B$504,MATCH(G479,'Operator Master'!$A$5:$A$504,0)),"")</f>
        <v/>
      </c>
      <c r="I479" s="26"/>
      <c r="J479" s="26"/>
      <c r="K479" s="26"/>
      <c r="L479" s="26"/>
      <c r="M479" s="26"/>
      <c r="N479" s="26"/>
      <c r="O479" s="26"/>
      <c r="P479" s="30" t="n">
        <v>8</v>
      </c>
      <c r="Q479" s="26" t="n">
        <f aca="false">P479*J479</f>
        <v>0</v>
      </c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31"/>
      <c r="AC479" s="31"/>
      <c r="AD479" s="31"/>
      <c r="AE479" s="26"/>
      <c r="AF479" s="26"/>
      <c r="AG479" s="26"/>
    </row>
    <row r="480" customFormat="false" ht="15" hidden="false" customHeight="true" outlineLevel="0" collapsed="false">
      <c r="A480" s="24" t="n">
        <v>475</v>
      </c>
      <c r="B480" s="25"/>
      <c r="C480" s="26"/>
      <c r="D480" s="26"/>
      <c r="E480" s="26"/>
      <c r="F480" s="26"/>
      <c r="G480" s="26"/>
      <c r="H480" s="24" t="str">
        <f aca="false">IFERROR(INDEX('Operator Master'!$B$5:$B$504,MATCH(G480,'Operator Master'!$A$5:$A$504,0)),"")</f>
        <v/>
      </c>
      <c r="I480" s="26"/>
      <c r="J480" s="26"/>
      <c r="K480" s="26"/>
      <c r="L480" s="26"/>
      <c r="M480" s="26"/>
      <c r="N480" s="26"/>
      <c r="O480" s="26"/>
      <c r="P480" s="30" t="n">
        <v>8</v>
      </c>
      <c r="Q480" s="26" t="n">
        <f aca="false">P480*J480</f>
        <v>0</v>
      </c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31"/>
      <c r="AC480" s="31"/>
      <c r="AD480" s="31"/>
      <c r="AE480" s="26"/>
      <c r="AF480" s="26"/>
      <c r="AG480" s="26"/>
    </row>
    <row r="481" customFormat="false" ht="15" hidden="false" customHeight="true" outlineLevel="0" collapsed="false">
      <c r="A481" s="24" t="n">
        <v>476</v>
      </c>
      <c r="B481" s="25"/>
      <c r="C481" s="26"/>
      <c r="D481" s="26"/>
      <c r="E481" s="26"/>
      <c r="F481" s="26"/>
      <c r="G481" s="26"/>
      <c r="H481" s="24" t="str">
        <f aca="false">IFERROR(INDEX('Operator Master'!$B$5:$B$504,MATCH(G481,'Operator Master'!$A$5:$A$504,0)),"")</f>
        <v/>
      </c>
      <c r="I481" s="26"/>
      <c r="J481" s="26"/>
      <c r="K481" s="26"/>
      <c r="L481" s="26"/>
      <c r="M481" s="26"/>
      <c r="N481" s="26"/>
      <c r="O481" s="26"/>
      <c r="P481" s="30" t="n">
        <v>8</v>
      </c>
      <c r="Q481" s="26" t="n">
        <f aca="false">P481*J481</f>
        <v>0</v>
      </c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31"/>
      <c r="AC481" s="31"/>
      <c r="AD481" s="31"/>
      <c r="AE481" s="26"/>
      <c r="AF481" s="26"/>
      <c r="AG481" s="26"/>
    </row>
    <row r="482" customFormat="false" ht="15" hidden="false" customHeight="true" outlineLevel="0" collapsed="false">
      <c r="A482" s="24" t="n">
        <v>477</v>
      </c>
      <c r="B482" s="25"/>
      <c r="C482" s="26"/>
      <c r="D482" s="26"/>
      <c r="E482" s="26"/>
      <c r="F482" s="26"/>
      <c r="G482" s="26"/>
      <c r="H482" s="24" t="str">
        <f aca="false">IFERROR(INDEX('Operator Master'!$B$5:$B$504,MATCH(G482,'Operator Master'!$A$5:$A$504,0)),"")</f>
        <v/>
      </c>
      <c r="I482" s="26"/>
      <c r="J482" s="26"/>
      <c r="K482" s="26"/>
      <c r="L482" s="26"/>
      <c r="M482" s="26"/>
      <c r="N482" s="26"/>
      <c r="O482" s="26"/>
      <c r="P482" s="30" t="n">
        <v>8</v>
      </c>
      <c r="Q482" s="26" t="n">
        <f aca="false">P482*J482</f>
        <v>0</v>
      </c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31"/>
      <c r="AC482" s="31"/>
      <c r="AD482" s="31"/>
      <c r="AE482" s="26"/>
      <c r="AF482" s="26"/>
      <c r="AG482" s="26"/>
    </row>
    <row r="483" customFormat="false" ht="15" hidden="false" customHeight="true" outlineLevel="0" collapsed="false">
      <c r="A483" s="24" t="n">
        <v>478</v>
      </c>
      <c r="B483" s="25"/>
      <c r="C483" s="26"/>
      <c r="D483" s="26"/>
      <c r="E483" s="26"/>
      <c r="F483" s="26"/>
      <c r="G483" s="26"/>
      <c r="H483" s="24" t="str">
        <f aca="false">IFERROR(INDEX('Operator Master'!$B$5:$B$504,MATCH(G483,'Operator Master'!$A$5:$A$504,0)),"")</f>
        <v/>
      </c>
      <c r="I483" s="26"/>
      <c r="J483" s="26"/>
      <c r="K483" s="26"/>
      <c r="L483" s="26"/>
      <c r="M483" s="26"/>
      <c r="N483" s="26"/>
      <c r="O483" s="26"/>
      <c r="P483" s="30" t="n">
        <v>8</v>
      </c>
      <c r="Q483" s="26" t="n">
        <f aca="false">P483*J483</f>
        <v>0</v>
      </c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31"/>
      <c r="AC483" s="31"/>
      <c r="AD483" s="31"/>
      <c r="AE483" s="26"/>
      <c r="AF483" s="26"/>
      <c r="AG483" s="26"/>
    </row>
    <row r="484" customFormat="false" ht="15" hidden="false" customHeight="true" outlineLevel="0" collapsed="false">
      <c r="A484" s="24" t="n">
        <v>479</v>
      </c>
      <c r="B484" s="25"/>
      <c r="C484" s="26"/>
      <c r="D484" s="26"/>
      <c r="E484" s="26"/>
      <c r="F484" s="26"/>
      <c r="G484" s="26"/>
      <c r="H484" s="24" t="str">
        <f aca="false">IFERROR(INDEX('Operator Master'!$B$5:$B$504,MATCH(G484,'Operator Master'!$A$5:$A$504,0)),"")</f>
        <v/>
      </c>
      <c r="I484" s="26"/>
      <c r="J484" s="26"/>
      <c r="K484" s="26"/>
      <c r="L484" s="26"/>
      <c r="M484" s="26"/>
      <c r="N484" s="26"/>
      <c r="O484" s="26"/>
      <c r="P484" s="30" t="n">
        <v>8</v>
      </c>
      <c r="Q484" s="26" t="n">
        <f aca="false">P484*J484</f>
        <v>0</v>
      </c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31"/>
      <c r="AC484" s="31"/>
      <c r="AD484" s="31"/>
      <c r="AE484" s="26"/>
      <c r="AF484" s="26"/>
      <c r="AG484" s="26"/>
    </row>
    <row r="485" customFormat="false" ht="15" hidden="false" customHeight="true" outlineLevel="0" collapsed="false">
      <c r="A485" s="24" t="n">
        <v>480</v>
      </c>
      <c r="B485" s="25"/>
      <c r="C485" s="26"/>
      <c r="D485" s="26"/>
      <c r="E485" s="26"/>
      <c r="F485" s="26"/>
      <c r="G485" s="26"/>
      <c r="H485" s="24" t="str">
        <f aca="false">IFERROR(INDEX('Operator Master'!$B$5:$B$504,MATCH(G485,'Operator Master'!$A$5:$A$504,0)),"")</f>
        <v/>
      </c>
      <c r="I485" s="26"/>
      <c r="J485" s="26"/>
      <c r="K485" s="26"/>
      <c r="L485" s="26"/>
      <c r="M485" s="26"/>
      <c r="N485" s="26"/>
      <c r="O485" s="26"/>
      <c r="P485" s="30" t="n">
        <v>8</v>
      </c>
      <c r="Q485" s="26" t="n">
        <f aca="false">P485*J485</f>
        <v>0</v>
      </c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31"/>
      <c r="AC485" s="31"/>
      <c r="AD485" s="31"/>
      <c r="AE485" s="26"/>
      <c r="AF485" s="26"/>
      <c r="AG485" s="26"/>
    </row>
    <row r="486" customFormat="false" ht="15" hidden="false" customHeight="true" outlineLevel="0" collapsed="false">
      <c r="A486" s="24" t="n">
        <v>481</v>
      </c>
      <c r="B486" s="25"/>
      <c r="C486" s="26"/>
      <c r="D486" s="26"/>
      <c r="E486" s="26"/>
      <c r="F486" s="26"/>
      <c r="G486" s="26"/>
      <c r="H486" s="24" t="str">
        <f aca="false">IFERROR(INDEX('Operator Master'!$B$5:$B$504,MATCH(G486,'Operator Master'!$A$5:$A$504,0)),"")</f>
        <v/>
      </c>
      <c r="I486" s="26"/>
      <c r="J486" s="26"/>
      <c r="K486" s="26"/>
      <c r="L486" s="26"/>
      <c r="M486" s="26"/>
      <c r="N486" s="26"/>
      <c r="O486" s="26"/>
      <c r="P486" s="30" t="n">
        <v>8</v>
      </c>
      <c r="Q486" s="26" t="n">
        <f aca="false">P486*J486</f>
        <v>0</v>
      </c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31"/>
      <c r="AC486" s="31"/>
      <c r="AD486" s="31"/>
      <c r="AE486" s="26"/>
      <c r="AF486" s="26"/>
      <c r="AG486" s="26"/>
    </row>
    <row r="487" customFormat="false" ht="15" hidden="false" customHeight="true" outlineLevel="0" collapsed="false">
      <c r="A487" s="24" t="n">
        <v>482</v>
      </c>
      <c r="B487" s="25"/>
      <c r="C487" s="26"/>
      <c r="D487" s="26"/>
      <c r="E487" s="26"/>
      <c r="F487" s="26"/>
      <c r="G487" s="26"/>
      <c r="H487" s="24" t="str">
        <f aca="false">IFERROR(INDEX('Operator Master'!$B$5:$B$504,MATCH(G487,'Operator Master'!$A$5:$A$504,0)),"")</f>
        <v/>
      </c>
      <c r="I487" s="26"/>
      <c r="J487" s="26"/>
      <c r="K487" s="26"/>
      <c r="L487" s="26"/>
      <c r="M487" s="26"/>
      <c r="N487" s="26"/>
      <c r="O487" s="26"/>
      <c r="P487" s="30" t="n">
        <v>8</v>
      </c>
      <c r="Q487" s="26" t="n">
        <f aca="false">P487*J487</f>
        <v>0</v>
      </c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31"/>
      <c r="AC487" s="31"/>
      <c r="AD487" s="31"/>
      <c r="AE487" s="26"/>
      <c r="AF487" s="26"/>
      <c r="AG487" s="26"/>
    </row>
    <row r="488" customFormat="false" ht="15" hidden="false" customHeight="true" outlineLevel="0" collapsed="false">
      <c r="A488" s="24" t="n">
        <v>483</v>
      </c>
      <c r="B488" s="25"/>
      <c r="C488" s="26"/>
      <c r="D488" s="26"/>
      <c r="E488" s="26"/>
      <c r="F488" s="26"/>
      <c r="G488" s="26"/>
      <c r="H488" s="24" t="str">
        <f aca="false">IFERROR(INDEX('Operator Master'!$B$5:$B$504,MATCH(G488,'Operator Master'!$A$5:$A$504,0)),"")</f>
        <v/>
      </c>
      <c r="I488" s="26"/>
      <c r="J488" s="26"/>
      <c r="K488" s="26"/>
      <c r="L488" s="26"/>
      <c r="M488" s="26"/>
      <c r="N488" s="26"/>
      <c r="O488" s="26"/>
      <c r="P488" s="30" t="n">
        <v>8</v>
      </c>
      <c r="Q488" s="26" t="n">
        <f aca="false">P488*J488</f>
        <v>0</v>
      </c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31"/>
      <c r="AC488" s="31"/>
      <c r="AD488" s="31"/>
      <c r="AE488" s="26"/>
      <c r="AF488" s="26"/>
      <c r="AG488" s="26"/>
    </row>
    <row r="489" customFormat="false" ht="15" hidden="false" customHeight="true" outlineLevel="0" collapsed="false">
      <c r="A489" s="24" t="n">
        <v>484</v>
      </c>
      <c r="B489" s="25"/>
      <c r="C489" s="26"/>
      <c r="D489" s="26"/>
      <c r="E489" s="26"/>
      <c r="F489" s="26"/>
      <c r="G489" s="26"/>
      <c r="H489" s="24" t="str">
        <f aca="false">IFERROR(INDEX('Operator Master'!$B$5:$B$504,MATCH(G489,'Operator Master'!$A$5:$A$504,0)),"")</f>
        <v/>
      </c>
      <c r="I489" s="26"/>
      <c r="J489" s="26"/>
      <c r="K489" s="26"/>
      <c r="L489" s="26"/>
      <c r="M489" s="26"/>
      <c r="N489" s="26"/>
      <c r="O489" s="26"/>
      <c r="P489" s="30" t="n">
        <v>8</v>
      </c>
      <c r="Q489" s="26" t="n">
        <f aca="false">P489*J489</f>
        <v>0</v>
      </c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31"/>
      <c r="AC489" s="31"/>
      <c r="AD489" s="31"/>
      <c r="AE489" s="26"/>
      <c r="AF489" s="26"/>
      <c r="AG489" s="26"/>
    </row>
    <row r="490" customFormat="false" ht="15" hidden="false" customHeight="true" outlineLevel="0" collapsed="false">
      <c r="A490" s="24" t="n">
        <v>485</v>
      </c>
      <c r="B490" s="25"/>
      <c r="C490" s="26"/>
      <c r="D490" s="26"/>
      <c r="E490" s="26"/>
      <c r="F490" s="26"/>
      <c r="G490" s="26"/>
      <c r="H490" s="24" t="str">
        <f aca="false">IFERROR(INDEX('Operator Master'!$B$5:$B$504,MATCH(G490,'Operator Master'!$A$5:$A$504,0)),"")</f>
        <v/>
      </c>
      <c r="I490" s="26"/>
      <c r="J490" s="26"/>
      <c r="K490" s="26"/>
      <c r="L490" s="26"/>
      <c r="M490" s="26"/>
      <c r="N490" s="26"/>
      <c r="O490" s="26"/>
      <c r="P490" s="30" t="n">
        <v>8</v>
      </c>
      <c r="Q490" s="26" t="n">
        <f aca="false">P490*J490</f>
        <v>0</v>
      </c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31"/>
      <c r="AC490" s="31"/>
      <c r="AD490" s="31"/>
      <c r="AE490" s="26"/>
      <c r="AF490" s="26"/>
      <c r="AG490" s="26"/>
    </row>
    <row r="491" customFormat="false" ht="15" hidden="false" customHeight="true" outlineLevel="0" collapsed="false">
      <c r="A491" s="24" t="n">
        <v>486</v>
      </c>
      <c r="B491" s="25"/>
      <c r="C491" s="26"/>
      <c r="D491" s="26"/>
      <c r="E491" s="26"/>
      <c r="F491" s="26"/>
      <c r="G491" s="26"/>
      <c r="H491" s="24" t="str">
        <f aca="false">IFERROR(INDEX('Operator Master'!$B$5:$B$504,MATCH(G491,'Operator Master'!$A$5:$A$504,0)),"")</f>
        <v/>
      </c>
      <c r="I491" s="26"/>
      <c r="J491" s="26"/>
      <c r="K491" s="26"/>
      <c r="L491" s="26"/>
      <c r="M491" s="26"/>
      <c r="N491" s="26"/>
      <c r="O491" s="26"/>
      <c r="P491" s="30" t="n">
        <v>8</v>
      </c>
      <c r="Q491" s="26" t="n">
        <f aca="false">P491*J491</f>
        <v>0</v>
      </c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31"/>
      <c r="AC491" s="31"/>
      <c r="AD491" s="31"/>
      <c r="AE491" s="26"/>
      <c r="AF491" s="26"/>
      <c r="AG491" s="26"/>
    </row>
    <row r="492" customFormat="false" ht="15" hidden="false" customHeight="true" outlineLevel="0" collapsed="false">
      <c r="A492" s="24" t="n">
        <v>487</v>
      </c>
      <c r="B492" s="25"/>
      <c r="C492" s="26"/>
      <c r="D492" s="26"/>
      <c r="E492" s="26"/>
      <c r="F492" s="26"/>
      <c r="G492" s="26"/>
      <c r="H492" s="24" t="str">
        <f aca="false">IFERROR(INDEX('Operator Master'!$B$5:$B$504,MATCH(G492,'Operator Master'!$A$5:$A$504,0)),"")</f>
        <v/>
      </c>
      <c r="I492" s="26"/>
      <c r="J492" s="26"/>
      <c r="K492" s="26"/>
      <c r="L492" s="26"/>
      <c r="M492" s="26"/>
      <c r="N492" s="26"/>
      <c r="O492" s="26"/>
      <c r="P492" s="30" t="n">
        <v>8</v>
      </c>
      <c r="Q492" s="26" t="n">
        <f aca="false">P492*J492</f>
        <v>0</v>
      </c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31"/>
      <c r="AC492" s="31"/>
      <c r="AD492" s="31"/>
      <c r="AE492" s="26"/>
      <c r="AF492" s="26"/>
      <c r="AG492" s="26"/>
    </row>
    <row r="493" customFormat="false" ht="15" hidden="false" customHeight="true" outlineLevel="0" collapsed="false">
      <c r="A493" s="24" t="n">
        <v>488</v>
      </c>
      <c r="B493" s="25"/>
      <c r="C493" s="26"/>
      <c r="D493" s="26"/>
      <c r="E493" s="26"/>
      <c r="F493" s="26"/>
      <c r="G493" s="26"/>
      <c r="H493" s="24" t="str">
        <f aca="false">IFERROR(INDEX('Operator Master'!$B$5:$B$504,MATCH(G493,'Operator Master'!$A$5:$A$504,0)),"")</f>
        <v/>
      </c>
      <c r="I493" s="26"/>
      <c r="J493" s="26"/>
      <c r="K493" s="26"/>
      <c r="L493" s="26"/>
      <c r="M493" s="26"/>
      <c r="N493" s="26"/>
      <c r="O493" s="26"/>
      <c r="P493" s="30" t="n">
        <v>8</v>
      </c>
      <c r="Q493" s="26" t="n">
        <f aca="false">P493*J493</f>
        <v>0</v>
      </c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31"/>
      <c r="AC493" s="31"/>
      <c r="AD493" s="31"/>
      <c r="AE493" s="26"/>
      <c r="AF493" s="26"/>
      <c r="AG493" s="26"/>
    </row>
    <row r="494" customFormat="false" ht="15" hidden="false" customHeight="true" outlineLevel="0" collapsed="false">
      <c r="A494" s="24" t="n">
        <v>489</v>
      </c>
      <c r="B494" s="25"/>
      <c r="C494" s="26"/>
      <c r="D494" s="26"/>
      <c r="E494" s="26"/>
      <c r="F494" s="26"/>
      <c r="G494" s="26"/>
      <c r="H494" s="24" t="str">
        <f aca="false">IFERROR(INDEX('Operator Master'!$B$5:$B$504,MATCH(G494,'Operator Master'!$A$5:$A$504,0)),"")</f>
        <v/>
      </c>
      <c r="I494" s="26"/>
      <c r="J494" s="26"/>
      <c r="K494" s="26"/>
      <c r="L494" s="26"/>
      <c r="M494" s="26"/>
      <c r="N494" s="26"/>
      <c r="O494" s="26"/>
      <c r="P494" s="30" t="n">
        <v>8</v>
      </c>
      <c r="Q494" s="26" t="n">
        <f aca="false">P494*J494</f>
        <v>0</v>
      </c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31"/>
      <c r="AC494" s="31"/>
      <c r="AD494" s="31"/>
      <c r="AE494" s="26"/>
      <c r="AF494" s="26"/>
      <c r="AG494" s="26"/>
    </row>
    <row r="495" customFormat="false" ht="15" hidden="false" customHeight="true" outlineLevel="0" collapsed="false">
      <c r="A495" s="24" t="n">
        <v>490</v>
      </c>
      <c r="B495" s="25"/>
      <c r="C495" s="26"/>
      <c r="D495" s="26"/>
      <c r="E495" s="26"/>
      <c r="F495" s="26"/>
      <c r="G495" s="26"/>
      <c r="H495" s="24" t="str">
        <f aca="false">IFERROR(INDEX('Operator Master'!$B$5:$B$504,MATCH(G495,'Operator Master'!$A$5:$A$504,0)),"")</f>
        <v/>
      </c>
      <c r="I495" s="26"/>
      <c r="J495" s="26"/>
      <c r="K495" s="26"/>
      <c r="L495" s="26"/>
      <c r="M495" s="26"/>
      <c r="N495" s="26"/>
      <c r="O495" s="26"/>
      <c r="P495" s="30" t="n">
        <v>8</v>
      </c>
      <c r="Q495" s="26" t="n">
        <f aca="false">P495*J495</f>
        <v>0</v>
      </c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31"/>
      <c r="AC495" s="31"/>
      <c r="AD495" s="31"/>
      <c r="AE495" s="26"/>
      <c r="AF495" s="26"/>
      <c r="AG495" s="26"/>
    </row>
    <row r="496" customFormat="false" ht="15" hidden="false" customHeight="true" outlineLevel="0" collapsed="false">
      <c r="A496" s="24" t="n">
        <v>491</v>
      </c>
      <c r="B496" s="25"/>
      <c r="C496" s="26"/>
      <c r="D496" s="26"/>
      <c r="E496" s="26"/>
      <c r="F496" s="26"/>
      <c r="G496" s="26"/>
      <c r="H496" s="24" t="str">
        <f aca="false">IFERROR(INDEX('Operator Master'!$B$5:$B$504,MATCH(G496,'Operator Master'!$A$5:$A$504,0)),"")</f>
        <v/>
      </c>
      <c r="I496" s="26"/>
      <c r="J496" s="26"/>
      <c r="K496" s="26"/>
      <c r="L496" s="26"/>
      <c r="M496" s="26"/>
      <c r="N496" s="26"/>
      <c r="O496" s="26"/>
      <c r="P496" s="30" t="n">
        <v>8</v>
      </c>
      <c r="Q496" s="26" t="n">
        <f aca="false">P496*J496</f>
        <v>0</v>
      </c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31"/>
      <c r="AC496" s="31"/>
      <c r="AD496" s="31"/>
      <c r="AE496" s="26"/>
      <c r="AF496" s="26"/>
      <c r="AG496" s="26"/>
    </row>
    <row r="497" customFormat="false" ht="15" hidden="false" customHeight="true" outlineLevel="0" collapsed="false">
      <c r="A497" s="24" t="n">
        <v>492</v>
      </c>
      <c r="B497" s="25"/>
      <c r="C497" s="26"/>
      <c r="D497" s="26"/>
      <c r="E497" s="26"/>
      <c r="F497" s="26"/>
      <c r="G497" s="26"/>
      <c r="H497" s="24" t="str">
        <f aca="false">IFERROR(INDEX('Operator Master'!$B$5:$B$504,MATCH(G497,'Operator Master'!$A$5:$A$504,0)),"")</f>
        <v/>
      </c>
      <c r="I497" s="26"/>
      <c r="J497" s="26"/>
      <c r="K497" s="26"/>
      <c r="L497" s="26"/>
      <c r="M497" s="26"/>
      <c r="N497" s="26"/>
      <c r="O497" s="26"/>
      <c r="P497" s="30" t="n">
        <v>8</v>
      </c>
      <c r="Q497" s="26" t="n">
        <f aca="false">P497*J497</f>
        <v>0</v>
      </c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31"/>
      <c r="AC497" s="31"/>
      <c r="AD497" s="31"/>
      <c r="AE497" s="26"/>
      <c r="AF497" s="26"/>
      <c r="AG497" s="26"/>
    </row>
    <row r="498" customFormat="false" ht="15" hidden="false" customHeight="true" outlineLevel="0" collapsed="false">
      <c r="A498" s="24" t="n">
        <v>493</v>
      </c>
      <c r="B498" s="25"/>
      <c r="C498" s="26"/>
      <c r="D498" s="26"/>
      <c r="E498" s="26"/>
      <c r="F498" s="26"/>
      <c r="G498" s="26"/>
      <c r="H498" s="24" t="str">
        <f aca="false">IFERROR(INDEX('Operator Master'!$B$5:$B$504,MATCH(G498,'Operator Master'!$A$5:$A$504,0)),"")</f>
        <v/>
      </c>
      <c r="I498" s="26"/>
      <c r="J498" s="26"/>
      <c r="K498" s="26"/>
      <c r="L498" s="26"/>
      <c r="M498" s="26"/>
      <c r="N498" s="26"/>
      <c r="O498" s="26"/>
      <c r="P498" s="30" t="n">
        <v>8</v>
      </c>
      <c r="Q498" s="26" t="n">
        <f aca="false">P498*J498</f>
        <v>0</v>
      </c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31"/>
      <c r="AC498" s="31"/>
      <c r="AD498" s="31"/>
      <c r="AE498" s="26"/>
      <c r="AF498" s="26"/>
      <c r="AG498" s="26"/>
    </row>
    <row r="499" customFormat="false" ht="15" hidden="false" customHeight="true" outlineLevel="0" collapsed="false">
      <c r="A499" s="24" t="n">
        <v>494</v>
      </c>
      <c r="B499" s="25"/>
      <c r="C499" s="26"/>
      <c r="D499" s="26"/>
      <c r="E499" s="26"/>
      <c r="F499" s="26"/>
      <c r="G499" s="26"/>
      <c r="H499" s="24" t="str">
        <f aca="false">IFERROR(INDEX('Operator Master'!$B$5:$B$504,MATCH(G499,'Operator Master'!$A$5:$A$504,0)),"")</f>
        <v/>
      </c>
      <c r="I499" s="26"/>
      <c r="J499" s="26"/>
      <c r="K499" s="26"/>
      <c r="L499" s="26"/>
      <c r="M499" s="26"/>
      <c r="N499" s="26"/>
      <c r="O499" s="26"/>
      <c r="P499" s="30" t="n">
        <v>8</v>
      </c>
      <c r="Q499" s="26" t="n">
        <f aca="false">P499*J499</f>
        <v>0</v>
      </c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31"/>
      <c r="AC499" s="31"/>
      <c r="AD499" s="31"/>
      <c r="AE499" s="26"/>
      <c r="AF499" s="26"/>
      <c r="AG499" s="26"/>
    </row>
    <row r="500" customFormat="false" ht="15" hidden="false" customHeight="true" outlineLevel="0" collapsed="false">
      <c r="A500" s="24" t="n">
        <v>495</v>
      </c>
      <c r="B500" s="25"/>
      <c r="C500" s="26"/>
      <c r="D500" s="26"/>
      <c r="E500" s="26"/>
      <c r="F500" s="26"/>
      <c r="G500" s="26"/>
      <c r="H500" s="24" t="str">
        <f aca="false">IFERROR(INDEX('Operator Master'!$B$5:$B$504,MATCH(G500,'Operator Master'!$A$5:$A$504,0)),"")</f>
        <v/>
      </c>
      <c r="I500" s="26"/>
      <c r="J500" s="26"/>
      <c r="K500" s="26"/>
      <c r="L500" s="26"/>
      <c r="M500" s="26"/>
      <c r="N500" s="26"/>
      <c r="O500" s="26"/>
      <c r="P500" s="30" t="n">
        <v>8</v>
      </c>
      <c r="Q500" s="26" t="n">
        <f aca="false">P500*J500</f>
        <v>0</v>
      </c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31"/>
      <c r="AC500" s="31"/>
      <c r="AD500" s="31"/>
      <c r="AE500" s="26"/>
      <c r="AF500" s="26"/>
      <c r="AG500" s="26"/>
    </row>
    <row r="501" customFormat="false" ht="15" hidden="false" customHeight="true" outlineLevel="0" collapsed="false">
      <c r="A501" s="24" t="n">
        <v>496</v>
      </c>
      <c r="B501" s="25"/>
      <c r="C501" s="26"/>
      <c r="D501" s="26"/>
      <c r="E501" s="26"/>
      <c r="F501" s="26"/>
      <c r="G501" s="26"/>
      <c r="H501" s="24" t="str">
        <f aca="false">IFERROR(INDEX('Operator Master'!$B$5:$B$504,MATCH(G501,'Operator Master'!$A$5:$A$504,0)),"")</f>
        <v/>
      </c>
      <c r="I501" s="26"/>
      <c r="J501" s="26"/>
      <c r="K501" s="26"/>
      <c r="L501" s="26"/>
      <c r="M501" s="26"/>
      <c r="N501" s="26"/>
      <c r="O501" s="26"/>
      <c r="P501" s="30" t="n">
        <v>8</v>
      </c>
      <c r="Q501" s="26" t="n">
        <f aca="false">P501*J501</f>
        <v>0</v>
      </c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31"/>
      <c r="AC501" s="31"/>
      <c r="AD501" s="31"/>
      <c r="AE501" s="26"/>
      <c r="AF501" s="26"/>
      <c r="AG501" s="26"/>
    </row>
    <row r="502" customFormat="false" ht="15" hidden="false" customHeight="true" outlineLevel="0" collapsed="false">
      <c r="A502" s="24" t="n">
        <v>497</v>
      </c>
      <c r="B502" s="25"/>
      <c r="C502" s="26"/>
      <c r="D502" s="26"/>
      <c r="E502" s="26"/>
      <c r="F502" s="26"/>
      <c r="G502" s="26"/>
      <c r="H502" s="24" t="str">
        <f aca="false">IFERROR(INDEX('Operator Master'!$B$5:$B$504,MATCH(G502,'Operator Master'!$A$5:$A$504,0)),"")</f>
        <v/>
      </c>
      <c r="I502" s="26"/>
      <c r="J502" s="26"/>
      <c r="K502" s="26"/>
      <c r="L502" s="26"/>
      <c r="M502" s="26"/>
      <c r="N502" s="26"/>
      <c r="O502" s="26"/>
      <c r="P502" s="30" t="n">
        <v>8</v>
      </c>
      <c r="Q502" s="26" t="n">
        <f aca="false">P502*J502</f>
        <v>0</v>
      </c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31"/>
      <c r="AC502" s="31"/>
      <c r="AD502" s="31"/>
      <c r="AE502" s="26"/>
      <c r="AF502" s="26"/>
      <c r="AG502" s="26"/>
    </row>
    <row r="503" customFormat="false" ht="15" hidden="false" customHeight="true" outlineLevel="0" collapsed="false">
      <c r="A503" s="24" t="n">
        <v>498</v>
      </c>
      <c r="B503" s="25"/>
      <c r="C503" s="26"/>
      <c r="D503" s="26"/>
      <c r="E503" s="26"/>
      <c r="F503" s="26"/>
      <c r="G503" s="26"/>
      <c r="H503" s="24" t="str">
        <f aca="false">IFERROR(INDEX('Operator Master'!$B$5:$B$504,MATCH(G503,'Operator Master'!$A$5:$A$504,0)),"")</f>
        <v/>
      </c>
      <c r="I503" s="26"/>
      <c r="J503" s="26"/>
      <c r="K503" s="26"/>
      <c r="L503" s="26"/>
      <c r="M503" s="26"/>
      <c r="N503" s="26"/>
      <c r="O503" s="26"/>
      <c r="P503" s="30" t="n">
        <v>8</v>
      </c>
      <c r="Q503" s="26" t="n">
        <f aca="false">P503*J503</f>
        <v>0</v>
      </c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31"/>
      <c r="AC503" s="31"/>
      <c r="AD503" s="31"/>
      <c r="AE503" s="26"/>
      <c r="AF503" s="26"/>
      <c r="AG503" s="26"/>
    </row>
    <row r="504" customFormat="false" ht="15" hidden="false" customHeight="true" outlineLevel="0" collapsed="false">
      <c r="A504" s="24" t="n">
        <v>499</v>
      </c>
      <c r="B504" s="25"/>
      <c r="C504" s="26"/>
      <c r="D504" s="26"/>
      <c r="E504" s="26"/>
      <c r="F504" s="26"/>
      <c r="G504" s="26"/>
      <c r="H504" s="24" t="str">
        <f aca="false">IFERROR(INDEX('Operator Master'!$B$5:$B$504,MATCH(G504,'Operator Master'!$A$5:$A$504,0)),"")</f>
        <v/>
      </c>
      <c r="I504" s="26"/>
      <c r="J504" s="26"/>
      <c r="K504" s="26"/>
      <c r="L504" s="26"/>
      <c r="M504" s="26"/>
      <c r="N504" s="26"/>
      <c r="O504" s="26"/>
      <c r="P504" s="30" t="n">
        <v>8</v>
      </c>
      <c r="Q504" s="26" t="n">
        <f aca="false">P504*J504</f>
        <v>0</v>
      </c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31"/>
      <c r="AC504" s="31"/>
      <c r="AD504" s="31"/>
      <c r="AE504" s="26"/>
      <c r="AF504" s="26"/>
      <c r="AG504" s="26"/>
    </row>
    <row r="505" customFormat="false" ht="15" hidden="false" customHeight="true" outlineLevel="0" collapsed="false">
      <c r="A505" s="24" t="n">
        <v>500</v>
      </c>
      <c r="B505" s="25"/>
      <c r="C505" s="26"/>
      <c r="D505" s="26"/>
      <c r="E505" s="26"/>
      <c r="F505" s="26"/>
      <c r="G505" s="26"/>
      <c r="H505" s="24" t="str">
        <f aca="false">IFERROR(INDEX('Operator Master'!$B$5:$B$504,MATCH(G505,'Operator Master'!$A$5:$A$504,0)),"")</f>
        <v/>
      </c>
      <c r="I505" s="26"/>
      <c r="J505" s="26"/>
      <c r="K505" s="26"/>
      <c r="L505" s="26"/>
      <c r="M505" s="26"/>
      <c r="N505" s="26"/>
      <c r="O505" s="26"/>
      <c r="P505" s="30" t="n">
        <v>8</v>
      </c>
      <c r="Q505" s="26" t="n">
        <f aca="false">P505*J505</f>
        <v>0</v>
      </c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31"/>
      <c r="AC505" s="31"/>
      <c r="AD505" s="31"/>
      <c r="AE505" s="26"/>
      <c r="AF505" s="26"/>
      <c r="AG505" s="26"/>
    </row>
    <row r="510" customFormat="false" ht="15" hidden="false" customHeight="true" outlineLevel="0" collapsed="false">
      <c r="A510" s="32" t="s">
        <v>425</v>
      </c>
    </row>
    <row r="511" customFormat="false" ht="54.75" hidden="false" customHeight="true" outlineLevel="0" collapsed="false">
      <c r="A511" s="17" t="s">
        <v>426</v>
      </c>
      <c r="B511" s="17" t="s">
        <v>4</v>
      </c>
      <c r="C511" s="17" t="s">
        <v>6</v>
      </c>
      <c r="D511" s="17" t="s">
        <v>131</v>
      </c>
      <c r="E511" s="17" t="s">
        <v>9</v>
      </c>
      <c r="F511" s="17" t="s">
        <v>10</v>
      </c>
      <c r="G511" s="17" t="s">
        <v>132</v>
      </c>
      <c r="H511" s="17" t="s">
        <v>133</v>
      </c>
      <c r="I511" s="17" t="s">
        <v>134</v>
      </c>
      <c r="J511" s="17" t="s">
        <v>135</v>
      </c>
      <c r="K511" s="17" t="s">
        <v>136</v>
      </c>
      <c r="L511" s="17" t="s">
        <v>137</v>
      </c>
      <c r="M511" s="17" t="s">
        <v>138</v>
      </c>
      <c r="N511" s="17" t="s">
        <v>139</v>
      </c>
      <c r="O511" s="17" t="s">
        <v>140</v>
      </c>
      <c r="P511" s="33"/>
    </row>
    <row r="512" customFormat="false" ht="41.25" hidden="false" customHeight="true" outlineLevel="0" collapsed="false">
      <c r="A512" s="18" t="n">
        <v>1</v>
      </c>
      <c r="B512" s="25"/>
      <c r="C512" s="26"/>
      <c r="D512" s="26"/>
      <c r="E512" s="26" t="s">
        <v>44</v>
      </c>
      <c r="F512" s="24" t="str">
        <f aca="false">IFERROR(INDEX('Operator Master'!$B$5:$B$504,MATCH(E512,'Operator Master'!$A$5:$A$504,0)),"")</f>
        <v>MD. MAHABUB ALAM</v>
      </c>
      <c r="G512" s="26"/>
      <c r="H512" s="24" t="str">
        <f aca="false">IFERROR(INDEX('Fault Master'!$B$5:$B$104,MATCH(G512,'Fault Master'!$A$5:$A$104,0)),"")</f>
        <v/>
      </c>
      <c r="I512" s="24" t="str">
        <f aca="false">IFERROR(INDEX('Fault Master'!$C$5:$C$104,MATCH(G512,'Fault Master'!$A$5:$A$104,0)),"")</f>
        <v/>
      </c>
      <c r="J512" s="26"/>
      <c r="K512" s="26"/>
      <c r="L512" s="26"/>
      <c r="M512" s="26"/>
      <c r="N512" s="26"/>
      <c r="O512" s="26"/>
      <c r="P512" s="34"/>
    </row>
    <row r="513" customFormat="false" ht="15" hidden="false" customHeight="true" outlineLevel="0" collapsed="false">
      <c r="A513" s="18" t="n">
        <v>2</v>
      </c>
      <c r="B513" s="25"/>
      <c r="C513" s="26"/>
      <c r="D513" s="26"/>
      <c r="E513" s="26"/>
      <c r="F513" s="24" t="str">
        <f aca="false">IFERROR(INDEX('Operator Master'!$B$5:$B$504,MATCH(E513,'Operator Master'!$A$5:$A$504,0)),"")</f>
        <v/>
      </c>
      <c r="G513" s="26"/>
      <c r="H513" s="24" t="str">
        <f aca="false">IFERROR(INDEX('Fault Master'!$B$5:$B$104,MATCH(G513,'Fault Master'!$A$5:$A$104,0)),"")</f>
        <v/>
      </c>
      <c r="I513" s="24" t="str">
        <f aca="false">IFERROR(INDEX('Fault Master'!$C$5:$C$104,MATCH(G513,'Fault Master'!$A$5:$A$104,0)),"")</f>
        <v/>
      </c>
      <c r="J513" s="26"/>
      <c r="K513" s="26"/>
      <c r="L513" s="26"/>
      <c r="M513" s="26"/>
      <c r="N513" s="26"/>
      <c r="O513" s="26"/>
      <c r="P513" s="34"/>
    </row>
    <row r="514" customFormat="false" ht="15" hidden="false" customHeight="true" outlineLevel="0" collapsed="false">
      <c r="A514" s="18" t="n">
        <v>3</v>
      </c>
      <c r="B514" s="25"/>
      <c r="C514" s="26"/>
      <c r="D514" s="26"/>
      <c r="E514" s="26"/>
      <c r="F514" s="24" t="str">
        <f aca="false">IFERROR(INDEX('Operator Master'!$B$5:$B$504,MATCH(E514,'Operator Master'!$A$5:$A$504,0)),"")</f>
        <v/>
      </c>
      <c r="G514" s="26"/>
      <c r="H514" s="24" t="str">
        <f aca="false">IFERROR(INDEX('Fault Master'!$B$5:$B$104,MATCH(G514,'Fault Master'!$A$5:$A$104,0)),"")</f>
        <v/>
      </c>
      <c r="I514" s="24" t="str">
        <f aca="false">IFERROR(INDEX('Fault Master'!$C$5:$C$104,MATCH(G514,'Fault Master'!$A$5:$A$104,0)),"")</f>
        <v/>
      </c>
      <c r="J514" s="26"/>
      <c r="K514" s="26"/>
      <c r="L514" s="26"/>
      <c r="M514" s="26"/>
      <c r="N514" s="26"/>
      <c r="O514" s="26"/>
      <c r="P514" s="34"/>
    </row>
    <row r="515" customFormat="false" ht="15" hidden="false" customHeight="true" outlineLevel="0" collapsed="false">
      <c r="A515" s="18" t="n">
        <v>4</v>
      </c>
      <c r="B515" s="25"/>
      <c r="C515" s="26"/>
      <c r="D515" s="26"/>
      <c r="E515" s="26"/>
      <c r="F515" s="24" t="str">
        <f aca="false">IFERROR(INDEX('Operator Master'!$B$5:$B$504,MATCH(E515,'Operator Master'!$A$5:$A$504,0)),"")</f>
        <v/>
      </c>
      <c r="G515" s="26"/>
      <c r="H515" s="24" t="str">
        <f aca="false">IFERROR(INDEX('Fault Master'!$B$5:$B$104,MATCH(G515,'Fault Master'!$A$5:$A$104,0)),"")</f>
        <v/>
      </c>
      <c r="I515" s="24" t="str">
        <f aca="false">IFERROR(INDEX('Fault Master'!$C$5:$C$104,MATCH(G515,'Fault Master'!$A$5:$A$104,0)),"")</f>
        <v/>
      </c>
      <c r="J515" s="26"/>
      <c r="K515" s="26"/>
      <c r="L515" s="26"/>
      <c r="M515" s="26"/>
      <c r="N515" s="26"/>
      <c r="O515" s="26"/>
      <c r="P515" s="34"/>
    </row>
    <row r="516" customFormat="false" ht="15" hidden="false" customHeight="true" outlineLevel="0" collapsed="false">
      <c r="A516" s="18" t="n">
        <v>5</v>
      </c>
      <c r="B516" s="25"/>
      <c r="C516" s="26"/>
      <c r="D516" s="26"/>
      <c r="E516" s="26"/>
      <c r="F516" s="24" t="str">
        <f aca="false">IFERROR(INDEX('Operator Master'!$B$5:$B$504,MATCH(E516,'Operator Master'!$A$5:$A$504,0)),"")</f>
        <v/>
      </c>
      <c r="G516" s="26"/>
      <c r="H516" s="24" t="str">
        <f aca="false">IFERROR(INDEX('Fault Master'!$B$5:$B$104,MATCH(G516,'Fault Master'!$A$5:$A$104,0)),"")</f>
        <v/>
      </c>
      <c r="I516" s="24" t="str">
        <f aca="false">IFERROR(INDEX('Fault Master'!$C$5:$C$104,MATCH(G516,'Fault Master'!$A$5:$A$104,0)),"")</f>
        <v/>
      </c>
      <c r="J516" s="26"/>
      <c r="K516" s="26"/>
      <c r="L516" s="26"/>
      <c r="M516" s="26"/>
      <c r="N516" s="26"/>
      <c r="O516" s="26"/>
      <c r="P516" s="34"/>
    </row>
    <row r="517" customFormat="false" ht="15" hidden="false" customHeight="true" outlineLevel="0" collapsed="false">
      <c r="A517" s="18" t="n">
        <v>6</v>
      </c>
      <c r="B517" s="25"/>
      <c r="C517" s="26"/>
      <c r="D517" s="26"/>
      <c r="E517" s="26"/>
      <c r="F517" s="24" t="str">
        <f aca="false">IFERROR(INDEX('Operator Master'!$B$5:$B$504,MATCH(E517,'Operator Master'!$A$5:$A$504,0)),"")</f>
        <v/>
      </c>
      <c r="G517" s="26"/>
      <c r="H517" s="24" t="str">
        <f aca="false">IFERROR(INDEX('Fault Master'!$B$5:$B$104,MATCH(G517,'Fault Master'!$A$5:$A$104,0)),"")</f>
        <v/>
      </c>
      <c r="I517" s="24" t="str">
        <f aca="false">IFERROR(INDEX('Fault Master'!$C$5:$C$104,MATCH(G517,'Fault Master'!$A$5:$A$104,0)),"")</f>
        <v/>
      </c>
      <c r="J517" s="26"/>
      <c r="K517" s="26"/>
      <c r="L517" s="26"/>
      <c r="M517" s="26"/>
      <c r="N517" s="26"/>
      <c r="O517" s="26"/>
      <c r="P517" s="34"/>
    </row>
    <row r="518" customFormat="false" ht="15" hidden="false" customHeight="true" outlineLevel="0" collapsed="false">
      <c r="A518" s="18" t="n">
        <v>7</v>
      </c>
      <c r="B518" s="25"/>
      <c r="C518" s="26"/>
      <c r="D518" s="26"/>
      <c r="E518" s="26"/>
      <c r="F518" s="24" t="str">
        <f aca="false">IFERROR(INDEX('Operator Master'!$B$5:$B$504,MATCH(E518,'Operator Master'!$A$5:$A$504,0)),"")</f>
        <v/>
      </c>
      <c r="G518" s="26"/>
      <c r="H518" s="24" t="str">
        <f aca="false">IFERROR(INDEX('Fault Master'!$B$5:$B$104,MATCH(G518,'Fault Master'!$A$5:$A$104,0)),"")</f>
        <v/>
      </c>
      <c r="I518" s="24" t="str">
        <f aca="false">IFERROR(INDEX('Fault Master'!$C$5:$C$104,MATCH(G518,'Fault Master'!$A$5:$A$104,0)),"")</f>
        <v/>
      </c>
      <c r="J518" s="26"/>
      <c r="K518" s="26"/>
      <c r="L518" s="26"/>
      <c r="M518" s="26"/>
      <c r="N518" s="26"/>
      <c r="O518" s="26"/>
      <c r="P518" s="34"/>
    </row>
    <row r="519" customFormat="false" ht="15" hidden="false" customHeight="true" outlineLevel="0" collapsed="false">
      <c r="A519" s="18" t="n">
        <v>8</v>
      </c>
      <c r="B519" s="25"/>
      <c r="C519" s="26"/>
      <c r="D519" s="26"/>
      <c r="E519" s="26"/>
      <c r="F519" s="24" t="str">
        <f aca="false">IFERROR(INDEX('Operator Master'!$B$5:$B$504,MATCH(E519,'Operator Master'!$A$5:$A$504,0)),"")</f>
        <v/>
      </c>
      <c r="G519" s="26"/>
      <c r="H519" s="24" t="str">
        <f aca="false">IFERROR(INDEX('Fault Master'!$B$5:$B$104,MATCH(G519,'Fault Master'!$A$5:$A$104,0)),"")</f>
        <v/>
      </c>
      <c r="I519" s="24" t="str">
        <f aca="false">IFERROR(INDEX('Fault Master'!$C$5:$C$104,MATCH(G519,'Fault Master'!$A$5:$A$104,0)),"")</f>
        <v/>
      </c>
      <c r="J519" s="26"/>
      <c r="K519" s="26"/>
      <c r="L519" s="26"/>
      <c r="M519" s="26"/>
      <c r="N519" s="26"/>
      <c r="O519" s="26"/>
      <c r="P519" s="34"/>
    </row>
    <row r="520" customFormat="false" ht="15" hidden="false" customHeight="true" outlineLevel="0" collapsed="false">
      <c r="A520" s="18" t="n">
        <v>9</v>
      </c>
      <c r="B520" s="25"/>
      <c r="C520" s="26"/>
      <c r="D520" s="26"/>
      <c r="E520" s="26"/>
      <c r="F520" s="24" t="str">
        <f aca="false">IFERROR(INDEX('Operator Master'!$B$5:$B$504,MATCH(E520,'Operator Master'!$A$5:$A$504,0)),"")</f>
        <v/>
      </c>
      <c r="G520" s="26"/>
      <c r="H520" s="24" t="str">
        <f aca="false">IFERROR(INDEX('Fault Master'!$B$5:$B$104,MATCH(G520,'Fault Master'!$A$5:$A$104,0)),"")</f>
        <v/>
      </c>
      <c r="I520" s="24" t="str">
        <f aca="false">IFERROR(INDEX('Fault Master'!$C$5:$C$104,MATCH(G520,'Fault Master'!$A$5:$A$104,0)),"")</f>
        <v/>
      </c>
      <c r="J520" s="26"/>
      <c r="K520" s="26"/>
      <c r="L520" s="26"/>
      <c r="M520" s="26"/>
      <c r="N520" s="26"/>
      <c r="O520" s="26"/>
      <c r="P520" s="34"/>
    </row>
    <row r="521" customFormat="false" ht="15" hidden="false" customHeight="true" outlineLevel="0" collapsed="false">
      <c r="A521" s="18" t="n">
        <v>10</v>
      </c>
      <c r="B521" s="25"/>
      <c r="C521" s="26"/>
      <c r="D521" s="26"/>
      <c r="E521" s="26"/>
      <c r="F521" s="24" t="str">
        <f aca="false">IFERROR(INDEX('Operator Master'!$B$5:$B$504,MATCH(E521,'Operator Master'!$A$5:$A$504,0)),"")</f>
        <v/>
      </c>
      <c r="G521" s="26"/>
      <c r="H521" s="24" t="str">
        <f aca="false">IFERROR(INDEX('Fault Master'!$B$5:$B$104,MATCH(G521,'Fault Master'!$A$5:$A$104,0)),"")</f>
        <v/>
      </c>
      <c r="I521" s="24" t="str">
        <f aca="false">IFERROR(INDEX('Fault Master'!$C$5:$C$104,MATCH(G521,'Fault Master'!$A$5:$A$104,0)),"")</f>
        <v/>
      </c>
      <c r="J521" s="26"/>
      <c r="K521" s="26"/>
      <c r="L521" s="26"/>
      <c r="M521" s="26"/>
      <c r="N521" s="26"/>
      <c r="O521" s="26"/>
      <c r="P521" s="34"/>
    </row>
    <row r="522" customFormat="false" ht="15" hidden="false" customHeight="true" outlineLevel="0" collapsed="false">
      <c r="A522" s="18" t="n">
        <v>11</v>
      </c>
      <c r="B522" s="25"/>
      <c r="C522" s="26"/>
      <c r="D522" s="26"/>
      <c r="E522" s="26"/>
      <c r="F522" s="24" t="str">
        <f aca="false">IFERROR(INDEX('Operator Master'!$B$5:$B$504,MATCH(E522,'Operator Master'!$A$5:$A$504,0)),"")</f>
        <v/>
      </c>
      <c r="G522" s="26"/>
      <c r="H522" s="24" t="str">
        <f aca="false">IFERROR(INDEX('Fault Master'!$B$5:$B$104,MATCH(G522,'Fault Master'!$A$5:$A$104,0)),"")</f>
        <v/>
      </c>
      <c r="I522" s="24" t="str">
        <f aca="false">IFERROR(INDEX('Fault Master'!$C$5:$C$104,MATCH(G522,'Fault Master'!$A$5:$A$104,0)),"")</f>
        <v/>
      </c>
      <c r="J522" s="26"/>
      <c r="K522" s="26"/>
      <c r="L522" s="26"/>
      <c r="M522" s="26"/>
      <c r="N522" s="26"/>
      <c r="O522" s="26"/>
      <c r="P522" s="34"/>
    </row>
    <row r="523" customFormat="false" ht="15" hidden="false" customHeight="true" outlineLevel="0" collapsed="false">
      <c r="A523" s="18" t="n">
        <v>12</v>
      </c>
      <c r="B523" s="25"/>
      <c r="C523" s="26"/>
      <c r="D523" s="26"/>
      <c r="E523" s="26"/>
      <c r="F523" s="24" t="str">
        <f aca="false">IFERROR(INDEX('Operator Master'!$B$5:$B$504,MATCH(E523,'Operator Master'!$A$5:$A$504,0)),"")</f>
        <v/>
      </c>
      <c r="G523" s="26"/>
      <c r="H523" s="24" t="str">
        <f aca="false">IFERROR(INDEX('Fault Master'!$B$5:$B$104,MATCH(G523,'Fault Master'!$A$5:$A$104,0)),"")</f>
        <v/>
      </c>
      <c r="I523" s="24" t="str">
        <f aca="false">IFERROR(INDEX('Fault Master'!$C$5:$C$104,MATCH(G523,'Fault Master'!$A$5:$A$104,0)),"")</f>
        <v/>
      </c>
      <c r="J523" s="26"/>
      <c r="K523" s="26"/>
      <c r="L523" s="26"/>
      <c r="M523" s="26"/>
      <c r="N523" s="26"/>
      <c r="O523" s="26"/>
      <c r="P523" s="34"/>
    </row>
    <row r="524" customFormat="false" ht="15" hidden="false" customHeight="true" outlineLevel="0" collapsed="false">
      <c r="A524" s="18" t="n">
        <v>13</v>
      </c>
      <c r="B524" s="25"/>
      <c r="C524" s="26"/>
      <c r="D524" s="26"/>
      <c r="E524" s="26"/>
      <c r="F524" s="24" t="str">
        <f aca="false">IFERROR(INDEX('Operator Master'!$B$5:$B$504,MATCH(E524,'Operator Master'!$A$5:$A$504,0)),"")</f>
        <v/>
      </c>
      <c r="G524" s="26"/>
      <c r="H524" s="24" t="str">
        <f aca="false">IFERROR(INDEX('Fault Master'!$B$5:$B$104,MATCH(G524,'Fault Master'!$A$5:$A$104,0)),"")</f>
        <v/>
      </c>
      <c r="I524" s="24" t="str">
        <f aca="false">IFERROR(INDEX('Fault Master'!$C$5:$C$104,MATCH(G524,'Fault Master'!$A$5:$A$104,0)),"")</f>
        <v/>
      </c>
      <c r="J524" s="26"/>
      <c r="K524" s="26"/>
      <c r="L524" s="26"/>
      <c r="M524" s="26"/>
      <c r="N524" s="26"/>
      <c r="O524" s="26"/>
      <c r="P524" s="34"/>
    </row>
    <row r="525" customFormat="false" ht="15" hidden="false" customHeight="true" outlineLevel="0" collapsed="false">
      <c r="A525" s="18" t="n">
        <v>14</v>
      </c>
      <c r="B525" s="25"/>
      <c r="C525" s="26"/>
      <c r="D525" s="26"/>
      <c r="E525" s="26"/>
      <c r="F525" s="24" t="str">
        <f aca="false">IFERROR(INDEX('Operator Master'!$B$5:$B$504,MATCH(E525,'Operator Master'!$A$5:$A$504,0)),"")</f>
        <v/>
      </c>
      <c r="G525" s="26"/>
      <c r="H525" s="24" t="str">
        <f aca="false">IFERROR(INDEX('Fault Master'!$B$5:$B$104,MATCH(G525,'Fault Master'!$A$5:$A$104,0)),"")</f>
        <v/>
      </c>
      <c r="I525" s="24" t="str">
        <f aca="false">IFERROR(INDEX('Fault Master'!$C$5:$C$104,MATCH(G525,'Fault Master'!$A$5:$A$104,0)),"")</f>
        <v/>
      </c>
      <c r="J525" s="26"/>
      <c r="K525" s="26"/>
      <c r="L525" s="26"/>
      <c r="M525" s="26"/>
      <c r="N525" s="26"/>
      <c r="O525" s="26"/>
      <c r="P525" s="34"/>
    </row>
    <row r="526" customFormat="false" ht="15" hidden="false" customHeight="true" outlineLevel="0" collapsed="false">
      <c r="A526" s="18" t="n">
        <v>15</v>
      </c>
      <c r="B526" s="25"/>
      <c r="C526" s="26"/>
      <c r="D526" s="26"/>
      <c r="E526" s="26"/>
      <c r="F526" s="24" t="str">
        <f aca="false">IFERROR(INDEX('Operator Master'!$B$5:$B$504,MATCH(E526,'Operator Master'!$A$5:$A$504,0)),"")</f>
        <v/>
      </c>
      <c r="G526" s="26"/>
      <c r="H526" s="24" t="str">
        <f aca="false">IFERROR(INDEX('Fault Master'!$B$5:$B$104,MATCH(G526,'Fault Master'!$A$5:$A$104,0)),"")</f>
        <v/>
      </c>
      <c r="I526" s="24" t="str">
        <f aca="false">IFERROR(INDEX('Fault Master'!$C$5:$C$104,MATCH(G526,'Fault Master'!$A$5:$A$104,0)),"")</f>
        <v/>
      </c>
      <c r="J526" s="26"/>
      <c r="K526" s="26"/>
      <c r="L526" s="26"/>
      <c r="M526" s="26"/>
      <c r="N526" s="26"/>
      <c r="O526" s="26"/>
      <c r="P526" s="34"/>
    </row>
    <row r="527" customFormat="false" ht="15" hidden="false" customHeight="true" outlineLevel="0" collapsed="false">
      <c r="A527" s="18" t="n">
        <v>16</v>
      </c>
      <c r="B527" s="25"/>
      <c r="C527" s="26"/>
      <c r="D527" s="26"/>
      <c r="E527" s="26"/>
      <c r="F527" s="24" t="str">
        <f aca="false">IFERROR(INDEX('Operator Master'!$B$5:$B$504,MATCH(E527,'Operator Master'!$A$5:$A$504,0)),"")</f>
        <v/>
      </c>
      <c r="G527" s="26"/>
      <c r="H527" s="24" t="str">
        <f aca="false">IFERROR(INDEX('Fault Master'!$B$5:$B$104,MATCH(G527,'Fault Master'!$A$5:$A$104,0)),"")</f>
        <v/>
      </c>
      <c r="I527" s="24" t="str">
        <f aca="false">IFERROR(INDEX('Fault Master'!$C$5:$C$104,MATCH(G527,'Fault Master'!$A$5:$A$104,0)),"")</f>
        <v/>
      </c>
      <c r="J527" s="26"/>
      <c r="K527" s="26"/>
      <c r="L527" s="26"/>
      <c r="M527" s="26"/>
      <c r="N527" s="26"/>
      <c r="O527" s="26"/>
      <c r="P527" s="34"/>
    </row>
    <row r="528" customFormat="false" ht="15" hidden="false" customHeight="true" outlineLevel="0" collapsed="false">
      <c r="A528" s="18" t="n">
        <v>17</v>
      </c>
      <c r="B528" s="25"/>
      <c r="C528" s="26"/>
      <c r="D528" s="26"/>
      <c r="E528" s="26"/>
      <c r="F528" s="24" t="str">
        <f aca="false">IFERROR(INDEX('Operator Master'!$B$5:$B$504,MATCH(E528,'Operator Master'!$A$5:$A$504,0)),"")</f>
        <v/>
      </c>
      <c r="G528" s="26"/>
      <c r="H528" s="24" t="str">
        <f aca="false">IFERROR(INDEX('Fault Master'!$B$5:$B$104,MATCH(G528,'Fault Master'!$A$5:$A$104,0)),"")</f>
        <v/>
      </c>
      <c r="I528" s="24" t="str">
        <f aca="false">IFERROR(INDEX('Fault Master'!$C$5:$C$104,MATCH(G528,'Fault Master'!$A$5:$A$104,0)),"")</f>
        <v/>
      </c>
      <c r="J528" s="26"/>
      <c r="K528" s="26"/>
      <c r="L528" s="26"/>
      <c r="M528" s="26"/>
      <c r="N528" s="26"/>
      <c r="O528" s="26"/>
      <c r="P528" s="34"/>
    </row>
    <row r="529" customFormat="false" ht="15" hidden="false" customHeight="true" outlineLevel="0" collapsed="false">
      <c r="A529" s="18" t="n">
        <v>18</v>
      </c>
      <c r="B529" s="25"/>
      <c r="C529" s="26"/>
      <c r="D529" s="26"/>
      <c r="E529" s="26"/>
      <c r="F529" s="24" t="str">
        <f aca="false">IFERROR(INDEX('Operator Master'!$B$5:$B$504,MATCH(E529,'Operator Master'!$A$5:$A$504,0)),"")</f>
        <v/>
      </c>
      <c r="G529" s="26"/>
      <c r="H529" s="24" t="str">
        <f aca="false">IFERROR(INDEX('Fault Master'!$B$5:$B$104,MATCH(G529,'Fault Master'!$A$5:$A$104,0)),"")</f>
        <v/>
      </c>
      <c r="I529" s="24" t="str">
        <f aca="false">IFERROR(INDEX('Fault Master'!$C$5:$C$104,MATCH(G529,'Fault Master'!$A$5:$A$104,0)),"")</f>
        <v/>
      </c>
      <c r="J529" s="26"/>
      <c r="K529" s="26"/>
      <c r="L529" s="26"/>
      <c r="M529" s="26"/>
      <c r="N529" s="26"/>
      <c r="O529" s="26"/>
      <c r="P529" s="34"/>
    </row>
    <row r="530" customFormat="false" ht="15" hidden="false" customHeight="true" outlineLevel="0" collapsed="false">
      <c r="A530" s="18" t="n">
        <v>19</v>
      </c>
      <c r="B530" s="25"/>
      <c r="C530" s="26"/>
      <c r="D530" s="26"/>
      <c r="E530" s="26"/>
      <c r="F530" s="24" t="str">
        <f aca="false">IFERROR(INDEX('Operator Master'!$B$5:$B$504,MATCH(E530,'Operator Master'!$A$5:$A$504,0)),"")</f>
        <v/>
      </c>
      <c r="G530" s="26"/>
      <c r="H530" s="24" t="str">
        <f aca="false">IFERROR(INDEX('Fault Master'!$B$5:$B$104,MATCH(G530,'Fault Master'!$A$5:$A$104,0)),"")</f>
        <v/>
      </c>
      <c r="I530" s="24" t="str">
        <f aca="false">IFERROR(INDEX('Fault Master'!$C$5:$C$104,MATCH(G530,'Fault Master'!$A$5:$A$104,0)),"")</f>
        <v/>
      </c>
      <c r="J530" s="26"/>
      <c r="K530" s="26"/>
      <c r="L530" s="26"/>
      <c r="M530" s="26"/>
      <c r="N530" s="26"/>
      <c r="O530" s="26"/>
      <c r="P530" s="34"/>
    </row>
    <row r="531" customFormat="false" ht="15" hidden="false" customHeight="true" outlineLevel="0" collapsed="false">
      <c r="A531" s="18" t="n">
        <v>20</v>
      </c>
      <c r="B531" s="25"/>
      <c r="C531" s="26"/>
      <c r="D531" s="26"/>
      <c r="E531" s="26"/>
      <c r="F531" s="24" t="str">
        <f aca="false">IFERROR(INDEX('Operator Master'!$B$5:$B$504,MATCH(E531,'Operator Master'!$A$5:$A$504,0)),"")</f>
        <v/>
      </c>
      <c r="G531" s="26"/>
      <c r="H531" s="24" t="str">
        <f aca="false">IFERROR(INDEX('Fault Master'!$B$5:$B$104,MATCH(G531,'Fault Master'!$A$5:$A$104,0)),"")</f>
        <v/>
      </c>
      <c r="I531" s="24" t="str">
        <f aca="false">IFERROR(INDEX('Fault Master'!$C$5:$C$104,MATCH(G531,'Fault Master'!$A$5:$A$104,0)),"")</f>
        <v/>
      </c>
      <c r="J531" s="26"/>
      <c r="K531" s="26"/>
      <c r="L531" s="26"/>
      <c r="M531" s="26"/>
      <c r="N531" s="26"/>
      <c r="O531" s="26"/>
      <c r="P531" s="34"/>
    </row>
    <row r="532" customFormat="false" ht="15" hidden="false" customHeight="true" outlineLevel="0" collapsed="false">
      <c r="A532" s="18" t="n">
        <v>21</v>
      </c>
      <c r="B532" s="25"/>
      <c r="C532" s="26"/>
      <c r="D532" s="26"/>
      <c r="E532" s="26"/>
      <c r="F532" s="24" t="str">
        <f aca="false">IFERROR(INDEX('Operator Master'!$B$5:$B$504,MATCH(E532,'Operator Master'!$A$5:$A$504,0)),"")</f>
        <v/>
      </c>
      <c r="G532" s="26"/>
      <c r="H532" s="24" t="str">
        <f aca="false">IFERROR(INDEX('Fault Master'!$B$5:$B$104,MATCH(G532,'Fault Master'!$A$5:$A$104,0)),"")</f>
        <v/>
      </c>
      <c r="I532" s="24" t="str">
        <f aca="false">IFERROR(INDEX('Fault Master'!$C$5:$C$104,MATCH(G532,'Fault Master'!$A$5:$A$104,0)),"")</f>
        <v/>
      </c>
      <c r="J532" s="26"/>
      <c r="K532" s="26"/>
      <c r="L532" s="26"/>
      <c r="M532" s="26"/>
      <c r="N532" s="26"/>
      <c r="O532" s="26"/>
      <c r="P532" s="34"/>
    </row>
    <row r="533" customFormat="false" ht="15" hidden="false" customHeight="true" outlineLevel="0" collapsed="false">
      <c r="A533" s="18" t="n">
        <v>22</v>
      </c>
      <c r="B533" s="25"/>
      <c r="C533" s="26"/>
      <c r="D533" s="26"/>
      <c r="E533" s="26"/>
      <c r="F533" s="24" t="str">
        <f aca="false">IFERROR(INDEX('Operator Master'!$B$5:$B$504,MATCH(E533,'Operator Master'!$A$5:$A$504,0)),"")</f>
        <v/>
      </c>
      <c r="G533" s="26"/>
      <c r="H533" s="24" t="str">
        <f aca="false">IFERROR(INDEX('Fault Master'!$B$5:$B$104,MATCH(G533,'Fault Master'!$A$5:$A$104,0)),"")</f>
        <v/>
      </c>
      <c r="I533" s="24" t="str">
        <f aca="false">IFERROR(INDEX('Fault Master'!$C$5:$C$104,MATCH(G533,'Fault Master'!$A$5:$A$104,0)),"")</f>
        <v/>
      </c>
      <c r="J533" s="26"/>
      <c r="K533" s="26"/>
      <c r="L533" s="26"/>
      <c r="M533" s="26"/>
      <c r="N533" s="26"/>
      <c r="O533" s="26"/>
      <c r="P533" s="34"/>
    </row>
    <row r="534" customFormat="false" ht="15" hidden="false" customHeight="true" outlineLevel="0" collapsed="false">
      <c r="A534" s="18" t="n">
        <v>23</v>
      </c>
      <c r="B534" s="25"/>
      <c r="C534" s="26"/>
      <c r="D534" s="26"/>
      <c r="E534" s="26"/>
      <c r="F534" s="24" t="str">
        <f aca="false">IFERROR(INDEX('Operator Master'!$B$5:$B$504,MATCH(E534,'Operator Master'!$A$5:$A$504,0)),"")</f>
        <v/>
      </c>
      <c r="G534" s="26"/>
      <c r="H534" s="24" t="str">
        <f aca="false">IFERROR(INDEX('Fault Master'!$B$5:$B$104,MATCH(G534,'Fault Master'!$A$5:$A$104,0)),"")</f>
        <v/>
      </c>
      <c r="I534" s="24" t="str">
        <f aca="false">IFERROR(INDEX('Fault Master'!$C$5:$C$104,MATCH(G534,'Fault Master'!$A$5:$A$104,0)),"")</f>
        <v/>
      </c>
      <c r="J534" s="26"/>
      <c r="K534" s="26"/>
      <c r="L534" s="26"/>
      <c r="M534" s="26"/>
      <c r="N534" s="26"/>
      <c r="O534" s="26"/>
      <c r="P534" s="34"/>
    </row>
    <row r="535" customFormat="false" ht="15" hidden="false" customHeight="true" outlineLevel="0" collapsed="false">
      <c r="A535" s="18" t="n">
        <v>24</v>
      </c>
      <c r="B535" s="25"/>
      <c r="C535" s="26"/>
      <c r="D535" s="26"/>
      <c r="E535" s="26"/>
      <c r="F535" s="24" t="str">
        <f aca="false">IFERROR(INDEX('Operator Master'!$B$5:$B$504,MATCH(E535,'Operator Master'!$A$5:$A$504,0)),"")</f>
        <v/>
      </c>
      <c r="G535" s="26"/>
      <c r="H535" s="24" t="str">
        <f aca="false">IFERROR(INDEX('Fault Master'!$B$5:$B$104,MATCH(G535,'Fault Master'!$A$5:$A$104,0)),"")</f>
        <v/>
      </c>
      <c r="I535" s="24" t="str">
        <f aca="false">IFERROR(INDEX('Fault Master'!$C$5:$C$104,MATCH(G535,'Fault Master'!$A$5:$A$104,0)),"")</f>
        <v/>
      </c>
      <c r="J535" s="26"/>
      <c r="K535" s="26"/>
      <c r="L535" s="26"/>
      <c r="M535" s="26"/>
      <c r="N535" s="26"/>
      <c r="O535" s="26"/>
      <c r="P535" s="34"/>
    </row>
    <row r="536" customFormat="false" ht="15" hidden="false" customHeight="true" outlineLevel="0" collapsed="false">
      <c r="A536" s="18" t="n">
        <v>25</v>
      </c>
      <c r="B536" s="25"/>
      <c r="C536" s="26"/>
      <c r="D536" s="26"/>
      <c r="E536" s="26"/>
      <c r="F536" s="24" t="str">
        <f aca="false">IFERROR(INDEX('Operator Master'!$B$5:$B$504,MATCH(E536,'Operator Master'!$A$5:$A$504,0)),"")</f>
        <v/>
      </c>
      <c r="G536" s="26"/>
      <c r="H536" s="24" t="str">
        <f aca="false">IFERROR(INDEX('Fault Master'!$B$5:$B$104,MATCH(G536,'Fault Master'!$A$5:$A$104,0)),"")</f>
        <v/>
      </c>
      <c r="I536" s="24" t="str">
        <f aca="false">IFERROR(INDEX('Fault Master'!$C$5:$C$104,MATCH(G536,'Fault Master'!$A$5:$A$104,0)),"")</f>
        <v/>
      </c>
      <c r="J536" s="26"/>
      <c r="K536" s="26"/>
      <c r="L536" s="26"/>
      <c r="M536" s="26"/>
      <c r="N536" s="26"/>
      <c r="O536" s="26"/>
      <c r="P536" s="34"/>
    </row>
    <row r="537" customFormat="false" ht="15" hidden="false" customHeight="true" outlineLevel="0" collapsed="false">
      <c r="A537" s="18" t="n">
        <v>26</v>
      </c>
      <c r="B537" s="25"/>
      <c r="C537" s="26"/>
      <c r="D537" s="26"/>
      <c r="E537" s="26"/>
      <c r="F537" s="24" t="str">
        <f aca="false">IFERROR(INDEX('Operator Master'!$B$5:$B$504,MATCH(E537,'Operator Master'!$A$5:$A$504,0)),"")</f>
        <v/>
      </c>
      <c r="G537" s="26"/>
      <c r="H537" s="24" t="str">
        <f aca="false">IFERROR(INDEX('Fault Master'!$B$5:$B$104,MATCH(G537,'Fault Master'!$A$5:$A$104,0)),"")</f>
        <v/>
      </c>
      <c r="I537" s="24" t="str">
        <f aca="false">IFERROR(INDEX('Fault Master'!$C$5:$C$104,MATCH(G537,'Fault Master'!$A$5:$A$104,0)),"")</f>
        <v/>
      </c>
      <c r="J537" s="26"/>
      <c r="K537" s="26"/>
      <c r="L537" s="26"/>
      <c r="M537" s="26"/>
      <c r="N537" s="26"/>
      <c r="O537" s="26"/>
      <c r="P537" s="34"/>
    </row>
    <row r="538" customFormat="false" ht="15" hidden="false" customHeight="true" outlineLevel="0" collapsed="false">
      <c r="A538" s="18" t="n">
        <v>27</v>
      </c>
      <c r="B538" s="25"/>
      <c r="C538" s="26"/>
      <c r="D538" s="26"/>
      <c r="E538" s="26"/>
      <c r="F538" s="24" t="str">
        <f aca="false">IFERROR(INDEX('Operator Master'!$B$5:$B$504,MATCH(E538,'Operator Master'!$A$5:$A$504,0)),"")</f>
        <v/>
      </c>
      <c r="G538" s="26"/>
      <c r="H538" s="24" t="str">
        <f aca="false">IFERROR(INDEX('Fault Master'!$B$5:$B$104,MATCH(G538,'Fault Master'!$A$5:$A$104,0)),"")</f>
        <v/>
      </c>
      <c r="I538" s="24" t="str">
        <f aca="false">IFERROR(INDEX('Fault Master'!$C$5:$C$104,MATCH(G538,'Fault Master'!$A$5:$A$104,0)),"")</f>
        <v/>
      </c>
      <c r="J538" s="26"/>
      <c r="K538" s="26"/>
      <c r="L538" s="26"/>
      <c r="M538" s="26"/>
      <c r="N538" s="26"/>
      <c r="O538" s="26"/>
      <c r="P538" s="34"/>
    </row>
    <row r="539" customFormat="false" ht="15" hidden="false" customHeight="true" outlineLevel="0" collapsed="false">
      <c r="A539" s="18" t="n">
        <v>28</v>
      </c>
      <c r="B539" s="25"/>
      <c r="C539" s="26"/>
      <c r="D539" s="26"/>
      <c r="E539" s="26"/>
      <c r="F539" s="24" t="str">
        <f aca="false">IFERROR(INDEX('Operator Master'!$B$5:$B$504,MATCH(E539,'Operator Master'!$A$5:$A$504,0)),"")</f>
        <v/>
      </c>
      <c r="G539" s="26"/>
      <c r="H539" s="24" t="str">
        <f aca="false">IFERROR(INDEX('Fault Master'!$B$5:$B$104,MATCH(G539,'Fault Master'!$A$5:$A$104,0)),"")</f>
        <v/>
      </c>
      <c r="I539" s="24" t="str">
        <f aca="false">IFERROR(INDEX('Fault Master'!$C$5:$C$104,MATCH(G539,'Fault Master'!$A$5:$A$104,0)),"")</f>
        <v/>
      </c>
      <c r="J539" s="26"/>
      <c r="K539" s="26"/>
      <c r="L539" s="26"/>
      <c r="M539" s="26"/>
      <c r="N539" s="26"/>
      <c r="O539" s="26"/>
      <c r="P539" s="34"/>
    </row>
    <row r="540" customFormat="false" ht="15" hidden="false" customHeight="true" outlineLevel="0" collapsed="false">
      <c r="A540" s="18" t="n">
        <v>29</v>
      </c>
      <c r="B540" s="25"/>
      <c r="C540" s="26"/>
      <c r="D540" s="26"/>
      <c r="E540" s="26"/>
      <c r="F540" s="24" t="str">
        <f aca="false">IFERROR(INDEX('Operator Master'!$B$5:$B$504,MATCH(E540,'Operator Master'!$A$5:$A$504,0)),"")</f>
        <v/>
      </c>
      <c r="G540" s="26"/>
      <c r="H540" s="24" t="str">
        <f aca="false">IFERROR(INDEX('Fault Master'!$B$5:$B$104,MATCH(G540,'Fault Master'!$A$5:$A$104,0)),"")</f>
        <v/>
      </c>
      <c r="I540" s="24" t="str">
        <f aca="false">IFERROR(INDEX('Fault Master'!$C$5:$C$104,MATCH(G540,'Fault Master'!$A$5:$A$104,0)),"")</f>
        <v/>
      </c>
      <c r="J540" s="26"/>
      <c r="K540" s="26"/>
      <c r="L540" s="26"/>
      <c r="M540" s="26"/>
      <c r="N540" s="26"/>
      <c r="O540" s="26"/>
      <c r="P540" s="34"/>
    </row>
    <row r="541" customFormat="false" ht="15" hidden="false" customHeight="true" outlineLevel="0" collapsed="false">
      <c r="A541" s="18" t="n">
        <v>30</v>
      </c>
      <c r="B541" s="25"/>
      <c r="C541" s="26"/>
      <c r="D541" s="26"/>
      <c r="E541" s="26"/>
      <c r="F541" s="24" t="str">
        <f aca="false">IFERROR(INDEX('Operator Master'!$B$5:$B$504,MATCH(E541,'Operator Master'!$A$5:$A$504,0)),"")</f>
        <v/>
      </c>
      <c r="G541" s="26"/>
      <c r="H541" s="24" t="str">
        <f aca="false">IFERROR(INDEX('Fault Master'!$B$5:$B$104,MATCH(G541,'Fault Master'!$A$5:$A$104,0)),"")</f>
        <v/>
      </c>
      <c r="I541" s="24" t="str">
        <f aca="false">IFERROR(INDEX('Fault Master'!$C$5:$C$104,MATCH(G541,'Fault Master'!$A$5:$A$104,0)),"")</f>
        <v/>
      </c>
      <c r="J541" s="26"/>
      <c r="K541" s="26"/>
      <c r="L541" s="26"/>
      <c r="M541" s="26"/>
      <c r="N541" s="26"/>
      <c r="O541" s="26"/>
      <c r="P541" s="34"/>
    </row>
    <row r="542" customFormat="false" ht="15" hidden="false" customHeight="true" outlineLevel="0" collapsed="false">
      <c r="A542" s="18" t="n">
        <v>31</v>
      </c>
      <c r="B542" s="25"/>
      <c r="C542" s="26"/>
      <c r="D542" s="26"/>
      <c r="E542" s="26"/>
      <c r="F542" s="24" t="str">
        <f aca="false">IFERROR(INDEX('Operator Master'!$B$5:$B$504,MATCH(E542,'Operator Master'!$A$5:$A$504,0)),"")</f>
        <v/>
      </c>
      <c r="G542" s="26"/>
      <c r="H542" s="24" t="str">
        <f aca="false">IFERROR(INDEX('Fault Master'!$B$5:$B$104,MATCH(G542,'Fault Master'!$A$5:$A$104,0)),"")</f>
        <v/>
      </c>
      <c r="I542" s="24" t="str">
        <f aca="false">IFERROR(INDEX('Fault Master'!$C$5:$C$104,MATCH(G542,'Fault Master'!$A$5:$A$104,0)),"")</f>
        <v/>
      </c>
      <c r="J542" s="26"/>
      <c r="K542" s="26"/>
      <c r="L542" s="26"/>
      <c r="M542" s="26"/>
      <c r="N542" s="26"/>
      <c r="O542" s="26"/>
      <c r="P542" s="34"/>
    </row>
    <row r="543" customFormat="false" ht="15" hidden="false" customHeight="true" outlineLevel="0" collapsed="false">
      <c r="A543" s="18" t="n">
        <v>32</v>
      </c>
      <c r="B543" s="25"/>
      <c r="C543" s="26"/>
      <c r="D543" s="26"/>
      <c r="E543" s="26"/>
      <c r="F543" s="24" t="str">
        <f aca="false">IFERROR(INDEX('Operator Master'!$B$5:$B$504,MATCH(E543,'Operator Master'!$A$5:$A$504,0)),"")</f>
        <v/>
      </c>
      <c r="G543" s="26"/>
      <c r="H543" s="24" t="str">
        <f aca="false">IFERROR(INDEX('Fault Master'!$B$5:$B$104,MATCH(G543,'Fault Master'!$A$5:$A$104,0)),"")</f>
        <v/>
      </c>
      <c r="I543" s="24" t="str">
        <f aca="false">IFERROR(INDEX('Fault Master'!$C$5:$C$104,MATCH(G543,'Fault Master'!$A$5:$A$104,0)),"")</f>
        <v/>
      </c>
      <c r="J543" s="26"/>
      <c r="K543" s="26"/>
      <c r="L543" s="26"/>
      <c r="M543" s="26"/>
      <c r="N543" s="26"/>
      <c r="O543" s="26"/>
      <c r="P543" s="34"/>
    </row>
    <row r="544" customFormat="false" ht="15" hidden="false" customHeight="true" outlineLevel="0" collapsed="false">
      <c r="A544" s="18" t="n">
        <v>33</v>
      </c>
      <c r="B544" s="25"/>
      <c r="C544" s="26"/>
      <c r="D544" s="26"/>
      <c r="E544" s="26"/>
      <c r="F544" s="24" t="str">
        <f aca="false">IFERROR(INDEX('Operator Master'!$B$5:$B$504,MATCH(E544,'Operator Master'!$A$5:$A$504,0)),"")</f>
        <v/>
      </c>
      <c r="G544" s="26"/>
      <c r="H544" s="24" t="str">
        <f aca="false">IFERROR(INDEX('Fault Master'!$B$5:$B$104,MATCH(G544,'Fault Master'!$A$5:$A$104,0)),"")</f>
        <v/>
      </c>
      <c r="I544" s="24" t="str">
        <f aca="false">IFERROR(INDEX('Fault Master'!$C$5:$C$104,MATCH(G544,'Fault Master'!$A$5:$A$104,0)),"")</f>
        <v/>
      </c>
      <c r="J544" s="26"/>
      <c r="K544" s="26"/>
      <c r="L544" s="26"/>
      <c r="M544" s="26"/>
      <c r="N544" s="26"/>
      <c r="O544" s="26"/>
      <c r="P544" s="34"/>
    </row>
    <row r="545" customFormat="false" ht="15" hidden="false" customHeight="true" outlineLevel="0" collapsed="false">
      <c r="A545" s="18" t="n">
        <v>34</v>
      </c>
      <c r="B545" s="25"/>
      <c r="C545" s="26"/>
      <c r="D545" s="26"/>
      <c r="E545" s="26"/>
      <c r="F545" s="24" t="str">
        <f aca="false">IFERROR(INDEX('Operator Master'!$B$5:$B$504,MATCH(E545,'Operator Master'!$A$5:$A$504,0)),"")</f>
        <v/>
      </c>
      <c r="G545" s="26"/>
      <c r="H545" s="24" t="str">
        <f aca="false">IFERROR(INDEX('Fault Master'!$B$5:$B$104,MATCH(G545,'Fault Master'!$A$5:$A$104,0)),"")</f>
        <v/>
      </c>
      <c r="I545" s="24" t="str">
        <f aca="false">IFERROR(INDEX('Fault Master'!$C$5:$C$104,MATCH(G545,'Fault Master'!$A$5:$A$104,0)),"")</f>
        <v/>
      </c>
      <c r="J545" s="26"/>
      <c r="K545" s="26"/>
      <c r="L545" s="26"/>
      <c r="M545" s="26"/>
      <c r="N545" s="26"/>
      <c r="O545" s="26"/>
      <c r="P545" s="34"/>
    </row>
    <row r="546" customFormat="false" ht="15" hidden="false" customHeight="true" outlineLevel="0" collapsed="false">
      <c r="A546" s="18" t="n">
        <v>35</v>
      </c>
      <c r="B546" s="25"/>
      <c r="C546" s="26"/>
      <c r="D546" s="26"/>
      <c r="E546" s="26"/>
      <c r="F546" s="24" t="str">
        <f aca="false">IFERROR(INDEX('Operator Master'!$B$5:$B$504,MATCH(E546,'Operator Master'!$A$5:$A$504,0)),"")</f>
        <v/>
      </c>
      <c r="G546" s="26"/>
      <c r="H546" s="24" t="str">
        <f aca="false">IFERROR(INDEX('Fault Master'!$B$5:$B$104,MATCH(G546,'Fault Master'!$A$5:$A$104,0)),"")</f>
        <v/>
      </c>
      <c r="I546" s="24" t="str">
        <f aca="false">IFERROR(INDEX('Fault Master'!$C$5:$C$104,MATCH(G546,'Fault Master'!$A$5:$A$104,0)),"")</f>
        <v/>
      </c>
      <c r="J546" s="26"/>
      <c r="K546" s="26"/>
      <c r="L546" s="26"/>
      <c r="M546" s="26"/>
      <c r="N546" s="26"/>
      <c r="O546" s="26"/>
      <c r="P546" s="34"/>
    </row>
    <row r="547" customFormat="false" ht="15" hidden="false" customHeight="true" outlineLevel="0" collapsed="false">
      <c r="A547" s="18" t="n">
        <v>36</v>
      </c>
      <c r="B547" s="25"/>
      <c r="C547" s="26"/>
      <c r="D547" s="26"/>
      <c r="E547" s="26"/>
      <c r="F547" s="24" t="str">
        <f aca="false">IFERROR(INDEX('Operator Master'!$B$5:$B$504,MATCH(E547,'Operator Master'!$A$5:$A$504,0)),"")</f>
        <v/>
      </c>
      <c r="G547" s="26"/>
      <c r="H547" s="24" t="str">
        <f aca="false">IFERROR(INDEX('Fault Master'!$B$5:$B$104,MATCH(G547,'Fault Master'!$A$5:$A$104,0)),"")</f>
        <v/>
      </c>
      <c r="I547" s="24" t="str">
        <f aca="false">IFERROR(INDEX('Fault Master'!$C$5:$C$104,MATCH(G547,'Fault Master'!$A$5:$A$104,0)),"")</f>
        <v/>
      </c>
      <c r="J547" s="26"/>
      <c r="K547" s="26"/>
      <c r="L547" s="26"/>
      <c r="M547" s="26"/>
      <c r="N547" s="26"/>
      <c r="O547" s="26"/>
      <c r="P547" s="34"/>
    </row>
    <row r="548" customFormat="false" ht="15" hidden="false" customHeight="true" outlineLevel="0" collapsed="false">
      <c r="A548" s="18" t="n">
        <v>37</v>
      </c>
      <c r="B548" s="25"/>
      <c r="C548" s="26"/>
      <c r="D548" s="26"/>
      <c r="E548" s="26"/>
      <c r="F548" s="24" t="str">
        <f aca="false">IFERROR(INDEX('Operator Master'!$B$5:$B$504,MATCH(E548,'Operator Master'!$A$5:$A$504,0)),"")</f>
        <v/>
      </c>
      <c r="G548" s="26"/>
      <c r="H548" s="24" t="str">
        <f aca="false">IFERROR(INDEX('Fault Master'!$B$5:$B$104,MATCH(G548,'Fault Master'!$A$5:$A$104,0)),"")</f>
        <v/>
      </c>
      <c r="I548" s="24" t="str">
        <f aca="false">IFERROR(INDEX('Fault Master'!$C$5:$C$104,MATCH(G548,'Fault Master'!$A$5:$A$104,0)),"")</f>
        <v/>
      </c>
      <c r="J548" s="26"/>
      <c r="K548" s="26"/>
      <c r="L548" s="26"/>
      <c r="M548" s="26"/>
      <c r="N548" s="26"/>
      <c r="O548" s="26"/>
      <c r="P548" s="34"/>
    </row>
    <row r="549" customFormat="false" ht="15" hidden="false" customHeight="true" outlineLevel="0" collapsed="false">
      <c r="A549" s="18" t="n">
        <v>38</v>
      </c>
      <c r="B549" s="25"/>
      <c r="C549" s="26"/>
      <c r="D549" s="26"/>
      <c r="E549" s="26"/>
      <c r="F549" s="24" t="str">
        <f aca="false">IFERROR(INDEX('Operator Master'!$B$5:$B$504,MATCH(E549,'Operator Master'!$A$5:$A$504,0)),"")</f>
        <v/>
      </c>
      <c r="G549" s="26"/>
      <c r="H549" s="24" t="str">
        <f aca="false">IFERROR(INDEX('Fault Master'!$B$5:$B$104,MATCH(G549,'Fault Master'!$A$5:$A$104,0)),"")</f>
        <v/>
      </c>
      <c r="I549" s="24" t="str">
        <f aca="false">IFERROR(INDEX('Fault Master'!$C$5:$C$104,MATCH(G549,'Fault Master'!$A$5:$A$104,0)),"")</f>
        <v/>
      </c>
      <c r="J549" s="26"/>
      <c r="K549" s="26"/>
      <c r="L549" s="26"/>
      <c r="M549" s="26"/>
      <c r="N549" s="26"/>
      <c r="O549" s="26"/>
      <c r="P549" s="34"/>
    </row>
    <row r="550" customFormat="false" ht="15" hidden="false" customHeight="true" outlineLevel="0" collapsed="false">
      <c r="A550" s="18" t="n">
        <v>39</v>
      </c>
      <c r="B550" s="25"/>
      <c r="C550" s="26"/>
      <c r="D550" s="26"/>
      <c r="E550" s="26"/>
      <c r="F550" s="24" t="str">
        <f aca="false">IFERROR(INDEX('Operator Master'!$B$5:$B$504,MATCH(E550,'Operator Master'!$A$5:$A$504,0)),"")</f>
        <v/>
      </c>
      <c r="G550" s="26"/>
      <c r="H550" s="24" t="str">
        <f aca="false">IFERROR(INDEX('Fault Master'!$B$5:$B$104,MATCH(G550,'Fault Master'!$A$5:$A$104,0)),"")</f>
        <v/>
      </c>
      <c r="I550" s="24" t="str">
        <f aca="false">IFERROR(INDEX('Fault Master'!$C$5:$C$104,MATCH(G550,'Fault Master'!$A$5:$A$104,0)),"")</f>
        <v/>
      </c>
      <c r="J550" s="26"/>
      <c r="K550" s="26"/>
      <c r="L550" s="26"/>
      <c r="M550" s="26"/>
      <c r="N550" s="26"/>
      <c r="O550" s="26"/>
      <c r="P550" s="34"/>
    </row>
    <row r="551" customFormat="false" ht="15" hidden="false" customHeight="true" outlineLevel="0" collapsed="false">
      <c r="A551" s="18" t="n">
        <v>40</v>
      </c>
      <c r="B551" s="25"/>
      <c r="C551" s="26"/>
      <c r="D551" s="26"/>
      <c r="E551" s="26"/>
      <c r="F551" s="24" t="str">
        <f aca="false">IFERROR(INDEX('Operator Master'!$B$5:$B$504,MATCH(E551,'Operator Master'!$A$5:$A$504,0)),"")</f>
        <v/>
      </c>
      <c r="G551" s="26"/>
      <c r="H551" s="24" t="str">
        <f aca="false">IFERROR(INDEX('Fault Master'!$B$5:$B$104,MATCH(G551,'Fault Master'!$A$5:$A$104,0)),"")</f>
        <v/>
      </c>
      <c r="I551" s="24" t="str">
        <f aca="false">IFERROR(INDEX('Fault Master'!$C$5:$C$104,MATCH(G551,'Fault Master'!$A$5:$A$104,0)),"")</f>
        <v/>
      </c>
      <c r="J551" s="26"/>
      <c r="K551" s="26"/>
      <c r="L551" s="26"/>
      <c r="M551" s="26"/>
      <c r="N551" s="26"/>
      <c r="O551" s="26"/>
      <c r="P551" s="34"/>
    </row>
    <row r="552" customFormat="false" ht="15" hidden="false" customHeight="true" outlineLevel="0" collapsed="false">
      <c r="A552" s="18" t="n">
        <v>41</v>
      </c>
      <c r="B552" s="25"/>
      <c r="C552" s="26"/>
      <c r="D552" s="26"/>
      <c r="E552" s="26"/>
      <c r="F552" s="24" t="str">
        <f aca="false">IFERROR(INDEX('Operator Master'!$B$5:$B$504,MATCH(E552,'Operator Master'!$A$5:$A$504,0)),"")</f>
        <v/>
      </c>
      <c r="G552" s="26"/>
      <c r="H552" s="24" t="str">
        <f aca="false">IFERROR(INDEX('Fault Master'!$B$5:$B$104,MATCH(G552,'Fault Master'!$A$5:$A$104,0)),"")</f>
        <v/>
      </c>
      <c r="I552" s="24" t="str">
        <f aca="false">IFERROR(INDEX('Fault Master'!$C$5:$C$104,MATCH(G552,'Fault Master'!$A$5:$A$104,0)),"")</f>
        <v/>
      </c>
      <c r="J552" s="26"/>
      <c r="K552" s="26"/>
      <c r="L552" s="26"/>
      <c r="M552" s="26"/>
      <c r="N552" s="26"/>
      <c r="O552" s="26"/>
      <c r="P552" s="34"/>
    </row>
    <row r="553" customFormat="false" ht="15" hidden="false" customHeight="true" outlineLevel="0" collapsed="false">
      <c r="A553" s="18" t="n">
        <v>42</v>
      </c>
      <c r="B553" s="25"/>
      <c r="C553" s="26"/>
      <c r="D553" s="26"/>
      <c r="E553" s="26"/>
      <c r="F553" s="24" t="str">
        <f aca="false">IFERROR(INDEX('Operator Master'!$B$5:$B$504,MATCH(E553,'Operator Master'!$A$5:$A$504,0)),"")</f>
        <v/>
      </c>
      <c r="G553" s="26"/>
      <c r="H553" s="24" t="str">
        <f aca="false">IFERROR(INDEX('Fault Master'!$B$5:$B$104,MATCH(G553,'Fault Master'!$A$5:$A$104,0)),"")</f>
        <v/>
      </c>
      <c r="I553" s="24" t="str">
        <f aca="false">IFERROR(INDEX('Fault Master'!$C$5:$C$104,MATCH(G553,'Fault Master'!$A$5:$A$104,0)),"")</f>
        <v/>
      </c>
      <c r="J553" s="26"/>
      <c r="K553" s="26"/>
      <c r="L553" s="26"/>
      <c r="M553" s="26"/>
      <c r="N553" s="26"/>
      <c r="O553" s="26"/>
      <c r="P553" s="34"/>
    </row>
    <row r="554" customFormat="false" ht="15" hidden="false" customHeight="true" outlineLevel="0" collapsed="false">
      <c r="A554" s="18" t="n">
        <v>43</v>
      </c>
      <c r="B554" s="25"/>
      <c r="C554" s="26"/>
      <c r="D554" s="26"/>
      <c r="E554" s="26"/>
      <c r="F554" s="24" t="str">
        <f aca="false">IFERROR(INDEX('Operator Master'!$B$5:$B$504,MATCH(E554,'Operator Master'!$A$5:$A$504,0)),"")</f>
        <v/>
      </c>
      <c r="G554" s="26"/>
      <c r="H554" s="24" t="str">
        <f aca="false">IFERROR(INDEX('Fault Master'!$B$5:$B$104,MATCH(G554,'Fault Master'!$A$5:$A$104,0)),"")</f>
        <v/>
      </c>
      <c r="I554" s="24" t="str">
        <f aca="false">IFERROR(INDEX('Fault Master'!$C$5:$C$104,MATCH(G554,'Fault Master'!$A$5:$A$104,0)),"")</f>
        <v/>
      </c>
      <c r="J554" s="26"/>
      <c r="K554" s="26"/>
      <c r="L554" s="26"/>
      <c r="M554" s="26"/>
      <c r="N554" s="26"/>
      <c r="O554" s="26"/>
      <c r="P554" s="34"/>
    </row>
    <row r="555" customFormat="false" ht="15" hidden="false" customHeight="true" outlineLevel="0" collapsed="false">
      <c r="A555" s="18" t="n">
        <v>44</v>
      </c>
      <c r="B555" s="25"/>
      <c r="C555" s="26"/>
      <c r="D555" s="26"/>
      <c r="E555" s="26"/>
      <c r="F555" s="24" t="str">
        <f aca="false">IFERROR(INDEX('Operator Master'!$B$5:$B$504,MATCH(E555,'Operator Master'!$A$5:$A$504,0)),"")</f>
        <v/>
      </c>
      <c r="G555" s="26"/>
      <c r="H555" s="24" t="str">
        <f aca="false">IFERROR(INDEX('Fault Master'!$B$5:$B$104,MATCH(G555,'Fault Master'!$A$5:$A$104,0)),"")</f>
        <v/>
      </c>
      <c r="I555" s="24" t="str">
        <f aca="false">IFERROR(INDEX('Fault Master'!$C$5:$C$104,MATCH(G555,'Fault Master'!$A$5:$A$104,0)),"")</f>
        <v/>
      </c>
      <c r="J555" s="26"/>
      <c r="K555" s="26"/>
      <c r="L555" s="26"/>
      <c r="M555" s="26"/>
      <c r="N555" s="26"/>
      <c r="O555" s="26"/>
      <c r="P555" s="34"/>
    </row>
    <row r="556" customFormat="false" ht="15" hidden="false" customHeight="true" outlineLevel="0" collapsed="false">
      <c r="A556" s="18" t="n">
        <v>45</v>
      </c>
      <c r="B556" s="25"/>
      <c r="C556" s="26"/>
      <c r="D556" s="26"/>
      <c r="E556" s="26"/>
      <c r="F556" s="24" t="str">
        <f aca="false">IFERROR(INDEX('Operator Master'!$B$5:$B$504,MATCH(E556,'Operator Master'!$A$5:$A$504,0)),"")</f>
        <v/>
      </c>
      <c r="G556" s="26"/>
      <c r="H556" s="24" t="str">
        <f aca="false">IFERROR(INDEX('Fault Master'!$B$5:$B$104,MATCH(G556,'Fault Master'!$A$5:$A$104,0)),"")</f>
        <v/>
      </c>
      <c r="I556" s="24" t="str">
        <f aca="false">IFERROR(INDEX('Fault Master'!$C$5:$C$104,MATCH(G556,'Fault Master'!$A$5:$A$104,0)),"")</f>
        <v/>
      </c>
      <c r="J556" s="26"/>
      <c r="K556" s="26"/>
      <c r="L556" s="26"/>
      <c r="M556" s="26"/>
      <c r="N556" s="26"/>
      <c r="O556" s="26"/>
      <c r="P556" s="34"/>
    </row>
    <row r="557" customFormat="false" ht="15" hidden="false" customHeight="true" outlineLevel="0" collapsed="false">
      <c r="A557" s="18" t="n">
        <v>46</v>
      </c>
      <c r="B557" s="25"/>
      <c r="C557" s="26"/>
      <c r="D557" s="26"/>
      <c r="E557" s="26"/>
      <c r="F557" s="24" t="str">
        <f aca="false">IFERROR(INDEX('Operator Master'!$B$5:$B$504,MATCH(E557,'Operator Master'!$A$5:$A$504,0)),"")</f>
        <v/>
      </c>
      <c r="G557" s="26"/>
      <c r="H557" s="24" t="str">
        <f aca="false">IFERROR(INDEX('Fault Master'!$B$5:$B$104,MATCH(G557,'Fault Master'!$A$5:$A$104,0)),"")</f>
        <v/>
      </c>
      <c r="I557" s="24" t="str">
        <f aca="false">IFERROR(INDEX('Fault Master'!$C$5:$C$104,MATCH(G557,'Fault Master'!$A$5:$A$104,0)),"")</f>
        <v/>
      </c>
      <c r="J557" s="26"/>
      <c r="K557" s="26"/>
      <c r="L557" s="26"/>
      <c r="M557" s="26"/>
      <c r="N557" s="26"/>
      <c r="O557" s="26"/>
      <c r="P557" s="34"/>
    </row>
    <row r="558" customFormat="false" ht="15" hidden="false" customHeight="true" outlineLevel="0" collapsed="false">
      <c r="A558" s="18" t="n">
        <v>47</v>
      </c>
      <c r="B558" s="25"/>
      <c r="C558" s="26"/>
      <c r="D558" s="26"/>
      <c r="E558" s="26"/>
      <c r="F558" s="24" t="str">
        <f aca="false">IFERROR(INDEX('Operator Master'!$B$5:$B$504,MATCH(E558,'Operator Master'!$A$5:$A$504,0)),"")</f>
        <v/>
      </c>
      <c r="G558" s="26"/>
      <c r="H558" s="24" t="str">
        <f aca="false">IFERROR(INDEX('Fault Master'!$B$5:$B$104,MATCH(G558,'Fault Master'!$A$5:$A$104,0)),"")</f>
        <v/>
      </c>
      <c r="I558" s="24" t="str">
        <f aca="false">IFERROR(INDEX('Fault Master'!$C$5:$C$104,MATCH(G558,'Fault Master'!$A$5:$A$104,0)),"")</f>
        <v/>
      </c>
      <c r="J558" s="26"/>
      <c r="K558" s="26"/>
      <c r="L558" s="26"/>
      <c r="M558" s="26"/>
      <c r="N558" s="26"/>
      <c r="O558" s="26"/>
      <c r="P558" s="34"/>
    </row>
    <row r="559" customFormat="false" ht="15" hidden="false" customHeight="true" outlineLevel="0" collapsed="false">
      <c r="A559" s="18" t="n">
        <v>48</v>
      </c>
      <c r="B559" s="25"/>
      <c r="C559" s="26"/>
      <c r="D559" s="26"/>
      <c r="E559" s="26"/>
      <c r="F559" s="24" t="str">
        <f aca="false">IFERROR(INDEX('Operator Master'!$B$5:$B$504,MATCH(E559,'Operator Master'!$A$5:$A$504,0)),"")</f>
        <v/>
      </c>
      <c r="G559" s="26"/>
      <c r="H559" s="24" t="str">
        <f aca="false">IFERROR(INDEX('Fault Master'!$B$5:$B$104,MATCH(G559,'Fault Master'!$A$5:$A$104,0)),"")</f>
        <v/>
      </c>
      <c r="I559" s="24" t="str">
        <f aca="false">IFERROR(INDEX('Fault Master'!$C$5:$C$104,MATCH(G559,'Fault Master'!$A$5:$A$104,0)),"")</f>
        <v/>
      </c>
      <c r="J559" s="26"/>
      <c r="K559" s="26"/>
      <c r="L559" s="26"/>
      <c r="M559" s="26"/>
      <c r="N559" s="26"/>
      <c r="O559" s="26"/>
      <c r="P559" s="34"/>
    </row>
    <row r="560" customFormat="false" ht="15" hidden="false" customHeight="true" outlineLevel="0" collapsed="false">
      <c r="A560" s="18" t="n">
        <v>49</v>
      </c>
      <c r="B560" s="25"/>
      <c r="C560" s="26"/>
      <c r="D560" s="26"/>
      <c r="E560" s="26"/>
      <c r="F560" s="24" t="str">
        <f aca="false">IFERROR(INDEX('Operator Master'!$B$5:$B$504,MATCH(E560,'Operator Master'!$A$5:$A$504,0)),"")</f>
        <v/>
      </c>
      <c r="G560" s="26"/>
      <c r="H560" s="24" t="str">
        <f aca="false">IFERROR(INDEX('Fault Master'!$B$5:$B$104,MATCH(G560,'Fault Master'!$A$5:$A$104,0)),"")</f>
        <v/>
      </c>
      <c r="I560" s="24" t="str">
        <f aca="false">IFERROR(INDEX('Fault Master'!$C$5:$C$104,MATCH(G560,'Fault Master'!$A$5:$A$104,0)),"")</f>
        <v/>
      </c>
      <c r="J560" s="26"/>
      <c r="K560" s="26"/>
      <c r="L560" s="26"/>
      <c r="M560" s="26"/>
      <c r="N560" s="26"/>
      <c r="O560" s="26"/>
      <c r="P560" s="34"/>
    </row>
    <row r="561" customFormat="false" ht="15" hidden="false" customHeight="true" outlineLevel="0" collapsed="false">
      <c r="A561" s="18" t="n">
        <v>50</v>
      </c>
      <c r="B561" s="25"/>
      <c r="C561" s="26"/>
      <c r="D561" s="26"/>
      <c r="E561" s="26"/>
      <c r="F561" s="24" t="str">
        <f aca="false">IFERROR(INDEX('Operator Master'!$B$5:$B$504,MATCH(E561,'Operator Master'!$A$5:$A$504,0)),"")</f>
        <v/>
      </c>
      <c r="G561" s="26"/>
      <c r="H561" s="24" t="str">
        <f aca="false">IFERROR(INDEX('Fault Master'!$B$5:$B$104,MATCH(G561,'Fault Master'!$A$5:$A$104,0)),"")</f>
        <v/>
      </c>
      <c r="I561" s="24" t="str">
        <f aca="false">IFERROR(INDEX('Fault Master'!$C$5:$C$104,MATCH(G561,'Fault Master'!$A$5:$A$104,0)),"")</f>
        <v/>
      </c>
      <c r="J561" s="26"/>
      <c r="K561" s="26"/>
      <c r="L561" s="26"/>
      <c r="M561" s="26"/>
      <c r="N561" s="26"/>
      <c r="O561" s="26"/>
      <c r="P561" s="34"/>
    </row>
    <row r="562" customFormat="false" ht="15" hidden="false" customHeight="true" outlineLevel="0" collapsed="false">
      <c r="A562" s="18" t="n">
        <v>51</v>
      </c>
      <c r="B562" s="25"/>
      <c r="C562" s="26"/>
      <c r="D562" s="26"/>
      <c r="E562" s="26"/>
      <c r="F562" s="24" t="str">
        <f aca="false">IFERROR(INDEX('Operator Master'!$B$5:$B$504,MATCH(E562,'Operator Master'!$A$5:$A$504,0)),"")</f>
        <v/>
      </c>
      <c r="G562" s="26"/>
      <c r="H562" s="24" t="str">
        <f aca="false">IFERROR(INDEX('Fault Master'!$B$5:$B$104,MATCH(G562,'Fault Master'!$A$5:$A$104,0)),"")</f>
        <v/>
      </c>
      <c r="I562" s="24" t="str">
        <f aca="false">IFERROR(INDEX('Fault Master'!$C$5:$C$104,MATCH(G562,'Fault Master'!$A$5:$A$104,0)),"")</f>
        <v/>
      </c>
      <c r="J562" s="26"/>
      <c r="K562" s="26"/>
      <c r="L562" s="26"/>
      <c r="M562" s="26"/>
      <c r="N562" s="26"/>
      <c r="O562" s="26"/>
      <c r="P562" s="34"/>
    </row>
    <row r="563" customFormat="false" ht="15" hidden="false" customHeight="true" outlineLevel="0" collapsed="false">
      <c r="A563" s="18" t="n">
        <v>52</v>
      </c>
      <c r="B563" s="25"/>
      <c r="C563" s="26"/>
      <c r="D563" s="26"/>
      <c r="E563" s="26"/>
      <c r="F563" s="24" t="str">
        <f aca="false">IFERROR(INDEX('Operator Master'!$B$5:$B$504,MATCH(E563,'Operator Master'!$A$5:$A$504,0)),"")</f>
        <v/>
      </c>
      <c r="G563" s="26"/>
      <c r="H563" s="24" t="str">
        <f aca="false">IFERROR(INDEX('Fault Master'!$B$5:$B$104,MATCH(G563,'Fault Master'!$A$5:$A$104,0)),"")</f>
        <v/>
      </c>
      <c r="I563" s="24" t="str">
        <f aca="false">IFERROR(INDEX('Fault Master'!$C$5:$C$104,MATCH(G563,'Fault Master'!$A$5:$A$104,0)),"")</f>
        <v/>
      </c>
      <c r="J563" s="26"/>
      <c r="K563" s="26"/>
      <c r="L563" s="26"/>
      <c r="M563" s="26"/>
      <c r="N563" s="26"/>
      <c r="O563" s="26"/>
      <c r="P563" s="34"/>
    </row>
    <row r="564" customFormat="false" ht="15" hidden="false" customHeight="true" outlineLevel="0" collapsed="false">
      <c r="A564" s="18" t="n">
        <v>53</v>
      </c>
      <c r="B564" s="25"/>
      <c r="C564" s="26"/>
      <c r="D564" s="26"/>
      <c r="E564" s="26"/>
      <c r="F564" s="24" t="str">
        <f aca="false">IFERROR(INDEX('Operator Master'!$B$5:$B$504,MATCH(E564,'Operator Master'!$A$5:$A$504,0)),"")</f>
        <v/>
      </c>
      <c r="G564" s="26"/>
      <c r="H564" s="24" t="str">
        <f aca="false">IFERROR(INDEX('Fault Master'!$B$5:$B$104,MATCH(G564,'Fault Master'!$A$5:$A$104,0)),"")</f>
        <v/>
      </c>
      <c r="I564" s="24" t="str">
        <f aca="false">IFERROR(INDEX('Fault Master'!$C$5:$C$104,MATCH(G564,'Fault Master'!$A$5:$A$104,0)),"")</f>
        <v/>
      </c>
      <c r="J564" s="26"/>
      <c r="K564" s="26"/>
      <c r="L564" s="26"/>
      <c r="M564" s="26"/>
      <c r="N564" s="26"/>
      <c r="O564" s="26"/>
      <c r="P564" s="34"/>
    </row>
    <row r="565" customFormat="false" ht="15" hidden="false" customHeight="true" outlineLevel="0" collapsed="false">
      <c r="A565" s="18" t="n">
        <v>54</v>
      </c>
      <c r="B565" s="25"/>
      <c r="C565" s="26"/>
      <c r="D565" s="26"/>
      <c r="E565" s="26"/>
      <c r="F565" s="24" t="str">
        <f aca="false">IFERROR(INDEX('Operator Master'!$B$5:$B$504,MATCH(E565,'Operator Master'!$A$5:$A$504,0)),"")</f>
        <v/>
      </c>
      <c r="G565" s="26"/>
      <c r="H565" s="24" t="str">
        <f aca="false">IFERROR(INDEX('Fault Master'!$B$5:$B$104,MATCH(G565,'Fault Master'!$A$5:$A$104,0)),"")</f>
        <v/>
      </c>
      <c r="I565" s="24" t="str">
        <f aca="false">IFERROR(INDEX('Fault Master'!$C$5:$C$104,MATCH(G565,'Fault Master'!$A$5:$A$104,0)),"")</f>
        <v/>
      </c>
      <c r="J565" s="26"/>
      <c r="K565" s="26"/>
      <c r="L565" s="26"/>
      <c r="M565" s="26"/>
      <c r="N565" s="26"/>
      <c r="O565" s="26"/>
      <c r="P565" s="34"/>
    </row>
    <row r="566" customFormat="false" ht="15" hidden="false" customHeight="true" outlineLevel="0" collapsed="false">
      <c r="A566" s="18" t="n">
        <v>55</v>
      </c>
      <c r="B566" s="25"/>
      <c r="C566" s="26"/>
      <c r="D566" s="26"/>
      <c r="E566" s="26"/>
      <c r="F566" s="24" t="str">
        <f aca="false">IFERROR(INDEX('Operator Master'!$B$5:$B$504,MATCH(E566,'Operator Master'!$A$5:$A$504,0)),"")</f>
        <v/>
      </c>
      <c r="G566" s="26"/>
      <c r="H566" s="24" t="str">
        <f aca="false">IFERROR(INDEX('Fault Master'!$B$5:$B$104,MATCH(G566,'Fault Master'!$A$5:$A$104,0)),"")</f>
        <v/>
      </c>
      <c r="I566" s="24" t="str">
        <f aca="false">IFERROR(INDEX('Fault Master'!$C$5:$C$104,MATCH(G566,'Fault Master'!$A$5:$A$104,0)),"")</f>
        <v/>
      </c>
      <c r="J566" s="26"/>
      <c r="K566" s="26"/>
      <c r="L566" s="26"/>
      <c r="M566" s="26"/>
      <c r="N566" s="26"/>
      <c r="O566" s="26"/>
      <c r="P566" s="34"/>
    </row>
    <row r="567" customFormat="false" ht="15" hidden="false" customHeight="true" outlineLevel="0" collapsed="false">
      <c r="A567" s="18" t="n">
        <v>56</v>
      </c>
      <c r="B567" s="25"/>
      <c r="C567" s="26"/>
      <c r="D567" s="26"/>
      <c r="E567" s="26"/>
      <c r="F567" s="24" t="str">
        <f aca="false">IFERROR(INDEX('Operator Master'!$B$5:$B$504,MATCH(E567,'Operator Master'!$A$5:$A$504,0)),"")</f>
        <v/>
      </c>
      <c r="G567" s="26"/>
      <c r="H567" s="24" t="str">
        <f aca="false">IFERROR(INDEX('Fault Master'!$B$5:$B$104,MATCH(G567,'Fault Master'!$A$5:$A$104,0)),"")</f>
        <v/>
      </c>
      <c r="I567" s="24" t="str">
        <f aca="false">IFERROR(INDEX('Fault Master'!$C$5:$C$104,MATCH(G567,'Fault Master'!$A$5:$A$104,0)),"")</f>
        <v/>
      </c>
      <c r="J567" s="26"/>
      <c r="K567" s="26"/>
      <c r="L567" s="26"/>
      <c r="M567" s="26"/>
      <c r="N567" s="26"/>
      <c r="O567" s="26"/>
      <c r="P567" s="34"/>
    </row>
    <row r="568" customFormat="false" ht="15" hidden="false" customHeight="true" outlineLevel="0" collapsed="false">
      <c r="A568" s="18" t="n">
        <v>57</v>
      </c>
      <c r="B568" s="25"/>
      <c r="C568" s="26"/>
      <c r="D568" s="26"/>
      <c r="E568" s="26"/>
      <c r="F568" s="24" t="str">
        <f aca="false">IFERROR(INDEX('Operator Master'!$B$5:$B$504,MATCH(E568,'Operator Master'!$A$5:$A$504,0)),"")</f>
        <v/>
      </c>
      <c r="G568" s="26"/>
      <c r="H568" s="24" t="str">
        <f aca="false">IFERROR(INDEX('Fault Master'!$B$5:$B$104,MATCH(G568,'Fault Master'!$A$5:$A$104,0)),"")</f>
        <v/>
      </c>
      <c r="I568" s="24" t="str">
        <f aca="false">IFERROR(INDEX('Fault Master'!$C$5:$C$104,MATCH(G568,'Fault Master'!$A$5:$A$104,0)),"")</f>
        <v/>
      </c>
      <c r="J568" s="26"/>
      <c r="K568" s="26"/>
      <c r="L568" s="26"/>
      <c r="M568" s="26"/>
      <c r="N568" s="26"/>
      <c r="O568" s="26"/>
      <c r="P568" s="34"/>
    </row>
    <row r="569" customFormat="false" ht="15" hidden="false" customHeight="true" outlineLevel="0" collapsed="false">
      <c r="A569" s="18" t="n">
        <v>58</v>
      </c>
      <c r="B569" s="25"/>
      <c r="C569" s="26"/>
      <c r="D569" s="26"/>
      <c r="E569" s="26"/>
      <c r="F569" s="24" t="str">
        <f aca="false">IFERROR(INDEX('Operator Master'!$B$5:$B$504,MATCH(E569,'Operator Master'!$A$5:$A$504,0)),"")</f>
        <v/>
      </c>
      <c r="G569" s="26"/>
      <c r="H569" s="24" t="str">
        <f aca="false">IFERROR(INDEX('Fault Master'!$B$5:$B$104,MATCH(G569,'Fault Master'!$A$5:$A$104,0)),"")</f>
        <v/>
      </c>
      <c r="I569" s="24" t="str">
        <f aca="false">IFERROR(INDEX('Fault Master'!$C$5:$C$104,MATCH(G569,'Fault Master'!$A$5:$A$104,0)),"")</f>
        <v/>
      </c>
      <c r="J569" s="26"/>
      <c r="K569" s="26"/>
      <c r="L569" s="26"/>
      <c r="M569" s="26"/>
      <c r="N569" s="26"/>
      <c r="O569" s="26"/>
      <c r="P569" s="34"/>
    </row>
    <row r="570" customFormat="false" ht="15" hidden="false" customHeight="true" outlineLevel="0" collapsed="false">
      <c r="A570" s="18" t="n">
        <v>59</v>
      </c>
      <c r="B570" s="25"/>
      <c r="C570" s="26"/>
      <c r="D570" s="26"/>
      <c r="E570" s="26"/>
      <c r="F570" s="24" t="str">
        <f aca="false">IFERROR(INDEX('Operator Master'!$B$5:$B$504,MATCH(E570,'Operator Master'!$A$5:$A$504,0)),"")</f>
        <v/>
      </c>
      <c r="G570" s="26"/>
      <c r="H570" s="24" t="str">
        <f aca="false">IFERROR(INDEX('Fault Master'!$B$5:$B$104,MATCH(G570,'Fault Master'!$A$5:$A$104,0)),"")</f>
        <v/>
      </c>
      <c r="I570" s="24" t="str">
        <f aca="false">IFERROR(INDEX('Fault Master'!$C$5:$C$104,MATCH(G570,'Fault Master'!$A$5:$A$104,0)),"")</f>
        <v/>
      </c>
      <c r="J570" s="26"/>
      <c r="K570" s="26"/>
      <c r="L570" s="26"/>
      <c r="M570" s="26"/>
      <c r="N570" s="26"/>
      <c r="O570" s="26"/>
      <c r="P570" s="34"/>
    </row>
    <row r="571" customFormat="false" ht="15" hidden="false" customHeight="true" outlineLevel="0" collapsed="false">
      <c r="A571" s="18" t="n">
        <v>60</v>
      </c>
      <c r="B571" s="25"/>
      <c r="C571" s="26"/>
      <c r="D571" s="26"/>
      <c r="E571" s="26"/>
      <c r="F571" s="24" t="str">
        <f aca="false">IFERROR(INDEX('Operator Master'!$B$5:$B$504,MATCH(E571,'Operator Master'!$A$5:$A$504,0)),"")</f>
        <v/>
      </c>
      <c r="G571" s="26"/>
      <c r="H571" s="24" t="str">
        <f aca="false">IFERROR(INDEX('Fault Master'!$B$5:$B$104,MATCH(G571,'Fault Master'!$A$5:$A$104,0)),"")</f>
        <v/>
      </c>
      <c r="I571" s="24" t="str">
        <f aca="false">IFERROR(INDEX('Fault Master'!$C$5:$C$104,MATCH(G571,'Fault Master'!$A$5:$A$104,0)),"")</f>
        <v/>
      </c>
      <c r="J571" s="26"/>
      <c r="K571" s="26"/>
      <c r="L571" s="26"/>
      <c r="M571" s="26"/>
      <c r="N571" s="26"/>
      <c r="O571" s="26"/>
      <c r="P571" s="34"/>
    </row>
    <row r="572" customFormat="false" ht="15" hidden="false" customHeight="true" outlineLevel="0" collapsed="false">
      <c r="A572" s="18" t="n">
        <v>61</v>
      </c>
      <c r="B572" s="25"/>
      <c r="C572" s="26"/>
      <c r="D572" s="26"/>
      <c r="E572" s="26"/>
      <c r="F572" s="24" t="str">
        <f aca="false">IFERROR(INDEX('Operator Master'!$B$5:$B$504,MATCH(E572,'Operator Master'!$A$5:$A$504,0)),"")</f>
        <v/>
      </c>
      <c r="G572" s="26"/>
      <c r="H572" s="24" t="str">
        <f aca="false">IFERROR(INDEX('Fault Master'!$B$5:$B$104,MATCH(G572,'Fault Master'!$A$5:$A$104,0)),"")</f>
        <v/>
      </c>
      <c r="I572" s="24" t="str">
        <f aca="false">IFERROR(INDEX('Fault Master'!$C$5:$C$104,MATCH(G572,'Fault Master'!$A$5:$A$104,0)),"")</f>
        <v/>
      </c>
      <c r="J572" s="26"/>
      <c r="K572" s="26"/>
      <c r="L572" s="26"/>
      <c r="M572" s="26"/>
      <c r="N572" s="26"/>
      <c r="O572" s="26"/>
      <c r="P572" s="34"/>
    </row>
    <row r="573" customFormat="false" ht="15" hidden="false" customHeight="true" outlineLevel="0" collapsed="false">
      <c r="A573" s="18" t="n">
        <v>62</v>
      </c>
      <c r="B573" s="25"/>
      <c r="C573" s="26"/>
      <c r="D573" s="26"/>
      <c r="E573" s="26"/>
      <c r="F573" s="24" t="str">
        <f aca="false">IFERROR(INDEX('Operator Master'!$B$5:$B$504,MATCH(E573,'Operator Master'!$A$5:$A$504,0)),"")</f>
        <v/>
      </c>
      <c r="G573" s="26"/>
      <c r="H573" s="24" t="str">
        <f aca="false">IFERROR(INDEX('Fault Master'!$B$5:$B$104,MATCH(G573,'Fault Master'!$A$5:$A$104,0)),"")</f>
        <v/>
      </c>
      <c r="I573" s="24" t="str">
        <f aca="false">IFERROR(INDEX('Fault Master'!$C$5:$C$104,MATCH(G573,'Fault Master'!$A$5:$A$104,0)),"")</f>
        <v/>
      </c>
      <c r="J573" s="26"/>
      <c r="K573" s="26"/>
      <c r="L573" s="26"/>
      <c r="M573" s="26"/>
      <c r="N573" s="26"/>
      <c r="O573" s="26"/>
      <c r="P573" s="34"/>
    </row>
    <row r="574" customFormat="false" ht="15" hidden="false" customHeight="true" outlineLevel="0" collapsed="false">
      <c r="A574" s="18" t="n">
        <v>63</v>
      </c>
      <c r="B574" s="25"/>
      <c r="C574" s="26"/>
      <c r="D574" s="26"/>
      <c r="E574" s="26"/>
      <c r="F574" s="24" t="str">
        <f aca="false">IFERROR(INDEX('Operator Master'!$B$5:$B$504,MATCH(E574,'Operator Master'!$A$5:$A$504,0)),"")</f>
        <v/>
      </c>
      <c r="G574" s="26"/>
      <c r="H574" s="24" t="str">
        <f aca="false">IFERROR(INDEX('Fault Master'!$B$5:$B$104,MATCH(G574,'Fault Master'!$A$5:$A$104,0)),"")</f>
        <v/>
      </c>
      <c r="I574" s="24" t="str">
        <f aca="false">IFERROR(INDEX('Fault Master'!$C$5:$C$104,MATCH(G574,'Fault Master'!$A$5:$A$104,0)),"")</f>
        <v/>
      </c>
      <c r="J574" s="26"/>
      <c r="K574" s="26"/>
      <c r="L574" s="26"/>
      <c r="M574" s="26"/>
      <c r="N574" s="26"/>
      <c r="O574" s="26"/>
      <c r="P574" s="34"/>
    </row>
    <row r="575" customFormat="false" ht="15" hidden="false" customHeight="true" outlineLevel="0" collapsed="false">
      <c r="A575" s="18" t="n">
        <v>64</v>
      </c>
      <c r="B575" s="25"/>
      <c r="C575" s="26"/>
      <c r="D575" s="26"/>
      <c r="E575" s="26"/>
      <c r="F575" s="24" t="str">
        <f aca="false">IFERROR(INDEX('Operator Master'!$B$5:$B$504,MATCH(E575,'Operator Master'!$A$5:$A$504,0)),"")</f>
        <v/>
      </c>
      <c r="G575" s="26"/>
      <c r="H575" s="24" t="str">
        <f aca="false">IFERROR(INDEX('Fault Master'!$B$5:$B$104,MATCH(G575,'Fault Master'!$A$5:$A$104,0)),"")</f>
        <v/>
      </c>
      <c r="I575" s="24" t="str">
        <f aca="false">IFERROR(INDEX('Fault Master'!$C$5:$C$104,MATCH(G575,'Fault Master'!$A$5:$A$104,0)),"")</f>
        <v/>
      </c>
      <c r="J575" s="26"/>
      <c r="K575" s="26"/>
      <c r="L575" s="26"/>
      <c r="M575" s="26"/>
      <c r="N575" s="26"/>
      <c r="O575" s="26"/>
      <c r="P575" s="34"/>
    </row>
    <row r="576" customFormat="false" ht="15" hidden="false" customHeight="true" outlineLevel="0" collapsed="false">
      <c r="A576" s="18" t="n">
        <v>65</v>
      </c>
      <c r="B576" s="25"/>
      <c r="C576" s="26"/>
      <c r="D576" s="26"/>
      <c r="E576" s="26"/>
      <c r="F576" s="24" t="str">
        <f aca="false">IFERROR(INDEX('Operator Master'!$B$5:$B$504,MATCH(E576,'Operator Master'!$A$5:$A$504,0)),"")</f>
        <v/>
      </c>
      <c r="G576" s="26"/>
      <c r="H576" s="24" t="str">
        <f aca="false">IFERROR(INDEX('Fault Master'!$B$5:$B$104,MATCH(G576,'Fault Master'!$A$5:$A$104,0)),"")</f>
        <v/>
      </c>
      <c r="I576" s="24" t="str">
        <f aca="false">IFERROR(INDEX('Fault Master'!$C$5:$C$104,MATCH(G576,'Fault Master'!$A$5:$A$104,0)),"")</f>
        <v/>
      </c>
      <c r="J576" s="26"/>
      <c r="K576" s="26"/>
      <c r="L576" s="26"/>
      <c r="M576" s="26"/>
      <c r="N576" s="26"/>
      <c r="O576" s="26"/>
      <c r="P576" s="34"/>
    </row>
    <row r="577" customFormat="false" ht="15" hidden="false" customHeight="true" outlineLevel="0" collapsed="false">
      <c r="A577" s="18" t="n">
        <v>66</v>
      </c>
      <c r="B577" s="25"/>
      <c r="C577" s="26"/>
      <c r="D577" s="26"/>
      <c r="E577" s="26"/>
      <c r="F577" s="24" t="str">
        <f aca="false">IFERROR(INDEX('Operator Master'!$B$5:$B$504,MATCH(E577,'Operator Master'!$A$5:$A$504,0)),"")</f>
        <v/>
      </c>
      <c r="G577" s="26"/>
      <c r="H577" s="24" t="str">
        <f aca="false">IFERROR(INDEX('Fault Master'!$B$5:$B$104,MATCH(G577,'Fault Master'!$A$5:$A$104,0)),"")</f>
        <v/>
      </c>
      <c r="I577" s="24" t="str">
        <f aca="false">IFERROR(INDEX('Fault Master'!$C$5:$C$104,MATCH(G577,'Fault Master'!$A$5:$A$104,0)),"")</f>
        <v/>
      </c>
      <c r="J577" s="26"/>
      <c r="K577" s="26"/>
      <c r="L577" s="26"/>
      <c r="M577" s="26"/>
      <c r="N577" s="26"/>
      <c r="O577" s="26"/>
      <c r="P577" s="34"/>
    </row>
    <row r="578" customFormat="false" ht="15" hidden="false" customHeight="true" outlineLevel="0" collapsed="false">
      <c r="A578" s="18" t="n">
        <v>67</v>
      </c>
      <c r="B578" s="25"/>
      <c r="C578" s="26"/>
      <c r="D578" s="26"/>
      <c r="E578" s="26"/>
      <c r="F578" s="24" t="str">
        <f aca="false">IFERROR(INDEX('Operator Master'!$B$5:$B$504,MATCH(E578,'Operator Master'!$A$5:$A$504,0)),"")</f>
        <v/>
      </c>
      <c r="G578" s="26"/>
      <c r="H578" s="24" t="str">
        <f aca="false">IFERROR(INDEX('Fault Master'!$B$5:$B$104,MATCH(G578,'Fault Master'!$A$5:$A$104,0)),"")</f>
        <v/>
      </c>
      <c r="I578" s="24" t="str">
        <f aca="false">IFERROR(INDEX('Fault Master'!$C$5:$C$104,MATCH(G578,'Fault Master'!$A$5:$A$104,0)),"")</f>
        <v/>
      </c>
      <c r="J578" s="26"/>
      <c r="K578" s="26"/>
      <c r="L578" s="26"/>
      <c r="M578" s="26"/>
      <c r="N578" s="26"/>
      <c r="O578" s="26"/>
      <c r="P578" s="34"/>
    </row>
    <row r="579" customFormat="false" ht="15" hidden="false" customHeight="true" outlineLevel="0" collapsed="false">
      <c r="A579" s="18" t="n">
        <v>68</v>
      </c>
      <c r="B579" s="25"/>
      <c r="C579" s="26"/>
      <c r="D579" s="26"/>
      <c r="E579" s="26"/>
      <c r="F579" s="24" t="str">
        <f aca="false">IFERROR(INDEX('Operator Master'!$B$5:$B$504,MATCH(E579,'Operator Master'!$A$5:$A$504,0)),"")</f>
        <v/>
      </c>
      <c r="G579" s="26"/>
      <c r="H579" s="24" t="str">
        <f aca="false">IFERROR(INDEX('Fault Master'!$B$5:$B$104,MATCH(G579,'Fault Master'!$A$5:$A$104,0)),"")</f>
        <v/>
      </c>
      <c r="I579" s="24" t="str">
        <f aca="false">IFERROR(INDEX('Fault Master'!$C$5:$C$104,MATCH(G579,'Fault Master'!$A$5:$A$104,0)),"")</f>
        <v/>
      </c>
      <c r="J579" s="26"/>
      <c r="K579" s="26"/>
      <c r="L579" s="26"/>
      <c r="M579" s="26"/>
      <c r="N579" s="26"/>
      <c r="O579" s="26"/>
      <c r="P579" s="34"/>
    </row>
    <row r="580" customFormat="false" ht="15" hidden="false" customHeight="true" outlineLevel="0" collapsed="false">
      <c r="A580" s="18" t="n">
        <v>69</v>
      </c>
      <c r="B580" s="25"/>
      <c r="C580" s="26"/>
      <c r="D580" s="26"/>
      <c r="E580" s="26"/>
      <c r="F580" s="24" t="str">
        <f aca="false">IFERROR(INDEX('Operator Master'!$B$5:$B$504,MATCH(E580,'Operator Master'!$A$5:$A$504,0)),"")</f>
        <v/>
      </c>
      <c r="G580" s="26"/>
      <c r="H580" s="24" t="str">
        <f aca="false">IFERROR(INDEX('Fault Master'!$B$5:$B$104,MATCH(G580,'Fault Master'!$A$5:$A$104,0)),"")</f>
        <v/>
      </c>
      <c r="I580" s="24" t="str">
        <f aca="false">IFERROR(INDEX('Fault Master'!$C$5:$C$104,MATCH(G580,'Fault Master'!$A$5:$A$104,0)),"")</f>
        <v/>
      </c>
      <c r="J580" s="26"/>
      <c r="K580" s="26"/>
      <c r="L580" s="26"/>
      <c r="M580" s="26"/>
      <c r="N580" s="26"/>
      <c r="O580" s="26"/>
      <c r="P580" s="34"/>
    </row>
    <row r="581" customFormat="false" ht="15" hidden="false" customHeight="true" outlineLevel="0" collapsed="false">
      <c r="A581" s="18" t="n">
        <v>70</v>
      </c>
      <c r="B581" s="25"/>
      <c r="C581" s="26"/>
      <c r="D581" s="26"/>
      <c r="E581" s="26"/>
      <c r="F581" s="24" t="str">
        <f aca="false">IFERROR(INDEX('Operator Master'!$B$5:$B$504,MATCH(E581,'Operator Master'!$A$5:$A$504,0)),"")</f>
        <v/>
      </c>
      <c r="G581" s="26"/>
      <c r="H581" s="24" t="str">
        <f aca="false">IFERROR(INDEX('Fault Master'!$B$5:$B$104,MATCH(G581,'Fault Master'!$A$5:$A$104,0)),"")</f>
        <v/>
      </c>
      <c r="I581" s="24" t="str">
        <f aca="false">IFERROR(INDEX('Fault Master'!$C$5:$C$104,MATCH(G581,'Fault Master'!$A$5:$A$104,0)),"")</f>
        <v/>
      </c>
      <c r="J581" s="26"/>
      <c r="K581" s="26"/>
      <c r="L581" s="26"/>
      <c r="M581" s="26"/>
      <c r="N581" s="26"/>
      <c r="O581" s="26"/>
      <c r="P581" s="34"/>
    </row>
    <row r="582" customFormat="false" ht="15" hidden="false" customHeight="true" outlineLevel="0" collapsed="false">
      <c r="A582" s="18" t="n">
        <v>71</v>
      </c>
      <c r="B582" s="25"/>
      <c r="C582" s="26"/>
      <c r="D582" s="26"/>
      <c r="E582" s="26"/>
      <c r="F582" s="24" t="str">
        <f aca="false">IFERROR(INDEX('Operator Master'!$B$5:$B$504,MATCH(E582,'Operator Master'!$A$5:$A$504,0)),"")</f>
        <v/>
      </c>
      <c r="G582" s="26"/>
      <c r="H582" s="24" t="str">
        <f aca="false">IFERROR(INDEX('Fault Master'!$B$5:$B$104,MATCH(G582,'Fault Master'!$A$5:$A$104,0)),"")</f>
        <v/>
      </c>
      <c r="I582" s="24" t="str">
        <f aca="false">IFERROR(INDEX('Fault Master'!$C$5:$C$104,MATCH(G582,'Fault Master'!$A$5:$A$104,0)),"")</f>
        <v/>
      </c>
      <c r="J582" s="26"/>
      <c r="K582" s="26"/>
      <c r="L582" s="26"/>
      <c r="M582" s="26"/>
      <c r="N582" s="26"/>
      <c r="O582" s="26"/>
      <c r="P582" s="34"/>
    </row>
    <row r="583" customFormat="false" ht="15" hidden="false" customHeight="true" outlineLevel="0" collapsed="false">
      <c r="A583" s="18" t="n">
        <v>72</v>
      </c>
      <c r="B583" s="25"/>
      <c r="C583" s="26"/>
      <c r="D583" s="26"/>
      <c r="E583" s="26"/>
      <c r="F583" s="24" t="str">
        <f aca="false">IFERROR(INDEX('Operator Master'!$B$5:$B$504,MATCH(E583,'Operator Master'!$A$5:$A$504,0)),"")</f>
        <v/>
      </c>
      <c r="G583" s="26"/>
      <c r="H583" s="24" t="str">
        <f aca="false">IFERROR(INDEX('Fault Master'!$B$5:$B$104,MATCH(G583,'Fault Master'!$A$5:$A$104,0)),"")</f>
        <v/>
      </c>
      <c r="I583" s="24" t="str">
        <f aca="false">IFERROR(INDEX('Fault Master'!$C$5:$C$104,MATCH(G583,'Fault Master'!$A$5:$A$104,0)),"")</f>
        <v/>
      </c>
      <c r="J583" s="26"/>
      <c r="K583" s="26"/>
      <c r="L583" s="26"/>
      <c r="M583" s="26"/>
      <c r="N583" s="26"/>
      <c r="O583" s="26"/>
      <c r="P583" s="34"/>
    </row>
    <row r="584" customFormat="false" ht="15" hidden="false" customHeight="true" outlineLevel="0" collapsed="false">
      <c r="A584" s="18" t="n">
        <v>73</v>
      </c>
      <c r="B584" s="25"/>
      <c r="C584" s="26"/>
      <c r="D584" s="26"/>
      <c r="E584" s="26"/>
      <c r="F584" s="24" t="str">
        <f aca="false">IFERROR(INDEX('Operator Master'!$B$5:$B$504,MATCH(E584,'Operator Master'!$A$5:$A$504,0)),"")</f>
        <v/>
      </c>
      <c r="G584" s="26"/>
      <c r="H584" s="24" t="str">
        <f aca="false">IFERROR(INDEX('Fault Master'!$B$5:$B$104,MATCH(G584,'Fault Master'!$A$5:$A$104,0)),"")</f>
        <v/>
      </c>
      <c r="I584" s="24" t="str">
        <f aca="false">IFERROR(INDEX('Fault Master'!$C$5:$C$104,MATCH(G584,'Fault Master'!$A$5:$A$104,0)),"")</f>
        <v/>
      </c>
      <c r="J584" s="26"/>
      <c r="K584" s="26"/>
      <c r="L584" s="26"/>
      <c r="M584" s="26"/>
      <c r="N584" s="26"/>
      <c r="O584" s="26"/>
      <c r="P584" s="34"/>
    </row>
    <row r="585" customFormat="false" ht="15" hidden="false" customHeight="true" outlineLevel="0" collapsed="false">
      <c r="A585" s="18" t="n">
        <v>74</v>
      </c>
      <c r="B585" s="25"/>
      <c r="C585" s="26"/>
      <c r="D585" s="26"/>
      <c r="E585" s="26"/>
      <c r="F585" s="24" t="str">
        <f aca="false">IFERROR(INDEX('Operator Master'!$B$5:$B$504,MATCH(E585,'Operator Master'!$A$5:$A$504,0)),"")</f>
        <v/>
      </c>
      <c r="G585" s="26"/>
      <c r="H585" s="24" t="str">
        <f aca="false">IFERROR(INDEX('Fault Master'!$B$5:$B$104,MATCH(G585,'Fault Master'!$A$5:$A$104,0)),"")</f>
        <v/>
      </c>
      <c r="I585" s="24" t="str">
        <f aca="false">IFERROR(INDEX('Fault Master'!$C$5:$C$104,MATCH(G585,'Fault Master'!$A$5:$A$104,0)),"")</f>
        <v/>
      </c>
      <c r="J585" s="26"/>
      <c r="K585" s="26"/>
      <c r="L585" s="26"/>
      <c r="M585" s="26"/>
      <c r="N585" s="26"/>
      <c r="O585" s="26"/>
      <c r="P585" s="34"/>
    </row>
    <row r="586" customFormat="false" ht="15" hidden="false" customHeight="true" outlineLevel="0" collapsed="false">
      <c r="A586" s="18" t="n">
        <v>75</v>
      </c>
      <c r="B586" s="25"/>
      <c r="C586" s="26"/>
      <c r="D586" s="26"/>
      <c r="E586" s="26"/>
      <c r="F586" s="24" t="str">
        <f aca="false">IFERROR(INDEX('Operator Master'!$B$5:$B$504,MATCH(E586,'Operator Master'!$A$5:$A$504,0)),"")</f>
        <v/>
      </c>
      <c r="G586" s="26"/>
      <c r="H586" s="24" t="str">
        <f aca="false">IFERROR(INDEX('Fault Master'!$B$5:$B$104,MATCH(G586,'Fault Master'!$A$5:$A$104,0)),"")</f>
        <v/>
      </c>
      <c r="I586" s="24" t="str">
        <f aca="false">IFERROR(INDEX('Fault Master'!$C$5:$C$104,MATCH(G586,'Fault Master'!$A$5:$A$104,0)),"")</f>
        <v/>
      </c>
      <c r="J586" s="26"/>
      <c r="K586" s="26"/>
      <c r="L586" s="26"/>
      <c r="M586" s="26"/>
      <c r="N586" s="26"/>
      <c r="O586" s="26"/>
      <c r="P586" s="34"/>
    </row>
    <row r="587" customFormat="false" ht="15" hidden="false" customHeight="true" outlineLevel="0" collapsed="false">
      <c r="A587" s="18" t="n">
        <v>76</v>
      </c>
      <c r="B587" s="25"/>
      <c r="C587" s="26"/>
      <c r="D587" s="26"/>
      <c r="E587" s="26"/>
      <c r="F587" s="24" t="str">
        <f aca="false">IFERROR(INDEX('Operator Master'!$B$5:$B$504,MATCH(E587,'Operator Master'!$A$5:$A$504,0)),"")</f>
        <v/>
      </c>
      <c r="G587" s="26"/>
      <c r="H587" s="24" t="str">
        <f aca="false">IFERROR(INDEX('Fault Master'!$B$5:$B$104,MATCH(G587,'Fault Master'!$A$5:$A$104,0)),"")</f>
        <v/>
      </c>
      <c r="I587" s="24" t="str">
        <f aca="false">IFERROR(INDEX('Fault Master'!$C$5:$C$104,MATCH(G587,'Fault Master'!$A$5:$A$104,0)),"")</f>
        <v/>
      </c>
      <c r="J587" s="26"/>
      <c r="K587" s="26"/>
      <c r="L587" s="26"/>
      <c r="M587" s="26"/>
      <c r="N587" s="26"/>
      <c r="O587" s="26"/>
      <c r="P587" s="34"/>
    </row>
    <row r="588" customFormat="false" ht="15" hidden="false" customHeight="true" outlineLevel="0" collapsed="false">
      <c r="A588" s="18" t="n">
        <v>77</v>
      </c>
      <c r="B588" s="25"/>
      <c r="C588" s="26"/>
      <c r="D588" s="26"/>
      <c r="E588" s="26"/>
      <c r="F588" s="24" t="str">
        <f aca="false">IFERROR(INDEX('Operator Master'!$B$5:$B$504,MATCH(E588,'Operator Master'!$A$5:$A$504,0)),"")</f>
        <v/>
      </c>
      <c r="G588" s="26"/>
      <c r="H588" s="24" t="str">
        <f aca="false">IFERROR(INDEX('Fault Master'!$B$5:$B$104,MATCH(G588,'Fault Master'!$A$5:$A$104,0)),"")</f>
        <v/>
      </c>
      <c r="I588" s="24" t="str">
        <f aca="false">IFERROR(INDEX('Fault Master'!$C$5:$C$104,MATCH(G588,'Fault Master'!$A$5:$A$104,0)),"")</f>
        <v/>
      </c>
      <c r="J588" s="26"/>
      <c r="K588" s="26"/>
      <c r="L588" s="26"/>
      <c r="M588" s="26"/>
      <c r="N588" s="26"/>
      <c r="O588" s="26"/>
      <c r="P588" s="34"/>
    </row>
    <row r="589" customFormat="false" ht="15" hidden="false" customHeight="true" outlineLevel="0" collapsed="false">
      <c r="A589" s="18" t="n">
        <v>78</v>
      </c>
      <c r="B589" s="25"/>
      <c r="C589" s="26"/>
      <c r="D589" s="26"/>
      <c r="E589" s="26"/>
      <c r="F589" s="24" t="str">
        <f aca="false">IFERROR(INDEX('Operator Master'!$B$5:$B$504,MATCH(E589,'Operator Master'!$A$5:$A$504,0)),"")</f>
        <v/>
      </c>
      <c r="G589" s="26"/>
      <c r="H589" s="24" t="str">
        <f aca="false">IFERROR(INDEX('Fault Master'!$B$5:$B$104,MATCH(G589,'Fault Master'!$A$5:$A$104,0)),"")</f>
        <v/>
      </c>
      <c r="I589" s="24" t="str">
        <f aca="false">IFERROR(INDEX('Fault Master'!$C$5:$C$104,MATCH(G589,'Fault Master'!$A$5:$A$104,0)),"")</f>
        <v/>
      </c>
      <c r="J589" s="26"/>
      <c r="K589" s="26"/>
      <c r="L589" s="26"/>
      <c r="M589" s="26"/>
      <c r="N589" s="26"/>
      <c r="O589" s="26"/>
      <c r="P589" s="34"/>
    </row>
    <row r="590" customFormat="false" ht="15" hidden="false" customHeight="true" outlineLevel="0" collapsed="false">
      <c r="A590" s="18" t="n">
        <v>79</v>
      </c>
      <c r="B590" s="25"/>
      <c r="C590" s="26"/>
      <c r="D590" s="26"/>
      <c r="E590" s="26"/>
      <c r="F590" s="24" t="str">
        <f aca="false">IFERROR(INDEX('Operator Master'!$B$5:$B$504,MATCH(E590,'Operator Master'!$A$5:$A$504,0)),"")</f>
        <v/>
      </c>
      <c r="G590" s="26"/>
      <c r="H590" s="24" t="str">
        <f aca="false">IFERROR(INDEX('Fault Master'!$B$5:$B$104,MATCH(G590,'Fault Master'!$A$5:$A$104,0)),"")</f>
        <v/>
      </c>
      <c r="I590" s="24" t="str">
        <f aca="false">IFERROR(INDEX('Fault Master'!$C$5:$C$104,MATCH(G590,'Fault Master'!$A$5:$A$104,0)),"")</f>
        <v/>
      </c>
      <c r="J590" s="26"/>
      <c r="K590" s="26"/>
      <c r="L590" s="26"/>
      <c r="M590" s="26"/>
      <c r="N590" s="26"/>
      <c r="O590" s="26"/>
      <c r="P590" s="34"/>
    </row>
    <row r="591" customFormat="false" ht="15" hidden="false" customHeight="true" outlineLevel="0" collapsed="false">
      <c r="A591" s="18" t="n">
        <v>80</v>
      </c>
      <c r="B591" s="25"/>
      <c r="C591" s="26"/>
      <c r="D591" s="26"/>
      <c r="E591" s="26"/>
      <c r="F591" s="24" t="str">
        <f aca="false">IFERROR(INDEX('Operator Master'!$B$5:$B$504,MATCH(E591,'Operator Master'!$A$5:$A$504,0)),"")</f>
        <v/>
      </c>
      <c r="G591" s="26"/>
      <c r="H591" s="24" t="str">
        <f aca="false">IFERROR(INDEX('Fault Master'!$B$5:$B$104,MATCH(G591,'Fault Master'!$A$5:$A$104,0)),"")</f>
        <v/>
      </c>
      <c r="I591" s="24" t="str">
        <f aca="false">IFERROR(INDEX('Fault Master'!$C$5:$C$104,MATCH(G591,'Fault Master'!$A$5:$A$104,0)),"")</f>
        <v/>
      </c>
      <c r="J591" s="26"/>
      <c r="K591" s="26"/>
      <c r="L591" s="26"/>
      <c r="M591" s="26"/>
      <c r="N591" s="26"/>
      <c r="O591" s="26"/>
      <c r="P591" s="34"/>
    </row>
    <row r="592" customFormat="false" ht="15" hidden="false" customHeight="true" outlineLevel="0" collapsed="false">
      <c r="A592" s="18" t="n">
        <v>81</v>
      </c>
      <c r="B592" s="25"/>
      <c r="C592" s="26"/>
      <c r="D592" s="26"/>
      <c r="E592" s="26"/>
      <c r="F592" s="24" t="str">
        <f aca="false">IFERROR(INDEX('Operator Master'!$B$5:$B$504,MATCH(E592,'Operator Master'!$A$5:$A$504,0)),"")</f>
        <v/>
      </c>
      <c r="G592" s="26"/>
      <c r="H592" s="24" t="str">
        <f aca="false">IFERROR(INDEX('Fault Master'!$B$5:$B$104,MATCH(G592,'Fault Master'!$A$5:$A$104,0)),"")</f>
        <v/>
      </c>
      <c r="I592" s="24" t="str">
        <f aca="false">IFERROR(INDEX('Fault Master'!$C$5:$C$104,MATCH(G592,'Fault Master'!$A$5:$A$104,0)),"")</f>
        <v/>
      </c>
      <c r="J592" s="26"/>
      <c r="K592" s="26"/>
      <c r="L592" s="26"/>
      <c r="M592" s="26"/>
      <c r="N592" s="26"/>
      <c r="O592" s="26"/>
      <c r="P592" s="34"/>
    </row>
    <row r="593" customFormat="false" ht="15" hidden="false" customHeight="true" outlineLevel="0" collapsed="false">
      <c r="A593" s="18" t="n">
        <v>82</v>
      </c>
      <c r="B593" s="25"/>
      <c r="C593" s="26"/>
      <c r="D593" s="26"/>
      <c r="E593" s="26"/>
      <c r="F593" s="24" t="str">
        <f aca="false">IFERROR(INDEX('Operator Master'!$B$5:$B$504,MATCH(E593,'Operator Master'!$A$5:$A$504,0)),"")</f>
        <v/>
      </c>
      <c r="G593" s="26"/>
      <c r="H593" s="24" t="str">
        <f aca="false">IFERROR(INDEX('Fault Master'!$B$5:$B$104,MATCH(G593,'Fault Master'!$A$5:$A$104,0)),"")</f>
        <v/>
      </c>
      <c r="I593" s="24" t="str">
        <f aca="false">IFERROR(INDEX('Fault Master'!$C$5:$C$104,MATCH(G593,'Fault Master'!$A$5:$A$104,0)),"")</f>
        <v/>
      </c>
      <c r="J593" s="26"/>
      <c r="K593" s="26"/>
      <c r="L593" s="26"/>
      <c r="M593" s="26"/>
      <c r="N593" s="26"/>
      <c r="O593" s="26"/>
      <c r="P593" s="34"/>
    </row>
    <row r="594" customFormat="false" ht="15" hidden="false" customHeight="true" outlineLevel="0" collapsed="false">
      <c r="A594" s="18" t="n">
        <v>83</v>
      </c>
      <c r="B594" s="25"/>
      <c r="C594" s="26"/>
      <c r="D594" s="26"/>
      <c r="E594" s="26"/>
      <c r="F594" s="24" t="str">
        <f aca="false">IFERROR(INDEX('Operator Master'!$B$5:$B$504,MATCH(E594,'Operator Master'!$A$5:$A$504,0)),"")</f>
        <v/>
      </c>
      <c r="G594" s="26"/>
      <c r="H594" s="24" t="str">
        <f aca="false">IFERROR(INDEX('Fault Master'!$B$5:$B$104,MATCH(G594,'Fault Master'!$A$5:$A$104,0)),"")</f>
        <v/>
      </c>
      <c r="I594" s="24" t="str">
        <f aca="false">IFERROR(INDEX('Fault Master'!$C$5:$C$104,MATCH(G594,'Fault Master'!$A$5:$A$104,0)),"")</f>
        <v/>
      </c>
      <c r="J594" s="26"/>
      <c r="K594" s="26"/>
      <c r="L594" s="26"/>
      <c r="M594" s="26"/>
      <c r="N594" s="26"/>
      <c r="O594" s="26"/>
      <c r="P594" s="34"/>
    </row>
    <row r="595" customFormat="false" ht="15" hidden="false" customHeight="true" outlineLevel="0" collapsed="false">
      <c r="A595" s="18" t="n">
        <v>84</v>
      </c>
      <c r="B595" s="25"/>
      <c r="C595" s="26"/>
      <c r="D595" s="26"/>
      <c r="E595" s="26"/>
      <c r="F595" s="24" t="str">
        <f aca="false">IFERROR(INDEX('Operator Master'!$B$5:$B$504,MATCH(E595,'Operator Master'!$A$5:$A$504,0)),"")</f>
        <v/>
      </c>
      <c r="G595" s="26"/>
      <c r="H595" s="24" t="str">
        <f aca="false">IFERROR(INDEX('Fault Master'!$B$5:$B$104,MATCH(G595,'Fault Master'!$A$5:$A$104,0)),"")</f>
        <v/>
      </c>
      <c r="I595" s="24" t="str">
        <f aca="false">IFERROR(INDEX('Fault Master'!$C$5:$C$104,MATCH(G595,'Fault Master'!$A$5:$A$104,0)),"")</f>
        <v/>
      </c>
      <c r="J595" s="26"/>
      <c r="K595" s="26"/>
      <c r="L595" s="26"/>
      <c r="M595" s="26"/>
      <c r="N595" s="26"/>
      <c r="O595" s="26"/>
      <c r="P595" s="34"/>
    </row>
    <row r="596" customFormat="false" ht="15" hidden="false" customHeight="true" outlineLevel="0" collapsed="false">
      <c r="A596" s="18" t="n">
        <v>85</v>
      </c>
      <c r="B596" s="25"/>
      <c r="C596" s="26"/>
      <c r="D596" s="26"/>
      <c r="E596" s="26"/>
      <c r="F596" s="24" t="str">
        <f aca="false">IFERROR(INDEX('Operator Master'!$B$5:$B$504,MATCH(E596,'Operator Master'!$A$5:$A$504,0)),"")</f>
        <v/>
      </c>
      <c r="G596" s="26"/>
      <c r="H596" s="24" t="str">
        <f aca="false">IFERROR(INDEX('Fault Master'!$B$5:$B$104,MATCH(G596,'Fault Master'!$A$5:$A$104,0)),"")</f>
        <v/>
      </c>
      <c r="I596" s="24" t="str">
        <f aca="false">IFERROR(INDEX('Fault Master'!$C$5:$C$104,MATCH(G596,'Fault Master'!$A$5:$A$104,0)),"")</f>
        <v/>
      </c>
      <c r="J596" s="26"/>
      <c r="K596" s="26"/>
      <c r="L596" s="26"/>
      <c r="M596" s="26"/>
      <c r="N596" s="26"/>
      <c r="O596" s="26"/>
      <c r="P596" s="34"/>
    </row>
    <row r="597" customFormat="false" ht="15" hidden="false" customHeight="true" outlineLevel="0" collapsed="false">
      <c r="A597" s="18" t="n">
        <v>86</v>
      </c>
      <c r="B597" s="25"/>
      <c r="C597" s="26"/>
      <c r="D597" s="26"/>
      <c r="E597" s="26"/>
      <c r="F597" s="24" t="str">
        <f aca="false">IFERROR(INDEX('Operator Master'!$B$5:$B$504,MATCH(E597,'Operator Master'!$A$5:$A$504,0)),"")</f>
        <v/>
      </c>
      <c r="G597" s="26"/>
      <c r="H597" s="24" t="str">
        <f aca="false">IFERROR(INDEX('Fault Master'!$B$5:$B$104,MATCH(G597,'Fault Master'!$A$5:$A$104,0)),"")</f>
        <v/>
      </c>
      <c r="I597" s="24" t="str">
        <f aca="false">IFERROR(INDEX('Fault Master'!$C$5:$C$104,MATCH(G597,'Fault Master'!$A$5:$A$104,0)),"")</f>
        <v/>
      </c>
      <c r="J597" s="26"/>
      <c r="K597" s="26"/>
      <c r="L597" s="26"/>
      <c r="M597" s="26"/>
      <c r="N597" s="26"/>
      <c r="O597" s="26"/>
      <c r="P597" s="34"/>
    </row>
    <row r="598" customFormat="false" ht="15" hidden="false" customHeight="true" outlineLevel="0" collapsed="false">
      <c r="A598" s="18" t="n">
        <v>87</v>
      </c>
      <c r="B598" s="25"/>
      <c r="C598" s="26"/>
      <c r="D598" s="26"/>
      <c r="E598" s="26"/>
      <c r="F598" s="24" t="str">
        <f aca="false">IFERROR(INDEX('Operator Master'!$B$5:$B$504,MATCH(E598,'Operator Master'!$A$5:$A$504,0)),"")</f>
        <v/>
      </c>
      <c r="G598" s="26"/>
      <c r="H598" s="24" t="str">
        <f aca="false">IFERROR(INDEX('Fault Master'!$B$5:$B$104,MATCH(G598,'Fault Master'!$A$5:$A$104,0)),"")</f>
        <v/>
      </c>
      <c r="I598" s="24" t="str">
        <f aca="false">IFERROR(INDEX('Fault Master'!$C$5:$C$104,MATCH(G598,'Fault Master'!$A$5:$A$104,0)),"")</f>
        <v/>
      </c>
      <c r="J598" s="26"/>
      <c r="K598" s="26"/>
      <c r="L598" s="26"/>
      <c r="M598" s="26"/>
      <c r="N598" s="26"/>
      <c r="O598" s="26"/>
      <c r="P598" s="34"/>
    </row>
    <row r="599" customFormat="false" ht="15" hidden="false" customHeight="true" outlineLevel="0" collapsed="false">
      <c r="A599" s="18" t="n">
        <v>88</v>
      </c>
      <c r="B599" s="25"/>
      <c r="C599" s="26"/>
      <c r="D599" s="26"/>
      <c r="E599" s="26"/>
      <c r="F599" s="24" t="str">
        <f aca="false">IFERROR(INDEX('Operator Master'!$B$5:$B$504,MATCH(E599,'Operator Master'!$A$5:$A$504,0)),"")</f>
        <v/>
      </c>
      <c r="G599" s="26"/>
      <c r="H599" s="24" t="str">
        <f aca="false">IFERROR(INDEX('Fault Master'!$B$5:$B$104,MATCH(G599,'Fault Master'!$A$5:$A$104,0)),"")</f>
        <v/>
      </c>
      <c r="I599" s="24" t="str">
        <f aca="false">IFERROR(INDEX('Fault Master'!$C$5:$C$104,MATCH(G599,'Fault Master'!$A$5:$A$104,0)),"")</f>
        <v/>
      </c>
      <c r="J599" s="26"/>
      <c r="K599" s="26"/>
      <c r="L599" s="26"/>
      <c r="M599" s="26"/>
      <c r="N599" s="26"/>
      <c r="O599" s="26"/>
      <c r="P599" s="34"/>
    </row>
    <row r="600" customFormat="false" ht="15" hidden="false" customHeight="true" outlineLevel="0" collapsed="false">
      <c r="A600" s="18" t="n">
        <v>89</v>
      </c>
      <c r="B600" s="25"/>
      <c r="C600" s="26"/>
      <c r="D600" s="26"/>
      <c r="E600" s="26"/>
      <c r="F600" s="24" t="str">
        <f aca="false">IFERROR(INDEX('Operator Master'!$B$5:$B$504,MATCH(E600,'Operator Master'!$A$5:$A$504,0)),"")</f>
        <v/>
      </c>
      <c r="G600" s="26"/>
      <c r="H600" s="24" t="str">
        <f aca="false">IFERROR(INDEX('Fault Master'!$B$5:$B$104,MATCH(G600,'Fault Master'!$A$5:$A$104,0)),"")</f>
        <v/>
      </c>
      <c r="I600" s="24" t="str">
        <f aca="false">IFERROR(INDEX('Fault Master'!$C$5:$C$104,MATCH(G600,'Fault Master'!$A$5:$A$104,0)),"")</f>
        <v/>
      </c>
      <c r="J600" s="26"/>
      <c r="K600" s="26"/>
      <c r="L600" s="26"/>
      <c r="M600" s="26"/>
      <c r="N600" s="26"/>
      <c r="O600" s="26"/>
      <c r="P600" s="34"/>
    </row>
    <row r="601" customFormat="false" ht="15" hidden="false" customHeight="true" outlineLevel="0" collapsed="false">
      <c r="A601" s="18" t="n">
        <v>90</v>
      </c>
      <c r="B601" s="25"/>
      <c r="C601" s="26"/>
      <c r="D601" s="26"/>
      <c r="E601" s="26"/>
      <c r="F601" s="24" t="str">
        <f aca="false">IFERROR(INDEX('Operator Master'!$B$5:$B$504,MATCH(E601,'Operator Master'!$A$5:$A$504,0)),"")</f>
        <v/>
      </c>
      <c r="G601" s="26"/>
      <c r="H601" s="24" t="str">
        <f aca="false">IFERROR(INDEX('Fault Master'!$B$5:$B$104,MATCH(G601,'Fault Master'!$A$5:$A$104,0)),"")</f>
        <v/>
      </c>
      <c r="I601" s="24" t="str">
        <f aca="false">IFERROR(INDEX('Fault Master'!$C$5:$C$104,MATCH(G601,'Fault Master'!$A$5:$A$104,0)),"")</f>
        <v/>
      </c>
      <c r="J601" s="26"/>
      <c r="K601" s="26"/>
      <c r="L601" s="26"/>
      <c r="M601" s="26"/>
      <c r="N601" s="26"/>
      <c r="O601" s="26"/>
      <c r="P601" s="34"/>
    </row>
    <row r="602" customFormat="false" ht="15" hidden="false" customHeight="true" outlineLevel="0" collapsed="false">
      <c r="A602" s="18" t="n">
        <v>91</v>
      </c>
      <c r="B602" s="25"/>
      <c r="C602" s="26"/>
      <c r="D602" s="26"/>
      <c r="E602" s="26"/>
      <c r="F602" s="24" t="str">
        <f aca="false">IFERROR(INDEX('Operator Master'!$B$5:$B$504,MATCH(E602,'Operator Master'!$A$5:$A$504,0)),"")</f>
        <v/>
      </c>
      <c r="G602" s="26"/>
      <c r="H602" s="24" t="str">
        <f aca="false">IFERROR(INDEX('Fault Master'!$B$5:$B$104,MATCH(G602,'Fault Master'!$A$5:$A$104,0)),"")</f>
        <v/>
      </c>
      <c r="I602" s="24" t="str">
        <f aca="false">IFERROR(INDEX('Fault Master'!$C$5:$C$104,MATCH(G602,'Fault Master'!$A$5:$A$104,0)),"")</f>
        <v/>
      </c>
      <c r="J602" s="26"/>
      <c r="K602" s="26"/>
      <c r="L602" s="26"/>
      <c r="M602" s="26"/>
      <c r="N602" s="26"/>
      <c r="O602" s="26"/>
      <c r="P602" s="34"/>
    </row>
    <row r="603" customFormat="false" ht="15" hidden="false" customHeight="true" outlineLevel="0" collapsed="false">
      <c r="A603" s="18" t="n">
        <v>92</v>
      </c>
      <c r="B603" s="25"/>
      <c r="C603" s="26"/>
      <c r="D603" s="26"/>
      <c r="E603" s="26"/>
      <c r="F603" s="24" t="str">
        <f aca="false">IFERROR(INDEX('Operator Master'!$B$5:$B$504,MATCH(E603,'Operator Master'!$A$5:$A$504,0)),"")</f>
        <v/>
      </c>
      <c r="G603" s="26"/>
      <c r="H603" s="24" t="str">
        <f aca="false">IFERROR(INDEX('Fault Master'!$B$5:$B$104,MATCH(G603,'Fault Master'!$A$5:$A$104,0)),"")</f>
        <v/>
      </c>
      <c r="I603" s="24" t="str">
        <f aca="false">IFERROR(INDEX('Fault Master'!$C$5:$C$104,MATCH(G603,'Fault Master'!$A$5:$A$104,0)),"")</f>
        <v/>
      </c>
      <c r="J603" s="26"/>
      <c r="K603" s="26"/>
      <c r="L603" s="26"/>
      <c r="M603" s="26"/>
      <c r="N603" s="26"/>
      <c r="O603" s="26"/>
      <c r="P603" s="34"/>
    </row>
    <row r="604" customFormat="false" ht="15" hidden="false" customHeight="true" outlineLevel="0" collapsed="false">
      <c r="A604" s="18" t="n">
        <v>93</v>
      </c>
      <c r="B604" s="25"/>
      <c r="C604" s="26"/>
      <c r="D604" s="26"/>
      <c r="E604" s="26"/>
      <c r="F604" s="24" t="str">
        <f aca="false">IFERROR(INDEX('Operator Master'!$B$5:$B$504,MATCH(E604,'Operator Master'!$A$5:$A$504,0)),"")</f>
        <v/>
      </c>
      <c r="G604" s="26"/>
      <c r="H604" s="24" t="str">
        <f aca="false">IFERROR(INDEX('Fault Master'!$B$5:$B$104,MATCH(G604,'Fault Master'!$A$5:$A$104,0)),"")</f>
        <v/>
      </c>
      <c r="I604" s="24" t="str">
        <f aca="false">IFERROR(INDEX('Fault Master'!$C$5:$C$104,MATCH(G604,'Fault Master'!$A$5:$A$104,0)),"")</f>
        <v/>
      </c>
      <c r="J604" s="26"/>
      <c r="K604" s="26"/>
      <c r="L604" s="26"/>
      <c r="M604" s="26"/>
      <c r="N604" s="26"/>
      <c r="O604" s="26"/>
      <c r="P604" s="34"/>
    </row>
    <row r="605" customFormat="false" ht="15" hidden="false" customHeight="true" outlineLevel="0" collapsed="false">
      <c r="A605" s="18" t="n">
        <v>94</v>
      </c>
      <c r="B605" s="25"/>
      <c r="C605" s="26"/>
      <c r="D605" s="26"/>
      <c r="E605" s="26"/>
      <c r="F605" s="24" t="str">
        <f aca="false">IFERROR(INDEX('Operator Master'!$B$5:$B$504,MATCH(E605,'Operator Master'!$A$5:$A$504,0)),"")</f>
        <v/>
      </c>
      <c r="G605" s="26"/>
      <c r="H605" s="24" t="str">
        <f aca="false">IFERROR(INDEX('Fault Master'!$B$5:$B$104,MATCH(G605,'Fault Master'!$A$5:$A$104,0)),"")</f>
        <v/>
      </c>
      <c r="I605" s="24" t="str">
        <f aca="false">IFERROR(INDEX('Fault Master'!$C$5:$C$104,MATCH(G605,'Fault Master'!$A$5:$A$104,0)),"")</f>
        <v/>
      </c>
      <c r="J605" s="26"/>
      <c r="K605" s="26"/>
      <c r="L605" s="26"/>
      <c r="M605" s="26"/>
      <c r="N605" s="26"/>
      <c r="O605" s="26"/>
      <c r="P605" s="34"/>
    </row>
    <row r="606" customFormat="false" ht="15" hidden="false" customHeight="true" outlineLevel="0" collapsed="false">
      <c r="A606" s="18" t="n">
        <v>95</v>
      </c>
      <c r="B606" s="25"/>
      <c r="C606" s="26"/>
      <c r="D606" s="26"/>
      <c r="E606" s="26"/>
      <c r="F606" s="24" t="str">
        <f aca="false">IFERROR(INDEX('Operator Master'!$B$5:$B$504,MATCH(E606,'Operator Master'!$A$5:$A$504,0)),"")</f>
        <v/>
      </c>
      <c r="G606" s="26"/>
      <c r="H606" s="24" t="str">
        <f aca="false">IFERROR(INDEX('Fault Master'!$B$5:$B$104,MATCH(G606,'Fault Master'!$A$5:$A$104,0)),"")</f>
        <v/>
      </c>
      <c r="I606" s="24" t="str">
        <f aca="false">IFERROR(INDEX('Fault Master'!$C$5:$C$104,MATCH(G606,'Fault Master'!$A$5:$A$104,0)),"")</f>
        <v/>
      </c>
      <c r="J606" s="26"/>
      <c r="K606" s="26"/>
      <c r="L606" s="26"/>
      <c r="M606" s="26"/>
      <c r="N606" s="26"/>
      <c r="O606" s="26"/>
      <c r="P606" s="34"/>
    </row>
    <row r="607" customFormat="false" ht="15" hidden="false" customHeight="true" outlineLevel="0" collapsed="false">
      <c r="A607" s="18" t="n">
        <v>96</v>
      </c>
      <c r="B607" s="25"/>
      <c r="C607" s="26"/>
      <c r="D607" s="26"/>
      <c r="E607" s="26"/>
      <c r="F607" s="24" t="str">
        <f aca="false">IFERROR(INDEX('Operator Master'!$B$5:$B$504,MATCH(E607,'Operator Master'!$A$5:$A$504,0)),"")</f>
        <v/>
      </c>
      <c r="G607" s="26"/>
      <c r="H607" s="24" t="str">
        <f aca="false">IFERROR(INDEX('Fault Master'!$B$5:$B$104,MATCH(G607,'Fault Master'!$A$5:$A$104,0)),"")</f>
        <v/>
      </c>
      <c r="I607" s="24" t="str">
        <f aca="false">IFERROR(INDEX('Fault Master'!$C$5:$C$104,MATCH(G607,'Fault Master'!$A$5:$A$104,0)),"")</f>
        <v/>
      </c>
      <c r="J607" s="26"/>
      <c r="K607" s="26"/>
      <c r="L607" s="26"/>
      <c r="M607" s="26"/>
      <c r="N607" s="26"/>
      <c r="O607" s="26"/>
      <c r="P607" s="34"/>
    </row>
    <row r="608" customFormat="false" ht="15" hidden="false" customHeight="true" outlineLevel="0" collapsed="false">
      <c r="A608" s="18" t="n">
        <v>97</v>
      </c>
      <c r="B608" s="25"/>
      <c r="C608" s="26"/>
      <c r="D608" s="26"/>
      <c r="E608" s="26"/>
      <c r="F608" s="24" t="str">
        <f aca="false">IFERROR(INDEX('Operator Master'!$B$5:$B$504,MATCH(E608,'Operator Master'!$A$5:$A$504,0)),"")</f>
        <v/>
      </c>
      <c r="G608" s="26"/>
      <c r="H608" s="24" t="str">
        <f aca="false">IFERROR(INDEX('Fault Master'!$B$5:$B$104,MATCH(G608,'Fault Master'!$A$5:$A$104,0)),"")</f>
        <v/>
      </c>
      <c r="I608" s="24" t="str">
        <f aca="false">IFERROR(INDEX('Fault Master'!$C$5:$C$104,MATCH(G608,'Fault Master'!$A$5:$A$104,0)),"")</f>
        <v/>
      </c>
      <c r="J608" s="26"/>
      <c r="K608" s="26"/>
      <c r="L608" s="26"/>
      <c r="M608" s="26"/>
      <c r="N608" s="26"/>
      <c r="O608" s="26"/>
      <c r="P608" s="34"/>
    </row>
    <row r="609" customFormat="false" ht="15" hidden="false" customHeight="true" outlineLevel="0" collapsed="false">
      <c r="A609" s="18" t="n">
        <v>98</v>
      </c>
      <c r="B609" s="25"/>
      <c r="C609" s="26"/>
      <c r="D609" s="26"/>
      <c r="E609" s="26"/>
      <c r="F609" s="24" t="str">
        <f aca="false">IFERROR(INDEX('Operator Master'!$B$5:$B$504,MATCH(E609,'Operator Master'!$A$5:$A$504,0)),"")</f>
        <v/>
      </c>
      <c r="G609" s="26"/>
      <c r="H609" s="24" t="str">
        <f aca="false">IFERROR(INDEX('Fault Master'!$B$5:$B$104,MATCH(G609,'Fault Master'!$A$5:$A$104,0)),"")</f>
        <v/>
      </c>
      <c r="I609" s="24" t="str">
        <f aca="false">IFERROR(INDEX('Fault Master'!$C$5:$C$104,MATCH(G609,'Fault Master'!$A$5:$A$104,0)),"")</f>
        <v/>
      </c>
      <c r="J609" s="26"/>
      <c r="K609" s="26"/>
      <c r="L609" s="26"/>
      <c r="M609" s="26"/>
      <c r="N609" s="26"/>
      <c r="O609" s="26"/>
      <c r="P609" s="34"/>
    </row>
    <row r="610" customFormat="false" ht="15" hidden="false" customHeight="true" outlineLevel="0" collapsed="false">
      <c r="A610" s="18" t="n">
        <v>99</v>
      </c>
      <c r="B610" s="25"/>
      <c r="C610" s="26"/>
      <c r="D610" s="26"/>
      <c r="E610" s="26"/>
      <c r="F610" s="24" t="str">
        <f aca="false">IFERROR(INDEX('Operator Master'!$B$5:$B$504,MATCH(E610,'Operator Master'!$A$5:$A$504,0)),"")</f>
        <v/>
      </c>
      <c r="G610" s="26"/>
      <c r="H610" s="24" t="str">
        <f aca="false">IFERROR(INDEX('Fault Master'!$B$5:$B$104,MATCH(G610,'Fault Master'!$A$5:$A$104,0)),"")</f>
        <v/>
      </c>
      <c r="I610" s="24" t="str">
        <f aca="false">IFERROR(INDEX('Fault Master'!$C$5:$C$104,MATCH(G610,'Fault Master'!$A$5:$A$104,0)),"")</f>
        <v/>
      </c>
      <c r="J610" s="26"/>
      <c r="K610" s="26"/>
      <c r="L610" s="26"/>
      <c r="M610" s="26"/>
      <c r="N610" s="26"/>
      <c r="O610" s="26"/>
      <c r="P610" s="34"/>
    </row>
    <row r="611" customFormat="false" ht="15" hidden="false" customHeight="true" outlineLevel="0" collapsed="false">
      <c r="A611" s="18" t="n">
        <v>100</v>
      </c>
      <c r="B611" s="25"/>
      <c r="C611" s="26"/>
      <c r="D611" s="26"/>
      <c r="E611" s="26"/>
      <c r="F611" s="24" t="str">
        <f aca="false">IFERROR(INDEX('Operator Master'!$B$5:$B$504,MATCH(E611,'Operator Master'!$A$5:$A$504,0)),"")</f>
        <v/>
      </c>
      <c r="G611" s="26"/>
      <c r="H611" s="24" t="str">
        <f aca="false">IFERROR(INDEX('Fault Master'!$B$5:$B$104,MATCH(G611,'Fault Master'!$A$5:$A$104,0)),"")</f>
        <v/>
      </c>
      <c r="I611" s="24" t="str">
        <f aca="false">IFERROR(INDEX('Fault Master'!$C$5:$C$104,MATCH(G611,'Fault Master'!$A$5:$A$104,0)),"")</f>
        <v/>
      </c>
      <c r="J611" s="26"/>
      <c r="K611" s="26"/>
      <c r="L611" s="26"/>
      <c r="M611" s="26"/>
      <c r="N611" s="26"/>
      <c r="O611" s="26"/>
      <c r="P611" s="34"/>
    </row>
    <row r="612" customFormat="false" ht="15" hidden="false" customHeight="true" outlineLevel="0" collapsed="false">
      <c r="A612" s="18" t="n">
        <v>101</v>
      </c>
      <c r="B612" s="25"/>
      <c r="C612" s="26"/>
      <c r="D612" s="26"/>
      <c r="E612" s="26"/>
      <c r="F612" s="24" t="str">
        <f aca="false">IFERROR(INDEX('Operator Master'!$B$5:$B$504,MATCH(E612,'Operator Master'!$A$5:$A$504,0)),"")</f>
        <v/>
      </c>
      <c r="G612" s="26"/>
      <c r="H612" s="24" t="str">
        <f aca="false">IFERROR(INDEX('Fault Master'!$B$5:$B$104,MATCH(G612,'Fault Master'!$A$5:$A$104,0)),"")</f>
        <v/>
      </c>
      <c r="I612" s="24" t="str">
        <f aca="false">IFERROR(INDEX('Fault Master'!$C$5:$C$104,MATCH(G612,'Fault Master'!$A$5:$A$104,0)),"")</f>
        <v/>
      </c>
      <c r="J612" s="26"/>
      <c r="K612" s="26"/>
      <c r="L612" s="26"/>
      <c r="M612" s="26"/>
      <c r="N612" s="26"/>
      <c r="O612" s="26"/>
      <c r="P612" s="34"/>
    </row>
    <row r="613" customFormat="false" ht="15" hidden="false" customHeight="true" outlineLevel="0" collapsed="false">
      <c r="A613" s="18" t="n">
        <v>102</v>
      </c>
      <c r="B613" s="25"/>
      <c r="C613" s="26"/>
      <c r="D613" s="26"/>
      <c r="E613" s="26"/>
      <c r="F613" s="24" t="str">
        <f aca="false">IFERROR(INDEX('Operator Master'!$B$5:$B$504,MATCH(E613,'Operator Master'!$A$5:$A$504,0)),"")</f>
        <v/>
      </c>
      <c r="G613" s="26"/>
      <c r="H613" s="24" t="str">
        <f aca="false">IFERROR(INDEX('Fault Master'!$B$5:$B$104,MATCH(G613,'Fault Master'!$A$5:$A$104,0)),"")</f>
        <v/>
      </c>
      <c r="I613" s="24" t="str">
        <f aca="false">IFERROR(INDEX('Fault Master'!$C$5:$C$104,MATCH(G613,'Fault Master'!$A$5:$A$104,0)),"")</f>
        <v/>
      </c>
      <c r="J613" s="26"/>
      <c r="K613" s="26"/>
      <c r="L613" s="26"/>
      <c r="M613" s="26"/>
      <c r="N613" s="26"/>
      <c r="O613" s="26"/>
      <c r="P613" s="34"/>
    </row>
    <row r="614" customFormat="false" ht="15" hidden="false" customHeight="true" outlineLevel="0" collapsed="false">
      <c r="A614" s="18" t="n">
        <v>103</v>
      </c>
      <c r="B614" s="25"/>
      <c r="C614" s="26"/>
      <c r="D614" s="26"/>
      <c r="E614" s="26"/>
      <c r="F614" s="24" t="str">
        <f aca="false">IFERROR(INDEX('Operator Master'!$B$5:$B$504,MATCH(E614,'Operator Master'!$A$5:$A$504,0)),"")</f>
        <v/>
      </c>
      <c r="G614" s="26"/>
      <c r="H614" s="24" t="str">
        <f aca="false">IFERROR(INDEX('Fault Master'!$B$5:$B$104,MATCH(G614,'Fault Master'!$A$5:$A$104,0)),"")</f>
        <v/>
      </c>
      <c r="I614" s="24" t="str">
        <f aca="false">IFERROR(INDEX('Fault Master'!$C$5:$C$104,MATCH(G614,'Fault Master'!$A$5:$A$104,0)),"")</f>
        <v/>
      </c>
      <c r="J614" s="26"/>
      <c r="K614" s="26"/>
      <c r="L614" s="26"/>
      <c r="M614" s="26"/>
      <c r="N614" s="26"/>
      <c r="O614" s="26"/>
      <c r="P614" s="34"/>
    </row>
    <row r="615" customFormat="false" ht="15" hidden="false" customHeight="true" outlineLevel="0" collapsed="false">
      <c r="A615" s="18" t="n">
        <v>104</v>
      </c>
      <c r="B615" s="25"/>
      <c r="C615" s="26"/>
      <c r="D615" s="26"/>
      <c r="E615" s="26"/>
      <c r="F615" s="24" t="str">
        <f aca="false">IFERROR(INDEX('Operator Master'!$B$5:$B$504,MATCH(E615,'Operator Master'!$A$5:$A$504,0)),"")</f>
        <v/>
      </c>
      <c r="G615" s="26"/>
      <c r="H615" s="24" t="str">
        <f aca="false">IFERROR(INDEX('Fault Master'!$B$5:$B$104,MATCH(G615,'Fault Master'!$A$5:$A$104,0)),"")</f>
        <v/>
      </c>
      <c r="I615" s="24" t="str">
        <f aca="false">IFERROR(INDEX('Fault Master'!$C$5:$C$104,MATCH(G615,'Fault Master'!$A$5:$A$104,0)),"")</f>
        <v/>
      </c>
      <c r="J615" s="26"/>
      <c r="K615" s="26"/>
      <c r="L615" s="26"/>
      <c r="M615" s="26"/>
      <c r="N615" s="26"/>
      <c r="O615" s="26"/>
      <c r="P615" s="34"/>
    </row>
    <row r="616" customFormat="false" ht="15" hidden="false" customHeight="true" outlineLevel="0" collapsed="false">
      <c r="A616" s="18" t="n">
        <v>105</v>
      </c>
      <c r="B616" s="25"/>
      <c r="C616" s="26"/>
      <c r="D616" s="26"/>
      <c r="E616" s="26"/>
      <c r="F616" s="24" t="str">
        <f aca="false">IFERROR(INDEX('Operator Master'!$B$5:$B$504,MATCH(E616,'Operator Master'!$A$5:$A$504,0)),"")</f>
        <v/>
      </c>
      <c r="G616" s="26"/>
      <c r="H616" s="24" t="str">
        <f aca="false">IFERROR(INDEX('Fault Master'!$B$5:$B$104,MATCH(G616,'Fault Master'!$A$5:$A$104,0)),"")</f>
        <v/>
      </c>
      <c r="I616" s="24" t="str">
        <f aca="false">IFERROR(INDEX('Fault Master'!$C$5:$C$104,MATCH(G616,'Fault Master'!$A$5:$A$104,0)),"")</f>
        <v/>
      </c>
      <c r="J616" s="26"/>
      <c r="K616" s="26"/>
      <c r="L616" s="26"/>
      <c r="M616" s="26"/>
      <c r="N616" s="26"/>
      <c r="O616" s="26"/>
      <c r="P616" s="34"/>
    </row>
    <row r="617" customFormat="false" ht="15" hidden="false" customHeight="true" outlineLevel="0" collapsed="false">
      <c r="A617" s="18" t="n">
        <v>106</v>
      </c>
      <c r="B617" s="25"/>
      <c r="C617" s="26"/>
      <c r="D617" s="26"/>
      <c r="E617" s="26"/>
      <c r="F617" s="24" t="str">
        <f aca="false">IFERROR(INDEX('Operator Master'!$B$5:$B$504,MATCH(E617,'Operator Master'!$A$5:$A$504,0)),"")</f>
        <v/>
      </c>
      <c r="G617" s="26"/>
      <c r="H617" s="24" t="str">
        <f aca="false">IFERROR(INDEX('Fault Master'!$B$5:$B$104,MATCH(G617,'Fault Master'!$A$5:$A$104,0)),"")</f>
        <v/>
      </c>
      <c r="I617" s="24" t="str">
        <f aca="false">IFERROR(INDEX('Fault Master'!$C$5:$C$104,MATCH(G617,'Fault Master'!$A$5:$A$104,0)),"")</f>
        <v/>
      </c>
      <c r="J617" s="26"/>
      <c r="K617" s="26"/>
      <c r="L617" s="26"/>
      <c r="M617" s="26"/>
      <c r="N617" s="26"/>
      <c r="O617" s="26"/>
      <c r="P617" s="34"/>
    </row>
    <row r="618" customFormat="false" ht="15" hidden="false" customHeight="true" outlineLevel="0" collapsed="false">
      <c r="A618" s="18" t="n">
        <v>107</v>
      </c>
      <c r="B618" s="25"/>
      <c r="C618" s="26"/>
      <c r="D618" s="26"/>
      <c r="E618" s="26"/>
      <c r="F618" s="24" t="str">
        <f aca="false">IFERROR(INDEX('Operator Master'!$B$5:$B$504,MATCH(E618,'Operator Master'!$A$5:$A$504,0)),"")</f>
        <v/>
      </c>
      <c r="G618" s="26"/>
      <c r="H618" s="24" t="str">
        <f aca="false">IFERROR(INDEX('Fault Master'!$B$5:$B$104,MATCH(G618,'Fault Master'!$A$5:$A$104,0)),"")</f>
        <v/>
      </c>
      <c r="I618" s="24" t="str">
        <f aca="false">IFERROR(INDEX('Fault Master'!$C$5:$C$104,MATCH(G618,'Fault Master'!$A$5:$A$104,0)),"")</f>
        <v/>
      </c>
      <c r="J618" s="26"/>
      <c r="K618" s="26"/>
      <c r="L618" s="26"/>
      <c r="M618" s="26"/>
      <c r="N618" s="26"/>
      <c r="O618" s="26"/>
      <c r="P618" s="34"/>
    </row>
    <row r="619" customFormat="false" ht="15" hidden="false" customHeight="true" outlineLevel="0" collapsed="false">
      <c r="A619" s="18" t="n">
        <v>108</v>
      </c>
      <c r="B619" s="25"/>
      <c r="C619" s="26"/>
      <c r="D619" s="26"/>
      <c r="E619" s="26"/>
      <c r="F619" s="24" t="str">
        <f aca="false">IFERROR(INDEX('Operator Master'!$B$5:$B$504,MATCH(E619,'Operator Master'!$A$5:$A$504,0)),"")</f>
        <v/>
      </c>
      <c r="G619" s="26"/>
      <c r="H619" s="24" t="str">
        <f aca="false">IFERROR(INDEX('Fault Master'!$B$5:$B$104,MATCH(G619,'Fault Master'!$A$5:$A$104,0)),"")</f>
        <v/>
      </c>
      <c r="I619" s="24" t="str">
        <f aca="false">IFERROR(INDEX('Fault Master'!$C$5:$C$104,MATCH(G619,'Fault Master'!$A$5:$A$104,0)),"")</f>
        <v/>
      </c>
      <c r="J619" s="26"/>
      <c r="K619" s="26"/>
      <c r="L619" s="26"/>
      <c r="M619" s="26"/>
      <c r="N619" s="26"/>
      <c r="O619" s="26"/>
      <c r="P619" s="34"/>
    </row>
    <row r="620" customFormat="false" ht="15" hidden="false" customHeight="true" outlineLevel="0" collapsed="false">
      <c r="A620" s="18" t="n">
        <v>109</v>
      </c>
      <c r="B620" s="25"/>
      <c r="C620" s="26"/>
      <c r="D620" s="26"/>
      <c r="E620" s="26"/>
      <c r="F620" s="24" t="str">
        <f aca="false">IFERROR(INDEX('Operator Master'!$B$5:$B$504,MATCH(E620,'Operator Master'!$A$5:$A$504,0)),"")</f>
        <v/>
      </c>
      <c r="G620" s="26"/>
      <c r="H620" s="24" t="str">
        <f aca="false">IFERROR(INDEX('Fault Master'!$B$5:$B$104,MATCH(G620,'Fault Master'!$A$5:$A$104,0)),"")</f>
        <v/>
      </c>
      <c r="I620" s="24" t="str">
        <f aca="false">IFERROR(INDEX('Fault Master'!$C$5:$C$104,MATCH(G620,'Fault Master'!$A$5:$A$104,0)),"")</f>
        <v/>
      </c>
      <c r="J620" s="26"/>
      <c r="K620" s="26"/>
      <c r="L620" s="26"/>
      <c r="M620" s="26"/>
      <c r="N620" s="26"/>
      <c r="O620" s="26"/>
      <c r="P620" s="34"/>
    </row>
    <row r="621" customFormat="false" ht="15" hidden="false" customHeight="true" outlineLevel="0" collapsed="false">
      <c r="A621" s="18" t="n">
        <v>110</v>
      </c>
      <c r="B621" s="25"/>
      <c r="C621" s="26"/>
      <c r="D621" s="26"/>
      <c r="E621" s="26"/>
      <c r="F621" s="24" t="str">
        <f aca="false">IFERROR(INDEX('Operator Master'!$B$5:$B$504,MATCH(E621,'Operator Master'!$A$5:$A$504,0)),"")</f>
        <v/>
      </c>
      <c r="G621" s="26"/>
      <c r="H621" s="24" t="str">
        <f aca="false">IFERROR(INDEX('Fault Master'!$B$5:$B$104,MATCH(G621,'Fault Master'!$A$5:$A$104,0)),"")</f>
        <v/>
      </c>
      <c r="I621" s="24" t="str">
        <f aca="false">IFERROR(INDEX('Fault Master'!$C$5:$C$104,MATCH(G621,'Fault Master'!$A$5:$A$104,0)),"")</f>
        <v/>
      </c>
      <c r="J621" s="26"/>
      <c r="K621" s="26"/>
      <c r="L621" s="26"/>
      <c r="M621" s="26"/>
      <c r="N621" s="26"/>
      <c r="O621" s="26"/>
      <c r="P621" s="34"/>
    </row>
    <row r="622" customFormat="false" ht="15" hidden="false" customHeight="true" outlineLevel="0" collapsed="false">
      <c r="A622" s="18" t="n">
        <v>111</v>
      </c>
      <c r="B622" s="25"/>
      <c r="C622" s="26"/>
      <c r="D622" s="26"/>
      <c r="E622" s="26"/>
      <c r="F622" s="24" t="str">
        <f aca="false">IFERROR(INDEX('Operator Master'!$B$5:$B$504,MATCH(E622,'Operator Master'!$A$5:$A$504,0)),"")</f>
        <v/>
      </c>
      <c r="G622" s="26"/>
      <c r="H622" s="24" t="str">
        <f aca="false">IFERROR(INDEX('Fault Master'!$B$5:$B$104,MATCH(G622,'Fault Master'!$A$5:$A$104,0)),"")</f>
        <v/>
      </c>
      <c r="I622" s="24" t="str">
        <f aca="false">IFERROR(INDEX('Fault Master'!$C$5:$C$104,MATCH(G622,'Fault Master'!$A$5:$A$104,0)),"")</f>
        <v/>
      </c>
      <c r="J622" s="26"/>
      <c r="K622" s="26"/>
      <c r="L622" s="26"/>
      <c r="M622" s="26"/>
      <c r="N622" s="26"/>
      <c r="O622" s="26"/>
      <c r="P622" s="34"/>
    </row>
    <row r="623" customFormat="false" ht="15" hidden="false" customHeight="true" outlineLevel="0" collapsed="false">
      <c r="A623" s="18" t="n">
        <v>112</v>
      </c>
      <c r="B623" s="25"/>
      <c r="C623" s="26"/>
      <c r="D623" s="26"/>
      <c r="E623" s="26"/>
      <c r="F623" s="24" t="str">
        <f aca="false">IFERROR(INDEX('Operator Master'!$B$5:$B$504,MATCH(E623,'Operator Master'!$A$5:$A$504,0)),"")</f>
        <v/>
      </c>
      <c r="G623" s="26"/>
      <c r="H623" s="24" t="str">
        <f aca="false">IFERROR(INDEX('Fault Master'!$B$5:$B$104,MATCH(G623,'Fault Master'!$A$5:$A$104,0)),"")</f>
        <v/>
      </c>
      <c r="I623" s="24" t="str">
        <f aca="false">IFERROR(INDEX('Fault Master'!$C$5:$C$104,MATCH(G623,'Fault Master'!$A$5:$A$104,0)),"")</f>
        <v/>
      </c>
      <c r="J623" s="26"/>
      <c r="K623" s="26"/>
      <c r="L623" s="26"/>
      <c r="M623" s="26"/>
      <c r="N623" s="26"/>
      <c r="O623" s="26"/>
      <c r="P623" s="34"/>
    </row>
    <row r="624" customFormat="false" ht="15" hidden="false" customHeight="true" outlineLevel="0" collapsed="false">
      <c r="A624" s="18" t="n">
        <v>113</v>
      </c>
      <c r="B624" s="25"/>
      <c r="C624" s="26"/>
      <c r="D624" s="26"/>
      <c r="E624" s="26"/>
      <c r="F624" s="24" t="str">
        <f aca="false">IFERROR(INDEX('Operator Master'!$B$5:$B$504,MATCH(E624,'Operator Master'!$A$5:$A$504,0)),"")</f>
        <v/>
      </c>
      <c r="G624" s="26"/>
      <c r="H624" s="24" t="str">
        <f aca="false">IFERROR(INDEX('Fault Master'!$B$5:$B$104,MATCH(G624,'Fault Master'!$A$5:$A$104,0)),"")</f>
        <v/>
      </c>
      <c r="I624" s="24" t="str">
        <f aca="false">IFERROR(INDEX('Fault Master'!$C$5:$C$104,MATCH(G624,'Fault Master'!$A$5:$A$104,0)),"")</f>
        <v/>
      </c>
      <c r="J624" s="26"/>
      <c r="K624" s="26"/>
      <c r="L624" s="26"/>
      <c r="M624" s="26"/>
      <c r="N624" s="26"/>
      <c r="O624" s="26"/>
      <c r="P624" s="34"/>
    </row>
    <row r="625" customFormat="false" ht="15" hidden="false" customHeight="true" outlineLevel="0" collapsed="false">
      <c r="A625" s="18" t="n">
        <v>114</v>
      </c>
      <c r="B625" s="25"/>
      <c r="C625" s="26"/>
      <c r="D625" s="26"/>
      <c r="E625" s="26"/>
      <c r="F625" s="24" t="str">
        <f aca="false">IFERROR(INDEX('Operator Master'!$B$5:$B$504,MATCH(E625,'Operator Master'!$A$5:$A$504,0)),"")</f>
        <v/>
      </c>
      <c r="G625" s="26"/>
      <c r="H625" s="24" t="str">
        <f aca="false">IFERROR(INDEX('Fault Master'!$B$5:$B$104,MATCH(G625,'Fault Master'!$A$5:$A$104,0)),"")</f>
        <v/>
      </c>
      <c r="I625" s="24" t="str">
        <f aca="false">IFERROR(INDEX('Fault Master'!$C$5:$C$104,MATCH(G625,'Fault Master'!$A$5:$A$104,0)),"")</f>
        <v/>
      </c>
      <c r="J625" s="26"/>
      <c r="K625" s="26"/>
      <c r="L625" s="26"/>
      <c r="M625" s="26"/>
      <c r="N625" s="26"/>
      <c r="O625" s="26"/>
      <c r="P625" s="34"/>
    </row>
    <row r="626" customFormat="false" ht="15" hidden="false" customHeight="true" outlineLevel="0" collapsed="false">
      <c r="A626" s="18" t="n">
        <v>115</v>
      </c>
      <c r="B626" s="25"/>
      <c r="C626" s="26"/>
      <c r="D626" s="26"/>
      <c r="E626" s="26"/>
      <c r="F626" s="24" t="str">
        <f aca="false">IFERROR(INDEX('Operator Master'!$B$5:$B$504,MATCH(E626,'Operator Master'!$A$5:$A$504,0)),"")</f>
        <v/>
      </c>
      <c r="G626" s="26"/>
      <c r="H626" s="24" t="str">
        <f aca="false">IFERROR(INDEX('Fault Master'!$B$5:$B$104,MATCH(G626,'Fault Master'!$A$5:$A$104,0)),"")</f>
        <v/>
      </c>
      <c r="I626" s="24" t="str">
        <f aca="false">IFERROR(INDEX('Fault Master'!$C$5:$C$104,MATCH(G626,'Fault Master'!$A$5:$A$104,0)),"")</f>
        <v/>
      </c>
      <c r="J626" s="26"/>
      <c r="K626" s="26"/>
      <c r="L626" s="26"/>
      <c r="M626" s="26"/>
      <c r="N626" s="26"/>
      <c r="O626" s="26"/>
      <c r="P626" s="34"/>
    </row>
    <row r="627" customFormat="false" ht="15" hidden="false" customHeight="true" outlineLevel="0" collapsed="false">
      <c r="A627" s="18" t="n">
        <v>116</v>
      </c>
      <c r="B627" s="25"/>
      <c r="C627" s="26"/>
      <c r="D627" s="26"/>
      <c r="E627" s="26"/>
      <c r="F627" s="24" t="str">
        <f aca="false">IFERROR(INDEX('Operator Master'!$B$5:$B$504,MATCH(E627,'Operator Master'!$A$5:$A$504,0)),"")</f>
        <v/>
      </c>
      <c r="G627" s="26"/>
      <c r="H627" s="24" t="str">
        <f aca="false">IFERROR(INDEX('Fault Master'!$B$5:$B$104,MATCH(G627,'Fault Master'!$A$5:$A$104,0)),"")</f>
        <v/>
      </c>
      <c r="I627" s="24" t="str">
        <f aca="false">IFERROR(INDEX('Fault Master'!$C$5:$C$104,MATCH(G627,'Fault Master'!$A$5:$A$104,0)),"")</f>
        <v/>
      </c>
      <c r="J627" s="26"/>
      <c r="K627" s="26"/>
      <c r="L627" s="26"/>
      <c r="M627" s="26"/>
      <c r="N627" s="26"/>
      <c r="O627" s="26"/>
      <c r="P627" s="34"/>
    </row>
    <row r="628" customFormat="false" ht="15" hidden="false" customHeight="true" outlineLevel="0" collapsed="false">
      <c r="A628" s="18" t="n">
        <v>117</v>
      </c>
      <c r="B628" s="25"/>
      <c r="C628" s="26"/>
      <c r="D628" s="26"/>
      <c r="E628" s="26"/>
      <c r="F628" s="24" t="str">
        <f aca="false">IFERROR(INDEX('Operator Master'!$B$5:$B$504,MATCH(E628,'Operator Master'!$A$5:$A$504,0)),"")</f>
        <v/>
      </c>
      <c r="G628" s="26"/>
      <c r="H628" s="24" t="str">
        <f aca="false">IFERROR(INDEX('Fault Master'!$B$5:$B$104,MATCH(G628,'Fault Master'!$A$5:$A$104,0)),"")</f>
        <v/>
      </c>
      <c r="I628" s="24" t="str">
        <f aca="false">IFERROR(INDEX('Fault Master'!$C$5:$C$104,MATCH(G628,'Fault Master'!$A$5:$A$104,0)),"")</f>
        <v/>
      </c>
      <c r="J628" s="26"/>
      <c r="K628" s="26"/>
      <c r="L628" s="26"/>
      <c r="M628" s="26"/>
      <c r="N628" s="26"/>
      <c r="O628" s="26"/>
      <c r="P628" s="34"/>
    </row>
    <row r="629" customFormat="false" ht="15" hidden="false" customHeight="true" outlineLevel="0" collapsed="false">
      <c r="A629" s="18" t="n">
        <v>118</v>
      </c>
      <c r="B629" s="25"/>
      <c r="C629" s="26"/>
      <c r="D629" s="26"/>
      <c r="E629" s="26"/>
      <c r="F629" s="24" t="str">
        <f aca="false">IFERROR(INDEX('Operator Master'!$B$5:$B$504,MATCH(E629,'Operator Master'!$A$5:$A$504,0)),"")</f>
        <v/>
      </c>
      <c r="G629" s="26"/>
      <c r="H629" s="24" t="str">
        <f aca="false">IFERROR(INDEX('Fault Master'!$B$5:$B$104,MATCH(G629,'Fault Master'!$A$5:$A$104,0)),"")</f>
        <v/>
      </c>
      <c r="I629" s="24" t="str">
        <f aca="false">IFERROR(INDEX('Fault Master'!$C$5:$C$104,MATCH(G629,'Fault Master'!$A$5:$A$104,0)),"")</f>
        <v/>
      </c>
      <c r="J629" s="26"/>
      <c r="K629" s="26"/>
      <c r="L629" s="26"/>
      <c r="M629" s="26"/>
      <c r="N629" s="26"/>
      <c r="O629" s="26"/>
      <c r="P629" s="34"/>
    </row>
    <row r="630" customFormat="false" ht="15" hidden="false" customHeight="true" outlineLevel="0" collapsed="false">
      <c r="A630" s="18" t="n">
        <v>119</v>
      </c>
      <c r="B630" s="25"/>
      <c r="C630" s="26"/>
      <c r="D630" s="26"/>
      <c r="E630" s="26"/>
      <c r="F630" s="24" t="str">
        <f aca="false">IFERROR(INDEX('Operator Master'!$B$5:$B$504,MATCH(E630,'Operator Master'!$A$5:$A$504,0)),"")</f>
        <v/>
      </c>
      <c r="G630" s="26"/>
      <c r="H630" s="24" t="str">
        <f aca="false">IFERROR(INDEX('Fault Master'!$B$5:$B$104,MATCH(G630,'Fault Master'!$A$5:$A$104,0)),"")</f>
        <v/>
      </c>
      <c r="I630" s="24" t="str">
        <f aca="false">IFERROR(INDEX('Fault Master'!$C$5:$C$104,MATCH(G630,'Fault Master'!$A$5:$A$104,0)),"")</f>
        <v/>
      </c>
      <c r="J630" s="26"/>
      <c r="K630" s="26"/>
      <c r="L630" s="26"/>
      <c r="M630" s="26"/>
      <c r="N630" s="26"/>
      <c r="O630" s="26"/>
      <c r="P630" s="34"/>
    </row>
    <row r="631" customFormat="false" ht="15" hidden="false" customHeight="true" outlineLevel="0" collapsed="false">
      <c r="A631" s="18" t="n">
        <v>120</v>
      </c>
      <c r="B631" s="25"/>
      <c r="C631" s="26"/>
      <c r="D631" s="26"/>
      <c r="E631" s="26"/>
      <c r="F631" s="24" t="str">
        <f aca="false">IFERROR(INDEX('Operator Master'!$B$5:$B$504,MATCH(E631,'Operator Master'!$A$5:$A$504,0)),"")</f>
        <v/>
      </c>
      <c r="G631" s="26"/>
      <c r="H631" s="24" t="str">
        <f aca="false">IFERROR(INDEX('Fault Master'!$B$5:$B$104,MATCH(G631,'Fault Master'!$A$5:$A$104,0)),"")</f>
        <v/>
      </c>
      <c r="I631" s="24" t="str">
        <f aca="false">IFERROR(INDEX('Fault Master'!$C$5:$C$104,MATCH(G631,'Fault Master'!$A$5:$A$104,0)),"")</f>
        <v/>
      </c>
      <c r="J631" s="26"/>
      <c r="K631" s="26"/>
      <c r="L631" s="26"/>
      <c r="M631" s="26"/>
      <c r="N631" s="26"/>
      <c r="O631" s="26"/>
      <c r="P631" s="34"/>
    </row>
    <row r="632" customFormat="false" ht="15" hidden="false" customHeight="true" outlineLevel="0" collapsed="false">
      <c r="A632" s="18" t="n">
        <v>121</v>
      </c>
      <c r="B632" s="25"/>
      <c r="C632" s="26"/>
      <c r="D632" s="26"/>
      <c r="E632" s="26"/>
      <c r="F632" s="24" t="str">
        <f aca="false">IFERROR(INDEX('Operator Master'!$B$5:$B$504,MATCH(E632,'Operator Master'!$A$5:$A$504,0)),"")</f>
        <v/>
      </c>
      <c r="G632" s="26"/>
      <c r="H632" s="24" t="str">
        <f aca="false">IFERROR(INDEX('Fault Master'!$B$5:$B$104,MATCH(G632,'Fault Master'!$A$5:$A$104,0)),"")</f>
        <v/>
      </c>
      <c r="I632" s="24" t="str">
        <f aca="false">IFERROR(INDEX('Fault Master'!$C$5:$C$104,MATCH(G632,'Fault Master'!$A$5:$A$104,0)),"")</f>
        <v/>
      </c>
      <c r="J632" s="26"/>
      <c r="K632" s="26"/>
      <c r="L632" s="26"/>
      <c r="M632" s="26"/>
      <c r="N632" s="26"/>
      <c r="O632" s="26"/>
      <c r="P632" s="34"/>
    </row>
    <row r="633" customFormat="false" ht="15" hidden="false" customHeight="true" outlineLevel="0" collapsed="false">
      <c r="A633" s="18" t="n">
        <v>122</v>
      </c>
      <c r="B633" s="25"/>
      <c r="C633" s="26"/>
      <c r="D633" s="26"/>
      <c r="E633" s="26"/>
      <c r="F633" s="24" t="str">
        <f aca="false">IFERROR(INDEX('Operator Master'!$B$5:$B$504,MATCH(E633,'Operator Master'!$A$5:$A$504,0)),"")</f>
        <v/>
      </c>
      <c r="G633" s="26"/>
      <c r="H633" s="24" t="str">
        <f aca="false">IFERROR(INDEX('Fault Master'!$B$5:$B$104,MATCH(G633,'Fault Master'!$A$5:$A$104,0)),"")</f>
        <v/>
      </c>
      <c r="I633" s="24" t="str">
        <f aca="false">IFERROR(INDEX('Fault Master'!$C$5:$C$104,MATCH(G633,'Fault Master'!$A$5:$A$104,0)),"")</f>
        <v/>
      </c>
      <c r="J633" s="26"/>
      <c r="K633" s="26"/>
      <c r="L633" s="26"/>
      <c r="M633" s="26"/>
      <c r="N633" s="26"/>
      <c r="O633" s="26"/>
      <c r="P633" s="34"/>
    </row>
    <row r="634" customFormat="false" ht="15" hidden="false" customHeight="true" outlineLevel="0" collapsed="false">
      <c r="A634" s="18" t="n">
        <v>123</v>
      </c>
      <c r="B634" s="25"/>
      <c r="C634" s="26"/>
      <c r="D634" s="26"/>
      <c r="E634" s="26"/>
      <c r="F634" s="24" t="str">
        <f aca="false">IFERROR(INDEX('Operator Master'!$B$5:$B$504,MATCH(E634,'Operator Master'!$A$5:$A$504,0)),"")</f>
        <v/>
      </c>
      <c r="G634" s="26"/>
      <c r="H634" s="24" t="str">
        <f aca="false">IFERROR(INDEX('Fault Master'!$B$5:$B$104,MATCH(G634,'Fault Master'!$A$5:$A$104,0)),"")</f>
        <v/>
      </c>
      <c r="I634" s="24" t="str">
        <f aca="false">IFERROR(INDEX('Fault Master'!$C$5:$C$104,MATCH(G634,'Fault Master'!$A$5:$A$104,0)),"")</f>
        <v/>
      </c>
      <c r="J634" s="26"/>
      <c r="K634" s="26"/>
      <c r="L634" s="26"/>
      <c r="M634" s="26"/>
      <c r="N634" s="26"/>
      <c r="O634" s="26"/>
      <c r="P634" s="34"/>
    </row>
    <row r="635" customFormat="false" ht="15" hidden="false" customHeight="true" outlineLevel="0" collapsed="false">
      <c r="A635" s="18" t="n">
        <v>124</v>
      </c>
      <c r="B635" s="25"/>
      <c r="C635" s="26"/>
      <c r="D635" s="26"/>
      <c r="E635" s="26"/>
      <c r="F635" s="24" t="str">
        <f aca="false">IFERROR(INDEX('Operator Master'!$B$5:$B$504,MATCH(E635,'Operator Master'!$A$5:$A$504,0)),"")</f>
        <v/>
      </c>
      <c r="G635" s="26"/>
      <c r="H635" s="24" t="str">
        <f aca="false">IFERROR(INDEX('Fault Master'!$B$5:$B$104,MATCH(G635,'Fault Master'!$A$5:$A$104,0)),"")</f>
        <v/>
      </c>
      <c r="I635" s="24" t="str">
        <f aca="false">IFERROR(INDEX('Fault Master'!$C$5:$C$104,MATCH(G635,'Fault Master'!$A$5:$A$104,0)),"")</f>
        <v/>
      </c>
      <c r="J635" s="26"/>
      <c r="K635" s="26"/>
      <c r="L635" s="26"/>
      <c r="M635" s="26"/>
      <c r="N635" s="26"/>
      <c r="O635" s="26"/>
      <c r="P635" s="34"/>
    </row>
    <row r="636" customFormat="false" ht="15" hidden="false" customHeight="true" outlineLevel="0" collapsed="false">
      <c r="A636" s="18" t="n">
        <v>125</v>
      </c>
      <c r="B636" s="25"/>
      <c r="C636" s="26"/>
      <c r="D636" s="26"/>
      <c r="E636" s="26"/>
      <c r="F636" s="24" t="str">
        <f aca="false">IFERROR(INDEX('Operator Master'!$B$5:$B$504,MATCH(E636,'Operator Master'!$A$5:$A$504,0)),"")</f>
        <v/>
      </c>
      <c r="G636" s="26"/>
      <c r="H636" s="24" t="str">
        <f aca="false">IFERROR(INDEX('Fault Master'!$B$5:$B$104,MATCH(G636,'Fault Master'!$A$5:$A$104,0)),"")</f>
        <v/>
      </c>
      <c r="I636" s="24" t="str">
        <f aca="false">IFERROR(INDEX('Fault Master'!$C$5:$C$104,MATCH(G636,'Fault Master'!$A$5:$A$104,0)),"")</f>
        <v/>
      </c>
      <c r="J636" s="26"/>
      <c r="K636" s="26"/>
      <c r="L636" s="26"/>
      <c r="M636" s="26"/>
      <c r="N636" s="26"/>
      <c r="O636" s="26"/>
      <c r="P636" s="34"/>
    </row>
    <row r="637" customFormat="false" ht="15" hidden="false" customHeight="true" outlineLevel="0" collapsed="false">
      <c r="A637" s="18" t="n">
        <v>126</v>
      </c>
      <c r="B637" s="25"/>
      <c r="C637" s="26"/>
      <c r="D637" s="26"/>
      <c r="E637" s="26"/>
      <c r="F637" s="24" t="str">
        <f aca="false">IFERROR(INDEX('Operator Master'!$B$5:$B$504,MATCH(E637,'Operator Master'!$A$5:$A$504,0)),"")</f>
        <v/>
      </c>
      <c r="G637" s="26"/>
      <c r="H637" s="24" t="str">
        <f aca="false">IFERROR(INDEX('Fault Master'!$B$5:$B$104,MATCH(G637,'Fault Master'!$A$5:$A$104,0)),"")</f>
        <v/>
      </c>
      <c r="I637" s="24" t="str">
        <f aca="false">IFERROR(INDEX('Fault Master'!$C$5:$C$104,MATCH(G637,'Fault Master'!$A$5:$A$104,0)),"")</f>
        <v/>
      </c>
      <c r="J637" s="26"/>
      <c r="K637" s="26"/>
      <c r="L637" s="26"/>
      <c r="M637" s="26"/>
      <c r="N637" s="26"/>
      <c r="O637" s="26"/>
      <c r="P637" s="34"/>
    </row>
    <row r="638" customFormat="false" ht="15" hidden="false" customHeight="true" outlineLevel="0" collapsed="false">
      <c r="A638" s="18" t="n">
        <v>127</v>
      </c>
      <c r="B638" s="25"/>
      <c r="C638" s="26"/>
      <c r="D638" s="26"/>
      <c r="E638" s="26"/>
      <c r="F638" s="24" t="str">
        <f aca="false">IFERROR(INDEX('Operator Master'!$B$5:$B$504,MATCH(E638,'Operator Master'!$A$5:$A$504,0)),"")</f>
        <v/>
      </c>
      <c r="G638" s="26"/>
      <c r="H638" s="24" t="str">
        <f aca="false">IFERROR(INDEX('Fault Master'!$B$5:$B$104,MATCH(G638,'Fault Master'!$A$5:$A$104,0)),"")</f>
        <v/>
      </c>
      <c r="I638" s="24" t="str">
        <f aca="false">IFERROR(INDEX('Fault Master'!$C$5:$C$104,MATCH(G638,'Fault Master'!$A$5:$A$104,0)),"")</f>
        <v/>
      </c>
      <c r="J638" s="26"/>
      <c r="K638" s="26"/>
      <c r="L638" s="26"/>
      <c r="M638" s="26"/>
      <c r="N638" s="26"/>
      <c r="O638" s="26"/>
      <c r="P638" s="34"/>
    </row>
    <row r="639" customFormat="false" ht="15" hidden="false" customHeight="true" outlineLevel="0" collapsed="false">
      <c r="A639" s="18" t="n">
        <v>128</v>
      </c>
      <c r="B639" s="25"/>
      <c r="C639" s="26"/>
      <c r="D639" s="26"/>
      <c r="E639" s="26"/>
      <c r="F639" s="24" t="str">
        <f aca="false">IFERROR(INDEX('Operator Master'!$B$5:$B$504,MATCH(E639,'Operator Master'!$A$5:$A$504,0)),"")</f>
        <v/>
      </c>
      <c r="G639" s="26"/>
      <c r="H639" s="24" t="str">
        <f aca="false">IFERROR(INDEX('Fault Master'!$B$5:$B$104,MATCH(G639,'Fault Master'!$A$5:$A$104,0)),"")</f>
        <v/>
      </c>
      <c r="I639" s="24" t="str">
        <f aca="false">IFERROR(INDEX('Fault Master'!$C$5:$C$104,MATCH(G639,'Fault Master'!$A$5:$A$104,0)),"")</f>
        <v/>
      </c>
      <c r="J639" s="26"/>
      <c r="K639" s="26"/>
      <c r="L639" s="26"/>
      <c r="M639" s="26"/>
      <c r="N639" s="26"/>
      <c r="O639" s="26"/>
      <c r="P639" s="34"/>
    </row>
    <row r="640" customFormat="false" ht="15" hidden="false" customHeight="true" outlineLevel="0" collapsed="false">
      <c r="A640" s="18" t="n">
        <v>129</v>
      </c>
      <c r="B640" s="25"/>
      <c r="C640" s="26"/>
      <c r="D640" s="26"/>
      <c r="E640" s="26"/>
      <c r="F640" s="24" t="str">
        <f aca="false">IFERROR(INDEX('Operator Master'!$B$5:$B$504,MATCH(E640,'Operator Master'!$A$5:$A$504,0)),"")</f>
        <v/>
      </c>
      <c r="G640" s="26"/>
      <c r="H640" s="24" t="str">
        <f aca="false">IFERROR(INDEX('Fault Master'!$B$5:$B$104,MATCH(G640,'Fault Master'!$A$5:$A$104,0)),"")</f>
        <v/>
      </c>
      <c r="I640" s="24" t="str">
        <f aca="false">IFERROR(INDEX('Fault Master'!$C$5:$C$104,MATCH(G640,'Fault Master'!$A$5:$A$104,0)),"")</f>
        <v/>
      </c>
      <c r="J640" s="26"/>
      <c r="K640" s="26"/>
      <c r="L640" s="26"/>
      <c r="M640" s="26"/>
      <c r="N640" s="26"/>
      <c r="O640" s="26"/>
      <c r="P640" s="34"/>
    </row>
    <row r="641" customFormat="false" ht="15" hidden="false" customHeight="true" outlineLevel="0" collapsed="false">
      <c r="A641" s="18" t="n">
        <v>130</v>
      </c>
      <c r="B641" s="25"/>
      <c r="C641" s="26"/>
      <c r="D641" s="26"/>
      <c r="E641" s="26"/>
      <c r="F641" s="24" t="str">
        <f aca="false">IFERROR(INDEX('Operator Master'!$B$5:$B$504,MATCH(E641,'Operator Master'!$A$5:$A$504,0)),"")</f>
        <v/>
      </c>
      <c r="G641" s="26"/>
      <c r="H641" s="24" t="str">
        <f aca="false">IFERROR(INDEX('Fault Master'!$B$5:$B$104,MATCH(G641,'Fault Master'!$A$5:$A$104,0)),"")</f>
        <v/>
      </c>
      <c r="I641" s="24" t="str">
        <f aca="false">IFERROR(INDEX('Fault Master'!$C$5:$C$104,MATCH(G641,'Fault Master'!$A$5:$A$104,0)),"")</f>
        <v/>
      </c>
      <c r="J641" s="26"/>
      <c r="K641" s="26"/>
      <c r="L641" s="26"/>
      <c r="M641" s="26"/>
      <c r="N641" s="26"/>
      <c r="O641" s="26"/>
      <c r="P641" s="34"/>
    </row>
    <row r="642" customFormat="false" ht="15" hidden="false" customHeight="true" outlineLevel="0" collapsed="false">
      <c r="A642" s="18" t="n">
        <v>131</v>
      </c>
      <c r="B642" s="25"/>
      <c r="C642" s="26"/>
      <c r="D642" s="26"/>
      <c r="E642" s="26"/>
      <c r="F642" s="24" t="str">
        <f aca="false">IFERROR(INDEX('Operator Master'!$B$5:$B$504,MATCH(E642,'Operator Master'!$A$5:$A$504,0)),"")</f>
        <v/>
      </c>
      <c r="G642" s="26"/>
      <c r="H642" s="24" t="str">
        <f aca="false">IFERROR(INDEX('Fault Master'!$B$5:$B$104,MATCH(G642,'Fault Master'!$A$5:$A$104,0)),"")</f>
        <v/>
      </c>
      <c r="I642" s="24" t="str">
        <f aca="false">IFERROR(INDEX('Fault Master'!$C$5:$C$104,MATCH(G642,'Fault Master'!$A$5:$A$104,0)),"")</f>
        <v/>
      </c>
      <c r="J642" s="26"/>
      <c r="K642" s="26"/>
      <c r="L642" s="26"/>
      <c r="M642" s="26"/>
      <c r="N642" s="26"/>
      <c r="O642" s="26"/>
      <c r="P642" s="34"/>
    </row>
    <row r="643" customFormat="false" ht="15" hidden="false" customHeight="true" outlineLevel="0" collapsed="false">
      <c r="A643" s="18" t="n">
        <v>132</v>
      </c>
      <c r="B643" s="25"/>
      <c r="C643" s="26"/>
      <c r="D643" s="26"/>
      <c r="E643" s="26"/>
      <c r="F643" s="24" t="str">
        <f aca="false">IFERROR(INDEX('Operator Master'!$B$5:$B$504,MATCH(E643,'Operator Master'!$A$5:$A$504,0)),"")</f>
        <v/>
      </c>
      <c r="G643" s="26"/>
      <c r="H643" s="24" t="str">
        <f aca="false">IFERROR(INDEX('Fault Master'!$B$5:$B$104,MATCH(G643,'Fault Master'!$A$5:$A$104,0)),"")</f>
        <v/>
      </c>
      <c r="I643" s="24" t="str">
        <f aca="false">IFERROR(INDEX('Fault Master'!$C$5:$C$104,MATCH(G643,'Fault Master'!$A$5:$A$104,0)),"")</f>
        <v/>
      </c>
      <c r="J643" s="26"/>
      <c r="K643" s="26"/>
      <c r="L643" s="26"/>
      <c r="M643" s="26"/>
      <c r="N643" s="26"/>
      <c r="O643" s="26"/>
      <c r="P643" s="34"/>
    </row>
    <row r="644" customFormat="false" ht="15" hidden="false" customHeight="true" outlineLevel="0" collapsed="false">
      <c r="A644" s="18" t="n">
        <v>133</v>
      </c>
      <c r="B644" s="25"/>
      <c r="C644" s="26"/>
      <c r="D644" s="26"/>
      <c r="E644" s="26"/>
      <c r="F644" s="24" t="str">
        <f aca="false">IFERROR(INDEX('Operator Master'!$B$5:$B$504,MATCH(E644,'Operator Master'!$A$5:$A$504,0)),"")</f>
        <v/>
      </c>
      <c r="G644" s="26"/>
      <c r="H644" s="24" t="str">
        <f aca="false">IFERROR(INDEX('Fault Master'!$B$5:$B$104,MATCH(G644,'Fault Master'!$A$5:$A$104,0)),"")</f>
        <v/>
      </c>
      <c r="I644" s="24" t="str">
        <f aca="false">IFERROR(INDEX('Fault Master'!$C$5:$C$104,MATCH(G644,'Fault Master'!$A$5:$A$104,0)),"")</f>
        <v/>
      </c>
      <c r="J644" s="26"/>
      <c r="K644" s="26"/>
      <c r="L644" s="26"/>
      <c r="M644" s="26"/>
      <c r="N644" s="26"/>
      <c r="O644" s="26"/>
      <c r="P644" s="34"/>
    </row>
    <row r="645" customFormat="false" ht="15" hidden="false" customHeight="true" outlineLevel="0" collapsed="false">
      <c r="A645" s="18" t="n">
        <v>134</v>
      </c>
      <c r="B645" s="25"/>
      <c r="C645" s="26"/>
      <c r="D645" s="26"/>
      <c r="E645" s="26"/>
      <c r="F645" s="24" t="str">
        <f aca="false">IFERROR(INDEX('Operator Master'!$B$5:$B$504,MATCH(E645,'Operator Master'!$A$5:$A$504,0)),"")</f>
        <v/>
      </c>
      <c r="G645" s="26"/>
      <c r="H645" s="24" t="str">
        <f aca="false">IFERROR(INDEX('Fault Master'!$B$5:$B$104,MATCH(G645,'Fault Master'!$A$5:$A$104,0)),"")</f>
        <v/>
      </c>
      <c r="I645" s="24" t="str">
        <f aca="false">IFERROR(INDEX('Fault Master'!$C$5:$C$104,MATCH(G645,'Fault Master'!$A$5:$A$104,0)),"")</f>
        <v/>
      </c>
      <c r="J645" s="26"/>
      <c r="K645" s="26"/>
      <c r="L645" s="26"/>
      <c r="M645" s="26"/>
      <c r="N645" s="26"/>
      <c r="O645" s="26"/>
      <c r="P645" s="34"/>
    </row>
    <row r="646" customFormat="false" ht="15" hidden="false" customHeight="true" outlineLevel="0" collapsed="false">
      <c r="A646" s="18" t="n">
        <v>135</v>
      </c>
      <c r="B646" s="25"/>
      <c r="C646" s="26"/>
      <c r="D646" s="26"/>
      <c r="E646" s="26"/>
      <c r="F646" s="24" t="str">
        <f aca="false">IFERROR(INDEX('Operator Master'!$B$5:$B$504,MATCH(E646,'Operator Master'!$A$5:$A$504,0)),"")</f>
        <v/>
      </c>
      <c r="G646" s="26"/>
      <c r="H646" s="24" t="str">
        <f aca="false">IFERROR(INDEX('Fault Master'!$B$5:$B$104,MATCH(G646,'Fault Master'!$A$5:$A$104,0)),"")</f>
        <v/>
      </c>
      <c r="I646" s="24" t="str">
        <f aca="false">IFERROR(INDEX('Fault Master'!$C$5:$C$104,MATCH(G646,'Fault Master'!$A$5:$A$104,0)),"")</f>
        <v/>
      </c>
      <c r="J646" s="26"/>
      <c r="K646" s="26"/>
      <c r="L646" s="26"/>
      <c r="M646" s="26"/>
      <c r="N646" s="26"/>
      <c r="O646" s="26"/>
      <c r="P646" s="34"/>
    </row>
    <row r="647" customFormat="false" ht="15" hidden="false" customHeight="true" outlineLevel="0" collapsed="false">
      <c r="A647" s="18" t="n">
        <v>136</v>
      </c>
      <c r="B647" s="25"/>
      <c r="C647" s="26"/>
      <c r="D647" s="26"/>
      <c r="E647" s="26"/>
      <c r="F647" s="24" t="str">
        <f aca="false">IFERROR(INDEX('Operator Master'!$B$5:$B$504,MATCH(E647,'Operator Master'!$A$5:$A$504,0)),"")</f>
        <v/>
      </c>
      <c r="G647" s="26"/>
      <c r="H647" s="24" t="str">
        <f aca="false">IFERROR(INDEX('Fault Master'!$B$5:$B$104,MATCH(G647,'Fault Master'!$A$5:$A$104,0)),"")</f>
        <v/>
      </c>
      <c r="I647" s="24" t="str">
        <f aca="false">IFERROR(INDEX('Fault Master'!$C$5:$C$104,MATCH(G647,'Fault Master'!$A$5:$A$104,0)),"")</f>
        <v/>
      </c>
      <c r="J647" s="26"/>
      <c r="K647" s="26"/>
      <c r="L647" s="26"/>
      <c r="M647" s="26"/>
      <c r="N647" s="26"/>
      <c r="O647" s="26"/>
      <c r="P647" s="34"/>
    </row>
    <row r="648" customFormat="false" ht="15" hidden="false" customHeight="true" outlineLevel="0" collapsed="false">
      <c r="A648" s="18" t="n">
        <v>137</v>
      </c>
      <c r="B648" s="25"/>
      <c r="C648" s="26"/>
      <c r="D648" s="26"/>
      <c r="E648" s="26"/>
      <c r="F648" s="24" t="str">
        <f aca="false">IFERROR(INDEX('Operator Master'!$B$5:$B$504,MATCH(E648,'Operator Master'!$A$5:$A$504,0)),"")</f>
        <v/>
      </c>
      <c r="G648" s="26"/>
      <c r="H648" s="24" t="str">
        <f aca="false">IFERROR(INDEX('Fault Master'!$B$5:$B$104,MATCH(G648,'Fault Master'!$A$5:$A$104,0)),"")</f>
        <v/>
      </c>
      <c r="I648" s="24" t="str">
        <f aca="false">IFERROR(INDEX('Fault Master'!$C$5:$C$104,MATCH(G648,'Fault Master'!$A$5:$A$104,0)),"")</f>
        <v/>
      </c>
      <c r="J648" s="26"/>
      <c r="K648" s="26"/>
      <c r="L648" s="26"/>
      <c r="M648" s="26"/>
      <c r="N648" s="26"/>
      <c r="O648" s="26"/>
      <c r="P648" s="34"/>
    </row>
    <row r="649" customFormat="false" ht="15" hidden="false" customHeight="true" outlineLevel="0" collapsed="false">
      <c r="A649" s="18" t="n">
        <v>138</v>
      </c>
      <c r="B649" s="25"/>
      <c r="C649" s="26"/>
      <c r="D649" s="26"/>
      <c r="E649" s="26"/>
      <c r="F649" s="24" t="str">
        <f aca="false">IFERROR(INDEX('Operator Master'!$B$5:$B$504,MATCH(E649,'Operator Master'!$A$5:$A$504,0)),"")</f>
        <v/>
      </c>
      <c r="G649" s="26"/>
      <c r="H649" s="24" t="str">
        <f aca="false">IFERROR(INDEX('Fault Master'!$B$5:$B$104,MATCH(G649,'Fault Master'!$A$5:$A$104,0)),"")</f>
        <v/>
      </c>
      <c r="I649" s="24" t="str">
        <f aca="false">IFERROR(INDEX('Fault Master'!$C$5:$C$104,MATCH(G649,'Fault Master'!$A$5:$A$104,0)),"")</f>
        <v/>
      </c>
      <c r="J649" s="26"/>
      <c r="K649" s="26"/>
      <c r="L649" s="26"/>
      <c r="M649" s="26"/>
      <c r="N649" s="26"/>
      <c r="O649" s="26"/>
      <c r="P649" s="34"/>
    </row>
    <row r="650" customFormat="false" ht="15" hidden="false" customHeight="true" outlineLevel="0" collapsed="false">
      <c r="A650" s="18" t="n">
        <v>139</v>
      </c>
      <c r="B650" s="25"/>
      <c r="C650" s="26"/>
      <c r="D650" s="26"/>
      <c r="E650" s="26"/>
      <c r="F650" s="24" t="str">
        <f aca="false">IFERROR(INDEX('Operator Master'!$B$5:$B$504,MATCH(E650,'Operator Master'!$A$5:$A$504,0)),"")</f>
        <v/>
      </c>
      <c r="G650" s="26"/>
      <c r="H650" s="24" t="str">
        <f aca="false">IFERROR(INDEX('Fault Master'!$B$5:$B$104,MATCH(G650,'Fault Master'!$A$5:$A$104,0)),"")</f>
        <v/>
      </c>
      <c r="I650" s="24" t="str">
        <f aca="false">IFERROR(INDEX('Fault Master'!$C$5:$C$104,MATCH(G650,'Fault Master'!$A$5:$A$104,0)),"")</f>
        <v/>
      </c>
      <c r="J650" s="26"/>
      <c r="K650" s="26"/>
      <c r="L650" s="26"/>
      <c r="M650" s="26"/>
      <c r="N650" s="26"/>
      <c r="O650" s="26"/>
      <c r="P650" s="34"/>
    </row>
    <row r="651" customFormat="false" ht="15" hidden="false" customHeight="true" outlineLevel="0" collapsed="false">
      <c r="A651" s="18" t="n">
        <v>140</v>
      </c>
      <c r="B651" s="25"/>
      <c r="C651" s="26"/>
      <c r="D651" s="26"/>
      <c r="E651" s="26"/>
      <c r="F651" s="24" t="str">
        <f aca="false">IFERROR(INDEX('Operator Master'!$B$5:$B$504,MATCH(E651,'Operator Master'!$A$5:$A$504,0)),"")</f>
        <v/>
      </c>
      <c r="G651" s="26"/>
      <c r="H651" s="24" t="str">
        <f aca="false">IFERROR(INDEX('Fault Master'!$B$5:$B$104,MATCH(G651,'Fault Master'!$A$5:$A$104,0)),"")</f>
        <v/>
      </c>
      <c r="I651" s="24" t="str">
        <f aca="false">IFERROR(INDEX('Fault Master'!$C$5:$C$104,MATCH(G651,'Fault Master'!$A$5:$A$104,0)),"")</f>
        <v/>
      </c>
      <c r="J651" s="26"/>
      <c r="K651" s="26"/>
      <c r="L651" s="26"/>
      <c r="M651" s="26"/>
      <c r="N651" s="26"/>
      <c r="O651" s="26"/>
      <c r="P651" s="34"/>
    </row>
    <row r="652" customFormat="false" ht="15" hidden="false" customHeight="true" outlineLevel="0" collapsed="false">
      <c r="A652" s="18" t="n">
        <v>141</v>
      </c>
      <c r="B652" s="25"/>
      <c r="C652" s="26"/>
      <c r="D652" s="26"/>
      <c r="E652" s="26"/>
      <c r="F652" s="24" t="str">
        <f aca="false">IFERROR(INDEX('Operator Master'!$B$5:$B$504,MATCH(E652,'Operator Master'!$A$5:$A$504,0)),"")</f>
        <v/>
      </c>
      <c r="G652" s="26"/>
      <c r="H652" s="24" t="str">
        <f aca="false">IFERROR(INDEX('Fault Master'!$B$5:$B$104,MATCH(G652,'Fault Master'!$A$5:$A$104,0)),"")</f>
        <v/>
      </c>
      <c r="I652" s="24" t="str">
        <f aca="false">IFERROR(INDEX('Fault Master'!$C$5:$C$104,MATCH(G652,'Fault Master'!$A$5:$A$104,0)),"")</f>
        <v/>
      </c>
      <c r="J652" s="26"/>
      <c r="K652" s="26"/>
      <c r="L652" s="26"/>
      <c r="M652" s="26"/>
      <c r="N652" s="26"/>
      <c r="O652" s="26"/>
      <c r="P652" s="34"/>
    </row>
    <row r="653" customFormat="false" ht="15" hidden="false" customHeight="true" outlineLevel="0" collapsed="false">
      <c r="A653" s="18" t="n">
        <v>142</v>
      </c>
      <c r="B653" s="25"/>
      <c r="C653" s="26"/>
      <c r="D653" s="26"/>
      <c r="E653" s="26"/>
      <c r="F653" s="24" t="str">
        <f aca="false">IFERROR(INDEX('Operator Master'!$B$5:$B$504,MATCH(E653,'Operator Master'!$A$5:$A$504,0)),"")</f>
        <v/>
      </c>
      <c r="G653" s="26"/>
      <c r="H653" s="24" t="str">
        <f aca="false">IFERROR(INDEX('Fault Master'!$B$5:$B$104,MATCH(G653,'Fault Master'!$A$5:$A$104,0)),"")</f>
        <v/>
      </c>
      <c r="I653" s="24" t="str">
        <f aca="false">IFERROR(INDEX('Fault Master'!$C$5:$C$104,MATCH(G653,'Fault Master'!$A$5:$A$104,0)),"")</f>
        <v/>
      </c>
      <c r="J653" s="26"/>
      <c r="K653" s="26"/>
      <c r="L653" s="26"/>
      <c r="M653" s="26"/>
      <c r="N653" s="26"/>
      <c r="O653" s="26"/>
      <c r="P653" s="34"/>
    </row>
    <row r="654" customFormat="false" ht="15" hidden="false" customHeight="true" outlineLevel="0" collapsed="false">
      <c r="A654" s="18" t="n">
        <v>143</v>
      </c>
      <c r="B654" s="25"/>
      <c r="C654" s="26"/>
      <c r="D654" s="26"/>
      <c r="E654" s="26"/>
      <c r="F654" s="24" t="str">
        <f aca="false">IFERROR(INDEX('Operator Master'!$B$5:$B$504,MATCH(E654,'Operator Master'!$A$5:$A$504,0)),"")</f>
        <v/>
      </c>
      <c r="G654" s="26"/>
      <c r="H654" s="24" t="str">
        <f aca="false">IFERROR(INDEX('Fault Master'!$B$5:$B$104,MATCH(G654,'Fault Master'!$A$5:$A$104,0)),"")</f>
        <v/>
      </c>
      <c r="I654" s="24" t="str">
        <f aca="false">IFERROR(INDEX('Fault Master'!$C$5:$C$104,MATCH(G654,'Fault Master'!$A$5:$A$104,0)),"")</f>
        <v/>
      </c>
      <c r="J654" s="26"/>
      <c r="K654" s="26"/>
      <c r="L654" s="26"/>
      <c r="M654" s="26"/>
      <c r="N654" s="26"/>
      <c r="O654" s="26"/>
      <c r="P654" s="34"/>
    </row>
    <row r="655" customFormat="false" ht="15" hidden="false" customHeight="true" outlineLevel="0" collapsed="false">
      <c r="A655" s="18" t="n">
        <v>144</v>
      </c>
      <c r="B655" s="25"/>
      <c r="C655" s="26"/>
      <c r="D655" s="26"/>
      <c r="E655" s="26"/>
      <c r="F655" s="24" t="str">
        <f aca="false">IFERROR(INDEX('Operator Master'!$B$5:$B$504,MATCH(E655,'Operator Master'!$A$5:$A$504,0)),"")</f>
        <v/>
      </c>
      <c r="G655" s="26"/>
      <c r="H655" s="24" t="str">
        <f aca="false">IFERROR(INDEX('Fault Master'!$B$5:$B$104,MATCH(G655,'Fault Master'!$A$5:$A$104,0)),"")</f>
        <v/>
      </c>
      <c r="I655" s="24" t="str">
        <f aca="false">IFERROR(INDEX('Fault Master'!$C$5:$C$104,MATCH(G655,'Fault Master'!$A$5:$A$104,0)),"")</f>
        <v/>
      </c>
      <c r="J655" s="26"/>
      <c r="K655" s="26"/>
      <c r="L655" s="26"/>
      <c r="M655" s="26"/>
      <c r="N655" s="26"/>
      <c r="O655" s="26"/>
      <c r="P655" s="34"/>
    </row>
    <row r="656" customFormat="false" ht="15" hidden="false" customHeight="true" outlineLevel="0" collapsed="false">
      <c r="A656" s="18" t="n">
        <v>145</v>
      </c>
      <c r="B656" s="25"/>
      <c r="C656" s="26"/>
      <c r="D656" s="26"/>
      <c r="E656" s="26"/>
      <c r="F656" s="24" t="str">
        <f aca="false">IFERROR(INDEX('Operator Master'!$B$5:$B$504,MATCH(E656,'Operator Master'!$A$5:$A$504,0)),"")</f>
        <v/>
      </c>
      <c r="G656" s="26"/>
      <c r="H656" s="24" t="str">
        <f aca="false">IFERROR(INDEX('Fault Master'!$B$5:$B$104,MATCH(G656,'Fault Master'!$A$5:$A$104,0)),"")</f>
        <v/>
      </c>
      <c r="I656" s="24" t="str">
        <f aca="false">IFERROR(INDEX('Fault Master'!$C$5:$C$104,MATCH(G656,'Fault Master'!$A$5:$A$104,0)),"")</f>
        <v/>
      </c>
      <c r="J656" s="26"/>
      <c r="K656" s="26"/>
      <c r="L656" s="26"/>
      <c r="M656" s="26"/>
      <c r="N656" s="26"/>
      <c r="O656" s="26"/>
      <c r="P656" s="34"/>
    </row>
    <row r="657" customFormat="false" ht="15" hidden="false" customHeight="true" outlineLevel="0" collapsed="false">
      <c r="A657" s="18" t="n">
        <v>146</v>
      </c>
      <c r="B657" s="25"/>
      <c r="C657" s="26"/>
      <c r="D657" s="26"/>
      <c r="E657" s="26"/>
      <c r="F657" s="24" t="str">
        <f aca="false">IFERROR(INDEX('Operator Master'!$B$5:$B$504,MATCH(E657,'Operator Master'!$A$5:$A$504,0)),"")</f>
        <v/>
      </c>
      <c r="G657" s="26"/>
      <c r="H657" s="24" t="str">
        <f aca="false">IFERROR(INDEX('Fault Master'!$B$5:$B$104,MATCH(G657,'Fault Master'!$A$5:$A$104,0)),"")</f>
        <v/>
      </c>
      <c r="I657" s="24" t="str">
        <f aca="false">IFERROR(INDEX('Fault Master'!$C$5:$C$104,MATCH(G657,'Fault Master'!$A$5:$A$104,0)),"")</f>
        <v/>
      </c>
      <c r="J657" s="26"/>
      <c r="K657" s="26"/>
      <c r="L657" s="26"/>
      <c r="M657" s="26"/>
      <c r="N657" s="26"/>
      <c r="O657" s="26"/>
      <c r="P657" s="34"/>
    </row>
    <row r="658" customFormat="false" ht="15" hidden="false" customHeight="true" outlineLevel="0" collapsed="false">
      <c r="A658" s="18" t="n">
        <v>147</v>
      </c>
      <c r="B658" s="25"/>
      <c r="C658" s="26"/>
      <c r="D658" s="26"/>
      <c r="E658" s="26"/>
      <c r="F658" s="24" t="str">
        <f aca="false">IFERROR(INDEX('Operator Master'!$B$5:$B$504,MATCH(E658,'Operator Master'!$A$5:$A$504,0)),"")</f>
        <v/>
      </c>
      <c r="G658" s="26"/>
      <c r="H658" s="24" t="str">
        <f aca="false">IFERROR(INDEX('Fault Master'!$B$5:$B$104,MATCH(G658,'Fault Master'!$A$5:$A$104,0)),"")</f>
        <v/>
      </c>
      <c r="I658" s="24" t="str">
        <f aca="false">IFERROR(INDEX('Fault Master'!$C$5:$C$104,MATCH(G658,'Fault Master'!$A$5:$A$104,0)),"")</f>
        <v/>
      </c>
      <c r="J658" s="26"/>
      <c r="K658" s="26"/>
      <c r="L658" s="26"/>
      <c r="M658" s="26"/>
      <c r="N658" s="26"/>
      <c r="O658" s="26"/>
      <c r="P658" s="34"/>
    </row>
    <row r="659" customFormat="false" ht="15" hidden="false" customHeight="true" outlineLevel="0" collapsed="false">
      <c r="A659" s="18" t="n">
        <v>148</v>
      </c>
      <c r="B659" s="25"/>
      <c r="C659" s="26"/>
      <c r="D659" s="26"/>
      <c r="E659" s="26"/>
      <c r="F659" s="24" t="str">
        <f aca="false">IFERROR(INDEX('Operator Master'!$B$5:$B$504,MATCH(E659,'Operator Master'!$A$5:$A$504,0)),"")</f>
        <v/>
      </c>
      <c r="G659" s="26"/>
      <c r="H659" s="24" t="str">
        <f aca="false">IFERROR(INDEX('Fault Master'!$B$5:$B$104,MATCH(G659,'Fault Master'!$A$5:$A$104,0)),"")</f>
        <v/>
      </c>
      <c r="I659" s="24" t="str">
        <f aca="false">IFERROR(INDEX('Fault Master'!$C$5:$C$104,MATCH(G659,'Fault Master'!$A$5:$A$104,0)),"")</f>
        <v/>
      </c>
      <c r="J659" s="26"/>
      <c r="K659" s="26"/>
      <c r="L659" s="26"/>
      <c r="M659" s="26"/>
      <c r="N659" s="26"/>
      <c r="O659" s="26"/>
      <c r="P659" s="34"/>
    </row>
    <row r="660" customFormat="false" ht="15" hidden="false" customHeight="true" outlineLevel="0" collapsed="false">
      <c r="A660" s="18" t="n">
        <v>149</v>
      </c>
      <c r="B660" s="25"/>
      <c r="C660" s="26"/>
      <c r="D660" s="26"/>
      <c r="E660" s="26"/>
      <c r="F660" s="24" t="str">
        <f aca="false">IFERROR(INDEX('Operator Master'!$B$5:$B$504,MATCH(E660,'Operator Master'!$A$5:$A$504,0)),"")</f>
        <v/>
      </c>
      <c r="G660" s="26"/>
      <c r="H660" s="24" t="str">
        <f aca="false">IFERROR(INDEX('Fault Master'!$B$5:$B$104,MATCH(G660,'Fault Master'!$A$5:$A$104,0)),"")</f>
        <v/>
      </c>
      <c r="I660" s="24" t="str">
        <f aca="false">IFERROR(INDEX('Fault Master'!$C$5:$C$104,MATCH(G660,'Fault Master'!$A$5:$A$104,0)),"")</f>
        <v/>
      </c>
      <c r="J660" s="26"/>
      <c r="K660" s="26"/>
      <c r="L660" s="26"/>
      <c r="M660" s="26"/>
      <c r="N660" s="26"/>
      <c r="O660" s="26"/>
      <c r="P660" s="34"/>
    </row>
    <row r="661" customFormat="false" ht="15" hidden="false" customHeight="true" outlineLevel="0" collapsed="false">
      <c r="A661" s="18" t="n">
        <v>150</v>
      </c>
      <c r="B661" s="25"/>
      <c r="C661" s="26"/>
      <c r="D661" s="26"/>
      <c r="E661" s="26"/>
      <c r="F661" s="24" t="str">
        <f aca="false">IFERROR(INDEX('Operator Master'!$B$5:$B$504,MATCH(E661,'Operator Master'!$A$5:$A$504,0)),"")</f>
        <v/>
      </c>
      <c r="G661" s="26"/>
      <c r="H661" s="24" t="str">
        <f aca="false">IFERROR(INDEX('Fault Master'!$B$5:$B$104,MATCH(G661,'Fault Master'!$A$5:$A$104,0)),"")</f>
        <v/>
      </c>
      <c r="I661" s="24" t="str">
        <f aca="false">IFERROR(INDEX('Fault Master'!$C$5:$C$104,MATCH(G661,'Fault Master'!$A$5:$A$104,0)),"")</f>
        <v/>
      </c>
      <c r="J661" s="26"/>
      <c r="K661" s="26"/>
      <c r="L661" s="26"/>
      <c r="M661" s="26"/>
      <c r="N661" s="26"/>
      <c r="O661" s="26"/>
      <c r="P661" s="34"/>
    </row>
    <row r="662" customFormat="false" ht="15" hidden="false" customHeight="true" outlineLevel="0" collapsed="false">
      <c r="A662" s="18" t="n">
        <v>151</v>
      </c>
      <c r="B662" s="25"/>
      <c r="C662" s="26"/>
      <c r="D662" s="26"/>
      <c r="E662" s="26"/>
      <c r="F662" s="24" t="str">
        <f aca="false">IFERROR(INDEX('Operator Master'!$B$5:$B$504,MATCH(E662,'Operator Master'!$A$5:$A$504,0)),"")</f>
        <v/>
      </c>
      <c r="G662" s="26"/>
      <c r="H662" s="24" t="str">
        <f aca="false">IFERROR(INDEX('Fault Master'!$B$5:$B$104,MATCH(G662,'Fault Master'!$A$5:$A$104,0)),"")</f>
        <v/>
      </c>
      <c r="I662" s="24" t="str">
        <f aca="false">IFERROR(INDEX('Fault Master'!$C$5:$C$104,MATCH(G662,'Fault Master'!$A$5:$A$104,0)),"")</f>
        <v/>
      </c>
      <c r="J662" s="26"/>
      <c r="K662" s="26"/>
      <c r="L662" s="26"/>
      <c r="M662" s="26"/>
      <c r="N662" s="26"/>
      <c r="O662" s="26"/>
      <c r="P662" s="34"/>
    </row>
    <row r="663" customFormat="false" ht="15" hidden="false" customHeight="true" outlineLevel="0" collapsed="false">
      <c r="A663" s="18" t="n">
        <v>152</v>
      </c>
      <c r="B663" s="25"/>
      <c r="C663" s="26"/>
      <c r="D663" s="26"/>
      <c r="E663" s="26"/>
      <c r="F663" s="24" t="str">
        <f aca="false">IFERROR(INDEX('Operator Master'!$B$5:$B$504,MATCH(E663,'Operator Master'!$A$5:$A$504,0)),"")</f>
        <v/>
      </c>
      <c r="G663" s="26"/>
      <c r="H663" s="24" t="str">
        <f aca="false">IFERROR(INDEX('Fault Master'!$B$5:$B$104,MATCH(G663,'Fault Master'!$A$5:$A$104,0)),"")</f>
        <v/>
      </c>
      <c r="I663" s="24" t="str">
        <f aca="false">IFERROR(INDEX('Fault Master'!$C$5:$C$104,MATCH(G663,'Fault Master'!$A$5:$A$104,0)),"")</f>
        <v/>
      </c>
      <c r="J663" s="26"/>
      <c r="K663" s="26"/>
      <c r="L663" s="26"/>
      <c r="M663" s="26"/>
      <c r="N663" s="26"/>
      <c r="O663" s="26"/>
      <c r="P663" s="34"/>
    </row>
    <row r="664" customFormat="false" ht="15" hidden="false" customHeight="true" outlineLevel="0" collapsed="false">
      <c r="A664" s="18" t="n">
        <v>153</v>
      </c>
      <c r="B664" s="25"/>
      <c r="C664" s="26"/>
      <c r="D664" s="26"/>
      <c r="E664" s="26"/>
      <c r="F664" s="24" t="str">
        <f aca="false">IFERROR(INDEX('Operator Master'!$B$5:$B$504,MATCH(E664,'Operator Master'!$A$5:$A$504,0)),"")</f>
        <v/>
      </c>
      <c r="G664" s="26"/>
      <c r="H664" s="24" t="str">
        <f aca="false">IFERROR(INDEX('Fault Master'!$B$5:$B$104,MATCH(G664,'Fault Master'!$A$5:$A$104,0)),"")</f>
        <v/>
      </c>
      <c r="I664" s="24" t="str">
        <f aca="false">IFERROR(INDEX('Fault Master'!$C$5:$C$104,MATCH(G664,'Fault Master'!$A$5:$A$104,0)),"")</f>
        <v/>
      </c>
      <c r="J664" s="26"/>
      <c r="K664" s="26"/>
      <c r="L664" s="26"/>
      <c r="M664" s="26"/>
      <c r="N664" s="26"/>
      <c r="O664" s="26"/>
      <c r="P664" s="34"/>
    </row>
    <row r="665" customFormat="false" ht="15" hidden="false" customHeight="true" outlineLevel="0" collapsed="false">
      <c r="A665" s="18" t="n">
        <v>154</v>
      </c>
      <c r="B665" s="25"/>
      <c r="C665" s="26"/>
      <c r="D665" s="26"/>
      <c r="E665" s="26"/>
      <c r="F665" s="24" t="str">
        <f aca="false">IFERROR(INDEX('Operator Master'!$B$5:$B$504,MATCH(E665,'Operator Master'!$A$5:$A$504,0)),"")</f>
        <v/>
      </c>
      <c r="G665" s="26"/>
      <c r="H665" s="24" t="str">
        <f aca="false">IFERROR(INDEX('Fault Master'!$B$5:$B$104,MATCH(G665,'Fault Master'!$A$5:$A$104,0)),"")</f>
        <v/>
      </c>
      <c r="I665" s="24" t="str">
        <f aca="false">IFERROR(INDEX('Fault Master'!$C$5:$C$104,MATCH(G665,'Fault Master'!$A$5:$A$104,0)),"")</f>
        <v/>
      </c>
      <c r="J665" s="26"/>
      <c r="K665" s="26"/>
      <c r="L665" s="26"/>
      <c r="M665" s="26"/>
      <c r="N665" s="26"/>
      <c r="O665" s="26"/>
      <c r="P665" s="34"/>
    </row>
    <row r="666" customFormat="false" ht="15" hidden="false" customHeight="true" outlineLevel="0" collapsed="false">
      <c r="A666" s="18" t="n">
        <v>155</v>
      </c>
      <c r="B666" s="25"/>
      <c r="C666" s="26"/>
      <c r="D666" s="26"/>
      <c r="E666" s="26"/>
      <c r="F666" s="24" t="str">
        <f aca="false">IFERROR(INDEX('Operator Master'!$B$5:$B$504,MATCH(E666,'Operator Master'!$A$5:$A$504,0)),"")</f>
        <v/>
      </c>
      <c r="G666" s="26"/>
      <c r="H666" s="24" t="str">
        <f aca="false">IFERROR(INDEX('Fault Master'!$B$5:$B$104,MATCH(G666,'Fault Master'!$A$5:$A$104,0)),"")</f>
        <v/>
      </c>
      <c r="I666" s="24" t="str">
        <f aca="false">IFERROR(INDEX('Fault Master'!$C$5:$C$104,MATCH(G666,'Fault Master'!$A$5:$A$104,0)),"")</f>
        <v/>
      </c>
      <c r="J666" s="26"/>
      <c r="K666" s="26"/>
      <c r="L666" s="26"/>
      <c r="M666" s="26"/>
      <c r="N666" s="26"/>
      <c r="O666" s="26"/>
      <c r="P666" s="34"/>
    </row>
    <row r="667" customFormat="false" ht="15" hidden="false" customHeight="true" outlineLevel="0" collapsed="false">
      <c r="A667" s="18" t="n">
        <v>156</v>
      </c>
      <c r="B667" s="25"/>
      <c r="C667" s="26"/>
      <c r="D667" s="26"/>
      <c r="E667" s="26"/>
      <c r="F667" s="24" t="str">
        <f aca="false">IFERROR(INDEX('Operator Master'!$B$5:$B$504,MATCH(E667,'Operator Master'!$A$5:$A$504,0)),"")</f>
        <v/>
      </c>
      <c r="G667" s="26"/>
      <c r="H667" s="24" t="str">
        <f aca="false">IFERROR(INDEX('Fault Master'!$B$5:$B$104,MATCH(G667,'Fault Master'!$A$5:$A$104,0)),"")</f>
        <v/>
      </c>
      <c r="I667" s="24" t="str">
        <f aca="false">IFERROR(INDEX('Fault Master'!$C$5:$C$104,MATCH(G667,'Fault Master'!$A$5:$A$104,0)),"")</f>
        <v/>
      </c>
      <c r="J667" s="26"/>
      <c r="K667" s="26"/>
      <c r="L667" s="26"/>
      <c r="M667" s="26"/>
      <c r="N667" s="26"/>
      <c r="O667" s="26"/>
      <c r="P667" s="34"/>
    </row>
    <row r="668" customFormat="false" ht="15" hidden="false" customHeight="true" outlineLevel="0" collapsed="false">
      <c r="A668" s="18" t="n">
        <v>157</v>
      </c>
      <c r="B668" s="25"/>
      <c r="C668" s="26"/>
      <c r="D668" s="26"/>
      <c r="E668" s="26"/>
      <c r="F668" s="24" t="str">
        <f aca="false">IFERROR(INDEX('Operator Master'!$B$5:$B$504,MATCH(E668,'Operator Master'!$A$5:$A$504,0)),"")</f>
        <v/>
      </c>
      <c r="G668" s="26"/>
      <c r="H668" s="24" t="str">
        <f aca="false">IFERROR(INDEX('Fault Master'!$B$5:$B$104,MATCH(G668,'Fault Master'!$A$5:$A$104,0)),"")</f>
        <v/>
      </c>
      <c r="I668" s="24" t="str">
        <f aca="false">IFERROR(INDEX('Fault Master'!$C$5:$C$104,MATCH(G668,'Fault Master'!$A$5:$A$104,0)),"")</f>
        <v/>
      </c>
      <c r="J668" s="26"/>
      <c r="K668" s="26"/>
      <c r="L668" s="26"/>
      <c r="M668" s="26"/>
      <c r="N668" s="26"/>
      <c r="O668" s="26"/>
      <c r="P668" s="34"/>
    </row>
    <row r="669" customFormat="false" ht="15" hidden="false" customHeight="true" outlineLevel="0" collapsed="false">
      <c r="A669" s="18" t="n">
        <v>158</v>
      </c>
      <c r="B669" s="25"/>
      <c r="C669" s="26"/>
      <c r="D669" s="26"/>
      <c r="E669" s="26"/>
      <c r="F669" s="24" t="str">
        <f aca="false">IFERROR(INDEX('Operator Master'!$B$5:$B$504,MATCH(E669,'Operator Master'!$A$5:$A$504,0)),"")</f>
        <v/>
      </c>
      <c r="G669" s="26"/>
      <c r="H669" s="24" t="str">
        <f aca="false">IFERROR(INDEX('Fault Master'!$B$5:$B$104,MATCH(G669,'Fault Master'!$A$5:$A$104,0)),"")</f>
        <v/>
      </c>
      <c r="I669" s="24" t="str">
        <f aca="false">IFERROR(INDEX('Fault Master'!$C$5:$C$104,MATCH(G669,'Fault Master'!$A$5:$A$104,0)),"")</f>
        <v/>
      </c>
      <c r="J669" s="26"/>
      <c r="K669" s="26"/>
      <c r="L669" s="26"/>
      <c r="M669" s="26"/>
      <c r="N669" s="26"/>
      <c r="O669" s="26"/>
      <c r="P669" s="34"/>
    </row>
    <row r="670" customFormat="false" ht="15" hidden="false" customHeight="true" outlineLevel="0" collapsed="false">
      <c r="A670" s="18" t="n">
        <v>159</v>
      </c>
      <c r="B670" s="25"/>
      <c r="C670" s="26"/>
      <c r="D670" s="26"/>
      <c r="E670" s="26"/>
      <c r="F670" s="24" t="str">
        <f aca="false">IFERROR(INDEX('Operator Master'!$B$5:$B$504,MATCH(E670,'Operator Master'!$A$5:$A$504,0)),"")</f>
        <v/>
      </c>
      <c r="G670" s="26"/>
      <c r="H670" s="24" t="str">
        <f aca="false">IFERROR(INDEX('Fault Master'!$B$5:$B$104,MATCH(G670,'Fault Master'!$A$5:$A$104,0)),"")</f>
        <v/>
      </c>
      <c r="I670" s="24" t="str">
        <f aca="false">IFERROR(INDEX('Fault Master'!$C$5:$C$104,MATCH(G670,'Fault Master'!$A$5:$A$104,0)),"")</f>
        <v/>
      </c>
      <c r="J670" s="26"/>
      <c r="K670" s="26"/>
      <c r="L670" s="26"/>
      <c r="M670" s="26"/>
      <c r="N670" s="26"/>
      <c r="O670" s="26"/>
      <c r="P670" s="34"/>
    </row>
    <row r="671" customFormat="false" ht="15" hidden="false" customHeight="true" outlineLevel="0" collapsed="false">
      <c r="A671" s="18" t="n">
        <v>160</v>
      </c>
      <c r="B671" s="25"/>
      <c r="C671" s="26"/>
      <c r="D671" s="26"/>
      <c r="E671" s="26"/>
      <c r="F671" s="24" t="str">
        <f aca="false">IFERROR(INDEX('Operator Master'!$B$5:$B$504,MATCH(E671,'Operator Master'!$A$5:$A$504,0)),"")</f>
        <v/>
      </c>
      <c r="G671" s="26"/>
      <c r="H671" s="24" t="str">
        <f aca="false">IFERROR(INDEX('Fault Master'!$B$5:$B$104,MATCH(G671,'Fault Master'!$A$5:$A$104,0)),"")</f>
        <v/>
      </c>
      <c r="I671" s="24" t="str">
        <f aca="false">IFERROR(INDEX('Fault Master'!$C$5:$C$104,MATCH(G671,'Fault Master'!$A$5:$A$104,0)),"")</f>
        <v/>
      </c>
      <c r="J671" s="26"/>
      <c r="K671" s="26"/>
      <c r="L671" s="26"/>
      <c r="M671" s="26"/>
      <c r="N671" s="26"/>
      <c r="O671" s="26"/>
      <c r="P671" s="34"/>
    </row>
    <row r="672" customFormat="false" ht="15" hidden="false" customHeight="true" outlineLevel="0" collapsed="false">
      <c r="A672" s="18" t="n">
        <v>161</v>
      </c>
      <c r="B672" s="25"/>
      <c r="C672" s="26"/>
      <c r="D672" s="26"/>
      <c r="E672" s="26"/>
      <c r="F672" s="24" t="str">
        <f aca="false">IFERROR(INDEX('Operator Master'!$B$5:$B$504,MATCH(E672,'Operator Master'!$A$5:$A$504,0)),"")</f>
        <v/>
      </c>
      <c r="G672" s="26"/>
      <c r="H672" s="24" t="str">
        <f aca="false">IFERROR(INDEX('Fault Master'!$B$5:$B$104,MATCH(G672,'Fault Master'!$A$5:$A$104,0)),"")</f>
        <v/>
      </c>
      <c r="I672" s="24" t="str">
        <f aca="false">IFERROR(INDEX('Fault Master'!$C$5:$C$104,MATCH(G672,'Fault Master'!$A$5:$A$104,0)),"")</f>
        <v/>
      </c>
      <c r="J672" s="26"/>
      <c r="K672" s="26"/>
      <c r="L672" s="26"/>
      <c r="M672" s="26"/>
      <c r="N672" s="26"/>
      <c r="O672" s="26"/>
      <c r="P672" s="34"/>
    </row>
    <row r="673" customFormat="false" ht="15" hidden="false" customHeight="true" outlineLevel="0" collapsed="false">
      <c r="A673" s="18" t="n">
        <v>162</v>
      </c>
      <c r="B673" s="25"/>
      <c r="C673" s="26"/>
      <c r="D673" s="26"/>
      <c r="E673" s="26"/>
      <c r="F673" s="24" t="str">
        <f aca="false">IFERROR(INDEX('Operator Master'!$B$5:$B$504,MATCH(E673,'Operator Master'!$A$5:$A$504,0)),"")</f>
        <v/>
      </c>
      <c r="G673" s="26"/>
      <c r="H673" s="24" t="str">
        <f aca="false">IFERROR(INDEX('Fault Master'!$B$5:$B$104,MATCH(G673,'Fault Master'!$A$5:$A$104,0)),"")</f>
        <v/>
      </c>
      <c r="I673" s="24" t="str">
        <f aca="false">IFERROR(INDEX('Fault Master'!$C$5:$C$104,MATCH(G673,'Fault Master'!$A$5:$A$104,0)),"")</f>
        <v/>
      </c>
      <c r="J673" s="26"/>
      <c r="K673" s="26"/>
      <c r="L673" s="26"/>
      <c r="M673" s="26"/>
      <c r="N673" s="26"/>
      <c r="O673" s="26"/>
      <c r="P673" s="34"/>
    </row>
    <row r="674" customFormat="false" ht="15" hidden="false" customHeight="true" outlineLevel="0" collapsed="false">
      <c r="A674" s="18" t="n">
        <v>163</v>
      </c>
      <c r="B674" s="25"/>
      <c r="C674" s="26"/>
      <c r="D674" s="26"/>
      <c r="E674" s="26"/>
      <c r="F674" s="24" t="str">
        <f aca="false">IFERROR(INDEX('Operator Master'!$B$5:$B$504,MATCH(E674,'Operator Master'!$A$5:$A$504,0)),"")</f>
        <v/>
      </c>
      <c r="G674" s="26"/>
      <c r="H674" s="24" t="str">
        <f aca="false">IFERROR(INDEX('Fault Master'!$B$5:$B$104,MATCH(G674,'Fault Master'!$A$5:$A$104,0)),"")</f>
        <v/>
      </c>
      <c r="I674" s="24" t="str">
        <f aca="false">IFERROR(INDEX('Fault Master'!$C$5:$C$104,MATCH(G674,'Fault Master'!$A$5:$A$104,0)),"")</f>
        <v/>
      </c>
      <c r="J674" s="26"/>
      <c r="K674" s="26"/>
      <c r="L674" s="26"/>
      <c r="M674" s="26"/>
      <c r="N674" s="26"/>
      <c r="O674" s="26"/>
      <c r="P674" s="34"/>
    </row>
    <row r="675" customFormat="false" ht="15" hidden="false" customHeight="true" outlineLevel="0" collapsed="false">
      <c r="A675" s="18" t="n">
        <v>164</v>
      </c>
      <c r="B675" s="25"/>
      <c r="C675" s="26"/>
      <c r="D675" s="26"/>
      <c r="E675" s="26"/>
      <c r="F675" s="24" t="str">
        <f aca="false">IFERROR(INDEX('Operator Master'!$B$5:$B$504,MATCH(E675,'Operator Master'!$A$5:$A$504,0)),"")</f>
        <v/>
      </c>
      <c r="G675" s="26"/>
      <c r="H675" s="24" t="str">
        <f aca="false">IFERROR(INDEX('Fault Master'!$B$5:$B$104,MATCH(G675,'Fault Master'!$A$5:$A$104,0)),"")</f>
        <v/>
      </c>
      <c r="I675" s="24" t="str">
        <f aca="false">IFERROR(INDEX('Fault Master'!$C$5:$C$104,MATCH(G675,'Fault Master'!$A$5:$A$104,0)),"")</f>
        <v/>
      </c>
      <c r="J675" s="26"/>
      <c r="K675" s="26"/>
      <c r="L675" s="26"/>
      <c r="M675" s="26"/>
      <c r="N675" s="26"/>
      <c r="O675" s="26"/>
      <c r="P675" s="34"/>
    </row>
    <row r="676" customFormat="false" ht="15" hidden="false" customHeight="true" outlineLevel="0" collapsed="false">
      <c r="A676" s="18" t="n">
        <v>165</v>
      </c>
      <c r="B676" s="25"/>
      <c r="C676" s="26"/>
      <c r="D676" s="26"/>
      <c r="E676" s="26"/>
      <c r="F676" s="24" t="str">
        <f aca="false">IFERROR(INDEX('Operator Master'!$B$5:$B$504,MATCH(E676,'Operator Master'!$A$5:$A$504,0)),"")</f>
        <v/>
      </c>
      <c r="G676" s="26"/>
      <c r="H676" s="24" t="str">
        <f aca="false">IFERROR(INDEX('Fault Master'!$B$5:$B$104,MATCH(G676,'Fault Master'!$A$5:$A$104,0)),"")</f>
        <v/>
      </c>
      <c r="I676" s="24" t="str">
        <f aca="false">IFERROR(INDEX('Fault Master'!$C$5:$C$104,MATCH(G676,'Fault Master'!$A$5:$A$104,0)),"")</f>
        <v/>
      </c>
      <c r="J676" s="26"/>
      <c r="K676" s="26"/>
      <c r="L676" s="26"/>
      <c r="M676" s="26"/>
      <c r="N676" s="26"/>
      <c r="O676" s="26"/>
      <c r="P676" s="34"/>
    </row>
    <row r="677" customFormat="false" ht="15" hidden="false" customHeight="true" outlineLevel="0" collapsed="false">
      <c r="A677" s="18" t="n">
        <v>166</v>
      </c>
      <c r="B677" s="25"/>
      <c r="C677" s="26"/>
      <c r="D677" s="26"/>
      <c r="E677" s="26"/>
      <c r="F677" s="24" t="str">
        <f aca="false">IFERROR(INDEX('Operator Master'!$B$5:$B$504,MATCH(E677,'Operator Master'!$A$5:$A$504,0)),"")</f>
        <v/>
      </c>
      <c r="G677" s="26"/>
      <c r="H677" s="24" t="str">
        <f aca="false">IFERROR(INDEX('Fault Master'!$B$5:$B$104,MATCH(G677,'Fault Master'!$A$5:$A$104,0)),"")</f>
        <v/>
      </c>
      <c r="I677" s="24" t="str">
        <f aca="false">IFERROR(INDEX('Fault Master'!$C$5:$C$104,MATCH(G677,'Fault Master'!$A$5:$A$104,0)),"")</f>
        <v/>
      </c>
      <c r="J677" s="26"/>
      <c r="K677" s="26"/>
      <c r="L677" s="26"/>
      <c r="M677" s="26"/>
      <c r="N677" s="26"/>
      <c r="O677" s="26"/>
      <c r="P677" s="34"/>
    </row>
    <row r="678" customFormat="false" ht="15" hidden="false" customHeight="true" outlineLevel="0" collapsed="false">
      <c r="A678" s="18" t="n">
        <v>167</v>
      </c>
      <c r="B678" s="25"/>
      <c r="C678" s="26"/>
      <c r="D678" s="26"/>
      <c r="E678" s="26"/>
      <c r="F678" s="24" t="str">
        <f aca="false">IFERROR(INDEX('Operator Master'!$B$5:$B$504,MATCH(E678,'Operator Master'!$A$5:$A$504,0)),"")</f>
        <v/>
      </c>
      <c r="G678" s="26"/>
      <c r="H678" s="24" t="str">
        <f aca="false">IFERROR(INDEX('Fault Master'!$B$5:$B$104,MATCH(G678,'Fault Master'!$A$5:$A$104,0)),"")</f>
        <v/>
      </c>
      <c r="I678" s="24" t="str">
        <f aca="false">IFERROR(INDEX('Fault Master'!$C$5:$C$104,MATCH(G678,'Fault Master'!$A$5:$A$104,0)),"")</f>
        <v/>
      </c>
      <c r="J678" s="26"/>
      <c r="K678" s="26"/>
      <c r="L678" s="26"/>
      <c r="M678" s="26"/>
      <c r="N678" s="26"/>
      <c r="O678" s="26"/>
      <c r="P678" s="34"/>
    </row>
    <row r="679" customFormat="false" ht="15" hidden="false" customHeight="true" outlineLevel="0" collapsed="false">
      <c r="A679" s="18" t="n">
        <v>168</v>
      </c>
      <c r="B679" s="25"/>
      <c r="C679" s="26"/>
      <c r="D679" s="26"/>
      <c r="E679" s="26"/>
      <c r="F679" s="24" t="str">
        <f aca="false">IFERROR(INDEX('Operator Master'!$B$5:$B$504,MATCH(E679,'Operator Master'!$A$5:$A$504,0)),"")</f>
        <v/>
      </c>
      <c r="G679" s="26"/>
      <c r="H679" s="24" t="str">
        <f aca="false">IFERROR(INDEX('Fault Master'!$B$5:$B$104,MATCH(G679,'Fault Master'!$A$5:$A$104,0)),"")</f>
        <v/>
      </c>
      <c r="I679" s="24" t="str">
        <f aca="false">IFERROR(INDEX('Fault Master'!$C$5:$C$104,MATCH(G679,'Fault Master'!$A$5:$A$104,0)),"")</f>
        <v/>
      </c>
      <c r="J679" s="26"/>
      <c r="K679" s="26"/>
      <c r="L679" s="26"/>
      <c r="M679" s="26"/>
      <c r="N679" s="26"/>
      <c r="O679" s="26"/>
      <c r="P679" s="34"/>
    </row>
    <row r="680" customFormat="false" ht="15" hidden="false" customHeight="true" outlineLevel="0" collapsed="false">
      <c r="A680" s="18" t="n">
        <v>169</v>
      </c>
      <c r="B680" s="25"/>
      <c r="C680" s="26"/>
      <c r="D680" s="26"/>
      <c r="E680" s="26"/>
      <c r="F680" s="24" t="str">
        <f aca="false">IFERROR(INDEX('Operator Master'!$B$5:$B$504,MATCH(E680,'Operator Master'!$A$5:$A$504,0)),"")</f>
        <v/>
      </c>
      <c r="G680" s="26"/>
      <c r="H680" s="24" t="str">
        <f aca="false">IFERROR(INDEX('Fault Master'!$B$5:$B$104,MATCH(G680,'Fault Master'!$A$5:$A$104,0)),"")</f>
        <v/>
      </c>
      <c r="I680" s="24" t="str">
        <f aca="false">IFERROR(INDEX('Fault Master'!$C$5:$C$104,MATCH(G680,'Fault Master'!$A$5:$A$104,0)),"")</f>
        <v/>
      </c>
      <c r="J680" s="26"/>
      <c r="K680" s="26"/>
      <c r="L680" s="26"/>
      <c r="M680" s="26"/>
      <c r="N680" s="26"/>
      <c r="O680" s="26"/>
      <c r="P680" s="34"/>
    </row>
    <row r="681" customFormat="false" ht="15" hidden="false" customHeight="true" outlineLevel="0" collapsed="false">
      <c r="A681" s="18" t="n">
        <v>170</v>
      </c>
      <c r="B681" s="25"/>
      <c r="C681" s="26"/>
      <c r="D681" s="26"/>
      <c r="E681" s="26"/>
      <c r="F681" s="24" t="str">
        <f aca="false">IFERROR(INDEX('Operator Master'!$B$5:$B$504,MATCH(E681,'Operator Master'!$A$5:$A$504,0)),"")</f>
        <v/>
      </c>
      <c r="G681" s="26"/>
      <c r="H681" s="24" t="str">
        <f aca="false">IFERROR(INDEX('Fault Master'!$B$5:$B$104,MATCH(G681,'Fault Master'!$A$5:$A$104,0)),"")</f>
        <v/>
      </c>
      <c r="I681" s="24" t="str">
        <f aca="false">IFERROR(INDEX('Fault Master'!$C$5:$C$104,MATCH(G681,'Fault Master'!$A$5:$A$104,0)),"")</f>
        <v/>
      </c>
      <c r="J681" s="26"/>
      <c r="K681" s="26"/>
      <c r="L681" s="26"/>
      <c r="M681" s="26"/>
      <c r="N681" s="26"/>
      <c r="O681" s="26"/>
      <c r="P681" s="34"/>
    </row>
    <row r="682" customFormat="false" ht="15" hidden="false" customHeight="true" outlineLevel="0" collapsed="false">
      <c r="A682" s="18" t="n">
        <v>171</v>
      </c>
      <c r="B682" s="25"/>
      <c r="C682" s="26"/>
      <c r="D682" s="26"/>
      <c r="E682" s="26"/>
      <c r="F682" s="24" t="str">
        <f aca="false">IFERROR(INDEX('Operator Master'!$B$5:$B$504,MATCH(E682,'Operator Master'!$A$5:$A$504,0)),"")</f>
        <v/>
      </c>
      <c r="G682" s="26"/>
      <c r="H682" s="24" t="str">
        <f aca="false">IFERROR(INDEX('Fault Master'!$B$5:$B$104,MATCH(G682,'Fault Master'!$A$5:$A$104,0)),"")</f>
        <v/>
      </c>
      <c r="I682" s="24" t="str">
        <f aca="false">IFERROR(INDEX('Fault Master'!$C$5:$C$104,MATCH(G682,'Fault Master'!$A$5:$A$104,0)),"")</f>
        <v/>
      </c>
      <c r="J682" s="26"/>
      <c r="K682" s="26"/>
      <c r="L682" s="26"/>
      <c r="M682" s="26"/>
      <c r="N682" s="26"/>
      <c r="O682" s="26"/>
      <c r="P682" s="34"/>
    </row>
    <row r="683" customFormat="false" ht="15" hidden="false" customHeight="true" outlineLevel="0" collapsed="false">
      <c r="A683" s="18" t="n">
        <v>172</v>
      </c>
      <c r="B683" s="25"/>
      <c r="C683" s="26"/>
      <c r="D683" s="26"/>
      <c r="E683" s="26"/>
      <c r="F683" s="24" t="str">
        <f aca="false">IFERROR(INDEX('Operator Master'!$B$5:$B$504,MATCH(E683,'Operator Master'!$A$5:$A$504,0)),"")</f>
        <v/>
      </c>
      <c r="G683" s="26"/>
      <c r="H683" s="24" t="str">
        <f aca="false">IFERROR(INDEX('Fault Master'!$B$5:$B$104,MATCH(G683,'Fault Master'!$A$5:$A$104,0)),"")</f>
        <v/>
      </c>
      <c r="I683" s="24" t="str">
        <f aca="false">IFERROR(INDEX('Fault Master'!$C$5:$C$104,MATCH(G683,'Fault Master'!$A$5:$A$104,0)),"")</f>
        <v/>
      </c>
      <c r="J683" s="26"/>
      <c r="K683" s="26"/>
      <c r="L683" s="26"/>
      <c r="M683" s="26"/>
      <c r="N683" s="26"/>
      <c r="O683" s="26"/>
      <c r="P683" s="34"/>
    </row>
    <row r="684" customFormat="false" ht="15" hidden="false" customHeight="true" outlineLevel="0" collapsed="false">
      <c r="A684" s="18" t="n">
        <v>173</v>
      </c>
      <c r="B684" s="25"/>
      <c r="C684" s="26"/>
      <c r="D684" s="26"/>
      <c r="E684" s="26"/>
      <c r="F684" s="24" t="str">
        <f aca="false">IFERROR(INDEX('Operator Master'!$B$5:$B$504,MATCH(E684,'Operator Master'!$A$5:$A$504,0)),"")</f>
        <v/>
      </c>
      <c r="G684" s="26"/>
      <c r="H684" s="24" t="str">
        <f aca="false">IFERROR(INDEX('Fault Master'!$B$5:$B$104,MATCH(G684,'Fault Master'!$A$5:$A$104,0)),"")</f>
        <v/>
      </c>
      <c r="I684" s="24" t="str">
        <f aca="false">IFERROR(INDEX('Fault Master'!$C$5:$C$104,MATCH(G684,'Fault Master'!$A$5:$A$104,0)),"")</f>
        <v/>
      </c>
      <c r="J684" s="26"/>
      <c r="K684" s="26"/>
      <c r="L684" s="26"/>
      <c r="M684" s="26"/>
      <c r="N684" s="26"/>
      <c r="O684" s="26"/>
      <c r="P684" s="34"/>
    </row>
    <row r="685" customFormat="false" ht="15" hidden="false" customHeight="true" outlineLevel="0" collapsed="false">
      <c r="A685" s="18" t="n">
        <v>174</v>
      </c>
      <c r="B685" s="25"/>
      <c r="C685" s="26"/>
      <c r="D685" s="26"/>
      <c r="E685" s="26"/>
      <c r="F685" s="24" t="str">
        <f aca="false">IFERROR(INDEX('Operator Master'!$B$5:$B$504,MATCH(E685,'Operator Master'!$A$5:$A$504,0)),"")</f>
        <v/>
      </c>
      <c r="G685" s="26"/>
      <c r="H685" s="24" t="str">
        <f aca="false">IFERROR(INDEX('Fault Master'!$B$5:$B$104,MATCH(G685,'Fault Master'!$A$5:$A$104,0)),"")</f>
        <v/>
      </c>
      <c r="I685" s="24" t="str">
        <f aca="false">IFERROR(INDEX('Fault Master'!$C$5:$C$104,MATCH(G685,'Fault Master'!$A$5:$A$104,0)),"")</f>
        <v/>
      </c>
      <c r="J685" s="26"/>
      <c r="K685" s="26"/>
      <c r="L685" s="26"/>
      <c r="M685" s="26"/>
      <c r="N685" s="26"/>
      <c r="O685" s="26"/>
      <c r="P685" s="34"/>
    </row>
    <row r="686" customFormat="false" ht="15" hidden="false" customHeight="true" outlineLevel="0" collapsed="false">
      <c r="A686" s="18" t="n">
        <v>175</v>
      </c>
      <c r="B686" s="25"/>
      <c r="C686" s="26"/>
      <c r="D686" s="26"/>
      <c r="E686" s="26"/>
      <c r="F686" s="24" t="str">
        <f aca="false">IFERROR(INDEX('Operator Master'!$B$5:$B$504,MATCH(E686,'Operator Master'!$A$5:$A$504,0)),"")</f>
        <v/>
      </c>
      <c r="G686" s="26"/>
      <c r="H686" s="24" t="str">
        <f aca="false">IFERROR(INDEX('Fault Master'!$B$5:$B$104,MATCH(G686,'Fault Master'!$A$5:$A$104,0)),"")</f>
        <v/>
      </c>
      <c r="I686" s="24" t="str">
        <f aca="false">IFERROR(INDEX('Fault Master'!$C$5:$C$104,MATCH(G686,'Fault Master'!$A$5:$A$104,0)),"")</f>
        <v/>
      </c>
      <c r="J686" s="26"/>
      <c r="K686" s="26"/>
      <c r="L686" s="26"/>
      <c r="M686" s="26"/>
      <c r="N686" s="26"/>
      <c r="O686" s="26"/>
      <c r="P686" s="34"/>
    </row>
    <row r="687" customFormat="false" ht="15" hidden="false" customHeight="true" outlineLevel="0" collapsed="false">
      <c r="A687" s="18" t="n">
        <v>176</v>
      </c>
      <c r="B687" s="25"/>
      <c r="C687" s="26"/>
      <c r="D687" s="26"/>
      <c r="E687" s="26"/>
      <c r="F687" s="24" t="str">
        <f aca="false">IFERROR(INDEX('Operator Master'!$B$5:$B$504,MATCH(E687,'Operator Master'!$A$5:$A$504,0)),"")</f>
        <v/>
      </c>
      <c r="G687" s="26"/>
      <c r="H687" s="24" t="str">
        <f aca="false">IFERROR(INDEX('Fault Master'!$B$5:$B$104,MATCH(G687,'Fault Master'!$A$5:$A$104,0)),"")</f>
        <v/>
      </c>
      <c r="I687" s="24" t="str">
        <f aca="false">IFERROR(INDEX('Fault Master'!$C$5:$C$104,MATCH(G687,'Fault Master'!$A$5:$A$104,0)),"")</f>
        <v/>
      </c>
      <c r="J687" s="26"/>
      <c r="K687" s="26"/>
      <c r="L687" s="26"/>
      <c r="M687" s="26"/>
      <c r="N687" s="26"/>
      <c r="O687" s="26"/>
      <c r="P687" s="34"/>
    </row>
    <row r="688" customFormat="false" ht="15" hidden="false" customHeight="true" outlineLevel="0" collapsed="false">
      <c r="A688" s="18" t="n">
        <v>177</v>
      </c>
      <c r="B688" s="25"/>
      <c r="C688" s="26"/>
      <c r="D688" s="26"/>
      <c r="E688" s="26"/>
      <c r="F688" s="24" t="str">
        <f aca="false">IFERROR(INDEX('Operator Master'!$B$5:$B$504,MATCH(E688,'Operator Master'!$A$5:$A$504,0)),"")</f>
        <v/>
      </c>
      <c r="G688" s="26"/>
      <c r="H688" s="24" t="str">
        <f aca="false">IFERROR(INDEX('Fault Master'!$B$5:$B$104,MATCH(G688,'Fault Master'!$A$5:$A$104,0)),"")</f>
        <v/>
      </c>
      <c r="I688" s="24" t="str">
        <f aca="false">IFERROR(INDEX('Fault Master'!$C$5:$C$104,MATCH(G688,'Fault Master'!$A$5:$A$104,0)),"")</f>
        <v/>
      </c>
      <c r="J688" s="26"/>
      <c r="K688" s="26"/>
      <c r="L688" s="26"/>
      <c r="M688" s="26"/>
      <c r="N688" s="26"/>
      <c r="O688" s="26"/>
      <c r="P688" s="34"/>
    </row>
    <row r="689" customFormat="false" ht="15" hidden="false" customHeight="true" outlineLevel="0" collapsed="false">
      <c r="A689" s="18" t="n">
        <v>178</v>
      </c>
      <c r="B689" s="25"/>
      <c r="C689" s="26"/>
      <c r="D689" s="26"/>
      <c r="E689" s="26"/>
      <c r="F689" s="24" t="str">
        <f aca="false">IFERROR(INDEX('Operator Master'!$B$5:$B$504,MATCH(E689,'Operator Master'!$A$5:$A$504,0)),"")</f>
        <v/>
      </c>
      <c r="G689" s="26"/>
      <c r="H689" s="24" t="str">
        <f aca="false">IFERROR(INDEX('Fault Master'!$B$5:$B$104,MATCH(G689,'Fault Master'!$A$5:$A$104,0)),"")</f>
        <v/>
      </c>
      <c r="I689" s="24" t="str">
        <f aca="false">IFERROR(INDEX('Fault Master'!$C$5:$C$104,MATCH(G689,'Fault Master'!$A$5:$A$104,0)),"")</f>
        <v/>
      </c>
      <c r="J689" s="26"/>
      <c r="K689" s="26"/>
      <c r="L689" s="26"/>
      <c r="M689" s="26"/>
      <c r="N689" s="26"/>
      <c r="O689" s="26"/>
      <c r="P689" s="34"/>
    </row>
    <row r="690" customFormat="false" ht="15" hidden="false" customHeight="true" outlineLevel="0" collapsed="false">
      <c r="A690" s="18" t="n">
        <v>179</v>
      </c>
      <c r="B690" s="25"/>
      <c r="C690" s="26"/>
      <c r="D690" s="26"/>
      <c r="E690" s="26"/>
      <c r="F690" s="24" t="str">
        <f aca="false">IFERROR(INDEX('Operator Master'!$B$5:$B$504,MATCH(E690,'Operator Master'!$A$5:$A$504,0)),"")</f>
        <v/>
      </c>
      <c r="G690" s="26"/>
      <c r="H690" s="24" t="str">
        <f aca="false">IFERROR(INDEX('Fault Master'!$B$5:$B$104,MATCH(G690,'Fault Master'!$A$5:$A$104,0)),"")</f>
        <v/>
      </c>
      <c r="I690" s="24" t="str">
        <f aca="false">IFERROR(INDEX('Fault Master'!$C$5:$C$104,MATCH(G690,'Fault Master'!$A$5:$A$104,0)),"")</f>
        <v/>
      </c>
      <c r="J690" s="26"/>
      <c r="K690" s="26"/>
      <c r="L690" s="26"/>
      <c r="M690" s="26"/>
      <c r="N690" s="26"/>
      <c r="O690" s="26"/>
      <c r="P690" s="34"/>
    </row>
    <row r="691" customFormat="false" ht="15" hidden="false" customHeight="true" outlineLevel="0" collapsed="false">
      <c r="A691" s="18" t="n">
        <v>180</v>
      </c>
      <c r="B691" s="25"/>
      <c r="C691" s="26"/>
      <c r="D691" s="26"/>
      <c r="E691" s="26"/>
      <c r="F691" s="24" t="str">
        <f aca="false">IFERROR(INDEX('Operator Master'!$B$5:$B$504,MATCH(E691,'Operator Master'!$A$5:$A$504,0)),"")</f>
        <v/>
      </c>
      <c r="G691" s="26"/>
      <c r="H691" s="24" t="str">
        <f aca="false">IFERROR(INDEX('Fault Master'!$B$5:$B$104,MATCH(G691,'Fault Master'!$A$5:$A$104,0)),"")</f>
        <v/>
      </c>
      <c r="I691" s="24" t="str">
        <f aca="false">IFERROR(INDEX('Fault Master'!$C$5:$C$104,MATCH(G691,'Fault Master'!$A$5:$A$104,0)),"")</f>
        <v/>
      </c>
      <c r="J691" s="26"/>
      <c r="K691" s="26"/>
      <c r="L691" s="26"/>
      <c r="M691" s="26"/>
      <c r="N691" s="26"/>
      <c r="O691" s="26"/>
      <c r="P691" s="34"/>
    </row>
    <row r="692" customFormat="false" ht="15" hidden="false" customHeight="true" outlineLevel="0" collapsed="false">
      <c r="A692" s="18" t="n">
        <v>181</v>
      </c>
      <c r="B692" s="25"/>
      <c r="C692" s="26"/>
      <c r="D692" s="26"/>
      <c r="E692" s="26"/>
      <c r="F692" s="24" t="str">
        <f aca="false">IFERROR(INDEX('Operator Master'!$B$5:$B$504,MATCH(E692,'Operator Master'!$A$5:$A$504,0)),"")</f>
        <v/>
      </c>
      <c r="G692" s="26"/>
      <c r="H692" s="24" t="str">
        <f aca="false">IFERROR(INDEX('Fault Master'!$B$5:$B$104,MATCH(G692,'Fault Master'!$A$5:$A$104,0)),"")</f>
        <v/>
      </c>
      <c r="I692" s="24" t="str">
        <f aca="false">IFERROR(INDEX('Fault Master'!$C$5:$C$104,MATCH(G692,'Fault Master'!$A$5:$A$104,0)),"")</f>
        <v/>
      </c>
      <c r="J692" s="26"/>
      <c r="K692" s="26"/>
      <c r="L692" s="26"/>
      <c r="M692" s="26"/>
      <c r="N692" s="26"/>
      <c r="O692" s="26"/>
      <c r="P692" s="34"/>
    </row>
    <row r="693" customFormat="false" ht="15" hidden="false" customHeight="true" outlineLevel="0" collapsed="false">
      <c r="A693" s="18" t="n">
        <v>182</v>
      </c>
      <c r="B693" s="25"/>
      <c r="C693" s="26"/>
      <c r="D693" s="26"/>
      <c r="E693" s="26"/>
      <c r="F693" s="24" t="str">
        <f aca="false">IFERROR(INDEX('Operator Master'!$B$5:$B$504,MATCH(E693,'Operator Master'!$A$5:$A$504,0)),"")</f>
        <v/>
      </c>
      <c r="G693" s="26"/>
      <c r="H693" s="24" t="str">
        <f aca="false">IFERROR(INDEX('Fault Master'!$B$5:$B$104,MATCH(G693,'Fault Master'!$A$5:$A$104,0)),"")</f>
        <v/>
      </c>
      <c r="I693" s="24" t="str">
        <f aca="false">IFERROR(INDEX('Fault Master'!$C$5:$C$104,MATCH(G693,'Fault Master'!$A$5:$A$104,0)),"")</f>
        <v/>
      </c>
      <c r="J693" s="26"/>
      <c r="K693" s="26"/>
      <c r="L693" s="26"/>
      <c r="M693" s="26"/>
      <c r="N693" s="26"/>
      <c r="O693" s="26"/>
      <c r="P693" s="34"/>
    </row>
    <row r="694" customFormat="false" ht="15" hidden="false" customHeight="true" outlineLevel="0" collapsed="false">
      <c r="A694" s="18" t="n">
        <v>183</v>
      </c>
      <c r="B694" s="25"/>
      <c r="C694" s="26"/>
      <c r="D694" s="26"/>
      <c r="E694" s="26"/>
      <c r="F694" s="24" t="str">
        <f aca="false">IFERROR(INDEX('Operator Master'!$B$5:$B$504,MATCH(E694,'Operator Master'!$A$5:$A$504,0)),"")</f>
        <v/>
      </c>
      <c r="G694" s="26"/>
      <c r="H694" s="24" t="str">
        <f aca="false">IFERROR(INDEX('Fault Master'!$B$5:$B$104,MATCH(G694,'Fault Master'!$A$5:$A$104,0)),"")</f>
        <v/>
      </c>
      <c r="I694" s="24" t="str">
        <f aca="false">IFERROR(INDEX('Fault Master'!$C$5:$C$104,MATCH(G694,'Fault Master'!$A$5:$A$104,0)),"")</f>
        <v/>
      </c>
      <c r="J694" s="26"/>
      <c r="K694" s="26"/>
      <c r="L694" s="26"/>
      <c r="M694" s="26"/>
      <c r="N694" s="26"/>
      <c r="O694" s="26"/>
      <c r="P694" s="34"/>
    </row>
    <row r="695" customFormat="false" ht="15" hidden="false" customHeight="true" outlineLevel="0" collapsed="false">
      <c r="A695" s="18" t="n">
        <v>184</v>
      </c>
      <c r="B695" s="25"/>
      <c r="C695" s="26"/>
      <c r="D695" s="26"/>
      <c r="E695" s="26"/>
      <c r="F695" s="24" t="str">
        <f aca="false">IFERROR(INDEX('Operator Master'!$B$5:$B$504,MATCH(E695,'Operator Master'!$A$5:$A$504,0)),"")</f>
        <v/>
      </c>
      <c r="G695" s="26"/>
      <c r="H695" s="24" t="str">
        <f aca="false">IFERROR(INDEX('Fault Master'!$B$5:$B$104,MATCH(G695,'Fault Master'!$A$5:$A$104,0)),"")</f>
        <v/>
      </c>
      <c r="I695" s="24" t="str">
        <f aca="false">IFERROR(INDEX('Fault Master'!$C$5:$C$104,MATCH(G695,'Fault Master'!$A$5:$A$104,0)),"")</f>
        <v/>
      </c>
      <c r="J695" s="26"/>
      <c r="K695" s="26"/>
      <c r="L695" s="26"/>
      <c r="M695" s="26"/>
      <c r="N695" s="26"/>
      <c r="O695" s="26"/>
      <c r="P695" s="34"/>
    </row>
    <row r="696" customFormat="false" ht="15" hidden="false" customHeight="true" outlineLevel="0" collapsed="false">
      <c r="A696" s="18" t="n">
        <v>185</v>
      </c>
      <c r="B696" s="25"/>
      <c r="C696" s="26"/>
      <c r="D696" s="26"/>
      <c r="E696" s="26"/>
      <c r="F696" s="24" t="str">
        <f aca="false">IFERROR(INDEX('Operator Master'!$B$5:$B$504,MATCH(E696,'Operator Master'!$A$5:$A$504,0)),"")</f>
        <v/>
      </c>
      <c r="G696" s="26"/>
      <c r="H696" s="24" t="str">
        <f aca="false">IFERROR(INDEX('Fault Master'!$B$5:$B$104,MATCH(G696,'Fault Master'!$A$5:$A$104,0)),"")</f>
        <v/>
      </c>
      <c r="I696" s="24" t="str">
        <f aca="false">IFERROR(INDEX('Fault Master'!$C$5:$C$104,MATCH(G696,'Fault Master'!$A$5:$A$104,0)),"")</f>
        <v/>
      </c>
      <c r="J696" s="26"/>
      <c r="K696" s="26"/>
      <c r="L696" s="26"/>
      <c r="M696" s="26"/>
      <c r="N696" s="26"/>
      <c r="O696" s="26"/>
      <c r="P696" s="34"/>
    </row>
    <row r="697" customFormat="false" ht="15" hidden="false" customHeight="true" outlineLevel="0" collapsed="false">
      <c r="A697" s="18" t="n">
        <v>186</v>
      </c>
      <c r="B697" s="25"/>
      <c r="C697" s="26"/>
      <c r="D697" s="26"/>
      <c r="E697" s="26"/>
      <c r="F697" s="24" t="str">
        <f aca="false">IFERROR(INDEX('Operator Master'!$B$5:$B$504,MATCH(E697,'Operator Master'!$A$5:$A$504,0)),"")</f>
        <v/>
      </c>
      <c r="G697" s="26"/>
      <c r="H697" s="24" t="str">
        <f aca="false">IFERROR(INDEX('Fault Master'!$B$5:$B$104,MATCH(G697,'Fault Master'!$A$5:$A$104,0)),"")</f>
        <v/>
      </c>
      <c r="I697" s="24" t="str">
        <f aca="false">IFERROR(INDEX('Fault Master'!$C$5:$C$104,MATCH(G697,'Fault Master'!$A$5:$A$104,0)),"")</f>
        <v/>
      </c>
      <c r="J697" s="26"/>
      <c r="K697" s="26"/>
      <c r="L697" s="26"/>
      <c r="M697" s="26"/>
      <c r="N697" s="26"/>
      <c r="O697" s="26"/>
      <c r="P697" s="34"/>
    </row>
    <row r="698" customFormat="false" ht="15" hidden="false" customHeight="true" outlineLevel="0" collapsed="false">
      <c r="A698" s="18" t="n">
        <v>187</v>
      </c>
      <c r="B698" s="25"/>
      <c r="C698" s="26"/>
      <c r="D698" s="26"/>
      <c r="E698" s="26"/>
      <c r="F698" s="24" t="str">
        <f aca="false">IFERROR(INDEX('Operator Master'!$B$5:$B$504,MATCH(E698,'Operator Master'!$A$5:$A$504,0)),"")</f>
        <v/>
      </c>
      <c r="G698" s="26"/>
      <c r="H698" s="24" t="str">
        <f aca="false">IFERROR(INDEX('Fault Master'!$B$5:$B$104,MATCH(G698,'Fault Master'!$A$5:$A$104,0)),"")</f>
        <v/>
      </c>
      <c r="I698" s="24" t="str">
        <f aca="false">IFERROR(INDEX('Fault Master'!$C$5:$C$104,MATCH(G698,'Fault Master'!$A$5:$A$104,0)),"")</f>
        <v/>
      </c>
      <c r="J698" s="26"/>
      <c r="K698" s="26"/>
      <c r="L698" s="26"/>
      <c r="M698" s="26"/>
      <c r="N698" s="26"/>
      <c r="O698" s="26"/>
      <c r="P698" s="34"/>
    </row>
    <row r="699" customFormat="false" ht="15" hidden="false" customHeight="true" outlineLevel="0" collapsed="false">
      <c r="A699" s="18" t="n">
        <v>188</v>
      </c>
      <c r="B699" s="25"/>
      <c r="C699" s="26"/>
      <c r="D699" s="26"/>
      <c r="E699" s="26"/>
      <c r="F699" s="24" t="str">
        <f aca="false">IFERROR(INDEX('Operator Master'!$B$5:$B$504,MATCH(E699,'Operator Master'!$A$5:$A$504,0)),"")</f>
        <v/>
      </c>
      <c r="G699" s="26"/>
      <c r="H699" s="24" t="str">
        <f aca="false">IFERROR(INDEX('Fault Master'!$B$5:$B$104,MATCH(G699,'Fault Master'!$A$5:$A$104,0)),"")</f>
        <v/>
      </c>
      <c r="I699" s="24" t="str">
        <f aca="false">IFERROR(INDEX('Fault Master'!$C$5:$C$104,MATCH(G699,'Fault Master'!$A$5:$A$104,0)),"")</f>
        <v/>
      </c>
      <c r="J699" s="26"/>
      <c r="K699" s="26"/>
      <c r="L699" s="26"/>
      <c r="M699" s="26"/>
      <c r="N699" s="26"/>
      <c r="O699" s="26"/>
      <c r="P699" s="34"/>
    </row>
    <row r="700" customFormat="false" ht="15" hidden="false" customHeight="true" outlineLevel="0" collapsed="false">
      <c r="A700" s="18" t="n">
        <v>189</v>
      </c>
      <c r="B700" s="25"/>
      <c r="C700" s="26"/>
      <c r="D700" s="26"/>
      <c r="E700" s="26"/>
      <c r="F700" s="24" t="str">
        <f aca="false">IFERROR(INDEX('Operator Master'!$B$5:$B$504,MATCH(E700,'Operator Master'!$A$5:$A$504,0)),"")</f>
        <v/>
      </c>
      <c r="G700" s="26"/>
      <c r="H700" s="24" t="str">
        <f aca="false">IFERROR(INDEX('Fault Master'!$B$5:$B$104,MATCH(G700,'Fault Master'!$A$5:$A$104,0)),"")</f>
        <v/>
      </c>
      <c r="I700" s="24" t="str">
        <f aca="false">IFERROR(INDEX('Fault Master'!$C$5:$C$104,MATCH(G700,'Fault Master'!$A$5:$A$104,0)),"")</f>
        <v/>
      </c>
      <c r="J700" s="26"/>
      <c r="K700" s="26"/>
      <c r="L700" s="26"/>
      <c r="M700" s="26"/>
      <c r="N700" s="26"/>
      <c r="O700" s="26"/>
      <c r="P700" s="34"/>
    </row>
    <row r="701" customFormat="false" ht="15" hidden="false" customHeight="true" outlineLevel="0" collapsed="false">
      <c r="A701" s="18" t="n">
        <v>190</v>
      </c>
      <c r="B701" s="25"/>
      <c r="C701" s="26"/>
      <c r="D701" s="26"/>
      <c r="E701" s="26"/>
      <c r="F701" s="24" t="str">
        <f aca="false">IFERROR(INDEX('Operator Master'!$B$5:$B$504,MATCH(E701,'Operator Master'!$A$5:$A$504,0)),"")</f>
        <v/>
      </c>
      <c r="G701" s="26"/>
      <c r="H701" s="24" t="str">
        <f aca="false">IFERROR(INDEX('Fault Master'!$B$5:$B$104,MATCH(G701,'Fault Master'!$A$5:$A$104,0)),"")</f>
        <v/>
      </c>
      <c r="I701" s="24" t="str">
        <f aca="false">IFERROR(INDEX('Fault Master'!$C$5:$C$104,MATCH(G701,'Fault Master'!$A$5:$A$104,0)),"")</f>
        <v/>
      </c>
      <c r="J701" s="26"/>
      <c r="K701" s="26"/>
      <c r="L701" s="26"/>
      <c r="M701" s="26"/>
      <c r="N701" s="26"/>
      <c r="O701" s="26"/>
      <c r="P701" s="34"/>
    </row>
    <row r="702" customFormat="false" ht="15" hidden="false" customHeight="true" outlineLevel="0" collapsed="false">
      <c r="A702" s="18" t="n">
        <v>191</v>
      </c>
      <c r="B702" s="25"/>
      <c r="C702" s="26"/>
      <c r="D702" s="26"/>
      <c r="E702" s="26"/>
      <c r="F702" s="24" t="str">
        <f aca="false">IFERROR(INDEX('Operator Master'!$B$5:$B$504,MATCH(E702,'Operator Master'!$A$5:$A$504,0)),"")</f>
        <v/>
      </c>
      <c r="G702" s="26"/>
      <c r="H702" s="24" t="str">
        <f aca="false">IFERROR(INDEX('Fault Master'!$B$5:$B$104,MATCH(G702,'Fault Master'!$A$5:$A$104,0)),"")</f>
        <v/>
      </c>
      <c r="I702" s="24" t="str">
        <f aca="false">IFERROR(INDEX('Fault Master'!$C$5:$C$104,MATCH(G702,'Fault Master'!$A$5:$A$104,0)),"")</f>
        <v/>
      </c>
      <c r="J702" s="26"/>
      <c r="K702" s="26"/>
      <c r="L702" s="26"/>
      <c r="M702" s="26"/>
      <c r="N702" s="26"/>
      <c r="O702" s="26"/>
      <c r="P702" s="34"/>
    </row>
    <row r="703" customFormat="false" ht="15" hidden="false" customHeight="true" outlineLevel="0" collapsed="false">
      <c r="A703" s="18" t="n">
        <v>192</v>
      </c>
      <c r="B703" s="25"/>
      <c r="C703" s="26"/>
      <c r="D703" s="26"/>
      <c r="E703" s="26"/>
      <c r="F703" s="24" t="str">
        <f aca="false">IFERROR(INDEX('Operator Master'!$B$5:$B$504,MATCH(E703,'Operator Master'!$A$5:$A$504,0)),"")</f>
        <v/>
      </c>
      <c r="G703" s="26"/>
      <c r="H703" s="24" t="str">
        <f aca="false">IFERROR(INDEX('Fault Master'!$B$5:$B$104,MATCH(G703,'Fault Master'!$A$5:$A$104,0)),"")</f>
        <v/>
      </c>
      <c r="I703" s="24" t="str">
        <f aca="false">IFERROR(INDEX('Fault Master'!$C$5:$C$104,MATCH(G703,'Fault Master'!$A$5:$A$104,0)),"")</f>
        <v/>
      </c>
      <c r="J703" s="26"/>
      <c r="K703" s="26"/>
      <c r="L703" s="26"/>
      <c r="M703" s="26"/>
      <c r="N703" s="26"/>
      <c r="O703" s="26"/>
      <c r="P703" s="34"/>
    </row>
    <row r="704" customFormat="false" ht="15" hidden="false" customHeight="true" outlineLevel="0" collapsed="false">
      <c r="A704" s="18" t="n">
        <v>193</v>
      </c>
      <c r="B704" s="25"/>
      <c r="C704" s="26"/>
      <c r="D704" s="26"/>
      <c r="E704" s="26"/>
      <c r="F704" s="24" t="str">
        <f aca="false">IFERROR(INDEX('Operator Master'!$B$5:$B$504,MATCH(E704,'Operator Master'!$A$5:$A$504,0)),"")</f>
        <v/>
      </c>
      <c r="G704" s="26"/>
      <c r="H704" s="24" t="str">
        <f aca="false">IFERROR(INDEX('Fault Master'!$B$5:$B$104,MATCH(G704,'Fault Master'!$A$5:$A$104,0)),"")</f>
        <v/>
      </c>
      <c r="I704" s="24" t="str">
        <f aca="false">IFERROR(INDEX('Fault Master'!$C$5:$C$104,MATCH(G704,'Fault Master'!$A$5:$A$104,0)),"")</f>
        <v/>
      </c>
      <c r="J704" s="26"/>
      <c r="K704" s="26"/>
      <c r="L704" s="26"/>
      <c r="M704" s="26"/>
      <c r="N704" s="26"/>
      <c r="O704" s="26"/>
      <c r="P704" s="34"/>
    </row>
    <row r="705" customFormat="false" ht="15" hidden="false" customHeight="true" outlineLevel="0" collapsed="false">
      <c r="A705" s="18" t="n">
        <v>194</v>
      </c>
      <c r="B705" s="25"/>
      <c r="C705" s="26"/>
      <c r="D705" s="26"/>
      <c r="E705" s="26"/>
      <c r="F705" s="24" t="str">
        <f aca="false">IFERROR(INDEX('Operator Master'!$B$5:$B$504,MATCH(E705,'Operator Master'!$A$5:$A$504,0)),"")</f>
        <v/>
      </c>
      <c r="G705" s="26"/>
      <c r="H705" s="24" t="str">
        <f aca="false">IFERROR(INDEX('Fault Master'!$B$5:$B$104,MATCH(G705,'Fault Master'!$A$5:$A$104,0)),"")</f>
        <v/>
      </c>
      <c r="I705" s="24" t="str">
        <f aca="false">IFERROR(INDEX('Fault Master'!$C$5:$C$104,MATCH(G705,'Fault Master'!$A$5:$A$104,0)),"")</f>
        <v/>
      </c>
      <c r="J705" s="26"/>
      <c r="K705" s="26"/>
      <c r="L705" s="26"/>
      <c r="M705" s="26"/>
      <c r="N705" s="26"/>
      <c r="O705" s="26"/>
      <c r="P705" s="34"/>
    </row>
    <row r="706" customFormat="false" ht="15" hidden="false" customHeight="true" outlineLevel="0" collapsed="false">
      <c r="A706" s="18" t="n">
        <v>195</v>
      </c>
      <c r="B706" s="25"/>
      <c r="C706" s="26"/>
      <c r="D706" s="26"/>
      <c r="E706" s="26"/>
      <c r="F706" s="24" t="str">
        <f aca="false">IFERROR(INDEX('Operator Master'!$B$5:$B$504,MATCH(E706,'Operator Master'!$A$5:$A$504,0)),"")</f>
        <v/>
      </c>
      <c r="G706" s="26"/>
      <c r="H706" s="24" t="str">
        <f aca="false">IFERROR(INDEX('Fault Master'!$B$5:$B$104,MATCH(G706,'Fault Master'!$A$5:$A$104,0)),"")</f>
        <v/>
      </c>
      <c r="I706" s="24" t="str">
        <f aca="false">IFERROR(INDEX('Fault Master'!$C$5:$C$104,MATCH(G706,'Fault Master'!$A$5:$A$104,0)),"")</f>
        <v/>
      </c>
      <c r="J706" s="26"/>
      <c r="K706" s="26"/>
      <c r="L706" s="26"/>
      <c r="M706" s="26"/>
      <c r="N706" s="26"/>
      <c r="O706" s="26"/>
      <c r="P706" s="34"/>
    </row>
    <row r="707" customFormat="false" ht="15" hidden="false" customHeight="true" outlineLevel="0" collapsed="false">
      <c r="A707" s="18" t="n">
        <v>196</v>
      </c>
      <c r="B707" s="25"/>
      <c r="C707" s="26"/>
      <c r="D707" s="26"/>
      <c r="E707" s="26"/>
      <c r="F707" s="24" t="str">
        <f aca="false">IFERROR(INDEX('Operator Master'!$B$5:$B$504,MATCH(E707,'Operator Master'!$A$5:$A$504,0)),"")</f>
        <v/>
      </c>
      <c r="G707" s="26"/>
      <c r="H707" s="24" t="str">
        <f aca="false">IFERROR(INDEX('Fault Master'!$B$5:$B$104,MATCH(G707,'Fault Master'!$A$5:$A$104,0)),"")</f>
        <v/>
      </c>
      <c r="I707" s="24" t="str">
        <f aca="false">IFERROR(INDEX('Fault Master'!$C$5:$C$104,MATCH(G707,'Fault Master'!$A$5:$A$104,0)),"")</f>
        <v/>
      </c>
      <c r="J707" s="26"/>
      <c r="K707" s="26"/>
      <c r="L707" s="26"/>
      <c r="M707" s="26"/>
      <c r="N707" s="26"/>
      <c r="O707" s="26"/>
      <c r="P707" s="34"/>
    </row>
    <row r="708" customFormat="false" ht="15" hidden="false" customHeight="true" outlineLevel="0" collapsed="false">
      <c r="A708" s="18" t="n">
        <v>197</v>
      </c>
      <c r="B708" s="25"/>
      <c r="C708" s="26"/>
      <c r="D708" s="26"/>
      <c r="E708" s="26"/>
      <c r="F708" s="24" t="str">
        <f aca="false">IFERROR(INDEX('Operator Master'!$B$5:$B$504,MATCH(E708,'Operator Master'!$A$5:$A$504,0)),"")</f>
        <v/>
      </c>
      <c r="G708" s="26"/>
      <c r="H708" s="24" t="str">
        <f aca="false">IFERROR(INDEX('Fault Master'!$B$5:$B$104,MATCH(G708,'Fault Master'!$A$5:$A$104,0)),"")</f>
        <v/>
      </c>
      <c r="I708" s="24" t="str">
        <f aca="false">IFERROR(INDEX('Fault Master'!$C$5:$C$104,MATCH(G708,'Fault Master'!$A$5:$A$104,0)),"")</f>
        <v/>
      </c>
      <c r="J708" s="26"/>
      <c r="K708" s="26"/>
      <c r="L708" s="26"/>
      <c r="M708" s="26"/>
      <c r="N708" s="26"/>
      <c r="O708" s="26"/>
      <c r="P708" s="34"/>
    </row>
    <row r="709" customFormat="false" ht="15" hidden="false" customHeight="true" outlineLevel="0" collapsed="false">
      <c r="A709" s="18" t="n">
        <v>198</v>
      </c>
      <c r="B709" s="25"/>
      <c r="C709" s="26"/>
      <c r="D709" s="26"/>
      <c r="E709" s="26"/>
      <c r="F709" s="24" t="str">
        <f aca="false">IFERROR(INDEX('Operator Master'!$B$5:$B$504,MATCH(E709,'Operator Master'!$A$5:$A$504,0)),"")</f>
        <v/>
      </c>
      <c r="G709" s="26"/>
      <c r="H709" s="24" t="str">
        <f aca="false">IFERROR(INDEX('Fault Master'!$B$5:$B$104,MATCH(G709,'Fault Master'!$A$5:$A$104,0)),"")</f>
        <v/>
      </c>
      <c r="I709" s="24" t="str">
        <f aca="false">IFERROR(INDEX('Fault Master'!$C$5:$C$104,MATCH(G709,'Fault Master'!$A$5:$A$104,0)),"")</f>
        <v/>
      </c>
      <c r="J709" s="26"/>
      <c r="K709" s="26"/>
      <c r="L709" s="26"/>
      <c r="M709" s="26"/>
      <c r="N709" s="26"/>
      <c r="O709" s="26"/>
      <c r="P709" s="34"/>
    </row>
    <row r="710" customFormat="false" ht="15" hidden="false" customHeight="true" outlineLevel="0" collapsed="false">
      <c r="A710" s="18" t="n">
        <v>199</v>
      </c>
      <c r="B710" s="25"/>
      <c r="C710" s="26"/>
      <c r="D710" s="26"/>
      <c r="E710" s="26"/>
      <c r="F710" s="24" t="str">
        <f aca="false">IFERROR(INDEX('Operator Master'!$B$5:$B$504,MATCH(E710,'Operator Master'!$A$5:$A$504,0)),"")</f>
        <v/>
      </c>
      <c r="G710" s="26"/>
      <c r="H710" s="24" t="str">
        <f aca="false">IFERROR(INDEX('Fault Master'!$B$5:$B$104,MATCH(G710,'Fault Master'!$A$5:$A$104,0)),"")</f>
        <v/>
      </c>
      <c r="I710" s="24" t="str">
        <f aca="false">IFERROR(INDEX('Fault Master'!$C$5:$C$104,MATCH(G710,'Fault Master'!$A$5:$A$104,0)),"")</f>
        <v/>
      </c>
      <c r="J710" s="26"/>
      <c r="K710" s="26"/>
      <c r="L710" s="26"/>
      <c r="M710" s="26"/>
      <c r="N710" s="26"/>
      <c r="O710" s="26"/>
      <c r="P710" s="34"/>
    </row>
    <row r="711" customFormat="false" ht="15" hidden="false" customHeight="true" outlineLevel="0" collapsed="false">
      <c r="A711" s="18" t="n">
        <v>200</v>
      </c>
      <c r="B711" s="25"/>
      <c r="C711" s="26"/>
      <c r="D711" s="26"/>
      <c r="E711" s="26"/>
      <c r="F711" s="24" t="str">
        <f aca="false">IFERROR(INDEX('Operator Master'!$B$5:$B$504,MATCH(E711,'Operator Master'!$A$5:$A$504,0)),"")</f>
        <v/>
      </c>
      <c r="G711" s="26"/>
      <c r="H711" s="24" t="str">
        <f aca="false">IFERROR(INDEX('Fault Master'!$B$5:$B$104,MATCH(G711,'Fault Master'!$A$5:$A$104,0)),"")</f>
        <v/>
      </c>
      <c r="I711" s="24" t="str">
        <f aca="false">IFERROR(INDEX('Fault Master'!$C$5:$C$104,MATCH(G711,'Fault Master'!$A$5:$A$104,0)),"")</f>
        <v/>
      </c>
      <c r="J711" s="26"/>
      <c r="K711" s="26"/>
      <c r="L711" s="26"/>
      <c r="M711" s="26"/>
      <c r="N711" s="26"/>
      <c r="O711" s="26"/>
      <c r="P711" s="34"/>
    </row>
    <row r="712" customFormat="false" ht="15" hidden="false" customHeight="true" outlineLevel="0" collapsed="false">
      <c r="A712" s="18" t="n">
        <v>201</v>
      </c>
      <c r="B712" s="25"/>
      <c r="C712" s="26"/>
      <c r="D712" s="26"/>
      <c r="E712" s="26"/>
      <c r="F712" s="24" t="str">
        <f aca="false">IFERROR(INDEX('Operator Master'!$B$5:$B$504,MATCH(E712,'Operator Master'!$A$5:$A$504,0)),"")</f>
        <v/>
      </c>
      <c r="G712" s="26"/>
      <c r="H712" s="24" t="str">
        <f aca="false">IFERROR(INDEX('Fault Master'!$B$5:$B$104,MATCH(G712,'Fault Master'!$A$5:$A$104,0)),"")</f>
        <v/>
      </c>
      <c r="I712" s="24" t="str">
        <f aca="false">IFERROR(INDEX('Fault Master'!$C$5:$C$104,MATCH(G712,'Fault Master'!$A$5:$A$104,0)),"")</f>
        <v/>
      </c>
      <c r="J712" s="26"/>
      <c r="K712" s="26"/>
      <c r="L712" s="26"/>
      <c r="M712" s="26"/>
      <c r="N712" s="26"/>
      <c r="O712" s="26"/>
      <c r="P712" s="34"/>
    </row>
    <row r="713" customFormat="false" ht="15" hidden="false" customHeight="true" outlineLevel="0" collapsed="false">
      <c r="A713" s="18" t="n">
        <v>202</v>
      </c>
      <c r="B713" s="25"/>
      <c r="C713" s="26"/>
      <c r="D713" s="26"/>
      <c r="E713" s="26"/>
      <c r="F713" s="24" t="str">
        <f aca="false">IFERROR(INDEX('Operator Master'!$B$5:$B$504,MATCH(E713,'Operator Master'!$A$5:$A$504,0)),"")</f>
        <v/>
      </c>
      <c r="G713" s="26"/>
      <c r="H713" s="24" t="str">
        <f aca="false">IFERROR(INDEX('Fault Master'!$B$5:$B$104,MATCH(G713,'Fault Master'!$A$5:$A$104,0)),"")</f>
        <v/>
      </c>
      <c r="I713" s="24" t="str">
        <f aca="false">IFERROR(INDEX('Fault Master'!$C$5:$C$104,MATCH(G713,'Fault Master'!$A$5:$A$104,0)),"")</f>
        <v/>
      </c>
      <c r="J713" s="26"/>
      <c r="K713" s="26"/>
      <c r="L713" s="26"/>
      <c r="M713" s="26"/>
      <c r="N713" s="26"/>
      <c r="O713" s="26"/>
      <c r="P713" s="34"/>
    </row>
    <row r="714" customFormat="false" ht="15" hidden="false" customHeight="true" outlineLevel="0" collapsed="false">
      <c r="A714" s="18" t="n">
        <v>203</v>
      </c>
      <c r="B714" s="25"/>
      <c r="C714" s="26"/>
      <c r="D714" s="26"/>
      <c r="E714" s="26"/>
      <c r="F714" s="24" t="str">
        <f aca="false">IFERROR(INDEX('Operator Master'!$B$5:$B$504,MATCH(E714,'Operator Master'!$A$5:$A$504,0)),"")</f>
        <v/>
      </c>
      <c r="G714" s="26"/>
      <c r="H714" s="24" t="str">
        <f aca="false">IFERROR(INDEX('Fault Master'!$B$5:$B$104,MATCH(G714,'Fault Master'!$A$5:$A$104,0)),"")</f>
        <v/>
      </c>
      <c r="I714" s="24" t="str">
        <f aca="false">IFERROR(INDEX('Fault Master'!$C$5:$C$104,MATCH(G714,'Fault Master'!$A$5:$A$104,0)),"")</f>
        <v/>
      </c>
      <c r="J714" s="26"/>
      <c r="K714" s="26"/>
      <c r="L714" s="26"/>
      <c r="M714" s="26"/>
      <c r="N714" s="26"/>
      <c r="O714" s="26"/>
      <c r="P714" s="34"/>
    </row>
    <row r="715" customFormat="false" ht="15" hidden="false" customHeight="true" outlineLevel="0" collapsed="false">
      <c r="A715" s="18" t="n">
        <v>204</v>
      </c>
      <c r="B715" s="25"/>
      <c r="C715" s="26"/>
      <c r="D715" s="26"/>
      <c r="E715" s="26"/>
      <c r="F715" s="24" t="str">
        <f aca="false">IFERROR(INDEX('Operator Master'!$B$5:$B$504,MATCH(E715,'Operator Master'!$A$5:$A$504,0)),"")</f>
        <v/>
      </c>
      <c r="G715" s="26"/>
      <c r="H715" s="24" t="str">
        <f aca="false">IFERROR(INDEX('Fault Master'!$B$5:$B$104,MATCH(G715,'Fault Master'!$A$5:$A$104,0)),"")</f>
        <v/>
      </c>
      <c r="I715" s="24" t="str">
        <f aca="false">IFERROR(INDEX('Fault Master'!$C$5:$C$104,MATCH(G715,'Fault Master'!$A$5:$A$104,0)),"")</f>
        <v/>
      </c>
      <c r="J715" s="26"/>
      <c r="K715" s="26"/>
      <c r="L715" s="26"/>
      <c r="M715" s="26"/>
      <c r="N715" s="26"/>
      <c r="O715" s="26"/>
      <c r="P715" s="34"/>
    </row>
    <row r="716" customFormat="false" ht="15" hidden="false" customHeight="true" outlineLevel="0" collapsed="false">
      <c r="A716" s="18" t="n">
        <v>205</v>
      </c>
      <c r="B716" s="25"/>
      <c r="C716" s="26"/>
      <c r="D716" s="26"/>
      <c r="E716" s="26"/>
      <c r="F716" s="24" t="str">
        <f aca="false">IFERROR(INDEX('Operator Master'!$B$5:$B$504,MATCH(E716,'Operator Master'!$A$5:$A$504,0)),"")</f>
        <v/>
      </c>
      <c r="G716" s="26"/>
      <c r="H716" s="24" t="str">
        <f aca="false">IFERROR(INDEX('Fault Master'!$B$5:$B$104,MATCH(G716,'Fault Master'!$A$5:$A$104,0)),"")</f>
        <v/>
      </c>
      <c r="I716" s="24" t="str">
        <f aca="false">IFERROR(INDEX('Fault Master'!$C$5:$C$104,MATCH(G716,'Fault Master'!$A$5:$A$104,0)),"")</f>
        <v/>
      </c>
      <c r="J716" s="26"/>
      <c r="K716" s="26"/>
      <c r="L716" s="26"/>
      <c r="M716" s="26"/>
      <c r="N716" s="26"/>
      <c r="O716" s="26"/>
      <c r="P716" s="34"/>
    </row>
    <row r="717" customFormat="false" ht="15" hidden="false" customHeight="true" outlineLevel="0" collapsed="false">
      <c r="A717" s="18" t="n">
        <v>206</v>
      </c>
      <c r="B717" s="25"/>
      <c r="C717" s="26"/>
      <c r="D717" s="26"/>
      <c r="E717" s="26"/>
      <c r="F717" s="24" t="str">
        <f aca="false">IFERROR(INDEX('Operator Master'!$B$5:$B$504,MATCH(E717,'Operator Master'!$A$5:$A$504,0)),"")</f>
        <v/>
      </c>
      <c r="G717" s="26"/>
      <c r="H717" s="24" t="str">
        <f aca="false">IFERROR(INDEX('Fault Master'!$B$5:$B$104,MATCH(G717,'Fault Master'!$A$5:$A$104,0)),"")</f>
        <v/>
      </c>
      <c r="I717" s="24" t="str">
        <f aca="false">IFERROR(INDEX('Fault Master'!$C$5:$C$104,MATCH(G717,'Fault Master'!$A$5:$A$104,0)),"")</f>
        <v/>
      </c>
      <c r="J717" s="26"/>
      <c r="K717" s="26"/>
      <c r="L717" s="26"/>
      <c r="M717" s="26"/>
      <c r="N717" s="26"/>
      <c r="O717" s="26"/>
      <c r="P717" s="34"/>
    </row>
    <row r="718" customFormat="false" ht="15" hidden="false" customHeight="true" outlineLevel="0" collapsed="false">
      <c r="A718" s="18" t="n">
        <v>207</v>
      </c>
      <c r="B718" s="25"/>
      <c r="C718" s="26"/>
      <c r="D718" s="26"/>
      <c r="E718" s="26"/>
      <c r="F718" s="24" t="str">
        <f aca="false">IFERROR(INDEX('Operator Master'!$B$5:$B$504,MATCH(E718,'Operator Master'!$A$5:$A$504,0)),"")</f>
        <v/>
      </c>
      <c r="G718" s="26"/>
      <c r="H718" s="24" t="str">
        <f aca="false">IFERROR(INDEX('Fault Master'!$B$5:$B$104,MATCH(G718,'Fault Master'!$A$5:$A$104,0)),"")</f>
        <v/>
      </c>
      <c r="I718" s="24" t="str">
        <f aca="false">IFERROR(INDEX('Fault Master'!$C$5:$C$104,MATCH(G718,'Fault Master'!$A$5:$A$104,0)),"")</f>
        <v/>
      </c>
      <c r="J718" s="26"/>
      <c r="K718" s="26"/>
      <c r="L718" s="26"/>
      <c r="M718" s="26"/>
      <c r="N718" s="26"/>
      <c r="O718" s="26"/>
      <c r="P718" s="34"/>
    </row>
    <row r="719" customFormat="false" ht="15" hidden="false" customHeight="true" outlineLevel="0" collapsed="false">
      <c r="A719" s="18" t="n">
        <v>208</v>
      </c>
      <c r="B719" s="25"/>
      <c r="C719" s="26"/>
      <c r="D719" s="26"/>
      <c r="E719" s="26"/>
      <c r="F719" s="24" t="str">
        <f aca="false">IFERROR(INDEX('Operator Master'!$B$5:$B$504,MATCH(E719,'Operator Master'!$A$5:$A$504,0)),"")</f>
        <v/>
      </c>
      <c r="G719" s="26"/>
      <c r="H719" s="24" t="str">
        <f aca="false">IFERROR(INDEX('Fault Master'!$B$5:$B$104,MATCH(G719,'Fault Master'!$A$5:$A$104,0)),"")</f>
        <v/>
      </c>
      <c r="I719" s="24" t="str">
        <f aca="false">IFERROR(INDEX('Fault Master'!$C$5:$C$104,MATCH(G719,'Fault Master'!$A$5:$A$104,0)),"")</f>
        <v/>
      </c>
      <c r="J719" s="26"/>
      <c r="K719" s="26"/>
      <c r="L719" s="26"/>
      <c r="M719" s="26"/>
      <c r="N719" s="26"/>
      <c r="O719" s="26"/>
      <c r="P719" s="34"/>
    </row>
    <row r="720" customFormat="false" ht="15" hidden="false" customHeight="true" outlineLevel="0" collapsed="false">
      <c r="A720" s="18" t="n">
        <v>209</v>
      </c>
      <c r="B720" s="25"/>
      <c r="C720" s="26"/>
      <c r="D720" s="26"/>
      <c r="E720" s="26"/>
      <c r="F720" s="24" t="str">
        <f aca="false">IFERROR(INDEX('Operator Master'!$B$5:$B$504,MATCH(E720,'Operator Master'!$A$5:$A$504,0)),"")</f>
        <v/>
      </c>
      <c r="G720" s="26"/>
      <c r="H720" s="24" t="str">
        <f aca="false">IFERROR(INDEX('Fault Master'!$B$5:$B$104,MATCH(G720,'Fault Master'!$A$5:$A$104,0)),"")</f>
        <v/>
      </c>
      <c r="I720" s="24" t="str">
        <f aca="false">IFERROR(INDEX('Fault Master'!$C$5:$C$104,MATCH(G720,'Fault Master'!$A$5:$A$104,0)),"")</f>
        <v/>
      </c>
      <c r="J720" s="26"/>
      <c r="K720" s="26"/>
      <c r="L720" s="26"/>
      <c r="M720" s="26"/>
      <c r="N720" s="26"/>
      <c r="O720" s="26"/>
      <c r="P720" s="34"/>
    </row>
    <row r="721" customFormat="false" ht="15" hidden="false" customHeight="true" outlineLevel="0" collapsed="false">
      <c r="A721" s="18" t="n">
        <v>210</v>
      </c>
      <c r="B721" s="25"/>
      <c r="C721" s="26"/>
      <c r="D721" s="26"/>
      <c r="E721" s="26"/>
      <c r="F721" s="24" t="str">
        <f aca="false">IFERROR(INDEX('Operator Master'!$B$5:$B$504,MATCH(E721,'Operator Master'!$A$5:$A$504,0)),"")</f>
        <v/>
      </c>
      <c r="G721" s="26"/>
      <c r="H721" s="24" t="str">
        <f aca="false">IFERROR(INDEX('Fault Master'!$B$5:$B$104,MATCH(G721,'Fault Master'!$A$5:$A$104,0)),"")</f>
        <v/>
      </c>
      <c r="I721" s="24" t="str">
        <f aca="false">IFERROR(INDEX('Fault Master'!$C$5:$C$104,MATCH(G721,'Fault Master'!$A$5:$A$104,0)),"")</f>
        <v/>
      </c>
      <c r="J721" s="26"/>
      <c r="K721" s="26"/>
      <c r="L721" s="26"/>
      <c r="M721" s="26"/>
      <c r="N721" s="26"/>
      <c r="O721" s="26"/>
      <c r="P721" s="34"/>
    </row>
    <row r="722" customFormat="false" ht="15" hidden="false" customHeight="true" outlineLevel="0" collapsed="false">
      <c r="A722" s="18" t="n">
        <v>211</v>
      </c>
      <c r="B722" s="25"/>
      <c r="C722" s="26"/>
      <c r="D722" s="26"/>
      <c r="E722" s="26"/>
      <c r="F722" s="24" t="str">
        <f aca="false">IFERROR(INDEX('Operator Master'!$B$5:$B$504,MATCH(E722,'Operator Master'!$A$5:$A$504,0)),"")</f>
        <v/>
      </c>
      <c r="G722" s="26"/>
      <c r="H722" s="24" t="str">
        <f aca="false">IFERROR(INDEX('Fault Master'!$B$5:$B$104,MATCH(G722,'Fault Master'!$A$5:$A$104,0)),"")</f>
        <v/>
      </c>
      <c r="I722" s="24" t="str">
        <f aca="false">IFERROR(INDEX('Fault Master'!$C$5:$C$104,MATCH(G722,'Fault Master'!$A$5:$A$104,0)),"")</f>
        <v/>
      </c>
      <c r="J722" s="26"/>
      <c r="K722" s="26"/>
      <c r="L722" s="26"/>
      <c r="M722" s="26"/>
      <c r="N722" s="26"/>
      <c r="O722" s="26"/>
      <c r="P722" s="34"/>
    </row>
    <row r="723" customFormat="false" ht="15" hidden="false" customHeight="true" outlineLevel="0" collapsed="false">
      <c r="A723" s="18" t="n">
        <v>212</v>
      </c>
      <c r="B723" s="25"/>
      <c r="C723" s="26"/>
      <c r="D723" s="26"/>
      <c r="E723" s="26"/>
      <c r="F723" s="24" t="str">
        <f aca="false">IFERROR(INDEX('Operator Master'!$B$5:$B$504,MATCH(E723,'Operator Master'!$A$5:$A$504,0)),"")</f>
        <v/>
      </c>
      <c r="G723" s="26"/>
      <c r="H723" s="24" t="str">
        <f aca="false">IFERROR(INDEX('Fault Master'!$B$5:$B$104,MATCH(G723,'Fault Master'!$A$5:$A$104,0)),"")</f>
        <v/>
      </c>
      <c r="I723" s="24" t="str">
        <f aca="false">IFERROR(INDEX('Fault Master'!$C$5:$C$104,MATCH(G723,'Fault Master'!$A$5:$A$104,0)),"")</f>
        <v/>
      </c>
      <c r="J723" s="26"/>
      <c r="K723" s="26"/>
      <c r="L723" s="26"/>
      <c r="M723" s="26"/>
      <c r="N723" s="26"/>
      <c r="O723" s="26"/>
      <c r="P723" s="34"/>
    </row>
    <row r="724" customFormat="false" ht="15" hidden="false" customHeight="true" outlineLevel="0" collapsed="false">
      <c r="A724" s="18" t="n">
        <v>213</v>
      </c>
      <c r="B724" s="25"/>
      <c r="C724" s="26"/>
      <c r="D724" s="26"/>
      <c r="E724" s="26"/>
      <c r="F724" s="24" t="str">
        <f aca="false">IFERROR(INDEX('Operator Master'!$B$5:$B$504,MATCH(E724,'Operator Master'!$A$5:$A$504,0)),"")</f>
        <v/>
      </c>
      <c r="G724" s="26"/>
      <c r="H724" s="24" t="str">
        <f aca="false">IFERROR(INDEX('Fault Master'!$B$5:$B$104,MATCH(G724,'Fault Master'!$A$5:$A$104,0)),"")</f>
        <v/>
      </c>
      <c r="I724" s="24" t="str">
        <f aca="false">IFERROR(INDEX('Fault Master'!$C$5:$C$104,MATCH(G724,'Fault Master'!$A$5:$A$104,0)),"")</f>
        <v/>
      </c>
      <c r="J724" s="26"/>
      <c r="K724" s="26"/>
      <c r="L724" s="26"/>
      <c r="M724" s="26"/>
      <c r="N724" s="26"/>
      <c r="O724" s="26"/>
      <c r="P724" s="34"/>
    </row>
    <row r="725" customFormat="false" ht="15" hidden="false" customHeight="true" outlineLevel="0" collapsed="false">
      <c r="A725" s="18" t="n">
        <v>214</v>
      </c>
      <c r="B725" s="25"/>
      <c r="C725" s="26"/>
      <c r="D725" s="26"/>
      <c r="E725" s="26"/>
      <c r="F725" s="24" t="str">
        <f aca="false">IFERROR(INDEX('Operator Master'!$B$5:$B$504,MATCH(E725,'Operator Master'!$A$5:$A$504,0)),"")</f>
        <v/>
      </c>
      <c r="G725" s="26"/>
      <c r="H725" s="24" t="str">
        <f aca="false">IFERROR(INDEX('Fault Master'!$B$5:$B$104,MATCH(G725,'Fault Master'!$A$5:$A$104,0)),"")</f>
        <v/>
      </c>
      <c r="I725" s="24" t="str">
        <f aca="false">IFERROR(INDEX('Fault Master'!$C$5:$C$104,MATCH(G725,'Fault Master'!$A$5:$A$104,0)),"")</f>
        <v/>
      </c>
      <c r="J725" s="26"/>
      <c r="K725" s="26"/>
      <c r="L725" s="26"/>
      <c r="M725" s="26"/>
      <c r="N725" s="26"/>
      <c r="O725" s="26"/>
      <c r="P725" s="34"/>
    </row>
    <row r="726" customFormat="false" ht="15" hidden="false" customHeight="true" outlineLevel="0" collapsed="false">
      <c r="A726" s="18" t="n">
        <v>215</v>
      </c>
      <c r="B726" s="25"/>
      <c r="C726" s="26"/>
      <c r="D726" s="26"/>
      <c r="E726" s="26"/>
      <c r="F726" s="24" t="str">
        <f aca="false">IFERROR(INDEX('Operator Master'!$B$5:$B$504,MATCH(E726,'Operator Master'!$A$5:$A$504,0)),"")</f>
        <v/>
      </c>
      <c r="G726" s="26"/>
      <c r="H726" s="24" t="str">
        <f aca="false">IFERROR(INDEX('Fault Master'!$B$5:$B$104,MATCH(G726,'Fault Master'!$A$5:$A$104,0)),"")</f>
        <v/>
      </c>
      <c r="I726" s="24" t="str">
        <f aca="false">IFERROR(INDEX('Fault Master'!$C$5:$C$104,MATCH(G726,'Fault Master'!$A$5:$A$104,0)),"")</f>
        <v/>
      </c>
      <c r="J726" s="26"/>
      <c r="K726" s="26"/>
      <c r="L726" s="26"/>
      <c r="M726" s="26"/>
      <c r="N726" s="26"/>
      <c r="O726" s="26"/>
      <c r="P726" s="34"/>
    </row>
    <row r="727" customFormat="false" ht="15" hidden="false" customHeight="true" outlineLevel="0" collapsed="false">
      <c r="A727" s="18" t="n">
        <v>216</v>
      </c>
      <c r="B727" s="25"/>
      <c r="C727" s="26"/>
      <c r="D727" s="26"/>
      <c r="E727" s="26"/>
      <c r="F727" s="24" t="str">
        <f aca="false">IFERROR(INDEX('Operator Master'!$B$5:$B$504,MATCH(E727,'Operator Master'!$A$5:$A$504,0)),"")</f>
        <v/>
      </c>
      <c r="G727" s="26"/>
      <c r="H727" s="24" t="str">
        <f aca="false">IFERROR(INDEX('Fault Master'!$B$5:$B$104,MATCH(G727,'Fault Master'!$A$5:$A$104,0)),"")</f>
        <v/>
      </c>
      <c r="I727" s="24" t="str">
        <f aca="false">IFERROR(INDEX('Fault Master'!$C$5:$C$104,MATCH(G727,'Fault Master'!$A$5:$A$104,0)),"")</f>
        <v/>
      </c>
      <c r="J727" s="26"/>
      <c r="K727" s="26"/>
      <c r="L727" s="26"/>
      <c r="M727" s="26"/>
      <c r="N727" s="26"/>
      <c r="O727" s="26"/>
      <c r="P727" s="34"/>
    </row>
    <row r="728" customFormat="false" ht="15" hidden="false" customHeight="true" outlineLevel="0" collapsed="false">
      <c r="A728" s="18" t="n">
        <v>217</v>
      </c>
      <c r="B728" s="25"/>
      <c r="C728" s="26"/>
      <c r="D728" s="26"/>
      <c r="E728" s="26"/>
      <c r="F728" s="24" t="str">
        <f aca="false">IFERROR(INDEX('Operator Master'!$B$5:$B$504,MATCH(E728,'Operator Master'!$A$5:$A$504,0)),"")</f>
        <v/>
      </c>
      <c r="G728" s="26"/>
      <c r="H728" s="24" t="str">
        <f aca="false">IFERROR(INDEX('Fault Master'!$B$5:$B$104,MATCH(G728,'Fault Master'!$A$5:$A$104,0)),"")</f>
        <v/>
      </c>
      <c r="I728" s="24" t="str">
        <f aca="false">IFERROR(INDEX('Fault Master'!$C$5:$C$104,MATCH(G728,'Fault Master'!$A$5:$A$104,0)),"")</f>
        <v/>
      </c>
      <c r="J728" s="26"/>
      <c r="K728" s="26"/>
      <c r="L728" s="26"/>
      <c r="M728" s="26"/>
      <c r="N728" s="26"/>
      <c r="O728" s="26"/>
      <c r="P728" s="34"/>
    </row>
    <row r="729" customFormat="false" ht="15" hidden="false" customHeight="true" outlineLevel="0" collapsed="false">
      <c r="A729" s="18" t="n">
        <v>218</v>
      </c>
      <c r="B729" s="25"/>
      <c r="C729" s="26"/>
      <c r="D729" s="26"/>
      <c r="E729" s="26"/>
      <c r="F729" s="24" t="str">
        <f aca="false">IFERROR(INDEX('Operator Master'!$B$5:$B$504,MATCH(E729,'Operator Master'!$A$5:$A$504,0)),"")</f>
        <v/>
      </c>
      <c r="G729" s="26"/>
      <c r="H729" s="24" t="str">
        <f aca="false">IFERROR(INDEX('Fault Master'!$B$5:$B$104,MATCH(G729,'Fault Master'!$A$5:$A$104,0)),"")</f>
        <v/>
      </c>
      <c r="I729" s="24" t="str">
        <f aca="false">IFERROR(INDEX('Fault Master'!$C$5:$C$104,MATCH(G729,'Fault Master'!$A$5:$A$104,0)),"")</f>
        <v/>
      </c>
      <c r="J729" s="26"/>
      <c r="K729" s="26"/>
      <c r="L729" s="26"/>
      <c r="M729" s="26"/>
      <c r="N729" s="26"/>
      <c r="O729" s="26"/>
      <c r="P729" s="34"/>
    </row>
    <row r="730" customFormat="false" ht="15" hidden="false" customHeight="true" outlineLevel="0" collapsed="false">
      <c r="A730" s="18" t="n">
        <v>219</v>
      </c>
      <c r="B730" s="25"/>
      <c r="C730" s="26"/>
      <c r="D730" s="26"/>
      <c r="E730" s="26"/>
      <c r="F730" s="24" t="str">
        <f aca="false">IFERROR(INDEX('Operator Master'!$B$5:$B$504,MATCH(E730,'Operator Master'!$A$5:$A$504,0)),"")</f>
        <v/>
      </c>
      <c r="G730" s="26"/>
      <c r="H730" s="24" t="str">
        <f aca="false">IFERROR(INDEX('Fault Master'!$B$5:$B$104,MATCH(G730,'Fault Master'!$A$5:$A$104,0)),"")</f>
        <v/>
      </c>
      <c r="I730" s="24" t="str">
        <f aca="false">IFERROR(INDEX('Fault Master'!$C$5:$C$104,MATCH(G730,'Fault Master'!$A$5:$A$104,0)),"")</f>
        <v/>
      </c>
      <c r="J730" s="26"/>
      <c r="K730" s="26"/>
      <c r="L730" s="26"/>
      <c r="M730" s="26"/>
      <c r="N730" s="26"/>
      <c r="O730" s="26"/>
      <c r="P730" s="34"/>
    </row>
    <row r="731" customFormat="false" ht="15" hidden="false" customHeight="true" outlineLevel="0" collapsed="false">
      <c r="A731" s="18" t="n">
        <v>220</v>
      </c>
      <c r="B731" s="25"/>
      <c r="C731" s="26"/>
      <c r="D731" s="26"/>
      <c r="E731" s="26"/>
      <c r="F731" s="24" t="str">
        <f aca="false">IFERROR(INDEX('Operator Master'!$B$5:$B$504,MATCH(E731,'Operator Master'!$A$5:$A$504,0)),"")</f>
        <v/>
      </c>
      <c r="G731" s="26"/>
      <c r="H731" s="24" t="str">
        <f aca="false">IFERROR(INDEX('Fault Master'!$B$5:$B$104,MATCH(G731,'Fault Master'!$A$5:$A$104,0)),"")</f>
        <v/>
      </c>
      <c r="I731" s="24" t="str">
        <f aca="false">IFERROR(INDEX('Fault Master'!$C$5:$C$104,MATCH(G731,'Fault Master'!$A$5:$A$104,0)),"")</f>
        <v/>
      </c>
      <c r="J731" s="26"/>
      <c r="K731" s="26"/>
      <c r="L731" s="26"/>
      <c r="M731" s="26"/>
      <c r="N731" s="26"/>
      <c r="O731" s="26"/>
      <c r="P731" s="34"/>
    </row>
    <row r="732" customFormat="false" ht="15" hidden="false" customHeight="true" outlineLevel="0" collapsed="false">
      <c r="A732" s="18" t="n">
        <v>221</v>
      </c>
      <c r="B732" s="25"/>
      <c r="C732" s="26"/>
      <c r="D732" s="26"/>
      <c r="E732" s="26"/>
      <c r="F732" s="24" t="str">
        <f aca="false">IFERROR(INDEX('Operator Master'!$B$5:$B$504,MATCH(E732,'Operator Master'!$A$5:$A$504,0)),"")</f>
        <v/>
      </c>
      <c r="G732" s="26"/>
      <c r="H732" s="24" t="str">
        <f aca="false">IFERROR(INDEX('Fault Master'!$B$5:$B$104,MATCH(G732,'Fault Master'!$A$5:$A$104,0)),"")</f>
        <v/>
      </c>
      <c r="I732" s="24" t="str">
        <f aca="false">IFERROR(INDEX('Fault Master'!$C$5:$C$104,MATCH(G732,'Fault Master'!$A$5:$A$104,0)),"")</f>
        <v/>
      </c>
      <c r="J732" s="26"/>
      <c r="K732" s="26"/>
      <c r="L732" s="26"/>
      <c r="M732" s="26"/>
      <c r="N732" s="26"/>
      <c r="O732" s="26"/>
      <c r="P732" s="34"/>
    </row>
    <row r="733" customFormat="false" ht="15" hidden="false" customHeight="true" outlineLevel="0" collapsed="false">
      <c r="A733" s="18" t="n">
        <v>222</v>
      </c>
      <c r="B733" s="25"/>
      <c r="C733" s="26"/>
      <c r="D733" s="26"/>
      <c r="E733" s="26"/>
      <c r="F733" s="24" t="str">
        <f aca="false">IFERROR(INDEX('Operator Master'!$B$5:$B$504,MATCH(E733,'Operator Master'!$A$5:$A$504,0)),"")</f>
        <v/>
      </c>
      <c r="G733" s="26"/>
      <c r="H733" s="24" t="str">
        <f aca="false">IFERROR(INDEX('Fault Master'!$B$5:$B$104,MATCH(G733,'Fault Master'!$A$5:$A$104,0)),"")</f>
        <v/>
      </c>
      <c r="I733" s="24" t="str">
        <f aca="false">IFERROR(INDEX('Fault Master'!$C$5:$C$104,MATCH(G733,'Fault Master'!$A$5:$A$104,0)),"")</f>
        <v/>
      </c>
      <c r="J733" s="26"/>
      <c r="K733" s="26"/>
      <c r="L733" s="26"/>
      <c r="M733" s="26"/>
      <c r="N733" s="26"/>
      <c r="O733" s="26"/>
      <c r="P733" s="34"/>
    </row>
    <row r="734" customFormat="false" ht="15" hidden="false" customHeight="true" outlineLevel="0" collapsed="false">
      <c r="A734" s="18" t="n">
        <v>223</v>
      </c>
      <c r="B734" s="25"/>
      <c r="C734" s="26"/>
      <c r="D734" s="26"/>
      <c r="E734" s="26"/>
      <c r="F734" s="24" t="str">
        <f aca="false">IFERROR(INDEX('Operator Master'!$B$5:$B$504,MATCH(E734,'Operator Master'!$A$5:$A$504,0)),"")</f>
        <v/>
      </c>
      <c r="G734" s="26"/>
      <c r="H734" s="24" t="str">
        <f aca="false">IFERROR(INDEX('Fault Master'!$B$5:$B$104,MATCH(G734,'Fault Master'!$A$5:$A$104,0)),"")</f>
        <v/>
      </c>
      <c r="I734" s="24" t="str">
        <f aca="false">IFERROR(INDEX('Fault Master'!$C$5:$C$104,MATCH(G734,'Fault Master'!$A$5:$A$104,0)),"")</f>
        <v/>
      </c>
      <c r="J734" s="26"/>
      <c r="K734" s="26"/>
      <c r="L734" s="26"/>
      <c r="M734" s="26"/>
      <c r="N734" s="26"/>
      <c r="O734" s="26"/>
      <c r="P734" s="34"/>
    </row>
    <row r="735" customFormat="false" ht="15" hidden="false" customHeight="true" outlineLevel="0" collapsed="false">
      <c r="A735" s="18" t="n">
        <v>224</v>
      </c>
      <c r="B735" s="25"/>
      <c r="C735" s="26"/>
      <c r="D735" s="26"/>
      <c r="E735" s="26"/>
      <c r="F735" s="24" t="str">
        <f aca="false">IFERROR(INDEX('Operator Master'!$B$5:$B$504,MATCH(E735,'Operator Master'!$A$5:$A$504,0)),"")</f>
        <v/>
      </c>
      <c r="G735" s="26"/>
      <c r="H735" s="24" t="str">
        <f aca="false">IFERROR(INDEX('Fault Master'!$B$5:$B$104,MATCH(G735,'Fault Master'!$A$5:$A$104,0)),"")</f>
        <v/>
      </c>
      <c r="I735" s="24" t="str">
        <f aca="false">IFERROR(INDEX('Fault Master'!$C$5:$C$104,MATCH(G735,'Fault Master'!$A$5:$A$104,0)),"")</f>
        <v/>
      </c>
      <c r="J735" s="26"/>
      <c r="K735" s="26"/>
      <c r="L735" s="26"/>
      <c r="M735" s="26"/>
      <c r="N735" s="26"/>
      <c r="O735" s="26"/>
      <c r="P735" s="34"/>
    </row>
    <row r="736" customFormat="false" ht="15" hidden="false" customHeight="true" outlineLevel="0" collapsed="false">
      <c r="A736" s="18" t="n">
        <v>225</v>
      </c>
      <c r="B736" s="25"/>
      <c r="C736" s="26"/>
      <c r="D736" s="26"/>
      <c r="E736" s="26"/>
      <c r="F736" s="24" t="str">
        <f aca="false">IFERROR(INDEX('Operator Master'!$B$5:$B$504,MATCH(E736,'Operator Master'!$A$5:$A$504,0)),"")</f>
        <v/>
      </c>
      <c r="G736" s="26"/>
      <c r="H736" s="24" t="str">
        <f aca="false">IFERROR(INDEX('Fault Master'!$B$5:$B$104,MATCH(G736,'Fault Master'!$A$5:$A$104,0)),"")</f>
        <v/>
      </c>
      <c r="I736" s="24" t="str">
        <f aca="false">IFERROR(INDEX('Fault Master'!$C$5:$C$104,MATCH(G736,'Fault Master'!$A$5:$A$104,0)),"")</f>
        <v/>
      </c>
      <c r="J736" s="26"/>
      <c r="K736" s="26"/>
      <c r="L736" s="26"/>
      <c r="M736" s="26"/>
      <c r="N736" s="26"/>
      <c r="O736" s="26"/>
      <c r="P736" s="34"/>
    </row>
    <row r="737" customFormat="false" ht="15" hidden="false" customHeight="true" outlineLevel="0" collapsed="false">
      <c r="A737" s="18" t="n">
        <v>226</v>
      </c>
      <c r="B737" s="25"/>
      <c r="C737" s="26"/>
      <c r="D737" s="26"/>
      <c r="E737" s="26"/>
      <c r="F737" s="24" t="str">
        <f aca="false">IFERROR(INDEX('Operator Master'!$B$5:$B$504,MATCH(E737,'Operator Master'!$A$5:$A$504,0)),"")</f>
        <v/>
      </c>
      <c r="G737" s="26"/>
      <c r="H737" s="24" t="str">
        <f aca="false">IFERROR(INDEX('Fault Master'!$B$5:$B$104,MATCH(G737,'Fault Master'!$A$5:$A$104,0)),"")</f>
        <v/>
      </c>
      <c r="I737" s="24" t="str">
        <f aca="false">IFERROR(INDEX('Fault Master'!$C$5:$C$104,MATCH(G737,'Fault Master'!$A$5:$A$104,0)),"")</f>
        <v/>
      </c>
      <c r="J737" s="26"/>
      <c r="K737" s="26"/>
      <c r="L737" s="26"/>
      <c r="M737" s="26"/>
      <c r="N737" s="26"/>
      <c r="O737" s="26"/>
      <c r="P737" s="34"/>
    </row>
    <row r="738" customFormat="false" ht="15" hidden="false" customHeight="true" outlineLevel="0" collapsed="false">
      <c r="A738" s="18" t="n">
        <v>227</v>
      </c>
      <c r="B738" s="25"/>
      <c r="C738" s="26"/>
      <c r="D738" s="26"/>
      <c r="E738" s="26"/>
      <c r="F738" s="24" t="str">
        <f aca="false">IFERROR(INDEX('Operator Master'!$B$5:$B$504,MATCH(E738,'Operator Master'!$A$5:$A$504,0)),"")</f>
        <v/>
      </c>
      <c r="G738" s="26"/>
      <c r="H738" s="24" t="str">
        <f aca="false">IFERROR(INDEX('Fault Master'!$B$5:$B$104,MATCH(G738,'Fault Master'!$A$5:$A$104,0)),"")</f>
        <v/>
      </c>
      <c r="I738" s="24" t="str">
        <f aca="false">IFERROR(INDEX('Fault Master'!$C$5:$C$104,MATCH(G738,'Fault Master'!$A$5:$A$104,0)),"")</f>
        <v/>
      </c>
      <c r="J738" s="26"/>
      <c r="K738" s="26"/>
      <c r="L738" s="26"/>
      <c r="M738" s="26"/>
      <c r="N738" s="26"/>
      <c r="O738" s="26"/>
      <c r="P738" s="34"/>
    </row>
    <row r="739" customFormat="false" ht="15" hidden="false" customHeight="true" outlineLevel="0" collapsed="false">
      <c r="A739" s="18" t="n">
        <v>228</v>
      </c>
      <c r="B739" s="25"/>
      <c r="C739" s="26"/>
      <c r="D739" s="26"/>
      <c r="E739" s="26"/>
      <c r="F739" s="24" t="str">
        <f aca="false">IFERROR(INDEX('Operator Master'!$B$5:$B$504,MATCH(E739,'Operator Master'!$A$5:$A$504,0)),"")</f>
        <v/>
      </c>
      <c r="G739" s="26"/>
      <c r="H739" s="24" t="str">
        <f aca="false">IFERROR(INDEX('Fault Master'!$B$5:$B$104,MATCH(G739,'Fault Master'!$A$5:$A$104,0)),"")</f>
        <v/>
      </c>
      <c r="I739" s="24" t="str">
        <f aca="false">IFERROR(INDEX('Fault Master'!$C$5:$C$104,MATCH(G739,'Fault Master'!$A$5:$A$104,0)),"")</f>
        <v/>
      </c>
      <c r="J739" s="26"/>
      <c r="K739" s="26"/>
      <c r="L739" s="26"/>
      <c r="M739" s="26"/>
      <c r="N739" s="26"/>
      <c r="O739" s="26"/>
      <c r="P739" s="34"/>
    </row>
    <row r="740" customFormat="false" ht="15" hidden="false" customHeight="true" outlineLevel="0" collapsed="false">
      <c r="A740" s="18" t="n">
        <v>229</v>
      </c>
      <c r="B740" s="25"/>
      <c r="C740" s="26"/>
      <c r="D740" s="26"/>
      <c r="E740" s="26"/>
      <c r="F740" s="24" t="str">
        <f aca="false">IFERROR(INDEX('Operator Master'!$B$5:$B$504,MATCH(E740,'Operator Master'!$A$5:$A$504,0)),"")</f>
        <v/>
      </c>
      <c r="G740" s="26"/>
      <c r="H740" s="24" t="str">
        <f aca="false">IFERROR(INDEX('Fault Master'!$B$5:$B$104,MATCH(G740,'Fault Master'!$A$5:$A$104,0)),"")</f>
        <v/>
      </c>
      <c r="I740" s="24" t="str">
        <f aca="false">IFERROR(INDEX('Fault Master'!$C$5:$C$104,MATCH(G740,'Fault Master'!$A$5:$A$104,0)),"")</f>
        <v/>
      </c>
      <c r="J740" s="26"/>
      <c r="K740" s="26"/>
      <c r="L740" s="26"/>
      <c r="M740" s="26"/>
      <c r="N740" s="26"/>
      <c r="O740" s="26"/>
      <c r="P740" s="34"/>
    </row>
    <row r="741" customFormat="false" ht="15" hidden="false" customHeight="true" outlineLevel="0" collapsed="false">
      <c r="A741" s="18" t="n">
        <v>230</v>
      </c>
      <c r="B741" s="25"/>
      <c r="C741" s="26"/>
      <c r="D741" s="26"/>
      <c r="E741" s="26"/>
      <c r="F741" s="24" t="str">
        <f aca="false">IFERROR(INDEX('Operator Master'!$B$5:$B$504,MATCH(E741,'Operator Master'!$A$5:$A$504,0)),"")</f>
        <v/>
      </c>
      <c r="G741" s="26"/>
      <c r="H741" s="24" t="str">
        <f aca="false">IFERROR(INDEX('Fault Master'!$B$5:$B$104,MATCH(G741,'Fault Master'!$A$5:$A$104,0)),"")</f>
        <v/>
      </c>
      <c r="I741" s="24" t="str">
        <f aca="false">IFERROR(INDEX('Fault Master'!$C$5:$C$104,MATCH(G741,'Fault Master'!$A$5:$A$104,0)),"")</f>
        <v/>
      </c>
      <c r="J741" s="26"/>
      <c r="K741" s="26"/>
      <c r="L741" s="26"/>
      <c r="M741" s="26"/>
      <c r="N741" s="26"/>
      <c r="O741" s="26"/>
      <c r="P741" s="34"/>
    </row>
    <row r="742" customFormat="false" ht="15" hidden="false" customHeight="true" outlineLevel="0" collapsed="false">
      <c r="A742" s="18" t="n">
        <v>231</v>
      </c>
      <c r="B742" s="25"/>
      <c r="C742" s="26"/>
      <c r="D742" s="26"/>
      <c r="E742" s="26"/>
      <c r="F742" s="24" t="str">
        <f aca="false">IFERROR(INDEX('Operator Master'!$B$5:$B$504,MATCH(E742,'Operator Master'!$A$5:$A$504,0)),"")</f>
        <v/>
      </c>
      <c r="G742" s="26"/>
      <c r="H742" s="24" t="str">
        <f aca="false">IFERROR(INDEX('Fault Master'!$B$5:$B$104,MATCH(G742,'Fault Master'!$A$5:$A$104,0)),"")</f>
        <v/>
      </c>
      <c r="I742" s="24" t="str">
        <f aca="false">IFERROR(INDEX('Fault Master'!$C$5:$C$104,MATCH(G742,'Fault Master'!$A$5:$A$104,0)),"")</f>
        <v/>
      </c>
      <c r="J742" s="26"/>
      <c r="K742" s="26"/>
      <c r="L742" s="26"/>
      <c r="M742" s="26"/>
      <c r="N742" s="26"/>
      <c r="O742" s="26"/>
      <c r="P742" s="34"/>
    </row>
    <row r="743" customFormat="false" ht="15" hidden="false" customHeight="true" outlineLevel="0" collapsed="false">
      <c r="A743" s="18" t="n">
        <v>232</v>
      </c>
      <c r="B743" s="25"/>
      <c r="C743" s="26"/>
      <c r="D743" s="26"/>
      <c r="E743" s="26"/>
      <c r="F743" s="24" t="str">
        <f aca="false">IFERROR(INDEX('Operator Master'!$B$5:$B$504,MATCH(E743,'Operator Master'!$A$5:$A$504,0)),"")</f>
        <v/>
      </c>
      <c r="G743" s="26"/>
      <c r="H743" s="24" t="str">
        <f aca="false">IFERROR(INDEX('Fault Master'!$B$5:$B$104,MATCH(G743,'Fault Master'!$A$5:$A$104,0)),"")</f>
        <v/>
      </c>
      <c r="I743" s="24" t="str">
        <f aca="false">IFERROR(INDEX('Fault Master'!$C$5:$C$104,MATCH(G743,'Fault Master'!$A$5:$A$104,0)),"")</f>
        <v/>
      </c>
      <c r="J743" s="26"/>
      <c r="K743" s="26"/>
      <c r="L743" s="26"/>
      <c r="M743" s="26"/>
      <c r="N743" s="26"/>
      <c r="O743" s="26"/>
      <c r="P743" s="34"/>
    </row>
    <row r="744" customFormat="false" ht="15" hidden="false" customHeight="true" outlineLevel="0" collapsed="false">
      <c r="A744" s="18" t="n">
        <v>233</v>
      </c>
      <c r="B744" s="25"/>
      <c r="C744" s="26"/>
      <c r="D744" s="26"/>
      <c r="E744" s="26"/>
      <c r="F744" s="24" t="str">
        <f aca="false">IFERROR(INDEX('Operator Master'!$B$5:$B$504,MATCH(E744,'Operator Master'!$A$5:$A$504,0)),"")</f>
        <v/>
      </c>
      <c r="G744" s="26"/>
      <c r="H744" s="24" t="str">
        <f aca="false">IFERROR(INDEX('Fault Master'!$B$5:$B$104,MATCH(G744,'Fault Master'!$A$5:$A$104,0)),"")</f>
        <v/>
      </c>
      <c r="I744" s="24" t="str">
        <f aca="false">IFERROR(INDEX('Fault Master'!$C$5:$C$104,MATCH(G744,'Fault Master'!$A$5:$A$104,0)),"")</f>
        <v/>
      </c>
      <c r="J744" s="26"/>
      <c r="K744" s="26"/>
      <c r="L744" s="26"/>
      <c r="M744" s="26"/>
      <c r="N744" s="26"/>
      <c r="O744" s="26"/>
      <c r="P744" s="34"/>
    </row>
    <row r="745" customFormat="false" ht="15" hidden="false" customHeight="true" outlineLevel="0" collapsed="false">
      <c r="A745" s="18" t="n">
        <v>234</v>
      </c>
      <c r="B745" s="25"/>
      <c r="C745" s="26"/>
      <c r="D745" s="26"/>
      <c r="E745" s="26"/>
      <c r="F745" s="24" t="str">
        <f aca="false">IFERROR(INDEX('Operator Master'!$B$5:$B$504,MATCH(E745,'Operator Master'!$A$5:$A$504,0)),"")</f>
        <v/>
      </c>
      <c r="G745" s="26"/>
      <c r="H745" s="24" t="str">
        <f aca="false">IFERROR(INDEX('Fault Master'!$B$5:$B$104,MATCH(G745,'Fault Master'!$A$5:$A$104,0)),"")</f>
        <v/>
      </c>
      <c r="I745" s="24" t="str">
        <f aca="false">IFERROR(INDEX('Fault Master'!$C$5:$C$104,MATCH(G745,'Fault Master'!$A$5:$A$104,0)),"")</f>
        <v/>
      </c>
      <c r="J745" s="26"/>
      <c r="K745" s="26"/>
      <c r="L745" s="26"/>
      <c r="M745" s="26"/>
      <c r="N745" s="26"/>
      <c r="O745" s="26"/>
      <c r="P745" s="34"/>
    </row>
    <row r="746" customFormat="false" ht="15" hidden="false" customHeight="true" outlineLevel="0" collapsed="false">
      <c r="A746" s="18" t="n">
        <v>235</v>
      </c>
      <c r="B746" s="25"/>
      <c r="C746" s="26"/>
      <c r="D746" s="26"/>
      <c r="E746" s="26"/>
      <c r="F746" s="24" t="str">
        <f aca="false">IFERROR(INDEX('Operator Master'!$B$5:$B$504,MATCH(E746,'Operator Master'!$A$5:$A$504,0)),"")</f>
        <v/>
      </c>
      <c r="G746" s="26"/>
      <c r="H746" s="24" t="str">
        <f aca="false">IFERROR(INDEX('Fault Master'!$B$5:$B$104,MATCH(G746,'Fault Master'!$A$5:$A$104,0)),"")</f>
        <v/>
      </c>
      <c r="I746" s="24" t="str">
        <f aca="false">IFERROR(INDEX('Fault Master'!$C$5:$C$104,MATCH(G746,'Fault Master'!$A$5:$A$104,0)),"")</f>
        <v/>
      </c>
      <c r="J746" s="26"/>
      <c r="K746" s="26"/>
      <c r="L746" s="26"/>
      <c r="M746" s="26"/>
      <c r="N746" s="26"/>
      <c r="O746" s="26"/>
      <c r="P746" s="34"/>
    </row>
    <row r="747" customFormat="false" ht="15" hidden="false" customHeight="true" outlineLevel="0" collapsed="false">
      <c r="A747" s="18" t="n">
        <v>236</v>
      </c>
      <c r="B747" s="25"/>
      <c r="C747" s="26"/>
      <c r="D747" s="26"/>
      <c r="E747" s="26"/>
      <c r="F747" s="24" t="str">
        <f aca="false">IFERROR(INDEX('Operator Master'!$B$5:$B$504,MATCH(E747,'Operator Master'!$A$5:$A$504,0)),"")</f>
        <v/>
      </c>
      <c r="G747" s="26"/>
      <c r="H747" s="24" t="str">
        <f aca="false">IFERROR(INDEX('Fault Master'!$B$5:$B$104,MATCH(G747,'Fault Master'!$A$5:$A$104,0)),"")</f>
        <v/>
      </c>
      <c r="I747" s="24" t="str">
        <f aca="false">IFERROR(INDEX('Fault Master'!$C$5:$C$104,MATCH(G747,'Fault Master'!$A$5:$A$104,0)),"")</f>
        <v/>
      </c>
      <c r="J747" s="26"/>
      <c r="K747" s="26"/>
      <c r="L747" s="26"/>
      <c r="M747" s="26"/>
      <c r="N747" s="26"/>
      <c r="O747" s="26"/>
      <c r="P747" s="34"/>
    </row>
    <row r="748" customFormat="false" ht="15" hidden="false" customHeight="true" outlineLevel="0" collapsed="false">
      <c r="A748" s="18" t="n">
        <v>237</v>
      </c>
      <c r="B748" s="25"/>
      <c r="C748" s="26"/>
      <c r="D748" s="26"/>
      <c r="E748" s="26"/>
      <c r="F748" s="24" t="str">
        <f aca="false">IFERROR(INDEX('Operator Master'!$B$5:$B$504,MATCH(E748,'Operator Master'!$A$5:$A$504,0)),"")</f>
        <v/>
      </c>
      <c r="G748" s="26"/>
      <c r="H748" s="24" t="str">
        <f aca="false">IFERROR(INDEX('Fault Master'!$B$5:$B$104,MATCH(G748,'Fault Master'!$A$5:$A$104,0)),"")</f>
        <v/>
      </c>
      <c r="I748" s="24" t="str">
        <f aca="false">IFERROR(INDEX('Fault Master'!$C$5:$C$104,MATCH(G748,'Fault Master'!$A$5:$A$104,0)),"")</f>
        <v/>
      </c>
      <c r="J748" s="26"/>
      <c r="K748" s="26"/>
      <c r="L748" s="26"/>
      <c r="M748" s="26"/>
      <c r="N748" s="26"/>
      <c r="O748" s="26"/>
      <c r="P748" s="34"/>
    </row>
    <row r="749" customFormat="false" ht="15" hidden="false" customHeight="true" outlineLevel="0" collapsed="false">
      <c r="A749" s="18" t="n">
        <v>238</v>
      </c>
      <c r="B749" s="25"/>
      <c r="C749" s="26"/>
      <c r="D749" s="26"/>
      <c r="E749" s="26"/>
      <c r="F749" s="24" t="str">
        <f aca="false">IFERROR(INDEX('Operator Master'!$B$5:$B$504,MATCH(E749,'Operator Master'!$A$5:$A$504,0)),"")</f>
        <v/>
      </c>
      <c r="G749" s="26"/>
      <c r="H749" s="24" t="str">
        <f aca="false">IFERROR(INDEX('Fault Master'!$B$5:$B$104,MATCH(G749,'Fault Master'!$A$5:$A$104,0)),"")</f>
        <v/>
      </c>
      <c r="I749" s="24" t="str">
        <f aca="false">IFERROR(INDEX('Fault Master'!$C$5:$C$104,MATCH(G749,'Fault Master'!$A$5:$A$104,0)),"")</f>
        <v/>
      </c>
      <c r="J749" s="26"/>
      <c r="K749" s="26"/>
      <c r="L749" s="26"/>
      <c r="M749" s="26"/>
      <c r="N749" s="26"/>
      <c r="O749" s="26"/>
      <c r="P749" s="34"/>
    </row>
    <row r="750" customFormat="false" ht="15" hidden="false" customHeight="true" outlineLevel="0" collapsed="false">
      <c r="A750" s="18" t="n">
        <v>239</v>
      </c>
      <c r="B750" s="25"/>
      <c r="C750" s="26"/>
      <c r="D750" s="26"/>
      <c r="E750" s="26"/>
      <c r="F750" s="24" t="str">
        <f aca="false">IFERROR(INDEX('Operator Master'!$B$5:$B$504,MATCH(E750,'Operator Master'!$A$5:$A$504,0)),"")</f>
        <v/>
      </c>
      <c r="G750" s="26"/>
      <c r="H750" s="24" t="str">
        <f aca="false">IFERROR(INDEX('Fault Master'!$B$5:$B$104,MATCH(G750,'Fault Master'!$A$5:$A$104,0)),"")</f>
        <v/>
      </c>
      <c r="I750" s="24" t="str">
        <f aca="false">IFERROR(INDEX('Fault Master'!$C$5:$C$104,MATCH(G750,'Fault Master'!$A$5:$A$104,0)),"")</f>
        <v/>
      </c>
      <c r="J750" s="26"/>
      <c r="K750" s="26"/>
      <c r="L750" s="26"/>
      <c r="M750" s="26"/>
      <c r="N750" s="26"/>
      <c r="O750" s="26"/>
      <c r="P750" s="34"/>
    </row>
    <row r="751" customFormat="false" ht="15" hidden="false" customHeight="true" outlineLevel="0" collapsed="false">
      <c r="A751" s="18" t="n">
        <v>240</v>
      </c>
      <c r="B751" s="25"/>
      <c r="C751" s="26"/>
      <c r="D751" s="26"/>
      <c r="E751" s="26"/>
      <c r="F751" s="24" t="str">
        <f aca="false">IFERROR(INDEX('Operator Master'!$B$5:$B$504,MATCH(E751,'Operator Master'!$A$5:$A$504,0)),"")</f>
        <v/>
      </c>
      <c r="G751" s="26"/>
      <c r="H751" s="24" t="str">
        <f aca="false">IFERROR(INDEX('Fault Master'!$B$5:$B$104,MATCH(G751,'Fault Master'!$A$5:$A$104,0)),"")</f>
        <v/>
      </c>
      <c r="I751" s="24" t="str">
        <f aca="false">IFERROR(INDEX('Fault Master'!$C$5:$C$104,MATCH(G751,'Fault Master'!$A$5:$A$104,0)),"")</f>
        <v/>
      </c>
      <c r="J751" s="26"/>
      <c r="K751" s="26"/>
      <c r="L751" s="26"/>
      <c r="M751" s="26"/>
      <c r="N751" s="26"/>
      <c r="O751" s="26"/>
      <c r="P751" s="34"/>
    </row>
    <row r="752" customFormat="false" ht="15" hidden="false" customHeight="true" outlineLevel="0" collapsed="false">
      <c r="A752" s="18" t="n">
        <v>241</v>
      </c>
      <c r="B752" s="25"/>
      <c r="C752" s="26"/>
      <c r="D752" s="26"/>
      <c r="E752" s="26"/>
      <c r="F752" s="24" t="str">
        <f aca="false">IFERROR(INDEX('Operator Master'!$B$5:$B$504,MATCH(E752,'Operator Master'!$A$5:$A$504,0)),"")</f>
        <v/>
      </c>
      <c r="G752" s="26"/>
      <c r="H752" s="24" t="str">
        <f aca="false">IFERROR(INDEX('Fault Master'!$B$5:$B$104,MATCH(G752,'Fault Master'!$A$5:$A$104,0)),"")</f>
        <v/>
      </c>
      <c r="I752" s="24" t="str">
        <f aca="false">IFERROR(INDEX('Fault Master'!$C$5:$C$104,MATCH(G752,'Fault Master'!$A$5:$A$104,0)),"")</f>
        <v/>
      </c>
      <c r="J752" s="26"/>
      <c r="K752" s="26"/>
      <c r="L752" s="26"/>
      <c r="M752" s="26"/>
      <c r="N752" s="26"/>
      <c r="O752" s="26"/>
      <c r="P752" s="34"/>
    </row>
    <row r="753" customFormat="false" ht="15" hidden="false" customHeight="true" outlineLevel="0" collapsed="false">
      <c r="A753" s="18" t="n">
        <v>242</v>
      </c>
      <c r="B753" s="25"/>
      <c r="C753" s="26"/>
      <c r="D753" s="26"/>
      <c r="E753" s="26"/>
      <c r="F753" s="24" t="str">
        <f aca="false">IFERROR(INDEX('Operator Master'!$B$5:$B$504,MATCH(E753,'Operator Master'!$A$5:$A$504,0)),"")</f>
        <v/>
      </c>
      <c r="G753" s="26"/>
      <c r="H753" s="24" t="str">
        <f aca="false">IFERROR(INDEX('Fault Master'!$B$5:$B$104,MATCH(G753,'Fault Master'!$A$5:$A$104,0)),"")</f>
        <v/>
      </c>
      <c r="I753" s="24" t="str">
        <f aca="false">IFERROR(INDEX('Fault Master'!$C$5:$C$104,MATCH(G753,'Fault Master'!$A$5:$A$104,0)),"")</f>
        <v/>
      </c>
      <c r="J753" s="26"/>
      <c r="K753" s="26"/>
      <c r="L753" s="26"/>
      <c r="M753" s="26"/>
      <c r="N753" s="26"/>
      <c r="O753" s="26"/>
      <c r="P753" s="34"/>
    </row>
    <row r="754" customFormat="false" ht="15" hidden="false" customHeight="true" outlineLevel="0" collapsed="false">
      <c r="A754" s="18" t="n">
        <v>243</v>
      </c>
      <c r="B754" s="25"/>
      <c r="C754" s="26"/>
      <c r="D754" s="26"/>
      <c r="E754" s="26"/>
      <c r="F754" s="24" t="str">
        <f aca="false">IFERROR(INDEX('Operator Master'!$B$5:$B$504,MATCH(E754,'Operator Master'!$A$5:$A$504,0)),"")</f>
        <v/>
      </c>
      <c r="G754" s="26"/>
      <c r="H754" s="24" t="str">
        <f aca="false">IFERROR(INDEX('Fault Master'!$B$5:$B$104,MATCH(G754,'Fault Master'!$A$5:$A$104,0)),"")</f>
        <v/>
      </c>
      <c r="I754" s="24" t="str">
        <f aca="false">IFERROR(INDEX('Fault Master'!$C$5:$C$104,MATCH(G754,'Fault Master'!$A$5:$A$104,0)),"")</f>
        <v/>
      </c>
      <c r="J754" s="26"/>
      <c r="K754" s="26"/>
      <c r="L754" s="26"/>
      <c r="M754" s="26"/>
      <c r="N754" s="26"/>
      <c r="O754" s="26"/>
      <c r="P754" s="34"/>
    </row>
    <row r="755" customFormat="false" ht="15" hidden="false" customHeight="true" outlineLevel="0" collapsed="false">
      <c r="A755" s="18" t="n">
        <v>244</v>
      </c>
      <c r="B755" s="25"/>
      <c r="C755" s="26"/>
      <c r="D755" s="26"/>
      <c r="E755" s="26"/>
      <c r="F755" s="24" t="str">
        <f aca="false">IFERROR(INDEX('Operator Master'!$B$5:$B$504,MATCH(E755,'Operator Master'!$A$5:$A$504,0)),"")</f>
        <v/>
      </c>
      <c r="G755" s="26"/>
      <c r="H755" s="24" t="str">
        <f aca="false">IFERROR(INDEX('Fault Master'!$B$5:$B$104,MATCH(G755,'Fault Master'!$A$5:$A$104,0)),"")</f>
        <v/>
      </c>
      <c r="I755" s="24" t="str">
        <f aca="false">IFERROR(INDEX('Fault Master'!$C$5:$C$104,MATCH(G755,'Fault Master'!$A$5:$A$104,0)),"")</f>
        <v/>
      </c>
      <c r="J755" s="26"/>
      <c r="K755" s="26"/>
      <c r="L755" s="26"/>
      <c r="M755" s="26"/>
      <c r="N755" s="26"/>
      <c r="O755" s="26"/>
      <c r="P755" s="34"/>
    </row>
    <row r="756" customFormat="false" ht="15" hidden="false" customHeight="true" outlineLevel="0" collapsed="false">
      <c r="A756" s="18" t="n">
        <v>245</v>
      </c>
      <c r="B756" s="25"/>
      <c r="C756" s="26"/>
      <c r="D756" s="26"/>
      <c r="E756" s="26"/>
      <c r="F756" s="24" t="str">
        <f aca="false">IFERROR(INDEX('Operator Master'!$B$5:$B$504,MATCH(E756,'Operator Master'!$A$5:$A$504,0)),"")</f>
        <v/>
      </c>
      <c r="G756" s="26"/>
      <c r="H756" s="24" t="str">
        <f aca="false">IFERROR(INDEX('Fault Master'!$B$5:$B$104,MATCH(G756,'Fault Master'!$A$5:$A$104,0)),"")</f>
        <v/>
      </c>
      <c r="I756" s="24" t="str">
        <f aca="false">IFERROR(INDEX('Fault Master'!$C$5:$C$104,MATCH(G756,'Fault Master'!$A$5:$A$104,0)),"")</f>
        <v/>
      </c>
      <c r="J756" s="26"/>
      <c r="K756" s="26"/>
      <c r="L756" s="26"/>
      <c r="M756" s="26"/>
      <c r="N756" s="26"/>
      <c r="O756" s="26"/>
      <c r="P756" s="34"/>
    </row>
    <row r="757" customFormat="false" ht="15" hidden="false" customHeight="true" outlineLevel="0" collapsed="false">
      <c r="A757" s="18" t="n">
        <v>246</v>
      </c>
      <c r="B757" s="25"/>
      <c r="C757" s="26"/>
      <c r="D757" s="26"/>
      <c r="E757" s="26"/>
      <c r="F757" s="24" t="str">
        <f aca="false">IFERROR(INDEX('Operator Master'!$B$5:$B$504,MATCH(E757,'Operator Master'!$A$5:$A$504,0)),"")</f>
        <v/>
      </c>
      <c r="G757" s="26"/>
      <c r="H757" s="24" t="str">
        <f aca="false">IFERROR(INDEX('Fault Master'!$B$5:$B$104,MATCH(G757,'Fault Master'!$A$5:$A$104,0)),"")</f>
        <v/>
      </c>
      <c r="I757" s="24" t="str">
        <f aca="false">IFERROR(INDEX('Fault Master'!$C$5:$C$104,MATCH(G757,'Fault Master'!$A$5:$A$104,0)),"")</f>
        <v/>
      </c>
      <c r="J757" s="26"/>
      <c r="K757" s="26"/>
      <c r="L757" s="26"/>
      <c r="M757" s="26"/>
      <c r="N757" s="26"/>
      <c r="O757" s="26"/>
      <c r="P757" s="34"/>
    </row>
    <row r="758" customFormat="false" ht="15" hidden="false" customHeight="true" outlineLevel="0" collapsed="false">
      <c r="A758" s="18" t="n">
        <v>247</v>
      </c>
      <c r="B758" s="25"/>
      <c r="C758" s="26"/>
      <c r="D758" s="26"/>
      <c r="E758" s="26"/>
      <c r="F758" s="24" t="str">
        <f aca="false">IFERROR(INDEX('Operator Master'!$B$5:$B$504,MATCH(E758,'Operator Master'!$A$5:$A$504,0)),"")</f>
        <v/>
      </c>
      <c r="G758" s="26"/>
      <c r="H758" s="24" t="str">
        <f aca="false">IFERROR(INDEX('Fault Master'!$B$5:$B$104,MATCH(G758,'Fault Master'!$A$5:$A$104,0)),"")</f>
        <v/>
      </c>
      <c r="I758" s="24" t="str">
        <f aca="false">IFERROR(INDEX('Fault Master'!$C$5:$C$104,MATCH(G758,'Fault Master'!$A$5:$A$104,0)),"")</f>
        <v/>
      </c>
      <c r="J758" s="26"/>
      <c r="K758" s="26"/>
      <c r="L758" s="26"/>
      <c r="M758" s="26"/>
      <c r="N758" s="26"/>
      <c r="O758" s="26"/>
      <c r="P758" s="34"/>
    </row>
    <row r="759" customFormat="false" ht="15" hidden="false" customHeight="true" outlineLevel="0" collapsed="false">
      <c r="A759" s="18" t="n">
        <v>248</v>
      </c>
      <c r="B759" s="25"/>
      <c r="C759" s="26"/>
      <c r="D759" s="26"/>
      <c r="E759" s="26"/>
      <c r="F759" s="24" t="str">
        <f aca="false">IFERROR(INDEX('Operator Master'!$B$5:$B$504,MATCH(E759,'Operator Master'!$A$5:$A$504,0)),"")</f>
        <v/>
      </c>
      <c r="G759" s="26"/>
      <c r="H759" s="24" t="str">
        <f aca="false">IFERROR(INDEX('Fault Master'!$B$5:$B$104,MATCH(G759,'Fault Master'!$A$5:$A$104,0)),"")</f>
        <v/>
      </c>
      <c r="I759" s="24" t="str">
        <f aca="false">IFERROR(INDEX('Fault Master'!$C$5:$C$104,MATCH(G759,'Fault Master'!$A$5:$A$104,0)),"")</f>
        <v/>
      </c>
      <c r="J759" s="26"/>
      <c r="K759" s="26"/>
      <c r="L759" s="26"/>
      <c r="M759" s="26"/>
      <c r="N759" s="26"/>
      <c r="O759" s="26"/>
      <c r="P759" s="34"/>
    </row>
    <row r="760" customFormat="false" ht="15" hidden="false" customHeight="true" outlineLevel="0" collapsed="false">
      <c r="A760" s="18" t="n">
        <v>249</v>
      </c>
      <c r="B760" s="25"/>
      <c r="C760" s="26"/>
      <c r="D760" s="26"/>
      <c r="E760" s="26"/>
      <c r="F760" s="24" t="str">
        <f aca="false">IFERROR(INDEX('Operator Master'!$B$5:$B$504,MATCH(E760,'Operator Master'!$A$5:$A$504,0)),"")</f>
        <v/>
      </c>
      <c r="G760" s="26"/>
      <c r="H760" s="24" t="str">
        <f aca="false">IFERROR(INDEX('Fault Master'!$B$5:$B$104,MATCH(G760,'Fault Master'!$A$5:$A$104,0)),"")</f>
        <v/>
      </c>
      <c r="I760" s="24" t="str">
        <f aca="false">IFERROR(INDEX('Fault Master'!$C$5:$C$104,MATCH(G760,'Fault Master'!$A$5:$A$104,0)),"")</f>
        <v/>
      </c>
      <c r="J760" s="26"/>
      <c r="K760" s="26"/>
      <c r="L760" s="26"/>
      <c r="M760" s="26"/>
      <c r="N760" s="26"/>
      <c r="O760" s="26"/>
      <c r="P760" s="34"/>
    </row>
    <row r="761" customFormat="false" ht="15" hidden="false" customHeight="true" outlineLevel="0" collapsed="false">
      <c r="A761" s="18" t="n">
        <v>250</v>
      </c>
      <c r="B761" s="25"/>
      <c r="C761" s="26"/>
      <c r="D761" s="26"/>
      <c r="E761" s="26"/>
      <c r="F761" s="24" t="str">
        <f aca="false">IFERROR(INDEX('Operator Master'!$B$5:$B$504,MATCH(E761,'Operator Master'!$A$5:$A$504,0)),"")</f>
        <v/>
      </c>
      <c r="G761" s="26"/>
      <c r="H761" s="24" t="str">
        <f aca="false">IFERROR(INDEX('Fault Master'!$B$5:$B$104,MATCH(G761,'Fault Master'!$A$5:$A$104,0)),"")</f>
        <v/>
      </c>
      <c r="I761" s="24" t="str">
        <f aca="false">IFERROR(INDEX('Fault Master'!$C$5:$C$104,MATCH(G761,'Fault Master'!$A$5:$A$104,0)),"")</f>
        <v/>
      </c>
      <c r="J761" s="26"/>
      <c r="K761" s="26"/>
      <c r="L761" s="26"/>
      <c r="M761" s="26"/>
      <c r="N761" s="26"/>
      <c r="O761" s="26"/>
      <c r="P761" s="34"/>
    </row>
    <row r="762" customFormat="false" ht="15" hidden="false" customHeight="true" outlineLevel="0" collapsed="false">
      <c r="A762" s="18" t="n">
        <v>251</v>
      </c>
      <c r="B762" s="25"/>
      <c r="C762" s="26"/>
      <c r="D762" s="26"/>
      <c r="E762" s="26"/>
      <c r="F762" s="24" t="str">
        <f aca="false">IFERROR(INDEX('Operator Master'!$B$5:$B$504,MATCH(E762,'Operator Master'!$A$5:$A$504,0)),"")</f>
        <v/>
      </c>
      <c r="G762" s="26"/>
      <c r="H762" s="24" t="str">
        <f aca="false">IFERROR(INDEX('Fault Master'!$B$5:$B$104,MATCH(G762,'Fault Master'!$A$5:$A$104,0)),"")</f>
        <v/>
      </c>
      <c r="I762" s="24" t="str">
        <f aca="false">IFERROR(INDEX('Fault Master'!$C$5:$C$104,MATCH(G762,'Fault Master'!$A$5:$A$104,0)),"")</f>
        <v/>
      </c>
      <c r="J762" s="26"/>
      <c r="K762" s="26"/>
      <c r="L762" s="26"/>
      <c r="M762" s="26"/>
      <c r="N762" s="26"/>
      <c r="O762" s="26"/>
      <c r="P762" s="34"/>
    </row>
    <row r="763" customFormat="false" ht="15" hidden="false" customHeight="true" outlineLevel="0" collapsed="false">
      <c r="A763" s="18" t="n">
        <v>252</v>
      </c>
      <c r="B763" s="25"/>
      <c r="C763" s="26"/>
      <c r="D763" s="26"/>
      <c r="E763" s="26"/>
      <c r="F763" s="24" t="str">
        <f aca="false">IFERROR(INDEX('Operator Master'!$B$5:$B$504,MATCH(E763,'Operator Master'!$A$5:$A$504,0)),"")</f>
        <v/>
      </c>
      <c r="G763" s="26"/>
      <c r="H763" s="24" t="str">
        <f aca="false">IFERROR(INDEX('Fault Master'!$B$5:$B$104,MATCH(G763,'Fault Master'!$A$5:$A$104,0)),"")</f>
        <v/>
      </c>
      <c r="I763" s="24" t="str">
        <f aca="false">IFERROR(INDEX('Fault Master'!$C$5:$C$104,MATCH(G763,'Fault Master'!$A$5:$A$104,0)),"")</f>
        <v/>
      </c>
      <c r="J763" s="26"/>
      <c r="K763" s="26"/>
      <c r="L763" s="26"/>
      <c r="M763" s="26"/>
      <c r="N763" s="26"/>
      <c r="O763" s="26"/>
      <c r="P763" s="34"/>
    </row>
    <row r="764" customFormat="false" ht="15" hidden="false" customHeight="true" outlineLevel="0" collapsed="false">
      <c r="A764" s="18" t="n">
        <v>253</v>
      </c>
      <c r="B764" s="25"/>
      <c r="C764" s="26"/>
      <c r="D764" s="26"/>
      <c r="E764" s="26"/>
      <c r="F764" s="24" t="str">
        <f aca="false">IFERROR(INDEX('Operator Master'!$B$5:$B$504,MATCH(E764,'Operator Master'!$A$5:$A$504,0)),"")</f>
        <v/>
      </c>
      <c r="G764" s="26"/>
      <c r="H764" s="24" t="str">
        <f aca="false">IFERROR(INDEX('Fault Master'!$B$5:$B$104,MATCH(G764,'Fault Master'!$A$5:$A$104,0)),"")</f>
        <v/>
      </c>
      <c r="I764" s="24" t="str">
        <f aca="false">IFERROR(INDEX('Fault Master'!$C$5:$C$104,MATCH(G764,'Fault Master'!$A$5:$A$104,0)),"")</f>
        <v/>
      </c>
      <c r="J764" s="26"/>
      <c r="K764" s="26"/>
      <c r="L764" s="26"/>
      <c r="M764" s="26"/>
      <c r="N764" s="26"/>
      <c r="O764" s="26"/>
      <c r="P764" s="34"/>
    </row>
    <row r="765" customFormat="false" ht="15" hidden="false" customHeight="true" outlineLevel="0" collapsed="false">
      <c r="A765" s="18" t="n">
        <v>254</v>
      </c>
      <c r="B765" s="25"/>
      <c r="C765" s="26"/>
      <c r="D765" s="26"/>
      <c r="E765" s="26"/>
      <c r="F765" s="24" t="str">
        <f aca="false">IFERROR(INDEX('Operator Master'!$B$5:$B$504,MATCH(E765,'Operator Master'!$A$5:$A$504,0)),"")</f>
        <v/>
      </c>
      <c r="G765" s="26"/>
      <c r="H765" s="24" t="str">
        <f aca="false">IFERROR(INDEX('Fault Master'!$B$5:$B$104,MATCH(G765,'Fault Master'!$A$5:$A$104,0)),"")</f>
        <v/>
      </c>
      <c r="I765" s="24" t="str">
        <f aca="false">IFERROR(INDEX('Fault Master'!$C$5:$C$104,MATCH(G765,'Fault Master'!$A$5:$A$104,0)),"")</f>
        <v/>
      </c>
      <c r="J765" s="26"/>
      <c r="K765" s="26"/>
      <c r="L765" s="26"/>
      <c r="M765" s="26"/>
      <c r="N765" s="26"/>
      <c r="O765" s="26"/>
      <c r="P765" s="34"/>
    </row>
    <row r="766" customFormat="false" ht="15" hidden="false" customHeight="true" outlineLevel="0" collapsed="false">
      <c r="A766" s="18" t="n">
        <v>255</v>
      </c>
      <c r="B766" s="25"/>
      <c r="C766" s="26"/>
      <c r="D766" s="26"/>
      <c r="E766" s="26"/>
      <c r="F766" s="24" t="str">
        <f aca="false">IFERROR(INDEX('Operator Master'!$B$5:$B$504,MATCH(E766,'Operator Master'!$A$5:$A$504,0)),"")</f>
        <v/>
      </c>
      <c r="G766" s="26"/>
      <c r="H766" s="24" t="str">
        <f aca="false">IFERROR(INDEX('Fault Master'!$B$5:$B$104,MATCH(G766,'Fault Master'!$A$5:$A$104,0)),"")</f>
        <v/>
      </c>
      <c r="I766" s="24" t="str">
        <f aca="false">IFERROR(INDEX('Fault Master'!$C$5:$C$104,MATCH(G766,'Fault Master'!$A$5:$A$104,0)),"")</f>
        <v/>
      </c>
      <c r="J766" s="26"/>
      <c r="K766" s="26"/>
      <c r="L766" s="26"/>
      <c r="M766" s="26"/>
      <c r="N766" s="26"/>
      <c r="O766" s="26"/>
      <c r="P766" s="34"/>
    </row>
    <row r="767" customFormat="false" ht="15" hidden="false" customHeight="true" outlineLevel="0" collapsed="false">
      <c r="A767" s="18" t="n">
        <v>256</v>
      </c>
      <c r="B767" s="25"/>
      <c r="C767" s="26"/>
      <c r="D767" s="26"/>
      <c r="E767" s="26"/>
      <c r="F767" s="24" t="str">
        <f aca="false">IFERROR(INDEX('Operator Master'!$B$5:$B$504,MATCH(E767,'Operator Master'!$A$5:$A$504,0)),"")</f>
        <v/>
      </c>
      <c r="G767" s="26"/>
      <c r="H767" s="24" t="str">
        <f aca="false">IFERROR(INDEX('Fault Master'!$B$5:$B$104,MATCH(G767,'Fault Master'!$A$5:$A$104,0)),"")</f>
        <v/>
      </c>
      <c r="I767" s="24" t="str">
        <f aca="false">IFERROR(INDEX('Fault Master'!$C$5:$C$104,MATCH(G767,'Fault Master'!$A$5:$A$104,0)),"")</f>
        <v/>
      </c>
      <c r="J767" s="26"/>
      <c r="K767" s="26"/>
      <c r="L767" s="26"/>
      <c r="M767" s="26"/>
      <c r="N767" s="26"/>
      <c r="O767" s="26"/>
      <c r="P767" s="34"/>
    </row>
    <row r="768" customFormat="false" ht="15" hidden="false" customHeight="true" outlineLevel="0" collapsed="false">
      <c r="A768" s="18" t="n">
        <v>257</v>
      </c>
      <c r="B768" s="25"/>
      <c r="C768" s="26"/>
      <c r="D768" s="26"/>
      <c r="E768" s="26"/>
      <c r="F768" s="24" t="str">
        <f aca="false">IFERROR(INDEX('Operator Master'!$B$5:$B$504,MATCH(E768,'Operator Master'!$A$5:$A$504,0)),"")</f>
        <v/>
      </c>
      <c r="G768" s="26"/>
      <c r="H768" s="24" t="str">
        <f aca="false">IFERROR(INDEX('Fault Master'!$B$5:$B$104,MATCH(G768,'Fault Master'!$A$5:$A$104,0)),"")</f>
        <v/>
      </c>
      <c r="I768" s="24" t="str">
        <f aca="false">IFERROR(INDEX('Fault Master'!$C$5:$C$104,MATCH(G768,'Fault Master'!$A$5:$A$104,0)),"")</f>
        <v/>
      </c>
      <c r="J768" s="26"/>
      <c r="K768" s="26"/>
      <c r="L768" s="26"/>
      <c r="M768" s="26"/>
      <c r="N768" s="26"/>
      <c r="O768" s="26"/>
      <c r="P768" s="34"/>
    </row>
    <row r="769" customFormat="false" ht="15" hidden="false" customHeight="true" outlineLevel="0" collapsed="false">
      <c r="A769" s="18" t="n">
        <v>258</v>
      </c>
      <c r="B769" s="25"/>
      <c r="C769" s="26"/>
      <c r="D769" s="26"/>
      <c r="E769" s="26"/>
      <c r="F769" s="24" t="str">
        <f aca="false">IFERROR(INDEX('Operator Master'!$B$5:$B$504,MATCH(E769,'Operator Master'!$A$5:$A$504,0)),"")</f>
        <v/>
      </c>
      <c r="G769" s="26"/>
      <c r="H769" s="24" t="str">
        <f aca="false">IFERROR(INDEX('Fault Master'!$B$5:$B$104,MATCH(G769,'Fault Master'!$A$5:$A$104,0)),"")</f>
        <v/>
      </c>
      <c r="I769" s="24" t="str">
        <f aca="false">IFERROR(INDEX('Fault Master'!$C$5:$C$104,MATCH(G769,'Fault Master'!$A$5:$A$104,0)),"")</f>
        <v/>
      </c>
      <c r="J769" s="26"/>
      <c r="K769" s="26"/>
      <c r="L769" s="26"/>
      <c r="M769" s="26"/>
      <c r="N769" s="26"/>
      <c r="O769" s="26"/>
      <c r="P769" s="34"/>
    </row>
    <row r="770" customFormat="false" ht="15" hidden="false" customHeight="true" outlineLevel="0" collapsed="false">
      <c r="A770" s="18" t="n">
        <v>259</v>
      </c>
      <c r="B770" s="25"/>
      <c r="C770" s="26"/>
      <c r="D770" s="26"/>
      <c r="E770" s="26"/>
      <c r="F770" s="24" t="str">
        <f aca="false">IFERROR(INDEX('Operator Master'!$B$5:$B$504,MATCH(E770,'Operator Master'!$A$5:$A$504,0)),"")</f>
        <v/>
      </c>
      <c r="G770" s="26"/>
      <c r="H770" s="24" t="str">
        <f aca="false">IFERROR(INDEX('Fault Master'!$B$5:$B$104,MATCH(G770,'Fault Master'!$A$5:$A$104,0)),"")</f>
        <v/>
      </c>
      <c r="I770" s="24" t="str">
        <f aca="false">IFERROR(INDEX('Fault Master'!$C$5:$C$104,MATCH(G770,'Fault Master'!$A$5:$A$104,0)),"")</f>
        <v/>
      </c>
      <c r="J770" s="26"/>
      <c r="K770" s="26"/>
      <c r="L770" s="26"/>
      <c r="M770" s="26"/>
      <c r="N770" s="26"/>
      <c r="O770" s="26"/>
      <c r="P770" s="34"/>
    </row>
    <row r="771" customFormat="false" ht="15" hidden="false" customHeight="true" outlineLevel="0" collapsed="false">
      <c r="A771" s="18" t="n">
        <v>260</v>
      </c>
      <c r="B771" s="25"/>
      <c r="C771" s="26"/>
      <c r="D771" s="26"/>
      <c r="E771" s="26"/>
      <c r="F771" s="24" t="str">
        <f aca="false">IFERROR(INDEX('Operator Master'!$B$5:$B$504,MATCH(E771,'Operator Master'!$A$5:$A$504,0)),"")</f>
        <v/>
      </c>
      <c r="G771" s="26"/>
      <c r="H771" s="24" t="str">
        <f aca="false">IFERROR(INDEX('Fault Master'!$B$5:$B$104,MATCH(G771,'Fault Master'!$A$5:$A$104,0)),"")</f>
        <v/>
      </c>
      <c r="I771" s="24" t="str">
        <f aca="false">IFERROR(INDEX('Fault Master'!$C$5:$C$104,MATCH(G771,'Fault Master'!$A$5:$A$104,0)),"")</f>
        <v/>
      </c>
      <c r="J771" s="26"/>
      <c r="K771" s="26"/>
      <c r="L771" s="26"/>
      <c r="M771" s="26"/>
      <c r="N771" s="26"/>
      <c r="O771" s="26"/>
      <c r="P771" s="34"/>
    </row>
    <row r="772" customFormat="false" ht="15" hidden="false" customHeight="true" outlineLevel="0" collapsed="false">
      <c r="A772" s="18" t="n">
        <v>261</v>
      </c>
      <c r="B772" s="25"/>
      <c r="C772" s="26"/>
      <c r="D772" s="26"/>
      <c r="E772" s="26"/>
      <c r="F772" s="24" t="str">
        <f aca="false">IFERROR(INDEX('Operator Master'!$B$5:$B$504,MATCH(E772,'Operator Master'!$A$5:$A$504,0)),"")</f>
        <v/>
      </c>
      <c r="G772" s="26"/>
      <c r="H772" s="24" t="str">
        <f aca="false">IFERROR(INDEX('Fault Master'!$B$5:$B$104,MATCH(G772,'Fault Master'!$A$5:$A$104,0)),"")</f>
        <v/>
      </c>
      <c r="I772" s="24" t="str">
        <f aca="false">IFERROR(INDEX('Fault Master'!$C$5:$C$104,MATCH(G772,'Fault Master'!$A$5:$A$104,0)),"")</f>
        <v/>
      </c>
      <c r="J772" s="26"/>
      <c r="K772" s="26"/>
      <c r="L772" s="26"/>
      <c r="M772" s="26"/>
      <c r="N772" s="26"/>
      <c r="O772" s="26"/>
      <c r="P772" s="34"/>
    </row>
    <row r="773" customFormat="false" ht="15" hidden="false" customHeight="true" outlineLevel="0" collapsed="false">
      <c r="A773" s="18" t="n">
        <v>262</v>
      </c>
      <c r="B773" s="25"/>
      <c r="C773" s="26"/>
      <c r="D773" s="26"/>
      <c r="E773" s="26"/>
      <c r="F773" s="24" t="str">
        <f aca="false">IFERROR(INDEX('Operator Master'!$B$5:$B$504,MATCH(E773,'Operator Master'!$A$5:$A$504,0)),"")</f>
        <v/>
      </c>
      <c r="G773" s="26"/>
      <c r="H773" s="24" t="str">
        <f aca="false">IFERROR(INDEX('Fault Master'!$B$5:$B$104,MATCH(G773,'Fault Master'!$A$5:$A$104,0)),"")</f>
        <v/>
      </c>
      <c r="I773" s="24" t="str">
        <f aca="false">IFERROR(INDEX('Fault Master'!$C$5:$C$104,MATCH(G773,'Fault Master'!$A$5:$A$104,0)),"")</f>
        <v/>
      </c>
      <c r="J773" s="26"/>
      <c r="K773" s="26"/>
      <c r="L773" s="26"/>
      <c r="M773" s="26"/>
      <c r="N773" s="26"/>
      <c r="O773" s="26"/>
      <c r="P773" s="34"/>
    </row>
    <row r="774" customFormat="false" ht="15" hidden="false" customHeight="true" outlineLevel="0" collapsed="false">
      <c r="A774" s="18" t="n">
        <v>263</v>
      </c>
      <c r="B774" s="25"/>
      <c r="C774" s="26"/>
      <c r="D774" s="26"/>
      <c r="E774" s="26"/>
      <c r="F774" s="24" t="str">
        <f aca="false">IFERROR(INDEX('Operator Master'!$B$5:$B$504,MATCH(E774,'Operator Master'!$A$5:$A$504,0)),"")</f>
        <v/>
      </c>
      <c r="G774" s="26"/>
      <c r="H774" s="24" t="str">
        <f aca="false">IFERROR(INDEX('Fault Master'!$B$5:$B$104,MATCH(G774,'Fault Master'!$A$5:$A$104,0)),"")</f>
        <v/>
      </c>
      <c r="I774" s="24" t="str">
        <f aca="false">IFERROR(INDEX('Fault Master'!$C$5:$C$104,MATCH(G774,'Fault Master'!$A$5:$A$104,0)),"")</f>
        <v/>
      </c>
      <c r="J774" s="26"/>
      <c r="K774" s="26"/>
      <c r="L774" s="26"/>
      <c r="M774" s="26"/>
      <c r="N774" s="26"/>
      <c r="O774" s="26"/>
      <c r="P774" s="34"/>
    </row>
    <row r="775" customFormat="false" ht="15" hidden="false" customHeight="true" outlineLevel="0" collapsed="false">
      <c r="A775" s="18" t="n">
        <v>264</v>
      </c>
      <c r="B775" s="25"/>
      <c r="C775" s="26"/>
      <c r="D775" s="26"/>
      <c r="E775" s="26"/>
      <c r="F775" s="24" t="str">
        <f aca="false">IFERROR(INDEX('Operator Master'!$B$5:$B$504,MATCH(E775,'Operator Master'!$A$5:$A$504,0)),"")</f>
        <v/>
      </c>
      <c r="G775" s="26"/>
      <c r="H775" s="24" t="str">
        <f aca="false">IFERROR(INDEX('Fault Master'!$B$5:$B$104,MATCH(G775,'Fault Master'!$A$5:$A$104,0)),"")</f>
        <v/>
      </c>
      <c r="I775" s="24" t="str">
        <f aca="false">IFERROR(INDEX('Fault Master'!$C$5:$C$104,MATCH(G775,'Fault Master'!$A$5:$A$104,0)),"")</f>
        <v/>
      </c>
      <c r="J775" s="26"/>
      <c r="K775" s="26"/>
      <c r="L775" s="26"/>
      <c r="M775" s="26"/>
      <c r="N775" s="26"/>
      <c r="O775" s="26"/>
      <c r="P775" s="34"/>
    </row>
    <row r="776" customFormat="false" ht="15" hidden="false" customHeight="true" outlineLevel="0" collapsed="false">
      <c r="A776" s="18" t="n">
        <v>265</v>
      </c>
      <c r="B776" s="25"/>
      <c r="C776" s="26"/>
      <c r="D776" s="26"/>
      <c r="E776" s="26"/>
      <c r="F776" s="24" t="str">
        <f aca="false">IFERROR(INDEX('Operator Master'!$B$5:$B$504,MATCH(E776,'Operator Master'!$A$5:$A$504,0)),"")</f>
        <v/>
      </c>
      <c r="G776" s="26"/>
      <c r="H776" s="24" t="str">
        <f aca="false">IFERROR(INDEX('Fault Master'!$B$5:$B$104,MATCH(G776,'Fault Master'!$A$5:$A$104,0)),"")</f>
        <v/>
      </c>
      <c r="I776" s="24" t="str">
        <f aca="false">IFERROR(INDEX('Fault Master'!$C$5:$C$104,MATCH(G776,'Fault Master'!$A$5:$A$104,0)),"")</f>
        <v/>
      </c>
      <c r="J776" s="26"/>
      <c r="K776" s="26"/>
      <c r="L776" s="26"/>
      <c r="M776" s="26"/>
      <c r="N776" s="26"/>
      <c r="O776" s="26"/>
      <c r="P776" s="34"/>
    </row>
    <row r="777" customFormat="false" ht="15" hidden="false" customHeight="true" outlineLevel="0" collapsed="false">
      <c r="A777" s="18" t="n">
        <v>266</v>
      </c>
      <c r="B777" s="25"/>
      <c r="C777" s="26"/>
      <c r="D777" s="26"/>
      <c r="E777" s="26"/>
      <c r="F777" s="24" t="str">
        <f aca="false">IFERROR(INDEX('Operator Master'!$B$5:$B$504,MATCH(E777,'Operator Master'!$A$5:$A$504,0)),"")</f>
        <v/>
      </c>
      <c r="G777" s="26"/>
      <c r="H777" s="24" t="str">
        <f aca="false">IFERROR(INDEX('Fault Master'!$B$5:$B$104,MATCH(G777,'Fault Master'!$A$5:$A$104,0)),"")</f>
        <v/>
      </c>
      <c r="I777" s="24" t="str">
        <f aca="false">IFERROR(INDEX('Fault Master'!$C$5:$C$104,MATCH(G777,'Fault Master'!$A$5:$A$104,0)),"")</f>
        <v/>
      </c>
      <c r="J777" s="26"/>
      <c r="K777" s="26"/>
      <c r="L777" s="26"/>
      <c r="M777" s="26"/>
      <c r="N777" s="26"/>
      <c r="O777" s="26"/>
      <c r="P777" s="34"/>
    </row>
    <row r="778" customFormat="false" ht="15" hidden="false" customHeight="true" outlineLevel="0" collapsed="false">
      <c r="A778" s="18" t="n">
        <v>267</v>
      </c>
      <c r="B778" s="25"/>
      <c r="C778" s="26"/>
      <c r="D778" s="26"/>
      <c r="E778" s="26"/>
      <c r="F778" s="24" t="str">
        <f aca="false">IFERROR(INDEX('Operator Master'!$B$5:$B$504,MATCH(E778,'Operator Master'!$A$5:$A$504,0)),"")</f>
        <v/>
      </c>
      <c r="G778" s="26"/>
      <c r="H778" s="24" t="str">
        <f aca="false">IFERROR(INDEX('Fault Master'!$B$5:$B$104,MATCH(G778,'Fault Master'!$A$5:$A$104,0)),"")</f>
        <v/>
      </c>
      <c r="I778" s="24" t="str">
        <f aca="false">IFERROR(INDEX('Fault Master'!$C$5:$C$104,MATCH(G778,'Fault Master'!$A$5:$A$104,0)),"")</f>
        <v/>
      </c>
      <c r="J778" s="26"/>
      <c r="K778" s="26"/>
      <c r="L778" s="26"/>
      <c r="M778" s="26"/>
      <c r="N778" s="26"/>
      <c r="O778" s="26"/>
      <c r="P778" s="34"/>
    </row>
    <row r="779" customFormat="false" ht="15" hidden="false" customHeight="true" outlineLevel="0" collapsed="false">
      <c r="A779" s="18" t="n">
        <v>268</v>
      </c>
      <c r="B779" s="25"/>
      <c r="C779" s="26"/>
      <c r="D779" s="26"/>
      <c r="E779" s="26"/>
      <c r="F779" s="24" t="str">
        <f aca="false">IFERROR(INDEX('Operator Master'!$B$5:$B$504,MATCH(E779,'Operator Master'!$A$5:$A$504,0)),"")</f>
        <v/>
      </c>
      <c r="G779" s="26"/>
      <c r="H779" s="24" t="str">
        <f aca="false">IFERROR(INDEX('Fault Master'!$B$5:$B$104,MATCH(G779,'Fault Master'!$A$5:$A$104,0)),"")</f>
        <v/>
      </c>
      <c r="I779" s="24" t="str">
        <f aca="false">IFERROR(INDEX('Fault Master'!$C$5:$C$104,MATCH(G779,'Fault Master'!$A$5:$A$104,0)),"")</f>
        <v/>
      </c>
      <c r="J779" s="26"/>
      <c r="K779" s="26"/>
      <c r="L779" s="26"/>
      <c r="M779" s="26"/>
      <c r="N779" s="26"/>
      <c r="O779" s="26"/>
      <c r="P779" s="34"/>
    </row>
    <row r="780" customFormat="false" ht="15" hidden="false" customHeight="true" outlineLevel="0" collapsed="false">
      <c r="A780" s="18" t="n">
        <v>269</v>
      </c>
      <c r="B780" s="25"/>
      <c r="C780" s="26"/>
      <c r="D780" s="26"/>
      <c r="E780" s="26"/>
      <c r="F780" s="24" t="str">
        <f aca="false">IFERROR(INDEX('Operator Master'!$B$5:$B$504,MATCH(E780,'Operator Master'!$A$5:$A$504,0)),"")</f>
        <v/>
      </c>
      <c r="G780" s="26"/>
      <c r="H780" s="24" t="str">
        <f aca="false">IFERROR(INDEX('Fault Master'!$B$5:$B$104,MATCH(G780,'Fault Master'!$A$5:$A$104,0)),"")</f>
        <v/>
      </c>
      <c r="I780" s="24" t="str">
        <f aca="false">IFERROR(INDEX('Fault Master'!$C$5:$C$104,MATCH(G780,'Fault Master'!$A$5:$A$104,0)),"")</f>
        <v/>
      </c>
      <c r="J780" s="26"/>
      <c r="K780" s="26"/>
      <c r="L780" s="26"/>
      <c r="M780" s="26"/>
      <c r="N780" s="26"/>
      <c r="O780" s="26"/>
      <c r="P780" s="34"/>
    </row>
    <row r="781" customFormat="false" ht="15" hidden="false" customHeight="true" outlineLevel="0" collapsed="false">
      <c r="A781" s="18" t="n">
        <v>270</v>
      </c>
      <c r="B781" s="25"/>
      <c r="C781" s="26"/>
      <c r="D781" s="26"/>
      <c r="E781" s="26"/>
      <c r="F781" s="24" t="str">
        <f aca="false">IFERROR(INDEX('Operator Master'!$B$5:$B$504,MATCH(E781,'Operator Master'!$A$5:$A$504,0)),"")</f>
        <v/>
      </c>
      <c r="G781" s="26"/>
      <c r="H781" s="24" t="str">
        <f aca="false">IFERROR(INDEX('Fault Master'!$B$5:$B$104,MATCH(G781,'Fault Master'!$A$5:$A$104,0)),"")</f>
        <v/>
      </c>
      <c r="I781" s="24" t="str">
        <f aca="false">IFERROR(INDEX('Fault Master'!$C$5:$C$104,MATCH(G781,'Fault Master'!$A$5:$A$104,0)),"")</f>
        <v/>
      </c>
      <c r="J781" s="26"/>
      <c r="K781" s="26"/>
      <c r="L781" s="26"/>
      <c r="M781" s="26"/>
      <c r="N781" s="26"/>
      <c r="O781" s="26"/>
      <c r="P781" s="34"/>
    </row>
    <row r="782" customFormat="false" ht="15" hidden="false" customHeight="true" outlineLevel="0" collapsed="false">
      <c r="A782" s="18" t="n">
        <v>271</v>
      </c>
      <c r="B782" s="25"/>
      <c r="C782" s="26"/>
      <c r="D782" s="26"/>
      <c r="E782" s="26"/>
      <c r="F782" s="24" t="str">
        <f aca="false">IFERROR(INDEX('Operator Master'!$B$5:$B$504,MATCH(E782,'Operator Master'!$A$5:$A$504,0)),"")</f>
        <v/>
      </c>
      <c r="G782" s="26"/>
      <c r="H782" s="24" t="str">
        <f aca="false">IFERROR(INDEX('Fault Master'!$B$5:$B$104,MATCH(G782,'Fault Master'!$A$5:$A$104,0)),"")</f>
        <v/>
      </c>
      <c r="I782" s="24" t="str">
        <f aca="false">IFERROR(INDEX('Fault Master'!$C$5:$C$104,MATCH(G782,'Fault Master'!$A$5:$A$104,0)),"")</f>
        <v/>
      </c>
      <c r="J782" s="26"/>
      <c r="K782" s="26"/>
      <c r="L782" s="26"/>
      <c r="M782" s="26"/>
      <c r="N782" s="26"/>
      <c r="O782" s="26"/>
      <c r="P782" s="34"/>
    </row>
    <row r="783" customFormat="false" ht="15" hidden="false" customHeight="true" outlineLevel="0" collapsed="false">
      <c r="A783" s="18" t="n">
        <v>272</v>
      </c>
      <c r="B783" s="25"/>
      <c r="C783" s="26"/>
      <c r="D783" s="26"/>
      <c r="E783" s="26"/>
      <c r="F783" s="24" t="str">
        <f aca="false">IFERROR(INDEX('Operator Master'!$B$5:$B$504,MATCH(E783,'Operator Master'!$A$5:$A$504,0)),"")</f>
        <v/>
      </c>
      <c r="G783" s="26"/>
      <c r="H783" s="24" t="str">
        <f aca="false">IFERROR(INDEX('Fault Master'!$B$5:$B$104,MATCH(G783,'Fault Master'!$A$5:$A$104,0)),"")</f>
        <v/>
      </c>
      <c r="I783" s="24" t="str">
        <f aca="false">IFERROR(INDEX('Fault Master'!$C$5:$C$104,MATCH(G783,'Fault Master'!$A$5:$A$104,0)),"")</f>
        <v/>
      </c>
      <c r="J783" s="26"/>
      <c r="K783" s="26"/>
      <c r="L783" s="26"/>
      <c r="M783" s="26"/>
      <c r="N783" s="26"/>
      <c r="O783" s="26"/>
      <c r="P783" s="34"/>
    </row>
    <row r="784" customFormat="false" ht="15" hidden="false" customHeight="true" outlineLevel="0" collapsed="false">
      <c r="A784" s="18" t="n">
        <v>273</v>
      </c>
      <c r="B784" s="25"/>
      <c r="C784" s="26"/>
      <c r="D784" s="26"/>
      <c r="E784" s="26"/>
      <c r="F784" s="24" t="str">
        <f aca="false">IFERROR(INDEX('Operator Master'!$B$5:$B$504,MATCH(E784,'Operator Master'!$A$5:$A$504,0)),"")</f>
        <v/>
      </c>
      <c r="G784" s="26"/>
      <c r="H784" s="24" t="str">
        <f aca="false">IFERROR(INDEX('Fault Master'!$B$5:$B$104,MATCH(G784,'Fault Master'!$A$5:$A$104,0)),"")</f>
        <v/>
      </c>
      <c r="I784" s="24" t="str">
        <f aca="false">IFERROR(INDEX('Fault Master'!$C$5:$C$104,MATCH(G784,'Fault Master'!$A$5:$A$104,0)),"")</f>
        <v/>
      </c>
      <c r="J784" s="26"/>
      <c r="K784" s="26"/>
      <c r="L784" s="26"/>
      <c r="M784" s="26"/>
      <c r="N784" s="26"/>
      <c r="O784" s="26"/>
      <c r="P784" s="34"/>
    </row>
    <row r="785" customFormat="false" ht="15" hidden="false" customHeight="true" outlineLevel="0" collapsed="false">
      <c r="A785" s="18" t="n">
        <v>274</v>
      </c>
      <c r="B785" s="25"/>
      <c r="C785" s="26"/>
      <c r="D785" s="26"/>
      <c r="E785" s="26"/>
      <c r="F785" s="24" t="str">
        <f aca="false">IFERROR(INDEX('Operator Master'!$B$5:$B$504,MATCH(E785,'Operator Master'!$A$5:$A$504,0)),"")</f>
        <v/>
      </c>
      <c r="G785" s="26"/>
      <c r="H785" s="24" t="str">
        <f aca="false">IFERROR(INDEX('Fault Master'!$B$5:$B$104,MATCH(G785,'Fault Master'!$A$5:$A$104,0)),"")</f>
        <v/>
      </c>
      <c r="I785" s="24" t="str">
        <f aca="false">IFERROR(INDEX('Fault Master'!$C$5:$C$104,MATCH(G785,'Fault Master'!$A$5:$A$104,0)),"")</f>
        <v/>
      </c>
      <c r="J785" s="26"/>
      <c r="K785" s="26"/>
      <c r="L785" s="26"/>
      <c r="M785" s="26"/>
      <c r="N785" s="26"/>
      <c r="O785" s="26"/>
      <c r="P785" s="34"/>
    </row>
    <row r="786" customFormat="false" ht="15" hidden="false" customHeight="true" outlineLevel="0" collapsed="false">
      <c r="A786" s="18" t="n">
        <v>275</v>
      </c>
      <c r="B786" s="25"/>
      <c r="C786" s="26"/>
      <c r="D786" s="26"/>
      <c r="E786" s="26"/>
      <c r="F786" s="24" t="str">
        <f aca="false">IFERROR(INDEX('Operator Master'!$B$5:$B$504,MATCH(E786,'Operator Master'!$A$5:$A$504,0)),"")</f>
        <v/>
      </c>
      <c r="G786" s="26"/>
      <c r="H786" s="24" t="str">
        <f aca="false">IFERROR(INDEX('Fault Master'!$B$5:$B$104,MATCH(G786,'Fault Master'!$A$5:$A$104,0)),"")</f>
        <v/>
      </c>
      <c r="I786" s="24" t="str">
        <f aca="false">IFERROR(INDEX('Fault Master'!$C$5:$C$104,MATCH(G786,'Fault Master'!$A$5:$A$104,0)),"")</f>
        <v/>
      </c>
      <c r="J786" s="26"/>
      <c r="K786" s="26"/>
      <c r="L786" s="26"/>
      <c r="M786" s="26"/>
      <c r="N786" s="26"/>
      <c r="O786" s="26"/>
      <c r="P786" s="34"/>
    </row>
    <row r="787" customFormat="false" ht="15" hidden="false" customHeight="true" outlineLevel="0" collapsed="false">
      <c r="A787" s="18" t="n">
        <v>276</v>
      </c>
      <c r="B787" s="25"/>
      <c r="C787" s="26"/>
      <c r="D787" s="26"/>
      <c r="E787" s="26"/>
      <c r="F787" s="24" t="str">
        <f aca="false">IFERROR(INDEX('Operator Master'!$B$5:$B$504,MATCH(E787,'Operator Master'!$A$5:$A$504,0)),"")</f>
        <v/>
      </c>
      <c r="G787" s="26"/>
      <c r="H787" s="24" t="str">
        <f aca="false">IFERROR(INDEX('Fault Master'!$B$5:$B$104,MATCH(G787,'Fault Master'!$A$5:$A$104,0)),"")</f>
        <v/>
      </c>
      <c r="I787" s="24" t="str">
        <f aca="false">IFERROR(INDEX('Fault Master'!$C$5:$C$104,MATCH(G787,'Fault Master'!$A$5:$A$104,0)),"")</f>
        <v/>
      </c>
      <c r="J787" s="26"/>
      <c r="K787" s="26"/>
      <c r="L787" s="26"/>
      <c r="M787" s="26"/>
      <c r="N787" s="26"/>
      <c r="O787" s="26"/>
      <c r="P787" s="34"/>
    </row>
    <row r="788" customFormat="false" ht="15" hidden="false" customHeight="true" outlineLevel="0" collapsed="false">
      <c r="A788" s="18" t="n">
        <v>277</v>
      </c>
      <c r="B788" s="25"/>
      <c r="C788" s="26"/>
      <c r="D788" s="26"/>
      <c r="E788" s="26"/>
      <c r="F788" s="24" t="str">
        <f aca="false">IFERROR(INDEX('Operator Master'!$B$5:$B$504,MATCH(E788,'Operator Master'!$A$5:$A$504,0)),"")</f>
        <v/>
      </c>
      <c r="G788" s="26"/>
      <c r="H788" s="24" t="str">
        <f aca="false">IFERROR(INDEX('Fault Master'!$B$5:$B$104,MATCH(G788,'Fault Master'!$A$5:$A$104,0)),"")</f>
        <v/>
      </c>
      <c r="I788" s="24" t="str">
        <f aca="false">IFERROR(INDEX('Fault Master'!$C$5:$C$104,MATCH(G788,'Fault Master'!$A$5:$A$104,0)),"")</f>
        <v/>
      </c>
      <c r="J788" s="26"/>
      <c r="K788" s="26"/>
      <c r="L788" s="26"/>
      <c r="M788" s="26"/>
      <c r="N788" s="26"/>
      <c r="O788" s="26"/>
      <c r="P788" s="34"/>
    </row>
    <row r="789" customFormat="false" ht="15" hidden="false" customHeight="true" outlineLevel="0" collapsed="false">
      <c r="A789" s="18" t="n">
        <v>278</v>
      </c>
      <c r="B789" s="25"/>
      <c r="C789" s="26"/>
      <c r="D789" s="26"/>
      <c r="E789" s="26"/>
      <c r="F789" s="24" t="str">
        <f aca="false">IFERROR(INDEX('Operator Master'!$B$5:$B$504,MATCH(E789,'Operator Master'!$A$5:$A$504,0)),"")</f>
        <v/>
      </c>
      <c r="G789" s="26"/>
      <c r="H789" s="24" t="str">
        <f aca="false">IFERROR(INDEX('Fault Master'!$B$5:$B$104,MATCH(G789,'Fault Master'!$A$5:$A$104,0)),"")</f>
        <v/>
      </c>
      <c r="I789" s="24" t="str">
        <f aca="false">IFERROR(INDEX('Fault Master'!$C$5:$C$104,MATCH(G789,'Fault Master'!$A$5:$A$104,0)),"")</f>
        <v/>
      </c>
      <c r="J789" s="26"/>
      <c r="K789" s="26"/>
      <c r="L789" s="26"/>
      <c r="M789" s="26"/>
      <c r="N789" s="26"/>
      <c r="O789" s="26"/>
      <c r="P789" s="34"/>
    </row>
    <row r="790" customFormat="false" ht="15" hidden="false" customHeight="true" outlineLevel="0" collapsed="false">
      <c r="A790" s="18" t="n">
        <v>279</v>
      </c>
      <c r="B790" s="25"/>
      <c r="C790" s="26"/>
      <c r="D790" s="26"/>
      <c r="E790" s="26"/>
      <c r="F790" s="24" t="str">
        <f aca="false">IFERROR(INDEX('Operator Master'!$B$5:$B$504,MATCH(E790,'Operator Master'!$A$5:$A$504,0)),"")</f>
        <v/>
      </c>
      <c r="G790" s="26"/>
      <c r="H790" s="24" t="str">
        <f aca="false">IFERROR(INDEX('Fault Master'!$B$5:$B$104,MATCH(G790,'Fault Master'!$A$5:$A$104,0)),"")</f>
        <v/>
      </c>
      <c r="I790" s="24" t="str">
        <f aca="false">IFERROR(INDEX('Fault Master'!$C$5:$C$104,MATCH(G790,'Fault Master'!$A$5:$A$104,0)),"")</f>
        <v/>
      </c>
      <c r="J790" s="26"/>
      <c r="K790" s="26"/>
      <c r="L790" s="26"/>
      <c r="M790" s="26"/>
      <c r="N790" s="26"/>
      <c r="O790" s="26"/>
      <c r="P790" s="34"/>
    </row>
    <row r="791" customFormat="false" ht="15" hidden="false" customHeight="true" outlineLevel="0" collapsed="false">
      <c r="A791" s="18" t="n">
        <v>280</v>
      </c>
      <c r="B791" s="25"/>
      <c r="C791" s="26"/>
      <c r="D791" s="26"/>
      <c r="E791" s="26"/>
      <c r="F791" s="24" t="str">
        <f aca="false">IFERROR(INDEX('Operator Master'!$B$5:$B$504,MATCH(E791,'Operator Master'!$A$5:$A$504,0)),"")</f>
        <v/>
      </c>
      <c r="G791" s="26"/>
      <c r="H791" s="24" t="str">
        <f aca="false">IFERROR(INDEX('Fault Master'!$B$5:$B$104,MATCH(G791,'Fault Master'!$A$5:$A$104,0)),"")</f>
        <v/>
      </c>
      <c r="I791" s="24" t="str">
        <f aca="false">IFERROR(INDEX('Fault Master'!$C$5:$C$104,MATCH(G791,'Fault Master'!$A$5:$A$104,0)),"")</f>
        <v/>
      </c>
      <c r="J791" s="26"/>
      <c r="K791" s="26"/>
      <c r="L791" s="26"/>
      <c r="M791" s="26"/>
      <c r="N791" s="26"/>
      <c r="O791" s="26"/>
      <c r="P791" s="34"/>
    </row>
    <row r="792" customFormat="false" ht="15" hidden="false" customHeight="true" outlineLevel="0" collapsed="false">
      <c r="A792" s="18" t="n">
        <v>281</v>
      </c>
      <c r="B792" s="25"/>
      <c r="C792" s="26"/>
      <c r="D792" s="26"/>
      <c r="E792" s="26"/>
      <c r="F792" s="24" t="str">
        <f aca="false">IFERROR(INDEX('Operator Master'!$B$5:$B$504,MATCH(E792,'Operator Master'!$A$5:$A$504,0)),"")</f>
        <v/>
      </c>
      <c r="G792" s="26"/>
      <c r="H792" s="24" t="str">
        <f aca="false">IFERROR(INDEX('Fault Master'!$B$5:$B$104,MATCH(G792,'Fault Master'!$A$5:$A$104,0)),"")</f>
        <v/>
      </c>
      <c r="I792" s="24" t="str">
        <f aca="false">IFERROR(INDEX('Fault Master'!$C$5:$C$104,MATCH(G792,'Fault Master'!$A$5:$A$104,0)),"")</f>
        <v/>
      </c>
      <c r="J792" s="26"/>
      <c r="K792" s="26"/>
      <c r="L792" s="26"/>
      <c r="M792" s="26"/>
      <c r="N792" s="26"/>
      <c r="O792" s="26"/>
      <c r="P792" s="34"/>
    </row>
    <row r="793" customFormat="false" ht="15" hidden="false" customHeight="true" outlineLevel="0" collapsed="false">
      <c r="A793" s="18" t="n">
        <v>282</v>
      </c>
      <c r="B793" s="25"/>
      <c r="C793" s="26"/>
      <c r="D793" s="26"/>
      <c r="E793" s="26"/>
      <c r="F793" s="24" t="str">
        <f aca="false">IFERROR(INDEX('Operator Master'!$B$5:$B$504,MATCH(E793,'Operator Master'!$A$5:$A$504,0)),"")</f>
        <v/>
      </c>
      <c r="G793" s="26"/>
      <c r="H793" s="24" t="str">
        <f aca="false">IFERROR(INDEX('Fault Master'!$B$5:$B$104,MATCH(G793,'Fault Master'!$A$5:$A$104,0)),"")</f>
        <v/>
      </c>
      <c r="I793" s="24" t="str">
        <f aca="false">IFERROR(INDEX('Fault Master'!$C$5:$C$104,MATCH(G793,'Fault Master'!$A$5:$A$104,0)),"")</f>
        <v/>
      </c>
      <c r="J793" s="26"/>
      <c r="K793" s="26"/>
      <c r="L793" s="26"/>
      <c r="M793" s="26"/>
      <c r="N793" s="26"/>
      <c r="O793" s="26"/>
      <c r="P793" s="34"/>
    </row>
    <row r="794" customFormat="false" ht="15" hidden="false" customHeight="true" outlineLevel="0" collapsed="false">
      <c r="A794" s="18" t="n">
        <v>283</v>
      </c>
      <c r="B794" s="25"/>
      <c r="C794" s="26"/>
      <c r="D794" s="26"/>
      <c r="E794" s="26"/>
      <c r="F794" s="24" t="str">
        <f aca="false">IFERROR(INDEX('Operator Master'!$B$5:$B$504,MATCH(E794,'Operator Master'!$A$5:$A$504,0)),"")</f>
        <v/>
      </c>
      <c r="G794" s="26"/>
      <c r="H794" s="24" t="str">
        <f aca="false">IFERROR(INDEX('Fault Master'!$B$5:$B$104,MATCH(G794,'Fault Master'!$A$5:$A$104,0)),"")</f>
        <v/>
      </c>
      <c r="I794" s="24" t="str">
        <f aca="false">IFERROR(INDEX('Fault Master'!$C$5:$C$104,MATCH(G794,'Fault Master'!$A$5:$A$104,0)),"")</f>
        <v/>
      </c>
      <c r="J794" s="26"/>
      <c r="K794" s="26"/>
      <c r="L794" s="26"/>
      <c r="M794" s="26"/>
      <c r="N794" s="26"/>
      <c r="O794" s="26"/>
      <c r="P794" s="34"/>
    </row>
    <row r="795" customFormat="false" ht="15" hidden="false" customHeight="true" outlineLevel="0" collapsed="false">
      <c r="A795" s="18" t="n">
        <v>284</v>
      </c>
      <c r="B795" s="25"/>
      <c r="C795" s="26"/>
      <c r="D795" s="26"/>
      <c r="E795" s="26"/>
      <c r="F795" s="24" t="str">
        <f aca="false">IFERROR(INDEX('Operator Master'!$B$5:$B$504,MATCH(E795,'Operator Master'!$A$5:$A$504,0)),"")</f>
        <v/>
      </c>
      <c r="G795" s="26"/>
      <c r="H795" s="24" t="str">
        <f aca="false">IFERROR(INDEX('Fault Master'!$B$5:$B$104,MATCH(G795,'Fault Master'!$A$5:$A$104,0)),"")</f>
        <v/>
      </c>
      <c r="I795" s="24" t="str">
        <f aca="false">IFERROR(INDEX('Fault Master'!$C$5:$C$104,MATCH(G795,'Fault Master'!$A$5:$A$104,0)),"")</f>
        <v/>
      </c>
      <c r="J795" s="26"/>
      <c r="K795" s="26"/>
      <c r="L795" s="26"/>
      <c r="M795" s="26"/>
      <c r="N795" s="26"/>
      <c r="O795" s="26"/>
      <c r="P795" s="34"/>
    </row>
    <row r="796" customFormat="false" ht="15" hidden="false" customHeight="true" outlineLevel="0" collapsed="false">
      <c r="A796" s="18" t="n">
        <v>285</v>
      </c>
      <c r="B796" s="25"/>
      <c r="C796" s="26"/>
      <c r="D796" s="26"/>
      <c r="E796" s="26"/>
      <c r="F796" s="24" t="str">
        <f aca="false">IFERROR(INDEX('Operator Master'!$B$5:$B$504,MATCH(E796,'Operator Master'!$A$5:$A$504,0)),"")</f>
        <v/>
      </c>
      <c r="G796" s="26"/>
      <c r="H796" s="24" t="str">
        <f aca="false">IFERROR(INDEX('Fault Master'!$B$5:$B$104,MATCH(G796,'Fault Master'!$A$5:$A$104,0)),"")</f>
        <v/>
      </c>
      <c r="I796" s="24" t="str">
        <f aca="false">IFERROR(INDEX('Fault Master'!$C$5:$C$104,MATCH(G796,'Fault Master'!$A$5:$A$104,0)),"")</f>
        <v/>
      </c>
      <c r="J796" s="26"/>
      <c r="K796" s="26"/>
      <c r="L796" s="26"/>
      <c r="M796" s="26"/>
      <c r="N796" s="26"/>
      <c r="O796" s="26"/>
      <c r="P796" s="34"/>
    </row>
    <row r="797" customFormat="false" ht="15" hidden="false" customHeight="true" outlineLevel="0" collapsed="false">
      <c r="A797" s="18" t="n">
        <v>286</v>
      </c>
      <c r="B797" s="25"/>
      <c r="C797" s="26"/>
      <c r="D797" s="26"/>
      <c r="E797" s="26"/>
      <c r="F797" s="24" t="str">
        <f aca="false">IFERROR(INDEX('Operator Master'!$B$5:$B$504,MATCH(E797,'Operator Master'!$A$5:$A$504,0)),"")</f>
        <v/>
      </c>
      <c r="G797" s="26"/>
      <c r="H797" s="24" t="str">
        <f aca="false">IFERROR(INDEX('Fault Master'!$B$5:$B$104,MATCH(G797,'Fault Master'!$A$5:$A$104,0)),"")</f>
        <v/>
      </c>
      <c r="I797" s="24" t="str">
        <f aca="false">IFERROR(INDEX('Fault Master'!$C$5:$C$104,MATCH(G797,'Fault Master'!$A$5:$A$104,0)),"")</f>
        <v/>
      </c>
      <c r="J797" s="26"/>
      <c r="K797" s="26"/>
      <c r="L797" s="26"/>
      <c r="M797" s="26"/>
      <c r="N797" s="26"/>
      <c r="O797" s="26"/>
      <c r="P797" s="34"/>
    </row>
    <row r="798" customFormat="false" ht="15" hidden="false" customHeight="true" outlineLevel="0" collapsed="false">
      <c r="A798" s="18" t="n">
        <v>287</v>
      </c>
      <c r="B798" s="25"/>
      <c r="C798" s="26"/>
      <c r="D798" s="26"/>
      <c r="E798" s="26"/>
      <c r="F798" s="24" t="str">
        <f aca="false">IFERROR(INDEX('Operator Master'!$B$5:$B$504,MATCH(E798,'Operator Master'!$A$5:$A$504,0)),"")</f>
        <v/>
      </c>
      <c r="G798" s="26"/>
      <c r="H798" s="24" t="str">
        <f aca="false">IFERROR(INDEX('Fault Master'!$B$5:$B$104,MATCH(G798,'Fault Master'!$A$5:$A$104,0)),"")</f>
        <v/>
      </c>
      <c r="I798" s="24" t="str">
        <f aca="false">IFERROR(INDEX('Fault Master'!$C$5:$C$104,MATCH(G798,'Fault Master'!$A$5:$A$104,0)),"")</f>
        <v/>
      </c>
      <c r="J798" s="26"/>
      <c r="K798" s="26"/>
      <c r="L798" s="26"/>
      <c r="M798" s="26"/>
      <c r="N798" s="26"/>
      <c r="O798" s="26"/>
      <c r="P798" s="34"/>
    </row>
    <row r="799" customFormat="false" ht="15" hidden="false" customHeight="true" outlineLevel="0" collapsed="false">
      <c r="A799" s="18" t="n">
        <v>288</v>
      </c>
      <c r="B799" s="25"/>
      <c r="C799" s="26"/>
      <c r="D799" s="26"/>
      <c r="E799" s="26"/>
      <c r="F799" s="24" t="str">
        <f aca="false">IFERROR(INDEX('Operator Master'!$B$5:$B$504,MATCH(E799,'Operator Master'!$A$5:$A$504,0)),"")</f>
        <v/>
      </c>
      <c r="G799" s="26"/>
      <c r="H799" s="24" t="str">
        <f aca="false">IFERROR(INDEX('Fault Master'!$B$5:$B$104,MATCH(G799,'Fault Master'!$A$5:$A$104,0)),"")</f>
        <v/>
      </c>
      <c r="I799" s="24" t="str">
        <f aca="false">IFERROR(INDEX('Fault Master'!$C$5:$C$104,MATCH(G799,'Fault Master'!$A$5:$A$104,0)),"")</f>
        <v/>
      </c>
      <c r="J799" s="26"/>
      <c r="K799" s="26"/>
      <c r="L799" s="26"/>
      <c r="M799" s="26"/>
      <c r="N799" s="26"/>
      <c r="O799" s="26"/>
      <c r="P799" s="34"/>
    </row>
    <row r="800" customFormat="false" ht="15" hidden="false" customHeight="true" outlineLevel="0" collapsed="false">
      <c r="A800" s="18" t="n">
        <v>289</v>
      </c>
      <c r="B800" s="25"/>
      <c r="C800" s="26"/>
      <c r="D800" s="26"/>
      <c r="E800" s="26"/>
      <c r="F800" s="24" t="str">
        <f aca="false">IFERROR(INDEX('Operator Master'!$B$5:$B$504,MATCH(E800,'Operator Master'!$A$5:$A$504,0)),"")</f>
        <v/>
      </c>
      <c r="G800" s="26"/>
      <c r="H800" s="24" t="str">
        <f aca="false">IFERROR(INDEX('Fault Master'!$B$5:$B$104,MATCH(G800,'Fault Master'!$A$5:$A$104,0)),"")</f>
        <v/>
      </c>
      <c r="I800" s="24" t="str">
        <f aca="false">IFERROR(INDEX('Fault Master'!$C$5:$C$104,MATCH(G800,'Fault Master'!$A$5:$A$104,0)),"")</f>
        <v/>
      </c>
      <c r="J800" s="26"/>
      <c r="K800" s="26"/>
      <c r="L800" s="26"/>
      <c r="M800" s="26"/>
      <c r="N800" s="26"/>
      <c r="O800" s="26"/>
      <c r="P800" s="34"/>
    </row>
    <row r="801" customFormat="false" ht="15" hidden="false" customHeight="true" outlineLevel="0" collapsed="false">
      <c r="A801" s="18" t="n">
        <v>290</v>
      </c>
      <c r="B801" s="25"/>
      <c r="C801" s="26"/>
      <c r="D801" s="26"/>
      <c r="E801" s="26"/>
      <c r="F801" s="24" t="str">
        <f aca="false">IFERROR(INDEX('Operator Master'!$B$5:$B$504,MATCH(E801,'Operator Master'!$A$5:$A$504,0)),"")</f>
        <v/>
      </c>
      <c r="G801" s="26"/>
      <c r="H801" s="24" t="str">
        <f aca="false">IFERROR(INDEX('Fault Master'!$B$5:$B$104,MATCH(G801,'Fault Master'!$A$5:$A$104,0)),"")</f>
        <v/>
      </c>
      <c r="I801" s="24" t="str">
        <f aca="false">IFERROR(INDEX('Fault Master'!$C$5:$C$104,MATCH(G801,'Fault Master'!$A$5:$A$104,0)),"")</f>
        <v/>
      </c>
      <c r="J801" s="26"/>
      <c r="K801" s="26"/>
      <c r="L801" s="26"/>
      <c r="M801" s="26"/>
      <c r="N801" s="26"/>
      <c r="O801" s="26"/>
      <c r="P801" s="34"/>
    </row>
    <row r="802" customFormat="false" ht="15" hidden="false" customHeight="true" outlineLevel="0" collapsed="false">
      <c r="A802" s="18" t="n">
        <v>291</v>
      </c>
      <c r="B802" s="25"/>
      <c r="C802" s="26"/>
      <c r="D802" s="26"/>
      <c r="E802" s="26"/>
      <c r="F802" s="24" t="str">
        <f aca="false">IFERROR(INDEX('Operator Master'!$B$5:$B$504,MATCH(E802,'Operator Master'!$A$5:$A$504,0)),"")</f>
        <v/>
      </c>
      <c r="G802" s="26"/>
      <c r="H802" s="24" t="str">
        <f aca="false">IFERROR(INDEX('Fault Master'!$B$5:$B$104,MATCH(G802,'Fault Master'!$A$5:$A$104,0)),"")</f>
        <v/>
      </c>
      <c r="I802" s="24" t="str">
        <f aca="false">IFERROR(INDEX('Fault Master'!$C$5:$C$104,MATCH(G802,'Fault Master'!$A$5:$A$104,0)),"")</f>
        <v/>
      </c>
      <c r="J802" s="26"/>
      <c r="K802" s="26"/>
      <c r="L802" s="26"/>
      <c r="M802" s="26"/>
      <c r="N802" s="26"/>
      <c r="O802" s="26"/>
      <c r="P802" s="34"/>
    </row>
    <row r="803" customFormat="false" ht="15" hidden="false" customHeight="true" outlineLevel="0" collapsed="false">
      <c r="A803" s="18" t="n">
        <v>292</v>
      </c>
      <c r="B803" s="25"/>
      <c r="C803" s="26"/>
      <c r="D803" s="26"/>
      <c r="E803" s="26"/>
      <c r="F803" s="24" t="str">
        <f aca="false">IFERROR(INDEX('Operator Master'!$B$5:$B$504,MATCH(E803,'Operator Master'!$A$5:$A$504,0)),"")</f>
        <v/>
      </c>
      <c r="G803" s="26"/>
      <c r="H803" s="24" t="str">
        <f aca="false">IFERROR(INDEX('Fault Master'!$B$5:$B$104,MATCH(G803,'Fault Master'!$A$5:$A$104,0)),"")</f>
        <v/>
      </c>
      <c r="I803" s="24" t="str">
        <f aca="false">IFERROR(INDEX('Fault Master'!$C$5:$C$104,MATCH(G803,'Fault Master'!$A$5:$A$104,0)),"")</f>
        <v/>
      </c>
      <c r="J803" s="26"/>
      <c r="K803" s="26"/>
      <c r="L803" s="26"/>
      <c r="M803" s="26"/>
      <c r="N803" s="26"/>
      <c r="O803" s="26"/>
      <c r="P803" s="34"/>
    </row>
    <row r="804" customFormat="false" ht="15" hidden="false" customHeight="true" outlineLevel="0" collapsed="false">
      <c r="A804" s="18" t="n">
        <v>293</v>
      </c>
      <c r="B804" s="25"/>
      <c r="C804" s="26"/>
      <c r="D804" s="26"/>
      <c r="E804" s="26"/>
      <c r="F804" s="24" t="str">
        <f aca="false">IFERROR(INDEX('Operator Master'!$B$5:$B$504,MATCH(E804,'Operator Master'!$A$5:$A$504,0)),"")</f>
        <v/>
      </c>
      <c r="G804" s="26"/>
      <c r="H804" s="24" t="str">
        <f aca="false">IFERROR(INDEX('Fault Master'!$B$5:$B$104,MATCH(G804,'Fault Master'!$A$5:$A$104,0)),"")</f>
        <v/>
      </c>
      <c r="I804" s="24" t="str">
        <f aca="false">IFERROR(INDEX('Fault Master'!$C$5:$C$104,MATCH(G804,'Fault Master'!$A$5:$A$104,0)),"")</f>
        <v/>
      </c>
      <c r="J804" s="26"/>
      <c r="K804" s="26"/>
      <c r="L804" s="26"/>
      <c r="M804" s="26"/>
      <c r="N804" s="26"/>
      <c r="O804" s="26"/>
      <c r="P804" s="34"/>
    </row>
    <row r="805" customFormat="false" ht="15" hidden="false" customHeight="true" outlineLevel="0" collapsed="false">
      <c r="A805" s="18" t="n">
        <v>294</v>
      </c>
      <c r="B805" s="25"/>
      <c r="C805" s="26"/>
      <c r="D805" s="26"/>
      <c r="E805" s="26"/>
      <c r="F805" s="24" t="str">
        <f aca="false">IFERROR(INDEX('Operator Master'!$B$5:$B$504,MATCH(E805,'Operator Master'!$A$5:$A$504,0)),"")</f>
        <v/>
      </c>
      <c r="G805" s="26"/>
      <c r="H805" s="24" t="str">
        <f aca="false">IFERROR(INDEX('Fault Master'!$B$5:$B$104,MATCH(G805,'Fault Master'!$A$5:$A$104,0)),"")</f>
        <v/>
      </c>
      <c r="I805" s="24" t="str">
        <f aca="false">IFERROR(INDEX('Fault Master'!$C$5:$C$104,MATCH(G805,'Fault Master'!$A$5:$A$104,0)),"")</f>
        <v/>
      </c>
      <c r="J805" s="26"/>
      <c r="K805" s="26"/>
      <c r="L805" s="26"/>
      <c r="M805" s="26"/>
      <c r="N805" s="26"/>
      <c r="O805" s="26"/>
      <c r="P805" s="34"/>
    </row>
    <row r="806" customFormat="false" ht="15" hidden="false" customHeight="true" outlineLevel="0" collapsed="false">
      <c r="A806" s="18" t="n">
        <v>295</v>
      </c>
      <c r="B806" s="25"/>
      <c r="C806" s="26"/>
      <c r="D806" s="26"/>
      <c r="E806" s="26"/>
      <c r="F806" s="24" t="str">
        <f aca="false">IFERROR(INDEX('Operator Master'!$B$5:$B$504,MATCH(E806,'Operator Master'!$A$5:$A$504,0)),"")</f>
        <v/>
      </c>
      <c r="G806" s="26"/>
      <c r="H806" s="24" t="str">
        <f aca="false">IFERROR(INDEX('Fault Master'!$B$5:$B$104,MATCH(G806,'Fault Master'!$A$5:$A$104,0)),"")</f>
        <v/>
      </c>
      <c r="I806" s="24" t="str">
        <f aca="false">IFERROR(INDEX('Fault Master'!$C$5:$C$104,MATCH(G806,'Fault Master'!$A$5:$A$104,0)),"")</f>
        <v/>
      </c>
      <c r="J806" s="26"/>
      <c r="K806" s="26"/>
      <c r="L806" s="26"/>
      <c r="M806" s="26"/>
      <c r="N806" s="26"/>
      <c r="O806" s="26"/>
      <c r="P806" s="34"/>
    </row>
    <row r="807" customFormat="false" ht="15" hidden="false" customHeight="true" outlineLevel="0" collapsed="false">
      <c r="A807" s="18" t="n">
        <v>296</v>
      </c>
      <c r="B807" s="25"/>
      <c r="C807" s="26"/>
      <c r="D807" s="26"/>
      <c r="E807" s="26"/>
      <c r="F807" s="24" t="str">
        <f aca="false">IFERROR(INDEX('Operator Master'!$B$5:$B$504,MATCH(E807,'Operator Master'!$A$5:$A$504,0)),"")</f>
        <v/>
      </c>
      <c r="G807" s="26"/>
      <c r="H807" s="24" t="str">
        <f aca="false">IFERROR(INDEX('Fault Master'!$B$5:$B$104,MATCH(G807,'Fault Master'!$A$5:$A$104,0)),"")</f>
        <v/>
      </c>
      <c r="I807" s="24" t="str">
        <f aca="false">IFERROR(INDEX('Fault Master'!$C$5:$C$104,MATCH(G807,'Fault Master'!$A$5:$A$104,0)),"")</f>
        <v/>
      </c>
      <c r="J807" s="26"/>
      <c r="K807" s="26"/>
      <c r="L807" s="26"/>
      <c r="M807" s="26"/>
      <c r="N807" s="26"/>
      <c r="O807" s="26"/>
      <c r="P807" s="34"/>
    </row>
    <row r="808" customFormat="false" ht="15" hidden="false" customHeight="true" outlineLevel="0" collapsed="false">
      <c r="A808" s="18" t="n">
        <v>297</v>
      </c>
      <c r="B808" s="25"/>
      <c r="C808" s="26"/>
      <c r="D808" s="26"/>
      <c r="E808" s="26"/>
      <c r="F808" s="24" t="str">
        <f aca="false">IFERROR(INDEX('Operator Master'!$B$5:$B$504,MATCH(E808,'Operator Master'!$A$5:$A$504,0)),"")</f>
        <v/>
      </c>
      <c r="G808" s="26"/>
      <c r="H808" s="24" t="str">
        <f aca="false">IFERROR(INDEX('Fault Master'!$B$5:$B$104,MATCH(G808,'Fault Master'!$A$5:$A$104,0)),"")</f>
        <v/>
      </c>
      <c r="I808" s="24" t="str">
        <f aca="false">IFERROR(INDEX('Fault Master'!$C$5:$C$104,MATCH(G808,'Fault Master'!$A$5:$A$104,0)),"")</f>
        <v/>
      </c>
      <c r="J808" s="26"/>
      <c r="K808" s="26"/>
      <c r="L808" s="26"/>
      <c r="M808" s="26"/>
      <c r="N808" s="26"/>
      <c r="O808" s="26"/>
      <c r="P808" s="34"/>
    </row>
    <row r="809" customFormat="false" ht="15" hidden="false" customHeight="true" outlineLevel="0" collapsed="false">
      <c r="A809" s="18" t="n">
        <v>298</v>
      </c>
      <c r="B809" s="25"/>
      <c r="C809" s="26"/>
      <c r="D809" s="26"/>
      <c r="E809" s="26"/>
      <c r="F809" s="24" t="str">
        <f aca="false">IFERROR(INDEX('Operator Master'!$B$5:$B$504,MATCH(E809,'Operator Master'!$A$5:$A$504,0)),"")</f>
        <v/>
      </c>
      <c r="G809" s="26"/>
      <c r="H809" s="24" t="str">
        <f aca="false">IFERROR(INDEX('Fault Master'!$B$5:$B$104,MATCH(G809,'Fault Master'!$A$5:$A$104,0)),"")</f>
        <v/>
      </c>
      <c r="I809" s="24" t="str">
        <f aca="false">IFERROR(INDEX('Fault Master'!$C$5:$C$104,MATCH(G809,'Fault Master'!$A$5:$A$104,0)),"")</f>
        <v/>
      </c>
      <c r="J809" s="26"/>
      <c r="K809" s="26"/>
      <c r="L809" s="26"/>
      <c r="M809" s="26"/>
      <c r="N809" s="26"/>
      <c r="O809" s="26"/>
      <c r="P809" s="34"/>
    </row>
    <row r="810" customFormat="false" ht="15" hidden="false" customHeight="true" outlineLevel="0" collapsed="false">
      <c r="A810" s="18" t="n">
        <v>299</v>
      </c>
      <c r="B810" s="25"/>
      <c r="C810" s="26"/>
      <c r="D810" s="26"/>
      <c r="E810" s="26"/>
      <c r="F810" s="24" t="str">
        <f aca="false">IFERROR(INDEX('Operator Master'!$B$5:$B$504,MATCH(E810,'Operator Master'!$A$5:$A$504,0)),"")</f>
        <v/>
      </c>
      <c r="G810" s="26"/>
      <c r="H810" s="24" t="str">
        <f aca="false">IFERROR(INDEX('Fault Master'!$B$5:$B$104,MATCH(G810,'Fault Master'!$A$5:$A$104,0)),"")</f>
        <v/>
      </c>
      <c r="I810" s="24" t="str">
        <f aca="false">IFERROR(INDEX('Fault Master'!$C$5:$C$104,MATCH(G810,'Fault Master'!$A$5:$A$104,0)),"")</f>
        <v/>
      </c>
      <c r="J810" s="26"/>
      <c r="K810" s="26"/>
      <c r="L810" s="26"/>
      <c r="M810" s="26"/>
      <c r="N810" s="26"/>
      <c r="O810" s="26"/>
      <c r="P810" s="34"/>
    </row>
    <row r="811" customFormat="false" ht="15" hidden="false" customHeight="true" outlineLevel="0" collapsed="false">
      <c r="A811" s="18" t="n">
        <v>300</v>
      </c>
      <c r="B811" s="25"/>
      <c r="C811" s="26"/>
      <c r="D811" s="26"/>
      <c r="E811" s="26"/>
      <c r="F811" s="24" t="str">
        <f aca="false">IFERROR(INDEX('Operator Master'!$B$5:$B$504,MATCH(E811,'Operator Master'!$A$5:$A$504,0)),"")</f>
        <v/>
      </c>
      <c r="G811" s="26"/>
      <c r="H811" s="24" t="str">
        <f aca="false">IFERROR(INDEX('Fault Master'!$B$5:$B$104,MATCH(G811,'Fault Master'!$A$5:$A$104,0)),"")</f>
        <v/>
      </c>
      <c r="I811" s="24" t="str">
        <f aca="false">IFERROR(INDEX('Fault Master'!$C$5:$C$104,MATCH(G811,'Fault Master'!$A$5:$A$104,0)),"")</f>
        <v/>
      </c>
      <c r="J811" s="26"/>
      <c r="K811" s="26"/>
      <c r="L811" s="26"/>
      <c r="M811" s="26"/>
      <c r="N811" s="26"/>
      <c r="O811" s="26"/>
      <c r="P811" s="34"/>
    </row>
    <row r="812" customFormat="false" ht="15" hidden="false" customHeight="true" outlineLevel="0" collapsed="false">
      <c r="A812" s="18" t="n">
        <v>301</v>
      </c>
      <c r="B812" s="25"/>
      <c r="C812" s="26"/>
      <c r="D812" s="26"/>
      <c r="E812" s="26"/>
      <c r="F812" s="24" t="str">
        <f aca="false">IFERROR(INDEX('Operator Master'!$B$5:$B$504,MATCH(E812,'Operator Master'!$A$5:$A$504,0)),"")</f>
        <v/>
      </c>
      <c r="G812" s="26"/>
      <c r="H812" s="24" t="str">
        <f aca="false">IFERROR(INDEX('Fault Master'!$B$5:$B$104,MATCH(G812,'Fault Master'!$A$5:$A$104,0)),"")</f>
        <v/>
      </c>
      <c r="I812" s="24" t="str">
        <f aca="false">IFERROR(INDEX('Fault Master'!$C$5:$C$104,MATCH(G812,'Fault Master'!$A$5:$A$104,0)),"")</f>
        <v/>
      </c>
      <c r="J812" s="26"/>
      <c r="K812" s="26"/>
      <c r="L812" s="26"/>
      <c r="M812" s="26"/>
      <c r="N812" s="26"/>
      <c r="O812" s="26"/>
      <c r="P812" s="34"/>
    </row>
    <row r="813" customFormat="false" ht="15" hidden="false" customHeight="true" outlineLevel="0" collapsed="false">
      <c r="A813" s="18" t="n">
        <v>302</v>
      </c>
      <c r="B813" s="25"/>
      <c r="C813" s="26"/>
      <c r="D813" s="26"/>
      <c r="E813" s="26"/>
      <c r="F813" s="24" t="str">
        <f aca="false">IFERROR(INDEX('Operator Master'!$B$5:$B$504,MATCH(E813,'Operator Master'!$A$5:$A$504,0)),"")</f>
        <v/>
      </c>
      <c r="G813" s="26"/>
      <c r="H813" s="24" t="str">
        <f aca="false">IFERROR(INDEX('Fault Master'!$B$5:$B$104,MATCH(G813,'Fault Master'!$A$5:$A$104,0)),"")</f>
        <v/>
      </c>
      <c r="I813" s="24" t="str">
        <f aca="false">IFERROR(INDEX('Fault Master'!$C$5:$C$104,MATCH(G813,'Fault Master'!$A$5:$A$104,0)),"")</f>
        <v/>
      </c>
      <c r="J813" s="26"/>
      <c r="K813" s="26"/>
      <c r="L813" s="26"/>
      <c r="M813" s="26"/>
      <c r="N813" s="26"/>
      <c r="O813" s="26"/>
      <c r="P813" s="34"/>
    </row>
    <row r="814" customFormat="false" ht="15" hidden="false" customHeight="true" outlineLevel="0" collapsed="false">
      <c r="A814" s="18" t="n">
        <v>303</v>
      </c>
      <c r="B814" s="25"/>
      <c r="C814" s="26"/>
      <c r="D814" s="26"/>
      <c r="E814" s="26"/>
      <c r="F814" s="24" t="str">
        <f aca="false">IFERROR(INDEX('Operator Master'!$B$5:$B$504,MATCH(E814,'Operator Master'!$A$5:$A$504,0)),"")</f>
        <v/>
      </c>
      <c r="G814" s="26"/>
      <c r="H814" s="24" t="str">
        <f aca="false">IFERROR(INDEX('Fault Master'!$B$5:$B$104,MATCH(G814,'Fault Master'!$A$5:$A$104,0)),"")</f>
        <v/>
      </c>
      <c r="I814" s="24" t="str">
        <f aca="false">IFERROR(INDEX('Fault Master'!$C$5:$C$104,MATCH(G814,'Fault Master'!$A$5:$A$104,0)),"")</f>
        <v/>
      </c>
      <c r="J814" s="26"/>
      <c r="K814" s="26"/>
      <c r="L814" s="26"/>
      <c r="M814" s="26"/>
      <c r="N814" s="26"/>
      <c r="O814" s="26"/>
      <c r="P814" s="34"/>
    </row>
    <row r="815" customFormat="false" ht="15" hidden="false" customHeight="true" outlineLevel="0" collapsed="false">
      <c r="A815" s="18" t="n">
        <v>304</v>
      </c>
      <c r="B815" s="25"/>
      <c r="C815" s="26"/>
      <c r="D815" s="26"/>
      <c r="E815" s="26"/>
      <c r="F815" s="24" t="str">
        <f aca="false">IFERROR(INDEX('Operator Master'!$B$5:$B$504,MATCH(E815,'Operator Master'!$A$5:$A$504,0)),"")</f>
        <v/>
      </c>
      <c r="G815" s="26"/>
      <c r="H815" s="24" t="str">
        <f aca="false">IFERROR(INDEX('Fault Master'!$B$5:$B$104,MATCH(G815,'Fault Master'!$A$5:$A$104,0)),"")</f>
        <v/>
      </c>
      <c r="I815" s="24" t="str">
        <f aca="false">IFERROR(INDEX('Fault Master'!$C$5:$C$104,MATCH(G815,'Fault Master'!$A$5:$A$104,0)),"")</f>
        <v/>
      </c>
      <c r="J815" s="26"/>
      <c r="K815" s="26"/>
      <c r="L815" s="26"/>
      <c r="M815" s="26"/>
      <c r="N815" s="26"/>
      <c r="O815" s="26"/>
      <c r="P815" s="34"/>
    </row>
    <row r="816" customFormat="false" ht="15" hidden="false" customHeight="true" outlineLevel="0" collapsed="false">
      <c r="A816" s="18" t="n">
        <v>305</v>
      </c>
      <c r="B816" s="25"/>
      <c r="C816" s="26"/>
      <c r="D816" s="26"/>
      <c r="E816" s="26"/>
      <c r="F816" s="24" t="str">
        <f aca="false">IFERROR(INDEX('Operator Master'!$B$5:$B$504,MATCH(E816,'Operator Master'!$A$5:$A$504,0)),"")</f>
        <v/>
      </c>
      <c r="G816" s="26"/>
      <c r="H816" s="24" t="str">
        <f aca="false">IFERROR(INDEX('Fault Master'!$B$5:$B$104,MATCH(G816,'Fault Master'!$A$5:$A$104,0)),"")</f>
        <v/>
      </c>
      <c r="I816" s="24" t="str">
        <f aca="false">IFERROR(INDEX('Fault Master'!$C$5:$C$104,MATCH(G816,'Fault Master'!$A$5:$A$104,0)),"")</f>
        <v/>
      </c>
      <c r="J816" s="26"/>
      <c r="K816" s="26"/>
      <c r="L816" s="26"/>
      <c r="M816" s="26"/>
      <c r="N816" s="26"/>
      <c r="O816" s="26"/>
      <c r="P816" s="34"/>
    </row>
    <row r="817" customFormat="false" ht="15" hidden="false" customHeight="true" outlineLevel="0" collapsed="false">
      <c r="A817" s="18" t="n">
        <v>306</v>
      </c>
      <c r="B817" s="25"/>
      <c r="C817" s="26"/>
      <c r="D817" s="26"/>
      <c r="E817" s="26"/>
      <c r="F817" s="24" t="str">
        <f aca="false">IFERROR(INDEX('Operator Master'!$B$5:$B$504,MATCH(E817,'Operator Master'!$A$5:$A$504,0)),"")</f>
        <v/>
      </c>
      <c r="G817" s="26"/>
      <c r="H817" s="24" t="str">
        <f aca="false">IFERROR(INDEX('Fault Master'!$B$5:$B$104,MATCH(G817,'Fault Master'!$A$5:$A$104,0)),"")</f>
        <v/>
      </c>
      <c r="I817" s="24" t="str">
        <f aca="false">IFERROR(INDEX('Fault Master'!$C$5:$C$104,MATCH(G817,'Fault Master'!$A$5:$A$104,0)),"")</f>
        <v/>
      </c>
      <c r="J817" s="26"/>
      <c r="K817" s="26"/>
      <c r="L817" s="26"/>
      <c r="M817" s="26"/>
      <c r="N817" s="26"/>
      <c r="O817" s="26"/>
      <c r="P817" s="34"/>
    </row>
    <row r="818" customFormat="false" ht="15" hidden="false" customHeight="true" outlineLevel="0" collapsed="false">
      <c r="A818" s="18" t="n">
        <v>307</v>
      </c>
      <c r="B818" s="25"/>
      <c r="C818" s="26"/>
      <c r="D818" s="26"/>
      <c r="E818" s="26"/>
      <c r="F818" s="24" t="str">
        <f aca="false">IFERROR(INDEX('Operator Master'!$B$5:$B$504,MATCH(E818,'Operator Master'!$A$5:$A$504,0)),"")</f>
        <v/>
      </c>
      <c r="G818" s="26"/>
      <c r="H818" s="24" t="str">
        <f aca="false">IFERROR(INDEX('Fault Master'!$B$5:$B$104,MATCH(G818,'Fault Master'!$A$5:$A$104,0)),"")</f>
        <v/>
      </c>
      <c r="I818" s="24" t="str">
        <f aca="false">IFERROR(INDEX('Fault Master'!$C$5:$C$104,MATCH(G818,'Fault Master'!$A$5:$A$104,0)),"")</f>
        <v/>
      </c>
      <c r="J818" s="26"/>
      <c r="K818" s="26"/>
      <c r="L818" s="26"/>
      <c r="M818" s="26"/>
      <c r="N818" s="26"/>
      <c r="O818" s="26"/>
      <c r="P818" s="34"/>
    </row>
    <row r="819" customFormat="false" ht="15" hidden="false" customHeight="true" outlineLevel="0" collapsed="false">
      <c r="A819" s="18" t="n">
        <v>308</v>
      </c>
      <c r="B819" s="25"/>
      <c r="C819" s="26"/>
      <c r="D819" s="26"/>
      <c r="E819" s="26"/>
      <c r="F819" s="24" t="str">
        <f aca="false">IFERROR(INDEX('Operator Master'!$B$5:$B$504,MATCH(E819,'Operator Master'!$A$5:$A$504,0)),"")</f>
        <v/>
      </c>
      <c r="G819" s="26"/>
      <c r="H819" s="24" t="str">
        <f aca="false">IFERROR(INDEX('Fault Master'!$B$5:$B$104,MATCH(G819,'Fault Master'!$A$5:$A$104,0)),"")</f>
        <v/>
      </c>
      <c r="I819" s="24" t="str">
        <f aca="false">IFERROR(INDEX('Fault Master'!$C$5:$C$104,MATCH(G819,'Fault Master'!$A$5:$A$104,0)),"")</f>
        <v/>
      </c>
      <c r="J819" s="26"/>
      <c r="K819" s="26"/>
      <c r="L819" s="26"/>
      <c r="M819" s="26"/>
      <c r="N819" s="26"/>
      <c r="O819" s="26"/>
      <c r="P819" s="34"/>
    </row>
    <row r="820" customFormat="false" ht="15" hidden="false" customHeight="true" outlineLevel="0" collapsed="false">
      <c r="A820" s="18" t="n">
        <v>309</v>
      </c>
      <c r="B820" s="25"/>
      <c r="C820" s="26"/>
      <c r="D820" s="26"/>
      <c r="E820" s="26"/>
      <c r="F820" s="24" t="str">
        <f aca="false">IFERROR(INDEX('Operator Master'!$B$5:$B$504,MATCH(E820,'Operator Master'!$A$5:$A$504,0)),"")</f>
        <v/>
      </c>
      <c r="G820" s="26"/>
      <c r="H820" s="24" t="str">
        <f aca="false">IFERROR(INDEX('Fault Master'!$B$5:$B$104,MATCH(G820,'Fault Master'!$A$5:$A$104,0)),"")</f>
        <v/>
      </c>
      <c r="I820" s="24" t="str">
        <f aca="false">IFERROR(INDEX('Fault Master'!$C$5:$C$104,MATCH(G820,'Fault Master'!$A$5:$A$104,0)),"")</f>
        <v/>
      </c>
      <c r="J820" s="26"/>
      <c r="K820" s="26"/>
      <c r="L820" s="26"/>
      <c r="M820" s="26"/>
      <c r="N820" s="26"/>
      <c r="O820" s="26"/>
      <c r="P820" s="34"/>
    </row>
    <row r="821" customFormat="false" ht="15" hidden="false" customHeight="true" outlineLevel="0" collapsed="false">
      <c r="A821" s="18" t="n">
        <v>310</v>
      </c>
      <c r="B821" s="25"/>
      <c r="C821" s="26"/>
      <c r="D821" s="26"/>
      <c r="E821" s="26"/>
      <c r="F821" s="24" t="str">
        <f aca="false">IFERROR(INDEX('Operator Master'!$B$5:$B$504,MATCH(E821,'Operator Master'!$A$5:$A$504,0)),"")</f>
        <v/>
      </c>
      <c r="G821" s="26"/>
      <c r="H821" s="24" t="str">
        <f aca="false">IFERROR(INDEX('Fault Master'!$B$5:$B$104,MATCH(G821,'Fault Master'!$A$5:$A$104,0)),"")</f>
        <v/>
      </c>
      <c r="I821" s="24" t="str">
        <f aca="false">IFERROR(INDEX('Fault Master'!$C$5:$C$104,MATCH(G821,'Fault Master'!$A$5:$A$104,0)),"")</f>
        <v/>
      </c>
      <c r="J821" s="26"/>
      <c r="K821" s="26"/>
      <c r="L821" s="26"/>
      <c r="M821" s="26"/>
      <c r="N821" s="26"/>
      <c r="O821" s="26"/>
      <c r="P821" s="34"/>
    </row>
    <row r="822" customFormat="false" ht="15" hidden="false" customHeight="true" outlineLevel="0" collapsed="false">
      <c r="A822" s="18" t="n">
        <v>311</v>
      </c>
      <c r="B822" s="25"/>
      <c r="C822" s="26"/>
      <c r="D822" s="26"/>
      <c r="E822" s="26"/>
      <c r="F822" s="24" t="str">
        <f aca="false">IFERROR(INDEX('Operator Master'!$B$5:$B$504,MATCH(E822,'Operator Master'!$A$5:$A$504,0)),"")</f>
        <v/>
      </c>
      <c r="G822" s="26"/>
      <c r="H822" s="24" t="str">
        <f aca="false">IFERROR(INDEX('Fault Master'!$B$5:$B$104,MATCH(G822,'Fault Master'!$A$5:$A$104,0)),"")</f>
        <v/>
      </c>
      <c r="I822" s="24" t="str">
        <f aca="false">IFERROR(INDEX('Fault Master'!$C$5:$C$104,MATCH(G822,'Fault Master'!$A$5:$A$104,0)),"")</f>
        <v/>
      </c>
      <c r="J822" s="26"/>
      <c r="K822" s="26"/>
      <c r="L822" s="26"/>
      <c r="M822" s="26"/>
      <c r="N822" s="26"/>
      <c r="O822" s="26"/>
      <c r="P822" s="34"/>
    </row>
    <row r="823" customFormat="false" ht="15" hidden="false" customHeight="true" outlineLevel="0" collapsed="false">
      <c r="A823" s="18" t="n">
        <v>312</v>
      </c>
      <c r="B823" s="25"/>
      <c r="C823" s="26"/>
      <c r="D823" s="26"/>
      <c r="E823" s="26"/>
      <c r="F823" s="24" t="str">
        <f aca="false">IFERROR(INDEX('Operator Master'!$B$5:$B$504,MATCH(E823,'Operator Master'!$A$5:$A$504,0)),"")</f>
        <v/>
      </c>
      <c r="G823" s="26"/>
      <c r="H823" s="24" t="str">
        <f aca="false">IFERROR(INDEX('Fault Master'!$B$5:$B$104,MATCH(G823,'Fault Master'!$A$5:$A$104,0)),"")</f>
        <v/>
      </c>
      <c r="I823" s="24" t="str">
        <f aca="false">IFERROR(INDEX('Fault Master'!$C$5:$C$104,MATCH(G823,'Fault Master'!$A$5:$A$104,0)),"")</f>
        <v/>
      </c>
      <c r="J823" s="26"/>
      <c r="K823" s="26"/>
      <c r="L823" s="26"/>
      <c r="M823" s="26"/>
      <c r="N823" s="26"/>
      <c r="O823" s="26"/>
      <c r="P823" s="34"/>
    </row>
    <row r="824" customFormat="false" ht="15" hidden="false" customHeight="true" outlineLevel="0" collapsed="false">
      <c r="A824" s="18" t="n">
        <v>313</v>
      </c>
      <c r="B824" s="25"/>
      <c r="C824" s="26"/>
      <c r="D824" s="26"/>
      <c r="E824" s="26"/>
      <c r="F824" s="24" t="str">
        <f aca="false">IFERROR(INDEX('Operator Master'!$B$5:$B$504,MATCH(E824,'Operator Master'!$A$5:$A$504,0)),"")</f>
        <v/>
      </c>
      <c r="G824" s="26"/>
      <c r="H824" s="24" t="str">
        <f aca="false">IFERROR(INDEX('Fault Master'!$B$5:$B$104,MATCH(G824,'Fault Master'!$A$5:$A$104,0)),"")</f>
        <v/>
      </c>
      <c r="I824" s="24" t="str">
        <f aca="false">IFERROR(INDEX('Fault Master'!$C$5:$C$104,MATCH(G824,'Fault Master'!$A$5:$A$104,0)),"")</f>
        <v/>
      </c>
      <c r="J824" s="26"/>
      <c r="K824" s="26"/>
      <c r="L824" s="26"/>
      <c r="M824" s="26"/>
      <c r="N824" s="26"/>
      <c r="O824" s="26"/>
      <c r="P824" s="34"/>
    </row>
    <row r="825" customFormat="false" ht="15" hidden="false" customHeight="true" outlineLevel="0" collapsed="false">
      <c r="A825" s="18" t="n">
        <v>314</v>
      </c>
      <c r="B825" s="25"/>
      <c r="C825" s="26"/>
      <c r="D825" s="26"/>
      <c r="E825" s="26"/>
      <c r="F825" s="24" t="str">
        <f aca="false">IFERROR(INDEX('Operator Master'!$B$5:$B$504,MATCH(E825,'Operator Master'!$A$5:$A$504,0)),"")</f>
        <v/>
      </c>
      <c r="G825" s="26"/>
      <c r="H825" s="24" t="str">
        <f aca="false">IFERROR(INDEX('Fault Master'!$B$5:$B$104,MATCH(G825,'Fault Master'!$A$5:$A$104,0)),"")</f>
        <v/>
      </c>
      <c r="I825" s="24" t="str">
        <f aca="false">IFERROR(INDEX('Fault Master'!$C$5:$C$104,MATCH(G825,'Fault Master'!$A$5:$A$104,0)),"")</f>
        <v/>
      </c>
      <c r="J825" s="26"/>
      <c r="K825" s="26"/>
      <c r="L825" s="26"/>
      <c r="M825" s="26"/>
      <c r="N825" s="26"/>
      <c r="O825" s="26"/>
      <c r="P825" s="34"/>
    </row>
    <row r="826" customFormat="false" ht="15" hidden="false" customHeight="true" outlineLevel="0" collapsed="false">
      <c r="A826" s="18" t="n">
        <v>315</v>
      </c>
      <c r="B826" s="25"/>
      <c r="C826" s="26"/>
      <c r="D826" s="26"/>
      <c r="E826" s="26"/>
      <c r="F826" s="24" t="str">
        <f aca="false">IFERROR(INDEX('Operator Master'!$B$5:$B$504,MATCH(E826,'Operator Master'!$A$5:$A$504,0)),"")</f>
        <v/>
      </c>
      <c r="G826" s="26"/>
      <c r="H826" s="24" t="str">
        <f aca="false">IFERROR(INDEX('Fault Master'!$B$5:$B$104,MATCH(G826,'Fault Master'!$A$5:$A$104,0)),"")</f>
        <v/>
      </c>
      <c r="I826" s="24" t="str">
        <f aca="false">IFERROR(INDEX('Fault Master'!$C$5:$C$104,MATCH(G826,'Fault Master'!$A$5:$A$104,0)),"")</f>
        <v/>
      </c>
      <c r="J826" s="26"/>
      <c r="K826" s="26"/>
      <c r="L826" s="26"/>
      <c r="M826" s="26"/>
      <c r="N826" s="26"/>
      <c r="O826" s="26"/>
      <c r="P826" s="34"/>
    </row>
    <row r="827" customFormat="false" ht="15" hidden="false" customHeight="true" outlineLevel="0" collapsed="false">
      <c r="A827" s="18" t="n">
        <v>316</v>
      </c>
      <c r="B827" s="25"/>
      <c r="C827" s="26"/>
      <c r="D827" s="26"/>
      <c r="E827" s="26"/>
      <c r="F827" s="24" t="str">
        <f aca="false">IFERROR(INDEX('Operator Master'!$B$5:$B$504,MATCH(E827,'Operator Master'!$A$5:$A$504,0)),"")</f>
        <v/>
      </c>
      <c r="G827" s="26"/>
      <c r="H827" s="24" t="str">
        <f aca="false">IFERROR(INDEX('Fault Master'!$B$5:$B$104,MATCH(G827,'Fault Master'!$A$5:$A$104,0)),"")</f>
        <v/>
      </c>
      <c r="I827" s="24" t="str">
        <f aca="false">IFERROR(INDEX('Fault Master'!$C$5:$C$104,MATCH(G827,'Fault Master'!$A$5:$A$104,0)),"")</f>
        <v/>
      </c>
      <c r="J827" s="26"/>
      <c r="K827" s="26"/>
      <c r="L827" s="26"/>
      <c r="M827" s="26"/>
      <c r="N827" s="26"/>
      <c r="O827" s="26"/>
      <c r="P827" s="34"/>
    </row>
    <row r="828" customFormat="false" ht="15" hidden="false" customHeight="true" outlineLevel="0" collapsed="false">
      <c r="A828" s="18" t="n">
        <v>317</v>
      </c>
      <c r="B828" s="25"/>
      <c r="C828" s="26"/>
      <c r="D828" s="26"/>
      <c r="E828" s="26"/>
      <c r="F828" s="24" t="str">
        <f aca="false">IFERROR(INDEX('Operator Master'!$B$5:$B$504,MATCH(E828,'Operator Master'!$A$5:$A$504,0)),"")</f>
        <v/>
      </c>
      <c r="G828" s="26"/>
      <c r="H828" s="24" t="str">
        <f aca="false">IFERROR(INDEX('Fault Master'!$B$5:$B$104,MATCH(G828,'Fault Master'!$A$5:$A$104,0)),"")</f>
        <v/>
      </c>
      <c r="I828" s="24" t="str">
        <f aca="false">IFERROR(INDEX('Fault Master'!$C$5:$C$104,MATCH(G828,'Fault Master'!$A$5:$A$104,0)),"")</f>
        <v/>
      </c>
      <c r="J828" s="26"/>
      <c r="K828" s="26"/>
      <c r="L828" s="26"/>
      <c r="M828" s="26"/>
      <c r="N828" s="26"/>
      <c r="O828" s="26"/>
      <c r="P828" s="34"/>
    </row>
    <row r="829" customFormat="false" ht="15" hidden="false" customHeight="true" outlineLevel="0" collapsed="false">
      <c r="A829" s="18" t="n">
        <v>318</v>
      </c>
      <c r="B829" s="25"/>
      <c r="C829" s="26"/>
      <c r="D829" s="26"/>
      <c r="E829" s="26"/>
      <c r="F829" s="24" t="str">
        <f aca="false">IFERROR(INDEX('Operator Master'!$B$5:$B$504,MATCH(E829,'Operator Master'!$A$5:$A$504,0)),"")</f>
        <v/>
      </c>
      <c r="G829" s="26"/>
      <c r="H829" s="24" t="str">
        <f aca="false">IFERROR(INDEX('Fault Master'!$B$5:$B$104,MATCH(G829,'Fault Master'!$A$5:$A$104,0)),"")</f>
        <v/>
      </c>
      <c r="I829" s="24" t="str">
        <f aca="false">IFERROR(INDEX('Fault Master'!$C$5:$C$104,MATCH(G829,'Fault Master'!$A$5:$A$104,0)),"")</f>
        <v/>
      </c>
      <c r="J829" s="26"/>
      <c r="K829" s="26"/>
      <c r="L829" s="26"/>
      <c r="M829" s="26"/>
      <c r="N829" s="26"/>
      <c r="O829" s="26"/>
      <c r="P829" s="34"/>
    </row>
    <row r="830" customFormat="false" ht="15" hidden="false" customHeight="true" outlineLevel="0" collapsed="false">
      <c r="A830" s="18" t="n">
        <v>319</v>
      </c>
      <c r="B830" s="25"/>
      <c r="C830" s="26"/>
      <c r="D830" s="26"/>
      <c r="E830" s="26"/>
      <c r="F830" s="24" t="str">
        <f aca="false">IFERROR(INDEX('Operator Master'!$B$5:$B$504,MATCH(E830,'Operator Master'!$A$5:$A$504,0)),"")</f>
        <v/>
      </c>
      <c r="G830" s="26"/>
      <c r="H830" s="24" t="str">
        <f aca="false">IFERROR(INDEX('Fault Master'!$B$5:$B$104,MATCH(G830,'Fault Master'!$A$5:$A$104,0)),"")</f>
        <v/>
      </c>
      <c r="I830" s="24" t="str">
        <f aca="false">IFERROR(INDEX('Fault Master'!$C$5:$C$104,MATCH(G830,'Fault Master'!$A$5:$A$104,0)),"")</f>
        <v/>
      </c>
      <c r="J830" s="26"/>
      <c r="K830" s="26"/>
      <c r="L830" s="26"/>
      <c r="M830" s="26"/>
      <c r="N830" s="26"/>
      <c r="O830" s="26"/>
      <c r="P830" s="34"/>
    </row>
    <row r="831" customFormat="false" ht="15" hidden="false" customHeight="true" outlineLevel="0" collapsed="false">
      <c r="A831" s="18" t="n">
        <v>320</v>
      </c>
      <c r="B831" s="25"/>
      <c r="C831" s="26"/>
      <c r="D831" s="26"/>
      <c r="E831" s="26"/>
      <c r="F831" s="24" t="str">
        <f aca="false">IFERROR(INDEX('Operator Master'!$B$5:$B$504,MATCH(E831,'Operator Master'!$A$5:$A$504,0)),"")</f>
        <v/>
      </c>
      <c r="G831" s="26"/>
      <c r="H831" s="24" t="str">
        <f aca="false">IFERROR(INDEX('Fault Master'!$B$5:$B$104,MATCH(G831,'Fault Master'!$A$5:$A$104,0)),"")</f>
        <v/>
      </c>
      <c r="I831" s="24" t="str">
        <f aca="false">IFERROR(INDEX('Fault Master'!$C$5:$C$104,MATCH(G831,'Fault Master'!$A$5:$A$104,0)),"")</f>
        <v/>
      </c>
      <c r="J831" s="26"/>
      <c r="K831" s="26"/>
      <c r="L831" s="26"/>
      <c r="M831" s="26"/>
      <c r="N831" s="26"/>
      <c r="O831" s="26"/>
      <c r="P831" s="34"/>
    </row>
    <row r="832" customFormat="false" ht="15" hidden="false" customHeight="true" outlineLevel="0" collapsed="false">
      <c r="A832" s="18" t="n">
        <v>321</v>
      </c>
      <c r="B832" s="25"/>
      <c r="C832" s="26"/>
      <c r="D832" s="26"/>
      <c r="E832" s="26"/>
      <c r="F832" s="24" t="str">
        <f aca="false">IFERROR(INDEX('Operator Master'!$B$5:$B$504,MATCH(E832,'Operator Master'!$A$5:$A$504,0)),"")</f>
        <v/>
      </c>
      <c r="G832" s="26"/>
      <c r="H832" s="24" t="str">
        <f aca="false">IFERROR(INDEX('Fault Master'!$B$5:$B$104,MATCH(G832,'Fault Master'!$A$5:$A$104,0)),"")</f>
        <v/>
      </c>
      <c r="I832" s="24" t="str">
        <f aca="false">IFERROR(INDEX('Fault Master'!$C$5:$C$104,MATCH(G832,'Fault Master'!$A$5:$A$104,0)),"")</f>
        <v/>
      </c>
      <c r="J832" s="26"/>
      <c r="K832" s="26"/>
      <c r="L832" s="26"/>
      <c r="M832" s="26"/>
      <c r="N832" s="26"/>
      <c r="O832" s="26"/>
      <c r="P832" s="34"/>
    </row>
    <row r="833" customFormat="false" ht="15" hidden="false" customHeight="true" outlineLevel="0" collapsed="false">
      <c r="A833" s="18" t="n">
        <v>322</v>
      </c>
      <c r="B833" s="25"/>
      <c r="C833" s="26"/>
      <c r="D833" s="26"/>
      <c r="E833" s="26"/>
      <c r="F833" s="24" t="str">
        <f aca="false">IFERROR(INDEX('Operator Master'!$B$5:$B$504,MATCH(E833,'Operator Master'!$A$5:$A$504,0)),"")</f>
        <v/>
      </c>
      <c r="G833" s="26"/>
      <c r="H833" s="24" t="str">
        <f aca="false">IFERROR(INDEX('Fault Master'!$B$5:$B$104,MATCH(G833,'Fault Master'!$A$5:$A$104,0)),"")</f>
        <v/>
      </c>
      <c r="I833" s="24" t="str">
        <f aca="false">IFERROR(INDEX('Fault Master'!$C$5:$C$104,MATCH(G833,'Fault Master'!$A$5:$A$104,0)),"")</f>
        <v/>
      </c>
      <c r="J833" s="26"/>
      <c r="K833" s="26"/>
      <c r="L833" s="26"/>
      <c r="M833" s="26"/>
      <c r="N833" s="26"/>
      <c r="O833" s="26"/>
      <c r="P833" s="34"/>
    </row>
    <row r="834" customFormat="false" ht="15" hidden="false" customHeight="true" outlineLevel="0" collapsed="false">
      <c r="A834" s="18" t="n">
        <v>323</v>
      </c>
      <c r="B834" s="25"/>
      <c r="C834" s="26"/>
      <c r="D834" s="26"/>
      <c r="E834" s="26"/>
      <c r="F834" s="24" t="str">
        <f aca="false">IFERROR(INDEX('Operator Master'!$B$5:$B$504,MATCH(E834,'Operator Master'!$A$5:$A$504,0)),"")</f>
        <v/>
      </c>
      <c r="G834" s="26"/>
      <c r="H834" s="24" t="str">
        <f aca="false">IFERROR(INDEX('Fault Master'!$B$5:$B$104,MATCH(G834,'Fault Master'!$A$5:$A$104,0)),"")</f>
        <v/>
      </c>
      <c r="I834" s="24" t="str">
        <f aca="false">IFERROR(INDEX('Fault Master'!$C$5:$C$104,MATCH(G834,'Fault Master'!$A$5:$A$104,0)),"")</f>
        <v/>
      </c>
      <c r="J834" s="26"/>
      <c r="K834" s="26"/>
      <c r="L834" s="26"/>
      <c r="M834" s="26"/>
      <c r="N834" s="26"/>
      <c r="O834" s="26"/>
      <c r="P834" s="34"/>
    </row>
    <row r="835" customFormat="false" ht="15" hidden="false" customHeight="true" outlineLevel="0" collapsed="false">
      <c r="A835" s="18" t="n">
        <v>324</v>
      </c>
      <c r="B835" s="25"/>
      <c r="C835" s="26"/>
      <c r="D835" s="26"/>
      <c r="E835" s="26"/>
      <c r="F835" s="24" t="str">
        <f aca="false">IFERROR(INDEX('Operator Master'!$B$5:$B$504,MATCH(E835,'Operator Master'!$A$5:$A$504,0)),"")</f>
        <v/>
      </c>
      <c r="G835" s="26"/>
      <c r="H835" s="24" t="str">
        <f aca="false">IFERROR(INDEX('Fault Master'!$B$5:$B$104,MATCH(G835,'Fault Master'!$A$5:$A$104,0)),"")</f>
        <v/>
      </c>
      <c r="I835" s="24" t="str">
        <f aca="false">IFERROR(INDEX('Fault Master'!$C$5:$C$104,MATCH(G835,'Fault Master'!$A$5:$A$104,0)),"")</f>
        <v/>
      </c>
      <c r="J835" s="26"/>
      <c r="K835" s="26"/>
      <c r="L835" s="26"/>
      <c r="M835" s="26"/>
      <c r="N835" s="26"/>
      <c r="O835" s="26"/>
      <c r="P835" s="34"/>
    </row>
    <row r="836" customFormat="false" ht="15" hidden="false" customHeight="true" outlineLevel="0" collapsed="false">
      <c r="A836" s="18" t="n">
        <v>325</v>
      </c>
      <c r="B836" s="25"/>
      <c r="C836" s="26"/>
      <c r="D836" s="26"/>
      <c r="E836" s="26"/>
      <c r="F836" s="24" t="str">
        <f aca="false">IFERROR(INDEX('Operator Master'!$B$5:$B$504,MATCH(E836,'Operator Master'!$A$5:$A$504,0)),"")</f>
        <v/>
      </c>
      <c r="G836" s="26"/>
      <c r="H836" s="24" t="str">
        <f aca="false">IFERROR(INDEX('Fault Master'!$B$5:$B$104,MATCH(G836,'Fault Master'!$A$5:$A$104,0)),"")</f>
        <v/>
      </c>
      <c r="I836" s="24" t="str">
        <f aca="false">IFERROR(INDEX('Fault Master'!$C$5:$C$104,MATCH(G836,'Fault Master'!$A$5:$A$104,0)),"")</f>
        <v/>
      </c>
      <c r="J836" s="26"/>
      <c r="K836" s="26"/>
      <c r="L836" s="26"/>
      <c r="M836" s="26"/>
      <c r="N836" s="26"/>
      <c r="O836" s="26"/>
      <c r="P836" s="34"/>
    </row>
    <row r="837" customFormat="false" ht="15" hidden="false" customHeight="true" outlineLevel="0" collapsed="false">
      <c r="A837" s="18" t="n">
        <v>326</v>
      </c>
      <c r="B837" s="25"/>
      <c r="C837" s="26"/>
      <c r="D837" s="26"/>
      <c r="E837" s="26"/>
      <c r="F837" s="24" t="str">
        <f aca="false">IFERROR(INDEX('Operator Master'!$B$5:$B$504,MATCH(E837,'Operator Master'!$A$5:$A$504,0)),"")</f>
        <v/>
      </c>
      <c r="G837" s="26"/>
      <c r="H837" s="24" t="str">
        <f aca="false">IFERROR(INDEX('Fault Master'!$B$5:$B$104,MATCH(G837,'Fault Master'!$A$5:$A$104,0)),"")</f>
        <v/>
      </c>
      <c r="I837" s="24" t="str">
        <f aca="false">IFERROR(INDEX('Fault Master'!$C$5:$C$104,MATCH(G837,'Fault Master'!$A$5:$A$104,0)),"")</f>
        <v/>
      </c>
      <c r="J837" s="26"/>
      <c r="K837" s="26"/>
      <c r="L837" s="26"/>
      <c r="M837" s="26"/>
      <c r="N837" s="26"/>
      <c r="O837" s="26"/>
      <c r="P837" s="34"/>
    </row>
    <row r="838" customFormat="false" ht="15" hidden="false" customHeight="true" outlineLevel="0" collapsed="false">
      <c r="A838" s="18" t="n">
        <v>327</v>
      </c>
      <c r="B838" s="25"/>
      <c r="C838" s="26"/>
      <c r="D838" s="26"/>
      <c r="E838" s="26"/>
      <c r="F838" s="24" t="str">
        <f aca="false">IFERROR(INDEX('Operator Master'!$B$5:$B$504,MATCH(E838,'Operator Master'!$A$5:$A$504,0)),"")</f>
        <v/>
      </c>
      <c r="G838" s="26"/>
      <c r="H838" s="24" t="str">
        <f aca="false">IFERROR(INDEX('Fault Master'!$B$5:$B$104,MATCH(G838,'Fault Master'!$A$5:$A$104,0)),"")</f>
        <v/>
      </c>
      <c r="I838" s="24" t="str">
        <f aca="false">IFERROR(INDEX('Fault Master'!$C$5:$C$104,MATCH(G838,'Fault Master'!$A$5:$A$104,0)),"")</f>
        <v/>
      </c>
      <c r="J838" s="26"/>
      <c r="K838" s="26"/>
      <c r="L838" s="26"/>
      <c r="M838" s="26"/>
      <c r="N838" s="26"/>
      <c r="O838" s="26"/>
      <c r="P838" s="34"/>
    </row>
    <row r="839" customFormat="false" ht="15" hidden="false" customHeight="true" outlineLevel="0" collapsed="false">
      <c r="A839" s="18" t="n">
        <v>328</v>
      </c>
      <c r="B839" s="25"/>
      <c r="C839" s="26"/>
      <c r="D839" s="26"/>
      <c r="E839" s="26"/>
      <c r="F839" s="24" t="str">
        <f aca="false">IFERROR(INDEX('Operator Master'!$B$5:$B$504,MATCH(E839,'Operator Master'!$A$5:$A$504,0)),"")</f>
        <v/>
      </c>
      <c r="G839" s="26"/>
      <c r="H839" s="24" t="str">
        <f aca="false">IFERROR(INDEX('Fault Master'!$B$5:$B$104,MATCH(G839,'Fault Master'!$A$5:$A$104,0)),"")</f>
        <v/>
      </c>
      <c r="I839" s="24" t="str">
        <f aca="false">IFERROR(INDEX('Fault Master'!$C$5:$C$104,MATCH(G839,'Fault Master'!$A$5:$A$104,0)),"")</f>
        <v/>
      </c>
      <c r="J839" s="26"/>
      <c r="K839" s="26"/>
      <c r="L839" s="26"/>
      <c r="M839" s="26"/>
      <c r="N839" s="26"/>
      <c r="O839" s="26"/>
      <c r="P839" s="34"/>
    </row>
    <row r="840" customFormat="false" ht="15" hidden="false" customHeight="true" outlineLevel="0" collapsed="false">
      <c r="A840" s="18" t="n">
        <v>329</v>
      </c>
      <c r="B840" s="25"/>
      <c r="C840" s="26"/>
      <c r="D840" s="26"/>
      <c r="E840" s="26"/>
      <c r="F840" s="24" t="str">
        <f aca="false">IFERROR(INDEX('Operator Master'!$B$5:$B$504,MATCH(E840,'Operator Master'!$A$5:$A$504,0)),"")</f>
        <v/>
      </c>
      <c r="G840" s="26"/>
      <c r="H840" s="24" t="str">
        <f aca="false">IFERROR(INDEX('Fault Master'!$B$5:$B$104,MATCH(G840,'Fault Master'!$A$5:$A$104,0)),"")</f>
        <v/>
      </c>
      <c r="I840" s="24" t="str">
        <f aca="false">IFERROR(INDEX('Fault Master'!$C$5:$C$104,MATCH(G840,'Fault Master'!$A$5:$A$104,0)),"")</f>
        <v/>
      </c>
      <c r="J840" s="26"/>
      <c r="K840" s="26"/>
      <c r="L840" s="26"/>
      <c r="M840" s="26"/>
      <c r="N840" s="26"/>
      <c r="O840" s="26"/>
      <c r="P840" s="34"/>
    </row>
    <row r="841" customFormat="false" ht="15" hidden="false" customHeight="true" outlineLevel="0" collapsed="false">
      <c r="A841" s="18" t="n">
        <v>330</v>
      </c>
      <c r="B841" s="25"/>
      <c r="C841" s="26"/>
      <c r="D841" s="26"/>
      <c r="E841" s="26"/>
      <c r="F841" s="24" t="str">
        <f aca="false">IFERROR(INDEX('Operator Master'!$B$5:$B$504,MATCH(E841,'Operator Master'!$A$5:$A$504,0)),"")</f>
        <v/>
      </c>
      <c r="G841" s="26"/>
      <c r="H841" s="24" t="str">
        <f aca="false">IFERROR(INDEX('Fault Master'!$B$5:$B$104,MATCH(G841,'Fault Master'!$A$5:$A$104,0)),"")</f>
        <v/>
      </c>
      <c r="I841" s="24" t="str">
        <f aca="false">IFERROR(INDEX('Fault Master'!$C$5:$C$104,MATCH(G841,'Fault Master'!$A$5:$A$104,0)),"")</f>
        <v/>
      </c>
      <c r="J841" s="26"/>
      <c r="K841" s="26"/>
      <c r="L841" s="26"/>
      <c r="M841" s="26"/>
      <c r="N841" s="26"/>
      <c r="O841" s="26"/>
      <c r="P841" s="34"/>
    </row>
    <row r="842" customFormat="false" ht="15" hidden="false" customHeight="true" outlineLevel="0" collapsed="false">
      <c r="A842" s="18" t="n">
        <v>331</v>
      </c>
      <c r="B842" s="25"/>
      <c r="C842" s="26"/>
      <c r="D842" s="26"/>
      <c r="E842" s="26"/>
      <c r="F842" s="24" t="str">
        <f aca="false">IFERROR(INDEX('Operator Master'!$B$5:$B$504,MATCH(E842,'Operator Master'!$A$5:$A$504,0)),"")</f>
        <v/>
      </c>
      <c r="G842" s="26"/>
      <c r="H842" s="24" t="str">
        <f aca="false">IFERROR(INDEX('Fault Master'!$B$5:$B$104,MATCH(G842,'Fault Master'!$A$5:$A$104,0)),"")</f>
        <v/>
      </c>
      <c r="I842" s="24" t="str">
        <f aca="false">IFERROR(INDEX('Fault Master'!$C$5:$C$104,MATCH(G842,'Fault Master'!$A$5:$A$104,0)),"")</f>
        <v/>
      </c>
      <c r="J842" s="26"/>
      <c r="K842" s="26"/>
      <c r="L842" s="26"/>
      <c r="M842" s="26"/>
      <c r="N842" s="26"/>
      <c r="O842" s="26"/>
      <c r="P842" s="34"/>
    </row>
    <row r="843" customFormat="false" ht="15" hidden="false" customHeight="true" outlineLevel="0" collapsed="false">
      <c r="A843" s="18" t="n">
        <v>332</v>
      </c>
      <c r="B843" s="25"/>
      <c r="C843" s="26"/>
      <c r="D843" s="26"/>
      <c r="E843" s="26"/>
      <c r="F843" s="24" t="str">
        <f aca="false">IFERROR(INDEX('Operator Master'!$B$5:$B$504,MATCH(E843,'Operator Master'!$A$5:$A$504,0)),"")</f>
        <v/>
      </c>
      <c r="G843" s="26"/>
      <c r="H843" s="24" t="str">
        <f aca="false">IFERROR(INDEX('Fault Master'!$B$5:$B$104,MATCH(G843,'Fault Master'!$A$5:$A$104,0)),"")</f>
        <v/>
      </c>
      <c r="I843" s="24" t="str">
        <f aca="false">IFERROR(INDEX('Fault Master'!$C$5:$C$104,MATCH(G843,'Fault Master'!$A$5:$A$104,0)),"")</f>
        <v/>
      </c>
      <c r="J843" s="26"/>
      <c r="K843" s="26"/>
      <c r="L843" s="26"/>
      <c r="M843" s="26"/>
      <c r="N843" s="26"/>
      <c r="O843" s="26"/>
      <c r="P843" s="34"/>
    </row>
    <row r="844" customFormat="false" ht="15" hidden="false" customHeight="true" outlineLevel="0" collapsed="false">
      <c r="A844" s="18" t="n">
        <v>333</v>
      </c>
      <c r="B844" s="25"/>
      <c r="C844" s="26"/>
      <c r="D844" s="26"/>
      <c r="E844" s="26"/>
      <c r="F844" s="24" t="str">
        <f aca="false">IFERROR(INDEX('Operator Master'!$B$5:$B$504,MATCH(E844,'Operator Master'!$A$5:$A$504,0)),"")</f>
        <v/>
      </c>
      <c r="G844" s="26"/>
      <c r="H844" s="24" t="str">
        <f aca="false">IFERROR(INDEX('Fault Master'!$B$5:$B$104,MATCH(G844,'Fault Master'!$A$5:$A$104,0)),"")</f>
        <v/>
      </c>
      <c r="I844" s="24" t="str">
        <f aca="false">IFERROR(INDEX('Fault Master'!$C$5:$C$104,MATCH(G844,'Fault Master'!$A$5:$A$104,0)),"")</f>
        <v/>
      </c>
      <c r="J844" s="26"/>
      <c r="K844" s="26"/>
      <c r="L844" s="26"/>
      <c r="M844" s="26"/>
      <c r="N844" s="26"/>
      <c r="O844" s="26"/>
      <c r="P844" s="34"/>
    </row>
    <row r="845" customFormat="false" ht="15" hidden="false" customHeight="true" outlineLevel="0" collapsed="false">
      <c r="A845" s="18" t="n">
        <v>334</v>
      </c>
      <c r="B845" s="25"/>
      <c r="C845" s="26"/>
      <c r="D845" s="26"/>
      <c r="E845" s="26"/>
      <c r="F845" s="24" t="str">
        <f aca="false">IFERROR(INDEX('Operator Master'!$B$5:$B$504,MATCH(E845,'Operator Master'!$A$5:$A$504,0)),"")</f>
        <v/>
      </c>
      <c r="G845" s="26"/>
      <c r="H845" s="24" t="str">
        <f aca="false">IFERROR(INDEX('Fault Master'!$B$5:$B$104,MATCH(G845,'Fault Master'!$A$5:$A$104,0)),"")</f>
        <v/>
      </c>
      <c r="I845" s="24" t="str">
        <f aca="false">IFERROR(INDEX('Fault Master'!$C$5:$C$104,MATCH(G845,'Fault Master'!$A$5:$A$104,0)),"")</f>
        <v/>
      </c>
      <c r="J845" s="26"/>
      <c r="K845" s="26"/>
      <c r="L845" s="26"/>
      <c r="M845" s="26"/>
      <c r="N845" s="26"/>
      <c r="O845" s="26"/>
      <c r="P845" s="34"/>
    </row>
    <row r="846" customFormat="false" ht="15" hidden="false" customHeight="true" outlineLevel="0" collapsed="false">
      <c r="A846" s="18" t="n">
        <v>335</v>
      </c>
      <c r="B846" s="25"/>
      <c r="C846" s="26"/>
      <c r="D846" s="26"/>
      <c r="E846" s="26"/>
      <c r="F846" s="24" t="str">
        <f aca="false">IFERROR(INDEX('Operator Master'!$B$5:$B$504,MATCH(E846,'Operator Master'!$A$5:$A$504,0)),"")</f>
        <v/>
      </c>
      <c r="G846" s="26"/>
      <c r="H846" s="24" t="str">
        <f aca="false">IFERROR(INDEX('Fault Master'!$B$5:$B$104,MATCH(G846,'Fault Master'!$A$5:$A$104,0)),"")</f>
        <v/>
      </c>
      <c r="I846" s="24" t="str">
        <f aca="false">IFERROR(INDEX('Fault Master'!$C$5:$C$104,MATCH(G846,'Fault Master'!$A$5:$A$104,0)),"")</f>
        <v/>
      </c>
      <c r="J846" s="26"/>
      <c r="K846" s="26"/>
      <c r="L846" s="26"/>
      <c r="M846" s="26"/>
      <c r="N846" s="26"/>
      <c r="O846" s="26"/>
      <c r="P846" s="34"/>
    </row>
    <row r="847" customFormat="false" ht="15" hidden="false" customHeight="true" outlineLevel="0" collapsed="false">
      <c r="A847" s="18" t="n">
        <v>336</v>
      </c>
      <c r="B847" s="25"/>
      <c r="C847" s="26"/>
      <c r="D847" s="26"/>
      <c r="E847" s="26"/>
      <c r="F847" s="24" t="str">
        <f aca="false">IFERROR(INDEX('Operator Master'!$B$5:$B$504,MATCH(E847,'Operator Master'!$A$5:$A$504,0)),"")</f>
        <v/>
      </c>
      <c r="G847" s="26"/>
      <c r="H847" s="24" t="str">
        <f aca="false">IFERROR(INDEX('Fault Master'!$B$5:$B$104,MATCH(G847,'Fault Master'!$A$5:$A$104,0)),"")</f>
        <v/>
      </c>
      <c r="I847" s="24" t="str">
        <f aca="false">IFERROR(INDEX('Fault Master'!$C$5:$C$104,MATCH(G847,'Fault Master'!$A$5:$A$104,0)),"")</f>
        <v/>
      </c>
      <c r="J847" s="26"/>
      <c r="K847" s="26"/>
      <c r="L847" s="26"/>
      <c r="M847" s="26"/>
      <c r="N847" s="26"/>
      <c r="O847" s="26"/>
      <c r="P847" s="34"/>
    </row>
    <row r="848" customFormat="false" ht="15" hidden="false" customHeight="true" outlineLevel="0" collapsed="false">
      <c r="A848" s="18" t="n">
        <v>337</v>
      </c>
      <c r="B848" s="25"/>
      <c r="C848" s="26"/>
      <c r="D848" s="26"/>
      <c r="E848" s="26"/>
      <c r="F848" s="24" t="str">
        <f aca="false">IFERROR(INDEX('Operator Master'!$B$5:$B$504,MATCH(E848,'Operator Master'!$A$5:$A$504,0)),"")</f>
        <v/>
      </c>
      <c r="G848" s="26"/>
      <c r="H848" s="24" t="str">
        <f aca="false">IFERROR(INDEX('Fault Master'!$B$5:$B$104,MATCH(G848,'Fault Master'!$A$5:$A$104,0)),"")</f>
        <v/>
      </c>
      <c r="I848" s="24" t="str">
        <f aca="false">IFERROR(INDEX('Fault Master'!$C$5:$C$104,MATCH(G848,'Fault Master'!$A$5:$A$104,0)),"")</f>
        <v/>
      </c>
      <c r="J848" s="26"/>
      <c r="K848" s="26"/>
      <c r="L848" s="26"/>
      <c r="M848" s="26"/>
      <c r="N848" s="26"/>
      <c r="O848" s="26"/>
      <c r="P848" s="34"/>
    </row>
    <row r="849" customFormat="false" ht="15" hidden="false" customHeight="true" outlineLevel="0" collapsed="false">
      <c r="A849" s="18" t="n">
        <v>338</v>
      </c>
      <c r="B849" s="25"/>
      <c r="C849" s="26"/>
      <c r="D849" s="26"/>
      <c r="E849" s="26"/>
      <c r="F849" s="24" t="str">
        <f aca="false">IFERROR(INDEX('Operator Master'!$B$5:$B$504,MATCH(E849,'Operator Master'!$A$5:$A$504,0)),"")</f>
        <v/>
      </c>
      <c r="G849" s="26"/>
      <c r="H849" s="24" t="str">
        <f aca="false">IFERROR(INDEX('Fault Master'!$B$5:$B$104,MATCH(G849,'Fault Master'!$A$5:$A$104,0)),"")</f>
        <v/>
      </c>
      <c r="I849" s="24" t="str">
        <f aca="false">IFERROR(INDEX('Fault Master'!$C$5:$C$104,MATCH(G849,'Fault Master'!$A$5:$A$104,0)),"")</f>
        <v/>
      </c>
      <c r="J849" s="26"/>
      <c r="K849" s="26"/>
      <c r="L849" s="26"/>
      <c r="M849" s="26"/>
      <c r="N849" s="26"/>
      <c r="O849" s="26"/>
      <c r="P849" s="34"/>
    </row>
    <row r="850" customFormat="false" ht="15" hidden="false" customHeight="true" outlineLevel="0" collapsed="false">
      <c r="A850" s="18" t="n">
        <v>339</v>
      </c>
      <c r="B850" s="25"/>
      <c r="C850" s="26"/>
      <c r="D850" s="26"/>
      <c r="E850" s="26"/>
      <c r="F850" s="24" t="str">
        <f aca="false">IFERROR(INDEX('Operator Master'!$B$5:$B$504,MATCH(E850,'Operator Master'!$A$5:$A$504,0)),"")</f>
        <v/>
      </c>
      <c r="G850" s="26"/>
      <c r="H850" s="24" t="str">
        <f aca="false">IFERROR(INDEX('Fault Master'!$B$5:$B$104,MATCH(G850,'Fault Master'!$A$5:$A$104,0)),"")</f>
        <v/>
      </c>
      <c r="I850" s="24" t="str">
        <f aca="false">IFERROR(INDEX('Fault Master'!$C$5:$C$104,MATCH(G850,'Fault Master'!$A$5:$A$104,0)),"")</f>
        <v/>
      </c>
      <c r="J850" s="26"/>
      <c r="K850" s="26"/>
      <c r="L850" s="26"/>
      <c r="M850" s="26"/>
      <c r="N850" s="26"/>
      <c r="O850" s="26"/>
      <c r="P850" s="34"/>
    </row>
    <row r="851" customFormat="false" ht="15" hidden="false" customHeight="true" outlineLevel="0" collapsed="false">
      <c r="A851" s="18" t="n">
        <v>340</v>
      </c>
      <c r="B851" s="25"/>
      <c r="C851" s="26"/>
      <c r="D851" s="26"/>
      <c r="E851" s="26"/>
      <c r="F851" s="24" t="str">
        <f aca="false">IFERROR(INDEX('Operator Master'!$B$5:$B$504,MATCH(E851,'Operator Master'!$A$5:$A$504,0)),"")</f>
        <v/>
      </c>
      <c r="G851" s="26"/>
      <c r="H851" s="24" t="str">
        <f aca="false">IFERROR(INDEX('Fault Master'!$B$5:$B$104,MATCH(G851,'Fault Master'!$A$5:$A$104,0)),"")</f>
        <v/>
      </c>
      <c r="I851" s="24" t="str">
        <f aca="false">IFERROR(INDEX('Fault Master'!$C$5:$C$104,MATCH(G851,'Fault Master'!$A$5:$A$104,0)),"")</f>
        <v/>
      </c>
      <c r="J851" s="26"/>
      <c r="K851" s="26"/>
      <c r="L851" s="26"/>
      <c r="M851" s="26"/>
      <c r="N851" s="26"/>
      <c r="O851" s="26"/>
      <c r="P851" s="34"/>
    </row>
    <row r="852" customFormat="false" ht="15" hidden="false" customHeight="true" outlineLevel="0" collapsed="false">
      <c r="A852" s="18" t="n">
        <v>341</v>
      </c>
      <c r="B852" s="25"/>
      <c r="C852" s="26"/>
      <c r="D852" s="26"/>
      <c r="E852" s="26"/>
      <c r="F852" s="24" t="str">
        <f aca="false">IFERROR(INDEX('Operator Master'!$B$5:$B$504,MATCH(E852,'Operator Master'!$A$5:$A$504,0)),"")</f>
        <v/>
      </c>
      <c r="G852" s="26"/>
      <c r="H852" s="24" t="str">
        <f aca="false">IFERROR(INDEX('Fault Master'!$B$5:$B$104,MATCH(G852,'Fault Master'!$A$5:$A$104,0)),"")</f>
        <v/>
      </c>
      <c r="I852" s="24" t="str">
        <f aca="false">IFERROR(INDEX('Fault Master'!$C$5:$C$104,MATCH(G852,'Fault Master'!$A$5:$A$104,0)),"")</f>
        <v/>
      </c>
      <c r="J852" s="26"/>
      <c r="K852" s="26"/>
      <c r="L852" s="26"/>
      <c r="M852" s="26"/>
      <c r="N852" s="26"/>
      <c r="O852" s="26"/>
      <c r="P852" s="34"/>
    </row>
    <row r="853" customFormat="false" ht="15" hidden="false" customHeight="true" outlineLevel="0" collapsed="false">
      <c r="A853" s="18" t="n">
        <v>342</v>
      </c>
      <c r="B853" s="25"/>
      <c r="C853" s="26"/>
      <c r="D853" s="26"/>
      <c r="E853" s="26"/>
      <c r="F853" s="24" t="str">
        <f aca="false">IFERROR(INDEX('Operator Master'!$B$5:$B$504,MATCH(E853,'Operator Master'!$A$5:$A$504,0)),"")</f>
        <v/>
      </c>
      <c r="G853" s="26"/>
      <c r="H853" s="24" t="str">
        <f aca="false">IFERROR(INDEX('Fault Master'!$B$5:$B$104,MATCH(G853,'Fault Master'!$A$5:$A$104,0)),"")</f>
        <v/>
      </c>
      <c r="I853" s="24" t="str">
        <f aca="false">IFERROR(INDEX('Fault Master'!$C$5:$C$104,MATCH(G853,'Fault Master'!$A$5:$A$104,0)),"")</f>
        <v/>
      </c>
      <c r="J853" s="26"/>
      <c r="K853" s="26"/>
      <c r="L853" s="26"/>
      <c r="M853" s="26"/>
      <c r="N853" s="26"/>
      <c r="O853" s="26"/>
      <c r="P853" s="34"/>
    </row>
    <row r="854" customFormat="false" ht="15" hidden="false" customHeight="true" outlineLevel="0" collapsed="false">
      <c r="A854" s="18" t="n">
        <v>343</v>
      </c>
      <c r="B854" s="25"/>
      <c r="C854" s="26"/>
      <c r="D854" s="26"/>
      <c r="E854" s="26"/>
      <c r="F854" s="24" t="str">
        <f aca="false">IFERROR(INDEX('Operator Master'!$B$5:$B$504,MATCH(E854,'Operator Master'!$A$5:$A$504,0)),"")</f>
        <v/>
      </c>
      <c r="G854" s="26"/>
      <c r="H854" s="24" t="str">
        <f aca="false">IFERROR(INDEX('Fault Master'!$B$5:$B$104,MATCH(G854,'Fault Master'!$A$5:$A$104,0)),"")</f>
        <v/>
      </c>
      <c r="I854" s="24" t="str">
        <f aca="false">IFERROR(INDEX('Fault Master'!$C$5:$C$104,MATCH(G854,'Fault Master'!$A$5:$A$104,0)),"")</f>
        <v/>
      </c>
      <c r="J854" s="26"/>
      <c r="K854" s="26"/>
      <c r="L854" s="26"/>
      <c r="M854" s="26"/>
      <c r="N854" s="26"/>
      <c r="O854" s="26"/>
      <c r="P854" s="34"/>
    </row>
    <row r="855" customFormat="false" ht="15" hidden="false" customHeight="true" outlineLevel="0" collapsed="false">
      <c r="A855" s="18" t="n">
        <v>344</v>
      </c>
      <c r="B855" s="25"/>
      <c r="C855" s="26"/>
      <c r="D855" s="26"/>
      <c r="E855" s="26"/>
      <c r="F855" s="24" t="str">
        <f aca="false">IFERROR(INDEX('Operator Master'!$B$5:$B$504,MATCH(E855,'Operator Master'!$A$5:$A$504,0)),"")</f>
        <v/>
      </c>
      <c r="G855" s="26"/>
      <c r="H855" s="24" t="str">
        <f aca="false">IFERROR(INDEX('Fault Master'!$B$5:$B$104,MATCH(G855,'Fault Master'!$A$5:$A$104,0)),"")</f>
        <v/>
      </c>
      <c r="I855" s="24" t="str">
        <f aca="false">IFERROR(INDEX('Fault Master'!$C$5:$C$104,MATCH(G855,'Fault Master'!$A$5:$A$104,0)),"")</f>
        <v/>
      </c>
      <c r="J855" s="26"/>
      <c r="K855" s="26"/>
      <c r="L855" s="26"/>
      <c r="M855" s="26"/>
      <c r="N855" s="26"/>
      <c r="O855" s="26"/>
      <c r="P855" s="34"/>
    </row>
    <row r="856" customFormat="false" ht="15" hidden="false" customHeight="true" outlineLevel="0" collapsed="false">
      <c r="A856" s="18" t="n">
        <v>345</v>
      </c>
      <c r="B856" s="25"/>
      <c r="C856" s="26"/>
      <c r="D856" s="26"/>
      <c r="E856" s="26"/>
      <c r="F856" s="24" t="str">
        <f aca="false">IFERROR(INDEX('Operator Master'!$B$5:$B$504,MATCH(E856,'Operator Master'!$A$5:$A$504,0)),"")</f>
        <v/>
      </c>
      <c r="G856" s="26"/>
      <c r="H856" s="24" t="str">
        <f aca="false">IFERROR(INDEX('Fault Master'!$B$5:$B$104,MATCH(G856,'Fault Master'!$A$5:$A$104,0)),"")</f>
        <v/>
      </c>
      <c r="I856" s="24" t="str">
        <f aca="false">IFERROR(INDEX('Fault Master'!$C$5:$C$104,MATCH(G856,'Fault Master'!$A$5:$A$104,0)),"")</f>
        <v/>
      </c>
      <c r="J856" s="26"/>
      <c r="K856" s="26"/>
      <c r="L856" s="26"/>
      <c r="M856" s="26"/>
      <c r="N856" s="26"/>
      <c r="O856" s="26"/>
      <c r="P856" s="34"/>
    </row>
    <row r="857" customFormat="false" ht="15" hidden="false" customHeight="true" outlineLevel="0" collapsed="false">
      <c r="A857" s="18" t="n">
        <v>346</v>
      </c>
      <c r="B857" s="25"/>
      <c r="C857" s="26"/>
      <c r="D857" s="26"/>
      <c r="E857" s="26"/>
      <c r="F857" s="24" t="str">
        <f aca="false">IFERROR(INDEX('Operator Master'!$B$5:$B$504,MATCH(E857,'Operator Master'!$A$5:$A$504,0)),"")</f>
        <v/>
      </c>
      <c r="G857" s="26"/>
      <c r="H857" s="24" t="str">
        <f aca="false">IFERROR(INDEX('Fault Master'!$B$5:$B$104,MATCH(G857,'Fault Master'!$A$5:$A$104,0)),"")</f>
        <v/>
      </c>
      <c r="I857" s="24" t="str">
        <f aca="false">IFERROR(INDEX('Fault Master'!$C$5:$C$104,MATCH(G857,'Fault Master'!$A$5:$A$104,0)),"")</f>
        <v/>
      </c>
      <c r="J857" s="26"/>
      <c r="K857" s="26"/>
      <c r="L857" s="26"/>
      <c r="M857" s="26"/>
      <c r="N857" s="26"/>
      <c r="O857" s="26"/>
      <c r="P857" s="34"/>
    </row>
    <row r="858" customFormat="false" ht="15" hidden="false" customHeight="true" outlineLevel="0" collapsed="false">
      <c r="A858" s="18" t="n">
        <v>347</v>
      </c>
      <c r="B858" s="25"/>
      <c r="C858" s="26"/>
      <c r="D858" s="26"/>
      <c r="E858" s="26"/>
      <c r="F858" s="24" t="str">
        <f aca="false">IFERROR(INDEX('Operator Master'!$B$5:$B$504,MATCH(E858,'Operator Master'!$A$5:$A$504,0)),"")</f>
        <v/>
      </c>
      <c r="G858" s="26"/>
      <c r="H858" s="24" t="str">
        <f aca="false">IFERROR(INDEX('Fault Master'!$B$5:$B$104,MATCH(G858,'Fault Master'!$A$5:$A$104,0)),"")</f>
        <v/>
      </c>
      <c r="I858" s="24" t="str">
        <f aca="false">IFERROR(INDEX('Fault Master'!$C$5:$C$104,MATCH(G858,'Fault Master'!$A$5:$A$104,0)),"")</f>
        <v/>
      </c>
      <c r="J858" s="26"/>
      <c r="K858" s="26"/>
      <c r="L858" s="26"/>
      <c r="M858" s="26"/>
      <c r="N858" s="26"/>
      <c r="O858" s="26"/>
      <c r="P858" s="34"/>
    </row>
    <row r="859" customFormat="false" ht="15" hidden="false" customHeight="true" outlineLevel="0" collapsed="false">
      <c r="A859" s="18" t="n">
        <v>348</v>
      </c>
      <c r="B859" s="25"/>
      <c r="C859" s="26"/>
      <c r="D859" s="26"/>
      <c r="E859" s="26"/>
      <c r="F859" s="24" t="str">
        <f aca="false">IFERROR(INDEX('Operator Master'!$B$5:$B$504,MATCH(E859,'Operator Master'!$A$5:$A$504,0)),"")</f>
        <v/>
      </c>
      <c r="G859" s="26"/>
      <c r="H859" s="24" t="str">
        <f aca="false">IFERROR(INDEX('Fault Master'!$B$5:$B$104,MATCH(G859,'Fault Master'!$A$5:$A$104,0)),"")</f>
        <v/>
      </c>
      <c r="I859" s="24" t="str">
        <f aca="false">IFERROR(INDEX('Fault Master'!$C$5:$C$104,MATCH(G859,'Fault Master'!$A$5:$A$104,0)),"")</f>
        <v/>
      </c>
      <c r="J859" s="26"/>
      <c r="K859" s="26"/>
      <c r="L859" s="26"/>
      <c r="M859" s="26"/>
      <c r="N859" s="26"/>
      <c r="O859" s="26"/>
      <c r="P859" s="34"/>
    </row>
    <row r="860" customFormat="false" ht="15" hidden="false" customHeight="true" outlineLevel="0" collapsed="false">
      <c r="A860" s="18" t="n">
        <v>349</v>
      </c>
      <c r="B860" s="25"/>
      <c r="C860" s="26"/>
      <c r="D860" s="26"/>
      <c r="E860" s="26"/>
      <c r="F860" s="24" t="str">
        <f aca="false">IFERROR(INDEX('Operator Master'!$B$5:$B$504,MATCH(E860,'Operator Master'!$A$5:$A$504,0)),"")</f>
        <v/>
      </c>
      <c r="G860" s="26"/>
      <c r="H860" s="24" t="str">
        <f aca="false">IFERROR(INDEX('Fault Master'!$B$5:$B$104,MATCH(G860,'Fault Master'!$A$5:$A$104,0)),"")</f>
        <v/>
      </c>
      <c r="I860" s="24" t="str">
        <f aca="false">IFERROR(INDEX('Fault Master'!$C$5:$C$104,MATCH(G860,'Fault Master'!$A$5:$A$104,0)),"")</f>
        <v/>
      </c>
      <c r="J860" s="26"/>
      <c r="K860" s="26"/>
      <c r="L860" s="26"/>
      <c r="M860" s="26"/>
      <c r="N860" s="26"/>
      <c r="O860" s="26"/>
      <c r="P860" s="34"/>
    </row>
    <row r="861" customFormat="false" ht="15" hidden="false" customHeight="true" outlineLevel="0" collapsed="false">
      <c r="A861" s="18" t="n">
        <v>350</v>
      </c>
      <c r="B861" s="25"/>
      <c r="C861" s="26"/>
      <c r="D861" s="26"/>
      <c r="E861" s="26"/>
      <c r="F861" s="24" t="str">
        <f aca="false">IFERROR(INDEX('Operator Master'!$B$5:$B$504,MATCH(E861,'Operator Master'!$A$5:$A$504,0)),"")</f>
        <v/>
      </c>
      <c r="G861" s="26"/>
      <c r="H861" s="24" t="str">
        <f aca="false">IFERROR(INDEX('Fault Master'!$B$5:$B$104,MATCH(G861,'Fault Master'!$A$5:$A$104,0)),"")</f>
        <v/>
      </c>
      <c r="I861" s="24" t="str">
        <f aca="false">IFERROR(INDEX('Fault Master'!$C$5:$C$104,MATCH(G861,'Fault Master'!$A$5:$A$104,0)),"")</f>
        <v/>
      </c>
      <c r="J861" s="26"/>
      <c r="K861" s="26"/>
      <c r="L861" s="26"/>
      <c r="M861" s="26"/>
      <c r="N861" s="26"/>
      <c r="O861" s="26"/>
      <c r="P861" s="34"/>
    </row>
    <row r="862" customFormat="false" ht="15" hidden="false" customHeight="true" outlineLevel="0" collapsed="false">
      <c r="A862" s="18" t="n">
        <v>351</v>
      </c>
      <c r="B862" s="25"/>
      <c r="C862" s="26"/>
      <c r="D862" s="26"/>
      <c r="E862" s="26"/>
      <c r="F862" s="24" t="str">
        <f aca="false">IFERROR(INDEX('Operator Master'!$B$5:$B$504,MATCH(E862,'Operator Master'!$A$5:$A$504,0)),"")</f>
        <v/>
      </c>
      <c r="G862" s="26"/>
      <c r="H862" s="24" t="str">
        <f aca="false">IFERROR(INDEX('Fault Master'!$B$5:$B$104,MATCH(G862,'Fault Master'!$A$5:$A$104,0)),"")</f>
        <v/>
      </c>
      <c r="I862" s="24" t="str">
        <f aca="false">IFERROR(INDEX('Fault Master'!$C$5:$C$104,MATCH(G862,'Fault Master'!$A$5:$A$104,0)),"")</f>
        <v/>
      </c>
      <c r="J862" s="26"/>
      <c r="K862" s="26"/>
      <c r="L862" s="26"/>
      <c r="M862" s="26"/>
      <c r="N862" s="26"/>
      <c r="O862" s="26"/>
      <c r="P862" s="34"/>
    </row>
    <row r="863" customFormat="false" ht="15" hidden="false" customHeight="true" outlineLevel="0" collapsed="false">
      <c r="A863" s="18" t="n">
        <v>352</v>
      </c>
      <c r="B863" s="25"/>
      <c r="C863" s="26"/>
      <c r="D863" s="26"/>
      <c r="E863" s="26"/>
      <c r="F863" s="24" t="str">
        <f aca="false">IFERROR(INDEX('Operator Master'!$B$5:$B$504,MATCH(E863,'Operator Master'!$A$5:$A$504,0)),"")</f>
        <v/>
      </c>
      <c r="G863" s="26"/>
      <c r="H863" s="24" t="str">
        <f aca="false">IFERROR(INDEX('Fault Master'!$B$5:$B$104,MATCH(G863,'Fault Master'!$A$5:$A$104,0)),"")</f>
        <v/>
      </c>
      <c r="I863" s="24" t="str">
        <f aca="false">IFERROR(INDEX('Fault Master'!$C$5:$C$104,MATCH(G863,'Fault Master'!$A$5:$A$104,0)),"")</f>
        <v/>
      </c>
      <c r="J863" s="26"/>
      <c r="K863" s="26"/>
      <c r="L863" s="26"/>
      <c r="M863" s="26"/>
      <c r="N863" s="26"/>
      <c r="O863" s="26"/>
      <c r="P863" s="34"/>
    </row>
    <row r="864" customFormat="false" ht="15" hidden="false" customHeight="true" outlineLevel="0" collapsed="false">
      <c r="A864" s="18" t="n">
        <v>353</v>
      </c>
      <c r="B864" s="25"/>
      <c r="C864" s="26"/>
      <c r="D864" s="26"/>
      <c r="E864" s="26"/>
      <c r="F864" s="24" t="str">
        <f aca="false">IFERROR(INDEX('Operator Master'!$B$5:$B$504,MATCH(E864,'Operator Master'!$A$5:$A$504,0)),"")</f>
        <v/>
      </c>
      <c r="G864" s="26"/>
      <c r="H864" s="24" t="str">
        <f aca="false">IFERROR(INDEX('Fault Master'!$B$5:$B$104,MATCH(G864,'Fault Master'!$A$5:$A$104,0)),"")</f>
        <v/>
      </c>
      <c r="I864" s="24" t="str">
        <f aca="false">IFERROR(INDEX('Fault Master'!$C$5:$C$104,MATCH(G864,'Fault Master'!$A$5:$A$104,0)),"")</f>
        <v/>
      </c>
      <c r="J864" s="26"/>
      <c r="K864" s="26"/>
      <c r="L864" s="26"/>
      <c r="M864" s="26"/>
      <c r="N864" s="26"/>
      <c r="O864" s="26"/>
      <c r="P864" s="34"/>
    </row>
    <row r="865" customFormat="false" ht="15" hidden="false" customHeight="true" outlineLevel="0" collapsed="false">
      <c r="A865" s="18" t="n">
        <v>354</v>
      </c>
      <c r="B865" s="25"/>
      <c r="C865" s="26"/>
      <c r="D865" s="26"/>
      <c r="E865" s="26"/>
      <c r="F865" s="24" t="str">
        <f aca="false">IFERROR(INDEX('Operator Master'!$B$5:$B$504,MATCH(E865,'Operator Master'!$A$5:$A$504,0)),"")</f>
        <v/>
      </c>
      <c r="G865" s="26"/>
      <c r="H865" s="24" t="str">
        <f aca="false">IFERROR(INDEX('Fault Master'!$B$5:$B$104,MATCH(G865,'Fault Master'!$A$5:$A$104,0)),"")</f>
        <v/>
      </c>
      <c r="I865" s="24" t="str">
        <f aca="false">IFERROR(INDEX('Fault Master'!$C$5:$C$104,MATCH(G865,'Fault Master'!$A$5:$A$104,0)),"")</f>
        <v/>
      </c>
      <c r="J865" s="26"/>
      <c r="K865" s="26"/>
      <c r="L865" s="26"/>
      <c r="M865" s="26"/>
      <c r="N865" s="26"/>
      <c r="O865" s="26"/>
      <c r="P865" s="34"/>
    </row>
    <row r="866" customFormat="false" ht="15" hidden="false" customHeight="true" outlineLevel="0" collapsed="false">
      <c r="A866" s="18" t="n">
        <v>355</v>
      </c>
      <c r="B866" s="25"/>
      <c r="C866" s="26"/>
      <c r="D866" s="26"/>
      <c r="E866" s="26"/>
      <c r="F866" s="24" t="str">
        <f aca="false">IFERROR(INDEX('Operator Master'!$B$5:$B$504,MATCH(E866,'Operator Master'!$A$5:$A$504,0)),"")</f>
        <v/>
      </c>
      <c r="G866" s="26"/>
      <c r="H866" s="24" t="str">
        <f aca="false">IFERROR(INDEX('Fault Master'!$B$5:$B$104,MATCH(G866,'Fault Master'!$A$5:$A$104,0)),"")</f>
        <v/>
      </c>
      <c r="I866" s="24" t="str">
        <f aca="false">IFERROR(INDEX('Fault Master'!$C$5:$C$104,MATCH(G866,'Fault Master'!$A$5:$A$104,0)),"")</f>
        <v/>
      </c>
      <c r="J866" s="26"/>
      <c r="K866" s="26"/>
      <c r="L866" s="26"/>
      <c r="M866" s="26"/>
      <c r="N866" s="26"/>
      <c r="O866" s="26"/>
      <c r="P866" s="34"/>
    </row>
    <row r="867" customFormat="false" ht="15" hidden="false" customHeight="true" outlineLevel="0" collapsed="false">
      <c r="A867" s="18" t="n">
        <v>356</v>
      </c>
      <c r="B867" s="25"/>
      <c r="C867" s="26"/>
      <c r="D867" s="26"/>
      <c r="E867" s="26"/>
      <c r="F867" s="24" t="str">
        <f aca="false">IFERROR(INDEX('Operator Master'!$B$5:$B$504,MATCH(E867,'Operator Master'!$A$5:$A$504,0)),"")</f>
        <v/>
      </c>
      <c r="G867" s="26"/>
      <c r="H867" s="24" t="str">
        <f aca="false">IFERROR(INDEX('Fault Master'!$B$5:$B$104,MATCH(G867,'Fault Master'!$A$5:$A$104,0)),"")</f>
        <v/>
      </c>
      <c r="I867" s="24" t="str">
        <f aca="false">IFERROR(INDEX('Fault Master'!$C$5:$C$104,MATCH(G867,'Fault Master'!$A$5:$A$104,0)),"")</f>
        <v/>
      </c>
      <c r="J867" s="26"/>
      <c r="K867" s="26"/>
      <c r="L867" s="26"/>
      <c r="M867" s="26"/>
      <c r="N867" s="26"/>
      <c r="O867" s="26"/>
      <c r="P867" s="34"/>
    </row>
    <row r="868" customFormat="false" ht="15" hidden="false" customHeight="true" outlineLevel="0" collapsed="false">
      <c r="A868" s="18" t="n">
        <v>357</v>
      </c>
      <c r="B868" s="25"/>
      <c r="C868" s="26"/>
      <c r="D868" s="26"/>
      <c r="E868" s="26"/>
      <c r="F868" s="24" t="str">
        <f aca="false">IFERROR(INDEX('Operator Master'!$B$5:$B$504,MATCH(E868,'Operator Master'!$A$5:$A$504,0)),"")</f>
        <v/>
      </c>
      <c r="G868" s="26"/>
      <c r="H868" s="24" t="str">
        <f aca="false">IFERROR(INDEX('Fault Master'!$B$5:$B$104,MATCH(G868,'Fault Master'!$A$5:$A$104,0)),"")</f>
        <v/>
      </c>
      <c r="I868" s="24" t="str">
        <f aca="false">IFERROR(INDEX('Fault Master'!$C$5:$C$104,MATCH(G868,'Fault Master'!$A$5:$A$104,0)),"")</f>
        <v/>
      </c>
      <c r="J868" s="26"/>
      <c r="K868" s="26"/>
      <c r="L868" s="26"/>
      <c r="M868" s="26"/>
      <c r="N868" s="26"/>
      <c r="O868" s="26"/>
      <c r="P868" s="34"/>
    </row>
    <row r="869" customFormat="false" ht="15" hidden="false" customHeight="true" outlineLevel="0" collapsed="false">
      <c r="A869" s="18" t="n">
        <v>358</v>
      </c>
      <c r="B869" s="25"/>
      <c r="C869" s="26"/>
      <c r="D869" s="26"/>
      <c r="E869" s="26"/>
      <c r="F869" s="24" t="str">
        <f aca="false">IFERROR(INDEX('Operator Master'!$B$5:$B$504,MATCH(E869,'Operator Master'!$A$5:$A$504,0)),"")</f>
        <v/>
      </c>
      <c r="G869" s="26"/>
      <c r="H869" s="24" t="str">
        <f aca="false">IFERROR(INDEX('Fault Master'!$B$5:$B$104,MATCH(G869,'Fault Master'!$A$5:$A$104,0)),"")</f>
        <v/>
      </c>
      <c r="I869" s="24" t="str">
        <f aca="false">IFERROR(INDEX('Fault Master'!$C$5:$C$104,MATCH(G869,'Fault Master'!$A$5:$A$104,0)),"")</f>
        <v/>
      </c>
      <c r="J869" s="26"/>
      <c r="K869" s="26"/>
      <c r="L869" s="26"/>
      <c r="M869" s="26"/>
      <c r="N869" s="26"/>
      <c r="O869" s="26"/>
      <c r="P869" s="34"/>
    </row>
    <row r="870" customFormat="false" ht="15" hidden="false" customHeight="true" outlineLevel="0" collapsed="false">
      <c r="A870" s="18" t="n">
        <v>359</v>
      </c>
      <c r="B870" s="25"/>
      <c r="C870" s="26"/>
      <c r="D870" s="26"/>
      <c r="E870" s="26"/>
      <c r="F870" s="24" t="str">
        <f aca="false">IFERROR(INDEX('Operator Master'!$B$5:$B$504,MATCH(E870,'Operator Master'!$A$5:$A$504,0)),"")</f>
        <v/>
      </c>
      <c r="G870" s="26"/>
      <c r="H870" s="24" t="str">
        <f aca="false">IFERROR(INDEX('Fault Master'!$B$5:$B$104,MATCH(G870,'Fault Master'!$A$5:$A$104,0)),"")</f>
        <v/>
      </c>
      <c r="I870" s="24" t="str">
        <f aca="false">IFERROR(INDEX('Fault Master'!$C$5:$C$104,MATCH(G870,'Fault Master'!$A$5:$A$104,0)),"")</f>
        <v/>
      </c>
      <c r="J870" s="26"/>
      <c r="K870" s="26"/>
      <c r="L870" s="26"/>
      <c r="M870" s="26"/>
      <c r="N870" s="26"/>
      <c r="O870" s="26"/>
      <c r="P870" s="34"/>
    </row>
    <row r="871" customFormat="false" ht="15" hidden="false" customHeight="true" outlineLevel="0" collapsed="false">
      <c r="A871" s="18" t="n">
        <v>360</v>
      </c>
      <c r="B871" s="25"/>
      <c r="C871" s="26"/>
      <c r="D871" s="26"/>
      <c r="E871" s="26"/>
      <c r="F871" s="24" t="str">
        <f aca="false">IFERROR(INDEX('Operator Master'!$B$5:$B$504,MATCH(E871,'Operator Master'!$A$5:$A$504,0)),"")</f>
        <v/>
      </c>
      <c r="G871" s="26"/>
      <c r="H871" s="24" t="str">
        <f aca="false">IFERROR(INDEX('Fault Master'!$B$5:$B$104,MATCH(G871,'Fault Master'!$A$5:$A$104,0)),"")</f>
        <v/>
      </c>
      <c r="I871" s="24" t="str">
        <f aca="false">IFERROR(INDEX('Fault Master'!$C$5:$C$104,MATCH(G871,'Fault Master'!$A$5:$A$104,0)),"")</f>
        <v/>
      </c>
      <c r="J871" s="26"/>
      <c r="K871" s="26"/>
      <c r="L871" s="26"/>
      <c r="M871" s="26"/>
      <c r="N871" s="26"/>
      <c r="O871" s="26"/>
      <c r="P871" s="34"/>
    </row>
    <row r="872" customFormat="false" ht="15" hidden="false" customHeight="true" outlineLevel="0" collapsed="false">
      <c r="A872" s="18" t="n">
        <v>361</v>
      </c>
      <c r="B872" s="25"/>
      <c r="C872" s="26"/>
      <c r="D872" s="26"/>
      <c r="E872" s="26"/>
      <c r="F872" s="24" t="str">
        <f aca="false">IFERROR(INDEX('Operator Master'!$B$5:$B$504,MATCH(E872,'Operator Master'!$A$5:$A$504,0)),"")</f>
        <v/>
      </c>
      <c r="G872" s="26"/>
      <c r="H872" s="24" t="str">
        <f aca="false">IFERROR(INDEX('Fault Master'!$B$5:$B$104,MATCH(G872,'Fault Master'!$A$5:$A$104,0)),"")</f>
        <v/>
      </c>
      <c r="I872" s="24" t="str">
        <f aca="false">IFERROR(INDEX('Fault Master'!$C$5:$C$104,MATCH(G872,'Fault Master'!$A$5:$A$104,0)),"")</f>
        <v/>
      </c>
      <c r="J872" s="26"/>
      <c r="K872" s="26"/>
      <c r="L872" s="26"/>
      <c r="M872" s="26"/>
      <c r="N872" s="26"/>
      <c r="O872" s="26"/>
      <c r="P872" s="34"/>
    </row>
    <row r="873" customFormat="false" ht="15" hidden="false" customHeight="true" outlineLevel="0" collapsed="false">
      <c r="A873" s="18" t="n">
        <v>362</v>
      </c>
      <c r="B873" s="25"/>
      <c r="C873" s="26"/>
      <c r="D873" s="26"/>
      <c r="E873" s="26"/>
      <c r="F873" s="24" t="str">
        <f aca="false">IFERROR(INDEX('Operator Master'!$B$5:$B$504,MATCH(E873,'Operator Master'!$A$5:$A$504,0)),"")</f>
        <v/>
      </c>
      <c r="G873" s="26"/>
      <c r="H873" s="24" t="str">
        <f aca="false">IFERROR(INDEX('Fault Master'!$B$5:$B$104,MATCH(G873,'Fault Master'!$A$5:$A$104,0)),"")</f>
        <v/>
      </c>
      <c r="I873" s="24" t="str">
        <f aca="false">IFERROR(INDEX('Fault Master'!$C$5:$C$104,MATCH(G873,'Fault Master'!$A$5:$A$104,0)),"")</f>
        <v/>
      </c>
      <c r="J873" s="26"/>
      <c r="K873" s="26"/>
      <c r="L873" s="26"/>
      <c r="M873" s="26"/>
      <c r="N873" s="26"/>
      <c r="O873" s="26"/>
      <c r="P873" s="34"/>
    </row>
    <row r="874" customFormat="false" ht="15" hidden="false" customHeight="true" outlineLevel="0" collapsed="false">
      <c r="A874" s="18" t="n">
        <v>363</v>
      </c>
      <c r="B874" s="25"/>
      <c r="C874" s="26"/>
      <c r="D874" s="26"/>
      <c r="E874" s="26"/>
      <c r="F874" s="24" t="str">
        <f aca="false">IFERROR(INDEX('Operator Master'!$B$5:$B$504,MATCH(E874,'Operator Master'!$A$5:$A$504,0)),"")</f>
        <v/>
      </c>
      <c r="G874" s="26"/>
      <c r="H874" s="24" t="str">
        <f aca="false">IFERROR(INDEX('Fault Master'!$B$5:$B$104,MATCH(G874,'Fault Master'!$A$5:$A$104,0)),"")</f>
        <v/>
      </c>
      <c r="I874" s="24" t="str">
        <f aca="false">IFERROR(INDEX('Fault Master'!$C$5:$C$104,MATCH(G874,'Fault Master'!$A$5:$A$104,0)),"")</f>
        <v/>
      </c>
      <c r="J874" s="26"/>
      <c r="K874" s="26"/>
      <c r="L874" s="26"/>
      <c r="M874" s="26"/>
      <c r="N874" s="26"/>
      <c r="O874" s="26"/>
      <c r="P874" s="34"/>
    </row>
    <row r="875" customFormat="false" ht="15" hidden="false" customHeight="true" outlineLevel="0" collapsed="false">
      <c r="A875" s="18" t="n">
        <v>364</v>
      </c>
      <c r="B875" s="25"/>
      <c r="C875" s="26"/>
      <c r="D875" s="26"/>
      <c r="E875" s="26"/>
      <c r="F875" s="24" t="str">
        <f aca="false">IFERROR(INDEX('Operator Master'!$B$5:$B$504,MATCH(E875,'Operator Master'!$A$5:$A$504,0)),"")</f>
        <v/>
      </c>
      <c r="G875" s="26"/>
      <c r="H875" s="24" t="str">
        <f aca="false">IFERROR(INDEX('Fault Master'!$B$5:$B$104,MATCH(G875,'Fault Master'!$A$5:$A$104,0)),"")</f>
        <v/>
      </c>
      <c r="I875" s="24" t="str">
        <f aca="false">IFERROR(INDEX('Fault Master'!$C$5:$C$104,MATCH(G875,'Fault Master'!$A$5:$A$104,0)),"")</f>
        <v/>
      </c>
      <c r="J875" s="26"/>
      <c r="K875" s="26"/>
      <c r="L875" s="26"/>
      <c r="M875" s="26"/>
      <c r="N875" s="26"/>
      <c r="O875" s="26"/>
      <c r="P875" s="34"/>
    </row>
    <row r="876" customFormat="false" ht="15" hidden="false" customHeight="true" outlineLevel="0" collapsed="false">
      <c r="A876" s="18" t="n">
        <v>365</v>
      </c>
      <c r="B876" s="25"/>
      <c r="C876" s="26"/>
      <c r="D876" s="26"/>
      <c r="E876" s="26"/>
      <c r="F876" s="24" t="str">
        <f aca="false">IFERROR(INDEX('Operator Master'!$B$5:$B$504,MATCH(E876,'Operator Master'!$A$5:$A$504,0)),"")</f>
        <v/>
      </c>
      <c r="G876" s="26"/>
      <c r="H876" s="24" t="str">
        <f aca="false">IFERROR(INDEX('Fault Master'!$B$5:$B$104,MATCH(G876,'Fault Master'!$A$5:$A$104,0)),"")</f>
        <v/>
      </c>
      <c r="I876" s="24" t="str">
        <f aca="false">IFERROR(INDEX('Fault Master'!$C$5:$C$104,MATCH(G876,'Fault Master'!$A$5:$A$104,0)),"")</f>
        <v/>
      </c>
      <c r="J876" s="26"/>
      <c r="K876" s="26"/>
      <c r="L876" s="26"/>
      <c r="M876" s="26"/>
      <c r="N876" s="26"/>
      <c r="O876" s="26"/>
      <c r="P876" s="34"/>
    </row>
    <row r="877" customFormat="false" ht="15" hidden="false" customHeight="true" outlineLevel="0" collapsed="false">
      <c r="A877" s="18" t="n">
        <v>366</v>
      </c>
      <c r="B877" s="25"/>
      <c r="C877" s="26"/>
      <c r="D877" s="26"/>
      <c r="E877" s="26"/>
      <c r="F877" s="24" t="str">
        <f aca="false">IFERROR(INDEX('Operator Master'!$B$5:$B$504,MATCH(E877,'Operator Master'!$A$5:$A$504,0)),"")</f>
        <v/>
      </c>
      <c r="G877" s="26"/>
      <c r="H877" s="24" t="str">
        <f aca="false">IFERROR(INDEX('Fault Master'!$B$5:$B$104,MATCH(G877,'Fault Master'!$A$5:$A$104,0)),"")</f>
        <v/>
      </c>
      <c r="I877" s="24" t="str">
        <f aca="false">IFERROR(INDEX('Fault Master'!$C$5:$C$104,MATCH(G877,'Fault Master'!$A$5:$A$104,0)),"")</f>
        <v/>
      </c>
      <c r="J877" s="26"/>
      <c r="K877" s="26"/>
      <c r="L877" s="26"/>
      <c r="M877" s="26"/>
      <c r="N877" s="26"/>
      <c r="O877" s="26"/>
      <c r="P877" s="34"/>
    </row>
    <row r="878" customFormat="false" ht="15" hidden="false" customHeight="true" outlineLevel="0" collapsed="false">
      <c r="A878" s="18" t="n">
        <v>367</v>
      </c>
      <c r="B878" s="25"/>
      <c r="C878" s="26"/>
      <c r="D878" s="26"/>
      <c r="E878" s="26"/>
      <c r="F878" s="24" t="str">
        <f aca="false">IFERROR(INDEX('Operator Master'!$B$5:$B$504,MATCH(E878,'Operator Master'!$A$5:$A$504,0)),"")</f>
        <v/>
      </c>
      <c r="G878" s="26"/>
      <c r="H878" s="24" t="str">
        <f aca="false">IFERROR(INDEX('Fault Master'!$B$5:$B$104,MATCH(G878,'Fault Master'!$A$5:$A$104,0)),"")</f>
        <v/>
      </c>
      <c r="I878" s="24" t="str">
        <f aca="false">IFERROR(INDEX('Fault Master'!$C$5:$C$104,MATCH(G878,'Fault Master'!$A$5:$A$104,0)),"")</f>
        <v/>
      </c>
      <c r="J878" s="26"/>
      <c r="K878" s="26"/>
      <c r="L878" s="26"/>
      <c r="M878" s="26"/>
      <c r="N878" s="26"/>
      <c r="O878" s="26"/>
      <c r="P878" s="34"/>
    </row>
    <row r="879" customFormat="false" ht="15" hidden="false" customHeight="true" outlineLevel="0" collapsed="false">
      <c r="A879" s="18" t="n">
        <v>368</v>
      </c>
      <c r="B879" s="25"/>
      <c r="C879" s="26"/>
      <c r="D879" s="26"/>
      <c r="E879" s="26"/>
      <c r="F879" s="24" t="str">
        <f aca="false">IFERROR(INDEX('Operator Master'!$B$5:$B$504,MATCH(E879,'Operator Master'!$A$5:$A$504,0)),"")</f>
        <v/>
      </c>
      <c r="G879" s="26"/>
      <c r="H879" s="24" t="str">
        <f aca="false">IFERROR(INDEX('Fault Master'!$B$5:$B$104,MATCH(G879,'Fault Master'!$A$5:$A$104,0)),"")</f>
        <v/>
      </c>
      <c r="I879" s="24" t="str">
        <f aca="false">IFERROR(INDEX('Fault Master'!$C$5:$C$104,MATCH(G879,'Fault Master'!$A$5:$A$104,0)),"")</f>
        <v/>
      </c>
      <c r="J879" s="26"/>
      <c r="K879" s="26"/>
      <c r="L879" s="26"/>
      <c r="M879" s="26"/>
      <c r="N879" s="26"/>
      <c r="O879" s="26"/>
      <c r="P879" s="34"/>
    </row>
    <row r="880" customFormat="false" ht="15" hidden="false" customHeight="true" outlineLevel="0" collapsed="false">
      <c r="A880" s="18" t="n">
        <v>369</v>
      </c>
      <c r="B880" s="25"/>
      <c r="C880" s="26"/>
      <c r="D880" s="26"/>
      <c r="E880" s="26"/>
      <c r="F880" s="24" t="str">
        <f aca="false">IFERROR(INDEX('Operator Master'!$B$5:$B$504,MATCH(E880,'Operator Master'!$A$5:$A$504,0)),"")</f>
        <v/>
      </c>
      <c r="G880" s="26"/>
      <c r="H880" s="24" t="str">
        <f aca="false">IFERROR(INDEX('Fault Master'!$B$5:$B$104,MATCH(G880,'Fault Master'!$A$5:$A$104,0)),"")</f>
        <v/>
      </c>
      <c r="I880" s="24" t="str">
        <f aca="false">IFERROR(INDEX('Fault Master'!$C$5:$C$104,MATCH(G880,'Fault Master'!$A$5:$A$104,0)),"")</f>
        <v/>
      </c>
      <c r="J880" s="26"/>
      <c r="K880" s="26"/>
      <c r="L880" s="26"/>
      <c r="M880" s="26"/>
      <c r="N880" s="26"/>
      <c r="O880" s="26"/>
      <c r="P880" s="34"/>
    </row>
    <row r="881" customFormat="false" ht="15" hidden="false" customHeight="true" outlineLevel="0" collapsed="false">
      <c r="A881" s="18" t="n">
        <v>370</v>
      </c>
      <c r="B881" s="25"/>
      <c r="C881" s="26"/>
      <c r="D881" s="26"/>
      <c r="E881" s="26"/>
      <c r="F881" s="24" t="str">
        <f aca="false">IFERROR(INDEX('Operator Master'!$B$5:$B$504,MATCH(E881,'Operator Master'!$A$5:$A$504,0)),"")</f>
        <v/>
      </c>
      <c r="G881" s="26"/>
      <c r="H881" s="24" t="str">
        <f aca="false">IFERROR(INDEX('Fault Master'!$B$5:$B$104,MATCH(G881,'Fault Master'!$A$5:$A$104,0)),"")</f>
        <v/>
      </c>
      <c r="I881" s="24" t="str">
        <f aca="false">IFERROR(INDEX('Fault Master'!$C$5:$C$104,MATCH(G881,'Fault Master'!$A$5:$A$104,0)),"")</f>
        <v/>
      </c>
      <c r="J881" s="26"/>
      <c r="K881" s="26"/>
      <c r="L881" s="26"/>
      <c r="M881" s="26"/>
      <c r="N881" s="26"/>
      <c r="O881" s="26"/>
      <c r="P881" s="34"/>
    </row>
    <row r="882" customFormat="false" ht="15" hidden="false" customHeight="true" outlineLevel="0" collapsed="false">
      <c r="A882" s="18" t="n">
        <v>371</v>
      </c>
      <c r="B882" s="25"/>
      <c r="C882" s="26"/>
      <c r="D882" s="26"/>
      <c r="E882" s="26"/>
      <c r="F882" s="24" t="str">
        <f aca="false">IFERROR(INDEX('Operator Master'!$B$5:$B$504,MATCH(E882,'Operator Master'!$A$5:$A$504,0)),"")</f>
        <v/>
      </c>
      <c r="G882" s="26"/>
      <c r="H882" s="24" t="str">
        <f aca="false">IFERROR(INDEX('Fault Master'!$B$5:$B$104,MATCH(G882,'Fault Master'!$A$5:$A$104,0)),"")</f>
        <v/>
      </c>
      <c r="I882" s="24" t="str">
        <f aca="false">IFERROR(INDEX('Fault Master'!$C$5:$C$104,MATCH(G882,'Fault Master'!$A$5:$A$104,0)),"")</f>
        <v/>
      </c>
      <c r="J882" s="26"/>
      <c r="K882" s="26"/>
      <c r="L882" s="26"/>
      <c r="M882" s="26"/>
      <c r="N882" s="26"/>
      <c r="O882" s="26"/>
      <c r="P882" s="34"/>
    </row>
    <row r="883" customFormat="false" ht="15" hidden="false" customHeight="true" outlineLevel="0" collapsed="false">
      <c r="A883" s="18" t="n">
        <v>372</v>
      </c>
      <c r="B883" s="25"/>
      <c r="C883" s="26"/>
      <c r="D883" s="26"/>
      <c r="E883" s="26"/>
      <c r="F883" s="24" t="str">
        <f aca="false">IFERROR(INDEX('Operator Master'!$B$5:$B$504,MATCH(E883,'Operator Master'!$A$5:$A$504,0)),"")</f>
        <v/>
      </c>
      <c r="G883" s="26"/>
      <c r="H883" s="24" t="str">
        <f aca="false">IFERROR(INDEX('Fault Master'!$B$5:$B$104,MATCH(G883,'Fault Master'!$A$5:$A$104,0)),"")</f>
        <v/>
      </c>
      <c r="I883" s="24" t="str">
        <f aca="false">IFERROR(INDEX('Fault Master'!$C$5:$C$104,MATCH(G883,'Fault Master'!$A$5:$A$104,0)),"")</f>
        <v/>
      </c>
      <c r="J883" s="26"/>
      <c r="K883" s="26"/>
      <c r="L883" s="26"/>
      <c r="M883" s="26"/>
      <c r="N883" s="26"/>
      <c r="O883" s="26"/>
      <c r="P883" s="34"/>
    </row>
    <row r="884" customFormat="false" ht="15" hidden="false" customHeight="true" outlineLevel="0" collapsed="false">
      <c r="A884" s="18" t="n">
        <v>373</v>
      </c>
      <c r="B884" s="25"/>
      <c r="C884" s="26"/>
      <c r="D884" s="26"/>
      <c r="E884" s="26"/>
      <c r="F884" s="24" t="str">
        <f aca="false">IFERROR(INDEX('Operator Master'!$B$5:$B$504,MATCH(E884,'Operator Master'!$A$5:$A$504,0)),"")</f>
        <v/>
      </c>
      <c r="G884" s="26"/>
      <c r="H884" s="24" t="str">
        <f aca="false">IFERROR(INDEX('Fault Master'!$B$5:$B$104,MATCH(G884,'Fault Master'!$A$5:$A$104,0)),"")</f>
        <v/>
      </c>
      <c r="I884" s="24" t="str">
        <f aca="false">IFERROR(INDEX('Fault Master'!$C$5:$C$104,MATCH(G884,'Fault Master'!$A$5:$A$104,0)),"")</f>
        <v/>
      </c>
      <c r="J884" s="26"/>
      <c r="K884" s="26"/>
      <c r="L884" s="26"/>
      <c r="M884" s="26"/>
      <c r="N884" s="26"/>
      <c r="O884" s="26"/>
      <c r="P884" s="34"/>
    </row>
    <row r="885" customFormat="false" ht="15" hidden="false" customHeight="true" outlineLevel="0" collapsed="false">
      <c r="A885" s="18" t="n">
        <v>374</v>
      </c>
      <c r="B885" s="25"/>
      <c r="C885" s="26"/>
      <c r="D885" s="26"/>
      <c r="E885" s="26"/>
      <c r="F885" s="24" t="str">
        <f aca="false">IFERROR(INDEX('Operator Master'!$B$5:$B$504,MATCH(E885,'Operator Master'!$A$5:$A$504,0)),"")</f>
        <v/>
      </c>
      <c r="G885" s="26"/>
      <c r="H885" s="24" t="str">
        <f aca="false">IFERROR(INDEX('Fault Master'!$B$5:$B$104,MATCH(G885,'Fault Master'!$A$5:$A$104,0)),"")</f>
        <v/>
      </c>
      <c r="I885" s="24" t="str">
        <f aca="false">IFERROR(INDEX('Fault Master'!$C$5:$C$104,MATCH(G885,'Fault Master'!$A$5:$A$104,0)),"")</f>
        <v/>
      </c>
      <c r="J885" s="26"/>
      <c r="K885" s="26"/>
      <c r="L885" s="26"/>
      <c r="M885" s="26"/>
      <c r="N885" s="26"/>
      <c r="O885" s="26"/>
      <c r="P885" s="34"/>
    </row>
    <row r="886" customFormat="false" ht="15" hidden="false" customHeight="true" outlineLevel="0" collapsed="false">
      <c r="A886" s="18" t="n">
        <v>375</v>
      </c>
      <c r="B886" s="25"/>
      <c r="C886" s="26"/>
      <c r="D886" s="26"/>
      <c r="E886" s="26"/>
      <c r="F886" s="24" t="str">
        <f aca="false">IFERROR(INDEX('Operator Master'!$B$5:$B$504,MATCH(E886,'Operator Master'!$A$5:$A$504,0)),"")</f>
        <v/>
      </c>
      <c r="G886" s="26"/>
      <c r="H886" s="24" t="str">
        <f aca="false">IFERROR(INDEX('Fault Master'!$B$5:$B$104,MATCH(G886,'Fault Master'!$A$5:$A$104,0)),"")</f>
        <v/>
      </c>
      <c r="I886" s="24" t="str">
        <f aca="false">IFERROR(INDEX('Fault Master'!$C$5:$C$104,MATCH(G886,'Fault Master'!$A$5:$A$104,0)),"")</f>
        <v/>
      </c>
      <c r="J886" s="26"/>
      <c r="K886" s="26"/>
      <c r="L886" s="26"/>
      <c r="M886" s="26"/>
      <c r="N886" s="26"/>
      <c r="O886" s="26"/>
      <c r="P886" s="34"/>
    </row>
    <row r="887" customFormat="false" ht="15" hidden="false" customHeight="true" outlineLevel="0" collapsed="false">
      <c r="A887" s="18" t="n">
        <v>376</v>
      </c>
      <c r="B887" s="25"/>
      <c r="C887" s="26"/>
      <c r="D887" s="26"/>
      <c r="E887" s="26"/>
      <c r="F887" s="24" t="str">
        <f aca="false">IFERROR(INDEX('Operator Master'!$B$5:$B$504,MATCH(E887,'Operator Master'!$A$5:$A$504,0)),"")</f>
        <v/>
      </c>
      <c r="G887" s="26"/>
      <c r="H887" s="24" t="str">
        <f aca="false">IFERROR(INDEX('Fault Master'!$B$5:$B$104,MATCH(G887,'Fault Master'!$A$5:$A$104,0)),"")</f>
        <v/>
      </c>
      <c r="I887" s="24" t="str">
        <f aca="false">IFERROR(INDEX('Fault Master'!$C$5:$C$104,MATCH(G887,'Fault Master'!$A$5:$A$104,0)),"")</f>
        <v/>
      </c>
      <c r="J887" s="26"/>
      <c r="K887" s="26"/>
      <c r="L887" s="26"/>
      <c r="M887" s="26"/>
      <c r="N887" s="26"/>
      <c r="O887" s="26"/>
      <c r="P887" s="34"/>
    </row>
    <row r="888" customFormat="false" ht="15" hidden="false" customHeight="true" outlineLevel="0" collapsed="false">
      <c r="A888" s="18" t="n">
        <v>377</v>
      </c>
      <c r="B888" s="25"/>
      <c r="C888" s="26"/>
      <c r="D888" s="26"/>
      <c r="E888" s="26"/>
      <c r="F888" s="24" t="str">
        <f aca="false">IFERROR(INDEX('Operator Master'!$B$5:$B$504,MATCH(E888,'Operator Master'!$A$5:$A$504,0)),"")</f>
        <v/>
      </c>
      <c r="G888" s="26"/>
      <c r="H888" s="24" t="str">
        <f aca="false">IFERROR(INDEX('Fault Master'!$B$5:$B$104,MATCH(G888,'Fault Master'!$A$5:$A$104,0)),"")</f>
        <v/>
      </c>
      <c r="I888" s="24" t="str">
        <f aca="false">IFERROR(INDEX('Fault Master'!$C$5:$C$104,MATCH(G888,'Fault Master'!$A$5:$A$104,0)),"")</f>
        <v/>
      </c>
      <c r="J888" s="26"/>
      <c r="K888" s="26"/>
      <c r="L888" s="26"/>
      <c r="M888" s="26"/>
      <c r="N888" s="26"/>
      <c r="O888" s="26"/>
      <c r="P888" s="34"/>
    </row>
    <row r="889" customFormat="false" ht="15" hidden="false" customHeight="true" outlineLevel="0" collapsed="false">
      <c r="A889" s="18" t="n">
        <v>378</v>
      </c>
      <c r="B889" s="25"/>
      <c r="C889" s="26"/>
      <c r="D889" s="26"/>
      <c r="E889" s="26"/>
      <c r="F889" s="24" t="str">
        <f aca="false">IFERROR(INDEX('Operator Master'!$B$5:$B$504,MATCH(E889,'Operator Master'!$A$5:$A$504,0)),"")</f>
        <v/>
      </c>
      <c r="G889" s="26"/>
      <c r="H889" s="24" t="str">
        <f aca="false">IFERROR(INDEX('Fault Master'!$B$5:$B$104,MATCH(G889,'Fault Master'!$A$5:$A$104,0)),"")</f>
        <v/>
      </c>
      <c r="I889" s="24" t="str">
        <f aca="false">IFERROR(INDEX('Fault Master'!$C$5:$C$104,MATCH(G889,'Fault Master'!$A$5:$A$104,0)),"")</f>
        <v/>
      </c>
      <c r="J889" s="26"/>
      <c r="K889" s="26"/>
      <c r="L889" s="26"/>
      <c r="M889" s="26"/>
      <c r="N889" s="26"/>
      <c r="O889" s="26"/>
      <c r="P889" s="34"/>
    </row>
    <row r="890" customFormat="false" ht="15" hidden="false" customHeight="true" outlineLevel="0" collapsed="false">
      <c r="A890" s="18" t="n">
        <v>379</v>
      </c>
      <c r="B890" s="25"/>
      <c r="C890" s="26"/>
      <c r="D890" s="26"/>
      <c r="E890" s="26"/>
      <c r="F890" s="24" t="str">
        <f aca="false">IFERROR(INDEX('Operator Master'!$B$5:$B$504,MATCH(E890,'Operator Master'!$A$5:$A$504,0)),"")</f>
        <v/>
      </c>
      <c r="G890" s="26"/>
      <c r="H890" s="24" t="str">
        <f aca="false">IFERROR(INDEX('Fault Master'!$B$5:$B$104,MATCH(G890,'Fault Master'!$A$5:$A$104,0)),"")</f>
        <v/>
      </c>
      <c r="I890" s="24" t="str">
        <f aca="false">IFERROR(INDEX('Fault Master'!$C$5:$C$104,MATCH(G890,'Fault Master'!$A$5:$A$104,0)),"")</f>
        <v/>
      </c>
      <c r="J890" s="26"/>
      <c r="K890" s="26"/>
      <c r="L890" s="26"/>
      <c r="M890" s="26"/>
      <c r="N890" s="26"/>
      <c r="O890" s="26"/>
      <c r="P890" s="34"/>
    </row>
    <row r="891" customFormat="false" ht="15" hidden="false" customHeight="true" outlineLevel="0" collapsed="false">
      <c r="A891" s="18" t="n">
        <v>380</v>
      </c>
      <c r="B891" s="25"/>
      <c r="C891" s="26"/>
      <c r="D891" s="26"/>
      <c r="E891" s="26"/>
      <c r="F891" s="24" t="str">
        <f aca="false">IFERROR(INDEX('Operator Master'!$B$5:$B$504,MATCH(E891,'Operator Master'!$A$5:$A$504,0)),"")</f>
        <v/>
      </c>
      <c r="G891" s="26"/>
      <c r="H891" s="24" t="str">
        <f aca="false">IFERROR(INDEX('Fault Master'!$B$5:$B$104,MATCH(G891,'Fault Master'!$A$5:$A$104,0)),"")</f>
        <v/>
      </c>
      <c r="I891" s="24" t="str">
        <f aca="false">IFERROR(INDEX('Fault Master'!$C$5:$C$104,MATCH(G891,'Fault Master'!$A$5:$A$104,0)),"")</f>
        <v/>
      </c>
      <c r="J891" s="26"/>
      <c r="K891" s="26"/>
      <c r="L891" s="26"/>
      <c r="M891" s="26"/>
      <c r="N891" s="26"/>
      <c r="O891" s="26"/>
      <c r="P891" s="34"/>
    </row>
    <row r="892" customFormat="false" ht="15" hidden="false" customHeight="true" outlineLevel="0" collapsed="false">
      <c r="A892" s="18" t="n">
        <v>381</v>
      </c>
      <c r="B892" s="25"/>
      <c r="C892" s="26"/>
      <c r="D892" s="26"/>
      <c r="E892" s="26"/>
      <c r="F892" s="24" t="str">
        <f aca="false">IFERROR(INDEX('Operator Master'!$B$5:$B$504,MATCH(E892,'Operator Master'!$A$5:$A$504,0)),"")</f>
        <v/>
      </c>
      <c r="G892" s="26"/>
      <c r="H892" s="24" t="str">
        <f aca="false">IFERROR(INDEX('Fault Master'!$B$5:$B$104,MATCH(G892,'Fault Master'!$A$5:$A$104,0)),"")</f>
        <v/>
      </c>
      <c r="I892" s="24" t="str">
        <f aca="false">IFERROR(INDEX('Fault Master'!$C$5:$C$104,MATCH(G892,'Fault Master'!$A$5:$A$104,0)),"")</f>
        <v/>
      </c>
      <c r="J892" s="26"/>
      <c r="K892" s="26"/>
      <c r="L892" s="26"/>
      <c r="M892" s="26"/>
      <c r="N892" s="26"/>
      <c r="O892" s="26"/>
      <c r="P892" s="34"/>
    </row>
    <row r="893" customFormat="false" ht="15" hidden="false" customHeight="true" outlineLevel="0" collapsed="false">
      <c r="A893" s="18" t="n">
        <v>382</v>
      </c>
      <c r="B893" s="25"/>
      <c r="C893" s="26"/>
      <c r="D893" s="26"/>
      <c r="E893" s="26"/>
      <c r="F893" s="24" t="str">
        <f aca="false">IFERROR(INDEX('Operator Master'!$B$5:$B$504,MATCH(E893,'Operator Master'!$A$5:$A$504,0)),"")</f>
        <v/>
      </c>
      <c r="G893" s="26"/>
      <c r="H893" s="24" t="str">
        <f aca="false">IFERROR(INDEX('Fault Master'!$B$5:$B$104,MATCH(G893,'Fault Master'!$A$5:$A$104,0)),"")</f>
        <v/>
      </c>
      <c r="I893" s="24" t="str">
        <f aca="false">IFERROR(INDEX('Fault Master'!$C$5:$C$104,MATCH(G893,'Fault Master'!$A$5:$A$104,0)),"")</f>
        <v/>
      </c>
      <c r="J893" s="26"/>
      <c r="K893" s="26"/>
      <c r="L893" s="26"/>
      <c r="M893" s="26"/>
      <c r="N893" s="26"/>
      <c r="O893" s="26"/>
      <c r="P893" s="34"/>
    </row>
    <row r="894" customFormat="false" ht="15" hidden="false" customHeight="true" outlineLevel="0" collapsed="false">
      <c r="A894" s="18" t="n">
        <v>383</v>
      </c>
      <c r="B894" s="25"/>
      <c r="C894" s="26"/>
      <c r="D894" s="26"/>
      <c r="E894" s="26"/>
      <c r="F894" s="24" t="str">
        <f aca="false">IFERROR(INDEX('Operator Master'!$B$5:$B$504,MATCH(E894,'Operator Master'!$A$5:$A$504,0)),"")</f>
        <v/>
      </c>
      <c r="G894" s="26"/>
      <c r="H894" s="24" t="str">
        <f aca="false">IFERROR(INDEX('Fault Master'!$B$5:$B$104,MATCH(G894,'Fault Master'!$A$5:$A$104,0)),"")</f>
        <v/>
      </c>
      <c r="I894" s="24" t="str">
        <f aca="false">IFERROR(INDEX('Fault Master'!$C$5:$C$104,MATCH(G894,'Fault Master'!$A$5:$A$104,0)),"")</f>
        <v/>
      </c>
      <c r="J894" s="26"/>
      <c r="K894" s="26"/>
      <c r="L894" s="26"/>
      <c r="M894" s="26"/>
      <c r="N894" s="26"/>
      <c r="O894" s="26"/>
      <c r="P894" s="34"/>
    </row>
    <row r="895" customFormat="false" ht="15" hidden="false" customHeight="true" outlineLevel="0" collapsed="false">
      <c r="A895" s="18" t="n">
        <v>384</v>
      </c>
      <c r="B895" s="25"/>
      <c r="C895" s="26"/>
      <c r="D895" s="26"/>
      <c r="E895" s="26"/>
      <c r="F895" s="24" t="str">
        <f aca="false">IFERROR(INDEX('Operator Master'!$B$5:$B$504,MATCH(E895,'Operator Master'!$A$5:$A$504,0)),"")</f>
        <v/>
      </c>
      <c r="G895" s="26"/>
      <c r="H895" s="24" t="str">
        <f aca="false">IFERROR(INDEX('Fault Master'!$B$5:$B$104,MATCH(G895,'Fault Master'!$A$5:$A$104,0)),"")</f>
        <v/>
      </c>
      <c r="I895" s="24" t="str">
        <f aca="false">IFERROR(INDEX('Fault Master'!$C$5:$C$104,MATCH(G895,'Fault Master'!$A$5:$A$104,0)),"")</f>
        <v/>
      </c>
      <c r="J895" s="26"/>
      <c r="K895" s="26"/>
      <c r="L895" s="26"/>
      <c r="M895" s="26"/>
      <c r="N895" s="26"/>
      <c r="O895" s="26"/>
      <c r="P895" s="34"/>
    </row>
    <row r="896" customFormat="false" ht="15" hidden="false" customHeight="true" outlineLevel="0" collapsed="false">
      <c r="A896" s="18" t="n">
        <v>385</v>
      </c>
      <c r="B896" s="25"/>
      <c r="C896" s="26"/>
      <c r="D896" s="26"/>
      <c r="E896" s="26"/>
      <c r="F896" s="24" t="str">
        <f aca="false">IFERROR(INDEX('Operator Master'!$B$5:$B$504,MATCH(E896,'Operator Master'!$A$5:$A$504,0)),"")</f>
        <v/>
      </c>
      <c r="G896" s="26"/>
      <c r="H896" s="24" t="str">
        <f aca="false">IFERROR(INDEX('Fault Master'!$B$5:$B$104,MATCH(G896,'Fault Master'!$A$5:$A$104,0)),"")</f>
        <v/>
      </c>
      <c r="I896" s="24" t="str">
        <f aca="false">IFERROR(INDEX('Fault Master'!$C$5:$C$104,MATCH(G896,'Fault Master'!$A$5:$A$104,0)),"")</f>
        <v/>
      </c>
      <c r="J896" s="26"/>
      <c r="K896" s="26"/>
      <c r="L896" s="26"/>
      <c r="M896" s="26"/>
      <c r="N896" s="26"/>
      <c r="O896" s="26"/>
      <c r="P896" s="34"/>
    </row>
    <row r="897" customFormat="false" ht="15" hidden="false" customHeight="true" outlineLevel="0" collapsed="false">
      <c r="A897" s="18" t="n">
        <v>386</v>
      </c>
      <c r="B897" s="25"/>
      <c r="C897" s="26"/>
      <c r="D897" s="26"/>
      <c r="E897" s="26"/>
      <c r="F897" s="24" t="str">
        <f aca="false">IFERROR(INDEX('Operator Master'!$B$5:$B$504,MATCH(E897,'Operator Master'!$A$5:$A$504,0)),"")</f>
        <v/>
      </c>
      <c r="G897" s="26"/>
      <c r="H897" s="24" t="str">
        <f aca="false">IFERROR(INDEX('Fault Master'!$B$5:$B$104,MATCH(G897,'Fault Master'!$A$5:$A$104,0)),"")</f>
        <v/>
      </c>
      <c r="I897" s="24" t="str">
        <f aca="false">IFERROR(INDEX('Fault Master'!$C$5:$C$104,MATCH(G897,'Fault Master'!$A$5:$A$104,0)),"")</f>
        <v/>
      </c>
      <c r="J897" s="26"/>
      <c r="K897" s="26"/>
      <c r="L897" s="26"/>
      <c r="M897" s="26"/>
      <c r="N897" s="26"/>
      <c r="O897" s="26"/>
      <c r="P897" s="34"/>
    </row>
    <row r="898" customFormat="false" ht="15" hidden="false" customHeight="true" outlineLevel="0" collapsed="false">
      <c r="A898" s="18" t="n">
        <v>387</v>
      </c>
      <c r="B898" s="25"/>
      <c r="C898" s="26"/>
      <c r="D898" s="26"/>
      <c r="E898" s="26"/>
      <c r="F898" s="24" t="str">
        <f aca="false">IFERROR(INDEX('Operator Master'!$B$5:$B$504,MATCH(E898,'Operator Master'!$A$5:$A$504,0)),"")</f>
        <v/>
      </c>
      <c r="G898" s="26"/>
      <c r="H898" s="24" t="str">
        <f aca="false">IFERROR(INDEX('Fault Master'!$B$5:$B$104,MATCH(G898,'Fault Master'!$A$5:$A$104,0)),"")</f>
        <v/>
      </c>
      <c r="I898" s="24" t="str">
        <f aca="false">IFERROR(INDEX('Fault Master'!$C$5:$C$104,MATCH(G898,'Fault Master'!$A$5:$A$104,0)),"")</f>
        <v/>
      </c>
      <c r="J898" s="26"/>
      <c r="K898" s="26"/>
      <c r="L898" s="26"/>
      <c r="M898" s="26"/>
      <c r="N898" s="26"/>
      <c r="O898" s="26"/>
      <c r="P898" s="34"/>
    </row>
    <row r="899" customFormat="false" ht="15" hidden="false" customHeight="true" outlineLevel="0" collapsed="false">
      <c r="A899" s="18" t="n">
        <v>388</v>
      </c>
      <c r="B899" s="25"/>
      <c r="C899" s="26"/>
      <c r="D899" s="26"/>
      <c r="E899" s="26"/>
      <c r="F899" s="24" t="str">
        <f aca="false">IFERROR(INDEX('Operator Master'!$B$5:$B$504,MATCH(E899,'Operator Master'!$A$5:$A$504,0)),"")</f>
        <v/>
      </c>
      <c r="G899" s="26"/>
      <c r="H899" s="24" t="str">
        <f aca="false">IFERROR(INDEX('Fault Master'!$B$5:$B$104,MATCH(G899,'Fault Master'!$A$5:$A$104,0)),"")</f>
        <v/>
      </c>
      <c r="I899" s="24" t="str">
        <f aca="false">IFERROR(INDEX('Fault Master'!$C$5:$C$104,MATCH(G899,'Fault Master'!$A$5:$A$104,0)),"")</f>
        <v/>
      </c>
      <c r="J899" s="26"/>
      <c r="K899" s="26"/>
      <c r="L899" s="26"/>
      <c r="M899" s="26"/>
      <c r="N899" s="26"/>
      <c r="O899" s="26"/>
      <c r="P899" s="34"/>
    </row>
    <row r="900" customFormat="false" ht="15" hidden="false" customHeight="true" outlineLevel="0" collapsed="false">
      <c r="A900" s="18" t="n">
        <v>389</v>
      </c>
      <c r="B900" s="25"/>
      <c r="C900" s="26"/>
      <c r="D900" s="26"/>
      <c r="E900" s="26"/>
      <c r="F900" s="24" t="str">
        <f aca="false">IFERROR(INDEX('Operator Master'!$B$5:$B$504,MATCH(E900,'Operator Master'!$A$5:$A$504,0)),"")</f>
        <v/>
      </c>
      <c r="G900" s="26"/>
      <c r="H900" s="24" t="str">
        <f aca="false">IFERROR(INDEX('Fault Master'!$B$5:$B$104,MATCH(G900,'Fault Master'!$A$5:$A$104,0)),"")</f>
        <v/>
      </c>
      <c r="I900" s="24" t="str">
        <f aca="false">IFERROR(INDEX('Fault Master'!$C$5:$C$104,MATCH(G900,'Fault Master'!$A$5:$A$104,0)),"")</f>
        <v/>
      </c>
      <c r="J900" s="26"/>
      <c r="K900" s="26"/>
      <c r="L900" s="26"/>
      <c r="M900" s="26"/>
      <c r="N900" s="26"/>
      <c r="O900" s="26"/>
      <c r="P900" s="34"/>
    </row>
    <row r="901" customFormat="false" ht="15" hidden="false" customHeight="true" outlineLevel="0" collapsed="false">
      <c r="A901" s="18" t="n">
        <v>390</v>
      </c>
      <c r="B901" s="25"/>
      <c r="C901" s="26"/>
      <c r="D901" s="26"/>
      <c r="E901" s="26"/>
      <c r="F901" s="24" t="str">
        <f aca="false">IFERROR(INDEX('Operator Master'!$B$5:$B$504,MATCH(E901,'Operator Master'!$A$5:$A$504,0)),"")</f>
        <v/>
      </c>
      <c r="G901" s="26"/>
      <c r="H901" s="24" t="str">
        <f aca="false">IFERROR(INDEX('Fault Master'!$B$5:$B$104,MATCH(G901,'Fault Master'!$A$5:$A$104,0)),"")</f>
        <v/>
      </c>
      <c r="I901" s="24" t="str">
        <f aca="false">IFERROR(INDEX('Fault Master'!$C$5:$C$104,MATCH(G901,'Fault Master'!$A$5:$A$104,0)),"")</f>
        <v/>
      </c>
      <c r="J901" s="26"/>
      <c r="K901" s="26"/>
      <c r="L901" s="26"/>
      <c r="M901" s="26"/>
      <c r="N901" s="26"/>
      <c r="O901" s="26"/>
      <c r="P901" s="34"/>
    </row>
    <row r="902" customFormat="false" ht="15" hidden="false" customHeight="true" outlineLevel="0" collapsed="false">
      <c r="A902" s="18" t="n">
        <v>391</v>
      </c>
      <c r="B902" s="25"/>
      <c r="C902" s="26"/>
      <c r="D902" s="26"/>
      <c r="E902" s="26"/>
      <c r="F902" s="24" t="str">
        <f aca="false">IFERROR(INDEX('Operator Master'!$B$5:$B$504,MATCH(E902,'Operator Master'!$A$5:$A$504,0)),"")</f>
        <v/>
      </c>
      <c r="G902" s="26"/>
      <c r="H902" s="24" t="str">
        <f aca="false">IFERROR(INDEX('Fault Master'!$B$5:$B$104,MATCH(G902,'Fault Master'!$A$5:$A$104,0)),"")</f>
        <v/>
      </c>
      <c r="I902" s="24" t="str">
        <f aca="false">IFERROR(INDEX('Fault Master'!$C$5:$C$104,MATCH(G902,'Fault Master'!$A$5:$A$104,0)),"")</f>
        <v/>
      </c>
      <c r="J902" s="26"/>
      <c r="K902" s="26"/>
      <c r="L902" s="26"/>
      <c r="M902" s="26"/>
      <c r="N902" s="26"/>
      <c r="O902" s="26"/>
      <c r="P902" s="34"/>
    </row>
    <row r="903" customFormat="false" ht="15" hidden="false" customHeight="true" outlineLevel="0" collapsed="false">
      <c r="A903" s="18" t="n">
        <v>392</v>
      </c>
      <c r="B903" s="25"/>
      <c r="C903" s="26"/>
      <c r="D903" s="26"/>
      <c r="E903" s="26"/>
      <c r="F903" s="24" t="str">
        <f aca="false">IFERROR(INDEX('Operator Master'!$B$5:$B$504,MATCH(E903,'Operator Master'!$A$5:$A$504,0)),"")</f>
        <v/>
      </c>
      <c r="G903" s="26"/>
      <c r="H903" s="24" t="str">
        <f aca="false">IFERROR(INDEX('Fault Master'!$B$5:$B$104,MATCH(G903,'Fault Master'!$A$5:$A$104,0)),"")</f>
        <v/>
      </c>
      <c r="I903" s="24" t="str">
        <f aca="false">IFERROR(INDEX('Fault Master'!$C$5:$C$104,MATCH(G903,'Fault Master'!$A$5:$A$104,0)),"")</f>
        <v/>
      </c>
      <c r="J903" s="26"/>
      <c r="K903" s="26"/>
      <c r="L903" s="26"/>
      <c r="M903" s="26"/>
      <c r="N903" s="26"/>
      <c r="O903" s="26"/>
      <c r="P903" s="34"/>
    </row>
    <row r="904" customFormat="false" ht="15" hidden="false" customHeight="true" outlineLevel="0" collapsed="false">
      <c r="A904" s="18" t="n">
        <v>393</v>
      </c>
      <c r="B904" s="25"/>
      <c r="C904" s="26"/>
      <c r="D904" s="26"/>
      <c r="E904" s="26"/>
      <c r="F904" s="24" t="str">
        <f aca="false">IFERROR(INDEX('Operator Master'!$B$5:$B$504,MATCH(E904,'Operator Master'!$A$5:$A$504,0)),"")</f>
        <v/>
      </c>
      <c r="G904" s="26"/>
      <c r="H904" s="24" t="str">
        <f aca="false">IFERROR(INDEX('Fault Master'!$B$5:$B$104,MATCH(G904,'Fault Master'!$A$5:$A$104,0)),"")</f>
        <v/>
      </c>
      <c r="I904" s="24" t="str">
        <f aca="false">IFERROR(INDEX('Fault Master'!$C$5:$C$104,MATCH(G904,'Fault Master'!$A$5:$A$104,0)),"")</f>
        <v/>
      </c>
      <c r="J904" s="26"/>
      <c r="K904" s="26"/>
      <c r="L904" s="26"/>
      <c r="M904" s="26"/>
      <c r="N904" s="26"/>
      <c r="O904" s="26"/>
      <c r="P904" s="34"/>
    </row>
    <row r="905" customFormat="false" ht="15" hidden="false" customHeight="true" outlineLevel="0" collapsed="false">
      <c r="A905" s="18" t="n">
        <v>394</v>
      </c>
      <c r="B905" s="25"/>
      <c r="C905" s="26"/>
      <c r="D905" s="26"/>
      <c r="E905" s="26"/>
      <c r="F905" s="24" t="str">
        <f aca="false">IFERROR(INDEX('Operator Master'!$B$5:$B$504,MATCH(E905,'Operator Master'!$A$5:$A$504,0)),"")</f>
        <v/>
      </c>
      <c r="G905" s="26"/>
      <c r="H905" s="24" t="str">
        <f aca="false">IFERROR(INDEX('Fault Master'!$B$5:$B$104,MATCH(G905,'Fault Master'!$A$5:$A$104,0)),"")</f>
        <v/>
      </c>
      <c r="I905" s="24" t="str">
        <f aca="false">IFERROR(INDEX('Fault Master'!$C$5:$C$104,MATCH(G905,'Fault Master'!$A$5:$A$104,0)),"")</f>
        <v/>
      </c>
      <c r="J905" s="26"/>
      <c r="K905" s="26"/>
      <c r="L905" s="26"/>
      <c r="M905" s="26"/>
      <c r="N905" s="26"/>
      <c r="O905" s="26"/>
      <c r="P905" s="34"/>
    </row>
    <row r="906" customFormat="false" ht="15" hidden="false" customHeight="true" outlineLevel="0" collapsed="false">
      <c r="A906" s="18" t="n">
        <v>395</v>
      </c>
      <c r="B906" s="25"/>
      <c r="C906" s="26"/>
      <c r="D906" s="26"/>
      <c r="E906" s="26"/>
      <c r="F906" s="24" t="str">
        <f aca="false">IFERROR(INDEX('Operator Master'!$B$5:$B$504,MATCH(E906,'Operator Master'!$A$5:$A$504,0)),"")</f>
        <v/>
      </c>
      <c r="G906" s="26"/>
      <c r="H906" s="24" t="str">
        <f aca="false">IFERROR(INDEX('Fault Master'!$B$5:$B$104,MATCH(G906,'Fault Master'!$A$5:$A$104,0)),"")</f>
        <v/>
      </c>
      <c r="I906" s="24" t="str">
        <f aca="false">IFERROR(INDEX('Fault Master'!$C$5:$C$104,MATCH(G906,'Fault Master'!$A$5:$A$104,0)),"")</f>
        <v/>
      </c>
      <c r="J906" s="26"/>
      <c r="K906" s="26"/>
      <c r="L906" s="26"/>
      <c r="M906" s="26"/>
      <c r="N906" s="26"/>
      <c r="O906" s="26"/>
      <c r="P906" s="34"/>
    </row>
    <row r="907" customFormat="false" ht="15" hidden="false" customHeight="true" outlineLevel="0" collapsed="false">
      <c r="A907" s="18" t="n">
        <v>396</v>
      </c>
      <c r="B907" s="25"/>
      <c r="C907" s="26"/>
      <c r="D907" s="26"/>
      <c r="E907" s="26"/>
      <c r="F907" s="24" t="str">
        <f aca="false">IFERROR(INDEX('Operator Master'!$B$5:$B$504,MATCH(E907,'Operator Master'!$A$5:$A$504,0)),"")</f>
        <v/>
      </c>
      <c r="G907" s="26"/>
      <c r="H907" s="24" t="str">
        <f aca="false">IFERROR(INDEX('Fault Master'!$B$5:$B$104,MATCH(G907,'Fault Master'!$A$5:$A$104,0)),"")</f>
        <v/>
      </c>
      <c r="I907" s="24" t="str">
        <f aca="false">IFERROR(INDEX('Fault Master'!$C$5:$C$104,MATCH(G907,'Fault Master'!$A$5:$A$104,0)),"")</f>
        <v/>
      </c>
      <c r="J907" s="26"/>
      <c r="K907" s="26"/>
      <c r="L907" s="26"/>
      <c r="M907" s="26"/>
      <c r="N907" s="26"/>
      <c r="O907" s="26"/>
      <c r="P907" s="34"/>
    </row>
    <row r="908" customFormat="false" ht="15" hidden="false" customHeight="true" outlineLevel="0" collapsed="false">
      <c r="A908" s="18" t="n">
        <v>397</v>
      </c>
      <c r="B908" s="25"/>
      <c r="C908" s="26"/>
      <c r="D908" s="26"/>
      <c r="E908" s="26"/>
      <c r="F908" s="24" t="str">
        <f aca="false">IFERROR(INDEX('Operator Master'!$B$5:$B$504,MATCH(E908,'Operator Master'!$A$5:$A$504,0)),"")</f>
        <v/>
      </c>
      <c r="G908" s="26"/>
      <c r="H908" s="24" t="str">
        <f aca="false">IFERROR(INDEX('Fault Master'!$B$5:$B$104,MATCH(G908,'Fault Master'!$A$5:$A$104,0)),"")</f>
        <v/>
      </c>
      <c r="I908" s="24" t="str">
        <f aca="false">IFERROR(INDEX('Fault Master'!$C$5:$C$104,MATCH(G908,'Fault Master'!$A$5:$A$104,0)),"")</f>
        <v/>
      </c>
      <c r="J908" s="26"/>
      <c r="K908" s="26"/>
      <c r="L908" s="26"/>
      <c r="M908" s="26"/>
      <c r="N908" s="26"/>
      <c r="O908" s="26"/>
      <c r="P908" s="34"/>
    </row>
    <row r="909" customFormat="false" ht="15" hidden="false" customHeight="true" outlineLevel="0" collapsed="false">
      <c r="A909" s="18" t="n">
        <v>398</v>
      </c>
      <c r="B909" s="25"/>
      <c r="C909" s="26"/>
      <c r="D909" s="26"/>
      <c r="E909" s="26"/>
      <c r="F909" s="24" t="str">
        <f aca="false">IFERROR(INDEX('Operator Master'!$B$5:$B$504,MATCH(E909,'Operator Master'!$A$5:$A$504,0)),"")</f>
        <v/>
      </c>
      <c r="G909" s="26"/>
      <c r="H909" s="24" t="str">
        <f aca="false">IFERROR(INDEX('Fault Master'!$B$5:$B$104,MATCH(G909,'Fault Master'!$A$5:$A$104,0)),"")</f>
        <v/>
      </c>
      <c r="I909" s="24" t="str">
        <f aca="false">IFERROR(INDEX('Fault Master'!$C$5:$C$104,MATCH(G909,'Fault Master'!$A$5:$A$104,0)),"")</f>
        <v/>
      </c>
      <c r="J909" s="26"/>
      <c r="K909" s="26"/>
      <c r="L909" s="26"/>
      <c r="M909" s="26"/>
      <c r="N909" s="26"/>
      <c r="O909" s="26"/>
      <c r="P909" s="34"/>
    </row>
    <row r="910" customFormat="false" ht="15" hidden="false" customHeight="true" outlineLevel="0" collapsed="false">
      <c r="A910" s="18" t="n">
        <v>399</v>
      </c>
      <c r="B910" s="25"/>
      <c r="C910" s="26"/>
      <c r="D910" s="26"/>
      <c r="E910" s="26"/>
      <c r="F910" s="24" t="str">
        <f aca="false">IFERROR(INDEX('Operator Master'!$B$5:$B$504,MATCH(E910,'Operator Master'!$A$5:$A$504,0)),"")</f>
        <v/>
      </c>
      <c r="G910" s="26"/>
      <c r="H910" s="24" t="str">
        <f aca="false">IFERROR(INDEX('Fault Master'!$B$5:$B$104,MATCH(G910,'Fault Master'!$A$5:$A$104,0)),"")</f>
        <v/>
      </c>
      <c r="I910" s="24" t="str">
        <f aca="false">IFERROR(INDEX('Fault Master'!$C$5:$C$104,MATCH(G910,'Fault Master'!$A$5:$A$104,0)),"")</f>
        <v/>
      </c>
      <c r="J910" s="26"/>
      <c r="K910" s="26"/>
      <c r="L910" s="26"/>
      <c r="M910" s="26"/>
      <c r="N910" s="26"/>
      <c r="O910" s="26"/>
      <c r="P910" s="34"/>
    </row>
    <row r="911" customFormat="false" ht="15" hidden="false" customHeight="true" outlineLevel="0" collapsed="false">
      <c r="A911" s="18" t="n">
        <v>400</v>
      </c>
      <c r="B911" s="25"/>
      <c r="C911" s="26"/>
      <c r="D911" s="26"/>
      <c r="E911" s="26"/>
      <c r="F911" s="24" t="str">
        <f aca="false">IFERROR(INDEX('Operator Master'!$B$5:$B$504,MATCH(E911,'Operator Master'!$A$5:$A$504,0)),"")</f>
        <v/>
      </c>
      <c r="G911" s="26"/>
      <c r="H911" s="24" t="str">
        <f aca="false">IFERROR(INDEX('Fault Master'!$B$5:$B$104,MATCH(G911,'Fault Master'!$A$5:$A$104,0)),"")</f>
        <v/>
      </c>
      <c r="I911" s="24" t="str">
        <f aca="false">IFERROR(INDEX('Fault Master'!$C$5:$C$104,MATCH(G911,'Fault Master'!$A$5:$A$104,0)),"")</f>
        <v/>
      </c>
      <c r="J911" s="26"/>
      <c r="K911" s="26"/>
      <c r="L911" s="26"/>
      <c r="M911" s="26"/>
      <c r="N911" s="26"/>
      <c r="O911" s="26"/>
      <c r="P911" s="34"/>
    </row>
    <row r="912" customFormat="false" ht="15" hidden="false" customHeight="true" outlineLevel="0" collapsed="false">
      <c r="A912" s="18" t="n">
        <v>401</v>
      </c>
      <c r="B912" s="25"/>
      <c r="C912" s="26"/>
      <c r="D912" s="26"/>
      <c r="E912" s="26"/>
      <c r="F912" s="24" t="str">
        <f aca="false">IFERROR(INDEX('Operator Master'!$B$5:$B$504,MATCH(E912,'Operator Master'!$A$5:$A$504,0)),"")</f>
        <v/>
      </c>
      <c r="G912" s="26"/>
      <c r="H912" s="24" t="str">
        <f aca="false">IFERROR(INDEX('Fault Master'!$B$5:$B$104,MATCH(G912,'Fault Master'!$A$5:$A$104,0)),"")</f>
        <v/>
      </c>
      <c r="I912" s="24" t="str">
        <f aca="false">IFERROR(INDEX('Fault Master'!$C$5:$C$104,MATCH(G912,'Fault Master'!$A$5:$A$104,0)),"")</f>
        <v/>
      </c>
      <c r="J912" s="26"/>
      <c r="K912" s="26"/>
      <c r="L912" s="26"/>
      <c r="M912" s="26"/>
      <c r="N912" s="26"/>
      <c r="O912" s="26"/>
      <c r="P912" s="34"/>
    </row>
    <row r="913" customFormat="false" ht="15" hidden="false" customHeight="true" outlineLevel="0" collapsed="false">
      <c r="A913" s="18" t="n">
        <v>402</v>
      </c>
      <c r="B913" s="25"/>
      <c r="C913" s="26"/>
      <c r="D913" s="26"/>
      <c r="E913" s="26"/>
      <c r="F913" s="24" t="str">
        <f aca="false">IFERROR(INDEX('Operator Master'!$B$5:$B$504,MATCH(E913,'Operator Master'!$A$5:$A$504,0)),"")</f>
        <v/>
      </c>
      <c r="G913" s="26"/>
      <c r="H913" s="24" t="str">
        <f aca="false">IFERROR(INDEX('Fault Master'!$B$5:$B$104,MATCH(G913,'Fault Master'!$A$5:$A$104,0)),"")</f>
        <v/>
      </c>
      <c r="I913" s="24" t="str">
        <f aca="false">IFERROR(INDEX('Fault Master'!$C$5:$C$104,MATCH(G913,'Fault Master'!$A$5:$A$104,0)),"")</f>
        <v/>
      </c>
      <c r="J913" s="26"/>
      <c r="K913" s="26"/>
      <c r="L913" s="26"/>
      <c r="M913" s="26"/>
      <c r="N913" s="26"/>
      <c r="O913" s="26"/>
      <c r="P913" s="34"/>
    </row>
    <row r="914" customFormat="false" ht="15" hidden="false" customHeight="true" outlineLevel="0" collapsed="false">
      <c r="A914" s="18" t="n">
        <v>403</v>
      </c>
      <c r="B914" s="25"/>
      <c r="C914" s="26"/>
      <c r="D914" s="26"/>
      <c r="E914" s="26"/>
      <c r="F914" s="24" t="str">
        <f aca="false">IFERROR(INDEX('Operator Master'!$B$5:$B$504,MATCH(E914,'Operator Master'!$A$5:$A$504,0)),"")</f>
        <v/>
      </c>
      <c r="G914" s="26"/>
      <c r="H914" s="24" t="str">
        <f aca="false">IFERROR(INDEX('Fault Master'!$B$5:$B$104,MATCH(G914,'Fault Master'!$A$5:$A$104,0)),"")</f>
        <v/>
      </c>
      <c r="I914" s="24" t="str">
        <f aca="false">IFERROR(INDEX('Fault Master'!$C$5:$C$104,MATCH(G914,'Fault Master'!$A$5:$A$104,0)),"")</f>
        <v/>
      </c>
      <c r="J914" s="26"/>
      <c r="K914" s="26"/>
      <c r="L914" s="26"/>
      <c r="M914" s="26"/>
      <c r="N914" s="26"/>
      <c r="O914" s="26"/>
      <c r="P914" s="34"/>
    </row>
    <row r="915" customFormat="false" ht="15" hidden="false" customHeight="true" outlineLevel="0" collapsed="false">
      <c r="A915" s="18" t="n">
        <v>404</v>
      </c>
      <c r="B915" s="25"/>
      <c r="C915" s="26"/>
      <c r="D915" s="26"/>
      <c r="E915" s="26"/>
      <c r="F915" s="24" t="str">
        <f aca="false">IFERROR(INDEX('Operator Master'!$B$5:$B$504,MATCH(E915,'Operator Master'!$A$5:$A$504,0)),"")</f>
        <v/>
      </c>
      <c r="G915" s="26"/>
      <c r="H915" s="24" t="str">
        <f aca="false">IFERROR(INDEX('Fault Master'!$B$5:$B$104,MATCH(G915,'Fault Master'!$A$5:$A$104,0)),"")</f>
        <v/>
      </c>
      <c r="I915" s="24" t="str">
        <f aca="false">IFERROR(INDEX('Fault Master'!$C$5:$C$104,MATCH(G915,'Fault Master'!$A$5:$A$104,0)),"")</f>
        <v/>
      </c>
      <c r="J915" s="26"/>
      <c r="K915" s="26"/>
      <c r="L915" s="26"/>
      <c r="M915" s="26"/>
      <c r="N915" s="26"/>
      <c r="O915" s="26"/>
      <c r="P915" s="34"/>
    </row>
    <row r="916" customFormat="false" ht="15" hidden="false" customHeight="true" outlineLevel="0" collapsed="false">
      <c r="A916" s="18" t="n">
        <v>405</v>
      </c>
      <c r="B916" s="25"/>
      <c r="C916" s="26"/>
      <c r="D916" s="26"/>
      <c r="E916" s="26"/>
      <c r="F916" s="24" t="str">
        <f aca="false">IFERROR(INDEX('Operator Master'!$B$5:$B$504,MATCH(E916,'Operator Master'!$A$5:$A$504,0)),"")</f>
        <v/>
      </c>
      <c r="G916" s="26"/>
      <c r="H916" s="24" t="str">
        <f aca="false">IFERROR(INDEX('Fault Master'!$B$5:$B$104,MATCH(G916,'Fault Master'!$A$5:$A$104,0)),"")</f>
        <v/>
      </c>
      <c r="I916" s="24" t="str">
        <f aca="false">IFERROR(INDEX('Fault Master'!$C$5:$C$104,MATCH(G916,'Fault Master'!$A$5:$A$104,0)),"")</f>
        <v/>
      </c>
      <c r="J916" s="26"/>
      <c r="K916" s="26"/>
      <c r="L916" s="26"/>
      <c r="M916" s="26"/>
      <c r="N916" s="26"/>
      <c r="O916" s="26"/>
      <c r="P916" s="34"/>
    </row>
    <row r="917" customFormat="false" ht="15" hidden="false" customHeight="true" outlineLevel="0" collapsed="false">
      <c r="A917" s="18" t="n">
        <v>406</v>
      </c>
      <c r="B917" s="25"/>
      <c r="C917" s="26"/>
      <c r="D917" s="26"/>
      <c r="E917" s="26"/>
      <c r="F917" s="24" t="str">
        <f aca="false">IFERROR(INDEX('Operator Master'!$B$5:$B$504,MATCH(E917,'Operator Master'!$A$5:$A$504,0)),"")</f>
        <v/>
      </c>
      <c r="G917" s="26"/>
      <c r="H917" s="24" t="str">
        <f aca="false">IFERROR(INDEX('Fault Master'!$B$5:$B$104,MATCH(G917,'Fault Master'!$A$5:$A$104,0)),"")</f>
        <v/>
      </c>
      <c r="I917" s="24" t="str">
        <f aca="false">IFERROR(INDEX('Fault Master'!$C$5:$C$104,MATCH(G917,'Fault Master'!$A$5:$A$104,0)),"")</f>
        <v/>
      </c>
      <c r="J917" s="26"/>
      <c r="K917" s="26"/>
      <c r="L917" s="26"/>
      <c r="M917" s="26"/>
      <c r="N917" s="26"/>
      <c r="O917" s="26"/>
      <c r="P917" s="34"/>
    </row>
    <row r="918" customFormat="false" ht="15" hidden="false" customHeight="true" outlineLevel="0" collapsed="false">
      <c r="A918" s="18" t="n">
        <v>407</v>
      </c>
      <c r="B918" s="25"/>
      <c r="C918" s="26"/>
      <c r="D918" s="26"/>
      <c r="E918" s="26"/>
      <c r="F918" s="24" t="str">
        <f aca="false">IFERROR(INDEX('Operator Master'!$B$5:$B$504,MATCH(E918,'Operator Master'!$A$5:$A$504,0)),"")</f>
        <v/>
      </c>
      <c r="G918" s="26"/>
      <c r="H918" s="24" t="str">
        <f aca="false">IFERROR(INDEX('Fault Master'!$B$5:$B$104,MATCH(G918,'Fault Master'!$A$5:$A$104,0)),"")</f>
        <v/>
      </c>
      <c r="I918" s="24" t="str">
        <f aca="false">IFERROR(INDEX('Fault Master'!$C$5:$C$104,MATCH(G918,'Fault Master'!$A$5:$A$104,0)),"")</f>
        <v/>
      </c>
      <c r="J918" s="26"/>
      <c r="K918" s="26"/>
      <c r="L918" s="26"/>
      <c r="M918" s="26"/>
      <c r="N918" s="26"/>
      <c r="O918" s="26"/>
      <c r="P918" s="34"/>
    </row>
    <row r="919" customFormat="false" ht="15" hidden="false" customHeight="true" outlineLevel="0" collapsed="false">
      <c r="A919" s="18" t="n">
        <v>408</v>
      </c>
      <c r="B919" s="25"/>
      <c r="C919" s="26"/>
      <c r="D919" s="26"/>
      <c r="E919" s="26"/>
      <c r="F919" s="24" t="str">
        <f aca="false">IFERROR(INDEX('Operator Master'!$B$5:$B$504,MATCH(E919,'Operator Master'!$A$5:$A$504,0)),"")</f>
        <v/>
      </c>
      <c r="G919" s="26"/>
      <c r="H919" s="24" t="str">
        <f aca="false">IFERROR(INDEX('Fault Master'!$B$5:$B$104,MATCH(G919,'Fault Master'!$A$5:$A$104,0)),"")</f>
        <v/>
      </c>
      <c r="I919" s="24" t="str">
        <f aca="false">IFERROR(INDEX('Fault Master'!$C$5:$C$104,MATCH(G919,'Fault Master'!$A$5:$A$104,0)),"")</f>
        <v/>
      </c>
      <c r="J919" s="26"/>
      <c r="K919" s="26"/>
      <c r="L919" s="26"/>
      <c r="M919" s="26"/>
      <c r="N919" s="26"/>
      <c r="O919" s="26"/>
      <c r="P919" s="34"/>
    </row>
    <row r="920" customFormat="false" ht="15" hidden="false" customHeight="true" outlineLevel="0" collapsed="false">
      <c r="A920" s="18" t="n">
        <v>409</v>
      </c>
      <c r="B920" s="25"/>
      <c r="C920" s="26"/>
      <c r="D920" s="26"/>
      <c r="E920" s="26"/>
      <c r="F920" s="24" t="str">
        <f aca="false">IFERROR(INDEX('Operator Master'!$B$5:$B$504,MATCH(E920,'Operator Master'!$A$5:$A$504,0)),"")</f>
        <v/>
      </c>
      <c r="G920" s="26"/>
      <c r="H920" s="24" t="str">
        <f aca="false">IFERROR(INDEX('Fault Master'!$B$5:$B$104,MATCH(G920,'Fault Master'!$A$5:$A$104,0)),"")</f>
        <v/>
      </c>
      <c r="I920" s="24" t="str">
        <f aca="false">IFERROR(INDEX('Fault Master'!$C$5:$C$104,MATCH(G920,'Fault Master'!$A$5:$A$104,0)),"")</f>
        <v/>
      </c>
      <c r="J920" s="26"/>
      <c r="K920" s="26"/>
      <c r="L920" s="26"/>
      <c r="M920" s="26"/>
      <c r="N920" s="26"/>
      <c r="O920" s="26"/>
      <c r="P920" s="34"/>
    </row>
    <row r="921" customFormat="false" ht="15" hidden="false" customHeight="true" outlineLevel="0" collapsed="false">
      <c r="A921" s="18" t="n">
        <v>410</v>
      </c>
      <c r="B921" s="25"/>
      <c r="C921" s="26"/>
      <c r="D921" s="26"/>
      <c r="E921" s="26"/>
      <c r="F921" s="24" t="str">
        <f aca="false">IFERROR(INDEX('Operator Master'!$B$5:$B$504,MATCH(E921,'Operator Master'!$A$5:$A$504,0)),"")</f>
        <v/>
      </c>
      <c r="G921" s="26"/>
      <c r="H921" s="24" t="str">
        <f aca="false">IFERROR(INDEX('Fault Master'!$B$5:$B$104,MATCH(G921,'Fault Master'!$A$5:$A$104,0)),"")</f>
        <v/>
      </c>
      <c r="I921" s="24" t="str">
        <f aca="false">IFERROR(INDEX('Fault Master'!$C$5:$C$104,MATCH(G921,'Fault Master'!$A$5:$A$104,0)),"")</f>
        <v/>
      </c>
      <c r="J921" s="26"/>
      <c r="K921" s="26"/>
      <c r="L921" s="26"/>
      <c r="M921" s="26"/>
      <c r="N921" s="26"/>
      <c r="O921" s="26"/>
      <c r="P921" s="34"/>
    </row>
    <row r="922" customFormat="false" ht="15" hidden="false" customHeight="true" outlineLevel="0" collapsed="false">
      <c r="A922" s="18" t="n">
        <v>411</v>
      </c>
      <c r="B922" s="25"/>
      <c r="C922" s="26"/>
      <c r="D922" s="26"/>
      <c r="E922" s="26"/>
      <c r="F922" s="24" t="str">
        <f aca="false">IFERROR(INDEX('Operator Master'!$B$5:$B$504,MATCH(E922,'Operator Master'!$A$5:$A$504,0)),"")</f>
        <v/>
      </c>
      <c r="G922" s="26"/>
      <c r="H922" s="24" t="str">
        <f aca="false">IFERROR(INDEX('Fault Master'!$B$5:$B$104,MATCH(G922,'Fault Master'!$A$5:$A$104,0)),"")</f>
        <v/>
      </c>
      <c r="I922" s="24" t="str">
        <f aca="false">IFERROR(INDEX('Fault Master'!$C$5:$C$104,MATCH(G922,'Fault Master'!$A$5:$A$104,0)),"")</f>
        <v/>
      </c>
      <c r="J922" s="26"/>
      <c r="K922" s="26"/>
      <c r="L922" s="26"/>
      <c r="M922" s="26"/>
      <c r="N922" s="26"/>
      <c r="O922" s="26"/>
      <c r="P922" s="34"/>
    </row>
    <row r="923" customFormat="false" ht="15" hidden="false" customHeight="true" outlineLevel="0" collapsed="false">
      <c r="A923" s="18" t="n">
        <v>412</v>
      </c>
      <c r="B923" s="25"/>
      <c r="C923" s="26"/>
      <c r="D923" s="26"/>
      <c r="E923" s="26"/>
      <c r="F923" s="24" t="str">
        <f aca="false">IFERROR(INDEX('Operator Master'!$B$5:$B$504,MATCH(E923,'Operator Master'!$A$5:$A$504,0)),"")</f>
        <v/>
      </c>
      <c r="G923" s="26"/>
      <c r="H923" s="24" t="str">
        <f aca="false">IFERROR(INDEX('Fault Master'!$B$5:$B$104,MATCH(G923,'Fault Master'!$A$5:$A$104,0)),"")</f>
        <v/>
      </c>
      <c r="I923" s="24" t="str">
        <f aca="false">IFERROR(INDEX('Fault Master'!$C$5:$C$104,MATCH(G923,'Fault Master'!$A$5:$A$104,0)),"")</f>
        <v/>
      </c>
      <c r="J923" s="26"/>
      <c r="K923" s="26"/>
      <c r="L923" s="26"/>
      <c r="M923" s="26"/>
      <c r="N923" s="26"/>
      <c r="O923" s="26"/>
      <c r="P923" s="34"/>
    </row>
    <row r="924" customFormat="false" ht="15" hidden="false" customHeight="true" outlineLevel="0" collapsed="false">
      <c r="A924" s="18" t="n">
        <v>413</v>
      </c>
      <c r="B924" s="25"/>
      <c r="C924" s="26"/>
      <c r="D924" s="26"/>
      <c r="E924" s="26"/>
      <c r="F924" s="24" t="str">
        <f aca="false">IFERROR(INDEX('Operator Master'!$B$5:$B$504,MATCH(E924,'Operator Master'!$A$5:$A$504,0)),"")</f>
        <v/>
      </c>
      <c r="G924" s="26"/>
      <c r="H924" s="24" t="str">
        <f aca="false">IFERROR(INDEX('Fault Master'!$B$5:$B$104,MATCH(G924,'Fault Master'!$A$5:$A$104,0)),"")</f>
        <v/>
      </c>
      <c r="I924" s="24" t="str">
        <f aca="false">IFERROR(INDEX('Fault Master'!$C$5:$C$104,MATCH(G924,'Fault Master'!$A$5:$A$104,0)),"")</f>
        <v/>
      </c>
      <c r="J924" s="26"/>
      <c r="K924" s="26"/>
      <c r="L924" s="26"/>
      <c r="M924" s="26"/>
      <c r="N924" s="26"/>
      <c r="O924" s="26"/>
      <c r="P924" s="34"/>
    </row>
    <row r="925" customFormat="false" ht="15" hidden="false" customHeight="true" outlineLevel="0" collapsed="false">
      <c r="A925" s="18" t="n">
        <v>414</v>
      </c>
      <c r="B925" s="25"/>
      <c r="C925" s="26"/>
      <c r="D925" s="26"/>
      <c r="E925" s="26"/>
      <c r="F925" s="24" t="str">
        <f aca="false">IFERROR(INDEX('Operator Master'!$B$5:$B$504,MATCH(E925,'Operator Master'!$A$5:$A$504,0)),"")</f>
        <v/>
      </c>
      <c r="G925" s="26"/>
      <c r="H925" s="24" t="str">
        <f aca="false">IFERROR(INDEX('Fault Master'!$B$5:$B$104,MATCH(G925,'Fault Master'!$A$5:$A$104,0)),"")</f>
        <v/>
      </c>
      <c r="I925" s="24" t="str">
        <f aca="false">IFERROR(INDEX('Fault Master'!$C$5:$C$104,MATCH(G925,'Fault Master'!$A$5:$A$104,0)),"")</f>
        <v/>
      </c>
      <c r="J925" s="26"/>
      <c r="K925" s="26"/>
      <c r="L925" s="26"/>
      <c r="M925" s="26"/>
      <c r="N925" s="26"/>
      <c r="O925" s="26"/>
      <c r="P925" s="34"/>
    </row>
    <row r="926" customFormat="false" ht="15" hidden="false" customHeight="true" outlineLevel="0" collapsed="false">
      <c r="A926" s="18" t="n">
        <v>415</v>
      </c>
      <c r="B926" s="25"/>
      <c r="C926" s="26"/>
      <c r="D926" s="26"/>
      <c r="E926" s="26"/>
      <c r="F926" s="24" t="str">
        <f aca="false">IFERROR(INDEX('Operator Master'!$B$5:$B$504,MATCH(E926,'Operator Master'!$A$5:$A$504,0)),"")</f>
        <v/>
      </c>
      <c r="G926" s="26"/>
      <c r="H926" s="24" t="str">
        <f aca="false">IFERROR(INDEX('Fault Master'!$B$5:$B$104,MATCH(G926,'Fault Master'!$A$5:$A$104,0)),"")</f>
        <v/>
      </c>
      <c r="I926" s="24" t="str">
        <f aca="false">IFERROR(INDEX('Fault Master'!$C$5:$C$104,MATCH(G926,'Fault Master'!$A$5:$A$104,0)),"")</f>
        <v/>
      </c>
      <c r="J926" s="26"/>
      <c r="K926" s="26"/>
      <c r="L926" s="26"/>
      <c r="M926" s="26"/>
      <c r="N926" s="26"/>
      <c r="O926" s="26"/>
      <c r="P926" s="34"/>
    </row>
    <row r="927" customFormat="false" ht="15" hidden="false" customHeight="true" outlineLevel="0" collapsed="false">
      <c r="A927" s="18" t="n">
        <v>416</v>
      </c>
      <c r="B927" s="25"/>
      <c r="C927" s="26"/>
      <c r="D927" s="26"/>
      <c r="E927" s="26"/>
      <c r="F927" s="24" t="str">
        <f aca="false">IFERROR(INDEX('Operator Master'!$B$5:$B$504,MATCH(E927,'Operator Master'!$A$5:$A$504,0)),"")</f>
        <v/>
      </c>
      <c r="G927" s="26"/>
      <c r="H927" s="24" t="str">
        <f aca="false">IFERROR(INDEX('Fault Master'!$B$5:$B$104,MATCH(G927,'Fault Master'!$A$5:$A$104,0)),"")</f>
        <v/>
      </c>
      <c r="I927" s="24" t="str">
        <f aca="false">IFERROR(INDEX('Fault Master'!$C$5:$C$104,MATCH(G927,'Fault Master'!$A$5:$A$104,0)),"")</f>
        <v/>
      </c>
      <c r="J927" s="26"/>
      <c r="K927" s="26"/>
      <c r="L927" s="26"/>
      <c r="M927" s="26"/>
      <c r="N927" s="26"/>
      <c r="O927" s="26"/>
      <c r="P927" s="34"/>
    </row>
    <row r="928" customFormat="false" ht="15" hidden="false" customHeight="true" outlineLevel="0" collapsed="false">
      <c r="A928" s="18" t="n">
        <v>417</v>
      </c>
      <c r="B928" s="25"/>
      <c r="C928" s="26"/>
      <c r="D928" s="26"/>
      <c r="E928" s="26"/>
      <c r="F928" s="24" t="str">
        <f aca="false">IFERROR(INDEX('Operator Master'!$B$5:$B$504,MATCH(E928,'Operator Master'!$A$5:$A$504,0)),"")</f>
        <v/>
      </c>
      <c r="G928" s="26"/>
      <c r="H928" s="24" t="str">
        <f aca="false">IFERROR(INDEX('Fault Master'!$B$5:$B$104,MATCH(G928,'Fault Master'!$A$5:$A$104,0)),"")</f>
        <v/>
      </c>
      <c r="I928" s="24" t="str">
        <f aca="false">IFERROR(INDEX('Fault Master'!$C$5:$C$104,MATCH(G928,'Fault Master'!$A$5:$A$104,0)),"")</f>
        <v/>
      </c>
      <c r="J928" s="26"/>
      <c r="K928" s="26"/>
      <c r="L928" s="26"/>
      <c r="M928" s="26"/>
      <c r="N928" s="26"/>
      <c r="O928" s="26"/>
      <c r="P928" s="34"/>
    </row>
    <row r="929" customFormat="false" ht="15" hidden="false" customHeight="true" outlineLevel="0" collapsed="false">
      <c r="A929" s="18" t="n">
        <v>418</v>
      </c>
      <c r="B929" s="25"/>
      <c r="C929" s="26"/>
      <c r="D929" s="26"/>
      <c r="E929" s="26"/>
      <c r="F929" s="24" t="str">
        <f aca="false">IFERROR(INDEX('Operator Master'!$B$5:$B$504,MATCH(E929,'Operator Master'!$A$5:$A$504,0)),"")</f>
        <v/>
      </c>
      <c r="G929" s="26"/>
      <c r="H929" s="24" t="str">
        <f aca="false">IFERROR(INDEX('Fault Master'!$B$5:$B$104,MATCH(G929,'Fault Master'!$A$5:$A$104,0)),"")</f>
        <v/>
      </c>
      <c r="I929" s="24" t="str">
        <f aca="false">IFERROR(INDEX('Fault Master'!$C$5:$C$104,MATCH(G929,'Fault Master'!$A$5:$A$104,0)),"")</f>
        <v/>
      </c>
      <c r="J929" s="26"/>
      <c r="K929" s="26"/>
      <c r="L929" s="26"/>
      <c r="M929" s="26"/>
      <c r="N929" s="26"/>
      <c r="O929" s="26"/>
      <c r="P929" s="34"/>
    </row>
    <row r="930" customFormat="false" ht="15" hidden="false" customHeight="true" outlineLevel="0" collapsed="false">
      <c r="A930" s="18" t="n">
        <v>419</v>
      </c>
      <c r="B930" s="25"/>
      <c r="C930" s="26"/>
      <c r="D930" s="26"/>
      <c r="E930" s="26"/>
      <c r="F930" s="24" t="str">
        <f aca="false">IFERROR(INDEX('Operator Master'!$B$5:$B$504,MATCH(E930,'Operator Master'!$A$5:$A$504,0)),"")</f>
        <v/>
      </c>
      <c r="G930" s="26"/>
      <c r="H930" s="24" t="str">
        <f aca="false">IFERROR(INDEX('Fault Master'!$B$5:$B$104,MATCH(G930,'Fault Master'!$A$5:$A$104,0)),"")</f>
        <v/>
      </c>
      <c r="I930" s="24" t="str">
        <f aca="false">IFERROR(INDEX('Fault Master'!$C$5:$C$104,MATCH(G930,'Fault Master'!$A$5:$A$104,0)),"")</f>
        <v/>
      </c>
      <c r="J930" s="26"/>
      <c r="K930" s="26"/>
      <c r="L930" s="26"/>
      <c r="M930" s="26"/>
      <c r="N930" s="26"/>
      <c r="O930" s="26"/>
      <c r="P930" s="34"/>
    </row>
    <row r="931" customFormat="false" ht="15" hidden="false" customHeight="true" outlineLevel="0" collapsed="false">
      <c r="A931" s="18" t="n">
        <v>420</v>
      </c>
      <c r="B931" s="25"/>
      <c r="C931" s="26"/>
      <c r="D931" s="26"/>
      <c r="E931" s="26"/>
      <c r="F931" s="24" t="str">
        <f aca="false">IFERROR(INDEX('Operator Master'!$B$5:$B$504,MATCH(E931,'Operator Master'!$A$5:$A$504,0)),"")</f>
        <v/>
      </c>
      <c r="G931" s="26"/>
      <c r="H931" s="24" t="str">
        <f aca="false">IFERROR(INDEX('Fault Master'!$B$5:$B$104,MATCH(G931,'Fault Master'!$A$5:$A$104,0)),"")</f>
        <v/>
      </c>
      <c r="I931" s="24" t="str">
        <f aca="false">IFERROR(INDEX('Fault Master'!$C$5:$C$104,MATCH(G931,'Fault Master'!$A$5:$A$104,0)),"")</f>
        <v/>
      </c>
      <c r="J931" s="26"/>
      <c r="K931" s="26"/>
      <c r="L931" s="26"/>
      <c r="M931" s="26"/>
      <c r="N931" s="26"/>
      <c r="O931" s="26"/>
      <c r="P931" s="34"/>
    </row>
    <row r="932" customFormat="false" ht="15" hidden="false" customHeight="true" outlineLevel="0" collapsed="false">
      <c r="A932" s="18" t="n">
        <v>421</v>
      </c>
      <c r="B932" s="25"/>
      <c r="C932" s="26"/>
      <c r="D932" s="26"/>
      <c r="E932" s="26"/>
      <c r="F932" s="24" t="str">
        <f aca="false">IFERROR(INDEX('Operator Master'!$B$5:$B$504,MATCH(E932,'Operator Master'!$A$5:$A$504,0)),"")</f>
        <v/>
      </c>
      <c r="G932" s="26"/>
      <c r="H932" s="24" t="str">
        <f aca="false">IFERROR(INDEX('Fault Master'!$B$5:$B$104,MATCH(G932,'Fault Master'!$A$5:$A$104,0)),"")</f>
        <v/>
      </c>
      <c r="I932" s="24" t="str">
        <f aca="false">IFERROR(INDEX('Fault Master'!$C$5:$C$104,MATCH(G932,'Fault Master'!$A$5:$A$104,0)),"")</f>
        <v/>
      </c>
      <c r="J932" s="26"/>
      <c r="K932" s="26"/>
      <c r="L932" s="26"/>
      <c r="M932" s="26"/>
      <c r="N932" s="26"/>
      <c r="O932" s="26"/>
      <c r="P932" s="34"/>
    </row>
    <row r="933" customFormat="false" ht="15" hidden="false" customHeight="true" outlineLevel="0" collapsed="false">
      <c r="A933" s="18" t="n">
        <v>422</v>
      </c>
      <c r="B933" s="25"/>
      <c r="C933" s="26"/>
      <c r="D933" s="26"/>
      <c r="E933" s="26"/>
      <c r="F933" s="24" t="str">
        <f aca="false">IFERROR(INDEX('Operator Master'!$B$5:$B$504,MATCH(E933,'Operator Master'!$A$5:$A$504,0)),"")</f>
        <v/>
      </c>
      <c r="G933" s="26"/>
      <c r="H933" s="24" t="str">
        <f aca="false">IFERROR(INDEX('Fault Master'!$B$5:$B$104,MATCH(G933,'Fault Master'!$A$5:$A$104,0)),"")</f>
        <v/>
      </c>
      <c r="I933" s="24" t="str">
        <f aca="false">IFERROR(INDEX('Fault Master'!$C$5:$C$104,MATCH(G933,'Fault Master'!$A$5:$A$104,0)),"")</f>
        <v/>
      </c>
      <c r="J933" s="26"/>
      <c r="K933" s="26"/>
      <c r="L933" s="26"/>
      <c r="M933" s="26"/>
      <c r="N933" s="26"/>
      <c r="O933" s="26"/>
      <c r="P933" s="34"/>
    </row>
    <row r="934" customFormat="false" ht="15" hidden="false" customHeight="true" outlineLevel="0" collapsed="false">
      <c r="A934" s="18" t="n">
        <v>423</v>
      </c>
      <c r="B934" s="25"/>
      <c r="C934" s="26"/>
      <c r="D934" s="26"/>
      <c r="E934" s="26"/>
      <c r="F934" s="24" t="str">
        <f aca="false">IFERROR(INDEX('Operator Master'!$B$5:$B$504,MATCH(E934,'Operator Master'!$A$5:$A$504,0)),"")</f>
        <v/>
      </c>
      <c r="G934" s="26"/>
      <c r="H934" s="24" t="str">
        <f aca="false">IFERROR(INDEX('Fault Master'!$B$5:$B$104,MATCH(G934,'Fault Master'!$A$5:$A$104,0)),"")</f>
        <v/>
      </c>
      <c r="I934" s="24" t="str">
        <f aca="false">IFERROR(INDEX('Fault Master'!$C$5:$C$104,MATCH(G934,'Fault Master'!$A$5:$A$104,0)),"")</f>
        <v/>
      </c>
      <c r="J934" s="26"/>
      <c r="K934" s="26"/>
      <c r="L934" s="26"/>
      <c r="M934" s="26"/>
      <c r="N934" s="26"/>
      <c r="O934" s="26"/>
      <c r="P934" s="34"/>
    </row>
    <row r="935" customFormat="false" ht="15" hidden="false" customHeight="true" outlineLevel="0" collapsed="false">
      <c r="A935" s="18" t="n">
        <v>424</v>
      </c>
      <c r="B935" s="25"/>
      <c r="C935" s="26"/>
      <c r="D935" s="26"/>
      <c r="E935" s="26"/>
      <c r="F935" s="24" t="str">
        <f aca="false">IFERROR(INDEX('Operator Master'!$B$5:$B$504,MATCH(E935,'Operator Master'!$A$5:$A$504,0)),"")</f>
        <v/>
      </c>
      <c r="G935" s="26"/>
      <c r="H935" s="24" t="str">
        <f aca="false">IFERROR(INDEX('Fault Master'!$B$5:$B$104,MATCH(G935,'Fault Master'!$A$5:$A$104,0)),"")</f>
        <v/>
      </c>
      <c r="I935" s="24" t="str">
        <f aca="false">IFERROR(INDEX('Fault Master'!$C$5:$C$104,MATCH(G935,'Fault Master'!$A$5:$A$104,0)),"")</f>
        <v/>
      </c>
      <c r="J935" s="26"/>
      <c r="K935" s="26"/>
      <c r="L935" s="26"/>
      <c r="M935" s="26"/>
      <c r="N935" s="26"/>
      <c r="O935" s="26"/>
      <c r="P935" s="34"/>
    </row>
    <row r="936" customFormat="false" ht="15" hidden="false" customHeight="true" outlineLevel="0" collapsed="false">
      <c r="A936" s="18" t="n">
        <v>425</v>
      </c>
      <c r="B936" s="25"/>
      <c r="C936" s="26"/>
      <c r="D936" s="26"/>
      <c r="E936" s="26"/>
      <c r="F936" s="24" t="str">
        <f aca="false">IFERROR(INDEX('Operator Master'!$B$5:$B$504,MATCH(E936,'Operator Master'!$A$5:$A$504,0)),"")</f>
        <v/>
      </c>
      <c r="G936" s="26"/>
      <c r="H936" s="24" t="str">
        <f aca="false">IFERROR(INDEX('Fault Master'!$B$5:$B$104,MATCH(G936,'Fault Master'!$A$5:$A$104,0)),"")</f>
        <v/>
      </c>
      <c r="I936" s="24" t="str">
        <f aca="false">IFERROR(INDEX('Fault Master'!$C$5:$C$104,MATCH(G936,'Fault Master'!$A$5:$A$104,0)),"")</f>
        <v/>
      </c>
      <c r="J936" s="26"/>
      <c r="K936" s="26"/>
      <c r="L936" s="26"/>
      <c r="M936" s="26"/>
      <c r="N936" s="26"/>
      <c r="O936" s="26"/>
      <c r="P936" s="34"/>
    </row>
    <row r="937" customFormat="false" ht="15" hidden="false" customHeight="true" outlineLevel="0" collapsed="false">
      <c r="A937" s="18" t="n">
        <v>426</v>
      </c>
      <c r="B937" s="25"/>
      <c r="C937" s="26"/>
      <c r="D937" s="26"/>
      <c r="E937" s="26"/>
      <c r="F937" s="24" t="str">
        <f aca="false">IFERROR(INDEX('Operator Master'!$B$5:$B$504,MATCH(E937,'Operator Master'!$A$5:$A$504,0)),"")</f>
        <v/>
      </c>
      <c r="G937" s="26"/>
      <c r="H937" s="24" t="str">
        <f aca="false">IFERROR(INDEX('Fault Master'!$B$5:$B$104,MATCH(G937,'Fault Master'!$A$5:$A$104,0)),"")</f>
        <v/>
      </c>
      <c r="I937" s="24" t="str">
        <f aca="false">IFERROR(INDEX('Fault Master'!$C$5:$C$104,MATCH(G937,'Fault Master'!$A$5:$A$104,0)),"")</f>
        <v/>
      </c>
      <c r="J937" s="26"/>
      <c r="K937" s="26"/>
      <c r="L937" s="26"/>
      <c r="M937" s="26"/>
      <c r="N937" s="26"/>
      <c r="O937" s="26"/>
      <c r="P937" s="34"/>
    </row>
    <row r="938" customFormat="false" ht="15" hidden="false" customHeight="true" outlineLevel="0" collapsed="false">
      <c r="A938" s="18" t="n">
        <v>427</v>
      </c>
      <c r="B938" s="25"/>
      <c r="C938" s="26"/>
      <c r="D938" s="26"/>
      <c r="E938" s="26"/>
      <c r="F938" s="24" t="str">
        <f aca="false">IFERROR(INDEX('Operator Master'!$B$5:$B$504,MATCH(E938,'Operator Master'!$A$5:$A$504,0)),"")</f>
        <v/>
      </c>
      <c r="G938" s="26"/>
      <c r="H938" s="24" t="str">
        <f aca="false">IFERROR(INDEX('Fault Master'!$B$5:$B$104,MATCH(G938,'Fault Master'!$A$5:$A$104,0)),"")</f>
        <v/>
      </c>
      <c r="I938" s="24" t="str">
        <f aca="false">IFERROR(INDEX('Fault Master'!$C$5:$C$104,MATCH(G938,'Fault Master'!$A$5:$A$104,0)),"")</f>
        <v/>
      </c>
      <c r="J938" s="26"/>
      <c r="K938" s="26"/>
      <c r="L938" s="26"/>
      <c r="M938" s="26"/>
      <c r="N938" s="26"/>
      <c r="O938" s="26"/>
      <c r="P938" s="34"/>
    </row>
    <row r="939" customFormat="false" ht="15" hidden="false" customHeight="true" outlineLevel="0" collapsed="false">
      <c r="A939" s="18" t="n">
        <v>428</v>
      </c>
      <c r="B939" s="25"/>
      <c r="C939" s="26"/>
      <c r="D939" s="26"/>
      <c r="E939" s="26"/>
      <c r="F939" s="24" t="str">
        <f aca="false">IFERROR(INDEX('Operator Master'!$B$5:$B$504,MATCH(E939,'Operator Master'!$A$5:$A$504,0)),"")</f>
        <v/>
      </c>
      <c r="G939" s="26"/>
      <c r="H939" s="24" t="str">
        <f aca="false">IFERROR(INDEX('Fault Master'!$B$5:$B$104,MATCH(G939,'Fault Master'!$A$5:$A$104,0)),"")</f>
        <v/>
      </c>
      <c r="I939" s="24" t="str">
        <f aca="false">IFERROR(INDEX('Fault Master'!$C$5:$C$104,MATCH(G939,'Fault Master'!$A$5:$A$104,0)),"")</f>
        <v/>
      </c>
      <c r="J939" s="26"/>
      <c r="K939" s="26"/>
      <c r="L939" s="26"/>
      <c r="M939" s="26"/>
      <c r="N939" s="26"/>
      <c r="O939" s="26"/>
      <c r="P939" s="34"/>
    </row>
    <row r="940" customFormat="false" ht="15" hidden="false" customHeight="true" outlineLevel="0" collapsed="false">
      <c r="A940" s="18" t="n">
        <v>429</v>
      </c>
      <c r="B940" s="25"/>
      <c r="C940" s="26"/>
      <c r="D940" s="26"/>
      <c r="E940" s="26"/>
      <c r="F940" s="24" t="str">
        <f aca="false">IFERROR(INDEX('Operator Master'!$B$5:$B$504,MATCH(E940,'Operator Master'!$A$5:$A$504,0)),"")</f>
        <v/>
      </c>
      <c r="G940" s="26"/>
      <c r="H940" s="24" t="str">
        <f aca="false">IFERROR(INDEX('Fault Master'!$B$5:$B$104,MATCH(G940,'Fault Master'!$A$5:$A$104,0)),"")</f>
        <v/>
      </c>
      <c r="I940" s="24" t="str">
        <f aca="false">IFERROR(INDEX('Fault Master'!$C$5:$C$104,MATCH(G940,'Fault Master'!$A$5:$A$104,0)),"")</f>
        <v/>
      </c>
      <c r="J940" s="26"/>
      <c r="K940" s="26"/>
      <c r="L940" s="26"/>
      <c r="M940" s="26"/>
      <c r="N940" s="26"/>
      <c r="O940" s="26"/>
      <c r="P940" s="34"/>
    </row>
    <row r="941" customFormat="false" ht="15" hidden="false" customHeight="true" outlineLevel="0" collapsed="false">
      <c r="A941" s="18" t="n">
        <v>430</v>
      </c>
      <c r="B941" s="25"/>
      <c r="C941" s="26"/>
      <c r="D941" s="26"/>
      <c r="E941" s="26"/>
      <c r="F941" s="24" t="str">
        <f aca="false">IFERROR(INDEX('Operator Master'!$B$5:$B$504,MATCH(E941,'Operator Master'!$A$5:$A$504,0)),"")</f>
        <v/>
      </c>
      <c r="G941" s="26"/>
      <c r="H941" s="24" t="str">
        <f aca="false">IFERROR(INDEX('Fault Master'!$B$5:$B$104,MATCH(G941,'Fault Master'!$A$5:$A$104,0)),"")</f>
        <v/>
      </c>
      <c r="I941" s="24" t="str">
        <f aca="false">IFERROR(INDEX('Fault Master'!$C$5:$C$104,MATCH(G941,'Fault Master'!$A$5:$A$104,0)),"")</f>
        <v/>
      </c>
      <c r="J941" s="26"/>
      <c r="K941" s="26"/>
      <c r="L941" s="26"/>
      <c r="M941" s="26"/>
      <c r="N941" s="26"/>
      <c r="O941" s="26"/>
      <c r="P941" s="34"/>
    </row>
    <row r="942" customFormat="false" ht="15" hidden="false" customHeight="true" outlineLevel="0" collapsed="false">
      <c r="A942" s="18" t="n">
        <v>431</v>
      </c>
      <c r="B942" s="25"/>
      <c r="C942" s="26"/>
      <c r="D942" s="26"/>
      <c r="E942" s="26"/>
      <c r="F942" s="24" t="str">
        <f aca="false">IFERROR(INDEX('Operator Master'!$B$5:$B$504,MATCH(E942,'Operator Master'!$A$5:$A$504,0)),"")</f>
        <v/>
      </c>
      <c r="G942" s="26"/>
      <c r="H942" s="24" t="str">
        <f aca="false">IFERROR(INDEX('Fault Master'!$B$5:$B$104,MATCH(G942,'Fault Master'!$A$5:$A$104,0)),"")</f>
        <v/>
      </c>
      <c r="I942" s="24" t="str">
        <f aca="false">IFERROR(INDEX('Fault Master'!$C$5:$C$104,MATCH(G942,'Fault Master'!$A$5:$A$104,0)),"")</f>
        <v/>
      </c>
      <c r="J942" s="26"/>
      <c r="K942" s="26"/>
      <c r="L942" s="26"/>
      <c r="M942" s="26"/>
      <c r="N942" s="26"/>
      <c r="O942" s="26"/>
      <c r="P942" s="34"/>
    </row>
    <row r="943" customFormat="false" ht="15" hidden="false" customHeight="true" outlineLevel="0" collapsed="false">
      <c r="A943" s="18" t="n">
        <v>432</v>
      </c>
      <c r="B943" s="25"/>
      <c r="C943" s="26"/>
      <c r="D943" s="26"/>
      <c r="E943" s="26"/>
      <c r="F943" s="24" t="str">
        <f aca="false">IFERROR(INDEX('Operator Master'!$B$5:$B$504,MATCH(E943,'Operator Master'!$A$5:$A$504,0)),"")</f>
        <v/>
      </c>
      <c r="G943" s="26"/>
      <c r="H943" s="24" t="str">
        <f aca="false">IFERROR(INDEX('Fault Master'!$B$5:$B$104,MATCH(G943,'Fault Master'!$A$5:$A$104,0)),"")</f>
        <v/>
      </c>
      <c r="I943" s="24" t="str">
        <f aca="false">IFERROR(INDEX('Fault Master'!$C$5:$C$104,MATCH(G943,'Fault Master'!$A$5:$A$104,0)),"")</f>
        <v/>
      </c>
      <c r="J943" s="26"/>
      <c r="K943" s="26"/>
      <c r="L943" s="26"/>
      <c r="M943" s="26"/>
      <c r="N943" s="26"/>
      <c r="O943" s="26"/>
      <c r="P943" s="34"/>
    </row>
    <row r="944" customFormat="false" ht="15" hidden="false" customHeight="true" outlineLevel="0" collapsed="false">
      <c r="A944" s="18" t="n">
        <v>433</v>
      </c>
      <c r="B944" s="25"/>
      <c r="C944" s="26"/>
      <c r="D944" s="26"/>
      <c r="E944" s="26"/>
      <c r="F944" s="24" t="str">
        <f aca="false">IFERROR(INDEX('Operator Master'!$B$5:$B$504,MATCH(E944,'Operator Master'!$A$5:$A$504,0)),"")</f>
        <v/>
      </c>
      <c r="G944" s="26"/>
      <c r="H944" s="24" t="str">
        <f aca="false">IFERROR(INDEX('Fault Master'!$B$5:$B$104,MATCH(G944,'Fault Master'!$A$5:$A$104,0)),"")</f>
        <v/>
      </c>
      <c r="I944" s="24" t="str">
        <f aca="false">IFERROR(INDEX('Fault Master'!$C$5:$C$104,MATCH(G944,'Fault Master'!$A$5:$A$104,0)),"")</f>
        <v/>
      </c>
      <c r="J944" s="26"/>
      <c r="K944" s="26"/>
      <c r="L944" s="26"/>
      <c r="M944" s="26"/>
      <c r="N944" s="26"/>
      <c r="O944" s="26"/>
      <c r="P944" s="34"/>
    </row>
    <row r="945" customFormat="false" ht="15" hidden="false" customHeight="true" outlineLevel="0" collapsed="false">
      <c r="A945" s="18" t="n">
        <v>434</v>
      </c>
      <c r="B945" s="25"/>
      <c r="C945" s="26"/>
      <c r="D945" s="26"/>
      <c r="E945" s="26"/>
      <c r="F945" s="24" t="str">
        <f aca="false">IFERROR(INDEX('Operator Master'!$B$5:$B$504,MATCH(E945,'Operator Master'!$A$5:$A$504,0)),"")</f>
        <v/>
      </c>
      <c r="G945" s="26"/>
      <c r="H945" s="24" t="str">
        <f aca="false">IFERROR(INDEX('Fault Master'!$B$5:$B$104,MATCH(G945,'Fault Master'!$A$5:$A$104,0)),"")</f>
        <v/>
      </c>
      <c r="I945" s="24" t="str">
        <f aca="false">IFERROR(INDEX('Fault Master'!$C$5:$C$104,MATCH(G945,'Fault Master'!$A$5:$A$104,0)),"")</f>
        <v/>
      </c>
      <c r="J945" s="26"/>
      <c r="K945" s="26"/>
      <c r="L945" s="26"/>
      <c r="M945" s="26"/>
      <c r="N945" s="26"/>
      <c r="O945" s="26"/>
      <c r="P945" s="34"/>
    </row>
    <row r="946" customFormat="false" ht="15" hidden="false" customHeight="true" outlineLevel="0" collapsed="false">
      <c r="A946" s="18" t="n">
        <v>435</v>
      </c>
      <c r="B946" s="25"/>
      <c r="C946" s="26"/>
      <c r="D946" s="26"/>
      <c r="E946" s="26"/>
      <c r="F946" s="24" t="str">
        <f aca="false">IFERROR(INDEX('Operator Master'!$B$5:$B$504,MATCH(E946,'Operator Master'!$A$5:$A$504,0)),"")</f>
        <v/>
      </c>
      <c r="G946" s="26"/>
      <c r="H946" s="24" t="str">
        <f aca="false">IFERROR(INDEX('Fault Master'!$B$5:$B$104,MATCH(G946,'Fault Master'!$A$5:$A$104,0)),"")</f>
        <v/>
      </c>
      <c r="I946" s="24" t="str">
        <f aca="false">IFERROR(INDEX('Fault Master'!$C$5:$C$104,MATCH(G946,'Fault Master'!$A$5:$A$104,0)),"")</f>
        <v/>
      </c>
      <c r="J946" s="26"/>
      <c r="K946" s="26"/>
      <c r="L946" s="26"/>
      <c r="M946" s="26"/>
      <c r="N946" s="26"/>
      <c r="O946" s="26"/>
      <c r="P946" s="34"/>
    </row>
    <row r="947" customFormat="false" ht="15" hidden="false" customHeight="true" outlineLevel="0" collapsed="false">
      <c r="A947" s="18" t="n">
        <v>436</v>
      </c>
      <c r="B947" s="25"/>
      <c r="C947" s="26"/>
      <c r="D947" s="26"/>
      <c r="E947" s="26"/>
      <c r="F947" s="24" t="str">
        <f aca="false">IFERROR(INDEX('Operator Master'!$B$5:$B$504,MATCH(E947,'Operator Master'!$A$5:$A$504,0)),"")</f>
        <v/>
      </c>
      <c r="G947" s="26"/>
      <c r="H947" s="24" t="str">
        <f aca="false">IFERROR(INDEX('Fault Master'!$B$5:$B$104,MATCH(G947,'Fault Master'!$A$5:$A$104,0)),"")</f>
        <v/>
      </c>
      <c r="I947" s="24" t="str">
        <f aca="false">IFERROR(INDEX('Fault Master'!$C$5:$C$104,MATCH(G947,'Fault Master'!$A$5:$A$104,0)),"")</f>
        <v/>
      </c>
      <c r="J947" s="26"/>
      <c r="K947" s="26"/>
      <c r="L947" s="26"/>
      <c r="M947" s="26"/>
      <c r="N947" s="26"/>
      <c r="O947" s="26"/>
      <c r="P947" s="34"/>
    </row>
    <row r="948" customFormat="false" ht="15" hidden="false" customHeight="true" outlineLevel="0" collapsed="false">
      <c r="A948" s="18" t="n">
        <v>437</v>
      </c>
      <c r="B948" s="25"/>
      <c r="C948" s="26"/>
      <c r="D948" s="26"/>
      <c r="E948" s="26"/>
      <c r="F948" s="24" t="str">
        <f aca="false">IFERROR(INDEX('Operator Master'!$B$5:$B$504,MATCH(E948,'Operator Master'!$A$5:$A$504,0)),"")</f>
        <v/>
      </c>
      <c r="G948" s="26"/>
      <c r="H948" s="24" t="str">
        <f aca="false">IFERROR(INDEX('Fault Master'!$B$5:$B$104,MATCH(G948,'Fault Master'!$A$5:$A$104,0)),"")</f>
        <v/>
      </c>
      <c r="I948" s="24" t="str">
        <f aca="false">IFERROR(INDEX('Fault Master'!$C$5:$C$104,MATCH(G948,'Fault Master'!$A$5:$A$104,0)),"")</f>
        <v/>
      </c>
      <c r="J948" s="26"/>
      <c r="K948" s="26"/>
      <c r="L948" s="26"/>
      <c r="M948" s="26"/>
      <c r="N948" s="26"/>
      <c r="O948" s="26"/>
      <c r="P948" s="34"/>
    </row>
    <row r="949" customFormat="false" ht="15" hidden="false" customHeight="true" outlineLevel="0" collapsed="false">
      <c r="A949" s="18" t="n">
        <v>438</v>
      </c>
      <c r="B949" s="25"/>
      <c r="C949" s="26"/>
      <c r="D949" s="26"/>
      <c r="E949" s="26"/>
      <c r="F949" s="24" t="str">
        <f aca="false">IFERROR(INDEX('Operator Master'!$B$5:$B$504,MATCH(E949,'Operator Master'!$A$5:$A$504,0)),"")</f>
        <v/>
      </c>
      <c r="G949" s="26"/>
      <c r="H949" s="24" t="str">
        <f aca="false">IFERROR(INDEX('Fault Master'!$B$5:$B$104,MATCH(G949,'Fault Master'!$A$5:$A$104,0)),"")</f>
        <v/>
      </c>
      <c r="I949" s="24" t="str">
        <f aca="false">IFERROR(INDEX('Fault Master'!$C$5:$C$104,MATCH(G949,'Fault Master'!$A$5:$A$104,0)),"")</f>
        <v/>
      </c>
      <c r="J949" s="26"/>
      <c r="K949" s="26"/>
      <c r="L949" s="26"/>
      <c r="M949" s="26"/>
      <c r="N949" s="26"/>
      <c r="O949" s="26"/>
      <c r="P949" s="34"/>
    </row>
    <row r="950" customFormat="false" ht="15" hidden="false" customHeight="true" outlineLevel="0" collapsed="false">
      <c r="A950" s="18" t="n">
        <v>439</v>
      </c>
      <c r="B950" s="25"/>
      <c r="C950" s="26"/>
      <c r="D950" s="26"/>
      <c r="E950" s="26"/>
      <c r="F950" s="24" t="str">
        <f aca="false">IFERROR(INDEX('Operator Master'!$B$5:$B$504,MATCH(E950,'Operator Master'!$A$5:$A$504,0)),"")</f>
        <v/>
      </c>
      <c r="G950" s="26"/>
      <c r="H950" s="24" t="str">
        <f aca="false">IFERROR(INDEX('Fault Master'!$B$5:$B$104,MATCH(G950,'Fault Master'!$A$5:$A$104,0)),"")</f>
        <v/>
      </c>
      <c r="I950" s="24" t="str">
        <f aca="false">IFERROR(INDEX('Fault Master'!$C$5:$C$104,MATCH(G950,'Fault Master'!$A$5:$A$104,0)),"")</f>
        <v/>
      </c>
      <c r="J950" s="26"/>
      <c r="K950" s="26"/>
      <c r="L950" s="26"/>
      <c r="M950" s="26"/>
      <c r="N950" s="26"/>
      <c r="O950" s="26"/>
      <c r="P950" s="34"/>
    </row>
    <row r="951" customFormat="false" ht="15" hidden="false" customHeight="true" outlineLevel="0" collapsed="false">
      <c r="A951" s="18" t="n">
        <v>440</v>
      </c>
      <c r="B951" s="25"/>
      <c r="C951" s="26"/>
      <c r="D951" s="26"/>
      <c r="E951" s="26"/>
      <c r="F951" s="24" t="str">
        <f aca="false">IFERROR(INDEX('Operator Master'!$B$5:$B$504,MATCH(E951,'Operator Master'!$A$5:$A$504,0)),"")</f>
        <v/>
      </c>
      <c r="G951" s="26"/>
      <c r="H951" s="24" t="str">
        <f aca="false">IFERROR(INDEX('Fault Master'!$B$5:$B$104,MATCH(G951,'Fault Master'!$A$5:$A$104,0)),"")</f>
        <v/>
      </c>
      <c r="I951" s="24" t="str">
        <f aca="false">IFERROR(INDEX('Fault Master'!$C$5:$C$104,MATCH(G951,'Fault Master'!$A$5:$A$104,0)),"")</f>
        <v/>
      </c>
      <c r="J951" s="26"/>
      <c r="K951" s="26"/>
      <c r="L951" s="26"/>
      <c r="M951" s="26"/>
      <c r="N951" s="26"/>
      <c r="O951" s="26"/>
      <c r="P951" s="34"/>
    </row>
    <row r="952" customFormat="false" ht="15" hidden="false" customHeight="true" outlineLevel="0" collapsed="false">
      <c r="A952" s="18" t="n">
        <v>441</v>
      </c>
      <c r="B952" s="25"/>
      <c r="C952" s="26"/>
      <c r="D952" s="26"/>
      <c r="E952" s="26"/>
      <c r="F952" s="24" t="str">
        <f aca="false">IFERROR(INDEX('Operator Master'!$B$5:$B$504,MATCH(E952,'Operator Master'!$A$5:$A$504,0)),"")</f>
        <v/>
      </c>
      <c r="G952" s="26"/>
      <c r="H952" s="24" t="str">
        <f aca="false">IFERROR(INDEX('Fault Master'!$B$5:$B$104,MATCH(G952,'Fault Master'!$A$5:$A$104,0)),"")</f>
        <v/>
      </c>
      <c r="I952" s="24" t="str">
        <f aca="false">IFERROR(INDEX('Fault Master'!$C$5:$C$104,MATCH(G952,'Fault Master'!$A$5:$A$104,0)),"")</f>
        <v/>
      </c>
      <c r="J952" s="26"/>
      <c r="K952" s="26"/>
      <c r="L952" s="26"/>
      <c r="M952" s="26"/>
      <c r="N952" s="26"/>
      <c r="O952" s="26"/>
      <c r="P952" s="34"/>
    </row>
    <row r="953" customFormat="false" ht="15" hidden="false" customHeight="true" outlineLevel="0" collapsed="false">
      <c r="A953" s="18" t="n">
        <v>442</v>
      </c>
      <c r="B953" s="25"/>
      <c r="C953" s="26"/>
      <c r="D953" s="26"/>
      <c r="E953" s="26"/>
      <c r="F953" s="24" t="str">
        <f aca="false">IFERROR(INDEX('Operator Master'!$B$5:$B$504,MATCH(E953,'Operator Master'!$A$5:$A$504,0)),"")</f>
        <v/>
      </c>
      <c r="G953" s="26"/>
      <c r="H953" s="24" t="str">
        <f aca="false">IFERROR(INDEX('Fault Master'!$B$5:$B$104,MATCH(G953,'Fault Master'!$A$5:$A$104,0)),"")</f>
        <v/>
      </c>
      <c r="I953" s="24" t="str">
        <f aca="false">IFERROR(INDEX('Fault Master'!$C$5:$C$104,MATCH(G953,'Fault Master'!$A$5:$A$104,0)),"")</f>
        <v/>
      </c>
      <c r="J953" s="26"/>
      <c r="K953" s="26"/>
      <c r="L953" s="26"/>
      <c r="M953" s="26"/>
      <c r="N953" s="26"/>
      <c r="O953" s="26"/>
      <c r="P953" s="34"/>
    </row>
    <row r="954" customFormat="false" ht="15" hidden="false" customHeight="true" outlineLevel="0" collapsed="false">
      <c r="A954" s="18" t="n">
        <v>443</v>
      </c>
      <c r="B954" s="25"/>
      <c r="C954" s="26"/>
      <c r="D954" s="26"/>
      <c r="E954" s="26"/>
      <c r="F954" s="24" t="str">
        <f aca="false">IFERROR(INDEX('Operator Master'!$B$5:$B$504,MATCH(E954,'Operator Master'!$A$5:$A$504,0)),"")</f>
        <v/>
      </c>
      <c r="G954" s="26"/>
      <c r="H954" s="24" t="str">
        <f aca="false">IFERROR(INDEX('Fault Master'!$B$5:$B$104,MATCH(G954,'Fault Master'!$A$5:$A$104,0)),"")</f>
        <v/>
      </c>
      <c r="I954" s="24" t="str">
        <f aca="false">IFERROR(INDEX('Fault Master'!$C$5:$C$104,MATCH(G954,'Fault Master'!$A$5:$A$104,0)),"")</f>
        <v/>
      </c>
      <c r="J954" s="26"/>
      <c r="K954" s="26"/>
      <c r="L954" s="26"/>
      <c r="M954" s="26"/>
      <c r="N954" s="26"/>
      <c r="O954" s="26"/>
      <c r="P954" s="34"/>
    </row>
    <row r="955" customFormat="false" ht="15" hidden="false" customHeight="true" outlineLevel="0" collapsed="false">
      <c r="A955" s="18" t="n">
        <v>444</v>
      </c>
      <c r="B955" s="25"/>
      <c r="C955" s="26"/>
      <c r="D955" s="26"/>
      <c r="E955" s="26"/>
      <c r="F955" s="24" t="str">
        <f aca="false">IFERROR(INDEX('Operator Master'!$B$5:$B$504,MATCH(E955,'Operator Master'!$A$5:$A$504,0)),"")</f>
        <v/>
      </c>
      <c r="G955" s="26"/>
      <c r="H955" s="24" t="str">
        <f aca="false">IFERROR(INDEX('Fault Master'!$B$5:$B$104,MATCH(G955,'Fault Master'!$A$5:$A$104,0)),"")</f>
        <v/>
      </c>
      <c r="I955" s="24" t="str">
        <f aca="false">IFERROR(INDEX('Fault Master'!$C$5:$C$104,MATCH(G955,'Fault Master'!$A$5:$A$104,0)),"")</f>
        <v/>
      </c>
      <c r="J955" s="26"/>
      <c r="K955" s="26"/>
      <c r="L955" s="26"/>
      <c r="M955" s="26"/>
      <c r="N955" s="26"/>
      <c r="O955" s="26"/>
      <c r="P955" s="34"/>
    </row>
    <row r="956" customFormat="false" ht="15" hidden="false" customHeight="true" outlineLevel="0" collapsed="false">
      <c r="A956" s="18" t="n">
        <v>445</v>
      </c>
      <c r="B956" s="25"/>
      <c r="C956" s="26"/>
      <c r="D956" s="26"/>
      <c r="E956" s="26"/>
      <c r="F956" s="24" t="str">
        <f aca="false">IFERROR(INDEX('Operator Master'!$B$5:$B$504,MATCH(E956,'Operator Master'!$A$5:$A$504,0)),"")</f>
        <v/>
      </c>
      <c r="G956" s="26"/>
      <c r="H956" s="24" t="str">
        <f aca="false">IFERROR(INDEX('Fault Master'!$B$5:$B$104,MATCH(G956,'Fault Master'!$A$5:$A$104,0)),"")</f>
        <v/>
      </c>
      <c r="I956" s="24" t="str">
        <f aca="false">IFERROR(INDEX('Fault Master'!$C$5:$C$104,MATCH(G956,'Fault Master'!$A$5:$A$104,0)),"")</f>
        <v/>
      </c>
      <c r="J956" s="26"/>
      <c r="K956" s="26"/>
      <c r="L956" s="26"/>
      <c r="M956" s="26"/>
      <c r="N956" s="26"/>
      <c r="O956" s="26"/>
      <c r="P956" s="34"/>
    </row>
    <row r="957" customFormat="false" ht="15" hidden="false" customHeight="true" outlineLevel="0" collapsed="false">
      <c r="A957" s="18" t="n">
        <v>446</v>
      </c>
      <c r="B957" s="25"/>
      <c r="C957" s="26"/>
      <c r="D957" s="26"/>
      <c r="E957" s="26"/>
      <c r="F957" s="24" t="str">
        <f aca="false">IFERROR(INDEX('Operator Master'!$B$5:$B$504,MATCH(E957,'Operator Master'!$A$5:$A$504,0)),"")</f>
        <v/>
      </c>
      <c r="G957" s="26"/>
      <c r="H957" s="24" t="str">
        <f aca="false">IFERROR(INDEX('Fault Master'!$B$5:$B$104,MATCH(G957,'Fault Master'!$A$5:$A$104,0)),"")</f>
        <v/>
      </c>
      <c r="I957" s="24" t="str">
        <f aca="false">IFERROR(INDEX('Fault Master'!$C$5:$C$104,MATCH(G957,'Fault Master'!$A$5:$A$104,0)),"")</f>
        <v/>
      </c>
      <c r="J957" s="26"/>
      <c r="K957" s="26"/>
      <c r="L957" s="26"/>
      <c r="M957" s="26"/>
      <c r="N957" s="26"/>
      <c r="O957" s="26"/>
      <c r="P957" s="34"/>
    </row>
    <row r="958" customFormat="false" ht="15" hidden="false" customHeight="true" outlineLevel="0" collapsed="false">
      <c r="A958" s="18" t="n">
        <v>447</v>
      </c>
      <c r="B958" s="25"/>
      <c r="C958" s="26"/>
      <c r="D958" s="26"/>
      <c r="E958" s="26"/>
      <c r="F958" s="24" t="str">
        <f aca="false">IFERROR(INDEX('Operator Master'!$B$5:$B$504,MATCH(E958,'Operator Master'!$A$5:$A$504,0)),"")</f>
        <v/>
      </c>
      <c r="G958" s="26"/>
      <c r="H958" s="24" t="str">
        <f aca="false">IFERROR(INDEX('Fault Master'!$B$5:$B$104,MATCH(G958,'Fault Master'!$A$5:$A$104,0)),"")</f>
        <v/>
      </c>
      <c r="I958" s="24" t="str">
        <f aca="false">IFERROR(INDEX('Fault Master'!$C$5:$C$104,MATCH(G958,'Fault Master'!$A$5:$A$104,0)),"")</f>
        <v/>
      </c>
      <c r="J958" s="26"/>
      <c r="K958" s="26"/>
      <c r="L958" s="26"/>
      <c r="M958" s="26"/>
      <c r="N958" s="26"/>
      <c r="O958" s="26"/>
      <c r="P958" s="34"/>
    </row>
    <row r="959" customFormat="false" ht="15" hidden="false" customHeight="true" outlineLevel="0" collapsed="false">
      <c r="A959" s="18" t="n">
        <v>448</v>
      </c>
      <c r="B959" s="25"/>
      <c r="C959" s="26"/>
      <c r="D959" s="26"/>
      <c r="E959" s="26"/>
      <c r="F959" s="24" t="str">
        <f aca="false">IFERROR(INDEX('Operator Master'!$B$5:$B$504,MATCH(E959,'Operator Master'!$A$5:$A$504,0)),"")</f>
        <v/>
      </c>
      <c r="G959" s="26"/>
      <c r="H959" s="24" t="str">
        <f aca="false">IFERROR(INDEX('Fault Master'!$B$5:$B$104,MATCH(G959,'Fault Master'!$A$5:$A$104,0)),"")</f>
        <v/>
      </c>
      <c r="I959" s="24" t="str">
        <f aca="false">IFERROR(INDEX('Fault Master'!$C$5:$C$104,MATCH(G959,'Fault Master'!$A$5:$A$104,0)),"")</f>
        <v/>
      </c>
      <c r="J959" s="26"/>
      <c r="K959" s="26"/>
      <c r="L959" s="26"/>
      <c r="M959" s="26"/>
      <c r="N959" s="26"/>
      <c r="O959" s="26"/>
      <c r="P959" s="34"/>
    </row>
    <row r="960" customFormat="false" ht="15" hidden="false" customHeight="true" outlineLevel="0" collapsed="false">
      <c r="A960" s="18" t="n">
        <v>449</v>
      </c>
      <c r="B960" s="25"/>
      <c r="C960" s="26"/>
      <c r="D960" s="26"/>
      <c r="E960" s="26"/>
      <c r="F960" s="24" t="str">
        <f aca="false">IFERROR(INDEX('Operator Master'!$B$5:$B$504,MATCH(E960,'Operator Master'!$A$5:$A$504,0)),"")</f>
        <v/>
      </c>
      <c r="G960" s="26"/>
      <c r="H960" s="24" t="str">
        <f aca="false">IFERROR(INDEX('Fault Master'!$B$5:$B$104,MATCH(G960,'Fault Master'!$A$5:$A$104,0)),"")</f>
        <v/>
      </c>
      <c r="I960" s="24" t="str">
        <f aca="false">IFERROR(INDEX('Fault Master'!$C$5:$C$104,MATCH(G960,'Fault Master'!$A$5:$A$104,0)),"")</f>
        <v/>
      </c>
      <c r="J960" s="26"/>
      <c r="K960" s="26"/>
      <c r="L960" s="26"/>
      <c r="M960" s="26"/>
      <c r="N960" s="26"/>
      <c r="O960" s="26"/>
      <c r="P960" s="34"/>
    </row>
    <row r="961" customFormat="false" ht="15" hidden="false" customHeight="true" outlineLevel="0" collapsed="false">
      <c r="A961" s="18" t="n">
        <v>450</v>
      </c>
      <c r="B961" s="25"/>
      <c r="C961" s="26"/>
      <c r="D961" s="26"/>
      <c r="E961" s="26"/>
      <c r="F961" s="24" t="str">
        <f aca="false">IFERROR(INDEX('Operator Master'!$B$5:$B$504,MATCH(E961,'Operator Master'!$A$5:$A$504,0)),"")</f>
        <v/>
      </c>
      <c r="G961" s="26"/>
      <c r="H961" s="24" t="str">
        <f aca="false">IFERROR(INDEX('Fault Master'!$B$5:$B$104,MATCH(G961,'Fault Master'!$A$5:$A$104,0)),"")</f>
        <v/>
      </c>
      <c r="I961" s="24" t="str">
        <f aca="false">IFERROR(INDEX('Fault Master'!$C$5:$C$104,MATCH(G961,'Fault Master'!$A$5:$A$104,0)),"")</f>
        <v/>
      </c>
      <c r="J961" s="26"/>
      <c r="K961" s="26"/>
      <c r="L961" s="26"/>
      <c r="M961" s="26"/>
      <c r="N961" s="26"/>
      <c r="O961" s="26"/>
      <c r="P961" s="34"/>
    </row>
    <row r="962" customFormat="false" ht="15" hidden="false" customHeight="true" outlineLevel="0" collapsed="false">
      <c r="A962" s="18" t="n">
        <v>451</v>
      </c>
      <c r="B962" s="25"/>
      <c r="C962" s="26"/>
      <c r="D962" s="26"/>
      <c r="E962" s="26"/>
      <c r="F962" s="24" t="str">
        <f aca="false">IFERROR(INDEX('Operator Master'!$B$5:$B$504,MATCH(E962,'Operator Master'!$A$5:$A$504,0)),"")</f>
        <v/>
      </c>
      <c r="G962" s="26"/>
      <c r="H962" s="24" t="str">
        <f aca="false">IFERROR(INDEX('Fault Master'!$B$5:$B$104,MATCH(G962,'Fault Master'!$A$5:$A$104,0)),"")</f>
        <v/>
      </c>
      <c r="I962" s="24" t="str">
        <f aca="false">IFERROR(INDEX('Fault Master'!$C$5:$C$104,MATCH(G962,'Fault Master'!$A$5:$A$104,0)),"")</f>
        <v/>
      </c>
      <c r="J962" s="26"/>
      <c r="K962" s="26"/>
      <c r="L962" s="26"/>
      <c r="M962" s="26"/>
      <c r="N962" s="26"/>
      <c r="O962" s="26"/>
      <c r="P962" s="34"/>
    </row>
    <row r="963" customFormat="false" ht="15" hidden="false" customHeight="true" outlineLevel="0" collapsed="false">
      <c r="A963" s="18" t="n">
        <v>452</v>
      </c>
      <c r="B963" s="25"/>
      <c r="C963" s="26"/>
      <c r="D963" s="26"/>
      <c r="E963" s="26"/>
      <c r="F963" s="24" t="str">
        <f aca="false">IFERROR(INDEX('Operator Master'!$B$5:$B$504,MATCH(E963,'Operator Master'!$A$5:$A$504,0)),"")</f>
        <v/>
      </c>
      <c r="G963" s="26"/>
      <c r="H963" s="24" t="str">
        <f aca="false">IFERROR(INDEX('Fault Master'!$B$5:$B$104,MATCH(G963,'Fault Master'!$A$5:$A$104,0)),"")</f>
        <v/>
      </c>
      <c r="I963" s="24" t="str">
        <f aca="false">IFERROR(INDEX('Fault Master'!$C$5:$C$104,MATCH(G963,'Fault Master'!$A$5:$A$104,0)),"")</f>
        <v/>
      </c>
      <c r="J963" s="26"/>
      <c r="K963" s="26"/>
      <c r="L963" s="26"/>
      <c r="M963" s="26"/>
      <c r="N963" s="26"/>
      <c r="O963" s="26"/>
      <c r="P963" s="34"/>
    </row>
    <row r="964" customFormat="false" ht="15" hidden="false" customHeight="true" outlineLevel="0" collapsed="false">
      <c r="A964" s="18" t="n">
        <v>453</v>
      </c>
      <c r="B964" s="25"/>
      <c r="C964" s="26"/>
      <c r="D964" s="26"/>
      <c r="E964" s="26"/>
      <c r="F964" s="24" t="str">
        <f aca="false">IFERROR(INDEX('Operator Master'!$B$5:$B$504,MATCH(E964,'Operator Master'!$A$5:$A$504,0)),"")</f>
        <v/>
      </c>
      <c r="G964" s="26"/>
      <c r="H964" s="24" t="str">
        <f aca="false">IFERROR(INDEX('Fault Master'!$B$5:$B$104,MATCH(G964,'Fault Master'!$A$5:$A$104,0)),"")</f>
        <v/>
      </c>
      <c r="I964" s="24" t="str">
        <f aca="false">IFERROR(INDEX('Fault Master'!$C$5:$C$104,MATCH(G964,'Fault Master'!$A$5:$A$104,0)),"")</f>
        <v/>
      </c>
      <c r="J964" s="26"/>
      <c r="K964" s="26"/>
      <c r="L964" s="26"/>
      <c r="M964" s="26"/>
      <c r="N964" s="26"/>
      <c r="O964" s="26"/>
      <c r="P964" s="34"/>
    </row>
    <row r="965" customFormat="false" ht="15" hidden="false" customHeight="true" outlineLevel="0" collapsed="false">
      <c r="A965" s="18" t="n">
        <v>454</v>
      </c>
      <c r="B965" s="25"/>
      <c r="C965" s="26"/>
      <c r="D965" s="26"/>
      <c r="E965" s="26"/>
      <c r="F965" s="24" t="str">
        <f aca="false">IFERROR(INDEX('Operator Master'!$B$5:$B$504,MATCH(E965,'Operator Master'!$A$5:$A$504,0)),"")</f>
        <v/>
      </c>
      <c r="G965" s="26"/>
      <c r="H965" s="24" t="str">
        <f aca="false">IFERROR(INDEX('Fault Master'!$B$5:$B$104,MATCH(G965,'Fault Master'!$A$5:$A$104,0)),"")</f>
        <v/>
      </c>
      <c r="I965" s="24" t="str">
        <f aca="false">IFERROR(INDEX('Fault Master'!$C$5:$C$104,MATCH(G965,'Fault Master'!$A$5:$A$104,0)),"")</f>
        <v/>
      </c>
      <c r="J965" s="26"/>
      <c r="K965" s="26"/>
      <c r="L965" s="26"/>
      <c r="M965" s="26"/>
      <c r="N965" s="26"/>
      <c r="O965" s="26"/>
      <c r="P965" s="34"/>
    </row>
    <row r="966" customFormat="false" ht="15" hidden="false" customHeight="true" outlineLevel="0" collapsed="false">
      <c r="A966" s="18" t="n">
        <v>455</v>
      </c>
      <c r="B966" s="25"/>
      <c r="C966" s="26"/>
      <c r="D966" s="26"/>
      <c r="E966" s="26"/>
      <c r="F966" s="24" t="str">
        <f aca="false">IFERROR(INDEX('Operator Master'!$B$5:$B$504,MATCH(E966,'Operator Master'!$A$5:$A$504,0)),"")</f>
        <v/>
      </c>
      <c r="G966" s="26"/>
      <c r="H966" s="24" t="str">
        <f aca="false">IFERROR(INDEX('Fault Master'!$B$5:$B$104,MATCH(G966,'Fault Master'!$A$5:$A$104,0)),"")</f>
        <v/>
      </c>
      <c r="I966" s="24" t="str">
        <f aca="false">IFERROR(INDEX('Fault Master'!$C$5:$C$104,MATCH(G966,'Fault Master'!$A$5:$A$104,0)),"")</f>
        <v/>
      </c>
      <c r="J966" s="26"/>
      <c r="K966" s="26"/>
      <c r="L966" s="26"/>
      <c r="M966" s="26"/>
      <c r="N966" s="26"/>
      <c r="O966" s="26"/>
      <c r="P966" s="34"/>
    </row>
    <row r="967" customFormat="false" ht="15" hidden="false" customHeight="true" outlineLevel="0" collapsed="false">
      <c r="A967" s="18" t="n">
        <v>456</v>
      </c>
      <c r="B967" s="25"/>
      <c r="C967" s="26"/>
      <c r="D967" s="26"/>
      <c r="E967" s="26"/>
      <c r="F967" s="24" t="str">
        <f aca="false">IFERROR(INDEX('Operator Master'!$B$5:$B$504,MATCH(E967,'Operator Master'!$A$5:$A$504,0)),"")</f>
        <v/>
      </c>
      <c r="G967" s="26"/>
      <c r="H967" s="24" t="str">
        <f aca="false">IFERROR(INDEX('Fault Master'!$B$5:$B$104,MATCH(G967,'Fault Master'!$A$5:$A$104,0)),"")</f>
        <v/>
      </c>
      <c r="I967" s="24" t="str">
        <f aca="false">IFERROR(INDEX('Fault Master'!$C$5:$C$104,MATCH(G967,'Fault Master'!$A$5:$A$104,0)),"")</f>
        <v/>
      </c>
      <c r="J967" s="26"/>
      <c r="K967" s="26"/>
      <c r="L967" s="26"/>
      <c r="M967" s="26"/>
      <c r="N967" s="26"/>
      <c r="O967" s="26"/>
      <c r="P967" s="34"/>
    </row>
    <row r="968" customFormat="false" ht="15" hidden="false" customHeight="true" outlineLevel="0" collapsed="false">
      <c r="A968" s="18" t="n">
        <v>457</v>
      </c>
      <c r="B968" s="25"/>
      <c r="C968" s="26"/>
      <c r="D968" s="26"/>
      <c r="E968" s="26"/>
      <c r="F968" s="24" t="str">
        <f aca="false">IFERROR(INDEX('Operator Master'!$B$5:$B$504,MATCH(E968,'Operator Master'!$A$5:$A$504,0)),"")</f>
        <v/>
      </c>
      <c r="G968" s="26"/>
      <c r="H968" s="24" t="str">
        <f aca="false">IFERROR(INDEX('Fault Master'!$B$5:$B$104,MATCH(G968,'Fault Master'!$A$5:$A$104,0)),"")</f>
        <v/>
      </c>
      <c r="I968" s="24" t="str">
        <f aca="false">IFERROR(INDEX('Fault Master'!$C$5:$C$104,MATCH(G968,'Fault Master'!$A$5:$A$104,0)),"")</f>
        <v/>
      </c>
      <c r="J968" s="26"/>
      <c r="K968" s="26"/>
      <c r="L968" s="26"/>
      <c r="M968" s="26"/>
      <c r="N968" s="26"/>
      <c r="O968" s="26"/>
      <c r="P968" s="34"/>
    </row>
    <row r="969" customFormat="false" ht="15" hidden="false" customHeight="true" outlineLevel="0" collapsed="false">
      <c r="A969" s="18" t="n">
        <v>458</v>
      </c>
      <c r="B969" s="25"/>
      <c r="C969" s="26"/>
      <c r="D969" s="26"/>
      <c r="E969" s="26"/>
      <c r="F969" s="24" t="str">
        <f aca="false">IFERROR(INDEX('Operator Master'!$B$5:$B$504,MATCH(E969,'Operator Master'!$A$5:$A$504,0)),"")</f>
        <v/>
      </c>
      <c r="G969" s="26"/>
      <c r="H969" s="24" t="str">
        <f aca="false">IFERROR(INDEX('Fault Master'!$B$5:$B$104,MATCH(G969,'Fault Master'!$A$5:$A$104,0)),"")</f>
        <v/>
      </c>
      <c r="I969" s="24" t="str">
        <f aca="false">IFERROR(INDEX('Fault Master'!$C$5:$C$104,MATCH(G969,'Fault Master'!$A$5:$A$104,0)),"")</f>
        <v/>
      </c>
      <c r="J969" s="26"/>
      <c r="K969" s="26"/>
      <c r="L969" s="26"/>
      <c r="M969" s="26"/>
      <c r="N969" s="26"/>
      <c r="O969" s="26"/>
      <c r="P969" s="34"/>
    </row>
    <row r="970" customFormat="false" ht="15" hidden="false" customHeight="true" outlineLevel="0" collapsed="false">
      <c r="A970" s="18" t="n">
        <v>459</v>
      </c>
      <c r="B970" s="25"/>
      <c r="C970" s="26"/>
      <c r="D970" s="26"/>
      <c r="E970" s="26"/>
      <c r="F970" s="24" t="str">
        <f aca="false">IFERROR(INDEX('Operator Master'!$B$5:$B$504,MATCH(E970,'Operator Master'!$A$5:$A$504,0)),"")</f>
        <v/>
      </c>
      <c r="G970" s="26"/>
      <c r="H970" s="24" t="str">
        <f aca="false">IFERROR(INDEX('Fault Master'!$B$5:$B$104,MATCH(G970,'Fault Master'!$A$5:$A$104,0)),"")</f>
        <v/>
      </c>
      <c r="I970" s="24" t="str">
        <f aca="false">IFERROR(INDEX('Fault Master'!$C$5:$C$104,MATCH(G970,'Fault Master'!$A$5:$A$104,0)),"")</f>
        <v/>
      </c>
      <c r="J970" s="26"/>
      <c r="K970" s="26"/>
      <c r="L970" s="26"/>
      <c r="M970" s="26"/>
      <c r="N970" s="26"/>
      <c r="O970" s="26"/>
      <c r="P970" s="34"/>
    </row>
    <row r="971" customFormat="false" ht="15" hidden="false" customHeight="true" outlineLevel="0" collapsed="false">
      <c r="A971" s="18" t="n">
        <v>460</v>
      </c>
      <c r="B971" s="25"/>
      <c r="C971" s="26"/>
      <c r="D971" s="26"/>
      <c r="E971" s="26"/>
      <c r="F971" s="24" t="str">
        <f aca="false">IFERROR(INDEX('Operator Master'!$B$5:$B$504,MATCH(E971,'Operator Master'!$A$5:$A$504,0)),"")</f>
        <v/>
      </c>
      <c r="G971" s="26"/>
      <c r="H971" s="24" t="str">
        <f aca="false">IFERROR(INDEX('Fault Master'!$B$5:$B$104,MATCH(G971,'Fault Master'!$A$5:$A$104,0)),"")</f>
        <v/>
      </c>
      <c r="I971" s="24" t="str">
        <f aca="false">IFERROR(INDEX('Fault Master'!$C$5:$C$104,MATCH(G971,'Fault Master'!$A$5:$A$104,0)),"")</f>
        <v/>
      </c>
      <c r="J971" s="26"/>
      <c r="K971" s="26"/>
      <c r="L971" s="26"/>
      <c r="M971" s="26"/>
      <c r="N971" s="26"/>
      <c r="O971" s="26"/>
      <c r="P971" s="34"/>
    </row>
    <row r="972" customFormat="false" ht="15" hidden="false" customHeight="true" outlineLevel="0" collapsed="false">
      <c r="A972" s="18" t="n">
        <v>461</v>
      </c>
      <c r="B972" s="25"/>
      <c r="C972" s="26"/>
      <c r="D972" s="26"/>
      <c r="E972" s="26"/>
      <c r="F972" s="24" t="str">
        <f aca="false">IFERROR(INDEX('Operator Master'!$B$5:$B$504,MATCH(E972,'Operator Master'!$A$5:$A$504,0)),"")</f>
        <v/>
      </c>
      <c r="G972" s="26"/>
      <c r="H972" s="24" t="str">
        <f aca="false">IFERROR(INDEX('Fault Master'!$B$5:$B$104,MATCH(G972,'Fault Master'!$A$5:$A$104,0)),"")</f>
        <v/>
      </c>
      <c r="I972" s="24" t="str">
        <f aca="false">IFERROR(INDEX('Fault Master'!$C$5:$C$104,MATCH(G972,'Fault Master'!$A$5:$A$104,0)),"")</f>
        <v/>
      </c>
      <c r="J972" s="26"/>
      <c r="K972" s="26"/>
      <c r="L972" s="26"/>
      <c r="M972" s="26"/>
      <c r="N972" s="26"/>
      <c r="O972" s="26"/>
      <c r="P972" s="34"/>
    </row>
    <row r="973" customFormat="false" ht="15" hidden="false" customHeight="true" outlineLevel="0" collapsed="false">
      <c r="A973" s="18" t="n">
        <v>462</v>
      </c>
      <c r="B973" s="25"/>
      <c r="C973" s="26"/>
      <c r="D973" s="26"/>
      <c r="E973" s="26"/>
      <c r="F973" s="24" t="str">
        <f aca="false">IFERROR(INDEX('Operator Master'!$B$5:$B$504,MATCH(E973,'Operator Master'!$A$5:$A$504,0)),"")</f>
        <v/>
      </c>
      <c r="G973" s="26"/>
      <c r="H973" s="24" t="str">
        <f aca="false">IFERROR(INDEX('Fault Master'!$B$5:$B$104,MATCH(G973,'Fault Master'!$A$5:$A$104,0)),"")</f>
        <v/>
      </c>
      <c r="I973" s="24" t="str">
        <f aca="false">IFERROR(INDEX('Fault Master'!$C$5:$C$104,MATCH(G973,'Fault Master'!$A$5:$A$104,0)),"")</f>
        <v/>
      </c>
      <c r="J973" s="26"/>
      <c r="K973" s="26"/>
      <c r="L973" s="26"/>
      <c r="M973" s="26"/>
      <c r="N973" s="26"/>
      <c r="O973" s="26"/>
      <c r="P973" s="34"/>
    </row>
    <row r="974" customFormat="false" ht="15" hidden="false" customHeight="true" outlineLevel="0" collapsed="false">
      <c r="A974" s="18" t="n">
        <v>463</v>
      </c>
      <c r="B974" s="25"/>
      <c r="C974" s="26"/>
      <c r="D974" s="26"/>
      <c r="E974" s="26"/>
      <c r="F974" s="24" t="str">
        <f aca="false">IFERROR(INDEX('Operator Master'!$B$5:$B$504,MATCH(E974,'Operator Master'!$A$5:$A$504,0)),"")</f>
        <v/>
      </c>
      <c r="G974" s="26"/>
      <c r="H974" s="24" t="str">
        <f aca="false">IFERROR(INDEX('Fault Master'!$B$5:$B$104,MATCH(G974,'Fault Master'!$A$5:$A$104,0)),"")</f>
        <v/>
      </c>
      <c r="I974" s="24" t="str">
        <f aca="false">IFERROR(INDEX('Fault Master'!$C$5:$C$104,MATCH(G974,'Fault Master'!$A$5:$A$104,0)),"")</f>
        <v/>
      </c>
      <c r="J974" s="26"/>
      <c r="K974" s="26"/>
      <c r="L974" s="26"/>
      <c r="M974" s="26"/>
      <c r="N974" s="26"/>
      <c r="O974" s="26"/>
      <c r="P974" s="34"/>
    </row>
    <row r="975" customFormat="false" ht="15" hidden="false" customHeight="true" outlineLevel="0" collapsed="false">
      <c r="A975" s="18" t="n">
        <v>464</v>
      </c>
      <c r="B975" s="25"/>
      <c r="C975" s="26"/>
      <c r="D975" s="26"/>
      <c r="E975" s="26"/>
      <c r="F975" s="24" t="str">
        <f aca="false">IFERROR(INDEX('Operator Master'!$B$5:$B$504,MATCH(E975,'Operator Master'!$A$5:$A$504,0)),"")</f>
        <v/>
      </c>
      <c r="G975" s="26"/>
      <c r="H975" s="24" t="str">
        <f aca="false">IFERROR(INDEX('Fault Master'!$B$5:$B$104,MATCH(G975,'Fault Master'!$A$5:$A$104,0)),"")</f>
        <v/>
      </c>
      <c r="I975" s="24" t="str">
        <f aca="false">IFERROR(INDEX('Fault Master'!$C$5:$C$104,MATCH(G975,'Fault Master'!$A$5:$A$104,0)),"")</f>
        <v/>
      </c>
      <c r="J975" s="26"/>
      <c r="K975" s="26"/>
      <c r="L975" s="26"/>
      <c r="M975" s="26"/>
      <c r="N975" s="26"/>
      <c r="O975" s="26"/>
      <c r="P975" s="34"/>
    </row>
    <row r="976" customFormat="false" ht="15" hidden="false" customHeight="true" outlineLevel="0" collapsed="false">
      <c r="A976" s="18" t="n">
        <v>465</v>
      </c>
      <c r="B976" s="25"/>
      <c r="C976" s="26"/>
      <c r="D976" s="26"/>
      <c r="E976" s="26"/>
      <c r="F976" s="24" t="str">
        <f aca="false">IFERROR(INDEX('Operator Master'!$B$5:$B$504,MATCH(E976,'Operator Master'!$A$5:$A$504,0)),"")</f>
        <v/>
      </c>
      <c r="G976" s="26"/>
      <c r="H976" s="24" t="str">
        <f aca="false">IFERROR(INDEX('Fault Master'!$B$5:$B$104,MATCH(G976,'Fault Master'!$A$5:$A$104,0)),"")</f>
        <v/>
      </c>
      <c r="I976" s="24" t="str">
        <f aca="false">IFERROR(INDEX('Fault Master'!$C$5:$C$104,MATCH(G976,'Fault Master'!$A$5:$A$104,0)),"")</f>
        <v/>
      </c>
      <c r="J976" s="26"/>
      <c r="K976" s="26"/>
      <c r="L976" s="26"/>
      <c r="M976" s="26"/>
      <c r="N976" s="26"/>
      <c r="O976" s="26"/>
      <c r="P976" s="34"/>
    </row>
    <row r="977" customFormat="false" ht="15" hidden="false" customHeight="true" outlineLevel="0" collapsed="false">
      <c r="A977" s="18" t="n">
        <v>466</v>
      </c>
      <c r="B977" s="25"/>
      <c r="C977" s="26"/>
      <c r="D977" s="26"/>
      <c r="E977" s="26"/>
      <c r="F977" s="24" t="str">
        <f aca="false">IFERROR(INDEX('Operator Master'!$B$5:$B$504,MATCH(E977,'Operator Master'!$A$5:$A$504,0)),"")</f>
        <v/>
      </c>
      <c r="G977" s="26"/>
      <c r="H977" s="24" t="str">
        <f aca="false">IFERROR(INDEX('Fault Master'!$B$5:$B$104,MATCH(G977,'Fault Master'!$A$5:$A$104,0)),"")</f>
        <v/>
      </c>
      <c r="I977" s="24" t="str">
        <f aca="false">IFERROR(INDEX('Fault Master'!$C$5:$C$104,MATCH(G977,'Fault Master'!$A$5:$A$104,0)),"")</f>
        <v/>
      </c>
      <c r="J977" s="26"/>
      <c r="K977" s="26"/>
      <c r="L977" s="26"/>
      <c r="M977" s="26"/>
      <c r="N977" s="26"/>
      <c r="O977" s="26"/>
      <c r="P977" s="34"/>
    </row>
    <row r="978" customFormat="false" ht="15" hidden="false" customHeight="true" outlineLevel="0" collapsed="false">
      <c r="A978" s="18" t="n">
        <v>467</v>
      </c>
      <c r="B978" s="25"/>
      <c r="C978" s="26"/>
      <c r="D978" s="26"/>
      <c r="E978" s="26"/>
      <c r="F978" s="24" t="str">
        <f aca="false">IFERROR(INDEX('Operator Master'!$B$5:$B$504,MATCH(E978,'Operator Master'!$A$5:$A$504,0)),"")</f>
        <v/>
      </c>
      <c r="G978" s="26"/>
      <c r="H978" s="24" t="str">
        <f aca="false">IFERROR(INDEX('Fault Master'!$B$5:$B$104,MATCH(G978,'Fault Master'!$A$5:$A$104,0)),"")</f>
        <v/>
      </c>
      <c r="I978" s="24" t="str">
        <f aca="false">IFERROR(INDEX('Fault Master'!$C$5:$C$104,MATCH(G978,'Fault Master'!$A$5:$A$104,0)),"")</f>
        <v/>
      </c>
      <c r="J978" s="26"/>
      <c r="K978" s="26"/>
      <c r="L978" s="26"/>
      <c r="M978" s="26"/>
      <c r="N978" s="26"/>
      <c r="O978" s="26"/>
      <c r="P978" s="34"/>
    </row>
    <row r="979" customFormat="false" ht="15" hidden="false" customHeight="true" outlineLevel="0" collapsed="false">
      <c r="A979" s="18" t="n">
        <v>468</v>
      </c>
      <c r="B979" s="25"/>
      <c r="C979" s="26"/>
      <c r="D979" s="26"/>
      <c r="E979" s="26"/>
      <c r="F979" s="24" t="str">
        <f aca="false">IFERROR(INDEX('Operator Master'!$B$5:$B$504,MATCH(E979,'Operator Master'!$A$5:$A$504,0)),"")</f>
        <v/>
      </c>
      <c r="G979" s="26"/>
      <c r="H979" s="24" t="str">
        <f aca="false">IFERROR(INDEX('Fault Master'!$B$5:$B$104,MATCH(G979,'Fault Master'!$A$5:$A$104,0)),"")</f>
        <v/>
      </c>
      <c r="I979" s="24" t="str">
        <f aca="false">IFERROR(INDEX('Fault Master'!$C$5:$C$104,MATCH(G979,'Fault Master'!$A$5:$A$104,0)),"")</f>
        <v/>
      </c>
      <c r="J979" s="26"/>
      <c r="K979" s="26"/>
      <c r="L979" s="26"/>
      <c r="M979" s="26"/>
      <c r="N979" s="26"/>
      <c r="O979" s="26"/>
      <c r="P979" s="34"/>
    </row>
    <row r="980" customFormat="false" ht="15" hidden="false" customHeight="true" outlineLevel="0" collapsed="false">
      <c r="A980" s="18" t="n">
        <v>469</v>
      </c>
      <c r="B980" s="25"/>
      <c r="C980" s="26"/>
      <c r="D980" s="26"/>
      <c r="E980" s="26"/>
      <c r="F980" s="24" t="str">
        <f aca="false">IFERROR(INDEX('Operator Master'!$B$5:$B$504,MATCH(E980,'Operator Master'!$A$5:$A$504,0)),"")</f>
        <v/>
      </c>
      <c r="G980" s="26"/>
      <c r="H980" s="24" t="str">
        <f aca="false">IFERROR(INDEX('Fault Master'!$B$5:$B$104,MATCH(G980,'Fault Master'!$A$5:$A$104,0)),"")</f>
        <v/>
      </c>
      <c r="I980" s="24" t="str">
        <f aca="false">IFERROR(INDEX('Fault Master'!$C$5:$C$104,MATCH(G980,'Fault Master'!$A$5:$A$104,0)),"")</f>
        <v/>
      </c>
      <c r="J980" s="26"/>
      <c r="K980" s="26"/>
      <c r="L980" s="26"/>
      <c r="M980" s="26"/>
      <c r="N980" s="26"/>
      <c r="O980" s="26"/>
      <c r="P980" s="34"/>
    </row>
    <row r="981" customFormat="false" ht="15" hidden="false" customHeight="true" outlineLevel="0" collapsed="false">
      <c r="A981" s="18" t="n">
        <v>470</v>
      </c>
      <c r="B981" s="25"/>
      <c r="C981" s="26"/>
      <c r="D981" s="26"/>
      <c r="E981" s="26"/>
      <c r="F981" s="24" t="str">
        <f aca="false">IFERROR(INDEX('Operator Master'!$B$5:$B$504,MATCH(E981,'Operator Master'!$A$5:$A$504,0)),"")</f>
        <v/>
      </c>
      <c r="G981" s="26"/>
      <c r="H981" s="24" t="str">
        <f aca="false">IFERROR(INDEX('Fault Master'!$B$5:$B$104,MATCH(G981,'Fault Master'!$A$5:$A$104,0)),"")</f>
        <v/>
      </c>
      <c r="I981" s="24" t="str">
        <f aca="false">IFERROR(INDEX('Fault Master'!$C$5:$C$104,MATCH(G981,'Fault Master'!$A$5:$A$104,0)),"")</f>
        <v/>
      </c>
      <c r="J981" s="26"/>
      <c r="K981" s="26"/>
      <c r="L981" s="26"/>
      <c r="M981" s="26"/>
      <c r="N981" s="26"/>
      <c r="O981" s="26"/>
      <c r="P981" s="34"/>
    </row>
    <row r="982" customFormat="false" ht="15" hidden="false" customHeight="true" outlineLevel="0" collapsed="false">
      <c r="A982" s="18" t="n">
        <v>471</v>
      </c>
      <c r="B982" s="25"/>
      <c r="C982" s="26"/>
      <c r="D982" s="26"/>
      <c r="E982" s="26"/>
      <c r="F982" s="24" t="str">
        <f aca="false">IFERROR(INDEX('Operator Master'!$B$5:$B$504,MATCH(E982,'Operator Master'!$A$5:$A$504,0)),"")</f>
        <v/>
      </c>
      <c r="G982" s="26"/>
      <c r="H982" s="24" t="str">
        <f aca="false">IFERROR(INDEX('Fault Master'!$B$5:$B$104,MATCH(G982,'Fault Master'!$A$5:$A$104,0)),"")</f>
        <v/>
      </c>
      <c r="I982" s="24" t="str">
        <f aca="false">IFERROR(INDEX('Fault Master'!$C$5:$C$104,MATCH(G982,'Fault Master'!$A$5:$A$104,0)),"")</f>
        <v/>
      </c>
      <c r="J982" s="26"/>
      <c r="K982" s="26"/>
      <c r="L982" s="26"/>
      <c r="M982" s="26"/>
      <c r="N982" s="26"/>
      <c r="O982" s="26"/>
      <c r="P982" s="34"/>
    </row>
    <row r="983" customFormat="false" ht="15" hidden="false" customHeight="true" outlineLevel="0" collapsed="false">
      <c r="A983" s="18" t="n">
        <v>472</v>
      </c>
      <c r="B983" s="25"/>
      <c r="C983" s="26"/>
      <c r="D983" s="26"/>
      <c r="E983" s="26"/>
      <c r="F983" s="24" t="str">
        <f aca="false">IFERROR(INDEX('Operator Master'!$B$5:$B$504,MATCH(E983,'Operator Master'!$A$5:$A$504,0)),"")</f>
        <v/>
      </c>
      <c r="G983" s="26"/>
      <c r="H983" s="24" t="str">
        <f aca="false">IFERROR(INDEX('Fault Master'!$B$5:$B$104,MATCH(G983,'Fault Master'!$A$5:$A$104,0)),"")</f>
        <v/>
      </c>
      <c r="I983" s="24" t="str">
        <f aca="false">IFERROR(INDEX('Fault Master'!$C$5:$C$104,MATCH(G983,'Fault Master'!$A$5:$A$104,0)),"")</f>
        <v/>
      </c>
      <c r="J983" s="26"/>
      <c r="K983" s="26"/>
      <c r="L983" s="26"/>
      <c r="M983" s="26"/>
      <c r="N983" s="26"/>
      <c r="O983" s="26"/>
      <c r="P983" s="34"/>
    </row>
    <row r="984" customFormat="false" ht="15" hidden="false" customHeight="true" outlineLevel="0" collapsed="false">
      <c r="A984" s="18" t="n">
        <v>473</v>
      </c>
      <c r="B984" s="25"/>
      <c r="C984" s="26"/>
      <c r="D984" s="26"/>
      <c r="E984" s="26"/>
      <c r="F984" s="24" t="str">
        <f aca="false">IFERROR(INDEX('Operator Master'!$B$5:$B$504,MATCH(E984,'Operator Master'!$A$5:$A$504,0)),"")</f>
        <v/>
      </c>
      <c r="G984" s="26"/>
      <c r="H984" s="24" t="str">
        <f aca="false">IFERROR(INDEX('Fault Master'!$B$5:$B$104,MATCH(G984,'Fault Master'!$A$5:$A$104,0)),"")</f>
        <v/>
      </c>
      <c r="I984" s="24" t="str">
        <f aca="false">IFERROR(INDEX('Fault Master'!$C$5:$C$104,MATCH(G984,'Fault Master'!$A$5:$A$104,0)),"")</f>
        <v/>
      </c>
      <c r="J984" s="26"/>
      <c r="K984" s="26"/>
      <c r="L984" s="26"/>
      <c r="M984" s="26"/>
      <c r="N984" s="26"/>
      <c r="O984" s="26"/>
      <c r="P984" s="34"/>
    </row>
    <row r="985" customFormat="false" ht="15" hidden="false" customHeight="true" outlineLevel="0" collapsed="false">
      <c r="A985" s="18" t="n">
        <v>474</v>
      </c>
      <c r="B985" s="25"/>
      <c r="C985" s="26"/>
      <c r="D985" s="26"/>
      <c r="E985" s="26"/>
      <c r="F985" s="24" t="str">
        <f aca="false">IFERROR(INDEX('Operator Master'!$B$5:$B$504,MATCH(E985,'Operator Master'!$A$5:$A$504,0)),"")</f>
        <v/>
      </c>
      <c r="G985" s="26"/>
      <c r="H985" s="24" t="str">
        <f aca="false">IFERROR(INDEX('Fault Master'!$B$5:$B$104,MATCH(G985,'Fault Master'!$A$5:$A$104,0)),"")</f>
        <v/>
      </c>
      <c r="I985" s="24" t="str">
        <f aca="false">IFERROR(INDEX('Fault Master'!$C$5:$C$104,MATCH(G985,'Fault Master'!$A$5:$A$104,0)),"")</f>
        <v/>
      </c>
      <c r="J985" s="26"/>
      <c r="K985" s="26"/>
      <c r="L985" s="26"/>
      <c r="M985" s="26"/>
      <c r="N985" s="26"/>
      <c r="O985" s="26"/>
      <c r="P985" s="34"/>
    </row>
    <row r="986" customFormat="false" ht="15" hidden="false" customHeight="true" outlineLevel="0" collapsed="false">
      <c r="A986" s="18" t="n">
        <v>475</v>
      </c>
      <c r="B986" s="25"/>
      <c r="C986" s="26"/>
      <c r="D986" s="26"/>
      <c r="E986" s="26"/>
      <c r="F986" s="24" t="str">
        <f aca="false">IFERROR(INDEX('Operator Master'!$B$5:$B$504,MATCH(E986,'Operator Master'!$A$5:$A$504,0)),"")</f>
        <v/>
      </c>
      <c r="G986" s="26"/>
      <c r="H986" s="24" t="str">
        <f aca="false">IFERROR(INDEX('Fault Master'!$B$5:$B$104,MATCH(G986,'Fault Master'!$A$5:$A$104,0)),"")</f>
        <v/>
      </c>
      <c r="I986" s="24" t="str">
        <f aca="false">IFERROR(INDEX('Fault Master'!$C$5:$C$104,MATCH(G986,'Fault Master'!$A$5:$A$104,0)),"")</f>
        <v/>
      </c>
      <c r="J986" s="26"/>
      <c r="K986" s="26"/>
      <c r="L986" s="26"/>
      <c r="M986" s="26"/>
      <c r="N986" s="26"/>
      <c r="O986" s="26"/>
      <c r="P986" s="34"/>
    </row>
    <row r="987" customFormat="false" ht="15" hidden="false" customHeight="true" outlineLevel="0" collapsed="false">
      <c r="A987" s="18" t="n">
        <v>476</v>
      </c>
      <c r="B987" s="25"/>
      <c r="C987" s="26"/>
      <c r="D987" s="26"/>
      <c r="E987" s="26"/>
      <c r="F987" s="24" t="str">
        <f aca="false">IFERROR(INDEX('Operator Master'!$B$5:$B$504,MATCH(E987,'Operator Master'!$A$5:$A$504,0)),"")</f>
        <v/>
      </c>
      <c r="G987" s="26"/>
      <c r="H987" s="24" t="str">
        <f aca="false">IFERROR(INDEX('Fault Master'!$B$5:$B$104,MATCH(G987,'Fault Master'!$A$5:$A$104,0)),"")</f>
        <v/>
      </c>
      <c r="I987" s="24" t="str">
        <f aca="false">IFERROR(INDEX('Fault Master'!$C$5:$C$104,MATCH(G987,'Fault Master'!$A$5:$A$104,0)),"")</f>
        <v/>
      </c>
      <c r="J987" s="26"/>
      <c r="K987" s="26"/>
      <c r="L987" s="26"/>
      <c r="M987" s="26"/>
      <c r="N987" s="26"/>
      <c r="O987" s="26"/>
      <c r="P987" s="34"/>
    </row>
    <row r="988" customFormat="false" ht="15" hidden="false" customHeight="true" outlineLevel="0" collapsed="false">
      <c r="A988" s="18" t="n">
        <v>477</v>
      </c>
      <c r="B988" s="25"/>
      <c r="C988" s="26"/>
      <c r="D988" s="26"/>
      <c r="E988" s="26"/>
      <c r="F988" s="24" t="str">
        <f aca="false">IFERROR(INDEX('Operator Master'!$B$5:$B$504,MATCH(E988,'Operator Master'!$A$5:$A$504,0)),"")</f>
        <v/>
      </c>
      <c r="G988" s="26"/>
      <c r="H988" s="24" t="str">
        <f aca="false">IFERROR(INDEX('Fault Master'!$B$5:$B$104,MATCH(G988,'Fault Master'!$A$5:$A$104,0)),"")</f>
        <v/>
      </c>
      <c r="I988" s="24" t="str">
        <f aca="false">IFERROR(INDEX('Fault Master'!$C$5:$C$104,MATCH(G988,'Fault Master'!$A$5:$A$104,0)),"")</f>
        <v/>
      </c>
      <c r="J988" s="26"/>
      <c r="K988" s="26"/>
      <c r="L988" s="26"/>
      <c r="M988" s="26"/>
      <c r="N988" s="26"/>
      <c r="O988" s="26"/>
      <c r="P988" s="34"/>
    </row>
    <row r="989" customFormat="false" ht="15" hidden="false" customHeight="true" outlineLevel="0" collapsed="false">
      <c r="A989" s="18" t="n">
        <v>478</v>
      </c>
      <c r="B989" s="25"/>
      <c r="C989" s="26"/>
      <c r="D989" s="26"/>
      <c r="E989" s="26"/>
      <c r="F989" s="24" t="str">
        <f aca="false">IFERROR(INDEX('Operator Master'!$B$5:$B$504,MATCH(E989,'Operator Master'!$A$5:$A$504,0)),"")</f>
        <v/>
      </c>
      <c r="G989" s="26"/>
      <c r="H989" s="24" t="str">
        <f aca="false">IFERROR(INDEX('Fault Master'!$B$5:$B$104,MATCH(G989,'Fault Master'!$A$5:$A$104,0)),"")</f>
        <v/>
      </c>
      <c r="I989" s="24" t="str">
        <f aca="false">IFERROR(INDEX('Fault Master'!$C$5:$C$104,MATCH(G989,'Fault Master'!$A$5:$A$104,0)),"")</f>
        <v/>
      </c>
      <c r="J989" s="26"/>
      <c r="K989" s="26"/>
      <c r="L989" s="26"/>
      <c r="M989" s="26"/>
      <c r="N989" s="26"/>
      <c r="O989" s="26"/>
      <c r="P989" s="34"/>
    </row>
    <row r="990" customFormat="false" ht="15" hidden="false" customHeight="true" outlineLevel="0" collapsed="false">
      <c r="A990" s="18" t="n">
        <v>479</v>
      </c>
      <c r="B990" s="25"/>
      <c r="C990" s="26"/>
      <c r="D990" s="26"/>
      <c r="E990" s="26"/>
      <c r="F990" s="24" t="str">
        <f aca="false">IFERROR(INDEX('Operator Master'!$B$5:$B$504,MATCH(E990,'Operator Master'!$A$5:$A$504,0)),"")</f>
        <v/>
      </c>
      <c r="G990" s="26"/>
      <c r="H990" s="24" t="str">
        <f aca="false">IFERROR(INDEX('Fault Master'!$B$5:$B$104,MATCH(G990,'Fault Master'!$A$5:$A$104,0)),"")</f>
        <v/>
      </c>
      <c r="I990" s="24" t="str">
        <f aca="false">IFERROR(INDEX('Fault Master'!$C$5:$C$104,MATCH(G990,'Fault Master'!$A$5:$A$104,0)),"")</f>
        <v/>
      </c>
      <c r="J990" s="26"/>
      <c r="K990" s="26"/>
      <c r="L990" s="26"/>
      <c r="M990" s="26"/>
      <c r="N990" s="26"/>
      <c r="O990" s="26"/>
      <c r="P990" s="34"/>
    </row>
    <row r="991" customFormat="false" ht="15" hidden="false" customHeight="true" outlineLevel="0" collapsed="false">
      <c r="A991" s="18" t="n">
        <v>480</v>
      </c>
      <c r="B991" s="25"/>
      <c r="C991" s="26"/>
      <c r="D991" s="26"/>
      <c r="E991" s="26"/>
      <c r="F991" s="24" t="str">
        <f aca="false">IFERROR(INDEX('Operator Master'!$B$5:$B$504,MATCH(E991,'Operator Master'!$A$5:$A$504,0)),"")</f>
        <v/>
      </c>
      <c r="G991" s="26"/>
      <c r="H991" s="24" t="str">
        <f aca="false">IFERROR(INDEX('Fault Master'!$B$5:$B$104,MATCH(G991,'Fault Master'!$A$5:$A$104,0)),"")</f>
        <v/>
      </c>
      <c r="I991" s="24" t="str">
        <f aca="false">IFERROR(INDEX('Fault Master'!$C$5:$C$104,MATCH(G991,'Fault Master'!$A$5:$A$104,0)),"")</f>
        <v/>
      </c>
      <c r="J991" s="26"/>
      <c r="K991" s="26"/>
      <c r="L991" s="26"/>
      <c r="M991" s="26"/>
      <c r="N991" s="26"/>
      <c r="O991" s="26"/>
      <c r="P991" s="34"/>
    </row>
    <row r="992" customFormat="false" ht="15" hidden="false" customHeight="true" outlineLevel="0" collapsed="false">
      <c r="A992" s="18" t="n">
        <v>481</v>
      </c>
      <c r="B992" s="25"/>
      <c r="C992" s="26"/>
      <c r="D992" s="26"/>
      <c r="E992" s="26"/>
      <c r="F992" s="24" t="str">
        <f aca="false">IFERROR(INDEX('Operator Master'!$B$5:$B$504,MATCH(E992,'Operator Master'!$A$5:$A$504,0)),"")</f>
        <v/>
      </c>
      <c r="G992" s="26"/>
      <c r="H992" s="24" t="str">
        <f aca="false">IFERROR(INDEX('Fault Master'!$B$5:$B$104,MATCH(G992,'Fault Master'!$A$5:$A$104,0)),"")</f>
        <v/>
      </c>
      <c r="I992" s="24" t="str">
        <f aca="false">IFERROR(INDEX('Fault Master'!$C$5:$C$104,MATCH(G992,'Fault Master'!$A$5:$A$104,0)),"")</f>
        <v/>
      </c>
      <c r="J992" s="26"/>
      <c r="K992" s="26"/>
      <c r="L992" s="26"/>
      <c r="M992" s="26"/>
      <c r="N992" s="26"/>
      <c r="O992" s="26"/>
      <c r="P992" s="34"/>
    </row>
    <row r="993" customFormat="false" ht="15" hidden="false" customHeight="true" outlineLevel="0" collapsed="false">
      <c r="A993" s="18" t="n">
        <v>482</v>
      </c>
      <c r="B993" s="25"/>
      <c r="C993" s="26"/>
      <c r="D993" s="26"/>
      <c r="E993" s="26"/>
      <c r="F993" s="24" t="str">
        <f aca="false">IFERROR(INDEX('Operator Master'!$B$5:$B$504,MATCH(E993,'Operator Master'!$A$5:$A$504,0)),"")</f>
        <v/>
      </c>
      <c r="G993" s="26"/>
      <c r="H993" s="24" t="str">
        <f aca="false">IFERROR(INDEX('Fault Master'!$B$5:$B$104,MATCH(G993,'Fault Master'!$A$5:$A$104,0)),"")</f>
        <v/>
      </c>
      <c r="I993" s="24" t="str">
        <f aca="false">IFERROR(INDEX('Fault Master'!$C$5:$C$104,MATCH(G993,'Fault Master'!$A$5:$A$104,0)),"")</f>
        <v/>
      </c>
      <c r="J993" s="26"/>
      <c r="K993" s="26"/>
      <c r="L993" s="26"/>
      <c r="M993" s="26"/>
      <c r="N993" s="26"/>
      <c r="O993" s="26"/>
      <c r="P993" s="34"/>
    </row>
    <row r="994" customFormat="false" ht="15" hidden="false" customHeight="true" outlineLevel="0" collapsed="false">
      <c r="A994" s="18" t="n">
        <v>483</v>
      </c>
      <c r="B994" s="25"/>
      <c r="C994" s="26"/>
      <c r="D994" s="26"/>
      <c r="E994" s="26"/>
      <c r="F994" s="24" t="str">
        <f aca="false">IFERROR(INDEX('Operator Master'!$B$5:$B$504,MATCH(E994,'Operator Master'!$A$5:$A$504,0)),"")</f>
        <v/>
      </c>
      <c r="G994" s="26"/>
      <c r="H994" s="24" t="str">
        <f aca="false">IFERROR(INDEX('Fault Master'!$B$5:$B$104,MATCH(G994,'Fault Master'!$A$5:$A$104,0)),"")</f>
        <v/>
      </c>
      <c r="I994" s="24" t="str">
        <f aca="false">IFERROR(INDEX('Fault Master'!$C$5:$C$104,MATCH(G994,'Fault Master'!$A$5:$A$104,0)),"")</f>
        <v/>
      </c>
      <c r="J994" s="26"/>
      <c r="K994" s="26"/>
      <c r="L994" s="26"/>
      <c r="M994" s="26"/>
      <c r="N994" s="26"/>
      <c r="O994" s="26"/>
      <c r="P994" s="34"/>
    </row>
    <row r="995" customFormat="false" ht="15" hidden="false" customHeight="true" outlineLevel="0" collapsed="false">
      <c r="A995" s="18" t="n">
        <v>484</v>
      </c>
      <c r="B995" s="25"/>
      <c r="C995" s="26"/>
      <c r="D995" s="26"/>
      <c r="E995" s="26"/>
      <c r="F995" s="24" t="str">
        <f aca="false">IFERROR(INDEX('Operator Master'!$B$5:$B$504,MATCH(E995,'Operator Master'!$A$5:$A$504,0)),"")</f>
        <v/>
      </c>
      <c r="G995" s="26"/>
      <c r="H995" s="24" t="str">
        <f aca="false">IFERROR(INDEX('Fault Master'!$B$5:$B$104,MATCH(G995,'Fault Master'!$A$5:$A$104,0)),"")</f>
        <v/>
      </c>
      <c r="I995" s="24" t="str">
        <f aca="false">IFERROR(INDEX('Fault Master'!$C$5:$C$104,MATCH(G995,'Fault Master'!$A$5:$A$104,0)),"")</f>
        <v/>
      </c>
      <c r="J995" s="26"/>
      <c r="K995" s="26"/>
      <c r="L995" s="26"/>
      <c r="M995" s="26"/>
      <c r="N995" s="26"/>
      <c r="O995" s="26"/>
      <c r="P995" s="34"/>
    </row>
    <row r="996" customFormat="false" ht="15" hidden="false" customHeight="true" outlineLevel="0" collapsed="false">
      <c r="A996" s="18" t="n">
        <v>485</v>
      </c>
      <c r="B996" s="25"/>
      <c r="C996" s="26"/>
      <c r="D996" s="26"/>
      <c r="E996" s="26"/>
      <c r="F996" s="24" t="str">
        <f aca="false">IFERROR(INDEX('Operator Master'!$B$5:$B$504,MATCH(E996,'Operator Master'!$A$5:$A$504,0)),"")</f>
        <v/>
      </c>
      <c r="G996" s="26"/>
      <c r="H996" s="24" t="str">
        <f aca="false">IFERROR(INDEX('Fault Master'!$B$5:$B$104,MATCH(G996,'Fault Master'!$A$5:$A$104,0)),"")</f>
        <v/>
      </c>
      <c r="I996" s="24" t="str">
        <f aca="false">IFERROR(INDEX('Fault Master'!$C$5:$C$104,MATCH(G996,'Fault Master'!$A$5:$A$104,0)),"")</f>
        <v/>
      </c>
      <c r="J996" s="26"/>
      <c r="K996" s="26"/>
      <c r="L996" s="26"/>
      <c r="M996" s="26"/>
      <c r="N996" s="26"/>
      <c r="O996" s="26"/>
      <c r="P996" s="34"/>
    </row>
    <row r="997" customFormat="false" ht="15" hidden="false" customHeight="true" outlineLevel="0" collapsed="false">
      <c r="A997" s="18" t="n">
        <v>486</v>
      </c>
      <c r="B997" s="25"/>
      <c r="C997" s="26"/>
      <c r="D997" s="26"/>
      <c r="E997" s="26"/>
      <c r="F997" s="24" t="str">
        <f aca="false">IFERROR(INDEX('Operator Master'!$B$5:$B$504,MATCH(E997,'Operator Master'!$A$5:$A$504,0)),"")</f>
        <v/>
      </c>
      <c r="G997" s="26"/>
      <c r="H997" s="24" t="str">
        <f aca="false">IFERROR(INDEX('Fault Master'!$B$5:$B$104,MATCH(G997,'Fault Master'!$A$5:$A$104,0)),"")</f>
        <v/>
      </c>
      <c r="I997" s="24" t="str">
        <f aca="false">IFERROR(INDEX('Fault Master'!$C$5:$C$104,MATCH(G997,'Fault Master'!$A$5:$A$104,0)),"")</f>
        <v/>
      </c>
      <c r="J997" s="26"/>
      <c r="K997" s="26"/>
      <c r="L997" s="26"/>
      <c r="M997" s="26"/>
      <c r="N997" s="26"/>
      <c r="O997" s="26"/>
      <c r="P997" s="34"/>
    </row>
    <row r="998" customFormat="false" ht="15" hidden="false" customHeight="true" outlineLevel="0" collapsed="false">
      <c r="A998" s="18" t="n">
        <v>487</v>
      </c>
      <c r="B998" s="25"/>
      <c r="C998" s="26"/>
      <c r="D998" s="26"/>
      <c r="E998" s="26"/>
      <c r="F998" s="24" t="str">
        <f aca="false">IFERROR(INDEX('Operator Master'!$B$5:$B$504,MATCH(E998,'Operator Master'!$A$5:$A$504,0)),"")</f>
        <v/>
      </c>
      <c r="G998" s="26"/>
      <c r="H998" s="24" t="str">
        <f aca="false">IFERROR(INDEX('Fault Master'!$B$5:$B$104,MATCH(G998,'Fault Master'!$A$5:$A$104,0)),"")</f>
        <v/>
      </c>
      <c r="I998" s="24" t="str">
        <f aca="false">IFERROR(INDEX('Fault Master'!$C$5:$C$104,MATCH(G998,'Fault Master'!$A$5:$A$104,0)),"")</f>
        <v/>
      </c>
      <c r="J998" s="26"/>
      <c r="K998" s="26"/>
      <c r="L998" s="26"/>
      <c r="M998" s="26"/>
      <c r="N998" s="26"/>
      <c r="O998" s="26"/>
      <c r="P998" s="34"/>
    </row>
    <row r="999" customFormat="false" ht="15" hidden="false" customHeight="true" outlineLevel="0" collapsed="false">
      <c r="A999" s="18" t="n">
        <v>488</v>
      </c>
      <c r="B999" s="25"/>
      <c r="C999" s="26"/>
      <c r="D999" s="26"/>
      <c r="E999" s="26"/>
      <c r="F999" s="24" t="str">
        <f aca="false">IFERROR(INDEX('Operator Master'!$B$5:$B$504,MATCH(E999,'Operator Master'!$A$5:$A$504,0)),"")</f>
        <v/>
      </c>
      <c r="G999" s="26"/>
      <c r="H999" s="24" t="str">
        <f aca="false">IFERROR(INDEX('Fault Master'!$B$5:$B$104,MATCH(G999,'Fault Master'!$A$5:$A$104,0)),"")</f>
        <v/>
      </c>
      <c r="I999" s="24" t="str">
        <f aca="false">IFERROR(INDEX('Fault Master'!$C$5:$C$104,MATCH(G999,'Fault Master'!$A$5:$A$104,0)),"")</f>
        <v/>
      </c>
      <c r="J999" s="26"/>
      <c r="K999" s="26"/>
      <c r="L999" s="26"/>
      <c r="M999" s="26"/>
      <c r="N999" s="26"/>
      <c r="O999" s="26"/>
      <c r="P999" s="34"/>
    </row>
    <row r="1000" customFormat="false" ht="15" hidden="false" customHeight="true" outlineLevel="0" collapsed="false">
      <c r="A1000" s="18" t="n">
        <v>489</v>
      </c>
      <c r="B1000" s="25"/>
      <c r="C1000" s="26"/>
      <c r="D1000" s="26"/>
      <c r="E1000" s="26"/>
      <c r="F1000" s="24" t="str">
        <f aca="false">IFERROR(INDEX('Operator Master'!$B$5:$B$504,MATCH(E1000,'Operator Master'!$A$5:$A$504,0)),"")</f>
        <v/>
      </c>
      <c r="G1000" s="26"/>
      <c r="H1000" s="24" t="str">
        <f aca="false">IFERROR(INDEX('Fault Master'!$B$5:$B$104,MATCH(G1000,'Fault Master'!$A$5:$A$104,0)),"")</f>
        <v/>
      </c>
      <c r="I1000" s="24" t="str">
        <f aca="false">IFERROR(INDEX('Fault Master'!$C$5:$C$104,MATCH(G1000,'Fault Master'!$A$5:$A$104,0)),"")</f>
        <v/>
      </c>
      <c r="J1000" s="26"/>
      <c r="K1000" s="26"/>
      <c r="L1000" s="26"/>
      <c r="M1000" s="26"/>
      <c r="N1000" s="26"/>
      <c r="O1000" s="26"/>
      <c r="P1000" s="34"/>
    </row>
    <row r="1001" customFormat="false" ht="15" hidden="false" customHeight="true" outlineLevel="0" collapsed="false">
      <c r="A1001" s="18" t="n">
        <v>490</v>
      </c>
      <c r="B1001" s="25"/>
      <c r="C1001" s="26"/>
      <c r="D1001" s="26"/>
      <c r="E1001" s="26"/>
      <c r="F1001" s="24" t="str">
        <f aca="false">IFERROR(INDEX('Operator Master'!$B$5:$B$504,MATCH(E1001,'Operator Master'!$A$5:$A$504,0)),"")</f>
        <v/>
      </c>
      <c r="G1001" s="26"/>
      <c r="H1001" s="24" t="str">
        <f aca="false">IFERROR(INDEX('Fault Master'!$B$5:$B$104,MATCH(G1001,'Fault Master'!$A$5:$A$104,0)),"")</f>
        <v/>
      </c>
      <c r="I1001" s="24" t="str">
        <f aca="false">IFERROR(INDEX('Fault Master'!$C$5:$C$104,MATCH(G1001,'Fault Master'!$A$5:$A$104,0)),"")</f>
        <v/>
      </c>
      <c r="J1001" s="26"/>
      <c r="K1001" s="26"/>
      <c r="L1001" s="26"/>
      <c r="M1001" s="26"/>
      <c r="N1001" s="26"/>
      <c r="O1001" s="26"/>
      <c r="P1001" s="34"/>
    </row>
    <row r="1002" customFormat="false" ht="15" hidden="false" customHeight="true" outlineLevel="0" collapsed="false">
      <c r="A1002" s="18" t="n">
        <v>491</v>
      </c>
      <c r="B1002" s="25"/>
      <c r="C1002" s="26"/>
      <c r="D1002" s="26"/>
      <c r="E1002" s="26"/>
      <c r="F1002" s="24" t="str">
        <f aca="false">IFERROR(INDEX('Operator Master'!$B$5:$B$504,MATCH(E1002,'Operator Master'!$A$5:$A$504,0)),"")</f>
        <v/>
      </c>
      <c r="G1002" s="26"/>
      <c r="H1002" s="24" t="str">
        <f aca="false">IFERROR(INDEX('Fault Master'!$B$5:$B$104,MATCH(G1002,'Fault Master'!$A$5:$A$104,0)),"")</f>
        <v/>
      </c>
      <c r="I1002" s="24" t="str">
        <f aca="false">IFERROR(INDEX('Fault Master'!$C$5:$C$104,MATCH(G1002,'Fault Master'!$A$5:$A$104,0)),"")</f>
        <v/>
      </c>
      <c r="J1002" s="26"/>
      <c r="K1002" s="26"/>
      <c r="L1002" s="26"/>
      <c r="M1002" s="26"/>
      <c r="N1002" s="26"/>
      <c r="O1002" s="26"/>
      <c r="P1002" s="34"/>
    </row>
    <row r="1003" customFormat="false" ht="15" hidden="false" customHeight="true" outlineLevel="0" collapsed="false">
      <c r="A1003" s="18" t="n">
        <v>492</v>
      </c>
      <c r="B1003" s="25"/>
      <c r="C1003" s="26"/>
      <c r="D1003" s="26"/>
      <c r="E1003" s="26"/>
      <c r="F1003" s="24" t="str">
        <f aca="false">IFERROR(INDEX('Operator Master'!$B$5:$B$504,MATCH(E1003,'Operator Master'!$A$5:$A$504,0)),"")</f>
        <v/>
      </c>
      <c r="G1003" s="26"/>
      <c r="H1003" s="24" t="str">
        <f aca="false">IFERROR(INDEX('Fault Master'!$B$5:$B$104,MATCH(G1003,'Fault Master'!$A$5:$A$104,0)),"")</f>
        <v/>
      </c>
      <c r="I1003" s="24" t="str">
        <f aca="false">IFERROR(INDEX('Fault Master'!$C$5:$C$104,MATCH(G1003,'Fault Master'!$A$5:$A$104,0)),"")</f>
        <v/>
      </c>
      <c r="J1003" s="26"/>
      <c r="K1003" s="26"/>
      <c r="L1003" s="26"/>
      <c r="M1003" s="26"/>
      <c r="N1003" s="26"/>
      <c r="O1003" s="26"/>
      <c r="P1003" s="34"/>
    </row>
    <row r="1004" customFormat="false" ht="15" hidden="false" customHeight="true" outlineLevel="0" collapsed="false">
      <c r="A1004" s="18" t="n">
        <v>493</v>
      </c>
      <c r="B1004" s="25"/>
      <c r="C1004" s="26"/>
      <c r="D1004" s="26"/>
      <c r="E1004" s="26"/>
      <c r="F1004" s="24" t="str">
        <f aca="false">IFERROR(INDEX('Operator Master'!$B$5:$B$504,MATCH(E1004,'Operator Master'!$A$5:$A$504,0)),"")</f>
        <v/>
      </c>
      <c r="G1004" s="26"/>
      <c r="H1004" s="24" t="str">
        <f aca="false">IFERROR(INDEX('Fault Master'!$B$5:$B$104,MATCH(G1004,'Fault Master'!$A$5:$A$104,0)),"")</f>
        <v/>
      </c>
      <c r="I1004" s="24" t="str">
        <f aca="false">IFERROR(INDEX('Fault Master'!$C$5:$C$104,MATCH(G1004,'Fault Master'!$A$5:$A$104,0)),"")</f>
        <v/>
      </c>
      <c r="J1004" s="26"/>
      <c r="K1004" s="26"/>
      <c r="L1004" s="26"/>
      <c r="M1004" s="26"/>
      <c r="N1004" s="26"/>
      <c r="O1004" s="26"/>
      <c r="P1004" s="34"/>
    </row>
    <row r="1005" customFormat="false" ht="43.5" hidden="false" customHeight="true" outlineLevel="0" collapsed="false">
      <c r="A1005" s="35" t="s">
        <v>427</v>
      </c>
      <c r="B1005" s="36"/>
      <c r="C1005" s="36"/>
      <c r="D1005" s="36"/>
      <c r="E1005" s="36"/>
      <c r="F1005" s="36"/>
      <c r="G1005" s="36"/>
      <c r="H1005" s="37"/>
      <c r="I1005" s="24" t="str">
        <f aca="false">IFERROR(INDEX('Fault Master'!$C$5:$C$104,MATCH(G1005,'Fault Master'!$A$5:$A$104,0)),"")</f>
        <v/>
      </c>
      <c r="J1005" s="26"/>
      <c r="K1005" s="26"/>
      <c r="L1005" s="26"/>
      <c r="M1005" s="26"/>
      <c r="N1005" s="26"/>
      <c r="O1005" s="26"/>
      <c r="P1005" s="34"/>
    </row>
    <row r="1006" customFormat="false" ht="149.25" hidden="false" customHeight="true" outlineLevel="0" collapsed="false">
      <c r="A1006" s="38" t="s">
        <v>428</v>
      </c>
      <c r="B1006" s="39" t="s">
        <v>429</v>
      </c>
      <c r="C1006" s="36"/>
      <c r="D1006" s="36"/>
      <c r="E1006" s="36"/>
      <c r="F1006" s="36"/>
      <c r="G1006" s="36"/>
      <c r="H1006" s="37"/>
      <c r="I1006" s="24" t="str">
        <f aca="false">IFERROR(INDEX('Fault Master'!$C$5:$C$104,MATCH(G1006,'Fault Master'!$A$5:$A$104,0)),"")</f>
        <v/>
      </c>
      <c r="J1006" s="26"/>
      <c r="K1006" s="26"/>
      <c r="L1006" s="26"/>
      <c r="M1006" s="26"/>
      <c r="N1006" s="26"/>
      <c r="O1006" s="26"/>
      <c r="P1006" s="34"/>
    </row>
    <row r="1007" customFormat="false" ht="336.75" hidden="false" customHeight="true" outlineLevel="0" collapsed="false">
      <c r="A1007" s="38" t="s">
        <v>430</v>
      </c>
      <c r="B1007" s="39" t="s">
        <v>431</v>
      </c>
      <c r="C1007" s="36"/>
      <c r="D1007" s="36"/>
      <c r="E1007" s="36"/>
      <c r="F1007" s="36"/>
      <c r="G1007" s="36"/>
      <c r="H1007" s="37"/>
      <c r="I1007" s="24" t="str">
        <f aca="false">IFERROR(INDEX('Fault Master'!$C$5:$C$104,MATCH(G1007,'Fault Master'!$A$5:$A$104,0)),"")</f>
        <v/>
      </c>
      <c r="J1007" s="26"/>
      <c r="K1007" s="26"/>
      <c r="L1007" s="26"/>
      <c r="M1007" s="26"/>
      <c r="N1007" s="26"/>
      <c r="O1007" s="26"/>
      <c r="P1007" s="34"/>
    </row>
    <row r="1008" customFormat="false" ht="336.75" hidden="false" customHeight="true" outlineLevel="0" collapsed="false">
      <c r="A1008" s="38" t="s">
        <v>432</v>
      </c>
      <c r="B1008" s="39" t="s">
        <v>433</v>
      </c>
      <c r="C1008" s="36"/>
      <c r="D1008" s="36"/>
      <c r="E1008" s="36"/>
      <c r="F1008" s="36"/>
      <c r="G1008" s="36"/>
      <c r="H1008" s="37"/>
      <c r="I1008" s="24" t="str">
        <f aca="false">IFERROR(INDEX('Fault Master'!$C$5:$C$104,MATCH(G1008,'Fault Master'!$A$5:$A$104,0)),"")</f>
        <v/>
      </c>
      <c r="J1008" s="26"/>
      <c r="K1008" s="26"/>
      <c r="L1008" s="26"/>
      <c r="M1008" s="26"/>
      <c r="N1008" s="26"/>
      <c r="O1008" s="26"/>
      <c r="P1008" s="34"/>
    </row>
    <row r="1009" customFormat="false" ht="243" hidden="false" customHeight="true" outlineLevel="0" collapsed="false">
      <c r="A1009" s="38" t="s">
        <v>434</v>
      </c>
      <c r="B1009" s="39" t="s">
        <v>435</v>
      </c>
      <c r="C1009" s="36"/>
      <c r="D1009" s="36"/>
      <c r="E1009" s="36"/>
      <c r="F1009" s="36"/>
      <c r="G1009" s="36"/>
      <c r="H1009" s="37"/>
      <c r="I1009" s="24" t="str">
        <f aca="false">IFERROR(INDEX('Fault Master'!$C$5:$C$104,MATCH(G1009,'Fault Master'!$A$5:$A$104,0)),"")</f>
        <v/>
      </c>
      <c r="J1009" s="26"/>
      <c r="K1009" s="26"/>
      <c r="L1009" s="26"/>
      <c r="M1009" s="26"/>
      <c r="N1009" s="26"/>
      <c r="O1009" s="26"/>
      <c r="P1009" s="34"/>
    </row>
    <row r="1010" customFormat="false" ht="270" hidden="false" customHeight="true" outlineLevel="0" collapsed="false">
      <c r="A1010" s="38" t="s">
        <v>436</v>
      </c>
      <c r="B1010" s="39" t="s">
        <v>437</v>
      </c>
      <c r="C1010" s="36"/>
      <c r="D1010" s="36"/>
      <c r="E1010" s="36"/>
      <c r="F1010" s="36"/>
      <c r="G1010" s="36"/>
      <c r="H1010" s="37"/>
      <c r="I1010" s="24" t="str">
        <f aca="false">IFERROR(INDEX('Fault Master'!$C$5:$C$104,MATCH(G1010,'Fault Master'!$A$5:$A$104,0)),"")</f>
        <v/>
      </c>
      <c r="J1010" s="26"/>
      <c r="K1010" s="26"/>
      <c r="L1010" s="26"/>
      <c r="M1010" s="26"/>
      <c r="N1010" s="26"/>
      <c r="O1010" s="26"/>
      <c r="P1010" s="34"/>
    </row>
    <row r="1011" customFormat="false" ht="283.5" hidden="false" customHeight="true" outlineLevel="0" collapsed="false">
      <c r="A1011" s="38" t="s">
        <v>438</v>
      </c>
      <c r="B1011" s="39" t="s">
        <v>439</v>
      </c>
      <c r="C1011" s="36"/>
      <c r="D1011" s="36"/>
      <c r="E1011" s="36"/>
      <c r="F1011" s="36"/>
      <c r="G1011" s="36"/>
      <c r="H1011" s="37"/>
      <c r="I1011" s="24" t="str">
        <f aca="false">IFERROR(INDEX('Fault Master'!$C$5:$C$104,MATCH(G1011,'Fault Master'!$A$5:$A$104,0)),"")</f>
        <v/>
      </c>
      <c r="J1011" s="26"/>
      <c r="K1011" s="26"/>
      <c r="L1011" s="26"/>
      <c r="M1011" s="26"/>
      <c r="N1011" s="26"/>
      <c r="O1011" s="26"/>
      <c r="P1011" s="34"/>
    </row>
    <row r="1012" customFormat="false" ht="15" hidden="false" customHeight="true" outlineLevel="0" collapsed="false">
      <c r="A1012" s="18" t="n">
        <v>501</v>
      </c>
      <c r="B1012" s="25"/>
      <c r="C1012" s="26"/>
      <c r="D1012" s="26"/>
      <c r="E1012" s="26"/>
      <c r="F1012" s="24" t="str">
        <f aca="false">IFERROR(INDEX('Operator Master'!$B$5:$B$504,MATCH(E1012,'Operator Master'!$A$5:$A$504,0)),"")</f>
        <v/>
      </c>
      <c r="G1012" s="26"/>
      <c r="H1012" s="24" t="str">
        <f aca="false">IFERROR(INDEX('Fault Master'!$B$5:$B$104,MATCH(G1012,'Fault Master'!$A$5:$A$104,0)),"")</f>
        <v/>
      </c>
      <c r="I1012" s="24" t="str">
        <f aca="false">IFERROR(INDEX('Fault Master'!$C$5:$C$104,MATCH(G1012,'Fault Master'!$A$5:$A$104,0)),"")</f>
        <v/>
      </c>
      <c r="J1012" s="26"/>
      <c r="K1012" s="26"/>
      <c r="L1012" s="26"/>
      <c r="M1012" s="26"/>
      <c r="N1012" s="26"/>
      <c r="O1012" s="26"/>
      <c r="P1012" s="34"/>
    </row>
    <row r="1013" customFormat="false" ht="15" hidden="false" customHeight="true" outlineLevel="0" collapsed="false">
      <c r="A1013" s="18" t="n">
        <v>502</v>
      </c>
      <c r="B1013" s="25"/>
      <c r="C1013" s="26"/>
      <c r="D1013" s="26"/>
      <c r="E1013" s="26"/>
      <c r="F1013" s="24" t="str">
        <f aca="false">IFERROR(INDEX('Operator Master'!$B$5:$B$504,MATCH(E1013,'Operator Master'!$A$5:$A$504,0)),"")</f>
        <v/>
      </c>
      <c r="G1013" s="26"/>
      <c r="H1013" s="24" t="str">
        <f aca="false">IFERROR(INDEX('Fault Master'!$B$5:$B$104,MATCH(G1013,'Fault Master'!$A$5:$A$104,0)),"")</f>
        <v/>
      </c>
      <c r="I1013" s="24" t="str">
        <f aca="false">IFERROR(INDEX('Fault Master'!$C$5:$C$104,MATCH(G1013,'Fault Master'!$A$5:$A$104,0)),"")</f>
        <v/>
      </c>
      <c r="J1013" s="26"/>
      <c r="K1013" s="26"/>
      <c r="L1013" s="26"/>
      <c r="M1013" s="26"/>
      <c r="N1013" s="26"/>
      <c r="O1013" s="26"/>
      <c r="P1013" s="34"/>
    </row>
    <row r="1014" customFormat="false" ht="15" hidden="false" customHeight="true" outlineLevel="0" collapsed="false">
      <c r="A1014" s="18" t="n">
        <v>503</v>
      </c>
      <c r="B1014" s="25"/>
      <c r="C1014" s="26"/>
      <c r="D1014" s="26"/>
      <c r="E1014" s="26"/>
      <c r="F1014" s="24" t="str">
        <f aca="false">IFERROR(INDEX('Operator Master'!$B$5:$B$504,MATCH(E1014,'Operator Master'!$A$5:$A$504,0)),"")</f>
        <v/>
      </c>
      <c r="G1014" s="26"/>
      <c r="H1014" s="24" t="str">
        <f aca="false">IFERROR(INDEX('Fault Master'!$B$5:$B$104,MATCH(G1014,'Fault Master'!$A$5:$A$104,0)),"")</f>
        <v/>
      </c>
      <c r="I1014" s="24" t="str">
        <f aca="false">IFERROR(INDEX('Fault Master'!$C$5:$C$104,MATCH(G1014,'Fault Master'!$A$5:$A$104,0)),"")</f>
        <v/>
      </c>
      <c r="J1014" s="26"/>
      <c r="K1014" s="26"/>
      <c r="L1014" s="26"/>
      <c r="M1014" s="26"/>
      <c r="N1014" s="26"/>
      <c r="O1014" s="26"/>
      <c r="P1014" s="34"/>
    </row>
    <row r="1015" customFormat="false" ht="15" hidden="false" customHeight="true" outlineLevel="0" collapsed="false">
      <c r="A1015" s="18" t="n">
        <v>504</v>
      </c>
      <c r="B1015" s="25"/>
      <c r="C1015" s="26"/>
      <c r="D1015" s="26"/>
      <c r="E1015" s="26"/>
      <c r="F1015" s="24" t="str">
        <f aca="false">IFERROR(INDEX('Operator Master'!$B$5:$B$504,MATCH(E1015,'Operator Master'!$A$5:$A$504,0)),"")</f>
        <v/>
      </c>
      <c r="G1015" s="26"/>
      <c r="H1015" s="24" t="str">
        <f aca="false">IFERROR(INDEX('Fault Master'!$B$5:$B$104,MATCH(G1015,'Fault Master'!$A$5:$A$104,0)),"")</f>
        <v/>
      </c>
      <c r="I1015" s="24" t="str">
        <f aca="false">IFERROR(INDEX('Fault Master'!$C$5:$C$104,MATCH(G1015,'Fault Master'!$A$5:$A$104,0)),"")</f>
        <v/>
      </c>
      <c r="J1015" s="26"/>
      <c r="K1015" s="26"/>
      <c r="L1015" s="26"/>
      <c r="M1015" s="26"/>
      <c r="N1015" s="26"/>
      <c r="O1015" s="26"/>
      <c r="P1015" s="34"/>
    </row>
    <row r="1016" customFormat="false" ht="15" hidden="false" customHeight="true" outlineLevel="0" collapsed="false">
      <c r="A1016" s="18" t="n">
        <v>505</v>
      </c>
      <c r="B1016" s="25"/>
      <c r="C1016" s="26"/>
      <c r="D1016" s="26"/>
      <c r="E1016" s="26"/>
      <c r="F1016" s="24" t="str">
        <f aca="false">IFERROR(INDEX('Operator Master'!$B$5:$B$504,MATCH(E1016,'Operator Master'!$A$5:$A$504,0)),"")</f>
        <v/>
      </c>
      <c r="G1016" s="26"/>
      <c r="H1016" s="24" t="str">
        <f aca="false">IFERROR(INDEX('Fault Master'!$B$5:$B$104,MATCH(G1016,'Fault Master'!$A$5:$A$104,0)),"")</f>
        <v/>
      </c>
      <c r="I1016" s="24" t="str">
        <f aca="false">IFERROR(INDEX('Fault Master'!$C$5:$C$104,MATCH(G1016,'Fault Master'!$A$5:$A$104,0)),"")</f>
        <v/>
      </c>
      <c r="J1016" s="26"/>
      <c r="K1016" s="26"/>
      <c r="L1016" s="26"/>
      <c r="M1016" s="26"/>
      <c r="N1016" s="26"/>
      <c r="O1016" s="26"/>
      <c r="P1016" s="34"/>
    </row>
    <row r="1017" customFormat="false" ht="15" hidden="false" customHeight="true" outlineLevel="0" collapsed="false">
      <c r="A1017" s="18" t="n">
        <v>506</v>
      </c>
      <c r="B1017" s="25"/>
      <c r="C1017" s="26"/>
      <c r="D1017" s="26"/>
      <c r="E1017" s="26"/>
      <c r="F1017" s="24" t="str">
        <f aca="false">IFERROR(INDEX('Operator Master'!$B$5:$B$504,MATCH(E1017,'Operator Master'!$A$5:$A$504,0)),"")</f>
        <v/>
      </c>
      <c r="G1017" s="26"/>
      <c r="H1017" s="24" t="str">
        <f aca="false">IFERROR(INDEX('Fault Master'!$B$5:$B$104,MATCH(G1017,'Fault Master'!$A$5:$A$104,0)),"")</f>
        <v/>
      </c>
      <c r="I1017" s="24" t="str">
        <f aca="false">IFERROR(INDEX('Fault Master'!$C$5:$C$104,MATCH(G1017,'Fault Master'!$A$5:$A$104,0)),"")</f>
        <v/>
      </c>
      <c r="J1017" s="26"/>
      <c r="K1017" s="26"/>
      <c r="L1017" s="26"/>
      <c r="M1017" s="26"/>
      <c r="N1017" s="26"/>
      <c r="O1017" s="26"/>
      <c r="P1017" s="34"/>
    </row>
    <row r="1018" customFormat="false" ht="15" hidden="false" customHeight="true" outlineLevel="0" collapsed="false">
      <c r="A1018" s="18" t="n">
        <v>507</v>
      </c>
      <c r="B1018" s="25"/>
      <c r="C1018" s="26"/>
      <c r="D1018" s="26"/>
      <c r="E1018" s="26"/>
      <c r="F1018" s="24" t="str">
        <f aca="false">IFERROR(INDEX('Operator Master'!$B$5:$B$504,MATCH(E1018,'Operator Master'!$A$5:$A$504,0)),"")</f>
        <v/>
      </c>
      <c r="G1018" s="26"/>
      <c r="H1018" s="24" t="str">
        <f aca="false">IFERROR(INDEX('Fault Master'!$B$5:$B$104,MATCH(G1018,'Fault Master'!$A$5:$A$104,0)),"")</f>
        <v/>
      </c>
      <c r="I1018" s="24" t="str">
        <f aca="false">IFERROR(INDEX('Fault Master'!$C$5:$C$104,MATCH(G1018,'Fault Master'!$A$5:$A$104,0)),"")</f>
        <v/>
      </c>
      <c r="J1018" s="26"/>
      <c r="K1018" s="26"/>
      <c r="L1018" s="26"/>
      <c r="M1018" s="26"/>
      <c r="N1018" s="26"/>
      <c r="O1018" s="26"/>
      <c r="P1018" s="34"/>
    </row>
    <row r="1019" customFormat="false" ht="15" hidden="false" customHeight="true" outlineLevel="0" collapsed="false">
      <c r="A1019" s="18" t="n">
        <v>508</v>
      </c>
      <c r="B1019" s="25"/>
      <c r="C1019" s="26"/>
      <c r="D1019" s="26"/>
      <c r="E1019" s="26"/>
      <c r="F1019" s="24" t="str">
        <f aca="false">IFERROR(INDEX('Operator Master'!$B$5:$B$504,MATCH(E1019,'Operator Master'!$A$5:$A$504,0)),"")</f>
        <v/>
      </c>
      <c r="G1019" s="26"/>
      <c r="H1019" s="24" t="str">
        <f aca="false">IFERROR(INDEX('Fault Master'!$B$5:$B$104,MATCH(G1019,'Fault Master'!$A$5:$A$104,0)),"")</f>
        <v/>
      </c>
      <c r="I1019" s="24" t="str">
        <f aca="false">IFERROR(INDEX('Fault Master'!$C$5:$C$104,MATCH(G1019,'Fault Master'!$A$5:$A$104,0)),"")</f>
        <v/>
      </c>
      <c r="J1019" s="26"/>
      <c r="K1019" s="26"/>
      <c r="L1019" s="26"/>
      <c r="M1019" s="26"/>
      <c r="N1019" s="26"/>
      <c r="O1019" s="26"/>
      <c r="P1019" s="34"/>
    </row>
    <row r="1020" customFormat="false" ht="15" hidden="false" customHeight="true" outlineLevel="0" collapsed="false">
      <c r="A1020" s="18" t="n">
        <v>509</v>
      </c>
      <c r="B1020" s="25"/>
      <c r="C1020" s="26"/>
      <c r="D1020" s="26"/>
      <c r="E1020" s="26"/>
      <c r="F1020" s="24" t="str">
        <f aca="false">IFERROR(INDEX('Operator Master'!$B$5:$B$504,MATCH(E1020,'Operator Master'!$A$5:$A$504,0)),"")</f>
        <v/>
      </c>
      <c r="G1020" s="26"/>
      <c r="H1020" s="24" t="str">
        <f aca="false">IFERROR(INDEX('Fault Master'!$B$5:$B$104,MATCH(G1020,'Fault Master'!$A$5:$A$104,0)),"")</f>
        <v/>
      </c>
      <c r="I1020" s="24" t="str">
        <f aca="false">IFERROR(INDEX('Fault Master'!$C$5:$C$104,MATCH(G1020,'Fault Master'!$A$5:$A$104,0)),"")</f>
        <v/>
      </c>
      <c r="J1020" s="26"/>
      <c r="K1020" s="26"/>
      <c r="L1020" s="26"/>
      <c r="M1020" s="26"/>
      <c r="N1020" s="26"/>
      <c r="O1020" s="26"/>
      <c r="P1020" s="34"/>
    </row>
    <row r="1021" customFormat="false" ht="15" hidden="false" customHeight="true" outlineLevel="0" collapsed="false">
      <c r="A1021" s="18" t="n">
        <v>510</v>
      </c>
      <c r="B1021" s="25"/>
      <c r="C1021" s="26"/>
      <c r="D1021" s="26"/>
      <c r="E1021" s="26"/>
      <c r="F1021" s="24" t="str">
        <f aca="false">IFERROR(INDEX('Operator Master'!$B$5:$B$504,MATCH(E1021,'Operator Master'!$A$5:$A$504,0)),"")</f>
        <v/>
      </c>
      <c r="G1021" s="26"/>
      <c r="H1021" s="24" t="str">
        <f aca="false">IFERROR(INDEX('Fault Master'!$B$5:$B$104,MATCH(G1021,'Fault Master'!$A$5:$A$104,0)),"")</f>
        <v/>
      </c>
      <c r="I1021" s="24" t="str">
        <f aca="false">IFERROR(INDEX('Fault Master'!$C$5:$C$104,MATCH(G1021,'Fault Master'!$A$5:$A$104,0)),"")</f>
        <v/>
      </c>
      <c r="J1021" s="26"/>
      <c r="K1021" s="26"/>
      <c r="L1021" s="26"/>
      <c r="M1021" s="26"/>
      <c r="N1021" s="26"/>
      <c r="O1021" s="26"/>
      <c r="P1021" s="34"/>
    </row>
    <row r="1022" customFormat="false" ht="15" hidden="false" customHeight="true" outlineLevel="0" collapsed="false">
      <c r="A1022" s="18" t="n">
        <v>511</v>
      </c>
      <c r="B1022" s="25"/>
      <c r="C1022" s="26"/>
      <c r="D1022" s="26"/>
      <c r="E1022" s="26"/>
      <c r="F1022" s="24" t="str">
        <f aca="false">IFERROR(INDEX('Operator Master'!$B$5:$B$504,MATCH(E1022,'Operator Master'!$A$5:$A$504,0)),"")</f>
        <v/>
      </c>
      <c r="G1022" s="26"/>
      <c r="H1022" s="24" t="str">
        <f aca="false">IFERROR(INDEX('Fault Master'!$B$5:$B$104,MATCH(G1022,'Fault Master'!$A$5:$A$104,0)),"")</f>
        <v/>
      </c>
      <c r="I1022" s="24" t="str">
        <f aca="false">IFERROR(INDEX('Fault Master'!$C$5:$C$104,MATCH(G1022,'Fault Master'!$A$5:$A$104,0)),"")</f>
        <v/>
      </c>
      <c r="J1022" s="26"/>
      <c r="K1022" s="26"/>
      <c r="L1022" s="26"/>
      <c r="M1022" s="26"/>
      <c r="N1022" s="26"/>
      <c r="O1022" s="26"/>
      <c r="P1022" s="34"/>
    </row>
    <row r="1023" customFormat="false" ht="15" hidden="false" customHeight="true" outlineLevel="0" collapsed="false">
      <c r="A1023" s="18" t="n">
        <v>512</v>
      </c>
      <c r="B1023" s="25"/>
      <c r="C1023" s="26"/>
      <c r="D1023" s="26"/>
      <c r="E1023" s="26"/>
      <c r="F1023" s="24" t="str">
        <f aca="false">IFERROR(INDEX('Operator Master'!$B$5:$B$504,MATCH(E1023,'Operator Master'!$A$5:$A$504,0)),"")</f>
        <v/>
      </c>
      <c r="G1023" s="26"/>
      <c r="H1023" s="24" t="str">
        <f aca="false">IFERROR(INDEX('Fault Master'!$B$5:$B$104,MATCH(G1023,'Fault Master'!$A$5:$A$104,0)),"")</f>
        <v/>
      </c>
      <c r="I1023" s="24" t="str">
        <f aca="false">IFERROR(INDEX('Fault Master'!$C$5:$C$104,MATCH(G1023,'Fault Master'!$A$5:$A$104,0)),"")</f>
        <v/>
      </c>
      <c r="J1023" s="26"/>
      <c r="K1023" s="26"/>
      <c r="L1023" s="26"/>
      <c r="M1023" s="26"/>
      <c r="N1023" s="26"/>
      <c r="O1023" s="26"/>
      <c r="P1023" s="34"/>
    </row>
    <row r="1024" customFormat="false" ht="15" hidden="false" customHeight="true" outlineLevel="0" collapsed="false">
      <c r="A1024" s="18" t="n">
        <v>513</v>
      </c>
      <c r="B1024" s="25"/>
      <c r="C1024" s="26"/>
      <c r="D1024" s="26"/>
      <c r="E1024" s="26"/>
      <c r="F1024" s="24" t="str">
        <f aca="false">IFERROR(INDEX('Operator Master'!$B$5:$B$504,MATCH(E1024,'Operator Master'!$A$5:$A$504,0)),"")</f>
        <v/>
      </c>
      <c r="G1024" s="26"/>
      <c r="H1024" s="24" t="str">
        <f aca="false">IFERROR(INDEX('Fault Master'!$B$5:$B$104,MATCH(G1024,'Fault Master'!$A$5:$A$104,0)),"")</f>
        <v/>
      </c>
      <c r="I1024" s="24" t="str">
        <f aca="false">IFERROR(INDEX('Fault Master'!$C$5:$C$104,MATCH(G1024,'Fault Master'!$A$5:$A$104,0)),"")</f>
        <v/>
      </c>
      <c r="J1024" s="26"/>
      <c r="K1024" s="26"/>
      <c r="L1024" s="26"/>
      <c r="M1024" s="26"/>
      <c r="N1024" s="26"/>
      <c r="O1024" s="26"/>
      <c r="P1024" s="34"/>
    </row>
    <row r="1025" customFormat="false" ht="15" hidden="false" customHeight="true" outlineLevel="0" collapsed="false">
      <c r="A1025" s="18" t="n">
        <v>514</v>
      </c>
      <c r="B1025" s="25"/>
      <c r="C1025" s="26"/>
      <c r="D1025" s="26"/>
      <c r="E1025" s="26"/>
      <c r="F1025" s="24" t="str">
        <f aca="false">IFERROR(INDEX('Operator Master'!$B$5:$B$504,MATCH(E1025,'Operator Master'!$A$5:$A$504,0)),"")</f>
        <v/>
      </c>
      <c r="G1025" s="26"/>
      <c r="H1025" s="24" t="str">
        <f aca="false">IFERROR(INDEX('Fault Master'!$B$5:$B$104,MATCH(G1025,'Fault Master'!$A$5:$A$104,0)),"")</f>
        <v/>
      </c>
      <c r="I1025" s="24" t="str">
        <f aca="false">IFERROR(INDEX('Fault Master'!$C$5:$C$104,MATCH(G1025,'Fault Master'!$A$5:$A$104,0)),"")</f>
        <v/>
      </c>
      <c r="J1025" s="26"/>
      <c r="K1025" s="26"/>
      <c r="L1025" s="26"/>
      <c r="M1025" s="26"/>
      <c r="N1025" s="26"/>
      <c r="O1025" s="26"/>
      <c r="P1025" s="34"/>
    </row>
    <row r="1026" customFormat="false" ht="15" hidden="false" customHeight="true" outlineLevel="0" collapsed="false">
      <c r="A1026" s="18" t="n">
        <v>515</v>
      </c>
      <c r="B1026" s="25"/>
      <c r="C1026" s="26"/>
      <c r="D1026" s="26"/>
      <c r="E1026" s="26"/>
      <c r="F1026" s="24" t="str">
        <f aca="false">IFERROR(INDEX('Operator Master'!$B$5:$B$504,MATCH(E1026,'Operator Master'!$A$5:$A$504,0)),"")</f>
        <v/>
      </c>
      <c r="G1026" s="26"/>
      <c r="H1026" s="24" t="str">
        <f aca="false">IFERROR(INDEX('Fault Master'!$B$5:$B$104,MATCH(G1026,'Fault Master'!$A$5:$A$104,0)),"")</f>
        <v/>
      </c>
      <c r="I1026" s="24" t="str">
        <f aca="false">IFERROR(INDEX('Fault Master'!$C$5:$C$104,MATCH(G1026,'Fault Master'!$A$5:$A$104,0)),"")</f>
        <v/>
      </c>
      <c r="J1026" s="26"/>
      <c r="K1026" s="26"/>
      <c r="L1026" s="26"/>
      <c r="M1026" s="26"/>
      <c r="N1026" s="26"/>
      <c r="O1026" s="26"/>
      <c r="P1026" s="34"/>
    </row>
    <row r="1027" customFormat="false" ht="15" hidden="false" customHeight="true" outlineLevel="0" collapsed="false">
      <c r="A1027" s="18" t="n">
        <v>516</v>
      </c>
      <c r="B1027" s="25"/>
      <c r="C1027" s="26"/>
      <c r="D1027" s="26"/>
      <c r="E1027" s="26"/>
      <c r="F1027" s="24" t="str">
        <f aca="false">IFERROR(INDEX('Operator Master'!$B$5:$B$504,MATCH(E1027,'Operator Master'!$A$5:$A$504,0)),"")</f>
        <v/>
      </c>
      <c r="G1027" s="26"/>
      <c r="H1027" s="24" t="str">
        <f aca="false">IFERROR(INDEX('Fault Master'!$B$5:$B$104,MATCH(G1027,'Fault Master'!$A$5:$A$104,0)),"")</f>
        <v/>
      </c>
      <c r="I1027" s="24" t="str">
        <f aca="false">IFERROR(INDEX('Fault Master'!$C$5:$C$104,MATCH(G1027,'Fault Master'!$A$5:$A$104,0)),"")</f>
        <v/>
      </c>
      <c r="J1027" s="26"/>
      <c r="K1027" s="26"/>
      <c r="L1027" s="26"/>
      <c r="M1027" s="26"/>
      <c r="N1027" s="26"/>
      <c r="O1027" s="26"/>
      <c r="P1027" s="34"/>
    </row>
    <row r="1028" customFormat="false" ht="15" hidden="false" customHeight="true" outlineLevel="0" collapsed="false">
      <c r="A1028" s="18" t="n">
        <v>517</v>
      </c>
      <c r="B1028" s="25"/>
      <c r="C1028" s="26"/>
      <c r="D1028" s="26"/>
      <c r="E1028" s="26"/>
      <c r="F1028" s="24" t="str">
        <f aca="false">IFERROR(INDEX('Operator Master'!$B$5:$B$504,MATCH(E1028,'Operator Master'!$A$5:$A$504,0)),"")</f>
        <v/>
      </c>
      <c r="G1028" s="26"/>
      <c r="H1028" s="24" t="str">
        <f aca="false">IFERROR(INDEX('Fault Master'!$B$5:$B$104,MATCH(G1028,'Fault Master'!$A$5:$A$104,0)),"")</f>
        <v/>
      </c>
      <c r="I1028" s="24" t="str">
        <f aca="false">IFERROR(INDEX('Fault Master'!$C$5:$C$104,MATCH(G1028,'Fault Master'!$A$5:$A$104,0)),"")</f>
        <v/>
      </c>
      <c r="J1028" s="26"/>
      <c r="K1028" s="26"/>
      <c r="L1028" s="26"/>
      <c r="M1028" s="26"/>
      <c r="N1028" s="26"/>
      <c r="O1028" s="26"/>
      <c r="P1028" s="34"/>
    </row>
    <row r="1029" customFormat="false" ht="15" hidden="false" customHeight="true" outlineLevel="0" collapsed="false">
      <c r="A1029" s="18" t="n">
        <v>518</v>
      </c>
      <c r="B1029" s="25"/>
      <c r="C1029" s="26"/>
      <c r="D1029" s="26"/>
      <c r="E1029" s="26"/>
      <c r="F1029" s="24" t="str">
        <f aca="false">IFERROR(INDEX('Operator Master'!$B$5:$B$504,MATCH(E1029,'Operator Master'!$A$5:$A$504,0)),"")</f>
        <v/>
      </c>
      <c r="G1029" s="26"/>
      <c r="H1029" s="24" t="str">
        <f aca="false">IFERROR(INDEX('Fault Master'!$B$5:$B$104,MATCH(G1029,'Fault Master'!$A$5:$A$104,0)),"")</f>
        <v/>
      </c>
      <c r="I1029" s="24" t="str">
        <f aca="false">IFERROR(INDEX('Fault Master'!$C$5:$C$104,MATCH(G1029,'Fault Master'!$A$5:$A$104,0)),"")</f>
        <v/>
      </c>
      <c r="J1029" s="26"/>
      <c r="K1029" s="26"/>
      <c r="L1029" s="26"/>
      <c r="M1029" s="26"/>
      <c r="N1029" s="26"/>
      <c r="O1029" s="26"/>
      <c r="P1029" s="34"/>
    </row>
    <row r="1030" customFormat="false" ht="15" hidden="false" customHeight="true" outlineLevel="0" collapsed="false">
      <c r="A1030" s="18" t="n">
        <v>519</v>
      </c>
      <c r="B1030" s="25"/>
      <c r="C1030" s="26"/>
      <c r="D1030" s="26"/>
      <c r="E1030" s="26"/>
      <c r="F1030" s="24" t="str">
        <f aca="false">IFERROR(INDEX('Operator Master'!$B$5:$B$504,MATCH(E1030,'Operator Master'!$A$5:$A$504,0)),"")</f>
        <v/>
      </c>
      <c r="G1030" s="26"/>
      <c r="H1030" s="24" t="str">
        <f aca="false">IFERROR(INDEX('Fault Master'!$B$5:$B$104,MATCH(G1030,'Fault Master'!$A$5:$A$104,0)),"")</f>
        <v/>
      </c>
      <c r="I1030" s="24" t="str">
        <f aca="false">IFERROR(INDEX('Fault Master'!$C$5:$C$104,MATCH(G1030,'Fault Master'!$A$5:$A$104,0)),"")</f>
        <v/>
      </c>
      <c r="J1030" s="26"/>
      <c r="K1030" s="26"/>
      <c r="L1030" s="26"/>
      <c r="M1030" s="26"/>
      <c r="N1030" s="26"/>
      <c r="O1030" s="26"/>
      <c r="P1030" s="34"/>
    </row>
    <row r="1031" customFormat="false" ht="15" hidden="false" customHeight="true" outlineLevel="0" collapsed="false">
      <c r="A1031" s="18" t="n">
        <v>520</v>
      </c>
      <c r="B1031" s="25"/>
      <c r="C1031" s="26"/>
      <c r="D1031" s="26"/>
      <c r="E1031" s="26"/>
      <c r="F1031" s="24" t="str">
        <f aca="false">IFERROR(INDEX('Operator Master'!$B$5:$B$504,MATCH(E1031,'Operator Master'!$A$5:$A$504,0)),"")</f>
        <v/>
      </c>
      <c r="G1031" s="26"/>
      <c r="H1031" s="24" t="str">
        <f aca="false">IFERROR(INDEX('Fault Master'!$B$5:$B$104,MATCH(G1031,'Fault Master'!$A$5:$A$104,0)),"")</f>
        <v/>
      </c>
      <c r="I1031" s="24" t="str">
        <f aca="false">IFERROR(INDEX('Fault Master'!$C$5:$C$104,MATCH(G1031,'Fault Master'!$A$5:$A$104,0)),"")</f>
        <v/>
      </c>
      <c r="J1031" s="26"/>
      <c r="K1031" s="26"/>
      <c r="L1031" s="26"/>
      <c r="M1031" s="26"/>
      <c r="N1031" s="26"/>
      <c r="O1031" s="26"/>
      <c r="P1031" s="34"/>
    </row>
    <row r="1032" customFormat="false" ht="15" hidden="false" customHeight="true" outlineLevel="0" collapsed="false">
      <c r="A1032" s="18" t="n">
        <v>521</v>
      </c>
      <c r="B1032" s="25"/>
      <c r="C1032" s="26"/>
      <c r="D1032" s="26"/>
      <c r="E1032" s="26"/>
      <c r="F1032" s="24" t="str">
        <f aca="false">IFERROR(INDEX('Operator Master'!$B$5:$B$504,MATCH(E1032,'Operator Master'!$A$5:$A$504,0)),"")</f>
        <v/>
      </c>
      <c r="G1032" s="26"/>
      <c r="H1032" s="24" t="str">
        <f aca="false">IFERROR(INDEX('Fault Master'!$B$5:$B$104,MATCH(G1032,'Fault Master'!$A$5:$A$104,0)),"")</f>
        <v/>
      </c>
      <c r="I1032" s="24" t="str">
        <f aca="false">IFERROR(INDEX('Fault Master'!$C$5:$C$104,MATCH(G1032,'Fault Master'!$A$5:$A$104,0)),"")</f>
        <v/>
      </c>
      <c r="J1032" s="26"/>
      <c r="K1032" s="26"/>
      <c r="L1032" s="26"/>
      <c r="M1032" s="26"/>
      <c r="N1032" s="26"/>
      <c r="O1032" s="26"/>
      <c r="P1032" s="34"/>
    </row>
    <row r="1033" customFormat="false" ht="15" hidden="false" customHeight="true" outlineLevel="0" collapsed="false">
      <c r="A1033" s="18" t="n">
        <v>522</v>
      </c>
      <c r="B1033" s="25"/>
      <c r="C1033" s="26"/>
      <c r="D1033" s="26"/>
      <c r="E1033" s="26"/>
      <c r="F1033" s="24" t="str">
        <f aca="false">IFERROR(INDEX('Operator Master'!$B$5:$B$504,MATCH(E1033,'Operator Master'!$A$5:$A$504,0)),"")</f>
        <v/>
      </c>
      <c r="G1033" s="26"/>
      <c r="H1033" s="24" t="str">
        <f aca="false">IFERROR(INDEX('Fault Master'!$B$5:$B$104,MATCH(G1033,'Fault Master'!$A$5:$A$104,0)),"")</f>
        <v/>
      </c>
      <c r="I1033" s="24" t="str">
        <f aca="false">IFERROR(INDEX('Fault Master'!$C$5:$C$104,MATCH(G1033,'Fault Master'!$A$5:$A$104,0)),"")</f>
        <v/>
      </c>
      <c r="J1033" s="26"/>
      <c r="K1033" s="26"/>
      <c r="L1033" s="26"/>
      <c r="M1033" s="26"/>
      <c r="N1033" s="26"/>
      <c r="O1033" s="26"/>
      <c r="P1033" s="34"/>
    </row>
    <row r="1034" customFormat="false" ht="15" hidden="false" customHeight="true" outlineLevel="0" collapsed="false">
      <c r="A1034" s="18" t="n">
        <v>523</v>
      </c>
      <c r="B1034" s="25"/>
      <c r="C1034" s="26"/>
      <c r="D1034" s="26"/>
      <c r="E1034" s="26"/>
      <c r="F1034" s="24" t="str">
        <f aca="false">IFERROR(INDEX('Operator Master'!$B$5:$B$504,MATCH(E1034,'Operator Master'!$A$5:$A$504,0)),"")</f>
        <v/>
      </c>
      <c r="G1034" s="26"/>
      <c r="H1034" s="24" t="str">
        <f aca="false">IFERROR(INDEX('Fault Master'!$B$5:$B$104,MATCH(G1034,'Fault Master'!$A$5:$A$104,0)),"")</f>
        <v/>
      </c>
      <c r="I1034" s="24" t="str">
        <f aca="false">IFERROR(INDEX('Fault Master'!$C$5:$C$104,MATCH(G1034,'Fault Master'!$A$5:$A$104,0)),"")</f>
        <v/>
      </c>
      <c r="J1034" s="26"/>
      <c r="K1034" s="26"/>
      <c r="L1034" s="26"/>
      <c r="M1034" s="26"/>
      <c r="N1034" s="26"/>
      <c r="O1034" s="26"/>
      <c r="P1034" s="34"/>
    </row>
    <row r="1035" customFormat="false" ht="15" hidden="false" customHeight="true" outlineLevel="0" collapsed="false">
      <c r="A1035" s="18" t="n">
        <v>524</v>
      </c>
      <c r="B1035" s="25"/>
      <c r="C1035" s="26"/>
      <c r="D1035" s="26"/>
      <c r="E1035" s="26"/>
      <c r="F1035" s="24" t="str">
        <f aca="false">IFERROR(INDEX('Operator Master'!$B$5:$B$504,MATCH(E1035,'Operator Master'!$A$5:$A$504,0)),"")</f>
        <v/>
      </c>
      <c r="G1035" s="26"/>
      <c r="H1035" s="24" t="str">
        <f aca="false">IFERROR(INDEX('Fault Master'!$B$5:$B$104,MATCH(G1035,'Fault Master'!$A$5:$A$104,0)),"")</f>
        <v/>
      </c>
      <c r="I1035" s="24" t="str">
        <f aca="false">IFERROR(INDEX('Fault Master'!$C$5:$C$104,MATCH(G1035,'Fault Master'!$A$5:$A$104,0)),"")</f>
        <v/>
      </c>
      <c r="J1035" s="26"/>
      <c r="K1035" s="26"/>
      <c r="L1035" s="26"/>
      <c r="M1035" s="26"/>
      <c r="N1035" s="26"/>
      <c r="O1035" s="26"/>
      <c r="P1035" s="34"/>
    </row>
    <row r="1036" customFormat="false" ht="15" hidden="false" customHeight="true" outlineLevel="0" collapsed="false">
      <c r="A1036" s="18" t="n">
        <v>525</v>
      </c>
      <c r="B1036" s="25"/>
      <c r="C1036" s="26"/>
      <c r="D1036" s="26"/>
      <c r="E1036" s="26"/>
      <c r="F1036" s="24" t="str">
        <f aca="false">IFERROR(INDEX('Operator Master'!$B$5:$B$504,MATCH(E1036,'Operator Master'!$A$5:$A$504,0)),"")</f>
        <v/>
      </c>
      <c r="G1036" s="26"/>
      <c r="H1036" s="24" t="str">
        <f aca="false">IFERROR(INDEX('Fault Master'!$B$5:$B$104,MATCH(G1036,'Fault Master'!$A$5:$A$104,0)),"")</f>
        <v/>
      </c>
      <c r="I1036" s="24" t="str">
        <f aca="false">IFERROR(INDEX('Fault Master'!$C$5:$C$104,MATCH(G1036,'Fault Master'!$A$5:$A$104,0)),"")</f>
        <v/>
      </c>
      <c r="J1036" s="26"/>
      <c r="K1036" s="26"/>
      <c r="L1036" s="26"/>
      <c r="M1036" s="26"/>
      <c r="N1036" s="26"/>
      <c r="O1036" s="26"/>
      <c r="P1036" s="34"/>
    </row>
    <row r="1037" customFormat="false" ht="15" hidden="false" customHeight="true" outlineLevel="0" collapsed="false">
      <c r="A1037" s="18" t="n">
        <v>526</v>
      </c>
      <c r="B1037" s="25"/>
      <c r="C1037" s="26"/>
      <c r="D1037" s="26"/>
      <c r="E1037" s="26"/>
      <c r="F1037" s="24" t="str">
        <f aca="false">IFERROR(INDEX('Operator Master'!$B$5:$B$504,MATCH(E1037,'Operator Master'!$A$5:$A$504,0)),"")</f>
        <v/>
      </c>
      <c r="G1037" s="26"/>
      <c r="H1037" s="24" t="str">
        <f aca="false">IFERROR(INDEX('Fault Master'!$B$5:$B$104,MATCH(G1037,'Fault Master'!$A$5:$A$104,0)),"")</f>
        <v/>
      </c>
      <c r="I1037" s="24" t="str">
        <f aca="false">IFERROR(INDEX('Fault Master'!$C$5:$C$104,MATCH(G1037,'Fault Master'!$A$5:$A$104,0)),"")</f>
        <v/>
      </c>
      <c r="J1037" s="26"/>
      <c r="K1037" s="26"/>
      <c r="L1037" s="26"/>
      <c r="M1037" s="26"/>
      <c r="N1037" s="26"/>
      <c r="O1037" s="26"/>
      <c r="P1037" s="34"/>
    </row>
    <row r="1038" customFormat="false" ht="15" hidden="false" customHeight="true" outlineLevel="0" collapsed="false">
      <c r="A1038" s="18" t="n">
        <v>527</v>
      </c>
      <c r="B1038" s="25"/>
      <c r="C1038" s="26"/>
      <c r="D1038" s="26"/>
      <c r="E1038" s="26"/>
      <c r="F1038" s="24" t="str">
        <f aca="false">IFERROR(INDEX('Operator Master'!$B$5:$B$504,MATCH(E1038,'Operator Master'!$A$5:$A$504,0)),"")</f>
        <v/>
      </c>
      <c r="G1038" s="26"/>
      <c r="H1038" s="24" t="str">
        <f aca="false">IFERROR(INDEX('Fault Master'!$B$5:$B$104,MATCH(G1038,'Fault Master'!$A$5:$A$104,0)),"")</f>
        <v/>
      </c>
      <c r="I1038" s="24" t="str">
        <f aca="false">IFERROR(INDEX('Fault Master'!$C$5:$C$104,MATCH(G1038,'Fault Master'!$A$5:$A$104,0)),"")</f>
        <v/>
      </c>
      <c r="J1038" s="26"/>
      <c r="K1038" s="26"/>
      <c r="L1038" s="26"/>
      <c r="M1038" s="26"/>
      <c r="N1038" s="26"/>
      <c r="O1038" s="26"/>
      <c r="P1038" s="34"/>
    </row>
    <row r="1039" customFormat="false" ht="15" hidden="false" customHeight="true" outlineLevel="0" collapsed="false">
      <c r="A1039" s="18" t="n">
        <v>528</v>
      </c>
      <c r="B1039" s="25"/>
      <c r="C1039" s="26"/>
      <c r="D1039" s="26"/>
      <c r="E1039" s="26"/>
      <c r="F1039" s="24" t="str">
        <f aca="false">IFERROR(INDEX('Operator Master'!$B$5:$B$504,MATCH(E1039,'Operator Master'!$A$5:$A$504,0)),"")</f>
        <v/>
      </c>
      <c r="G1039" s="26"/>
      <c r="H1039" s="24" t="str">
        <f aca="false">IFERROR(INDEX('Fault Master'!$B$5:$B$104,MATCH(G1039,'Fault Master'!$A$5:$A$104,0)),"")</f>
        <v/>
      </c>
      <c r="I1039" s="24" t="str">
        <f aca="false">IFERROR(INDEX('Fault Master'!$C$5:$C$104,MATCH(G1039,'Fault Master'!$A$5:$A$104,0)),"")</f>
        <v/>
      </c>
      <c r="J1039" s="26"/>
      <c r="K1039" s="26"/>
      <c r="L1039" s="26"/>
      <c r="M1039" s="26"/>
      <c r="N1039" s="26"/>
      <c r="O1039" s="26"/>
      <c r="P1039" s="34"/>
    </row>
    <row r="1040" customFormat="false" ht="15" hidden="false" customHeight="true" outlineLevel="0" collapsed="false">
      <c r="A1040" s="18" t="n">
        <v>529</v>
      </c>
      <c r="B1040" s="25"/>
      <c r="C1040" s="26"/>
      <c r="D1040" s="26"/>
      <c r="E1040" s="26"/>
      <c r="F1040" s="24" t="str">
        <f aca="false">IFERROR(INDEX('Operator Master'!$B$5:$B$504,MATCH(E1040,'Operator Master'!$A$5:$A$504,0)),"")</f>
        <v/>
      </c>
      <c r="G1040" s="26"/>
      <c r="H1040" s="24" t="str">
        <f aca="false">IFERROR(INDEX('Fault Master'!$B$5:$B$104,MATCH(G1040,'Fault Master'!$A$5:$A$104,0)),"")</f>
        <v/>
      </c>
      <c r="I1040" s="24" t="str">
        <f aca="false">IFERROR(INDEX('Fault Master'!$C$5:$C$104,MATCH(G1040,'Fault Master'!$A$5:$A$104,0)),"")</f>
        <v/>
      </c>
      <c r="J1040" s="26"/>
      <c r="K1040" s="26"/>
      <c r="L1040" s="26"/>
      <c r="M1040" s="26"/>
      <c r="N1040" s="26"/>
      <c r="O1040" s="26"/>
      <c r="P1040" s="34"/>
    </row>
    <row r="1041" customFormat="false" ht="15" hidden="false" customHeight="true" outlineLevel="0" collapsed="false">
      <c r="A1041" s="18" t="n">
        <v>530</v>
      </c>
      <c r="B1041" s="25"/>
      <c r="C1041" s="26"/>
      <c r="D1041" s="26"/>
      <c r="E1041" s="26"/>
      <c r="F1041" s="24" t="str">
        <f aca="false">IFERROR(INDEX('Operator Master'!$B$5:$B$504,MATCH(E1041,'Operator Master'!$A$5:$A$504,0)),"")</f>
        <v/>
      </c>
      <c r="G1041" s="26"/>
      <c r="H1041" s="24" t="str">
        <f aca="false">IFERROR(INDEX('Fault Master'!$B$5:$B$104,MATCH(G1041,'Fault Master'!$A$5:$A$104,0)),"")</f>
        <v/>
      </c>
      <c r="I1041" s="24" t="str">
        <f aca="false">IFERROR(INDEX('Fault Master'!$C$5:$C$104,MATCH(G1041,'Fault Master'!$A$5:$A$104,0)),"")</f>
        <v/>
      </c>
      <c r="J1041" s="26"/>
      <c r="K1041" s="26"/>
      <c r="L1041" s="26"/>
      <c r="M1041" s="26"/>
      <c r="N1041" s="26"/>
      <c r="O1041" s="26"/>
      <c r="P1041" s="34"/>
    </row>
    <row r="1042" customFormat="false" ht="15" hidden="false" customHeight="true" outlineLevel="0" collapsed="false">
      <c r="A1042" s="18" t="n">
        <v>531</v>
      </c>
      <c r="B1042" s="25"/>
      <c r="C1042" s="26"/>
      <c r="D1042" s="26"/>
      <c r="E1042" s="26"/>
      <c r="F1042" s="24" t="str">
        <f aca="false">IFERROR(INDEX('Operator Master'!$B$5:$B$504,MATCH(E1042,'Operator Master'!$A$5:$A$504,0)),"")</f>
        <v/>
      </c>
      <c r="G1042" s="26"/>
      <c r="H1042" s="24" t="str">
        <f aca="false">IFERROR(INDEX('Fault Master'!$B$5:$B$104,MATCH(G1042,'Fault Master'!$A$5:$A$104,0)),"")</f>
        <v/>
      </c>
      <c r="I1042" s="24" t="str">
        <f aca="false">IFERROR(INDEX('Fault Master'!$C$5:$C$104,MATCH(G1042,'Fault Master'!$A$5:$A$104,0)),"")</f>
        <v/>
      </c>
      <c r="J1042" s="26"/>
      <c r="K1042" s="26"/>
      <c r="L1042" s="26"/>
      <c r="M1042" s="26"/>
      <c r="N1042" s="26"/>
      <c r="O1042" s="26"/>
      <c r="P1042" s="34"/>
    </row>
    <row r="1043" customFormat="false" ht="15" hidden="false" customHeight="true" outlineLevel="0" collapsed="false">
      <c r="A1043" s="18" t="n">
        <v>532</v>
      </c>
      <c r="B1043" s="25"/>
      <c r="C1043" s="26"/>
      <c r="D1043" s="26"/>
      <c r="E1043" s="26"/>
      <c r="F1043" s="24" t="str">
        <f aca="false">IFERROR(INDEX('Operator Master'!$B$5:$B$504,MATCH(E1043,'Operator Master'!$A$5:$A$504,0)),"")</f>
        <v/>
      </c>
      <c r="G1043" s="26"/>
      <c r="H1043" s="24" t="str">
        <f aca="false">IFERROR(INDEX('Fault Master'!$B$5:$B$104,MATCH(G1043,'Fault Master'!$A$5:$A$104,0)),"")</f>
        <v/>
      </c>
      <c r="I1043" s="24" t="str">
        <f aca="false">IFERROR(INDEX('Fault Master'!$C$5:$C$104,MATCH(G1043,'Fault Master'!$A$5:$A$104,0)),"")</f>
        <v/>
      </c>
      <c r="J1043" s="26"/>
      <c r="K1043" s="26"/>
      <c r="L1043" s="26"/>
      <c r="M1043" s="26"/>
      <c r="N1043" s="26"/>
      <c r="O1043" s="26"/>
      <c r="P1043" s="34"/>
    </row>
    <row r="1044" customFormat="false" ht="15" hidden="false" customHeight="true" outlineLevel="0" collapsed="false">
      <c r="A1044" s="18" t="n">
        <v>533</v>
      </c>
      <c r="B1044" s="25"/>
      <c r="C1044" s="26"/>
      <c r="D1044" s="26"/>
      <c r="E1044" s="26"/>
      <c r="F1044" s="24" t="str">
        <f aca="false">IFERROR(INDEX('Operator Master'!$B$5:$B$504,MATCH(E1044,'Operator Master'!$A$5:$A$504,0)),"")</f>
        <v/>
      </c>
      <c r="G1044" s="26"/>
      <c r="H1044" s="24" t="str">
        <f aca="false">IFERROR(INDEX('Fault Master'!$B$5:$B$104,MATCH(G1044,'Fault Master'!$A$5:$A$104,0)),"")</f>
        <v/>
      </c>
      <c r="I1044" s="24" t="str">
        <f aca="false">IFERROR(INDEX('Fault Master'!$C$5:$C$104,MATCH(G1044,'Fault Master'!$A$5:$A$104,0)),"")</f>
        <v/>
      </c>
      <c r="J1044" s="26"/>
      <c r="K1044" s="26"/>
      <c r="L1044" s="26"/>
      <c r="M1044" s="26"/>
      <c r="N1044" s="26"/>
      <c r="O1044" s="26"/>
      <c r="P1044" s="34"/>
    </row>
    <row r="1045" customFormat="false" ht="15" hidden="false" customHeight="true" outlineLevel="0" collapsed="false">
      <c r="A1045" s="18" t="n">
        <v>534</v>
      </c>
      <c r="B1045" s="25"/>
      <c r="C1045" s="26"/>
      <c r="D1045" s="26"/>
      <c r="E1045" s="26"/>
      <c r="F1045" s="24" t="str">
        <f aca="false">IFERROR(INDEX('Operator Master'!$B$5:$B$504,MATCH(E1045,'Operator Master'!$A$5:$A$504,0)),"")</f>
        <v/>
      </c>
      <c r="G1045" s="26"/>
      <c r="H1045" s="24" t="str">
        <f aca="false">IFERROR(INDEX('Fault Master'!$B$5:$B$104,MATCH(G1045,'Fault Master'!$A$5:$A$104,0)),"")</f>
        <v/>
      </c>
      <c r="I1045" s="24" t="str">
        <f aca="false">IFERROR(INDEX('Fault Master'!$C$5:$C$104,MATCH(G1045,'Fault Master'!$A$5:$A$104,0)),"")</f>
        <v/>
      </c>
      <c r="J1045" s="26"/>
      <c r="K1045" s="26"/>
      <c r="L1045" s="26"/>
      <c r="M1045" s="26"/>
      <c r="N1045" s="26"/>
      <c r="O1045" s="26"/>
      <c r="P1045" s="34"/>
    </row>
    <row r="1046" customFormat="false" ht="15" hidden="false" customHeight="true" outlineLevel="0" collapsed="false">
      <c r="A1046" s="18" t="n">
        <v>535</v>
      </c>
      <c r="B1046" s="25"/>
      <c r="C1046" s="26"/>
      <c r="D1046" s="26"/>
      <c r="E1046" s="26"/>
      <c r="F1046" s="24" t="str">
        <f aca="false">IFERROR(INDEX('Operator Master'!$B$5:$B$504,MATCH(E1046,'Operator Master'!$A$5:$A$504,0)),"")</f>
        <v/>
      </c>
      <c r="G1046" s="26"/>
      <c r="H1046" s="24" t="str">
        <f aca="false">IFERROR(INDEX('Fault Master'!$B$5:$B$104,MATCH(G1046,'Fault Master'!$A$5:$A$104,0)),"")</f>
        <v/>
      </c>
      <c r="I1046" s="24" t="str">
        <f aca="false">IFERROR(INDEX('Fault Master'!$C$5:$C$104,MATCH(G1046,'Fault Master'!$A$5:$A$104,0)),"")</f>
        <v/>
      </c>
      <c r="J1046" s="26"/>
      <c r="K1046" s="26"/>
      <c r="L1046" s="26"/>
      <c r="M1046" s="26"/>
      <c r="N1046" s="26"/>
      <c r="O1046" s="26"/>
      <c r="P1046" s="34"/>
    </row>
    <row r="1047" customFormat="false" ht="15" hidden="false" customHeight="true" outlineLevel="0" collapsed="false">
      <c r="A1047" s="18" t="n">
        <v>536</v>
      </c>
      <c r="B1047" s="25"/>
      <c r="C1047" s="26"/>
      <c r="D1047" s="26"/>
      <c r="E1047" s="26"/>
      <c r="F1047" s="24" t="str">
        <f aca="false">IFERROR(INDEX('Operator Master'!$B$5:$B$504,MATCH(E1047,'Operator Master'!$A$5:$A$504,0)),"")</f>
        <v/>
      </c>
      <c r="G1047" s="26"/>
      <c r="H1047" s="24" t="str">
        <f aca="false">IFERROR(INDEX('Fault Master'!$B$5:$B$104,MATCH(G1047,'Fault Master'!$A$5:$A$104,0)),"")</f>
        <v/>
      </c>
      <c r="I1047" s="24" t="str">
        <f aca="false">IFERROR(INDEX('Fault Master'!$C$5:$C$104,MATCH(G1047,'Fault Master'!$A$5:$A$104,0)),"")</f>
        <v/>
      </c>
      <c r="J1047" s="26"/>
      <c r="K1047" s="26"/>
      <c r="L1047" s="26"/>
      <c r="M1047" s="26"/>
      <c r="N1047" s="26"/>
      <c r="O1047" s="26"/>
      <c r="P1047" s="34"/>
    </row>
    <row r="1048" customFormat="false" ht="15" hidden="false" customHeight="true" outlineLevel="0" collapsed="false">
      <c r="A1048" s="18" t="n">
        <v>537</v>
      </c>
      <c r="B1048" s="25"/>
      <c r="C1048" s="26"/>
      <c r="D1048" s="26"/>
      <c r="E1048" s="26"/>
      <c r="F1048" s="24" t="str">
        <f aca="false">IFERROR(INDEX('Operator Master'!$B$5:$B$504,MATCH(E1048,'Operator Master'!$A$5:$A$504,0)),"")</f>
        <v/>
      </c>
      <c r="G1048" s="26"/>
      <c r="H1048" s="24" t="str">
        <f aca="false">IFERROR(INDEX('Fault Master'!$B$5:$B$104,MATCH(G1048,'Fault Master'!$A$5:$A$104,0)),"")</f>
        <v/>
      </c>
      <c r="I1048" s="24" t="str">
        <f aca="false">IFERROR(INDEX('Fault Master'!$C$5:$C$104,MATCH(G1048,'Fault Master'!$A$5:$A$104,0)),"")</f>
        <v/>
      </c>
      <c r="J1048" s="26"/>
      <c r="K1048" s="26"/>
      <c r="L1048" s="26"/>
      <c r="M1048" s="26"/>
      <c r="N1048" s="26"/>
      <c r="O1048" s="26"/>
      <c r="P1048" s="34"/>
    </row>
    <row r="1049" customFormat="false" ht="15" hidden="false" customHeight="true" outlineLevel="0" collapsed="false">
      <c r="A1049" s="18" t="n">
        <v>538</v>
      </c>
      <c r="B1049" s="25"/>
      <c r="C1049" s="26"/>
      <c r="D1049" s="26"/>
      <c r="E1049" s="26"/>
      <c r="F1049" s="24" t="str">
        <f aca="false">IFERROR(INDEX('Operator Master'!$B$5:$B$504,MATCH(E1049,'Operator Master'!$A$5:$A$504,0)),"")</f>
        <v/>
      </c>
      <c r="G1049" s="26"/>
      <c r="H1049" s="24" t="str">
        <f aca="false">IFERROR(INDEX('Fault Master'!$B$5:$B$104,MATCH(G1049,'Fault Master'!$A$5:$A$104,0)),"")</f>
        <v/>
      </c>
      <c r="I1049" s="24" t="str">
        <f aca="false">IFERROR(INDEX('Fault Master'!$C$5:$C$104,MATCH(G1049,'Fault Master'!$A$5:$A$104,0)),"")</f>
        <v/>
      </c>
      <c r="J1049" s="26"/>
      <c r="K1049" s="26"/>
      <c r="L1049" s="26"/>
      <c r="M1049" s="26"/>
      <c r="N1049" s="26"/>
      <c r="O1049" s="26"/>
      <c r="P1049" s="34"/>
    </row>
    <row r="1050" customFormat="false" ht="15" hidden="false" customHeight="true" outlineLevel="0" collapsed="false">
      <c r="A1050" s="18" t="n">
        <v>539</v>
      </c>
      <c r="B1050" s="25"/>
      <c r="C1050" s="26"/>
      <c r="D1050" s="26"/>
      <c r="E1050" s="26"/>
      <c r="F1050" s="24" t="str">
        <f aca="false">IFERROR(INDEX('Operator Master'!$B$5:$B$504,MATCH(E1050,'Operator Master'!$A$5:$A$504,0)),"")</f>
        <v/>
      </c>
      <c r="G1050" s="26"/>
      <c r="H1050" s="24" t="str">
        <f aca="false">IFERROR(INDEX('Fault Master'!$B$5:$B$104,MATCH(G1050,'Fault Master'!$A$5:$A$104,0)),"")</f>
        <v/>
      </c>
      <c r="I1050" s="24" t="str">
        <f aca="false">IFERROR(INDEX('Fault Master'!$C$5:$C$104,MATCH(G1050,'Fault Master'!$A$5:$A$104,0)),"")</f>
        <v/>
      </c>
      <c r="J1050" s="26"/>
      <c r="K1050" s="26"/>
      <c r="L1050" s="26"/>
      <c r="M1050" s="26"/>
      <c r="N1050" s="26"/>
      <c r="O1050" s="26"/>
      <c r="P1050" s="34"/>
    </row>
    <row r="1051" customFormat="false" ht="15" hidden="false" customHeight="true" outlineLevel="0" collapsed="false">
      <c r="A1051" s="18" t="n">
        <v>540</v>
      </c>
      <c r="B1051" s="25"/>
      <c r="C1051" s="26"/>
      <c r="D1051" s="26"/>
      <c r="E1051" s="26"/>
      <c r="F1051" s="24" t="str">
        <f aca="false">IFERROR(INDEX('Operator Master'!$B$5:$B$504,MATCH(E1051,'Operator Master'!$A$5:$A$504,0)),"")</f>
        <v/>
      </c>
      <c r="G1051" s="26"/>
      <c r="H1051" s="24" t="str">
        <f aca="false">IFERROR(INDEX('Fault Master'!$B$5:$B$104,MATCH(G1051,'Fault Master'!$A$5:$A$104,0)),"")</f>
        <v/>
      </c>
      <c r="I1051" s="24" t="str">
        <f aca="false">IFERROR(INDEX('Fault Master'!$C$5:$C$104,MATCH(G1051,'Fault Master'!$A$5:$A$104,0)),"")</f>
        <v/>
      </c>
      <c r="J1051" s="26"/>
      <c r="K1051" s="26"/>
      <c r="L1051" s="26"/>
      <c r="M1051" s="26"/>
      <c r="N1051" s="26"/>
      <c r="O1051" s="26"/>
      <c r="P1051" s="34"/>
    </row>
    <row r="1052" customFormat="false" ht="15" hidden="false" customHeight="true" outlineLevel="0" collapsed="false">
      <c r="A1052" s="18" t="n">
        <v>541</v>
      </c>
      <c r="B1052" s="25"/>
      <c r="C1052" s="26"/>
      <c r="D1052" s="26"/>
      <c r="E1052" s="26"/>
      <c r="F1052" s="24" t="str">
        <f aca="false">IFERROR(INDEX('Operator Master'!$B$5:$B$504,MATCH(E1052,'Operator Master'!$A$5:$A$504,0)),"")</f>
        <v/>
      </c>
      <c r="G1052" s="26"/>
      <c r="H1052" s="24" t="str">
        <f aca="false">IFERROR(INDEX('Fault Master'!$B$5:$B$104,MATCH(G1052,'Fault Master'!$A$5:$A$104,0)),"")</f>
        <v/>
      </c>
      <c r="I1052" s="24" t="str">
        <f aca="false">IFERROR(INDEX('Fault Master'!$C$5:$C$104,MATCH(G1052,'Fault Master'!$A$5:$A$104,0)),"")</f>
        <v/>
      </c>
      <c r="J1052" s="26"/>
      <c r="K1052" s="26"/>
      <c r="L1052" s="26"/>
      <c r="M1052" s="26"/>
      <c r="N1052" s="26"/>
      <c r="O1052" s="26"/>
      <c r="P1052" s="34"/>
    </row>
    <row r="1053" customFormat="false" ht="15" hidden="false" customHeight="true" outlineLevel="0" collapsed="false">
      <c r="A1053" s="18" t="n">
        <v>542</v>
      </c>
      <c r="B1053" s="25"/>
      <c r="C1053" s="26"/>
      <c r="D1053" s="26"/>
      <c r="E1053" s="26"/>
      <c r="F1053" s="24" t="str">
        <f aca="false">IFERROR(INDEX('Operator Master'!$B$5:$B$504,MATCH(E1053,'Operator Master'!$A$5:$A$504,0)),"")</f>
        <v/>
      </c>
      <c r="G1053" s="26"/>
      <c r="H1053" s="24" t="str">
        <f aca="false">IFERROR(INDEX('Fault Master'!$B$5:$B$104,MATCH(G1053,'Fault Master'!$A$5:$A$104,0)),"")</f>
        <v/>
      </c>
      <c r="I1053" s="24" t="str">
        <f aca="false">IFERROR(INDEX('Fault Master'!$C$5:$C$104,MATCH(G1053,'Fault Master'!$A$5:$A$104,0)),"")</f>
        <v/>
      </c>
      <c r="J1053" s="26"/>
      <c r="K1053" s="26"/>
      <c r="L1053" s="26"/>
      <c r="M1053" s="26"/>
      <c r="N1053" s="26"/>
      <c r="O1053" s="26"/>
      <c r="P1053" s="34"/>
    </row>
    <row r="1054" customFormat="false" ht="15" hidden="false" customHeight="true" outlineLevel="0" collapsed="false">
      <c r="A1054" s="18" t="n">
        <v>543</v>
      </c>
      <c r="B1054" s="25"/>
      <c r="C1054" s="26"/>
      <c r="D1054" s="26"/>
      <c r="E1054" s="26"/>
      <c r="F1054" s="24" t="str">
        <f aca="false">IFERROR(INDEX('Operator Master'!$B$5:$B$504,MATCH(E1054,'Operator Master'!$A$5:$A$504,0)),"")</f>
        <v/>
      </c>
      <c r="G1054" s="26"/>
      <c r="H1054" s="24" t="str">
        <f aca="false">IFERROR(INDEX('Fault Master'!$B$5:$B$104,MATCH(G1054,'Fault Master'!$A$5:$A$104,0)),"")</f>
        <v/>
      </c>
      <c r="I1054" s="24" t="str">
        <f aca="false">IFERROR(INDEX('Fault Master'!$C$5:$C$104,MATCH(G1054,'Fault Master'!$A$5:$A$104,0)),"")</f>
        <v/>
      </c>
      <c r="J1054" s="26"/>
      <c r="K1054" s="26"/>
      <c r="L1054" s="26"/>
      <c r="M1054" s="26"/>
      <c r="N1054" s="26"/>
      <c r="O1054" s="26"/>
      <c r="P1054" s="34"/>
    </row>
    <row r="1055" customFormat="false" ht="15" hidden="false" customHeight="true" outlineLevel="0" collapsed="false">
      <c r="A1055" s="18" t="n">
        <v>544</v>
      </c>
      <c r="B1055" s="25"/>
      <c r="C1055" s="26"/>
      <c r="D1055" s="26"/>
      <c r="E1055" s="26"/>
      <c r="F1055" s="24" t="str">
        <f aca="false">IFERROR(INDEX('Operator Master'!$B$5:$B$504,MATCH(E1055,'Operator Master'!$A$5:$A$504,0)),"")</f>
        <v/>
      </c>
      <c r="G1055" s="26"/>
      <c r="H1055" s="24" t="str">
        <f aca="false">IFERROR(INDEX('Fault Master'!$B$5:$B$104,MATCH(G1055,'Fault Master'!$A$5:$A$104,0)),"")</f>
        <v/>
      </c>
      <c r="I1055" s="24" t="str">
        <f aca="false">IFERROR(INDEX('Fault Master'!$C$5:$C$104,MATCH(G1055,'Fault Master'!$A$5:$A$104,0)),"")</f>
        <v/>
      </c>
      <c r="J1055" s="26"/>
      <c r="K1055" s="26"/>
      <c r="L1055" s="26"/>
      <c r="M1055" s="26"/>
      <c r="N1055" s="26"/>
      <c r="O1055" s="26"/>
      <c r="P1055" s="34"/>
    </row>
    <row r="1056" customFormat="false" ht="15" hidden="false" customHeight="true" outlineLevel="0" collapsed="false">
      <c r="A1056" s="18" t="n">
        <v>545</v>
      </c>
      <c r="B1056" s="25"/>
      <c r="C1056" s="26"/>
      <c r="D1056" s="26"/>
      <c r="E1056" s="26"/>
      <c r="F1056" s="24" t="str">
        <f aca="false">IFERROR(INDEX('Operator Master'!$B$5:$B$504,MATCH(E1056,'Operator Master'!$A$5:$A$504,0)),"")</f>
        <v/>
      </c>
      <c r="G1056" s="26"/>
      <c r="H1056" s="24" t="str">
        <f aca="false">IFERROR(INDEX('Fault Master'!$B$5:$B$104,MATCH(G1056,'Fault Master'!$A$5:$A$104,0)),"")</f>
        <v/>
      </c>
      <c r="I1056" s="24" t="str">
        <f aca="false">IFERROR(INDEX('Fault Master'!$C$5:$C$104,MATCH(G1056,'Fault Master'!$A$5:$A$104,0)),"")</f>
        <v/>
      </c>
      <c r="J1056" s="26"/>
      <c r="K1056" s="26"/>
      <c r="L1056" s="26"/>
      <c r="M1056" s="26"/>
      <c r="N1056" s="26"/>
      <c r="O1056" s="26"/>
      <c r="P1056" s="34"/>
    </row>
    <row r="1057" customFormat="false" ht="15" hidden="false" customHeight="true" outlineLevel="0" collapsed="false">
      <c r="A1057" s="18" t="n">
        <v>546</v>
      </c>
      <c r="B1057" s="25"/>
      <c r="C1057" s="26"/>
      <c r="D1057" s="26"/>
      <c r="E1057" s="26"/>
      <c r="F1057" s="24" t="str">
        <f aca="false">IFERROR(INDEX('Operator Master'!$B$5:$B$504,MATCH(E1057,'Operator Master'!$A$5:$A$504,0)),"")</f>
        <v/>
      </c>
      <c r="G1057" s="26"/>
      <c r="H1057" s="24" t="str">
        <f aca="false">IFERROR(INDEX('Fault Master'!$B$5:$B$104,MATCH(G1057,'Fault Master'!$A$5:$A$104,0)),"")</f>
        <v/>
      </c>
      <c r="I1057" s="24" t="str">
        <f aca="false">IFERROR(INDEX('Fault Master'!$C$5:$C$104,MATCH(G1057,'Fault Master'!$A$5:$A$104,0)),"")</f>
        <v/>
      </c>
      <c r="J1057" s="26"/>
      <c r="K1057" s="26"/>
      <c r="L1057" s="26"/>
      <c r="M1057" s="26"/>
      <c r="N1057" s="26"/>
      <c r="O1057" s="26"/>
      <c r="P1057" s="34"/>
    </row>
    <row r="1058" customFormat="false" ht="15" hidden="false" customHeight="true" outlineLevel="0" collapsed="false">
      <c r="A1058" s="18" t="n">
        <v>547</v>
      </c>
      <c r="B1058" s="25"/>
      <c r="C1058" s="26"/>
      <c r="D1058" s="26"/>
      <c r="E1058" s="26"/>
      <c r="F1058" s="24" t="str">
        <f aca="false">IFERROR(INDEX('Operator Master'!$B$5:$B$504,MATCH(E1058,'Operator Master'!$A$5:$A$504,0)),"")</f>
        <v/>
      </c>
      <c r="G1058" s="26"/>
      <c r="H1058" s="24" t="str">
        <f aca="false">IFERROR(INDEX('Fault Master'!$B$5:$B$104,MATCH(G1058,'Fault Master'!$A$5:$A$104,0)),"")</f>
        <v/>
      </c>
      <c r="I1058" s="24" t="str">
        <f aca="false">IFERROR(INDEX('Fault Master'!$C$5:$C$104,MATCH(G1058,'Fault Master'!$A$5:$A$104,0)),"")</f>
        <v/>
      </c>
      <c r="J1058" s="26"/>
      <c r="K1058" s="26"/>
      <c r="L1058" s="26"/>
      <c r="M1058" s="26"/>
      <c r="N1058" s="26"/>
      <c r="O1058" s="26"/>
      <c r="P1058" s="34"/>
    </row>
    <row r="1059" customFormat="false" ht="15" hidden="false" customHeight="true" outlineLevel="0" collapsed="false">
      <c r="A1059" s="18" t="n">
        <v>548</v>
      </c>
      <c r="B1059" s="25"/>
      <c r="C1059" s="26"/>
      <c r="D1059" s="26"/>
      <c r="E1059" s="26"/>
      <c r="F1059" s="24" t="str">
        <f aca="false">IFERROR(INDEX('Operator Master'!$B$5:$B$504,MATCH(E1059,'Operator Master'!$A$5:$A$504,0)),"")</f>
        <v/>
      </c>
      <c r="G1059" s="26"/>
      <c r="H1059" s="24" t="str">
        <f aca="false">IFERROR(INDEX('Fault Master'!$B$5:$B$104,MATCH(G1059,'Fault Master'!$A$5:$A$104,0)),"")</f>
        <v/>
      </c>
      <c r="I1059" s="24" t="str">
        <f aca="false">IFERROR(INDEX('Fault Master'!$C$5:$C$104,MATCH(G1059,'Fault Master'!$A$5:$A$104,0)),"")</f>
        <v/>
      </c>
      <c r="J1059" s="26"/>
      <c r="K1059" s="26"/>
      <c r="L1059" s="26"/>
      <c r="M1059" s="26"/>
      <c r="N1059" s="26"/>
      <c r="O1059" s="26"/>
      <c r="P1059" s="34"/>
    </row>
    <row r="1060" customFormat="false" ht="15" hidden="false" customHeight="true" outlineLevel="0" collapsed="false">
      <c r="A1060" s="18" t="n">
        <v>549</v>
      </c>
      <c r="B1060" s="25"/>
      <c r="C1060" s="26"/>
      <c r="D1060" s="26"/>
      <c r="E1060" s="26"/>
      <c r="F1060" s="24" t="str">
        <f aca="false">IFERROR(INDEX('Operator Master'!$B$5:$B$504,MATCH(E1060,'Operator Master'!$A$5:$A$504,0)),"")</f>
        <v/>
      </c>
      <c r="G1060" s="26"/>
      <c r="H1060" s="24" t="str">
        <f aca="false">IFERROR(INDEX('Fault Master'!$B$5:$B$104,MATCH(G1060,'Fault Master'!$A$5:$A$104,0)),"")</f>
        <v/>
      </c>
      <c r="I1060" s="24" t="str">
        <f aca="false">IFERROR(INDEX('Fault Master'!$C$5:$C$104,MATCH(G1060,'Fault Master'!$A$5:$A$104,0)),"")</f>
        <v/>
      </c>
      <c r="J1060" s="26"/>
      <c r="K1060" s="26"/>
      <c r="L1060" s="26"/>
      <c r="M1060" s="26"/>
      <c r="N1060" s="26"/>
      <c r="O1060" s="26"/>
      <c r="P1060" s="34"/>
    </row>
    <row r="1061" customFormat="false" ht="15" hidden="false" customHeight="true" outlineLevel="0" collapsed="false">
      <c r="A1061" s="18" t="n">
        <v>550</v>
      </c>
      <c r="B1061" s="25"/>
      <c r="C1061" s="26"/>
      <c r="D1061" s="26"/>
      <c r="E1061" s="26"/>
      <c r="F1061" s="24" t="str">
        <f aca="false">IFERROR(INDEX('Operator Master'!$B$5:$B$504,MATCH(E1061,'Operator Master'!$A$5:$A$504,0)),"")</f>
        <v/>
      </c>
      <c r="G1061" s="26"/>
      <c r="H1061" s="24" t="str">
        <f aca="false">IFERROR(INDEX('Fault Master'!$B$5:$B$104,MATCH(G1061,'Fault Master'!$A$5:$A$104,0)),"")</f>
        <v/>
      </c>
      <c r="I1061" s="24" t="str">
        <f aca="false">IFERROR(INDEX('Fault Master'!$C$5:$C$104,MATCH(G1061,'Fault Master'!$A$5:$A$104,0)),"")</f>
        <v/>
      </c>
      <c r="J1061" s="26"/>
      <c r="K1061" s="26"/>
      <c r="L1061" s="26"/>
      <c r="M1061" s="26"/>
      <c r="N1061" s="26"/>
      <c r="O1061" s="26"/>
      <c r="P1061" s="34"/>
    </row>
    <row r="1062" customFormat="false" ht="15" hidden="false" customHeight="true" outlineLevel="0" collapsed="false">
      <c r="A1062" s="18" t="n">
        <v>551</v>
      </c>
      <c r="B1062" s="25"/>
      <c r="C1062" s="26"/>
      <c r="D1062" s="26"/>
      <c r="E1062" s="26"/>
      <c r="F1062" s="24" t="str">
        <f aca="false">IFERROR(INDEX('Operator Master'!$B$5:$B$504,MATCH(E1062,'Operator Master'!$A$5:$A$504,0)),"")</f>
        <v/>
      </c>
      <c r="G1062" s="26"/>
      <c r="H1062" s="24" t="str">
        <f aca="false">IFERROR(INDEX('Fault Master'!$B$5:$B$104,MATCH(G1062,'Fault Master'!$A$5:$A$104,0)),"")</f>
        <v/>
      </c>
      <c r="I1062" s="24" t="str">
        <f aca="false">IFERROR(INDEX('Fault Master'!$C$5:$C$104,MATCH(G1062,'Fault Master'!$A$5:$A$104,0)),"")</f>
        <v/>
      </c>
      <c r="J1062" s="26"/>
      <c r="K1062" s="26"/>
      <c r="L1062" s="26"/>
      <c r="M1062" s="26"/>
      <c r="N1062" s="26"/>
      <c r="O1062" s="26"/>
      <c r="P1062" s="34"/>
    </row>
    <row r="1063" customFormat="false" ht="15" hidden="false" customHeight="true" outlineLevel="0" collapsed="false">
      <c r="A1063" s="18" t="n">
        <v>552</v>
      </c>
      <c r="B1063" s="25"/>
      <c r="C1063" s="26"/>
      <c r="D1063" s="26"/>
      <c r="E1063" s="26"/>
      <c r="F1063" s="24" t="str">
        <f aca="false">IFERROR(INDEX('Operator Master'!$B$5:$B$504,MATCH(E1063,'Operator Master'!$A$5:$A$504,0)),"")</f>
        <v/>
      </c>
      <c r="G1063" s="26"/>
      <c r="H1063" s="24" t="str">
        <f aca="false">IFERROR(INDEX('Fault Master'!$B$5:$B$104,MATCH(G1063,'Fault Master'!$A$5:$A$104,0)),"")</f>
        <v/>
      </c>
      <c r="I1063" s="24" t="str">
        <f aca="false">IFERROR(INDEX('Fault Master'!$C$5:$C$104,MATCH(G1063,'Fault Master'!$A$5:$A$104,0)),"")</f>
        <v/>
      </c>
      <c r="J1063" s="26"/>
      <c r="K1063" s="26"/>
      <c r="L1063" s="26"/>
      <c r="M1063" s="26"/>
      <c r="N1063" s="26"/>
      <c r="O1063" s="26"/>
      <c r="P1063" s="34"/>
    </row>
    <row r="1064" customFormat="false" ht="15" hidden="false" customHeight="true" outlineLevel="0" collapsed="false">
      <c r="A1064" s="18" t="n">
        <v>553</v>
      </c>
      <c r="B1064" s="25"/>
      <c r="C1064" s="26"/>
      <c r="D1064" s="26"/>
      <c r="E1064" s="26"/>
      <c r="F1064" s="24" t="str">
        <f aca="false">IFERROR(INDEX('Operator Master'!$B$5:$B$504,MATCH(E1064,'Operator Master'!$A$5:$A$504,0)),"")</f>
        <v/>
      </c>
      <c r="G1064" s="26"/>
      <c r="H1064" s="24" t="str">
        <f aca="false">IFERROR(INDEX('Fault Master'!$B$5:$B$104,MATCH(G1064,'Fault Master'!$A$5:$A$104,0)),"")</f>
        <v/>
      </c>
      <c r="I1064" s="24" t="str">
        <f aca="false">IFERROR(INDEX('Fault Master'!$C$5:$C$104,MATCH(G1064,'Fault Master'!$A$5:$A$104,0)),"")</f>
        <v/>
      </c>
      <c r="J1064" s="26"/>
      <c r="K1064" s="26"/>
      <c r="L1064" s="26"/>
      <c r="M1064" s="26"/>
      <c r="N1064" s="26"/>
      <c r="O1064" s="26"/>
      <c r="P1064" s="34"/>
    </row>
    <row r="1065" customFormat="false" ht="15" hidden="false" customHeight="true" outlineLevel="0" collapsed="false">
      <c r="A1065" s="18" t="n">
        <v>554</v>
      </c>
      <c r="B1065" s="25"/>
      <c r="C1065" s="26"/>
      <c r="D1065" s="26"/>
      <c r="E1065" s="26"/>
      <c r="F1065" s="24" t="str">
        <f aca="false">IFERROR(INDEX('Operator Master'!$B$5:$B$504,MATCH(E1065,'Operator Master'!$A$5:$A$504,0)),"")</f>
        <v/>
      </c>
      <c r="G1065" s="26"/>
      <c r="H1065" s="24" t="str">
        <f aca="false">IFERROR(INDEX('Fault Master'!$B$5:$B$104,MATCH(G1065,'Fault Master'!$A$5:$A$104,0)),"")</f>
        <v/>
      </c>
      <c r="I1065" s="24" t="str">
        <f aca="false">IFERROR(INDEX('Fault Master'!$C$5:$C$104,MATCH(G1065,'Fault Master'!$A$5:$A$104,0)),"")</f>
        <v/>
      </c>
      <c r="J1065" s="26"/>
      <c r="K1065" s="26"/>
      <c r="L1065" s="26"/>
      <c r="M1065" s="26"/>
      <c r="N1065" s="26"/>
      <c r="O1065" s="26"/>
      <c r="P1065" s="34"/>
    </row>
    <row r="1066" customFormat="false" ht="15" hidden="false" customHeight="true" outlineLevel="0" collapsed="false">
      <c r="A1066" s="18" t="n">
        <v>555</v>
      </c>
      <c r="B1066" s="25"/>
      <c r="C1066" s="26"/>
      <c r="D1066" s="26"/>
      <c r="E1066" s="26"/>
      <c r="F1066" s="24" t="str">
        <f aca="false">IFERROR(INDEX('Operator Master'!$B$5:$B$504,MATCH(E1066,'Operator Master'!$A$5:$A$504,0)),"")</f>
        <v/>
      </c>
      <c r="G1066" s="26"/>
      <c r="H1066" s="24" t="str">
        <f aca="false">IFERROR(INDEX('Fault Master'!$B$5:$B$104,MATCH(G1066,'Fault Master'!$A$5:$A$104,0)),"")</f>
        <v/>
      </c>
      <c r="I1066" s="24" t="str">
        <f aca="false">IFERROR(INDEX('Fault Master'!$C$5:$C$104,MATCH(G1066,'Fault Master'!$A$5:$A$104,0)),"")</f>
        <v/>
      </c>
      <c r="J1066" s="26"/>
      <c r="K1066" s="26"/>
      <c r="L1066" s="26"/>
      <c r="M1066" s="26"/>
      <c r="N1066" s="26"/>
      <c r="O1066" s="26"/>
      <c r="P1066" s="34"/>
    </row>
    <row r="1067" customFormat="false" ht="15" hidden="false" customHeight="true" outlineLevel="0" collapsed="false">
      <c r="A1067" s="18" t="n">
        <v>556</v>
      </c>
      <c r="B1067" s="25"/>
      <c r="C1067" s="26"/>
      <c r="D1067" s="26"/>
      <c r="E1067" s="26"/>
      <c r="F1067" s="24" t="str">
        <f aca="false">IFERROR(INDEX('Operator Master'!$B$5:$B$504,MATCH(E1067,'Operator Master'!$A$5:$A$504,0)),"")</f>
        <v/>
      </c>
      <c r="G1067" s="26"/>
      <c r="H1067" s="24" t="str">
        <f aca="false">IFERROR(INDEX('Fault Master'!$B$5:$B$104,MATCH(G1067,'Fault Master'!$A$5:$A$104,0)),"")</f>
        <v/>
      </c>
      <c r="I1067" s="24" t="str">
        <f aca="false">IFERROR(INDEX('Fault Master'!$C$5:$C$104,MATCH(G1067,'Fault Master'!$A$5:$A$104,0)),"")</f>
        <v/>
      </c>
      <c r="J1067" s="26"/>
      <c r="K1067" s="26"/>
      <c r="L1067" s="26"/>
      <c r="M1067" s="26"/>
      <c r="N1067" s="26"/>
      <c r="O1067" s="26"/>
      <c r="P1067" s="34"/>
    </row>
    <row r="1068" customFormat="false" ht="15" hidden="false" customHeight="true" outlineLevel="0" collapsed="false">
      <c r="A1068" s="18" t="n">
        <v>557</v>
      </c>
      <c r="B1068" s="25"/>
      <c r="C1068" s="26"/>
      <c r="D1068" s="26"/>
      <c r="E1068" s="26"/>
      <c r="F1068" s="24" t="str">
        <f aca="false">IFERROR(INDEX('Operator Master'!$B$5:$B$504,MATCH(E1068,'Operator Master'!$A$5:$A$504,0)),"")</f>
        <v/>
      </c>
      <c r="G1068" s="26"/>
      <c r="H1068" s="24" t="str">
        <f aca="false">IFERROR(INDEX('Fault Master'!$B$5:$B$104,MATCH(G1068,'Fault Master'!$A$5:$A$104,0)),"")</f>
        <v/>
      </c>
      <c r="I1068" s="24" t="str">
        <f aca="false">IFERROR(INDEX('Fault Master'!$C$5:$C$104,MATCH(G1068,'Fault Master'!$A$5:$A$104,0)),"")</f>
        <v/>
      </c>
      <c r="J1068" s="26"/>
      <c r="K1068" s="26"/>
      <c r="L1068" s="26"/>
      <c r="M1068" s="26"/>
      <c r="N1068" s="26"/>
      <c r="O1068" s="26"/>
      <c r="P1068" s="34"/>
    </row>
    <row r="1069" customFormat="false" ht="15" hidden="false" customHeight="true" outlineLevel="0" collapsed="false">
      <c r="A1069" s="18" t="n">
        <v>558</v>
      </c>
      <c r="B1069" s="25"/>
      <c r="C1069" s="26"/>
      <c r="D1069" s="26"/>
      <c r="E1069" s="26"/>
      <c r="F1069" s="24" t="str">
        <f aca="false">IFERROR(INDEX('Operator Master'!$B$5:$B$504,MATCH(E1069,'Operator Master'!$A$5:$A$504,0)),"")</f>
        <v/>
      </c>
      <c r="G1069" s="26"/>
      <c r="H1069" s="24" t="str">
        <f aca="false">IFERROR(INDEX('Fault Master'!$B$5:$B$104,MATCH(G1069,'Fault Master'!$A$5:$A$104,0)),"")</f>
        <v/>
      </c>
      <c r="I1069" s="24" t="str">
        <f aca="false">IFERROR(INDEX('Fault Master'!$C$5:$C$104,MATCH(G1069,'Fault Master'!$A$5:$A$104,0)),"")</f>
        <v/>
      </c>
      <c r="J1069" s="26"/>
      <c r="K1069" s="26"/>
      <c r="L1069" s="26"/>
      <c r="M1069" s="26"/>
      <c r="N1069" s="26"/>
      <c r="O1069" s="26"/>
      <c r="P1069" s="34"/>
    </row>
    <row r="1070" customFormat="false" ht="15" hidden="false" customHeight="true" outlineLevel="0" collapsed="false">
      <c r="A1070" s="18" t="n">
        <v>559</v>
      </c>
      <c r="B1070" s="25"/>
      <c r="C1070" s="26"/>
      <c r="D1070" s="26"/>
      <c r="E1070" s="26"/>
      <c r="F1070" s="24" t="str">
        <f aca="false">IFERROR(INDEX('Operator Master'!$B$5:$B$504,MATCH(E1070,'Operator Master'!$A$5:$A$504,0)),"")</f>
        <v/>
      </c>
      <c r="G1070" s="26"/>
      <c r="H1070" s="24" t="str">
        <f aca="false">IFERROR(INDEX('Fault Master'!$B$5:$B$104,MATCH(G1070,'Fault Master'!$A$5:$A$104,0)),"")</f>
        <v/>
      </c>
      <c r="I1070" s="24" t="str">
        <f aca="false">IFERROR(INDEX('Fault Master'!$C$5:$C$104,MATCH(G1070,'Fault Master'!$A$5:$A$104,0)),"")</f>
        <v/>
      </c>
      <c r="J1070" s="26"/>
      <c r="K1070" s="26"/>
      <c r="L1070" s="26"/>
      <c r="M1070" s="26"/>
      <c r="N1070" s="26"/>
      <c r="O1070" s="26"/>
      <c r="P1070" s="34"/>
    </row>
    <row r="1071" customFormat="false" ht="15" hidden="false" customHeight="true" outlineLevel="0" collapsed="false">
      <c r="A1071" s="18" t="n">
        <v>560</v>
      </c>
      <c r="B1071" s="25"/>
      <c r="C1071" s="26"/>
      <c r="D1071" s="26"/>
      <c r="E1071" s="26"/>
      <c r="F1071" s="24" t="str">
        <f aca="false">IFERROR(INDEX('Operator Master'!$B$5:$B$504,MATCH(E1071,'Operator Master'!$A$5:$A$504,0)),"")</f>
        <v/>
      </c>
      <c r="G1071" s="26"/>
      <c r="H1071" s="24" t="str">
        <f aca="false">IFERROR(INDEX('Fault Master'!$B$5:$B$104,MATCH(G1071,'Fault Master'!$A$5:$A$104,0)),"")</f>
        <v/>
      </c>
      <c r="I1071" s="24" t="str">
        <f aca="false">IFERROR(INDEX('Fault Master'!$C$5:$C$104,MATCH(G1071,'Fault Master'!$A$5:$A$104,0)),"")</f>
        <v/>
      </c>
      <c r="J1071" s="26"/>
      <c r="K1071" s="26"/>
      <c r="L1071" s="26"/>
      <c r="M1071" s="26"/>
      <c r="N1071" s="26"/>
      <c r="O1071" s="26"/>
      <c r="P1071" s="34"/>
    </row>
    <row r="1072" customFormat="false" ht="15" hidden="false" customHeight="true" outlineLevel="0" collapsed="false">
      <c r="A1072" s="18" t="n">
        <v>561</v>
      </c>
      <c r="B1072" s="25"/>
      <c r="C1072" s="26"/>
      <c r="D1072" s="26"/>
      <c r="E1072" s="26"/>
      <c r="F1072" s="24" t="str">
        <f aca="false">IFERROR(INDEX('Operator Master'!$B$5:$B$504,MATCH(E1072,'Operator Master'!$A$5:$A$504,0)),"")</f>
        <v/>
      </c>
      <c r="G1072" s="26"/>
      <c r="H1072" s="24" t="str">
        <f aca="false">IFERROR(INDEX('Fault Master'!$B$5:$B$104,MATCH(G1072,'Fault Master'!$A$5:$A$104,0)),"")</f>
        <v/>
      </c>
      <c r="I1072" s="24" t="str">
        <f aca="false">IFERROR(INDEX('Fault Master'!$C$5:$C$104,MATCH(G1072,'Fault Master'!$A$5:$A$104,0)),"")</f>
        <v/>
      </c>
      <c r="J1072" s="26"/>
      <c r="K1072" s="26"/>
      <c r="L1072" s="26"/>
      <c r="M1072" s="26"/>
      <c r="N1072" s="26"/>
      <c r="O1072" s="26"/>
      <c r="P1072" s="34"/>
    </row>
    <row r="1073" customFormat="false" ht="15" hidden="false" customHeight="true" outlineLevel="0" collapsed="false">
      <c r="A1073" s="18" t="n">
        <v>562</v>
      </c>
      <c r="B1073" s="25"/>
      <c r="C1073" s="26"/>
      <c r="D1073" s="26"/>
      <c r="E1073" s="26"/>
      <c r="F1073" s="24" t="str">
        <f aca="false">IFERROR(INDEX('Operator Master'!$B$5:$B$504,MATCH(E1073,'Operator Master'!$A$5:$A$504,0)),"")</f>
        <v/>
      </c>
      <c r="G1073" s="26"/>
      <c r="H1073" s="24" t="str">
        <f aca="false">IFERROR(INDEX('Fault Master'!$B$5:$B$104,MATCH(G1073,'Fault Master'!$A$5:$A$104,0)),"")</f>
        <v/>
      </c>
      <c r="I1073" s="24" t="str">
        <f aca="false">IFERROR(INDEX('Fault Master'!$C$5:$C$104,MATCH(G1073,'Fault Master'!$A$5:$A$104,0)),"")</f>
        <v/>
      </c>
      <c r="J1073" s="26"/>
      <c r="K1073" s="26"/>
      <c r="L1073" s="26"/>
      <c r="M1073" s="26"/>
      <c r="N1073" s="26"/>
      <c r="O1073" s="26"/>
      <c r="P1073" s="34"/>
    </row>
    <row r="1074" customFormat="false" ht="15" hidden="false" customHeight="true" outlineLevel="0" collapsed="false">
      <c r="A1074" s="18" t="n">
        <v>563</v>
      </c>
      <c r="B1074" s="25"/>
      <c r="C1074" s="26"/>
      <c r="D1074" s="26"/>
      <c r="E1074" s="26"/>
      <c r="F1074" s="24" t="str">
        <f aca="false">IFERROR(INDEX('Operator Master'!$B$5:$B$504,MATCH(E1074,'Operator Master'!$A$5:$A$504,0)),"")</f>
        <v/>
      </c>
      <c r="G1074" s="26"/>
      <c r="H1074" s="24" t="str">
        <f aca="false">IFERROR(INDEX('Fault Master'!$B$5:$B$104,MATCH(G1074,'Fault Master'!$A$5:$A$104,0)),"")</f>
        <v/>
      </c>
      <c r="I1074" s="24" t="str">
        <f aca="false">IFERROR(INDEX('Fault Master'!$C$5:$C$104,MATCH(G1074,'Fault Master'!$A$5:$A$104,0)),"")</f>
        <v/>
      </c>
      <c r="J1074" s="26"/>
      <c r="K1074" s="26"/>
      <c r="L1074" s="26"/>
      <c r="M1074" s="26"/>
      <c r="N1074" s="26"/>
      <c r="O1074" s="26"/>
      <c r="P1074" s="34"/>
    </row>
    <row r="1075" customFormat="false" ht="15" hidden="false" customHeight="true" outlineLevel="0" collapsed="false">
      <c r="A1075" s="18" t="n">
        <v>564</v>
      </c>
      <c r="B1075" s="25"/>
      <c r="C1075" s="26"/>
      <c r="D1075" s="26"/>
      <c r="E1075" s="26"/>
      <c r="F1075" s="24" t="str">
        <f aca="false">IFERROR(INDEX('Operator Master'!$B$5:$B$504,MATCH(E1075,'Operator Master'!$A$5:$A$504,0)),"")</f>
        <v/>
      </c>
      <c r="G1075" s="26"/>
      <c r="H1075" s="24" t="str">
        <f aca="false">IFERROR(INDEX('Fault Master'!$B$5:$B$104,MATCH(G1075,'Fault Master'!$A$5:$A$104,0)),"")</f>
        <v/>
      </c>
      <c r="I1075" s="24" t="str">
        <f aca="false">IFERROR(INDEX('Fault Master'!$C$5:$C$104,MATCH(G1075,'Fault Master'!$A$5:$A$104,0)),"")</f>
        <v/>
      </c>
      <c r="J1075" s="26"/>
      <c r="K1075" s="26"/>
      <c r="L1075" s="26"/>
      <c r="M1075" s="26"/>
      <c r="N1075" s="26"/>
      <c r="O1075" s="26"/>
      <c r="P1075" s="34"/>
    </row>
    <row r="1076" customFormat="false" ht="15" hidden="false" customHeight="true" outlineLevel="0" collapsed="false">
      <c r="A1076" s="18" t="n">
        <v>565</v>
      </c>
      <c r="B1076" s="25"/>
      <c r="C1076" s="26"/>
      <c r="D1076" s="26"/>
      <c r="E1076" s="26"/>
      <c r="F1076" s="24" t="str">
        <f aca="false">IFERROR(INDEX('Operator Master'!$B$5:$B$504,MATCH(E1076,'Operator Master'!$A$5:$A$504,0)),"")</f>
        <v/>
      </c>
      <c r="G1076" s="26"/>
      <c r="H1076" s="24" t="str">
        <f aca="false">IFERROR(INDEX('Fault Master'!$B$5:$B$104,MATCH(G1076,'Fault Master'!$A$5:$A$104,0)),"")</f>
        <v/>
      </c>
      <c r="I1076" s="24" t="str">
        <f aca="false">IFERROR(INDEX('Fault Master'!$C$5:$C$104,MATCH(G1076,'Fault Master'!$A$5:$A$104,0)),"")</f>
        <v/>
      </c>
      <c r="J1076" s="26"/>
      <c r="K1076" s="26"/>
      <c r="L1076" s="26"/>
      <c r="M1076" s="26"/>
      <c r="N1076" s="26"/>
      <c r="O1076" s="26"/>
      <c r="P1076" s="34"/>
    </row>
    <row r="1077" customFormat="false" ht="15" hidden="false" customHeight="true" outlineLevel="0" collapsed="false">
      <c r="A1077" s="18" t="n">
        <v>566</v>
      </c>
      <c r="B1077" s="25"/>
      <c r="C1077" s="26"/>
      <c r="D1077" s="26"/>
      <c r="E1077" s="26"/>
      <c r="F1077" s="24" t="str">
        <f aca="false">IFERROR(INDEX('Operator Master'!$B$5:$B$504,MATCH(E1077,'Operator Master'!$A$5:$A$504,0)),"")</f>
        <v/>
      </c>
      <c r="G1077" s="26"/>
      <c r="H1077" s="24" t="str">
        <f aca="false">IFERROR(INDEX('Fault Master'!$B$5:$B$104,MATCH(G1077,'Fault Master'!$A$5:$A$104,0)),"")</f>
        <v/>
      </c>
      <c r="I1077" s="24" t="str">
        <f aca="false">IFERROR(INDEX('Fault Master'!$C$5:$C$104,MATCH(G1077,'Fault Master'!$A$5:$A$104,0)),"")</f>
        <v/>
      </c>
      <c r="J1077" s="26"/>
      <c r="K1077" s="26"/>
      <c r="L1077" s="26"/>
      <c r="M1077" s="26"/>
      <c r="N1077" s="26"/>
      <c r="O1077" s="26"/>
      <c r="P1077" s="34"/>
    </row>
    <row r="1078" customFormat="false" ht="15" hidden="false" customHeight="true" outlineLevel="0" collapsed="false">
      <c r="A1078" s="18" t="n">
        <v>567</v>
      </c>
      <c r="B1078" s="25"/>
      <c r="C1078" s="26"/>
      <c r="D1078" s="26"/>
      <c r="E1078" s="26"/>
      <c r="F1078" s="24" t="str">
        <f aca="false">IFERROR(INDEX('Operator Master'!$B$5:$B$504,MATCH(E1078,'Operator Master'!$A$5:$A$504,0)),"")</f>
        <v/>
      </c>
      <c r="G1078" s="26"/>
      <c r="H1078" s="24" t="str">
        <f aca="false">IFERROR(INDEX('Fault Master'!$B$5:$B$104,MATCH(G1078,'Fault Master'!$A$5:$A$104,0)),"")</f>
        <v/>
      </c>
      <c r="I1078" s="24" t="str">
        <f aca="false">IFERROR(INDEX('Fault Master'!$C$5:$C$104,MATCH(G1078,'Fault Master'!$A$5:$A$104,0)),"")</f>
        <v/>
      </c>
      <c r="J1078" s="26"/>
      <c r="K1078" s="26"/>
      <c r="L1078" s="26"/>
      <c r="M1078" s="26"/>
      <c r="N1078" s="26"/>
      <c r="O1078" s="26"/>
      <c r="P1078" s="34"/>
    </row>
    <row r="1079" customFormat="false" ht="15" hidden="false" customHeight="true" outlineLevel="0" collapsed="false">
      <c r="A1079" s="18" t="n">
        <v>568</v>
      </c>
      <c r="B1079" s="25"/>
      <c r="C1079" s="26"/>
      <c r="D1079" s="26"/>
      <c r="E1079" s="26"/>
      <c r="F1079" s="24" t="str">
        <f aca="false">IFERROR(INDEX('Operator Master'!$B$5:$B$504,MATCH(E1079,'Operator Master'!$A$5:$A$504,0)),"")</f>
        <v/>
      </c>
      <c r="G1079" s="26"/>
      <c r="H1079" s="24" t="str">
        <f aca="false">IFERROR(INDEX('Fault Master'!$B$5:$B$104,MATCH(G1079,'Fault Master'!$A$5:$A$104,0)),"")</f>
        <v/>
      </c>
      <c r="I1079" s="24" t="str">
        <f aca="false">IFERROR(INDEX('Fault Master'!$C$5:$C$104,MATCH(G1079,'Fault Master'!$A$5:$A$104,0)),"")</f>
        <v/>
      </c>
      <c r="J1079" s="26"/>
      <c r="K1079" s="26"/>
      <c r="L1079" s="26"/>
      <c r="M1079" s="26"/>
      <c r="N1079" s="26"/>
      <c r="O1079" s="26"/>
      <c r="P1079" s="34"/>
    </row>
    <row r="1080" customFormat="false" ht="15" hidden="false" customHeight="true" outlineLevel="0" collapsed="false">
      <c r="A1080" s="18" t="n">
        <v>569</v>
      </c>
      <c r="B1080" s="25"/>
      <c r="C1080" s="26"/>
      <c r="D1080" s="26"/>
      <c r="E1080" s="26"/>
      <c r="F1080" s="24" t="str">
        <f aca="false">IFERROR(INDEX('Operator Master'!$B$5:$B$504,MATCH(E1080,'Operator Master'!$A$5:$A$504,0)),"")</f>
        <v/>
      </c>
      <c r="G1080" s="26"/>
      <c r="H1080" s="24" t="str">
        <f aca="false">IFERROR(INDEX('Fault Master'!$B$5:$B$104,MATCH(G1080,'Fault Master'!$A$5:$A$104,0)),"")</f>
        <v/>
      </c>
      <c r="I1080" s="24" t="str">
        <f aca="false">IFERROR(INDEX('Fault Master'!$C$5:$C$104,MATCH(G1080,'Fault Master'!$A$5:$A$104,0)),"")</f>
        <v/>
      </c>
      <c r="J1080" s="26"/>
      <c r="K1080" s="26"/>
      <c r="L1080" s="26"/>
      <c r="M1080" s="26"/>
      <c r="N1080" s="26"/>
      <c r="O1080" s="26"/>
      <c r="P1080" s="34"/>
    </row>
    <row r="1081" customFormat="false" ht="15" hidden="false" customHeight="true" outlineLevel="0" collapsed="false">
      <c r="A1081" s="18" t="n">
        <v>570</v>
      </c>
      <c r="B1081" s="25"/>
      <c r="C1081" s="26"/>
      <c r="D1081" s="26"/>
      <c r="E1081" s="26"/>
      <c r="F1081" s="24" t="str">
        <f aca="false">IFERROR(INDEX('Operator Master'!$B$5:$B$504,MATCH(E1081,'Operator Master'!$A$5:$A$504,0)),"")</f>
        <v/>
      </c>
      <c r="G1081" s="26"/>
      <c r="H1081" s="24" t="str">
        <f aca="false">IFERROR(INDEX('Fault Master'!$B$5:$B$104,MATCH(G1081,'Fault Master'!$A$5:$A$104,0)),"")</f>
        <v/>
      </c>
      <c r="I1081" s="24" t="str">
        <f aca="false">IFERROR(INDEX('Fault Master'!$C$5:$C$104,MATCH(G1081,'Fault Master'!$A$5:$A$104,0)),"")</f>
        <v/>
      </c>
      <c r="J1081" s="26"/>
      <c r="K1081" s="26"/>
      <c r="L1081" s="26"/>
      <c r="M1081" s="26"/>
      <c r="N1081" s="26"/>
      <c r="O1081" s="26"/>
      <c r="P1081" s="34"/>
    </row>
    <row r="1082" customFormat="false" ht="15" hidden="false" customHeight="true" outlineLevel="0" collapsed="false">
      <c r="A1082" s="18" t="n">
        <v>571</v>
      </c>
      <c r="B1082" s="25"/>
      <c r="C1082" s="26"/>
      <c r="D1082" s="26"/>
      <c r="E1082" s="26"/>
      <c r="F1082" s="24" t="str">
        <f aca="false">IFERROR(INDEX('Operator Master'!$B$5:$B$504,MATCH(E1082,'Operator Master'!$A$5:$A$504,0)),"")</f>
        <v/>
      </c>
      <c r="G1082" s="26"/>
      <c r="H1082" s="24" t="str">
        <f aca="false">IFERROR(INDEX('Fault Master'!$B$5:$B$104,MATCH(G1082,'Fault Master'!$A$5:$A$104,0)),"")</f>
        <v/>
      </c>
      <c r="I1082" s="24" t="str">
        <f aca="false">IFERROR(INDEX('Fault Master'!$C$5:$C$104,MATCH(G1082,'Fault Master'!$A$5:$A$104,0)),"")</f>
        <v/>
      </c>
      <c r="J1082" s="26"/>
      <c r="K1082" s="26"/>
      <c r="L1082" s="26"/>
      <c r="M1082" s="26"/>
      <c r="N1082" s="26"/>
      <c r="O1082" s="26"/>
      <c r="P1082" s="34"/>
    </row>
    <row r="1083" customFormat="false" ht="15" hidden="false" customHeight="true" outlineLevel="0" collapsed="false">
      <c r="A1083" s="18" t="n">
        <v>572</v>
      </c>
      <c r="B1083" s="25"/>
      <c r="C1083" s="26"/>
      <c r="D1083" s="26"/>
      <c r="E1083" s="26"/>
      <c r="F1083" s="24" t="str">
        <f aca="false">IFERROR(INDEX('Operator Master'!$B$5:$B$504,MATCH(E1083,'Operator Master'!$A$5:$A$504,0)),"")</f>
        <v/>
      </c>
      <c r="G1083" s="26"/>
      <c r="H1083" s="24" t="str">
        <f aca="false">IFERROR(INDEX('Fault Master'!$B$5:$B$104,MATCH(G1083,'Fault Master'!$A$5:$A$104,0)),"")</f>
        <v/>
      </c>
      <c r="I1083" s="24" t="str">
        <f aca="false">IFERROR(INDEX('Fault Master'!$C$5:$C$104,MATCH(G1083,'Fault Master'!$A$5:$A$104,0)),"")</f>
        <v/>
      </c>
      <c r="J1083" s="26"/>
      <c r="K1083" s="26"/>
      <c r="L1083" s="26"/>
      <c r="M1083" s="26"/>
      <c r="N1083" s="26"/>
      <c r="O1083" s="26"/>
      <c r="P1083" s="34"/>
    </row>
    <row r="1084" customFormat="false" ht="15" hidden="false" customHeight="true" outlineLevel="0" collapsed="false">
      <c r="A1084" s="18" t="n">
        <v>573</v>
      </c>
      <c r="B1084" s="25"/>
      <c r="C1084" s="26"/>
      <c r="D1084" s="26"/>
      <c r="E1084" s="26"/>
      <c r="F1084" s="24" t="str">
        <f aca="false">IFERROR(INDEX('Operator Master'!$B$5:$B$504,MATCH(E1084,'Operator Master'!$A$5:$A$504,0)),"")</f>
        <v/>
      </c>
      <c r="G1084" s="26"/>
      <c r="H1084" s="24" t="str">
        <f aca="false">IFERROR(INDEX('Fault Master'!$B$5:$B$104,MATCH(G1084,'Fault Master'!$A$5:$A$104,0)),"")</f>
        <v/>
      </c>
      <c r="I1084" s="24" t="str">
        <f aca="false">IFERROR(INDEX('Fault Master'!$C$5:$C$104,MATCH(G1084,'Fault Master'!$A$5:$A$104,0)),"")</f>
        <v/>
      </c>
      <c r="J1084" s="26"/>
      <c r="K1084" s="26"/>
      <c r="L1084" s="26"/>
      <c r="M1084" s="26"/>
      <c r="N1084" s="26"/>
      <c r="O1084" s="26"/>
      <c r="P1084" s="34"/>
    </row>
    <row r="1085" customFormat="false" ht="15" hidden="false" customHeight="true" outlineLevel="0" collapsed="false">
      <c r="A1085" s="18" t="n">
        <v>574</v>
      </c>
      <c r="B1085" s="25"/>
      <c r="C1085" s="26"/>
      <c r="D1085" s="26"/>
      <c r="E1085" s="26"/>
      <c r="F1085" s="24" t="str">
        <f aca="false">IFERROR(INDEX('Operator Master'!$B$5:$B$504,MATCH(E1085,'Operator Master'!$A$5:$A$504,0)),"")</f>
        <v/>
      </c>
      <c r="G1085" s="26"/>
      <c r="H1085" s="24" t="str">
        <f aca="false">IFERROR(INDEX('Fault Master'!$B$5:$B$104,MATCH(G1085,'Fault Master'!$A$5:$A$104,0)),"")</f>
        <v/>
      </c>
      <c r="I1085" s="24" t="str">
        <f aca="false">IFERROR(INDEX('Fault Master'!$C$5:$C$104,MATCH(G1085,'Fault Master'!$A$5:$A$104,0)),"")</f>
        <v/>
      </c>
      <c r="J1085" s="26"/>
      <c r="K1085" s="26"/>
      <c r="L1085" s="26"/>
      <c r="M1085" s="26"/>
      <c r="N1085" s="26"/>
      <c r="O1085" s="26"/>
      <c r="P1085" s="34"/>
    </row>
    <row r="1086" customFormat="false" ht="15" hidden="false" customHeight="true" outlineLevel="0" collapsed="false">
      <c r="A1086" s="18" t="n">
        <v>575</v>
      </c>
      <c r="B1086" s="25"/>
      <c r="C1086" s="26"/>
      <c r="D1086" s="26"/>
      <c r="E1086" s="26"/>
      <c r="F1086" s="24" t="str">
        <f aca="false">IFERROR(INDEX('Operator Master'!$B$5:$B$504,MATCH(E1086,'Operator Master'!$A$5:$A$504,0)),"")</f>
        <v/>
      </c>
      <c r="G1086" s="26"/>
      <c r="H1086" s="24" t="str">
        <f aca="false">IFERROR(INDEX('Fault Master'!$B$5:$B$104,MATCH(G1086,'Fault Master'!$A$5:$A$104,0)),"")</f>
        <v/>
      </c>
      <c r="I1086" s="24" t="str">
        <f aca="false">IFERROR(INDEX('Fault Master'!$C$5:$C$104,MATCH(G1086,'Fault Master'!$A$5:$A$104,0)),"")</f>
        <v/>
      </c>
      <c r="J1086" s="26"/>
      <c r="K1086" s="26"/>
      <c r="L1086" s="26"/>
      <c r="M1086" s="26"/>
      <c r="N1086" s="26"/>
      <c r="O1086" s="26"/>
      <c r="P1086" s="34"/>
    </row>
    <row r="1087" customFormat="false" ht="15" hidden="false" customHeight="true" outlineLevel="0" collapsed="false">
      <c r="A1087" s="18" t="n">
        <v>576</v>
      </c>
      <c r="B1087" s="25"/>
      <c r="C1087" s="26"/>
      <c r="D1087" s="26"/>
      <c r="E1087" s="26"/>
      <c r="F1087" s="24" t="str">
        <f aca="false">IFERROR(INDEX('Operator Master'!$B$5:$B$504,MATCH(E1087,'Operator Master'!$A$5:$A$504,0)),"")</f>
        <v/>
      </c>
      <c r="G1087" s="26"/>
      <c r="H1087" s="24" t="str">
        <f aca="false">IFERROR(INDEX('Fault Master'!$B$5:$B$104,MATCH(G1087,'Fault Master'!$A$5:$A$104,0)),"")</f>
        <v/>
      </c>
      <c r="I1087" s="24" t="str">
        <f aca="false">IFERROR(INDEX('Fault Master'!$C$5:$C$104,MATCH(G1087,'Fault Master'!$A$5:$A$104,0)),"")</f>
        <v/>
      </c>
      <c r="J1087" s="26"/>
      <c r="K1087" s="26"/>
      <c r="L1087" s="26"/>
      <c r="M1087" s="26"/>
      <c r="N1087" s="26"/>
      <c r="O1087" s="26"/>
      <c r="P1087" s="34"/>
    </row>
    <row r="1088" customFormat="false" ht="15" hidden="false" customHeight="true" outlineLevel="0" collapsed="false">
      <c r="A1088" s="18" t="n">
        <v>577</v>
      </c>
      <c r="B1088" s="25"/>
      <c r="C1088" s="26"/>
      <c r="D1088" s="26"/>
      <c r="E1088" s="26"/>
      <c r="F1088" s="24" t="str">
        <f aca="false">IFERROR(INDEX('Operator Master'!$B$5:$B$504,MATCH(E1088,'Operator Master'!$A$5:$A$504,0)),"")</f>
        <v/>
      </c>
      <c r="G1088" s="26"/>
      <c r="H1088" s="24" t="str">
        <f aca="false">IFERROR(INDEX('Fault Master'!$B$5:$B$104,MATCH(G1088,'Fault Master'!$A$5:$A$104,0)),"")</f>
        <v/>
      </c>
      <c r="I1088" s="24" t="str">
        <f aca="false">IFERROR(INDEX('Fault Master'!$C$5:$C$104,MATCH(G1088,'Fault Master'!$A$5:$A$104,0)),"")</f>
        <v/>
      </c>
      <c r="J1088" s="26"/>
      <c r="K1088" s="26"/>
      <c r="L1088" s="26"/>
      <c r="M1088" s="26"/>
      <c r="N1088" s="26"/>
      <c r="O1088" s="26"/>
      <c r="P1088" s="34"/>
    </row>
    <row r="1089" customFormat="false" ht="15" hidden="false" customHeight="true" outlineLevel="0" collapsed="false">
      <c r="A1089" s="18" t="n">
        <v>578</v>
      </c>
      <c r="B1089" s="25"/>
      <c r="C1089" s="26"/>
      <c r="D1089" s="26"/>
      <c r="E1089" s="26"/>
      <c r="F1089" s="24" t="str">
        <f aca="false">IFERROR(INDEX('Operator Master'!$B$5:$B$504,MATCH(E1089,'Operator Master'!$A$5:$A$504,0)),"")</f>
        <v/>
      </c>
      <c r="G1089" s="26"/>
      <c r="H1089" s="24" t="str">
        <f aca="false">IFERROR(INDEX('Fault Master'!$B$5:$B$104,MATCH(G1089,'Fault Master'!$A$5:$A$104,0)),"")</f>
        <v/>
      </c>
      <c r="I1089" s="24" t="str">
        <f aca="false">IFERROR(INDEX('Fault Master'!$C$5:$C$104,MATCH(G1089,'Fault Master'!$A$5:$A$104,0)),"")</f>
        <v/>
      </c>
      <c r="J1089" s="26"/>
      <c r="K1089" s="26"/>
      <c r="L1089" s="26"/>
      <c r="M1089" s="26"/>
      <c r="N1089" s="26"/>
      <c r="O1089" s="26"/>
      <c r="P1089" s="34"/>
    </row>
    <row r="1090" customFormat="false" ht="15" hidden="false" customHeight="true" outlineLevel="0" collapsed="false">
      <c r="A1090" s="18" t="n">
        <v>579</v>
      </c>
      <c r="B1090" s="25"/>
      <c r="C1090" s="26"/>
      <c r="D1090" s="26"/>
      <c r="E1090" s="26"/>
      <c r="F1090" s="24" t="str">
        <f aca="false">IFERROR(INDEX('Operator Master'!$B$5:$B$504,MATCH(E1090,'Operator Master'!$A$5:$A$504,0)),"")</f>
        <v/>
      </c>
      <c r="G1090" s="26"/>
      <c r="H1090" s="24" t="str">
        <f aca="false">IFERROR(INDEX('Fault Master'!$B$5:$B$104,MATCH(G1090,'Fault Master'!$A$5:$A$104,0)),"")</f>
        <v/>
      </c>
      <c r="I1090" s="24" t="str">
        <f aca="false">IFERROR(INDEX('Fault Master'!$C$5:$C$104,MATCH(G1090,'Fault Master'!$A$5:$A$104,0)),"")</f>
        <v/>
      </c>
      <c r="J1090" s="26"/>
      <c r="K1090" s="26"/>
      <c r="L1090" s="26"/>
      <c r="M1090" s="26"/>
      <c r="N1090" s="26"/>
      <c r="O1090" s="26"/>
      <c r="P1090" s="34"/>
    </row>
    <row r="1091" customFormat="false" ht="15" hidden="false" customHeight="true" outlineLevel="0" collapsed="false">
      <c r="A1091" s="18" t="n">
        <v>580</v>
      </c>
      <c r="B1091" s="25"/>
      <c r="C1091" s="26"/>
      <c r="D1091" s="26"/>
      <c r="E1091" s="26"/>
      <c r="F1091" s="24" t="str">
        <f aca="false">IFERROR(INDEX('Operator Master'!$B$5:$B$504,MATCH(E1091,'Operator Master'!$A$5:$A$504,0)),"")</f>
        <v/>
      </c>
      <c r="G1091" s="26"/>
      <c r="H1091" s="24" t="str">
        <f aca="false">IFERROR(INDEX('Fault Master'!$B$5:$B$104,MATCH(G1091,'Fault Master'!$A$5:$A$104,0)),"")</f>
        <v/>
      </c>
      <c r="I1091" s="24" t="str">
        <f aca="false">IFERROR(INDEX('Fault Master'!$C$5:$C$104,MATCH(G1091,'Fault Master'!$A$5:$A$104,0)),"")</f>
        <v/>
      </c>
      <c r="J1091" s="26"/>
      <c r="K1091" s="26"/>
      <c r="L1091" s="26"/>
      <c r="M1091" s="26"/>
      <c r="N1091" s="26"/>
      <c r="O1091" s="26"/>
      <c r="P1091" s="34"/>
    </row>
    <row r="1092" customFormat="false" ht="15" hidden="false" customHeight="true" outlineLevel="0" collapsed="false">
      <c r="A1092" s="18" t="n">
        <v>581</v>
      </c>
      <c r="B1092" s="25"/>
      <c r="C1092" s="26"/>
      <c r="D1092" s="26"/>
      <c r="E1092" s="26"/>
      <c r="F1092" s="24" t="str">
        <f aca="false">IFERROR(INDEX('Operator Master'!$B$5:$B$504,MATCH(E1092,'Operator Master'!$A$5:$A$504,0)),"")</f>
        <v/>
      </c>
      <c r="G1092" s="26"/>
      <c r="H1092" s="24" t="str">
        <f aca="false">IFERROR(INDEX('Fault Master'!$B$5:$B$104,MATCH(G1092,'Fault Master'!$A$5:$A$104,0)),"")</f>
        <v/>
      </c>
      <c r="I1092" s="24" t="str">
        <f aca="false">IFERROR(INDEX('Fault Master'!$C$5:$C$104,MATCH(G1092,'Fault Master'!$A$5:$A$104,0)),"")</f>
        <v/>
      </c>
      <c r="J1092" s="26"/>
      <c r="K1092" s="26"/>
      <c r="L1092" s="26"/>
      <c r="M1092" s="26"/>
      <c r="N1092" s="26"/>
      <c r="O1092" s="26"/>
      <c r="P1092" s="34"/>
    </row>
    <row r="1093" customFormat="false" ht="15" hidden="false" customHeight="true" outlineLevel="0" collapsed="false">
      <c r="A1093" s="18" t="n">
        <v>582</v>
      </c>
      <c r="B1093" s="25"/>
      <c r="C1093" s="26"/>
      <c r="D1093" s="26"/>
      <c r="E1093" s="26"/>
      <c r="F1093" s="24" t="str">
        <f aca="false">IFERROR(INDEX('Operator Master'!$B$5:$B$504,MATCH(E1093,'Operator Master'!$A$5:$A$504,0)),"")</f>
        <v/>
      </c>
      <c r="G1093" s="26"/>
      <c r="H1093" s="24" t="str">
        <f aca="false">IFERROR(INDEX('Fault Master'!$B$5:$B$104,MATCH(G1093,'Fault Master'!$A$5:$A$104,0)),"")</f>
        <v/>
      </c>
      <c r="I1093" s="24" t="str">
        <f aca="false">IFERROR(INDEX('Fault Master'!$C$5:$C$104,MATCH(G1093,'Fault Master'!$A$5:$A$104,0)),"")</f>
        <v/>
      </c>
      <c r="J1093" s="26"/>
      <c r="K1093" s="26"/>
      <c r="L1093" s="26"/>
      <c r="M1093" s="26"/>
      <c r="N1093" s="26"/>
      <c r="O1093" s="26"/>
      <c r="P1093" s="34"/>
    </row>
    <row r="1094" customFormat="false" ht="15" hidden="false" customHeight="true" outlineLevel="0" collapsed="false">
      <c r="A1094" s="18" t="n">
        <v>583</v>
      </c>
      <c r="B1094" s="25"/>
      <c r="C1094" s="26"/>
      <c r="D1094" s="26"/>
      <c r="E1094" s="26"/>
      <c r="F1094" s="24" t="str">
        <f aca="false">IFERROR(INDEX('Operator Master'!$B$5:$B$504,MATCH(E1094,'Operator Master'!$A$5:$A$504,0)),"")</f>
        <v/>
      </c>
      <c r="G1094" s="26"/>
      <c r="H1094" s="24" t="str">
        <f aca="false">IFERROR(INDEX('Fault Master'!$B$5:$B$104,MATCH(G1094,'Fault Master'!$A$5:$A$104,0)),"")</f>
        <v/>
      </c>
      <c r="I1094" s="24" t="str">
        <f aca="false">IFERROR(INDEX('Fault Master'!$C$5:$C$104,MATCH(G1094,'Fault Master'!$A$5:$A$104,0)),"")</f>
        <v/>
      </c>
      <c r="J1094" s="26"/>
      <c r="K1094" s="26"/>
      <c r="L1094" s="26"/>
      <c r="M1094" s="26"/>
      <c r="N1094" s="26"/>
      <c r="O1094" s="26"/>
      <c r="P1094" s="34"/>
    </row>
    <row r="1095" customFormat="false" ht="15" hidden="false" customHeight="true" outlineLevel="0" collapsed="false">
      <c r="A1095" s="18" t="n">
        <v>584</v>
      </c>
      <c r="B1095" s="25"/>
      <c r="C1095" s="26"/>
      <c r="D1095" s="26"/>
      <c r="E1095" s="26"/>
      <c r="F1095" s="24" t="str">
        <f aca="false">IFERROR(INDEX('Operator Master'!$B$5:$B$504,MATCH(E1095,'Operator Master'!$A$5:$A$504,0)),"")</f>
        <v/>
      </c>
      <c r="G1095" s="26"/>
      <c r="H1095" s="24" t="str">
        <f aca="false">IFERROR(INDEX('Fault Master'!$B$5:$B$104,MATCH(G1095,'Fault Master'!$A$5:$A$104,0)),"")</f>
        <v/>
      </c>
      <c r="I1095" s="24" t="str">
        <f aca="false">IFERROR(INDEX('Fault Master'!$C$5:$C$104,MATCH(G1095,'Fault Master'!$A$5:$A$104,0)),"")</f>
        <v/>
      </c>
      <c r="J1095" s="26"/>
      <c r="K1095" s="26"/>
      <c r="L1095" s="26"/>
      <c r="M1095" s="26"/>
      <c r="N1095" s="26"/>
      <c r="O1095" s="26"/>
      <c r="P1095" s="34"/>
    </row>
    <row r="1096" customFormat="false" ht="15" hidden="false" customHeight="true" outlineLevel="0" collapsed="false">
      <c r="A1096" s="18" t="n">
        <v>585</v>
      </c>
      <c r="B1096" s="25"/>
      <c r="C1096" s="26"/>
      <c r="D1096" s="26"/>
      <c r="E1096" s="26"/>
      <c r="F1096" s="24" t="str">
        <f aca="false">IFERROR(INDEX('Operator Master'!$B$5:$B$504,MATCH(E1096,'Operator Master'!$A$5:$A$504,0)),"")</f>
        <v/>
      </c>
      <c r="G1096" s="26"/>
      <c r="H1096" s="24" t="str">
        <f aca="false">IFERROR(INDEX('Fault Master'!$B$5:$B$104,MATCH(G1096,'Fault Master'!$A$5:$A$104,0)),"")</f>
        <v/>
      </c>
      <c r="I1096" s="24" t="str">
        <f aca="false">IFERROR(INDEX('Fault Master'!$C$5:$C$104,MATCH(G1096,'Fault Master'!$A$5:$A$104,0)),"")</f>
        <v/>
      </c>
      <c r="J1096" s="26"/>
      <c r="K1096" s="26"/>
      <c r="L1096" s="26"/>
      <c r="M1096" s="26"/>
      <c r="N1096" s="26"/>
      <c r="O1096" s="26"/>
      <c r="P1096" s="34"/>
    </row>
    <row r="1097" customFormat="false" ht="15" hidden="false" customHeight="true" outlineLevel="0" collapsed="false">
      <c r="A1097" s="18" t="n">
        <v>586</v>
      </c>
      <c r="B1097" s="25"/>
      <c r="C1097" s="26"/>
      <c r="D1097" s="26"/>
      <c r="E1097" s="26"/>
      <c r="F1097" s="24" t="str">
        <f aca="false">IFERROR(INDEX('Operator Master'!$B$5:$B$504,MATCH(E1097,'Operator Master'!$A$5:$A$504,0)),"")</f>
        <v/>
      </c>
      <c r="G1097" s="26"/>
      <c r="H1097" s="24" t="str">
        <f aca="false">IFERROR(INDEX('Fault Master'!$B$5:$B$104,MATCH(G1097,'Fault Master'!$A$5:$A$104,0)),"")</f>
        <v/>
      </c>
      <c r="I1097" s="24" t="str">
        <f aca="false">IFERROR(INDEX('Fault Master'!$C$5:$C$104,MATCH(G1097,'Fault Master'!$A$5:$A$104,0)),"")</f>
        <v/>
      </c>
      <c r="J1097" s="26"/>
      <c r="K1097" s="26"/>
      <c r="L1097" s="26"/>
      <c r="M1097" s="26"/>
      <c r="N1097" s="26"/>
      <c r="O1097" s="26"/>
      <c r="P1097" s="34"/>
    </row>
    <row r="1098" customFormat="false" ht="15" hidden="false" customHeight="true" outlineLevel="0" collapsed="false">
      <c r="A1098" s="18" t="n">
        <v>587</v>
      </c>
      <c r="B1098" s="25"/>
      <c r="C1098" s="26"/>
      <c r="D1098" s="26"/>
      <c r="E1098" s="26"/>
      <c r="F1098" s="24" t="str">
        <f aca="false">IFERROR(INDEX('Operator Master'!$B$5:$B$504,MATCH(E1098,'Operator Master'!$A$5:$A$504,0)),"")</f>
        <v/>
      </c>
      <c r="G1098" s="26"/>
      <c r="H1098" s="24" t="str">
        <f aca="false">IFERROR(INDEX('Fault Master'!$B$5:$B$104,MATCH(G1098,'Fault Master'!$A$5:$A$104,0)),"")</f>
        <v/>
      </c>
      <c r="I1098" s="24" t="str">
        <f aca="false">IFERROR(INDEX('Fault Master'!$C$5:$C$104,MATCH(G1098,'Fault Master'!$A$5:$A$104,0)),"")</f>
        <v/>
      </c>
      <c r="J1098" s="26"/>
      <c r="K1098" s="26"/>
      <c r="L1098" s="26"/>
      <c r="M1098" s="26"/>
      <c r="N1098" s="26"/>
      <c r="O1098" s="26"/>
      <c r="P1098" s="34"/>
    </row>
    <row r="1099" customFormat="false" ht="15" hidden="false" customHeight="true" outlineLevel="0" collapsed="false">
      <c r="A1099" s="18" t="n">
        <v>588</v>
      </c>
      <c r="B1099" s="25"/>
      <c r="C1099" s="26"/>
      <c r="D1099" s="26"/>
      <c r="E1099" s="26"/>
      <c r="F1099" s="24" t="str">
        <f aca="false">IFERROR(INDEX('Operator Master'!$B$5:$B$504,MATCH(E1099,'Operator Master'!$A$5:$A$504,0)),"")</f>
        <v/>
      </c>
      <c r="G1099" s="26"/>
      <c r="H1099" s="24" t="str">
        <f aca="false">IFERROR(INDEX('Fault Master'!$B$5:$B$104,MATCH(G1099,'Fault Master'!$A$5:$A$104,0)),"")</f>
        <v/>
      </c>
      <c r="I1099" s="24" t="str">
        <f aca="false">IFERROR(INDEX('Fault Master'!$C$5:$C$104,MATCH(G1099,'Fault Master'!$A$5:$A$104,0)),"")</f>
        <v/>
      </c>
      <c r="J1099" s="26"/>
      <c r="K1099" s="26"/>
      <c r="L1099" s="26"/>
      <c r="M1099" s="26"/>
      <c r="N1099" s="26"/>
      <c r="O1099" s="26"/>
      <c r="P1099" s="34"/>
    </row>
    <row r="1100" customFormat="false" ht="15" hidden="false" customHeight="true" outlineLevel="0" collapsed="false">
      <c r="A1100" s="18" t="n">
        <v>589</v>
      </c>
      <c r="B1100" s="25"/>
      <c r="C1100" s="26"/>
      <c r="D1100" s="26"/>
      <c r="E1100" s="26"/>
      <c r="F1100" s="24" t="str">
        <f aca="false">IFERROR(INDEX('Operator Master'!$B$5:$B$504,MATCH(E1100,'Operator Master'!$A$5:$A$504,0)),"")</f>
        <v/>
      </c>
      <c r="G1100" s="26"/>
      <c r="H1100" s="24" t="str">
        <f aca="false">IFERROR(INDEX('Fault Master'!$B$5:$B$104,MATCH(G1100,'Fault Master'!$A$5:$A$104,0)),"")</f>
        <v/>
      </c>
      <c r="I1100" s="24" t="str">
        <f aca="false">IFERROR(INDEX('Fault Master'!$C$5:$C$104,MATCH(G1100,'Fault Master'!$A$5:$A$104,0)),"")</f>
        <v/>
      </c>
      <c r="J1100" s="26"/>
      <c r="K1100" s="26"/>
      <c r="L1100" s="26"/>
      <c r="M1100" s="26"/>
      <c r="N1100" s="26"/>
      <c r="O1100" s="26"/>
      <c r="P1100" s="34"/>
    </row>
    <row r="1101" customFormat="false" ht="15" hidden="false" customHeight="true" outlineLevel="0" collapsed="false">
      <c r="A1101" s="18" t="n">
        <v>590</v>
      </c>
      <c r="B1101" s="25"/>
      <c r="C1101" s="26"/>
      <c r="D1101" s="26"/>
      <c r="E1101" s="26"/>
      <c r="F1101" s="24" t="str">
        <f aca="false">IFERROR(INDEX('Operator Master'!$B$5:$B$504,MATCH(E1101,'Operator Master'!$A$5:$A$504,0)),"")</f>
        <v/>
      </c>
      <c r="G1101" s="26"/>
      <c r="H1101" s="24" t="str">
        <f aca="false">IFERROR(INDEX('Fault Master'!$B$5:$B$104,MATCH(G1101,'Fault Master'!$A$5:$A$104,0)),"")</f>
        <v/>
      </c>
      <c r="I1101" s="24" t="str">
        <f aca="false">IFERROR(INDEX('Fault Master'!$C$5:$C$104,MATCH(G1101,'Fault Master'!$A$5:$A$104,0)),"")</f>
        <v/>
      </c>
      <c r="J1101" s="26"/>
      <c r="K1101" s="26"/>
      <c r="L1101" s="26"/>
      <c r="M1101" s="26"/>
      <c r="N1101" s="26"/>
      <c r="O1101" s="26"/>
      <c r="P1101" s="34"/>
    </row>
    <row r="1102" customFormat="false" ht="15" hidden="false" customHeight="true" outlineLevel="0" collapsed="false">
      <c r="A1102" s="18" t="n">
        <v>591</v>
      </c>
      <c r="B1102" s="25"/>
      <c r="C1102" s="26"/>
      <c r="D1102" s="26"/>
      <c r="E1102" s="26"/>
      <c r="F1102" s="24" t="str">
        <f aca="false">IFERROR(INDEX('Operator Master'!$B$5:$B$504,MATCH(E1102,'Operator Master'!$A$5:$A$504,0)),"")</f>
        <v/>
      </c>
      <c r="G1102" s="26"/>
      <c r="H1102" s="24" t="str">
        <f aca="false">IFERROR(INDEX('Fault Master'!$B$5:$B$104,MATCH(G1102,'Fault Master'!$A$5:$A$104,0)),"")</f>
        <v/>
      </c>
      <c r="I1102" s="24" t="str">
        <f aca="false">IFERROR(INDEX('Fault Master'!$C$5:$C$104,MATCH(G1102,'Fault Master'!$A$5:$A$104,0)),"")</f>
        <v/>
      </c>
      <c r="J1102" s="26"/>
      <c r="K1102" s="26"/>
      <c r="L1102" s="26"/>
      <c r="M1102" s="26"/>
      <c r="N1102" s="26"/>
      <c r="O1102" s="26"/>
      <c r="P1102" s="34"/>
    </row>
    <row r="1103" customFormat="false" ht="15" hidden="false" customHeight="true" outlineLevel="0" collapsed="false">
      <c r="A1103" s="18" t="n">
        <v>592</v>
      </c>
      <c r="B1103" s="25"/>
      <c r="C1103" s="26"/>
      <c r="D1103" s="26"/>
      <c r="E1103" s="26"/>
      <c r="F1103" s="24" t="str">
        <f aca="false">IFERROR(INDEX('Operator Master'!$B$5:$B$504,MATCH(E1103,'Operator Master'!$A$5:$A$504,0)),"")</f>
        <v/>
      </c>
      <c r="G1103" s="26"/>
      <c r="H1103" s="24" t="str">
        <f aca="false">IFERROR(INDEX('Fault Master'!$B$5:$B$104,MATCH(G1103,'Fault Master'!$A$5:$A$104,0)),"")</f>
        <v/>
      </c>
      <c r="I1103" s="24" t="str">
        <f aca="false">IFERROR(INDEX('Fault Master'!$C$5:$C$104,MATCH(G1103,'Fault Master'!$A$5:$A$104,0)),"")</f>
        <v/>
      </c>
      <c r="J1103" s="26"/>
      <c r="K1103" s="26"/>
      <c r="L1103" s="26"/>
      <c r="M1103" s="26"/>
      <c r="N1103" s="26"/>
      <c r="O1103" s="26"/>
      <c r="P1103" s="34"/>
    </row>
    <row r="1104" customFormat="false" ht="15" hidden="false" customHeight="true" outlineLevel="0" collapsed="false">
      <c r="A1104" s="18" t="n">
        <v>593</v>
      </c>
      <c r="B1104" s="25"/>
      <c r="C1104" s="26"/>
      <c r="D1104" s="26"/>
      <c r="E1104" s="26"/>
      <c r="F1104" s="24" t="str">
        <f aca="false">IFERROR(INDEX('Operator Master'!$B$5:$B$504,MATCH(E1104,'Operator Master'!$A$5:$A$504,0)),"")</f>
        <v/>
      </c>
      <c r="G1104" s="26"/>
      <c r="H1104" s="24" t="str">
        <f aca="false">IFERROR(INDEX('Fault Master'!$B$5:$B$104,MATCH(G1104,'Fault Master'!$A$5:$A$104,0)),"")</f>
        <v/>
      </c>
      <c r="I1104" s="24" t="str">
        <f aca="false">IFERROR(INDEX('Fault Master'!$C$5:$C$104,MATCH(G1104,'Fault Master'!$A$5:$A$104,0)),"")</f>
        <v/>
      </c>
      <c r="J1104" s="26"/>
      <c r="K1104" s="26"/>
      <c r="L1104" s="26"/>
      <c r="M1104" s="26"/>
      <c r="N1104" s="26"/>
      <c r="O1104" s="26"/>
      <c r="P1104" s="34"/>
    </row>
    <row r="1105" customFormat="false" ht="15" hidden="false" customHeight="true" outlineLevel="0" collapsed="false">
      <c r="A1105" s="18" t="n">
        <v>594</v>
      </c>
      <c r="B1105" s="25"/>
      <c r="C1105" s="26"/>
      <c r="D1105" s="26"/>
      <c r="E1105" s="26"/>
      <c r="F1105" s="24" t="str">
        <f aca="false">IFERROR(INDEX('Operator Master'!$B$5:$B$504,MATCH(E1105,'Operator Master'!$A$5:$A$504,0)),"")</f>
        <v/>
      </c>
      <c r="G1105" s="26"/>
      <c r="H1105" s="24" t="str">
        <f aca="false">IFERROR(INDEX('Fault Master'!$B$5:$B$104,MATCH(G1105,'Fault Master'!$A$5:$A$104,0)),"")</f>
        <v/>
      </c>
      <c r="I1105" s="24" t="str">
        <f aca="false">IFERROR(INDEX('Fault Master'!$C$5:$C$104,MATCH(G1105,'Fault Master'!$A$5:$A$104,0)),"")</f>
        <v/>
      </c>
      <c r="J1105" s="26"/>
      <c r="K1105" s="26"/>
      <c r="L1105" s="26"/>
      <c r="M1105" s="26"/>
      <c r="N1105" s="26"/>
      <c r="O1105" s="26"/>
      <c r="P1105" s="34"/>
    </row>
    <row r="1106" customFormat="false" ht="15" hidden="false" customHeight="true" outlineLevel="0" collapsed="false">
      <c r="A1106" s="18" t="n">
        <v>595</v>
      </c>
      <c r="B1106" s="25"/>
      <c r="C1106" s="26"/>
      <c r="D1106" s="26"/>
      <c r="E1106" s="26"/>
      <c r="F1106" s="24" t="str">
        <f aca="false">IFERROR(INDEX('Operator Master'!$B$5:$B$504,MATCH(E1106,'Operator Master'!$A$5:$A$504,0)),"")</f>
        <v/>
      </c>
      <c r="G1106" s="26"/>
      <c r="H1106" s="24" t="str">
        <f aca="false">IFERROR(INDEX('Fault Master'!$B$5:$B$104,MATCH(G1106,'Fault Master'!$A$5:$A$104,0)),"")</f>
        <v/>
      </c>
      <c r="I1106" s="24" t="str">
        <f aca="false">IFERROR(INDEX('Fault Master'!$C$5:$C$104,MATCH(G1106,'Fault Master'!$A$5:$A$104,0)),"")</f>
        <v/>
      </c>
      <c r="J1106" s="26"/>
      <c r="K1106" s="26"/>
      <c r="L1106" s="26"/>
      <c r="M1106" s="26"/>
      <c r="N1106" s="26"/>
      <c r="O1106" s="26"/>
      <c r="P1106" s="34"/>
    </row>
    <row r="1107" customFormat="false" ht="15" hidden="false" customHeight="true" outlineLevel="0" collapsed="false">
      <c r="A1107" s="18" t="n">
        <v>596</v>
      </c>
      <c r="B1107" s="25"/>
      <c r="C1107" s="26"/>
      <c r="D1107" s="26"/>
      <c r="E1107" s="26"/>
      <c r="F1107" s="24" t="str">
        <f aca="false">IFERROR(INDEX('Operator Master'!$B$5:$B$504,MATCH(E1107,'Operator Master'!$A$5:$A$504,0)),"")</f>
        <v/>
      </c>
      <c r="G1107" s="26"/>
      <c r="H1107" s="24" t="str">
        <f aca="false">IFERROR(INDEX('Fault Master'!$B$5:$B$104,MATCH(G1107,'Fault Master'!$A$5:$A$104,0)),"")</f>
        <v/>
      </c>
      <c r="I1107" s="24" t="str">
        <f aca="false">IFERROR(INDEX('Fault Master'!$C$5:$C$104,MATCH(G1107,'Fault Master'!$A$5:$A$104,0)),"")</f>
        <v/>
      </c>
      <c r="J1107" s="26"/>
      <c r="K1107" s="26"/>
      <c r="L1107" s="26"/>
      <c r="M1107" s="26"/>
      <c r="N1107" s="26"/>
      <c r="O1107" s="26"/>
      <c r="P1107" s="34"/>
    </row>
    <row r="1108" customFormat="false" ht="15" hidden="false" customHeight="true" outlineLevel="0" collapsed="false">
      <c r="A1108" s="18" t="n">
        <v>597</v>
      </c>
      <c r="B1108" s="25"/>
      <c r="C1108" s="26"/>
      <c r="D1108" s="26"/>
      <c r="E1108" s="26"/>
      <c r="F1108" s="24" t="str">
        <f aca="false">IFERROR(INDEX('Operator Master'!$B$5:$B$504,MATCH(E1108,'Operator Master'!$A$5:$A$504,0)),"")</f>
        <v/>
      </c>
      <c r="G1108" s="26"/>
      <c r="H1108" s="24" t="str">
        <f aca="false">IFERROR(INDEX('Fault Master'!$B$5:$B$104,MATCH(G1108,'Fault Master'!$A$5:$A$104,0)),"")</f>
        <v/>
      </c>
      <c r="I1108" s="24" t="str">
        <f aca="false">IFERROR(INDEX('Fault Master'!$C$5:$C$104,MATCH(G1108,'Fault Master'!$A$5:$A$104,0)),"")</f>
        <v/>
      </c>
      <c r="J1108" s="26"/>
      <c r="K1108" s="26"/>
      <c r="L1108" s="26"/>
      <c r="M1108" s="26"/>
      <c r="N1108" s="26"/>
      <c r="O1108" s="26"/>
      <c r="P1108" s="34"/>
    </row>
    <row r="1109" customFormat="false" ht="15" hidden="false" customHeight="true" outlineLevel="0" collapsed="false">
      <c r="A1109" s="18" t="n">
        <v>598</v>
      </c>
      <c r="B1109" s="25"/>
      <c r="C1109" s="26"/>
      <c r="D1109" s="26"/>
      <c r="E1109" s="26"/>
      <c r="F1109" s="24" t="str">
        <f aca="false">IFERROR(INDEX('Operator Master'!$B$5:$B$504,MATCH(E1109,'Operator Master'!$A$5:$A$504,0)),"")</f>
        <v/>
      </c>
      <c r="G1109" s="26"/>
      <c r="H1109" s="24" t="str">
        <f aca="false">IFERROR(INDEX('Fault Master'!$B$5:$B$104,MATCH(G1109,'Fault Master'!$A$5:$A$104,0)),"")</f>
        <v/>
      </c>
      <c r="I1109" s="24" t="str">
        <f aca="false">IFERROR(INDEX('Fault Master'!$C$5:$C$104,MATCH(G1109,'Fault Master'!$A$5:$A$104,0)),"")</f>
        <v/>
      </c>
      <c r="J1109" s="26"/>
      <c r="K1109" s="26"/>
      <c r="L1109" s="26"/>
      <c r="M1109" s="26"/>
      <c r="N1109" s="26"/>
      <c r="O1109" s="26"/>
      <c r="P1109" s="34"/>
    </row>
    <row r="1110" customFormat="false" ht="15" hidden="false" customHeight="true" outlineLevel="0" collapsed="false">
      <c r="A1110" s="18" t="n">
        <v>599</v>
      </c>
      <c r="B1110" s="25"/>
      <c r="C1110" s="26"/>
      <c r="D1110" s="26"/>
      <c r="E1110" s="26"/>
      <c r="F1110" s="24" t="str">
        <f aca="false">IFERROR(INDEX('Operator Master'!$B$5:$B$504,MATCH(E1110,'Operator Master'!$A$5:$A$504,0)),"")</f>
        <v/>
      </c>
      <c r="G1110" s="26"/>
      <c r="H1110" s="24" t="str">
        <f aca="false">IFERROR(INDEX('Fault Master'!$B$5:$B$104,MATCH(G1110,'Fault Master'!$A$5:$A$104,0)),"")</f>
        <v/>
      </c>
      <c r="I1110" s="24" t="str">
        <f aca="false">IFERROR(INDEX('Fault Master'!$C$5:$C$104,MATCH(G1110,'Fault Master'!$A$5:$A$104,0)),"")</f>
        <v/>
      </c>
      <c r="J1110" s="26"/>
      <c r="K1110" s="26"/>
      <c r="L1110" s="26"/>
      <c r="M1110" s="26"/>
      <c r="N1110" s="26"/>
      <c r="O1110" s="26"/>
      <c r="P1110" s="34"/>
    </row>
    <row r="1111" customFormat="false" ht="15" hidden="false" customHeight="true" outlineLevel="0" collapsed="false">
      <c r="A1111" s="18" t="n">
        <v>600</v>
      </c>
      <c r="B1111" s="25"/>
      <c r="C1111" s="26"/>
      <c r="D1111" s="26"/>
      <c r="E1111" s="26"/>
      <c r="F1111" s="24" t="str">
        <f aca="false">IFERROR(INDEX('Operator Master'!$B$5:$B$504,MATCH(E1111,'Operator Master'!$A$5:$A$504,0)),"")</f>
        <v/>
      </c>
      <c r="G1111" s="26"/>
      <c r="H1111" s="24" t="str">
        <f aca="false">IFERROR(INDEX('Fault Master'!$B$5:$B$104,MATCH(G1111,'Fault Master'!$A$5:$A$104,0)),"")</f>
        <v/>
      </c>
      <c r="I1111" s="24" t="str">
        <f aca="false">IFERROR(INDEX('Fault Master'!$C$5:$C$104,MATCH(G1111,'Fault Master'!$A$5:$A$104,0)),"")</f>
        <v/>
      </c>
      <c r="J1111" s="26"/>
      <c r="K1111" s="26"/>
      <c r="L1111" s="26"/>
      <c r="M1111" s="26"/>
      <c r="N1111" s="26"/>
      <c r="O1111" s="26"/>
      <c r="P1111" s="34"/>
    </row>
    <row r="1112" customFormat="false" ht="15" hidden="false" customHeight="true" outlineLevel="0" collapsed="false">
      <c r="A1112" s="18" t="n">
        <v>601</v>
      </c>
      <c r="B1112" s="25"/>
      <c r="C1112" s="26"/>
      <c r="D1112" s="26"/>
      <c r="E1112" s="26"/>
      <c r="F1112" s="24" t="str">
        <f aca="false">IFERROR(INDEX('Operator Master'!$B$5:$B$504,MATCH(E1112,'Operator Master'!$A$5:$A$504,0)),"")</f>
        <v/>
      </c>
      <c r="G1112" s="26"/>
      <c r="H1112" s="24" t="str">
        <f aca="false">IFERROR(INDEX('Fault Master'!$B$5:$B$104,MATCH(G1112,'Fault Master'!$A$5:$A$104,0)),"")</f>
        <v/>
      </c>
      <c r="I1112" s="24" t="str">
        <f aca="false">IFERROR(INDEX('Fault Master'!$C$5:$C$104,MATCH(G1112,'Fault Master'!$A$5:$A$104,0)),"")</f>
        <v/>
      </c>
      <c r="J1112" s="26"/>
      <c r="K1112" s="26"/>
      <c r="L1112" s="26"/>
      <c r="M1112" s="26"/>
      <c r="N1112" s="26"/>
      <c r="O1112" s="26"/>
      <c r="P1112" s="34"/>
    </row>
    <row r="1113" customFormat="false" ht="15" hidden="false" customHeight="true" outlineLevel="0" collapsed="false">
      <c r="A1113" s="18" t="n">
        <v>602</v>
      </c>
      <c r="B1113" s="25"/>
      <c r="C1113" s="26"/>
      <c r="D1113" s="26"/>
      <c r="E1113" s="26"/>
      <c r="F1113" s="24" t="str">
        <f aca="false">IFERROR(INDEX('Operator Master'!$B$5:$B$504,MATCH(E1113,'Operator Master'!$A$5:$A$504,0)),"")</f>
        <v/>
      </c>
      <c r="G1113" s="26"/>
      <c r="H1113" s="24" t="str">
        <f aca="false">IFERROR(INDEX('Fault Master'!$B$5:$B$104,MATCH(G1113,'Fault Master'!$A$5:$A$104,0)),"")</f>
        <v/>
      </c>
      <c r="I1113" s="24" t="str">
        <f aca="false">IFERROR(INDEX('Fault Master'!$C$5:$C$104,MATCH(G1113,'Fault Master'!$A$5:$A$104,0)),"")</f>
        <v/>
      </c>
      <c r="J1113" s="26"/>
      <c r="K1113" s="26"/>
      <c r="L1113" s="26"/>
      <c r="M1113" s="26"/>
      <c r="N1113" s="26"/>
      <c r="O1113" s="26"/>
      <c r="P1113" s="34"/>
    </row>
    <row r="1114" customFormat="false" ht="15" hidden="false" customHeight="true" outlineLevel="0" collapsed="false">
      <c r="A1114" s="18" t="n">
        <v>603</v>
      </c>
      <c r="B1114" s="25"/>
      <c r="C1114" s="26"/>
      <c r="D1114" s="26"/>
      <c r="E1114" s="26"/>
      <c r="F1114" s="24" t="str">
        <f aca="false">IFERROR(INDEX('Operator Master'!$B$5:$B$504,MATCH(E1114,'Operator Master'!$A$5:$A$504,0)),"")</f>
        <v/>
      </c>
      <c r="G1114" s="26"/>
      <c r="H1114" s="24" t="str">
        <f aca="false">IFERROR(INDEX('Fault Master'!$B$5:$B$104,MATCH(G1114,'Fault Master'!$A$5:$A$104,0)),"")</f>
        <v/>
      </c>
      <c r="I1114" s="24" t="str">
        <f aca="false">IFERROR(INDEX('Fault Master'!$C$5:$C$104,MATCH(G1114,'Fault Master'!$A$5:$A$104,0)),"")</f>
        <v/>
      </c>
      <c r="J1114" s="26"/>
      <c r="K1114" s="26"/>
      <c r="L1114" s="26"/>
      <c r="M1114" s="26"/>
      <c r="N1114" s="26"/>
      <c r="O1114" s="26"/>
      <c r="P1114" s="34"/>
    </row>
    <row r="1115" customFormat="false" ht="15" hidden="false" customHeight="true" outlineLevel="0" collapsed="false">
      <c r="A1115" s="18" t="n">
        <v>604</v>
      </c>
      <c r="B1115" s="25"/>
      <c r="C1115" s="26"/>
      <c r="D1115" s="26"/>
      <c r="E1115" s="26"/>
      <c r="F1115" s="24" t="str">
        <f aca="false">IFERROR(INDEX('Operator Master'!$B$5:$B$504,MATCH(E1115,'Operator Master'!$A$5:$A$504,0)),"")</f>
        <v/>
      </c>
      <c r="G1115" s="26"/>
      <c r="H1115" s="24" t="str">
        <f aca="false">IFERROR(INDEX('Fault Master'!$B$5:$B$104,MATCH(G1115,'Fault Master'!$A$5:$A$104,0)),"")</f>
        <v/>
      </c>
      <c r="I1115" s="24" t="str">
        <f aca="false">IFERROR(INDEX('Fault Master'!$C$5:$C$104,MATCH(G1115,'Fault Master'!$A$5:$A$104,0)),"")</f>
        <v/>
      </c>
      <c r="J1115" s="26"/>
      <c r="K1115" s="26"/>
      <c r="L1115" s="26"/>
      <c r="M1115" s="26"/>
      <c r="N1115" s="26"/>
      <c r="O1115" s="26"/>
      <c r="P1115" s="34"/>
    </row>
    <row r="1116" customFormat="false" ht="15" hidden="false" customHeight="true" outlineLevel="0" collapsed="false">
      <c r="A1116" s="18" t="n">
        <v>605</v>
      </c>
      <c r="B1116" s="25"/>
      <c r="C1116" s="26"/>
      <c r="D1116" s="26"/>
      <c r="E1116" s="26"/>
      <c r="F1116" s="24" t="str">
        <f aca="false">IFERROR(INDEX('Operator Master'!$B$5:$B$504,MATCH(E1116,'Operator Master'!$A$5:$A$504,0)),"")</f>
        <v/>
      </c>
      <c r="G1116" s="26"/>
      <c r="H1116" s="24" t="str">
        <f aca="false">IFERROR(INDEX('Fault Master'!$B$5:$B$104,MATCH(G1116,'Fault Master'!$A$5:$A$104,0)),"")</f>
        <v/>
      </c>
      <c r="I1116" s="24" t="str">
        <f aca="false">IFERROR(INDEX('Fault Master'!$C$5:$C$104,MATCH(G1116,'Fault Master'!$A$5:$A$104,0)),"")</f>
        <v/>
      </c>
      <c r="J1116" s="26"/>
      <c r="K1116" s="26"/>
      <c r="L1116" s="26"/>
      <c r="M1116" s="26"/>
      <c r="N1116" s="26"/>
      <c r="O1116" s="26"/>
      <c r="P1116" s="34"/>
    </row>
    <row r="1117" customFormat="false" ht="15" hidden="false" customHeight="true" outlineLevel="0" collapsed="false">
      <c r="A1117" s="18" t="n">
        <v>606</v>
      </c>
      <c r="B1117" s="25"/>
      <c r="C1117" s="26"/>
      <c r="D1117" s="26"/>
      <c r="E1117" s="26"/>
      <c r="F1117" s="24" t="str">
        <f aca="false">IFERROR(INDEX('Operator Master'!$B$5:$B$504,MATCH(E1117,'Operator Master'!$A$5:$A$504,0)),"")</f>
        <v/>
      </c>
      <c r="G1117" s="26"/>
      <c r="H1117" s="24" t="str">
        <f aca="false">IFERROR(INDEX('Fault Master'!$B$5:$B$104,MATCH(G1117,'Fault Master'!$A$5:$A$104,0)),"")</f>
        <v/>
      </c>
      <c r="I1117" s="24" t="str">
        <f aca="false">IFERROR(INDEX('Fault Master'!$C$5:$C$104,MATCH(G1117,'Fault Master'!$A$5:$A$104,0)),"")</f>
        <v/>
      </c>
      <c r="J1117" s="26"/>
      <c r="K1117" s="26"/>
      <c r="L1117" s="26"/>
      <c r="M1117" s="26"/>
      <c r="N1117" s="26"/>
      <c r="O1117" s="26"/>
      <c r="P1117" s="34"/>
    </row>
    <row r="1118" customFormat="false" ht="15" hidden="false" customHeight="true" outlineLevel="0" collapsed="false">
      <c r="A1118" s="18" t="n">
        <v>607</v>
      </c>
      <c r="B1118" s="25"/>
      <c r="C1118" s="26"/>
      <c r="D1118" s="26"/>
      <c r="E1118" s="26"/>
      <c r="F1118" s="24" t="str">
        <f aca="false">IFERROR(INDEX('Operator Master'!$B$5:$B$504,MATCH(E1118,'Operator Master'!$A$5:$A$504,0)),"")</f>
        <v/>
      </c>
      <c r="G1118" s="26"/>
      <c r="H1118" s="24" t="str">
        <f aca="false">IFERROR(INDEX('Fault Master'!$B$5:$B$104,MATCH(G1118,'Fault Master'!$A$5:$A$104,0)),"")</f>
        <v/>
      </c>
      <c r="I1118" s="24" t="str">
        <f aca="false">IFERROR(INDEX('Fault Master'!$C$5:$C$104,MATCH(G1118,'Fault Master'!$A$5:$A$104,0)),"")</f>
        <v/>
      </c>
      <c r="J1118" s="26"/>
      <c r="K1118" s="26"/>
      <c r="L1118" s="26"/>
      <c r="M1118" s="26"/>
      <c r="N1118" s="26"/>
      <c r="O1118" s="26"/>
      <c r="P1118" s="34"/>
    </row>
    <row r="1119" customFormat="false" ht="15" hidden="false" customHeight="true" outlineLevel="0" collapsed="false">
      <c r="A1119" s="18" t="n">
        <v>608</v>
      </c>
      <c r="B1119" s="25"/>
      <c r="C1119" s="26"/>
      <c r="D1119" s="26"/>
      <c r="E1119" s="26"/>
      <c r="F1119" s="24" t="str">
        <f aca="false">IFERROR(INDEX('Operator Master'!$B$5:$B$504,MATCH(E1119,'Operator Master'!$A$5:$A$504,0)),"")</f>
        <v/>
      </c>
      <c r="G1119" s="26"/>
      <c r="H1119" s="24" t="str">
        <f aca="false">IFERROR(INDEX('Fault Master'!$B$5:$B$104,MATCH(G1119,'Fault Master'!$A$5:$A$104,0)),"")</f>
        <v/>
      </c>
      <c r="I1119" s="24" t="str">
        <f aca="false">IFERROR(INDEX('Fault Master'!$C$5:$C$104,MATCH(G1119,'Fault Master'!$A$5:$A$104,0)),"")</f>
        <v/>
      </c>
      <c r="J1119" s="26"/>
      <c r="K1119" s="26"/>
      <c r="L1119" s="26"/>
      <c r="M1119" s="26"/>
      <c r="N1119" s="26"/>
      <c r="O1119" s="26"/>
      <c r="P1119" s="34"/>
    </row>
    <row r="1120" customFormat="false" ht="15" hidden="false" customHeight="true" outlineLevel="0" collapsed="false">
      <c r="A1120" s="18" t="n">
        <v>609</v>
      </c>
      <c r="B1120" s="25"/>
      <c r="C1120" s="26"/>
      <c r="D1120" s="26"/>
      <c r="E1120" s="26"/>
      <c r="F1120" s="24" t="str">
        <f aca="false">IFERROR(INDEX('Operator Master'!$B$5:$B$504,MATCH(E1120,'Operator Master'!$A$5:$A$504,0)),"")</f>
        <v/>
      </c>
      <c r="G1120" s="26"/>
      <c r="H1120" s="24" t="str">
        <f aca="false">IFERROR(INDEX('Fault Master'!$B$5:$B$104,MATCH(G1120,'Fault Master'!$A$5:$A$104,0)),"")</f>
        <v/>
      </c>
      <c r="I1120" s="24" t="str">
        <f aca="false">IFERROR(INDEX('Fault Master'!$C$5:$C$104,MATCH(G1120,'Fault Master'!$A$5:$A$104,0)),"")</f>
        <v/>
      </c>
      <c r="J1120" s="26"/>
      <c r="K1120" s="26"/>
      <c r="L1120" s="26"/>
      <c r="M1120" s="26"/>
      <c r="N1120" s="26"/>
      <c r="O1120" s="26"/>
      <c r="P1120" s="34"/>
    </row>
    <row r="1121" customFormat="false" ht="15" hidden="false" customHeight="true" outlineLevel="0" collapsed="false">
      <c r="A1121" s="18" t="n">
        <v>610</v>
      </c>
      <c r="B1121" s="25"/>
      <c r="C1121" s="26"/>
      <c r="D1121" s="26"/>
      <c r="E1121" s="26"/>
      <c r="F1121" s="24" t="str">
        <f aca="false">IFERROR(INDEX('Operator Master'!$B$5:$B$504,MATCH(E1121,'Operator Master'!$A$5:$A$504,0)),"")</f>
        <v/>
      </c>
      <c r="G1121" s="26"/>
      <c r="H1121" s="24" t="str">
        <f aca="false">IFERROR(INDEX('Fault Master'!$B$5:$B$104,MATCH(G1121,'Fault Master'!$A$5:$A$104,0)),"")</f>
        <v/>
      </c>
      <c r="I1121" s="24" t="str">
        <f aca="false">IFERROR(INDEX('Fault Master'!$C$5:$C$104,MATCH(G1121,'Fault Master'!$A$5:$A$104,0)),"")</f>
        <v/>
      </c>
      <c r="J1121" s="26"/>
      <c r="K1121" s="26"/>
      <c r="L1121" s="26"/>
      <c r="M1121" s="26"/>
      <c r="N1121" s="26"/>
      <c r="O1121" s="26"/>
      <c r="P1121" s="34"/>
    </row>
    <row r="1122" customFormat="false" ht="15" hidden="false" customHeight="true" outlineLevel="0" collapsed="false">
      <c r="A1122" s="18" t="n">
        <v>611</v>
      </c>
      <c r="B1122" s="25"/>
      <c r="C1122" s="26"/>
      <c r="D1122" s="26"/>
      <c r="E1122" s="26"/>
      <c r="F1122" s="24" t="str">
        <f aca="false">IFERROR(INDEX('Operator Master'!$B$5:$B$504,MATCH(E1122,'Operator Master'!$A$5:$A$504,0)),"")</f>
        <v/>
      </c>
      <c r="G1122" s="26"/>
      <c r="H1122" s="24" t="str">
        <f aca="false">IFERROR(INDEX('Fault Master'!$B$5:$B$104,MATCH(G1122,'Fault Master'!$A$5:$A$104,0)),"")</f>
        <v/>
      </c>
      <c r="I1122" s="24" t="str">
        <f aca="false">IFERROR(INDEX('Fault Master'!$C$5:$C$104,MATCH(G1122,'Fault Master'!$A$5:$A$104,0)),"")</f>
        <v/>
      </c>
      <c r="J1122" s="26"/>
      <c r="K1122" s="26"/>
      <c r="L1122" s="26"/>
      <c r="M1122" s="26"/>
      <c r="N1122" s="26"/>
      <c r="O1122" s="26"/>
      <c r="P1122" s="34"/>
    </row>
    <row r="1123" customFormat="false" ht="15" hidden="false" customHeight="true" outlineLevel="0" collapsed="false">
      <c r="A1123" s="18" t="n">
        <v>612</v>
      </c>
      <c r="B1123" s="25"/>
      <c r="C1123" s="26"/>
      <c r="D1123" s="26"/>
      <c r="E1123" s="26"/>
      <c r="F1123" s="24" t="str">
        <f aca="false">IFERROR(INDEX('Operator Master'!$B$5:$B$504,MATCH(E1123,'Operator Master'!$A$5:$A$504,0)),"")</f>
        <v/>
      </c>
      <c r="G1123" s="26"/>
      <c r="H1123" s="24" t="str">
        <f aca="false">IFERROR(INDEX('Fault Master'!$B$5:$B$104,MATCH(G1123,'Fault Master'!$A$5:$A$104,0)),"")</f>
        <v/>
      </c>
      <c r="I1123" s="24" t="str">
        <f aca="false">IFERROR(INDEX('Fault Master'!$C$5:$C$104,MATCH(G1123,'Fault Master'!$A$5:$A$104,0)),"")</f>
        <v/>
      </c>
      <c r="J1123" s="26"/>
      <c r="K1123" s="26"/>
      <c r="L1123" s="26"/>
      <c r="M1123" s="26"/>
      <c r="N1123" s="26"/>
      <c r="O1123" s="26"/>
      <c r="P1123" s="34"/>
    </row>
    <row r="1124" customFormat="false" ht="15" hidden="false" customHeight="true" outlineLevel="0" collapsed="false">
      <c r="A1124" s="18" t="n">
        <v>613</v>
      </c>
      <c r="B1124" s="25"/>
      <c r="C1124" s="26"/>
      <c r="D1124" s="26"/>
      <c r="E1124" s="26"/>
      <c r="F1124" s="24" t="str">
        <f aca="false">IFERROR(INDEX('Operator Master'!$B$5:$B$504,MATCH(E1124,'Operator Master'!$A$5:$A$504,0)),"")</f>
        <v/>
      </c>
      <c r="G1124" s="26"/>
      <c r="H1124" s="24" t="str">
        <f aca="false">IFERROR(INDEX('Fault Master'!$B$5:$B$104,MATCH(G1124,'Fault Master'!$A$5:$A$104,0)),"")</f>
        <v/>
      </c>
      <c r="I1124" s="24" t="str">
        <f aca="false">IFERROR(INDEX('Fault Master'!$C$5:$C$104,MATCH(G1124,'Fault Master'!$A$5:$A$104,0)),"")</f>
        <v/>
      </c>
      <c r="J1124" s="26"/>
      <c r="K1124" s="26"/>
      <c r="L1124" s="26"/>
      <c r="M1124" s="26"/>
      <c r="N1124" s="26"/>
      <c r="O1124" s="26"/>
      <c r="P1124" s="34"/>
    </row>
    <row r="1125" customFormat="false" ht="15" hidden="false" customHeight="true" outlineLevel="0" collapsed="false">
      <c r="A1125" s="18" t="n">
        <v>614</v>
      </c>
      <c r="B1125" s="25"/>
      <c r="C1125" s="26"/>
      <c r="D1125" s="26"/>
      <c r="E1125" s="26"/>
      <c r="F1125" s="24" t="str">
        <f aca="false">IFERROR(INDEX('Operator Master'!$B$5:$B$504,MATCH(E1125,'Operator Master'!$A$5:$A$504,0)),"")</f>
        <v/>
      </c>
      <c r="G1125" s="26"/>
      <c r="H1125" s="24" t="str">
        <f aca="false">IFERROR(INDEX('Fault Master'!$B$5:$B$104,MATCH(G1125,'Fault Master'!$A$5:$A$104,0)),"")</f>
        <v/>
      </c>
      <c r="I1125" s="24" t="str">
        <f aca="false">IFERROR(INDEX('Fault Master'!$C$5:$C$104,MATCH(G1125,'Fault Master'!$A$5:$A$104,0)),"")</f>
        <v/>
      </c>
      <c r="J1125" s="26"/>
      <c r="K1125" s="26"/>
      <c r="L1125" s="26"/>
      <c r="M1125" s="26"/>
      <c r="N1125" s="26"/>
      <c r="O1125" s="26"/>
      <c r="P1125" s="34"/>
    </row>
    <row r="1126" customFormat="false" ht="15" hidden="false" customHeight="true" outlineLevel="0" collapsed="false">
      <c r="A1126" s="18" t="n">
        <v>615</v>
      </c>
      <c r="B1126" s="25"/>
      <c r="C1126" s="26"/>
      <c r="D1126" s="26"/>
      <c r="E1126" s="26"/>
      <c r="F1126" s="24" t="str">
        <f aca="false">IFERROR(INDEX('Operator Master'!$B$5:$B$504,MATCH(E1126,'Operator Master'!$A$5:$A$504,0)),"")</f>
        <v/>
      </c>
      <c r="G1126" s="26"/>
      <c r="H1126" s="24" t="str">
        <f aca="false">IFERROR(INDEX('Fault Master'!$B$5:$B$104,MATCH(G1126,'Fault Master'!$A$5:$A$104,0)),"")</f>
        <v/>
      </c>
      <c r="I1126" s="24" t="str">
        <f aca="false">IFERROR(INDEX('Fault Master'!$C$5:$C$104,MATCH(G1126,'Fault Master'!$A$5:$A$104,0)),"")</f>
        <v/>
      </c>
      <c r="J1126" s="26"/>
      <c r="K1126" s="26"/>
      <c r="L1126" s="26"/>
      <c r="M1126" s="26"/>
      <c r="N1126" s="26"/>
      <c r="O1126" s="26"/>
      <c r="P1126" s="34"/>
    </row>
    <row r="1127" customFormat="false" ht="15" hidden="false" customHeight="true" outlineLevel="0" collapsed="false">
      <c r="A1127" s="18" t="n">
        <v>616</v>
      </c>
      <c r="B1127" s="25"/>
      <c r="C1127" s="26"/>
      <c r="D1127" s="26"/>
      <c r="E1127" s="26"/>
      <c r="F1127" s="24" t="str">
        <f aca="false">IFERROR(INDEX('Operator Master'!$B$5:$B$504,MATCH(E1127,'Operator Master'!$A$5:$A$504,0)),"")</f>
        <v/>
      </c>
      <c r="G1127" s="26"/>
      <c r="H1127" s="24" t="str">
        <f aca="false">IFERROR(INDEX('Fault Master'!$B$5:$B$104,MATCH(G1127,'Fault Master'!$A$5:$A$104,0)),"")</f>
        <v/>
      </c>
      <c r="I1127" s="24" t="str">
        <f aca="false">IFERROR(INDEX('Fault Master'!$C$5:$C$104,MATCH(G1127,'Fault Master'!$A$5:$A$104,0)),"")</f>
        <v/>
      </c>
      <c r="J1127" s="26"/>
      <c r="K1127" s="26"/>
      <c r="L1127" s="26"/>
      <c r="M1127" s="26"/>
      <c r="N1127" s="26"/>
      <c r="O1127" s="26"/>
      <c r="P1127" s="34"/>
    </row>
    <row r="1128" customFormat="false" ht="15" hidden="false" customHeight="true" outlineLevel="0" collapsed="false">
      <c r="A1128" s="18" t="n">
        <v>617</v>
      </c>
      <c r="B1128" s="25"/>
      <c r="C1128" s="26"/>
      <c r="D1128" s="26"/>
      <c r="E1128" s="26"/>
      <c r="F1128" s="24" t="str">
        <f aca="false">IFERROR(INDEX('Operator Master'!$B$5:$B$504,MATCH(E1128,'Operator Master'!$A$5:$A$504,0)),"")</f>
        <v/>
      </c>
      <c r="G1128" s="26"/>
      <c r="H1128" s="24" t="str">
        <f aca="false">IFERROR(INDEX('Fault Master'!$B$5:$B$104,MATCH(G1128,'Fault Master'!$A$5:$A$104,0)),"")</f>
        <v/>
      </c>
      <c r="I1128" s="24" t="str">
        <f aca="false">IFERROR(INDEX('Fault Master'!$C$5:$C$104,MATCH(G1128,'Fault Master'!$A$5:$A$104,0)),"")</f>
        <v/>
      </c>
      <c r="J1128" s="26"/>
      <c r="K1128" s="26"/>
      <c r="L1128" s="26"/>
      <c r="M1128" s="26"/>
      <c r="N1128" s="26"/>
      <c r="O1128" s="26"/>
      <c r="P1128" s="34"/>
    </row>
    <row r="1129" customFormat="false" ht="15" hidden="false" customHeight="true" outlineLevel="0" collapsed="false">
      <c r="A1129" s="18" t="n">
        <v>618</v>
      </c>
      <c r="B1129" s="25"/>
      <c r="C1129" s="26"/>
      <c r="D1129" s="26"/>
      <c r="E1129" s="26"/>
      <c r="F1129" s="24" t="str">
        <f aca="false">IFERROR(INDEX('Operator Master'!$B$5:$B$504,MATCH(E1129,'Operator Master'!$A$5:$A$504,0)),"")</f>
        <v/>
      </c>
      <c r="G1129" s="26"/>
      <c r="H1129" s="24" t="str">
        <f aca="false">IFERROR(INDEX('Fault Master'!$B$5:$B$104,MATCH(G1129,'Fault Master'!$A$5:$A$104,0)),"")</f>
        <v/>
      </c>
      <c r="I1129" s="24" t="str">
        <f aca="false">IFERROR(INDEX('Fault Master'!$C$5:$C$104,MATCH(G1129,'Fault Master'!$A$5:$A$104,0)),"")</f>
        <v/>
      </c>
      <c r="J1129" s="26"/>
      <c r="K1129" s="26"/>
      <c r="L1129" s="26"/>
      <c r="M1129" s="26"/>
      <c r="N1129" s="26"/>
      <c r="O1129" s="26"/>
      <c r="P1129" s="34"/>
    </row>
    <row r="1130" customFormat="false" ht="15" hidden="false" customHeight="true" outlineLevel="0" collapsed="false">
      <c r="A1130" s="18" t="n">
        <v>619</v>
      </c>
      <c r="B1130" s="25"/>
      <c r="C1130" s="26"/>
      <c r="D1130" s="26"/>
      <c r="E1130" s="26"/>
      <c r="F1130" s="24" t="str">
        <f aca="false">IFERROR(INDEX('Operator Master'!$B$5:$B$504,MATCH(E1130,'Operator Master'!$A$5:$A$504,0)),"")</f>
        <v/>
      </c>
      <c r="G1130" s="26"/>
      <c r="H1130" s="24" t="str">
        <f aca="false">IFERROR(INDEX('Fault Master'!$B$5:$B$104,MATCH(G1130,'Fault Master'!$A$5:$A$104,0)),"")</f>
        <v/>
      </c>
      <c r="I1130" s="24" t="str">
        <f aca="false">IFERROR(INDEX('Fault Master'!$C$5:$C$104,MATCH(G1130,'Fault Master'!$A$5:$A$104,0)),"")</f>
        <v/>
      </c>
      <c r="J1130" s="26"/>
      <c r="K1130" s="26"/>
      <c r="L1130" s="26"/>
      <c r="M1130" s="26"/>
      <c r="N1130" s="26"/>
      <c r="O1130" s="26"/>
      <c r="P1130" s="34"/>
    </row>
    <row r="1131" customFormat="false" ht="15" hidden="false" customHeight="true" outlineLevel="0" collapsed="false">
      <c r="A1131" s="18" t="n">
        <v>620</v>
      </c>
      <c r="B1131" s="25"/>
      <c r="C1131" s="26"/>
      <c r="D1131" s="26"/>
      <c r="E1131" s="26"/>
      <c r="F1131" s="24" t="str">
        <f aca="false">IFERROR(INDEX('Operator Master'!$B$5:$B$504,MATCH(E1131,'Operator Master'!$A$5:$A$504,0)),"")</f>
        <v/>
      </c>
      <c r="G1131" s="26"/>
      <c r="H1131" s="24" t="str">
        <f aca="false">IFERROR(INDEX('Fault Master'!$B$5:$B$104,MATCH(G1131,'Fault Master'!$A$5:$A$104,0)),"")</f>
        <v/>
      </c>
      <c r="I1131" s="24" t="str">
        <f aca="false">IFERROR(INDEX('Fault Master'!$C$5:$C$104,MATCH(G1131,'Fault Master'!$A$5:$A$104,0)),"")</f>
        <v/>
      </c>
      <c r="J1131" s="26"/>
      <c r="K1131" s="26"/>
      <c r="L1131" s="26"/>
      <c r="M1131" s="26"/>
      <c r="N1131" s="26"/>
      <c r="O1131" s="26"/>
      <c r="P1131" s="34"/>
    </row>
    <row r="1132" customFormat="false" ht="15" hidden="false" customHeight="true" outlineLevel="0" collapsed="false">
      <c r="A1132" s="18" t="n">
        <v>621</v>
      </c>
      <c r="B1132" s="25"/>
      <c r="C1132" s="26"/>
      <c r="D1132" s="26"/>
      <c r="E1132" s="26"/>
      <c r="F1132" s="24" t="str">
        <f aca="false">IFERROR(INDEX('Operator Master'!$B$5:$B$504,MATCH(E1132,'Operator Master'!$A$5:$A$504,0)),"")</f>
        <v/>
      </c>
      <c r="G1132" s="26"/>
      <c r="H1132" s="24" t="str">
        <f aca="false">IFERROR(INDEX('Fault Master'!$B$5:$B$104,MATCH(G1132,'Fault Master'!$A$5:$A$104,0)),"")</f>
        <v/>
      </c>
      <c r="I1132" s="24" t="str">
        <f aca="false">IFERROR(INDEX('Fault Master'!$C$5:$C$104,MATCH(G1132,'Fault Master'!$A$5:$A$104,0)),"")</f>
        <v/>
      </c>
      <c r="J1132" s="26"/>
      <c r="K1132" s="26"/>
      <c r="L1132" s="26"/>
      <c r="M1132" s="26"/>
      <c r="N1132" s="26"/>
      <c r="O1132" s="26"/>
      <c r="P1132" s="34"/>
    </row>
    <row r="1133" customFormat="false" ht="15" hidden="false" customHeight="true" outlineLevel="0" collapsed="false">
      <c r="A1133" s="18" t="n">
        <v>622</v>
      </c>
      <c r="B1133" s="25"/>
      <c r="C1133" s="26"/>
      <c r="D1133" s="26"/>
      <c r="E1133" s="26"/>
      <c r="F1133" s="24" t="str">
        <f aca="false">IFERROR(INDEX('Operator Master'!$B$5:$B$504,MATCH(E1133,'Operator Master'!$A$5:$A$504,0)),"")</f>
        <v/>
      </c>
      <c r="G1133" s="26"/>
      <c r="H1133" s="24" t="str">
        <f aca="false">IFERROR(INDEX('Fault Master'!$B$5:$B$104,MATCH(G1133,'Fault Master'!$A$5:$A$104,0)),"")</f>
        <v/>
      </c>
      <c r="I1133" s="24" t="str">
        <f aca="false">IFERROR(INDEX('Fault Master'!$C$5:$C$104,MATCH(G1133,'Fault Master'!$A$5:$A$104,0)),"")</f>
        <v/>
      </c>
      <c r="J1133" s="26"/>
      <c r="K1133" s="26"/>
      <c r="L1133" s="26"/>
      <c r="M1133" s="26"/>
      <c r="N1133" s="26"/>
      <c r="O1133" s="26"/>
      <c r="P1133" s="34"/>
    </row>
    <row r="1134" customFormat="false" ht="15" hidden="false" customHeight="true" outlineLevel="0" collapsed="false">
      <c r="A1134" s="18" t="n">
        <v>623</v>
      </c>
      <c r="B1134" s="25"/>
      <c r="C1134" s="26"/>
      <c r="D1134" s="26"/>
      <c r="E1134" s="26"/>
      <c r="F1134" s="24" t="str">
        <f aca="false">IFERROR(INDEX('Operator Master'!$B$5:$B$504,MATCH(E1134,'Operator Master'!$A$5:$A$504,0)),"")</f>
        <v/>
      </c>
      <c r="G1134" s="26"/>
      <c r="H1134" s="24" t="str">
        <f aca="false">IFERROR(INDEX('Fault Master'!$B$5:$B$104,MATCH(G1134,'Fault Master'!$A$5:$A$104,0)),"")</f>
        <v/>
      </c>
      <c r="I1134" s="24" t="str">
        <f aca="false">IFERROR(INDEX('Fault Master'!$C$5:$C$104,MATCH(G1134,'Fault Master'!$A$5:$A$104,0)),"")</f>
        <v/>
      </c>
      <c r="J1134" s="26"/>
      <c r="K1134" s="26"/>
      <c r="L1134" s="26"/>
      <c r="M1134" s="26"/>
      <c r="N1134" s="26"/>
      <c r="O1134" s="26"/>
      <c r="P1134" s="34"/>
    </row>
    <row r="1135" customFormat="false" ht="15" hidden="false" customHeight="true" outlineLevel="0" collapsed="false">
      <c r="A1135" s="18" t="n">
        <v>624</v>
      </c>
      <c r="B1135" s="25"/>
      <c r="C1135" s="26"/>
      <c r="D1135" s="26"/>
      <c r="E1135" s="26"/>
      <c r="F1135" s="24" t="str">
        <f aca="false">IFERROR(INDEX('Operator Master'!$B$5:$B$504,MATCH(E1135,'Operator Master'!$A$5:$A$504,0)),"")</f>
        <v/>
      </c>
      <c r="G1135" s="26"/>
      <c r="H1135" s="24" t="str">
        <f aca="false">IFERROR(INDEX('Fault Master'!$B$5:$B$104,MATCH(G1135,'Fault Master'!$A$5:$A$104,0)),"")</f>
        <v/>
      </c>
      <c r="I1135" s="24" t="str">
        <f aca="false">IFERROR(INDEX('Fault Master'!$C$5:$C$104,MATCH(G1135,'Fault Master'!$A$5:$A$104,0)),"")</f>
        <v/>
      </c>
      <c r="J1135" s="26"/>
      <c r="K1135" s="26"/>
      <c r="L1135" s="26"/>
      <c r="M1135" s="26"/>
      <c r="N1135" s="26"/>
      <c r="O1135" s="26"/>
      <c r="P1135" s="34"/>
    </row>
    <row r="1136" customFormat="false" ht="15" hidden="false" customHeight="true" outlineLevel="0" collapsed="false">
      <c r="A1136" s="18" t="n">
        <v>625</v>
      </c>
      <c r="B1136" s="25"/>
      <c r="C1136" s="26"/>
      <c r="D1136" s="26"/>
      <c r="E1136" s="26"/>
      <c r="F1136" s="24" t="str">
        <f aca="false">IFERROR(INDEX('Operator Master'!$B$5:$B$504,MATCH(E1136,'Operator Master'!$A$5:$A$504,0)),"")</f>
        <v/>
      </c>
      <c r="G1136" s="26"/>
      <c r="H1136" s="24" t="str">
        <f aca="false">IFERROR(INDEX('Fault Master'!$B$5:$B$104,MATCH(G1136,'Fault Master'!$A$5:$A$104,0)),"")</f>
        <v/>
      </c>
      <c r="I1136" s="24" t="str">
        <f aca="false">IFERROR(INDEX('Fault Master'!$C$5:$C$104,MATCH(G1136,'Fault Master'!$A$5:$A$104,0)),"")</f>
        <v/>
      </c>
      <c r="J1136" s="26"/>
      <c r="K1136" s="26"/>
      <c r="L1136" s="26"/>
      <c r="M1136" s="26"/>
      <c r="N1136" s="26"/>
      <c r="O1136" s="26"/>
      <c r="P1136" s="34"/>
    </row>
    <row r="1137" customFormat="false" ht="15" hidden="false" customHeight="true" outlineLevel="0" collapsed="false">
      <c r="A1137" s="18" t="n">
        <v>626</v>
      </c>
      <c r="B1137" s="25"/>
      <c r="C1137" s="26"/>
      <c r="D1137" s="26"/>
      <c r="E1137" s="26"/>
      <c r="F1137" s="24" t="str">
        <f aca="false">IFERROR(INDEX('Operator Master'!$B$5:$B$504,MATCH(E1137,'Operator Master'!$A$5:$A$504,0)),"")</f>
        <v/>
      </c>
      <c r="G1137" s="26"/>
      <c r="H1137" s="24" t="str">
        <f aca="false">IFERROR(INDEX('Fault Master'!$B$5:$B$104,MATCH(G1137,'Fault Master'!$A$5:$A$104,0)),"")</f>
        <v/>
      </c>
      <c r="I1137" s="24" t="str">
        <f aca="false">IFERROR(INDEX('Fault Master'!$C$5:$C$104,MATCH(G1137,'Fault Master'!$A$5:$A$104,0)),"")</f>
        <v/>
      </c>
      <c r="J1137" s="26"/>
      <c r="K1137" s="26"/>
      <c r="L1137" s="26"/>
      <c r="M1137" s="26"/>
      <c r="N1137" s="26"/>
      <c r="O1137" s="26"/>
      <c r="P1137" s="34"/>
    </row>
    <row r="1138" customFormat="false" ht="15" hidden="false" customHeight="true" outlineLevel="0" collapsed="false">
      <c r="A1138" s="18" t="n">
        <v>627</v>
      </c>
      <c r="B1138" s="25"/>
      <c r="C1138" s="26"/>
      <c r="D1138" s="26"/>
      <c r="E1138" s="26"/>
      <c r="F1138" s="24" t="str">
        <f aca="false">IFERROR(INDEX('Operator Master'!$B$5:$B$504,MATCH(E1138,'Operator Master'!$A$5:$A$504,0)),"")</f>
        <v/>
      </c>
      <c r="G1138" s="26"/>
      <c r="H1138" s="24" t="str">
        <f aca="false">IFERROR(INDEX('Fault Master'!$B$5:$B$104,MATCH(G1138,'Fault Master'!$A$5:$A$104,0)),"")</f>
        <v/>
      </c>
      <c r="I1138" s="24" t="str">
        <f aca="false">IFERROR(INDEX('Fault Master'!$C$5:$C$104,MATCH(G1138,'Fault Master'!$A$5:$A$104,0)),"")</f>
        <v/>
      </c>
      <c r="J1138" s="26"/>
      <c r="K1138" s="26"/>
      <c r="L1138" s="26"/>
      <c r="M1138" s="26"/>
      <c r="N1138" s="26"/>
      <c r="O1138" s="26"/>
      <c r="P1138" s="34"/>
    </row>
    <row r="1139" customFormat="false" ht="15" hidden="false" customHeight="true" outlineLevel="0" collapsed="false">
      <c r="A1139" s="18" t="n">
        <v>628</v>
      </c>
      <c r="B1139" s="25"/>
      <c r="C1139" s="26"/>
      <c r="D1139" s="26"/>
      <c r="E1139" s="26"/>
      <c r="F1139" s="24" t="str">
        <f aca="false">IFERROR(INDEX('Operator Master'!$B$5:$B$504,MATCH(E1139,'Operator Master'!$A$5:$A$504,0)),"")</f>
        <v/>
      </c>
      <c r="G1139" s="26"/>
      <c r="H1139" s="24" t="str">
        <f aca="false">IFERROR(INDEX('Fault Master'!$B$5:$B$104,MATCH(G1139,'Fault Master'!$A$5:$A$104,0)),"")</f>
        <v/>
      </c>
      <c r="I1139" s="24" t="str">
        <f aca="false">IFERROR(INDEX('Fault Master'!$C$5:$C$104,MATCH(G1139,'Fault Master'!$A$5:$A$104,0)),"")</f>
        <v/>
      </c>
      <c r="J1139" s="26"/>
      <c r="K1139" s="26"/>
      <c r="L1139" s="26"/>
      <c r="M1139" s="26"/>
      <c r="N1139" s="26"/>
      <c r="O1139" s="26"/>
      <c r="P1139" s="34"/>
    </row>
    <row r="1140" customFormat="false" ht="15" hidden="false" customHeight="true" outlineLevel="0" collapsed="false">
      <c r="A1140" s="18" t="n">
        <v>629</v>
      </c>
      <c r="B1140" s="25"/>
      <c r="C1140" s="26"/>
      <c r="D1140" s="26"/>
      <c r="E1140" s="26"/>
      <c r="F1140" s="24" t="str">
        <f aca="false">IFERROR(INDEX('Operator Master'!$B$5:$B$504,MATCH(E1140,'Operator Master'!$A$5:$A$504,0)),"")</f>
        <v/>
      </c>
      <c r="G1140" s="26"/>
      <c r="H1140" s="24" t="str">
        <f aca="false">IFERROR(INDEX('Fault Master'!$B$5:$B$104,MATCH(G1140,'Fault Master'!$A$5:$A$104,0)),"")</f>
        <v/>
      </c>
      <c r="I1140" s="24" t="str">
        <f aca="false">IFERROR(INDEX('Fault Master'!$C$5:$C$104,MATCH(G1140,'Fault Master'!$A$5:$A$104,0)),"")</f>
        <v/>
      </c>
      <c r="J1140" s="26"/>
      <c r="K1140" s="26"/>
      <c r="L1140" s="26"/>
      <c r="M1140" s="26"/>
      <c r="N1140" s="26"/>
      <c r="O1140" s="26"/>
      <c r="P1140" s="34"/>
    </row>
    <row r="1141" customFormat="false" ht="15" hidden="false" customHeight="true" outlineLevel="0" collapsed="false">
      <c r="A1141" s="18" t="n">
        <v>630</v>
      </c>
      <c r="B1141" s="25"/>
      <c r="C1141" s="26"/>
      <c r="D1141" s="26"/>
      <c r="E1141" s="26"/>
      <c r="F1141" s="24" t="str">
        <f aca="false">IFERROR(INDEX('Operator Master'!$B$5:$B$504,MATCH(E1141,'Operator Master'!$A$5:$A$504,0)),"")</f>
        <v/>
      </c>
      <c r="G1141" s="26"/>
      <c r="H1141" s="24" t="str">
        <f aca="false">IFERROR(INDEX('Fault Master'!$B$5:$B$104,MATCH(G1141,'Fault Master'!$A$5:$A$104,0)),"")</f>
        <v/>
      </c>
      <c r="I1141" s="24" t="str">
        <f aca="false">IFERROR(INDEX('Fault Master'!$C$5:$C$104,MATCH(G1141,'Fault Master'!$A$5:$A$104,0)),"")</f>
        <v/>
      </c>
      <c r="J1141" s="26"/>
      <c r="K1141" s="26"/>
      <c r="L1141" s="26"/>
      <c r="M1141" s="26"/>
      <c r="N1141" s="26"/>
      <c r="O1141" s="26"/>
      <c r="P1141" s="34"/>
    </row>
    <row r="1142" customFormat="false" ht="15" hidden="false" customHeight="true" outlineLevel="0" collapsed="false">
      <c r="A1142" s="18" t="n">
        <v>631</v>
      </c>
      <c r="B1142" s="25"/>
      <c r="C1142" s="26"/>
      <c r="D1142" s="26"/>
      <c r="E1142" s="26"/>
      <c r="F1142" s="24" t="str">
        <f aca="false">IFERROR(INDEX('Operator Master'!$B$5:$B$504,MATCH(E1142,'Operator Master'!$A$5:$A$504,0)),"")</f>
        <v/>
      </c>
      <c r="G1142" s="26"/>
      <c r="H1142" s="24" t="str">
        <f aca="false">IFERROR(INDEX('Fault Master'!$B$5:$B$104,MATCH(G1142,'Fault Master'!$A$5:$A$104,0)),"")</f>
        <v/>
      </c>
      <c r="I1142" s="24" t="str">
        <f aca="false">IFERROR(INDEX('Fault Master'!$C$5:$C$104,MATCH(G1142,'Fault Master'!$A$5:$A$104,0)),"")</f>
        <v/>
      </c>
      <c r="J1142" s="26"/>
      <c r="K1142" s="26"/>
      <c r="L1142" s="26"/>
      <c r="M1142" s="26"/>
      <c r="N1142" s="26"/>
      <c r="O1142" s="26"/>
      <c r="P1142" s="34"/>
    </row>
    <row r="1143" customFormat="false" ht="15" hidden="false" customHeight="true" outlineLevel="0" collapsed="false">
      <c r="A1143" s="18" t="n">
        <v>632</v>
      </c>
      <c r="B1143" s="25"/>
      <c r="C1143" s="26"/>
      <c r="D1143" s="26"/>
      <c r="E1143" s="26"/>
      <c r="F1143" s="24" t="str">
        <f aca="false">IFERROR(INDEX('Operator Master'!$B$5:$B$504,MATCH(E1143,'Operator Master'!$A$5:$A$504,0)),"")</f>
        <v/>
      </c>
      <c r="G1143" s="26"/>
      <c r="H1143" s="24" t="str">
        <f aca="false">IFERROR(INDEX('Fault Master'!$B$5:$B$104,MATCH(G1143,'Fault Master'!$A$5:$A$104,0)),"")</f>
        <v/>
      </c>
      <c r="I1143" s="24" t="str">
        <f aca="false">IFERROR(INDEX('Fault Master'!$C$5:$C$104,MATCH(G1143,'Fault Master'!$A$5:$A$104,0)),"")</f>
        <v/>
      </c>
      <c r="J1143" s="26"/>
      <c r="K1143" s="26"/>
      <c r="L1143" s="26"/>
      <c r="M1143" s="26"/>
      <c r="N1143" s="26"/>
      <c r="O1143" s="26"/>
      <c r="P1143" s="34"/>
    </row>
    <row r="1144" customFormat="false" ht="15" hidden="false" customHeight="true" outlineLevel="0" collapsed="false">
      <c r="A1144" s="18" t="n">
        <v>633</v>
      </c>
      <c r="B1144" s="25"/>
      <c r="C1144" s="26"/>
      <c r="D1144" s="26"/>
      <c r="E1144" s="26"/>
      <c r="F1144" s="24" t="str">
        <f aca="false">IFERROR(INDEX('Operator Master'!$B$5:$B$504,MATCH(E1144,'Operator Master'!$A$5:$A$504,0)),"")</f>
        <v/>
      </c>
      <c r="G1144" s="26"/>
      <c r="H1144" s="24" t="str">
        <f aca="false">IFERROR(INDEX('Fault Master'!$B$5:$B$104,MATCH(G1144,'Fault Master'!$A$5:$A$104,0)),"")</f>
        <v/>
      </c>
      <c r="I1144" s="24" t="str">
        <f aca="false">IFERROR(INDEX('Fault Master'!$C$5:$C$104,MATCH(G1144,'Fault Master'!$A$5:$A$104,0)),"")</f>
        <v/>
      </c>
      <c r="J1144" s="26"/>
      <c r="K1144" s="26"/>
      <c r="L1144" s="26"/>
      <c r="M1144" s="26"/>
      <c r="N1144" s="26"/>
      <c r="O1144" s="26"/>
      <c r="P1144" s="34"/>
    </row>
    <row r="1145" customFormat="false" ht="15" hidden="false" customHeight="true" outlineLevel="0" collapsed="false">
      <c r="A1145" s="18" t="n">
        <v>634</v>
      </c>
      <c r="B1145" s="25"/>
      <c r="C1145" s="26"/>
      <c r="D1145" s="26"/>
      <c r="E1145" s="26"/>
      <c r="F1145" s="24" t="str">
        <f aca="false">IFERROR(INDEX('Operator Master'!$B$5:$B$504,MATCH(E1145,'Operator Master'!$A$5:$A$504,0)),"")</f>
        <v/>
      </c>
      <c r="G1145" s="26"/>
      <c r="H1145" s="24" t="str">
        <f aca="false">IFERROR(INDEX('Fault Master'!$B$5:$B$104,MATCH(G1145,'Fault Master'!$A$5:$A$104,0)),"")</f>
        <v/>
      </c>
      <c r="I1145" s="24" t="str">
        <f aca="false">IFERROR(INDEX('Fault Master'!$C$5:$C$104,MATCH(G1145,'Fault Master'!$A$5:$A$104,0)),"")</f>
        <v/>
      </c>
      <c r="J1145" s="26"/>
      <c r="K1145" s="26"/>
      <c r="L1145" s="26"/>
      <c r="M1145" s="26"/>
      <c r="N1145" s="26"/>
      <c r="O1145" s="26"/>
      <c r="P1145" s="34"/>
    </row>
    <row r="1146" customFormat="false" ht="15" hidden="false" customHeight="true" outlineLevel="0" collapsed="false">
      <c r="A1146" s="18" t="n">
        <v>635</v>
      </c>
      <c r="B1146" s="25"/>
      <c r="C1146" s="26"/>
      <c r="D1146" s="26"/>
      <c r="E1146" s="26"/>
      <c r="F1146" s="24" t="str">
        <f aca="false">IFERROR(INDEX('Operator Master'!$B$5:$B$504,MATCH(E1146,'Operator Master'!$A$5:$A$504,0)),"")</f>
        <v/>
      </c>
      <c r="G1146" s="26"/>
      <c r="H1146" s="24" t="str">
        <f aca="false">IFERROR(INDEX('Fault Master'!$B$5:$B$104,MATCH(G1146,'Fault Master'!$A$5:$A$104,0)),"")</f>
        <v/>
      </c>
      <c r="I1146" s="24" t="str">
        <f aca="false">IFERROR(INDEX('Fault Master'!$C$5:$C$104,MATCH(G1146,'Fault Master'!$A$5:$A$104,0)),"")</f>
        <v/>
      </c>
      <c r="J1146" s="26"/>
      <c r="K1146" s="26"/>
      <c r="L1146" s="26"/>
      <c r="M1146" s="26"/>
      <c r="N1146" s="26"/>
      <c r="O1146" s="26"/>
      <c r="P1146" s="34"/>
    </row>
    <row r="1147" customFormat="false" ht="15" hidden="false" customHeight="true" outlineLevel="0" collapsed="false">
      <c r="A1147" s="18" t="n">
        <v>636</v>
      </c>
      <c r="B1147" s="25"/>
      <c r="C1147" s="26"/>
      <c r="D1147" s="26"/>
      <c r="E1147" s="26"/>
      <c r="F1147" s="24" t="str">
        <f aca="false">IFERROR(INDEX('Operator Master'!$B$5:$B$504,MATCH(E1147,'Operator Master'!$A$5:$A$504,0)),"")</f>
        <v/>
      </c>
      <c r="G1147" s="26"/>
      <c r="H1147" s="24" t="str">
        <f aca="false">IFERROR(INDEX('Fault Master'!$B$5:$B$104,MATCH(G1147,'Fault Master'!$A$5:$A$104,0)),"")</f>
        <v/>
      </c>
      <c r="I1147" s="24" t="str">
        <f aca="false">IFERROR(INDEX('Fault Master'!$C$5:$C$104,MATCH(G1147,'Fault Master'!$A$5:$A$104,0)),"")</f>
        <v/>
      </c>
      <c r="J1147" s="26"/>
      <c r="K1147" s="26"/>
      <c r="L1147" s="26"/>
      <c r="M1147" s="26"/>
      <c r="N1147" s="26"/>
      <c r="O1147" s="26"/>
      <c r="P1147" s="34"/>
    </row>
    <row r="1148" customFormat="false" ht="15" hidden="false" customHeight="true" outlineLevel="0" collapsed="false">
      <c r="A1148" s="18" t="n">
        <v>637</v>
      </c>
      <c r="B1148" s="25"/>
      <c r="C1148" s="26"/>
      <c r="D1148" s="26"/>
      <c r="E1148" s="26"/>
      <c r="F1148" s="24" t="str">
        <f aca="false">IFERROR(INDEX('Operator Master'!$B$5:$B$504,MATCH(E1148,'Operator Master'!$A$5:$A$504,0)),"")</f>
        <v/>
      </c>
      <c r="G1148" s="26"/>
      <c r="H1148" s="24" t="str">
        <f aca="false">IFERROR(INDEX('Fault Master'!$B$5:$B$104,MATCH(G1148,'Fault Master'!$A$5:$A$104,0)),"")</f>
        <v/>
      </c>
      <c r="I1148" s="24" t="str">
        <f aca="false">IFERROR(INDEX('Fault Master'!$C$5:$C$104,MATCH(G1148,'Fault Master'!$A$5:$A$104,0)),"")</f>
        <v/>
      </c>
      <c r="J1148" s="26"/>
      <c r="K1148" s="26"/>
      <c r="L1148" s="26"/>
      <c r="M1148" s="26"/>
      <c r="N1148" s="26"/>
      <c r="O1148" s="26"/>
      <c r="P1148" s="34"/>
    </row>
    <row r="1149" customFormat="false" ht="15" hidden="false" customHeight="true" outlineLevel="0" collapsed="false">
      <c r="A1149" s="18" t="n">
        <v>638</v>
      </c>
      <c r="B1149" s="25"/>
      <c r="C1149" s="26"/>
      <c r="D1149" s="26"/>
      <c r="E1149" s="26"/>
      <c r="F1149" s="24" t="str">
        <f aca="false">IFERROR(INDEX('Operator Master'!$B$5:$B$504,MATCH(E1149,'Operator Master'!$A$5:$A$504,0)),"")</f>
        <v/>
      </c>
      <c r="G1149" s="26"/>
      <c r="H1149" s="24" t="str">
        <f aca="false">IFERROR(INDEX('Fault Master'!$B$5:$B$104,MATCH(G1149,'Fault Master'!$A$5:$A$104,0)),"")</f>
        <v/>
      </c>
      <c r="I1149" s="24" t="str">
        <f aca="false">IFERROR(INDEX('Fault Master'!$C$5:$C$104,MATCH(G1149,'Fault Master'!$A$5:$A$104,0)),"")</f>
        <v/>
      </c>
      <c r="J1149" s="26"/>
      <c r="K1149" s="26"/>
      <c r="L1149" s="26"/>
      <c r="M1149" s="26"/>
      <c r="N1149" s="26"/>
      <c r="O1149" s="26"/>
      <c r="P1149" s="34"/>
    </row>
    <row r="1150" customFormat="false" ht="15" hidden="false" customHeight="true" outlineLevel="0" collapsed="false">
      <c r="A1150" s="18" t="n">
        <v>639</v>
      </c>
      <c r="B1150" s="25"/>
      <c r="C1150" s="26"/>
      <c r="D1150" s="26"/>
      <c r="E1150" s="26"/>
      <c r="F1150" s="24" t="str">
        <f aca="false">IFERROR(INDEX('Operator Master'!$B$5:$B$504,MATCH(E1150,'Operator Master'!$A$5:$A$504,0)),"")</f>
        <v/>
      </c>
      <c r="G1150" s="26"/>
      <c r="H1150" s="24" t="str">
        <f aca="false">IFERROR(INDEX('Fault Master'!$B$5:$B$104,MATCH(G1150,'Fault Master'!$A$5:$A$104,0)),"")</f>
        <v/>
      </c>
      <c r="I1150" s="24" t="str">
        <f aca="false">IFERROR(INDEX('Fault Master'!$C$5:$C$104,MATCH(G1150,'Fault Master'!$A$5:$A$104,0)),"")</f>
        <v/>
      </c>
      <c r="J1150" s="26"/>
      <c r="K1150" s="26"/>
      <c r="L1150" s="26"/>
      <c r="M1150" s="26"/>
      <c r="N1150" s="26"/>
      <c r="O1150" s="26"/>
      <c r="P1150" s="34"/>
    </row>
    <row r="1151" customFormat="false" ht="15" hidden="false" customHeight="true" outlineLevel="0" collapsed="false">
      <c r="A1151" s="18" t="n">
        <v>640</v>
      </c>
      <c r="B1151" s="25"/>
      <c r="C1151" s="26"/>
      <c r="D1151" s="26"/>
      <c r="E1151" s="26"/>
      <c r="F1151" s="24" t="str">
        <f aca="false">IFERROR(INDEX('Operator Master'!$B$5:$B$504,MATCH(E1151,'Operator Master'!$A$5:$A$504,0)),"")</f>
        <v/>
      </c>
      <c r="G1151" s="26"/>
      <c r="H1151" s="24" t="str">
        <f aca="false">IFERROR(INDEX('Fault Master'!$B$5:$B$104,MATCH(G1151,'Fault Master'!$A$5:$A$104,0)),"")</f>
        <v/>
      </c>
      <c r="I1151" s="24" t="str">
        <f aca="false">IFERROR(INDEX('Fault Master'!$C$5:$C$104,MATCH(G1151,'Fault Master'!$A$5:$A$104,0)),"")</f>
        <v/>
      </c>
      <c r="J1151" s="26"/>
      <c r="K1151" s="26"/>
      <c r="L1151" s="26"/>
      <c r="M1151" s="26"/>
      <c r="N1151" s="26"/>
      <c r="O1151" s="26"/>
      <c r="P1151" s="34"/>
    </row>
    <row r="1152" customFormat="false" ht="15" hidden="false" customHeight="true" outlineLevel="0" collapsed="false">
      <c r="A1152" s="18" t="n">
        <v>641</v>
      </c>
      <c r="B1152" s="25"/>
      <c r="C1152" s="26"/>
      <c r="D1152" s="26"/>
      <c r="E1152" s="26"/>
      <c r="F1152" s="24" t="str">
        <f aca="false">IFERROR(INDEX('Operator Master'!$B$5:$B$504,MATCH(E1152,'Operator Master'!$A$5:$A$504,0)),"")</f>
        <v/>
      </c>
      <c r="G1152" s="26"/>
      <c r="H1152" s="24" t="str">
        <f aca="false">IFERROR(INDEX('Fault Master'!$B$5:$B$104,MATCH(G1152,'Fault Master'!$A$5:$A$104,0)),"")</f>
        <v/>
      </c>
      <c r="I1152" s="24" t="str">
        <f aca="false">IFERROR(INDEX('Fault Master'!$C$5:$C$104,MATCH(G1152,'Fault Master'!$A$5:$A$104,0)),"")</f>
        <v/>
      </c>
      <c r="J1152" s="26"/>
      <c r="K1152" s="26"/>
      <c r="L1152" s="26"/>
      <c r="M1152" s="26"/>
      <c r="N1152" s="26"/>
      <c r="O1152" s="26"/>
      <c r="P1152" s="34"/>
    </row>
    <row r="1153" customFormat="false" ht="15" hidden="false" customHeight="true" outlineLevel="0" collapsed="false">
      <c r="A1153" s="18" t="n">
        <v>642</v>
      </c>
      <c r="B1153" s="25"/>
      <c r="C1153" s="26"/>
      <c r="D1153" s="26"/>
      <c r="E1153" s="26"/>
      <c r="F1153" s="24" t="str">
        <f aca="false">IFERROR(INDEX('Operator Master'!$B$5:$B$504,MATCH(E1153,'Operator Master'!$A$5:$A$504,0)),"")</f>
        <v/>
      </c>
      <c r="G1153" s="26"/>
      <c r="H1153" s="24" t="str">
        <f aca="false">IFERROR(INDEX('Fault Master'!$B$5:$B$104,MATCH(G1153,'Fault Master'!$A$5:$A$104,0)),"")</f>
        <v/>
      </c>
      <c r="I1153" s="24" t="str">
        <f aca="false">IFERROR(INDEX('Fault Master'!$C$5:$C$104,MATCH(G1153,'Fault Master'!$A$5:$A$104,0)),"")</f>
        <v/>
      </c>
      <c r="J1153" s="26"/>
      <c r="K1153" s="26"/>
      <c r="L1153" s="26"/>
      <c r="M1153" s="26"/>
      <c r="N1153" s="26"/>
      <c r="O1153" s="26"/>
      <c r="P1153" s="34"/>
    </row>
    <row r="1154" customFormat="false" ht="15" hidden="false" customHeight="true" outlineLevel="0" collapsed="false">
      <c r="A1154" s="18" t="n">
        <v>643</v>
      </c>
      <c r="B1154" s="25"/>
      <c r="C1154" s="26"/>
      <c r="D1154" s="26"/>
      <c r="E1154" s="26"/>
      <c r="F1154" s="24" t="str">
        <f aca="false">IFERROR(INDEX('Operator Master'!$B$5:$B$504,MATCH(E1154,'Operator Master'!$A$5:$A$504,0)),"")</f>
        <v/>
      </c>
      <c r="G1154" s="26"/>
      <c r="H1154" s="24" t="str">
        <f aca="false">IFERROR(INDEX('Fault Master'!$B$5:$B$104,MATCH(G1154,'Fault Master'!$A$5:$A$104,0)),"")</f>
        <v/>
      </c>
      <c r="I1154" s="24" t="str">
        <f aca="false">IFERROR(INDEX('Fault Master'!$C$5:$C$104,MATCH(G1154,'Fault Master'!$A$5:$A$104,0)),"")</f>
        <v/>
      </c>
      <c r="J1154" s="26"/>
      <c r="K1154" s="26"/>
      <c r="L1154" s="26"/>
      <c r="M1154" s="26"/>
      <c r="N1154" s="26"/>
      <c r="O1154" s="26"/>
      <c r="P1154" s="34"/>
    </row>
    <row r="1155" customFormat="false" ht="15" hidden="false" customHeight="true" outlineLevel="0" collapsed="false">
      <c r="A1155" s="18" t="n">
        <v>644</v>
      </c>
      <c r="B1155" s="25"/>
      <c r="C1155" s="26"/>
      <c r="D1155" s="26"/>
      <c r="E1155" s="26"/>
      <c r="F1155" s="24" t="str">
        <f aca="false">IFERROR(INDEX('Operator Master'!$B$5:$B$504,MATCH(E1155,'Operator Master'!$A$5:$A$504,0)),"")</f>
        <v/>
      </c>
      <c r="G1155" s="26"/>
      <c r="H1155" s="24" t="str">
        <f aca="false">IFERROR(INDEX('Fault Master'!$B$5:$B$104,MATCH(G1155,'Fault Master'!$A$5:$A$104,0)),"")</f>
        <v/>
      </c>
      <c r="I1155" s="24" t="str">
        <f aca="false">IFERROR(INDEX('Fault Master'!$C$5:$C$104,MATCH(G1155,'Fault Master'!$A$5:$A$104,0)),"")</f>
        <v/>
      </c>
      <c r="J1155" s="26"/>
      <c r="K1155" s="26"/>
      <c r="L1155" s="26"/>
      <c r="M1155" s="26"/>
      <c r="N1155" s="26"/>
      <c r="O1155" s="26"/>
      <c r="P1155" s="34"/>
    </row>
    <row r="1156" customFormat="false" ht="15" hidden="false" customHeight="true" outlineLevel="0" collapsed="false">
      <c r="A1156" s="18" t="n">
        <v>645</v>
      </c>
      <c r="B1156" s="25"/>
      <c r="C1156" s="26"/>
      <c r="D1156" s="26"/>
      <c r="E1156" s="26"/>
      <c r="F1156" s="24" t="str">
        <f aca="false">IFERROR(INDEX('Operator Master'!$B$5:$B$504,MATCH(E1156,'Operator Master'!$A$5:$A$504,0)),"")</f>
        <v/>
      </c>
      <c r="G1156" s="26"/>
      <c r="H1156" s="24" t="str">
        <f aca="false">IFERROR(INDEX('Fault Master'!$B$5:$B$104,MATCH(G1156,'Fault Master'!$A$5:$A$104,0)),"")</f>
        <v/>
      </c>
      <c r="I1156" s="24" t="str">
        <f aca="false">IFERROR(INDEX('Fault Master'!$C$5:$C$104,MATCH(G1156,'Fault Master'!$A$5:$A$104,0)),"")</f>
        <v/>
      </c>
      <c r="J1156" s="26"/>
      <c r="K1156" s="26"/>
      <c r="L1156" s="26"/>
      <c r="M1156" s="26"/>
      <c r="N1156" s="26"/>
      <c r="O1156" s="26"/>
      <c r="P1156" s="34"/>
    </row>
    <row r="1157" customFormat="false" ht="15" hidden="false" customHeight="true" outlineLevel="0" collapsed="false">
      <c r="A1157" s="18" t="n">
        <v>646</v>
      </c>
      <c r="B1157" s="25"/>
      <c r="C1157" s="26"/>
      <c r="D1157" s="26"/>
      <c r="E1157" s="26"/>
      <c r="F1157" s="24" t="str">
        <f aca="false">IFERROR(INDEX('Operator Master'!$B$5:$B$504,MATCH(E1157,'Operator Master'!$A$5:$A$504,0)),"")</f>
        <v/>
      </c>
      <c r="G1157" s="26"/>
      <c r="H1157" s="24" t="str">
        <f aca="false">IFERROR(INDEX('Fault Master'!$B$5:$B$104,MATCH(G1157,'Fault Master'!$A$5:$A$104,0)),"")</f>
        <v/>
      </c>
      <c r="I1157" s="24" t="str">
        <f aca="false">IFERROR(INDEX('Fault Master'!$C$5:$C$104,MATCH(G1157,'Fault Master'!$A$5:$A$104,0)),"")</f>
        <v/>
      </c>
      <c r="J1157" s="26"/>
      <c r="K1157" s="26"/>
      <c r="L1157" s="26"/>
      <c r="M1157" s="26"/>
      <c r="N1157" s="26"/>
      <c r="O1157" s="26"/>
      <c r="P1157" s="34"/>
    </row>
    <row r="1158" customFormat="false" ht="15" hidden="false" customHeight="true" outlineLevel="0" collapsed="false">
      <c r="A1158" s="18" t="n">
        <v>647</v>
      </c>
      <c r="B1158" s="25"/>
      <c r="C1158" s="26"/>
      <c r="D1158" s="26"/>
      <c r="E1158" s="26"/>
      <c r="F1158" s="24" t="str">
        <f aca="false">IFERROR(INDEX('Operator Master'!$B$5:$B$504,MATCH(E1158,'Operator Master'!$A$5:$A$504,0)),"")</f>
        <v/>
      </c>
      <c r="G1158" s="26"/>
      <c r="H1158" s="24" t="str">
        <f aca="false">IFERROR(INDEX('Fault Master'!$B$5:$B$104,MATCH(G1158,'Fault Master'!$A$5:$A$104,0)),"")</f>
        <v/>
      </c>
      <c r="I1158" s="24" t="str">
        <f aca="false">IFERROR(INDEX('Fault Master'!$C$5:$C$104,MATCH(G1158,'Fault Master'!$A$5:$A$104,0)),"")</f>
        <v/>
      </c>
      <c r="J1158" s="26"/>
      <c r="K1158" s="26"/>
      <c r="L1158" s="26"/>
      <c r="M1158" s="26"/>
      <c r="N1158" s="26"/>
      <c r="O1158" s="26"/>
      <c r="P1158" s="34"/>
    </row>
    <row r="1159" customFormat="false" ht="15" hidden="false" customHeight="true" outlineLevel="0" collapsed="false">
      <c r="A1159" s="18" t="n">
        <v>648</v>
      </c>
      <c r="B1159" s="25"/>
      <c r="C1159" s="26"/>
      <c r="D1159" s="26"/>
      <c r="E1159" s="26"/>
      <c r="F1159" s="24" t="str">
        <f aca="false">IFERROR(INDEX('Operator Master'!$B$5:$B$504,MATCH(E1159,'Operator Master'!$A$5:$A$504,0)),"")</f>
        <v/>
      </c>
      <c r="G1159" s="26"/>
      <c r="H1159" s="24" t="str">
        <f aca="false">IFERROR(INDEX('Fault Master'!$B$5:$B$104,MATCH(G1159,'Fault Master'!$A$5:$A$104,0)),"")</f>
        <v/>
      </c>
      <c r="I1159" s="24" t="str">
        <f aca="false">IFERROR(INDEX('Fault Master'!$C$5:$C$104,MATCH(G1159,'Fault Master'!$A$5:$A$104,0)),"")</f>
        <v/>
      </c>
      <c r="J1159" s="26"/>
      <c r="K1159" s="26"/>
      <c r="L1159" s="26"/>
      <c r="M1159" s="26"/>
      <c r="N1159" s="26"/>
      <c r="O1159" s="26"/>
      <c r="P1159" s="34"/>
    </row>
    <row r="1160" customFormat="false" ht="15" hidden="false" customHeight="true" outlineLevel="0" collapsed="false">
      <c r="A1160" s="18" t="n">
        <v>649</v>
      </c>
      <c r="B1160" s="25"/>
      <c r="C1160" s="26"/>
      <c r="D1160" s="26"/>
      <c r="E1160" s="26"/>
      <c r="F1160" s="24" t="str">
        <f aca="false">IFERROR(INDEX('Operator Master'!$B$5:$B$504,MATCH(E1160,'Operator Master'!$A$5:$A$504,0)),"")</f>
        <v/>
      </c>
      <c r="G1160" s="26"/>
      <c r="H1160" s="24" t="str">
        <f aca="false">IFERROR(INDEX('Fault Master'!$B$5:$B$104,MATCH(G1160,'Fault Master'!$A$5:$A$104,0)),"")</f>
        <v/>
      </c>
      <c r="I1160" s="24" t="str">
        <f aca="false">IFERROR(INDEX('Fault Master'!$C$5:$C$104,MATCH(G1160,'Fault Master'!$A$5:$A$104,0)),"")</f>
        <v/>
      </c>
      <c r="J1160" s="26"/>
      <c r="K1160" s="26"/>
      <c r="L1160" s="26"/>
      <c r="M1160" s="26"/>
      <c r="N1160" s="26"/>
      <c r="O1160" s="26"/>
      <c r="P1160" s="34"/>
    </row>
    <row r="1161" customFormat="false" ht="15" hidden="false" customHeight="true" outlineLevel="0" collapsed="false">
      <c r="A1161" s="18" t="n">
        <v>650</v>
      </c>
      <c r="B1161" s="25"/>
      <c r="C1161" s="26"/>
      <c r="D1161" s="26"/>
      <c r="E1161" s="26"/>
      <c r="F1161" s="24" t="str">
        <f aca="false">IFERROR(INDEX('Operator Master'!$B$5:$B$504,MATCH(E1161,'Operator Master'!$A$5:$A$504,0)),"")</f>
        <v/>
      </c>
      <c r="G1161" s="26"/>
      <c r="H1161" s="24" t="str">
        <f aca="false">IFERROR(INDEX('Fault Master'!$B$5:$B$104,MATCH(G1161,'Fault Master'!$A$5:$A$104,0)),"")</f>
        <v/>
      </c>
      <c r="I1161" s="24" t="str">
        <f aca="false">IFERROR(INDEX('Fault Master'!$C$5:$C$104,MATCH(G1161,'Fault Master'!$A$5:$A$104,0)),"")</f>
        <v/>
      </c>
      <c r="J1161" s="26"/>
      <c r="K1161" s="26"/>
      <c r="L1161" s="26"/>
      <c r="M1161" s="26"/>
      <c r="N1161" s="26"/>
      <c r="O1161" s="26"/>
      <c r="P1161" s="34"/>
    </row>
    <row r="1162" customFormat="false" ht="15" hidden="false" customHeight="true" outlineLevel="0" collapsed="false">
      <c r="A1162" s="18" t="n">
        <v>651</v>
      </c>
      <c r="B1162" s="25"/>
      <c r="C1162" s="26"/>
      <c r="D1162" s="26"/>
      <c r="E1162" s="26"/>
      <c r="F1162" s="24" t="str">
        <f aca="false">IFERROR(INDEX('Operator Master'!$B$5:$B$504,MATCH(E1162,'Operator Master'!$A$5:$A$504,0)),"")</f>
        <v/>
      </c>
      <c r="G1162" s="26"/>
      <c r="H1162" s="24" t="str">
        <f aca="false">IFERROR(INDEX('Fault Master'!$B$5:$B$104,MATCH(G1162,'Fault Master'!$A$5:$A$104,0)),"")</f>
        <v/>
      </c>
      <c r="I1162" s="24" t="str">
        <f aca="false">IFERROR(INDEX('Fault Master'!$C$5:$C$104,MATCH(G1162,'Fault Master'!$A$5:$A$104,0)),"")</f>
        <v/>
      </c>
      <c r="J1162" s="26"/>
      <c r="K1162" s="26"/>
      <c r="L1162" s="26"/>
      <c r="M1162" s="26"/>
      <c r="N1162" s="26"/>
      <c r="O1162" s="26"/>
      <c r="P1162" s="34"/>
    </row>
    <row r="1163" customFormat="false" ht="15" hidden="false" customHeight="true" outlineLevel="0" collapsed="false">
      <c r="A1163" s="18" t="n">
        <v>652</v>
      </c>
      <c r="B1163" s="25"/>
      <c r="C1163" s="26"/>
      <c r="D1163" s="26"/>
      <c r="E1163" s="26"/>
      <c r="F1163" s="24" t="str">
        <f aca="false">IFERROR(INDEX('Operator Master'!$B$5:$B$504,MATCH(E1163,'Operator Master'!$A$5:$A$504,0)),"")</f>
        <v/>
      </c>
      <c r="G1163" s="26"/>
      <c r="H1163" s="24" t="str">
        <f aca="false">IFERROR(INDEX('Fault Master'!$B$5:$B$104,MATCH(G1163,'Fault Master'!$A$5:$A$104,0)),"")</f>
        <v/>
      </c>
      <c r="I1163" s="24" t="str">
        <f aca="false">IFERROR(INDEX('Fault Master'!$C$5:$C$104,MATCH(G1163,'Fault Master'!$A$5:$A$104,0)),"")</f>
        <v/>
      </c>
      <c r="J1163" s="26"/>
      <c r="K1163" s="26"/>
      <c r="L1163" s="26"/>
      <c r="M1163" s="26"/>
      <c r="N1163" s="26"/>
      <c r="O1163" s="26"/>
      <c r="P1163" s="34"/>
    </row>
    <row r="1164" customFormat="false" ht="15" hidden="false" customHeight="true" outlineLevel="0" collapsed="false">
      <c r="A1164" s="18" t="n">
        <v>653</v>
      </c>
      <c r="B1164" s="25"/>
      <c r="C1164" s="26"/>
      <c r="D1164" s="26"/>
      <c r="E1164" s="26"/>
      <c r="F1164" s="24" t="str">
        <f aca="false">IFERROR(INDEX('Operator Master'!$B$5:$B$504,MATCH(E1164,'Operator Master'!$A$5:$A$504,0)),"")</f>
        <v/>
      </c>
      <c r="G1164" s="26"/>
      <c r="H1164" s="24" t="str">
        <f aca="false">IFERROR(INDEX('Fault Master'!$B$5:$B$104,MATCH(G1164,'Fault Master'!$A$5:$A$104,0)),"")</f>
        <v/>
      </c>
      <c r="I1164" s="24" t="str">
        <f aca="false">IFERROR(INDEX('Fault Master'!$C$5:$C$104,MATCH(G1164,'Fault Master'!$A$5:$A$104,0)),"")</f>
        <v/>
      </c>
      <c r="J1164" s="26"/>
      <c r="K1164" s="26"/>
      <c r="L1164" s="26"/>
      <c r="M1164" s="26"/>
      <c r="N1164" s="26"/>
      <c r="O1164" s="26"/>
      <c r="P1164" s="34"/>
    </row>
    <row r="1165" customFormat="false" ht="15" hidden="false" customHeight="true" outlineLevel="0" collapsed="false">
      <c r="A1165" s="18" t="n">
        <v>654</v>
      </c>
      <c r="B1165" s="25"/>
      <c r="C1165" s="26"/>
      <c r="D1165" s="26"/>
      <c r="E1165" s="26"/>
      <c r="F1165" s="24" t="str">
        <f aca="false">IFERROR(INDEX('Operator Master'!$B$5:$B$504,MATCH(E1165,'Operator Master'!$A$5:$A$504,0)),"")</f>
        <v/>
      </c>
      <c r="G1165" s="26"/>
      <c r="H1165" s="24" t="str">
        <f aca="false">IFERROR(INDEX('Fault Master'!$B$5:$B$104,MATCH(G1165,'Fault Master'!$A$5:$A$104,0)),"")</f>
        <v/>
      </c>
      <c r="I1165" s="24" t="str">
        <f aca="false">IFERROR(INDEX('Fault Master'!$C$5:$C$104,MATCH(G1165,'Fault Master'!$A$5:$A$104,0)),"")</f>
        <v/>
      </c>
      <c r="J1165" s="26"/>
      <c r="K1165" s="26"/>
      <c r="L1165" s="26"/>
      <c r="M1165" s="26"/>
      <c r="N1165" s="26"/>
      <c r="O1165" s="26"/>
      <c r="P1165" s="34"/>
    </row>
    <row r="1166" customFormat="false" ht="15" hidden="false" customHeight="true" outlineLevel="0" collapsed="false">
      <c r="A1166" s="18" t="n">
        <v>655</v>
      </c>
      <c r="B1166" s="25"/>
      <c r="C1166" s="26"/>
      <c r="D1166" s="26"/>
      <c r="E1166" s="26"/>
      <c r="F1166" s="24" t="str">
        <f aca="false">IFERROR(INDEX('Operator Master'!$B$5:$B$504,MATCH(E1166,'Operator Master'!$A$5:$A$504,0)),"")</f>
        <v/>
      </c>
      <c r="G1166" s="26"/>
      <c r="H1166" s="24" t="str">
        <f aca="false">IFERROR(INDEX('Fault Master'!$B$5:$B$104,MATCH(G1166,'Fault Master'!$A$5:$A$104,0)),"")</f>
        <v/>
      </c>
      <c r="I1166" s="24" t="str">
        <f aca="false">IFERROR(INDEX('Fault Master'!$C$5:$C$104,MATCH(G1166,'Fault Master'!$A$5:$A$104,0)),"")</f>
        <v/>
      </c>
      <c r="J1166" s="26"/>
      <c r="K1166" s="26"/>
      <c r="L1166" s="26"/>
      <c r="M1166" s="26"/>
      <c r="N1166" s="26"/>
      <c r="O1166" s="26"/>
      <c r="P1166" s="34"/>
    </row>
    <row r="1167" customFormat="false" ht="15" hidden="false" customHeight="true" outlineLevel="0" collapsed="false">
      <c r="A1167" s="18" t="n">
        <v>656</v>
      </c>
      <c r="B1167" s="25"/>
      <c r="C1167" s="26"/>
      <c r="D1167" s="26"/>
      <c r="E1167" s="26"/>
      <c r="F1167" s="24" t="str">
        <f aca="false">IFERROR(INDEX('Operator Master'!$B$5:$B$504,MATCH(E1167,'Operator Master'!$A$5:$A$504,0)),"")</f>
        <v/>
      </c>
      <c r="G1167" s="26"/>
      <c r="H1167" s="24" t="str">
        <f aca="false">IFERROR(INDEX('Fault Master'!$B$5:$B$104,MATCH(G1167,'Fault Master'!$A$5:$A$104,0)),"")</f>
        <v/>
      </c>
      <c r="I1167" s="24" t="str">
        <f aca="false">IFERROR(INDEX('Fault Master'!$C$5:$C$104,MATCH(G1167,'Fault Master'!$A$5:$A$104,0)),"")</f>
        <v/>
      </c>
      <c r="J1167" s="26"/>
      <c r="K1167" s="26"/>
      <c r="L1167" s="26"/>
      <c r="M1167" s="26"/>
      <c r="N1167" s="26"/>
      <c r="O1167" s="26"/>
      <c r="P1167" s="34"/>
    </row>
    <row r="1168" customFormat="false" ht="15" hidden="false" customHeight="true" outlineLevel="0" collapsed="false">
      <c r="A1168" s="18" t="n">
        <v>657</v>
      </c>
      <c r="B1168" s="25"/>
      <c r="C1168" s="26"/>
      <c r="D1168" s="26"/>
      <c r="E1168" s="26"/>
      <c r="F1168" s="24" t="str">
        <f aca="false">IFERROR(INDEX('Operator Master'!$B$5:$B$504,MATCH(E1168,'Operator Master'!$A$5:$A$504,0)),"")</f>
        <v/>
      </c>
      <c r="G1168" s="26"/>
      <c r="H1168" s="24" t="str">
        <f aca="false">IFERROR(INDEX('Fault Master'!$B$5:$B$104,MATCH(G1168,'Fault Master'!$A$5:$A$104,0)),"")</f>
        <v/>
      </c>
      <c r="I1168" s="24" t="str">
        <f aca="false">IFERROR(INDEX('Fault Master'!$C$5:$C$104,MATCH(G1168,'Fault Master'!$A$5:$A$104,0)),"")</f>
        <v/>
      </c>
      <c r="J1168" s="26"/>
      <c r="K1168" s="26"/>
      <c r="L1168" s="26"/>
      <c r="M1168" s="26"/>
      <c r="N1168" s="26"/>
      <c r="O1168" s="26"/>
      <c r="P1168" s="34"/>
    </row>
    <row r="1169" customFormat="false" ht="15" hidden="false" customHeight="true" outlineLevel="0" collapsed="false">
      <c r="A1169" s="18" t="n">
        <v>658</v>
      </c>
      <c r="B1169" s="25"/>
      <c r="C1169" s="26"/>
      <c r="D1169" s="26"/>
      <c r="E1169" s="26"/>
      <c r="F1169" s="24" t="str">
        <f aca="false">IFERROR(INDEX('Operator Master'!$B$5:$B$504,MATCH(E1169,'Operator Master'!$A$5:$A$504,0)),"")</f>
        <v/>
      </c>
      <c r="G1169" s="26"/>
      <c r="H1169" s="24" t="str">
        <f aca="false">IFERROR(INDEX('Fault Master'!$B$5:$B$104,MATCH(G1169,'Fault Master'!$A$5:$A$104,0)),"")</f>
        <v/>
      </c>
      <c r="I1169" s="24" t="str">
        <f aca="false">IFERROR(INDEX('Fault Master'!$C$5:$C$104,MATCH(G1169,'Fault Master'!$A$5:$A$104,0)),"")</f>
        <v/>
      </c>
      <c r="J1169" s="26"/>
      <c r="K1169" s="26"/>
      <c r="L1169" s="26"/>
      <c r="M1169" s="26"/>
      <c r="N1169" s="26"/>
      <c r="O1169" s="26"/>
      <c r="P1169" s="34"/>
    </row>
    <row r="1170" customFormat="false" ht="15" hidden="false" customHeight="true" outlineLevel="0" collapsed="false">
      <c r="A1170" s="18" t="n">
        <v>659</v>
      </c>
      <c r="B1170" s="25"/>
      <c r="C1170" s="26"/>
      <c r="D1170" s="26"/>
      <c r="E1170" s="26"/>
      <c r="F1170" s="24" t="str">
        <f aca="false">IFERROR(INDEX('Operator Master'!$B$5:$B$504,MATCH(E1170,'Operator Master'!$A$5:$A$504,0)),"")</f>
        <v/>
      </c>
      <c r="G1170" s="26"/>
      <c r="H1170" s="24" t="str">
        <f aca="false">IFERROR(INDEX('Fault Master'!$B$5:$B$104,MATCH(G1170,'Fault Master'!$A$5:$A$104,0)),"")</f>
        <v/>
      </c>
      <c r="I1170" s="24" t="str">
        <f aca="false">IFERROR(INDEX('Fault Master'!$C$5:$C$104,MATCH(G1170,'Fault Master'!$A$5:$A$104,0)),"")</f>
        <v/>
      </c>
      <c r="J1170" s="26"/>
      <c r="K1170" s="26"/>
      <c r="L1170" s="26"/>
      <c r="M1170" s="26"/>
      <c r="N1170" s="26"/>
      <c r="O1170" s="26"/>
      <c r="P1170" s="34"/>
    </row>
    <row r="1171" customFormat="false" ht="15" hidden="false" customHeight="true" outlineLevel="0" collapsed="false">
      <c r="A1171" s="18" t="n">
        <v>660</v>
      </c>
      <c r="B1171" s="25"/>
      <c r="C1171" s="26"/>
      <c r="D1171" s="26"/>
      <c r="E1171" s="26"/>
      <c r="F1171" s="24" t="str">
        <f aca="false">IFERROR(INDEX('Operator Master'!$B$5:$B$504,MATCH(E1171,'Operator Master'!$A$5:$A$504,0)),"")</f>
        <v/>
      </c>
      <c r="G1171" s="26"/>
      <c r="H1171" s="24" t="str">
        <f aca="false">IFERROR(INDEX('Fault Master'!$B$5:$B$104,MATCH(G1171,'Fault Master'!$A$5:$A$104,0)),"")</f>
        <v/>
      </c>
      <c r="I1171" s="24" t="str">
        <f aca="false">IFERROR(INDEX('Fault Master'!$C$5:$C$104,MATCH(G1171,'Fault Master'!$A$5:$A$104,0)),"")</f>
        <v/>
      </c>
      <c r="J1171" s="26"/>
      <c r="K1171" s="26"/>
      <c r="L1171" s="26"/>
      <c r="M1171" s="26"/>
      <c r="N1171" s="26"/>
      <c r="O1171" s="26"/>
      <c r="P1171" s="34"/>
    </row>
    <row r="1172" customFormat="false" ht="15" hidden="false" customHeight="true" outlineLevel="0" collapsed="false">
      <c r="A1172" s="18" t="n">
        <v>661</v>
      </c>
      <c r="B1172" s="25"/>
      <c r="C1172" s="26"/>
      <c r="D1172" s="26"/>
      <c r="E1172" s="26"/>
      <c r="F1172" s="24" t="str">
        <f aca="false">IFERROR(INDEX('Operator Master'!$B$5:$B$504,MATCH(E1172,'Operator Master'!$A$5:$A$504,0)),"")</f>
        <v/>
      </c>
      <c r="G1172" s="26"/>
      <c r="H1172" s="24" t="str">
        <f aca="false">IFERROR(INDEX('Fault Master'!$B$5:$B$104,MATCH(G1172,'Fault Master'!$A$5:$A$104,0)),"")</f>
        <v/>
      </c>
      <c r="I1172" s="24" t="str">
        <f aca="false">IFERROR(INDEX('Fault Master'!$C$5:$C$104,MATCH(G1172,'Fault Master'!$A$5:$A$104,0)),"")</f>
        <v/>
      </c>
      <c r="J1172" s="26"/>
      <c r="K1172" s="26"/>
      <c r="L1172" s="26"/>
      <c r="M1172" s="26"/>
      <c r="N1172" s="26"/>
      <c r="O1172" s="26"/>
      <c r="P1172" s="34"/>
    </row>
    <row r="1173" customFormat="false" ht="15" hidden="false" customHeight="true" outlineLevel="0" collapsed="false">
      <c r="A1173" s="18" t="n">
        <v>662</v>
      </c>
      <c r="B1173" s="25"/>
      <c r="C1173" s="26"/>
      <c r="D1173" s="26"/>
      <c r="E1173" s="26"/>
      <c r="F1173" s="24" t="str">
        <f aca="false">IFERROR(INDEX('Operator Master'!$B$5:$B$504,MATCH(E1173,'Operator Master'!$A$5:$A$504,0)),"")</f>
        <v/>
      </c>
      <c r="G1173" s="26"/>
      <c r="H1173" s="24" t="str">
        <f aca="false">IFERROR(INDEX('Fault Master'!$B$5:$B$104,MATCH(G1173,'Fault Master'!$A$5:$A$104,0)),"")</f>
        <v/>
      </c>
      <c r="I1173" s="24" t="str">
        <f aca="false">IFERROR(INDEX('Fault Master'!$C$5:$C$104,MATCH(G1173,'Fault Master'!$A$5:$A$104,0)),"")</f>
        <v/>
      </c>
      <c r="J1173" s="26"/>
      <c r="K1173" s="26"/>
      <c r="L1173" s="26"/>
      <c r="M1173" s="26"/>
      <c r="N1173" s="26"/>
      <c r="O1173" s="26"/>
      <c r="P1173" s="34"/>
    </row>
    <row r="1174" customFormat="false" ht="15" hidden="false" customHeight="true" outlineLevel="0" collapsed="false">
      <c r="A1174" s="18" t="n">
        <v>663</v>
      </c>
      <c r="B1174" s="25"/>
      <c r="C1174" s="26"/>
      <c r="D1174" s="26"/>
      <c r="E1174" s="26"/>
      <c r="F1174" s="24" t="str">
        <f aca="false">IFERROR(INDEX('Operator Master'!$B$5:$B$504,MATCH(E1174,'Operator Master'!$A$5:$A$504,0)),"")</f>
        <v/>
      </c>
      <c r="G1174" s="26"/>
      <c r="H1174" s="24" t="str">
        <f aca="false">IFERROR(INDEX('Fault Master'!$B$5:$B$104,MATCH(G1174,'Fault Master'!$A$5:$A$104,0)),"")</f>
        <v/>
      </c>
      <c r="I1174" s="24" t="str">
        <f aca="false">IFERROR(INDEX('Fault Master'!$C$5:$C$104,MATCH(G1174,'Fault Master'!$A$5:$A$104,0)),"")</f>
        <v/>
      </c>
      <c r="J1174" s="26"/>
      <c r="K1174" s="26"/>
      <c r="L1174" s="26"/>
      <c r="M1174" s="26"/>
      <c r="N1174" s="26"/>
      <c r="O1174" s="26"/>
      <c r="P1174" s="34"/>
    </row>
    <row r="1175" customFormat="false" ht="15" hidden="false" customHeight="true" outlineLevel="0" collapsed="false">
      <c r="A1175" s="18" t="n">
        <v>664</v>
      </c>
      <c r="B1175" s="25"/>
      <c r="C1175" s="26"/>
      <c r="D1175" s="26"/>
      <c r="E1175" s="26"/>
      <c r="F1175" s="24" t="str">
        <f aca="false">IFERROR(INDEX('Operator Master'!$B$5:$B$504,MATCH(E1175,'Operator Master'!$A$5:$A$504,0)),"")</f>
        <v/>
      </c>
      <c r="G1175" s="26"/>
      <c r="H1175" s="24" t="str">
        <f aca="false">IFERROR(INDEX('Fault Master'!$B$5:$B$104,MATCH(G1175,'Fault Master'!$A$5:$A$104,0)),"")</f>
        <v/>
      </c>
      <c r="I1175" s="24" t="str">
        <f aca="false">IFERROR(INDEX('Fault Master'!$C$5:$C$104,MATCH(G1175,'Fault Master'!$A$5:$A$104,0)),"")</f>
        <v/>
      </c>
      <c r="J1175" s="26"/>
      <c r="K1175" s="26"/>
      <c r="L1175" s="26"/>
      <c r="M1175" s="26"/>
      <c r="N1175" s="26"/>
      <c r="O1175" s="26"/>
      <c r="P1175" s="34"/>
    </row>
    <row r="1176" customFormat="false" ht="15" hidden="false" customHeight="true" outlineLevel="0" collapsed="false">
      <c r="A1176" s="18" t="n">
        <v>665</v>
      </c>
      <c r="B1176" s="25"/>
      <c r="C1176" s="26"/>
      <c r="D1176" s="26"/>
      <c r="E1176" s="26"/>
      <c r="F1176" s="24" t="str">
        <f aca="false">IFERROR(INDEX('Operator Master'!$B$5:$B$504,MATCH(E1176,'Operator Master'!$A$5:$A$504,0)),"")</f>
        <v/>
      </c>
      <c r="G1176" s="26"/>
      <c r="H1176" s="24" t="str">
        <f aca="false">IFERROR(INDEX('Fault Master'!$B$5:$B$104,MATCH(G1176,'Fault Master'!$A$5:$A$104,0)),"")</f>
        <v/>
      </c>
      <c r="I1176" s="24" t="str">
        <f aca="false">IFERROR(INDEX('Fault Master'!$C$5:$C$104,MATCH(G1176,'Fault Master'!$A$5:$A$104,0)),"")</f>
        <v/>
      </c>
      <c r="J1176" s="26"/>
      <c r="K1176" s="26"/>
      <c r="L1176" s="26"/>
      <c r="M1176" s="26"/>
      <c r="N1176" s="26"/>
      <c r="O1176" s="26"/>
      <c r="P1176" s="34"/>
    </row>
    <row r="1177" customFormat="false" ht="15" hidden="false" customHeight="true" outlineLevel="0" collapsed="false">
      <c r="A1177" s="18" t="n">
        <v>666</v>
      </c>
      <c r="B1177" s="25"/>
      <c r="C1177" s="26"/>
      <c r="D1177" s="26"/>
      <c r="E1177" s="26"/>
      <c r="F1177" s="24" t="str">
        <f aca="false">IFERROR(INDEX('Operator Master'!$B$5:$B$504,MATCH(E1177,'Operator Master'!$A$5:$A$504,0)),"")</f>
        <v/>
      </c>
      <c r="G1177" s="26"/>
      <c r="H1177" s="24" t="str">
        <f aca="false">IFERROR(INDEX('Fault Master'!$B$5:$B$104,MATCH(G1177,'Fault Master'!$A$5:$A$104,0)),"")</f>
        <v/>
      </c>
      <c r="I1177" s="24" t="str">
        <f aca="false">IFERROR(INDEX('Fault Master'!$C$5:$C$104,MATCH(G1177,'Fault Master'!$A$5:$A$104,0)),"")</f>
        <v/>
      </c>
      <c r="J1177" s="26"/>
      <c r="K1177" s="26"/>
      <c r="L1177" s="26"/>
      <c r="M1177" s="26"/>
      <c r="N1177" s="26"/>
      <c r="O1177" s="26"/>
      <c r="P1177" s="34"/>
    </row>
    <row r="1178" customFormat="false" ht="15" hidden="false" customHeight="true" outlineLevel="0" collapsed="false">
      <c r="A1178" s="18" t="n">
        <v>667</v>
      </c>
      <c r="B1178" s="25"/>
      <c r="C1178" s="26"/>
      <c r="D1178" s="26"/>
      <c r="E1178" s="26"/>
      <c r="F1178" s="24" t="str">
        <f aca="false">IFERROR(INDEX('Operator Master'!$B$5:$B$504,MATCH(E1178,'Operator Master'!$A$5:$A$504,0)),"")</f>
        <v/>
      </c>
      <c r="G1178" s="26"/>
      <c r="H1178" s="24" t="str">
        <f aca="false">IFERROR(INDEX('Fault Master'!$B$5:$B$104,MATCH(G1178,'Fault Master'!$A$5:$A$104,0)),"")</f>
        <v/>
      </c>
      <c r="I1178" s="24" t="str">
        <f aca="false">IFERROR(INDEX('Fault Master'!$C$5:$C$104,MATCH(G1178,'Fault Master'!$A$5:$A$104,0)),"")</f>
        <v/>
      </c>
      <c r="J1178" s="26"/>
      <c r="K1178" s="26"/>
      <c r="L1178" s="26"/>
      <c r="M1178" s="26"/>
      <c r="N1178" s="26"/>
      <c r="O1178" s="26"/>
      <c r="P1178" s="34"/>
    </row>
    <row r="1179" customFormat="false" ht="15" hidden="false" customHeight="true" outlineLevel="0" collapsed="false">
      <c r="A1179" s="18" t="n">
        <v>668</v>
      </c>
      <c r="B1179" s="25"/>
      <c r="C1179" s="26"/>
      <c r="D1179" s="26"/>
      <c r="E1179" s="26"/>
      <c r="F1179" s="24" t="str">
        <f aca="false">IFERROR(INDEX('Operator Master'!$B$5:$B$504,MATCH(E1179,'Operator Master'!$A$5:$A$504,0)),"")</f>
        <v/>
      </c>
      <c r="G1179" s="26"/>
      <c r="H1179" s="24" t="str">
        <f aca="false">IFERROR(INDEX('Fault Master'!$B$5:$B$104,MATCH(G1179,'Fault Master'!$A$5:$A$104,0)),"")</f>
        <v/>
      </c>
      <c r="I1179" s="24" t="str">
        <f aca="false">IFERROR(INDEX('Fault Master'!$C$5:$C$104,MATCH(G1179,'Fault Master'!$A$5:$A$104,0)),"")</f>
        <v/>
      </c>
      <c r="J1179" s="26"/>
      <c r="K1179" s="26"/>
      <c r="L1179" s="26"/>
      <c r="M1179" s="26"/>
      <c r="N1179" s="26"/>
      <c r="O1179" s="26"/>
      <c r="P1179" s="34"/>
    </row>
    <row r="1180" customFormat="false" ht="15" hidden="false" customHeight="true" outlineLevel="0" collapsed="false">
      <c r="A1180" s="18" t="n">
        <v>669</v>
      </c>
      <c r="B1180" s="25"/>
      <c r="C1180" s="26"/>
      <c r="D1180" s="26"/>
      <c r="E1180" s="26"/>
      <c r="F1180" s="24" t="str">
        <f aca="false">IFERROR(INDEX('Operator Master'!$B$5:$B$504,MATCH(E1180,'Operator Master'!$A$5:$A$504,0)),"")</f>
        <v/>
      </c>
      <c r="G1180" s="26"/>
      <c r="H1180" s="24" t="str">
        <f aca="false">IFERROR(INDEX('Fault Master'!$B$5:$B$104,MATCH(G1180,'Fault Master'!$A$5:$A$104,0)),"")</f>
        <v/>
      </c>
      <c r="I1180" s="24" t="str">
        <f aca="false">IFERROR(INDEX('Fault Master'!$C$5:$C$104,MATCH(G1180,'Fault Master'!$A$5:$A$104,0)),"")</f>
        <v/>
      </c>
      <c r="J1180" s="26"/>
      <c r="K1180" s="26"/>
      <c r="L1180" s="26"/>
      <c r="M1180" s="26"/>
      <c r="N1180" s="26"/>
      <c r="O1180" s="26"/>
      <c r="P1180" s="34"/>
    </row>
    <row r="1181" customFormat="false" ht="15" hidden="false" customHeight="true" outlineLevel="0" collapsed="false">
      <c r="A1181" s="18" t="n">
        <v>670</v>
      </c>
      <c r="B1181" s="25"/>
      <c r="C1181" s="26"/>
      <c r="D1181" s="26"/>
      <c r="E1181" s="26"/>
      <c r="F1181" s="24" t="str">
        <f aca="false">IFERROR(INDEX('Operator Master'!$B$5:$B$504,MATCH(E1181,'Operator Master'!$A$5:$A$504,0)),"")</f>
        <v/>
      </c>
      <c r="G1181" s="26"/>
      <c r="H1181" s="24" t="str">
        <f aca="false">IFERROR(INDEX('Fault Master'!$B$5:$B$104,MATCH(G1181,'Fault Master'!$A$5:$A$104,0)),"")</f>
        <v/>
      </c>
      <c r="I1181" s="24" t="str">
        <f aca="false">IFERROR(INDEX('Fault Master'!$C$5:$C$104,MATCH(G1181,'Fault Master'!$A$5:$A$104,0)),"")</f>
        <v/>
      </c>
      <c r="J1181" s="26"/>
      <c r="K1181" s="26"/>
      <c r="L1181" s="26"/>
      <c r="M1181" s="26"/>
      <c r="N1181" s="26"/>
      <c r="O1181" s="26"/>
      <c r="P1181" s="34"/>
    </row>
    <row r="1182" customFormat="false" ht="15" hidden="false" customHeight="true" outlineLevel="0" collapsed="false">
      <c r="A1182" s="18" t="n">
        <v>671</v>
      </c>
      <c r="B1182" s="25"/>
      <c r="C1182" s="26"/>
      <c r="D1182" s="26"/>
      <c r="E1182" s="26"/>
      <c r="F1182" s="24" t="str">
        <f aca="false">IFERROR(INDEX('Operator Master'!$B$5:$B$504,MATCH(E1182,'Operator Master'!$A$5:$A$504,0)),"")</f>
        <v/>
      </c>
      <c r="G1182" s="26"/>
      <c r="H1182" s="24" t="str">
        <f aca="false">IFERROR(INDEX('Fault Master'!$B$5:$B$104,MATCH(G1182,'Fault Master'!$A$5:$A$104,0)),"")</f>
        <v/>
      </c>
      <c r="I1182" s="24" t="str">
        <f aca="false">IFERROR(INDEX('Fault Master'!$C$5:$C$104,MATCH(G1182,'Fault Master'!$A$5:$A$104,0)),"")</f>
        <v/>
      </c>
      <c r="J1182" s="26"/>
      <c r="K1182" s="26"/>
      <c r="L1182" s="26"/>
      <c r="M1182" s="26"/>
      <c r="N1182" s="26"/>
      <c r="O1182" s="26"/>
      <c r="P1182" s="34"/>
    </row>
    <row r="1183" customFormat="false" ht="15" hidden="false" customHeight="true" outlineLevel="0" collapsed="false">
      <c r="A1183" s="18" t="n">
        <v>672</v>
      </c>
      <c r="B1183" s="25"/>
      <c r="C1183" s="26"/>
      <c r="D1183" s="26"/>
      <c r="E1183" s="26"/>
      <c r="F1183" s="24" t="str">
        <f aca="false">IFERROR(INDEX('Operator Master'!$B$5:$B$504,MATCH(E1183,'Operator Master'!$A$5:$A$504,0)),"")</f>
        <v/>
      </c>
      <c r="G1183" s="26"/>
      <c r="H1183" s="24" t="str">
        <f aca="false">IFERROR(INDEX('Fault Master'!$B$5:$B$104,MATCH(G1183,'Fault Master'!$A$5:$A$104,0)),"")</f>
        <v/>
      </c>
      <c r="I1183" s="24" t="str">
        <f aca="false">IFERROR(INDEX('Fault Master'!$C$5:$C$104,MATCH(G1183,'Fault Master'!$A$5:$A$104,0)),"")</f>
        <v/>
      </c>
      <c r="J1183" s="26"/>
      <c r="K1183" s="26"/>
      <c r="L1183" s="26"/>
      <c r="M1183" s="26"/>
      <c r="N1183" s="26"/>
      <c r="O1183" s="26"/>
      <c r="P1183" s="34"/>
    </row>
    <row r="1184" customFormat="false" ht="15" hidden="false" customHeight="true" outlineLevel="0" collapsed="false">
      <c r="A1184" s="18" t="n">
        <v>673</v>
      </c>
      <c r="B1184" s="25"/>
      <c r="C1184" s="26"/>
      <c r="D1184" s="26"/>
      <c r="E1184" s="26"/>
      <c r="F1184" s="24" t="str">
        <f aca="false">IFERROR(INDEX('Operator Master'!$B$5:$B$504,MATCH(E1184,'Operator Master'!$A$5:$A$504,0)),"")</f>
        <v/>
      </c>
      <c r="G1184" s="26"/>
      <c r="H1184" s="24" t="str">
        <f aca="false">IFERROR(INDEX('Fault Master'!$B$5:$B$104,MATCH(G1184,'Fault Master'!$A$5:$A$104,0)),"")</f>
        <v/>
      </c>
      <c r="I1184" s="24" t="str">
        <f aca="false">IFERROR(INDEX('Fault Master'!$C$5:$C$104,MATCH(G1184,'Fault Master'!$A$5:$A$104,0)),"")</f>
        <v/>
      </c>
      <c r="J1184" s="26"/>
      <c r="K1184" s="26"/>
      <c r="L1184" s="26"/>
      <c r="M1184" s="26"/>
      <c r="N1184" s="26"/>
      <c r="O1184" s="26"/>
      <c r="P1184" s="34"/>
    </row>
    <row r="1185" customFormat="false" ht="15" hidden="false" customHeight="true" outlineLevel="0" collapsed="false">
      <c r="A1185" s="18" t="n">
        <v>674</v>
      </c>
      <c r="B1185" s="25"/>
      <c r="C1185" s="26"/>
      <c r="D1185" s="26"/>
      <c r="E1185" s="26"/>
      <c r="F1185" s="24" t="str">
        <f aca="false">IFERROR(INDEX('Operator Master'!$B$5:$B$504,MATCH(E1185,'Operator Master'!$A$5:$A$504,0)),"")</f>
        <v/>
      </c>
      <c r="G1185" s="26"/>
      <c r="H1185" s="24" t="str">
        <f aca="false">IFERROR(INDEX('Fault Master'!$B$5:$B$104,MATCH(G1185,'Fault Master'!$A$5:$A$104,0)),"")</f>
        <v/>
      </c>
      <c r="I1185" s="24" t="str">
        <f aca="false">IFERROR(INDEX('Fault Master'!$C$5:$C$104,MATCH(G1185,'Fault Master'!$A$5:$A$104,0)),"")</f>
        <v/>
      </c>
      <c r="J1185" s="26"/>
      <c r="K1185" s="26"/>
      <c r="L1185" s="26"/>
      <c r="M1185" s="26"/>
      <c r="N1185" s="26"/>
      <c r="O1185" s="26"/>
      <c r="P1185" s="34"/>
    </row>
    <row r="1186" customFormat="false" ht="15" hidden="false" customHeight="true" outlineLevel="0" collapsed="false">
      <c r="A1186" s="18" t="n">
        <v>675</v>
      </c>
      <c r="B1186" s="25"/>
      <c r="C1186" s="26"/>
      <c r="D1186" s="26"/>
      <c r="E1186" s="26"/>
      <c r="F1186" s="24" t="str">
        <f aca="false">IFERROR(INDEX('Operator Master'!$B$5:$B$504,MATCH(E1186,'Operator Master'!$A$5:$A$504,0)),"")</f>
        <v/>
      </c>
      <c r="G1186" s="26"/>
      <c r="H1186" s="24" t="str">
        <f aca="false">IFERROR(INDEX('Fault Master'!$B$5:$B$104,MATCH(G1186,'Fault Master'!$A$5:$A$104,0)),"")</f>
        <v/>
      </c>
      <c r="I1186" s="24" t="str">
        <f aca="false">IFERROR(INDEX('Fault Master'!$C$5:$C$104,MATCH(G1186,'Fault Master'!$A$5:$A$104,0)),"")</f>
        <v/>
      </c>
      <c r="J1186" s="26"/>
      <c r="K1186" s="26"/>
      <c r="L1186" s="26"/>
      <c r="M1186" s="26"/>
      <c r="N1186" s="26"/>
      <c r="O1186" s="26"/>
      <c r="P1186" s="34"/>
    </row>
    <row r="1187" customFormat="false" ht="15" hidden="false" customHeight="true" outlineLevel="0" collapsed="false">
      <c r="A1187" s="18" t="n">
        <v>676</v>
      </c>
      <c r="B1187" s="25"/>
      <c r="C1187" s="26"/>
      <c r="D1187" s="26"/>
      <c r="E1187" s="26"/>
      <c r="F1187" s="24" t="str">
        <f aca="false">IFERROR(INDEX('Operator Master'!$B$5:$B$504,MATCH(E1187,'Operator Master'!$A$5:$A$504,0)),"")</f>
        <v/>
      </c>
      <c r="G1187" s="26"/>
      <c r="H1187" s="24" t="str">
        <f aca="false">IFERROR(INDEX('Fault Master'!$B$5:$B$104,MATCH(G1187,'Fault Master'!$A$5:$A$104,0)),"")</f>
        <v/>
      </c>
      <c r="I1187" s="24" t="str">
        <f aca="false">IFERROR(INDEX('Fault Master'!$C$5:$C$104,MATCH(G1187,'Fault Master'!$A$5:$A$104,0)),"")</f>
        <v/>
      </c>
      <c r="J1187" s="26"/>
      <c r="K1187" s="26"/>
      <c r="L1187" s="26"/>
      <c r="M1187" s="26"/>
      <c r="N1187" s="26"/>
      <c r="O1187" s="26"/>
      <c r="P1187" s="34"/>
    </row>
    <row r="1188" customFormat="false" ht="15" hidden="false" customHeight="true" outlineLevel="0" collapsed="false">
      <c r="A1188" s="18" t="n">
        <v>677</v>
      </c>
      <c r="B1188" s="25"/>
      <c r="C1188" s="26"/>
      <c r="D1188" s="26"/>
      <c r="E1188" s="26"/>
      <c r="F1188" s="24" t="str">
        <f aca="false">IFERROR(INDEX('Operator Master'!$B$5:$B$504,MATCH(E1188,'Operator Master'!$A$5:$A$504,0)),"")</f>
        <v/>
      </c>
      <c r="G1188" s="26"/>
      <c r="H1188" s="24" t="str">
        <f aca="false">IFERROR(INDEX('Fault Master'!$B$5:$B$104,MATCH(G1188,'Fault Master'!$A$5:$A$104,0)),"")</f>
        <v/>
      </c>
      <c r="I1188" s="24" t="str">
        <f aca="false">IFERROR(INDEX('Fault Master'!$C$5:$C$104,MATCH(G1188,'Fault Master'!$A$5:$A$104,0)),"")</f>
        <v/>
      </c>
      <c r="J1188" s="26"/>
      <c r="K1188" s="26"/>
      <c r="L1188" s="26"/>
      <c r="M1188" s="26"/>
      <c r="N1188" s="26"/>
      <c r="O1188" s="26"/>
      <c r="P1188" s="34"/>
    </row>
    <row r="1189" customFormat="false" ht="15" hidden="false" customHeight="true" outlineLevel="0" collapsed="false">
      <c r="A1189" s="18" t="n">
        <v>678</v>
      </c>
      <c r="B1189" s="25"/>
      <c r="C1189" s="26"/>
      <c r="D1189" s="26"/>
      <c r="E1189" s="26"/>
      <c r="F1189" s="24" t="str">
        <f aca="false">IFERROR(INDEX('Operator Master'!$B$5:$B$504,MATCH(E1189,'Operator Master'!$A$5:$A$504,0)),"")</f>
        <v/>
      </c>
      <c r="G1189" s="26"/>
      <c r="H1189" s="24" t="str">
        <f aca="false">IFERROR(INDEX('Fault Master'!$B$5:$B$104,MATCH(G1189,'Fault Master'!$A$5:$A$104,0)),"")</f>
        <v/>
      </c>
      <c r="I1189" s="24" t="str">
        <f aca="false">IFERROR(INDEX('Fault Master'!$C$5:$C$104,MATCH(G1189,'Fault Master'!$A$5:$A$104,0)),"")</f>
        <v/>
      </c>
      <c r="J1189" s="26"/>
      <c r="K1189" s="26"/>
      <c r="L1189" s="26"/>
      <c r="M1189" s="26"/>
      <c r="N1189" s="26"/>
      <c r="O1189" s="26"/>
      <c r="P1189" s="34"/>
    </row>
    <row r="1190" customFormat="false" ht="15" hidden="false" customHeight="true" outlineLevel="0" collapsed="false">
      <c r="A1190" s="18" t="n">
        <v>679</v>
      </c>
      <c r="B1190" s="25"/>
      <c r="C1190" s="26"/>
      <c r="D1190" s="26"/>
      <c r="E1190" s="26"/>
      <c r="F1190" s="24" t="str">
        <f aca="false">IFERROR(INDEX('Operator Master'!$B$5:$B$504,MATCH(E1190,'Operator Master'!$A$5:$A$504,0)),"")</f>
        <v/>
      </c>
      <c r="G1190" s="26"/>
      <c r="H1190" s="24" t="str">
        <f aca="false">IFERROR(INDEX('Fault Master'!$B$5:$B$104,MATCH(G1190,'Fault Master'!$A$5:$A$104,0)),"")</f>
        <v/>
      </c>
      <c r="I1190" s="24" t="str">
        <f aca="false">IFERROR(INDEX('Fault Master'!$C$5:$C$104,MATCH(G1190,'Fault Master'!$A$5:$A$104,0)),"")</f>
        <v/>
      </c>
      <c r="J1190" s="26"/>
      <c r="K1190" s="26"/>
      <c r="L1190" s="26"/>
      <c r="M1190" s="26"/>
      <c r="N1190" s="26"/>
      <c r="O1190" s="26"/>
      <c r="P1190" s="34"/>
    </row>
    <row r="1191" customFormat="false" ht="15" hidden="false" customHeight="true" outlineLevel="0" collapsed="false">
      <c r="A1191" s="18" t="n">
        <v>680</v>
      </c>
      <c r="B1191" s="25"/>
      <c r="C1191" s="26"/>
      <c r="D1191" s="26"/>
      <c r="E1191" s="26"/>
      <c r="F1191" s="24" t="str">
        <f aca="false">IFERROR(INDEX('Operator Master'!$B$5:$B$504,MATCH(E1191,'Operator Master'!$A$5:$A$504,0)),"")</f>
        <v/>
      </c>
      <c r="G1191" s="26"/>
      <c r="H1191" s="24" t="str">
        <f aca="false">IFERROR(INDEX('Fault Master'!$B$5:$B$104,MATCH(G1191,'Fault Master'!$A$5:$A$104,0)),"")</f>
        <v/>
      </c>
      <c r="I1191" s="24" t="str">
        <f aca="false">IFERROR(INDEX('Fault Master'!$C$5:$C$104,MATCH(G1191,'Fault Master'!$A$5:$A$104,0)),"")</f>
        <v/>
      </c>
      <c r="J1191" s="26"/>
      <c r="K1191" s="26"/>
      <c r="L1191" s="26"/>
      <c r="M1191" s="26"/>
      <c r="N1191" s="26"/>
      <c r="O1191" s="26"/>
      <c r="P1191" s="34"/>
    </row>
    <row r="1192" customFormat="false" ht="15" hidden="false" customHeight="true" outlineLevel="0" collapsed="false">
      <c r="A1192" s="18" t="n">
        <v>681</v>
      </c>
      <c r="B1192" s="25"/>
      <c r="C1192" s="26"/>
      <c r="D1192" s="26"/>
      <c r="E1192" s="26"/>
      <c r="F1192" s="24" t="str">
        <f aca="false">IFERROR(INDEX('Operator Master'!$B$5:$B$504,MATCH(E1192,'Operator Master'!$A$5:$A$504,0)),"")</f>
        <v/>
      </c>
      <c r="G1192" s="26"/>
      <c r="H1192" s="24" t="str">
        <f aca="false">IFERROR(INDEX('Fault Master'!$B$5:$B$104,MATCH(G1192,'Fault Master'!$A$5:$A$104,0)),"")</f>
        <v/>
      </c>
      <c r="I1192" s="24" t="str">
        <f aca="false">IFERROR(INDEX('Fault Master'!$C$5:$C$104,MATCH(G1192,'Fault Master'!$A$5:$A$104,0)),"")</f>
        <v/>
      </c>
      <c r="J1192" s="26"/>
      <c r="K1192" s="26"/>
      <c r="L1192" s="26"/>
      <c r="M1192" s="26"/>
      <c r="N1192" s="26"/>
      <c r="O1192" s="26"/>
      <c r="P1192" s="34"/>
    </row>
    <row r="1193" customFormat="false" ht="15" hidden="false" customHeight="true" outlineLevel="0" collapsed="false">
      <c r="A1193" s="18" t="n">
        <v>682</v>
      </c>
      <c r="B1193" s="25"/>
      <c r="C1193" s="26"/>
      <c r="D1193" s="26"/>
      <c r="E1193" s="26"/>
      <c r="F1193" s="24" t="str">
        <f aca="false">IFERROR(INDEX('Operator Master'!$B$5:$B$504,MATCH(E1193,'Operator Master'!$A$5:$A$504,0)),"")</f>
        <v/>
      </c>
      <c r="G1193" s="26"/>
      <c r="H1193" s="24" t="str">
        <f aca="false">IFERROR(INDEX('Fault Master'!$B$5:$B$104,MATCH(G1193,'Fault Master'!$A$5:$A$104,0)),"")</f>
        <v/>
      </c>
      <c r="I1193" s="24" t="str">
        <f aca="false">IFERROR(INDEX('Fault Master'!$C$5:$C$104,MATCH(G1193,'Fault Master'!$A$5:$A$104,0)),"")</f>
        <v/>
      </c>
      <c r="J1193" s="26"/>
      <c r="K1193" s="26"/>
      <c r="L1193" s="26"/>
      <c r="M1193" s="26"/>
      <c r="N1193" s="26"/>
      <c r="O1193" s="26"/>
      <c r="P1193" s="34"/>
    </row>
    <row r="1194" customFormat="false" ht="15" hidden="false" customHeight="true" outlineLevel="0" collapsed="false">
      <c r="A1194" s="18" t="n">
        <v>683</v>
      </c>
      <c r="B1194" s="25"/>
      <c r="C1194" s="26"/>
      <c r="D1194" s="26"/>
      <c r="E1194" s="26"/>
      <c r="F1194" s="24" t="str">
        <f aca="false">IFERROR(INDEX('Operator Master'!$B$5:$B$504,MATCH(E1194,'Operator Master'!$A$5:$A$504,0)),"")</f>
        <v/>
      </c>
      <c r="G1194" s="26"/>
      <c r="H1194" s="24" t="str">
        <f aca="false">IFERROR(INDEX('Fault Master'!$B$5:$B$104,MATCH(G1194,'Fault Master'!$A$5:$A$104,0)),"")</f>
        <v/>
      </c>
      <c r="I1194" s="24" t="str">
        <f aca="false">IFERROR(INDEX('Fault Master'!$C$5:$C$104,MATCH(G1194,'Fault Master'!$A$5:$A$104,0)),"")</f>
        <v/>
      </c>
      <c r="J1194" s="26"/>
      <c r="K1194" s="26"/>
      <c r="L1194" s="26"/>
      <c r="M1194" s="26"/>
      <c r="N1194" s="26"/>
      <c r="O1194" s="26"/>
      <c r="P1194" s="34"/>
    </row>
    <row r="1195" customFormat="false" ht="15" hidden="false" customHeight="true" outlineLevel="0" collapsed="false">
      <c r="A1195" s="18" t="n">
        <v>684</v>
      </c>
      <c r="B1195" s="25"/>
      <c r="C1195" s="26"/>
      <c r="D1195" s="26"/>
      <c r="E1195" s="26"/>
      <c r="F1195" s="24" t="str">
        <f aca="false">IFERROR(INDEX('Operator Master'!$B$5:$B$504,MATCH(E1195,'Operator Master'!$A$5:$A$504,0)),"")</f>
        <v/>
      </c>
      <c r="G1195" s="26"/>
      <c r="H1195" s="24" t="str">
        <f aca="false">IFERROR(INDEX('Fault Master'!$B$5:$B$104,MATCH(G1195,'Fault Master'!$A$5:$A$104,0)),"")</f>
        <v/>
      </c>
      <c r="I1195" s="24" t="str">
        <f aca="false">IFERROR(INDEX('Fault Master'!$C$5:$C$104,MATCH(G1195,'Fault Master'!$A$5:$A$104,0)),"")</f>
        <v/>
      </c>
      <c r="J1195" s="26"/>
      <c r="K1195" s="26"/>
      <c r="L1195" s="26"/>
      <c r="M1195" s="26"/>
      <c r="N1195" s="26"/>
      <c r="O1195" s="26"/>
      <c r="P1195" s="34"/>
    </row>
    <row r="1196" customFormat="false" ht="15" hidden="false" customHeight="true" outlineLevel="0" collapsed="false">
      <c r="A1196" s="18" t="n">
        <v>685</v>
      </c>
      <c r="B1196" s="25"/>
      <c r="C1196" s="26"/>
      <c r="D1196" s="26"/>
      <c r="E1196" s="26"/>
      <c r="F1196" s="24" t="str">
        <f aca="false">IFERROR(INDEX('Operator Master'!$B$5:$B$504,MATCH(E1196,'Operator Master'!$A$5:$A$504,0)),"")</f>
        <v/>
      </c>
      <c r="G1196" s="26"/>
      <c r="H1196" s="24" t="str">
        <f aca="false">IFERROR(INDEX('Fault Master'!$B$5:$B$104,MATCH(G1196,'Fault Master'!$A$5:$A$104,0)),"")</f>
        <v/>
      </c>
      <c r="I1196" s="24" t="str">
        <f aca="false">IFERROR(INDEX('Fault Master'!$C$5:$C$104,MATCH(G1196,'Fault Master'!$A$5:$A$104,0)),"")</f>
        <v/>
      </c>
      <c r="J1196" s="26"/>
      <c r="K1196" s="26"/>
      <c r="L1196" s="26"/>
      <c r="M1196" s="26"/>
      <c r="N1196" s="26"/>
      <c r="O1196" s="26"/>
      <c r="P1196" s="34"/>
    </row>
    <row r="1197" customFormat="false" ht="15" hidden="false" customHeight="true" outlineLevel="0" collapsed="false">
      <c r="A1197" s="18" t="n">
        <v>686</v>
      </c>
      <c r="B1197" s="25"/>
      <c r="C1197" s="26"/>
      <c r="D1197" s="26"/>
      <c r="E1197" s="26"/>
      <c r="F1197" s="24" t="str">
        <f aca="false">IFERROR(INDEX('Operator Master'!$B$5:$B$504,MATCH(E1197,'Operator Master'!$A$5:$A$504,0)),"")</f>
        <v/>
      </c>
      <c r="G1197" s="26"/>
      <c r="H1197" s="24" t="str">
        <f aca="false">IFERROR(INDEX('Fault Master'!$B$5:$B$104,MATCH(G1197,'Fault Master'!$A$5:$A$104,0)),"")</f>
        <v/>
      </c>
      <c r="I1197" s="24" t="str">
        <f aca="false">IFERROR(INDEX('Fault Master'!$C$5:$C$104,MATCH(G1197,'Fault Master'!$A$5:$A$104,0)),"")</f>
        <v/>
      </c>
      <c r="J1197" s="26"/>
      <c r="K1197" s="26"/>
      <c r="L1197" s="26"/>
      <c r="M1197" s="26"/>
      <c r="N1197" s="26"/>
      <c r="O1197" s="26"/>
      <c r="P1197" s="34"/>
    </row>
    <row r="1198" customFormat="false" ht="15" hidden="false" customHeight="true" outlineLevel="0" collapsed="false">
      <c r="A1198" s="18" t="n">
        <v>687</v>
      </c>
      <c r="B1198" s="25"/>
      <c r="C1198" s="26"/>
      <c r="D1198" s="26"/>
      <c r="E1198" s="26"/>
      <c r="F1198" s="24" t="str">
        <f aca="false">IFERROR(INDEX('Operator Master'!$B$5:$B$504,MATCH(E1198,'Operator Master'!$A$5:$A$504,0)),"")</f>
        <v/>
      </c>
      <c r="G1198" s="26"/>
      <c r="H1198" s="24" t="str">
        <f aca="false">IFERROR(INDEX('Fault Master'!$B$5:$B$104,MATCH(G1198,'Fault Master'!$A$5:$A$104,0)),"")</f>
        <v/>
      </c>
      <c r="I1198" s="24" t="str">
        <f aca="false">IFERROR(INDEX('Fault Master'!$C$5:$C$104,MATCH(G1198,'Fault Master'!$A$5:$A$104,0)),"")</f>
        <v/>
      </c>
      <c r="J1198" s="26"/>
      <c r="K1198" s="26"/>
      <c r="L1198" s="26"/>
      <c r="M1198" s="26"/>
      <c r="N1198" s="26"/>
      <c r="O1198" s="26"/>
      <c r="P1198" s="34"/>
    </row>
    <row r="1199" customFormat="false" ht="15" hidden="false" customHeight="true" outlineLevel="0" collapsed="false">
      <c r="A1199" s="18" t="n">
        <v>688</v>
      </c>
      <c r="B1199" s="25"/>
      <c r="C1199" s="26"/>
      <c r="D1199" s="26"/>
      <c r="E1199" s="26"/>
      <c r="F1199" s="24" t="str">
        <f aca="false">IFERROR(INDEX('Operator Master'!$B$5:$B$504,MATCH(E1199,'Operator Master'!$A$5:$A$504,0)),"")</f>
        <v/>
      </c>
      <c r="G1199" s="26"/>
      <c r="H1199" s="24" t="str">
        <f aca="false">IFERROR(INDEX('Fault Master'!$B$5:$B$104,MATCH(G1199,'Fault Master'!$A$5:$A$104,0)),"")</f>
        <v/>
      </c>
      <c r="I1199" s="24" t="str">
        <f aca="false">IFERROR(INDEX('Fault Master'!$C$5:$C$104,MATCH(G1199,'Fault Master'!$A$5:$A$104,0)),"")</f>
        <v/>
      </c>
      <c r="J1199" s="26"/>
      <c r="K1199" s="26"/>
      <c r="L1199" s="26"/>
      <c r="M1199" s="26"/>
      <c r="N1199" s="26"/>
      <c r="O1199" s="26"/>
      <c r="P1199" s="34"/>
    </row>
    <row r="1200" customFormat="false" ht="15" hidden="false" customHeight="true" outlineLevel="0" collapsed="false">
      <c r="A1200" s="18" t="n">
        <v>689</v>
      </c>
      <c r="B1200" s="25"/>
      <c r="C1200" s="26"/>
      <c r="D1200" s="26"/>
      <c r="E1200" s="26"/>
      <c r="F1200" s="24" t="str">
        <f aca="false">IFERROR(INDEX('Operator Master'!$B$5:$B$504,MATCH(E1200,'Operator Master'!$A$5:$A$504,0)),"")</f>
        <v/>
      </c>
      <c r="G1200" s="26"/>
      <c r="H1200" s="24" t="str">
        <f aca="false">IFERROR(INDEX('Fault Master'!$B$5:$B$104,MATCH(G1200,'Fault Master'!$A$5:$A$104,0)),"")</f>
        <v/>
      </c>
      <c r="I1200" s="24" t="str">
        <f aca="false">IFERROR(INDEX('Fault Master'!$C$5:$C$104,MATCH(G1200,'Fault Master'!$A$5:$A$104,0)),"")</f>
        <v/>
      </c>
      <c r="J1200" s="26"/>
      <c r="K1200" s="26"/>
      <c r="L1200" s="26"/>
      <c r="M1200" s="26"/>
      <c r="N1200" s="26"/>
      <c r="O1200" s="26"/>
      <c r="P1200" s="34"/>
    </row>
    <row r="1201" customFormat="false" ht="15" hidden="false" customHeight="true" outlineLevel="0" collapsed="false">
      <c r="A1201" s="18" t="n">
        <v>690</v>
      </c>
      <c r="B1201" s="25"/>
      <c r="C1201" s="26"/>
      <c r="D1201" s="26"/>
      <c r="E1201" s="26"/>
      <c r="F1201" s="24" t="str">
        <f aca="false">IFERROR(INDEX('Operator Master'!$B$5:$B$504,MATCH(E1201,'Operator Master'!$A$5:$A$504,0)),"")</f>
        <v/>
      </c>
      <c r="G1201" s="26"/>
      <c r="H1201" s="24" t="str">
        <f aca="false">IFERROR(INDEX('Fault Master'!$B$5:$B$104,MATCH(G1201,'Fault Master'!$A$5:$A$104,0)),"")</f>
        <v/>
      </c>
      <c r="I1201" s="24" t="str">
        <f aca="false">IFERROR(INDEX('Fault Master'!$C$5:$C$104,MATCH(G1201,'Fault Master'!$A$5:$A$104,0)),"")</f>
        <v/>
      </c>
      <c r="J1201" s="26"/>
      <c r="K1201" s="26"/>
      <c r="L1201" s="26"/>
      <c r="M1201" s="26"/>
      <c r="N1201" s="26"/>
      <c r="O1201" s="26"/>
      <c r="P1201" s="34"/>
    </row>
    <row r="1202" customFormat="false" ht="15" hidden="false" customHeight="true" outlineLevel="0" collapsed="false">
      <c r="A1202" s="18" t="n">
        <v>691</v>
      </c>
      <c r="B1202" s="25"/>
      <c r="C1202" s="26"/>
      <c r="D1202" s="26"/>
      <c r="E1202" s="26"/>
      <c r="F1202" s="24" t="str">
        <f aca="false">IFERROR(INDEX('Operator Master'!$B$5:$B$504,MATCH(E1202,'Operator Master'!$A$5:$A$504,0)),"")</f>
        <v/>
      </c>
      <c r="G1202" s="26"/>
      <c r="H1202" s="24" t="str">
        <f aca="false">IFERROR(INDEX('Fault Master'!$B$5:$B$104,MATCH(G1202,'Fault Master'!$A$5:$A$104,0)),"")</f>
        <v/>
      </c>
      <c r="I1202" s="24" t="str">
        <f aca="false">IFERROR(INDEX('Fault Master'!$C$5:$C$104,MATCH(G1202,'Fault Master'!$A$5:$A$104,0)),"")</f>
        <v/>
      </c>
      <c r="J1202" s="26"/>
      <c r="K1202" s="26"/>
      <c r="L1202" s="26"/>
      <c r="M1202" s="26"/>
      <c r="N1202" s="26"/>
      <c r="O1202" s="26"/>
      <c r="P1202" s="34"/>
    </row>
    <row r="1203" customFormat="false" ht="15" hidden="false" customHeight="true" outlineLevel="0" collapsed="false">
      <c r="A1203" s="18" t="n">
        <v>692</v>
      </c>
      <c r="B1203" s="25"/>
      <c r="C1203" s="26"/>
      <c r="D1203" s="26"/>
      <c r="E1203" s="26"/>
      <c r="F1203" s="24" t="str">
        <f aca="false">IFERROR(INDEX('Operator Master'!$B$5:$B$504,MATCH(E1203,'Operator Master'!$A$5:$A$504,0)),"")</f>
        <v/>
      </c>
      <c r="G1203" s="26"/>
      <c r="H1203" s="24" t="str">
        <f aca="false">IFERROR(INDEX('Fault Master'!$B$5:$B$104,MATCH(G1203,'Fault Master'!$A$5:$A$104,0)),"")</f>
        <v/>
      </c>
      <c r="I1203" s="24" t="str">
        <f aca="false">IFERROR(INDEX('Fault Master'!$C$5:$C$104,MATCH(G1203,'Fault Master'!$A$5:$A$104,0)),"")</f>
        <v/>
      </c>
      <c r="J1203" s="26"/>
      <c r="K1203" s="26"/>
      <c r="L1203" s="26"/>
      <c r="M1203" s="26"/>
      <c r="N1203" s="26"/>
      <c r="O1203" s="26"/>
      <c r="P1203" s="34"/>
    </row>
    <row r="1204" customFormat="false" ht="15" hidden="false" customHeight="true" outlineLevel="0" collapsed="false">
      <c r="A1204" s="18" t="n">
        <v>693</v>
      </c>
      <c r="B1204" s="25"/>
      <c r="C1204" s="26"/>
      <c r="D1204" s="26"/>
      <c r="E1204" s="26"/>
      <c r="F1204" s="24" t="str">
        <f aca="false">IFERROR(INDEX('Operator Master'!$B$5:$B$504,MATCH(E1204,'Operator Master'!$A$5:$A$504,0)),"")</f>
        <v/>
      </c>
      <c r="G1204" s="26"/>
      <c r="H1204" s="24" t="str">
        <f aca="false">IFERROR(INDEX('Fault Master'!$B$5:$B$104,MATCH(G1204,'Fault Master'!$A$5:$A$104,0)),"")</f>
        <v/>
      </c>
      <c r="I1204" s="24" t="str">
        <f aca="false">IFERROR(INDEX('Fault Master'!$C$5:$C$104,MATCH(G1204,'Fault Master'!$A$5:$A$104,0)),"")</f>
        <v/>
      </c>
      <c r="J1204" s="26"/>
      <c r="K1204" s="26"/>
      <c r="L1204" s="26"/>
      <c r="M1204" s="26"/>
      <c r="N1204" s="26"/>
      <c r="O1204" s="26"/>
      <c r="P1204" s="34"/>
    </row>
    <row r="1205" customFormat="false" ht="15" hidden="false" customHeight="true" outlineLevel="0" collapsed="false">
      <c r="A1205" s="18" t="n">
        <v>694</v>
      </c>
      <c r="B1205" s="25"/>
      <c r="C1205" s="26"/>
      <c r="D1205" s="26"/>
      <c r="E1205" s="26"/>
      <c r="F1205" s="24" t="str">
        <f aca="false">IFERROR(INDEX('Operator Master'!$B$5:$B$504,MATCH(E1205,'Operator Master'!$A$5:$A$504,0)),"")</f>
        <v/>
      </c>
      <c r="G1205" s="26"/>
      <c r="H1205" s="24" t="str">
        <f aca="false">IFERROR(INDEX('Fault Master'!$B$5:$B$104,MATCH(G1205,'Fault Master'!$A$5:$A$104,0)),"")</f>
        <v/>
      </c>
      <c r="I1205" s="24" t="str">
        <f aca="false">IFERROR(INDEX('Fault Master'!$C$5:$C$104,MATCH(G1205,'Fault Master'!$A$5:$A$104,0)),"")</f>
        <v/>
      </c>
      <c r="J1205" s="26"/>
      <c r="K1205" s="26"/>
      <c r="L1205" s="26"/>
      <c r="M1205" s="26"/>
      <c r="N1205" s="26"/>
      <c r="O1205" s="26"/>
      <c r="P1205" s="34"/>
    </row>
    <row r="1206" customFormat="false" ht="15" hidden="false" customHeight="true" outlineLevel="0" collapsed="false">
      <c r="A1206" s="18" t="n">
        <v>695</v>
      </c>
      <c r="B1206" s="25"/>
      <c r="C1206" s="26"/>
      <c r="D1206" s="26"/>
      <c r="E1206" s="26"/>
      <c r="F1206" s="24" t="str">
        <f aca="false">IFERROR(INDEX('Operator Master'!$B$5:$B$504,MATCH(E1206,'Operator Master'!$A$5:$A$504,0)),"")</f>
        <v/>
      </c>
      <c r="G1206" s="26"/>
      <c r="H1206" s="24" t="str">
        <f aca="false">IFERROR(INDEX('Fault Master'!$B$5:$B$104,MATCH(G1206,'Fault Master'!$A$5:$A$104,0)),"")</f>
        <v/>
      </c>
      <c r="I1206" s="24" t="str">
        <f aca="false">IFERROR(INDEX('Fault Master'!$C$5:$C$104,MATCH(G1206,'Fault Master'!$A$5:$A$104,0)),"")</f>
        <v/>
      </c>
      <c r="J1206" s="26"/>
      <c r="K1206" s="26"/>
      <c r="L1206" s="26"/>
      <c r="M1206" s="26"/>
      <c r="N1206" s="26"/>
      <c r="O1206" s="26"/>
      <c r="P1206" s="34"/>
    </row>
    <row r="1207" customFormat="false" ht="15" hidden="false" customHeight="true" outlineLevel="0" collapsed="false">
      <c r="A1207" s="18" t="n">
        <v>696</v>
      </c>
      <c r="B1207" s="25"/>
      <c r="C1207" s="26"/>
      <c r="D1207" s="26"/>
      <c r="E1207" s="26"/>
      <c r="F1207" s="24" t="str">
        <f aca="false">IFERROR(INDEX('Operator Master'!$B$5:$B$504,MATCH(E1207,'Operator Master'!$A$5:$A$504,0)),"")</f>
        <v/>
      </c>
      <c r="G1207" s="26"/>
      <c r="H1207" s="24" t="str">
        <f aca="false">IFERROR(INDEX('Fault Master'!$B$5:$B$104,MATCH(G1207,'Fault Master'!$A$5:$A$104,0)),"")</f>
        <v/>
      </c>
      <c r="I1207" s="24" t="str">
        <f aca="false">IFERROR(INDEX('Fault Master'!$C$5:$C$104,MATCH(G1207,'Fault Master'!$A$5:$A$104,0)),"")</f>
        <v/>
      </c>
      <c r="J1207" s="26"/>
      <c r="K1207" s="26"/>
      <c r="L1207" s="26"/>
      <c r="M1207" s="26"/>
      <c r="N1207" s="26"/>
      <c r="O1207" s="26"/>
      <c r="P1207" s="34"/>
    </row>
    <row r="1208" customFormat="false" ht="15" hidden="false" customHeight="true" outlineLevel="0" collapsed="false">
      <c r="A1208" s="18" t="n">
        <v>697</v>
      </c>
      <c r="B1208" s="25"/>
      <c r="C1208" s="26"/>
      <c r="D1208" s="26"/>
      <c r="E1208" s="26"/>
      <c r="F1208" s="24" t="str">
        <f aca="false">IFERROR(INDEX('Operator Master'!$B$5:$B$504,MATCH(E1208,'Operator Master'!$A$5:$A$504,0)),"")</f>
        <v/>
      </c>
      <c r="G1208" s="26"/>
      <c r="H1208" s="24" t="str">
        <f aca="false">IFERROR(INDEX('Fault Master'!$B$5:$B$104,MATCH(G1208,'Fault Master'!$A$5:$A$104,0)),"")</f>
        <v/>
      </c>
      <c r="I1208" s="24" t="str">
        <f aca="false">IFERROR(INDEX('Fault Master'!$C$5:$C$104,MATCH(G1208,'Fault Master'!$A$5:$A$104,0)),"")</f>
        <v/>
      </c>
      <c r="J1208" s="26"/>
      <c r="K1208" s="26"/>
      <c r="L1208" s="26"/>
      <c r="M1208" s="26"/>
      <c r="N1208" s="26"/>
      <c r="O1208" s="26"/>
      <c r="P1208" s="34"/>
    </row>
    <row r="1209" customFormat="false" ht="15" hidden="false" customHeight="true" outlineLevel="0" collapsed="false">
      <c r="A1209" s="18" t="n">
        <v>698</v>
      </c>
      <c r="B1209" s="25"/>
      <c r="C1209" s="26"/>
      <c r="D1209" s="26"/>
      <c r="E1209" s="26"/>
      <c r="F1209" s="24" t="str">
        <f aca="false">IFERROR(INDEX('Operator Master'!$B$5:$B$504,MATCH(E1209,'Operator Master'!$A$5:$A$504,0)),"")</f>
        <v/>
      </c>
      <c r="G1209" s="26"/>
      <c r="H1209" s="24" t="str">
        <f aca="false">IFERROR(INDEX('Fault Master'!$B$5:$B$104,MATCH(G1209,'Fault Master'!$A$5:$A$104,0)),"")</f>
        <v/>
      </c>
      <c r="I1209" s="24" t="str">
        <f aca="false">IFERROR(INDEX('Fault Master'!$C$5:$C$104,MATCH(G1209,'Fault Master'!$A$5:$A$104,0)),"")</f>
        <v/>
      </c>
      <c r="J1209" s="26"/>
      <c r="K1209" s="26"/>
      <c r="L1209" s="26"/>
      <c r="M1209" s="26"/>
      <c r="N1209" s="26"/>
      <c r="O1209" s="26"/>
      <c r="P1209" s="34"/>
    </row>
    <row r="1210" customFormat="false" ht="15" hidden="false" customHeight="true" outlineLevel="0" collapsed="false">
      <c r="A1210" s="18" t="n">
        <v>699</v>
      </c>
      <c r="B1210" s="25"/>
      <c r="C1210" s="26"/>
      <c r="D1210" s="26"/>
      <c r="E1210" s="26"/>
      <c r="F1210" s="24" t="str">
        <f aca="false">IFERROR(INDEX('Operator Master'!$B$5:$B$504,MATCH(E1210,'Operator Master'!$A$5:$A$504,0)),"")</f>
        <v/>
      </c>
      <c r="G1210" s="26"/>
      <c r="H1210" s="24" t="str">
        <f aca="false">IFERROR(INDEX('Fault Master'!$B$5:$B$104,MATCH(G1210,'Fault Master'!$A$5:$A$104,0)),"")</f>
        <v/>
      </c>
      <c r="I1210" s="24" t="str">
        <f aca="false">IFERROR(INDEX('Fault Master'!$C$5:$C$104,MATCH(G1210,'Fault Master'!$A$5:$A$104,0)),"")</f>
        <v/>
      </c>
      <c r="J1210" s="26"/>
      <c r="K1210" s="26"/>
      <c r="L1210" s="26"/>
      <c r="M1210" s="26"/>
      <c r="N1210" s="26"/>
      <c r="O1210" s="26"/>
      <c r="P1210" s="34"/>
    </row>
    <row r="1211" customFormat="false" ht="15" hidden="false" customHeight="true" outlineLevel="0" collapsed="false">
      <c r="A1211" s="18" t="n">
        <v>700</v>
      </c>
      <c r="B1211" s="25"/>
      <c r="C1211" s="26"/>
      <c r="D1211" s="26"/>
      <c r="E1211" s="26"/>
      <c r="F1211" s="24" t="str">
        <f aca="false">IFERROR(INDEX('Operator Master'!$B$5:$B$504,MATCH(E1211,'Operator Master'!$A$5:$A$504,0)),"")</f>
        <v/>
      </c>
      <c r="G1211" s="26"/>
      <c r="H1211" s="24" t="str">
        <f aca="false">IFERROR(INDEX('Fault Master'!$B$5:$B$104,MATCH(G1211,'Fault Master'!$A$5:$A$104,0)),"")</f>
        <v/>
      </c>
      <c r="I1211" s="24" t="str">
        <f aca="false">IFERROR(INDEX('Fault Master'!$C$5:$C$104,MATCH(G1211,'Fault Master'!$A$5:$A$104,0)),"")</f>
        <v/>
      </c>
      <c r="J1211" s="26"/>
      <c r="K1211" s="26"/>
      <c r="L1211" s="26"/>
      <c r="M1211" s="26"/>
      <c r="N1211" s="26"/>
      <c r="O1211" s="26"/>
      <c r="P1211" s="34"/>
    </row>
    <row r="1212" customFormat="false" ht="15" hidden="false" customHeight="true" outlineLevel="0" collapsed="false">
      <c r="A1212" s="18" t="n">
        <v>701</v>
      </c>
      <c r="B1212" s="25"/>
      <c r="C1212" s="26"/>
      <c r="D1212" s="26"/>
      <c r="E1212" s="26"/>
      <c r="F1212" s="24" t="str">
        <f aca="false">IFERROR(INDEX('Operator Master'!$B$5:$B$504,MATCH(E1212,'Operator Master'!$A$5:$A$504,0)),"")</f>
        <v/>
      </c>
      <c r="G1212" s="26"/>
      <c r="H1212" s="24" t="str">
        <f aca="false">IFERROR(INDEX('Fault Master'!$B$5:$B$104,MATCH(G1212,'Fault Master'!$A$5:$A$104,0)),"")</f>
        <v/>
      </c>
      <c r="I1212" s="24" t="str">
        <f aca="false">IFERROR(INDEX('Fault Master'!$C$5:$C$104,MATCH(G1212,'Fault Master'!$A$5:$A$104,0)),"")</f>
        <v/>
      </c>
      <c r="J1212" s="26"/>
      <c r="K1212" s="26"/>
      <c r="L1212" s="26"/>
      <c r="M1212" s="26"/>
      <c r="N1212" s="26"/>
      <c r="O1212" s="26"/>
      <c r="P1212" s="34"/>
    </row>
    <row r="1213" customFormat="false" ht="15" hidden="false" customHeight="true" outlineLevel="0" collapsed="false">
      <c r="A1213" s="18" t="n">
        <v>702</v>
      </c>
      <c r="B1213" s="25"/>
      <c r="C1213" s="26"/>
      <c r="D1213" s="26"/>
      <c r="E1213" s="26"/>
      <c r="F1213" s="24" t="str">
        <f aca="false">IFERROR(INDEX('Operator Master'!$B$5:$B$504,MATCH(E1213,'Operator Master'!$A$5:$A$504,0)),"")</f>
        <v/>
      </c>
      <c r="G1213" s="26"/>
      <c r="H1213" s="24" t="str">
        <f aca="false">IFERROR(INDEX('Fault Master'!$B$5:$B$104,MATCH(G1213,'Fault Master'!$A$5:$A$104,0)),"")</f>
        <v/>
      </c>
      <c r="I1213" s="24" t="str">
        <f aca="false">IFERROR(INDEX('Fault Master'!$C$5:$C$104,MATCH(G1213,'Fault Master'!$A$5:$A$104,0)),"")</f>
        <v/>
      </c>
      <c r="J1213" s="26"/>
      <c r="K1213" s="26"/>
      <c r="L1213" s="26"/>
      <c r="M1213" s="26"/>
      <c r="N1213" s="26"/>
      <c r="O1213" s="26"/>
      <c r="P1213" s="34"/>
    </row>
    <row r="1214" customFormat="false" ht="15" hidden="false" customHeight="true" outlineLevel="0" collapsed="false">
      <c r="A1214" s="18" t="n">
        <v>703</v>
      </c>
      <c r="B1214" s="25"/>
      <c r="C1214" s="26"/>
      <c r="D1214" s="26"/>
      <c r="E1214" s="26"/>
      <c r="F1214" s="24" t="str">
        <f aca="false">IFERROR(INDEX('Operator Master'!$B$5:$B$504,MATCH(E1214,'Operator Master'!$A$5:$A$504,0)),"")</f>
        <v/>
      </c>
      <c r="G1214" s="26"/>
      <c r="H1214" s="24" t="str">
        <f aca="false">IFERROR(INDEX('Fault Master'!$B$5:$B$104,MATCH(G1214,'Fault Master'!$A$5:$A$104,0)),"")</f>
        <v/>
      </c>
      <c r="I1214" s="24" t="str">
        <f aca="false">IFERROR(INDEX('Fault Master'!$C$5:$C$104,MATCH(G1214,'Fault Master'!$A$5:$A$104,0)),"")</f>
        <v/>
      </c>
      <c r="J1214" s="26"/>
      <c r="K1214" s="26"/>
      <c r="L1214" s="26"/>
      <c r="M1214" s="26"/>
      <c r="N1214" s="26"/>
      <c r="O1214" s="26"/>
      <c r="P1214" s="34"/>
    </row>
    <row r="1215" customFormat="false" ht="15" hidden="false" customHeight="true" outlineLevel="0" collapsed="false">
      <c r="A1215" s="18" t="n">
        <v>704</v>
      </c>
      <c r="B1215" s="25"/>
      <c r="C1215" s="26"/>
      <c r="D1215" s="26"/>
      <c r="E1215" s="26"/>
      <c r="F1215" s="24" t="str">
        <f aca="false">IFERROR(INDEX('Operator Master'!$B$5:$B$504,MATCH(E1215,'Operator Master'!$A$5:$A$504,0)),"")</f>
        <v/>
      </c>
      <c r="G1215" s="26"/>
      <c r="H1215" s="24" t="str">
        <f aca="false">IFERROR(INDEX('Fault Master'!$B$5:$B$104,MATCH(G1215,'Fault Master'!$A$5:$A$104,0)),"")</f>
        <v/>
      </c>
      <c r="I1215" s="24" t="str">
        <f aca="false">IFERROR(INDEX('Fault Master'!$C$5:$C$104,MATCH(G1215,'Fault Master'!$A$5:$A$104,0)),"")</f>
        <v/>
      </c>
      <c r="J1215" s="26"/>
      <c r="K1215" s="26"/>
      <c r="L1215" s="26"/>
      <c r="M1215" s="26"/>
      <c r="N1215" s="26"/>
      <c r="O1215" s="26"/>
      <c r="P1215" s="34"/>
    </row>
    <row r="1216" customFormat="false" ht="15" hidden="false" customHeight="true" outlineLevel="0" collapsed="false">
      <c r="A1216" s="18" t="n">
        <v>705</v>
      </c>
      <c r="B1216" s="25"/>
      <c r="C1216" s="26"/>
      <c r="D1216" s="26"/>
      <c r="E1216" s="26"/>
      <c r="F1216" s="24" t="str">
        <f aca="false">IFERROR(INDEX('Operator Master'!$B$5:$B$504,MATCH(E1216,'Operator Master'!$A$5:$A$504,0)),"")</f>
        <v/>
      </c>
      <c r="G1216" s="26"/>
      <c r="H1216" s="24" t="str">
        <f aca="false">IFERROR(INDEX('Fault Master'!$B$5:$B$104,MATCH(G1216,'Fault Master'!$A$5:$A$104,0)),"")</f>
        <v/>
      </c>
      <c r="I1216" s="24" t="str">
        <f aca="false">IFERROR(INDEX('Fault Master'!$C$5:$C$104,MATCH(G1216,'Fault Master'!$A$5:$A$104,0)),"")</f>
        <v/>
      </c>
      <c r="J1216" s="26"/>
      <c r="K1216" s="26"/>
      <c r="L1216" s="26"/>
      <c r="M1216" s="26"/>
      <c r="N1216" s="26"/>
      <c r="O1216" s="26"/>
      <c r="P1216" s="34"/>
    </row>
    <row r="1217" customFormat="false" ht="15" hidden="false" customHeight="true" outlineLevel="0" collapsed="false">
      <c r="A1217" s="18" t="n">
        <v>706</v>
      </c>
      <c r="B1217" s="25"/>
      <c r="C1217" s="26"/>
      <c r="D1217" s="26"/>
      <c r="E1217" s="26"/>
      <c r="F1217" s="24" t="str">
        <f aca="false">IFERROR(INDEX('Operator Master'!$B$5:$B$504,MATCH(E1217,'Operator Master'!$A$5:$A$504,0)),"")</f>
        <v/>
      </c>
      <c r="G1217" s="26"/>
      <c r="H1217" s="24" t="str">
        <f aca="false">IFERROR(INDEX('Fault Master'!$B$5:$B$104,MATCH(G1217,'Fault Master'!$A$5:$A$104,0)),"")</f>
        <v/>
      </c>
      <c r="I1217" s="24" t="str">
        <f aca="false">IFERROR(INDEX('Fault Master'!$C$5:$C$104,MATCH(G1217,'Fault Master'!$A$5:$A$104,0)),"")</f>
        <v/>
      </c>
      <c r="J1217" s="26"/>
      <c r="K1217" s="26"/>
      <c r="L1217" s="26"/>
      <c r="M1217" s="26"/>
      <c r="N1217" s="26"/>
      <c r="O1217" s="26"/>
      <c r="P1217" s="34"/>
    </row>
    <row r="1218" customFormat="false" ht="15" hidden="false" customHeight="true" outlineLevel="0" collapsed="false">
      <c r="A1218" s="18" t="n">
        <v>707</v>
      </c>
      <c r="B1218" s="25"/>
      <c r="C1218" s="26"/>
      <c r="D1218" s="26"/>
      <c r="E1218" s="26"/>
      <c r="F1218" s="24" t="str">
        <f aca="false">IFERROR(INDEX('Operator Master'!$B$5:$B$504,MATCH(E1218,'Operator Master'!$A$5:$A$504,0)),"")</f>
        <v/>
      </c>
      <c r="G1218" s="26"/>
      <c r="H1218" s="24" t="str">
        <f aca="false">IFERROR(INDEX('Fault Master'!$B$5:$B$104,MATCH(G1218,'Fault Master'!$A$5:$A$104,0)),"")</f>
        <v/>
      </c>
      <c r="I1218" s="24" t="str">
        <f aca="false">IFERROR(INDEX('Fault Master'!$C$5:$C$104,MATCH(G1218,'Fault Master'!$A$5:$A$104,0)),"")</f>
        <v/>
      </c>
      <c r="J1218" s="26"/>
      <c r="K1218" s="26"/>
      <c r="L1218" s="26"/>
      <c r="M1218" s="26"/>
      <c r="N1218" s="26"/>
      <c r="O1218" s="26"/>
      <c r="P1218" s="34"/>
    </row>
    <row r="1219" customFormat="false" ht="15" hidden="false" customHeight="true" outlineLevel="0" collapsed="false">
      <c r="A1219" s="18" t="n">
        <v>708</v>
      </c>
      <c r="B1219" s="25"/>
      <c r="C1219" s="26"/>
      <c r="D1219" s="26"/>
      <c r="E1219" s="26"/>
      <c r="F1219" s="24" t="str">
        <f aca="false">IFERROR(INDEX('Operator Master'!$B$5:$B$504,MATCH(E1219,'Operator Master'!$A$5:$A$504,0)),"")</f>
        <v/>
      </c>
      <c r="G1219" s="26"/>
      <c r="H1219" s="24" t="str">
        <f aca="false">IFERROR(INDEX('Fault Master'!$B$5:$B$104,MATCH(G1219,'Fault Master'!$A$5:$A$104,0)),"")</f>
        <v/>
      </c>
      <c r="I1219" s="24" t="str">
        <f aca="false">IFERROR(INDEX('Fault Master'!$C$5:$C$104,MATCH(G1219,'Fault Master'!$A$5:$A$104,0)),"")</f>
        <v/>
      </c>
      <c r="J1219" s="26"/>
      <c r="K1219" s="26"/>
      <c r="L1219" s="26"/>
      <c r="M1219" s="26"/>
      <c r="N1219" s="26"/>
      <c r="O1219" s="26"/>
      <c r="P1219" s="34"/>
    </row>
    <row r="1220" customFormat="false" ht="15" hidden="false" customHeight="true" outlineLevel="0" collapsed="false">
      <c r="A1220" s="18" t="n">
        <v>709</v>
      </c>
      <c r="B1220" s="25"/>
      <c r="C1220" s="26"/>
      <c r="D1220" s="26"/>
      <c r="E1220" s="26"/>
      <c r="F1220" s="24" t="str">
        <f aca="false">IFERROR(INDEX('Operator Master'!$B$5:$B$504,MATCH(E1220,'Operator Master'!$A$5:$A$504,0)),"")</f>
        <v/>
      </c>
      <c r="G1220" s="26"/>
      <c r="H1220" s="24" t="str">
        <f aca="false">IFERROR(INDEX('Fault Master'!$B$5:$B$104,MATCH(G1220,'Fault Master'!$A$5:$A$104,0)),"")</f>
        <v/>
      </c>
      <c r="I1220" s="24" t="str">
        <f aca="false">IFERROR(INDEX('Fault Master'!$C$5:$C$104,MATCH(G1220,'Fault Master'!$A$5:$A$104,0)),"")</f>
        <v/>
      </c>
      <c r="J1220" s="26"/>
      <c r="K1220" s="26"/>
      <c r="L1220" s="26"/>
      <c r="M1220" s="26"/>
      <c r="N1220" s="26"/>
      <c r="O1220" s="26"/>
      <c r="P1220" s="34"/>
    </row>
    <row r="1221" customFormat="false" ht="15" hidden="false" customHeight="true" outlineLevel="0" collapsed="false">
      <c r="A1221" s="18" t="n">
        <v>710</v>
      </c>
      <c r="B1221" s="25"/>
      <c r="C1221" s="26"/>
      <c r="D1221" s="26"/>
      <c r="E1221" s="26"/>
      <c r="F1221" s="24" t="str">
        <f aca="false">IFERROR(INDEX('Operator Master'!$B$5:$B$504,MATCH(E1221,'Operator Master'!$A$5:$A$504,0)),"")</f>
        <v/>
      </c>
      <c r="G1221" s="26"/>
      <c r="H1221" s="24" t="str">
        <f aca="false">IFERROR(INDEX('Fault Master'!$B$5:$B$104,MATCH(G1221,'Fault Master'!$A$5:$A$104,0)),"")</f>
        <v/>
      </c>
      <c r="I1221" s="24" t="str">
        <f aca="false">IFERROR(INDEX('Fault Master'!$C$5:$C$104,MATCH(G1221,'Fault Master'!$A$5:$A$104,0)),"")</f>
        <v/>
      </c>
      <c r="J1221" s="26"/>
      <c r="K1221" s="26"/>
      <c r="L1221" s="26"/>
      <c r="M1221" s="26"/>
      <c r="N1221" s="26"/>
      <c r="O1221" s="26"/>
      <c r="P1221" s="34"/>
    </row>
    <row r="1222" customFormat="false" ht="15" hidden="false" customHeight="true" outlineLevel="0" collapsed="false">
      <c r="A1222" s="18" t="n">
        <v>711</v>
      </c>
      <c r="B1222" s="25"/>
      <c r="C1222" s="26"/>
      <c r="D1222" s="26"/>
      <c r="E1222" s="26"/>
      <c r="F1222" s="24" t="str">
        <f aca="false">IFERROR(INDEX('Operator Master'!$B$5:$B$504,MATCH(E1222,'Operator Master'!$A$5:$A$504,0)),"")</f>
        <v/>
      </c>
      <c r="G1222" s="26"/>
      <c r="H1222" s="24" t="str">
        <f aca="false">IFERROR(INDEX('Fault Master'!$B$5:$B$104,MATCH(G1222,'Fault Master'!$A$5:$A$104,0)),"")</f>
        <v/>
      </c>
      <c r="I1222" s="24" t="str">
        <f aca="false">IFERROR(INDEX('Fault Master'!$C$5:$C$104,MATCH(G1222,'Fault Master'!$A$5:$A$104,0)),"")</f>
        <v/>
      </c>
      <c r="J1222" s="26"/>
      <c r="K1222" s="26"/>
      <c r="L1222" s="26"/>
      <c r="M1222" s="26"/>
      <c r="N1222" s="26"/>
      <c r="O1222" s="26"/>
      <c r="P1222" s="34"/>
    </row>
    <row r="1223" customFormat="false" ht="15" hidden="false" customHeight="true" outlineLevel="0" collapsed="false">
      <c r="A1223" s="18" t="n">
        <v>712</v>
      </c>
      <c r="B1223" s="25"/>
      <c r="C1223" s="26"/>
      <c r="D1223" s="26"/>
      <c r="E1223" s="26"/>
      <c r="F1223" s="24" t="str">
        <f aca="false">IFERROR(INDEX('Operator Master'!$B$5:$B$504,MATCH(E1223,'Operator Master'!$A$5:$A$504,0)),"")</f>
        <v/>
      </c>
      <c r="G1223" s="26"/>
      <c r="H1223" s="24" t="str">
        <f aca="false">IFERROR(INDEX('Fault Master'!$B$5:$B$104,MATCH(G1223,'Fault Master'!$A$5:$A$104,0)),"")</f>
        <v/>
      </c>
      <c r="I1223" s="24" t="str">
        <f aca="false">IFERROR(INDEX('Fault Master'!$C$5:$C$104,MATCH(G1223,'Fault Master'!$A$5:$A$104,0)),"")</f>
        <v/>
      </c>
      <c r="J1223" s="26"/>
      <c r="K1223" s="26"/>
      <c r="L1223" s="26"/>
      <c r="M1223" s="26"/>
      <c r="N1223" s="26"/>
      <c r="O1223" s="26"/>
      <c r="P1223" s="34"/>
    </row>
    <row r="1224" customFormat="false" ht="15" hidden="false" customHeight="true" outlineLevel="0" collapsed="false">
      <c r="A1224" s="18" t="n">
        <v>713</v>
      </c>
      <c r="B1224" s="25"/>
      <c r="C1224" s="26"/>
      <c r="D1224" s="26"/>
      <c r="E1224" s="26"/>
      <c r="F1224" s="24" t="str">
        <f aca="false">IFERROR(INDEX('Operator Master'!$B$5:$B$504,MATCH(E1224,'Operator Master'!$A$5:$A$504,0)),"")</f>
        <v/>
      </c>
      <c r="G1224" s="26"/>
      <c r="H1224" s="24" t="str">
        <f aca="false">IFERROR(INDEX('Fault Master'!$B$5:$B$104,MATCH(G1224,'Fault Master'!$A$5:$A$104,0)),"")</f>
        <v/>
      </c>
      <c r="I1224" s="24" t="str">
        <f aca="false">IFERROR(INDEX('Fault Master'!$C$5:$C$104,MATCH(G1224,'Fault Master'!$A$5:$A$104,0)),"")</f>
        <v/>
      </c>
      <c r="J1224" s="26"/>
      <c r="K1224" s="26"/>
      <c r="L1224" s="26"/>
      <c r="M1224" s="26"/>
      <c r="N1224" s="26"/>
      <c r="O1224" s="26"/>
      <c r="P1224" s="34"/>
    </row>
    <row r="1225" customFormat="false" ht="15" hidden="false" customHeight="true" outlineLevel="0" collapsed="false">
      <c r="A1225" s="18" t="n">
        <v>714</v>
      </c>
      <c r="B1225" s="25"/>
      <c r="C1225" s="26"/>
      <c r="D1225" s="26"/>
      <c r="E1225" s="26"/>
      <c r="F1225" s="24" t="str">
        <f aca="false">IFERROR(INDEX('Operator Master'!$B$5:$B$504,MATCH(E1225,'Operator Master'!$A$5:$A$504,0)),"")</f>
        <v/>
      </c>
      <c r="G1225" s="26"/>
      <c r="H1225" s="24" t="str">
        <f aca="false">IFERROR(INDEX('Fault Master'!$B$5:$B$104,MATCH(G1225,'Fault Master'!$A$5:$A$104,0)),"")</f>
        <v/>
      </c>
      <c r="I1225" s="24" t="str">
        <f aca="false">IFERROR(INDEX('Fault Master'!$C$5:$C$104,MATCH(G1225,'Fault Master'!$A$5:$A$104,0)),"")</f>
        <v/>
      </c>
      <c r="J1225" s="26"/>
      <c r="K1225" s="26"/>
      <c r="L1225" s="26"/>
      <c r="M1225" s="26"/>
      <c r="N1225" s="26"/>
      <c r="O1225" s="26"/>
      <c r="P1225" s="34"/>
    </row>
    <row r="1226" customFormat="false" ht="15" hidden="false" customHeight="true" outlineLevel="0" collapsed="false">
      <c r="A1226" s="18" t="n">
        <v>715</v>
      </c>
      <c r="B1226" s="25"/>
      <c r="C1226" s="26"/>
      <c r="D1226" s="26"/>
      <c r="E1226" s="26"/>
      <c r="F1226" s="24" t="str">
        <f aca="false">IFERROR(INDEX('Operator Master'!$B$5:$B$504,MATCH(E1226,'Operator Master'!$A$5:$A$504,0)),"")</f>
        <v/>
      </c>
      <c r="G1226" s="26"/>
      <c r="H1226" s="24" t="str">
        <f aca="false">IFERROR(INDEX('Fault Master'!$B$5:$B$104,MATCH(G1226,'Fault Master'!$A$5:$A$104,0)),"")</f>
        <v/>
      </c>
      <c r="I1226" s="24" t="str">
        <f aca="false">IFERROR(INDEX('Fault Master'!$C$5:$C$104,MATCH(G1226,'Fault Master'!$A$5:$A$104,0)),"")</f>
        <v/>
      </c>
      <c r="J1226" s="26"/>
      <c r="K1226" s="26"/>
      <c r="L1226" s="26"/>
      <c r="M1226" s="26"/>
      <c r="N1226" s="26"/>
      <c r="O1226" s="26"/>
      <c r="P1226" s="34"/>
    </row>
    <row r="1227" customFormat="false" ht="15" hidden="false" customHeight="true" outlineLevel="0" collapsed="false">
      <c r="A1227" s="18" t="n">
        <v>716</v>
      </c>
      <c r="B1227" s="25"/>
      <c r="C1227" s="26"/>
      <c r="D1227" s="26"/>
      <c r="E1227" s="26"/>
      <c r="F1227" s="24" t="str">
        <f aca="false">IFERROR(INDEX('Operator Master'!$B$5:$B$504,MATCH(E1227,'Operator Master'!$A$5:$A$504,0)),"")</f>
        <v/>
      </c>
      <c r="G1227" s="26"/>
      <c r="H1227" s="24" t="str">
        <f aca="false">IFERROR(INDEX('Fault Master'!$B$5:$B$104,MATCH(G1227,'Fault Master'!$A$5:$A$104,0)),"")</f>
        <v/>
      </c>
      <c r="I1227" s="24" t="str">
        <f aca="false">IFERROR(INDEX('Fault Master'!$C$5:$C$104,MATCH(G1227,'Fault Master'!$A$5:$A$104,0)),"")</f>
        <v/>
      </c>
      <c r="J1227" s="26"/>
      <c r="K1227" s="26"/>
      <c r="L1227" s="26"/>
      <c r="M1227" s="26"/>
      <c r="N1227" s="26"/>
      <c r="O1227" s="26"/>
      <c r="P1227" s="34"/>
    </row>
    <row r="1228" customFormat="false" ht="15" hidden="false" customHeight="true" outlineLevel="0" collapsed="false">
      <c r="A1228" s="18" t="n">
        <v>717</v>
      </c>
      <c r="B1228" s="25"/>
      <c r="C1228" s="26"/>
      <c r="D1228" s="26"/>
      <c r="E1228" s="26"/>
      <c r="F1228" s="24" t="str">
        <f aca="false">IFERROR(INDEX('Operator Master'!$B$5:$B$504,MATCH(E1228,'Operator Master'!$A$5:$A$504,0)),"")</f>
        <v/>
      </c>
      <c r="G1228" s="26"/>
      <c r="H1228" s="24" t="str">
        <f aca="false">IFERROR(INDEX('Fault Master'!$B$5:$B$104,MATCH(G1228,'Fault Master'!$A$5:$A$104,0)),"")</f>
        <v/>
      </c>
      <c r="I1228" s="24" t="str">
        <f aca="false">IFERROR(INDEX('Fault Master'!$C$5:$C$104,MATCH(G1228,'Fault Master'!$A$5:$A$104,0)),"")</f>
        <v/>
      </c>
      <c r="J1228" s="26"/>
      <c r="K1228" s="26"/>
      <c r="L1228" s="26"/>
      <c r="M1228" s="26"/>
      <c r="N1228" s="26"/>
      <c r="O1228" s="26"/>
      <c r="P1228" s="34"/>
    </row>
    <row r="1229" customFormat="false" ht="15" hidden="false" customHeight="true" outlineLevel="0" collapsed="false">
      <c r="A1229" s="18" t="n">
        <v>718</v>
      </c>
      <c r="B1229" s="25"/>
      <c r="C1229" s="26"/>
      <c r="D1229" s="26"/>
      <c r="E1229" s="26"/>
      <c r="F1229" s="24" t="str">
        <f aca="false">IFERROR(INDEX('Operator Master'!$B$5:$B$504,MATCH(E1229,'Operator Master'!$A$5:$A$504,0)),"")</f>
        <v/>
      </c>
      <c r="G1229" s="26"/>
      <c r="H1229" s="24" t="str">
        <f aca="false">IFERROR(INDEX('Fault Master'!$B$5:$B$104,MATCH(G1229,'Fault Master'!$A$5:$A$104,0)),"")</f>
        <v/>
      </c>
      <c r="I1229" s="24" t="str">
        <f aca="false">IFERROR(INDEX('Fault Master'!$C$5:$C$104,MATCH(G1229,'Fault Master'!$A$5:$A$104,0)),"")</f>
        <v/>
      </c>
      <c r="J1229" s="26"/>
      <c r="K1229" s="26"/>
      <c r="L1229" s="26"/>
      <c r="M1229" s="26"/>
      <c r="N1229" s="26"/>
      <c r="O1229" s="26"/>
      <c r="P1229" s="34"/>
    </row>
    <row r="1230" customFormat="false" ht="15" hidden="false" customHeight="true" outlineLevel="0" collapsed="false">
      <c r="A1230" s="18" t="n">
        <v>719</v>
      </c>
      <c r="B1230" s="25"/>
      <c r="C1230" s="26"/>
      <c r="D1230" s="26"/>
      <c r="E1230" s="26"/>
      <c r="F1230" s="24" t="str">
        <f aca="false">IFERROR(INDEX('Operator Master'!$B$5:$B$504,MATCH(E1230,'Operator Master'!$A$5:$A$504,0)),"")</f>
        <v/>
      </c>
      <c r="G1230" s="26"/>
      <c r="H1230" s="24" t="str">
        <f aca="false">IFERROR(INDEX('Fault Master'!$B$5:$B$104,MATCH(G1230,'Fault Master'!$A$5:$A$104,0)),"")</f>
        <v/>
      </c>
      <c r="I1230" s="24" t="str">
        <f aca="false">IFERROR(INDEX('Fault Master'!$C$5:$C$104,MATCH(G1230,'Fault Master'!$A$5:$A$104,0)),"")</f>
        <v/>
      </c>
      <c r="J1230" s="26"/>
      <c r="K1230" s="26"/>
      <c r="L1230" s="26"/>
      <c r="M1230" s="26"/>
      <c r="N1230" s="26"/>
      <c r="O1230" s="26"/>
      <c r="P1230" s="34"/>
    </row>
    <row r="1231" customFormat="false" ht="15" hidden="false" customHeight="true" outlineLevel="0" collapsed="false">
      <c r="A1231" s="18" t="n">
        <v>720</v>
      </c>
      <c r="B1231" s="25"/>
      <c r="C1231" s="26"/>
      <c r="D1231" s="26"/>
      <c r="E1231" s="26"/>
      <c r="F1231" s="24" t="str">
        <f aca="false">IFERROR(INDEX('Operator Master'!$B$5:$B$504,MATCH(E1231,'Operator Master'!$A$5:$A$504,0)),"")</f>
        <v/>
      </c>
      <c r="G1231" s="26"/>
      <c r="H1231" s="24" t="str">
        <f aca="false">IFERROR(INDEX('Fault Master'!$B$5:$B$104,MATCH(G1231,'Fault Master'!$A$5:$A$104,0)),"")</f>
        <v/>
      </c>
      <c r="I1231" s="24" t="str">
        <f aca="false">IFERROR(INDEX('Fault Master'!$C$5:$C$104,MATCH(G1231,'Fault Master'!$A$5:$A$104,0)),"")</f>
        <v/>
      </c>
      <c r="J1231" s="26"/>
      <c r="K1231" s="26"/>
      <c r="L1231" s="26"/>
      <c r="M1231" s="26"/>
      <c r="N1231" s="26"/>
      <c r="O1231" s="26"/>
      <c r="P1231" s="34"/>
    </row>
    <row r="1232" customFormat="false" ht="15" hidden="false" customHeight="true" outlineLevel="0" collapsed="false">
      <c r="A1232" s="18" t="n">
        <v>721</v>
      </c>
      <c r="B1232" s="25"/>
      <c r="C1232" s="26"/>
      <c r="D1232" s="26"/>
      <c r="E1232" s="26"/>
      <c r="F1232" s="24" t="str">
        <f aca="false">IFERROR(INDEX('Operator Master'!$B$5:$B$504,MATCH(E1232,'Operator Master'!$A$5:$A$504,0)),"")</f>
        <v/>
      </c>
      <c r="G1232" s="26"/>
      <c r="H1232" s="24" t="str">
        <f aca="false">IFERROR(INDEX('Fault Master'!$B$5:$B$104,MATCH(G1232,'Fault Master'!$A$5:$A$104,0)),"")</f>
        <v/>
      </c>
      <c r="I1232" s="24" t="str">
        <f aca="false">IFERROR(INDEX('Fault Master'!$C$5:$C$104,MATCH(G1232,'Fault Master'!$A$5:$A$104,0)),"")</f>
        <v/>
      </c>
      <c r="J1232" s="26"/>
      <c r="K1232" s="26"/>
      <c r="L1232" s="26"/>
      <c r="M1232" s="26"/>
      <c r="N1232" s="26"/>
      <c r="O1232" s="26"/>
      <c r="P1232" s="34"/>
    </row>
    <row r="1233" customFormat="false" ht="15" hidden="false" customHeight="true" outlineLevel="0" collapsed="false">
      <c r="A1233" s="18" t="n">
        <v>722</v>
      </c>
      <c r="B1233" s="25"/>
      <c r="C1233" s="26"/>
      <c r="D1233" s="26"/>
      <c r="E1233" s="26"/>
      <c r="F1233" s="24" t="str">
        <f aca="false">IFERROR(INDEX('Operator Master'!$B$5:$B$504,MATCH(E1233,'Operator Master'!$A$5:$A$504,0)),"")</f>
        <v/>
      </c>
      <c r="G1233" s="26"/>
      <c r="H1233" s="24" t="str">
        <f aca="false">IFERROR(INDEX('Fault Master'!$B$5:$B$104,MATCH(G1233,'Fault Master'!$A$5:$A$104,0)),"")</f>
        <v/>
      </c>
      <c r="I1233" s="24" t="str">
        <f aca="false">IFERROR(INDEX('Fault Master'!$C$5:$C$104,MATCH(G1233,'Fault Master'!$A$5:$A$104,0)),"")</f>
        <v/>
      </c>
      <c r="J1233" s="26"/>
      <c r="K1233" s="26"/>
      <c r="L1233" s="26"/>
      <c r="M1233" s="26"/>
      <c r="N1233" s="26"/>
      <c r="O1233" s="26"/>
      <c r="P1233" s="34"/>
    </row>
    <row r="1234" customFormat="false" ht="15" hidden="false" customHeight="true" outlineLevel="0" collapsed="false">
      <c r="A1234" s="18" t="n">
        <v>723</v>
      </c>
      <c r="B1234" s="25"/>
      <c r="C1234" s="26"/>
      <c r="D1234" s="26"/>
      <c r="E1234" s="26"/>
      <c r="F1234" s="24" t="str">
        <f aca="false">IFERROR(INDEX('Operator Master'!$B$5:$B$504,MATCH(E1234,'Operator Master'!$A$5:$A$504,0)),"")</f>
        <v/>
      </c>
      <c r="G1234" s="26"/>
      <c r="H1234" s="24" t="str">
        <f aca="false">IFERROR(INDEX('Fault Master'!$B$5:$B$104,MATCH(G1234,'Fault Master'!$A$5:$A$104,0)),"")</f>
        <v/>
      </c>
      <c r="I1234" s="24" t="str">
        <f aca="false">IFERROR(INDEX('Fault Master'!$C$5:$C$104,MATCH(G1234,'Fault Master'!$A$5:$A$104,0)),"")</f>
        <v/>
      </c>
      <c r="J1234" s="26"/>
      <c r="K1234" s="26"/>
      <c r="L1234" s="26"/>
      <c r="M1234" s="26"/>
      <c r="N1234" s="26"/>
      <c r="O1234" s="26"/>
      <c r="P1234" s="34"/>
    </row>
    <row r="1235" customFormat="false" ht="15" hidden="false" customHeight="true" outlineLevel="0" collapsed="false">
      <c r="A1235" s="18" t="n">
        <v>724</v>
      </c>
      <c r="B1235" s="25"/>
      <c r="C1235" s="26"/>
      <c r="D1235" s="26"/>
      <c r="E1235" s="26"/>
      <c r="F1235" s="24" t="str">
        <f aca="false">IFERROR(INDEX('Operator Master'!$B$5:$B$504,MATCH(E1235,'Operator Master'!$A$5:$A$504,0)),"")</f>
        <v/>
      </c>
      <c r="G1235" s="26"/>
      <c r="H1235" s="24" t="str">
        <f aca="false">IFERROR(INDEX('Fault Master'!$B$5:$B$104,MATCH(G1235,'Fault Master'!$A$5:$A$104,0)),"")</f>
        <v/>
      </c>
      <c r="I1235" s="24" t="str">
        <f aca="false">IFERROR(INDEX('Fault Master'!$C$5:$C$104,MATCH(G1235,'Fault Master'!$A$5:$A$104,0)),"")</f>
        <v/>
      </c>
      <c r="J1235" s="26"/>
      <c r="K1235" s="26"/>
      <c r="L1235" s="26"/>
      <c r="M1235" s="26"/>
      <c r="N1235" s="26"/>
      <c r="O1235" s="26"/>
      <c r="P1235" s="34"/>
    </row>
    <row r="1236" customFormat="false" ht="15" hidden="false" customHeight="true" outlineLevel="0" collapsed="false">
      <c r="A1236" s="18" t="n">
        <v>725</v>
      </c>
      <c r="B1236" s="25"/>
      <c r="C1236" s="26"/>
      <c r="D1236" s="26"/>
      <c r="E1236" s="26"/>
      <c r="F1236" s="24" t="str">
        <f aca="false">IFERROR(INDEX('Operator Master'!$B$5:$B$504,MATCH(E1236,'Operator Master'!$A$5:$A$504,0)),"")</f>
        <v/>
      </c>
      <c r="G1236" s="26"/>
      <c r="H1236" s="24" t="str">
        <f aca="false">IFERROR(INDEX('Fault Master'!$B$5:$B$104,MATCH(G1236,'Fault Master'!$A$5:$A$104,0)),"")</f>
        <v/>
      </c>
      <c r="I1236" s="24" t="str">
        <f aca="false">IFERROR(INDEX('Fault Master'!$C$5:$C$104,MATCH(G1236,'Fault Master'!$A$5:$A$104,0)),"")</f>
        <v/>
      </c>
      <c r="J1236" s="26"/>
      <c r="K1236" s="26"/>
      <c r="L1236" s="26"/>
      <c r="M1236" s="26"/>
      <c r="N1236" s="26"/>
      <c r="O1236" s="26"/>
      <c r="P1236" s="34"/>
    </row>
    <row r="1237" customFormat="false" ht="15" hidden="false" customHeight="true" outlineLevel="0" collapsed="false">
      <c r="A1237" s="18" t="n">
        <v>726</v>
      </c>
      <c r="B1237" s="25"/>
      <c r="C1237" s="26"/>
      <c r="D1237" s="26"/>
      <c r="E1237" s="26"/>
      <c r="F1237" s="24" t="str">
        <f aca="false">IFERROR(INDEX('Operator Master'!$B$5:$B$504,MATCH(E1237,'Operator Master'!$A$5:$A$504,0)),"")</f>
        <v/>
      </c>
      <c r="G1237" s="26"/>
      <c r="H1237" s="24" t="str">
        <f aca="false">IFERROR(INDEX('Fault Master'!$B$5:$B$104,MATCH(G1237,'Fault Master'!$A$5:$A$104,0)),"")</f>
        <v/>
      </c>
      <c r="I1237" s="24" t="str">
        <f aca="false">IFERROR(INDEX('Fault Master'!$C$5:$C$104,MATCH(G1237,'Fault Master'!$A$5:$A$104,0)),"")</f>
        <v/>
      </c>
      <c r="J1237" s="26"/>
      <c r="K1237" s="26"/>
      <c r="L1237" s="26"/>
      <c r="M1237" s="26"/>
      <c r="N1237" s="26"/>
      <c r="O1237" s="26"/>
      <c r="P1237" s="34"/>
    </row>
    <row r="1238" customFormat="false" ht="15" hidden="false" customHeight="true" outlineLevel="0" collapsed="false">
      <c r="A1238" s="18" t="n">
        <v>727</v>
      </c>
      <c r="B1238" s="25"/>
      <c r="C1238" s="26"/>
      <c r="D1238" s="26"/>
      <c r="E1238" s="26"/>
      <c r="F1238" s="24" t="str">
        <f aca="false">IFERROR(INDEX('Operator Master'!$B$5:$B$504,MATCH(E1238,'Operator Master'!$A$5:$A$504,0)),"")</f>
        <v/>
      </c>
      <c r="G1238" s="26"/>
      <c r="H1238" s="24" t="str">
        <f aca="false">IFERROR(INDEX('Fault Master'!$B$5:$B$104,MATCH(G1238,'Fault Master'!$A$5:$A$104,0)),"")</f>
        <v/>
      </c>
      <c r="I1238" s="24" t="str">
        <f aca="false">IFERROR(INDEX('Fault Master'!$C$5:$C$104,MATCH(G1238,'Fault Master'!$A$5:$A$104,0)),"")</f>
        <v/>
      </c>
      <c r="J1238" s="26"/>
      <c r="K1238" s="26"/>
      <c r="L1238" s="26"/>
      <c r="M1238" s="26"/>
      <c r="N1238" s="26"/>
      <c r="O1238" s="26"/>
      <c r="P1238" s="34"/>
    </row>
    <row r="1239" customFormat="false" ht="15" hidden="false" customHeight="true" outlineLevel="0" collapsed="false">
      <c r="A1239" s="18" t="n">
        <v>728</v>
      </c>
      <c r="B1239" s="25"/>
      <c r="C1239" s="26"/>
      <c r="D1239" s="26"/>
      <c r="E1239" s="26"/>
      <c r="F1239" s="24" t="str">
        <f aca="false">IFERROR(INDEX('Operator Master'!$B$5:$B$504,MATCH(E1239,'Operator Master'!$A$5:$A$504,0)),"")</f>
        <v/>
      </c>
      <c r="G1239" s="26"/>
      <c r="H1239" s="24" t="str">
        <f aca="false">IFERROR(INDEX('Fault Master'!$B$5:$B$104,MATCH(G1239,'Fault Master'!$A$5:$A$104,0)),"")</f>
        <v/>
      </c>
      <c r="I1239" s="24" t="str">
        <f aca="false">IFERROR(INDEX('Fault Master'!$C$5:$C$104,MATCH(G1239,'Fault Master'!$A$5:$A$104,0)),"")</f>
        <v/>
      </c>
      <c r="J1239" s="26"/>
      <c r="K1239" s="26"/>
      <c r="L1239" s="26"/>
      <c r="M1239" s="26"/>
      <c r="N1239" s="26"/>
      <c r="O1239" s="26"/>
      <c r="P1239" s="34"/>
    </row>
    <row r="1240" customFormat="false" ht="15" hidden="false" customHeight="true" outlineLevel="0" collapsed="false">
      <c r="A1240" s="18" t="n">
        <v>729</v>
      </c>
      <c r="B1240" s="25"/>
      <c r="C1240" s="26"/>
      <c r="D1240" s="26"/>
      <c r="E1240" s="26"/>
      <c r="F1240" s="24" t="str">
        <f aca="false">IFERROR(INDEX('Operator Master'!$B$5:$B$504,MATCH(E1240,'Operator Master'!$A$5:$A$504,0)),"")</f>
        <v/>
      </c>
      <c r="G1240" s="26"/>
      <c r="H1240" s="24" t="str">
        <f aca="false">IFERROR(INDEX('Fault Master'!$B$5:$B$104,MATCH(G1240,'Fault Master'!$A$5:$A$104,0)),"")</f>
        <v/>
      </c>
      <c r="I1240" s="24" t="str">
        <f aca="false">IFERROR(INDEX('Fault Master'!$C$5:$C$104,MATCH(G1240,'Fault Master'!$A$5:$A$104,0)),"")</f>
        <v/>
      </c>
      <c r="J1240" s="26"/>
      <c r="K1240" s="26"/>
      <c r="L1240" s="26"/>
      <c r="M1240" s="26"/>
      <c r="N1240" s="26"/>
      <c r="O1240" s="26"/>
      <c r="P1240" s="34"/>
    </row>
    <row r="1241" customFormat="false" ht="15" hidden="false" customHeight="true" outlineLevel="0" collapsed="false">
      <c r="A1241" s="18" t="n">
        <v>730</v>
      </c>
      <c r="B1241" s="25"/>
      <c r="C1241" s="26"/>
      <c r="D1241" s="26"/>
      <c r="E1241" s="26"/>
      <c r="F1241" s="24" t="str">
        <f aca="false">IFERROR(INDEX('Operator Master'!$B$5:$B$504,MATCH(E1241,'Operator Master'!$A$5:$A$504,0)),"")</f>
        <v/>
      </c>
      <c r="G1241" s="26"/>
      <c r="H1241" s="24" t="str">
        <f aca="false">IFERROR(INDEX('Fault Master'!$B$5:$B$104,MATCH(G1241,'Fault Master'!$A$5:$A$104,0)),"")</f>
        <v/>
      </c>
      <c r="I1241" s="24" t="str">
        <f aca="false">IFERROR(INDEX('Fault Master'!$C$5:$C$104,MATCH(G1241,'Fault Master'!$A$5:$A$104,0)),"")</f>
        <v/>
      </c>
      <c r="J1241" s="26"/>
      <c r="K1241" s="26"/>
      <c r="L1241" s="26"/>
      <c r="M1241" s="26"/>
      <c r="N1241" s="26"/>
      <c r="O1241" s="26"/>
      <c r="P1241" s="34"/>
    </row>
    <row r="1242" customFormat="false" ht="15" hidden="false" customHeight="true" outlineLevel="0" collapsed="false">
      <c r="A1242" s="18" t="n">
        <v>731</v>
      </c>
      <c r="B1242" s="25"/>
      <c r="C1242" s="26"/>
      <c r="D1242" s="26"/>
      <c r="E1242" s="26"/>
      <c r="F1242" s="24" t="str">
        <f aca="false">IFERROR(INDEX('Operator Master'!$B$5:$B$504,MATCH(E1242,'Operator Master'!$A$5:$A$504,0)),"")</f>
        <v/>
      </c>
      <c r="G1242" s="26"/>
      <c r="H1242" s="24" t="str">
        <f aca="false">IFERROR(INDEX('Fault Master'!$B$5:$B$104,MATCH(G1242,'Fault Master'!$A$5:$A$104,0)),"")</f>
        <v/>
      </c>
      <c r="I1242" s="24" t="str">
        <f aca="false">IFERROR(INDEX('Fault Master'!$C$5:$C$104,MATCH(G1242,'Fault Master'!$A$5:$A$104,0)),"")</f>
        <v/>
      </c>
      <c r="J1242" s="26"/>
      <c r="K1242" s="26"/>
      <c r="L1242" s="26"/>
      <c r="M1242" s="26"/>
      <c r="N1242" s="26"/>
      <c r="O1242" s="26"/>
      <c r="P1242" s="34"/>
    </row>
    <row r="1243" customFormat="false" ht="15" hidden="false" customHeight="true" outlineLevel="0" collapsed="false">
      <c r="A1243" s="18" t="n">
        <v>732</v>
      </c>
      <c r="B1243" s="25"/>
      <c r="C1243" s="26"/>
      <c r="D1243" s="26"/>
      <c r="E1243" s="26"/>
      <c r="F1243" s="24" t="str">
        <f aca="false">IFERROR(INDEX('Operator Master'!$B$5:$B$504,MATCH(E1243,'Operator Master'!$A$5:$A$504,0)),"")</f>
        <v/>
      </c>
      <c r="G1243" s="26"/>
      <c r="H1243" s="24" t="str">
        <f aca="false">IFERROR(INDEX('Fault Master'!$B$5:$B$104,MATCH(G1243,'Fault Master'!$A$5:$A$104,0)),"")</f>
        <v/>
      </c>
      <c r="I1243" s="24" t="str">
        <f aca="false">IFERROR(INDEX('Fault Master'!$C$5:$C$104,MATCH(G1243,'Fault Master'!$A$5:$A$104,0)),"")</f>
        <v/>
      </c>
      <c r="J1243" s="26"/>
      <c r="K1243" s="26"/>
      <c r="L1243" s="26"/>
      <c r="M1243" s="26"/>
      <c r="N1243" s="26"/>
      <c r="O1243" s="26"/>
      <c r="P1243" s="34"/>
    </row>
    <row r="1244" customFormat="false" ht="15" hidden="false" customHeight="true" outlineLevel="0" collapsed="false">
      <c r="A1244" s="18" t="n">
        <v>733</v>
      </c>
      <c r="B1244" s="25"/>
      <c r="C1244" s="26"/>
      <c r="D1244" s="26"/>
      <c r="E1244" s="26"/>
      <c r="F1244" s="24" t="str">
        <f aca="false">IFERROR(INDEX('Operator Master'!$B$5:$B$504,MATCH(E1244,'Operator Master'!$A$5:$A$504,0)),"")</f>
        <v/>
      </c>
      <c r="G1244" s="26"/>
      <c r="H1244" s="24" t="str">
        <f aca="false">IFERROR(INDEX('Fault Master'!$B$5:$B$104,MATCH(G1244,'Fault Master'!$A$5:$A$104,0)),"")</f>
        <v/>
      </c>
      <c r="I1244" s="24" t="str">
        <f aca="false">IFERROR(INDEX('Fault Master'!$C$5:$C$104,MATCH(G1244,'Fault Master'!$A$5:$A$104,0)),"")</f>
        <v/>
      </c>
      <c r="J1244" s="26"/>
      <c r="K1244" s="26"/>
      <c r="L1244" s="26"/>
      <c r="M1244" s="26"/>
      <c r="N1244" s="26"/>
      <c r="O1244" s="26"/>
      <c r="P1244" s="34"/>
    </row>
    <row r="1245" customFormat="false" ht="15" hidden="false" customHeight="true" outlineLevel="0" collapsed="false">
      <c r="A1245" s="18" t="n">
        <v>734</v>
      </c>
      <c r="B1245" s="25"/>
      <c r="C1245" s="26"/>
      <c r="D1245" s="26"/>
      <c r="E1245" s="26"/>
      <c r="F1245" s="24" t="str">
        <f aca="false">IFERROR(INDEX('Operator Master'!$B$5:$B$504,MATCH(E1245,'Operator Master'!$A$5:$A$504,0)),"")</f>
        <v/>
      </c>
      <c r="G1245" s="26"/>
      <c r="H1245" s="24" t="str">
        <f aca="false">IFERROR(INDEX('Fault Master'!$B$5:$B$104,MATCH(G1245,'Fault Master'!$A$5:$A$104,0)),"")</f>
        <v/>
      </c>
      <c r="I1245" s="24" t="str">
        <f aca="false">IFERROR(INDEX('Fault Master'!$C$5:$C$104,MATCH(G1245,'Fault Master'!$A$5:$A$104,0)),"")</f>
        <v/>
      </c>
      <c r="J1245" s="26"/>
      <c r="K1245" s="26"/>
      <c r="L1245" s="26"/>
      <c r="M1245" s="26"/>
      <c r="N1245" s="26"/>
      <c r="O1245" s="26"/>
      <c r="P1245" s="34"/>
    </row>
    <row r="1246" customFormat="false" ht="15" hidden="false" customHeight="true" outlineLevel="0" collapsed="false">
      <c r="A1246" s="18" t="n">
        <v>735</v>
      </c>
      <c r="B1246" s="25"/>
      <c r="C1246" s="26"/>
      <c r="D1246" s="26"/>
      <c r="E1246" s="26"/>
      <c r="F1246" s="24" t="str">
        <f aca="false">IFERROR(INDEX('Operator Master'!$B$5:$B$504,MATCH(E1246,'Operator Master'!$A$5:$A$504,0)),"")</f>
        <v/>
      </c>
      <c r="G1246" s="26"/>
      <c r="H1246" s="24" t="str">
        <f aca="false">IFERROR(INDEX('Fault Master'!$B$5:$B$104,MATCH(G1246,'Fault Master'!$A$5:$A$104,0)),"")</f>
        <v/>
      </c>
      <c r="I1246" s="24" t="str">
        <f aca="false">IFERROR(INDEX('Fault Master'!$C$5:$C$104,MATCH(G1246,'Fault Master'!$A$5:$A$104,0)),"")</f>
        <v/>
      </c>
      <c r="J1246" s="26"/>
      <c r="K1246" s="26"/>
      <c r="L1246" s="26"/>
      <c r="M1246" s="26"/>
      <c r="N1246" s="26"/>
      <c r="O1246" s="26"/>
      <c r="P1246" s="34"/>
    </row>
    <row r="1247" customFormat="false" ht="15" hidden="false" customHeight="true" outlineLevel="0" collapsed="false">
      <c r="A1247" s="18" t="n">
        <v>736</v>
      </c>
      <c r="B1247" s="25"/>
      <c r="C1247" s="26"/>
      <c r="D1247" s="26"/>
      <c r="E1247" s="26"/>
      <c r="F1247" s="24" t="str">
        <f aca="false">IFERROR(INDEX('Operator Master'!$B$5:$B$504,MATCH(E1247,'Operator Master'!$A$5:$A$504,0)),"")</f>
        <v/>
      </c>
      <c r="G1247" s="26"/>
      <c r="H1247" s="24" t="str">
        <f aca="false">IFERROR(INDEX('Fault Master'!$B$5:$B$104,MATCH(G1247,'Fault Master'!$A$5:$A$104,0)),"")</f>
        <v/>
      </c>
      <c r="I1247" s="24" t="str">
        <f aca="false">IFERROR(INDEX('Fault Master'!$C$5:$C$104,MATCH(G1247,'Fault Master'!$A$5:$A$104,0)),"")</f>
        <v/>
      </c>
      <c r="J1247" s="26"/>
      <c r="K1247" s="26"/>
      <c r="L1247" s="26"/>
      <c r="M1247" s="26"/>
      <c r="N1247" s="26"/>
      <c r="O1247" s="26"/>
      <c r="P1247" s="34"/>
    </row>
    <row r="1248" customFormat="false" ht="15" hidden="false" customHeight="true" outlineLevel="0" collapsed="false">
      <c r="A1248" s="18" t="n">
        <v>737</v>
      </c>
      <c r="B1248" s="25"/>
      <c r="C1248" s="26"/>
      <c r="D1248" s="26"/>
      <c r="E1248" s="26"/>
      <c r="F1248" s="24" t="str">
        <f aca="false">IFERROR(INDEX('Operator Master'!$B$5:$B$504,MATCH(E1248,'Operator Master'!$A$5:$A$504,0)),"")</f>
        <v/>
      </c>
      <c r="G1248" s="26"/>
      <c r="H1248" s="24" t="str">
        <f aca="false">IFERROR(INDEX('Fault Master'!$B$5:$B$104,MATCH(G1248,'Fault Master'!$A$5:$A$104,0)),"")</f>
        <v/>
      </c>
      <c r="I1248" s="24" t="str">
        <f aca="false">IFERROR(INDEX('Fault Master'!$C$5:$C$104,MATCH(G1248,'Fault Master'!$A$5:$A$104,0)),"")</f>
        <v/>
      </c>
      <c r="J1248" s="26"/>
      <c r="K1248" s="26"/>
      <c r="L1248" s="26"/>
      <c r="M1248" s="26"/>
      <c r="N1248" s="26"/>
      <c r="O1248" s="26"/>
      <c r="P1248" s="34"/>
    </row>
    <row r="1249" customFormat="false" ht="15" hidden="false" customHeight="true" outlineLevel="0" collapsed="false">
      <c r="A1249" s="18" t="n">
        <v>738</v>
      </c>
      <c r="B1249" s="25"/>
      <c r="C1249" s="26"/>
      <c r="D1249" s="26"/>
      <c r="E1249" s="26"/>
      <c r="F1249" s="24" t="str">
        <f aca="false">IFERROR(INDEX('Operator Master'!$B$5:$B$504,MATCH(E1249,'Operator Master'!$A$5:$A$504,0)),"")</f>
        <v/>
      </c>
      <c r="G1249" s="26"/>
      <c r="H1249" s="24" t="str">
        <f aca="false">IFERROR(INDEX('Fault Master'!$B$5:$B$104,MATCH(G1249,'Fault Master'!$A$5:$A$104,0)),"")</f>
        <v/>
      </c>
      <c r="I1249" s="24" t="str">
        <f aca="false">IFERROR(INDEX('Fault Master'!$C$5:$C$104,MATCH(G1249,'Fault Master'!$A$5:$A$104,0)),"")</f>
        <v/>
      </c>
      <c r="J1249" s="26"/>
      <c r="K1249" s="26"/>
      <c r="L1249" s="26"/>
      <c r="M1249" s="26"/>
      <c r="N1249" s="26"/>
      <c r="O1249" s="26"/>
      <c r="P1249" s="34"/>
    </row>
    <row r="1250" customFormat="false" ht="15" hidden="false" customHeight="true" outlineLevel="0" collapsed="false">
      <c r="A1250" s="18" t="n">
        <v>739</v>
      </c>
      <c r="B1250" s="25"/>
      <c r="C1250" s="26"/>
      <c r="D1250" s="26"/>
      <c r="E1250" s="26"/>
      <c r="F1250" s="24" t="str">
        <f aca="false">IFERROR(INDEX('Operator Master'!$B$5:$B$504,MATCH(E1250,'Operator Master'!$A$5:$A$504,0)),"")</f>
        <v/>
      </c>
      <c r="G1250" s="26"/>
      <c r="H1250" s="24" t="str">
        <f aca="false">IFERROR(INDEX('Fault Master'!$B$5:$B$104,MATCH(G1250,'Fault Master'!$A$5:$A$104,0)),"")</f>
        <v/>
      </c>
      <c r="I1250" s="24" t="str">
        <f aca="false">IFERROR(INDEX('Fault Master'!$C$5:$C$104,MATCH(G1250,'Fault Master'!$A$5:$A$104,0)),"")</f>
        <v/>
      </c>
      <c r="J1250" s="26"/>
      <c r="K1250" s="26"/>
      <c r="L1250" s="26"/>
      <c r="M1250" s="26"/>
      <c r="N1250" s="26"/>
      <c r="O1250" s="26"/>
      <c r="P1250" s="34"/>
    </row>
    <row r="1251" customFormat="false" ht="15" hidden="false" customHeight="true" outlineLevel="0" collapsed="false">
      <c r="A1251" s="18" t="n">
        <v>740</v>
      </c>
      <c r="B1251" s="25"/>
      <c r="C1251" s="26"/>
      <c r="D1251" s="26"/>
      <c r="E1251" s="26"/>
      <c r="F1251" s="24" t="str">
        <f aca="false">IFERROR(INDEX('Operator Master'!$B$5:$B$504,MATCH(E1251,'Operator Master'!$A$5:$A$504,0)),"")</f>
        <v/>
      </c>
      <c r="G1251" s="26"/>
      <c r="H1251" s="24" t="str">
        <f aca="false">IFERROR(INDEX('Fault Master'!$B$5:$B$104,MATCH(G1251,'Fault Master'!$A$5:$A$104,0)),"")</f>
        <v/>
      </c>
      <c r="I1251" s="24" t="str">
        <f aca="false">IFERROR(INDEX('Fault Master'!$C$5:$C$104,MATCH(G1251,'Fault Master'!$A$5:$A$104,0)),"")</f>
        <v/>
      </c>
      <c r="J1251" s="26"/>
      <c r="K1251" s="26"/>
      <c r="L1251" s="26"/>
      <c r="M1251" s="26"/>
      <c r="N1251" s="26"/>
      <c r="O1251" s="26"/>
      <c r="P1251" s="34"/>
    </row>
    <row r="1252" customFormat="false" ht="15" hidden="false" customHeight="true" outlineLevel="0" collapsed="false">
      <c r="A1252" s="18" t="n">
        <v>741</v>
      </c>
      <c r="B1252" s="25"/>
      <c r="C1252" s="26"/>
      <c r="D1252" s="26"/>
      <c r="E1252" s="26"/>
      <c r="F1252" s="24" t="str">
        <f aca="false">IFERROR(INDEX('Operator Master'!$B$5:$B$504,MATCH(E1252,'Operator Master'!$A$5:$A$504,0)),"")</f>
        <v/>
      </c>
      <c r="G1252" s="26"/>
      <c r="H1252" s="24" t="str">
        <f aca="false">IFERROR(INDEX('Fault Master'!$B$5:$B$104,MATCH(G1252,'Fault Master'!$A$5:$A$104,0)),"")</f>
        <v/>
      </c>
      <c r="I1252" s="24" t="str">
        <f aca="false">IFERROR(INDEX('Fault Master'!$C$5:$C$104,MATCH(G1252,'Fault Master'!$A$5:$A$104,0)),"")</f>
        <v/>
      </c>
      <c r="J1252" s="26"/>
      <c r="K1252" s="26"/>
      <c r="L1252" s="26"/>
      <c r="M1252" s="26"/>
      <c r="N1252" s="26"/>
      <c r="O1252" s="26"/>
      <c r="P1252" s="34"/>
    </row>
    <row r="1253" customFormat="false" ht="15" hidden="false" customHeight="true" outlineLevel="0" collapsed="false">
      <c r="A1253" s="18" t="n">
        <v>742</v>
      </c>
      <c r="B1253" s="25"/>
      <c r="C1253" s="26"/>
      <c r="D1253" s="26"/>
      <c r="E1253" s="26"/>
      <c r="F1253" s="24" t="str">
        <f aca="false">IFERROR(INDEX('Operator Master'!$B$5:$B$504,MATCH(E1253,'Operator Master'!$A$5:$A$504,0)),"")</f>
        <v/>
      </c>
      <c r="G1253" s="26"/>
      <c r="H1253" s="24" t="str">
        <f aca="false">IFERROR(INDEX('Fault Master'!$B$5:$B$104,MATCH(G1253,'Fault Master'!$A$5:$A$104,0)),"")</f>
        <v/>
      </c>
      <c r="I1253" s="24" t="str">
        <f aca="false">IFERROR(INDEX('Fault Master'!$C$5:$C$104,MATCH(G1253,'Fault Master'!$A$5:$A$104,0)),"")</f>
        <v/>
      </c>
      <c r="J1253" s="26"/>
      <c r="K1253" s="26"/>
      <c r="L1253" s="26"/>
      <c r="M1253" s="26"/>
      <c r="N1253" s="26"/>
      <c r="O1253" s="26"/>
      <c r="P1253" s="34"/>
    </row>
    <row r="1254" customFormat="false" ht="15" hidden="false" customHeight="true" outlineLevel="0" collapsed="false">
      <c r="A1254" s="18" t="n">
        <v>743</v>
      </c>
      <c r="B1254" s="25"/>
      <c r="C1254" s="26"/>
      <c r="D1254" s="26"/>
      <c r="E1254" s="26"/>
      <c r="F1254" s="24" t="str">
        <f aca="false">IFERROR(INDEX('Operator Master'!$B$5:$B$504,MATCH(E1254,'Operator Master'!$A$5:$A$504,0)),"")</f>
        <v/>
      </c>
      <c r="G1254" s="26"/>
      <c r="H1254" s="24" t="str">
        <f aca="false">IFERROR(INDEX('Fault Master'!$B$5:$B$104,MATCH(G1254,'Fault Master'!$A$5:$A$104,0)),"")</f>
        <v/>
      </c>
      <c r="I1254" s="24" t="str">
        <f aca="false">IFERROR(INDEX('Fault Master'!$C$5:$C$104,MATCH(G1254,'Fault Master'!$A$5:$A$104,0)),"")</f>
        <v/>
      </c>
      <c r="J1254" s="26"/>
      <c r="K1254" s="26"/>
      <c r="L1254" s="26"/>
      <c r="M1254" s="26"/>
      <c r="N1254" s="26"/>
      <c r="O1254" s="26"/>
      <c r="P1254" s="34"/>
    </row>
    <row r="1255" customFormat="false" ht="15" hidden="false" customHeight="true" outlineLevel="0" collapsed="false">
      <c r="A1255" s="18" t="n">
        <v>744</v>
      </c>
      <c r="B1255" s="25"/>
      <c r="C1255" s="26"/>
      <c r="D1255" s="26"/>
      <c r="E1255" s="26"/>
      <c r="F1255" s="24" t="str">
        <f aca="false">IFERROR(INDEX('Operator Master'!$B$5:$B$504,MATCH(E1255,'Operator Master'!$A$5:$A$504,0)),"")</f>
        <v/>
      </c>
      <c r="G1255" s="26"/>
      <c r="H1255" s="24" t="str">
        <f aca="false">IFERROR(INDEX('Fault Master'!$B$5:$B$104,MATCH(G1255,'Fault Master'!$A$5:$A$104,0)),"")</f>
        <v/>
      </c>
      <c r="I1255" s="24" t="str">
        <f aca="false">IFERROR(INDEX('Fault Master'!$C$5:$C$104,MATCH(G1255,'Fault Master'!$A$5:$A$104,0)),"")</f>
        <v/>
      </c>
      <c r="J1255" s="26"/>
      <c r="K1255" s="26"/>
      <c r="L1255" s="26"/>
      <c r="M1255" s="26"/>
      <c r="N1255" s="26"/>
      <c r="O1255" s="26"/>
      <c r="P1255" s="34"/>
    </row>
    <row r="1256" customFormat="false" ht="15" hidden="false" customHeight="true" outlineLevel="0" collapsed="false">
      <c r="A1256" s="18" t="n">
        <v>745</v>
      </c>
      <c r="B1256" s="25"/>
      <c r="C1256" s="26"/>
      <c r="D1256" s="26"/>
      <c r="E1256" s="26"/>
      <c r="F1256" s="24" t="str">
        <f aca="false">IFERROR(INDEX('Operator Master'!$B$5:$B$504,MATCH(E1256,'Operator Master'!$A$5:$A$504,0)),"")</f>
        <v/>
      </c>
      <c r="G1256" s="26"/>
      <c r="H1256" s="24" t="str">
        <f aca="false">IFERROR(INDEX('Fault Master'!$B$5:$B$104,MATCH(G1256,'Fault Master'!$A$5:$A$104,0)),"")</f>
        <v/>
      </c>
      <c r="I1256" s="24" t="str">
        <f aca="false">IFERROR(INDEX('Fault Master'!$C$5:$C$104,MATCH(G1256,'Fault Master'!$A$5:$A$104,0)),"")</f>
        <v/>
      </c>
      <c r="J1256" s="26"/>
      <c r="K1256" s="26"/>
      <c r="L1256" s="26"/>
      <c r="M1256" s="26"/>
      <c r="N1256" s="26"/>
      <c r="O1256" s="26"/>
      <c r="P1256" s="34"/>
    </row>
    <row r="1257" customFormat="false" ht="15" hidden="false" customHeight="true" outlineLevel="0" collapsed="false">
      <c r="A1257" s="18" t="n">
        <v>746</v>
      </c>
      <c r="B1257" s="25"/>
      <c r="C1257" s="26"/>
      <c r="D1257" s="26"/>
      <c r="E1257" s="26"/>
      <c r="F1257" s="24" t="str">
        <f aca="false">IFERROR(INDEX('Operator Master'!$B$5:$B$504,MATCH(E1257,'Operator Master'!$A$5:$A$504,0)),"")</f>
        <v/>
      </c>
      <c r="G1257" s="26"/>
      <c r="H1257" s="24" t="str">
        <f aca="false">IFERROR(INDEX('Fault Master'!$B$5:$B$104,MATCH(G1257,'Fault Master'!$A$5:$A$104,0)),"")</f>
        <v/>
      </c>
      <c r="I1257" s="24" t="str">
        <f aca="false">IFERROR(INDEX('Fault Master'!$C$5:$C$104,MATCH(G1257,'Fault Master'!$A$5:$A$104,0)),"")</f>
        <v/>
      </c>
      <c r="J1257" s="26"/>
      <c r="K1257" s="26"/>
      <c r="L1257" s="26"/>
      <c r="M1257" s="26"/>
      <c r="N1257" s="26"/>
      <c r="O1257" s="26"/>
      <c r="P1257" s="34"/>
    </row>
    <row r="1258" customFormat="false" ht="15" hidden="false" customHeight="true" outlineLevel="0" collapsed="false">
      <c r="A1258" s="18" t="n">
        <v>747</v>
      </c>
      <c r="B1258" s="25"/>
      <c r="C1258" s="26"/>
      <c r="D1258" s="26"/>
      <c r="E1258" s="26"/>
      <c r="F1258" s="24" t="str">
        <f aca="false">IFERROR(INDEX('Operator Master'!$B$5:$B$504,MATCH(E1258,'Operator Master'!$A$5:$A$504,0)),"")</f>
        <v/>
      </c>
      <c r="G1258" s="26"/>
      <c r="H1258" s="24" t="str">
        <f aca="false">IFERROR(INDEX('Fault Master'!$B$5:$B$104,MATCH(G1258,'Fault Master'!$A$5:$A$104,0)),"")</f>
        <v/>
      </c>
      <c r="I1258" s="24" t="str">
        <f aca="false">IFERROR(INDEX('Fault Master'!$C$5:$C$104,MATCH(G1258,'Fault Master'!$A$5:$A$104,0)),"")</f>
        <v/>
      </c>
      <c r="J1258" s="26"/>
      <c r="K1258" s="26"/>
      <c r="L1258" s="26"/>
      <c r="M1258" s="26"/>
      <c r="N1258" s="26"/>
      <c r="O1258" s="26"/>
      <c r="P1258" s="34"/>
    </row>
    <row r="1259" customFormat="false" ht="15" hidden="false" customHeight="true" outlineLevel="0" collapsed="false">
      <c r="A1259" s="18" t="n">
        <v>748</v>
      </c>
      <c r="B1259" s="25"/>
      <c r="C1259" s="26"/>
      <c r="D1259" s="26"/>
      <c r="E1259" s="26"/>
      <c r="F1259" s="24" t="str">
        <f aca="false">IFERROR(INDEX('Operator Master'!$B$5:$B$504,MATCH(E1259,'Operator Master'!$A$5:$A$504,0)),"")</f>
        <v/>
      </c>
      <c r="G1259" s="26"/>
      <c r="H1259" s="24" t="str">
        <f aca="false">IFERROR(INDEX('Fault Master'!$B$5:$B$104,MATCH(G1259,'Fault Master'!$A$5:$A$104,0)),"")</f>
        <v/>
      </c>
      <c r="I1259" s="24" t="str">
        <f aca="false">IFERROR(INDEX('Fault Master'!$C$5:$C$104,MATCH(G1259,'Fault Master'!$A$5:$A$104,0)),"")</f>
        <v/>
      </c>
      <c r="J1259" s="26"/>
      <c r="K1259" s="26"/>
      <c r="L1259" s="26"/>
      <c r="M1259" s="26"/>
      <c r="N1259" s="26"/>
      <c r="O1259" s="26"/>
      <c r="P1259" s="34"/>
    </row>
    <row r="1260" customFormat="false" ht="15" hidden="false" customHeight="true" outlineLevel="0" collapsed="false">
      <c r="A1260" s="18" t="n">
        <v>749</v>
      </c>
      <c r="B1260" s="25"/>
      <c r="C1260" s="26"/>
      <c r="D1260" s="26"/>
      <c r="E1260" s="26"/>
      <c r="F1260" s="24" t="str">
        <f aca="false">IFERROR(INDEX('Operator Master'!$B$5:$B$504,MATCH(E1260,'Operator Master'!$A$5:$A$504,0)),"")</f>
        <v/>
      </c>
      <c r="G1260" s="26"/>
      <c r="H1260" s="24" t="str">
        <f aca="false">IFERROR(INDEX('Fault Master'!$B$5:$B$104,MATCH(G1260,'Fault Master'!$A$5:$A$104,0)),"")</f>
        <v/>
      </c>
      <c r="I1260" s="24" t="str">
        <f aca="false">IFERROR(INDEX('Fault Master'!$C$5:$C$104,MATCH(G1260,'Fault Master'!$A$5:$A$104,0)),"")</f>
        <v/>
      </c>
      <c r="J1260" s="26"/>
      <c r="K1260" s="26"/>
      <c r="L1260" s="26"/>
      <c r="M1260" s="26"/>
      <c r="N1260" s="26"/>
      <c r="O1260" s="26"/>
      <c r="P1260" s="34"/>
    </row>
    <row r="1261" customFormat="false" ht="15" hidden="false" customHeight="true" outlineLevel="0" collapsed="false">
      <c r="A1261" s="18" t="n">
        <v>750</v>
      </c>
      <c r="B1261" s="25"/>
      <c r="C1261" s="26"/>
      <c r="D1261" s="26"/>
      <c r="E1261" s="26"/>
      <c r="F1261" s="24" t="str">
        <f aca="false">IFERROR(INDEX('Operator Master'!$B$5:$B$504,MATCH(E1261,'Operator Master'!$A$5:$A$504,0)),"")</f>
        <v/>
      </c>
      <c r="G1261" s="26"/>
      <c r="H1261" s="24" t="str">
        <f aca="false">IFERROR(INDEX('Fault Master'!$B$5:$B$104,MATCH(G1261,'Fault Master'!$A$5:$A$104,0)),"")</f>
        <v/>
      </c>
      <c r="I1261" s="24" t="str">
        <f aca="false">IFERROR(INDEX('Fault Master'!$C$5:$C$104,MATCH(G1261,'Fault Master'!$A$5:$A$104,0)),"")</f>
        <v/>
      </c>
      <c r="J1261" s="26"/>
      <c r="K1261" s="26"/>
      <c r="L1261" s="26"/>
      <c r="M1261" s="26"/>
      <c r="N1261" s="26"/>
      <c r="O1261" s="26"/>
      <c r="P1261" s="34"/>
    </row>
    <row r="1262" customFormat="false" ht="15" hidden="false" customHeight="true" outlineLevel="0" collapsed="false">
      <c r="A1262" s="18" t="n">
        <v>751</v>
      </c>
      <c r="B1262" s="25"/>
      <c r="C1262" s="26"/>
      <c r="D1262" s="26"/>
      <c r="E1262" s="26"/>
      <c r="F1262" s="24" t="str">
        <f aca="false">IFERROR(INDEX('Operator Master'!$B$5:$B$504,MATCH(E1262,'Operator Master'!$A$5:$A$504,0)),"")</f>
        <v/>
      </c>
      <c r="G1262" s="26"/>
      <c r="H1262" s="24" t="str">
        <f aca="false">IFERROR(INDEX('Fault Master'!$B$5:$B$104,MATCH(G1262,'Fault Master'!$A$5:$A$104,0)),"")</f>
        <v/>
      </c>
      <c r="I1262" s="24" t="str">
        <f aca="false">IFERROR(INDEX('Fault Master'!$C$5:$C$104,MATCH(G1262,'Fault Master'!$A$5:$A$104,0)),"")</f>
        <v/>
      </c>
      <c r="J1262" s="26"/>
      <c r="K1262" s="26"/>
      <c r="L1262" s="26"/>
      <c r="M1262" s="26"/>
      <c r="N1262" s="26"/>
      <c r="O1262" s="26"/>
      <c r="P1262" s="34"/>
    </row>
    <row r="1263" customFormat="false" ht="15" hidden="false" customHeight="true" outlineLevel="0" collapsed="false">
      <c r="A1263" s="18" t="n">
        <v>752</v>
      </c>
      <c r="B1263" s="25"/>
      <c r="C1263" s="26"/>
      <c r="D1263" s="26"/>
      <c r="E1263" s="26"/>
      <c r="F1263" s="24" t="str">
        <f aca="false">IFERROR(INDEX('Operator Master'!$B$5:$B$504,MATCH(E1263,'Operator Master'!$A$5:$A$504,0)),"")</f>
        <v/>
      </c>
      <c r="G1263" s="26"/>
      <c r="H1263" s="24" t="str">
        <f aca="false">IFERROR(INDEX('Fault Master'!$B$5:$B$104,MATCH(G1263,'Fault Master'!$A$5:$A$104,0)),"")</f>
        <v/>
      </c>
      <c r="I1263" s="24" t="str">
        <f aca="false">IFERROR(INDEX('Fault Master'!$C$5:$C$104,MATCH(G1263,'Fault Master'!$A$5:$A$104,0)),"")</f>
        <v/>
      </c>
      <c r="J1263" s="26"/>
      <c r="K1263" s="26"/>
      <c r="L1263" s="26"/>
      <c r="M1263" s="26"/>
      <c r="N1263" s="26"/>
      <c r="O1263" s="26"/>
      <c r="P1263" s="34"/>
    </row>
    <row r="1264" customFormat="false" ht="15" hidden="false" customHeight="true" outlineLevel="0" collapsed="false">
      <c r="A1264" s="18" t="n">
        <v>753</v>
      </c>
      <c r="B1264" s="25"/>
      <c r="C1264" s="26"/>
      <c r="D1264" s="26"/>
      <c r="E1264" s="26"/>
      <c r="F1264" s="24" t="str">
        <f aca="false">IFERROR(INDEX('Operator Master'!$B$5:$B$504,MATCH(E1264,'Operator Master'!$A$5:$A$504,0)),"")</f>
        <v/>
      </c>
      <c r="G1264" s="26"/>
      <c r="H1264" s="24" t="str">
        <f aca="false">IFERROR(INDEX('Fault Master'!$B$5:$B$104,MATCH(G1264,'Fault Master'!$A$5:$A$104,0)),"")</f>
        <v/>
      </c>
      <c r="I1264" s="24" t="str">
        <f aca="false">IFERROR(INDEX('Fault Master'!$C$5:$C$104,MATCH(G1264,'Fault Master'!$A$5:$A$104,0)),"")</f>
        <v/>
      </c>
      <c r="J1264" s="26"/>
      <c r="K1264" s="26"/>
      <c r="L1264" s="26"/>
      <c r="M1264" s="26"/>
      <c r="N1264" s="26"/>
      <c r="O1264" s="26"/>
      <c r="P1264" s="34"/>
    </row>
    <row r="1265" customFormat="false" ht="15" hidden="false" customHeight="true" outlineLevel="0" collapsed="false">
      <c r="A1265" s="18" t="n">
        <v>754</v>
      </c>
      <c r="B1265" s="25"/>
      <c r="C1265" s="26"/>
      <c r="D1265" s="26"/>
      <c r="E1265" s="26"/>
      <c r="F1265" s="24" t="str">
        <f aca="false">IFERROR(INDEX('Operator Master'!$B$5:$B$504,MATCH(E1265,'Operator Master'!$A$5:$A$504,0)),"")</f>
        <v/>
      </c>
      <c r="G1265" s="26"/>
      <c r="H1265" s="24" t="str">
        <f aca="false">IFERROR(INDEX('Fault Master'!$B$5:$B$104,MATCH(G1265,'Fault Master'!$A$5:$A$104,0)),"")</f>
        <v/>
      </c>
      <c r="I1265" s="24" t="str">
        <f aca="false">IFERROR(INDEX('Fault Master'!$C$5:$C$104,MATCH(G1265,'Fault Master'!$A$5:$A$104,0)),"")</f>
        <v/>
      </c>
      <c r="J1265" s="26"/>
      <c r="K1265" s="26"/>
      <c r="L1265" s="26"/>
      <c r="M1265" s="26"/>
      <c r="N1265" s="26"/>
      <c r="O1265" s="26"/>
      <c r="P1265" s="34"/>
    </row>
    <row r="1266" customFormat="false" ht="15" hidden="false" customHeight="true" outlineLevel="0" collapsed="false">
      <c r="A1266" s="18" t="n">
        <v>755</v>
      </c>
      <c r="B1266" s="25"/>
      <c r="C1266" s="26"/>
      <c r="D1266" s="26"/>
      <c r="E1266" s="26"/>
      <c r="F1266" s="24" t="str">
        <f aca="false">IFERROR(INDEX('Operator Master'!$B$5:$B$504,MATCH(E1266,'Operator Master'!$A$5:$A$504,0)),"")</f>
        <v/>
      </c>
      <c r="G1266" s="26"/>
      <c r="H1266" s="24" t="str">
        <f aca="false">IFERROR(INDEX('Fault Master'!$B$5:$B$104,MATCH(G1266,'Fault Master'!$A$5:$A$104,0)),"")</f>
        <v/>
      </c>
      <c r="I1266" s="24" t="str">
        <f aca="false">IFERROR(INDEX('Fault Master'!$C$5:$C$104,MATCH(G1266,'Fault Master'!$A$5:$A$104,0)),"")</f>
        <v/>
      </c>
      <c r="J1266" s="26"/>
      <c r="K1266" s="26"/>
      <c r="L1266" s="26"/>
      <c r="M1266" s="26"/>
      <c r="N1266" s="26"/>
      <c r="O1266" s="26"/>
      <c r="P1266" s="34"/>
    </row>
    <row r="1267" customFormat="false" ht="15" hidden="false" customHeight="true" outlineLevel="0" collapsed="false">
      <c r="A1267" s="18" t="n">
        <v>756</v>
      </c>
      <c r="B1267" s="25"/>
      <c r="C1267" s="26"/>
      <c r="D1267" s="26"/>
      <c r="E1267" s="26"/>
      <c r="F1267" s="24" t="str">
        <f aca="false">IFERROR(INDEX('Operator Master'!$B$5:$B$504,MATCH(E1267,'Operator Master'!$A$5:$A$504,0)),"")</f>
        <v/>
      </c>
      <c r="G1267" s="26"/>
      <c r="H1267" s="24" t="str">
        <f aca="false">IFERROR(INDEX('Fault Master'!$B$5:$B$104,MATCH(G1267,'Fault Master'!$A$5:$A$104,0)),"")</f>
        <v/>
      </c>
      <c r="I1267" s="24" t="str">
        <f aca="false">IFERROR(INDEX('Fault Master'!$C$5:$C$104,MATCH(G1267,'Fault Master'!$A$5:$A$104,0)),"")</f>
        <v/>
      </c>
      <c r="J1267" s="26"/>
      <c r="K1267" s="26"/>
      <c r="L1267" s="26"/>
      <c r="M1267" s="26"/>
      <c r="N1267" s="26"/>
      <c r="O1267" s="26"/>
      <c r="P1267" s="34"/>
    </row>
    <row r="1268" customFormat="false" ht="15" hidden="false" customHeight="true" outlineLevel="0" collapsed="false">
      <c r="A1268" s="18" t="n">
        <v>757</v>
      </c>
      <c r="B1268" s="25"/>
      <c r="C1268" s="26"/>
      <c r="D1268" s="26"/>
      <c r="E1268" s="26"/>
      <c r="F1268" s="24" t="str">
        <f aca="false">IFERROR(INDEX('Operator Master'!$B$5:$B$504,MATCH(E1268,'Operator Master'!$A$5:$A$504,0)),"")</f>
        <v/>
      </c>
      <c r="G1268" s="26"/>
      <c r="H1268" s="24" t="str">
        <f aca="false">IFERROR(INDEX('Fault Master'!$B$5:$B$104,MATCH(G1268,'Fault Master'!$A$5:$A$104,0)),"")</f>
        <v/>
      </c>
      <c r="I1268" s="24" t="str">
        <f aca="false">IFERROR(INDEX('Fault Master'!$C$5:$C$104,MATCH(G1268,'Fault Master'!$A$5:$A$104,0)),"")</f>
        <v/>
      </c>
      <c r="J1268" s="26"/>
      <c r="K1268" s="26"/>
      <c r="L1268" s="26"/>
      <c r="M1268" s="26"/>
      <c r="N1268" s="26"/>
      <c r="O1268" s="26"/>
      <c r="P1268" s="34"/>
    </row>
    <row r="1269" customFormat="false" ht="15" hidden="false" customHeight="true" outlineLevel="0" collapsed="false">
      <c r="A1269" s="18" t="n">
        <v>758</v>
      </c>
      <c r="B1269" s="25"/>
      <c r="C1269" s="26"/>
      <c r="D1269" s="26"/>
      <c r="E1269" s="26"/>
      <c r="F1269" s="24" t="str">
        <f aca="false">IFERROR(INDEX('Operator Master'!$B$5:$B$504,MATCH(E1269,'Operator Master'!$A$5:$A$504,0)),"")</f>
        <v/>
      </c>
      <c r="G1269" s="26"/>
      <c r="H1269" s="24" t="str">
        <f aca="false">IFERROR(INDEX('Fault Master'!$B$5:$B$104,MATCH(G1269,'Fault Master'!$A$5:$A$104,0)),"")</f>
        <v/>
      </c>
      <c r="I1269" s="24" t="str">
        <f aca="false">IFERROR(INDEX('Fault Master'!$C$5:$C$104,MATCH(G1269,'Fault Master'!$A$5:$A$104,0)),"")</f>
        <v/>
      </c>
      <c r="J1269" s="26"/>
      <c r="K1269" s="26"/>
      <c r="L1269" s="26"/>
      <c r="M1269" s="26"/>
      <c r="N1269" s="26"/>
      <c r="O1269" s="26"/>
      <c r="P1269" s="34"/>
    </row>
    <row r="1270" customFormat="false" ht="15" hidden="false" customHeight="true" outlineLevel="0" collapsed="false">
      <c r="A1270" s="18" t="n">
        <v>759</v>
      </c>
      <c r="B1270" s="25"/>
      <c r="C1270" s="26"/>
      <c r="D1270" s="26"/>
      <c r="E1270" s="26"/>
      <c r="F1270" s="24" t="str">
        <f aca="false">IFERROR(INDEX('Operator Master'!$B$5:$B$504,MATCH(E1270,'Operator Master'!$A$5:$A$504,0)),"")</f>
        <v/>
      </c>
      <c r="G1270" s="26"/>
      <c r="H1270" s="24" t="str">
        <f aca="false">IFERROR(INDEX('Fault Master'!$B$5:$B$104,MATCH(G1270,'Fault Master'!$A$5:$A$104,0)),"")</f>
        <v/>
      </c>
      <c r="I1270" s="24" t="str">
        <f aca="false">IFERROR(INDEX('Fault Master'!$C$5:$C$104,MATCH(G1270,'Fault Master'!$A$5:$A$104,0)),"")</f>
        <v/>
      </c>
      <c r="J1270" s="26"/>
      <c r="K1270" s="26"/>
      <c r="L1270" s="26"/>
      <c r="M1270" s="26"/>
      <c r="N1270" s="26"/>
      <c r="O1270" s="26"/>
      <c r="P1270" s="34"/>
    </row>
    <row r="1271" customFormat="false" ht="15" hidden="false" customHeight="true" outlineLevel="0" collapsed="false">
      <c r="A1271" s="18" t="n">
        <v>760</v>
      </c>
      <c r="B1271" s="25"/>
      <c r="C1271" s="26"/>
      <c r="D1271" s="26"/>
      <c r="E1271" s="26"/>
      <c r="F1271" s="24" t="str">
        <f aca="false">IFERROR(INDEX('Operator Master'!$B$5:$B$504,MATCH(E1271,'Operator Master'!$A$5:$A$504,0)),"")</f>
        <v/>
      </c>
      <c r="G1271" s="26"/>
      <c r="H1271" s="24" t="str">
        <f aca="false">IFERROR(INDEX('Fault Master'!$B$5:$B$104,MATCH(G1271,'Fault Master'!$A$5:$A$104,0)),"")</f>
        <v/>
      </c>
      <c r="I1271" s="24" t="str">
        <f aca="false">IFERROR(INDEX('Fault Master'!$C$5:$C$104,MATCH(G1271,'Fault Master'!$A$5:$A$104,0)),"")</f>
        <v/>
      </c>
      <c r="J1271" s="26"/>
      <c r="K1271" s="26"/>
      <c r="L1271" s="26"/>
      <c r="M1271" s="26"/>
      <c r="N1271" s="26"/>
      <c r="O1271" s="26"/>
      <c r="P1271" s="34"/>
    </row>
    <row r="1272" customFormat="false" ht="15" hidden="false" customHeight="true" outlineLevel="0" collapsed="false">
      <c r="A1272" s="18" t="n">
        <v>761</v>
      </c>
      <c r="B1272" s="25"/>
      <c r="C1272" s="26"/>
      <c r="D1272" s="26"/>
      <c r="E1272" s="26"/>
      <c r="F1272" s="24" t="str">
        <f aca="false">IFERROR(INDEX('Operator Master'!$B$5:$B$504,MATCH(E1272,'Operator Master'!$A$5:$A$504,0)),"")</f>
        <v/>
      </c>
      <c r="G1272" s="26"/>
      <c r="H1272" s="24" t="str">
        <f aca="false">IFERROR(INDEX('Fault Master'!$B$5:$B$104,MATCH(G1272,'Fault Master'!$A$5:$A$104,0)),"")</f>
        <v/>
      </c>
      <c r="I1272" s="24" t="str">
        <f aca="false">IFERROR(INDEX('Fault Master'!$C$5:$C$104,MATCH(G1272,'Fault Master'!$A$5:$A$104,0)),"")</f>
        <v/>
      </c>
      <c r="J1272" s="26"/>
      <c r="K1272" s="26"/>
      <c r="L1272" s="26"/>
      <c r="M1272" s="26"/>
      <c r="N1272" s="26"/>
      <c r="O1272" s="26"/>
      <c r="P1272" s="34"/>
    </row>
    <row r="1273" customFormat="false" ht="15" hidden="false" customHeight="true" outlineLevel="0" collapsed="false">
      <c r="A1273" s="18" t="n">
        <v>762</v>
      </c>
      <c r="B1273" s="25"/>
      <c r="C1273" s="26"/>
      <c r="D1273" s="26"/>
      <c r="E1273" s="26"/>
      <c r="F1273" s="24" t="str">
        <f aca="false">IFERROR(INDEX('Operator Master'!$B$5:$B$504,MATCH(E1273,'Operator Master'!$A$5:$A$504,0)),"")</f>
        <v/>
      </c>
      <c r="G1273" s="26"/>
      <c r="H1273" s="24" t="str">
        <f aca="false">IFERROR(INDEX('Fault Master'!$B$5:$B$104,MATCH(G1273,'Fault Master'!$A$5:$A$104,0)),"")</f>
        <v/>
      </c>
      <c r="I1273" s="24" t="str">
        <f aca="false">IFERROR(INDEX('Fault Master'!$C$5:$C$104,MATCH(G1273,'Fault Master'!$A$5:$A$104,0)),"")</f>
        <v/>
      </c>
      <c r="J1273" s="26"/>
      <c r="K1273" s="26"/>
      <c r="L1273" s="26"/>
      <c r="M1273" s="26"/>
      <c r="N1273" s="26"/>
      <c r="O1273" s="26"/>
      <c r="P1273" s="34"/>
    </row>
    <row r="1274" customFormat="false" ht="15" hidden="false" customHeight="true" outlineLevel="0" collapsed="false">
      <c r="A1274" s="18" t="n">
        <v>763</v>
      </c>
      <c r="B1274" s="25"/>
      <c r="C1274" s="26"/>
      <c r="D1274" s="26"/>
      <c r="E1274" s="26"/>
      <c r="F1274" s="24" t="str">
        <f aca="false">IFERROR(INDEX('Operator Master'!$B$5:$B$504,MATCH(E1274,'Operator Master'!$A$5:$A$504,0)),"")</f>
        <v/>
      </c>
      <c r="G1274" s="26"/>
      <c r="H1274" s="24" t="str">
        <f aca="false">IFERROR(INDEX('Fault Master'!$B$5:$B$104,MATCH(G1274,'Fault Master'!$A$5:$A$104,0)),"")</f>
        <v/>
      </c>
      <c r="I1274" s="24" t="str">
        <f aca="false">IFERROR(INDEX('Fault Master'!$C$5:$C$104,MATCH(G1274,'Fault Master'!$A$5:$A$104,0)),"")</f>
        <v/>
      </c>
      <c r="J1274" s="26"/>
      <c r="K1274" s="26"/>
      <c r="L1274" s="26"/>
      <c r="M1274" s="26"/>
      <c r="N1274" s="26"/>
      <c r="O1274" s="26"/>
      <c r="P1274" s="34"/>
    </row>
    <row r="1275" customFormat="false" ht="15" hidden="false" customHeight="true" outlineLevel="0" collapsed="false">
      <c r="A1275" s="18" t="n">
        <v>764</v>
      </c>
      <c r="B1275" s="25"/>
      <c r="C1275" s="26"/>
      <c r="D1275" s="26"/>
      <c r="E1275" s="26"/>
      <c r="F1275" s="24" t="str">
        <f aca="false">IFERROR(INDEX('Operator Master'!$B$5:$B$504,MATCH(E1275,'Operator Master'!$A$5:$A$504,0)),"")</f>
        <v/>
      </c>
      <c r="G1275" s="26"/>
      <c r="H1275" s="24" t="str">
        <f aca="false">IFERROR(INDEX('Fault Master'!$B$5:$B$104,MATCH(G1275,'Fault Master'!$A$5:$A$104,0)),"")</f>
        <v/>
      </c>
      <c r="I1275" s="24" t="str">
        <f aca="false">IFERROR(INDEX('Fault Master'!$C$5:$C$104,MATCH(G1275,'Fault Master'!$A$5:$A$104,0)),"")</f>
        <v/>
      </c>
      <c r="J1275" s="26"/>
      <c r="K1275" s="26"/>
      <c r="L1275" s="26"/>
      <c r="M1275" s="26"/>
      <c r="N1275" s="26"/>
      <c r="O1275" s="26"/>
      <c r="P1275" s="34"/>
    </row>
    <row r="1276" customFormat="false" ht="15" hidden="false" customHeight="true" outlineLevel="0" collapsed="false">
      <c r="A1276" s="18" t="n">
        <v>765</v>
      </c>
      <c r="B1276" s="25"/>
      <c r="C1276" s="26"/>
      <c r="D1276" s="26"/>
      <c r="E1276" s="26"/>
      <c r="F1276" s="24" t="str">
        <f aca="false">IFERROR(INDEX('Operator Master'!$B$5:$B$504,MATCH(E1276,'Operator Master'!$A$5:$A$504,0)),"")</f>
        <v/>
      </c>
      <c r="G1276" s="26"/>
      <c r="H1276" s="24" t="str">
        <f aca="false">IFERROR(INDEX('Fault Master'!$B$5:$B$104,MATCH(G1276,'Fault Master'!$A$5:$A$104,0)),"")</f>
        <v/>
      </c>
      <c r="I1276" s="24" t="str">
        <f aca="false">IFERROR(INDEX('Fault Master'!$C$5:$C$104,MATCH(G1276,'Fault Master'!$A$5:$A$104,0)),"")</f>
        <v/>
      </c>
      <c r="J1276" s="26"/>
      <c r="K1276" s="26"/>
      <c r="L1276" s="26"/>
      <c r="M1276" s="26"/>
      <c r="N1276" s="26"/>
      <c r="O1276" s="26"/>
      <c r="P1276" s="34"/>
    </row>
    <row r="1277" customFormat="false" ht="15" hidden="false" customHeight="true" outlineLevel="0" collapsed="false">
      <c r="A1277" s="18" t="n">
        <v>766</v>
      </c>
      <c r="B1277" s="25"/>
      <c r="C1277" s="26"/>
      <c r="D1277" s="26"/>
      <c r="E1277" s="26"/>
      <c r="F1277" s="24" t="str">
        <f aca="false">IFERROR(INDEX('Operator Master'!$B$5:$B$504,MATCH(E1277,'Operator Master'!$A$5:$A$504,0)),"")</f>
        <v/>
      </c>
      <c r="G1277" s="26"/>
      <c r="H1277" s="24" t="str">
        <f aca="false">IFERROR(INDEX('Fault Master'!$B$5:$B$104,MATCH(G1277,'Fault Master'!$A$5:$A$104,0)),"")</f>
        <v/>
      </c>
      <c r="I1277" s="24" t="str">
        <f aca="false">IFERROR(INDEX('Fault Master'!$C$5:$C$104,MATCH(G1277,'Fault Master'!$A$5:$A$104,0)),"")</f>
        <v/>
      </c>
      <c r="J1277" s="26"/>
      <c r="K1277" s="26"/>
      <c r="L1277" s="26"/>
      <c r="M1277" s="26"/>
      <c r="N1277" s="26"/>
      <c r="O1277" s="26"/>
      <c r="P1277" s="34"/>
    </row>
    <row r="1278" customFormat="false" ht="15" hidden="false" customHeight="true" outlineLevel="0" collapsed="false">
      <c r="A1278" s="18" t="n">
        <v>767</v>
      </c>
      <c r="B1278" s="25"/>
      <c r="C1278" s="26"/>
      <c r="D1278" s="26"/>
      <c r="E1278" s="26"/>
      <c r="F1278" s="24" t="str">
        <f aca="false">IFERROR(INDEX('Operator Master'!$B$5:$B$504,MATCH(E1278,'Operator Master'!$A$5:$A$504,0)),"")</f>
        <v/>
      </c>
      <c r="G1278" s="26"/>
      <c r="H1278" s="24" t="str">
        <f aca="false">IFERROR(INDEX('Fault Master'!$B$5:$B$104,MATCH(G1278,'Fault Master'!$A$5:$A$104,0)),"")</f>
        <v/>
      </c>
      <c r="I1278" s="24" t="str">
        <f aca="false">IFERROR(INDEX('Fault Master'!$C$5:$C$104,MATCH(G1278,'Fault Master'!$A$5:$A$104,0)),"")</f>
        <v/>
      </c>
      <c r="J1278" s="26"/>
      <c r="K1278" s="26"/>
      <c r="L1278" s="26"/>
      <c r="M1278" s="26"/>
      <c r="N1278" s="26"/>
      <c r="O1278" s="26"/>
      <c r="P1278" s="34"/>
    </row>
    <row r="1279" customFormat="false" ht="15" hidden="false" customHeight="true" outlineLevel="0" collapsed="false">
      <c r="A1279" s="18" t="n">
        <v>768</v>
      </c>
      <c r="B1279" s="25"/>
      <c r="C1279" s="26"/>
      <c r="D1279" s="26"/>
      <c r="E1279" s="26"/>
      <c r="F1279" s="24" t="str">
        <f aca="false">IFERROR(INDEX('Operator Master'!$B$5:$B$504,MATCH(E1279,'Operator Master'!$A$5:$A$504,0)),"")</f>
        <v/>
      </c>
      <c r="G1279" s="26"/>
      <c r="H1279" s="24" t="str">
        <f aca="false">IFERROR(INDEX('Fault Master'!$B$5:$B$104,MATCH(G1279,'Fault Master'!$A$5:$A$104,0)),"")</f>
        <v/>
      </c>
      <c r="I1279" s="24" t="str">
        <f aca="false">IFERROR(INDEX('Fault Master'!$C$5:$C$104,MATCH(G1279,'Fault Master'!$A$5:$A$104,0)),"")</f>
        <v/>
      </c>
      <c r="J1279" s="26"/>
      <c r="K1279" s="26"/>
      <c r="L1279" s="26"/>
      <c r="M1279" s="26"/>
      <c r="N1279" s="26"/>
      <c r="O1279" s="26"/>
      <c r="P1279" s="34"/>
    </row>
    <row r="1280" customFormat="false" ht="15" hidden="false" customHeight="true" outlineLevel="0" collapsed="false">
      <c r="A1280" s="18" t="n">
        <v>769</v>
      </c>
      <c r="B1280" s="25"/>
      <c r="C1280" s="26"/>
      <c r="D1280" s="26"/>
      <c r="E1280" s="26"/>
      <c r="F1280" s="24" t="str">
        <f aca="false">IFERROR(INDEX('Operator Master'!$B$5:$B$504,MATCH(E1280,'Operator Master'!$A$5:$A$504,0)),"")</f>
        <v/>
      </c>
      <c r="G1280" s="26"/>
      <c r="H1280" s="24" t="str">
        <f aca="false">IFERROR(INDEX('Fault Master'!$B$5:$B$104,MATCH(G1280,'Fault Master'!$A$5:$A$104,0)),"")</f>
        <v/>
      </c>
      <c r="I1280" s="24" t="str">
        <f aca="false">IFERROR(INDEX('Fault Master'!$C$5:$C$104,MATCH(G1280,'Fault Master'!$A$5:$A$104,0)),"")</f>
        <v/>
      </c>
      <c r="J1280" s="26"/>
      <c r="K1280" s="26"/>
      <c r="L1280" s="26"/>
      <c r="M1280" s="26"/>
      <c r="N1280" s="26"/>
      <c r="O1280" s="26"/>
      <c r="P1280" s="34"/>
    </row>
    <row r="1281" customFormat="false" ht="15" hidden="false" customHeight="true" outlineLevel="0" collapsed="false">
      <c r="A1281" s="18" t="n">
        <v>770</v>
      </c>
      <c r="B1281" s="25"/>
      <c r="C1281" s="26"/>
      <c r="D1281" s="26"/>
      <c r="E1281" s="26"/>
      <c r="F1281" s="24" t="str">
        <f aca="false">IFERROR(INDEX('Operator Master'!$B$5:$B$504,MATCH(E1281,'Operator Master'!$A$5:$A$504,0)),"")</f>
        <v/>
      </c>
      <c r="G1281" s="26"/>
      <c r="H1281" s="24" t="str">
        <f aca="false">IFERROR(INDEX('Fault Master'!$B$5:$B$104,MATCH(G1281,'Fault Master'!$A$5:$A$104,0)),"")</f>
        <v/>
      </c>
      <c r="I1281" s="24" t="str">
        <f aca="false">IFERROR(INDEX('Fault Master'!$C$5:$C$104,MATCH(G1281,'Fault Master'!$A$5:$A$104,0)),"")</f>
        <v/>
      </c>
      <c r="J1281" s="26"/>
      <c r="K1281" s="26"/>
      <c r="L1281" s="26"/>
      <c r="M1281" s="26"/>
      <c r="N1281" s="26"/>
      <c r="O1281" s="26"/>
      <c r="P1281" s="34"/>
    </row>
    <row r="1282" customFormat="false" ht="15" hidden="false" customHeight="true" outlineLevel="0" collapsed="false">
      <c r="A1282" s="18" t="n">
        <v>771</v>
      </c>
      <c r="B1282" s="25"/>
      <c r="C1282" s="26"/>
      <c r="D1282" s="26"/>
      <c r="E1282" s="26"/>
      <c r="F1282" s="24" t="str">
        <f aca="false">IFERROR(INDEX('Operator Master'!$B$5:$B$504,MATCH(E1282,'Operator Master'!$A$5:$A$504,0)),"")</f>
        <v/>
      </c>
      <c r="G1282" s="26"/>
      <c r="H1282" s="24" t="str">
        <f aca="false">IFERROR(INDEX('Fault Master'!$B$5:$B$104,MATCH(G1282,'Fault Master'!$A$5:$A$104,0)),"")</f>
        <v/>
      </c>
      <c r="I1282" s="24" t="str">
        <f aca="false">IFERROR(INDEX('Fault Master'!$C$5:$C$104,MATCH(G1282,'Fault Master'!$A$5:$A$104,0)),"")</f>
        <v/>
      </c>
      <c r="J1282" s="26"/>
      <c r="K1282" s="26"/>
      <c r="L1282" s="26"/>
      <c r="M1282" s="26"/>
      <c r="N1282" s="26"/>
      <c r="O1282" s="26"/>
      <c r="P1282" s="34"/>
    </row>
    <row r="1283" customFormat="false" ht="15" hidden="false" customHeight="true" outlineLevel="0" collapsed="false">
      <c r="A1283" s="18" t="n">
        <v>772</v>
      </c>
      <c r="B1283" s="25"/>
      <c r="C1283" s="26"/>
      <c r="D1283" s="26"/>
      <c r="E1283" s="26"/>
      <c r="F1283" s="24" t="str">
        <f aca="false">IFERROR(INDEX('Operator Master'!$B$5:$B$504,MATCH(E1283,'Operator Master'!$A$5:$A$504,0)),"")</f>
        <v/>
      </c>
      <c r="G1283" s="26"/>
      <c r="H1283" s="24" t="str">
        <f aca="false">IFERROR(INDEX('Fault Master'!$B$5:$B$104,MATCH(G1283,'Fault Master'!$A$5:$A$104,0)),"")</f>
        <v/>
      </c>
      <c r="I1283" s="24" t="str">
        <f aca="false">IFERROR(INDEX('Fault Master'!$C$5:$C$104,MATCH(G1283,'Fault Master'!$A$5:$A$104,0)),"")</f>
        <v/>
      </c>
      <c r="J1283" s="26"/>
      <c r="K1283" s="26"/>
      <c r="L1283" s="26"/>
      <c r="M1283" s="26"/>
      <c r="N1283" s="26"/>
      <c r="O1283" s="26"/>
      <c r="P1283" s="34"/>
    </row>
    <row r="1284" customFormat="false" ht="15" hidden="false" customHeight="true" outlineLevel="0" collapsed="false">
      <c r="A1284" s="18" t="n">
        <v>773</v>
      </c>
      <c r="B1284" s="25"/>
      <c r="C1284" s="26"/>
      <c r="D1284" s="26"/>
      <c r="E1284" s="26"/>
      <c r="F1284" s="24" t="str">
        <f aca="false">IFERROR(INDEX('Operator Master'!$B$5:$B$504,MATCH(E1284,'Operator Master'!$A$5:$A$504,0)),"")</f>
        <v/>
      </c>
      <c r="G1284" s="26"/>
      <c r="H1284" s="24" t="str">
        <f aca="false">IFERROR(INDEX('Fault Master'!$B$5:$B$104,MATCH(G1284,'Fault Master'!$A$5:$A$104,0)),"")</f>
        <v/>
      </c>
      <c r="I1284" s="24" t="str">
        <f aca="false">IFERROR(INDEX('Fault Master'!$C$5:$C$104,MATCH(G1284,'Fault Master'!$A$5:$A$104,0)),"")</f>
        <v/>
      </c>
      <c r="J1284" s="26"/>
      <c r="K1284" s="26"/>
      <c r="L1284" s="26"/>
      <c r="M1284" s="26"/>
      <c r="N1284" s="26"/>
      <c r="O1284" s="26"/>
      <c r="P1284" s="34"/>
    </row>
    <row r="1285" customFormat="false" ht="15" hidden="false" customHeight="true" outlineLevel="0" collapsed="false">
      <c r="A1285" s="18" t="n">
        <v>774</v>
      </c>
      <c r="B1285" s="25"/>
      <c r="C1285" s="26"/>
      <c r="D1285" s="26"/>
      <c r="E1285" s="26"/>
      <c r="F1285" s="24" t="str">
        <f aca="false">IFERROR(INDEX('Operator Master'!$B$5:$B$504,MATCH(E1285,'Operator Master'!$A$5:$A$504,0)),"")</f>
        <v/>
      </c>
      <c r="G1285" s="26"/>
      <c r="H1285" s="24" t="str">
        <f aca="false">IFERROR(INDEX('Fault Master'!$B$5:$B$104,MATCH(G1285,'Fault Master'!$A$5:$A$104,0)),"")</f>
        <v/>
      </c>
      <c r="I1285" s="24" t="str">
        <f aca="false">IFERROR(INDEX('Fault Master'!$C$5:$C$104,MATCH(G1285,'Fault Master'!$A$5:$A$104,0)),"")</f>
        <v/>
      </c>
      <c r="J1285" s="26"/>
      <c r="K1285" s="26"/>
      <c r="L1285" s="26"/>
      <c r="M1285" s="26"/>
      <c r="N1285" s="26"/>
      <c r="O1285" s="26"/>
      <c r="P1285" s="34"/>
    </row>
    <row r="1286" customFormat="false" ht="15" hidden="false" customHeight="true" outlineLevel="0" collapsed="false">
      <c r="A1286" s="18" t="n">
        <v>775</v>
      </c>
      <c r="B1286" s="25"/>
      <c r="C1286" s="26"/>
      <c r="D1286" s="26"/>
      <c r="E1286" s="26"/>
      <c r="F1286" s="24" t="str">
        <f aca="false">IFERROR(INDEX('Operator Master'!$B$5:$B$504,MATCH(E1286,'Operator Master'!$A$5:$A$504,0)),"")</f>
        <v/>
      </c>
      <c r="G1286" s="26"/>
      <c r="H1286" s="24" t="str">
        <f aca="false">IFERROR(INDEX('Fault Master'!$B$5:$B$104,MATCH(G1286,'Fault Master'!$A$5:$A$104,0)),"")</f>
        <v/>
      </c>
      <c r="I1286" s="24" t="str">
        <f aca="false">IFERROR(INDEX('Fault Master'!$C$5:$C$104,MATCH(G1286,'Fault Master'!$A$5:$A$104,0)),"")</f>
        <v/>
      </c>
      <c r="J1286" s="26"/>
      <c r="K1286" s="26"/>
      <c r="L1286" s="26"/>
      <c r="M1286" s="26"/>
      <c r="N1286" s="26"/>
      <c r="O1286" s="26"/>
      <c r="P1286" s="34"/>
    </row>
    <row r="1287" customFormat="false" ht="15" hidden="false" customHeight="true" outlineLevel="0" collapsed="false">
      <c r="A1287" s="18" t="n">
        <v>776</v>
      </c>
      <c r="B1287" s="25"/>
      <c r="C1287" s="26"/>
      <c r="D1287" s="26"/>
      <c r="E1287" s="26"/>
      <c r="F1287" s="24" t="str">
        <f aca="false">IFERROR(INDEX('Operator Master'!$B$5:$B$504,MATCH(E1287,'Operator Master'!$A$5:$A$504,0)),"")</f>
        <v/>
      </c>
      <c r="G1287" s="26"/>
      <c r="H1287" s="24" t="str">
        <f aca="false">IFERROR(INDEX('Fault Master'!$B$5:$B$104,MATCH(G1287,'Fault Master'!$A$5:$A$104,0)),"")</f>
        <v/>
      </c>
      <c r="I1287" s="24" t="str">
        <f aca="false">IFERROR(INDEX('Fault Master'!$C$5:$C$104,MATCH(G1287,'Fault Master'!$A$5:$A$104,0)),"")</f>
        <v/>
      </c>
      <c r="J1287" s="26"/>
      <c r="K1287" s="26"/>
      <c r="L1287" s="26"/>
      <c r="M1287" s="26"/>
      <c r="N1287" s="26"/>
      <c r="O1287" s="26"/>
      <c r="P1287" s="34"/>
    </row>
    <row r="1288" customFormat="false" ht="15" hidden="false" customHeight="true" outlineLevel="0" collapsed="false">
      <c r="A1288" s="18" t="n">
        <v>777</v>
      </c>
      <c r="B1288" s="25"/>
      <c r="C1288" s="26"/>
      <c r="D1288" s="26"/>
      <c r="E1288" s="26"/>
      <c r="F1288" s="24" t="str">
        <f aca="false">IFERROR(INDEX('Operator Master'!$B$5:$B$504,MATCH(E1288,'Operator Master'!$A$5:$A$504,0)),"")</f>
        <v/>
      </c>
      <c r="G1288" s="26"/>
      <c r="H1288" s="24" t="str">
        <f aca="false">IFERROR(INDEX('Fault Master'!$B$5:$B$104,MATCH(G1288,'Fault Master'!$A$5:$A$104,0)),"")</f>
        <v/>
      </c>
      <c r="I1288" s="24" t="str">
        <f aca="false">IFERROR(INDEX('Fault Master'!$C$5:$C$104,MATCH(G1288,'Fault Master'!$A$5:$A$104,0)),"")</f>
        <v/>
      </c>
      <c r="J1288" s="26"/>
      <c r="K1288" s="26"/>
      <c r="L1288" s="26"/>
      <c r="M1288" s="26"/>
      <c r="N1288" s="26"/>
      <c r="O1288" s="26"/>
      <c r="P1288" s="34"/>
    </row>
    <row r="1289" customFormat="false" ht="15" hidden="false" customHeight="true" outlineLevel="0" collapsed="false">
      <c r="A1289" s="18" t="n">
        <v>778</v>
      </c>
      <c r="B1289" s="25"/>
      <c r="C1289" s="26"/>
      <c r="D1289" s="26"/>
      <c r="E1289" s="26"/>
      <c r="F1289" s="24" t="str">
        <f aca="false">IFERROR(INDEX('Operator Master'!$B$5:$B$504,MATCH(E1289,'Operator Master'!$A$5:$A$504,0)),"")</f>
        <v/>
      </c>
      <c r="G1289" s="26"/>
      <c r="H1289" s="24" t="str">
        <f aca="false">IFERROR(INDEX('Fault Master'!$B$5:$B$104,MATCH(G1289,'Fault Master'!$A$5:$A$104,0)),"")</f>
        <v/>
      </c>
      <c r="I1289" s="24" t="str">
        <f aca="false">IFERROR(INDEX('Fault Master'!$C$5:$C$104,MATCH(G1289,'Fault Master'!$A$5:$A$104,0)),"")</f>
        <v/>
      </c>
      <c r="J1289" s="26"/>
      <c r="K1289" s="26"/>
      <c r="L1289" s="26"/>
      <c r="M1289" s="26"/>
      <c r="N1289" s="26"/>
      <c r="O1289" s="26"/>
      <c r="P1289" s="34"/>
    </row>
    <row r="1290" customFormat="false" ht="15" hidden="false" customHeight="true" outlineLevel="0" collapsed="false">
      <c r="A1290" s="18" t="n">
        <v>779</v>
      </c>
      <c r="B1290" s="25"/>
      <c r="C1290" s="26"/>
      <c r="D1290" s="26"/>
      <c r="E1290" s="26"/>
      <c r="F1290" s="24" t="str">
        <f aca="false">IFERROR(INDEX('Operator Master'!$B$5:$B$504,MATCH(E1290,'Operator Master'!$A$5:$A$504,0)),"")</f>
        <v/>
      </c>
      <c r="G1290" s="26"/>
      <c r="H1290" s="24" t="str">
        <f aca="false">IFERROR(INDEX('Fault Master'!$B$5:$B$104,MATCH(G1290,'Fault Master'!$A$5:$A$104,0)),"")</f>
        <v/>
      </c>
      <c r="I1290" s="24" t="str">
        <f aca="false">IFERROR(INDEX('Fault Master'!$C$5:$C$104,MATCH(G1290,'Fault Master'!$A$5:$A$104,0)),"")</f>
        <v/>
      </c>
      <c r="J1290" s="26"/>
      <c r="K1290" s="26"/>
      <c r="L1290" s="26"/>
      <c r="M1290" s="26"/>
      <c r="N1290" s="26"/>
      <c r="O1290" s="26"/>
      <c r="P1290" s="34"/>
    </row>
    <row r="1291" customFormat="false" ht="15" hidden="false" customHeight="true" outlineLevel="0" collapsed="false">
      <c r="A1291" s="18" t="n">
        <v>780</v>
      </c>
      <c r="B1291" s="25"/>
      <c r="C1291" s="26"/>
      <c r="D1291" s="26"/>
      <c r="E1291" s="26"/>
      <c r="F1291" s="24" t="str">
        <f aca="false">IFERROR(INDEX('Operator Master'!$B$5:$B$504,MATCH(E1291,'Operator Master'!$A$5:$A$504,0)),"")</f>
        <v/>
      </c>
      <c r="G1291" s="26"/>
      <c r="H1291" s="24" t="str">
        <f aca="false">IFERROR(INDEX('Fault Master'!$B$5:$B$104,MATCH(G1291,'Fault Master'!$A$5:$A$104,0)),"")</f>
        <v/>
      </c>
      <c r="I1291" s="24" t="str">
        <f aca="false">IFERROR(INDEX('Fault Master'!$C$5:$C$104,MATCH(G1291,'Fault Master'!$A$5:$A$104,0)),"")</f>
        <v/>
      </c>
      <c r="J1291" s="26"/>
      <c r="K1291" s="26"/>
      <c r="L1291" s="26"/>
      <c r="M1291" s="26"/>
      <c r="N1291" s="26"/>
      <c r="O1291" s="26"/>
      <c r="P1291" s="34"/>
    </row>
    <row r="1292" customFormat="false" ht="15" hidden="false" customHeight="true" outlineLevel="0" collapsed="false">
      <c r="A1292" s="18" t="n">
        <v>781</v>
      </c>
      <c r="B1292" s="25"/>
      <c r="C1292" s="26"/>
      <c r="D1292" s="26"/>
      <c r="E1292" s="26"/>
      <c r="F1292" s="24" t="str">
        <f aca="false">IFERROR(INDEX('Operator Master'!$B$5:$B$504,MATCH(E1292,'Operator Master'!$A$5:$A$504,0)),"")</f>
        <v/>
      </c>
      <c r="G1292" s="26"/>
      <c r="H1292" s="24" t="str">
        <f aca="false">IFERROR(INDEX('Fault Master'!$B$5:$B$104,MATCH(G1292,'Fault Master'!$A$5:$A$104,0)),"")</f>
        <v/>
      </c>
      <c r="I1292" s="24" t="str">
        <f aca="false">IFERROR(INDEX('Fault Master'!$C$5:$C$104,MATCH(G1292,'Fault Master'!$A$5:$A$104,0)),"")</f>
        <v/>
      </c>
      <c r="J1292" s="26"/>
      <c r="K1292" s="26"/>
      <c r="L1292" s="26"/>
      <c r="M1292" s="26"/>
      <c r="N1292" s="26"/>
      <c r="O1292" s="26"/>
      <c r="P1292" s="34"/>
    </row>
    <row r="1293" customFormat="false" ht="15" hidden="false" customHeight="true" outlineLevel="0" collapsed="false">
      <c r="A1293" s="18" t="n">
        <v>782</v>
      </c>
      <c r="B1293" s="25"/>
      <c r="C1293" s="26"/>
      <c r="D1293" s="26"/>
      <c r="E1293" s="26"/>
      <c r="F1293" s="24" t="str">
        <f aca="false">IFERROR(INDEX('Operator Master'!$B$5:$B$504,MATCH(E1293,'Operator Master'!$A$5:$A$504,0)),"")</f>
        <v/>
      </c>
      <c r="G1293" s="26"/>
      <c r="H1293" s="24" t="str">
        <f aca="false">IFERROR(INDEX('Fault Master'!$B$5:$B$104,MATCH(G1293,'Fault Master'!$A$5:$A$104,0)),"")</f>
        <v/>
      </c>
      <c r="I1293" s="24" t="str">
        <f aca="false">IFERROR(INDEX('Fault Master'!$C$5:$C$104,MATCH(G1293,'Fault Master'!$A$5:$A$104,0)),"")</f>
        <v/>
      </c>
      <c r="J1293" s="26"/>
      <c r="K1293" s="26"/>
      <c r="L1293" s="26"/>
      <c r="M1293" s="26"/>
      <c r="N1293" s="26"/>
      <c r="O1293" s="26"/>
      <c r="P1293" s="34"/>
    </row>
    <row r="1294" customFormat="false" ht="15" hidden="false" customHeight="true" outlineLevel="0" collapsed="false">
      <c r="A1294" s="18" t="n">
        <v>783</v>
      </c>
      <c r="B1294" s="25"/>
      <c r="C1294" s="26"/>
      <c r="D1294" s="26"/>
      <c r="E1294" s="26"/>
      <c r="F1294" s="24" t="str">
        <f aca="false">IFERROR(INDEX('Operator Master'!$B$5:$B$504,MATCH(E1294,'Operator Master'!$A$5:$A$504,0)),"")</f>
        <v/>
      </c>
      <c r="G1294" s="26"/>
      <c r="H1294" s="24" t="str">
        <f aca="false">IFERROR(INDEX('Fault Master'!$B$5:$B$104,MATCH(G1294,'Fault Master'!$A$5:$A$104,0)),"")</f>
        <v/>
      </c>
      <c r="I1294" s="24" t="str">
        <f aca="false">IFERROR(INDEX('Fault Master'!$C$5:$C$104,MATCH(G1294,'Fault Master'!$A$5:$A$104,0)),"")</f>
        <v/>
      </c>
      <c r="J1294" s="26"/>
      <c r="K1294" s="26"/>
      <c r="L1294" s="26"/>
      <c r="M1294" s="26"/>
      <c r="N1294" s="26"/>
      <c r="O1294" s="26"/>
      <c r="P1294" s="34"/>
    </row>
    <row r="1295" customFormat="false" ht="15" hidden="false" customHeight="true" outlineLevel="0" collapsed="false">
      <c r="A1295" s="18" t="n">
        <v>784</v>
      </c>
      <c r="B1295" s="25"/>
      <c r="C1295" s="26"/>
      <c r="D1295" s="26"/>
      <c r="E1295" s="26"/>
      <c r="F1295" s="24" t="str">
        <f aca="false">IFERROR(INDEX('Operator Master'!$B$5:$B$504,MATCH(E1295,'Operator Master'!$A$5:$A$504,0)),"")</f>
        <v/>
      </c>
      <c r="G1295" s="26"/>
      <c r="H1295" s="24" t="str">
        <f aca="false">IFERROR(INDEX('Fault Master'!$B$5:$B$104,MATCH(G1295,'Fault Master'!$A$5:$A$104,0)),"")</f>
        <v/>
      </c>
      <c r="I1295" s="24" t="str">
        <f aca="false">IFERROR(INDEX('Fault Master'!$C$5:$C$104,MATCH(G1295,'Fault Master'!$A$5:$A$104,0)),"")</f>
        <v/>
      </c>
      <c r="J1295" s="26"/>
      <c r="K1295" s="26"/>
      <c r="L1295" s="26"/>
      <c r="M1295" s="26"/>
      <c r="N1295" s="26"/>
      <c r="O1295" s="26"/>
      <c r="P1295" s="34"/>
    </row>
    <row r="1296" customFormat="false" ht="15" hidden="false" customHeight="true" outlineLevel="0" collapsed="false">
      <c r="A1296" s="18" t="n">
        <v>785</v>
      </c>
      <c r="B1296" s="25"/>
      <c r="C1296" s="26"/>
      <c r="D1296" s="26"/>
      <c r="E1296" s="26"/>
      <c r="F1296" s="24" t="str">
        <f aca="false">IFERROR(INDEX('Operator Master'!$B$5:$B$504,MATCH(E1296,'Operator Master'!$A$5:$A$504,0)),"")</f>
        <v/>
      </c>
      <c r="G1296" s="26"/>
      <c r="H1296" s="24" t="str">
        <f aca="false">IFERROR(INDEX('Fault Master'!$B$5:$B$104,MATCH(G1296,'Fault Master'!$A$5:$A$104,0)),"")</f>
        <v/>
      </c>
      <c r="I1296" s="24" t="str">
        <f aca="false">IFERROR(INDEX('Fault Master'!$C$5:$C$104,MATCH(G1296,'Fault Master'!$A$5:$A$104,0)),"")</f>
        <v/>
      </c>
      <c r="J1296" s="26"/>
      <c r="K1296" s="26"/>
      <c r="L1296" s="26"/>
      <c r="M1296" s="26"/>
      <c r="N1296" s="26"/>
      <c r="O1296" s="26"/>
      <c r="P1296" s="34"/>
    </row>
    <row r="1297" customFormat="false" ht="15" hidden="false" customHeight="true" outlineLevel="0" collapsed="false">
      <c r="A1297" s="18" t="n">
        <v>786</v>
      </c>
      <c r="B1297" s="25"/>
      <c r="C1297" s="26"/>
      <c r="D1297" s="26"/>
      <c r="E1297" s="26"/>
      <c r="F1297" s="24" t="str">
        <f aca="false">IFERROR(INDEX('Operator Master'!$B$5:$B$504,MATCH(E1297,'Operator Master'!$A$5:$A$504,0)),"")</f>
        <v/>
      </c>
      <c r="G1297" s="26"/>
      <c r="H1297" s="24" t="str">
        <f aca="false">IFERROR(INDEX('Fault Master'!$B$5:$B$104,MATCH(G1297,'Fault Master'!$A$5:$A$104,0)),"")</f>
        <v/>
      </c>
      <c r="I1297" s="24" t="str">
        <f aca="false">IFERROR(INDEX('Fault Master'!$C$5:$C$104,MATCH(G1297,'Fault Master'!$A$5:$A$104,0)),"")</f>
        <v/>
      </c>
      <c r="J1297" s="26"/>
      <c r="K1297" s="26"/>
      <c r="L1297" s="26"/>
      <c r="M1297" s="26"/>
      <c r="N1297" s="26"/>
      <c r="O1297" s="26"/>
      <c r="P1297" s="34"/>
    </row>
    <row r="1298" customFormat="false" ht="15" hidden="false" customHeight="true" outlineLevel="0" collapsed="false">
      <c r="A1298" s="18" t="n">
        <v>787</v>
      </c>
      <c r="B1298" s="25"/>
      <c r="C1298" s="26"/>
      <c r="D1298" s="26"/>
      <c r="E1298" s="26"/>
      <c r="F1298" s="24" t="str">
        <f aca="false">IFERROR(INDEX('Operator Master'!$B$5:$B$504,MATCH(E1298,'Operator Master'!$A$5:$A$504,0)),"")</f>
        <v/>
      </c>
      <c r="G1298" s="26"/>
      <c r="H1298" s="24" t="str">
        <f aca="false">IFERROR(INDEX('Fault Master'!$B$5:$B$104,MATCH(G1298,'Fault Master'!$A$5:$A$104,0)),"")</f>
        <v/>
      </c>
      <c r="I1298" s="24" t="str">
        <f aca="false">IFERROR(INDEX('Fault Master'!$C$5:$C$104,MATCH(G1298,'Fault Master'!$A$5:$A$104,0)),"")</f>
        <v/>
      </c>
      <c r="J1298" s="26"/>
      <c r="K1298" s="26"/>
      <c r="L1298" s="26"/>
      <c r="M1298" s="26"/>
      <c r="N1298" s="26"/>
      <c r="O1298" s="26"/>
      <c r="P1298" s="34"/>
    </row>
    <row r="1299" customFormat="false" ht="15" hidden="false" customHeight="true" outlineLevel="0" collapsed="false">
      <c r="A1299" s="18" t="n">
        <v>788</v>
      </c>
      <c r="B1299" s="25"/>
      <c r="C1299" s="26"/>
      <c r="D1299" s="26"/>
      <c r="E1299" s="26"/>
      <c r="F1299" s="24" t="str">
        <f aca="false">IFERROR(INDEX('Operator Master'!$B$5:$B$504,MATCH(E1299,'Operator Master'!$A$5:$A$504,0)),"")</f>
        <v/>
      </c>
      <c r="G1299" s="26"/>
      <c r="H1299" s="24" t="str">
        <f aca="false">IFERROR(INDEX('Fault Master'!$B$5:$B$104,MATCH(G1299,'Fault Master'!$A$5:$A$104,0)),"")</f>
        <v/>
      </c>
      <c r="I1299" s="24" t="str">
        <f aca="false">IFERROR(INDEX('Fault Master'!$C$5:$C$104,MATCH(G1299,'Fault Master'!$A$5:$A$104,0)),"")</f>
        <v/>
      </c>
      <c r="J1299" s="26"/>
      <c r="K1299" s="26"/>
      <c r="L1299" s="26"/>
      <c r="M1299" s="26"/>
      <c r="N1299" s="26"/>
      <c r="O1299" s="26"/>
      <c r="P1299" s="34"/>
    </row>
    <row r="1300" customFormat="false" ht="15" hidden="false" customHeight="true" outlineLevel="0" collapsed="false">
      <c r="A1300" s="18" t="n">
        <v>789</v>
      </c>
      <c r="B1300" s="25"/>
      <c r="C1300" s="26"/>
      <c r="D1300" s="26"/>
      <c r="E1300" s="26"/>
      <c r="F1300" s="24" t="str">
        <f aca="false">IFERROR(INDEX('Operator Master'!$B$5:$B$504,MATCH(E1300,'Operator Master'!$A$5:$A$504,0)),"")</f>
        <v/>
      </c>
      <c r="G1300" s="26"/>
      <c r="H1300" s="24" t="str">
        <f aca="false">IFERROR(INDEX('Fault Master'!$B$5:$B$104,MATCH(G1300,'Fault Master'!$A$5:$A$104,0)),"")</f>
        <v/>
      </c>
      <c r="I1300" s="24" t="str">
        <f aca="false">IFERROR(INDEX('Fault Master'!$C$5:$C$104,MATCH(G1300,'Fault Master'!$A$5:$A$104,0)),"")</f>
        <v/>
      </c>
      <c r="J1300" s="26"/>
      <c r="K1300" s="26"/>
      <c r="L1300" s="26"/>
      <c r="M1300" s="26"/>
      <c r="N1300" s="26"/>
      <c r="O1300" s="26"/>
      <c r="P1300" s="34"/>
    </row>
    <row r="1301" customFormat="false" ht="15" hidden="false" customHeight="true" outlineLevel="0" collapsed="false">
      <c r="A1301" s="18" t="n">
        <v>790</v>
      </c>
      <c r="B1301" s="25"/>
      <c r="C1301" s="26"/>
      <c r="D1301" s="26"/>
      <c r="E1301" s="26"/>
      <c r="F1301" s="24" t="str">
        <f aca="false">IFERROR(INDEX('Operator Master'!$B$5:$B$504,MATCH(E1301,'Operator Master'!$A$5:$A$504,0)),"")</f>
        <v/>
      </c>
      <c r="G1301" s="26"/>
      <c r="H1301" s="24" t="str">
        <f aca="false">IFERROR(INDEX('Fault Master'!$B$5:$B$104,MATCH(G1301,'Fault Master'!$A$5:$A$104,0)),"")</f>
        <v/>
      </c>
      <c r="I1301" s="24" t="str">
        <f aca="false">IFERROR(INDEX('Fault Master'!$C$5:$C$104,MATCH(G1301,'Fault Master'!$A$5:$A$104,0)),"")</f>
        <v/>
      </c>
      <c r="J1301" s="26"/>
      <c r="K1301" s="26"/>
      <c r="L1301" s="26"/>
      <c r="M1301" s="26"/>
      <c r="N1301" s="26"/>
      <c r="O1301" s="26"/>
      <c r="P1301" s="34"/>
    </row>
    <row r="1302" customFormat="false" ht="15" hidden="false" customHeight="true" outlineLevel="0" collapsed="false">
      <c r="A1302" s="18" t="n">
        <v>791</v>
      </c>
      <c r="B1302" s="25"/>
      <c r="C1302" s="26"/>
      <c r="D1302" s="26"/>
      <c r="E1302" s="26"/>
      <c r="F1302" s="24" t="str">
        <f aca="false">IFERROR(INDEX('Operator Master'!$B$5:$B$504,MATCH(E1302,'Operator Master'!$A$5:$A$504,0)),"")</f>
        <v/>
      </c>
      <c r="G1302" s="26"/>
      <c r="H1302" s="24" t="str">
        <f aca="false">IFERROR(INDEX('Fault Master'!$B$5:$B$104,MATCH(G1302,'Fault Master'!$A$5:$A$104,0)),"")</f>
        <v/>
      </c>
      <c r="I1302" s="24" t="str">
        <f aca="false">IFERROR(INDEX('Fault Master'!$C$5:$C$104,MATCH(G1302,'Fault Master'!$A$5:$A$104,0)),"")</f>
        <v/>
      </c>
      <c r="J1302" s="26"/>
      <c r="K1302" s="26"/>
      <c r="L1302" s="26"/>
      <c r="M1302" s="26"/>
      <c r="N1302" s="26"/>
      <c r="O1302" s="26"/>
      <c r="P1302" s="34"/>
    </row>
    <row r="1303" customFormat="false" ht="15" hidden="false" customHeight="true" outlineLevel="0" collapsed="false">
      <c r="A1303" s="18" t="n">
        <v>792</v>
      </c>
      <c r="B1303" s="25"/>
      <c r="C1303" s="26"/>
      <c r="D1303" s="26"/>
      <c r="E1303" s="26"/>
      <c r="F1303" s="24" t="str">
        <f aca="false">IFERROR(INDEX('Operator Master'!$B$5:$B$504,MATCH(E1303,'Operator Master'!$A$5:$A$504,0)),"")</f>
        <v/>
      </c>
      <c r="G1303" s="26"/>
      <c r="H1303" s="24" t="str">
        <f aca="false">IFERROR(INDEX('Fault Master'!$B$5:$B$104,MATCH(G1303,'Fault Master'!$A$5:$A$104,0)),"")</f>
        <v/>
      </c>
      <c r="I1303" s="24" t="str">
        <f aca="false">IFERROR(INDEX('Fault Master'!$C$5:$C$104,MATCH(G1303,'Fault Master'!$A$5:$A$104,0)),"")</f>
        <v/>
      </c>
      <c r="J1303" s="26"/>
      <c r="K1303" s="26"/>
      <c r="L1303" s="26"/>
      <c r="M1303" s="26"/>
      <c r="N1303" s="26"/>
      <c r="O1303" s="26"/>
      <c r="P1303" s="34"/>
    </row>
    <row r="1304" customFormat="false" ht="15" hidden="false" customHeight="true" outlineLevel="0" collapsed="false">
      <c r="A1304" s="18" t="n">
        <v>793</v>
      </c>
      <c r="B1304" s="25"/>
      <c r="C1304" s="26"/>
      <c r="D1304" s="26"/>
      <c r="E1304" s="26"/>
      <c r="F1304" s="24" t="str">
        <f aca="false">IFERROR(INDEX('Operator Master'!$B$5:$B$504,MATCH(E1304,'Operator Master'!$A$5:$A$504,0)),"")</f>
        <v/>
      </c>
      <c r="G1304" s="26"/>
      <c r="H1304" s="24" t="str">
        <f aca="false">IFERROR(INDEX('Fault Master'!$B$5:$B$104,MATCH(G1304,'Fault Master'!$A$5:$A$104,0)),"")</f>
        <v/>
      </c>
      <c r="I1304" s="24" t="str">
        <f aca="false">IFERROR(INDEX('Fault Master'!$C$5:$C$104,MATCH(G1304,'Fault Master'!$A$5:$A$104,0)),"")</f>
        <v/>
      </c>
      <c r="J1304" s="26"/>
      <c r="K1304" s="26"/>
      <c r="L1304" s="26"/>
      <c r="M1304" s="26"/>
      <c r="N1304" s="26"/>
      <c r="O1304" s="26"/>
      <c r="P1304" s="34"/>
    </row>
    <row r="1305" customFormat="false" ht="15" hidden="false" customHeight="true" outlineLevel="0" collapsed="false">
      <c r="A1305" s="18" t="n">
        <v>794</v>
      </c>
      <c r="B1305" s="25"/>
      <c r="C1305" s="26"/>
      <c r="D1305" s="26"/>
      <c r="E1305" s="26"/>
      <c r="F1305" s="24" t="str">
        <f aca="false">IFERROR(INDEX('Operator Master'!$B$5:$B$504,MATCH(E1305,'Operator Master'!$A$5:$A$504,0)),"")</f>
        <v/>
      </c>
      <c r="G1305" s="26"/>
      <c r="H1305" s="24" t="str">
        <f aca="false">IFERROR(INDEX('Fault Master'!$B$5:$B$104,MATCH(G1305,'Fault Master'!$A$5:$A$104,0)),"")</f>
        <v/>
      </c>
      <c r="I1305" s="24" t="str">
        <f aca="false">IFERROR(INDEX('Fault Master'!$C$5:$C$104,MATCH(G1305,'Fault Master'!$A$5:$A$104,0)),"")</f>
        <v/>
      </c>
      <c r="J1305" s="26"/>
      <c r="K1305" s="26"/>
      <c r="L1305" s="26"/>
      <c r="M1305" s="26"/>
      <c r="N1305" s="26"/>
      <c r="O1305" s="26"/>
      <c r="P1305" s="34"/>
    </row>
    <row r="1306" customFormat="false" ht="15" hidden="false" customHeight="true" outlineLevel="0" collapsed="false">
      <c r="A1306" s="18" t="n">
        <v>795</v>
      </c>
      <c r="B1306" s="25"/>
      <c r="C1306" s="26"/>
      <c r="D1306" s="26"/>
      <c r="E1306" s="26"/>
      <c r="F1306" s="24" t="str">
        <f aca="false">IFERROR(INDEX('Operator Master'!$B$5:$B$504,MATCH(E1306,'Operator Master'!$A$5:$A$504,0)),"")</f>
        <v/>
      </c>
      <c r="G1306" s="26"/>
      <c r="H1306" s="24" t="str">
        <f aca="false">IFERROR(INDEX('Fault Master'!$B$5:$B$104,MATCH(G1306,'Fault Master'!$A$5:$A$104,0)),"")</f>
        <v/>
      </c>
      <c r="I1306" s="24" t="str">
        <f aca="false">IFERROR(INDEX('Fault Master'!$C$5:$C$104,MATCH(G1306,'Fault Master'!$A$5:$A$104,0)),"")</f>
        <v/>
      </c>
      <c r="J1306" s="26"/>
      <c r="K1306" s="26"/>
      <c r="L1306" s="26"/>
      <c r="M1306" s="26"/>
      <c r="N1306" s="26"/>
      <c r="O1306" s="26"/>
      <c r="P1306" s="34"/>
    </row>
    <row r="1307" customFormat="false" ht="15" hidden="false" customHeight="true" outlineLevel="0" collapsed="false">
      <c r="A1307" s="18" t="n">
        <v>796</v>
      </c>
      <c r="B1307" s="25"/>
      <c r="C1307" s="26"/>
      <c r="D1307" s="26"/>
      <c r="E1307" s="26"/>
      <c r="F1307" s="24" t="str">
        <f aca="false">IFERROR(INDEX('Operator Master'!$B$5:$B$504,MATCH(E1307,'Operator Master'!$A$5:$A$504,0)),"")</f>
        <v/>
      </c>
      <c r="G1307" s="26"/>
      <c r="H1307" s="24" t="str">
        <f aca="false">IFERROR(INDEX('Fault Master'!$B$5:$B$104,MATCH(G1307,'Fault Master'!$A$5:$A$104,0)),"")</f>
        <v/>
      </c>
      <c r="I1307" s="24" t="str">
        <f aca="false">IFERROR(INDEX('Fault Master'!$C$5:$C$104,MATCH(G1307,'Fault Master'!$A$5:$A$104,0)),"")</f>
        <v/>
      </c>
      <c r="J1307" s="26"/>
      <c r="K1307" s="26"/>
      <c r="L1307" s="26"/>
      <c r="M1307" s="26"/>
      <c r="N1307" s="26"/>
      <c r="O1307" s="26"/>
      <c r="P1307" s="34"/>
    </row>
    <row r="1308" customFormat="false" ht="15" hidden="false" customHeight="true" outlineLevel="0" collapsed="false">
      <c r="A1308" s="18" t="n">
        <v>797</v>
      </c>
      <c r="B1308" s="25"/>
      <c r="C1308" s="26"/>
      <c r="D1308" s="26"/>
      <c r="E1308" s="26"/>
      <c r="F1308" s="24" t="str">
        <f aca="false">IFERROR(INDEX('Operator Master'!$B$5:$B$504,MATCH(E1308,'Operator Master'!$A$5:$A$504,0)),"")</f>
        <v/>
      </c>
      <c r="G1308" s="26"/>
      <c r="H1308" s="24" t="str">
        <f aca="false">IFERROR(INDEX('Fault Master'!$B$5:$B$104,MATCH(G1308,'Fault Master'!$A$5:$A$104,0)),"")</f>
        <v/>
      </c>
      <c r="I1308" s="24" t="str">
        <f aca="false">IFERROR(INDEX('Fault Master'!$C$5:$C$104,MATCH(G1308,'Fault Master'!$A$5:$A$104,0)),"")</f>
        <v/>
      </c>
      <c r="J1308" s="26"/>
      <c r="K1308" s="26"/>
      <c r="L1308" s="26"/>
      <c r="M1308" s="26"/>
      <c r="N1308" s="26"/>
      <c r="O1308" s="26"/>
      <c r="P1308" s="34"/>
    </row>
    <row r="1309" customFormat="false" ht="15" hidden="false" customHeight="true" outlineLevel="0" collapsed="false">
      <c r="A1309" s="18" t="n">
        <v>798</v>
      </c>
      <c r="B1309" s="25"/>
      <c r="C1309" s="26"/>
      <c r="D1309" s="26"/>
      <c r="E1309" s="26"/>
      <c r="F1309" s="24" t="str">
        <f aca="false">IFERROR(INDEX('Operator Master'!$B$5:$B$504,MATCH(E1309,'Operator Master'!$A$5:$A$504,0)),"")</f>
        <v/>
      </c>
      <c r="G1309" s="26"/>
      <c r="H1309" s="24" t="str">
        <f aca="false">IFERROR(INDEX('Fault Master'!$B$5:$B$104,MATCH(G1309,'Fault Master'!$A$5:$A$104,0)),"")</f>
        <v/>
      </c>
      <c r="I1309" s="24" t="str">
        <f aca="false">IFERROR(INDEX('Fault Master'!$C$5:$C$104,MATCH(G1309,'Fault Master'!$A$5:$A$104,0)),"")</f>
        <v/>
      </c>
      <c r="J1309" s="26"/>
      <c r="K1309" s="26"/>
      <c r="L1309" s="26"/>
      <c r="M1309" s="26"/>
      <c r="N1309" s="26"/>
      <c r="O1309" s="26"/>
      <c r="P1309" s="34"/>
    </row>
    <row r="1310" customFormat="false" ht="15" hidden="false" customHeight="true" outlineLevel="0" collapsed="false">
      <c r="A1310" s="18" t="n">
        <v>799</v>
      </c>
      <c r="B1310" s="25"/>
      <c r="C1310" s="26"/>
      <c r="D1310" s="26"/>
      <c r="E1310" s="26"/>
      <c r="F1310" s="24" t="str">
        <f aca="false">IFERROR(INDEX('Operator Master'!$B$5:$B$504,MATCH(E1310,'Operator Master'!$A$5:$A$504,0)),"")</f>
        <v/>
      </c>
      <c r="G1310" s="26"/>
      <c r="H1310" s="24" t="str">
        <f aca="false">IFERROR(INDEX('Fault Master'!$B$5:$B$104,MATCH(G1310,'Fault Master'!$A$5:$A$104,0)),"")</f>
        <v/>
      </c>
      <c r="I1310" s="24" t="str">
        <f aca="false">IFERROR(INDEX('Fault Master'!$C$5:$C$104,MATCH(G1310,'Fault Master'!$A$5:$A$104,0)),"")</f>
        <v/>
      </c>
      <c r="J1310" s="26"/>
      <c r="K1310" s="26"/>
      <c r="L1310" s="26"/>
      <c r="M1310" s="26"/>
      <c r="N1310" s="26"/>
      <c r="O1310" s="26"/>
      <c r="P1310" s="34"/>
    </row>
    <row r="1311" customFormat="false" ht="15" hidden="false" customHeight="true" outlineLevel="0" collapsed="false">
      <c r="A1311" s="18" t="n">
        <v>800</v>
      </c>
      <c r="B1311" s="25"/>
      <c r="C1311" s="26"/>
      <c r="D1311" s="26"/>
      <c r="E1311" s="26"/>
      <c r="F1311" s="24" t="str">
        <f aca="false">IFERROR(INDEX('Operator Master'!$B$5:$B$504,MATCH(E1311,'Operator Master'!$A$5:$A$504,0)),"")</f>
        <v/>
      </c>
      <c r="G1311" s="26"/>
      <c r="H1311" s="24" t="str">
        <f aca="false">IFERROR(INDEX('Fault Master'!$B$5:$B$104,MATCH(G1311,'Fault Master'!$A$5:$A$104,0)),"")</f>
        <v/>
      </c>
      <c r="I1311" s="24" t="str">
        <f aca="false">IFERROR(INDEX('Fault Master'!$C$5:$C$104,MATCH(G1311,'Fault Master'!$A$5:$A$104,0)),"")</f>
        <v/>
      </c>
      <c r="J1311" s="26"/>
      <c r="K1311" s="26"/>
      <c r="L1311" s="26"/>
      <c r="M1311" s="26"/>
      <c r="N1311" s="26"/>
      <c r="O1311" s="26"/>
      <c r="P1311" s="34"/>
    </row>
    <row r="1312" customFormat="false" ht="15" hidden="false" customHeight="true" outlineLevel="0" collapsed="false">
      <c r="A1312" s="18" t="n">
        <v>801</v>
      </c>
      <c r="B1312" s="25"/>
      <c r="C1312" s="26"/>
      <c r="D1312" s="26"/>
      <c r="E1312" s="26"/>
      <c r="F1312" s="24" t="str">
        <f aca="false">IFERROR(INDEX('Operator Master'!$B$5:$B$504,MATCH(E1312,'Operator Master'!$A$5:$A$504,0)),"")</f>
        <v/>
      </c>
      <c r="G1312" s="26"/>
      <c r="H1312" s="24" t="str">
        <f aca="false">IFERROR(INDEX('Fault Master'!$B$5:$B$104,MATCH(G1312,'Fault Master'!$A$5:$A$104,0)),"")</f>
        <v/>
      </c>
      <c r="I1312" s="24" t="str">
        <f aca="false">IFERROR(INDEX('Fault Master'!$C$5:$C$104,MATCH(G1312,'Fault Master'!$A$5:$A$104,0)),"")</f>
        <v/>
      </c>
      <c r="J1312" s="26"/>
      <c r="K1312" s="26"/>
      <c r="L1312" s="26"/>
      <c r="M1312" s="26"/>
      <c r="N1312" s="26"/>
      <c r="O1312" s="26"/>
      <c r="P1312" s="34"/>
    </row>
    <row r="1313" customFormat="false" ht="15" hidden="false" customHeight="true" outlineLevel="0" collapsed="false">
      <c r="A1313" s="18" t="n">
        <v>802</v>
      </c>
      <c r="B1313" s="25"/>
      <c r="C1313" s="26"/>
      <c r="D1313" s="26"/>
      <c r="E1313" s="26"/>
      <c r="F1313" s="24" t="str">
        <f aca="false">IFERROR(INDEX('Operator Master'!$B$5:$B$504,MATCH(E1313,'Operator Master'!$A$5:$A$504,0)),"")</f>
        <v/>
      </c>
      <c r="G1313" s="26"/>
      <c r="H1313" s="24" t="str">
        <f aca="false">IFERROR(INDEX('Fault Master'!$B$5:$B$104,MATCH(G1313,'Fault Master'!$A$5:$A$104,0)),"")</f>
        <v/>
      </c>
      <c r="I1313" s="24" t="str">
        <f aca="false">IFERROR(INDEX('Fault Master'!$C$5:$C$104,MATCH(G1313,'Fault Master'!$A$5:$A$104,0)),"")</f>
        <v/>
      </c>
      <c r="J1313" s="26"/>
      <c r="K1313" s="26"/>
      <c r="L1313" s="26"/>
      <c r="M1313" s="26"/>
      <c r="N1313" s="26"/>
      <c r="O1313" s="26"/>
      <c r="P1313" s="34"/>
    </row>
    <row r="1314" customFormat="false" ht="15" hidden="false" customHeight="true" outlineLevel="0" collapsed="false">
      <c r="A1314" s="18" t="n">
        <v>803</v>
      </c>
      <c r="B1314" s="25"/>
      <c r="C1314" s="26"/>
      <c r="D1314" s="26"/>
      <c r="E1314" s="26"/>
      <c r="F1314" s="24" t="str">
        <f aca="false">IFERROR(INDEX('Operator Master'!$B$5:$B$504,MATCH(E1314,'Operator Master'!$A$5:$A$504,0)),"")</f>
        <v/>
      </c>
      <c r="G1314" s="26"/>
      <c r="H1314" s="24" t="str">
        <f aca="false">IFERROR(INDEX('Fault Master'!$B$5:$B$104,MATCH(G1314,'Fault Master'!$A$5:$A$104,0)),"")</f>
        <v/>
      </c>
      <c r="I1314" s="24" t="str">
        <f aca="false">IFERROR(INDEX('Fault Master'!$C$5:$C$104,MATCH(G1314,'Fault Master'!$A$5:$A$104,0)),"")</f>
        <v/>
      </c>
      <c r="J1314" s="26"/>
      <c r="K1314" s="26"/>
      <c r="L1314" s="26"/>
      <c r="M1314" s="26"/>
      <c r="N1314" s="26"/>
      <c r="O1314" s="26"/>
      <c r="P1314" s="34"/>
    </row>
    <row r="1315" customFormat="false" ht="15" hidden="false" customHeight="true" outlineLevel="0" collapsed="false">
      <c r="A1315" s="18" t="n">
        <v>804</v>
      </c>
      <c r="B1315" s="25"/>
      <c r="C1315" s="26"/>
      <c r="D1315" s="26"/>
      <c r="E1315" s="26"/>
      <c r="F1315" s="24" t="str">
        <f aca="false">IFERROR(INDEX('Operator Master'!$B$5:$B$504,MATCH(E1315,'Operator Master'!$A$5:$A$504,0)),"")</f>
        <v/>
      </c>
      <c r="G1315" s="26"/>
      <c r="H1315" s="24" t="str">
        <f aca="false">IFERROR(INDEX('Fault Master'!$B$5:$B$104,MATCH(G1315,'Fault Master'!$A$5:$A$104,0)),"")</f>
        <v/>
      </c>
      <c r="I1315" s="24" t="str">
        <f aca="false">IFERROR(INDEX('Fault Master'!$C$5:$C$104,MATCH(G1315,'Fault Master'!$A$5:$A$104,0)),"")</f>
        <v/>
      </c>
      <c r="J1315" s="26"/>
      <c r="K1315" s="26"/>
      <c r="L1315" s="26"/>
      <c r="M1315" s="26"/>
      <c r="N1315" s="26"/>
      <c r="O1315" s="26"/>
      <c r="P1315" s="34"/>
    </row>
    <row r="1316" customFormat="false" ht="15" hidden="false" customHeight="true" outlineLevel="0" collapsed="false">
      <c r="A1316" s="18" t="n">
        <v>805</v>
      </c>
      <c r="B1316" s="25"/>
      <c r="C1316" s="26"/>
      <c r="D1316" s="26"/>
      <c r="E1316" s="26"/>
      <c r="F1316" s="24" t="str">
        <f aca="false">IFERROR(INDEX('Operator Master'!$B$5:$B$504,MATCH(E1316,'Operator Master'!$A$5:$A$504,0)),"")</f>
        <v/>
      </c>
      <c r="G1316" s="26"/>
      <c r="H1316" s="24" t="str">
        <f aca="false">IFERROR(INDEX('Fault Master'!$B$5:$B$104,MATCH(G1316,'Fault Master'!$A$5:$A$104,0)),"")</f>
        <v/>
      </c>
      <c r="I1316" s="24" t="str">
        <f aca="false">IFERROR(INDEX('Fault Master'!$C$5:$C$104,MATCH(G1316,'Fault Master'!$A$5:$A$104,0)),"")</f>
        <v/>
      </c>
      <c r="J1316" s="26"/>
      <c r="K1316" s="26"/>
      <c r="L1316" s="26"/>
      <c r="M1316" s="26"/>
      <c r="N1316" s="26"/>
      <c r="O1316" s="26"/>
      <c r="P1316" s="34"/>
    </row>
    <row r="1317" customFormat="false" ht="15" hidden="false" customHeight="true" outlineLevel="0" collapsed="false">
      <c r="A1317" s="18" t="n">
        <v>806</v>
      </c>
      <c r="B1317" s="25"/>
      <c r="C1317" s="26"/>
      <c r="D1317" s="26"/>
      <c r="E1317" s="26"/>
      <c r="F1317" s="24" t="str">
        <f aca="false">IFERROR(INDEX('Operator Master'!$B$5:$B$504,MATCH(E1317,'Operator Master'!$A$5:$A$504,0)),"")</f>
        <v/>
      </c>
      <c r="G1317" s="26"/>
      <c r="H1317" s="24" t="str">
        <f aca="false">IFERROR(INDEX('Fault Master'!$B$5:$B$104,MATCH(G1317,'Fault Master'!$A$5:$A$104,0)),"")</f>
        <v/>
      </c>
      <c r="I1317" s="24" t="str">
        <f aca="false">IFERROR(INDEX('Fault Master'!$C$5:$C$104,MATCH(G1317,'Fault Master'!$A$5:$A$104,0)),"")</f>
        <v/>
      </c>
      <c r="J1317" s="26"/>
      <c r="K1317" s="26"/>
      <c r="L1317" s="26"/>
      <c r="M1317" s="26"/>
      <c r="N1317" s="26"/>
      <c r="O1317" s="26"/>
      <c r="P1317" s="34"/>
    </row>
    <row r="1318" customFormat="false" ht="15" hidden="false" customHeight="true" outlineLevel="0" collapsed="false">
      <c r="A1318" s="18" t="n">
        <v>807</v>
      </c>
      <c r="B1318" s="25"/>
      <c r="C1318" s="26"/>
      <c r="D1318" s="26"/>
      <c r="E1318" s="26"/>
      <c r="F1318" s="24" t="str">
        <f aca="false">IFERROR(INDEX('Operator Master'!$B$5:$B$504,MATCH(E1318,'Operator Master'!$A$5:$A$504,0)),"")</f>
        <v/>
      </c>
      <c r="G1318" s="26"/>
      <c r="H1318" s="24" t="str">
        <f aca="false">IFERROR(INDEX('Fault Master'!$B$5:$B$104,MATCH(G1318,'Fault Master'!$A$5:$A$104,0)),"")</f>
        <v/>
      </c>
      <c r="I1318" s="24" t="str">
        <f aca="false">IFERROR(INDEX('Fault Master'!$C$5:$C$104,MATCH(G1318,'Fault Master'!$A$5:$A$104,0)),"")</f>
        <v/>
      </c>
      <c r="J1318" s="26"/>
      <c r="K1318" s="26"/>
      <c r="L1318" s="26"/>
      <c r="M1318" s="26"/>
      <c r="N1318" s="26"/>
      <c r="O1318" s="26"/>
      <c r="P1318" s="34"/>
    </row>
    <row r="1319" customFormat="false" ht="15" hidden="false" customHeight="true" outlineLevel="0" collapsed="false">
      <c r="A1319" s="18" t="n">
        <v>808</v>
      </c>
      <c r="B1319" s="25"/>
      <c r="C1319" s="26"/>
      <c r="D1319" s="26"/>
      <c r="E1319" s="26"/>
      <c r="F1319" s="24" t="str">
        <f aca="false">IFERROR(INDEX('Operator Master'!$B$5:$B$504,MATCH(E1319,'Operator Master'!$A$5:$A$504,0)),"")</f>
        <v/>
      </c>
      <c r="G1319" s="26"/>
      <c r="H1319" s="24" t="str">
        <f aca="false">IFERROR(INDEX('Fault Master'!$B$5:$B$104,MATCH(G1319,'Fault Master'!$A$5:$A$104,0)),"")</f>
        <v/>
      </c>
      <c r="I1319" s="24" t="str">
        <f aca="false">IFERROR(INDEX('Fault Master'!$C$5:$C$104,MATCH(G1319,'Fault Master'!$A$5:$A$104,0)),"")</f>
        <v/>
      </c>
      <c r="J1319" s="26"/>
      <c r="K1319" s="26"/>
      <c r="L1319" s="26"/>
      <c r="M1319" s="26"/>
      <c r="N1319" s="26"/>
      <c r="O1319" s="26"/>
      <c r="P1319" s="34"/>
    </row>
    <row r="1320" customFormat="false" ht="15" hidden="false" customHeight="true" outlineLevel="0" collapsed="false">
      <c r="A1320" s="18" t="n">
        <v>809</v>
      </c>
      <c r="B1320" s="25"/>
      <c r="C1320" s="26"/>
      <c r="D1320" s="26"/>
      <c r="E1320" s="26"/>
      <c r="F1320" s="24" t="str">
        <f aca="false">IFERROR(INDEX('Operator Master'!$B$5:$B$504,MATCH(E1320,'Operator Master'!$A$5:$A$504,0)),"")</f>
        <v/>
      </c>
      <c r="G1320" s="26"/>
      <c r="H1320" s="24" t="str">
        <f aca="false">IFERROR(INDEX('Fault Master'!$B$5:$B$104,MATCH(G1320,'Fault Master'!$A$5:$A$104,0)),"")</f>
        <v/>
      </c>
      <c r="I1320" s="24" t="str">
        <f aca="false">IFERROR(INDEX('Fault Master'!$C$5:$C$104,MATCH(G1320,'Fault Master'!$A$5:$A$104,0)),"")</f>
        <v/>
      </c>
      <c r="J1320" s="26"/>
      <c r="K1320" s="26"/>
      <c r="L1320" s="26"/>
      <c r="M1320" s="26"/>
      <c r="N1320" s="26"/>
      <c r="O1320" s="26"/>
      <c r="P1320" s="34"/>
    </row>
    <row r="1321" customFormat="false" ht="15" hidden="false" customHeight="true" outlineLevel="0" collapsed="false">
      <c r="A1321" s="18" t="n">
        <v>810</v>
      </c>
      <c r="B1321" s="25"/>
      <c r="C1321" s="26"/>
      <c r="D1321" s="26"/>
      <c r="E1321" s="26"/>
      <c r="F1321" s="24" t="str">
        <f aca="false">IFERROR(INDEX('Operator Master'!$B$5:$B$504,MATCH(E1321,'Operator Master'!$A$5:$A$504,0)),"")</f>
        <v/>
      </c>
      <c r="G1321" s="26"/>
      <c r="H1321" s="24" t="str">
        <f aca="false">IFERROR(INDEX('Fault Master'!$B$5:$B$104,MATCH(G1321,'Fault Master'!$A$5:$A$104,0)),"")</f>
        <v/>
      </c>
      <c r="I1321" s="24" t="str">
        <f aca="false">IFERROR(INDEX('Fault Master'!$C$5:$C$104,MATCH(G1321,'Fault Master'!$A$5:$A$104,0)),"")</f>
        <v/>
      </c>
      <c r="J1321" s="26"/>
      <c r="K1321" s="26"/>
      <c r="L1321" s="26"/>
      <c r="M1321" s="26"/>
      <c r="N1321" s="26"/>
      <c r="O1321" s="26"/>
      <c r="P1321" s="34"/>
    </row>
    <row r="1322" customFormat="false" ht="15" hidden="false" customHeight="true" outlineLevel="0" collapsed="false">
      <c r="A1322" s="18" t="n">
        <v>811</v>
      </c>
      <c r="B1322" s="25"/>
      <c r="C1322" s="26"/>
      <c r="D1322" s="26"/>
      <c r="E1322" s="26"/>
      <c r="F1322" s="24" t="str">
        <f aca="false">IFERROR(INDEX('Operator Master'!$B$5:$B$504,MATCH(E1322,'Operator Master'!$A$5:$A$504,0)),"")</f>
        <v/>
      </c>
      <c r="G1322" s="26"/>
      <c r="H1322" s="24" t="str">
        <f aca="false">IFERROR(INDEX('Fault Master'!$B$5:$B$104,MATCH(G1322,'Fault Master'!$A$5:$A$104,0)),"")</f>
        <v/>
      </c>
      <c r="I1322" s="24" t="str">
        <f aca="false">IFERROR(INDEX('Fault Master'!$C$5:$C$104,MATCH(G1322,'Fault Master'!$A$5:$A$104,0)),"")</f>
        <v/>
      </c>
      <c r="J1322" s="26"/>
      <c r="K1322" s="26"/>
      <c r="L1322" s="26"/>
      <c r="M1322" s="26"/>
      <c r="N1322" s="26"/>
      <c r="O1322" s="26"/>
      <c r="P1322" s="34"/>
    </row>
    <row r="1323" customFormat="false" ht="15" hidden="false" customHeight="true" outlineLevel="0" collapsed="false">
      <c r="A1323" s="18" t="n">
        <v>812</v>
      </c>
      <c r="B1323" s="25"/>
      <c r="C1323" s="26"/>
      <c r="D1323" s="26"/>
      <c r="E1323" s="26"/>
      <c r="F1323" s="24" t="str">
        <f aca="false">IFERROR(INDEX('Operator Master'!$B$5:$B$504,MATCH(E1323,'Operator Master'!$A$5:$A$504,0)),"")</f>
        <v/>
      </c>
      <c r="G1323" s="26"/>
      <c r="H1323" s="24" t="str">
        <f aca="false">IFERROR(INDEX('Fault Master'!$B$5:$B$104,MATCH(G1323,'Fault Master'!$A$5:$A$104,0)),"")</f>
        <v/>
      </c>
      <c r="I1323" s="24" t="str">
        <f aca="false">IFERROR(INDEX('Fault Master'!$C$5:$C$104,MATCH(G1323,'Fault Master'!$A$5:$A$104,0)),"")</f>
        <v/>
      </c>
      <c r="J1323" s="26"/>
      <c r="K1323" s="26"/>
      <c r="L1323" s="26"/>
      <c r="M1323" s="26"/>
      <c r="N1323" s="26"/>
      <c r="O1323" s="26"/>
      <c r="P1323" s="34"/>
    </row>
    <row r="1324" customFormat="false" ht="15" hidden="false" customHeight="true" outlineLevel="0" collapsed="false">
      <c r="A1324" s="18" t="n">
        <v>813</v>
      </c>
      <c r="B1324" s="25"/>
      <c r="C1324" s="26"/>
      <c r="D1324" s="26"/>
      <c r="E1324" s="26"/>
      <c r="F1324" s="24" t="str">
        <f aca="false">IFERROR(INDEX('Operator Master'!$B$5:$B$504,MATCH(E1324,'Operator Master'!$A$5:$A$504,0)),"")</f>
        <v/>
      </c>
      <c r="G1324" s="26"/>
      <c r="H1324" s="24" t="str">
        <f aca="false">IFERROR(INDEX('Fault Master'!$B$5:$B$104,MATCH(G1324,'Fault Master'!$A$5:$A$104,0)),"")</f>
        <v/>
      </c>
      <c r="I1324" s="24" t="str">
        <f aca="false">IFERROR(INDEX('Fault Master'!$C$5:$C$104,MATCH(G1324,'Fault Master'!$A$5:$A$104,0)),"")</f>
        <v/>
      </c>
      <c r="J1324" s="26"/>
      <c r="K1324" s="26"/>
      <c r="L1324" s="26"/>
      <c r="M1324" s="26"/>
      <c r="N1324" s="26"/>
      <c r="O1324" s="26"/>
      <c r="P1324" s="34"/>
    </row>
    <row r="1325" customFormat="false" ht="15" hidden="false" customHeight="true" outlineLevel="0" collapsed="false">
      <c r="A1325" s="18" t="n">
        <v>814</v>
      </c>
      <c r="B1325" s="25"/>
      <c r="C1325" s="26"/>
      <c r="D1325" s="26"/>
      <c r="E1325" s="26"/>
      <c r="F1325" s="24" t="str">
        <f aca="false">IFERROR(INDEX('Operator Master'!$B$5:$B$504,MATCH(E1325,'Operator Master'!$A$5:$A$504,0)),"")</f>
        <v/>
      </c>
      <c r="G1325" s="26"/>
      <c r="H1325" s="24" t="str">
        <f aca="false">IFERROR(INDEX('Fault Master'!$B$5:$B$104,MATCH(G1325,'Fault Master'!$A$5:$A$104,0)),"")</f>
        <v/>
      </c>
      <c r="I1325" s="24" t="str">
        <f aca="false">IFERROR(INDEX('Fault Master'!$C$5:$C$104,MATCH(G1325,'Fault Master'!$A$5:$A$104,0)),"")</f>
        <v/>
      </c>
      <c r="J1325" s="26"/>
      <c r="K1325" s="26"/>
      <c r="L1325" s="26"/>
      <c r="M1325" s="26"/>
      <c r="N1325" s="26"/>
      <c r="O1325" s="26"/>
      <c r="P1325" s="34"/>
    </row>
    <row r="1326" customFormat="false" ht="15" hidden="false" customHeight="true" outlineLevel="0" collapsed="false">
      <c r="A1326" s="18" t="n">
        <v>815</v>
      </c>
      <c r="B1326" s="25"/>
      <c r="C1326" s="26"/>
      <c r="D1326" s="26"/>
      <c r="E1326" s="26"/>
      <c r="F1326" s="24" t="str">
        <f aca="false">IFERROR(INDEX('Operator Master'!$B$5:$B$504,MATCH(E1326,'Operator Master'!$A$5:$A$504,0)),"")</f>
        <v/>
      </c>
      <c r="G1326" s="26"/>
      <c r="H1326" s="24" t="str">
        <f aca="false">IFERROR(INDEX('Fault Master'!$B$5:$B$104,MATCH(G1326,'Fault Master'!$A$5:$A$104,0)),"")</f>
        <v/>
      </c>
      <c r="I1326" s="24" t="str">
        <f aca="false">IFERROR(INDEX('Fault Master'!$C$5:$C$104,MATCH(G1326,'Fault Master'!$A$5:$A$104,0)),"")</f>
        <v/>
      </c>
      <c r="J1326" s="26"/>
      <c r="K1326" s="26"/>
      <c r="L1326" s="26"/>
      <c r="M1326" s="26"/>
      <c r="N1326" s="26"/>
      <c r="O1326" s="26"/>
      <c r="P1326" s="34"/>
    </row>
    <row r="1327" customFormat="false" ht="15" hidden="false" customHeight="true" outlineLevel="0" collapsed="false">
      <c r="A1327" s="18" t="n">
        <v>816</v>
      </c>
      <c r="B1327" s="25"/>
      <c r="C1327" s="26"/>
      <c r="D1327" s="26"/>
      <c r="E1327" s="26"/>
      <c r="F1327" s="24" t="str">
        <f aca="false">IFERROR(INDEX('Operator Master'!$B$5:$B$504,MATCH(E1327,'Operator Master'!$A$5:$A$504,0)),"")</f>
        <v/>
      </c>
      <c r="G1327" s="26"/>
      <c r="H1327" s="24" t="str">
        <f aca="false">IFERROR(INDEX('Fault Master'!$B$5:$B$104,MATCH(G1327,'Fault Master'!$A$5:$A$104,0)),"")</f>
        <v/>
      </c>
      <c r="I1327" s="24" t="str">
        <f aca="false">IFERROR(INDEX('Fault Master'!$C$5:$C$104,MATCH(G1327,'Fault Master'!$A$5:$A$104,0)),"")</f>
        <v/>
      </c>
      <c r="J1327" s="26"/>
      <c r="K1327" s="26"/>
      <c r="L1327" s="26"/>
      <c r="M1327" s="26"/>
      <c r="N1327" s="26"/>
      <c r="O1327" s="26"/>
      <c r="P1327" s="34"/>
    </row>
    <row r="1328" customFormat="false" ht="15" hidden="false" customHeight="true" outlineLevel="0" collapsed="false">
      <c r="A1328" s="18" t="n">
        <v>817</v>
      </c>
      <c r="B1328" s="25"/>
      <c r="C1328" s="26"/>
      <c r="D1328" s="26"/>
      <c r="E1328" s="26"/>
      <c r="F1328" s="24" t="str">
        <f aca="false">IFERROR(INDEX('Operator Master'!$B$5:$B$504,MATCH(E1328,'Operator Master'!$A$5:$A$504,0)),"")</f>
        <v/>
      </c>
      <c r="G1328" s="26"/>
      <c r="H1328" s="24" t="str">
        <f aca="false">IFERROR(INDEX('Fault Master'!$B$5:$B$104,MATCH(G1328,'Fault Master'!$A$5:$A$104,0)),"")</f>
        <v/>
      </c>
      <c r="I1328" s="24" t="str">
        <f aca="false">IFERROR(INDEX('Fault Master'!$C$5:$C$104,MATCH(G1328,'Fault Master'!$A$5:$A$104,0)),"")</f>
        <v/>
      </c>
      <c r="J1328" s="26"/>
      <c r="K1328" s="26"/>
      <c r="L1328" s="26"/>
      <c r="M1328" s="26"/>
      <c r="N1328" s="26"/>
      <c r="O1328" s="26"/>
      <c r="P1328" s="34"/>
    </row>
    <row r="1329" customFormat="false" ht="15" hidden="false" customHeight="true" outlineLevel="0" collapsed="false">
      <c r="A1329" s="18" t="n">
        <v>818</v>
      </c>
      <c r="B1329" s="25"/>
      <c r="C1329" s="26"/>
      <c r="D1329" s="26"/>
      <c r="E1329" s="26"/>
      <c r="F1329" s="24" t="str">
        <f aca="false">IFERROR(INDEX('Operator Master'!$B$5:$B$504,MATCH(E1329,'Operator Master'!$A$5:$A$504,0)),"")</f>
        <v/>
      </c>
      <c r="G1329" s="26"/>
      <c r="H1329" s="24" t="str">
        <f aca="false">IFERROR(INDEX('Fault Master'!$B$5:$B$104,MATCH(G1329,'Fault Master'!$A$5:$A$104,0)),"")</f>
        <v/>
      </c>
      <c r="I1329" s="24" t="str">
        <f aca="false">IFERROR(INDEX('Fault Master'!$C$5:$C$104,MATCH(G1329,'Fault Master'!$A$5:$A$104,0)),"")</f>
        <v/>
      </c>
      <c r="J1329" s="26"/>
      <c r="K1329" s="26"/>
      <c r="L1329" s="26"/>
      <c r="M1329" s="26"/>
      <c r="N1329" s="26"/>
      <c r="O1329" s="26"/>
      <c r="P1329" s="34"/>
    </row>
    <row r="1330" customFormat="false" ht="15" hidden="false" customHeight="true" outlineLevel="0" collapsed="false">
      <c r="A1330" s="18" t="n">
        <v>819</v>
      </c>
      <c r="B1330" s="25"/>
      <c r="C1330" s="26"/>
      <c r="D1330" s="26"/>
      <c r="E1330" s="26"/>
      <c r="F1330" s="24" t="str">
        <f aca="false">IFERROR(INDEX('Operator Master'!$B$5:$B$504,MATCH(E1330,'Operator Master'!$A$5:$A$504,0)),"")</f>
        <v/>
      </c>
      <c r="G1330" s="26"/>
      <c r="H1330" s="24" t="str">
        <f aca="false">IFERROR(INDEX('Fault Master'!$B$5:$B$104,MATCH(G1330,'Fault Master'!$A$5:$A$104,0)),"")</f>
        <v/>
      </c>
      <c r="I1330" s="24" t="str">
        <f aca="false">IFERROR(INDEX('Fault Master'!$C$5:$C$104,MATCH(G1330,'Fault Master'!$A$5:$A$104,0)),"")</f>
        <v/>
      </c>
      <c r="J1330" s="26"/>
      <c r="K1330" s="26"/>
      <c r="L1330" s="26"/>
      <c r="M1330" s="26"/>
      <c r="N1330" s="26"/>
      <c r="O1330" s="26"/>
      <c r="P1330" s="34"/>
    </row>
    <row r="1331" customFormat="false" ht="15" hidden="false" customHeight="true" outlineLevel="0" collapsed="false">
      <c r="A1331" s="18" t="n">
        <v>820</v>
      </c>
      <c r="B1331" s="25"/>
      <c r="C1331" s="26"/>
      <c r="D1331" s="26"/>
      <c r="E1331" s="26"/>
      <c r="F1331" s="24" t="str">
        <f aca="false">IFERROR(INDEX('Operator Master'!$B$5:$B$504,MATCH(E1331,'Operator Master'!$A$5:$A$504,0)),"")</f>
        <v/>
      </c>
      <c r="G1331" s="26"/>
      <c r="H1331" s="24" t="str">
        <f aca="false">IFERROR(INDEX('Fault Master'!$B$5:$B$104,MATCH(G1331,'Fault Master'!$A$5:$A$104,0)),"")</f>
        <v/>
      </c>
      <c r="I1331" s="24" t="str">
        <f aca="false">IFERROR(INDEX('Fault Master'!$C$5:$C$104,MATCH(G1331,'Fault Master'!$A$5:$A$104,0)),"")</f>
        <v/>
      </c>
      <c r="J1331" s="26"/>
      <c r="K1331" s="26"/>
      <c r="L1331" s="26"/>
      <c r="M1331" s="26"/>
      <c r="N1331" s="26"/>
      <c r="O1331" s="26"/>
      <c r="P1331" s="34"/>
    </row>
    <row r="1332" customFormat="false" ht="15" hidden="false" customHeight="true" outlineLevel="0" collapsed="false">
      <c r="A1332" s="18" t="n">
        <v>821</v>
      </c>
      <c r="B1332" s="25"/>
      <c r="C1332" s="26"/>
      <c r="D1332" s="26"/>
      <c r="E1332" s="26"/>
      <c r="F1332" s="24" t="str">
        <f aca="false">IFERROR(INDEX('Operator Master'!$B$5:$B$504,MATCH(E1332,'Operator Master'!$A$5:$A$504,0)),"")</f>
        <v/>
      </c>
      <c r="G1332" s="26"/>
      <c r="H1332" s="24" t="str">
        <f aca="false">IFERROR(INDEX('Fault Master'!$B$5:$B$104,MATCH(G1332,'Fault Master'!$A$5:$A$104,0)),"")</f>
        <v/>
      </c>
      <c r="I1332" s="24" t="str">
        <f aca="false">IFERROR(INDEX('Fault Master'!$C$5:$C$104,MATCH(G1332,'Fault Master'!$A$5:$A$104,0)),"")</f>
        <v/>
      </c>
      <c r="J1332" s="26"/>
      <c r="K1332" s="26"/>
      <c r="L1332" s="26"/>
      <c r="M1332" s="26"/>
      <c r="N1332" s="26"/>
      <c r="O1332" s="26"/>
      <c r="P1332" s="34"/>
    </row>
    <row r="1333" customFormat="false" ht="15" hidden="false" customHeight="true" outlineLevel="0" collapsed="false">
      <c r="A1333" s="18" t="n">
        <v>822</v>
      </c>
      <c r="B1333" s="25"/>
      <c r="C1333" s="26"/>
      <c r="D1333" s="26"/>
      <c r="E1333" s="26"/>
      <c r="F1333" s="24" t="str">
        <f aca="false">IFERROR(INDEX('Operator Master'!$B$5:$B$504,MATCH(E1333,'Operator Master'!$A$5:$A$504,0)),"")</f>
        <v/>
      </c>
      <c r="G1333" s="26"/>
      <c r="H1333" s="24" t="str">
        <f aca="false">IFERROR(INDEX('Fault Master'!$B$5:$B$104,MATCH(G1333,'Fault Master'!$A$5:$A$104,0)),"")</f>
        <v/>
      </c>
      <c r="I1333" s="24" t="str">
        <f aca="false">IFERROR(INDEX('Fault Master'!$C$5:$C$104,MATCH(G1333,'Fault Master'!$A$5:$A$104,0)),"")</f>
        <v/>
      </c>
      <c r="J1333" s="26"/>
      <c r="K1333" s="26"/>
      <c r="L1333" s="26"/>
      <c r="M1333" s="26"/>
      <c r="N1333" s="26"/>
      <c r="O1333" s="26"/>
      <c r="P1333" s="34"/>
    </row>
    <row r="1334" customFormat="false" ht="15" hidden="false" customHeight="true" outlineLevel="0" collapsed="false">
      <c r="A1334" s="18" t="n">
        <v>823</v>
      </c>
      <c r="B1334" s="25"/>
      <c r="C1334" s="26"/>
      <c r="D1334" s="26"/>
      <c r="E1334" s="26"/>
      <c r="F1334" s="24" t="str">
        <f aca="false">IFERROR(INDEX('Operator Master'!$B$5:$B$504,MATCH(E1334,'Operator Master'!$A$5:$A$504,0)),"")</f>
        <v/>
      </c>
      <c r="G1334" s="26"/>
      <c r="H1334" s="24" t="str">
        <f aca="false">IFERROR(INDEX('Fault Master'!$B$5:$B$104,MATCH(G1334,'Fault Master'!$A$5:$A$104,0)),"")</f>
        <v/>
      </c>
      <c r="I1334" s="24" t="str">
        <f aca="false">IFERROR(INDEX('Fault Master'!$C$5:$C$104,MATCH(G1334,'Fault Master'!$A$5:$A$104,0)),"")</f>
        <v/>
      </c>
      <c r="J1334" s="26"/>
      <c r="K1334" s="26"/>
      <c r="L1334" s="26"/>
      <c r="M1334" s="26"/>
      <c r="N1334" s="26"/>
      <c r="O1334" s="26"/>
      <c r="P1334" s="34"/>
    </row>
    <row r="1335" customFormat="false" ht="15" hidden="false" customHeight="true" outlineLevel="0" collapsed="false">
      <c r="A1335" s="18" t="n">
        <v>824</v>
      </c>
      <c r="B1335" s="25"/>
      <c r="C1335" s="26"/>
      <c r="D1335" s="26"/>
      <c r="E1335" s="26"/>
      <c r="F1335" s="24" t="str">
        <f aca="false">IFERROR(INDEX('Operator Master'!$B$5:$B$504,MATCH(E1335,'Operator Master'!$A$5:$A$504,0)),"")</f>
        <v/>
      </c>
      <c r="G1335" s="26"/>
      <c r="H1335" s="24" t="str">
        <f aca="false">IFERROR(INDEX('Fault Master'!$B$5:$B$104,MATCH(G1335,'Fault Master'!$A$5:$A$104,0)),"")</f>
        <v/>
      </c>
      <c r="I1335" s="24" t="str">
        <f aca="false">IFERROR(INDEX('Fault Master'!$C$5:$C$104,MATCH(G1335,'Fault Master'!$A$5:$A$104,0)),"")</f>
        <v/>
      </c>
      <c r="J1335" s="26"/>
      <c r="K1335" s="26"/>
      <c r="L1335" s="26"/>
      <c r="M1335" s="26"/>
      <c r="N1335" s="26"/>
      <c r="O1335" s="26"/>
      <c r="P1335" s="34"/>
    </row>
    <row r="1336" customFormat="false" ht="15" hidden="false" customHeight="true" outlineLevel="0" collapsed="false">
      <c r="A1336" s="18" t="n">
        <v>825</v>
      </c>
      <c r="B1336" s="25"/>
      <c r="C1336" s="26"/>
      <c r="D1336" s="26"/>
      <c r="E1336" s="26"/>
      <c r="F1336" s="24" t="str">
        <f aca="false">IFERROR(INDEX('Operator Master'!$B$5:$B$504,MATCH(E1336,'Operator Master'!$A$5:$A$504,0)),"")</f>
        <v/>
      </c>
      <c r="G1336" s="26"/>
      <c r="H1336" s="24" t="str">
        <f aca="false">IFERROR(INDEX('Fault Master'!$B$5:$B$104,MATCH(G1336,'Fault Master'!$A$5:$A$104,0)),"")</f>
        <v/>
      </c>
      <c r="I1336" s="24" t="str">
        <f aca="false">IFERROR(INDEX('Fault Master'!$C$5:$C$104,MATCH(G1336,'Fault Master'!$A$5:$A$104,0)),"")</f>
        <v/>
      </c>
      <c r="J1336" s="26"/>
      <c r="K1336" s="26"/>
      <c r="L1336" s="26"/>
      <c r="M1336" s="26"/>
      <c r="N1336" s="26"/>
      <c r="O1336" s="26"/>
      <c r="P1336" s="34"/>
    </row>
    <row r="1337" customFormat="false" ht="15" hidden="false" customHeight="true" outlineLevel="0" collapsed="false">
      <c r="A1337" s="18" t="n">
        <v>826</v>
      </c>
      <c r="B1337" s="25"/>
      <c r="C1337" s="26"/>
      <c r="D1337" s="26"/>
      <c r="E1337" s="26"/>
      <c r="F1337" s="24" t="str">
        <f aca="false">IFERROR(INDEX('Operator Master'!$B$5:$B$504,MATCH(E1337,'Operator Master'!$A$5:$A$504,0)),"")</f>
        <v/>
      </c>
      <c r="G1337" s="26"/>
      <c r="H1337" s="24" t="str">
        <f aca="false">IFERROR(INDEX('Fault Master'!$B$5:$B$104,MATCH(G1337,'Fault Master'!$A$5:$A$104,0)),"")</f>
        <v/>
      </c>
      <c r="I1337" s="24" t="str">
        <f aca="false">IFERROR(INDEX('Fault Master'!$C$5:$C$104,MATCH(G1337,'Fault Master'!$A$5:$A$104,0)),"")</f>
        <v/>
      </c>
      <c r="J1337" s="26"/>
      <c r="K1337" s="26"/>
      <c r="L1337" s="26"/>
      <c r="M1337" s="26"/>
      <c r="N1337" s="26"/>
      <c r="O1337" s="26"/>
      <c r="P1337" s="34"/>
    </row>
    <row r="1338" customFormat="false" ht="15" hidden="false" customHeight="true" outlineLevel="0" collapsed="false">
      <c r="A1338" s="18" t="n">
        <v>827</v>
      </c>
      <c r="B1338" s="25"/>
      <c r="C1338" s="26"/>
      <c r="D1338" s="26"/>
      <c r="E1338" s="26"/>
      <c r="F1338" s="24" t="str">
        <f aca="false">IFERROR(INDEX('Operator Master'!$B$5:$B$504,MATCH(E1338,'Operator Master'!$A$5:$A$504,0)),"")</f>
        <v/>
      </c>
      <c r="G1338" s="26"/>
      <c r="H1338" s="24" t="str">
        <f aca="false">IFERROR(INDEX('Fault Master'!$B$5:$B$104,MATCH(G1338,'Fault Master'!$A$5:$A$104,0)),"")</f>
        <v/>
      </c>
      <c r="I1338" s="24" t="str">
        <f aca="false">IFERROR(INDEX('Fault Master'!$C$5:$C$104,MATCH(G1338,'Fault Master'!$A$5:$A$104,0)),"")</f>
        <v/>
      </c>
      <c r="J1338" s="26"/>
      <c r="K1338" s="26"/>
      <c r="L1338" s="26"/>
      <c r="M1338" s="26"/>
      <c r="N1338" s="26"/>
      <c r="O1338" s="26"/>
      <c r="P1338" s="34"/>
    </row>
    <row r="1339" customFormat="false" ht="15" hidden="false" customHeight="true" outlineLevel="0" collapsed="false">
      <c r="A1339" s="18" t="n">
        <v>828</v>
      </c>
      <c r="B1339" s="25"/>
      <c r="C1339" s="26"/>
      <c r="D1339" s="26"/>
      <c r="E1339" s="26"/>
      <c r="F1339" s="24" t="str">
        <f aca="false">IFERROR(INDEX('Operator Master'!$B$5:$B$504,MATCH(E1339,'Operator Master'!$A$5:$A$504,0)),"")</f>
        <v/>
      </c>
      <c r="G1339" s="26"/>
      <c r="H1339" s="24" t="str">
        <f aca="false">IFERROR(INDEX('Fault Master'!$B$5:$B$104,MATCH(G1339,'Fault Master'!$A$5:$A$104,0)),"")</f>
        <v/>
      </c>
      <c r="I1339" s="24" t="str">
        <f aca="false">IFERROR(INDEX('Fault Master'!$C$5:$C$104,MATCH(G1339,'Fault Master'!$A$5:$A$104,0)),"")</f>
        <v/>
      </c>
      <c r="J1339" s="26"/>
      <c r="K1339" s="26"/>
      <c r="L1339" s="26"/>
      <c r="M1339" s="26"/>
      <c r="N1339" s="26"/>
      <c r="O1339" s="26"/>
      <c r="P1339" s="34"/>
    </row>
    <row r="1340" customFormat="false" ht="15" hidden="false" customHeight="true" outlineLevel="0" collapsed="false">
      <c r="A1340" s="18" t="n">
        <v>829</v>
      </c>
      <c r="B1340" s="25"/>
      <c r="C1340" s="26"/>
      <c r="D1340" s="26"/>
      <c r="E1340" s="26"/>
      <c r="F1340" s="24" t="str">
        <f aca="false">IFERROR(INDEX('Operator Master'!$B$5:$B$504,MATCH(E1340,'Operator Master'!$A$5:$A$504,0)),"")</f>
        <v/>
      </c>
      <c r="G1340" s="26"/>
      <c r="H1340" s="24" t="str">
        <f aca="false">IFERROR(INDEX('Fault Master'!$B$5:$B$104,MATCH(G1340,'Fault Master'!$A$5:$A$104,0)),"")</f>
        <v/>
      </c>
      <c r="I1340" s="24" t="str">
        <f aca="false">IFERROR(INDEX('Fault Master'!$C$5:$C$104,MATCH(G1340,'Fault Master'!$A$5:$A$104,0)),"")</f>
        <v/>
      </c>
      <c r="J1340" s="26"/>
      <c r="K1340" s="26"/>
      <c r="L1340" s="26"/>
      <c r="M1340" s="26"/>
      <c r="N1340" s="26"/>
      <c r="O1340" s="26"/>
      <c r="P1340" s="34"/>
    </row>
    <row r="1341" customFormat="false" ht="15" hidden="false" customHeight="true" outlineLevel="0" collapsed="false">
      <c r="A1341" s="18" t="n">
        <v>830</v>
      </c>
      <c r="B1341" s="25"/>
      <c r="C1341" s="26"/>
      <c r="D1341" s="26"/>
      <c r="E1341" s="26"/>
      <c r="F1341" s="24" t="str">
        <f aca="false">IFERROR(INDEX('Operator Master'!$B$5:$B$504,MATCH(E1341,'Operator Master'!$A$5:$A$504,0)),"")</f>
        <v/>
      </c>
      <c r="G1341" s="26"/>
      <c r="H1341" s="24" t="str">
        <f aca="false">IFERROR(INDEX('Fault Master'!$B$5:$B$104,MATCH(G1341,'Fault Master'!$A$5:$A$104,0)),"")</f>
        <v/>
      </c>
      <c r="I1341" s="24" t="str">
        <f aca="false">IFERROR(INDEX('Fault Master'!$C$5:$C$104,MATCH(G1341,'Fault Master'!$A$5:$A$104,0)),"")</f>
        <v/>
      </c>
      <c r="J1341" s="26"/>
      <c r="K1341" s="26"/>
      <c r="L1341" s="26"/>
      <c r="M1341" s="26"/>
      <c r="N1341" s="26"/>
      <c r="O1341" s="26"/>
      <c r="P1341" s="34"/>
    </row>
    <row r="1342" customFormat="false" ht="15" hidden="false" customHeight="true" outlineLevel="0" collapsed="false">
      <c r="A1342" s="18" t="n">
        <v>831</v>
      </c>
      <c r="B1342" s="25"/>
      <c r="C1342" s="26"/>
      <c r="D1342" s="26"/>
      <c r="E1342" s="26"/>
      <c r="F1342" s="24" t="str">
        <f aca="false">IFERROR(INDEX('Operator Master'!$B$5:$B$504,MATCH(E1342,'Operator Master'!$A$5:$A$504,0)),"")</f>
        <v/>
      </c>
      <c r="G1342" s="26"/>
      <c r="H1342" s="24" t="str">
        <f aca="false">IFERROR(INDEX('Fault Master'!$B$5:$B$104,MATCH(G1342,'Fault Master'!$A$5:$A$104,0)),"")</f>
        <v/>
      </c>
      <c r="I1342" s="24" t="str">
        <f aca="false">IFERROR(INDEX('Fault Master'!$C$5:$C$104,MATCH(G1342,'Fault Master'!$A$5:$A$104,0)),"")</f>
        <v/>
      </c>
      <c r="J1342" s="26"/>
      <c r="K1342" s="26"/>
      <c r="L1342" s="26"/>
      <c r="M1342" s="26"/>
      <c r="N1342" s="26"/>
      <c r="O1342" s="26"/>
      <c r="P1342" s="34"/>
    </row>
    <row r="1343" customFormat="false" ht="15" hidden="false" customHeight="true" outlineLevel="0" collapsed="false">
      <c r="A1343" s="18" t="n">
        <v>832</v>
      </c>
      <c r="B1343" s="25"/>
      <c r="C1343" s="26"/>
      <c r="D1343" s="26"/>
      <c r="E1343" s="26"/>
      <c r="F1343" s="24" t="str">
        <f aca="false">IFERROR(INDEX('Operator Master'!$B$5:$B$504,MATCH(E1343,'Operator Master'!$A$5:$A$504,0)),"")</f>
        <v/>
      </c>
      <c r="G1343" s="26"/>
      <c r="H1343" s="24" t="str">
        <f aca="false">IFERROR(INDEX('Fault Master'!$B$5:$B$104,MATCH(G1343,'Fault Master'!$A$5:$A$104,0)),"")</f>
        <v/>
      </c>
      <c r="I1343" s="24" t="str">
        <f aca="false">IFERROR(INDEX('Fault Master'!$C$5:$C$104,MATCH(G1343,'Fault Master'!$A$5:$A$104,0)),"")</f>
        <v/>
      </c>
      <c r="J1343" s="26"/>
      <c r="K1343" s="26"/>
      <c r="L1343" s="26"/>
      <c r="M1343" s="26"/>
      <c r="N1343" s="26"/>
      <c r="O1343" s="26"/>
      <c r="P1343" s="34"/>
    </row>
    <row r="1344" customFormat="false" ht="15" hidden="false" customHeight="true" outlineLevel="0" collapsed="false">
      <c r="A1344" s="18" t="n">
        <v>833</v>
      </c>
      <c r="B1344" s="25"/>
      <c r="C1344" s="26"/>
      <c r="D1344" s="26"/>
      <c r="E1344" s="26"/>
      <c r="F1344" s="24" t="str">
        <f aca="false">IFERROR(INDEX('Operator Master'!$B$5:$B$504,MATCH(E1344,'Operator Master'!$A$5:$A$504,0)),"")</f>
        <v/>
      </c>
      <c r="G1344" s="26"/>
      <c r="H1344" s="24" t="str">
        <f aca="false">IFERROR(INDEX('Fault Master'!$B$5:$B$104,MATCH(G1344,'Fault Master'!$A$5:$A$104,0)),"")</f>
        <v/>
      </c>
      <c r="I1344" s="24" t="str">
        <f aca="false">IFERROR(INDEX('Fault Master'!$C$5:$C$104,MATCH(G1344,'Fault Master'!$A$5:$A$104,0)),"")</f>
        <v/>
      </c>
      <c r="J1344" s="26"/>
      <c r="K1344" s="26"/>
      <c r="L1344" s="26"/>
      <c r="M1344" s="26"/>
      <c r="N1344" s="26"/>
      <c r="O1344" s="26"/>
      <c r="P1344" s="34"/>
    </row>
    <row r="1345" customFormat="false" ht="15" hidden="false" customHeight="true" outlineLevel="0" collapsed="false">
      <c r="A1345" s="18" t="n">
        <v>834</v>
      </c>
      <c r="B1345" s="25"/>
      <c r="C1345" s="26"/>
      <c r="D1345" s="26"/>
      <c r="E1345" s="26"/>
      <c r="F1345" s="24" t="str">
        <f aca="false">IFERROR(INDEX('Operator Master'!$B$5:$B$504,MATCH(E1345,'Operator Master'!$A$5:$A$504,0)),"")</f>
        <v/>
      </c>
      <c r="G1345" s="26"/>
      <c r="H1345" s="24" t="str">
        <f aca="false">IFERROR(INDEX('Fault Master'!$B$5:$B$104,MATCH(G1345,'Fault Master'!$A$5:$A$104,0)),"")</f>
        <v/>
      </c>
      <c r="I1345" s="24" t="str">
        <f aca="false">IFERROR(INDEX('Fault Master'!$C$5:$C$104,MATCH(G1345,'Fault Master'!$A$5:$A$104,0)),"")</f>
        <v/>
      </c>
      <c r="J1345" s="26"/>
      <c r="K1345" s="26"/>
      <c r="L1345" s="26"/>
      <c r="M1345" s="26"/>
      <c r="N1345" s="26"/>
      <c r="O1345" s="26"/>
      <c r="P1345" s="34"/>
    </row>
    <row r="1346" customFormat="false" ht="15" hidden="false" customHeight="true" outlineLevel="0" collapsed="false">
      <c r="A1346" s="18" t="n">
        <v>835</v>
      </c>
      <c r="B1346" s="25"/>
      <c r="C1346" s="26"/>
      <c r="D1346" s="26"/>
      <c r="E1346" s="26"/>
      <c r="F1346" s="24" t="str">
        <f aca="false">IFERROR(INDEX('Operator Master'!$B$5:$B$504,MATCH(E1346,'Operator Master'!$A$5:$A$504,0)),"")</f>
        <v/>
      </c>
      <c r="G1346" s="26"/>
      <c r="H1346" s="24" t="str">
        <f aca="false">IFERROR(INDEX('Fault Master'!$B$5:$B$104,MATCH(G1346,'Fault Master'!$A$5:$A$104,0)),"")</f>
        <v/>
      </c>
      <c r="I1346" s="24" t="str">
        <f aca="false">IFERROR(INDEX('Fault Master'!$C$5:$C$104,MATCH(G1346,'Fault Master'!$A$5:$A$104,0)),"")</f>
        <v/>
      </c>
      <c r="J1346" s="26"/>
      <c r="K1346" s="26"/>
      <c r="L1346" s="26"/>
      <c r="M1346" s="26"/>
      <c r="N1346" s="26"/>
      <c r="O1346" s="26"/>
      <c r="P1346" s="34"/>
    </row>
    <row r="1347" customFormat="false" ht="15" hidden="false" customHeight="true" outlineLevel="0" collapsed="false">
      <c r="A1347" s="18" t="n">
        <v>836</v>
      </c>
      <c r="B1347" s="25"/>
      <c r="C1347" s="26"/>
      <c r="D1347" s="26"/>
      <c r="E1347" s="26"/>
      <c r="F1347" s="24" t="str">
        <f aca="false">IFERROR(INDEX('Operator Master'!$B$5:$B$504,MATCH(E1347,'Operator Master'!$A$5:$A$504,0)),"")</f>
        <v/>
      </c>
      <c r="G1347" s="26"/>
      <c r="H1347" s="24" t="str">
        <f aca="false">IFERROR(INDEX('Fault Master'!$B$5:$B$104,MATCH(G1347,'Fault Master'!$A$5:$A$104,0)),"")</f>
        <v/>
      </c>
      <c r="I1347" s="24" t="str">
        <f aca="false">IFERROR(INDEX('Fault Master'!$C$5:$C$104,MATCH(G1347,'Fault Master'!$A$5:$A$104,0)),"")</f>
        <v/>
      </c>
      <c r="J1347" s="26"/>
      <c r="K1347" s="26"/>
      <c r="L1347" s="26"/>
      <c r="M1347" s="26"/>
      <c r="N1347" s="26"/>
      <c r="O1347" s="26"/>
      <c r="P1347" s="34"/>
    </row>
    <row r="1348" customFormat="false" ht="15" hidden="false" customHeight="true" outlineLevel="0" collapsed="false">
      <c r="A1348" s="18" t="n">
        <v>837</v>
      </c>
      <c r="B1348" s="25"/>
      <c r="C1348" s="26"/>
      <c r="D1348" s="26"/>
      <c r="E1348" s="26"/>
      <c r="F1348" s="24" t="str">
        <f aca="false">IFERROR(INDEX('Operator Master'!$B$5:$B$504,MATCH(E1348,'Operator Master'!$A$5:$A$504,0)),"")</f>
        <v/>
      </c>
      <c r="G1348" s="26"/>
      <c r="H1348" s="24" t="str">
        <f aca="false">IFERROR(INDEX('Fault Master'!$B$5:$B$104,MATCH(G1348,'Fault Master'!$A$5:$A$104,0)),"")</f>
        <v/>
      </c>
      <c r="I1348" s="24" t="str">
        <f aca="false">IFERROR(INDEX('Fault Master'!$C$5:$C$104,MATCH(G1348,'Fault Master'!$A$5:$A$104,0)),"")</f>
        <v/>
      </c>
      <c r="J1348" s="26"/>
      <c r="K1348" s="26"/>
      <c r="L1348" s="26"/>
      <c r="M1348" s="26"/>
      <c r="N1348" s="26"/>
      <c r="O1348" s="26"/>
      <c r="P1348" s="34"/>
    </row>
    <row r="1349" customFormat="false" ht="15" hidden="false" customHeight="true" outlineLevel="0" collapsed="false">
      <c r="A1349" s="18" t="n">
        <v>838</v>
      </c>
      <c r="B1349" s="25"/>
      <c r="C1349" s="26"/>
      <c r="D1349" s="26"/>
      <c r="E1349" s="26"/>
      <c r="F1349" s="24" t="str">
        <f aca="false">IFERROR(INDEX('Operator Master'!$B$5:$B$504,MATCH(E1349,'Operator Master'!$A$5:$A$504,0)),"")</f>
        <v/>
      </c>
      <c r="G1349" s="26"/>
      <c r="H1349" s="24" t="str">
        <f aca="false">IFERROR(INDEX('Fault Master'!$B$5:$B$104,MATCH(G1349,'Fault Master'!$A$5:$A$104,0)),"")</f>
        <v/>
      </c>
      <c r="I1349" s="24" t="str">
        <f aca="false">IFERROR(INDEX('Fault Master'!$C$5:$C$104,MATCH(G1349,'Fault Master'!$A$5:$A$104,0)),"")</f>
        <v/>
      </c>
      <c r="J1349" s="26"/>
      <c r="K1349" s="26"/>
      <c r="L1349" s="26"/>
      <c r="M1349" s="26"/>
      <c r="N1349" s="26"/>
      <c r="O1349" s="26"/>
      <c r="P1349" s="34"/>
    </row>
    <row r="1350" customFormat="false" ht="15" hidden="false" customHeight="true" outlineLevel="0" collapsed="false">
      <c r="A1350" s="18" t="n">
        <v>839</v>
      </c>
      <c r="B1350" s="25"/>
      <c r="C1350" s="26"/>
      <c r="D1350" s="26"/>
      <c r="E1350" s="26"/>
      <c r="F1350" s="24" t="str">
        <f aca="false">IFERROR(INDEX('Operator Master'!$B$5:$B$504,MATCH(E1350,'Operator Master'!$A$5:$A$504,0)),"")</f>
        <v/>
      </c>
      <c r="G1350" s="26"/>
      <c r="H1350" s="24" t="str">
        <f aca="false">IFERROR(INDEX('Fault Master'!$B$5:$B$104,MATCH(G1350,'Fault Master'!$A$5:$A$104,0)),"")</f>
        <v/>
      </c>
      <c r="I1350" s="24" t="str">
        <f aca="false">IFERROR(INDEX('Fault Master'!$C$5:$C$104,MATCH(G1350,'Fault Master'!$A$5:$A$104,0)),"")</f>
        <v/>
      </c>
      <c r="J1350" s="26"/>
      <c r="K1350" s="26"/>
      <c r="L1350" s="26"/>
      <c r="M1350" s="26"/>
      <c r="N1350" s="26"/>
      <c r="O1350" s="26"/>
      <c r="P1350" s="34"/>
    </row>
    <row r="1351" customFormat="false" ht="15" hidden="false" customHeight="true" outlineLevel="0" collapsed="false">
      <c r="A1351" s="18" t="n">
        <v>840</v>
      </c>
      <c r="B1351" s="25"/>
      <c r="C1351" s="26"/>
      <c r="D1351" s="26"/>
      <c r="E1351" s="26"/>
      <c r="F1351" s="24" t="str">
        <f aca="false">IFERROR(INDEX('Operator Master'!$B$5:$B$504,MATCH(E1351,'Operator Master'!$A$5:$A$504,0)),"")</f>
        <v/>
      </c>
      <c r="G1351" s="26"/>
      <c r="H1351" s="24" t="str">
        <f aca="false">IFERROR(INDEX('Fault Master'!$B$5:$B$104,MATCH(G1351,'Fault Master'!$A$5:$A$104,0)),"")</f>
        <v/>
      </c>
      <c r="I1351" s="24" t="str">
        <f aca="false">IFERROR(INDEX('Fault Master'!$C$5:$C$104,MATCH(G1351,'Fault Master'!$A$5:$A$104,0)),"")</f>
        <v/>
      </c>
      <c r="J1351" s="26"/>
      <c r="K1351" s="26"/>
      <c r="L1351" s="26"/>
      <c r="M1351" s="26"/>
      <c r="N1351" s="26"/>
      <c r="O1351" s="26"/>
      <c r="P1351" s="34"/>
    </row>
    <row r="1352" customFormat="false" ht="15" hidden="false" customHeight="true" outlineLevel="0" collapsed="false">
      <c r="A1352" s="18" t="n">
        <v>841</v>
      </c>
      <c r="B1352" s="25"/>
      <c r="C1352" s="26"/>
      <c r="D1352" s="26"/>
      <c r="E1352" s="26"/>
      <c r="F1352" s="24" t="str">
        <f aca="false">IFERROR(INDEX('Operator Master'!$B$5:$B$504,MATCH(E1352,'Operator Master'!$A$5:$A$504,0)),"")</f>
        <v/>
      </c>
      <c r="G1352" s="26"/>
      <c r="H1352" s="24" t="str">
        <f aca="false">IFERROR(INDEX('Fault Master'!$B$5:$B$104,MATCH(G1352,'Fault Master'!$A$5:$A$104,0)),"")</f>
        <v/>
      </c>
      <c r="I1352" s="24" t="str">
        <f aca="false">IFERROR(INDEX('Fault Master'!$C$5:$C$104,MATCH(G1352,'Fault Master'!$A$5:$A$104,0)),"")</f>
        <v/>
      </c>
      <c r="J1352" s="26"/>
      <c r="K1352" s="26"/>
      <c r="L1352" s="26"/>
      <c r="M1352" s="26"/>
      <c r="N1352" s="26"/>
      <c r="O1352" s="26"/>
      <c r="P1352" s="34"/>
    </row>
    <row r="1353" customFormat="false" ht="15" hidden="false" customHeight="true" outlineLevel="0" collapsed="false">
      <c r="A1353" s="18" t="n">
        <v>842</v>
      </c>
      <c r="B1353" s="25"/>
      <c r="C1353" s="26"/>
      <c r="D1353" s="26"/>
      <c r="E1353" s="26"/>
      <c r="F1353" s="24" t="str">
        <f aca="false">IFERROR(INDEX('Operator Master'!$B$5:$B$504,MATCH(E1353,'Operator Master'!$A$5:$A$504,0)),"")</f>
        <v/>
      </c>
      <c r="G1353" s="26"/>
      <c r="H1353" s="24" t="str">
        <f aca="false">IFERROR(INDEX('Fault Master'!$B$5:$B$104,MATCH(G1353,'Fault Master'!$A$5:$A$104,0)),"")</f>
        <v/>
      </c>
      <c r="I1353" s="24" t="str">
        <f aca="false">IFERROR(INDEX('Fault Master'!$C$5:$C$104,MATCH(G1353,'Fault Master'!$A$5:$A$104,0)),"")</f>
        <v/>
      </c>
      <c r="J1353" s="26"/>
      <c r="K1353" s="26"/>
      <c r="L1353" s="26"/>
      <c r="M1353" s="26"/>
      <c r="N1353" s="26"/>
      <c r="O1353" s="26"/>
      <c r="P1353" s="34"/>
    </row>
    <row r="1354" customFormat="false" ht="15" hidden="false" customHeight="true" outlineLevel="0" collapsed="false">
      <c r="A1354" s="18" t="n">
        <v>843</v>
      </c>
      <c r="B1354" s="25"/>
      <c r="C1354" s="26"/>
      <c r="D1354" s="26"/>
      <c r="E1354" s="26"/>
      <c r="F1354" s="24" t="str">
        <f aca="false">IFERROR(INDEX('Operator Master'!$B$5:$B$504,MATCH(E1354,'Operator Master'!$A$5:$A$504,0)),"")</f>
        <v/>
      </c>
      <c r="G1354" s="26"/>
      <c r="H1354" s="24" t="str">
        <f aca="false">IFERROR(INDEX('Fault Master'!$B$5:$B$104,MATCH(G1354,'Fault Master'!$A$5:$A$104,0)),"")</f>
        <v/>
      </c>
      <c r="I1354" s="24" t="str">
        <f aca="false">IFERROR(INDEX('Fault Master'!$C$5:$C$104,MATCH(G1354,'Fault Master'!$A$5:$A$104,0)),"")</f>
        <v/>
      </c>
      <c r="J1354" s="26"/>
      <c r="K1354" s="26"/>
      <c r="L1354" s="26"/>
      <c r="M1354" s="26"/>
      <c r="N1354" s="26"/>
      <c r="O1354" s="26"/>
      <c r="P1354" s="34"/>
    </row>
    <row r="1355" customFormat="false" ht="15" hidden="false" customHeight="true" outlineLevel="0" collapsed="false">
      <c r="A1355" s="18" t="n">
        <v>844</v>
      </c>
      <c r="B1355" s="25"/>
      <c r="C1355" s="26"/>
      <c r="D1355" s="26"/>
      <c r="E1355" s="26"/>
      <c r="F1355" s="24" t="str">
        <f aca="false">IFERROR(INDEX('Operator Master'!$B$5:$B$504,MATCH(E1355,'Operator Master'!$A$5:$A$504,0)),"")</f>
        <v/>
      </c>
      <c r="G1355" s="26"/>
      <c r="H1355" s="24" t="str">
        <f aca="false">IFERROR(INDEX('Fault Master'!$B$5:$B$104,MATCH(G1355,'Fault Master'!$A$5:$A$104,0)),"")</f>
        <v/>
      </c>
      <c r="I1355" s="24" t="str">
        <f aca="false">IFERROR(INDEX('Fault Master'!$C$5:$C$104,MATCH(G1355,'Fault Master'!$A$5:$A$104,0)),"")</f>
        <v/>
      </c>
      <c r="J1355" s="26"/>
      <c r="K1355" s="26"/>
      <c r="L1355" s="26"/>
      <c r="M1355" s="26"/>
      <c r="N1355" s="26"/>
      <c r="O1355" s="26"/>
      <c r="P1355" s="34"/>
    </row>
    <row r="1356" customFormat="false" ht="15" hidden="false" customHeight="true" outlineLevel="0" collapsed="false">
      <c r="A1356" s="18" t="n">
        <v>845</v>
      </c>
      <c r="B1356" s="25"/>
      <c r="C1356" s="26"/>
      <c r="D1356" s="26"/>
      <c r="E1356" s="26"/>
      <c r="F1356" s="24" t="str">
        <f aca="false">IFERROR(INDEX('Operator Master'!$B$5:$B$504,MATCH(E1356,'Operator Master'!$A$5:$A$504,0)),"")</f>
        <v/>
      </c>
      <c r="G1356" s="26"/>
      <c r="H1356" s="24" t="str">
        <f aca="false">IFERROR(INDEX('Fault Master'!$B$5:$B$104,MATCH(G1356,'Fault Master'!$A$5:$A$104,0)),"")</f>
        <v/>
      </c>
      <c r="I1356" s="24" t="str">
        <f aca="false">IFERROR(INDEX('Fault Master'!$C$5:$C$104,MATCH(G1356,'Fault Master'!$A$5:$A$104,0)),"")</f>
        <v/>
      </c>
      <c r="J1356" s="26"/>
      <c r="K1356" s="26"/>
      <c r="L1356" s="26"/>
      <c r="M1356" s="26"/>
      <c r="N1356" s="26"/>
      <c r="O1356" s="26"/>
      <c r="P1356" s="34"/>
    </row>
    <row r="1357" customFormat="false" ht="15" hidden="false" customHeight="true" outlineLevel="0" collapsed="false">
      <c r="A1357" s="18" t="n">
        <v>846</v>
      </c>
      <c r="B1357" s="25"/>
      <c r="C1357" s="26"/>
      <c r="D1357" s="26"/>
      <c r="E1357" s="26"/>
      <c r="F1357" s="24" t="str">
        <f aca="false">IFERROR(INDEX('Operator Master'!$B$5:$B$504,MATCH(E1357,'Operator Master'!$A$5:$A$504,0)),"")</f>
        <v/>
      </c>
      <c r="G1357" s="26"/>
      <c r="H1357" s="24" t="str">
        <f aca="false">IFERROR(INDEX('Fault Master'!$B$5:$B$104,MATCH(G1357,'Fault Master'!$A$5:$A$104,0)),"")</f>
        <v/>
      </c>
      <c r="I1357" s="24" t="str">
        <f aca="false">IFERROR(INDEX('Fault Master'!$C$5:$C$104,MATCH(G1357,'Fault Master'!$A$5:$A$104,0)),"")</f>
        <v/>
      </c>
      <c r="J1357" s="26"/>
      <c r="K1357" s="26"/>
      <c r="L1357" s="26"/>
      <c r="M1357" s="26"/>
      <c r="N1357" s="26"/>
      <c r="O1357" s="26"/>
      <c r="P1357" s="34"/>
    </row>
    <row r="1358" customFormat="false" ht="15" hidden="false" customHeight="true" outlineLevel="0" collapsed="false">
      <c r="A1358" s="18" t="n">
        <v>847</v>
      </c>
      <c r="B1358" s="25"/>
      <c r="C1358" s="26"/>
      <c r="D1358" s="26"/>
      <c r="E1358" s="26"/>
      <c r="F1358" s="24" t="str">
        <f aca="false">IFERROR(INDEX('Operator Master'!$B$5:$B$504,MATCH(E1358,'Operator Master'!$A$5:$A$504,0)),"")</f>
        <v/>
      </c>
      <c r="G1358" s="26"/>
      <c r="H1358" s="24" t="str">
        <f aca="false">IFERROR(INDEX('Fault Master'!$B$5:$B$104,MATCH(G1358,'Fault Master'!$A$5:$A$104,0)),"")</f>
        <v/>
      </c>
      <c r="I1358" s="24" t="str">
        <f aca="false">IFERROR(INDEX('Fault Master'!$C$5:$C$104,MATCH(G1358,'Fault Master'!$A$5:$A$104,0)),"")</f>
        <v/>
      </c>
      <c r="J1358" s="26"/>
      <c r="K1358" s="26"/>
      <c r="L1358" s="26"/>
      <c r="M1358" s="26"/>
      <c r="N1358" s="26"/>
      <c r="O1358" s="26"/>
      <c r="P1358" s="34"/>
    </row>
    <row r="1359" customFormat="false" ht="15" hidden="false" customHeight="true" outlineLevel="0" collapsed="false">
      <c r="A1359" s="18" t="n">
        <v>848</v>
      </c>
      <c r="B1359" s="25"/>
      <c r="C1359" s="26"/>
      <c r="D1359" s="26"/>
      <c r="E1359" s="26"/>
      <c r="F1359" s="24" t="str">
        <f aca="false">IFERROR(INDEX('Operator Master'!$B$5:$B$504,MATCH(E1359,'Operator Master'!$A$5:$A$504,0)),"")</f>
        <v/>
      </c>
      <c r="G1359" s="26"/>
      <c r="H1359" s="24" t="str">
        <f aca="false">IFERROR(INDEX('Fault Master'!$B$5:$B$104,MATCH(G1359,'Fault Master'!$A$5:$A$104,0)),"")</f>
        <v/>
      </c>
      <c r="I1359" s="24" t="str">
        <f aca="false">IFERROR(INDEX('Fault Master'!$C$5:$C$104,MATCH(G1359,'Fault Master'!$A$5:$A$104,0)),"")</f>
        <v/>
      </c>
      <c r="J1359" s="26"/>
      <c r="K1359" s="26"/>
      <c r="L1359" s="26"/>
      <c r="M1359" s="26"/>
      <c r="N1359" s="26"/>
      <c r="O1359" s="26"/>
      <c r="P1359" s="34"/>
    </row>
    <row r="1360" customFormat="false" ht="15" hidden="false" customHeight="true" outlineLevel="0" collapsed="false">
      <c r="A1360" s="18" t="n">
        <v>849</v>
      </c>
      <c r="B1360" s="25"/>
      <c r="C1360" s="26"/>
      <c r="D1360" s="26"/>
      <c r="E1360" s="26"/>
      <c r="F1360" s="24" t="str">
        <f aca="false">IFERROR(INDEX('Operator Master'!$B$5:$B$504,MATCH(E1360,'Operator Master'!$A$5:$A$504,0)),"")</f>
        <v/>
      </c>
      <c r="G1360" s="26"/>
      <c r="H1360" s="24" t="str">
        <f aca="false">IFERROR(INDEX('Fault Master'!$B$5:$B$104,MATCH(G1360,'Fault Master'!$A$5:$A$104,0)),"")</f>
        <v/>
      </c>
      <c r="I1360" s="24" t="str">
        <f aca="false">IFERROR(INDEX('Fault Master'!$C$5:$C$104,MATCH(G1360,'Fault Master'!$A$5:$A$104,0)),"")</f>
        <v/>
      </c>
      <c r="J1360" s="26"/>
      <c r="K1360" s="26"/>
      <c r="L1360" s="26"/>
      <c r="M1360" s="26"/>
      <c r="N1360" s="26"/>
      <c r="O1360" s="26"/>
      <c r="P1360" s="34"/>
    </row>
    <row r="1361" customFormat="false" ht="15" hidden="false" customHeight="true" outlineLevel="0" collapsed="false">
      <c r="A1361" s="18" t="n">
        <v>850</v>
      </c>
      <c r="B1361" s="25"/>
      <c r="C1361" s="26"/>
      <c r="D1361" s="26"/>
      <c r="E1361" s="26"/>
      <c r="F1361" s="24" t="str">
        <f aca="false">IFERROR(INDEX('Operator Master'!$B$5:$B$504,MATCH(E1361,'Operator Master'!$A$5:$A$504,0)),"")</f>
        <v/>
      </c>
      <c r="G1361" s="26"/>
      <c r="H1361" s="24" t="str">
        <f aca="false">IFERROR(INDEX('Fault Master'!$B$5:$B$104,MATCH(G1361,'Fault Master'!$A$5:$A$104,0)),"")</f>
        <v/>
      </c>
      <c r="I1361" s="24" t="str">
        <f aca="false">IFERROR(INDEX('Fault Master'!$C$5:$C$104,MATCH(G1361,'Fault Master'!$A$5:$A$104,0)),"")</f>
        <v/>
      </c>
      <c r="J1361" s="26"/>
      <c r="K1361" s="26"/>
      <c r="L1361" s="26"/>
      <c r="M1361" s="26"/>
      <c r="N1361" s="26"/>
      <c r="O1361" s="26"/>
      <c r="P1361" s="34"/>
    </row>
    <row r="1362" customFormat="false" ht="15" hidden="false" customHeight="true" outlineLevel="0" collapsed="false">
      <c r="A1362" s="18" t="n">
        <v>851</v>
      </c>
      <c r="B1362" s="25"/>
      <c r="C1362" s="26"/>
      <c r="D1362" s="26"/>
      <c r="E1362" s="26"/>
      <c r="F1362" s="24" t="str">
        <f aca="false">IFERROR(INDEX('Operator Master'!$B$5:$B$504,MATCH(E1362,'Operator Master'!$A$5:$A$504,0)),"")</f>
        <v/>
      </c>
      <c r="G1362" s="26"/>
      <c r="H1362" s="24" t="str">
        <f aca="false">IFERROR(INDEX('Fault Master'!$B$5:$B$104,MATCH(G1362,'Fault Master'!$A$5:$A$104,0)),"")</f>
        <v/>
      </c>
      <c r="I1362" s="24" t="str">
        <f aca="false">IFERROR(INDEX('Fault Master'!$C$5:$C$104,MATCH(G1362,'Fault Master'!$A$5:$A$104,0)),"")</f>
        <v/>
      </c>
      <c r="J1362" s="26"/>
      <c r="K1362" s="26"/>
      <c r="L1362" s="26"/>
      <c r="M1362" s="26"/>
      <c r="N1362" s="26"/>
      <c r="O1362" s="26"/>
      <c r="P1362" s="34"/>
    </row>
    <row r="1363" customFormat="false" ht="15" hidden="false" customHeight="true" outlineLevel="0" collapsed="false">
      <c r="A1363" s="18" t="n">
        <v>852</v>
      </c>
      <c r="B1363" s="25"/>
      <c r="C1363" s="26"/>
      <c r="D1363" s="26"/>
      <c r="E1363" s="26"/>
      <c r="F1363" s="24" t="str">
        <f aca="false">IFERROR(INDEX('Operator Master'!$B$5:$B$504,MATCH(E1363,'Operator Master'!$A$5:$A$504,0)),"")</f>
        <v/>
      </c>
      <c r="G1363" s="26"/>
      <c r="H1363" s="24" t="str">
        <f aca="false">IFERROR(INDEX('Fault Master'!$B$5:$B$104,MATCH(G1363,'Fault Master'!$A$5:$A$104,0)),"")</f>
        <v/>
      </c>
      <c r="I1363" s="24" t="str">
        <f aca="false">IFERROR(INDEX('Fault Master'!$C$5:$C$104,MATCH(G1363,'Fault Master'!$A$5:$A$104,0)),"")</f>
        <v/>
      </c>
      <c r="J1363" s="26"/>
      <c r="K1363" s="26"/>
      <c r="L1363" s="26"/>
      <c r="M1363" s="26"/>
      <c r="N1363" s="26"/>
      <c r="O1363" s="26"/>
      <c r="P1363" s="34"/>
    </row>
    <row r="1364" customFormat="false" ht="15" hidden="false" customHeight="true" outlineLevel="0" collapsed="false">
      <c r="A1364" s="18" t="n">
        <v>853</v>
      </c>
      <c r="B1364" s="25"/>
      <c r="C1364" s="26"/>
      <c r="D1364" s="26"/>
      <c r="E1364" s="26"/>
      <c r="F1364" s="24" t="str">
        <f aca="false">IFERROR(INDEX('Operator Master'!$B$5:$B$504,MATCH(E1364,'Operator Master'!$A$5:$A$504,0)),"")</f>
        <v/>
      </c>
      <c r="G1364" s="26"/>
      <c r="H1364" s="24" t="str">
        <f aca="false">IFERROR(INDEX('Fault Master'!$B$5:$B$104,MATCH(G1364,'Fault Master'!$A$5:$A$104,0)),"")</f>
        <v/>
      </c>
      <c r="I1364" s="24" t="str">
        <f aca="false">IFERROR(INDEX('Fault Master'!$C$5:$C$104,MATCH(G1364,'Fault Master'!$A$5:$A$104,0)),"")</f>
        <v/>
      </c>
      <c r="J1364" s="26"/>
      <c r="K1364" s="26"/>
      <c r="L1364" s="26"/>
      <c r="M1364" s="26"/>
      <c r="N1364" s="26"/>
      <c r="O1364" s="26"/>
      <c r="P1364" s="34"/>
    </row>
    <row r="1365" customFormat="false" ht="15" hidden="false" customHeight="true" outlineLevel="0" collapsed="false">
      <c r="A1365" s="18" t="n">
        <v>854</v>
      </c>
      <c r="B1365" s="25"/>
      <c r="C1365" s="26"/>
      <c r="D1365" s="26"/>
      <c r="E1365" s="26"/>
      <c r="F1365" s="24" t="str">
        <f aca="false">IFERROR(INDEX('Operator Master'!$B$5:$B$504,MATCH(E1365,'Operator Master'!$A$5:$A$504,0)),"")</f>
        <v/>
      </c>
      <c r="G1365" s="26"/>
      <c r="H1365" s="24" t="str">
        <f aca="false">IFERROR(INDEX('Fault Master'!$B$5:$B$104,MATCH(G1365,'Fault Master'!$A$5:$A$104,0)),"")</f>
        <v/>
      </c>
      <c r="I1365" s="24" t="str">
        <f aca="false">IFERROR(INDEX('Fault Master'!$C$5:$C$104,MATCH(G1365,'Fault Master'!$A$5:$A$104,0)),"")</f>
        <v/>
      </c>
      <c r="J1365" s="26"/>
      <c r="K1365" s="26"/>
      <c r="L1365" s="26"/>
      <c r="M1365" s="26"/>
      <c r="N1365" s="26"/>
      <c r="O1365" s="26"/>
      <c r="P1365" s="34"/>
    </row>
    <row r="1366" customFormat="false" ht="15" hidden="false" customHeight="true" outlineLevel="0" collapsed="false">
      <c r="A1366" s="18" t="n">
        <v>855</v>
      </c>
      <c r="B1366" s="25"/>
      <c r="C1366" s="26"/>
      <c r="D1366" s="26"/>
      <c r="E1366" s="26"/>
      <c r="F1366" s="24" t="str">
        <f aca="false">IFERROR(INDEX('Operator Master'!$B$5:$B$504,MATCH(E1366,'Operator Master'!$A$5:$A$504,0)),"")</f>
        <v/>
      </c>
      <c r="G1366" s="26"/>
      <c r="H1366" s="24" t="str">
        <f aca="false">IFERROR(INDEX('Fault Master'!$B$5:$B$104,MATCH(G1366,'Fault Master'!$A$5:$A$104,0)),"")</f>
        <v/>
      </c>
      <c r="I1366" s="24" t="str">
        <f aca="false">IFERROR(INDEX('Fault Master'!$C$5:$C$104,MATCH(G1366,'Fault Master'!$A$5:$A$104,0)),"")</f>
        <v/>
      </c>
      <c r="J1366" s="26"/>
      <c r="K1366" s="26"/>
      <c r="L1366" s="26"/>
      <c r="M1366" s="26"/>
      <c r="N1366" s="26"/>
      <c r="O1366" s="26"/>
      <c r="P1366" s="34"/>
    </row>
    <row r="1367" customFormat="false" ht="15" hidden="false" customHeight="true" outlineLevel="0" collapsed="false">
      <c r="A1367" s="18" t="n">
        <v>856</v>
      </c>
      <c r="B1367" s="25"/>
      <c r="C1367" s="26"/>
      <c r="D1367" s="26"/>
      <c r="E1367" s="26"/>
      <c r="F1367" s="24" t="str">
        <f aca="false">IFERROR(INDEX('Operator Master'!$B$5:$B$504,MATCH(E1367,'Operator Master'!$A$5:$A$504,0)),"")</f>
        <v/>
      </c>
      <c r="G1367" s="26"/>
      <c r="H1367" s="24" t="str">
        <f aca="false">IFERROR(INDEX('Fault Master'!$B$5:$B$104,MATCH(G1367,'Fault Master'!$A$5:$A$104,0)),"")</f>
        <v/>
      </c>
      <c r="I1367" s="24" t="str">
        <f aca="false">IFERROR(INDEX('Fault Master'!$C$5:$C$104,MATCH(G1367,'Fault Master'!$A$5:$A$104,0)),"")</f>
        <v/>
      </c>
      <c r="J1367" s="26"/>
      <c r="K1367" s="26"/>
      <c r="L1367" s="26"/>
      <c r="M1367" s="26"/>
      <c r="N1367" s="26"/>
      <c r="O1367" s="26"/>
      <c r="P1367" s="34"/>
    </row>
    <row r="1368" customFormat="false" ht="15" hidden="false" customHeight="true" outlineLevel="0" collapsed="false">
      <c r="A1368" s="18" t="n">
        <v>857</v>
      </c>
      <c r="B1368" s="25"/>
      <c r="C1368" s="26"/>
      <c r="D1368" s="26"/>
      <c r="E1368" s="26"/>
      <c r="F1368" s="24" t="str">
        <f aca="false">IFERROR(INDEX('Operator Master'!$B$5:$B$504,MATCH(E1368,'Operator Master'!$A$5:$A$504,0)),"")</f>
        <v/>
      </c>
      <c r="G1368" s="26"/>
      <c r="H1368" s="24" t="str">
        <f aca="false">IFERROR(INDEX('Fault Master'!$B$5:$B$104,MATCH(G1368,'Fault Master'!$A$5:$A$104,0)),"")</f>
        <v/>
      </c>
      <c r="I1368" s="24" t="str">
        <f aca="false">IFERROR(INDEX('Fault Master'!$C$5:$C$104,MATCH(G1368,'Fault Master'!$A$5:$A$104,0)),"")</f>
        <v/>
      </c>
      <c r="J1368" s="26"/>
      <c r="K1368" s="26"/>
      <c r="L1368" s="26"/>
      <c r="M1368" s="26"/>
      <c r="N1368" s="26"/>
      <c r="O1368" s="26"/>
      <c r="P1368" s="34"/>
    </row>
    <row r="1369" customFormat="false" ht="15" hidden="false" customHeight="true" outlineLevel="0" collapsed="false">
      <c r="A1369" s="18" t="n">
        <v>858</v>
      </c>
      <c r="B1369" s="25"/>
      <c r="C1369" s="26"/>
      <c r="D1369" s="26"/>
      <c r="E1369" s="26"/>
      <c r="F1369" s="24" t="str">
        <f aca="false">IFERROR(INDEX('Operator Master'!$B$5:$B$504,MATCH(E1369,'Operator Master'!$A$5:$A$504,0)),"")</f>
        <v/>
      </c>
      <c r="G1369" s="26"/>
      <c r="H1369" s="24" t="str">
        <f aca="false">IFERROR(INDEX('Fault Master'!$B$5:$B$104,MATCH(G1369,'Fault Master'!$A$5:$A$104,0)),"")</f>
        <v/>
      </c>
      <c r="I1369" s="24" t="str">
        <f aca="false">IFERROR(INDEX('Fault Master'!$C$5:$C$104,MATCH(G1369,'Fault Master'!$A$5:$A$104,0)),"")</f>
        <v/>
      </c>
      <c r="J1369" s="26"/>
      <c r="K1369" s="26"/>
      <c r="L1369" s="26"/>
      <c r="M1369" s="26"/>
      <c r="N1369" s="26"/>
      <c r="O1369" s="26"/>
      <c r="P1369" s="34"/>
    </row>
    <row r="1370" customFormat="false" ht="15" hidden="false" customHeight="true" outlineLevel="0" collapsed="false">
      <c r="A1370" s="18" t="n">
        <v>859</v>
      </c>
      <c r="B1370" s="25"/>
      <c r="C1370" s="26"/>
      <c r="D1370" s="26"/>
      <c r="E1370" s="26"/>
      <c r="F1370" s="24" t="str">
        <f aca="false">IFERROR(INDEX('Operator Master'!$B$5:$B$504,MATCH(E1370,'Operator Master'!$A$5:$A$504,0)),"")</f>
        <v/>
      </c>
      <c r="G1370" s="26"/>
      <c r="H1370" s="24" t="str">
        <f aca="false">IFERROR(INDEX('Fault Master'!$B$5:$B$104,MATCH(G1370,'Fault Master'!$A$5:$A$104,0)),"")</f>
        <v/>
      </c>
      <c r="I1370" s="24" t="str">
        <f aca="false">IFERROR(INDEX('Fault Master'!$C$5:$C$104,MATCH(G1370,'Fault Master'!$A$5:$A$104,0)),"")</f>
        <v/>
      </c>
      <c r="J1370" s="26"/>
      <c r="K1370" s="26"/>
      <c r="L1370" s="26"/>
      <c r="M1370" s="26"/>
      <c r="N1370" s="26"/>
      <c r="O1370" s="26"/>
      <c r="P1370" s="34"/>
    </row>
    <row r="1371" customFormat="false" ht="15" hidden="false" customHeight="true" outlineLevel="0" collapsed="false">
      <c r="A1371" s="18" t="n">
        <v>860</v>
      </c>
      <c r="B1371" s="25"/>
      <c r="C1371" s="26"/>
      <c r="D1371" s="26"/>
      <c r="E1371" s="26"/>
      <c r="F1371" s="24" t="str">
        <f aca="false">IFERROR(INDEX('Operator Master'!$B$5:$B$504,MATCH(E1371,'Operator Master'!$A$5:$A$504,0)),"")</f>
        <v/>
      </c>
      <c r="G1371" s="26"/>
      <c r="H1371" s="24" t="str">
        <f aca="false">IFERROR(INDEX('Fault Master'!$B$5:$B$104,MATCH(G1371,'Fault Master'!$A$5:$A$104,0)),"")</f>
        <v/>
      </c>
      <c r="I1371" s="24" t="str">
        <f aca="false">IFERROR(INDEX('Fault Master'!$C$5:$C$104,MATCH(G1371,'Fault Master'!$A$5:$A$104,0)),"")</f>
        <v/>
      </c>
      <c r="J1371" s="26"/>
      <c r="K1371" s="26"/>
      <c r="L1371" s="26"/>
      <c r="M1371" s="26"/>
      <c r="N1371" s="26"/>
      <c r="O1371" s="26"/>
      <c r="P1371" s="34"/>
    </row>
    <row r="1372" customFormat="false" ht="15" hidden="false" customHeight="true" outlineLevel="0" collapsed="false">
      <c r="A1372" s="18" t="n">
        <v>861</v>
      </c>
      <c r="B1372" s="25"/>
      <c r="C1372" s="26"/>
      <c r="D1372" s="26"/>
      <c r="E1372" s="26"/>
      <c r="F1372" s="24" t="str">
        <f aca="false">IFERROR(INDEX('Operator Master'!$B$5:$B$504,MATCH(E1372,'Operator Master'!$A$5:$A$504,0)),"")</f>
        <v/>
      </c>
      <c r="G1372" s="26"/>
      <c r="H1372" s="24" t="str">
        <f aca="false">IFERROR(INDEX('Fault Master'!$B$5:$B$104,MATCH(G1372,'Fault Master'!$A$5:$A$104,0)),"")</f>
        <v/>
      </c>
      <c r="I1372" s="24" t="str">
        <f aca="false">IFERROR(INDEX('Fault Master'!$C$5:$C$104,MATCH(G1372,'Fault Master'!$A$5:$A$104,0)),"")</f>
        <v/>
      </c>
      <c r="J1372" s="26"/>
      <c r="K1372" s="26"/>
      <c r="L1372" s="26"/>
      <c r="M1372" s="26"/>
      <c r="N1372" s="26"/>
      <c r="O1372" s="26"/>
      <c r="P1372" s="34"/>
    </row>
    <row r="1373" customFormat="false" ht="15" hidden="false" customHeight="true" outlineLevel="0" collapsed="false">
      <c r="A1373" s="18" t="n">
        <v>862</v>
      </c>
      <c r="B1373" s="25"/>
      <c r="C1373" s="26"/>
      <c r="D1373" s="26"/>
      <c r="E1373" s="26"/>
      <c r="F1373" s="24" t="str">
        <f aca="false">IFERROR(INDEX('Operator Master'!$B$5:$B$504,MATCH(E1373,'Operator Master'!$A$5:$A$504,0)),"")</f>
        <v/>
      </c>
      <c r="G1373" s="26"/>
      <c r="H1373" s="24" t="str">
        <f aca="false">IFERROR(INDEX('Fault Master'!$B$5:$B$104,MATCH(G1373,'Fault Master'!$A$5:$A$104,0)),"")</f>
        <v/>
      </c>
      <c r="I1373" s="24" t="str">
        <f aca="false">IFERROR(INDEX('Fault Master'!$C$5:$C$104,MATCH(G1373,'Fault Master'!$A$5:$A$104,0)),"")</f>
        <v/>
      </c>
      <c r="J1373" s="26"/>
      <c r="K1373" s="26"/>
      <c r="L1373" s="26"/>
      <c r="M1373" s="26"/>
      <c r="N1373" s="26"/>
      <c r="O1373" s="26"/>
      <c r="P1373" s="34"/>
    </row>
    <row r="1374" customFormat="false" ht="15" hidden="false" customHeight="true" outlineLevel="0" collapsed="false">
      <c r="A1374" s="18" t="n">
        <v>863</v>
      </c>
      <c r="B1374" s="25"/>
      <c r="C1374" s="26"/>
      <c r="D1374" s="26"/>
      <c r="E1374" s="26"/>
      <c r="F1374" s="24" t="str">
        <f aca="false">IFERROR(INDEX('Operator Master'!$B$5:$B$504,MATCH(E1374,'Operator Master'!$A$5:$A$504,0)),"")</f>
        <v/>
      </c>
      <c r="G1374" s="26"/>
      <c r="H1374" s="24" t="str">
        <f aca="false">IFERROR(INDEX('Fault Master'!$B$5:$B$104,MATCH(G1374,'Fault Master'!$A$5:$A$104,0)),"")</f>
        <v/>
      </c>
      <c r="I1374" s="24" t="str">
        <f aca="false">IFERROR(INDEX('Fault Master'!$C$5:$C$104,MATCH(G1374,'Fault Master'!$A$5:$A$104,0)),"")</f>
        <v/>
      </c>
      <c r="J1374" s="26"/>
      <c r="K1374" s="26"/>
      <c r="L1374" s="26"/>
      <c r="M1374" s="26"/>
      <c r="N1374" s="26"/>
      <c r="O1374" s="26"/>
      <c r="P1374" s="34"/>
    </row>
    <row r="1375" customFormat="false" ht="15" hidden="false" customHeight="true" outlineLevel="0" collapsed="false">
      <c r="A1375" s="18" t="n">
        <v>864</v>
      </c>
      <c r="B1375" s="25"/>
      <c r="C1375" s="26"/>
      <c r="D1375" s="26"/>
      <c r="E1375" s="26"/>
      <c r="F1375" s="24" t="str">
        <f aca="false">IFERROR(INDEX('Operator Master'!$B$5:$B$504,MATCH(E1375,'Operator Master'!$A$5:$A$504,0)),"")</f>
        <v/>
      </c>
      <c r="G1375" s="26"/>
      <c r="H1375" s="24" t="str">
        <f aca="false">IFERROR(INDEX('Fault Master'!$B$5:$B$104,MATCH(G1375,'Fault Master'!$A$5:$A$104,0)),"")</f>
        <v/>
      </c>
      <c r="I1375" s="24" t="str">
        <f aca="false">IFERROR(INDEX('Fault Master'!$C$5:$C$104,MATCH(G1375,'Fault Master'!$A$5:$A$104,0)),"")</f>
        <v/>
      </c>
      <c r="J1375" s="26"/>
      <c r="K1375" s="26"/>
      <c r="L1375" s="26"/>
      <c r="M1375" s="26"/>
      <c r="N1375" s="26"/>
      <c r="O1375" s="26"/>
      <c r="P1375" s="34"/>
    </row>
    <row r="1376" customFormat="false" ht="15" hidden="false" customHeight="true" outlineLevel="0" collapsed="false">
      <c r="A1376" s="18" t="n">
        <v>865</v>
      </c>
      <c r="B1376" s="25"/>
      <c r="C1376" s="26"/>
      <c r="D1376" s="26"/>
      <c r="E1376" s="26"/>
      <c r="F1376" s="24" t="str">
        <f aca="false">IFERROR(INDEX('Operator Master'!$B$5:$B$504,MATCH(E1376,'Operator Master'!$A$5:$A$504,0)),"")</f>
        <v/>
      </c>
      <c r="G1376" s="26"/>
      <c r="H1376" s="24" t="str">
        <f aca="false">IFERROR(INDEX('Fault Master'!$B$5:$B$104,MATCH(G1376,'Fault Master'!$A$5:$A$104,0)),"")</f>
        <v/>
      </c>
      <c r="I1376" s="24" t="str">
        <f aca="false">IFERROR(INDEX('Fault Master'!$C$5:$C$104,MATCH(G1376,'Fault Master'!$A$5:$A$104,0)),"")</f>
        <v/>
      </c>
      <c r="J1376" s="26"/>
      <c r="K1376" s="26"/>
      <c r="L1376" s="26"/>
      <c r="M1376" s="26"/>
      <c r="N1376" s="26"/>
      <c r="O1376" s="26"/>
      <c r="P1376" s="34"/>
    </row>
    <row r="1377" customFormat="false" ht="15" hidden="false" customHeight="true" outlineLevel="0" collapsed="false">
      <c r="A1377" s="18" t="n">
        <v>866</v>
      </c>
      <c r="B1377" s="25"/>
      <c r="C1377" s="26"/>
      <c r="D1377" s="26"/>
      <c r="E1377" s="26"/>
      <c r="F1377" s="24" t="str">
        <f aca="false">IFERROR(INDEX('Operator Master'!$B$5:$B$504,MATCH(E1377,'Operator Master'!$A$5:$A$504,0)),"")</f>
        <v/>
      </c>
      <c r="G1377" s="26"/>
      <c r="H1377" s="24" t="str">
        <f aca="false">IFERROR(INDEX('Fault Master'!$B$5:$B$104,MATCH(G1377,'Fault Master'!$A$5:$A$104,0)),"")</f>
        <v/>
      </c>
      <c r="I1377" s="24" t="str">
        <f aca="false">IFERROR(INDEX('Fault Master'!$C$5:$C$104,MATCH(G1377,'Fault Master'!$A$5:$A$104,0)),"")</f>
        <v/>
      </c>
      <c r="J1377" s="26"/>
      <c r="K1377" s="26"/>
      <c r="L1377" s="26"/>
      <c r="M1377" s="26"/>
      <c r="N1377" s="26"/>
      <c r="O1377" s="26"/>
      <c r="P1377" s="34"/>
    </row>
    <row r="1378" customFormat="false" ht="15" hidden="false" customHeight="true" outlineLevel="0" collapsed="false">
      <c r="A1378" s="18" t="n">
        <v>867</v>
      </c>
      <c r="B1378" s="25"/>
      <c r="C1378" s="26"/>
      <c r="D1378" s="26"/>
      <c r="E1378" s="26"/>
      <c r="F1378" s="24" t="str">
        <f aca="false">IFERROR(INDEX('Operator Master'!$B$5:$B$504,MATCH(E1378,'Operator Master'!$A$5:$A$504,0)),"")</f>
        <v/>
      </c>
      <c r="G1378" s="26"/>
      <c r="H1378" s="24" t="str">
        <f aca="false">IFERROR(INDEX('Fault Master'!$B$5:$B$104,MATCH(G1378,'Fault Master'!$A$5:$A$104,0)),"")</f>
        <v/>
      </c>
      <c r="I1378" s="24" t="str">
        <f aca="false">IFERROR(INDEX('Fault Master'!$C$5:$C$104,MATCH(G1378,'Fault Master'!$A$5:$A$104,0)),"")</f>
        <v/>
      </c>
      <c r="J1378" s="26"/>
      <c r="K1378" s="26"/>
      <c r="L1378" s="26"/>
      <c r="M1378" s="26"/>
      <c r="N1378" s="26"/>
      <c r="O1378" s="26"/>
      <c r="P1378" s="34"/>
    </row>
    <row r="1379" customFormat="false" ht="15" hidden="false" customHeight="true" outlineLevel="0" collapsed="false">
      <c r="A1379" s="18" t="n">
        <v>868</v>
      </c>
      <c r="B1379" s="25"/>
      <c r="C1379" s="26"/>
      <c r="D1379" s="26"/>
      <c r="E1379" s="26"/>
      <c r="F1379" s="24" t="str">
        <f aca="false">IFERROR(INDEX('Operator Master'!$B$5:$B$504,MATCH(E1379,'Operator Master'!$A$5:$A$504,0)),"")</f>
        <v/>
      </c>
      <c r="G1379" s="26"/>
      <c r="H1379" s="24" t="str">
        <f aca="false">IFERROR(INDEX('Fault Master'!$B$5:$B$104,MATCH(G1379,'Fault Master'!$A$5:$A$104,0)),"")</f>
        <v/>
      </c>
      <c r="I1379" s="24" t="str">
        <f aca="false">IFERROR(INDEX('Fault Master'!$C$5:$C$104,MATCH(G1379,'Fault Master'!$A$5:$A$104,0)),"")</f>
        <v/>
      </c>
      <c r="J1379" s="26"/>
      <c r="K1379" s="26"/>
      <c r="L1379" s="26"/>
      <c r="M1379" s="26"/>
      <c r="N1379" s="26"/>
      <c r="O1379" s="26"/>
      <c r="P1379" s="34"/>
    </row>
    <row r="1380" customFormat="false" ht="15" hidden="false" customHeight="true" outlineLevel="0" collapsed="false">
      <c r="A1380" s="18" t="n">
        <v>869</v>
      </c>
      <c r="B1380" s="25"/>
      <c r="C1380" s="26"/>
      <c r="D1380" s="26"/>
      <c r="E1380" s="26"/>
      <c r="F1380" s="24" t="str">
        <f aca="false">IFERROR(INDEX('Operator Master'!$B$5:$B$504,MATCH(E1380,'Operator Master'!$A$5:$A$504,0)),"")</f>
        <v/>
      </c>
      <c r="G1380" s="26"/>
      <c r="H1380" s="24" t="str">
        <f aca="false">IFERROR(INDEX('Fault Master'!$B$5:$B$104,MATCH(G1380,'Fault Master'!$A$5:$A$104,0)),"")</f>
        <v/>
      </c>
      <c r="I1380" s="24" t="str">
        <f aca="false">IFERROR(INDEX('Fault Master'!$C$5:$C$104,MATCH(G1380,'Fault Master'!$A$5:$A$104,0)),"")</f>
        <v/>
      </c>
      <c r="J1380" s="26"/>
      <c r="K1380" s="26"/>
      <c r="L1380" s="26"/>
      <c r="M1380" s="26"/>
      <c r="N1380" s="26"/>
      <c r="O1380" s="26"/>
      <c r="P1380" s="34"/>
    </row>
    <row r="1381" customFormat="false" ht="15" hidden="false" customHeight="true" outlineLevel="0" collapsed="false">
      <c r="A1381" s="18" t="n">
        <v>870</v>
      </c>
      <c r="B1381" s="25"/>
      <c r="C1381" s="26"/>
      <c r="D1381" s="26"/>
      <c r="E1381" s="26"/>
      <c r="F1381" s="24" t="str">
        <f aca="false">IFERROR(INDEX('Operator Master'!$B$5:$B$504,MATCH(E1381,'Operator Master'!$A$5:$A$504,0)),"")</f>
        <v/>
      </c>
      <c r="G1381" s="26"/>
      <c r="H1381" s="24" t="str">
        <f aca="false">IFERROR(INDEX('Fault Master'!$B$5:$B$104,MATCH(G1381,'Fault Master'!$A$5:$A$104,0)),"")</f>
        <v/>
      </c>
      <c r="I1381" s="24" t="str">
        <f aca="false">IFERROR(INDEX('Fault Master'!$C$5:$C$104,MATCH(G1381,'Fault Master'!$A$5:$A$104,0)),"")</f>
        <v/>
      </c>
      <c r="J1381" s="26"/>
      <c r="K1381" s="26"/>
      <c r="L1381" s="26"/>
      <c r="M1381" s="26"/>
      <c r="N1381" s="26"/>
      <c r="O1381" s="26"/>
      <c r="P1381" s="34"/>
    </row>
    <row r="1382" customFormat="false" ht="15" hidden="false" customHeight="true" outlineLevel="0" collapsed="false">
      <c r="A1382" s="18" t="n">
        <v>871</v>
      </c>
      <c r="B1382" s="25"/>
      <c r="C1382" s="26"/>
      <c r="D1382" s="26"/>
      <c r="E1382" s="26"/>
      <c r="F1382" s="24" t="str">
        <f aca="false">IFERROR(INDEX('Operator Master'!$B$5:$B$504,MATCH(E1382,'Operator Master'!$A$5:$A$504,0)),"")</f>
        <v/>
      </c>
      <c r="G1382" s="26"/>
      <c r="H1382" s="24" t="str">
        <f aca="false">IFERROR(INDEX('Fault Master'!$B$5:$B$104,MATCH(G1382,'Fault Master'!$A$5:$A$104,0)),"")</f>
        <v/>
      </c>
      <c r="I1382" s="24" t="str">
        <f aca="false">IFERROR(INDEX('Fault Master'!$C$5:$C$104,MATCH(G1382,'Fault Master'!$A$5:$A$104,0)),"")</f>
        <v/>
      </c>
      <c r="J1382" s="26"/>
      <c r="K1382" s="26"/>
      <c r="L1382" s="26"/>
      <c r="M1382" s="26"/>
      <c r="N1382" s="26"/>
      <c r="O1382" s="26"/>
      <c r="P1382" s="34"/>
    </row>
    <row r="1383" customFormat="false" ht="15" hidden="false" customHeight="true" outlineLevel="0" collapsed="false">
      <c r="A1383" s="18" t="n">
        <v>872</v>
      </c>
      <c r="B1383" s="25"/>
      <c r="C1383" s="26"/>
      <c r="D1383" s="26"/>
      <c r="E1383" s="26"/>
      <c r="F1383" s="24" t="str">
        <f aca="false">IFERROR(INDEX('Operator Master'!$B$5:$B$504,MATCH(E1383,'Operator Master'!$A$5:$A$504,0)),"")</f>
        <v/>
      </c>
      <c r="G1383" s="26"/>
      <c r="H1383" s="24" t="str">
        <f aca="false">IFERROR(INDEX('Fault Master'!$B$5:$B$104,MATCH(G1383,'Fault Master'!$A$5:$A$104,0)),"")</f>
        <v/>
      </c>
      <c r="I1383" s="24" t="str">
        <f aca="false">IFERROR(INDEX('Fault Master'!$C$5:$C$104,MATCH(G1383,'Fault Master'!$A$5:$A$104,0)),"")</f>
        <v/>
      </c>
      <c r="J1383" s="26"/>
      <c r="K1383" s="26"/>
      <c r="L1383" s="26"/>
      <c r="M1383" s="26"/>
      <c r="N1383" s="26"/>
      <c r="O1383" s="26"/>
      <c r="P1383" s="34"/>
    </row>
    <row r="1384" customFormat="false" ht="15" hidden="false" customHeight="true" outlineLevel="0" collapsed="false">
      <c r="A1384" s="18" t="n">
        <v>873</v>
      </c>
      <c r="B1384" s="25"/>
      <c r="C1384" s="26"/>
      <c r="D1384" s="26"/>
      <c r="E1384" s="26"/>
      <c r="F1384" s="24" t="str">
        <f aca="false">IFERROR(INDEX('Operator Master'!$B$5:$B$504,MATCH(E1384,'Operator Master'!$A$5:$A$504,0)),"")</f>
        <v/>
      </c>
      <c r="G1384" s="26"/>
      <c r="H1384" s="24" t="str">
        <f aca="false">IFERROR(INDEX('Fault Master'!$B$5:$B$104,MATCH(G1384,'Fault Master'!$A$5:$A$104,0)),"")</f>
        <v/>
      </c>
      <c r="I1384" s="24" t="str">
        <f aca="false">IFERROR(INDEX('Fault Master'!$C$5:$C$104,MATCH(G1384,'Fault Master'!$A$5:$A$104,0)),"")</f>
        <v/>
      </c>
      <c r="J1384" s="26"/>
      <c r="K1384" s="26"/>
      <c r="L1384" s="26"/>
      <c r="M1384" s="26"/>
      <c r="N1384" s="26"/>
      <c r="O1384" s="26"/>
      <c r="P1384" s="34"/>
    </row>
    <row r="1385" customFormat="false" ht="15" hidden="false" customHeight="true" outlineLevel="0" collapsed="false">
      <c r="A1385" s="18" t="n">
        <v>874</v>
      </c>
      <c r="B1385" s="25"/>
      <c r="C1385" s="26"/>
      <c r="D1385" s="26"/>
      <c r="E1385" s="26"/>
      <c r="F1385" s="24" t="str">
        <f aca="false">IFERROR(INDEX('Operator Master'!$B$5:$B$504,MATCH(E1385,'Operator Master'!$A$5:$A$504,0)),"")</f>
        <v/>
      </c>
      <c r="G1385" s="26"/>
      <c r="H1385" s="24" t="str">
        <f aca="false">IFERROR(INDEX('Fault Master'!$B$5:$B$104,MATCH(G1385,'Fault Master'!$A$5:$A$104,0)),"")</f>
        <v/>
      </c>
      <c r="I1385" s="24" t="str">
        <f aca="false">IFERROR(INDEX('Fault Master'!$C$5:$C$104,MATCH(G1385,'Fault Master'!$A$5:$A$104,0)),"")</f>
        <v/>
      </c>
      <c r="J1385" s="26"/>
      <c r="K1385" s="26"/>
      <c r="L1385" s="26"/>
      <c r="M1385" s="26"/>
      <c r="N1385" s="26"/>
      <c r="O1385" s="26"/>
      <c r="P1385" s="34"/>
    </row>
    <row r="1386" customFormat="false" ht="15" hidden="false" customHeight="true" outlineLevel="0" collapsed="false">
      <c r="A1386" s="18" t="n">
        <v>875</v>
      </c>
      <c r="B1386" s="25"/>
      <c r="C1386" s="26"/>
      <c r="D1386" s="26"/>
      <c r="E1386" s="26"/>
      <c r="F1386" s="24" t="str">
        <f aca="false">IFERROR(INDEX('Operator Master'!$B$5:$B$504,MATCH(E1386,'Operator Master'!$A$5:$A$504,0)),"")</f>
        <v/>
      </c>
      <c r="G1386" s="26"/>
      <c r="H1386" s="24" t="str">
        <f aca="false">IFERROR(INDEX('Fault Master'!$B$5:$B$104,MATCH(G1386,'Fault Master'!$A$5:$A$104,0)),"")</f>
        <v/>
      </c>
      <c r="I1386" s="24" t="str">
        <f aca="false">IFERROR(INDEX('Fault Master'!$C$5:$C$104,MATCH(G1386,'Fault Master'!$A$5:$A$104,0)),"")</f>
        <v/>
      </c>
      <c r="J1386" s="26"/>
      <c r="K1386" s="26"/>
      <c r="L1386" s="26"/>
      <c r="M1386" s="26"/>
      <c r="N1386" s="26"/>
      <c r="O1386" s="26"/>
      <c r="P1386" s="34"/>
    </row>
    <row r="1387" customFormat="false" ht="15" hidden="false" customHeight="true" outlineLevel="0" collapsed="false">
      <c r="A1387" s="18" t="n">
        <v>876</v>
      </c>
      <c r="B1387" s="25"/>
      <c r="C1387" s="26"/>
      <c r="D1387" s="26"/>
      <c r="E1387" s="26"/>
      <c r="F1387" s="24" t="str">
        <f aca="false">IFERROR(INDEX('Operator Master'!$B$5:$B$504,MATCH(E1387,'Operator Master'!$A$5:$A$504,0)),"")</f>
        <v/>
      </c>
      <c r="G1387" s="26"/>
      <c r="H1387" s="24" t="str">
        <f aca="false">IFERROR(INDEX('Fault Master'!$B$5:$B$104,MATCH(G1387,'Fault Master'!$A$5:$A$104,0)),"")</f>
        <v/>
      </c>
      <c r="I1387" s="24" t="str">
        <f aca="false">IFERROR(INDEX('Fault Master'!$C$5:$C$104,MATCH(G1387,'Fault Master'!$A$5:$A$104,0)),"")</f>
        <v/>
      </c>
      <c r="J1387" s="26"/>
      <c r="K1387" s="26"/>
      <c r="L1387" s="26"/>
      <c r="M1387" s="26"/>
      <c r="N1387" s="26"/>
      <c r="O1387" s="26"/>
      <c r="P1387" s="34"/>
    </row>
    <row r="1388" customFormat="false" ht="15" hidden="false" customHeight="true" outlineLevel="0" collapsed="false">
      <c r="A1388" s="18" t="n">
        <v>877</v>
      </c>
      <c r="B1388" s="25"/>
      <c r="C1388" s="26"/>
      <c r="D1388" s="26"/>
      <c r="E1388" s="26"/>
      <c r="F1388" s="24" t="str">
        <f aca="false">IFERROR(INDEX('Operator Master'!$B$5:$B$504,MATCH(E1388,'Operator Master'!$A$5:$A$504,0)),"")</f>
        <v/>
      </c>
      <c r="G1388" s="26"/>
      <c r="H1388" s="24" t="str">
        <f aca="false">IFERROR(INDEX('Fault Master'!$B$5:$B$104,MATCH(G1388,'Fault Master'!$A$5:$A$104,0)),"")</f>
        <v/>
      </c>
      <c r="I1388" s="24" t="str">
        <f aca="false">IFERROR(INDEX('Fault Master'!$C$5:$C$104,MATCH(G1388,'Fault Master'!$A$5:$A$104,0)),"")</f>
        <v/>
      </c>
      <c r="J1388" s="26"/>
      <c r="K1388" s="26"/>
      <c r="L1388" s="26"/>
      <c r="M1388" s="26"/>
      <c r="N1388" s="26"/>
      <c r="O1388" s="26"/>
      <c r="P1388" s="34"/>
    </row>
    <row r="1389" customFormat="false" ht="15" hidden="false" customHeight="true" outlineLevel="0" collapsed="false">
      <c r="A1389" s="18" t="n">
        <v>878</v>
      </c>
      <c r="B1389" s="25"/>
      <c r="C1389" s="26"/>
      <c r="D1389" s="26"/>
      <c r="E1389" s="26"/>
      <c r="F1389" s="24" t="str">
        <f aca="false">IFERROR(INDEX('Operator Master'!$B$5:$B$504,MATCH(E1389,'Operator Master'!$A$5:$A$504,0)),"")</f>
        <v/>
      </c>
      <c r="G1389" s="26"/>
      <c r="H1389" s="24" t="str">
        <f aca="false">IFERROR(INDEX('Fault Master'!$B$5:$B$104,MATCH(G1389,'Fault Master'!$A$5:$A$104,0)),"")</f>
        <v/>
      </c>
      <c r="I1389" s="24" t="str">
        <f aca="false">IFERROR(INDEX('Fault Master'!$C$5:$C$104,MATCH(G1389,'Fault Master'!$A$5:$A$104,0)),"")</f>
        <v/>
      </c>
      <c r="J1389" s="26"/>
      <c r="K1389" s="26"/>
      <c r="L1389" s="26"/>
      <c r="M1389" s="26"/>
      <c r="N1389" s="26"/>
      <c r="O1389" s="26"/>
      <c r="P1389" s="34"/>
    </row>
    <row r="1390" customFormat="false" ht="15" hidden="false" customHeight="true" outlineLevel="0" collapsed="false">
      <c r="A1390" s="18" t="n">
        <v>879</v>
      </c>
      <c r="B1390" s="25"/>
      <c r="C1390" s="26"/>
      <c r="D1390" s="26"/>
      <c r="E1390" s="26"/>
      <c r="F1390" s="24" t="str">
        <f aca="false">IFERROR(INDEX('Operator Master'!$B$5:$B$504,MATCH(E1390,'Operator Master'!$A$5:$A$504,0)),"")</f>
        <v/>
      </c>
      <c r="G1390" s="26"/>
      <c r="H1390" s="24" t="str">
        <f aca="false">IFERROR(INDEX('Fault Master'!$B$5:$B$104,MATCH(G1390,'Fault Master'!$A$5:$A$104,0)),"")</f>
        <v/>
      </c>
      <c r="I1390" s="24" t="str">
        <f aca="false">IFERROR(INDEX('Fault Master'!$C$5:$C$104,MATCH(G1390,'Fault Master'!$A$5:$A$104,0)),"")</f>
        <v/>
      </c>
      <c r="J1390" s="26"/>
      <c r="K1390" s="26"/>
      <c r="L1390" s="26"/>
      <c r="M1390" s="26"/>
      <c r="N1390" s="26"/>
      <c r="O1390" s="26"/>
      <c r="P1390" s="34"/>
    </row>
    <row r="1391" customFormat="false" ht="15" hidden="false" customHeight="true" outlineLevel="0" collapsed="false">
      <c r="A1391" s="18" t="n">
        <v>880</v>
      </c>
      <c r="B1391" s="25"/>
      <c r="C1391" s="26"/>
      <c r="D1391" s="26"/>
      <c r="E1391" s="26"/>
      <c r="F1391" s="24" t="str">
        <f aca="false">IFERROR(INDEX('Operator Master'!$B$5:$B$504,MATCH(E1391,'Operator Master'!$A$5:$A$504,0)),"")</f>
        <v/>
      </c>
      <c r="G1391" s="26"/>
      <c r="H1391" s="24" t="str">
        <f aca="false">IFERROR(INDEX('Fault Master'!$B$5:$B$104,MATCH(G1391,'Fault Master'!$A$5:$A$104,0)),"")</f>
        <v/>
      </c>
      <c r="I1391" s="24" t="str">
        <f aca="false">IFERROR(INDEX('Fault Master'!$C$5:$C$104,MATCH(G1391,'Fault Master'!$A$5:$A$104,0)),"")</f>
        <v/>
      </c>
      <c r="J1391" s="26"/>
      <c r="K1391" s="26"/>
      <c r="L1391" s="26"/>
      <c r="M1391" s="26"/>
      <c r="N1391" s="26"/>
      <c r="O1391" s="26"/>
      <c r="P1391" s="34"/>
    </row>
    <row r="1392" customFormat="false" ht="15" hidden="false" customHeight="true" outlineLevel="0" collapsed="false">
      <c r="A1392" s="18" t="n">
        <v>881</v>
      </c>
      <c r="B1392" s="25"/>
      <c r="C1392" s="26"/>
      <c r="D1392" s="26"/>
      <c r="E1392" s="26"/>
      <c r="F1392" s="24" t="str">
        <f aca="false">IFERROR(INDEX('Operator Master'!$B$5:$B$504,MATCH(E1392,'Operator Master'!$A$5:$A$504,0)),"")</f>
        <v/>
      </c>
      <c r="G1392" s="26"/>
      <c r="H1392" s="24" t="str">
        <f aca="false">IFERROR(INDEX('Fault Master'!$B$5:$B$104,MATCH(G1392,'Fault Master'!$A$5:$A$104,0)),"")</f>
        <v/>
      </c>
      <c r="I1392" s="24" t="str">
        <f aca="false">IFERROR(INDEX('Fault Master'!$C$5:$C$104,MATCH(G1392,'Fault Master'!$A$5:$A$104,0)),"")</f>
        <v/>
      </c>
      <c r="J1392" s="26"/>
      <c r="K1392" s="26"/>
      <c r="L1392" s="26"/>
      <c r="M1392" s="26"/>
      <c r="N1392" s="26"/>
      <c r="O1392" s="26"/>
      <c r="P1392" s="34"/>
    </row>
    <row r="1393" customFormat="false" ht="15" hidden="false" customHeight="true" outlineLevel="0" collapsed="false">
      <c r="A1393" s="18" t="n">
        <v>882</v>
      </c>
      <c r="B1393" s="25"/>
      <c r="C1393" s="26"/>
      <c r="D1393" s="26"/>
      <c r="E1393" s="26"/>
      <c r="F1393" s="24" t="str">
        <f aca="false">IFERROR(INDEX('Operator Master'!$B$5:$B$504,MATCH(E1393,'Operator Master'!$A$5:$A$504,0)),"")</f>
        <v/>
      </c>
      <c r="G1393" s="26"/>
      <c r="H1393" s="24" t="str">
        <f aca="false">IFERROR(INDEX('Fault Master'!$B$5:$B$104,MATCH(G1393,'Fault Master'!$A$5:$A$104,0)),"")</f>
        <v/>
      </c>
      <c r="I1393" s="24" t="str">
        <f aca="false">IFERROR(INDEX('Fault Master'!$C$5:$C$104,MATCH(G1393,'Fault Master'!$A$5:$A$104,0)),"")</f>
        <v/>
      </c>
      <c r="J1393" s="26"/>
      <c r="K1393" s="26"/>
      <c r="L1393" s="26"/>
      <c r="M1393" s="26"/>
      <c r="N1393" s="26"/>
      <c r="O1393" s="26"/>
      <c r="P1393" s="34"/>
    </row>
    <row r="1394" customFormat="false" ht="15" hidden="false" customHeight="true" outlineLevel="0" collapsed="false">
      <c r="A1394" s="18" t="n">
        <v>883</v>
      </c>
      <c r="B1394" s="25"/>
      <c r="C1394" s="26"/>
      <c r="D1394" s="26"/>
      <c r="E1394" s="26"/>
      <c r="F1394" s="24" t="str">
        <f aca="false">IFERROR(INDEX('Operator Master'!$B$5:$B$504,MATCH(E1394,'Operator Master'!$A$5:$A$504,0)),"")</f>
        <v/>
      </c>
      <c r="G1394" s="26"/>
      <c r="H1394" s="24" t="str">
        <f aca="false">IFERROR(INDEX('Fault Master'!$B$5:$B$104,MATCH(G1394,'Fault Master'!$A$5:$A$104,0)),"")</f>
        <v/>
      </c>
      <c r="I1394" s="24" t="str">
        <f aca="false">IFERROR(INDEX('Fault Master'!$C$5:$C$104,MATCH(G1394,'Fault Master'!$A$5:$A$104,0)),"")</f>
        <v/>
      </c>
      <c r="J1394" s="26"/>
      <c r="K1394" s="26"/>
      <c r="L1394" s="26"/>
      <c r="M1394" s="26"/>
      <c r="N1394" s="26"/>
      <c r="O1394" s="26"/>
      <c r="P1394" s="34"/>
    </row>
    <row r="1395" customFormat="false" ht="15" hidden="false" customHeight="true" outlineLevel="0" collapsed="false">
      <c r="A1395" s="18" t="n">
        <v>884</v>
      </c>
      <c r="B1395" s="25"/>
      <c r="C1395" s="26"/>
      <c r="D1395" s="26"/>
      <c r="E1395" s="26"/>
      <c r="F1395" s="24" t="str">
        <f aca="false">IFERROR(INDEX('Operator Master'!$B$5:$B$504,MATCH(E1395,'Operator Master'!$A$5:$A$504,0)),"")</f>
        <v/>
      </c>
      <c r="G1395" s="26"/>
      <c r="H1395" s="24" t="str">
        <f aca="false">IFERROR(INDEX('Fault Master'!$B$5:$B$104,MATCH(G1395,'Fault Master'!$A$5:$A$104,0)),"")</f>
        <v/>
      </c>
      <c r="I1395" s="24" t="str">
        <f aca="false">IFERROR(INDEX('Fault Master'!$C$5:$C$104,MATCH(G1395,'Fault Master'!$A$5:$A$104,0)),"")</f>
        <v/>
      </c>
      <c r="J1395" s="26"/>
      <c r="K1395" s="26"/>
      <c r="L1395" s="26"/>
      <c r="M1395" s="26"/>
      <c r="N1395" s="26"/>
      <c r="O1395" s="26"/>
      <c r="P1395" s="34"/>
    </row>
    <row r="1396" customFormat="false" ht="15" hidden="false" customHeight="true" outlineLevel="0" collapsed="false">
      <c r="A1396" s="18" t="n">
        <v>885</v>
      </c>
      <c r="B1396" s="25"/>
      <c r="C1396" s="26"/>
      <c r="D1396" s="26"/>
      <c r="E1396" s="26"/>
      <c r="F1396" s="24" t="str">
        <f aca="false">IFERROR(INDEX('Operator Master'!$B$5:$B$504,MATCH(E1396,'Operator Master'!$A$5:$A$504,0)),"")</f>
        <v/>
      </c>
      <c r="G1396" s="26"/>
      <c r="H1396" s="24" t="str">
        <f aca="false">IFERROR(INDEX('Fault Master'!$B$5:$B$104,MATCH(G1396,'Fault Master'!$A$5:$A$104,0)),"")</f>
        <v/>
      </c>
      <c r="I1396" s="24" t="str">
        <f aca="false">IFERROR(INDEX('Fault Master'!$C$5:$C$104,MATCH(G1396,'Fault Master'!$A$5:$A$104,0)),"")</f>
        <v/>
      </c>
      <c r="J1396" s="26"/>
      <c r="K1396" s="26"/>
      <c r="L1396" s="26"/>
      <c r="M1396" s="26"/>
      <c r="N1396" s="26"/>
      <c r="O1396" s="26"/>
      <c r="P1396" s="34"/>
    </row>
    <row r="1397" customFormat="false" ht="15" hidden="false" customHeight="true" outlineLevel="0" collapsed="false">
      <c r="A1397" s="18" t="n">
        <v>886</v>
      </c>
      <c r="B1397" s="25"/>
      <c r="C1397" s="26"/>
      <c r="D1397" s="26"/>
      <c r="E1397" s="26"/>
      <c r="F1397" s="24" t="str">
        <f aca="false">IFERROR(INDEX('Operator Master'!$B$5:$B$504,MATCH(E1397,'Operator Master'!$A$5:$A$504,0)),"")</f>
        <v/>
      </c>
      <c r="G1397" s="26"/>
      <c r="H1397" s="24" t="str">
        <f aca="false">IFERROR(INDEX('Fault Master'!$B$5:$B$104,MATCH(G1397,'Fault Master'!$A$5:$A$104,0)),"")</f>
        <v/>
      </c>
      <c r="I1397" s="24" t="str">
        <f aca="false">IFERROR(INDEX('Fault Master'!$C$5:$C$104,MATCH(G1397,'Fault Master'!$A$5:$A$104,0)),"")</f>
        <v/>
      </c>
      <c r="J1397" s="26"/>
      <c r="K1397" s="26"/>
      <c r="L1397" s="26"/>
      <c r="M1397" s="26"/>
      <c r="N1397" s="26"/>
      <c r="O1397" s="26"/>
      <c r="P1397" s="34"/>
    </row>
    <row r="1398" customFormat="false" ht="15" hidden="false" customHeight="true" outlineLevel="0" collapsed="false">
      <c r="A1398" s="18" t="n">
        <v>887</v>
      </c>
      <c r="B1398" s="25"/>
      <c r="C1398" s="26"/>
      <c r="D1398" s="26"/>
      <c r="E1398" s="26"/>
      <c r="F1398" s="24" t="str">
        <f aca="false">IFERROR(INDEX('Operator Master'!$B$5:$B$504,MATCH(E1398,'Operator Master'!$A$5:$A$504,0)),"")</f>
        <v/>
      </c>
      <c r="G1398" s="26"/>
      <c r="H1398" s="24" t="str">
        <f aca="false">IFERROR(INDEX('Fault Master'!$B$5:$B$104,MATCH(G1398,'Fault Master'!$A$5:$A$104,0)),"")</f>
        <v/>
      </c>
      <c r="I1398" s="24" t="str">
        <f aca="false">IFERROR(INDEX('Fault Master'!$C$5:$C$104,MATCH(G1398,'Fault Master'!$A$5:$A$104,0)),"")</f>
        <v/>
      </c>
      <c r="J1398" s="26"/>
      <c r="K1398" s="26"/>
      <c r="L1398" s="26"/>
      <c r="M1398" s="26"/>
      <c r="N1398" s="26"/>
      <c r="O1398" s="26"/>
      <c r="P1398" s="34"/>
    </row>
    <row r="1399" customFormat="false" ht="15" hidden="false" customHeight="true" outlineLevel="0" collapsed="false">
      <c r="A1399" s="18" t="n">
        <v>888</v>
      </c>
      <c r="B1399" s="25"/>
      <c r="C1399" s="26"/>
      <c r="D1399" s="26"/>
      <c r="E1399" s="26"/>
      <c r="F1399" s="24" t="str">
        <f aca="false">IFERROR(INDEX('Operator Master'!$B$5:$B$504,MATCH(E1399,'Operator Master'!$A$5:$A$504,0)),"")</f>
        <v/>
      </c>
      <c r="G1399" s="26"/>
      <c r="H1399" s="24" t="str">
        <f aca="false">IFERROR(INDEX('Fault Master'!$B$5:$B$104,MATCH(G1399,'Fault Master'!$A$5:$A$104,0)),"")</f>
        <v/>
      </c>
      <c r="I1399" s="24" t="str">
        <f aca="false">IFERROR(INDEX('Fault Master'!$C$5:$C$104,MATCH(G1399,'Fault Master'!$A$5:$A$104,0)),"")</f>
        <v/>
      </c>
      <c r="J1399" s="26"/>
      <c r="K1399" s="26"/>
      <c r="L1399" s="26"/>
      <c r="M1399" s="26"/>
      <c r="N1399" s="26"/>
      <c r="O1399" s="26"/>
      <c r="P1399" s="34"/>
    </row>
    <row r="1400" customFormat="false" ht="15" hidden="false" customHeight="true" outlineLevel="0" collapsed="false">
      <c r="A1400" s="18" t="n">
        <v>889</v>
      </c>
      <c r="B1400" s="25"/>
      <c r="C1400" s="26"/>
      <c r="D1400" s="26"/>
      <c r="E1400" s="26"/>
      <c r="F1400" s="24" t="str">
        <f aca="false">IFERROR(INDEX('Operator Master'!$B$5:$B$504,MATCH(E1400,'Operator Master'!$A$5:$A$504,0)),"")</f>
        <v/>
      </c>
      <c r="G1400" s="26"/>
      <c r="H1400" s="24" t="str">
        <f aca="false">IFERROR(INDEX('Fault Master'!$B$5:$B$104,MATCH(G1400,'Fault Master'!$A$5:$A$104,0)),"")</f>
        <v/>
      </c>
      <c r="I1400" s="24" t="str">
        <f aca="false">IFERROR(INDEX('Fault Master'!$C$5:$C$104,MATCH(G1400,'Fault Master'!$A$5:$A$104,0)),"")</f>
        <v/>
      </c>
      <c r="J1400" s="26"/>
      <c r="K1400" s="26"/>
      <c r="L1400" s="26"/>
      <c r="M1400" s="26"/>
      <c r="N1400" s="26"/>
      <c r="O1400" s="26"/>
      <c r="P1400" s="34"/>
    </row>
    <row r="1401" customFormat="false" ht="15" hidden="false" customHeight="true" outlineLevel="0" collapsed="false">
      <c r="A1401" s="18" t="n">
        <v>890</v>
      </c>
      <c r="B1401" s="25"/>
      <c r="C1401" s="26"/>
      <c r="D1401" s="26"/>
      <c r="E1401" s="26"/>
      <c r="F1401" s="24" t="str">
        <f aca="false">IFERROR(INDEX('Operator Master'!$B$5:$B$504,MATCH(E1401,'Operator Master'!$A$5:$A$504,0)),"")</f>
        <v/>
      </c>
      <c r="G1401" s="26"/>
      <c r="H1401" s="24" t="str">
        <f aca="false">IFERROR(INDEX('Fault Master'!$B$5:$B$104,MATCH(G1401,'Fault Master'!$A$5:$A$104,0)),"")</f>
        <v/>
      </c>
      <c r="I1401" s="24" t="str">
        <f aca="false">IFERROR(INDEX('Fault Master'!$C$5:$C$104,MATCH(G1401,'Fault Master'!$A$5:$A$104,0)),"")</f>
        <v/>
      </c>
      <c r="J1401" s="26"/>
      <c r="K1401" s="26"/>
      <c r="L1401" s="26"/>
      <c r="M1401" s="26"/>
      <c r="N1401" s="26"/>
      <c r="O1401" s="26"/>
      <c r="P1401" s="34"/>
    </row>
    <row r="1402" customFormat="false" ht="15" hidden="false" customHeight="true" outlineLevel="0" collapsed="false">
      <c r="A1402" s="18" t="n">
        <v>891</v>
      </c>
      <c r="B1402" s="25"/>
      <c r="C1402" s="26"/>
      <c r="D1402" s="26"/>
      <c r="E1402" s="26"/>
      <c r="F1402" s="24" t="str">
        <f aca="false">IFERROR(INDEX('Operator Master'!$B$5:$B$504,MATCH(E1402,'Operator Master'!$A$5:$A$504,0)),"")</f>
        <v/>
      </c>
      <c r="G1402" s="26"/>
      <c r="H1402" s="24" t="str">
        <f aca="false">IFERROR(INDEX('Fault Master'!$B$5:$B$104,MATCH(G1402,'Fault Master'!$A$5:$A$104,0)),"")</f>
        <v/>
      </c>
      <c r="I1402" s="24" t="str">
        <f aca="false">IFERROR(INDEX('Fault Master'!$C$5:$C$104,MATCH(G1402,'Fault Master'!$A$5:$A$104,0)),"")</f>
        <v/>
      </c>
      <c r="J1402" s="26"/>
      <c r="K1402" s="26"/>
      <c r="L1402" s="26"/>
      <c r="M1402" s="26"/>
      <c r="N1402" s="26"/>
      <c r="O1402" s="26"/>
      <c r="P1402" s="34"/>
    </row>
    <row r="1403" customFormat="false" ht="15" hidden="false" customHeight="true" outlineLevel="0" collapsed="false">
      <c r="A1403" s="18" t="n">
        <v>892</v>
      </c>
      <c r="B1403" s="25"/>
      <c r="C1403" s="26"/>
      <c r="D1403" s="26"/>
      <c r="E1403" s="26"/>
      <c r="F1403" s="24" t="str">
        <f aca="false">IFERROR(INDEX('Operator Master'!$B$5:$B$504,MATCH(E1403,'Operator Master'!$A$5:$A$504,0)),"")</f>
        <v/>
      </c>
      <c r="G1403" s="26"/>
      <c r="H1403" s="24" t="str">
        <f aca="false">IFERROR(INDEX('Fault Master'!$B$5:$B$104,MATCH(G1403,'Fault Master'!$A$5:$A$104,0)),"")</f>
        <v/>
      </c>
      <c r="I1403" s="24" t="str">
        <f aca="false">IFERROR(INDEX('Fault Master'!$C$5:$C$104,MATCH(G1403,'Fault Master'!$A$5:$A$104,0)),"")</f>
        <v/>
      </c>
      <c r="J1403" s="26"/>
      <c r="K1403" s="26"/>
      <c r="L1403" s="26"/>
      <c r="M1403" s="26"/>
      <c r="N1403" s="26"/>
      <c r="O1403" s="26"/>
      <c r="P1403" s="34"/>
    </row>
    <row r="1404" customFormat="false" ht="15" hidden="false" customHeight="true" outlineLevel="0" collapsed="false">
      <c r="A1404" s="18" t="n">
        <v>893</v>
      </c>
      <c r="B1404" s="25"/>
      <c r="C1404" s="26"/>
      <c r="D1404" s="26"/>
      <c r="E1404" s="26"/>
      <c r="F1404" s="24" t="str">
        <f aca="false">IFERROR(INDEX('Operator Master'!$B$5:$B$504,MATCH(E1404,'Operator Master'!$A$5:$A$504,0)),"")</f>
        <v/>
      </c>
      <c r="G1404" s="26"/>
      <c r="H1404" s="24" t="str">
        <f aca="false">IFERROR(INDEX('Fault Master'!$B$5:$B$104,MATCH(G1404,'Fault Master'!$A$5:$A$104,0)),"")</f>
        <v/>
      </c>
      <c r="I1404" s="24" t="str">
        <f aca="false">IFERROR(INDEX('Fault Master'!$C$5:$C$104,MATCH(G1404,'Fault Master'!$A$5:$A$104,0)),"")</f>
        <v/>
      </c>
      <c r="J1404" s="26"/>
      <c r="K1404" s="26"/>
      <c r="L1404" s="26"/>
      <c r="M1404" s="26"/>
      <c r="N1404" s="26"/>
      <c r="O1404" s="26"/>
      <c r="P1404" s="34"/>
    </row>
    <row r="1405" customFormat="false" ht="15" hidden="false" customHeight="true" outlineLevel="0" collapsed="false">
      <c r="A1405" s="18" t="n">
        <v>894</v>
      </c>
      <c r="B1405" s="25"/>
      <c r="C1405" s="26"/>
      <c r="D1405" s="26"/>
      <c r="E1405" s="26"/>
      <c r="F1405" s="24" t="str">
        <f aca="false">IFERROR(INDEX('Operator Master'!$B$5:$B$504,MATCH(E1405,'Operator Master'!$A$5:$A$504,0)),"")</f>
        <v/>
      </c>
      <c r="G1405" s="26"/>
      <c r="H1405" s="24" t="str">
        <f aca="false">IFERROR(INDEX('Fault Master'!$B$5:$B$104,MATCH(G1405,'Fault Master'!$A$5:$A$104,0)),"")</f>
        <v/>
      </c>
      <c r="I1405" s="24" t="str">
        <f aca="false">IFERROR(INDEX('Fault Master'!$C$5:$C$104,MATCH(G1405,'Fault Master'!$A$5:$A$104,0)),"")</f>
        <v/>
      </c>
      <c r="J1405" s="26"/>
      <c r="K1405" s="26"/>
      <c r="L1405" s="26"/>
      <c r="M1405" s="26"/>
      <c r="N1405" s="26"/>
      <c r="O1405" s="26"/>
      <c r="P1405" s="34"/>
    </row>
    <row r="1406" customFormat="false" ht="15" hidden="false" customHeight="true" outlineLevel="0" collapsed="false">
      <c r="A1406" s="18" t="n">
        <v>895</v>
      </c>
      <c r="B1406" s="25"/>
      <c r="C1406" s="26"/>
      <c r="D1406" s="26"/>
      <c r="E1406" s="26"/>
      <c r="F1406" s="24" t="str">
        <f aca="false">IFERROR(INDEX('Operator Master'!$B$5:$B$504,MATCH(E1406,'Operator Master'!$A$5:$A$504,0)),"")</f>
        <v/>
      </c>
      <c r="G1406" s="26"/>
      <c r="H1406" s="24" t="str">
        <f aca="false">IFERROR(INDEX('Fault Master'!$B$5:$B$104,MATCH(G1406,'Fault Master'!$A$5:$A$104,0)),"")</f>
        <v/>
      </c>
      <c r="I1406" s="24" t="str">
        <f aca="false">IFERROR(INDEX('Fault Master'!$C$5:$C$104,MATCH(G1406,'Fault Master'!$A$5:$A$104,0)),"")</f>
        <v/>
      </c>
      <c r="J1406" s="26"/>
      <c r="K1406" s="26"/>
      <c r="L1406" s="26"/>
      <c r="M1406" s="26"/>
      <c r="N1406" s="26"/>
      <c r="O1406" s="26"/>
      <c r="P1406" s="34"/>
    </row>
    <row r="1407" customFormat="false" ht="15" hidden="false" customHeight="true" outlineLevel="0" collapsed="false">
      <c r="A1407" s="18" t="n">
        <v>896</v>
      </c>
      <c r="B1407" s="25"/>
      <c r="C1407" s="26"/>
      <c r="D1407" s="26"/>
      <c r="E1407" s="26"/>
      <c r="F1407" s="24" t="str">
        <f aca="false">IFERROR(INDEX('Operator Master'!$B$5:$B$504,MATCH(E1407,'Operator Master'!$A$5:$A$504,0)),"")</f>
        <v/>
      </c>
      <c r="G1407" s="26"/>
      <c r="H1407" s="24" t="str">
        <f aca="false">IFERROR(INDEX('Fault Master'!$B$5:$B$104,MATCH(G1407,'Fault Master'!$A$5:$A$104,0)),"")</f>
        <v/>
      </c>
      <c r="I1407" s="24" t="str">
        <f aca="false">IFERROR(INDEX('Fault Master'!$C$5:$C$104,MATCH(G1407,'Fault Master'!$A$5:$A$104,0)),"")</f>
        <v/>
      </c>
      <c r="J1407" s="26"/>
      <c r="K1407" s="26"/>
      <c r="L1407" s="26"/>
      <c r="M1407" s="26"/>
      <c r="N1407" s="26"/>
      <c r="O1407" s="26"/>
      <c r="P1407" s="34"/>
    </row>
    <row r="1408" customFormat="false" ht="15" hidden="false" customHeight="true" outlineLevel="0" collapsed="false">
      <c r="A1408" s="18" t="n">
        <v>897</v>
      </c>
      <c r="B1408" s="25"/>
      <c r="C1408" s="26"/>
      <c r="D1408" s="26"/>
      <c r="E1408" s="26"/>
      <c r="F1408" s="24" t="str">
        <f aca="false">IFERROR(INDEX('Operator Master'!$B$5:$B$504,MATCH(E1408,'Operator Master'!$A$5:$A$504,0)),"")</f>
        <v/>
      </c>
      <c r="G1408" s="26"/>
      <c r="H1408" s="24" t="str">
        <f aca="false">IFERROR(INDEX('Fault Master'!$B$5:$B$104,MATCH(G1408,'Fault Master'!$A$5:$A$104,0)),"")</f>
        <v/>
      </c>
      <c r="I1408" s="24" t="str">
        <f aca="false">IFERROR(INDEX('Fault Master'!$C$5:$C$104,MATCH(G1408,'Fault Master'!$A$5:$A$104,0)),"")</f>
        <v/>
      </c>
      <c r="J1408" s="26"/>
      <c r="K1408" s="26"/>
      <c r="L1408" s="26"/>
      <c r="M1408" s="26"/>
      <c r="N1408" s="26"/>
      <c r="O1408" s="26"/>
      <c r="P1408" s="34"/>
    </row>
    <row r="1409" customFormat="false" ht="15" hidden="false" customHeight="true" outlineLevel="0" collapsed="false">
      <c r="A1409" s="18" t="n">
        <v>898</v>
      </c>
      <c r="B1409" s="25"/>
      <c r="C1409" s="26"/>
      <c r="D1409" s="26"/>
      <c r="E1409" s="26"/>
      <c r="F1409" s="24" t="str">
        <f aca="false">IFERROR(INDEX('Operator Master'!$B$5:$B$504,MATCH(E1409,'Operator Master'!$A$5:$A$504,0)),"")</f>
        <v/>
      </c>
      <c r="G1409" s="26"/>
      <c r="H1409" s="24" t="str">
        <f aca="false">IFERROR(INDEX('Fault Master'!$B$5:$B$104,MATCH(G1409,'Fault Master'!$A$5:$A$104,0)),"")</f>
        <v/>
      </c>
      <c r="I1409" s="24" t="str">
        <f aca="false">IFERROR(INDEX('Fault Master'!$C$5:$C$104,MATCH(G1409,'Fault Master'!$A$5:$A$104,0)),"")</f>
        <v/>
      </c>
      <c r="J1409" s="26"/>
      <c r="K1409" s="26"/>
      <c r="L1409" s="26"/>
      <c r="M1409" s="26"/>
      <c r="N1409" s="26"/>
      <c r="O1409" s="26"/>
      <c r="P1409" s="34"/>
    </row>
    <row r="1410" customFormat="false" ht="15" hidden="false" customHeight="true" outlineLevel="0" collapsed="false">
      <c r="A1410" s="18" t="n">
        <v>899</v>
      </c>
      <c r="B1410" s="25"/>
      <c r="C1410" s="26"/>
      <c r="D1410" s="26"/>
      <c r="E1410" s="26"/>
      <c r="F1410" s="24" t="str">
        <f aca="false">IFERROR(INDEX('Operator Master'!$B$5:$B$504,MATCH(E1410,'Operator Master'!$A$5:$A$504,0)),"")</f>
        <v/>
      </c>
      <c r="G1410" s="26"/>
      <c r="H1410" s="24" t="str">
        <f aca="false">IFERROR(INDEX('Fault Master'!$B$5:$B$104,MATCH(G1410,'Fault Master'!$A$5:$A$104,0)),"")</f>
        <v/>
      </c>
      <c r="I1410" s="24" t="str">
        <f aca="false">IFERROR(INDEX('Fault Master'!$C$5:$C$104,MATCH(G1410,'Fault Master'!$A$5:$A$104,0)),"")</f>
        <v/>
      </c>
      <c r="J1410" s="26"/>
      <c r="K1410" s="26"/>
      <c r="L1410" s="26"/>
      <c r="M1410" s="26"/>
      <c r="N1410" s="26"/>
      <c r="O1410" s="26"/>
      <c r="P1410" s="34"/>
    </row>
    <row r="1411" customFormat="false" ht="15" hidden="false" customHeight="true" outlineLevel="0" collapsed="false">
      <c r="A1411" s="18" t="n">
        <v>900</v>
      </c>
      <c r="B1411" s="25"/>
      <c r="C1411" s="26"/>
      <c r="D1411" s="26"/>
      <c r="E1411" s="26"/>
      <c r="F1411" s="24" t="str">
        <f aca="false">IFERROR(INDEX('Operator Master'!$B$5:$B$504,MATCH(E1411,'Operator Master'!$A$5:$A$504,0)),"")</f>
        <v/>
      </c>
      <c r="G1411" s="26"/>
      <c r="H1411" s="24" t="str">
        <f aca="false">IFERROR(INDEX('Fault Master'!$B$5:$B$104,MATCH(G1411,'Fault Master'!$A$5:$A$104,0)),"")</f>
        <v/>
      </c>
      <c r="I1411" s="24" t="str">
        <f aca="false">IFERROR(INDEX('Fault Master'!$C$5:$C$104,MATCH(G1411,'Fault Master'!$A$5:$A$104,0)),"")</f>
        <v/>
      </c>
      <c r="J1411" s="26"/>
      <c r="K1411" s="26"/>
      <c r="L1411" s="26"/>
      <c r="M1411" s="26"/>
      <c r="N1411" s="26"/>
      <c r="O1411" s="26"/>
      <c r="P1411" s="34"/>
    </row>
    <row r="1412" customFormat="false" ht="15" hidden="false" customHeight="true" outlineLevel="0" collapsed="false">
      <c r="A1412" s="18" t="n">
        <v>901</v>
      </c>
      <c r="B1412" s="25"/>
      <c r="C1412" s="26"/>
      <c r="D1412" s="26"/>
      <c r="E1412" s="26"/>
      <c r="F1412" s="24" t="str">
        <f aca="false">IFERROR(INDEX('Operator Master'!$B$5:$B$504,MATCH(E1412,'Operator Master'!$A$5:$A$504,0)),"")</f>
        <v/>
      </c>
      <c r="G1412" s="26"/>
      <c r="H1412" s="24" t="str">
        <f aca="false">IFERROR(INDEX('Fault Master'!$B$5:$B$104,MATCH(G1412,'Fault Master'!$A$5:$A$104,0)),"")</f>
        <v/>
      </c>
      <c r="I1412" s="24" t="str">
        <f aca="false">IFERROR(INDEX('Fault Master'!$C$5:$C$104,MATCH(G1412,'Fault Master'!$A$5:$A$104,0)),"")</f>
        <v/>
      </c>
      <c r="J1412" s="26"/>
      <c r="K1412" s="26"/>
      <c r="L1412" s="26"/>
      <c r="M1412" s="26"/>
      <c r="N1412" s="26"/>
      <c r="O1412" s="26"/>
      <c r="P1412" s="34"/>
    </row>
    <row r="1413" customFormat="false" ht="15" hidden="false" customHeight="true" outlineLevel="0" collapsed="false">
      <c r="A1413" s="18" t="n">
        <v>902</v>
      </c>
      <c r="B1413" s="25"/>
      <c r="C1413" s="26"/>
      <c r="D1413" s="26"/>
      <c r="E1413" s="26"/>
      <c r="F1413" s="24" t="str">
        <f aca="false">IFERROR(INDEX('Operator Master'!$B$5:$B$504,MATCH(E1413,'Operator Master'!$A$5:$A$504,0)),"")</f>
        <v/>
      </c>
      <c r="G1413" s="26"/>
      <c r="H1413" s="24" t="str">
        <f aca="false">IFERROR(INDEX('Fault Master'!$B$5:$B$104,MATCH(G1413,'Fault Master'!$A$5:$A$104,0)),"")</f>
        <v/>
      </c>
      <c r="I1413" s="24" t="str">
        <f aca="false">IFERROR(INDEX('Fault Master'!$C$5:$C$104,MATCH(G1413,'Fault Master'!$A$5:$A$104,0)),"")</f>
        <v/>
      </c>
      <c r="J1413" s="26"/>
      <c r="K1413" s="26"/>
      <c r="L1413" s="26"/>
      <c r="M1413" s="26"/>
      <c r="N1413" s="26"/>
      <c r="O1413" s="26"/>
      <c r="P1413" s="34"/>
    </row>
    <row r="1414" customFormat="false" ht="15" hidden="false" customHeight="true" outlineLevel="0" collapsed="false">
      <c r="A1414" s="18" t="n">
        <v>903</v>
      </c>
      <c r="B1414" s="25"/>
      <c r="C1414" s="26"/>
      <c r="D1414" s="26"/>
      <c r="E1414" s="26"/>
      <c r="F1414" s="24" t="str">
        <f aca="false">IFERROR(INDEX('Operator Master'!$B$5:$B$504,MATCH(E1414,'Operator Master'!$A$5:$A$504,0)),"")</f>
        <v/>
      </c>
      <c r="G1414" s="26"/>
      <c r="H1414" s="24" t="str">
        <f aca="false">IFERROR(INDEX('Fault Master'!$B$5:$B$104,MATCH(G1414,'Fault Master'!$A$5:$A$104,0)),"")</f>
        <v/>
      </c>
      <c r="I1414" s="24" t="str">
        <f aca="false">IFERROR(INDEX('Fault Master'!$C$5:$C$104,MATCH(G1414,'Fault Master'!$A$5:$A$104,0)),"")</f>
        <v/>
      </c>
      <c r="J1414" s="26"/>
      <c r="K1414" s="26"/>
      <c r="L1414" s="26"/>
      <c r="M1414" s="26"/>
      <c r="N1414" s="26"/>
      <c r="O1414" s="26"/>
      <c r="P1414" s="34"/>
    </row>
    <row r="1415" customFormat="false" ht="15" hidden="false" customHeight="true" outlineLevel="0" collapsed="false">
      <c r="A1415" s="18" t="n">
        <v>904</v>
      </c>
      <c r="B1415" s="25"/>
      <c r="C1415" s="26"/>
      <c r="D1415" s="26"/>
      <c r="E1415" s="26"/>
      <c r="F1415" s="24" t="str">
        <f aca="false">IFERROR(INDEX('Operator Master'!$B$5:$B$504,MATCH(E1415,'Operator Master'!$A$5:$A$504,0)),"")</f>
        <v/>
      </c>
      <c r="G1415" s="26"/>
      <c r="H1415" s="24" t="str">
        <f aca="false">IFERROR(INDEX('Fault Master'!$B$5:$B$104,MATCH(G1415,'Fault Master'!$A$5:$A$104,0)),"")</f>
        <v/>
      </c>
      <c r="I1415" s="24" t="str">
        <f aca="false">IFERROR(INDEX('Fault Master'!$C$5:$C$104,MATCH(G1415,'Fault Master'!$A$5:$A$104,0)),"")</f>
        <v/>
      </c>
      <c r="J1415" s="26"/>
      <c r="K1415" s="26"/>
      <c r="L1415" s="26"/>
      <c r="M1415" s="26"/>
      <c r="N1415" s="26"/>
      <c r="O1415" s="26"/>
      <c r="P1415" s="34"/>
    </row>
    <row r="1416" customFormat="false" ht="15" hidden="false" customHeight="true" outlineLevel="0" collapsed="false">
      <c r="A1416" s="18" t="n">
        <v>905</v>
      </c>
      <c r="B1416" s="25"/>
      <c r="C1416" s="26"/>
      <c r="D1416" s="26"/>
      <c r="E1416" s="26"/>
      <c r="F1416" s="24" t="str">
        <f aca="false">IFERROR(INDEX('Operator Master'!$B$5:$B$504,MATCH(E1416,'Operator Master'!$A$5:$A$504,0)),"")</f>
        <v/>
      </c>
      <c r="G1416" s="26"/>
      <c r="H1416" s="24" t="str">
        <f aca="false">IFERROR(INDEX('Fault Master'!$B$5:$B$104,MATCH(G1416,'Fault Master'!$A$5:$A$104,0)),"")</f>
        <v/>
      </c>
      <c r="I1416" s="24" t="str">
        <f aca="false">IFERROR(INDEX('Fault Master'!$C$5:$C$104,MATCH(G1416,'Fault Master'!$A$5:$A$104,0)),"")</f>
        <v/>
      </c>
      <c r="J1416" s="26"/>
      <c r="K1416" s="26"/>
      <c r="L1416" s="26"/>
      <c r="M1416" s="26"/>
      <c r="N1416" s="26"/>
      <c r="O1416" s="26"/>
      <c r="P1416" s="34"/>
    </row>
    <row r="1417" customFormat="false" ht="15" hidden="false" customHeight="true" outlineLevel="0" collapsed="false">
      <c r="A1417" s="18" t="n">
        <v>906</v>
      </c>
      <c r="B1417" s="25"/>
      <c r="C1417" s="26"/>
      <c r="D1417" s="26"/>
      <c r="E1417" s="26"/>
      <c r="F1417" s="24" t="str">
        <f aca="false">IFERROR(INDEX('Operator Master'!$B$5:$B$504,MATCH(E1417,'Operator Master'!$A$5:$A$504,0)),"")</f>
        <v/>
      </c>
      <c r="G1417" s="26"/>
      <c r="H1417" s="24" t="str">
        <f aca="false">IFERROR(INDEX('Fault Master'!$B$5:$B$104,MATCH(G1417,'Fault Master'!$A$5:$A$104,0)),"")</f>
        <v/>
      </c>
      <c r="I1417" s="24" t="str">
        <f aca="false">IFERROR(INDEX('Fault Master'!$C$5:$C$104,MATCH(G1417,'Fault Master'!$A$5:$A$104,0)),"")</f>
        <v/>
      </c>
      <c r="J1417" s="26"/>
      <c r="K1417" s="26"/>
      <c r="L1417" s="26"/>
      <c r="M1417" s="26"/>
      <c r="N1417" s="26"/>
      <c r="O1417" s="26"/>
      <c r="P1417" s="34"/>
    </row>
    <row r="1418" customFormat="false" ht="15" hidden="false" customHeight="true" outlineLevel="0" collapsed="false">
      <c r="A1418" s="18" t="n">
        <v>907</v>
      </c>
      <c r="B1418" s="25"/>
      <c r="C1418" s="26"/>
      <c r="D1418" s="26"/>
      <c r="E1418" s="26"/>
      <c r="F1418" s="24" t="str">
        <f aca="false">IFERROR(INDEX('Operator Master'!$B$5:$B$504,MATCH(E1418,'Operator Master'!$A$5:$A$504,0)),"")</f>
        <v/>
      </c>
      <c r="G1418" s="26"/>
      <c r="H1418" s="24" t="str">
        <f aca="false">IFERROR(INDEX('Fault Master'!$B$5:$B$104,MATCH(G1418,'Fault Master'!$A$5:$A$104,0)),"")</f>
        <v/>
      </c>
      <c r="I1418" s="24" t="str">
        <f aca="false">IFERROR(INDEX('Fault Master'!$C$5:$C$104,MATCH(G1418,'Fault Master'!$A$5:$A$104,0)),"")</f>
        <v/>
      </c>
      <c r="J1418" s="26"/>
      <c r="K1418" s="26"/>
      <c r="L1418" s="26"/>
      <c r="M1418" s="26"/>
      <c r="N1418" s="26"/>
      <c r="O1418" s="26"/>
      <c r="P1418" s="34"/>
    </row>
    <row r="1419" customFormat="false" ht="15" hidden="false" customHeight="true" outlineLevel="0" collapsed="false">
      <c r="A1419" s="18" t="n">
        <v>908</v>
      </c>
      <c r="B1419" s="25"/>
      <c r="C1419" s="26"/>
      <c r="D1419" s="26"/>
      <c r="E1419" s="26"/>
      <c r="F1419" s="24" t="str">
        <f aca="false">IFERROR(INDEX('Operator Master'!$B$5:$B$504,MATCH(E1419,'Operator Master'!$A$5:$A$504,0)),"")</f>
        <v/>
      </c>
      <c r="G1419" s="26"/>
      <c r="H1419" s="24" t="str">
        <f aca="false">IFERROR(INDEX('Fault Master'!$B$5:$B$104,MATCH(G1419,'Fault Master'!$A$5:$A$104,0)),"")</f>
        <v/>
      </c>
      <c r="I1419" s="24" t="str">
        <f aca="false">IFERROR(INDEX('Fault Master'!$C$5:$C$104,MATCH(G1419,'Fault Master'!$A$5:$A$104,0)),"")</f>
        <v/>
      </c>
      <c r="J1419" s="26"/>
      <c r="K1419" s="26"/>
      <c r="L1419" s="26"/>
      <c r="M1419" s="26"/>
      <c r="N1419" s="26"/>
      <c r="O1419" s="26"/>
      <c r="P1419" s="34"/>
    </row>
    <row r="1420" customFormat="false" ht="15" hidden="false" customHeight="true" outlineLevel="0" collapsed="false">
      <c r="A1420" s="18" t="n">
        <v>909</v>
      </c>
      <c r="B1420" s="25"/>
      <c r="C1420" s="26"/>
      <c r="D1420" s="26"/>
      <c r="E1420" s="26"/>
      <c r="F1420" s="24" t="str">
        <f aca="false">IFERROR(INDEX('Operator Master'!$B$5:$B$504,MATCH(E1420,'Operator Master'!$A$5:$A$504,0)),"")</f>
        <v/>
      </c>
      <c r="G1420" s="26"/>
      <c r="H1420" s="24" t="str">
        <f aca="false">IFERROR(INDEX('Fault Master'!$B$5:$B$104,MATCH(G1420,'Fault Master'!$A$5:$A$104,0)),"")</f>
        <v/>
      </c>
      <c r="I1420" s="24" t="str">
        <f aca="false">IFERROR(INDEX('Fault Master'!$C$5:$C$104,MATCH(G1420,'Fault Master'!$A$5:$A$104,0)),"")</f>
        <v/>
      </c>
      <c r="J1420" s="26"/>
      <c r="K1420" s="26"/>
      <c r="L1420" s="26"/>
      <c r="M1420" s="26"/>
      <c r="N1420" s="26"/>
      <c r="O1420" s="26"/>
      <c r="P1420" s="34"/>
    </row>
    <row r="1421" customFormat="false" ht="15" hidden="false" customHeight="true" outlineLevel="0" collapsed="false">
      <c r="A1421" s="18" t="n">
        <v>910</v>
      </c>
      <c r="B1421" s="25"/>
      <c r="C1421" s="26"/>
      <c r="D1421" s="26"/>
      <c r="E1421" s="26"/>
      <c r="F1421" s="24" t="str">
        <f aca="false">IFERROR(INDEX('Operator Master'!$B$5:$B$504,MATCH(E1421,'Operator Master'!$A$5:$A$504,0)),"")</f>
        <v/>
      </c>
      <c r="G1421" s="26"/>
      <c r="H1421" s="24" t="str">
        <f aca="false">IFERROR(INDEX('Fault Master'!$B$5:$B$104,MATCH(G1421,'Fault Master'!$A$5:$A$104,0)),"")</f>
        <v/>
      </c>
      <c r="I1421" s="24" t="str">
        <f aca="false">IFERROR(INDEX('Fault Master'!$C$5:$C$104,MATCH(G1421,'Fault Master'!$A$5:$A$104,0)),"")</f>
        <v/>
      </c>
      <c r="J1421" s="26"/>
      <c r="K1421" s="26"/>
      <c r="L1421" s="26"/>
      <c r="M1421" s="26"/>
      <c r="N1421" s="26"/>
      <c r="O1421" s="26"/>
      <c r="P1421" s="34"/>
    </row>
    <row r="1422" customFormat="false" ht="15" hidden="false" customHeight="true" outlineLevel="0" collapsed="false">
      <c r="A1422" s="18" t="n">
        <v>911</v>
      </c>
      <c r="B1422" s="25"/>
      <c r="C1422" s="26"/>
      <c r="D1422" s="26"/>
      <c r="E1422" s="26"/>
      <c r="F1422" s="24" t="str">
        <f aca="false">IFERROR(INDEX('Operator Master'!$B$5:$B$504,MATCH(E1422,'Operator Master'!$A$5:$A$504,0)),"")</f>
        <v/>
      </c>
      <c r="G1422" s="26"/>
      <c r="H1422" s="24" t="str">
        <f aca="false">IFERROR(INDEX('Fault Master'!$B$5:$B$104,MATCH(G1422,'Fault Master'!$A$5:$A$104,0)),"")</f>
        <v/>
      </c>
      <c r="I1422" s="24" t="str">
        <f aca="false">IFERROR(INDEX('Fault Master'!$C$5:$C$104,MATCH(G1422,'Fault Master'!$A$5:$A$104,0)),"")</f>
        <v/>
      </c>
      <c r="J1422" s="26"/>
      <c r="K1422" s="26"/>
      <c r="L1422" s="26"/>
      <c r="M1422" s="26"/>
      <c r="N1422" s="26"/>
      <c r="O1422" s="26"/>
      <c r="P1422" s="34"/>
    </row>
    <row r="1423" customFormat="false" ht="15" hidden="false" customHeight="true" outlineLevel="0" collapsed="false">
      <c r="A1423" s="18" t="n">
        <v>912</v>
      </c>
      <c r="B1423" s="25"/>
      <c r="C1423" s="26"/>
      <c r="D1423" s="26"/>
      <c r="E1423" s="26"/>
      <c r="F1423" s="24" t="str">
        <f aca="false">IFERROR(INDEX('Operator Master'!$B$5:$B$504,MATCH(E1423,'Operator Master'!$A$5:$A$504,0)),"")</f>
        <v/>
      </c>
      <c r="G1423" s="26"/>
      <c r="H1423" s="24" t="str">
        <f aca="false">IFERROR(INDEX('Fault Master'!$B$5:$B$104,MATCH(G1423,'Fault Master'!$A$5:$A$104,0)),"")</f>
        <v/>
      </c>
      <c r="I1423" s="24" t="str">
        <f aca="false">IFERROR(INDEX('Fault Master'!$C$5:$C$104,MATCH(G1423,'Fault Master'!$A$5:$A$104,0)),"")</f>
        <v/>
      </c>
      <c r="J1423" s="26"/>
      <c r="K1423" s="26"/>
      <c r="L1423" s="26"/>
      <c r="M1423" s="26"/>
      <c r="N1423" s="26"/>
      <c r="O1423" s="26"/>
      <c r="P1423" s="34"/>
    </row>
    <row r="1424" customFormat="false" ht="15" hidden="false" customHeight="true" outlineLevel="0" collapsed="false">
      <c r="A1424" s="18" t="n">
        <v>913</v>
      </c>
      <c r="B1424" s="25"/>
      <c r="C1424" s="26"/>
      <c r="D1424" s="26"/>
      <c r="E1424" s="26"/>
      <c r="F1424" s="24" t="str">
        <f aca="false">IFERROR(INDEX('Operator Master'!$B$5:$B$504,MATCH(E1424,'Operator Master'!$A$5:$A$504,0)),"")</f>
        <v/>
      </c>
      <c r="G1424" s="26"/>
      <c r="H1424" s="24" t="str">
        <f aca="false">IFERROR(INDEX('Fault Master'!$B$5:$B$104,MATCH(G1424,'Fault Master'!$A$5:$A$104,0)),"")</f>
        <v/>
      </c>
      <c r="I1424" s="24" t="str">
        <f aca="false">IFERROR(INDEX('Fault Master'!$C$5:$C$104,MATCH(G1424,'Fault Master'!$A$5:$A$104,0)),"")</f>
        <v/>
      </c>
      <c r="J1424" s="26"/>
      <c r="K1424" s="26"/>
      <c r="L1424" s="26"/>
      <c r="M1424" s="26"/>
      <c r="N1424" s="26"/>
      <c r="O1424" s="26"/>
      <c r="P1424" s="34"/>
    </row>
    <row r="1425" customFormat="false" ht="15" hidden="false" customHeight="true" outlineLevel="0" collapsed="false">
      <c r="A1425" s="18" t="n">
        <v>914</v>
      </c>
      <c r="B1425" s="25"/>
      <c r="C1425" s="26"/>
      <c r="D1425" s="26"/>
      <c r="E1425" s="26"/>
      <c r="F1425" s="24" t="str">
        <f aca="false">IFERROR(INDEX('Operator Master'!$B$5:$B$504,MATCH(E1425,'Operator Master'!$A$5:$A$504,0)),"")</f>
        <v/>
      </c>
      <c r="G1425" s="26"/>
      <c r="H1425" s="24" t="str">
        <f aca="false">IFERROR(INDEX('Fault Master'!$B$5:$B$104,MATCH(G1425,'Fault Master'!$A$5:$A$104,0)),"")</f>
        <v/>
      </c>
      <c r="I1425" s="24" t="str">
        <f aca="false">IFERROR(INDEX('Fault Master'!$C$5:$C$104,MATCH(G1425,'Fault Master'!$A$5:$A$104,0)),"")</f>
        <v/>
      </c>
      <c r="J1425" s="26"/>
      <c r="K1425" s="26"/>
      <c r="L1425" s="26"/>
      <c r="M1425" s="26"/>
      <c r="N1425" s="26"/>
      <c r="O1425" s="26"/>
      <c r="P1425" s="34"/>
    </row>
    <row r="1426" customFormat="false" ht="15" hidden="false" customHeight="true" outlineLevel="0" collapsed="false">
      <c r="A1426" s="18" t="n">
        <v>915</v>
      </c>
      <c r="B1426" s="25"/>
      <c r="C1426" s="26"/>
      <c r="D1426" s="26"/>
      <c r="E1426" s="26"/>
      <c r="F1426" s="24" t="str">
        <f aca="false">IFERROR(INDEX('Operator Master'!$B$5:$B$504,MATCH(E1426,'Operator Master'!$A$5:$A$504,0)),"")</f>
        <v/>
      </c>
      <c r="G1426" s="26"/>
      <c r="H1426" s="24" t="str">
        <f aca="false">IFERROR(INDEX('Fault Master'!$B$5:$B$104,MATCH(G1426,'Fault Master'!$A$5:$A$104,0)),"")</f>
        <v/>
      </c>
      <c r="I1426" s="24" t="str">
        <f aca="false">IFERROR(INDEX('Fault Master'!$C$5:$C$104,MATCH(G1426,'Fault Master'!$A$5:$A$104,0)),"")</f>
        <v/>
      </c>
      <c r="J1426" s="26"/>
      <c r="K1426" s="26"/>
      <c r="L1426" s="26"/>
      <c r="M1426" s="26"/>
      <c r="N1426" s="26"/>
      <c r="O1426" s="26"/>
      <c r="P1426" s="34"/>
    </row>
    <row r="1427" customFormat="false" ht="15" hidden="false" customHeight="true" outlineLevel="0" collapsed="false">
      <c r="A1427" s="18" t="n">
        <v>916</v>
      </c>
      <c r="B1427" s="25"/>
      <c r="C1427" s="26"/>
      <c r="D1427" s="26"/>
      <c r="E1427" s="26"/>
      <c r="F1427" s="24" t="str">
        <f aca="false">IFERROR(INDEX('Operator Master'!$B$5:$B$504,MATCH(E1427,'Operator Master'!$A$5:$A$504,0)),"")</f>
        <v/>
      </c>
      <c r="G1427" s="26"/>
      <c r="H1427" s="24" t="str">
        <f aca="false">IFERROR(INDEX('Fault Master'!$B$5:$B$104,MATCH(G1427,'Fault Master'!$A$5:$A$104,0)),"")</f>
        <v/>
      </c>
      <c r="I1427" s="24" t="str">
        <f aca="false">IFERROR(INDEX('Fault Master'!$C$5:$C$104,MATCH(G1427,'Fault Master'!$A$5:$A$104,0)),"")</f>
        <v/>
      </c>
      <c r="J1427" s="26"/>
      <c r="K1427" s="26"/>
      <c r="L1427" s="26"/>
      <c r="M1427" s="26"/>
      <c r="N1427" s="26"/>
      <c r="O1427" s="26"/>
      <c r="P1427" s="34"/>
    </row>
    <row r="1428" customFormat="false" ht="15" hidden="false" customHeight="true" outlineLevel="0" collapsed="false">
      <c r="A1428" s="18" t="n">
        <v>917</v>
      </c>
      <c r="B1428" s="25"/>
      <c r="C1428" s="26"/>
      <c r="D1428" s="26"/>
      <c r="E1428" s="26"/>
      <c r="F1428" s="24" t="str">
        <f aca="false">IFERROR(INDEX('Operator Master'!$B$5:$B$504,MATCH(E1428,'Operator Master'!$A$5:$A$504,0)),"")</f>
        <v/>
      </c>
      <c r="G1428" s="26"/>
      <c r="H1428" s="24" t="str">
        <f aca="false">IFERROR(INDEX('Fault Master'!$B$5:$B$104,MATCH(G1428,'Fault Master'!$A$5:$A$104,0)),"")</f>
        <v/>
      </c>
      <c r="I1428" s="24" t="str">
        <f aca="false">IFERROR(INDEX('Fault Master'!$C$5:$C$104,MATCH(G1428,'Fault Master'!$A$5:$A$104,0)),"")</f>
        <v/>
      </c>
      <c r="J1428" s="26"/>
      <c r="K1428" s="26"/>
      <c r="L1428" s="26"/>
      <c r="M1428" s="26"/>
      <c r="N1428" s="26"/>
      <c r="O1428" s="26"/>
      <c r="P1428" s="34"/>
    </row>
    <row r="1429" customFormat="false" ht="15" hidden="false" customHeight="true" outlineLevel="0" collapsed="false">
      <c r="A1429" s="18" t="n">
        <v>918</v>
      </c>
      <c r="B1429" s="25"/>
      <c r="C1429" s="26"/>
      <c r="D1429" s="26"/>
      <c r="E1429" s="26"/>
      <c r="F1429" s="24" t="str">
        <f aca="false">IFERROR(INDEX('Operator Master'!$B$5:$B$504,MATCH(E1429,'Operator Master'!$A$5:$A$504,0)),"")</f>
        <v/>
      </c>
      <c r="G1429" s="26"/>
      <c r="H1429" s="24" t="str">
        <f aca="false">IFERROR(INDEX('Fault Master'!$B$5:$B$104,MATCH(G1429,'Fault Master'!$A$5:$A$104,0)),"")</f>
        <v/>
      </c>
      <c r="I1429" s="24" t="str">
        <f aca="false">IFERROR(INDEX('Fault Master'!$C$5:$C$104,MATCH(G1429,'Fault Master'!$A$5:$A$104,0)),"")</f>
        <v/>
      </c>
      <c r="J1429" s="26"/>
      <c r="K1429" s="26"/>
      <c r="L1429" s="26"/>
      <c r="M1429" s="26"/>
      <c r="N1429" s="26"/>
      <c r="O1429" s="26"/>
      <c r="P1429" s="34"/>
    </row>
    <row r="1430" customFormat="false" ht="15" hidden="false" customHeight="true" outlineLevel="0" collapsed="false">
      <c r="A1430" s="18" t="n">
        <v>919</v>
      </c>
      <c r="B1430" s="25"/>
      <c r="C1430" s="26"/>
      <c r="D1430" s="26"/>
      <c r="E1430" s="26"/>
      <c r="F1430" s="24" t="str">
        <f aca="false">IFERROR(INDEX('Operator Master'!$B$5:$B$504,MATCH(E1430,'Operator Master'!$A$5:$A$504,0)),"")</f>
        <v/>
      </c>
      <c r="G1430" s="26"/>
      <c r="H1430" s="24" t="str">
        <f aca="false">IFERROR(INDEX('Fault Master'!$B$5:$B$104,MATCH(G1430,'Fault Master'!$A$5:$A$104,0)),"")</f>
        <v/>
      </c>
      <c r="I1430" s="24" t="str">
        <f aca="false">IFERROR(INDEX('Fault Master'!$C$5:$C$104,MATCH(G1430,'Fault Master'!$A$5:$A$104,0)),"")</f>
        <v/>
      </c>
      <c r="J1430" s="26"/>
      <c r="K1430" s="26"/>
      <c r="L1430" s="26"/>
      <c r="M1430" s="26"/>
      <c r="N1430" s="26"/>
      <c r="O1430" s="26"/>
      <c r="P1430" s="34"/>
    </row>
    <row r="1431" customFormat="false" ht="15" hidden="false" customHeight="true" outlineLevel="0" collapsed="false">
      <c r="A1431" s="18" t="n">
        <v>920</v>
      </c>
      <c r="B1431" s="25"/>
      <c r="C1431" s="26"/>
      <c r="D1431" s="26"/>
      <c r="E1431" s="26"/>
      <c r="F1431" s="24" t="str">
        <f aca="false">IFERROR(INDEX('Operator Master'!$B$5:$B$504,MATCH(E1431,'Operator Master'!$A$5:$A$504,0)),"")</f>
        <v/>
      </c>
      <c r="G1431" s="26"/>
      <c r="H1431" s="24" t="str">
        <f aca="false">IFERROR(INDEX('Fault Master'!$B$5:$B$104,MATCH(G1431,'Fault Master'!$A$5:$A$104,0)),"")</f>
        <v/>
      </c>
      <c r="I1431" s="24" t="str">
        <f aca="false">IFERROR(INDEX('Fault Master'!$C$5:$C$104,MATCH(G1431,'Fault Master'!$A$5:$A$104,0)),"")</f>
        <v/>
      </c>
      <c r="J1431" s="26"/>
      <c r="K1431" s="26"/>
      <c r="L1431" s="26"/>
      <c r="M1431" s="26"/>
      <c r="N1431" s="26"/>
      <c r="O1431" s="26"/>
      <c r="P1431" s="34"/>
    </row>
    <row r="1432" customFormat="false" ht="15" hidden="false" customHeight="true" outlineLevel="0" collapsed="false">
      <c r="A1432" s="18" t="n">
        <v>921</v>
      </c>
      <c r="B1432" s="25"/>
      <c r="C1432" s="26"/>
      <c r="D1432" s="26"/>
      <c r="E1432" s="26"/>
      <c r="F1432" s="24" t="str">
        <f aca="false">IFERROR(INDEX('Operator Master'!$B$5:$B$504,MATCH(E1432,'Operator Master'!$A$5:$A$504,0)),"")</f>
        <v/>
      </c>
      <c r="G1432" s="26"/>
      <c r="H1432" s="24" t="str">
        <f aca="false">IFERROR(INDEX('Fault Master'!$B$5:$B$104,MATCH(G1432,'Fault Master'!$A$5:$A$104,0)),"")</f>
        <v/>
      </c>
      <c r="I1432" s="24" t="str">
        <f aca="false">IFERROR(INDEX('Fault Master'!$C$5:$C$104,MATCH(G1432,'Fault Master'!$A$5:$A$104,0)),"")</f>
        <v/>
      </c>
      <c r="J1432" s="26"/>
      <c r="K1432" s="26"/>
      <c r="L1432" s="26"/>
      <c r="M1432" s="26"/>
      <c r="N1432" s="26"/>
      <c r="O1432" s="26"/>
      <c r="P1432" s="34"/>
    </row>
    <row r="1433" customFormat="false" ht="15" hidden="false" customHeight="true" outlineLevel="0" collapsed="false">
      <c r="A1433" s="18" t="n">
        <v>922</v>
      </c>
      <c r="B1433" s="25"/>
      <c r="C1433" s="26"/>
      <c r="D1433" s="26"/>
      <c r="E1433" s="26"/>
      <c r="F1433" s="24" t="str">
        <f aca="false">IFERROR(INDEX('Operator Master'!$B$5:$B$504,MATCH(E1433,'Operator Master'!$A$5:$A$504,0)),"")</f>
        <v/>
      </c>
      <c r="G1433" s="26"/>
      <c r="H1433" s="24" t="str">
        <f aca="false">IFERROR(INDEX('Fault Master'!$B$5:$B$104,MATCH(G1433,'Fault Master'!$A$5:$A$104,0)),"")</f>
        <v/>
      </c>
      <c r="I1433" s="24" t="str">
        <f aca="false">IFERROR(INDEX('Fault Master'!$C$5:$C$104,MATCH(G1433,'Fault Master'!$A$5:$A$104,0)),"")</f>
        <v/>
      </c>
      <c r="J1433" s="26"/>
      <c r="K1433" s="26"/>
      <c r="L1433" s="26"/>
      <c r="M1433" s="26"/>
      <c r="N1433" s="26"/>
      <c r="O1433" s="26"/>
      <c r="P1433" s="34"/>
    </row>
    <row r="1434" customFormat="false" ht="15" hidden="false" customHeight="true" outlineLevel="0" collapsed="false">
      <c r="A1434" s="18" t="n">
        <v>923</v>
      </c>
      <c r="B1434" s="25"/>
      <c r="C1434" s="26"/>
      <c r="D1434" s="26"/>
      <c r="E1434" s="26"/>
      <c r="F1434" s="24" t="str">
        <f aca="false">IFERROR(INDEX('Operator Master'!$B$5:$B$504,MATCH(E1434,'Operator Master'!$A$5:$A$504,0)),"")</f>
        <v/>
      </c>
      <c r="G1434" s="26"/>
      <c r="H1434" s="24" t="str">
        <f aca="false">IFERROR(INDEX('Fault Master'!$B$5:$B$104,MATCH(G1434,'Fault Master'!$A$5:$A$104,0)),"")</f>
        <v/>
      </c>
      <c r="I1434" s="24" t="str">
        <f aca="false">IFERROR(INDEX('Fault Master'!$C$5:$C$104,MATCH(G1434,'Fault Master'!$A$5:$A$104,0)),"")</f>
        <v/>
      </c>
      <c r="J1434" s="26"/>
      <c r="K1434" s="26"/>
      <c r="L1434" s="26"/>
      <c r="M1434" s="26"/>
      <c r="N1434" s="26"/>
      <c r="O1434" s="26"/>
      <c r="P1434" s="34"/>
    </row>
    <row r="1435" customFormat="false" ht="15" hidden="false" customHeight="true" outlineLevel="0" collapsed="false">
      <c r="A1435" s="18" t="n">
        <v>924</v>
      </c>
      <c r="B1435" s="25"/>
      <c r="C1435" s="26"/>
      <c r="D1435" s="26"/>
      <c r="E1435" s="26"/>
      <c r="F1435" s="24" t="str">
        <f aca="false">IFERROR(INDEX('Operator Master'!$B$5:$B$504,MATCH(E1435,'Operator Master'!$A$5:$A$504,0)),"")</f>
        <v/>
      </c>
      <c r="G1435" s="26"/>
      <c r="H1435" s="24" t="str">
        <f aca="false">IFERROR(INDEX('Fault Master'!$B$5:$B$104,MATCH(G1435,'Fault Master'!$A$5:$A$104,0)),"")</f>
        <v/>
      </c>
      <c r="I1435" s="24" t="str">
        <f aca="false">IFERROR(INDEX('Fault Master'!$C$5:$C$104,MATCH(G1435,'Fault Master'!$A$5:$A$104,0)),"")</f>
        <v/>
      </c>
      <c r="J1435" s="26"/>
      <c r="K1435" s="26"/>
      <c r="L1435" s="26"/>
      <c r="M1435" s="26"/>
      <c r="N1435" s="26"/>
      <c r="O1435" s="26"/>
      <c r="P1435" s="34"/>
    </row>
    <row r="1436" customFormat="false" ht="15" hidden="false" customHeight="true" outlineLevel="0" collapsed="false">
      <c r="A1436" s="18" t="n">
        <v>925</v>
      </c>
      <c r="B1436" s="25"/>
      <c r="C1436" s="26"/>
      <c r="D1436" s="26"/>
      <c r="E1436" s="26"/>
      <c r="F1436" s="24" t="str">
        <f aca="false">IFERROR(INDEX('Operator Master'!$B$5:$B$504,MATCH(E1436,'Operator Master'!$A$5:$A$504,0)),"")</f>
        <v/>
      </c>
      <c r="G1436" s="26"/>
      <c r="H1436" s="24" t="str">
        <f aca="false">IFERROR(INDEX('Fault Master'!$B$5:$B$104,MATCH(G1436,'Fault Master'!$A$5:$A$104,0)),"")</f>
        <v/>
      </c>
      <c r="I1436" s="24" t="str">
        <f aca="false">IFERROR(INDEX('Fault Master'!$C$5:$C$104,MATCH(G1436,'Fault Master'!$A$5:$A$104,0)),"")</f>
        <v/>
      </c>
      <c r="J1436" s="26"/>
      <c r="K1436" s="26"/>
      <c r="L1436" s="26"/>
      <c r="M1436" s="26"/>
      <c r="N1436" s="26"/>
      <c r="O1436" s="26"/>
      <c r="P1436" s="34"/>
    </row>
    <row r="1437" customFormat="false" ht="15" hidden="false" customHeight="true" outlineLevel="0" collapsed="false">
      <c r="A1437" s="18" t="n">
        <v>926</v>
      </c>
      <c r="B1437" s="25"/>
      <c r="C1437" s="26"/>
      <c r="D1437" s="26"/>
      <c r="E1437" s="26"/>
      <c r="F1437" s="24" t="str">
        <f aca="false">IFERROR(INDEX('Operator Master'!$B$5:$B$504,MATCH(E1437,'Operator Master'!$A$5:$A$504,0)),"")</f>
        <v/>
      </c>
      <c r="G1437" s="26"/>
      <c r="H1437" s="24" t="str">
        <f aca="false">IFERROR(INDEX('Fault Master'!$B$5:$B$104,MATCH(G1437,'Fault Master'!$A$5:$A$104,0)),"")</f>
        <v/>
      </c>
      <c r="I1437" s="24" t="str">
        <f aca="false">IFERROR(INDEX('Fault Master'!$C$5:$C$104,MATCH(G1437,'Fault Master'!$A$5:$A$104,0)),"")</f>
        <v/>
      </c>
      <c r="J1437" s="26"/>
      <c r="K1437" s="26"/>
      <c r="L1437" s="26"/>
      <c r="M1437" s="26"/>
      <c r="N1437" s="26"/>
      <c r="O1437" s="26"/>
      <c r="P1437" s="34"/>
    </row>
    <row r="1438" customFormat="false" ht="15" hidden="false" customHeight="true" outlineLevel="0" collapsed="false">
      <c r="A1438" s="18" t="n">
        <v>927</v>
      </c>
      <c r="B1438" s="25"/>
      <c r="C1438" s="26"/>
      <c r="D1438" s="26"/>
      <c r="E1438" s="26"/>
      <c r="F1438" s="24" t="str">
        <f aca="false">IFERROR(INDEX('Operator Master'!$B$5:$B$504,MATCH(E1438,'Operator Master'!$A$5:$A$504,0)),"")</f>
        <v/>
      </c>
      <c r="G1438" s="26"/>
      <c r="H1438" s="24" t="str">
        <f aca="false">IFERROR(INDEX('Fault Master'!$B$5:$B$104,MATCH(G1438,'Fault Master'!$A$5:$A$104,0)),"")</f>
        <v/>
      </c>
      <c r="I1438" s="24" t="str">
        <f aca="false">IFERROR(INDEX('Fault Master'!$C$5:$C$104,MATCH(G1438,'Fault Master'!$A$5:$A$104,0)),"")</f>
        <v/>
      </c>
      <c r="J1438" s="26"/>
      <c r="K1438" s="26"/>
      <c r="L1438" s="26"/>
      <c r="M1438" s="26"/>
      <c r="N1438" s="26"/>
      <c r="O1438" s="26"/>
      <c r="P1438" s="34"/>
    </row>
    <row r="1439" customFormat="false" ht="15" hidden="false" customHeight="true" outlineLevel="0" collapsed="false">
      <c r="A1439" s="18" t="n">
        <v>928</v>
      </c>
      <c r="B1439" s="25"/>
      <c r="C1439" s="26"/>
      <c r="D1439" s="26"/>
      <c r="E1439" s="26"/>
      <c r="F1439" s="24" t="str">
        <f aca="false">IFERROR(INDEX('Operator Master'!$B$5:$B$504,MATCH(E1439,'Operator Master'!$A$5:$A$504,0)),"")</f>
        <v/>
      </c>
      <c r="G1439" s="26"/>
      <c r="H1439" s="24" t="str">
        <f aca="false">IFERROR(INDEX('Fault Master'!$B$5:$B$104,MATCH(G1439,'Fault Master'!$A$5:$A$104,0)),"")</f>
        <v/>
      </c>
      <c r="I1439" s="24" t="str">
        <f aca="false">IFERROR(INDEX('Fault Master'!$C$5:$C$104,MATCH(G1439,'Fault Master'!$A$5:$A$104,0)),"")</f>
        <v/>
      </c>
      <c r="J1439" s="26"/>
      <c r="K1439" s="26"/>
      <c r="L1439" s="26"/>
      <c r="M1439" s="26"/>
      <c r="N1439" s="26"/>
      <c r="O1439" s="26"/>
      <c r="P1439" s="34"/>
    </row>
    <row r="1440" customFormat="false" ht="15" hidden="false" customHeight="true" outlineLevel="0" collapsed="false">
      <c r="A1440" s="18" t="n">
        <v>929</v>
      </c>
      <c r="B1440" s="25"/>
      <c r="C1440" s="26"/>
      <c r="D1440" s="26"/>
      <c r="E1440" s="26"/>
      <c r="F1440" s="24" t="str">
        <f aca="false">IFERROR(INDEX('Operator Master'!$B$5:$B$504,MATCH(E1440,'Operator Master'!$A$5:$A$504,0)),"")</f>
        <v/>
      </c>
      <c r="G1440" s="26"/>
      <c r="H1440" s="24" t="str">
        <f aca="false">IFERROR(INDEX('Fault Master'!$B$5:$B$104,MATCH(G1440,'Fault Master'!$A$5:$A$104,0)),"")</f>
        <v/>
      </c>
      <c r="I1440" s="24" t="str">
        <f aca="false">IFERROR(INDEX('Fault Master'!$C$5:$C$104,MATCH(G1440,'Fault Master'!$A$5:$A$104,0)),"")</f>
        <v/>
      </c>
      <c r="J1440" s="26"/>
      <c r="K1440" s="26"/>
      <c r="L1440" s="26"/>
      <c r="M1440" s="26"/>
      <c r="N1440" s="26"/>
      <c r="O1440" s="26"/>
      <c r="P1440" s="34"/>
    </row>
    <row r="1441" customFormat="false" ht="15" hidden="false" customHeight="true" outlineLevel="0" collapsed="false">
      <c r="A1441" s="18" t="n">
        <v>930</v>
      </c>
      <c r="B1441" s="25"/>
      <c r="C1441" s="26"/>
      <c r="D1441" s="26"/>
      <c r="E1441" s="26"/>
      <c r="F1441" s="24" t="str">
        <f aca="false">IFERROR(INDEX('Operator Master'!$B$5:$B$504,MATCH(E1441,'Operator Master'!$A$5:$A$504,0)),"")</f>
        <v/>
      </c>
      <c r="G1441" s="26"/>
      <c r="H1441" s="24" t="str">
        <f aca="false">IFERROR(INDEX('Fault Master'!$B$5:$B$104,MATCH(G1441,'Fault Master'!$A$5:$A$104,0)),"")</f>
        <v/>
      </c>
      <c r="I1441" s="24" t="str">
        <f aca="false">IFERROR(INDEX('Fault Master'!$C$5:$C$104,MATCH(G1441,'Fault Master'!$A$5:$A$104,0)),"")</f>
        <v/>
      </c>
      <c r="J1441" s="26"/>
      <c r="K1441" s="26"/>
      <c r="L1441" s="26"/>
      <c r="M1441" s="26"/>
      <c r="N1441" s="26"/>
      <c r="O1441" s="26"/>
      <c r="P1441" s="34"/>
    </row>
    <row r="1442" customFormat="false" ht="15" hidden="false" customHeight="true" outlineLevel="0" collapsed="false">
      <c r="A1442" s="18" t="n">
        <v>931</v>
      </c>
      <c r="B1442" s="25"/>
      <c r="C1442" s="26"/>
      <c r="D1442" s="26"/>
      <c r="E1442" s="26"/>
      <c r="F1442" s="24" t="str">
        <f aca="false">IFERROR(INDEX('Operator Master'!$B$5:$B$504,MATCH(E1442,'Operator Master'!$A$5:$A$504,0)),"")</f>
        <v/>
      </c>
      <c r="G1442" s="26"/>
      <c r="H1442" s="24" t="str">
        <f aca="false">IFERROR(INDEX('Fault Master'!$B$5:$B$104,MATCH(G1442,'Fault Master'!$A$5:$A$104,0)),"")</f>
        <v/>
      </c>
      <c r="I1442" s="24" t="str">
        <f aca="false">IFERROR(INDEX('Fault Master'!$C$5:$C$104,MATCH(G1442,'Fault Master'!$A$5:$A$104,0)),"")</f>
        <v/>
      </c>
      <c r="J1442" s="26"/>
      <c r="K1442" s="26"/>
      <c r="L1442" s="26"/>
      <c r="M1442" s="26"/>
      <c r="N1442" s="26"/>
      <c r="O1442" s="26"/>
      <c r="P1442" s="34"/>
    </row>
    <row r="1443" customFormat="false" ht="15" hidden="false" customHeight="true" outlineLevel="0" collapsed="false">
      <c r="A1443" s="18" t="n">
        <v>932</v>
      </c>
      <c r="B1443" s="25"/>
      <c r="C1443" s="26"/>
      <c r="D1443" s="26"/>
      <c r="E1443" s="26"/>
      <c r="F1443" s="24" t="str">
        <f aca="false">IFERROR(INDEX('Operator Master'!$B$5:$B$504,MATCH(E1443,'Operator Master'!$A$5:$A$504,0)),"")</f>
        <v/>
      </c>
      <c r="G1443" s="26"/>
      <c r="H1443" s="24" t="str">
        <f aca="false">IFERROR(INDEX('Fault Master'!$B$5:$B$104,MATCH(G1443,'Fault Master'!$A$5:$A$104,0)),"")</f>
        <v/>
      </c>
      <c r="I1443" s="24" t="str">
        <f aca="false">IFERROR(INDEX('Fault Master'!$C$5:$C$104,MATCH(G1443,'Fault Master'!$A$5:$A$104,0)),"")</f>
        <v/>
      </c>
      <c r="J1443" s="26"/>
      <c r="K1443" s="26"/>
      <c r="L1443" s="26"/>
      <c r="M1443" s="26"/>
      <c r="N1443" s="26"/>
      <c r="O1443" s="26"/>
      <c r="P1443" s="34"/>
    </row>
    <row r="1444" customFormat="false" ht="15" hidden="false" customHeight="true" outlineLevel="0" collapsed="false">
      <c r="A1444" s="18" t="n">
        <v>933</v>
      </c>
      <c r="B1444" s="25"/>
      <c r="C1444" s="26"/>
      <c r="D1444" s="26"/>
      <c r="E1444" s="26"/>
      <c r="F1444" s="24" t="str">
        <f aca="false">IFERROR(INDEX('Operator Master'!$B$5:$B$504,MATCH(E1444,'Operator Master'!$A$5:$A$504,0)),"")</f>
        <v/>
      </c>
      <c r="G1444" s="26"/>
      <c r="H1444" s="24" t="str">
        <f aca="false">IFERROR(INDEX('Fault Master'!$B$5:$B$104,MATCH(G1444,'Fault Master'!$A$5:$A$104,0)),"")</f>
        <v/>
      </c>
      <c r="I1444" s="24" t="str">
        <f aca="false">IFERROR(INDEX('Fault Master'!$C$5:$C$104,MATCH(G1444,'Fault Master'!$A$5:$A$104,0)),"")</f>
        <v/>
      </c>
      <c r="J1444" s="26"/>
      <c r="K1444" s="26"/>
      <c r="L1444" s="26"/>
      <c r="M1444" s="26"/>
      <c r="N1444" s="26"/>
      <c r="O1444" s="26"/>
      <c r="P1444" s="34"/>
    </row>
    <row r="1445" customFormat="false" ht="15" hidden="false" customHeight="true" outlineLevel="0" collapsed="false">
      <c r="A1445" s="18" t="n">
        <v>934</v>
      </c>
      <c r="B1445" s="25"/>
      <c r="C1445" s="26"/>
      <c r="D1445" s="26"/>
      <c r="E1445" s="26"/>
      <c r="F1445" s="24" t="str">
        <f aca="false">IFERROR(INDEX('Operator Master'!$B$5:$B$504,MATCH(E1445,'Operator Master'!$A$5:$A$504,0)),"")</f>
        <v/>
      </c>
      <c r="G1445" s="26"/>
      <c r="H1445" s="24" t="str">
        <f aca="false">IFERROR(INDEX('Fault Master'!$B$5:$B$104,MATCH(G1445,'Fault Master'!$A$5:$A$104,0)),"")</f>
        <v/>
      </c>
      <c r="I1445" s="24" t="str">
        <f aca="false">IFERROR(INDEX('Fault Master'!$C$5:$C$104,MATCH(G1445,'Fault Master'!$A$5:$A$104,0)),"")</f>
        <v/>
      </c>
      <c r="J1445" s="26"/>
      <c r="K1445" s="26"/>
      <c r="L1445" s="26"/>
      <c r="M1445" s="26"/>
      <c r="N1445" s="26"/>
      <c r="O1445" s="26"/>
      <c r="P1445" s="34"/>
    </row>
    <row r="1446" customFormat="false" ht="15" hidden="false" customHeight="true" outlineLevel="0" collapsed="false">
      <c r="A1446" s="18" t="n">
        <v>935</v>
      </c>
      <c r="B1446" s="25"/>
      <c r="C1446" s="26"/>
      <c r="D1446" s="26"/>
      <c r="E1446" s="26"/>
      <c r="F1446" s="24" t="str">
        <f aca="false">IFERROR(INDEX('Operator Master'!$B$5:$B$504,MATCH(E1446,'Operator Master'!$A$5:$A$504,0)),"")</f>
        <v/>
      </c>
      <c r="G1446" s="26"/>
      <c r="H1446" s="24" t="str">
        <f aca="false">IFERROR(INDEX('Fault Master'!$B$5:$B$104,MATCH(G1446,'Fault Master'!$A$5:$A$104,0)),"")</f>
        <v/>
      </c>
      <c r="I1446" s="24" t="str">
        <f aca="false">IFERROR(INDEX('Fault Master'!$C$5:$C$104,MATCH(G1446,'Fault Master'!$A$5:$A$104,0)),"")</f>
        <v/>
      </c>
      <c r="J1446" s="26"/>
      <c r="K1446" s="26"/>
      <c r="L1446" s="26"/>
      <c r="M1446" s="26"/>
      <c r="N1446" s="26"/>
      <c r="O1446" s="26"/>
      <c r="P1446" s="34"/>
    </row>
    <row r="1447" customFormat="false" ht="15" hidden="false" customHeight="true" outlineLevel="0" collapsed="false">
      <c r="A1447" s="18" t="n">
        <v>936</v>
      </c>
      <c r="B1447" s="25"/>
      <c r="C1447" s="26"/>
      <c r="D1447" s="26"/>
      <c r="E1447" s="26"/>
      <c r="F1447" s="24" t="str">
        <f aca="false">IFERROR(INDEX('Operator Master'!$B$5:$B$504,MATCH(E1447,'Operator Master'!$A$5:$A$504,0)),"")</f>
        <v/>
      </c>
      <c r="G1447" s="26"/>
      <c r="H1447" s="24" t="str">
        <f aca="false">IFERROR(INDEX('Fault Master'!$B$5:$B$104,MATCH(G1447,'Fault Master'!$A$5:$A$104,0)),"")</f>
        <v/>
      </c>
      <c r="I1447" s="24" t="str">
        <f aca="false">IFERROR(INDEX('Fault Master'!$C$5:$C$104,MATCH(G1447,'Fault Master'!$A$5:$A$104,0)),"")</f>
        <v/>
      </c>
      <c r="J1447" s="26"/>
      <c r="K1447" s="26"/>
      <c r="L1447" s="26"/>
      <c r="M1447" s="26"/>
      <c r="N1447" s="26"/>
      <c r="O1447" s="26"/>
      <c r="P1447" s="34"/>
    </row>
    <row r="1448" customFormat="false" ht="15" hidden="false" customHeight="true" outlineLevel="0" collapsed="false">
      <c r="A1448" s="18" t="n">
        <v>937</v>
      </c>
      <c r="B1448" s="25"/>
      <c r="C1448" s="26"/>
      <c r="D1448" s="26"/>
      <c r="E1448" s="26"/>
      <c r="F1448" s="24" t="str">
        <f aca="false">IFERROR(INDEX('Operator Master'!$B$5:$B$504,MATCH(E1448,'Operator Master'!$A$5:$A$504,0)),"")</f>
        <v/>
      </c>
      <c r="G1448" s="26"/>
      <c r="H1448" s="24" t="str">
        <f aca="false">IFERROR(INDEX('Fault Master'!$B$5:$B$104,MATCH(G1448,'Fault Master'!$A$5:$A$104,0)),"")</f>
        <v/>
      </c>
      <c r="I1448" s="24" t="str">
        <f aca="false">IFERROR(INDEX('Fault Master'!$C$5:$C$104,MATCH(G1448,'Fault Master'!$A$5:$A$104,0)),"")</f>
        <v/>
      </c>
      <c r="J1448" s="26"/>
      <c r="K1448" s="26"/>
      <c r="L1448" s="26"/>
      <c r="M1448" s="26"/>
      <c r="N1448" s="26"/>
      <c r="O1448" s="26"/>
      <c r="P1448" s="34"/>
    </row>
    <row r="1449" customFormat="false" ht="15" hidden="false" customHeight="true" outlineLevel="0" collapsed="false">
      <c r="A1449" s="18" t="n">
        <v>938</v>
      </c>
      <c r="B1449" s="25"/>
      <c r="C1449" s="26"/>
      <c r="D1449" s="26"/>
      <c r="E1449" s="26"/>
      <c r="F1449" s="24" t="str">
        <f aca="false">IFERROR(INDEX('Operator Master'!$B$5:$B$504,MATCH(E1449,'Operator Master'!$A$5:$A$504,0)),"")</f>
        <v/>
      </c>
      <c r="G1449" s="26"/>
      <c r="H1449" s="24" t="str">
        <f aca="false">IFERROR(INDEX('Fault Master'!$B$5:$B$104,MATCH(G1449,'Fault Master'!$A$5:$A$104,0)),"")</f>
        <v/>
      </c>
      <c r="I1449" s="24" t="str">
        <f aca="false">IFERROR(INDEX('Fault Master'!$C$5:$C$104,MATCH(G1449,'Fault Master'!$A$5:$A$104,0)),"")</f>
        <v/>
      </c>
      <c r="J1449" s="26"/>
      <c r="K1449" s="26"/>
      <c r="L1449" s="26"/>
      <c r="M1449" s="26"/>
      <c r="N1449" s="26"/>
      <c r="O1449" s="26"/>
      <c r="P1449" s="34"/>
    </row>
    <row r="1450" customFormat="false" ht="15" hidden="false" customHeight="true" outlineLevel="0" collapsed="false">
      <c r="A1450" s="18" t="n">
        <v>939</v>
      </c>
      <c r="B1450" s="25"/>
      <c r="C1450" s="26"/>
      <c r="D1450" s="26"/>
      <c r="E1450" s="26"/>
      <c r="F1450" s="24" t="str">
        <f aca="false">IFERROR(INDEX('Operator Master'!$B$5:$B$504,MATCH(E1450,'Operator Master'!$A$5:$A$504,0)),"")</f>
        <v/>
      </c>
      <c r="G1450" s="26"/>
      <c r="H1450" s="24" t="str">
        <f aca="false">IFERROR(INDEX('Fault Master'!$B$5:$B$104,MATCH(G1450,'Fault Master'!$A$5:$A$104,0)),"")</f>
        <v/>
      </c>
      <c r="I1450" s="24" t="str">
        <f aca="false">IFERROR(INDEX('Fault Master'!$C$5:$C$104,MATCH(G1450,'Fault Master'!$A$5:$A$104,0)),"")</f>
        <v/>
      </c>
      <c r="J1450" s="26"/>
      <c r="K1450" s="26"/>
      <c r="L1450" s="26"/>
      <c r="M1450" s="26"/>
      <c r="N1450" s="26"/>
      <c r="O1450" s="26"/>
      <c r="P1450" s="34"/>
    </row>
    <row r="1451" customFormat="false" ht="15" hidden="false" customHeight="true" outlineLevel="0" collapsed="false">
      <c r="A1451" s="18" t="n">
        <v>940</v>
      </c>
      <c r="B1451" s="25"/>
      <c r="C1451" s="26"/>
      <c r="D1451" s="26"/>
      <c r="E1451" s="26"/>
      <c r="F1451" s="24" t="str">
        <f aca="false">IFERROR(INDEX('Operator Master'!$B$5:$B$504,MATCH(E1451,'Operator Master'!$A$5:$A$504,0)),"")</f>
        <v/>
      </c>
      <c r="G1451" s="26"/>
      <c r="H1451" s="24" t="str">
        <f aca="false">IFERROR(INDEX('Fault Master'!$B$5:$B$104,MATCH(G1451,'Fault Master'!$A$5:$A$104,0)),"")</f>
        <v/>
      </c>
      <c r="I1451" s="24" t="str">
        <f aca="false">IFERROR(INDEX('Fault Master'!$C$5:$C$104,MATCH(G1451,'Fault Master'!$A$5:$A$104,0)),"")</f>
        <v/>
      </c>
      <c r="J1451" s="26"/>
      <c r="K1451" s="26"/>
      <c r="L1451" s="26"/>
      <c r="M1451" s="26"/>
      <c r="N1451" s="26"/>
      <c r="O1451" s="26"/>
      <c r="P1451" s="34"/>
    </row>
    <row r="1452" customFormat="false" ht="15" hidden="false" customHeight="true" outlineLevel="0" collapsed="false">
      <c r="A1452" s="18" t="n">
        <v>941</v>
      </c>
      <c r="B1452" s="25"/>
      <c r="C1452" s="26"/>
      <c r="D1452" s="26"/>
      <c r="E1452" s="26"/>
      <c r="F1452" s="24" t="str">
        <f aca="false">IFERROR(INDEX('Operator Master'!$B$5:$B$504,MATCH(E1452,'Operator Master'!$A$5:$A$504,0)),"")</f>
        <v/>
      </c>
      <c r="G1452" s="26"/>
      <c r="H1452" s="24" t="str">
        <f aca="false">IFERROR(INDEX('Fault Master'!$B$5:$B$104,MATCH(G1452,'Fault Master'!$A$5:$A$104,0)),"")</f>
        <v/>
      </c>
      <c r="I1452" s="24" t="str">
        <f aca="false">IFERROR(INDEX('Fault Master'!$C$5:$C$104,MATCH(G1452,'Fault Master'!$A$5:$A$104,0)),"")</f>
        <v/>
      </c>
      <c r="J1452" s="26"/>
      <c r="K1452" s="26"/>
      <c r="L1452" s="26"/>
      <c r="M1452" s="26"/>
      <c r="N1452" s="26"/>
      <c r="O1452" s="26"/>
      <c r="P1452" s="34"/>
    </row>
    <row r="1453" customFormat="false" ht="15" hidden="false" customHeight="true" outlineLevel="0" collapsed="false">
      <c r="A1453" s="18" t="n">
        <v>942</v>
      </c>
      <c r="B1453" s="25"/>
      <c r="C1453" s="26"/>
      <c r="D1453" s="26"/>
      <c r="E1453" s="26"/>
      <c r="F1453" s="24" t="str">
        <f aca="false">IFERROR(INDEX('Operator Master'!$B$5:$B$504,MATCH(E1453,'Operator Master'!$A$5:$A$504,0)),"")</f>
        <v/>
      </c>
      <c r="G1453" s="26"/>
      <c r="H1453" s="24" t="str">
        <f aca="false">IFERROR(INDEX('Fault Master'!$B$5:$B$104,MATCH(G1453,'Fault Master'!$A$5:$A$104,0)),"")</f>
        <v/>
      </c>
      <c r="I1453" s="24" t="str">
        <f aca="false">IFERROR(INDEX('Fault Master'!$C$5:$C$104,MATCH(G1453,'Fault Master'!$A$5:$A$104,0)),"")</f>
        <v/>
      </c>
      <c r="J1453" s="26"/>
      <c r="K1453" s="26"/>
      <c r="L1453" s="26"/>
      <c r="M1453" s="26"/>
      <c r="N1453" s="26"/>
      <c r="O1453" s="26"/>
      <c r="P1453" s="34"/>
    </row>
    <row r="1454" customFormat="false" ht="15" hidden="false" customHeight="true" outlineLevel="0" collapsed="false">
      <c r="A1454" s="18" t="n">
        <v>943</v>
      </c>
      <c r="B1454" s="25"/>
      <c r="C1454" s="26"/>
      <c r="D1454" s="26"/>
      <c r="E1454" s="26"/>
      <c r="F1454" s="24" t="str">
        <f aca="false">IFERROR(INDEX('Operator Master'!$B$5:$B$504,MATCH(E1454,'Operator Master'!$A$5:$A$504,0)),"")</f>
        <v/>
      </c>
      <c r="G1454" s="26"/>
      <c r="H1454" s="24" t="str">
        <f aca="false">IFERROR(INDEX('Fault Master'!$B$5:$B$104,MATCH(G1454,'Fault Master'!$A$5:$A$104,0)),"")</f>
        <v/>
      </c>
      <c r="I1454" s="24" t="str">
        <f aca="false">IFERROR(INDEX('Fault Master'!$C$5:$C$104,MATCH(G1454,'Fault Master'!$A$5:$A$104,0)),"")</f>
        <v/>
      </c>
      <c r="J1454" s="26"/>
      <c r="K1454" s="26"/>
      <c r="L1454" s="26"/>
      <c r="M1454" s="26"/>
      <c r="N1454" s="26"/>
      <c r="O1454" s="26"/>
      <c r="P1454" s="34"/>
    </row>
    <row r="1455" customFormat="false" ht="15" hidden="false" customHeight="true" outlineLevel="0" collapsed="false">
      <c r="A1455" s="18" t="n">
        <v>944</v>
      </c>
      <c r="B1455" s="25"/>
      <c r="C1455" s="26"/>
      <c r="D1455" s="26"/>
      <c r="E1455" s="26"/>
      <c r="F1455" s="24" t="str">
        <f aca="false">IFERROR(INDEX('Operator Master'!$B$5:$B$504,MATCH(E1455,'Operator Master'!$A$5:$A$504,0)),"")</f>
        <v/>
      </c>
      <c r="G1455" s="26"/>
      <c r="H1455" s="24" t="str">
        <f aca="false">IFERROR(INDEX('Fault Master'!$B$5:$B$104,MATCH(G1455,'Fault Master'!$A$5:$A$104,0)),"")</f>
        <v/>
      </c>
      <c r="I1455" s="24" t="str">
        <f aca="false">IFERROR(INDEX('Fault Master'!$C$5:$C$104,MATCH(G1455,'Fault Master'!$A$5:$A$104,0)),"")</f>
        <v/>
      </c>
      <c r="J1455" s="26"/>
      <c r="K1455" s="26"/>
      <c r="L1455" s="26"/>
      <c r="M1455" s="26"/>
      <c r="N1455" s="26"/>
      <c r="O1455" s="26"/>
      <c r="P1455" s="34"/>
    </row>
    <row r="1456" customFormat="false" ht="15" hidden="false" customHeight="true" outlineLevel="0" collapsed="false">
      <c r="A1456" s="18" t="n">
        <v>945</v>
      </c>
      <c r="B1456" s="25"/>
      <c r="C1456" s="26"/>
      <c r="D1456" s="26"/>
      <c r="E1456" s="26"/>
      <c r="F1456" s="24" t="str">
        <f aca="false">IFERROR(INDEX('Operator Master'!$B$5:$B$504,MATCH(E1456,'Operator Master'!$A$5:$A$504,0)),"")</f>
        <v/>
      </c>
      <c r="G1456" s="26"/>
      <c r="H1456" s="24" t="str">
        <f aca="false">IFERROR(INDEX('Fault Master'!$B$5:$B$104,MATCH(G1456,'Fault Master'!$A$5:$A$104,0)),"")</f>
        <v/>
      </c>
      <c r="I1456" s="24" t="str">
        <f aca="false">IFERROR(INDEX('Fault Master'!$C$5:$C$104,MATCH(G1456,'Fault Master'!$A$5:$A$104,0)),"")</f>
        <v/>
      </c>
      <c r="J1456" s="26"/>
      <c r="K1456" s="26"/>
      <c r="L1456" s="26"/>
      <c r="M1456" s="26"/>
      <c r="N1456" s="26"/>
      <c r="O1456" s="26"/>
      <c r="P1456" s="34"/>
    </row>
    <row r="1457" customFormat="false" ht="15" hidden="false" customHeight="true" outlineLevel="0" collapsed="false">
      <c r="A1457" s="18" t="n">
        <v>946</v>
      </c>
      <c r="B1457" s="25"/>
      <c r="C1457" s="26"/>
      <c r="D1457" s="26"/>
      <c r="E1457" s="26"/>
      <c r="F1457" s="24" t="str">
        <f aca="false">IFERROR(INDEX('Operator Master'!$B$5:$B$504,MATCH(E1457,'Operator Master'!$A$5:$A$504,0)),"")</f>
        <v/>
      </c>
      <c r="G1457" s="26"/>
      <c r="H1457" s="24" t="str">
        <f aca="false">IFERROR(INDEX('Fault Master'!$B$5:$B$104,MATCH(G1457,'Fault Master'!$A$5:$A$104,0)),"")</f>
        <v/>
      </c>
      <c r="I1457" s="24" t="str">
        <f aca="false">IFERROR(INDEX('Fault Master'!$C$5:$C$104,MATCH(G1457,'Fault Master'!$A$5:$A$104,0)),"")</f>
        <v/>
      </c>
      <c r="J1457" s="26"/>
      <c r="K1457" s="26"/>
      <c r="L1457" s="26"/>
      <c r="M1457" s="26"/>
      <c r="N1457" s="26"/>
      <c r="O1457" s="26"/>
      <c r="P1457" s="34"/>
    </row>
    <row r="1458" customFormat="false" ht="15" hidden="false" customHeight="true" outlineLevel="0" collapsed="false">
      <c r="A1458" s="18" t="n">
        <v>947</v>
      </c>
      <c r="B1458" s="25"/>
      <c r="C1458" s="26"/>
      <c r="D1458" s="26"/>
      <c r="E1458" s="26"/>
      <c r="F1458" s="24" t="str">
        <f aca="false">IFERROR(INDEX('Operator Master'!$B$5:$B$504,MATCH(E1458,'Operator Master'!$A$5:$A$504,0)),"")</f>
        <v/>
      </c>
      <c r="G1458" s="26"/>
      <c r="H1458" s="24" t="str">
        <f aca="false">IFERROR(INDEX('Fault Master'!$B$5:$B$104,MATCH(G1458,'Fault Master'!$A$5:$A$104,0)),"")</f>
        <v/>
      </c>
      <c r="I1458" s="24" t="str">
        <f aca="false">IFERROR(INDEX('Fault Master'!$C$5:$C$104,MATCH(G1458,'Fault Master'!$A$5:$A$104,0)),"")</f>
        <v/>
      </c>
      <c r="J1458" s="26"/>
      <c r="K1458" s="26"/>
      <c r="L1458" s="26"/>
      <c r="M1458" s="26"/>
      <c r="N1458" s="26"/>
      <c r="O1458" s="26"/>
      <c r="P1458" s="34"/>
    </row>
    <row r="1459" customFormat="false" ht="15" hidden="false" customHeight="true" outlineLevel="0" collapsed="false">
      <c r="A1459" s="18" t="n">
        <v>948</v>
      </c>
      <c r="B1459" s="25"/>
      <c r="C1459" s="26"/>
      <c r="D1459" s="26"/>
      <c r="E1459" s="26"/>
      <c r="F1459" s="24" t="str">
        <f aca="false">IFERROR(INDEX('Operator Master'!$B$5:$B$504,MATCH(E1459,'Operator Master'!$A$5:$A$504,0)),"")</f>
        <v/>
      </c>
      <c r="G1459" s="26"/>
      <c r="H1459" s="24" t="str">
        <f aca="false">IFERROR(INDEX('Fault Master'!$B$5:$B$104,MATCH(G1459,'Fault Master'!$A$5:$A$104,0)),"")</f>
        <v/>
      </c>
      <c r="I1459" s="24" t="str">
        <f aca="false">IFERROR(INDEX('Fault Master'!$C$5:$C$104,MATCH(G1459,'Fault Master'!$A$5:$A$104,0)),"")</f>
        <v/>
      </c>
      <c r="J1459" s="26"/>
      <c r="K1459" s="26"/>
      <c r="L1459" s="26"/>
      <c r="M1459" s="26"/>
      <c r="N1459" s="26"/>
      <c r="O1459" s="26"/>
      <c r="P1459" s="34"/>
    </row>
    <row r="1460" customFormat="false" ht="15" hidden="false" customHeight="true" outlineLevel="0" collapsed="false">
      <c r="A1460" s="18" t="n">
        <v>949</v>
      </c>
      <c r="B1460" s="25"/>
      <c r="C1460" s="26"/>
      <c r="D1460" s="26"/>
      <c r="E1460" s="26"/>
      <c r="F1460" s="24" t="str">
        <f aca="false">IFERROR(INDEX('Operator Master'!$B$5:$B$504,MATCH(E1460,'Operator Master'!$A$5:$A$504,0)),"")</f>
        <v/>
      </c>
      <c r="G1460" s="26"/>
      <c r="H1460" s="24" t="str">
        <f aca="false">IFERROR(INDEX('Fault Master'!$B$5:$B$104,MATCH(G1460,'Fault Master'!$A$5:$A$104,0)),"")</f>
        <v/>
      </c>
      <c r="I1460" s="24" t="str">
        <f aca="false">IFERROR(INDEX('Fault Master'!$C$5:$C$104,MATCH(G1460,'Fault Master'!$A$5:$A$104,0)),"")</f>
        <v/>
      </c>
      <c r="J1460" s="26"/>
      <c r="K1460" s="26"/>
      <c r="L1460" s="26"/>
      <c r="M1460" s="26"/>
      <c r="N1460" s="26"/>
      <c r="O1460" s="26"/>
      <c r="P1460" s="34"/>
    </row>
    <row r="1461" customFormat="false" ht="15" hidden="false" customHeight="true" outlineLevel="0" collapsed="false">
      <c r="A1461" s="18" t="n">
        <v>950</v>
      </c>
      <c r="B1461" s="25"/>
      <c r="C1461" s="26"/>
      <c r="D1461" s="26"/>
      <c r="E1461" s="26"/>
      <c r="F1461" s="24" t="str">
        <f aca="false">IFERROR(INDEX('Operator Master'!$B$5:$B$504,MATCH(E1461,'Operator Master'!$A$5:$A$504,0)),"")</f>
        <v/>
      </c>
      <c r="G1461" s="26"/>
      <c r="H1461" s="24" t="str">
        <f aca="false">IFERROR(INDEX('Fault Master'!$B$5:$B$104,MATCH(G1461,'Fault Master'!$A$5:$A$104,0)),"")</f>
        <v/>
      </c>
      <c r="I1461" s="24" t="str">
        <f aca="false">IFERROR(INDEX('Fault Master'!$C$5:$C$104,MATCH(G1461,'Fault Master'!$A$5:$A$104,0)),"")</f>
        <v/>
      </c>
      <c r="J1461" s="26"/>
      <c r="K1461" s="26"/>
      <c r="L1461" s="26"/>
      <c r="M1461" s="26"/>
      <c r="N1461" s="26"/>
      <c r="O1461" s="26"/>
      <c r="P1461" s="34"/>
    </row>
    <row r="1462" customFormat="false" ht="15" hidden="false" customHeight="true" outlineLevel="0" collapsed="false">
      <c r="A1462" s="18" t="n">
        <v>951</v>
      </c>
      <c r="B1462" s="25"/>
      <c r="C1462" s="26"/>
      <c r="D1462" s="26"/>
      <c r="E1462" s="26"/>
      <c r="F1462" s="24" t="str">
        <f aca="false">IFERROR(INDEX('Operator Master'!$B$5:$B$504,MATCH(E1462,'Operator Master'!$A$5:$A$504,0)),"")</f>
        <v/>
      </c>
      <c r="G1462" s="26"/>
      <c r="H1462" s="24" t="str">
        <f aca="false">IFERROR(INDEX('Fault Master'!$B$5:$B$104,MATCH(G1462,'Fault Master'!$A$5:$A$104,0)),"")</f>
        <v/>
      </c>
      <c r="I1462" s="24" t="str">
        <f aca="false">IFERROR(INDEX('Fault Master'!$C$5:$C$104,MATCH(G1462,'Fault Master'!$A$5:$A$104,0)),"")</f>
        <v/>
      </c>
      <c r="J1462" s="26"/>
      <c r="K1462" s="26"/>
      <c r="L1462" s="26"/>
      <c r="M1462" s="26"/>
      <c r="N1462" s="26"/>
      <c r="O1462" s="26"/>
      <c r="P1462" s="34"/>
    </row>
    <row r="1463" customFormat="false" ht="15" hidden="false" customHeight="true" outlineLevel="0" collapsed="false">
      <c r="A1463" s="18" t="n">
        <v>952</v>
      </c>
      <c r="B1463" s="25"/>
      <c r="C1463" s="26"/>
      <c r="D1463" s="26"/>
      <c r="E1463" s="26"/>
      <c r="F1463" s="24" t="str">
        <f aca="false">IFERROR(INDEX('Operator Master'!$B$5:$B$504,MATCH(E1463,'Operator Master'!$A$5:$A$504,0)),"")</f>
        <v/>
      </c>
      <c r="G1463" s="26"/>
      <c r="H1463" s="24" t="str">
        <f aca="false">IFERROR(INDEX('Fault Master'!$B$5:$B$104,MATCH(G1463,'Fault Master'!$A$5:$A$104,0)),"")</f>
        <v/>
      </c>
      <c r="I1463" s="24" t="str">
        <f aca="false">IFERROR(INDEX('Fault Master'!$C$5:$C$104,MATCH(G1463,'Fault Master'!$A$5:$A$104,0)),"")</f>
        <v/>
      </c>
      <c r="J1463" s="26"/>
      <c r="K1463" s="26"/>
      <c r="L1463" s="26"/>
      <c r="M1463" s="26"/>
      <c r="N1463" s="26"/>
      <c r="O1463" s="26"/>
      <c r="P1463" s="34"/>
    </row>
    <row r="1464" customFormat="false" ht="15" hidden="false" customHeight="true" outlineLevel="0" collapsed="false">
      <c r="A1464" s="18" t="n">
        <v>953</v>
      </c>
      <c r="B1464" s="25"/>
      <c r="C1464" s="26"/>
      <c r="D1464" s="26"/>
      <c r="E1464" s="26"/>
      <c r="F1464" s="24" t="str">
        <f aca="false">IFERROR(INDEX('Operator Master'!$B$5:$B$504,MATCH(E1464,'Operator Master'!$A$5:$A$504,0)),"")</f>
        <v/>
      </c>
      <c r="G1464" s="26"/>
      <c r="H1464" s="24" t="str">
        <f aca="false">IFERROR(INDEX('Fault Master'!$B$5:$B$104,MATCH(G1464,'Fault Master'!$A$5:$A$104,0)),"")</f>
        <v/>
      </c>
      <c r="I1464" s="24" t="str">
        <f aca="false">IFERROR(INDEX('Fault Master'!$C$5:$C$104,MATCH(G1464,'Fault Master'!$A$5:$A$104,0)),"")</f>
        <v/>
      </c>
      <c r="J1464" s="26"/>
      <c r="K1464" s="26"/>
      <c r="L1464" s="26"/>
      <c r="M1464" s="26"/>
      <c r="N1464" s="26"/>
      <c r="O1464" s="26"/>
      <c r="P1464" s="34"/>
    </row>
    <row r="1465" customFormat="false" ht="15" hidden="false" customHeight="true" outlineLevel="0" collapsed="false">
      <c r="A1465" s="18" t="n">
        <v>954</v>
      </c>
      <c r="B1465" s="25"/>
      <c r="C1465" s="26"/>
      <c r="D1465" s="26"/>
      <c r="E1465" s="26"/>
      <c r="F1465" s="24" t="str">
        <f aca="false">IFERROR(INDEX('Operator Master'!$B$5:$B$504,MATCH(E1465,'Operator Master'!$A$5:$A$504,0)),"")</f>
        <v/>
      </c>
      <c r="G1465" s="26"/>
      <c r="H1465" s="24" t="str">
        <f aca="false">IFERROR(INDEX('Fault Master'!$B$5:$B$104,MATCH(G1465,'Fault Master'!$A$5:$A$104,0)),"")</f>
        <v/>
      </c>
      <c r="I1465" s="24" t="str">
        <f aca="false">IFERROR(INDEX('Fault Master'!$C$5:$C$104,MATCH(G1465,'Fault Master'!$A$5:$A$104,0)),"")</f>
        <v/>
      </c>
      <c r="J1465" s="26"/>
      <c r="K1465" s="26"/>
      <c r="L1465" s="26"/>
      <c r="M1465" s="26"/>
      <c r="N1465" s="26"/>
      <c r="O1465" s="26"/>
      <c r="P1465" s="34"/>
    </row>
    <row r="1466" customFormat="false" ht="15" hidden="false" customHeight="true" outlineLevel="0" collapsed="false">
      <c r="A1466" s="18" t="n">
        <v>955</v>
      </c>
      <c r="B1466" s="25"/>
      <c r="C1466" s="26"/>
      <c r="D1466" s="26"/>
      <c r="E1466" s="26"/>
      <c r="F1466" s="24" t="str">
        <f aca="false">IFERROR(INDEX('Operator Master'!$B$5:$B$504,MATCH(E1466,'Operator Master'!$A$5:$A$504,0)),"")</f>
        <v/>
      </c>
      <c r="G1466" s="26"/>
      <c r="H1466" s="24" t="str">
        <f aca="false">IFERROR(INDEX('Fault Master'!$B$5:$B$104,MATCH(G1466,'Fault Master'!$A$5:$A$104,0)),"")</f>
        <v/>
      </c>
      <c r="I1466" s="24" t="str">
        <f aca="false">IFERROR(INDEX('Fault Master'!$C$5:$C$104,MATCH(G1466,'Fault Master'!$A$5:$A$104,0)),"")</f>
        <v/>
      </c>
      <c r="J1466" s="26"/>
      <c r="K1466" s="26"/>
      <c r="L1466" s="26"/>
      <c r="M1466" s="26"/>
      <c r="N1466" s="26"/>
      <c r="O1466" s="26"/>
      <c r="P1466" s="34"/>
    </row>
    <row r="1467" customFormat="false" ht="15" hidden="false" customHeight="true" outlineLevel="0" collapsed="false">
      <c r="A1467" s="18" t="n">
        <v>956</v>
      </c>
      <c r="B1467" s="25"/>
      <c r="C1467" s="26"/>
      <c r="D1467" s="26"/>
      <c r="E1467" s="26"/>
      <c r="F1467" s="24" t="str">
        <f aca="false">IFERROR(INDEX('Operator Master'!$B$5:$B$504,MATCH(E1467,'Operator Master'!$A$5:$A$504,0)),"")</f>
        <v/>
      </c>
      <c r="G1467" s="26"/>
      <c r="H1467" s="24" t="str">
        <f aca="false">IFERROR(INDEX('Fault Master'!$B$5:$B$104,MATCH(G1467,'Fault Master'!$A$5:$A$104,0)),"")</f>
        <v/>
      </c>
      <c r="I1467" s="24" t="str">
        <f aca="false">IFERROR(INDEX('Fault Master'!$C$5:$C$104,MATCH(G1467,'Fault Master'!$A$5:$A$104,0)),"")</f>
        <v/>
      </c>
      <c r="J1467" s="26"/>
      <c r="K1467" s="26"/>
      <c r="L1467" s="26"/>
      <c r="M1467" s="26"/>
      <c r="N1467" s="26"/>
      <c r="O1467" s="26"/>
      <c r="P1467" s="34"/>
    </row>
    <row r="1468" customFormat="false" ht="15" hidden="false" customHeight="true" outlineLevel="0" collapsed="false">
      <c r="A1468" s="18" t="n">
        <v>957</v>
      </c>
      <c r="B1468" s="25"/>
      <c r="C1468" s="26"/>
      <c r="D1468" s="26"/>
      <c r="E1468" s="26"/>
      <c r="F1468" s="24" t="str">
        <f aca="false">IFERROR(INDEX('Operator Master'!$B$5:$B$504,MATCH(E1468,'Operator Master'!$A$5:$A$504,0)),"")</f>
        <v/>
      </c>
      <c r="G1468" s="26"/>
      <c r="H1468" s="24" t="str">
        <f aca="false">IFERROR(INDEX('Fault Master'!$B$5:$B$104,MATCH(G1468,'Fault Master'!$A$5:$A$104,0)),"")</f>
        <v/>
      </c>
      <c r="I1468" s="24" t="str">
        <f aca="false">IFERROR(INDEX('Fault Master'!$C$5:$C$104,MATCH(G1468,'Fault Master'!$A$5:$A$104,0)),"")</f>
        <v/>
      </c>
      <c r="J1468" s="26"/>
      <c r="K1468" s="26"/>
      <c r="L1468" s="26"/>
      <c r="M1468" s="26"/>
      <c r="N1468" s="26"/>
      <c r="O1468" s="26"/>
      <c r="P1468" s="34"/>
    </row>
    <row r="1469" customFormat="false" ht="15" hidden="false" customHeight="true" outlineLevel="0" collapsed="false">
      <c r="A1469" s="18" t="n">
        <v>958</v>
      </c>
      <c r="B1469" s="25"/>
      <c r="C1469" s="26"/>
      <c r="D1469" s="26"/>
      <c r="E1469" s="26"/>
      <c r="F1469" s="24" t="str">
        <f aca="false">IFERROR(INDEX('Operator Master'!$B$5:$B$504,MATCH(E1469,'Operator Master'!$A$5:$A$504,0)),"")</f>
        <v/>
      </c>
      <c r="G1469" s="26"/>
      <c r="H1469" s="24" t="str">
        <f aca="false">IFERROR(INDEX('Fault Master'!$B$5:$B$104,MATCH(G1469,'Fault Master'!$A$5:$A$104,0)),"")</f>
        <v/>
      </c>
      <c r="I1469" s="24" t="str">
        <f aca="false">IFERROR(INDEX('Fault Master'!$C$5:$C$104,MATCH(G1469,'Fault Master'!$A$5:$A$104,0)),"")</f>
        <v/>
      </c>
      <c r="J1469" s="26"/>
      <c r="K1469" s="26"/>
      <c r="L1469" s="26"/>
      <c r="M1469" s="26"/>
      <c r="N1469" s="26"/>
      <c r="O1469" s="26"/>
      <c r="P1469" s="34"/>
    </row>
    <row r="1470" customFormat="false" ht="15" hidden="false" customHeight="true" outlineLevel="0" collapsed="false">
      <c r="A1470" s="18" t="n">
        <v>959</v>
      </c>
      <c r="B1470" s="25"/>
      <c r="C1470" s="26"/>
      <c r="D1470" s="26"/>
      <c r="E1470" s="26"/>
      <c r="F1470" s="24" t="str">
        <f aca="false">IFERROR(INDEX('Operator Master'!$B$5:$B$504,MATCH(E1470,'Operator Master'!$A$5:$A$504,0)),"")</f>
        <v/>
      </c>
      <c r="G1470" s="26"/>
      <c r="H1470" s="24" t="str">
        <f aca="false">IFERROR(INDEX('Fault Master'!$B$5:$B$104,MATCH(G1470,'Fault Master'!$A$5:$A$104,0)),"")</f>
        <v/>
      </c>
      <c r="I1470" s="24" t="str">
        <f aca="false">IFERROR(INDEX('Fault Master'!$C$5:$C$104,MATCH(G1470,'Fault Master'!$A$5:$A$104,0)),"")</f>
        <v/>
      </c>
      <c r="J1470" s="26"/>
      <c r="K1470" s="26"/>
      <c r="L1470" s="26"/>
      <c r="M1470" s="26"/>
      <c r="N1470" s="26"/>
      <c r="O1470" s="26"/>
      <c r="P1470" s="34"/>
    </row>
    <row r="1471" customFormat="false" ht="15" hidden="false" customHeight="true" outlineLevel="0" collapsed="false">
      <c r="A1471" s="18" t="n">
        <v>960</v>
      </c>
      <c r="B1471" s="25"/>
      <c r="C1471" s="26"/>
      <c r="D1471" s="26"/>
      <c r="E1471" s="26"/>
      <c r="F1471" s="24" t="str">
        <f aca="false">IFERROR(INDEX('Operator Master'!$B$5:$B$504,MATCH(E1471,'Operator Master'!$A$5:$A$504,0)),"")</f>
        <v/>
      </c>
      <c r="G1471" s="26"/>
      <c r="H1471" s="24" t="str">
        <f aca="false">IFERROR(INDEX('Fault Master'!$B$5:$B$104,MATCH(G1471,'Fault Master'!$A$5:$A$104,0)),"")</f>
        <v/>
      </c>
      <c r="I1471" s="24" t="str">
        <f aca="false">IFERROR(INDEX('Fault Master'!$C$5:$C$104,MATCH(G1471,'Fault Master'!$A$5:$A$104,0)),"")</f>
        <v/>
      </c>
      <c r="J1471" s="26"/>
      <c r="K1471" s="26"/>
      <c r="L1471" s="26"/>
      <c r="M1471" s="26"/>
      <c r="N1471" s="26"/>
      <c r="O1471" s="26"/>
      <c r="P1471" s="34"/>
    </row>
    <row r="1472" customFormat="false" ht="15" hidden="false" customHeight="true" outlineLevel="0" collapsed="false">
      <c r="A1472" s="18" t="n">
        <v>961</v>
      </c>
      <c r="B1472" s="25"/>
      <c r="C1472" s="26"/>
      <c r="D1472" s="26"/>
      <c r="E1472" s="26"/>
      <c r="F1472" s="24" t="str">
        <f aca="false">IFERROR(INDEX('Operator Master'!$B$5:$B$504,MATCH(E1472,'Operator Master'!$A$5:$A$504,0)),"")</f>
        <v/>
      </c>
      <c r="G1472" s="26"/>
      <c r="H1472" s="24" t="str">
        <f aca="false">IFERROR(INDEX('Fault Master'!$B$5:$B$104,MATCH(G1472,'Fault Master'!$A$5:$A$104,0)),"")</f>
        <v/>
      </c>
      <c r="I1472" s="24" t="str">
        <f aca="false">IFERROR(INDEX('Fault Master'!$C$5:$C$104,MATCH(G1472,'Fault Master'!$A$5:$A$104,0)),"")</f>
        <v/>
      </c>
      <c r="J1472" s="26"/>
      <c r="K1472" s="26"/>
      <c r="L1472" s="26"/>
      <c r="M1472" s="26"/>
      <c r="N1472" s="26"/>
      <c r="O1472" s="26"/>
      <c r="P1472" s="34"/>
    </row>
    <row r="1473" customFormat="false" ht="15" hidden="false" customHeight="true" outlineLevel="0" collapsed="false">
      <c r="A1473" s="18" t="n">
        <v>962</v>
      </c>
      <c r="B1473" s="25"/>
      <c r="C1473" s="26"/>
      <c r="D1473" s="26"/>
      <c r="E1473" s="26"/>
      <c r="F1473" s="24" t="str">
        <f aca="false">IFERROR(INDEX('Operator Master'!$B$5:$B$504,MATCH(E1473,'Operator Master'!$A$5:$A$504,0)),"")</f>
        <v/>
      </c>
      <c r="G1473" s="26"/>
      <c r="H1473" s="24" t="str">
        <f aca="false">IFERROR(INDEX('Fault Master'!$B$5:$B$104,MATCH(G1473,'Fault Master'!$A$5:$A$104,0)),"")</f>
        <v/>
      </c>
      <c r="I1473" s="24" t="str">
        <f aca="false">IFERROR(INDEX('Fault Master'!$C$5:$C$104,MATCH(G1473,'Fault Master'!$A$5:$A$104,0)),"")</f>
        <v/>
      </c>
      <c r="J1473" s="26"/>
      <c r="K1473" s="26"/>
      <c r="L1473" s="26"/>
      <c r="M1473" s="26"/>
      <c r="N1473" s="26"/>
      <c r="O1473" s="26"/>
      <c r="P1473" s="34"/>
    </row>
    <row r="1474" customFormat="false" ht="15" hidden="false" customHeight="true" outlineLevel="0" collapsed="false">
      <c r="A1474" s="18" t="n">
        <v>963</v>
      </c>
      <c r="B1474" s="25"/>
      <c r="C1474" s="26"/>
      <c r="D1474" s="26"/>
      <c r="E1474" s="26"/>
      <c r="F1474" s="24" t="str">
        <f aca="false">IFERROR(INDEX('Operator Master'!$B$5:$B$504,MATCH(E1474,'Operator Master'!$A$5:$A$504,0)),"")</f>
        <v/>
      </c>
      <c r="G1474" s="26"/>
      <c r="H1474" s="24" t="str">
        <f aca="false">IFERROR(INDEX('Fault Master'!$B$5:$B$104,MATCH(G1474,'Fault Master'!$A$5:$A$104,0)),"")</f>
        <v/>
      </c>
      <c r="I1474" s="24" t="str">
        <f aca="false">IFERROR(INDEX('Fault Master'!$C$5:$C$104,MATCH(G1474,'Fault Master'!$A$5:$A$104,0)),"")</f>
        <v/>
      </c>
      <c r="J1474" s="26"/>
      <c r="K1474" s="26"/>
      <c r="L1474" s="26"/>
      <c r="M1474" s="26"/>
      <c r="N1474" s="26"/>
      <c r="O1474" s="26"/>
      <c r="P1474" s="34"/>
    </row>
    <row r="1475" customFormat="false" ht="15" hidden="false" customHeight="true" outlineLevel="0" collapsed="false">
      <c r="A1475" s="18" t="n">
        <v>964</v>
      </c>
      <c r="B1475" s="25"/>
      <c r="C1475" s="26"/>
      <c r="D1475" s="26"/>
      <c r="E1475" s="26"/>
      <c r="F1475" s="24" t="str">
        <f aca="false">IFERROR(INDEX('Operator Master'!$B$5:$B$504,MATCH(E1475,'Operator Master'!$A$5:$A$504,0)),"")</f>
        <v/>
      </c>
      <c r="G1475" s="26"/>
      <c r="H1475" s="24" t="str">
        <f aca="false">IFERROR(INDEX('Fault Master'!$B$5:$B$104,MATCH(G1475,'Fault Master'!$A$5:$A$104,0)),"")</f>
        <v/>
      </c>
      <c r="I1475" s="24" t="str">
        <f aca="false">IFERROR(INDEX('Fault Master'!$C$5:$C$104,MATCH(G1475,'Fault Master'!$A$5:$A$104,0)),"")</f>
        <v/>
      </c>
      <c r="J1475" s="26"/>
      <c r="K1475" s="26"/>
      <c r="L1475" s="26"/>
      <c r="M1475" s="26"/>
      <c r="N1475" s="26"/>
      <c r="O1475" s="26"/>
      <c r="P1475" s="34"/>
    </row>
    <row r="1476" customFormat="false" ht="15" hidden="false" customHeight="true" outlineLevel="0" collapsed="false">
      <c r="A1476" s="18" t="n">
        <v>965</v>
      </c>
      <c r="B1476" s="25"/>
      <c r="C1476" s="26"/>
      <c r="D1476" s="26"/>
      <c r="E1476" s="26"/>
      <c r="F1476" s="24" t="str">
        <f aca="false">IFERROR(INDEX('Operator Master'!$B$5:$B$504,MATCH(E1476,'Operator Master'!$A$5:$A$504,0)),"")</f>
        <v/>
      </c>
      <c r="G1476" s="26"/>
      <c r="H1476" s="24" t="str">
        <f aca="false">IFERROR(INDEX('Fault Master'!$B$5:$B$104,MATCH(G1476,'Fault Master'!$A$5:$A$104,0)),"")</f>
        <v/>
      </c>
      <c r="I1476" s="24" t="str">
        <f aca="false">IFERROR(INDEX('Fault Master'!$C$5:$C$104,MATCH(G1476,'Fault Master'!$A$5:$A$104,0)),"")</f>
        <v/>
      </c>
      <c r="J1476" s="26"/>
      <c r="K1476" s="26"/>
      <c r="L1476" s="26"/>
      <c r="M1476" s="26"/>
      <c r="N1476" s="26"/>
      <c r="O1476" s="26"/>
      <c r="P1476" s="34"/>
    </row>
    <row r="1477" customFormat="false" ht="15" hidden="false" customHeight="true" outlineLevel="0" collapsed="false">
      <c r="A1477" s="18" t="n">
        <v>966</v>
      </c>
      <c r="B1477" s="25"/>
      <c r="C1477" s="26"/>
      <c r="D1477" s="26"/>
      <c r="E1477" s="26"/>
      <c r="F1477" s="24" t="str">
        <f aca="false">IFERROR(INDEX('Operator Master'!$B$5:$B$504,MATCH(E1477,'Operator Master'!$A$5:$A$504,0)),"")</f>
        <v/>
      </c>
      <c r="G1477" s="26"/>
      <c r="H1477" s="24" t="str">
        <f aca="false">IFERROR(INDEX('Fault Master'!$B$5:$B$104,MATCH(G1477,'Fault Master'!$A$5:$A$104,0)),"")</f>
        <v/>
      </c>
      <c r="I1477" s="24" t="str">
        <f aca="false">IFERROR(INDEX('Fault Master'!$C$5:$C$104,MATCH(G1477,'Fault Master'!$A$5:$A$104,0)),"")</f>
        <v/>
      </c>
      <c r="J1477" s="26"/>
      <c r="K1477" s="26"/>
      <c r="L1477" s="26"/>
      <c r="M1477" s="26"/>
      <c r="N1477" s="26"/>
      <c r="O1477" s="26"/>
      <c r="P1477" s="34"/>
    </row>
    <row r="1478" customFormat="false" ht="15" hidden="false" customHeight="true" outlineLevel="0" collapsed="false">
      <c r="A1478" s="18" t="n">
        <v>967</v>
      </c>
      <c r="B1478" s="25"/>
      <c r="C1478" s="26"/>
      <c r="D1478" s="26"/>
      <c r="E1478" s="26"/>
      <c r="F1478" s="24" t="str">
        <f aca="false">IFERROR(INDEX('Operator Master'!$B$5:$B$504,MATCH(E1478,'Operator Master'!$A$5:$A$504,0)),"")</f>
        <v/>
      </c>
      <c r="G1478" s="26"/>
      <c r="H1478" s="24" t="str">
        <f aca="false">IFERROR(INDEX('Fault Master'!$B$5:$B$104,MATCH(G1478,'Fault Master'!$A$5:$A$104,0)),"")</f>
        <v/>
      </c>
      <c r="I1478" s="24" t="str">
        <f aca="false">IFERROR(INDEX('Fault Master'!$C$5:$C$104,MATCH(G1478,'Fault Master'!$A$5:$A$104,0)),"")</f>
        <v/>
      </c>
      <c r="J1478" s="26"/>
      <c r="K1478" s="26"/>
      <c r="L1478" s="26"/>
      <c r="M1478" s="26"/>
      <c r="N1478" s="26"/>
      <c r="O1478" s="26"/>
      <c r="P1478" s="34"/>
    </row>
    <row r="1479" customFormat="false" ht="15" hidden="false" customHeight="true" outlineLevel="0" collapsed="false">
      <c r="A1479" s="18" t="n">
        <v>968</v>
      </c>
      <c r="B1479" s="25"/>
      <c r="C1479" s="26"/>
      <c r="D1479" s="26"/>
      <c r="E1479" s="26"/>
      <c r="F1479" s="24" t="str">
        <f aca="false">IFERROR(INDEX('Operator Master'!$B$5:$B$504,MATCH(E1479,'Operator Master'!$A$5:$A$504,0)),"")</f>
        <v/>
      </c>
      <c r="G1479" s="26"/>
      <c r="H1479" s="24" t="str">
        <f aca="false">IFERROR(INDEX('Fault Master'!$B$5:$B$104,MATCH(G1479,'Fault Master'!$A$5:$A$104,0)),"")</f>
        <v/>
      </c>
      <c r="I1479" s="24" t="str">
        <f aca="false">IFERROR(INDEX('Fault Master'!$C$5:$C$104,MATCH(G1479,'Fault Master'!$A$5:$A$104,0)),"")</f>
        <v/>
      </c>
      <c r="J1479" s="26"/>
      <c r="K1479" s="26"/>
      <c r="L1479" s="26"/>
      <c r="M1479" s="26"/>
      <c r="N1479" s="26"/>
      <c r="O1479" s="26"/>
      <c r="P1479" s="34"/>
    </row>
    <row r="1480" customFormat="false" ht="15" hidden="false" customHeight="true" outlineLevel="0" collapsed="false">
      <c r="A1480" s="18" t="n">
        <v>969</v>
      </c>
      <c r="B1480" s="25"/>
      <c r="C1480" s="26"/>
      <c r="D1480" s="26"/>
      <c r="E1480" s="26"/>
      <c r="F1480" s="24" t="str">
        <f aca="false">IFERROR(INDEX('Operator Master'!$B$5:$B$504,MATCH(E1480,'Operator Master'!$A$5:$A$504,0)),"")</f>
        <v/>
      </c>
      <c r="G1480" s="26"/>
      <c r="H1480" s="24" t="str">
        <f aca="false">IFERROR(INDEX('Fault Master'!$B$5:$B$104,MATCH(G1480,'Fault Master'!$A$5:$A$104,0)),"")</f>
        <v/>
      </c>
      <c r="I1480" s="24" t="str">
        <f aca="false">IFERROR(INDEX('Fault Master'!$C$5:$C$104,MATCH(G1480,'Fault Master'!$A$5:$A$104,0)),"")</f>
        <v/>
      </c>
      <c r="J1480" s="26"/>
      <c r="K1480" s="26"/>
      <c r="L1480" s="26"/>
      <c r="M1480" s="26"/>
      <c r="N1480" s="26"/>
      <c r="O1480" s="26"/>
      <c r="P1480" s="34"/>
    </row>
    <row r="1481" customFormat="false" ht="15" hidden="false" customHeight="true" outlineLevel="0" collapsed="false">
      <c r="A1481" s="18" t="n">
        <v>970</v>
      </c>
      <c r="B1481" s="25"/>
      <c r="C1481" s="26"/>
      <c r="D1481" s="26"/>
      <c r="E1481" s="26"/>
      <c r="F1481" s="24" t="str">
        <f aca="false">IFERROR(INDEX('Operator Master'!$B$5:$B$504,MATCH(E1481,'Operator Master'!$A$5:$A$504,0)),"")</f>
        <v/>
      </c>
      <c r="G1481" s="26"/>
      <c r="H1481" s="24" t="str">
        <f aca="false">IFERROR(INDEX('Fault Master'!$B$5:$B$104,MATCH(G1481,'Fault Master'!$A$5:$A$104,0)),"")</f>
        <v/>
      </c>
      <c r="I1481" s="24" t="str">
        <f aca="false">IFERROR(INDEX('Fault Master'!$C$5:$C$104,MATCH(G1481,'Fault Master'!$A$5:$A$104,0)),"")</f>
        <v/>
      </c>
      <c r="J1481" s="26"/>
      <c r="K1481" s="26"/>
      <c r="L1481" s="26"/>
      <c r="M1481" s="26"/>
      <c r="N1481" s="26"/>
      <c r="O1481" s="26"/>
      <c r="P1481" s="34"/>
    </row>
    <row r="1482" customFormat="false" ht="15" hidden="false" customHeight="true" outlineLevel="0" collapsed="false">
      <c r="A1482" s="18" t="n">
        <v>971</v>
      </c>
      <c r="B1482" s="25"/>
      <c r="C1482" s="26"/>
      <c r="D1482" s="26"/>
      <c r="E1482" s="26"/>
      <c r="F1482" s="24" t="str">
        <f aca="false">IFERROR(INDEX('Operator Master'!$B$5:$B$504,MATCH(E1482,'Operator Master'!$A$5:$A$504,0)),"")</f>
        <v/>
      </c>
      <c r="G1482" s="26"/>
      <c r="H1482" s="24" t="str">
        <f aca="false">IFERROR(INDEX('Fault Master'!$B$5:$B$104,MATCH(G1482,'Fault Master'!$A$5:$A$104,0)),"")</f>
        <v/>
      </c>
      <c r="I1482" s="24" t="str">
        <f aca="false">IFERROR(INDEX('Fault Master'!$C$5:$C$104,MATCH(G1482,'Fault Master'!$A$5:$A$104,0)),"")</f>
        <v/>
      </c>
      <c r="J1482" s="26"/>
      <c r="K1482" s="26"/>
      <c r="L1482" s="26"/>
      <c r="M1482" s="26"/>
      <c r="N1482" s="26"/>
      <c r="O1482" s="26"/>
      <c r="P1482" s="34"/>
    </row>
    <row r="1483" customFormat="false" ht="15" hidden="false" customHeight="true" outlineLevel="0" collapsed="false">
      <c r="A1483" s="18" t="n">
        <v>972</v>
      </c>
      <c r="B1483" s="25"/>
      <c r="C1483" s="26"/>
      <c r="D1483" s="26"/>
      <c r="E1483" s="26"/>
      <c r="F1483" s="24" t="str">
        <f aca="false">IFERROR(INDEX('Operator Master'!$B$5:$B$504,MATCH(E1483,'Operator Master'!$A$5:$A$504,0)),"")</f>
        <v/>
      </c>
      <c r="G1483" s="26"/>
      <c r="H1483" s="24" t="str">
        <f aca="false">IFERROR(INDEX('Fault Master'!$B$5:$B$104,MATCH(G1483,'Fault Master'!$A$5:$A$104,0)),"")</f>
        <v/>
      </c>
      <c r="I1483" s="24" t="str">
        <f aca="false">IFERROR(INDEX('Fault Master'!$C$5:$C$104,MATCH(G1483,'Fault Master'!$A$5:$A$104,0)),"")</f>
        <v/>
      </c>
      <c r="J1483" s="26"/>
      <c r="K1483" s="26"/>
      <c r="L1483" s="26"/>
      <c r="M1483" s="26"/>
      <c r="N1483" s="26"/>
      <c r="O1483" s="26"/>
      <c r="P1483" s="34"/>
    </row>
    <row r="1484" customFormat="false" ht="15" hidden="false" customHeight="true" outlineLevel="0" collapsed="false">
      <c r="A1484" s="18" t="n">
        <v>973</v>
      </c>
      <c r="B1484" s="25"/>
      <c r="C1484" s="26"/>
      <c r="D1484" s="26"/>
      <c r="E1484" s="26"/>
      <c r="F1484" s="24" t="str">
        <f aca="false">IFERROR(INDEX('Operator Master'!$B$5:$B$504,MATCH(E1484,'Operator Master'!$A$5:$A$504,0)),"")</f>
        <v/>
      </c>
      <c r="G1484" s="26"/>
      <c r="H1484" s="24" t="str">
        <f aca="false">IFERROR(INDEX('Fault Master'!$B$5:$B$104,MATCH(G1484,'Fault Master'!$A$5:$A$104,0)),"")</f>
        <v/>
      </c>
      <c r="I1484" s="24" t="str">
        <f aca="false">IFERROR(INDEX('Fault Master'!$C$5:$C$104,MATCH(G1484,'Fault Master'!$A$5:$A$104,0)),"")</f>
        <v/>
      </c>
      <c r="J1484" s="26"/>
      <c r="K1484" s="26"/>
      <c r="L1484" s="26"/>
      <c r="M1484" s="26"/>
      <c r="N1484" s="26"/>
      <c r="O1484" s="26"/>
      <c r="P1484" s="34"/>
    </row>
    <row r="1485" customFormat="false" ht="15" hidden="false" customHeight="true" outlineLevel="0" collapsed="false">
      <c r="A1485" s="18" t="n">
        <v>974</v>
      </c>
      <c r="B1485" s="25"/>
      <c r="C1485" s="26"/>
      <c r="D1485" s="26"/>
      <c r="E1485" s="26"/>
      <c r="F1485" s="24" t="str">
        <f aca="false">IFERROR(INDEX('Operator Master'!$B$5:$B$504,MATCH(E1485,'Operator Master'!$A$5:$A$504,0)),"")</f>
        <v/>
      </c>
      <c r="G1485" s="26"/>
      <c r="H1485" s="24" t="str">
        <f aca="false">IFERROR(INDEX('Fault Master'!$B$5:$B$104,MATCH(G1485,'Fault Master'!$A$5:$A$104,0)),"")</f>
        <v/>
      </c>
      <c r="I1485" s="24" t="str">
        <f aca="false">IFERROR(INDEX('Fault Master'!$C$5:$C$104,MATCH(G1485,'Fault Master'!$A$5:$A$104,0)),"")</f>
        <v/>
      </c>
      <c r="J1485" s="26"/>
      <c r="K1485" s="26"/>
      <c r="L1485" s="26"/>
      <c r="M1485" s="26"/>
      <c r="N1485" s="26"/>
      <c r="O1485" s="26"/>
      <c r="P1485" s="34"/>
    </row>
    <row r="1486" customFormat="false" ht="15" hidden="false" customHeight="true" outlineLevel="0" collapsed="false">
      <c r="A1486" s="18" t="n">
        <v>975</v>
      </c>
      <c r="B1486" s="25"/>
      <c r="C1486" s="26"/>
      <c r="D1486" s="26"/>
      <c r="E1486" s="26"/>
      <c r="F1486" s="24" t="str">
        <f aca="false">IFERROR(INDEX('Operator Master'!$B$5:$B$504,MATCH(E1486,'Operator Master'!$A$5:$A$504,0)),"")</f>
        <v/>
      </c>
      <c r="G1486" s="26"/>
      <c r="H1486" s="24" t="str">
        <f aca="false">IFERROR(INDEX('Fault Master'!$B$5:$B$104,MATCH(G1486,'Fault Master'!$A$5:$A$104,0)),"")</f>
        <v/>
      </c>
      <c r="I1486" s="24" t="str">
        <f aca="false">IFERROR(INDEX('Fault Master'!$C$5:$C$104,MATCH(G1486,'Fault Master'!$A$5:$A$104,0)),"")</f>
        <v/>
      </c>
      <c r="J1486" s="26"/>
      <c r="K1486" s="26"/>
      <c r="L1486" s="26"/>
      <c r="M1486" s="26"/>
      <c r="N1486" s="26"/>
      <c r="O1486" s="26"/>
      <c r="P1486" s="34"/>
    </row>
    <row r="1487" customFormat="false" ht="15" hidden="false" customHeight="true" outlineLevel="0" collapsed="false">
      <c r="A1487" s="18" t="n">
        <v>976</v>
      </c>
      <c r="B1487" s="25"/>
      <c r="C1487" s="26"/>
      <c r="D1487" s="26"/>
      <c r="E1487" s="26"/>
      <c r="F1487" s="24" t="str">
        <f aca="false">IFERROR(INDEX('Operator Master'!$B$5:$B$504,MATCH(E1487,'Operator Master'!$A$5:$A$504,0)),"")</f>
        <v/>
      </c>
      <c r="G1487" s="26"/>
      <c r="H1487" s="24" t="str">
        <f aca="false">IFERROR(INDEX('Fault Master'!$B$5:$B$104,MATCH(G1487,'Fault Master'!$A$5:$A$104,0)),"")</f>
        <v/>
      </c>
      <c r="I1487" s="24" t="str">
        <f aca="false">IFERROR(INDEX('Fault Master'!$C$5:$C$104,MATCH(G1487,'Fault Master'!$A$5:$A$104,0)),"")</f>
        <v/>
      </c>
      <c r="J1487" s="26"/>
      <c r="K1487" s="26"/>
      <c r="L1487" s="26"/>
      <c r="M1487" s="26"/>
      <c r="N1487" s="26"/>
      <c r="O1487" s="26"/>
      <c r="P1487" s="34"/>
    </row>
    <row r="1488" customFormat="false" ht="15" hidden="false" customHeight="true" outlineLevel="0" collapsed="false">
      <c r="A1488" s="18" t="n">
        <v>977</v>
      </c>
      <c r="B1488" s="25"/>
      <c r="C1488" s="26"/>
      <c r="D1488" s="26"/>
      <c r="E1488" s="26"/>
      <c r="F1488" s="24" t="str">
        <f aca="false">IFERROR(INDEX('Operator Master'!$B$5:$B$504,MATCH(E1488,'Operator Master'!$A$5:$A$504,0)),"")</f>
        <v/>
      </c>
      <c r="G1488" s="26"/>
      <c r="H1488" s="24" t="str">
        <f aca="false">IFERROR(INDEX('Fault Master'!$B$5:$B$104,MATCH(G1488,'Fault Master'!$A$5:$A$104,0)),"")</f>
        <v/>
      </c>
      <c r="I1488" s="24" t="str">
        <f aca="false">IFERROR(INDEX('Fault Master'!$C$5:$C$104,MATCH(G1488,'Fault Master'!$A$5:$A$104,0)),"")</f>
        <v/>
      </c>
      <c r="J1488" s="26"/>
      <c r="K1488" s="26"/>
      <c r="L1488" s="26"/>
      <c r="M1488" s="26"/>
      <c r="N1488" s="26"/>
      <c r="O1488" s="26"/>
      <c r="P1488" s="34"/>
    </row>
    <row r="1489" customFormat="false" ht="15" hidden="false" customHeight="true" outlineLevel="0" collapsed="false">
      <c r="A1489" s="18" t="n">
        <v>978</v>
      </c>
      <c r="B1489" s="25"/>
      <c r="C1489" s="26"/>
      <c r="D1489" s="26"/>
      <c r="E1489" s="26"/>
      <c r="F1489" s="24" t="str">
        <f aca="false">IFERROR(INDEX('Operator Master'!$B$5:$B$504,MATCH(E1489,'Operator Master'!$A$5:$A$504,0)),"")</f>
        <v/>
      </c>
      <c r="G1489" s="26"/>
      <c r="H1489" s="24" t="str">
        <f aca="false">IFERROR(INDEX('Fault Master'!$B$5:$B$104,MATCH(G1489,'Fault Master'!$A$5:$A$104,0)),"")</f>
        <v/>
      </c>
      <c r="I1489" s="24" t="str">
        <f aca="false">IFERROR(INDEX('Fault Master'!$C$5:$C$104,MATCH(G1489,'Fault Master'!$A$5:$A$104,0)),"")</f>
        <v/>
      </c>
      <c r="J1489" s="26"/>
      <c r="K1489" s="26"/>
      <c r="L1489" s="26"/>
      <c r="M1489" s="26"/>
      <c r="N1489" s="26"/>
      <c r="O1489" s="26"/>
      <c r="P1489" s="34"/>
    </row>
    <row r="1490" customFormat="false" ht="15" hidden="false" customHeight="true" outlineLevel="0" collapsed="false">
      <c r="A1490" s="18" t="n">
        <v>979</v>
      </c>
      <c r="B1490" s="25"/>
      <c r="C1490" s="26"/>
      <c r="D1490" s="26"/>
      <c r="E1490" s="26"/>
      <c r="F1490" s="24" t="str">
        <f aca="false">IFERROR(INDEX('Operator Master'!$B$5:$B$504,MATCH(E1490,'Operator Master'!$A$5:$A$504,0)),"")</f>
        <v/>
      </c>
      <c r="G1490" s="26"/>
      <c r="H1490" s="24" t="str">
        <f aca="false">IFERROR(INDEX('Fault Master'!$B$5:$B$104,MATCH(G1490,'Fault Master'!$A$5:$A$104,0)),"")</f>
        <v/>
      </c>
      <c r="I1490" s="24" t="str">
        <f aca="false">IFERROR(INDEX('Fault Master'!$C$5:$C$104,MATCH(G1490,'Fault Master'!$A$5:$A$104,0)),"")</f>
        <v/>
      </c>
      <c r="J1490" s="26"/>
      <c r="K1490" s="26"/>
      <c r="L1490" s="26"/>
      <c r="M1490" s="26"/>
      <c r="N1490" s="26"/>
      <c r="O1490" s="26"/>
      <c r="P1490" s="34"/>
    </row>
    <row r="1491" customFormat="false" ht="15" hidden="false" customHeight="true" outlineLevel="0" collapsed="false">
      <c r="A1491" s="18" t="n">
        <v>980</v>
      </c>
      <c r="B1491" s="25"/>
      <c r="C1491" s="26"/>
      <c r="D1491" s="26"/>
      <c r="E1491" s="26"/>
      <c r="F1491" s="24" t="str">
        <f aca="false">IFERROR(INDEX('Operator Master'!$B$5:$B$504,MATCH(E1491,'Operator Master'!$A$5:$A$504,0)),"")</f>
        <v/>
      </c>
      <c r="G1491" s="26"/>
      <c r="H1491" s="24" t="str">
        <f aca="false">IFERROR(INDEX('Fault Master'!$B$5:$B$104,MATCH(G1491,'Fault Master'!$A$5:$A$104,0)),"")</f>
        <v/>
      </c>
      <c r="I1491" s="24" t="str">
        <f aca="false">IFERROR(INDEX('Fault Master'!$C$5:$C$104,MATCH(G1491,'Fault Master'!$A$5:$A$104,0)),"")</f>
        <v/>
      </c>
      <c r="J1491" s="26"/>
      <c r="K1491" s="26"/>
      <c r="L1491" s="26"/>
      <c r="M1491" s="26"/>
      <c r="N1491" s="26"/>
      <c r="O1491" s="26"/>
      <c r="P1491" s="34"/>
    </row>
    <row r="1492" customFormat="false" ht="15" hidden="false" customHeight="true" outlineLevel="0" collapsed="false">
      <c r="A1492" s="18" t="n">
        <v>981</v>
      </c>
      <c r="B1492" s="25"/>
      <c r="C1492" s="26"/>
      <c r="D1492" s="26"/>
      <c r="E1492" s="26"/>
      <c r="F1492" s="24" t="str">
        <f aca="false">IFERROR(INDEX('Operator Master'!$B$5:$B$504,MATCH(E1492,'Operator Master'!$A$5:$A$504,0)),"")</f>
        <v/>
      </c>
      <c r="G1492" s="26"/>
      <c r="H1492" s="24" t="str">
        <f aca="false">IFERROR(INDEX('Fault Master'!$B$5:$B$104,MATCH(G1492,'Fault Master'!$A$5:$A$104,0)),"")</f>
        <v/>
      </c>
      <c r="I1492" s="24" t="str">
        <f aca="false">IFERROR(INDEX('Fault Master'!$C$5:$C$104,MATCH(G1492,'Fault Master'!$A$5:$A$104,0)),"")</f>
        <v/>
      </c>
      <c r="J1492" s="26"/>
      <c r="K1492" s="26"/>
      <c r="L1492" s="26"/>
      <c r="M1492" s="26"/>
      <c r="N1492" s="26"/>
      <c r="O1492" s="26"/>
      <c r="P1492" s="34"/>
    </row>
    <row r="1493" customFormat="false" ht="15" hidden="false" customHeight="true" outlineLevel="0" collapsed="false">
      <c r="A1493" s="18" t="n">
        <v>982</v>
      </c>
      <c r="B1493" s="25"/>
      <c r="C1493" s="26"/>
      <c r="D1493" s="26"/>
      <c r="E1493" s="26"/>
      <c r="F1493" s="24" t="str">
        <f aca="false">IFERROR(INDEX('Operator Master'!$B$5:$B$504,MATCH(E1493,'Operator Master'!$A$5:$A$504,0)),"")</f>
        <v/>
      </c>
      <c r="G1493" s="26"/>
      <c r="H1493" s="24" t="str">
        <f aca="false">IFERROR(INDEX('Fault Master'!$B$5:$B$104,MATCH(G1493,'Fault Master'!$A$5:$A$104,0)),"")</f>
        <v/>
      </c>
      <c r="I1493" s="24" t="str">
        <f aca="false">IFERROR(INDEX('Fault Master'!$C$5:$C$104,MATCH(G1493,'Fault Master'!$A$5:$A$104,0)),"")</f>
        <v/>
      </c>
      <c r="J1493" s="26"/>
      <c r="K1493" s="26"/>
      <c r="L1493" s="26"/>
      <c r="M1493" s="26"/>
      <c r="N1493" s="26"/>
      <c r="O1493" s="26"/>
      <c r="P1493" s="34"/>
    </row>
    <row r="1494" customFormat="false" ht="15" hidden="false" customHeight="true" outlineLevel="0" collapsed="false">
      <c r="A1494" s="18" t="n">
        <v>983</v>
      </c>
      <c r="B1494" s="25"/>
      <c r="C1494" s="26"/>
      <c r="D1494" s="26"/>
      <c r="E1494" s="26"/>
      <c r="F1494" s="24" t="str">
        <f aca="false">IFERROR(INDEX('Operator Master'!$B$5:$B$504,MATCH(E1494,'Operator Master'!$A$5:$A$504,0)),"")</f>
        <v/>
      </c>
      <c r="G1494" s="26"/>
      <c r="H1494" s="24" t="str">
        <f aca="false">IFERROR(INDEX('Fault Master'!$B$5:$B$104,MATCH(G1494,'Fault Master'!$A$5:$A$104,0)),"")</f>
        <v/>
      </c>
      <c r="I1494" s="24" t="str">
        <f aca="false">IFERROR(INDEX('Fault Master'!$C$5:$C$104,MATCH(G1494,'Fault Master'!$A$5:$A$104,0)),"")</f>
        <v/>
      </c>
      <c r="J1494" s="26"/>
      <c r="K1494" s="26"/>
      <c r="L1494" s="26"/>
      <c r="M1494" s="26"/>
      <c r="N1494" s="26"/>
      <c r="O1494" s="26"/>
      <c r="P1494" s="34"/>
    </row>
    <row r="1495" customFormat="false" ht="15" hidden="false" customHeight="true" outlineLevel="0" collapsed="false">
      <c r="A1495" s="18" t="n">
        <v>984</v>
      </c>
      <c r="B1495" s="25"/>
      <c r="C1495" s="26"/>
      <c r="D1495" s="26"/>
      <c r="E1495" s="26"/>
      <c r="F1495" s="24" t="str">
        <f aca="false">IFERROR(INDEX('Operator Master'!$B$5:$B$504,MATCH(E1495,'Operator Master'!$A$5:$A$504,0)),"")</f>
        <v/>
      </c>
      <c r="G1495" s="26"/>
      <c r="H1495" s="24" t="str">
        <f aca="false">IFERROR(INDEX('Fault Master'!$B$5:$B$104,MATCH(G1495,'Fault Master'!$A$5:$A$104,0)),"")</f>
        <v/>
      </c>
      <c r="I1495" s="24" t="str">
        <f aca="false">IFERROR(INDEX('Fault Master'!$C$5:$C$104,MATCH(G1495,'Fault Master'!$A$5:$A$104,0)),"")</f>
        <v/>
      </c>
      <c r="J1495" s="26"/>
      <c r="K1495" s="26"/>
      <c r="L1495" s="26"/>
      <c r="M1495" s="26"/>
      <c r="N1495" s="26"/>
      <c r="O1495" s="26"/>
      <c r="P1495" s="34"/>
    </row>
    <row r="1496" customFormat="false" ht="15" hidden="false" customHeight="true" outlineLevel="0" collapsed="false">
      <c r="A1496" s="18" t="n">
        <v>985</v>
      </c>
      <c r="B1496" s="25"/>
      <c r="C1496" s="26"/>
      <c r="D1496" s="26"/>
      <c r="E1496" s="26"/>
      <c r="F1496" s="24" t="str">
        <f aca="false">IFERROR(INDEX('Operator Master'!$B$5:$B$504,MATCH(E1496,'Operator Master'!$A$5:$A$504,0)),"")</f>
        <v/>
      </c>
      <c r="G1496" s="26"/>
      <c r="H1496" s="24" t="str">
        <f aca="false">IFERROR(INDEX('Fault Master'!$B$5:$B$104,MATCH(G1496,'Fault Master'!$A$5:$A$104,0)),"")</f>
        <v/>
      </c>
      <c r="I1496" s="24" t="str">
        <f aca="false">IFERROR(INDEX('Fault Master'!$C$5:$C$104,MATCH(G1496,'Fault Master'!$A$5:$A$104,0)),"")</f>
        <v/>
      </c>
      <c r="J1496" s="26"/>
      <c r="K1496" s="26"/>
      <c r="L1496" s="26"/>
      <c r="M1496" s="26"/>
      <c r="N1496" s="26"/>
      <c r="O1496" s="26"/>
      <c r="P1496" s="34"/>
    </row>
    <row r="1497" customFormat="false" ht="15" hidden="false" customHeight="true" outlineLevel="0" collapsed="false">
      <c r="A1497" s="18" t="n">
        <v>986</v>
      </c>
      <c r="B1497" s="25"/>
      <c r="C1497" s="26"/>
      <c r="D1497" s="26"/>
      <c r="E1497" s="26"/>
      <c r="F1497" s="24" t="str">
        <f aca="false">IFERROR(INDEX('Operator Master'!$B$5:$B$504,MATCH(E1497,'Operator Master'!$A$5:$A$504,0)),"")</f>
        <v/>
      </c>
      <c r="G1497" s="26"/>
      <c r="H1497" s="24" t="str">
        <f aca="false">IFERROR(INDEX('Fault Master'!$B$5:$B$104,MATCH(G1497,'Fault Master'!$A$5:$A$104,0)),"")</f>
        <v/>
      </c>
      <c r="I1497" s="24" t="str">
        <f aca="false">IFERROR(INDEX('Fault Master'!$C$5:$C$104,MATCH(G1497,'Fault Master'!$A$5:$A$104,0)),"")</f>
        <v/>
      </c>
      <c r="J1497" s="26"/>
      <c r="K1497" s="26"/>
      <c r="L1497" s="26"/>
      <c r="M1497" s="26"/>
      <c r="N1497" s="26"/>
      <c r="O1497" s="26"/>
      <c r="P1497" s="34"/>
    </row>
    <row r="1498" customFormat="false" ht="15" hidden="false" customHeight="true" outlineLevel="0" collapsed="false">
      <c r="A1498" s="18" t="n">
        <v>987</v>
      </c>
      <c r="B1498" s="25"/>
      <c r="C1498" s="26"/>
      <c r="D1498" s="26"/>
      <c r="E1498" s="26"/>
      <c r="F1498" s="24" t="str">
        <f aca="false">IFERROR(INDEX('Operator Master'!$B$5:$B$504,MATCH(E1498,'Operator Master'!$A$5:$A$504,0)),"")</f>
        <v/>
      </c>
      <c r="G1498" s="26"/>
      <c r="H1498" s="24" t="str">
        <f aca="false">IFERROR(INDEX('Fault Master'!$B$5:$B$104,MATCH(G1498,'Fault Master'!$A$5:$A$104,0)),"")</f>
        <v/>
      </c>
      <c r="I1498" s="24" t="str">
        <f aca="false">IFERROR(INDEX('Fault Master'!$C$5:$C$104,MATCH(G1498,'Fault Master'!$A$5:$A$104,0)),"")</f>
        <v/>
      </c>
      <c r="J1498" s="26"/>
      <c r="K1498" s="26"/>
      <c r="L1498" s="26"/>
      <c r="M1498" s="26"/>
      <c r="N1498" s="26"/>
      <c r="O1498" s="26"/>
      <c r="P1498" s="34"/>
    </row>
    <row r="1499" customFormat="false" ht="15" hidden="false" customHeight="true" outlineLevel="0" collapsed="false">
      <c r="A1499" s="18" t="n">
        <v>988</v>
      </c>
      <c r="B1499" s="25"/>
      <c r="C1499" s="26"/>
      <c r="D1499" s="26"/>
      <c r="E1499" s="26"/>
      <c r="F1499" s="24" t="str">
        <f aca="false">IFERROR(INDEX('Operator Master'!$B$5:$B$504,MATCH(E1499,'Operator Master'!$A$5:$A$504,0)),"")</f>
        <v/>
      </c>
      <c r="G1499" s="26"/>
      <c r="H1499" s="24" t="str">
        <f aca="false">IFERROR(INDEX('Fault Master'!$B$5:$B$104,MATCH(G1499,'Fault Master'!$A$5:$A$104,0)),"")</f>
        <v/>
      </c>
      <c r="I1499" s="24" t="str">
        <f aca="false">IFERROR(INDEX('Fault Master'!$C$5:$C$104,MATCH(G1499,'Fault Master'!$A$5:$A$104,0)),"")</f>
        <v/>
      </c>
      <c r="J1499" s="26"/>
      <c r="K1499" s="26"/>
      <c r="L1499" s="26"/>
      <c r="M1499" s="26"/>
      <c r="N1499" s="26"/>
      <c r="O1499" s="26"/>
      <c r="P1499" s="34"/>
    </row>
    <row r="1500" customFormat="false" ht="15" hidden="false" customHeight="true" outlineLevel="0" collapsed="false">
      <c r="A1500" s="18" t="n">
        <v>989</v>
      </c>
      <c r="B1500" s="25"/>
      <c r="C1500" s="26"/>
      <c r="D1500" s="26"/>
      <c r="E1500" s="26"/>
      <c r="F1500" s="24" t="str">
        <f aca="false">IFERROR(INDEX('Operator Master'!$B$5:$B$504,MATCH(E1500,'Operator Master'!$A$5:$A$504,0)),"")</f>
        <v/>
      </c>
      <c r="G1500" s="26"/>
      <c r="H1500" s="24" t="str">
        <f aca="false">IFERROR(INDEX('Fault Master'!$B$5:$B$104,MATCH(G1500,'Fault Master'!$A$5:$A$104,0)),"")</f>
        <v/>
      </c>
      <c r="I1500" s="24" t="str">
        <f aca="false">IFERROR(INDEX('Fault Master'!$C$5:$C$104,MATCH(G1500,'Fault Master'!$A$5:$A$104,0)),"")</f>
        <v/>
      </c>
      <c r="J1500" s="26"/>
      <c r="K1500" s="26"/>
      <c r="L1500" s="26"/>
      <c r="M1500" s="26"/>
      <c r="N1500" s="26"/>
      <c r="O1500" s="26"/>
      <c r="P1500" s="34"/>
    </row>
    <row r="1501" customFormat="false" ht="15" hidden="false" customHeight="true" outlineLevel="0" collapsed="false">
      <c r="A1501" s="18" t="n">
        <v>990</v>
      </c>
      <c r="B1501" s="25"/>
      <c r="C1501" s="26"/>
      <c r="D1501" s="26"/>
      <c r="E1501" s="26"/>
      <c r="F1501" s="24" t="str">
        <f aca="false">IFERROR(INDEX('Operator Master'!$B$5:$B$504,MATCH(E1501,'Operator Master'!$A$5:$A$504,0)),"")</f>
        <v/>
      </c>
      <c r="G1501" s="26"/>
      <c r="H1501" s="24" t="str">
        <f aca="false">IFERROR(INDEX('Fault Master'!$B$5:$B$104,MATCH(G1501,'Fault Master'!$A$5:$A$104,0)),"")</f>
        <v/>
      </c>
      <c r="I1501" s="24" t="str">
        <f aca="false">IFERROR(INDEX('Fault Master'!$C$5:$C$104,MATCH(G1501,'Fault Master'!$A$5:$A$104,0)),"")</f>
        <v/>
      </c>
      <c r="J1501" s="26"/>
      <c r="K1501" s="26"/>
      <c r="L1501" s="26"/>
      <c r="M1501" s="26"/>
      <c r="N1501" s="26"/>
      <c r="O1501" s="26"/>
      <c r="P1501" s="34"/>
    </row>
    <row r="1502" customFormat="false" ht="15" hidden="false" customHeight="true" outlineLevel="0" collapsed="false">
      <c r="A1502" s="18" t="n">
        <v>991</v>
      </c>
      <c r="B1502" s="25"/>
      <c r="C1502" s="26"/>
      <c r="D1502" s="26"/>
      <c r="E1502" s="26"/>
      <c r="F1502" s="24" t="str">
        <f aca="false">IFERROR(INDEX('Operator Master'!$B$5:$B$504,MATCH(E1502,'Operator Master'!$A$5:$A$504,0)),"")</f>
        <v/>
      </c>
      <c r="G1502" s="26"/>
      <c r="H1502" s="24" t="str">
        <f aca="false">IFERROR(INDEX('Fault Master'!$B$5:$B$104,MATCH(G1502,'Fault Master'!$A$5:$A$104,0)),"")</f>
        <v/>
      </c>
      <c r="I1502" s="24" t="str">
        <f aca="false">IFERROR(INDEX('Fault Master'!$C$5:$C$104,MATCH(G1502,'Fault Master'!$A$5:$A$104,0)),"")</f>
        <v/>
      </c>
      <c r="J1502" s="26"/>
      <c r="K1502" s="26"/>
      <c r="L1502" s="26"/>
      <c r="M1502" s="26"/>
      <c r="N1502" s="26"/>
      <c r="O1502" s="26"/>
      <c r="P1502" s="34"/>
    </row>
    <row r="1503" customFormat="false" ht="15" hidden="false" customHeight="true" outlineLevel="0" collapsed="false">
      <c r="A1503" s="18" t="n">
        <v>992</v>
      </c>
      <c r="B1503" s="25"/>
      <c r="C1503" s="26"/>
      <c r="D1503" s="26"/>
      <c r="E1503" s="26"/>
      <c r="F1503" s="24" t="str">
        <f aca="false">IFERROR(INDEX('Operator Master'!$B$5:$B$504,MATCH(E1503,'Operator Master'!$A$5:$A$504,0)),"")</f>
        <v/>
      </c>
      <c r="G1503" s="26"/>
      <c r="H1503" s="24" t="str">
        <f aca="false">IFERROR(INDEX('Fault Master'!$B$5:$B$104,MATCH(G1503,'Fault Master'!$A$5:$A$104,0)),"")</f>
        <v/>
      </c>
      <c r="I1503" s="24" t="str">
        <f aca="false">IFERROR(INDEX('Fault Master'!$C$5:$C$104,MATCH(G1503,'Fault Master'!$A$5:$A$104,0)),"")</f>
        <v/>
      </c>
      <c r="J1503" s="26"/>
      <c r="K1503" s="26"/>
      <c r="L1503" s="26"/>
      <c r="M1503" s="26"/>
      <c r="N1503" s="26"/>
      <c r="O1503" s="26"/>
      <c r="P1503" s="34"/>
    </row>
    <row r="1504" customFormat="false" ht="15" hidden="false" customHeight="true" outlineLevel="0" collapsed="false">
      <c r="A1504" s="18" t="n">
        <v>993</v>
      </c>
      <c r="B1504" s="25"/>
      <c r="C1504" s="26"/>
      <c r="D1504" s="26"/>
      <c r="E1504" s="26"/>
      <c r="F1504" s="24" t="str">
        <f aca="false">IFERROR(INDEX('Operator Master'!$B$5:$B$504,MATCH(E1504,'Operator Master'!$A$5:$A$504,0)),"")</f>
        <v/>
      </c>
      <c r="G1504" s="26"/>
      <c r="H1504" s="24" t="str">
        <f aca="false">IFERROR(INDEX('Fault Master'!$B$5:$B$104,MATCH(G1504,'Fault Master'!$A$5:$A$104,0)),"")</f>
        <v/>
      </c>
      <c r="I1504" s="24" t="str">
        <f aca="false">IFERROR(INDEX('Fault Master'!$C$5:$C$104,MATCH(G1504,'Fault Master'!$A$5:$A$104,0)),"")</f>
        <v/>
      </c>
      <c r="J1504" s="26"/>
      <c r="K1504" s="26"/>
      <c r="L1504" s="26"/>
      <c r="M1504" s="26"/>
      <c r="N1504" s="26"/>
      <c r="O1504" s="26"/>
      <c r="P1504" s="34"/>
    </row>
    <row r="1505" customFormat="false" ht="15" hidden="false" customHeight="true" outlineLevel="0" collapsed="false">
      <c r="A1505" s="18" t="n">
        <v>994</v>
      </c>
      <c r="B1505" s="25"/>
      <c r="C1505" s="26"/>
      <c r="D1505" s="26"/>
      <c r="E1505" s="26"/>
      <c r="F1505" s="24" t="str">
        <f aca="false">IFERROR(INDEX('Operator Master'!$B$5:$B$504,MATCH(E1505,'Operator Master'!$A$5:$A$504,0)),"")</f>
        <v/>
      </c>
      <c r="G1505" s="26"/>
      <c r="H1505" s="24" t="str">
        <f aca="false">IFERROR(INDEX('Fault Master'!$B$5:$B$104,MATCH(G1505,'Fault Master'!$A$5:$A$104,0)),"")</f>
        <v/>
      </c>
      <c r="I1505" s="24" t="str">
        <f aca="false">IFERROR(INDEX('Fault Master'!$C$5:$C$104,MATCH(G1505,'Fault Master'!$A$5:$A$104,0)),"")</f>
        <v/>
      </c>
      <c r="J1505" s="26"/>
      <c r="K1505" s="26"/>
      <c r="L1505" s="26"/>
      <c r="M1505" s="26"/>
      <c r="N1505" s="26"/>
      <c r="O1505" s="26"/>
      <c r="P1505" s="34"/>
    </row>
    <row r="1506" customFormat="false" ht="15" hidden="false" customHeight="true" outlineLevel="0" collapsed="false">
      <c r="A1506" s="18" t="n">
        <v>995</v>
      </c>
      <c r="B1506" s="25"/>
      <c r="C1506" s="26"/>
      <c r="D1506" s="26"/>
      <c r="E1506" s="26"/>
      <c r="F1506" s="24" t="str">
        <f aca="false">IFERROR(INDEX('Operator Master'!$B$5:$B$504,MATCH(E1506,'Operator Master'!$A$5:$A$504,0)),"")</f>
        <v/>
      </c>
      <c r="G1506" s="26"/>
      <c r="H1506" s="24" t="str">
        <f aca="false">IFERROR(INDEX('Fault Master'!$B$5:$B$104,MATCH(G1506,'Fault Master'!$A$5:$A$104,0)),"")</f>
        <v/>
      </c>
      <c r="I1506" s="24" t="str">
        <f aca="false">IFERROR(INDEX('Fault Master'!$C$5:$C$104,MATCH(G1506,'Fault Master'!$A$5:$A$104,0)),"")</f>
        <v/>
      </c>
      <c r="J1506" s="26"/>
      <c r="K1506" s="26"/>
      <c r="L1506" s="26"/>
      <c r="M1506" s="26"/>
      <c r="N1506" s="26"/>
      <c r="O1506" s="26"/>
      <c r="P1506" s="34"/>
    </row>
    <row r="1507" customFormat="false" ht="15" hidden="false" customHeight="true" outlineLevel="0" collapsed="false">
      <c r="A1507" s="18" t="n">
        <v>996</v>
      </c>
      <c r="B1507" s="25"/>
      <c r="C1507" s="26"/>
      <c r="D1507" s="26"/>
      <c r="E1507" s="26"/>
      <c r="F1507" s="24" t="str">
        <f aca="false">IFERROR(INDEX('Operator Master'!$B$5:$B$504,MATCH(E1507,'Operator Master'!$A$5:$A$504,0)),"")</f>
        <v/>
      </c>
      <c r="G1507" s="26"/>
      <c r="H1507" s="24" t="str">
        <f aca="false">IFERROR(INDEX('Fault Master'!$B$5:$B$104,MATCH(G1507,'Fault Master'!$A$5:$A$104,0)),"")</f>
        <v/>
      </c>
      <c r="I1507" s="24" t="str">
        <f aca="false">IFERROR(INDEX('Fault Master'!$C$5:$C$104,MATCH(G1507,'Fault Master'!$A$5:$A$104,0)),"")</f>
        <v/>
      </c>
      <c r="J1507" s="26"/>
      <c r="K1507" s="26"/>
      <c r="L1507" s="26"/>
      <c r="M1507" s="26"/>
      <c r="N1507" s="26"/>
      <c r="O1507" s="26"/>
      <c r="P1507" s="34"/>
    </row>
    <row r="1508" customFormat="false" ht="15" hidden="false" customHeight="true" outlineLevel="0" collapsed="false">
      <c r="A1508" s="18" t="n">
        <v>997</v>
      </c>
      <c r="B1508" s="25"/>
      <c r="C1508" s="26"/>
      <c r="D1508" s="26"/>
      <c r="E1508" s="26"/>
      <c r="F1508" s="24" t="str">
        <f aca="false">IFERROR(INDEX('Operator Master'!$B$5:$B$504,MATCH(E1508,'Operator Master'!$A$5:$A$504,0)),"")</f>
        <v/>
      </c>
      <c r="G1508" s="26"/>
      <c r="H1508" s="24" t="str">
        <f aca="false">IFERROR(INDEX('Fault Master'!$B$5:$B$104,MATCH(G1508,'Fault Master'!$A$5:$A$104,0)),"")</f>
        <v/>
      </c>
      <c r="I1508" s="24" t="str">
        <f aca="false">IFERROR(INDEX('Fault Master'!$C$5:$C$104,MATCH(G1508,'Fault Master'!$A$5:$A$104,0)),"")</f>
        <v/>
      </c>
      <c r="J1508" s="26"/>
      <c r="K1508" s="26"/>
      <c r="L1508" s="26"/>
      <c r="M1508" s="26"/>
      <c r="N1508" s="26"/>
      <c r="O1508" s="26"/>
      <c r="P1508" s="34"/>
    </row>
    <row r="1509" customFormat="false" ht="15" hidden="false" customHeight="true" outlineLevel="0" collapsed="false">
      <c r="A1509" s="18" t="n">
        <v>998</v>
      </c>
      <c r="B1509" s="25"/>
      <c r="C1509" s="26"/>
      <c r="D1509" s="26"/>
      <c r="E1509" s="26"/>
      <c r="F1509" s="24" t="str">
        <f aca="false">IFERROR(INDEX('Operator Master'!$B$5:$B$504,MATCH(E1509,'Operator Master'!$A$5:$A$504,0)),"")</f>
        <v/>
      </c>
      <c r="G1509" s="26"/>
      <c r="H1509" s="24" t="str">
        <f aca="false">IFERROR(INDEX('Fault Master'!$B$5:$B$104,MATCH(G1509,'Fault Master'!$A$5:$A$104,0)),"")</f>
        <v/>
      </c>
      <c r="I1509" s="24" t="str">
        <f aca="false">IFERROR(INDEX('Fault Master'!$C$5:$C$104,MATCH(G1509,'Fault Master'!$A$5:$A$104,0)),"")</f>
        <v/>
      </c>
      <c r="J1509" s="26"/>
      <c r="K1509" s="26"/>
      <c r="L1509" s="26"/>
      <c r="M1509" s="26"/>
      <c r="N1509" s="26"/>
      <c r="O1509" s="26"/>
      <c r="P1509" s="34"/>
    </row>
    <row r="1510" customFormat="false" ht="15" hidden="false" customHeight="true" outlineLevel="0" collapsed="false">
      <c r="A1510" s="18" t="n">
        <v>999</v>
      </c>
      <c r="B1510" s="25"/>
      <c r="C1510" s="26"/>
      <c r="D1510" s="26"/>
      <c r="E1510" s="26"/>
      <c r="F1510" s="24" t="str">
        <f aca="false">IFERROR(INDEX('Operator Master'!$B$5:$B$504,MATCH(E1510,'Operator Master'!$A$5:$A$504,0)),"")</f>
        <v/>
      </c>
      <c r="G1510" s="26"/>
      <c r="H1510" s="24" t="str">
        <f aca="false">IFERROR(INDEX('Fault Master'!$B$5:$B$104,MATCH(G1510,'Fault Master'!$A$5:$A$104,0)),"")</f>
        <v/>
      </c>
      <c r="I1510" s="24" t="str">
        <f aca="false">IFERROR(INDEX('Fault Master'!$C$5:$C$104,MATCH(G1510,'Fault Master'!$A$5:$A$104,0)),"")</f>
        <v/>
      </c>
      <c r="J1510" s="26"/>
      <c r="K1510" s="26"/>
      <c r="L1510" s="26"/>
      <c r="M1510" s="26"/>
      <c r="N1510" s="26"/>
      <c r="O1510" s="26"/>
      <c r="P1510" s="34"/>
    </row>
    <row r="1511" customFormat="false" ht="15" hidden="false" customHeight="true" outlineLevel="0" collapsed="false">
      <c r="A1511" s="18" t="n">
        <v>1000</v>
      </c>
      <c r="B1511" s="25"/>
      <c r="C1511" s="26"/>
      <c r="D1511" s="26"/>
      <c r="E1511" s="26"/>
      <c r="F1511" s="24" t="str">
        <f aca="false">IFERROR(INDEX('Operator Master'!$B$5:$B$504,MATCH(E1511,'Operator Master'!$A$5:$A$504,0)),"")</f>
        <v/>
      </c>
      <c r="G1511" s="26"/>
      <c r="H1511" s="24" t="str">
        <f aca="false">IFERROR(INDEX('Fault Master'!$B$5:$B$104,MATCH(G1511,'Fault Master'!$A$5:$A$104,0)),"")</f>
        <v/>
      </c>
      <c r="I1511" s="24" t="str">
        <f aca="false">IFERROR(INDEX('Fault Master'!$C$5:$C$104,MATCH(G1511,'Fault Master'!$A$5:$A$104,0)),"")</f>
        <v/>
      </c>
      <c r="J1511" s="26"/>
      <c r="K1511" s="26"/>
      <c r="L1511" s="26"/>
      <c r="M1511" s="26"/>
      <c r="N1511" s="26"/>
      <c r="O1511" s="26"/>
      <c r="P1511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48"/>
    <col collapsed="false" customWidth="true" hidden="false" outlineLevel="0" max="7" min="7" style="1" width="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7.75" hidden="false" customHeight="true" outlineLevel="0" collapsed="false">
      <c r="A1" s="2" t="s">
        <v>440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4" t="s">
        <v>441</v>
      </c>
    </row>
    <row r="4" customFormat="false" ht="33.75" hidden="false" customHeight="true" outlineLevel="0" collapsed="false">
      <c r="A4" s="5" t="s">
        <v>442</v>
      </c>
      <c r="B4" s="5" t="s">
        <v>443</v>
      </c>
      <c r="C4" s="5" t="s">
        <v>444</v>
      </c>
      <c r="D4" s="5" t="s">
        <v>445</v>
      </c>
      <c r="E4" s="5" t="s">
        <v>446</v>
      </c>
      <c r="F4" s="5" t="s">
        <v>447</v>
      </c>
      <c r="G4" s="5"/>
      <c r="H4" s="5" t="s">
        <v>448</v>
      </c>
      <c r="I4" s="5" t="s">
        <v>449</v>
      </c>
      <c r="J4" s="5" t="s">
        <v>450</v>
      </c>
    </row>
    <row r="5" customFormat="false" ht="15" hidden="false" customHeight="true" outlineLevel="0" collapsed="false">
      <c r="A5" s="40" t="s">
        <v>451</v>
      </c>
      <c r="B5" s="40" t="s">
        <v>18</v>
      </c>
      <c r="C5" s="40" t="s">
        <v>452</v>
      </c>
      <c r="D5" s="41" t="n">
        <v>20</v>
      </c>
      <c r="E5" s="42" t="n">
        <v>100</v>
      </c>
      <c r="F5" s="40" t="s">
        <v>453</v>
      </c>
      <c r="H5" s="1" t="s">
        <v>454</v>
      </c>
      <c r="I5" s="1" t="n">
        <v>105</v>
      </c>
      <c r="J5" s="1" t="n">
        <v>1800</v>
      </c>
    </row>
    <row r="6" customFormat="false" ht="15" hidden="false" customHeight="true" outlineLevel="0" collapsed="false">
      <c r="A6" s="40" t="s">
        <v>455</v>
      </c>
      <c r="B6" s="40" t="s">
        <v>456</v>
      </c>
      <c r="C6" s="40" t="s">
        <v>452</v>
      </c>
      <c r="D6" s="41" t="n">
        <v>15</v>
      </c>
      <c r="E6" s="42" t="n">
        <v>85</v>
      </c>
      <c r="F6" s="40" t="s">
        <v>457</v>
      </c>
      <c r="H6" s="1" t="s">
        <v>42</v>
      </c>
      <c r="I6" s="1" t="n">
        <v>100</v>
      </c>
      <c r="J6" s="1" t="n">
        <v>1600</v>
      </c>
    </row>
    <row r="7" customFormat="false" ht="15" hidden="false" customHeight="true" outlineLevel="0" collapsed="false">
      <c r="A7" s="40" t="s">
        <v>458</v>
      </c>
      <c r="B7" s="40" t="s">
        <v>459</v>
      </c>
      <c r="C7" s="40" t="s">
        <v>452</v>
      </c>
      <c r="D7" s="41" t="n">
        <v>15</v>
      </c>
      <c r="E7" s="42" t="n">
        <v>95</v>
      </c>
      <c r="F7" s="40" t="s">
        <v>460</v>
      </c>
      <c r="H7" s="1" t="s">
        <v>461</v>
      </c>
      <c r="I7" s="1" t="n">
        <v>95</v>
      </c>
      <c r="J7" s="1" t="n">
        <v>1400</v>
      </c>
    </row>
    <row r="8" customFormat="false" ht="15" hidden="false" customHeight="true" outlineLevel="0" collapsed="false">
      <c r="A8" s="40" t="s">
        <v>462</v>
      </c>
      <c r="B8" s="40" t="s">
        <v>25</v>
      </c>
      <c r="C8" s="40" t="s">
        <v>463</v>
      </c>
      <c r="D8" s="41" t="n">
        <v>15</v>
      </c>
      <c r="E8" s="42" t="n">
        <v>1</v>
      </c>
      <c r="F8" s="40" t="s">
        <v>464</v>
      </c>
      <c r="H8" s="1" t="s">
        <v>46</v>
      </c>
      <c r="I8" s="1" t="n">
        <v>90</v>
      </c>
      <c r="J8" s="1" t="n">
        <v>1200</v>
      </c>
    </row>
    <row r="9" customFormat="false" ht="15" hidden="false" customHeight="true" outlineLevel="0" collapsed="false">
      <c r="A9" s="40" t="s">
        <v>465</v>
      </c>
      <c r="B9" s="40" t="s">
        <v>35</v>
      </c>
      <c r="C9" s="40" t="s">
        <v>463</v>
      </c>
      <c r="D9" s="41" t="n">
        <v>10</v>
      </c>
      <c r="E9" s="42" t="n">
        <v>10</v>
      </c>
      <c r="F9" s="40" t="s">
        <v>466</v>
      </c>
      <c r="H9" s="1" t="s">
        <v>467</v>
      </c>
      <c r="I9" s="1" t="n">
        <v>0</v>
      </c>
      <c r="J9" s="1" t="n">
        <v>0</v>
      </c>
    </row>
    <row r="10" customFormat="false" ht="15" hidden="false" customHeight="true" outlineLevel="0" collapsed="false">
      <c r="A10" s="40" t="s">
        <v>468</v>
      </c>
      <c r="B10" s="40" t="s">
        <v>469</v>
      </c>
      <c r="C10" s="40" t="s">
        <v>463</v>
      </c>
      <c r="D10" s="41" t="n">
        <v>10</v>
      </c>
      <c r="E10" s="42" t="n">
        <v>20</v>
      </c>
      <c r="F10" s="40" t="s">
        <v>470</v>
      </c>
    </row>
    <row r="11" customFormat="false" ht="15" hidden="false" customHeight="true" outlineLevel="0" collapsed="false">
      <c r="A11" s="40" t="s">
        <v>471</v>
      </c>
      <c r="B11" s="40" t="s">
        <v>472</v>
      </c>
      <c r="C11" s="40" t="s">
        <v>452</v>
      </c>
      <c r="D11" s="41" t="n">
        <v>5</v>
      </c>
      <c r="E11" s="40" t="n">
        <v>95</v>
      </c>
      <c r="F11" s="40" t="s">
        <v>473</v>
      </c>
    </row>
    <row r="12" customFormat="false" ht="15" hidden="false" customHeight="true" outlineLevel="0" collapsed="false">
      <c r="A12" s="40" t="s">
        <v>474</v>
      </c>
      <c r="B12" s="40" t="s">
        <v>37</v>
      </c>
      <c r="C12" s="40" t="s">
        <v>452</v>
      </c>
      <c r="D12" s="41" t="n">
        <v>5</v>
      </c>
      <c r="E12" s="40" t="n">
        <v>100</v>
      </c>
      <c r="F12" s="40" t="s">
        <v>475</v>
      </c>
    </row>
    <row r="13" customFormat="false" ht="15" hidden="false" customHeight="true" outlineLevel="0" collapsed="false">
      <c r="A13" s="40" t="s">
        <v>476</v>
      </c>
      <c r="B13" s="40" t="s">
        <v>477</v>
      </c>
      <c r="C13" s="40" t="s">
        <v>452</v>
      </c>
      <c r="D13" s="41" t="n">
        <v>5</v>
      </c>
      <c r="E13" s="42" t="n">
        <v>95</v>
      </c>
      <c r="F13" s="40" t="s">
        <v>478</v>
      </c>
    </row>
    <row r="15" customFormat="false" ht="15" hidden="false" customHeight="true" outlineLevel="0" collapsed="false">
      <c r="A15" s="3" t="s">
        <v>479</v>
      </c>
      <c r="D15" s="43" t="n">
        <f aca="false">SUM(D5:D13)</f>
        <v>100</v>
      </c>
    </row>
    <row r="17" customFormat="false" ht="68.25" hidden="false" customHeight="true" outlineLevel="0" collapsed="false">
      <c r="A17" s="44" t="s">
        <v>480</v>
      </c>
      <c r="B17" s="45" t="s">
        <v>481</v>
      </c>
    </row>
    <row r="19" customFormat="false" ht="54.75" hidden="false" customHeight="true" outlineLevel="0" collapsed="false">
      <c r="A19" s="1" t="s">
        <v>482</v>
      </c>
      <c r="B19" s="46" t="s">
        <v>483</v>
      </c>
    </row>
    <row r="21" customFormat="false" ht="82.05" hidden="false" customHeight="false" outlineLevel="0" collapsed="false">
      <c r="A21" s="1" t="s">
        <v>484</v>
      </c>
      <c r="B21" s="46" t="s">
        <v>485</v>
      </c>
    </row>
  </sheetData>
  <mergeCells count="1">
    <mergeCell ref="A1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5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4"/>
    <col collapsed="false" customWidth="true" hidden="false" outlineLevel="0" max="8" min="8" style="1" width="24"/>
    <col collapsed="false" customWidth="true" hidden="false" outlineLevel="0" max="10" min="9" style="1" width="14"/>
    <col collapsed="false" customWidth="true" hidden="false" outlineLevel="0" max="11" min="11" style="1" width="24"/>
    <col collapsed="false" customWidth="true" hidden="false" outlineLevel="0" max="36" min="12" style="1" width="14"/>
    <col collapsed="false" customWidth="true" hidden="false" outlineLevel="0" max="38" min="37" style="1" width="24"/>
    <col collapsed="false" customWidth="true" hidden="false" outlineLevel="0" max="39" min="39" style="1" width="14"/>
    <col collapsed="false" customWidth="true" hidden="false" outlineLevel="0" max="51" min="40" style="1" width="18"/>
    <col collapsed="false" customWidth="true" hidden="false" outlineLevel="0" max="52" min="52" style="1" width="20"/>
  </cols>
  <sheetData>
    <row r="1" customFormat="false" ht="27.75" hidden="false" customHeight="true" outlineLevel="0" collapsed="false">
      <c r="A1" s="2" t="s">
        <v>486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customFormat="false" ht="15" hidden="false" customHeight="true" outlineLevel="0" collapsed="false">
      <c r="A3" s="4" t="s">
        <v>487</v>
      </c>
    </row>
    <row r="4" customFormat="false" ht="33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488</v>
      </c>
      <c r="O4" s="5" t="s">
        <v>489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41</v>
      </c>
      <c r="AN4" s="5" t="s">
        <v>490</v>
      </c>
      <c r="AO4" s="5" t="s">
        <v>491</v>
      </c>
      <c r="AP4" s="5" t="s">
        <v>492</v>
      </c>
      <c r="AQ4" s="5" t="s">
        <v>493</v>
      </c>
      <c r="AR4" s="5" t="s">
        <v>494</v>
      </c>
      <c r="AS4" s="5" t="s">
        <v>495</v>
      </c>
      <c r="AT4" s="5" t="s">
        <v>496</v>
      </c>
      <c r="AU4" s="5" t="s">
        <v>497</v>
      </c>
      <c r="AV4" s="5" t="s">
        <v>498</v>
      </c>
      <c r="AW4" s="5" t="s">
        <v>499</v>
      </c>
      <c r="AX4" s="5" t="s">
        <v>448</v>
      </c>
      <c r="AY4" s="5" t="s">
        <v>450</v>
      </c>
      <c r="AZ4" s="5" t="s">
        <v>500</v>
      </c>
    </row>
    <row r="5" customFormat="false" ht="15" hidden="false" customHeight="true" outlineLevel="0" collapsed="false">
      <c r="A5" s="47" t="n">
        <f aca="false">'Daily KPI Entry'!A6</f>
        <v>1</v>
      </c>
      <c r="B5" s="48" t="n">
        <f aca="false">'Daily KPI Entry'!B6</f>
        <v>46288</v>
      </c>
      <c r="C5" s="47" t="str">
        <f aca="false">'Daily KPI Entry'!C6</f>
        <v>A</v>
      </c>
      <c r="D5" s="47" t="str">
        <f aca="false">'Daily KPI Entry'!D6</f>
        <v>A</v>
      </c>
      <c r="E5" s="47" t="str">
        <f aca="false">'Daily KPI Entry'!E6</f>
        <v>Normal</v>
      </c>
      <c r="F5" s="47" t="n">
        <f aca="false">'Daily KPI Entry'!F6</f>
        <v>0</v>
      </c>
      <c r="G5" s="47" t="str">
        <f aca="false">'Daily KPI Entry'!G6</f>
        <v>STL005494</v>
      </c>
      <c r="H5" s="47" t="str">
        <f aca="false">'Daily KPI Entry'!H6</f>
        <v>MD. MAHABUB ALAM</v>
      </c>
      <c r="I5" s="47" t="n">
        <f aca="false">'Daily KPI Entry'!I6</f>
        <v>0</v>
      </c>
      <c r="J5" s="47" t="n">
        <f aca="false">'Daily KPI Entry'!J6</f>
        <v>8</v>
      </c>
      <c r="K5" s="47" t="str">
        <f aca="false">'Daily KPI Entry'!K6</f>
        <v>O4,O5,O6,P4,P5,Q4,Q5,Q6</v>
      </c>
      <c r="L5" s="47" t="n">
        <f aca="false">'Daily KPI Entry'!L6</f>
        <v>531.25</v>
      </c>
      <c r="M5" s="47" t="n">
        <f aca="false">'Daily KPI Entry'!M6</f>
        <v>42</v>
      </c>
      <c r="N5" s="49" t="n">
        <f aca="false">'Daily KPI Entry'!N6</f>
        <v>1500</v>
      </c>
      <c r="O5" s="49" t="n">
        <f aca="false">'Daily KPI Entry'!O6</f>
        <v>1130</v>
      </c>
      <c r="P5" s="49" t="n">
        <f aca="false">IF(OR(N5="",O5=""),"",IFERROR(O5/N5*100,0))</f>
        <v>75.3333333333333</v>
      </c>
      <c r="Q5" s="47" t="n">
        <f aca="false">'Daily KPI Entry'!Q6</f>
        <v>8</v>
      </c>
      <c r="R5" s="47" t="n">
        <f aca="false">IF(J5="","",Q5*J5)</f>
        <v>64</v>
      </c>
      <c r="S5" s="49" t="n">
        <f aca="false">'Daily KPI Entry'!S6</f>
        <v>61</v>
      </c>
      <c r="T5" s="49" t="n">
        <f aca="false">IF(OR(R5="",S5=""),"",IFERROR(S5/R5*100,0))</f>
        <v>95.3125</v>
      </c>
      <c r="U5" s="49" t="n">
        <f aca="false">IF(OR(O5="",L5="",M5="",S5="",M5=0),"",IFERROR(O5/(L5*60*S5/(M5*36))*100,0))</f>
        <v>87.8719382835101</v>
      </c>
      <c r="V5" s="49" t="n">
        <f aca="false">'Daily KPI Entry'!V6</f>
        <v>32</v>
      </c>
      <c r="W5" s="49" t="n">
        <f aca="false">IF(O5="","",IFERROR(V5/O5*100,0))</f>
        <v>2.83185840707965</v>
      </c>
      <c r="X5" s="49" t="n">
        <f aca="false">'Daily KPI Entry'!X6</f>
        <v>3</v>
      </c>
      <c r="Y5" s="49" t="n">
        <f aca="false">'Daily KPI Entry'!Y6</f>
        <v>5</v>
      </c>
      <c r="Z5" s="49" t="n">
        <f aca="false">'Daily KPI Entry'!Z6</f>
        <v>3</v>
      </c>
      <c r="AA5" s="49" t="n">
        <f aca="false">'Daily KPI Entry'!AA6</f>
        <v>5</v>
      </c>
      <c r="AB5" s="49" t="n">
        <f aca="false">'Daily KPI Entry'!AB6</f>
        <v>3</v>
      </c>
      <c r="AC5" s="49" t="n">
        <f aca="false">'Daily KPI Entry'!AC6</f>
        <v>0</v>
      </c>
      <c r="AD5" s="49" t="n">
        <f aca="false">'Daily KPI Entry'!AD6</f>
        <v>0</v>
      </c>
      <c r="AE5" s="49" t="n">
        <f aca="false">'Daily KPI Entry'!AE6</f>
        <v>0</v>
      </c>
      <c r="AF5" s="47" t="n">
        <f aca="false">IF(O5="","",SUM(X5:AE5))</f>
        <v>19</v>
      </c>
      <c r="AG5" s="49" t="n">
        <f aca="false">IF(O5="","",IFERROR(AF5/O5*1000,0))</f>
        <v>16.8141592920354</v>
      </c>
      <c r="AH5" s="49" t="n">
        <f aca="false">'Daily KPI Entry'!AH6</f>
        <v>80</v>
      </c>
      <c r="AI5" s="49" t="n">
        <f aca="false">'Daily KPI Entry'!AI6</f>
        <v>100</v>
      </c>
      <c r="AJ5" s="49" t="n">
        <f aca="false">'Daily KPI Entry'!AJ6</f>
        <v>90</v>
      </c>
      <c r="AK5" s="47" t="n">
        <f aca="false">'Daily KPI Entry'!AK6</f>
        <v>0</v>
      </c>
      <c r="AL5" s="47" t="n">
        <f aca="false">'Daily KPI Entry'!AL6</f>
        <v>0</v>
      </c>
      <c r="AM5" s="47" t="n">
        <f aca="false">'Daily KPI Entry'!AM6</f>
        <v>0</v>
      </c>
      <c r="AN5" s="49" t="n">
        <f aca="false">IF(P5="","",MIN(120,P5))</f>
        <v>75.3333333333333</v>
      </c>
      <c r="AO5" s="49" t="n">
        <f aca="false">IF(U5="","",MIN(120,U5))</f>
        <v>87.8719382835101</v>
      </c>
      <c r="AP5" s="49" t="n">
        <f aca="false">IF(R5="","",MIN(120,IFERROR(S5/R5*100,0)))</f>
        <v>95.3125</v>
      </c>
      <c r="AQ5" s="49" t="n">
        <f aca="false">IF(W5="","",MIN(120,IF(W5=0,120,100*(INDEX('Standards &amp; Scoring'!$E$5:$E$13,MATCH("Quality / Rejection",'Standards &amp; Scoring'!$A$5:$A$13,0))/W5))))</f>
        <v>35.3125</v>
      </c>
      <c r="AR5" s="49" t="n">
        <f aca="false">IF(AG5="","",MIN(120,IF(AG5=0,120,100*(INDEX('Standards &amp; Scoring'!$E$5:$E$13,MATCH("Fault Control",'Standards &amp; Scoring'!$A$5:$A$13,0))/AG5))))</f>
        <v>59.4736842105263</v>
      </c>
      <c r="AS5" s="49" t="n">
        <f aca="false">IF(O5="","",MIN(120,IF(SUMIFS('Fault &amp; Downtime Entry'!$L$6:$L$1005,'Fault &amp; Downtime Entry'!$E$6:$E$1005,G5,'Fault &amp; Downtime Entry'!$B$6:$B$1005,B5)=0,120,100*(INDEX('Standards &amp; Scoring'!$E$5:$E$13,MATCH("Downtime Control",'Standards &amp; Scoring'!$A$5:$A$13,0))/IFERROR(SUMIFS('Fault &amp; Downtime Entry'!$L$6:$L$1005,'Fault &amp; Downtime Entry'!$E$6:$E$1005,G5,'Fault &amp; Downtime Entry'!$B$6:$B$1005,B5)/O5*1000,999999)))))</f>
        <v>120</v>
      </c>
      <c r="AT5" s="49" t="n">
        <f aca="false">IF(COUNTA(AH5,AJ5)=0,"",MIN(120,IF(AND(AH5&lt;&gt;"",AJ5&lt;&gt;""),AVERAGE(AH5,AJ5),IF(AH5&lt;&gt;"",AH5,AJ5))))</f>
        <v>85</v>
      </c>
      <c r="AU5" s="49" t="n">
        <f aca="false">IF(AI5="","",MIN(120,AI5))</f>
        <v>100</v>
      </c>
      <c r="AV5" s="49" t="n">
        <f aca="false">IF(AJ5="","",MIN(120,AJ5))</f>
        <v>90</v>
      </c>
      <c r="AW5" s="50" t="n">
        <f aca="false">IF(COUNT(AN5:AV5)&lt;9,"",(AN5*'Standards &amp; Scoring'!$D$5+AO5*'Standards &amp; Scoring'!$D$6+AP5*'Standards &amp; Scoring'!$D$7+AQ5*'Standards &amp; Scoring'!$D$8+AR5*'Standards &amp; Scoring'!$D$9+AS5*'Standards &amp; Scoring'!$D$10+AT5*'Standards &amp; Scoring'!$D$11+AU5*'Standards &amp; Scoring'!$D$12+AV5*'Standards &amp; Scoring'!$D$13)/10000)</f>
        <v>0.795385758302458</v>
      </c>
      <c r="AX5" s="47" t="str">
        <f aca="false">IF(AW5="","",IF(AW5&gt;=1.05,"A+",IF(AW5&gt;=1,"A",IF(AW5&gt;=0.95,"B+",IF(AW5&gt;=0.9,"B","C")))))</f>
        <v>C</v>
      </c>
      <c r="AY5" s="47" t="n">
        <f aca="false">IF(AX5="","",IF(AX5="A+",1800,IF(AX5="A",1600,IF(AX5="B+",1400,IF(AX5="B",1200,0)))))</f>
        <v>0</v>
      </c>
      <c r="AZ5" s="49" t="n">
        <f aca="false">IF(OR(L5="",M5="",S5="",M5=0),"",IFERROR(L5*60*S5/(M5*36),0))</f>
        <v>1285.9623015873</v>
      </c>
    </row>
    <row r="6" customFormat="false" ht="15" hidden="false" customHeight="true" outlineLevel="0" collapsed="false">
      <c r="A6" s="47" t="n">
        <f aca="false">'Daily KPI Entry'!A7</f>
        <v>2</v>
      </c>
      <c r="B6" s="48" t="n">
        <f aca="false">'Daily KPI Entry'!B7</f>
        <v>46288</v>
      </c>
      <c r="C6" s="47" t="str">
        <f aca="false">'Daily KPI Entry'!C7</f>
        <v>B</v>
      </c>
      <c r="D6" s="47" t="str">
        <f aca="false">'Daily KPI Entry'!D7</f>
        <v>A</v>
      </c>
      <c r="E6" s="47" t="str">
        <f aca="false">'Daily KPI Entry'!E7</f>
        <v>Replace</v>
      </c>
      <c r="F6" s="47" t="str">
        <f aca="false">'Daily KPI Entry'!F7</f>
        <v>Manpower shortage</v>
      </c>
      <c r="G6" s="47" t="str">
        <f aca="false">'Daily KPI Entry'!G7</f>
        <v>STL005476</v>
      </c>
      <c r="H6" s="47" t="str">
        <f aca="false">'Daily KPI Entry'!H7</f>
        <v>MD. RIPU MIAH</v>
      </c>
      <c r="I6" s="47" t="n">
        <f aca="false">'Daily KPI Entry'!I7</f>
        <v>0</v>
      </c>
      <c r="J6" s="47" t="n">
        <f aca="false">'Daily KPI Entry'!J7</f>
        <v>9</v>
      </c>
      <c r="K6" s="47" t="str">
        <f aca="false">'Daily KPI Entry'!K7</f>
        <v>G6,G7,H5,H6,H7,I6,I7,J6,J7</v>
      </c>
      <c r="L6" s="47" t="n">
        <f aca="false">'Daily KPI Entry'!L7</f>
        <v>569.444444444445</v>
      </c>
      <c r="M6" s="47" t="n">
        <f aca="false">'Daily KPI Entry'!M7</f>
        <v>43.11</v>
      </c>
      <c r="N6" s="49" t="n">
        <f aca="false">'Daily KPI Entry'!N7</f>
        <v>1800</v>
      </c>
      <c r="O6" s="49" t="n">
        <f aca="false">'Daily KPI Entry'!O7</f>
        <v>1127</v>
      </c>
      <c r="P6" s="49" t="n">
        <f aca="false">IF(OR(N6="",O6=""),"",IFERROR(O6/N6*100,0))</f>
        <v>62.6111111111111</v>
      </c>
      <c r="Q6" s="47" t="n">
        <f aca="false">'Daily KPI Entry'!Q7</f>
        <v>8</v>
      </c>
      <c r="R6" s="47" t="n">
        <f aca="false">IF(J6="","",Q6*J6)</f>
        <v>72</v>
      </c>
      <c r="S6" s="49" t="n">
        <f aca="false">'Daily KPI Entry'!S7</f>
        <v>68</v>
      </c>
      <c r="T6" s="49" t="n">
        <f aca="false">IF(OR(R6="",S6=""),"",IFERROR(S6/R6*100,0))</f>
        <v>94.4444444444444</v>
      </c>
      <c r="U6" s="49" t="n">
        <f aca="false">IF(OR(O6="",L6="",M6="",S6="",M6=0),"",IFERROR(O6/(L6*60*S6/(M6*36))*100,0))</f>
        <v>75.282306456241</v>
      </c>
      <c r="V6" s="49" t="n">
        <f aca="false">'Daily KPI Entry'!V7</f>
        <v>17</v>
      </c>
      <c r="W6" s="49" t="n">
        <f aca="false">IF(O6="","",IFERROR(V6/O6*100,0))</f>
        <v>1.50842945874002</v>
      </c>
      <c r="X6" s="49" t="n">
        <f aca="false">'Daily KPI Entry'!X7</f>
        <v>6</v>
      </c>
      <c r="Y6" s="49" t="n">
        <f aca="false">'Daily KPI Entry'!Y7</f>
        <v>4</v>
      </c>
      <c r="Z6" s="49" t="n">
        <f aca="false">'Daily KPI Entry'!Z7</f>
        <v>7</v>
      </c>
      <c r="AA6" s="49" t="n">
        <f aca="false">'Daily KPI Entry'!AA7</f>
        <v>3</v>
      </c>
      <c r="AB6" s="49" t="n">
        <f aca="false">'Daily KPI Entry'!AB7</f>
        <v>6</v>
      </c>
      <c r="AC6" s="49" t="n">
        <f aca="false">'Daily KPI Entry'!AC7</f>
        <v>1</v>
      </c>
      <c r="AD6" s="49" t="n">
        <f aca="false">'Daily KPI Entry'!AD7</f>
        <v>0</v>
      </c>
      <c r="AE6" s="49" t="n">
        <f aca="false">'Daily KPI Entry'!AE7</f>
        <v>0</v>
      </c>
      <c r="AF6" s="47" t="n">
        <f aca="false">IF(O6="","",SUM(X6:AE6))</f>
        <v>27</v>
      </c>
      <c r="AG6" s="49" t="n">
        <f aca="false">IF(O6="","",IFERROR(AF6/O6*1000,0))</f>
        <v>23.9574090505768</v>
      </c>
      <c r="AH6" s="49" t="n">
        <f aca="false">'Daily KPI Entry'!AH7</f>
        <v>90</v>
      </c>
      <c r="AI6" s="49" t="n">
        <f aca="false">'Daily KPI Entry'!AI7</f>
        <v>95</v>
      </c>
      <c r="AJ6" s="49" t="n">
        <f aca="false">'Daily KPI Entry'!AJ7</f>
        <v>100</v>
      </c>
      <c r="AK6" s="47" t="n">
        <f aca="false">'Daily KPI Entry'!AK7</f>
        <v>0</v>
      </c>
      <c r="AL6" s="47" t="n">
        <f aca="false">'Daily KPI Entry'!AL7</f>
        <v>0</v>
      </c>
      <c r="AM6" s="47" t="n">
        <f aca="false">'Daily KPI Entry'!AM7</f>
        <v>0</v>
      </c>
      <c r="AN6" s="49" t="n">
        <f aca="false">IF(P6="","",MIN(120,P6))</f>
        <v>62.6111111111111</v>
      </c>
      <c r="AO6" s="49" t="n">
        <f aca="false">IF(U6="","",MIN(120,U6))</f>
        <v>75.282306456241</v>
      </c>
      <c r="AP6" s="49" t="n">
        <f aca="false">IF(R6="","",MIN(120,IFERROR(S6/R6*100,0)))</f>
        <v>94.4444444444444</v>
      </c>
      <c r="AQ6" s="49" t="n">
        <f aca="false">IF(W6="","",MIN(120,IF(W6=0,120,100*(INDEX('Standards &amp; Scoring'!$E$5:$E$13,MATCH("Quality / Rejection",'Standards &amp; Scoring'!$A$5:$A$13,0))/W6))))</f>
        <v>66.2941176470588</v>
      </c>
      <c r="AR6" s="49" t="n">
        <f aca="false">IF(AG6="","",MIN(120,IF(AG6=0,120,100*(INDEX('Standards &amp; Scoring'!$E$5:$E$13,MATCH("Fault Control",'Standards &amp; Scoring'!$A$5:$A$13,0))/AG6))))</f>
        <v>41.7407407407407</v>
      </c>
      <c r="AS6" s="49" t="n">
        <f aca="false">IF(O6="","",MIN(120,IF(SUMIFS('Fault &amp; Downtime Entry'!$L$6:$L$1005,'Fault &amp; Downtime Entry'!$E$6:$E$1005,G6,'Fault &amp; Downtime Entry'!$B$6:$B$1005,B6)=0,120,100*(INDEX('Standards &amp; Scoring'!$E$5:$E$13,MATCH("Downtime Control",'Standards &amp; Scoring'!$A$5:$A$13,0))/IFERROR(SUMIFS('Fault &amp; Downtime Entry'!$L$6:$L$1005,'Fault &amp; Downtime Entry'!$E$6:$E$1005,G6,'Fault &amp; Downtime Entry'!$B$6:$B$1005,B6)/O6*1000,999999)))))</f>
        <v>120</v>
      </c>
      <c r="AT6" s="49" t="n">
        <f aca="false">IF(COUNTA(AH6,AJ6)=0,"",MIN(120,IF(AND(AH6&lt;&gt;"",AJ6&lt;&gt;""),AVERAGE(AH6,AJ6),IF(AH6&lt;&gt;"",AH6,AJ6))))</f>
        <v>95</v>
      </c>
      <c r="AU6" s="49" t="n">
        <f aca="false">IF(AI6="","",MIN(120,AI6))</f>
        <v>95</v>
      </c>
      <c r="AV6" s="49" t="n">
        <f aca="false">IF(AJ6="","",MIN(120,AJ6))</f>
        <v>100</v>
      </c>
      <c r="AW6" s="50" t="n">
        <f aca="false">IF(COUNT(AN6:AV6)&lt;9,"",(AN6*'Standards &amp; Scoring'!$D$5+AO6*'Standards &amp; Scoring'!$D$6+AP6*'Standards &amp; Scoring'!$D$7+AQ6*'Standards &amp; Scoring'!$D$8+AR6*'Standards &amp; Scoring'!$D$9+AS6*'Standards &amp; Scoring'!$D$10+AT6*'Standards &amp; Scoring'!$D$11+AU6*'Standards &amp; Scoring'!$D$12+AV6*'Standards &amp; Scoring'!$D$13)/10000)</f>
        <v>0.785994265784579</v>
      </c>
      <c r="AX6" s="47" t="str">
        <f aca="false">IF(AW6="","",IF(AW6&gt;=1.05,"A+",IF(AW6&gt;=1,"A",IF(AW6&gt;=0.95,"B+",IF(AW6&gt;=0.9,"B","C")))))</f>
        <v>C</v>
      </c>
      <c r="AY6" s="47" t="n">
        <f aca="false">IF(AX6="","",IF(AX6="A+",1800,IF(AX6="A",1600,IF(AX6="B+",1400,IF(AX6="B",1200,0)))))</f>
        <v>0</v>
      </c>
      <c r="AZ6" s="49" t="n">
        <f aca="false">IF(OR(L6="",M6="",S6="",M6=0),"",IFERROR(L6*60*S6/(M6*36),0))</f>
        <v>1497.03171043927</v>
      </c>
    </row>
    <row r="7" customFormat="false" ht="15" hidden="false" customHeight="true" outlineLevel="0" collapsed="false">
      <c r="A7" s="47" t="n">
        <f aca="false">'Daily KPI Entry'!A8</f>
        <v>3</v>
      </c>
      <c r="B7" s="48" t="n">
        <f aca="false">'Daily KPI Entry'!B8</f>
        <v>46288</v>
      </c>
      <c r="C7" s="47" t="str">
        <f aca="false">'Daily KPI Entry'!C8</f>
        <v>A</v>
      </c>
      <c r="D7" s="47" t="str">
        <f aca="false">'Daily KPI Entry'!D8</f>
        <v>A</v>
      </c>
      <c r="E7" s="47" t="str">
        <f aca="false">'Daily KPI Entry'!E8</f>
        <v>Normal</v>
      </c>
      <c r="F7" s="47" t="n">
        <f aca="false">'Daily KPI Entry'!F8</f>
        <v>0</v>
      </c>
      <c r="G7" s="47" t="str">
        <f aca="false">'Daily KPI Entry'!G8</f>
        <v>STL005492</v>
      </c>
      <c r="H7" s="47" t="str">
        <f aca="false">'Daily KPI Entry'!H8</f>
        <v>MD. MINHAZ ALI</v>
      </c>
      <c r="I7" s="47" t="n">
        <f aca="false">'Daily KPI Entry'!I8</f>
        <v>0</v>
      </c>
      <c r="J7" s="47" t="n">
        <f aca="false">'Daily KPI Entry'!J8</f>
        <v>10</v>
      </c>
      <c r="K7" s="47" t="str">
        <f aca="false">'Daily KPI Entry'!K8</f>
        <v>K1,K2,K3,K4,K5,L1,L2,L3,L4,L5</v>
      </c>
      <c r="L7" s="47" t="n">
        <f aca="false">'Daily KPI Entry'!L8</f>
        <v>537.5</v>
      </c>
      <c r="M7" s="47" t="n">
        <f aca="false">'Daily KPI Entry'!M8</f>
        <v>41.6</v>
      </c>
      <c r="N7" s="49" t="n">
        <f aca="false">'Daily KPI Entry'!N8</f>
        <v>1900</v>
      </c>
      <c r="O7" s="49" t="n">
        <f aca="false">'Daily KPI Entry'!O8</f>
        <v>1602</v>
      </c>
      <c r="P7" s="49" t="n">
        <f aca="false">IF(OR(N7="",O7=""),"",IFERROR(O7/N7*100,0))</f>
        <v>84.3157894736842</v>
      </c>
      <c r="Q7" s="47" t="n">
        <f aca="false">'Daily KPI Entry'!Q8</f>
        <v>8</v>
      </c>
      <c r="R7" s="47" t="n">
        <f aca="false">IF(J7="","",Q7*J7)</f>
        <v>80</v>
      </c>
      <c r="S7" s="49" t="n">
        <f aca="false">'Daily KPI Entry'!S8</f>
        <v>79</v>
      </c>
      <c r="T7" s="49" t="n">
        <f aca="false">IF(OR(R7="",S7=""),"",IFERROR(S7/R7*100,0))</f>
        <v>98.75</v>
      </c>
      <c r="U7" s="49" t="n">
        <f aca="false">IF(OR(O7="",L7="",M7="",S7="",M7=0),"",IFERROR(O7/(L7*60*S7/(M7*36))*100,0))</f>
        <v>94.1676067118045</v>
      </c>
      <c r="V7" s="49" t="n">
        <f aca="false">'Daily KPI Entry'!V8</f>
        <v>20</v>
      </c>
      <c r="W7" s="49" t="n">
        <f aca="false">IF(O7="","",IFERROR(V7/O7*100,0))</f>
        <v>1.24843945068664</v>
      </c>
      <c r="X7" s="49" t="n">
        <f aca="false">'Daily KPI Entry'!X8</f>
        <v>4</v>
      </c>
      <c r="Y7" s="49" t="n">
        <f aca="false">'Daily KPI Entry'!Y8</f>
        <v>4</v>
      </c>
      <c r="Z7" s="49" t="n">
        <f aca="false">'Daily KPI Entry'!Z8</f>
        <v>1</v>
      </c>
      <c r="AA7" s="49" t="n">
        <f aca="false">'Daily KPI Entry'!AA8</f>
        <v>3</v>
      </c>
      <c r="AB7" s="49" t="n">
        <f aca="false">'Daily KPI Entry'!AB8</f>
        <v>2</v>
      </c>
      <c r="AC7" s="49" t="n">
        <f aca="false">'Daily KPI Entry'!AC8</f>
        <v>0</v>
      </c>
      <c r="AD7" s="49" t="n">
        <f aca="false">'Daily KPI Entry'!AD8</f>
        <v>0</v>
      </c>
      <c r="AE7" s="49" t="n">
        <f aca="false">'Daily KPI Entry'!AE8</f>
        <v>0</v>
      </c>
      <c r="AF7" s="47" t="n">
        <f aca="false">IF(O7="","",SUM(X7:AE7))</f>
        <v>14</v>
      </c>
      <c r="AG7" s="49" t="n">
        <f aca="false">IF(O7="","",IFERROR(AF7/O7*1000,0))</f>
        <v>8.73907615480649</v>
      </c>
      <c r="AH7" s="49" t="n">
        <f aca="false">'Daily KPI Entry'!AH8</f>
        <v>95</v>
      </c>
      <c r="AI7" s="49" t="n">
        <f aca="false">'Daily KPI Entry'!AI8</f>
        <v>100</v>
      </c>
      <c r="AJ7" s="49" t="n">
        <f aca="false">'Daily KPI Entry'!AJ8</f>
        <v>100</v>
      </c>
      <c r="AK7" s="47" t="n">
        <f aca="false">'Daily KPI Entry'!AK8</f>
        <v>0</v>
      </c>
      <c r="AL7" s="47" t="n">
        <f aca="false">'Daily KPI Entry'!AL8</f>
        <v>0</v>
      </c>
      <c r="AM7" s="47" t="n">
        <f aca="false">'Daily KPI Entry'!AM8</f>
        <v>0</v>
      </c>
      <c r="AN7" s="49" t="n">
        <f aca="false">IF(P7="","",MIN(120,P7))</f>
        <v>84.3157894736842</v>
      </c>
      <c r="AO7" s="49" t="n">
        <f aca="false">IF(U7="","",MIN(120,U7))</f>
        <v>94.1676067118045</v>
      </c>
      <c r="AP7" s="49" t="n">
        <f aca="false">IF(R7="","",MIN(120,IFERROR(S7/R7*100,0)))</f>
        <v>98.75</v>
      </c>
      <c r="AQ7" s="49" t="n">
        <f aca="false">IF(W7="","",MIN(120,IF(W7=0,120,100*(INDEX('Standards &amp; Scoring'!$E$5:$E$13,MATCH("Quality / Rejection",'Standards &amp; Scoring'!$A$5:$A$13,0))/W7))))</f>
        <v>80.1</v>
      </c>
      <c r="AR7" s="49" t="n">
        <f aca="false">IF(AG7="","",MIN(120,IF(AG7=0,120,100*(INDEX('Standards &amp; Scoring'!$E$5:$E$13,MATCH("Fault Control",'Standards &amp; Scoring'!$A$5:$A$13,0))/AG7))))</f>
        <v>114.428571428571</v>
      </c>
      <c r="AS7" s="49" t="n">
        <f aca="false">IF(O7="","",MIN(120,IF(SUMIFS('Fault &amp; Downtime Entry'!$L$6:$L$1005,'Fault &amp; Downtime Entry'!$E$6:$E$1005,G7,'Fault &amp; Downtime Entry'!$B$6:$B$1005,B7)=0,120,100*(INDEX('Standards &amp; Scoring'!$E$5:$E$13,MATCH("Downtime Control",'Standards &amp; Scoring'!$A$5:$A$13,0))/IFERROR(SUMIFS('Fault &amp; Downtime Entry'!$L$6:$L$1005,'Fault &amp; Downtime Entry'!$E$6:$E$1005,G7,'Fault &amp; Downtime Entry'!$B$6:$B$1005,B7)/O7*1000,999999)))))</f>
        <v>120</v>
      </c>
      <c r="AT7" s="49" t="n">
        <f aca="false">IF(COUNTA(AH7,AJ7)=0,"",MIN(120,IF(AND(AH7&lt;&gt;"",AJ7&lt;&gt;""),AVERAGE(AH7,AJ7),IF(AH7&lt;&gt;"",AH7,AJ7))))</f>
        <v>97.5</v>
      </c>
      <c r="AU7" s="49" t="n">
        <f aca="false">IF(AI7="","",MIN(120,AI7))</f>
        <v>100</v>
      </c>
      <c r="AV7" s="49" t="n">
        <f aca="false">IF(AJ7="","",MIN(120,AJ7))</f>
        <v>100</v>
      </c>
      <c r="AW7" s="50" t="n">
        <f aca="false">IF(COUNT(AN7:AV7)&lt;9,"",(AN7*'Standards &amp; Scoring'!$D$5+AO7*'Standards &amp; Scoring'!$D$6+AP7*'Standards &amp; Scoring'!$D$7+AQ7*'Standards &amp; Scoring'!$D$8+AR7*'Standards &amp; Scoring'!$D$9+AS7*'Standards &amp; Scoring'!$D$10+AT7*'Standards &amp; Scoring'!$D$11+AU7*'Standards &amp; Scoring'!$D$12+AV7*'Standards &amp; Scoring'!$D$13)/10000)</f>
        <v>0.961336560443647</v>
      </c>
      <c r="AX7" s="47" t="str">
        <f aca="false">IF(AW7="","",IF(AW7&gt;=1.05,"A+",IF(AW7&gt;=1,"A",IF(AW7&gt;=0.95,"B+",IF(AW7&gt;=0.9,"B","C")))))</f>
        <v>B+</v>
      </c>
      <c r="AY7" s="47" t="n">
        <f aca="false">IF(AX7="","",IF(AX7="A+",1800,IF(AX7="A",1600,IF(AX7="B+",1400,IF(AX7="B",1200,0)))))</f>
        <v>1400</v>
      </c>
      <c r="AZ7" s="49" t="n">
        <f aca="false">IF(OR(L7="",M7="",S7="",M7=0),"",IFERROR(L7*60*S7/(M7*36),0))</f>
        <v>1701.22195512821</v>
      </c>
    </row>
    <row r="8" customFormat="false" ht="15" hidden="false" customHeight="true" outlineLevel="0" collapsed="false">
      <c r="A8" s="47" t="n">
        <f aca="false">'Daily KPI Entry'!A9</f>
        <v>4</v>
      </c>
      <c r="B8" s="48" t="n">
        <f aca="false">'Daily KPI Entry'!B9</f>
        <v>46288</v>
      </c>
      <c r="C8" s="47" t="str">
        <f aca="false">'Daily KPI Entry'!C9</f>
        <v>A</v>
      </c>
      <c r="D8" s="47" t="str">
        <f aca="false">'Daily KPI Entry'!D9</f>
        <v>A</v>
      </c>
      <c r="E8" s="47" t="str">
        <f aca="false">'Daily KPI Entry'!E9</f>
        <v>Normal</v>
      </c>
      <c r="F8" s="47" t="n">
        <f aca="false">'Daily KPI Entry'!F9</f>
        <v>0</v>
      </c>
      <c r="G8" s="47" t="str">
        <f aca="false">'Daily KPI Entry'!G9</f>
        <v>STL005502</v>
      </c>
      <c r="H8" s="47" t="str">
        <f aca="false">'Daily KPI Entry'!H9</f>
        <v>MD. FORIDUL ISLAM</v>
      </c>
      <c r="I8" s="47" t="n">
        <f aca="false">'Daily KPI Entry'!I9</f>
        <v>0</v>
      </c>
      <c r="J8" s="47" t="n">
        <f aca="false">'Daily KPI Entry'!J9</f>
        <v>9</v>
      </c>
      <c r="K8" s="47" t="str">
        <f aca="false">'Daily KPI Entry'!K9</f>
        <v>G1,G2,G3,G4,G5,H1,H2,H3,H4</v>
      </c>
      <c r="L8" s="47" t="n">
        <f aca="false">'Daily KPI Entry'!L9</f>
        <v>519.444444444445</v>
      </c>
      <c r="M8" s="47" t="n">
        <f aca="false">'Daily KPI Entry'!M9</f>
        <v>44.78</v>
      </c>
      <c r="N8" s="49" t="n">
        <f aca="false">'Daily KPI Entry'!N9</f>
        <v>1500</v>
      </c>
      <c r="O8" s="49" t="n">
        <f aca="false">'Daily KPI Entry'!O9</f>
        <v>781</v>
      </c>
      <c r="P8" s="49" t="n">
        <f aca="false">IF(OR(N8="",O8=""),"",IFERROR(O8/N8*100,0))</f>
        <v>52.0666666666667</v>
      </c>
      <c r="Q8" s="47" t="n">
        <f aca="false">'Daily KPI Entry'!Q9</f>
        <v>8</v>
      </c>
      <c r="R8" s="47" t="n">
        <f aca="false">IF(J8="","",Q8*J8)</f>
        <v>72</v>
      </c>
      <c r="S8" s="49" t="n">
        <f aca="false">'Daily KPI Entry'!S9</f>
        <v>60</v>
      </c>
      <c r="T8" s="49" t="n">
        <f aca="false">IF(OR(R8="",S8=""),"",IFERROR(S8/R8*100,0))</f>
        <v>83.3333333333333</v>
      </c>
      <c r="U8" s="49" t="n">
        <f aca="false">IF(OR(O8="",L8="",M8="",S8="",M8=0),"",IFERROR(O8/(L8*60*S8/(M8*36))*100,0))</f>
        <v>67.3280470588234</v>
      </c>
      <c r="V8" s="49" t="n">
        <f aca="false">'Daily KPI Entry'!V9</f>
        <v>16</v>
      </c>
      <c r="W8" s="49" t="n">
        <f aca="false">IF(O8="","",IFERROR(V8/O8*100,0))</f>
        <v>2.04865556978233</v>
      </c>
      <c r="X8" s="49" t="n">
        <f aca="false">'Daily KPI Entry'!X9</f>
        <v>2</v>
      </c>
      <c r="Y8" s="49" t="n">
        <f aca="false">'Daily KPI Entry'!Y9</f>
        <v>5</v>
      </c>
      <c r="Z8" s="49" t="n">
        <f aca="false">'Daily KPI Entry'!Z9</f>
        <v>3</v>
      </c>
      <c r="AA8" s="49" t="n">
        <f aca="false">'Daily KPI Entry'!AA9</f>
        <v>6</v>
      </c>
      <c r="AB8" s="49" t="n">
        <f aca="false">'Daily KPI Entry'!AB9</f>
        <v>2</v>
      </c>
      <c r="AC8" s="49" t="n">
        <f aca="false">'Daily KPI Entry'!AC9</f>
        <v>3</v>
      </c>
      <c r="AD8" s="49" t="n">
        <f aca="false">'Daily KPI Entry'!AD9</f>
        <v>0</v>
      </c>
      <c r="AE8" s="49" t="n">
        <f aca="false">'Daily KPI Entry'!AE9</f>
        <v>0</v>
      </c>
      <c r="AF8" s="47" t="n">
        <f aca="false">IF(O8="","",SUM(X8:AE8))</f>
        <v>21</v>
      </c>
      <c r="AG8" s="49" t="n">
        <f aca="false">IF(O8="","",IFERROR(AF8/O8*1000,0))</f>
        <v>26.8886043533931</v>
      </c>
      <c r="AH8" s="49" t="n">
        <f aca="false">'Daily KPI Entry'!AH9</f>
        <v>90</v>
      </c>
      <c r="AI8" s="49" t="n">
        <f aca="false">'Daily KPI Entry'!AI9</f>
        <v>100</v>
      </c>
      <c r="AJ8" s="49" t="n">
        <f aca="false">'Daily KPI Entry'!AJ9</f>
        <v>100</v>
      </c>
      <c r="AK8" s="47" t="n">
        <f aca="false">'Daily KPI Entry'!AK9</f>
        <v>0</v>
      </c>
      <c r="AL8" s="47" t="n">
        <f aca="false">'Daily KPI Entry'!AL9</f>
        <v>0</v>
      </c>
      <c r="AM8" s="47" t="n">
        <f aca="false">'Daily KPI Entry'!AM9</f>
        <v>0</v>
      </c>
      <c r="AN8" s="49" t="n">
        <f aca="false">IF(P8="","",MIN(120,P8))</f>
        <v>52.0666666666667</v>
      </c>
      <c r="AO8" s="49" t="n">
        <f aca="false">IF(U8="","",MIN(120,U8))</f>
        <v>67.3280470588234</v>
      </c>
      <c r="AP8" s="49" t="n">
        <f aca="false">IF(R8="","",MIN(120,IFERROR(S8/R8*100,0)))</f>
        <v>83.3333333333333</v>
      </c>
      <c r="AQ8" s="49" t="n">
        <f aca="false">IF(W8="","",MIN(120,IF(W8=0,120,100*(INDEX('Standards &amp; Scoring'!$E$5:$E$13,MATCH("Quality / Rejection",'Standards &amp; Scoring'!$A$5:$A$13,0))/W8))))</f>
        <v>48.8125</v>
      </c>
      <c r="AR8" s="49" t="n">
        <f aca="false">IF(AG8="","",MIN(120,IF(AG8=0,120,100*(INDEX('Standards &amp; Scoring'!$E$5:$E$13,MATCH("Fault Control",'Standards &amp; Scoring'!$A$5:$A$13,0))/AG8))))</f>
        <v>37.1904761904762</v>
      </c>
      <c r="AS8" s="49" t="n">
        <f aca="false">IF(O8="","",MIN(120,IF(SUMIFS('Fault &amp; Downtime Entry'!$L$6:$L$1005,'Fault &amp; Downtime Entry'!$E$6:$E$1005,G8,'Fault &amp; Downtime Entry'!$B$6:$B$1005,B8)=0,120,100*(INDEX('Standards &amp; Scoring'!$E$5:$E$13,MATCH("Downtime Control",'Standards &amp; Scoring'!$A$5:$A$13,0))/IFERROR(SUMIFS('Fault &amp; Downtime Entry'!$L$6:$L$1005,'Fault &amp; Downtime Entry'!$E$6:$E$1005,G8,'Fault &amp; Downtime Entry'!$B$6:$B$1005,B8)/O8*1000,999999)))))</f>
        <v>120</v>
      </c>
      <c r="AT8" s="49" t="n">
        <f aca="false">IF(COUNTA(AH8,AJ8)=0,"",MIN(120,IF(AND(AH8&lt;&gt;"",AJ8&lt;&gt;""),AVERAGE(AH8,AJ8),IF(AH8&lt;&gt;"",AH8,AJ8))))</f>
        <v>95</v>
      </c>
      <c r="AU8" s="49" t="n">
        <f aca="false">IF(AI8="","",MIN(120,AI8))</f>
        <v>100</v>
      </c>
      <c r="AV8" s="49" t="n">
        <f aca="false">IF(AJ8="","",MIN(120,AJ8))</f>
        <v>100</v>
      </c>
      <c r="AW8" s="50" t="n">
        <f aca="false">IF(COUNT(AN8:AV8)&lt;9,"",(AN8*'Standards &amp; Scoring'!$D$5+AO8*'Standards &amp; Scoring'!$D$6+AP8*'Standards &amp; Scoring'!$D$7+AQ8*'Standards &amp; Scoring'!$D$8+AR8*'Standards &amp; Scoring'!$D$9+AS8*'Standards &amp; Scoring'!$D$10+AT8*'Standards &amp; Scoring'!$D$11+AU8*'Standards &amp; Scoring'!$D$12+AV8*'Standards &amp; Scoring'!$D$13)/10000)</f>
        <v>0.708034630112045</v>
      </c>
      <c r="AX8" s="47" t="str">
        <f aca="false">IF(AW8="","",IF(AW8&gt;=1.05,"A+",IF(AW8&gt;=1,"A",IF(AW8&gt;=0.95,"B+",IF(AW8&gt;=0.9,"B","C")))))</f>
        <v>C</v>
      </c>
      <c r="AY8" s="47" t="n">
        <f aca="false">IF(AX8="","",IF(AX8="A+",1800,IF(AX8="A",1600,IF(AX8="B+",1400,IF(AX8="B",1200,0)))))</f>
        <v>0</v>
      </c>
      <c r="AZ8" s="49" t="n">
        <f aca="false">IF(OR(L8="",M8="",S8="",M8=0),"",IFERROR(L8*60*S8/(M8*36),0))</f>
        <v>1159.9920599474</v>
      </c>
    </row>
    <row r="9" customFormat="false" ht="15" hidden="false" customHeight="true" outlineLevel="0" collapsed="false">
      <c r="A9" s="47" t="n">
        <f aca="false">'Daily KPI Entry'!A10</f>
        <v>5</v>
      </c>
      <c r="B9" s="48" t="n">
        <f aca="false">'Daily KPI Entry'!B10</f>
        <v>46288</v>
      </c>
      <c r="C9" s="47" t="n">
        <f aca="false">'Daily KPI Entry'!C10</f>
        <v>0</v>
      </c>
      <c r="D9" s="47" t="n">
        <f aca="false">'Daily KPI Entry'!D10</f>
        <v>0</v>
      </c>
      <c r="E9" s="47" t="n">
        <f aca="false">'Daily KPI Entry'!E10</f>
        <v>0</v>
      </c>
      <c r="F9" s="47" t="n">
        <f aca="false">'Daily KPI Entry'!F10</f>
        <v>0</v>
      </c>
      <c r="G9" s="47" t="str">
        <f aca="false">'Daily KPI Entry'!G10</f>
        <v>STL005507</v>
      </c>
      <c r="H9" s="47" t="str">
        <f aca="false">'Daily KPI Entry'!H10</f>
        <v>MD. SAIFUL ISLAM-2</v>
      </c>
      <c r="I9" s="47" t="n">
        <f aca="false">'Daily KPI Entry'!I10</f>
        <v>0</v>
      </c>
      <c r="J9" s="47" t="n">
        <f aca="false">'Daily KPI Entry'!J10</f>
        <v>10</v>
      </c>
      <c r="K9" s="47" t="str">
        <f aca="false">'Daily KPI Entry'!K10</f>
        <v>I1,I2,I3,I4,I5,J1,J2,J3,J4,J5</v>
      </c>
      <c r="L9" s="47" t="n">
        <f aca="false">'Daily KPI Entry'!L10</f>
        <v>582.5</v>
      </c>
      <c r="M9" s="47" t="n">
        <f aca="false">'Daily KPI Entry'!M10</f>
        <v>43.7</v>
      </c>
      <c r="N9" s="49" t="n">
        <f aca="false">'Daily KPI Entry'!N10</f>
        <v>1900</v>
      </c>
      <c r="O9" s="49" t="n">
        <f aca="false">'Daily KPI Entry'!O10</f>
        <v>1170</v>
      </c>
      <c r="P9" s="49" t="n">
        <f aca="false">IF(OR(N9="",O9=""),"",IFERROR(O9/N9*100,0))</f>
        <v>61.5789473684211</v>
      </c>
      <c r="Q9" s="47" t="n">
        <f aca="false">'Daily KPI Entry'!Q10</f>
        <v>8</v>
      </c>
      <c r="R9" s="47" t="n">
        <f aca="false">IF(J9="","",Q9*J9)</f>
        <v>80</v>
      </c>
      <c r="S9" s="49" t="n">
        <f aca="false">'Daily KPI Entry'!S10</f>
        <v>78</v>
      </c>
      <c r="T9" s="49" t="n">
        <f aca="false">IF(OR(R9="",S9=""),"",IFERROR(S9/R9*100,0))</f>
        <v>97.5</v>
      </c>
      <c r="U9" s="49" t="n">
        <f aca="false">IF(OR(O9="",L9="",M9="",S9="",M9=0),"",IFERROR(O9/(L9*60*S9/(M9*36))*100,0))</f>
        <v>67.519313304721</v>
      </c>
      <c r="V9" s="49" t="n">
        <f aca="false">'Daily KPI Entry'!V10</f>
        <v>12</v>
      </c>
      <c r="W9" s="49" t="n">
        <f aca="false">IF(O9="","",IFERROR(V9/O9*100,0))</f>
        <v>1.02564102564103</v>
      </c>
      <c r="X9" s="49" t="n">
        <f aca="false">'Daily KPI Entry'!X10</f>
        <v>5</v>
      </c>
      <c r="Y9" s="49" t="n">
        <f aca="false">'Daily KPI Entry'!Y10</f>
        <v>3</v>
      </c>
      <c r="Z9" s="49" t="n">
        <f aca="false">'Daily KPI Entry'!Z10</f>
        <v>4</v>
      </c>
      <c r="AA9" s="49" t="n">
        <f aca="false">'Daily KPI Entry'!AA10</f>
        <v>1</v>
      </c>
      <c r="AB9" s="49" t="n">
        <f aca="false">'Daily KPI Entry'!AB10</f>
        <v>5</v>
      </c>
      <c r="AC9" s="49" t="n">
        <f aca="false">'Daily KPI Entry'!AC10</f>
        <v>1</v>
      </c>
      <c r="AD9" s="49" t="n">
        <f aca="false">'Daily KPI Entry'!AD10</f>
        <v>1</v>
      </c>
      <c r="AE9" s="49" t="n">
        <f aca="false">'Daily KPI Entry'!AE10</f>
        <v>0</v>
      </c>
      <c r="AF9" s="47" t="n">
        <f aca="false">IF(O9="","",SUM(X9:AE9))</f>
        <v>20</v>
      </c>
      <c r="AG9" s="49" t="n">
        <f aca="false">IF(O9="","",IFERROR(AF9/O9*1000,0))</f>
        <v>17.0940170940171</v>
      </c>
      <c r="AH9" s="49" t="n">
        <f aca="false">'Daily KPI Entry'!AH10</f>
        <v>95</v>
      </c>
      <c r="AI9" s="49" t="n">
        <f aca="false">'Daily KPI Entry'!AI10</f>
        <v>100</v>
      </c>
      <c r="AJ9" s="49" t="n">
        <f aca="false">'Daily KPI Entry'!AJ10</f>
        <v>95</v>
      </c>
      <c r="AK9" s="47" t="n">
        <f aca="false">'Daily KPI Entry'!AK10</f>
        <v>0</v>
      </c>
      <c r="AL9" s="47" t="n">
        <f aca="false">'Daily KPI Entry'!AL10</f>
        <v>0</v>
      </c>
      <c r="AM9" s="47" t="n">
        <f aca="false">'Daily KPI Entry'!AM10</f>
        <v>0</v>
      </c>
      <c r="AN9" s="49" t="n">
        <f aca="false">IF(P9="","",MIN(120,P9))</f>
        <v>61.5789473684211</v>
      </c>
      <c r="AO9" s="49" t="n">
        <f aca="false">IF(U9="","",MIN(120,U9))</f>
        <v>67.519313304721</v>
      </c>
      <c r="AP9" s="49" t="n">
        <f aca="false">IF(R9="","",MIN(120,IFERROR(S9/R9*100,0)))</f>
        <v>97.5</v>
      </c>
      <c r="AQ9" s="49" t="n">
        <f aca="false">IF(W9="","",MIN(120,IF(W9=0,120,100*(INDEX('Standards &amp; Scoring'!$E$5:$E$13,MATCH("Quality / Rejection",'Standards &amp; Scoring'!$A$5:$A$13,0))/W9))))</f>
        <v>97.5</v>
      </c>
      <c r="AR9" s="49" t="n">
        <f aca="false">IF(AG9="","",MIN(120,IF(AG9=0,120,100*(INDEX('Standards &amp; Scoring'!$E$5:$E$13,MATCH("Fault Control",'Standards &amp; Scoring'!$A$5:$A$13,0))/AG9))))</f>
        <v>58.5</v>
      </c>
      <c r="AS9" s="49" t="n">
        <f aca="false">IF(O9="","",MIN(120,IF(SUMIFS('Fault &amp; Downtime Entry'!$L$6:$L$1005,'Fault &amp; Downtime Entry'!$E$6:$E$1005,G9,'Fault &amp; Downtime Entry'!$B$6:$B$1005,B9)=0,120,100*(INDEX('Standards &amp; Scoring'!$E$5:$E$13,MATCH("Downtime Control",'Standards &amp; Scoring'!$A$5:$A$13,0))/IFERROR(SUMIFS('Fault &amp; Downtime Entry'!$L$6:$L$1005,'Fault &amp; Downtime Entry'!$E$6:$E$1005,G9,'Fault &amp; Downtime Entry'!$B$6:$B$1005,B9)/O9*1000,999999)))))</f>
        <v>120</v>
      </c>
      <c r="AT9" s="49" t="n">
        <f aca="false">IF(COUNTA(AH9,AJ9)=0,"",MIN(120,IF(AND(AH9&lt;&gt;"",AJ9&lt;&gt;""),AVERAGE(AH9,AJ9),IF(AH9&lt;&gt;"",AH9,AJ9))))</f>
        <v>95</v>
      </c>
      <c r="AU9" s="49" t="n">
        <f aca="false">IF(AI9="","",MIN(120,AI9))</f>
        <v>100</v>
      </c>
      <c r="AV9" s="49" t="n">
        <f aca="false">IF(AJ9="","",MIN(120,AJ9))</f>
        <v>95</v>
      </c>
      <c r="AW9" s="50" t="n">
        <f aca="false">IF(COUNT(AN9:AV9)&lt;9,"",(AN9*'Standards &amp; Scoring'!$D$5+AO9*'Standards &amp; Scoring'!$D$6+AP9*'Standards &amp; Scoring'!$D$7+AQ9*'Standards &amp; Scoring'!$D$8+AR9*'Standards &amp; Scoring'!$D$9+AS9*'Standards &amp; Scoring'!$D$10+AT9*'Standards &amp; Scoring'!$D$11+AU9*'Standards &amp; Scoring'!$D$12+AV9*'Standards &amp; Scoring'!$D$13)/10000)</f>
        <v>0.840436864693924</v>
      </c>
      <c r="AX9" s="47" t="str">
        <f aca="false">IF(AW9="","",IF(AW9&gt;=1.05,"A+",IF(AW9&gt;=1,"A",IF(AW9&gt;=0.95,"B+",IF(AW9&gt;=0.9,"B","C")))))</f>
        <v>C</v>
      </c>
      <c r="AY9" s="47" t="n">
        <f aca="false">IF(AX9="","",IF(AX9="A+",1800,IF(AX9="A",1600,IF(AX9="B+",1400,IF(AX9="B",1200,0)))))</f>
        <v>0</v>
      </c>
      <c r="AZ9" s="49" t="n">
        <f aca="false">IF(OR(L9="",M9="",S9="",M9=0),"",IFERROR(L9*60*S9/(M9*36),0))</f>
        <v>1732.83752860412</v>
      </c>
    </row>
    <row r="10" customFormat="false" ht="15" hidden="false" customHeight="true" outlineLevel="0" collapsed="false">
      <c r="A10" s="47" t="n">
        <f aca="false">'Daily KPI Entry'!A11</f>
        <v>6</v>
      </c>
      <c r="B10" s="48" t="n">
        <f aca="false">'Daily KPI Entry'!B11</f>
        <v>46288</v>
      </c>
      <c r="C10" s="47" t="n">
        <f aca="false">'Daily KPI Entry'!C11</f>
        <v>0</v>
      </c>
      <c r="D10" s="47" t="n">
        <f aca="false">'Daily KPI Entry'!D11</f>
        <v>0</v>
      </c>
      <c r="E10" s="47" t="n">
        <f aca="false">'Daily KPI Entry'!E11</f>
        <v>0</v>
      </c>
      <c r="F10" s="47" t="n">
        <f aca="false">'Daily KPI Entry'!F11</f>
        <v>0</v>
      </c>
      <c r="G10" s="47" t="str">
        <f aca="false">'Daily KPI Entry'!G11</f>
        <v>STL005510</v>
      </c>
      <c r="H10" s="47" t="str">
        <f aca="false">'Daily KPI Entry'!H11</f>
        <v>MD. ZIAUL HAQUE</v>
      </c>
      <c r="I10" s="47" t="n">
        <f aca="false">'Daily KPI Entry'!I11</f>
        <v>0</v>
      </c>
      <c r="J10" s="47" t="n">
        <f aca="false">'Daily KPI Entry'!J11</f>
        <v>9</v>
      </c>
      <c r="K10" s="47" t="str">
        <f aca="false">'Daily KPI Entry'!K11</f>
        <v>R3,R4,R5,R6,S4,S5,T4,T5,T6</v>
      </c>
      <c r="L10" s="47" t="n">
        <f aca="false">'Daily KPI Entry'!L11</f>
        <v>558.333333333333</v>
      </c>
      <c r="M10" s="47" t="n">
        <f aca="false">'Daily KPI Entry'!M11</f>
        <v>41.22</v>
      </c>
      <c r="N10" s="49" t="n">
        <f aca="false">'Daily KPI Entry'!N11</f>
        <v>1800</v>
      </c>
      <c r="O10" s="49" t="n">
        <f aca="false">'Daily KPI Entry'!O11</f>
        <v>1598</v>
      </c>
      <c r="P10" s="49" t="n">
        <f aca="false">IF(OR(N10="",O10=""),"",IFERROR(O10/N10*100,0))</f>
        <v>88.7777777777778</v>
      </c>
      <c r="Q10" s="47" t="n">
        <f aca="false">'Daily KPI Entry'!Q11</f>
        <v>8</v>
      </c>
      <c r="R10" s="47" t="n">
        <f aca="false">IF(J10="","",Q10*J10)</f>
        <v>72</v>
      </c>
      <c r="S10" s="49" t="n">
        <f aca="false">'Daily KPI Entry'!S11</f>
        <v>68</v>
      </c>
      <c r="T10" s="49" t="n">
        <f aca="false">IF(OR(R10="",S10=""),"",IFERROR(S10/R10*100,0))</f>
        <v>94.4444444444444</v>
      </c>
      <c r="U10" s="49" t="n">
        <f aca="false">IF(OR(O10="",L10="",M10="",S10="",M10=0),"",IFERROR(O10/(L10*60*S10/(M10*36))*100,0))</f>
        <v>104.095880597015</v>
      </c>
      <c r="V10" s="49" t="n">
        <f aca="false">'Daily KPI Entry'!V11</f>
        <v>0</v>
      </c>
      <c r="W10" s="49" t="n">
        <f aca="false">IF(O10="","",IFERROR(V10/O10*100,0))</f>
        <v>0</v>
      </c>
      <c r="X10" s="49" t="n">
        <f aca="false">'Daily KPI Entry'!X11</f>
        <v>0</v>
      </c>
      <c r="Y10" s="49" t="n">
        <f aca="false">'Daily KPI Entry'!Y11</f>
        <v>0</v>
      </c>
      <c r="Z10" s="49" t="n">
        <f aca="false">'Daily KPI Entry'!Z11</f>
        <v>0</v>
      </c>
      <c r="AA10" s="49" t="n">
        <f aca="false">'Daily KPI Entry'!AA11</f>
        <v>0</v>
      </c>
      <c r="AB10" s="49" t="n">
        <f aca="false">'Daily KPI Entry'!AB11</f>
        <v>0</v>
      </c>
      <c r="AC10" s="49" t="n">
        <f aca="false">'Daily KPI Entry'!AC11</f>
        <v>0</v>
      </c>
      <c r="AD10" s="49" t="n">
        <f aca="false">'Daily KPI Entry'!AD11</f>
        <v>0</v>
      </c>
      <c r="AE10" s="49" t="n">
        <f aca="false">'Daily KPI Entry'!AE11</f>
        <v>0</v>
      </c>
      <c r="AF10" s="47" t="n">
        <f aca="false">IF(O10="","",SUM(X10:AE10))</f>
        <v>0</v>
      </c>
      <c r="AG10" s="49" t="n">
        <f aca="false">IF(O10="","",IFERROR(AF10/O10*1000,0))</f>
        <v>0</v>
      </c>
      <c r="AH10" s="49" t="n">
        <f aca="false">'Daily KPI Entry'!AH11</f>
        <v>0</v>
      </c>
      <c r="AI10" s="49" t="n">
        <f aca="false">'Daily KPI Entry'!AI11</f>
        <v>0</v>
      </c>
      <c r="AJ10" s="49" t="n">
        <f aca="false">'Daily KPI Entry'!AJ11</f>
        <v>0</v>
      </c>
      <c r="AK10" s="47" t="n">
        <f aca="false">'Daily KPI Entry'!AK11</f>
        <v>0</v>
      </c>
      <c r="AL10" s="47" t="n">
        <f aca="false">'Daily KPI Entry'!AL11</f>
        <v>0</v>
      </c>
      <c r="AM10" s="47" t="n">
        <f aca="false">'Daily KPI Entry'!AM11</f>
        <v>0</v>
      </c>
      <c r="AN10" s="49" t="n">
        <f aca="false">IF(P10="","",MIN(120,P10))</f>
        <v>88.7777777777778</v>
      </c>
      <c r="AO10" s="49" t="n">
        <f aca="false">IF(U10="","",MIN(120,U10))</f>
        <v>104.095880597015</v>
      </c>
      <c r="AP10" s="49" t="n">
        <f aca="false">IF(R10="","",MIN(120,IFERROR(S10/R10*100,0)))</f>
        <v>94.4444444444444</v>
      </c>
      <c r="AQ10" s="49" t="n">
        <f aca="false">IF(W10="","",MIN(120,IF(W10=0,120,100*(INDEX('Standards &amp; Scoring'!$E$5:$E$13,MATCH("Quality / Rejection",'Standards &amp; Scoring'!$A$5:$A$13,0))/W10))))</f>
        <v>120</v>
      </c>
      <c r="AR10" s="49" t="n">
        <f aca="false">IF(AG10="","",MIN(120,IF(AG10=0,120,100*(INDEX('Standards &amp; Scoring'!$E$5:$E$13,MATCH("Fault Control",'Standards &amp; Scoring'!$A$5:$A$13,0))/AG10))))</f>
        <v>120</v>
      </c>
      <c r="AS10" s="49" t="n">
        <f aca="false">IF(O10="","",MIN(120,IF(SUMIFS('Fault &amp; Downtime Entry'!$L$6:$L$1005,'Fault &amp; Downtime Entry'!$E$6:$E$1005,G10,'Fault &amp; Downtime Entry'!$B$6:$B$1005,B10)=0,120,100*(INDEX('Standards &amp; Scoring'!$E$5:$E$13,MATCH("Downtime Control",'Standards &amp; Scoring'!$A$5:$A$13,0))/IFERROR(SUMIFS('Fault &amp; Downtime Entry'!$L$6:$L$1005,'Fault &amp; Downtime Entry'!$E$6:$E$1005,G10,'Fault &amp; Downtime Entry'!$B$6:$B$1005,B10)/O10*1000,999999)))))</f>
        <v>120</v>
      </c>
      <c r="AT10" s="49" t="n">
        <f aca="false">IF(COUNTA(AH10,AJ10)=0,"",MIN(120,IF(AND(AH10&lt;&gt;"",AJ10&lt;&gt;""),AVERAGE(AH10,AJ10),IF(AH10&lt;&gt;"",AH10,AJ10))))</f>
        <v>0</v>
      </c>
      <c r="AU10" s="49" t="str">
        <f aca="false">IF(AI10="","",MIN(120,AI10))</f>
        <v/>
      </c>
      <c r="AV10" s="49" t="str">
        <f aca="false">IF(AJ10="","",MIN(120,AJ10))</f>
        <v/>
      </c>
      <c r="AW10" s="50" t="str">
        <f aca="false">IF(COUNT(AN10:AV10)&lt;9,"",(AN10*'Standards &amp; Scoring'!$D$5+AO10*'Standards &amp; Scoring'!$D$6+AP10*'Standards &amp; Scoring'!$D$7+AQ10*'Standards &amp; Scoring'!$D$8+AR10*'Standards &amp; Scoring'!$D$9+AS10*'Standards &amp; Scoring'!$D$10+AT10*'Standards &amp; Scoring'!$D$11+AU10*'Standards &amp; Scoring'!$D$12+AV10*'Standards &amp; Scoring'!$D$13)/10000)</f>
        <v/>
      </c>
      <c r="AX10" s="47" t="str">
        <f aca="false">IF(AW10="","",IF(AW10&gt;=1.05,"A+",IF(AW10&gt;=1,"A",IF(AW10&gt;=0.95,"B+",IF(AW10&gt;=0.9,"B","C")))))</f>
        <v/>
      </c>
      <c r="AY10" s="47" t="str">
        <f aca="false">IF(AX10="","",IF(AX10="A+",1800,IF(AX10="A",1600,IF(AX10="B+",1400,IF(AX10="B",1200,0)))))</f>
        <v/>
      </c>
      <c r="AZ10" s="49" t="n">
        <f aca="false">IF(OR(L10="",M10="",S10="",M10=0),"",IFERROR(L10*60*S10/(M10*36),0))</f>
        <v>1535.12318723381</v>
      </c>
    </row>
    <row r="11" customFormat="false" ht="15" hidden="false" customHeight="true" outlineLevel="0" collapsed="false">
      <c r="A11" s="47" t="n">
        <f aca="false">'Daily KPI Entry'!A12</f>
        <v>7</v>
      </c>
      <c r="B11" s="48" t="n">
        <f aca="false">'Daily KPI Entry'!B12</f>
        <v>46288</v>
      </c>
      <c r="C11" s="47" t="n">
        <f aca="false">'Daily KPI Entry'!C12</f>
        <v>0</v>
      </c>
      <c r="D11" s="47" t="n">
        <f aca="false">'Daily KPI Entry'!D12</f>
        <v>0</v>
      </c>
      <c r="E11" s="47" t="n">
        <f aca="false">'Daily KPI Entry'!E12</f>
        <v>0</v>
      </c>
      <c r="F11" s="47" t="n">
        <f aca="false">'Daily KPI Entry'!F12</f>
        <v>0</v>
      </c>
      <c r="G11" s="47" t="str">
        <f aca="false">'Daily KPI Entry'!G12</f>
        <v>STL005466</v>
      </c>
      <c r="H11" s="47" t="str">
        <f aca="false">'Daily KPI Entry'!H12</f>
        <v>MD. ANOWAR HOSEN-3</v>
      </c>
      <c r="I11" s="47" t="n">
        <f aca="false">'Daily KPI Entry'!I12</f>
        <v>0</v>
      </c>
      <c r="J11" s="47" t="n">
        <f aca="false">'Daily KPI Entry'!J12</f>
        <v>9</v>
      </c>
      <c r="K11" s="47" t="str">
        <f aca="false">'Daily KPI Entry'!K12</f>
        <v>U2,U4,U5,U6,V2,V3,V4,V5,V6</v>
      </c>
      <c r="L11" s="47" t="n">
        <f aca="false">'Daily KPI Entry'!L12</f>
        <v>505.555555555556</v>
      </c>
      <c r="M11" s="47" t="n">
        <f aca="false">'Daily KPI Entry'!M12</f>
        <v>44.78</v>
      </c>
      <c r="N11" s="49" t="n">
        <f aca="false">'Daily KPI Entry'!N12</f>
        <v>1600</v>
      </c>
      <c r="O11" s="49" t="n">
        <f aca="false">'Daily KPI Entry'!O12</f>
        <v>1156</v>
      </c>
      <c r="P11" s="49" t="n">
        <f aca="false">IF(OR(N11="",O11=""),"",IFERROR(O11/N11*100,0))</f>
        <v>72.25</v>
      </c>
      <c r="Q11" s="47" t="n">
        <f aca="false">'Daily KPI Entry'!Q12</f>
        <v>8</v>
      </c>
      <c r="R11" s="47" t="n">
        <f aca="false">IF(J11="","",Q11*J11)</f>
        <v>72</v>
      </c>
      <c r="S11" s="49" t="n">
        <f aca="false">'Daily KPI Entry'!S12</f>
        <v>0</v>
      </c>
      <c r="T11" s="49" t="str">
        <f aca="false">IF(OR(R11="",S11=""),"",IFERROR(S11/R11*100,0))</f>
        <v/>
      </c>
      <c r="U11" s="49" t="str">
        <f aca="false">IF(OR(O11="",L11="",M11="",S11="",M11=0),"",IFERROR(O11/(L11*60*S11/(M11*36))*100,0))</f>
        <v/>
      </c>
      <c r="V11" s="49" t="n">
        <f aca="false">'Daily KPI Entry'!V12</f>
        <v>0</v>
      </c>
      <c r="W11" s="49" t="n">
        <f aca="false">IF(O11="","",IFERROR(V11/O11*100,0))</f>
        <v>0</v>
      </c>
      <c r="X11" s="49" t="n">
        <f aca="false">'Daily KPI Entry'!X12</f>
        <v>0</v>
      </c>
      <c r="Y11" s="49" t="n">
        <f aca="false">'Daily KPI Entry'!Y12</f>
        <v>0</v>
      </c>
      <c r="Z11" s="49" t="n">
        <f aca="false">'Daily KPI Entry'!Z12</f>
        <v>0</v>
      </c>
      <c r="AA11" s="49" t="n">
        <f aca="false">'Daily KPI Entry'!AA12</f>
        <v>0</v>
      </c>
      <c r="AB11" s="49" t="n">
        <f aca="false">'Daily KPI Entry'!AB12</f>
        <v>0</v>
      </c>
      <c r="AC11" s="49" t="n">
        <f aca="false">'Daily KPI Entry'!AC12</f>
        <v>0</v>
      </c>
      <c r="AD11" s="49" t="n">
        <f aca="false">'Daily KPI Entry'!AD12</f>
        <v>0</v>
      </c>
      <c r="AE11" s="49" t="n">
        <f aca="false">'Daily KPI Entry'!AE12</f>
        <v>0</v>
      </c>
      <c r="AF11" s="47" t="n">
        <f aca="false">IF(O11="","",SUM(X11:AE11))</f>
        <v>0</v>
      </c>
      <c r="AG11" s="49" t="n">
        <f aca="false">IF(O11="","",IFERROR(AF11/O11*1000,0))</f>
        <v>0</v>
      </c>
      <c r="AH11" s="49" t="n">
        <f aca="false">'Daily KPI Entry'!AH12</f>
        <v>0</v>
      </c>
      <c r="AI11" s="49" t="n">
        <f aca="false">'Daily KPI Entry'!AI12</f>
        <v>0</v>
      </c>
      <c r="AJ11" s="49" t="n">
        <f aca="false">'Daily KPI Entry'!AJ12</f>
        <v>0</v>
      </c>
      <c r="AK11" s="47" t="n">
        <f aca="false">'Daily KPI Entry'!AK12</f>
        <v>0</v>
      </c>
      <c r="AL11" s="47" t="n">
        <f aca="false">'Daily KPI Entry'!AL12</f>
        <v>0</v>
      </c>
      <c r="AM11" s="47" t="n">
        <f aca="false">'Daily KPI Entry'!AM12</f>
        <v>0</v>
      </c>
      <c r="AN11" s="49" t="n">
        <f aca="false">IF(P11="","",MIN(120,P11))</f>
        <v>72.25</v>
      </c>
      <c r="AO11" s="49" t="str">
        <f aca="false">IF(U11="","",MIN(120,U11))</f>
        <v/>
      </c>
      <c r="AP11" s="49" t="n">
        <f aca="false">IF(R11="","",MIN(120,IFERROR(S11/R11*100,0)))</f>
        <v>0</v>
      </c>
      <c r="AQ11" s="49" t="n">
        <f aca="false">IF(W11="","",MIN(120,IF(W11=0,120,100*(INDEX('Standards &amp; Scoring'!$E$5:$E$13,MATCH("Quality / Rejection",'Standards &amp; Scoring'!$A$5:$A$13,0))/W11))))</f>
        <v>120</v>
      </c>
      <c r="AR11" s="49" t="n">
        <f aca="false">IF(AG11="","",MIN(120,IF(AG11=0,120,100*(INDEX('Standards &amp; Scoring'!$E$5:$E$13,MATCH("Fault Control",'Standards &amp; Scoring'!$A$5:$A$13,0))/AG11))))</f>
        <v>120</v>
      </c>
      <c r="AS11" s="49" t="n">
        <f aca="false">IF(O11="","",MIN(120,IF(SUMIFS('Fault &amp; Downtime Entry'!$L$6:$L$1005,'Fault &amp; Downtime Entry'!$E$6:$E$1005,G11,'Fault &amp; Downtime Entry'!$B$6:$B$1005,B11)=0,120,100*(INDEX('Standards &amp; Scoring'!$E$5:$E$13,MATCH("Downtime Control",'Standards &amp; Scoring'!$A$5:$A$13,0))/IFERROR(SUMIFS('Fault &amp; Downtime Entry'!$L$6:$L$1005,'Fault &amp; Downtime Entry'!$E$6:$E$1005,G11,'Fault &amp; Downtime Entry'!$B$6:$B$1005,B11)/O11*1000,999999)))))</f>
        <v>120</v>
      </c>
      <c r="AT11" s="49" t="n">
        <f aca="false">IF(COUNTA(AH11,AJ11)=0,"",MIN(120,IF(AND(AH11&lt;&gt;"",AJ11&lt;&gt;""),AVERAGE(AH11,AJ11),IF(AH11&lt;&gt;"",AH11,AJ11))))</f>
        <v>0</v>
      </c>
      <c r="AU11" s="49" t="str">
        <f aca="false">IF(AI11="","",MIN(120,AI11))</f>
        <v/>
      </c>
      <c r="AV11" s="49" t="str">
        <f aca="false">IF(AJ11="","",MIN(120,AJ11))</f>
        <v/>
      </c>
      <c r="AW11" s="50" t="str">
        <f aca="false">IF(COUNT(AN11:AV11)&lt;9,"",(AN11*'Standards &amp; Scoring'!$D$5+AO11*'Standards &amp; Scoring'!$D$6+AP11*'Standards &amp; Scoring'!$D$7+AQ11*'Standards &amp; Scoring'!$D$8+AR11*'Standards &amp; Scoring'!$D$9+AS11*'Standards &amp; Scoring'!$D$10+AT11*'Standards &amp; Scoring'!$D$11+AU11*'Standards &amp; Scoring'!$D$12+AV11*'Standards &amp; Scoring'!$D$13)/10000)</f>
        <v/>
      </c>
      <c r="AX11" s="47" t="str">
        <f aca="false">IF(AW11="","",IF(AW11&gt;=1.05,"A+",IF(AW11&gt;=1,"A",IF(AW11&gt;=0.95,"B+",IF(AW11&gt;=0.9,"B","C")))))</f>
        <v/>
      </c>
      <c r="AY11" s="47" t="str">
        <f aca="false">IF(AX11="","",IF(AX11="A+",1800,IF(AX11="A",1600,IF(AX11="B+",1400,IF(AX11="B",1200,0)))))</f>
        <v/>
      </c>
      <c r="AZ11" s="49" t="str">
        <f aca="false">IF(OR(L11="",M11="",S11="",M11=0),"",IFERROR(L11*60*S11/(M11*36),0))</f>
        <v/>
      </c>
    </row>
    <row r="12" customFormat="false" ht="15" hidden="false" customHeight="true" outlineLevel="0" collapsed="false">
      <c r="A12" s="47" t="n">
        <f aca="false">'Daily KPI Entry'!A13</f>
        <v>8</v>
      </c>
      <c r="B12" s="48" t="n">
        <f aca="false">'Daily KPI Entry'!B13</f>
        <v>46288</v>
      </c>
      <c r="C12" s="47" t="n">
        <f aca="false">'Daily KPI Entry'!C13</f>
        <v>0</v>
      </c>
      <c r="D12" s="47" t="n">
        <f aca="false">'Daily KPI Entry'!D13</f>
        <v>0</v>
      </c>
      <c r="E12" s="47" t="n">
        <f aca="false">'Daily KPI Entry'!E13</f>
        <v>0</v>
      </c>
      <c r="F12" s="47" t="n">
        <f aca="false">'Daily KPI Entry'!F13</f>
        <v>0</v>
      </c>
      <c r="G12" s="47" t="str">
        <f aca="false">'Daily KPI Entry'!G13</f>
        <v>STL005489</v>
      </c>
      <c r="H12" s="47" t="str">
        <f aca="false">'Daily KPI Entry'!H13</f>
        <v>MD. ALAM MIA</v>
      </c>
      <c r="I12" s="47" t="n">
        <f aca="false">'Daily KPI Entry'!I13</f>
        <v>0</v>
      </c>
      <c r="J12" s="47" t="n">
        <f aca="false">'Daily KPI Entry'!J13</f>
        <v>9</v>
      </c>
      <c r="K12" s="47" t="str">
        <f aca="false">'Daily KPI Entry'!K13</f>
        <v>C1,C2,D1,D2,D3,E1,E2,F1,F2</v>
      </c>
      <c r="L12" s="47" t="n">
        <f aca="false">'Daily KPI Entry'!L13</f>
        <v>555.555555555556</v>
      </c>
      <c r="M12" s="47" t="n">
        <f aca="false">'Daily KPI Entry'!M13</f>
        <v>0</v>
      </c>
      <c r="N12" s="49" t="n">
        <f aca="false">'Daily KPI Entry'!N13</f>
        <v>1750</v>
      </c>
      <c r="O12" s="49" t="n">
        <f aca="false">'Daily KPI Entry'!O13</f>
        <v>1255</v>
      </c>
      <c r="P12" s="49" t="n">
        <f aca="false">IF(OR(N12="",O12=""),"",IFERROR(O12/N12*100,0))</f>
        <v>71.7142857142857</v>
      </c>
      <c r="Q12" s="47" t="n">
        <f aca="false">'Daily KPI Entry'!Q13</f>
        <v>8</v>
      </c>
      <c r="R12" s="47" t="n">
        <f aca="false">IF(J12="","",Q12*J12)</f>
        <v>72</v>
      </c>
      <c r="S12" s="49" t="n">
        <f aca="false">'Daily KPI Entry'!S13</f>
        <v>0</v>
      </c>
      <c r="T12" s="49" t="str">
        <f aca="false">IF(OR(R12="",S12=""),"",IFERROR(S12/R12*100,0))</f>
        <v/>
      </c>
      <c r="U12" s="49" t="str">
        <f aca="false">IF(OR(O12="",L12="",M12="",S12="",M12=0),"",IFERROR(O12/(L12*60*S12/(M12*36))*100,0))</f>
        <v/>
      </c>
      <c r="V12" s="49" t="n">
        <f aca="false">'Daily KPI Entry'!V13</f>
        <v>0</v>
      </c>
      <c r="W12" s="49" t="n">
        <f aca="false">IF(O12="","",IFERROR(V12/O12*100,0))</f>
        <v>0</v>
      </c>
      <c r="X12" s="49" t="n">
        <f aca="false">'Daily KPI Entry'!X13</f>
        <v>0</v>
      </c>
      <c r="Y12" s="49" t="n">
        <f aca="false">'Daily KPI Entry'!Y13</f>
        <v>0</v>
      </c>
      <c r="Z12" s="49" t="n">
        <f aca="false">'Daily KPI Entry'!Z13</f>
        <v>0</v>
      </c>
      <c r="AA12" s="49" t="n">
        <f aca="false">'Daily KPI Entry'!AA13</f>
        <v>0</v>
      </c>
      <c r="AB12" s="49" t="n">
        <f aca="false">'Daily KPI Entry'!AB13</f>
        <v>0</v>
      </c>
      <c r="AC12" s="49" t="n">
        <f aca="false">'Daily KPI Entry'!AC13</f>
        <v>0</v>
      </c>
      <c r="AD12" s="49" t="n">
        <f aca="false">'Daily KPI Entry'!AD13</f>
        <v>0</v>
      </c>
      <c r="AE12" s="49" t="n">
        <f aca="false">'Daily KPI Entry'!AE13</f>
        <v>0</v>
      </c>
      <c r="AF12" s="47" t="n">
        <f aca="false">IF(O12="","",SUM(X12:AE12))</f>
        <v>0</v>
      </c>
      <c r="AG12" s="49" t="n">
        <f aca="false">IF(O12="","",IFERROR(AF12/O12*1000,0))</f>
        <v>0</v>
      </c>
      <c r="AH12" s="49" t="n">
        <f aca="false">'Daily KPI Entry'!AH13</f>
        <v>0</v>
      </c>
      <c r="AI12" s="49" t="n">
        <f aca="false">'Daily KPI Entry'!AI13</f>
        <v>0</v>
      </c>
      <c r="AJ12" s="49" t="n">
        <f aca="false">'Daily KPI Entry'!AJ13</f>
        <v>0</v>
      </c>
      <c r="AK12" s="47" t="n">
        <f aca="false">'Daily KPI Entry'!AK13</f>
        <v>0</v>
      </c>
      <c r="AL12" s="47" t="n">
        <f aca="false">'Daily KPI Entry'!AL13</f>
        <v>0</v>
      </c>
      <c r="AM12" s="47" t="n">
        <f aca="false">'Daily KPI Entry'!AM13</f>
        <v>0</v>
      </c>
      <c r="AN12" s="49" t="n">
        <f aca="false">IF(P12="","",MIN(120,P12))</f>
        <v>71.7142857142857</v>
      </c>
      <c r="AO12" s="49" t="str">
        <f aca="false">IF(U12="","",MIN(120,U12))</f>
        <v/>
      </c>
      <c r="AP12" s="49" t="n">
        <f aca="false">IF(R12="","",MIN(120,IFERROR(S12/R12*100,0)))</f>
        <v>0</v>
      </c>
      <c r="AQ12" s="49" t="n">
        <f aca="false">IF(W12="","",MIN(120,IF(W12=0,120,100*(INDEX('Standards &amp; Scoring'!$E$5:$E$13,MATCH("Quality / Rejection",'Standards &amp; Scoring'!$A$5:$A$13,0))/W12))))</f>
        <v>120</v>
      </c>
      <c r="AR12" s="49" t="n">
        <f aca="false">IF(AG12="","",MIN(120,IF(AG12=0,120,100*(INDEX('Standards &amp; Scoring'!$E$5:$E$13,MATCH("Fault Control",'Standards &amp; Scoring'!$A$5:$A$13,0))/AG12))))</f>
        <v>120</v>
      </c>
      <c r="AS12" s="49" t="n">
        <f aca="false">IF(O12="","",MIN(120,IF(SUMIFS('Fault &amp; Downtime Entry'!$L$6:$L$1005,'Fault &amp; Downtime Entry'!$E$6:$E$1005,G12,'Fault &amp; Downtime Entry'!$B$6:$B$1005,B12)=0,120,100*(INDEX('Standards &amp; Scoring'!$E$5:$E$13,MATCH("Downtime Control",'Standards &amp; Scoring'!$A$5:$A$13,0))/IFERROR(SUMIFS('Fault &amp; Downtime Entry'!$L$6:$L$1005,'Fault &amp; Downtime Entry'!$E$6:$E$1005,G12,'Fault &amp; Downtime Entry'!$B$6:$B$1005,B12)/O12*1000,999999)))))</f>
        <v>120</v>
      </c>
      <c r="AT12" s="49" t="n">
        <f aca="false">IF(COUNTA(AH12,AJ12)=0,"",MIN(120,IF(AND(AH12&lt;&gt;"",AJ12&lt;&gt;""),AVERAGE(AH12,AJ12),IF(AH12&lt;&gt;"",AH12,AJ12))))</f>
        <v>0</v>
      </c>
      <c r="AU12" s="49" t="str">
        <f aca="false">IF(AI12="","",MIN(120,AI12))</f>
        <v/>
      </c>
      <c r="AV12" s="49" t="str">
        <f aca="false">IF(AJ12="","",MIN(120,AJ12))</f>
        <v/>
      </c>
      <c r="AW12" s="50" t="str">
        <f aca="false">IF(COUNT(AN12:AV12)&lt;9,"",(AN12*'Standards &amp; Scoring'!$D$5+AO12*'Standards &amp; Scoring'!$D$6+AP12*'Standards &amp; Scoring'!$D$7+AQ12*'Standards &amp; Scoring'!$D$8+AR12*'Standards &amp; Scoring'!$D$9+AS12*'Standards &amp; Scoring'!$D$10+AT12*'Standards &amp; Scoring'!$D$11+AU12*'Standards &amp; Scoring'!$D$12+AV12*'Standards &amp; Scoring'!$D$13)/10000)</f>
        <v/>
      </c>
      <c r="AX12" s="47" t="str">
        <f aca="false">IF(AW12="","",IF(AW12&gt;=1.05,"A+",IF(AW12&gt;=1,"A",IF(AW12&gt;=0.95,"B+",IF(AW12&gt;=0.9,"B","C")))))</f>
        <v/>
      </c>
      <c r="AY12" s="47" t="str">
        <f aca="false">IF(AX12="","",IF(AX12="A+",1800,IF(AX12="A",1600,IF(AX12="B+",1400,IF(AX12="B",1200,0)))))</f>
        <v/>
      </c>
      <c r="AZ12" s="49" t="str">
        <f aca="false">IF(OR(L12="",M12="",S12="",M12=0),"",IFERROR(L12*60*S12/(M12*36),0))</f>
        <v/>
      </c>
    </row>
    <row r="13" customFormat="false" ht="15" hidden="false" customHeight="true" outlineLevel="0" collapsed="false">
      <c r="A13" s="47" t="n">
        <f aca="false">'Daily KPI Entry'!A14</f>
        <v>9</v>
      </c>
      <c r="B13" s="48" t="n">
        <f aca="false">'Daily KPI Entry'!B14</f>
        <v>46288</v>
      </c>
      <c r="C13" s="47" t="n">
        <f aca="false">'Daily KPI Entry'!C14</f>
        <v>0</v>
      </c>
      <c r="D13" s="47" t="n">
        <f aca="false">'Daily KPI Entry'!D14</f>
        <v>0</v>
      </c>
      <c r="E13" s="47" t="n">
        <f aca="false">'Daily KPI Entry'!E14</f>
        <v>0</v>
      </c>
      <c r="F13" s="47" t="n">
        <f aca="false">'Daily KPI Entry'!F14</f>
        <v>0</v>
      </c>
      <c r="G13" s="47" t="str">
        <f aca="false">'Daily KPI Entry'!G14</f>
        <v>STL005490</v>
      </c>
      <c r="H13" s="47" t="str">
        <f aca="false">'Daily KPI Entry'!H14</f>
        <v>MD. MOMINUL ISLAM</v>
      </c>
      <c r="I13" s="47" t="n">
        <f aca="false">'Daily KPI Entry'!I14</f>
        <v>0</v>
      </c>
      <c r="J13" s="47" t="n">
        <f aca="false">'Daily KPI Entry'!J14</f>
        <v>5</v>
      </c>
      <c r="K13" s="47" t="str">
        <f aca="false">'Daily KPI Entry'!K14</f>
        <v>Q1,Q2,S1,S2,S3</v>
      </c>
      <c r="L13" s="47" t="n">
        <f aca="false">'Daily KPI Entry'!L14</f>
        <v>545</v>
      </c>
      <c r="M13" s="47" t="n">
        <f aca="false">'Daily KPI Entry'!M14</f>
        <v>41.8</v>
      </c>
      <c r="N13" s="49" t="n">
        <f aca="false">'Daily KPI Entry'!N14</f>
        <v>1100</v>
      </c>
      <c r="O13" s="49" t="n">
        <f aca="false">'Daily KPI Entry'!O14</f>
        <v>876</v>
      </c>
      <c r="P13" s="49" t="n">
        <f aca="false">IF(OR(N13="",O13=""),"",IFERROR(O13/N13*100,0))</f>
        <v>79.6363636363636</v>
      </c>
      <c r="Q13" s="47" t="n">
        <f aca="false">'Daily KPI Entry'!Q14</f>
        <v>8</v>
      </c>
      <c r="R13" s="47" t="n">
        <f aca="false">IF(J13="","",Q13*J13)</f>
        <v>40</v>
      </c>
      <c r="S13" s="49" t="n">
        <f aca="false">'Daily KPI Entry'!S14</f>
        <v>0</v>
      </c>
      <c r="T13" s="49" t="str">
        <f aca="false">IF(OR(R13="",S13=""),"",IFERROR(S13/R13*100,0))</f>
        <v/>
      </c>
      <c r="U13" s="49" t="str">
        <f aca="false">IF(OR(O13="",L13="",M13="",S13="",M13=0),"",IFERROR(O13/(L13*60*S13/(M13*36))*100,0))</f>
        <v/>
      </c>
      <c r="V13" s="49" t="n">
        <f aca="false">'Daily KPI Entry'!V14</f>
        <v>0</v>
      </c>
      <c r="W13" s="49" t="n">
        <f aca="false">IF(O13="","",IFERROR(V13/O13*100,0))</f>
        <v>0</v>
      </c>
      <c r="X13" s="49" t="n">
        <f aca="false">'Daily KPI Entry'!X14</f>
        <v>0</v>
      </c>
      <c r="Y13" s="49" t="n">
        <f aca="false">'Daily KPI Entry'!Y14</f>
        <v>0</v>
      </c>
      <c r="Z13" s="49" t="n">
        <f aca="false">'Daily KPI Entry'!Z14</f>
        <v>0</v>
      </c>
      <c r="AA13" s="49" t="n">
        <f aca="false">'Daily KPI Entry'!AA14</f>
        <v>0</v>
      </c>
      <c r="AB13" s="49" t="n">
        <f aca="false">'Daily KPI Entry'!AB14</f>
        <v>0</v>
      </c>
      <c r="AC13" s="49" t="n">
        <f aca="false">'Daily KPI Entry'!AC14</f>
        <v>0</v>
      </c>
      <c r="AD13" s="49" t="n">
        <f aca="false">'Daily KPI Entry'!AD14</f>
        <v>0</v>
      </c>
      <c r="AE13" s="49" t="n">
        <f aca="false">'Daily KPI Entry'!AE14</f>
        <v>0</v>
      </c>
      <c r="AF13" s="47" t="n">
        <f aca="false">IF(O13="","",SUM(X13:AE13))</f>
        <v>0</v>
      </c>
      <c r="AG13" s="49" t="n">
        <f aca="false">IF(O13="","",IFERROR(AF13/O13*1000,0))</f>
        <v>0</v>
      </c>
      <c r="AH13" s="49" t="n">
        <f aca="false">'Daily KPI Entry'!AH14</f>
        <v>0</v>
      </c>
      <c r="AI13" s="49" t="n">
        <f aca="false">'Daily KPI Entry'!AI14</f>
        <v>0</v>
      </c>
      <c r="AJ13" s="49" t="n">
        <f aca="false">'Daily KPI Entry'!AJ14</f>
        <v>0</v>
      </c>
      <c r="AK13" s="47" t="n">
        <f aca="false">'Daily KPI Entry'!AK14</f>
        <v>0</v>
      </c>
      <c r="AL13" s="47" t="n">
        <f aca="false">'Daily KPI Entry'!AL14</f>
        <v>0</v>
      </c>
      <c r="AM13" s="47" t="n">
        <f aca="false">'Daily KPI Entry'!AM14</f>
        <v>0</v>
      </c>
      <c r="AN13" s="49" t="n">
        <f aca="false">IF(P13="","",MIN(120,P13))</f>
        <v>79.6363636363636</v>
      </c>
      <c r="AO13" s="49" t="str">
        <f aca="false">IF(U13="","",MIN(120,U13))</f>
        <v/>
      </c>
      <c r="AP13" s="49" t="n">
        <f aca="false">IF(R13="","",MIN(120,IFERROR(S13/R13*100,0)))</f>
        <v>0</v>
      </c>
      <c r="AQ13" s="49" t="n">
        <f aca="false">IF(W13="","",MIN(120,IF(W13=0,120,100*(INDEX('Standards &amp; Scoring'!$E$5:$E$13,MATCH("Quality / Rejection",'Standards &amp; Scoring'!$A$5:$A$13,0))/W13))))</f>
        <v>120</v>
      </c>
      <c r="AR13" s="49" t="n">
        <f aca="false">IF(AG13="","",MIN(120,IF(AG13=0,120,100*(INDEX('Standards &amp; Scoring'!$E$5:$E$13,MATCH("Fault Control",'Standards &amp; Scoring'!$A$5:$A$13,0))/AG13))))</f>
        <v>120</v>
      </c>
      <c r="AS13" s="49" t="n">
        <f aca="false">IF(O13="","",MIN(120,IF(SUMIFS('Fault &amp; Downtime Entry'!$L$6:$L$1005,'Fault &amp; Downtime Entry'!$E$6:$E$1005,G13,'Fault &amp; Downtime Entry'!$B$6:$B$1005,B13)=0,120,100*(INDEX('Standards &amp; Scoring'!$E$5:$E$13,MATCH("Downtime Control",'Standards &amp; Scoring'!$A$5:$A$13,0))/IFERROR(SUMIFS('Fault &amp; Downtime Entry'!$L$6:$L$1005,'Fault &amp; Downtime Entry'!$E$6:$E$1005,G13,'Fault &amp; Downtime Entry'!$B$6:$B$1005,B13)/O13*1000,999999)))))</f>
        <v>120</v>
      </c>
      <c r="AT13" s="49" t="n">
        <f aca="false">IF(COUNTA(AH13,AJ13)=0,"",MIN(120,IF(AND(AH13&lt;&gt;"",AJ13&lt;&gt;""),AVERAGE(AH13,AJ13),IF(AH13&lt;&gt;"",AH13,AJ13))))</f>
        <v>0</v>
      </c>
      <c r="AU13" s="49" t="str">
        <f aca="false">IF(AI13="","",MIN(120,AI13))</f>
        <v/>
      </c>
      <c r="AV13" s="49" t="str">
        <f aca="false">IF(AJ13="","",MIN(120,AJ13))</f>
        <v/>
      </c>
      <c r="AW13" s="50" t="str">
        <f aca="false">IF(COUNT(AN13:AV13)&lt;9,"",(AN13*'Standards &amp; Scoring'!$D$5+AO13*'Standards &amp; Scoring'!$D$6+AP13*'Standards &amp; Scoring'!$D$7+AQ13*'Standards &amp; Scoring'!$D$8+AR13*'Standards &amp; Scoring'!$D$9+AS13*'Standards &amp; Scoring'!$D$10+AT13*'Standards &amp; Scoring'!$D$11+AU13*'Standards &amp; Scoring'!$D$12+AV13*'Standards &amp; Scoring'!$D$13)/10000)</f>
        <v/>
      </c>
      <c r="AX13" s="47" t="str">
        <f aca="false">IF(AW13="","",IF(AW13&gt;=1.05,"A+",IF(AW13&gt;=1,"A",IF(AW13&gt;=0.95,"B+",IF(AW13&gt;=0.9,"B","C")))))</f>
        <v/>
      </c>
      <c r="AY13" s="47" t="str">
        <f aca="false">IF(AX13="","",IF(AX13="A+",1800,IF(AX13="A",1600,IF(AX13="B+",1400,IF(AX13="B",1200,0)))))</f>
        <v/>
      </c>
      <c r="AZ13" s="49" t="str">
        <f aca="false">IF(OR(L13="",M13="",S13="",M13=0),"",IFERROR(L13*60*S13/(M13*36),0))</f>
        <v/>
      </c>
    </row>
    <row r="14" customFormat="false" ht="15" hidden="false" customHeight="true" outlineLevel="0" collapsed="false">
      <c r="A14" s="47" t="n">
        <f aca="false">'Daily KPI Entry'!A15</f>
        <v>10</v>
      </c>
      <c r="B14" s="48" t="n">
        <f aca="false">'Daily KPI Entry'!B15</f>
        <v>46288</v>
      </c>
      <c r="C14" s="47" t="n">
        <f aca="false">'Daily KPI Entry'!C15</f>
        <v>0</v>
      </c>
      <c r="D14" s="47" t="n">
        <f aca="false">'Daily KPI Entry'!D15</f>
        <v>0</v>
      </c>
      <c r="E14" s="47" t="n">
        <f aca="false">'Daily KPI Entry'!E15</f>
        <v>0</v>
      </c>
      <c r="F14" s="47" t="n">
        <f aca="false">'Daily KPI Entry'!F15</f>
        <v>0</v>
      </c>
      <c r="G14" s="47" t="str">
        <f aca="false">'Daily KPI Entry'!G15</f>
        <v>STL005487</v>
      </c>
      <c r="H14" s="47" t="str">
        <f aca="false">'Daily KPI Entry'!H15</f>
        <v>MD. JAHIDUL ISLAM HOWLADER</v>
      </c>
      <c r="I14" s="47" t="n">
        <f aca="false">'Daily KPI Entry'!I15</f>
        <v>0</v>
      </c>
      <c r="J14" s="47" t="n">
        <f aca="false">'Daily KPI Entry'!J15</f>
        <v>9</v>
      </c>
      <c r="K14" s="47" t="str">
        <f aca="false">'Daily KPI Entry'!K15</f>
        <v>C3,C4,C5,C6,C7,D4,D5,D6,D7</v>
      </c>
      <c r="L14" s="47" t="n">
        <f aca="false">'Daily KPI Entry'!L15</f>
        <v>555.555555555556</v>
      </c>
      <c r="M14" s="47" t="n">
        <f aca="false">'Daily KPI Entry'!M15</f>
        <v>43.78</v>
      </c>
      <c r="N14" s="49" t="n">
        <f aca="false">'Daily KPI Entry'!N15</f>
        <v>1700</v>
      </c>
      <c r="O14" s="49" t="n">
        <f aca="false">'Daily KPI Entry'!O15</f>
        <v>1187</v>
      </c>
      <c r="P14" s="49" t="n">
        <f aca="false">IF(OR(N14="",O14=""),"",IFERROR(O14/N14*100,0))</f>
        <v>69.8235294117647</v>
      </c>
      <c r="Q14" s="47" t="n">
        <f aca="false">'Daily KPI Entry'!Q15</f>
        <v>8</v>
      </c>
      <c r="R14" s="47" t="n">
        <f aca="false">IF(J14="","",Q14*J14)</f>
        <v>72</v>
      </c>
      <c r="S14" s="49" t="n">
        <f aca="false">'Daily KPI Entry'!S15</f>
        <v>0</v>
      </c>
      <c r="T14" s="49" t="str">
        <f aca="false">IF(OR(R14="",S14=""),"",IFERROR(S14/R14*100,0))</f>
        <v/>
      </c>
      <c r="U14" s="49" t="str">
        <f aca="false">IF(OR(O14="",L14="",M14="",S14="",M14=0),"",IFERROR(O14/(L14*60*S14/(M14*36))*100,0))</f>
        <v/>
      </c>
      <c r="V14" s="49" t="n">
        <f aca="false">'Daily KPI Entry'!V15</f>
        <v>0</v>
      </c>
      <c r="W14" s="49" t="n">
        <f aca="false">IF(O14="","",IFERROR(V14/O14*100,0))</f>
        <v>0</v>
      </c>
      <c r="X14" s="49" t="n">
        <f aca="false">'Daily KPI Entry'!X15</f>
        <v>0</v>
      </c>
      <c r="Y14" s="49" t="n">
        <f aca="false">'Daily KPI Entry'!Y15</f>
        <v>0</v>
      </c>
      <c r="Z14" s="49" t="n">
        <f aca="false">'Daily KPI Entry'!Z15</f>
        <v>0</v>
      </c>
      <c r="AA14" s="49" t="n">
        <f aca="false">'Daily KPI Entry'!AA15</f>
        <v>0</v>
      </c>
      <c r="AB14" s="49" t="n">
        <f aca="false">'Daily KPI Entry'!AB15</f>
        <v>0</v>
      </c>
      <c r="AC14" s="49" t="n">
        <f aca="false">'Daily KPI Entry'!AC15</f>
        <v>0</v>
      </c>
      <c r="AD14" s="49" t="n">
        <f aca="false">'Daily KPI Entry'!AD15</f>
        <v>0</v>
      </c>
      <c r="AE14" s="49" t="n">
        <f aca="false">'Daily KPI Entry'!AE15</f>
        <v>0</v>
      </c>
      <c r="AF14" s="47" t="n">
        <f aca="false">IF(O14="","",SUM(X14:AE14))</f>
        <v>0</v>
      </c>
      <c r="AG14" s="49" t="n">
        <f aca="false">IF(O14="","",IFERROR(AF14/O14*1000,0))</f>
        <v>0</v>
      </c>
      <c r="AH14" s="49" t="n">
        <f aca="false">'Daily KPI Entry'!AH15</f>
        <v>0</v>
      </c>
      <c r="AI14" s="49" t="n">
        <f aca="false">'Daily KPI Entry'!AI15</f>
        <v>0</v>
      </c>
      <c r="AJ14" s="49" t="n">
        <f aca="false">'Daily KPI Entry'!AJ15</f>
        <v>0</v>
      </c>
      <c r="AK14" s="47" t="n">
        <f aca="false">'Daily KPI Entry'!AK15</f>
        <v>0</v>
      </c>
      <c r="AL14" s="47" t="n">
        <f aca="false">'Daily KPI Entry'!AL15</f>
        <v>0</v>
      </c>
      <c r="AM14" s="47" t="n">
        <f aca="false">'Daily KPI Entry'!AM15</f>
        <v>0</v>
      </c>
      <c r="AN14" s="49" t="n">
        <f aca="false">IF(P14="","",MIN(120,P14))</f>
        <v>69.8235294117647</v>
      </c>
      <c r="AO14" s="49" t="str">
        <f aca="false">IF(U14="","",MIN(120,U14))</f>
        <v/>
      </c>
      <c r="AP14" s="49" t="n">
        <f aca="false">IF(R14="","",MIN(120,IFERROR(S14/R14*100,0)))</f>
        <v>0</v>
      </c>
      <c r="AQ14" s="49" t="n">
        <f aca="false">IF(W14="","",MIN(120,IF(W14=0,120,100*(INDEX('Standards &amp; Scoring'!$E$5:$E$13,MATCH("Quality / Rejection",'Standards &amp; Scoring'!$A$5:$A$13,0))/W14))))</f>
        <v>120</v>
      </c>
      <c r="AR14" s="49" t="n">
        <f aca="false">IF(AG14="","",MIN(120,IF(AG14=0,120,100*(INDEX('Standards &amp; Scoring'!$E$5:$E$13,MATCH("Fault Control",'Standards &amp; Scoring'!$A$5:$A$13,0))/AG14))))</f>
        <v>120</v>
      </c>
      <c r="AS14" s="49" t="n">
        <f aca="false">IF(O14="","",MIN(120,IF(SUMIFS('Fault &amp; Downtime Entry'!$L$6:$L$1005,'Fault &amp; Downtime Entry'!$E$6:$E$1005,G14,'Fault &amp; Downtime Entry'!$B$6:$B$1005,B14)=0,120,100*(INDEX('Standards &amp; Scoring'!$E$5:$E$13,MATCH("Downtime Control",'Standards &amp; Scoring'!$A$5:$A$13,0))/IFERROR(SUMIFS('Fault &amp; Downtime Entry'!$L$6:$L$1005,'Fault &amp; Downtime Entry'!$E$6:$E$1005,G14,'Fault &amp; Downtime Entry'!$B$6:$B$1005,B14)/O14*1000,999999)))))</f>
        <v>120</v>
      </c>
      <c r="AT14" s="49" t="n">
        <f aca="false">IF(COUNTA(AH14,AJ14)=0,"",MIN(120,IF(AND(AH14&lt;&gt;"",AJ14&lt;&gt;""),AVERAGE(AH14,AJ14),IF(AH14&lt;&gt;"",AH14,AJ14))))</f>
        <v>0</v>
      </c>
      <c r="AU14" s="49" t="str">
        <f aca="false">IF(AI14="","",MIN(120,AI14))</f>
        <v/>
      </c>
      <c r="AV14" s="49" t="str">
        <f aca="false">IF(AJ14="","",MIN(120,AJ14))</f>
        <v/>
      </c>
      <c r="AW14" s="50" t="str">
        <f aca="false">IF(COUNT(AN14:AV14)&lt;9,"",(AN14*'Standards &amp; Scoring'!$D$5+AO14*'Standards &amp; Scoring'!$D$6+AP14*'Standards &amp; Scoring'!$D$7+AQ14*'Standards &amp; Scoring'!$D$8+AR14*'Standards &amp; Scoring'!$D$9+AS14*'Standards &amp; Scoring'!$D$10+AT14*'Standards &amp; Scoring'!$D$11+AU14*'Standards &amp; Scoring'!$D$12+AV14*'Standards &amp; Scoring'!$D$13)/10000)</f>
        <v/>
      </c>
      <c r="AX14" s="47" t="str">
        <f aca="false">IF(AW14="","",IF(AW14&gt;=1.05,"A+",IF(AW14&gt;=1,"A",IF(AW14&gt;=0.95,"B+",IF(AW14&gt;=0.9,"B","C")))))</f>
        <v/>
      </c>
      <c r="AY14" s="47" t="str">
        <f aca="false">IF(AX14="","",IF(AX14="A+",1800,IF(AX14="A",1600,IF(AX14="B+",1400,IF(AX14="B",1200,0)))))</f>
        <v/>
      </c>
      <c r="AZ14" s="49" t="str">
        <f aca="false">IF(OR(L14="",M14="",S14="",M14=0),"",IFERROR(L14*60*S14/(M14*36),0))</f>
        <v/>
      </c>
    </row>
    <row r="15" customFormat="false" ht="15" hidden="false" customHeight="true" outlineLevel="0" collapsed="false">
      <c r="A15" s="47" t="n">
        <f aca="false">'Daily KPI Entry'!A16</f>
        <v>11</v>
      </c>
      <c r="B15" s="48" t="n">
        <f aca="false">'Daily KPI Entry'!B16</f>
        <v>46288</v>
      </c>
      <c r="C15" s="47" t="n">
        <f aca="false">'Daily KPI Entry'!C16</f>
        <v>0</v>
      </c>
      <c r="D15" s="47" t="n">
        <f aca="false">'Daily KPI Entry'!D16</f>
        <v>0</v>
      </c>
      <c r="E15" s="47" t="n">
        <f aca="false">'Daily KPI Entry'!E16</f>
        <v>0</v>
      </c>
      <c r="F15" s="47" t="n">
        <f aca="false">'Daily KPI Entry'!F16</f>
        <v>0</v>
      </c>
      <c r="G15" s="47" t="str">
        <f aca="false">'Daily KPI Entry'!G16</f>
        <v>STL005511</v>
      </c>
      <c r="H15" s="47" t="str">
        <f aca="false">'Daily KPI Entry'!H16</f>
        <v>MD. RIPON MIA-2</v>
      </c>
      <c r="I15" s="47" t="n">
        <f aca="false">'Daily KPI Entry'!I16</f>
        <v>0</v>
      </c>
      <c r="J15" s="47" t="n">
        <f aca="false">'Daily KPI Entry'!J16</f>
        <v>10</v>
      </c>
      <c r="K15" s="47" t="str">
        <f aca="false">'Daily KPI Entry'!K16</f>
        <v>K6,L6,M3,M4,M5,M6,N3,N4,N5,N6</v>
      </c>
      <c r="L15" s="47" t="n">
        <f aca="false">'Daily KPI Entry'!L16</f>
        <v>530</v>
      </c>
      <c r="M15" s="47" t="n">
        <f aca="false">'Daily KPI Entry'!M16</f>
        <v>44.7</v>
      </c>
      <c r="N15" s="49" t="n">
        <f aca="false">'Daily KPI Entry'!N16</f>
        <v>1800</v>
      </c>
      <c r="O15" s="49" t="n">
        <f aca="false">'Daily KPI Entry'!O16</f>
        <v>1265</v>
      </c>
      <c r="P15" s="49" t="n">
        <f aca="false">IF(OR(N15="",O15=""),"",IFERROR(O15/N15*100,0))</f>
        <v>70.2777777777778</v>
      </c>
      <c r="Q15" s="47" t="n">
        <f aca="false">'Daily KPI Entry'!Q16</f>
        <v>8</v>
      </c>
      <c r="R15" s="47" t="n">
        <f aca="false">IF(J15="","",Q15*J15)</f>
        <v>80</v>
      </c>
      <c r="S15" s="49" t="n">
        <f aca="false">'Daily KPI Entry'!S16</f>
        <v>0</v>
      </c>
      <c r="T15" s="49" t="str">
        <f aca="false">IF(OR(R15="",S15=""),"",IFERROR(S15/R15*100,0))</f>
        <v/>
      </c>
      <c r="U15" s="49" t="str">
        <f aca="false">IF(OR(O15="",L15="",M15="",S15="",M15=0),"",IFERROR(O15/(L15*60*S15/(M15*36))*100,0))</f>
        <v/>
      </c>
      <c r="V15" s="49" t="n">
        <f aca="false">'Daily KPI Entry'!V16</f>
        <v>0</v>
      </c>
      <c r="W15" s="49" t="n">
        <f aca="false">IF(O15="","",IFERROR(V15/O15*100,0))</f>
        <v>0</v>
      </c>
      <c r="X15" s="49" t="n">
        <f aca="false">'Daily KPI Entry'!X16</f>
        <v>0</v>
      </c>
      <c r="Y15" s="49" t="n">
        <f aca="false">'Daily KPI Entry'!Y16</f>
        <v>0</v>
      </c>
      <c r="Z15" s="49" t="n">
        <f aca="false">'Daily KPI Entry'!Z16</f>
        <v>0</v>
      </c>
      <c r="AA15" s="49" t="n">
        <f aca="false">'Daily KPI Entry'!AA16</f>
        <v>0</v>
      </c>
      <c r="AB15" s="49" t="n">
        <f aca="false">'Daily KPI Entry'!AB16</f>
        <v>0</v>
      </c>
      <c r="AC15" s="49" t="n">
        <f aca="false">'Daily KPI Entry'!AC16</f>
        <v>0</v>
      </c>
      <c r="AD15" s="49" t="n">
        <f aca="false">'Daily KPI Entry'!AD16</f>
        <v>0</v>
      </c>
      <c r="AE15" s="49" t="n">
        <f aca="false">'Daily KPI Entry'!AE16</f>
        <v>0</v>
      </c>
      <c r="AF15" s="47" t="n">
        <f aca="false">IF(O15="","",SUM(X15:AE15))</f>
        <v>0</v>
      </c>
      <c r="AG15" s="49" t="n">
        <f aca="false">IF(O15="","",IFERROR(AF15/O15*1000,0))</f>
        <v>0</v>
      </c>
      <c r="AH15" s="49" t="n">
        <f aca="false">'Daily KPI Entry'!AH16</f>
        <v>0</v>
      </c>
      <c r="AI15" s="49" t="n">
        <f aca="false">'Daily KPI Entry'!AI16</f>
        <v>0</v>
      </c>
      <c r="AJ15" s="49" t="n">
        <f aca="false">'Daily KPI Entry'!AJ16</f>
        <v>0</v>
      </c>
      <c r="AK15" s="47" t="n">
        <f aca="false">'Daily KPI Entry'!AK16</f>
        <v>0</v>
      </c>
      <c r="AL15" s="47" t="n">
        <f aca="false">'Daily KPI Entry'!AL16</f>
        <v>0</v>
      </c>
      <c r="AM15" s="47" t="n">
        <f aca="false">'Daily KPI Entry'!AM16</f>
        <v>0</v>
      </c>
      <c r="AN15" s="49" t="n">
        <f aca="false">IF(P15="","",MIN(120,P15))</f>
        <v>70.2777777777778</v>
      </c>
      <c r="AO15" s="49" t="str">
        <f aca="false">IF(U15="","",MIN(120,U15))</f>
        <v/>
      </c>
      <c r="AP15" s="49" t="n">
        <f aca="false">IF(R15="","",MIN(120,IFERROR(S15/R15*100,0)))</f>
        <v>0</v>
      </c>
      <c r="AQ15" s="49" t="n">
        <f aca="false">IF(W15="","",MIN(120,IF(W15=0,120,100*(INDEX('Standards &amp; Scoring'!$E$5:$E$13,MATCH("Quality / Rejection",'Standards &amp; Scoring'!$A$5:$A$13,0))/W15))))</f>
        <v>120</v>
      </c>
      <c r="AR15" s="49" t="n">
        <f aca="false">IF(AG15="","",MIN(120,IF(AG15=0,120,100*(INDEX('Standards &amp; Scoring'!$E$5:$E$13,MATCH("Fault Control",'Standards &amp; Scoring'!$A$5:$A$13,0))/AG15))))</f>
        <v>120</v>
      </c>
      <c r="AS15" s="49" t="n">
        <f aca="false">IF(O15="","",MIN(120,IF(SUMIFS('Fault &amp; Downtime Entry'!$L$6:$L$1005,'Fault &amp; Downtime Entry'!$E$6:$E$1005,G15,'Fault &amp; Downtime Entry'!$B$6:$B$1005,B15)=0,120,100*(INDEX('Standards &amp; Scoring'!$E$5:$E$13,MATCH("Downtime Control",'Standards &amp; Scoring'!$A$5:$A$13,0))/IFERROR(SUMIFS('Fault &amp; Downtime Entry'!$L$6:$L$1005,'Fault &amp; Downtime Entry'!$E$6:$E$1005,G15,'Fault &amp; Downtime Entry'!$B$6:$B$1005,B15)/O15*1000,999999)))))</f>
        <v>120</v>
      </c>
      <c r="AT15" s="49" t="n">
        <f aca="false">IF(COUNTA(AH15,AJ15)=0,"",MIN(120,IF(AND(AH15&lt;&gt;"",AJ15&lt;&gt;""),AVERAGE(AH15,AJ15),IF(AH15&lt;&gt;"",AH15,AJ15))))</f>
        <v>0</v>
      </c>
      <c r="AU15" s="49" t="str">
        <f aca="false">IF(AI15="","",MIN(120,AI15))</f>
        <v/>
      </c>
      <c r="AV15" s="49" t="str">
        <f aca="false">IF(AJ15="","",MIN(120,AJ15))</f>
        <v/>
      </c>
      <c r="AW15" s="50" t="str">
        <f aca="false">IF(COUNT(AN15:AV15)&lt;9,"",(AN15*'Standards &amp; Scoring'!$D$5+AO15*'Standards &amp; Scoring'!$D$6+AP15*'Standards &amp; Scoring'!$D$7+AQ15*'Standards &amp; Scoring'!$D$8+AR15*'Standards &amp; Scoring'!$D$9+AS15*'Standards &amp; Scoring'!$D$10+AT15*'Standards &amp; Scoring'!$D$11+AU15*'Standards &amp; Scoring'!$D$12+AV15*'Standards &amp; Scoring'!$D$13)/10000)</f>
        <v/>
      </c>
      <c r="AX15" s="47" t="str">
        <f aca="false">IF(AW15="","",IF(AW15&gt;=1.05,"A+",IF(AW15&gt;=1,"A",IF(AW15&gt;=0.95,"B+",IF(AW15&gt;=0.9,"B","C")))))</f>
        <v/>
      </c>
      <c r="AY15" s="47" t="str">
        <f aca="false">IF(AX15="","",IF(AX15="A+",1800,IF(AX15="A",1600,IF(AX15="B+",1400,IF(AX15="B",1200,0)))))</f>
        <v/>
      </c>
      <c r="AZ15" s="49" t="str">
        <f aca="false">IF(OR(L15="",M15="",S15="",M15=0),"",IFERROR(L15*60*S15/(M15*36),0))</f>
        <v/>
      </c>
    </row>
    <row r="16" customFormat="false" ht="15" hidden="false" customHeight="true" outlineLevel="0" collapsed="false">
      <c r="A16" s="47" t="n">
        <f aca="false">'Daily KPI Entry'!A17</f>
        <v>12</v>
      </c>
      <c r="B16" s="48" t="n">
        <f aca="false">'Daily KPI Entry'!B17</f>
        <v>46288</v>
      </c>
      <c r="C16" s="47" t="n">
        <f aca="false">'Daily KPI Entry'!C17</f>
        <v>0</v>
      </c>
      <c r="D16" s="47" t="n">
        <f aca="false">'Daily KPI Entry'!D17</f>
        <v>0</v>
      </c>
      <c r="E16" s="47" t="n">
        <f aca="false">'Daily KPI Entry'!E17</f>
        <v>0</v>
      </c>
      <c r="F16" s="47" t="n">
        <f aca="false">'Daily KPI Entry'!F17</f>
        <v>0</v>
      </c>
      <c r="G16" s="47" t="str">
        <f aca="false">'Daily KPI Entry'!G17</f>
        <v>STL005516</v>
      </c>
      <c r="H16" s="47" t="str">
        <f aca="false">'Daily KPI Entry'!H17</f>
        <v>GOULAM RABBANI</v>
      </c>
      <c r="I16" s="47" t="n">
        <f aca="false">'Daily KPI Entry'!I17</f>
        <v>0</v>
      </c>
      <c r="J16" s="47" t="n">
        <f aca="false">'Daily KPI Entry'!J17</f>
        <v>10</v>
      </c>
      <c r="K16" s="47" t="str">
        <f aca="false">'Daily KPI Entry'!K17</f>
        <v>E3,E4,E5,E6,E7,F3,F4,F5,F6,F7</v>
      </c>
      <c r="L16" s="47" t="n">
        <f aca="false">'Daily KPI Entry'!L17</f>
        <v>555</v>
      </c>
      <c r="M16" s="47" t="n">
        <f aca="false">'Daily KPI Entry'!M17</f>
        <v>41.9</v>
      </c>
      <c r="N16" s="49" t="n">
        <f aca="false">'Daily KPI Entry'!N17</f>
        <v>1700</v>
      </c>
      <c r="O16" s="49" t="n">
        <f aca="false">'Daily KPI Entry'!O17</f>
        <v>1292</v>
      </c>
      <c r="P16" s="49" t="n">
        <f aca="false">IF(OR(N16="",O16=""),"",IFERROR(O16/N16*100,0))</f>
        <v>76</v>
      </c>
      <c r="Q16" s="47" t="n">
        <f aca="false">'Daily KPI Entry'!Q17</f>
        <v>8</v>
      </c>
      <c r="R16" s="47" t="n">
        <f aca="false">IF(J16="","",Q16*J16)</f>
        <v>80</v>
      </c>
      <c r="S16" s="49" t="n">
        <f aca="false">'Daily KPI Entry'!S17</f>
        <v>0</v>
      </c>
      <c r="T16" s="49" t="str">
        <f aca="false">IF(OR(R16="",S16=""),"",IFERROR(S16/R16*100,0))</f>
        <v/>
      </c>
      <c r="U16" s="49" t="str">
        <f aca="false">IF(OR(O16="",L16="",M16="",S16="",M16=0),"",IFERROR(O16/(L16*60*S16/(M16*36))*100,0))</f>
        <v/>
      </c>
      <c r="V16" s="49" t="n">
        <f aca="false">'Daily KPI Entry'!V17</f>
        <v>0</v>
      </c>
      <c r="W16" s="49" t="n">
        <f aca="false">IF(O16="","",IFERROR(V16/O16*100,0))</f>
        <v>0</v>
      </c>
      <c r="X16" s="49" t="n">
        <f aca="false">'Daily KPI Entry'!X17</f>
        <v>0</v>
      </c>
      <c r="Y16" s="49" t="n">
        <f aca="false">'Daily KPI Entry'!Y17</f>
        <v>0</v>
      </c>
      <c r="Z16" s="49" t="n">
        <f aca="false">'Daily KPI Entry'!Z17</f>
        <v>0</v>
      </c>
      <c r="AA16" s="49" t="n">
        <f aca="false">'Daily KPI Entry'!AA17</f>
        <v>0</v>
      </c>
      <c r="AB16" s="49" t="n">
        <f aca="false">'Daily KPI Entry'!AB17</f>
        <v>0</v>
      </c>
      <c r="AC16" s="49" t="n">
        <f aca="false">'Daily KPI Entry'!AC17</f>
        <v>0</v>
      </c>
      <c r="AD16" s="49" t="n">
        <f aca="false">'Daily KPI Entry'!AD17</f>
        <v>0</v>
      </c>
      <c r="AE16" s="49" t="n">
        <f aca="false">'Daily KPI Entry'!AE17</f>
        <v>0</v>
      </c>
      <c r="AF16" s="47" t="n">
        <f aca="false">IF(O16="","",SUM(X16:AE16))</f>
        <v>0</v>
      </c>
      <c r="AG16" s="49" t="n">
        <f aca="false">IF(O16="","",IFERROR(AF16/O16*1000,0))</f>
        <v>0</v>
      </c>
      <c r="AH16" s="49" t="n">
        <f aca="false">'Daily KPI Entry'!AH17</f>
        <v>0</v>
      </c>
      <c r="AI16" s="49" t="n">
        <f aca="false">'Daily KPI Entry'!AI17</f>
        <v>0</v>
      </c>
      <c r="AJ16" s="49" t="n">
        <f aca="false">'Daily KPI Entry'!AJ17</f>
        <v>0</v>
      </c>
      <c r="AK16" s="47" t="n">
        <f aca="false">'Daily KPI Entry'!AK17</f>
        <v>0</v>
      </c>
      <c r="AL16" s="47" t="n">
        <f aca="false">'Daily KPI Entry'!AL17</f>
        <v>0</v>
      </c>
      <c r="AM16" s="47" t="n">
        <f aca="false">'Daily KPI Entry'!AM17</f>
        <v>0</v>
      </c>
      <c r="AN16" s="49" t="n">
        <f aca="false">IF(P16="","",MIN(120,P16))</f>
        <v>76</v>
      </c>
      <c r="AO16" s="49" t="str">
        <f aca="false">IF(U16="","",MIN(120,U16))</f>
        <v/>
      </c>
      <c r="AP16" s="49" t="n">
        <f aca="false">IF(R16="","",MIN(120,IFERROR(S16/R16*100,0)))</f>
        <v>0</v>
      </c>
      <c r="AQ16" s="49" t="n">
        <f aca="false">IF(W16="","",MIN(120,IF(W16=0,120,100*(INDEX('Standards &amp; Scoring'!$E$5:$E$13,MATCH("Quality / Rejection",'Standards &amp; Scoring'!$A$5:$A$13,0))/W16))))</f>
        <v>120</v>
      </c>
      <c r="AR16" s="49" t="n">
        <f aca="false">IF(AG16="","",MIN(120,IF(AG16=0,120,100*(INDEX('Standards &amp; Scoring'!$E$5:$E$13,MATCH("Fault Control",'Standards &amp; Scoring'!$A$5:$A$13,0))/AG16))))</f>
        <v>120</v>
      </c>
      <c r="AS16" s="49" t="n">
        <f aca="false">IF(O16="","",MIN(120,IF(SUMIFS('Fault &amp; Downtime Entry'!$L$6:$L$1005,'Fault &amp; Downtime Entry'!$E$6:$E$1005,G16,'Fault &amp; Downtime Entry'!$B$6:$B$1005,B16)=0,120,100*(INDEX('Standards &amp; Scoring'!$E$5:$E$13,MATCH("Downtime Control",'Standards &amp; Scoring'!$A$5:$A$13,0))/IFERROR(SUMIFS('Fault &amp; Downtime Entry'!$L$6:$L$1005,'Fault &amp; Downtime Entry'!$E$6:$E$1005,G16,'Fault &amp; Downtime Entry'!$B$6:$B$1005,B16)/O16*1000,999999)))))</f>
        <v>120</v>
      </c>
      <c r="AT16" s="49" t="n">
        <f aca="false">IF(COUNTA(AH16,AJ16)=0,"",MIN(120,IF(AND(AH16&lt;&gt;"",AJ16&lt;&gt;""),AVERAGE(AH16,AJ16),IF(AH16&lt;&gt;"",AH16,AJ16))))</f>
        <v>0</v>
      </c>
      <c r="AU16" s="49" t="str">
        <f aca="false">IF(AI16="","",MIN(120,AI16))</f>
        <v/>
      </c>
      <c r="AV16" s="49" t="str">
        <f aca="false">IF(AJ16="","",MIN(120,AJ16))</f>
        <v/>
      </c>
      <c r="AW16" s="50" t="str">
        <f aca="false">IF(COUNT(AN16:AV16)&lt;9,"",(AN16*'Standards &amp; Scoring'!$D$5+AO16*'Standards &amp; Scoring'!$D$6+AP16*'Standards &amp; Scoring'!$D$7+AQ16*'Standards &amp; Scoring'!$D$8+AR16*'Standards &amp; Scoring'!$D$9+AS16*'Standards &amp; Scoring'!$D$10+AT16*'Standards &amp; Scoring'!$D$11+AU16*'Standards &amp; Scoring'!$D$12+AV16*'Standards &amp; Scoring'!$D$13)/10000)</f>
        <v/>
      </c>
      <c r="AX16" s="47" t="str">
        <f aca="false">IF(AW16="","",IF(AW16&gt;=1.05,"A+",IF(AW16&gt;=1,"A",IF(AW16&gt;=0.95,"B+",IF(AW16&gt;=0.9,"B","C")))))</f>
        <v/>
      </c>
      <c r="AY16" s="47" t="str">
        <f aca="false">IF(AX16="","",IF(AX16="A+",1800,IF(AX16="A",1600,IF(AX16="B+",1400,IF(AX16="B",1200,0)))))</f>
        <v/>
      </c>
      <c r="AZ16" s="49" t="str">
        <f aca="false">IF(OR(L16="",M16="",S16="",M16=0),"",IFERROR(L16*60*S16/(M16*36),0))</f>
        <v/>
      </c>
    </row>
    <row r="17" customFormat="false" ht="15" hidden="false" customHeight="true" outlineLevel="0" collapsed="false">
      <c r="A17" s="47" t="n">
        <f aca="false">'Daily KPI Entry'!A18</f>
        <v>13</v>
      </c>
      <c r="B17" s="48" t="n">
        <f aca="false">'Daily KPI Entry'!B18</f>
        <v>46288</v>
      </c>
      <c r="C17" s="47" t="n">
        <f aca="false">'Daily KPI Entry'!C18</f>
        <v>0</v>
      </c>
      <c r="D17" s="47" t="n">
        <f aca="false">'Daily KPI Entry'!D18</f>
        <v>0</v>
      </c>
      <c r="E17" s="47" t="n">
        <f aca="false">'Daily KPI Entry'!E18</f>
        <v>0</v>
      </c>
      <c r="F17" s="47" t="n">
        <f aca="false">'Daily KPI Entry'!F18</f>
        <v>0</v>
      </c>
      <c r="G17" s="47" t="str">
        <f aca="false">'Daily KPI Entry'!G18</f>
        <v>STL005513</v>
      </c>
      <c r="H17" s="47" t="str">
        <f aca="false">'Daily KPI Entry'!H18</f>
        <v>MD. HABIBUR RAHMAN</v>
      </c>
      <c r="I17" s="47" t="n">
        <f aca="false">'Daily KPI Entry'!I18</f>
        <v>0</v>
      </c>
      <c r="J17" s="47" t="n">
        <f aca="false">'Daily KPI Entry'!J18</f>
        <v>9</v>
      </c>
      <c r="K17" s="47" t="str">
        <f aca="false">'Daily KPI Entry'!K18</f>
        <v>M1,M2,N1,P1,P2,P3,O1,O2,O3</v>
      </c>
      <c r="L17" s="47" t="n">
        <f aca="false">'Daily KPI Entry'!L18</f>
        <v>541.666666666667</v>
      </c>
      <c r="M17" s="47" t="n">
        <f aca="false">'Daily KPI Entry'!M18</f>
        <v>42.44</v>
      </c>
      <c r="N17" s="49" t="n">
        <f aca="false">'Daily KPI Entry'!N18</f>
        <v>1700</v>
      </c>
      <c r="O17" s="49" t="n">
        <f aca="false">'Daily KPI Entry'!O18</f>
        <v>1168</v>
      </c>
      <c r="P17" s="49" t="n">
        <f aca="false">IF(OR(N17="",O17=""),"",IFERROR(O17/N17*100,0))</f>
        <v>68.7058823529412</v>
      </c>
      <c r="Q17" s="47" t="n">
        <f aca="false">'Daily KPI Entry'!Q18</f>
        <v>8</v>
      </c>
      <c r="R17" s="47" t="n">
        <f aca="false">IF(J17="","",Q17*J17)</f>
        <v>72</v>
      </c>
      <c r="S17" s="49" t="n">
        <f aca="false">'Daily KPI Entry'!S18</f>
        <v>0</v>
      </c>
      <c r="T17" s="49" t="str">
        <f aca="false">IF(OR(R17="",S17=""),"",IFERROR(S17/R17*100,0))</f>
        <v/>
      </c>
      <c r="U17" s="49" t="str">
        <f aca="false">IF(OR(O17="",L17="",M17="",S17="",M17=0),"",IFERROR(O17/(L17*60*S17/(M17*36))*100,0))</f>
        <v/>
      </c>
      <c r="V17" s="49" t="n">
        <f aca="false">'Daily KPI Entry'!V18</f>
        <v>0</v>
      </c>
      <c r="W17" s="49" t="n">
        <f aca="false">IF(O17="","",IFERROR(V17/O17*100,0))</f>
        <v>0</v>
      </c>
      <c r="X17" s="49" t="n">
        <f aca="false">'Daily KPI Entry'!X18</f>
        <v>0</v>
      </c>
      <c r="Y17" s="49" t="n">
        <f aca="false">'Daily KPI Entry'!Y18</f>
        <v>0</v>
      </c>
      <c r="Z17" s="49" t="n">
        <f aca="false">'Daily KPI Entry'!Z18</f>
        <v>0</v>
      </c>
      <c r="AA17" s="49" t="n">
        <f aca="false">'Daily KPI Entry'!AA18</f>
        <v>0</v>
      </c>
      <c r="AB17" s="49" t="n">
        <f aca="false">'Daily KPI Entry'!AB18</f>
        <v>0</v>
      </c>
      <c r="AC17" s="49" t="n">
        <f aca="false">'Daily KPI Entry'!AC18</f>
        <v>0</v>
      </c>
      <c r="AD17" s="49" t="n">
        <f aca="false">'Daily KPI Entry'!AD18</f>
        <v>0</v>
      </c>
      <c r="AE17" s="49" t="n">
        <f aca="false">'Daily KPI Entry'!AE18</f>
        <v>0</v>
      </c>
      <c r="AF17" s="47" t="n">
        <f aca="false">IF(O17="","",SUM(X17:AE17))</f>
        <v>0</v>
      </c>
      <c r="AG17" s="49" t="n">
        <f aca="false">IF(O17="","",IFERROR(AF17/O17*1000,0))</f>
        <v>0</v>
      </c>
      <c r="AH17" s="49" t="n">
        <f aca="false">'Daily KPI Entry'!AH18</f>
        <v>0</v>
      </c>
      <c r="AI17" s="49" t="n">
        <f aca="false">'Daily KPI Entry'!AI18</f>
        <v>0</v>
      </c>
      <c r="AJ17" s="49" t="n">
        <f aca="false">'Daily KPI Entry'!AJ18</f>
        <v>0</v>
      </c>
      <c r="AK17" s="47" t="n">
        <f aca="false">'Daily KPI Entry'!AK18</f>
        <v>0</v>
      </c>
      <c r="AL17" s="47" t="n">
        <f aca="false">'Daily KPI Entry'!AL18</f>
        <v>0</v>
      </c>
      <c r="AM17" s="47" t="n">
        <f aca="false">'Daily KPI Entry'!AM18</f>
        <v>0</v>
      </c>
      <c r="AN17" s="49" t="n">
        <f aca="false">IF(P17="","",MIN(120,P17))</f>
        <v>68.7058823529412</v>
      </c>
      <c r="AO17" s="49" t="str">
        <f aca="false">IF(U17="","",MIN(120,U17))</f>
        <v/>
      </c>
      <c r="AP17" s="49" t="n">
        <f aca="false">IF(R17="","",MIN(120,IFERROR(S17/R17*100,0)))</f>
        <v>0</v>
      </c>
      <c r="AQ17" s="49" t="n">
        <f aca="false">IF(W17="","",MIN(120,IF(W17=0,120,100*(INDEX('Standards &amp; Scoring'!$E$5:$E$13,MATCH("Quality / Rejection",'Standards &amp; Scoring'!$A$5:$A$13,0))/W17))))</f>
        <v>120</v>
      </c>
      <c r="AR17" s="49" t="n">
        <f aca="false">IF(AG17="","",MIN(120,IF(AG17=0,120,100*(INDEX('Standards &amp; Scoring'!$E$5:$E$13,MATCH("Fault Control",'Standards &amp; Scoring'!$A$5:$A$13,0))/AG17))))</f>
        <v>120</v>
      </c>
      <c r="AS17" s="49" t="n">
        <f aca="false">IF(O17="","",MIN(120,IF(SUMIFS('Fault &amp; Downtime Entry'!$L$6:$L$1005,'Fault &amp; Downtime Entry'!$E$6:$E$1005,G17,'Fault &amp; Downtime Entry'!$B$6:$B$1005,B17)=0,120,100*(INDEX('Standards &amp; Scoring'!$E$5:$E$13,MATCH("Downtime Control",'Standards &amp; Scoring'!$A$5:$A$13,0))/IFERROR(SUMIFS('Fault &amp; Downtime Entry'!$L$6:$L$1005,'Fault &amp; Downtime Entry'!$E$6:$E$1005,G17,'Fault &amp; Downtime Entry'!$B$6:$B$1005,B17)/O17*1000,999999)))))</f>
        <v>120</v>
      </c>
      <c r="AT17" s="49" t="n">
        <f aca="false">IF(COUNTA(AH17,AJ17)=0,"",MIN(120,IF(AND(AH17&lt;&gt;"",AJ17&lt;&gt;""),AVERAGE(AH17,AJ17),IF(AH17&lt;&gt;"",AH17,AJ17))))</f>
        <v>0</v>
      </c>
      <c r="AU17" s="49" t="str">
        <f aca="false">IF(AI17="","",MIN(120,AI17))</f>
        <v/>
      </c>
      <c r="AV17" s="49" t="str">
        <f aca="false">IF(AJ17="","",MIN(120,AJ17))</f>
        <v/>
      </c>
      <c r="AW17" s="50" t="str">
        <f aca="false">IF(COUNT(AN17:AV17)&lt;9,"",(AN17*'Standards &amp; Scoring'!$D$5+AO17*'Standards &amp; Scoring'!$D$6+AP17*'Standards &amp; Scoring'!$D$7+AQ17*'Standards &amp; Scoring'!$D$8+AR17*'Standards &amp; Scoring'!$D$9+AS17*'Standards &amp; Scoring'!$D$10+AT17*'Standards &amp; Scoring'!$D$11+AU17*'Standards &amp; Scoring'!$D$12+AV17*'Standards &amp; Scoring'!$D$13)/10000)</f>
        <v/>
      </c>
      <c r="AX17" s="47" t="str">
        <f aca="false">IF(AW17="","",IF(AW17&gt;=1.05,"A+",IF(AW17&gt;=1,"A",IF(AW17&gt;=0.95,"B+",IF(AW17&gt;=0.9,"B","C")))))</f>
        <v/>
      </c>
      <c r="AY17" s="47" t="str">
        <f aca="false">IF(AX17="","",IF(AX17="A+",1800,IF(AX17="A",1600,IF(AX17="B+",1400,IF(AX17="B",1200,0)))))</f>
        <v/>
      </c>
      <c r="AZ17" s="49" t="str">
        <f aca="false">IF(OR(L17="",M17="",S17="",M17=0),"",IFERROR(L17*60*S17/(M17*36),0))</f>
        <v/>
      </c>
    </row>
    <row r="18" customFormat="false" ht="15" hidden="false" customHeight="true" outlineLevel="0" collapsed="false">
      <c r="A18" s="47" t="n">
        <f aca="false">'Daily KPI Entry'!A19</f>
        <v>14</v>
      </c>
      <c r="B18" s="48" t="n">
        <f aca="false">'Daily KPI Entry'!B19</f>
        <v>46288</v>
      </c>
      <c r="C18" s="47" t="n">
        <f aca="false">'Daily KPI Entry'!C19</f>
        <v>0</v>
      </c>
      <c r="D18" s="47" t="n">
        <f aca="false">'Daily KPI Entry'!D19</f>
        <v>0</v>
      </c>
      <c r="E18" s="47" t="n">
        <f aca="false">'Daily KPI Entry'!E19</f>
        <v>0</v>
      </c>
      <c r="F18" s="47" t="n">
        <f aca="false">'Daily KPI Entry'!F19</f>
        <v>0</v>
      </c>
      <c r="G18" s="47" t="str">
        <f aca="false">'Daily KPI Entry'!G19</f>
        <v>STL005520</v>
      </c>
      <c r="H18" s="47" t="str">
        <f aca="false">'Daily KPI Entry'!H19</f>
        <v>MD. SAIFUL ISLAM-3</v>
      </c>
      <c r="I18" s="47" t="n">
        <f aca="false">'Daily KPI Entry'!I19</f>
        <v>0</v>
      </c>
      <c r="J18" s="47" t="n">
        <f aca="false">'Daily KPI Entry'!J19</f>
        <v>9</v>
      </c>
      <c r="K18" s="47" t="str">
        <f aca="false">'Daily KPI Entry'!K19</f>
        <v>I1,I2,I3,I4,J1,J2,J3,J4,J5</v>
      </c>
      <c r="L18" s="47" t="n">
        <f aca="false">'Daily KPI Entry'!L19</f>
        <v>525</v>
      </c>
      <c r="M18" s="47" t="n">
        <f aca="false">'Daily KPI Entry'!M19</f>
        <v>39.22</v>
      </c>
      <c r="N18" s="49" t="n">
        <f aca="false">'Daily KPI Entry'!N19</f>
        <v>1600</v>
      </c>
      <c r="O18" s="49" t="n">
        <f aca="false">'Daily KPI Entry'!O19</f>
        <v>0</v>
      </c>
      <c r="P18" s="49" t="str">
        <f aca="false">IF(OR(N18="",O18=""),"",IFERROR(O18/N18*100,0))</f>
        <v/>
      </c>
      <c r="Q18" s="47" t="n">
        <f aca="false">'Daily KPI Entry'!Q19</f>
        <v>8</v>
      </c>
      <c r="R18" s="47" t="n">
        <f aca="false">IF(J18="","",Q18*J18)</f>
        <v>72</v>
      </c>
      <c r="S18" s="49" t="n">
        <f aca="false">'Daily KPI Entry'!S19</f>
        <v>0</v>
      </c>
      <c r="T18" s="49" t="str">
        <f aca="false">IF(OR(R18="",S18=""),"",IFERROR(S18/R18*100,0))</f>
        <v/>
      </c>
      <c r="U18" s="49" t="str">
        <f aca="false">IF(OR(O18="",L18="",M18="",S18="",M18=0),"",IFERROR(O18/(L18*60*S18/(M18*36))*100,0))</f>
        <v/>
      </c>
      <c r="V18" s="49" t="n">
        <f aca="false">'Daily KPI Entry'!V19</f>
        <v>0</v>
      </c>
      <c r="W18" s="49" t="str">
        <f aca="false">IF(O18="","",IFERROR(V18/O18*100,0))</f>
        <v/>
      </c>
      <c r="X18" s="49" t="n">
        <f aca="false">'Daily KPI Entry'!X19</f>
        <v>0</v>
      </c>
      <c r="Y18" s="49" t="n">
        <f aca="false">'Daily KPI Entry'!Y19</f>
        <v>0</v>
      </c>
      <c r="Z18" s="49" t="n">
        <f aca="false">'Daily KPI Entry'!Z19</f>
        <v>0</v>
      </c>
      <c r="AA18" s="49" t="n">
        <f aca="false">'Daily KPI Entry'!AA19</f>
        <v>0</v>
      </c>
      <c r="AB18" s="49" t="n">
        <f aca="false">'Daily KPI Entry'!AB19</f>
        <v>0</v>
      </c>
      <c r="AC18" s="49" t="n">
        <f aca="false">'Daily KPI Entry'!AC19</f>
        <v>0</v>
      </c>
      <c r="AD18" s="49" t="n">
        <f aca="false">'Daily KPI Entry'!AD19</f>
        <v>0</v>
      </c>
      <c r="AE18" s="49" t="n">
        <f aca="false">'Daily KPI Entry'!AE19</f>
        <v>0</v>
      </c>
      <c r="AF18" s="47" t="str">
        <f aca="false">IF(O18="","",SUM(X18:AE18))</f>
        <v/>
      </c>
      <c r="AG18" s="49" t="str">
        <f aca="false">IF(O18="","",IFERROR(AF18/O18*1000,0))</f>
        <v/>
      </c>
      <c r="AH18" s="49" t="n">
        <f aca="false">'Daily KPI Entry'!AH19</f>
        <v>0</v>
      </c>
      <c r="AI18" s="49" t="n">
        <f aca="false">'Daily KPI Entry'!AI19</f>
        <v>0</v>
      </c>
      <c r="AJ18" s="49" t="n">
        <f aca="false">'Daily KPI Entry'!AJ19</f>
        <v>0</v>
      </c>
      <c r="AK18" s="47" t="n">
        <f aca="false">'Daily KPI Entry'!AK19</f>
        <v>0</v>
      </c>
      <c r="AL18" s="47" t="n">
        <f aca="false">'Daily KPI Entry'!AL19</f>
        <v>0</v>
      </c>
      <c r="AM18" s="47" t="n">
        <f aca="false">'Daily KPI Entry'!AM19</f>
        <v>0</v>
      </c>
      <c r="AN18" s="49" t="str">
        <f aca="false">IF(P18="","",MIN(120,P18))</f>
        <v/>
      </c>
      <c r="AO18" s="49" t="str">
        <f aca="false">IF(U18="","",MIN(120,U18))</f>
        <v/>
      </c>
      <c r="AP18" s="49" t="n">
        <f aca="false">IF(R18="","",MIN(120,IFERROR(S18/R18*100,0)))</f>
        <v>0</v>
      </c>
      <c r="AQ18" s="49" t="str">
        <f aca="false">IF(W18="","",MIN(120,IF(W18=0,120,100*(INDEX('Standards &amp; Scoring'!$E$5:$E$13,MATCH("Quality / Rejection",'Standards &amp; Scoring'!$A$5:$A$13,0))/W18))))</f>
        <v/>
      </c>
      <c r="AR18" s="49" t="str">
        <f aca="false">IF(AG18="","",MIN(120,IF(AG18=0,120,100*(INDEX('Standards &amp; Scoring'!$E$5:$E$13,MATCH("Fault Control",'Standards &amp; Scoring'!$A$5:$A$13,0))/AG18))))</f>
        <v/>
      </c>
      <c r="AS18" s="49" t="str">
        <f aca="false">IF(O18="","",MIN(120,IF(SUMIFS('Fault &amp; Downtime Entry'!$L$6:$L$1005,'Fault &amp; Downtime Entry'!$E$6:$E$1005,G18,'Fault &amp; Downtime Entry'!$B$6:$B$1005,B18)=0,120,100*(INDEX('Standards &amp; Scoring'!$E$5:$E$13,MATCH("Downtime Control",'Standards &amp; Scoring'!$A$5:$A$13,0))/IFERROR(SUMIFS('Fault &amp; Downtime Entry'!$L$6:$L$1005,'Fault &amp; Downtime Entry'!$E$6:$E$1005,G18,'Fault &amp; Downtime Entry'!$B$6:$B$1005,B18)/O18*1000,999999)))))</f>
        <v/>
      </c>
      <c r="AT18" s="49" t="n">
        <f aca="false">IF(COUNTA(AH18,AJ18)=0,"",MIN(120,IF(AND(AH18&lt;&gt;"",AJ18&lt;&gt;""),AVERAGE(AH18,AJ18),IF(AH18&lt;&gt;"",AH18,AJ18))))</f>
        <v>0</v>
      </c>
      <c r="AU18" s="49" t="str">
        <f aca="false">IF(AI18="","",MIN(120,AI18))</f>
        <v/>
      </c>
      <c r="AV18" s="49" t="str">
        <f aca="false">IF(AJ18="","",MIN(120,AJ18))</f>
        <v/>
      </c>
      <c r="AW18" s="50" t="str">
        <f aca="false">IF(COUNT(AN18:AV18)&lt;9,"",(AN18*'Standards &amp; Scoring'!$D$5+AO18*'Standards &amp; Scoring'!$D$6+AP18*'Standards &amp; Scoring'!$D$7+AQ18*'Standards &amp; Scoring'!$D$8+AR18*'Standards &amp; Scoring'!$D$9+AS18*'Standards &amp; Scoring'!$D$10+AT18*'Standards &amp; Scoring'!$D$11+AU18*'Standards &amp; Scoring'!$D$12+AV18*'Standards &amp; Scoring'!$D$13)/10000)</f>
        <v/>
      </c>
      <c r="AX18" s="47" t="str">
        <f aca="false">IF(AW18="","",IF(AW18&gt;=1.05,"A+",IF(AW18&gt;=1,"A",IF(AW18&gt;=0.95,"B+",IF(AW18&gt;=0.9,"B","C")))))</f>
        <v/>
      </c>
      <c r="AY18" s="47" t="str">
        <f aca="false">IF(AX18="","",IF(AX18="A+",1800,IF(AX18="A",1600,IF(AX18="B+",1400,IF(AX18="B",1200,0)))))</f>
        <v/>
      </c>
      <c r="AZ18" s="49" t="str">
        <f aca="false">IF(OR(L18="",M18="",S18="",M18=0),"",IFERROR(L18*60*S18/(M18*36),0))</f>
        <v/>
      </c>
    </row>
    <row r="19" customFormat="false" ht="15" hidden="false" customHeight="true" outlineLevel="0" collapsed="false">
      <c r="A19" s="47" t="n">
        <f aca="false">'Daily KPI Entry'!A20</f>
        <v>15</v>
      </c>
      <c r="B19" s="48" t="n">
        <f aca="false">'Daily KPI Entry'!B20</f>
        <v>46288</v>
      </c>
      <c r="C19" s="47" t="n">
        <f aca="false">'Daily KPI Entry'!C20</f>
        <v>0</v>
      </c>
      <c r="D19" s="47" t="n">
        <f aca="false">'Daily KPI Entry'!D20</f>
        <v>0</v>
      </c>
      <c r="E19" s="47" t="n">
        <f aca="false">'Daily KPI Entry'!E20</f>
        <v>0</v>
      </c>
      <c r="F19" s="47" t="n">
        <f aca="false">'Daily KPI Entry'!F20</f>
        <v>0</v>
      </c>
      <c r="G19" s="47" t="str">
        <f aca="false">'Daily KPI Entry'!G20</f>
        <v>STL005488</v>
      </c>
      <c r="H19" s="47" t="str">
        <f aca="false">'Daily KPI Entry'!H20</f>
        <v>MD. JAKIR HOSEN</v>
      </c>
      <c r="I19" s="47" t="n">
        <f aca="false">'Daily KPI Entry'!I20</f>
        <v>0</v>
      </c>
      <c r="J19" s="47" t="n">
        <f aca="false">'Daily KPI Entry'!J20</f>
        <v>10</v>
      </c>
      <c r="K19" s="47" t="str">
        <f aca="false">'Daily KPI Entry'!K20</f>
        <v>K1,K2,K3,K4,K5,L1,L2,L3,L4,L5</v>
      </c>
      <c r="L19" s="47" t="n">
        <f aca="false">'Daily KPI Entry'!L20</f>
        <v>537.5</v>
      </c>
      <c r="M19" s="47" t="n">
        <f aca="false">'Daily KPI Entry'!M20</f>
        <v>41.6</v>
      </c>
      <c r="N19" s="49" t="n">
        <f aca="false">'Daily KPI Entry'!N20</f>
        <v>1800</v>
      </c>
      <c r="O19" s="49" t="n">
        <f aca="false">'Daily KPI Entry'!O20</f>
        <v>0</v>
      </c>
      <c r="P19" s="49" t="str">
        <f aca="false">IF(OR(N19="",O19=""),"",IFERROR(O19/N19*100,0))</f>
        <v/>
      </c>
      <c r="Q19" s="47" t="n">
        <f aca="false">'Daily KPI Entry'!Q20</f>
        <v>8</v>
      </c>
      <c r="R19" s="47" t="n">
        <f aca="false">IF(J19="","",Q19*J19)</f>
        <v>80</v>
      </c>
      <c r="S19" s="49" t="n">
        <f aca="false">'Daily KPI Entry'!S20</f>
        <v>0</v>
      </c>
      <c r="T19" s="49" t="str">
        <f aca="false">IF(OR(R19="",S19=""),"",IFERROR(S19/R19*100,0))</f>
        <v/>
      </c>
      <c r="U19" s="49" t="str">
        <f aca="false">IF(OR(O19="",L19="",M19="",S19="",M19=0),"",IFERROR(O19/(L19*60*S19/(M19*36))*100,0))</f>
        <v/>
      </c>
      <c r="V19" s="49" t="n">
        <f aca="false">'Daily KPI Entry'!V20</f>
        <v>0</v>
      </c>
      <c r="W19" s="49" t="str">
        <f aca="false">IF(O19="","",IFERROR(V19/O19*100,0))</f>
        <v/>
      </c>
      <c r="X19" s="49" t="n">
        <f aca="false">'Daily KPI Entry'!X20</f>
        <v>0</v>
      </c>
      <c r="Y19" s="49" t="n">
        <f aca="false">'Daily KPI Entry'!Y20</f>
        <v>0</v>
      </c>
      <c r="Z19" s="49" t="n">
        <f aca="false">'Daily KPI Entry'!Z20</f>
        <v>0</v>
      </c>
      <c r="AA19" s="49" t="n">
        <f aca="false">'Daily KPI Entry'!AA20</f>
        <v>0</v>
      </c>
      <c r="AB19" s="49" t="n">
        <f aca="false">'Daily KPI Entry'!AB20</f>
        <v>0</v>
      </c>
      <c r="AC19" s="49" t="n">
        <f aca="false">'Daily KPI Entry'!AC20</f>
        <v>0</v>
      </c>
      <c r="AD19" s="49" t="n">
        <f aca="false">'Daily KPI Entry'!AD20</f>
        <v>0</v>
      </c>
      <c r="AE19" s="49" t="n">
        <f aca="false">'Daily KPI Entry'!AE20</f>
        <v>0</v>
      </c>
      <c r="AF19" s="47" t="str">
        <f aca="false">IF(O19="","",SUM(X19:AE19))</f>
        <v/>
      </c>
      <c r="AG19" s="49" t="str">
        <f aca="false">IF(O19="","",IFERROR(AF19/O19*1000,0))</f>
        <v/>
      </c>
      <c r="AH19" s="49" t="n">
        <f aca="false">'Daily KPI Entry'!AH20</f>
        <v>0</v>
      </c>
      <c r="AI19" s="49" t="n">
        <f aca="false">'Daily KPI Entry'!AI20</f>
        <v>0</v>
      </c>
      <c r="AJ19" s="49" t="n">
        <f aca="false">'Daily KPI Entry'!AJ20</f>
        <v>0</v>
      </c>
      <c r="AK19" s="47" t="n">
        <f aca="false">'Daily KPI Entry'!AK20</f>
        <v>0</v>
      </c>
      <c r="AL19" s="47" t="n">
        <f aca="false">'Daily KPI Entry'!AL20</f>
        <v>0</v>
      </c>
      <c r="AM19" s="47" t="n">
        <f aca="false">'Daily KPI Entry'!AM20</f>
        <v>0</v>
      </c>
      <c r="AN19" s="49" t="str">
        <f aca="false">IF(P19="","",MIN(120,P19))</f>
        <v/>
      </c>
      <c r="AO19" s="49" t="str">
        <f aca="false">IF(U19="","",MIN(120,U19))</f>
        <v/>
      </c>
      <c r="AP19" s="49" t="n">
        <f aca="false">IF(R19="","",MIN(120,IFERROR(S19/R19*100,0)))</f>
        <v>0</v>
      </c>
      <c r="AQ19" s="49" t="str">
        <f aca="false">IF(W19="","",MIN(120,IF(W19=0,120,100*(INDEX('Standards &amp; Scoring'!$E$5:$E$13,MATCH("Quality / Rejection",'Standards &amp; Scoring'!$A$5:$A$13,0))/W19))))</f>
        <v/>
      </c>
      <c r="AR19" s="49" t="str">
        <f aca="false">IF(AG19="","",MIN(120,IF(AG19=0,120,100*(INDEX('Standards &amp; Scoring'!$E$5:$E$13,MATCH("Fault Control",'Standards &amp; Scoring'!$A$5:$A$13,0))/AG19))))</f>
        <v/>
      </c>
      <c r="AS19" s="49" t="str">
        <f aca="false">IF(O19="","",MIN(120,IF(SUMIFS('Fault &amp; Downtime Entry'!$L$6:$L$1005,'Fault &amp; Downtime Entry'!$E$6:$E$1005,G19,'Fault &amp; Downtime Entry'!$B$6:$B$1005,B19)=0,120,100*(INDEX('Standards &amp; Scoring'!$E$5:$E$13,MATCH("Downtime Control",'Standards &amp; Scoring'!$A$5:$A$13,0))/IFERROR(SUMIFS('Fault &amp; Downtime Entry'!$L$6:$L$1005,'Fault &amp; Downtime Entry'!$E$6:$E$1005,G19,'Fault &amp; Downtime Entry'!$B$6:$B$1005,B19)/O19*1000,999999)))))</f>
        <v/>
      </c>
      <c r="AT19" s="49" t="n">
        <f aca="false">IF(COUNTA(AH19,AJ19)=0,"",MIN(120,IF(AND(AH19&lt;&gt;"",AJ19&lt;&gt;""),AVERAGE(AH19,AJ19),IF(AH19&lt;&gt;"",AH19,AJ19))))</f>
        <v>0</v>
      </c>
      <c r="AU19" s="49" t="str">
        <f aca="false">IF(AI19="","",MIN(120,AI19))</f>
        <v/>
      </c>
      <c r="AV19" s="49" t="str">
        <f aca="false">IF(AJ19="","",MIN(120,AJ19))</f>
        <v/>
      </c>
      <c r="AW19" s="50" t="str">
        <f aca="false">IF(COUNT(AN19:AV19)&lt;9,"",(AN19*'Standards &amp; Scoring'!$D$5+AO19*'Standards &amp; Scoring'!$D$6+AP19*'Standards &amp; Scoring'!$D$7+AQ19*'Standards &amp; Scoring'!$D$8+AR19*'Standards &amp; Scoring'!$D$9+AS19*'Standards &amp; Scoring'!$D$10+AT19*'Standards &amp; Scoring'!$D$11+AU19*'Standards &amp; Scoring'!$D$12+AV19*'Standards &amp; Scoring'!$D$13)/10000)</f>
        <v/>
      </c>
      <c r="AX19" s="47" t="str">
        <f aca="false">IF(AW19="","",IF(AW19&gt;=1.05,"A+",IF(AW19&gt;=1,"A",IF(AW19&gt;=0.95,"B+",IF(AW19&gt;=0.9,"B","C")))))</f>
        <v/>
      </c>
      <c r="AY19" s="47" t="str">
        <f aca="false">IF(AX19="","",IF(AX19="A+",1800,IF(AX19="A",1600,IF(AX19="B+",1400,IF(AX19="B",1200,0)))))</f>
        <v/>
      </c>
      <c r="AZ19" s="49" t="str">
        <f aca="false">IF(OR(L19="",M19="",S19="",M19=0),"",IFERROR(L19*60*S19/(M19*36),0))</f>
        <v/>
      </c>
    </row>
    <row r="20" customFormat="false" ht="15" hidden="false" customHeight="true" outlineLevel="0" collapsed="false">
      <c r="A20" s="47" t="n">
        <f aca="false">'Daily KPI Entry'!A21</f>
        <v>16</v>
      </c>
      <c r="B20" s="48" t="n">
        <f aca="false">'Daily KPI Entry'!B21</f>
        <v>46288</v>
      </c>
      <c r="C20" s="47" t="n">
        <f aca="false">'Daily KPI Entry'!C21</f>
        <v>0</v>
      </c>
      <c r="D20" s="47" t="n">
        <f aca="false">'Daily KPI Entry'!D21</f>
        <v>0</v>
      </c>
      <c r="E20" s="47" t="n">
        <f aca="false">'Daily KPI Entry'!E21</f>
        <v>0</v>
      </c>
      <c r="F20" s="47" t="n">
        <f aca="false">'Daily KPI Entry'!F21</f>
        <v>0</v>
      </c>
      <c r="G20" s="47" t="str">
        <f aca="false">'Daily KPI Entry'!G21</f>
        <v>STL005916</v>
      </c>
      <c r="H20" s="47" t="str">
        <f aca="false">'Daily KPI Entry'!H21</f>
        <v>AZIZUL HAQUE</v>
      </c>
      <c r="I20" s="47" t="n">
        <f aca="false">'Daily KPI Entry'!I21</f>
        <v>0</v>
      </c>
      <c r="J20" s="47" t="n">
        <f aca="false">'Daily KPI Entry'!J21</f>
        <v>8</v>
      </c>
      <c r="K20" s="47" t="str">
        <f aca="false">'Daily KPI Entry'!K21</f>
        <v>C1,C2,D1,D2,E1,E2,F1,F2</v>
      </c>
      <c r="L20" s="47" t="n">
        <f aca="false">'Daily KPI Entry'!L21</f>
        <v>559.375</v>
      </c>
      <c r="M20" s="47" t="n">
        <f aca="false">'Daily KPI Entry'!M21</f>
        <v>41.75</v>
      </c>
      <c r="N20" s="49" t="n">
        <f aca="false">'Daily KPI Entry'!N21</f>
        <v>1500</v>
      </c>
      <c r="O20" s="49" t="n">
        <f aca="false">'Daily KPI Entry'!O21</f>
        <v>0</v>
      </c>
      <c r="P20" s="49" t="str">
        <f aca="false">IF(OR(N20="",O20=""),"",IFERROR(O20/N20*100,0))</f>
        <v/>
      </c>
      <c r="Q20" s="47" t="n">
        <f aca="false">'Daily KPI Entry'!Q21</f>
        <v>8</v>
      </c>
      <c r="R20" s="47" t="n">
        <f aca="false">IF(J20="","",Q20*J20)</f>
        <v>64</v>
      </c>
      <c r="S20" s="49" t="n">
        <f aca="false">'Daily KPI Entry'!S21</f>
        <v>0</v>
      </c>
      <c r="T20" s="49" t="str">
        <f aca="false">IF(OR(R20="",S20=""),"",IFERROR(S20/R20*100,0))</f>
        <v/>
      </c>
      <c r="U20" s="49" t="str">
        <f aca="false">IF(OR(O20="",L20="",M20="",S20="",M20=0),"",IFERROR(O20/(L20*60*S20/(M20*36))*100,0))</f>
        <v/>
      </c>
      <c r="V20" s="49" t="n">
        <f aca="false">'Daily KPI Entry'!V21</f>
        <v>0</v>
      </c>
      <c r="W20" s="49" t="str">
        <f aca="false">IF(O20="","",IFERROR(V20/O20*100,0))</f>
        <v/>
      </c>
      <c r="X20" s="49" t="n">
        <f aca="false">'Daily KPI Entry'!X21</f>
        <v>0</v>
      </c>
      <c r="Y20" s="49" t="n">
        <f aca="false">'Daily KPI Entry'!Y21</f>
        <v>0</v>
      </c>
      <c r="Z20" s="49" t="n">
        <f aca="false">'Daily KPI Entry'!Z21</f>
        <v>0</v>
      </c>
      <c r="AA20" s="49" t="n">
        <f aca="false">'Daily KPI Entry'!AA21</f>
        <v>0</v>
      </c>
      <c r="AB20" s="49" t="n">
        <f aca="false">'Daily KPI Entry'!AB21</f>
        <v>0</v>
      </c>
      <c r="AC20" s="49" t="n">
        <f aca="false">'Daily KPI Entry'!AC21</f>
        <v>0</v>
      </c>
      <c r="AD20" s="49" t="n">
        <f aca="false">'Daily KPI Entry'!AD21</f>
        <v>0</v>
      </c>
      <c r="AE20" s="49" t="n">
        <f aca="false">'Daily KPI Entry'!AE21</f>
        <v>0</v>
      </c>
      <c r="AF20" s="47" t="str">
        <f aca="false">IF(O20="","",SUM(X20:AE20))</f>
        <v/>
      </c>
      <c r="AG20" s="49" t="str">
        <f aca="false">IF(O20="","",IFERROR(AF20/O20*1000,0))</f>
        <v/>
      </c>
      <c r="AH20" s="49" t="n">
        <f aca="false">'Daily KPI Entry'!AH21</f>
        <v>0</v>
      </c>
      <c r="AI20" s="49" t="n">
        <f aca="false">'Daily KPI Entry'!AI21</f>
        <v>0</v>
      </c>
      <c r="AJ20" s="49" t="n">
        <f aca="false">'Daily KPI Entry'!AJ21</f>
        <v>0</v>
      </c>
      <c r="AK20" s="47" t="n">
        <f aca="false">'Daily KPI Entry'!AK21</f>
        <v>0</v>
      </c>
      <c r="AL20" s="47" t="n">
        <f aca="false">'Daily KPI Entry'!AL21</f>
        <v>0</v>
      </c>
      <c r="AM20" s="47" t="n">
        <f aca="false">'Daily KPI Entry'!AM21</f>
        <v>0</v>
      </c>
      <c r="AN20" s="49" t="str">
        <f aca="false">IF(P20="","",MIN(120,P20))</f>
        <v/>
      </c>
      <c r="AO20" s="49" t="str">
        <f aca="false">IF(U20="","",MIN(120,U20))</f>
        <v/>
      </c>
      <c r="AP20" s="49" t="n">
        <f aca="false">IF(R20="","",MIN(120,IFERROR(S20/R20*100,0)))</f>
        <v>0</v>
      </c>
      <c r="AQ20" s="49" t="str">
        <f aca="false">IF(W20="","",MIN(120,IF(W20=0,120,100*(INDEX('Standards &amp; Scoring'!$E$5:$E$13,MATCH("Quality / Rejection",'Standards &amp; Scoring'!$A$5:$A$13,0))/W20))))</f>
        <v/>
      </c>
      <c r="AR20" s="49" t="str">
        <f aca="false">IF(AG20="","",MIN(120,IF(AG20=0,120,100*(INDEX('Standards &amp; Scoring'!$E$5:$E$13,MATCH("Fault Control",'Standards &amp; Scoring'!$A$5:$A$13,0))/AG20))))</f>
        <v/>
      </c>
      <c r="AS20" s="49" t="str">
        <f aca="false">IF(O20="","",MIN(120,IF(SUMIFS('Fault &amp; Downtime Entry'!$L$6:$L$1005,'Fault &amp; Downtime Entry'!$E$6:$E$1005,G20,'Fault &amp; Downtime Entry'!$B$6:$B$1005,B20)=0,120,100*(INDEX('Standards &amp; Scoring'!$E$5:$E$13,MATCH("Downtime Control",'Standards &amp; Scoring'!$A$5:$A$13,0))/IFERROR(SUMIFS('Fault &amp; Downtime Entry'!$L$6:$L$1005,'Fault &amp; Downtime Entry'!$E$6:$E$1005,G20,'Fault &amp; Downtime Entry'!$B$6:$B$1005,B20)/O20*1000,999999)))))</f>
        <v/>
      </c>
      <c r="AT20" s="49" t="n">
        <f aca="false">IF(COUNTA(AH20,AJ20)=0,"",MIN(120,IF(AND(AH20&lt;&gt;"",AJ20&lt;&gt;""),AVERAGE(AH20,AJ20),IF(AH20&lt;&gt;"",AH20,AJ20))))</f>
        <v>0</v>
      </c>
      <c r="AU20" s="49" t="str">
        <f aca="false">IF(AI20="","",MIN(120,AI20))</f>
        <v/>
      </c>
      <c r="AV20" s="49" t="str">
        <f aca="false">IF(AJ20="","",MIN(120,AJ20))</f>
        <v/>
      </c>
      <c r="AW20" s="50" t="str">
        <f aca="false">IF(COUNT(AN20:AV20)&lt;9,"",(AN20*'Standards &amp; Scoring'!$D$5+AO20*'Standards &amp; Scoring'!$D$6+AP20*'Standards &amp; Scoring'!$D$7+AQ20*'Standards &amp; Scoring'!$D$8+AR20*'Standards &amp; Scoring'!$D$9+AS20*'Standards &amp; Scoring'!$D$10+AT20*'Standards &amp; Scoring'!$D$11+AU20*'Standards &amp; Scoring'!$D$12+AV20*'Standards &amp; Scoring'!$D$13)/10000)</f>
        <v/>
      </c>
      <c r="AX20" s="47" t="str">
        <f aca="false">IF(AW20="","",IF(AW20&gt;=1.05,"A+",IF(AW20&gt;=1,"A",IF(AW20&gt;=0.95,"B+",IF(AW20&gt;=0.9,"B","C")))))</f>
        <v/>
      </c>
      <c r="AY20" s="47" t="str">
        <f aca="false">IF(AX20="","",IF(AX20="A+",1800,IF(AX20="A",1600,IF(AX20="B+",1400,IF(AX20="B",1200,0)))))</f>
        <v/>
      </c>
      <c r="AZ20" s="49" t="str">
        <f aca="false">IF(OR(L20="",M20="",S20="",M20=0),"",IFERROR(L20*60*S20/(M20*36),0))</f>
        <v/>
      </c>
    </row>
    <row r="21" customFormat="false" ht="15" hidden="false" customHeight="true" outlineLevel="0" collapsed="false">
      <c r="A21" s="47" t="n">
        <f aca="false">'Daily KPI Entry'!A22</f>
        <v>17</v>
      </c>
      <c r="B21" s="48" t="n">
        <f aca="false">'Daily KPI Entry'!B22</f>
        <v>46288</v>
      </c>
      <c r="C21" s="47" t="n">
        <f aca="false">'Daily KPI Entry'!C22</f>
        <v>0</v>
      </c>
      <c r="D21" s="47" t="n">
        <f aca="false">'Daily KPI Entry'!D22</f>
        <v>0</v>
      </c>
      <c r="E21" s="47" t="n">
        <f aca="false">'Daily KPI Entry'!E22</f>
        <v>0</v>
      </c>
      <c r="F21" s="47" t="n">
        <f aca="false">'Daily KPI Entry'!F22</f>
        <v>0</v>
      </c>
      <c r="G21" s="47" t="str">
        <f aca="false">'Daily KPI Entry'!G22</f>
        <v>STL007346</v>
      </c>
      <c r="H21" s="47" t="str">
        <f aca="false">'Daily KPI Entry'!H22</f>
        <v>MD. ANARUL ISLAM </v>
      </c>
      <c r="I21" s="47" t="n">
        <f aca="false">'Daily KPI Entry'!I22</f>
        <v>0</v>
      </c>
      <c r="J21" s="47" t="n">
        <f aca="false">'Daily KPI Entry'!J22</f>
        <v>8</v>
      </c>
      <c r="K21" s="47" t="str">
        <f aca="false">'Daily KPI Entry'!K22</f>
        <v>S2,S3,S4,S5,T2,T4,T5,T6</v>
      </c>
      <c r="L21" s="47" t="n">
        <f aca="false">'Daily KPI Entry'!L22</f>
        <v>553.125</v>
      </c>
      <c r="M21" s="47" t="n">
        <f aca="false">'Daily KPI Entry'!M22</f>
        <v>41.25</v>
      </c>
      <c r="N21" s="49" t="n">
        <f aca="false">'Daily KPI Entry'!N22</f>
        <v>1600</v>
      </c>
      <c r="O21" s="49" t="n">
        <f aca="false">'Daily KPI Entry'!O22</f>
        <v>0</v>
      </c>
      <c r="P21" s="49" t="str">
        <f aca="false">IF(OR(N21="",O21=""),"",IFERROR(O21/N21*100,0))</f>
        <v/>
      </c>
      <c r="Q21" s="47" t="n">
        <f aca="false">'Daily KPI Entry'!Q22</f>
        <v>8</v>
      </c>
      <c r="R21" s="47" t="n">
        <f aca="false">IF(J21="","",Q21*J21)</f>
        <v>64</v>
      </c>
      <c r="S21" s="49" t="n">
        <f aca="false">'Daily KPI Entry'!S22</f>
        <v>0</v>
      </c>
      <c r="T21" s="49" t="str">
        <f aca="false">IF(OR(R21="",S21=""),"",IFERROR(S21/R21*100,0))</f>
        <v/>
      </c>
      <c r="U21" s="49" t="str">
        <f aca="false">IF(OR(O21="",L21="",M21="",S21="",M21=0),"",IFERROR(O21/(L21*60*S21/(M21*36))*100,0))</f>
        <v/>
      </c>
      <c r="V21" s="49" t="n">
        <f aca="false">'Daily KPI Entry'!V22</f>
        <v>0</v>
      </c>
      <c r="W21" s="49" t="str">
        <f aca="false">IF(O21="","",IFERROR(V21/O21*100,0))</f>
        <v/>
      </c>
      <c r="X21" s="49" t="n">
        <f aca="false">'Daily KPI Entry'!X22</f>
        <v>0</v>
      </c>
      <c r="Y21" s="49" t="n">
        <f aca="false">'Daily KPI Entry'!Y22</f>
        <v>0</v>
      </c>
      <c r="Z21" s="49" t="n">
        <f aca="false">'Daily KPI Entry'!Z22</f>
        <v>0</v>
      </c>
      <c r="AA21" s="49" t="n">
        <f aca="false">'Daily KPI Entry'!AA22</f>
        <v>0</v>
      </c>
      <c r="AB21" s="49" t="n">
        <f aca="false">'Daily KPI Entry'!AB22</f>
        <v>0</v>
      </c>
      <c r="AC21" s="49" t="n">
        <f aca="false">'Daily KPI Entry'!AC22</f>
        <v>0</v>
      </c>
      <c r="AD21" s="49" t="n">
        <f aca="false">'Daily KPI Entry'!AD22</f>
        <v>0</v>
      </c>
      <c r="AE21" s="49" t="n">
        <f aca="false">'Daily KPI Entry'!AE22</f>
        <v>0</v>
      </c>
      <c r="AF21" s="47" t="str">
        <f aca="false">IF(O21="","",SUM(X21:AE21))</f>
        <v/>
      </c>
      <c r="AG21" s="49" t="str">
        <f aca="false">IF(O21="","",IFERROR(AF21/O21*1000,0))</f>
        <v/>
      </c>
      <c r="AH21" s="49" t="n">
        <f aca="false">'Daily KPI Entry'!AH22</f>
        <v>0</v>
      </c>
      <c r="AI21" s="49" t="n">
        <f aca="false">'Daily KPI Entry'!AI22</f>
        <v>0</v>
      </c>
      <c r="AJ21" s="49" t="n">
        <f aca="false">'Daily KPI Entry'!AJ22</f>
        <v>0</v>
      </c>
      <c r="AK21" s="47" t="n">
        <f aca="false">'Daily KPI Entry'!AK22</f>
        <v>0</v>
      </c>
      <c r="AL21" s="47" t="n">
        <f aca="false">'Daily KPI Entry'!AL22</f>
        <v>0</v>
      </c>
      <c r="AM21" s="47" t="n">
        <f aca="false">'Daily KPI Entry'!AM22</f>
        <v>0</v>
      </c>
      <c r="AN21" s="49" t="str">
        <f aca="false">IF(P21="","",MIN(120,P21))</f>
        <v/>
      </c>
      <c r="AO21" s="49" t="str">
        <f aca="false">IF(U21="","",MIN(120,U21))</f>
        <v/>
      </c>
      <c r="AP21" s="49" t="n">
        <f aca="false">IF(R21="","",MIN(120,IFERROR(S21/R21*100,0)))</f>
        <v>0</v>
      </c>
      <c r="AQ21" s="49" t="str">
        <f aca="false">IF(W21="","",MIN(120,IF(W21=0,120,100*(INDEX('Standards &amp; Scoring'!$E$5:$E$13,MATCH("Quality / Rejection",'Standards &amp; Scoring'!$A$5:$A$13,0))/W21))))</f>
        <v/>
      </c>
      <c r="AR21" s="49" t="str">
        <f aca="false">IF(AG21="","",MIN(120,IF(AG21=0,120,100*(INDEX('Standards &amp; Scoring'!$E$5:$E$13,MATCH("Fault Control",'Standards &amp; Scoring'!$A$5:$A$13,0))/AG21))))</f>
        <v/>
      </c>
      <c r="AS21" s="49" t="str">
        <f aca="false">IF(O21="","",MIN(120,IF(SUMIFS('Fault &amp; Downtime Entry'!$L$6:$L$1005,'Fault &amp; Downtime Entry'!$E$6:$E$1005,G21,'Fault &amp; Downtime Entry'!$B$6:$B$1005,B21)=0,120,100*(INDEX('Standards &amp; Scoring'!$E$5:$E$13,MATCH("Downtime Control",'Standards &amp; Scoring'!$A$5:$A$13,0))/IFERROR(SUMIFS('Fault &amp; Downtime Entry'!$L$6:$L$1005,'Fault &amp; Downtime Entry'!$E$6:$E$1005,G21,'Fault &amp; Downtime Entry'!$B$6:$B$1005,B21)/O21*1000,999999)))))</f>
        <v/>
      </c>
      <c r="AT21" s="49" t="n">
        <f aca="false">IF(COUNTA(AH21,AJ21)=0,"",MIN(120,IF(AND(AH21&lt;&gt;"",AJ21&lt;&gt;""),AVERAGE(AH21,AJ21),IF(AH21&lt;&gt;"",AH21,AJ21))))</f>
        <v>0</v>
      </c>
      <c r="AU21" s="49" t="str">
        <f aca="false">IF(AI21="","",MIN(120,AI21))</f>
        <v/>
      </c>
      <c r="AV21" s="49" t="str">
        <f aca="false">IF(AJ21="","",MIN(120,AJ21))</f>
        <v/>
      </c>
      <c r="AW21" s="50" t="str">
        <f aca="false">IF(COUNT(AN21:AV21)&lt;9,"",(AN21*'Standards &amp; Scoring'!$D$5+AO21*'Standards &amp; Scoring'!$D$6+AP21*'Standards &amp; Scoring'!$D$7+AQ21*'Standards &amp; Scoring'!$D$8+AR21*'Standards &amp; Scoring'!$D$9+AS21*'Standards &amp; Scoring'!$D$10+AT21*'Standards &amp; Scoring'!$D$11+AU21*'Standards &amp; Scoring'!$D$12+AV21*'Standards &amp; Scoring'!$D$13)/10000)</f>
        <v/>
      </c>
      <c r="AX21" s="47" t="str">
        <f aca="false">IF(AW21="","",IF(AW21&gt;=1.05,"A+",IF(AW21&gt;=1,"A",IF(AW21&gt;=0.95,"B+",IF(AW21&gt;=0.9,"B","C")))))</f>
        <v/>
      </c>
      <c r="AY21" s="47" t="str">
        <f aca="false">IF(AX21="","",IF(AX21="A+",1800,IF(AX21="A",1600,IF(AX21="B+",1400,IF(AX21="B",1200,0)))))</f>
        <v/>
      </c>
      <c r="AZ21" s="49" t="str">
        <f aca="false">IF(OR(L21="",M21="",S21="",M21=0),"",IFERROR(L21*60*S21/(M21*36),0))</f>
        <v/>
      </c>
    </row>
    <row r="22" customFormat="false" ht="15" hidden="false" customHeight="true" outlineLevel="0" collapsed="false">
      <c r="A22" s="47" t="n">
        <f aca="false">'Daily KPI Entry'!A23</f>
        <v>18</v>
      </c>
      <c r="B22" s="48" t="n">
        <f aca="false">'Daily KPI Entry'!B23</f>
        <v>46288</v>
      </c>
      <c r="C22" s="47" t="n">
        <f aca="false">'Daily KPI Entry'!C23</f>
        <v>0</v>
      </c>
      <c r="D22" s="47" t="n">
        <f aca="false">'Daily KPI Entry'!D23</f>
        <v>0</v>
      </c>
      <c r="E22" s="47" t="n">
        <f aca="false">'Daily KPI Entry'!E23</f>
        <v>0</v>
      </c>
      <c r="F22" s="47" t="n">
        <f aca="false">'Daily KPI Entry'!F23</f>
        <v>0</v>
      </c>
      <c r="G22" s="47" t="str">
        <f aca="false">'Daily KPI Entry'!G23</f>
        <v>STL007421</v>
      </c>
      <c r="H22" s="47" t="str">
        <f aca="false">'Daily KPI Entry'!H23</f>
        <v>MD. ROSHID</v>
      </c>
      <c r="I22" s="47" t="n">
        <f aca="false">'Daily KPI Entry'!I23</f>
        <v>0</v>
      </c>
      <c r="J22" s="47" t="n">
        <f aca="false">'Daily KPI Entry'!J23</f>
        <v>9</v>
      </c>
      <c r="K22" s="47" t="str">
        <f aca="false">'Daily KPI Entry'!K23</f>
        <v>K6,L6,M3,M4,M5,M6,N3,N5,N6</v>
      </c>
      <c r="L22" s="47" t="n">
        <f aca="false">'Daily KPI Entry'!L23</f>
        <v>533.333333333333</v>
      </c>
      <c r="M22" s="47" t="n">
        <f aca="false">'Daily KPI Entry'!M23</f>
        <v>44.67</v>
      </c>
      <c r="N22" s="49" t="n">
        <f aca="false">'Daily KPI Entry'!N23</f>
        <v>1600</v>
      </c>
      <c r="O22" s="49" t="n">
        <f aca="false">'Daily KPI Entry'!O23</f>
        <v>0</v>
      </c>
      <c r="P22" s="49" t="str">
        <f aca="false">IF(OR(N22="",O22=""),"",IFERROR(O22/N22*100,0))</f>
        <v/>
      </c>
      <c r="Q22" s="47" t="n">
        <f aca="false">'Daily KPI Entry'!Q23</f>
        <v>8</v>
      </c>
      <c r="R22" s="47" t="n">
        <f aca="false">IF(J22="","",Q22*J22)</f>
        <v>72</v>
      </c>
      <c r="S22" s="49" t="n">
        <f aca="false">'Daily KPI Entry'!S23</f>
        <v>0</v>
      </c>
      <c r="T22" s="49" t="str">
        <f aca="false">IF(OR(R22="",S22=""),"",IFERROR(S22/R22*100,0))</f>
        <v/>
      </c>
      <c r="U22" s="49" t="str">
        <f aca="false">IF(OR(O22="",L22="",M22="",S22="",M22=0),"",IFERROR(O22/(L22*60*S22/(M22*36))*100,0))</f>
        <v/>
      </c>
      <c r="V22" s="49" t="n">
        <f aca="false">'Daily KPI Entry'!V23</f>
        <v>0</v>
      </c>
      <c r="W22" s="49" t="str">
        <f aca="false">IF(O22="","",IFERROR(V22/O22*100,0))</f>
        <v/>
      </c>
      <c r="X22" s="49" t="n">
        <f aca="false">'Daily KPI Entry'!X23</f>
        <v>0</v>
      </c>
      <c r="Y22" s="49" t="n">
        <f aca="false">'Daily KPI Entry'!Y23</f>
        <v>0</v>
      </c>
      <c r="Z22" s="49" t="n">
        <f aca="false">'Daily KPI Entry'!Z23</f>
        <v>0</v>
      </c>
      <c r="AA22" s="49" t="n">
        <f aca="false">'Daily KPI Entry'!AA23</f>
        <v>0</v>
      </c>
      <c r="AB22" s="49" t="n">
        <f aca="false">'Daily KPI Entry'!AB23</f>
        <v>0</v>
      </c>
      <c r="AC22" s="49" t="n">
        <f aca="false">'Daily KPI Entry'!AC23</f>
        <v>0</v>
      </c>
      <c r="AD22" s="49" t="n">
        <f aca="false">'Daily KPI Entry'!AD23</f>
        <v>0</v>
      </c>
      <c r="AE22" s="49" t="n">
        <f aca="false">'Daily KPI Entry'!AE23</f>
        <v>0</v>
      </c>
      <c r="AF22" s="47" t="str">
        <f aca="false">IF(O22="","",SUM(X22:AE22))</f>
        <v/>
      </c>
      <c r="AG22" s="49" t="str">
        <f aca="false">IF(O22="","",IFERROR(AF22/O22*1000,0))</f>
        <v/>
      </c>
      <c r="AH22" s="49" t="n">
        <f aca="false">'Daily KPI Entry'!AH23</f>
        <v>0</v>
      </c>
      <c r="AI22" s="49" t="n">
        <f aca="false">'Daily KPI Entry'!AI23</f>
        <v>0</v>
      </c>
      <c r="AJ22" s="49" t="n">
        <f aca="false">'Daily KPI Entry'!AJ23</f>
        <v>0</v>
      </c>
      <c r="AK22" s="47" t="n">
        <f aca="false">'Daily KPI Entry'!AK23</f>
        <v>0</v>
      </c>
      <c r="AL22" s="47" t="n">
        <f aca="false">'Daily KPI Entry'!AL23</f>
        <v>0</v>
      </c>
      <c r="AM22" s="47" t="n">
        <f aca="false">'Daily KPI Entry'!AM23</f>
        <v>0</v>
      </c>
      <c r="AN22" s="49" t="str">
        <f aca="false">IF(P22="","",MIN(120,P22))</f>
        <v/>
      </c>
      <c r="AO22" s="49" t="str">
        <f aca="false">IF(U22="","",MIN(120,U22))</f>
        <v/>
      </c>
      <c r="AP22" s="49" t="n">
        <f aca="false">IF(R22="","",MIN(120,IFERROR(S22/R22*100,0)))</f>
        <v>0</v>
      </c>
      <c r="AQ22" s="49" t="str">
        <f aca="false">IF(W22="","",MIN(120,IF(W22=0,120,100*(INDEX('Standards &amp; Scoring'!$E$5:$E$13,MATCH("Quality / Rejection",'Standards &amp; Scoring'!$A$5:$A$13,0))/W22))))</f>
        <v/>
      </c>
      <c r="AR22" s="49" t="str">
        <f aca="false">IF(AG22="","",MIN(120,IF(AG22=0,120,100*(INDEX('Standards &amp; Scoring'!$E$5:$E$13,MATCH("Fault Control",'Standards &amp; Scoring'!$A$5:$A$13,0))/AG22))))</f>
        <v/>
      </c>
      <c r="AS22" s="49" t="str">
        <f aca="false">IF(O22="","",MIN(120,IF(SUMIFS('Fault &amp; Downtime Entry'!$L$6:$L$1005,'Fault &amp; Downtime Entry'!$E$6:$E$1005,G22,'Fault &amp; Downtime Entry'!$B$6:$B$1005,B22)=0,120,100*(INDEX('Standards &amp; Scoring'!$E$5:$E$13,MATCH("Downtime Control",'Standards &amp; Scoring'!$A$5:$A$13,0))/IFERROR(SUMIFS('Fault &amp; Downtime Entry'!$L$6:$L$1005,'Fault &amp; Downtime Entry'!$E$6:$E$1005,G22,'Fault &amp; Downtime Entry'!$B$6:$B$1005,B22)/O22*1000,999999)))))</f>
        <v/>
      </c>
      <c r="AT22" s="49" t="n">
        <f aca="false">IF(COUNTA(AH22,AJ22)=0,"",MIN(120,IF(AND(AH22&lt;&gt;"",AJ22&lt;&gt;""),AVERAGE(AH22,AJ22),IF(AH22&lt;&gt;"",AH22,AJ22))))</f>
        <v>0</v>
      </c>
      <c r="AU22" s="49" t="str">
        <f aca="false">IF(AI22="","",MIN(120,AI22))</f>
        <v/>
      </c>
      <c r="AV22" s="49" t="str">
        <f aca="false">IF(AJ22="","",MIN(120,AJ22))</f>
        <v/>
      </c>
      <c r="AW22" s="50" t="str">
        <f aca="false">IF(COUNT(AN22:AV22)&lt;9,"",(AN22*'Standards &amp; Scoring'!$D$5+AO22*'Standards &amp; Scoring'!$D$6+AP22*'Standards &amp; Scoring'!$D$7+AQ22*'Standards &amp; Scoring'!$D$8+AR22*'Standards &amp; Scoring'!$D$9+AS22*'Standards &amp; Scoring'!$D$10+AT22*'Standards &amp; Scoring'!$D$11+AU22*'Standards &amp; Scoring'!$D$12+AV22*'Standards &amp; Scoring'!$D$13)/10000)</f>
        <v/>
      </c>
      <c r="AX22" s="47" t="str">
        <f aca="false">IF(AW22="","",IF(AW22&gt;=1.05,"A+",IF(AW22&gt;=1,"A",IF(AW22&gt;=0.95,"B+",IF(AW22&gt;=0.9,"B","C")))))</f>
        <v/>
      </c>
      <c r="AY22" s="47" t="str">
        <f aca="false">IF(AX22="","",IF(AX22="A+",1800,IF(AX22="A",1600,IF(AX22="B+",1400,IF(AX22="B",1200,0)))))</f>
        <v/>
      </c>
      <c r="AZ22" s="49" t="str">
        <f aca="false">IF(OR(L22="",M22="",S22="",M22=0),"",IFERROR(L22*60*S22/(M22*36),0))</f>
        <v/>
      </c>
    </row>
    <row r="23" customFormat="false" ht="15" hidden="false" customHeight="true" outlineLevel="0" collapsed="false">
      <c r="A23" s="47" t="n">
        <f aca="false">'Daily KPI Entry'!A24</f>
        <v>19</v>
      </c>
      <c r="B23" s="48" t="n">
        <f aca="false">'Daily KPI Entry'!B24</f>
        <v>46288</v>
      </c>
      <c r="C23" s="47" t="n">
        <f aca="false">'Daily KPI Entry'!C24</f>
        <v>0</v>
      </c>
      <c r="D23" s="47" t="n">
        <f aca="false">'Daily KPI Entry'!D24</f>
        <v>0</v>
      </c>
      <c r="E23" s="47" t="n">
        <f aca="false">'Daily KPI Entry'!E24</f>
        <v>0</v>
      </c>
      <c r="F23" s="47" t="n">
        <f aca="false">'Daily KPI Entry'!F24</f>
        <v>0</v>
      </c>
      <c r="G23" s="47" t="str">
        <f aca="false">'Daily KPI Entry'!G24</f>
        <v>STL007504</v>
      </c>
      <c r="H23" s="47" t="str">
        <f aca="false">'Daily KPI Entry'!H24</f>
        <v>MD. AZIM </v>
      </c>
      <c r="I23" s="47" t="n">
        <f aca="false">'Daily KPI Entry'!I24</f>
        <v>0</v>
      </c>
      <c r="J23" s="47" t="n">
        <f aca="false">'Daily KPI Entry'!J24</f>
        <v>10</v>
      </c>
      <c r="K23" s="47" t="str">
        <f aca="false">'Daily KPI Entry'!K24</f>
        <v>C3,C4,C5,C6,C7,D3,D4,D5,D6,D7</v>
      </c>
      <c r="L23" s="47" t="n">
        <f aca="false">'Daily KPI Entry'!L24</f>
        <v>552.5</v>
      </c>
      <c r="M23" s="47" t="n">
        <f aca="false">'Daily KPI Entry'!M24</f>
        <v>43.4</v>
      </c>
      <c r="N23" s="49" t="n">
        <f aca="false">'Daily KPI Entry'!N24</f>
        <v>1800</v>
      </c>
      <c r="O23" s="49" t="n">
        <f aca="false">'Daily KPI Entry'!O24</f>
        <v>0</v>
      </c>
      <c r="P23" s="49" t="str">
        <f aca="false">IF(OR(N23="",O23=""),"",IFERROR(O23/N23*100,0))</f>
        <v/>
      </c>
      <c r="Q23" s="47" t="n">
        <f aca="false">'Daily KPI Entry'!Q24</f>
        <v>8</v>
      </c>
      <c r="R23" s="47" t="n">
        <f aca="false">IF(J23="","",Q23*J23)</f>
        <v>80</v>
      </c>
      <c r="S23" s="49" t="n">
        <f aca="false">'Daily KPI Entry'!S24</f>
        <v>0</v>
      </c>
      <c r="T23" s="49" t="str">
        <f aca="false">IF(OR(R23="",S23=""),"",IFERROR(S23/R23*100,0))</f>
        <v/>
      </c>
      <c r="U23" s="49" t="str">
        <f aca="false">IF(OR(O23="",L23="",M23="",S23="",M23=0),"",IFERROR(O23/(L23*60*S23/(M23*36))*100,0))</f>
        <v/>
      </c>
      <c r="V23" s="49" t="n">
        <f aca="false">'Daily KPI Entry'!V24</f>
        <v>0</v>
      </c>
      <c r="W23" s="49" t="str">
        <f aca="false">IF(O23="","",IFERROR(V23/O23*100,0))</f>
        <v/>
      </c>
      <c r="X23" s="49" t="n">
        <f aca="false">'Daily KPI Entry'!X24</f>
        <v>0</v>
      </c>
      <c r="Y23" s="49" t="n">
        <f aca="false">'Daily KPI Entry'!Y24</f>
        <v>0</v>
      </c>
      <c r="Z23" s="49" t="n">
        <f aca="false">'Daily KPI Entry'!Z24</f>
        <v>0</v>
      </c>
      <c r="AA23" s="49" t="n">
        <f aca="false">'Daily KPI Entry'!AA24</f>
        <v>0</v>
      </c>
      <c r="AB23" s="49" t="n">
        <f aca="false">'Daily KPI Entry'!AB24</f>
        <v>0</v>
      </c>
      <c r="AC23" s="49" t="n">
        <f aca="false">'Daily KPI Entry'!AC24</f>
        <v>0</v>
      </c>
      <c r="AD23" s="49" t="n">
        <f aca="false">'Daily KPI Entry'!AD24</f>
        <v>0</v>
      </c>
      <c r="AE23" s="49" t="n">
        <f aca="false">'Daily KPI Entry'!AE24</f>
        <v>0</v>
      </c>
      <c r="AF23" s="47" t="str">
        <f aca="false">IF(O23="","",SUM(X23:AE23))</f>
        <v/>
      </c>
      <c r="AG23" s="49" t="str">
        <f aca="false">IF(O23="","",IFERROR(AF23/O23*1000,0))</f>
        <v/>
      </c>
      <c r="AH23" s="49" t="n">
        <f aca="false">'Daily KPI Entry'!AH24</f>
        <v>0</v>
      </c>
      <c r="AI23" s="49" t="n">
        <f aca="false">'Daily KPI Entry'!AI24</f>
        <v>0</v>
      </c>
      <c r="AJ23" s="49" t="n">
        <f aca="false">'Daily KPI Entry'!AJ24</f>
        <v>0</v>
      </c>
      <c r="AK23" s="47" t="n">
        <f aca="false">'Daily KPI Entry'!AK24</f>
        <v>0</v>
      </c>
      <c r="AL23" s="47" t="n">
        <f aca="false">'Daily KPI Entry'!AL24</f>
        <v>0</v>
      </c>
      <c r="AM23" s="47" t="n">
        <f aca="false">'Daily KPI Entry'!AM24</f>
        <v>0</v>
      </c>
      <c r="AN23" s="49" t="str">
        <f aca="false">IF(P23="","",MIN(120,P23))</f>
        <v/>
      </c>
      <c r="AO23" s="49" t="str">
        <f aca="false">IF(U23="","",MIN(120,U23))</f>
        <v/>
      </c>
      <c r="AP23" s="49" t="n">
        <f aca="false">IF(R23="","",MIN(120,IFERROR(S23/R23*100,0)))</f>
        <v>0</v>
      </c>
      <c r="AQ23" s="49" t="str">
        <f aca="false">IF(W23="","",MIN(120,IF(W23=0,120,100*(INDEX('Standards &amp; Scoring'!$E$5:$E$13,MATCH("Quality / Rejection",'Standards &amp; Scoring'!$A$5:$A$13,0))/W23))))</f>
        <v/>
      </c>
      <c r="AR23" s="49" t="str">
        <f aca="false">IF(AG23="","",MIN(120,IF(AG23=0,120,100*(INDEX('Standards &amp; Scoring'!$E$5:$E$13,MATCH("Fault Control",'Standards &amp; Scoring'!$A$5:$A$13,0))/AG23))))</f>
        <v/>
      </c>
      <c r="AS23" s="49" t="str">
        <f aca="false">IF(O23="","",MIN(120,IF(SUMIFS('Fault &amp; Downtime Entry'!$L$6:$L$1005,'Fault &amp; Downtime Entry'!$E$6:$E$1005,G23,'Fault &amp; Downtime Entry'!$B$6:$B$1005,B23)=0,120,100*(INDEX('Standards &amp; Scoring'!$E$5:$E$13,MATCH("Downtime Control",'Standards &amp; Scoring'!$A$5:$A$13,0))/IFERROR(SUMIFS('Fault &amp; Downtime Entry'!$L$6:$L$1005,'Fault &amp; Downtime Entry'!$E$6:$E$1005,G23,'Fault &amp; Downtime Entry'!$B$6:$B$1005,B23)/O23*1000,999999)))))</f>
        <v/>
      </c>
      <c r="AT23" s="49" t="n">
        <f aca="false">IF(COUNTA(AH23,AJ23)=0,"",MIN(120,IF(AND(AH23&lt;&gt;"",AJ23&lt;&gt;""),AVERAGE(AH23,AJ23),IF(AH23&lt;&gt;"",AH23,AJ23))))</f>
        <v>0</v>
      </c>
      <c r="AU23" s="49" t="str">
        <f aca="false">IF(AI23="","",MIN(120,AI23))</f>
        <v/>
      </c>
      <c r="AV23" s="49" t="str">
        <f aca="false">IF(AJ23="","",MIN(120,AJ23))</f>
        <v/>
      </c>
      <c r="AW23" s="50" t="str">
        <f aca="false">IF(COUNT(AN23:AV23)&lt;9,"",(AN23*'Standards &amp; Scoring'!$D$5+AO23*'Standards &amp; Scoring'!$D$6+AP23*'Standards &amp; Scoring'!$D$7+AQ23*'Standards &amp; Scoring'!$D$8+AR23*'Standards &amp; Scoring'!$D$9+AS23*'Standards &amp; Scoring'!$D$10+AT23*'Standards &amp; Scoring'!$D$11+AU23*'Standards &amp; Scoring'!$D$12+AV23*'Standards &amp; Scoring'!$D$13)/10000)</f>
        <v/>
      </c>
      <c r="AX23" s="47" t="str">
        <f aca="false">IF(AW23="","",IF(AW23&gt;=1.05,"A+",IF(AW23&gt;=1,"A",IF(AW23&gt;=0.95,"B+",IF(AW23&gt;=0.9,"B","C")))))</f>
        <v/>
      </c>
      <c r="AY23" s="47" t="str">
        <f aca="false">IF(AX23="","",IF(AX23="A+",1800,IF(AX23="A",1600,IF(AX23="B+",1400,IF(AX23="B",1200,0)))))</f>
        <v/>
      </c>
      <c r="AZ23" s="49" t="str">
        <f aca="false">IF(OR(L23="",M23="",S23="",M23=0),"",IFERROR(L23*60*S23/(M23*36),0))</f>
        <v/>
      </c>
    </row>
    <row r="24" customFormat="false" ht="15" hidden="false" customHeight="true" outlineLevel="0" collapsed="false">
      <c r="A24" s="47" t="n">
        <f aca="false">'Daily KPI Entry'!A25</f>
        <v>20</v>
      </c>
      <c r="B24" s="48" t="n">
        <f aca="false">'Daily KPI Entry'!B25</f>
        <v>46288</v>
      </c>
      <c r="C24" s="47" t="n">
        <f aca="false">'Daily KPI Entry'!C25</f>
        <v>0</v>
      </c>
      <c r="D24" s="47" t="n">
        <f aca="false">'Daily KPI Entry'!D25</f>
        <v>0</v>
      </c>
      <c r="E24" s="47" t="n">
        <f aca="false">'Daily KPI Entry'!E25</f>
        <v>0</v>
      </c>
      <c r="F24" s="47" t="n">
        <f aca="false">'Daily KPI Entry'!F25</f>
        <v>0</v>
      </c>
      <c r="G24" s="47" t="str">
        <f aca="false">'Daily KPI Entry'!G25</f>
        <v>STL005458</v>
      </c>
      <c r="H24" s="47" t="str">
        <f aca="false">'Daily KPI Entry'!H25</f>
        <v>MD. MOTALEB HOSEN</v>
      </c>
      <c r="I24" s="47" t="n">
        <f aca="false">'Daily KPI Entry'!I25</f>
        <v>0</v>
      </c>
      <c r="J24" s="47" t="n">
        <f aca="false">'Daily KPI Entry'!J25</f>
        <v>10</v>
      </c>
      <c r="K24" s="47" t="str">
        <f aca="false">'Daily KPI Entry'!K25</f>
        <v>G1,G2,G3,G4,G5,H1,H2,H3,H4,H5</v>
      </c>
      <c r="L24" s="47" t="n">
        <f aca="false">'Daily KPI Entry'!L25</f>
        <v>527.5</v>
      </c>
      <c r="M24" s="47" t="n">
        <f aca="false">'Daily KPI Entry'!M25</f>
        <v>44.8</v>
      </c>
      <c r="N24" s="49" t="n">
        <f aca="false">'Daily KPI Entry'!N25</f>
        <v>1600</v>
      </c>
      <c r="O24" s="49" t="n">
        <f aca="false">'Daily KPI Entry'!O25</f>
        <v>0</v>
      </c>
      <c r="P24" s="49" t="str">
        <f aca="false">IF(OR(N24="",O24=""),"",IFERROR(O24/N24*100,0))</f>
        <v/>
      </c>
      <c r="Q24" s="47" t="n">
        <f aca="false">'Daily KPI Entry'!Q25</f>
        <v>8</v>
      </c>
      <c r="R24" s="47" t="n">
        <f aca="false">IF(J24="","",Q24*J24)</f>
        <v>80</v>
      </c>
      <c r="S24" s="49" t="n">
        <f aca="false">'Daily KPI Entry'!S25</f>
        <v>0</v>
      </c>
      <c r="T24" s="49" t="str">
        <f aca="false">IF(OR(R24="",S24=""),"",IFERROR(S24/R24*100,0))</f>
        <v/>
      </c>
      <c r="U24" s="49" t="str">
        <f aca="false">IF(OR(O24="",L24="",M24="",S24="",M24=0),"",IFERROR(O24/(L24*60*S24/(M24*36))*100,0))</f>
        <v/>
      </c>
      <c r="V24" s="49" t="n">
        <f aca="false">'Daily KPI Entry'!V25</f>
        <v>0</v>
      </c>
      <c r="W24" s="49" t="str">
        <f aca="false">IF(O24="","",IFERROR(V24/O24*100,0))</f>
        <v/>
      </c>
      <c r="X24" s="49" t="n">
        <f aca="false">'Daily KPI Entry'!X25</f>
        <v>0</v>
      </c>
      <c r="Y24" s="49" t="n">
        <f aca="false">'Daily KPI Entry'!Y25</f>
        <v>0</v>
      </c>
      <c r="Z24" s="49" t="n">
        <f aca="false">'Daily KPI Entry'!Z25</f>
        <v>0</v>
      </c>
      <c r="AA24" s="49" t="n">
        <f aca="false">'Daily KPI Entry'!AA25</f>
        <v>0</v>
      </c>
      <c r="AB24" s="49" t="n">
        <f aca="false">'Daily KPI Entry'!AB25</f>
        <v>0</v>
      </c>
      <c r="AC24" s="49" t="n">
        <f aca="false">'Daily KPI Entry'!AC25</f>
        <v>0</v>
      </c>
      <c r="AD24" s="49" t="n">
        <f aca="false">'Daily KPI Entry'!AD25</f>
        <v>0</v>
      </c>
      <c r="AE24" s="49" t="n">
        <f aca="false">'Daily KPI Entry'!AE25</f>
        <v>0</v>
      </c>
      <c r="AF24" s="47" t="str">
        <f aca="false">IF(O24="","",SUM(X24:AE24))</f>
        <v/>
      </c>
      <c r="AG24" s="49" t="str">
        <f aca="false">IF(O24="","",IFERROR(AF24/O24*1000,0))</f>
        <v/>
      </c>
      <c r="AH24" s="49" t="n">
        <f aca="false">'Daily KPI Entry'!AH25</f>
        <v>0</v>
      </c>
      <c r="AI24" s="49" t="n">
        <f aca="false">'Daily KPI Entry'!AI25</f>
        <v>0</v>
      </c>
      <c r="AJ24" s="49" t="n">
        <f aca="false">'Daily KPI Entry'!AJ25</f>
        <v>0</v>
      </c>
      <c r="AK24" s="47" t="n">
        <f aca="false">'Daily KPI Entry'!AK25</f>
        <v>0</v>
      </c>
      <c r="AL24" s="47" t="n">
        <f aca="false">'Daily KPI Entry'!AL25</f>
        <v>0</v>
      </c>
      <c r="AM24" s="47" t="n">
        <f aca="false">'Daily KPI Entry'!AM25</f>
        <v>0</v>
      </c>
      <c r="AN24" s="49" t="str">
        <f aca="false">IF(P24="","",MIN(120,P24))</f>
        <v/>
      </c>
      <c r="AO24" s="49" t="str">
        <f aca="false">IF(U24="","",MIN(120,U24))</f>
        <v/>
      </c>
      <c r="AP24" s="49" t="n">
        <f aca="false">IF(R24="","",MIN(120,IFERROR(S24/R24*100,0)))</f>
        <v>0</v>
      </c>
      <c r="AQ24" s="49" t="str">
        <f aca="false">IF(W24="","",MIN(120,IF(W24=0,120,100*(INDEX('Standards &amp; Scoring'!$E$5:$E$13,MATCH("Quality / Rejection",'Standards &amp; Scoring'!$A$5:$A$13,0))/W24))))</f>
        <v/>
      </c>
      <c r="AR24" s="49" t="str">
        <f aca="false">IF(AG24="","",MIN(120,IF(AG24=0,120,100*(INDEX('Standards &amp; Scoring'!$E$5:$E$13,MATCH("Fault Control",'Standards &amp; Scoring'!$A$5:$A$13,0))/AG24))))</f>
        <v/>
      </c>
      <c r="AS24" s="49" t="str">
        <f aca="false">IF(O24="","",MIN(120,IF(SUMIFS('Fault &amp; Downtime Entry'!$L$6:$L$1005,'Fault &amp; Downtime Entry'!$E$6:$E$1005,G24,'Fault &amp; Downtime Entry'!$B$6:$B$1005,B24)=0,120,100*(INDEX('Standards &amp; Scoring'!$E$5:$E$13,MATCH("Downtime Control",'Standards &amp; Scoring'!$A$5:$A$13,0))/IFERROR(SUMIFS('Fault &amp; Downtime Entry'!$L$6:$L$1005,'Fault &amp; Downtime Entry'!$E$6:$E$1005,G24,'Fault &amp; Downtime Entry'!$B$6:$B$1005,B24)/O24*1000,999999)))))</f>
        <v/>
      </c>
      <c r="AT24" s="49" t="n">
        <f aca="false">IF(COUNTA(AH24,AJ24)=0,"",MIN(120,IF(AND(AH24&lt;&gt;"",AJ24&lt;&gt;""),AVERAGE(AH24,AJ24),IF(AH24&lt;&gt;"",AH24,AJ24))))</f>
        <v>0</v>
      </c>
      <c r="AU24" s="49" t="str">
        <f aca="false">IF(AI24="","",MIN(120,AI24))</f>
        <v/>
      </c>
      <c r="AV24" s="49" t="str">
        <f aca="false">IF(AJ24="","",MIN(120,AJ24))</f>
        <v/>
      </c>
      <c r="AW24" s="50" t="str">
        <f aca="false">IF(COUNT(AN24:AV24)&lt;9,"",(AN24*'Standards &amp; Scoring'!$D$5+AO24*'Standards &amp; Scoring'!$D$6+AP24*'Standards &amp; Scoring'!$D$7+AQ24*'Standards &amp; Scoring'!$D$8+AR24*'Standards &amp; Scoring'!$D$9+AS24*'Standards &amp; Scoring'!$D$10+AT24*'Standards &amp; Scoring'!$D$11+AU24*'Standards &amp; Scoring'!$D$12+AV24*'Standards &amp; Scoring'!$D$13)/10000)</f>
        <v/>
      </c>
      <c r="AX24" s="47" t="str">
        <f aca="false">IF(AW24="","",IF(AW24&gt;=1.05,"A+",IF(AW24&gt;=1,"A",IF(AW24&gt;=0.95,"B+",IF(AW24&gt;=0.9,"B","C")))))</f>
        <v/>
      </c>
      <c r="AY24" s="47" t="str">
        <f aca="false">IF(AX24="","",IF(AX24="A+",1800,IF(AX24="A",1600,IF(AX24="B+",1400,IF(AX24="B",1200,0)))))</f>
        <v/>
      </c>
      <c r="AZ24" s="49" t="str">
        <f aca="false">IF(OR(L24="",M24="",S24="",M24=0),"",IFERROR(L24*60*S24/(M24*36),0))</f>
        <v/>
      </c>
    </row>
    <row r="25" customFormat="false" ht="15" hidden="false" customHeight="true" outlineLevel="0" collapsed="false">
      <c r="A25" s="47" t="n">
        <f aca="false">'Daily KPI Entry'!A26</f>
        <v>21</v>
      </c>
      <c r="B25" s="48" t="n">
        <f aca="false">'Daily KPI Entry'!B26</f>
        <v>46288</v>
      </c>
      <c r="C25" s="47" t="n">
        <f aca="false">'Daily KPI Entry'!C26</f>
        <v>0</v>
      </c>
      <c r="D25" s="47" t="n">
        <f aca="false">'Daily KPI Entry'!D26</f>
        <v>0</v>
      </c>
      <c r="E25" s="47" t="n">
        <f aca="false">'Daily KPI Entry'!E26</f>
        <v>0</v>
      </c>
      <c r="F25" s="47" t="n">
        <f aca="false">'Daily KPI Entry'!F26</f>
        <v>0</v>
      </c>
      <c r="G25" s="47" t="str">
        <f aca="false">'Daily KPI Entry'!G26</f>
        <v>STL005473</v>
      </c>
      <c r="H25" s="47" t="str">
        <f aca="false">'Daily KPI Entry'!H26</f>
        <v>MD. KAWSAR ALI</v>
      </c>
      <c r="I25" s="47" t="n">
        <f aca="false">'Daily KPI Entry'!I26</f>
        <v>0</v>
      </c>
      <c r="J25" s="47" t="n">
        <f aca="false">'Daily KPI Entry'!J26</f>
        <v>10</v>
      </c>
      <c r="K25" s="47" t="str">
        <f aca="false">'Daily KPI Entry'!K26</f>
        <v>E3,E4,E5,E6,E7,F3,F4,F5,F6,F7</v>
      </c>
      <c r="L25" s="47" t="n">
        <f aca="false">'Daily KPI Entry'!L26</f>
        <v>555</v>
      </c>
      <c r="M25" s="47" t="n">
        <f aca="false">'Daily KPI Entry'!M26</f>
        <v>41.8</v>
      </c>
      <c r="N25" s="49" t="n">
        <f aca="false">'Daily KPI Entry'!N26</f>
        <v>1900</v>
      </c>
      <c r="O25" s="49" t="n">
        <f aca="false">'Daily KPI Entry'!O26</f>
        <v>0</v>
      </c>
      <c r="P25" s="49" t="str">
        <f aca="false">IF(OR(N25="",O25=""),"",IFERROR(O25/N25*100,0))</f>
        <v/>
      </c>
      <c r="Q25" s="47" t="n">
        <f aca="false">'Daily KPI Entry'!Q26</f>
        <v>8</v>
      </c>
      <c r="R25" s="47" t="n">
        <f aca="false">IF(J25="","",Q25*J25)</f>
        <v>80</v>
      </c>
      <c r="S25" s="49" t="n">
        <f aca="false">'Daily KPI Entry'!S26</f>
        <v>0</v>
      </c>
      <c r="T25" s="49" t="str">
        <f aca="false">IF(OR(R25="",S25=""),"",IFERROR(S25/R25*100,0))</f>
        <v/>
      </c>
      <c r="U25" s="49" t="str">
        <f aca="false">IF(OR(O25="",L25="",M25="",S25="",M25=0),"",IFERROR(O25/(L25*60*S25/(M25*36))*100,0))</f>
        <v/>
      </c>
      <c r="V25" s="49" t="n">
        <f aca="false">'Daily KPI Entry'!V26</f>
        <v>0</v>
      </c>
      <c r="W25" s="49" t="str">
        <f aca="false">IF(O25="","",IFERROR(V25/O25*100,0))</f>
        <v/>
      </c>
      <c r="X25" s="49" t="n">
        <f aca="false">'Daily KPI Entry'!X26</f>
        <v>0</v>
      </c>
      <c r="Y25" s="49" t="n">
        <f aca="false">'Daily KPI Entry'!Y26</f>
        <v>0</v>
      </c>
      <c r="Z25" s="49" t="n">
        <f aca="false">'Daily KPI Entry'!Z26</f>
        <v>0</v>
      </c>
      <c r="AA25" s="49" t="n">
        <f aca="false">'Daily KPI Entry'!AA26</f>
        <v>0</v>
      </c>
      <c r="AB25" s="49" t="n">
        <f aca="false">'Daily KPI Entry'!AB26</f>
        <v>0</v>
      </c>
      <c r="AC25" s="49" t="n">
        <f aca="false">'Daily KPI Entry'!AC26</f>
        <v>0</v>
      </c>
      <c r="AD25" s="49" t="n">
        <f aca="false">'Daily KPI Entry'!AD26</f>
        <v>0</v>
      </c>
      <c r="AE25" s="49" t="n">
        <f aca="false">'Daily KPI Entry'!AE26</f>
        <v>0</v>
      </c>
      <c r="AF25" s="47" t="str">
        <f aca="false">IF(O25="","",SUM(X25:AE25))</f>
        <v/>
      </c>
      <c r="AG25" s="49" t="str">
        <f aca="false">IF(O25="","",IFERROR(AF25/O25*1000,0))</f>
        <v/>
      </c>
      <c r="AH25" s="49" t="n">
        <f aca="false">'Daily KPI Entry'!AH26</f>
        <v>0</v>
      </c>
      <c r="AI25" s="49" t="n">
        <f aca="false">'Daily KPI Entry'!AI26</f>
        <v>0</v>
      </c>
      <c r="AJ25" s="49" t="n">
        <f aca="false">'Daily KPI Entry'!AJ26</f>
        <v>0</v>
      </c>
      <c r="AK25" s="47" t="n">
        <f aca="false">'Daily KPI Entry'!AK26</f>
        <v>0</v>
      </c>
      <c r="AL25" s="47" t="n">
        <f aca="false">'Daily KPI Entry'!AL26</f>
        <v>0</v>
      </c>
      <c r="AM25" s="47" t="n">
        <f aca="false">'Daily KPI Entry'!AM26</f>
        <v>0</v>
      </c>
      <c r="AN25" s="49" t="str">
        <f aca="false">IF(P25="","",MIN(120,P25))</f>
        <v/>
      </c>
      <c r="AO25" s="49" t="str">
        <f aca="false">IF(U25="","",MIN(120,U25))</f>
        <v/>
      </c>
      <c r="AP25" s="49" t="n">
        <f aca="false">IF(R25="","",MIN(120,IFERROR(S25/R25*100,0)))</f>
        <v>0</v>
      </c>
      <c r="AQ25" s="49" t="str">
        <f aca="false">IF(W25="","",MIN(120,IF(W25=0,120,100*(INDEX('Standards &amp; Scoring'!$E$5:$E$13,MATCH("Quality / Rejection",'Standards &amp; Scoring'!$A$5:$A$13,0))/W25))))</f>
        <v/>
      </c>
      <c r="AR25" s="49" t="str">
        <f aca="false">IF(AG25="","",MIN(120,IF(AG25=0,120,100*(INDEX('Standards &amp; Scoring'!$E$5:$E$13,MATCH("Fault Control",'Standards &amp; Scoring'!$A$5:$A$13,0))/AG25))))</f>
        <v/>
      </c>
      <c r="AS25" s="49" t="str">
        <f aca="false">IF(O25="","",MIN(120,IF(SUMIFS('Fault &amp; Downtime Entry'!$L$6:$L$1005,'Fault &amp; Downtime Entry'!$E$6:$E$1005,G25,'Fault &amp; Downtime Entry'!$B$6:$B$1005,B25)=0,120,100*(INDEX('Standards &amp; Scoring'!$E$5:$E$13,MATCH("Downtime Control",'Standards &amp; Scoring'!$A$5:$A$13,0))/IFERROR(SUMIFS('Fault &amp; Downtime Entry'!$L$6:$L$1005,'Fault &amp; Downtime Entry'!$E$6:$E$1005,G25,'Fault &amp; Downtime Entry'!$B$6:$B$1005,B25)/O25*1000,999999)))))</f>
        <v/>
      </c>
      <c r="AT25" s="49" t="n">
        <f aca="false">IF(COUNTA(AH25,AJ25)=0,"",MIN(120,IF(AND(AH25&lt;&gt;"",AJ25&lt;&gt;""),AVERAGE(AH25,AJ25),IF(AH25&lt;&gt;"",AH25,AJ25))))</f>
        <v>0</v>
      </c>
      <c r="AU25" s="49" t="str">
        <f aca="false">IF(AI25="","",MIN(120,AI25))</f>
        <v/>
      </c>
      <c r="AV25" s="49" t="str">
        <f aca="false">IF(AJ25="","",MIN(120,AJ25))</f>
        <v/>
      </c>
      <c r="AW25" s="50" t="str">
        <f aca="false">IF(COUNT(AN25:AV25)&lt;9,"",(AN25*'Standards &amp; Scoring'!$D$5+AO25*'Standards &amp; Scoring'!$D$6+AP25*'Standards &amp; Scoring'!$D$7+AQ25*'Standards &amp; Scoring'!$D$8+AR25*'Standards &amp; Scoring'!$D$9+AS25*'Standards &amp; Scoring'!$D$10+AT25*'Standards &amp; Scoring'!$D$11+AU25*'Standards &amp; Scoring'!$D$12+AV25*'Standards &amp; Scoring'!$D$13)/10000)</f>
        <v/>
      </c>
      <c r="AX25" s="47" t="str">
        <f aca="false">IF(AW25="","",IF(AW25&gt;=1.05,"A+",IF(AW25&gt;=1,"A",IF(AW25&gt;=0.95,"B+",IF(AW25&gt;=0.9,"B","C")))))</f>
        <v/>
      </c>
      <c r="AY25" s="47" t="str">
        <f aca="false">IF(AX25="","",IF(AX25="A+",1800,IF(AX25="A",1600,IF(AX25="B+",1400,IF(AX25="B",1200,0)))))</f>
        <v/>
      </c>
      <c r="AZ25" s="49" t="str">
        <f aca="false">IF(OR(L25="",M25="",S25="",M25=0),"",IFERROR(L25*60*S25/(M25*36),0))</f>
        <v/>
      </c>
    </row>
    <row r="26" customFormat="false" ht="15" hidden="false" customHeight="true" outlineLevel="0" collapsed="false">
      <c r="A26" s="47" t="n">
        <f aca="false">'Daily KPI Entry'!A27</f>
        <v>22</v>
      </c>
      <c r="B26" s="48" t="n">
        <f aca="false">'Daily KPI Entry'!B27</f>
        <v>46288</v>
      </c>
      <c r="C26" s="47" t="n">
        <f aca="false">'Daily KPI Entry'!C27</f>
        <v>0</v>
      </c>
      <c r="D26" s="47" t="n">
        <f aca="false">'Daily KPI Entry'!D27</f>
        <v>0</v>
      </c>
      <c r="E26" s="47" t="n">
        <f aca="false">'Daily KPI Entry'!E27</f>
        <v>0</v>
      </c>
      <c r="F26" s="47" t="n">
        <f aca="false">'Daily KPI Entry'!F27</f>
        <v>0</v>
      </c>
      <c r="G26" s="47" t="str">
        <f aca="false">'Daily KPI Entry'!G27</f>
        <v>STL005474</v>
      </c>
      <c r="H26" s="47" t="str">
        <f aca="false">'Daily KPI Entry'!H27</f>
        <v>MD. FARMAN ALI</v>
      </c>
      <c r="I26" s="47" t="n">
        <f aca="false">'Daily KPI Entry'!I27</f>
        <v>0</v>
      </c>
      <c r="J26" s="47" t="n">
        <f aca="false">'Daily KPI Entry'!J27</f>
        <v>9</v>
      </c>
      <c r="K26" s="47" t="str">
        <f aca="false">'Daily KPI Entry'!K27</f>
        <v>G6,G7,H6,H7,I5,I6,I7,J6,J7</v>
      </c>
      <c r="L26" s="47" t="n">
        <f aca="false">'Daily KPI Entry'!L27</f>
        <v>569.444444444445</v>
      </c>
      <c r="M26" s="47" t="n">
        <f aca="false">'Daily KPI Entry'!M27</f>
        <v>42.22</v>
      </c>
      <c r="N26" s="49" t="n">
        <f aca="false">'Daily KPI Entry'!N27</f>
        <v>1700</v>
      </c>
      <c r="O26" s="49" t="n">
        <f aca="false">'Daily KPI Entry'!O27</f>
        <v>0</v>
      </c>
      <c r="P26" s="49" t="str">
        <f aca="false">IF(OR(N26="",O26=""),"",IFERROR(O26/N26*100,0))</f>
        <v/>
      </c>
      <c r="Q26" s="47" t="n">
        <f aca="false">'Daily KPI Entry'!Q27</f>
        <v>8</v>
      </c>
      <c r="R26" s="47" t="n">
        <f aca="false">IF(J26="","",Q26*J26)</f>
        <v>72</v>
      </c>
      <c r="S26" s="49" t="n">
        <f aca="false">'Daily KPI Entry'!S27</f>
        <v>0</v>
      </c>
      <c r="T26" s="49" t="str">
        <f aca="false">IF(OR(R26="",S26=""),"",IFERROR(S26/R26*100,0))</f>
        <v/>
      </c>
      <c r="U26" s="49" t="str">
        <f aca="false">IF(OR(O26="",L26="",M26="",S26="",M26=0),"",IFERROR(O26/(L26*60*S26/(M26*36))*100,0))</f>
        <v/>
      </c>
      <c r="V26" s="49" t="n">
        <f aca="false">'Daily KPI Entry'!V27</f>
        <v>0</v>
      </c>
      <c r="W26" s="49" t="str">
        <f aca="false">IF(O26="","",IFERROR(V26/O26*100,0))</f>
        <v/>
      </c>
      <c r="X26" s="49" t="n">
        <f aca="false">'Daily KPI Entry'!X27</f>
        <v>0</v>
      </c>
      <c r="Y26" s="49" t="n">
        <f aca="false">'Daily KPI Entry'!Y27</f>
        <v>0</v>
      </c>
      <c r="Z26" s="49" t="n">
        <f aca="false">'Daily KPI Entry'!Z27</f>
        <v>0</v>
      </c>
      <c r="AA26" s="49" t="n">
        <f aca="false">'Daily KPI Entry'!AA27</f>
        <v>0</v>
      </c>
      <c r="AB26" s="49" t="n">
        <f aca="false">'Daily KPI Entry'!AB27</f>
        <v>0</v>
      </c>
      <c r="AC26" s="49" t="n">
        <f aca="false">'Daily KPI Entry'!AC27</f>
        <v>0</v>
      </c>
      <c r="AD26" s="49" t="n">
        <f aca="false">'Daily KPI Entry'!AD27</f>
        <v>0</v>
      </c>
      <c r="AE26" s="49" t="n">
        <f aca="false">'Daily KPI Entry'!AE27</f>
        <v>0</v>
      </c>
      <c r="AF26" s="47" t="str">
        <f aca="false">IF(O26="","",SUM(X26:AE26))</f>
        <v/>
      </c>
      <c r="AG26" s="49" t="str">
        <f aca="false">IF(O26="","",IFERROR(AF26/O26*1000,0))</f>
        <v/>
      </c>
      <c r="AH26" s="49" t="n">
        <f aca="false">'Daily KPI Entry'!AH27</f>
        <v>0</v>
      </c>
      <c r="AI26" s="49" t="n">
        <f aca="false">'Daily KPI Entry'!AI27</f>
        <v>0</v>
      </c>
      <c r="AJ26" s="49" t="n">
        <f aca="false">'Daily KPI Entry'!AJ27</f>
        <v>0</v>
      </c>
      <c r="AK26" s="47" t="n">
        <f aca="false">'Daily KPI Entry'!AK27</f>
        <v>0</v>
      </c>
      <c r="AL26" s="47" t="n">
        <f aca="false">'Daily KPI Entry'!AL27</f>
        <v>0</v>
      </c>
      <c r="AM26" s="47" t="n">
        <f aca="false">'Daily KPI Entry'!AM27</f>
        <v>0</v>
      </c>
      <c r="AN26" s="49" t="str">
        <f aca="false">IF(P26="","",MIN(120,P26))</f>
        <v/>
      </c>
      <c r="AO26" s="49" t="str">
        <f aca="false">IF(U26="","",MIN(120,U26))</f>
        <v/>
      </c>
      <c r="AP26" s="49" t="n">
        <f aca="false">IF(R26="","",MIN(120,IFERROR(S26/R26*100,0)))</f>
        <v>0</v>
      </c>
      <c r="AQ26" s="49" t="str">
        <f aca="false">IF(W26="","",MIN(120,IF(W26=0,120,100*(INDEX('Standards &amp; Scoring'!$E$5:$E$13,MATCH("Quality / Rejection",'Standards &amp; Scoring'!$A$5:$A$13,0))/W26))))</f>
        <v/>
      </c>
      <c r="AR26" s="49" t="str">
        <f aca="false">IF(AG26="","",MIN(120,IF(AG26=0,120,100*(INDEX('Standards &amp; Scoring'!$E$5:$E$13,MATCH("Fault Control",'Standards &amp; Scoring'!$A$5:$A$13,0))/AG26))))</f>
        <v/>
      </c>
      <c r="AS26" s="49" t="str">
        <f aca="false">IF(O26="","",MIN(120,IF(SUMIFS('Fault &amp; Downtime Entry'!$L$6:$L$1005,'Fault &amp; Downtime Entry'!$E$6:$E$1005,G26,'Fault &amp; Downtime Entry'!$B$6:$B$1005,B26)=0,120,100*(INDEX('Standards &amp; Scoring'!$E$5:$E$13,MATCH("Downtime Control",'Standards &amp; Scoring'!$A$5:$A$13,0))/IFERROR(SUMIFS('Fault &amp; Downtime Entry'!$L$6:$L$1005,'Fault &amp; Downtime Entry'!$E$6:$E$1005,G26,'Fault &amp; Downtime Entry'!$B$6:$B$1005,B26)/O26*1000,999999)))))</f>
        <v/>
      </c>
      <c r="AT26" s="49" t="n">
        <f aca="false">IF(COUNTA(AH26,AJ26)=0,"",MIN(120,IF(AND(AH26&lt;&gt;"",AJ26&lt;&gt;""),AVERAGE(AH26,AJ26),IF(AH26&lt;&gt;"",AH26,AJ26))))</f>
        <v>0</v>
      </c>
      <c r="AU26" s="49" t="str">
        <f aca="false">IF(AI26="","",MIN(120,AI26))</f>
        <v/>
      </c>
      <c r="AV26" s="49" t="str">
        <f aca="false">IF(AJ26="","",MIN(120,AJ26))</f>
        <v/>
      </c>
      <c r="AW26" s="50" t="str">
        <f aca="false">IF(COUNT(AN26:AV26)&lt;9,"",(AN26*'Standards &amp; Scoring'!$D$5+AO26*'Standards &amp; Scoring'!$D$6+AP26*'Standards &amp; Scoring'!$D$7+AQ26*'Standards &amp; Scoring'!$D$8+AR26*'Standards &amp; Scoring'!$D$9+AS26*'Standards &amp; Scoring'!$D$10+AT26*'Standards &amp; Scoring'!$D$11+AU26*'Standards &amp; Scoring'!$D$12+AV26*'Standards &amp; Scoring'!$D$13)/10000)</f>
        <v/>
      </c>
      <c r="AX26" s="47" t="str">
        <f aca="false">IF(AW26="","",IF(AW26&gt;=1.05,"A+",IF(AW26&gt;=1,"A",IF(AW26&gt;=0.95,"B+",IF(AW26&gt;=0.9,"B","C")))))</f>
        <v/>
      </c>
      <c r="AY26" s="47" t="str">
        <f aca="false">IF(AX26="","",IF(AX26="A+",1800,IF(AX26="A",1600,IF(AX26="B+",1400,IF(AX26="B",1200,0)))))</f>
        <v/>
      </c>
      <c r="AZ26" s="49" t="str">
        <f aca="false">IF(OR(L26="",M26="",S26="",M26=0),"",IFERROR(L26*60*S26/(M26*36),0))</f>
        <v/>
      </c>
    </row>
    <row r="27" customFormat="false" ht="15" hidden="false" customHeight="true" outlineLevel="0" collapsed="false">
      <c r="A27" s="47" t="n">
        <f aca="false">'Daily KPI Entry'!A28</f>
        <v>23</v>
      </c>
      <c r="B27" s="48" t="n">
        <f aca="false">'Daily KPI Entry'!B28</f>
        <v>46288</v>
      </c>
      <c r="C27" s="47" t="n">
        <f aca="false">'Daily KPI Entry'!C28</f>
        <v>0</v>
      </c>
      <c r="D27" s="47" t="n">
        <f aca="false">'Daily KPI Entry'!D28</f>
        <v>0</v>
      </c>
      <c r="E27" s="47" t="n">
        <f aca="false">'Daily KPI Entry'!E28</f>
        <v>0</v>
      </c>
      <c r="F27" s="47" t="n">
        <f aca="false">'Daily KPI Entry'!F28</f>
        <v>0</v>
      </c>
      <c r="G27" s="47" t="str">
        <f aca="false">'Daily KPI Entry'!G28</f>
        <v>STL005478</v>
      </c>
      <c r="H27" s="47" t="str">
        <f aca="false">'Daily KPI Entry'!H28</f>
        <v>MD. JULHAS UDDIN</v>
      </c>
      <c r="I27" s="47" t="n">
        <f aca="false">'Daily KPI Entry'!I28</f>
        <v>0</v>
      </c>
      <c r="J27" s="47" t="n">
        <f aca="false">'Daily KPI Entry'!J28</f>
        <v>9</v>
      </c>
      <c r="K27" s="47" t="str">
        <f aca="false">'Daily KPI Entry'!K28</f>
        <v>U2,U3,U5,U6,V2,V3,V4,V5,V6</v>
      </c>
      <c r="L27" s="47" t="n">
        <f aca="false">'Daily KPI Entry'!L28</f>
        <v>505.555555555556</v>
      </c>
      <c r="M27" s="47" t="n">
        <f aca="false">'Daily KPI Entry'!M28</f>
        <v>44.81</v>
      </c>
      <c r="N27" s="49" t="n">
        <f aca="false">'Daily KPI Entry'!N28</f>
        <v>1500</v>
      </c>
      <c r="O27" s="49" t="n">
        <f aca="false">'Daily KPI Entry'!O28</f>
        <v>0</v>
      </c>
      <c r="P27" s="49" t="str">
        <f aca="false">IF(OR(N27="",O27=""),"",IFERROR(O27/N27*100,0))</f>
        <v/>
      </c>
      <c r="Q27" s="47" t="n">
        <f aca="false">'Daily KPI Entry'!Q28</f>
        <v>8</v>
      </c>
      <c r="R27" s="47" t="n">
        <f aca="false">IF(J27="","",Q27*J27)</f>
        <v>72</v>
      </c>
      <c r="S27" s="49" t="n">
        <f aca="false">'Daily KPI Entry'!S28</f>
        <v>0</v>
      </c>
      <c r="T27" s="49" t="str">
        <f aca="false">IF(OR(R27="",S27=""),"",IFERROR(S27/R27*100,0))</f>
        <v/>
      </c>
      <c r="U27" s="49" t="str">
        <f aca="false">IF(OR(O27="",L27="",M27="",S27="",M27=0),"",IFERROR(O27/(L27*60*S27/(M27*36))*100,0))</f>
        <v/>
      </c>
      <c r="V27" s="49" t="n">
        <f aca="false">'Daily KPI Entry'!V28</f>
        <v>0</v>
      </c>
      <c r="W27" s="49" t="str">
        <f aca="false">IF(O27="","",IFERROR(V27/O27*100,0))</f>
        <v/>
      </c>
      <c r="X27" s="49" t="n">
        <f aca="false">'Daily KPI Entry'!X28</f>
        <v>0</v>
      </c>
      <c r="Y27" s="49" t="n">
        <f aca="false">'Daily KPI Entry'!Y28</f>
        <v>0</v>
      </c>
      <c r="Z27" s="49" t="n">
        <f aca="false">'Daily KPI Entry'!Z28</f>
        <v>0</v>
      </c>
      <c r="AA27" s="49" t="n">
        <f aca="false">'Daily KPI Entry'!AA28</f>
        <v>0</v>
      </c>
      <c r="AB27" s="49" t="n">
        <f aca="false">'Daily KPI Entry'!AB28</f>
        <v>0</v>
      </c>
      <c r="AC27" s="49" t="n">
        <f aca="false">'Daily KPI Entry'!AC28</f>
        <v>0</v>
      </c>
      <c r="AD27" s="49" t="n">
        <f aca="false">'Daily KPI Entry'!AD28</f>
        <v>0</v>
      </c>
      <c r="AE27" s="49" t="n">
        <f aca="false">'Daily KPI Entry'!AE28</f>
        <v>0</v>
      </c>
      <c r="AF27" s="47" t="str">
        <f aca="false">IF(O27="","",SUM(X27:AE27))</f>
        <v/>
      </c>
      <c r="AG27" s="49" t="str">
        <f aca="false">IF(O27="","",IFERROR(AF27/O27*1000,0))</f>
        <v/>
      </c>
      <c r="AH27" s="49" t="n">
        <f aca="false">'Daily KPI Entry'!AH28</f>
        <v>0</v>
      </c>
      <c r="AI27" s="49" t="n">
        <f aca="false">'Daily KPI Entry'!AI28</f>
        <v>0</v>
      </c>
      <c r="AJ27" s="49" t="n">
        <f aca="false">'Daily KPI Entry'!AJ28</f>
        <v>0</v>
      </c>
      <c r="AK27" s="47" t="n">
        <f aca="false">'Daily KPI Entry'!AK28</f>
        <v>0</v>
      </c>
      <c r="AL27" s="47" t="n">
        <f aca="false">'Daily KPI Entry'!AL28</f>
        <v>0</v>
      </c>
      <c r="AM27" s="47" t="n">
        <f aca="false">'Daily KPI Entry'!AM28</f>
        <v>0</v>
      </c>
      <c r="AN27" s="49" t="str">
        <f aca="false">IF(P27="","",MIN(120,P27))</f>
        <v/>
      </c>
      <c r="AO27" s="49" t="str">
        <f aca="false">IF(U27="","",MIN(120,U27))</f>
        <v/>
      </c>
      <c r="AP27" s="49" t="n">
        <f aca="false">IF(R27="","",MIN(120,IFERROR(S27/R27*100,0)))</f>
        <v>0</v>
      </c>
      <c r="AQ27" s="49" t="str">
        <f aca="false">IF(W27="","",MIN(120,IF(W27=0,120,100*(INDEX('Standards &amp; Scoring'!$E$5:$E$13,MATCH("Quality / Rejection",'Standards &amp; Scoring'!$A$5:$A$13,0))/W27))))</f>
        <v/>
      </c>
      <c r="AR27" s="49" t="str">
        <f aca="false">IF(AG27="","",MIN(120,IF(AG27=0,120,100*(INDEX('Standards &amp; Scoring'!$E$5:$E$13,MATCH("Fault Control",'Standards &amp; Scoring'!$A$5:$A$13,0))/AG27))))</f>
        <v/>
      </c>
      <c r="AS27" s="49" t="str">
        <f aca="false">IF(O27="","",MIN(120,IF(SUMIFS('Fault &amp; Downtime Entry'!$L$6:$L$1005,'Fault &amp; Downtime Entry'!$E$6:$E$1005,G27,'Fault &amp; Downtime Entry'!$B$6:$B$1005,B27)=0,120,100*(INDEX('Standards &amp; Scoring'!$E$5:$E$13,MATCH("Downtime Control",'Standards &amp; Scoring'!$A$5:$A$13,0))/IFERROR(SUMIFS('Fault &amp; Downtime Entry'!$L$6:$L$1005,'Fault &amp; Downtime Entry'!$E$6:$E$1005,G27,'Fault &amp; Downtime Entry'!$B$6:$B$1005,B27)/O27*1000,999999)))))</f>
        <v/>
      </c>
      <c r="AT27" s="49" t="n">
        <f aca="false">IF(COUNTA(AH27,AJ27)=0,"",MIN(120,IF(AND(AH27&lt;&gt;"",AJ27&lt;&gt;""),AVERAGE(AH27,AJ27),IF(AH27&lt;&gt;"",AH27,AJ27))))</f>
        <v>0</v>
      </c>
      <c r="AU27" s="49" t="str">
        <f aca="false">IF(AI27="","",MIN(120,AI27))</f>
        <v/>
      </c>
      <c r="AV27" s="49" t="str">
        <f aca="false">IF(AJ27="","",MIN(120,AJ27))</f>
        <v/>
      </c>
      <c r="AW27" s="50" t="str">
        <f aca="false">IF(COUNT(AN27:AV27)&lt;9,"",(AN27*'Standards &amp; Scoring'!$D$5+AO27*'Standards &amp; Scoring'!$D$6+AP27*'Standards &amp; Scoring'!$D$7+AQ27*'Standards &amp; Scoring'!$D$8+AR27*'Standards &amp; Scoring'!$D$9+AS27*'Standards &amp; Scoring'!$D$10+AT27*'Standards &amp; Scoring'!$D$11+AU27*'Standards &amp; Scoring'!$D$12+AV27*'Standards &amp; Scoring'!$D$13)/10000)</f>
        <v/>
      </c>
      <c r="AX27" s="47" t="str">
        <f aca="false">IF(AW27="","",IF(AW27&gt;=1.05,"A+",IF(AW27&gt;=1,"A",IF(AW27&gt;=0.95,"B+",IF(AW27&gt;=0.9,"B","C")))))</f>
        <v/>
      </c>
      <c r="AY27" s="47" t="str">
        <f aca="false">IF(AX27="","",IF(AX27="A+",1800,IF(AX27="A",1600,IF(AX27="B+",1400,IF(AX27="B",1200,0)))))</f>
        <v/>
      </c>
      <c r="AZ27" s="49" t="str">
        <f aca="false">IF(OR(L27="",M27="",S27="",M27=0),"",IFERROR(L27*60*S27/(M27*36),0))</f>
        <v/>
      </c>
    </row>
    <row r="28" customFormat="false" ht="15" hidden="false" customHeight="true" outlineLevel="0" collapsed="false">
      <c r="A28" s="47" t="n">
        <f aca="false">'Daily KPI Entry'!A29</f>
        <v>24</v>
      </c>
      <c r="B28" s="48" t="n">
        <f aca="false">'Daily KPI Entry'!B29</f>
        <v>46288</v>
      </c>
      <c r="C28" s="47" t="n">
        <f aca="false">'Daily KPI Entry'!C29</f>
        <v>0</v>
      </c>
      <c r="D28" s="47" t="n">
        <f aca="false">'Daily KPI Entry'!D29</f>
        <v>0</v>
      </c>
      <c r="E28" s="47" t="n">
        <f aca="false">'Daily KPI Entry'!E29</f>
        <v>0</v>
      </c>
      <c r="F28" s="47" t="n">
        <f aca="false">'Daily KPI Entry'!F29</f>
        <v>0</v>
      </c>
      <c r="G28" s="47" t="str">
        <f aca="false">'Daily KPI Entry'!G29</f>
        <v>STL005493</v>
      </c>
      <c r="H28" s="47" t="str">
        <f aca="false">'Daily KPI Entry'!H29</f>
        <v>MD. ABDUL AWAL</v>
      </c>
      <c r="I28" s="47" t="n">
        <f aca="false">'Daily KPI Entry'!I29</f>
        <v>0</v>
      </c>
      <c r="J28" s="47" t="n">
        <f aca="false">'Daily KPI Entry'!J29</f>
        <v>7</v>
      </c>
      <c r="K28" s="47" t="str">
        <f aca="false">'Daily KPI Entry'!K29</f>
        <v>Q1,Q2,Q4,R1,R3,R4,S1</v>
      </c>
      <c r="L28" s="47" t="n">
        <f aca="false">'Daily KPI Entry'!L29</f>
        <v>539.285714285714</v>
      </c>
      <c r="M28" s="47" t="n">
        <f aca="false">'Daily KPI Entry'!M29</f>
        <v>40.43</v>
      </c>
      <c r="N28" s="49" t="n">
        <f aca="false">'Daily KPI Entry'!N29</f>
        <v>1400</v>
      </c>
      <c r="O28" s="49" t="n">
        <f aca="false">'Daily KPI Entry'!O29</f>
        <v>0</v>
      </c>
      <c r="P28" s="49" t="str">
        <f aca="false">IF(OR(N28="",O28=""),"",IFERROR(O28/N28*100,0))</f>
        <v/>
      </c>
      <c r="Q28" s="47" t="n">
        <f aca="false">'Daily KPI Entry'!Q29</f>
        <v>8</v>
      </c>
      <c r="R28" s="47" t="n">
        <f aca="false">IF(J28="","",Q28*J28)</f>
        <v>56</v>
      </c>
      <c r="S28" s="49" t="n">
        <f aca="false">'Daily KPI Entry'!S29</f>
        <v>0</v>
      </c>
      <c r="T28" s="49" t="str">
        <f aca="false">IF(OR(R28="",S28=""),"",IFERROR(S28/R28*100,0))</f>
        <v/>
      </c>
      <c r="U28" s="49" t="str">
        <f aca="false">IF(OR(O28="",L28="",M28="",S28="",M28=0),"",IFERROR(O28/(L28*60*S28/(M28*36))*100,0))</f>
        <v/>
      </c>
      <c r="V28" s="49" t="n">
        <f aca="false">'Daily KPI Entry'!V29</f>
        <v>0</v>
      </c>
      <c r="W28" s="49" t="str">
        <f aca="false">IF(O28="","",IFERROR(V28/O28*100,0))</f>
        <v/>
      </c>
      <c r="X28" s="49" t="n">
        <f aca="false">'Daily KPI Entry'!X29</f>
        <v>0</v>
      </c>
      <c r="Y28" s="49" t="n">
        <f aca="false">'Daily KPI Entry'!Y29</f>
        <v>0</v>
      </c>
      <c r="Z28" s="49" t="n">
        <f aca="false">'Daily KPI Entry'!Z29</f>
        <v>0</v>
      </c>
      <c r="AA28" s="49" t="n">
        <f aca="false">'Daily KPI Entry'!AA29</f>
        <v>0</v>
      </c>
      <c r="AB28" s="49" t="n">
        <f aca="false">'Daily KPI Entry'!AB29</f>
        <v>0</v>
      </c>
      <c r="AC28" s="49" t="n">
        <f aca="false">'Daily KPI Entry'!AC29</f>
        <v>0</v>
      </c>
      <c r="AD28" s="49" t="n">
        <f aca="false">'Daily KPI Entry'!AD29</f>
        <v>0</v>
      </c>
      <c r="AE28" s="49" t="n">
        <f aca="false">'Daily KPI Entry'!AE29</f>
        <v>0</v>
      </c>
      <c r="AF28" s="47" t="str">
        <f aca="false">IF(O28="","",SUM(X28:AE28))</f>
        <v/>
      </c>
      <c r="AG28" s="49" t="str">
        <f aca="false">IF(O28="","",IFERROR(AF28/O28*1000,0))</f>
        <v/>
      </c>
      <c r="AH28" s="49" t="n">
        <f aca="false">'Daily KPI Entry'!AH29</f>
        <v>0</v>
      </c>
      <c r="AI28" s="49" t="n">
        <f aca="false">'Daily KPI Entry'!AI29</f>
        <v>0</v>
      </c>
      <c r="AJ28" s="49" t="n">
        <f aca="false">'Daily KPI Entry'!AJ29</f>
        <v>0</v>
      </c>
      <c r="AK28" s="47" t="n">
        <f aca="false">'Daily KPI Entry'!AK29</f>
        <v>0</v>
      </c>
      <c r="AL28" s="47" t="n">
        <f aca="false">'Daily KPI Entry'!AL29</f>
        <v>0</v>
      </c>
      <c r="AM28" s="47" t="n">
        <f aca="false">'Daily KPI Entry'!AM29</f>
        <v>0</v>
      </c>
      <c r="AN28" s="49" t="str">
        <f aca="false">IF(P28="","",MIN(120,P28))</f>
        <v/>
      </c>
      <c r="AO28" s="49" t="str">
        <f aca="false">IF(U28="","",MIN(120,U28))</f>
        <v/>
      </c>
      <c r="AP28" s="49" t="n">
        <f aca="false">IF(R28="","",MIN(120,IFERROR(S28/R28*100,0)))</f>
        <v>0</v>
      </c>
      <c r="AQ28" s="49" t="str">
        <f aca="false">IF(W28="","",MIN(120,IF(W28=0,120,100*(INDEX('Standards &amp; Scoring'!$E$5:$E$13,MATCH("Quality / Rejection",'Standards &amp; Scoring'!$A$5:$A$13,0))/W28))))</f>
        <v/>
      </c>
      <c r="AR28" s="49" t="str">
        <f aca="false">IF(AG28="","",MIN(120,IF(AG28=0,120,100*(INDEX('Standards &amp; Scoring'!$E$5:$E$13,MATCH("Fault Control",'Standards &amp; Scoring'!$A$5:$A$13,0))/AG28))))</f>
        <v/>
      </c>
      <c r="AS28" s="49" t="str">
        <f aca="false">IF(O28="","",MIN(120,IF(SUMIFS('Fault &amp; Downtime Entry'!$L$6:$L$1005,'Fault &amp; Downtime Entry'!$E$6:$E$1005,G28,'Fault &amp; Downtime Entry'!$B$6:$B$1005,B28)=0,120,100*(INDEX('Standards &amp; Scoring'!$E$5:$E$13,MATCH("Downtime Control",'Standards &amp; Scoring'!$A$5:$A$13,0))/IFERROR(SUMIFS('Fault &amp; Downtime Entry'!$L$6:$L$1005,'Fault &amp; Downtime Entry'!$E$6:$E$1005,G28,'Fault &amp; Downtime Entry'!$B$6:$B$1005,B28)/O28*1000,999999)))))</f>
        <v/>
      </c>
      <c r="AT28" s="49" t="n">
        <f aca="false">IF(COUNTA(AH28,AJ28)=0,"",MIN(120,IF(AND(AH28&lt;&gt;"",AJ28&lt;&gt;""),AVERAGE(AH28,AJ28),IF(AH28&lt;&gt;"",AH28,AJ28))))</f>
        <v>0</v>
      </c>
      <c r="AU28" s="49" t="str">
        <f aca="false">IF(AI28="","",MIN(120,AI28))</f>
        <v/>
      </c>
      <c r="AV28" s="49" t="str">
        <f aca="false">IF(AJ28="","",MIN(120,AJ28))</f>
        <v/>
      </c>
      <c r="AW28" s="50" t="str">
        <f aca="false">IF(COUNT(AN28:AV28)&lt;9,"",(AN28*'Standards &amp; Scoring'!$D$5+AO28*'Standards &amp; Scoring'!$D$6+AP28*'Standards &amp; Scoring'!$D$7+AQ28*'Standards &amp; Scoring'!$D$8+AR28*'Standards &amp; Scoring'!$D$9+AS28*'Standards &amp; Scoring'!$D$10+AT28*'Standards &amp; Scoring'!$D$11+AU28*'Standards &amp; Scoring'!$D$12+AV28*'Standards &amp; Scoring'!$D$13)/10000)</f>
        <v/>
      </c>
      <c r="AX28" s="47" t="str">
        <f aca="false">IF(AW28="","",IF(AW28&gt;=1.05,"A+",IF(AW28&gt;=1,"A",IF(AW28&gt;=0.95,"B+",IF(AW28&gt;=0.9,"B","C")))))</f>
        <v/>
      </c>
      <c r="AY28" s="47" t="str">
        <f aca="false">IF(AX28="","",IF(AX28="A+",1800,IF(AX28="A",1600,IF(AX28="B+",1400,IF(AX28="B",1200,0)))))</f>
        <v/>
      </c>
      <c r="AZ28" s="49" t="str">
        <f aca="false">IF(OR(L28="",M28="",S28="",M28=0),"",IFERROR(L28*60*S28/(M28*36),0))</f>
        <v/>
      </c>
    </row>
    <row r="29" customFormat="false" ht="15" hidden="false" customHeight="true" outlineLevel="0" collapsed="false">
      <c r="A29" s="47" t="n">
        <f aca="false">'Daily KPI Entry'!A30</f>
        <v>25</v>
      </c>
      <c r="B29" s="48" t="n">
        <f aca="false">'Daily KPI Entry'!B30</f>
        <v>46288</v>
      </c>
      <c r="C29" s="47" t="n">
        <f aca="false">'Daily KPI Entry'!C30</f>
        <v>0</v>
      </c>
      <c r="D29" s="47" t="n">
        <f aca="false">'Daily KPI Entry'!D30</f>
        <v>0</v>
      </c>
      <c r="E29" s="47" t="n">
        <f aca="false">'Daily KPI Entry'!E30</f>
        <v>0</v>
      </c>
      <c r="F29" s="47" t="n">
        <f aca="false">'Daily KPI Entry'!F30</f>
        <v>0</v>
      </c>
      <c r="G29" s="47" t="str">
        <f aca="false">'Daily KPI Entry'!G30</f>
        <v>STL005469</v>
      </c>
      <c r="H29" s="47" t="str">
        <f aca="false">'Daily KPI Entry'!H30</f>
        <v>MD. DULU MIA</v>
      </c>
      <c r="I29" s="47" t="n">
        <f aca="false">'Daily KPI Entry'!I30</f>
        <v>0</v>
      </c>
      <c r="J29" s="47" t="n">
        <f aca="false">'Daily KPI Entry'!J30</f>
        <v>8</v>
      </c>
      <c r="K29" s="47" t="str">
        <f aca="false">'Daily KPI Entry'!K30</f>
        <v>M1,M2,N1,O2,O3,P1,P2,P3</v>
      </c>
      <c r="L29" s="47" t="n">
        <f aca="false">'Daily KPI Entry'!L30</f>
        <v>540.625</v>
      </c>
      <c r="M29" s="47" t="n">
        <f aca="false">'Daily KPI Entry'!M30</f>
        <v>42.63</v>
      </c>
      <c r="N29" s="49" t="n">
        <f aca="false">'Daily KPI Entry'!N30</f>
        <v>1500</v>
      </c>
      <c r="O29" s="49" t="n">
        <f aca="false">'Daily KPI Entry'!O30</f>
        <v>0</v>
      </c>
      <c r="P29" s="49" t="str">
        <f aca="false">IF(OR(N29="",O29=""),"",IFERROR(O29/N29*100,0))</f>
        <v/>
      </c>
      <c r="Q29" s="47" t="n">
        <f aca="false">'Daily KPI Entry'!Q30</f>
        <v>8</v>
      </c>
      <c r="R29" s="47" t="n">
        <f aca="false">IF(J29="","",Q29*J29)</f>
        <v>64</v>
      </c>
      <c r="S29" s="49" t="n">
        <f aca="false">'Daily KPI Entry'!S30</f>
        <v>0</v>
      </c>
      <c r="T29" s="49" t="str">
        <f aca="false">IF(OR(R29="",S29=""),"",IFERROR(S29/R29*100,0))</f>
        <v/>
      </c>
      <c r="U29" s="49" t="str">
        <f aca="false">IF(OR(O29="",L29="",M29="",S29="",M29=0),"",IFERROR(O29/(L29*60*S29/(M29*36))*100,0))</f>
        <v/>
      </c>
      <c r="V29" s="49" t="n">
        <f aca="false">'Daily KPI Entry'!V30</f>
        <v>0</v>
      </c>
      <c r="W29" s="49" t="str">
        <f aca="false">IF(O29="","",IFERROR(V29/O29*100,0))</f>
        <v/>
      </c>
      <c r="X29" s="49" t="n">
        <f aca="false">'Daily KPI Entry'!X30</f>
        <v>0</v>
      </c>
      <c r="Y29" s="49" t="n">
        <f aca="false">'Daily KPI Entry'!Y30</f>
        <v>0</v>
      </c>
      <c r="Z29" s="49" t="n">
        <f aca="false">'Daily KPI Entry'!Z30</f>
        <v>0</v>
      </c>
      <c r="AA29" s="49" t="n">
        <f aca="false">'Daily KPI Entry'!AA30</f>
        <v>0</v>
      </c>
      <c r="AB29" s="49" t="n">
        <f aca="false">'Daily KPI Entry'!AB30</f>
        <v>0</v>
      </c>
      <c r="AC29" s="49" t="n">
        <f aca="false">'Daily KPI Entry'!AC30</f>
        <v>0</v>
      </c>
      <c r="AD29" s="49" t="n">
        <f aca="false">'Daily KPI Entry'!AD30</f>
        <v>0</v>
      </c>
      <c r="AE29" s="49" t="n">
        <f aca="false">'Daily KPI Entry'!AE30</f>
        <v>0</v>
      </c>
      <c r="AF29" s="47" t="str">
        <f aca="false">IF(O29="","",SUM(X29:AE29))</f>
        <v/>
      </c>
      <c r="AG29" s="49" t="str">
        <f aca="false">IF(O29="","",IFERROR(AF29/O29*1000,0))</f>
        <v/>
      </c>
      <c r="AH29" s="49" t="n">
        <f aca="false">'Daily KPI Entry'!AH30</f>
        <v>0</v>
      </c>
      <c r="AI29" s="49" t="n">
        <f aca="false">'Daily KPI Entry'!AI30</f>
        <v>0</v>
      </c>
      <c r="AJ29" s="49" t="n">
        <f aca="false">'Daily KPI Entry'!AJ30</f>
        <v>0</v>
      </c>
      <c r="AK29" s="47" t="n">
        <f aca="false">'Daily KPI Entry'!AK30</f>
        <v>0</v>
      </c>
      <c r="AL29" s="47" t="n">
        <f aca="false">'Daily KPI Entry'!AL30</f>
        <v>0</v>
      </c>
      <c r="AM29" s="47" t="n">
        <f aca="false">'Daily KPI Entry'!AM30</f>
        <v>0</v>
      </c>
      <c r="AN29" s="49" t="str">
        <f aca="false">IF(P29="","",MIN(120,P29))</f>
        <v/>
      </c>
      <c r="AO29" s="49" t="str">
        <f aca="false">IF(U29="","",MIN(120,U29))</f>
        <v/>
      </c>
      <c r="AP29" s="49" t="n">
        <f aca="false">IF(R29="","",MIN(120,IFERROR(S29/R29*100,0)))</f>
        <v>0</v>
      </c>
      <c r="AQ29" s="49" t="str">
        <f aca="false">IF(W29="","",MIN(120,IF(W29=0,120,100*(INDEX('Standards &amp; Scoring'!$E$5:$E$13,MATCH("Quality / Rejection",'Standards &amp; Scoring'!$A$5:$A$13,0))/W29))))</f>
        <v/>
      </c>
      <c r="AR29" s="49" t="str">
        <f aca="false">IF(AG29="","",MIN(120,IF(AG29=0,120,100*(INDEX('Standards &amp; Scoring'!$E$5:$E$13,MATCH("Fault Control",'Standards &amp; Scoring'!$A$5:$A$13,0))/AG29))))</f>
        <v/>
      </c>
      <c r="AS29" s="49" t="str">
        <f aca="false">IF(O29="","",MIN(120,IF(SUMIFS('Fault &amp; Downtime Entry'!$L$6:$L$1005,'Fault &amp; Downtime Entry'!$E$6:$E$1005,G29,'Fault &amp; Downtime Entry'!$B$6:$B$1005,B29)=0,120,100*(INDEX('Standards &amp; Scoring'!$E$5:$E$13,MATCH("Downtime Control",'Standards &amp; Scoring'!$A$5:$A$13,0))/IFERROR(SUMIFS('Fault &amp; Downtime Entry'!$L$6:$L$1005,'Fault &amp; Downtime Entry'!$E$6:$E$1005,G29,'Fault &amp; Downtime Entry'!$B$6:$B$1005,B29)/O29*1000,999999)))))</f>
        <v/>
      </c>
      <c r="AT29" s="49" t="n">
        <f aca="false">IF(COUNTA(AH29,AJ29)=0,"",MIN(120,IF(AND(AH29&lt;&gt;"",AJ29&lt;&gt;""),AVERAGE(AH29,AJ29),IF(AH29&lt;&gt;"",AH29,AJ29))))</f>
        <v>0</v>
      </c>
      <c r="AU29" s="49" t="str">
        <f aca="false">IF(AI29="","",MIN(120,AI29))</f>
        <v/>
      </c>
      <c r="AV29" s="49" t="str">
        <f aca="false">IF(AJ29="","",MIN(120,AJ29))</f>
        <v/>
      </c>
      <c r="AW29" s="50" t="str">
        <f aca="false">IF(COUNT(AN29:AV29)&lt;9,"",(AN29*'Standards &amp; Scoring'!$D$5+AO29*'Standards &amp; Scoring'!$D$6+AP29*'Standards &amp; Scoring'!$D$7+AQ29*'Standards &amp; Scoring'!$D$8+AR29*'Standards &amp; Scoring'!$D$9+AS29*'Standards &amp; Scoring'!$D$10+AT29*'Standards &amp; Scoring'!$D$11+AU29*'Standards &amp; Scoring'!$D$12+AV29*'Standards &amp; Scoring'!$D$13)/10000)</f>
        <v/>
      </c>
      <c r="AX29" s="47" t="str">
        <f aca="false">IF(AW29="","",IF(AW29&gt;=1.05,"A+",IF(AW29&gt;=1,"A",IF(AW29&gt;=0.95,"B+",IF(AW29&gt;=0.9,"B","C")))))</f>
        <v/>
      </c>
      <c r="AY29" s="47" t="str">
        <f aca="false">IF(AX29="","",IF(AX29="A+",1800,IF(AX29="A",1600,IF(AX29="B+",1400,IF(AX29="B",1200,0)))))</f>
        <v/>
      </c>
      <c r="AZ29" s="49" t="str">
        <f aca="false">IF(OR(L29="",M29="",S29="",M29=0),"",IFERROR(L29*60*S29/(M29*36),0))</f>
        <v/>
      </c>
    </row>
    <row r="30" customFormat="false" ht="15" hidden="false" customHeight="true" outlineLevel="0" collapsed="false">
      <c r="A30" s="47" t="n">
        <f aca="false">'Daily KPI Entry'!A31</f>
        <v>26</v>
      </c>
      <c r="B30" s="48" t="n">
        <f aca="false">'Daily KPI Entry'!B31</f>
        <v>46288</v>
      </c>
      <c r="C30" s="47" t="n">
        <f aca="false">'Daily KPI Entry'!C31</f>
        <v>0</v>
      </c>
      <c r="D30" s="47" t="n">
        <f aca="false">'Daily KPI Entry'!D31</f>
        <v>0</v>
      </c>
      <c r="E30" s="47" t="n">
        <f aca="false">'Daily KPI Entry'!E31</f>
        <v>0</v>
      </c>
      <c r="F30" s="47" t="n">
        <f aca="false">'Daily KPI Entry'!F31</f>
        <v>0</v>
      </c>
      <c r="G30" s="47" t="str">
        <f aca="false">'Daily KPI Entry'!G31</f>
        <v>STL005464</v>
      </c>
      <c r="H30" s="47" t="str">
        <f aca="false">'Daily KPI Entry'!H31</f>
        <v>SREE SUSANTO CHANDRA</v>
      </c>
      <c r="I30" s="47" t="n">
        <f aca="false">'Daily KPI Entry'!I31</f>
        <v>0</v>
      </c>
      <c r="J30" s="47" t="n">
        <f aca="false">'Daily KPI Entry'!J31</f>
        <v>8</v>
      </c>
      <c r="K30" s="47" t="str">
        <f aca="false">'Daily KPI Entry'!K31</f>
        <v>O5,O6,P4,P5,Q5,Q6,R5,R6</v>
      </c>
      <c r="L30" s="47" t="n">
        <f aca="false">'Daily KPI Entry'!L31</f>
        <v>543.75</v>
      </c>
      <c r="M30" s="47" t="n">
        <f aca="false">'Daily KPI Entry'!M31</f>
        <v>42.5</v>
      </c>
      <c r="N30" s="49" t="n">
        <f aca="false">'Daily KPI Entry'!N31</f>
        <v>1500</v>
      </c>
      <c r="O30" s="49" t="n">
        <f aca="false">'Daily KPI Entry'!O31</f>
        <v>0</v>
      </c>
      <c r="P30" s="49" t="str">
        <f aca="false">IF(OR(N30="",O30=""),"",IFERROR(O30/N30*100,0))</f>
        <v/>
      </c>
      <c r="Q30" s="47" t="n">
        <f aca="false">'Daily KPI Entry'!Q31</f>
        <v>8</v>
      </c>
      <c r="R30" s="47" t="n">
        <f aca="false">IF(J30="","",Q30*J30)</f>
        <v>64</v>
      </c>
      <c r="S30" s="49" t="n">
        <f aca="false">'Daily KPI Entry'!S31</f>
        <v>0</v>
      </c>
      <c r="T30" s="49" t="str">
        <f aca="false">IF(OR(R30="",S30=""),"",IFERROR(S30/R30*100,0))</f>
        <v/>
      </c>
      <c r="U30" s="49" t="str">
        <f aca="false">IF(OR(O30="",L30="",M30="",S30="",M30=0),"",IFERROR(O30/(L30*60*S30/(M30*36))*100,0))</f>
        <v/>
      </c>
      <c r="V30" s="49" t="n">
        <f aca="false">'Daily KPI Entry'!V31</f>
        <v>0</v>
      </c>
      <c r="W30" s="49" t="str">
        <f aca="false">IF(O30="","",IFERROR(V30/O30*100,0))</f>
        <v/>
      </c>
      <c r="X30" s="49" t="n">
        <f aca="false">'Daily KPI Entry'!X31</f>
        <v>0</v>
      </c>
      <c r="Y30" s="49" t="n">
        <f aca="false">'Daily KPI Entry'!Y31</f>
        <v>0</v>
      </c>
      <c r="Z30" s="49" t="n">
        <f aca="false">'Daily KPI Entry'!Z31</f>
        <v>0</v>
      </c>
      <c r="AA30" s="49" t="n">
        <f aca="false">'Daily KPI Entry'!AA31</f>
        <v>0</v>
      </c>
      <c r="AB30" s="49" t="n">
        <f aca="false">'Daily KPI Entry'!AB31</f>
        <v>0</v>
      </c>
      <c r="AC30" s="49" t="n">
        <f aca="false">'Daily KPI Entry'!AC31</f>
        <v>0</v>
      </c>
      <c r="AD30" s="49" t="n">
        <f aca="false">'Daily KPI Entry'!AD31</f>
        <v>0</v>
      </c>
      <c r="AE30" s="49" t="n">
        <f aca="false">'Daily KPI Entry'!AE31</f>
        <v>0</v>
      </c>
      <c r="AF30" s="47" t="str">
        <f aca="false">IF(O30="","",SUM(X30:AE30))</f>
        <v/>
      </c>
      <c r="AG30" s="49" t="str">
        <f aca="false">IF(O30="","",IFERROR(AF30/O30*1000,0))</f>
        <v/>
      </c>
      <c r="AH30" s="49" t="n">
        <f aca="false">'Daily KPI Entry'!AH31</f>
        <v>0</v>
      </c>
      <c r="AI30" s="49" t="n">
        <f aca="false">'Daily KPI Entry'!AI31</f>
        <v>0</v>
      </c>
      <c r="AJ30" s="49" t="n">
        <f aca="false">'Daily KPI Entry'!AJ31</f>
        <v>0</v>
      </c>
      <c r="AK30" s="47" t="n">
        <f aca="false">'Daily KPI Entry'!AK31</f>
        <v>0</v>
      </c>
      <c r="AL30" s="47" t="n">
        <f aca="false">'Daily KPI Entry'!AL31</f>
        <v>0</v>
      </c>
      <c r="AM30" s="47" t="n">
        <f aca="false">'Daily KPI Entry'!AM31</f>
        <v>0</v>
      </c>
      <c r="AN30" s="49" t="str">
        <f aca="false">IF(P30="","",MIN(120,P30))</f>
        <v/>
      </c>
      <c r="AO30" s="49" t="str">
        <f aca="false">IF(U30="","",MIN(120,U30))</f>
        <v/>
      </c>
      <c r="AP30" s="49" t="n">
        <f aca="false">IF(R30="","",MIN(120,IFERROR(S30/R30*100,0)))</f>
        <v>0</v>
      </c>
      <c r="AQ30" s="49" t="str">
        <f aca="false">IF(W30="","",MIN(120,IF(W30=0,120,100*(INDEX('Standards &amp; Scoring'!$E$5:$E$13,MATCH("Quality / Rejection",'Standards &amp; Scoring'!$A$5:$A$13,0))/W30))))</f>
        <v/>
      </c>
      <c r="AR30" s="49" t="str">
        <f aca="false">IF(AG30="","",MIN(120,IF(AG30=0,120,100*(INDEX('Standards &amp; Scoring'!$E$5:$E$13,MATCH("Fault Control",'Standards &amp; Scoring'!$A$5:$A$13,0))/AG30))))</f>
        <v/>
      </c>
      <c r="AS30" s="49" t="str">
        <f aca="false">IF(O30="","",MIN(120,IF(SUMIFS('Fault &amp; Downtime Entry'!$L$6:$L$1005,'Fault &amp; Downtime Entry'!$E$6:$E$1005,G30,'Fault &amp; Downtime Entry'!$B$6:$B$1005,B30)=0,120,100*(INDEX('Standards &amp; Scoring'!$E$5:$E$13,MATCH("Downtime Control",'Standards &amp; Scoring'!$A$5:$A$13,0))/IFERROR(SUMIFS('Fault &amp; Downtime Entry'!$L$6:$L$1005,'Fault &amp; Downtime Entry'!$E$6:$E$1005,G30,'Fault &amp; Downtime Entry'!$B$6:$B$1005,B30)/O30*1000,999999)))))</f>
        <v/>
      </c>
      <c r="AT30" s="49" t="n">
        <f aca="false">IF(COUNTA(AH30,AJ30)=0,"",MIN(120,IF(AND(AH30&lt;&gt;"",AJ30&lt;&gt;""),AVERAGE(AH30,AJ30),IF(AH30&lt;&gt;"",AH30,AJ30))))</f>
        <v>0</v>
      </c>
      <c r="AU30" s="49" t="str">
        <f aca="false">IF(AI30="","",MIN(120,AI30))</f>
        <v/>
      </c>
      <c r="AV30" s="49" t="str">
        <f aca="false">IF(AJ30="","",MIN(120,AJ30))</f>
        <v/>
      </c>
      <c r="AW30" s="50" t="str">
        <f aca="false">IF(COUNT(AN30:AV30)&lt;9,"",(AN30*'Standards &amp; Scoring'!$D$5+AO30*'Standards &amp; Scoring'!$D$6+AP30*'Standards &amp; Scoring'!$D$7+AQ30*'Standards &amp; Scoring'!$D$8+AR30*'Standards &amp; Scoring'!$D$9+AS30*'Standards &amp; Scoring'!$D$10+AT30*'Standards &amp; Scoring'!$D$11+AU30*'Standards &amp; Scoring'!$D$12+AV30*'Standards &amp; Scoring'!$D$13)/10000)</f>
        <v/>
      </c>
      <c r="AX30" s="47" t="str">
        <f aca="false">IF(AW30="","",IF(AW30&gt;=1.05,"A+",IF(AW30&gt;=1,"A",IF(AW30&gt;=0.95,"B+",IF(AW30&gt;=0.9,"B","C")))))</f>
        <v/>
      </c>
      <c r="AY30" s="47" t="str">
        <f aca="false">IF(AX30="","",IF(AX30="A+",1800,IF(AX30="A",1600,IF(AX30="B+",1400,IF(AX30="B",1200,0)))))</f>
        <v/>
      </c>
      <c r="AZ30" s="49" t="str">
        <f aca="false">IF(OR(L30="",M30="",S30="",M30=0),"",IFERROR(L30*60*S30/(M30*36),0))</f>
        <v/>
      </c>
    </row>
    <row r="31" customFormat="false" ht="15" hidden="false" customHeight="true" outlineLevel="0" collapsed="false">
      <c r="A31" s="47" t="n">
        <f aca="false">'Daily KPI Entry'!A32</f>
        <v>27</v>
      </c>
      <c r="B31" s="48" t="n">
        <f aca="false">'Daily KPI Entry'!B32</f>
        <v>46288</v>
      </c>
      <c r="C31" s="47" t="n">
        <f aca="false">'Daily KPI Entry'!C32</f>
        <v>0</v>
      </c>
      <c r="D31" s="47" t="n">
        <f aca="false">'Daily KPI Entry'!D32</f>
        <v>0</v>
      </c>
      <c r="E31" s="47" t="n">
        <f aca="false">'Daily KPI Entry'!E32</f>
        <v>0</v>
      </c>
      <c r="F31" s="47" t="n">
        <f aca="false">'Daily KPI Entry'!F32</f>
        <v>0</v>
      </c>
      <c r="G31" s="47" t="str">
        <f aca="false">'Daily KPI Entry'!G32</f>
        <v>STL005471</v>
      </c>
      <c r="H31" s="47" t="str">
        <f aca="false">'Daily KPI Entry'!H32</f>
        <v>MD. ASHRAFUL ISLAM</v>
      </c>
      <c r="I31" s="47" t="n">
        <f aca="false">'Daily KPI Entry'!I32</f>
        <v>0</v>
      </c>
      <c r="J31" s="47" t="n">
        <f aca="false">'Daily KPI Entry'!J32</f>
        <v>0</v>
      </c>
      <c r="K31" s="47" t="n">
        <f aca="false">'Daily KPI Entry'!K32</f>
        <v>0</v>
      </c>
      <c r="L31" s="47" t="n">
        <f aca="false">'Daily KPI Entry'!L32</f>
        <v>545</v>
      </c>
      <c r="M31" s="47" t="n">
        <f aca="false">'Daily KPI Entry'!M32</f>
        <v>41.8</v>
      </c>
      <c r="N31" s="49" t="n">
        <f aca="false">'Daily KPI Entry'!N32</f>
        <v>0</v>
      </c>
      <c r="O31" s="49" t="n">
        <f aca="false">'Daily KPI Entry'!O32</f>
        <v>0</v>
      </c>
      <c r="P31" s="49" t="str">
        <f aca="false">IF(OR(N31="",O31=""),"",IFERROR(O31/N31*100,0))</f>
        <v/>
      </c>
      <c r="Q31" s="47" t="n">
        <f aca="false">'Daily KPI Entry'!Q32</f>
        <v>8</v>
      </c>
      <c r="R31" s="47" t="str">
        <f aca="false">IF(J31="","",Q31*J31)</f>
        <v/>
      </c>
      <c r="S31" s="49" t="n">
        <f aca="false">'Daily KPI Entry'!S32</f>
        <v>0</v>
      </c>
      <c r="T31" s="49" t="str">
        <f aca="false">IF(OR(R31="",S31=""),"",IFERROR(S31/R31*100,0))</f>
        <v/>
      </c>
      <c r="U31" s="49" t="str">
        <f aca="false">IF(OR(O31="",L31="",M31="",S31="",M31=0),"",IFERROR(O31/(L31*60*S31/(M31*36))*100,0))</f>
        <v/>
      </c>
      <c r="V31" s="49" t="n">
        <f aca="false">'Daily KPI Entry'!V32</f>
        <v>0</v>
      </c>
      <c r="W31" s="49" t="str">
        <f aca="false">IF(O31="","",IFERROR(V31/O31*100,0))</f>
        <v/>
      </c>
      <c r="X31" s="49" t="n">
        <f aca="false">'Daily KPI Entry'!X32</f>
        <v>0</v>
      </c>
      <c r="Y31" s="49" t="n">
        <f aca="false">'Daily KPI Entry'!Y32</f>
        <v>0</v>
      </c>
      <c r="Z31" s="49" t="n">
        <f aca="false">'Daily KPI Entry'!Z32</f>
        <v>0</v>
      </c>
      <c r="AA31" s="49" t="n">
        <f aca="false">'Daily KPI Entry'!AA32</f>
        <v>0</v>
      </c>
      <c r="AB31" s="49" t="n">
        <f aca="false">'Daily KPI Entry'!AB32</f>
        <v>0</v>
      </c>
      <c r="AC31" s="49" t="n">
        <f aca="false">'Daily KPI Entry'!AC32</f>
        <v>0</v>
      </c>
      <c r="AD31" s="49" t="n">
        <f aca="false">'Daily KPI Entry'!AD32</f>
        <v>0</v>
      </c>
      <c r="AE31" s="49" t="n">
        <f aca="false">'Daily KPI Entry'!AE32</f>
        <v>0</v>
      </c>
      <c r="AF31" s="47" t="str">
        <f aca="false">IF(O31="","",SUM(X31:AE31))</f>
        <v/>
      </c>
      <c r="AG31" s="49" t="str">
        <f aca="false">IF(O31="","",IFERROR(AF31/O31*1000,0))</f>
        <v/>
      </c>
      <c r="AH31" s="49" t="n">
        <f aca="false">'Daily KPI Entry'!AH32</f>
        <v>0</v>
      </c>
      <c r="AI31" s="49" t="n">
        <f aca="false">'Daily KPI Entry'!AI32</f>
        <v>0</v>
      </c>
      <c r="AJ31" s="49" t="n">
        <f aca="false">'Daily KPI Entry'!AJ32</f>
        <v>0</v>
      </c>
      <c r="AK31" s="47" t="n">
        <f aca="false">'Daily KPI Entry'!AK32</f>
        <v>0</v>
      </c>
      <c r="AL31" s="47" t="n">
        <f aca="false">'Daily KPI Entry'!AL32</f>
        <v>0</v>
      </c>
      <c r="AM31" s="47" t="n">
        <f aca="false">'Daily KPI Entry'!AM32</f>
        <v>0</v>
      </c>
      <c r="AN31" s="49" t="str">
        <f aca="false">IF(P31="","",MIN(120,P31))</f>
        <v/>
      </c>
      <c r="AO31" s="49" t="str">
        <f aca="false">IF(U31="","",MIN(120,U31))</f>
        <v/>
      </c>
      <c r="AP31" s="49" t="str">
        <f aca="false">IF(R31="","",MIN(120,IFERROR(S31/R31*100,0)))</f>
        <v/>
      </c>
      <c r="AQ31" s="49" t="str">
        <f aca="false">IF(W31="","",MIN(120,IF(W31=0,120,100*(INDEX('Standards &amp; Scoring'!$E$5:$E$13,MATCH("Quality / Rejection",'Standards &amp; Scoring'!$A$5:$A$13,0))/W31))))</f>
        <v/>
      </c>
      <c r="AR31" s="49" t="str">
        <f aca="false">IF(AG31="","",MIN(120,IF(AG31=0,120,100*(INDEX('Standards &amp; Scoring'!$E$5:$E$13,MATCH("Fault Control",'Standards &amp; Scoring'!$A$5:$A$13,0))/AG31))))</f>
        <v/>
      </c>
      <c r="AS31" s="49" t="str">
        <f aca="false">IF(O31="","",MIN(120,IF(SUMIFS('Fault &amp; Downtime Entry'!$L$6:$L$1005,'Fault &amp; Downtime Entry'!$E$6:$E$1005,G31,'Fault &amp; Downtime Entry'!$B$6:$B$1005,B31)=0,120,100*(INDEX('Standards &amp; Scoring'!$E$5:$E$13,MATCH("Downtime Control",'Standards &amp; Scoring'!$A$5:$A$13,0))/IFERROR(SUMIFS('Fault &amp; Downtime Entry'!$L$6:$L$1005,'Fault &amp; Downtime Entry'!$E$6:$E$1005,G31,'Fault &amp; Downtime Entry'!$B$6:$B$1005,B31)/O31*1000,999999)))))</f>
        <v/>
      </c>
      <c r="AT31" s="49" t="n">
        <f aca="false">IF(COUNTA(AH31,AJ31)=0,"",MIN(120,IF(AND(AH31&lt;&gt;"",AJ31&lt;&gt;""),AVERAGE(AH31,AJ31),IF(AH31&lt;&gt;"",AH31,AJ31))))</f>
        <v>0</v>
      </c>
      <c r="AU31" s="49" t="str">
        <f aca="false">IF(AI31="","",MIN(120,AI31))</f>
        <v/>
      </c>
      <c r="AV31" s="49" t="str">
        <f aca="false">IF(AJ31="","",MIN(120,AJ31))</f>
        <v/>
      </c>
      <c r="AW31" s="50" t="str">
        <f aca="false">IF(COUNT(AN31:AV31)&lt;9,"",(AN31*'Standards &amp; Scoring'!$D$5+AO31*'Standards &amp; Scoring'!$D$6+AP31*'Standards &amp; Scoring'!$D$7+AQ31*'Standards &amp; Scoring'!$D$8+AR31*'Standards &amp; Scoring'!$D$9+AS31*'Standards &amp; Scoring'!$D$10+AT31*'Standards &amp; Scoring'!$D$11+AU31*'Standards &amp; Scoring'!$D$12+AV31*'Standards &amp; Scoring'!$D$13)/10000)</f>
        <v/>
      </c>
      <c r="AX31" s="47" t="str">
        <f aca="false">IF(AW31="","",IF(AW31&gt;=1.05,"A+",IF(AW31&gt;=1,"A",IF(AW31&gt;=0.95,"B+",IF(AW31&gt;=0.9,"B","C")))))</f>
        <v/>
      </c>
      <c r="AY31" s="47" t="str">
        <f aca="false">IF(AX31="","",IF(AX31="A+",1800,IF(AX31="A",1600,IF(AX31="B+",1400,IF(AX31="B",1200,0)))))</f>
        <v/>
      </c>
      <c r="AZ31" s="49" t="str">
        <f aca="false">IF(OR(L31="",M31="",S31="",M31=0),"",IFERROR(L31*60*S31/(M31*36),0))</f>
        <v/>
      </c>
    </row>
    <row r="32" customFormat="false" ht="15" hidden="false" customHeight="true" outlineLevel="0" collapsed="false">
      <c r="A32" s="47" t="n">
        <f aca="false">'Daily KPI Entry'!A33</f>
        <v>28</v>
      </c>
      <c r="B32" s="48" t="n">
        <f aca="false">'Daily KPI Entry'!B33</f>
        <v>46288</v>
      </c>
      <c r="C32" s="47" t="n">
        <f aca="false">'Daily KPI Entry'!C33</f>
        <v>0</v>
      </c>
      <c r="D32" s="47" t="n">
        <f aca="false">'Daily KPI Entry'!D33</f>
        <v>0</v>
      </c>
      <c r="E32" s="47" t="n">
        <f aca="false">'Daily KPI Entry'!E33</f>
        <v>0</v>
      </c>
      <c r="F32" s="47" t="n">
        <f aca="false">'Daily KPI Entry'!F33</f>
        <v>0</v>
      </c>
      <c r="G32" s="47" t="str">
        <f aca="false">'Daily KPI Entry'!G33</f>
        <v>STL005525</v>
      </c>
      <c r="H32" s="47" t="str">
        <f aca="false">'Daily KPI Entry'!H33</f>
        <v>MD. ASRAF AKANDA</v>
      </c>
      <c r="I32" s="47" t="n">
        <f aca="false">'Daily KPI Entry'!I33</f>
        <v>0</v>
      </c>
      <c r="J32" s="47" t="n">
        <f aca="false">'Daily KPI Entry'!J33</f>
        <v>0</v>
      </c>
      <c r="K32" s="47" t="n">
        <f aca="false">'Daily KPI Entry'!K33</f>
        <v>0</v>
      </c>
      <c r="L32" s="47" t="n">
        <f aca="false">'Daily KPI Entry'!L33</f>
        <v>555.555555555556</v>
      </c>
      <c r="M32" s="47" t="n">
        <f aca="false">'Daily KPI Entry'!M33</f>
        <v>43.78</v>
      </c>
      <c r="N32" s="49" t="n">
        <f aca="false">'Daily KPI Entry'!N33</f>
        <v>0</v>
      </c>
      <c r="O32" s="49" t="n">
        <f aca="false">'Daily KPI Entry'!O33</f>
        <v>0</v>
      </c>
      <c r="P32" s="49" t="str">
        <f aca="false">IF(OR(N32="",O32=""),"",IFERROR(O32/N32*100,0))</f>
        <v/>
      </c>
      <c r="Q32" s="47" t="n">
        <f aca="false">'Daily KPI Entry'!Q33</f>
        <v>8</v>
      </c>
      <c r="R32" s="47" t="str">
        <f aca="false">IF(J32="","",Q32*J32)</f>
        <v/>
      </c>
      <c r="S32" s="49" t="n">
        <f aca="false">'Daily KPI Entry'!S33</f>
        <v>0</v>
      </c>
      <c r="T32" s="49" t="str">
        <f aca="false">IF(OR(R32="",S32=""),"",IFERROR(S32/R32*100,0))</f>
        <v/>
      </c>
      <c r="U32" s="49" t="str">
        <f aca="false">IF(OR(O32="",L32="",M32="",S32="",M32=0),"",IFERROR(O32/(L32*60*S32/(M32*36))*100,0))</f>
        <v/>
      </c>
      <c r="V32" s="49" t="n">
        <f aca="false">'Daily KPI Entry'!V33</f>
        <v>0</v>
      </c>
      <c r="W32" s="49" t="str">
        <f aca="false">IF(O32="","",IFERROR(V32/O32*100,0))</f>
        <v/>
      </c>
      <c r="X32" s="49" t="n">
        <f aca="false">'Daily KPI Entry'!X33</f>
        <v>0</v>
      </c>
      <c r="Y32" s="49" t="n">
        <f aca="false">'Daily KPI Entry'!Y33</f>
        <v>0</v>
      </c>
      <c r="Z32" s="49" t="n">
        <f aca="false">'Daily KPI Entry'!Z33</f>
        <v>0</v>
      </c>
      <c r="AA32" s="49" t="n">
        <f aca="false">'Daily KPI Entry'!AA33</f>
        <v>0</v>
      </c>
      <c r="AB32" s="49" t="n">
        <f aca="false">'Daily KPI Entry'!AB33</f>
        <v>0</v>
      </c>
      <c r="AC32" s="49" t="n">
        <f aca="false">'Daily KPI Entry'!AC33</f>
        <v>0</v>
      </c>
      <c r="AD32" s="49" t="n">
        <f aca="false">'Daily KPI Entry'!AD33</f>
        <v>0</v>
      </c>
      <c r="AE32" s="49" t="n">
        <f aca="false">'Daily KPI Entry'!AE33</f>
        <v>0</v>
      </c>
      <c r="AF32" s="47" t="str">
        <f aca="false">IF(O32="","",SUM(X32:AE32))</f>
        <v/>
      </c>
      <c r="AG32" s="49" t="str">
        <f aca="false">IF(O32="","",IFERROR(AF32/O32*1000,0))</f>
        <v/>
      </c>
      <c r="AH32" s="49" t="n">
        <f aca="false">'Daily KPI Entry'!AH33</f>
        <v>0</v>
      </c>
      <c r="AI32" s="49" t="n">
        <f aca="false">'Daily KPI Entry'!AI33</f>
        <v>0</v>
      </c>
      <c r="AJ32" s="49" t="n">
        <f aca="false">'Daily KPI Entry'!AJ33</f>
        <v>0</v>
      </c>
      <c r="AK32" s="47" t="n">
        <f aca="false">'Daily KPI Entry'!AK33</f>
        <v>0</v>
      </c>
      <c r="AL32" s="47" t="n">
        <f aca="false">'Daily KPI Entry'!AL33</f>
        <v>0</v>
      </c>
      <c r="AM32" s="47" t="n">
        <f aca="false">'Daily KPI Entry'!AM33</f>
        <v>0</v>
      </c>
      <c r="AN32" s="49" t="str">
        <f aca="false">IF(P32="","",MIN(120,P32))</f>
        <v/>
      </c>
      <c r="AO32" s="49" t="str">
        <f aca="false">IF(U32="","",MIN(120,U32))</f>
        <v/>
      </c>
      <c r="AP32" s="49" t="str">
        <f aca="false">IF(R32="","",MIN(120,IFERROR(S32/R32*100,0)))</f>
        <v/>
      </c>
      <c r="AQ32" s="49" t="str">
        <f aca="false">IF(W32="","",MIN(120,IF(W32=0,120,100*(INDEX('Standards &amp; Scoring'!$E$5:$E$13,MATCH("Quality / Rejection",'Standards &amp; Scoring'!$A$5:$A$13,0))/W32))))</f>
        <v/>
      </c>
      <c r="AR32" s="49" t="str">
        <f aca="false">IF(AG32="","",MIN(120,IF(AG32=0,120,100*(INDEX('Standards &amp; Scoring'!$E$5:$E$13,MATCH("Fault Control",'Standards &amp; Scoring'!$A$5:$A$13,0))/AG32))))</f>
        <v/>
      </c>
      <c r="AS32" s="49" t="str">
        <f aca="false">IF(O32="","",MIN(120,IF(SUMIFS('Fault &amp; Downtime Entry'!$L$6:$L$1005,'Fault &amp; Downtime Entry'!$E$6:$E$1005,G32,'Fault &amp; Downtime Entry'!$B$6:$B$1005,B32)=0,120,100*(INDEX('Standards &amp; Scoring'!$E$5:$E$13,MATCH("Downtime Control",'Standards &amp; Scoring'!$A$5:$A$13,0))/IFERROR(SUMIFS('Fault &amp; Downtime Entry'!$L$6:$L$1005,'Fault &amp; Downtime Entry'!$E$6:$E$1005,G32,'Fault &amp; Downtime Entry'!$B$6:$B$1005,B32)/O32*1000,999999)))))</f>
        <v/>
      </c>
      <c r="AT32" s="49" t="n">
        <f aca="false">IF(COUNTA(AH32,AJ32)=0,"",MIN(120,IF(AND(AH32&lt;&gt;"",AJ32&lt;&gt;""),AVERAGE(AH32,AJ32),IF(AH32&lt;&gt;"",AH32,AJ32))))</f>
        <v>0</v>
      </c>
      <c r="AU32" s="49" t="str">
        <f aca="false">IF(AI32="","",MIN(120,AI32))</f>
        <v/>
      </c>
      <c r="AV32" s="49" t="str">
        <f aca="false">IF(AJ32="","",MIN(120,AJ32))</f>
        <v/>
      </c>
      <c r="AW32" s="50" t="str">
        <f aca="false">IF(COUNT(AN32:AV32)&lt;9,"",(AN32*'Standards &amp; Scoring'!$D$5+AO32*'Standards &amp; Scoring'!$D$6+AP32*'Standards &amp; Scoring'!$D$7+AQ32*'Standards &amp; Scoring'!$D$8+AR32*'Standards &amp; Scoring'!$D$9+AS32*'Standards &amp; Scoring'!$D$10+AT32*'Standards &amp; Scoring'!$D$11+AU32*'Standards &amp; Scoring'!$D$12+AV32*'Standards &amp; Scoring'!$D$13)/10000)</f>
        <v/>
      </c>
      <c r="AX32" s="47" t="str">
        <f aca="false">IF(AW32="","",IF(AW32&gt;=1.05,"A+",IF(AW32&gt;=1,"A",IF(AW32&gt;=0.95,"B+",IF(AW32&gt;=0.9,"B","C")))))</f>
        <v/>
      </c>
      <c r="AY32" s="47" t="str">
        <f aca="false">IF(AX32="","",IF(AX32="A+",1800,IF(AX32="A",1600,IF(AX32="B+",1400,IF(AX32="B",1200,0)))))</f>
        <v/>
      </c>
      <c r="AZ32" s="49" t="str">
        <f aca="false">IF(OR(L32="",M32="",S32="",M32=0),"",IFERROR(L32*60*S32/(M32*36),0))</f>
        <v/>
      </c>
    </row>
    <row r="33" customFormat="false" ht="15" hidden="false" customHeight="true" outlineLevel="0" collapsed="false">
      <c r="A33" s="47" t="n">
        <f aca="false">'Daily KPI Entry'!A34</f>
        <v>29</v>
      </c>
      <c r="B33" s="48" t="n">
        <f aca="false">'Daily KPI Entry'!B34</f>
        <v>46288</v>
      </c>
      <c r="C33" s="47" t="n">
        <f aca="false">'Daily KPI Entry'!C34</f>
        <v>0</v>
      </c>
      <c r="D33" s="47" t="n">
        <f aca="false">'Daily KPI Entry'!D34</f>
        <v>0</v>
      </c>
      <c r="E33" s="47" t="n">
        <f aca="false">'Daily KPI Entry'!E34</f>
        <v>0</v>
      </c>
      <c r="F33" s="47" t="n">
        <f aca="false">'Daily KPI Entry'!F34</f>
        <v>0</v>
      </c>
      <c r="G33" s="47" t="str">
        <f aca="false">'Daily KPI Entry'!G34</f>
        <v>STL005503</v>
      </c>
      <c r="H33" s="47" t="str">
        <f aca="false">'Daily KPI Entry'!H34</f>
        <v>MD. JIHADUZZAMAN (JIAD)</v>
      </c>
      <c r="I33" s="47" t="n">
        <f aca="false">'Daily KPI Entry'!I34</f>
        <v>0</v>
      </c>
      <c r="J33" s="47" t="n">
        <f aca="false">'Daily KPI Entry'!J34</f>
        <v>0</v>
      </c>
      <c r="K33" s="47" t="n">
        <f aca="false">'Daily KPI Entry'!K34</f>
        <v>0</v>
      </c>
      <c r="L33" s="47" t="n">
        <f aca="false">'Daily KPI Entry'!L34</f>
        <v>530</v>
      </c>
      <c r="M33" s="47" t="n">
        <f aca="false">'Daily KPI Entry'!M34</f>
        <v>44.7</v>
      </c>
      <c r="N33" s="49" t="n">
        <f aca="false">'Daily KPI Entry'!N34</f>
        <v>0</v>
      </c>
      <c r="O33" s="49" t="n">
        <f aca="false">'Daily KPI Entry'!O34</f>
        <v>0</v>
      </c>
      <c r="P33" s="49" t="str">
        <f aca="false">IF(OR(N33="",O33=""),"",IFERROR(O33/N33*100,0))</f>
        <v/>
      </c>
      <c r="Q33" s="47" t="n">
        <f aca="false">'Daily KPI Entry'!Q34</f>
        <v>8</v>
      </c>
      <c r="R33" s="47" t="str">
        <f aca="false">IF(J33="","",Q33*J33)</f>
        <v/>
      </c>
      <c r="S33" s="49" t="n">
        <f aca="false">'Daily KPI Entry'!S34</f>
        <v>0</v>
      </c>
      <c r="T33" s="49" t="str">
        <f aca="false">IF(OR(R33="",S33=""),"",IFERROR(S33/R33*100,0))</f>
        <v/>
      </c>
      <c r="U33" s="49" t="str">
        <f aca="false">IF(OR(O33="",L33="",M33="",S33="",M33=0),"",IFERROR(O33/(L33*60*S33/(M33*36))*100,0))</f>
        <v/>
      </c>
      <c r="V33" s="49" t="n">
        <f aca="false">'Daily KPI Entry'!V34</f>
        <v>0</v>
      </c>
      <c r="W33" s="49" t="str">
        <f aca="false">IF(O33="","",IFERROR(V33/O33*100,0))</f>
        <v/>
      </c>
      <c r="X33" s="49" t="n">
        <f aca="false">'Daily KPI Entry'!X34</f>
        <v>0</v>
      </c>
      <c r="Y33" s="49" t="n">
        <f aca="false">'Daily KPI Entry'!Y34</f>
        <v>0</v>
      </c>
      <c r="Z33" s="49" t="n">
        <f aca="false">'Daily KPI Entry'!Z34</f>
        <v>0</v>
      </c>
      <c r="AA33" s="49" t="n">
        <f aca="false">'Daily KPI Entry'!AA34</f>
        <v>0</v>
      </c>
      <c r="AB33" s="49" t="n">
        <f aca="false">'Daily KPI Entry'!AB34</f>
        <v>0</v>
      </c>
      <c r="AC33" s="49" t="n">
        <f aca="false">'Daily KPI Entry'!AC34</f>
        <v>0</v>
      </c>
      <c r="AD33" s="49" t="n">
        <f aca="false">'Daily KPI Entry'!AD34</f>
        <v>0</v>
      </c>
      <c r="AE33" s="49" t="n">
        <f aca="false">'Daily KPI Entry'!AE34</f>
        <v>0</v>
      </c>
      <c r="AF33" s="47" t="str">
        <f aca="false">IF(O33="","",SUM(X33:AE33))</f>
        <v/>
      </c>
      <c r="AG33" s="49" t="str">
        <f aca="false">IF(O33="","",IFERROR(AF33/O33*1000,0))</f>
        <v/>
      </c>
      <c r="AH33" s="49" t="n">
        <f aca="false">'Daily KPI Entry'!AH34</f>
        <v>0</v>
      </c>
      <c r="AI33" s="49" t="n">
        <f aca="false">'Daily KPI Entry'!AI34</f>
        <v>0</v>
      </c>
      <c r="AJ33" s="49" t="n">
        <f aca="false">'Daily KPI Entry'!AJ34</f>
        <v>0</v>
      </c>
      <c r="AK33" s="47" t="n">
        <f aca="false">'Daily KPI Entry'!AK34</f>
        <v>0</v>
      </c>
      <c r="AL33" s="47" t="n">
        <f aca="false">'Daily KPI Entry'!AL34</f>
        <v>0</v>
      </c>
      <c r="AM33" s="47" t="n">
        <f aca="false">'Daily KPI Entry'!AM34</f>
        <v>0</v>
      </c>
      <c r="AN33" s="49" t="str">
        <f aca="false">IF(P33="","",MIN(120,P33))</f>
        <v/>
      </c>
      <c r="AO33" s="49" t="str">
        <f aca="false">IF(U33="","",MIN(120,U33))</f>
        <v/>
      </c>
      <c r="AP33" s="49" t="str">
        <f aca="false">IF(R33="","",MIN(120,IFERROR(S33/R33*100,0)))</f>
        <v/>
      </c>
      <c r="AQ33" s="49" t="str">
        <f aca="false">IF(W33="","",MIN(120,IF(W33=0,120,100*(INDEX('Standards &amp; Scoring'!$E$5:$E$13,MATCH("Quality / Rejection",'Standards &amp; Scoring'!$A$5:$A$13,0))/W33))))</f>
        <v/>
      </c>
      <c r="AR33" s="49" t="str">
        <f aca="false">IF(AG33="","",MIN(120,IF(AG33=0,120,100*(INDEX('Standards &amp; Scoring'!$E$5:$E$13,MATCH("Fault Control",'Standards &amp; Scoring'!$A$5:$A$13,0))/AG33))))</f>
        <v/>
      </c>
      <c r="AS33" s="49" t="str">
        <f aca="false">IF(O33="","",MIN(120,IF(SUMIFS('Fault &amp; Downtime Entry'!$L$6:$L$1005,'Fault &amp; Downtime Entry'!$E$6:$E$1005,G33,'Fault &amp; Downtime Entry'!$B$6:$B$1005,B33)=0,120,100*(INDEX('Standards &amp; Scoring'!$E$5:$E$13,MATCH("Downtime Control",'Standards &amp; Scoring'!$A$5:$A$13,0))/IFERROR(SUMIFS('Fault &amp; Downtime Entry'!$L$6:$L$1005,'Fault &amp; Downtime Entry'!$E$6:$E$1005,G33,'Fault &amp; Downtime Entry'!$B$6:$B$1005,B33)/O33*1000,999999)))))</f>
        <v/>
      </c>
      <c r="AT33" s="49" t="n">
        <f aca="false">IF(COUNTA(AH33,AJ33)=0,"",MIN(120,IF(AND(AH33&lt;&gt;"",AJ33&lt;&gt;""),AVERAGE(AH33,AJ33),IF(AH33&lt;&gt;"",AH33,AJ33))))</f>
        <v>0</v>
      </c>
      <c r="AU33" s="49" t="str">
        <f aca="false">IF(AI33="","",MIN(120,AI33))</f>
        <v/>
      </c>
      <c r="AV33" s="49" t="str">
        <f aca="false">IF(AJ33="","",MIN(120,AJ33))</f>
        <v/>
      </c>
      <c r="AW33" s="50" t="str">
        <f aca="false">IF(COUNT(AN33:AV33)&lt;9,"",(AN33*'Standards &amp; Scoring'!$D$5+AO33*'Standards &amp; Scoring'!$D$6+AP33*'Standards &amp; Scoring'!$D$7+AQ33*'Standards &amp; Scoring'!$D$8+AR33*'Standards &amp; Scoring'!$D$9+AS33*'Standards &amp; Scoring'!$D$10+AT33*'Standards &amp; Scoring'!$D$11+AU33*'Standards &amp; Scoring'!$D$12+AV33*'Standards &amp; Scoring'!$D$13)/10000)</f>
        <v/>
      </c>
      <c r="AX33" s="47" t="str">
        <f aca="false">IF(AW33="","",IF(AW33&gt;=1.05,"A+",IF(AW33&gt;=1,"A",IF(AW33&gt;=0.95,"B+",IF(AW33&gt;=0.9,"B","C")))))</f>
        <v/>
      </c>
      <c r="AY33" s="47" t="str">
        <f aca="false">IF(AX33="","",IF(AX33="A+",1800,IF(AX33="A",1600,IF(AX33="B+",1400,IF(AX33="B",1200,0)))))</f>
        <v/>
      </c>
      <c r="AZ33" s="49" t="str">
        <f aca="false">IF(OR(L33="",M33="",S33="",M33=0),"",IFERROR(L33*60*S33/(M33*36),0))</f>
        <v/>
      </c>
    </row>
    <row r="34" customFormat="false" ht="15" hidden="false" customHeight="true" outlineLevel="0" collapsed="false">
      <c r="A34" s="47" t="n">
        <f aca="false">'Daily KPI Entry'!A35</f>
        <v>30</v>
      </c>
      <c r="B34" s="48" t="n">
        <f aca="false">'Daily KPI Entry'!B35</f>
        <v>46288</v>
      </c>
      <c r="C34" s="47" t="n">
        <f aca="false">'Daily KPI Entry'!C35</f>
        <v>0</v>
      </c>
      <c r="D34" s="47" t="n">
        <f aca="false">'Daily KPI Entry'!D35</f>
        <v>0</v>
      </c>
      <c r="E34" s="47" t="n">
        <f aca="false">'Daily KPI Entry'!E35</f>
        <v>0</v>
      </c>
      <c r="F34" s="47" t="n">
        <f aca="false">'Daily KPI Entry'!F35</f>
        <v>0</v>
      </c>
      <c r="G34" s="47" t="str">
        <f aca="false">'Daily KPI Entry'!G35</f>
        <v>STL005519</v>
      </c>
      <c r="H34" s="47" t="str">
        <f aca="false">'Daily KPI Entry'!H35</f>
        <v>MD. MOZNU SHEKH</v>
      </c>
      <c r="I34" s="47" t="n">
        <f aca="false">'Daily KPI Entry'!I35</f>
        <v>0</v>
      </c>
      <c r="J34" s="47" t="n">
        <f aca="false">'Daily KPI Entry'!J35</f>
        <v>0</v>
      </c>
      <c r="K34" s="47" t="n">
        <f aca="false">'Daily KPI Entry'!K35</f>
        <v>0</v>
      </c>
      <c r="L34" s="47" t="n">
        <f aca="false">'Daily KPI Entry'!L35</f>
        <v>555</v>
      </c>
      <c r="M34" s="47" t="n">
        <f aca="false">'Daily KPI Entry'!M35</f>
        <v>41.9</v>
      </c>
      <c r="N34" s="49" t="n">
        <f aca="false">'Daily KPI Entry'!N35</f>
        <v>0</v>
      </c>
      <c r="O34" s="49" t="n">
        <f aca="false">'Daily KPI Entry'!O35</f>
        <v>0</v>
      </c>
      <c r="P34" s="49" t="str">
        <f aca="false">IF(OR(N34="",O34=""),"",IFERROR(O34/N34*100,0))</f>
        <v/>
      </c>
      <c r="Q34" s="47" t="n">
        <f aca="false">'Daily KPI Entry'!Q35</f>
        <v>8</v>
      </c>
      <c r="R34" s="47" t="str">
        <f aca="false">IF(J34="","",Q34*J34)</f>
        <v/>
      </c>
      <c r="S34" s="49" t="n">
        <f aca="false">'Daily KPI Entry'!S35</f>
        <v>0</v>
      </c>
      <c r="T34" s="49" t="str">
        <f aca="false">IF(OR(R34="",S34=""),"",IFERROR(S34/R34*100,0))</f>
        <v/>
      </c>
      <c r="U34" s="49" t="str">
        <f aca="false">IF(OR(O34="",L34="",M34="",S34="",M34=0),"",IFERROR(O34/(L34*60*S34/(M34*36))*100,0))</f>
        <v/>
      </c>
      <c r="V34" s="49" t="n">
        <f aca="false">'Daily KPI Entry'!V35</f>
        <v>0</v>
      </c>
      <c r="W34" s="49" t="str">
        <f aca="false">IF(O34="","",IFERROR(V34/O34*100,0))</f>
        <v/>
      </c>
      <c r="X34" s="49" t="n">
        <f aca="false">'Daily KPI Entry'!X35</f>
        <v>0</v>
      </c>
      <c r="Y34" s="49" t="n">
        <f aca="false">'Daily KPI Entry'!Y35</f>
        <v>0</v>
      </c>
      <c r="Z34" s="49" t="n">
        <f aca="false">'Daily KPI Entry'!Z35</f>
        <v>0</v>
      </c>
      <c r="AA34" s="49" t="n">
        <f aca="false">'Daily KPI Entry'!AA35</f>
        <v>0</v>
      </c>
      <c r="AB34" s="49" t="n">
        <f aca="false">'Daily KPI Entry'!AB35</f>
        <v>0</v>
      </c>
      <c r="AC34" s="49" t="n">
        <f aca="false">'Daily KPI Entry'!AC35</f>
        <v>0</v>
      </c>
      <c r="AD34" s="49" t="n">
        <f aca="false">'Daily KPI Entry'!AD35</f>
        <v>0</v>
      </c>
      <c r="AE34" s="49" t="n">
        <f aca="false">'Daily KPI Entry'!AE35</f>
        <v>0</v>
      </c>
      <c r="AF34" s="47" t="str">
        <f aca="false">IF(O34="","",SUM(X34:AE34))</f>
        <v/>
      </c>
      <c r="AG34" s="49" t="str">
        <f aca="false">IF(O34="","",IFERROR(AF34/O34*1000,0))</f>
        <v/>
      </c>
      <c r="AH34" s="49" t="n">
        <f aca="false">'Daily KPI Entry'!AH35</f>
        <v>0</v>
      </c>
      <c r="AI34" s="49" t="n">
        <f aca="false">'Daily KPI Entry'!AI35</f>
        <v>0</v>
      </c>
      <c r="AJ34" s="49" t="n">
        <f aca="false">'Daily KPI Entry'!AJ35</f>
        <v>0</v>
      </c>
      <c r="AK34" s="47" t="n">
        <f aca="false">'Daily KPI Entry'!AK35</f>
        <v>0</v>
      </c>
      <c r="AL34" s="47" t="n">
        <f aca="false">'Daily KPI Entry'!AL35</f>
        <v>0</v>
      </c>
      <c r="AM34" s="47" t="n">
        <f aca="false">'Daily KPI Entry'!AM35</f>
        <v>0</v>
      </c>
      <c r="AN34" s="49" t="str">
        <f aca="false">IF(P34="","",MIN(120,P34))</f>
        <v/>
      </c>
      <c r="AO34" s="49" t="str">
        <f aca="false">IF(U34="","",MIN(120,U34))</f>
        <v/>
      </c>
      <c r="AP34" s="49" t="str">
        <f aca="false">IF(R34="","",MIN(120,IFERROR(S34/R34*100,0)))</f>
        <v/>
      </c>
      <c r="AQ34" s="49" t="str">
        <f aca="false">IF(W34="","",MIN(120,IF(W34=0,120,100*(INDEX('Standards &amp; Scoring'!$E$5:$E$13,MATCH("Quality / Rejection",'Standards &amp; Scoring'!$A$5:$A$13,0))/W34))))</f>
        <v/>
      </c>
      <c r="AR34" s="49" t="str">
        <f aca="false">IF(AG34="","",MIN(120,IF(AG34=0,120,100*(INDEX('Standards &amp; Scoring'!$E$5:$E$13,MATCH("Fault Control",'Standards &amp; Scoring'!$A$5:$A$13,0))/AG34))))</f>
        <v/>
      </c>
      <c r="AS34" s="49" t="str">
        <f aca="false">IF(O34="","",MIN(120,IF(SUMIFS('Fault &amp; Downtime Entry'!$L$6:$L$1005,'Fault &amp; Downtime Entry'!$E$6:$E$1005,G34,'Fault &amp; Downtime Entry'!$B$6:$B$1005,B34)=0,120,100*(INDEX('Standards &amp; Scoring'!$E$5:$E$13,MATCH("Downtime Control",'Standards &amp; Scoring'!$A$5:$A$13,0))/IFERROR(SUMIFS('Fault &amp; Downtime Entry'!$L$6:$L$1005,'Fault &amp; Downtime Entry'!$E$6:$E$1005,G34,'Fault &amp; Downtime Entry'!$B$6:$B$1005,B34)/O34*1000,999999)))))</f>
        <v/>
      </c>
      <c r="AT34" s="49" t="n">
        <f aca="false">IF(COUNTA(AH34,AJ34)=0,"",MIN(120,IF(AND(AH34&lt;&gt;"",AJ34&lt;&gt;""),AVERAGE(AH34,AJ34),IF(AH34&lt;&gt;"",AH34,AJ34))))</f>
        <v>0</v>
      </c>
      <c r="AU34" s="49" t="str">
        <f aca="false">IF(AI34="","",MIN(120,AI34))</f>
        <v/>
      </c>
      <c r="AV34" s="49" t="str">
        <f aca="false">IF(AJ34="","",MIN(120,AJ34))</f>
        <v/>
      </c>
      <c r="AW34" s="50" t="str">
        <f aca="false">IF(COUNT(AN34:AV34)&lt;9,"",(AN34*'Standards &amp; Scoring'!$D$5+AO34*'Standards &amp; Scoring'!$D$6+AP34*'Standards &amp; Scoring'!$D$7+AQ34*'Standards &amp; Scoring'!$D$8+AR34*'Standards &amp; Scoring'!$D$9+AS34*'Standards &amp; Scoring'!$D$10+AT34*'Standards &amp; Scoring'!$D$11+AU34*'Standards &amp; Scoring'!$D$12+AV34*'Standards &amp; Scoring'!$D$13)/10000)</f>
        <v/>
      </c>
      <c r="AX34" s="47" t="str">
        <f aca="false">IF(AW34="","",IF(AW34&gt;=1.05,"A+",IF(AW34&gt;=1,"A",IF(AW34&gt;=0.95,"B+",IF(AW34&gt;=0.9,"B","C")))))</f>
        <v/>
      </c>
      <c r="AY34" s="47" t="str">
        <f aca="false">IF(AX34="","",IF(AX34="A+",1800,IF(AX34="A",1600,IF(AX34="B+",1400,IF(AX34="B",1200,0)))))</f>
        <v/>
      </c>
      <c r="AZ34" s="49" t="str">
        <f aca="false">IF(OR(L34="",M34="",S34="",M34=0),"",IFERROR(L34*60*S34/(M34*36),0))</f>
        <v/>
      </c>
    </row>
    <row r="35" customFormat="false" ht="15" hidden="false" customHeight="true" outlineLevel="0" collapsed="false">
      <c r="A35" s="47" t="n">
        <f aca="false">'Daily KPI Entry'!A36</f>
        <v>31</v>
      </c>
      <c r="B35" s="48" t="n">
        <f aca="false">'Daily KPI Entry'!B36</f>
        <v>46288</v>
      </c>
      <c r="C35" s="47" t="n">
        <f aca="false">'Daily KPI Entry'!C36</f>
        <v>0</v>
      </c>
      <c r="D35" s="47" t="n">
        <f aca="false">'Daily KPI Entry'!D36</f>
        <v>0</v>
      </c>
      <c r="E35" s="47" t="n">
        <f aca="false">'Daily KPI Entry'!E36</f>
        <v>0</v>
      </c>
      <c r="F35" s="47" t="n">
        <f aca="false">'Daily KPI Entry'!F36</f>
        <v>0</v>
      </c>
      <c r="G35" s="47" t="str">
        <f aca="false">'Daily KPI Entry'!G36</f>
        <v>STL005500</v>
      </c>
      <c r="H35" s="47" t="str">
        <f aca="false">'Daily KPI Entry'!H36</f>
        <v>MD. AMINUR ISLAM</v>
      </c>
      <c r="I35" s="47" t="n">
        <f aca="false">'Daily KPI Entry'!I36</f>
        <v>0</v>
      </c>
      <c r="J35" s="47" t="n">
        <f aca="false">'Daily KPI Entry'!J36</f>
        <v>0</v>
      </c>
      <c r="K35" s="47" t="n">
        <f aca="false">'Daily KPI Entry'!K36</f>
        <v>0</v>
      </c>
      <c r="L35" s="47" t="n">
        <f aca="false">'Daily KPI Entry'!L36</f>
        <v>541.666666666667</v>
      </c>
      <c r="M35" s="47" t="n">
        <f aca="false">'Daily KPI Entry'!M36</f>
        <v>42.44</v>
      </c>
      <c r="N35" s="49" t="n">
        <f aca="false">'Daily KPI Entry'!N36</f>
        <v>0</v>
      </c>
      <c r="O35" s="49" t="n">
        <f aca="false">'Daily KPI Entry'!O36</f>
        <v>0</v>
      </c>
      <c r="P35" s="49" t="str">
        <f aca="false">IF(OR(N35="",O35=""),"",IFERROR(O35/N35*100,0))</f>
        <v/>
      </c>
      <c r="Q35" s="47" t="n">
        <f aca="false">'Daily KPI Entry'!Q36</f>
        <v>8</v>
      </c>
      <c r="R35" s="47" t="str">
        <f aca="false">IF(J35="","",Q35*J35)</f>
        <v/>
      </c>
      <c r="S35" s="49" t="n">
        <f aca="false">'Daily KPI Entry'!S36</f>
        <v>0</v>
      </c>
      <c r="T35" s="49" t="str">
        <f aca="false">IF(OR(R35="",S35=""),"",IFERROR(S35/R35*100,0))</f>
        <v/>
      </c>
      <c r="U35" s="49" t="str">
        <f aca="false">IF(OR(O35="",L35="",M35="",S35="",M35=0),"",IFERROR(O35/(L35*60*S35/(M35*36))*100,0))</f>
        <v/>
      </c>
      <c r="V35" s="49" t="n">
        <f aca="false">'Daily KPI Entry'!V36</f>
        <v>0</v>
      </c>
      <c r="W35" s="49" t="str">
        <f aca="false">IF(O35="","",IFERROR(V35/O35*100,0))</f>
        <v/>
      </c>
      <c r="X35" s="49" t="n">
        <f aca="false">'Daily KPI Entry'!X36</f>
        <v>0</v>
      </c>
      <c r="Y35" s="49" t="n">
        <f aca="false">'Daily KPI Entry'!Y36</f>
        <v>0</v>
      </c>
      <c r="Z35" s="49" t="n">
        <f aca="false">'Daily KPI Entry'!Z36</f>
        <v>0</v>
      </c>
      <c r="AA35" s="49" t="n">
        <f aca="false">'Daily KPI Entry'!AA36</f>
        <v>0</v>
      </c>
      <c r="AB35" s="49" t="n">
        <f aca="false">'Daily KPI Entry'!AB36</f>
        <v>0</v>
      </c>
      <c r="AC35" s="49" t="n">
        <f aca="false">'Daily KPI Entry'!AC36</f>
        <v>0</v>
      </c>
      <c r="AD35" s="49" t="n">
        <f aca="false">'Daily KPI Entry'!AD36</f>
        <v>0</v>
      </c>
      <c r="AE35" s="49" t="n">
        <f aca="false">'Daily KPI Entry'!AE36</f>
        <v>0</v>
      </c>
      <c r="AF35" s="47" t="str">
        <f aca="false">IF(O35="","",SUM(X35:AE35))</f>
        <v/>
      </c>
      <c r="AG35" s="49" t="str">
        <f aca="false">IF(O35="","",IFERROR(AF35/O35*1000,0))</f>
        <v/>
      </c>
      <c r="AH35" s="49" t="n">
        <f aca="false">'Daily KPI Entry'!AH36</f>
        <v>0</v>
      </c>
      <c r="AI35" s="49" t="n">
        <f aca="false">'Daily KPI Entry'!AI36</f>
        <v>0</v>
      </c>
      <c r="AJ35" s="49" t="n">
        <f aca="false">'Daily KPI Entry'!AJ36</f>
        <v>0</v>
      </c>
      <c r="AK35" s="47" t="n">
        <f aca="false">'Daily KPI Entry'!AK36</f>
        <v>0</v>
      </c>
      <c r="AL35" s="47" t="n">
        <f aca="false">'Daily KPI Entry'!AL36</f>
        <v>0</v>
      </c>
      <c r="AM35" s="47" t="n">
        <f aca="false">'Daily KPI Entry'!AM36</f>
        <v>0</v>
      </c>
      <c r="AN35" s="49" t="str">
        <f aca="false">IF(P35="","",MIN(120,P35))</f>
        <v/>
      </c>
      <c r="AO35" s="49" t="str">
        <f aca="false">IF(U35="","",MIN(120,U35))</f>
        <v/>
      </c>
      <c r="AP35" s="49" t="str">
        <f aca="false">IF(R35="","",MIN(120,IFERROR(S35/R35*100,0)))</f>
        <v/>
      </c>
      <c r="AQ35" s="49" t="str">
        <f aca="false">IF(W35="","",MIN(120,IF(W35=0,120,100*(INDEX('Standards &amp; Scoring'!$E$5:$E$13,MATCH("Quality / Rejection",'Standards &amp; Scoring'!$A$5:$A$13,0))/W35))))</f>
        <v/>
      </c>
      <c r="AR35" s="49" t="str">
        <f aca="false">IF(AG35="","",MIN(120,IF(AG35=0,120,100*(INDEX('Standards &amp; Scoring'!$E$5:$E$13,MATCH("Fault Control",'Standards &amp; Scoring'!$A$5:$A$13,0))/AG35))))</f>
        <v/>
      </c>
      <c r="AS35" s="49" t="str">
        <f aca="false">IF(O35="","",MIN(120,IF(SUMIFS('Fault &amp; Downtime Entry'!$L$6:$L$1005,'Fault &amp; Downtime Entry'!$E$6:$E$1005,G35,'Fault &amp; Downtime Entry'!$B$6:$B$1005,B35)=0,120,100*(INDEX('Standards &amp; Scoring'!$E$5:$E$13,MATCH("Downtime Control",'Standards &amp; Scoring'!$A$5:$A$13,0))/IFERROR(SUMIFS('Fault &amp; Downtime Entry'!$L$6:$L$1005,'Fault &amp; Downtime Entry'!$E$6:$E$1005,G35,'Fault &amp; Downtime Entry'!$B$6:$B$1005,B35)/O35*1000,999999)))))</f>
        <v/>
      </c>
      <c r="AT35" s="49" t="n">
        <f aca="false">IF(COUNTA(AH35,AJ35)=0,"",MIN(120,IF(AND(AH35&lt;&gt;"",AJ35&lt;&gt;""),AVERAGE(AH35,AJ35),IF(AH35&lt;&gt;"",AH35,AJ35))))</f>
        <v>0</v>
      </c>
      <c r="AU35" s="49" t="str">
        <f aca="false">IF(AI35="","",MIN(120,AI35))</f>
        <v/>
      </c>
      <c r="AV35" s="49" t="str">
        <f aca="false">IF(AJ35="","",MIN(120,AJ35))</f>
        <v/>
      </c>
      <c r="AW35" s="50" t="str">
        <f aca="false">IF(COUNT(AN35:AV35)&lt;9,"",(AN35*'Standards &amp; Scoring'!$D$5+AO35*'Standards &amp; Scoring'!$D$6+AP35*'Standards &amp; Scoring'!$D$7+AQ35*'Standards &amp; Scoring'!$D$8+AR35*'Standards &amp; Scoring'!$D$9+AS35*'Standards &amp; Scoring'!$D$10+AT35*'Standards &amp; Scoring'!$D$11+AU35*'Standards &amp; Scoring'!$D$12+AV35*'Standards &amp; Scoring'!$D$13)/10000)</f>
        <v/>
      </c>
      <c r="AX35" s="47" t="str">
        <f aca="false">IF(AW35="","",IF(AW35&gt;=1.05,"A+",IF(AW35&gt;=1,"A",IF(AW35&gt;=0.95,"B+",IF(AW35&gt;=0.9,"B","C")))))</f>
        <v/>
      </c>
      <c r="AY35" s="47" t="str">
        <f aca="false">IF(AX35="","",IF(AX35="A+",1800,IF(AX35="A",1600,IF(AX35="B+",1400,IF(AX35="B",1200,0)))))</f>
        <v/>
      </c>
      <c r="AZ35" s="49" t="str">
        <f aca="false">IF(OR(L35="",M35="",S35="",M35=0),"",IFERROR(L35*60*S35/(M35*36),0))</f>
        <v/>
      </c>
    </row>
    <row r="36" customFormat="false" ht="15" hidden="false" customHeight="true" outlineLevel="0" collapsed="false">
      <c r="A36" s="47" t="n">
        <f aca="false">'Daily KPI Entry'!A37</f>
        <v>32</v>
      </c>
      <c r="B36" s="48" t="n">
        <f aca="false">'Daily KPI Entry'!B37</f>
        <v>46288</v>
      </c>
      <c r="C36" s="47" t="n">
        <f aca="false">'Daily KPI Entry'!C37</f>
        <v>0</v>
      </c>
      <c r="D36" s="47" t="n">
        <f aca="false">'Daily KPI Entry'!D37</f>
        <v>0</v>
      </c>
      <c r="E36" s="47" t="n">
        <f aca="false">'Daily KPI Entry'!E37</f>
        <v>0</v>
      </c>
      <c r="F36" s="47" t="n">
        <f aca="false">'Daily KPI Entry'!F37</f>
        <v>0</v>
      </c>
      <c r="G36" s="47" t="str">
        <f aca="false">'Daily KPI Entry'!G37</f>
        <v>STL006681</v>
      </c>
      <c r="H36" s="47" t="str">
        <f aca="false">'Daily KPI Entry'!H37</f>
        <v>MD. BABUL MIAH</v>
      </c>
      <c r="I36" s="47" t="n">
        <f aca="false">'Daily KPI Entry'!I37</f>
        <v>0</v>
      </c>
      <c r="J36" s="47" t="n">
        <f aca="false">'Daily KPI Entry'!J37</f>
        <v>0</v>
      </c>
      <c r="K36" s="47" t="n">
        <f aca="false">'Daily KPI Entry'!K37</f>
        <v>0</v>
      </c>
      <c r="L36" s="47" t="n">
        <f aca="false">'Daily KPI Entry'!L37</f>
        <v>525</v>
      </c>
      <c r="M36" s="47" t="n">
        <f aca="false">'Daily KPI Entry'!M37</f>
        <v>39.22</v>
      </c>
      <c r="N36" s="49" t="n">
        <f aca="false">'Daily KPI Entry'!N37</f>
        <v>0</v>
      </c>
      <c r="O36" s="49" t="n">
        <f aca="false">'Daily KPI Entry'!O37</f>
        <v>0</v>
      </c>
      <c r="P36" s="49" t="str">
        <f aca="false">IF(OR(N36="",O36=""),"",IFERROR(O36/N36*100,0))</f>
        <v/>
      </c>
      <c r="Q36" s="47" t="n">
        <f aca="false">'Daily KPI Entry'!Q37</f>
        <v>8</v>
      </c>
      <c r="R36" s="47" t="str">
        <f aca="false">IF(J36="","",Q36*J36)</f>
        <v/>
      </c>
      <c r="S36" s="49" t="n">
        <f aca="false">'Daily KPI Entry'!S37</f>
        <v>0</v>
      </c>
      <c r="T36" s="49" t="str">
        <f aca="false">IF(OR(R36="",S36=""),"",IFERROR(S36/R36*100,0))</f>
        <v/>
      </c>
      <c r="U36" s="49" t="str">
        <f aca="false">IF(OR(O36="",L36="",M36="",S36="",M36=0),"",IFERROR(O36/(L36*60*S36/(M36*36))*100,0))</f>
        <v/>
      </c>
      <c r="V36" s="49" t="n">
        <f aca="false">'Daily KPI Entry'!V37</f>
        <v>0</v>
      </c>
      <c r="W36" s="49" t="str">
        <f aca="false">IF(O36="","",IFERROR(V36/O36*100,0))</f>
        <v/>
      </c>
      <c r="X36" s="49" t="n">
        <f aca="false">'Daily KPI Entry'!X37</f>
        <v>0</v>
      </c>
      <c r="Y36" s="49" t="n">
        <f aca="false">'Daily KPI Entry'!Y37</f>
        <v>0</v>
      </c>
      <c r="Z36" s="49" t="n">
        <f aca="false">'Daily KPI Entry'!Z37</f>
        <v>0</v>
      </c>
      <c r="AA36" s="49" t="n">
        <f aca="false">'Daily KPI Entry'!AA37</f>
        <v>0</v>
      </c>
      <c r="AB36" s="49" t="n">
        <f aca="false">'Daily KPI Entry'!AB37</f>
        <v>0</v>
      </c>
      <c r="AC36" s="49" t="n">
        <f aca="false">'Daily KPI Entry'!AC37</f>
        <v>0</v>
      </c>
      <c r="AD36" s="49" t="n">
        <f aca="false">'Daily KPI Entry'!AD37</f>
        <v>0</v>
      </c>
      <c r="AE36" s="49" t="n">
        <f aca="false">'Daily KPI Entry'!AE37</f>
        <v>0</v>
      </c>
      <c r="AF36" s="47" t="str">
        <f aca="false">IF(O36="","",SUM(X36:AE36))</f>
        <v/>
      </c>
      <c r="AG36" s="49" t="str">
        <f aca="false">IF(O36="","",IFERROR(AF36/O36*1000,0))</f>
        <v/>
      </c>
      <c r="AH36" s="49" t="n">
        <f aca="false">'Daily KPI Entry'!AH37</f>
        <v>0</v>
      </c>
      <c r="AI36" s="49" t="n">
        <f aca="false">'Daily KPI Entry'!AI37</f>
        <v>0</v>
      </c>
      <c r="AJ36" s="49" t="n">
        <f aca="false">'Daily KPI Entry'!AJ37</f>
        <v>0</v>
      </c>
      <c r="AK36" s="47" t="n">
        <f aca="false">'Daily KPI Entry'!AK37</f>
        <v>0</v>
      </c>
      <c r="AL36" s="47" t="n">
        <f aca="false">'Daily KPI Entry'!AL37</f>
        <v>0</v>
      </c>
      <c r="AM36" s="47" t="n">
        <f aca="false">'Daily KPI Entry'!AM37</f>
        <v>0</v>
      </c>
      <c r="AN36" s="49" t="str">
        <f aca="false">IF(P36="","",MIN(120,P36))</f>
        <v/>
      </c>
      <c r="AO36" s="49" t="str">
        <f aca="false">IF(U36="","",MIN(120,U36))</f>
        <v/>
      </c>
      <c r="AP36" s="49" t="str">
        <f aca="false">IF(R36="","",MIN(120,IFERROR(S36/R36*100,0)))</f>
        <v/>
      </c>
      <c r="AQ36" s="49" t="str">
        <f aca="false">IF(W36="","",MIN(120,IF(W36=0,120,100*(INDEX('Standards &amp; Scoring'!$E$5:$E$13,MATCH("Quality / Rejection",'Standards &amp; Scoring'!$A$5:$A$13,0))/W36))))</f>
        <v/>
      </c>
      <c r="AR36" s="49" t="str">
        <f aca="false">IF(AG36="","",MIN(120,IF(AG36=0,120,100*(INDEX('Standards &amp; Scoring'!$E$5:$E$13,MATCH("Fault Control",'Standards &amp; Scoring'!$A$5:$A$13,0))/AG36))))</f>
        <v/>
      </c>
      <c r="AS36" s="49" t="str">
        <f aca="false">IF(O36="","",MIN(120,IF(SUMIFS('Fault &amp; Downtime Entry'!$L$6:$L$1005,'Fault &amp; Downtime Entry'!$E$6:$E$1005,G36,'Fault &amp; Downtime Entry'!$B$6:$B$1005,B36)=0,120,100*(INDEX('Standards &amp; Scoring'!$E$5:$E$13,MATCH("Downtime Control",'Standards &amp; Scoring'!$A$5:$A$13,0))/IFERROR(SUMIFS('Fault &amp; Downtime Entry'!$L$6:$L$1005,'Fault &amp; Downtime Entry'!$E$6:$E$1005,G36,'Fault &amp; Downtime Entry'!$B$6:$B$1005,B36)/O36*1000,999999)))))</f>
        <v/>
      </c>
      <c r="AT36" s="49" t="n">
        <f aca="false">IF(COUNTA(AH36,AJ36)=0,"",MIN(120,IF(AND(AH36&lt;&gt;"",AJ36&lt;&gt;""),AVERAGE(AH36,AJ36),IF(AH36&lt;&gt;"",AH36,AJ36))))</f>
        <v>0</v>
      </c>
      <c r="AU36" s="49" t="str">
        <f aca="false">IF(AI36="","",MIN(120,AI36))</f>
        <v/>
      </c>
      <c r="AV36" s="49" t="str">
        <f aca="false">IF(AJ36="","",MIN(120,AJ36))</f>
        <v/>
      </c>
      <c r="AW36" s="50" t="str">
        <f aca="false">IF(COUNT(AN36:AV36)&lt;9,"",(AN36*'Standards &amp; Scoring'!$D$5+AO36*'Standards &amp; Scoring'!$D$6+AP36*'Standards &amp; Scoring'!$D$7+AQ36*'Standards &amp; Scoring'!$D$8+AR36*'Standards &amp; Scoring'!$D$9+AS36*'Standards &amp; Scoring'!$D$10+AT36*'Standards &amp; Scoring'!$D$11+AU36*'Standards &amp; Scoring'!$D$12+AV36*'Standards &amp; Scoring'!$D$13)/10000)</f>
        <v/>
      </c>
      <c r="AX36" s="47" t="str">
        <f aca="false">IF(AW36="","",IF(AW36&gt;=1.05,"A+",IF(AW36&gt;=1,"A",IF(AW36&gt;=0.95,"B+",IF(AW36&gt;=0.9,"B","C")))))</f>
        <v/>
      </c>
      <c r="AY36" s="47" t="str">
        <f aca="false">IF(AX36="","",IF(AX36="A+",1800,IF(AX36="A",1600,IF(AX36="B+",1400,IF(AX36="B",1200,0)))))</f>
        <v/>
      </c>
      <c r="AZ36" s="49" t="str">
        <f aca="false">IF(OR(L36="",M36="",S36="",M36=0),"",IFERROR(L36*60*S36/(M36*36),0))</f>
        <v/>
      </c>
    </row>
    <row r="37" customFormat="false" ht="15" hidden="false" customHeight="true" outlineLevel="0" collapsed="false">
      <c r="A37" s="47" t="n">
        <f aca="false">'Daily KPI Entry'!A38</f>
        <v>33</v>
      </c>
      <c r="B37" s="48" t="n">
        <f aca="false">'Daily KPI Entry'!B38</f>
        <v>46288</v>
      </c>
      <c r="C37" s="47" t="n">
        <f aca="false">'Daily KPI Entry'!C38</f>
        <v>0</v>
      </c>
      <c r="D37" s="47" t="n">
        <f aca="false">'Daily KPI Entry'!D38</f>
        <v>0</v>
      </c>
      <c r="E37" s="47" t="n">
        <f aca="false">'Daily KPI Entry'!E38</f>
        <v>0</v>
      </c>
      <c r="F37" s="47" t="n">
        <f aca="false">'Daily KPI Entry'!F38</f>
        <v>0</v>
      </c>
      <c r="G37" s="47" t="str">
        <f aca="false">'Daily KPI Entry'!G38</f>
        <v>STL006736</v>
      </c>
      <c r="H37" s="47" t="str">
        <f aca="false">'Daily KPI Entry'!H38</f>
        <v>MD. ROFIKUL ISLAM</v>
      </c>
      <c r="I37" s="47" t="n">
        <f aca="false">'Daily KPI Entry'!I38</f>
        <v>0</v>
      </c>
      <c r="J37" s="47" t="n">
        <f aca="false">'Daily KPI Entry'!J38</f>
        <v>0</v>
      </c>
      <c r="K37" s="47" t="n">
        <f aca="false">'Daily KPI Entry'!K38</f>
        <v>0</v>
      </c>
      <c r="L37" s="47" t="n">
        <f aca="false">'Daily KPI Entry'!L38</f>
        <v>537.5</v>
      </c>
      <c r="M37" s="47" t="n">
        <f aca="false">'Daily KPI Entry'!M38</f>
        <v>41.6</v>
      </c>
      <c r="N37" s="49" t="n">
        <f aca="false">'Daily KPI Entry'!N38</f>
        <v>0</v>
      </c>
      <c r="O37" s="49" t="n">
        <f aca="false">'Daily KPI Entry'!O38</f>
        <v>0</v>
      </c>
      <c r="P37" s="49" t="str">
        <f aca="false">IF(OR(N37="",O37=""),"",IFERROR(O37/N37*100,0))</f>
        <v/>
      </c>
      <c r="Q37" s="47" t="n">
        <f aca="false">'Daily KPI Entry'!Q38</f>
        <v>8</v>
      </c>
      <c r="R37" s="47" t="str">
        <f aca="false">IF(J37="","",Q37*J37)</f>
        <v/>
      </c>
      <c r="S37" s="49" t="n">
        <f aca="false">'Daily KPI Entry'!S38</f>
        <v>0</v>
      </c>
      <c r="T37" s="49" t="str">
        <f aca="false">IF(OR(R37="",S37=""),"",IFERROR(S37/R37*100,0))</f>
        <v/>
      </c>
      <c r="U37" s="49" t="str">
        <f aca="false">IF(OR(O37="",L37="",M37="",S37="",M37=0),"",IFERROR(O37/(L37*60*S37/(M37*36))*100,0))</f>
        <v/>
      </c>
      <c r="V37" s="49" t="n">
        <f aca="false">'Daily KPI Entry'!V38</f>
        <v>0</v>
      </c>
      <c r="W37" s="49" t="str">
        <f aca="false">IF(O37="","",IFERROR(V37/O37*100,0))</f>
        <v/>
      </c>
      <c r="X37" s="49" t="n">
        <f aca="false">'Daily KPI Entry'!X38</f>
        <v>0</v>
      </c>
      <c r="Y37" s="49" t="n">
        <f aca="false">'Daily KPI Entry'!Y38</f>
        <v>0</v>
      </c>
      <c r="Z37" s="49" t="n">
        <f aca="false">'Daily KPI Entry'!Z38</f>
        <v>0</v>
      </c>
      <c r="AA37" s="49" t="n">
        <f aca="false">'Daily KPI Entry'!AA38</f>
        <v>0</v>
      </c>
      <c r="AB37" s="49" t="n">
        <f aca="false">'Daily KPI Entry'!AB38</f>
        <v>0</v>
      </c>
      <c r="AC37" s="49" t="n">
        <f aca="false">'Daily KPI Entry'!AC38</f>
        <v>0</v>
      </c>
      <c r="AD37" s="49" t="n">
        <f aca="false">'Daily KPI Entry'!AD38</f>
        <v>0</v>
      </c>
      <c r="AE37" s="49" t="n">
        <f aca="false">'Daily KPI Entry'!AE38</f>
        <v>0</v>
      </c>
      <c r="AF37" s="47" t="str">
        <f aca="false">IF(O37="","",SUM(X37:AE37))</f>
        <v/>
      </c>
      <c r="AG37" s="49" t="str">
        <f aca="false">IF(O37="","",IFERROR(AF37/O37*1000,0))</f>
        <v/>
      </c>
      <c r="AH37" s="49" t="n">
        <f aca="false">'Daily KPI Entry'!AH38</f>
        <v>0</v>
      </c>
      <c r="AI37" s="49" t="n">
        <f aca="false">'Daily KPI Entry'!AI38</f>
        <v>0</v>
      </c>
      <c r="AJ37" s="49" t="n">
        <f aca="false">'Daily KPI Entry'!AJ38</f>
        <v>0</v>
      </c>
      <c r="AK37" s="47" t="n">
        <f aca="false">'Daily KPI Entry'!AK38</f>
        <v>0</v>
      </c>
      <c r="AL37" s="47" t="n">
        <f aca="false">'Daily KPI Entry'!AL38</f>
        <v>0</v>
      </c>
      <c r="AM37" s="47" t="n">
        <f aca="false">'Daily KPI Entry'!AM38</f>
        <v>0</v>
      </c>
      <c r="AN37" s="49" t="str">
        <f aca="false">IF(P37="","",MIN(120,P37))</f>
        <v/>
      </c>
      <c r="AO37" s="49" t="str">
        <f aca="false">IF(U37="","",MIN(120,U37))</f>
        <v/>
      </c>
      <c r="AP37" s="49" t="str">
        <f aca="false">IF(R37="","",MIN(120,IFERROR(S37/R37*100,0)))</f>
        <v/>
      </c>
      <c r="AQ37" s="49" t="str">
        <f aca="false">IF(W37="","",MIN(120,IF(W37=0,120,100*(INDEX('Standards &amp; Scoring'!$E$5:$E$13,MATCH("Quality / Rejection",'Standards &amp; Scoring'!$A$5:$A$13,0))/W37))))</f>
        <v/>
      </c>
      <c r="AR37" s="49" t="str">
        <f aca="false">IF(AG37="","",MIN(120,IF(AG37=0,120,100*(INDEX('Standards &amp; Scoring'!$E$5:$E$13,MATCH("Fault Control",'Standards &amp; Scoring'!$A$5:$A$13,0))/AG37))))</f>
        <v/>
      </c>
      <c r="AS37" s="49" t="str">
        <f aca="false">IF(O37="","",MIN(120,IF(SUMIFS('Fault &amp; Downtime Entry'!$L$6:$L$1005,'Fault &amp; Downtime Entry'!$E$6:$E$1005,G37,'Fault &amp; Downtime Entry'!$B$6:$B$1005,B37)=0,120,100*(INDEX('Standards &amp; Scoring'!$E$5:$E$13,MATCH("Downtime Control",'Standards &amp; Scoring'!$A$5:$A$13,0))/IFERROR(SUMIFS('Fault &amp; Downtime Entry'!$L$6:$L$1005,'Fault &amp; Downtime Entry'!$E$6:$E$1005,G37,'Fault &amp; Downtime Entry'!$B$6:$B$1005,B37)/O37*1000,999999)))))</f>
        <v/>
      </c>
      <c r="AT37" s="49" t="n">
        <f aca="false">IF(COUNTA(AH37,AJ37)=0,"",MIN(120,IF(AND(AH37&lt;&gt;"",AJ37&lt;&gt;""),AVERAGE(AH37,AJ37),IF(AH37&lt;&gt;"",AH37,AJ37))))</f>
        <v>0</v>
      </c>
      <c r="AU37" s="49" t="str">
        <f aca="false">IF(AI37="","",MIN(120,AI37))</f>
        <v/>
      </c>
      <c r="AV37" s="49" t="str">
        <f aca="false">IF(AJ37="","",MIN(120,AJ37))</f>
        <v/>
      </c>
      <c r="AW37" s="50" t="str">
        <f aca="false">IF(COUNT(AN37:AV37)&lt;9,"",(AN37*'Standards &amp; Scoring'!$D$5+AO37*'Standards &amp; Scoring'!$D$6+AP37*'Standards &amp; Scoring'!$D$7+AQ37*'Standards &amp; Scoring'!$D$8+AR37*'Standards &amp; Scoring'!$D$9+AS37*'Standards &amp; Scoring'!$D$10+AT37*'Standards &amp; Scoring'!$D$11+AU37*'Standards &amp; Scoring'!$D$12+AV37*'Standards &amp; Scoring'!$D$13)/10000)</f>
        <v/>
      </c>
      <c r="AX37" s="47" t="str">
        <f aca="false">IF(AW37="","",IF(AW37&gt;=1.05,"A+",IF(AW37&gt;=1,"A",IF(AW37&gt;=0.95,"B+",IF(AW37&gt;=0.9,"B","C")))))</f>
        <v/>
      </c>
      <c r="AY37" s="47" t="str">
        <f aca="false">IF(AX37="","",IF(AX37="A+",1800,IF(AX37="A",1600,IF(AX37="B+",1400,IF(AX37="B",1200,0)))))</f>
        <v/>
      </c>
      <c r="AZ37" s="49" t="str">
        <f aca="false">IF(OR(L37="",M37="",S37="",M37=0),"",IFERROR(L37*60*S37/(M37*36),0))</f>
        <v/>
      </c>
    </row>
    <row r="38" customFormat="false" ht="15" hidden="false" customHeight="true" outlineLevel="0" collapsed="false">
      <c r="A38" s="47" t="n">
        <f aca="false">'Daily KPI Entry'!A39</f>
        <v>34</v>
      </c>
      <c r="B38" s="48" t="n">
        <f aca="false">'Daily KPI Entry'!B39</f>
        <v>46288</v>
      </c>
      <c r="C38" s="47" t="n">
        <f aca="false">'Daily KPI Entry'!C39</f>
        <v>0</v>
      </c>
      <c r="D38" s="47" t="n">
        <f aca="false">'Daily KPI Entry'!D39</f>
        <v>0</v>
      </c>
      <c r="E38" s="47" t="n">
        <f aca="false">'Daily KPI Entry'!E39</f>
        <v>0</v>
      </c>
      <c r="F38" s="47" t="n">
        <f aca="false">'Daily KPI Entry'!F39</f>
        <v>0</v>
      </c>
      <c r="G38" s="47" t="str">
        <f aca="false">'Daily KPI Entry'!G39</f>
        <v>STL007340</v>
      </c>
      <c r="H38" s="47" t="str">
        <f aca="false">'Daily KPI Entry'!H39</f>
        <v>MD. AMINUL ISLAM-2</v>
      </c>
      <c r="I38" s="47" t="n">
        <f aca="false">'Daily KPI Entry'!I39</f>
        <v>0</v>
      </c>
      <c r="J38" s="47" t="n">
        <f aca="false">'Daily KPI Entry'!J39</f>
        <v>0</v>
      </c>
      <c r="K38" s="47" t="n">
        <f aca="false">'Daily KPI Entry'!K39</f>
        <v>0</v>
      </c>
      <c r="L38" s="47" t="n">
        <f aca="false">'Daily KPI Entry'!L39</f>
        <v>559.375</v>
      </c>
      <c r="M38" s="47" t="n">
        <f aca="false">'Daily KPI Entry'!M39</f>
        <v>41.75</v>
      </c>
      <c r="N38" s="49" t="n">
        <f aca="false">'Daily KPI Entry'!N39</f>
        <v>0</v>
      </c>
      <c r="O38" s="49" t="n">
        <f aca="false">'Daily KPI Entry'!O39</f>
        <v>0</v>
      </c>
      <c r="P38" s="49" t="str">
        <f aca="false">IF(OR(N38="",O38=""),"",IFERROR(O38/N38*100,0))</f>
        <v/>
      </c>
      <c r="Q38" s="47" t="n">
        <f aca="false">'Daily KPI Entry'!Q39</f>
        <v>8</v>
      </c>
      <c r="R38" s="47" t="str">
        <f aca="false">IF(J38="","",Q38*J38)</f>
        <v/>
      </c>
      <c r="S38" s="49" t="n">
        <f aca="false">'Daily KPI Entry'!S39</f>
        <v>0</v>
      </c>
      <c r="T38" s="49" t="str">
        <f aca="false">IF(OR(R38="",S38=""),"",IFERROR(S38/R38*100,0))</f>
        <v/>
      </c>
      <c r="U38" s="49" t="str">
        <f aca="false">IF(OR(O38="",L38="",M38="",S38="",M38=0),"",IFERROR(O38/(L38*60*S38/(M38*36))*100,0))</f>
        <v/>
      </c>
      <c r="V38" s="49" t="n">
        <f aca="false">'Daily KPI Entry'!V39</f>
        <v>0</v>
      </c>
      <c r="W38" s="49" t="str">
        <f aca="false">IF(O38="","",IFERROR(V38/O38*100,0))</f>
        <v/>
      </c>
      <c r="X38" s="49" t="n">
        <f aca="false">'Daily KPI Entry'!X39</f>
        <v>0</v>
      </c>
      <c r="Y38" s="49" t="n">
        <f aca="false">'Daily KPI Entry'!Y39</f>
        <v>0</v>
      </c>
      <c r="Z38" s="49" t="n">
        <f aca="false">'Daily KPI Entry'!Z39</f>
        <v>0</v>
      </c>
      <c r="AA38" s="49" t="n">
        <f aca="false">'Daily KPI Entry'!AA39</f>
        <v>0</v>
      </c>
      <c r="AB38" s="49" t="n">
        <f aca="false">'Daily KPI Entry'!AB39</f>
        <v>0</v>
      </c>
      <c r="AC38" s="49" t="n">
        <f aca="false">'Daily KPI Entry'!AC39</f>
        <v>0</v>
      </c>
      <c r="AD38" s="49" t="n">
        <f aca="false">'Daily KPI Entry'!AD39</f>
        <v>0</v>
      </c>
      <c r="AE38" s="49" t="n">
        <f aca="false">'Daily KPI Entry'!AE39</f>
        <v>0</v>
      </c>
      <c r="AF38" s="47" t="str">
        <f aca="false">IF(O38="","",SUM(X38:AE38))</f>
        <v/>
      </c>
      <c r="AG38" s="49" t="str">
        <f aca="false">IF(O38="","",IFERROR(AF38/O38*1000,0))</f>
        <v/>
      </c>
      <c r="AH38" s="49" t="n">
        <f aca="false">'Daily KPI Entry'!AH39</f>
        <v>0</v>
      </c>
      <c r="AI38" s="49" t="n">
        <f aca="false">'Daily KPI Entry'!AI39</f>
        <v>0</v>
      </c>
      <c r="AJ38" s="49" t="n">
        <f aca="false">'Daily KPI Entry'!AJ39</f>
        <v>0</v>
      </c>
      <c r="AK38" s="47" t="n">
        <f aca="false">'Daily KPI Entry'!AK39</f>
        <v>0</v>
      </c>
      <c r="AL38" s="47" t="n">
        <f aca="false">'Daily KPI Entry'!AL39</f>
        <v>0</v>
      </c>
      <c r="AM38" s="47" t="n">
        <f aca="false">'Daily KPI Entry'!AM39</f>
        <v>0</v>
      </c>
      <c r="AN38" s="49" t="str">
        <f aca="false">IF(P38="","",MIN(120,P38))</f>
        <v/>
      </c>
      <c r="AO38" s="49" t="str">
        <f aca="false">IF(U38="","",MIN(120,U38))</f>
        <v/>
      </c>
      <c r="AP38" s="49" t="str">
        <f aca="false">IF(R38="","",MIN(120,IFERROR(S38/R38*100,0)))</f>
        <v/>
      </c>
      <c r="AQ38" s="49" t="str">
        <f aca="false">IF(W38="","",MIN(120,IF(W38=0,120,100*(INDEX('Standards &amp; Scoring'!$E$5:$E$13,MATCH("Quality / Rejection",'Standards &amp; Scoring'!$A$5:$A$13,0))/W38))))</f>
        <v/>
      </c>
      <c r="AR38" s="49" t="str">
        <f aca="false">IF(AG38="","",MIN(120,IF(AG38=0,120,100*(INDEX('Standards &amp; Scoring'!$E$5:$E$13,MATCH("Fault Control",'Standards &amp; Scoring'!$A$5:$A$13,0))/AG38))))</f>
        <v/>
      </c>
      <c r="AS38" s="49" t="str">
        <f aca="false">IF(O38="","",MIN(120,IF(SUMIFS('Fault &amp; Downtime Entry'!$L$6:$L$1005,'Fault &amp; Downtime Entry'!$E$6:$E$1005,G38,'Fault &amp; Downtime Entry'!$B$6:$B$1005,B38)=0,120,100*(INDEX('Standards &amp; Scoring'!$E$5:$E$13,MATCH("Downtime Control",'Standards &amp; Scoring'!$A$5:$A$13,0))/IFERROR(SUMIFS('Fault &amp; Downtime Entry'!$L$6:$L$1005,'Fault &amp; Downtime Entry'!$E$6:$E$1005,G38,'Fault &amp; Downtime Entry'!$B$6:$B$1005,B38)/O38*1000,999999)))))</f>
        <v/>
      </c>
      <c r="AT38" s="49" t="n">
        <f aca="false">IF(COUNTA(AH38,AJ38)=0,"",MIN(120,IF(AND(AH38&lt;&gt;"",AJ38&lt;&gt;""),AVERAGE(AH38,AJ38),IF(AH38&lt;&gt;"",AH38,AJ38))))</f>
        <v>0</v>
      </c>
      <c r="AU38" s="49" t="str">
        <f aca="false">IF(AI38="","",MIN(120,AI38))</f>
        <v/>
      </c>
      <c r="AV38" s="49" t="str">
        <f aca="false">IF(AJ38="","",MIN(120,AJ38))</f>
        <v/>
      </c>
      <c r="AW38" s="50" t="str">
        <f aca="false">IF(COUNT(AN38:AV38)&lt;9,"",(AN38*'Standards &amp; Scoring'!$D$5+AO38*'Standards &amp; Scoring'!$D$6+AP38*'Standards &amp; Scoring'!$D$7+AQ38*'Standards &amp; Scoring'!$D$8+AR38*'Standards &amp; Scoring'!$D$9+AS38*'Standards &amp; Scoring'!$D$10+AT38*'Standards &amp; Scoring'!$D$11+AU38*'Standards &amp; Scoring'!$D$12+AV38*'Standards &amp; Scoring'!$D$13)/10000)</f>
        <v/>
      </c>
      <c r="AX38" s="47" t="str">
        <f aca="false">IF(AW38="","",IF(AW38&gt;=1.05,"A+",IF(AW38&gt;=1,"A",IF(AW38&gt;=0.95,"B+",IF(AW38&gt;=0.9,"B","C")))))</f>
        <v/>
      </c>
      <c r="AY38" s="47" t="str">
        <f aca="false">IF(AX38="","",IF(AX38="A+",1800,IF(AX38="A",1600,IF(AX38="B+",1400,IF(AX38="B",1200,0)))))</f>
        <v/>
      </c>
      <c r="AZ38" s="49" t="str">
        <f aca="false">IF(OR(L38="",M38="",S38="",M38=0),"",IFERROR(L38*60*S38/(M38*36),0))</f>
        <v/>
      </c>
    </row>
    <row r="39" customFormat="false" ht="15" hidden="false" customHeight="true" outlineLevel="0" collapsed="false">
      <c r="A39" s="47" t="n">
        <f aca="false">'Daily KPI Entry'!A40</f>
        <v>35</v>
      </c>
      <c r="B39" s="48" t="n">
        <f aca="false">'Daily KPI Entry'!B40</f>
        <v>46288</v>
      </c>
      <c r="C39" s="47" t="n">
        <f aca="false">'Daily KPI Entry'!C40</f>
        <v>0</v>
      </c>
      <c r="D39" s="47" t="n">
        <f aca="false">'Daily KPI Entry'!D40</f>
        <v>0</v>
      </c>
      <c r="E39" s="47" t="n">
        <f aca="false">'Daily KPI Entry'!E40</f>
        <v>0</v>
      </c>
      <c r="F39" s="47" t="n">
        <f aca="false">'Daily KPI Entry'!F40</f>
        <v>0</v>
      </c>
      <c r="G39" s="47" t="str">
        <f aca="false">'Daily KPI Entry'!G40</f>
        <v>STL007341</v>
      </c>
      <c r="H39" s="47" t="str">
        <f aca="false">'Daily KPI Entry'!H40</f>
        <v>MD. JONY ALOM</v>
      </c>
      <c r="I39" s="47" t="n">
        <f aca="false">'Daily KPI Entry'!I40</f>
        <v>0</v>
      </c>
      <c r="J39" s="47" t="n">
        <f aca="false">'Daily KPI Entry'!J40</f>
        <v>0</v>
      </c>
      <c r="K39" s="47" t="n">
        <f aca="false">'Daily KPI Entry'!K40</f>
        <v>0</v>
      </c>
      <c r="L39" s="47" t="n">
        <f aca="false">'Daily KPI Entry'!L40</f>
        <v>553.125</v>
      </c>
      <c r="M39" s="47" t="n">
        <f aca="false">'Daily KPI Entry'!M40</f>
        <v>41.25</v>
      </c>
      <c r="N39" s="49" t="n">
        <f aca="false">'Daily KPI Entry'!N40</f>
        <v>0</v>
      </c>
      <c r="O39" s="49" t="n">
        <f aca="false">'Daily KPI Entry'!O40</f>
        <v>0</v>
      </c>
      <c r="P39" s="49" t="str">
        <f aca="false">IF(OR(N39="",O39=""),"",IFERROR(O39/N39*100,0))</f>
        <v/>
      </c>
      <c r="Q39" s="47" t="n">
        <f aca="false">'Daily KPI Entry'!Q40</f>
        <v>8</v>
      </c>
      <c r="R39" s="47" t="str">
        <f aca="false">IF(J39="","",Q39*J39)</f>
        <v/>
      </c>
      <c r="S39" s="49" t="n">
        <f aca="false">'Daily KPI Entry'!S40</f>
        <v>0</v>
      </c>
      <c r="T39" s="49" t="str">
        <f aca="false">IF(OR(R39="",S39=""),"",IFERROR(S39/R39*100,0))</f>
        <v/>
      </c>
      <c r="U39" s="49" t="str">
        <f aca="false">IF(OR(O39="",L39="",M39="",S39="",M39=0),"",IFERROR(O39/(L39*60*S39/(M39*36))*100,0))</f>
        <v/>
      </c>
      <c r="V39" s="49" t="n">
        <f aca="false">'Daily KPI Entry'!V40</f>
        <v>0</v>
      </c>
      <c r="W39" s="49" t="str">
        <f aca="false">IF(O39="","",IFERROR(V39/O39*100,0))</f>
        <v/>
      </c>
      <c r="X39" s="49" t="n">
        <f aca="false">'Daily KPI Entry'!X40</f>
        <v>0</v>
      </c>
      <c r="Y39" s="49" t="n">
        <f aca="false">'Daily KPI Entry'!Y40</f>
        <v>0</v>
      </c>
      <c r="Z39" s="49" t="n">
        <f aca="false">'Daily KPI Entry'!Z40</f>
        <v>0</v>
      </c>
      <c r="AA39" s="49" t="n">
        <f aca="false">'Daily KPI Entry'!AA40</f>
        <v>0</v>
      </c>
      <c r="AB39" s="49" t="n">
        <f aca="false">'Daily KPI Entry'!AB40</f>
        <v>0</v>
      </c>
      <c r="AC39" s="49" t="n">
        <f aca="false">'Daily KPI Entry'!AC40</f>
        <v>0</v>
      </c>
      <c r="AD39" s="49" t="n">
        <f aca="false">'Daily KPI Entry'!AD40</f>
        <v>0</v>
      </c>
      <c r="AE39" s="49" t="n">
        <f aca="false">'Daily KPI Entry'!AE40</f>
        <v>0</v>
      </c>
      <c r="AF39" s="47" t="str">
        <f aca="false">IF(O39="","",SUM(X39:AE39))</f>
        <v/>
      </c>
      <c r="AG39" s="49" t="str">
        <f aca="false">IF(O39="","",IFERROR(AF39/O39*1000,0))</f>
        <v/>
      </c>
      <c r="AH39" s="49" t="n">
        <f aca="false">'Daily KPI Entry'!AH40</f>
        <v>0</v>
      </c>
      <c r="AI39" s="49" t="n">
        <f aca="false">'Daily KPI Entry'!AI40</f>
        <v>0</v>
      </c>
      <c r="AJ39" s="49" t="n">
        <f aca="false">'Daily KPI Entry'!AJ40</f>
        <v>0</v>
      </c>
      <c r="AK39" s="47" t="n">
        <f aca="false">'Daily KPI Entry'!AK40</f>
        <v>0</v>
      </c>
      <c r="AL39" s="47" t="n">
        <f aca="false">'Daily KPI Entry'!AL40</f>
        <v>0</v>
      </c>
      <c r="AM39" s="47" t="n">
        <f aca="false">'Daily KPI Entry'!AM40</f>
        <v>0</v>
      </c>
      <c r="AN39" s="49" t="str">
        <f aca="false">IF(P39="","",MIN(120,P39))</f>
        <v/>
      </c>
      <c r="AO39" s="49" t="str">
        <f aca="false">IF(U39="","",MIN(120,U39))</f>
        <v/>
      </c>
      <c r="AP39" s="49" t="str">
        <f aca="false">IF(R39="","",MIN(120,IFERROR(S39/R39*100,0)))</f>
        <v/>
      </c>
      <c r="AQ39" s="49" t="str">
        <f aca="false">IF(W39="","",MIN(120,IF(W39=0,120,100*(INDEX('Standards &amp; Scoring'!$E$5:$E$13,MATCH("Quality / Rejection",'Standards &amp; Scoring'!$A$5:$A$13,0))/W39))))</f>
        <v/>
      </c>
      <c r="AR39" s="49" t="str">
        <f aca="false">IF(AG39="","",MIN(120,IF(AG39=0,120,100*(INDEX('Standards &amp; Scoring'!$E$5:$E$13,MATCH("Fault Control",'Standards &amp; Scoring'!$A$5:$A$13,0))/AG39))))</f>
        <v/>
      </c>
      <c r="AS39" s="49" t="str">
        <f aca="false">IF(O39="","",MIN(120,IF(SUMIFS('Fault &amp; Downtime Entry'!$L$6:$L$1005,'Fault &amp; Downtime Entry'!$E$6:$E$1005,G39,'Fault &amp; Downtime Entry'!$B$6:$B$1005,B39)=0,120,100*(INDEX('Standards &amp; Scoring'!$E$5:$E$13,MATCH("Downtime Control",'Standards &amp; Scoring'!$A$5:$A$13,0))/IFERROR(SUMIFS('Fault &amp; Downtime Entry'!$L$6:$L$1005,'Fault &amp; Downtime Entry'!$E$6:$E$1005,G39,'Fault &amp; Downtime Entry'!$B$6:$B$1005,B39)/O39*1000,999999)))))</f>
        <v/>
      </c>
      <c r="AT39" s="49" t="n">
        <f aca="false">IF(COUNTA(AH39,AJ39)=0,"",MIN(120,IF(AND(AH39&lt;&gt;"",AJ39&lt;&gt;""),AVERAGE(AH39,AJ39),IF(AH39&lt;&gt;"",AH39,AJ39))))</f>
        <v>0</v>
      </c>
      <c r="AU39" s="49" t="str">
        <f aca="false">IF(AI39="","",MIN(120,AI39))</f>
        <v/>
      </c>
      <c r="AV39" s="49" t="str">
        <f aca="false">IF(AJ39="","",MIN(120,AJ39))</f>
        <v/>
      </c>
      <c r="AW39" s="50" t="str">
        <f aca="false">IF(COUNT(AN39:AV39)&lt;9,"",(AN39*'Standards &amp; Scoring'!$D$5+AO39*'Standards &amp; Scoring'!$D$6+AP39*'Standards &amp; Scoring'!$D$7+AQ39*'Standards &amp; Scoring'!$D$8+AR39*'Standards &amp; Scoring'!$D$9+AS39*'Standards &amp; Scoring'!$D$10+AT39*'Standards &amp; Scoring'!$D$11+AU39*'Standards &amp; Scoring'!$D$12+AV39*'Standards &amp; Scoring'!$D$13)/10000)</f>
        <v/>
      </c>
      <c r="AX39" s="47" t="str">
        <f aca="false">IF(AW39="","",IF(AW39&gt;=1.05,"A+",IF(AW39&gt;=1,"A",IF(AW39&gt;=0.95,"B+",IF(AW39&gt;=0.9,"B","C")))))</f>
        <v/>
      </c>
      <c r="AY39" s="47" t="str">
        <f aca="false">IF(AX39="","",IF(AX39="A+",1800,IF(AX39="A",1600,IF(AX39="B+",1400,IF(AX39="B",1200,0)))))</f>
        <v/>
      </c>
      <c r="AZ39" s="49" t="str">
        <f aca="false">IF(OR(L39="",M39="",S39="",M39=0),"",IFERROR(L39*60*S39/(M39*36),0))</f>
        <v/>
      </c>
    </row>
    <row r="40" customFormat="false" ht="15" hidden="false" customHeight="true" outlineLevel="0" collapsed="false">
      <c r="A40" s="47" t="n">
        <f aca="false">'Daily KPI Entry'!A41</f>
        <v>36</v>
      </c>
      <c r="B40" s="48" t="n">
        <f aca="false">'Daily KPI Entry'!B41</f>
        <v>46288</v>
      </c>
      <c r="C40" s="47" t="n">
        <f aca="false">'Daily KPI Entry'!C41</f>
        <v>0</v>
      </c>
      <c r="D40" s="47" t="n">
        <f aca="false">'Daily KPI Entry'!D41</f>
        <v>0</v>
      </c>
      <c r="E40" s="47" t="n">
        <f aca="false">'Daily KPI Entry'!E41</f>
        <v>0</v>
      </c>
      <c r="F40" s="47" t="n">
        <f aca="false">'Daily KPI Entry'!F41</f>
        <v>0</v>
      </c>
      <c r="G40" s="47" t="str">
        <f aca="false">'Daily KPI Entry'!G41</f>
        <v>STL007502</v>
      </c>
      <c r="H40" s="47" t="str">
        <f aca="false">'Daily KPI Entry'!H41</f>
        <v>MD. HELIM ISLAM</v>
      </c>
      <c r="I40" s="47" t="n">
        <f aca="false">'Daily KPI Entry'!I41</f>
        <v>0</v>
      </c>
      <c r="J40" s="47" t="n">
        <f aca="false">'Daily KPI Entry'!J41</f>
        <v>0</v>
      </c>
      <c r="K40" s="47" t="n">
        <f aca="false">'Daily KPI Entry'!K41</f>
        <v>0</v>
      </c>
      <c r="L40" s="47" t="n">
        <f aca="false">'Daily KPI Entry'!L41</f>
        <v>533.333333333333</v>
      </c>
      <c r="M40" s="47" t="n">
        <f aca="false">'Daily KPI Entry'!M41</f>
        <v>44.67</v>
      </c>
      <c r="N40" s="49" t="n">
        <f aca="false">'Daily KPI Entry'!N41</f>
        <v>0</v>
      </c>
      <c r="O40" s="49" t="n">
        <f aca="false">'Daily KPI Entry'!O41</f>
        <v>0</v>
      </c>
      <c r="P40" s="49" t="str">
        <f aca="false">IF(OR(N40="",O40=""),"",IFERROR(O40/N40*100,0))</f>
        <v/>
      </c>
      <c r="Q40" s="47" t="n">
        <f aca="false">'Daily KPI Entry'!Q41</f>
        <v>8</v>
      </c>
      <c r="R40" s="47" t="str">
        <f aca="false">IF(J40="","",Q40*J40)</f>
        <v/>
      </c>
      <c r="S40" s="49" t="n">
        <f aca="false">'Daily KPI Entry'!S41</f>
        <v>0</v>
      </c>
      <c r="T40" s="49" t="str">
        <f aca="false">IF(OR(R40="",S40=""),"",IFERROR(S40/R40*100,0))</f>
        <v/>
      </c>
      <c r="U40" s="49" t="str">
        <f aca="false">IF(OR(O40="",L40="",M40="",S40="",M40=0),"",IFERROR(O40/(L40*60*S40/(M40*36))*100,0))</f>
        <v/>
      </c>
      <c r="V40" s="49" t="n">
        <f aca="false">'Daily KPI Entry'!V41</f>
        <v>0</v>
      </c>
      <c r="W40" s="49" t="str">
        <f aca="false">IF(O40="","",IFERROR(V40/O40*100,0))</f>
        <v/>
      </c>
      <c r="X40" s="49" t="n">
        <f aca="false">'Daily KPI Entry'!X41</f>
        <v>0</v>
      </c>
      <c r="Y40" s="49" t="n">
        <f aca="false">'Daily KPI Entry'!Y41</f>
        <v>0</v>
      </c>
      <c r="Z40" s="49" t="n">
        <f aca="false">'Daily KPI Entry'!Z41</f>
        <v>0</v>
      </c>
      <c r="AA40" s="49" t="n">
        <f aca="false">'Daily KPI Entry'!AA41</f>
        <v>0</v>
      </c>
      <c r="AB40" s="49" t="n">
        <f aca="false">'Daily KPI Entry'!AB41</f>
        <v>0</v>
      </c>
      <c r="AC40" s="49" t="n">
        <f aca="false">'Daily KPI Entry'!AC41</f>
        <v>0</v>
      </c>
      <c r="AD40" s="49" t="n">
        <f aca="false">'Daily KPI Entry'!AD41</f>
        <v>0</v>
      </c>
      <c r="AE40" s="49" t="n">
        <f aca="false">'Daily KPI Entry'!AE41</f>
        <v>0</v>
      </c>
      <c r="AF40" s="47" t="str">
        <f aca="false">IF(O40="","",SUM(X40:AE40))</f>
        <v/>
      </c>
      <c r="AG40" s="49" t="str">
        <f aca="false">IF(O40="","",IFERROR(AF40/O40*1000,0))</f>
        <v/>
      </c>
      <c r="AH40" s="49" t="n">
        <f aca="false">'Daily KPI Entry'!AH41</f>
        <v>0</v>
      </c>
      <c r="AI40" s="49" t="n">
        <f aca="false">'Daily KPI Entry'!AI41</f>
        <v>0</v>
      </c>
      <c r="AJ40" s="49" t="n">
        <f aca="false">'Daily KPI Entry'!AJ41</f>
        <v>0</v>
      </c>
      <c r="AK40" s="47" t="n">
        <f aca="false">'Daily KPI Entry'!AK41</f>
        <v>0</v>
      </c>
      <c r="AL40" s="47" t="n">
        <f aca="false">'Daily KPI Entry'!AL41</f>
        <v>0</v>
      </c>
      <c r="AM40" s="47" t="n">
        <f aca="false">'Daily KPI Entry'!AM41</f>
        <v>0</v>
      </c>
      <c r="AN40" s="49" t="str">
        <f aca="false">IF(P40="","",MIN(120,P40))</f>
        <v/>
      </c>
      <c r="AO40" s="49" t="str">
        <f aca="false">IF(U40="","",MIN(120,U40))</f>
        <v/>
      </c>
      <c r="AP40" s="49" t="str">
        <f aca="false">IF(R40="","",MIN(120,IFERROR(S40/R40*100,0)))</f>
        <v/>
      </c>
      <c r="AQ40" s="49" t="str">
        <f aca="false">IF(W40="","",MIN(120,IF(W40=0,120,100*(INDEX('Standards &amp; Scoring'!$E$5:$E$13,MATCH("Quality / Rejection",'Standards &amp; Scoring'!$A$5:$A$13,0))/W40))))</f>
        <v/>
      </c>
      <c r="AR40" s="49" t="str">
        <f aca="false">IF(AG40="","",MIN(120,IF(AG40=0,120,100*(INDEX('Standards &amp; Scoring'!$E$5:$E$13,MATCH("Fault Control",'Standards &amp; Scoring'!$A$5:$A$13,0))/AG40))))</f>
        <v/>
      </c>
      <c r="AS40" s="49" t="str">
        <f aca="false">IF(O40="","",MIN(120,IF(SUMIFS('Fault &amp; Downtime Entry'!$L$6:$L$1005,'Fault &amp; Downtime Entry'!$E$6:$E$1005,G40,'Fault &amp; Downtime Entry'!$B$6:$B$1005,B40)=0,120,100*(INDEX('Standards &amp; Scoring'!$E$5:$E$13,MATCH("Downtime Control",'Standards &amp; Scoring'!$A$5:$A$13,0))/IFERROR(SUMIFS('Fault &amp; Downtime Entry'!$L$6:$L$1005,'Fault &amp; Downtime Entry'!$E$6:$E$1005,G40,'Fault &amp; Downtime Entry'!$B$6:$B$1005,B40)/O40*1000,999999)))))</f>
        <v/>
      </c>
      <c r="AT40" s="49" t="n">
        <f aca="false">IF(COUNTA(AH40,AJ40)=0,"",MIN(120,IF(AND(AH40&lt;&gt;"",AJ40&lt;&gt;""),AVERAGE(AH40,AJ40),IF(AH40&lt;&gt;"",AH40,AJ40))))</f>
        <v>0</v>
      </c>
      <c r="AU40" s="49" t="str">
        <f aca="false">IF(AI40="","",MIN(120,AI40))</f>
        <v/>
      </c>
      <c r="AV40" s="49" t="str">
        <f aca="false">IF(AJ40="","",MIN(120,AJ40))</f>
        <v/>
      </c>
      <c r="AW40" s="50" t="str">
        <f aca="false">IF(COUNT(AN40:AV40)&lt;9,"",(AN40*'Standards &amp; Scoring'!$D$5+AO40*'Standards &amp; Scoring'!$D$6+AP40*'Standards &amp; Scoring'!$D$7+AQ40*'Standards &amp; Scoring'!$D$8+AR40*'Standards &amp; Scoring'!$D$9+AS40*'Standards &amp; Scoring'!$D$10+AT40*'Standards &amp; Scoring'!$D$11+AU40*'Standards &amp; Scoring'!$D$12+AV40*'Standards &amp; Scoring'!$D$13)/10000)</f>
        <v/>
      </c>
      <c r="AX40" s="47" t="str">
        <f aca="false">IF(AW40="","",IF(AW40&gt;=1.05,"A+",IF(AW40&gt;=1,"A",IF(AW40&gt;=0.95,"B+",IF(AW40&gt;=0.9,"B","C")))))</f>
        <v/>
      </c>
      <c r="AY40" s="47" t="str">
        <f aca="false">IF(AX40="","",IF(AX40="A+",1800,IF(AX40="A",1600,IF(AX40="B+",1400,IF(AX40="B",1200,0)))))</f>
        <v/>
      </c>
      <c r="AZ40" s="49" t="str">
        <f aca="false">IF(OR(L40="",M40="",S40="",M40=0),"",IFERROR(L40*60*S40/(M40*36),0))</f>
        <v/>
      </c>
    </row>
    <row r="41" customFormat="false" ht="15" hidden="false" customHeight="true" outlineLevel="0" collapsed="false">
      <c r="A41" s="47" t="n">
        <f aca="false">'Daily KPI Entry'!A42</f>
        <v>37</v>
      </c>
      <c r="B41" s="48" t="n">
        <f aca="false">'Daily KPI Entry'!B42</f>
        <v>46288</v>
      </c>
      <c r="C41" s="47" t="n">
        <f aca="false">'Daily KPI Entry'!C42</f>
        <v>0</v>
      </c>
      <c r="D41" s="47" t="n">
        <f aca="false">'Daily KPI Entry'!D42</f>
        <v>0</v>
      </c>
      <c r="E41" s="47" t="n">
        <f aca="false">'Daily KPI Entry'!E42</f>
        <v>0</v>
      </c>
      <c r="F41" s="47" t="n">
        <f aca="false">'Daily KPI Entry'!F42</f>
        <v>0</v>
      </c>
      <c r="G41" s="47" t="str">
        <f aca="false">'Daily KPI Entry'!G42</f>
        <v>STL007503</v>
      </c>
      <c r="H41" s="47" t="str">
        <f aca="false">'Daily KPI Entry'!H42</f>
        <v>MD. JIHAD MOLLA</v>
      </c>
      <c r="I41" s="47" t="n">
        <f aca="false">'Daily KPI Entry'!I42</f>
        <v>0</v>
      </c>
      <c r="J41" s="47" t="n">
        <f aca="false">'Daily KPI Entry'!J42</f>
        <v>0</v>
      </c>
      <c r="K41" s="47" t="n">
        <f aca="false">'Daily KPI Entry'!K42</f>
        <v>0</v>
      </c>
      <c r="L41" s="47" t="n">
        <f aca="false">'Daily KPI Entry'!L42</f>
        <v>552.5</v>
      </c>
      <c r="M41" s="47" t="n">
        <f aca="false">'Daily KPI Entry'!M42</f>
        <v>43.4</v>
      </c>
      <c r="N41" s="49" t="n">
        <f aca="false">'Daily KPI Entry'!N42</f>
        <v>0</v>
      </c>
      <c r="O41" s="49" t="n">
        <f aca="false">'Daily KPI Entry'!O42</f>
        <v>0</v>
      </c>
      <c r="P41" s="49" t="str">
        <f aca="false">IF(OR(N41="",O41=""),"",IFERROR(O41/N41*100,0))</f>
        <v/>
      </c>
      <c r="Q41" s="47" t="n">
        <f aca="false">'Daily KPI Entry'!Q42</f>
        <v>8</v>
      </c>
      <c r="R41" s="47" t="str">
        <f aca="false">IF(J41="","",Q41*J41)</f>
        <v/>
      </c>
      <c r="S41" s="49" t="n">
        <f aca="false">'Daily KPI Entry'!S42</f>
        <v>0</v>
      </c>
      <c r="T41" s="49" t="str">
        <f aca="false">IF(OR(R41="",S41=""),"",IFERROR(S41/R41*100,0))</f>
        <v/>
      </c>
      <c r="U41" s="49" t="str">
        <f aca="false">IF(OR(O41="",L41="",M41="",S41="",M41=0),"",IFERROR(O41/(L41*60*S41/(M41*36))*100,0))</f>
        <v/>
      </c>
      <c r="V41" s="49" t="n">
        <f aca="false">'Daily KPI Entry'!V42</f>
        <v>0</v>
      </c>
      <c r="W41" s="49" t="str">
        <f aca="false">IF(O41="","",IFERROR(V41/O41*100,0))</f>
        <v/>
      </c>
      <c r="X41" s="49" t="n">
        <f aca="false">'Daily KPI Entry'!X42</f>
        <v>0</v>
      </c>
      <c r="Y41" s="49" t="n">
        <f aca="false">'Daily KPI Entry'!Y42</f>
        <v>0</v>
      </c>
      <c r="Z41" s="49" t="n">
        <f aca="false">'Daily KPI Entry'!Z42</f>
        <v>0</v>
      </c>
      <c r="AA41" s="49" t="n">
        <f aca="false">'Daily KPI Entry'!AA42</f>
        <v>0</v>
      </c>
      <c r="AB41" s="49" t="n">
        <f aca="false">'Daily KPI Entry'!AB42</f>
        <v>0</v>
      </c>
      <c r="AC41" s="49" t="n">
        <f aca="false">'Daily KPI Entry'!AC42</f>
        <v>0</v>
      </c>
      <c r="AD41" s="49" t="n">
        <f aca="false">'Daily KPI Entry'!AD42</f>
        <v>0</v>
      </c>
      <c r="AE41" s="49" t="n">
        <f aca="false">'Daily KPI Entry'!AE42</f>
        <v>0</v>
      </c>
      <c r="AF41" s="47" t="str">
        <f aca="false">IF(O41="","",SUM(X41:AE41))</f>
        <v/>
      </c>
      <c r="AG41" s="49" t="str">
        <f aca="false">IF(O41="","",IFERROR(AF41/O41*1000,0))</f>
        <v/>
      </c>
      <c r="AH41" s="49" t="n">
        <f aca="false">'Daily KPI Entry'!AH42</f>
        <v>0</v>
      </c>
      <c r="AI41" s="49" t="n">
        <f aca="false">'Daily KPI Entry'!AI42</f>
        <v>0</v>
      </c>
      <c r="AJ41" s="49" t="n">
        <f aca="false">'Daily KPI Entry'!AJ42</f>
        <v>0</v>
      </c>
      <c r="AK41" s="47" t="n">
        <f aca="false">'Daily KPI Entry'!AK42</f>
        <v>0</v>
      </c>
      <c r="AL41" s="47" t="n">
        <f aca="false">'Daily KPI Entry'!AL42</f>
        <v>0</v>
      </c>
      <c r="AM41" s="47" t="n">
        <f aca="false">'Daily KPI Entry'!AM42</f>
        <v>0</v>
      </c>
      <c r="AN41" s="49" t="str">
        <f aca="false">IF(P41="","",MIN(120,P41))</f>
        <v/>
      </c>
      <c r="AO41" s="49" t="str">
        <f aca="false">IF(U41="","",MIN(120,U41))</f>
        <v/>
      </c>
      <c r="AP41" s="49" t="str">
        <f aca="false">IF(R41="","",MIN(120,IFERROR(S41/R41*100,0)))</f>
        <v/>
      </c>
      <c r="AQ41" s="49" t="str">
        <f aca="false">IF(W41="","",MIN(120,IF(W41=0,120,100*(INDEX('Standards &amp; Scoring'!$E$5:$E$13,MATCH("Quality / Rejection",'Standards &amp; Scoring'!$A$5:$A$13,0))/W41))))</f>
        <v/>
      </c>
      <c r="AR41" s="49" t="str">
        <f aca="false">IF(AG41="","",MIN(120,IF(AG41=0,120,100*(INDEX('Standards &amp; Scoring'!$E$5:$E$13,MATCH("Fault Control",'Standards &amp; Scoring'!$A$5:$A$13,0))/AG41))))</f>
        <v/>
      </c>
      <c r="AS41" s="49" t="str">
        <f aca="false">IF(O41="","",MIN(120,IF(SUMIFS('Fault &amp; Downtime Entry'!$L$6:$L$1005,'Fault &amp; Downtime Entry'!$E$6:$E$1005,G41,'Fault &amp; Downtime Entry'!$B$6:$B$1005,B41)=0,120,100*(INDEX('Standards &amp; Scoring'!$E$5:$E$13,MATCH("Downtime Control",'Standards &amp; Scoring'!$A$5:$A$13,0))/IFERROR(SUMIFS('Fault &amp; Downtime Entry'!$L$6:$L$1005,'Fault &amp; Downtime Entry'!$E$6:$E$1005,G41,'Fault &amp; Downtime Entry'!$B$6:$B$1005,B41)/O41*1000,999999)))))</f>
        <v/>
      </c>
      <c r="AT41" s="49" t="n">
        <f aca="false">IF(COUNTA(AH41,AJ41)=0,"",MIN(120,IF(AND(AH41&lt;&gt;"",AJ41&lt;&gt;""),AVERAGE(AH41,AJ41),IF(AH41&lt;&gt;"",AH41,AJ41))))</f>
        <v>0</v>
      </c>
      <c r="AU41" s="49" t="str">
        <f aca="false">IF(AI41="","",MIN(120,AI41))</f>
        <v/>
      </c>
      <c r="AV41" s="49" t="str">
        <f aca="false">IF(AJ41="","",MIN(120,AJ41))</f>
        <v/>
      </c>
      <c r="AW41" s="50" t="str">
        <f aca="false">IF(COUNT(AN41:AV41)&lt;9,"",(AN41*'Standards &amp; Scoring'!$D$5+AO41*'Standards &amp; Scoring'!$D$6+AP41*'Standards &amp; Scoring'!$D$7+AQ41*'Standards &amp; Scoring'!$D$8+AR41*'Standards &amp; Scoring'!$D$9+AS41*'Standards &amp; Scoring'!$D$10+AT41*'Standards &amp; Scoring'!$D$11+AU41*'Standards &amp; Scoring'!$D$12+AV41*'Standards &amp; Scoring'!$D$13)/10000)</f>
        <v/>
      </c>
      <c r="AX41" s="47" t="str">
        <f aca="false">IF(AW41="","",IF(AW41&gt;=1.05,"A+",IF(AW41&gt;=1,"A",IF(AW41&gt;=0.95,"B+",IF(AW41&gt;=0.9,"B","C")))))</f>
        <v/>
      </c>
      <c r="AY41" s="47" t="str">
        <f aca="false">IF(AX41="","",IF(AX41="A+",1800,IF(AX41="A",1600,IF(AX41="B+",1400,IF(AX41="B",1200,0)))))</f>
        <v/>
      </c>
      <c r="AZ41" s="49" t="str">
        <f aca="false">IF(OR(L41="",M41="",S41="",M41=0),"",IFERROR(L41*60*S41/(M41*36),0))</f>
        <v/>
      </c>
    </row>
    <row r="42" customFormat="false" ht="15" hidden="false" customHeight="true" outlineLevel="0" collapsed="false">
      <c r="A42" s="47" t="n">
        <f aca="false">'Daily KPI Entry'!A43</f>
        <v>38</v>
      </c>
      <c r="B42" s="48" t="n">
        <f aca="false">'Daily KPI Entry'!B43</f>
        <v>46288</v>
      </c>
      <c r="C42" s="47" t="n">
        <f aca="false">'Daily KPI Entry'!C43</f>
        <v>0</v>
      </c>
      <c r="D42" s="47" t="n">
        <f aca="false">'Daily KPI Entry'!D43</f>
        <v>0</v>
      </c>
      <c r="E42" s="47" t="n">
        <f aca="false">'Daily KPI Entry'!E43</f>
        <v>0</v>
      </c>
      <c r="F42" s="47" t="n">
        <f aca="false">'Daily KPI Entry'!F43</f>
        <v>0</v>
      </c>
      <c r="G42" s="47" t="str">
        <f aca="false">'Daily KPI Entry'!G43</f>
        <v>STL005456</v>
      </c>
      <c r="H42" s="47" t="str">
        <f aca="false">'Daily KPI Entry'!H43</f>
        <v>MD. ABDUL KADIR</v>
      </c>
      <c r="I42" s="47" t="n">
        <f aca="false">'Daily KPI Entry'!I43</f>
        <v>0</v>
      </c>
      <c r="J42" s="47" t="n">
        <f aca="false">'Daily KPI Entry'!J43</f>
        <v>0</v>
      </c>
      <c r="K42" s="47" t="n">
        <f aca="false">'Daily KPI Entry'!K43</f>
        <v>0</v>
      </c>
      <c r="L42" s="47" t="n">
        <f aca="false">'Daily KPI Entry'!L43</f>
        <v>527.5</v>
      </c>
      <c r="M42" s="47" t="n">
        <f aca="false">'Daily KPI Entry'!M43</f>
        <v>44.8</v>
      </c>
      <c r="N42" s="49" t="n">
        <f aca="false">'Daily KPI Entry'!N43</f>
        <v>0</v>
      </c>
      <c r="O42" s="49" t="n">
        <f aca="false">'Daily KPI Entry'!O43</f>
        <v>0</v>
      </c>
      <c r="P42" s="49" t="str">
        <f aca="false">IF(OR(N42="",O42=""),"",IFERROR(O42/N42*100,0))</f>
        <v/>
      </c>
      <c r="Q42" s="47" t="n">
        <f aca="false">'Daily KPI Entry'!Q43</f>
        <v>8</v>
      </c>
      <c r="R42" s="47" t="str">
        <f aca="false">IF(J42="","",Q42*J42)</f>
        <v/>
      </c>
      <c r="S42" s="49" t="n">
        <f aca="false">'Daily KPI Entry'!S43</f>
        <v>0</v>
      </c>
      <c r="T42" s="49" t="str">
        <f aca="false">IF(OR(R42="",S42=""),"",IFERROR(S42/R42*100,0))</f>
        <v/>
      </c>
      <c r="U42" s="49" t="str">
        <f aca="false">IF(OR(O42="",L42="",M42="",S42="",M42=0),"",IFERROR(O42/(L42*60*S42/(M42*36))*100,0))</f>
        <v/>
      </c>
      <c r="V42" s="49" t="n">
        <f aca="false">'Daily KPI Entry'!V43</f>
        <v>0</v>
      </c>
      <c r="W42" s="49" t="str">
        <f aca="false">IF(O42="","",IFERROR(V42/O42*100,0))</f>
        <v/>
      </c>
      <c r="X42" s="49" t="n">
        <f aca="false">'Daily KPI Entry'!X43</f>
        <v>0</v>
      </c>
      <c r="Y42" s="49" t="n">
        <f aca="false">'Daily KPI Entry'!Y43</f>
        <v>0</v>
      </c>
      <c r="Z42" s="49" t="n">
        <f aca="false">'Daily KPI Entry'!Z43</f>
        <v>0</v>
      </c>
      <c r="AA42" s="49" t="n">
        <f aca="false">'Daily KPI Entry'!AA43</f>
        <v>0</v>
      </c>
      <c r="AB42" s="49" t="n">
        <f aca="false">'Daily KPI Entry'!AB43</f>
        <v>0</v>
      </c>
      <c r="AC42" s="49" t="n">
        <f aca="false">'Daily KPI Entry'!AC43</f>
        <v>0</v>
      </c>
      <c r="AD42" s="49" t="n">
        <f aca="false">'Daily KPI Entry'!AD43</f>
        <v>0</v>
      </c>
      <c r="AE42" s="49" t="n">
        <f aca="false">'Daily KPI Entry'!AE43</f>
        <v>0</v>
      </c>
      <c r="AF42" s="47" t="str">
        <f aca="false">IF(O42="","",SUM(X42:AE42))</f>
        <v/>
      </c>
      <c r="AG42" s="49" t="str">
        <f aca="false">IF(O42="","",IFERROR(AF42/O42*1000,0))</f>
        <v/>
      </c>
      <c r="AH42" s="49" t="n">
        <f aca="false">'Daily KPI Entry'!AH43</f>
        <v>0</v>
      </c>
      <c r="AI42" s="49" t="n">
        <f aca="false">'Daily KPI Entry'!AI43</f>
        <v>0</v>
      </c>
      <c r="AJ42" s="49" t="n">
        <f aca="false">'Daily KPI Entry'!AJ43</f>
        <v>0</v>
      </c>
      <c r="AK42" s="47" t="n">
        <f aca="false">'Daily KPI Entry'!AK43</f>
        <v>0</v>
      </c>
      <c r="AL42" s="47" t="n">
        <f aca="false">'Daily KPI Entry'!AL43</f>
        <v>0</v>
      </c>
      <c r="AM42" s="47" t="n">
        <f aca="false">'Daily KPI Entry'!AM43</f>
        <v>0</v>
      </c>
      <c r="AN42" s="49" t="str">
        <f aca="false">IF(P42="","",MIN(120,P42))</f>
        <v/>
      </c>
      <c r="AO42" s="49" t="str">
        <f aca="false">IF(U42="","",MIN(120,U42))</f>
        <v/>
      </c>
      <c r="AP42" s="49" t="str">
        <f aca="false">IF(R42="","",MIN(120,IFERROR(S42/R42*100,0)))</f>
        <v/>
      </c>
      <c r="AQ42" s="49" t="str">
        <f aca="false">IF(W42="","",MIN(120,IF(W42=0,120,100*(INDEX('Standards &amp; Scoring'!$E$5:$E$13,MATCH("Quality / Rejection",'Standards &amp; Scoring'!$A$5:$A$13,0))/W42))))</f>
        <v/>
      </c>
      <c r="AR42" s="49" t="str">
        <f aca="false">IF(AG42="","",MIN(120,IF(AG42=0,120,100*(INDEX('Standards &amp; Scoring'!$E$5:$E$13,MATCH("Fault Control",'Standards &amp; Scoring'!$A$5:$A$13,0))/AG42))))</f>
        <v/>
      </c>
      <c r="AS42" s="49" t="str">
        <f aca="false">IF(O42="","",MIN(120,IF(SUMIFS('Fault &amp; Downtime Entry'!$L$6:$L$1005,'Fault &amp; Downtime Entry'!$E$6:$E$1005,G42,'Fault &amp; Downtime Entry'!$B$6:$B$1005,B42)=0,120,100*(INDEX('Standards &amp; Scoring'!$E$5:$E$13,MATCH("Downtime Control",'Standards &amp; Scoring'!$A$5:$A$13,0))/IFERROR(SUMIFS('Fault &amp; Downtime Entry'!$L$6:$L$1005,'Fault &amp; Downtime Entry'!$E$6:$E$1005,G42,'Fault &amp; Downtime Entry'!$B$6:$B$1005,B42)/O42*1000,999999)))))</f>
        <v/>
      </c>
      <c r="AT42" s="49" t="n">
        <f aca="false">IF(COUNTA(AH42,AJ42)=0,"",MIN(120,IF(AND(AH42&lt;&gt;"",AJ42&lt;&gt;""),AVERAGE(AH42,AJ42),IF(AH42&lt;&gt;"",AH42,AJ42))))</f>
        <v>0</v>
      </c>
      <c r="AU42" s="49" t="str">
        <f aca="false">IF(AI42="","",MIN(120,AI42))</f>
        <v/>
      </c>
      <c r="AV42" s="49" t="str">
        <f aca="false">IF(AJ42="","",MIN(120,AJ42))</f>
        <v/>
      </c>
      <c r="AW42" s="50" t="str">
        <f aca="false">IF(COUNT(AN42:AV42)&lt;9,"",(AN42*'Standards &amp; Scoring'!$D$5+AO42*'Standards &amp; Scoring'!$D$6+AP42*'Standards &amp; Scoring'!$D$7+AQ42*'Standards &amp; Scoring'!$D$8+AR42*'Standards &amp; Scoring'!$D$9+AS42*'Standards &amp; Scoring'!$D$10+AT42*'Standards &amp; Scoring'!$D$11+AU42*'Standards &amp; Scoring'!$D$12+AV42*'Standards &amp; Scoring'!$D$13)/10000)</f>
        <v/>
      </c>
      <c r="AX42" s="47" t="str">
        <f aca="false">IF(AW42="","",IF(AW42&gt;=1.05,"A+",IF(AW42&gt;=1,"A",IF(AW42&gt;=0.95,"B+",IF(AW42&gt;=0.9,"B","C")))))</f>
        <v/>
      </c>
      <c r="AY42" s="47" t="str">
        <f aca="false">IF(AX42="","",IF(AX42="A+",1800,IF(AX42="A",1600,IF(AX42="B+",1400,IF(AX42="B",1200,0)))))</f>
        <v/>
      </c>
      <c r="AZ42" s="49" t="str">
        <f aca="false">IF(OR(L42="",M42="",S42="",M42=0),"",IFERROR(L42*60*S42/(M42*36),0))</f>
        <v/>
      </c>
    </row>
    <row r="43" customFormat="false" ht="15" hidden="false" customHeight="true" outlineLevel="0" collapsed="false">
      <c r="A43" s="47" t="n">
        <f aca="false">'Daily KPI Entry'!A44</f>
        <v>39</v>
      </c>
      <c r="B43" s="48" t="n">
        <f aca="false">'Daily KPI Entry'!B44</f>
        <v>46288</v>
      </c>
      <c r="C43" s="47" t="n">
        <f aca="false">'Daily KPI Entry'!C44</f>
        <v>0</v>
      </c>
      <c r="D43" s="47" t="n">
        <f aca="false">'Daily KPI Entry'!D44</f>
        <v>0</v>
      </c>
      <c r="E43" s="47" t="n">
        <f aca="false">'Daily KPI Entry'!E44</f>
        <v>0</v>
      </c>
      <c r="F43" s="47" t="n">
        <f aca="false">'Daily KPI Entry'!F44</f>
        <v>0</v>
      </c>
      <c r="G43" s="47" t="str">
        <f aca="false">'Daily KPI Entry'!G44</f>
        <v>STL005477</v>
      </c>
      <c r="H43" s="47" t="str">
        <f aca="false">'Daily KPI Entry'!H44</f>
        <v>MD. BILLAL HOSEN</v>
      </c>
      <c r="I43" s="47" t="n">
        <f aca="false">'Daily KPI Entry'!I44</f>
        <v>0</v>
      </c>
      <c r="J43" s="47" t="n">
        <f aca="false">'Daily KPI Entry'!J44</f>
        <v>0</v>
      </c>
      <c r="K43" s="47" t="n">
        <f aca="false">'Daily KPI Entry'!K44</f>
        <v>0</v>
      </c>
      <c r="L43" s="47" t="n">
        <f aca="false">'Daily KPI Entry'!L44</f>
        <v>555</v>
      </c>
      <c r="M43" s="47" t="n">
        <f aca="false">'Daily KPI Entry'!M44</f>
        <v>41.8</v>
      </c>
      <c r="N43" s="49" t="n">
        <f aca="false">'Daily KPI Entry'!N44</f>
        <v>0</v>
      </c>
      <c r="O43" s="49" t="n">
        <f aca="false">'Daily KPI Entry'!O44</f>
        <v>0</v>
      </c>
      <c r="P43" s="49" t="str">
        <f aca="false">IF(OR(N43="",O43=""),"",IFERROR(O43/N43*100,0))</f>
        <v/>
      </c>
      <c r="Q43" s="47" t="n">
        <f aca="false">'Daily KPI Entry'!Q44</f>
        <v>8</v>
      </c>
      <c r="R43" s="47" t="str">
        <f aca="false">IF(J43="","",Q43*J43)</f>
        <v/>
      </c>
      <c r="S43" s="49" t="n">
        <f aca="false">'Daily KPI Entry'!S44</f>
        <v>0</v>
      </c>
      <c r="T43" s="49" t="str">
        <f aca="false">IF(OR(R43="",S43=""),"",IFERROR(S43/R43*100,0))</f>
        <v/>
      </c>
      <c r="U43" s="49" t="str">
        <f aca="false">IF(OR(O43="",L43="",M43="",S43="",M43=0),"",IFERROR(O43/(L43*60*S43/(M43*36))*100,0))</f>
        <v/>
      </c>
      <c r="V43" s="49" t="n">
        <f aca="false">'Daily KPI Entry'!V44</f>
        <v>0</v>
      </c>
      <c r="W43" s="49" t="str">
        <f aca="false">IF(O43="","",IFERROR(V43/O43*100,0))</f>
        <v/>
      </c>
      <c r="X43" s="49" t="n">
        <f aca="false">'Daily KPI Entry'!X44</f>
        <v>0</v>
      </c>
      <c r="Y43" s="49" t="n">
        <f aca="false">'Daily KPI Entry'!Y44</f>
        <v>0</v>
      </c>
      <c r="Z43" s="49" t="n">
        <f aca="false">'Daily KPI Entry'!Z44</f>
        <v>0</v>
      </c>
      <c r="AA43" s="49" t="n">
        <f aca="false">'Daily KPI Entry'!AA44</f>
        <v>0</v>
      </c>
      <c r="AB43" s="49" t="n">
        <f aca="false">'Daily KPI Entry'!AB44</f>
        <v>0</v>
      </c>
      <c r="AC43" s="49" t="n">
        <f aca="false">'Daily KPI Entry'!AC44</f>
        <v>0</v>
      </c>
      <c r="AD43" s="49" t="n">
        <f aca="false">'Daily KPI Entry'!AD44</f>
        <v>0</v>
      </c>
      <c r="AE43" s="49" t="n">
        <f aca="false">'Daily KPI Entry'!AE44</f>
        <v>0</v>
      </c>
      <c r="AF43" s="47" t="str">
        <f aca="false">IF(O43="","",SUM(X43:AE43))</f>
        <v/>
      </c>
      <c r="AG43" s="49" t="str">
        <f aca="false">IF(O43="","",IFERROR(AF43/O43*1000,0))</f>
        <v/>
      </c>
      <c r="AH43" s="49" t="n">
        <f aca="false">'Daily KPI Entry'!AH44</f>
        <v>0</v>
      </c>
      <c r="AI43" s="49" t="n">
        <f aca="false">'Daily KPI Entry'!AI44</f>
        <v>0</v>
      </c>
      <c r="AJ43" s="49" t="n">
        <f aca="false">'Daily KPI Entry'!AJ44</f>
        <v>0</v>
      </c>
      <c r="AK43" s="47" t="n">
        <f aca="false">'Daily KPI Entry'!AK44</f>
        <v>0</v>
      </c>
      <c r="AL43" s="47" t="n">
        <f aca="false">'Daily KPI Entry'!AL44</f>
        <v>0</v>
      </c>
      <c r="AM43" s="47" t="n">
        <f aca="false">'Daily KPI Entry'!AM44</f>
        <v>0</v>
      </c>
      <c r="AN43" s="49" t="str">
        <f aca="false">IF(P43="","",MIN(120,P43))</f>
        <v/>
      </c>
      <c r="AO43" s="49" t="str">
        <f aca="false">IF(U43="","",MIN(120,U43))</f>
        <v/>
      </c>
      <c r="AP43" s="49" t="str">
        <f aca="false">IF(R43="","",MIN(120,IFERROR(S43/R43*100,0)))</f>
        <v/>
      </c>
      <c r="AQ43" s="49" t="str">
        <f aca="false">IF(W43="","",MIN(120,IF(W43=0,120,100*(INDEX('Standards &amp; Scoring'!$E$5:$E$13,MATCH("Quality / Rejection",'Standards &amp; Scoring'!$A$5:$A$13,0))/W43))))</f>
        <v/>
      </c>
      <c r="AR43" s="49" t="str">
        <f aca="false">IF(AG43="","",MIN(120,IF(AG43=0,120,100*(INDEX('Standards &amp; Scoring'!$E$5:$E$13,MATCH("Fault Control",'Standards &amp; Scoring'!$A$5:$A$13,0))/AG43))))</f>
        <v/>
      </c>
      <c r="AS43" s="49" t="str">
        <f aca="false">IF(O43="","",MIN(120,IF(SUMIFS('Fault &amp; Downtime Entry'!$L$6:$L$1005,'Fault &amp; Downtime Entry'!$E$6:$E$1005,G43,'Fault &amp; Downtime Entry'!$B$6:$B$1005,B43)=0,120,100*(INDEX('Standards &amp; Scoring'!$E$5:$E$13,MATCH("Downtime Control",'Standards &amp; Scoring'!$A$5:$A$13,0))/IFERROR(SUMIFS('Fault &amp; Downtime Entry'!$L$6:$L$1005,'Fault &amp; Downtime Entry'!$E$6:$E$1005,G43,'Fault &amp; Downtime Entry'!$B$6:$B$1005,B43)/O43*1000,999999)))))</f>
        <v/>
      </c>
      <c r="AT43" s="49" t="n">
        <f aca="false">IF(COUNTA(AH43,AJ43)=0,"",MIN(120,IF(AND(AH43&lt;&gt;"",AJ43&lt;&gt;""),AVERAGE(AH43,AJ43),IF(AH43&lt;&gt;"",AH43,AJ43))))</f>
        <v>0</v>
      </c>
      <c r="AU43" s="49" t="str">
        <f aca="false">IF(AI43="","",MIN(120,AI43))</f>
        <v/>
      </c>
      <c r="AV43" s="49" t="str">
        <f aca="false">IF(AJ43="","",MIN(120,AJ43))</f>
        <v/>
      </c>
      <c r="AW43" s="50" t="str">
        <f aca="false">IF(COUNT(AN43:AV43)&lt;9,"",(AN43*'Standards &amp; Scoring'!$D$5+AO43*'Standards &amp; Scoring'!$D$6+AP43*'Standards &amp; Scoring'!$D$7+AQ43*'Standards &amp; Scoring'!$D$8+AR43*'Standards &amp; Scoring'!$D$9+AS43*'Standards &amp; Scoring'!$D$10+AT43*'Standards &amp; Scoring'!$D$11+AU43*'Standards &amp; Scoring'!$D$12+AV43*'Standards &amp; Scoring'!$D$13)/10000)</f>
        <v/>
      </c>
      <c r="AX43" s="47" t="str">
        <f aca="false">IF(AW43="","",IF(AW43&gt;=1.05,"A+",IF(AW43&gt;=1,"A",IF(AW43&gt;=0.95,"B+",IF(AW43&gt;=0.9,"B","C")))))</f>
        <v/>
      </c>
      <c r="AY43" s="47" t="str">
        <f aca="false">IF(AX43="","",IF(AX43="A+",1800,IF(AX43="A",1600,IF(AX43="B+",1400,IF(AX43="B",1200,0)))))</f>
        <v/>
      </c>
      <c r="AZ43" s="49" t="str">
        <f aca="false">IF(OR(L43="",M43="",S43="",M43=0),"",IFERROR(L43*60*S43/(M43*36),0))</f>
        <v/>
      </c>
    </row>
    <row r="44" customFormat="false" ht="15" hidden="false" customHeight="true" outlineLevel="0" collapsed="false">
      <c r="A44" s="47" t="n">
        <f aca="false">'Daily KPI Entry'!A45</f>
        <v>40</v>
      </c>
      <c r="B44" s="48" t="n">
        <f aca="false">'Daily KPI Entry'!B45</f>
        <v>46288</v>
      </c>
      <c r="C44" s="47" t="n">
        <f aca="false">'Daily KPI Entry'!C45</f>
        <v>0</v>
      </c>
      <c r="D44" s="47" t="n">
        <f aca="false">'Daily KPI Entry'!D45</f>
        <v>0</v>
      </c>
      <c r="E44" s="47" t="n">
        <f aca="false">'Daily KPI Entry'!E45</f>
        <v>0</v>
      </c>
      <c r="F44" s="47" t="n">
        <f aca="false">'Daily KPI Entry'!F45</f>
        <v>0</v>
      </c>
      <c r="G44" s="47" t="str">
        <f aca="false">'Daily KPI Entry'!G45</f>
        <v>STL005482</v>
      </c>
      <c r="H44" s="47" t="str">
        <f aca="false">'Daily KPI Entry'!H45</f>
        <v>MD. MOJAMMEL HOSEN</v>
      </c>
      <c r="I44" s="47" t="n">
        <f aca="false">'Daily KPI Entry'!I45</f>
        <v>0</v>
      </c>
      <c r="J44" s="47" t="n">
        <f aca="false">'Daily KPI Entry'!J45</f>
        <v>0</v>
      </c>
      <c r="K44" s="47" t="n">
        <f aca="false">'Daily KPI Entry'!K45</f>
        <v>0</v>
      </c>
      <c r="L44" s="47" t="n">
        <f aca="false">'Daily KPI Entry'!L45</f>
        <v>569.444444444445</v>
      </c>
      <c r="M44" s="47" t="n">
        <f aca="false">'Daily KPI Entry'!M45</f>
        <v>42.22</v>
      </c>
      <c r="N44" s="49" t="n">
        <f aca="false">'Daily KPI Entry'!N45</f>
        <v>0</v>
      </c>
      <c r="O44" s="49" t="n">
        <f aca="false">'Daily KPI Entry'!O45</f>
        <v>0</v>
      </c>
      <c r="P44" s="49" t="str">
        <f aca="false">IF(OR(N44="",O44=""),"",IFERROR(O44/N44*100,0))</f>
        <v/>
      </c>
      <c r="Q44" s="47" t="n">
        <f aca="false">'Daily KPI Entry'!Q45</f>
        <v>8</v>
      </c>
      <c r="R44" s="47" t="str">
        <f aca="false">IF(J44="","",Q44*J44)</f>
        <v/>
      </c>
      <c r="S44" s="49" t="n">
        <f aca="false">'Daily KPI Entry'!S45</f>
        <v>0</v>
      </c>
      <c r="T44" s="49" t="str">
        <f aca="false">IF(OR(R44="",S44=""),"",IFERROR(S44/R44*100,0))</f>
        <v/>
      </c>
      <c r="U44" s="49" t="str">
        <f aca="false">IF(OR(O44="",L44="",M44="",S44="",M44=0),"",IFERROR(O44/(L44*60*S44/(M44*36))*100,0))</f>
        <v/>
      </c>
      <c r="V44" s="49" t="n">
        <f aca="false">'Daily KPI Entry'!V45</f>
        <v>0</v>
      </c>
      <c r="W44" s="49" t="str">
        <f aca="false">IF(O44="","",IFERROR(V44/O44*100,0))</f>
        <v/>
      </c>
      <c r="X44" s="49" t="n">
        <f aca="false">'Daily KPI Entry'!X45</f>
        <v>0</v>
      </c>
      <c r="Y44" s="49" t="n">
        <f aca="false">'Daily KPI Entry'!Y45</f>
        <v>0</v>
      </c>
      <c r="Z44" s="49" t="n">
        <f aca="false">'Daily KPI Entry'!Z45</f>
        <v>0</v>
      </c>
      <c r="AA44" s="49" t="n">
        <f aca="false">'Daily KPI Entry'!AA45</f>
        <v>0</v>
      </c>
      <c r="AB44" s="49" t="n">
        <f aca="false">'Daily KPI Entry'!AB45</f>
        <v>0</v>
      </c>
      <c r="AC44" s="49" t="n">
        <f aca="false">'Daily KPI Entry'!AC45</f>
        <v>0</v>
      </c>
      <c r="AD44" s="49" t="n">
        <f aca="false">'Daily KPI Entry'!AD45</f>
        <v>0</v>
      </c>
      <c r="AE44" s="49" t="n">
        <f aca="false">'Daily KPI Entry'!AE45</f>
        <v>0</v>
      </c>
      <c r="AF44" s="47" t="str">
        <f aca="false">IF(O44="","",SUM(X44:AE44))</f>
        <v/>
      </c>
      <c r="AG44" s="49" t="str">
        <f aca="false">IF(O44="","",IFERROR(AF44/O44*1000,0))</f>
        <v/>
      </c>
      <c r="AH44" s="49" t="n">
        <f aca="false">'Daily KPI Entry'!AH45</f>
        <v>0</v>
      </c>
      <c r="AI44" s="49" t="n">
        <f aca="false">'Daily KPI Entry'!AI45</f>
        <v>0</v>
      </c>
      <c r="AJ44" s="49" t="n">
        <f aca="false">'Daily KPI Entry'!AJ45</f>
        <v>0</v>
      </c>
      <c r="AK44" s="47" t="n">
        <f aca="false">'Daily KPI Entry'!AK45</f>
        <v>0</v>
      </c>
      <c r="AL44" s="47" t="n">
        <f aca="false">'Daily KPI Entry'!AL45</f>
        <v>0</v>
      </c>
      <c r="AM44" s="47" t="n">
        <f aca="false">'Daily KPI Entry'!AM45</f>
        <v>0</v>
      </c>
      <c r="AN44" s="49" t="str">
        <f aca="false">IF(P44="","",MIN(120,P44))</f>
        <v/>
      </c>
      <c r="AO44" s="49" t="str">
        <f aca="false">IF(U44="","",MIN(120,U44))</f>
        <v/>
      </c>
      <c r="AP44" s="49" t="str">
        <f aca="false">IF(R44="","",MIN(120,IFERROR(S44/R44*100,0)))</f>
        <v/>
      </c>
      <c r="AQ44" s="49" t="str">
        <f aca="false">IF(W44="","",MIN(120,IF(W44=0,120,100*(INDEX('Standards &amp; Scoring'!$E$5:$E$13,MATCH("Quality / Rejection",'Standards &amp; Scoring'!$A$5:$A$13,0))/W44))))</f>
        <v/>
      </c>
      <c r="AR44" s="49" t="str">
        <f aca="false">IF(AG44="","",MIN(120,IF(AG44=0,120,100*(INDEX('Standards &amp; Scoring'!$E$5:$E$13,MATCH("Fault Control",'Standards &amp; Scoring'!$A$5:$A$13,0))/AG44))))</f>
        <v/>
      </c>
      <c r="AS44" s="49" t="str">
        <f aca="false">IF(O44="","",MIN(120,IF(SUMIFS('Fault &amp; Downtime Entry'!$L$6:$L$1005,'Fault &amp; Downtime Entry'!$E$6:$E$1005,G44,'Fault &amp; Downtime Entry'!$B$6:$B$1005,B44)=0,120,100*(INDEX('Standards &amp; Scoring'!$E$5:$E$13,MATCH("Downtime Control",'Standards &amp; Scoring'!$A$5:$A$13,0))/IFERROR(SUMIFS('Fault &amp; Downtime Entry'!$L$6:$L$1005,'Fault &amp; Downtime Entry'!$E$6:$E$1005,G44,'Fault &amp; Downtime Entry'!$B$6:$B$1005,B44)/O44*1000,999999)))))</f>
        <v/>
      </c>
      <c r="AT44" s="49" t="n">
        <f aca="false">IF(COUNTA(AH44,AJ44)=0,"",MIN(120,IF(AND(AH44&lt;&gt;"",AJ44&lt;&gt;""),AVERAGE(AH44,AJ44),IF(AH44&lt;&gt;"",AH44,AJ44))))</f>
        <v>0</v>
      </c>
      <c r="AU44" s="49" t="str">
        <f aca="false">IF(AI44="","",MIN(120,AI44))</f>
        <v/>
      </c>
      <c r="AV44" s="49" t="str">
        <f aca="false">IF(AJ44="","",MIN(120,AJ44))</f>
        <v/>
      </c>
      <c r="AW44" s="50" t="str">
        <f aca="false">IF(COUNT(AN44:AV44)&lt;9,"",(AN44*'Standards &amp; Scoring'!$D$5+AO44*'Standards &amp; Scoring'!$D$6+AP44*'Standards &amp; Scoring'!$D$7+AQ44*'Standards &amp; Scoring'!$D$8+AR44*'Standards &amp; Scoring'!$D$9+AS44*'Standards &amp; Scoring'!$D$10+AT44*'Standards &amp; Scoring'!$D$11+AU44*'Standards &amp; Scoring'!$D$12+AV44*'Standards &amp; Scoring'!$D$13)/10000)</f>
        <v/>
      </c>
      <c r="AX44" s="47" t="str">
        <f aca="false">IF(AW44="","",IF(AW44&gt;=1.05,"A+",IF(AW44&gt;=1,"A",IF(AW44&gt;=0.95,"B+",IF(AW44&gt;=0.9,"B","C")))))</f>
        <v/>
      </c>
      <c r="AY44" s="47" t="str">
        <f aca="false">IF(AX44="","",IF(AX44="A+",1800,IF(AX44="A",1600,IF(AX44="B+",1400,IF(AX44="B",1200,0)))))</f>
        <v/>
      </c>
      <c r="AZ44" s="49" t="str">
        <f aca="false">IF(OR(L44="",M44="",S44="",M44=0),"",IFERROR(L44*60*S44/(M44*36),0))</f>
        <v/>
      </c>
    </row>
    <row r="45" customFormat="false" ht="15" hidden="false" customHeight="true" outlineLevel="0" collapsed="false">
      <c r="A45" s="47" t="n">
        <f aca="false">'Daily KPI Entry'!A46</f>
        <v>41</v>
      </c>
      <c r="B45" s="48" t="n">
        <f aca="false">'Daily KPI Entry'!B46</f>
        <v>46288</v>
      </c>
      <c r="C45" s="47" t="n">
        <f aca="false">'Daily KPI Entry'!C46</f>
        <v>0</v>
      </c>
      <c r="D45" s="47" t="n">
        <f aca="false">'Daily KPI Entry'!D46</f>
        <v>0</v>
      </c>
      <c r="E45" s="47" t="n">
        <f aca="false">'Daily KPI Entry'!E46</f>
        <v>0</v>
      </c>
      <c r="F45" s="47" t="n">
        <f aca="false">'Daily KPI Entry'!F46</f>
        <v>0</v>
      </c>
      <c r="G45" s="47" t="str">
        <f aca="false">'Daily KPI Entry'!G46</f>
        <v>STL005480</v>
      </c>
      <c r="H45" s="47" t="str">
        <f aca="false">'Daily KPI Entry'!H46</f>
        <v>MD. MONARUL ISLAM</v>
      </c>
      <c r="I45" s="47" t="n">
        <f aca="false">'Daily KPI Entry'!I46</f>
        <v>0</v>
      </c>
      <c r="J45" s="47" t="n">
        <f aca="false">'Daily KPI Entry'!J46</f>
        <v>0</v>
      </c>
      <c r="K45" s="47" t="n">
        <f aca="false">'Daily KPI Entry'!K46</f>
        <v>0</v>
      </c>
      <c r="L45" s="47" t="n">
        <f aca="false">'Daily KPI Entry'!L46</f>
        <v>505.555555555556</v>
      </c>
      <c r="M45" s="47" t="n">
        <f aca="false">'Daily KPI Entry'!M46</f>
        <v>44.81</v>
      </c>
      <c r="N45" s="49" t="n">
        <f aca="false">'Daily KPI Entry'!N46</f>
        <v>0</v>
      </c>
      <c r="O45" s="49" t="n">
        <f aca="false">'Daily KPI Entry'!O46</f>
        <v>0</v>
      </c>
      <c r="P45" s="49" t="str">
        <f aca="false">IF(OR(N45="",O45=""),"",IFERROR(O45/N45*100,0))</f>
        <v/>
      </c>
      <c r="Q45" s="47" t="n">
        <f aca="false">'Daily KPI Entry'!Q46</f>
        <v>8</v>
      </c>
      <c r="R45" s="47" t="str">
        <f aca="false">IF(J45="","",Q45*J45)</f>
        <v/>
      </c>
      <c r="S45" s="49" t="n">
        <f aca="false">'Daily KPI Entry'!S46</f>
        <v>0</v>
      </c>
      <c r="T45" s="49" t="str">
        <f aca="false">IF(OR(R45="",S45=""),"",IFERROR(S45/R45*100,0))</f>
        <v/>
      </c>
      <c r="U45" s="49" t="str">
        <f aca="false">IF(OR(O45="",L45="",M45="",S45="",M45=0),"",IFERROR(O45/(L45*60*S45/(M45*36))*100,0))</f>
        <v/>
      </c>
      <c r="V45" s="49" t="n">
        <f aca="false">'Daily KPI Entry'!V46</f>
        <v>0</v>
      </c>
      <c r="W45" s="49" t="str">
        <f aca="false">IF(O45="","",IFERROR(V45/O45*100,0))</f>
        <v/>
      </c>
      <c r="X45" s="49" t="n">
        <f aca="false">'Daily KPI Entry'!X46</f>
        <v>0</v>
      </c>
      <c r="Y45" s="49" t="n">
        <f aca="false">'Daily KPI Entry'!Y46</f>
        <v>0</v>
      </c>
      <c r="Z45" s="49" t="n">
        <f aca="false">'Daily KPI Entry'!Z46</f>
        <v>0</v>
      </c>
      <c r="AA45" s="49" t="n">
        <f aca="false">'Daily KPI Entry'!AA46</f>
        <v>0</v>
      </c>
      <c r="AB45" s="49" t="n">
        <f aca="false">'Daily KPI Entry'!AB46</f>
        <v>0</v>
      </c>
      <c r="AC45" s="49" t="n">
        <f aca="false">'Daily KPI Entry'!AC46</f>
        <v>0</v>
      </c>
      <c r="AD45" s="49" t="n">
        <f aca="false">'Daily KPI Entry'!AD46</f>
        <v>0</v>
      </c>
      <c r="AE45" s="49" t="n">
        <f aca="false">'Daily KPI Entry'!AE46</f>
        <v>0</v>
      </c>
      <c r="AF45" s="47" t="str">
        <f aca="false">IF(O45="","",SUM(X45:AE45))</f>
        <v/>
      </c>
      <c r="AG45" s="49" t="str">
        <f aca="false">IF(O45="","",IFERROR(AF45/O45*1000,0))</f>
        <v/>
      </c>
      <c r="AH45" s="49" t="n">
        <f aca="false">'Daily KPI Entry'!AH46</f>
        <v>0</v>
      </c>
      <c r="AI45" s="49" t="n">
        <f aca="false">'Daily KPI Entry'!AI46</f>
        <v>0</v>
      </c>
      <c r="AJ45" s="49" t="n">
        <f aca="false">'Daily KPI Entry'!AJ46</f>
        <v>0</v>
      </c>
      <c r="AK45" s="47" t="n">
        <f aca="false">'Daily KPI Entry'!AK46</f>
        <v>0</v>
      </c>
      <c r="AL45" s="47" t="n">
        <f aca="false">'Daily KPI Entry'!AL46</f>
        <v>0</v>
      </c>
      <c r="AM45" s="47" t="n">
        <f aca="false">'Daily KPI Entry'!AM46</f>
        <v>0</v>
      </c>
      <c r="AN45" s="49" t="str">
        <f aca="false">IF(P45="","",MIN(120,P45))</f>
        <v/>
      </c>
      <c r="AO45" s="49" t="str">
        <f aca="false">IF(U45="","",MIN(120,U45))</f>
        <v/>
      </c>
      <c r="AP45" s="49" t="str">
        <f aca="false">IF(R45="","",MIN(120,IFERROR(S45/R45*100,0)))</f>
        <v/>
      </c>
      <c r="AQ45" s="49" t="str">
        <f aca="false">IF(W45="","",MIN(120,IF(W45=0,120,100*(INDEX('Standards &amp; Scoring'!$E$5:$E$13,MATCH("Quality / Rejection",'Standards &amp; Scoring'!$A$5:$A$13,0))/W45))))</f>
        <v/>
      </c>
      <c r="AR45" s="49" t="str">
        <f aca="false">IF(AG45="","",MIN(120,IF(AG45=0,120,100*(INDEX('Standards &amp; Scoring'!$E$5:$E$13,MATCH("Fault Control",'Standards &amp; Scoring'!$A$5:$A$13,0))/AG45))))</f>
        <v/>
      </c>
      <c r="AS45" s="49" t="str">
        <f aca="false">IF(O45="","",MIN(120,IF(SUMIFS('Fault &amp; Downtime Entry'!$L$6:$L$1005,'Fault &amp; Downtime Entry'!$E$6:$E$1005,G45,'Fault &amp; Downtime Entry'!$B$6:$B$1005,B45)=0,120,100*(INDEX('Standards &amp; Scoring'!$E$5:$E$13,MATCH("Downtime Control",'Standards &amp; Scoring'!$A$5:$A$13,0))/IFERROR(SUMIFS('Fault &amp; Downtime Entry'!$L$6:$L$1005,'Fault &amp; Downtime Entry'!$E$6:$E$1005,G45,'Fault &amp; Downtime Entry'!$B$6:$B$1005,B45)/O45*1000,999999)))))</f>
        <v/>
      </c>
      <c r="AT45" s="49" t="n">
        <f aca="false">IF(COUNTA(AH45,AJ45)=0,"",MIN(120,IF(AND(AH45&lt;&gt;"",AJ45&lt;&gt;""),AVERAGE(AH45,AJ45),IF(AH45&lt;&gt;"",AH45,AJ45))))</f>
        <v>0</v>
      </c>
      <c r="AU45" s="49" t="str">
        <f aca="false">IF(AI45="","",MIN(120,AI45))</f>
        <v/>
      </c>
      <c r="AV45" s="49" t="str">
        <f aca="false">IF(AJ45="","",MIN(120,AJ45))</f>
        <v/>
      </c>
      <c r="AW45" s="50" t="str">
        <f aca="false">IF(COUNT(AN45:AV45)&lt;9,"",(AN45*'Standards &amp; Scoring'!$D$5+AO45*'Standards &amp; Scoring'!$D$6+AP45*'Standards &amp; Scoring'!$D$7+AQ45*'Standards &amp; Scoring'!$D$8+AR45*'Standards &amp; Scoring'!$D$9+AS45*'Standards &amp; Scoring'!$D$10+AT45*'Standards &amp; Scoring'!$D$11+AU45*'Standards &amp; Scoring'!$D$12+AV45*'Standards &amp; Scoring'!$D$13)/10000)</f>
        <v/>
      </c>
      <c r="AX45" s="47" t="str">
        <f aca="false">IF(AW45="","",IF(AW45&gt;=1.05,"A+",IF(AW45&gt;=1,"A",IF(AW45&gt;=0.95,"B+",IF(AW45&gt;=0.9,"B","C")))))</f>
        <v/>
      </c>
      <c r="AY45" s="47" t="str">
        <f aca="false">IF(AX45="","",IF(AX45="A+",1800,IF(AX45="A",1600,IF(AX45="B+",1400,IF(AX45="B",1200,0)))))</f>
        <v/>
      </c>
      <c r="AZ45" s="49" t="str">
        <f aca="false">IF(OR(L45="",M45="",S45="",M45=0),"",IFERROR(L45*60*S45/(M45*36),0))</f>
        <v/>
      </c>
    </row>
    <row r="46" customFormat="false" ht="15" hidden="false" customHeight="true" outlineLevel="0" collapsed="false">
      <c r="A46" s="47" t="n">
        <f aca="false">'Daily KPI Entry'!A47</f>
        <v>42</v>
      </c>
      <c r="B46" s="48" t="n">
        <f aca="false">'Daily KPI Entry'!B47</f>
        <v>46288</v>
      </c>
      <c r="C46" s="47" t="n">
        <f aca="false">'Daily KPI Entry'!C47</f>
        <v>0</v>
      </c>
      <c r="D46" s="47" t="n">
        <f aca="false">'Daily KPI Entry'!D47</f>
        <v>0</v>
      </c>
      <c r="E46" s="47" t="n">
        <f aca="false">'Daily KPI Entry'!E47</f>
        <v>0</v>
      </c>
      <c r="F46" s="47" t="n">
        <f aca="false">'Daily KPI Entry'!F47</f>
        <v>0</v>
      </c>
      <c r="G46" s="47" t="str">
        <f aca="false">'Daily KPI Entry'!G47</f>
        <v>STL005486</v>
      </c>
      <c r="H46" s="47" t="str">
        <f aca="false">'Daily KPI Entry'!H47</f>
        <v>MD. NURUL ISLAM</v>
      </c>
      <c r="I46" s="47" t="n">
        <f aca="false">'Daily KPI Entry'!I47</f>
        <v>0</v>
      </c>
      <c r="J46" s="47" t="n">
        <f aca="false">'Daily KPI Entry'!J47</f>
        <v>0</v>
      </c>
      <c r="K46" s="47" t="n">
        <f aca="false">'Daily KPI Entry'!K47</f>
        <v>0</v>
      </c>
      <c r="L46" s="47" t="n">
        <f aca="false">'Daily KPI Entry'!L47</f>
        <v>539.285714285714</v>
      </c>
      <c r="M46" s="47" t="n">
        <f aca="false">'Daily KPI Entry'!M47</f>
        <v>40.43</v>
      </c>
      <c r="N46" s="49" t="n">
        <f aca="false">'Daily KPI Entry'!N47</f>
        <v>0</v>
      </c>
      <c r="O46" s="49" t="n">
        <f aca="false">'Daily KPI Entry'!O47</f>
        <v>0</v>
      </c>
      <c r="P46" s="49" t="str">
        <f aca="false">IF(OR(N46="",O46=""),"",IFERROR(O46/N46*100,0))</f>
        <v/>
      </c>
      <c r="Q46" s="47" t="n">
        <f aca="false">'Daily KPI Entry'!Q47</f>
        <v>8</v>
      </c>
      <c r="R46" s="47" t="str">
        <f aca="false">IF(J46="","",Q46*J46)</f>
        <v/>
      </c>
      <c r="S46" s="49" t="n">
        <f aca="false">'Daily KPI Entry'!S47</f>
        <v>0</v>
      </c>
      <c r="T46" s="49" t="str">
        <f aca="false">IF(OR(R46="",S46=""),"",IFERROR(S46/R46*100,0))</f>
        <v/>
      </c>
      <c r="U46" s="49" t="str">
        <f aca="false">IF(OR(O46="",L46="",M46="",S46="",M46=0),"",IFERROR(O46/(L46*60*S46/(M46*36))*100,0))</f>
        <v/>
      </c>
      <c r="V46" s="49" t="n">
        <f aca="false">'Daily KPI Entry'!V47</f>
        <v>0</v>
      </c>
      <c r="W46" s="49" t="str">
        <f aca="false">IF(O46="","",IFERROR(V46/O46*100,0))</f>
        <v/>
      </c>
      <c r="X46" s="49" t="n">
        <f aca="false">'Daily KPI Entry'!X47</f>
        <v>0</v>
      </c>
      <c r="Y46" s="49" t="n">
        <f aca="false">'Daily KPI Entry'!Y47</f>
        <v>0</v>
      </c>
      <c r="Z46" s="49" t="n">
        <f aca="false">'Daily KPI Entry'!Z47</f>
        <v>0</v>
      </c>
      <c r="AA46" s="49" t="n">
        <f aca="false">'Daily KPI Entry'!AA47</f>
        <v>0</v>
      </c>
      <c r="AB46" s="49" t="n">
        <f aca="false">'Daily KPI Entry'!AB47</f>
        <v>0</v>
      </c>
      <c r="AC46" s="49" t="n">
        <f aca="false">'Daily KPI Entry'!AC47</f>
        <v>0</v>
      </c>
      <c r="AD46" s="49" t="n">
        <f aca="false">'Daily KPI Entry'!AD47</f>
        <v>0</v>
      </c>
      <c r="AE46" s="49" t="n">
        <f aca="false">'Daily KPI Entry'!AE47</f>
        <v>0</v>
      </c>
      <c r="AF46" s="47" t="str">
        <f aca="false">IF(O46="","",SUM(X46:AE46))</f>
        <v/>
      </c>
      <c r="AG46" s="49" t="str">
        <f aca="false">IF(O46="","",IFERROR(AF46/O46*1000,0))</f>
        <v/>
      </c>
      <c r="AH46" s="49" t="n">
        <f aca="false">'Daily KPI Entry'!AH47</f>
        <v>0</v>
      </c>
      <c r="AI46" s="49" t="n">
        <f aca="false">'Daily KPI Entry'!AI47</f>
        <v>0</v>
      </c>
      <c r="AJ46" s="49" t="n">
        <f aca="false">'Daily KPI Entry'!AJ47</f>
        <v>0</v>
      </c>
      <c r="AK46" s="47" t="n">
        <f aca="false">'Daily KPI Entry'!AK47</f>
        <v>0</v>
      </c>
      <c r="AL46" s="47" t="n">
        <f aca="false">'Daily KPI Entry'!AL47</f>
        <v>0</v>
      </c>
      <c r="AM46" s="47" t="n">
        <f aca="false">'Daily KPI Entry'!AM47</f>
        <v>0</v>
      </c>
      <c r="AN46" s="49" t="str">
        <f aca="false">IF(P46="","",MIN(120,P46))</f>
        <v/>
      </c>
      <c r="AO46" s="49" t="str">
        <f aca="false">IF(U46="","",MIN(120,U46))</f>
        <v/>
      </c>
      <c r="AP46" s="49" t="str">
        <f aca="false">IF(R46="","",MIN(120,IFERROR(S46/R46*100,0)))</f>
        <v/>
      </c>
      <c r="AQ46" s="49" t="str">
        <f aca="false">IF(W46="","",MIN(120,IF(W46=0,120,100*(INDEX('Standards &amp; Scoring'!$E$5:$E$13,MATCH("Quality / Rejection",'Standards &amp; Scoring'!$A$5:$A$13,0))/W46))))</f>
        <v/>
      </c>
      <c r="AR46" s="49" t="str">
        <f aca="false">IF(AG46="","",MIN(120,IF(AG46=0,120,100*(INDEX('Standards &amp; Scoring'!$E$5:$E$13,MATCH("Fault Control",'Standards &amp; Scoring'!$A$5:$A$13,0))/AG46))))</f>
        <v/>
      </c>
      <c r="AS46" s="49" t="str">
        <f aca="false">IF(O46="","",MIN(120,IF(SUMIFS('Fault &amp; Downtime Entry'!$L$6:$L$1005,'Fault &amp; Downtime Entry'!$E$6:$E$1005,G46,'Fault &amp; Downtime Entry'!$B$6:$B$1005,B46)=0,120,100*(INDEX('Standards &amp; Scoring'!$E$5:$E$13,MATCH("Downtime Control",'Standards &amp; Scoring'!$A$5:$A$13,0))/IFERROR(SUMIFS('Fault &amp; Downtime Entry'!$L$6:$L$1005,'Fault &amp; Downtime Entry'!$E$6:$E$1005,G46,'Fault &amp; Downtime Entry'!$B$6:$B$1005,B46)/O46*1000,999999)))))</f>
        <v/>
      </c>
      <c r="AT46" s="49" t="n">
        <f aca="false">IF(COUNTA(AH46,AJ46)=0,"",MIN(120,IF(AND(AH46&lt;&gt;"",AJ46&lt;&gt;""),AVERAGE(AH46,AJ46),IF(AH46&lt;&gt;"",AH46,AJ46))))</f>
        <v>0</v>
      </c>
      <c r="AU46" s="49" t="str">
        <f aca="false">IF(AI46="","",MIN(120,AI46))</f>
        <v/>
      </c>
      <c r="AV46" s="49" t="str">
        <f aca="false">IF(AJ46="","",MIN(120,AJ46))</f>
        <v/>
      </c>
      <c r="AW46" s="50" t="str">
        <f aca="false">IF(COUNT(AN46:AV46)&lt;9,"",(AN46*'Standards &amp; Scoring'!$D$5+AO46*'Standards &amp; Scoring'!$D$6+AP46*'Standards &amp; Scoring'!$D$7+AQ46*'Standards &amp; Scoring'!$D$8+AR46*'Standards &amp; Scoring'!$D$9+AS46*'Standards &amp; Scoring'!$D$10+AT46*'Standards &amp; Scoring'!$D$11+AU46*'Standards &amp; Scoring'!$D$12+AV46*'Standards &amp; Scoring'!$D$13)/10000)</f>
        <v/>
      </c>
      <c r="AX46" s="47" t="str">
        <f aca="false">IF(AW46="","",IF(AW46&gt;=1.05,"A+",IF(AW46&gt;=1,"A",IF(AW46&gt;=0.95,"B+",IF(AW46&gt;=0.9,"B","C")))))</f>
        <v/>
      </c>
      <c r="AY46" s="47" t="str">
        <f aca="false">IF(AX46="","",IF(AX46="A+",1800,IF(AX46="A",1600,IF(AX46="B+",1400,IF(AX46="B",1200,0)))))</f>
        <v/>
      </c>
      <c r="AZ46" s="49" t="str">
        <f aca="false">IF(OR(L46="",M46="",S46="",M46=0),"",IFERROR(L46*60*S46/(M46*36),0))</f>
        <v/>
      </c>
    </row>
    <row r="47" customFormat="false" ht="15" hidden="false" customHeight="true" outlineLevel="0" collapsed="false">
      <c r="A47" s="47" t="n">
        <f aca="false">'Daily KPI Entry'!A48</f>
        <v>43</v>
      </c>
      <c r="B47" s="48" t="n">
        <f aca="false">'Daily KPI Entry'!B48</f>
        <v>46288</v>
      </c>
      <c r="C47" s="47" t="n">
        <f aca="false">'Daily KPI Entry'!C48</f>
        <v>0</v>
      </c>
      <c r="D47" s="47" t="n">
        <f aca="false">'Daily KPI Entry'!D48</f>
        <v>0</v>
      </c>
      <c r="E47" s="47" t="n">
        <f aca="false">'Daily KPI Entry'!E48</f>
        <v>0</v>
      </c>
      <c r="F47" s="47" t="n">
        <f aca="false">'Daily KPI Entry'!F48</f>
        <v>0</v>
      </c>
      <c r="G47" s="47" t="str">
        <f aca="false">'Daily KPI Entry'!G48</f>
        <v>STL005521</v>
      </c>
      <c r="H47" s="47" t="str">
        <f aca="false">'Daily KPI Entry'!H48</f>
        <v>SHAIDUL</v>
      </c>
      <c r="I47" s="47" t="n">
        <f aca="false">'Daily KPI Entry'!I48</f>
        <v>0</v>
      </c>
      <c r="J47" s="47" t="n">
        <f aca="false">'Daily KPI Entry'!J48</f>
        <v>0</v>
      </c>
      <c r="K47" s="47" t="n">
        <f aca="false">'Daily KPI Entry'!K48</f>
        <v>0</v>
      </c>
      <c r="L47" s="47" t="n">
        <f aca="false">'Daily KPI Entry'!L48</f>
        <v>540.625</v>
      </c>
      <c r="M47" s="47" t="n">
        <f aca="false">'Daily KPI Entry'!M48</f>
        <v>42.63</v>
      </c>
      <c r="N47" s="49" t="n">
        <f aca="false">'Daily KPI Entry'!N48</f>
        <v>0</v>
      </c>
      <c r="O47" s="49" t="n">
        <f aca="false">'Daily KPI Entry'!O48</f>
        <v>0</v>
      </c>
      <c r="P47" s="49" t="str">
        <f aca="false">IF(OR(N47="",O47=""),"",IFERROR(O47/N47*100,0))</f>
        <v/>
      </c>
      <c r="Q47" s="47" t="n">
        <f aca="false">'Daily KPI Entry'!Q48</f>
        <v>8</v>
      </c>
      <c r="R47" s="47" t="str">
        <f aca="false">IF(J47="","",Q47*J47)</f>
        <v/>
      </c>
      <c r="S47" s="49" t="n">
        <f aca="false">'Daily KPI Entry'!S48</f>
        <v>0</v>
      </c>
      <c r="T47" s="49" t="str">
        <f aca="false">IF(OR(R47="",S47=""),"",IFERROR(S47/R47*100,0))</f>
        <v/>
      </c>
      <c r="U47" s="49" t="str">
        <f aca="false">IF(OR(O47="",L47="",M47="",S47="",M47=0),"",IFERROR(O47/(L47*60*S47/(M47*36))*100,0))</f>
        <v/>
      </c>
      <c r="V47" s="49" t="n">
        <f aca="false">'Daily KPI Entry'!V48</f>
        <v>0</v>
      </c>
      <c r="W47" s="49" t="str">
        <f aca="false">IF(O47="","",IFERROR(V47/O47*100,0))</f>
        <v/>
      </c>
      <c r="X47" s="49" t="n">
        <f aca="false">'Daily KPI Entry'!X48</f>
        <v>0</v>
      </c>
      <c r="Y47" s="49" t="n">
        <f aca="false">'Daily KPI Entry'!Y48</f>
        <v>0</v>
      </c>
      <c r="Z47" s="49" t="n">
        <f aca="false">'Daily KPI Entry'!Z48</f>
        <v>0</v>
      </c>
      <c r="AA47" s="49" t="n">
        <f aca="false">'Daily KPI Entry'!AA48</f>
        <v>0</v>
      </c>
      <c r="AB47" s="49" t="n">
        <f aca="false">'Daily KPI Entry'!AB48</f>
        <v>0</v>
      </c>
      <c r="AC47" s="49" t="n">
        <f aca="false">'Daily KPI Entry'!AC48</f>
        <v>0</v>
      </c>
      <c r="AD47" s="49" t="n">
        <f aca="false">'Daily KPI Entry'!AD48</f>
        <v>0</v>
      </c>
      <c r="AE47" s="49" t="n">
        <f aca="false">'Daily KPI Entry'!AE48</f>
        <v>0</v>
      </c>
      <c r="AF47" s="47" t="str">
        <f aca="false">IF(O47="","",SUM(X47:AE47))</f>
        <v/>
      </c>
      <c r="AG47" s="49" t="str">
        <f aca="false">IF(O47="","",IFERROR(AF47/O47*1000,0))</f>
        <v/>
      </c>
      <c r="AH47" s="49" t="n">
        <f aca="false">'Daily KPI Entry'!AH48</f>
        <v>0</v>
      </c>
      <c r="AI47" s="49" t="n">
        <f aca="false">'Daily KPI Entry'!AI48</f>
        <v>0</v>
      </c>
      <c r="AJ47" s="49" t="n">
        <f aca="false">'Daily KPI Entry'!AJ48</f>
        <v>0</v>
      </c>
      <c r="AK47" s="47" t="n">
        <f aca="false">'Daily KPI Entry'!AK48</f>
        <v>0</v>
      </c>
      <c r="AL47" s="47" t="n">
        <f aca="false">'Daily KPI Entry'!AL48</f>
        <v>0</v>
      </c>
      <c r="AM47" s="47" t="n">
        <f aca="false">'Daily KPI Entry'!AM48</f>
        <v>0</v>
      </c>
      <c r="AN47" s="49" t="str">
        <f aca="false">IF(P47="","",MIN(120,P47))</f>
        <v/>
      </c>
      <c r="AO47" s="49" t="str">
        <f aca="false">IF(U47="","",MIN(120,U47))</f>
        <v/>
      </c>
      <c r="AP47" s="49" t="str">
        <f aca="false">IF(R47="","",MIN(120,IFERROR(S47/R47*100,0)))</f>
        <v/>
      </c>
      <c r="AQ47" s="49" t="str">
        <f aca="false">IF(W47="","",MIN(120,IF(W47=0,120,100*(INDEX('Standards &amp; Scoring'!$E$5:$E$13,MATCH("Quality / Rejection",'Standards &amp; Scoring'!$A$5:$A$13,0))/W47))))</f>
        <v/>
      </c>
      <c r="AR47" s="49" t="str">
        <f aca="false">IF(AG47="","",MIN(120,IF(AG47=0,120,100*(INDEX('Standards &amp; Scoring'!$E$5:$E$13,MATCH("Fault Control",'Standards &amp; Scoring'!$A$5:$A$13,0))/AG47))))</f>
        <v/>
      </c>
      <c r="AS47" s="49" t="str">
        <f aca="false">IF(O47="","",MIN(120,IF(SUMIFS('Fault &amp; Downtime Entry'!$L$6:$L$1005,'Fault &amp; Downtime Entry'!$E$6:$E$1005,G47,'Fault &amp; Downtime Entry'!$B$6:$B$1005,B47)=0,120,100*(INDEX('Standards &amp; Scoring'!$E$5:$E$13,MATCH("Downtime Control",'Standards &amp; Scoring'!$A$5:$A$13,0))/IFERROR(SUMIFS('Fault &amp; Downtime Entry'!$L$6:$L$1005,'Fault &amp; Downtime Entry'!$E$6:$E$1005,G47,'Fault &amp; Downtime Entry'!$B$6:$B$1005,B47)/O47*1000,999999)))))</f>
        <v/>
      </c>
      <c r="AT47" s="49" t="n">
        <f aca="false">IF(COUNTA(AH47,AJ47)=0,"",MIN(120,IF(AND(AH47&lt;&gt;"",AJ47&lt;&gt;""),AVERAGE(AH47,AJ47),IF(AH47&lt;&gt;"",AH47,AJ47))))</f>
        <v>0</v>
      </c>
      <c r="AU47" s="49" t="str">
        <f aca="false">IF(AI47="","",MIN(120,AI47))</f>
        <v/>
      </c>
      <c r="AV47" s="49" t="str">
        <f aca="false">IF(AJ47="","",MIN(120,AJ47))</f>
        <v/>
      </c>
      <c r="AW47" s="50" t="str">
        <f aca="false">IF(COUNT(AN47:AV47)&lt;9,"",(AN47*'Standards &amp; Scoring'!$D$5+AO47*'Standards &amp; Scoring'!$D$6+AP47*'Standards &amp; Scoring'!$D$7+AQ47*'Standards &amp; Scoring'!$D$8+AR47*'Standards &amp; Scoring'!$D$9+AS47*'Standards &amp; Scoring'!$D$10+AT47*'Standards &amp; Scoring'!$D$11+AU47*'Standards &amp; Scoring'!$D$12+AV47*'Standards &amp; Scoring'!$D$13)/10000)</f>
        <v/>
      </c>
      <c r="AX47" s="47" t="str">
        <f aca="false">IF(AW47="","",IF(AW47&gt;=1.05,"A+",IF(AW47&gt;=1,"A",IF(AW47&gt;=0.95,"B+",IF(AW47&gt;=0.9,"B","C")))))</f>
        <v/>
      </c>
      <c r="AY47" s="47" t="str">
        <f aca="false">IF(AX47="","",IF(AX47="A+",1800,IF(AX47="A",1600,IF(AX47="B+",1400,IF(AX47="B",1200,0)))))</f>
        <v/>
      </c>
      <c r="AZ47" s="49" t="str">
        <f aca="false">IF(OR(L47="",M47="",S47="",M47=0),"",IFERROR(L47*60*S47/(M47*36),0))</f>
        <v/>
      </c>
    </row>
    <row r="48" customFormat="false" ht="15" hidden="false" customHeight="true" outlineLevel="0" collapsed="false">
      <c r="A48" s="47" t="n">
        <f aca="false">'Daily KPI Entry'!A49</f>
        <v>44</v>
      </c>
      <c r="B48" s="48" t="n">
        <f aca="false">'Daily KPI Entry'!B49</f>
        <v>46288</v>
      </c>
      <c r="C48" s="47" t="n">
        <f aca="false">'Daily KPI Entry'!C49</f>
        <v>0</v>
      </c>
      <c r="D48" s="47" t="n">
        <f aca="false">'Daily KPI Entry'!D49</f>
        <v>0</v>
      </c>
      <c r="E48" s="47" t="n">
        <f aca="false">'Daily KPI Entry'!E49</f>
        <v>0</v>
      </c>
      <c r="F48" s="47" t="n">
        <f aca="false">'Daily KPI Entry'!F49</f>
        <v>0</v>
      </c>
      <c r="G48" s="47" t="str">
        <f aca="false">'Daily KPI Entry'!G49</f>
        <v>STL005479</v>
      </c>
      <c r="H48" s="47" t="str">
        <f aca="false">'Daily KPI Entry'!H49</f>
        <v>MD. SAIFUL ISLAM</v>
      </c>
      <c r="I48" s="47" t="n">
        <f aca="false">'Daily KPI Entry'!I49</f>
        <v>0</v>
      </c>
      <c r="J48" s="47" t="n">
        <f aca="false">'Daily KPI Entry'!J49</f>
        <v>0</v>
      </c>
      <c r="K48" s="47" t="n">
        <f aca="false">'Daily KPI Entry'!K49</f>
        <v>0</v>
      </c>
      <c r="L48" s="47" t="n">
        <f aca="false">'Daily KPI Entry'!L49</f>
        <v>543.75</v>
      </c>
      <c r="M48" s="47" t="n">
        <f aca="false">'Daily KPI Entry'!M49</f>
        <v>42.5</v>
      </c>
      <c r="N48" s="49" t="n">
        <f aca="false">'Daily KPI Entry'!N49</f>
        <v>0</v>
      </c>
      <c r="O48" s="49" t="n">
        <f aca="false">'Daily KPI Entry'!O49</f>
        <v>0</v>
      </c>
      <c r="P48" s="49" t="str">
        <f aca="false">IF(OR(N48="",O48=""),"",IFERROR(O48/N48*100,0))</f>
        <v/>
      </c>
      <c r="Q48" s="47" t="n">
        <f aca="false">'Daily KPI Entry'!Q49</f>
        <v>8</v>
      </c>
      <c r="R48" s="47" t="str">
        <f aca="false">IF(J48="","",Q48*J48)</f>
        <v/>
      </c>
      <c r="S48" s="49" t="n">
        <f aca="false">'Daily KPI Entry'!S49</f>
        <v>0</v>
      </c>
      <c r="T48" s="49" t="str">
        <f aca="false">IF(OR(R48="",S48=""),"",IFERROR(S48/R48*100,0))</f>
        <v/>
      </c>
      <c r="U48" s="49" t="str">
        <f aca="false">IF(OR(O48="",L48="",M48="",S48="",M48=0),"",IFERROR(O48/(L48*60*S48/(M48*36))*100,0))</f>
        <v/>
      </c>
      <c r="V48" s="49" t="n">
        <f aca="false">'Daily KPI Entry'!V49</f>
        <v>0</v>
      </c>
      <c r="W48" s="49" t="str">
        <f aca="false">IF(O48="","",IFERROR(V48/O48*100,0))</f>
        <v/>
      </c>
      <c r="X48" s="49" t="n">
        <f aca="false">'Daily KPI Entry'!X49</f>
        <v>0</v>
      </c>
      <c r="Y48" s="49" t="n">
        <f aca="false">'Daily KPI Entry'!Y49</f>
        <v>0</v>
      </c>
      <c r="Z48" s="49" t="n">
        <f aca="false">'Daily KPI Entry'!Z49</f>
        <v>0</v>
      </c>
      <c r="AA48" s="49" t="n">
        <f aca="false">'Daily KPI Entry'!AA49</f>
        <v>0</v>
      </c>
      <c r="AB48" s="49" t="n">
        <f aca="false">'Daily KPI Entry'!AB49</f>
        <v>0</v>
      </c>
      <c r="AC48" s="49" t="n">
        <f aca="false">'Daily KPI Entry'!AC49</f>
        <v>0</v>
      </c>
      <c r="AD48" s="49" t="n">
        <f aca="false">'Daily KPI Entry'!AD49</f>
        <v>0</v>
      </c>
      <c r="AE48" s="49" t="n">
        <f aca="false">'Daily KPI Entry'!AE49</f>
        <v>0</v>
      </c>
      <c r="AF48" s="47" t="str">
        <f aca="false">IF(O48="","",SUM(X48:AE48))</f>
        <v/>
      </c>
      <c r="AG48" s="49" t="str">
        <f aca="false">IF(O48="","",IFERROR(AF48/O48*1000,0))</f>
        <v/>
      </c>
      <c r="AH48" s="49" t="n">
        <f aca="false">'Daily KPI Entry'!AH49</f>
        <v>0</v>
      </c>
      <c r="AI48" s="49" t="n">
        <f aca="false">'Daily KPI Entry'!AI49</f>
        <v>0</v>
      </c>
      <c r="AJ48" s="49" t="n">
        <f aca="false">'Daily KPI Entry'!AJ49</f>
        <v>0</v>
      </c>
      <c r="AK48" s="47" t="n">
        <f aca="false">'Daily KPI Entry'!AK49</f>
        <v>0</v>
      </c>
      <c r="AL48" s="47" t="n">
        <f aca="false">'Daily KPI Entry'!AL49</f>
        <v>0</v>
      </c>
      <c r="AM48" s="47" t="n">
        <f aca="false">'Daily KPI Entry'!AM49</f>
        <v>0</v>
      </c>
      <c r="AN48" s="49" t="str">
        <f aca="false">IF(P48="","",MIN(120,P48))</f>
        <v/>
      </c>
      <c r="AO48" s="49" t="str">
        <f aca="false">IF(U48="","",MIN(120,U48))</f>
        <v/>
      </c>
      <c r="AP48" s="49" t="str">
        <f aca="false">IF(R48="","",MIN(120,IFERROR(S48/R48*100,0)))</f>
        <v/>
      </c>
      <c r="AQ48" s="49" t="str">
        <f aca="false">IF(W48="","",MIN(120,IF(W48=0,120,100*(INDEX('Standards &amp; Scoring'!$E$5:$E$13,MATCH("Quality / Rejection",'Standards &amp; Scoring'!$A$5:$A$13,0))/W48))))</f>
        <v/>
      </c>
      <c r="AR48" s="49" t="str">
        <f aca="false">IF(AG48="","",MIN(120,IF(AG48=0,120,100*(INDEX('Standards &amp; Scoring'!$E$5:$E$13,MATCH("Fault Control",'Standards &amp; Scoring'!$A$5:$A$13,0))/AG48))))</f>
        <v/>
      </c>
      <c r="AS48" s="49" t="str">
        <f aca="false">IF(O48="","",MIN(120,IF(SUMIFS('Fault &amp; Downtime Entry'!$L$6:$L$1005,'Fault &amp; Downtime Entry'!$E$6:$E$1005,G48,'Fault &amp; Downtime Entry'!$B$6:$B$1005,B48)=0,120,100*(INDEX('Standards &amp; Scoring'!$E$5:$E$13,MATCH("Downtime Control",'Standards &amp; Scoring'!$A$5:$A$13,0))/IFERROR(SUMIFS('Fault &amp; Downtime Entry'!$L$6:$L$1005,'Fault &amp; Downtime Entry'!$E$6:$E$1005,G48,'Fault &amp; Downtime Entry'!$B$6:$B$1005,B48)/O48*1000,999999)))))</f>
        <v/>
      </c>
      <c r="AT48" s="49" t="n">
        <f aca="false">IF(COUNTA(AH48,AJ48)=0,"",MIN(120,IF(AND(AH48&lt;&gt;"",AJ48&lt;&gt;""),AVERAGE(AH48,AJ48),IF(AH48&lt;&gt;"",AH48,AJ48))))</f>
        <v>0</v>
      </c>
      <c r="AU48" s="49" t="str">
        <f aca="false">IF(AI48="","",MIN(120,AI48))</f>
        <v/>
      </c>
      <c r="AV48" s="49" t="str">
        <f aca="false">IF(AJ48="","",MIN(120,AJ48))</f>
        <v/>
      </c>
      <c r="AW48" s="50" t="str">
        <f aca="false">IF(COUNT(AN48:AV48)&lt;9,"",(AN48*'Standards &amp; Scoring'!$D$5+AO48*'Standards &amp; Scoring'!$D$6+AP48*'Standards &amp; Scoring'!$D$7+AQ48*'Standards &amp; Scoring'!$D$8+AR48*'Standards &amp; Scoring'!$D$9+AS48*'Standards &amp; Scoring'!$D$10+AT48*'Standards &amp; Scoring'!$D$11+AU48*'Standards &amp; Scoring'!$D$12+AV48*'Standards &amp; Scoring'!$D$13)/10000)</f>
        <v/>
      </c>
      <c r="AX48" s="47" t="str">
        <f aca="false">IF(AW48="","",IF(AW48&gt;=1.05,"A+",IF(AW48&gt;=1,"A",IF(AW48&gt;=0.95,"B+",IF(AW48&gt;=0.9,"B","C")))))</f>
        <v/>
      </c>
      <c r="AY48" s="47" t="str">
        <f aca="false">IF(AX48="","",IF(AX48="A+",1800,IF(AX48="A",1600,IF(AX48="B+",1400,IF(AX48="B",1200,0)))))</f>
        <v/>
      </c>
      <c r="AZ48" s="49" t="str">
        <f aca="false">IF(OR(L48="",M48="",S48="",M48=0),"",IFERROR(L48*60*S48/(M48*36),0))</f>
        <v/>
      </c>
    </row>
    <row r="49" customFormat="false" ht="15" hidden="false" customHeight="true" outlineLevel="0" collapsed="false">
      <c r="A49" s="47" t="n">
        <f aca="false">'Daily KPI Entry'!A50</f>
        <v>45</v>
      </c>
      <c r="B49" s="48" t="n">
        <f aca="false">'Daily KPI Entry'!B50</f>
        <v>46288</v>
      </c>
      <c r="C49" s="47" t="n">
        <f aca="false">'Daily KPI Entry'!C50</f>
        <v>0</v>
      </c>
      <c r="D49" s="47" t="n">
        <f aca="false">'Daily KPI Entry'!D50</f>
        <v>0</v>
      </c>
      <c r="E49" s="47" t="n">
        <f aca="false">'Daily KPI Entry'!E50</f>
        <v>0</v>
      </c>
      <c r="F49" s="47" t="n">
        <f aca="false">'Daily KPI Entry'!F50</f>
        <v>0</v>
      </c>
      <c r="G49" s="47" t="str">
        <f aca="false">'Daily KPI Entry'!G50</f>
        <v>STL005508</v>
      </c>
      <c r="H49" s="47" t="str">
        <f aca="false">'Daily KPI Entry'!H50</f>
        <v>MD. NAJMUL ISLAM</v>
      </c>
      <c r="I49" s="47" t="n">
        <f aca="false">'Daily KPI Entry'!I50</f>
        <v>0</v>
      </c>
      <c r="J49" s="47" t="n">
        <f aca="false">'Daily KPI Entry'!J50</f>
        <v>0</v>
      </c>
      <c r="K49" s="47" t="n">
        <f aca="false">'Daily KPI Entry'!K50</f>
        <v>0</v>
      </c>
      <c r="L49" s="47" t="n">
        <f aca="false">'Daily KPI Entry'!L50</f>
        <v>0</v>
      </c>
      <c r="M49" s="47" t="n">
        <f aca="false">'Daily KPI Entry'!M50</f>
        <v>0</v>
      </c>
      <c r="N49" s="49" t="n">
        <f aca="false">'Daily KPI Entry'!N50</f>
        <v>0</v>
      </c>
      <c r="O49" s="49" t="n">
        <f aca="false">'Daily KPI Entry'!O50</f>
        <v>0</v>
      </c>
      <c r="P49" s="49" t="str">
        <f aca="false">IF(OR(N49="",O49=""),"",IFERROR(O49/N49*100,0))</f>
        <v/>
      </c>
      <c r="Q49" s="47" t="n">
        <f aca="false">'Daily KPI Entry'!Q50</f>
        <v>8</v>
      </c>
      <c r="R49" s="47" t="str">
        <f aca="false">IF(J49="","",Q49*J49)</f>
        <v/>
      </c>
      <c r="S49" s="49" t="n">
        <f aca="false">'Daily KPI Entry'!S50</f>
        <v>0</v>
      </c>
      <c r="T49" s="49" t="str">
        <f aca="false">IF(OR(R49="",S49=""),"",IFERROR(S49/R49*100,0))</f>
        <v/>
      </c>
      <c r="U49" s="49" t="str">
        <f aca="false">IF(OR(O49="",L49="",M49="",S49="",M49=0),"",IFERROR(O49/(L49*60*S49/(M49*36))*100,0))</f>
        <v/>
      </c>
      <c r="V49" s="49" t="n">
        <f aca="false">'Daily KPI Entry'!V50</f>
        <v>0</v>
      </c>
      <c r="W49" s="49" t="str">
        <f aca="false">IF(O49="","",IFERROR(V49/O49*100,0))</f>
        <v/>
      </c>
      <c r="X49" s="49" t="n">
        <f aca="false">'Daily KPI Entry'!X50</f>
        <v>0</v>
      </c>
      <c r="Y49" s="49" t="n">
        <f aca="false">'Daily KPI Entry'!Y50</f>
        <v>0</v>
      </c>
      <c r="Z49" s="49" t="n">
        <f aca="false">'Daily KPI Entry'!Z50</f>
        <v>0</v>
      </c>
      <c r="AA49" s="49" t="n">
        <f aca="false">'Daily KPI Entry'!AA50</f>
        <v>0</v>
      </c>
      <c r="AB49" s="49" t="n">
        <f aca="false">'Daily KPI Entry'!AB50</f>
        <v>0</v>
      </c>
      <c r="AC49" s="49" t="n">
        <f aca="false">'Daily KPI Entry'!AC50</f>
        <v>0</v>
      </c>
      <c r="AD49" s="49" t="n">
        <f aca="false">'Daily KPI Entry'!AD50</f>
        <v>0</v>
      </c>
      <c r="AE49" s="49" t="n">
        <f aca="false">'Daily KPI Entry'!AE50</f>
        <v>0</v>
      </c>
      <c r="AF49" s="47" t="str">
        <f aca="false">IF(O49="","",SUM(X49:AE49))</f>
        <v/>
      </c>
      <c r="AG49" s="49" t="str">
        <f aca="false">IF(O49="","",IFERROR(AF49/O49*1000,0))</f>
        <v/>
      </c>
      <c r="AH49" s="49" t="n">
        <f aca="false">'Daily KPI Entry'!AH50</f>
        <v>0</v>
      </c>
      <c r="AI49" s="49" t="n">
        <f aca="false">'Daily KPI Entry'!AI50</f>
        <v>0</v>
      </c>
      <c r="AJ49" s="49" t="n">
        <f aca="false">'Daily KPI Entry'!AJ50</f>
        <v>0</v>
      </c>
      <c r="AK49" s="47" t="n">
        <f aca="false">'Daily KPI Entry'!AK50</f>
        <v>0</v>
      </c>
      <c r="AL49" s="47" t="n">
        <f aca="false">'Daily KPI Entry'!AL50</f>
        <v>0</v>
      </c>
      <c r="AM49" s="47" t="n">
        <f aca="false">'Daily KPI Entry'!AM50</f>
        <v>0</v>
      </c>
      <c r="AN49" s="49" t="str">
        <f aca="false">IF(P49="","",MIN(120,P49))</f>
        <v/>
      </c>
      <c r="AO49" s="49" t="str">
        <f aca="false">IF(U49="","",MIN(120,U49))</f>
        <v/>
      </c>
      <c r="AP49" s="49" t="str">
        <f aca="false">IF(R49="","",MIN(120,IFERROR(S49/R49*100,0)))</f>
        <v/>
      </c>
      <c r="AQ49" s="49" t="str">
        <f aca="false">IF(W49="","",MIN(120,IF(W49=0,120,100*(INDEX('Standards &amp; Scoring'!$E$5:$E$13,MATCH("Quality / Rejection",'Standards &amp; Scoring'!$A$5:$A$13,0))/W49))))</f>
        <v/>
      </c>
      <c r="AR49" s="49" t="str">
        <f aca="false">IF(AG49="","",MIN(120,IF(AG49=0,120,100*(INDEX('Standards &amp; Scoring'!$E$5:$E$13,MATCH("Fault Control",'Standards &amp; Scoring'!$A$5:$A$13,0))/AG49))))</f>
        <v/>
      </c>
      <c r="AS49" s="49" t="str">
        <f aca="false">IF(O49="","",MIN(120,IF(SUMIFS('Fault &amp; Downtime Entry'!$L$6:$L$1005,'Fault &amp; Downtime Entry'!$E$6:$E$1005,G49,'Fault &amp; Downtime Entry'!$B$6:$B$1005,B49)=0,120,100*(INDEX('Standards &amp; Scoring'!$E$5:$E$13,MATCH("Downtime Control",'Standards &amp; Scoring'!$A$5:$A$13,0))/IFERROR(SUMIFS('Fault &amp; Downtime Entry'!$L$6:$L$1005,'Fault &amp; Downtime Entry'!$E$6:$E$1005,G49,'Fault &amp; Downtime Entry'!$B$6:$B$1005,B49)/O49*1000,999999)))))</f>
        <v/>
      </c>
      <c r="AT49" s="49" t="n">
        <f aca="false">IF(COUNTA(AH49,AJ49)=0,"",MIN(120,IF(AND(AH49&lt;&gt;"",AJ49&lt;&gt;""),AVERAGE(AH49,AJ49),IF(AH49&lt;&gt;"",AH49,AJ49))))</f>
        <v>0</v>
      </c>
      <c r="AU49" s="49" t="str">
        <f aca="false">IF(AI49="","",MIN(120,AI49))</f>
        <v/>
      </c>
      <c r="AV49" s="49" t="str">
        <f aca="false">IF(AJ49="","",MIN(120,AJ49))</f>
        <v/>
      </c>
      <c r="AW49" s="50" t="str">
        <f aca="false">IF(COUNT(AN49:AV49)&lt;9,"",(AN49*'Standards &amp; Scoring'!$D$5+AO49*'Standards &amp; Scoring'!$D$6+AP49*'Standards &amp; Scoring'!$D$7+AQ49*'Standards &amp; Scoring'!$D$8+AR49*'Standards &amp; Scoring'!$D$9+AS49*'Standards &amp; Scoring'!$D$10+AT49*'Standards &amp; Scoring'!$D$11+AU49*'Standards &amp; Scoring'!$D$12+AV49*'Standards &amp; Scoring'!$D$13)/10000)</f>
        <v/>
      </c>
      <c r="AX49" s="47" t="str">
        <f aca="false">IF(AW49="","",IF(AW49&gt;=1.05,"A+",IF(AW49&gt;=1,"A",IF(AW49&gt;=0.95,"B+",IF(AW49&gt;=0.9,"B","C")))))</f>
        <v/>
      </c>
      <c r="AY49" s="47" t="str">
        <f aca="false">IF(AX49="","",IF(AX49="A+",1800,IF(AX49="A",1600,IF(AX49="B+",1400,IF(AX49="B",1200,0)))))</f>
        <v/>
      </c>
      <c r="AZ49" s="49" t="str">
        <f aca="false">IF(OR(L49="",M49="",S49="",M49=0),"",IFERROR(L49*60*S49/(M49*36),0))</f>
        <v/>
      </c>
    </row>
    <row r="50" customFormat="false" ht="15" hidden="false" customHeight="true" outlineLevel="0" collapsed="false">
      <c r="A50" s="47" t="n">
        <f aca="false">'Daily KPI Entry'!A51</f>
        <v>46</v>
      </c>
      <c r="B50" s="48" t="n">
        <f aca="false">'Daily KPI Entry'!B51</f>
        <v>46288</v>
      </c>
      <c r="C50" s="47" t="n">
        <f aca="false">'Daily KPI Entry'!C51</f>
        <v>0</v>
      </c>
      <c r="D50" s="47" t="n">
        <f aca="false">'Daily KPI Entry'!D51</f>
        <v>0</v>
      </c>
      <c r="E50" s="47" t="n">
        <f aca="false">'Daily KPI Entry'!E51</f>
        <v>0</v>
      </c>
      <c r="F50" s="47" t="n">
        <f aca="false">'Daily KPI Entry'!F51</f>
        <v>0</v>
      </c>
      <c r="G50" s="47" t="str">
        <f aca="false">'Daily KPI Entry'!G51</f>
        <v>STL005459</v>
      </c>
      <c r="H50" s="47" t="str">
        <f aca="false">'Daily KPI Entry'!H51</f>
        <v>MD. ANOWAR HOSEN-1</v>
      </c>
      <c r="I50" s="47" t="n">
        <f aca="false">'Daily KPI Entry'!I51</f>
        <v>0</v>
      </c>
      <c r="J50" s="47" t="n">
        <f aca="false">'Daily KPI Entry'!J51</f>
        <v>0</v>
      </c>
      <c r="K50" s="47" t="n">
        <f aca="false">'Daily KPI Entry'!K51</f>
        <v>0</v>
      </c>
      <c r="L50" s="47" t="n">
        <f aca="false">'Daily KPI Entry'!L51</f>
        <v>0</v>
      </c>
      <c r="M50" s="47" t="n">
        <f aca="false">'Daily KPI Entry'!M51</f>
        <v>0</v>
      </c>
      <c r="N50" s="49" t="n">
        <f aca="false">'Daily KPI Entry'!N51</f>
        <v>0</v>
      </c>
      <c r="O50" s="49" t="n">
        <f aca="false">'Daily KPI Entry'!O51</f>
        <v>0</v>
      </c>
      <c r="P50" s="49" t="str">
        <f aca="false">IF(OR(N50="",O50=""),"",IFERROR(O50/N50*100,0))</f>
        <v/>
      </c>
      <c r="Q50" s="47" t="n">
        <f aca="false">'Daily KPI Entry'!Q51</f>
        <v>8</v>
      </c>
      <c r="R50" s="47" t="str">
        <f aca="false">IF(J50="","",Q50*J50)</f>
        <v/>
      </c>
      <c r="S50" s="49" t="n">
        <f aca="false">'Daily KPI Entry'!S51</f>
        <v>0</v>
      </c>
      <c r="T50" s="49" t="str">
        <f aca="false">IF(OR(R50="",S50=""),"",IFERROR(S50/R50*100,0))</f>
        <v/>
      </c>
      <c r="U50" s="49" t="str">
        <f aca="false">IF(OR(O50="",L50="",M50="",S50="",M50=0),"",IFERROR(O50/(L50*60*S50/(M50*36))*100,0))</f>
        <v/>
      </c>
      <c r="V50" s="49" t="n">
        <f aca="false">'Daily KPI Entry'!V51</f>
        <v>0</v>
      </c>
      <c r="W50" s="49" t="str">
        <f aca="false">IF(O50="","",IFERROR(V50/O50*100,0))</f>
        <v/>
      </c>
      <c r="X50" s="49" t="n">
        <f aca="false">'Daily KPI Entry'!X51</f>
        <v>0</v>
      </c>
      <c r="Y50" s="49" t="n">
        <f aca="false">'Daily KPI Entry'!Y51</f>
        <v>0</v>
      </c>
      <c r="Z50" s="49" t="n">
        <f aca="false">'Daily KPI Entry'!Z51</f>
        <v>0</v>
      </c>
      <c r="AA50" s="49" t="n">
        <f aca="false">'Daily KPI Entry'!AA51</f>
        <v>0</v>
      </c>
      <c r="AB50" s="49" t="n">
        <f aca="false">'Daily KPI Entry'!AB51</f>
        <v>0</v>
      </c>
      <c r="AC50" s="49" t="n">
        <f aca="false">'Daily KPI Entry'!AC51</f>
        <v>0</v>
      </c>
      <c r="AD50" s="49" t="n">
        <f aca="false">'Daily KPI Entry'!AD51</f>
        <v>0</v>
      </c>
      <c r="AE50" s="49" t="n">
        <f aca="false">'Daily KPI Entry'!AE51</f>
        <v>0</v>
      </c>
      <c r="AF50" s="47" t="str">
        <f aca="false">IF(O50="","",SUM(X50:AE50))</f>
        <v/>
      </c>
      <c r="AG50" s="49" t="str">
        <f aca="false">IF(O50="","",IFERROR(AF50/O50*1000,0))</f>
        <v/>
      </c>
      <c r="AH50" s="49" t="n">
        <f aca="false">'Daily KPI Entry'!AH51</f>
        <v>0</v>
      </c>
      <c r="AI50" s="49" t="n">
        <f aca="false">'Daily KPI Entry'!AI51</f>
        <v>0</v>
      </c>
      <c r="AJ50" s="49" t="n">
        <f aca="false">'Daily KPI Entry'!AJ51</f>
        <v>0</v>
      </c>
      <c r="AK50" s="47" t="n">
        <f aca="false">'Daily KPI Entry'!AK51</f>
        <v>0</v>
      </c>
      <c r="AL50" s="47" t="n">
        <f aca="false">'Daily KPI Entry'!AL51</f>
        <v>0</v>
      </c>
      <c r="AM50" s="47" t="n">
        <f aca="false">'Daily KPI Entry'!AM51</f>
        <v>0</v>
      </c>
      <c r="AN50" s="49" t="str">
        <f aca="false">IF(P50="","",MIN(120,P50))</f>
        <v/>
      </c>
      <c r="AO50" s="49" t="str">
        <f aca="false">IF(U50="","",MIN(120,U50))</f>
        <v/>
      </c>
      <c r="AP50" s="49" t="str">
        <f aca="false">IF(R50="","",MIN(120,IFERROR(S50/R50*100,0)))</f>
        <v/>
      </c>
      <c r="AQ50" s="49" t="str">
        <f aca="false">IF(W50="","",MIN(120,IF(W50=0,120,100*(INDEX('Standards &amp; Scoring'!$E$5:$E$13,MATCH("Quality / Rejection",'Standards &amp; Scoring'!$A$5:$A$13,0))/W50))))</f>
        <v/>
      </c>
      <c r="AR50" s="49" t="str">
        <f aca="false">IF(AG50="","",MIN(120,IF(AG50=0,120,100*(INDEX('Standards &amp; Scoring'!$E$5:$E$13,MATCH("Fault Control",'Standards &amp; Scoring'!$A$5:$A$13,0))/AG50))))</f>
        <v/>
      </c>
      <c r="AS50" s="49" t="str">
        <f aca="false">IF(O50="","",MIN(120,IF(SUMIFS('Fault &amp; Downtime Entry'!$L$6:$L$1005,'Fault &amp; Downtime Entry'!$E$6:$E$1005,G50,'Fault &amp; Downtime Entry'!$B$6:$B$1005,B50)=0,120,100*(INDEX('Standards &amp; Scoring'!$E$5:$E$13,MATCH("Downtime Control",'Standards &amp; Scoring'!$A$5:$A$13,0))/IFERROR(SUMIFS('Fault &amp; Downtime Entry'!$L$6:$L$1005,'Fault &amp; Downtime Entry'!$E$6:$E$1005,G50,'Fault &amp; Downtime Entry'!$B$6:$B$1005,B50)/O50*1000,999999)))))</f>
        <v/>
      </c>
      <c r="AT50" s="49" t="n">
        <f aca="false">IF(COUNTA(AH50,AJ50)=0,"",MIN(120,IF(AND(AH50&lt;&gt;"",AJ50&lt;&gt;""),AVERAGE(AH50,AJ50),IF(AH50&lt;&gt;"",AH50,AJ50))))</f>
        <v>0</v>
      </c>
      <c r="AU50" s="49" t="str">
        <f aca="false">IF(AI50="","",MIN(120,AI50))</f>
        <v/>
      </c>
      <c r="AV50" s="49" t="str">
        <f aca="false">IF(AJ50="","",MIN(120,AJ50))</f>
        <v/>
      </c>
      <c r="AW50" s="50" t="str">
        <f aca="false">IF(COUNT(AN50:AV50)&lt;9,"",(AN50*'Standards &amp; Scoring'!$D$5+AO50*'Standards &amp; Scoring'!$D$6+AP50*'Standards &amp; Scoring'!$D$7+AQ50*'Standards &amp; Scoring'!$D$8+AR50*'Standards &amp; Scoring'!$D$9+AS50*'Standards &amp; Scoring'!$D$10+AT50*'Standards &amp; Scoring'!$D$11+AU50*'Standards &amp; Scoring'!$D$12+AV50*'Standards &amp; Scoring'!$D$13)/10000)</f>
        <v/>
      </c>
      <c r="AX50" s="47" t="str">
        <f aca="false">IF(AW50="","",IF(AW50&gt;=1.05,"A+",IF(AW50&gt;=1,"A",IF(AW50&gt;=0.95,"B+",IF(AW50&gt;=0.9,"B","C")))))</f>
        <v/>
      </c>
      <c r="AY50" s="47" t="str">
        <f aca="false">IF(AX50="","",IF(AX50="A+",1800,IF(AX50="A",1600,IF(AX50="B+",1400,IF(AX50="B",1200,0)))))</f>
        <v/>
      </c>
      <c r="AZ50" s="49" t="str">
        <f aca="false">IF(OR(L50="",M50="",S50="",M50=0),"",IFERROR(L50*60*S50/(M50*36),0))</f>
        <v/>
      </c>
    </row>
    <row r="51" customFormat="false" ht="15" hidden="false" customHeight="true" outlineLevel="0" collapsed="false">
      <c r="A51" s="47" t="n">
        <f aca="false">'Daily KPI Entry'!A52</f>
        <v>47</v>
      </c>
      <c r="B51" s="48" t="n">
        <f aca="false">'Daily KPI Entry'!B52</f>
        <v>46288</v>
      </c>
      <c r="C51" s="47" t="n">
        <f aca="false">'Daily KPI Entry'!C52</f>
        <v>0</v>
      </c>
      <c r="D51" s="47" t="n">
        <f aca="false">'Daily KPI Entry'!D52</f>
        <v>0</v>
      </c>
      <c r="E51" s="47" t="n">
        <f aca="false">'Daily KPI Entry'!E52</f>
        <v>0</v>
      </c>
      <c r="F51" s="47" t="n">
        <f aca="false">'Daily KPI Entry'!F52</f>
        <v>0</v>
      </c>
      <c r="G51" s="47" t="str">
        <f aca="false">'Daily KPI Entry'!G52</f>
        <v>STL005462</v>
      </c>
      <c r="H51" s="47" t="str">
        <f aca="false">'Daily KPI Entry'!H52</f>
        <v>MD. JAHANGIR  </v>
      </c>
      <c r="I51" s="47" t="n">
        <f aca="false">'Daily KPI Entry'!I52</f>
        <v>0</v>
      </c>
      <c r="J51" s="47" t="n">
        <f aca="false">'Daily KPI Entry'!J52</f>
        <v>0</v>
      </c>
      <c r="K51" s="47" t="n">
        <f aca="false">'Daily KPI Entry'!K52</f>
        <v>0</v>
      </c>
      <c r="L51" s="47" t="n">
        <f aca="false">'Daily KPI Entry'!L52</f>
        <v>0</v>
      </c>
      <c r="M51" s="47" t="n">
        <f aca="false">'Daily KPI Entry'!M52</f>
        <v>0</v>
      </c>
      <c r="N51" s="49" t="n">
        <f aca="false">'Daily KPI Entry'!N52</f>
        <v>0</v>
      </c>
      <c r="O51" s="49" t="n">
        <f aca="false">'Daily KPI Entry'!O52</f>
        <v>0</v>
      </c>
      <c r="P51" s="49" t="str">
        <f aca="false">IF(OR(N51="",O51=""),"",IFERROR(O51/N51*100,0))</f>
        <v/>
      </c>
      <c r="Q51" s="47" t="n">
        <f aca="false">'Daily KPI Entry'!Q52</f>
        <v>8</v>
      </c>
      <c r="R51" s="47" t="str">
        <f aca="false">IF(J51="","",Q51*J51)</f>
        <v/>
      </c>
      <c r="S51" s="49" t="n">
        <f aca="false">'Daily KPI Entry'!S52</f>
        <v>0</v>
      </c>
      <c r="T51" s="49" t="str">
        <f aca="false">IF(OR(R51="",S51=""),"",IFERROR(S51/R51*100,0))</f>
        <v/>
      </c>
      <c r="U51" s="49" t="str">
        <f aca="false">IF(OR(O51="",L51="",M51="",S51="",M51=0),"",IFERROR(O51/(L51*60*S51/(M51*36))*100,0))</f>
        <v/>
      </c>
      <c r="V51" s="49" t="n">
        <f aca="false">'Daily KPI Entry'!V52</f>
        <v>0</v>
      </c>
      <c r="W51" s="49" t="str">
        <f aca="false">IF(O51="","",IFERROR(V51/O51*100,0))</f>
        <v/>
      </c>
      <c r="X51" s="49" t="n">
        <f aca="false">'Daily KPI Entry'!X52</f>
        <v>0</v>
      </c>
      <c r="Y51" s="49" t="n">
        <f aca="false">'Daily KPI Entry'!Y52</f>
        <v>0</v>
      </c>
      <c r="Z51" s="49" t="n">
        <f aca="false">'Daily KPI Entry'!Z52</f>
        <v>0</v>
      </c>
      <c r="AA51" s="49" t="n">
        <f aca="false">'Daily KPI Entry'!AA52</f>
        <v>0</v>
      </c>
      <c r="AB51" s="49" t="n">
        <f aca="false">'Daily KPI Entry'!AB52</f>
        <v>0</v>
      </c>
      <c r="AC51" s="49" t="n">
        <f aca="false">'Daily KPI Entry'!AC52</f>
        <v>0</v>
      </c>
      <c r="AD51" s="49" t="n">
        <f aca="false">'Daily KPI Entry'!AD52</f>
        <v>0</v>
      </c>
      <c r="AE51" s="49" t="n">
        <f aca="false">'Daily KPI Entry'!AE52</f>
        <v>0</v>
      </c>
      <c r="AF51" s="47" t="str">
        <f aca="false">IF(O51="","",SUM(X51:AE51))</f>
        <v/>
      </c>
      <c r="AG51" s="49" t="str">
        <f aca="false">IF(O51="","",IFERROR(AF51/O51*1000,0))</f>
        <v/>
      </c>
      <c r="AH51" s="49" t="n">
        <f aca="false">'Daily KPI Entry'!AH52</f>
        <v>0</v>
      </c>
      <c r="AI51" s="49" t="n">
        <f aca="false">'Daily KPI Entry'!AI52</f>
        <v>0</v>
      </c>
      <c r="AJ51" s="49" t="n">
        <f aca="false">'Daily KPI Entry'!AJ52</f>
        <v>0</v>
      </c>
      <c r="AK51" s="47" t="n">
        <f aca="false">'Daily KPI Entry'!AK52</f>
        <v>0</v>
      </c>
      <c r="AL51" s="47" t="n">
        <f aca="false">'Daily KPI Entry'!AL52</f>
        <v>0</v>
      </c>
      <c r="AM51" s="47" t="n">
        <f aca="false">'Daily KPI Entry'!AM52</f>
        <v>0</v>
      </c>
      <c r="AN51" s="49" t="str">
        <f aca="false">IF(P51="","",MIN(120,P51))</f>
        <v/>
      </c>
      <c r="AO51" s="49" t="str">
        <f aca="false">IF(U51="","",MIN(120,U51))</f>
        <v/>
      </c>
      <c r="AP51" s="49" t="str">
        <f aca="false">IF(R51="","",MIN(120,IFERROR(S51/R51*100,0)))</f>
        <v/>
      </c>
      <c r="AQ51" s="49" t="str">
        <f aca="false">IF(W51="","",MIN(120,IF(W51=0,120,100*(INDEX('Standards &amp; Scoring'!$E$5:$E$13,MATCH("Quality / Rejection",'Standards &amp; Scoring'!$A$5:$A$13,0))/W51))))</f>
        <v/>
      </c>
      <c r="AR51" s="49" t="str">
        <f aca="false">IF(AG51="","",MIN(120,IF(AG51=0,120,100*(INDEX('Standards &amp; Scoring'!$E$5:$E$13,MATCH("Fault Control",'Standards &amp; Scoring'!$A$5:$A$13,0))/AG51))))</f>
        <v/>
      </c>
      <c r="AS51" s="49" t="str">
        <f aca="false">IF(O51="","",MIN(120,IF(SUMIFS('Fault &amp; Downtime Entry'!$L$6:$L$1005,'Fault &amp; Downtime Entry'!$E$6:$E$1005,G51,'Fault &amp; Downtime Entry'!$B$6:$B$1005,B51)=0,120,100*(INDEX('Standards &amp; Scoring'!$E$5:$E$13,MATCH("Downtime Control",'Standards &amp; Scoring'!$A$5:$A$13,0))/IFERROR(SUMIFS('Fault &amp; Downtime Entry'!$L$6:$L$1005,'Fault &amp; Downtime Entry'!$E$6:$E$1005,G51,'Fault &amp; Downtime Entry'!$B$6:$B$1005,B51)/O51*1000,999999)))))</f>
        <v/>
      </c>
      <c r="AT51" s="49" t="n">
        <f aca="false">IF(COUNTA(AH51,AJ51)=0,"",MIN(120,IF(AND(AH51&lt;&gt;"",AJ51&lt;&gt;""),AVERAGE(AH51,AJ51),IF(AH51&lt;&gt;"",AH51,AJ51))))</f>
        <v>0</v>
      </c>
      <c r="AU51" s="49" t="str">
        <f aca="false">IF(AI51="","",MIN(120,AI51))</f>
        <v/>
      </c>
      <c r="AV51" s="49" t="str">
        <f aca="false">IF(AJ51="","",MIN(120,AJ51))</f>
        <v/>
      </c>
      <c r="AW51" s="50" t="str">
        <f aca="false">IF(COUNT(AN51:AV51)&lt;9,"",(AN51*'Standards &amp; Scoring'!$D$5+AO51*'Standards &amp; Scoring'!$D$6+AP51*'Standards &amp; Scoring'!$D$7+AQ51*'Standards &amp; Scoring'!$D$8+AR51*'Standards &amp; Scoring'!$D$9+AS51*'Standards &amp; Scoring'!$D$10+AT51*'Standards &amp; Scoring'!$D$11+AU51*'Standards &amp; Scoring'!$D$12+AV51*'Standards &amp; Scoring'!$D$13)/10000)</f>
        <v/>
      </c>
      <c r="AX51" s="47" t="str">
        <f aca="false">IF(AW51="","",IF(AW51&gt;=1.05,"A+",IF(AW51&gt;=1,"A",IF(AW51&gt;=0.95,"B+",IF(AW51&gt;=0.9,"B","C")))))</f>
        <v/>
      </c>
      <c r="AY51" s="47" t="str">
        <f aca="false">IF(AX51="","",IF(AX51="A+",1800,IF(AX51="A",1600,IF(AX51="B+",1400,IF(AX51="B",1200,0)))))</f>
        <v/>
      </c>
      <c r="AZ51" s="49" t="str">
        <f aca="false">IF(OR(L51="",M51="",S51="",M51=0),"",IFERROR(L51*60*S51/(M51*36),0))</f>
        <v/>
      </c>
    </row>
    <row r="52" customFormat="false" ht="15" hidden="false" customHeight="true" outlineLevel="0" collapsed="false">
      <c r="A52" s="47" t="n">
        <f aca="false">'Daily KPI Entry'!A53</f>
        <v>48</v>
      </c>
      <c r="B52" s="48" t="n">
        <f aca="false">'Daily KPI Entry'!B53</f>
        <v>46288</v>
      </c>
      <c r="C52" s="47" t="n">
        <f aca="false">'Daily KPI Entry'!C53</f>
        <v>0</v>
      </c>
      <c r="D52" s="47" t="n">
        <f aca="false">'Daily KPI Entry'!D53</f>
        <v>0</v>
      </c>
      <c r="E52" s="47" t="n">
        <f aca="false">'Daily KPI Entry'!E53</f>
        <v>0</v>
      </c>
      <c r="F52" s="47" t="n">
        <f aca="false">'Daily KPI Entry'!F53</f>
        <v>0</v>
      </c>
      <c r="G52" s="47" t="str">
        <f aca="false">'Daily KPI Entry'!G53</f>
        <v>STL005463</v>
      </c>
      <c r="H52" s="47" t="str">
        <f aca="false">'Daily KPI Entry'!H53</f>
        <v>MD. FAZLUL HAQUE</v>
      </c>
      <c r="I52" s="47" t="n">
        <f aca="false">'Daily KPI Entry'!I53</f>
        <v>0</v>
      </c>
      <c r="J52" s="47" t="n">
        <f aca="false">'Daily KPI Entry'!J53</f>
        <v>0</v>
      </c>
      <c r="K52" s="47" t="n">
        <f aca="false">'Daily KPI Entry'!K53</f>
        <v>0</v>
      </c>
      <c r="L52" s="47" t="n">
        <f aca="false">'Daily KPI Entry'!L53</f>
        <v>0</v>
      </c>
      <c r="M52" s="47" t="n">
        <f aca="false">'Daily KPI Entry'!M53</f>
        <v>0</v>
      </c>
      <c r="N52" s="49" t="n">
        <f aca="false">'Daily KPI Entry'!N53</f>
        <v>0</v>
      </c>
      <c r="O52" s="49" t="n">
        <f aca="false">'Daily KPI Entry'!O53</f>
        <v>0</v>
      </c>
      <c r="P52" s="49" t="str">
        <f aca="false">IF(OR(N52="",O52=""),"",IFERROR(O52/N52*100,0))</f>
        <v/>
      </c>
      <c r="Q52" s="47" t="n">
        <f aca="false">'Daily KPI Entry'!Q53</f>
        <v>8</v>
      </c>
      <c r="R52" s="47" t="str">
        <f aca="false">IF(J52="","",Q52*J52)</f>
        <v/>
      </c>
      <c r="S52" s="49" t="n">
        <f aca="false">'Daily KPI Entry'!S53</f>
        <v>0</v>
      </c>
      <c r="T52" s="49" t="str">
        <f aca="false">IF(OR(R52="",S52=""),"",IFERROR(S52/R52*100,0))</f>
        <v/>
      </c>
      <c r="U52" s="49" t="str">
        <f aca="false">IF(OR(O52="",L52="",M52="",S52="",M52=0),"",IFERROR(O52/(L52*60*S52/(M52*36))*100,0))</f>
        <v/>
      </c>
      <c r="V52" s="49" t="n">
        <f aca="false">'Daily KPI Entry'!V53</f>
        <v>0</v>
      </c>
      <c r="W52" s="49" t="str">
        <f aca="false">IF(O52="","",IFERROR(V52/O52*100,0))</f>
        <v/>
      </c>
      <c r="X52" s="49" t="n">
        <f aca="false">'Daily KPI Entry'!X53</f>
        <v>0</v>
      </c>
      <c r="Y52" s="49" t="n">
        <f aca="false">'Daily KPI Entry'!Y53</f>
        <v>0</v>
      </c>
      <c r="Z52" s="49" t="n">
        <f aca="false">'Daily KPI Entry'!Z53</f>
        <v>0</v>
      </c>
      <c r="AA52" s="49" t="n">
        <f aca="false">'Daily KPI Entry'!AA53</f>
        <v>0</v>
      </c>
      <c r="AB52" s="49" t="n">
        <f aca="false">'Daily KPI Entry'!AB53</f>
        <v>0</v>
      </c>
      <c r="AC52" s="49" t="n">
        <f aca="false">'Daily KPI Entry'!AC53</f>
        <v>0</v>
      </c>
      <c r="AD52" s="49" t="n">
        <f aca="false">'Daily KPI Entry'!AD53</f>
        <v>0</v>
      </c>
      <c r="AE52" s="49" t="n">
        <f aca="false">'Daily KPI Entry'!AE53</f>
        <v>0</v>
      </c>
      <c r="AF52" s="47" t="str">
        <f aca="false">IF(O52="","",SUM(X52:AE52))</f>
        <v/>
      </c>
      <c r="AG52" s="49" t="str">
        <f aca="false">IF(O52="","",IFERROR(AF52/O52*1000,0))</f>
        <v/>
      </c>
      <c r="AH52" s="49" t="n">
        <f aca="false">'Daily KPI Entry'!AH53</f>
        <v>0</v>
      </c>
      <c r="AI52" s="49" t="n">
        <f aca="false">'Daily KPI Entry'!AI53</f>
        <v>0</v>
      </c>
      <c r="AJ52" s="49" t="n">
        <f aca="false">'Daily KPI Entry'!AJ53</f>
        <v>0</v>
      </c>
      <c r="AK52" s="47" t="n">
        <f aca="false">'Daily KPI Entry'!AK53</f>
        <v>0</v>
      </c>
      <c r="AL52" s="47" t="n">
        <f aca="false">'Daily KPI Entry'!AL53</f>
        <v>0</v>
      </c>
      <c r="AM52" s="47" t="n">
        <f aca="false">'Daily KPI Entry'!AM53</f>
        <v>0</v>
      </c>
      <c r="AN52" s="49" t="str">
        <f aca="false">IF(P52="","",MIN(120,P52))</f>
        <v/>
      </c>
      <c r="AO52" s="49" t="str">
        <f aca="false">IF(U52="","",MIN(120,U52))</f>
        <v/>
      </c>
      <c r="AP52" s="49" t="str">
        <f aca="false">IF(R52="","",MIN(120,IFERROR(S52/R52*100,0)))</f>
        <v/>
      </c>
      <c r="AQ52" s="49" t="str">
        <f aca="false">IF(W52="","",MIN(120,IF(W52=0,120,100*(INDEX('Standards &amp; Scoring'!$E$5:$E$13,MATCH("Quality / Rejection",'Standards &amp; Scoring'!$A$5:$A$13,0))/W52))))</f>
        <v/>
      </c>
      <c r="AR52" s="49" t="str">
        <f aca="false">IF(AG52="","",MIN(120,IF(AG52=0,120,100*(INDEX('Standards &amp; Scoring'!$E$5:$E$13,MATCH("Fault Control",'Standards &amp; Scoring'!$A$5:$A$13,0))/AG52))))</f>
        <v/>
      </c>
      <c r="AS52" s="49" t="str">
        <f aca="false">IF(O52="","",MIN(120,IF(SUMIFS('Fault &amp; Downtime Entry'!$L$6:$L$1005,'Fault &amp; Downtime Entry'!$E$6:$E$1005,G52,'Fault &amp; Downtime Entry'!$B$6:$B$1005,B52)=0,120,100*(INDEX('Standards &amp; Scoring'!$E$5:$E$13,MATCH("Downtime Control",'Standards &amp; Scoring'!$A$5:$A$13,0))/IFERROR(SUMIFS('Fault &amp; Downtime Entry'!$L$6:$L$1005,'Fault &amp; Downtime Entry'!$E$6:$E$1005,G52,'Fault &amp; Downtime Entry'!$B$6:$B$1005,B52)/O52*1000,999999)))))</f>
        <v/>
      </c>
      <c r="AT52" s="49" t="n">
        <f aca="false">IF(COUNTA(AH52,AJ52)=0,"",MIN(120,IF(AND(AH52&lt;&gt;"",AJ52&lt;&gt;""),AVERAGE(AH52,AJ52),IF(AH52&lt;&gt;"",AH52,AJ52))))</f>
        <v>0</v>
      </c>
      <c r="AU52" s="49" t="str">
        <f aca="false">IF(AI52="","",MIN(120,AI52))</f>
        <v/>
      </c>
      <c r="AV52" s="49" t="str">
        <f aca="false">IF(AJ52="","",MIN(120,AJ52))</f>
        <v/>
      </c>
      <c r="AW52" s="50" t="str">
        <f aca="false">IF(COUNT(AN52:AV52)&lt;9,"",(AN52*'Standards &amp; Scoring'!$D$5+AO52*'Standards &amp; Scoring'!$D$6+AP52*'Standards &amp; Scoring'!$D$7+AQ52*'Standards &amp; Scoring'!$D$8+AR52*'Standards &amp; Scoring'!$D$9+AS52*'Standards &amp; Scoring'!$D$10+AT52*'Standards &amp; Scoring'!$D$11+AU52*'Standards &amp; Scoring'!$D$12+AV52*'Standards &amp; Scoring'!$D$13)/10000)</f>
        <v/>
      </c>
      <c r="AX52" s="47" t="str">
        <f aca="false">IF(AW52="","",IF(AW52&gt;=1.05,"A+",IF(AW52&gt;=1,"A",IF(AW52&gt;=0.95,"B+",IF(AW52&gt;=0.9,"B","C")))))</f>
        <v/>
      </c>
      <c r="AY52" s="47" t="str">
        <f aca="false">IF(AX52="","",IF(AX52="A+",1800,IF(AX52="A",1600,IF(AX52="B+",1400,IF(AX52="B",1200,0)))))</f>
        <v/>
      </c>
      <c r="AZ52" s="49" t="str">
        <f aca="false">IF(OR(L52="",M52="",S52="",M52=0),"",IFERROR(L52*60*S52/(M52*36),0))</f>
        <v/>
      </c>
    </row>
    <row r="53" customFormat="false" ht="15" hidden="false" customHeight="true" outlineLevel="0" collapsed="false">
      <c r="A53" s="47" t="n">
        <f aca="false">'Daily KPI Entry'!A54</f>
        <v>49</v>
      </c>
      <c r="B53" s="48" t="n">
        <f aca="false">'Daily KPI Entry'!B54</f>
        <v>46288</v>
      </c>
      <c r="C53" s="47" t="n">
        <f aca="false">'Daily KPI Entry'!C54</f>
        <v>0</v>
      </c>
      <c r="D53" s="47" t="n">
        <f aca="false">'Daily KPI Entry'!D54</f>
        <v>0</v>
      </c>
      <c r="E53" s="47" t="n">
        <f aca="false">'Daily KPI Entry'!E54</f>
        <v>0</v>
      </c>
      <c r="F53" s="47" t="n">
        <f aca="false">'Daily KPI Entry'!F54</f>
        <v>0</v>
      </c>
      <c r="G53" s="47" t="str">
        <f aca="false">'Daily KPI Entry'!G54</f>
        <v>STL005512</v>
      </c>
      <c r="H53" s="47" t="str">
        <f aca="false">'Daily KPI Entry'!H54</f>
        <v>MD. AMJAD ALI</v>
      </c>
      <c r="I53" s="47" t="n">
        <f aca="false">'Daily KPI Entry'!I54</f>
        <v>0</v>
      </c>
      <c r="J53" s="47" t="n">
        <f aca="false">'Daily KPI Entry'!J54</f>
        <v>0</v>
      </c>
      <c r="K53" s="47" t="n">
        <f aca="false">'Daily KPI Entry'!K54</f>
        <v>0</v>
      </c>
      <c r="L53" s="47" t="n">
        <f aca="false">'Daily KPI Entry'!L54</f>
        <v>0</v>
      </c>
      <c r="M53" s="47" t="n">
        <f aca="false">'Daily KPI Entry'!M54</f>
        <v>0</v>
      </c>
      <c r="N53" s="49" t="n">
        <f aca="false">'Daily KPI Entry'!N54</f>
        <v>0</v>
      </c>
      <c r="O53" s="49" t="n">
        <f aca="false">'Daily KPI Entry'!O54</f>
        <v>0</v>
      </c>
      <c r="P53" s="49" t="str">
        <f aca="false">IF(OR(N53="",O53=""),"",IFERROR(O53/N53*100,0))</f>
        <v/>
      </c>
      <c r="Q53" s="47" t="n">
        <f aca="false">'Daily KPI Entry'!Q54</f>
        <v>8</v>
      </c>
      <c r="R53" s="47" t="str">
        <f aca="false">IF(J53="","",Q53*J53)</f>
        <v/>
      </c>
      <c r="S53" s="49" t="n">
        <f aca="false">'Daily KPI Entry'!S54</f>
        <v>0</v>
      </c>
      <c r="T53" s="49" t="str">
        <f aca="false">IF(OR(R53="",S53=""),"",IFERROR(S53/R53*100,0))</f>
        <v/>
      </c>
      <c r="U53" s="49" t="str">
        <f aca="false">IF(OR(O53="",L53="",M53="",S53="",M53=0),"",IFERROR(O53/(L53*60*S53/(M53*36))*100,0))</f>
        <v/>
      </c>
      <c r="V53" s="49" t="n">
        <f aca="false">'Daily KPI Entry'!V54</f>
        <v>0</v>
      </c>
      <c r="W53" s="49" t="str">
        <f aca="false">IF(O53="","",IFERROR(V53/O53*100,0))</f>
        <v/>
      </c>
      <c r="X53" s="49" t="n">
        <f aca="false">'Daily KPI Entry'!X54</f>
        <v>0</v>
      </c>
      <c r="Y53" s="49" t="n">
        <f aca="false">'Daily KPI Entry'!Y54</f>
        <v>0</v>
      </c>
      <c r="Z53" s="49" t="n">
        <f aca="false">'Daily KPI Entry'!Z54</f>
        <v>0</v>
      </c>
      <c r="AA53" s="49" t="n">
        <f aca="false">'Daily KPI Entry'!AA54</f>
        <v>0</v>
      </c>
      <c r="AB53" s="49" t="n">
        <f aca="false">'Daily KPI Entry'!AB54</f>
        <v>0</v>
      </c>
      <c r="AC53" s="49" t="n">
        <f aca="false">'Daily KPI Entry'!AC54</f>
        <v>0</v>
      </c>
      <c r="AD53" s="49" t="n">
        <f aca="false">'Daily KPI Entry'!AD54</f>
        <v>0</v>
      </c>
      <c r="AE53" s="49" t="n">
        <f aca="false">'Daily KPI Entry'!AE54</f>
        <v>0</v>
      </c>
      <c r="AF53" s="47" t="str">
        <f aca="false">IF(O53="","",SUM(X53:AE53))</f>
        <v/>
      </c>
      <c r="AG53" s="49" t="str">
        <f aca="false">IF(O53="","",IFERROR(AF53/O53*1000,0))</f>
        <v/>
      </c>
      <c r="AH53" s="49" t="n">
        <f aca="false">'Daily KPI Entry'!AH54</f>
        <v>0</v>
      </c>
      <c r="AI53" s="49" t="n">
        <f aca="false">'Daily KPI Entry'!AI54</f>
        <v>0</v>
      </c>
      <c r="AJ53" s="49" t="n">
        <f aca="false">'Daily KPI Entry'!AJ54</f>
        <v>0</v>
      </c>
      <c r="AK53" s="47" t="n">
        <f aca="false">'Daily KPI Entry'!AK54</f>
        <v>0</v>
      </c>
      <c r="AL53" s="47" t="n">
        <f aca="false">'Daily KPI Entry'!AL54</f>
        <v>0</v>
      </c>
      <c r="AM53" s="47" t="n">
        <f aca="false">'Daily KPI Entry'!AM54</f>
        <v>0</v>
      </c>
      <c r="AN53" s="49" t="str">
        <f aca="false">IF(P53="","",MIN(120,P53))</f>
        <v/>
      </c>
      <c r="AO53" s="49" t="str">
        <f aca="false">IF(U53="","",MIN(120,U53))</f>
        <v/>
      </c>
      <c r="AP53" s="49" t="str">
        <f aca="false">IF(R53="","",MIN(120,IFERROR(S53/R53*100,0)))</f>
        <v/>
      </c>
      <c r="AQ53" s="49" t="str">
        <f aca="false">IF(W53="","",MIN(120,IF(W53=0,120,100*(INDEX('Standards &amp; Scoring'!$E$5:$E$13,MATCH("Quality / Rejection",'Standards &amp; Scoring'!$A$5:$A$13,0))/W53))))</f>
        <v/>
      </c>
      <c r="AR53" s="49" t="str">
        <f aca="false">IF(AG53="","",MIN(120,IF(AG53=0,120,100*(INDEX('Standards &amp; Scoring'!$E$5:$E$13,MATCH("Fault Control",'Standards &amp; Scoring'!$A$5:$A$13,0))/AG53))))</f>
        <v/>
      </c>
      <c r="AS53" s="49" t="str">
        <f aca="false">IF(O53="","",MIN(120,IF(SUMIFS('Fault &amp; Downtime Entry'!$L$6:$L$1005,'Fault &amp; Downtime Entry'!$E$6:$E$1005,G53,'Fault &amp; Downtime Entry'!$B$6:$B$1005,B53)=0,120,100*(INDEX('Standards &amp; Scoring'!$E$5:$E$13,MATCH("Downtime Control",'Standards &amp; Scoring'!$A$5:$A$13,0))/IFERROR(SUMIFS('Fault &amp; Downtime Entry'!$L$6:$L$1005,'Fault &amp; Downtime Entry'!$E$6:$E$1005,G53,'Fault &amp; Downtime Entry'!$B$6:$B$1005,B53)/O53*1000,999999)))))</f>
        <v/>
      </c>
      <c r="AT53" s="49" t="n">
        <f aca="false">IF(COUNTA(AH53,AJ53)=0,"",MIN(120,IF(AND(AH53&lt;&gt;"",AJ53&lt;&gt;""),AVERAGE(AH53,AJ53),IF(AH53&lt;&gt;"",AH53,AJ53))))</f>
        <v>0</v>
      </c>
      <c r="AU53" s="49" t="str">
        <f aca="false">IF(AI53="","",MIN(120,AI53))</f>
        <v/>
      </c>
      <c r="AV53" s="49" t="str">
        <f aca="false">IF(AJ53="","",MIN(120,AJ53))</f>
        <v/>
      </c>
      <c r="AW53" s="50" t="str">
        <f aca="false">IF(COUNT(AN53:AV53)&lt;9,"",(AN53*'Standards &amp; Scoring'!$D$5+AO53*'Standards &amp; Scoring'!$D$6+AP53*'Standards &amp; Scoring'!$D$7+AQ53*'Standards &amp; Scoring'!$D$8+AR53*'Standards &amp; Scoring'!$D$9+AS53*'Standards &amp; Scoring'!$D$10+AT53*'Standards &amp; Scoring'!$D$11+AU53*'Standards &amp; Scoring'!$D$12+AV53*'Standards &amp; Scoring'!$D$13)/10000)</f>
        <v/>
      </c>
      <c r="AX53" s="47" t="str">
        <f aca="false">IF(AW53="","",IF(AW53&gt;=1.05,"A+",IF(AW53&gt;=1,"A",IF(AW53&gt;=0.95,"B+",IF(AW53&gt;=0.9,"B","C")))))</f>
        <v/>
      </c>
      <c r="AY53" s="47" t="str">
        <f aca="false">IF(AX53="","",IF(AX53="A+",1800,IF(AX53="A",1600,IF(AX53="B+",1400,IF(AX53="B",1200,0)))))</f>
        <v/>
      </c>
      <c r="AZ53" s="49" t="str">
        <f aca="false">IF(OR(L53="",M53="",S53="",M53=0),"",IFERROR(L53*60*S53/(M53*36),0))</f>
        <v/>
      </c>
    </row>
    <row r="54" customFormat="false" ht="15" hidden="false" customHeight="true" outlineLevel="0" collapsed="false">
      <c r="A54" s="47" t="n">
        <f aca="false">'Daily KPI Entry'!A55</f>
        <v>50</v>
      </c>
      <c r="B54" s="48" t="n">
        <f aca="false">'Daily KPI Entry'!B55</f>
        <v>46288</v>
      </c>
      <c r="C54" s="47" t="n">
        <f aca="false">'Daily KPI Entry'!C55</f>
        <v>0</v>
      </c>
      <c r="D54" s="47" t="n">
        <f aca="false">'Daily KPI Entry'!D55</f>
        <v>0</v>
      </c>
      <c r="E54" s="47" t="n">
        <f aca="false">'Daily KPI Entry'!E55</f>
        <v>0</v>
      </c>
      <c r="F54" s="47" t="n">
        <f aca="false">'Daily KPI Entry'!F55</f>
        <v>0</v>
      </c>
      <c r="G54" s="47" t="str">
        <f aca="false">'Daily KPI Entry'!G55</f>
        <v>STL005522</v>
      </c>
      <c r="H54" s="47" t="str">
        <f aca="false">'Daily KPI Entry'!H55</f>
        <v>MD. MAKHON</v>
      </c>
      <c r="I54" s="47" t="n">
        <f aca="false">'Daily KPI Entry'!I55</f>
        <v>0</v>
      </c>
      <c r="J54" s="47" t="n">
        <f aca="false">'Daily KPI Entry'!J55</f>
        <v>0</v>
      </c>
      <c r="K54" s="47" t="n">
        <f aca="false">'Daily KPI Entry'!K55</f>
        <v>0</v>
      </c>
      <c r="L54" s="47" t="n">
        <f aca="false">'Daily KPI Entry'!L55</f>
        <v>0</v>
      </c>
      <c r="M54" s="47" t="n">
        <f aca="false">'Daily KPI Entry'!M55</f>
        <v>0</v>
      </c>
      <c r="N54" s="49" t="n">
        <f aca="false">'Daily KPI Entry'!N55</f>
        <v>0</v>
      </c>
      <c r="O54" s="49" t="n">
        <f aca="false">'Daily KPI Entry'!O55</f>
        <v>0</v>
      </c>
      <c r="P54" s="49" t="str">
        <f aca="false">IF(OR(N54="",O54=""),"",IFERROR(O54/N54*100,0))</f>
        <v/>
      </c>
      <c r="Q54" s="47" t="n">
        <f aca="false">'Daily KPI Entry'!Q55</f>
        <v>8</v>
      </c>
      <c r="R54" s="47" t="str">
        <f aca="false">IF(J54="","",Q54*J54)</f>
        <v/>
      </c>
      <c r="S54" s="49" t="n">
        <f aca="false">'Daily KPI Entry'!S55</f>
        <v>0</v>
      </c>
      <c r="T54" s="49" t="str">
        <f aca="false">IF(OR(R54="",S54=""),"",IFERROR(S54/R54*100,0))</f>
        <v/>
      </c>
      <c r="U54" s="49" t="str">
        <f aca="false">IF(OR(O54="",L54="",M54="",S54="",M54=0),"",IFERROR(O54/(L54*60*S54/(M54*36))*100,0))</f>
        <v/>
      </c>
      <c r="V54" s="49" t="n">
        <f aca="false">'Daily KPI Entry'!V55</f>
        <v>0</v>
      </c>
      <c r="W54" s="49" t="str">
        <f aca="false">IF(O54="","",IFERROR(V54/O54*100,0))</f>
        <v/>
      </c>
      <c r="X54" s="49" t="n">
        <f aca="false">'Daily KPI Entry'!X55</f>
        <v>0</v>
      </c>
      <c r="Y54" s="49" t="n">
        <f aca="false">'Daily KPI Entry'!Y55</f>
        <v>0</v>
      </c>
      <c r="Z54" s="49" t="n">
        <f aca="false">'Daily KPI Entry'!Z55</f>
        <v>0</v>
      </c>
      <c r="AA54" s="49" t="n">
        <f aca="false">'Daily KPI Entry'!AA55</f>
        <v>0</v>
      </c>
      <c r="AB54" s="49" t="n">
        <f aca="false">'Daily KPI Entry'!AB55</f>
        <v>0</v>
      </c>
      <c r="AC54" s="49" t="n">
        <f aca="false">'Daily KPI Entry'!AC55</f>
        <v>0</v>
      </c>
      <c r="AD54" s="49" t="n">
        <f aca="false">'Daily KPI Entry'!AD55</f>
        <v>0</v>
      </c>
      <c r="AE54" s="49" t="n">
        <f aca="false">'Daily KPI Entry'!AE55</f>
        <v>0</v>
      </c>
      <c r="AF54" s="47" t="str">
        <f aca="false">IF(O54="","",SUM(X54:AE54))</f>
        <v/>
      </c>
      <c r="AG54" s="49" t="str">
        <f aca="false">IF(O54="","",IFERROR(AF54/O54*1000,0))</f>
        <v/>
      </c>
      <c r="AH54" s="49" t="n">
        <f aca="false">'Daily KPI Entry'!AH55</f>
        <v>0</v>
      </c>
      <c r="AI54" s="49" t="n">
        <f aca="false">'Daily KPI Entry'!AI55</f>
        <v>0</v>
      </c>
      <c r="AJ54" s="49" t="n">
        <f aca="false">'Daily KPI Entry'!AJ55</f>
        <v>0</v>
      </c>
      <c r="AK54" s="47" t="n">
        <f aca="false">'Daily KPI Entry'!AK55</f>
        <v>0</v>
      </c>
      <c r="AL54" s="47" t="n">
        <f aca="false">'Daily KPI Entry'!AL55</f>
        <v>0</v>
      </c>
      <c r="AM54" s="47" t="n">
        <f aca="false">'Daily KPI Entry'!AM55</f>
        <v>0</v>
      </c>
      <c r="AN54" s="49" t="str">
        <f aca="false">IF(P54="","",MIN(120,P54))</f>
        <v/>
      </c>
      <c r="AO54" s="49" t="str">
        <f aca="false">IF(U54="","",MIN(120,U54))</f>
        <v/>
      </c>
      <c r="AP54" s="49" t="str">
        <f aca="false">IF(R54="","",MIN(120,IFERROR(S54/R54*100,0)))</f>
        <v/>
      </c>
      <c r="AQ54" s="49" t="str">
        <f aca="false">IF(W54="","",MIN(120,IF(W54=0,120,100*(INDEX('Standards &amp; Scoring'!$E$5:$E$13,MATCH("Quality / Rejection",'Standards &amp; Scoring'!$A$5:$A$13,0))/W54))))</f>
        <v/>
      </c>
      <c r="AR54" s="49" t="str">
        <f aca="false">IF(AG54="","",MIN(120,IF(AG54=0,120,100*(INDEX('Standards &amp; Scoring'!$E$5:$E$13,MATCH("Fault Control",'Standards &amp; Scoring'!$A$5:$A$13,0))/AG54))))</f>
        <v/>
      </c>
      <c r="AS54" s="49" t="str">
        <f aca="false">IF(O54="","",MIN(120,IF(SUMIFS('Fault &amp; Downtime Entry'!$L$6:$L$1005,'Fault &amp; Downtime Entry'!$E$6:$E$1005,G54,'Fault &amp; Downtime Entry'!$B$6:$B$1005,B54)=0,120,100*(INDEX('Standards &amp; Scoring'!$E$5:$E$13,MATCH("Downtime Control",'Standards &amp; Scoring'!$A$5:$A$13,0))/IFERROR(SUMIFS('Fault &amp; Downtime Entry'!$L$6:$L$1005,'Fault &amp; Downtime Entry'!$E$6:$E$1005,G54,'Fault &amp; Downtime Entry'!$B$6:$B$1005,B54)/O54*1000,999999)))))</f>
        <v/>
      </c>
      <c r="AT54" s="49" t="n">
        <f aca="false">IF(COUNTA(AH54,AJ54)=0,"",MIN(120,IF(AND(AH54&lt;&gt;"",AJ54&lt;&gt;""),AVERAGE(AH54,AJ54),IF(AH54&lt;&gt;"",AH54,AJ54))))</f>
        <v>0</v>
      </c>
      <c r="AU54" s="49" t="str">
        <f aca="false">IF(AI54="","",MIN(120,AI54))</f>
        <v/>
      </c>
      <c r="AV54" s="49" t="str">
        <f aca="false">IF(AJ54="","",MIN(120,AJ54))</f>
        <v/>
      </c>
      <c r="AW54" s="50" t="str">
        <f aca="false">IF(COUNT(AN54:AV54)&lt;9,"",(AN54*'Standards &amp; Scoring'!$D$5+AO54*'Standards &amp; Scoring'!$D$6+AP54*'Standards &amp; Scoring'!$D$7+AQ54*'Standards &amp; Scoring'!$D$8+AR54*'Standards &amp; Scoring'!$D$9+AS54*'Standards &amp; Scoring'!$D$10+AT54*'Standards &amp; Scoring'!$D$11+AU54*'Standards &amp; Scoring'!$D$12+AV54*'Standards &amp; Scoring'!$D$13)/10000)</f>
        <v/>
      </c>
      <c r="AX54" s="47" t="str">
        <f aca="false">IF(AW54="","",IF(AW54&gt;=1.05,"A+",IF(AW54&gt;=1,"A",IF(AW54&gt;=0.95,"B+",IF(AW54&gt;=0.9,"B","C")))))</f>
        <v/>
      </c>
      <c r="AY54" s="47" t="str">
        <f aca="false">IF(AX54="","",IF(AX54="A+",1800,IF(AX54="A",1600,IF(AX54="B+",1400,IF(AX54="B",1200,0)))))</f>
        <v/>
      </c>
      <c r="AZ54" s="49" t="str">
        <f aca="false">IF(OR(L54="",M54="",S54="",M54=0),"",IFERROR(L54*60*S54/(M54*36),0))</f>
        <v/>
      </c>
    </row>
    <row r="55" customFormat="false" ht="15" hidden="false" customHeight="true" outlineLevel="0" collapsed="false">
      <c r="A55" s="47" t="n">
        <f aca="false">'Daily KPI Entry'!A56</f>
        <v>51</v>
      </c>
      <c r="B55" s="48" t="n">
        <f aca="false">'Daily KPI Entry'!B56</f>
        <v>46288</v>
      </c>
      <c r="C55" s="47" t="n">
        <f aca="false">'Daily KPI Entry'!C56</f>
        <v>0</v>
      </c>
      <c r="D55" s="47" t="n">
        <f aca="false">'Daily KPI Entry'!D56</f>
        <v>0</v>
      </c>
      <c r="E55" s="47" t="n">
        <f aca="false">'Daily KPI Entry'!E56</f>
        <v>0</v>
      </c>
      <c r="F55" s="47" t="n">
        <f aca="false">'Daily KPI Entry'!F56</f>
        <v>0</v>
      </c>
      <c r="G55" s="47" t="str">
        <f aca="false">'Daily KPI Entry'!G56</f>
        <v>STL006398</v>
      </c>
      <c r="H55" s="47" t="str">
        <f aca="false">'Daily KPI Entry'!H56</f>
        <v>MD. BELAYET HOSSAIN</v>
      </c>
      <c r="I55" s="47" t="n">
        <f aca="false">'Daily KPI Entry'!I56</f>
        <v>0</v>
      </c>
      <c r="J55" s="47" t="n">
        <f aca="false">'Daily KPI Entry'!J56</f>
        <v>0</v>
      </c>
      <c r="K55" s="47" t="n">
        <f aca="false">'Daily KPI Entry'!K56</f>
        <v>0</v>
      </c>
      <c r="L55" s="47" t="n">
        <f aca="false">'Daily KPI Entry'!L56</f>
        <v>0</v>
      </c>
      <c r="M55" s="47" t="n">
        <f aca="false">'Daily KPI Entry'!M56</f>
        <v>0</v>
      </c>
      <c r="N55" s="49" t="n">
        <f aca="false">'Daily KPI Entry'!N56</f>
        <v>0</v>
      </c>
      <c r="O55" s="49" t="n">
        <f aca="false">'Daily KPI Entry'!O56</f>
        <v>0</v>
      </c>
      <c r="P55" s="49" t="str">
        <f aca="false">IF(OR(N55="",O55=""),"",IFERROR(O55/N55*100,0))</f>
        <v/>
      </c>
      <c r="Q55" s="47" t="n">
        <f aca="false">'Daily KPI Entry'!Q56</f>
        <v>8</v>
      </c>
      <c r="R55" s="47" t="str">
        <f aca="false">IF(J55="","",Q55*J55)</f>
        <v/>
      </c>
      <c r="S55" s="49" t="n">
        <f aca="false">'Daily KPI Entry'!S56</f>
        <v>0</v>
      </c>
      <c r="T55" s="49" t="str">
        <f aca="false">IF(OR(R55="",S55=""),"",IFERROR(S55/R55*100,0))</f>
        <v/>
      </c>
      <c r="U55" s="49" t="str">
        <f aca="false">IF(OR(O55="",L55="",M55="",S55="",M55=0),"",IFERROR(O55/(L55*60*S55/(M55*36))*100,0))</f>
        <v/>
      </c>
      <c r="V55" s="49" t="n">
        <f aca="false">'Daily KPI Entry'!V56</f>
        <v>0</v>
      </c>
      <c r="W55" s="49" t="str">
        <f aca="false">IF(O55="","",IFERROR(V55/O55*100,0))</f>
        <v/>
      </c>
      <c r="X55" s="49" t="n">
        <f aca="false">'Daily KPI Entry'!X56</f>
        <v>0</v>
      </c>
      <c r="Y55" s="49" t="n">
        <f aca="false">'Daily KPI Entry'!Y56</f>
        <v>0</v>
      </c>
      <c r="Z55" s="49" t="n">
        <f aca="false">'Daily KPI Entry'!Z56</f>
        <v>0</v>
      </c>
      <c r="AA55" s="49" t="n">
        <f aca="false">'Daily KPI Entry'!AA56</f>
        <v>0</v>
      </c>
      <c r="AB55" s="49" t="n">
        <f aca="false">'Daily KPI Entry'!AB56</f>
        <v>0</v>
      </c>
      <c r="AC55" s="49" t="n">
        <f aca="false">'Daily KPI Entry'!AC56</f>
        <v>0</v>
      </c>
      <c r="AD55" s="49" t="n">
        <f aca="false">'Daily KPI Entry'!AD56</f>
        <v>0</v>
      </c>
      <c r="AE55" s="49" t="n">
        <f aca="false">'Daily KPI Entry'!AE56</f>
        <v>0</v>
      </c>
      <c r="AF55" s="47" t="str">
        <f aca="false">IF(O55="","",SUM(X55:AE55))</f>
        <v/>
      </c>
      <c r="AG55" s="49" t="str">
        <f aca="false">IF(O55="","",IFERROR(AF55/O55*1000,0))</f>
        <v/>
      </c>
      <c r="AH55" s="49" t="n">
        <f aca="false">'Daily KPI Entry'!AH56</f>
        <v>0</v>
      </c>
      <c r="AI55" s="49" t="n">
        <f aca="false">'Daily KPI Entry'!AI56</f>
        <v>0</v>
      </c>
      <c r="AJ55" s="49" t="n">
        <f aca="false">'Daily KPI Entry'!AJ56</f>
        <v>0</v>
      </c>
      <c r="AK55" s="47" t="n">
        <f aca="false">'Daily KPI Entry'!AK56</f>
        <v>0</v>
      </c>
      <c r="AL55" s="47" t="n">
        <f aca="false">'Daily KPI Entry'!AL56</f>
        <v>0</v>
      </c>
      <c r="AM55" s="47" t="n">
        <f aca="false">'Daily KPI Entry'!AM56</f>
        <v>0</v>
      </c>
      <c r="AN55" s="49" t="str">
        <f aca="false">IF(P55="","",MIN(120,P55))</f>
        <v/>
      </c>
      <c r="AO55" s="49" t="str">
        <f aca="false">IF(U55="","",MIN(120,U55))</f>
        <v/>
      </c>
      <c r="AP55" s="49" t="str">
        <f aca="false">IF(R55="","",MIN(120,IFERROR(S55/R55*100,0)))</f>
        <v/>
      </c>
      <c r="AQ55" s="49" t="str">
        <f aca="false">IF(W55="","",MIN(120,IF(W55=0,120,100*(INDEX('Standards &amp; Scoring'!$E$5:$E$13,MATCH("Quality / Rejection",'Standards &amp; Scoring'!$A$5:$A$13,0))/W55))))</f>
        <v/>
      </c>
      <c r="AR55" s="49" t="str">
        <f aca="false">IF(AG55="","",MIN(120,IF(AG55=0,120,100*(INDEX('Standards &amp; Scoring'!$E$5:$E$13,MATCH("Fault Control",'Standards &amp; Scoring'!$A$5:$A$13,0))/AG55))))</f>
        <v/>
      </c>
      <c r="AS55" s="49" t="str">
        <f aca="false">IF(O55="","",MIN(120,IF(SUMIFS('Fault &amp; Downtime Entry'!$L$6:$L$1005,'Fault &amp; Downtime Entry'!$E$6:$E$1005,G55,'Fault &amp; Downtime Entry'!$B$6:$B$1005,B55)=0,120,100*(INDEX('Standards &amp; Scoring'!$E$5:$E$13,MATCH("Downtime Control",'Standards &amp; Scoring'!$A$5:$A$13,0))/IFERROR(SUMIFS('Fault &amp; Downtime Entry'!$L$6:$L$1005,'Fault &amp; Downtime Entry'!$E$6:$E$1005,G55,'Fault &amp; Downtime Entry'!$B$6:$B$1005,B55)/O55*1000,999999)))))</f>
        <v/>
      </c>
      <c r="AT55" s="49" t="n">
        <f aca="false">IF(COUNTA(AH55,AJ55)=0,"",MIN(120,IF(AND(AH55&lt;&gt;"",AJ55&lt;&gt;""),AVERAGE(AH55,AJ55),IF(AH55&lt;&gt;"",AH55,AJ55))))</f>
        <v>0</v>
      </c>
      <c r="AU55" s="49" t="str">
        <f aca="false">IF(AI55="","",MIN(120,AI55))</f>
        <v/>
      </c>
      <c r="AV55" s="49" t="str">
        <f aca="false">IF(AJ55="","",MIN(120,AJ55))</f>
        <v/>
      </c>
      <c r="AW55" s="50" t="str">
        <f aca="false">IF(COUNT(AN55:AV55)&lt;9,"",(AN55*'Standards &amp; Scoring'!$D$5+AO55*'Standards &amp; Scoring'!$D$6+AP55*'Standards &amp; Scoring'!$D$7+AQ55*'Standards &amp; Scoring'!$D$8+AR55*'Standards &amp; Scoring'!$D$9+AS55*'Standards &amp; Scoring'!$D$10+AT55*'Standards &amp; Scoring'!$D$11+AU55*'Standards &amp; Scoring'!$D$12+AV55*'Standards &amp; Scoring'!$D$13)/10000)</f>
        <v/>
      </c>
      <c r="AX55" s="47" t="str">
        <f aca="false">IF(AW55="","",IF(AW55&gt;=1.05,"A+",IF(AW55&gt;=1,"A",IF(AW55&gt;=0.95,"B+",IF(AW55&gt;=0.9,"B","C")))))</f>
        <v/>
      </c>
      <c r="AY55" s="47" t="str">
        <f aca="false">IF(AX55="","",IF(AX55="A+",1800,IF(AX55="A",1600,IF(AX55="B+",1400,IF(AX55="B",1200,0)))))</f>
        <v/>
      </c>
      <c r="AZ55" s="49" t="str">
        <f aca="false">IF(OR(L55="",M55="",S55="",M55=0),"",IFERROR(L55*60*S55/(M55*36),0))</f>
        <v/>
      </c>
    </row>
    <row r="56" customFormat="false" ht="15" hidden="false" customHeight="true" outlineLevel="0" collapsed="false">
      <c r="A56" s="47" t="n">
        <f aca="false">'Daily KPI Entry'!A57</f>
        <v>52</v>
      </c>
      <c r="B56" s="48" t="n">
        <f aca="false">'Daily KPI Entry'!B57</f>
        <v>46288</v>
      </c>
      <c r="C56" s="47" t="n">
        <f aca="false">'Daily KPI Entry'!C57</f>
        <v>0</v>
      </c>
      <c r="D56" s="47" t="n">
        <f aca="false">'Daily KPI Entry'!D57</f>
        <v>0</v>
      </c>
      <c r="E56" s="47" t="n">
        <f aca="false">'Daily KPI Entry'!E57</f>
        <v>0</v>
      </c>
      <c r="F56" s="47" t="n">
        <f aca="false">'Daily KPI Entry'!F57</f>
        <v>0</v>
      </c>
      <c r="G56" s="47" t="str">
        <f aca="false">'Daily KPI Entry'!G57</f>
        <v>STL006677</v>
      </c>
      <c r="H56" s="47" t="str">
        <f aca="false">'Daily KPI Entry'!H57</f>
        <v>MD. SELIM HOSSEN</v>
      </c>
      <c r="I56" s="47" t="n">
        <f aca="false">'Daily KPI Entry'!I57</f>
        <v>0</v>
      </c>
      <c r="J56" s="47" t="n">
        <f aca="false">'Daily KPI Entry'!J57</f>
        <v>0</v>
      </c>
      <c r="K56" s="47" t="n">
        <f aca="false">'Daily KPI Entry'!K57</f>
        <v>0</v>
      </c>
      <c r="L56" s="47" t="n">
        <f aca="false">'Daily KPI Entry'!L57</f>
        <v>0</v>
      </c>
      <c r="M56" s="47" t="n">
        <f aca="false">'Daily KPI Entry'!M57</f>
        <v>0</v>
      </c>
      <c r="N56" s="49" t="n">
        <f aca="false">'Daily KPI Entry'!N57</f>
        <v>0</v>
      </c>
      <c r="O56" s="49" t="n">
        <f aca="false">'Daily KPI Entry'!O57</f>
        <v>0</v>
      </c>
      <c r="P56" s="49" t="str">
        <f aca="false">IF(OR(N56="",O56=""),"",IFERROR(O56/N56*100,0))</f>
        <v/>
      </c>
      <c r="Q56" s="47" t="n">
        <f aca="false">'Daily KPI Entry'!Q57</f>
        <v>8</v>
      </c>
      <c r="R56" s="47" t="str">
        <f aca="false">IF(J56="","",Q56*J56)</f>
        <v/>
      </c>
      <c r="S56" s="49" t="n">
        <f aca="false">'Daily KPI Entry'!S57</f>
        <v>0</v>
      </c>
      <c r="T56" s="49" t="str">
        <f aca="false">IF(OR(R56="",S56=""),"",IFERROR(S56/R56*100,0))</f>
        <v/>
      </c>
      <c r="U56" s="49" t="str">
        <f aca="false">IF(OR(O56="",L56="",M56="",S56="",M56=0),"",IFERROR(O56/(L56*60*S56/(M56*36))*100,0))</f>
        <v/>
      </c>
      <c r="V56" s="49" t="n">
        <f aca="false">'Daily KPI Entry'!V57</f>
        <v>0</v>
      </c>
      <c r="W56" s="49" t="str">
        <f aca="false">IF(O56="","",IFERROR(V56/O56*100,0))</f>
        <v/>
      </c>
      <c r="X56" s="49" t="n">
        <f aca="false">'Daily KPI Entry'!X57</f>
        <v>0</v>
      </c>
      <c r="Y56" s="49" t="n">
        <f aca="false">'Daily KPI Entry'!Y57</f>
        <v>0</v>
      </c>
      <c r="Z56" s="49" t="n">
        <f aca="false">'Daily KPI Entry'!Z57</f>
        <v>0</v>
      </c>
      <c r="AA56" s="49" t="n">
        <f aca="false">'Daily KPI Entry'!AA57</f>
        <v>0</v>
      </c>
      <c r="AB56" s="49" t="n">
        <f aca="false">'Daily KPI Entry'!AB57</f>
        <v>0</v>
      </c>
      <c r="AC56" s="49" t="n">
        <f aca="false">'Daily KPI Entry'!AC57</f>
        <v>0</v>
      </c>
      <c r="AD56" s="49" t="n">
        <f aca="false">'Daily KPI Entry'!AD57</f>
        <v>0</v>
      </c>
      <c r="AE56" s="49" t="n">
        <f aca="false">'Daily KPI Entry'!AE57</f>
        <v>0</v>
      </c>
      <c r="AF56" s="47" t="str">
        <f aca="false">IF(O56="","",SUM(X56:AE56))</f>
        <v/>
      </c>
      <c r="AG56" s="49" t="str">
        <f aca="false">IF(O56="","",IFERROR(AF56/O56*1000,0))</f>
        <v/>
      </c>
      <c r="AH56" s="49" t="n">
        <f aca="false">'Daily KPI Entry'!AH57</f>
        <v>0</v>
      </c>
      <c r="AI56" s="49" t="n">
        <f aca="false">'Daily KPI Entry'!AI57</f>
        <v>0</v>
      </c>
      <c r="AJ56" s="49" t="n">
        <f aca="false">'Daily KPI Entry'!AJ57</f>
        <v>0</v>
      </c>
      <c r="AK56" s="47" t="n">
        <f aca="false">'Daily KPI Entry'!AK57</f>
        <v>0</v>
      </c>
      <c r="AL56" s="47" t="n">
        <f aca="false">'Daily KPI Entry'!AL57</f>
        <v>0</v>
      </c>
      <c r="AM56" s="47" t="n">
        <f aca="false">'Daily KPI Entry'!AM57</f>
        <v>0</v>
      </c>
      <c r="AN56" s="49" t="str">
        <f aca="false">IF(P56="","",MIN(120,P56))</f>
        <v/>
      </c>
      <c r="AO56" s="49" t="str">
        <f aca="false">IF(U56="","",MIN(120,U56))</f>
        <v/>
      </c>
      <c r="AP56" s="49" t="str">
        <f aca="false">IF(R56="","",MIN(120,IFERROR(S56/R56*100,0)))</f>
        <v/>
      </c>
      <c r="AQ56" s="49" t="str">
        <f aca="false">IF(W56="","",MIN(120,IF(W56=0,120,100*(INDEX('Standards &amp; Scoring'!$E$5:$E$13,MATCH("Quality / Rejection",'Standards &amp; Scoring'!$A$5:$A$13,0))/W56))))</f>
        <v/>
      </c>
      <c r="AR56" s="49" t="str">
        <f aca="false">IF(AG56="","",MIN(120,IF(AG56=0,120,100*(INDEX('Standards &amp; Scoring'!$E$5:$E$13,MATCH("Fault Control",'Standards &amp; Scoring'!$A$5:$A$13,0))/AG56))))</f>
        <v/>
      </c>
      <c r="AS56" s="49" t="str">
        <f aca="false">IF(O56="","",MIN(120,IF(SUMIFS('Fault &amp; Downtime Entry'!$L$6:$L$1005,'Fault &amp; Downtime Entry'!$E$6:$E$1005,G56,'Fault &amp; Downtime Entry'!$B$6:$B$1005,B56)=0,120,100*(INDEX('Standards &amp; Scoring'!$E$5:$E$13,MATCH("Downtime Control",'Standards &amp; Scoring'!$A$5:$A$13,0))/IFERROR(SUMIFS('Fault &amp; Downtime Entry'!$L$6:$L$1005,'Fault &amp; Downtime Entry'!$E$6:$E$1005,G56,'Fault &amp; Downtime Entry'!$B$6:$B$1005,B56)/O56*1000,999999)))))</f>
        <v/>
      </c>
      <c r="AT56" s="49" t="n">
        <f aca="false">IF(COUNTA(AH56,AJ56)=0,"",MIN(120,IF(AND(AH56&lt;&gt;"",AJ56&lt;&gt;""),AVERAGE(AH56,AJ56),IF(AH56&lt;&gt;"",AH56,AJ56))))</f>
        <v>0</v>
      </c>
      <c r="AU56" s="49" t="str">
        <f aca="false">IF(AI56="","",MIN(120,AI56))</f>
        <v/>
      </c>
      <c r="AV56" s="49" t="str">
        <f aca="false">IF(AJ56="","",MIN(120,AJ56))</f>
        <v/>
      </c>
      <c r="AW56" s="50" t="str">
        <f aca="false">IF(COUNT(AN56:AV56)&lt;9,"",(AN56*'Standards &amp; Scoring'!$D$5+AO56*'Standards &amp; Scoring'!$D$6+AP56*'Standards &amp; Scoring'!$D$7+AQ56*'Standards &amp; Scoring'!$D$8+AR56*'Standards &amp; Scoring'!$D$9+AS56*'Standards &amp; Scoring'!$D$10+AT56*'Standards &amp; Scoring'!$D$11+AU56*'Standards &amp; Scoring'!$D$12+AV56*'Standards &amp; Scoring'!$D$13)/10000)</f>
        <v/>
      </c>
      <c r="AX56" s="47" t="str">
        <f aca="false">IF(AW56="","",IF(AW56&gt;=1.05,"A+",IF(AW56&gt;=1,"A",IF(AW56&gt;=0.95,"B+",IF(AW56&gt;=0.9,"B","C")))))</f>
        <v/>
      </c>
      <c r="AY56" s="47" t="str">
        <f aca="false">IF(AX56="","",IF(AX56="A+",1800,IF(AX56="A",1600,IF(AX56="B+",1400,IF(AX56="B",1200,0)))))</f>
        <v/>
      </c>
      <c r="AZ56" s="49" t="str">
        <f aca="false">IF(OR(L56="",M56="",S56="",M56=0),"",IFERROR(L56*60*S56/(M56*36),0))</f>
        <v/>
      </c>
    </row>
    <row r="57" customFormat="false" ht="15" hidden="false" customHeight="true" outlineLevel="0" collapsed="false">
      <c r="A57" s="47" t="n">
        <f aca="false">'Daily KPI Entry'!A58</f>
        <v>53</v>
      </c>
      <c r="B57" s="48" t="n">
        <f aca="false">'Daily KPI Entry'!B58</f>
        <v>46288</v>
      </c>
      <c r="C57" s="47" t="n">
        <f aca="false">'Daily KPI Entry'!C58</f>
        <v>0</v>
      </c>
      <c r="D57" s="47" t="n">
        <f aca="false">'Daily KPI Entry'!D58</f>
        <v>0</v>
      </c>
      <c r="E57" s="47" t="n">
        <f aca="false">'Daily KPI Entry'!E58</f>
        <v>0</v>
      </c>
      <c r="F57" s="47" t="n">
        <f aca="false">'Daily KPI Entry'!F58</f>
        <v>0</v>
      </c>
      <c r="G57" s="47" t="str">
        <f aca="false">'Daily KPI Entry'!G58</f>
        <v>STL006737</v>
      </c>
      <c r="H57" s="47" t="str">
        <f aca="false">'Daily KPI Entry'!H58</f>
        <v>MD. MARUF</v>
      </c>
      <c r="I57" s="47" t="n">
        <f aca="false">'Daily KPI Entry'!I58</f>
        <v>0</v>
      </c>
      <c r="J57" s="47" t="n">
        <f aca="false">'Daily KPI Entry'!J58</f>
        <v>0</v>
      </c>
      <c r="K57" s="47" t="n">
        <f aca="false">'Daily KPI Entry'!K58</f>
        <v>0</v>
      </c>
      <c r="L57" s="47" t="n">
        <f aca="false">'Daily KPI Entry'!L58</f>
        <v>0</v>
      </c>
      <c r="M57" s="47" t="n">
        <f aca="false">'Daily KPI Entry'!M58</f>
        <v>0</v>
      </c>
      <c r="N57" s="49" t="n">
        <f aca="false">'Daily KPI Entry'!N58</f>
        <v>0</v>
      </c>
      <c r="O57" s="49" t="n">
        <f aca="false">'Daily KPI Entry'!O58</f>
        <v>0</v>
      </c>
      <c r="P57" s="49" t="str">
        <f aca="false">IF(OR(N57="",O57=""),"",IFERROR(O57/N57*100,0))</f>
        <v/>
      </c>
      <c r="Q57" s="47" t="n">
        <f aca="false">'Daily KPI Entry'!Q58</f>
        <v>8</v>
      </c>
      <c r="R57" s="47" t="str">
        <f aca="false">IF(J57="","",Q57*J57)</f>
        <v/>
      </c>
      <c r="S57" s="49" t="n">
        <f aca="false">'Daily KPI Entry'!S58</f>
        <v>0</v>
      </c>
      <c r="T57" s="49" t="str">
        <f aca="false">IF(OR(R57="",S57=""),"",IFERROR(S57/R57*100,0))</f>
        <v/>
      </c>
      <c r="U57" s="49" t="str">
        <f aca="false">IF(OR(O57="",L57="",M57="",S57="",M57=0),"",IFERROR(O57/(L57*60*S57/(M57*36))*100,0))</f>
        <v/>
      </c>
      <c r="V57" s="49" t="n">
        <f aca="false">'Daily KPI Entry'!V58</f>
        <v>0</v>
      </c>
      <c r="W57" s="49" t="str">
        <f aca="false">IF(O57="","",IFERROR(V57/O57*100,0))</f>
        <v/>
      </c>
      <c r="X57" s="49" t="n">
        <f aca="false">'Daily KPI Entry'!X58</f>
        <v>0</v>
      </c>
      <c r="Y57" s="49" t="n">
        <f aca="false">'Daily KPI Entry'!Y58</f>
        <v>0</v>
      </c>
      <c r="Z57" s="49" t="n">
        <f aca="false">'Daily KPI Entry'!Z58</f>
        <v>0</v>
      </c>
      <c r="AA57" s="49" t="n">
        <f aca="false">'Daily KPI Entry'!AA58</f>
        <v>0</v>
      </c>
      <c r="AB57" s="49" t="n">
        <f aca="false">'Daily KPI Entry'!AB58</f>
        <v>0</v>
      </c>
      <c r="AC57" s="49" t="n">
        <f aca="false">'Daily KPI Entry'!AC58</f>
        <v>0</v>
      </c>
      <c r="AD57" s="49" t="n">
        <f aca="false">'Daily KPI Entry'!AD58</f>
        <v>0</v>
      </c>
      <c r="AE57" s="49" t="n">
        <f aca="false">'Daily KPI Entry'!AE58</f>
        <v>0</v>
      </c>
      <c r="AF57" s="47" t="str">
        <f aca="false">IF(O57="","",SUM(X57:AE57))</f>
        <v/>
      </c>
      <c r="AG57" s="49" t="str">
        <f aca="false">IF(O57="","",IFERROR(AF57/O57*1000,0))</f>
        <v/>
      </c>
      <c r="AH57" s="49" t="n">
        <f aca="false">'Daily KPI Entry'!AH58</f>
        <v>0</v>
      </c>
      <c r="AI57" s="49" t="n">
        <f aca="false">'Daily KPI Entry'!AI58</f>
        <v>0</v>
      </c>
      <c r="AJ57" s="49" t="n">
        <f aca="false">'Daily KPI Entry'!AJ58</f>
        <v>0</v>
      </c>
      <c r="AK57" s="47" t="n">
        <f aca="false">'Daily KPI Entry'!AK58</f>
        <v>0</v>
      </c>
      <c r="AL57" s="47" t="n">
        <f aca="false">'Daily KPI Entry'!AL58</f>
        <v>0</v>
      </c>
      <c r="AM57" s="47" t="n">
        <f aca="false">'Daily KPI Entry'!AM58</f>
        <v>0</v>
      </c>
      <c r="AN57" s="49" t="str">
        <f aca="false">IF(P57="","",MIN(120,P57))</f>
        <v/>
      </c>
      <c r="AO57" s="49" t="str">
        <f aca="false">IF(U57="","",MIN(120,U57))</f>
        <v/>
      </c>
      <c r="AP57" s="49" t="str">
        <f aca="false">IF(R57="","",MIN(120,IFERROR(S57/R57*100,0)))</f>
        <v/>
      </c>
      <c r="AQ57" s="49" t="str">
        <f aca="false">IF(W57="","",MIN(120,IF(W57=0,120,100*(INDEX('Standards &amp; Scoring'!$E$5:$E$13,MATCH("Quality / Rejection",'Standards &amp; Scoring'!$A$5:$A$13,0))/W57))))</f>
        <v/>
      </c>
      <c r="AR57" s="49" t="str">
        <f aca="false">IF(AG57="","",MIN(120,IF(AG57=0,120,100*(INDEX('Standards &amp; Scoring'!$E$5:$E$13,MATCH("Fault Control",'Standards &amp; Scoring'!$A$5:$A$13,0))/AG57))))</f>
        <v/>
      </c>
      <c r="AS57" s="49" t="str">
        <f aca="false">IF(O57="","",MIN(120,IF(SUMIFS('Fault &amp; Downtime Entry'!$L$6:$L$1005,'Fault &amp; Downtime Entry'!$E$6:$E$1005,G57,'Fault &amp; Downtime Entry'!$B$6:$B$1005,B57)=0,120,100*(INDEX('Standards &amp; Scoring'!$E$5:$E$13,MATCH("Downtime Control",'Standards &amp; Scoring'!$A$5:$A$13,0))/IFERROR(SUMIFS('Fault &amp; Downtime Entry'!$L$6:$L$1005,'Fault &amp; Downtime Entry'!$E$6:$E$1005,G57,'Fault &amp; Downtime Entry'!$B$6:$B$1005,B57)/O57*1000,999999)))))</f>
        <v/>
      </c>
      <c r="AT57" s="49" t="n">
        <f aca="false">IF(COUNTA(AH57,AJ57)=0,"",MIN(120,IF(AND(AH57&lt;&gt;"",AJ57&lt;&gt;""),AVERAGE(AH57,AJ57),IF(AH57&lt;&gt;"",AH57,AJ57))))</f>
        <v>0</v>
      </c>
      <c r="AU57" s="49" t="str">
        <f aca="false">IF(AI57="","",MIN(120,AI57))</f>
        <v/>
      </c>
      <c r="AV57" s="49" t="str">
        <f aca="false">IF(AJ57="","",MIN(120,AJ57))</f>
        <v/>
      </c>
      <c r="AW57" s="50" t="str">
        <f aca="false">IF(COUNT(AN57:AV57)&lt;9,"",(AN57*'Standards &amp; Scoring'!$D$5+AO57*'Standards &amp; Scoring'!$D$6+AP57*'Standards &amp; Scoring'!$D$7+AQ57*'Standards &amp; Scoring'!$D$8+AR57*'Standards &amp; Scoring'!$D$9+AS57*'Standards &amp; Scoring'!$D$10+AT57*'Standards &amp; Scoring'!$D$11+AU57*'Standards &amp; Scoring'!$D$12+AV57*'Standards &amp; Scoring'!$D$13)/10000)</f>
        <v/>
      </c>
      <c r="AX57" s="47" t="str">
        <f aca="false">IF(AW57="","",IF(AW57&gt;=1.05,"A+",IF(AW57&gt;=1,"A",IF(AW57&gt;=0.95,"B+",IF(AW57&gt;=0.9,"B","C")))))</f>
        <v/>
      </c>
      <c r="AY57" s="47" t="str">
        <f aca="false">IF(AX57="","",IF(AX57="A+",1800,IF(AX57="A",1600,IF(AX57="B+",1400,IF(AX57="B",1200,0)))))</f>
        <v/>
      </c>
      <c r="AZ57" s="49" t="str">
        <f aca="false">IF(OR(L57="",M57="",S57="",M57=0),"",IFERROR(L57*60*S57/(M57*36),0))</f>
        <v/>
      </c>
    </row>
    <row r="58" customFormat="false" ht="15" hidden="false" customHeight="true" outlineLevel="0" collapsed="false">
      <c r="A58" s="47" t="n">
        <f aca="false">'Daily KPI Entry'!A59</f>
        <v>54</v>
      </c>
      <c r="B58" s="48" t="n">
        <f aca="false">'Daily KPI Entry'!B59</f>
        <v>46288</v>
      </c>
      <c r="C58" s="47" t="n">
        <f aca="false">'Daily KPI Entry'!C59</f>
        <v>0</v>
      </c>
      <c r="D58" s="47" t="n">
        <f aca="false">'Daily KPI Entry'!D59</f>
        <v>0</v>
      </c>
      <c r="E58" s="47" t="n">
        <f aca="false">'Daily KPI Entry'!E59</f>
        <v>0</v>
      </c>
      <c r="F58" s="47" t="n">
        <f aca="false">'Daily KPI Entry'!F59</f>
        <v>0</v>
      </c>
      <c r="G58" s="47" t="str">
        <f aca="false">'Daily KPI Entry'!G59</f>
        <v>STL007293</v>
      </c>
      <c r="H58" s="47" t="str">
        <f aca="false">'Daily KPI Entry'!H59</f>
        <v>MD. ISMAHIL</v>
      </c>
      <c r="I58" s="47" t="n">
        <f aca="false">'Daily KPI Entry'!I59</f>
        <v>0</v>
      </c>
      <c r="J58" s="47" t="n">
        <f aca="false">'Daily KPI Entry'!J59</f>
        <v>0</v>
      </c>
      <c r="K58" s="47" t="n">
        <f aca="false">'Daily KPI Entry'!K59</f>
        <v>0</v>
      </c>
      <c r="L58" s="47" t="n">
        <f aca="false">'Daily KPI Entry'!L59</f>
        <v>0</v>
      </c>
      <c r="M58" s="47" t="n">
        <f aca="false">'Daily KPI Entry'!M59</f>
        <v>0</v>
      </c>
      <c r="N58" s="49" t="n">
        <f aca="false">'Daily KPI Entry'!N59</f>
        <v>0</v>
      </c>
      <c r="O58" s="49" t="n">
        <f aca="false">'Daily KPI Entry'!O59</f>
        <v>0</v>
      </c>
      <c r="P58" s="49" t="str">
        <f aca="false">IF(OR(N58="",O58=""),"",IFERROR(O58/N58*100,0))</f>
        <v/>
      </c>
      <c r="Q58" s="47" t="n">
        <f aca="false">'Daily KPI Entry'!Q59</f>
        <v>8</v>
      </c>
      <c r="R58" s="47" t="str">
        <f aca="false">IF(J58="","",Q58*J58)</f>
        <v/>
      </c>
      <c r="S58" s="49" t="n">
        <f aca="false">'Daily KPI Entry'!S59</f>
        <v>0</v>
      </c>
      <c r="T58" s="49" t="str">
        <f aca="false">IF(OR(R58="",S58=""),"",IFERROR(S58/R58*100,0))</f>
        <v/>
      </c>
      <c r="U58" s="49" t="str">
        <f aca="false">IF(OR(O58="",L58="",M58="",S58="",M58=0),"",IFERROR(O58/(L58*60*S58/(M58*36))*100,0))</f>
        <v/>
      </c>
      <c r="V58" s="49" t="n">
        <f aca="false">'Daily KPI Entry'!V59</f>
        <v>0</v>
      </c>
      <c r="W58" s="49" t="str">
        <f aca="false">IF(O58="","",IFERROR(V58/O58*100,0))</f>
        <v/>
      </c>
      <c r="X58" s="49" t="n">
        <f aca="false">'Daily KPI Entry'!X59</f>
        <v>0</v>
      </c>
      <c r="Y58" s="49" t="n">
        <f aca="false">'Daily KPI Entry'!Y59</f>
        <v>0</v>
      </c>
      <c r="Z58" s="49" t="n">
        <f aca="false">'Daily KPI Entry'!Z59</f>
        <v>0</v>
      </c>
      <c r="AA58" s="49" t="n">
        <f aca="false">'Daily KPI Entry'!AA59</f>
        <v>0</v>
      </c>
      <c r="AB58" s="49" t="n">
        <f aca="false">'Daily KPI Entry'!AB59</f>
        <v>0</v>
      </c>
      <c r="AC58" s="49" t="n">
        <f aca="false">'Daily KPI Entry'!AC59</f>
        <v>0</v>
      </c>
      <c r="AD58" s="49" t="n">
        <f aca="false">'Daily KPI Entry'!AD59</f>
        <v>0</v>
      </c>
      <c r="AE58" s="49" t="n">
        <f aca="false">'Daily KPI Entry'!AE59</f>
        <v>0</v>
      </c>
      <c r="AF58" s="47" t="str">
        <f aca="false">IF(O58="","",SUM(X58:AE58))</f>
        <v/>
      </c>
      <c r="AG58" s="49" t="str">
        <f aca="false">IF(O58="","",IFERROR(AF58/O58*1000,0))</f>
        <v/>
      </c>
      <c r="AH58" s="49" t="n">
        <f aca="false">'Daily KPI Entry'!AH59</f>
        <v>0</v>
      </c>
      <c r="AI58" s="49" t="n">
        <f aca="false">'Daily KPI Entry'!AI59</f>
        <v>0</v>
      </c>
      <c r="AJ58" s="49" t="n">
        <f aca="false">'Daily KPI Entry'!AJ59</f>
        <v>0</v>
      </c>
      <c r="AK58" s="47" t="n">
        <f aca="false">'Daily KPI Entry'!AK59</f>
        <v>0</v>
      </c>
      <c r="AL58" s="47" t="n">
        <f aca="false">'Daily KPI Entry'!AL59</f>
        <v>0</v>
      </c>
      <c r="AM58" s="47" t="n">
        <f aca="false">'Daily KPI Entry'!AM59</f>
        <v>0</v>
      </c>
      <c r="AN58" s="49" t="str">
        <f aca="false">IF(P58="","",MIN(120,P58))</f>
        <v/>
      </c>
      <c r="AO58" s="49" t="str">
        <f aca="false">IF(U58="","",MIN(120,U58))</f>
        <v/>
      </c>
      <c r="AP58" s="49" t="str">
        <f aca="false">IF(R58="","",MIN(120,IFERROR(S58/R58*100,0)))</f>
        <v/>
      </c>
      <c r="AQ58" s="49" t="str">
        <f aca="false">IF(W58="","",MIN(120,IF(W58=0,120,100*(INDEX('Standards &amp; Scoring'!$E$5:$E$13,MATCH("Quality / Rejection",'Standards &amp; Scoring'!$A$5:$A$13,0))/W58))))</f>
        <v/>
      </c>
      <c r="AR58" s="49" t="str">
        <f aca="false">IF(AG58="","",MIN(120,IF(AG58=0,120,100*(INDEX('Standards &amp; Scoring'!$E$5:$E$13,MATCH("Fault Control",'Standards &amp; Scoring'!$A$5:$A$13,0))/AG58))))</f>
        <v/>
      </c>
      <c r="AS58" s="49" t="str">
        <f aca="false">IF(O58="","",MIN(120,IF(SUMIFS('Fault &amp; Downtime Entry'!$L$6:$L$1005,'Fault &amp; Downtime Entry'!$E$6:$E$1005,G58,'Fault &amp; Downtime Entry'!$B$6:$B$1005,B58)=0,120,100*(INDEX('Standards &amp; Scoring'!$E$5:$E$13,MATCH("Downtime Control",'Standards &amp; Scoring'!$A$5:$A$13,0))/IFERROR(SUMIFS('Fault &amp; Downtime Entry'!$L$6:$L$1005,'Fault &amp; Downtime Entry'!$E$6:$E$1005,G58,'Fault &amp; Downtime Entry'!$B$6:$B$1005,B58)/O58*1000,999999)))))</f>
        <v/>
      </c>
      <c r="AT58" s="49" t="n">
        <f aca="false">IF(COUNTA(AH58,AJ58)=0,"",MIN(120,IF(AND(AH58&lt;&gt;"",AJ58&lt;&gt;""),AVERAGE(AH58,AJ58),IF(AH58&lt;&gt;"",AH58,AJ58))))</f>
        <v>0</v>
      </c>
      <c r="AU58" s="49" t="str">
        <f aca="false">IF(AI58="","",MIN(120,AI58))</f>
        <v/>
      </c>
      <c r="AV58" s="49" t="str">
        <f aca="false">IF(AJ58="","",MIN(120,AJ58))</f>
        <v/>
      </c>
      <c r="AW58" s="50" t="str">
        <f aca="false">IF(COUNT(AN58:AV58)&lt;9,"",(AN58*'Standards &amp; Scoring'!$D$5+AO58*'Standards &amp; Scoring'!$D$6+AP58*'Standards &amp; Scoring'!$D$7+AQ58*'Standards &amp; Scoring'!$D$8+AR58*'Standards &amp; Scoring'!$D$9+AS58*'Standards &amp; Scoring'!$D$10+AT58*'Standards &amp; Scoring'!$D$11+AU58*'Standards &amp; Scoring'!$D$12+AV58*'Standards &amp; Scoring'!$D$13)/10000)</f>
        <v/>
      </c>
      <c r="AX58" s="47" t="str">
        <f aca="false">IF(AW58="","",IF(AW58&gt;=1.05,"A+",IF(AW58&gt;=1,"A",IF(AW58&gt;=0.95,"B+",IF(AW58&gt;=0.9,"B","C")))))</f>
        <v/>
      </c>
      <c r="AY58" s="47" t="str">
        <f aca="false">IF(AX58="","",IF(AX58="A+",1800,IF(AX58="A",1600,IF(AX58="B+",1400,IF(AX58="B",1200,0)))))</f>
        <v/>
      </c>
      <c r="AZ58" s="49" t="str">
        <f aca="false">IF(OR(L58="",M58="",S58="",M58=0),"",IFERROR(L58*60*S58/(M58*36),0))</f>
        <v/>
      </c>
    </row>
    <row r="59" customFormat="false" ht="15" hidden="false" customHeight="true" outlineLevel="0" collapsed="false">
      <c r="A59" s="47" t="n">
        <f aca="false">'Daily KPI Entry'!A60</f>
        <v>55</v>
      </c>
      <c r="B59" s="48" t="n">
        <f aca="false">'Daily KPI Entry'!B60</f>
        <v>46288</v>
      </c>
      <c r="C59" s="47" t="n">
        <f aca="false">'Daily KPI Entry'!C60</f>
        <v>0</v>
      </c>
      <c r="D59" s="47" t="n">
        <f aca="false">'Daily KPI Entry'!D60</f>
        <v>0</v>
      </c>
      <c r="E59" s="47" t="n">
        <f aca="false">'Daily KPI Entry'!E60</f>
        <v>0</v>
      </c>
      <c r="F59" s="47" t="n">
        <f aca="false">'Daily KPI Entry'!F60</f>
        <v>0</v>
      </c>
      <c r="G59" s="47" t="str">
        <f aca="false">'Daily KPI Entry'!G60</f>
        <v>STL007292</v>
      </c>
      <c r="H59" s="47" t="str">
        <f aca="false">'Daily KPI Entry'!H60</f>
        <v>MD. KHABIR MOLLA</v>
      </c>
      <c r="I59" s="47" t="n">
        <f aca="false">'Daily KPI Entry'!I60</f>
        <v>0</v>
      </c>
      <c r="J59" s="47" t="n">
        <f aca="false">'Daily KPI Entry'!J60</f>
        <v>0</v>
      </c>
      <c r="K59" s="47" t="n">
        <f aca="false">'Daily KPI Entry'!K60</f>
        <v>0</v>
      </c>
      <c r="L59" s="47" t="n">
        <f aca="false">'Daily KPI Entry'!L60</f>
        <v>0</v>
      </c>
      <c r="M59" s="47" t="n">
        <f aca="false">'Daily KPI Entry'!M60</f>
        <v>0</v>
      </c>
      <c r="N59" s="49" t="n">
        <f aca="false">'Daily KPI Entry'!N60</f>
        <v>0</v>
      </c>
      <c r="O59" s="49" t="n">
        <f aca="false">'Daily KPI Entry'!O60</f>
        <v>0</v>
      </c>
      <c r="P59" s="49" t="str">
        <f aca="false">IF(OR(N59="",O59=""),"",IFERROR(O59/N59*100,0))</f>
        <v/>
      </c>
      <c r="Q59" s="47" t="n">
        <f aca="false">'Daily KPI Entry'!Q60</f>
        <v>8</v>
      </c>
      <c r="R59" s="47" t="str">
        <f aca="false">IF(J59="","",Q59*J59)</f>
        <v/>
      </c>
      <c r="S59" s="49" t="n">
        <f aca="false">'Daily KPI Entry'!S60</f>
        <v>0</v>
      </c>
      <c r="T59" s="49" t="str">
        <f aca="false">IF(OR(R59="",S59=""),"",IFERROR(S59/R59*100,0))</f>
        <v/>
      </c>
      <c r="U59" s="49" t="str">
        <f aca="false">IF(OR(O59="",L59="",M59="",S59="",M59=0),"",IFERROR(O59/(L59*60*S59/(M59*36))*100,0))</f>
        <v/>
      </c>
      <c r="V59" s="49" t="n">
        <f aca="false">'Daily KPI Entry'!V60</f>
        <v>0</v>
      </c>
      <c r="W59" s="49" t="str">
        <f aca="false">IF(O59="","",IFERROR(V59/O59*100,0))</f>
        <v/>
      </c>
      <c r="X59" s="49" t="n">
        <f aca="false">'Daily KPI Entry'!X60</f>
        <v>0</v>
      </c>
      <c r="Y59" s="49" t="n">
        <f aca="false">'Daily KPI Entry'!Y60</f>
        <v>0</v>
      </c>
      <c r="Z59" s="49" t="n">
        <f aca="false">'Daily KPI Entry'!Z60</f>
        <v>0</v>
      </c>
      <c r="AA59" s="49" t="n">
        <f aca="false">'Daily KPI Entry'!AA60</f>
        <v>0</v>
      </c>
      <c r="AB59" s="49" t="n">
        <f aca="false">'Daily KPI Entry'!AB60</f>
        <v>0</v>
      </c>
      <c r="AC59" s="49" t="n">
        <f aca="false">'Daily KPI Entry'!AC60</f>
        <v>0</v>
      </c>
      <c r="AD59" s="49" t="n">
        <f aca="false">'Daily KPI Entry'!AD60</f>
        <v>0</v>
      </c>
      <c r="AE59" s="49" t="n">
        <f aca="false">'Daily KPI Entry'!AE60</f>
        <v>0</v>
      </c>
      <c r="AF59" s="47" t="str">
        <f aca="false">IF(O59="","",SUM(X59:AE59))</f>
        <v/>
      </c>
      <c r="AG59" s="49" t="str">
        <f aca="false">IF(O59="","",IFERROR(AF59/O59*1000,0))</f>
        <v/>
      </c>
      <c r="AH59" s="49" t="n">
        <f aca="false">'Daily KPI Entry'!AH60</f>
        <v>0</v>
      </c>
      <c r="AI59" s="49" t="n">
        <f aca="false">'Daily KPI Entry'!AI60</f>
        <v>0</v>
      </c>
      <c r="AJ59" s="49" t="n">
        <f aca="false">'Daily KPI Entry'!AJ60</f>
        <v>0</v>
      </c>
      <c r="AK59" s="47" t="n">
        <f aca="false">'Daily KPI Entry'!AK60</f>
        <v>0</v>
      </c>
      <c r="AL59" s="47" t="n">
        <f aca="false">'Daily KPI Entry'!AL60</f>
        <v>0</v>
      </c>
      <c r="AM59" s="47" t="n">
        <f aca="false">'Daily KPI Entry'!AM60</f>
        <v>0</v>
      </c>
      <c r="AN59" s="49" t="str">
        <f aca="false">IF(P59="","",MIN(120,P59))</f>
        <v/>
      </c>
      <c r="AO59" s="49" t="str">
        <f aca="false">IF(U59="","",MIN(120,U59))</f>
        <v/>
      </c>
      <c r="AP59" s="49" t="str">
        <f aca="false">IF(R59="","",MIN(120,IFERROR(S59/R59*100,0)))</f>
        <v/>
      </c>
      <c r="AQ59" s="49" t="str">
        <f aca="false">IF(W59="","",MIN(120,IF(W59=0,120,100*(INDEX('Standards &amp; Scoring'!$E$5:$E$13,MATCH("Quality / Rejection",'Standards &amp; Scoring'!$A$5:$A$13,0))/W59))))</f>
        <v/>
      </c>
      <c r="AR59" s="49" t="str">
        <f aca="false">IF(AG59="","",MIN(120,IF(AG59=0,120,100*(INDEX('Standards &amp; Scoring'!$E$5:$E$13,MATCH("Fault Control",'Standards &amp; Scoring'!$A$5:$A$13,0))/AG59))))</f>
        <v/>
      </c>
      <c r="AS59" s="49" t="str">
        <f aca="false">IF(O59="","",MIN(120,IF(SUMIFS('Fault &amp; Downtime Entry'!$L$6:$L$1005,'Fault &amp; Downtime Entry'!$E$6:$E$1005,G59,'Fault &amp; Downtime Entry'!$B$6:$B$1005,B59)=0,120,100*(INDEX('Standards &amp; Scoring'!$E$5:$E$13,MATCH("Downtime Control",'Standards &amp; Scoring'!$A$5:$A$13,0))/IFERROR(SUMIFS('Fault &amp; Downtime Entry'!$L$6:$L$1005,'Fault &amp; Downtime Entry'!$E$6:$E$1005,G59,'Fault &amp; Downtime Entry'!$B$6:$B$1005,B59)/O59*1000,999999)))))</f>
        <v/>
      </c>
      <c r="AT59" s="49" t="n">
        <f aca="false">IF(COUNTA(AH59,AJ59)=0,"",MIN(120,IF(AND(AH59&lt;&gt;"",AJ59&lt;&gt;""),AVERAGE(AH59,AJ59),IF(AH59&lt;&gt;"",AH59,AJ59))))</f>
        <v>0</v>
      </c>
      <c r="AU59" s="49" t="str">
        <f aca="false">IF(AI59="","",MIN(120,AI59))</f>
        <v/>
      </c>
      <c r="AV59" s="49" t="str">
        <f aca="false">IF(AJ59="","",MIN(120,AJ59))</f>
        <v/>
      </c>
      <c r="AW59" s="50" t="str">
        <f aca="false">IF(COUNT(AN59:AV59)&lt;9,"",(AN59*'Standards &amp; Scoring'!$D$5+AO59*'Standards &amp; Scoring'!$D$6+AP59*'Standards &amp; Scoring'!$D$7+AQ59*'Standards &amp; Scoring'!$D$8+AR59*'Standards &amp; Scoring'!$D$9+AS59*'Standards &amp; Scoring'!$D$10+AT59*'Standards &amp; Scoring'!$D$11+AU59*'Standards &amp; Scoring'!$D$12+AV59*'Standards &amp; Scoring'!$D$13)/10000)</f>
        <v/>
      </c>
      <c r="AX59" s="47" t="str">
        <f aca="false">IF(AW59="","",IF(AW59&gt;=1.05,"A+",IF(AW59&gt;=1,"A",IF(AW59&gt;=0.95,"B+",IF(AW59&gt;=0.9,"B","C")))))</f>
        <v/>
      </c>
      <c r="AY59" s="47" t="str">
        <f aca="false">IF(AX59="","",IF(AX59="A+",1800,IF(AX59="A",1600,IF(AX59="B+",1400,IF(AX59="B",1200,0)))))</f>
        <v/>
      </c>
      <c r="AZ59" s="49" t="str">
        <f aca="false">IF(OR(L59="",M59="",S59="",M59=0),"",IFERROR(L59*60*S59/(M59*36),0))</f>
        <v/>
      </c>
    </row>
    <row r="60" customFormat="false" ht="15" hidden="false" customHeight="true" outlineLevel="0" collapsed="false">
      <c r="A60" s="47" t="n">
        <f aca="false">'Daily KPI Entry'!A61</f>
        <v>56</v>
      </c>
      <c r="B60" s="48" t="n">
        <f aca="false">'Daily KPI Entry'!B61</f>
        <v>46288</v>
      </c>
      <c r="C60" s="47" t="n">
        <f aca="false">'Daily KPI Entry'!C61</f>
        <v>0</v>
      </c>
      <c r="D60" s="47" t="n">
        <f aca="false">'Daily KPI Entry'!D61</f>
        <v>0</v>
      </c>
      <c r="E60" s="47" t="n">
        <f aca="false">'Daily KPI Entry'!E61</f>
        <v>0</v>
      </c>
      <c r="F60" s="47" t="n">
        <f aca="false">'Daily KPI Entry'!F61</f>
        <v>0</v>
      </c>
      <c r="G60" s="47" t="str">
        <f aca="false">'Daily KPI Entry'!G61</f>
        <v>STL007425</v>
      </c>
      <c r="H60" s="47" t="str">
        <f aca="false">'Daily KPI Entry'!H61</f>
        <v>MD. ALOM ISLAM</v>
      </c>
      <c r="I60" s="47" t="n">
        <f aca="false">'Daily KPI Entry'!I61</f>
        <v>0</v>
      </c>
      <c r="J60" s="47" t="n">
        <f aca="false">'Daily KPI Entry'!J61</f>
        <v>0</v>
      </c>
      <c r="K60" s="47" t="n">
        <f aca="false">'Daily KPI Entry'!K61</f>
        <v>0</v>
      </c>
      <c r="L60" s="47" t="n">
        <f aca="false">'Daily KPI Entry'!L61</f>
        <v>0</v>
      </c>
      <c r="M60" s="47" t="n">
        <f aca="false">'Daily KPI Entry'!M61</f>
        <v>0</v>
      </c>
      <c r="N60" s="49" t="n">
        <f aca="false">'Daily KPI Entry'!N61</f>
        <v>0</v>
      </c>
      <c r="O60" s="49" t="n">
        <f aca="false">'Daily KPI Entry'!O61</f>
        <v>0</v>
      </c>
      <c r="P60" s="49" t="str">
        <f aca="false">IF(OR(N60="",O60=""),"",IFERROR(O60/N60*100,0))</f>
        <v/>
      </c>
      <c r="Q60" s="47" t="n">
        <f aca="false">'Daily KPI Entry'!Q61</f>
        <v>8</v>
      </c>
      <c r="R60" s="47" t="str">
        <f aca="false">IF(J60="","",Q60*J60)</f>
        <v/>
      </c>
      <c r="S60" s="49" t="n">
        <f aca="false">'Daily KPI Entry'!S61</f>
        <v>0</v>
      </c>
      <c r="T60" s="49" t="str">
        <f aca="false">IF(OR(R60="",S60=""),"",IFERROR(S60/R60*100,0))</f>
        <v/>
      </c>
      <c r="U60" s="49" t="str">
        <f aca="false">IF(OR(O60="",L60="",M60="",S60="",M60=0),"",IFERROR(O60/(L60*60*S60/(M60*36))*100,0))</f>
        <v/>
      </c>
      <c r="V60" s="49" t="n">
        <f aca="false">'Daily KPI Entry'!V61</f>
        <v>0</v>
      </c>
      <c r="W60" s="49" t="str">
        <f aca="false">IF(O60="","",IFERROR(V60/O60*100,0))</f>
        <v/>
      </c>
      <c r="X60" s="49" t="n">
        <f aca="false">'Daily KPI Entry'!X61</f>
        <v>0</v>
      </c>
      <c r="Y60" s="49" t="n">
        <f aca="false">'Daily KPI Entry'!Y61</f>
        <v>0</v>
      </c>
      <c r="Z60" s="49" t="n">
        <f aca="false">'Daily KPI Entry'!Z61</f>
        <v>0</v>
      </c>
      <c r="AA60" s="49" t="n">
        <f aca="false">'Daily KPI Entry'!AA61</f>
        <v>0</v>
      </c>
      <c r="AB60" s="49" t="n">
        <f aca="false">'Daily KPI Entry'!AB61</f>
        <v>0</v>
      </c>
      <c r="AC60" s="49" t="n">
        <f aca="false">'Daily KPI Entry'!AC61</f>
        <v>0</v>
      </c>
      <c r="AD60" s="49" t="n">
        <f aca="false">'Daily KPI Entry'!AD61</f>
        <v>0</v>
      </c>
      <c r="AE60" s="49" t="n">
        <f aca="false">'Daily KPI Entry'!AE61</f>
        <v>0</v>
      </c>
      <c r="AF60" s="47" t="str">
        <f aca="false">IF(O60="","",SUM(X60:AE60))</f>
        <v/>
      </c>
      <c r="AG60" s="49" t="str">
        <f aca="false">IF(O60="","",IFERROR(AF60/O60*1000,0))</f>
        <v/>
      </c>
      <c r="AH60" s="49" t="n">
        <f aca="false">'Daily KPI Entry'!AH61</f>
        <v>0</v>
      </c>
      <c r="AI60" s="49" t="n">
        <f aca="false">'Daily KPI Entry'!AI61</f>
        <v>0</v>
      </c>
      <c r="AJ60" s="49" t="n">
        <f aca="false">'Daily KPI Entry'!AJ61</f>
        <v>0</v>
      </c>
      <c r="AK60" s="47" t="n">
        <f aca="false">'Daily KPI Entry'!AK61</f>
        <v>0</v>
      </c>
      <c r="AL60" s="47" t="n">
        <f aca="false">'Daily KPI Entry'!AL61</f>
        <v>0</v>
      </c>
      <c r="AM60" s="47" t="n">
        <f aca="false">'Daily KPI Entry'!AM61</f>
        <v>0</v>
      </c>
      <c r="AN60" s="49" t="str">
        <f aca="false">IF(P60="","",MIN(120,P60))</f>
        <v/>
      </c>
      <c r="AO60" s="49" t="str">
        <f aca="false">IF(U60="","",MIN(120,U60))</f>
        <v/>
      </c>
      <c r="AP60" s="49" t="str">
        <f aca="false">IF(R60="","",MIN(120,IFERROR(S60/R60*100,0)))</f>
        <v/>
      </c>
      <c r="AQ60" s="49" t="str">
        <f aca="false">IF(W60="","",MIN(120,IF(W60=0,120,100*(INDEX('Standards &amp; Scoring'!$E$5:$E$13,MATCH("Quality / Rejection",'Standards &amp; Scoring'!$A$5:$A$13,0))/W60))))</f>
        <v/>
      </c>
      <c r="AR60" s="49" t="str">
        <f aca="false">IF(AG60="","",MIN(120,IF(AG60=0,120,100*(INDEX('Standards &amp; Scoring'!$E$5:$E$13,MATCH("Fault Control",'Standards &amp; Scoring'!$A$5:$A$13,0))/AG60))))</f>
        <v/>
      </c>
      <c r="AS60" s="49" t="str">
        <f aca="false">IF(O60="","",MIN(120,IF(SUMIFS('Fault &amp; Downtime Entry'!$L$6:$L$1005,'Fault &amp; Downtime Entry'!$E$6:$E$1005,G60,'Fault &amp; Downtime Entry'!$B$6:$B$1005,B60)=0,120,100*(INDEX('Standards &amp; Scoring'!$E$5:$E$13,MATCH("Downtime Control",'Standards &amp; Scoring'!$A$5:$A$13,0))/IFERROR(SUMIFS('Fault &amp; Downtime Entry'!$L$6:$L$1005,'Fault &amp; Downtime Entry'!$E$6:$E$1005,G60,'Fault &amp; Downtime Entry'!$B$6:$B$1005,B60)/O60*1000,999999)))))</f>
        <v/>
      </c>
      <c r="AT60" s="49" t="n">
        <f aca="false">IF(COUNTA(AH60,AJ60)=0,"",MIN(120,IF(AND(AH60&lt;&gt;"",AJ60&lt;&gt;""),AVERAGE(AH60,AJ60),IF(AH60&lt;&gt;"",AH60,AJ60))))</f>
        <v>0</v>
      </c>
      <c r="AU60" s="49" t="str">
        <f aca="false">IF(AI60="","",MIN(120,AI60))</f>
        <v/>
      </c>
      <c r="AV60" s="49" t="str">
        <f aca="false">IF(AJ60="","",MIN(120,AJ60))</f>
        <v/>
      </c>
      <c r="AW60" s="50" t="str">
        <f aca="false">IF(COUNT(AN60:AV60)&lt;9,"",(AN60*'Standards &amp; Scoring'!$D$5+AO60*'Standards &amp; Scoring'!$D$6+AP60*'Standards &amp; Scoring'!$D$7+AQ60*'Standards &amp; Scoring'!$D$8+AR60*'Standards &amp; Scoring'!$D$9+AS60*'Standards &amp; Scoring'!$D$10+AT60*'Standards &amp; Scoring'!$D$11+AU60*'Standards &amp; Scoring'!$D$12+AV60*'Standards &amp; Scoring'!$D$13)/10000)</f>
        <v/>
      </c>
      <c r="AX60" s="47" t="str">
        <f aca="false">IF(AW60="","",IF(AW60&gt;=1.05,"A+",IF(AW60&gt;=1,"A",IF(AW60&gt;=0.95,"B+",IF(AW60&gt;=0.9,"B","C")))))</f>
        <v/>
      </c>
      <c r="AY60" s="47" t="str">
        <f aca="false">IF(AX60="","",IF(AX60="A+",1800,IF(AX60="A",1600,IF(AX60="B+",1400,IF(AX60="B",1200,0)))))</f>
        <v/>
      </c>
      <c r="AZ60" s="49" t="str">
        <f aca="false">IF(OR(L60="",M60="",S60="",M60=0),"",IFERROR(L60*60*S60/(M60*36),0))</f>
        <v/>
      </c>
    </row>
    <row r="61" customFormat="false" ht="15" hidden="false" customHeight="true" outlineLevel="0" collapsed="false">
      <c r="A61" s="47" t="n">
        <f aca="false">'Daily KPI Entry'!A62</f>
        <v>0</v>
      </c>
      <c r="B61" s="48" t="n">
        <f aca="false">'Daily KPI Entry'!B62</f>
        <v>0</v>
      </c>
      <c r="C61" s="47" t="n">
        <f aca="false">'Daily KPI Entry'!C62</f>
        <v>0</v>
      </c>
      <c r="D61" s="47" t="n">
        <f aca="false">'Daily KPI Entry'!D62</f>
        <v>0</v>
      </c>
      <c r="E61" s="47" t="n">
        <f aca="false">'Daily KPI Entry'!E62</f>
        <v>0</v>
      </c>
      <c r="F61" s="47" t="n">
        <f aca="false">'Daily KPI Entry'!F62</f>
        <v>0</v>
      </c>
      <c r="G61" s="47" t="n">
        <f aca="false">'Daily KPI Entry'!G62</f>
        <v>0</v>
      </c>
      <c r="H61" s="47" t="str">
        <f aca="false">'Daily KPI Entry'!H62</f>
        <v/>
      </c>
      <c r="I61" s="47" t="n">
        <f aca="false">'Daily KPI Entry'!I62</f>
        <v>0</v>
      </c>
      <c r="J61" s="47" t="n">
        <f aca="false">'Daily KPI Entry'!J62</f>
        <v>0</v>
      </c>
      <c r="K61" s="47" t="n">
        <f aca="false">'Daily KPI Entry'!K62</f>
        <v>0</v>
      </c>
      <c r="L61" s="47" t="n">
        <f aca="false">'Daily KPI Entry'!L62</f>
        <v>0</v>
      </c>
      <c r="M61" s="47" t="n">
        <f aca="false">'Daily KPI Entry'!M62</f>
        <v>0</v>
      </c>
      <c r="N61" s="49" t="n">
        <f aca="false">'Daily KPI Entry'!N62</f>
        <v>0</v>
      </c>
      <c r="O61" s="49" t="n">
        <f aca="false">'Daily KPI Entry'!O62</f>
        <v>0</v>
      </c>
      <c r="P61" s="49" t="str">
        <f aca="false">IF(OR(N61="",O61=""),"",IFERROR(O61/N61*100,0))</f>
        <v/>
      </c>
      <c r="Q61" s="47" t="n">
        <f aca="false">'Daily KPI Entry'!Q62</f>
        <v>8</v>
      </c>
      <c r="R61" s="47" t="str">
        <f aca="false">IF(J61="","",Q61*J61)</f>
        <v/>
      </c>
      <c r="S61" s="49" t="n">
        <f aca="false">'Daily KPI Entry'!S62</f>
        <v>0</v>
      </c>
      <c r="T61" s="49" t="str">
        <f aca="false">IF(OR(R61="",S61=""),"",IFERROR(S61/R61*100,0))</f>
        <v/>
      </c>
      <c r="U61" s="49" t="str">
        <f aca="false">IF(OR(O61="",L61="",M61="",S61="",M61=0),"",IFERROR(O61/(L61*60*S61/(M61*36))*100,0))</f>
        <v/>
      </c>
      <c r="V61" s="49" t="n">
        <f aca="false">'Daily KPI Entry'!V62</f>
        <v>0</v>
      </c>
      <c r="W61" s="49" t="str">
        <f aca="false">IF(O61="","",IFERROR(V61/O61*100,0))</f>
        <v/>
      </c>
      <c r="X61" s="49" t="n">
        <f aca="false">'Daily KPI Entry'!X62</f>
        <v>0</v>
      </c>
      <c r="Y61" s="49" t="n">
        <f aca="false">'Daily KPI Entry'!Y62</f>
        <v>0</v>
      </c>
      <c r="Z61" s="49" t="n">
        <f aca="false">'Daily KPI Entry'!Z62</f>
        <v>0</v>
      </c>
      <c r="AA61" s="49" t="n">
        <f aca="false">'Daily KPI Entry'!AA62</f>
        <v>0</v>
      </c>
      <c r="AB61" s="49" t="n">
        <f aca="false">'Daily KPI Entry'!AB62</f>
        <v>0</v>
      </c>
      <c r="AC61" s="49" t="n">
        <f aca="false">'Daily KPI Entry'!AC62</f>
        <v>0</v>
      </c>
      <c r="AD61" s="49" t="n">
        <f aca="false">'Daily KPI Entry'!AD62</f>
        <v>0</v>
      </c>
      <c r="AE61" s="49" t="n">
        <f aca="false">'Daily KPI Entry'!AE62</f>
        <v>0</v>
      </c>
      <c r="AF61" s="47" t="str">
        <f aca="false">IF(O61="","",SUM(X61:AE61))</f>
        <v/>
      </c>
      <c r="AG61" s="49" t="str">
        <f aca="false">IF(O61="","",IFERROR(AF61/O61*1000,0))</f>
        <v/>
      </c>
      <c r="AH61" s="49" t="n">
        <f aca="false">'Daily KPI Entry'!AH62</f>
        <v>0</v>
      </c>
      <c r="AI61" s="49" t="n">
        <f aca="false">'Daily KPI Entry'!AI62</f>
        <v>0</v>
      </c>
      <c r="AJ61" s="49" t="n">
        <f aca="false">'Daily KPI Entry'!AJ62</f>
        <v>0</v>
      </c>
      <c r="AK61" s="47" t="n">
        <f aca="false">'Daily KPI Entry'!AK62</f>
        <v>0</v>
      </c>
      <c r="AL61" s="47" t="n">
        <f aca="false">'Daily KPI Entry'!AL62</f>
        <v>0</v>
      </c>
      <c r="AM61" s="47" t="n">
        <f aca="false">'Daily KPI Entry'!AM62</f>
        <v>0</v>
      </c>
      <c r="AN61" s="49" t="str">
        <f aca="false">IF(P61="","",MIN(120,P61))</f>
        <v/>
      </c>
      <c r="AO61" s="49" t="str">
        <f aca="false">IF(U61="","",MIN(120,U61))</f>
        <v/>
      </c>
      <c r="AP61" s="49" t="str">
        <f aca="false">IF(R61="","",MIN(120,IFERROR(S61/R61*100,0)))</f>
        <v/>
      </c>
      <c r="AQ61" s="49" t="str">
        <f aca="false">IF(W61="","",MIN(120,IF(W61=0,120,100*(INDEX('Standards &amp; Scoring'!$E$5:$E$13,MATCH("Quality / Rejection",'Standards &amp; Scoring'!$A$5:$A$13,0))/W61))))</f>
        <v/>
      </c>
      <c r="AR61" s="49" t="str">
        <f aca="false">IF(AG61="","",MIN(120,IF(AG61=0,120,100*(INDEX('Standards &amp; Scoring'!$E$5:$E$13,MATCH("Fault Control",'Standards &amp; Scoring'!$A$5:$A$13,0))/AG61))))</f>
        <v/>
      </c>
      <c r="AS61" s="49" t="str">
        <f aca="false">IF(O61="","",MIN(120,IF(SUMIFS('Fault &amp; Downtime Entry'!$L$6:$L$1005,'Fault &amp; Downtime Entry'!$E$6:$E$1005,G61,'Fault &amp; Downtime Entry'!$B$6:$B$1005,B61)=0,120,100*(INDEX('Standards &amp; Scoring'!$E$5:$E$13,MATCH("Downtime Control",'Standards &amp; Scoring'!$A$5:$A$13,0))/IFERROR(SUMIFS('Fault &amp; Downtime Entry'!$L$6:$L$1005,'Fault &amp; Downtime Entry'!$E$6:$E$1005,G61,'Fault &amp; Downtime Entry'!$B$6:$B$1005,B61)/O61*1000,999999)))))</f>
        <v/>
      </c>
      <c r="AT61" s="49" t="n">
        <f aca="false">IF(COUNTA(AH61,AJ61)=0,"",MIN(120,IF(AND(AH61&lt;&gt;"",AJ61&lt;&gt;""),AVERAGE(AH61,AJ61),IF(AH61&lt;&gt;"",AH61,AJ61))))</f>
        <v>0</v>
      </c>
      <c r="AU61" s="49" t="str">
        <f aca="false">IF(AI61="","",MIN(120,AI61))</f>
        <v/>
      </c>
      <c r="AV61" s="49" t="str">
        <f aca="false">IF(AJ61="","",MIN(120,AJ61))</f>
        <v/>
      </c>
      <c r="AW61" s="50" t="str">
        <f aca="false">IF(COUNT(AN61:AV61)&lt;9,"",(AN61*'Standards &amp; Scoring'!$D$5+AO61*'Standards &amp; Scoring'!$D$6+AP61*'Standards &amp; Scoring'!$D$7+AQ61*'Standards &amp; Scoring'!$D$8+AR61*'Standards &amp; Scoring'!$D$9+AS61*'Standards &amp; Scoring'!$D$10+AT61*'Standards &amp; Scoring'!$D$11+AU61*'Standards &amp; Scoring'!$D$12+AV61*'Standards &amp; Scoring'!$D$13)/10000)</f>
        <v/>
      </c>
      <c r="AX61" s="47" t="str">
        <f aca="false">IF(AW61="","",IF(AW61&gt;=1.05,"A+",IF(AW61&gt;=1,"A",IF(AW61&gt;=0.95,"B+",IF(AW61&gt;=0.9,"B","C")))))</f>
        <v/>
      </c>
      <c r="AY61" s="47" t="str">
        <f aca="false">IF(AX61="","",IF(AX61="A+",1800,IF(AX61="A",1600,IF(AX61="B+",1400,IF(AX61="B",1200,0)))))</f>
        <v/>
      </c>
      <c r="AZ61" s="49" t="str">
        <f aca="false">IF(OR(L61="",M61="",S61="",M61=0),"",IFERROR(L61*60*S61/(M61*36),0))</f>
        <v/>
      </c>
    </row>
    <row r="62" customFormat="false" ht="15" hidden="false" customHeight="true" outlineLevel="0" collapsed="false">
      <c r="A62" s="47" t="n">
        <f aca="false">'Daily KPI Entry'!A63</f>
        <v>0</v>
      </c>
      <c r="B62" s="48" t="n">
        <f aca="false">'Daily KPI Entry'!B63</f>
        <v>0</v>
      </c>
      <c r="C62" s="47" t="n">
        <f aca="false">'Daily KPI Entry'!C63</f>
        <v>0</v>
      </c>
      <c r="D62" s="47" t="n">
        <f aca="false">'Daily KPI Entry'!D63</f>
        <v>0</v>
      </c>
      <c r="E62" s="47" t="n">
        <f aca="false">'Daily KPI Entry'!E63</f>
        <v>0</v>
      </c>
      <c r="F62" s="47" t="n">
        <f aca="false">'Daily KPI Entry'!F63</f>
        <v>0</v>
      </c>
      <c r="G62" s="47" t="n">
        <f aca="false">'Daily KPI Entry'!G63</f>
        <v>0</v>
      </c>
      <c r="H62" s="47" t="str">
        <f aca="false">'Daily KPI Entry'!H63</f>
        <v/>
      </c>
      <c r="I62" s="47" t="n">
        <f aca="false">'Daily KPI Entry'!I63</f>
        <v>0</v>
      </c>
      <c r="J62" s="47" t="n">
        <f aca="false">'Daily KPI Entry'!J63</f>
        <v>0</v>
      </c>
      <c r="K62" s="47" t="n">
        <f aca="false">'Daily KPI Entry'!K63</f>
        <v>0</v>
      </c>
      <c r="L62" s="47" t="n">
        <f aca="false">'Daily KPI Entry'!L63</f>
        <v>0</v>
      </c>
      <c r="M62" s="47" t="n">
        <f aca="false">'Daily KPI Entry'!M63</f>
        <v>0</v>
      </c>
      <c r="N62" s="49" t="n">
        <f aca="false">'Daily KPI Entry'!N63</f>
        <v>0</v>
      </c>
      <c r="O62" s="49" t="n">
        <f aca="false">'Daily KPI Entry'!O63</f>
        <v>0</v>
      </c>
      <c r="P62" s="49" t="str">
        <f aca="false">IF(OR(N62="",O62=""),"",IFERROR(O62/N62*100,0))</f>
        <v/>
      </c>
      <c r="Q62" s="47" t="n">
        <f aca="false">'Daily KPI Entry'!Q63</f>
        <v>8</v>
      </c>
      <c r="R62" s="47" t="str">
        <f aca="false">IF(J62="","",Q62*J62)</f>
        <v/>
      </c>
      <c r="S62" s="49" t="n">
        <f aca="false">'Daily KPI Entry'!S63</f>
        <v>0</v>
      </c>
      <c r="T62" s="49" t="str">
        <f aca="false">IF(OR(R62="",S62=""),"",IFERROR(S62/R62*100,0))</f>
        <v/>
      </c>
      <c r="U62" s="49" t="str">
        <f aca="false">IF(OR(O62="",L62="",M62="",S62="",M62=0),"",IFERROR(O62/(L62*60*S62/(M62*36))*100,0))</f>
        <v/>
      </c>
      <c r="V62" s="49" t="n">
        <f aca="false">'Daily KPI Entry'!V63</f>
        <v>0</v>
      </c>
      <c r="W62" s="49" t="str">
        <f aca="false">IF(O62="","",IFERROR(V62/O62*100,0))</f>
        <v/>
      </c>
      <c r="X62" s="49" t="n">
        <f aca="false">'Daily KPI Entry'!X63</f>
        <v>0</v>
      </c>
      <c r="Y62" s="49" t="n">
        <f aca="false">'Daily KPI Entry'!Y63</f>
        <v>0</v>
      </c>
      <c r="Z62" s="49" t="n">
        <f aca="false">'Daily KPI Entry'!Z63</f>
        <v>0</v>
      </c>
      <c r="AA62" s="49" t="n">
        <f aca="false">'Daily KPI Entry'!AA63</f>
        <v>0</v>
      </c>
      <c r="AB62" s="49" t="n">
        <f aca="false">'Daily KPI Entry'!AB63</f>
        <v>0</v>
      </c>
      <c r="AC62" s="49" t="n">
        <f aca="false">'Daily KPI Entry'!AC63</f>
        <v>0</v>
      </c>
      <c r="AD62" s="49" t="n">
        <f aca="false">'Daily KPI Entry'!AD63</f>
        <v>0</v>
      </c>
      <c r="AE62" s="49" t="n">
        <f aca="false">'Daily KPI Entry'!AE63</f>
        <v>0</v>
      </c>
      <c r="AF62" s="47" t="str">
        <f aca="false">IF(O62="","",SUM(X62:AE62))</f>
        <v/>
      </c>
      <c r="AG62" s="49" t="str">
        <f aca="false">IF(O62="","",IFERROR(AF62/O62*1000,0))</f>
        <v/>
      </c>
      <c r="AH62" s="49" t="n">
        <f aca="false">'Daily KPI Entry'!AH63</f>
        <v>0</v>
      </c>
      <c r="AI62" s="49" t="n">
        <f aca="false">'Daily KPI Entry'!AI63</f>
        <v>0</v>
      </c>
      <c r="AJ62" s="49" t="n">
        <f aca="false">'Daily KPI Entry'!AJ63</f>
        <v>0</v>
      </c>
      <c r="AK62" s="47" t="n">
        <f aca="false">'Daily KPI Entry'!AK63</f>
        <v>0</v>
      </c>
      <c r="AL62" s="47" t="n">
        <f aca="false">'Daily KPI Entry'!AL63</f>
        <v>0</v>
      </c>
      <c r="AM62" s="47" t="n">
        <f aca="false">'Daily KPI Entry'!AM63</f>
        <v>0</v>
      </c>
      <c r="AN62" s="49" t="str">
        <f aca="false">IF(P62="","",MIN(120,P62))</f>
        <v/>
      </c>
      <c r="AO62" s="49" t="str">
        <f aca="false">IF(U62="","",MIN(120,U62))</f>
        <v/>
      </c>
      <c r="AP62" s="49" t="str">
        <f aca="false">IF(R62="","",MIN(120,IFERROR(S62/R62*100,0)))</f>
        <v/>
      </c>
      <c r="AQ62" s="49" t="str">
        <f aca="false">IF(W62="","",MIN(120,IF(W62=0,120,100*(INDEX('Standards &amp; Scoring'!$E$5:$E$13,MATCH("Quality / Rejection",'Standards &amp; Scoring'!$A$5:$A$13,0))/W62))))</f>
        <v/>
      </c>
      <c r="AR62" s="49" t="str">
        <f aca="false">IF(AG62="","",MIN(120,IF(AG62=0,120,100*(INDEX('Standards &amp; Scoring'!$E$5:$E$13,MATCH("Fault Control",'Standards &amp; Scoring'!$A$5:$A$13,0))/AG62))))</f>
        <v/>
      </c>
      <c r="AS62" s="49" t="str">
        <f aca="false">IF(O62="","",MIN(120,IF(SUMIFS('Fault &amp; Downtime Entry'!$L$6:$L$1005,'Fault &amp; Downtime Entry'!$E$6:$E$1005,G62,'Fault &amp; Downtime Entry'!$B$6:$B$1005,B62)=0,120,100*(INDEX('Standards &amp; Scoring'!$E$5:$E$13,MATCH("Downtime Control",'Standards &amp; Scoring'!$A$5:$A$13,0))/IFERROR(SUMIFS('Fault &amp; Downtime Entry'!$L$6:$L$1005,'Fault &amp; Downtime Entry'!$E$6:$E$1005,G62,'Fault &amp; Downtime Entry'!$B$6:$B$1005,B62)/O62*1000,999999)))))</f>
        <v/>
      </c>
      <c r="AT62" s="49" t="n">
        <f aca="false">IF(COUNTA(AH62,AJ62)=0,"",MIN(120,IF(AND(AH62&lt;&gt;"",AJ62&lt;&gt;""),AVERAGE(AH62,AJ62),IF(AH62&lt;&gt;"",AH62,AJ62))))</f>
        <v>0</v>
      </c>
      <c r="AU62" s="49" t="str">
        <f aca="false">IF(AI62="","",MIN(120,AI62))</f>
        <v/>
      </c>
      <c r="AV62" s="49" t="str">
        <f aca="false">IF(AJ62="","",MIN(120,AJ62))</f>
        <v/>
      </c>
      <c r="AW62" s="50" t="str">
        <f aca="false">IF(COUNT(AN62:AV62)&lt;9,"",(AN62*'Standards &amp; Scoring'!$D$5+AO62*'Standards &amp; Scoring'!$D$6+AP62*'Standards &amp; Scoring'!$D$7+AQ62*'Standards &amp; Scoring'!$D$8+AR62*'Standards &amp; Scoring'!$D$9+AS62*'Standards &amp; Scoring'!$D$10+AT62*'Standards &amp; Scoring'!$D$11+AU62*'Standards &amp; Scoring'!$D$12+AV62*'Standards &amp; Scoring'!$D$13)/10000)</f>
        <v/>
      </c>
      <c r="AX62" s="47" t="str">
        <f aca="false">IF(AW62="","",IF(AW62&gt;=1.05,"A+",IF(AW62&gt;=1,"A",IF(AW62&gt;=0.95,"B+",IF(AW62&gt;=0.9,"B","C")))))</f>
        <v/>
      </c>
      <c r="AY62" s="47" t="str">
        <f aca="false">IF(AX62="","",IF(AX62="A+",1800,IF(AX62="A",1600,IF(AX62="B+",1400,IF(AX62="B",1200,0)))))</f>
        <v/>
      </c>
      <c r="AZ62" s="49" t="str">
        <f aca="false">IF(OR(L62="",M62="",S62="",M62=0),"",IFERROR(L62*60*S62/(M62*36),0))</f>
        <v/>
      </c>
    </row>
    <row r="63" customFormat="false" ht="15" hidden="false" customHeight="true" outlineLevel="0" collapsed="false">
      <c r="A63" s="47" t="n">
        <f aca="false">'Daily KPI Entry'!A64</f>
        <v>0</v>
      </c>
      <c r="B63" s="48" t="n">
        <f aca="false">'Daily KPI Entry'!B64</f>
        <v>0</v>
      </c>
      <c r="C63" s="47" t="n">
        <f aca="false">'Daily KPI Entry'!C64</f>
        <v>0</v>
      </c>
      <c r="D63" s="47" t="n">
        <f aca="false">'Daily KPI Entry'!D64</f>
        <v>0</v>
      </c>
      <c r="E63" s="47" t="n">
        <f aca="false">'Daily KPI Entry'!E64</f>
        <v>0</v>
      </c>
      <c r="F63" s="47" t="n">
        <f aca="false">'Daily KPI Entry'!F64</f>
        <v>0</v>
      </c>
      <c r="G63" s="47" t="n">
        <f aca="false">'Daily KPI Entry'!G64</f>
        <v>0</v>
      </c>
      <c r="H63" s="47" t="str">
        <f aca="false">'Daily KPI Entry'!H64</f>
        <v/>
      </c>
      <c r="I63" s="47" t="n">
        <f aca="false">'Daily KPI Entry'!I64</f>
        <v>0</v>
      </c>
      <c r="J63" s="47" t="n">
        <f aca="false">'Daily KPI Entry'!J64</f>
        <v>0</v>
      </c>
      <c r="K63" s="47" t="n">
        <f aca="false">'Daily KPI Entry'!K64</f>
        <v>0</v>
      </c>
      <c r="L63" s="47" t="n">
        <f aca="false">'Daily KPI Entry'!L64</f>
        <v>0</v>
      </c>
      <c r="M63" s="47" t="n">
        <f aca="false">'Daily KPI Entry'!M64</f>
        <v>0</v>
      </c>
      <c r="N63" s="49" t="n">
        <f aca="false">'Daily KPI Entry'!N64</f>
        <v>0</v>
      </c>
      <c r="O63" s="49" t="n">
        <f aca="false">'Daily KPI Entry'!O64</f>
        <v>0</v>
      </c>
      <c r="P63" s="49" t="str">
        <f aca="false">IF(OR(N63="",O63=""),"",IFERROR(O63/N63*100,0))</f>
        <v/>
      </c>
      <c r="Q63" s="47" t="n">
        <f aca="false">'Daily KPI Entry'!Q64</f>
        <v>8</v>
      </c>
      <c r="R63" s="47" t="str">
        <f aca="false">IF(J63="","",Q63*J63)</f>
        <v/>
      </c>
      <c r="S63" s="49" t="n">
        <f aca="false">'Daily KPI Entry'!S64</f>
        <v>0</v>
      </c>
      <c r="T63" s="49" t="str">
        <f aca="false">IF(OR(R63="",S63=""),"",IFERROR(S63/R63*100,0))</f>
        <v/>
      </c>
      <c r="U63" s="49" t="str">
        <f aca="false">IF(OR(O63="",L63="",M63="",S63="",M63=0),"",IFERROR(O63/(L63*60*S63/(M63*36))*100,0))</f>
        <v/>
      </c>
      <c r="V63" s="49" t="n">
        <f aca="false">'Daily KPI Entry'!V64</f>
        <v>0</v>
      </c>
      <c r="W63" s="49" t="str">
        <f aca="false">IF(O63="","",IFERROR(V63/O63*100,0))</f>
        <v/>
      </c>
      <c r="X63" s="49" t="n">
        <f aca="false">'Daily KPI Entry'!X64</f>
        <v>0</v>
      </c>
      <c r="Y63" s="49" t="n">
        <f aca="false">'Daily KPI Entry'!Y64</f>
        <v>0</v>
      </c>
      <c r="Z63" s="49" t="n">
        <f aca="false">'Daily KPI Entry'!Z64</f>
        <v>0</v>
      </c>
      <c r="AA63" s="49" t="n">
        <f aca="false">'Daily KPI Entry'!AA64</f>
        <v>0</v>
      </c>
      <c r="AB63" s="49" t="n">
        <f aca="false">'Daily KPI Entry'!AB64</f>
        <v>0</v>
      </c>
      <c r="AC63" s="49" t="n">
        <f aca="false">'Daily KPI Entry'!AC64</f>
        <v>0</v>
      </c>
      <c r="AD63" s="49" t="n">
        <f aca="false">'Daily KPI Entry'!AD64</f>
        <v>0</v>
      </c>
      <c r="AE63" s="49" t="n">
        <f aca="false">'Daily KPI Entry'!AE64</f>
        <v>0</v>
      </c>
      <c r="AF63" s="47" t="str">
        <f aca="false">IF(O63="","",SUM(X63:AE63))</f>
        <v/>
      </c>
      <c r="AG63" s="49" t="str">
        <f aca="false">IF(O63="","",IFERROR(AF63/O63*1000,0))</f>
        <v/>
      </c>
      <c r="AH63" s="49" t="n">
        <f aca="false">'Daily KPI Entry'!AH64</f>
        <v>0</v>
      </c>
      <c r="AI63" s="49" t="n">
        <f aca="false">'Daily KPI Entry'!AI64</f>
        <v>0</v>
      </c>
      <c r="AJ63" s="49" t="n">
        <f aca="false">'Daily KPI Entry'!AJ64</f>
        <v>0</v>
      </c>
      <c r="AK63" s="47" t="n">
        <f aca="false">'Daily KPI Entry'!AK64</f>
        <v>0</v>
      </c>
      <c r="AL63" s="47" t="n">
        <f aca="false">'Daily KPI Entry'!AL64</f>
        <v>0</v>
      </c>
      <c r="AM63" s="47" t="n">
        <f aca="false">'Daily KPI Entry'!AM64</f>
        <v>0</v>
      </c>
      <c r="AN63" s="49" t="str">
        <f aca="false">IF(P63="","",MIN(120,P63))</f>
        <v/>
      </c>
      <c r="AO63" s="49" t="str">
        <f aca="false">IF(U63="","",MIN(120,U63))</f>
        <v/>
      </c>
      <c r="AP63" s="49" t="str">
        <f aca="false">IF(R63="","",MIN(120,IFERROR(S63/R63*100,0)))</f>
        <v/>
      </c>
      <c r="AQ63" s="49" t="str">
        <f aca="false">IF(W63="","",MIN(120,IF(W63=0,120,100*(INDEX('Standards &amp; Scoring'!$E$5:$E$13,MATCH("Quality / Rejection",'Standards &amp; Scoring'!$A$5:$A$13,0))/W63))))</f>
        <v/>
      </c>
      <c r="AR63" s="49" t="str">
        <f aca="false">IF(AG63="","",MIN(120,IF(AG63=0,120,100*(INDEX('Standards &amp; Scoring'!$E$5:$E$13,MATCH("Fault Control",'Standards &amp; Scoring'!$A$5:$A$13,0))/AG63))))</f>
        <v/>
      </c>
      <c r="AS63" s="49" t="str">
        <f aca="false">IF(O63="","",MIN(120,IF(SUMIFS('Fault &amp; Downtime Entry'!$L$6:$L$1005,'Fault &amp; Downtime Entry'!$E$6:$E$1005,G63,'Fault &amp; Downtime Entry'!$B$6:$B$1005,B63)=0,120,100*(INDEX('Standards &amp; Scoring'!$E$5:$E$13,MATCH("Downtime Control",'Standards &amp; Scoring'!$A$5:$A$13,0))/IFERROR(SUMIFS('Fault &amp; Downtime Entry'!$L$6:$L$1005,'Fault &amp; Downtime Entry'!$E$6:$E$1005,G63,'Fault &amp; Downtime Entry'!$B$6:$B$1005,B63)/O63*1000,999999)))))</f>
        <v/>
      </c>
      <c r="AT63" s="49" t="n">
        <f aca="false">IF(COUNTA(AH63,AJ63)=0,"",MIN(120,IF(AND(AH63&lt;&gt;"",AJ63&lt;&gt;""),AVERAGE(AH63,AJ63),IF(AH63&lt;&gt;"",AH63,AJ63))))</f>
        <v>0</v>
      </c>
      <c r="AU63" s="49" t="str">
        <f aca="false">IF(AI63="","",MIN(120,AI63))</f>
        <v/>
      </c>
      <c r="AV63" s="49" t="str">
        <f aca="false">IF(AJ63="","",MIN(120,AJ63))</f>
        <v/>
      </c>
      <c r="AW63" s="50" t="str">
        <f aca="false">IF(COUNT(AN63:AV63)&lt;9,"",(AN63*'Standards &amp; Scoring'!$D$5+AO63*'Standards &amp; Scoring'!$D$6+AP63*'Standards &amp; Scoring'!$D$7+AQ63*'Standards &amp; Scoring'!$D$8+AR63*'Standards &amp; Scoring'!$D$9+AS63*'Standards &amp; Scoring'!$D$10+AT63*'Standards &amp; Scoring'!$D$11+AU63*'Standards &amp; Scoring'!$D$12+AV63*'Standards &amp; Scoring'!$D$13)/10000)</f>
        <v/>
      </c>
      <c r="AX63" s="47" t="str">
        <f aca="false">IF(AW63="","",IF(AW63&gt;=1.05,"A+",IF(AW63&gt;=1,"A",IF(AW63&gt;=0.95,"B+",IF(AW63&gt;=0.9,"B","C")))))</f>
        <v/>
      </c>
      <c r="AY63" s="47" t="str">
        <f aca="false">IF(AX63="","",IF(AX63="A+",1800,IF(AX63="A",1600,IF(AX63="B+",1400,IF(AX63="B",1200,0)))))</f>
        <v/>
      </c>
      <c r="AZ63" s="49" t="str">
        <f aca="false">IF(OR(L63="",M63="",S63="",M63=0),"",IFERROR(L63*60*S63/(M63*36),0))</f>
        <v/>
      </c>
    </row>
    <row r="64" customFormat="false" ht="15" hidden="false" customHeight="true" outlineLevel="0" collapsed="false">
      <c r="A64" s="47" t="n">
        <f aca="false">'Daily KPI Entry'!A65</f>
        <v>0</v>
      </c>
      <c r="B64" s="48" t="n">
        <f aca="false">'Daily KPI Entry'!B65</f>
        <v>0</v>
      </c>
      <c r="C64" s="47" t="n">
        <f aca="false">'Daily KPI Entry'!C65</f>
        <v>0</v>
      </c>
      <c r="D64" s="47" t="n">
        <f aca="false">'Daily KPI Entry'!D65</f>
        <v>0</v>
      </c>
      <c r="E64" s="47" t="n">
        <f aca="false">'Daily KPI Entry'!E65</f>
        <v>0</v>
      </c>
      <c r="F64" s="47" t="n">
        <f aca="false">'Daily KPI Entry'!F65</f>
        <v>0</v>
      </c>
      <c r="G64" s="47" t="n">
        <f aca="false">'Daily KPI Entry'!G65</f>
        <v>0</v>
      </c>
      <c r="H64" s="47" t="str">
        <f aca="false">'Daily KPI Entry'!H65</f>
        <v/>
      </c>
      <c r="I64" s="47" t="n">
        <f aca="false">'Daily KPI Entry'!I65</f>
        <v>0</v>
      </c>
      <c r="J64" s="47" t="n">
        <f aca="false">'Daily KPI Entry'!J65</f>
        <v>0</v>
      </c>
      <c r="K64" s="47" t="n">
        <f aca="false">'Daily KPI Entry'!K65</f>
        <v>0</v>
      </c>
      <c r="L64" s="47" t="n">
        <f aca="false">'Daily KPI Entry'!L65</f>
        <v>0</v>
      </c>
      <c r="M64" s="47" t="n">
        <f aca="false">'Daily KPI Entry'!M65</f>
        <v>0</v>
      </c>
      <c r="N64" s="49" t="n">
        <f aca="false">'Daily KPI Entry'!N65</f>
        <v>0</v>
      </c>
      <c r="O64" s="49" t="n">
        <f aca="false">'Daily KPI Entry'!O65</f>
        <v>0</v>
      </c>
      <c r="P64" s="49" t="str">
        <f aca="false">IF(OR(N64="",O64=""),"",IFERROR(O64/N64*100,0))</f>
        <v/>
      </c>
      <c r="Q64" s="47" t="n">
        <f aca="false">'Daily KPI Entry'!Q65</f>
        <v>8</v>
      </c>
      <c r="R64" s="47" t="str">
        <f aca="false">IF(J64="","",Q64*J64)</f>
        <v/>
      </c>
      <c r="S64" s="49" t="n">
        <f aca="false">'Daily KPI Entry'!S65</f>
        <v>0</v>
      </c>
      <c r="T64" s="49" t="str">
        <f aca="false">IF(OR(R64="",S64=""),"",IFERROR(S64/R64*100,0))</f>
        <v/>
      </c>
      <c r="U64" s="49" t="str">
        <f aca="false">IF(OR(O64="",L64="",M64="",S64="",M64=0),"",IFERROR(O64/(L64*60*S64/(M64*36))*100,0))</f>
        <v/>
      </c>
      <c r="V64" s="49" t="n">
        <f aca="false">'Daily KPI Entry'!V65</f>
        <v>0</v>
      </c>
      <c r="W64" s="49" t="str">
        <f aca="false">IF(O64="","",IFERROR(V64/O64*100,0))</f>
        <v/>
      </c>
      <c r="X64" s="49" t="n">
        <f aca="false">'Daily KPI Entry'!X65</f>
        <v>0</v>
      </c>
      <c r="Y64" s="49" t="n">
        <f aca="false">'Daily KPI Entry'!Y65</f>
        <v>0</v>
      </c>
      <c r="Z64" s="49" t="n">
        <f aca="false">'Daily KPI Entry'!Z65</f>
        <v>0</v>
      </c>
      <c r="AA64" s="49" t="n">
        <f aca="false">'Daily KPI Entry'!AA65</f>
        <v>0</v>
      </c>
      <c r="AB64" s="49" t="n">
        <f aca="false">'Daily KPI Entry'!AB65</f>
        <v>0</v>
      </c>
      <c r="AC64" s="49" t="n">
        <f aca="false">'Daily KPI Entry'!AC65</f>
        <v>0</v>
      </c>
      <c r="AD64" s="49" t="n">
        <f aca="false">'Daily KPI Entry'!AD65</f>
        <v>0</v>
      </c>
      <c r="AE64" s="49" t="n">
        <f aca="false">'Daily KPI Entry'!AE65</f>
        <v>0</v>
      </c>
      <c r="AF64" s="47" t="str">
        <f aca="false">IF(O64="","",SUM(X64:AE64))</f>
        <v/>
      </c>
      <c r="AG64" s="49" t="str">
        <f aca="false">IF(O64="","",IFERROR(AF64/O64*1000,0))</f>
        <v/>
      </c>
      <c r="AH64" s="49" t="n">
        <f aca="false">'Daily KPI Entry'!AH65</f>
        <v>0</v>
      </c>
      <c r="AI64" s="49" t="n">
        <f aca="false">'Daily KPI Entry'!AI65</f>
        <v>0</v>
      </c>
      <c r="AJ64" s="49" t="n">
        <f aca="false">'Daily KPI Entry'!AJ65</f>
        <v>0</v>
      </c>
      <c r="AK64" s="47" t="n">
        <f aca="false">'Daily KPI Entry'!AK65</f>
        <v>0</v>
      </c>
      <c r="AL64" s="47" t="n">
        <f aca="false">'Daily KPI Entry'!AL65</f>
        <v>0</v>
      </c>
      <c r="AM64" s="47" t="n">
        <f aca="false">'Daily KPI Entry'!AM65</f>
        <v>0</v>
      </c>
      <c r="AN64" s="49" t="str">
        <f aca="false">IF(P64="","",MIN(120,P64))</f>
        <v/>
      </c>
      <c r="AO64" s="49" t="str">
        <f aca="false">IF(U64="","",MIN(120,U64))</f>
        <v/>
      </c>
      <c r="AP64" s="49" t="str">
        <f aca="false">IF(R64="","",MIN(120,IFERROR(S64/R64*100,0)))</f>
        <v/>
      </c>
      <c r="AQ64" s="49" t="str">
        <f aca="false">IF(W64="","",MIN(120,IF(W64=0,120,100*(INDEX('Standards &amp; Scoring'!$E$5:$E$13,MATCH("Quality / Rejection",'Standards &amp; Scoring'!$A$5:$A$13,0))/W64))))</f>
        <v/>
      </c>
      <c r="AR64" s="49" t="str">
        <f aca="false">IF(AG64="","",MIN(120,IF(AG64=0,120,100*(INDEX('Standards &amp; Scoring'!$E$5:$E$13,MATCH("Fault Control",'Standards &amp; Scoring'!$A$5:$A$13,0))/AG64))))</f>
        <v/>
      </c>
      <c r="AS64" s="49" t="str">
        <f aca="false">IF(O64="","",MIN(120,IF(SUMIFS('Fault &amp; Downtime Entry'!$L$6:$L$1005,'Fault &amp; Downtime Entry'!$E$6:$E$1005,G64,'Fault &amp; Downtime Entry'!$B$6:$B$1005,B64)=0,120,100*(INDEX('Standards &amp; Scoring'!$E$5:$E$13,MATCH("Downtime Control",'Standards &amp; Scoring'!$A$5:$A$13,0))/IFERROR(SUMIFS('Fault &amp; Downtime Entry'!$L$6:$L$1005,'Fault &amp; Downtime Entry'!$E$6:$E$1005,G64,'Fault &amp; Downtime Entry'!$B$6:$B$1005,B64)/O64*1000,999999)))))</f>
        <v/>
      </c>
      <c r="AT64" s="49" t="n">
        <f aca="false">IF(COUNTA(AH64,AJ64)=0,"",MIN(120,IF(AND(AH64&lt;&gt;"",AJ64&lt;&gt;""),AVERAGE(AH64,AJ64),IF(AH64&lt;&gt;"",AH64,AJ64))))</f>
        <v>0</v>
      </c>
      <c r="AU64" s="49" t="str">
        <f aca="false">IF(AI64="","",MIN(120,AI64))</f>
        <v/>
      </c>
      <c r="AV64" s="49" t="str">
        <f aca="false">IF(AJ64="","",MIN(120,AJ64))</f>
        <v/>
      </c>
      <c r="AW64" s="50" t="str">
        <f aca="false">IF(COUNT(AN64:AV64)&lt;9,"",(AN64*'Standards &amp; Scoring'!$D$5+AO64*'Standards &amp; Scoring'!$D$6+AP64*'Standards &amp; Scoring'!$D$7+AQ64*'Standards &amp; Scoring'!$D$8+AR64*'Standards &amp; Scoring'!$D$9+AS64*'Standards &amp; Scoring'!$D$10+AT64*'Standards &amp; Scoring'!$D$11+AU64*'Standards &amp; Scoring'!$D$12+AV64*'Standards &amp; Scoring'!$D$13)/10000)</f>
        <v/>
      </c>
      <c r="AX64" s="47" t="str">
        <f aca="false">IF(AW64="","",IF(AW64&gt;=1.05,"A+",IF(AW64&gt;=1,"A",IF(AW64&gt;=0.95,"B+",IF(AW64&gt;=0.9,"B","C")))))</f>
        <v/>
      </c>
      <c r="AY64" s="47" t="str">
        <f aca="false">IF(AX64="","",IF(AX64="A+",1800,IF(AX64="A",1600,IF(AX64="B+",1400,IF(AX64="B",1200,0)))))</f>
        <v/>
      </c>
      <c r="AZ64" s="49" t="str">
        <f aca="false">IF(OR(L64="",M64="",S64="",M64=0),"",IFERROR(L64*60*S64/(M64*36),0))</f>
        <v/>
      </c>
    </row>
    <row r="65" customFormat="false" ht="15" hidden="false" customHeight="true" outlineLevel="0" collapsed="false">
      <c r="A65" s="47" t="n">
        <f aca="false">'Daily KPI Entry'!A66</f>
        <v>0</v>
      </c>
      <c r="B65" s="48" t="n">
        <f aca="false">'Daily KPI Entry'!B66</f>
        <v>0</v>
      </c>
      <c r="C65" s="47" t="n">
        <f aca="false">'Daily KPI Entry'!C66</f>
        <v>0</v>
      </c>
      <c r="D65" s="47" t="n">
        <f aca="false">'Daily KPI Entry'!D66</f>
        <v>0</v>
      </c>
      <c r="E65" s="47" t="n">
        <f aca="false">'Daily KPI Entry'!E66</f>
        <v>0</v>
      </c>
      <c r="F65" s="47" t="n">
        <f aca="false">'Daily KPI Entry'!F66</f>
        <v>0</v>
      </c>
      <c r="G65" s="47" t="n">
        <f aca="false">'Daily KPI Entry'!G66</f>
        <v>0</v>
      </c>
      <c r="H65" s="47" t="str">
        <f aca="false">'Daily KPI Entry'!H66</f>
        <v/>
      </c>
      <c r="I65" s="47" t="n">
        <f aca="false">'Daily KPI Entry'!I66</f>
        <v>0</v>
      </c>
      <c r="J65" s="47" t="n">
        <f aca="false">'Daily KPI Entry'!J66</f>
        <v>0</v>
      </c>
      <c r="K65" s="47" t="n">
        <f aca="false">'Daily KPI Entry'!K66</f>
        <v>0</v>
      </c>
      <c r="L65" s="47" t="n">
        <f aca="false">'Daily KPI Entry'!L66</f>
        <v>0</v>
      </c>
      <c r="M65" s="47" t="n">
        <f aca="false">'Daily KPI Entry'!M66</f>
        <v>0</v>
      </c>
      <c r="N65" s="49" t="n">
        <f aca="false">'Daily KPI Entry'!N66</f>
        <v>0</v>
      </c>
      <c r="O65" s="49" t="n">
        <f aca="false">'Daily KPI Entry'!O66</f>
        <v>0</v>
      </c>
      <c r="P65" s="49" t="str">
        <f aca="false">IF(OR(N65="",O65=""),"",IFERROR(O65/N65*100,0))</f>
        <v/>
      </c>
      <c r="Q65" s="47" t="n">
        <f aca="false">'Daily KPI Entry'!Q66</f>
        <v>8</v>
      </c>
      <c r="R65" s="47" t="str">
        <f aca="false">IF(J65="","",Q65*J65)</f>
        <v/>
      </c>
      <c r="S65" s="49" t="n">
        <f aca="false">'Daily KPI Entry'!S66</f>
        <v>0</v>
      </c>
      <c r="T65" s="49" t="str">
        <f aca="false">IF(OR(R65="",S65=""),"",IFERROR(S65/R65*100,0))</f>
        <v/>
      </c>
      <c r="U65" s="49" t="str">
        <f aca="false">IF(OR(O65="",L65="",M65="",S65="",M65=0),"",IFERROR(O65/(L65*60*S65/(M65*36))*100,0))</f>
        <v/>
      </c>
      <c r="V65" s="49" t="n">
        <f aca="false">'Daily KPI Entry'!V66</f>
        <v>0</v>
      </c>
      <c r="W65" s="49" t="str">
        <f aca="false">IF(O65="","",IFERROR(V65/O65*100,0))</f>
        <v/>
      </c>
      <c r="X65" s="49" t="n">
        <f aca="false">'Daily KPI Entry'!X66</f>
        <v>0</v>
      </c>
      <c r="Y65" s="49" t="n">
        <f aca="false">'Daily KPI Entry'!Y66</f>
        <v>0</v>
      </c>
      <c r="Z65" s="49" t="n">
        <f aca="false">'Daily KPI Entry'!Z66</f>
        <v>0</v>
      </c>
      <c r="AA65" s="49" t="n">
        <f aca="false">'Daily KPI Entry'!AA66</f>
        <v>0</v>
      </c>
      <c r="AB65" s="49" t="n">
        <f aca="false">'Daily KPI Entry'!AB66</f>
        <v>0</v>
      </c>
      <c r="AC65" s="49" t="n">
        <f aca="false">'Daily KPI Entry'!AC66</f>
        <v>0</v>
      </c>
      <c r="AD65" s="49" t="n">
        <f aca="false">'Daily KPI Entry'!AD66</f>
        <v>0</v>
      </c>
      <c r="AE65" s="49" t="n">
        <f aca="false">'Daily KPI Entry'!AE66</f>
        <v>0</v>
      </c>
      <c r="AF65" s="47" t="str">
        <f aca="false">IF(O65="","",SUM(X65:AE65))</f>
        <v/>
      </c>
      <c r="AG65" s="49" t="str">
        <f aca="false">IF(O65="","",IFERROR(AF65/O65*1000,0))</f>
        <v/>
      </c>
      <c r="AH65" s="49" t="n">
        <f aca="false">'Daily KPI Entry'!AH66</f>
        <v>0</v>
      </c>
      <c r="AI65" s="49" t="n">
        <f aca="false">'Daily KPI Entry'!AI66</f>
        <v>0</v>
      </c>
      <c r="AJ65" s="49" t="n">
        <f aca="false">'Daily KPI Entry'!AJ66</f>
        <v>0</v>
      </c>
      <c r="AK65" s="47" t="n">
        <f aca="false">'Daily KPI Entry'!AK66</f>
        <v>0</v>
      </c>
      <c r="AL65" s="47" t="n">
        <f aca="false">'Daily KPI Entry'!AL66</f>
        <v>0</v>
      </c>
      <c r="AM65" s="47" t="n">
        <f aca="false">'Daily KPI Entry'!AM66</f>
        <v>0</v>
      </c>
      <c r="AN65" s="49" t="str">
        <f aca="false">IF(P65="","",MIN(120,P65))</f>
        <v/>
      </c>
      <c r="AO65" s="49" t="str">
        <f aca="false">IF(U65="","",MIN(120,U65))</f>
        <v/>
      </c>
      <c r="AP65" s="49" t="str">
        <f aca="false">IF(R65="","",MIN(120,IFERROR(S65/R65*100,0)))</f>
        <v/>
      </c>
      <c r="AQ65" s="49" t="str">
        <f aca="false">IF(W65="","",MIN(120,IF(W65=0,120,100*(INDEX('Standards &amp; Scoring'!$E$5:$E$13,MATCH("Quality / Rejection",'Standards &amp; Scoring'!$A$5:$A$13,0))/W65))))</f>
        <v/>
      </c>
      <c r="AR65" s="49" t="str">
        <f aca="false">IF(AG65="","",MIN(120,IF(AG65=0,120,100*(INDEX('Standards &amp; Scoring'!$E$5:$E$13,MATCH("Fault Control",'Standards &amp; Scoring'!$A$5:$A$13,0))/AG65))))</f>
        <v/>
      </c>
      <c r="AS65" s="49" t="str">
        <f aca="false">IF(O65="","",MIN(120,IF(SUMIFS('Fault &amp; Downtime Entry'!$L$6:$L$1005,'Fault &amp; Downtime Entry'!$E$6:$E$1005,G65,'Fault &amp; Downtime Entry'!$B$6:$B$1005,B65)=0,120,100*(INDEX('Standards &amp; Scoring'!$E$5:$E$13,MATCH("Downtime Control",'Standards &amp; Scoring'!$A$5:$A$13,0))/IFERROR(SUMIFS('Fault &amp; Downtime Entry'!$L$6:$L$1005,'Fault &amp; Downtime Entry'!$E$6:$E$1005,G65,'Fault &amp; Downtime Entry'!$B$6:$B$1005,B65)/O65*1000,999999)))))</f>
        <v/>
      </c>
      <c r="AT65" s="49" t="n">
        <f aca="false">IF(COUNTA(AH65,AJ65)=0,"",MIN(120,IF(AND(AH65&lt;&gt;"",AJ65&lt;&gt;""),AVERAGE(AH65,AJ65),IF(AH65&lt;&gt;"",AH65,AJ65))))</f>
        <v>0</v>
      </c>
      <c r="AU65" s="49" t="str">
        <f aca="false">IF(AI65="","",MIN(120,AI65))</f>
        <v/>
      </c>
      <c r="AV65" s="49" t="str">
        <f aca="false">IF(AJ65="","",MIN(120,AJ65))</f>
        <v/>
      </c>
      <c r="AW65" s="50" t="str">
        <f aca="false">IF(COUNT(AN65:AV65)&lt;9,"",(AN65*'Standards &amp; Scoring'!$D$5+AO65*'Standards &amp; Scoring'!$D$6+AP65*'Standards &amp; Scoring'!$D$7+AQ65*'Standards &amp; Scoring'!$D$8+AR65*'Standards &amp; Scoring'!$D$9+AS65*'Standards &amp; Scoring'!$D$10+AT65*'Standards &amp; Scoring'!$D$11+AU65*'Standards &amp; Scoring'!$D$12+AV65*'Standards &amp; Scoring'!$D$13)/10000)</f>
        <v/>
      </c>
      <c r="AX65" s="47" t="str">
        <f aca="false">IF(AW65="","",IF(AW65&gt;=1.05,"A+",IF(AW65&gt;=1,"A",IF(AW65&gt;=0.95,"B+",IF(AW65&gt;=0.9,"B","C")))))</f>
        <v/>
      </c>
      <c r="AY65" s="47" t="str">
        <f aca="false">IF(AX65="","",IF(AX65="A+",1800,IF(AX65="A",1600,IF(AX65="B+",1400,IF(AX65="B",1200,0)))))</f>
        <v/>
      </c>
      <c r="AZ65" s="49" t="str">
        <f aca="false">IF(OR(L65="",M65="",S65="",M65=0),"",IFERROR(L65*60*S65/(M65*36),0))</f>
        <v/>
      </c>
    </row>
    <row r="66" customFormat="false" ht="15" hidden="false" customHeight="true" outlineLevel="0" collapsed="false">
      <c r="A66" s="47" t="n">
        <f aca="false">'Daily KPI Entry'!A67</f>
        <v>0</v>
      </c>
      <c r="B66" s="48" t="n">
        <f aca="false">'Daily KPI Entry'!B67</f>
        <v>0</v>
      </c>
      <c r="C66" s="47" t="n">
        <f aca="false">'Daily KPI Entry'!C67</f>
        <v>0</v>
      </c>
      <c r="D66" s="47" t="n">
        <f aca="false">'Daily KPI Entry'!D67</f>
        <v>0</v>
      </c>
      <c r="E66" s="47" t="n">
        <f aca="false">'Daily KPI Entry'!E67</f>
        <v>0</v>
      </c>
      <c r="F66" s="47" t="n">
        <f aca="false">'Daily KPI Entry'!F67</f>
        <v>0</v>
      </c>
      <c r="G66" s="47" t="n">
        <f aca="false">'Daily KPI Entry'!G67</f>
        <v>0</v>
      </c>
      <c r="H66" s="47" t="str">
        <f aca="false">'Daily KPI Entry'!H67</f>
        <v/>
      </c>
      <c r="I66" s="47" t="n">
        <f aca="false">'Daily KPI Entry'!I67</f>
        <v>0</v>
      </c>
      <c r="J66" s="47" t="n">
        <f aca="false">'Daily KPI Entry'!J67</f>
        <v>0</v>
      </c>
      <c r="K66" s="47" t="n">
        <f aca="false">'Daily KPI Entry'!K67</f>
        <v>0</v>
      </c>
      <c r="L66" s="47" t="n">
        <f aca="false">'Daily KPI Entry'!L67</f>
        <v>0</v>
      </c>
      <c r="M66" s="47" t="n">
        <f aca="false">'Daily KPI Entry'!M67</f>
        <v>0</v>
      </c>
      <c r="N66" s="49" t="n">
        <f aca="false">'Daily KPI Entry'!N67</f>
        <v>0</v>
      </c>
      <c r="O66" s="49" t="n">
        <f aca="false">'Daily KPI Entry'!O67</f>
        <v>0</v>
      </c>
      <c r="P66" s="49" t="str">
        <f aca="false">IF(OR(N66="",O66=""),"",IFERROR(O66/N66*100,0))</f>
        <v/>
      </c>
      <c r="Q66" s="47" t="n">
        <f aca="false">'Daily KPI Entry'!Q67</f>
        <v>8</v>
      </c>
      <c r="R66" s="47" t="str">
        <f aca="false">IF(J66="","",Q66*J66)</f>
        <v/>
      </c>
      <c r="S66" s="49" t="n">
        <f aca="false">'Daily KPI Entry'!S67</f>
        <v>0</v>
      </c>
      <c r="T66" s="49" t="str">
        <f aca="false">IF(OR(R66="",S66=""),"",IFERROR(S66/R66*100,0))</f>
        <v/>
      </c>
      <c r="U66" s="49" t="str">
        <f aca="false">IF(OR(O66="",L66="",M66="",S66="",M66=0),"",IFERROR(O66/(L66*60*S66/(M66*36))*100,0))</f>
        <v/>
      </c>
      <c r="V66" s="49" t="n">
        <f aca="false">'Daily KPI Entry'!V67</f>
        <v>0</v>
      </c>
      <c r="W66" s="49" t="str">
        <f aca="false">IF(O66="","",IFERROR(V66/O66*100,0))</f>
        <v/>
      </c>
      <c r="X66" s="49" t="n">
        <f aca="false">'Daily KPI Entry'!X67</f>
        <v>0</v>
      </c>
      <c r="Y66" s="49" t="n">
        <f aca="false">'Daily KPI Entry'!Y67</f>
        <v>0</v>
      </c>
      <c r="Z66" s="49" t="n">
        <f aca="false">'Daily KPI Entry'!Z67</f>
        <v>0</v>
      </c>
      <c r="AA66" s="49" t="n">
        <f aca="false">'Daily KPI Entry'!AA67</f>
        <v>0</v>
      </c>
      <c r="AB66" s="49" t="n">
        <f aca="false">'Daily KPI Entry'!AB67</f>
        <v>0</v>
      </c>
      <c r="AC66" s="49" t="n">
        <f aca="false">'Daily KPI Entry'!AC67</f>
        <v>0</v>
      </c>
      <c r="AD66" s="49" t="n">
        <f aca="false">'Daily KPI Entry'!AD67</f>
        <v>0</v>
      </c>
      <c r="AE66" s="49" t="n">
        <f aca="false">'Daily KPI Entry'!AE67</f>
        <v>0</v>
      </c>
      <c r="AF66" s="47" t="str">
        <f aca="false">IF(O66="","",SUM(X66:AE66))</f>
        <v/>
      </c>
      <c r="AG66" s="49" t="str">
        <f aca="false">IF(O66="","",IFERROR(AF66/O66*1000,0))</f>
        <v/>
      </c>
      <c r="AH66" s="49" t="n">
        <f aca="false">'Daily KPI Entry'!AH67</f>
        <v>0</v>
      </c>
      <c r="AI66" s="49" t="n">
        <f aca="false">'Daily KPI Entry'!AI67</f>
        <v>0</v>
      </c>
      <c r="AJ66" s="49" t="n">
        <f aca="false">'Daily KPI Entry'!AJ67</f>
        <v>0</v>
      </c>
      <c r="AK66" s="47" t="n">
        <f aca="false">'Daily KPI Entry'!AK67</f>
        <v>0</v>
      </c>
      <c r="AL66" s="47" t="n">
        <f aca="false">'Daily KPI Entry'!AL67</f>
        <v>0</v>
      </c>
      <c r="AM66" s="47" t="n">
        <f aca="false">'Daily KPI Entry'!AM67</f>
        <v>0</v>
      </c>
      <c r="AN66" s="49" t="str">
        <f aca="false">IF(P66="","",MIN(120,P66))</f>
        <v/>
      </c>
      <c r="AO66" s="49" t="str">
        <f aca="false">IF(U66="","",MIN(120,U66))</f>
        <v/>
      </c>
      <c r="AP66" s="49" t="str">
        <f aca="false">IF(R66="","",MIN(120,IFERROR(S66/R66*100,0)))</f>
        <v/>
      </c>
      <c r="AQ66" s="49" t="str">
        <f aca="false">IF(W66="","",MIN(120,IF(W66=0,120,100*(INDEX('Standards &amp; Scoring'!$E$5:$E$13,MATCH("Quality / Rejection",'Standards &amp; Scoring'!$A$5:$A$13,0))/W66))))</f>
        <v/>
      </c>
      <c r="AR66" s="49" t="str">
        <f aca="false">IF(AG66="","",MIN(120,IF(AG66=0,120,100*(INDEX('Standards &amp; Scoring'!$E$5:$E$13,MATCH("Fault Control",'Standards &amp; Scoring'!$A$5:$A$13,0))/AG66))))</f>
        <v/>
      </c>
      <c r="AS66" s="49" t="str">
        <f aca="false">IF(O66="","",MIN(120,IF(SUMIFS('Fault &amp; Downtime Entry'!$L$6:$L$1005,'Fault &amp; Downtime Entry'!$E$6:$E$1005,G66,'Fault &amp; Downtime Entry'!$B$6:$B$1005,B66)=0,120,100*(INDEX('Standards &amp; Scoring'!$E$5:$E$13,MATCH("Downtime Control",'Standards &amp; Scoring'!$A$5:$A$13,0))/IFERROR(SUMIFS('Fault &amp; Downtime Entry'!$L$6:$L$1005,'Fault &amp; Downtime Entry'!$E$6:$E$1005,G66,'Fault &amp; Downtime Entry'!$B$6:$B$1005,B66)/O66*1000,999999)))))</f>
        <v/>
      </c>
      <c r="AT66" s="49" t="n">
        <f aca="false">IF(COUNTA(AH66,AJ66)=0,"",MIN(120,IF(AND(AH66&lt;&gt;"",AJ66&lt;&gt;""),AVERAGE(AH66,AJ66),IF(AH66&lt;&gt;"",AH66,AJ66))))</f>
        <v>0</v>
      </c>
      <c r="AU66" s="49" t="str">
        <f aca="false">IF(AI66="","",MIN(120,AI66))</f>
        <v/>
      </c>
      <c r="AV66" s="49" t="str">
        <f aca="false">IF(AJ66="","",MIN(120,AJ66))</f>
        <v/>
      </c>
      <c r="AW66" s="50" t="str">
        <f aca="false">IF(COUNT(AN66:AV66)&lt;9,"",(AN66*'Standards &amp; Scoring'!$D$5+AO66*'Standards &amp; Scoring'!$D$6+AP66*'Standards &amp; Scoring'!$D$7+AQ66*'Standards &amp; Scoring'!$D$8+AR66*'Standards &amp; Scoring'!$D$9+AS66*'Standards &amp; Scoring'!$D$10+AT66*'Standards &amp; Scoring'!$D$11+AU66*'Standards &amp; Scoring'!$D$12+AV66*'Standards &amp; Scoring'!$D$13)/10000)</f>
        <v/>
      </c>
      <c r="AX66" s="47" t="str">
        <f aca="false">IF(AW66="","",IF(AW66&gt;=1.05,"A+",IF(AW66&gt;=1,"A",IF(AW66&gt;=0.95,"B+",IF(AW66&gt;=0.9,"B","C")))))</f>
        <v/>
      </c>
      <c r="AY66" s="47" t="str">
        <f aca="false">IF(AX66="","",IF(AX66="A+",1800,IF(AX66="A",1600,IF(AX66="B+",1400,IF(AX66="B",1200,0)))))</f>
        <v/>
      </c>
      <c r="AZ66" s="49" t="str">
        <f aca="false">IF(OR(L66="",M66="",S66="",M66=0),"",IFERROR(L66*60*S66/(M66*36),0))</f>
        <v/>
      </c>
    </row>
    <row r="67" customFormat="false" ht="15" hidden="false" customHeight="true" outlineLevel="0" collapsed="false">
      <c r="A67" s="47" t="n">
        <f aca="false">'Daily KPI Entry'!A68</f>
        <v>0</v>
      </c>
      <c r="B67" s="48" t="n">
        <f aca="false">'Daily KPI Entry'!B68</f>
        <v>0</v>
      </c>
      <c r="C67" s="47" t="n">
        <f aca="false">'Daily KPI Entry'!C68</f>
        <v>0</v>
      </c>
      <c r="D67" s="47" t="n">
        <f aca="false">'Daily KPI Entry'!D68</f>
        <v>0</v>
      </c>
      <c r="E67" s="47" t="n">
        <f aca="false">'Daily KPI Entry'!E68</f>
        <v>0</v>
      </c>
      <c r="F67" s="47" t="n">
        <f aca="false">'Daily KPI Entry'!F68</f>
        <v>0</v>
      </c>
      <c r="G67" s="47" t="n">
        <f aca="false">'Daily KPI Entry'!G68</f>
        <v>0</v>
      </c>
      <c r="H67" s="47" t="str">
        <f aca="false">'Daily KPI Entry'!H68</f>
        <v/>
      </c>
      <c r="I67" s="47" t="n">
        <f aca="false">'Daily KPI Entry'!I68</f>
        <v>0</v>
      </c>
      <c r="J67" s="47" t="n">
        <f aca="false">'Daily KPI Entry'!J68</f>
        <v>0</v>
      </c>
      <c r="K67" s="47" t="n">
        <f aca="false">'Daily KPI Entry'!K68</f>
        <v>0</v>
      </c>
      <c r="L67" s="47" t="n">
        <f aca="false">'Daily KPI Entry'!L68</f>
        <v>0</v>
      </c>
      <c r="M67" s="47" t="n">
        <f aca="false">'Daily KPI Entry'!M68</f>
        <v>0</v>
      </c>
      <c r="N67" s="49" t="n">
        <f aca="false">'Daily KPI Entry'!N68</f>
        <v>0</v>
      </c>
      <c r="O67" s="49" t="n">
        <f aca="false">'Daily KPI Entry'!O68</f>
        <v>0</v>
      </c>
      <c r="P67" s="49" t="str">
        <f aca="false">IF(OR(N67="",O67=""),"",IFERROR(O67/N67*100,0))</f>
        <v/>
      </c>
      <c r="Q67" s="47" t="n">
        <f aca="false">'Daily KPI Entry'!Q68</f>
        <v>8</v>
      </c>
      <c r="R67" s="47" t="str">
        <f aca="false">IF(J67="","",Q67*J67)</f>
        <v/>
      </c>
      <c r="S67" s="49" t="n">
        <f aca="false">'Daily KPI Entry'!S68</f>
        <v>0</v>
      </c>
      <c r="T67" s="49" t="str">
        <f aca="false">IF(OR(R67="",S67=""),"",IFERROR(S67/R67*100,0))</f>
        <v/>
      </c>
      <c r="U67" s="49" t="str">
        <f aca="false">IF(OR(O67="",L67="",M67="",S67="",M67=0),"",IFERROR(O67/(L67*60*S67/(M67*36))*100,0))</f>
        <v/>
      </c>
      <c r="V67" s="49" t="n">
        <f aca="false">'Daily KPI Entry'!V68</f>
        <v>0</v>
      </c>
      <c r="W67" s="49" t="str">
        <f aca="false">IF(O67="","",IFERROR(V67/O67*100,0))</f>
        <v/>
      </c>
      <c r="X67" s="49" t="n">
        <f aca="false">'Daily KPI Entry'!X68</f>
        <v>0</v>
      </c>
      <c r="Y67" s="49" t="n">
        <f aca="false">'Daily KPI Entry'!Y68</f>
        <v>0</v>
      </c>
      <c r="Z67" s="49" t="n">
        <f aca="false">'Daily KPI Entry'!Z68</f>
        <v>0</v>
      </c>
      <c r="AA67" s="49" t="n">
        <f aca="false">'Daily KPI Entry'!AA68</f>
        <v>0</v>
      </c>
      <c r="AB67" s="49" t="n">
        <f aca="false">'Daily KPI Entry'!AB68</f>
        <v>0</v>
      </c>
      <c r="AC67" s="49" t="n">
        <f aca="false">'Daily KPI Entry'!AC68</f>
        <v>0</v>
      </c>
      <c r="AD67" s="49" t="n">
        <f aca="false">'Daily KPI Entry'!AD68</f>
        <v>0</v>
      </c>
      <c r="AE67" s="49" t="n">
        <f aca="false">'Daily KPI Entry'!AE68</f>
        <v>0</v>
      </c>
      <c r="AF67" s="47" t="str">
        <f aca="false">IF(O67="","",SUM(X67:AE67))</f>
        <v/>
      </c>
      <c r="AG67" s="49" t="str">
        <f aca="false">IF(O67="","",IFERROR(AF67/O67*1000,0))</f>
        <v/>
      </c>
      <c r="AH67" s="49" t="n">
        <f aca="false">'Daily KPI Entry'!AH68</f>
        <v>0</v>
      </c>
      <c r="AI67" s="49" t="n">
        <f aca="false">'Daily KPI Entry'!AI68</f>
        <v>0</v>
      </c>
      <c r="AJ67" s="49" t="n">
        <f aca="false">'Daily KPI Entry'!AJ68</f>
        <v>0</v>
      </c>
      <c r="AK67" s="47" t="n">
        <f aca="false">'Daily KPI Entry'!AK68</f>
        <v>0</v>
      </c>
      <c r="AL67" s="47" t="n">
        <f aca="false">'Daily KPI Entry'!AL68</f>
        <v>0</v>
      </c>
      <c r="AM67" s="47" t="n">
        <f aca="false">'Daily KPI Entry'!AM68</f>
        <v>0</v>
      </c>
      <c r="AN67" s="49" t="str">
        <f aca="false">IF(P67="","",MIN(120,P67))</f>
        <v/>
      </c>
      <c r="AO67" s="49" t="str">
        <f aca="false">IF(U67="","",MIN(120,U67))</f>
        <v/>
      </c>
      <c r="AP67" s="49" t="str">
        <f aca="false">IF(R67="","",MIN(120,IFERROR(S67/R67*100,0)))</f>
        <v/>
      </c>
      <c r="AQ67" s="49" t="str">
        <f aca="false">IF(W67="","",MIN(120,IF(W67=0,120,100*(INDEX('Standards &amp; Scoring'!$E$5:$E$13,MATCH("Quality / Rejection",'Standards &amp; Scoring'!$A$5:$A$13,0))/W67))))</f>
        <v/>
      </c>
      <c r="AR67" s="49" t="str">
        <f aca="false">IF(AG67="","",MIN(120,IF(AG67=0,120,100*(INDEX('Standards &amp; Scoring'!$E$5:$E$13,MATCH("Fault Control",'Standards &amp; Scoring'!$A$5:$A$13,0))/AG67))))</f>
        <v/>
      </c>
      <c r="AS67" s="49" t="str">
        <f aca="false">IF(O67="","",MIN(120,IF(SUMIFS('Fault &amp; Downtime Entry'!$L$6:$L$1005,'Fault &amp; Downtime Entry'!$E$6:$E$1005,G67,'Fault &amp; Downtime Entry'!$B$6:$B$1005,B67)=0,120,100*(INDEX('Standards &amp; Scoring'!$E$5:$E$13,MATCH("Downtime Control",'Standards &amp; Scoring'!$A$5:$A$13,0))/IFERROR(SUMIFS('Fault &amp; Downtime Entry'!$L$6:$L$1005,'Fault &amp; Downtime Entry'!$E$6:$E$1005,G67,'Fault &amp; Downtime Entry'!$B$6:$B$1005,B67)/O67*1000,999999)))))</f>
        <v/>
      </c>
      <c r="AT67" s="49" t="n">
        <f aca="false">IF(COUNTA(AH67,AJ67)=0,"",MIN(120,IF(AND(AH67&lt;&gt;"",AJ67&lt;&gt;""),AVERAGE(AH67,AJ67),IF(AH67&lt;&gt;"",AH67,AJ67))))</f>
        <v>0</v>
      </c>
      <c r="AU67" s="49" t="str">
        <f aca="false">IF(AI67="","",MIN(120,AI67))</f>
        <v/>
      </c>
      <c r="AV67" s="49" t="str">
        <f aca="false">IF(AJ67="","",MIN(120,AJ67))</f>
        <v/>
      </c>
      <c r="AW67" s="50" t="str">
        <f aca="false">IF(COUNT(AN67:AV67)&lt;9,"",(AN67*'Standards &amp; Scoring'!$D$5+AO67*'Standards &amp; Scoring'!$D$6+AP67*'Standards &amp; Scoring'!$D$7+AQ67*'Standards &amp; Scoring'!$D$8+AR67*'Standards &amp; Scoring'!$D$9+AS67*'Standards &amp; Scoring'!$D$10+AT67*'Standards &amp; Scoring'!$D$11+AU67*'Standards &amp; Scoring'!$D$12+AV67*'Standards &amp; Scoring'!$D$13)/10000)</f>
        <v/>
      </c>
      <c r="AX67" s="47" t="str">
        <f aca="false">IF(AW67="","",IF(AW67&gt;=1.05,"A+",IF(AW67&gt;=1,"A",IF(AW67&gt;=0.95,"B+",IF(AW67&gt;=0.9,"B","C")))))</f>
        <v/>
      </c>
      <c r="AY67" s="47" t="str">
        <f aca="false">IF(AX67="","",IF(AX67="A+",1800,IF(AX67="A",1600,IF(AX67="B+",1400,IF(AX67="B",1200,0)))))</f>
        <v/>
      </c>
      <c r="AZ67" s="49" t="str">
        <f aca="false">IF(OR(L67="",M67="",S67="",M67=0),"",IFERROR(L67*60*S67/(M67*36),0))</f>
        <v/>
      </c>
    </row>
    <row r="68" customFormat="false" ht="15" hidden="false" customHeight="true" outlineLevel="0" collapsed="false">
      <c r="A68" s="47" t="n">
        <f aca="false">'Daily KPI Entry'!A69</f>
        <v>0</v>
      </c>
      <c r="B68" s="48" t="n">
        <f aca="false">'Daily KPI Entry'!B69</f>
        <v>0</v>
      </c>
      <c r="C68" s="47" t="n">
        <f aca="false">'Daily KPI Entry'!C69</f>
        <v>0</v>
      </c>
      <c r="D68" s="47" t="n">
        <f aca="false">'Daily KPI Entry'!D69</f>
        <v>0</v>
      </c>
      <c r="E68" s="47" t="n">
        <f aca="false">'Daily KPI Entry'!E69</f>
        <v>0</v>
      </c>
      <c r="F68" s="47" t="n">
        <f aca="false">'Daily KPI Entry'!F69</f>
        <v>0</v>
      </c>
      <c r="G68" s="47" t="n">
        <f aca="false">'Daily KPI Entry'!G69</f>
        <v>0</v>
      </c>
      <c r="H68" s="47" t="str">
        <f aca="false">'Daily KPI Entry'!H69</f>
        <v/>
      </c>
      <c r="I68" s="47" t="n">
        <f aca="false">'Daily KPI Entry'!I69</f>
        <v>0</v>
      </c>
      <c r="J68" s="47" t="n">
        <f aca="false">'Daily KPI Entry'!J69</f>
        <v>0</v>
      </c>
      <c r="K68" s="47" t="n">
        <f aca="false">'Daily KPI Entry'!K69</f>
        <v>0</v>
      </c>
      <c r="L68" s="47" t="n">
        <f aca="false">'Daily KPI Entry'!L69</f>
        <v>0</v>
      </c>
      <c r="M68" s="47" t="n">
        <f aca="false">'Daily KPI Entry'!M69</f>
        <v>0</v>
      </c>
      <c r="N68" s="49" t="n">
        <f aca="false">'Daily KPI Entry'!N69</f>
        <v>0</v>
      </c>
      <c r="O68" s="49" t="n">
        <f aca="false">'Daily KPI Entry'!O69</f>
        <v>0</v>
      </c>
      <c r="P68" s="49" t="str">
        <f aca="false">IF(OR(N68="",O68=""),"",IFERROR(O68/N68*100,0))</f>
        <v/>
      </c>
      <c r="Q68" s="47" t="n">
        <f aca="false">'Daily KPI Entry'!Q69</f>
        <v>8</v>
      </c>
      <c r="R68" s="47" t="str">
        <f aca="false">IF(J68="","",Q68*J68)</f>
        <v/>
      </c>
      <c r="S68" s="49" t="n">
        <f aca="false">'Daily KPI Entry'!S69</f>
        <v>0</v>
      </c>
      <c r="T68" s="49" t="str">
        <f aca="false">IF(OR(R68="",S68=""),"",IFERROR(S68/R68*100,0))</f>
        <v/>
      </c>
      <c r="U68" s="49" t="str">
        <f aca="false">IF(OR(O68="",L68="",M68="",S68="",M68=0),"",IFERROR(O68/(L68*60*S68/(M68*36))*100,0))</f>
        <v/>
      </c>
      <c r="V68" s="49" t="n">
        <f aca="false">'Daily KPI Entry'!V69</f>
        <v>0</v>
      </c>
      <c r="W68" s="49" t="str">
        <f aca="false">IF(O68="","",IFERROR(V68/O68*100,0))</f>
        <v/>
      </c>
      <c r="X68" s="49" t="n">
        <f aca="false">'Daily KPI Entry'!X69</f>
        <v>0</v>
      </c>
      <c r="Y68" s="49" t="n">
        <f aca="false">'Daily KPI Entry'!Y69</f>
        <v>0</v>
      </c>
      <c r="Z68" s="49" t="n">
        <f aca="false">'Daily KPI Entry'!Z69</f>
        <v>0</v>
      </c>
      <c r="AA68" s="49" t="n">
        <f aca="false">'Daily KPI Entry'!AA69</f>
        <v>0</v>
      </c>
      <c r="AB68" s="49" t="n">
        <f aca="false">'Daily KPI Entry'!AB69</f>
        <v>0</v>
      </c>
      <c r="AC68" s="49" t="n">
        <f aca="false">'Daily KPI Entry'!AC69</f>
        <v>0</v>
      </c>
      <c r="AD68" s="49" t="n">
        <f aca="false">'Daily KPI Entry'!AD69</f>
        <v>0</v>
      </c>
      <c r="AE68" s="49" t="n">
        <f aca="false">'Daily KPI Entry'!AE69</f>
        <v>0</v>
      </c>
      <c r="AF68" s="47" t="str">
        <f aca="false">IF(O68="","",SUM(X68:AE68))</f>
        <v/>
      </c>
      <c r="AG68" s="49" t="str">
        <f aca="false">IF(O68="","",IFERROR(AF68/O68*1000,0))</f>
        <v/>
      </c>
      <c r="AH68" s="49" t="n">
        <f aca="false">'Daily KPI Entry'!AH69</f>
        <v>0</v>
      </c>
      <c r="AI68" s="49" t="n">
        <f aca="false">'Daily KPI Entry'!AI69</f>
        <v>0</v>
      </c>
      <c r="AJ68" s="49" t="n">
        <f aca="false">'Daily KPI Entry'!AJ69</f>
        <v>0</v>
      </c>
      <c r="AK68" s="47" t="n">
        <f aca="false">'Daily KPI Entry'!AK69</f>
        <v>0</v>
      </c>
      <c r="AL68" s="47" t="n">
        <f aca="false">'Daily KPI Entry'!AL69</f>
        <v>0</v>
      </c>
      <c r="AM68" s="47" t="n">
        <f aca="false">'Daily KPI Entry'!AM69</f>
        <v>0</v>
      </c>
      <c r="AN68" s="49" t="str">
        <f aca="false">IF(P68="","",MIN(120,P68))</f>
        <v/>
      </c>
      <c r="AO68" s="49" t="str">
        <f aca="false">IF(U68="","",MIN(120,U68))</f>
        <v/>
      </c>
      <c r="AP68" s="49" t="str">
        <f aca="false">IF(R68="","",MIN(120,IFERROR(S68/R68*100,0)))</f>
        <v/>
      </c>
      <c r="AQ68" s="49" t="str">
        <f aca="false">IF(W68="","",MIN(120,IF(W68=0,120,100*(INDEX('Standards &amp; Scoring'!$E$5:$E$13,MATCH("Quality / Rejection",'Standards &amp; Scoring'!$A$5:$A$13,0))/W68))))</f>
        <v/>
      </c>
      <c r="AR68" s="49" t="str">
        <f aca="false">IF(AG68="","",MIN(120,IF(AG68=0,120,100*(INDEX('Standards &amp; Scoring'!$E$5:$E$13,MATCH("Fault Control",'Standards &amp; Scoring'!$A$5:$A$13,0))/AG68))))</f>
        <v/>
      </c>
      <c r="AS68" s="49" t="str">
        <f aca="false">IF(O68="","",MIN(120,IF(SUMIFS('Fault &amp; Downtime Entry'!$L$6:$L$1005,'Fault &amp; Downtime Entry'!$E$6:$E$1005,G68,'Fault &amp; Downtime Entry'!$B$6:$B$1005,B68)=0,120,100*(INDEX('Standards &amp; Scoring'!$E$5:$E$13,MATCH("Downtime Control",'Standards &amp; Scoring'!$A$5:$A$13,0))/IFERROR(SUMIFS('Fault &amp; Downtime Entry'!$L$6:$L$1005,'Fault &amp; Downtime Entry'!$E$6:$E$1005,G68,'Fault &amp; Downtime Entry'!$B$6:$B$1005,B68)/O68*1000,999999)))))</f>
        <v/>
      </c>
      <c r="AT68" s="49" t="n">
        <f aca="false">IF(COUNTA(AH68,AJ68)=0,"",MIN(120,IF(AND(AH68&lt;&gt;"",AJ68&lt;&gt;""),AVERAGE(AH68,AJ68),IF(AH68&lt;&gt;"",AH68,AJ68))))</f>
        <v>0</v>
      </c>
      <c r="AU68" s="49" t="str">
        <f aca="false">IF(AI68="","",MIN(120,AI68))</f>
        <v/>
      </c>
      <c r="AV68" s="49" t="str">
        <f aca="false">IF(AJ68="","",MIN(120,AJ68))</f>
        <v/>
      </c>
      <c r="AW68" s="50" t="str">
        <f aca="false">IF(COUNT(AN68:AV68)&lt;9,"",(AN68*'Standards &amp; Scoring'!$D$5+AO68*'Standards &amp; Scoring'!$D$6+AP68*'Standards &amp; Scoring'!$D$7+AQ68*'Standards &amp; Scoring'!$D$8+AR68*'Standards &amp; Scoring'!$D$9+AS68*'Standards &amp; Scoring'!$D$10+AT68*'Standards &amp; Scoring'!$D$11+AU68*'Standards &amp; Scoring'!$D$12+AV68*'Standards &amp; Scoring'!$D$13)/10000)</f>
        <v/>
      </c>
      <c r="AX68" s="47" t="str">
        <f aca="false">IF(AW68="","",IF(AW68&gt;=1.05,"A+",IF(AW68&gt;=1,"A",IF(AW68&gt;=0.95,"B+",IF(AW68&gt;=0.9,"B","C")))))</f>
        <v/>
      </c>
      <c r="AY68" s="47" t="str">
        <f aca="false">IF(AX68="","",IF(AX68="A+",1800,IF(AX68="A",1600,IF(AX68="B+",1400,IF(AX68="B",1200,0)))))</f>
        <v/>
      </c>
      <c r="AZ68" s="49" t="str">
        <f aca="false">IF(OR(L68="",M68="",S68="",M68=0),"",IFERROR(L68*60*S68/(M68*36),0))</f>
        <v/>
      </c>
    </row>
    <row r="69" customFormat="false" ht="15" hidden="false" customHeight="true" outlineLevel="0" collapsed="false">
      <c r="A69" s="47" t="n">
        <f aca="false">'Daily KPI Entry'!A70</f>
        <v>0</v>
      </c>
      <c r="B69" s="48" t="n">
        <f aca="false">'Daily KPI Entry'!B70</f>
        <v>0</v>
      </c>
      <c r="C69" s="47" t="n">
        <f aca="false">'Daily KPI Entry'!C70</f>
        <v>0</v>
      </c>
      <c r="D69" s="47" t="n">
        <f aca="false">'Daily KPI Entry'!D70</f>
        <v>0</v>
      </c>
      <c r="E69" s="47" t="n">
        <f aca="false">'Daily KPI Entry'!E70</f>
        <v>0</v>
      </c>
      <c r="F69" s="47" t="n">
        <f aca="false">'Daily KPI Entry'!F70</f>
        <v>0</v>
      </c>
      <c r="G69" s="47" t="n">
        <f aca="false">'Daily KPI Entry'!G70</f>
        <v>0</v>
      </c>
      <c r="H69" s="47" t="str">
        <f aca="false">'Daily KPI Entry'!H70</f>
        <v/>
      </c>
      <c r="I69" s="47" t="n">
        <f aca="false">'Daily KPI Entry'!I70</f>
        <v>0</v>
      </c>
      <c r="J69" s="47" t="n">
        <f aca="false">'Daily KPI Entry'!J70</f>
        <v>0</v>
      </c>
      <c r="K69" s="47" t="n">
        <f aca="false">'Daily KPI Entry'!K70</f>
        <v>0</v>
      </c>
      <c r="L69" s="47" t="n">
        <f aca="false">'Daily KPI Entry'!L70</f>
        <v>0</v>
      </c>
      <c r="M69" s="47" t="n">
        <f aca="false">'Daily KPI Entry'!M70</f>
        <v>0</v>
      </c>
      <c r="N69" s="49" t="n">
        <f aca="false">'Daily KPI Entry'!N70</f>
        <v>0</v>
      </c>
      <c r="O69" s="49" t="n">
        <f aca="false">'Daily KPI Entry'!O70</f>
        <v>0</v>
      </c>
      <c r="P69" s="49" t="str">
        <f aca="false">IF(OR(N69="",O69=""),"",IFERROR(O69/N69*100,0))</f>
        <v/>
      </c>
      <c r="Q69" s="47" t="n">
        <f aca="false">'Daily KPI Entry'!Q70</f>
        <v>8</v>
      </c>
      <c r="R69" s="47" t="str">
        <f aca="false">IF(J69="","",Q69*J69)</f>
        <v/>
      </c>
      <c r="S69" s="49" t="n">
        <f aca="false">'Daily KPI Entry'!S70</f>
        <v>0</v>
      </c>
      <c r="T69" s="49" t="str">
        <f aca="false">IF(OR(R69="",S69=""),"",IFERROR(S69/R69*100,0))</f>
        <v/>
      </c>
      <c r="U69" s="49" t="str">
        <f aca="false">IF(OR(O69="",L69="",M69="",S69="",M69=0),"",IFERROR(O69/(L69*60*S69/(M69*36))*100,0))</f>
        <v/>
      </c>
      <c r="V69" s="49" t="n">
        <f aca="false">'Daily KPI Entry'!V70</f>
        <v>0</v>
      </c>
      <c r="W69" s="49" t="str">
        <f aca="false">IF(O69="","",IFERROR(V69/O69*100,0))</f>
        <v/>
      </c>
      <c r="X69" s="49" t="n">
        <f aca="false">'Daily KPI Entry'!X70</f>
        <v>0</v>
      </c>
      <c r="Y69" s="49" t="n">
        <f aca="false">'Daily KPI Entry'!Y70</f>
        <v>0</v>
      </c>
      <c r="Z69" s="49" t="n">
        <f aca="false">'Daily KPI Entry'!Z70</f>
        <v>0</v>
      </c>
      <c r="AA69" s="49" t="n">
        <f aca="false">'Daily KPI Entry'!AA70</f>
        <v>0</v>
      </c>
      <c r="AB69" s="49" t="n">
        <f aca="false">'Daily KPI Entry'!AB70</f>
        <v>0</v>
      </c>
      <c r="AC69" s="49" t="n">
        <f aca="false">'Daily KPI Entry'!AC70</f>
        <v>0</v>
      </c>
      <c r="AD69" s="49" t="n">
        <f aca="false">'Daily KPI Entry'!AD70</f>
        <v>0</v>
      </c>
      <c r="AE69" s="49" t="n">
        <f aca="false">'Daily KPI Entry'!AE70</f>
        <v>0</v>
      </c>
      <c r="AF69" s="47" t="str">
        <f aca="false">IF(O69="","",SUM(X69:AE69))</f>
        <v/>
      </c>
      <c r="AG69" s="49" t="str">
        <f aca="false">IF(O69="","",IFERROR(AF69/O69*1000,0))</f>
        <v/>
      </c>
      <c r="AH69" s="49" t="n">
        <f aca="false">'Daily KPI Entry'!AH70</f>
        <v>0</v>
      </c>
      <c r="AI69" s="49" t="n">
        <f aca="false">'Daily KPI Entry'!AI70</f>
        <v>0</v>
      </c>
      <c r="AJ69" s="49" t="n">
        <f aca="false">'Daily KPI Entry'!AJ70</f>
        <v>0</v>
      </c>
      <c r="AK69" s="47" t="n">
        <f aca="false">'Daily KPI Entry'!AK70</f>
        <v>0</v>
      </c>
      <c r="AL69" s="47" t="n">
        <f aca="false">'Daily KPI Entry'!AL70</f>
        <v>0</v>
      </c>
      <c r="AM69" s="47" t="n">
        <f aca="false">'Daily KPI Entry'!AM70</f>
        <v>0</v>
      </c>
      <c r="AN69" s="49" t="str">
        <f aca="false">IF(P69="","",MIN(120,P69))</f>
        <v/>
      </c>
      <c r="AO69" s="49" t="str">
        <f aca="false">IF(U69="","",MIN(120,U69))</f>
        <v/>
      </c>
      <c r="AP69" s="49" t="str">
        <f aca="false">IF(R69="","",MIN(120,IFERROR(S69/R69*100,0)))</f>
        <v/>
      </c>
      <c r="AQ69" s="49" t="str">
        <f aca="false">IF(W69="","",MIN(120,IF(W69=0,120,100*(INDEX('Standards &amp; Scoring'!$E$5:$E$13,MATCH("Quality / Rejection",'Standards &amp; Scoring'!$A$5:$A$13,0))/W69))))</f>
        <v/>
      </c>
      <c r="AR69" s="49" t="str">
        <f aca="false">IF(AG69="","",MIN(120,IF(AG69=0,120,100*(INDEX('Standards &amp; Scoring'!$E$5:$E$13,MATCH("Fault Control",'Standards &amp; Scoring'!$A$5:$A$13,0))/AG69))))</f>
        <v/>
      </c>
      <c r="AS69" s="49" t="str">
        <f aca="false">IF(O69="","",MIN(120,IF(SUMIFS('Fault &amp; Downtime Entry'!$L$6:$L$1005,'Fault &amp; Downtime Entry'!$E$6:$E$1005,G69,'Fault &amp; Downtime Entry'!$B$6:$B$1005,B69)=0,120,100*(INDEX('Standards &amp; Scoring'!$E$5:$E$13,MATCH("Downtime Control",'Standards &amp; Scoring'!$A$5:$A$13,0))/IFERROR(SUMIFS('Fault &amp; Downtime Entry'!$L$6:$L$1005,'Fault &amp; Downtime Entry'!$E$6:$E$1005,G69,'Fault &amp; Downtime Entry'!$B$6:$B$1005,B69)/O69*1000,999999)))))</f>
        <v/>
      </c>
      <c r="AT69" s="49" t="n">
        <f aca="false">IF(COUNTA(AH69,AJ69)=0,"",MIN(120,IF(AND(AH69&lt;&gt;"",AJ69&lt;&gt;""),AVERAGE(AH69,AJ69),IF(AH69&lt;&gt;"",AH69,AJ69))))</f>
        <v>0</v>
      </c>
      <c r="AU69" s="49" t="str">
        <f aca="false">IF(AI69="","",MIN(120,AI69))</f>
        <v/>
      </c>
      <c r="AV69" s="49" t="str">
        <f aca="false">IF(AJ69="","",MIN(120,AJ69))</f>
        <v/>
      </c>
      <c r="AW69" s="50" t="str">
        <f aca="false">IF(COUNT(AN69:AV69)&lt;9,"",(AN69*'Standards &amp; Scoring'!$D$5+AO69*'Standards &amp; Scoring'!$D$6+AP69*'Standards &amp; Scoring'!$D$7+AQ69*'Standards &amp; Scoring'!$D$8+AR69*'Standards &amp; Scoring'!$D$9+AS69*'Standards &amp; Scoring'!$D$10+AT69*'Standards &amp; Scoring'!$D$11+AU69*'Standards &amp; Scoring'!$D$12+AV69*'Standards &amp; Scoring'!$D$13)/10000)</f>
        <v/>
      </c>
      <c r="AX69" s="47" t="str">
        <f aca="false">IF(AW69="","",IF(AW69&gt;=1.05,"A+",IF(AW69&gt;=1,"A",IF(AW69&gt;=0.95,"B+",IF(AW69&gt;=0.9,"B","C")))))</f>
        <v/>
      </c>
      <c r="AY69" s="47" t="str">
        <f aca="false">IF(AX69="","",IF(AX69="A+",1800,IF(AX69="A",1600,IF(AX69="B+",1400,IF(AX69="B",1200,0)))))</f>
        <v/>
      </c>
      <c r="AZ69" s="49" t="str">
        <f aca="false">IF(OR(L69="",M69="",S69="",M69=0),"",IFERROR(L69*60*S69/(M69*36),0))</f>
        <v/>
      </c>
    </row>
    <row r="70" customFormat="false" ht="15" hidden="false" customHeight="true" outlineLevel="0" collapsed="false">
      <c r="A70" s="47" t="n">
        <f aca="false">'Daily KPI Entry'!A71</f>
        <v>0</v>
      </c>
      <c r="B70" s="48" t="n">
        <f aca="false">'Daily KPI Entry'!B71</f>
        <v>0</v>
      </c>
      <c r="C70" s="47" t="n">
        <f aca="false">'Daily KPI Entry'!C71</f>
        <v>0</v>
      </c>
      <c r="D70" s="47" t="n">
        <f aca="false">'Daily KPI Entry'!D71</f>
        <v>0</v>
      </c>
      <c r="E70" s="47" t="n">
        <f aca="false">'Daily KPI Entry'!E71</f>
        <v>0</v>
      </c>
      <c r="F70" s="47" t="n">
        <f aca="false">'Daily KPI Entry'!F71</f>
        <v>0</v>
      </c>
      <c r="G70" s="47" t="n">
        <f aca="false">'Daily KPI Entry'!G71</f>
        <v>0</v>
      </c>
      <c r="H70" s="47" t="str">
        <f aca="false">'Daily KPI Entry'!H71</f>
        <v/>
      </c>
      <c r="I70" s="47" t="n">
        <f aca="false">'Daily KPI Entry'!I71</f>
        <v>0</v>
      </c>
      <c r="J70" s="47" t="n">
        <f aca="false">'Daily KPI Entry'!J71</f>
        <v>0</v>
      </c>
      <c r="K70" s="47" t="n">
        <f aca="false">'Daily KPI Entry'!K71</f>
        <v>0</v>
      </c>
      <c r="L70" s="47" t="n">
        <f aca="false">'Daily KPI Entry'!L71</f>
        <v>0</v>
      </c>
      <c r="M70" s="47" t="n">
        <f aca="false">'Daily KPI Entry'!M71</f>
        <v>0</v>
      </c>
      <c r="N70" s="49" t="n">
        <f aca="false">'Daily KPI Entry'!N71</f>
        <v>0</v>
      </c>
      <c r="O70" s="49" t="n">
        <f aca="false">'Daily KPI Entry'!O71</f>
        <v>0</v>
      </c>
      <c r="P70" s="49" t="str">
        <f aca="false">IF(OR(N70="",O70=""),"",IFERROR(O70/N70*100,0))</f>
        <v/>
      </c>
      <c r="Q70" s="47" t="n">
        <f aca="false">'Daily KPI Entry'!Q71</f>
        <v>8</v>
      </c>
      <c r="R70" s="47" t="str">
        <f aca="false">IF(J70="","",Q70*J70)</f>
        <v/>
      </c>
      <c r="S70" s="49" t="n">
        <f aca="false">'Daily KPI Entry'!S71</f>
        <v>0</v>
      </c>
      <c r="T70" s="49" t="str">
        <f aca="false">IF(OR(R70="",S70=""),"",IFERROR(S70/R70*100,0))</f>
        <v/>
      </c>
      <c r="U70" s="49" t="str">
        <f aca="false">IF(OR(O70="",L70="",M70="",S70="",M70=0),"",IFERROR(O70/(L70*60*S70/(M70*36))*100,0))</f>
        <v/>
      </c>
      <c r="V70" s="49" t="n">
        <f aca="false">'Daily KPI Entry'!V71</f>
        <v>0</v>
      </c>
      <c r="W70" s="49" t="str">
        <f aca="false">IF(O70="","",IFERROR(V70/O70*100,0))</f>
        <v/>
      </c>
      <c r="X70" s="49" t="n">
        <f aca="false">'Daily KPI Entry'!X71</f>
        <v>0</v>
      </c>
      <c r="Y70" s="49" t="n">
        <f aca="false">'Daily KPI Entry'!Y71</f>
        <v>0</v>
      </c>
      <c r="Z70" s="49" t="n">
        <f aca="false">'Daily KPI Entry'!Z71</f>
        <v>0</v>
      </c>
      <c r="AA70" s="49" t="n">
        <f aca="false">'Daily KPI Entry'!AA71</f>
        <v>0</v>
      </c>
      <c r="AB70" s="49" t="n">
        <f aca="false">'Daily KPI Entry'!AB71</f>
        <v>0</v>
      </c>
      <c r="AC70" s="49" t="n">
        <f aca="false">'Daily KPI Entry'!AC71</f>
        <v>0</v>
      </c>
      <c r="AD70" s="49" t="n">
        <f aca="false">'Daily KPI Entry'!AD71</f>
        <v>0</v>
      </c>
      <c r="AE70" s="49" t="n">
        <f aca="false">'Daily KPI Entry'!AE71</f>
        <v>0</v>
      </c>
      <c r="AF70" s="47" t="str">
        <f aca="false">IF(O70="","",SUM(X70:AE70))</f>
        <v/>
      </c>
      <c r="AG70" s="49" t="str">
        <f aca="false">IF(O70="","",IFERROR(AF70/O70*1000,0))</f>
        <v/>
      </c>
      <c r="AH70" s="49" t="n">
        <f aca="false">'Daily KPI Entry'!AH71</f>
        <v>0</v>
      </c>
      <c r="AI70" s="49" t="n">
        <f aca="false">'Daily KPI Entry'!AI71</f>
        <v>0</v>
      </c>
      <c r="AJ70" s="49" t="n">
        <f aca="false">'Daily KPI Entry'!AJ71</f>
        <v>0</v>
      </c>
      <c r="AK70" s="47" t="n">
        <f aca="false">'Daily KPI Entry'!AK71</f>
        <v>0</v>
      </c>
      <c r="AL70" s="47" t="n">
        <f aca="false">'Daily KPI Entry'!AL71</f>
        <v>0</v>
      </c>
      <c r="AM70" s="47" t="n">
        <f aca="false">'Daily KPI Entry'!AM71</f>
        <v>0</v>
      </c>
      <c r="AN70" s="49" t="str">
        <f aca="false">IF(P70="","",MIN(120,P70))</f>
        <v/>
      </c>
      <c r="AO70" s="49" t="str">
        <f aca="false">IF(U70="","",MIN(120,U70))</f>
        <v/>
      </c>
      <c r="AP70" s="49" t="str">
        <f aca="false">IF(R70="","",MIN(120,IFERROR(S70/R70*100,0)))</f>
        <v/>
      </c>
      <c r="AQ70" s="49" t="str">
        <f aca="false">IF(W70="","",MIN(120,IF(W70=0,120,100*(INDEX('Standards &amp; Scoring'!$E$5:$E$13,MATCH("Quality / Rejection",'Standards &amp; Scoring'!$A$5:$A$13,0))/W70))))</f>
        <v/>
      </c>
      <c r="AR70" s="49" t="str">
        <f aca="false">IF(AG70="","",MIN(120,IF(AG70=0,120,100*(INDEX('Standards &amp; Scoring'!$E$5:$E$13,MATCH("Fault Control",'Standards &amp; Scoring'!$A$5:$A$13,0))/AG70))))</f>
        <v/>
      </c>
      <c r="AS70" s="49" t="str">
        <f aca="false">IF(O70="","",MIN(120,IF(SUMIFS('Fault &amp; Downtime Entry'!$L$6:$L$1005,'Fault &amp; Downtime Entry'!$E$6:$E$1005,G70,'Fault &amp; Downtime Entry'!$B$6:$B$1005,B70)=0,120,100*(INDEX('Standards &amp; Scoring'!$E$5:$E$13,MATCH("Downtime Control",'Standards &amp; Scoring'!$A$5:$A$13,0))/IFERROR(SUMIFS('Fault &amp; Downtime Entry'!$L$6:$L$1005,'Fault &amp; Downtime Entry'!$E$6:$E$1005,G70,'Fault &amp; Downtime Entry'!$B$6:$B$1005,B70)/O70*1000,999999)))))</f>
        <v/>
      </c>
      <c r="AT70" s="49" t="n">
        <f aca="false">IF(COUNTA(AH70,AJ70)=0,"",MIN(120,IF(AND(AH70&lt;&gt;"",AJ70&lt;&gt;""),AVERAGE(AH70,AJ70),IF(AH70&lt;&gt;"",AH70,AJ70))))</f>
        <v>0</v>
      </c>
      <c r="AU70" s="49" t="str">
        <f aca="false">IF(AI70="","",MIN(120,AI70))</f>
        <v/>
      </c>
      <c r="AV70" s="49" t="str">
        <f aca="false">IF(AJ70="","",MIN(120,AJ70))</f>
        <v/>
      </c>
      <c r="AW70" s="50" t="str">
        <f aca="false">IF(COUNT(AN70:AV70)&lt;9,"",(AN70*'Standards &amp; Scoring'!$D$5+AO70*'Standards &amp; Scoring'!$D$6+AP70*'Standards &amp; Scoring'!$D$7+AQ70*'Standards &amp; Scoring'!$D$8+AR70*'Standards &amp; Scoring'!$D$9+AS70*'Standards &amp; Scoring'!$D$10+AT70*'Standards &amp; Scoring'!$D$11+AU70*'Standards &amp; Scoring'!$D$12+AV70*'Standards &amp; Scoring'!$D$13)/10000)</f>
        <v/>
      </c>
      <c r="AX70" s="47" t="str">
        <f aca="false">IF(AW70="","",IF(AW70&gt;=1.05,"A+",IF(AW70&gt;=1,"A",IF(AW70&gt;=0.95,"B+",IF(AW70&gt;=0.9,"B","C")))))</f>
        <v/>
      </c>
      <c r="AY70" s="47" t="str">
        <f aca="false">IF(AX70="","",IF(AX70="A+",1800,IF(AX70="A",1600,IF(AX70="B+",1400,IF(AX70="B",1200,0)))))</f>
        <v/>
      </c>
      <c r="AZ70" s="49" t="str">
        <f aca="false">IF(OR(L70="",M70="",S70="",M70=0),"",IFERROR(L70*60*S70/(M70*36),0))</f>
        <v/>
      </c>
    </row>
    <row r="71" customFormat="false" ht="15" hidden="false" customHeight="true" outlineLevel="0" collapsed="false">
      <c r="A71" s="47" t="n">
        <f aca="false">'Daily KPI Entry'!A72</f>
        <v>0</v>
      </c>
      <c r="B71" s="48" t="n">
        <f aca="false">'Daily KPI Entry'!B72</f>
        <v>0</v>
      </c>
      <c r="C71" s="47" t="n">
        <f aca="false">'Daily KPI Entry'!C72</f>
        <v>0</v>
      </c>
      <c r="D71" s="47" t="n">
        <f aca="false">'Daily KPI Entry'!D72</f>
        <v>0</v>
      </c>
      <c r="E71" s="47" t="n">
        <f aca="false">'Daily KPI Entry'!E72</f>
        <v>0</v>
      </c>
      <c r="F71" s="47" t="n">
        <f aca="false">'Daily KPI Entry'!F72</f>
        <v>0</v>
      </c>
      <c r="G71" s="47" t="n">
        <f aca="false">'Daily KPI Entry'!G72</f>
        <v>0</v>
      </c>
      <c r="H71" s="47" t="str">
        <f aca="false">'Daily KPI Entry'!H72</f>
        <v/>
      </c>
      <c r="I71" s="47" t="n">
        <f aca="false">'Daily KPI Entry'!I72</f>
        <v>0</v>
      </c>
      <c r="J71" s="47" t="n">
        <f aca="false">'Daily KPI Entry'!J72</f>
        <v>0</v>
      </c>
      <c r="K71" s="47" t="n">
        <f aca="false">'Daily KPI Entry'!K72</f>
        <v>0</v>
      </c>
      <c r="L71" s="47" t="n">
        <f aca="false">'Daily KPI Entry'!L72</f>
        <v>0</v>
      </c>
      <c r="M71" s="47" t="n">
        <f aca="false">'Daily KPI Entry'!M72</f>
        <v>0</v>
      </c>
      <c r="N71" s="49" t="n">
        <f aca="false">'Daily KPI Entry'!N72</f>
        <v>0</v>
      </c>
      <c r="O71" s="49" t="n">
        <f aca="false">'Daily KPI Entry'!O72</f>
        <v>0</v>
      </c>
      <c r="P71" s="49" t="str">
        <f aca="false">IF(OR(N71="",O71=""),"",IFERROR(O71/N71*100,0))</f>
        <v/>
      </c>
      <c r="Q71" s="47" t="n">
        <f aca="false">'Daily KPI Entry'!Q72</f>
        <v>8</v>
      </c>
      <c r="R71" s="47" t="str">
        <f aca="false">IF(J71="","",Q71*J71)</f>
        <v/>
      </c>
      <c r="S71" s="49" t="n">
        <f aca="false">'Daily KPI Entry'!S72</f>
        <v>0</v>
      </c>
      <c r="T71" s="49" t="str">
        <f aca="false">IF(OR(R71="",S71=""),"",IFERROR(S71/R71*100,0))</f>
        <v/>
      </c>
      <c r="U71" s="49" t="str">
        <f aca="false">IF(OR(O71="",L71="",M71="",S71="",M71=0),"",IFERROR(O71/(L71*60*S71/(M71*36))*100,0))</f>
        <v/>
      </c>
      <c r="V71" s="49" t="n">
        <f aca="false">'Daily KPI Entry'!V72</f>
        <v>0</v>
      </c>
      <c r="W71" s="49" t="str">
        <f aca="false">IF(O71="","",IFERROR(V71/O71*100,0))</f>
        <v/>
      </c>
      <c r="X71" s="49" t="n">
        <f aca="false">'Daily KPI Entry'!X72</f>
        <v>0</v>
      </c>
      <c r="Y71" s="49" t="n">
        <f aca="false">'Daily KPI Entry'!Y72</f>
        <v>0</v>
      </c>
      <c r="Z71" s="49" t="n">
        <f aca="false">'Daily KPI Entry'!Z72</f>
        <v>0</v>
      </c>
      <c r="AA71" s="49" t="n">
        <f aca="false">'Daily KPI Entry'!AA72</f>
        <v>0</v>
      </c>
      <c r="AB71" s="49" t="n">
        <f aca="false">'Daily KPI Entry'!AB72</f>
        <v>0</v>
      </c>
      <c r="AC71" s="49" t="n">
        <f aca="false">'Daily KPI Entry'!AC72</f>
        <v>0</v>
      </c>
      <c r="AD71" s="49" t="n">
        <f aca="false">'Daily KPI Entry'!AD72</f>
        <v>0</v>
      </c>
      <c r="AE71" s="49" t="n">
        <f aca="false">'Daily KPI Entry'!AE72</f>
        <v>0</v>
      </c>
      <c r="AF71" s="47" t="str">
        <f aca="false">IF(O71="","",SUM(X71:AE71))</f>
        <v/>
      </c>
      <c r="AG71" s="49" t="str">
        <f aca="false">IF(O71="","",IFERROR(AF71/O71*1000,0))</f>
        <v/>
      </c>
      <c r="AH71" s="49" t="n">
        <f aca="false">'Daily KPI Entry'!AH72</f>
        <v>0</v>
      </c>
      <c r="AI71" s="49" t="n">
        <f aca="false">'Daily KPI Entry'!AI72</f>
        <v>0</v>
      </c>
      <c r="AJ71" s="49" t="n">
        <f aca="false">'Daily KPI Entry'!AJ72</f>
        <v>0</v>
      </c>
      <c r="AK71" s="47" t="n">
        <f aca="false">'Daily KPI Entry'!AK72</f>
        <v>0</v>
      </c>
      <c r="AL71" s="47" t="n">
        <f aca="false">'Daily KPI Entry'!AL72</f>
        <v>0</v>
      </c>
      <c r="AM71" s="47" t="n">
        <f aca="false">'Daily KPI Entry'!AM72</f>
        <v>0</v>
      </c>
      <c r="AN71" s="49" t="str">
        <f aca="false">IF(P71="","",MIN(120,P71))</f>
        <v/>
      </c>
      <c r="AO71" s="49" t="str">
        <f aca="false">IF(U71="","",MIN(120,U71))</f>
        <v/>
      </c>
      <c r="AP71" s="49" t="str">
        <f aca="false">IF(R71="","",MIN(120,IFERROR(S71/R71*100,0)))</f>
        <v/>
      </c>
      <c r="AQ71" s="49" t="str">
        <f aca="false">IF(W71="","",MIN(120,IF(W71=0,120,100*(INDEX('Standards &amp; Scoring'!$E$5:$E$13,MATCH("Quality / Rejection",'Standards &amp; Scoring'!$A$5:$A$13,0))/W71))))</f>
        <v/>
      </c>
      <c r="AR71" s="49" t="str">
        <f aca="false">IF(AG71="","",MIN(120,IF(AG71=0,120,100*(INDEX('Standards &amp; Scoring'!$E$5:$E$13,MATCH("Fault Control",'Standards &amp; Scoring'!$A$5:$A$13,0))/AG71))))</f>
        <v/>
      </c>
      <c r="AS71" s="49" t="str">
        <f aca="false">IF(O71="","",MIN(120,IF(SUMIFS('Fault &amp; Downtime Entry'!$L$6:$L$1005,'Fault &amp; Downtime Entry'!$E$6:$E$1005,G71,'Fault &amp; Downtime Entry'!$B$6:$B$1005,B71)=0,120,100*(INDEX('Standards &amp; Scoring'!$E$5:$E$13,MATCH("Downtime Control",'Standards &amp; Scoring'!$A$5:$A$13,0))/IFERROR(SUMIFS('Fault &amp; Downtime Entry'!$L$6:$L$1005,'Fault &amp; Downtime Entry'!$E$6:$E$1005,G71,'Fault &amp; Downtime Entry'!$B$6:$B$1005,B71)/O71*1000,999999)))))</f>
        <v/>
      </c>
      <c r="AT71" s="49" t="n">
        <f aca="false">IF(COUNTA(AH71,AJ71)=0,"",MIN(120,IF(AND(AH71&lt;&gt;"",AJ71&lt;&gt;""),AVERAGE(AH71,AJ71),IF(AH71&lt;&gt;"",AH71,AJ71))))</f>
        <v>0</v>
      </c>
      <c r="AU71" s="49" t="str">
        <f aca="false">IF(AI71="","",MIN(120,AI71))</f>
        <v/>
      </c>
      <c r="AV71" s="49" t="str">
        <f aca="false">IF(AJ71="","",MIN(120,AJ71))</f>
        <v/>
      </c>
      <c r="AW71" s="50" t="str">
        <f aca="false">IF(COUNT(AN71:AV71)&lt;9,"",(AN71*'Standards &amp; Scoring'!$D$5+AO71*'Standards &amp; Scoring'!$D$6+AP71*'Standards &amp; Scoring'!$D$7+AQ71*'Standards &amp; Scoring'!$D$8+AR71*'Standards &amp; Scoring'!$D$9+AS71*'Standards &amp; Scoring'!$D$10+AT71*'Standards &amp; Scoring'!$D$11+AU71*'Standards &amp; Scoring'!$D$12+AV71*'Standards &amp; Scoring'!$D$13)/10000)</f>
        <v/>
      </c>
      <c r="AX71" s="47" t="str">
        <f aca="false">IF(AW71="","",IF(AW71&gt;=1.05,"A+",IF(AW71&gt;=1,"A",IF(AW71&gt;=0.95,"B+",IF(AW71&gt;=0.9,"B","C")))))</f>
        <v/>
      </c>
      <c r="AY71" s="47" t="str">
        <f aca="false">IF(AX71="","",IF(AX71="A+",1800,IF(AX71="A",1600,IF(AX71="B+",1400,IF(AX71="B",1200,0)))))</f>
        <v/>
      </c>
      <c r="AZ71" s="49" t="str">
        <f aca="false">IF(OR(L71="",M71="",S71="",M71=0),"",IFERROR(L71*60*S71/(M71*36),0))</f>
        <v/>
      </c>
    </row>
    <row r="72" customFormat="false" ht="15" hidden="false" customHeight="true" outlineLevel="0" collapsed="false">
      <c r="A72" s="47" t="n">
        <f aca="false">'Daily KPI Entry'!A73</f>
        <v>0</v>
      </c>
      <c r="B72" s="48" t="n">
        <f aca="false">'Daily KPI Entry'!B73</f>
        <v>0</v>
      </c>
      <c r="C72" s="47" t="n">
        <f aca="false">'Daily KPI Entry'!C73</f>
        <v>0</v>
      </c>
      <c r="D72" s="47" t="n">
        <f aca="false">'Daily KPI Entry'!D73</f>
        <v>0</v>
      </c>
      <c r="E72" s="47" t="n">
        <f aca="false">'Daily KPI Entry'!E73</f>
        <v>0</v>
      </c>
      <c r="F72" s="47" t="n">
        <f aca="false">'Daily KPI Entry'!F73</f>
        <v>0</v>
      </c>
      <c r="G72" s="47" t="n">
        <f aca="false">'Daily KPI Entry'!G73</f>
        <v>0</v>
      </c>
      <c r="H72" s="47" t="str">
        <f aca="false">'Daily KPI Entry'!H73</f>
        <v/>
      </c>
      <c r="I72" s="47" t="n">
        <f aca="false">'Daily KPI Entry'!I73</f>
        <v>0</v>
      </c>
      <c r="J72" s="47" t="n">
        <f aca="false">'Daily KPI Entry'!J73</f>
        <v>0</v>
      </c>
      <c r="K72" s="47" t="n">
        <f aca="false">'Daily KPI Entry'!K73</f>
        <v>0</v>
      </c>
      <c r="L72" s="47" t="n">
        <f aca="false">'Daily KPI Entry'!L73</f>
        <v>0</v>
      </c>
      <c r="M72" s="47" t="n">
        <f aca="false">'Daily KPI Entry'!M73</f>
        <v>0</v>
      </c>
      <c r="N72" s="49" t="n">
        <f aca="false">'Daily KPI Entry'!N73</f>
        <v>0</v>
      </c>
      <c r="O72" s="49" t="n">
        <f aca="false">'Daily KPI Entry'!O73</f>
        <v>0</v>
      </c>
      <c r="P72" s="49" t="str">
        <f aca="false">IF(OR(N72="",O72=""),"",IFERROR(O72/N72*100,0))</f>
        <v/>
      </c>
      <c r="Q72" s="47" t="n">
        <f aca="false">'Daily KPI Entry'!Q73</f>
        <v>8</v>
      </c>
      <c r="R72" s="47" t="str">
        <f aca="false">IF(J72="","",Q72*J72)</f>
        <v/>
      </c>
      <c r="S72" s="49" t="n">
        <f aca="false">'Daily KPI Entry'!S73</f>
        <v>0</v>
      </c>
      <c r="T72" s="49" t="str">
        <f aca="false">IF(OR(R72="",S72=""),"",IFERROR(S72/R72*100,0))</f>
        <v/>
      </c>
      <c r="U72" s="49" t="str">
        <f aca="false">IF(OR(O72="",L72="",M72="",S72="",M72=0),"",IFERROR(O72/(L72*60*S72/(M72*36))*100,0))</f>
        <v/>
      </c>
      <c r="V72" s="49" t="n">
        <f aca="false">'Daily KPI Entry'!V73</f>
        <v>0</v>
      </c>
      <c r="W72" s="49" t="str">
        <f aca="false">IF(O72="","",IFERROR(V72/O72*100,0))</f>
        <v/>
      </c>
      <c r="X72" s="49" t="n">
        <f aca="false">'Daily KPI Entry'!X73</f>
        <v>0</v>
      </c>
      <c r="Y72" s="49" t="n">
        <f aca="false">'Daily KPI Entry'!Y73</f>
        <v>0</v>
      </c>
      <c r="Z72" s="49" t="n">
        <f aca="false">'Daily KPI Entry'!Z73</f>
        <v>0</v>
      </c>
      <c r="AA72" s="49" t="n">
        <f aca="false">'Daily KPI Entry'!AA73</f>
        <v>0</v>
      </c>
      <c r="AB72" s="49" t="n">
        <f aca="false">'Daily KPI Entry'!AB73</f>
        <v>0</v>
      </c>
      <c r="AC72" s="49" t="n">
        <f aca="false">'Daily KPI Entry'!AC73</f>
        <v>0</v>
      </c>
      <c r="AD72" s="49" t="n">
        <f aca="false">'Daily KPI Entry'!AD73</f>
        <v>0</v>
      </c>
      <c r="AE72" s="49" t="n">
        <f aca="false">'Daily KPI Entry'!AE73</f>
        <v>0</v>
      </c>
      <c r="AF72" s="47" t="str">
        <f aca="false">IF(O72="","",SUM(X72:AE72))</f>
        <v/>
      </c>
      <c r="AG72" s="49" t="str">
        <f aca="false">IF(O72="","",IFERROR(AF72/O72*1000,0))</f>
        <v/>
      </c>
      <c r="AH72" s="49" t="n">
        <f aca="false">'Daily KPI Entry'!AH73</f>
        <v>0</v>
      </c>
      <c r="AI72" s="49" t="n">
        <f aca="false">'Daily KPI Entry'!AI73</f>
        <v>0</v>
      </c>
      <c r="AJ72" s="49" t="n">
        <f aca="false">'Daily KPI Entry'!AJ73</f>
        <v>0</v>
      </c>
      <c r="AK72" s="47" t="n">
        <f aca="false">'Daily KPI Entry'!AK73</f>
        <v>0</v>
      </c>
      <c r="AL72" s="47" t="n">
        <f aca="false">'Daily KPI Entry'!AL73</f>
        <v>0</v>
      </c>
      <c r="AM72" s="47" t="n">
        <f aca="false">'Daily KPI Entry'!AM73</f>
        <v>0</v>
      </c>
      <c r="AN72" s="49" t="str">
        <f aca="false">IF(P72="","",MIN(120,P72))</f>
        <v/>
      </c>
      <c r="AO72" s="49" t="str">
        <f aca="false">IF(U72="","",MIN(120,U72))</f>
        <v/>
      </c>
      <c r="AP72" s="49" t="str">
        <f aca="false">IF(R72="","",MIN(120,IFERROR(S72/R72*100,0)))</f>
        <v/>
      </c>
      <c r="AQ72" s="49" t="str">
        <f aca="false">IF(W72="","",MIN(120,IF(W72=0,120,100*(INDEX('Standards &amp; Scoring'!$E$5:$E$13,MATCH("Quality / Rejection",'Standards &amp; Scoring'!$A$5:$A$13,0))/W72))))</f>
        <v/>
      </c>
      <c r="AR72" s="49" t="str">
        <f aca="false">IF(AG72="","",MIN(120,IF(AG72=0,120,100*(INDEX('Standards &amp; Scoring'!$E$5:$E$13,MATCH("Fault Control",'Standards &amp; Scoring'!$A$5:$A$13,0))/AG72))))</f>
        <v/>
      </c>
      <c r="AS72" s="49" t="str">
        <f aca="false">IF(O72="","",MIN(120,IF(SUMIFS('Fault &amp; Downtime Entry'!$L$6:$L$1005,'Fault &amp; Downtime Entry'!$E$6:$E$1005,G72,'Fault &amp; Downtime Entry'!$B$6:$B$1005,B72)=0,120,100*(INDEX('Standards &amp; Scoring'!$E$5:$E$13,MATCH("Downtime Control",'Standards &amp; Scoring'!$A$5:$A$13,0))/IFERROR(SUMIFS('Fault &amp; Downtime Entry'!$L$6:$L$1005,'Fault &amp; Downtime Entry'!$E$6:$E$1005,G72,'Fault &amp; Downtime Entry'!$B$6:$B$1005,B72)/O72*1000,999999)))))</f>
        <v/>
      </c>
      <c r="AT72" s="49" t="n">
        <f aca="false">IF(COUNTA(AH72,AJ72)=0,"",MIN(120,IF(AND(AH72&lt;&gt;"",AJ72&lt;&gt;""),AVERAGE(AH72,AJ72),IF(AH72&lt;&gt;"",AH72,AJ72))))</f>
        <v>0</v>
      </c>
      <c r="AU72" s="49" t="str">
        <f aca="false">IF(AI72="","",MIN(120,AI72))</f>
        <v/>
      </c>
      <c r="AV72" s="49" t="str">
        <f aca="false">IF(AJ72="","",MIN(120,AJ72))</f>
        <v/>
      </c>
      <c r="AW72" s="50" t="str">
        <f aca="false">IF(COUNT(AN72:AV72)&lt;9,"",(AN72*'Standards &amp; Scoring'!$D$5+AO72*'Standards &amp; Scoring'!$D$6+AP72*'Standards &amp; Scoring'!$D$7+AQ72*'Standards &amp; Scoring'!$D$8+AR72*'Standards &amp; Scoring'!$D$9+AS72*'Standards &amp; Scoring'!$D$10+AT72*'Standards &amp; Scoring'!$D$11+AU72*'Standards &amp; Scoring'!$D$12+AV72*'Standards &amp; Scoring'!$D$13)/10000)</f>
        <v/>
      </c>
      <c r="AX72" s="47" t="str">
        <f aca="false">IF(AW72="","",IF(AW72&gt;=1.05,"A+",IF(AW72&gt;=1,"A",IF(AW72&gt;=0.95,"B+",IF(AW72&gt;=0.9,"B","C")))))</f>
        <v/>
      </c>
      <c r="AY72" s="47" t="str">
        <f aca="false">IF(AX72="","",IF(AX72="A+",1800,IF(AX72="A",1600,IF(AX72="B+",1400,IF(AX72="B",1200,0)))))</f>
        <v/>
      </c>
      <c r="AZ72" s="49" t="str">
        <f aca="false">IF(OR(L72="",M72="",S72="",M72=0),"",IFERROR(L72*60*S72/(M72*36),0))</f>
        <v/>
      </c>
    </row>
    <row r="73" customFormat="false" ht="15" hidden="false" customHeight="true" outlineLevel="0" collapsed="false">
      <c r="A73" s="47" t="n">
        <f aca="false">'Daily KPI Entry'!A74</f>
        <v>0</v>
      </c>
      <c r="B73" s="48" t="n">
        <f aca="false">'Daily KPI Entry'!B74</f>
        <v>0</v>
      </c>
      <c r="C73" s="47" t="n">
        <f aca="false">'Daily KPI Entry'!C74</f>
        <v>0</v>
      </c>
      <c r="D73" s="47" t="n">
        <f aca="false">'Daily KPI Entry'!D74</f>
        <v>0</v>
      </c>
      <c r="E73" s="47" t="n">
        <f aca="false">'Daily KPI Entry'!E74</f>
        <v>0</v>
      </c>
      <c r="F73" s="47" t="n">
        <f aca="false">'Daily KPI Entry'!F74</f>
        <v>0</v>
      </c>
      <c r="G73" s="47" t="n">
        <f aca="false">'Daily KPI Entry'!G74</f>
        <v>0</v>
      </c>
      <c r="H73" s="47" t="str">
        <f aca="false">'Daily KPI Entry'!H74</f>
        <v/>
      </c>
      <c r="I73" s="47" t="n">
        <f aca="false">'Daily KPI Entry'!I74</f>
        <v>0</v>
      </c>
      <c r="J73" s="47" t="n">
        <f aca="false">'Daily KPI Entry'!J74</f>
        <v>0</v>
      </c>
      <c r="K73" s="47" t="n">
        <f aca="false">'Daily KPI Entry'!K74</f>
        <v>0</v>
      </c>
      <c r="L73" s="47" t="n">
        <f aca="false">'Daily KPI Entry'!L74</f>
        <v>0</v>
      </c>
      <c r="M73" s="47" t="n">
        <f aca="false">'Daily KPI Entry'!M74</f>
        <v>0</v>
      </c>
      <c r="N73" s="49" t="n">
        <f aca="false">'Daily KPI Entry'!N74</f>
        <v>0</v>
      </c>
      <c r="O73" s="49" t="n">
        <f aca="false">'Daily KPI Entry'!O74</f>
        <v>0</v>
      </c>
      <c r="P73" s="49" t="str">
        <f aca="false">IF(OR(N73="",O73=""),"",IFERROR(O73/N73*100,0))</f>
        <v/>
      </c>
      <c r="Q73" s="47" t="n">
        <f aca="false">'Daily KPI Entry'!Q74</f>
        <v>8</v>
      </c>
      <c r="R73" s="47" t="str">
        <f aca="false">IF(J73="","",Q73*J73)</f>
        <v/>
      </c>
      <c r="S73" s="49" t="n">
        <f aca="false">'Daily KPI Entry'!S74</f>
        <v>0</v>
      </c>
      <c r="T73" s="49" t="str">
        <f aca="false">IF(OR(R73="",S73=""),"",IFERROR(S73/R73*100,0))</f>
        <v/>
      </c>
      <c r="U73" s="49" t="str">
        <f aca="false">IF(OR(O73="",L73="",M73="",S73="",M73=0),"",IFERROR(O73/(L73*60*S73/(M73*36))*100,0))</f>
        <v/>
      </c>
      <c r="V73" s="49" t="n">
        <f aca="false">'Daily KPI Entry'!V74</f>
        <v>0</v>
      </c>
      <c r="W73" s="49" t="str">
        <f aca="false">IF(O73="","",IFERROR(V73/O73*100,0))</f>
        <v/>
      </c>
      <c r="X73" s="49" t="n">
        <f aca="false">'Daily KPI Entry'!X74</f>
        <v>0</v>
      </c>
      <c r="Y73" s="49" t="n">
        <f aca="false">'Daily KPI Entry'!Y74</f>
        <v>0</v>
      </c>
      <c r="Z73" s="49" t="n">
        <f aca="false">'Daily KPI Entry'!Z74</f>
        <v>0</v>
      </c>
      <c r="AA73" s="49" t="n">
        <f aca="false">'Daily KPI Entry'!AA74</f>
        <v>0</v>
      </c>
      <c r="AB73" s="49" t="n">
        <f aca="false">'Daily KPI Entry'!AB74</f>
        <v>0</v>
      </c>
      <c r="AC73" s="49" t="n">
        <f aca="false">'Daily KPI Entry'!AC74</f>
        <v>0</v>
      </c>
      <c r="AD73" s="49" t="n">
        <f aca="false">'Daily KPI Entry'!AD74</f>
        <v>0</v>
      </c>
      <c r="AE73" s="49" t="n">
        <f aca="false">'Daily KPI Entry'!AE74</f>
        <v>0</v>
      </c>
      <c r="AF73" s="47" t="str">
        <f aca="false">IF(O73="","",SUM(X73:AE73))</f>
        <v/>
      </c>
      <c r="AG73" s="49" t="str">
        <f aca="false">IF(O73="","",IFERROR(AF73/O73*1000,0))</f>
        <v/>
      </c>
      <c r="AH73" s="49" t="n">
        <f aca="false">'Daily KPI Entry'!AH74</f>
        <v>0</v>
      </c>
      <c r="AI73" s="49" t="n">
        <f aca="false">'Daily KPI Entry'!AI74</f>
        <v>0</v>
      </c>
      <c r="AJ73" s="49" t="n">
        <f aca="false">'Daily KPI Entry'!AJ74</f>
        <v>0</v>
      </c>
      <c r="AK73" s="47" t="n">
        <f aca="false">'Daily KPI Entry'!AK74</f>
        <v>0</v>
      </c>
      <c r="AL73" s="47" t="n">
        <f aca="false">'Daily KPI Entry'!AL74</f>
        <v>0</v>
      </c>
      <c r="AM73" s="47" t="n">
        <f aca="false">'Daily KPI Entry'!AM74</f>
        <v>0</v>
      </c>
      <c r="AN73" s="49" t="str">
        <f aca="false">IF(P73="","",MIN(120,P73))</f>
        <v/>
      </c>
      <c r="AO73" s="49" t="str">
        <f aca="false">IF(U73="","",MIN(120,U73))</f>
        <v/>
      </c>
      <c r="AP73" s="49" t="str">
        <f aca="false">IF(R73="","",MIN(120,IFERROR(S73/R73*100,0)))</f>
        <v/>
      </c>
      <c r="AQ73" s="49" t="str">
        <f aca="false">IF(W73="","",MIN(120,IF(W73=0,120,100*(INDEX('Standards &amp; Scoring'!$E$5:$E$13,MATCH("Quality / Rejection",'Standards &amp; Scoring'!$A$5:$A$13,0))/W73))))</f>
        <v/>
      </c>
      <c r="AR73" s="49" t="str">
        <f aca="false">IF(AG73="","",MIN(120,IF(AG73=0,120,100*(INDEX('Standards &amp; Scoring'!$E$5:$E$13,MATCH("Fault Control",'Standards &amp; Scoring'!$A$5:$A$13,0))/AG73))))</f>
        <v/>
      </c>
      <c r="AS73" s="49" t="str">
        <f aca="false">IF(O73="","",MIN(120,IF(SUMIFS('Fault &amp; Downtime Entry'!$L$6:$L$1005,'Fault &amp; Downtime Entry'!$E$6:$E$1005,G73,'Fault &amp; Downtime Entry'!$B$6:$B$1005,B73)=0,120,100*(INDEX('Standards &amp; Scoring'!$E$5:$E$13,MATCH("Downtime Control",'Standards &amp; Scoring'!$A$5:$A$13,0))/IFERROR(SUMIFS('Fault &amp; Downtime Entry'!$L$6:$L$1005,'Fault &amp; Downtime Entry'!$E$6:$E$1005,G73,'Fault &amp; Downtime Entry'!$B$6:$B$1005,B73)/O73*1000,999999)))))</f>
        <v/>
      </c>
      <c r="AT73" s="49" t="n">
        <f aca="false">IF(COUNTA(AH73,AJ73)=0,"",MIN(120,IF(AND(AH73&lt;&gt;"",AJ73&lt;&gt;""),AVERAGE(AH73,AJ73),IF(AH73&lt;&gt;"",AH73,AJ73))))</f>
        <v>0</v>
      </c>
      <c r="AU73" s="49" t="str">
        <f aca="false">IF(AI73="","",MIN(120,AI73))</f>
        <v/>
      </c>
      <c r="AV73" s="49" t="str">
        <f aca="false">IF(AJ73="","",MIN(120,AJ73))</f>
        <v/>
      </c>
      <c r="AW73" s="50" t="str">
        <f aca="false">IF(COUNT(AN73:AV73)&lt;9,"",(AN73*'Standards &amp; Scoring'!$D$5+AO73*'Standards &amp; Scoring'!$D$6+AP73*'Standards &amp; Scoring'!$D$7+AQ73*'Standards &amp; Scoring'!$D$8+AR73*'Standards &amp; Scoring'!$D$9+AS73*'Standards &amp; Scoring'!$D$10+AT73*'Standards &amp; Scoring'!$D$11+AU73*'Standards &amp; Scoring'!$D$12+AV73*'Standards &amp; Scoring'!$D$13)/10000)</f>
        <v/>
      </c>
      <c r="AX73" s="47" t="str">
        <f aca="false">IF(AW73="","",IF(AW73&gt;=1.05,"A+",IF(AW73&gt;=1,"A",IF(AW73&gt;=0.95,"B+",IF(AW73&gt;=0.9,"B","C")))))</f>
        <v/>
      </c>
      <c r="AY73" s="47" t="str">
        <f aca="false">IF(AX73="","",IF(AX73="A+",1800,IF(AX73="A",1600,IF(AX73="B+",1400,IF(AX73="B",1200,0)))))</f>
        <v/>
      </c>
      <c r="AZ73" s="49" t="str">
        <f aca="false">IF(OR(L73="",M73="",S73="",M73=0),"",IFERROR(L73*60*S73/(M73*36),0))</f>
        <v/>
      </c>
    </row>
    <row r="74" customFormat="false" ht="15" hidden="false" customHeight="true" outlineLevel="0" collapsed="false">
      <c r="A74" s="47" t="n">
        <f aca="false">'Daily KPI Entry'!A75</f>
        <v>0</v>
      </c>
      <c r="B74" s="48" t="n">
        <f aca="false">'Daily KPI Entry'!B75</f>
        <v>0</v>
      </c>
      <c r="C74" s="47" t="n">
        <f aca="false">'Daily KPI Entry'!C75</f>
        <v>0</v>
      </c>
      <c r="D74" s="47" t="n">
        <f aca="false">'Daily KPI Entry'!D75</f>
        <v>0</v>
      </c>
      <c r="E74" s="47" t="n">
        <f aca="false">'Daily KPI Entry'!E75</f>
        <v>0</v>
      </c>
      <c r="F74" s="47" t="n">
        <f aca="false">'Daily KPI Entry'!F75</f>
        <v>0</v>
      </c>
      <c r="G74" s="47" t="n">
        <f aca="false">'Daily KPI Entry'!G75</f>
        <v>0</v>
      </c>
      <c r="H74" s="47" t="str">
        <f aca="false">'Daily KPI Entry'!H75</f>
        <v/>
      </c>
      <c r="I74" s="47" t="n">
        <f aca="false">'Daily KPI Entry'!I75</f>
        <v>0</v>
      </c>
      <c r="J74" s="47" t="n">
        <f aca="false">'Daily KPI Entry'!J75</f>
        <v>0</v>
      </c>
      <c r="K74" s="47" t="n">
        <f aca="false">'Daily KPI Entry'!K75</f>
        <v>0</v>
      </c>
      <c r="L74" s="47" t="n">
        <f aca="false">'Daily KPI Entry'!L75</f>
        <v>0</v>
      </c>
      <c r="M74" s="47" t="n">
        <f aca="false">'Daily KPI Entry'!M75</f>
        <v>0</v>
      </c>
      <c r="N74" s="49" t="n">
        <f aca="false">'Daily KPI Entry'!N75</f>
        <v>0</v>
      </c>
      <c r="O74" s="49" t="n">
        <f aca="false">'Daily KPI Entry'!O75</f>
        <v>0</v>
      </c>
      <c r="P74" s="49" t="str">
        <f aca="false">IF(OR(N74="",O74=""),"",IFERROR(O74/N74*100,0))</f>
        <v/>
      </c>
      <c r="Q74" s="47" t="n">
        <f aca="false">'Daily KPI Entry'!Q75</f>
        <v>8</v>
      </c>
      <c r="R74" s="47" t="str">
        <f aca="false">IF(J74="","",Q74*J74)</f>
        <v/>
      </c>
      <c r="S74" s="49" t="n">
        <f aca="false">'Daily KPI Entry'!S75</f>
        <v>0</v>
      </c>
      <c r="T74" s="49" t="str">
        <f aca="false">IF(OR(R74="",S74=""),"",IFERROR(S74/R74*100,0))</f>
        <v/>
      </c>
      <c r="U74" s="49" t="str">
        <f aca="false">IF(OR(O74="",L74="",M74="",S74="",M74=0),"",IFERROR(O74/(L74*60*S74/(M74*36))*100,0))</f>
        <v/>
      </c>
      <c r="V74" s="49" t="n">
        <f aca="false">'Daily KPI Entry'!V75</f>
        <v>0</v>
      </c>
      <c r="W74" s="49" t="str">
        <f aca="false">IF(O74="","",IFERROR(V74/O74*100,0))</f>
        <v/>
      </c>
      <c r="X74" s="49" t="n">
        <f aca="false">'Daily KPI Entry'!X75</f>
        <v>0</v>
      </c>
      <c r="Y74" s="49" t="n">
        <f aca="false">'Daily KPI Entry'!Y75</f>
        <v>0</v>
      </c>
      <c r="Z74" s="49" t="n">
        <f aca="false">'Daily KPI Entry'!Z75</f>
        <v>0</v>
      </c>
      <c r="AA74" s="49" t="n">
        <f aca="false">'Daily KPI Entry'!AA75</f>
        <v>0</v>
      </c>
      <c r="AB74" s="49" t="n">
        <f aca="false">'Daily KPI Entry'!AB75</f>
        <v>0</v>
      </c>
      <c r="AC74" s="49" t="n">
        <f aca="false">'Daily KPI Entry'!AC75</f>
        <v>0</v>
      </c>
      <c r="AD74" s="49" t="n">
        <f aca="false">'Daily KPI Entry'!AD75</f>
        <v>0</v>
      </c>
      <c r="AE74" s="49" t="n">
        <f aca="false">'Daily KPI Entry'!AE75</f>
        <v>0</v>
      </c>
      <c r="AF74" s="47" t="str">
        <f aca="false">IF(O74="","",SUM(X74:AE74))</f>
        <v/>
      </c>
      <c r="AG74" s="49" t="str">
        <f aca="false">IF(O74="","",IFERROR(AF74/O74*1000,0))</f>
        <v/>
      </c>
      <c r="AH74" s="49" t="n">
        <f aca="false">'Daily KPI Entry'!AH75</f>
        <v>0</v>
      </c>
      <c r="AI74" s="49" t="n">
        <f aca="false">'Daily KPI Entry'!AI75</f>
        <v>0</v>
      </c>
      <c r="AJ74" s="49" t="n">
        <f aca="false">'Daily KPI Entry'!AJ75</f>
        <v>0</v>
      </c>
      <c r="AK74" s="47" t="n">
        <f aca="false">'Daily KPI Entry'!AK75</f>
        <v>0</v>
      </c>
      <c r="AL74" s="47" t="n">
        <f aca="false">'Daily KPI Entry'!AL75</f>
        <v>0</v>
      </c>
      <c r="AM74" s="47" t="n">
        <f aca="false">'Daily KPI Entry'!AM75</f>
        <v>0</v>
      </c>
      <c r="AN74" s="49" t="str">
        <f aca="false">IF(P74="","",MIN(120,P74))</f>
        <v/>
      </c>
      <c r="AO74" s="49" t="str">
        <f aca="false">IF(U74="","",MIN(120,U74))</f>
        <v/>
      </c>
      <c r="AP74" s="49" t="str">
        <f aca="false">IF(R74="","",MIN(120,IFERROR(S74/R74*100,0)))</f>
        <v/>
      </c>
      <c r="AQ74" s="49" t="str">
        <f aca="false">IF(W74="","",MIN(120,IF(W74=0,120,100*(INDEX('Standards &amp; Scoring'!$E$5:$E$13,MATCH("Quality / Rejection",'Standards &amp; Scoring'!$A$5:$A$13,0))/W74))))</f>
        <v/>
      </c>
      <c r="AR74" s="49" t="str">
        <f aca="false">IF(AG74="","",MIN(120,IF(AG74=0,120,100*(INDEX('Standards &amp; Scoring'!$E$5:$E$13,MATCH("Fault Control",'Standards &amp; Scoring'!$A$5:$A$13,0))/AG74))))</f>
        <v/>
      </c>
      <c r="AS74" s="49" t="str">
        <f aca="false">IF(O74="","",MIN(120,IF(SUMIFS('Fault &amp; Downtime Entry'!$L$6:$L$1005,'Fault &amp; Downtime Entry'!$E$6:$E$1005,G74,'Fault &amp; Downtime Entry'!$B$6:$B$1005,B74)=0,120,100*(INDEX('Standards &amp; Scoring'!$E$5:$E$13,MATCH("Downtime Control",'Standards &amp; Scoring'!$A$5:$A$13,0))/IFERROR(SUMIFS('Fault &amp; Downtime Entry'!$L$6:$L$1005,'Fault &amp; Downtime Entry'!$E$6:$E$1005,G74,'Fault &amp; Downtime Entry'!$B$6:$B$1005,B74)/O74*1000,999999)))))</f>
        <v/>
      </c>
      <c r="AT74" s="49" t="n">
        <f aca="false">IF(COUNTA(AH74,AJ74)=0,"",MIN(120,IF(AND(AH74&lt;&gt;"",AJ74&lt;&gt;""),AVERAGE(AH74,AJ74),IF(AH74&lt;&gt;"",AH74,AJ74))))</f>
        <v>0</v>
      </c>
      <c r="AU74" s="49" t="str">
        <f aca="false">IF(AI74="","",MIN(120,AI74))</f>
        <v/>
      </c>
      <c r="AV74" s="49" t="str">
        <f aca="false">IF(AJ74="","",MIN(120,AJ74))</f>
        <v/>
      </c>
      <c r="AW74" s="50" t="str">
        <f aca="false">IF(COUNT(AN74:AV74)&lt;9,"",(AN74*'Standards &amp; Scoring'!$D$5+AO74*'Standards &amp; Scoring'!$D$6+AP74*'Standards &amp; Scoring'!$D$7+AQ74*'Standards &amp; Scoring'!$D$8+AR74*'Standards &amp; Scoring'!$D$9+AS74*'Standards &amp; Scoring'!$D$10+AT74*'Standards &amp; Scoring'!$D$11+AU74*'Standards &amp; Scoring'!$D$12+AV74*'Standards &amp; Scoring'!$D$13)/10000)</f>
        <v/>
      </c>
      <c r="AX74" s="47" t="str">
        <f aca="false">IF(AW74="","",IF(AW74&gt;=1.05,"A+",IF(AW74&gt;=1,"A",IF(AW74&gt;=0.95,"B+",IF(AW74&gt;=0.9,"B","C")))))</f>
        <v/>
      </c>
      <c r="AY74" s="47" t="str">
        <f aca="false">IF(AX74="","",IF(AX74="A+",1800,IF(AX74="A",1600,IF(AX74="B+",1400,IF(AX74="B",1200,0)))))</f>
        <v/>
      </c>
      <c r="AZ74" s="49" t="str">
        <f aca="false">IF(OR(L74="",M74="",S74="",M74=0),"",IFERROR(L74*60*S74/(M74*36),0))</f>
        <v/>
      </c>
    </row>
    <row r="75" customFormat="false" ht="15" hidden="false" customHeight="true" outlineLevel="0" collapsed="false">
      <c r="A75" s="47" t="n">
        <f aca="false">'Daily KPI Entry'!A76</f>
        <v>0</v>
      </c>
      <c r="B75" s="48" t="n">
        <f aca="false">'Daily KPI Entry'!B76</f>
        <v>0</v>
      </c>
      <c r="C75" s="47" t="n">
        <f aca="false">'Daily KPI Entry'!C76</f>
        <v>0</v>
      </c>
      <c r="D75" s="47" t="n">
        <f aca="false">'Daily KPI Entry'!D76</f>
        <v>0</v>
      </c>
      <c r="E75" s="47" t="n">
        <f aca="false">'Daily KPI Entry'!E76</f>
        <v>0</v>
      </c>
      <c r="F75" s="47" t="n">
        <f aca="false">'Daily KPI Entry'!F76</f>
        <v>0</v>
      </c>
      <c r="G75" s="47" t="n">
        <f aca="false">'Daily KPI Entry'!G76</f>
        <v>0</v>
      </c>
      <c r="H75" s="47" t="str">
        <f aca="false">'Daily KPI Entry'!H76</f>
        <v/>
      </c>
      <c r="I75" s="47" t="n">
        <f aca="false">'Daily KPI Entry'!I76</f>
        <v>0</v>
      </c>
      <c r="J75" s="47" t="n">
        <f aca="false">'Daily KPI Entry'!J76</f>
        <v>0</v>
      </c>
      <c r="K75" s="47" t="n">
        <f aca="false">'Daily KPI Entry'!K76</f>
        <v>0</v>
      </c>
      <c r="L75" s="47" t="n">
        <f aca="false">'Daily KPI Entry'!L76</f>
        <v>0</v>
      </c>
      <c r="M75" s="47" t="n">
        <f aca="false">'Daily KPI Entry'!M76</f>
        <v>0</v>
      </c>
      <c r="N75" s="49" t="n">
        <f aca="false">'Daily KPI Entry'!N76</f>
        <v>0</v>
      </c>
      <c r="O75" s="49" t="n">
        <f aca="false">'Daily KPI Entry'!O76</f>
        <v>0</v>
      </c>
      <c r="P75" s="49" t="str">
        <f aca="false">IF(OR(N75="",O75=""),"",IFERROR(O75/N75*100,0))</f>
        <v/>
      </c>
      <c r="Q75" s="47" t="n">
        <f aca="false">'Daily KPI Entry'!Q76</f>
        <v>8</v>
      </c>
      <c r="R75" s="47" t="str">
        <f aca="false">IF(J75="","",Q75*J75)</f>
        <v/>
      </c>
      <c r="S75" s="49" t="n">
        <f aca="false">'Daily KPI Entry'!S76</f>
        <v>0</v>
      </c>
      <c r="T75" s="49" t="str">
        <f aca="false">IF(OR(R75="",S75=""),"",IFERROR(S75/R75*100,0))</f>
        <v/>
      </c>
      <c r="U75" s="49" t="str">
        <f aca="false">IF(OR(O75="",L75="",M75="",S75="",M75=0),"",IFERROR(O75/(L75*60*S75/(M75*36))*100,0))</f>
        <v/>
      </c>
      <c r="V75" s="49" t="n">
        <f aca="false">'Daily KPI Entry'!V76</f>
        <v>0</v>
      </c>
      <c r="W75" s="49" t="str">
        <f aca="false">IF(O75="","",IFERROR(V75/O75*100,0))</f>
        <v/>
      </c>
      <c r="X75" s="49" t="n">
        <f aca="false">'Daily KPI Entry'!X76</f>
        <v>0</v>
      </c>
      <c r="Y75" s="49" t="n">
        <f aca="false">'Daily KPI Entry'!Y76</f>
        <v>0</v>
      </c>
      <c r="Z75" s="49" t="n">
        <f aca="false">'Daily KPI Entry'!Z76</f>
        <v>0</v>
      </c>
      <c r="AA75" s="49" t="n">
        <f aca="false">'Daily KPI Entry'!AA76</f>
        <v>0</v>
      </c>
      <c r="AB75" s="49" t="n">
        <f aca="false">'Daily KPI Entry'!AB76</f>
        <v>0</v>
      </c>
      <c r="AC75" s="49" t="n">
        <f aca="false">'Daily KPI Entry'!AC76</f>
        <v>0</v>
      </c>
      <c r="AD75" s="49" t="n">
        <f aca="false">'Daily KPI Entry'!AD76</f>
        <v>0</v>
      </c>
      <c r="AE75" s="49" t="n">
        <f aca="false">'Daily KPI Entry'!AE76</f>
        <v>0</v>
      </c>
      <c r="AF75" s="47" t="str">
        <f aca="false">IF(O75="","",SUM(X75:AE75))</f>
        <v/>
      </c>
      <c r="AG75" s="49" t="str">
        <f aca="false">IF(O75="","",IFERROR(AF75/O75*1000,0))</f>
        <v/>
      </c>
      <c r="AH75" s="49" t="n">
        <f aca="false">'Daily KPI Entry'!AH76</f>
        <v>0</v>
      </c>
      <c r="AI75" s="49" t="n">
        <f aca="false">'Daily KPI Entry'!AI76</f>
        <v>0</v>
      </c>
      <c r="AJ75" s="49" t="n">
        <f aca="false">'Daily KPI Entry'!AJ76</f>
        <v>0</v>
      </c>
      <c r="AK75" s="47" t="n">
        <f aca="false">'Daily KPI Entry'!AK76</f>
        <v>0</v>
      </c>
      <c r="AL75" s="47" t="n">
        <f aca="false">'Daily KPI Entry'!AL76</f>
        <v>0</v>
      </c>
      <c r="AM75" s="47" t="n">
        <f aca="false">'Daily KPI Entry'!AM76</f>
        <v>0</v>
      </c>
      <c r="AN75" s="49" t="str">
        <f aca="false">IF(P75="","",MIN(120,P75))</f>
        <v/>
      </c>
      <c r="AO75" s="49" t="str">
        <f aca="false">IF(U75="","",MIN(120,U75))</f>
        <v/>
      </c>
      <c r="AP75" s="49" t="str">
        <f aca="false">IF(R75="","",MIN(120,IFERROR(S75/R75*100,0)))</f>
        <v/>
      </c>
      <c r="AQ75" s="49" t="str">
        <f aca="false">IF(W75="","",MIN(120,IF(W75=0,120,100*(INDEX('Standards &amp; Scoring'!$E$5:$E$13,MATCH("Quality / Rejection",'Standards &amp; Scoring'!$A$5:$A$13,0))/W75))))</f>
        <v/>
      </c>
      <c r="AR75" s="49" t="str">
        <f aca="false">IF(AG75="","",MIN(120,IF(AG75=0,120,100*(INDEX('Standards &amp; Scoring'!$E$5:$E$13,MATCH("Fault Control",'Standards &amp; Scoring'!$A$5:$A$13,0))/AG75))))</f>
        <v/>
      </c>
      <c r="AS75" s="49" t="str">
        <f aca="false">IF(O75="","",MIN(120,IF(SUMIFS('Fault &amp; Downtime Entry'!$L$6:$L$1005,'Fault &amp; Downtime Entry'!$E$6:$E$1005,G75,'Fault &amp; Downtime Entry'!$B$6:$B$1005,B75)=0,120,100*(INDEX('Standards &amp; Scoring'!$E$5:$E$13,MATCH("Downtime Control",'Standards &amp; Scoring'!$A$5:$A$13,0))/IFERROR(SUMIFS('Fault &amp; Downtime Entry'!$L$6:$L$1005,'Fault &amp; Downtime Entry'!$E$6:$E$1005,G75,'Fault &amp; Downtime Entry'!$B$6:$B$1005,B75)/O75*1000,999999)))))</f>
        <v/>
      </c>
      <c r="AT75" s="49" t="n">
        <f aca="false">IF(COUNTA(AH75,AJ75)=0,"",MIN(120,IF(AND(AH75&lt;&gt;"",AJ75&lt;&gt;""),AVERAGE(AH75,AJ75),IF(AH75&lt;&gt;"",AH75,AJ75))))</f>
        <v>0</v>
      </c>
      <c r="AU75" s="49" t="str">
        <f aca="false">IF(AI75="","",MIN(120,AI75))</f>
        <v/>
      </c>
      <c r="AV75" s="49" t="str">
        <f aca="false">IF(AJ75="","",MIN(120,AJ75))</f>
        <v/>
      </c>
      <c r="AW75" s="50" t="str">
        <f aca="false">IF(COUNT(AN75:AV75)&lt;9,"",(AN75*'Standards &amp; Scoring'!$D$5+AO75*'Standards &amp; Scoring'!$D$6+AP75*'Standards &amp; Scoring'!$D$7+AQ75*'Standards &amp; Scoring'!$D$8+AR75*'Standards &amp; Scoring'!$D$9+AS75*'Standards &amp; Scoring'!$D$10+AT75*'Standards &amp; Scoring'!$D$11+AU75*'Standards &amp; Scoring'!$D$12+AV75*'Standards &amp; Scoring'!$D$13)/10000)</f>
        <v/>
      </c>
      <c r="AX75" s="47" t="str">
        <f aca="false">IF(AW75="","",IF(AW75&gt;=1.05,"A+",IF(AW75&gt;=1,"A",IF(AW75&gt;=0.95,"B+",IF(AW75&gt;=0.9,"B","C")))))</f>
        <v/>
      </c>
      <c r="AY75" s="47" t="str">
        <f aca="false">IF(AX75="","",IF(AX75="A+",1800,IF(AX75="A",1600,IF(AX75="B+",1400,IF(AX75="B",1200,0)))))</f>
        <v/>
      </c>
      <c r="AZ75" s="49" t="str">
        <f aca="false">IF(OR(L75="",M75="",S75="",M75=0),"",IFERROR(L75*60*S75/(M75*36),0))</f>
        <v/>
      </c>
    </row>
    <row r="76" customFormat="false" ht="15" hidden="false" customHeight="true" outlineLevel="0" collapsed="false">
      <c r="A76" s="47" t="n">
        <f aca="false">'Daily KPI Entry'!A77</f>
        <v>0</v>
      </c>
      <c r="B76" s="48" t="n">
        <f aca="false">'Daily KPI Entry'!B77</f>
        <v>0</v>
      </c>
      <c r="C76" s="47" t="n">
        <f aca="false">'Daily KPI Entry'!C77</f>
        <v>0</v>
      </c>
      <c r="D76" s="47" t="n">
        <f aca="false">'Daily KPI Entry'!D77</f>
        <v>0</v>
      </c>
      <c r="E76" s="47" t="n">
        <f aca="false">'Daily KPI Entry'!E77</f>
        <v>0</v>
      </c>
      <c r="F76" s="47" t="n">
        <f aca="false">'Daily KPI Entry'!F77</f>
        <v>0</v>
      </c>
      <c r="G76" s="47" t="n">
        <f aca="false">'Daily KPI Entry'!G77</f>
        <v>0</v>
      </c>
      <c r="H76" s="47" t="str">
        <f aca="false">'Daily KPI Entry'!H77</f>
        <v/>
      </c>
      <c r="I76" s="47" t="n">
        <f aca="false">'Daily KPI Entry'!I77</f>
        <v>0</v>
      </c>
      <c r="J76" s="47" t="n">
        <f aca="false">'Daily KPI Entry'!J77</f>
        <v>0</v>
      </c>
      <c r="K76" s="47" t="n">
        <f aca="false">'Daily KPI Entry'!K77</f>
        <v>0</v>
      </c>
      <c r="L76" s="47" t="n">
        <f aca="false">'Daily KPI Entry'!L77</f>
        <v>0</v>
      </c>
      <c r="M76" s="47" t="n">
        <f aca="false">'Daily KPI Entry'!M77</f>
        <v>0</v>
      </c>
      <c r="N76" s="49" t="n">
        <f aca="false">'Daily KPI Entry'!N77</f>
        <v>0</v>
      </c>
      <c r="O76" s="49" t="n">
        <f aca="false">'Daily KPI Entry'!O77</f>
        <v>0</v>
      </c>
      <c r="P76" s="49" t="str">
        <f aca="false">IF(OR(N76="",O76=""),"",IFERROR(O76/N76*100,0))</f>
        <v/>
      </c>
      <c r="Q76" s="47" t="n">
        <f aca="false">'Daily KPI Entry'!Q77</f>
        <v>8</v>
      </c>
      <c r="R76" s="47" t="str">
        <f aca="false">IF(J76="","",Q76*J76)</f>
        <v/>
      </c>
      <c r="S76" s="49" t="n">
        <f aca="false">'Daily KPI Entry'!S77</f>
        <v>0</v>
      </c>
      <c r="T76" s="49" t="str">
        <f aca="false">IF(OR(R76="",S76=""),"",IFERROR(S76/R76*100,0))</f>
        <v/>
      </c>
      <c r="U76" s="49" t="str">
        <f aca="false">IF(OR(O76="",L76="",M76="",S76="",M76=0),"",IFERROR(O76/(L76*60*S76/(M76*36))*100,0))</f>
        <v/>
      </c>
      <c r="V76" s="49" t="n">
        <f aca="false">'Daily KPI Entry'!V77</f>
        <v>0</v>
      </c>
      <c r="W76" s="49" t="str">
        <f aca="false">IF(O76="","",IFERROR(V76/O76*100,0))</f>
        <v/>
      </c>
      <c r="X76" s="49" t="n">
        <f aca="false">'Daily KPI Entry'!X77</f>
        <v>0</v>
      </c>
      <c r="Y76" s="49" t="n">
        <f aca="false">'Daily KPI Entry'!Y77</f>
        <v>0</v>
      </c>
      <c r="Z76" s="49" t="n">
        <f aca="false">'Daily KPI Entry'!Z77</f>
        <v>0</v>
      </c>
      <c r="AA76" s="49" t="n">
        <f aca="false">'Daily KPI Entry'!AA77</f>
        <v>0</v>
      </c>
      <c r="AB76" s="49" t="n">
        <f aca="false">'Daily KPI Entry'!AB77</f>
        <v>0</v>
      </c>
      <c r="AC76" s="49" t="n">
        <f aca="false">'Daily KPI Entry'!AC77</f>
        <v>0</v>
      </c>
      <c r="AD76" s="49" t="n">
        <f aca="false">'Daily KPI Entry'!AD77</f>
        <v>0</v>
      </c>
      <c r="AE76" s="49" t="n">
        <f aca="false">'Daily KPI Entry'!AE77</f>
        <v>0</v>
      </c>
      <c r="AF76" s="47" t="str">
        <f aca="false">IF(O76="","",SUM(X76:AE76))</f>
        <v/>
      </c>
      <c r="AG76" s="49" t="str">
        <f aca="false">IF(O76="","",IFERROR(AF76/O76*1000,0))</f>
        <v/>
      </c>
      <c r="AH76" s="49" t="n">
        <f aca="false">'Daily KPI Entry'!AH77</f>
        <v>0</v>
      </c>
      <c r="AI76" s="49" t="n">
        <f aca="false">'Daily KPI Entry'!AI77</f>
        <v>0</v>
      </c>
      <c r="AJ76" s="49" t="n">
        <f aca="false">'Daily KPI Entry'!AJ77</f>
        <v>0</v>
      </c>
      <c r="AK76" s="47" t="n">
        <f aca="false">'Daily KPI Entry'!AK77</f>
        <v>0</v>
      </c>
      <c r="AL76" s="47" t="n">
        <f aca="false">'Daily KPI Entry'!AL77</f>
        <v>0</v>
      </c>
      <c r="AM76" s="47" t="n">
        <f aca="false">'Daily KPI Entry'!AM77</f>
        <v>0</v>
      </c>
      <c r="AN76" s="49" t="str">
        <f aca="false">IF(P76="","",MIN(120,P76))</f>
        <v/>
      </c>
      <c r="AO76" s="49" t="str">
        <f aca="false">IF(U76="","",MIN(120,U76))</f>
        <v/>
      </c>
      <c r="AP76" s="49" t="str">
        <f aca="false">IF(R76="","",MIN(120,IFERROR(S76/R76*100,0)))</f>
        <v/>
      </c>
      <c r="AQ76" s="49" t="str">
        <f aca="false">IF(W76="","",MIN(120,IF(W76=0,120,100*(INDEX('Standards &amp; Scoring'!$E$5:$E$13,MATCH("Quality / Rejection",'Standards &amp; Scoring'!$A$5:$A$13,0))/W76))))</f>
        <v/>
      </c>
      <c r="AR76" s="49" t="str">
        <f aca="false">IF(AG76="","",MIN(120,IF(AG76=0,120,100*(INDEX('Standards &amp; Scoring'!$E$5:$E$13,MATCH("Fault Control",'Standards &amp; Scoring'!$A$5:$A$13,0))/AG76))))</f>
        <v/>
      </c>
      <c r="AS76" s="49" t="str">
        <f aca="false">IF(O76="","",MIN(120,IF(SUMIFS('Fault &amp; Downtime Entry'!$L$6:$L$1005,'Fault &amp; Downtime Entry'!$E$6:$E$1005,G76,'Fault &amp; Downtime Entry'!$B$6:$B$1005,B76)=0,120,100*(INDEX('Standards &amp; Scoring'!$E$5:$E$13,MATCH("Downtime Control",'Standards &amp; Scoring'!$A$5:$A$13,0))/IFERROR(SUMIFS('Fault &amp; Downtime Entry'!$L$6:$L$1005,'Fault &amp; Downtime Entry'!$E$6:$E$1005,G76,'Fault &amp; Downtime Entry'!$B$6:$B$1005,B76)/O76*1000,999999)))))</f>
        <v/>
      </c>
      <c r="AT76" s="49" t="n">
        <f aca="false">IF(COUNTA(AH76,AJ76)=0,"",MIN(120,IF(AND(AH76&lt;&gt;"",AJ76&lt;&gt;""),AVERAGE(AH76,AJ76),IF(AH76&lt;&gt;"",AH76,AJ76))))</f>
        <v>0</v>
      </c>
      <c r="AU76" s="49" t="str">
        <f aca="false">IF(AI76="","",MIN(120,AI76))</f>
        <v/>
      </c>
      <c r="AV76" s="49" t="str">
        <f aca="false">IF(AJ76="","",MIN(120,AJ76))</f>
        <v/>
      </c>
      <c r="AW76" s="50" t="str">
        <f aca="false">IF(COUNT(AN76:AV76)&lt;9,"",(AN76*'Standards &amp; Scoring'!$D$5+AO76*'Standards &amp; Scoring'!$D$6+AP76*'Standards &amp; Scoring'!$D$7+AQ76*'Standards &amp; Scoring'!$D$8+AR76*'Standards &amp; Scoring'!$D$9+AS76*'Standards &amp; Scoring'!$D$10+AT76*'Standards &amp; Scoring'!$D$11+AU76*'Standards &amp; Scoring'!$D$12+AV76*'Standards &amp; Scoring'!$D$13)/10000)</f>
        <v/>
      </c>
      <c r="AX76" s="47" t="str">
        <f aca="false">IF(AW76="","",IF(AW76&gt;=1.05,"A+",IF(AW76&gt;=1,"A",IF(AW76&gt;=0.95,"B+",IF(AW76&gt;=0.9,"B","C")))))</f>
        <v/>
      </c>
      <c r="AY76" s="47" t="str">
        <f aca="false">IF(AX76="","",IF(AX76="A+",1800,IF(AX76="A",1600,IF(AX76="B+",1400,IF(AX76="B",1200,0)))))</f>
        <v/>
      </c>
      <c r="AZ76" s="49" t="str">
        <f aca="false">IF(OR(L76="",M76="",S76="",M76=0),"",IFERROR(L76*60*S76/(M76*36),0))</f>
        <v/>
      </c>
    </row>
    <row r="77" customFormat="false" ht="15" hidden="false" customHeight="true" outlineLevel="0" collapsed="false">
      <c r="A77" s="47" t="n">
        <f aca="false">'Daily KPI Entry'!A78</f>
        <v>0</v>
      </c>
      <c r="B77" s="48" t="n">
        <f aca="false">'Daily KPI Entry'!B78</f>
        <v>0</v>
      </c>
      <c r="C77" s="47" t="n">
        <f aca="false">'Daily KPI Entry'!C78</f>
        <v>0</v>
      </c>
      <c r="D77" s="47" t="n">
        <f aca="false">'Daily KPI Entry'!D78</f>
        <v>0</v>
      </c>
      <c r="E77" s="47" t="n">
        <f aca="false">'Daily KPI Entry'!E78</f>
        <v>0</v>
      </c>
      <c r="F77" s="47" t="n">
        <f aca="false">'Daily KPI Entry'!F78</f>
        <v>0</v>
      </c>
      <c r="G77" s="47" t="n">
        <f aca="false">'Daily KPI Entry'!G78</f>
        <v>0</v>
      </c>
      <c r="H77" s="47" t="str">
        <f aca="false">'Daily KPI Entry'!H78</f>
        <v/>
      </c>
      <c r="I77" s="47" t="n">
        <f aca="false">'Daily KPI Entry'!I78</f>
        <v>0</v>
      </c>
      <c r="J77" s="47" t="n">
        <f aca="false">'Daily KPI Entry'!J78</f>
        <v>0</v>
      </c>
      <c r="K77" s="47" t="n">
        <f aca="false">'Daily KPI Entry'!K78</f>
        <v>0</v>
      </c>
      <c r="L77" s="47" t="n">
        <f aca="false">'Daily KPI Entry'!L78</f>
        <v>0</v>
      </c>
      <c r="M77" s="47" t="n">
        <f aca="false">'Daily KPI Entry'!M78</f>
        <v>0</v>
      </c>
      <c r="N77" s="49" t="n">
        <f aca="false">'Daily KPI Entry'!N78</f>
        <v>0</v>
      </c>
      <c r="O77" s="49" t="n">
        <f aca="false">'Daily KPI Entry'!O78</f>
        <v>0</v>
      </c>
      <c r="P77" s="49" t="str">
        <f aca="false">IF(OR(N77="",O77=""),"",IFERROR(O77/N77*100,0))</f>
        <v/>
      </c>
      <c r="Q77" s="47" t="n">
        <f aca="false">'Daily KPI Entry'!Q78</f>
        <v>8</v>
      </c>
      <c r="R77" s="47" t="str">
        <f aca="false">IF(J77="","",Q77*J77)</f>
        <v/>
      </c>
      <c r="S77" s="49" t="n">
        <f aca="false">'Daily KPI Entry'!S78</f>
        <v>0</v>
      </c>
      <c r="T77" s="49" t="str">
        <f aca="false">IF(OR(R77="",S77=""),"",IFERROR(S77/R77*100,0))</f>
        <v/>
      </c>
      <c r="U77" s="49" t="str">
        <f aca="false">IF(OR(O77="",L77="",M77="",S77="",M77=0),"",IFERROR(O77/(L77*60*S77/(M77*36))*100,0))</f>
        <v/>
      </c>
      <c r="V77" s="49" t="n">
        <f aca="false">'Daily KPI Entry'!V78</f>
        <v>0</v>
      </c>
      <c r="W77" s="49" t="str">
        <f aca="false">IF(O77="","",IFERROR(V77/O77*100,0))</f>
        <v/>
      </c>
      <c r="X77" s="49" t="n">
        <f aca="false">'Daily KPI Entry'!X78</f>
        <v>0</v>
      </c>
      <c r="Y77" s="49" t="n">
        <f aca="false">'Daily KPI Entry'!Y78</f>
        <v>0</v>
      </c>
      <c r="Z77" s="49" t="n">
        <f aca="false">'Daily KPI Entry'!Z78</f>
        <v>0</v>
      </c>
      <c r="AA77" s="49" t="n">
        <f aca="false">'Daily KPI Entry'!AA78</f>
        <v>0</v>
      </c>
      <c r="AB77" s="49" t="n">
        <f aca="false">'Daily KPI Entry'!AB78</f>
        <v>0</v>
      </c>
      <c r="AC77" s="49" t="n">
        <f aca="false">'Daily KPI Entry'!AC78</f>
        <v>0</v>
      </c>
      <c r="AD77" s="49" t="n">
        <f aca="false">'Daily KPI Entry'!AD78</f>
        <v>0</v>
      </c>
      <c r="AE77" s="49" t="n">
        <f aca="false">'Daily KPI Entry'!AE78</f>
        <v>0</v>
      </c>
      <c r="AF77" s="47" t="str">
        <f aca="false">IF(O77="","",SUM(X77:AE77))</f>
        <v/>
      </c>
      <c r="AG77" s="49" t="str">
        <f aca="false">IF(O77="","",IFERROR(AF77/O77*1000,0))</f>
        <v/>
      </c>
      <c r="AH77" s="49" t="n">
        <f aca="false">'Daily KPI Entry'!AH78</f>
        <v>0</v>
      </c>
      <c r="AI77" s="49" t="n">
        <f aca="false">'Daily KPI Entry'!AI78</f>
        <v>0</v>
      </c>
      <c r="AJ77" s="49" t="n">
        <f aca="false">'Daily KPI Entry'!AJ78</f>
        <v>0</v>
      </c>
      <c r="AK77" s="47" t="n">
        <f aca="false">'Daily KPI Entry'!AK78</f>
        <v>0</v>
      </c>
      <c r="AL77" s="47" t="n">
        <f aca="false">'Daily KPI Entry'!AL78</f>
        <v>0</v>
      </c>
      <c r="AM77" s="47" t="n">
        <f aca="false">'Daily KPI Entry'!AM78</f>
        <v>0</v>
      </c>
      <c r="AN77" s="49" t="str">
        <f aca="false">IF(P77="","",MIN(120,P77))</f>
        <v/>
      </c>
      <c r="AO77" s="49" t="str">
        <f aca="false">IF(U77="","",MIN(120,U77))</f>
        <v/>
      </c>
      <c r="AP77" s="49" t="str">
        <f aca="false">IF(R77="","",MIN(120,IFERROR(S77/R77*100,0)))</f>
        <v/>
      </c>
      <c r="AQ77" s="49" t="str">
        <f aca="false">IF(W77="","",MIN(120,IF(W77=0,120,100*(INDEX('Standards &amp; Scoring'!$E$5:$E$13,MATCH("Quality / Rejection",'Standards &amp; Scoring'!$A$5:$A$13,0))/W77))))</f>
        <v/>
      </c>
      <c r="AR77" s="49" t="str">
        <f aca="false">IF(AG77="","",MIN(120,IF(AG77=0,120,100*(INDEX('Standards &amp; Scoring'!$E$5:$E$13,MATCH("Fault Control",'Standards &amp; Scoring'!$A$5:$A$13,0))/AG77))))</f>
        <v/>
      </c>
      <c r="AS77" s="49" t="str">
        <f aca="false">IF(O77="","",MIN(120,IF(SUMIFS('Fault &amp; Downtime Entry'!$L$6:$L$1005,'Fault &amp; Downtime Entry'!$E$6:$E$1005,G77,'Fault &amp; Downtime Entry'!$B$6:$B$1005,B77)=0,120,100*(INDEX('Standards &amp; Scoring'!$E$5:$E$13,MATCH("Downtime Control",'Standards &amp; Scoring'!$A$5:$A$13,0))/IFERROR(SUMIFS('Fault &amp; Downtime Entry'!$L$6:$L$1005,'Fault &amp; Downtime Entry'!$E$6:$E$1005,G77,'Fault &amp; Downtime Entry'!$B$6:$B$1005,B77)/O77*1000,999999)))))</f>
        <v/>
      </c>
      <c r="AT77" s="49" t="n">
        <f aca="false">IF(COUNTA(AH77,AJ77)=0,"",MIN(120,IF(AND(AH77&lt;&gt;"",AJ77&lt;&gt;""),AVERAGE(AH77,AJ77),IF(AH77&lt;&gt;"",AH77,AJ77))))</f>
        <v>0</v>
      </c>
      <c r="AU77" s="49" t="str">
        <f aca="false">IF(AI77="","",MIN(120,AI77))</f>
        <v/>
      </c>
      <c r="AV77" s="49" t="str">
        <f aca="false">IF(AJ77="","",MIN(120,AJ77))</f>
        <v/>
      </c>
      <c r="AW77" s="50" t="str">
        <f aca="false">IF(COUNT(AN77:AV77)&lt;9,"",(AN77*'Standards &amp; Scoring'!$D$5+AO77*'Standards &amp; Scoring'!$D$6+AP77*'Standards &amp; Scoring'!$D$7+AQ77*'Standards &amp; Scoring'!$D$8+AR77*'Standards &amp; Scoring'!$D$9+AS77*'Standards &amp; Scoring'!$D$10+AT77*'Standards &amp; Scoring'!$D$11+AU77*'Standards &amp; Scoring'!$D$12+AV77*'Standards &amp; Scoring'!$D$13)/10000)</f>
        <v/>
      </c>
      <c r="AX77" s="47" t="str">
        <f aca="false">IF(AW77="","",IF(AW77&gt;=1.05,"A+",IF(AW77&gt;=1,"A",IF(AW77&gt;=0.95,"B+",IF(AW77&gt;=0.9,"B","C")))))</f>
        <v/>
      </c>
      <c r="AY77" s="47" t="str">
        <f aca="false">IF(AX77="","",IF(AX77="A+",1800,IF(AX77="A",1600,IF(AX77="B+",1400,IF(AX77="B",1200,0)))))</f>
        <v/>
      </c>
      <c r="AZ77" s="49" t="str">
        <f aca="false">IF(OR(L77="",M77="",S77="",M77=0),"",IFERROR(L77*60*S77/(M77*36),0))</f>
        <v/>
      </c>
    </row>
    <row r="78" customFormat="false" ht="15" hidden="false" customHeight="true" outlineLevel="0" collapsed="false">
      <c r="A78" s="47" t="n">
        <f aca="false">'Daily KPI Entry'!A79</f>
        <v>0</v>
      </c>
      <c r="B78" s="48" t="n">
        <f aca="false">'Daily KPI Entry'!B79</f>
        <v>0</v>
      </c>
      <c r="C78" s="47" t="n">
        <f aca="false">'Daily KPI Entry'!C79</f>
        <v>0</v>
      </c>
      <c r="D78" s="47" t="n">
        <f aca="false">'Daily KPI Entry'!D79</f>
        <v>0</v>
      </c>
      <c r="E78" s="47" t="n">
        <f aca="false">'Daily KPI Entry'!E79</f>
        <v>0</v>
      </c>
      <c r="F78" s="47" t="n">
        <f aca="false">'Daily KPI Entry'!F79</f>
        <v>0</v>
      </c>
      <c r="G78" s="47" t="n">
        <f aca="false">'Daily KPI Entry'!G79</f>
        <v>0</v>
      </c>
      <c r="H78" s="47" t="str">
        <f aca="false">'Daily KPI Entry'!H79</f>
        <v/>
      </c>
      <c r="I78" s="47" t="n">
        <f aca="false">'Daily KPI Entry'!I79</f>
        <v>0</v>
      </c>
      <c r="J78" s="47" t="n">
        <f aca="false">'Daily KPI Entry'!J79</f>
        <v>0</v>
      </c>
      <c r="K78" s="47" t="n">
        <f aca="false">'Daily KPI Entry'!K79</f>
        <v>0</v>
      </c>
      <c r="L78" s="47" t="n">
        <f aca="false">'Daily KPI Entry'!L79</f>
        <v>0</v>
      </c>
      <c r="M78" s="47" t="n">
        <f aca="false">'Daily KPI Entry'!M79</f>
        <v>0</v>
      </c>
      <c r="N78" s="49" t="n">
        <f aca="false">'Daily KPI Entry'!N79</f>
        <v>0</v>
      </c>
      <c r="O78" s="49" t="n">
        <f aca="false">'Daily KPI Entry'!O79</f>
        <v>0</v>
      </c>
      <c r="P78" s="49" t="str">
        <f aca="false">IF(OR(N78="",O78=""),"",IFERROR(O78/N78*100,0))</f>
        <v/>
      </c>
      <c r="Q78" s="47" t="n">
        <f aca="false">'Daily KPI Entry'!Q79</f>
        <v>8</v>
      </c>
      <c r="R78" s="47" t="str">
        <f aca="false">IF(J78="","",Q78*J78)</f>
        <v/>
      </c>
      <c r="S78" s="49" t="n">
        <f aca="false">'Daily KPI Entry'!S79</f>
        <v>0</v>
      </c>
      <c r="T78" s="49" t="str">
        <f aca="false">IF(OR(R78="",S78=""),"",IFERROR(S78/R78*100,0))</f>
        <v/>
      </c>
      <c r="U78" s="49" t="str">
        <f aca="false">IF(OR(O78="",L78="",M78="",S78="",M78=0),"",IFERROR(O78/(L78*60*S78/(M78*36))*100,0))</f>
        <v/>
      </c>
      <c r="V78" s="49" t="n">
        <f aca="false">'Daily KPI Entry'!V79</f>
        <v>0</v>
      </c>
      <c r="W78" s="49" t="str">
        <f aca="false">IF(O78="","",IFERROR(V78/O78*100,0))</f>
        <v/>
      </c>
      <c r="X78" s="49" t="n">
        <f aca="false">'Daily KPI Entry'!X79</f>
        <v>0</v>
      </c>
      <c r="Y78" s="49" t="n">
        <f aca="false">'Daily KPI Entry'!Y79</f>
        <v>0</v>
      </c>
      <c r="Z78" s="49" t="n">
        <f aca="false">'Daily KPI Entry'!Z79</f>
        <v>0</v>
      </c>
      <c r="AA78" s="49" t="n">
        <f aca="false">'Daily KPI Entry'!AA79</f>
        <v>0</v>
      </c>
      <c r="AB78" s="49" t="n">
        <f aca="false">'Daily KPI Entry'!AB79</f>
        <v>0</v>
      </c>
      <c r="AC78" s="49" t="n">
        <f aca="false">'Daily KPI Entry'!AC79</f>
        <v>0</v>
      </c>
      <c r="AD78" s="49" t="n">
        <f aca="false">'Daily KPI Entry'!AD79</f>
        <v>0</v>
      </c>
      <c r="AE78" s="49" t="n">
        <f aca="false">'Daily KPI Entry'!AE79</f>
        <v>0</v>
      </c>
      <c r="AF78" s="47" t="str">
        <f aca="false">IF(O78="","",SUM(X78:AE78))</f>
        <v/>
      </c>
      <c r="AG78" s="49" t="str">
        <f aca="false">IF(O78="","",IFERROR(AF78/O78*1000,0))</f>
        <v/>
      </c>
      <c r="AH78" s="49" t="n">
        <f aca="false">'Daily KPI Entry'!AH79</f>
        <v>0</v>
      </c>
      <c r="AI78" s="49" t="n">
        <f aca="false">'Daily KPI Entry'!AI79</f>
        <v>0</v>
      </c>
      <c r="AJ78" s="49" t="n">
        <f aca="false">'Daily KPI Entry'!AJ79</f>
        <v>0</v>
      </c>
      <c r="AK78" s="47" t="n">
        <f aca="false">'Daily KPI Entry'!AK79</f>
        <v>0</v>
      </c>
      <c r="AL78" s="47" t="n">
        <f aca="false">'Daily KPI Entry'!AL79</f>
        <v>0</v>
      </c>
      <c r="AM78" s="47" t="n">
        <f aca="false">'Daily KPI Entry'!AM79</f>
        <v>0</v>
      </c>
      <c r="AN78" s="49" t="str">
        <f aca="false">IF(P78="","",MIN(120,P78))</f>
        <v/>
      </c>
      <c r="AO78" s="49" t="str">
        <f aca="false">IF(U78="","",MIN(120,U78))</f>
        <v/>
      </c>
      <c r="AP78" s="49" t="str">
        <f aca="false">IF(R78="","",MIN(120,IFERROR(S78/R78*100,0)))</f>
        <v/>
      </c>
      <c r="AQ78" s="49" t="str">
        <f aca="false">IF(W78="","",MIN(120,IF(W78=0,120,100*(INDEX('Standards &amp; Scoring'!$E$5:$E$13,MATCH("Quality / Rejection",'Standards &amp; Scoring'!$A$5:$A$13,0))/W78))))</f>
        <v/>
      </c>
      <c r="AR78" s="49" t="str">
        <f aca="false">IF(AG78="","",MIN(120,IF(AG78=0,120,100*(INDEX('Standards &amp; Scoring'!$E$5:$E$13,MATCH("Fault Control",'Standards &amp; Scoring'!$A$5:$A$13,0))/AG78))))</f>
        <v/>
      </c>
      <c r="AS78" s="49" t="str">
        <f aca="false">IF(O78="","",MIN(120,IF(SUMIFS('Fault &amp; Downtime Entry'!$L$6:$L$1005,'Fault &amp; Downtime Entry'!$E$6:$E$1005,G78,'Fault &amp; Downtime Entry'!$B$6:$B$1005,B78)=0,120,100*(INDEX('Standards &amp; Scoring'!$E$5:$E$13,MATCH("Downtime Control",'Standards &amp; Scoring'!$A$5:$A$13,0))/IFERROR(SUMIFS('Fault &amp; Downtime Entry'!$L$6:$L$1005,'Fault &amp; Downtime Entry'!$E$6:$E$1005,G78,'Fault &amp; Downtime Entry'!$B$6:$B$1005,B78)/O78*1000,999999)))))</f>
        <v/>
      </c>
      <c r="AT78" s="49" t="n">
        <f aca="false">IF(COUNTA(AH78,AJ78)=0,"",MIN(120,IF(AND(AH78&lt;&gt;"",AJ78&lt;&gt;""),AVERAGE(AH78,AJ78),IF(AH78&lt;&gt;"",AH78,AJ78))))</f>
        <v>0</v>
      </c>
      <c r="AU78" s="49" t="str">
        <f aca="false">IF(AI78="","",MIN(120,AI78))</f>
        <v/>
      </c>
      <c r="AV78" s="49" t="str">
        <f aca="false">IF(AJ78="","",MIN(120,AJ78))</f>
        <v/>
      </c>
      <c r="AW78" s="50" t="str">
        <f aca="false">IF(COUNT(AN78:AV78)&lt;9,"",(AN78*'Standards &amp; Scoring'!$D$5+AO78*'Standards &amp; Scoring'!$D$6+AP78*'Standards &amp; Scoring'!$D$7+AQ78*'Standards &amp; Scoring'!$D$8+AR78*'Standards &amp; Scoring'!$D$9+AS78*'Standards &amp; Scoring'!$D$10+AT78*'Standards &amp; Scoring'!$D$11+AU78*'Standards &amp; Scoring'!$D$12+AV78*'Standards &amp; Scoring'!$D$13)/10000)</f>
        <v/>
      </c>
      <c r="AX78" s="47" t="str">
        <f aca="false">IF(AW78="","",IF(AW78&gt;=1.05,"A+",IF(AW78&gt;=1,"A",IF(AW78&gt;=0.95,"B+",IF(AW78&gt;=0.9,"B","C")))))</f>
        <v/>
      </c>
      <c r="AY78" s="47" t="str">
        <f aca="false">IF(AX78="","",IF(AX78="A+",1800,IF(AX78="A",1600,IF(AX78="B+",1400,IF(AX78="B",1200,0)))))</f>
        <v/>
      </c>
      <c r="AZ78" s="49" t="str">
        <f aca="false">IF(OR(L78="",M78="",S78="",M78=0),"",IFERROR(L78*60*S78/(M78*36),0))</f>
        <v/>
      </c>
    </row>
    <row r="79" customFormat="false" ht="15" hidden="false" customHeight="true" outlineLevel="0" collapsed="false">
      <c r="A79" s="47" t="n">
        <f aca="false">'Daily KPI Entry'!A80</f>
        <v>0</v>
      </c>
      <c r="B79" s="48" t="n">
        <f aca="false">'Daily KPI Entry'!B80</f>
        <v>0</v>
      </c>
      <c r="C79" s="47" t="n">
        <f aca="false">'Daily KPI Entry'!C80</f>
        <v>0</v>
      </c>
      <c r="D79" s="47" t="n">
        <f aca="false">'Daily KPI Entry'!D80</f>
        <v>0</v>
      </c>
      <c r="E79" s="47" t="n">
        <f aca="false">'Daily KPI Entry'!E80</f>
        <v>0</v>
      </c>
      <c r="F79" s="47" t="n">
        <f aca="false">'Daily KPI Entry'!F80</f>
        <v>0</v>
      </c>
      <c r="G79" s="47" t="n">
        <f aca="false">'Daily KPI Entry'!G80</f>
        <v>0</v>
      </c>
      <c r="H79" s="47" t="str">
        <f aca="false">'Daily KPI Entry'!H80</f>
        <v/>
      </c>
      <c r="I79" s="47" t="n">
        <f aca="false">'Daily KPI Entry'!I80</f>
        <v>0</v>
      </c>
      <c r="J79" s="47" t="n">
        <f aca="false">'Daily KPI Entry'!J80</f>
        <v>0</v>
      </c>
      <c r="K79" s="47" t="n">
        <f aca="false">'Daily KPI Entry'!K80</f>
        <v>0</v>
      </c>
      <c r="L79" s="47" t="n">
        <f aca="false">'Daily KPI Entry'!L80</f>
        <v>0</v>
      </c>
      <c r="M79" s="47" t="n">
        <f aca="false">'Daily KPI Entry'!M80</f>
        <v>0</v>
      </c>
      <c r="N79" s="49" t="n">
        <f aca="false">'Daily KPI Entry'!N80</f>
        <v>0</v>
      </c>
      <c r="O79" s="49" t="n">
        <f aca="false">'Daily KPI Entry'!O80</f>
        <v>0</v>
      </c>
      <c r="P79" s="49" t="str">
        <f aca="false">IF(OR(N79="",O79=""),"",IFERROR(O79/N79*100,0))</f>
        <v/>
      </c>
      <c r="Q79" s="47" t="n">
        <f aca="false">'Daily KPI Entry'!Q80</f>
        <v>8</v>
      </c>
      <c r="R79" s="47" t="str">
        <f aca="false">IF(J79="","",Q79*J79)</f>
        <v/>
      </c>
      <c r="S79" s="49" t="n">
        <f aca="false">'Daily KPI Entry'!S80</f>
        <v>0</v>
      </c>
      <c r="T79" s="49" t="str">
        <f aca="false">IF(OR(R79="",S79=""),"",IFERROR(S79/R79*100,0))</f>
        <v/>
      </c>
      <c r="U79" s="49" t="str">
        <f aca="false">IF(OR(O79="",L79="",M79="",S79="",M79=0),"",IFERROR(O79/(L79*60*S79/(M79*36))*100,0))</f>
        <v/>
      </c>
      <c r="V79" s="49" t="n">
        <f aca="false">'Daily KPI Entry'!V80</f>
        <v>0</v>
      </c>
      <c r="W79" s="49" t="str">
        <f aca="false">IF(O79="","",IFERROR(V79/O79*100,0))</f>
        <v/>
      </c>
      <c r="X79" s="49" t="n">
        <f aca="false">'Daily KPI Entry'!X80</f>
        <v>0</v>
      </c>
      <c r="Y79" s="49" t="n">
        <f aca="false">'Daily KPI Entry'!Y80</f>
        <v>0</v>
      </c>
      <c r="Z79" s="49" t="n">
        <f aca="false">'Daily KPI Entry'!Z80</f>
        <v>0</v>
      </c>
      <c r="AA79" s="49" t="n">
        <f aca="false">'Daily KPI Entry'!AA80</f>
        <v>0</v>
      </c>
      <c r="AB79" s="49" t="n">
        <f aca="false">'Daily KPI Entry'!AB80</f>
        <v>0</v>
      </c>
      <c r="AC79" s="49" t="n">
        <f aca="false">'Daily KPI Entry'!AC80</f>
        <v>0</v>
      </c>
      <c r="AD79" s="49" t="n">
        <f aca="false">'Daily KPI Entry'!AD80</f>
        <v>0</v>
      </c>
      <c r="AE79" s="49" t="n">
        <f aca="false">'Daily KPI Entry'!AE80</f>
        <v>0</v>
      </c>
      <c r="AF79" s="47" t="str">
        <f aca="false">IF(O79="","",SUM(X79:AE79))</f>
        <v/>
      </c>
      <c r="AG79" s="49" t="str">
        <f aca="false">IF(O79="","",IFERROR(AF79/O79*1000,0))</f>
        <v/>
      </c>
      <c r="AH79" s="49" t="n">
        <f aca="false">'Daily KPI Entry'!AH80</f>
        <v>0</v>
      </c>
      <c r="AI79" s="49" t="n">
        <f aca="false">'Daily KPI Entry'!AI80</f>
        <v>0</v>
      </c>
      <c r="AJ79" s="49" t="n">
        <f aca="false">'Daily KPI Entry'!AJ80</f>
        <v>0</v>
      </c>
      <c r="AK79" s="47" t="n">
        <f aca="false">'Daily KPI Entry'!AK80</f>
        <v>0</v>
      </c>
      <c r="AL79" s="47" t="n">
        <f aca="false">'Daily KPI Entry'!AL80</f>
        <v>0</v>
      </c>
      <c r="AM79" s="47" t="n">
        <f aca="false">'Daily KPI Entry'!AM80</f>
        <v>0</v>
      </c>
      <c r="AN79" s="49" t="str">
        <f aca="false">IF(P79="","",MIN(120,P79))</f>
        <v/>
      </c>
      <c r="AO79" s="49" t="str">
        <f aca="false">IF(U79="","",MIN(120,U79))</f>
        <v/>
      </c>
      <c r="AP79" s="49" t="str">
        <f aca="false">IF(R79="","",MIN(120,IFERROR(S79/R79*100,0)))</f>
        <v/>
      </c>
      <c r="AQ79" s="49" t="str">
        <f aca="false">IF(W79="","",MIN(120,IF(W79=0,120,100*(INDEX('Standards &amp; Scoring'!$E$5:$E$13,MATCH("Quality / Rejection",'Standards &amp; Scoring'!$A$5:$A$13,0))/W79))))</f>
        <v/>
      </c>
      <c r="AR79" s="49" t="str">
        <f aca="false">IF(AG79="","",MIN(120,IF(AG79=0,120,100*(INDEX('Standards &amp; Scoring'!$E$5:$E$13,MATCH("Fault Control",'Standards &amp; Scoring'!$A$5:$A$13,0))/AG79))))</f>
        <v/>
      </c>
      <c r="AS79" s="49" t="str">
        <f aca="false">IF(O79="","",MIN(120,IF(SUMIFS('Fault &amp; Downtime Entry'!$L$6:$L$1005,'Fault &amp; Downtime Entry'!$E$6:$E$1005,G79,'Fault &amp; Downtime Entry'!$B$6:$B$1005,B79)=0,120,100*(INDEX('Standards &amp; Scoring'!$E$5:$E$13,MATCH("Downtime Control",'Standards &amp; Scoring'!$A$5:$A$13,0))/IFERROR(SUMIFS('Fault &amp; Downtime Entry'!$L$6:$L$1005,'Fault &amp; Downtime Entry'!$E$6:$E$1005,G79,'Fault &amp; Downtime Entry'!$B$6:$B$1005,B79)/O79*1000,999999)))))</f>
        <v/>
      </c>
      <c r="AT79" s="49" t="n">
        <f aca="false">IF(COUNTA(AH79,AJ79)=0,"",MIN(120,IF(AND(AH79&lt;&gt;"",AJ79&lt;&gt;""),AVERAGE(AH79,AJ79),IF(AH79&lt;&gt;"",AH79,AJ79))))</f>
        <v>0</v>
      </c>
      <c r="AU79" s="49" t="str">
        <f aca="false">IF(AI79="","",MIN(120,AI79))</f>
        <v/>
      </c>
      <c r="AV79" s="49" t="str">
        <f aca="false">IF(AJ79="","",MIN(120,AJ79))</f>
        <v/>
      </c>
      <c r="AW79" s="50" t="str">
        <f aca="false">IF(COUNT(AN79:AV79)&lt;9,"",(AN79*'Standards &amp; Scoring'!$D$5+AO79*'Standards &amp; Scoring'!$D$6+AP79*'Standards &amp; Scoring'!$D$7+AQ79*'Standards &amp; Scoring'!$D$8+AR79*'Standards &amp; Scoring'!$D$9+AS79*'Standards &amp; Scoring'!$D$10+AT79*'Standards &amp; Scoring'!$D$11+AU79*'Standards &amp; Scoring'!$D$12+AV79*'Standards &amp; Scoring'!$D$13)/10000)</f>
        <v/>
      </c>
      <c r="AX79" s="47" t="str">
        <f aca="false">IF(AW79="","",IF(AW79&gt;=1.05,"A+",IF(AW79&gt;=1,"A",IF(AW79&gt;=0.95,"B+",IF(AW79&gt;=0.9,"B","C")))))</f>
        <v/>
      </c>
      <c r="AY79" s="47" t="str">
        <f aca="false">IF(AX79="","",IF(AX79="A+",1800,IF(AX79="A",1600,IF(AX79="B+",1400,IF(AX79="B",1200,0)))))</f>
        <v/>
      </c>
      <c r="AZ79" s="49" t="str">
        <f aca="false">IF(OR(L79="",M79="",S79="",M79=0),"",IFERROR(L79*60*S79/(M79*36),0))</f>
        <v/>
      </c>
    </row>
    <row r="80" customFormat="false" ht="15" hidden="false" customHeight="true" outlineLevel="0" collapsed="false">
      <c r="A80" s="47" t="n">
        <f aca="false">'Daily KPI Entry'!A81</f>
        <v>0</v>
      </c>
      <c r="B80" s="48" t="n">
        <f aca="false">'Daily KPI Entry'!B81</f>
        <v>0</v>
      </c>
      <c r="C80" s="47" t="n">
        <f aca="false">'Daily KPI Entry'!C81</f>
        <v>0</v>
      </c>
      <c r="D80" s="47" t="n">
        <f aca="false">'Daily KPI Entry'!D81</f>
        <v>0</v>
      </c>
      <c r="E80" s="47" t="n">
        <f aca="false">'Daily KPI Entry'!E81</f>
        <v>0</v>
      </c>
      <c r="F80" s="47" t="n">
        <f aca="false">'Daily KPI Entry'!F81</f>
        <v>0</v>
      </c>
      <c r="G80" s="47" t="n">
        <f aca="false">'Daily KPI Entry'!G81</f>
        <v>0</v>
      </c>
      <c r="H80" s="47" t="str">
        <f aca="false">'Daily KPI Entry'!H81</f>
        <v/>
      </c>
      <c r="I80" s="47" t="n">
        <f aca="false">'Daily KPI Entry'!I81</f>
        <v>0</v>
      </c>
      <c r="J80" s="47" t="n">
        <f aca="false">'Daily KPI Entry'!J81</f>
        <v>0</v>
      </c>
      <c r="K80" s="47" t="n">
        <f aca="false">'Daily KPI Entry'!K81</f>
        <v>0</v>
      </c>
      <c r="L80" s="47" t="n">
        <f aca="false">'Daily KPI Entry'!L81</f>
        <v>0</v>
      </c>
      <c r="M80" s="47" t="n">
        <f aca="false">'Daily KPI Entry'!M81</f>
        <v>0</v>
      </c>
      <c r="N80" s="49" t="n">
        <f aca="false">'Daily KPI Entry'!N81</f>
        <v>0</v>
      </c>
      <c r="O80" s="49" t="n">
        <f aca="false">'Daily KPI Entry'!O81</f>
        <v>0</v>
      </c>
      <c r="P80" s="49" t="str">
        <f aca="false">IF(OR(N80="",O80=""),"",IFERROR(O80/N80*100,0))</f>
        <v/>
      </c>
      <c r="Q80" s="47" t="n">
        <f aca="false">'Daily KPI Entry'!Q81</f>
        <v>8</v>
      </c>
      <c r="R80" s="47" t="str">
        <f aca="false">IF(J80="","",Q80*J80)</f>
        <v/>
      </c>
      <c r="S80" s="49" t="n">
        <f aca="false">'Daily KPI Entry'!S81</f>
        <v>0</v>
      </c>
      <c r="T80" s="49" t="str">
        <f aca="false">IF(OR(R80="",S80=""),"",IFERROR(S80/R80*100,0))</f>
        <v/>
      </c>
      <c r="U80" s="49" t="str">
        <f aca="false">IF(OR(O80="",L80="",M80="",S80="",M80=0),"",IFERROR(O80/(L80*60*S80/(M80*36))*100,0))</f>
        <v/>
      </c>
      <c r="V80" s="49" t="n">
        <f aca="false">'Daily KPI Entry'!V81</f>
        <v>0</v>
      </c>
      <c r="W80" s="49" t="str">
        <f aca="false">IF(O80="","",IFERROR(V80/O80*100,0))</f>
        <v/>
      </c>
      <c r="X80" s="49" t="n">
        <f aca="false">'Daily KPI Entry'!X81</f>
        <v>0</v>
      </c>
      <c r="Y80" s="49" t="n">
        <f aca="false">'Daily KPI Entry'!Y81</f>
        <v>0</v>
      </c>
      <c r="Z80" s="49" t="n">
        <f aca="false">'Daily KPI Entry'!Z81</f>
        <v>0</v>
      </c>
      <c r="AA80" s="49" t="n">
        <f aca="false">'Daily KPI Entry'!AA81</f>
        <v>0</v>
      </c>
      <c r="AB80" s="49" t="n">
        <f aca="false">'Daily KPI Entry'!AB81</f>
        <v>0</v>
      </c>
      <c r="AC80" s="49" t="n">
        <f aca="false">'Daily KPI Entry'!AC81</f>
        <v>0</v>
      </c>
      <c r="AD80" s="49" t="n">
        <f aca="false">'Daily KPI Entry'!AD81</f>
        <v>0</v>
      </c>
      <c r="AE80" s="49" t="n">
        <f aca="false">'Daily KPI Entry'!AE81</f>
        <v>0</v>
      </c>
      <c r="AF80" s="47" t="str">
        <f aca="false">IF(O80="","",SUM(X80:AE80))</f>
        <v/>
      </c>
      <c r="AG80" s="49" t="str">
        <f aca="false">IF(O80="","",IFERROR(AF80/O80*1000,0))</f>
        <v/>
      </c>
      <c r="AH80" s="49" t="n">
        <f aca="false">'Daily KPI Entry'!AH81</f>
        <v>0</v>
      </c>
      <c r="AI80" s="49" t="n">
        <f aca="false">'Daily KPI Entry'!AI81</f>
        <v>0</v>
      </c>
      <c r="AJ80" s="49" t="n">
        <f aca="false">'Daily KPI Entry'!AJ81</f>
        <v>0</v>
      </c>
      <c r="AK80" s="47" t="n">
        <f aca="false">'Daily KPI Entry'!AK81</f>
        <v>0</v>
      </c>
      <c r="AL80" s="47" t="n">
        <f aca="false">'Daily KPI Entry'!AL81</f>
        <v>0</v>
      </c>
      <c r="AM80" s="47" t="n">
        <f aca="false">'Daily KPI Entry'!AM81</f>
        <v>0</v>
      </c>
      <c r="AN80" s="49" t="str">
        <f aca="false">IF(P80="","",MIN(120,P80))</f>
        <v/>
      </c>
      <c r="AO80" s="49" t="str">
        <f aca="false">IF(U80="","",MIN(120,U80))</f>
        <v/>
      </c>
      <c r="AP80" s="49" t="str">
        <f aca="false">IF(R80="","",MIN(120,IFERROR(S80/R80*100,0)))</f>
        <v/>
      </c>
      <c r="AQ80" s="49" t="str">
        <f aca="false">IF(W80="","",MIN(120,IF(W80=0,120,100*(INDEX('Standards &amp; Scoring'!$E$5:$E$13,MATCH("Quality / Rejection",'Standards &amp; Scoring'!$A$5:$A$13,0))/W80))))</f>
        <v/>
      </c>
      <c r="AR80" s="49" t="str">
        <f aca="false">IF(AG80="","",MIN(120,IF(AG80=0,120,100*(INDEX('Standards &amp; Scoring'!$E$5:$E$13,MATCH("Fault Control",'Standards &amp; Scoring'!$A$5:$A$13,0))/AG80))))</f>
        <v/>
      </c>
      <c r="AS80" s="49" t="str">
        <f aca="false">IF(O80="","",MIN(120,IF(SUMIFS('Fault &amp; Downtime Entry'!$L$6:$L$1005,'Fault &amp; Downtime Entry'!$E$6:$E$1005,G80,'Fault &amp; Downtime Entry'!$B$6:$B$1005,B80)=0,120,100*(INDEX('Standards &amp; Scoring'!$E$5:$E$13,MATCH("Downtime Control",'Standards &amp; Scoring'!$A$5:$A$13,0))/IFERROR(SUMIFS('Fault &amp; Downtime Entry'!$L$6:$L$1005,'Fault &amp; Downtime Entry'!$E$6:$E$1005,G80,'Fault &amp; Downtime Entry'!$B$6:$B$1005,B80)/O80*1000,999999)))))</f>
        <v/>
      </c>
      <c r="AT80" s="49" t="n">
        <f aca="false">IF(COUNTA(AH80,AJ80)=0,"",MIN(120,IF(AND(AH80&lt;&gt;"",AJ80&lt;&gt;""),AVERAGE(AH80,AJ80),IF(AH80&lt;&gt;"",AH80,AJ80))))</f>
        <v>0</v>
      </c>
      <c r="AU80" s="49" t="str">
        <f aca="false">IF(AI80="","",MIN(120,AI80))</f>
        <v/>
      </c>
      <c r="AV80" s="49" t="str">
        <f aca="false">IF(AJ80="","",MIN(120,AJ80))</f>
        <v/>
      </c>
      <c r="AW80" s="50" t="str">
        <f aca="false">IF(COUNT(AN80:AV80)&lt;9,"",(AN80*'Standards &amp; Scoring'!$D$5+AO80*'Standards &amp; Scoring'!$D$6+AP80*'Standards &amp; Scoring'!$D$7+AQ80*'Standards &amp; Scoring'!$D$8+AR80*'Standards &amp; Scoring'!$D$9+AS80*'Standards &amp; Scoring'!$D$10+AT80*'Standards &amp; Scoring'!$D$11+AU80*'Standards &amp; Scoring'!$D$12+AV80*'Standards &amp; Scoring'!$D$13)/10000)</f>
        <v/>
      </c>
      <c r="AX80" s="47" t="str">
        <f aca="false">IF(AW80="","",IF(AW80&gt;=1.05,"A+",IF(AW80&gt;=1,"A",IF(AW80&gt;=0.95,"B+",IF(AW80&gt;=0.9,"B","C")))))</f>
        <v/>
      </c>
      <c r="AY80" s="47" t="str">
        <f aca="false">IF(AX80="","",IF(AX80="A+",1800,IF(AX80="A",1600,IF(AX80="B+",1400,IF(AX80="B",1200,0)))))</f>
        <v/>
      </c>
      <c r="AZ80" s="49" t="str">
        <f aca="false">IF(OR(L80="",M80="",S80="",M80=0),"",IFERROR(L80*60*S80/(M80*36),0))</f>
        <v/>
      </c>
    </row>
    <row r="81" customFormat="false" ht="15" hidden="false" customHeight="true" outlineLevel="0" collapsed="false">
      <c r="A81" s="47" t="n">
        <f aca="false">'Daily KPI Entry'!A82</f>
        <v>0</v>
      </c>
      <c r="B81" s="48" t="n">
        <f aca="false">'Daily KPI Entry'!B82</f>
        <v>0</v>
      </c>
      <c r="C81" s="47" t="n">
        <f aca="false">'Daily KPI Entry'!C82</f>
        <v>0</v>
      </c>
      <c r="D81" s="47" t="n">
        <f aca="false">'Daily KPI Entry'!D82</f>
        <v>0</v>
      </c>
      <c r="E81" s="47" t="n">
        <f aca="false">'Daily KPI Entry'!E82</f>
        <v>0</v>
      </c>
      <c r="F81" s="47" t="n">
        <f aca="false">'Daily KPI Entry'!F82</f>
        <v>0</v>
      </c>
      <c r="G81" s="47" t="n">
        <f aca="false">'Daily KPI Entry'!G82</f>
        <v>0</v>
      </c>
      <c r="H81" s="47" t="str">
        <f aca="false">'Daily KPI Entry'!H82</f>
        <v/>
      </c>
      <c r="I81" s="47" t="n">
        <f aca="false">'Daily KPI Entry'!I82</f>
        <v>0</v>
      </c>
      <c r="J81" s="47" t="n">
        <f aca="false">'Daily KPI Entry'!J82</f>
        <v>0</v>
      </c>
      <c r="K81" s="47" t="n">
        <f aca="false">'Daily KPI Entry'!K82</f>
        <v>0</v>
      </c>
      <c r="L81" s="47" t="n">
        <f aca="false">'Daily KPI Entry'!L82</f>
        <v>0</v>
      </c>
      <c r="M81" s="47" t="n">
        <f aca="false">'Daily KPI Entry'!M82</f>
        <v>0</v>
      </c>
      <c r="N81" s="49" t="n">
        <f aca="false">'Daily KPI Entry'!N82</f>
        <v>0</v>
      </c>
      <c r="O81" s="49" t="n">
        <f aca="false">'Daily KPI Entry'!O82</f>
        <v>0</v>
      </c>
      <c r="P81" s="49" t="str">
        <f aca="false">IF(OR(N81="",O81=""),"",IFERROR(O81/N81*100,0))</f>
        <v/>
      </c>
      <c r="Q81" s="47" t="n">
        <f aca="false">'Daily KPI Entry'!Q82</f>
        <v>8</v>
      </c>
      <c r="R81" s="47" t="str">
        <f aca="false">IF(J81="","",Q81*J81)</f>
        <v/>
      </c>
      <c r="S81" s="49" t="n">
        <f aca="false">'Daily KPI Entry'!S82</f>
        <v>0</v>
      </c>
      <c r="T81" s="49" t="str">
        <f aca="false">IF(OR(R81="",S81=""),"",IFERROR(S81/R81*100,0))</f>
        <v/>
      </c>
      <c r="U81" s="49" t="str">
        <f aca="false">IF(OR(O81="",L81="",M81="",S81="",M81=0),"",IFERROR(O81/(L81*60*S81/(M81*36))*100,0))</f>
        <v/>
      </c>
      <c r="V81" s="49" t="n">
        <f aca="false">'Daily KPI Entry'!V82</f>
        <v>0</v>
      </c>
      <c r="W81" s="49" t="str">
        <f aca="false">IF(O81="","",IFERROR(V81/O81*100,0))</f>
        <v/>
      </c>
      <c r="X81" s="49" t="n">
        <f aca="false">'Daily KPI Entry'!X82</f>
        <v>0</v>
      </c>
      <c r="Y81" s="49" t="n">
        <f aca="false">'Daily KPI Entry'!Y82</f>
        <v>0</v>
      </c>
      <c r="Z81" s="49" t="n">
        <f aca="false">'Daily KPI Entry'!Z82</f>
        <v>0</v>
      </c>
      <c r="AA81" s="49" t="n">
        <f aca="false">'Daily KPI Entry'!AA82</f>
        <v>0</v>
      </c>
      <c r="AB81" s="49" t="n">
        <f aca="false">'Daily KPI Entry'!AB82</f>
        <v>0</v>
      </c>
      <c r="AC81" s="49" t="n">
        <f aca="false">'Daily KPI Entry'!AC82</f>
        <v>0</v>
      </c>
      <c r="AD81" s="49" t="n">
        <f aca="false">'Daily KPI Entry'!AD82</f>
        <v>0</v>
      </c>
      <c r="AE81" s="49" t="n">
        <f aca="false">'Daily KPI Entry'!AE82</f>
        <v>0</v>
      </c>
      <c r="AF81" s="47" t="str">
        <f aca="false">IF(O81="","",SUM(X81:AE81))</f>
        <v/>
      </c>
      <c r="AG81" s="49" t="str">
        <f aca="false">IF(O81="","",IFERROR(AF81/O81*1000,0))</f>
        <v/>
      </c>
      <c r="AH81" s="49" t="n">
        <f aca="false">'Daily KPI Entry'!AH82</f>
        <v>0</v>
      </c>
      <c r="AI81" s="49" t="n">
        <f aca="false">'Daily KPI Entry'!AI82</f>
        <v>0</v>
      </c>
      <c r="AJ81" s="49" t="n">
        <f aca="false">'Daily KPI Entry'!AJ82</f>
        <v>0</v>
      </c>
      <c r="AK81" s="47" t="n">
        <f aca="false">'Daily KPI Entry'!AK82</f>
        <v>0</v>
      </c>
      <c r="AL81" s="47" t="n">
        <f aca="false">'Daily KPI Entry'!AL82</f>
        <v>0</v>
      </c>
      <c r="AM81" s="47" t="n">
        <f aca="false">'Daily KPI Entry'!AM82</f>
        <v>0</v>
      </c>
      <c r="AN81" s="49" t="str">
        <f aca="false">IF(P81="","",MIN(120,P81))</f>
        <v/>
      </c>
      <c r="AO81" s="49" t="str">
        <f aca="false">IF(U81="","",MIN(120,U81))</f>
        <v/>
      </c>
      <c r="AP81" s="49" t="str">
        <f aca="false">IF(R81="","",MIN(120,IFERROR(S81/R81*100,0)))</f>
        <v/>
      </c>
      <c r="AQ81" s="49" t="str">
        <f aca="false">IF(W81="","",MIN(120,IF(W81=0,120,100*(INDEX('Standards &amp; Scoring'!$E$5:$E$13,MATCH("Quality / Rejection",'Standards &amp; Scoring'!$A$5:$A$13,0))/W81))))</f>
        <v/>
      </c>
      <c r="AR81" s="49" t="str">
        <f aca="false">IF(AG81="","",MIN(120,IF(AG81=0,120,100*(INDEX('Standards &amp; Scoring'!$E$5:$E$13,MATCH("Fault Control",'Standards &amp; Scoring'!$A$5:$A$13,0))/AG81))))</f>
        <v/>
      </c>
      <c r="AS81" s="49" t="str">
        <f aca="false">IF(O81="","",MIN(120,IF(SUMIFS('Fault &amp; Downtime Entry'!$L$6:$L$1005,'Fault &amp; Downtime Entry'!$E$6:$E$1005,G81,'Fault &amp; Downtime Entry'!$B$6:$B$1005,B81)=0,120,100*(INDEX('Standards &amp; Scoring'!$E$5:$E$13,MATCH("Downtime Control",'Standards &amp; Scoring'!$A$5:$A$13,0))/IFERROR(SUMIFS('Fault &amp; Downtime Entry'!$L$6:$L$1005,'Fault &amp; Downtime Entry'!$E$6:$E$1005,G81,'Fault &amp; Downtime Entry'!$B$6:$B$1005,B81)/O81*1000,999999)))))</f>
        <v/>
      </c>
      <c r="AT81" s="49" t="n">
        <f aca="false">IF(COUNTA(AH81,AJ81)=0,"",MIN(120,IF(AND(AH81&lt;&gt;"",AJ81&lt;&gt;""),AVERAGE(AH81,AJ81),IF(AH81&lt;&gt;"",AH81,AJ81))))</f>
        <v>0</v>
      </c>
      <c r="AU81" s="49" t="str">
        <f aca="false">IF(AI81="","",MIN(120,AI81))</f>
        <v/>
      </c>
      <c r="AV81" s="49" t="str">
        <f aca="false">IF(AJ81="","",MIN(120,AJ81))</f>
        <v/>
      </c>
      <c r="AW81" s="50" t="str">
        <f aca="false">IF(COUNT(AN81:AV81)&lt;9,"",(AN81*'Standards &amp; Scoring'!$D$5+AO81*'Standards &amp; Scoring'!$D$6+AP81*'Standards &amp; Scoring'!$D$7+AQ81*'Standards &amp; Scoring'!$D$8+AR81*'Standards &amp; Scoring'!$D$9+AS81*'Standards &amp; Scoring'!$D$10+AT81*'Standards &amp; Scoring'!$D$11+AU81*'Standards &amp; Scoring'!$D$12+AV81*'Standards &amp; Scoring'!$D$13)/10000)</f>
        <v/>
      </c>
      <c r="AX81" s="47" t="str">
        <f aca="false">IF(AW81="","",IF(AW81&gt;=1.05,"A+",IF(AW81&gt;=1,"A",IF(AW81&gt;=0.95,"B+",IF(AW81&gt;=0.9,"B","C")))))</f>
        <v/>
      </c>
      <c r="AY81" s="47" t="str">
        <f aca="false">IF(AX81="","",IF(AX81="A+",1800,IF(AX81="A",1600,IF(AX81="B+",1400,IF(AX81="B",1200,0)))))</f>
        <v/>
      </c>
      <c r="AZ81" s="49" t="str">
        <f aca="false">IF(OR(L81="",M81="",S81="",M81=0),"",IFERROR(L81*60*S81/(M81*36),0))</f>
        <v/>
      </c>
    </row>
    <row r="82" customFormat="false" ht="15" hidden="false" customHeight="true" outlineLevel="0" collapsed="false">
      <c r="A82" s="47" t="n">
        <f aca="false">'Daily KPI Entry'!A83</f>
        <v>0</v>
      </c>
      <c r="B82" s="48" t="n">
        <f aca="false">'Daily KPI Entry'!B83</f>
        <v>0</v>
      </c>
      <c r="C82" s="47" t="n">
        <f aca="false">'Daily KPI Entry'!C83</f>
        <v>0</v>
      </c>
      <c r="D82" s="47" t="n">
        <f aca="false">'Daily KPI Entry'!D83</f>
        <v>0</v>
      </c>
      <c r="E82" s="47" t="n">
        <f aca="false">'Daily KPI Entry'!E83</f>
        <v>0</v>
      </c>
      <c r="F82" s="47" t="n">
        <f aca="false">'Daily KPI Entry'!F83</f>
        <v>0</v>
      </c>
      <c r="G82" s="47" t="n">
        <f aca="false">'Daily KPI Entry'!G83</f>
        <v>0</v>
      </c>
      <c r="H82" s="47" t="str">
        <f aca="false">'Daily KPI Entry'!H83</f>
        <v/>
      </c>
      <c r="I82" s="47" t="n">
        <f aca="false">'Daily KPI Entry'!I83</f>
        <v>0</v>
      </c>
      <c r="J82" s="47" t="n">
        <f aca="false">'Daily KPI Entry'!J83</f>
        <v>0</v>
      </c>
      <c r="K82" s="47" t="n">
        <f aca="false">'Daily KPI Entry'!K83</f>
        <v>0</v>
      </c>
      <c r="L82" s="47" t="n">
        <f aca="false">'Daily KPI Entry'!L83</f>
        <v>0</v>
      </c>
      <c r="M82" s="47" t="n">
        <f aca="false">'Daily KPI Entry'!M83</f>
        <v>0</v>
      </c>
      <c r="N82" s="49" t="n">
        <f aca="false">'Daily KPI Entry'!N83</f>
        <v>0</v>
      </c>
      <c r="O82" s="49" t="n">
        <f aca="false">'Daily KPI Entry'!O83</f>
        <v>0</v>
      </c>
      <c r="P82" s="49" t="str">
        <f aca="false">IF(OR(N82="",O82=""),"",IFERROR(O82/N82*100,0))</f>
        <v/>
      </c>
      <c r="Q82" s="47" t="n">
        <f aca="false">'Daily KPI Entry'!Q83</f>
        <v>8</v>
      </c>
      <c r="R82" s="47" t="str">
        <f aca="false">IF(J82="","",Q82*J82)</f>
        <v/>
      </c>
      <c r="S82" s="49" t="n">
        <f aca="false">'Daily KPI Entry'!S83</f>
        <v>0</v>
      </c>
      <c r="T82" s="49" t="str">
        <f aca="false">IF(OR(R82="",S82=""),"",IFERROR(S82/R82*100,0))</f>
        <v/>
      </c>
      <c r="U82" s="49" t="str">
        <f aca="false">IF(OR(O82="",L82="",M82="",S82="",M82=0),"",IFERROR(O82/(L82*60*S82/(M82*36))*100,0))</f>
        <v/>
      </c>
      <c r="V82" s="49" t="n">
        <f aca="false">'Daily KPI Entry'!V83</f>
        <v>0</v>
      </c>
      <c r="W82" s="49" t="str">
        <f aca="false">IF(O82="","",IFERROR(V82/O82*100,0))</f>
        <v/>
      </c>
      <c r="X82" s="49" t="n">
        <f aca="false">'Daily KPI Entry'!X83</f>
        <v>0</v>
      </c>
      <c r="Y82" s="49" t="n">
        <f aca="false">'Daily KPI Entry'!Y83</f>
        <v>0</v>
      </c>
      <c r="Z82" s="49" t="n">
        <f aca="false">'Daily KPI Entry'!Z83</f>
        <v>0</v>
      </c>
      <c r="AA82" s="49" t="n">
        <f aca="false">'Daily KPI Entry'!AA83</f>
        <v>0</v>
      </c>
      <c r="AB82" s="49" t="n">
        <f aca="false">'Daily KPI Entry'!AB83</f>
        <v>0</v>
      </c>
      <c r="AC82" s="49" t="n">
        <f aca="false">'Daily KPI Entry'!AC83</f>
        <v>0</v>
      </c>
      <c r="AD82" s="49" t="n">
        <f aca="false">'Daily KPI Entry'!AD83</f>
        <v>0</v>
      </c>
      <c r="AE82" s="49" t="n">
        <f aca="false">'Daily KPI Entry'!AE83</f>
        <v>0</v>
      </c>
      <c r="AF82" s="47" t="str">
        <f aca="false">IF(O82="","",SUM(X82:AE82))</f>
        <v/>
      </c>
      <c r="AG82" s="49" t="str">
        <f aca="false">IF(O82="","",IFERROR(AF82/O82*1000,0))</f>
        <v/>
      </c>
      <c r="AH82" s="49" t="n">
        <f aca="false">'Daily KPI Entry'!AH83</f>
        <v>0</v>
      </c>
      <c r="AI82" s="49" t="n">
        <f aca="false">'Daily KPI Entry'!AI83</f>
        <v>0</v>
      </c>
      <c r="AJ82" s="49" t="n">
        <f aca="false">'Daily KPI Entry'!AJ83</f>
        <v>0</v>
      </c>
      <c r="AK82" s="47" t="n">
        <f aca="false">'Daily KPI Entry'!AK83</f>
        <v>0</v>
      </c>
      <c r="AL82" s="47" t="n">
        <f aca="false">'Daily KPI Entry'!AL83</f>
        <v>0</v>
      </c>
      <c r="AM82" s="47" t="n">
        <f aca="false">'Daily KPI Entry'!AM83</f>
        <v>0</v>
      </c>
      <c r="AN82" s="49" t="str">
        <f aca="false">IF(P82="","",MIN(120,P82))</f>
        <v/>
      </c>
      <c r="AO82" s="49" t="str">
        <f aca="false">IF(U82="","",MIN(120,U82))</f>
        <v/>
      </c>
      <c r="AP82" s="49" t="str">
        <f aca="false">IF(R82="","",MIN(120,IFERROR(S82/R82*100,0)))</f>
        <v/>
      </c>
      <c r="AQ82" s="49" t="str">
        <f aca="false">IF(W82="","",MIN(120,IF(W82=0,120,100*(INDEX('Standards &amp; Scoring'!$E$5:$E$13,MATCH("Quality / Rejection",'Standards &amp; Scoring'!$A$5:$A$13,0))/W82))))</f>
        <v/>
      </c>
      <c r="AR82" s="49" t="str">
        <f aca="false">IF(AG82="","",MIN(120,IF(AG82=0,120,100*(INDEX('Standards &amp; Scoring'!$E$5:$E$13,MATCH("Fault Control",'Standards &amp; Scoring'!$A$5:$A$13,0))/AG82))))</f>
        <v/>
      </c>
      <c r="AS82" s="49" t="str">
        <f aca="false">IF(O82="","",MIN(120,IF(SUMIFS('Fault &amp; Downtime Entry'!$L$6:$L$1005,'Fault &amp; Downtime Entry'!$E$6:$E$1005,G82,'Fault &amp; Downtime Entry'!$B$6:$B$1005,B82)=0,120,100*(INDEX('Standards &amp; Scoring'!$E$5:$E$13,MATCH("Downtime Control",'Standards &amp; Scoring'!$A$5:$A$13,0))/IFERROR(SUMIFS('Fault &amp; Downtime Entry'!$L$6:$L$1005,'Fault &amp; Downtime Entry'!$E$6:$E$1005,G82,'Fault &amp; Downtime Entry'!$B$6:$B$1005,B82)/O82*1000,999999)))))</f>
        <v/>
      </c>
      <c r="AT82" s="49" t="n">
        <f aca="false">IF(COUNTA(AH82,AJ82)=0,"",MIN(120,IF(AND(AH82&lt;&gt;"",AJ82&lt;&gt;""),AVERAGE(AH82,AJ82),IF(AH82&lt;&gt;"",AH82,AJ82))))</f>
        <v>0</v>
      </c>
      <c r="AU82" s="49" t="str">
        <f aca="false">IF(AI82="","",MIN(120,AI82))</f>
        <v/>
      </c>
      <c r="AV82" s="49" t="str">
        <f aca="false">IF(AJ82="","",MIN(120,AJ82))</f>
        <v/>
      </c>
      <c r="AW82" s="50" t="str">
        <f aca="false">IF(COUNT(AN82:AV82)&lt;9,"",(AN82*'Standards &amp; Scoring'!$D$5+AO82*'Standards &amp; Scoring'!$D$6+AP82*'Standards &amp; Scoring'!$D$7+AQ82*'Standards &amp; Scoring'!$D$8+AR82*'Standards &amp; Scoring'!$D$9+AS82*'Standards &amp; Scoring'!$D$10+AT82*'Standards &amp; Scoring'!$D$11+AU82*'Standards &amp; Scoring'!$D$12+AV82*'Standards &amp; Scoring'!$D$13)/10000)</f>
        <v/>
      </c>
      <c r="AX82" s="47" t="str">
        <f aca="false">IF(AW82="","",IF(AW82&gt;=1.05,"A+",IF(AW82&gt;=1,"A",IF(AW82&gt;=0.95,"B+",IF(AW82&gt;=0.9,"B","C")))))</f>
        <v/>
      </c>
      <c r="AY82" s="47" t="str">
        <f aca="false">IF(AX82="","",IF(AX82="A+",1800,IF(AX82="A",1600,IF(AX82="B+",1400,IF(AX82="B",1200,0)))))</f>
        <v/>
      </c>
      <c r="AZ82" s="49" t="str">
        <f aca="false">IF(OR(L82="",M82="",S82="",M82=0),"",IFERROR(L82*60*S82/(M82*36),0))</f>
        <v/>
      </c>
    </row>
    <row r="83" customFormat="false" ht="15" hidden="false" customHeight="true" outlineLevel="0" collapsed="false">
      <c r="A83" s="47" t="n">
        <f aca="false">'Daily KPI Entry'!A84</f>
        <v>0</v>
      </c>
      <c r="B83" s="48" t="n">
        <f aca="false">'Daily KPI Entry'!B84</f>
        <v>0</v>
      </c>
      <c r="C83" s="47" t="n">
        <f aca="false">'Daily KPI Entry'!C84</f>
        <v>0</v>
      </c>
      <c r="D83" s="47" t="n">
        <f aca="false">'Daily KPI Entry'!D84</f>
        <v>0</v>
      </c>
      <c r="E83" s="47" t="n">
        <f aca="false">'Daily KPI Entry'!E84</f>
        <v>0</v>
      </c>
      <c r="F83" s="47" t="n">
        <f aca="false">'Daily KPI Entry'!F84</f>
        <v>0</v>
      </c>
      <c r="G83" s="47" t="n">
        <f aca="false">'Daily KPI Entry'!G84</f>
        <v>0</v>
      </c>
      <c r="H83" s="47" t="str">
        <f aca="false">'Daily KPI Entry'!H84</f>
        <v/>
      </c>
      <c r="I83" s="47" t="n">
        <f aca="false">'Daily KPI Entry'!I84</f>
        <v>0</v>
      </c>
      <c r="J83" s="47" t="n">
        <f aca="false">'Daily KPI Entry'!J84</f>
        <v>0</v>
      </c>
      <c r="K83" s="47" t="n">
        <f aca="false">'Daily KPI Entry'!K84</f>
        <v>0</v>
      </c>
      <c r="L83" s="47" t="n">
        <f aca="false">'Daily KPI Entry'!L84</f>
        <v>0</v>
      </c>
      <c r="M83" s="47" t="n">
        <f aca="false">'Daily KPI Entry'!M84</f>
        <v>0</v>
      </c>
      <c r="N83" s="49" t="n">
        <f aca="false">'Daily KPI Entry'!N84</f>
        <v>0</v>
      </c>
      <c r="O83" s="49" t="n">
        <f aca="false">'Daily KPI Entry'!O84</f>
        <v>0</v>
      </c>
      <c r="P83" s="49" t="str">
        <f aca="false">IF(OR(N83="",O83=""),"",IFERROR(O83/N83*100,0))</f>
        <v/>
      </c>
      <c r="Q83" s="47" t="n">
        <f aca="false">'Daily KPI Entry'!Q84</f>
        <v>8</v>
      </c>
      <c r="R83" s="47" t="str">
        <f aca="false">IF(J83="","",Q83*J83)</f>
        <v/>
      </c>
      <c r="S83" s="49" t="n">
        <f aca="false">'Daily KPI Entry'!S84</f>
        <v>0</v>
      </c>
      <c r="T83" s="49" t="str">
        <f aca="false">IF(OR(R83="",S83=""),"",IFERROR(S83/R83*100,0))</f>
        <v/>
      </c>
      <c r="U83" s="49" t="str">
        <f aca="false">IF(OR(O83="",L83="",M83="",S83="",M83=0),"",IFERROR(O83/(L83*60*S83/(M83*36))*100,0))</f>
        <v/>
      </c>
      <c r="V83" s="49" t="n">
        <f aca="false">'Daily KPI Entry'!V84</f>
        <v>0</v>
      </c>
      <c r="W83" s="49" t="str">
        <f aca="false">IF(O83="","",IFERROR(V83/O83*100,0))</f>
        <v/>
      </c>
      <c r="X83" s="49" t="n">
        <f aca="false">'Daily KPI Entry'!X84</f>
        <v>0</v>
      </c>
      <c r="Y83" s="49" t="n">
        <f aca="false">'Daily KPI Entry'!Y84</f>
        <v>0</v>
      </c>
      <c r="Z83" s="49" t="n">
        <f aca="false">'Daily KPI Entry'!Z84</f>
        <v>0</v>
      </c>
      <c r="AA83" s="49" t="n">
        <f aca="false">'Daily KPI Entry'!AA84</f>
        <v>0</v>
      </c>
      <c r="AB83" s="49" t="n">
        <f aca="false">'Daily KPI Entry'!AB84</f>
        <v>0</v>
      </c>
      <c r="AC83" s="49" t="n">
        <f aca="false">'Daily KPI Entry'!AC84</f>
        <v>0</v>
      </c>
      <c r="AD83" s="49" t="n">
        <f aca="false">'Daily KPI Entry'!AD84</f>
        <v>0</v>
      </c>
      <c r="AE83" s="49" t="n">
        <f aca="false">'Daily KPI Entry'!AE84</f>
        <v>0</v>
      </c>
      <c r="AF83" s="47" t="str">
        <f aca="false">IF(O83="","",SUM(X83:AE83))</f>
        <v/>
      </c>
      <c r="AG83" s="49" t="str">
        <f aca="false">IF(O83="","",IFERROR(AF83/O83*1000,0))</f>
        <v/>
      </c>
      <c r="AH83" s="49" t="n">
        <f aca="false">'Daily KPI Entry'!AH84</f>
        <v>0</v>
      </c>
      <c r="AI83" s="49" t="n">
        <f aca="false">'Daily KPI Entry'!AI84</f>
        <v>0</v>
      </c>
      <c r="AJ83" s="49" t="n">
        <f aca="false">'Daily KPI Entry'!AJ84</f>
        <v>0</v>
      </c>
      <c r="AK83" s="47" t="n">
        <f aca="false">'Daily KPI Entry'!AK84</f>
        <v>0</v>
      </c>
      <c r="AL83" s="47" t="n">
        <f aca="false">'Daily KPI Entry'!AL84</f>
        <v>0</v>
      </c>
      <c r="AM83" s="47" t="n">
        <f aca="false">'Daily KPI Entry'!AM84</f>
        <v>0</v>
      </c>
      <c r="AN83" s="49" t="str">
        <f aca="false">IF(P83="","",MIN(120,P83))</f>
        <v/>
      </c>
      <c r="AO83" s="49" t="str">
        <f aca="false">IF(U83="","",MIN(120,U83))</f>
        <v/>
      </c>
      <c r="AP83" s="49" t="str">
        <f aca="false">IF(R83="","",MIN(120,IFERROR(S83/R83*100,0)))</f>
        <v/>
      </c>
      <c r="AQ83" s="49" t="str">
        <f aca="false">IF(W83="","",MIN(120,IF(W83=0,120,100*(INDEX('Standards &amp; Scoring'!$E$5:$E$13,MATCH("Quality / Rejection",'Standards &amp; Scoring'!$A$5:$A$13,0))/W83))))</f>
        <v/>
      </c>
      <c r="AR83" s="49" t="str">
        <f aca="false">IF(AG83="","",MIN(120,IF(AG83=0,120,100*(INDEX('Standards &amp; Scoring'!$E$5:$E$13,MATCH("Fault Control",'Standards &amp; Scoring'!$A$5:$A$13,0))/AG83))))</f>
        <v/>
      </c>
      <c r="AS83" s="49" t="str">
        <f aca="false">IF(O83="","",MIN(120,IF(SUMIFS('Fault &amp; Downtime Entry'!$L$6:$L$1005,'Fault &amp; Downtime Entry'!$E$6:$E$1005,G83,'Fault &amp; Downtime Entry'!$B$6:$B$1005,B83)=0,120,100*(INDEX('Standards &amp; Scoring'!$E$5:$E$13,MATCH("Downtime Control",'Standards &amp; Scoring'!$A$5:$A$13,0))/IFERROR(SUMIFS('Fault &amp; Downtime Entry'!$L$6:$L$1005,'Fault &amp; Downtime Entry'!$E$6:$E$1005,G83,'Fault &amp; Downtime Entry'!$B$6:$B$1005,B83)/O83*1000,999999)))))</f>
        <v/>
      </c>
      <c r="AT83" s="49" t="n">
        <f aca="false">IF(COUNTA(AH83,AJ83)=0,"",MIN(120,IF(AND(AH83&lt;&gt;"",AJ83&lt;&gt;""),AVERAGE(AH83,AJ83),IF(AH83&lt;&gt;"",AH83,AJ83))))</f>
        <v>0</v>
      </c>
      <c r="AU83" s="49" t="str">
        <f aca="false">IF(AI83="","",MIN(120,AI83))</f>
        <v/>
      </c>
      <c r="AV83" s="49" t="str">
        <f aca="false">IF(AJ83="","",MIN(120,AJ83))</f>
        <v/>
      </c>
      <c r="AW83" s="50" t="str">
        <f aca="false">IF(COUNT(AN83:AV83)&lt;9,"",(AN83*'Standards &amp; Scoring'!$D$5+AO83*'Standards &amp; Scoring'!$D$6+AP83*'Standards &amp; Scoring'!$D$7+AQ83*'Standards &amp; Scoring'!$D$8+AR83*'Standards &amp; Scoring'!$D$9+AS83*'Standards &amp; Scoring'!$D$10+AT83*'Standards &amp; Scoring'!$D$11+AU83*'Standards &amp; Scoring'!$D$12+AV83*'Standards &amp; Scoring'!$D$13)/10000)</f>
        <v/>
      </c>
      <c r="AX83" s="47" t="str">
        <f aca="false">IF(AW83="","",IF(AW83&gt;=1.05,"A+",IF(AW83&gt;=1,"A",IF(AW83&gt;=0.95,"B+",IF(AW83&gt;=0.9,"B","C")))))</f>
        <v/>
      </c>
      <c r="AY83" s="47" t="str">
        <f aca="false">IF(AX83="","",IF(AX83="A+",1800,IF(AX83="A",1600,IF(AX83="B+",1400,IF(AX83="B",1200,0)))))</f>
        <v/>
      </c>
      <c r="AZ83" s="49" t="str">
        <f aca="false">IF(OR(L83="",M83="",S83="",M83=0),"",IFERROR(L83*60*S83/(M83*36),0))</f>
        <v/>
      </c>
    </row>
    <row r="84" customFormat="false" ht="15" hidden="false" customHeight="true" outlineLevel="0" collapsed="false">
      <c r="A84" s="47" t="n">
        <f aca="false">'Daily KPI Entry'!A85</f>
        <v>0</v>
      </c>
      <c r="B84" s="48" t="n">
        <f aca="false">'Daily KPI Entry'!B85</f>
        <v>0</v>
      </c>
      <c r="C84" s="47" t="n">
        <f aca="false">'Daily KPI Entry'!C85</f>
        <v>0</v>
      </c>
      <c r="D84" s="47" t="n">
        <f aca="false">'Daily KPI Entry'!D85</f>
        <v>0</v>
      </c>
      <c r="E84" s="47" t="n">
        <f aca="false">'Daily KPI Entry'!E85</f>
        <v>0</v>
      </c>
      <c r="F84" s="47" t="n">
        <f aca="false">'Daily KPI Entry'!F85</f>
        <v>0</v>
      </c>
      <c r="G84" s="47" t="n">
        <f aca="false">'Daily KPI Entry'!G85</f>
        <v>0</v>
      </c>
      <c r="H84" s="47" t="str">
        <f aca="false">'Daily KPI Entry'!H85</f>
        <v/>
      </c>
      <c r="I84" s="47" t="n">
        <f aca="false">'Daily KPI Entry'!I85</f>
        <v>0</v>
      </c>
      <c r="J84" s="47" t="n">
        <f aca="false">'Daily KPI Entry'!J85</f>
        <v>0</v>
      </c>
      <c r="K84" s="47" t="n">
        <f aca="false">'Daily KPI Entry'!K85</f>
        <v>0</v>
      </c>
      <c r="L84" s="47" t="n">
        <f aca="false">'Daily KPI Entry'!L85</f>
        <v>0</v>
      </c>
      <c r="M84" s="47" t="n">
        <f aca="false">'Daily KPI Entry'!M85</f>
        <v>0</v>
      </c>
      <c r="N84" s="49" t="n">
        <f aca="false">'Daily KPI Entry'!N85</f>
        <v>0</v>
      </c>
      <c r="O84" s="49" t="n">
        <f aca="false">'Daily KPI Entry'!O85</f>
        <v>0</v>
      </c>
      <c r="P84" s="49" t="str">
        <f aca="false">IF(OR(N84="",O84=""),"",IFERROR(O84/N84*100,0))</f>
        <v/>
      </c>
      <c r="Q84" s="47" t="n">
        <f aca="false">'Daily KPI Entry'!Q85</f>
        <v>8</v>
      </c>
      <c r="R84" s="47" t="str">
        <f aca="false">IF(J84="","",Q84*J84)</f>
        <v/>
      </c>
      <c r="S84" s="49" t="n">
        <f aca="false">'Daily KPI Entry'!S85</f>
        <v>0</v>
      </c>
      <c r="T84" s="49" t="str">
        <f aca="false">IF(OR(R84="",S84=""),"",IFERROR(S84/R84*100,0))</f>
        <v/>
      </c>
      <c r="U84" s="49" t="str">
        <f aca="false">IF(OR(O84="",L84="",M84="",S84="",M84=0),"",IFERROR(O84/(L84*60*S84/(M84*36))*100,0))</f>
        <v/>
      </c>
      <c r="V84" s="49" t="n">
        <f aca="false">'Daily KPI Entry'!V85</f>
        <v>0</v>
      </c>
      <c r="W84" s="49" t="str">
        <f aca="false">IF(O84="","",IFERROR(V84/O84*100,0))</f>
        <v/>
      </c>
      <c r="X84" s="49" t="n">
        <f aca="false">'Daily KPI Entry'!X85</f>
        <v>0</v>
      </c>
      <c r="Y84" s="49" t="n">
        <f aca="false">'Daily KPI Entry'!Y85</f>
        <v>0</v>
      </c>
      <c r="Z84" s="49" t="n">
        <f aca="false">'Daily KPI Entry'!Z85</f>
        <v>0</v>
      </c>
      <c r="AA84" s="49" t="n">
        <f aca="false">'Daily KPI Entry'!AA85</f>
        <v>0</v>
      </c>
      <c r="AB84" s="49" t="n">
        <f aca="false">'Daily KPI Entry'!AB85</f>
        <v>0</v>
      </c>
      <c r="AC84" s="49" t="n">
        <f aca="false">'Daily KPI Entry'!AC85</f>
        <v>0</v>
      </c>
      <c r="AD84" s="49" t="n">
        <f aca="false">'Daily KPI Entry'!AD85</f>
        <v>0</v>
      </c>
      <c r="AE84" s="49" t="n">
        <f aca="false">'Daily KPI Entry'!AE85</f>
        <v>0</v>
      </c>
      <c r="AF84" s="47" t="str">
        <f aca="false">IF(O84="","",SUM(X84:AE84))</f>
        <v/>
      </c>
      <c r="AG84" s="49" t="str">
        <f aca="false">IF(O84="","",IFERROR(AF84/O84*1000,0))</f>
        <v/>
      </c>
      <c r="AH84" s="49" t="n">
        <f aca="false">'Daily KPI Entry'!AH85</f>
        <v>0</v>
      </c>
      <c r="AI84" s="49" t="n">
        <f aca="false">'Daily KPI Entry'!AI85</f>
        <v>0</v>
      </c>
      <c r="AJ84" s="49" t="n">
        <f aca="false">'Daily KPI Entry'!AJ85</f>
        <v>0</v>
      </c>
      <c r="AK84" s="47" t="n">
        <f aca="false">'Daily KPI Entry'!AK85</f>
        <v>0</v>
      </c>
      <c r="AL84" s="47" t="n">
        <f aca="false">'Daily KPI Entry'!AL85</f>
        <v>0</v>
      </c>
      <c r="AM84" s="47" t="n">
        <f aca="false">'Daily KPI Entry'!AM85</f>
        <v>0</v>
      </c>
      <c r="AN84" s="49" t="str">
        <f aca="false">IF(P84="","",MIN(120,P84))</f>
        <v/>
      </c>
      <c r="AO84" s="49" t="str">
        <f aca="false">IF(U84="","",MIN(120,U84))</f>
        <v/>
      </c>
      <c r="AP84" s="49" t="str">
        <f aca="false">IF(R84="","",MIN(120,IFERROR(S84/R84*100,0)))</f>
        <v/>
      </c>
      <c r="AQ84" s="49" t="str">
        <f aca="false">IF(W84="","",MIN(120,IF(W84=0,120,100*(INDEX('Standards &amp; Scoring'!$E$5:$E$13,MATCH("Quality / Rejection",'Standards &amp; Scoring'!$A$5:$A$13,0))/W84))))</f>
        <v/>
      </c>
      <c r="AR84" s="49" t="str">
        <f aca="false">IF(AG84="","",MIN(120,IF(AG84=0,120,100*(INDEX('Standards &amp; Scoring'!$E$5:$E$13,MATCH("Fault Control",'Standards &amp; Scoring'!$A$5:$A$13,0))/AG84))))</f>
        <v/>
      </c>
      <c r="AS84" s="49" t="str">
        <f aca="false">IF(O84="","",MIN(120,IF(SUMIFS('Fault &amp; Downtime Entry'!$L$6:$L$1005,'Fault &amp; Downtime Entry'!$E$6:$E$1005,G84,'Fault &amp; Downtime Entry'!$B$6:$B$1005,B84)=0,120,100*(INDEX('Standards &amp; Scoring'!$E$5:$E$13,MATCH("Downtime Control",'Standards &amp; Scoring'!$A$5:$A$13,0))/IFERROR(SUMIFS('Fault &amp; Downtime Entry'!$L$6:$L$1005,'Fault &amp; Downtime Entry'!$E$6:$E$1005,G84,'Fault &amp; Downtime Entry'!$B$6:$B$1005,B84)/O84*1000,999999)))))</f>
        <v/>
      </c>
      <c r="AT84" s="49" t="n">
        <f aca="false">IF(COUNTA(AH84,AJ84)=0,"",MIN(120,IF(AND(AH84&lt;&gt;"",AJ84&lt;&gt;""),AVERAGE(AH84,AJ84),IF(AH84&lt;&gt;"",AH84,AJ84))))</f>
        <v>0</v>
      </c>
      <c r="AU84" s="49" t="str">
        <f aca="false">IF(AI84="","",MIN(120,AI84))</f>
        <v/>
      </c>
      <c r="AV84" s="49" t="str">
        <f aca="false">IF(AJ84="","",MIN(120,AJ84))</f>
        <v/>
      </c>
      <c r="AW84" s="50" t="str">
        <f aca="false">IF(COUNT(AN84:AV84)&lt;9,"",(AN84*'Standards &amp; Scoring'!$D$5+AO84*'Standards &amp; Scoring'!$D$6+AP84*'Standards &amp; Scoring'!$D$7+AQ84*'Standards &amp; Scoring'!$D$8+AR84*'Standards &amp; Scoring'!$D$9+AS84*'Standards &amp; Scoring'!$D$10+AT84*'Standards &amp; Scoring'!$D$11+AU84*'Standards &amp; Scoring'!$D$12+AV84*'Standards &amp; Scoring'!$D$13)/10000)</f>
        <v/>
      </c>
      <c r="AX84" s="47" t="str">
        <f aca="false">IF(AW84="","",IF(AW84&gt;=1.05,"A+",IF(AW84&gt;=1,"A",IF(AW84&gt;=0.95,"B+",IF(AW84&gt;=0.9,"B","C")))))</f>
        <v/>
      </c>
      <c r="AY84" s="47" t="str">
        <f aca="false">IF(AX84="","",IF(AX84="A+",1800,IF(AX84="A",1600,IF(AX84="B+",1400,IF(AX84="B",1200,0)))))</f>
        <v/>
      </c>
      <c r="AZ84" s="49" t="str">
        <f aca="false">IF(OR(L84="",M84="",S84="",M84=0),"",IFERROR(L84*60*S84/(M84*36),0))</f>
        <v/>
      </c>
    </row>
    <row r="85" customFormat="false" ht="15" hidden="false" customHeight="true" outlineLevel="0" collapsed="false">
      <c r="A85" s="47" t="n">
        <f aca="false">'Daily KPI Entry'!A86</f>
        <v>0</v>
      </c>
      <c r="B85" s="48" t="n">
        <f aca="false">'Daily KPI Entry'!B86</f>
        <v>0</v>
      </c>
      <c r="C85" s="47" t="n">
        <f aca="false">'Daily KPI Entry'!C86</f>
        <v>0</v>
      </c>
      <c r="D85" s="47" t="n">
        <f aca="false">'Daily KPI Entry'!D86</f>
        <v>0</v>
      </c>
      <c r="E85" s="47" t="n">
        <f aca="false">'Daily KPI Entry'!E86</f>
        <v>0</v>
      </c>
      <c r="F85" s="47" t="n">
        <f aca="false">'Daily KPI Entry'!F86</f>
        <v>0</v>
      </c>
      <c r="G85" s="47" t="n">
        <f aca="false">'Daily KPI Entry'!G86</f>
        <v>0</v>
      </c>
      <c r="H85" s="47" t="str">
        <f aca="false">'Daily KPI Entry'!H86</f>
        <v/>
      </c>
      <c r="I85" s="47" t="n">
        <f aca="false">'Daily KPI Entry'!I86</f>
        <v>0</v>
      </c>
      <c r="J85" s="47" t="n">
        <f aca="false">'Daily KPI Entry'!J86</f>
        <v>0</v>
      </c>
      <c r="K85" s="47" t="n">
        <f aca="false">'Daily KPI Entry'!K86</f>
        <v>0</v>
      </c>
      <c r="L85" s="47" t="n">
        <f aca="false">'Daily KPI Entry'!L86</f>
        <v>0</v>
      </c>
      <c r="M85" s="47" t="n">
        <f aca="false">'Daily KPI Entry'!M86</f>
        <v>0</v>
      </c>
      <c r="N85" s="49" t="n">
        <f aca="false">'Daily KPI Entry'!N86</f>
        <v>0</v>
      </c>
      <c r="O85" s="49" t="n">
        <f aca="false">'Daily KPI Entry'!O86</f>
        <v>0</v>
      </c>
      <c r="P85" s="49" t="str">
        <f aca="false">IF(OR(N85="",O85=""),"",IFERROR(O85/N85*100,0))</f>
        <v/>
      </c>
      <c r="Q85" s="47" t="n">
        <f aca="false">'Daily KPI Entry'!Q86</f>
        <v>8</v>
      </c>
      <c r="R85" s="47" t="str">
        <f aca="false">IF(J85="","",Q85*J85)</f>
        <v/>
      </c>
      <c r="S85" s="49" t="n">
        <f aca="false">'Daily KPI Entry'!S86</f>
        <v>0</v>
      </c>
      <c r="T85" s="49" t="str">
        <f aca="false">IF(OR(R85="",S85=""),"",IFERROR(S85/R85*100,0))</f>
        <v/>
      </c>
      <c r="U85" s="49" t="str">
        <f aca="false">IF(OR(O85="",L85="",M85="",S85="",M85=0),"",IFERROR(O85/(L85*60*S85/(M85*36))*100,0))</f>
        <v/>
      </c>
      <c r="V85" s="49" t="n">
        <f aca="false">'Daily KPI Entry'!V86</f>
        <v>0</v>
      </c>
      <c r="W85" s="49" t="str">
        <f aca="false">IF(O85="","",IFERROR(V85/O85*100,0))</f>
        <v/>
      </c>
      <c r="X85" s="49" t="n">
        <f aca="false">'Daily KPI Entry'!X86</f>
        <v>0</v>
      </c>
      <c r="Y85" s="49" t="n">
        <f aca="false">'Daily KPI Entry'!Y86</f>
        <v>0</v>
      </c>
      <c r="Z85" s="49" t="n">
        <f aca="false">'Daily KPI Entry'!Z86</f>
        <v>0</v>
      </c>
      <c r="AA85" s="49" t="n">
        <f aca="false">'Daily KPI Entry'!AA86</f>
        <v>0</v>
      </c>
      <c r="AB85" s="49" t="n">
        <f aca="false">'Daily KPI Entry'!AB86</f>
        <v>0</v>
      </c>
      <c r="AC85" s="49" t="n">
        <f aca="false">'Daily KPI Entry'!AC86</f>
        <v>0</v>
      </c>
      <c r="AD85" s="49" t="n">
        <f aca="false">'Daily KPI Entry'!AD86</f>
        <v>0</v>
      </c>
      <c r="AE85" s="49" t="n">
        <f aca="false">'Daily KPI Entry'!AE86</f>
        <v>0</v>
      </c>
      <c r="AF85" s="47" t="str">
        <f aca="false">IF(O85="","",SUM(X85:AE85))</f>
        <v/>
      </c>
      <c r="AG85" s="49" t="str">
        <f aca="false">IF(O85="","",IFERROR(AF85/O85*1000,0))</f>
        <v/>
      </c>
      <c r="AH85" s="49" t="n">
        <f aca="false">'Daily KPI Entry'!AH86</f>
        <v>0</v>
      </c>
      <c r="AI85" s="49" t="n">
        <f aca="false">'Daily KPI Entry'!AI86</f>
        <v>0</v>
      </c>
      <c r="AJ85" s="49" t="n">
        <f aca="false">'Daily KPI Entry'!AJ86</f>
        <v>0</v>
      </c>
      <c r="AK85" s="47" t="n">
        <f aca="false">'Daily KPI Entry'!AK86</f>
        <v>0</v>
      </c>
      <c r="AL85" s="47" t="n">
        <f aca="false">'Daily KPI Entry'!AL86</f>
        <v>0</v>
      </c>
      <c r="AM85" s="47" t="n">
        <f aca="false">'Daily KPI Entry'!AM86</f>
        <v>0</v>
      </c>
      <c r="AN85" s="49" t="str">
        <f aca="false">IF(P85="","",MIN(120,P85))</f>
        <v/>
      </c>
      <c r="AO85" s="49" t="str">
        <f aca="false">IF(U85="","",MIN(120,U85))</f>
        <v/>
      </c>
      <c r="AP85" s="49" t="str">
        <f aca="false">IF(R85="","",MIN(120,IFERROR(S85/R85*100,0)))</f>
        <v/>
      </c>
      <c r="AQ85" s="49" t="str">
        <f aca="false">IF(W85="","",MIN(120,IF(W85=0,120,100*(INDEX('Standards &amp; Scoring'!$E$5:$E$13,MATCH("Quality / Rejection",'Standards &amp; Scoring'!$A$5:$A$13,0))/W85))))</f>
        <v/>
      </c>
      <c r="AR85" s="49" t="str">
        <f aca="false">IF(AG85="","",MIN(120,IF(AG85=0,120,100*(INDEX('Standards &amp; Scoring'!$E$5:$E$13,MATCH("Fault Control",'Standards &amp; Scoring'!$A$5:$A$13,0))/AG85))))</f>
        <v/>
      </c>
      <c r="AS85" s="49" t="str">
        <f aca="false">IF(O85="","",MIN(120,IF(SUMIFS('Fault &amp; Downtime Entry'!$L$6:$L$1005,'Fault &amp; Downtime Entry'!$E$6:$E$1005,G85,'Fault &amp; Downtime Entry'!$B$6:$B$1005,B85)=0,120,100*(INDEX('Standards &amp; Scoring'!$E$5:$E$13,MATCH("Downtime Control",'Standards &amp; Scoring'!$A$5:$A$13,0))/IFERROR(SUMIFS('Fault &amp; Downtime Entry'!$L$6:$L$1005,'Fault &amp; Downtime Entry'!$E$6:$E$1005,G85,'Fault &amp; Downtime Entry'!$B$6:$B$1005,B85)/O85*1000,999999)))))</f>
        <v/>
      </c>
      <c r="AT85" s="49" t="n">
        <f aca="false">IF(COUNTA(AH85,AJ85)=0,"",MIN(120,IF(AND(AH85&lt;&gt;"",AJ85&lt;&gt;""),AVERAGE(AH85,AJ85),IF(AH85&lt;&gt;"",AH85,AJ85))))</f>
        <v>0</v>
      </c>
      <c r="AU85" s="49" t="str">
        <f aca="false">IF(AI85="","",MIN(120,AI85))</f>
        <v/>
      </c>
      <c r="AV85" s="49" t="str">
        <f aca="false">IF(AJ85="","",MIN(120,AJ85))</f>
        <v/>
      </c>
      <c r="AW85" s="50" t="str">
        <f aca="false">IF(COUNT(AN85:AV85)&lt;9,"",(AN85*'Standards &amp; Scoring'!$D$5+AO85*'Standards &amp; Scoring'!$D$6+AP85*'Standards &amp; Scoring'!$D$7+AQ85*'Standards &amp; Scoring'!$D$8+AR85*'Standards &amp; Scoring'!$D$9+AS85*'Standards &amp; Scoring'!$D$10+AT85*'Standards &amp; Scoring'!$D$11+AU85*'Standards &amp; Scoring'!$D$12+AV85*'Standards &amp; Scoring'!$D$13)/10000)</f>
        <v/>
      </c>
      <c r="AX85" s="47" t="str">
        <f aca="false">IF(AW85="","",IF(AW85&gt;=1.05,"A+",IF(AW85&gt;=1,"A",IF(AW85&gt;=0.95,"B+",IF(AW85&gt;=0.9,"B","C")))))</f>
        <v/>
      </c>
      <c r="AY85" s="47" t="str">
        <f aca="false">IF(AX85="","",IF(AX85="A+",1800,IF(AX85="A",1600,IF(AX85="B+",1400,IF(AX85="B",1200,0)))))</f>
        <v/>
      </c>
      <c r="AZ85" s="49" t="str">
        <f aca="false">IF(OR(L85="",M85="",S85="",M85=0),"",IFERROR(L85*60*S85/(M85*36),0))</f>
        <v/>
      </c>
    </row>
    <row r="86" customFormat="false" ht="15" hidden="false" customHeight="true" outlineLevel="0" collapsed="false">
      <c r="A86" s="47" t="n">
        <f aca="false">'Daily KPI Entry'!A87</f>
        <v>0</v>
      </c>
      <c r="B86" s="48" t="n">
        <f aca="false">'Daily KPI Entry'!B87</f>
        <v>0</v>
      </c>
      <c r="C86" s="47" t="n">
        <f aca="false">'Daily KPI Entry'!C87</f>
        <v>0</v>
      </c>
      <c r="D86" s="47" t="n">
        <f aca="false">'Daily KPI Entry'!D87</f>
        <v>0</v>
      </c>
      <c r="E86" s="47" t="n">
        <f aca="false">'Daily KPI Entry'!E87</f>
        <v>0</v>
      </c>
      <c r="F86" s="47" t="n">
        <f aca="false">'Daily KPI Entry'!F87</f>
        <v>0</v>
      </c>
      <c r="G86" s="47" t="n">
        <f aca="false">'Daily KPI Entry'!G87</f>
        <v>0</v>
      </c>
      <c r="H86" s="47" t="str">
        <f aca="false">'Daily KPI Entry'!H87</f>
        <v/>
      </c>
      <c r="I86" s="47" t="n">
        <f aca="false">'Daily KPI Entry'!I87</f>
        <v>0</v>
      </c>
      <c r="J86" s="47" t="n">
        <f aca="false">'Daily KPI Entry'!J87</f>
        <v>0</v>
      </c>
      <c r="K86" s="47" t="n">
        <f aca="false">'Daily KPI Entry'!K87</f>
        <v>0</v>
      </c>
      <c r="L86" s="47" t="n">
        <f aca="false">'Daily KPI Entry'!L87</f>
        <v>0</v>
      </c>
      <c r="M86" s="47" t="n">
        <f aca="false">'Daily KPI Entry'!M87</f>
        <v>0</v>
      </c>
      <c r="N86" s="49" t="n">
        <f aca="false">'Daily KPI Entry'!N87</f>
        <v>0</v>
      </c>
      <c r="O86" s="49" t="n">
        <f aca="false">'Daily KPI Entry'!O87</f>
        <v>0</v>
      </c>
      <c r="P86" s="49" t="str">
        <f aca="false">IF(OR(N86="",O86=""),"",IFERROR(O86/N86*100,0))</f>
        <v/>
      </c>
      <c r="Q86" s="47" t="n">
        <f aca="false">'Daily KPI Entry'!Q87</f>
        <v>8</v>
      </c>
      <c r="R86" s="47" t="str">
        <f aca="false">IF(J86="","",Q86*J86)</f>
        <v/>
      </c>
      <c r="S86" s="49" t="n">
        <f aca="false">'Daily KPI Entry'!S87</f>
        <v>0</v>
      </c>
      <c r="T86" s="49" t="str">
        <f aca="false">IF(OR(R86="",S86=""),"",IFERROR(S86/R86*100,0))</f>
        <v/>
      </c>
      <c r="U86" s="49" t="str">
        <f aca="false">IF(OR(O86="",L86="",M86="",S86="",M86=0),"",IFERROR(O86/(L86*60*S86/(M86*36))*100,0))</f>
        <v/>
      </c>
      <c r="V86" s="49" t="n">
        <f aca="false">'Daily KPI Entry'!V87</f>
        <v>0</v>
      </c>
      <c r="W86" s="49" t="str">
        <f aca="false">IF(O86="","",IFERROR(V86/O86*100,0))</f>
        <v/>
      </c>
      <c r="X86" s="49" t="n">
        <f aca="false">'Daily KPI Entry'!X87</f>
        <v>0</v>
      </c>
      <c r="Y86" s="49" t="n">
        <f aca="false">'Daily KPI Entry'!Y87</f>
        <v>0</v>
      </c>
      <c r="Z86" s="49" t="n">
        <f aca="false">'Daily KPI Entry'!Z87</f>
        <v>0</v>
      </c>
      <c r="AA86" s="49" t="n">
        <f aca="false">'Daily KPI Entry'!AA87</f>
        <v>0</v>
      </c>
      <c r="AB86" s="49" t="n">
        <f aca="false">'Daily KPI Entry'!AB87</f>
        <v>0</v>
      </c>
      <c r="AC86" s="49" t="n">
        <f aca="false">'Daily KPI Entry'!AC87</f>
        <v>0</v>
      </c>
      <c r="AD86" s="49" t="n">
        <f aca="false">'Daily KPI Entry'!AD87</f>
        <v>0</v>
      </c>
      <c r="AE86" s="49" t="n">
        <f aca="false">'Daily KPI Entry'!AE87</f>
        <v>0</v>
      </c>
      <c r="AF86" s="47" t="str">
        <f aca="false">IF(O86="","",SUM(X86:AE86))</f>
        <v/>
      </c>
      <c r="AG86" s="49" t="str">
        <f aca="false">IF(O86="","",IFERROR(AF86/O86*1000,0))</f>
        <v/>
      </c>
      <c r="AH86" s="49" t="n">
        <f aca="false">'Daily KPI Entry'!AH87</f>
        <v>0</v>
      </c>
      <c r="AI86" s="49" t="n">
        <f aca="false">'Daily KPI Entry'!AI87</f>
        <v>0</v>
      </c>
      <c r="AJ86" s="49" t="n">
        <f aca="false">'Daily KPI Entry'!AJ87</f>
        <v>0</v>
      </c>
      <c r="AK86" s="47" t="n">
        <f aca="false">'Daily KPI Entry'!AK87</f>
        <v>0</v>
      </c>
      <c r="AL86" s="47" t="n">
        <f aca="false">'Daily KPI Entry'!AL87</f>
        <v>0</v>
      </c>
      <c r="AM86" s="47" t="n">
        <f aca="false">'Daily KPI Entry'!AM87</f>
        <v>0</v>
      </c>
      <c r="AN86" s="49" t="str">
        <f aca="false">IF(P86="","",MIN(120,P86))</f>
        <v/>
      </c>
      <c r="AO86" s="49" t="str">
        <f aca="false">IF(U86="","",MIN(120,U86))</f>
        <v/>
      </c>
      <c r="AP86" s="49" t="str">
        <f aca="false">IF(R86="","",MIN(120,IFERROR(S86/R86*100,0)))</f>
        <v/>
      </c>
      <c r="AQ86" s="49" t="str">
        <f aca="false">IF(W86="","",MIN(120,IF(W86=0,120,100*(INDEX('Standards &amp; Scoring'!$E$5:$E$13,MATCH("Quality / Rejection",'Standards &amp; Scoring'!$A$5:$A$13,0))/W86))))</f>
        <v/>
      </c>
      <c r="AR86" s="49" t="str">
        <f aca="false">IF(AG86="","",MIN(120,IF(AG86=0,120,100*(INDEX('Standards &amp; Scoring'!$E$5:$E$13,MATCH("Fault Control",'Standards &amp; Scoring'!$A$5:$A$13,0))/AG86))))</f>
        <v/>
      </c>
      <c r="AS86" s="49" t="str">
        <f aca="false">IF(O86="","",MIN(120,IF(SUMIFS('Fault &amp; Downtime Entry'!$L$6:$L$1005,'Fault &amp; Downtime Entry'!$E$6:$E$1005,G86,'Fault &amp; Downtime Entry'!$B$6:$B$1005,B86)=0,120,100*(INDEX('Standards &amp; Scoring'!$E$5:$E$13,MATCH("Downtime Control",'Standards &amp; Scoring'!$A$5:$A$13,0))/IFERROR(SUMIFS('Fault &amp; Downtime Entry'!$L$6:$L$1005,'Fault &amp; Downtime Entry'!$E$6:$E$1005,G86,'Fault &amp; Downtime Entry'!$B$6:$B$1005,B86)/O86*1000,999999)))))</f>
        <v/>
      </c>
      <c r="AT86" s="49" t="n">
        <f aca="false">IF(COUNTA(AH86,AJ86)=0,"",MIN(120,IF(AND(AH86&lt;&gt;"",AJ86&lt;&gt;""),AVERAGE(AH86,AJ86),IF(AH86&lt;&gt;"",AH86,AJ86))))</f>
        <v>0</v>
      </c>
      <c r="AU86" s="49" t="str">
        <f aca="false">IF(AI86="","",MIN(120,AI86))</f>
        <v/>
      </c>
      <c r="AV86" s="49" t="str">
        <f aca="false">IF(AJ86="","",MIN(120,AJ86))</f>
        <v/>
      </c>
      <c r="AW86" s="50" t="str">
        <f aca="false">IF(COUNT(AN86:AV86)&lt;9,"",(AN86*'Standards &amp; Scoring'!$D$5+AO86*'Standards &amp; Scoring'!$D$6+AP86*'Standards &amp; Scoring'!$D$7+AQ86*'Standards &amp; Scoring'!$D$8+AR86*'Standards &amp; Scoring'!$D$9+AS86*'Standards &amp; Scoring'!$D$10+AT86*'Standards &amp; Scoring'!$D$11+AU86*'Standards &amp; Scoring'!$D$12+AV86*'Standards &amp; Scoring'!$D$13)/10000)</f>
        <v/>
      </c>
      <c r="AX86" s="47" t="str">
        <f aca="false">IF(AW86="","",IF(AW86&gt;=1.05,"A+",IF(AW86&gt;=1,"A",IF(AW86&gt;=0.95,"B+",IF(AW86&gt;=0.9,"B","C")))))</f>
        <v/>
      </c>
      <c r="AY86" s="47" t="str">
        <f aca="false">IF(AX86="","",IF(AX86="A+",1800,IF(AX86="A",1600,IF(AX86="B+",1400,IF(AX86="B",1200,0)))))</f>
        <v/>
      </c>
      <c r="AZ86" s="49" t="str">
        <f aca="false">IF(OR(L86="",M86="",S86="",M86=0),"",IFERROR(L86*60*S86/(M86*36),0))</f>
        <v/>
      </c>
    </row>
    <row r="87" customFormat="false" ht="15" hidden="false" customHeight="true" outlineLevel="0" collapsed="false">
      <c r="A87" s="47" t="n">
        <f aca="false">'Daily KPI Entry'!A88</f>
        <v>0</v>
      </c>
      <c r="B87" s="48" t="n">
        <f aca="false">'Daily KPI Entry'!B88</f>
        <v>0</v>
      </c>
      <c r="C87" s="47" t="n">
        <f aca="false">'Daily KPI Entry'!C88</f>
        <v>0</v>
      </c>
      <c r="D87" s="47" t="n">
        <f aca="false">'Daily KPI Entry'!D88</f>
        <v>0</v>
      </c>
      <c r="E87" s="47" t="n">
        <f aca="false">'Daily KPI Entry'!E88</f>
        <v>0</v>
      </c>
      <c r="F87" s="47" t="n">
        <f aca="false">'Daily KPI Entry'!F88</f>
        <v>0</v>
      </c>
      <c r="G87" s="47" t="n">
        <f aca="false">'Daily KPI Entry'!G88</f>
        <v>0</v>
      </c>
      <c r="H87" s="47" t="str">
        <f aca="false">'Daily KPI Entry'!H88</f>
        <v/>
      </c>
      <c r="I87" s="47" t="n">
        <f aca="false">'Daily KPI Entry'!I88</f>
        <v>0</v>
      </c>
      <c r="J87" s="47" t="n">
        <f aca="false">'Daily KPI Entry'!J88</f>
        <v>0</v>
      </c>
      <c r="K87" s="47" t="n">
        <f aca="false">'Daily KPI Entry'!K88</f>
        <v>0</v>
      </c>
      <c r="L87" s="47" t="n">
        <f aca="false">'Daily KPI Entry'!L88</f>
        <v>0</v>
      </c>
      <c r="M87" s="47" t="n">
        <f aca="false">'Daily KPI Entry'!M88</f>
        <v>0</v>
      </c>
      <c r="N87" s="49" t="n">
        <f aca="false">'Daily KPI Entry'!N88</f>
        <v>0</v>
      </c>
      <c r="O87" s="49" t="n">
        <f aca="false">'Daily KPI Entry'!O88</f>
        <v>0</v>
      </c>
      <c r="P87" s="49" t="str">
        <f aca="false">IF(OR(N87="",O87=""),"",IFERROR(O87/N87*100,0))</f>
        <v/>
      </c>
      <c r="Q87" s="47" t="n">
        <f aca="false">'Daily KPI Entry'!Q88</f>
        <v>8</v>
      </c>
      <c r="R87" s="47" t="str">
        <f aca="false">IF(J87="","",Q87*J87)</f>
        <v/>
      </c>
      <c r="S87" s="49" t="n">
        <f aca="false">'Daily KPI Entry'!S88</f>
        <v>0</v>
      </c>
      <c r="T87" s="49" t="str">
        <f aca="false">IF(OR(R87="",S87=""),"",IFERROR(S87/R87*100,0))</f>
        <v/>
      </c>
      <c r="U87" s="49" t="str">
        <f aca="false">IF(OR(O87="",L87="",M87="",S87="",M87=0),"",IFERROR(O87/(L87*60*S87/(M87*36))*100,0))</f>
        <v/>
      </c>
      <c r="V87" s="49" t="n">
        <f aca="false">'Daily KPI Entry'!V88</f>
        <v>0</v>
      </c>
      <c r="W87" s="49" t="str">
        <f aca="false">IF(O87="","",IFERROR(V87/O87*100,0))</f>
        <v/>
      </c>
      <c r="X87" s="49" t="n">
        <f aca="false">'Daily KPI Entry'!X88</f>
        <v>0</v>
      </c>
      <c r="Y87" s="49" t="n">
        <f aca="false">'Daily KPI Entry'!Y88</f>
        <v>0</v>
      </c>
      <c r="Z87" s="49" t="n">
        <f aca="false">'Daily KPI Entry'!Z88</f>
        <v>0</v>
      </c>
      <c r="AA87" s="49" t="n">
        <f aca="false">'Daily KPI Entry'!AA88</f>
        <v>0</v>
      </c>
      <c r="AB87" s="49" t="n">
        <f aca="false">'Daily KPI Entry'!AB88</f>
        <v>0</v>
      </c>
      <c r="AC87" s="49" t="n">
        <f aca="false">'Daily KPI Entry'!AC88</f>
        <v>0</v>
      </c>
      <c r="AD87" s="49" t="n">
        <f aca="false">'Daily KPI Entry'!AD88</f>
        <v>0</v>
      </c>
      <c r="AE87" s="49" t="n">
        <f aca="false">'Daily KPI Entry'!AE88</f>
        <v>0</v>
      </c>
      <c r="AF87" s="47" t="str">
        <f aca="false">IF(O87="","",SUM(X87:AE87))</f>
        <v/>
      </c>
      <c r="AG87" s="49" t="str">
        <f aca="false">IF(O87="","",IFERROR(AF87/O87*1000,0))</f>
        <v/>
      </c>
      <c r="AH87" s="49" t="n">
        <f aca="false">'Daily KPI Entry'!AH88</f>
        <v>0</v>
      </c>
      <c r="AI87" s="49" t="n">
        <f aca="false">'Daily KPI Entry'!AI88</f>
        <v>0</v>
      </c>
      <c r="AJ87" s="49" t="n">
        <f aca="false">'Daily KPI Entry'!AJ88</f>
        <v>0</v>
      </c>
      <c r="AK87" s="47" t="n">
        <f aca="false">'Daily KPI Entry'!AK88</f>
        <v>0</v>
      </c>
      <c r="AL87" s="47" t="n">
        <f aca="false">'Daily KPI Entry'!AL88</f>
        <v>0</v>
      </c>
      <c r="AM87" s="47" t="n">
        <f aca="false">'Daily KPI Entry'!AM88</f>
        <v>0</v>
      </c>
      <c r="AN87" s="49" t="str">
        <f aca="false">IF(P87="","",MIN(120,P87))</f>
        <v/>
      </c>
      <c r="AO87" s="49" t="str">
        <f aca="false">IF(U87="","",MIN(120,U87))</f>
        <v/>
      </c>
      <c r="AP87" s="49" t="str">
        <f aca="false">IF(R87="","",MIN(120,IFERROR(S87/R87*100,0)))</f>
        <v/>
      </c>
      <c r="AQ87" s="49" t="str">
        <f aca="false">IF(W87="","",MIN(120,IF(W87=0,120,100*(INDEX('Standards &amp; Scoring'!$E$5:$E$13,MATCH("Quality / Rejection",'Standards &amp; Scoring'!$A$5:$A$13,0))/W87))))</f>
        <v/>
      </c>
      <c r="AR87" s="49" t="str">
        <f aca="false">IF(AG87="","",MIN(120,IF(AG87=0,120,100*(INDEX('Standards &amp; Scoring'!$E$5:$E$13,MATCH("Fault Control",'Standards &amp; Scoring'!$A$5:$A$13,0))/AG87))))</f>
        <v/>
      </c>
      <c r="AS87" s="49" t="str">
        <f aca="false">IF(O87="","",MIN(120,IF(SUMIFS('Fault &amp; Downtime Entry'!$L$6:$L$1005,'Fault &amp; Downtime Entry'!$E$6:$E$1005,G87,'Fault &amp; Downtime Entry'!$B$6:$B$1005,B87)=0,120,100*(INDEX('Standards &amp; Scoring'!$E$5:$E$13,MATCH("Downtime Control",'Standards &amp; Scoring'!$A$5:$A$13,0))/IFERROR(SUMIFS('Fault &amp; Downtime Entry'!$L$6:$L$1005,'Fault &amp; Downtime Entry'!$E$6:$E$1005,G87,'Fault &amp; Downtime Entry'!$B$6:$B$1005,B87)/O87*1000,999999)))))</f>
        <v/>
      </c>
      <c r="AT87" s="49" t="n">
        <f aca="false">IF(COUNTA(AH87,AJ87)=0,"",MIN(120,IF(AND(AH87&lt;&gt;"",AJ87&lt;&gt;""),AVERAGE(AH87,AJ87),IF(AH87&lt;&gt;"",AH87,AJ87))))</f>
        <v>0</v>
      </c>
      <c r="AU87" s="49" t="str">
        <f aca="false">IF(AI87="","",MIN(120,AI87))</f>
        <v/>
      </c>
      <c r="AV87" s="49" t="str">
        <f aca="false">IF(AJ87="","",MIN(120,AJ87))</f>
        <v/>
      </c>
      <c r="AW87" s="50" t="str">
        <f aca="false">IF(COUNT(AN87:AV87)&lt;9,"",(AN87*'Standards &amp; Scoring'!$D$5+AO87*'Standards &amp; Scoring'!$D$6+AP87*'Standards &amp; Scoring'!$D$7+AQ87*'Standards &amp; Scoring'!$D$8+AR87*'Standards &amp; Scoring'!$D$9+AS87*'Standards &amp; Scoring'!$D$10+AT87*'Standards &amp; Scoring'!$D$11+AU87*'Standards &amp; Scoring'!$D$12+AV87*'Standards &amp; Scoring'!$D$13)/10000)</f>
        <v/>
      </c>
      <c r="AX87" s="47" t="str">
        <f aca="false">IF(AW87="","",IF(AW87&gt;=1.05,"A+",IF(AW87&gt;=1,"A",IF(AW87&gt;=0.95,"B+",IF(AW87&gt;=0.9,"B","C")))))</f>
        <v/>
      </c>
      <c r="AY87" s="47" t="str">
        <f aca="false">IF(AX87="","",IF(AX87="A+",1800,IF(AX87="A",1600,IF(AX87="B+",1400,IF(AX87="B",1200,0)))))</f>
        <v/>
      </c>
      <c r="AZ87" s="49" t="str">
        <f aca="false">IF(OR(L87="",M87="",S87="",M87=0),"",IFERROR(L87*60*S87/(M87*36),0))</f>
        <v/>
      </c>
    </row>
    <row r="88" customFormat="false" ht="15" hidden="false" customHeight="true" outlineLevel="0" collapsed="false">
      <c r="A88" s="47" t="n">
        <f aca="false">'Daily KPI Entry'!A89</f>
        <v>0</v>
      </c>
      <c r="B88" s="48" t="n">
        <f aca="false">'Daily KPI Entry'!B89</f>
        <v>0</v>
      </c>
      <c r="C88" s="47" t="n">
        <f aca="false">'Daily KPI Entry'!C89</f>
        <v>0</v>
      </c>
      <c r="D88" s="47" t="n">
        <f aca="false">'Daily KPI Entry'!D89</f>
        <v>0</v>
      </c>
      <c r="E88" s="47" t="n">
        <f aca="false">'Daily KPI Entry'!E89</f>
        <v>0</v>
      </c>
      <c r="F88" s="47" t="n">
        <f aca="false">'Daily KPI Entry'!F89</f>
        <v>0</v>
      </c>
      <c r="G88" s="47" t="n">
        <f aca="false">'Daily KPI Entry'!G89</f>
        <v>0</v>
      </c>
      <c r="H88" s="47" t="str">
        <f aca="false">'Daily KPI Entry'!H89</f>
        <v/>
      </c>
      <c r="I88" s="47" t="n">
        <f aca="false">'Daily KPI Entry'!I89</f>
        <v>0</v>
      </c>
      <c r="J88" s="47" t="n">
        <f aca="false">'Daily KPI Entry'!J89</f>
        <v>0</v>
      </c>
      <c r="K88" s="47" t="n">
        <f aca="false">'Daily KPI Entry'!K89</f>
        <v>0</v>
      </c>
      <c r="L88" s="47" t="n">
        <f aca="false">'Daily KPI Entry'!L89</f>
        <v>0</v>
      </c>
      <c r="M88" s="47" t="n">
        <f aca="false">'Daily KPI Entry'!M89</f>
        <v>0</v>
      </c>
      <c r="N88" s="49" t="n">
        <f aca="false">'Daily KPI Entry'!N89</f>
        <v>0</v>
      </c>
      <c r="O88" s="49" t="n">
        <f aca="false">'Daily KPI Entry'!O89</f>
        <v>0</v>
      </c>
      <c r="P88" s="49" t="str">
        <f aca="false">IF(OR(N88="",O88=""),"",IFERROR(O88/N88*100,0))</f>
        <v/>
      </c>
      <c r="Q88" s="47" t="n">
        <f aca="false">'Daily KPI Entry'!Q89</f>
        <v>8</v>
      </c>
      <c r="R88" s="47" t="str">
        <f aca="false">IF(J88="","",Q88*J88)</f>
        <v/>
      </c>
      <c r="S88" s="49" t="n">
        <f aca="false">'Daily KPI Entry'!S89</f>
        <v>0</v>
      </c>
      <c r="T88" s="49" t="str">
        <f aca="false">IF(OR(R88="",S88=""),"",IFERROR(S88/R88*100,0))</f>
        <v/>
      </c>
      <c r="U88" s="49" t="str">
        <f aca="false">IF(OR(O88="",L88="",M88="",S88="",M88=0),"",IFERROR(O88/(L88*60*S88/(M88*36))*100,0))</f>
        <v/>
      </c>
      <c r="V88" s="49" t="n">
        <f aca="false">'Daily KPI Entry'!V89</f>
        <v>0</v>
      </c>
      <c r="W88" s="49" t="str">
        <f aca="false">IF(O88="","",IFERROR(V88/O88*100,0))</f>
        <v/>
      </c>
      <c r="X88" s="49" t="n">
        <f aca="false">'Daily KPI Entry'!X89</f>
        <v>0</v>
      </c>
      <c r="Y88" s="49" t="n">
        <f aca="false">'Daily KPI Entry'!Y89</f>
        <v>0</v>
      </c>
      <c r="Z88" s="49" t="n">
        <f aca="false">'Daily KPI Entry'!Z89</f>
        <v>0</v>
      </c>
      <c r="AA88" s="49" t="n">
        <f aca="false">'Daily KPI Entry'!AA89</f>
        <v>0</v>
      </c>
      <c r="AB88" s="49" t="n">
        <f aca="false">'Daily KPI Entry'!AB89</f>
        <v>0</v>
      </c>
      <c r="AC88" s="49" t="n">
        <f aca="false">'Daily KPI Entry'!AC89</f>
        <v>0</v>
      </c>
      <c r="AD88" s="49" t="n">
        <f aca="false">'Daily KPI Entry'!AD89</f>
        <v>0</v>
      </c>
      <c r="AE88" s="49" t="n">
        <f aca="false">'Daily KPI Entry'!AE89</f>
        <v>0</v>
      </c>
      <c r="AF88" s="47" t="str">
        <f aca="false">IF(O88="","",SUM(X88:AE88))</f>
        <v/>
      </c>
      <c r="AG88" s="49" t="str">
        <f aca="false">IF(O88="","",IFERROR(AF88/O88*1000,0))</f>
        <v/>
      </c>
      <c r="AH88" s="49" t="n">
        <f aca="false">'Daily KPI Entry'!AH89</f>
        <v>0</v>
      </c>
      <c r="AI88" s="49" t="n">
        <f aca="false">'Daily KPI Entry'!AI89</f>
        <v>0</v>
      </c>
      <c r="AJ88" s="49" t="n">
        <f aca="false">'Daily KPI Entry'!AJ89</f>
        <v>0</v>
      </c>
      <c r="AK88" s="47" t="n">
        <f aca="false">'Daily KPI Entry'!AK89</f>
        <v>0</v>
      </c>
      <c r="AL88" s="47" t="n">
        <f aca="false">'Daily KPI Entry'!AL89</f>
        <v>0</v>
      </c>
      <c r="AM88" s="47" t="n">
        <f aca="false">'Daily KPI Entry'!AM89</f>
        <v>0</v>
      </c>
      <c r="AN88" s="49" t="str">
        <f aca="false">IF(P88="","",MIN(120,P88))</f>
        <v/>
      </c>
      <c r="AO88" s="49" t="str">
        <f aca="false">IF(U88="","",MIN(120,U88))</f>
        <v/>
      </c>
      <c r="AP88" s="49" t="str">
        <f aca="false">IF(R88="","",MIN(120,IFERROR(S88/R88*100,0)))</f>
        <v/>
      </c>
      <c r="AQ88" s="49" t="str">
        <f aca="false">IF(W88="","",MIN(120,IF(W88=0,120,100*(INDEX('Standards &amp; Scoring'!$E$5:$E$13,MATCH("Quality / Rejection",'Standards &amp; Scoring'!$A$5:$A$13,0))/W88))))</f>
        <v/>
      </c>
      <c r="AR88" s="49" t="str">
        <f aca="false">IF(AG88="","",MIN(120,IF(AG88=0,120,100*(INDEX('Standards &amp; Scoring'!$E$5:$E$13,MATCH("Fault Control",'Standards &amp; Scoring'!$A$5:$A$13,0))/AG88))))</f>
        <v/>
      </c>
      <c r="AS88" s="49" t="str">
        <f aca="false">IF(O88="","",MIN(120,IF(SUMIFS('Fault &amp; Downtime Entry'!$L$6:$L$1005,'Fault &amp; Downtime Entry'!$E$6:$E$1005,G88,'Fault &amp; Downtime Entry'!$B$6:$B$1005,B88)=0,120,100*(INDEX('Standards &amp; Scoring'!$E$5:$E$13,MATCH("Downtime Control",'Standards &amp; Scoring'!$A$5:$A$13,0))/IFERROR(SUMIFS('Fault &amp; Downtime Entry'!$L$6:$L$1005,'Fault &amp; Downtime Entry'!$E$6:$E$1005,G88,'Fault &amp; Downtime Entry'!$B$6:$B$1005,B88)/O88*1000,999999)))))</f>
        <v/>
      </c>
      <c r="AT88" s="49" t="n">
        <f aca="false">IF(COUNTA(AH88,AJ88)=0,"",MIN(120,IF(AND(AH88&lt;&gt;"",AJ88&lt;&gt;""),AVERAGE(AH88,AJ88),IF(AH88&lt;&gt;"",AH88,AJ88))))</f>
        <v>0</v>
      </c>
      <c r="AU88" s="49" t="str">
        <f aca="false">IF(AI88="","",MIN(120,AI88))</f>
        <v/>
      </c>
      <c r="AV88" s="49" t="str">
        <f aca="false">IF(AJ88="","",MIN(120,AJ88))</f>
        <v/>
      </c>
      <c r="AW88" s="50" t="str">
        <f aca="false">IF(COUNT(AN88:AV88)&lt;9,"",(AN88*'Standards &amp; Scoring'!$D$5+AO88*'Standards &amp; Scoring'!$D$6+AP88*'Standards &amp; Scoring'!$D$7+AQ88*'Standards &amp; Scoring'!$D$8+AR88*'Standards &amp; Scoring'!$D$9+AS88*'Standards &amp; Scoring'!$D$10+AT88*'Standards &amp; Scoring'!$D$11+AU88*'Standards &amp; Scoring'!$D$12+AV88*'Standards &amp; Scoring'!$D$13)/10000)</f>
        <v/>
      </c>
      <c r="AX88" s="47" t="str">
        <f aca="false">IF(AW88="","",IF(AW88&gt;=1.05,"A+",IF(AW88&gt;=1,"A",IF(AW88&gt;=0.95,"B+",IF(AW88&gt;=0.9,"B","C")))))</f>
        <v/>
      </c>
      <c r="AY88" s="47" t="str">
        <f aca="false">IF(AX88="","",IF(AX88="A+",1800,IF(AX88="A",1600,IF(AX88="B+",1400,IF(AX88="B",1200,0)))))</f>
        <v/>
      </c>
      <c r="AZ88" s="49" t="str">
        <f aca="false">IF(OR(L88="",M88="",S88="",M88=0),"",IFERROR(L88*60*S88/(M88*36),0))</f>
        <v/>
      </c>
    </row>
    <row r="89" customFormat="false" ht="15" hidden="false" customHeight="true" outlineLevel="0" collapsed="false">
      <c r="A89" s="47" t="n">
        <f aca="false">'Daily KPI Entry'!A90</f>
        <v>0</v>
      </c>
      <c r="B89" s="48" t="n">
        <f aca="false">'Daily KPI Entry'!B90</f>
        <v>0</v>
      </c>
      <c r="C89" s="47" t="n">
        <f aca="false">'Daily KPI Entry'!C90</f>
        <v>0</v>
      </c>
      <c r="D89" s="47" t="n">
        <f aca="false">'Daily KPI Entry'!D90</f>
        <v>0</v>
      </c>
      <c r="E89" s="47" t="n">
        <f aca="false">'Daily KPI Entry'!E90</f>
        <v>0</v>
      </c>
      <c r="F89" s="47" t="n">
        <f aca="false">'Daily KPI Entry'!F90</f>
        <v>0</v>
      </c>
      <c r="G89" s="47" t="n">
        <f aca="false">'Daily KPI Entry'!G90</f>
        <v>0</v>
      </c>
      <c r="H89" s="47" t="str">
        <f aca="false">'Daily KPI Entry'!H90</f>
        <v/>
      </c>
      <c r="I89" s="47" t="n">
        <f aca="false">'Daily KPI Entry'!I90</f>
        <v>0</v>
      </c>
      <c r="J89" s="47" t="n">
        <f aca="false">'Daily KPI Entry'!J90</f>
        <v>0</v>
      </c>
      <c r="K89" s="47" t="n">
        <f aca="false">'Daily KPI Entry'!K90</f>
        <v>0</v>
      </c>
      <c r="L89" s="47" t="n">
        <f aca="false">'Daily KPI Entry'!L90</f>
        <v>0</v>
      </c>
      <c r="M89" s="47" t="n">
        <f aca="false">'Daily KPI Entry'!M90</f>
        <v>0</v>
      </c>
      <c r="N89" s="49" t="n">
        <f aca="false">'Daily KPI Entry'!N90</f>
        <v>0</v>
      </c>
      <c r="O89" s="49" t="n">
        <f aca="false">'Daily KPI Entry'!O90</f>
        <v>0</v>
      </c>
      <c r="P89" s="49" t="str">
        <f aca="false">IF(OR(N89="",O89=""),"",IFERROR(O89/N89*100,0))</f>
        <v/>
      </c>
      <c r="Q89" s="47" t="n">
        <f aca="false">'Daily KPI Entry'!Q90</f>
        <v>8</v>
      </c>
      <c r="R89" s="47" t="str">
        <f aca="false">IF(J89="","",Q89*J89)</f>
        <v/>
      </c>
      <c r="S89" s="49" t="n">
        <f aca="false">'Daily KPI Entry'!S90</f>
        <v>0</v>
      </c>
      <c r="T89" s="49" t="str">
        <f aca="false">IF(OR(R89="",S89=""),"",IFERROR(S89/R89*100,0))</f>
        <v/>
      </c>
      <c r="U89" s="49" t="str">
        <f aca="false">IF(OR(O89="",L89="",M89="",S89="",M89=0),"",IFERROR(O89/(L89*60*S89/(M89*36))*100,0))</f>
        <v/>
      </c>
      <c r="V89" s="49" t="n">
        <f aca="false">'Daily KPI Entry'!V90</f>
        <v>0</v>
      </c>
      <c r="W89" s="49" t="str">
        <f aca="false">IF(O89="","",IFERROR(V89/O89*100,0))</f>
        <v/>
      </c>
      <c r="X89" s="49" t="n">
        <f aca="false">'Daily KPI Entry'!X90</f>
        <v>0</v>
      </c>
      <c r="Y89" s="49" t="n">
        <f aca="false">'Daily KPI Entry'!Y90</f>
        <v>0</v>
      </c>
      <c r="Z89" s="49" t="n">
        <f aca="false">'Daily KPI Entry'!Z90</f>
        <v>0</v>
      </c>
      <c r="AA89" s="49" t="n">
        <f aca="false">'Daily KPI Entry'!AA90</f>
        <v>0</v>
      </c>
      <c r="AB89" s="49" t="n">
        <f aca="false">'Daily KPI Entry'!AB90</f>
        <v>0</v>
      </c>
      <c r="AC89" s="49" t="n">
        <f aca="false">'Daily KPI Entry'!AC90</f>
        <v>0</v>
      </c>
      <c r="AD89" s="49" t="n">
        <f aca="false">'Daily KPI Entry'!AD90</f>
        <v>0</v>
      </c>
      <c r="AE89" s="49" t="n">
        <f aca="false">'Daily KPI Entry'!AE90</f>
        <v>0</v>
      </c>
      <c r="AF89" s="47" t="str">
        <f aca="false">IF(O89="","",SUM(X89:AE89))</f>
        <v/>
      </c>
      <c r="AG89" s="49" t="str">
        <f aca="false">IF(O89="","",IFERROR(AF89/O89*1000,0))</f>
        <v/>
      </c>
      <c r="AH89" s="49" t="n">
        <f aca="false">'Daily KPI Entry'!AH90</f>
        <v>0</v>
      </c>
      <c r="AI89" s="49" t="n">
        <f aca="false">'Daily KPI Entry'!AI90</f>
        <v>0</v>
      </c>
      <c r="AJ89" s="49" t="n">
        <f aca="false">'Daily KPI Entry'!AJ90</f>
        <v>0</v>
      </c>
      <c r="AK89" s="47" t="n">
        <f aca="false">'Daily KPI Entry'!AK90</f>
        <v>0</v>
      </c>
      <c r="AL89" s="47" t="n">
        <f aca="false">'Daily KPI Entry'!AL90</f>
        <v>0</v>
      </c>
      <c r="AM89" s="47" t="n">
        <f aca="false">'Daily KPI Entry'!AM90</f>
        <v>0</v>
      </c>
      <c r="AN89" s="49" t="str">
        <f aca="false">IF(P89="","",MIN(120,P89))</f>
        <v/>
      </c>
      <c r="AO89" s="49" t="str">
        <f aca="false">IF(U89="","",MIN(120,U89))</f>
        <v/>
      </c>
      <c r="AP89" s="49" t="str">
        <f aca="false">IF(R89="","",MIN(120,IFERROR(S89/R89*100,0)))</f>
        <v/>
      </c>
      <c r="AQ89" s="49" t="str">
        <f aca="false">IF(W89="","",MIN(120,IF(W89=0,120,100*(INDEX('Standards &amp; Scoring'!$E$5:$E$13,MATCH("Quality / Rejection",'Standards &amp; Scoring'!$A$5:$A$13,0))/W89))))</f>
        <v/>
      </c>
      <c r="AR89" s="49" t="str">
        <f aca="false">IF(AG89="","",MIN(120,IF(AG89=0,120,100*(INDEX('Standards &amp; Scoring'!$E$5:$E$13,MATCH("Fault Control",'Standards &amp; Scoring'!$A$5:$A$13,0))/AG89))))</f>
        <v/>
      </c>
      <c r="AS89" s="49" t="str">
        <f aca="false">IF(O89="","",MIN(120,IF(SUMIFS('Fault &amp; Downtime Entry'!$L$6:$L$1005,'Fault &amp; Downtime Entry'!$E$6:$E$1005,G89,'Fault &amp; Downtime Entry'!$B$6:$B$1005,B89)=0,120,100*(INDEX('Standards &amp; Scoring'!$E$5:$E$13,MATCH("Downtime Control",'Standards &amp; Scoring'!$A$5:$A$13,0))/IFERROR(SUMIFS('Fault &amp; Downtime Entry'!$L$6:$L$1005,'Fault &amp; Downtime Entry'!$E$6:$E$1005,G89,'Fault &amp; Downtime Entry'!$B$6:$B$1005,B89)/O89*1000,999999)))))</f>
        <v/>
      </c>
      <c r="AT89" s="49" t="n">
        <f aca="false">IF(COUNTA(AH89,AJ89)=0,"",MIN(120,IF(AND(AH89&lt;&gt;"",AJ89&lt;&gt;""),AVERAGE(AH89,AJ89),IF(AH89&lt;&gt;"",AH89,AJ89))))</f>
        <v>0</v>
      </c>
      <c r="AU89" s="49" t="str">
        <f aca="false">IF(AI89="","",MIN(120,AI89))</f>
        <v/>
      </c>
      <c r="AV89" s="49" t="str">
        <f aca="false">IF(AJ89="","",MIN(120,AJ89))</f>
        <v/>
      </c>
      <c r="AW89" s="50" t="str">
        <f aca="false">IF(COUNT(AN89:AV89)&lt;9,"",(AN89*'Standards &amp; Scoring'!$D$5+AO89*'Standards &amp; Scoring'!$D$6+AP89*'Standards &amp; Scoring'!$D$7+AQ89*'Standards &amp; Scoring'!$D$8+AR89*'Standards &amp; Scoring'!$D$9+AS89*'Standards &amp; Scoring'!$D$10+AT89*'Standards &amp; Scoring'!$D$11+AU89*'Standards &amp; Scoring'!$D$12+AV89*'Standards &amp; Scoring'!$D$13)/10000)</f>
        <v/>
      </c>
      <c r="AX89" s="47" t="str">
        <f aca="false">IF(AW89="","",IF(AW89&gt;=1.05,"A+",IF(AW89&gt;=1,"A",IF(AW89&gt;=0.95,"B+",IF(AW89&gt;=0.9,"B","C")))))</f>
        <v/>
      </c>
      <c r="AY89" s="47" t="str">
        <f aca="false">IF(AX89="","",IF(AX89="A+",1800,IF(AX89="A",1600,IF(AX89="B+",1400,IF(AX89="B",1200,0)))))</f>
        <v/>
      </c>
      <c r="AZ89" s="49" t="str">
        <f aca="false">IF(OR(L89="",M89="",S89="",M89=0),"",IFERROR(L89*60*S89/(M89*36),0))</f>
        <v/>
      </c>
    </row>
    <row r="90" customFormat="false" ht="15" hidden="false" customHeight="true" outlineLevel="0" collapsed="false">
      <c r="A90" s="47" t="n">
        <f aca="false">'Daily KPI Entry'!A91</f>
        <v>0</v>
      </c>
      <c r="B90" s="48" t="n">
        <f aca="false">'Daily KPI Entry'!B91</f>
        <v>0</v>
      </c>
      <c r="C90" s="47" t="n">
        <f aca="false">'Daily KPI Entry'!C91</f>
        <v>0</v>
      </c>
      <c r="D90" s="47" t="n">
        <f aca="false">'Daily KPI Entry'!D91</f>
        <v>0</v>
      </c>
      <c r="E90" s="47" t="n">
        <f aca="false">'Daily KPI Entry'!E91</f>
        <v>0</v>
      </c>
      <c r="F90" s="47" t="n">
        <f aca="false">'Daily KPI Entry'!F91</f>
        <v>0</v>
      </c>
      <c r="G90" s="47" t="n">
        <f aca="false">'Daily KPI Entry'!G91</f>
        <v>0</v>
      </c>
      <c r="H90" s="47" t="str">
        <f aca="false">'Daily KPI Entry'!H91</f>
        <v/>
      </c>
      <c r="I90" s="47" t="n">
        <f aca="false">'Daily KPI Entry'!I91</f>
        <v>0</v>
      </c>
      <c r="J90" s="47" t="n">
        <f aca="false">'Daily KPI Entry'!J91</f>
        <v>0</v>
      </c>
      <c r="K90" s="47" t="n">
        <f aca="false">'Daily KPI Entry'!K91</f>
        <v>0</v>
      </c>
      <c r="L90" s="47" t="n">
        <f aca="false">'Daily KPI Entry'!L91</f>
        <v>0</v>
      </c>
      <c r="M90" s="47" t="n">
        <f aca="false">'Daily KPI Entry'!M91</f>
        <v>0</v>
      </c>
      <c r="N90" s="49" t="n">
        <f aca="false">'Daily KPI Entry'!N91</f>
        <v>0</v>
      </c>
      <c r="O90" s="49" t="n">
        <f aca="false">'Daily KPI Entry'!O91</f>
        <v>0</v>
      </c>
      <c r="P90" s="49" t="str">
        <f aca="false">IF(OR(N90="",O90=""),"",IFERROR(O90/N90*100,0))</f>
        <v/>
      </c>
      <c r="Q90" s="47" t="n">
        <f aca="false">'Daily KPI Entry'!Q91</f>
        <v>8</v>
      </c>
      <c r="R90" s="47" t="str">
        <f aca="false">IF(J90="","",Q90*J90)</f>
        <v/>
      </c>
      <c r="S90" s="49" t="n">
        <f aca="false">'Daily KPI Entry'!S91</f>
        <v>0</v>
      </c>
      <c r="T90" s="49" t="str">
        <f aca="false">IF(OR(R90="",S90=""),"",IFERROR(S90/R90*100,0))</f>
        <v/>
      </c>
      <c r="U90" s="49" t="str">
        <f aca="false">IF(OR(O90="",L90="",M90="",S90="",M90=0),"",IFERROR(O90/(L90*60*S90/(M90*36))*100,0))</f>
        <v/>
      </c>
      <c r="V90" s="49" t="n">
        <f aca="false">'Daily KPI Entry'!V91</f>
        <v>0</v>
      </c>
      <c r="W90" s="49" t="str">
        <f aca="false">IF(O90="","",IFERROR(V90/O90*100,0))</f>
        <v/>
      </c>
      <c r="X90" s="49" t="n">
        <f aca="false">'Daily KPI Entry'!X91</f>
        <v>0</v>
      </c>
      <c r="Y90" s="49" t="n">
        <f aca="false">'Daily KPI Entry'!Y91</f>
        <v>0</v>
      </c>
      <c r="Z90" s="49" t="n">
        <f aca="false">'Daily KPI Entry'!Z91</f>
        <v>0</v>
      </c>
      <c r="AA90" s="49" t="n">
        <f aca="false">'Daily KPI Entry'!AA91</f>
        <v>0</v>
      </c>
      <c r="AB90" s="49" t="n">
        <f aca="false">'Daily KPI Entry'!AB91</f>
        <v>0</v>
      </c>
      <c r="AC90" s="49" t="n">
        <f aca="false">'Daily KPI Entry'!AC91</f>
        <v>0</v>
      </c>
      <c r="AD90" s="49" t="n">
        <f aca="false">'Daily KPI Entry'!AD91</f>
        <v>0</v>
      </c>
      <c r="AE90" s="49" t="n">
        <f aca="false">'Daily KPI Entry'!AE91</f>
        <v>0</v>
      </c>
      <c r="AF90" s="47" t="str">
        <f aca="false">IF(O90="","",SUM(X90:AE90))</f>
        <v/>
      </c>
      <c r="AG90" s="49" t="str">
        <f aca="false">IF(O90="","",IFERROR(AF90/O90*1000,0))</f>
        <v/>
      </c>
      <c r="AH90" s="49" t="n">
        <f aca="false">'Daily KPI Entry'!AH91</f>
        <v>0</v>
      </c>
      <c r="AI90" s="49" t="n">
        <f aca="false">'Daily KPI Entry'!AI91</f>
        <v>0</v>
      </c>
      <c r="AJ90" s="49" t="n">
        <f aca="false">'Daily KPI Entry'!AJ91</f>
        <v>0</v>
      </c>
      <c r="AK90" s="47" t="n">
        <f aca="false">'Daily KPI Entry'!AK91</f>
        <v>0</v>
      </c>
      <c r="AL90" s="47" t="n">
        <f aca="false">'Daily KPI Entry'!AL91</f>
        <v>0</v>
      </c>
      <c r="AM90" s="47" t="n">
        <f aca="false">'Daily KPI Entry'!AM91</f>
        <v>0</v>
      </c>
      <c r="AN90" s="49" t="str">
        <f aca="false">IF(P90="","",MIN(120,P90))</f>
        <v/>
      </c>
      <c r="AO90" s="49" t="str">
        <f aca="false">IF(U90="","",MIN(120,U90))</f>
        <v/>
      </c>
      <c r="AP90" s="49" t="str">
        <f aca="false">IF(R90="","",MIN(120,IFERROR(S90/R90*100,0)))</f>
        <v/>
      </c>
      <c r="AQ90" s="49" t="str">
        <f aca="false">IF(W90="","",MIN(120,IF(W90=0,120,100*(INDEX('Standards &amp; Scoring'!$E$5:$E$13,MATCH("Quality / Rejection",'Standards &amp; Scoring'!$A$5:$A$13,0))/W90))))</f>
        <v/>
      </c>
      <c r="AR90" s="49" t="str">
        <f aca="false">IF(AG90="","",MIN(120,IF(AG90=0,120,100*(INDEX('Standards &amp; Scoring'!$E$5:$E$13,MATCH("Fault Control",'Standards &amp; Scoring'!$A$5:$A$13,0))/AG90))))</f>
        <v/>
      </c>
      <c r="AS90" s="49" t="str">
        <f aca="false">IF(O90="","",MIN(120,IF(SUMIFS('Fault &amp; Downtime Entry'!$L$6:$L$1005,'Fault &amp; Downtime Entry'!$E$6:$E$1005,G90,'Fault &amp; Downtime Entry'!$B$6:$B$1005,B90)=0,120,100*(INDEX('Standards &amp; Scoring'!$E$5:$E$13,MATCH("Downtime Control",'Standards &amp; Scoring'!$A$5:$A$13,0))/IFERROR(SUMIFS('Fault &amp; Downtime Entry'!$L$6:$L$1005,'Fault &amp; Downtime Entry'!$E$6:$E$1005,G90,'Fault &amp; Downtime Entry'!$B$6:$B$1005,B90)/O90*1000,999999)))))</f>
        <v/>
      </c>
      <c r="AT90" s="49" t="n">
        <f aca="false">IF(COUNTA(AH90,AJ90)=0,"",MIN(120,IF(AND(AH90&lt;&gt;"",AJ90&lt;&gt;""),AVERAGE(AH90,AJ90),IF(AH90&lt;&gt;"",AH90,AJ90))))</f>
        <v>0</v>
      </c>
      <c r="AU90" s="49" t="str">
        <f aca="false">IF(AI90="","",MIN(120,AI90))</f>
        <v/>
      </c>
      <c r="AV90" s="49" t="str">
        <f aca="false">IF(AJ90="","",MIN(120,AJ90))</f>
        <v/>
      </c>
      <c r="AW90" s="50" t="str">
        <f aca="false">IF(COUNT(AN90:AV90)&lt;9,"",(AN90*'Standards &amp; Scoring'!$D$5+AO90*'Standards &amp; Scoring'!$D$6+AP90*'Standards &amp; Scoring'!$D$7+AQ90*'Standards &amp; Scoring'!$D$8+AR90*'Standards &amp; Scoring'!$D$9+AS90*'Standards &amp; Scoring'!$D$10+AT90*'Standards &amp; Scoring'!$D$11+AU90*'Standards &amp; Scoring'!$D$12+AV90*'Standards &amp; Scoring'!$D$13)/10000)</f>
        <v/>
      </c>
      <c r="AX90" s="47" t="str">
        <f aca="false">IF(AW90="","",IF(AW90&gt;=1.05,"A+",IF(AW90&gt;=1,"A",IF(AW90&gt;=0.95,"B+",IF(AW90&gt;=0.9,"B","C")))))</f>
        <v/>
      </c>
      <c r="AY90" s="47" t="str">
        <f aca="false">IF(AX90="","",IF(AX90="A+",1800,IF(AX90="A",1600,IF(AX90="B+",1400,IF(AX90="B",1200,0)))))</f>
        <v/>
      </c>
      <c r="AZ90" s="49" t="str">
        <f aca="false">IF(OR(L90="",M90="",S90="",M90=0),"",IFERROR(L90*60*S90/(M90*36),0))</f>
        <v/>
      </c>
    </row>
    <row r="91" customFormat="false" ht="15" hidden="false" customHeight="true" outlineLevel="0" collapsed="false">
      <c r="A91" s="47" t="n">
        <f aca="false">'Daily KPI Entry'!A92</f>
        <v>0</v>
      </c>
      <c r="B91" s="48" t="n">
        <f aca="false">'Daily KPI Entry'!B92</f>
        <v>0</v>
      </c>
      <c r="C91" s="47" t="n">
        <f aca="false">'Daily KPI Entry'!C92</f>
        <v>0</v>
      </c>
      <c r="D91" s="47" t="n">
        <f aca="false">'Daily KPI Entry'!D92</f>
        <v>0</v>
      </c>
      <c r="E91" s="47" t="n">
        <f aca="false">'Daily KPI Entry'!E92</f>
        <v>0</v>
      </c>
      <c r="F91" s="47" t="n">
        <f aca="false">'Daily KPI Entry'!F92</f>
        <v>0</v>
      </c>
      <c r="G91" s="47" t="n">
        <f aca="false">'Daily KPI Entry'!G92</f>
        <v>0</v>
      </c>
      <c r="H91" s="47" t="str">
        <f aca="false">'Daily KPI Entry'!H92</f>
        <v/>
      </c>
      <c r="I91" s="47" t="n">
        <f aca="false">'Daily KPI Entry'!I92</f>
        <v>0</v>
      </c>
      <c r="J91" s="47" t="n">
        <f aca="false">'Daily KPI Entry'!J92</f>
        <v>0</v>
      </c>
      <c r="K91" s="47" t="n">
        <f aca="false">'Daily KPI Entry'!K92</f>
        <v>0</v>
      </c>
      <c r="L91" s="47" t="n">
        <f aca="false">'Daily KPI Entry'!L92</f>
        <v>0</v>
      </c>
      <c r="M91" s="47" t="n">
        <f aca="false">'Daily KPI Entry'!M92</f>
        <v>0</v>
      </c>
      <c r="N91" s="49" t="n">
        <f aca="false">'Daily KPI Entry'!N92</f>
        <v>0</v>
      </c>
      <c r="O91" s="49" t="n">
        <f aca="false">'Daily KPI Entry'!O92</f>
        <v>0</v>
      </c>
      <c r="P91" s="49" t="str">
        <f aca="false">IF(OR(N91="",O91=""),"",IFERROR(O91/N91*100,0))</f>
        <v/>
      </c>
      <c r="Q91" s="47" t="n">
        <f aca="false">'Daily KPI Entry'!Q92</f>
        <v>8</v>
      </c>
      <c r="R91" s="47" t="str">
        <f aca="false">IF(J91="","",Q91*J91)</f>
        <v/>
      </c>
      <c r="S91" s="49" t="n">
        <f aca="false">'Daily KPI Entry'!S92</f>
        <v>0</v>
      </c>
      <c r="T91" s="49" t="str">
        <f aca="false">IF(OR(R91="",S91=""),"",IFERROR(S91/R91*100,0))</f>
        <v/>
      </c>
      <c r="U91" s="49" t="str">
        <f aca="false">IF(OR(O91="",L91="",M91="",S91="",M91=0),"",IFERROR(O91/(L91*60*S91/(M91*36))*100,0))</f>
        <v/>
      </c>
      <c r="V91" s="49" t="n">
        <f aca="false">'Daily KPI Entry'!V92</f>
        <v>0</v>
      </c>
      <c r="W91" s="49" t="str">
        <f aca="false">IF(O91="","",IFERROR(V91/O91*100,0))</f>
        <v/>
      </c>
      <c r="X91" s="49" t="n">
        <f aca="false">'Daily KPI Entry'!X92</f>
        <v>0</v>
      </c>
      <c r="Y91" s="49" t="n">
        <f aca="false">'Daily KPI Entry'!Y92</f>
        <v>0</v>
      </c>
      <c r="Z91" s="49" t="n">
        <f aca="false">'Daily KPI Entry'!Z92</f>
        <v>0</v>
      </c>
      <c r="AA91" s="49" t="n">
        <f aca="false">'Daily KPI Entry'!AA92</f>
        <v>0</v>
      </c>
      <c r="AB91" s="49" t="n">
        <f aca="false">'Daily KPI Entry'!AB92</f>
        <v>0</v>
      </c>
      <c r="AC91" s="49" t="n">
        <f aca="false">'Daily KPI Entry'!AC92</f>
        <v>0</v>
      </c>
      <c r="AD91" s="49" t="n">
        <f aca="false">'Daily KPI Entry'!AD92</f>
        <v>0</v>
      </c>
      <c r="AE91" s="49" t="n">
        <f aca="false">'Daily KPI Entry'!AE92</f>
        <v>0</v>
      </c>
      <c r="AF91" s="47" t="str">
        <f aca="false">IF(O91="","",SUM(X91:AE91))</f>
        <v/>
      </c>
      <c r="AG91" s="49" t="str">
        <f aca="false">IF(O91="","",IFERROR(AF91/O91*1000,0))</f>
        <v/>
      </c>
      <c r="AH91" s="49" t="n">
        <f aca="false">'Daily KPI Entry'!AH92</f>
        <v>0</v>
      </c>
      <c r="AI91" s="49" t="n">
        <f aca="false">'Daily KPI Entry'!AI92</f>
        <v>0</v>
      </c>
      <c r="AJ91" s="49" t="n">
        <f aca="false">'Daily KPI Entry'!AJ92</f>
        <v>0</v>
      </c>
      <c r="AK91" s="47" t="n">
        <f aca="false">'Daily KPI Entry'!AK92</f>
        <v>0</v>
      </c>
      <c r="AL91" s="47" t="n">
        <f aca="false">'Daily KPI Entry'!AL92</f>
        <v>0</v>
      </c>
      <c r="AM91" s="47" t="n">
        <f aca="false">'Daily KPI Entry'!AM92</f>
        <v>0</v>
      </c>
      <c r="AN91" s="49" t="str">
        <f aca="false">IF(P91="","",MIN(120,P91))</f>
        <v/>
      </c>
      <c r="AO91" s="49" t="str">
        <f aca="false">IF(U91="","",MIN(120,U91))</f>
        <v/>
      </c>
      <c r="AP91" s="49" t="str">
        <f aca="false">IF(R91="","",MIN(120,IFERROR(S91/R91*100,0)))</f>
        <v/>
      </c>
      <c r="AQ91" s="49" t="str">
        <f aca="false">IF(W91="","",MIN(120,IF(W91=0,120,100*(INDEX('Standards &amp; Scoring'!$E$5:$E$13,MATCH("Quality / Rejection",'Standards &amp; Scoring'!$A$5:$A$13,0))/W91))))</f>
        <v/>
      </c>
      <c r="AR91" s="49" t="str">
        <f aca="false">IF(AG91="","",MIN(120,IF(AG91=0,120,100*(INDEX('Standards &amp; Scoring'!$E$5:$E$13,MATCH("Fault Control",'Standards &amp; Scoring'!$A$5:$A$13,0))/AG91))))</f>
        <v/>
      </c>
      <c r="AS91" s="49" t="str">
        <f aca="false">IF(O91="","",MIN(120,IF(SUMIFS('Fault &amp; Downtime Entry'!$L$6:$L$1005,'Fault &amp; Downtime Entry'!$E$6:$E$1005,G91,'Fault &amp; Downtime Entry'!$B$6:$B$1005,B91)=0,120,100*(INDEX('Standards &amp; Scoring'!$E$5:$E$13,MATCH("Downtime Control",'Standards &amp; Scoring'!$A$5:$A$13,0))/IFERROR(SUMIFS('Fault &amp; Downtime Entry'!$L$6:$L$1005,'Fault &amp; Downtime Entry'!$E$6:$E$1005,G91,'Fault &amp; Downtime Entry'!$B$6:$B$1005,B91)/O91*1000,999999)))))</f>
        <v/>
      </c>
      <c r="AT91" s="49" t="n">
        <f aca="false">IF(COUNTA(AH91,AJ91)=0,"",MIN(120,IF(AND(AH91&lt;&gt;"",AJ91&lt;&gt;""),AVERAGE(AH91,AJ91),IF(AH91&lt;&gt;"",AH91,AJ91))))</f>
        <v>0</v>
      </c>
      <c r="AU91" s="49" t="str">
        <f aca="false">IF(AI91="","",MIN(120,AI91))</f>
        <v/>
      </c>
      <c r="AV91" s="49" t="str">
        <f aca="false">IF(AJ91="","",MIN(120,AJ91))</f>
        <v/>
      </c>
      <c r="AW91" s="50" t="str">
        <f aca="false">IF(COUNT(AN91:AV91)&lt;9,"",(AN91*'Standards &amp; Scoring'!$D$5+AO91*'Standards &amp; Scoring'!$D$6+AP91*'Standards &amp; Scoring'!$D$7+AQ91*'Standards &amp; Scoring'!$D$8+AR91*'Standards &amp; Scoring'!$D$9+AS91*'Standards &amp; Scoring'!$D$10+AT91*'Standards &amp; Scoring'!$D$11+AU91*'Standards &amp; Scoring'!$D$12+AV91*'Standards &amp; Scoring'!$D$13)/10000)</f>
        <v/>
      </c>
      <c r="AX91" s="47" t="str">
        <f aca="false">IF(AW91="","",IF(AW91&gt;=1.05,"A+",IF(AW91&gt;=1,"A",IF(AW91&gt;=0.95,"B+",IF(AW91&gt;=0.9,"B","C")))))</f>
        <v/>
      </c>
      <c r="AY91" s="47" t="str">
        <f aca="false">IF(AX91="","",IF(AX91="A+",1800,IF(AX91="A",1600,IF(AX91="B+",1400,IF(AX91="B",1200,0)))))</f>
        <v/>
      </c>
      <c r="AZ91" s="49" t="str">
        <f aca="false">IF(OR(L91="",M91="",S91="",M91=0),"",IFERROR(L91*60*S91/(M91*36),0))</f>
        <v/>
      </c>
    </row>
    <row r="92" customFormat="false" ht="15" hidden="false" customHeight="true" outlineLevel="0" collapsed="false">
      <c r="A92" s="47" t="n">
        <f aca="false">'Daily KPI Entry'!A93</f>
        <v>0</v>
      </c>
      <c r="B92" s="48" t="n">
        <f aca="false">'Daily KPI Entry'!B93</f>
        <v>0</v>
      </c>
      <c r="C92" s="47" t="n">
        <f aca="false">'Daily KPI Entry'!C93</f>
        <v>0</v>
      </c>
      <c r="D92" s="47" t="n">
        <f aca="false">'Daily KPI Entry'!D93</f>
        <v>0</v>
      </c>
      <c r="E92" s="47" t="n">
        <f aca="false">'Daily KPI Entry'!E93</f>
        <v>0</v>
      </c>
      <c r="F92" s="47" t="n">
        <f aca="false">'Daily KPI Entry'!F93</f>
        <v>0</v>
      </c>
      <c r="G92" s="47" t="n">
        <f aca="false">'Daily KPI Entry'!G93</f>
        <v>0</v>
      </c>
      <c r="H92" s="47" t="str">
        <f aca="false">'Daily KPI Entry'!H93</f>
        <v/>
      </c>
      <c r="I92" s="47" t="n">
        <f aca="false">'Daily KPI Entry'!I93</f>
        <v>0</v>
      </c>
      <c r="J92" s="47" t="n">
        <f aca="false">'Daily KPI Entry'!J93</f>
        <v>0</v>
      </c>
      <c r="K92" s="47" t="n">
        <f aca="false">'Daily KPI Entry'!K93</f>
        <v>0</v>
      </c>
      <c r="L92" s="47" t="n">
        <f aca="false">'Daily KPI Entry'!L93</f>
        <v>0</v>
      </c>
      <c r="M92" s="47" t="n">
        <f aca="false">'Daily KPI Entry'!M93</f>
        <v>0</v>
      </c>
      <c r="N92" s="49" t="n">
        <f aca="false">'Daily KPI Entry'!N93</f>
        <v>0</v>
      </c>
      <c r="O92" s="49" t="n">
        <f aca="false">'Daily KPI Entry'!O93</f>
        <v>0</v>
      </c>
      <c r="P92" s="49" t="str">
        <f aca="false">IF(OR(N92="",O92=""),"",IFERROR(O92/N92*100,0))</f>
        <v/>
      </c>
      <c r="Q92" s="47" t="n">
        <f aca="false">'Daily KPI Entry'!Q93</f>
        <v>8</v>
      </c>
      <c r="R92" s="47" t="str">
        <f aca="false">IF(J92="","",Q92*J92)</f>
        <v/>
      </c>
      <c r="S92" s="49" t="n">
        <f aca="false">'Daily KPI Entry'!S93</f>
        <v>0</v>
      </c>
      <c r="T92" s="49" t="str">
        <f aca="false">IF(OR(R92="",S92=""),"",IFERROR(S92/R92*100,0))</f>
        <v/>
      </c>
      <c r="U92" s="49" t="str">
        <f aca="false">IF(OR(O92="",L92="",M92="",S92="",M92=0),"",IFERROR(O92/(L92*60*S92/(M92*36))*100,0))</f>
        <v/>
      </c>
      <c r="V92" s="49" t="n">
        <f aca="false">'Daily KPI Entry'!V93</f>
        <v>0</v>
      </c>
      <c r="W92" s="49" t="str">
        <f aca="false">IF(O92="","",IFERROR(V92/O92*100,0))</f>
        <v/>
      </c>
      <c r="X92" s="49" t="n">
        <f aca="false">'Daily KPI Entry'!X93</f>
        <v>0</v>
      </c>
      <c r="Y92" s="49" t="n">
        <f aca="false">'Daily KPI Entry'!Y93</f>
        <v>0</v>
      </c>
      <c r="Z92" s="49" t="n">
        <f aca="false">'Daily KPI Entry'!Z93</f>
        <v>0</v>
      </c>
      <c r="AA92" s="49" t="n">
        <f aca="false">'Daily KPI Entry'!AA93</f>
        <v>0</v>
      </c>
      <c r="AB92" s="49" t="n">
        <f aca="false">'Daily KPI Entry'!AB93</f>
        <v>0</v>
      </c>
      <c r="AC92" s="49" t="n">
        <f aca="false">'Daily KPI Entry'!AC93</f>
        <v>0</v>
      </c>
      <c r="AD92" s="49" t="n">
        <f aca="false">'Daily KPI Entry'!AD93</f>
        <v>0</v>
      </c>
      <c r="AE92" s="49" t="n">
        <f aca="false">'Daily KPI Entry'!AE93</f>
        <v>0</v>
      </c>
      <c r="AF92" s="47" t="str">
        <f aca="false">IF(O92="","",SUM(X92:AE92))</f>
        <v/>
      </c>
      <c r="AG92" s="49" t="str">
        <f aca="false">IF(O92="","",IFERROR(AF92/O92*1000,0))</f>
        <v/>
      </c>
      <c r="AH92" s="49" t="n">
        <f aca="false">'Daily KPI Entry'!AH93</f>
        <v>0</v>
      </c>
      <c r="AI92" s="49" t="n">
        <f aca="false">'Daily KPI Entry'!AI93</f>
        <v>0</v>
      </c>
      <c r="AJ92" s="49" t="n">
        <f aca="false">'Daily KPI Entry'!AJ93</f>
        <v>0</v>
      </c>
      <c r="AK92" s="47" t="n">
        <f aca="false">'Daily KPI Entry'!AK93</f>
        <v>0</v>
      </c>
      <c r="AL92" s="47" t="n">
        <f aca="false">'Daily KPI Entry'!AL93</f>
        <v>0</v>
      </c>
      <c r="AM92" s="47" t="n">
        <f aca="false">'Daily KPI Entry'!AM93</f>
        <v>0</v>
      </c>
      <c r="AN92" s="49" t="str">
        <f aca="false">IF(P92="","",MIN(120,P92))</f>
        <v/>
      </c>
      <c r="AO92" s="49" t="str">
        <f aca="false">IF(U92="","",MIN(120,U92))</f>
        <v/>
      </c>
      <c r="AP92" s="49" t="str">
        <f aca="false">IF(R92="","",MIN(120,IFERROR(S92/R92*100,0)))</f>
        <v/>
      </c>
      <c r="AQ92" s="49" t="str">
        <f aca="false">IF(W92="","",MIN(120,IF(W92=0,120,100*(INDEX('Standards &amp; Scoring'!$E$5:$E$13,MATCH("Quality / Rejection",'Standards &amp; Scoring'!$A$5:$A$13,0))/W92))))</f>
        <v/>
      </c>
      <c r="AR92" s="49" t="str">
        <f aca="false">IF(AG92="","",MIN(120,IF(AG92=0,120,100*(INDEX('Standards &amp; Scoring'!$E$5:$E$13,MATCH("Fault Control",'Standards &amp; Scoring'!$A$5:$A$13,0))/AG92))))</f>
        <v/>
      </c>
      <c r="AS92" s="49" t="str">
        <f aca="false">IF(O92="","",MIN(120,IF(SUMIFS('Fault &amp; Downtime Entry'!$L$6:$L$1005,'Fault &amp; Downtime Entry'!$E$6:$E$1005,G92,'Fault &amp; Downtime Entry'!$B$6:$B$1005,B92)=0,120,100*(INDEX('Standards &amp; Scoring'!$E$5:$E$13,MATCH("Downtime Control",'Standards &amp; Scoring'!$A$5:$A$13,0))/IFERROR(SUMIFS('Fault &amp; Downtime Entry'!$L$6:$L$1005,'Fault &amp; Downtime Entry'!$E$6:$E$1005,G92,'Fault &amp; Downtime Entry'!$B$6:$B$1005,B92)/O92*1000,999999)))))</f>
        <v/>
      </c>
      <c r="AT92" s="49" t="n">
        <f aca="false">IF(COUNTA(AH92,AJ92)=0,"",MIN(120,IF(AND(AH92&lt;&gt;"",AJ92&lt;&gt;""),AVERAGE(AH92,AJ92),IF(AH92&lt;&gt;"",AH92,AJ92))))</f>
        <v>0</v>
      </c>
      <c r="AU92" s="49" t="str">
        <f aca="false">IF(AI92="","",MIN(120,AI92))</f>
        <v/>
      </c>
      <c r="AV92" s="49" t="str">
        <f aca="false">IF(AJ92="","",MIN(120,AJ92))</f>
        <v/>
      </c>
      <c r="AW92" s="50" t="str">
        <f aca="false">IF(COUNT(AN92:AV92)&lt;9,"",(AN92*'Standards &amp; Scoring'!$D$5+AO92*'Standards &amp; Scoring'!$D$6+AP92*'Standards &amp; Scoring'!$D$7+AQ92*'Standards &amp; Scoring'!$D$8+AR92*'Standards &amp; Scoring'!$D$9+AS92*'Standards &amp; Scoring'!$D$10+AT92*'Standards &amp; Scoring'!$D$11+AU92*'Standards &amp; Scoring'!$D$12+AV92*'Standards &amp; Scoring'!$D$13)/10000)</f>
        <v/>
      </c>
      <c r="AX92" s="47" t="str">
        <f aca="false">IF(AW92="","",IF(AW92&gt;=1.05,"A+",IF(AW92&gt;=1,"A",IF(AW92&gt;=0.95,"B+",IF(AW92&gt;=0.9,"B","C")))))</f>
        <v/>
      </c>
      <c r="AY92" s="47" t="str">
        <f aca="false">IF(AX92="","",IF(AX92="A+",1800,IF(AX92="A",1600,IF(AX92="B+",1400,IF(AX92="B",1200,0)))))</f>
        <v/>
      </c>
      <c r="AZ92" s="49" t="str">
        <f aca="false">IF(OR(L92="",M92="",S92="",M92=0),"",IFERROR(L92*60*S92/(M92*36),0))</f>
        <v/>
      </c>
    </row>
    <row r="93" customFormat="false" ht="15" hidden="false" customHeight="true" outlineLevel="0" collapsed="false">
      <c r="A93" s="47" t="n">
        <f aca="false">'Daily KPI Entry'!A94</f>
        <v>0</v>
      </c>
      <c r="B93" s="48" t="n">
        <f aca="false">'Daily KPI Entry'!B94</f>
        <v>0</v>
      </c>
      <c r="C93" s="47" t="n">
        <f aca="false">'Daily KPI Entry'!C94</f>
        <v>0</v>
      </c>
      <c r="D93" s="47" t="n">
        <f aca="false">'Daily KPI Entry'!D94</f>
        <v>0</v>
      </c>
      <c r="E93" s="47" t="n">
        <f aca="false">'Daily KPI Entry'!E94</f>
        <v>0</v>
      </c>
      <c r="F93" s="47" t="n">
        <f aca="false">'Daily KPI Entry'!F94</f>
        <v>0</v>
      </c>
      <c r="G93" s="47" t="n">
        <f aca="false">'Daily KPI Entry'!G94</f>
        <v>0</v>
      </c>
      <c r="H93" s="47" t="str">
        <f aca="false">'Daily KPI Entry'!H94</f>
        <v/>
      </c>
      <c r="I93" s="47" t="n">
        <f aca="false">'Daily KPI Entry'!I94</f>
        <v>0</v>
      </c>
      <c r="J93" s="47" t="n">
        <f aca="false">'Daily KPI Entry'!J94</f>
        <v>0</v>
      </c>
      <c r="K93" s="47" t="n">
        <f aca="false">'Daily KPI Entry'!K94</f>
        <v>0</v>
      </c>
      <c r="L93" s="47" t="n">
        <f aca="false">'Daily KPI Entry'!L94</f>
        <v>0</v>
      </c>
      <c r="M93" s="47" t="n">
        <f aca="false">'Daily KPI Entry'!M94</f>
        <v>0</v>
      </c>
      <c r="N93" s="49" t="n">
        <f aca="false">'Daily KPI Entry'!N94</f>
        <v>0</v>
      </c>
      <c r="O93" s="49" t="n">
        <f aca="false">'Daily KPI Entry'!O94</f>
        <v>0</v>
      </c>
      <c r="P93" s="49" t="str">
        <f aca="false">IF(OR(N93="",O93=""),"",IFERROR(O93/N93*100,0))</f>
        <v/>
      </c>
      <c r="Q93" s="47" t="n">
        <f aca="false">'Daily KPI Entry'!Q94</f>
        <v>8</v>
      </c>
      <c r="R93" s="47" t="str">
        <f aca="false">IF(J93="","",Q93*J93)</f>
        <v/>
      </c>
      <c r="S93" s="49" t="n">
        <f aca="false">'Daily KPI Entry'!S94</f>
        <v>0</v>
      </c>
      <c r="T93" s="49" t="str">
        <f aca="false">IF(OR(R93="",S93=""),"",IFERROR(S93/R93*100,0))</f>
        <v/>
      </c>
      <c r="U93" s="49" t="str">
        <f aca="false">IF(OR(O93="",L93="",M93="",S93="",M93=0),"",IFERROR(O93/(L93*60*S93/(M93*36))*100,0))</f>
        <v/>
      </c>
      <c r="V93" s="49" t="n">
        <f aca="false">'Daily KPI Entry'!V94</f>
        <v>0</v>
      </c>
      <c r="W93" s="49" t="str">
        <f aca="false">IF(O93="","",IFERROR(V93/O93*100,0))</f>
        <v/>
      </c>
      <c r="X93" s="49" t="n">
        <f aca="false">'Daily KPI Entry'!X94</f>
        <v>0</v>
      </c>
      <c r="Y93" s="49" t="n">
        <f aca="false">'Daily KPI Entry'!Y94</f>
        <v>0</v>
      </c>
      <c r="Z93" s="49" t="n">
        <f aca="false">'Daily KPI Entry'!Z94</f>
        <v>0</v>
      </c>
      <c r="AA93" s="49" t="n">
        <f aca="false">'Daily KPI Entry'!AA94</f>
        <v>0</v>
      </c>
      <c r="AB93" s="49" t="n">
        <f aca="false">'Daily KPI Entry'!AB94</f>
        <v>0</v>
      </c>
      <c r="AC93" s="49" t="n">
        <f aca="false">'Daily KPI Entry'!AC94</f>
        <v>0</v>
      </c>
      <c r="AD93" s="49" t="n">
        <f aca="false">'Daily KPI Entry'!AD94</f>
        <v>0</v>
      </c>
      <c r="AE93" s="49" t="n">
        <f aca="false">'Daily KPI Entry'!AE94</f>
        <v>0</v>
      </c>
      <c r="AF93" s="47" t="str">
        <f aca="false">IF(O93="","",SUM(X93:AE93))</f>
        <v/>
      </c>
      <c r="AG93" s="49" t="str">
        <f aca="false">IF(O93="","",IFERROR(AF93/O93*1000,0))</f>
        <v/>
      </c>
      <c r="AH93" s="49" t="n">
        <f aca="false">'Daily KPI Entry'!AH94</f>
        <v>0</v>
      </c>
      <c r="AI93" s="49" t="n">
        <f aca="false">'Daily KPI Entry'!AI94</f>
        <v>0</v>
      </c>
      <c r="AJ93" s="49" t="n">
        <f aca="false">'Daily KPI Entry'!AJ94</f>
        <v>0</v>
      </c>
      <c r="AK93" s="47" t="n">
        <f aca="false">'Daily KPI Entry'!AK94</f>
        <v>0</v>
      </c>
      <c r="AL93" s="47" t="n">
        <f aca="false">'Daily KPI Entry'!AL94</f>
        <v>0</v>
      </c>
      <c r="AM93" s="47" t="n">
        <f aca="false">'Daily KPI Entry'!AM94</f>
        <v>0</v>
      </c>
      <c r="AN93" s="49" t="str">
        <f aca="false">IF(P93="","",MIN(120,P93))</f>
        <v/>
      </c>
      <c r="AO93" s="49" t="str">
        <f aca="false">IF(U93="","",MIN(120,U93))</f>
        <v/>
      </c>
      <c r="AP93" s="49" t="str">
        <f aca="false">IF(R93="","",MIN(120,IFERROR(S93/R93*100,0)))</f>
        <v/>
      </c>
      <c r="AQ93" s="49" t="str">
        <f aca="false">IF(W93="","",MIN(120,IF(W93=0,120,100*(INDEX('Standards &amp; Scoring'!$E$5:$E$13,MATCH("Quality / Rejection",'Standards &amp; Scoring'!$A$5:$A$13,0))/W93))))</f>
        <v/>
      </c>
      <c r="AR93" s="49" t="str">
        <f aca="false">IF(AG93="","",MIN(120,IF(AG93=0,120,100*(INDEX('Standards &amp; Scoring'!$E$5:$E$13,MATCH("Fault Control",'Standards &amp; Scoring'!$A$5:$A$13,0))/AG93))))</f>
        <v/>
      </c>
      <c r="AS93" s="49" t="str">
        <f aca="false">IF(O93="","",MIN(120,IF(SUMIFS('Fault &amp; Downtime Entry'!$L$6:$L$1005,'Fault &amp; Downtime Entry'!$E$6:$E$1005,G93,'Fault &amp; Downtime Entry'!$B$6:$B$1005,B93)=0,120,100*(INDEX('Standards &amp; Scoring'!$E$5:$E$13,MATCH("Downtime Control",'Standards &amp; Scoring'!$A$5:$A$13,0))/IFERROR(SUMIFS('Fault &amp; Downtime Entry'!$L$6:$L$1005,'Fault &amp; Downtime Entry'!$E$6:$E$1005,G93,'Fault &amp; Downtime Entry'!$B$6:$B$1005,B93)/O93*1000,999999)))))</f>
        <v/>
      </c>
      <c r="AT93" s="49" t="n">
        <f aca="false">IF(COUNTA(AH93,AJ93)=0,"",MIN(120,IF(AND(AH93&lt;&gt;"",AJ93&lt;&gt;""),AVERAGE(AH93,AJ93),IF(AH93&lt;&gt;"",AH93,AJ93))))</f>
        <v>0</v>
      </c>
      <c r="AU93" s="49" t="str">
        <f aca="false">IF(AI93="","",MIN(120,AI93))</f>
        <v/>
      </c>
      <c r="AV93" s="49" t="str">
        <f aca="false">IF(AJ93="","",MIN(120,AJ93))</f>
        <v/>
      </c>
      <c r="AW93" s="50" t="str">
        <f aca="false">IF(COUNT(AN93:AV93)&lt;9,"",(AN93*'Standards &amp; Scoring'!$D$5+AO93*'Standards &amp; Scoring'!$D$6+AP93*'Standards &amp; Scoring'!$D$7+AQ93*'Standards &amp; Scoring'!$D$8+AR93*'Standards &amp; Scoring'!$D$9+AS93*'Standards &amp; Scoring'!$D$10+AT93*'Standards &amp; Scoring'!$D$11+AU93*'Standards &amp; Scoring'!$D$12+AV93*'Standards &amp; Scoring'!$D$13)/10000)</f>
        <v/>
      </c>
      <c r="AX93" s="47" t="str">
        <f aca="false">IF(AW93="","",IF(AW93&gt;=1.05,"A+",IF(AW93&gt;=1,"A",IF(AW93&gt;=0.95,"B+",IF(AW93&gt;=0.9,"B","C")))))</f>
        <v/>
      </c>
      <c r="AY93" s="47" t="str">
        <f aca="false">IF(AX93="","",IF(AX93="A+",1800,IF(AX93="A",1600,IF(AX93="B+",1400,IF(AX93="B",1200,0)))))</f>
        <v/>
      </c>
      <c r="AZ93" s="49" t="str">
        <f aca="false">IF(OR(L93="",M93="",S93="",M93=0),"",IFERROR(L93*60*S93/(M93*36),0))</f>
        <v/>
      </c>
    </row>
    <row r="94" customFormat="false" ht="15" hidden="false" customHeight="true" outlineLevel="0" collapsed="false">
      <c r="A94" s="47" t="n">
        <f aca="false">'Daily KPI Entry'!A95</f>
        <v>0</v>
      </c>
      <c r="B94" s="48" t="n">
        <f aca="false">'Daily KPI Entry'!B95</f>
        <v>0</v>
      </c>
      <c r="C94" s="47" t="n">
        <f aca="false">'Daily KPI Entry'!C95</f>
        <v>0</v>
      </c>
      <c r="D94" s="47" t="n">
        <f aca="false">'Daily KPI Entry'!D95</f>
        <v>0</v>
      </c>
      <c r="E94" s="47" t="n">
        <f aca="false">'Daily KPI Entry'!E95</f>
        <v>0</v>
      </c>
      <c r="F94" s="47" t="n">
        <f aca="false">'Daily KPI Entry'!F95</f>
        <v>0</v>
      </c>
      <c r="G94" s="47" t="n">
        <f aca="false">'Daily KPI Entry'!G95</f>
        <v>0</v>
      </c>
      <c r="H94" s="47" t="str">
        <f aca="false">'Daily KPI Entry'!H95</f>
        <v/>
      </c>
      <c r="I94" s="47" t="n">
        <f aca="false">'Daily KPI Entry'!I95</f>
        <v>0</v>
      </c>
      <c r="J94" s="47" t="n">
        <f aca="false">'Daily KPI Entry'!J95</f>
        <v>0</v>
      </c>
      <c r="K94" s="47" t="n">
        <f aca="false">'Daily KPI Entry'!K95</f>
        <v>0</v>
      </c>
      <c r="L94" s="47" t="n">
        <f aca="false">'Daily KPI Entry'!L95</f>
        <v>0</v>
      </c>
      <c r="M94" s="47" t="n">
        <f aca="false">'Daily KPI Entry'!M95</f>
        <v>0</v>
      </c>
      <c r="N94" s="49" t="n">
        <f aca="false">'Daily KPI Entry'!N95</f>
        <v>0</v>
      </c>
      <c r="O94" s="49" t="n">
        <f aca="false">'Daily KPI Entry'!O95</f>
        <v>0</v>
      </c>
      <c r="P94" s="49" t="str">
        <f aca="false">IF(OR(N94="",O94=""),"",IFERROR(O94/N94*100,0))</f>
        <v/>
      </c>
      <c r="Q94" s="47" t="n">
        <f aca="false">'Daily KPI Entry'!Q95</f>
        <v>8</v>
      </c>
      <c r="R94" s="47" t="str">
        <f aca="false">IF(J94="","",Q94*J94)</f>
        <v/>
      </c>
      <c r="S94" s="49" t="n">
        <f aca="false">'Daily KPI Entry'!S95</f>
        <v>0</v>
      </c>
      <c r="T94" s="49" t="str">
        <f aca="false">IF(OR(R94="",S94=""),"",IFERROR(S94/R94*100,0))</f>
        <v/>
      </c>
      <c r="U94" s="49" t="str">
        <f aca="false">IF(OR(O94="",L94="",M94="",S94="",M94=0),"",IFERROR(O94/(L94*60*S94/(M94*36))*100,0))</f>
        <v/>
      </c>
      <c r="V94" s="49" t="n">
        <f aca="false">'Daily KPI Entry'!V95</f>
        <v>0</v>
      </c>
      <c r="W94" s="49" t="str">
        <f aca="false">IF(O94="","",IFERROR(V94/O94*100,0))</f>
        <v/>
      </c>
      <c r="X94" s="49" t="n">
        <f aca="false">'Daily KPI Entry'!X95</f>
        <v>0</v>
      </c>
      <c r="Y94" s="49" t="n">
        <f aca="false">'Daily KPI Entry'!Y95</f>
        <v>0</v>
      </c>
      <c r="Z94" s="49" t="n">
        <f aca="false">'Daily KPI Entry'!Z95</f>
        <v>0</v>
      </c>
      <c r="AA94" s="49" t="n">
        <f aca="false">'Daily KPI Entry'!AA95</f>
        <v>0</v>
      </c>
      <c r="AB94" s="49" t="n">
        <f aca="false">'Daily KPI Entry'!AB95</f>
        <v>0</v>
      </c>
      <c r="AC94" s="49" t="n">
        <f aca="false">'Daily KPI Entry'!AC95</f>
        <v>0</v>
      </c>
      <c r="AD94" s="49" t="n">
        <f aca="false">'Daily KPI Entry'!AD95</f>
        <v>0</v>
      </c>
      <c r="AE94" s="49" t="n">
        <f aca="false">'Daily KPI Entry'!AE95</f>
        <v>0</v>
      </c>
      <c r="AF94" s="47" t="str">
        <f aca="false">IF(O94="","",SUM(X94:AE94))</f>
        <v/>
      </c>
      <c r="AG94" s="49" t="str">
        <f aca="false">IF(O94="","",IFERROR(AF94/O94*1000,0))</f>
        <v/>
      </c>
      <c r="AH94" s="49" t="n">
        <f aca="false">'Daily KPI Entry'!AH95</f>
        <v>0</v>
      </c>
      <c r="AI94" s="49" t="n">
        <f aca="false">'Daily KPI Entry'!AI95</f>
        <v>0</v>
      </c>
      <c r="AJ94" s="49" t="n">
        <f aca="false">'Daily KPI Entry'!AJ95</f>
        <v>0</v>
      </c>
      <c r="AK94" s="47" t="n">
        <f aca="false">'Daily KPI Entry'!AK95</f>
        <v>0</v>
      </c>
      <c r="AL94" s="47" t="n">
        <f aca="false">'Daily KPI Entry'!AL95</f>
        <v>0</v>
      </c>
      <c r="AM94" s="47" t="n">
        <f aca="false">'Daily KPI Entry'!AM95</f>
        <v>0</v>
      </c>
      <c r="AN94" s="49" t="str">
        <f aca="false">IF(P94="","",MIN(120,P94))</f>
        <v/>
      </c>
      <c r="AO94" s="49" t="str">
        <f aca="false">IF(U94="","",MIN(120,U94))</f>
        <v/>
      </c>
      <c r="AP94" s="49" t="str">
        <f aca="false">IF(R94="","",MIN(120,IFERROR(S94/R94*100,0)))</f>
        <v/>
      </c>
      <c r="AQ94" s="49" t="str">
        <f aca="false">IF(W94="","",MIN(120,IF(W94=0,120,100*(INDEX('Standards &amp; Scoring'!$E$5:$E$13,MATCH("Quality / Rejection",'Standards &amp; Scoring'!$A$5:$A$13,0))/W94))))</f>
        <v/>
      </c>
      <c r="AR94" s="49" t="str">
        <f aca="false">IF(AG94="","",MIN(120,IF(AG94=0,120,100*(INDEX('Standards &amp; Scoring'!$E$5:$E$13,MATCH("Fault Control",'Standards &amp; Scoring'!$A$5:$A$13,0))/AG94))))</f>
        <v/>
      </c>
      <c r="AS94" s="49" t="str">
        <f aca="false">IF(O94="","",MIN(120,IF(SUMIFS('Fault &amp; Downtime Entry'!$L$6:$L$1005,'Fault &amp; Downtime Entry'!$E$6:$E$1005,G94,'Fault &amp; Downtime Entry'!$B$6:$B$1005,B94)=0,120,100*(INDEX('Standards &amp; Scoring'!$E$5:$E$13,MATCH("Downtime Control",'Standards &amp; Scoring'!$A$5:$A$13,0))/IFERROR(SUMIFS('Fault &amp; Downtime Entry'!$L$6:$L$1005,'Fault &amp; Downtime Entry'!$E$6:$E$1005,G94,'Fault &amp; Downtime Entry'!$B$6:$B$1005,B94)/O94*1000,999999)))))</f>
        <v/>
      </c>
      <c r="AT94" s="49" t="n">
        <f aca="false">IF(COUNTA(AH94,AJ94)=0,"",MIN(120,IF(AND(AH94&lt;&gt;"",AJ94&lt;&gt;""),AVERAGE(AH94,AJ94),IF(AH94&lt;&gt;"",AH94,AJ94))))</f>
        <v>0</v>
      </c>
      <c r="AU94" s="49" t="str">
        <f aca="false">IF(AI94="","",MIN(120,AI94))</f>
        <v/>
      </c>
      <c r="AV94" s="49" t="str">
        <f aca="false">IF(AJ94="","",MIN(120,AJ94))</f>
        <v/>
      </c>
      <c r="AW94" s="50" t="str">
        <f aca="false">IF(COUNT(AN94:AV94)&lt;9,"",(AN94*'Standards &amp; Scoring'!$D$5+AO94*'Standards &amp; Scoring'!$D$6+AP94*'Standards &amp; Scoring'!$D$7+AQ94*'Standards &amp; Scoring'!$D$8+AR94*'Standards &amp; Scoring'!$D$9+AS94*'Standards &amp; Scoring'!$D$10+AT94*'Standards &amp; Scoring'!$D$11+AU94*'Standards &amp; Scoring'!$D$12+AV94*'Standards &amp; Scoring'!$D$13)/10000)</f>
        <v/>
      </c>
      <c r="AX94" s="47" t="str">
        <f aca="false">IF(AW94="","",IF(AW94&gt;=1.05,"A+",IF(AW94&gt;=1,"A",IF(AW94&gt;=0.95,"B+",IF(AW94&gt;=0.9,"B","C")))))</f>
        <v/>
      </c>
      <c r="AY94" s="47" t="str">
        <f aca="false">IF(AX94="","",IF(AX94="A+",1800,IF(AX94="A",1600,IF(AX94="B+",1400,IF(AX94="B",1200,0)))))</f>
        <v/>
      </c>
      <c r="AZ94" s="49" t="str">
        <f aca="false">IF(OR(L94="",M94="",S94="",M94=0),"",IFERROR(L94*60*S94/(M94*36),0))</f>
        <v/>
      </c>
    </row>
    <row r="95" customFormat="false" ht="15" hidden="false" customHeight="true" outlineLevel="0" collapsed="false">
      <c r="A95" s="47" t="n">
        <f aca="false">'Daily KPI Entry'!A96</f>
        <v>0</v>
      </c>
      <c r="B95" s="48" t="n">
        <f aca="false">'Daily KPI Entry'!B96</f>
        <v>0</v>
      </c>
      <c r="C95" s="47" t="n">
        <f aca="false">'Daily KPI Entry'!C96</f>
        <v>0</v>
      </c>
      <c r="D95" s="47" t="n">
        <f aca="false">'Daily KPI Entry'!D96</f>
        <v>0</v>
      </c>
      <c r="E95" s="47" t="n">
        <f aca="false">'Daily KPI Entry'!E96</f>
        <v>0</v>
      </c>
      <c r="F95" s="47" t="n">
        <f aca="false">'Daily KPI Entry'!F96</f>
        <v>0</v>
      </c>
      <c r="G95" s="47" t="n">
        <f aca="false">'Daily KPI Entry'!G96</f>
        <v>0</v>
      </c>
      <c r="H95" s="47" t="str">
        <f aca="false">'Daily KPI Entry'!H96</f>
        <v/>
      </c>
      <c r="I95" s="47" t="n">
        <f aca="false">'Daily KPI Entry'!I96</f>
        <v>0</v>
      </c>
      <c r="J95" s="47" t="n">
        <f aca="false">'Daily KPI Entry'!J96</f>
        <v>0</v>
      </c>
      <c r="K95" s="47" t="n">
        <f aca="false">'Daily KPI Entry'!K96</f>
        <v>0</v>
      </c>
      <c r="L95" s="47" t="n">
        <f aca="false">'Daily KPI Entry'!L96</f>
        <v>0</v>
      </c>
      <c r="M95" s="47" t="n">
        <f aca="false">'Daily KPI Entry'!M96</f>
        <v>0</v>
      </c>
      <c r="N95" s="49" t="n">
        <f aca="false">'Daily KPI Entry'!N96</f>
        <v>0</v>
      </c>
      <c r="O95" s="49" t="n">
        <f aca="false">'Daily KPI Entry'!O96</f>
        <v>0</v>
      </c>
      <c r="P95" s="49" t="str">
        <f aca="false">IF(OR(N95="",O95=""),"",IFERROR(O95/N95*100,0))</f>
        <v/>
      </c>
      <c r="Q95" s="47" t="n">
        <f aca="false">'Daily KPI Entry'!Q96</f>
        <v>8</v>
      </c>
      <c r="R95" s="47" t="str">
        <f aca="false">IF(J95="","",Q95*J95)</f>
        <v/>
      </c>
      <c r="S95" s="49" t="n">
        <f aca="false">'Daily KPI Entry'!S96</f>
        <v>0</v>
      </c>
      <c r="T95" s="49" t="str">
        <f aca="false">IF(OR(R95="",S95=""),"",IFERROR(S95/R95*100,0))</f>
        <v/>
      </c>
      <c r="U95" s="49" t="str">
        <f aca="false">IF(OR(O95="",L95="",M95="",S95="",M95=0),"",IFERROR(O95/(L95*60*S95/(M95*36))*100,0))</f>
        <v/>
      </c>
      <c r="V95" s="49" t="n">
        <f aca="false">'Daily KPI Entry'!V96</f>
        <v>0</v>
      </c>
      <c r="W95" s="49" t="str">
        <f aca="false">IF(O95="","",IFERROR(V95/O95*100,0))</f>
        <v/>
      </c>
      <c r="X95" s="49" t="n">
        <f aca="false">'Daily KPI Entry'!X96</f>
        <v>0</v>
      </c>
      <c r="Y95" s="49" t="n">
        <f aca="false">'Daily KPI Entry'!Y96</f>
        <v>0</v>
      </c>
      <c r="Z95" s="49" t="n">
        <f aca="false">'Daily KPI Entry'!Z96</f>
        <v>0</v>
      </c>
      <c r="AA95" s="49" t="n">
        <f aca="false">'Daily KPI Entry'!AA96</f>
        <v>0</v>
      </c>
      <c r="AB95" s="49" t="n">
        <f aca="false">'Daily KPI Entry'!AB96</f>
        <v>0</v>
      </c>
      <c r="AC95" s="49" t="n">
        <f aca="false">'Daily KPI Entry'!AC96</f>
        <v>0</v>
      </c>
      <c r="AD95" s="49" t="n">
        <f aca="false">'Daily KPI Entry'!AD96</f>
        <v>0</v>
      </c>
      <c r="AE95" s="49" t="n">
        <f aca="false">'Daily KPI Entry'!AE96</f>
        <v>0</v>
      </c>
      <c r="AF95" s="47" t="str">
        <f aca="false">IF(O95="","",SUM(X95:AE95))</f>
        <v/>
      </c>
      <c r="AG95" s="49" t="str">
        <f aca="false">IF(O95="","",IFERROR(AF95/O95*1000,0))</f>
        <v/>
      </c>
      <c r="AH95" s="49" t="n">
        <f aca="false">'Daily KPI Entry'!AH96</f>
        <v>0</v>
      </c>
      <c r="AI95" s="49" t="n">
        <f aca="false">'Daily KPI Entry'!AI96</f>
        <v>0</v>
      </c>
      <c r="AJ95" s="49" t="n">
        <f aca="false">'Daily KPI Entry'!AJ96</f>
        <v>0</v>
      </c>
      <c r="AK95" s="47" t="n">
        <f aca="false">'Daily KPI Entry'!AK96</f>
        <v>0</v>
      </c>
      <c r="AL95" s="47" t="n">
        <f aca="false">'Daily KPI Entry'!AL96</f>
        <v>0</v>
      </c>
      <c r="AM95" s="47" t="n">
        <f aca="false">'Daily KPI Entry'!AM96</f>
        <v>0</v>
      </c>
      <c r="AN95" s="49" t="str">
        <f aca="false">IF(P95="","",MIN(120,P95))</f>
        <v/>
      </c>
      <c r="AO95" s="49" t="str">
        <f aca="false">IF(U95="","",MIN(120,U95))</f>
        <v/>
      </c>
      <c r="AP95" s="49" t="str">
        <f aca="false">IF(R95="","",MIN(120,IFERROR(S95/R95*100,0)))</f>
        <v/>
      </c>
      <c r="AQ95" s="49" t="str">
        <f aca="false">IF(W95="","",MIN(120,IF(W95=0,120,100*(INDEX('Standards &amp; Scoring'!$E$5:$E$13,MATCH("Quality / Rejection",'Standards &amp; Scoring'!$A$5:$A$13,0))/W95))))</f>
        <v/>
      </c>
      <c r="AR95" s="49" t="str">
        <f aca="false">IF(AG95="","",MIN(120,IF(AG95=0,120,100*(INDEX('Standards &amp; Scoring'!$E$5:$E$13,MATCH("Fault Control",'Standards &amp; Scoring'!$A$5:$A$13,0))/AG95))))</f>
        <v/>
      </c>
      <c r="AS95" s="49" t="str">
        <f aca="false">IF(O95="","",MIN(120,IF(SUMIFS('Fault &amp; Downtime Entry'!$L$6:$L$1005,'Fault &amp; Downtime Entry'!$E$6:$E$1005,G95,'Fault &amp; Downtime Entry'!$B$6:$B$1005,B95)=0,120,100*(INDEX('Standards &amp; Scoring'!$E$5:$E$13,MATCH("Downtime Control",'Standards &amp; Scoring'!$A$5:$A$13,0))/IFERROR(SUMIFS('Fault &amp; Downtime Entry'!$L$6:$L$1005,'Fault &amp; Downtime Entry'!$E$6:$E$1005,G95,'Fault &amp; Downtime Entry'!$B$6:$B$1005,B95)/O95*1000,999999)))))</f>
        <v/>
      </c>
      <c r="AT95" s="49" t="n">
        <f aca="false">IF(COUNTA(AH95,AJ95)=0,"",MIN(120,IF(AND(AH95&lt;&gt;"",AJ95&lt;&gt;""),AVERAGE(AH95,AJ95),IF(AH95&lt;&gt;"",AH95,AJ95))))</f>
        <v>0</v>
      </c>
      <c r="AU95" s="49" t="str">
        <f aca="false">IF(AI95="","",MIN(120,AI95))</f>
        <v/>
      </c>
      <c r="AV95" s="49" t="str">
        <f aca="false">IF(AJ95="","",MIN(120,AJ95))</f>
        <v/>
      </c>
      <c r="AW95" s="50" t="str">
        <f aca="false">IF(COUNT(AN95:AV95)&lt;9,"",(AN95*'Standards &amp; Scoring'!$D$5+AO95*'Standards &amp; Scoring'!$D$6+AP95*'Standards &amp; Scoring'!$D$7+AQ95*'Standards &amp; Scoring'!$D$8+AR95*'Standards &amp; Scoring'!$D$9+AS95*'Standards &amp; Scoring'!$D$10+AT95*'Standards &amp; Scoring'!$D$11+AU95*'Standards &amp; Scoring'!$D$12+AV95*'Standards &amp; Scoring'!$D$13)/10000)</f>
        <v/>
      </c>
      <c r="AX95" s="47" t="str">
        <f aca="false">IF(AW95="","",IF(AW95&gt;=1.05,"A+",IF(AW95&gt;=1,"A",IF(AW95&gt;=0.95,"B+",IF(AW95&gt;=0.9,"B","C")))))</f>
        <v/>
      </c>
      <c r="AY95" s="47" t="str">
        <f aca="false">IF(AX95="","",IF(AX95="A+",1800,IF(AX95="A",1600,IF(AX95="B+",1400,IF(AX95="B",1200,0)))))</f>
        <v/>
      </c>
      <c r="AZ95" s="49" t="str">
        <f aca="false">IF(OR(L95="",M95="",S95="",M95=0),"",IFERROR(L95*60*S95/(M95*36),0))</f>
        <v/>
      </c>
    </row>
    <row r="96" customFormat="false" ht="15" hidden="false" customHeight="true" outlineLevel="0" collapsed="false">
      <c r="A96" s="47" t="n">
        <f aca="false">'Daily KPI Entry'!A97</f>
        <v>0</v>
      </c>
      <c r="B96" s="48" t="n">
        <f aca="false">'Daily KPI Entry'!B97</f>
        <v>0</v>
      </c>
      <c r="C96" s="47" t="n">
        <f aca="false">'Daily KPI Entry'!C97</f>
        <v>0</v>
      </c>
      <c r="D96" s="47" t="n">
        <f aca="false">'Daily KPI Entry'!D97</f>
        <v>0</v>
      </c>
      <c r="E96" s="47" t="n">
        <f aca="false">'Daily KPI Entry'!E97</f>
        <v>0</v>
      </c>
      <c r="F96" s="47" t="n">
        <f aca="false">'Daily KPI Entry'!F97</f>
        <v>0</v>
      </c>
      <c r="G96" s="47" t="n">
        <f aca="false">'Daily KPI Entry'!G97</f>
        <v>0</v>
      </c>
      <c r="H96" s="47" t="str">
        <f aca="false">'Daily KPI Entry'!H97</f>
        <v/>
      </c>
      <c r="I96" s="47" t="n">
        <f aca="false">'Daily KPI Entry'!I97</f>
        <v>0</v>
      </c>
      <c r="J96" s="47" t="n">
        <f aca="false">'Daily KPI Entry'!J97</f>
        <v>0</v>
      </c>
      <c r="K96" s="47" t="n">
        <f aca="false">'Daily KPI Entry'!K97</f>
        <v>0</v>
      </c>
      <c r="L96" s="47" t="n">
        <f aca="false">'Daily KPI Entry'!L97</f>
        <v>0</v>
      </c>
      <c r="M96" s="47" t="n">
        <f aca="false">'Daily KPI Entry'!M97</f>
        <v>0</v>
      </c>
      <c r="N96" s="49" t="n">
        <f aca="false">'Daily KPI Entry'!N97</f>
        <v>0</v>
      </c>
      <c r="O96" s="49" t="n">
        <f aca="false">'Daily KPI Entry'!O97</f>
        <v>0</v>
      </c>
      <c r="P96" s="49" t="str">
        <f aca="false">IF(OR(N96="",O96=""),"",IFERROR(O96/N96*100,0))</f>
        <v/>
      </c>
      <c r="Q96" s="47" t="n">
        <f aca="false">'Daily KPI Entry'!Q97</f>
        <v>8</v>
      </c>
      <c r="R96" s="47" t="str">
        <f aca="false">IF(J96="","",Q96*J96)</f>
        <v/>
      </c>
      <c r="S96" s="49" t="n">
        <f aca="false">'Daily KPI Entry'!S97</f>
        <v>0</v>
      </c>
      <c r="T96" s="49" t="str">
        <f aca="false">IF(OR(R96="",S96=""),"",IFERROR(S96/R96*100,0))</f>
        <v/>
      </c>
      <c r="U96" s="49" t="str">
        <f aca="false">IF(OR(O96="",L96="",M96="",S96="",M96=0),"",IFERROR(O96/(L96*60*S96/(M96*36))*100,0))</f>
        <v/>
      </c>
      <c r="V96" s="49" t="n">
        <f aca="false">'Daily KPI Entry'!V97</f>
        <v>0</v>
      </c>
      <c r="W96" s="49" t="str">
        <f aca="false">IF(O96="","",IFERROR(V96/O96*100,0))</f>
        <v/>
      </c>
      <c r="X96" s="49" t="n">
        <f aca="false">'Daily KPI Entry'!X97</f>
        <v>0</v>
      </c>
      <c r="Y96" s="49" t="n">
        <f aca="false">'Daily KPI Entry'!Y97</f>
        <v>0</v>
      </c>
      <c r="Z96" s="49" t="n">
        <f aca="false">'Daily KPI Entry'!Z97</f>
        <v>0</v>
      </c>
      <c r="AA96" s="49" t="n">
        <f aca="false">'Daily KPI Entry'!AA97</f>
        <v>0</v>
      </c>
      <c r="AB96" s="49" t="n">
        <f aca="false">'Daily KPI Entry'!AB97</f>
        <v>0</v>
      </c>
      <c r="AC96" s="49" t="n">
        <f aca="false">'Daily KPI Entry'!AC97</f>
        <v>0</v>
      </c>
      <c r="AD96" s="49" t="n">
        <f aca="false">'Daily KPI Entry'!AD97</f>
        <v>0</v>
      </c>
      <c r="AE96" s="49" t="n">
        <f aca="false">'Daily KPI Entry'!AE97</f>
        <v>0</v>
      </c>
      <c r="AF96" s="47" t="str">
        <f aca="false">IF(O96="","",SUM(X96:AE96))</f>
        <v/>
      </c>
      <c r="AG96" s="49" t="str">
        <f aca="false">IF(O96="","",IFERROR(AF96/O96*1000,0))</f>
        <v/>
      </c>
      <c r="AH96" s="49" t="n">
        <f aca="false">'Daily KPI Entry'!AH97</f>
        <v>0</v>
      </c>
      <c r="AI96" s="49" t="n">
        <f aca="false">'Daily KPI Entry'!AI97</f>
        <v>0</v>
      </c>
      <c r="AJ96" s="49" t="n">
        <f aca="false">'Daily KPI Entry'!AJ97</f>
        <v>0</v>
      </c>
      <c r="AK96" s="47" t="n">
        <f aca="false">'Daily KPI Entry'!AK97</f>
        <v>0</v>
      </c>
      <c r="AL96" s="47" t="n">
        <f aca="false">'Daily KPI Entry'!AL97</f>
        <v>0</v>
      </c>
      <c r="AM96" s="47" t="n">
        <f aca="false">'Daily KPI Entry'!AM97</f>
        <v>0</v>
      </c>
      <c r="AN96" s="49" t="str">
        <f aca="false">IF(P96="","",MIN(120,P96))</f>
        <v/>
      </c>
      <c r="AO96" s="49" t="str">
        <f aca="false">IF(U96="","",MIN(120,U96))</f>
        <v/>
      </c>
      <c r="AP96" s="49" t="str">
        <f aca="false">IF(R96="","",MIN(120,IFERROR(S96/R96*100,0)))</f>
        <v/>
      </c>
      <c r="AQ96" s="49" t="str">
        <f aca="false">IF(W96="","",MIN(120,IF(W96=0,120,100*(INDEX('Standards &amp; Scoring'!$E$5:$E$13,MATCH("Quality / Rejection",'Standards &amp; Scoring'!$A$5:$A$13,0))/W96))))</f>
        <v/>
      </c>
      <c r="AR96" s="49" t="str">
        <f aca="false">IF(AG96="","",MIN(120,IF(AG96=0,120,100*(INDEX('Standards &amp; Scoring'!$E$5:$E$13,MATCH("Fault Control",'Standards &amp; Scoring'!$A$5:$A$13,0))/AG96))))</f>
        <v/>
      </c>
      <c r="AS96" s="49" t="str">
        <f aca="false">IF(O96="","",MIN(120,IF(SUMIFS('Fault &amp; Downtime Entry'!$L$6:$L$1005,'Fault &amp; Downtime Entry'!$E$6:$E$1005,G96,'Fault &amp; Downtime Entry'!$B$6:$B$1005,B96)=0,120,100*(INDEX('Standards &amp; Scoring'!$E$5:$E$13,MATCH("Downtime Control",'Standards &amp; Scoring'!$A$5:$A$13,0))/IFERROR(SUMIFS('Fault &amp; Downtime Entry'!$L$6:$L$1005,'Fault &amp; Downtime Entry'!$E$6:$E$1005,G96,'Fault &amp; Downtime Entry'!$B$6:$B$1005,B96)/O96*1000,999999)))))</f>
        <v/>
      </c>
      <c r="AT96" s="49" t="n">
        <f aca="false">IF(COUNTA(AH96,AJ96)=0,"",MIN(120,IF(AND(AH96&lt;&gt;"",AJ96&lt;&gt;""),AVERAGE(AH96,AJ96),IF(AH96&lt;&gt;"",AH96,AJ96))))</f>
        <v>0</v>
      </c>
      <c r="AU96" s="49" t="str">
        <f aca="false">IF(AI96="","",MIN(120,AI96))</f>
        <v/>
      </c>
      <c r="AV96" s="49" t="str">
        <f aca="false">IF(AJ96="","",MIN(120,AJ96))</f>
        <v/>
      </c>
      <c r="AW96" s="50" t="str">
        <f aca="false">IF(COUNT(AN96:AV96)&lt;9,"",(AN96*'Standards &amp; Scoring'!$D$5+AO96*'Standards &amp; Scoring'!$D$6+AP96*'Standards &amp; Scoring'!$D$7+AQ96*'Standards &amp; Scoring'!$D$8+AR96*'Standards &amp; Scoring'!$D$9+AS96*'Standards &amp; Scoring'!$D$10+AT96*'Standards &amp; Scoring'!$D$11+AU96*'Standards &amp; Scoring'!$D$12+AV96*'Standards &amp; Scoring'!$D$13)/10000)</f>
        <v/>
      </c>
      <c r="AX96" s="47" t="str">
        <f aca="false">IF(AW96="","",IF(AW96&gt;=1.05,"A+",IF(AW96&gt;=1,"A",IF(AW96&gt;=0.95,"B+",IF(AW96&gt;=0.9,"B","C")))))</f>
        <v/>
      </c>
      <c r="AY96" s="47" t="str">
        <f aca="false">IF(AX96="","",IF(AX96="A+",1800,IF(AX96="A",1600,IF(AX96="B+",1400,IF(AX96="B",1200,0)))))</f>
        <v/>
      </c>
      <c r="AZ96" s="49" t="str">
        <f aca="false">IF(OR(L96="",M96="",S96="",M96=0),"",IFERROR(L96*60*S96/(M96*36),0))</f>
        <v/>
      </c>
    </row>
    <row r="97" customFormat="false" ht="15" hidden="false" customHeight="true" outlineLevel="0" collapsed="false">
      <c r="A97" s="47" t="n">
        <f aca="false">'Daily KPI Entry'!A98</f>
        <v>0</v>
      </c>
      <c r="B97" s="48" t="n">
        <f aca="false">'Daily KPI Entry'!B98</f>
        <v>0</v>
      </c>
      <c r="C97" s="47" t="n">
        <f aca="false">'Daily KPI Entry'!C98</f>
        <v>0</v>
      </c>
      <c r="D97" s="47" t="n">
        <f aca="false">'Daily KPI Entry'!D98</f>
        <v>0</v>
      </c>
      <c r="E97" s="47" t="n">
        <f aca="false">'Daily KPI Entry'!E98</f>
        <v>0</v>
      </c>
      <c r="F97" s="47" t="n">
        <f aca="false">'Daily KPI Entry'!F98</f>
        <v>0</v>
      </c>
      <c r="G97" s="47" t="n">
        <f aca="false">'Daily KPI Entry'!G98</f>
        <v>0</v>
      </c>
      <c r="H97" s="47" t="str">
        <f aca="false">'Daily KPI Entry'!H98</f>
        <v/>
      </c>
      <c r="I97" s="47" t="n">
        <f aca="false">'Daily KPI Entry'!I98</f>
        <v>0</v>
      </c>
      <c r="J97" s="47" t="n">
        <f aca="false">'Daily KPI Entry'!J98</f>
        <v>0</v>
      </c>
      <c r="K97" s="47" t="n">
        <f aca="false">'Daily KPI Entry'!K98</f>
        <v>0</v>
      </c>
      <c r="L97" s="47" t="n">
        <f aca="false">'Daily KPI Entry'!L98</f>
        <v>0</v>
      </c>
      <c r="M97" s="47" t="n">
        <f aca="false">'Daily KPI Entry'!M98</f>
        <v>0</v>
      </c>
      <c r="N97" s="49" t="n">
        <f aca="false">'Daily KPI Entry'!N98</f>
        <v>0</v>
      </c>
      <c r="O97" s="49" t="n">
        <f aca="false">'Daily KPI Entry'!O98</f>
        <v>0</v>
      </c>
      <c r="P97" s="49" t="str">
        <f aca="false">IF(OR(N97="",O97=""),"",IFERROR(O97/N97*100,0))</f>
        <v/>
      </c>
      <c r="Q97" s="47" t="n">
        <f aca="false">'Daily KPI Entry'!Q98</f>
        <v>8</v>
      </c>
      <c r="R97" s="47" t="str">
        <f aca="false">IF(J97="","",Q97*J97)</f>
        <v/>
      </c>
      <c r="S97" s="49" t="n">
        <f aca="false">'Daily KPI Entry'!S98</f>
        <v>0</v>
      </c>
      <c r="T97" s="49" t="str">
        <f aca="false">IF(OR(R97="",S97=""),"",IFERROR(S97/R97*100,0))</f>
        <v/>
      </c>
      <c r="U97" s="49" t="str">
        <f aca="false">IF(OR(O97="",L97="",M97="",S97="",M97=0),"",IFERROR(O97/(L97*60*S97/(M97*36))*100,0))</f>
        <v/>
      </c>
      <c r="V97" s="49" t="n">
        <f aca="false">'Daily KPI Entry'!V98</f>
        <v>0</v>
      </c>
      <c r="W97" s="49" t="str">
        <f aca="false">IF(O97="","",IFERROR(V97/O97*100,0))</f>
        <v/>
      </c>
      <c r="X97" s="49" t="n">
        <f aca="false">'Daily KPI Entry'!X98</f>
        <v>0</v>
      </c>
      <c r="Y97" s="49" t="n">
        <f aca="false">'Daily KPI Entry'!Y98</f>
        <v>0</v>
      </c>
      <c r="Z97" s="49" t="n">
        <f aca="false">'Daily KPI Entry'!Z98</f>
        <v>0</v>
      </c>
      <c r="AA97" s="49" t="n">
        <f aca="false">'Daily KPI Entry'!AA98</f>
        <v>0</v>
      </c>
      <c r="AB97" s="49" t="n">
        <f aca="false">'Daily KPI Entry'!AB98</f>
        <v>0</v>
      </c>
      <c r="AC97" s="49" t="n">
        <f aca="false">'Daily KPI Entry'!AC98</f>
        <v>0</v>
      </c>
      <c r="AD97" s="49" t="n">
        <f aca="false">'Daily KPI Entry'!AD98</f>
        <v>0</v>
      </c>
      <c r="AE97" s="49" t="n">
        <f aca="false">'Daily KPI Entry'!AE98</f>
        <v>0</v>
      </c>
      <c r="AF97" s="47" t="str">
        <f aca="false">IF(O97="","",SUM(X97:AE97))</f>
        <v/>
      </c>
      <c r="AG97" s="49" t="str">
        <f aca="false">IF(O97="","",IFERROR(AF97/O97*1000,0))</f>
        <v/>
      </c>
      <c r="AH97" s="49" t="n">
        <f aca="false">'Daily KPI Entry'!AH98</f>
        <v>0</v>
      </c>
      <c r="AI97" s="49" t="n">
        <f aca="false">'Daily KPI Entry'!AI98</f>
        <v>0</v>
      </c>
      <c r="AJ97" s="49" t="n">
        <f aca="false">'Daily KPI Entry'!AJ98</f>
        <v>0</v>
      </c>
      <c r="AK97" s="47" t="n">
        <f aca="false">'Daily KPI Entry'!AK98</f>
        <v>0</v>
      </c>
      <c r="AL97" s="47" t="n">
        <f aca="false">'Daily KPI Entry'!AL98</f>
        <v>0</v>
      </c>
      <c r="AM97" s="47" t="n">
        <f aca="false">'Daily KPI Entry'!AM98</f>
        <v>0</v>
      </c>
      <c r="AN97" s="49" t="str">
        <f aca="false">IF(P97="","",MIN(120,P97))</f>
        <v/>
      </c>
      <c r="AO97" s="49" t="str">
        <f aca="false">IF(U97="","",MIN(120,U97))</f>
        <v/>
      </c>
      <c r="AP97" s="49" t="str">
        <f aca="false">IF(R97="","",MIN(120,IFERROR(S97/R97*100,0)))</f>
        <v/>
      </c>
      <c r="AQ97" s="49" t="str">
        <f aca="false">IF(W97="","",MIN(120,IF(W97=0,120,100*(INDEX('Standards &amp; Scoring'!$E$5:$E$13,MATCH("Quality / Rejection",'Standards &amp; Scoring'!$A$5:$A$13,0))/W97))))</f>
        <v/>
      </c>
      <c r="AR97" s="49" t="str">
        <f aca="false">IF(AG97="","",MIN(120,IF(AG97=0,120,100*(INDEX('Standards &amp; Scoring'!$E$5:$E$13,MATCH("Fault Control",'Standards &amp; Scoring'!$A$5:$A$13,0))/AG97))))</f>
        <v/>
      </c>
      <c r="AS97" s="49" t="str">
        <f aca="false">IF(O97="","",MIN(120,IF(SUMIFS('Fault &amp; Downtime Entry'!$L$6:$L$1005,'Fault &amp; Downtime Entry'!$E$6:$E$1005,G97,'Fault &amp; Downtime Entry'!$B$6:$B$1005,B97)=0,120,100*(INDEX('Standards &amp; Scoring'!$E$5:$E$13,MATCH("Downtime Control",'Standards &amp; Scoring'!$A$5:$A$13,0))/IFERROR(SUMIFS('Fault &amp; Downtime Entry'!$L$6:$L$1005,'Fault &amp; Downtime Entry'!$E$6:$E$1005,G97,'Fault &amp; Downtime Entry'!$B$6:$B$1005,B97)/O97*1000,999999)))))</f>
        <v/>
      </c>
      <c r="AT97" s="49" t="n">
        <f aca="false">IF(COUNTA(AH97,AJ97)=0,"",MIN(120,IF(AND(AH97&lt;&gt;"",AJ97&lt;&gt;""),AVERAGE(AH97,AJ97),IF(AH97&lt;&gt;"",AH97,AJ97))))</f>
        <v>0</v>
      </c>
      <c r="AU97" s="49" t="str">
        <f aca="false">IF(AI97="","",MIN(120,AI97))</f>
        <v/>
      </c>
      <c r="AV97" s="49" t="str">
        <f aca="false">IF(AJ97="","",MIN(120,AJ97))</f>
        <v/>
      </c>
      <c r="AW97" s="50" t="str">
        <f aca="false">IF(COUNT(AN97:AV97)&lt;9,"",(AN97*'Standards &amp; Scoring'!$D$5+AO97*'Standards &amp; Scoring'!$D$6+AP97*'Standards &amp; Scoring'!$D$7+AQ97*'Standards &amp; Scoring'!$D$8+AR97*'Standards &amp; Scoring'!$D$9+AS97*'Standards &amp; Scoring'!$D$10+AT97*'Standards &amp; Scoring'!$D$11+AU97*'Standards &amp; Scoring'!$D$12+AV97*'Standards &amp; Scoring'!$D$13)/10000)</f>
        <v/>
      </c>
      <c r="AX97" s="47" t="str">
        <f aca="false">IF(AW97="","",IF(AW97&gt;=1.05,"A+",IF(AW97&gt;=1,"A",IF(AW97&gt;=0.95,"B+",IF(AW97&gt;=0.9,"B","C")))))</f>
        <v/>
      </c>
      <c r="AY97" s="47" t="str">
        <f aca="false">IF(AX97="","",IF(AX97="A+",1800,IF(AX97="A",1600,IF(AX97="B+",1400,IF(AX97="B",1200,0)))))</f>
        <v/>
      </c>
      <c r="AZ97" s="49" t="str">
        <f aca="false">IF(OR(L97="",M97="",S97="",M97=0),"",IFERROR(L97*60*S97/(M97*36),0))</f>
        <v/>
      </c>
    </row>
    <row r="98" customFormat="false" ht="15" hidden="false" customHeight="true" outlineLevel="0" collapsed="false">
      <c r="A98" s="47" t="n">
        <f aca="false">'Daily KPI Entry'!A99</f>
        <v>0</v>
      </c>
      <c r="B98" s="48" t="n">
        <f aca="false">'Daily KPI Entry'!B99</f>
        <v>0</v>
      </c>
      <c r="C98" s="47" t="n">
        <f aca="false">'Daily KPI Entry'!C99</f>
        <v>0</v>
      </c>
      <c r="D98" s="47" t="n">
        <f aca="false">'Daily KPI Entry'!D99</f>
        <v>0</v>
      </c>
      <c r="E98" s="47" t="n">
        <f aca="false">'Daily KPI Entry'!E99</f>
        <v>0</v>
      </c>
      <c r="F98" s="47" t="n">
        <f aca="false">'Daily KPI Entry'!F99</f>
        <v>0</v>
      </c>
      <c r="G98" s="47" t="n">
        <f aca="false">'Daily KPI Entry'!G99</f>
        <v>0</v>
      </c>
      <c r="H98" s="47" t="str">
        <f aca="false">'Daily KPI Entry'!H99</f>
        <v/>
      </c>
      <c r="I98" s="47" t="n">
        <f aca="false">'Daily KPI Entry'!I99</f>
        <v>0</v>
      </c>
      <c r="J98" s="47" t="n">
        <f aca="false">'Daily KPI Entry'!J99</f>
        <v>0</v>
      </c>
      <c r="K98" s="47" t="n">
        <f aca="false">'Daily KPI Entry'!K99</f>
        <v>0</v>
      </c>
      <c r="L98" s="47" t="n">
        <f aca="false">'Daily KPI Entry'!L99</f>
        <v>0</v>
      </c>
      <c r="M98" s="47" t="n">
        <f aca="false">'Daily KPI Entry'!M99</f>
        <v>0</v>
      </c>
      <c r="N98" s="49" t="n">
        <f aca="false">'Daily KPI Entry'!N99</f>
        <v>0</v>
      </c>
      <c r="O98" s="49" t="n">
        <f aca="false">'Daily KPI Entry'!O99</f>
        <v>0</v>
      </c>
      <c r="P98" s="49" t="str">
        <f aca="false">IF(OR(N98="",O98=""),"",IFERROR(O98/N98*100,0))</f>
        <v/>
      </c>
      <c r="Q98" s="47" t="n">
        <f aca="false">'Daily KPI Entry'!Q99</f>
        <v>8</v>
      </c>
      <c r="R98" s="47" t="str">
        <f aca="false">IF(J98="","",Q98*J98)</f>
        <v/>
      </c>
      <c r="S98" s="49" t="n">
        <f aca="false">'Daily KPI Entry'!S99</f>
        <v>0</v>
      </c>
      <c r="T98" s="49" t="str">
        <f aca="false">IF(OR(R98="",S98=""),"",IFERROR(S98/R98*100,0))</f>
        <v/>
      </c>
      <c r="U98" s="49" t="str">
        <f aca="false">IF(OR(O98="",L98="",M98="",S98="",M98=0),"",IFERROR(O98/(L98*60*S98/(M98*36))*100,0))</f>
        <v/>
      </c>
      <c r="V98" s="49" t="n">
        <f aca="false">'Daily KPI Entry'!V99</f>
        <v>0</v>
      </c>
      <c r="W98" s="49" t="str">
        <f aca="false">IF(O98="","",IFERROR(V98/O98*100,0))</f>
        <v/>
      </c>
      <c r="X98" s="49" t="n">
        <f aca="false">'Daily KPI Entry'!X99</f>
        <v>0</v>
      </c>
      <c r="Y98" s="49" t="n">
        <f aca="false">'Daily KPI Entry'!Y99</f>
        <v>0</v>
      </c>
      <c r="Z98" s="49" t="n">
        <f aca="false">'Daily KPI Entry'!Z99</f>
        <v>0</v>
      </c>
      <c r="AA98" s="49" t="n">
        <f aca="false">'Daily KPI Entry'!AA99</f>
        <v>0</v>
      </c>
      <c r="AB98" s="49" t="n">
        <f aca="false">'Daily KPI Entry'!AB99</f>
        <v>0</v>
      </c>
      <c r="AC98" s="49" t="n">
        <f aca="false">'Daily KPI Entry'!AC99</f>
        <v>0</v>
      </c>
      <c r="AD98" s="49" t="n">
        <f aca="false">'Daily KPI Entry'!AD99</f>
        <v>0</v>
      </c>
      <c r="AE98" s="49" t="n">
        <f aca="false">'Daily KPI Entry'!AE99</f>
        <v>0</v>
      </c>
      <c r="AF98" s="47" t="str">
        <f aca="false">IF(O98="","",SUM(X98:AE98))</f>
        <v/>
      </c>
      <c r="AG98" s="49" t="str">
        <f aca="false">IF(O98="","",IFERROR(AF98/O98*1000,0))</f>
        <v/>
      </c>
      <c r="AH98" s="49" t="n">
        <f aca="false">'Daily KPI Entry'!AH99</f>
        <v>0</v>
      </c>
      <c r="AI98" s="49" t="n">
        <f aca="false">'Daily KPI Entry'!AI99</f>
        <v>0</v>
      </c>
      <c r="AJ98" s="49" t="n">
        <f aca="false">'Daily KPI Entry'!AJ99</f>
        <v>0</v>
      </c>
      <c r="AK98" s="47" t="n">
        <f aca="false">'Daily KPI Entry'!AK99</f>
        <v>0</v>
      </c>
      <c r="AL98" s="47" t="n">
        <f aca="false">'Daily KPI Entry'!AL99</f>
        <v>0</v>
      </c>
      <c r="AM98" s="47" t="n">
        <f aca="false">'Daily KPI Entry'!AM99</f>
        <v>0</v>
      </c>
      <c r="AN98" s="49" t="str">
        <f aca="false">IF(P98="","",MIN(120,P98))</f>
        <v/>
      </c>
      <c r="AO98" s="49" t="str">
        <f aca="false">IF(U98="","",MIN(120,U98))</f>
        <v/>
      </c>
      <c r="AP98" s="49" t="str">
        <f aca="false">IF(R98="","",MIN(120,IFERROR(S98/R98*100,0)))</f>
        <v/>
      </c>
      <c r="AQ98" s="49" t="str">
        <f aca="false">IF(W98="","",MIN(120,IF(W98=0,120,100*(INDEX('Standards &amp; Scoring'!$E$5:$E$13,MATCH("Quality / Rejection",'Standards &amp; Scoring'!$A$5:$A$13,0))/W98))))</f>
        <v/>
      </c>
      <c r="AR98" s="49" t="str">
        <f aca="false">IF(AG98="","",MIN(120,IF(AG98=0,120,100*(INDEX('Standards &amp; Scoring'!$E$5:$E$13,MATCH("Fault Control",'Standards &amp; Scoring'!$A$5:$A$13,0))/AG98))))</f>
        <v/>
      </c>
      <c r="AS98" s="49" t="str">
        <f aca="false">IF(O98="","",MIN(120,IF(SUMIFS('Fault &amp; Downtime Entry'!$L$6:$L$1005,'Fault &amp; Downtime Entry'!$E$6:$E$1005,G98,'Fault &amp; Downtime Entry'!$B$6:$B$1005,B98)=0,120,100*(INDEX('Standards &amp; Scoring'!$E$5:$E$13,MATCH("Downtime Control",'Standards &amp; Scoring'!$A$5:$A$13,0))/IFERROR(SUMIFS('Fault &amp; Downtime Entry'!$L$6:$L$1005,'Fault &amp; Downtime Entry'!$E$6:$E$1005,G98,'Fault &amp; Downtime Entry'!$B$6:$B$1005,B98)/O98*1000,999999)))))</f>
        <v/>
      </c>
      <c r="AT98" s="49" t="n">
        <f aca="false">IF(COUNTA(AH98,AJ98)=0,"",MIN(120,IF(AND(AH98&lt;&gt;"",AJ98&lt;&gt;""),AVERAGE(AH98,AJ98),IF(AH98&lt;&gt;"",AH98,AJ98))))</f>
        <v>0</v>
      </c>
      <c r="AU98" s="49" t="str">
        <f aca="false">IF(AI98="","",MIN(120,AI98))</f>
        <v/>
      </c>
      <c r="AV98" s="49" t="str">
        <f aca="false">IF(AJ98="","",MIN(120,AJ98))</f>
        <v/>
      </c>
      <c r="AW98" s="50" t="str">
        <f aca="false">IF(COUNT(AN98:AV98)&lt;9,"",(AN98*'Standards &amp; Scoring'!$D$5+AO98*'Standards &amp; Scoring'!$D$6+AP98*'Standards &amp; Scoring'!$D$7+AQ98*'Standards &amp; Scoring'!$D$8+AR98*'Standards &amp; Scoring'!$D$9+AS98*'Standards &amp; Scoring'!$D$10+AT98*'Standards &amp; Scoring'!$D$11+AU98*'Standards &amp; Scoring'!$D$12+AV98*'Standards &amp; Scoring'!$D$13)/10000)</f>
        <v/>
      </c>
      <c r="AX98" s="47" t="str">
        <f aca="false">IF(AW98="","",IF(AW98&gt;=1.05,"A+",IF(AW98&gt;=1,"A",IF(AW98&gt;=0.95,"B+",IF(AW98&gt;=0.9,"B","C")))))</f>
        <v/>
      </c>
      <c r="AY98" s="47" t="str">
        <f aca="false">IF(AX98="","",IF(AX98="A+",1800,IF(AX98="A",1600,IF(AX98="B+",1400,IF(AX98="B",1200,0)))))</f>
        <v/>
      </c>
      <c r="AZ98" s="49" t="str">
        <f aca="false">IF(OR(L98="",M98="",S98="",M98=0),"",IFERROR(L98*60*S98/(M98*36),0))</f>
        <v/>
      </c>
    </row>
    <row r="99" customFormat="false" ht="15" hidden="false" customHeight="true" outlineLevel="0" collapsed="false">
      <c r="A99" s="47" t="n">
        <f aca="false">'Daily KPI Entry'!A100</f>
        <v>0</v>
      </c>
      <c r="B99" s="48" t="n">
        <f aca="false">'Daily KPI Entry'!B100</f>
        <v>0</v>
      </c>
      <c r="C99" s="47" t="n">
        <f aca="false">'Daily KPI Entry'!C100</f>
        <v>0</v>
      </c>
      <c r="D99" s="47" t="n">
        <f aca="false">'Daily KPI Entry'!D100</f>
        <v>0</v>
      </c>
      <c r="E99" s="47" t="n">
        <f aca="false">'Daily KPI Entry'!E100</f>
        <v>0</v>
      </c>
      <c r="F99" s="47" t="n">
        <f aca="false">'Daily KPI Entry'!F100</f>
        <v>0</v>
      </c>
      <c r="G99" s="47" t="n">
        <f aca="false">'Daily KPI Entry'!G100</f>
        <v>0</v>
      </c>
      <c r="H99" s="47" t="str">
        <f aca="false">'Daily KPI Entry'!H100</f>
        <v/>
      </c>
      <c r="I99" s="47" t="n">
        <f aca="false">'Daily KPI Entry'!I100</f>
        <v>0</v>
      </c>
      <c r="J99" s="47" t="n">
        <f aca="false">'Daily KPI Entry'!J100</f>
        <v>0</v>
      </c>
      <c r="K99" s="47" t="n">
        <f aca="false">'Daily KPI Entry'!K100</f>
        <v>0</v>
      </c>
      <c r="L99" s="47" t="n">
        <f aca="false">'Daily KPI Entry'!L100</f>
        <v>0</v>
      </c>
      <c r="M99" s="47" t="n">
        <f aca="false">'Daily KPI Entry'!M100</f>
        <v>0</v>
      </c>
      <c r="N99" s="49" t="n">
        <f aca="false">'Daily KPI Entry'!N100</f>
        <v>0</v>
      </c>
      <c r="O99" s="49" t="n">
        <f aca="false">'Daily KPI Entry'!O100</f>
        <v>0</v>
      </c>
      <c r="P99" s="49" t="str">
        <f aca="false">IF(OR(N99="",O99=""),"",IFERROR(O99/N99*100,0))</f>
        <v/>
      </c>
      <c r="Q99" s="47" t="n">
        <f aca="false">'Daily KPI Entry'!Q100</f>
        <v>8</v>
      </c>
      <c r="R99" s="47" t="str">
        <f aca="false">IF(J99="","",Q99*J99)</f>
        <v/>
      </c>
      <c r="S99" s="49" t="n">
        <f aca="false">'Daily KPI Entry'!S100</f>
        <v>0</v>
      </c>
      <c r="T99" s="49" t="str">
        <f aca="false">IF(OR(R99="",S99=""),"",IFERROR(S99/R99*100,0))</f>
        <v/>
      </c>
      <c r="U99" s="49" t="str">
        <f aca="false">IF(OR(O99="",L99="",M99="",S99="",M99=0),"",IFERROR(O99/(L99*60*S99/(M99*36))*100,0))</f>
        <v/>
      </c>
      <c r="V99" s="49" t="n">
        <f aca="false">'Daily KPI Entry'!V100</f>
        <v>0</v>
      </c>
      <c r="W99" s="49" t="str">
        <f aca="false">IF(O99="","",IFERROR(V99/O99*100,0))</f>
        <v/>
      </c>
      <c r="X99" s="49" t="n">
        <f aca="false">'Daily KPI Entry'!X100</f>
        <v>0</v>
      </c>
      <c r="Y99" s="49" t="n">
        <f aca="false">'Daily KPI Entry'!Y100</f>
        <v>0</v>
      </c>
      <c r="Z99" s="49" t="n">
        <f aca="false">'Daily KPI Entry'!Z100</f>
        <v>0</v>
      </c>
      <c r="AA99" s="49" t="n">
        <f aca="false">'Daily KPI Entry'!AA100</f>
        <v>0</v>
      </c>
      <c r="AB99" s="49" t="n">
        <f aca="false">'Daily KPI Entry'!AB100</f>
        <v>0</v>
      </c>
      <c r="AC99" s="49" t="n">
        <f aca="false">'Daily KPI Entry'!AC100</f>
        <v>0</v>
      </c>
      <c r="AD99" s="49" t="n">
        <f aca="false">'Daily KPI Entry'!AD100</f>
        <v>0</v>
      </c>
      <c r="AE99" s="49" t="n">
        <f aca="false">'Daily KPI Entry'!AE100</f>
        <v>0</v>
      </c>
      <c r="AF99" s="47" t="str">
        <f aca="false">IF(O99="","",SUM(X99:AE99))</f>
        <v/>
      </c>
      <c r="AG99" s="49" t="str">
        <f aca="false">IF(O99="","",IFERROR(AF99/O99*1000,0))</f>
        <v/>
      </c>
      <c r="AH99" s="49" t="n">
        <f aca="false">'Daily KPI Entry'!AH100</f>
        <v>0</v>
      </c>
      <c r="AI99" s="49" t="n">
        <f aca="false">'Daily KPI Entry'!AI100</f>
        <v>0</v>
      </c>
      <c r="AJ99" s="49" t="n">
        <f aca="false">'Daily KPI Entry'!AJ100</f>
        <v>0</v>
      </c>
      <c r="AK99" s="47" t="n">
        <f aca="false">'Daily KPI Entry'!AK100</f>
        <v>0</v>
      </c>
      <c r="AL99" s="47" t="n">
        <f aca="false">'Daily KPI Entry'!AL100</f>
        <v>0</v>
      </c>
      <c r="AM99" s="47" t="n">
        <f aca="false">'Daily KPI Entry'!AM100</f>
        <v>0</v>
      </c>
      <c r="AN99" s="49" t="str">
        <f aca="false">IF(P99="","",MIN(120,P99))</f>
        <v/>
      </c>
      <c r="AO99" s="49" t="str">
        <f aca="false">IF(U99="","",MIN(120,U99))</f>
        <v/>
      </c>
      <c r="AP99" s="49" t="str">
        <f aca="false">IF(R99="","",MIN(120,IFERROR(S99/R99*100,0)))</f>
        <v/>
      </c>
      <c r="AQ99" s="49" t="str">
        <f aca="false">IF(W99="","",MIN(120,IF(W99=0,120,100*(INDEX('Standards &amp; Scoring'!$E$5:$E$13,MATCH("Quality / Rejection",'Standards &amp; Scoring'!$A$5:$A$13,0))/W99))))</f>
        <v/>
      </c>
      <c r="AR99" s="49" t="str">
        <f aca="false">IF(AG99="","",MIN(120,IF(AG99=0,120,100*(INDEX('Standards &amp; Scoring'!$E$5:$E$13,MATCH("Fault Control",'Standards &amp; Scoring'!$A$5:$A$13,0))/AG99))))</f>
        <v/>
      </c>
      <c r="AS99" s="49" t="str">
        <f aca="false">IF(O99="","",MIN(120,IF(SUMIFS('Fault &amp; Downtime Entry'!$L$6:$L$1005,'Fault &amp; Downtime Entry'!$E$6:$E$1005,G99,'Fault &amp; Downtime Entry'!$B$6:$B$1005,B99)=0,120,100*(INDEX('Standards &amp; Scoring'!$E$5:$E$13,MATCH("Downtime Control",'Standards &amp; Scoring'!$A$5:$A$13,0))/IFERROR(SUMIFS('Fault &amp; Downtime Entry'!$L$6:$L$1005,'Fault &amp; Downtime Entry'!$E$6:$E$1005,G99,'Fault &amp; Downtime Entry'!$B$6:$B$1005,B99)/O99*1000,999999)))))</f>
        <v/>
      </c>
      <c r="AT99" s="49" t="n">
        <f aca="false">IF(COUNTA(AH99,AJ99)=0,"",MIN(120,IF(AND(AH99&lt;&gt;"",AJ99&lt;&gt;""),AVERAGE(AH99,AJ99),IF(AH99&lt;&gt;"",AH99,AJ99))))</f>
        <v>0</v>
      </c>
      <c r="AU99" s="49" t="str">
        <f aca="false">IF(AI99="","",MIN(120,AI99))</f>
        <v/>
      </c>
      <c r="AV99" s="49" t="str">
        <f aca="false">IF(AJ99="","",MIN(120,AJ99))</f>
        <v/>
      </c>
      <c r="AW99" s="50" t="str">
        <f aca="false">IF(COUNT(AN99:AV99)&lt;9,"",(AN99*'Standards &amp; Scoring'!$D$5+AO99*'Standards &amp; Scoring'!$D$6+AP99*'Standards &amp; Scoring'!$D$7+AQ99*'Standards &amp; Scoring'!$D$8+AR99*'Standards &amp; Scoring'!$D$9+AS99*'Standards &amp; Scoring'!$D$10+AT99*'Standards &amp; Scoring'!$D$11+AU99*'Standards &amp; Scoring'!$D$12+AV99*'Standards &amp; Scoring'!$D$13)/10000)</f>
        <v/>
      </c>
      <c r="AX99" s="47" t="str">
        <f aca="false">IF(AW99="","",IF(AW99&gt;=1.05,"A+",IF(AW99&gt;=1,"A",IF(AW99&gt;=0.95,"B+",IF(AW99&gt;=0.9,"B","C")))))</f>
        <v/>
      </c>
      <c r="AY99" s="47" t="str">
        <f aca="false">IF(AX99="","",IF(AX99="A+",1800,IF(AX99="A",1600,IF(AX99="B+",1400,IF(AX99="B",1200,0)))))</f>
        <v/>
      </c>
      <c r="AZ99" s="49" t="str">
        <f aca="false">IF(OR(L99="",M99="",S99="",M99=0),"",IFERROR(L99*60*S99/(M99*36),0))</f>
        <v/>
      </c>
    </row>
    <row r="100" customFormat="false" ht="15" hidden="false" customHeight="true" outlineLevel="0" collapsed="false">
      <c r="A100" s="47" t="n">
        <f aca="false">'Daily KPI Entry'!A101</f>
        <v>0</v>
      </c>
      <c r="B100" s="48" t="n">
        <f aca="false">'Daily KPI Entry'!B101</f>
        <v>0</v>
      </c>
      <c r="C100" s="47" t="n">
        <f aca="false">'Daily KPI Entry'!C101</f>
        <v>0</v>
      </c>
      <c r="D100" s="47" t="n">
        <f aca="false">'Daily KPI Entry'!D101</f>
        <v>0</v>
      </c>
      <c r="E100" s="47" t="n">
        <f aca="false">'Daily KPI Entry'!E101</f>
        <v>0</v>
      </c>
      <c r="F100" s="47" t="n">
        <f aca="false">'Daily KPI Entry'!F101</f>
        <v>0</v>
      </c>
      <c r="G100" s="47" t="n">
        <f aca="false">'Daily KPI Entry'!G101</f>
        <v>0</v>
      </c>
      <c r="H100" s="47" t="str">
        <f aca="false">'Daily KPI Entry'!H101</f>
        <v/>
      </c>
      <c r="I100" s="47" t="n">
        <f aca="false">'Daily KPI Entry'!I101</f>
        <v>0</v>
      </c>
      <c r="J100" s="47" t="n">
        <f aca="false">'Daily KPI Entry'!J101</f>
        <v>0</v>
      </c>
      <c r="K100" s="47" t="n">
        <f aca="false">'Daily KPI Entry'!K101</f>
        <v>0</v>
      </c>
      <c r="L100" s="47" t="n">
        <f aca="false">'Daily KPI Entry'!L101</f>
        <v>0</v>
      </c>
      <c r="M100" s="47" t="n">
        <f aca="false">'Daily KPI Entry'!M101</f>
        <v>0</v>
      </c>
      <c r="N100" s="49" t="n">
        <f aca="false">'Daily KPI Entry'!N101</f>
        <v>0</v>
      </c>
      <c r="O100" s="49" t="n">
        <f aca="false">'Daily KPI Entry'!O101</f>
        <v>0</v>
      </c>
      <c r="P100" s="49" t="str">
        <f aca="false">IF(OR(N100="",O100=""),"",IFERROR(O100/N100*100,0))</f>
        <v/>
      </c>
      <c r="Q100" s="47" t="n">
        <f aca="false">'Daily KPI Entry'!Q101</f>
        <v>8</v>
      </c>
      <c r="R100" s="47" t="str">
        <f aca="false">IF(J100="","",Q100*J100)</f>
        <v/>
      </c>
      <c r="S100" s="49" t="n">
        <f aca="false">'Daily KPI Entry'!S101</f>
        <v>0</v>
      </c>
      <c r="T100" s="49" t="str">
        <f aca="false">IF(OR(R100="",S100=""),"",IFERROR(S100/R100*100,0))</f>
        <v/>
      </c>
      <c r="U100" s="49" t="str">
        <f aca="false">IF(OR(O100="",L100="",M100="",S100="",M100=0),"",IFERROR(O100/(L100*60*S100/(M100*36))*100,0))</f>
        <v/>
      </c>
      <c r="V100" s="49" t="n">
        <f aca="false">'Daily KPI Entry'!V101</f>
        <v>0</v>
      </c>
      <c r="W100" s="49" t="str">
        <f aca="false">IF(O100="","",IFERROR(V100/O100*100,0))</f>
        <v/>
      </c>
      <c r="X100" s="49" t="n">
        <f aca="false">'Daily KPI Entry'!X101</f>
        <v>0</v>
      </c>
      <c r="Y100" s="49" t="n">
        <f aca="false">'Daily KPI Entry'!Y101</f>
        <v>0</v>
      </c>
      <c r="Z100" s="49" t="n">
        <f aca="false">'Daily KPI Entry'!Z101</f>
        <v>0</v>
      </c>
      <c r="AA100" s="49" t="n">
        <f aca="false">'Daily KPI Entry'!AA101</f>
        <v>0</v>
      </c>
      <c r="AB100" s="49" t="n">
        <f aca="false">'Daily KPI Entry'!AB101</f>
        <v>0</v>
      </c>
      <c r="AC100" s="49" t="n">
        <f aca="false">'Daily KPI Entry'!AC101</f>
        <v>0</v>
      </c>
      <c r="AD100" s="49" t="n">
        <f aca="false">'Daily KPI Entry'!AD101</f>
        <v>0</v>
      </c>
      <c r="AE100" s="49" t="n">
        <f aca="false">'Daily KPI Entry'!AE101</f>
        <v>0</v>
      </c>
      <c r="AF100" s="47" t="str">
        <f aca="false">IF(O100="","",SUM(X100:AE100))</f>
        <v/>
      </c>
      <c r="AG100" s="49" t="str">
        <f aca="false">IF(O100="","",IFERROR(AF100/O100*1000,0))</f>
        <v/>
      </c>
      <c r="AH100" s="49" t="n">
        <f aca="false">'Daily KPI Entry'!AH101</f>
        <v>0</v>
      </c>
      <c r="AI100" s="49" t="n">
        <f aca="false">'Daily KPI Entry'!AI101</f>
        <v>0</v>
      </c>
      <c r="AJ100" s="49" t="n">
        <f aca="false">'Daily KPI Entry'!AJ101</f>
        <v>0</v>
      </c>
      <c r="AK100" s="47" t="n">
        <f aca="false">'Daily KPI Entry'!AK101</f>
        <v>0</v>
      </c>
      <c r="AL100" s="47" t="n">
        <f aca="false">'Daily KPI Entry'!AL101</f>
        <v>0</v>
      </c>
      <c r="AM100" s="47" t="n">
        <f aca="false">'Daily KPI Entry'!AM101</f>
        <v>0</v>
      </c>
      <c r="AN100" s="49" t="str">
        <f aca="false">IF(P100="","",MIN(120,P100))</f>
        <v/>
      </c>
      <c r="AO100" s="49" t="str">
        <f aca="false">IF(U100="","",MIN(120,U100))</f>
        <v/>
      </c>
      <c r="AP100" s="49" t="str">
        <f aca="false">IF(R100="","",MIN(120,IFERROR(S100/R100*100,0)))</f>
        <v/>
      </c>
      <c r="AQ100" s="49" t="str">
        <f aca="false">IF(W100="","",MIN(120,IF(W100=0,120,100*(INDEX('Standards &amp; Scoring'!$E$5:$E$13,MATCH("Quality / Rejection",'Standards &amp; Scoring'!$A$5:$A$13,0))/W100))))</f>
        <v/>
      </c>
      <c r="AR100" s="49" t="str">
        <f aca="false">IF(AG100="","",MIN(120,IF(AG100=0,120,100*(INDEX('Standards &amp; Scoring'!$E$5:$E$13,MATCH("Fault Control",'Standards &amp; Scoring'!$A$5:$A$13,0))/AG100))))</f>
        <v/>
      </c>
      <c r="AS100" s="49" t="str">
        <f aca="false">IF(O100="","",MIN(120,IF(SUMIFS('Fault &amp; Downtime Entry'!$L$6:$L$1005,'Fault &amp; Downtime Entry'!$E$6:$E$1005,G100,'Fault &amp; Downtime Entry'!$B$6:$B$1005,B100)=0,120,100*(INDEX('Standards &amp; Scoring'!$E$5:$E$13,MATCH("Downtime Control",'Standards &amp; Scoring'!$A$5:$A$13,0))/IFERROR(SUMIFS('Fault &amp; Downtime Entry'!$L$6:$L$1005,'Fault &amp; Downtime Entry'!$E$6:$E$1005,G100,'Fault &amp; Downtime Entry'!$B$6:$B$1005,B100)/O100*1000,999999)))))</f>
        <v/>
      </c>
      <c r="AT100" s="49" t="n">
        <f aca="false">IF(COUNTA(AH100,AJ100)=0,"",MIN(120,IF(AND(AH100&lt;&gt;"",AJ100&lt;&gt;""),AVERAGE(AH100,AJ100),IF(AH100&lt;&gt;"",AH100,AJ100))))</f>
        <v>0</v>
      </c>
      <c r="AU100" s="49" t="str">
        <f aca="false">IF(AI100="","",MIN(120,AI100))</f>
        <v/>
      </c>
      <c r="AV100" s="49" t="str">
        <f aca="false">IF(AJ100="","",MIN(120,AJ100))</f>
        <v/>
      </c>
      <c r="AW100" s="50" t="str">
        <f aca="false">IF(COUNT(AN100:AV100)&lt;9,"",(AN100*'Standards &amp; Scoring'!$D$5+AO100*'Standards &amp; Scoring'!$D$6+AP100*'Standards &amp; Scoring'!$D$7+AQ100*'Standards &amp; Scoring'!$D$8+AR100*'Standards &amp; Scoring'!$D$9+AS100*'Standards &amp; Scoring'!$D$10+AT100*'Standards &amp; Scoring'!$D$11+AU100*'Standards &amp; Scoring'!$D$12+AV100*'Standards &amp; Scoring'!$D$13)/10000)</f>
        <v/>
      </c>
      <c r="AX100" s="47" t="str">
        <f aca="false">IF(AW100="","",IF(AW100&gt;=1.05,"A+",IF(AW100&gt;=1,"A",IF(AW100&gt;=0.95,"B+",IF(AW100&gt;=0.9,"B","C")))))</f>
        <v/>
      </c>
      <c r="AY100" s="47" t="str">
        <f aca="false">IF(AX100="","",IF(AX100="A+",1800,IF(AX100="A",1600,IF(AX100="B+",1400,IF(AX100="B",1200,0)))))</f>
        <v/>
      </c>
      <c r="AZ100" s="49" t="str">
        <f aca="false">IF(OR(L100="",M100="",S100="",M100=0),"",IFERROR(L100*60*S100/(M100*36),0))</f>
        <v/>
      </c>
    </row>
    <row r="101" customFormat="false" ht="15" hidden="false" customHeight="true" outlineLevel="0" collapsed="false">
      <c r="A101" s="47" t="n">
        <f aca="false">'Daily KPI Entry'!A102</f>
        <v>0</v>
      </c>
      <c r="B101" s="48" t="n">
        <f aca="false">'Daily KPI Entry'!B102</f>
        <v>0</v>
      </c>
      <c r="C101" s="47" t="n">
        <f aca="false">'Daily KPI Entry'!C102</f>
        <v>0</v>
      </c>
      <c r="D101" s="47" t="n">
        <f aca="false">'Daily KPI Entry'!D102</f>
        <v>0</v>
      </c>
      <c r="E101" s="47" t="n">
        <f aca="false">'Daily KPI Entry'!E102</f>
        <v>0</v>
      </c>
      <c r="F101" s="47" t="n">
        <f aca="false">'Daily KPI Entry'!F102</f>
        <v>0</v>
      </c>
      <c r="G101" s="47" t="n">
        <f aca="false">'Daily KPI Entry'!G102</f>
        <v>0</v>
      </c>
      <c r="H101" s="47" t="str">
        <f aca="false">'Daily KPI Entry'!H102</f>
        <v/>
      </c>
      <c r="I101" s="47" t="n">
        <f aca="false">'Daily KPI Entry'!I102</f>
        <v>0</v>
      </c>
      <c r="J101" s="47" t="n">
        <f aca="false">'Daily KPI Entry'!J102</f>
        <v>0</v>
      </c>
      <c r="K101" s="47" t="n">
        <f aca="false">'Daily KPI Entry'!K102</f>
        <v>0</v>
      </c>
      <c r="L101" s="47" t="n">
        <f aca="false">'Daily KPI Entry'!L102</f>
        <v>0</v>
      </c>
      <c r="M101" s="47" t="n">
        <f aca="false">'Daily KPI Entry'!M102</f>
        <v>0</v>
      </c>
      <c r="N101" s="49" t="n">
        <f aca="false">'Daily KPI Entry'!N102</f>
        <v>0</v>
      </c>
      <c r="O101" s="49" t="n">
        <f aca="false">'Daily KPI Entry'!O102</f>
        <v>0</v>
      </c>
      <c r="P101" s="49" t="str">
        <f aca="false">IF(OR(N101="",O101=""),"",IFERROR(O101/N101*100,0))</f>
        <v/>
      </c>
      <c r="Q101" s="47" t="n">
        <f aca="false">'Daily KPI Entry'!Q102</f>
        <v>8</v>
      </c>
      <c r="R101" s="47" t="str">
        <f aca="false">IF(J101="","",Q101*J101)</f>
        <v/>
      </c>
      <c r="S101" s="49" t="n">
        <f aca="false">'Daily KPI Entry'!S102</f>
        <v>0</v>
      </c>
      <c r="T101" s="49" t="str">
        <f aca="false">IF(OR(R101="",S101=""),"",IFERROR(S101/R101*100,0))</f>
        <v/>
      </c>
      <c r="U101" s="49" t="str">
        <f aca="false">IF(OR(O101="",L101="",M101="",S101="",M101=0),"",IFERROR(O101/(L101*60*S101/(M101*36))*100,0))</f>
        <v/>
      </c>
      <c r="V101" s="49" t="n">
        <f aca="false">'Daily KPI Entry'!V102</f>
        <v>0</v>
      </c>
      <c r="W101" s="49" t="str">
        <f aca="false">IF(O101="","",IFERROR(V101/O101*100,0))</f>
        <v/>
      </c>
      <c r="X101" s="49" t="n">
        <f aca="false">'Daily KPI Entry'!X102</f>
        <v>0</v>
      </c>
      <c r="Y101" s="49" t="n">
        <f aca="false">'Daily KPI Entry'!Y102</f>
        <v>0</v>
      </c>
      <c r="Z101" s="49" t="n">
        <f aca="false">'Daily KPI Entry'!Z102</f>
        <v>0</v>
      </c>
      <c r="AA101" s="49" t="n">
        <f aca="false">'Daily KPI Entry'!AA102</f>
        <v>0</v>
      </c>
      <c r="AB101" s="49" t="n">
        <f aca="false">'Daily KPI Entry'!AB102</f>
        <v>0</v>
      </c>
      <c r="AC101" s="49" t="n">
        <f aca="false">'Daily KPI Entry'!AC102</f>
        <v>0</v>
      </c>
      <c r="AD101" s="49" t="n">
        <f aca="false">'Daily KPI Entry'!AD102</f>
        <v>0</v>
      </c>
      <c r="AE101" s="49" t="n">
        <f aca="false">'Daily KPI Entry'!AE102</f>
        <v>0</v>
      </c>
      <c r="AF101" s="47" t="str">
        <f aca="false">IF(O101="","",SUM(X101:AE101))</f>
        <v/>
      </c>
      <c r="AG101" s="49" t="str">
        <f aca="false">IF(O101="","",IFERROR(AF101/O101*1000,0))</f>
        <v/>
      </c>
      <c r="AH101" s="49" t="n">
        <f aca="false">'Daily KPI Entry'!AH102</f>
        <v>0</v>
      </c>
      <c r="AI101" s="49" t="n">
        <f aca="false">'Daily KPI Entry'!AI102</f>
        <v>0</v>
      </c>
      <c r="AJ101" s="49" t="n">
        <f aca="false">'Daily KPI Entry'!AJ102</f>
        <v>0</v>
      </c>
      <c r="AK101" s="47" t="n">
        <f aca="false">'Daily KPI Entry'!AK102</f>
        <v>0</v>
      </c>
      <c r="AL101" s="47" t="n">
        <f aca="false">'Daily KPI Entry'!AL102</f>
        <v>0</v>
      </c>
      <c r="AM101" s="47" t="n">
        <f aca="false">'Daily KPI Entry'!AM102</f>
        <v>0</v>
      </c>
      <c r="AN101" s="49" t="str">
        <f aca="false">IF(P101="","",MIN(120,P101))</f>
        <v/>
      </c>
      <c r="AO101" s="49" t="str">
        <f aca="false">IF(U101="","",MIN(120,U101))</f>
        <v/>
      </c>
      <c r="AP101" s="49" t="str">
        <f aca="false">IF(R101="","",MIN(120,IFERROR(S101/R101*100,0)))</f>
        <v/>
      </c>
      <c r="AQ101" s="49" t="str">
        <f aca="false">IF(W101="","",MIN(120,IF(W101=0,120,100*(INDEX('Standards &amp; Scoring'!$E$5:$E$13,MATCH("Quality / Rejection",'Standards &amp; Scoring'!$A$5:$A$13,0))/W101))))</f>
        <v/>
      </c>
      <c r="AR101" s="49" t="str">
        <f aca="false">IF(AG101="","",MIN(120,IF(AG101=0,120,100*(INDEX('Standards &amp; Scoring'!$E$5:$E$13,MATCH("Fault Control",'Standards &amp; Scoring'!$A$5:$A$13,0))/AG101))))</f>
        <v/>
      </c>
      <c r="AS101" s="49" t="str">
        <f aca="false">IF(O101="","",MIN(120,IF(SUMIFS('Fault &amp; Downtime Entry'!$L$6:$L$1005,'Fault &amp; Downtime Entry'!$E$6:$E$1005,G101,'Fault &amp; Downtime Entry'!$B$6:$B$1005,B101)=0,120,100*(INDEX('Standards &amp; Scoring'!$E$5:$E$13,MATCH("Downtime Control",'Standards &amp; Scoring'!$A$5:$A$13,0))/IFERROR(SUMIFS('Fault &amp; Downtime Entry'!$L$6:$L$1005,'Fault &amp; Downtime Entry'!$E$6:$E$1005,G101,'Fault &amp; Downtime Entry'!$B$6:$B$1005,B101)/O101*1000,999999)))))</f>
        <v/>
      </c>
      <c r="AT101" s="49" t="n">
        <f aca="false">IF(COUNTA(AH101,AJ101)=0,"",MIN(120,IF(AND(AH101&lt;&gt;"",AJ101&lt;&gt;""),AVERAGE(AH101,AJ101),IF(AH101&lt;&gt;"",AH101,AJ101))))</f>
        <v>0</v>
      </c>
      <c r="AU101" s="49" t="str">
        <f aca="false">IF(AI101="","",MIN(120,AI101))</f>
        <v/>
      </c>
      <c r="AV101" s="49" t="str">
        <f aca="false">IF(AJ101="","",MIN(120,AJ101))</f>
        <v/>
      </c>
      <c r="AW101" s="50" t="str">
        <f aca="false">IF(COUNT(AN101:AV101)&lt;9,"",(AN101*'Standards &amp; Scoring'!$D$5+AO101*'Standards &amp; Scoring'!$D$6+AP101*'Standards &amp; Scoring'!$D$7+AQ101*'Standards &amp; Scoring'!$D$8+AR101*'Standards &amp; Scoring'!$D$9+AS101*'Standards &amp; Scoring'!$D$10+AT101*'Standards &amp; Scoring'!$D$11+AU101*'Standards &amp; Scoring'!$D$12+AV101*'Standards &amp; Scoring'!$D$13)/10000)</f>
        <v/>
      </c>
      <c r="AX101" s="47" t="str">
        <f aca="false">IF(AW101="","",IF(AW101&gt;=1.05,"A+",IF(AW101&gt;=1,"A",IF(AW101&gt;=0.95,"B+",IF(AW101&gt;=0.9,"B","C")))))</f>
        <v/>
      </c>
      <c r="AY101" s="47" t="str">
        <f aca="false">IF(AX101="","",IF(AX101="A+",1800,IF(AX101="A",1600,IF(AX101="B+",1400,IF(AX101="B",1200,0)))))</f>
        <v/>
      </c>
      <c r="AZ101" s="49" t="str">
        <f aca="false">IF(OR(L101="",M101="",S101="",M101=0),"",IFERROR(L101*60*S101/(M101*36),0))</f>
        <v/>
      </c>
    </row>
    <row r="102" customFormat="false" ht="15" hidden="false" customHeight="true" outlineLevel="0" collapsed="false">
      <c r="A102" s="47" t="n">
        <f aca="false">'Daily KPI Entry'!A103</f>
        <v>0</v>
      </c>
      <c r="B102" s="48" t="n">
        <f aca="false">'Daily KPI Entry'!B103</f>
        <v>0</v>
      </c>
      <c r="C102" s="47" t="n">
        <f aca="false">'Daily KPI Entry'!C103</f>
        <v>0</v>
      </c>
      <c r="D102" s="47" t="n">
        <f aca="false">'Daily KPI Entry'!D103</f>
        <v>0</v>
      </c>
      <c r="E102" s="47" t="n">
        <f aca="false">'Daily KPI Entry'!E103</f>
        <v>0</v>
      </c>
      <c r="F102" s="47" t="n">
        <f aca="false">'Daily KPI Entry'!F103</f>
        <v>0</v>
      </c>
      <c r="G102" s="47" t="n">
        <f aca="false">'Daily KPI Entry'!G103</f>
        <v>0</v>
      </c>
      <c r="H102" s="47" t="str">
        <f aca="false">'Daily KPI Entry'!H103</f>
        <v/>
      </c>
      <c r="I102" s="47" t="n">
        <f aca="false">'Daily KPI Entry'!I103</f>
        <v>0</v>
      </c>
      <c r="J102" s="47" t="n">
        <f aca="false">'Daily KPI Entry'!J103</f>
        <v>0</v>
      </c>
      <c r="K102" s="47" t="n">
        <f aca="false">'Daily KPI Entry'!K103</f>
        <v>0</v>
      </c>
      <c r="L102" s="47" t="n">
        <f aca="false">'Daily KPI Entry'!L103</f>
        <v>0</v>
      </c>
      <c r="M102" s="47" t="n">
        <f aca="false">'Daily KPI Entry'!M103</f>
        <v>0</v>
      </c>
      <c r="N102" s="49" t="n">
        <f aca="false">'Daily KPI Entry'!N103</f>
        <v>0</v>
      </c>
      <c r="O102" s="49" t="n">
        <f aca="false">'Daily KPI Entry'!O103</f>
        <v>0</v>
      </c>
      <c r="P102" s="49" t="str">
        <f aca="false">IF(OR(N102="",O102=""),"",IFERROR(O102/N102*100,0))</f>
        <v/>
      </c>
      <c r="Q102" s="47" t="n">
        <f aca="false">'Daily KPI Entry'!Q103</f>
        <v>8</v>
      </c>
      <c r="R102" s="47" t="str">
        <f aca="false">IF(J102="","",Q102*J102)</f>
        <v/>
      </c>
      <c r="S102" s="49" t="n">
        <f aca="false">'Daily KPI Entry'!S103</f>
        <v>0</v>
      </c>
      <c r="T102" s="49" t="str">
        <f aca="false">IF(OR(R102="",S102=""),"",IFERROR(S102/R102*100,0))</f>
        <v/>
      </c>
      <c r="U102" s="49" t="str">
        <f aca="false">IF(OR(O102="",L102="",M102="",S102="",M102=0),"",IFERROR(O102/(L102*60*S102/(M102*36))*100,0))</f>
        <v/>
      </c>
      <c r="V102" s="49" t="n">
        <f aca="false">'Daily KPI Entry'!V103</f>
        <v>0</v>
      </c>
      <c r="W102" s="49" t="str">
        <f aca="false">IF(O102="","",IFERROR(V102/O102*100,0))</f>
        <v/>
      </c>
      <c r="X102" s="49" t="n">
        <f aca="false">'Daily KPI Entry'!X103</f>
        <v>0</v>
      </c>
      <c r="Y102" s="49" t="n">
        <f aca="false">'Daily KPI Entry'!Y103</f>
        <v>0</v>
      </c>
      <c r="Z102" s="49" t="n">
        <f aca="false">'Daily KPI Entry'!Z103</f>
        <v>0</v>
      </c>
      <c r="AA102" s="49" t="n">
        <f aca="false">'Daily KPI Entry'!AA103</f>
        <v>0</v>
      </c>
      <c r="AB102" s="49" t="n">
        <f aca="false">'Daily KPI Entry'!AB103</f>
        <v>0</v>
      </c>
      <c r="AC102" s="49" t="n">
        <f aca="false">'Daily KPI Entry'!AC103</f>
        <v>0</v>
      </c>
      <c r="AD102" s="49" t="n">
        <f aca="false">'Daily KPI Entry'!AD103</f>
        <v>0</v>
      </c>
      <c r="AE102" s="49" t="n">
        <f aca="false">'Daily KPI Entry'!AE103</f>
        <v>0</v>
      </c>
      <c r="AF102" s="47" t="str">
        <f aca="false">IF(O102="","",SUM(X102:AE102))</f>
        <v/>
      </c>
      <c r="AG102" s="49" t="str">
        <f aca="false">IF(O102="","",IFERROR(AF102/O102*1000,0))</f>
        <v/>
      </c>
      <c r="AH102" s="49" t="n">
        <f aca="false">'Daily KPI Entry'!AH103</f>
        <v>0</v>
      </c>
      <c r="AI102" s="49" t="n">
        <f aca="false">'Daily KPI Entry'!AI103</f>
        <v>0</v>
      </c>
      <c r="AJ102" s="49" t="n">
        <f aca="false">'Daily KPI Entry'!AJ103</f>
        <v>0</v>
      </c>
      <c r="AK102" s="47" t="n">
        <f aca="false">'Daily KPI Entry'!AK103</f>
        <v>0</v>
      </c>
      <c r="AL102" s="47" t="n">
        <f aca="false">'Daily KPI Entry'!AL103</f>
        <v>0</v>
      </c>
      <c r="AM102" s="47" t="n">
        <f aca="false">'Daily KPI Entry'!AM103</f>
        <v>0</v>
      </c>
      <c r="AN102" s="49" t="str">
        <f aca="false">IF(P102="","",MIN(120,P102))</f>
        <v/>
      </c>
      <c r="AO102" s="49" t="str">
        <f aca="false">IF(U102="","",MIN(120,U102))</f>
        <v/>
      </c>
      <c r="AP102" s="49" t="str">
        <f aca="false">IF(R102="","",MIN(120,IFERROR(S102/R102*100,0)))</f>
        <v/>
      </c>
      <c r="AQ102" s="49" t="str">
        <f aca="false">IF(W102="","",MIN(120,IF(W102=0,120,100*(INDEX('Standards &amp; Scoring'!$E$5:$E$13,MATCH("Quality / Rejection",'Standards &amp; Scoring'!$A$5:$A$13,0))/W102))))</f>
        <v/>
      </c>
      <c r="AR102" s="49" t="str">
        <f aca="false">IF(AG102="","",MIN(120,IF(AG102=0,120,100*(INDEX('Standards &amp; Scoring'!$E$5:$E$13,MATCH("Fault Control",'Standards &amp; Scoring'!$A$5:$A$13,0))/AG102))))</f>
        <v/>
      </c>
      <c r="AS102" s="49" t="str">
        <f aca="false">IF(O102="","",MIN(120,IF(SUMIFS('Fault &amp; Downtime Entry'!$L$6:$L$1005,'Fault &amp; Downtime Entry'!$E$6:$E$1005,G102,'Fault &amp; Downtime Entry'!$B$6:$B$1005,B102)=0,120,100*(INDEX('Standards &amp; Scoring'!$E$5:$E$13,MATCH("Downtime Control",'Standards &amp; Scoring'!$A$5:$A$13,0))/IFERROR(SUMIFS('Fault &amp; Downtime Entry'!$L$6:$L$1005,'Fault &amp; Downtime Entry'!$E$6:$E$1005,G102,'Fault &amp; Downtime Entry'!$B$6:$B$1005,B102)/O102*1000,999999)))))</f>
        <v/>
      </c>
      <c r="AT102" s="49" t="n">
        <f aca="false">IF(COUNTA(AH102,AJ102)=0,"",MIN(120,IF(AND(AH102&lt;&gt;"",AJ102&lt;&gt;""),AVERAGE(AH102,AJ102),IF(AH102&lt;&gt;"",AH102,AJ102))))</f>
        <v>0</v>
      </c>
      <c r="AU102" s="49" t="str">
        <f aca="false">IF(AI102="","",MIN(120,AI102))</f>
        <v/>
      </c>
      <c r="AV102" s="49" t="str">
        <f aca="false">IF(AJ102="","",MIN(120,AJ102))</f>
        <v/>
      </c>
      <c r="AW102" s="50" t="str">
        <f aca="false">IF(COUNT(AN102:AV102)&lt;9,"",(AN102*'Standards &amp; Scoring'!$D$5+AO102*'Standards &amp; Scoring'!$D$6+AP102*'Standards &amp; Scoring'!$D$7+AQ102*'Standards &amp; Scoring'!$D$8+AR102*'Standards &amp; Scoring'!$D$9+AS102*'Standards &amp; Scoring'!$D$10+AT102*'Standards &amp; Scoring'!$D$11+AU102*'Standards &amp; Scoring'!$D$12+AV102*'Standards &amp; Scoring'!$D$13)/10000)</f>
        <v/>
      </c>
      <c r="AX102" s="47" t="str">
        <f aca="false">IF(AW102="","",IF(AW102&gt;=1.05,"A+",IF(AW102&gt;=1,"A",IF(AW102&gt;=0.95,"B+",IF(AW102&gt;=0.9,"B","C")))))</f>
        <v/>
      </c>
      <c r="AY102" s="47" t="str">
        <f aca="false">IF(AX102="","",IF(AX102="A+",1800,IF(AX102="A",1600,IF(AX102="B+",1400,IF(AX102="B",1200,0)))))</f>
        <v/>
      </c>
      <c r="AZ102" s="49" t="str">
        <f aca="false">IF(OR(L102="",M102="",S102="",M102=0),"",IFERROR(L102*60*S102/(M102*36),0))</f>
        <v/>
      </c>
    </row>
    <row r="103" customFormat="false" ht="15" hidden="false" customHeight="true" outlineLevel="0" collapsed="false">
      <c r="A103" s="47" t="n">
        <f aca="false">'Daily KPI Entry'!A104</f>
        <v>0</v>
      </c>
      <c r="B103" s="48" t="n">
        <f aca="false">'Daily KPI Entry'!B104</f>
        <v>0</v>
      </c>
      <c r="C103" s="47" t="n">
        <f aca="false">'Daily KPI Entry'!C104</f>
        <v>0</v>
      </c>
      <c r="D103" s="47" t="n">
        <f aca="false">'Daily KPI Entry'!D104</f>
        <v>0</v>
      </c>
      <c r="E103" s="47" t="n">
        <f aca="false">'Daily KPI Entry'!E104</f>
        <v>0</v>
      </c>
      <c r="F103" s="47" t="n">
        <f aca="false">'Daily KPI Entry'!F104</f>
        <v>0</v>
      </c>
      <c r="G103" s="47" t="n">
        <f aca="false">'Daily KPI Entry'!G104</f>
        <v>0</v>
      </c>
      <c r="H103" s="47" t="str">
        <f aca="false">'Daily KPI Entry'!H104</f>
        <v/>
      </c>
      <c r="I103" s="47" t="n">
        <f aca="false">'Daily KPI Entry'!I104</f>
        <v>0</v>
      </c>
      <c r="J103" s="47" t="n">
        <f aca="false">'Daily KPI Entry'!J104</f>
        <v>0</v>
      </c>
      <c r="K103" s="47" t="n">
        <f aca="false">'Daily KPI Entry'!K104</f>
        <v>0</v>
      </c>
      <c r="L103" s="47" t="n">
        <f aca="false">'Daily KPI Entry'!L104</f>
        <v>0</v>
      </c>
      <c r="M103" s="47" t="n">
        <f aca="false">'Daily KPI Entry'!M104</f>
        <v>0</v>
      </c>
      <c r="N103" s="49" t="n">
        <f aca="false">'Daily KPI Entry'!N104</f>
        <v>0</v>
      </c>
      <c r="O103" s="49" t="n">
        <f aca="false">'Daily KPI Entry'!O104</f>
        <v>0</v>
      </c>
      <c r="P103" s="49" t="str">
        <f aca="false">IF(OR(N103="",O103=""),"",IFERROR(O103/N103*100,0))</f>
        <v/>
      </c>
      <c r="Q103" s="47" t="n">
        <f aca="false">'Daily KPI Entry'!Q104</f>
        <v>8</v>
      </c>
      <c r="R103" s="47" t="str">
        <f aca="false">IF(J103="","",Q103*J103)</f>
        <v/>
      </c>
      <c r="S103" s="49" t="n">
        <f aca="false">'Daily KPI Entry'!S104</f>
        <v>0</v>
      </c>
      <c r="T103" s="49" t="str">
        <f aca="false">IF(OR(R103="",S103=""),"",IFERROR(S103/R103*100,0))</f>
        <v/>
      </c>
      <c r="U103" s="49" t="str">
        <f aca="false">IF(OR(O103="",L103="",M103="",S103="",M103=0),"",IFERROR(O103/(L103*60*S103/(M103*36))*100,0))</f>
        <v/>
      </c>
      <c r="V103" s="49" t="n">
        <f aca="false">'Daily KPI Entry'!V104</f>
        <v>0</v>
      </c>
      <c r="W103" s="49" t="str">
        <f aca="false">IF(O103="","",IFERROR(V103/O103*100,0))</f>
        <v/>
      </c>
      <c r="X103" s="49" t="n">
        <f aca="false">'Daily KPI Entry'!X104</f>
        <v>0</v>
      </c>
      <c r="Y103" s="49" t="n">
        <f aca="false">'Daily KPI Entry'!Y104</f>
        <v>0</v>
      </c>
      <c r="Z103" s="49" t="n">
        <f aca="false">'Daily KPI Entry'!Z104</f>
        <v>0</v>
      </c>
      <c r="AA103" s="49" t="n">
        <f aca="false">'Daily KPI Entry'!AA104</f>
        <v>0</v>
      </c>
      <c r="AB103" s="49" t="n">
        <f aca="false">'Daily KPI Entry'!AB104</f>
        <v>0</v>
      </c>
      <c r="AC103" s="49" t="n">
        <f aca="false">'Daily KPI Entry'!AC104</f>
        <v>0</v>
      </c>
      <c r="AD103" s="49" t="n">
        <f aca="false">'Daily KPI Entry'!AD104</f>
        <v>0</v>
      </c>
      <c r="AE103" s="49" t="n">
        <f aca="false">'Daily KPI Entry'!AE104</f>
        <v>0</v>
      </c>
      <c r="AF103" s="47" t="str">
        <f aca="false">IF(O103="","",SUM(X103:AE103))</f>
        <v/>
      </c>
      <c r="AG103" s="49" t="str">
        <f aca="false">IF(O103="","",IFERROR(AF103/O103*1000,0))</f>
        <v/>
      </c>
      <c r="AH103" s="49" t="n">
        <f aca="false">'Daily KPI Entry'!AH104</f>
        <v>0</v>
      </c>
      <c r="AI103" s="49" t="n">
        <f aca="false">'Daily KPI Entry'!AI104</f>
        <v>0</v>
      </c>
      <c r="AJ103" s="49" t="n">
        <f aca="false">'Daily KPI Entry'!AJ104</f>
        <v>0</v>
      </c>
      <c r="AK103" s="47" t="n">
        <f aca="false">'Daily KPI Entry'!AK104</f>
        <v>0</v>
      </c>
      <c r="AL103" s="47" t="n">
        <f aca="false">'Daily KPI Entry'!AL104</f>
        <v>0</v>
      </c>
      <c r="AM103" s="47" t="n">
        <f aca="false">'Daily KPI Entry'!AM104</f>
        <v>0</v>
      </c>
      <c r="AN103" s="49" t="str">
        <f aca="false">IF(P103="","",MIN(120,P103))</f>
        <v/>
      </c>
      <c r="AO103" s="49" t="str">
        <f aca="false">IF(U103="","",MIN(120,U103))</f>
        <v/>
      </c>
      <c r="AP103" s="49" t="str">
        <f aca="false">IF(R103="","",MIN(120,IFERROR(S103/R103*100,0)))</f>
        <v/>
      </c>
      <c r="AQ103" s="49" t="str">
        <f aca="false">IF(W103="","",MIN(120,IF(W103=0,120,100*(INDEX('Standards &amp; Scoring'!$E$5:$E$13,MATCH("Quality / Rejection",'Standards &amp; Scoring'!$A$5:$A$13,0))/W103))))</f>
        <v/>
      </c>
      <c r="AR103" s="49" t="str">
        <f aca="false">IF(AG103="","",MIN(120,IF(AG103=0,120,100*(INDEX('Standards &amp; Scoring'!$E$5:$E$13,MATCH("Fault Control",'Standards &amp; Scoring'!$A$5:$A$13,0))/AG103))))</f>
        <v/>
      </c>
      <c r="AS103" s="49" t="str">
        <f aca="false">IF(O103="","",MIN(120,IF(SUMIFS('Fault &amp; Downtime Entry'!$L$6:$L$1005,'Fault &amp; Downtime Entry'!$E$6:$E$1005,G103,'Fault &amp; Downtime Entry'!$B$6:$B$1005,B103)=0,120,100*(INDEX('Standards &amp; Scoring'!$E$5:$E$13,MATCH("Downtime Control",'Standards &amp; Scoring'!$A$5:$A$13,0))/IFERROR(SUMIFS('Fault &amp; Downtime Entry'!$L$6:$L$1005,'Fault &amp; Downtime Entry'!$E$6:$E$1005,G103,'Fault &amp; Downtime Entry'!$B$6:$B$1005,B103)/O103*1000,999999)))))</f>
        <v/>
      </c>
      <c r="AT103" s="49" t="n">
        <f aca="false">IF(COUNTA(AH103,AJ103)=0,"",MIN(120,IF(AND(AH103&lt;&gt;"",AJ103&lt;&gt;""),AVERAGE(AH103,AJ103),IF(AH103&lt;&gt;"",AH103,AJ103))))</f>
        <v>0</v>
      </c>
      <c r="AU103" s="49" t="str">
        <f aca="false">IF(AI103="","",MIN(120,AI103))</f>
        <v/>
      </c>
      <c r="AV103" s="49" t="str">
        <f aca="false">IF(AJ103="","",MIN(120,AJ103))</f>
        <v/>
      </c>
      <c r="AW103" s="50" t="str">
        <f aca="false">IF(COUNT(AN103:AV103)&lt;9,"",(AN103*'Standards &amp; Scoring'!$D$5+AO103*'Standards &amp; Scoring'!$D$6+AP103*'Standards &amp; Scoring'!$D$7+AQ103*'Standards &amp; Scoring'!$D$8+AR103*'Standards &amp; Scoring'!$D$9+AS103*'Standards &amp; Scoring'!$D$10+AT103*'Standards &amp; Scoring'!$D$11+AU103*'Standards &amp; Scoring'!$D$12+AV103*'Standards &amp; Scoring'!$D$13)/10000)</f>
        <v/>
      </c>
      <c r="AX103" s="47" t="str">
        <f aca="false">IF(AW103="","",IF(AW103&gt;=1.05,"A+",IF(AW103&gt;=1,"A",IF(AW103&gt;=0.95,"B+",IF(AW103&gt;=0.9,"B","C")))))</f>
        <v/>
      </c>
      <c r="AY103" s="47" t="str">
        <f aca="false">IF(AX103="","",IF(AX103="A+",1800,IF(AX103="A",1600,IF(AX103="B+",1400,IF(AX103="B",1200,0)))))</f>
        <v/>
      </c>
      <c r="AZ103" s="49" t="str">
        <f aca="false">IF(OR(L103="",M103="",S103="",M103=0),"",IFERROR(L103*60*S103/(M103*36),0))</f>
        <v/>
      </c>
    </row>
    <row r="104" customFormat="false" ht="15" hidden="false" customHeight="true" outlineLevel="0" collapsed="false">
      <c r="A104" s="47" t="n">
        <f aca="false">'Daily KPI Entry'!A105</f>
        <v>0</v>
      </c>
      <c r="B104" s="48" t="n">
        <f aca="false">'Daily KPI Entry'!B105</f>
        <v>0</v>
      </c>
      <c r="C104" s="47" t="n">
        <f aca="false">'Daily KPI Entry'!C105</f>
        <v>0</v>
      </c>
      <c r="D104" s="47" t="n">
        <f aca="false">'Daily KPI Entry'!D105</f>
        <v>0</v>
      </c>
      <c r="E104" s="47" t="n">
        <f aca="false">'Daily KPI Entry'!E105</f>
        <v>0</v>
      </c>
      <c r="F104" s="47" t="n">
        <f aca="false">'Daily KPI Entry'!F105</f>
        <v>0</v>
      </c>
      <c r="G104" s="47" t="n">
        <f aca="false">'Daily KPI Entry'!G105</f>
        <v>0</v>
      </c>
      <c r="H104" s="47" t="str">
        <f aca="false">'Daily KPI Entry'!H105</f>
        <v/>
      </c>
      <c r="I104" s="47" t="n">
        <f aca="false">'Daily KPI Entry'!I105</f>
        <v>0</v>
      </c>
      <c r="J104" s="47" t="n">
        <f aca="false">'Daily KPI Entry'!J105</f>
        <v>0</v>
      </c>
      <c r="K104" s="47" t="n">
        <f aca="false">'Daily KPI Entry'!K105</f>
        <v>0</v>
      </c>
      <c r="L104" s="47" t="n">
        <f aca="false">'Daily KPI Entry'!L105</f>
        <v>0</v>
      </c>
      <c r="M104" s="47" t="n">
        <f aca="false">'Daily KPI Entry'!M105</f>
        <v>0</v>
      </c>
      <c r="N104" s="49" t="n">
        <f aca="false">'Daily KPI Entry'!N105</f>
        <v>0</v>
      </c>
      <c r="O104" s="49" t="n">
        <f aca="false">'Daily KPI Entry'!O105</f>
        <v>0</v>
      </c>
      <c r="P104" s="49" t="str">
        <f aca="false">IF(OR(N104="",O104=""),"",IFERROR(O104/N104*100,0))</f>
        <v/>
      </c>
      <c r="Q104" s="47" t="n">
        <f aca="false">'Daily KPI Entry'!Q105</f>
        <v>8</v>
      </c>
      <c r="R104" s="47" t="str">
        <f aca="false">IF(J104="","",Q104*J104)</f>
        <v/>
      </c>
      <c r="S104" s="49" t="n">
        <f aca="false">'Daily KPI Entry'!S105</f>
        <v>0</v>
      </c>
      <c r="T104" s="49" t="str">
        <f aca="false">IF(OR(R104="",S104=""),"",IFERROR(S104/R104*100,0))</f>
        <v/>
      </c>
      <c r="U104" s="49" t="str">
        <f aca="false">IF(OR(O104="",L104="",M104="",S104="",M104=0),"",IFERROR(O104/(L104*60*S104/(M104*36))*100,0))</f>
        <v/>
      </c>
      <c r="V104" s="49" t="n">
        <f aca="false">'Daily KPI Entry'!V105</f>
        <v>0</v>
      </c>
      <c r="W104" s="49" t="str">
        <f aca="false">IF(O104="","",IFERROR(V104/O104*100,0))</f>
        <v/>
      </c>
      <c r="X104" s="49" t="n">
        <f aca="false">'Daily KPI Entry'!X105</f>
        <v>0</v>
      </c>
      <c r="Y104" s="49" t="n">
        <f aca="false">'Daily KPI Entry'!Y105</f>
        <v>0</v>
      </c>
      <c r="Z104" s="49" t="n">
        <f aca="false">'Daily KPI Entry'!Z105</f>
        <v>0</v>
      </c>
      <c r="AA104" s="49" t="n">
        <f aca="false">'Daily KPI Entry'!AA105</f>
        <v>0</v>
      </c>
      <c r="AB104" s="49" t="n">
        <f aca="false">'Daily KPI Entry'!AB105</f>
        <v>0</v>
      </c>
      <c r="AC104" s="49" t="n">
        <f aca="false">'Daily KPI Entry'!AC105</f>
        <v>0</v>
      </c>
      <c r="AD104" s="49" t="n">
        <f aca="false">'Daily KPI Entry'!AD105</f>
        <v>0</v>
      </c>
      <c r="AE104" s="49" t="n">
        <f aca="false">'Daily KPI Entry'!AE105</f>
        <v>0</v>
      </c>
      <c r="AF104" s="47" t="str">
        <f aca="false">IF(O104="","",SUM(X104:AE104))</f>
        <v/>
      </c>
      <c r="AG104" s="49" t="str">
        <f aca="false">IF(O104="","",IFERROR(AF104/O104*1000,0))</f>
        <v/>
      </c>
      <c r="AH104" s="49" t="n">
        <f aca="false">'Daily KPI Entry'!AH105</f>
        <v>0</v>
      </c>
      <c r="AI104" s="49" t="n">
        <f aca="false">'Daily KPI Entry'!AI105</f>
        <v>0</v>
      </c>
      <c r="AJ104" s="49" t="n">
        <f aca="false">'Daily KPI Entry'!AJ105</f>
        <v>0</v>
      </c>
      <c r="AK104" s="47" t="n">
        <f aca="false">'Daily KPI Entry'!AK105</f>
        <v>0</v>
      </c>
      <c r="AL104" s="47" t="n">
        <f aca="false">'Daily KPI Entry'!AL105</f>
        <v>0</v>
      </c>
      <c r="AM104" s="47" t="n">
        <f aca="false">'Daily KPI Entry'!AM105</f>
        <v>0</v>
      </c>
      <c r="AN104" s="49" t="str">
        <f aca="false">IF(P104="","",MIN(120,P104))</f>
        <v/>
      </c>
      <c r="AO104" s="49" t="str">
        <f aca="false">IF(U104="","",MIN(120,U104))</f>
        <v/>
      </c>
      <c r="AP104" s="49" t="str">
        <f aca="false">IF(R104="","",MIN(120,IFERROR(S104/R104*100,0)))</f>
        <v/>
      </c>
      <c r="AQ104" s="49" t="str">
        <f aca="false">IF(W104="","",MIN(120,IF(W104=0,120,100*(INDEX('Standards &amp; Scoring'!$E$5:$E$13,MATCH("Quality / Rejection",'Standards &amp; Scoring'!$A$5:$A$13,0))/W104))))</f>
        <v/>
      </c>
      <c r="AR104" s="49" t="str">
        <f aca="false">IF(AG104="","",MIN(120,IF(AG104=0,120,100*(INDEX('Standards &amp; Scoring'!$E$5:$E$13,MATCH("Fault Control",'Standards &amp; Scoring'!$A$5:$A$13,0))/AG104))))</f>
        <v/>
      </c>
      <c r="AS104" s="49" t="str">
        <f aca="false">IF(O104="","",MIN(120,IF(SUMIFS('Fault &amp; Downtime Entry'!$L$6:$L$1005,'Fault &amp; Downtime Entry'!$E$6:$E$1005,G104,'Fault &amp; Downtime Entry'!$B$6:$B$1005,B104)=0,120,100*(INDEX('Standards &amp; Scoring'!$E$5:$E$13,MATCH("Downtime Control",'Standards &amp; Scoring'!$A$5:$A$13,0))/IFERROR(SUMIFS('Fault &amp; Downtime Entry'!$L$6:$L$1005,'Fault &amp; Downtime Entry'!$E$6:$E$1005,G104,'Fault &amp; Downtime Entry'!$B$6:$B$1005,B104)/O104*1000,999999)))))</f>
        <v/>
      </c>
      <c r="AT104" s="49" t="n">
        <f aca="false">IF(COUNTA(AH104,AJ104)=0,"",MIN(120,IF(AND(AH104&lt;&gt;"",AJ104&lt;&gt;""),AVERAGE(AH104,AJ104),IF(AH104&lt;&gt;"",AH104,AJ104))))</f>
        <v>0</v>
      </c>
      <c r="AU104" s="49" t="str">
        <f aca="false">IF(AI104="","",MIN(120,AI104))</f>
        <v/>
      </c>
      <c r="AV104" s="49" t="str">
        <f aca="false">IF(AJ104="","",MIN(120,AJ104))</f>
        <v/>
      </c>
      <c r="AW104" s="50" t="str">
        <f aca="false">IF(COUNT(AN104:AV104)&lt;9,"",(AN104*'Standards &amp; Scoring'!$D$5+AO104*'Standards &amp; Scoring'!$D$6+AP104*'Standards &amp; Scoring'!$D$7+AQ104*'Standards &amp; Scoring'!$D$8+AR104*'Standards &amp; Scoring'!$D$9+AS104*'Standards &amp; Scoring'!$D$10+AT104*'Standards &amp; Scoring'!$D$11+AU104*'Standards &amp; Scoring'!$D$12+AV104*'Standards &amp; Scoring'!$D$13)/10000)</f>
        <v/>
      </c>
      <c r="AX104" s="47" t="str">
        <f aca="false">IF(AW104="","",IF(AW104&gt;=1.05,"A+",IF(AW104&gt;=1,"A",IF(AW104&gt;=0.95,"B+",IF(AW104&gt;=0.9,"B","C")))))</f>
        <v/>
      </c>
      <c r="AY104" s="47" t="str">
        <f aca="false">IF(AX104="","",IF(AX104="A+",1800,IF(AX104="A",1600,IF(AX104="B+",1400,IF(AX104="B",1200,0)))))</f>
        <v/>
      </c>
      <c r="AZ104" s="49" t="str">
        <f aca="false">IF(OR(L104="",M104="",S104="",M104=0),"",IFERROR(L104*60*S104/(M104*36),0))</f>
        <v/>
      </c>
    </row>
    <row r="105" customFormat="false" ht="15" hidden="false" customHeight="true" outlineLevel="0" collapsed="false">
      <c r="A105" s="47" t="n">
        <f aca="false">'Daily KPI Entry'!A106</f>
        <v>0</v>
      </c>
      <c r="B105" s="48" t="n">
        <f aca="false">'Daily KPI Entry'!B106</f>
        <v>0</v>
      </c>
      <c r="C105" s="47" t="n">
        <f aca="false">'Daily KPI Entry'!C106</f>
        <v>0</v>
      </c>
      <c r="D105" s="47" t="n">
        <f aca="false">'Daily KPI Entry'!D106</f>
        <v>0</v>
      </c>
      <c r="E105" s="47" t="n">
        <f aca="false">'Daily KPI Entry'!E106</f>
        <v>0</v>
      </c>
      <c r="F105" s="47" t="n">
        <f aca="false">'Daily KPI Entry'!F106</f>
        <v>0</v>
      </c>
      <c r="G105" s="47" t="n">
        <f aca="false">'Daily KPI Entry'!G106</f>
        <v>0</v>
      </c>
      <c r="H105" s="47" t="str">
        <f aca="false">'Daily KPI Entry'!H106</f>
        <v/>
      </c>
      <c r="I105" s="47" t="n">
        <f aca="false">'Daily KPI Entry'!I106</f>
        <v>0</v>
      </c>
      <c r="J105" s="47" t="n">
        <f aca="false">'Daily KPI Entry'!J106</f>
        <v>0</v>
      </c>
      <c r="K105" s="47" t="n">
        <f aca="false">'Daily KPI Entry'!K106</f>
        <v>0</v>
      </c>
      <c r="L105" s="47" t="n">
        <f aca="false">'Daily KPI Entry'!L106</f>
        <v>0</v>
      </c>
      <c r="M105" s="47" t="n">
        <f aca="false">'Daily KPI Entry'!M106</f>
        <v>0</v>
      </c>
      <c r="N105" s="49" t="n">
        <f aca="false">'Daily KPI Entry'!N106</f>
        <v>0</v>
      </c>
      <c r="O105" s="49" t="n">
        <f aca="false">'Daily KPI Entry'!O106</f>
        <v>0</v>
      </c>
      <c r="P105" s="49" t="str">
        <f aca="false">IF(OR(N105="",O105=""),"",IFERROR(O105/N105*100,0))</f>
        <v/>
      </c>
      <c r="Q105" s="47" t="n">
        <f aca="false">'Daily KPI Entry'!Q106</f>
        <v>8</v>
      </c>
      <c r="R105" s="47" t="str">
        <f aca="false">IF(J105="","",Q105*J105)</f>
        <v/>
      </c>
      <c r="S105" s="49" t="n">
        <f aca="false">'Daily KPI Entry'!S106</f>
        <v>0</v>
      </c>
      <c r="T105" s="49" t="str">
        <f aca="false">IF(OR(R105="",S105=""),"",IFERROR(S105/R105*100,0))</f>
        <v/>
      </c>
      <c r="U105" s="49" t="str">
        <f aca="false">IF(OR(O105="",L105="",M105="",S105="",M105=0),"",IFERROR(O105/(L105*60*S105/(M105*36))*100,0))</f>
        <v/>
      </c>
      <c r="V105" s="49" t="n">
        <f aca="false">'Daily KPI Entry'!V106</f>
        <v>0</v>
      </c>
      <c r="W105" s="49" t="str">
        <f aca="false">IF(O105="","",IFERROR(V105/O105*100,0))</f>
        <v/>
      </c>
      <c r="X105" s="49" t="n">
        <f aca="false">'Daily KPI Entry'!X106</f>
        <v>0</v>
      </c>
      <c r="Y105" s="49" t="n">
        <f aca="false">'Daily KPI Entry'!Y106</f>
        <v>0</v>
      </c>
      <c r="Z105" s="49" t="n">
        <f aca="false">'Daily KPI Entry'!Z106</f>
        <v>0</v>
      </c>
      <c r="AA105" s="49" t="n">
        <f aca="false">'Daily KPI Entry'!AA106</f>
        <v>0</v>
      </c>
      <c r="AB105" s="49" t="n">
        <f aca="false">'Daily KPI Entry'!AB106</f>
        <v>0</v>
      </c>
      <c r="AC105" s="49" t="n">
        <f aca="false">'Daily KPI Entry'!AC106</f>
        <v>0</v>
      </c>
      <c r="AD105" s="49" t="n">
        <f aca="false">'Daily KPI Entry'!AD106</f>
        <v>0</v>
      </c>
      <c r="AE105" s="49" t="n">
        <f aca="false">'Daily KPI Entry'!AE106</f>
        <v>0</v>
      </c>
      <c r="AF105" s="47" t="str">
        <f aca="false">IF(O105="","",SUM(X105:AE105))</f>
        <v/>
      </c>
      <c r="AG105" s="49" t="str">
        <f aca="false">IF(O105="","",IFERROR(AF105/O105*1000,0))</f>
        <v/>
      </c>
      <c r="AH105" s="49" t="n">
        <f aca="false">'Daily KPI Entry'!AH106</f>
        <v>0</v>
      </c>
      <c r="AI105" s="49" t="n">
        <f aca="false">'Daily KPI Entry'!AI106</f>
        <v>0</v>
      </c>
      <c r="AJ105" s="49" t="n">
        <f aca="false">'Daily KPI Entry'!AJ106</f>
        <v>0</v>
      </c>
      <c r="AK105" s="47" t="n">
        <f aca="false">'Daily KPI Entry'!AK106</f>
        <v>0</v>
      </c>
      <c r="AL105" s="47" t="n">
        <f aca="false">'Daily KPI Entry'!AL106</f>
        <v>0</v>
      </c>
      <c r="AM105" s="47" t="n">
        <f aca="false">'Daily KPI Entry'!AM106</f>
        <v>0</v>
      </c>
      <c r="AN105" s="49" t="str">
        <f aca="false">IF(P105="","",MIN(120,P105))</f>
        <v/>
      </c>
      <c r="AO105" s="49" t="str">
        <f aca="false">IF(U105="","",MIN(120,U105))</f>
        <v/>
      </c>
      <c r="AP105" s="49" t="str">
        <f aca="false">IF(R105="","",MIN(120,IFERROR(S105/R105*100,0)))</f>
        <v/>
      </c>
      <c r="AQ105" s="49" t="str">
        <f aca="false">IF(W105="","",MIN(120,IF(W105=0,120,100*(INDEX('Standards &amp; Scoring'!$E$5:$E$13,MATCH("Quality / Rejection",'Standards &amp; Scoring'!$A$5:$A$13,0))/W105))))</f>
        <v/>
      </c>
      <c r="AR105" s="49" t="str">
        <f aca="false">IF(AG105="","",MIN(120,IF(AG105=0,120,100*(INDEX('Standards &amp; Scoring'!$E$5:$E$13,MATCH("Fault Control",'Standards &amp; Scoring'!$A$5:$A$13,0))/AG105))))</f>
        <v/>
      </c>
      <c r="AS105" s="49" t="str">
        <f aca="false">IF(O105="","",MIN(120,IF(SUMIFS('Fault &amp; Downtime Entry'!$L$6:$L$1005,'Fault &amp; Downtime Entry'!$E$6:$E$1005,G105,'Fault &amp; Downtime Entry'!$B$6:$B$1005,B105)=0,120,100*(INDEX('Standards &amp; Scoring'!$E$5:$E$13,MATCH("Downtime Control",'Standards &amp; Scoring'!$A$5:$A$13,0))/IFERROR(SUMIFS('Fault &amp; Downtime Entry'!$L$6:$L$1005,'Fault &amp; Downtime Entry'!$E$6:$E$1005,G105,'Fault &amp; Downtime Entry'!$B$6:$B$1005,B105)/O105*1000,999999)))))</f>
        <v/>
      </c>
      <c r="AT105" s="49" t="n">
        <f aca="false">IF(COUNTA(AH105,AJ105)=0,"",MIN(120,IF(AND(AH105&lt;&gt;"",AJ105&lt;&gt;""),AVERAGE(AH105,AJ105),IF(AH105&lt;&gt;"",AH105,AJ105))))</f>
        <v>0</v>
      </c>
      <c r="AU105" s="49" t="str">
        <f aca="false">IF(AI105="","",MIN(120,AI105))</f>
        <v/>
      </c>
      <c r="AV105" s="49" t="str">
        <f aca="false">IF(AJ105="","",MIN(120,AJ105))</f>
        <v/>
      </c>
      <c r="AW105" s="50" t="str">
        <f aca="false">IF(COUNT(AN105:AV105)&lt;9,"",(AN105*'Standards &amp; Scoring'!$D$5+AO105*'Standards &amp; Scoring'!$D$6+AP105*'Standards &amp; Scoring'!$D$7+AQ105*'Standards &amp; Scoring'!$D$8+AR105*'Standards &amp; Scoring'!$D$9+AS105*'Standards &amp; Scoring'!$D$10+AT105*'Standards &amp; Scoring'!$D$11+AU105*'Standards &amp; Scoring'!$D$12+AV105*'Standards &amp; Scoring'!$D$13)/10000)</f>
        <v/>
      </c>
      <c r="AX105" s="47" t="str">
        <f aca="false">IF(AW105="","",IF(AW105&gt;=1.05,"A+",IF(AW105&gt;=1,"A",IF(AW105&gt;=0.95,"B+",IF(AW105&gt;=0.9,"B","C")))))</f>
        <v/>
      </c>
      <c r="AY105" s="47" t="str">
        <f aca="false">IF(AX105="","",IF(AX105="A+",1800,IF(AX105="A",1600,IF(AX105="B+",1400,IF(AX105="B",1200,0)))))</f>
        <v/>
      </c>
      <c r="AZ105" s="49" t="str">
        <f aca="false">IF(OR(L105="",M105="",S105="",M105=0),"",IFERROR(L105*60*S105/(M105*36),0))</f>
        <v/>
      </c>
    </row>
    <row r="106" customFormat="false" ht="15" hidden="false" customHeight="true" outlineLevel="0" collapsed="false">
      <c r="A106" s="47" t="n">
        <f aca="false">'Daily KPI Entry'!A107</f>
        <v>0</v>
      </c>
      <c r="B106" s="48" t="n">
        <f aca="false">'Daily KPI Entry'!B107</f>
        <v>0</v>
      </c>
      <c r="C106" s="47" t="n">
        <f aca="false">'Daily KPI Entry'!C107</f>
        <v>0</v>
      </c>
      <c r="D106" s="47" t="n">
        <f aca="false">'Daily KPI Entry'!D107</f>
        <v>0</v>
      </c>
      <c r="E106" s="47" t="n">
        <f aca="false">'Daily KPI Entry'!E107</f>
        <v>0</v>
      </c>
      <c r="F106" s="47" t="n">
        <f aca="false">'Daily KPI Entry'!F107</f>
        <v>0</v>
      </c>
      <c r="G106" s="47" t="n">
        <f aca="false">'Daily KPI Entry'!G107</f>
        <v>0</v>
      </c>
      <c r="H106" s="47" t="str">
        <f aca="false">'Daily KPI Entry'!H107</f>
        <v/>
      </c>
      <c r="I106" s="47" t="n">
        <f aca="false">'Daily KPI Entry'!I107</f>
        <v>0</v>
      </c>
      <c r="J106" s="47" t="n">
        <f aca="false">'Daily KPI Entry'!J107</f>
        <v>0</v>
      </c>
      <c r="K106" s="47" t="n">
        <f aca="false">'Daily KPI Entry'!K107</f>
        <v>0</v>
      </c>
      <c r="L106" s="47" t="n">
        <f aca="false">'Daily KPI Entry'!L107</f>
        <v>0</v>
      </c>
      <c r="M106" s="47" t="n">
        <f aca="false">'Daily KPI Entry'!M107</f>
        <v>0</v>
      </c>
      <c r="N106" s="49" t="n">
        <f aca="false">'Daily KPI Entry'!N107</f>
        <v>0</v>
      </c>
      <c r="O106" s="49" t="n">
        <f aca="false">'Daily KPI Entry'!O107</f>
        <v>0</v>
      </c>
      <c r="P106" s="49" t="str">
        <f aca="false">IF(OR(N106="",O106=""),"",IFERROR(O106/N106*100,0))</f>
        <v/>
      </c>
      <c r="Q106" s="47" t="n">
        <f aca="false">'Daily KPI Entry'!Q107</f>
        <v>8</v>
      </c>
      <c r="R106" s="47" t="str">
        <f aca="false">IF(J106="","",Q106*J106)</f>
        <v/>
      </c>
      <c r="S106" s="49" t="n">
        <f aca="false">'Daily KPI Entry'!S107</f>
        <v>0</v>
      </c>
      <c r="T106" s="49" t="str">
        <f aca="false">IF(OR(R106="",S106=""),"",IFERROR(S106/R106*100,0))</f>
        <v/>
      </c>
      <c r="U106" s="49" t="str">
        <f aca="false">IF(OR(O106="",L106="",M106="",S106="",M106=0),"",IFERROR(O106/(L106*60*S106/(M106*36))*100,0))</f>
        <v/>
      </c>
      <c r="V106" s="49" t="n">
        <f aca="false">'Daily KPI Entry'!V107</f>
        <v>0</v>
      </c>
      <c r="W106" s="49" t="str">
        <f aca="false">IF(O106="","",IFERROR(V106/O106*100,0))</f>
        <v/>
      </c>
      <c r="X106" s="49" t="n">
        <f aca="false">'Daily KPI Entry'!X107</f>
        <v>0</v>
      </c>
      <c r="Y106" s="49" t="n">
        <f aca="false">'Daily KPI Entry'!Y107</f>
        <v>0</v>
      </c>
      <c r="Z106" s="49" t="n">
        <f aca="false">'Daily KPI Entry'!Z107</f>
        <v>0</v>
      </c>
      <c r="AA106" s="49" t="n">
        <f aca="false">'Daily KPI Entry'!AA107</f>
        <v>0</v>
      </c>
      <c r="AB106" s="49" t="n">
        <f aca="false">'Daily KPI Entry'!AB107</f>
        <v>0</v>
      </c>
      <c r="AC106" s="49" t="n">
        <f aca="false">'Daily KPI Entry'!AC107</f>
        <v>0</v>
      </c>
      <c r="AD106" s="49" t="n">
        <f aca="false">'Daily KPI Entry'!AD107</f>
        <v>0</v>
      </c>
      <c r="AE106" s="49" t="n">
        <f aca="false">'Daily KPI Entry'!AE107</f>
        <v>0</v>
      </c>
      <c r="AF106" s="47" t="str">
        <f aca="false">IF(O106="","",SUM(X106:AE106))</f>
        <v/>
      </c>
      <c r="AG106" s="49" t="str">
        <f aca="false">IF(O106="","",IFERROR(AF106/O106*1000,0))</f>
        <v/>
      </c>
      <c r="AH106" s="49" t="n">
        <f aca="false">'Daily KPI Entry'!AH107</f>
        <v>0</v>
      </c>
      <c r="AI106" s="49" t="n">
        <f aca="false">'Daily KPI Entry'!AI107</f>
        <v>0</v>
      </c>
      <c r="AJ106" s="49" t="n">
        <f aca="false">'Daily KPI Entry'!AJ107</f>
        <v>0</v>
      </c>
      <c r="AK106" s="47" t="n">
        <f aca="false">'Daily KPI Entry'!AK107</f>
        <v>0</v>
      </c>
      <c r="AL106" s="47" t="n">
        <f aca="false">'Daily KPI Entry'!AL107</f>
        <v>0</v>
      </c>
      <c r="AM106" s="47" t="n">
        <f aca="false">'Daily KPI Entry'!AM107</f>
        <v>0</v>
      </c>
      <c r="AN106" s="49" t="str">
        <f aca="false">IF(P106="","",MIN(120,P106))</f>
        <v/>
      </c>
      <c r="AO106" s="49" t="str">
        <f aca="false">IF(U106="","",MIN(120,U106))</f>
        <v/>
      </c>
      <c r="AP106" s="49" t="str">
        <f aca="false">IF(R106="","",MIN(120,IFERROR(S106/R106*100,0)))</f>
        <v/>
      </c>
      <c r="AQ106" s="49" t="str">
        <f aca="false">IF(W106="","",MIN(120,IF(W106=0,120,100*(INDEX('Standards &amp; Scoring'!$E$5:$E$13,MATCH("Quality / Rejection",'Standards &amp; Scoring'!$A$5:$A$13,0))/W106))))</f>
        <v/>
      </c>
      <c r="AR106" s="49" t="str">
        <f aca="false">IF(AG106="","",MIN(120,IF(AG106=0,120,100*(INDEX('Standards &amp; Scoring'!$E$5:$E$13,MATCH("Fault Control",'Standards &amp; Scoring'!$A$5:$A$13,0))/AG106))))</f>
        <v/>
      </c>
      <c r="AS106" s="49" t="str">
        <f aca="false">IF(O106="","",MIN(120,IF(SUMIFS('Fault &amp; Downtime Entry'!$L$6:$L$1005,'Fault &amp; Downtime Entry'!$E$6:$E$1005,G106,'Fault &amp; Downtime Entry'!$B$6:$B$1005,B106)=0,120,100*(INDEX('Standards &amp; Scoring'!$E$5:$E$13,MATCH("Downtime Control",'Standards &amp; Scoring'!$A$5:$A$13,0))/IFERROR(SUMIFS('Fault &amp; Downtime Entry'!$L$6:$L$1005,'Fault &amp; Downtime Entry'!$E$6:$E$1005,G106,'Fault &amp; Downtime Entry'!$B$6:$B$1005,B106)/O106*1000,999999)))))</f>
        <v/>
      </c>
      <c r="AT106" s="49" t="n">
        <f aca="false">IF(COUNTA(AH106,AJ106)=0,"",MIN(120,IF(AND(AH106&lt;&gt;"",AJ106&lt;&gt;""),AVERAGE(AH106,AJ106),IF(AH106&lt;&gt;"",AH106,AJ106))))</f>
        <v>0</v>
      </c>
      <c r="AU106" s="49" t="str">
        <f aca="false">IF(AI106="","",MIN(120,AI106))</f>
        <v/>
      </c>
      <c r="AV106" s="49" t="str">
        <f aca="false">IF(AJ106="","",MIN(120,AJ106))</f>
        <v/>
      </c>
      <c r="AW106" s="50" t="str">
        <f aca="false">IF(COUNT(AN106:AV106)&lt;9,"",(AN106*'Standards &amp; Scoring'!$D$5+AO106*'Standards &amp; Scoring'!$D$6+AP106*'Standards &amp; Scoring'!$D$7+AQ106*'Standards &amp; Scoring'!$D$8+AR106*'Standards &amp; Scoring'!$D$9+AS106*'Standards &amp; Scoring'!$D$10+AT106*'Standards &amp; Scoring'!$D$11+AU106*'Standards &amp; Scoring'!$D$12+AV106*'Standards &amp; Scoring'!$D$13)/10000)</f>
        <v/>
      </c>
      <c r="AX106" s="47" t="str">
        <f aca="false">IF(AW106="","",IF(AW106&gt;=1.05,"A+",IF(AW106&gt;=1,"A",IF(AW106&gt;=0.95,"B+",IF(AW106&gt;=0.9,"B","C")))))</f>
        <v/>
      </c>
      <c r="AY106" s="47" t="str">
        <f aca="false">IF(AX106="","",IF(AX106="A+",1800,IF(AX106="A",1600,IF(AX106="B+",1400,IF(AX106="B",1200,0)))))</f>
        <v/>
      </c>
      <c r="AZ106" s="49" t="str">
        <f aca="false">IF(OR(L106="",M106="",S106="",M106=0),"",IFERROR(L106*60*S106/(M106*36),0))</f>
        <v/>
      </c>
    </row>
    <row r="107" customFormat="false" ht="15" hidden="false" customHeight="true" outlineLevel="0" collapsed="false">
      <c r="A107" s="47" t="n">
        <f aca="false">'Daily KPI Entry'!A108</f>
        <v>0</v>
      </c>
      <c r="B107" s="48" t="n">
        <f aca="false">'Daily KPI Entry'!B108</f>
        <v>0</v>
      </c>
      <c r="C107" s="47" t="n">
        <f aca="false">'Daily KPI Entry'!C108</f>
        <v>0</v>
      </c>
      <c r="D107" s="47" t="n">
        <f aca="false">'Daily KPI Entry'!D108</f>
        <v>0</v>
      </c>
      <c r="E107" s="47" t="n">
        <f aca="false">'Daily KPI Entry'!E108</f>
        <v>0</v>
      </c>
      <c r="F107" s="47" t="n">
        <f aca="false">'Daily KPI Entry'!F108</f>
        <v>0</v>
      </c>
      <c r="G107" s="47" t="n">
        <f aca="false">'Daily KPI Entry'!G108</f>
        <v>0</v>
      </c>
      <c r="H107" s="47" t="str">
        <f aca="false">'Daily KPI Entry'!H108</f>
        <v/>
      </c>
      <c r="I107" s="47" t="n">
        <f aca="false">'Daily KPI Entry'!I108</f>
        <v>0</v>
      </c>
      <c r="J107" s="47" t="n">
        <f aca="false">'Daily KPI Entry'!J108</f>
        <v>0</v>
      </c>
      <c r="K107" s="47" t="n">
        <f aca="false">'Daily KPI Entry'!K108</f>
        <v>0</v>
      </c>
      <c r="L107" s="47" t="n">
        <f aca="false">'Daily KPI Entry'!L108</f>
        <v>0</v>
      </c>
      <c r="M107" s="47" t="n">
        <f aca="false">'Daily KPI Entry'!M108</f>
        <v>0</v>
      </c>
      <c r="N107" s="49" t="n">
        <f aca="false">'Daily KPI Entry'!N108</f>
        <v>0</v>
      </c>
      <c r="O107" s="49" t="n">
        <f aca="false">'Daily KPI Entry'!O108</f>
        <v>0</v>
      </c>
      <c r="P107" s="49" t="str">
        <f aca="false">IF(OR(N107="",O107=""),"",IFERROR(O107/N107*100,0))</f>
        <v/>
      </c>
      <c r="Q107" s="47" t="n">
        <f aca="false">'Daily KPI Entry'!Q108</f>
        <v>8</v>
      </c>
      <c r="R107" s="47" t="str">
        <f aca="false">IF(J107="","",Q107*J107)</f>
        <v/>
      </c>
      <c r="S107" s="49" t="n">
        <f aca="false">'Daily KPI Entry'!S108</f>
        <v>0</v>
      </c>
      <c r="T107" s="49" t="str">
        <f aca="false">IF(OR(R107="",S107=""),"",IFERROR(S107/R107*100,0))</f>
        <v/>
      </c>
      <c r="U107" s="49" t="str">
        <f aca="false">IF(OR(O107="",L107="",M107="",S107="",M107=0),"",IFERROR(O107/(L107*60*S107/(M107*36))*100,0))</f>
        <v/>
      </c>
      <c r="V107" s="49" t="n">
        <f aca="false">'Daily KPI Entry'!V108</f>
        <v>0</v>
      </c>
      <c r="W107" s="49" t="str">
        <f aca="false">IF(O107="","",IFERROR(V107/O107*100,0))</f>
        <v/>
      </c>
      <c r="X107" s="49" t="n">
        <f aca="false">'Daily KPI Entry'!X108</f>
        <v>0</v>
      </c>
      <c r="Y107" s="49" t="n">
        <f aca="false">'Daily KPI Entry'!Y108</f>
        <v>0</v>
      </c>
      <c r="Z107" s="49" t="n">
        <f aca="false">'Daily KPI Entry'!Z108</f>
        <v>0</v>
      </c>
      <c r="AA107" s="49" t="n">
        <f aca="false">'Daily KPI Entry'!AA108</f>
        <v>0</v>
      </c>
      <c r="AB107" s="49" t="n">
        <f aca="false">'Daily KPI Entry'!AB108</f>
        <v>0</v>
      </c>
      <c r="AC107" s="49" t="n">
        <f aca="false">'Daily KPI Entry'!AC108</f>
        <v>0</v>
      </c>
      <c r="AD107" s="49" t="n">
        <f aca="false">'Daily KPI Entry'!AD108</f>
        <v>0</v>
      </c>
      <c r="AE107" s="49" t="n">
        <f aca="false">'Daily KPI Entry'!AE108</f>
        <v>0</v>
      </c>
      <c r="AF107" s="47" t="str">
        <f aca="false">IF(O107="","",SUM(X107:AE107))</f>
        <v/>
      </c>
      <c r="AG107" s="49" t="str">
        <f aca="false">IF(O107="","",IFERROR(AF107/O107*1000,0))</f>
        <v/>
      </c>
      <c r="AH107" s="49" t="n">
        <f aca="false">'Daily KPI Entry'!AH108</f>
        <v>0</v>
      </c>
      <c r="AI107" s="49" t="n">
        <f aca="false">'Daily KPI Entry'!AI108</f>
        <v>0</v>
      </c>
      <c r="AJ107" s="49" t="n">
        <f aca="false">'Daily KPI Entry'!AJ108</f>
        <v>0</v>
      </c>
      <c r="AK107" s="47" t="n">
        <f aca="false">'Daily KPI Entry'!AK108</f>
        <v>0</v>
      </c>
      <c r="AL107" s="47" t="n">
        <f aca="false">'Daily KPI Entry'!AL108</f>
        <v>0</v>
      </c>
      <c r="AM107" s="47" t="n">
        <f aca="false">'Daily KPI Entry'!AM108</f>
        <v>0</v>
      </c>
      <c r="AN107" s="49" t="str">
        <f aca="false">IF(P107="","",MIN(120,P107))</f>
        <v/>
      </c>
      <c r="AO107" s="49" t="str">
        <f aca="false">IF(U107="","",MIN(120,U107))</f>
        <v/>
      </c>
      <c r="AP107" s="49" t="str">
        <f aca="false">IF(R107="","",MIN(120,IFERROR(S107/R107*100,0)))</f>
        <v/>
      </c>
      <c r="AQ107" s="49" t="str">
        <f aca="false">IF(W107="","",MIN(120,IF(W107=0,120,100*(INDEX('Standards &amp; Scoring'!$E$5:$E$13,MATCH("Quality / Rejection",'Standards &amp; Scoring'!$A$5:$A$13,0))/W107))))</f>
        <v/>
      </c>
      <c r="AR107" s="49" t="str">
        <f aca="false">IF(AG107="","",MIN(120,IF(AG107=0,120,100*(INDEX('Standards &amp; Scoring'!$E$5:$E$13,MATCH("Fault Control",'Standards &amp; Scoring'!$A$5:$A$13,0))/AG107))))</f>
        <v/>
      </c>
      <c r="AS107" s="49" t="str">
        <f aca="false">IF(O107="","",MIN(120,IF(SUMIFS('Fault &amp; Downtime Entry'!$L$6:$L$1005,'Fault &amp; Downtime Entry'!$E$6:$E$1005,G107,'Fault &amp; Downtime Entry'!$B$6:$B$1005,B107)=0,120,100*(INDEX('Standards &amp; Scoring'!$E$5:$E$13,MATCH("Downtime Control",'Standards &amp; Scoring'!$A$5:$A$13,0))/IFERROR(SUMIFS('Fault &amp; Downtime Entry'!$L$6:$L$1005,'Fault &amp; Downtime Entry'!$E$6:$E$1005,G107,'Fault &amp; Downtime Entry'!$B$6:$B$1005,B107)/O107*1000,999999)))))</f>
        <v/>
      </c>
      <c r="AT107" s="49" t="n">
        <f aca="false">IF(COUNTA(AH107,AJ107)=0,"",MIN(120,IF(AND(AH107&lt;&gt;"",AJ107&lt;&gt;""),AVERAGE(AH107,AJ107),IF(AH107&lt;&gt;"",AH107,AJ107))))</f>
        <v>0</v>
      </c>
      <c r="AU107" s="49" t="str">
        <f aca="false">IF(AI107="","",MIN(120,AI107))</f>
        <v/>
      </c>
      <c r="AV107" s="49" t="str">
        <f aca="false">IF(AJ107="","",MIN(120,AJ107))</f>
        <v/>
      </c>
      <c r="AW107" s="50" t="str">
        <f aca="false">IF(COUNT(AN107:AV107)&lt;9,"",(AN107*'Standards &amp; Scoring'!$D$5+AO107*'Standards &amp; Scoring'!$D$6+AP107*'Standards &amp; Scoring'!$D$7+AQ107*'Standards &amp; Scoring'!$D$8+AR107*'Standards &amp; Scoring'!$D$9+AS107*'Standards &amp; Scoring'!$D$10+AT107*'Standards &amp; Scoring'!$D$11+AU107*'Standards &amp; Scoring'!$D$12+AV107*'Standards &amp; Scoring'!$D$13)/10000)</f>
        <v/>
      </c>
      <c r="AX107" s="47" t="str">
        <f aca="false">IF(AW107="","",IF(AW107&gt;=1.05,"A+",IF(AW107&gt;=1,"A",IF(AW107&gt;=0.95,"B+",IF(AW107&gt;=0.9,"B","C")))))</f>
        <v/>
      </c>
      <c r="AY107" s="47" t="str">
        <f aca="false">IF(AX107="","",IF(AX107="A+",1800,IF(AX107="A",1600,IF(AX107="B+",1400,IF(AX107="B",1200,0)))))</f>
        <v/>
      </c>
      <c r="AZ107" s="49" t="str">
        <f aca="false">IF(OR(L107="",M107="",S107="",M107=0),"",IFERROR(L107*60*S107/(M107*36),0))</f>
        <v/>
      </c>
    </row>
    <row r="108" customFormat="false" ht="15" hidden="false" customHeight="true" outlineLevel="0" collapsed="false">
      <c r="A108" s="47" t="n">
        <f aca="false">'Daily KPI Entry'!A109</f>
        <v>0</v>
      </c>
      <c r="B108" s="48" t="n">
        <f aca="false">'Daily KPI Entry'!B109</f>
        <v>0</v>
      </c>
      <c r="C108" s="47" t="n">
        <f aca="false">'Daily KPI Entry'!C109</f>
        <v>0</v>
      </c>
      <c r="D108" s="47" t="n">
        <f aca="false">'Daily KPI Entry'!D109</f>
        <v>0</v>
      </c>
      <c r="E108" s="47" t="n">
        <f aca="false">'Daily KPI Entry'!E109</f>
        <v>0</v>
      </c>
      <c r="F108" s="47" t="n">
        <f aca="false">'Daily KPI Entry'!F109</f>
        <v>0</v>
      </c>
      <c r="G108" s="47" t="n">
        <f aca="false">'Daily KPI Entry'!G109</f>
        <v>0</v>
      </c>
      <c r="H108" s="47" t="str">
        <f aca="false">'Daily KPI Entry'!H109</f>
        <v/>
      </c>
      <c r="I108" s="47" t="n">
        <f aca="false">'Daily KPI Entry'!I109</f>
        <v>0</v>
      </c>
      <c r="J108" s="47" t="n">
        <f aca="false">'Daily KPI Entry'!J109</f>
        <v>0</v>
      </c>
      <c r="K108" s="47" t="n">
        <f aca="false">'Daily KPI Entry'!K109</f>
        <v>0</v>
      </c>
      <c r="L108" s="47" t="n">
        <f aca="false">'Daily KPI Entry'!L109</f>
        <v>0</v>
      </c>
      <c r="M108" s="47" t="n">
        <f aca="false">'Daily KPI Entry'!M109</f>
        <v>0</v>
      </c>
      <c r="N108" s="49" t="n">
        <f aca="false">'Daily KPI Entry'!N109</f>
        <v>0</v>
      </c>
      <c r="O108" s="49" t="n">
        <f aca="false">'Daily KPI Entry'!O109</f>
        <v>0</v>
      </c>
      <c r="P108" s="49" t="str">
        <f aca="false">IF(OR(N108="",O108=""),"",IFERROR(O108/N108*100,0))</f>
        <v/>
      </c>
      <c r="Q108" s="47" t="n">
        <f aca="false">'Daily KPI Entry'!Q109</f>
        <v>8</v>
      </c>
      <c r="R108" s="47" t="str">
        <f aca="false">IF(J108="","",Q108*J108)</f>
        <v/>
      </c>
      <c r="S108" s="49" t="n">
        <f aca="false">'Daily KPI Entry'!S109</f>
        <v>0</v>
      </c>
      <c r="T108" s="49" t="str">
        <f aca="false">IF(OR(R108="",S108=""),"",IFERROR(S108/R108*100,0))</f>
        <v/>
      </c>
      <c r="U108" s="49" t="str">
        <f aca="false">IF(OR(O108="",L108="",M108="",S108="",M108=0),"",IFERROR(O108/(L108*60*S108/(M108*36))*100,0))</f>
        <v/>
      </c>
      <c r="V108" s="49" t="n">
        <f aca="false">'Daily KPI Entry'!V109</f>
        <v>0</v>
      </c>
      <c r="W108" s="49" t="str">
        <f aca="false">IF(O108="","",IFERROR(V108/O108*100,0))</f>
        <v/>
      </c>
      <c r="X108" s="49" t="n">
        <f aca="false">'Daily KPI Entry'!X109</f>
        <v>0</v>
      </c>
      <c r="Y108" s="49" t="n">
        <f aca="false">'Daily KPI Entry'!Y109</f>
        <v>0</v>
      </c>
      <c r="Z108" s="49" t="n">
        <f aca="false">'Daily KPI Entry'!Z109</f>
        <v>0</v>
      </c>
      <c r="AA108" s="49" t="n">
        <f aca="false">'Daily KPI Entry'!AA109</f>
        <v>0</v>
      </c>
      <c r="AB108" s="49" t="n">
        <f aca="false">'Daily KPI Entry'!AB109</f>
        <v>0</v>
      </c>
      <c r="AC108" s="49" t="n">
        <f aca="false">'Daily KPI Entry'!AC109</f>
        <v>0</v>
      </c>
      <c r="AD108" s="49" t="n">
        <f aca="false">'Daily KPI Entry'!AD109</f>
        <v>0</v>
      </c>
      <c r="AE108" s="49" t="n">
        <f aca="false">'Daily KPI Entry'!AE109</f>
        <v>0</v>
      </c>
      <c r="AF108" s="47" t="str">
        <f aca="false">IF(O108="","",SUM(X108:AE108))</f>
        <v/>
      </c>
      <c r="AG108" s="49" t="str">
        <f aca="false">IF(O108="","",IFERROR(AF108/O108*1000,0))</f>
        <v/>
      </c>
      <c r="AH108" s="49" t="n">
        <f aca="false">'Daily KPI Entry'!AH109</f>
        <v>0</v>
      </c>
      <c r="AI108" s="49" t="n">
        <f aca="false">'Daily KPI Entry'!AI109</f>
        <v>0</v>
      </c>
      <c r="AJ108" s="49" t="n">
        <f aca="false">'Daily KPI Entry'!AJ109</f>
        <v>0</v>
      </c>
      <c r="AK108" s="47" t="n">
        <f aca="false">'Daily KPI Entry'!AK109</f>
        <v>0</v>
      </c>
      <c r="AL108" s="47" t="n">
        <f aca="false">'Daily KPI Entry'!AL109</f>
        <v>0</v>
      </c>
      <c r="AM108" s="47" t="n">
        <f aca="false">'Daily KPI Entry'!AM109</f>
        <v>0</v>
      </c>
      <c r="AN108" s="49" t="str">
        <f aca="false">IF(P108="","",MIN(120,P108))</f>
        <v/>
      </c>
      <c r="AO108" s="49" t="str">
        <f aca="false">IF(U108="","",MIN(120,U108))</f>
        <v/>
      </c>
      <c r="AP108" s="49" t="str">
        <f aca="false">IF(R108="","",MIN(120,IFERROR(S108/R108*100,0)))</f>
        <v/>
      </c>
      <c r="AQ108" s="49" t="str">
        <f aca="false">IF(W108="","",MIN(120,IF(W108=0,120,100*(INDEX('Standards &amp; Scoring'!$E$5:$E$13,MATCH("Quality / Rejection",'Standards &amp; Scoring'!$A$5:$A$13,0))/W108))))</f>
        <v/>
      </c>
      <c r="AR108" s="49" t="str">
        <f aca="false">IF(AG108="","",MIN(120,IF(AG108=0,120,100*(INDEX('Standards &amp; Scoring'!$E$5:$E$13,MATCH("Fault Control",'Standards &amp; Scoring'!$A$5:$A$13,0))/AG108))))</f>
        <v/>
      </c>
      <c r="AS108" s="49" t="str">
        <f aca="false">IF(O108="","",MIN(120,IF(SUMIFS('Fault &amp; Downtime Entry'!$L$6:$L$1005,'Fault &amp; Downtime Entry'!$E$6:$E$1005,G108,'Fault &amp; Downtime Entry'!$B$6:$B$1005,B108)=0,120,100*(INDEX('Standards &amp; Scoring'!$E$5:$E$13,MATCH("Downtime Control",'Standards &amp; Scoring'!$A$5:$A$13,0))/IFERROR(SUMIFS('Fault &amp; Downtime Entry'!$L$6:$L$1005,'Fault &amp; Downtime Entry'!$E$6:$E$1005,G108,'Fault &amp; Downtime Entry'!$B$6:$B$1005,B108)/O108*1000,999999)))))</f>
        <v/>
      </c>
      <c r="AT108" s="49" t="n">
        <f aca="false">IF(COUNTA(AH108,AJ108)=0,"",MIN(120,IF(AND(AH108&lt;&gt;"",AJ108&lt;&gt;""),AVERAGE(AH108,AJ108),IF(AH108&lt;&gt;"",AH108,AJ108))))</f>
        <v>0</v>
      </c>
      <c r="AU108" s="49" t="str">
        <f aca="false">IF(AI108="","",MIN(120,AI108))</f>
        <v/>
      </c>
      <c r="AV108" s="49" t="str">
        <f aca="false">IF(AJ108="","",MIN(120,AJ108))</f>
        <v/>
      </c>
      <c r="AW108" s="50" t="str">
        <f aca="false">IF(COUNT(AN108:AV108)&lt;9,"",(AN108*'Standards &amp; Scoring'!$D$5+AO108*'Standards &amp; Scoring'!$D$6+AP108*'Standards &amp; Scoring'!$D$7+AQ108*'Standards &amp; Scoring'!$D$8+AR108*'Standards &amp; Scoring'!$D$9+AS108*'Standards &amp; Scoring'!$D$10+AT108*'Standards &amp; Scoring'!$D$11+AU108*'Standards &amp; Scoring'!$D$12+AV108*'Standards &amp; Scoring'!$D$13)/10000)</f>
        <v/>
      </c>
      <c r="AX108" s="47" t="str">
        <f aca="false">IF(AW108="","",IF(AW108&gt;=1.05,"A+",IF(AW108&gt;=1,"A",IF(AW108&gt;=0.95,"B+",IF(AW108&gt;=0.9,"B","C")))))</f>
        <v/>
      </c>
      <c r="AY108" s="47" t="str">
        <f aca="false">IF(AX108="","",IF(AX108="A+",1800,IF(AX108="A",1600,IF(AX108="B+",1400,IF(AX108="B",1200,0)))))</f>
        <v/>
      </c>
      <c r="AZ108" s="49" t="str">
        <f aca="false">IF(OR(L108="",M108="",S108="",M108=0),"",IFERROR(L108*60*S108/(M108*36),0))</f>
        <v/>
      </c>
    </row>
    <row r="109" customFormat="false" ht="15" hidden="false" customHeight="true" outlineLevel="0" collapsed="false">
      <c r="A109" s="47" t="n">
        <f aca="false">'Daily KPI Entry'!A110</f>
        <v>0</v>
      </c>
      <c r="B109" s="48" t="n">
        <f aca="false">'Daily KPI Entry'!B110</f>
        <v>0</v>
      </c>
      <c r="C109" s="47" t="n">
        <f aca="false">'Daily KPI Entry'!C110</f>
        <v>0</v>
      </c>
      <c r="D109" s="47" t="n">
        <f aca="false">'Daily KPI Entry'!D110</f>
        <v>0</v>
      </c>
      <c r="E109" s="47" t="n">
        <f aca="false">'Daily KPI Entry'!E110</f>
        <v>0</v>
      </c>
      <c r="F109" s="47" t="n">
        <f aca="false">'Daily KPI Entry'!F110</f>
        <v>0</v>
      </c>
      <c r="G109" s="47" t="n">
        <f aca="false">'Daily KPI Entry'!G110</f>
        <v>0</v>
      </c>
      <c r="H109" s="47" t="str">
        <f aca="false">'Daily KPI Entry'!H110</f>
        <v/>
      </c>
      <c r="I109" s="47" t="n">
        <f aca="false">'Daily KPI Entry'!I110</f>
        <v>0</v>
      </c>
      <c r="J109" s="47" t="n">
        <f aca="false">'Daily KPI Entry'!J110</f>
        <v>0</v>
      </c>
      <c r="K109" s="47" t="n">
        <f aca="false">'Daily KPI Entry'!K110</f>
        <v>0</v>
      </c>
      <c r="L109" s="47" t="n">
        <f aca="false">'Daily KPI Entry'!L110</f>
        <v>0</v>
      </c>
      <c r="M109" s="47" t="n">
        <f aca="false">'Daily KPI Entry'!M110</f>
        <v>0</v>
      </c>
      <c r="N109" s="49" t="n">
        <f aca="false">'Daily KPI Entry'!N110</f>
        <v>0</v>
      </c>
      <c r="O109" s="49" t="n">
        <f aca="false">'Daily KPI Entry'!O110</f>
        <v>0</v>
      </c>
      <c r="P109" s="49" t="str">
        <f aca="false">IF(OR(N109="",O109=""),"",IFERROR(O109/N109*100,0))</f>
        <v/>
      </c>
      <c r="Q109" s="47" t="n">
        <f aca="false">'Daily KPI Entry'!Q110</f>
        <v>8</v>
      </c>
      <c r="R109" s="47" t="str">
        <f aca="false">IF(J109="","",Q109*J109)</f>
        <v/>
      </c>
      <c r="S109" s="49" t="n">
        <f aca="false">'Daily KPI Entry'!S110</f>
        <v>0</v>
      </c>
      <c r="T109" s="49" t="str">
        <f aca="false">IF(OR(R109="",S109=""),"",IFERROR(S109/R109*100,0))</f>
        <v/>
      </c>
      <c r="U109" s="49" t="str">
        <f aca="false">IF(OR(O109="",L109="",M109="",S109="",M109=0),"",IFERROR(O109/(L109*60*S109/(M109*36))*100,0))</f>
        <v/>
      </c>
      <c r="V109" s="49" t="n">
        <f aca="false">'Daily KPI Entry'!V110</f>
        <v>0</v>
      </c>
      <c r="W109" s="49" t="str">
        <f aca="false">IF(O109="","",IFERROR(V109/O109*100,0))</f>
        <v/>
      </c>
      <c r="X109" s="49" t="n">
        <f aca="false">'Daily KPI Entry'!X110</f>
        <v>0</v>
      </c>
      <c r="Y109" s="49" t="n">
        <f aca="false">'Daily KPI Entry'!Y110</f>
        <v>0</v>
      </c>
      <c r="Z109" s="49" t="n">
        <f aca="false">'Daily KPI Entry'!Z110</f>
        <v>0</v>
      </c>
      <c r="AA109" s="49" t="n">
        <f aca="false">'Daily KPI Entry'!AA110</f>
        <v>0</v>
      </c>
      <c r="AB109" s="49" t="n">
        <f aca="false">'Daily KPI Entry'!AB110</f>
        <v>0</v>
      </c>
      <c r="AC109" s="49" t="n">
        <f aca="false">'Daily KPI Entry'!AC110</f>
        <v>0</v>
      </c>
      <c r="AD109" s="49" t="n">
        <f aca="false">'Daily KPI Entry'!AD110</f>
        <v>0</v>
      </c>
      <c r="AE109" s="49" t="n">
        <f aca="false">'Daily KPI Entry'!AE110</f>
        <v>0</v>
      </c>
      <c r="AF109" s="47" t="str">
        <f aca="false">IF(O109="","",SUM(X109:AE109))</f>
        <v/>
      </c>
      <c r="AG109" s="49" t="str">
        <f aca="false">IF(O109="","",IFERROR(AF109/O109*1000,0))</f>
        <v/>
      </c>
      <c r="AH109" s="49" t="n">
        <f aca="false">'Daily KPI Entry'!AH110</f>
        <v>0</v>
      </c>
      <c r="AI109" s="49" t="n">
        <f aca="false">'Daily KPI Entry'!AI110</f>
        <v>0</v>
      </c>
      <c r="AJ109" s="49" t="n">
        <f aca="false">'Daily KPI Entry'!AJ110</f>
        <v>0</v>
      </c>
      <c r="AK109" s="47" t="n">
        <f aca="false">'Daily KPI Entry'!AK110</f>
        <v>0</v>
      </c>
      <c r="AL109" s="47" t="n">
        <f aca="false">'Daily KPI Entry'!AL110</f>
        <v>0</v>
      </c>
      <c r="AM109" s="47" t="n">
        <f aca="false">'Daily KPI Entry'!AM110</f>
        <v>0</v>
      </c>
      <c r="AN109" s="49" t="str">
        <f aca="false">IF(P109="","",MIN(120,P109))</f>
        <v/>
      </c>
      <c r="AO109" s="49" t="str">
        <f aca="false">IF(U109="","",MIN(120,U109))</f>
        <v/>
      </c>
      <c r="AP109" s="49" t="str">
        <f aca="false">IF(R109="","",MIN(120,IFERROR(S109/R109*100,0)))</f>
        <v/>
      </c>
      <c r="AQ109" s="49" t="str">
        <f aca="false">IF(W109="","",MIN(120,IF(W109=0,120,100*(INDEX('Standards &amp; Scoring'!$E$5:$E$13,MATCH("Quality / Rejection",'Standards &amp; Scoring'!$A$5:$A$13,0))/W109))))</f>
        <v/>
      </c>
      <c r="AR109" s="49" t="str">
        <f aca="false">IF(AG109="","",MIN(120,IF(AG109=0,120,100*(INDEX('Standards &amp; Scoring'!$E$5:$E$13,MATCH("Fault Control",'Standards &amp; Scoring'!$A$5:$A$13,0))/AG109))))</f>
        <v/>
      </c>
      <c r="AS109" s="49" t="str">
        <f aca="false">IF(O109="","",MIN(120,IF(SUMIFS('Fault &amp; Downtime Entry'!$L$6:$L$1005,'Fault &amp; Downtime Entry'!$E$6:$E$1005,G109,'Fault &amp; Downtime Entry'!$B$6:$B$1005,B109)=0,120,100*(INDEX('Standards &amp; Scoring'!$E$5:$E$13,MATCH("Downtime Control",'Standards &amp; Scoring'!$A$5:$A$13,0))/IFERROR(SUMIFS('Fault &amp; Downtime Entry'!$L$6:$L$1005,'Fault &amp; Downtime Entry'!$E$6:$E$1005,G109,'Fault &amp; Downtime Entry'!$B$6:$B$1005,B109)/O109*1000,999999)))))</f>
        <v/>
      </c>
      <c r="AT109" s="49" t="n">
        <f aca="false">IF(COUNTA(AH109,AJ109)=0,"",MIN(120,IF(AND(AH109&lt;&gt;"",AJ109&lt;&gt;""),AVERAGE(AH109,AJ109),IF(AH109&lt;&gt;"",AH109,AJ109))))</f>
        <v>0</v>
      </c>
      <c r="AU109" s="49" t="str">
        <f aca="false">IF(AI109="","",MIN(120,AI109))</f>
        <v/>
      </c>
      <c r="AV109" s="49" t="str">
        <f aca="false">IF(AJ109="","",MIN(120,AJ109))</f>
        <v/>
      </c>
      <c r="AW109" s="50" t="str">
        <f aca="false">IF(COUNT(AN109:AV109)&lt;9,"",(AN109*'Standards &amp; Scoring'!$D$5+AO109*'Standards &amp; Scoring'!$D$6+AP109*'Standards &amp; Scoring'!$D$7+AQ109*'Standards &amp; Scoring'!$D$8+AR109*'Standards &amp; Scoring'!$D$9+AS109*'Standards &amp; Scoring'!$D$10+AT109*'Standards &amp; Scoring'!$D$11+AU109*'Standards &amp; Scoring'!$D$12+AV109*'Standards &amp; Scoring'!$D$13)/10000)</f>
        <v/>
      </c>
      <c r="AX109" s="47" t="str">
        <f aca="false">IF(AW109="","",IF(AW109&gt;=1.05,"A+",IF(AW109&gt;=1,"A",IF(AW109&gt;=0.95,"B+",IF(AW109&gt;=0.9,"B","C")))))</f>
        <v/>
      </c>
      <c r="AY109" s="47" t="str">
        <f aca="false">IF(AX109="","",IF(AX109="A+",1800,IF(AX109="A",1600,IF(AX109="B+",1400,IF(AX109="B",1200,0)))))</f>
        <v/>
      </c>
      <c r="AZ109" s="49" t="str">
        <f aca="false">IF(OR(L109="",M109="",S109="",M109=0),"",IFERROR(L109*60*S109/(M109*36),0))</f>
        <v/>
      </c>
    </row>
    <row r="110" customFormat="false" ht="15" hidden="false" customHeight="true" outlineLevel="0" collapsed="false">
      <c r="A110" s="47" t="n">
        <f aca="false">'Daily KPI Entry'!A111</f>
        <v>0</v>
      </c>
      <c r="B110" s="48" t="n">
        <f aca="false">'Daily KPI Entry'!B111</f>
        <v>0</v>
      </c>
      <c r="C110" s="47" t="n">
        <f aca="false">'Daily KPI Entry'!C111</f>
        <v>0</v>
      </c>
      <c r="D110" s="47" t="n">
        <f aca="false">'Daily KPI Entry'!D111</f>
        <v>0</v>
      </c>
      <c r="E110" s="47" t="n">
        <f aca="false">'Daily KPI Entry'!E111</f>
        <v>0</v>
      </c>
      <c r="F110" s="47" t="n">
        <f aca="false">'Daily KPI Entry'!F111</f>
        <v>0</v>
      </c>
      <c r="G110" s="47" t="n">
        <f aca="false">'Daily KPI Entry'!G111</f>
        <v>0</v>
      </c>
      <c r="H110" s="47" t="str">
        <f aca="false">'Daily KPI Entry'!H111</f>
        <v/>
      </c>
      <c r="I110" s="47" t="n">
        <f aca="false">'Daily KPI Entry'!I111</f>
        <v>0</v>
      </c>
      <c r="J110" s="47" t="n">
        <f aca="false">'Daily KPI Entry'!J111</f>
        <v>0</v>
      </c>
      <c r="K110" s="47" t="n">
        <f aca="false">'Daily KPI Entry'!K111</f>
        <v>0</v>
      </c>
      <c r="L110" s="47" t="n">
        <f aca="false">'Daily KPI Entry'!L111</f>
        <v>0</v>
      </c>
      <c r="M110" s="47" t="n">
        <f aca="false">'Daily KPI Entry'!M111</f>
        <v>0</v>
      </c>
      <c r="N110" s="49" t="n">
        <f aca="false">'Daily KPI Entry'!N111</f>
        <v>0</v>
      </c>
      <c r="O110" s="49" t="n">
        <f aca="false">'Daily KPI Entry'!O111</f>
        <v>0</v>
      </c>
      <c r="P110" s="49" t="str">
        <f aca="false">IF(OR(N110="",O110=""),"",IFERROR(O110/N110*100,0))</f>
        <v/>
      </c>
      <c r="Q110" s="47" t="n">
        <f aca="false">'Daily KPI Entry'!Q111</f>
        <v>8</v>
      </c>
      <c r="R110" s="47" t="str">
        <f aca="false">IF(J110="","",Q110*J110)</f>
        <v/>
      </c>
      <c r="S110" s="49" t="n">
        <f aca="false">'Daily KPI Entry'!S111</f>
        <v>0</v>
      </c>
      <c r="T110" s="49" t="str">
        <f aca="false">IF(OR(R110="",S110=""),"",IFERROR(S110/R110*100,0))</f>
        <v/>
      </c>
      <c r="U110" s="49" t="str">
        <f aca="false">IF(OR(O110="",L110="",M110="",S110="",M110=0),"",IFERROR(O110/(L110*60*S110/(M110*36))*100,0))</f>
        <v/>
      </c>
      <c r="V110" s="49" t="n">
        <f aca="false">'Daily KPI Entry'!V111</f>
        <v>0</v>
      </c>
      <c r="W110" s="49" t="str">
        <f aca="false">IF(O110="","",IFERROR(V110/O110*100,0))</f>
        <v/>
      </c>
      <c r="X110" s="49" t="n">
        <f aca="false">'Daily KPI Entry'!X111</f>
        <v>0</v>
      </c>
      <c r="Y110" s="49" t="n">
        <f aca="false">'Daily KPI Entry'!Y111</f>
        <v>0</v>
      </c>
      <c r="Z110" s="49" t="n">
        <f aca="false">'Daily KPI Entry'!Z111</f>
        <v>0</v>
      </c>
      <c r="AA110" s="49" t="n">
        <f aca="false">'Daily KPI Entry'!AA111</f>
        <v>0</v>
      </c>
      <c r="AB110" s="49" t="n">
        <f aca="false">'Daily KPI Entry'!AB111</f>
        <v>0</v>
      </c>
      <c r="AC110" s="49" t="n">
        <f aca="false">'Daily KPI Entry'!AC111</f>
        <v>0</v>
      </c>
      <c r="AD110" s="49" t="n">
        <f aca="false">'Daily KPI Entry'!AD111</f>
        <v>0</v>
      </c>
      <c r="AE110" s="49" t="n">
        <f aca="false">'Daily KPI Entry'!AE111</f>
        <v>0</v>
      </c>
      <c r="AF110" s="47" t="str">
        <f aca="false">IF(O110="","",SUM(X110:AE110))</f>
        <v/>
      </c>
      <c r="AG110" s="49" t="str">
        <f aca="false">IF(O110="","",IFERROR(AF110/O110*1000,0))</f>
        <v/>
      </c>
      <c r="AH110" s="49" t="n">
        <f aca="false">'Daily KPI Entry'!AH111</f>
        <v>0</v>
      </c>
      <c r="AI110" s="49" t="n">
        <f aca="false">'Daily KPI Entry'!AI111</f>
        <v>0</v>
      </c>
      <c r="AJ110" s="49" t="n">
        <f aca="false">'Daily KPI Entry'!AJ111</f>
        <v>0</v>
      </c>
      <c r="AK110" s="47" t="n">
        <f aca="false">'Daily KPI Entry'!AK111</f>
        <v>0</v>
      </c>
      <c r="AL110" s="47" t="n">
        <f aca="false">'Daily KPI Entry'!AL111</f>
        <v>0</v>
      </c>
      <c r="AM110" s="47" t="n">
        <f aca="false">'Daily KPI Entry'!AM111</f>
        <v>0</v>
      </c>
      <c r="AN110" s="49" t="str">
        <f aca="false">IF(P110="","",MIN(120,P110))</f>
        <v/>
      </c>
      <c r="AO110" s="49" t="str">
        <f aca="false">IF(U110="","",MIN(120,U110))</f>
        <v/>
      </c>
      <c r="AP110" s="49" t="str">
        <f aca="false">IF(R110="","",MIN(120,IFERROR(S110/R110*100,0)))</f>
        <v/>
      </c>
      <c r="AQ110" s="49" t="str">
        <f aca="false">IF(W110="","",MIN(120,IF(W110=0,120,100*(INDEX('Standards &amp; Scoring'!$E$5:$E$13,MATCH("Quality / Rejection",'Standards &amp; Scoring'!$A$5:$A$13,0))/W110))))</f>
        <v/>
      </c>
      <c r="AR110" s="49" t="str">
        <f aca="false">IF(AG110="","",MIN(120,IF(AG110=0,120,100*(INDEX('Standards &amp; Scoring'!$E$5:$E$13,MATCH("Fault Control",'Standards &amp; Scoring'!$A$5:$A$13,0))/AG110))))</f>
        <v/>
      </c>
      <c r="AS110" s="49" t="str">
        <f aca="false">IF(O110="","",MIN(120,IF(SUMIFS('Fault &amp; Downtime Entry'!$L$6:$L$1005,'Fault &amp; Downtime Entry'!$E$6:$E$1005,G110,'Fault &amp; Downtime Entry'!$B$6:$B$1005,B110)=0,120,100*(INDEX('Standards &amp; Scoring'!$E$5:$E$13,MATCH("Downtime Control",'Standards &amp; Scoring'!$A$5:$A$13,0))/IFERROR(SUMIFS('Fault &amp; Downtime Entry'!$L$6:$L$1005,'Fault &amp; Downtime Entry'!$E$6:$E$1005,G110,'Fault &amp; Downtime Entry'!$B$6:$B$1005,B110)/O110*1000,999999)))))</f>
        <v/>
      </c>
      <c r="AT110" s="49" t="n">
        <f aca="false">IF(COUNTA(AH110,AJ110)=0,"",MIN(120,IF(AND(AH110&lt;&gt;"",AJ110&lt;&gt;""),AVERAGE(AH110,AJ110),IF(AH110&lt;&gt;"",AH110,AJ110))))</f>
        <v>0</v>
      </c>
      <c r="AU110" s="49" t="str">
        <f aca="false">IF(AI110="","",MIN(120,AI110))</f>
        <v/>
      </c>
      <c r="AV110" s="49" t="str">
        <f aca="false">IF(AJ110="","",MIN(120,AJ110))</f>
        <v/>
      </c>
      <c r="AW110" s="50" t="str">
        <f aca="false">IF(COUNT(AN110:AV110)&lt;9,"",(AN110*'Standards &amp; Scoring'!$D$5+AO110*'Standards &amp; Scoring'!$D$6+AP110*'Standards &amp; Scoring'!$D$7+AQ110*'Standards &amp; Scoring'!$D$8+AR110*'Standards &amp; Scoring'!$D$9+AS110*'Standards &amp; Scoring'!$D$10+AT110*'Standards &amp; Scoring'!$D$11+AU110*'Standards &amp; Scoring'!$D$12+AV110*'Standards &amp; Scoring'!$D$13)/10000)</f>
        <v/>
      </c>
      <c r="AX110" s="47" t="str">
        <f aca="false">IF(AW110="","",IF(AW110&gt;=1.05,"A+",IF(AW110&gt;=1,"A",IF(AW110&gt;=0.95,"B+",IF(AW110&gt;=0.9,"B","C")))))</f>
        <v/>
      </c>
      <c r="AY110" s="47" t="str">
        <f aca="false">IF(AX110="","",IF(AX110="A+",1800,IF(AX110="A",1600,IF(AX110="B+",1400,IF(AX110="B",1200,0)))))</f>
        <v/>
      </c>
      <c r="AZ110" s="49" t="str">
        <f aca="false">IF(OR(L110="",M110="",S110="",M110=0),"",IFERROR(L110*60*S110/(M110*36),0))</f>
        <v/>
      </c>
    </row>
    <row r="111" customFormat="false" ht="15" hidden="false" customHeight="true" outlineLevel="0" collapsed="false">
      <c r="A111" s="47" t="n">
        <f aca="false">'Daily KPI Entry'!A112</f>
        <v>0</v>
      </c>
      <c r="B111" s="48" t="n">
        <f aca="false">'Daily KPI Entry'!B112</f>
        <v>0</v>
      </c>
      <c r="C111" s="47" t="n">
        <f aca="false">'Daily KPI Entry'!C112</f>
        <v>0</v>
      </c>
      <c r="D111" s="47" t="n">
        <f aca="false">'Daily KPI Entry'!D112</f>
        <v>0</v>
      </c>
      <c r="E111" s="47" t="n">
        <f aca="false">'Daily KPI Entry'!E112</f>
        <v>0</v>
      </c>
      <c r="F111" s="47" t="n">
        <f aca="false">'Daily KPI Entry'!F112</f>
        <v>0</v>
      </c>
      <c r="G111" s="47" t="n">
        <f aca="false">'Daily KPI Entry'!G112</f>
        <v>0</v>
      </c>
      <c r="H111" s="47" t="str">
        <f aca="false">'Daily KPI Entry'!H112</f>
        <v/>
      </c>
      <c r="I111" s="47" t="n">
        <f aca="false">'Daily KPI Entry'!I112</f>
        <v>0</v>
      </c>
      <c r="J111" s="47" t="n">
        <f aca="false">'Daily KPI Entry'!J112</f>
        <v>0</v>
      </c>
      <c r="K111" s="47" t="n">
        <f aca="false">'Daily KPI Entry'!K112</f>
        <v>0</v>
      </c>
      <c r="L111" s="47" t="n">
        <f aca="false">'Daily KPI Entry'!L112</f>
        <v>0</v>
      </c>
      <c r="M111" s="47" t="n">
        <f aca="false">'Daily KPI Entry'!M112</f>
        <v>0</v>
      </c>
      <c r="N111" s="49" t="n">
        <f aca="false">'Daily KPI Entry'!N112</f>
        <v>0</v>
      </c>
      <c r="O111" s="49" t="n">
        <f aca="false">'Daily KPI Entry'!O112</f>
        <v>0</v>
      </c>
      <c r="P111" s="49" t="str">
        <f aca="false">IF(OR(N111="",O111=""),"",IFERROR(O111/N111*100,0))</f>
        <v/>
      </c>
      <c r="Q111" s="47" t="n">
        <f aca="false">'Daily KPI Entry'!Q112</f>
        <v>8</v>
      </c>
      <c r="R111" s="47" t="str">
        <f aca="false">IF(J111="","",Q111*J111)</f>
        <v/>
      </c>
      <c r="S111" s="49" t="n">
        <f aca="false">'Daily KPI Entry'!S112</f>
        <v>0</v>
      </c>
      <c r="T111" s="49" t="str">
        <f aca="false">IF(OR(R111="",S111=""),"",IFERROR(S111/R111*100,0))</f>
        <v/>
      </c>
      <c r="U111" s="49" t="str">
        <f aca="false">IF(OR(O111="",L111="",M111="",S111="",M111=0),"",IFERROR(O111/(L111*60*S111/(M111*36))*100,0))</f>
        <v/>
      </c>
      <c r="V111" s="49" t="n">
        <f aca="false">'Daily KPI Entry'!V112</f>
        <v>0</v>
      </c>
      <c r="W111" s="49" t="str">
        <f aca="false">IF(O111="","",IFERROR(V111/O111*100,0))</f>
        <v/>
      </c>
      <c r="X111" s="49" t="n">
        <f aca="false">'Daily KPI Entry'!X112</f>
        <v>0</v>
      </c>
      <c r="Y111" s="49" t="n">
        <f aca="false">'Daily KPI Entry'!Y112</f>
        <v>0</v>
      </c>
      <c r="Z111" s="49" t="n">
        <f aca="false">'Daily KPI Entry'!Z112</f>
        <v>0</v>
      </c>
      <c r="AA111" s="49" t="n">
        <f aca="false">'Daily KPI Entry'!AA112</f>
        <v>0</v>
      </c>
      <c r="AB111" s="49" t="n">
        <f aca="false">'Daily KPI Entry'!AB112</f>
        <v>0</v>
      </c>
      <c r="AC111" s="49" t="n">
        <f aca="false">'Daily KPI Entry'!AC112</f>
        <v>0</v>
      </c>
      <c r="AD111" s="49" t="n">
        <f aca="false">'Daily KPI Entry'!AD112</f>
        <v>0</v>
      </c>
      <c r="AE111" s="49" t="n">
        <f aca="false">'Daily KPI Entry'!AE112</f>
        <v>0</v>
      </c>
      <c r="AF111" s="47" t="str">
        <f aca="false">IF(O111="","",SUM(X111:AE111))</f>
        <v/>
      </c>
      <c r="AG111" s="49" t="str">
        <f aca="false">IF(O111="","",IFERROR(AF111/O111*1000,0))</f>
        <v/>
      </c>
      <c r="AH111" s="49" t="n">
        <f aca="false">'Daily KPI Entry'!AH112</f>
        <v>0</v>
      </c>
      <c r="AI111" s="49" t="n">
        <f aca="false">'Daily KPI Entry'!AI112</f>
        <v>0</v>
      </c>
      <c r="AJ111" s="49" t="n">
        <f aca="false">'Daily KPI Entry'!AJ112</f>
        <v>0</v>
      </c>
      <c r="AK111" s="47" t="n">
        <f aca="false">'Daily KPI Entry'!AK112</f>
        <v>0</v>
      </c>
      <c r="AL111" s="47" t="n">
        <f aca="false">'Daily KPI Entry'!AL112</f>
        <v>0</v>
      </c>
      <c r="AM111" s="47" t="n">
        <f aca="false">'Daily KPI Entry'!AM112</f>
        <v>0</v>
      </c>
      <c r="AN111" s="49" t="str">
        <f aca="false">IF(P111="","",MIN(120,P111))</f>
        <v/>
      </c>
      <c r="AO111" s="49" t="str">
        <f aca="false">IF(U111="","",MIN(120,U111))</f>
        <v/>
      </c>
      <c r="AP111" s="49" t="str">
        <f aca="false">IF(R111="","",MIN(120,IFERROR(S111/R111*100,0)))</f>
        <v/>
      </c>
      <c r="AQ111" s="49" t="str">
        <f aca="false">IF(W111="","",MIN(120,IF(W111=0,120,100*(INDEX('Standards &amp; Scoring'!$E$5:$E$13,MATCH("Quality / Rejection",'Standards &amp; Scoring'!$A$5:$A$13,0))/W111))))</f>
        <v/>
      </c>
      <c r="AR111" s="49" t="str">
        <f aca="false">IF(AG111="","",MIN(120,IF(AG111=0,120,100*(INDEX('Standards &amp; Scoring'!$E$5:$E$13,MATCH("Fault Control",'Standards &amp; Scoring'!$A$5:$A$13,0))/AG111))))</f>
        <v/>
      </c>
      <c r="AS111" s="49" t="str">
        <f aca="false">IF(O111="","",MIN(120,IF(SUMIFS('Fault &amp; Downtime Entry'!$L$6:$L$1005,'Fault &amp; Downtime Entry'!$E$6:$E$1005,G111,'Fault &amp; Downtime Entry'!$B$6:$B$1005,B111)=0,120,100*(INDEX('Standards &amp; Scoring'!$E$5:$E$13,MATCH("Downtime Control",'Standards &amp; Scoring'!$A$5:$A$13,0))/IFERROR(SUMIFS('Fault &amp; Downtime Entry'!$L$6:$L$1005,'Fault &amp; Downtime Entry'!$E$6:$E$1005,G111,'Fault &amp; Downtime Entry'!$B$6:$B$1005,B111)/O111*1000,999999)))))</f>
        <v/>
      </c>
      <c r="AT111" s="49" t="n">
        <f aca="false">IF(COUNTA(AH111,AJ111)=0,"",MIN(120,IF(AND(AH111&lt;&gt;"",AJ111&lt;&gt;""),AVERAGE(AH111,AJ111),IF(AH111&lt;&gt;"",AH111,AJ111))))</f>
        <v>0</v>
      </c>
      <c r="AU111" s="49" t="str">
        <f aca="false">IF(AI111="","",MIN(120,AI111))</f>
        <v/>
      </c>
      <c r="AV111" s="49" t="str">
        <f aca="false">IF(AJ111="","",MIN(120,AJ111))</f>
        <v/>
      </c>
      <c r="AW111" s="50" t="str">
        <f aca="false">IF(COUNT(AN111:AV111)&lt;9,"",(AN111*'Standards &amp; Scoring'!$D$5+AO111*'Standards &amp; Scoring'!$D$6+AP111*'Standards &amp; Scoring'!$D$7+AQ111*'Standards &amp; Scoring'!$D$8+AR111*'Standards &amp; Scoring'!$D$9+AS111*'Standards &amp; Scoring'!$D$10+AT111*'Standards &amp; Scoring'!$D$11+AU111*'Standards &amp; Scoring'!$D$12+AV111*'Standards &amp; Scoring'!$D$13)/10000)</f>
        <v/>
      </c>
      <c r="AX111" s="47" t="str">
        <f aca="false">IF(AW111="","",IF(AW111&gt;=1.05,"A+",IF(AW111&gt;=1,"A",IF(AW111&gt;=0.95,"B+",IF(AW111&gt;=0.9,"B","C")))))</f>
        <v/>
      </c>
      <c r="AY111" s="47" t="str">
        <f aca="false">IF(AX111="","",IF(AX111="A+",1800,IF(AX111="A",1600,IF(AX111="B+",1400,IF(AX111="B",1200,0)))))</f>
        <v/>
      </c>
      <c r="AZ111" s="49" t="str">
        <f aca="false">IF(OR(L111="",M111="",S111="",M111=0),"",IFERROR(L111*60*S111/(M111*36),0))</f>
        <v/>
      </c>
    </row>
    <row r="112" customFormat="false" ht="15" hidden="false" customHeight="true" outlineLevel="0" collapsed="false">
      <c r="A112" s="47" t="n">
        <f aca="false">'Daily KPI Entry'!A113</f>
        <v>0</v>
      </c>
      <c r="B112" s="48" t="n">
        <f aca="false">'Daily KPI Entry'!B113</f>
        <v>0</v>
      </c>
      <c r="C112" s="47" t="n">
        <f aca="false">'Daily KPI Entry'!C113</f>
        <v>0</v>
      </c>
      <c r="D112" s="47" t="n">
        <f aca="false">'Daily KPI Entry'!D113</f>
        <v>0</v>
      </c>
      <c r="E112" s="47" t="n">
        <f aca="false">'Daily KPI Entry'!E113</f>
        <v>0</v>
      </c>
      <c r="F112" s="47" t="n">
        <f aca="false">'Daily KPI Entry'!F113</f>
        <v>0</v>
      </c>
      <c r="G112" s="47" t="n">
        <f aca="false">'Daily KPI Entry'!G113</f>
        <v>0</v>
      </c>
      <c r="H112" s="47" t="str">
        <f aca="false">'Daily KPI Entry'!H113</f>
        <v/>
      </c>
      <c r="I112" s="47" t="n">
        <f aca="false">'Daily KPI Entry'!I113</f>
        <v>0</v>
      </c>
      <c r="J112" s="47" t="n">
        <f aca="false">'Daily KPI Entry'!J113</f>
        <v>0</v>
      </c>
      <c r="K112" s="47" t="n">
        <f aca="false">'Daily KPI Entry'!K113</f>
        <v>0</v>
      </c>
      <c r="L112" s="47" t="n">
        <f aca="false">'Daily KPI Entry'!L113</f>
        <v>0</v>
      </c>
      <c r="M112" s="47" t="n">
        <f aca="false">'Daily KPI Entry'!M113</f>
        <v>0</v>
      </c>
      <c r="N112" s="49" t="n">
        <f aca="false">'Daily KPI Entry'!N113</f>
        <v>0</v>
      </c>
      <c r="O112" s="49" t="n">
        <f aca="false">'Daily KPI Entry'!O113</f>
        <v>0</v>
      </c>
      <c r="P112" s="49" t="str">
        <f aca="false">IF(OR(N112="",O112=""),"",IFERROR(O112/N112*100,0))</f>
        <v/>
      </c>
      <c r="Q112" s="47" t="n">
        <f aca="false">'Daily KPI Entry'!Q113</f>
        <v>8</v>
      </c>
      <c r="R112" s="47" t="str">
        <f aca="false">IF(J112="","",Q112*J112)</f>
        <v/>
      </c>
      <c r="S112" s="49" t="n">
        <f aca="false">'Daily KPI Entry'!S113</f>
        <v>0</v>
      </c>
      <c r="T112" s="49" t="str">
        <f aca="false">IF(OR(R112="",S112=""),"",IFERROR(S112/R112*100,0))</f>
        <v/>
      </c>
      <c r="U112" s="49" t="str">
        <f aca="false">IF(OR(O112="",L112="",M112="",S112="",M112=0),"",IFERROR(O112/(L112*60*S112/(M112*36))*100,0))</f>
        <v/>
      </c>
      <c r="V112" s="49" t="n">
        <f aca="false">'Daily KPI Entry'!V113</f>
        <v>0</v>
      </c>
      <c r="W112" s="49" t="str">
        <f aca="false">IF(O112="","",IFERROR(V112/O112*100,0))</f>
        <v/>
      </c>
      <c r="X112" s="49" t="n">
        <f aca="false">'Daily KPI Entry'!X113</f>
        <v>0</v>
      </c>
      <c r="Y112" s="49" t="n">
        <f aca="false">'Daily KPI Entry'!Y113</f>
        <v>0</v>
      </c>
      <c r="Z112" s="49" t="n">
        <f aca="false">'Daily KPI Entry'!Z113</f>
        <v>0</v>
      </c>
      <c r="AA112" s="49" t="n">
        <f aca="false">'Daily KPI Entry'!AA113</f>
        <v>0</v>
      </c>
      <c r="AB112" s="49" t="n">
        <f aca="false">'Daily KPI Entry'!AB113</f>
        <v>0</v>
      </c>
      <c r="AC112" s="49" t="n">
        <f aca="false">'Daily KPI Entry'!AC113</f>
        <v>0</v>
      </c>
      <c r="AD112" s="49" t="n">
        <f aca="false">'Daily KPI Entry'!AD113</f>
        <v>0</v>
      </c>
      <c r="AE112" s="49" t="n">
        <f aca="false">'Daily KPI Entry'!AE113</f>
        <v>0</v>
      </c>
      <c r="AF112" s="47" t="str">
        <f aca="false">IF(O112="","",SUM(X112:AE112))</f>
        <v/>
      </c>
      <c r="AG112" s="49" t="str">
        <f aca="false">IF(O112="","",IFERROR(AF112/O112*1000,0))</f>
        <v/>
      </c>
      <c r="AH112" s="49" t="n">
        <f aca="false">'Daily KPI Entry'!AH113</f>
        <v>0</v>
      </c>
      <c r="AI112" s="49" t="n">
        <f aca="false">'Daily KPI Entry'!AI113</f>
        <v>0</v>
      </c>
      <c r="AJ112" s="49" t="n">
        <f aca="false">'Daily KPI Entry'!AJ113</f>
        <v>0</v>
      </c>
      <c r="AK112" s="47" t="n">
        <f aca="false">'Daily KPI Entry'!AK113</f>
        <v>0</v>
      </c>
      <c r="AL112" s="47" t="n">
        <f aca="false">'Daily KPI Entry'!AL113</f>
        <v>0</v>
      </c>
      <c r="AM112" s="47" t="n">
        <f aca="false">'Daily KPI Entry'!AM113</f>
        <v>0</v>
      </c>
      <c r="AN112" s="49" t="str">
        <f aca="false">IF(P112="","",MIN(120,P112))</f>
        <v/>
      </c>
      <c r="AO112" s="49" t="str">
        <f aca="false">IF(U112="","",MIN(120,U112))</f>
        <v/>
      </c>
      <c r="AP112" s="49" t="str">
        <f aca="false">IF(R112="","",MIN(120,IFERROR(S112/R112*100,0)))</f>
        <v/>
      </c>
      <c r="AQ112" s="49" t="str">
        <f aca="false">IF(W112="","",MIN(120,IF(W112=0,120,100*(INDEX('Standards &amp; Scoring'!$E$5:$E$13,MATCH("Quality / Rejection",'Standards &amp; Scoring'!$A$5:$A$13,0))/W112))))</f>
        <v/>
      </c>
      <c r="AR112" s="49" t="str">
        <f aca="false">IF(AG112="","",MIN(120,IF(AG112=0,120,100*(INDEX('Standards &amp; Scoring'!$E$5:$E$13,MATCH("Fault Control",'Standards &amp; Scoring'!$A$5:$A$13,0))/AG112))))</f>
        <v/>
      </c>
      <c r="AS112" s="49" t="str">
        <f aca="false">IF(O112="","",MIN(120,IF(SUMIFS('Fault &amp; Downtime Entry'!$L$6:$L$1005,'Fault &amp; Downtime Entry'!$E$6:$E$1005,G112,'Fault &amp; Downtime Entry'!$B$6:$B$1005,B112)=0,120,100*(INDEX('Standards &amp; Scoring'!$E$5:$E$13,MATCH("Downtime Control",'Standards &amp; Scoring'!$A$5:$A$13,0))/IFERROR(SUMIFS('Fault &amp; Downtime Entry'!$L$6:$L$1005,'Fault &amp; Downtime Entry'!$E$6:$E$1005,G112,'Fault &amp; Downtime Entry'!$B$6:$B$1005,B112)/O112*1000,999999)))))</f>
        <v/>
      </c>
      <c r="AT112" s="49" t="n">
        <f aca="false">IF(COUNTA(AH112,AJ112)=0,"",MIN(120,IF(AND(AH112&lt;&gt;"",AJ112&lt;&gt;""),AVERAGE(AH112,AJ112),IF(AH112&lt;&gt;"",AH112,AJ112))))</f>
        <v>0</v>
      </c>
      <c r="AU112" s="49" t="str">
        <f aca="false">IF(AI112="","",MIN(120,AI112))</f>
        <v/>
      </c>
      <c r="AV112" s="49" t="str">
        <f aca="false">IF(AJ112="","",MIN(120,AJ112))</f>
        <v/>
      </c>
      <c r="AW112" s="50" t="str">
        <f aca="false">IF(COUNT(AN112:AV112)&lt;9,"",(AN112*'Standards &amp; Scoring'!$D$5+AO112*'Standards &amp; Scoring'!$D$6+AP112*'Standards &amp; Scoring'!$D$7+AQ112*'Standards &amp; Scoring'!$D$8+AR112*'Standards &amp; Scoring'!$D$9+AS112*'Standards &amp; Scoring'!$D$10+AT112*'Standards &amp; Scoring'!$D$11+AU112*'Standards &amp; Scoring'!$D$12+AV112*'Standards &amp; Scoring'!$D$13)/10000)</f>
        <v/>
      </c>
      <c r="AX112" s="47" t="str">
        <f aca="false">IF(AW112="","",IF(AW112&gt;=1.05,"A+",IF(AW112&gt;=1,"A",IF(AW112&gt;=0.95,"B+",IF(AW112&gt;=0.9,"B","C")))))</f>
        <v/>
      </c>
      <c r="AY112" s="47" t="str">
        <f aca="false">IF(AX112="","",IF(AX112="A+",1800,IF(AX112="A",1600,IF(AX112="B+",1400,IF(AX112="B",1200,0)))))</f>
        <v/>
      </c>
      <c r="AZ112" s="49" t="str">
        <f aca="false">IF(OR(L112="",M112="",S112="",M112=0),"",IFERROR(L112*60*S112/(M112*36),0))</f>
        <v/>
      </c>
    </row>
    <row r="113" customFormat="false" ht="15" hidden="false" customHeight="true" outlineLevel="0" collapsed="false">
      <c r="A113" s="47" t="n">
        <f aca="false">'Daily KPI Entry'!A114</f>
        <v>0</v>
      </c>
      <c r="B113" s="48" t="n">
        <f aca="false">'Daily KPI Entry'!B114</f>
        <v>0</v>
      </c>
      <c r="C113" s="47" t="n">
        <f aca="false">'Daily KPI Entry'!C114</f>
        <v>0</v>
      </c>
      <c r="D113" s="47" t="n">
        <f aca="false">'Daily KPI Entry'!D114</f>
        <v>0</v>
      </c>
      <c r="E113" s="47" t="n">
        <f aca="false">'Daily KPI Entry'!E114</f>
        <v>0</v>
      </c>
      <c r="F113" s="47" t="n">
        <f aca="false">'Daily KPI Entry'!F114</f>
        <v>0</v>
      </c>
      <c r="G113" s="47" t="n">
        <f aca="false">'Daily KPI Entry'!G114</f>
        <v>0</v>
      </c>
      <c r="H113" s="47" t="str">
        <f aca="false">'Daily KPI Entry'!H114</f>
        <v/>
      </c>
      <c r="I113" s="47" t="n">
        <f aca="false">'Daily KPI Entry'!I114</f>
        <v>0</v>
      </c>
      <c r="J113" s="47" t="n">
        <f aca="false">'Daily KPI Entry'!J114</f>
        <v>0</v>
      </c>
      <c r="K113" s="47" t="n">
        <f aca="false">'Daily KPI Entry'!K114</f>
        <v>0</v>
      </c>
      <c r="L113" s="47" t="n">
        <f aca="false">'Daily KPI Entry'!L114</f>
        <v>0</v>
      </c>
      <c r="M113" s="47" t="n">
        <f aca="false">'Daily KPI Entry'!M114</f>
        <v>0</v>
      </c>
      <c r="N113" s="49" t="n">
        <f aca="false">'Daily KPI Entry'!N114</f>
        <v>0</v>
      </c>
      <c r="O113" s="49" t="n">
        <f aca="false">'Daily KPI Entry'!O114</f>
        <v>0</v>
      </c>
      <c r="P113" s="49" t="str">
        <f aca="false">IF(OR(N113="",O113=""),"",IFERROR(O113/N113*100,0))</f>
        <v/>
      </c>
      <c r="Q113" s="47" t="n">
        <f aca="false">'Daily KPI Entry'!Q114</f>
        <v>8</v>
      </c>
      <c r="R113" s="47" t="str">
        <f aca="false">IF(J113="","",Q113*J113)</f>
        <v/>
      </c>
      <c r="S113" s="49" t="n">
        <f aca="false">'Daily KPI Entry'!S114</f>
        <v>0</v>
      </c>
      <c r="T113" s="49" t="str">
        <f aca="false">IF(OR(R113="",S113=""),"",IFERROR(S113/R113*100,0))</f>
        <v/>
      </c>
      <c r="U113" s="49" t="str">
        <f aca="false">IF(OR(O113="",L113="",M113="",S113="",M113=0),"",IFERROR(O113/(L113*60*S113/(M113*36))*100,0))</f>
        <v/>
      </c>
      <c r="V113" s="49" t="n">
        <f aca="false">'Daily KPI Entry'!V114</f>
        <v>0</v>
      </c>
      <c r="W113" s="49" t="str">
        <f aca="false">IF(O113="","",IFERROR(V113/O113*100,0))</f>
        <v/>
      </c>
      <c r="X113" s="49" t="n">
        <f aca="false">'Daily KPI Entry'!X114</f>
        <v>0</v>
      </c>
      <c r="Y113" s="49" t="n">
        <f aca="false">'Daily KPI Entry'!Y114</f>
        <v>0</v>
      </c>
      <c r="Z113" s="49" t="n">
        <f aca="false">'Daily KPI Entry'!Z114</f>
        <v>0</v>
      </c>
      <c r="AA113" s="49" t="n">
        <f aca="false">'Daily KPI Entry'!AA114</f>
        <v>0</v>
      </c>
      <c r="AB113" s="49" t="n">
        <f aca="false">'Daily KPI Entry'!AB114</f>
        <v>0</v>
      </c>
      <c r="AC113" s="49" t="n">
        <f aca="false">'Daily KPI Entry'!AC114</f>
        <v>0</v>
      </c>
      <c r="AD113" s="49" t="n">
        <f aca="false">'Daily KPI Entry'!AD114</f>
        <v>0</v>
      </c>
      <c r="AE113" s="49" t="n">
        <f aca="false">'Daily KPI Entry'!AE114</f>
        <v>0</v>
      </c>
      <c r="AF113" s="47" t="str">
        <f aca="false">IF(O113="","",SUM(X113:AE113))</f>
        <v/>
      </c>
      <c r="AG113" s="49" t="str">
        <f aca="false">IF(O113="","",IFERROR(AF113/O113*1000,0))</f>
        <v/>
      </c>
      <c r="AH113" s="49" t="n">
        <f aca="false">'Daily KPI Entry'!AH114</f>
        <v>0</v>
      </c>
      <c r="AI113" s="49" t="n">
        <f aca="false">'Daily KPI Entry'!AI114</f>
        <v>0</v>
      </c>
      <c r="AJ113" s="49" t="n">
        <f aca="false">'Daily KPI Entry'!AJ114</f>
        <v>0</v>
      </c>
      <c r="AK113" s="47" t="n">
        <f aca="false">'Daily KPI Entry'!AK114</f>
        <v>0</v>
      </c>
      <c r="AL113" s="47" t="n">
        <f aca="false">'Daily KPI Entry'!AL114</f>
        <v>0</v>
      </c>
      <c r="AM113" s="47" t="n">
        <f aca="false">'Daily KPI Entry'!AM114</f>
        <v>0</v>
      </c>
      <c r="AN113" s="49" t="str">
        <f aca="false">IF(P113="","",MIN(120,P113))</f>
        <v/>
      </c>
      <c r="AO113" s="49" t="str">
        <f aca="false">IF(U113="","",MIN(120,U113))</f>
        <v/>
      </c>
      <c r="AP113" s="49" t="str">
        <f aca="false">IF(R113="","",MIN(120,IFERROR(S113/R113*100,0)))</f>
        <v/>
      </c>
      <c r="AQ113" s="49" t="str">
        <f aca="false">IF(W113="","",MIN(120,IF(W113=0,120,100*(INDEX('Standards &amp; Scoring'!$E$5:$E$13,MATCH("Quality / Rejection",'Standards &amp; Scoring'!$A$5:$A$13,0))/W113))))</f>
        <v/>
      </c>
      <c r="AR113" s="49" t="str">
        <f aca="false">IF(AG113="","",MIN(120,IF(AG113=0,120,100*(INDEX('Standards &amp; Scoring'!$E$5:$E$13,MATCH("Fault Control",'Standards &amp; Scoring'!$A$5:$A$13,0))/AG113))))</f>
        <v/>
      </c>
      <c r="AS113" s="49" t="str">
        <f aca="false">IF(O113="","",MIN(120,IF(SUMIFS('Fault &amp; Downtime Entry'!$L$6:$L$1005,'Fault &amp; Downtime Entry'!$E$6:$E$1005,G113,'Fault &amp; Downtime Entry'!$B$6:$B$1005,B113)=0,120,100*(INDEX('Standards &amp; Scoring'!$E$5:$E$13,MATCH("Downtime Control",'Standards &amp; Scoring'!$A$5:$A$13,0))/IFERROR(SUMIFS('Fault &amp; Downtime Entry'!$L$6:$L$1005,'Fault &amp; Downtime Entry'!$E$6:$E$1005,G113,'Fault &amp; Downtime Entry'!$B$6:$B$1005,B113)/O113*1000,999999)))))</f>
        <v/>
      </c>
      <c r="AT113" s="49" t="n">
        <f aca="false">IF(COUNTA(AH113,AJ113)=0,"",MIN(120,IF(AND(AH113&lt;&gt;"",AJ113&lt;&gt;""),AVERAGE(AH113,AJ113),IF(AH113&lt;&gt;"",AH113,AJ113))))</f>
        <v>0</v>
      </c>
      <c r="AU113" s="49" t="str">
        <f aca="false">IF(AI113="","",MIN(120,AI113))</f>
        <v/>
      </c>
      <c r="AV113" s="49" t="str">
        <f aca="false">IF(AJ113="","",MIN(120,AJ113))</f>
        <v/>
      </c>
      <c r="AW113" s="50" t="str">
        <f aca="false">IF(COUNT(AN113:AV113)&lt;9,"",(AN113*'Standards &amp; Scoring'!$D$5+AO113*'Standards &amp; Scoring'!$D$6+AP113*'Standards &amp; Scoring'!$D$7+AQ113*'Standards &amp; Scoring'!$D$8+AR113*'Standards &amp; Scoring'!$D$9+AS113*'Standards &amp; Scoring'!$D$10+AT113*'Standards &amp; Scoring'!$D$11+AU113*'Standards &amp; Scoring'!$D$12+AV113*'Standards &amp; Scoring'!$D$13)/10000)</f>
        <v/>
      </c>
      <c r="AX113" s="47" t="str">
        <f aca="false">IF(AW113="","",IF(AW113&gt;=1.05,"A+",IF(AW113&gt;=1,"A",IF(AW113&gt;=0.95,"B+",IF(AW113&gt;=0.9,"B","C")))))</f>
        <v/>
      </c>
      <c r="AY113" s="47" t="str">
        <f aca="false">IF(AX113="","",IF(AX113="A+",1800,IF(AX113="A",1600,IF(AX113="B+",1400,IF(AX113="B",1200,0)))))</f>
        <v/>
      </c>
      <c r="AZ113" s="49" t="str">
        <f aca="false">IF(OR(L113="",M113="",S113="",M113=0),"",IFERROR(L113*60*S113/(M113*36),0))</f>
        <v/>
      </c>
    </row>
    <row r="114" customFormat="false" ht="15" hidden="false" customHeight="true" outlineLevel="0" collapsed="false">
      <c r="A114" s="47" t="n">
        <f aca="false">'Daily KPI Entry'!A115</f>
        <v>0</v>
      </c>
      <c r="B114" s="48" t="n">
        <f aca="false">'Daily KPI Entry'!B115</f>
        <v>0</v>
      </c>
      <c r="C114" s="47" t="n">
        <f aca="false">'Daily KPI Entry'!C115</f>
        <v>0</v>
      </c>
      <c r="D114" s="47" t="n">
        <f aca="false">'Daily KPI Entry'!D115</f>
        <v>0</v>
      </c>
      <c r="E114" s="47" t="n">
        <f aca="false">'Daily KPI Entry'!E115</f>
        <v>0</v>
      </c>
      <c r="F114" s="47" t="n">
        <f aca="false">'Daily KPI Entry'!F115</f>
        <v>0</v>
      </c>
      <c r="G114" s="47" t="n">
        <f aca="false">'Daily KPI Entry'!G115</f>
        <v>0</v>
      </c>
      <c r="H114" s="47" t="str">
        <f aca="false">'Daily KPI Entry'!H115</f>
        <v/>
      </c>
      <c r="I114" s="47" t="n">
        <f aca="false">'Daily KPI Entry'!I115</f>
        <v>0</v>
      </c>
      <c r="J114" s="47" t="n">
        <f aca="false">'Daily KPI Entry'!J115</f>
        <v>0</v>
      </c>
      <c r="K114" s="47" t="n">
        <f aca="false">'Daily KPI Entry'!K115</f>
        <v>0</v>
      </c>
      <c r="L114" s="47" t="n">
        <f aca="false">'Daily KPI Entry'!L115</f>
        <v>0</v>
      </c>
      <c r="M114" s="47" t="n">
        <f aca="false">'Daily KPI Entry'!M115</f>
        <v>0</v>
      </c>
      <c r="N114" s="49" t="n">
        <f aca="false">'Daily KPI Entry'!N115</f>
        <v>0</v>
      </c>
      <c r="O114" s="49" t="n">
        <f aca="false">'Daily KPI Entry'!O115</f>
        <v>0</v>
      </c>
      <c r="P114" s="49" t="str">
        <f aca="false">IF(OR(N114="",O114=""),"",IFERROR(O114/N114*100,0))</f>
        <v/>
      </c>
      <c r="Q114" s="47" t="n">
        <f aca="false">'Daily KPI Entry'!Q115</f>
        <v>8</v>
      </c>
      <c r="R114" s="47" t="str">
        <f aca="false">IF(J114="","",Q114*J114)</f>
        <v/>
      </c>
      <c r="S114" s="49" t="n">
        <f aca="false">'Daily KPI Entry'!S115</f>
        <v>0</v>
      </c>
      <c r="T114" s="49" t="str">
        <f aca="false">IF(OR(R114="",S114=""),"",IFERROR(S114/R114*100,0))</f>
        <v/>
      </c>
      <c r="U114" s="49" t="str">
        <f aca="false">IF(OR(O114="",L114="",M114="",S114="",M114=0),"",IFERROR(O114/(L114*60*S114/(M114*36))*100,0))</f>
        <v/>
      </c>
      <c r="V114" s="49" t="n">
        <f aca="false">'Daily KPI Entry'!V115</f>
        <v>0</v>
      </c>
      <c r="W114" s="49" t="str">
        <f aca="false">IF(O114="","",IFERROR(V114/O114*100,0))</f>
        <v/>
      </c>
      <c r="X114" s="49" t="n">
        <f aca="false">'Daily KPI Entry'!X115</f>
        <v>0</v>
      </c>
      <c r="Y114" s="49" t="n">
        <f aca="false">'Daily KPI Entry'!Y115</f>
        <v>0</v>
      </c>
      <c r="Z114" s="49" t="n">
        <f aca="false">'Daily KPI Entry'!Z115</f>
        <v>0</v>
      </c>
      <c r="AA114" s="49" t="n">
        <f aca="false">'Daily KPI Entry'!AA115</f>
        <v>0</v>
      </c>
      <c r="AB114" s="49" t="n">
        <f aca="false">'Daily KPI Entry'!AB115</f>
        <v>0</v>
      </c>
      <c r="AC114" s="49" t="n">
        <f aca="false">'Daily KPI Entry'!AC115</f>
        <v>0</v>
      </c>
      <c r="AD114" s="49" t="n">
        <f aca="false">'Daily KPI Entry'!AD115</f>
        <v>0</v>
      </c>
      <c r="AE114" s="49" t="n">
        <f aca="false">'Daily KPI Entry'!AE115</f>
        <v>0</v>
      </c>
      <c r="AF114" s="47" t="str">
        <f aca="false">IF(O114="","",SUM(X114:AE114))</f>
        <v/>
      </c>
      <c r="AG114" s="49" t="str">
        <f aca="false">IF(O114="","",IFERROR(AF114/O114*1000,0))</f>
        <v/>
      </c>
      <c r="AH114" s="49" t="n">
        <f aca="false">'Daily KPI Entry'!AH115</f>
        <v>0</v>
      </c>
      <c r="AI114" s="49" t="n">
        <f aca="false">'Daily KPI Entry'!AI115</f>
        <v>0</v>
      </c>
      <c r="AJ114" s="49" t="n">
        <f aca="false">'Daily KPI Entry'!AJ115</f>
        <v>0</v>
      </c>
      <c r="AK114" s="47" t="n">
        <f aca="false">'Daily KPI Entry'!AK115</f>
        <v>0</v>
      </c>
      <c r="AL114" s="47" t="n">
        <f aca="false">'Daily KPI Entry'!AL115</f>
        <v>0</v>
      </c>
      <c r="AM114" s="47" t="n">
        <f aca="false">'Daily KPI Entry'!AM115</f>
        <v>0</v>
      </c>
      <c r="AN114" s="49" t="str">
        <f aca="false">IF(P114="","",MIN(120,P114))</f>
        <v/>
      </c>
      <c r="AO114" s="49" t="str">
        <f aca="false">IF(U114="","",MIN(120,U114))</f>
        <v/>
      </c>
      <c r="AP114" s="49" t="str">
        <f aca="false">IF(R114="","",MIN(120,IFERROR(S114/R114*100,0)))</f>
        <v/>
      </c>
      <c r="AQ114" s="49" t="str">
        <f aca="false">IF(W114="","",MIN(120,IF(W114=0,120,100*(INDEX('Standards &amp; Scoring'!$E$5:$E$13,MATCH("Quality / Rejection",'Standards &amp; Scoring'!$A$5:$A$13,0))/W114))))</f>
        <v/>
      </c>
      <c r="AR114" s="49" t="str">
        <f aca="false">IF(AG114="","",MIN(120,IF(AG114=0,120,100*(INDEX('Standards &amp; Scoring'!$E$5:$E$13,MATCH("Fault Control",'Standards &amp; Scoring'!$A$5:$A$13,0))/AG114))))</f>
        <v/>
      </c>
      <c r="AS114" s="49" t="str">
        <f aca="false">IF(O114="","",MIN(120,IF(SUMIFS('Fault &amp; Downtime Entry'!$L$6:$L$1005,'Fault &amp; Downtime Entry'!$E$6:$E$1005,G114,'Fault &amp; Downtime Entry'!$B$6:$B$1005,B114)=0,120,100*(INDEX('Standards &amp; Scoring'!$E$5:$E$13,MATCH("Downtime Control",'Standards &amp; Scoring'!$A$5:$A$13,0))/IFERROR(SUMIFS('Fault &amp; Downtime Entry'!$L$6:$L$1005,'Fault &amp; Downtime Entry'!$E$6:$E$1005,G114,'Fault &amp; Downtime Entry'!$B$6:$B$1005,B114)/O114*1000,999999)))))</f>
        <v/>
      </c>
      <c r="AT114" s="49" t="n">
        <f aca="false">IF(COUNTA(AH114,AJ114)=0,"",MIN(120,IF(AND(AH114&lt;&gt;"",AJ114&lt;&gt;""),AVERAGE(AH114,AJ114),IF(AH114&lt;&gt;"",AH114,AJ114))))</f>
        <v>0</v>
      </c>
      <c r="AU114" s="49" t="str">
        <f aca="false">IF(AI114="","",MIN(120,AI114))</f>
        <v/>
      </c>
      <c r="AV114" s="49" t="str">
        <f aca="false">IF(AJ114="","",MIN(120,AJ114))</f>
        <v/>
      </c>
      <c r="AW114" s="50" t="str">
        <f aca="false">IF(COUNT(AN114:AV114)&lt;9,"",(AN114*'Standards &amp; Scoring'!$D$5+AO114*'Standards &amp; Scoring'!$D$6+AP114*'Standards &amp; Scoring'!$D$7+AQ114*'Standards &amp; Scoring'!$D$8+AR114*'Standards &amp; Scoring'!$D$9+AS114*'Standards &amp; Scoring'!$D$10+AT114*'Standards &amp; Scoring'!$D$11+AU114*'Standards &amp; Scoring'!$D$12+AV114*'Standards &amp; Scoring'!$D$13)/10000)</f>
        <v/>
      </c>
      <c r="AX114" s="47" t="str">
        <f aca="false">IF(AW114="","",IF(AW114&gt;=1.05,"A+",IF(AW114&gt;=1,"A",IF(AW114&gt;=0.95,"B+",IF(AW114&gt;=0.9,"B","C")))))</f>
        <v/>
      </c>
      <c r="AY114" s="47" t="str">
        <f aca="false">IF(AX114="","",IF(AX114="A+",1800,IF(AX114="A",1600,IF(AX114="B+",1400,IF(AX114="B",1200,0)))))</f>
        <v/>
      </c>
      <c r="AZ114" s="49" t="str">
        <f aca="false">IF(OR(L114="",M114="",S114="",M114=0),"",IFERROR(L114*60*S114/(M114*36),0))</f>
        <v/>
      </c>
    </row>
    <row r="115" customFormat="false" ht="15" hidden="false" customHeight="true" outlineLevel="0" collapsed="false">
      <c r="A115" s="47" t="n">
        <f aca="false">'Daily KPI Entry'!A116</f>
        <v>0</v>
      </c>
      <c r="B115" s="48" t="n">
        <f aca="false">'Daily KPI Entry'!B116</f>
        <v>0</v>
      </c>
      <c r="C115" s="47" t="n">
        <f aca="false">'Daily KPI Entry'!C116</f>
        <v>0</v>
      </c>
      <c r="D115" s="47" t="n">
        <f aca="false">'Daily KPI Entry'!D116</f>
        <v>0</v>
      </c>
      <c r="E115" s="47" t="n">
        <f aca="false">'Daily KPI Entry'!E116</f>
        <v>0</v>
      </c>
      <c r="F115" s="47" t="n">
        <f aca="false">'Daily KPI Entry'!F116</f>
        <v>0</v>
      </c>
      <c r="G115" s="47" t="n">
        <f aca="false">'Daily KPI Entry'!G116</f>
        <v>0</v>
      </c>
      <c r="H115" s="47" t="str">
        <f aca="false">'Daily KPI Entry'!H116</f>
        <v/>
      </c>
      <c r="I115" s="47" t="n">
        <f aca="false">'Daily KPI Entry'!I116</f>
        <v>0</v>
      </c>
      <c r="J115" s="47" t="n">
        <f aca="false">'Daily KPI Entry'!J116</f>
        <v>0</v>
      </c>
      <c r="K115" s="47" t="n">
        <f aca="false">'Daily KPI Entry'!K116</f>
        <v>0</v>
      </c>
      <c r="L115" s="47" t="n">
        <f aca="false">'Daily KPI Entry'!L116</f>
        <v>0</v>
      </c>
      <c r="M115" s="47" t="n">
        <f aca="false">'Daily KPI Entry'!M116</f>
        <v>0</v>
      </c>
      <c r="N115" s="49" t="n">
        <f aca="false">'Daily KPI Entry'!N116</f>
        <v>0</v>
      </c>
      <c r="O115" s="49" t="n">
        <f aca="false">'Daily KPI Entry'!O116</f>
        <v>0</v>
      </c>
      <c r="P115" s="49" t="str">
        <f aca="false">IF(OR(N115="",O115=""),"",IFERROR(O115/N115*100,0))</f>
        <v/>
      </c>
      <c r="Q115" s="47" t="n">
        <f aca="false">'Daily KPI Entry'!Q116</f>
        <v>8</v>
      </c>
      <c r="R115" s="47" t="str">
        <f aca="false">IF(J115="","",Q115*J115)</f>
        <v/>
      </c>
      <c r="S115" s="49" t="n">
        <f aca="false">'Daily KPI Entry'!S116</f>
        <v>0</v>
      </c>
      <c r="T115" s="49" t="str">
        <f aca="false">IF(OR(R115="",S115=""),"",IFERROR(S115/R115*100,0))</f>
        <v/>
      </c>
      <c r="U115" s="49" t="str">
        <f aca="false">IF(OR(O115="",L115="",M115="",S115="",M115=0),"",IFERROR(O115/(L115*60*S115/(M115*36))*100,0))</f>
        <v/>
      </c>
      <c r="V115" s="49" t="n">
        <f aca="false">'Daily KPI Entry'!V116</f>
        <v>0</v>
      </c>
      <c r="W115" s="49" t="str">
        <f aca="false">IF(O115="","",IFERROR(V115/O115*100,0))</f>
        <v/>
      </c>
      <c r="X115" s="49" t="n">
        <f aca="false">'Daily KPI Entry'!X116</f>
        <v>0</v>
      </c>
      <c r="Y115" s="49" t="n">
        <f aca="false">'Daily KPI Entry'!Y116</f>
        <v>0</v>
      </c>
      <c r="Z115" s="49" t="n">
        <f aca="false">'Daily KPI Entry'!Z116</f>
        <v>0</v>
      </c>
      <c r="AA115" s="49" t="n">
        <f aca="false">'Daily KPI Entry'!AA116</f>
        <v>0</v>
      </c>
      <c r="AB115" s="49" t="n">
        <f aca="false">'Daily KPI Entry'!AB116</f>
        <v>0</v>
      </c>
      <c r="AC115" s="49" t="n">
        <f aca="false">'Daily KPI Entry'!AC116</f>
        <v>0</v>
      </c>
      <c r="AD115" s="49" t="n">
        <f aca="false">'Daily KPI Entry'!AD116</f>
        <v>0</v>
      </c>
      <c r="AE115" s="49" t="n">
        <f aca="false">'Daily KPI Entry'!AE116</f>
        <v>0</v>
      </c>
      <c r="AF115" s="47" t="str">
        <f aca="false">IF(O115="","",SUM(X115:AE115))</f>
        <v/>
      </c>
      <c r="AG115" s="49" t="str">
        <f aca="false">IF(O115="","",IFERROR(AF115/O115*1000,0))</f>
        <v/>
      </c>
      <c r="AH115" s="49" t="n">
        <f aca="false">'Daily KPI Entry'!AH116</f>
        <v>0</v>
      </c>
      <c r="AI115" s="49" t="n">
        <f aca="false">'Daily KPI Entry'!AI116</f>
        <v>0</v>
      </c>
      <c r="AJ115" s="49" t="n">
        <f aca="false">'Daily KPI Entry'!AJ116</f>
        <v>0</v>
      </c>
      <c r="AK115" s="47" t="n">
        <f aca="false">'Daily KPI Entry'!AK116</f>
        <v>0</v>
      </c>
      <c r="AL115" s="47" t="n">
        <f aca="false">'Daily KPI Entry'!AL116</f>
        <v>0</v>
      </c>
      <c r="AM115" s="47" t="n">
        <f aca="false">'Daily KPI Entry'!AM116</f>
        <v>0</v>
      </c>
      <c r="AN115" s="49" t="str">
        <f aca="false">IF(P115="","",MIN(120,P115))</f>
        <v/>
      </c>
      <c r="AO115" s="49" t="str">
        <f aca="false">IF(U115="","",MIN(120,U115))</f>
        <v/>
      </c>
      <c r="AP115" s="49" t="str">
        <f aca="false">IF(R115="","",MIN(120,IFERROR(S115/R115*100,0)))</f>
        <v/>
      </c>
      <c r="AQ115" s="49" t="str">
        <f aca="false">IF(W115="","",MIN(120,IF(W115=0,120,100*(INDEX('Standards &amp; Scoring'!$E$5:$E$13,MATCH("Quality / Rejection",'Standards &amp; Scoring'!$A$5:$A$13,0))/W115))))</f>
        <v/>
      </c>
      <c r="AR115" s="49" t="str">
        <f aca="false">IF(AG115="","",MIN(120,IF(AG115=0,120,100*(INDEX('Standards &amp; Scoring'!$E$5:$E$13,MATCH("Fault Control",'Standards &amp; Scoring'!$A$5:$A$13,0))/AG115))))</f>
        <v/>
      </c>
      <c r="AS115" s="49" t="str">
        <f aca="false">IF(O115="","",MIN(120,IF(SUMIFS('Fault &amp; Downtime Entry'!$L$6:$L$1005,'Fault &amp; Downtime Entry'!$E$6:$E$1005,G115,'Fault &amp; Downtime Entry'!$B$6:$B$1005,B115)=0,120,100*(INDEX('Standards &amp; Scoring'!$E$5:$E$13,MATCH("Downtime Control",'Standards &amp; Scoring'!$A$5:$A$13,0))/IFERROR(SUMIFS('Fault &amp; Downtime Entry'!$L$6:$L$1005,'Fault &amp; Downtime Entry'!$E$6:$E$1005,G115,'Fault &amp; Downtime Entry'!$B$6:$B$1005,B115)/O115*1000,999999)))))</f>
        <v/>
      </c>
      <c r="AT115" s="49" t="n">
        <f aca="false">IF(COUNTA(AH115,AJ115)=0,"",MIN(120,IF(AND(AH115&lt;&gt;"",AJ115&lt;&gt;""),AVERAGE(AH115,AJ115),IF(AH115&lt;&gt;"",AH115,AJ115))))</f>
        <v>0</v>
      </c>
      <c r="AU115" s="49" t="str">
        <f aca="false">IF(AI115="","",MIN(120,AI115))</f>
        <v/>
      </c>
      <c r="AV115" s="49" t="str">
        <f aca="false">IF(AJ115="","",MIN(120,AJ115))</f>
        <v/>
      </c>
      <c r="AW115" s="50" t="str">
        <f aca="false">IF(COUNT(AN115:AV115)&lt;9,"",(AN115*'Standards &amp; Scoring'!$D$5+AO115*'Standards &amp; Scoring'!$D$6+AP115*'Standards &amp; Scoring'!$D$7+AQ115*'Standards &amp; Scoring'!$D$8+AR115*'Standards &amp; Scoring'!$D$9+AS115*'Standards &amp; Scoring'!$D$10+AT115*'Standards &amp; Scoring'!$D$11+AU115*'Standards &amp; Scoring'!$D$12+AV115*'Standards &amp; Scoring'!$D$13)/10000)</f>
        <v/>
      </c>
      <c r="AX115" s="47" t="str">
        <f aca="false">IF(AW115="","",IF(AW115&gt;=1.05,"A+",IF(AW115&gt;=1,"A",IF(AW115&gt;=0.95,"B+",IF(AW115&gt;=0.9,"B","C")))))</f>
        <v/>
      </c>
      <c r="AY115" s="47" t="str">
        <f aca="false">IF(AX115="","",IF(AX115="A+",1800,IF(AX115="A",1600,IF(AX115="B+",1400,IF(AX115="B",1200,0)))))</f>
        <v/>
      </c>
      <c r="AZ115" s="49" t="str">
        <f aca="false">IF(OR(L115="",M115="",S115="",M115=0),"",IFERROR(L115*60*S115/(M115*36),0))</f>
        <v/>
      </c>
    </row>
    <row r="116" customFormat="false" ht="15" hidden="false" customHeight="true" outlineLevel="0" collapsed="false">
      <c r="A116" s="47" t="n">
        <f aca="false">'Daily KPI Entry'!A117</f>
        <v>0</v>
      </c>
      <c r="B116" s="48" t="n">
        <f aca="false">'Daily KPI Entry'!B117</f>
        <v>0</v>
      </c>
      <c r="C116" s="47" t="n">
        <f aca="false">'Daily KPI Entry'!C117</f>
        <v>0</v>
      </c>
      <c r="D116" s="47" t="n">
        <f aca="false">'Daily KPI Entry'!D117</f>
        <v>0</v>
      </c>
      <c r="E116" s="47" t="n">
        <f aca="false">'Daily KPI Entry'!E117</f>
        <v>0</v>
      </c>
      <c r="F116" s="47" t="n">
        <f aca="false">'Daily KPI Entry'!F117</f>
        <v>0</v>
      </c>
      <c r="G116" s="47" t="n">
        <f aca="false">'Daily KPI Entry'!G117</f>
        <v>0</v>
      </c>
      <c r="H116" s="47" t="str">
        <f aca="false">'Daily KPI Entry'!H117</f>
        <v/>
      </c>
      <c r="I116" s="47" t="n">
        <f aca="false">'Daily KPI Entry'!I117</f>
        <v>0</v>
      </c>
      <c r="J116" s="47" t="n">
        <f aca="false">'Daily KPI Entry'!J117</f>
        <v>0</v>
      </c>
      <c r="K116" s="47" t="n">
        <f aca="false">'Daily KPI Entry'!K117</f>
        <v>0</v>
      </c>
      <c r="L116" s="47" t="n">
        <f aca="false">'Daily KPI Entry'!L117</f>
        <v>0</v>
      </c>
      <c r="M116" s="47" t="n">
        <f aca="false">'Daily KPI Entry'!M117</f>
        <v>0</v>
      </c>
      <c r="N116" s="49" t="n">
        <f aca="false">'Daily KPI Entry'!N117</f>
        <v>0</v>
      </c>
      <c r="O116" s="49" t="n">
        <f aca="false">'Daily KPI Entry'!O117</f>
        <v>0</v>
      </c>
      <c r="P116" s="49" t="str">
        <f aca="false">IF(OR(N116="",O116=""),"",IFERROR(O116/N116*100,0))</f>
        <v/>
      </c>
      <c r="Q116" s="47" t="n">
        <f aca="false">'Daily KPI Entry'!Q117</f>
        <v>8</v>
      </c>
      <c r="R116" s="47" t="str">
        <f aca="false">IF(J116="","",Q116*J116)</f>
        <v/>
      </c>
      <c r="S116" s="49" t="n">
        <f aca="false">'Daily KPI Entry'!S117</f>
        <v>0</v>
      </c>
      <c r="T116" s="49" t="str">
        <f aca="false">IF(OR(R116="",S116=""),"",IFERROR(S116/R116*100,0))</f>
        <v/>
      </c>
      <c r="U116" s="49" t="str">
        <f aca="false">IF(OR(O116="",L116="",M116="",S116="",M116=0),"",IFERROR(O116/(L116*60*S116/(M116*36))*100,0))</f>
        <v/>
      </c>
      <c r="V116" s="49" t="n">
        <f aca="false">'Daily KPI Entry'!V117</f>
        <v>0</v>
      </c>
      <c r="W116" s="49" t="str">
        <f aca="false">IF(O116="","",IFERROR(V116/O116*100,0))</f>
        <v/>
      </c>
      <c r="X116" s="49" t="n">
        <f aca="false">'Daily KPI Entry'!X117</f>
        <v>0</v>
      </c>
      <c r="Y116" s="49" t="n">
        <f aca="false">'Daily KPI Entry'!Y117</f>
        <v>0</v>
      </c>
      <c r="Z116" s="49" t="n">
        <f aca="false">'Daily KPI Entry'!Z117</f>
        <v>0</v>
      </c>
      <c r="AA116" s="49" t="n">
        <f aca="false">'Daily KPI Entry'!AA117</f>
        <v>0</v>
      </c>
      <c r="AB116" s="49" t="n">
        <f aca="false">'Daily KPI Entry'!AB117</f>
        <v>0</v>
      </c>
      <c r="AC116" s="49" t="n">
        <f aca="false">'Daily KPI Entry'!AC117</f>
        <v>0</v>
      </c>
      <c r="AD116" s="49" t="n">
        <f aca="false">'Daily KPI Entry'!AD117</f>
        <v>0</v>
      </c>
      <c r="AE116" s="49" t="n">
        <f aca="false">'Daily KPI Entry'!AE117</f>
        <v>0</v>
      </c>
      <c r="AF116" s="47" t="str">
        <f aca="false">IF(O116="","",SUM(X116:AE116))</f>
        <v/>
      </c>
      <c r="AG116" s="49" t="str">
        <f aca="false">IF(O116="","",IFERROR(AF116/O116*1000,0))</f>
        <v/>
      </c>
      <c r="AH116" s="49" t="n">
        <f aca="false">'Daily KPI Entry'!AH117</f>
        <v>0</v>
      </c>
      <c r="AI116" s="49" t="n">
        <f aca="false">'Daily KPI Entry'!AI117</f>
        <v>0</v>
      </c>
      <c r="AJ116" s="49" t="n">
        <f aca="false">'Daily KPI Entry'!AJ117</f>
        <v>0</v>
      </c>
      <c r="AK116" s="47" t="n">
        <f aca="false">'Daily KPI Entry'!AK117</f>
        <v>0</v>
      </c>
      <c r="AL116" s="47" t="n">
        <f aca="false">'Daily KPI Entry'!AL117</f>
        <v>0</v>
      </c>
      <c r="AM116" s="47" t="n">
        <f aca="false">'Daily KPI Entry'!AM117</f>
        <v>0</v>
      </c>
      <c r="AN116" s="49" t="str">
        <f aca="false">IF(P116="","",MIN(120,P116))</f>
        <v/>
      </c>
      <c r="AO116" s="49" t="str">
        <f aca="false">IF(U116="","",MIN(120,U116))</f>
        <v/>
      </c>
      <c r="AP116" s="49" t="str">
        <f aca="false">IF(R116="","",MIN(120,IFERROR(S116/R116*100,0)))</f>
        <v/>
      </c>
      <c r="AQ116" s="49" t="str">
        <f aca="false">IF(W116="","",MIN(120,IF(W116=0,120,100*(INDEX('Standards &amp; Scoring'!$E$5:$E$13,MATCH("Quality / Rejection",'Standards &amp; Scoring'!$A$5:$A$13,0))/W116))))</f>
        <v/>
      </c>
      <c r="AR116" s="49" t="str">
        <f aca="false">IF(AG116="","",MIN(120,IF(AG116=0,120,100*(INDEX('Standards &amp; Scoring'!$E$5:$E$13,MATCH("Fault Control",'Standards &amp; Scoring'!$A$5:$A$13,0))/AG116))))</f>
        <v/>
      </c>
      <c r="AS116" s="49" t="str">
        <f aca="false">IF(O116="","",MIN(120,IF(SUMIFS('Fault &amp; Downtime Entry'!$L$6:$L$1005,'Fault &amp; Downtime Entry'!$E$6:$E$1005,G116,'Fault &amp; Downtime Entry'!$B$6:$B$1005,B116)=0,120,100*(INDEX('Standards &amp; Scoring'!$E$5:$E$13,MATCH("Downtime Control",'Standards &amp; Scoring'!$A$5:$A$13,0))/IFERROR(SUMIFS('Fault &amp; Downtime Entry'!$L$6:$L$1005,'Fault &amp; Downtime Entry'!$E$6:$E$1005,G116,'Fault &amp; Downtime Entry'!$B$6:$B$1005,B116)/O116*1000,999999)))))</f>
        <v/>
      </c>
      <c r="AT116" s="49" t="n">
        <f aca="false">IF(COUNTA(AH116,AJ116)=0,"",MIN(120,IF(AND(AH116&lt;&gt;"",AJ116&lt;&gt;""),AVERAGE(AH116,AJ116),IF(AH116&lt;&gt;"",AH116,AJ116))))</f>
        <v>0</v>
      </c>
      <c r="AU116" s="49" t="str">
        <f aca="false">IF(AI116="","",MIN(120,AI116))</f>
        <v/>
      </c>
      <c r="AV116" s="49" t="str">
        <f aca="false">IF(AJ116="","",MIN(120,AJ116))</f>
        <v/>
      </c>
      <c r="AW116" s="50" t="str">
        <f aca="false">IF(COUNT(AN116:AV116)&lt;9,"",(AN116*'Standards &amp; Scoring'!$D$5+AO116*'Standards &amp; Scoring'!$D$6+AP116*'Standards &amp; Scoring'!$D$7+AQ116*'Standards &amp; Scoring'!$D$8+AR116*'Standards &amp; Scoring'!$D$9+AS116*'Standards &amp; Scoring'!$D$10+AT116*'Standards &amp; Scoring'!$D$11+AU116*'Standards &amp; Scoring'!$D$12+AV116*'Standards &amp; Scoring'!$D$13)/10000)</f>
        <v/>
      </c>
      <c r="AX116" s="47" t="str">
        <f aca="false">IF(AW116="","",IF(AW116&gt;=1.05,"A+",IF(AW116&gt;=1,"A",IF(AW116&gt;=0.95,"B+",IF(AW116&gt;=0.9,"B","C")))))</f>
        <v/>
      </c>
      <c r="AY116" s="47" t="str">
        <f aca="false">IF(AX116="","",IF(AX116="A+",1800,IF(AX116="A",1600,IF(AX116="B+",1400,IF(AX116="B",1200,0)))))</f>
        <v/>
      </c>
      <c r="AZ116" s="49" t="str">
        <f aca="false">IF(OR(L116="",M116="",S116="",M116=0),"",IFERROR(L116*60*S116/(M116*36),0))</f>
        <v/>
      </c>
    </row>
    <row r="117" customFormat="false" ht="15" hidden="false" customHeight="true" outlineLevel="0" collapsed="false">
      <c r="A117" s="47" t="n">
        <f aca="false">'Daily KPI Entry'!A118</f>
        <v>0</v>
      </c>
      <c r="B117" s="48" t="n">
        <f aca="false">'Daily KPI Entry'!B118</f>
        <v>0</v>
      </c>
      <c r="C117" s="47" t="n">
        <f aca="false">'Daily KPI Entry'!C118</f>
        <v>0</v>
      </c>
      <c r="D117" s="47" t="n">
        <f aca="false">'Daily KPI Entry'!D118</f>
        <v>0</v>
      </c>
      <c r="E117" s="47" t="n">
        <f aca="false">'Daily KPI Entry'!E118</f>
        <v>0</v>
      </c>
      <c r="F117" s="47" t="n">
        <f aca="false">'Daily KPI Entry'!F118</f>
        <v>0</v>
      </c>
      <c r="G117" s="47" t="n">
        <f aca="false">'Daily KPI Entry'!G118</f>
        <v>0</v>
      </c>
      <c r="H117" s="47" t="str">
        <f aca="false">'Daily KPI Entry'!H118</f>
        <v/>
      </c>
      <c r="I117" s="47" t="n">
        <f aca="false">'Daily KPI Entry'!I118</f>
        <v>0</v>
      </c>
      <c r="J117" s="47" t="n">
        <f aca="false">'Daily KPI Entry'!J118</f>
        <v>0</v>
      </c>
      <c r="K117" s="47" t="n">
        <f aca="false">'Daily KPI Entry'!K118</f>
        <v>0</v>
      </c>
      <c r="L117" s="47" t="n">
        <f aca="false">'Daily KPI Entry'!L118</f>
        <v>0</v>
      </c>
      <c r="M117" s="47" t="n">
        <f aca="false">'Daily KPI Entry'!M118</f>
        <v>0</v>
      </c>
      <c r="N117" s="49" t="n">
        <f aca="false">'Daily KPI Entry'!N118</f>
        <v>0</v>
      </c>
      <c r="O117" s="49" t="n">
        <f aca="false">'Daily KPI Entry'!O118</f>
        <v>0</v>
      </c>
      <c r="P117" s="49" t="str">
        <f aca="false">IF(OR(N117="",O117=""),"",IFERROR(O117/N117*100,0))</f>
        <v/>
      </c>
      <c r="Q117" s="47" t="n">
        <f aca="false">'Daily KPI Entry'!Q118</f>
        <v>8</v>
      </c>
      <c r="R117" s="47" t="str">
        <f aca="false">IF(J117="","",Q117*J117)</f>
        <v/>
      </c>
      <c r="S117" s="49" t="n">
        <f aca="false">'Daily KPI Entry'!S118</f>
        <v>0</v>
      </c>
      <c r="T117" s="49" t="str">
        <f aca="false">IF(OR(R117="",S117=""),"",IFERROR(S117/R117*100,0))</f>
        <v/>
      </c>
      <c r="U117" s="49" t="str">
        <f aca="false">IF(OR(O117="",L117="",M117="",S117="",M117=0),"",IFERROR(O117/(L117*60*S117/(M117*36))*100,0))</f>
        <v/>
      </c>
      <c r="V117" s="49" t="n">
        <f aca="false">'Daily KPI Entry'!V118</f>
        <v>0</v>
      </c>
      <c r="W117" s="49" t="str">
        <f aca="false">IF(O117="","",IFERROR(V117/O117*100,0))</f>
        <v/>
      </c>
      <c r="X117" s="49" t="n">
        <f aca="false">'Daily KPI Entry'!X118</f>
        <v>0</v>
      </c>
      <c r="Y117" s="49" t="n">
        <f aca="false">'Daily KPI Entry'!Y118</f>
        <v>0</v>
      </c>
      <c r="Z117" s="49" t="n">
        <f aca="false">'Daily KPI Entry'!Z118</f>
        <v>0</v>
      </c>
      <c r="AA117" s="49" t="n">
        <f aca="false">'Daily KPI Entry'!AA118</f>
        <v>0</v>
      </c>
      <c r="AB117" s="49" t="n">
        <f aca="false">'Daily KPI Entry'!AB118</f>
        <v>0</v>
      </c>
      <c r="AC117" s="49" t="n">
        <f aca="false">'Daily KPI Entry'!AC118</f>
        <v>0</v>
      </c>
      <c r="AD117" s="49" t="n">
        <f aca="false">'Daily KPI Entry'!AD118</f>
        <v>0</v>
      </c>
      <c r="AE117" s="49" t="n">
        <f aca="false">'Daily KPI Entry'!AE118</f>
        <v>0</v>
      </c>
      <c r="AF117" s="47" t="str">
        <f aca="false">IF(O117="","",SUM(X117:AE117))</f>
        <v/>
      </c>
      <c r="AG117" s="49" t="str">
        <f aca="false">IF(O117="","",IFERROR(AF117/O117*1000,0))</f>
        <v/>
      </c>
      <c r="AH117" s="49" t="n">
        <f aca="false">'Daily KPI Entry'!AH118</f>
        <v>0</v>
      </c>
      <c r="AI117" s="49" t="n">
        <f aca="false">'Daily KPI Entry'!AI118</f>
        <v>0</v>
      </c>
      <c r="AJ117" s="49" t="n">
        <f aca="false">'Daily KPI Entry'!AJ118</f>
        <v>0</v>
      </c>
      <c r="AK117" s="47" t="n">
        <f aca="false">'Daily KPI Entry'!AK118</f>
        <v>0</v>
      </c>
      <c r="AL117" s="47" t="n">
        <f aca="false">'Daily KPI Entry'!AL118</f>
        <v>0</v>
      </c>
      <c r="AM117" s="47" t="n">
        <f aca="false">'Daily KPI Entry'!AM118</f>
        <v>0</v>
      </c>
      <c r="AN117" s="49" t="str">
        <f aca="false">IF(P117="","",MIN(120,P117))</f>
        <v/>
      </c>
      <c r="AO117" s="49" t="str">
        <f aca="false">IF(U117="","",MIN(120,U117))</f>
        <v/>
      </c>
      <c r="AP117" s="49" t="str">
        <f aca="false">IF(R117="","",MIN(120,IFERROR(S117/R117*100,0)))</f>
        <v/>
      </c>
      <c r="AQ117" s="49" t="str">
        <f aca="false">IF(W117="","",MIN(120,IF(W117=0,120,100*(INDEX('Standards &amp; Scoring'!$E$5:$E$13,MATCH("Quality / Rejection",'Standards &amp; Scoring'!$A$5:$A$13,0))/W117))))</f>
        <v/>
      </c>
      <c r="AR117" s="49" t="str">
        <f aca="false">IF(AG117="","",MIN(120,IF(AG117=0,120,100*(INDEX('Standards &amp; Scoring'!$E$5:$E$13,MATCH("Fault Control",'Standards &amp; Scoring'!$A$5:$A$13,0))/AG117))))</f>
        <v/>
      </c>
      <c r="AS117" s="49" t="str">
        <f aca="false">IF(O117="","",MIN(120,IF(SUMIFS('Fault &amp; Downtime Entry'!$L$6:$L$1005,'Fault &amp; Downtime Entry'!$E$6:$E$1005,G117,'Fault &amp; Downtime Entry'!$B$6:$B$1005,B117)=0,120,100*(INDEX('Standards &amp; Scoring'!$E$5:$E$13,MATCH("Downtime Control",'Standards &amp; Scoring'!$A$5:$A$13,0))/IFERROR(SUMIFS('Fault &amp; Downtime Entry'!$L$6:$L$1005,'Fault &amp; Downtime Entry'!$E$6:$E$1005,G117,'Fault &amp; Downtime Entry'!$B$6:$B$1005,B117)/O117*1000,999999)))))</f>
        <v/>
      </c>
      <c r="AT117" s="49" t="n">
        <f aca="false">IF(COUNTA(AH117,AJ117)=0,"",MIN(120,IF(AND(AH117&lt;&gt;"",AJ117&lt;&gt;""),AVERAGE(AH117,AJ117),IF(AH117&lt;&gt;"",AH117,AJ117))))</f>
        <v>0</v>
      </c>
      <c r="AU117" s="49" t="str">
        <f aca="false">IF(AI117="","",MIN(120,AI117))</f>
        <v/>
      </c>
      <c r="AV117" s="49" t="str">
        <f aca="false">IF(AJ117="","",MIN(120,AJ117))</f>
        <v/>
      </c>
      <c r="AW117" s="50" t="str">
        <f aca="false">IF(COUNT(AN117:AV117)&lt;9,"",(AN117*'Standards &amp; Scoring'!$D$5+AO117*'Standards &amp; Scoring'!$D$6+AP117*'Standards &amp; Scoring'!$D$7+AQ117*'Standards &amp; Scoring'!$D$8+AR117*'Standards &amp; Scoring'!$D$9+AS117*'Standards &amp; Scoring'!$D$10+AT117*'Standards &amp; Scoring'!$D$11+AU117*'Standards &amp; Scoring'!$D$12+AV117*'Standards &amp; Scoring'!$D$13)/10000)</f>
        <v/>
      </c>
      <c r="AX117" s="47" t="str">
        <f aca="false">IF(AW117="","",IF(AW117&gt;=1.05,"A+",IF(AW117&gt;=1,"A",IF(AW117&gt;=0.95,"B+",IF(AW117&gt;=0.9,"B","C")))))</f>
        <v/>
      </c>
      <c r="AY117" s="47" t="str">
        <f aca="false">IF(AX117="","",IF(AX117="A+",1800,IF(AX117="A",1600,IF(AX117="B+",1400,IF(AX117="B",1200,0)))))</f>
        <v/>
      </c>
      <c r="AZ117" s="49" t="str">
        <f aca="false">IF(OR(L117="",M117="",S117="",M117=0),"",IFERROR(L117*60*S117/(M117*36),0))</f>
        <v/>
      </c>
    </row>
    <row r="118" customFormat="false" ht="15" hidden="false" customHeight="true" outlineLevel="0" collapsed="false">
      <c r="A118" s="47" t="n">
        <f aca="false">'Daily KPI Entry'!A119</f>
        <v>0</v>
      </c>
      <c r="B118" s="48" t="n">
        <f aca="false">'Daily KPI Entry'!B119</f>
        <v>0</v>
      </c>
      <c r="C118" s="47" t="n">
        <f aca="false">'Daily KPI Entry'!C119</f>
        <v>0</v>
      </c>
      <c r="D118" s="47" t="n">
        <f aca="false">'Daily KPI Entry'!D119</f>
        <v>0</v>
      </c>
      <c r="E118" s="47" t="n">
        <f aca="false">'Daily KPI Entry'!E119</f>
        <v>0</v>
      </c>
      <c r="F118" s="47" t="n">
        <f aca="false">'Daily KPI Entry'!F119</f>
        <v>0</v>
      </c>
      <c r="G118" s="47" t="n">
        <f aca="false">'Daily KPI Entry'!G119</f>
        <v>0</v>
      </c>
      <c r="H118" s="47" t="str">
        <f aca="false">'Daily KPI Entry'!H119</f>
        <v/>
      </c>
      <c r="I118" s="47" t="n">
        <f aca="false">'Daily KPI Entry'!I119</f>
        <v>0</v>
      </c>
      <c r="J118" s="47" t="n">
        <f aca="false">'Daily KPI Entry'!J119</f>
        <v>0</v>
      </c>
      <c r="K118" s="47" t="n">
        <f aca="false">'Daily KPI Entry'!K119</f>
        <v>0</v>
      </c>
      <c r="L118" s="47" t="n">
        <f aca="false">'Daily KPI Entry'!L119</f>
        <v>0</v>
      </c>
      <c r="M118" s="47" t="n">
        <f aca="false">'Daily KPI Entry'!M119</f>
        <v>0</v>
      </c>
      <c r="N118" s="49" t="n">
        <f aca="false">'Daily KPI Entry'!N119</f>
        <v>0</v>
      </c>
      <c r="O118" s="49" t="n">
        <f aca="false">'Daily KPI Entry'!O119</f>
        <v>0</v>
      </c>
      <c r="P118" s="49" t="str">
        <f aca="false">IF(OR(N118="",O118=""),"",IFERROR(O118/N118*100,0))</f>
        <v/>
      </c>
      <c r="Q118" s="47" t="n">
        <f aca="false">'Daily KPI Entry'!Q119</f>
        <v>8</v>
      </c>
      <c r="R118" s="47" t="str">
        <f aca="false">IF(J118="","",Q118*J118)</f>
        <v/>
      </c>
      <c r="S118" s="49" t="n">
        <f aca="false">'Daily KPI Entry'!S119</f>
        <v>0</v>
      </c>
      <c r="T118" s="49" t="str">
        <f aca="false">IF(OR(R118="",S118=""),"",IFERROR(S118/R118*100,0))</f>
        <v/>
      </c>
      <c r="U118" s="49" t="str">
        <f aca="false">IF(OR(O118="",L118="",M118="",S118="",M118=0),"",IFERROR(O118/(L118*60*S118/(M118*36))*100,0))</f>
        <v/>
      </c>
      <c r="V118" s="49" t="n">
        <f aca="false">'Daily KPI Entry'!V119</f>
        <v>0</v>
      </c>
      <c r="W118" s="49" t="str">
        <f aca="false">IF(O118="","",IFERROR(V118/O118*100,0))</f>
        <v/>
      </c>
      <c r="X118" s="49" t="n">
        <f aca="false">'Daily KPI Entry'!X119</f>
        <v>0</v>
      </c>
      <c r="Y118" s="49" t="n">
        <f aca="false">'Daily KPI Entry'!Y119</f>
        <v>0</v>
      </c>
      <c r="Z118" s="49" t="n">
        <f aca="false">'Daily KPI Entry'!Z119</f>
        <v>0</v>
      </c>
      <c r="AA118" s="49" t="n">
        <f aca="false">'Daily KPI Entry'!AA119</f>
        <v>0</v>
      </c>
      <c r="AB118" s="49" t="n">
        <f aca="false">'Daily KPI Entry'!AB119</f>
        <v>0</v>
      </c>
      <c r="AC118" s="49" t="n">
        <f aca="false">'Daily KPI Entry'!AC119</f>
        <v>0</v>
      </c>
      <c r="AD118" s="49" t="n">
        <f aca="false">'Daily KPI Entry'!AD119</f>
        <v>0</v>
      </c>
      <c r="AE118" s="49" t="n">
        <f aca="false">'Daily KPI Entry'!AE119</f>
        <v>0</v>
      </c>
      <c r="AF118" s="47" t="str">
        <f aca="false">IF(O118="","",SUM(X118:AE118))</f>
        <v/>
      </c>
      <c r="AG118" s="49" t="str">
        <f aca="false">IF(O118="","",IFERROR(AF118/O118*1000,0))</f>
        <v/>
      </c>
      <c r="AH118" s="49" t="n">
        <f aca="false">'Daily KPI Entry'!AH119</f>
        <v>0</v>
      </c>
      <c r="AI118" s="49" t="n">
        <f aca="false">'Daily KPI Entry'!AI119</f>
        <v>0</v>
      </c>
      <c r="AJ118" s="49" t="n">
        <f aca="false">'Daily KPI Entry'!AJ119</f>
        <v>0</v>
      </c>
      <c r="AK118" s="47" t="n">
        <f aca="false">'Daily KPI Entry'!AK119</f>
        <v>0</v>
      </c>
      <c r="AL118" s="47" t="n">
        <f aca="false">'Daily KPI Entry'!AL119</f>
        <v>0</v>
      </c>
      <c r="AM118" s="47" t="n">
        <f aca="false">'Daily KPI Entry'!AM119</f>
        <v>0</v>
      </c>
      <c r="AN118" s="49" t="str">
        <f aca="false">IF(P118="","",MIN(120,P118))</f>
        <v/>
      </c>
      <c r="AO118" s="49" t="str">
        <f aca="false">IF(U118="","",MIN(120,U118))</f>
        <v/>
      </c>
      <c r="AP118" s="49" t="str">
        <f aca="false">IF(R118="","",MIN(120,IFERROR(S118/R118*100,0)))</f>
        <v/>
      </c>
      <c r="AQ118" s="49" t="str">
        <f aca="false">IF(W118="","",MIN(120,IF(W118=0,120,100*(INDEX('Standards &amp; Scoring'!$E$5:$E$13,MATCH("Quality / Rejection",'Standards &amp; Scoring'!$A$5:$A$13,0))/W118))))</f>
        <v/>
      </c>
      <c r="AR118" s="49" t="str">
        <f aca="false">IF(AG118="","",MIN(120,IF(AG118=0,120,100*(INDEX('Standards &amp; Scoring'!$E$5:$E$13,MATCH("Fault Control",'Standards &amp; Scoring'!$A$5:$A$13,0))/AG118))))</f>
        <v/>
      </c>
      <c r="AS118" s="49" t="str">
        <f aca="false">IF(O118="","",MIN(120,IF(SUMIFS('Fault &amp; Downtime Entry'!$L$6:$L$1005,'Fault &amp; Downtime Entry'!$E$6:$E$1005,G118,'Fault &amp; Downtime Entry'!$B$6:$B$1005,B118)=0,120,100*(INDEX('Standards &amp; Scoring'!$E$5:$E$13,MATCH("Downtime Control",'Standards &amp; Scoring'!$A$5:$A$13,0))/IFERROR(SUMIFS('Fault &amp; Downtime Entry'!$L$6:$L$1005,'Fault &amp; Downtime Entry'!$E$6:$E$1005,G118,'Fault &amp; Downtime Entry'!$B$6:$B$1005,B118)/O118*1000,999999)))))</f>
        <v/>
      </c>
      <c r="AT118" s="49" t="n">
        <f aca="false">IF(COUNTA(AH118,AJ118)=0,"",MIN(120,IF(AND(AH118&lt;&gt;"",AJ118&lt;&gt;""),AVERAGE(AH118,AJ118),IF(AH118&lt;&gt;"",AH118,AJ118))))</f>
        <v>0</v>
      </c>
      <c r="AU118" s="49" t="str">
        <f aca="false">IF(AI118="","",MIN(120,AI118))</f>
        <v/>
      </c>
      <c r="AV118" s="49" t="str">
        <f aca="false">IF(AJ118="","",MIN(120,AJ118))</f>
        <v/>
      </c>
      <c r="AW118" s="50" t="str">
        <f aca="false">IF(COUNT(AN118:AV118)&lt;9,"",(AN118*'Standards &amp; Scoring'!$D$5+AO118*'Standards &amp; Scoring'!$D$6+AP118*'Standards &amp; Scoring'!$D$7+AQ118*'Standards &amp; Scoring'!$D$8+AR118*'Standards &amp; Scoring'!$D$9+AS118*'Standards &amp; Scoring'!$D$10+AT118*'Standards &amp; Scoring'!$D$11+AU118*'Standards &amp; Scoring'!$D$12+AV118*'Standards &amp; Scoring'!$D$13)/10000)</f>
        <v/>
      </c>
      <c r="AX118" s="47" t="str">
        <f aca="false">IF(AW118="","",IF(AW118&gt;=1.05,"A+",IF(AW118&gt;=1,"A",IF(AW118&gt;=0.95,"B+",IF(AW118&gt;=0.9,"B","C")))))</f>
        <v/>
      </c>
      <c r="AY118" s="47" t="str">
        <f aca="false">IF(AX118="","",IF(AX118="A+",1800,IF(AX118="A",1600,IF(AX118="B+",1400,IF(AX118="B",1200,0)))))</f>
        <v/>
      </c>
      <c r="AZ118" s="49" t="str">
        <f aca="false">IF(OR(L118="",M118="",S118="",M118=0),"",IFERROR(L118*60*S118/(M118*36),0))</f>
        <v/>
      </c>
    </row>
    <row r="119" customFormat="false" ht="15" hidden="false" customHeight="true" outlineLevel="0" collapsed="false">
      <c r="A119" s="47" t="n">
        <f aca="false">'Daily KPI Entry'!A120</f>
        <v>0</v>
      </c>
      <c r="B119" s="48" t="n">
        <f aca="false">'Daily KPI Entry'!B120</f>
        <v>0</v>
      </c>
      <c r="C119" s="47" t="n">
        <f aca="false">'Daily KPI Entry'!C120</f>
        <v>0</v>
      </c>
      <c r="D119" s="47" t="n">
        <f aca="false">'Daily KPI Entry'!D120</f>
        <v>0</v>
      </c>
      <c r="E119" s="47" t="n">
        <f aca="false">'Daily KPI Entry'!E120</f>
        <v>0</v>
      </c>
      <c r="F119" s="47" t="n">
        <f aca="false">'Daily KPI Entry'!F120</f>
        <v>0</v>
      </c>
      <c r="G119" s="47" t="n">
        <f aca="false">'Daily KPI Entry'!G120</f>
        <v>0</v>
      </c>
      <c r="H119" s="47" t="str">
        <f aca="false">'Daily KPI Entry'!H120</f>
        <v/>
      </c>
      <c r="I119" s="47" t="n">
        <f aca="false">'Daily KPI Entry'!I120</f>
        <v>0</v>
      </c>
      <c r="J119" s="47" t="n">
        <f aca="false">'Daily KPI Entry'!J120</f>
        <v>0</v>
      </c>
      <c r="K119" s="47" t="n">
        <f aca="false">'Daily KPI Entry'!K120</f>
        <v>0</v>
      </c>
      <c r="L119" s="47" t="n">
        <f aca="false">'Daily KPI Entry'!L120</f>
        <v>0</v>
      </c>
      <c r="M119" s="47" t="n">
        <f aca="false">'Daily KPI Entry'!M120</f>
        <v>0</v>
      </c>
      <c r="N119" s="49" t="n">
        <f aca="false">'Daily KPI Entry'!N120</f>
        <v>0</v>
      </c>
      <c r="O119" s="49" t="n">
        <f aca="false">'Daily KPI Entry'!O120</f>
        <v>0</v>
      </c>
      <c r="P119" s="49" t="str">
        <f aca="false">IF(OR(N119="",O119=""),"",IFERROR(O119/N119*100,0))</f>
        <v/>
      </c>
      <c r="Q119" s="47" t="n">
        <f aca="false">'Daily KPI Entry'!Q120</f>
        <v>8</v>
      </c>
      <c r="R119" s="47" t="str">
        <f aca="false">IF(J119="","",Q119*J119)</f>
        <v/>
      </c>
      <c r="S119" s="49" t="n">
        <f aca="false">'Daily KPI Entry'!S120</f>
        <v>0</v>
      </c>
      <c r="T119" s="49" t="str">
        <f aca="false">IF(OR(R119="",S119=""),"",IFERROR(S119/R119*100,0))</f>
        <v/>
      </c>
      <c r="U119" s="49" t="str">
        <f aca="false">IF(OR(O119="",L119="",M119="",S119="",M119=0),"",IFERROR(O119/(L119*60*S119/(M119*36))*100,0))</f>
        <v/>
      </c>
      <c r="V119" s="49" t="n">
        <f aca="false">'Daily KPI Entry'!V120</f>
        <v>0</v>
      </c>
      <c r="W119" s="49" t="str">
        <f aca="false">IF(O119="","",IFERROR(V119/O119*100,0))</f>
        <v/>
      </c>
      <c r="X119" s="49" t="n">
        <f aca="false">'Daily KPI Entry'!X120</f>
        <v>0</v>
      </c>
      <c r="Y119" s="49" t="n">
        <f aca="false">'Daily KPI Entry'!Y120</f>
        <v>0</v>
      </c>
      <c r="Z119" s="49" t="n">
        <f aca="false">'Daily KPI Entry'!Z120</f>
        <v>0</v>
      </c>
      <c r="AA119" s="49" t="n">
        <f aca="false">'Daily KPI Entry'!AA120</f>
        <v>0</v>
      </c>
      <c r="AB119" s="49" t="n">
        <f aca="false">'Daily KPI Entry'!AB120</f>
        <v>0</v>
      </c>
      <c r="AC119" s="49" t="n">
        <f aca="false">'Daily KPI Entry'!AC120</f>
        <v>0</v>
      </c>
      <c r="AD119" s="49" t="n">
        <f aca="false">'Daily KPI Entry'!AD120</f>
        <v>0</v>
      </c>
      <c r="AE119" s="49" t="n">
        <f aca="false">'Daily KPI Entry'!AE120</f>
        <v>0</v>
      </c>
      <c r="AF119" s="47" t="str">
        <f aca="false">IF(O119="","",SUM(X119:AE119))</f>
        <v/>
      </c>
      <c r="AG119" s="49" t="str">
        <f aca="false">IF(O119="","",IFERROR(AF119/O119*1000,0))</f>
        <v/>
      </c>
      <c r="AH119" s="49" t="n">
        <f aca="false">'Daily KPI Entry'!AH120</f>
        <v>0</v>
      </c>
      <c r="AI119" s="49" t="n">
        <f aca="false">'Daily KPI Entry'!AI120</f>
        <v>0</v>
      </c>
      <c r="AJ119" s="49" t="n">
        <f aca="false">'Daily KPI Entry'!AJ120</f>
        <v>0</v>
      </c>
      <c r="AK119" s="47" t="n">
        <f aca="false">'Daily KPI Entry'!AK120</f>
        <v>0</v>
      </c>
      <c r="AL119" s="47" t="n">
        <f aca="false">'Daily KPI Entry'!AL120</f>
        <v>0</v>
      </c>
      <c r="AM119" s="47" t="n">
        <f aca="false">'Daily KPI Entry'!AM120</f>
        <v>0</v>
      </c>
      <c r="AN119" s="49" t="str">
        <f aca="false">IF(P119="","",MIN(120,P119))</f>
        <v/>
      </c>
      <c r="AO119" s="49" t="str">
        <f aca="false">IF(U119="","",MIN(120,U119))</f>
        <v/>
      </c>
      <c r="AP119" s="49" t="str">
        <f aca="false">IF(R119="","",MIN(120,IFERROR(S119/R119*100,0)))</f>
        <v/>
      </c>
      <c r="AQ119" s="49" t="str">
        <f aca="false">IF(W119="","",MIN(120,IF(W119=0,120,100*(INDEX('Standards &amp; Scoring'!$E$5:$E$13,MATCH("Quality / Rejection",'Standards &amp; Scoring'!$A$5:$A$13,0))/W119))))</f>
        <v/>
      </c>
      <c r="AR119" s="49" t="str">
        <f aca="false">IF(AG119="","",MIN(120,IF(AG119=0,120,100*(INDEX('Standards &amp; Scoring'!$E$5:$E$13,MATCH("Fault Control",'Standards &amp; Scoring'!$A$5:$A$13,0))/AG119))))</f>
        <v/>
      </c>
      <c r="AS119" s="49" t="str">
        <f aca="false">IF(O119="","",MIN(120,IF(SUMIFS('Fault &amp; Downtime Entry'!$L$6:$L$1005,'Fault &amp; Downtime Entry'!$E$6:$E$1005,G119,'Fault &amp; Downtime Entry'!$B$6:$B$1005,B119)=0,120,100*(INDEX('Standards &amp; Scoring'!$E$5:$E$13,MATCH("Downtime Control",'Standards &amp; Scoring'!$A$5:$A$13,0))/IFERROR(SUMIFS('Fault &amp; Downtime Entry'!$L$6:$L$1005,'Fault &amp; Downtime Entry'!$E$6:$E$1005,G119,'Fault &amp; Downtime Entry'!$B$6:$B$1005,B119)/O119*1000,999999)))))</f>
        <v/>
      </c>
      <c r="AT119" s="49" t="n">
        <f aca="false">IF(COUNTA(AH119,AJ119)=0,"",MIN(120,IF(AND(AH119&lt;&gt;"",AJ119&lt;&gt;""),AVERAGE(AH119,AJ119),IF(AH119&lt;&gt;"",AH119,AJ119))))</f>
        <v>0</v>
      </c>
      <c r="AU119" s="49" t="str">
        <f aca="false">IF(AI119="","",MIN(120,AI119))</f>
        <v/>
      </c>
      <c r="AV119" s="49" t="str">
        <f aca="false">IF(AJ119="","",MIN(120,AJ119))</f>
        <v/>
      </c>
      <c r="AW119" s="50" t="str">
        <f aca="false">IF(COUNT(AN119:AV119)&lt;9,"",(AN119*'Standards &amp; Scoring'!$D$5+AO119*'Standards &amp; Scoring'!$D$6+AP119*'Standards &amp; Scoring'!$D$7+AQ119*'Standards &amp; Scoring'!$D$8+AR119*'Standards &amp; Scoring'!$D$9+AS119*'Standards &amp; Scoring'!$D$10+AT119*'Standards &amp; Scoring'!$D$11+AU119*'Standards &amp; Scoring'!$D$12+AV119*'Standards &amp; Scoring'!$D$13)/10000)</f>
        <v/>
      </c>
      <c r="AX119" s="47" t="str">
        <f aca="false">IF(AW119="","",IF(AW119&gt;=1.05,"A+",IF(AW119&gt;=1,"A",IF(AW119&gt;=0.95,"B+",IF(AW119&gt;=0.9,"B","C")))))</f>
        <v/>
      </c>
      <c r="AY119" s="47" t="str">
        <f aca="false">IF(AX119="","",IF(AX119="A+",1800,IF(AX119="A",1600,IF(AX119="B+",1400,IF(AX119="B",1200,0)))))</f>
        <v/>
      </c>
      <c r="AZ119" s="49" t="str">
        <f aca="false">IF(OR(L119="",M119="",S119="",M119=0),"",IFERROR(L119*60*S119/(M119*36),0))</f>
        <v/>
      </c>
    </row>
    <row r="120" customFormat="false" ht="15" hidden="false" customHeight="true" outlineLevel="0" collapsed="false">
      <c r="A120" s="47" t="n">
        <f aca="false">'Daily KPI Entry'!A121</f>
        <v>0</v>
      </c>
      <c r="B120" s="48" t="n">
        <f aca="false">'Daily KPI Entry'!B121</f>
        <v>0</v>
      </c>
      <c r="C120" s="47" t="n">
        <f aca="false">'Daily KPI Entry'!C121</f>
        <v>0</v>
      </c>
      <c r="D120" s="47" t="n">
        <f aca="false">'Daily KPI Entry'!D121</f>
        <v>0</v>
      </c>
      <c r="E120" s="47" t="n">
        <f aca="false">'Daily KPI Entry'!E121</f>
        <v>0</v>
      </c>
      <c r="F120" s="47" t="n">
        <f aca="false">'Daily KPI Entry'!F121</f>
        <v>0</v>
      </c>
      <c r="G120" s="47" t="n">
        <f aca="false">'Daily KPI Entry'!G121</f>
        <v>0</v>
      </c>
      <c r="H120" s="47" t="str">
        <f aca="false">'Daily KPI Entry'!H121</f>
        <v/>
      </c>
      <c r="I120" s="47" t="n">
        <f aca="false">'Daily KPI Entry'!I121</f>
        <v>0</v>
      </c>
      <c r="J120" s="47" t="n">
        <f aca="false">'Daily KPI Entry'!J121</f>
        <v>0</v>
      </c>
      <c r="K120" s="47" t="n">
        <f aca="false">'Daily KPI Entry'!K121</f>
        <v>0</v>
      </c>
      <c r="L120" s="47" t="n">
        <f aca="false">'Daily KPI Entry'!L121</f>
        <v>0</v>
      </c>
      <c r="M120" s="47" t="n">
        <f aca="false">'Daily KPI Entry'!M121</f>
        <v>0</v>
      </c>
      <c r="N120" s="49" t="n">
        <f aca="false">'Daily KPI Entry'!N121</f>
        <v>0</v>
      </c>
      <c r="O120" s="49" t="n">
        <f aca="false">'Daily KPI Entry'!O121</f>
        <v>0</v>
      </c>
      <c r="P120" s="49" t="str">
        <f aca="false">IF(OR(N120="",O120=""),"",IFERROR(O120/N120*100,0))</f>
        <v/>
      </c>
      <c r="Q120" s="47" t="n">
        <f aca="false">'Daily KPI Entry'!Q121</f>
        <v>8</v>
      </c>
      <c r="R120" s="47" t="str">
        <f aca="false">IF(J120="","",Q120*J120)</f>
        <v/>
      </c>
      <c r="S120" s="49" t="n">
        <f aca="false">'Daily KPI Entry'!S121</f>
        <v>0</v>
      </c>
      <c r="T120" s="49" t="str">
        <f aca="false">IF(OR(R120="",S120=""),"",IFERROR(S120/R120*100,0))</f>
        <v/>
      </c>
      <c r="U120" s="49" t="str">
        <f aca="false">IF(OR(O120="",L120="",M120="",S120="",M120=0),"",IFERROR(O120/(L120*60*S120/(M120*36))*100,0))</f>
        <v/>
      </c>
      <c r="V120" s="49" t="n">
        <f aca="false">'Daily KPI Entry'!V121</f>
        <v>0</v>
      </c>
      <c r="W120" s="49" t="str">
        <f aca="false">IF(O120="","",IFERROR(V120/O120*100,0))</f>
        <v/>
      </c>
      <c r="X120" s="49" t="n">
        <f aca="false">'Daily KPI Entry'!X121</f>
        <v>0</v>
      </c>
      <c r="Y120" s="49" t="n">
        <f aca="false">'Daily KPI Entry'!Y121</f>
        <v>0</v>
      </c>
      <c r="Z120" s="49" t="n">
        <f aca="false">'Daily KPI Entry'!Z121</f>
        <v>0</v>
      </c>
      <c r="AA120" s="49" t="n">
        <f aca="false">'Daily KPI Entry'!AA121</f>
        <v>0</v>
      </c>
      <c r="AB120" s="49" t="n">
        <f aca="false">'Daily KPI Entry'!AB121</f>
        <v>0</v>
      </c>
      <c r="AC120" s="49" t="n">
        <f aca="false">'Daily KPI Entry'!AC121</f>
        <v>0</v>
      </c>
      <c r="AD120" s="49" t="n">
        <f aca="false">'Daily KPI Entry'!AD121</f>
        <v>0</v>
      </c>
      <c r="AE120" s="49" t="n">
        <f aca="false">'Daily KPI Entry'!AE121</f>
        <v>0</v>
      </c>
      <c r="AF120" s="47" t="str">
        <f aca="false">IF(O120="","",SUM(X120:AE120))</f>
        <v/>
      </c>
      <c r="AG120" s="49" t="str">
        <f aca="false">IF(O120="","",IFERROR(AF120/O120*1000,0))</f>
        <v/>
      </c>
      <c r="AH120" s="49" t="n">
        <f aca="false">'Daily KPI Entry'!AH121</f>
        <v>0</v>
      </c>
      <c r="AI120" s="49" t="n">
        <f aca="false">'Daily KPI Entry'!AI121</f>
        <v>0</v>
      </c>
      <c r="AJ120" s="49" t="n">
        <f aca="false">'Daily KPI Entry'!AJ121</f>
        <v>0</v>
      </c>
      <c r="AK120" s="47" t="n">
        <f aca="false">'Daily KPI Entry'!AK121</f>
        <v>0</v>
      </c>
      <c r="AL120" s="47" t="n">
        <f aca="false">'Daily KPI Entry'!AL121</f>
        <v>0</v>
      </c>
      <c r="AM120" s="47" t="n">
        <f aca="false">'Daily KPI Entry'!AM121</f>
        <v>0</v>
      </c>
      <c r="AN120" s="49" t="str">
        <f aca="false">IF(P120="","",MIN(120,P120))</f>
        <v/>
      </c>
      <c r="AO120" s="49" t="str">
        <f aca="false">IF(U120="","",MIN(120,U120))</f>
        <v/>
      </c>
      <c r="AP120" s="49" t="str">
        <f aca="false">IF(R120="","",MIN(120,IFERROR(S120/R120*100,0)))</f>
        <v/>
      </c>
      <c r="AQ120" s="49" t="str">
        <f aca="false">IF(W120="","",MIN(120,IF(W120=0,120,100*(INDEX('Standards &amp; Scoring'!$E$5:$E$13,MATCH("Quality / Rejection",'Standards &amp; Scoring'!$A$5:$A$13,0))/W120))))</f>
        <v/>
      </c>
      <c r="AR120" s="49" t="str">
        <f aca="false">IF(AG120="","",MIN(120,IF(AG120=0,120,100*(INDEX('Standards &amp; Scoring'!$E$5:$E$13,MATCH("Fault Control",'Standards &amp; Scoring'!$A$5:$A$13,0))/AG120))))</f>
        <v/>
      </c>
      <c r="AS120" s="49" t="str">
        <f aca="false">IF(O120="","",MIN(120,IF(SUMIFS('Fault &amp; Downtime Entry'!$L$6:$L$1005,'Fault &amp; Downtime Entry'!$E$6:$E$1005,G120,'Fault &amp; Downtime Entry'!$B$6:$B$1005,B120)=0,120,100*(INDEX('Standards &amp; Scoring'!$E$5:$E$13,MATCH("Downtime Control",'Standards &amp; Scoring'!$A$5:$A$13,0))/IFERROR(SUMIFS('Fault &amp; Downtime Entry'!$L$6:$L$1005,'Fault &amp; Downtime Entry'!$E$6:$E$1005,G120,'Fault &amp; Downtime Entry'!$B$6:$B$1005,B120)/O120*1000,999999)))))</f>
        <v/>
      </c>
      <c r="AT120" s="49" t="n">
        <f aca="false">IF(COUNTA(AH120,AJ120)=0,"",MIN(120,IF(AND(AH120&lt;&gt;"",AJ120&lt;&gt;""),AVERAGE(AH120,AJ120),IF(AH120&lt;&gt;"",AH120,AJ120))))</f>
        <v>0</v>
      </c>
      <c r="AU120" s="49" t="str">
        <f aca="false">IF(AI120="","",MIN(120,AI120))</f>
        <v/>
      </c>
      <c r="AV120" s="49" t="str">
        <f aca="false">IF(AJ120="","",MIN(120,AJ120))</f>
        <v/>
      </c>
      <c r="AW120" s="50" t="str">
        <f aca="false">IF(COUNT(AN120:AV120)&lt;9,"",(AN120*'Standards &amp; Scoring'!$D$5+AO120*'Standards &amp; Scoring'!$D$6+AP120*'Standards &amp; Scoring'!$D$7+AQ120*'Standards &amp; Scoring'!$D$8+AR120*'Standards &amp; Scoring'!$D$9+AS120*'Standards &amp; Scoring'!$D$10+AT120*'Standards &amp; Scoring'!$D$11+AU120*'Standards &amp; Scoring'!$D$12+AV120*'Standards &amp; Scoring'!$D$13)/10000)</f>
        <v/>
      </c>
      <c r="AX120" s="47" t="str">
        <f aca="false">IF(AW120="","",IF(AW120&gt;=1.05,"A+",IF(AW120&gt;=1,"A",IF(AW120&gt;=0.95,"B+",IF(AW120&gt;=0.9,"B","C")))))</f>
        <v/>
      </c>
      <c r="AY120" s="47" t="str">
        <f aca="false">IF(AX120="","",IF(AX120="A+",1800,IF(AX120="A",1600,IF(AX120="B+",1400,IF(AX120="B",1200,0)))))</f>
        <v/>
      </c>
      <c r="AZ120" s="49" t="str">
        <f aca="false">IF(OR(L120="",M120="",S120="",M120=0),"",IFERROR(L120*60*S120/(M120*36),0))</f>
        <v/>
      </c>
    </row>
    <row r="121" customFormat="false" ht="15" hidden="false" customHeight="true" outlineLevel="0" collapsed="false">
      <c r="A121" s="47" t="n">
        <f aca="false">'Daily KPI Entry'!A122</f>
        <v>0</v>
      </c>
      <c r="B121" s="48" t="n">
        <f aca="false">'Daily KPI Entry'!B122</f>
        <v>0</v>
      </c>
      <c r="C121" s="47" t="n">
        <f aca="false">'Daily KPI Entry'!C122</f>
        <v>0</v>
      </c>
      <c r="D121" s="47" t="n">
        <f aca="false">'Daily KPI Entry'!D122</f>
        <v>0</v>
      </c>
      <c r="E121" s="47" t="n">
        <f aca="false">'Daily KPI Entry'!E122</f>
        <v>0</v>
      </c>
      <c r="F121" s="47" t="n">
        <f aca="false">'Daily KPI Entry'!F122</f>
        <v>0</v>
      </c>
      <c r="G121" s="47" t="n">
        <f aca="false">'Daily KPI Entry'!G122</f>
        <v>0</v>
      </c>
      <c r="H121" s="47" t="str">
        <f aca="false">'Daily KPI Entry'!H122</f>
        <v/>
      </c>
      <c r="I121" s="47" t="n">
        <f aca="false">'Daily KPI Entry'!I122</f>
        <v>0</v>
      </c>
      <c r="J121" s="47" t="n">
        <f aca="false">'Daily KPI Entry'!J122</f>
        <v>0</v>
      </c>
      <c r="K121" s="47" t="n">
        <f aca="false">'Daily KPI Entry'!K122</f>
        <v>0</v>
      </c>
      <c r="L121" s="47" t="n">
        <f aca="false">'Daily KPI Entry'!L122</f>
        <v>0</v>
      </c>
      <c r="M121" s="47" t="n">
        <f aca="false">'Daily KPI Entry'!M122</f>
        <v>0</v>
      </c>
      <c r="N121" s="49" t="n">
        <f aca="false">'Daily KPI Entry'!N122</f>
        <v>0</v>
      </c>
      <c r="O121" s="49" t="n">
        <f aca="false">'Daily KPI Entry'!O122</f>
        <v>0</v>
      </c>
      <c r="P121" s="49" t="str">
        <f aca="false">IF(OR(N121="",O121=""),"",IFERROR(O121/N121*100,0))</f>
        <v/>
      </c>
      <c r="Q121" s="47" t="n">
        <f aca="false">'Daily KPI Entry'!Q122</f>
        <v>8</v>
      </c>
      <c r="R121" s="47" t="str">
        <f aca="false">IF(J121="","",Q121*J121)</f>
        <v/>
      </c>
      <c r="S121" s="49" t="n">
        <f aca="false">'Daily KPI Entry'!S122</f>
        <v>0</v>
      </c>
      <c r="T121" s="49" t="str">
        <f aca="false">IF(OR(R121="",S121=""),"",IFERROR(S121/R121*100,0))</f>
        <v/>
      </c>
      <c r="U121" s="49" t="str">
        <f aca="false">IF(OR(O121="",L121="",M121="",S121="",M121=0),"",IFERROR(O121/(L121*60*S121/(M121*36))*100,0))</f>
        <v/>
      </c>
      <c r="V121" s="49" t="n">
        <f aca="false">'Daily KPI Entry'!V122</f>
        <v>0</v>
      </c>
      <c r="W121" s="49" t="str">
        <f aca="false">IF(O121="","",IFERROR(V121/O121*100,0))</f>
        <v/>
      </c>
      <c r="X121" s="49" t="n">
        <f aca="false">'Daily KPI Entry'!X122</f>
        <v>0</v>
      </c>
      <c r="Y121" s="49" t="n">
        <f aca="false">'Daily KPI Entry'!Y122</f>
        <v>0</v>
      </c>
      <c r="Z121" s="49" t="n">
        <f aca="false">'Daily KPI Entry'!Z122</f>
        <v>0</v>
      </c>
      <c r="AA121" s="49" t="n">
        <f aca="false">'Daily KPI Entry'!AA122</f>
        <v>0</v>
      </c>
      <c r="AB121" s="49" t="n">
        <f aca="false">'Daily KPI Entry'!AB122</f>
        <v>0</v>
      </c>
      <c r="AC121" s="49" t="n">
        <f aca="false">'Daily KPI Entry'!AC122</f>
        <v>0</v>
      </c>
      <c r="AD121" s="49" t="n">
        <f aca="false">'Daily KPI Entry'!AD122</f>
        <v>0</v>
      </c>
      <c r="AE121" s="49" t="n">
        <f aca="false">'Daily KPI Entry'!AE122</f>
        <v>0</v>
      </c>
      <c r="AF121" s="47" t="str">
        <f aca="false">IF(O121="","",SUM(X121:AE121))</f>
        <v/>
      </c>
      <c r="AG121" s="49" t="str">
        <f aca="false">IF(O121="","",IFERROR(AF121/O121*1000,0))</f>
        <v/>
      </c>
      <c r="AH121" s="49" t="n">
        <f aca="false">'Daily KPI Entry'!AH122</f>
        <v>0</v>
      </c>
      <c r="AI121" s="49" t="n">
        <f aca="false">'Daily KPI Entry'!AI122</f>
        <v>0</v>
      </c>
      <c r="AJ121" s="49" t="n">
        <f aca="false">'Daily KPI Entry'!AJ122</f>
        <v>0</v>
      </c>
      <c r="AK121" s="47" t="n">
        <f aca="false">'Daily KPI Entry'!AK122</f>
        <v>0</v>
      </c>
      <c r="AL121" s="47" t="n">
        <f aca="false">'Daily KPI Entry'!AL122</f>
        <v>0</v>
      </c>
      <c r="AM121" s="47" t="n">
        <f aca="false">'Daily KPI Entry'!AM122</f>
        <v>0</v>
      </c>
      <c r="AN121" s="49" t="str">
        <f aca="false">IF(P121="","",MIN(120,P121))</f>
        <v/>
      </c>
      <c r="AO121" s="49" t="str">
        <f aca="false">IF(U121="","",MIN(120,U121))</f>
        <v/>
      </c>
      <c r="AP121" s="49" t="str">
        <f aca="false">IF(R121="","",MIN(120,IFERROR(S121/R121*100,0)))</f>
        <v/>
      </c>
      <c r="AQ121" s="49" t="str">
        <f aca="false">IF(W121="","",MIN(120,IF(W121=0,120,100*(INDEX('Standards &amp; Scoring'!$E$5:$E$13,MATCH("Quality / Rejection",'Standards &amp; Scoring'!$A$5:$A$13,0))/W121))))</f>
        <v/>
      </c>
      <c r="AR121" s="49" t="str">
        <f aca="false">IF(AG121="","",MIN(120,IF(AG121=0,120,100*(INDEX('Standards &amp; Scoring'!$E$5:$E$13,MATCH("Fault Control",'Standards &amp; Scoring'!$A$5:$A$13,0))/AG121))))</f>
        <v/>
      </c>
      <c r="AS121" s="49" t="str">
        <f aca="false">IF(O121="","",MIN(120,IF(SUMIFS('Fault &amp; Downtime Entry'!$L$6:$L$1005,'Fault &amp; Downtime Entry'!$E$6:$E$1005,G121,'Fault &amp; Downtime Entry'!$B$6:$B$1005,B121)=0,120,100*(INDEX('Standards &amp; Scoring'!$E$5:$E$13,MATCH("Downtime Control",'Standards &amp; Scoring'!$A$5:$A$13,0))/IFERROR(SUMIFS('Fault &amp; Downtime Entry'!$L$6:$L$1005,'Fault &amp; Downtime Entry'!$E$6:$E$1005,G121,'Fault &amp; Downtime Entry'!$B$6:$B$1005,B121)/O121*1000,999999)))))</f>
        <v/>
      </c>
      <c r="AT121" s="49" t="n">
        <f aca="false">IF(COUNTA(AH121,AJ121)=0,"",MIN(120,IF(AND(AH121&lt;&gt;"",AJ121&lt;&gt;""),AVERAGE(AH121,AJ121),IF(AH121&lt;&gt;"",AH121,AJ121))))</f>
        <v>0</v>
      </c>
      <c r="AU121" s="49" t="str">
        <f aca="false">IF(AI121="","",MIN(120,AI121))</f>
        <v/>
      </c>
      <c r="AV121" s="49" t="str">
        <f aca="false">IF(AJ121="","",MIN(120,AJ121))</f>
        <v/>
      </c>
      <c r="AW121" s="50" t="str">
        <f aca="false">IF(COUNT(AN121:AV121)&lt;9,"",(AN121*'Standards &amp; Scoring'!$D$5+AO121*'Standards &amp; Scoring'!$D$6+AP121*'Standards &amp; Scoring'!$D$7+AQ121*'Standards &amp; Scoring'!$D$8+AR121*'Standards &amp; Scoring'!$D$9+AS121*'Standards &amp; Scoring'!$D$10+AT121*'Standards &amp; Scoring'!$D$11+AU121*'Standards &amp; Scoring'!$D$12+AV121*'Standards &amp; Scoring'!$D$13)/10000)</f>
        <v/>
      </c>
      <c r="AX121" s="47" t="str">
        <f aca="false">IF(AW121="","",IF(AW121&gt;=1.05,"A+",IF(AW121&gt;=1,"A",IF(AW121&gt;=0.95,"B+",IF(AW121&gt;=0.9,"B","C")))))</f>
        <v/>
      </c>
      <c r="AY121" s="47" t="str">
        <f aca="false">IF(AX121="","",IF(AX121="A+",1800,IF(AX121="A",1600,IF(AX121="B+",1400,IF(AX121="B",1200,0)))))</f>
        <v/>
      </c>
      <c r="AZ121" s="49" t="str">
        <f aca="false">IF(OR(L121="",M121="",S121="",M121=0),"",IFERROR(L121*60*S121/(M121*36),0))</f>
        <v/>
      </c>
    </row>
    <row r="122" customFormat="false" ht="15" hidden="false" customHeight="true" outlineLevel="0" collapsed="false">
      <c r="A122" s="47" t="n">
        <f aca="false">'Daily KPI Entry'!A123</f>
        <v>0</v>
      </c>
      <c r="B122" s="48" t="n">
        <f aca="false">'Daily KPI Entry'!B123</f>
        <v>0</v>
      </c>
      <c r="C122" s="47" t="n">
        <f aca="false">'Daily KPI Entry'!C123</f>
        <v>0</v>
      </c>
      <c r="D122" s="47" t="n">
        <f aca="false">'Daily KPI Entry'!D123</f>
        <v>0</v>
      </c>
      <c r="E122" s="47" t="n">
        <f aca="false">'Daily KPI Entry'!E123</f>
        <v>0</v>
      </c>
      <c r="F122" s="47" t="n">
        <f aca="false">'Daily KPI Entry'!F123</f>
        <v>0</v>
      </c>
      <c r="G122" s="47" t="n">
        <f aca="false">'Daily KPI Entry'!G123</f>
        <v>0</v>
      </c>
      <c r="H122" s="47" t="str">
        <f aca="false">'Daily KPI Entry'!H123</f>
        <v/>
      </c>
      <c r="I122" s="47" t="n">
        <f aca="false">'Daily KPI Entry'!I123</f>
        <v>0</v>
      </c>
      <c r="J122" s="47" t="n">
        <f aca="false">'Daily KPI Entry'!J123</f>
        <v>0</v>
      </c>
      <c r="K122" s="47" t="n">
        <f aca="false">'Daily KPI Entry'!K123</f>
        <v>0</v>
      </c>
      <c r="L122" s="47" t="n">
        <f aca="false">'Daily KPI Entry'!L123</f>
        <v>0</v>
      </c>
      <c r="M122" s="47" t="n">
        <f aca="false">'Daily KPI Entry'!M123</f>
        <v>0</v>
      </c>
      <c r="N122" s="49" t="n">
        <f aca="false">'Daily KPI Entry'!N123</f>
        <v>0</v>
      </c>
      <c r="O122" s="49" t="n">
        <f aca="false">'Daily KPI Entry'!O123</f>
        <v>0</v>
      </c>
      <c r="P122" s="49" t="str">
        <f aca="false">IF(OR(N122="",O122=""),"",IFERROR(O122/N122*100,0))</f>
        <v/>
      </c>
      <c r="Q122" s="47" t="n">
        <f aca="false">'Daily KPI Entry'!Q123</f>
        <v>8</v>
      </c>
      <c r="R122" s="47" t="str">
        <f aca="false">IF(J122="","",Q122*J122)</f>
        <v/>
      </c>
      <c r="S122" s="49" t="n">
        <f aca="false">'Daily KPI Entry'!S123</f>
        <v>0</v>
      </c>
      <c r="T122" s="49" t="str">
        <f aca="false">IF(OR(R122="",S122=""),"",IFERROR(S122/R122*100,0))</f>
        <v/>
      </c>
      <c r="U122" s="49" t="str">
        <f aca="false">IF(OR(O122="",L122="",M122="",S122="",M122=0),"",IFERROR(O122/(L122*60*S122/(M122*36))*100,0))</f>
        <v/>
      </c>
      <c r="V122" s="49" t="n">
        <f aca="false">'Daily KPI Entry'!V123</f>
        <v>0</v>
      </c>
      <c r="W122" s="49" t="str">
        <f aca="false">IF(O122="","",IFERROR(V122/O122*100,0))</f>
        <v/>
      </c>
      <c r="X122" s="49" t="n">
        <f aca="false">'Daily KPI Entry'!X123</f>
        <v>0</v>
      </c>
      <c r="Y122" s="49" t="n">
        <f aca="false">'Daily KPI Entry'!Y123</f>
        <v>0</v>
      </c>
      <c r="Z122" s="49" t="n">
        <f aca="false">'Daily KPI Entry'!Z123</f>
        <v>0</v>
      </c>
      <c r="AA122" s="49" t="n">
        <f aca="false">'Daily KPI Entry'!AA123</f>
        <v>0</v>
      </c>
      <c r="AB122" s="49" t="n">
        <f aca="false">'Daily KPI Entry'!AB123</f>
        <v>0</v>
      </c>
      <c r="AC122" s="49" t="n">
        <f aca="false">'Daily KPI Entry'!AC123</f>
        <v>0</v>
      </c>
      <c r="AD122" s="49" t="n">
        <f aca="false">'Daily KPI Entry'!AD123</f>
        <v>0</v>
      </c>
      <c r="AE122" s="49" t="n">
        <f aca="false">'Daily KPI Entry'!AE123</f>
        <v>0</v>
      </c>
      <c r="AF122" s="47" t="str">
        <f aca="false">IF(O122="","",SUM(X122:AE122))</f>
        <v/>
      </c>
      <c r="AG122" s="49" t="str">
        <f aca="false">IF(O122="","",IFERROR(AF122/O122*1000,0))</f>
        <v/>
      </c>
      <c r="AH122" s="49" t="n">
        <f aca="false">'Daily KPI Entry'!AH123</f>
        <v>0</v>
      </c>
      <c r="AI122" s="49" t="n">
        <f aca="false">'Daily KPI Entry'!AI123</f>
        <v>0</v>
      </c>
      <c r="AJ122" s="49" t="n">
        <f aca="false">'Daily KPI Entry'!AJ123</f>
        <v>0</v>
      </c>
      <c r="AK122" s="47" t="n">
        <f aca="false">'Daily KPI Entry'!AK123</f>
        <v>0</v>
      </c>
      <c r="AL122" s="47" t="n">
        <f aca="false">'Daily KPI Entry'!AL123</f>
        <v>0</v>
      </c>
      <c r="AM122" s="47" t="n">
        <f aca="false">'Daily KPI Entry'!AM123</f>
        <v>0</v>
      </c>
      <c r="AN122" s="49" t="str">
        <f aca="false">IF(P122="","",MIN(120,P122))</f>
        <v/>
      </c>
      <c r="AO122" s="49" t="str">
        <f aca="false">IF(U122="","",MIN(120,U122))</f>
        <v/>
      </c>
      <c r="AP122" s="49" t="str">
        <f aca="false">IF(R122="","",MIN(120,IFERROR(S122/R122*100,0)))</f>
        <v/>
      </c>
      <c r="AQ122" s="49" t="str">
        <f aca="false">IF(W122="","",MIN(120,IF(W122=0,120,100*(INDEX('Standards &amp; Scoring'!$E$5:$E$13,MATCH("Quality / Rejection",'Standards &amp; Scoring'!$A$5:$A$13,0))/W122))))</f>
        <v/>
      </c>
      <c r="AR122" s="49" t="str">
        <f aca="false">IF(AG122="","",MIN(120,IF(AG122=0,120,100*(INDEX('Standards &amp; Scoring'!$E$5:$E$13,MATCH("Fault Control",'Standards &amp; Scoring'!$A$5:$A$13,0))/AG122))))</f>
        <v/>
      </c>
      <c r="AS122" s="49" t="str">
        <f aca="false">IF(O122="","",MIN(120,IF(SUMIFS('Fault &amp; Downtime Entry'!$L$6:$L$1005,'Fault &amp; Downtime Entry'!$E$6:$E$1005,G122,'Fault &amp; Downtime Entry'!$B$6:$B$1005,B122)=0,120,100*(INDEX('Standards &amp; Scoring'!$E$5:$E$13,MATCH("Downtime Control",'Standards &amp; Scoring'!$A$5:$A$13,0))/IFERROR(SUMIFS('Fault &amp; Downtime Entry'!$L$6:$L$1005,'Fault &amp; Downtime Entry'!$E$6:$E$1005,G122,'Fault &amp; Downtime Entry'!$B$6:$B$1005,B122)/O122*1000,999999)))))</f>
        <v/>
      </c>
      <c r="AT122" s="49" t="n">
        <f aca="false">IF(COUNTA(AH122,AJ122)=0,"",MIN(120,IF(AND(AH122&lt;&gt;"",AJ122&lt;&gt;""),AVERAGE(AH122,AJ122),IF(AH122&lt;&gt;"",AH122,AJ122))))</f>
        <v>0</v>
      </c>
      <c r="AU122" s="49" t="str">
        <f aca="false">IF(AI122="","",MIN(120,AI122))</f>
        <v/>
      </c>
      <c r="AV122" s="49" t="str">
        <f aca="false">IF(AJ122="","",MIN(120,AJ122))</f>
        <v/>
      </c>
      <c r="AW122" s="50" t="str">
        <f aca="false">IF(COUNT(AN122:AV122)&lt;9,"",(AN122*'Standards &amp; Scoring'!$D$5+AO122*'Standards &amp; Scoring'!$D$6+AP122*'Standards &amp; Scoring'!$D$7+AQ122*'Standards &amp; Scoring'!$D$8+AR122*'Standards &amp; Scoring'!$D$9+AS122*'Standards &amp; Scoring'!$D$10+AT122*'Standards &amp; Scoring'!$D$11+AU122*'Standards &amp; Scoring'!$D$12+AV122*'Standards &amp; Scoring'!$D$13)/10000)</f>
        <v/>
      </c>
      <c r="AX122" s="47" t="str">
        <f aca="false">IF(AW122="","",IF(AW122&gt;=1.05,"A+",IF(AW122&gt;=1,"A",IF(AW122&gt;=0.95,"B+",IF(AW122&gt;=0.9,"B","C")))))</f>
        <v/>
      </c>
      <c r="AY122" s="47" t="str">
        <f aca="false">IF(AX122="","",IF(AX122="A+",1800,IF(AX122="A",1600,IF(AX122="B+",1400,IF(AX122="B",1200,0)))))</f>
        <v/>
      </c>
      <c r="AZ122" s="49" t="str">
        <f aca="false">IF(OR(L122="",M122="",S122="",M122=0),"",IFERROR(L122*60*S122/(M122*36),0))</f>
        <v/>
      </c>
    </row>
    <row r="123" customFormat="false" ht="15" hidden="false" customHeight="true" outlineLevel="0" collapsed="false">
      <c r="A123" s="47" t="n">
        <f aca="false">'Daily KPI Entry'!A124</f>
        <v>0</v>
      </c>
      <c r="B123" s="48" t="n">
        <f aca="false">'Daily KPI Entry'!B124</f>
        <v>0</v>
      </c>
      <c r="C123" s="47" t="n">
        <f aca="false">'Daily KPI Entry'!C124</f>
        <v>0</v>
      </c>
      <c r="D123" s="47" t="n">
        <f aca="false">'Daily KPI Entry'!D124</f>
        <v>0</v>
      </c>
      <c r="E123" s="47" t="n">
        <f aca="false">'Daily KPI Entry'!E124</f>
        <v>0</v>
      </c>
      <c r="F123" s="47" t="n">
        <f aca="false">'Daily KPI Entry'!F124</f>
        <v>0</v>
      </c>
      <c r="G123" s="47" t="n">
        <f aca="false">'Daily KPI Entry'!G124</f>
        <v>0</v>
      </c>
      <c r="H123" s="47" t="str">
        <f aca="false">'Daily KPI Entry'!H124</f>
        <v/>
      </c>
      <c r="I123" s="47" t="n">
        <f aca="false">'Daily KPI Entry'!I124</f>
        <v>0</v>
      </c>
      <c r="J123" s="47" t="n">
        <f aca="false">'Daily KPI Entry'!J124</f>
        <v>0</v>
      </c>
      <c r="K123" s="47" t="n">
        <f aca="false">'Daily KPI Entry'!K124</f>
        <v>0</v>
      </c>
      <c r="L123" s="47" t="n">
        <f aca="false">'Daily KPI Entry'!L124</f>
        <v>0</v>
      </c>
      <c r="M123" s="47" t="n">
        <f aca="false">'Daily KPI Entry'!M124</f>
        <v>0</v>
      </c>
      <c r="N123" s="49" t="n">
        <f aca="false">'Daily KPI Entry'!N124</f>
        <v>0</v>
      </c>
      <c r="O123" s="49" t="n">
        <f aca="false">'Daily KPI Entry'!O124</f>
        <v>0</v>
      </c>
      <c r="P123" s="49" t="str">
        <f aca="false">IF(OR(N123="",O123=""),"",IFERROR(O123/N123*100,0))</f>
        <v/>
      </c>
      <c r="Q123" s="47" t="n">
        <f aca="false">'Daily KPI Entry'!Q124</f>
        <v>8</v>
      </c>
      <c r="R123" s="47" t="str">
        <f aca="false">IF(J123="","",Q123*J123)</f>
        <v/>
      </c>
      <c r="S123" s="49" t="n">
        <f aca="false">'Daily KPI Entry'!S124</f>
        <v>0</v>
      </c>
      <c r="T123" s="49" t="str">
        <f aca="false">IF(OR(R123="",S123=""),"",IFERROR(S123/R123*100,0))</f>
        <v/>
      </c>
      <c r="U123" s="49" t="str">
        <f aca="false">IF(OR(O123="",L123="",M123="",S123="",M123=0),"",IFERROR(O123/(L123*60*S123/(M123*36))*100,0))</f>
        <v/>
      </c>
      <c r="V123" s="49" t="n">
        <f aca="false">'Daily KPI Entry'!V124</f>
        <v>0</v>
      </c>
      <c r="W123" s="49" t="str">
        <f aca="false">IF(O123="","",IFERROR(V123/O123*100,0))</f>
        <v/>
      </c>
      <c r="X123" s="49" t="n">
        <f aca="false">'Daily KPI Entry'!X124</f>
        <v>0</v>
      </c>
      <c r="Y123" s="49" t="n">
        <f aca="false">'Daily KPI Entry'!Y124</f>
        <v>0</v>
      </c>
      <c r="Z123" s="49" t="n">
        <f aca="false">'Daily KPI Entry'!Z124</f>
        <v>0</v>
      </c>
      <c r="AA123" s="49" t="n">
        <f aca="false">'Daily KPI Entry'!AA124</f>
        <v>0</v>
      </c>
      <c r="AB123" s="49" t="n">
        <f aca="false">'Daily KPI Entry'!AB124</f>
        <v>0</v>
      </c>
      <c r="AC123" s="49" t="n">
        <f aca="false">'Daily KPI Entry'!AC124</f>
        <v>0</v>
      </c>
      <c r="AD123" s="49" t="n">
        <f aca="false">'Daily KPI Entry'!AD124</f>
        <v>0</v>
      </c>
      <c r="AE123" s="49" t="n">
        <f aca="false">'Daily KPI Entry'!AE124</f>
        <v>0</v>
      </c>
      <c r="AF123" s="47" t="str">
        <f aca="false">IF(O123="","",SUM(X123:AE123))</f>
        <v/>
      </c>
      <c r="AG123" s="49" t="str">
        <f aca="false">IF(O123="","",IFERROR(AF123/O123*1000,0))</f>
        <v/>
      </c>
      <c r="AH123" s="49" t="n">
        <f aca="false">'Daily KPI Entry'!AH124</f>
        <v>0</v>
      </c>
      <c r="AI123" s="49" t="n">
        <f aca="false">'Daily KPI Entry'!AI124</f>
        <v>0</v>
      </c>
      <c r="AJ123" s="49" t="n">
        <f aca="false">'Daily KPI Entry'!AJ124</f>
        <v>0</v>
      </c>
      <c r="AK123" s="47" t="n">
        <f aca="false">'Daily KPI Entry'!AK124</f>
        <v>0</v>
      </c>
      <c r="AL123" s="47" t="n">
        <f aca="false">'Daily KPI Entry'!AL124</f>
        <v>0</v>
      </c>
      <c r="AM123" s="47" t="n">
        <f aca="false">'Daily KPI Entry'!AM124</f>
        <v>0</v>
      </c>
      <c r="AN123" s="49" t="str">
        <f aca="false">IF(P123="","",MIN(120,P123))</f>
        <v/>
      </c>
      <c r="AO123" s="49" t="str">
        <f aca="false">IF(U123="","",MIN(120,U123))</f>
        <v/>
      </c>
      <c r="AP123" s="49" t="str">
        <f aca="false">IF(R123="","",MIN(120,IFERROR(S123/R123*100,0)))</f>
        <v/>
      </c>
      <c r="AQ123" s="49" t="str">
        <f aca="false">IF(W123="","",MIN(120,IF(W123=0,120,100*(INDEX('Standards &amp; Scoring'!$E$5:$E$13,MATCH("Quality / Rejection",'Standards &amp; Scoring'!$A$5:$A$13,0))/W123))))</f>
        <v/>
      </c>
      <c r="AR123" s="49" t="str">
        <f aca="false">IF(AG123="","",MIN(120,IF(AG123=0,120,100*(INDEX('Standards &amp; Scoring'!$E$5:$E$13,MATCH("Fault Control",'Standards &amp; Scoring'!$A$5:$A$13,0))/AG123))))</f>
        <v/>
      </c>
      <c r="AS123" s="49" t="str">
        <f aca="false">IF(O123="","",MIN(120,IF(SUMIFS('Fault &amp; Downtime Entry'!$L$6:$L$1005,'Fault &amp; Downtime Entry'!$E$6:$E$1005,G123,'Fault &amp; Downtime Entry'!$B$6:$B$1005,B123)=0,120,100*(INDEX('Standards &amp; Scoring'!$E$5:$E$13,MATCH("Downtime Control",'Standards &amp; Scoring'!$A$5:$A$13,0))/IFERROR(SUMIFS('Fault &amp; Downtime Entry'!$L$6:$L$1005,'Fault &amp; Downtime Entry'!$E$6:$E$1005,G123,'Fault &amp; Downtime Entry'!$B$6:$B$1005,B123)/O123*1000,999999)))))</f>
        <v/>
      </c>
      <c r="AT123" s="49" t="n">
        <f aca="false">IF(COUNTA(AH123,AJ123)=0,"",MIN(120,IF(AND(AH123&lt;&gt;"",AJ123&lt;&gt;""),AVERAGE(AH123,AJ123),IF(AH123&lt;&gt;"",AH123,AJ123))))</f>
        <v>0</v>
      </c>
      <c r="AU123" s="49" t="str">
        <f aca="false">IF(AI123="","",MIN(120,AI123))</f>
        <v/>
      </c>
      <c r="AV123" s="49" t="str">
        <f aca="false">IF(AJ123="","",MIN(120,AJ123))</f>
        <v/>
      </c>
      <c r="AW123" s="50" t="str">
        <f aca="false">IF(COUNT(AN123:AV123)&lt;9,"",(AN123*'Standards &amp; Scoring'!$D$5+AO123*'Standards &amp; Scoring'!$D$6+AP123*'Standards &amp; Scoring'!$D$7+AQ123*'Standards &amp; Scoring'!$D$8+AR123*'Standards &amp; Scoring'!$D$9+AS123*'Standards &amp; Scoring'!$D$10+AT123*'Standards &amp; Scoring'!$D$11+AU123*'Standards &amp; Scoring'!$D$12+AV123*'Standards &amp; Scoring'!$D$13)/10000)</f>
        <v/>
      </c>
      <c r="AX123" s="47" t="str">
        <f aca="false">IF(AW123="","",IF(AW123&gt;=1.05,"A+",IF(AW123&gt;=1,"A",IF(AW123&gt;=0.95,"B+",IF(AW123&gt;=0.9,"B","C")))))</f>
        <v/>
      </c>
      <c r="AY123" s="47" t="str">
        <f aca="false">IF(AX123="","",IF(AX123="A+",1800,IF(AX123="A",1600,IF(AX123="B+",1400,IF(AX123="B",1200,0)))))</f>
        <v/>
      </c>
      <c r="AZ123" s="49" t="str">
        <f aca="false">IF(OR(L123="",M123="",S123="",M123=0),"",IFERROR(L123*60*S123/(M123*36),0))</f>
        <v/>
      </c>
    </row>
    <row r="124" customFormat="false" ht="15" hidden="false" customHeight="true" outlineLevel="0" collapsed="false">
      <c r="A124" s="47" t="n">
        <f aca="false">'Daily KPI Entry'!A125</f>
        <v>0</v>
      </c>
      <c r="B124" s="48" t="n">
        <f aca="false">'Daily KPI Entry'!B125</f>
        <v>0</v>
      </c>
      <c r="C124" s="47" t="n">
        <f aca="false">'Daily KPI Entry'!C125</f>
        <v>0</v>
      </c>
      <c r="D124" s="47" t="n">
        <f aca="false">'Daily KPI Entry'!D125</f>
        <v>0</v>
      </c>
      <c r="E124" s="47" t="n">
        <f aca="false">'Daily KPI Entry'!E125</f>
        <v>0</v>
      </c>
      <c r="F124" s="47" t="n">
        <f aca="false">'Daily KPI Entry'!F125</f>
        <v>0</v>
      </c>
      <c r="G124" s="47" t="n">
        <f aca="false">'Daily KPI Entry'!G125</f>
        <v>0</v>
      </c>
      <c r="H124" s="47" t="str">
        <f aca="false">'Daily KPI Entry'!H125</f>
        <v/>
      </c>
      <c r="I124" s="47" t="n">
        <f aca="false">'Daily KPI Entry'!I125</f>
        <v>0</v>
      </c>
      <c r="J124" s="47" t="n">
        <f aca="false">'Daily KPI Entry'!J125</f>
        <v>0</v>
      </c>
      <c r="K124" s="47" t="n">
        <f aca="false">'Daily KPI Entry'!K125</f>
        <v>0</v>
      </c>
      <c r="L124" s="47" t="n">
        <f aca="false">'Daily KPI Entry'!L125</f>
        <v>0</v>
      </c>
      <c r="M124" s="47" t="n">
        <f aca="false">'Daily KPI Entry'!M125</f>
        <v>0</v>
      </c>
      <c r="N124" s="49" t="n">
        <f aca="false">'Daily KPI Entry'!N125</f>
        <v>0</v>
      </c>
      <c r="O124" s="49" t="n">
        <f aca="false">'Daily KPI Entry'!O125</f>
        <v>0</v>
      </c>
      <c r="P124" s="49" t="str">
        <f aca="false">IF(OR(N124="",O124=""),"",IFERROR(O124/N124*100,0))</f>
        <v/>
      </c>
      <c r="Q124" s="47" t="n">
        <f aca="false">'Daily KPI Entry'!Q125</f>
        <v>8</v>
      </c>
      <c r="R124" s="47" t="str">
        <f aca="false">IF(J124="","",Q124*J124)</f>
        <v/>
      </c>
      <c r="S124" s="49" t="n">
        <f aca="false">'Daily KPI Entry'!S125</f>
        <v>0</v>
      </c>
      <c r="T124" s="49" t="str">
        <f aca="false">IF(OR(R124="",S124=""),"",IFERROR(S124/R124*100,0))</f>
        <v/>
      </c>
      <c r="U124" s="49" t="str">
        <f aca="false">IF(OR(O124="",L124="",M124="",S124="",M124=0),"",IFERROR(O124/(L124*60*S124/(M124*36))*100,0))</f>
        <v/>
      </c>
      <c r="V124" s="49" t="n">
        <f aca="false">'Daily KPI Entry'!V125</f>
        <v>0</v>
      </c>
      <c r="W124" s="49" t="str">
        <f aca="false">IF(O124="","",IFERROR(V124/O124*100,0))</f>
        <v/>
      </c>
      <c r="X124" s="49" t="n">
        <f aca="false">'Daily KPI Entry'!X125</f>
        <v>0</v>
      </c>
      <c r="Y124" s="49" t="n">
        <f aca="false">'Daily KPI Entry'!Y125</f>
        <v>0</v>
      </c>
      <c r="Z124" s="49" t="n">
        <f aca="false">'Daily KPI Entry'!Z125</f>
        <v>0</v>
      </c>
      <c r="AA124" s="49" t="n">
        <f aca="false">'Daily KPI Entry'!AA125</f>
        <v>0</v>
      </c>
      <c r="AB124" s="49" t="n">
        <f aca="false">'Daily KPI Entry'!AB125</f>
        <v>0</v>
      </c>
      <c r="AC124" s="49" t="n">
        <f aca="false">'Daily KPI Entry'!AC125</f>
        <v>0</v>
      </c>
      <c r="AD124" s="49" t="n">
        <f aca="false">'Daily KPI Entry'!AD125</f>
        <v>0</v>
      </c>
      <c r="AE124" s="49" t="n">
        <f aca="false">'Daily KPI Entry'!AE125</f>
        <v>0</v>
      </c>
      <c r="AF124" s="47" t="str">
        <f aca="false">IF(O124="","",SUM(X124:AE124))</f>
        <v/>
      </c>
      <c r="AG124" s="49" t="str">
        <f aca="false">IF(O124="","",IFERROR(AF124/O124*1000,0))</f>
        <v/>
      </c>
      <c r="AH124" s="49" t="n">
        <f aca="false">'Daily KPI Entry'!AH125</f>
        <v>0</v>
      </c>
      <c r="AI124" s="49" t="n">
        <f aca="false">'Daily KPI Entry'!AI125</f>
        <v>0</v>
      </c>
      <c r="AJ124" s="49" t="n">
        <f aca="false">'Daily KPI Entry'!AJ125</f>
        <v>0</v>
      </c>
      <c r="AK124" s="47" t="n">
        <f aca="false">'Daily KPI Entry'!AK125</f>
        <v>0</v>
      </c>
      <c r="AL124" s="47" t="n">
        <f aca="false">'Daily KPI Entry'!AL125</f>
        <v>0</v>
      </c>
      <c r="AM124" s="47" t="n">
        <f aca="false">'Daily KPI Entry'!AM125</f>
        <v>0</v>
      </c>
      <c r="AN124" s="49" t="str">
        <f aca="false">IF(P124="","",MIN(120,P124))</f>
        <v/>
      </c>
      <c r="AO124" s="49" t="str">
        <f aca="false">IF(U124="","",MIN(120,U124))</f>
        <v/>
      </c>
      <c r="AP124" s="49" t="str">
        <f aca="false">IF(R124="","",MIN(120,IFERROR(S124/R124*100,0)))</f>
        <v/>
      </c>
      <c r="AQ124" s="49" t="str">
        <f aca="false">IF(W124="","",MIN(120,IF(W124=0,120,100*(INDEX('Standards &amp; Scoring'!$E$5:$E$13,MATCH("Quality / Rejection",'Standards &amp; Scoring'!$A$5:$A$13,0))/W124))))</f>
        <v/>
      </c>
      <c r="AR124" s="49" t="str">
        <f aca="false">IF(AG124="","",MIN(120,IF(AG124=0,120,100*(INDEX('Standards &amp; Scoring'!$E$5:$E$13,MATCH("Fault Control",'Standards &amp; Scoring'!$A$5:$A$13,0))/AG124))))</f>
        <v/>
      </c>
      <c r="AS124" s="49" t="str">
        <f aca="false">IF(O124="","",MIN(120,IF(SUMIFS('Fault &amp; Downtime Entry'!$L$6:$L$1005,'Fault &amp; Downtime Entry'!$E$6:$E$1005,G124,'Fault &amp; Downtime Entry'!$B$6:$B$1005,B124)=0,120,100*(INDEX('Standards &amp; Scoring'!$E$5:$E$13,MATCH("Downtime Control",'Standards &amp; Scoring'!$A$5:$A$13,0))/IFERROR(SUMIFS('Fault &amp; Downtime Entry'!$L$6:$L$1005,'Fault &amp; Downtime Entry'!$E$6:$E$1005,G124,'Fault &amp; Downtime Entry'!$B$6:$B$1005,B124)/O124*1000,999999)))))</f>
        <v/>
      </c>
      <c r="AT124" s="49" t="n">
        <f aca="false">IF(COUNTA(AH124,AJ124)=0,"",MIN(120,IF(AND(AH124&lt;&gt;"",AJ124&lt;&gt;""),AVERAGE(AH124,AJ124),IF(AH124&lt;&gt;"",AH124,AJ124))))</f>
        <v>0</v>
      </c>
      <c r="AU124" s="49" t="str">
        <f aca="false">IF(AI124="","",MIN(120,AI124))</f>
        <v/>
      </c>
      <c r="AV124" s="49" t="str">
        <f aca="false">IF(AJ124="","",MIN(120,AJ124))</f>
        <v/>
      </c>
      <c r="AW124" s="50" t="str">
        <f aca="false">IF(COUNT(AN124:AV124)&lt;9,"",(AN124*'Standards &amp; Scoring'!$D$5+AO124*'Standards &amp; Scoring'!$D$6+AP124*'Standards &amp; Scoring'!$D$7+AQ124*'Standards &amp; Scoring'!$D$8+AR124*'Standards &amp; Scoring'!$D$9+AS124*'Standards &amp; Scoring'!$D$10+AT124*'Standards &amp; Scoring'!$D$11+AU124*'Standards &amp; Scoring'!$D$12+AV124*'Standards &amp; Scoring'!$D$13)/10000)</f>
        <v/>
      </c>
      <c r="AX124" s="47" t="str">
        <f aca="false">IF(AW124="","",IF(AW124&gt;=1.05,"A+",IF(AW124&gt;=1,"A",IF(AW124&gt;=0.95,"B+",IF(AW124&gt;=0.9,"B","C")))))</f>
        <v/>
      </c>
      <c r="AY124" s="47" t="str">
        <f aca="false">IF(AX124="","",IF(AX124="A+",1800,IF(AX124="A",1600,IF(AX124="B+",1400,IF(AX124="B",1200,0)))))</f>
        <v/>
      </c>
      <c r="AZ124" s="49" t="str">
        <f aca="false">IF(OR(L124="",M124="",S124="",M124=0),"",IFERROR(L124*60*S124/(M124*36),0))</f>
        <v/>
      </c>
    </row>
    <row r="125" customFormat="false" ht="15" hidden="false" customHeight="true" outlineLevel="0" collapsed="false">
      <c r="A125" s="47" t="n">
        <f aca="false">'Daily KPI Entry'!A126</f>
        <v>0</v>
      </c>
      <c r="B125" s="48" t="n">
        <f aca="false">'Daily KPI Entry'!B126</f>
        <v>0</v>
      </c>
      <c r="C125" s="47" t="n">
        <f aca="false">'Daily KPI Entry'!C126</f>
        <v>0</v>
      </c>
      <c r="D125" s="47" t="n">
        <f aca="false">'Daily KPI Entry'!D126</f>
        <v>0</v>
      </c>
      <c r="E125" s="47" t="n">
        <f aca="false">'Daily KPI Entry'!E126</f>
        <v>0</v>
      </c>
      <c r="F125" s="47" t="n">
        <f aca="false">'Daily KPI Entry'!F126</f>
        <v>0</v>
      </c>
      <c r="G125" s="47" t="n">
        <f aca="false">'Daily KPI Entry'!G126</f>
        <v>0</v>
      </c>
      <c r="H125" s="47" t="str">
        <f aca="false">'Daily KPI Entry'!H126</f>
        <v/>
      </c>
      <c r="I125" s="47" t="n">
        <f aca="false">'Daily KPI Entry'!I126</f>
        <v>0</v>
      </c>
      <c r="J125" s="47" t="n">
        <f aca="false">'Daily KPI Entry'!J126</f>
        <v>0</v>
      </c>
      <c r="K125" s="47" t="n">
        <f aca="false">'Daily KPI Entry'!K126</f>
        <v>0</v>
      </c>
      <c r="L125" s="47" t="n">
        <f aca="false">'Daily KPI Entry'!L126</f>
        <v>0</v>
      </c>
      <c r="M125" s="47" t="n">
        <f aca="false">'Daily KPI Entry'!M126</f>
        <v>0</v>
      </c>
      <c r="N125" s="49" t="n">
        <f aca="false">'Daily KPI Entry'!N126</f>
        <v>0</v>
      </c>
      <c r="O125" s="49" t="n">
        <f aca="false">'Daily KPI Entry'!O126</f>
        <v>0</v>
      </c>
      <c r="P125" s="49" t="str">
        <f aca="false">IF(OR(N125="",O125=""),"",IFERROR(O125/N125*100,0))</f>
        <v/>
      </c>
      <c r="Q125" s="47" t="n">
        <f aca="false">'Daily KPI Entry'!Q126</f>
        <v>8</v>
      </c>
      <c r="R125" s="47" t="str">
        <f aca="false">IF(J125="","",Q125*J125)</f>
        <v/>
      </c>
      <c r="S125" s="49" t="n">
        <f aca="false">'Daily KPI Entry'!S126</f>
        <v>0</v>
      </c>
      <c r="T125" s="49" t="str">
        <f aca="false">IF(OR(R125="",S125=""),"",IFERROR(S125/R125*100,0))</f>
        <v/>
      </c>
      <c r="U125" s="49" t="str">
        <f aca="false">IF(OR(O125="",L125="",M125="",S125="",M125=0),"",IFERROR(O125/(L125*60*S125/(M125*36))*100,0))</f>
        <v/>
      </c>
      <c r="V125" s="49" t="n">
        <f aca="false">'Daily KPI Entry'!V126</f>
        <v>0</v>
      </c>
      <c r="W125" s="49" t="str">
        <f aca="false">IF(O125="","",IFERROR(V125/O125*100,0))</f>
        <v/>
      </c>
      <c r="X125" s="49" t="n">
        <f aca="false">'Daily KPI Entry'!X126</f>
        <v>0</v>
      </c>
      <c r="Y125" s="49" t="n">
        <f aca="false">'Daily KPI Entry'!Y126</f>
        <v>0</v>
      </c>
      <c r="Z125" s="49" t="n">
        <f aca="false">'Daily KPI Entry'!Z126</f>
        <v>0</v>
      </c>
      <c r="AA125" s="49" t="n">
        <f aca="false">'Daily KPI Entry'!AA126</f>
        <v>0</v>
      </c>
      <c r="AB125" s="49" t="n">
        <f aca="false">'Daily KPI Entry'!AB126</f>
        <v>0</v>
      </c>
      <c r="AC125" s="49" t="n">
        <f aca="false">'Daily KPI Entry'!AC126</f>
        <v>0</v>
      </c>
      <c r="AD125" s="49" t="n">
        <f aca="false">'Daily KPI Entry'!AD126</f>
        <v>0</v>
      </c>
      <c r="AE125" s="49" t="n">
        <f aca="false">'Daily KPI Entry'!AE126</f>
        <v>0</v>
      </c>
      <c r="AF125" s="47" t="str">
        <f aca="false">IF(O125="","",SUM(X125:AE125))</f>
        <v/>
      </c>
      <c r="AG125" s="49" t="str">
        <f aca="false">IF(O125="","",IFERROR(AF125/O125*1000,0))</f>
        <v/>
      </c>
      <c r="AH125" s="49" t="n">
        <f aca="false">'Daily KPI Entry'!AH126</f>
        <v>0</v>
      </c>
      <c r="AI125" s="49" t="n">
        <f aca="false">'Daily KPI Entry'!AI126</f>
        <v>0</v>
      </c>
      <c r="AJ125" s="49" t="n">
        <f aca="false">'Daily KPI Entry'!AJ126</f>
        <v>0</v>
      </c>
      <c r="AK125" s="47" t="n">
        <f aca="false">'Daily KPI Entry'!AK126</f>
        <v>0</v>
      </c>
      <c r="AL125" s="47" t="n">
        <f aca="false">'Daily KPI Entry'!AL126</f>
        <v>0</v>
      </c>
      <c r="AM125" s="47" t="n">
        <f aca="false">'Daily KPI Entry'!AM126</f>
        <v>0</v>
      </c>
      <c r="AN125" s="49" t="str">
        <f aca="false">IF(P125="","",MIN(120,P125))</f>
        <v/>
      </c>
      <c r="AO125" s="49" t="str">
        <f aca="false">IF(U125="","",MIN(120,U125))</f>
        <v/>
      </c>
      <c r="AP125" s="49" t="str">
        <f aca="false">IF(R125="","",MIN(120,IFERROR(S125/R125*100,0)))</f>
        <v/>
      </c>
      <c r="AQ125" s="49" t="str">
        <f aca="false">IF(W125="","",MIN(120,IF(W125=0,120,100*(INDEX('Standards &amp; Scoring'!$E$5:$E$13,MATCH("Quality / Rejection",'Standards &amp; Scoring'!$A$5:$A$13,0))/W125))))</f>
        <v/>
      </c>
      <c r="AR125" s="49" t="str">
        <f aca="false">IF(AG125="","",MIN(120,IF(AG125=0,120,100*(INDEX('Standards &amp; Scoring'!$E$5:$E$13,MATCH("Fault Control",'Standards &amp; Scoring'!$A$5:$A$13,0))/AG125))))</f>
        <v/>
      </c>
      <c r="AS125" s="49" t="str">
        <f aca="false">IF(O125="","",MIN(120,IF(SUMIFS('Fault &amp; Downtime Entry'!$L$6:$L$1005,'Fault &amp; Downtime Entry'!$E$6:$E$1005,G125,'Fault &amp; Downtime Entry'!$B$6:$B$1005,B125)=0,120,100*(INDEX('Standards &amp; Scoring'!$E$5:$E$13,MATCH("Downtime Control",'Standards &amp; Scoring'!$A$5:$A$13,0))/IFERROR(SUMIFS('Fault &amp; Downtime Entry'!$L$6:$L$1005,'Fault &amp; Downtime Entry'!$E$6:$E$1005,G125,'Fault &amp; Downtime Entry'!$B$6:$B$1005,B125)/O125*1000,999999)))))</f>
        <v/>
      </c>
      <c r="AT125" s="49" t="n">
        <f aca="false">IF(COUNTA(AH125,AJ125)=0,"",MIN(120,IF(AND(AH125&lt;&gt;"",AJ125&lt;&gt;""),AVERAGE(AH125,AJ125),IF(AH125&lt;&gt;"",AH125,AJ125))))</f>
        <v>0</v>
      </c>
      <c r="AU125" s="49" t="str">
        <f aca="false">IF(AI125="","",MIN(120,AI125))</f>
        <v/>
      </c>
      <c r="AV125" s="49" t="str">
        <f aca="false">IF(AJ125="","",MIN(120,AJ125))</f>
        <v/>
      </c>
      <c r="AW125" s="50" t="str">
        <f aca="false">IF(COUNT(AN125:AV125)&lt;9,"",(AN125*'Standards &amp; Scoring'!$D$5+AO125*'Standards &amp; Scoring'!$D$6+AP125*'Standards &amp; Scoring'!$D$7+AQ125*'Standards &amp; Scoring'!$D$8+AR125*'Standards &amp; Scoring'!$D$9+AS125*'Standards &amp; Scoring'!$D$10+AT125*'Standards &amp; Scoring'!$D$11+AU125*'Standards &amp; Scoring'!$D$12+AV125*'Standards &amp; Scoring'!$D$13)/10000)</f>
        <v/>
      </c>
      <c r="AX125" s="47" t="str">
        <f aca="false">IF(AW125="","",IF(AW125&gt;=1.05,"A+",IF(AW125&gt;=1,"A",IF(AW125&gt;=0.95,"B+",IF(AW125&gt;=0.9,"B","C")))))</f>
        <v/>
      </c>
      <c r="AY125" s="47" t="str">
        <f aca="false">IF(AX125="","",IF(AX125="A+",1800,IF(AX125="A",1600,IF(AX125="B+",1400,IF(AX125="B",1200,0)))))</f>
        <v/>
      </c>
      <c r="AZ125" s="49" t="str">
        <f aca="false">IF(OR(L125="",M125="",S125="",M125=0),"",IFERROR(L125*60*S125/(M125*36),0))</f>
        <v/>
      </c>
    </row>
    <row r="126" customFormat="false" ht="15" hidden="false" customHeight="true" outlineLevel="0" collapsed="false">
      <c r="A126" s="47" t="n">
        <f aca="false">'Daily KPI Entry'!A127</f>
        <v>0</v>
      </c>
      <c r="B126" s="48" t="n">
        <f aca="false">'Daily KPI Entry'!B127</f>
        <v>0</v>
      </c>
      <c r="C126" s="47" t="n">
        <f aca="false">'Daily KPI Entry'!C127</f>
        <v>0</v>
      </c>
      <c r="D126" s="47" t="n">
        <f aca="false">'Daily KPI Entry'!D127</f>
        <v>0</v>
      </c>
      <c r="E126" s="47" t="n">
        <f aca="false">'Daily KPI Entry'!E127</f>
        <v>0</v>
      </c>
      <c r="F126" s="47" t="n">
        <f aca="false">'Daily KPI Entry'!F127</f>
        <v>0</v>
      </c>
      <c r="G126" s="47" t="n">
        <f aca="false">'Daily KPI Entry'!G127</f>
        <v>0</v>
      </c>
      <c r="H126" s="47" t="str">
        <f aca="false">'Daily KPI Entry'!H127</f>
        <v/>
      </c>
      <c r="I126" s="47" t="n">
        <f aca="false">'Daily KPI Entry'!I127</f>
        <v>0</v>
      </c>
      <c r="J126" s="47" t="n">
        <f aca="false">'Daily KPI Entry'!J127</f>
        <v>0</v>
      </c>
      <c r="K126" s="47" t="n">
        <f aca="false">'Daily KPI Entry'!K127</f>
        <v>0</v>
      </c>
      <c r="L126" s="47" t="n">
        <f aca="false">'Daily KPI Entry'!L127</f>
        <v>0</v>
      </c>
      <c r="M126" s="47" t="n">
        <f aca="false">'Daily KPI Entry'!M127</f>
        <v>0</v>
      </c>
      <c r="N126" s="49" t="n">
        <f aca="false">'Daily KPI Entry'!N127</f>
        <v>0</v>
      </c>
      <c r="O126" s="49" t="n">
        <f aca="false">'Daily KPI Entry'!O127</f>
        <v>0</v>
      </c>
      <c r="P126" s="49" t="str">
        <f aca="false">IF(OR(N126="",O126=""),"",IFERROR(O126/N126*100,0))</f>
        <v/>
      </c>
      <c r="Q126" s="47" t="n">
        <f aca="false">'Daily KPI Entry'!Q127</f>
        <v>8</v>
      </c>
      <c r="R126" s="47" t="str">
        <f aca="false">IF(J126="","",Q126*J126)</f>
        <v/>
      </c>
      <c r="S126" s="49" t="n">
        <f aca="false">'Daily KPI Entry'!S127</f>
        <v>0</v>
      </c>
      <c r="T126" s="49" t="str">
        <f aca="false">IF(OR(R126="",S126=""),"",IFERROR(S126/R126*100,0))</f>
        <v/>
      </c>
      <c r="U126" s="49" t="str">
        <f aca="false">IF(OR(O126="",L126="",M126="",S126="",M126=0),"",IFERROR(O126/(L126*60*S126/(M126*36))*100,0))</f>
        <v/>
      </c>
      <c r="V126" s="49" t="n">
        <f aca="false">'Daily KPI Entry'!V127</f>
        <v>0</v>
      </c>
      <c r="W126" s="49" t="str">
        <f aca="false">IF(O126="","",IFERROR(V126/O126*100,0))</f>
        <v/>
      </c>
      <c r="X126" s="49" t="n">
        <f aca="false">'Daily KPI Entry'!X127</f>
        <v>0</v>
      </c>
      <c r="Y126" s="49" t="n">
        <f aca="false">'Daily KPI Entry'!Y127</f>
        <v>0</v>
      </c>
      <c r="Z126" s="49" t="n">
        <f aca="false">'Daily KPI Entry'!Z127</f>
        <v>0</v>
      </c>
      <c r="AA126" s="49" t="n">
        <f aca="false">'Daily KPI Entry'!AA127</f>
        <v>0</v>
      </c>
      <c r="AB126" s="49" t="n">
        <f aca="false">'Daily KPI Entry'!AB127</f>
        <v>0</v>
      </c>
      <c r="AC126" s="49" t="n">
        <f aca="false">'Daily KPI Entry'!AC127</f>
        <v>0</v>
      </c>
      <c r="AD126" s="49" t="n">
        <f aca="false">'Daily KPI Entry'!AD127</f>
        <v>0</v>
      </c>
      <c r="AE126" s="49" t="n">
        <f aca="false">'Daily KPI Entry'!AE127</f>
        <v>0</v>
      </c>
      <c r="AF126" s="47" t="str">
        <f aca="false">IF(O126="","",SUM(X126:AE126))</f>
        <v/>
      </c>
      <c r="AG126" s="49" t="str">
        <f aca="false">IF(O126="","",IFERROR(AF126/O126*1000,0))</f>
        <v/>
      </c>
      <c r="AH126" s="49" t="n">
        <f aca="false">'Daily KPI Entry'!AH127</f>
        <v>0</v>
      </c>
      <c r="AI126" s="49" t="n">
        <f aca="false">'Daily KPI Entry'!AI127</f>
        <v>0</v>
      </c>
      <c r="AJ126" s="49" t="n">
        <f aca="false">'Daily KPI Entry'!AJ127</f>
        <v>0</v>
      </c>
      <c r="AK126" s="47" t="n">
        <f aca="false">'Daily KPI Entry'!AK127</f>
        <v>0</v>
      </c>
      <c r="AL126" s="47" t="n">
        <f aca="false">'Daily KPI Entry'!AL127</f>
        <v>0</v>
      </c>
      <c r="AM126" s="47" t="n">
        <f aca="false">'Daily KPI Entry'!AM127</f>
        <v>0</v>
      </c>
      <c r="AN126" s="49" t="str">
        <f aca="false">IF(P126="","",MIN(120,P126))</f>
        <v/>
      </c>
      <c r="AO126" s="49" t="str">
        <f aca="false">IF(U126="","",MIN(120,U126))</f>
        <v/>
      </c>
      <c r="AP126" s="49" t="str">
        <f aca="false">IF(R126="","",MIN(120,IFERROR(S126/R126*100,0)))</f>
        <v/>
      </c>
      <c r="AQ126" s="49" t="str">
        <f aca="false">IF(W126="","",MIN(120,IF(W126=0,120,100*(INDEX('Standards &amp; Scoring'!$E$5:$E$13,MATCH("Quality / Rejection",'Standards &amp; Scoring'!$A$5:$A$13,0))/W126))))</f>
        <v/>
      </c>
      <c r="AR126" s="49" t="str">
        <f aca="false">IF(AG126="","",MIN(120,IF(AG126=0,120,100*(INDEX('Standards &amp; Scoring'!$E$5:$E$13,MATCH("Fault Control",'Standards &amp; Scoring'!$A$5:$A$13,0))/AG126))))</f>
        <v/>
      </c>
      <c r="AS126" s="49" t="str">
        <f aca="false">IF(O126="","",MIN(120,IF(SUMIFS('Fault &amp; Downtime Entry'!$L$6:$L$1005,'Fault &amp; Downtime Entry'!$E$6:$E$1005,G126,'Fault &amp; Downtime Entry'!$B$6:$B$1005,B126)=0,120,100*(INDEX('Standards &amp; Scoring'!$E$5:$E$13,MATCH("Downtime Control",'Standards &amp; Scoring'!$A$5:$A$13,0))/IFERROR(SUMIFS('Fault &amp; Downtime Entry'!$L$6:$L$1005,'Fault &amp; Downtime Entry'!$E$6:$E$1005,G126,'Fault &amp; Downtime Entry'!$B$6:$B$1005,B126)/O126*1000,999999)))))</f>
        <v/>
      </c>
      <c r="AT126" s="49" t="n">
        <f aca="false">IF(COUNTA(AH126,AJ126)=0,"",MIN(120,IF(AND(AH126&lt;&gt;"",AJ126&lt;&gt;""),AVERAGE(AH126,AJ126),IF(AH126&lt;&gt;"",AH126,AJ126))))</f>
        <v>0</v>
      </c>
      <c r="AU126" s="49" t="str">
        <f aca="false">IF(AI126="","",MIN(120,AI126))</f>
        <v/>
      </c>
      <c r="AV126" s="49" t="str">
        <f aca="false">IF(AJ126="","",MIN(120,AJ126))</f>
        <v/>
      </c>
      <c r="AW126" s="50" t="str">
        <f aca="false">IF(COUNT(AN126:AV126)&lt;9,"",(AN126*'Standards &amp; Scoring'!$D$5+AO126*'Standards &amp; Scoring'!$D$6+AP126*'Standards &amp; Scoring'!$D$7+AQ126*'Standards &amp; Scoring'!$D$8+AR126*'Standards &amp; Scoring'!$D$9+AS126*'Standards &amp; Scoring'!$D$10+AT126*'Standards &amp; Scoring'!$D$11+AU126*'Standards &amp; Scoring'!$D$12+AV126*'Standards &amp; Scoring'!$D$13)/10000)</f>
        <v/>
      </c>
      <c r="AX126" s="47" t="str">
        <f aca="false">IF(AW126="","",IF(AW126&gt;=1.05,"A+",IF(AW126&gt;=1,"A",IF(AW126&gt;=0.95,"B+",IF(AW126&gt;=0.9,"B","C")))))</f>
        <v/>
      </c>
      <c r="AY126" s="47" t="str">
        <f aca="false">IF(AX126="","",IF(AX126="A+",1800,IF(AX126="A",1600,IF(AX126="B+",1400,IF(AX126="B",1200,0)))))</f>
        <v/>
      </c>
      <c r="AZ126" s="49" t="str">
        <f aca="false">IF(OR(L126="",M126="",S126="",M126=0),"",IFERROR(L126*60*S126/(M126*36),0))</f>
        <v/>
      </c>
    </row>
    <row r="127" customFormat="false" ht="15" hidden="false" customHeight="true" outlineLevel="0" collapsed="false">
      <c r="A127" s="47" t="n">
        <f aca="false">'Daily KPI Entry'!A128</f>
        <v>0</v>
      </c>
      <c r="B127" s="48" t="n">
        <f aca="false">'Daily KPI Entry'!B128</f>
        <v>0</v>
      </c>
      <c r="C127" s="47" t="n">
        <f aca="false">'Daily KPI Entry'!C128</f>
        <v>0</v>
      </c>
      <c r="D127" s="47" t="n">
        <f aca="false">'Daily KPI Entry'!D128</f>
        <v>0</v>
      </c>
      <c r="E127" s="47" t="n">
        <f aca="false">'Daily KPI Entry'!E128</f>
        <v>0</v>
      </c>
      <c r="F127" s="47" t="n">
        <f aca="false">'Daily KPI Entry'!F128</f>
        <v>0</v>
      </c>
      <c r="G127" s="47" t="n">
        <f aca="false">'Daily KPI Entry'!G128</f>
        <v>0</v>
      </c>
      <c r="H127" s="47" t="str">
        <f aca="false">'Daily KPI Entry'!H128</f>
        <v/>
      </c>
      <c r="I127" s="47" t="n">
        <f aca="false">'Daily KPI Entry'!I128</f>
        <v>0</v>
      </c>
      <c r="J127" s="47" t="n">
        <f aca="false">'Daily KPI Entry'!J128</f>
        <v>0</v>
      </c>
      <c r="K127" s="47" t="n">
        <f aca="false">'Daily KPI Entry'!K128</f>
        <v>0</v>
      </c>
      <c r="L127" s="47" t="n">
        <f aca="false">'Daily KPI Entry'!L128</f>
        <v>0</v>
      </c>
      <c r="M127" s="47" t="n">
        <f aca="false">'Daily KPI Entry'!M128</f>
        <v>0</v>
      </c>
      <c r="N127" s="49" t="n">
        <f aca="false">'Daily KPI Entry'!N128</f>
        <v>0</v>
      </c>
      <c r="O127" s="49" t="n">
        <f aca="false">'Daily KPI Entry'!O128</f>
        <v>0</v>
      </c>
      <c r="P127" s="49" t="str">
        <f aca="false">IF(OR(N127="",O127=""),"",IFERROR(O127/N127*100,0))</f>
        <v/>
      </c>
      <c r="Q127" s="47" t="n">
        <f aca="false">'Daily KPI Entry'!Q128</f>
        <v>8</v>
      </c>
      <c r="R127" s="47" t="str">
        <f aca="false">IF(J127="","",Q127*J127)</f>
        <v/>
      </c>
      <c r="S127" s="49" t="n">
        <f aca="false">'Daily KPI Entry'!S128</f>
        <v>0</v>
      </c>
      <c r="T127" s="49" t="str">
        <f aca="false">IF(OR(R127="",S127=""),"",IFERROR(S127/R127*100,0))</f>
        <v/>
      </c>
      <c r="U127" s="49" t="str">
        <f aca="false">IF(OR(O127="",L127="",M127="",S127="",M127=0),"",IFERROR(O127/(L127*60*S127/(M127*36))*100,0))</f>
        <v/>
      </c>
      <c r="V127" s="49" t="n">
        <f aca="false">'Daily KPI Entry'!V128</f>
        <v>0</v>
      </c>
      <c r="W127" s="49" t="str">
        <f aca="false">IF(O127="","",IFERROR(V127/O127*100,0))</f>
        <v/>
      </c>
      <c r="X127" s="49" t="n">
        <f aca="false">'Daily KPI Entry'!X128</f>
        <v>0</v>
      </c>
      <c r="Y127" s="49" t="n">
        <f aca="false">'Daily KPI Entry'!Y128</f>
        <v>0</v>
      </c>
      <c r="Z127" s="49" t="n">
        <f aca="false">'Daily KPI Entry'!Z128</f>
        <v>0</v>
      </c>
      <c r="AA127" s="49" t="n">
        <f aca="false">'Daily KPI Entry'!AA128</f>
        <v>0</v>
      </c>
      <c r="AB127" s="49" t="n">
        <f aca="false">'Daily KPI Entry'!AB128</f>
        <v>0</v>
      </c>
      <c r="AC127" s="49" t="n">
        <f aca="false">'Daily KPI Entry'!AC128</f>
        <v>0</v>
      </c>
      <c r="AD127" s="49" t="n">
        <f aca="false">'Daily KPI Entry'!AD128</f>
        <v>0</v>
      </c>
      <c r="AE127" s="49" t="n">
        <f aca="false">'Daily KPI Entry'!AE128</f>
        <v>0</v>
      </c>
      <c r="AF127" s="47" t="str">
        <f aca="false">IF(O127="","",SUM(X127:AE127))</f>
        <v/>
      </c>
      <c r="AG127" s="49" t="str">
        <f aca="false">IF(O127="","",IFERROR(AF127/O127*1000,0))</f>
        <v/>
      </c>
      <c r="AH127" s="49" t="n">
        <f aca="false">'Daily KPI Entry'!AH128</f>
        <v>0</v>
      </c>
      <c r="AI127" s="49" t="n">
        <f aca="false">'Daily KPI Entry'!AI128</f>
        <v>0</v>
      </c>
      <c r="AJ127" s="49" t="n">
        <f aca="false">'Daily KPI Entry'!AJ128</f>
        <v>0</v>
      </c>
      <c r="AK127" s="47" t="n">
        <f aca="false">'Daily KPI Entry'!AK128</f>
        <v>0</v>
      </c>
      <c r="AL127" s="47" t="n">
        <f aca="false">'Daily KPI Entry'!AL128</f>
        <v>0</v>
      </c>
      <c r="AM127" s="47" t="n">
        <f aca="false">'Daily KPI Entry'!AM128</f>
        <v>0</v>
      </c>
      <c r="AN127" s="49" t="str">
        <f aca="false">IF(P127="","",MIN(120,P127))</f>
        <v/>
      </c>
      <c r="AO127" s="49" t="str">
        <f aca="false">IF(U127="","",MIN(120,U127))</f>
        <v/>
      </c>
      <c r="AP127" s="49" t="str">
        <f aca="false">IF(R127="","",MIN(120,IFERROR(S127/R127*100,0)))</f>
        <v/>
      </c>
      <c r="AQ127" s="49" t="str">
        <f aca="false">IF(W127="","",MIN(120,IF(W127=0,120,100*(INDEX('Standards &amp; Scoring'!$E$5:$E$13,MATCH("Quality / Rejection",'Standards &amp; Scoring'!$A$5:$A$13,0))/W127))))</f>
        <v/>
      </c>
      <c r="AR127" s="49" t="str">
        <f aca="false">IF(AG127="","",MIN(120,IF(AG127=0,120,100*(INDEX('Standards &amp; Scoring'!$E$5:$E$13,MATCH("Fault Control",'Standards &amp; Scoring'!$A$5:$A$13,0))/AG127))))</f>
        <v/>
      </c>
      <c r="AS127" s="49" t="str">
        <f aca="false">IF(O127="","",MIN(120,IF(SUMIFS('Fault &amp; Downtime Entry'!$L$6:$L$1005,'Fault &amp; Downtime Entry'!$E$6:$E$1005,G127,'Fault &amp; Downtime Entry'!$B$6:$B$1005,B127)=0,120,100*(INDEX('Standards &amp; Scoring'!$E$5:$E$13,MATCH("Downtime Control",'Standards &amp; Scoring'!$A$5:$A$13,0))/IFERROR(SUMIFS('Fault &amp; Downtime Entry'!$L$6:$L$1005,'Fault &amp; Downtime Entry'!$E$6:$E$1005,G127,'Fault &amp; Downtime Entry'!$B$6:$B$1005,B127)/O127*1000,999999)))))</f>
        <v/>
      </c>
      <c r="AT127" s="49" t="n">
        <f aca="false">IF(COUNTA(AH127,AJ127)=0,"",MIN(120,IF(AND(AH127&lt;&gt;"",AJ127&lt;&gt;""),AVERAGE(AH127,AJ127),IF(AH127&lt;&gt;"",AH127,AJ127))))</f>
        <v>0</v>
      </c>
      <c r="AU127" s="49" t="str">
        <f aca="false">IF(AI127="","",MIN(120,AI127))</f>
        <v/>
      </c>
      <c r="AV127" s="49" t="str">
        <f aca="false">IF(AJ127="","",MIN(120,AJ127))</f>
        <v/>
      </c>
      <c r="AW127" s="50" t="str">
        <f aca="false">IF(COUNT(AN127:AV127)&lt;9,"",(AN127*'Standards &amp; Scoring'!$D$5+AO127*'Standards &amp; Scoring'!$D$6+AP127*'Standards &amp; Scoring'!$D$7+AQ127*'Standards &amp; Scoring'!$D$8+AR127*'Standards &amp; Scoring'!$D$9+AS127*'Standards &amp; Scoring'!$D$10+AT127*'Standards &amp; Scoring'!$D$11+AU127*'Standards &amp; Scoring'!$D$12+AV127*'Standards &amp; Scoring'!$D$13)/10000)</f>
        <v/>
      </c>
      <c r="AX127" s="47" t="str">
        <f aca="false">IF(AW127="","",IF(AW127&gt;=1.05,"A+",IF(AW127&gt;=1,"A",IF(AW127&gt;=0.95,"B+",IF(AW127&gt;=0.9,"B","C")))))</f>
        <v/>
      </c>
      <c r="AY127" s="47" t="str">
        <f aca="false">IF(AX127="","",IF(AX127="A+",1800,IF(AX127="A",1600,IF(AX127="B+",1400,IF(AX127="B",1200,0)))))</f>
        <v/>
      </c>
      <c r="AZ127" s="49" t="str">
        <f aca="false">IF(OR(L127="",M127="",S127="",M127=0),"",IFERROR(L127*60*S127/(M127*36),0))</f>
        <v/>
      </c>
    </row>
    <row r="128" customFormat="false" ht="15" hidden="false" customHeight="true" outlineLevel="0" collapsed="false">
      <c r="A128" s="47" t="n">
        <f aca="false">'Daily KPI Entry'!A129</f>
        <v>0</v>
      </c>
      <c r="B128" s="48" t="n">
        <f aca="false">'Daily KPI Entry'!B129</f>
        <v>0</v>
      </c>
      <c r="C128" s="47" t="n">
        <f aca="false">'Daily KPI Entry'!C129</f>
        <v>0</v>
      </c>
      <c r="D128" s="47" t="n">
        <f aca="false">'Daily KPI Entry'!D129</f>
        <v>0</v>
      </c>
      <c r="E128" s="47" t="n">
        <f aca="false">'Daily KPI Entry'!E129</f>
        <v>0</v>
      </c>
      <c r="F128" s="47" t="n">
        <f aca="false">'Daily KPI Entry'!F129</f>
        <v>0</v>
      </c>
      <c r="G128" s="47" t="n">
        <f aca="false">'Daily KPI Entry'!G129</f>
        <v>0</v>
      </c>
      <c r="H128" s="47" t="str">
        <f aca="false">'Daily KPI Entry'!H129</f>
        <v/>
      </c>
      <c r="I128" s="47" t="n">
        <f aca="false">'Daily KPI Entry'!I129</f>
        <v>0</v>
      </c>
      <c r="J128" s="47" t="n">
        <f aca="false">'Daily KPI Entry'!J129</f>
        <v>0</v>
      </c>
      <c r="K128" s="47" t="n">
        <f aca="false">'Daily KPI Entry'!K129</f>
        <v>0</v>
      </c>
      <c r="L128" s="47" t="n">
        <f aca="false">'Daily KPI Entry'!L129</f>
        <v>0</v>
      </c>
      <c r="M128" s="47" t="n">
        <f aca="false">'Daily KPI Entry'!M129</f>
        <v>0</v>
      </c>
      <c r="N128" s="49" t="n">
        <f aca="false">'Daily KPI Entry'!N129</f>
        <v>0</v>
      </c>
      <c r="O128" s="49" t="n">
        <f aca="false">'Daily KPI Entry'!O129</f>
        <v>0</v>
      </c>
      <c r="P128" s="49" t="str">
        <f aca="false">IF(OR(N128="",O128=""),"",IFERROR(O128/N128*100,0))</f>
        <v/>
      </c>
      <c r="Q128" s="47" t="n">
        <f aca="false">'Daily KPI Entry'!Q129</f>
        <v>8</v>
      </c>
      <c r="R128" s="47" t="str">
        <f aca="false">IF(J128="","",Q128*J128)</f>
        <v/>
      </c>
      <c r="S128" s="49" t="n">
        <f aca="false">'Daily KPI Entry'!S129</f>
        <v>0</v>
      </c>
      <c r="T128" s="49" t="str">
        <f aca="false">IF(OR(R128="",S128=""),"",IFERROR(S128/R128*100,0))</f>
        <v/>
      </c>
      <c r="U128" s="49" t="str">
        <f aca="false">IF(OR(O128="",L128="",M128="",S128="",M128=0),"",IFERROR(O128/(L128*60*S128/(M128*36))*100,0))</f>
        <v/>
      </c>
      <c r="V128" s="49" t="n">
        <f aca="false">'Daily KPI Entry'!V129</f>
        <v>0</v>
      </c>
      <c r="W128" s="49" t="str">
        <f aca="false">IF(O128="","",IFERROR(V128/O128*100,0))</f>
        <v/>
      </c>
      <c r="X128" s="49" t="n">
        <f aca="false">'Daily KPI Entry'!X129</f>
        <v>0</v>
      </c>
      <c r="Y128" s="49" t="n">
        <f aca="false">'Daily KPI Entry'!Y129</f>
        <v>0</v>
      </c>
      <c r="Z128" s="49" t="n">
        <f aca="false">'Daily KPI Entry'!Z129</f>
        <v>0</v>
      </c>
      <c r="AA128" s="49" t="n">
        <f aca="false">'Daily KPI Entry'!AA129</f>
        <v>0</v>
      </c>
      <c r="AB128" s="49" t="n">
        <f aca="false">'Daily KPI Entry'!AB129</f>
        <v>0</v>
      </c>
      <c r="AC128" s="49" t="n">
        <f aca="false">'Daily KPI Entry'!AC129</f>
        <v>0</v>
      </c>
      <c r="AD128" s="49" t="n">
        <f aca="false">'Daily KPI Entry'!AD129</f>
        <v>0</v>
      </c>
      <c r="AE128" s="49" t="n">
        <f aca="false">'Daily KPI Entry'!AE129</f>
        <v>0</v>
      </c>
      <c r="AF128" s="47" t="str">
        <f aca="false">IF(O128="","",SUM(X128:AE128))</f>
        <v/>
      </c>
      <c r="AG128" s="49" t="str">
        <f aca="false">IF(O128="","",IFERROR(AF128/O128*1000,0))</f>
        <v/>
      </c>
      <c r="AH128" s="49" t="n">
        <f aca="false">'Daily KPI Entry'!AH129</f>
        <v>0</v>
      </c>
      <c r="AI128" s="49" t="n">
        <f aca="false">'Daily KPI Entry'!AI129</f>
        <v>0</v>
      </c>
      <c r="AJ128" s="49" t="n">
        <f aca="false">'Daily KPI Entry'!AJ129</f>
        <v>0</v>
      </c>
      <c r="AK128" s="47" t="n">
        <f aca="false">'Daily KPI Entry'!AK129</f>
        <v>0</v>
      </c>
      <c r="AL128" s="47" t="n">
        <f aca="false">'Daily KPI Entry'!AL129</f>
        <v>0</v>
      </c>
      <c r="AM128" s="47" t="n">
        <f aca="false">'Daily KPI Entry'!AM129</f>
        <v>0</v>
      </c>
      <c r="AN128" s="49" t="str">
        <f aca="false">IF(P128="","",MIN(120,P128))</f>
        <v/>
      </c>
      <c r="AO128" s="49" t="str">
        <f aca="false">IF(U128="","",MIN(120,U128))</f>
        <v/>
      </c>
      <c r="AP128" s="49" t="str">
        <f aca="false">IF(R128="","",MIN(120,IFERROR(S128/R128*100,0)))</f>
        <v/>
      </c>
      <c r="AQ128" s="49" t="str">
        <f aca="false">IF(W128="","",MIN(120,IF(W128=0,120,100*(INDEX('Standards &amp; Scoring'!$E$5:$E$13,MATCH("Quality / Rejection",'Standards &amp; Scoring'!$A$5:$A$13,0))/W128))))</f>
        <v/>
      </c>
      <c r="AR128" s="49" t="str">
        <f aca="false">IF(AG128="","",MIN(120,IF(AG128=0,120,100*(INDEX('Standards &amp; Scoring'!$E$5:$E$13,MATCH("Fault Control",'Standards &amp; Scoring'!$A$5:$A$13,0))/AG128))))</f>
        <v/>
      </c>
      <c r="AS128" s="49" t="str">
        <f aca="false">IF(O128="","",MIN(120,IF(SUMIFS('Fault &amp; Downtime Entry'!$L$6:$L$1005,'Fault &amp; Downtime Entry'!$E$6:$E$1005,G128,'Fault &amp; Downtime Entry'!$B$6:$B$1005,B128)=0,120,100*(INDEX('Standards &amp; Scoring'!$E$5:$E$13,MATCH("Downtime Control",'Standards &amp; Scoring'!$A$5:$A$13,0))/IFERROR(SUMIFS('Fault &amp; Downtime Entry'!$L$6:$L$1005,'Fault &amp; Downtime Entry'!$E$6:$E$1005,G128,'Fault &amp; Downtime Entry'!$B$6:$B$1005,B128)/O128*1000,999999)))))</f>
        <v/>
      </c>
      <c r="AT128" s="49" t="n">
        <f aca="false">IF(COUNTA(AH128,AJ128)=0,"",MIN(120,IF(AND(AH128&lt;&gt;"",AJ128&lt;&gt;""),AVERAGE(AH128,AJ128),IF(AH128&lt;&gt;"",AH128,AJ128))))</f>
        <v>0</v>
      </c>
      <c r="AU128" s="49" t="str">
        <f aca="false">IF(AI128="","",MIN(120,AI128))</f>
        <v/>
      </c>
      <c r="AV128" s="49" t="str">
        <f aca="false">IF(AJ128="","",MIN(120,AJ128))</f>
        <v/>
      </c>
      <c r="AW128" s="50" t="str">
        <f aca="false">IF(COUNT(AN128:AV128)&lt;9,"",(AN128*'Standards &amp; Scoring'!$D$5+AO128*'Standards &amp; Scoring'!$D$6+AP128*'Standards &amp; Scoring'!$D$7+AQ128*'Standards &amp; Scoring'!$D$8+AR128*'Standards &amp; Scoring'!$D$9+AS128*'Standards &amp; Scoring'!$D$10+AT128*'Standards &amp; Scoring'!$D$11+AU128*'Standards &amp; Scoring'!$D$12+AV128*'Standards &amp; Scoring'!$D$13)/10000)</f>
        <v/>
      </c>
      <c r="AX128" s="47" t="str">
        <f aca="false">IF(AW128="","",IF(AW128&gt;=1.05,"A+",IF(AW128&gt;=1,"A",IF(AW128&gt;=0.95,"B+",IF(AW128&gt;=0.9,"B","C")))))</f>
        <v/>
      </c>
      <c r="AY128" s="47" t="str">
        <f aca="false">IF(AX128="","",IF(AX128="A+",1800,IF(AX128="A",1600,IF(AX128="B+",1400,IF(AX128="B",1200,0)))))</f>
        <v/>
      </c>
      <c r="AZ128" s="49" t="str">
        <f aca="false">IF(OR(L128="",M128="",S128="",M128=0),"",IFERROR(L128*60*S128/(M128*36),0))</f>
        <v/>
      </c>
    </row>
    <row r="129" customFormat="false" ht="15" hidden="false" customHeight="true" outlineLevel="0" collapsed="false">
      <c r="A129" s="47" t="n">
        <f aca="false">'Daily KPI Entry'!A130</f>
        <v>0</v>
      </c>
      <c r="B129" s="48" t="n">
        <f aca="false">'Daily KPI Entry'!B130</f>
        <v>0</v>
      </c>
      <c r="C129" s="47" t="n">
        <f aca="false">'Daily KPI Entry'!C130</f>
        <v>0</v>
      </c>
      <c r="D129" s="47" t="n">
        <f aca="false">'Daily KPI Entry'!D130</f>
        <v>0</v>
      </c>
      <c r="E129" s="47" t="n">
        <f aca="false">'Daily KPI Entry'!E130</f>
        <v>0</v>
      </c>
      <c r="F129" s="47" t="n">
        <f aca="false">'Daily KPI Entry'!F130</f>
        <v>0</v>
      </c>
      <c r="G129" s="47" t="n">
        <f aca="false">'Daily KPI Entry'!G130</f>
        <v>0</v>
      </c>
      <c r="H129" s="47" t="str">
        <f aca="false">'Daily KPI Entry'!H130</f>
        <v/>
      </c>
      <c r="I129" s="47" t="n">
        <f aca="false">'Daily KPI Entry'!I130</f>
        <v>0</v>
      </c>
      <c r="J129" s="47" t="n">
        <f aca="false">'Daily KPI Entry'!J130</f>
        <v>0</v>
      </c>
      <c r="K129" s="47" t="n">
        <f aca="false">'Daily KPI Entry'!K130</f>
        <v>0</v>
      </c>
      <c r="L129" s="47" t="n">
        <f aca="false">'Daily KPI Entry'!L130</f>
        <v>0</v>
      </c>
      <c r="M129" s="47" t="n">
        <f aca="false">'Daily KPI Entry'!M130</f>
        <v>0</v>
      </c>
      <c r="N129" s="49" t="n">
        <f aca="false">'Daily KPI Entry'!N130</f>
        <v>0</v>
      </c>
      <c r="O129" s="49" t="n">
        <f aca="false">'Daily KPI Entry'!O130</f>
        <v>0</v>
      </c>
      <c r="P129" s="49" t="str">
        <f aca="false">IF(OR(N129="",O129=""),"",IFERROR(O129/N129*100,0))</f>
        <v/>
      </c>
      <c r="Q129" s="47" t="n">
        <f aca="false">'Daily KPI Entry'!Q130</f>
        <v>8</v>
      </c>
      <c r="R129" s="47" t="str">
        <f aca="false">IF(J129="","",Q129*J129)</f>
        <v/>
      </c>
      <c r="S129" s="49" t="n">
        <f aca="false">'Daily KPI Entry'!S130</f>
        <v>0</v>
      </c>
      <c r="T129" s="49" t="str">
        <f aca="false">IF(OR(R129="",S129=""),"",IFERROR(S129/R129*100,0))</f>
        <v/>
      </c>
      <c r="U129" s="49" t="str">
        <f aca="false">IF(OR(O129="",L129="",M129="",S129="",M129=0),"",IFERROR(O129/(L129*60*S129/(M129*36))*100,0))</f>
        <v/>
      </c>
      <c r="V129" s="49" t="n">
        <f aca="false">'Daily KPI Entry'!V130</f>
        <v>0</v>
      </c>
      <c r="W129" s="49" t="str">
        <f aca="false">IF(O129="","",IFERROR(V129/O129*100,0))</f>
        <v/>
      </c>
      <c r="X129" s="49" t="n">
        <f aca="false">'Daily KPI Entry'!X130</f>
        <v>0</v>
      </c>
      <c r="Y129" s="49" t="n">
        <f aca="false">'Daily KPI Entry'!Y130</f>
        <v>0</v>
      </c>
      <c r="Z129" s="49" t="n">
        <f aca="false">'Daily KPI Entry'!Z130</f>
        <v>0</v>
      </c>
      <c r="AA129" s="49" t="n">
        <f aca="false">'Daily KPI Entry'!AA130</f>
        <v>0</v>
      </c>
      <c r="AB129" s="49" t="n">
        <f aca="false">'Daily KPI Entry'!AB130</f>
        <v>0</v>
      </c>
      <c r="AC129" s="49" t="n">
        <f aca="false">'Daily KPI Entry'!AC130</f>
        <v>0</v>
      </c>
      <c r="AD129" s="49" t="n">
        <f aca="false">'Daily KPI Entry'!AD130</f>
        <v>0</v>
      </c>
      <c r="AE129" s="49" t="n">
        <f aca="false">'Daily KPI Entry'!AE130</f>
        <v>0</v>
      </c>
      <c r="AF129" s="47" t="str">
        <f aca="false">IF(O129="","",SUM(X129:AE129))</f>
        <v/>
      </c>
      <c r="AG129" s="49" t="str">
        <f aca="false">IF(O129="","",IFERROR(AF129/O129*1000,0))</f>
        <v/>
      </c>
      <c r="AH129" s="49" t="n">
        <f aca="false">'Daily KPI Entry'!AH130</f>
        <v>0</v>
      </c>
      <c r="AI129" s="49" t="n">
        <f aca="false">'Daily KPI Entry'!AI130</f>
        <v>0</v>
      </c>
      <c r="AJ129" s="49" t="n">
        <f aca="false">'Daily KPI Entry'!AJ130</f>
        <v>0</v>
      </c>
      <c r="AK129" s="47" t="n">
        <f aca="false">'Daily KPI Entry'!AK130</f>
        <v>0</v>
      </c>
      <c r="AL129" s="47" t="n">
        <f aca="false">'Daily KPI Entry'!AL130</f>
        <v>0</v>
      </c>
      <c r="AM129" s="47" t="n">
        <f aca="false">'Daily KPI Entry'!AM130</f>
        <v>0</v>
      </c>
      <c r="AN129" s="49" t="str">
        <f aca="false">IF(P129="","",MIN(120,P129))</f>
        <v/>
      </c>
      <c r="AO129" s="49" t="str">
        <f aca="false">IF(U129="","",MIN(120,U129))</f>
        <v/>
      </c>
      <c r="AP129" s="49" t="str">
        <f aca="false">IF(R129="","",MIN(120,IFERROR(S129/R129*100,0)))</f>
        <v/>
      </c>
      <c r="AQ129" s="49" t="str">
        <f aca="false">IF(W129="","",MIN(120,IF(W129=0,120,100*(INDEX('Standards &amp; Scoring'!$E$5:$E$13,MATCH("Quality / Rejection",'Standards &amp; Scoring'!$A$5:$A$13,0))/W129))))</f>
        <v/>
      </c>
      <c r="AR129" s="49" t="str">
        <f aca="false">IF(AG129="","",MIN(120,IF(AG129=0,120,100*(INDEX('Standards &amp; Scoring'!$E$5:$E$13,MATCH("Fault Control",'Standards &amp; Scoring'!$A$5:$A$13,0))/AG129))))</f>
        <v/>
      </c>
      <c r="AS129" s="49" t="str">
        <f aca="false">IF(O129="","",MIN(120,IF(SUMIFS('Fault &amp; Downtime Entry'!$L$6:$L$1005,'Fault &amp; Downtime Entry'!$E$6:$E$1005,G129,'Fault &amp; Downtime Entry'!$B$6:$B$1005,B129)=0,120,100*(INDEX('Standards &amp; Scoring'!$E$5:$E$13,MATCH("Downtime Control",'Standards &amp; Scoring'!$A$5:$A$13,0))/IFERROR(SUMIFS('Fault &amp; Downtime Entry'!$L$6:$L$1005,'Fault &amp; Downtime Entry'!$E$6:$E$1005,G129,'Fault &amp; Downtime Entry'!$B$6:$B$1005,B129)/O129*1000,999999)))))</f>
        <v/>
      </c>
      <c r="AT129" s="49" t="n">
        <f aca="false">IF(COUNTA(AH129,AJ129)=0,"",MIN(120,IF(AND(AH129&lt;&gt;"",AJ129&lt;&gt;""),AVERAGE(AH129,AJ129),IF(AH129&lt;&gt;"",AH129,AJ129))))</f>
        <v>0</v>
      </c>
      <c r="AU129" s="49" t="str">
        <f aca="false">IF(AI129="","",MIN(120,AI129))</f>
        <v/>
      </c>
      <c r="AV129" s="49" t="str">
        <f aca="false">IF(AJ129="","",MIN(120,AJ129))</f>
        <v/>
      </c>
      <c r="AW129" s="50" t="str">
        <f aca="false">IF(COUNT(AN129:AV129)&lt;9,"",(AN129*'Standards &amp; Scoring'!$D$5+AO129*'Standards &amp; Scoring'!$D$6+AP129*'Standards &amp; Scoring'!$D$7+AQ129*'Standards &amp; Scoring'!$D$8+AR129*'Standards &amp; Scoring'!$D$9+AS129*'Standards &amp; Scoring'!$D$10+AT129*'Standards &amp; Scoring'!$D$11+AU129*'Standards &amp; Scoring'!$D$12+AV129*'Standards &amp; Scoring'!$D$13)/10000)</f>
        <v/>
      </c>
      <c r="AX129" s="47" t="str">
        <f aca="false">IF(AW129="","",IF(AW129&gt;=1.05,"A+",IF(AW129&gt;=1,"A",IF(AW129&gt;=0.95,"B+",IF(AW129&gt;=0.9,"B","C")))))</f>
        <v/>
      </c>
      <c r="AY129" s="47" t="str">
        <f aca="false">IF(AX129="","",IF(AX129="A+",1800,IF(AX129="A",1600,IF(AX129="B+",1400,IF(AX129="B",1200,0)))))</f>
        <v/>
      </c>
      <c r="AZ129" s="49" t="str">
        <f aca="false">IF(OR(L129="",M129="",S129="",M129=0),"",IFERROR(L129*60*S129/(M129*36),0))</f>
        <v/>
      </c>
    </row>
    <row r="130" customFormat="false" ht="15" hidden="false" customHeight="true" outlineLevel="0" collapsed="false">
      <c r="A130" s="47" t="n">
        <f aca="false">'Daily KPI Entry'!A131</f>
        <v>0</v>
      </c>
      <c r="B130" s="48" t="n">
        <f aca="false">'Daily KPI Entry'!B131</f>
        <v>0</v>
      </c>
      <c r="C130" s="47" t="n">
        <f aca="false">'Daily KPI Entry'!C131</f>
        <v>0</v>
      </c>
      <c r="D130" s="47" t="n">
        <f aca="false">'Daily KPI Entry'!D131</f>
        <v>0</v>
      </c>
      <c r="E130" s="47" t="n">
        <f aca="false">'Daily KPI Entry'!E131</f>
        <v>0</v>
      </c>
      <c r="F130" s="47" t="n">
        <f aca="false">'Daily KPI Entry'!F131</f>
        <v>0</v>
      </c>
      <c r="G130" s="47" t="n">
        <f aca="false">'Daily KPI Entry'!G131</f>
        <v>0</v>
      </c>
      <c r="H130" s="47" t="str">
        <f aca="false">'Daily KPI Entry'!H131</f>
        <v/>
      </c>
      <c r="I130" s="47" t="n">
        <f aca="false">'Daily KPI Entry'!I131</f>
        <v>0</v>
      </c>
      <c r="J130" s="47" t="n">
        <f aca="false">'Daily KPI Entry'!J131</f>
        <v>0</v>
      </c>
      <c r="K130" s="47" t="n">
        <f aca="false">'Daily KPI Entry'!K131</f>
        <v>0</v>
      </c>
      <c r="L130" s="47" t="n">
        <f aca="false">'Daily KPI Entry'!L131</f>
        <v>0</v>
      </c>
      <c r="M130" s="47" t="n">
        <f aca="false">'Daily KPI Entry'!M131</f>
        <v>0</v>
      </c>
      <c r="N130" s="49" t="n">
        <f aca="false">'Daily KPI Entry'!N131</f>
        <v>0</v>
      </c>
      <c r="O130" s="49" t="n">
        <f aca="false">'Daily KPI Entry'!O131</f>
        <v>0</v>
      </c>
      <c r="P130" s="49" t="str">
        <f aca="false">IF(OR(N130="",O130=""),"",IFERROR(O130/N130*100,0))</f>
        <v/>
      </c>
      <c r="Q130" s="47" t="n">
        <f aca="false">'Daily KPI Entry'!Q131</f>
        <v>8</v>
      </c>
      <c r="R130" s="47" t="str">
        <f aca="false">IF(J130="","",Q130*J130)</f>
        <v/>
      </c>
      <c r="S130" s="49" t="n">
        <f aca="false">'Daily KPI Entry'!S131</f>
        <v>0</v>
      </c>
      <c r="T130" s="49" t="str">
        <f aca="false">IF(OR(R130="",S130=""),"",IFERROR(S130/R130*100,0))</f>
        <v/>
      </c>
      <c r="U130" s="49" t="str">
        <f aca="false">IF(OR(O130="",L130="",M130="",S130="",M130=0),"",IFERROR(O130/(L130*60*S130/(M130*36))*100,0))</f>
        <v/>
      </c>
      <c r="V130" s="49" t="n">
        <f aca="false">'Daily KPI Entry'!V131</f>
        <v>0</v>
      </c>
      <c r="W130" s="49" t="str">
        <f aca="false">IF(O130="","",IFERROR(V130/O130*100,0))</f>
        <v/>
      </c>
      <c r="X130" s="49" t="n">
        <f aca="false">'Daily KPI Entry'!X131</f>
        <v>0</v>
      </c>
      <c r="Y130" s="49" t="n">
        <f aca="false">'Daily KPI Entry'!Y131</f>
        <v>0</v>
      </c>
      <c r="Z130" s="49" t="n">
        <f aca="false">'Daily KPI Entry'!Z131</f>
        <v>0</v>
      </c>
      <c r="AA130" s="49" t="n">
        <f aca="false">'Daily KPI Entry'!AA131</f>
        <v>0</v>
      </c>
      <c r="AB130" s="49" t="n">
        <f aca="false">'Daily KPI Entry'!AB131</f>
        <v>0</v>
      </c>
      <c r="AC130" s="49" t="n">
        <f aca="false">'Daily KPI Entry'!AC131</f>
        <v>0</v>
      </c>
      <c r="AD130" s="49" t="n">
        <f aca="false">'Daily KPI Entry'!AD131</f>
        <v>0</v>
      </c>
      <c r="AE130" s="49" t="n">
        <f aca="false">'Daily KPI Entry'!AE131</f>
        <v>0</v>
      </c>
      <c r="AF130" s="47" t="str">
        <f aca="false">IF(O130="","",SUM(X130:AE130))</f>
        <v/>
      </c>
      <c r="AG130" s="49" t="str">
        <f aca="false">IF(O130="","",IFERROR(AF130/O130*1000,0))</f>
        <v/>
      </c>
      <c r="AH130" s="49" t="n">
        <f aca="false">'Daily KPI Entry'!AH131</f>
        <v>0</v>
      </c>
      <c r="AI130" s="49" t="n">
        <f aca="false">'Daily KPI Entry'!AI131</f>
        <v>0</v>
      </c>
      <c r="AJ130" s="49" t="n">
        <f aca="false">'Daily KPI Entry'!AJ131</f>
        <v>0</v>
      </c>
      <c r="AK130" s="47" t="n">
        <f aca="false">'Daily KPI Entry'!AK131</f>
        <v>0</v>
      </c>
      <c r="AL130" s="47" t="n">
        <f aca="false">'Daily KPI Entry'!AL131</f>
        <v>0</v>
      </c>
      <c r="AM130" s="47" t="n">
        <f aca="false">'Daily KPI Entry'!AM131</f>
        <v>0</v>
      </c>
      <c r="AN130" s="49" t="str">
        <f aca="false">IF(P130="","",MIN(120,P130))</f>
        <v/>
      </c>
      <c r="AO130" s="49" t="str">
        <f aca="false">IF(U130="","",MIN(120,U130))</f>
        <v/>
      </c>
      <c r="AP130" s="49" t="str">
        <f aca="false">IF(R130="","",MIN(120,IFERROR(S130/R130*100,0)))</f>
        <v/>
      </c>
      <c r="AQ130" s="49" t="str">
        <f aca="false">IF(W130="","",MIN(120,IF(W130=0,120,100*(INDEX('Standards &amp; Scoring'!$E$5:$E$13,MATCH("Quality / Rejection",'Standards &amp; Scoring'!$A$5:$A$13,0))/W130))))</f>
        <v/>
      </c>
      <c r="AR130" s="49" t="str">
        <f aca="false">IF(AG130="","",MIN(120,IF(AG130=0,120,100*(INDEX('Standards &amp; Scoring'!$E$5:$E$13,MATCH("Fault Control",'Standards &amp; Scoring'!$A$5:$A$13,0))/AG130))))</f>
        <v/>
      </c>
      <c r="AS130" s="49" t="str">
        <f aca="false">IF(O130="","",MIN(120,IF(SUMIFS('Fault &amp; Downtime Entry'!$L$6:$L$1005,'Fault &amp; Downtime Entry'!$E$6:$E$1005,G130,'Fault &amp; Downtime Entry'!$B$6:$B$1005,B130)=0,120,100*(INDEX('Standards &amp; Scoring'!$E$5:$E$13,MATCH("Downtime Control",'Standards &amp; Scoring'!$A$5:$A$13,0))/IFERROR(SUMIFS('Fault &amp; Downtime Entry'!$L$6:$L$1005,'Fault &amp; Downtime Entry'!$E$6:$E$1005,G130,'Fault &amp; Downtime Entry'!$B$6:$B$1005,B130)/O130*1000,999999)))))</f>
        <v/>
      </c>
      <c r="AT130" s="49" t="n">
        <f aca="false">IF(COUNTA(AH130,AJ130)=0,"",MIN(120,IF(AND(AH130&lt;&gt;"",AJ130&lt;&gt;""),AVERAGE(AH130,AJ130),IF(AH130&lt;&gt;"",AH130,AJ130))))</f>
        <v>0</v>
      </c>
      <c r="AU130" s="49" t="str">
        <f aca="false">IF(AI130="","",MIN(120,AI130))</f>
        <v/>
      </c>
      <c r="AV130" s="49" t="str">
        <f aca="false">IF(AJ130="","",MIN(120,AJ130))</f>
        <v/>
      </c>
      <c r="AW130" s="50" t="str">
        <f aca="false">IF(COUNT(AN130:AV130)&lt;9,"",(AN130*'Standards &amp; Scoring'!$D$5+AO130*'Standards &amp; Scoring'!$D$6+AP130*'Standards &amp; Scoring'!$D$7+AQ130*'Standards &amp; Scoring'!$D$8+AR130*'Standards &amp; Scoring'!$D$9+AS130*'Standards &amp; Scoring'!$D$10+AT130*'Standards &amp; Scoring'!$D$11+AU130*'Standards &amp; Scoring'!$D$12+AV130*'Standards &amp; Scoring'!$D$13)/10000)</f>
        <v/>
      </c>
      <c r="AX130" s="47" t="str">
        <f aca="false">IF(AW130="","",IF(AW130&gt;=1.05,"A+",IF(AW130&gt;=1,"A",IF(AW130&gt;=0.95,"B+",IF(AW130&gt;=0.9,"B","C")))))</f>
        <v/>
      </c>
      <c r="AY130" s="47" t="str">
        <f aca="false">IF(AX130="","",IF(AX130="A+",1800,IF(AX130="A",1600,IF(AX130="B+",1400,IF(AX130="B",1200,0)))))</f>
        <v/>
      </c>
      <c r="AZ130" s="49" t="str">
        <f aca="false">IF(OR(L130="",M130="",S130="",M130=0),"",IFERROR(L130*60*S130/(M130*36),0))</f>
        <v/>
      </c>
    </row>
    <row r="131" customFormat="false" ht="15" hidden="false" customHeight="true" outlineLevel="0" collapsed="false">
      <c r="A131" s="47" t="n">
        <f aca="false">'Daily KPI Entry'!A132</f>
        <v>0</v>
      </c>
      <c r="B131" s="48" t="n">
        <f aca="false">'Daily KPI Entry'!B132</f>
        <v>0</v>
      </c>
      <c r="C131" s="47" t="n">
        <f aca="false">'Daily KPI Entry'!C132</f>
        <v>0</v>
      </c>
      <c r="D131" s="47" t="n">
        <f aca="false">'Daily KPI Entry'!D132</f>
        <v>0</v>
      </c>
      <c r="E131" s="47" t="n">
        <f aca="false">'Daily KPI Entry'!E132</f>
        <v>0</v>
      </c>
      <c r="F131" s="47" t="n">
        <f aca="false">'Daily KPI Entry'!F132</f>
        <v>0</v>
      </c>
      <c r="G131" s="47" t="n">
        <f aca="false">'Daily KPI Entry'!G132</f>
        <v>0</v>
      </c>
      <c r="H131" s="47" t="str">
        <f aca="false">'Daily KPI Entry'!H132</f>
        <v/>
      </c>
      <c r="I131" s="47" t="n">
        <f aca="false">'Daily KPI Entry'!I132</f>
        <v>0</v>
      </c>
      <c r="J131" s="47" t="n">
        <f aca="false">'Daily KPI Entry'!J132</f>
        <v>0</v>
      </c>
      <c r="K131" s="47" t="n">
        <f aca="false">'Daily KPI Entry'!K132</f>
        <v>0</v>
      </c>
      <c r="L131" s="47" t="n">
        <f aca="false">'Daily KPI Entry'!L132</f>
        <v>0</v>
      </c>
      <c r="M131" s="47" t="n">
        <f aca="false">'Daily KPI Entry'!M132</f>
        <v>0</v>
      </c>
      <c r="N131" s="49" t="n">
        <f aca="false">'Daily KPI Entry'!N132</f>
        <v>0</v>
      </c>
      <c r="O131" s="49" t="n">
        <f aca="false">'Daily KPI Entry'!O132</f>
        <v>0</v>
      </c>
      <c r="P131" s="49" t="str">
        <f aca="false">IF(OR(N131="",O131=""),"",IFERROR(O131/N131*100,0))</f>
        <v/>
      </c>
      <c r="Q131" s="47" t="n">
        <f aca="false">'Daily KPI Entry'!Q132</f>
        <v>8</v>
      </c>
      <c r="R131" s="47" t="str">
        <f aca="false">IF(J131="","",Q131*J131)</f>
        <v/>
      </c>
      <c r="S131" s="49" t="n">
        <f aca="false">'Daily KPI Entry'!S132</f>
        <v>0</v>
      </c>
      <c r="T131" s="49" t="str">
        <f aca="false">IF(OR(R131="",S131=""),"",IFERROR(S131/R131*100,0))</f>
        <v/>
      </c>
      <c r="U131" s="49" t="str">
        <f aca="false">IF(OR(O131="",L131="",M131="",S131="",M131=0),"",IFERROR(O131/(L131*60*S131/(M131*36))*100,0))</f>
        <v/>
      </c>
      <c r="V131" s="49" t="n">
        <f aca="false">'Daily KPI Entry'!V132</f>
        <v>0</v>
      </c>
      <c r="W131" s="49" t="str">
        <f aca="false">IF(O131="","",IFERROR(V131/O131*100,0))</f>
        <v/>
      </c>
      <c r="X131" s="49" t="n">
        <f aca="false">'Daily KPI Entry'!X132</f>
        <v>0</v>
      </c>
      <c r="Y131" s="49" t="n">
        <f aca="false">'Daily KPI Entry'!Y132</f>
        <v>0</v>
      </c>
      <c r="Z131" s="49" t="n">
        <f aca="false">'Daily KPI Entry'!Z132</f>
        <v>0</v>
      </c>
      <c r="AA131" s="49" t="n">
        <f aca="false">'Daily KPI Entry'!AA132</f>
        <v>0</v>
      </c>
      <c r="AB131" s="49" t="n">
        <f aca="false">'Daily KPI Entry'!AB132</f>
        <v>0</v>
      </c>
      <c r="AC131" s="49" t="n">
        <f aca="false">'Daily KPI Entry'!AC132</f>
        <v>0</v>
      </c>
      <c r="AD131" s="49" t="n">
        <f aca="false">'Daily KPI Entry'!AD132</f>
        <v>0</v>
      </c>
      <c r="AE131" s="49" t="n">
        <f aca="false">'Daily KPI Entry'!AE132</f>
        <v>0</v>
      </c>
      <c r="AF131" s="47" t="str">
        <f aca="false">IF(O131="","",SUM(X131:AE131))</f>
        <v/>
      </c>
      <c r="AG131" s="49" t="str">
        <f aca="false">IF(O131="","",IFERROR(AF131/O131*1000,0))</f>
        <v/>
      </c>
      <c r="AH131" s="49" t="n">
        <f aca="false">'Daily KPI Entry'!AH132</f>
        <v>0</v>
      </c>
      <c r="AI131" s="49" t="n">
        <f aca="false">'Daily KPI Entry'!AI132</f>
        <v>0</v>
      </c>
      <c r="AJ131" s="49" t="n">
        <f aca="false">'Daily KPI Entry'!AJ132</f>
        <v>0</v>
      </c>
      <c r="AK131" s="47" t="n">
        <f aca="false">'Daily KPI Entry'!AK132</f>
        <v>0</v>
      </c>
      <c r="AL131" s="47" t="n">
        <f aca="false">'Daily KPI Entry'!AL132</f>
        <v>0</v>
      </c>
      <c r="AM131" s="47" t="n">
        <f aca="false">'Daily KPI Entry'!AM132</f>
        <v>0</v>
      </c>
      <c r="AN131" s="49" t="str">
        <f aca="false">IF(P131="","",MIN(120,P131))</f>
        <v/>
      </c>
      <c r="AO131" s="49" t="str">
        <f aca="false">IF(U131="","",MIN(120,U131))</f>
        <v/>
      </c>
      <c r="AP131" s="49" t="str">
        <f aca="false">IF(R131="","",MIN(120,IFERROR(S131/R131*100,0)))</f>
        <v/>
      </c>
      <c r="AQ131" s="49" t="str">
        <f aca="false">IF(W131="","",MIN(120,IF(W131=0,120,100*(INDEX('Standards &amp; Scoring'!$E$5:$E$13,MATCH("Quality / Rejection",'Standards &amp; Scoring'!$A$5:$A$13,0))/W131))))</f>
        <v/>
      </c>
      <c r="AR131" s="49" t="str">
        <f aca="false">IF(AG131="","",MIN(120,IF(AG131=0,120,100*(INDEX('Standards &amp; Scoring'!$E$5:$E$13,MATCH("Fault Control",'Standards &amp; Scoring'!$A$5:$A$13,0))/AG131))))</f>
        <v/>
      </c>
      <c r="AS131" s="49" t="str">
        <f aca="false">IF(O131="","",MIN(120,IF(SUMIFS('Fault &amp; Downtime Entry'!$L$6:$L$1005,'Fault &amp; Downtime Entry'!$E$6:$E$1005,G131,'Fault &amp; Downtime Entry'!$B$6:$B$1005,B131)=0,120,100*(INDEX('Standards &amp; Scoring'!$E$5:$E$13,MATCH("Downtime Control",'Standards &amp; Scoring'!$A$5:$A$13,0))/IFERROR(SUMIFS('Fault &amp; Downtime Entry'!$L$6:$L$1005,'Fault &amp; Downtime Entry'!$E$6:$E$1005,G131,'Fault &amp; Downtime Entry'!$B$6:$B$1005,B131)/O131*1000,999999)))))</f>
        <v/>
      </c>
      <c r="AT131" s="49" t="n">
        <f aca="false">IF(COUNTA(AH131,AJ131)=0,"",MIN(120,IF(AND(AH131&lt;&gt;"",AJ131&lt;&gt;""),AVERAGE(AH131,AJ131),IF(AH131&lt;&gt;"",AH131,AJ131))))</f>
        <v>0</v>
      </c>
      <c r="AU131" s="49" t="str">
        <f aca="false">IF(AI131="","",MIN(120,AI131))</f>
        <v/>
      </c>
      <c r="AV131" s="49" t="str">
        <f aca="false">IF(AJ131="","",MIN(120,AJ131))</f>
        <v/>
      </c>
      <c r="AW131" s="50" t="str">
        <f aca="false">IF(COUNT(AN131:AV131)&lt;9,"",(AN131*'Standards &amp; Scoring'!$D$5+AO131*'Standards &amp; Scoring'!$D$6+AP131*'Standards &amp; Scoring'!$D$7+AQ131*'Standards &amp; Scoring'!$D$8+AR131*'Standards &amp; Scoring'!$D$9+AS131*'Standards &amp; Scoring'!$D$10+AT131*'Standards &amp; Scoring'!$D$11+AU131*'Standards &amp; Scoring'!$D$12+AV131*'Standards &amp; Scoring'!$D$13)/10000)</f>
        <v/>
      </c>
      <c r="AX131" s="47" t="str">
        <f aca="false">IF(AW131="","",IF(AW131&gt;=1.05,"A+",IF(AW131&gt;=1,"A",IF(AW131&gt;=0.95,"B+",IF(AW131&gt;=0.9,"B","C")))))</f>
        <v/>
      </c>
      <c r="AY131" s="47" t="str">
        <f aca="false">IF(AX131="","",IF(AX131="A+",1800,IF(AX131="A",1600,IF(AX131="B+",1400,IF(AX131="B",1200,0)))))</f>
        <v/>
      </c>
      <c r="AZ131" s="49" t="str">
        <f aca="false">IF(OR(L131="",M131="",S131="",M131=0),"",IFERROR(L131*60*S131/(M131*36),0))</f>
        <v/>
      </c>
    </row>
    <row r="132" customFormat="false" ht="15" hidden="false" customHeight="true" outlineLevel="0" collapsed="false">
      <c r="A132" s="47" t="n">
        <f aca="false">'Daily KPI Entry'!A133</f>
        <v>0</v>
      </c>
      <c r="B132" s="48" t="n">
        <f aca="false">'Daily KPI Entry'!B133</f>
        <v>0</v>
      </c>
      <c r="C132" s="47" t="n">
        <f aca="false">'Daily KPI Entry'!C133</f>
        <v>0</v>
      </c>
      <c r="D132" s="47" t="n">
        <f aca="false">'Daily KPI Entry'!D133</f>
        <v>0</v>
      </c>
      <c r="E132" s="47" t="n">
        <f aca="false">'Daily KPI Entry'!E133</f>
        <v>0</v>
      </c>
      <c r="F132" s="47" t="n">
        <f aca="false">'Daily KPI Entry'!F133</f>
        <v>0</v>
      </c>
      <c r="G132" s="47" t="n">
        <f aca="false">'Daily KPI Entry'!G133</f>
        <v>0</v>
      </c>
      <c r="H132" s="47" t="str">
        <f aca="false">'Daily KPI Entry'!H133</f>
        <v/>
      </c>
      <c r="I132" s="47" t="n">
        <f aca="false">'Daily KPI Entry'!I133</f>
        <v>0</v>
      </c>
      <c r="J132" s="47" t="n">
        <f aca="false">'Daily KPI Entry'!J133</f>
        <v>0</v>
      </c>
      <c r="K132" s="47" t="n">
        <f aca="false">'Daily KPI Entry'!K133</f>
        <v>0</v>
      </c>
      <c r="L132" s="47" t="n">
        <f aca="false">'Daily KPI Entry'!L133</f>
        <v>0</v>
      </c>
      <c r="M132" s="47" t="n">
        <f aca="false">'Daily KPI Entry'!M133</f>
        <v>0</v>
      </c>
      <c r="N132" s="49" t="n">
        <f aca="false">'Daily KPI Entry'!N133</f>
        <v>0</v>
      </c>
      <c r="O132" s="49" t="n">
        <f aca="false">'Daily KPI Entry'!O133</f>
        <v>0</v>
      </c>
      <c r="P132" s="49" t="str">
        <f aca="false">IF(OR(N132="",O132=""),"",IFERROR(O132/N132*100,0))</f>
        <v/>
      </c>
      <c r="Q132" s="47" t="n">
        <f aca="false">'Daily KPI Entry'!Q133</f>
        <v>8</v>
      </c>
      <c r="R132" s="47" t="str">
        <f aca="false">IF(J132="","",Q132*J132)</f>
        <v/>
      </c>
      <c r="S132" s="49" t="n">
        <f aca="false">'Daily KPI Entry'!S133</f>
        <v>0</v>
      </c>
      <c r="T132" s="49" t="str">
        <f aca="false">IF(OR(R132="",S132=""),"",IFERROR(S132/R132*100,0))</f>
        <v/>
      </c>
      <c r="U132" s="49" t="str">
        <f aca="false">IF(OR(O132="",L132="",M132="",S132="",M132=0),"",IFERROR(O132/(L132*60*S132/(M132*36))*100,0))</f>
        <v/>
      </c>
      <c r="V132" s="49" t="n">
        <f aca="false">'Daily KPI Entry'!V133</f>
        <v>0</v>
      </c>
      <c r="W132" s="49" t="str">
        <f aca="false">IF(O132="","",IFERROR(V132/O132*100,0))</f>
        <v/>
      </c>
      <c r="X132" s="49" t="n">
        <f aca="false">'Daily KPI Entry'!X133</f>
        <v>0</v>
      </c>
      <c r="Y132" s="49" t="n">
        <f aca="false">'Daily KPI Entry'!Y133</f>
        <v>0</v>
      </c>
      <c r="Z132" s="49" t="n">
        <f aca="false">'Daily KPI Entry'!Z133</f>
        <v>0</v>
      </c>
      <c r="AA132" s="49" t="n">
        <f aca="false">'Daily KPI Entry'!AA133</f>
        <v>0</v>
      </c>
      <c r="AB132" s="49" t="n">
        <f aca="false">'Daily KPI Entry'!AB133</f>
        <v>0</v>
      </c>
      <c r="AC132" s="49" t="n">
        <f aca="false">'Daily KPI Entry'!AC133</f>
        <v>0</v>
      </c>
      <c r="AD132" s="49" t="n">
        <f aca="false">'Daily KPI Entry'!AD133</f>
        <v>0</v>
      </c>
      <c r="AE132" s="49" t="n">
        <f aca="false">'Daily KPI Entry'!AE133</f>
        <v>0</v>
      </c>
      <c r="AF132" s="47" t="str">
        <f aca="false">IF(O132="","",SUM(X132:AE132))</f>
        <v/>
      </c>
      <c r="AG132" s="49" t="str">
        <f aca="false">IF(O132="","",IFERROR(AF132/O132*1000,0))</f>
        <v/>
      </c>
      <c r="AH132" s="49" t="n">
        <f aca="false">'Daily KPI Entry'!AH133</f>
        <v>0</v>
      </c>
      <c r="AI132" s="49" t="n">
        <f aca="false">'Daily KPI Entry'!AI133</f>
        <v>0</v>
      </c>
      <c r="AJ132" s="49" t="n">
        <f aca="false">'Daily KPI Entry'!AJ133</f>
        <v>0</v>
      </c>
      <c r="AK132" s="47" t="n">
        <f aca="false">'Daily KPI Entry'!AK133</f>
        <v>0</v>
      </c>
      <c r="AL132" s="47" t="n">
        <f aca="false">'Daily KPI Entry'!AL133</f>
        <v>0</v>
      </c>
      <c r="AM132" s="47" t="n">
        <f aca="false">'Daily KPI Entry'!AM133</f>
        <v>0</v>
      </c>
      <c r="AN132" s="49" t="str">
        <f aca="false">IF(P132="","",MIN(120,P132))</f>
        <v/>
      </c>
      <c r="AO132" s="49" t="str">
        <f aca="false">IF(U132="","",MIN(120,U132))</f>
        <v/>
      </c>
      <c r="AP132" s="49" t="str">
        <f aca="false">IF(R132="","",MIN(120,IFERROR(S132/R132*100,0)))</f>
        <v/>
      </c>
      <c r="AQ132" s="49" t="str">
        <f aca="false">IF(W132="","",MIN(120,IF(W132=0,120,100*(INDEX('Standards &amp; Scoring'!$E$5:$E$13,MATCH("Quality / Rejection",'Standards &amp; Scoring'!$A$5:$A$13,0))/W132))))</f>
        <v/>
      </c>
      <c r="AR132" s="49" t="str">
        <f aca="false">IF(AG132="","",MIN(120,IF(AG132=0,120,100*(INDEX('Standards &amp; Scoring'!$E$5:$E$13,MATCH("Fault Control",'Standards &amp; Scoring'!$A$5:$A$13,0))/AG132))))</f>
        <v/>
      </c>
      <c r="AS132" s="49" t="str">
        <f aca="false">IF(O132="","",MIN(120,IF(SUMIFS('Fault &amp; Downtime Entry'!$L$6:$L$1005,'Fault &amp; Downtime Entry'!$E$6:$E$1005,G132,'Fault &amp; Downtime Entry'!$B$6:$B$1005,B132)=0,120,100*(INDEX('Standards &amp; Scoring'!$E$5:$E$13,MATCH("Downtime Control",'Standards &amp; Scoring'!$A$5:$A$13,0))/IFERROR(SUMIFS('Fault &amp; Downtime Entry'!$L$6:$L$1005,'Fault &amp; Downtime Entry'!$E$6:$E$1005,G132,'Fault &amp; Downtime Entry'!$B$6:$B$1005,B132)/O132*1000,999999)))))</f>
        <v/>
      </c>
      <c r="AT132" s="49" t="n">
        <f aca="false">IF(COUNTA(AH132,AJ132)=0,"",MIN(120,IF(AND(AH132&lt;&gt;"",AJ132&lt;&gt;""),AVERAGE(AH132,AJ132),IF(AH132&lt;&gt;"",AH132,AJ132))))</f>
        <v>0</v>
      </c>
      <c r="AU132" s="49" t="str">
        <f aca="false">IF(AI132="","",MIN(120,AI132))</f>
        <v/>
      </c>
      <c r="AV132" s="49" t="str">
        <f aca="false">IF(AJ132="","",MIN(120,AJ132))</f>
        <v/>
      </c>
      <c r="AW132" s="50" t="str">
        <f aca="false">IF(COUNT(AN132:AV132)&lt;9,"",(AN132*'Standards &amp; Scoring'!$D$5+AO132*'Standards &amp; Scoring'!$D$6+AP132*'Standards &amp; Scoring'!$D$7+AQ132*'Standards &amp; Scoring'!$D$8+AR132*'Standards &amp; Scoring'!$D$9+AS132*'Standards &amp; Scoring'!$D$10+AT132*'Standards &amp; Scoring'!$D$11+AU132*'Standards &amp; Scoring'!$D$12+AV132*'Standards &amp; Scoring'!$D$13)/10000)</f>
        <v/>
      </c>
      <c r="AX132" s="47" t="str">
        <f aca="false">IF(AW132="","",IF(AW132&gt;=1.05,"A+",IF(AW132&gt;=1,"A",IF(AW132&gt;=0.95,"B+",IF(AW132&gt;=0.9,"B","C")))))</f>
        <v/>
      </c>
      <c r="AY132" s="47" t="str">
        <f aca="false">IF(AX132="","",IF(AX132="A+",1800,IF(AX132="A",1600,IF(AX132="B+",1400,IF(AX132="B",1200,0)))))</f>
        <v/>
      </c>
      <c r="AZ132" s="49" t="str">
        <f aca="false">IF(OR(L132="",M132="",S132="",M132=0),"",IFERROR(L132*60*S132/(M132*36),0))</f>
        <v/>
      </c>
    </row>
    <row r="133" customFormat="false" ht="15" hidden="false" customHeight="true" outlineLevel="0" collapsed="false">
      <c r="A133" s="47" t="n">
        <f aca="false">'Daily KPI Entry'!A134</f>
        <v>0</v>
      </c>
      <c r="B133" s="48" t="n">
        <f aca="false">'Daily KPI Entry'!B134</f>
        <v>0</v>
      </c>
      <c r="C133" s="47" t="n">
        <f aca="false">'Daily KPI Entry'!C134</f>
        <v>0</v>
      </c>
      <c r="D133" s="47" t="n">
        <f aca="false">'Daily KPI Entry'!D134</f>
        <v>0</v>
      </c>
      <c r="E133" s="47" t="n">
        <f aca="false">'Daily KPI Entry'!E134</f>
        <v>0</v>
      </c>
      <c r="F133" s="47" t="n">
        <f aca="false">'Daily KPI Entry'!F134</f>
        <v>0</v>
      </c>
      <c r="G133" s="47" t="n">
        <f aca="false">'Daily KPI Entry'!G134</f>
        <v>0</v>
      </c>
      <c r="H133" s="47" t="str">
        <f aca="false">'Daily KPI Entry'!H134</f>
        <v/>
      </c>
      <c r="I133" s="47" t="n">
        <f aca="false">'Daily KPI Entry'!I134</f>
        <v>0</v>
      </c>
      <c r="J133" s="47" t="n">
        <f aca="false">'Daily KPI Entry'!J134</f>
        <v>0</v>
      </c>
      <c r="K133" s="47" t="n">
        <f aca="false">'Daily KPI Entry'!K134</f>
        <v>0</v>
      </c>
      <c r="L133" s="47" t="n">
        <f aca="false">'Daily KPI Entry'!L134</f>
        <v>0</v>
      </c>
      <c r="M133" s="47" t="n">
        <f aca="false">'Daily KPI Entry'!M134</f>
        <v>0</v>
      </c>
      <c r="N133" s="49" t="n">
        <f aca="false">'Daily KPI Entry'!N134</f>
        <v>0</v>
      </c>
      <c r="O133" s="49" t="n">
        <f aca="false">'Daily KPI Entry'!O134</f>
        <v>0</v>
      </c>
      <c r="P133" s="49" t="str">
        <f aca="false">IF(OR(N133="",O133=""),"",IFERROR(O133/N133*100,0))</f>
        <v/>
      </c>
      <c r="Q133" s="47" t="n">
        <f aca="false">'Daily KPI Entry'!Q134</f>
        <v>8</v>
      </c>
      <c r="R133" s="47" t="str">
        <f aca="false">IF(J133="","",Q133*J133)</f>
        <v/>
      </c>
      <c r="S133" s="49" t="n">
        <f aca="false">'Daily KPI Entry'!S134</f>
        <v>0</v>
      </c>
      <c r="T133" s="49" t="str">
        <f aca="false">IF(OR(R133="",S133=""),"",IFERROR(S133/R133*100,0))</f>
        <v/>
      </c>
      <c r="U133" s="49" t="str">
        <f aca="false">IF(OR(O133="",L133="",M133="",S133="",M133=0),"",IFERROR(O133/(L133*60*S133/(M133*36))*100,0))</f>
        <v/>
      </c>
      <c r="V133" s="49" t="n">
        <f aca="false">'Daily KPI Entry'!V134</f>
        <v>0</v>
      </c>
      <c r="W133" s="49" t="str">
        <f aca="false">IF(O133="","",IFERROR(V133/O133*100,0))</f>
        <v/>
      </c>
      <c r="X133" s="49" t="n">
        <f aca="false">'Daily KPI Entry'!X134</f>
        <v>0</v>
      </c>
      <c r="Y133" s="49" t="n">
        <f aca="false">'Daily KPI Entry'!Y134</f>
        <v>0</v>
      </c>
      <c r="Z133" s="49" t="n">
        <f aca="false">'Daily KPI Entry'!Z134</f>
        <v>0</v>
      </c>
      <c r="AA133" s="49" t="n">
        <f aca="false">'Daily KPI Entry'!AA134</f>
        <v>0</v>
      </c>
      <c r="AB133" s="49" t="n">
        <f aca="false">'Daily KPI Entry'!AB134</f>
        <v>0</v>
      </c>
      <c r="AC133" s="49" t="n">
        <f aca="false">'Daily KPI Entry'!AC134</f>
        <v>0</v>
      </c>
      <c r="AD133" s="49" t="n">
        <f aca="false">'Daily KPI Entry'!AD134</f>
        <v>0</v>
      </c>
      <c r="AE133" s="49" t="n">
        <f aca="false">'Daily KPI Entry'!AE134</f>
        <v>0</v>
      </c>
      <c r="AF133" s="47" t="str">
        <f aca="false">IF(O133="","",SUM(X133:AE133))</f>
        <v/>
      </c>
      <c r="AG133" s="49" t="str">
        <f aca="false">IF(O133="","",IFERROR(AF133/O133*1000,0))</f>
        <v/>
      </c>
      <c r="AH133" s="49" t="n">
        <f aca="false">'Daily KPI Entry'!AH134</f>
        <v>0</v>
      </c>
      <c r="AI133" s="49" t="n">
        <f aca="false">'Daily KPI Entry'!AI134</f>
        <v>0</v>
      </c>
      <c r="AJ133" s="49" t="n">
        <f aca="false">'Daily KPI Entry'!AJ134</f>
        <v>0</v>
      </c>
      <c r="AK133" s="47" t="n">
        <f aca="false">'Daily KPI Entry'!AK134</f>
        <v>0</v>
      </c>
      <c r="AL133" s="47" t="n">
        <f aca="false">'Daily KPI Entry'!AL134</f>
        <v>0</v>
      </c>
      <c r="AM133" s="47" t="n">
        <f aca="false">'Daily KPI Entry'!AM134</f>
        <v>0</v>
      </c>
      <c r="AN133" s="49" t="str">
        <f aca="false">IF(P133="","",MIN(120,P133))</f>
        <v/>
      </c>
      <c r="AO133" s="49" t="str">
        <f aca="false">IF(U133="","",MIN(120,U133))</f>
        <v/>
      </c>
      <c r="AP133" s="49" t="str">
        <f aca="false">IF(R133="","",MIN(120,IFERROR(S133/R133*100,0)))</f>
        <v/>
      </c>
      <c r="AQ133" s="49" t="str">
        <f aca="false">IF(W133="","",MIN(120,IF(W133=0,120,100*(INDEX('Standards &amp; Scoring'!$E$5:$E$13,MATCH("Quality / Rejection",'Standards &amp; Scoring'!$A$5:$A$13,0))/W133))))</f>
        <v/>
      </c>
      <c r="AR133" s="49" t="str">
        <f aca="false">IF(AG133="","",MIN(120,IF(AG133=0,120,100*(INDEX('Standards &amp; Scoring'!$E$5:$E$13,MATCH("Fault Control",'Standards &amp; Scoring'!$A$5:$A$13,0))/AG133))))</f>
        <v/>
      </c>
      <c r="AS133" s="49" t="str">
        <f aca="false">IF(O133="","",MIN(120,IF(SUMIFS('Fault &amp; Downtime Entry'!$L$6:$L$1005,'Fault &amp; Downtime Entry'!$E$6:$E$1005,G133,'Fault &amp; Downtime Entry'!$B$6:$B$1005,B133)=0,120,100*(INDEX('Standards &amp; Scoring'!$E$5:$E$13,MATCH("Downtime Control",'Standards &amp; Scoring'!$A$5:$A$13,0))/IFERROR(SUMIFS('Fault &amp; Downtime Entry'!$L$6:$L$1005,'Fault &amp; Downtime Entry'!$E$6:$E$1005,G133,'Fault &amp; Downtime Entry'!$B$6:$B$1005,B133)/O133*1000,999999)))))</f>
        <v/>
      </c>
      <c r="AT133" s="49" t="n">
        <f aca="false">IF(COUNTA(AH133,AJ133)=0,"",MIN(120,IF(AND(AH133&lt;&gt;"",AJ133&lt;&gt;""),AVERAGE(AH133,AJ133),IF(AH133&lt;&gt;"",AH133,AJ133))))</f>
        <v>0</v>
      </c>
      <c r="AU133" s="49" t="str">
        <f aca="false">IF(AI133="","",MIN(120,AI133))</f>
        <v/>
      </c>
      <c r="AV133" s="49" t="str">
        <f aca="false">IF(AJ133="","",MIN(120,AJ133))</f>
        <v/>
      </c>
      <c r="AW133" s="50" t="str">
        <f aca="false">IF(COUNT(AN133:AV133)&lt;9,"",(AN133*'Standards &amp; Scoring'!$D$5+AO133*'Standards &amp; Scoring'!$D$6+AP133*'Standards &amp; Scoring'!$D$7+AQ133*'Standards &amp; Scoring'!$D$8+AR133*'Standards &amp; Scoring'!$D$9+AS133*'Standards &amp; Scoring'!$D$10+AT133*'Standards &amp; Scoring'!$D$11+AU133*'Standards &amp; Scoring'!$D$12+AV133*'Standards &amp; Scoring'!$D$13)/10000)</f>
        <v/>
      </c>
      <c r="AX133" s="47" t="str">
        <f aca="false">IF(AW133="","",IF(AW133&gt;=1.05,"A+",IF(AW133&gt;=1,"A",IF(AW133&gt;=0.95,"B+",IF(AW133&gt;=0.9,"B","C")))))</f>
        <v/>
      </c>
      <c r="AY133" s="47" t="str">
        <f aca="false">IF(AX133="","",IF(AX133="A+",1800,IF(AX133="A",1600,IF(AX133="B+",1400,IF(AX133="B",1200,0)))))</f>
        <v/>
      </c>
      <c r="AZ133" s="49" t="str">
        <f aca="false">IF(OR(L133="",M133="",S133="",M133=0),"",IFERROR(L133*60*S133/(M133*36),0))</f>
        <v/>
      </c>
    </row>
    <row r="134" customFormat="false" ht="15" hidden="false" customHeight="true" outlineLevel="0" collapsed="false">
      <c r="A134" s="47" t="n">
        <f aca="false">'Daily KPI Entry'!A135</f>
        <v>0</v>
      </c>
      <c r="B134" s="48" t="n">
        <f aca="false">'Daily KPI Entry'!B135</f>
        <v>0</v>
      </c>
      <c r="C134" s="47" t="n">
        <f aca="false">'Daily KPI Entry'!C135</f>
        <v>0</v>
      </c>
      <c r="D134" s="47" t="n">
        <f aca="false">'Daily KPI Entry'!D135</f>
        <v>0</v>
      </c>
      <c r="E134" s="47" t="n">
        <f aca="false">'Daily KPI Entry'!E135</f>
        <v>0</v>
      </c>
      <c r="F134" s="47" t="n">
        <f aca="false">'Daily KPI Entry'!F135</f>
        <v>0</v>
      </c>
      <c r="G134" s="47" t="n">
        <f aca="false">'Daily KPI Entry'!G135</f>
        <v>0</v>
      </c>
      <c r="H134" s="47" t="str">
        <f aca="false">'Daily KPI Entry'!H135</f>
        <v/>
      </c>
      <c r="I134" s="47" t="n">
        <f aca="false">'Daily KPI Entry'!I135</f>
        <v>0</v>
      </c>
      <c r="J134" s="47" t="n">
        <f aca="false">'Daily KPI Entry'!J135</f>
        <v>0</v>
      </c>
      <c r="K134" s="47" t="n">
        <f aca="false">'Daily KPI Entry'!K135</f>
        <v>0</v>
      </c>
      <c r="L134" s="47" t="n">
        <f aca="false">'Daily KPI Entry'!L135</f>
        <v>0</v>
      </c>
      <c r="M134" s="47" t="n">
        <f aca="false">'Daily KPI Entry'!M135</f>
        <v>0</v>
      </c>
      <c r="N134" s="49" t="n">
        <f aca="false">'Daily KPI Entry'!N135</f>
        <v>0</v>
      </c>
      <c r="O134" s="49" t="n">
        <f aca="false">'Daily KPI Entry'!O135</f>
        <v>0</v>
      </c>
      <c r="P134" s="49" t="str">
        <f aca="false">IF(OR(N134="",O134=""),"",IFERROR(O134/N134*100,0))</f>
        <v/>
      </c>
      <c r="Q134" s="47" t="n">
        <f aca="false">'Daily KPI Entry'!Q135</f>
        <v>8</v>
      </c>
      <c r="R134" s="47" t="str">
        <f aca="false">IF(J134="","",Q134*J134)</f>
        <v/>
      </c>
      <c r="S134" s="49" t="n">
        <f aca="false">'Daily KPI Entry'!S135</f>
        <v>0</v>
      </c>
      <c r="T134" s="49" t="str">
        <f aca="false">IF(OR(R134="",S134=""),"",IFERROR(S134/R134*100,0))</f>
        <v/>
      </c>
      <c r="U134" s="49" t="str">
        <f aca="false">IF(OR(O134="",L134="",M134="",S134="",M134=0),"",IFERROR(O134/(L134*60*S134/(M134*36))*100,0))</f>
        <v/>
      </c>
      <c r="V134" s="49" t="n">
        <f aca="false">'Daily KPI Entry'!V135</f>
        <v>0</v>
      </c>
      <c r="W134" s="49" t="str">
        <f aca="false">IF(O134="","",IFERROR(V134/O134*100,0))</f>
        <v/>
      </c>
      <c r="X134" s="49" t="n">
        <f aca="false">'Daily KPI Entry'!X135</f>
        <v>0</v>
      </c>
      <c r="Y134" s="49" t="n">
        <f aca="false">'Daily KPI Entry'!Y135</f>
        <v>0</v>
      </c>
      <c r="Z134" s="49" t="n">
        <f aca="false">'Daily KPI Entry'!Z135</f>
        <v>0</v>
      </c>
      <c r="AA134" s="49" t="n">
        <f aca="false">'Daily KPI Entry'!AA135</f>
        <v>0</v>
      </c>
      <c r="AB134" s="49" t="n">
        <f aca="false">'Daily KPI Entry'!AB135</f>
        <v>0</v>
      </c>
      <c r="AC134" s="49" t="n">
        <f aca="false">'Daily KPI Entry'!AC135</f>
        <v>0</v>
      </c>
      <c r="AD134" s="49" t="n">
        <f aca="false">'Daily KPI Entry'!AD135</f>
        <v>0</v>
      </c>
      <c r="AE134" s="49" t="n">
        <f aca="false">'Daily KPI Entry'!AE135</f>
        <v>0</v>
      </c>
      <c r="AF134" s="47" t="str">
        <f aca="false">IF(O134="","",SUM(X134:AE134))</f>
        <v/>
      </c>
      <c r="AG134" s="49" t="str">
        <f aca="false">IF(O134="","",IFERROR(AF134/O134*1000,0))</f>
        <v/>
      </c>
      <c r="AH134" s="49" t="n">
        <f aca="false">'Daily KPI Entry'!AH135</f>
        <v>0</v>
      </c>
      <c r="AI134" s="49" t="n">
        <f aca="false">'Daily KPI Entry'!AI135</f>
        <v>0</v>
      </c>
      <c r="AJ134" s="49" t="n">
        <f aca="false">'Daily KPI Entry'!AJ135</f>
        <v>0</v>
      </c>
      <c r="AK134" s="47" t="n">
        <f aca="false">'Daily KPI Entry'!AK135</f>
        <v>0</v>
      </c>
      <c r="AL134" s="47" t="n">
        <f aca="false">'Daily KPI Entry'!AL135</f>
        <v>0</v>
      </c>
      <c r="AM134" s="47" t="n">
        <f aca="false">'Daily KPI Entry'!AM135</f>
        <v>0</v>
      </c>
      <c r="AN134" s="49" t="str">
        <f aca="false">IF(P134="","",MIN(120,P134))</f>
        <v/>
      </c>
      <c r="AO134" s="49" t="str">
        <f aca="false">IF(U134="","",MIN(120,U134))</f>
        <v/>
      </c>
      <c r="AP134" s="49" t="str">
        <f aca="false">IF(R134="","",MIN(120,IFERROR(S134/R134*100,0)))</f>
        <v/>
      </c>
      <c r="AQ134" s="49" t="str">
        <f aca="false">IF(W134="","",MIN(120,IF(W134=0,120,100*(INDEX('Standards &amp; Scoring'!$E$5:$E$13,MATCH("Quality / Rejection",'Standards &amp; Scoring'!$A$5:$A$13,0))/W134))))</f>
        <v/>
      </c>
      <c r="AR134" s="49" t="str">
        <f aca="false">IF(AG134="","",MIN(120,IF(AG134=0,120,100*(INDEX('Standards &amp; Scoring'!$E$5:$E$13,MATCH("Fault Control",'Standards &amp; Scoring'!$A$5:$A$13,0))/AG134))))</f>
        <v/>
      </c>
      <c r="AS134" s="49" t="str">
        <f aca="false">IF(O134="","",MIN(120,IF(SUMIFS('Fault &amp; Downtime Entry'!$L$6:$L$1005,'Fault &amp; Downtime Entry'!$E$6:$E$1005,G134,'Fault &amp; Downtime Entry'!$B$6:$B$1005,B134)=0,120,100*(INDEX('Standards &amp; Scoring'!$E$5:$E$13,MATCH("Downtime Control",'Standards &amp; Scoring'!$A$5:$A$13,0))/IFERROR(SUMIFS('Fault &amp; Downtime Entry'!$L$6:$L$1005,'Fault &amp; Downtime Entry'!$E$6:$E$1005,G134,'Fault &amp; Downtime Entry'!$B$6:$B$1005,B134)/O134*1000,999999)))))</f>
        <v/>
      </c>
      <c r="AT134" s="49" t="n">
        <f aca="false">IF(COUNTA(AH134,AJ134)=0,"",MIN(120,IF(AND(AH134&lt;&gt;"",AJ134&lt;&gt;""),AVERAGE(AH134,AJ134),IF(AH134&lt;&gt;"",AH134,AJ134))))</f>
        <v>0</v>
      </c>
      <c r="AU134" s="49" t="str">
        <f aca="false">IF(AI134="","",MIN(120,AI134))</f>
        <v/>
      </c>
      <c r="AV134" s="49" t="str">
        <f aca="false">IF(AJ134="","",MIN(120,AJ134))</f>
        <v/>
      </c>
      <c r="AW134" s="50" t="str">
        <f aca="false">IF(COUNT(AN134:AV134)&lt;9,"",(AN134*'Standards &amp; Scoring'!$D$5+AO134*'Standards &amp; Scoring'!$D$6+AP134*'Standards &amp; Scoring'!$D$7+AQ134*'Standards &amp; Scoring'!$D$8+AR134*'Standards &amp; Scoring'!$D$9+AS134*'Standards &amp; Scoring'!$D$10+AT134*'Standards &amp; Scoring'!$D$11+AU134*'Standards &amp; Scoring'!$D$12+AV134*'Standards &amp; Scoring'!$D$13)/10000)</f>
        <v/>
      </c>
      <c r="AX134" s="47" t="str">
        <f aca="false">IF(AW134="","",IF(AW134&gt;=1.05,"A+",IF(AW134&gt;=1,"A",IF(AW134&gt;=0.95,"B+",IF(AW134&gt;=0.9,"B","C")))))</f>
        <v/>
      </c>
      <c r="AY134" s="47" t="str">
        <f aca="false">IF(AX134="","",IF(AX134="A+",1800,IF(AX134="A",1600,IF(AX134="B+",1400,IF(AX134="B",1200,0)))))</f>
        <v/>
      </c>
      <c r="AZ134" s="49" t="str">
        <f aca="false">IF(OR(L134="",M134="",S134="",M134=0),"",IFERROR(L134*60*S134/(M134*36),0))</f>
        <v/>
      </c>
    </row>
    <row r="135" customFormat="false" ht="15" hidden="false" customHeight="true" outlineLevel="0" collapsed="false">
      <c r="A135" s="47" t="n">
        <f aca="false">'Daily KPI Entry'!A136</f>
        <v>0</v>
      </c>
      <c r="B135" s="48" t="n">
        <f aca="false">'Daily KPI Entry'!B136</f>
        <v>0</v>
      </c>
      <c r="C135" s="47" t="n">
        <f aca="false">'Daily KPI Entry'!C136</f>
        <v>0</v>
      </c>
      <c r="D135" s="47" t="n">
        <f aca="false">'Daily KPI Entry'!D136</f>
        <v>0</v>
      </c>
      <c r="E135" s="47" t="n">
        <f aca="false">'Daily KPI Entry'!E136</f>
        <v>0</v>
      </c>
      <c r="F135" s="47" t="n">
        <f aca="false">'Daily KPI Entry'!F136</f>
        <v>0</v>
      </c>
      <c r="G135" s="47" t="n">
        <f aca="false">'Daily KPI Entry'!G136</f>
        <v>0</v>
      </c>
      <c r="H135" s="47" t="str">
        <f aca="false">'Daily KPI Entry'!H136</f>
        <v/>
      </c>
      <c r="I135" s="47" t="n">
        <f aca="false">'Daily KPI Entry'!I136</f>
        <v>0</v>
      </c>
      <c r="J135" s="47" t="n">
        <f aca="false">'Daily KPI Entry'!J136</f>
        <v>0</v>
      </c>
      <c r="K135" s="47" t="n">
        <f aca="false">'Daily KPI Entry'!K136</f>
        <v>0</v>
      </c>
      <c r="L135" s="47" t="n">
        <f aca="false">'Daily KPI Entry'!L136</f>
        <v>0</v>
      </c>
      <c r="M135" s="47" t="n">
        <f aca="false">'Daily KPI Entry'!M136</f>
        <v>0</v>
      </c>
      <c r="N135" s="49" t="n">
        <f aca="false">'Daily KPI Entry'!N136</f>
        <v>0</v>
      </c>
      <c r="O135" s="49" t="n">
        <f aca="false">'Daily KPI Entry'!O136</f>
        <v>0</v>
      </c>
      <c r="P135" s="49" t="str">
        <f aca="false">IF(OR(N135="",O135=""),"",IFERROR(O135/N135*100,0))</f>
        <v/>
      </c>
      <c r="Q135" s="47" t="n">
        <f aca="false">'Daily KPI Entry'!Q136</f>
        <v>8</v>
      </c>
      <c r="R135" s="47" t="str">
        <f aca="false">IF(J135="","",Q135*J135)</f>
        <v/>
      </c>
      <c r="S135" s="49" t="n">
        <f aca="false">'Daily KPI Entry'!S136</f>
        <v>0</v>
      </c>
      <c r="T135" s="49" t="str">
        <f aca="false">IF(OR(R135="",S135=""),"",IFERROR(S135/R135*100,0))</f>
        <v/>
      </c>
      <c r="U135" s="49" t="str">
        <f aca="false">IF(OR(O135="",L135="",M135="",S135="",M135=0),"",IFERROR(O135/(L135*60*S135/(M135*36))*100,0))</f>
        <v/>
      </c>
      <c r="V135" s="49" t="n">
        <f aca="false">'Daily KPI Entry'!V136</f>
        <v>0</v>
      </c>
      <c r="W135" s="49" t="str">
        <f aca="false">IF(O135="","",IFERROR(V135/O135*100,0))</f>
        <v/>
      </c>
      <c r="X135" s="49" t="n">
        <f aca="false">'Daily KPI Entry'!X136</f>
        <v>0</v>
      </c>
      <c r="Y135" s="49" t="n">
        <f aca="false">'Daily KPI Entry'!Y136</f>
        <v>0</v>
      </c>
      <c r="Z135" s="49" t="n">
        <f aca="false">'Daily KPI Entry'!Z136</f>
        <v>0</v>
      </c>
      <c r="AA135" s="49" t="n">
        <f aca="false">'Daily KPI Entry'!AA136</f>
        <v>0</v>
      </c>
      <c r="AB135" s="49" t="n">
        <f aca="false">'Daily KPI Entry'!AB136</f>
        <v>0</v>
      </c>
      <c r="AC135" s="49" t="n">
        <f aca="false">'Daily KPI Entry'!AC136</f>
        <v>0</v>
      </c>
      <c r="AD135" s="49" t="n">
        <f aca="false">'Daily KPI Entry'!AD136</f>
        <v>0</v>
      </c>
      <c r="AE135" s="49" t="n">
        <f aca="false">'Daily KPI Entry'!AE136</f>
        <v>0</v>
      </c>
      <c r="AF135" s="47" t="str">
        <f aca="false">IF(O135="","",SUM(X135:AE135))</f>
        <v/>
      </c>
      <c r="AG135" s="49" t="str">
        <f aca="false">IF(O135="","",IFERROR(AF135/O135*1000,0))</f>
        <v/>
      </c>
      <c r="AH135" s="49" t="n">
        <f aca="false">'Daily KPI Entry'!AH136</f>
        <v>0</v>
      </c>
      <c r="AI135" s="49" t="n">
        <f aca="false">'Daily KPI Entry'!AI136</f>
        <v>0</v>
      </c>
      <c r="AJ135" s="49" t="n">
        <f aca="false">'Daily KPI Entry'!AJ136</f>
        <v>0</v>
      </c>
      <c r="AK135" s="47" t="n">
        <f aca="false">'Daily KPI Entry'!AK136</f>
        <v>0</v>
      </c>
      <c r="AL135" s="47" t="n">
        <f aca="false">'Daily KPI Entry'!AL136</f>
        <v>0</v>
      </c>
      <c r="AM135" s="47" t="n">
        <f aca="false">'Daily KPI Entry'!AM136</f>
        <v>0</v>
      </c>
      <c r="AN135" s="49" t="str">
        <f aca="false">IF(P135="","",MIN(120,P135))</f>
        <v/>
      </c>
      <c r="AO135" s="49" t="str">
        <f aca="false">IF(U135="","",MIN(120,U135))</f>
        <v/>
      </c>
      <c r="AP135" s="49" t="str">
        <f aca="false">IF(R135="","",MIN(120,IFERROR(S135/R135*100,0)))</f>
        <v/>
      </c>
      <c r="AQ135" s="49" t="str">
        <f aca="false">IF(W135="","",MIN(120,IF(W135=0,120,100*(INDEX('Standards &amp; Scoring'!$E$5:$E$13,MATCH("Quality / Rejection",'Standards &amp; Scoring'!$A$5:$A$13,0))/W135))))</f>
        <v/>
      </c>
      <c r="AR135" s="49" t="str">
        <f aca="false">IF(AG135="","",MIN(120,IF(AG135=0,120,100*(INDEX('Standards &amp; Scoring'!$E$5:$E$13,MATCH("Fault Control",'Standards &amp; Scoring'!$A$5:$A$13,0))/AG135))))</f>
        <v/>
      </c>
      <c r="AS135" s="49" t="str">
        <f aca="false">IF(O135="","",MIN(120,IF(SUMIFS('Fault &amp; Downtime Entry'!$L$6:$L$1005,'Fault &amp; Downtime Entry'!$E$6:$E$1005,G135,'Fault &amp; Downtime Entry'!$B$6:$B$1005,B135)=0,120,100*(INDEX('Standards &amp; Scoring'!$E$5:$E$13,MATCH("Downtime Control",'Standards &amp; Scoring'!$A$5:$A$13,0))/IFERROR(SUMIFS('Fault &amp; Downtime Entry'!$L$6:$L$1005,'Fault &amp; Downtime Entry'!$E$6:$E$1005,G135,'Fault &amp; Downtime Entry'!$B$6:$B$1005,B135)/O135*1000,999999)))))</f>
        <v/>
      </c>
      <c r="AT135" s="49" t="n">
        <f aca="false">IF(COUNTA(AH135,AJ135)=0,"",MIN(120,IF(AND(AH135&lt;&gt;"",AJ135&lt;&gt;""),AVERAGE(AH135,AJ135),IF(AH135&lt;&gt;"",AH135,AJ135))))</f>
        <v>0</v>
      </c>
      <c r="AU135" s="49" t="str">
        <f aca="false">IF(AI135="","",MIN(120,AI135))</f>
        <v/>
      </c>
      <c r="AV135" s="49" t="str">
        <f aca="false">IF(AJ135="","",MIN(120,AJ135))</f>
        <v/>
      </c>
      <c r="AW135" s="50" t="str">
        <f aca="false">IF(COUNT(AN135:AV135)&lt;9,"",(AN135*'Standards &amp; Scoring'!$D$5+AO135*'Standards &amp; Scoring'!$D$6+AP135*'Standards &amp; Scoring'!$D$7+AQ135*'Standards &amp; Scoring'!$D$8+AR135*'Standards &amp; Scoring'!$D$9+AS135*'Standards &amp; Scoring'!$D$10+AT135*'Standards &amp; Scoring'!$D$11+AU135*'Standards &amp; Scoring'!$D$12+AV135*'Standards &amp; Scoring'!$D$13)/10000)</f>
        <v/>
      </c>
      <c r="AX135" s="47" t="str">
        <f aca="false">IF(AW135="","",IF(AW135&gt;=1.05,"A+",IF(AW135&gt;=1,"A",IF(AW135&gt;=0.95,"B+",IF(AW135&gt;=0.9,"B","C")))))</f>
        <v/>
      </c>
      <c r="AY135" s="47" t="str">
        <f aca="false">IF(AX135="","",IF(AX135="A+",1800,IF(AX135="A",1600,IF(AX135="B+",1400,IF(AX135="B",1200,0)))))</f>
        <v/>
      </c>
      <c r="AZ135" s="49" t="str">
        <f aca="false">IF(OR(L135="",M135="",S135="",M135=0),"",IFERROR(L135*60*S135/(M135*36),0))</f>
        <v/>
      </c>
    </row>
    <row r="136" customFormat="false" ht="15" hidden="false" customHeight="true" outlineLevel="0" collapsed="false">
      <c r="A136" s="47" t="n">
        <f aca="false">'Daily KPI Entry'!A137</f>
        <v>0</v>
      </c>
      <c r="B136" s="48" t="n">
        <f aca="false">'Daily KPI Entry'!B137</f>
        <v>0</v>
      </c>
      <c r="C136" s="47" t="n">
        <f aca="false">'Daily KPI Entry'!C137</f>
        <v>0</v>
      </c>
      <c r="D136" s="47" t="n">
        <f aca="false">'Daily KPI Entry'!D137</f>
        <v>0</v>
      </c>
      <c r="E136" s="47" t="n">
        <f aca="false">'Daily KPI Entry'!E137</f>
        <v>0</v>
      </c>
      <c r="F136" s="47" t="n">
        <f aca="false">'Daily KPI Entry'!F137</f>
        <v>0</v>
      </c>
      <c r="G136" s="47" t="n">
        <f aca="false">'Daily KPI Entry'!G137</f>
        <v>0</v>
      </c>
      <c r="H136" s="47" t="str">
        <f aca="false">'Daily KPI Entry'!H137</f>
        <v/>
      </c>
      <c r="I136" s="47" t="n">
        <f aca="false">'Daily KPI Entry'!I137</f>
        <v>0</v>
      </c>
      <c r="J136" s="47" t="n">
        <f aca="false">'Daily KPI Entry'!J137</f>
        <v>0</v>
      </c>
      <c r="K136" s="47" t="n">
        <f aca="false">'Daily KPI Entry'!K137</f>
        <v>0</v>
      </c>
      <c r="L136" s="47" t="n">
        <f aca="false">'Daily KPI Entry'!L137</f>
        <v>0</v>
      </c>
      <c r="M136" s="47" t="n">
        <f aca="false">'Daily KPI Entry'!M137</f>
        <v>0</v>
      </c>
      <c r="N136" s="49" t="n">
        <f aca="false">'Daily KPI Entry'!N137</f>
        <v>0</v>
      </c>
      <c r="O136" s="49" t="n">
        <f aca="false">'Daily KPI Entry'!O137</f>
        <v>0</v>
      </c>
      <c r="P136" s="49" t="str">
        <f aca="false">IF(OR(N136="",O136=""),"",IFERROR(O136/N136*100,0))</f>
        <v/>
      </c>
      <c r="Q136" s="47" t="n">
        <f aca="false">'Daily KPI Entry'!Q137</f>
        <v>8</v>
      </c>
      <c r="R136" s="47" t="str">
        <f aca="false">IF(J136="","",Q136*J136)</f>
        <v/>
      </c>
      <c r="S136" s="49" t="n">
        <f aca="false">'Daily KPI Entry'!S137</f>
        <v>0</v>
      </c>
      <c r="T136" s="49" t="str">
        <f aca="false">IF(OR(R136="",S136=""),"",IFERROR(S136/R136*100,0))</f>
        <v/>
      </c>
      <c r="U136" s="49" t="str">
        <f aca="false">IF(OR(O136="",L136="",M136="",S136="",M136=0),"",IFERROR(O136/(L136*60*S136/(M136*36))*100,0))</f>
        <v/>
      </c>
      <c r="V136" s="49" t="n">
        <f aca="false">'Daily KPI Entry'!V137</f>
        <v>0</v>
      </c>
      <c r="W136" s="49" t="str">
        <f aca="false">IF(O136="","",IFERROR(V136/O136*100,0))</f>
        <v/>
      </c>
      <c r="X136" s="49" t="n">
        <f aca="false">'Daily KPI Entry'!X137</f>
        <v>0</v>
      </c>
      <c r="Y136" s="49" t="n">
        <f aca="false">'Daily KPI Entry'!Y137</f>
        <v>0</v>
      </c>
      <c r="Z136" s="49" t="n">
        <f aca="false">'Daily KPI Entry'!Z137</f>
        <v>0</v>
      </c>
      <c r="AA136" s="49" t="n">
        <f aca="false">'Daily KPI Entry'!AA137</f>
        <v>0</v>
      </c>
      <c r="AB136" s="49" t="n">
        <f aca="false">'Daily KPI Entry'!AB137</f>
        <v>0</v>
      </c>
      <c r="AC136" s="49" t="n">
        <f aca="false">'Daily KPI Entry'!AC137</f>
        <v>0</v>
      </c>
      <c r="AD136" s="49" t="n">
        <f aca="false">'Daily KPI Entry'!AD137</f>
        <v>0</v>
      </c>
      <c r="AE136" s="49" t="n">
        <f aca="false">'Daily KPI Entry'!AE137</f>
        <v>0</v>
      </c>
      <c r="AF136" s="47" t="str">
        <f aca="false">IF(O136="","",SUM(X136:AE136))</f>
        <v/>
      </c>
      <c r="AG136" s="49" t="str">
        <f aca="false">IF(O136="","",IFERROR(AF136/O136*1000,0))</f>
        <v/>
      </c>
      <c r="AH136" s="49" t="n">
        <f aca="false">'Daily KPI Entry'!AH137</f>
        <v>0</v>
      </c>
      <c r="AI136" s="49" t="n">
        <f aca="false">'Daily KPI Entry'!AI137</f>
        <v>0</v>
      </c>
      <c r="AJ136" s="49" t="n">
        <f aca="false">'Daily KPI Entry'!AJ137</f>
        <v>0</v>
      </c>
      <c r="AK136" s="47" t="n">
        <f aca="false">'Daily KPI Entry'!AK137</f>
        <v>0</v>
      </c>
      <c r="AL136" s="47" t="n">
        <f aca="false">'Daily KPI Entry'!AL137</f>
        <v>0</v>
      </c>
      <c r="AM136" s="47" t="n">
        <f aca="false">'Daily KPI Entry'!AM137</f>
        <v>0</v>
      </c>
      <c r="AN136" s="49" t="str">
        <f aca="false">IF(P136="","",MIN(120,P136))</f>
        <v/>
      </c>
      <c r="AO136" s="49" t="str">
        <f aca="false">IF(U136="","",MIN(120,U136))</f>
        <v/>
      </c>
      <c r="AP136" s="49" t="str">
        <f aca="false">IF(R136="","",MIN(120,IFERROR(S136/R136*100,0)))</f>
        <v/>
      </c>
      <c r="AQ136" s="49" t="str">
        <f aca="false">IF(W136="","",MIN(120,IF(W136=0,120,100*(INDEX('Standards &amp; Scoring'!$E$5:$E$13,MATCH("Quality / Rejection",'Standards &amp; Scoring'!$A$5:$A$13,0))/W136))))</f>
        <v/>
      </c>
      <c r="AR136" s="49" t="str">
        <f aca="false">IF(AG136="","",MIN(120,IF(AG136=0,120,100*(INDEX('Standards &amp; Scoring'!$E$5:$E$13,MATCH("Fault Control",'Standards &amp; Scoring'!$A$5:$A$13,0))/AG136))))</f>
        <v/>
      </c>
      <c r="AS136" s="49" t="str">
        <f aca="false">IF(O136="","",MIN(120,IF(SUMIFS('Fault &amp; Downtime Entry'!$L$6:$L$1005,'Fault &amp; Downtime Entry'!$E$6:$E$1005,G136,'Fault &amp; Downtime Entry'!$B$6:$B$1005,B136)=0,120,100*(INDEX('Standards &amp; Scoring'!$E$5:$E$13,MATCH("Downtime Control",'Standards &amp; Scoring'!$A$5:$A$13,0))/IFERROR(SUMIFS('Fault &amp; Downtime Entry'!$L$6:$L$1005,'Fault &amp; Downtime Entry'!$E$6:$E$1005,G136,'Fault &amp; Downtime Entry'!$B$6:$B$1005,B136)/O136*1000,999999)))))</f>
        <v/>
      </c>
      <c r="AT136" s="49" t="n">
        <f aca="false">IF(COUNTA(AH136,AJ136)=0,"",MIN(120,IF(AND(AH136&lt;&gt;"",AJ136&lt;&gt;""),AVERAGE(AH136,AJ136),IF(AH136&lt;&gt;"",AH136,AJ136))))</f>
        <v>0</v>
      </c>
      <c r="AU136" s="49" t="str">
        <f aca="false">IF(AI136="","",MIN(120,AI136))</f>
        <v/>
      </c>
      <c r="AV136" s="49" t="str">
        <f aca="false">IF(AJ136="","",MIN(120,AJ136))</f>
        <v/>
      </c>
      <c r="AW136" s="50" t="str">
        <f aca="false">IF(COUNT(AN136:AV136)&lt;9,"",(AN136*'Standards &amp; Scoring'!$D$5+AO136*'Standards &amp; Scoring'!$D$6+AP136*'Standards &amp; Scoring'!$D$7+AQ136*'Standards &amp; Scoring'!$D$8+AR136*'Standards &amp; Scoring'!$D$9+AS136*'Standards &amp; Scoring'!$D$10+AT136*'Standards &amp; Scoring'!$D$11+AU136*'Standards &amp; Scoring'!$D$12+AV136*'Standards &amp; Scoring'!$D$13)/10000)</f>
        <v/>
      </c>
      <c r="AX136" s="47" t="str">
        <f aca="false">IF(AW136="","",IF(AW136&gt;=1.05,"A+",IF(AW136&gt;=1,"A",IF(AW136&gt;=0.95,"B+",IF(AW136&gt;=0.9,"B","C")))))</f>
        <v/>
      </c>
      <c r="AY136" s="47" t="str">
        <f aca="false">IF(AX136="","",IF(AX136="A+",1800,IF(AX136="A",1600,IF(AX136="B+",1400,IF(AX136="B",1200,0)))))</f>
        <v/>
      </c>
      <c r="AZ136" s="49" t="str">
        <f aca="false">IF(OR(L136="",M136="",S136="",M136=0),"",IFERROR(L136*60*S136/(M136*36),0))</f>
        <v/>
      </c>
    </row>
    <row r="137" customFormat="false" ht="15" hidden="false" customHeight="true" outlineLevel="0" collapsed="false">
      <c r="A137" s="47" t="n">
        <f aca="false">'Daily KPI Entry'!A138</f>
        <v>0</v>
      </c>
      <c r="B137" s="48" t="n">
        <f aca="false">'Daily KPI Entry'!B138</f>
        <v>0</v>
      </c>
      <c r="C137" s="47" t="n">
        <f aca="false">'Daily KPI Entry'!C138</f>
        <v>0</v>
      </c>
      <c r="D137" s="47" t="n">
        <f aca="false">'Daily KPI Entry'!D138</f>
        <v>0</v>
      </c>
      <c r="E137" s="47" t="n">
        <f aca="false">'Daily KPI Entry'!E138</f>
        <v>0</v>
      </c>
      <c r="F137" s="47" t="n">
        <f aca="false">'Daily KPI Entry'!F138</f>
        <v>0</v>
      </c>
      <c r="G137" s="47" t="n">
        <f aca="false">'Daily KPI Entry'!G138</f>
        <v>0</v>
      </c>
      <c r="H137" s="47" t="str">
        <f aca="false">'Daily KPI Entry'!H138</f>
        <v/>
      </c>
      <c r="I137" s="47" t="n">
        <f aca="false">'Daily KPI Entry'!I138</f>
        <v>0</v>
      </c>
      <c r="J137" s="47" t="n">
        <f aca="false">'Daily KPI Entry'!J138</f>
        <v>0</v>
      </c>
      <c r="K137" s="47" t="n">
        <f aca="false">'Daily KPI Entry'!K138</f>
        <v>0</v>
      </c>
      <c r="L137" s="47" t="n">
        <f aca="false">'Daily KPI Entry'!L138</f>
        <v>0</v>
      </c>
      <c r="M137" s="47" t="n">
        <f aca="false">'Daily KPI Entry'!M138</f>
        <v>0</v>
      </c>
      <c r="N137" s="49" t="n">
        <f aca="false">'Daily KPI Entry'!N138</f>
        <v>0</v>
      </c>
      <c r="O137" s="49" t="n">
        <f aca="false">'Daily KPI Entry'!O138</f>
        <v>0</v>
      </c>
      <c r="P137" s="49" t="str">
        <f aca="false">IF(OR(N137="",O137=""),"",IFERROR(O137/N137*100,0))</f>
        <v/>
      </c>
      <c r="Q137" s="47" t="n">
        <f aca="false">'Daily KPI Entry'!Q138</f>
        <v>8</v>
      </c>
      <c r="R137" s="47" t="str">
        <f aca="false">IF(J137="","",Q137*J137)</f>
        <v/>
      </c>
      <c r="S137" s="49" t="n">
        <f aca="false">'Daily KPI Entry'!S138</f>
        <v>0</v>
      </c>
      <c r="T137" s="49" t="str">
        <f aca="false">IF(OR(R137="",S137=""),"",IFERROR(S137/R137*100,0))</f>
        <v/>
      </c>
      <c r="U137" s="49" t="str">
        <f aca="false">IF(OR(O137="",L137="",M137="",S137="",M137=0),"",IFERROR(O137/(L137*60*S137/(M137*36))*100,0))</f>
        <v/>
      </c>
      <c r="V137" s="49" t="n">
        <f aca="false">'Daily KPI Entry'!V138</f>
        <v>0</v>
      </c>
      <c r="W137" s="49" t="str">
        <f aca="false">IF(O137="","",IFERROR(V137/O137*100,0))</f>
        <v/>
      </c>
      <c r="X137" s="49" t="n">
        <f aca="false">'Daily KPI Entry'!X138</f>
        <v>0</v>
      </c>
      <c r="Y137" s="49" t="n">
        <f aca="false">'Daily KPI Entry'!Y138</f>
        <v>0</v>
      </c>
      <c r="Z137" s="49" t="n">
        <f aca="false">'Daily KPI Entry'!Z138</f>
        <v>0</v>
      </c>
      <c r="AA137" s="49" t="n">
        <f aca="false">'Daily KPI Entry'!AA138</f>
        <v>0</v>
      </c>
      <c r="AB137" s="49" t="n">
        <f aca="false">'Daily KPI Entry'!AB138</f>
        <v>0</v>
      </c>
      <c r="AC137" s="49" t="n">
        <f aca="false">'Daily KPI Entry'!AC138</f>
        <v>0</v>
      </c>
      <c r="AD137" s="49" t="n">
        <f aca="false">'Daily KPI Entry'!AD138</f>
        <v>0</v>
      </c>
      <c r="AE137" s="49" t="n">
        <f aca="false">'Daily KPI Entry'!AE138</f>
        <v>0</v>
      </c>
      <c r="AF137" s="47" t="str">
        <f aca="false">IF(O137="","",SUM(X137:AE137))</f>
        <v/>
      </c>
      <c r="AG137" s="49" t="str">
        <f aca="false">IF(O137="","",IFERROR(AF137/O137*1000,0))</f>
        <v/>
      </c>
      <c r="AH137" s="49" t="n">
        <f aca="false">'Daily KPI Entry'!AH138</f>
        <v>0</v>
      </c>
      <c r="AI137" s="49" t="n">
        <f aca="false">'Daily KPI Entry'!AI138</f>
        <v>0</v>
      </c>
      <c r="AJ137" s="49" t="n">
        <f aca="false">'Daily KPI Entry'!AJ138</f>
        <v>0</v>
      </c>
      <c r="AK137" s="47" t="n">
        <f aca="false">'Daily KPI Entry'!AK138</f>
        <v>0</v>
      </c>
      <c r="AL137" s="47" t="n">
        <f aca="false">'Daily KPI Entry'!AL138</f>
        <v>0</v>
      </c>
      <c r="AM137" s="47" t="n">
        <f aca="false">'Daily KPI Entry'!AM138</f>
        <v>0</v>
      </c>
      <c r="AN137" s="49" t="str">
        <f aca="false">IF(P137="","",MIN(120,P137))</f>
        <v/>
      </c>
      <c r="AO137" s="49" t="str">
        <f aca="false">IF(U137="","",MIN(120,U137))</f>
        <v/>
      </c>
      <c r="AP137" s="49" t="str">
        <f aca="false">IF(R137="","",MIN(120,IFERROR(S137/R137*100,0)))</f>
        <v/>
      </c>
      <c r="AQ137" s="49" t="str">
        <f aca="false">IF(W137="","",MIN(120,IF(W137=0,120,100*(INDEX('Standards &amp; Scoring'!$E$5:$E$13,MATCH("Quality / Rejection",'Standards &amp; Scoring'!$A$5:$A$13,0))/W137))))</f>
        <v/>
      </c>
      <c r="AR137" s="49" t="str">
        <f aca="false">IF(AG137="","",MIN(120,IF(AG137=0,120,100*(INDEX('Standards &amp; Scoring'!$E$5:$E$13,MATCH("Fault Control",'Standards &amp; Scoring'!$A$5:$A$13,0))/AG137))))</f>
        <v/>
      </c>
      <c r="AS137" s="49" t="str">
        <f aca="false">IF(O137="","",MIN(120,IF(SUMIFS('Fault &amp; Downtime Entry'!$L$6:$L$1005,'Fault &amp; Downtime Entry'!$E$6:$E$1005,G137,'Fault &amp; Downtime Entry'!$B$6:$B$1005,B137)=0,120,100*(INDEX('Standards &amp; Scoring'!$E$5:$E$13,MATCH("Downtime Control",'Standards &amp; Scoring'!$A$5:$A$13,0))/IFERROR(SUMIFS('Fault &amp; Downtime Entry'!$L$6:$L$1005,'Fault &amp; Downtime Entry'!$E$6:$E$1005,G137,'Fault &amp; Downtime Entry'!$B$6:$B$1005,B137)/O137*1000,999999)))))</f>
        <v/>
      </c>
      <c r="AT137" s="49" t="n">
        <f aca="false">IF(COUNTA(AH137,AJ137)=0,"",MIN(120,IF(AND(AH137&lt;&gt;"",AJ137&lt;&gt;""),AVERAGE(AH137,AJ137),IF(AH137&lt;&gt;"",AH137,AJ137))))</f>
        <v>0</v>
      </c>
      <c r="AU137" s="49" t="str">
        <f aca="false">IF(AI137="","",MIN(120,AI137))</f>
        <v/>
      </c>
      <c r="AV137" s="49" t="str">
        <f aca="false">IF(AJ137="","",MIN(120,AJ137))</f>
        <v/>
      </c>
      <c r="AW137" s="50" t="str">
        <f aca="false">IF(COUNT(AN137:AV137)&lt;9,"",(AN137*'Standards &amp; Scoring'!$D$5+AO137*'Standards &amp; Scoring'!$D$6+AP137*'Standards &amp; Scoring'!$D$7+AQ137*'Standards &amp; Scoring'!$D$8+AR137*'Standards &amp; Scoring'!$D$9+AS137*'Standards &amp; Scoring'!$D$10+AT137*'Standards &amp; Scoring'!$D$11+AU137*'Standards &amp; Scoring'!$D$12+AV137*'Standards &amp; Scoring'!$D$13)/10000)</f>
        <v/>
      </c>
      <c r="AX137" s="47" t="str">
        <f aca="false">IF(AW137="","",IF(AW137&gt;=1.05,"A+",IF(AW137&gt;=1,"A",IF(AW137&gt;=0.95,"B+",IF(AW137&gt;=0.9,"B","C")))))</f>
        <v/>
      </c>
      <c r="AY137" s="47" t="str">
        <f aca="false">IF(AX137="","",IF(AX137="A+",1800,IF(AX137="A",1600,IF(AX137="B+",1400,IF(AX137="B",1200,0)))))</f>
        <v/>
      </c>
      <c r="AZ137" s="49" t="str">
        <f aca="false">IF(OR(L137="",M137="",S137="",M137=0),"",IFERROR(L137*60*S137/(M137*36),0))</f>
        <v/>
      </c>
    </row>
    <row r="138" customFormat="false" ht="15" hidden="false" customHeight="true" outlineLevel="0" collapsed="false">
      <c r="A138" s="47" t="n">
        <f aca="false">'Daily KPI Entry'!A139</f>
        <v>0</v>
      </c>
      <c r="B138" s="48" t="n">
        <f aca="false">'Daily KPI Entry'!B139</f>
        <v>0</v>
      </c>
      <c r="C138" s="47" t="n">
        <f aca="false">'Daily KPI Entry'!C139</f>
        <v>0</v>
      </c>
      <c r="D138" s="47" t="n">
        <f aca="false">'Daily KPI Entry'!D139</f>
        <v>0</v>
      </c>
      <c r="E138" s="47" t="n">
        <f aca="false">'Daily KPI Entry'!E139</f>
        <v>0</v>
      </c>
      <c r="F138" s="47" t="n">
        <f aca="false">'Daily KPI Entry'!F139</f>
        <v>0</v>
      </c>
      <c r="G138" s="47" t="n">
        <f aca="false">'Daily KPI Entry'!G139</f>
        <v>0</v>
      </c>
      <c r="H138" s="47" t="str">
        <f aca="false">'Daily KPI Entry'!H139</f>
        <v/>
      </c>
      <c r="I138" s="47" t="n">
        <f aca="false">'Daily KPI Entry'!I139</f>
        <v>0</v>
      </c>
      <c r="J138" s="47" t="n">
        <f aca="false">'Daily KPI Entry'!J139</f>
        <v>0</v>
      </c>
      <c r="K138" s="47" t="n">
        <f aca="false">'Daily KPI Entry'!K139</f>
        <v>0</v>
      </c>
      <c r="L138" s="47" t="n">
        <f aca="false">'Daily KPI Entry'!L139</f>
        <v>0</v>
      </c>
      <c r="M138" s="47" t="n">
        <f aca="false">'Daily KPI Entry'!M139</f>
        <v>0</v>
      </c>
      <c r="N138" s="49" t="n">
        <f aca="false">'Daily KPI Entry'!N139</f>
        <v>0</v>
      </c>
      <c r="O138" s="49" t="n">
        <f aca="false">'Daily KPI Entry'!O139</f>
        <v>0</v>
      </c>
      <c r="P138" s="49" t="str">
        <f aca="false">IF(OR(N138="",O138=""),"",IFERROR(O138/N138*100,0))</f>
        <v/>
      </c>
      <c r="Q138" s="47" t="n">
        <f aca="false">'Daily KPI Entry'!Q139</f>
        <v>8</v>
      </c>
      <c r="R138" s="47" t="str">
        <f aca="false">IF(J138="","",Q138*J138)</f>
        <v/>
      </c>
      <c r="S138" s="49" t="n">
        <f aca="false">'Daily KPI Entry'!S139</f>
        <v>0</v>
      </c>
      <c r="T138" s="49" t="str">
        <f aca="false">IF(OR(R138="",S138=""),"",IFERROR(S138/R138*100,0))</f>
        <v/>
      </c>
      <c r="U138" s="49" t="str">
        <f aca="false">IF(OR(O138="",L138="",M138="",S138="",M138=0),"",IFERROR(O138/(L138*60*S138/(M138*36))*100,0))</f>
        <v/>
      </c>
      <c r="V138" s="49" t="n">
        <f aca="false">'Daily KPI Entry'!V139</f>
        <v>0</v>
      </c>
      <c r="W138" s="49" t="str">
        <f aca="false">IF(O138="","",IFERROR(V138/O138*100,0))</f>
        <v/>
      </c>
      <c r="X138" s="49" t="n">
        <f aca="false">'Daily KPI Entry'!X139</f>
        <v>0</v>
      </c>
      <c r="Y138" s="49" t="n">
        <f aca="false">'Daily KPI Entry'!Y139</f>
        <v>0</v>
      </c>
      <c r="Z138" s="49" t="n">
        <f aca="false">'Daily KPI Entry'!Z139</f>
        <v>0</v>
      </c>
      <c r="AA138" s="49" t="n">
        <f aca="false">'Daily KPI Entry'!AA139</f>
        <v>0</v>
      </c>
      <c r="AB138" s="49" t="n">
        <f aca="false">'Daily KPI Entry'!AB139</f>
        <v>0</v>
      </c>
      <c r="AC138" s="49" t="n">
        <f aca="false">'Daily KPI Entry'!AC139</f>
        <v>0</v>
      </c>
      <c r="AD138" s="49" t="n">
        <f aca="false">'Daily KPI Entry'!AD139</f>
        <v>0</v>
      </c>
      <c r="AE138" s="49" t="n">
        <f aca="false">'Daily KPI Entry'!AE139</f>
        <v>0</v>
      </c>
      <c r="AF138" s="47" t="str">
        <f aca="false">IF(O138="","",SUM(X138:AE138))</f>
        <v/>
      </c>
      <c r="AG138" s="49" t="str">
        <f aca="false">IF(O138="","",IFERROR(AF138/O138*1000,0))</f>
        <v/>
      </c>
      <c r="AH138" s="49" t="n">
        <f aca="false">'Daily KPI Entry'!AH139</f>
        <v>0</v>
      </c>
      <c r="AI138" s="49" t="n">
        <f aca="false">'Daily KPI Entry'!AI139</f>
        <v>0</v>
      </c>
      <c r="AJ138" s="49" t="n">
        <f aca="false">'Daily KPI Entry'!AJ139</f>
        <v>0</v>
      </c>
      <c r="AK138" s="47" t="n">
        <f aca="false">'Daily KPI Entry'!AK139</f>
        <v>0</v>
      </c>
      <c r="AL138" s="47" t="n">
        <f aca="false">'Daily KPI Entry'!AL139</f>
        <v>0</v>
      </c>
      <c r="AM138" s="47" t="n">
        <f aca="false">'Daily KPI Entry'!AM139</f>
        <v>0</v>
      </c>
      <c r="AN138" s="49" t="str">
        <f aca="false">IF(P138="","",MIN(120,P138))</f>
        <v/>
      </c>
      <c r="AO138" s="49" t="str">
        <f aca="false">IF(U138="","",MIN(120,U138))</f>
        <v/>
      </c>
      <c r="AP138" s="49" t="str">
        <f aca="false">IF(R138="","",MIN(120,IFERROR(S138/R138*100,0)))</f>
        <v/>
      </c>
      <c r="AQ138" s="49" t="str">
        <f aca="false">IF(W138="","",MIN(120,IF(W138=0,120,100*(INDEX('Standards &amp; Scoring'!$E$5:$E$13,MATCH("Quality / Rejection",'Standards &amp; Scoring'!$A$5:$A$13,0))/W138))))</f>
        <v/>
      </c>
      <c r="AR138" s="49" t="str">
        <f aca="false">IF(AG138="","",MIN(120,IF(AG138=0,120,100*(INDEX('Standards &amp; Scoring'!$E$5:$E$13,MATCH("Fault Control",'Standards &amp; Scoring'!$A$5:$A$13,0))/AG138))))</f>
        <v/>
      </c>
      <c r="AS138" s="49" t="str">
        <f aca="false">IF(O138="","",MIN(120,IF(SUMIFS('Fault &amp; Downtime Entry'!$L$6:$L$1005,'Fault &amp; Downtime Entry'!$E$6:$E$1005,G138,'Fault &amp; Downtime Entry'!$B$6:$B$1005,B138)=0,120,100*(INDEX('Standards &amp; Scoring'!$E$5:$E$13,MATCH("Downtime Control",'Standards &amp; Scoring'!$A$5:$A$13,0))/IFERROR(SUMIFS('Fault &amp; Downtime Entry'!$L$6:$L$1005,'Fault &amp; Downtime Entry'!$E$6:$E$1005,G138,'Fault &amp; Downtime Entry'!$B$6:$B$1005,B138)/O138*1000,999999)))))</f>
        <v/>
      </c>
      <c r="AT138" s="49" t="n">
        <f aca="false">IF(COUNTA(AH138,AJ138)=0,"",MIN(120,IF(AND(AH138&lt;&gt;"",AJ138&lt;&gt;""),AVERAGE(AH138,AJ138),IF(AH138&lt;&gt;"",AH138,AJ138))))</f>
        <v>0</v>
      </c>
      <c r="AU138" s="49" t="str">
        <f aca="false">IF(AI138="","",MIN(120,AI138))</f>
        <v/>
      </c>
      <c r="AV138" s="49" t="str">
        <f aca="false">IF(AJ138="","",MIN(120,AJ138))</f>
        <v/>
      </c>
      <c r="AW138" s="50" t="str">
        <f aca="false">IF(COUNT(AN138:AV138)&lt;9,"",(AN138*'Standards &amp; Scoring'!$D$5+AO138*'Standards &amp; Scoring'!$D$6+AP138*'Standards &amp; Scoring'!$D$7+AQ138*'Standards &amp; Scoring'!$D$8+AR138*'Standards &amp; Scoring'!$D$9+AS138*'Standards &amp; Scoring'!$D$10+AT138*'Standards &amp; Scoring'!$D$11+AU138*'Standards &amp; Scoring'!$D$12+AV138*'Standards &amp; Scoring'!$D$13)/10000)</f>
        <v/>
      </c>
      <c r="AX138" s="47" t="str">
        <f aca="false">IF(AW138="","",IF(AW138&gt;=1.05,"A+",IF(AW138&gt;=1,"A",IF(AW138&gt;=0.95,"B+",IF(AW138&gt;=0.9,"B","C")))))</f>
        <v/>
      </c>
      <c r="AY138" s="47" t="str">
        <f aca="false">IF(AX138="","",IF(AX138="A+",1800,IF(AX138="A",1600,IF(AX138="B+",1400,IF(AX138="B",1200,0)))))</f>
        <v/>
      </c>
      <c r="AZ138" s="49" t="str">
        <f aca="false">IF(OR(L138="",M138="",S138="",M138=0),"",IFERROR(L138*60*S138/(M138*36),0))</f>
        <v/>
      </c>
    </row>
    <row r="139" customFormat="false" ht="15" hidden="false" customHeight="true" outlineLevel="0" collapsed="false">
      <c r="A139" s="47" t="n">
        <f aca="false">'Daily KPI Entry'!A140</f>
        <v>0</v>
      </c>
      <c r="B139" s="48" t="n">
        <f aca="false">'Daily KPI Entry'!B140</f>
        <v>0</v>
      </c>
      <c r="C139" s="47" t="n">
        <f aca="false">'Daily KPI Entry'!C140</f>
        <v>0</v>
      </c>
      <c r="D139" s="47" t="n">
        <f aca="false">'Daily KPI Entry'!D140</f>
        <v>0</v>
      </c>
      <c r="E139" s="47" t="n">
        <f aca="false">'Daily KPI Entry'!E140</f>
        <v>0</v>
      </c>
      <c r="F139" s="47" t="n">
        <f aca="false">'Daily KPI Entry'!F140</f>
        <v>0</v>
      </c>
      <c r="G139" s="47" t="n">
        <f aca="false">'Daily KPI Entry'!G140</f>
        <v>0</v>
      </c>
      <c r="H139" s="47" t="str">
        <f aca="false">'Daily KPI Entry'!H140</f>
        <v/>
      </c>
      <c r="I139" s="47" t="n">
        <f aca="false">'Daily KPI Entry'!I140</f>
        <v>0</v>
      </c>
      <c r="J139" s="47" t="n">
        <f aca="false">'Daily KPI Entry'!J140</f>
        <v>0</v>
      </c>
      <c r="K139" s="47" t="n">
        <f aca="false">'Daily KPI Entry'!K140</f>
        <v>0</v>
      </c>
      <c r="L139" s="47" t="n">
        <f aca="false">'Daily KPI Entry'!L140</f>
        <v>0</v>
      </c>
      <c r="M139" s="47" t="n">
        <f aca="false">'Daily KPI Entry'!M140</f>
        <v>0</v>
      </c>
      <c r="N139" s="49" t="n">
        <f aca="false">'Daily KPI Entry'!N140</f>
        <v>0</v>
      </c>
      <c r="O139" s="49" t="n">
        <f aca="false">'Daily KPI Entry'!O140</f>
        <v>0</v>
      </c>
      <c r="P139" s="49" t="str">
        <f aca="false">IF(OR(N139="",O139=""),"",IFERROR(O139/N139*100,0))</f>
        <v/>
      </c>
      <c r="Q139" s="47" t="n">
        <f aca="false">'Daily KPI Entry'!Q140</f>
        <v>8</v>
      </c>
      <c r="R139" s="47" t="str">
        <f aca="false">IF(J139="","",Q139*J139)</f>
        <v/>
      </c>
      <c r="S139" s="49" t="n">
        <f aca="false">'Daily KPI Entry'!S140</f>
        <v>0</v>
      </c>
      <c r="T139" s="49" t="str">
        <f aca="false">IF(OR(R139="",S139=""),"",IFERROR(S139/R139*100,0))</f>
        <v/>
      </c>
      <c r="U139" s="49" t="str">
        <f aca="false">IF(OR(O139="",L139="",M139="",S139="",M139=0),"",IFERROR(O139/(L139*60*S139/(M139*36))*100,0))</f>
        <v/>
      </c>
      <c r="V139" s="49" t="n">
        <f aca="false">'Daily KPI Entry'!V140</f>
        <v>0</v>
      </c>
      <c r="W139" s="49" t="str">
        <f aca="false">IF(O139="","",IFERROR(V139/O139*100,0))</f>
        <v/>
      </c>
      <c r="X139" s="49" t="n">
        <f aca="false">'Daily KPI Entry'!X140</f>
        <v>0</v>
      </c>
      <c r="Y139" s="49" t="n">
        <f aca="false">'Daily KPI Entry'!Y140</f>
        <v>0</v>
      </c>
      <c r="Z139" s="49" t="n">
        <f aca="false">'Daily KPI Entry'!Z140</f>
        <v>0</v>
      </c>
      <c r="AA139" s="49" t="n">
        <f aca="false">'Daily KPI Entry'!AA140</f>
        <v>0</v>
      </c>
      <c r="AB139" s="49" t="n">
        <f aca="false">'Daily KPI Entry'!AB140</f>
        <v>0</v>
      </c>
      <c r="AC139" s="49" t="n">
        <f aca="false">'Daily KPI Entry'!AC140</f>
        <v>0</v>
      </c>
      <c r="AD139" s="49" t="n">
        <f aca="false">'Daily KPI Entry'!AD140</f>
        <v>0</v>
      </c>
      <c r="AE139" s="49" t="n">
        <f aca="false">'Daily KPI Entry'!AE140</f>
        <v>0</v>
      </c>
      <c r="AF139" s="47" t="str">
        <f aca="false">IF(O139="","",SUM(X139:AE139))</f>
        <v/>
      </c>
      <c r="AG139" s="49" t="str">
        <f aca="false">IF(O139="","",IFERROR(AF139/O139*1000,0))</f>
        <v/>
      </c>
      <c r="AH139" s="49" t="n">
        <f aca="false">'Daily KPI Entry'!AH140</f>
        <v>0</v>
      </c>
      <c r="AI139" s="49" t="n">
        <f aca="false">'Daily KPI Entry'!AI140</f>
        <v>0</v>
      </c>
      <c r="AJ139" s="49" t="n">
        <f aca="false">'Daily KPI Entry'!AJ140</f>
        <v>0</v>
      </c>
      <c r="AK139" s="47" t="n">
        <f aca="false">'Daily KPI Entry'!AK140</f>
        <v>0</v>
      </c>
      <c r="AL139" s="47" t="n">
        <f aca="false">'Daily KPI Entry'!AL140</f>
        <v>0</v>
      </c>
      <c r="AM139" s="47" t="n">
        <f aca="false">'Daily KPI Entry'!AM140</f>
        <v>0</v>
      </c>
      <c r="AN139" s="49" t="str">
        <f aca="false">IF(P139="","",MIN(120,P139))</f>
        <v/>
      </c>
      <c r="AO139" s="49" t="str">
        <f aca="false">IF(U139="","",MIN(120,U139))</f>
        <v/>
      </c>
      <c r="AP139" s="49" t="str">
        <f aca="false">IF(R139="","",MIN(120,IFERROR(S139/R139*100,0)))</f>
        <v/>
      </c>
      <c r="AQ139" s="49" t="str">
        <f aca="false">IF(W139="","",MIN(120,IF(W139=0,120,100*(INDEX('Standards &amp; Scoring'!$E$5:$E$13,MATCH("Quality / Rejection",'Standards &amp; Scoring'!$A$5:$A$13,0))/W139))))</f>
        <v/>
      </c>
      <c r="AR139" s="49" t="str">
        <f aca="false">IF(AG139="","",MIN(120,IF(AG139=0,120,100*(INDEX('Standards &amp; Scoring'!$E$5:$E$13,MATCH("Fault Control",'Standards &amp; Scoring'!$A$5:$A$13,0))/AG139))))</f>
        <v/>
      </c>
      <c r="AS139" s="49" t="str">
        <f aca="false">IF(O139="","",MIN(120,IF(SUMIFS('Fault &amp; Downtime Entry'!$L$6:$L$1005,'Fault &amp; Downtime Entry'!$E$6:$E$1005,G139,'Fault &amp; Downtime Entry'!$B$6:$B$1005,B139)=0,120,100*(INDEX('Standards &amp; Scoring'!$E$5:$E$13,MATCH("Downtime Control",'Standards &amp; Scoring'!$A$5:$A$13,0))/IFERROR(SUMIFS('Fault &amp; Downtime Entry'!$L$6:$L$1005,'Fault &amp; Downtime Entry'!$E$6:$E$1005,G139,'Fault &amp; Downtime Entry'!$B$6:$B$1005,B139)/O139*1000,999999)))))</f>
        <v/>
      </c>
      <c r="AT139" s="49" t="n">
        <f aca="false">IF(COUNTA(AH139,AJ139)=0,"",MIN(120,IF(AND(AH139&lt;&gt;"",AJ139&lt;&gt;""),AVERAGE(AH139,AJ139),IF(AH139&lt;&gt;"",AH139,AJ139))))</f>
        <v>0</v>
      </c>
      <c r="AU139" s="49" t="str">
        <f aca="false">IF(AI139="","",MIN(120,AI139))</f>
        <v/>
      </c>
      <c r="AV139" s="49" t="str">
        <f aca="false">IF(AJ139="","",MIN(120,AJ139))</f>
        <v/>
      </c>
      <c r="AW139" s="50" t="str">
        <f aca="false">IF(COUNT(AN139:AV139)&lt;9,"",(AN139*'Standards &amp; Scoring'!$D$5+AO139*'Standards &amp; Scoring'!$D$6+AP139*'Standards &amp; Scoring'!$D$7+AQ139*'Standards &amp; Scoring'!$D$8+AR139*'Standards &amp; Scoring'!$D$9+AS139*'Standards &amp; Scoring'!$D$10+AT139*'Standards &amp; Scoring'!$D$11+AU139*'Standards &amp; Scoring'!$D$12+AV139*'Standards &amp; Scoring'!$D$13)/10000)</f>
        <v/>
      </c>
      <c r="AX139" s="47" t="str">
        <f aca="false">IF(AW139="","",IF(AW139&gt;=1.05,"A+",IF(AW139&gt;=1,"A",IF(AW139&gt;=0.95,"B+",IF(AW139&gt;=0.9,"B","C")))))</f>
        <v/>
      </c>
      <c r="AY139" s="47" t="str">
        <f aca="false">IF(AX139="","",IF(AX139="A+",1800,IF(AX139="A",1600,IF(AX139="B+",1400,IF(AX139="B",1200,0)))))</f>
        <v/>
      </c>
      <c r="AZ139" s="49" t="str">
        <f aca="false">IF(OR(L139="",M139="",S139="",M139=0),"",IFERROR(L139*60*S139/(M139*36),0))</f>
        <v/>
      </c>
    </row>
    <row r="140" customFormat="false" ht="15" hidden="false" customHeight="true" outlineLevel="0" collapsed="false">
      <c r="A140" s="47" t="n">
        <f aca="false">'Daily KPI Entry'!A141</f>
        <v>0</v>
      </c>
      <c r="B140" s="48" t="n">
        <f aca="false">'Daily KPI Entry'!B141</f>
        <v>0</v>
      </c>
      <c r="C140" s="47" t="n">
        <f aca="false">'Daily KPI Entry'!C141</f>
        <v>0</v>
      </c>
      <c r="D140" s="47" t="n">
        <f aca="false">'Daily KPI Entry'!D141</f>
        <v>0</v>
      </c>
      <c r="E140" s="47" t="n">
        <f aca="false">'Daily KPI Entry'!E141</f>
        <v>0</v>
      </c>
      <c r="F140" s="47" t="n">
        <f aca="false">'Daily KPI Entry'!F141</f>
        <v>0</v>
      </c>
      <c r="G140" s="47" t="n">
        <f aca="false">'Daily KPI Entry'!G141</f>
        <v>0</v>
      </c>
      <c r="H140" s="47" t="str">
        <f aca="false">'Daily KPI Entry'!H141</f>
        <v/>
      </c>
      <c r="I140" s="47" t="n">
        <f aca="false">'Daily KPI Entry'!I141</f>
        <v>0</v>
      </c>
      <c r="J140" s="47" t="n">
        <f aca="false">'Daily KPI Entry'!J141</f>
        <v>0</v>
      </c>
      <c r="K140" s="47" t="n">
        <f aca="false">'Daily KPI Entry'!K141</f>
        <v>0</v>
      </c>
      <c r="L140" s="47" t="n">
        <f aca="false">'Daily KPI Entry'!L141</f>
        <v>0</v>
      </c>
      <c r="M140" s="47" t="n">
        <f aca="false">'Daily KPI Entry'!M141</f>
        <v>0</v>
      </c>
      <c r="N140" s="49" t="n">
        <f aca="false">'Daily KPI Entry'!N141</f>
        <v>0</v>
      </c>
      <c r="O140" s="49" t="n">
        <f aca="false">'Daily KPI Entry'!O141</f>
        <v>0</v>
      </c>
      <c r="P140" s="49" t="str">
        <f aca="false">IF(OR(N140="",O140=""),"",IFERROR(O140/N140*100,0))</f>
        <v/>
      </c>
      <c r="Q140" s="47" t="n">
        <f aca="false">'Daily KPI Entry'!Q141</f>
        <v>8</v>
      </c>
      <c r="R140" s="47" t="str">
        <f aca="false">IF(J140="","",Q140*J140)</f>
        <v/>
      </c>
      <c r="S140" s="49" t="n">
        <f aca="false">'Daily KPI Entry'!S141</f>
        <v>0</v>
      </c>
      <c r="T140" s="49" t="str">
        <f aca="false">IF(OR(R140="",S140=""),"",IFERROR(S140/R140*100,0))</f>
        <v/>
      </c>
      <c r="U140" s="49" t="str">
        <f aca="false">IF(OR(O140="",L140="",M140="",S140="",M140=0),"",IFERROR(O140/(L140*60*S140/(M140*36))*100,0))</f>
        <v/>
      </c>
      <c r="V140" s="49" t="n">
        <f aca="false">'Daily KPI Entry'!V141</f>
        <v>0</v>
      </c>
      <c r="W140" s="49" t="str">
        <f aca="false">IF(O140="","",IFERROR(V140/O140*100,0))</f>
        <v/>
      </c>
      <c r="X140" s="49" t="n">
        <f aca="false">'Daily KPI Entry'!X141</f>
        <v>0</v>
      </c>
      <c r="Y140" s="49" t="n">
        <f aca="false">'Daily KPI Entry'!Y141</f>
        <v>0</v>
      </c>
      <c r="Z140" s="49" t="n">
        <f aca="false">'Daily KPI Entry'!Z141</f>
        <v>0</v>
      </c>
      <c r="AA140" s="49" t="n">
        <f aca="false">'Daily KPI Entry'!AA141</f>
        <v>0</v>
      </c>
      <c r="AB140" s="49" t="n">
        <f aca="false">'Daily KPI Entry'!AB141</f>
        <v>0</v>
      </c>
      <c r="AC140" s="49" t="n">
        <f aca="false">'Daily KPI Entry'!AC141</f>
        <v>0</v>
      </c>
      <c r="AD140" s="49" t="n">
        <f aca="false">'Daily KPI Entry'!AD141</f>
        <v>0</v>
      </c>
      <c r="AE140" s="49" t="n">
        <f aca="false">'Daily KPI Entry'!AE141</f>
        <v>0</v>
      </c>
      <c r="AF140" s="47" t="str">
        <f aca="false">IF(O140="","",SUM(X140:AE140))</f>
        <v/>
      </c>
      <c r="AG140" s="49" t="str">
        <f aca="false">IF(O140="","",IFERROR(AF140/O140*1000,0))</f>
        <v/>
      </c>
      <c r="AH140" s="49" t="n">
        <f aca="false">'Daily KPI Entry'!AH141</f>
        <v>0</v>
      </c>
      <c r="AI140" s="49" t="n">
        <f aca="false">'Daily KPI Entry'!AI141</f>
        <v>0</v>
      </c>
      <c r="AJ140" s="49" t="n">
        <f aca="false">'Daily KPI Entry'!AJ141</f>
        <v>0</v>
      </c>
      <c r="AK140" s="47" t="n">
        <f aca="false">'Daily KPI Entry'!AK141</f>
        <v>0</v>
      </c>
      <c r="AL140" s="47" t="n">
        <f aca="false">'Daily KPI Entry'!AL141</f>
        <v>0</v>
      </c>
      <c r="AM140" s="47" t="n">
        <f aca="false">'Daily KPI Entry'!AM141</f>
        <v>0</v>
      </c>
      <c r="AN140" s="49" t="str">
        <f aca="false">IF(P140="","",MIN(120,P140))</f>
        <v/>
      </c>
      <c r="AO140" s="49" t="str">
        <f aca="false">IF(U140="","",MIN(120,U140))</f>
        <v/>
      </c>
      <c r="AP140" s="49" t="str">
        <f aca="false">IF(R140="","",MIN(120,IFERROR(S140/R140*100,0)))</f>
        <v/>
      </c>
      <c r="AQ140" s="49" t="str">
        <f aca="false">IF(W140="","",MIN(120,IF(W140=0,120,100*(INDEX('Standards &amp; Scoring'!$E$5:$E$13,MATCH("Quality / Rejection",'Standards &amp; Scoring'!$A$5:$A$13,0))/W140))))</f>
        <v/>
      </c>
      <c r="AR140" s="49" t="str">
        <f aca="false">IF(AG140="","",MIN(120,IF(AG140=0,120,100*(INDEX('Standards &amp; Scoring'!$E$5:$E$13,MATCH("Fault Control",'Standards &amp; Scoring'!$A$5:$A$13,0))/AG140))))</f>
        <v/>
      </c>
      <c r="AS140" s="49" t="str">
        <f aca="false">IF(O140="","",MIN(120,IF(SUMIFS('Fault &amp; Downtime Entry'!$L$6:$L$1005,'Fault &amp; Downtime Entry'!$E$6:$E$1005,G140,'Fault &amp; Downtime Entry'!$B$6:$B$1005,B140)=0,120,100*(INDEX('Standards &amp; Scoring'!$E$5:$E$13,MATCH("Downtime Control",'Standards &amp; Scoring'!$A$5:$A$13,0))/IFERROR(SUMIFS('Fault &amp; Downtime Entry'!$L$6:$L$1005,'Fault &amp; Downtime Entry'!$E$6:$E$1005,G140,'Fault &amp; Downtime Entry'!$B$6:$B$1005,B140)/O140*1000,999999)))))</f>
        <v/>
      </c>
      <c r="AT140" s="49" t="n">
        <f aca="false">IF(COUNTA(AH140,AJ140)=0,"",MIN(120,IF(AND(AH140&lt;&gt;"",AJ140&lt;&gt;""),AVERAGE(AH140,AJ140),IF(AH140&lt;&gt;"",AH140,AJ140))))</f>
        <v>0</v>
      </c>
      <c r="AU140" s="49" t="str">
        <f aca="false">IF(AI140="","",MIN(120,AI140))</f>
        <v/>
      </c>
      <c r="AV140" s="49" t="str">
        <f aca="false">IF(AJ140="","",MIN(120,AJ140))</f>
        <v/>
      </c>
      <c r="AW140" s="50" t="str">
        <f aca="false">IF(COUNT(AN140:AV140)&lt;9,"",(AN140*'Standards &amp; Scoring'!$D$5+AO140*'Standards &amp; Scoring'!$D$6+AP140*'Standards &amp; Scoring'!$D$7+AQ140*'Standards &amp; Scoring'!$D$8+AR140*'Standards &amp; Scoring'!$D$9+AS140*'Standards &amp; Scoring'!$D$10+AT140*'Standards &amp; Scoring'!$D$11+AU140*'Standards &amp; Scoring'!$D$12+AV140*'Standards &amp; Scoring'!$D$13)/10000)</f>
        <v/>
      </c>
      <c r="AX140" s="47" t="str">
        <f aca="false">IF(AW140="","",IF(AW140&gt;=1.05,"A+",IF(AW140&gt;=1,"A",IF(AW140&gt;=0.95,"B+",IF(AW140&gt;=0.9,"B","C")))))</f>
        <v/>
      </c>
      <c r="AY140" s="47" t="str">
        <f aca="false">IF(AX140="","",IF(AX140="A+",1800,IF(AX140="A",1600,IF(AX140="B+",1400,IF(AX140="B",1200,0)))))</f>
        <v/>
      </c>
      <c r="AZ140" s="49" t="str">
        <f aca="false">IF(OR(L140="",M140="",S140="",M140=0),"",IFERROR(L140*60*S140/(M140*36),0))</f>
        <v/>
      </c>
    </row>
    <row r="141" customFormat="false" ht="15" hidden="false" customHeight="true" outlineLevel="0" collapsed="false">
      <c r="A141" s="47" t="n">
        <f aca="false">'Daily KPI Entry'!A142</f>
        <v>0</v>
      </c>
      <c r="B141" s="48" t="n">
        <f aca="false">'Daily KPI Entry'!B142</f>
        <v>0</v>
      </c>
      <c r="C141" s="47" t="n">
        <f aca="false">'Daily KPI Entry'!C142</f>
        <v>0</v>
      </c>
      <c r="D141" s="47" t="n">
        <f aca="false">'Daily KPI Entry'!D142</f>
        <v>0</v>
      </c>
      <c r="E141" s="47" t="n">
        <f aca="false">'Daily KPI Entry'!E142</f>
        <v>0</v>
      </c>
      <c r="F141" s="47" t="n">
        <f aca="false">'Daily KPI Entry'!F142</f>
        <v>0</v>
      </c>
      <c r="G141" s="47" t="n">
        <f aca="false">'Daily KPI Entry'!G142</f>
        <v>0</v>
      </c>
      <c r="H141" s="47" t="str">
        <f aca="false">'Daily KPI Entry'!H142</f>
        <v/>
      </c>
      <c r="I141" s="47" t="n">
        <f aca="false">'Daily KPI Entry'!I142</f>
        <v>0</v>
      </c>
      <c r="J141" s="47" t="n">
        <f aca="false">'Daily KPI Entry'!J142</f>
        <v>0</v>
      </c>
      <c r="K141" s="47" t="n">
        <f aca="false">'Daily KPI Entry'!K142</f>
        <v>0</v>
      </c>
      <c r="L141" s="47" t="n">
        <f aca="false">'Daily KPI Entry'!L142</f>
        <v>0</v>
      </c>
      <c r="M141" s="47" t="n">
        <f aca="false">'Daily KPI Entry'!M142</f>
        <v>0</v>
      </c>
      <c r="N141" s="49" t="n">
        <f aca="false">'Daily KPI Entry'!N142</f>
        <v>0</v>
      </c>
      <c r="O141" s="49" t="n">
        <f aca="false">'Daily KPI Entry'!O142</f>
        <v>0</v>
      </c>
      <c r="P141" s="49" t="str">
        <f aca="false">IF(OR(N141="",O141=""),"",IFERROR(O141/N141*100,0))</f>
        <v/>
      </c>
      <c r="Q141" s="47" t="n">
        <f aca="false">'Daily KPI Entry'!Q142</f>
        <v>8</v>
      </c>
      <c r="R141" s="47" t="str">
        <f aca="false">IF(J141="","",Q141*J141)</f>
        <v/>
      </c>
      <c r="S141" s="49" t="n">
        <f aca="false">'Daily KPI Entry'!S142</f>
        <v>0</v>
      </c>
      <c r="T141" s="49" t="str">
        <f aca="false">IF(OR(R141="",S141=""),"",IFERROR(S141/R141*100,0))</f>
        <v/>
      </c>
      <c r="U141" s="49" t="str">
        <f aca="false">IF(OR(O141="",L141="",M141="",S141="",M141=0),"",IFERROR(O141/(L141*60*S141/(M141*36))*100,0))</f>
        <v/>
      </c>
      <c r="V141" s="49" t="n">
        <f aca="false">'Daily KPI Entry'!V142</f>
        <v>0</v>
      </c>
      <c r="W141" s="49" t="str">
        <f aca="false">IF(O141="","",IFERROR(V141/O141*100,0))</f>
        <v/>
      </c>
      <c r="X141" s="49" t="n">
        <f aca="false">'Daily KPI Entry'!X142</f>
        <v>0</v>
      </c>
      <c r="Y141" s="49" t="n">
        <f aca="false">'Daily KPI Entry'!Y142</f>
        <v>0</v>
      </c>
      <c r="Z141" s="49" t="n">
        <f aca="false">'Daily KPI Entry'!Z142</f>
        <v>0</v>
      </c>
      <c r="AA141" s="49" t="n">
        <f aca="false">'Daily KPI Entry'!AA142</f>
        <v>0</v>
      </c>
      <c r="AB141" s="49" t="n">
        <f aca="false">'Daily KPI Entry'!AB142</f>
        <v>0</v>
      </c>
      <c r="AC141" s="49" t="n">
        <f aca="false">'Daily KPI Entry'!AC142</f>
        <v>0</v>
      </c>
      <c r="AD141" s="49" t="n">
        <f aca="false">'Daily KPI Entry'!AD142</f>
        <v>0</v>
      </c>
      <c r="AE141" s="49" t="n">
        <f aca="false">'Daily KPI Entry'!AE142</f>
        <v>0</v>
      </c>
      <c r="AF141" s="47" t="str">
        <f aca="false">IF(O141="","",SUM(X141:AE141))</f>
        <v/>
      </c>
      <c r="AG141" s="49" t="str">
        <f aca="false">IF(O141="","",IFERROR(AF141/O141*1000,0))</f>
        <v/>
      </c>
      <c r="AH141" s="49" t="n">
        <f aca="false">'Daily KPI Entry'!AH142</f>
        <v>0</v>
      </c>
      <c r="AI141" s="49" t="n">
        <f aca="false">'Daily KPI Entry'!AI142</f>
        <v>0</v>
      </c>
      <c r="AJ141" s="49" t="n">
        <f aca="false">'Daily KPI Entry'!AJ142</f>
        <v>0</v>
      </c>
      <c r="AK141" s="47" t="n">
        <f aca="false">'Daily KPI Entry'!AK142</f>
        <v>0</v>
      </c>
      <c r="AL141" s="47" t="n">
        <f aca="false">'Daily KPI Entry'!AL142</f>
        <v>0</v>
      </c>
      <c r="AM141" s="47" t="n">
        <f aca="false">'Daily KPI Entry'!AM142</f>
        <v>0</v>
      </c>
      <c r="AN141" s="49" t="str">
        <f aca="false">IF(P141="","",MIN(120,P141))</f>
        <v/>
      </c>
      <c r="AO141" s="49" t="str">
        <f aca="false">IF(U141="","",MIN(120,U141))</f>
        <v/>
      </c>
      <c r="AP141" s="49" t="str">
        <f aca="false">IF(R141="","",MIN(120,IFERROR(S141/R141*100,0)))</f>
        <v/>
      </c>
      <c r="AQ141" s="49" t="str">
        <f aca="false">IF(W141="","",MIN(120,IF(W141=0,120,100*(INDEX('Standards &amp; Scoring'!$E$5:$E$13,MATCH("Quality / Rejection",'Standards &amp; Scoring'!$A$5:$A$13,0))/W141))))</f>
        <v/>
      </c>
      <c r="AR141" s="49" t="str">
        <f aca="false">IF(AG141="","",MIN(120,IF(AG141=0,120,100*(INDEX('Standards &amp; Scoring'!$E$5:$E$13,MATCH("Fault Control",'Standards &amp; Scoring'!$A$5:$A$13,0))/AG141))))</f>
        <v/>
      </c>
      <c r="AS141" s="49" t="str">
        <f aca="false">IF(O141="","",MIN(120,IF(SUMIFS('Fault &amp; Downtime Entry'!$L$6:$L$1005,'Fault &amp; Downtime Entry'!$E$6:$E$1005,G141,'Fault &amp; Downtime Entry'!$B$6:$B$1005,B141)=0,120,100*(INDEX('Standards &amp; Scoring'!$E$5:$E$13,MATCH("Downtime Control",'Standards &amp; Scoring'!$A$5:$A$13,0))/IFERROR(SUMIFS('Fault &amp; Downtime Entry'!$L$6:$L$1005,'Fault &amp; Downtime Entry'!$E$6:$E$1005,G141,'Fault &amp; Downtime Entry'!$B$6:$B$1005,B141)/O141*1000,999999)))))</f>
        <v/>
      </c>
      <c r="AT141" s="49" t="n">
        <f aca="false">IF(COUNTA(AH141,AJ141)=0,"",MIN(120,IF(AND(AH141&lt;&gt;"",AJ141&lt;&gt;""),AVERAGE(AH141,AJ141),IF(AH141&lt;&gt;"",AH141,AJ141))))</f>
        <v>0</v>
      </c>
      <c r="AU141" s="49" t="str">
        <f aca="false">IF(AI141="","",MIN(120,AI141))</f>
        <v/>
      </c>
      <c r="AV141" s="49" t="str">
        <f aca="false">IF(AJ141="","",MIN(120,AJ141))</f>
        <v/>
      </c>
      <c r="AW141" s="50" t="str">
        <f aca="false">IF(COUNT(AN141:AV141)&lt;9,"",(AN141*'Standards &amp; Scoring'!$D$5+AO141*'Standards &amp; Scoring'!$D$6+AP141*'Standards &amp; Scoring'!$D$7+AQ141*'Standards &amp; Scoring'!$D$8+AR141*'Standards &amp; Scoring'!$D$9+AS141*'Standards &amp; Scoring'!$D$10+AT141*'Standards &amp; Scoring'!$D$11+AU141*'Standards &amp; Scoring'!$D$12+AV141*'Standards &amp; Scoring'!$D$13)/10000)</f>
        <v/>
      </c>
      <c r="AX141" s="47" t="str">
        <f aca="false">IF(AW141="","",IF(AW141&gt;=1.05,"A+",IF(AW141&gt;=1,"A",IF(AW141&gt;=0.95,"B+",IF(AW141&gt;=0.9,"B","C")))))</f>
        <v/>
      </c>
      <c r="AY141" s="47" t="str">
        <f aca="false">IF(AX141="","",IF(AX141="A+",1800,IF(AX141="A",1600,IF(AX141="B+",1400,IF(AX141="B",1200,0)))))</f>
        <v/>
      </c>
      <c r="AZ141" s="49" t="str">
        <f aca="false">IF(OR(L141="",M141="",S141="",M141=0),"",IFERROR(L141*60*S141/(M141*36),0))</f>
        <v/>
      </c>
    </row>
    <row r="142" customFormat="false" ht="15" hidden="false" customHeight="true" outlineLevel="0" collapsed="false">
      <c r="A142" s="47" t="n">
        <f aca="false">'Daily KPI Entry'!A143</f>
        <v>0</v>
      </c>
      <c r="B142" s="48" t="n">
        <f aca="false">'Daily KPI Entry'!B143</f>
        <v>0</v>
      </c>
      <c r="C142" s="47" t="n">
        <f aca="false">'Daily KPI Entry'!C143</f>
        <v>0</v>
      </c>
      <c r="D142" s="47" t="n">
        <f aca="false">'Daily KPI Entry'!D143</f>
        <v>0</v>
      </c>
      <c r="E142" s="47" t="n">
        <f aca="false">'Daily KPI Entry'!E143</f>
        <v>0</v>
      </c>
      <c r="F142" s="47" t="n">
        <f aca="false">'Daily KPI Entry'!F143</f>
        <v>0</v>
      </c>
      <c r="G142" s="47" t="n">
        <f aca="false">'Daily KPI Entry'!G143</f>
        <v>0</v>
      </c>
      <c r="H142" s="47" t="str">
        <f aca="false">'Daily KPI Entry'!H143</f>
        <v/>
      </c>
      <c r="I142" s="47" t="n">
        <f aca="false">'Daily KPI Entry'!I143</f>
        <v>0</v>
      </c>
      <c r="J142" s="47" t="n">
        <f aca="false">'Daily KPI Entry'!J143</f>
        <v>0</v>
      </c>
      <c r="K142" s="47" t="n">
        <f aca="false">'Daily KPI Entry'!K143</f>
        <v>0</v>
      </c>
      <c r="L142" s="47" t="n">
        <f aca="false">'Daily KPI Entry'!L143</f>
        <v>0</v>
      </c>
      <c r="M142" s="47" t="n">
        <f aca="false">'Daily KPI Entry'!M143</f>
        <v>0</v>
      </c>
      <c r="N142" s="49" t="n">
        <f aca="false">'Daily KPI Entry'!N143</f>
        <v>0</v>
      </c>
      <c r="O142" s="49" t="n">
        <f aca="false">'Daily KPI Entry'!O143</f>
        <v>0</v>
      </c>
      <c r="P142" s="49" t="str">
        <f aca="false">IF(OR(N142="",O142=""),"",IFERROR(O142/N142*100,0))</f>
        <v/>
      </c>
      <c r="Q142" s="47" t="n">
        <f aca="false">'Daily KPI Entry'!Q143</f>
        <v>8</v>
      </c>
      <c r="R142" s="47" t="str">
        <f aca="false">IF(J142="","",Q142*J142)</f>
        <v/>
      </c>
      <c r="S142" s="49" t="n">
        <f aca="false">'Daily KPI Entry'!S143</f>
        <v>0</v>
      </c>
      <c r="T142" s="49" t="str">
        <f aca="false">IF(OR(R142="",S142=""),"",IFERROR(S142/R142*100,0))</f>
        <v/>
      </c>
      <c r="U142" s="49" t="str">
        <f aca="false">IF(OR(O142="",L142="",M142="",S142="",M142=0),"",IFERROR(O142/(L142*60*S142/(M142*36))*100,0))</f>
        <v/>
      </c>
      <c r="V142" s="49" t="n">
        <f aca="false">'Daily KPI Entry'!V143</f>
        <v>0</v>
      </c>
      <c r="W142" s="49" t="str">
        <f aca="false">IF(O142="","",IFERROR(V142/O142*100,0))</f>
        <v/>
      </c>
      <c r="X142" s="49" t="n">
        <f aca="false">'Daily KPI Entry'!X143</f>
        <v>0</v>
      </c>
      <c r="Y142" s="49" t="n">
        <f aca="false">'Daily KPI Entry'!Y143</f>
        <v>0</v>
      </c>
      <c r="Z142" s="49" t="n">
        <f aca="false">'Daily KPI Entry'!Z143</f>
        <v>0</v>
      </c>
      <c r="AA142" s="49" t="n">
        <f aca="false">'Daily KPI Entry'!AA143</f>
        <v>0</v>
      </c>
      <c r="AB142" s="49" t="n">
        <f aca="false">'Daily KPI Entry'!AB143</f>
        <v>0</v>
      </c>
      <c r="AC142" s="49" t="n">
        <f aca="false">'Daily KPI Entry'!AC143</f>
        <v>0</v>
      </c>
      <c r="AD142" s="49" t="n">
        <f aca="false">'Daily KPI Entry'!AD143</f>
        <v>0</v>
      </c>
      <c r="AE142" s="49" t="n">
        <f aca="false">'Daily KPI Entry'!AE143</f>
        <v>0</v>
      </c>
      <c r="AF142" s="47" t="str">
        <f aca="false">IF(O142="","",SUM(X142:AE142))</f>
        <v/>
      </c>
      <c r="AG142" s="49" t="str">
        <f aca="false">IF(O142="","",IFERROR(AF142/O142*1000,0))</f>
        <v/>
      </c>
      <c r="AH142" s="49" t="n">
        <f aca="false">'Daily KPI Entry'!AH143</f>
        <v>0</v>
      </c>
      <c r="AI142" s="49" t="n">
        <f aca="false">'Daily KPI Entry'!AI143</f>
        <v>0</v>
      </c>
      <c r="AJ142" s="49" t="n">
        <f aca="false">'Daily KPI Entry'!AJ143</f>
        <v>0</v>
      </c>
      <c r="AK142" s="47" t="n">
        <f aca="false">'Daily KPI Entry'!AK143</f>
        <v>0</v>
      </c>
      <c r="AL142" s="47" t="n">
        <f aca="false">'Daily KPI Entry'!AL143</f>
        <v>0</v>
      </c>
      <c r="AM142" s="47" t="n">
        <f aca="false">'Daily KPI Entry'!AM143</f>
        <v>0</v>
      </c>
      <c r="AN142" s="49" t="str">
        <f aca="false">IF(P142="","",MIN(120,P142))</f>
        <v/>
      </c>
      <c r="AO142" s="49" t="str">
        <f aca="false">IF(U142="","",MIN(120,U142))</f>
        <v/>
      </c>
      <c r="AP142" s="49" t="str">
        <f aca="false">IF(R142="","",MIN(120,IFERROR(S142/R142*100,0)))</f>
        <v/>
      </c>
      <c r="AQ142" s="49" t="str">
        <f aca="false">IF(W142="","",MIN(120,IF(W142=0,120,100*(INDEX('Standards &amp; Scoring'!$E$5:$E$13,MATCH("Quality / Rejection",'Standards &amp; Scoring'!$A$5:$A$13,0))/W142))))</f>
        <v/>
      </c>
      <c r="AR142" s="49" t="str">
        <f aca="false">IF(AG142="","",MIN(120,IF(AG142=0,120,100*(INDEX('Standards &amp; Scoring'!$E$5:$E$13,MATCH("Fault Control",'Standards &amp; Scoring'!$A$5:$A$13,0))/AG142))))</f>
        <v/>
      </c>
      <c r="AS142" s="49" t="str">
        <f aca="false">IF(O142="","",MIN(120,IF(SUMIFS('Fault &amp; Downtime Entry'!$L$6:$L$1005,'Fault &amp; Downtime Entry'!$E$6:$E$1005,G142,'Fault &amp; Downtime Entry'!$B$6:$B$1005,B142)=0,120,100*(INDEX('Standards &amp; Scoring'!$E$5:$E$13,MATCH("Downtime Control",'Standards &amp; Scoring'!$A$5:$A$13,0))/IFERROR(SUMIFS('Fault &amp; Downtime Entry'!$L$6:$L$1005,'Fault &amp; Downtime Entry'!$E$6:$E$1005,G142,'Fault &amp; Downtime Entry'!$B$6:$B$1005,B142)/O142*1000,999999)))))</f>
        <v/>
      </c>
      <c r="AT142" s="49" t="n">
        <f aca="false">IF(COUNTA(AH142,AJ142)=0,"",MIN(120,IF(AND(AH142&lt;&gt;"",AJ142&lt;&gt;""),AVERAGE(AH142,AJ142),IF(AH142&lt;&gt;"",AH142,AJ142))))</f>
        <v>0</v>
      </c>
      <c r="AU142" s="49" t="str">
        <f aca="false">IF(AI142="","",MIN(120,AI142))</f>
        <v/>
      </c>
      <c r="AV142" s="49" t="str">
        <f aca="false">IF(AJ142="","",MIN(120,AJ142))</f>
        <v/>
      </c>
      <c r="AW142" s="50" t="str">
        <f aca="false">IF(COUNT(AN142:AV142)&lt;9,"",(AN142*'Standards &amp; Scoring'!$D$5+AO142*'Standards &amp; Scoring'!$D$6+AP142*'Standards &amp; Scoring'!$D$7+AQ142*'Standards &amp; Scoring'!$D$8+AR142*'Standards &amp; Scoring'!$D$9+AS142*'Standards &amp; Scoring'!$D$10+AT142*'Standards &amp; Scoring'!$D$11+AU142*'Standards &amp; Scoring'!$D$12+AV142*'Standards &amp; Scoring'!$D$13)/10000)</f>
        <v/>
      </c>
      <c r="AX142" s="47" t="str">
        <f aca="false">IF(AW142="","",IF(AW142&gt;=1.05,"A+",IF(AW142&gt;=1,"A",IF(AW142&gt;=0.95,"B+",IF(AW142&gt;=0.9,"B","C")))))</f>
        <v/>
      </c>
      <c r="AY142" s="47" t="str">
        <f aca="false">IF(AX142="","",IF(AX142="A+",1800,IF(AX142="A",1600,IF(AX142="B+",1400,IF(AX142="B",1200,0)))))</f>
        <v/>
      </c>
      <c r="AZ142" s="49" t="str">
        <f aca="false">IF(OR(L142="",M142="",S142="",M142=0),"",IFERROR(L142*60*S142/(M142*36),0))</f>
        <v/>
      </c>
    </row>
    <row r="143" customFormat="false" ht="15" hidden="false" customHeight="true" outlineLevel="0" collapsed="false">
      <c r="A143" s="47" t="n">
        <f aca="false">'Daily KPI Entry'!A144</f>
        <v>0</v>
      </c>
      <c r="B143" s="48" t="n">
        <f aca="false">'Daily KPI Entry'!B144</f>
        <v>0</v>
      </c>
      <c r="C143" s="47" t="n">
        <f aca="false">'Daily KPI Entry'!C144</f>
        <v>0</v>
      </c>
      <c r="D143" s="47" t="n">
        <f aca="false">'Daily KPI Entry'!D144</f>
        <v>0</v>
      </c>
      <c r="E143" s="47" t="n">
        <f aca="false">'Daily KPI Entry'!E144</f>
        <v>0</v>
      </c>
      <c r="F143" s="47" t="n">
        <f aca="false">'Daily KPI Entry'!F144</f>
        <v>0</v>
      </c>
      <c r="G143" s="47" t="n">
        <f aca="false">'Daily KPI Entry'!G144</f>
        <v>0</v>
      </c>
      <c r="H143" s="47" t="str">
        <f aca="false">'Daily KPI Entry'!H144</f>
        <v/>
      </c>
      <c r="I143" s="47" t="n">
        <f aca="false">'Daily KPI Entry'!I144</f>
        <v>0</v>
      </c>
      <c r="J143" s="47" t="n">
        <f aca="false">'Daily KPI Entry'!J144</f>
        <v>0</v>
      </c>
      <c r="K143" s="47" t="n">
        <f aca="false">'Daily KPI Entry'!K144</f>
        <v>0</v>
      </c>
      <c r="L143" s="47" t="n">
        <f aca="false">'Daily KPI Entry'!L144</f>
        <v>0</v>
      </c>
      <c r="M143" s="47" t="n">
        <f aca="false">'Daily KPI Entry'!M144</f>
        <v>0</v>
      </c>
      <c r="N143" s="49" t="n">
        <f aca="false">'Daily KPI Entry'!N144</f>
        <v>0</v>
      </c>
      <c r="O143" s="49" t="n">
        <f aca="false">'Daily KPI Entry'!O144</f>
        <v>0</v>
      </c>
      <c r="P143" s="49" t="str">
        <f aca="false">IF(OR(N143="",O143=""),"",IFERROR(O143/N143*100,0))</f>
        <v/>
      </c>
      <c r="Q143" s="47" t="n">
        <f aca="false">'Daily KPI Entry'!Q144</f>
        <v>8</v>
      </c>
      <c r="R143" s="47" t="str">
        <f aca="false">IF(J143="","",Q143*J143)</f>
        <v/>
      </c>
      <c r="S143" s="49" t="n">
        <f aca="false">'Daily KPI Entry'!S144</f>
        <v>0</v>
      </c>
      <c r="T143" s="49" t="str">
        <f aca="false">IF(OR(R143="",S143=""),"",IFERROR(S143/R143*100,0))</f>
        <v/>
      </c>
      <c r="U143" s="49" t="str">
        <f aca="false">IF(OR(O143="",L143="",M143="",S143="",M143=0),"",IFERROR(O143/(L143*60*S143/(M143*36))*100,0))</f>
        <v/>
      </c>
      <c r="V143" s="49" t="n">
        <f aca="false">'Daily KPI Entry'!V144</f>
        <v>0</v>
      </c>
      <c r="W143" s="49" t="str">
        <f aca="false">IF(O143="","",IFERROR(V143/O143*100,0))</f>
        <v/>
      </c>
      <c r="X143" s="49" t="n">
        <f aca="false">'Daily KPI Entry'!X144</f>
        <v>0</v>
      </c>
      <c r="Y143" s="49" t="n">
        <f aca="false">'Daily KPI Entry'!Y144</f>
        <v>0</v>
      </c>
      <c r="Z143" s="49" t="n">
        <f aca="false">'Daily KPI Entry'!Z144</f>
        <v>0</v>
      </c>
      <c r="AA143" s="49" t="n">
        <f aca="false">'Daily KPI Entry'!AA144</f>
        <v>0</v>
      </c>
      <c r="AB143" s="49" t="n">
        <f aca="false">'Daily KPI Entry'!AB144</f>
        <v>0</v>
      </c>
      <c r="AC143" s="49" t="n">
        <f aca="false">'Daily KPI Entry'!AC144</f>
        <v>0</v>
      </c>
      <c r="AD143" s="49" t="n">
        <f aca="false">'Daily KPI Entry'!AD144</f>
        <v>0</v>
      </c>
      <c r="AE143" s="49" t="n">
        <f aca="false">'Daily KPI Entry'!AE144</f>
        <v>0</v>
      </c>
      <c r="AF143" s="47" t="str">
        <f aca="false">IF(O143="","",SUM(X143:AE143))</f>
        <v/>
      </c>
      <c r="AG143" s="49" t="str">
        <f aca="false">IF(O143="","",IFERROR(AF143/O143*1000,0))</f>
        <v/>
      </c>
      <c r="AH143" s="49" t="n">
        <f aca="false">'Daily KPI Entry'!AH144</f>
        <v>0</v>
      </c>
      <c r="AI143" s="49" t="n">
        <f aca="false">'Daily KPI Entry'!AI144</f>
        <v>0</v>
      </c>
      <c r="AJ143" s="49" t="n">
        <f aca="false">'Daily KPI Entry'!AJ144</f>
        <v>0</v>
      </c>
      <c r="AK143" s="47" t="n">
        <f aca="false">'Daily KPI Entry'!AK144</f>
        <v>0</v>
      </c>
      <c r="AL143" s="47" t="n">
        <f aca="false">'Daily KPI Entry'!AL144</f>
        <v>0</v>
      </c>
      <c r="AM143" s="47" t="n">
        <f aca="false">'Daily KPI Entry'!AM144</f>
        <v>0</v>
      </c>
      <c r="AN143" s="49" t="str">
        <f aca="false">IF(P143="","",MIN(120,P143))</f>
        <v/>
      </c>
      <c r="AO143" s="49" t="str">
        <f aca="false">IF(U143="","",MIN(120,U143))</f>
        <v/>
      </c>
      <c r="AP143" s="49" t="str">
        <f aca="false">IF(R143="","",MIN(120,IFERROR(S143/R143*100,0)))</f>
        <v/>
      </c>
      <c r="AQ143" s="49" t="str">
        <f aca="false">IF(W143="","",MIN(120,IF(W143=0,120,100*(INDEX('Standards &amp; Scoring'!$E$5:$E$13,MATCH("Quality / Rejection",'Standards &amp; Scoring'!$A$5:$A$13,0))/W143))))</f>
        <v/>
      </c>
      <c r="AR143" s="49" t="str">
        <f aca="false">IF(AG143="","",MIN(120,IF(AG143=0,120,100*(INDEX('Standards &amp; Scoring'!$E$5:$E$13,MATCH("Fault Control",'Standards &amp; Scoring'!$A$5:$A$13,0))/AG143))))</f>
        <v/>
      </c>
      <c r="AS143" s="49" t="str">
        <f aca="false">IF(O143="","",MIN(120,IF(SUMIFS('Fault &amp; Downtime Entry'!$L$6:$L$1005,'Fault &amp; Downtime Entry'!$E$6:$E$1005,G143,'Fault &amp; Downtime Entry'!$B$6:$B$1005,B143)=0,120,100*(INDEX('Standards &amp; Scoring'!$E$5:$E$13,MATCH("Downtime Control",'Standards &amp; Scoring'!$A$5:$A$13,0))/IFERROR(SUMIFS('Fault &amp; Downtime Entry'!$L$6:$L$1005,'Fault &amp; Downtime Entry'!$E$6:$E$1005,G143,'Fault &amp; Downtime Entry'!$B$6:$B$1005,B143)/O143*1000,999999)))))</f>
        <v/>
      </c>
      <c r="AT143" s="49" t="n">
        <f aca="false">IF(COUNTA(AH143,AJ143)=0,"",MIN(120,IF(AND(AH143&lt;&gt;"",AJ143&lt;&gt;""),AVERAGE(AH143,AJ143),IF(AH143&lt;&gt;"",AH143,AJ143))))</f>
        <v>0</v>
      </c>
      <c r="AU143" s="49" t="str">
        <f aca="false">IF(AI143="","",MIN(120,AI143))</f>
        <v/>
      </c>
      <c r="AV143" s="49" t="str">
        <f aca="false">IF(AJ143="","",MIN(120,AJ143))</f>
        <v/>
      </c>
      <c r="AW143" s="50" t="str">
        <f aca="false">IF(COUNT(AN143:AV143)&lt;9,"",(AN143*'Standards &amp; Scoring'!$D$5+AO143*'Standards &amp; Scoring'!$D$6+AP143*'Standards &amp; Scoring'!$D$7+AQ143*'Standards &amp; Scoring'!$D$8+AR143*'Standards &amp; Scoring'!$D$9+AS143*'Standards &amp; Scoring'!$D$10+AT143*'Standards &amp; Scoring'!$D$11+AU143*'Standards &amp; Scoring'!$D$12+AV143*'Standards &amp; Scoring'!$D$13)/10000)</f>
        <v/>
      </c>
      <c r="AX143" s="47" t="str">
        <f aca="false">IF(AW143="","",IF(AW143&gt;=1.05,"A+",IF(AW143&gt;=1,"A",IF(AW143&gt;=0.95,"B+",IF(AW143&gt;=0.9,"B","C")))))</f>
        <v/>
      </c>
      <c r="AY143" s="47" t="str">
        <f aca="false">IF(AX143="","",IF(AX143="A+",1800,IF(AX143="A",1600,IF(AX143="B+",1400,IF(AX143="B",1200,0)))))</f>
        <v/>
      </c>
      <c r="AZ143" s="49" t="str">
        <f aca="false">IF(OR(L143="",M143="",S143="",M143=0),"",IFERROR(L143*60*S143/(M143*36),0))</f>
        <v/>
      </c>
    </row>
    <row r="144" customFormat="false" ht="15" hidden="false" customHeight="true" outlineLevel="0" collapsed="false">
      <c r="A144" s="47" t="n">
        <f aca="false">'Daily KPI Entry'!A145</f>
        <v>0</v>
      </c>
      <c r="B144" s="48" t="n">
        <f aca="false">'Daily KPI Entry'!B145</f>
        <v>0</v>
      </c>
      <c r="C144" s="47" t="n">
        <f aca="false">'Daily KPI Entry'!C145</f>
        <v>0</v>
      </c>
      <c r="D144" s="47" t="n">
        <f aca="false">'Daily KPI Entry'!D145</f>
        <v>0</v>
      </c>
      <c r="E144" s="47" t="n">
        <f aca="false">'Daily KPI Entry'!E145</f>
        <v>0</v>
      </c>
      <c r="F144" s="47" t="n">
        <f aca="false">'Daily KPI Entry'!F145</f>
        <v>0</v>
      </c>
      <c r="G144" s="47" t="n">
        <f aca="false">'Daily KPI Entry'!G145</f>
        <v>0</v>
      </c>
      <c r="H144" s="47" t="str">
        <f aca="false">'Daily KPI Entry'!H145</f>
        <v/>
      </c>
      <c r="I144" s="47" t="n">
        <f aca="false">'Daily KPI Entry'!I145</f>
        <v>0</v>
      </c>
      <c r="J144" s="47" t="n">
        <f aca="false">'Daily KPI Entry'!J145</f>
        <v>0</v>
      </c>
      <c r="K144" s="47" t="n">
        <f aca="false">'Daily KPI Entry'!K145</f>
        <v>0</v>
      </c>
      <c r="L144" s="47" t="n">
        <f aca="false">'Daily KPI Entry'!L145</f>
        <v>0</v>
      </c>
      <c r="M144" s="47" t="n">
        <f aca="false">'Daily KPI Entry'!M145</f>
        <v>0</v>
      </c>
      <c r="N144" s="49" t="n">
        <f aca="false">'Daily KPI Entry'!N145</f>
        <v>0</v>
      </c>
      <c r="O144" s="49" t="n">
        <f aca="false">'Daily KPI Entry'!O145</f>
        <v>0</v>
      </c>
      <c r="P144" s="49" t="str">
        <f aca="false">IF(OR(N144="",O144=""),"",IFERROR(O144/N144*100,0))</f>
        <v/>
      </c>
      <c r="Q144" s="47" t="n">
        <f aca="false">'Daily KPI Entry'!Q145</f>
        <v>8</v>
      </c>
      <c r="R144" s="47" t="str">
        <f aca="false">IF(J144="","",Q144*J144)</f>
        <v/>
      </c>
      <c r="S144" s="49" t="n">
        <f aca="false">'Daily KPI Entry'!S145</f>
        <v>0</v>
      </c>
      <c r="T144" s="49" t="str">
        <f aca="false">IF(OR(R144="",S144=""),"",IFERROR(S144/R144*100,0))</f>
        <v/>
      </c>
      <c r="U144" s="49" t="str">
        <f aca="false">IF(OR(O144="",L144="",M144="",S144="",M144=0),"",IFERROR(O144/(L144*60*S144/(M144*36))*100,0))</f>
        <v/>
      </c>
      <c r="V144" s="49" t="n">
        <f aca="false">'Daily KPI Entry'!V145</f>
        <v>0</v>
      </c>
      <c r="W144" s="49" t="str">
        <f aca="false">IF(O144="","",IFERROR(V144/O144*100,0))</f>
        <v/>
      </c>
      <c r="X144" s="49" t="n">
        <f aca="false">'Daily KPI Entry'!X145</f>
        <v>0</v>
      </c>
      <c r="Y144" s="49" t="n">
        <f aca="false">'Daily KPI Entry'!Y145</f>
        <v>0</v>
      </c>
      <c r="Z144" s="49" t="n">
        <f aca="false">'Daily KPI Entry'!Z145</f>
        <v>0</v>
      </c>
      <c r="AA144" s="49" t="n">
        <f aca="false">'Daily KPI Entry'!AA145</f>
        <v>0</v>
      </c>
      <c r="AB144" s="49" t="n">
        <f aca="false">'Daily KPI Entry'!AB145</f>
        <v>0</v>
      </c>
      <c r="AC144" s="49" t="n">
        <f aca="false">'Daily KPI Entry'!AC145</f>
        <v>0</v>
      </c>
      <c r="AD144" s="49" t="n">
        <f aca="false">'Daily KPI Entry'!AD145</f>
        <v>0</v>
      </c>
      <c r="AE144" s="49" t="n">
        <f aca="false">'Daily KPI Entry'!AE145</f>
        <v>0</v>
      </c>
      <c r="AF144" s="47" t="str">
        <f aca="false">IF(O144="","",SUM(X144:AE144))</f>
        <v/>
      </c>
      <c r="AG144" s="49" t="str">
        <f aca="false">IF(O144="","",IFERROR(AF144/O144*1000,0))</f>
        <v/>
      </c>
      <c r="AH144" s="49" t="n">
        <f aca="false">'Daily KPI Entry'!AH145</f>
        <v>0</v>
      </c>
      <c r="AI144" s="49" t="n">
        <f aca="false">'Daily KPI Entry'!AI145</f>
        <v>0</v>
      </c>
      <c r="AJ144" s="49" t="n">
        <f aca="false">'Daily KPI Entry'!AJ145</f>
        <v>0</v>
      </c>
      <c r="AK144" s="47" t="n">
        <f aca="false">'Daily KPI Entry'!AK145</f>
        <v>0</v>
      </c>
      <c r="AL144" s="47" t="n">
        <f aca="false">'Daily KPI Entry'!AL145</f>
        <v>0</v>
      </c>
      <c r="AM144" s="47" t="n">
        <f aca="false">'Daily KPI Entry'!AM145</f>
        <v>0</v>
      </c>
      <c r="AN144" s="49" t="str">
        <f aca="false">IF(P144="","",MIN(120,P144))</f>
        <v/>
      </c>
      <c r="AO144" s="49" t="str">
        <f aca="false">IF(U144="","",MIN(120,U144))</f>
        <v/>
      </c>
      <c r="AP144" s="49" t="str">
        <f aca="false">IF(R144="","",MIN(120,IFERROR(S144/R144*100,0)))</f>
        <v/>
      </c>
      <c r="AQ144" s="49" t="str">
        <f aca="false">IF(W144="","",MIN(120,IF(W144=0,120,100*(INDEX('Standards &amp; Scoring'!$E$5:$E$13,MATCH("Quality / Rejection",'Standards &amp; Scoring'!$A$5:$A$13,0))/W144))))</f>
        <v/>
      </c>
      <c r="AR144" s="49" t="str">
        <f aca="false">IF(AG144="","",MIN(120,IF(AG144=0,120,100*(INDEX('Standards &amp; Scoring'!$E$5:$E$13,MATCH("Fault Control",'Standards &amp; Scoring'!$A$5:$A$13,0))/AG144))))</f>
        <v/>
      </c>
      <c r="AS144" s="49" t="str">
        <f aca="false">IF(O144="","",MIN(120,IF(SUMIFS('Fault &amp; Downtime Entry'!$L$6:$L$1005,'Fault &amp; Downtime Entry'!$E$6:$E$1005,G144,'Fault &amp; Downtime Entry'!$B$6:$B$1005,B144)=0,120,100*(INDEX('Standards &amp; Scoring'!$E$5:$E$13,MATCH("Downtime Control",'Standards &amp; Scoring'!$A$5:$A$13,0))/IFERROR(SUMIFS('Fault &amp; Downtime Entry'!$L$6:$L$1005,'Fault &amp; Downtime Entry'!$E$6:$E$1005,G144,'Fault &amp; Downtime Entry'!$B$6:$B$1005,B144)/O144*1000,999999)))))</f>
        <v/>
      </c>
      <c r="AT144" s="49" t="n">
        <f aca="false">IF(COUNTA(AH144,AJ144)=0,"",MIN(120,IF(AND(AH144&lt;&gt;"",AJ144&lt;&gt;""),AVERAGE(AH144,AJ144),IF(AH144&lt;&gt;"",AH144,AJ144))))</f>
        <v>0</v>
      </c>
      <c r="AU144" s="49" t="str">
        <f aca="false">IF(AI144="","",MIN(120,AI144))</f>
        <v/>
      </c>
      <c r="AV144" s="49" t="str">
        <f aca="false">IF(AJ144="","",MIN(120,AJ144))</f>
        <v/>
      </c>
      <c r="AW144" s="50" t="str">
        <f aca="false">IF(COUNT(AN144:AV144)&lt;9,"",(AN144*'Standards &amp; Scoring'!$D$5+AO144*'Standards &amp; Scoring'!$D$6+AP144*'Standards &amp; Scoring'!$D$7+AQ144*'Standards &amp; Scoring'!$D$8+AR144*'Standards &amp; Scoring'!$D$9+AS144*'Standards &amp; Scoring'!$D$10+AT144*'Standards &amp; Scoring'!$D$11+AU144*'Standards &amp; Scoring'!$D$12+AV144*'Standards &amp; Scoring'!$D$13)/10000)</f>
        <v/>
      </c>
      <c r="AX144" s="47" t="str">
        <f aca="false">IF(AW144="","",IF(AW144&gt;=1.05,"A+",IF(AW144&gt;=1,"A",IF(AW144&gt;=0.95,"B+",IF(AW144&gt;=0.9,"B","C")))))</f>
        <v/>
      </c>
      <c r="AY144" s="47" t="str">
        <f aca="false">IF(AX144="","",IF(AX144="A+",1800,IF(AX144="A",1600,IF(AX144="B+",1400,IF(AX144="B",1200,0)))))</f>
        <v/>
      </c>
      <c r="AZ144" s="49" t="str">
        <f aca="false">IF(OR(L144="",M144="",S144="",M144=0),"",IFERROR(L144*60*S144/(M144*36),0))</f>
        <v/>
      </c>
    </row>
    <row r="145" customFormat="false" ht="15" hidden="false" customHeight="true" outlineLevel="0" collapsed="false">
      <c r="A145" s="47" t="n">
        <f aca="false">'Daily KPI Entry'!A146</f>
        <v>0</v>
      </c>
      <c r="B145" s="48" t="n">
        <f aca="false">'Daily KPI Entry'!B146</f>
        <v>0</v>
      </c>
      <c r="C145" s="47" t="n">
        <f aca="false">'Daily KPI Entry'!C146</f>
        <v>0</v>
      </c>
      <c r="D145" s="47" t="n">
        <f aca="false">'Daily KPI Entry'!D146</f>
        <v>0</v>
      </c>
      <c r="E145" s="47" t="n">
        <f aca="false">'Daily KPI Entry'!E146</f>
        <v>0</v>
      </c>
      <c r="F145" s="47" t="n">
        <f aca="false">'Daily KPI Entry'!F146</f>
        <v>0</v>
      </c>
      <c r="G145" s="47" t="n">
        <f aca="false">'Daily KPI Entry'!G146</f>
        <v>0</v>
      </c>
      <c r="H145" s="47" t="str">
        <f aca="false">'Daily KPI Entry'!H146</f>
        <v/>
      </c>
      <c r="I145" s="47" t="n">
        <f aca="false">'Daily KPI Entry'!I146</f>
        <v>0</v>
      </c>
      <c r="J145" s="47" t="n">
        <f aca="false">'Daily KPI Entry'!J146</f>
        <v>0</v>
      </c>
      <c r="K145" s="47" t="n">
        <f aca="false">'Daily KPI Entry'!K146</f>
        <v>0</v>
      </c>
      <c r="L145" s="47" t="n">
        <f aca="false">'Daily KPI Entry'!L146</f>
        <v>0</v>
      </c>
      <c r="M145" s="47" t="n">
        <f aca="false">'Daily KPI Entry'!M146</f>
        <v>0</v>
      </c>
      <c r="N145" s="49" t="n">
        <f aca="false">'Daily KPI Entry'!N146</f>
        <v>0</v>
      </c>
      <c r="O145" s="49" t="n">
        <f aca="false">'Daily KPI Entry'!O146</f>
        <v>0</v>
      </c>
      <c r="P145" s="49" t="str">
        <f aca="false">IF(OR(N145="",O145=""),"",IFERROR(O145/N145*100,0))</f>
        <v/>
      </c>
      <c r="Q145" s="47" t="n">
        <f aca="false">'Daily KPI Entry'!Q146</f>
        <v>8</v>
      </c>
      <c r="R145" s="47" t="str">
        <f aca="false">IF(J145="","",Q145*J145)</f>
        <v/>
      </c>
      <c r="S145" s="49" t="n">
        <f aca="false">'Daily KPI Entry'!S146</f>
        <v>0</v>
      </c>
      <c r="T145" s="49" t="str">
        <f aca="false">IF(OR(R145="",S145=""),"",IFERROR(S145/R145*100,0))</f>
        <v/>
      </c>
      <c r="U145" s="49" t="str">
        <f aca="false">IF(OR(O145="",L145="",M145="",S145="",M145=0),"",IFERROR(O145/(L145*60*S145/(M145*36))*100,0))</f>
        <v/>
      </c>
      <c r="V145" s="49" t="n">
        <f aca="false">'Daily KPI Entry'!V146</f>
        <v>0</v>
      </c>
      <c r="W145" s="49" t="str">
        <f aca="false">IF(O145="","",IFERROR(V145/O145*100,0))</f>
        <v/>
      </c>
      <c r="X145" s="49" t="n">
        <f aca="false">'Daily KPI Entry'!X146</f>
        <v>0</v>
      </c>
      <c r="Y145" s="49" t="n">
        <f aca="false">'Daily KPI Entry'!Y146</f>
        <v>0</v>
      </c>
      <c r="Z145" s="49" t="n">
        <f aca="false">'Daily KPI Entry'!Z146</f>
        <v>0</v>
      </c>
      <c r="AA145" s="49" t="n">
        <f aca="false">'Daily KPI Entry'!AA146</f>
        <v>0</v>
      </c>
      <c r="AB145" s="49" t="n">
        <f aca="false">'Daily KPI Entry'!AB146</f>
        <v>0</v>
      </c>
      <c r="AC145" s="49" t="n">
        <f aca="false">'Daily KPI Entry'!AC146</f>
        <v>0</v>
      </c>
      <c r="AD145" s="49" t="n">
        <f aca="false">'Daily KPI Entry'!AD146</f>
        <v>0</v>
      </c>
      <c r="AE145" s="49" t="n">
        <f aca="false">'Daily KPI Entry'!AE146</f>
        <v>0</v>
      </c>
      <c r="AF145" s="47" t="str">
        <f aca="false">IF(O145="","",SUM(X145:AE145))</f>
        <v/>
      </c>
      <c r="AG145" s="49" t="str">
        <f aca="false">IF(O145="","",IFERROR(AF145/O145*1000,0))</f>
        <v/>
      </c>
      <c r="AH145" s="49" t="n">
        <f aca="false">'Daily KPI Entry'!AH146</f>
        <v>0</v>
      </c>
      <c r="AI145" s="49" t="n">
        <f aca="false">'Daily KPI Entry'!AI146</f>
        <v>0</v>
      </c>
      <c r="AJ145" s="49" t="n">
        <f aca="false">'Daily KPI Entry'!AJ146</f>
        <v>0</v>
      </c>
      <c r="AK145" s="47" t="n">
        <f aca="false">'Daily KPI Entry'!AK146</f>
        <v>0</v>
      </c>
      <c r="AL145" s="47" t="n">
        <f aca="false">'Daily KPI Entry'!AL146</f>
        <v>0</v>
      </c>
      <c r="AM145" s="47" t="n">
        <f aca="false">'Daily KPI Entry'!AM146</f>
        <v>0</v>
      </c>
      <c r="AN145" s="49" t="str">
        <f aca="false">IF(P145="","",MIN(120,P145))</f>
        <v/>
      </c>
      <c r="AO145" s="49" t="str">
        <f aca="false">IF(U145="","",MIN(120,U145))</f>
        <v/>
      </c>
      <c r="AP145" s="49" t="str">
        <f aca="false">IF(R145="","",MIN(120,IFERROR(S145/R145*100,0)))</f>
        <v/>
      </c>
      <c r="AQ145" s="49" t="str">
        <f aca="false">IF(W145="","",MIN(120,IF(W145=0,120,100*(INDEX('Standards &amp; Scoring'!$E$5:$E$13,MATCH("Quality / Rejection",'Standards &amp; Scoring'!$A$5:$A$13,0))/W145))))</f>
        <v/>
      </c>
      <c r="AR145" s="49" t="str">
        <f aca="false">IF(AG145="","",MIN(120,IF(AG145=0,120,100*(INDEX('Standards &amp; Scoring'!$E$5:$E$13,MATCH("Fault Control",'Standards &amp; Scoring'!$A$5:$A$13,0))/AG145))))</f>
        <v/>
      </c>
      <c r="AS145" s="49" t="str">
        <f aca="false">IF(O145="","",MIN(120,IF(SUMIFS('Fault &amp; Downtime Entry'!$L$6:$L$1005,'Fault &amp; Downtime Entry'!$E$6:$E$1005,G145,'Fault &amp; Downtime Entry'!$B$6:$B$1005,B145)=0,120,100*(INDEX('Standards &amp; Scoring'!$E$5:$E$13,MATCH("Downtime Control",'Standards &amp; Scoring'!$A$5:$A$13,0))/IFERROR(SUMIFS('Fault &amp; Downtime Entry'!$L$6:$L$1005,'Fault &amp; Downtime Entry'!$E$6:$E$1005,G145,'Fault &amp; Downtime Entry'!$B$6:$B$1005,B145)/O145*1000,999999)))))</f>
        <v/>
      </c>
      <c r="AT145" s="49" t="n">
        <f aca="false">IF(COUNTA(AH145,AJ145)=0,"",MIN(120,IF(AND(AH145&lt;&gt;"",AJ145&lt;&gt;""),AVERAGE(AH145,AJ145),IF(AH145&lt;&gt;"",AH145,AJ145))))</f>
        <v>0</v>
      </c>
      <c r="AU145" s="49" t="str">
        <f aca="false">IF(AI145="","",MIN(120,AI145))</f>
        <v/>
      </c>
      <c r="AV145" s="49" t="str">
        <f aca="false">IF(AJ145="","",MIN(120,AJ145))</f>
        <v/>
      </c>
      <c r="AW145" s="50" t="str">
        <f aca="false">IF(COUNT(AN145:AV145)&lt;9,"",(AN145*'Standards &amp; Scoring'!$D$5+AO145*'Standards &amp; Scoring'!$D$6+AP145*'Standards &amp; Scoring'!$D$7+AQ145*'Standards &amp; Scoring'!$D$8+AR145*'Standards &amp; Scoring'!$D$9+AS145*'Standards &amp; Scoring'!$D$10+AT145*'Standards &amp; Scoring'!$D$11+AU145*'Standards &amp; Scoring'!$D$12+AV145*'Standards &amp; Scoring'!$D$13)/10000)</f>
        <v/>
      </c>
      <c r="AX145" s="47" t="str">
        <f aca="false">IF(AW145="","",IF(AW145&gt;=1.05,"A+",IF(AW145&gt;=1,"A",IF(AW145&gt;=0.95,"B+",IF(AW145&gt;=0.9,"B","C")))))</f>
        <v/>
      </c>
      <c r="AY145" s="47" t="str">
        <f aca="false">IF(AX145="","",IF(AX145="A+",1800,IF(AX145="A",1600,IF(AX145="B+",1400,IF(AX145="B",1200,0)))))</f>
        <v/>
      </c>
      <c r="AZ145" s="49" t="str">
        <f aca="false">IF(OR(L145="",M145="",S145="",M145=0),"",IFERROR(L145*60*S145/(M145*36),0))</f>
        <v/>
      </c>
    </row>
    <row r="146" customFormat="false" ht="15" hidden="false" customHeight="true" outlineLevel="0" collapsed="false">
      <c r="A146" s="47" t="n">
        <f aca="false">'Daily KPI Entry'!A147</f>
        <v>0</v>
      </c>
      <c r="B146" s="48" t="n">
        <f aca="false">'Daily KPI Entry'!B147</f>
        <v>0</v>
      </c>
      <c r="C146" s="47" t="n">
        <f aca="false">'Daily KPI Entry'!C147</f>
        <v>0</v>
      </c>
      <c r="D146" s="47" t="n">
        <f aca="false">'Daily KPI Entry'!D147</f>
        <v>0</v>
      </c>
      <c r="E146" s="47" t="n">
        <f aca="false">'Daily KPI Entry'!E147</f>
        <v>0</v>
      </c>
      <c r="F146" s="47" t="n">
        <f aca="false">'Daily KPI Entry'!F147</f>
        <v>0</v>
      </c>
      <c r="G146" s="47" t="n">
        <f aca="false">'Daily KPI Entry'!G147</f>
        <v>0</v>
      </c>
      <c r="H146" s="47" t="str">
        <f aca="false">'Daily KPI Entry'!H147</f>
        <v/>
      </c>
      <c r="I146" s="47" t="n">
        <f aca="false">'Daily KPI Entry'!I147</f>
        <v>0</v>
      </c>
      <c r="J146" s="47" t="n">
        <f aca="false">'Daily KPI Entry'!J147</f>
        <v>0</v>
      </c>
      <c r="K146" s="47" t="n">
        <f aca="false">'Daily KPI Entry'!K147</f>
        <v>0</v>
      </c>
      <c r="L146" s="47" t="n">
        <f aca="false">'Daily KPI Entry'!L147</f>
        <v>0</v>
      </c>
      <c r="M146" s="47" t="n">
        <f aca="false">'Daily KPI Entry'!M147</f>
        <v>0</v>
      </c>
      <c r="N146" s="49" t="n">
        <f aca="false">'Daily KPI Entry'!N147</f>
        <v>0</v>
      </c>
      <c r="O146" s="49" t="n">
        <f aca="false">'Daily KPI Entry'!O147</f>
        <v>0</v>
      </c>
      <c r="P146" s="49" t="str">
        <f aca="false">IF(OR(N146="",O146=""),"",IFERROR(O146/N146*100,0))</f>
        <v/>
      </c>
      <c r="Q146" s="47" t="n">
        <f aca="false">'Daily KPI Entry'!Q147</f>
        <v>8</v>
      </c>
      <c r="R146" s="47" t="str">
        <f aca="false">IF(J146="","",Q146*J146)</f>
        <v/>
      </c>
      <c r="S146" s="49" t="n">
        <f aca="false">'Daily KPI Entry'!S147</f>
        <v>0</v>
      </c>
      <c r="T146" s="49" t="str">
        <f aca="false">IF(OR(R146="",S146=""),"",IFERROR(S146/R146*100,0))</f>
        <v/>
      </c>
      <c r="U146" s="49" t="str">
        <f aca="false">IF(OR(O146="",L146="",M146="",S146="",M146=0),"",IFERROR(O146/(L146*60*S146/(M146*36))*100,0))</f>
        <v/>
      </c>
      <c r="V146" s="49" t="n">
        <f aca="false">'Daily KPI Entry'!V147</f>
        <v>0</v>
      </c>
      <c r="W146" s="49" t="str">
        <f aca="false">IF(O146="","",IFERROR(V146/O146*100,0))</f>
        <v/>
      </c>
      <c r="X146" s="49" t="n">
        <f aca="false">'Daily KPI Entry'!X147</f>
        <v>0</v>
      </c>
      <c r="Y146" s="49" t="n">
        <f aca="false">'Daily KPI Entry'!Y147</f>
        <v>0</v>
      </c>
      <c r="Z146" s="49" t="n">
        <f aca="false">'Daily KPI Entry'!Z147</f>
        <v>0</v>
      </c>
      <c r="AA146" s="49" t="n">
        <f aca="false">'Daily KPI Entry'!AA147</f>
        <v>0</v>
      </c>
      <c r="AB146" s="49" t="n">
        <f aca="false">'Daily KPI Entry'!AB147</f>
        <v>0</v>
      </c>
      <c r="AC146" s="49" t="n">
        <f aca="false">'Daily KPI Entry'!AC147</f>
        <v>0</v>
      </c>
      <c r="AD146" s="49" t="n">
        <f aca="false">'Daily KPI Entry'!AD147</f>
        <v>0</v>
      </c>
      <c r="AE146" s="49" t="n">
        <f aca="false">'Daily KPI Entry'!AE147</f>
        <v>0</v>
      </c>
      <c r="AF146" s="47" t="str">
        <f aca="false">IF(O146="","",SUM(X146:AE146))</f>
        <v/>
      </c>
      <c r="AG146" s="49" t="str">
        <f aca="false">IF(O146="","",IFERROR(AF146/O146*1000,0))</f>
        <v/>
      </c>
      <c r="AH146" s="49" t="n">
        <f aca="false">'Daily KPI Entry'!AH147</f>
        <v>0</v>
      </c>
      <c r="AI146" s="49" t="n">
        <f aca="false">'Daily KPI Entry'!AI147</f>
        <v>0</v>
      </c>
      <c r="AJ146" s="49" t="n">
        <f aca="false">'Daily KPI Entry'!AJ147</f>
        <v>0</v>
      </c>
      <c r="AK146" s="47" t="n">
        <f aca="false">'Daily KPI Entry'!AK147</f>
        <v>0</v>
      </c>
      <c r="AL146" s="47" t="n">
        <f aca="false">'Daily KPI Entry'!AL147</f>
        <v>0</v>
      </c>
      <c r="AM146" s="47" t="n">
        <f aca="false">'Daily KPI Entry'!AM147</f>
        <v>0</v>
      </c>
      <c r="AN146" s="49" t="str">
        <f aca="false">IF(P146="","",MIN(120,P146))</f>
        <v/>
      </c>
      <c r="AO146" s="49" t="str">
        <f aca="false">IF(U146="","",MIN(120,U146))</f>
        <v/>
      </c>
      <c r="AP146" s="49" t="str">
        <f aca="false">IF(R146="","",MIN(120,IFERROR(S146/R146*100,0)))</f>
        <v/>
      </c>
      <c r="AQ146" s="49" t="str">
        <f aca="false">IF(W146="","",MIN(120,IF(W146=0,120,100*(INDEX('Standards &amp; Scoring'!$E$5:$E$13,MATCH("Quality / Rejection",'Standards &amp; Scoring'!$A$5:$A$13,0))/W146))))</f>
        <v/>
      </c>
      <c r="AR146" s="49" t="str">
        <f aca="false">IF(AG146="","",MIN(120,IF(AG146=0,120,100*(INDEX('Standards &amp; Scoring'!$E$5:$E$13,MATCH("Fault Control",'Standards &amp; Scoring'!$A$5:$A$13,0))/AG146))))</f>
        <v/>
      </c>
      <c r="AS146" s="49" t="str">
        <f aca="false">IF(O146="","",MIN(120,IF(SUMIFS('Fault &amp; Downtime Entry'!$L$6:$L$1005,'Fault &amp; Downtime Entry'!$E$6:$E$1005,G146,'Fault &amp; Downtime Entry'!$B$6:$B$1005,B146)=0,120,100*(INDEX('Standards &amp; Scoring'!$E$5:$E$13,MATCH("Downtime Control",'Standards &amp; Scoring'!$A$5:$A$13,0))/IFERROR(SUMIFS('Fault &amp; Downtime Entry'!$L$6:$L$1005,'Fault &amp; Downtime Entry'!$E$6:$E$1005,G146,'Fault &amp; Downtime Entry'!$B$6:$B$1005,B146)/O146*1000,999999)))))</f>
        <v/>
      </c>
      <c r="AT146" s="49" t="n">
        <f aca="false">IF(COUNTA(AH146,AJ146)=0,"",MIN(120,IF(AND(AH146&lt;&gt;"",AJ146&lt;&gt;""),AVERAGE(AH146,AJ146),IF(AH146&lt;&gt;"",AH146,AJ146))))</f>
        <v>0</v>
      </c>
      <c r="AU146" s="49" t="str">
        <f aca="false">IF(AI146="","",MIN(120,AI146))</f>
        <v/>
      </c>
      <c r="AV146" s="49" t="str">
        <f aca="false">IF(AJ146="","",MIN(120,AJ146))</f>
        <v/>
      </c>
      <c r="AW146" s="50" t="str">
        <f aca="false">IF(COUNT(AN146:AV146)&lt;9,"",(AN146*'Standards &amp; Scoring'!$D$5+AO146*'Standards &amp; Scoring'!$D$6+AP146*'Standards &amp; Scoring'!$D$7+AQ146*'Standards &amp; Scoring'!$D$8+AR146*'Standards &amp; Scoring'!$D$9+AS146*'Standards &amp; Scoring'!$D$10+AT146*'Standards &amp; Scoring'!$D$11+AU146*'Standards &amp; Scoring'!$D$12+AV146*'Standards &amp; Scoring'!$D$13)/10000)</f>
        <v/>
      </c>
      <c r="AX146" s="47" t="str">
        <f aca="false">IF(AW146="","",IF(AW146&gt;=1.05,"A+",IF(AW146&gt;=1,"A",IF(AW146&gt;=0.95,"B+",IF(AW146&gt;=0.9,"B","C")))))</f>
        <v/>
      </c>
      <c r="AY146" s="47" t="str">
        <f aca="false">IF(AX146="","",IF(AX146="A+",1800,IF(AX146="A",1600,IF(AX146="B+",1400,IF(AX146="B",1200,0)))))</f>
        <v/>
      </c>
      <c r="AZ146" s="49" t="str">
        <f aca="false">IF(OR(L146="",M146="",S146="",M146=0),"",IFERROR(L146*60*S146/(M146*36),0))</f>
        <v/>
      </c>
    </row>
    <row r="147" customFormat="false" ht="15" hidden="false" customHeight="true" outlineLevel="0" collapsed="false">
      <c r="A147" s="47" t="n">
        <f aca="false">'Daily KPI Entry'!A148</f>
        <v>0</v>
      </c>
      <c r="B147" s="48" t="n">
        <f aca="false">'Daily KPI Entry'!B148</f>
        <v>0</v>
      </c>
      <c r="C147" s="47" t="n">
        <f aca="false">'Daily KPI Entry'!C148</f>
        <v>0</v>
      </c>
      <c r="D147" s="47" t="n">
        <f aca="false">'Daily KPI Entry'!D148</f>
        <v>0</v>
      </c>
      <c r="E147" s="47" t="n">
        <f aca="false">'Daily KPI Entry'!E148</f>
        <v>0</v>
      </c>
      <c r="F147" s="47" t="n">
        <f aca="false">'Daily KPI Entry'!F148</f>
        <v>0</v>
      </c>
      <c r="G147" s="47" t="n">
        <f aca="false">'Daily KPI Entry'!G148</f>
        <v>0</v>
      </c>
      <c r="H147" s="47" t="str">
        <f aca="false">'Daily KPI Entry'!H148</f>
        <v/>
      </c>
      <c r="I147" s="47" t="n">
        <f aca="false">'Daily KPI Entry'!I148</f>
        <v>0</v>
      </c>
      <c r="J147" s="47" t="n">
        <f aca="false">'Daily KPI Entry'!J148</f>
        <v>0</v>
      </c>
      <c r="K147" s="47" t="n">
        <f aca="false">'Daily KPI Entry'!K148</f>
        <v>0</v>
      </c>
      <c r="L147" s="47" t="n">
        <f aca="false">'Daily KPI Entry'!L148</f>
        <v>0</v>
      </c>
      <c r="M147" s="47" t="n">
        <f aca="false">'Daily KPI Entry'!M148</f>
        <v>0</v>
      </c>
      <c r="N147" s="49" t="n">
        <f aca="false">'Daily KPI Entry'!N148</f>
        <v>0</v>
      </c>
      <c r="O147" s="49" t="n">
        <f aca="false">'Daily KPI Entry'!O148</f>
        <v>0</v>
      </c>
      <c r="P147" s="49" t="str">
        <f aca="false">IF(OR(N147="",O147=""),"",IFERROR(O147/N147*100,0))</f>
        <v/>
      </c>
      <c r="Q147" s="47" t="n">
        <f aca="false">'Daily KPI Entry'!Q148</f>
        <v>8</v>
      </c>
      <c r="R147" s="47" t="str">
        <f aca="false">IF(J147="","",Q147*J147)</f>
        <v/>
      </c>
      <c r="S147" s="49" t="n">
        <f aca="false">'Daily KPI Entry'!S148</f>
        <v>0</v>
      </c>
      <c r="T147" s="49" t="str">
        <f aca="false">IF(OR(R147="",S147=""),"",IFERROR(S147/R147*100,0))</f>
        <v/>
      </c>
      <c r="U147" s="49" t="str">
        <f aca="false">IF(OR(O147="",L147="",M147="",S147="",M147=0),"",IFERROR(O147/(L147*60*S147/(M147*36))*100,0))</f>
        <v/>
      </c>
      <c r="V147" s="49" t="n">
        <f aca="false">'Daily KPI Entry'!V148</f>
        <v>0</v>
      </c>
      <c r="W147" s="49" t="str">
        <f aca="false">IF(O147="","",IFERROR(V147/O147*100,0))</f>
        <v/>
      </c>
      <c r="X147" s="49" t="n">
        <f aca="false">'Daily KPI Entry'!X148</f>
        <v>0</v>
      </c>
      <c r="Y147" s="49" t="n">
        <f aca="false">'Daily KPI Entry'!Y148</f>
        <v>0</v>
      </c>
      <c r="Z147" s="49" t="n">
        <f aca="false">'Daily KPI Entry'!Z148</f>
        <v>0</v>
      </c>
      <c r="AA147" s="49" t="n">
        <f aca="false">'Daily KPI Entry'!AA148</f>
        <v>0</v>
      </c>
      <c r="AB147" s="49" t="n">
        <f aca="false">'Daily KPI Entry'!AB148</f>
        <v>0</v>
      </c>
      <c r="AC147" s="49" t="n">
        <f aca="false">'Daily KPI Entry'!AC148</f>
        <v>0</v>
      </c>
      <c r="AD147" s="49" t="n">
        <f aca="false">'Daily KPI Entry'!AD148</f>
        <v>0</v>
      </c>
      <c r="AE147" s="49" t="n">
        <f aca="false">'Daily KPI Entry'!AE148</f>
        <v>0</v>
      </c>
      <c r="AF147" s="47" t="str">
        <f aca="false">IF(O147="","",SUM(X147:AE147))</f>
        <v/>
      </c>
      <c r="AG147" s="49" t="str">
        <f aca="false">IF(O147="","",IFERROR(AF147/O147*1000,0))</f>
        <v/>
      </c>
      <c r="AH147" s="49" t="n">
        <f aca="false">'Daily KPI Entry'!AH148</f>
        <v>0</v>
      </c>
      <c r="AI147" s="49" t="n">
        <f aca="false">'Daily KPI Entry'!AI148</f>
        <v>0</v>
      </c>
      <c r="AJ147" s="49" t="n">
        <f aca="false">'Daily KPI Entry'!AJ148</f>
        <v>0</v>
      </c>
      <c r="AK147" s="47" t="n">
        <f aca="false">'Daily KPI Entry'!AK148</f>
        <v>0</v>
      </c>
      <c r="AL147" s="47" t="n">
        <f aca="false">'Daily KPI Entry'!AL148</f>
        <v>0</v>
      </c>
      <c r="AM147" s="47" t="n">
        <f aca="false">'Daily KPI Entry'!AM148</f>
        <v>0</v>
      </c>
      <c r="AN147" s="49" t="str">
        <f aca="false">IF(P147="","",MIN(120,P147))</f>
        <v/>
      </c>
      <c r="AO147" s="49" t="str">
        <f aca="false">IF(U147="","",MIN(120,U147))</f>
        <v/>
      </c>
      <c r="AP147" s="49" t="str">
        <f aca="false">IF(R147="","",MIN(120,IFERROR(S147/R147*100,0)))</f>
        <v/>
      </c>
      <c r="AQ147" s="49" t="str">
        <f aca="false">IF(W147="","",MIN(120,IF(W147=0,120,100*(INDEX('Standards &amp; Scoring'!$E$5:$E$13,MATCH("Quality / Rejection",'Standards &amp; Scoring'!$A$5:$A$13,0))/W147))))</f>
        <v/>
      </c>
      <c r="AR147" s="49" t="str">
        <f aca="false">IF(AG147="","",MIN(120,IF(AG147=0,120,100*(INDEX('Standards &amp; Scoring'!$E$5:$E$13,MATCH("Fault Control",'Standards &amp; Scoring'!$A$5:$A$13,0))/AG147))))</f>
        <v/>
      </c>
      <c r="AS147" s="49" t="str">
        <f aca="false">IF(O147="","",MIN(120,IF(SUMIFS('Fault &amp; Downtime Entry'!$L$6:$L$1005,'Fault &amp; Downtime Entry'!$E$6:$E$1005,G147,'Fault &amp; Downtime Entry'!$B$6:$B$1005,B147)=0,120,100*(INDEX('Standards &amp; Scoring'!$E$5:$E$13,MATCH("Downtime Control",'Standards &amp; Scoring'!$A$5:$A$13,0))/IFERROR(SUMIFS('Fault &amp; Downtime Entry'!$L$6:$L$1005,'Fault &amp; Downtime Entry'!$E$6:$E$1005,G147,'Fault &amp; Downtime Entry'!$B$6:$B$1005,B147)/O147*1000,999999)))))</f>
        <v/>
      </c>
      <c r="AT147" s="49" t="n">
        <f aca="false">IF(COUNTA(AH147,AJ147)=0,"",MIN(120,IF(AND(AH147&lt;&gt;"",AJ147&lt;&gt;""),AVERAGE(AH147,AJ147),IF(AH147&lt;&gt;"",AH147,AJ147))))</f>
        <v>0</v>
      </c>
      <c r="AU147" s="49" t="str">
        <f aca="false">IF(AI147="","",MIN(120,AI147))</f>
        <v/>
      </c>
      <c r="AV147" s="49" t="str">
        <f aca="false">IF(AJ147="","",MIN(120,AJ147))</f>
        <v/>
      </c>
      <c r="AW147" s="50" t="str">
        <f aca="false">IF(COUNT(AN147:AV147)&lt;9,"",(AN147*'Standards &amp; Scoring'!$D$5+AO147*'Standards &amp; Scoring'!$D$6+AP147*'Standards &amp; Scoring'!$D$7+AQ147*'Standards &amp; Scoring'!$D$8+AR147*'Standards &amp; Scoring'!$D$9+AS147*'Standards &amp; Scoring'!$D$10+AT147*'Standards &amp; Scoring'!$D$11+AU147*'Standards &amp; Scoring'!$D$12+AV147*'Standards &amp; Scoring'!$D$13)/10000)</f>
        <v/>
      </c>
      <c r="AX147" s="47" t="str">
        <f aca="false">IF(AW147="","",IF(AW147&gt;=1.05,"A+",IF(AW147&gt;=1,"A",IF(AW147&gt;=0.95,"B+",IF(AW147&gt;=0.9,"B","C")))))</f>
        <v/>
      </c>
      <c r="AY147" s="47" t="str">
        <f aca="false">IF(AX147="","",IF(AX147="A+",1800,IF(AX147="A",1600,IF(AX147="B+",1400,IF(AX147="B",1200,0)))))</f>
        <v/>
      </c>
      <c r="AZ147" s="49" t="str">
        <f aca="false">IF(OR(L147="",M147="",S147="",M147=0),"",IFERROR(L147*60*S147/(M147*36),0))</f>
        <v/>
      </c>
    </row>
    <row r="148" customFormat="false" ht="15" hidden="false" customHeight="true" outlineLevel="0" collapsed="false">
      <c r="A148" s="47" t="n">
        <f aca="false">'Daily KPI Entry'!A149</f>
        <v>0</v>
      </c>
      <c r="B148" s="48" t="n">
        <f aca="false">'Daily KPI Entry'!B149</f>
        <v>0</v>
      </c>
      <c r="C148" s="47" t="n">
        <f aca="false">'Daily KPI Entry'!C149</f>
        <v>0</v>
      </c>
      <c r="D148" s="47" t="n">
        <f aca="false">'Daily KPI Entry'!D149</f>
        <v>0</v>
      </c>
      <c r="E148" s="47" t="n">
        <f aca="false">'Daily KPI Entry'!E149</f>
        <v>0</v>
      </c>
      <c r="F148" s="47" t="n">
        <f aca="false">'Daily KPI Entry'!F149</f>
        <v>0</v>
      </c>
      <c r="G148" s="47" t="n">
        <f aca="false">'Daily KPI Entry'!G149</f>
        <v>0</v>
      </c>
      <c r="H148" s="47" t="str">
        <f aca="false">'Daily KPI Entry'!H149</f>
        <v/>
      </c>
      <c r="I148" s="47" t="n">
        <f aca="false">'Daily KPI Entry'!I149</f>
        <v>0</v>
      </c>
      <c r="J148" s="47" t="n">
        <f aca="false">'Daily KPI Entry'!J149</f>
        <v>0</v>
      </c>
      <c r="K148" s="47" t="n">
        <f aca="false">'Daily KPI Entry'!K149</f>
        <v>0</v>
      </c>
      <c r="L148" s="47" t="n">
        <f aca="false">'Daily KPI Entry'!L149</f>
        <v>0</v>
      </c>
      <c r="M148" s="47" t="n">
        <f aca="false">'Daily KPI Entry'!M149</f>
        <v>0</v>
      </c>
      <c r="N148" s="49" t="n">
        <f aca="false">'Daily KPI Entry'!N149</f>
        <v>0</v>
      </c>
      <c r="O148" s="49" t="n">
        <f aca="false">'Daily KPI Entry'!O149</f>
        <v>0</v>
      </c>
      <c r="P148" s="49" t="str">
        <f aca="false">IF(OR(N148="",O148=""),"",IFERROR(O148/N148*100,0))</f>
        <v/>
      </c>
      <c r="Q148" s="47" t="n">
        <f aca="false">'Daily KPI Entry'!Q149</f>
        <v>8</v>
      </c>
      <c r="R148" s="47" t="str">
        <f aca="false">IF(J148="","",Q148*J148)</f>
        <v/>
      </c>
      <c r="S148" s="49" t="n">
        <f aca="false">'Daily KPI Entry'!S149</f>
        <v>0</v>
      </c>
      <c r="T148" s="49" t="str">
        <f aca="false">IF(OR(R148="",S148=""),"",IFERROR(S148/R148*100,0))</f>
        <v/>
      </c>
      <c r="U148" s="49" t="str">
        <f aca="false">IF(OR(O148="",L148="",M148="",S148="",M148=0),"",IFERROR(O148/(L148*60*S148/(M148*36))*100,0))</f>
        <v/>
      </c>
      <c r="V148" s="49" t="n">
        <f aca="false">'Daily KPI Entry'!V149</f>
        <v>0</v>
      </c>
      <c r="W148" s="49" t="str">
        <f aca="false">IF(O148="","",IFERROR(V148/O148*100,0))</f>
        <v/>
      </c>
      <c r="X148" s="49" t="n">
        <f aca="false">'Daily KPI Entry'!X149</f>
        <v>0</v>
      </c>
      <c r="Y148" s="49" t="n">
        <f aca="false">'Daily KPI Entry'!Y149</f>
        <v>0</v>
      </c>
      <c r="Z148" s="49" t="n">
        <f aca="false">'Daily KPI Entry'!Z149</f>
        <v>0</v>
      </c>
      <c r="AA148" s="49" t="n">
        <f aca="false">'Daily KPI Entry'!AA149</f>
        <v>0</v>
      </c>
      <c r="AB148" s="49" t="n">
        <f aca="false">'Daily KPI Entry'!AB149</f>
        <v>0</v>
      </c>
      <c r="AC148" s="49" t="n">
        <f aca="false">'Daily KPI Entry'!AC149</f>
        <v>0</v>
      </c>
      <c r="AD148" s="49" t="n">
        <f aca="false">'Daily KPI Entry'!AD149</f>
        <v>0</v>
      </c>
      <c r="AE148" s="49" t="n">
        <f aca="false">'Daily KPI Entry'!AE149</f>
        <v>0</v>
      </c>
      <c r="AF148" s="47" t="str">
        <f aca="false">IF(O148="","",SUM(X148:AE148))</f>
        <v/>
      </c>
      <c r="AG148" s="49" t="str">
        <f aca="false">IF(O148="","",IFERROR(AF148/O148*1000,0))</f>
        <v/>
      </c>
      <c r="AH148" s="49" t="n">
        <f aca="false">'Daily KPI Entry'!AH149</f>
        <v>0</v>
      </c>
      <c r="AI148" s="49" t="n">
        <f aca="false">'Daily KPI Entry'!AI149</f>
        <v>0</v>
      </c>
      <c r="AJ148" s="49" t="n">
        <f aca="false">'Daily KPI Entry'!AJ149</f>
        <v>0</v>
      </c>
      <c r="AK148" s="47" t="n">
        <f aca="false">'Daily KPI Entry'!AK149</f>
        <v>0</v>
      </c>
      <c r="AL148" s="47" t="n">
        <f aca="false">'Daily KPI Entry'!AL149</f>
        <v>0</v>
      </c>
      <c r="AM148" s="47" t="n">
        <f aca="false">'Daily KPI Entry'!AM149</f>
        <v>0</v>
      </c>
      <c r="AN148" s="49" t="str">
        <f aca="false">IF(P148="","",MIN(120,P148))</f>
        <v/>
      </c>
      <c r="AO148" s="49" t="str">
        <f aca="false">IF(U148="","",MIN(120,U148))</f>
        <v/>
      </c>
      <c r="AP148" s="49" t="str">
        <f aca="false">IF(R148="","",MIN(120,IFERROR(S148/R148*100,0)))</f>
        <v/>
      </c>
      <c r="AQ148" s="49" t="str">
        <f aca="false">IF(W148="","",MIN(120,IF(W148=0,120,100*(INDEX('Standards &amp; Scoring'!$E$5:$E$13,MATCH("Quality / Rejection",'Standards &amp; Scoring'!$A$5:$A$13,0))/W148))))</f>
        <v/>
      </c>
      <c r="AR148" s="49" t="str">
        <f aca="false">IF(AG148="","",MIN(120,IF(AG148=0,120,100*(INDEX('Standards &amp; Scoring'!$E$5:$E$13,MATCH("Fault Control",'Standards &amp; Scoring'!$A$5:$A$13,0))/AG148))))</f>
        <v/>
      </c>
      <c r="AS148" s="49" t="str">
        <f aca="false">IF(O148="","",MIN(120,IF(SUMIFS('Fault &amp; Downtime Entry'!$L$6:$L$1005,'Fault &amp; Downtime Entry'!$E$6:$E$1005,G148,'Fault &amp; Downtime Entry'!$B$6:$B$1005,B148)=0,120,100*(INDEX('Standards &amp; Scoring'!$E$5:$E$13,MATCH("Downtime Control",'Standards &amp; Scoring'!$A$5:$A$13,0))/IFERROR(SUMIFS('Fault &amp; Downtime Entry'!$L$6:$L$1005,'Fault &amp; Downtime Entry'!$E$6:$E$1005,G148,'Fault &amp; Downtime Entry'!$B$6:$B$1005,B148)/O148*1000,999999)))))</f>
        <v/>
      </c>
      <c r="AT148" s="49" t="n">
        <f aca="false">IF(COUNTA(AH148,AJ148)=0,"",MIN(120,IF(AND(AH148&lt;&gt;"",AJ148&lt;&gt;""),AVERAGE(AH148,AJ148),IF(AH148&lt;&gt;"",AH148,AJ148))))</f>
        <v>0</v>
      </c>
      <c r="AU148" s="49" t="str">
        <f aca="false">IF(AI148="","",MIN(120,AI148))</f>
        <v/>
      </c>
      <c r="AV148" s="49" t="str">
        <f aca="false">IF(AJ148="","",MIN(120,AJ148))</f>
        <v/>
      </c>
      <c r="AW148" s="50" t="str">
        <f aca="false">IF(COUNT(AN148:AV148)&lt;9,"",(AN148*'Standards &amp; Scoring'!$D$5+AO148*'Standards &amp; Scoring'!$D$6+AP148*'Standards &amp; Scoring'!$D$7+AQ148*'Standards &amp; Scoring'!$D$8+AR148*'Standards &amp; Scoring'!$D$9+AS148*'Standards &amp; Scoring'!$D$10+AT148*'Standards &amp; Scoring'!$D$11+AU148*'Standards &amp; Scoring'!$D$12+AV148*'Standards &amp; Scoring'!$D$13)/10000)</f>
        <v/>
      </c>
      <c r="AX148" s="47" t="str">
        <f aca="false">IF(AW148="","",IF(AW148&gt;=1.05,"A+",IF(AW148&gt;=1,"A",IF(AW148&gt;=0.95,"B+",IF(AW148&gt;=0.9,"B","C")))))</f>
        <v/>
      </c>
      <c r="AY148" s="47" t="str">
        <f aca="false">IF(AX148="","",IF(AX148="A+",1800,IF(AX148="A",1600,IF(AX148="B+",1400,IF(AX148="B",1200,0)))))</f>
        <v/>
      </c>
      <c r="AZ148" s="49" t="str">
        <f aca="false">IF(OR(L148="",M148="",S148="",M148=0),"",IFERROR(L148*60*S148/(M148*36),0))</f>
        <v/>
      </c>
    </row>
    <row r="149" customFormat="false" ht="15" hidden="false" customHeight="true" outlineLevel="0" collapsed="false">
      <c r="A149" s="47" t="n">
        <f aca="false">'Daily KPI Entry'!A150</f>
        <v>0</v>
      </c>
      <c r="B149" s="48" t="n">
        <f aca="false">'Daily KPI Entry'!B150</f>
        <v>0</v>
      </c>
      <c r="C149" s="47" t="n">
        <f aca="false">'Daily KPI Entry'!C150</f>
        <v>0</v>
      </c>
      <c r="D149" s="47" t="n">
        <f aca="false">'Daily KPI Entry'!D150</f>
        <v>0</v>
      </c>
      <c r="E149" s="47" t="n">
        <f aca="false">'Daily KPI Entry'!E150</f>
        <v>0</v>
      </c>
      <c r="F149" s="47" t="n">
        <f aca="false">'Daily KPI Entry'!F150</f>
        <v>0</v>
      </c>
      <c r="G149" s="47" t="n">
        <f aca="false">'Daily KPI Entry'!G150</f>
        <v>0</v>
      </c>
      <c r="H149" s="47" t="str">
        <f aca="false">'Daily KPI Entry'!H150</f>
        <v/>
      </c>
      <c r="I149" s="47" t="n">
        <f aca="false">'Daily KPI Entry'!I150</f>
        <v>0</v>
      </c>
      <c r="J149" s="47" t="n">
        <f aca="false">'Daily KPI Entry'!J150</f>
        <v>0</v>
      </c>
      <c r="K149" s="47" t="n">
        <f aca="false">'Daily KPI Entry'!K150</f>
        <v>0</v>
      </c>
      <c r="L149" s="47" t="n">
        <f aca="false">'Daily KPI Entry'!L150</f>
        <v>0</v>
      </c>
      <c r="M149" s="47" t="n">
        <f aca="false">'Daily KPI Entry'!M150</f>
        <v>0</v>
      </c>
      <c r="N149" s="49" t="n">
        <f aca="false">'Daily KPI Entry'!N150</f>
        <v>0</v>
      </c>
      <c r="O149" s="49" t="n">
        <f aca="false">'Daily KPI Entry'!O150</f>
        <v>0</v>
      </c>
      <c r="P149" s="49" t="str">
        <f aca="false">IF(OR(N149="",O149=""),"",IFERROR(O149/N149*100,0))</f>
        <v/>
      </c>
      <c r="Q149" s="47" t="n">
        <f aca="false">'Daily KPI Entry'!Q150</f>
        <v>8</v>
      </c>
      <c r="R149" s="47" t="str">
        <f aca="false">IF(J149="","",Q149*J149)</f>
        <v/>
      </c>
      <c r="S149" s="49" t="n">
        <f aca="false">'Daily KPI Entry'!S150</f>
        <v>0</v>
      </c>
      <c r="T149" s="49" t="str">
        <f aca="false">IF(OR(R149="",S149=""),"",IFERROR(S149/R149*100,0))</f>
        <v/>
      </c>
      <c r="U149" s="49" t="str">
        <f aca="false">IF(OR(O149="",L149="",M149="",S149="",M149=0),"",IFERROR(O149/(L149*60*S149/(M149*36))*100,0))</f>
        <v/>
      </c>
      <c r="V149" s="49" t="n">
        <f aca="false">'Daily KPI Entry'!V150</f>
        <v>0</v>
      </c>
      <c r="W149" s="49" t="str">
        <f aca="false">IF(O149="","",IFERROR(V149/O149*100,0))</f>
        <v/>
      </c>
      <c r="X149" s="49" t="n">
        <f aca="false">'Daily KPI Entry'!X150</f>
        <v>0</v>
      </c>
      <c r="Y149" s="49" t="n">
        <f aca="false">'Daily KPI Entry'!Y150</f>
        <v>0</v>
      </c>
      <c r="Z149" s="49" t="n">
        <f aca="false">'Daily KPI Entry'!Z150</f>
        <v>0</v>
      </c>
      <c r="AA149" s="49" t="n">
        <f aca="false">'Daily KPI Entry'!AA150</f>
        <v>0</v>
      </c>
      <c r="AB149" s="49" t="n">
        <f aca="false">'Daily KPI Entry'!AB150</f>
        <v>0</v>
      </c>
      <c r="AC149" s="49" t="n">
        <f aca="false">'Daily KPI Entry'!AC150</f>
        <v>0</v>
      </c>
      <c r="AD149" s="49" t="n">
        <f aca="false">'Daily KPI Entry'!AD150</f>
        <v>0</v>
      </c>
      <c r="AE149" s="49" t="n">
        <f aca="false">'Daily KPI Entry'!AE150</f>
        <v>0</v>
      </c>
      <c r="AF149" s="47" t="str">
        <f aca="false">IF(O149="","",SUM(X149:AE149))</f>
        <v/>
      </c>
      <c r="AG149" s="49" t="str">
        <f aca="false">IF(O149="","",IFERROR(AF149/O149*1000,0))</f>
        <v/>
      </c>
      <c r="AH149" s="49" t="n">
        <f aca="false">'Daily KPI Entry'!AH150</f>
        <v>0</v>
      </c>
      <c r="AI149" s="49" t="n">
        <f aca="false">'Daily KPI Entry'!AI150</f>
        <v>0</v>
      </c>
      <c r="AJ149" s="49" t="n">
        <f aca="false">'Daily KPI Entry'!AJ150</f>
        <v>0</v>
      </c>
      <c r="AK149" s="47" t="n">
        <f aca="false">'Daily KPI Entry'!AK150</f>
        <v>0</v>
      </c>
      <c r="AL149" s="47" t="n">
        <f aca="false">'Daily KPI Entry'!AL150</f>
        <v>0</v>
      </c>
      <c r="AM149" s="47" t="n">
        <f aca="false">'Daily KPI Entry'!AM150</f>
        <v>0</v>
      </c>
      <c r="AN149" s="49" t="str">
        <f aca="false">IF(P149="","",MIN(120,P149))</f>
        <v/>
      </c>
      <c r="AO149" s="49" t="str">
        <f aca="false">IF(U149="","",MIN(120,U149))</f>
        <v/>
      </c>
      <c r="AP149" s="49" t="str">
        <f aca="false">IF(R149="","",MIN(120,IFERROR(S149/R149*100,0)))</f>
        <v/>
      </c>
      <c r="AQ149" s="49" t="str">
        <f aca="false">IF(W149="","",MIN(120,IF(W149=0,120,100*(INDEX('Standards &amp; Scoring'!$E$5:$E$13,MATCH("Quality / Rejection",'Standards &amp; Scoring'!$A$5:$A$13,0))/W149))))</f>
        <v/>
      </c>
      <c r="AR149" s="49" t="str">
        <f aca="false">IF(AG149="","",MIN(120,IF(AG149=0,120,100*(INDEX('Standards &amp; Scoring'!$E$5:$E$13,MATCH("Fault Control",'Standards &amp; Scoring'!$A$5:$A$13,0))/AG149))))</f>
        <v/>
      </c>
      <c r="AS149" s="49" t="str">
        <f aca="false">IF(O149="","",MIN(120,IF(SUMIFS('Fault &amp; Downtime Entry'!$L$6:$L$1005,'Fault &amp; Downtime Entry'!$E$6:$E$1005,G149,'Fault &amp; Downtime Entry'!$B$6:$B$1005,B149)=0,120,100*(INDEX('Standards &amp; Scoring'!$E$5:$E$13,MATCH("Downtime Control",'Standards &amp; Scoring'!$A$5:$A$13,0))/IFERROR(SUMIFS('Fault &amp; Downtime Entry'!$L$6:$L$1005,'Fault &amp; Downtime Entry'!$E$6:$E$1005,G149,'Fault &amp; Downtime Entry'!$B$6:$B$1005,B149)/O149*1000,999999)))))</f>
        <v/>
      </c>
      <c r="AT149" s="49" t="n">
        <f aca="false">IF(COUNTA(AH149,AJ149)=0,"",MIN(120,IF(AND(AH149&lt;&gt;"",AJ149&lt;&gt;""),AVERAGE(AH149,AJ149),IF(AH149&lt;&gt;"",AH149,AJ149))))</f>
        <v>0</v>
      </c>
      <c r="AU149" s="49" t="str">
        <f aca="false">IF(AI149="","",MIN(120,AI149))</f>
        <v/>
      </c>
      <c r="AV149" s="49" t="str">
        <f aca="false">IF(AJ149="","",MIN(120,AJ149))</f>
        <v/>
      </c>
      <c r="AW149" s="50" t="str">
        <f aca="false">IF(COUNT(AN149:AV149)&lt;9,"",(AN149*'Standards &amp; Scoring'!$D$5+AO149*'Standards &amp; Scoring'!$D$6+AP149*'Standards &amp; Scoring'!$D$7+AQ149*'Standards &amp; Scoring'!$D$8+AR149*'Standards &amp; Scoring'!$D$9+AS149*'Standards &amp; Scoring'!$D$10+AT149*'Standards &amp; Scoring'!$D$11+AU149*'Standards &amp; Scoring'!$D$12+AV149*'Standards &amp; Scoring'!$D$13)/10000)</f>
        <v/>
      </c>
      <c r="AX149" s="47" t="str">
        <f aca="false">IF(AW149="","",IF(AW149&gt;=1.05,"A+",IF(AW149&gt;=1,"A",IF(AW149&gt;=0.95,"B+",IF(AW149&gt;=0.9,"B","C")))))</f>
        <v/>
      </c>
      <c r="AY149" s="47" t="str">
        <f aca="false">IF(AX149="","",IF(AX149="A+",1800,IF(AX149="A",1600,IF(AX149="B+",1400,IF(AX149="B",1200,0)))))</f>
        <v/>
      </c>
      <c r="AZ149" s="49" t="str">
        <f aca="false">IF(OR(L149="",M149="",S149="",M149=0),"",IFERROR(L149*60*S149/(M149*36),0))</f>
        <v/>
      </c>
    </row>
    <row r="150" customFormat="false" ht="15" hidden="false" customHeight="true" outlineLevel="0" collapsed="false">
      <c r="A150" s="47" t="n">
        <f aca="false">'Daily KPI Entry'!A151</f>
        <v>0</v>
      </c>
      <c r="B150" s="48" t="n">
        <f aca="false">'Daily KPI Entry'!B151</f>
        <v>0</v>
      </c>
      <c r="C150" s="47" t="n">
        <f aca="false">'Daily KPI Entry'!C151</f>
        <v>0</v>
      </c>
      <c r="D150" s="47" t="n">
        <f aca="false">'Daily KPI Entry'!D151</f>
        <v>0</v>
      </c>
      <c r="E150" s="47" t="n">
        <f aca="false">'Daily KPI Entry'!E151</f>
        <v>0</v>
      </c>
      <c r="F150" s="47" t="n">
        <f aca="false">'Daily KPI Entry'!F151</f>
        <v>0</v>
      </c>
      <c r="G150" s="47" t="n">
        <f aca="false">'Daily KPI Entry'!G151</f>
        <v>0</v>
      </c>
      <c r="H150" s="47" t="str">
        <f aca="false">'Daily KPI Entry'!H151</f>
        <v/>
      </c>
      <c r="I150" s="47" t="n">
        <f aca="false">'Daily KPI Entry'!I151</f>
        <v>0</v>
      </c>
      <c r="J150" s="47" t="n">
        <f aca="false">'Daily KPI Entry'!J151</f>
        <v>0</v>
      </c>
      <c r="K150" s="47" t="n">
        <f aca="false">'Daily KPI Entry'!K151</f>
        <v>0</v>
      </c>
      <c r="L150" s="47" t="n">
        <f aca="false">'Daily KPI Entry'!L151</f>
        <v>0</v>
      </c>
      <c r="M150" s="47" t="n">
        <f aca="false">'Daily KPI Entry'!M151</f>
        <v>0</v>
      </c>
      <c r="N150" s="49" t="n">
        <f aca="false">'Daily KPI Entry'!N151</f>
        <v>0</v>
      </c>
      <c r="O150" s="49" t="n">
        <f aca="false">'Daily KPI Entry'!O151</f>
        <v>0</v>
      </c>
      <c r="P150" s="49" t="str">
        <f aca="false">IF(OR(N150="",O150=""),"",IFERROR(O150/N150*100,0))</f>
        <v/>
      </c>
      <c r="Q150" s="47" t="n">
        <f aca="false">'Daily KPI Entry'!Q151</f>
        <v>8</v>
      </c>
      <c r="R150" s="47" t="str">
        <f aca="false">IF(J150="","",Q150*J150)</f>
        <v/>
      </c>
      <c r="S150" s="49" t="n">
        <f aca="false">'Daily KPI Entry'!S151</f>
        <v>0</v>
      </c>
      <c r="T150" s="49" t="str">
        <f aca="false">IF(OR(R150="",S150=""),"",IFERROR(S150/R150*100,0))</f>
        <v/>
      </c>
      <c r="U150" s="49" t="str">
        <f aca="false">IF(OR(O150="",L150="",M150="",S150="",M150=0),"",IFERROR(O150/(L150*60*S150/(M150*36))*100,0))</f>
        <v/>
      </c>
      <c r="V150" s="49" t="n">
        <f aca="false">'Daily KPI Entry'!V151</f>
        <v>0</v>
      </c>
      <c r="W150" s="49" t="str">
        <f aca="false">IF(O150="","",IFERROR(V150/O150*100,0))</f>
        <v/>
      </c>
      <c r="X150" s="49" t="n">
        <f aca="false">'Daily KPI Entry'!X151</f>
        <v>0</v>
      </c>
      <c r="Y150" s="49" t="n">
        <f aca="false">'Daily KPI Entry'!Y151</f>
        <v>0</v>
      </c>
      <c r="Z150" s="49" t="n">
        <f aca="false">'Daily KPI Entry'!Z151</f>
        <v>0</v>
      </c>
      <c r="AA150" s="49" t="n">
        <f aca="false">'Daily KPI Entry'!AA151</f>
        <v>0</v>
      </c>
      <c r="AB150" s="49" t="n">
        <f aca="false">'Daily KPI Entry'!AB151</f>
        <v>0</v>
      </c>
      <c r="AC150" s="49" t="n">
        <f aca="false">'Daily KPI Entry'!AC151</f>
        <v>0</v>
      </c>
      <c r="AD150" s="49" t="n">
        <f aca="false">'Daily KPI Entry'!AD151</f>
        <v>0</v>
      </c>
      <c r="AE150" s="49" t="n">
        <f aca="false">'Daily KPI Entry'!AE151</f>
        <v>0</v>
      </c>
      <c r="AF150" s="47" t="str">
        <f aca="false">IF(O150="","",SUM(X150:AE150))</f>
        <v/>
      </c>
      <c r="AG150" s="49" t="str">
        <f aca="false">IF(O150="","",IFERROR(AF150/O150*1000,0))</f>
        <v/>
      </c>
      <c r="AH150" s="49" t="n">
        <f aca="false">'Daily KPI Entry'!AH151</f>
        <v>0</v>
      </c>
      <c r="AI150" s="49" t="n">
        <f aca="false">'Daily KPI Entry'!AI151</f>
        <v>0</v>
      </c>
      <c r="AJ150" s="49" t="n">
        <f aca="false">'Daily KPI Entry'!AJ151</f>
        <v>0</v>
      </c>
      <c r="AK150" s="47" t="n">
        <f aca="false">'Daily KPI Entry'!AK151</f>
        <v>0</v>
      </c>
      <c r="AL150" s="47" t="n">
        <f aca="false">'Daily KPI Entry'!AL151</f>
        <v>0</v>
      </c>
      <c r="AM150" s="47" t="n">
        <f aca="false">'Daily KPI Entry'!AM151</f>
        <v>0</v>
      </c>
      <c r="AN150" s="49" t="str">
        <f aca="false">IF(P150="","",MIN(120,P150))</f>
        <v/>
      </c>
      <c r="AO150" s="49" t="str">
        <f aca="false">IF(U150="","",MIN(120,U150))</f>
        <v/>
      </c>
      <c r="AP150" s="49" t="str">
        <f aca="false">IF(R150="","",MIN(120,IFERROR(S150/R150*100,0)))</f>
        <v/>
      </c>
      <c r="AQ150" s="49" t="str">
        <f aca="false">IF(W150="","",MIN(120,IF(W150=0,120,100*(INDEX('Standards &amp; Scoring'!$E$5:$E$13,MATCH("Quality / Rejection",'Standards &amp; Scoring'!$A$5:$A$13,0))/W150))))</f>
        <v/>
      </c>
      <c r="AR150" s="49" t="str">
        <f aca="false">IF(AG150="","",MIN(120,IF(AG150=0,120,100*(INDEX('Standards &amp; Scoring'!$E$5:$E$13,MATCH("Fault Control",'Standards &amp; Scoring'!$A$5:$A$13,0))/AG150))))</f>
        <v/>
      </c>
      <c r="AS150" s="49" t="str">
        <f aca="false">IF(O150="","",MIN(120,IF(SUMIFS('Fault &amp; Downtime Entry'!$L$6:$L$1005,'Fault &amp; Downtime Entry'!$E$6:$E$1005,G150,'Fault &amp; Downtime Entry'!$B$6:$B$1005,B150)=0,120,100*(INDEX('Standards &amp; Scoring'!$E$5:$E$13,MATCH("Downtime Control",'Standards &amp; Scoring'!$A$5:$A$13,0))/IFERROR(SUMIFS('Fault &amp; Downtime Entry'!$L$6:$L$1005,'Fault &amp; Downtime Entry'!$E$6:$E$1005,G150,'Fault &amp; Downtime Entry'!$B$6:$B$1005,B150)/O150*1000,999999)))))</f>
        <v/>
      </c>
      <c r="AT150" s="49" t="n">
        <f aca="false">IF(COUNTA(AH150,AJ150)=0,"",MIN(120,IF(AND(AH150&lt;&gt;"",AJ150&lt;&gt;""),AVERAGE(AH150,AJ150),IF(AH150&lt;&gt;"",AH150,AJ150))))</f>
        <v>0</v>
      </c>
      <c r="AU150" s="49" t="str">
        <f aca="false">IF(AI150="","",MIN(120,AI150))</f>
        <v/>
      </c>
      <c r="AV150" s="49" t="str">
        <f aca="false">IF(AJ150="","",MIN(120,AJ150))</f>
        <v/>
      </c>
      <c r="AW150" s="50" t="str">
        <f aca="false">IF(COUNT(AN150:AV150)&lt;9,"",(AN150*'Standards &amp; Scoring'!$D$5+AO150*'Standards &amp; Scoring'!$D$6+AP150*'Standards &amp; Scoring'!$D$7+AQ150*'Standards &amp; Scoring'!$D$8+AR150*'Standards &amp; Scoring'!$D$9+AS150*'Standards &amp; Scoring'!$D$10+AT150*'Standards &amp; Scoring'!$D$11+AU150*'Standards &amp; Scoring'!$D$12+AV150*'Standards &amp; Scoring'!$D$13)/10000)</f>
        <v/>
      </c>
      <c r="AX150" s="47" t="str">
        <f aca="false">IF(AW150="","",IF(AW150&gt;=1.05,"A+",IF(AW150&gt;=1,"A",IF(AW150&gt;=0.95,"B+",IF(AW150&gt;=0.9,"B","C")))))</f>
        <v/>
      </c>
      <c r="AY150" s="47" t="str">
        <f aca="false">IF(AX150="","",IF(AX150="A+",1800,IF(AX150="A",1600,IF(AX150="B+",1400,IF(AX150="B",1200,0)))))</f>
        <v/>
      </c>
      <c r="AZ150" s="49" t="str">
        <f aca="false">IF(OR(L150="",M150="",S150="",M150=0),"",IFERROR(L150*60*S150/(M150*36),0))</f>
        <v/>
      </c>
    </row>
    <row r="151" customFormat="false" ht="15" hidden="false" customHeight="true" outlineLevel="0" collapsed="false">
      <c r="A151" s="47" t="n">
        <f aca="false">'Daily KPI Entry'!A152</f>
        <v>0</v>
      </c>
      <c r="B151" s="48" t="n">
        <f aca="false">'Daily KPI Entry'!B152</f>
        <v>0</v>
      </c>
      <c r="C151" s="47" t="n">
        <f aca="false">'Daily KPI Entry'!C152</f>
        <v>0</v>
      </c>
      <c r="D151" s="47" t="n">
        <f aca="false">'Daily KPI Entry'!D152</f>
        <v>0</v>
      </c>
      <c r="E151" s="47" t="n">
        <f aca="false">'Daily KPI Entry'!E152</f>
        <v>0</v>
      </c>
      <c r="F151" s="47" t="n">
        <f aca="false">'Daily KPI Entry'!F152</f>
        <v>0</v>
      </c>
      <c r="G151" s="47" t="n">
        <f aca="false">'Daily KPI Entry'!G152</f>
        <v>0</v>
      </c>
      <c r="H151" s="47" t="str">
        <f aca="false">'Daily KPI Entry'!H152</f>
        <v/>
      </c>
      <c r="I151" s="47" t="n">
        <f aca="false">'Daily KPI Entry'!I152</f>
        <v>0</v>
      </c>
      <c r="J151" s="47" t="n">
        <f aca="false">'Daily KPI Entry'!J152</f>
        <v>0</v>
      </c>
      <c r="K151" s="47" t="n">
        <f aca="false">'Daily KPI Entry'!K152</f>
        <v>0</v>
      </c>
      <c r="L151" s="47" t="n">
        <f aca="false">'Daily KPI Entry'!L152</f>
        <v>0</v>
      </c>
      <c r="M151" s="47" t="n">
        <f aca="false">'Daily KPI Entry'!M152</f>
        <v>0</v>
      </c>
      <c r="N151" s="49" t="n">
        <f aca="false">'Daily KPI Entry'!N152</f>
        <v>0</v>
      </c>
      <c r="O151" s="49" t="n">
        <f aca="false">'Daily KPI Entry'!O152</f>
        <v>0</v>
      </c>
      <c r="P151" s="49" t="str">
        <f aca="false">IF(OR(N151="",O151=""),"",IFERROR(O151/N151*100,0))</f>
        <v/>
      </c>
      <c r="Q151" s="47" t="n">
        <f aca="false">'Daily KPI Entry'!Q152</f>
        <v>8</v>
      </c>
      <c r="R151" s="47" t="str">
        <f aca="false">IF(J151="","",Q151*J151)</f>
        <v/>
      </c>
      <c r="S151" s="49" t="n">
        <f aca="false">'Daily KPI Entry'!S152</f>
        <v>0</v>
      </c>
      <c r="T151" s="49" t="str">
        <f aca="false">IF(OR(R151="",S151=""),"",IFERROR(S151/R151*100,0))</f>
        <v/>
      </c>
      <c r="U151" s="49" t="str">
        <f aca="false">IF(OR(O151="",L151="",M151="",S151="",M151=0),"",IFERROR(O151/(L151*60*S151/(M151*36))*100,0))</f>
        <v/>
      </c>
      <c r="V151" s="49" t="n">
        <f aca="false">'Daily KPI Entry'!V152</f>
        <v>0</v>
      </c>
      <c r="W151" s="49" t="str">
        <f aca="false">IF(O151="","",IFERROR(V151/O151*100,0))</f>
        <v/>
      </c>
      <c r="X151" s="49" t="n">
        <f aca="false">'Daily KPI Entry'!X152</f>
        <v>0</v>
      </c>
      <c r="Y151" s="49" t="n">
        <f aca="false">'Daily KPI Entry'!Y152</f>
        <v>0</v>
      </c>
      <c r="Z151" s="49" t="n">
        <f aca="false">'Daily KPI Entry'!Z152</f>
        <v>0</v>
      </c>
      <c r="AA151" s="49" t="n">
        <f aca="false">'Daily KPI Entry'!AA152</f>
        <v>0</v>
      </c>
      <c r="AB151" s="49" t="n">
        <f aca="false">'Daily KPI Entry'!AB152</f>
        <v>0</v>
      </c>
      <c r="AC151" s="49" t="n">
        <f aca="false">'Daily KPI Entry'!AC152</f>
        <v>0</v>
      </c>
      <c r="AD151" s="49" t="n">
        <f aca="false">'Daily KPI Entry'!AD152</f>
        <v>0</v>
      </c>
      <c r="AE151" s="49" t="n">
        <f aca="false">'Daily KPI Entry'!AE152</f>
        <v>0</v>
      </c>
      <c r="AF151" s="47" t="str">
        <f aca="false">IF(O151="","",SUM(X151:AE151))</f>
        <v/>
      </c>
      <c r="AG151" s="49" t="str">
        <f aca="false">IF(O151="","",IFERROR(AF151/O151*1000,0))</f>
        <v/>
      </c>
      <c r="AH151" s="49" t="n">
        <f aca="false">'Daily KPI Entry'!AH152</f>
        <v>0</v>
      </c>
      <c r="AI151" s="49" t="n">
        <f aca="false">'Daily KPI Entry'!AI152</f>
        <v>0</v>
      </c>
      <c r="AJ151" s="49" t="n">
        <f aca="false">'Daily KPI Entry'!AJ152</f>
        <v>0</v>
      </c>
      <c r="AK151" s="47" t="n">
        <f aca="false">'Daily KPI Entry'!AK152</f>
        <v>0</v>
      </c>
      <c r="AL151" s="47" t="n">
        <f aca="false">'Daily KPI Entry'!AL152</f>
        <v>0</v>
      </c>
      <c r="AM151" s="47" t="n">
        <f aca="false">'Daily KPI Entry'!AM152</f>
        <v>0</v>
      </c>
      <c r="AN151" s="49" t="str">
        <f aca="false">IF(P151="","",MIN(120,P151))</f>
        <v/>
      </c>
      <c r="AO151" s="49" t="str">
        <f aca="false">IF(U151="","",MIN(120,U151))</f>
        <v/>
      </c>
      <c r="AP151" s="49" t="str">
        <f aca="false">IF(R151="","",MIN(120,IFERROR(S151/R151*100,0)))</f>
        <v/>
      </c>
      <c r="AQ151" s="49" t="str">
        <f aca="false">IF(W151="","",MIN(120,IF(W151=0,120,100*(INDEX('Standards &amp; Scoring'!$E$5:$E$13,MATCH("Quality / Rejection",'Standards &amp; Scoring'!$A$5:$A$13,0))/W151))))</f>
        <v/>
      </c>
      <c r="AR151" s="49" t="str">
        <f aca="false">IF(AG151="","",MIN(120,IF(AG151=0,120,100*(INDEX('Standards &amp; Scoring'!$E$5:$E$13,MATCH("Fault Control",'Standards &amp; Scoring'!$A$5:$A$13,0))/AG151))))</f>
        <v/>
      </c>
      <c r="AS151" s="49" t="str">
        <f aca="false">IF(O151="","",MIN(120,IF(SUMIFS('Fault &amp; Downtime Entry'!$L$6:$L$1005,'Fault &amp; Downtime Entry'!$E$6:$E$1005,G151,'Fault &amp; Downtime Entry'!$B$6:$B$1005,B151)=0,120,100*(INDEX('Standards &amp; Scoring'!$E$5:$E$13,MATCH("Downtime Control",'Standards &amp; Scoring'!$A$5:$A$13,0))/IFERROR(SUMIFS('Fault &amp; Downtime Entry'!$L$6:$L$1005,'Fault &amp; Downtime Entry'!$E$6:$E$1005,G151,'Fault &amp; Downtime Entry'!$B$6:$B$1005,B151)/O151*1000,999999)))))</f>
        <v/>
      </c>
      <c r="AT151" s="49" t="n">
        <f aca="false">IF(COUNTA(AH151,AJ151)=0,"",MIN(120,IF(AND(AH151&lt;&gt;"",AJ151&lt;&gt;""),AVERAGE(AH151,AJ151),IF(AH151&lt;&gt;"",AH151,AJ151))))</f>
        <v>0</v>
      </c>
      <c r="AU151" s="49" t="str">
        <f aca="false">IF(AI151="","",MIN(120,AI151))</f>
        <v/>
      </c>
      <c r="AV151" s="49" t="str">
        <f aca="false">IF(AJ151="","",MIN(120,AJ151))</f>
        <v/>
      </c>
      <c r="AW151" s="50" t="str">
        <f aca="false">IF(COUNT(AN151:AV151)&lt;9,"",(AN151*'Standards &amp; Scoring'!$D$5+AO151*'Standards &amp; Scoring'!$D$6+AP151*'Standards &amp; Scoring'!$D$7+AQ151*'Standards &amp; Scoring'!$D$8+AR151*'Standards &amp; Scoring'!$D$9+AS151*'Standards &amp; Scoring'!$D$10+AT151*'Standards &amp; Scoring'!$D$11+AU151*'Standards &amp; Scoring'!$D$12+AV151*'Standards &amp; Scoring'!$D$13)/10000)</f>
        <v/>
      </c>
      <c r="AX151" s="47" t="str">
        <f aca="false">IF(AW151="","",IF(AW151&gt;=1.05,"A+",IF(AW151&gt;=1,"A",IF(AW151&gt;=0.95,"B+",IF(AW151&gt;=0.9,"B","C")))))</f>
        <v/>
      </c>
      <c r="AY151" s="47" t="str">
        <f aca="false">IF(AX151="","",IF(AX151="A+",1800,IF(AX151="A",1600,IF(AX151="B+",1400,IF(AX151="B",1200,0)))))</f>
        <v/>
      </c>
      <c r="AZ151" s="49" t="str">
        <f aca="false">IF(OR(L151="",M151="",S151="",M151=0),"",IFERROR(L151*60*S151/(M151*36),0))</f>
        <v/>
      </c>
    </row>
    <row r="152" customFormat="false" ht="15" hidden="false" customHeight="true" outlineLevel="0" collapsed="false">
      <c r="A152" s="47" t="n">
        <f aca="false">'Daily KPI Entry'!A153</f>
        <v>0</v>
      </c>
      <c r="B152" s="48" t="n">
        <f aca="false">'Daily KPI Entry'!B153</f>
        <v>0</v>
      </c>
      <c r="C152" s="47" t="n">
        <f aca="false">'Daily KPI Entry'!C153</f>
        <v>0</v>
      </c>
      <c r="D152" s="47" t="n">
        <f aca="false">'Daily KPI Entry'!D153</f>
        <v>0</v>
      </c>
      <c r="E152" s="47" t="n">
        <f aca="false">'Daily KPI Entry'!E153</f>
        <v>0</v>
      </c>
      <c r="F152" s="47" t="n">
        <f aca="false">'Daily KPI Entry'!F153</f>
        <v>0</v>
      </c>
      <c r="G152" s="47" t="n">
        <f aca="false">'Daily KPI Entry'!G153</f>
        <v>0</v>
      </c>
      <c r="H152" s="47" t="str">
        <f aca="false">'Daily KPI Entry'!H153</f>
        <v/>
      </c>
      <c r="I152" s="47" t="n">
        <f aca="false">'Daily KPI Entry'!I153</f>
        <v>0</v>
      </c>
      <c r="J152" s="47" t="n">
        <f aca="false">'Daily KPI Entry'!J153</f>
        <v>0</v>
      </c>
      <c r="K152" s="47" t="n">
        <f aca="false">'Daily KPI Entry'!K153</f>
        <v>0</v>
      </c>
      <c r="L152" s="47" t="n">
        <f aca="false">'Daily KPI Entry'!L153</f>
        <v>0</v>
      </c>
      <c r="M152" s="47" t="n">
        <f aca="false">'Daily KPI Entry'!M153</f>
        <v>0</v>
      </c>
      <c r="N152" s="49" t="n">
        <f aca="false">'Daily KPI Entry'!N153</f>
        <v>0</v>
      </c>
      <c r="O152" s="49" t="n">
        <f aca="false">'Daily KPI Entry'!O153</f>
        <v>0</v>
      </c>
      <c r="P152" s="49" t="str">
        <f aca="false">IF(OR(N152="",O152=""),"",IFERROR(O152/N152*100,0))</f>
        <v/>
      </c>
      <c r="Q152" s="47" t="n">
        <f aca="false">'Daily KPI Entry'!Q153</f>
        <v>8</v>
      </c>
      <c r="R152" s="47" t="str">
        <f aca="false">IF(J152="","",Q152*J152)</f>
        <v/>
      </c>
      <c r="S152" s="49" t="n">
        <f aca="false">'Daily KPI Entry'!S153</f>
        <v>0</v>
      </c>
      <c r="T152" s="49" t="str">
        <f aca="false">IF(OR(R152="",S152=""),"",IFERROR(S152/R152*100,0))</f>
        <v/>
      </c>
      <c r="U152" s="49" t="str">
        <f aca="false">IF(OR(O152="",L152="",M152="",S152="",M152=0),"",IFERROR(O152/(L152*60*S152/(M152*36))*100,0))</f>
        <v/>
      </c>
      <c r="V152" s="49" t="n">
        <f aca="false">'Daily KPI Entry'!V153</f>
        <v>0</v>
      </c>
      <c r="W152" s="49" t="str">
        <f aca="false">IF(O152="","",IFERROR(V152/O152*100,0))</f>
        <v/>
      </c>
      <c r="X152" s="49" t="n">
        <f aca="false">'Daily KPI Entry'!X153</f>
        <v>0</v>
      </c>
      <c r="Y152" s="49" t="n">
        <f aca="false">'Daily KPI Entry'!Y153</f>
        <v>0</v>
      </c>
      <c r="Z152" s="49" t="n">
        <f aca="false">'Daily KPI Entry'!Z153</f>
        <v>0</v>
      </c>
      <c r="AA152" s="49" t="n">
        <f aca="false">'Daily KPI Entry'!AA153</f>
        <v>0</v>
      </c>
      <c r="AB152" s="49" t="n">
        <f aca="false">'Daily KPI Entry'!AB153</f>
        <v>0</v>
      </c>
      <c r="AC152" s="49" t="n">
        <f aca="false">'Daily KPI Entry'!AC153</f>
        <v>0</v>
      </c>
      <c r="AD152" s="49" t="n">
        <f aca="false">'Daily KPI Entry'!AD153</f>
        <v>0</v>
      </c>
      <c r="AE152" s="49" t="n">
        <f aca="false">'Daily KPI Entry'!AE153</f>
        <v>0</v>
      </c>
      <c r="AF152" s="47" t="str">
        <f aca="false">IF(O152="","",SUM(X152:AE152))</f>
        <v/>
      </c>
      <c r="AG152" s="49" t="str">
        <f aca="false">IF(O152="","",IFERROR(AF152/O152*1000,0))</f>
        <v/>
      </c>
      <c r="AH152" s="49" t="n">
        <f aca="false">'Daily KPI Entry'!AH153</f>
        <v>0</v>
      </c>
      <c r="AI152" s="49" t="n">
        <f aca="false">'Daily KPI Entry'!AI153</f>
        <v>0</v>
      </c>
      <c r="AJ152" s="49" t="n">
        <f aca="false">'Daily KPI Entry'!AJ153</f>
        <v>0</v>
      </c>
      <c r="AK152" s="47" t="n">
        <f aca="false">'Daily KPI Entry'!AK153</f>
        <v>0</v>
      </c>
      <c r="AL152" s="47" t="n">
        <f aca="false">'Daily KPI Entry'!AL153</f>
        <v>0</v>
      </c>
      <c r="AM152" s="47" t="n">
        <f aca="false">'Daily KPI Entry'!AM153</f>
        <v>0</v>
      </c>
      <c r="AN152" s="49" t="str">
        <f aca="false">IF(P152="","",MIN(120,P152))</f>
        <v/>
      </c>
      <c r="AO152" s="49" t="str">
        <f aca="false">IF(U152="","",MIN(120,U152))</f>
        <v/>
      </c>
      <c r="AP152" s="49" t="str">
        <f aca="false">IF(R152="","",MIN(120,IFERROR(S152/R152*100,0)))</f>
        <v/>
      </c>
      <c r="AQ152" s="49" t="str">
        <f aca="false">IF(W152="","",MIN(120,IF(W152=0,120,100*(INDEX('Standards &amp; Scoring'!$E$5:$E$13,MATCH("Quality / Rejection",'Standards &amp; Scoring'!$A$5:$A$13,0))/W152))))</f>
        <v/>
      </c>
      <c r="AR152" s="49" t="str">
        <f aca="false">IF(AG152="","",MIN(120,IF(AG152=0,120,100*(INDEX('Standards &amp; Scoring'!$E$5:$E$13,MATCH("Fault Control",'Standards &amp; Scoring'!$A$5:$A$13,0))/AG152))))</f>
        <v/>
      </c>
      <c r="AS152" s="49" t="str">
        <f aca="false">IF(O152="","",MIN(120,IF(SUMIFS('Fault &amp; Downtime Entry'!$L$6:$L$1005,'Fault &amp; Downtime Entry'!$E$6:$E$1005,G152,'Fault &amp; Downtime Entry'!$B$6:$B$1005,B152)=0,120,100*(INDEX('Standards &amp; Scoring'!$E$5:$E$13,MATCH("Downtime Control",'Standards &amp; Scoring'!$A$5:$A$13,0))/IFERROR(SUMIFS('Fault &amp; Downtime Entry'!$L$6:$L$1005,'Fault &amp; Downtime Entry'!$E$6:$E$1005,G152,'Fault &amp; Downtime Entry'!$B$6:$B$1005,B152)/O152*1000,999999)))))</f>
        <v/>
      </c>
      <c r="AT152" s="49" t="n">
        <f aca="false">IF(COUNTA(AH152,AJ152)=0,"",MIN(120,IF(AND(AH152&lt;&gt;"",AJ152&lt;&gt;""),AVERAGE(AH152,AJ152),IF(AH152&lt;&gt;"",AH152,AJ152))))</f>
        <v>0</v>
      </c>
      <c r="AU152" s="49" t="str">
        <f aca="false">IF(AI152="","",MIN(120,AI152))</f>
        <v/>
      </c>
      <c r="AV152" s="49" t="str">
        <f aca="false">IF(AJ152="","",MIN(120,AJ152))</f>
        <v/>
      </c>
      <c r="AW152" s="50" t="str">
        <f aca="false">IF(COUNT(AN152:AV152)&lt;9,"",(AN152*'Standards &amp; Scoring'!$D$5+AO152*'Standards &amp; Scoring'!$D$6+AP152*'Standards &amp; Scoring'!$D$7+AQ152*'Standards &amp; Scoring'!$D$8+AR152*'Standards &amp; Scoring'!$D$9+AS152*'Standards &amp; Scoring'!$D$10+AT152*'Standards &amp; Scoring'!$D$11+AU152*'Standards &amp; Scoring'!$D$12+AV152*'Standards &amp; Scoring'!$D$13)/10000)</f>
        <v/>
      </c>
      <c r="AX152" s="47" t="str">
        <f aca="false">IF(AW152="","",IF(AW152&gt;=1.05,"A+",IF(AW152&gt;=1,"A",IF(AW152&gt;=0.95,"B+",IF(AW152&gt;=0.9,"B","C")))))</f>
        <v/>
      </c>
      <c r="AY152" s="47" t="str">
        <f aca="false">IF(AX152="","",IF(AX152="A+",1800,IF(AX152="A",1600,IF(AX152="B+",1400,IF(AX152="B",1200,0)))))</f>
        <v/>
      </c>
      <c r="AZ152" s="49" t="str">
        <f aca="false">IF(OR(L152="",M152="",S152="",M152=0),"",IFERROR(L152*60*S152/(M152*36),0))</f>
        <v/>
      </c>
    </row>
    <row r="153" customFormat="false" ht="15" hidden="false" customHeight="true" outlineLevel="0" collapsed="false">
      <c r="A153" s="47" t="n">
        <f aca="false">'Daily KPI Entry'!A154</f>
        <v>0</v>
      </c>
      <c r="B153" s="48" t="n">
        <f aca="false">'Daily KPI Entry'!B154</f>
        <v>0</v>
      </c>
      <c r="C153" s="47" t="n">
        <f aca="false">'Daily KPI Entry'!C154</f>
        <v>0</v>
      </c>
      <c r="D153" s="47" t="n">
        <f aca="false">'Daily KPI Entry'!D154</f>
        <v>0</v>
      </c>
      <c r="E153" s="47" t="n">
        <f aca="false">'Daily KPI Entry'!E154</f>
        <v>0</v>
      </c>
      <c r="F153" s="47" t="n">
        <f aca="false">'Daily KPI Entry'!F154</f>
        <v>0</v>
      </c>
      <c r="G153" s="47" t="n">
        <f aca="false">'Daily KPI Entry'!G154</f>
        <v>0</v>
      </c>
      <c r="H153" s="47" t="str">
        <f aca="false">'Daily KPI Entry'!H154</f>
        <v/>
      </c>
      <c r="I153" s="47" t="n">
        <f aca="false">'Daily KPI Entry'!I154</f>
        <v>0</v>
      </c>
      <c r="J153" s="47" t="n">
        <f aca="false">'Daily KPI Entry'!J154</f>
        <v>0</v>
      </c>
      <c r="K153" s="47" t="n">
        <f aca="false">'Daily KPI Entry'!K154</f>
        <v>0</v>
      </c>
      <c r="L153" s="47" t="n">
        <f aca="false">'Daily KPI Entry'!L154</f>
        <v>0</v>
      </c>
      <c r="M153" s="47" t="n">
        <f aca="false">'Daily KPI Entry'!M154</f>
        <v>0</v>
      </c>
      <c r="N153" s="49" t="n">
        <f aca="false">'Daily KPI Entry'!N154</f>
        <v>0</v>
      </c>
      <c r="O153" s="49" t="n">
        <f aca="false">'Daily KPI Entry'!O154</f>
        <v>0</v>
      </c>
      <c r="P153" s="49" t="str">
        <f aca="false">IF(OR(N153="",O153=""),"",IFERROR(O153/N153*100,0))</f>
        <v/>
      </c>
      <c r="Q153" s="47" t="n">
        <f aca="false">'Daily KPI Entry'!Q154</f>
        <v>8</v>
      </c>
      <c r="R153" s="47" t="str">
        <f aca="false">IF(J153="","",Q153*J153)</f>
        <v/>
      </c>
      <c r="S153" s="49" t="n">
        <f aca="false">'Daily KPI Entry'!S154</f>
        <v>0</v>
      </c>
      <c r="T153" s="49" t="str">
        <f aca="false">IF(OR(R153="",S153=""),"",IFERROR(S153/R153*100,0))</f>
        <v/>
      </c>
      <c r="U153" s="49" t="str">
        <f aca="false">IF(OR(O153="",L153="",M153="",S153="",M153=0),"",IFERROR(O153/(L153*60*S153/(M153*36))*100,0))</f>
        <v/>
      </c>
      <c r="V153" s="49" t="n">
        <f aca="false">'Daily KPI Entry'!V154</f>
        <v>0</v>
      </c>
      <c r="W153" s="49" t="str">
        <f aca="false">IF(O153="","",IFERROR(V153/O153*100,0))</f>
        <v/>
      </c>
      <c r="X153" s="49" t="n">
        <f aca="false">'Daily KPI Entry'!X154</f>
        <v>0</v>
      </c>
      <c r="Y153" s="49" t="n">
        <f aca="false">'Daily KPI Entry'!Y154</f>
        <v>0</v>
      </c>
      <c r="Z153" s="49" t="n">
        <f aca="false">'Daily KPI Entry'!Z154</f>
        <v>0</v>
      </c>
      <c r="AA153" s="49" t="n">
        <f aca="false">'Daily KPI Entry'!AA154</f>
        <v>0</v>
      </c>
      <c r="AB153" s="49" t="n">
        <f aca="false">'Daily KPI Entry'!AB154</f>
        <v>0</v>
      </c>
      <c r="AC153" s="49" t="n">
        <f aca="false">'Daily KPI Entry'!AC154</f>
        <v>0</v>
      </c>
      <c r="AD153" s="49" t="n">
        <f aca="false">'Daily KPI Entry'!AD154</f>
        <v>0</v>
      </c>
      <c r="AE153" s="49" t="n">
        <f aca="false">'Daily KPI Entry'!AE154</f>
        <v>0</v>
      </c>
      <c r="AF153" s="47" t="str">
        <f aca="false">IF(O153="","",SUM(X153:AE153))</f>
        <v/>
      </c>
      <c r="AG153" s="49" t="str">
        <f aca="false">IF(O153="","",IFERROR(AF153/O153*1000,0))</f>
        <v/>
      </c>
      <c r="AH153" s="49" t="n">
        <f aca="false">'Daily KPI Entry'!AH154</f>
        <v>0</v>
      </c>
      <c r="AI153" s="49" t="n">
        <f aca="false">'Daily KPI Entry'!AI154</f>
        <v>0</v>
      </c>
      <c r="AJ153" s="49" t="n">
        <f aca="false">'Daily KPI Entry'!AJ154</f>
        <v>0</v>
      </c>
      <c r="AK153" s="47" t="n">
        <f aca="false">'Daily KPI Entry'!AK154</f>
        <v>0</v>
      </c>
      <c r="AL153" s="47" t="n">
        <f aca="false">'Daily KPI Entry'!AL154</f>
        <v>0</v>
      </c>
      <c r="AM153" s="47" t="n">
        <f aca="false">'Daily KPI Entry'!AM154</f>
        <v>0</v>
      </c>
      <c r="AN153" s="49" t="str">
        <f aca="false">IF(P153="","",MIN(120,P153))</f>
        <v/>
      </c>
      <c r="AO153" s="49" t="str">
        <f aca="false">IF(U153="","",MIN(120,U153))</f>
        <v/>
      </c>
      <c r="AP153" s="49" t="str">
        <f aca="false">IF(R153="","",MIN(120,IFERROR(S153/R153*100,0)))</f>
        <v/>
      </c>
      <c r="AQ153" s="49" t="str">
        <f aca="false">IF(W153="","",MIN(120,IF(W153=0,120,100*(INDEX('Standards &amp; Scoring'!$E$5:$E$13,MATCH("Quality / Rejection",'Standards &amp; Scoring'!$A$5:$A$13,0))/W153))))</f>
        <v/>
      </c>
      <c r="AR153" s="49" t="str">
        <f aca="false">IF(AG153="","",MIN(120,IF(AG153=0,120,100*(INDEX('Standards &amp; Scoring'!$E$5:$E$13,MATCH("Fault Control",'Standards &amp; Scoring'!$A$5:$A$13,0))/AG153))))</f>
        <v/>
      </c>
      <c r="AS153" s="49" t="str">
        <f aca="false">IF(O153="","",MIN(120,IF(SUMIFS('Fault &amp; Downtime Entry'!$L$6:$L$1005,'Fault &amp; Downtime Entry'!$E$6:$E$1005,G153,'Fault &amp; Downtime Entry'!$B$6:$B$1005,B153)=0,120,100*(INDEX('Standards &amp; Scoring'!$E$5:$E$13,MATCH("Downtime Control",'Standards &amp; Scoring'!$A$5:$A$13,0))/IFERROR(SUMIFS('Fault &amp; Downtime Entry'!$L$6:$L$1005,'Fault &amp; Downtime Entry'!$E$6:$E$1005,G153,'Fault &amp; Downtime Entry'!$B$6:$B$1005,B153)/O153*1000,999999)))))</f>
        <v/>
      </c>
      <c r="AT153" s="49" t="n">
        <f aca="false">IF(COUNTA(AH153,AJ153)=0,"",MIN(120,IF(AND(AH153&lt;&gt;"",AJ153&lt;&gt;""),AVERAGE(AH153,AJ153),IF(AH153&lt;&gt;"",AH153,AJ153))))</f>
        <v>0</v>
      </c>
      <c r="AU153" s="49" t="str">
        <f aca="false">IF(AI153="","",MIN(120,AI153))</f>
        <v/>
      </c>
      <c r="AV153" s="49" t="str">
        <f aca="false">IF(AJ153="","",MIN(120,AJ153))</f>
        <v/>
      </c>
      <c r="AW153" s="50" t="str">
        <f aca="false">IF(COUNT(AN153:AV153)&lt;9,"",(AN153*'Standards &amp; Scoring'!$D$5+AO153*'Standards &amp; Scoring'!$D$6+AP153*'Standards &amp; Scoring'!$D$7+AQ153*'Standards &amp; Scoring'!$D$8+AR153*'Standards &amp; Scoring'!$D$9+AS153*'Standards &amp; Scoring'!$D$10+AT153*'Standards &amp; Scoring'!$D$11+AU153*'Standards &amp; Scoring'!$D$12+AV153*'Standards &amp; Scoring'!$D$13)/10000)</f>
        <v/>
      </c>
      <c r="AX153" s="47" t="str">
        <f aca="false">IF(AW153="","",IF(AW153&gt;=1.05,"A+",IF(AW153&gt;=1,"A",IF(AW153&gt;=0.95,"B+",IF(AW153&gt;=0.9,"B","C")))))</f>
        <v/>
      </c>
      <c r="AY153" s="47" t="str">
        <f aca="false">IF(AX153="","",IF(AX153="A+",1800,IF(AX153="A",1600,IF(AX153="B+",1400,IF(AX153="B",1200,0)))))</f>
        <v/>
      </c>
      <c r="AZ153" s="49" t="str">
        <f aca="false">IF(OR(L153="",M153="",S153="",M153=0),"",IFERROR(L153*60*S153/(M153*36),0))</f>
        <v/>
      </c>
    </row>
    <row r="154" customFormat="false" ht="15" hidden="false" customHeight="true" outlineLevel="0" collapsed="false">
      <c r="A154" s="47" t="n">
        <f aca="false">'Daily KPI Entry'!A155</f>
        <v>0</v>
      </c>
      <c r="B154" s="48" t="n">
        <f aca="false">'Daily KPI Entry'!B155</f>
        <v>0</v>
      </c>
      <c r="C154" s="47" t="n">
        <f aca="false">'Daily KPI Entry'!C155</f>
        <v>0</v>
      </c>
      <c r="D154" s="47" t="n">
        <f aca="false">'Daily KPI Entry'!D155</f>
        <v>0</v>
      </c>
      <c r="E154" s="47" t="n">
        <f aca="false">'Daily KPI Entry'!E155</f>
        <v>0</v>
      </c>
      <c r="F154" s="47" t="n">
        <f aca="false">'Daily KPI Entry'!F155</f>
        <v>0</v>
      </c>
      <c r="G154" s="47" t="n">
        <f aca="false">'Daily KPI Entry'!G155</f>
        <v>0</v>
      </c>
      <c r="H154" s="47" t="str">
        <f aca="false">'Daily KPI Entry'!H155</f>
        <v/>
      </c>
      <c r="I154" s="47" t="n">
        <f aca="false">'Daily KPI Entry'!I155</f>
        <v>0</v>
      </c>
      <c r="J154" s="47" t="n">
        <f aca="false">'Daily KPI Entry'!J155</f>
        <v>0</v>
      </c>
      <c r="K154" s="47" t="n">
        <f aca="false">'Daily KPI Entry'!K155</f>
        <v>0</v>
      </c>
      <c r="L154" s="47" t="n">
        <f aca="false">'Daily KPI Entry'!L155</f>
        <v>0</v>
      </c>
      <c r="M154" s="47" t="n">
        <f aca="false">'Daily KPI Entry'!M155</f>
        <v>0</v>
      </c>
      <c r="N154" s="49" t="n">
        <f aca="false">'Daily KPI Entry'!N155</f>
        <v>0</v>
      </c>
      <c r="O154" s="49" t="n">
        <f aca="false">'Daily KPI Entry'!O155</f>
        <v>0</v>
      </c>
      <c r="P154" s="49" t="str">
        <f aca="false">IF(OR(N154="",O154=""),"",IFERROR(O154/N154*100,0))</f>
        <v/>
      </c>
      <c r="Q154" s="47" t="n">
        <f aca="false">'Daily KPI Entry'!Q155</f>
        <v>8</v>
      </c>
      <c r="R154" s="47" t="str">
        <f aca="false">IF(J154="","",Q154*J154)</f>
        <v/>
      </c>
      <c r="S154" s="49" t="n">
        <f aca="false">'Daily KPI Entry'!S155</f>
        <v>0</v>
      </c>
      <c r="T154" s="49" t="str">
        <f aca="false">IF(OR(R154="",S154=""),"",IFERROR(S154/R154*100,0))</f>
        <v/>
      </c>
      <c r="U154" s="49" t="str">
        <f aca="false">IF(OR(O154="",L154="",M154="",S154="",M154=0),"",IFERROR(O154/(L154*60*S154/(M154*36))*100,0))</f>
        <v/>
      </c>
      <c r="V154" s="49" t="n">
        <f aca="false">'Daily KPI Entry'!V155</f>
        <v>0</v>
      </c>
      <c r="W154" s="49" t="str">
        <f aca="false">IF(O154="","",IFERROR(V154/O154*100,0))</f>
        <v/>
      </c>
      <c r="X154" s="49" t="n">
        <f aca="false">'Daily KPI Entry'!X155</f>
        <v>0</v>
      </c>
      <c r="Y154" s="49" t="n">
        <f aca="false">'Daily KPI Entry'!Y155</f>
        <v>0</v>
      </c>
      <c r="Z154" s="49" t="n">
        <f aca="false">'Daily KPI Entry'!Z155</f>
        <v>0</v>
      </c>
      <c r="AA154" s="49" t="n">
        <f aca="false">'Daily KPI Entry'!AA155</f>
        <v>0</v>
      </c>
      <c r="AB154" s="49" t="n">
        <f aca="false">'Daily KPI Entry'!AB155</f>
        <v>0</v>
      </c>
      <c r="AC154" s="49" t="n">
        <f aca="false">'Daily KPI Entry'!AC155</f>
        <v>0</v>
      </c>
      <c r="AD154" s="49" t="n">
        <f aca="false">'Daily KPI Entry'!AD155</f>
        <v>0</v>
      </c>
      <c r="AE154" s="49" t="n">
        <f aca="false">'Daily KPI Entry'!AE155</f>
        <v>0</v>
      </c>
      <c r="AF154" s="47" t="str">
        <f aca="false">IF(O154="","",SUM(X154:AE154))</f>
        <v/>
      </c>
      <c r="AG154" s="49" t="str">
        <f aca="false">IF(O154="","",IFERROR(AF154/O154*1000,0))</f>
        <v/>
      </c>
      <c r="AH154" s="49" t="n">
        <f aca="false">'Daily KPI Entry'!AH155</f>
        <v>0</v>
      </c>
      <c r="AI154" s="49" t="n">
        <f aca="false">'Daily KPI Entry'!AI155</f>
        <v>0</v>
      </c>
      <c r="AJ154" s="49" t="n">
        <f aca="false">'Daily KPI Entry'!AJ155</f>
        <v>0</v>
      </c>
      <c r="AK154" s="47" t="n">
        <f aca="false">'Daily KPI Entry'!AK155</f>
        <v>0</v>
      </c>
      <c r="AL154" s="47" t="n">
        <f aca="false">'Daily KPI Entry'!AL155</f>
        <v>0</v>
      </c>
      <c r="AM154" s="47" t="n">
        <f aca="false">'Daily KPI Entry'!AM155</f>
        <v>0</v>
      </c>
      <c r="AN154" s="49" t="str">
        <f aca="false">IF(P154="","",MIN(120,P154))</f>
        <v/>
      </c>
      <c r="AO154" s="49" t="str">
        <f aca="false">IF(U154="","",MIN(120,U154))</f>
        <v/>
      </c>
      <c r="AP154" s="49" t="str">
        <f aca="false">IF(R154="","",MIN(120,IFERROR(S154/R154*100,0)))</f>
        <v/>
      </c>
      <c r="AQ154" s="49" t="str">
        <f aca="false">IF(W154="","",MIN(120,IF(W154=0,120,100*(INDEX('Standards &amp; Scoring'!$E$5:$E$13,MATCH("Quality / Rejection",'Standards &amp; Scoring'!$A$5:$A$13,0))/W154))))</f>
        <v/>
      </c>
      <c r="AR154" s="49" t="str">
        <f aca="false">IF(AG154="","",MIN(120,IF(AG154=0,120,100*(INDEX('Standards &amp; Scoring'!$E$5:$E$13,MATCH("Fault Control",'Standards &amp; Scoring'!$A$5:$A$13,0))/AG154))))</f>
        <v/>
      </c>
      <c r="AS154" s="49" t="str">
        <f aca="false">IF(O154="","",MIN(120,IF(SUMIFS('Fault &amp; Downtime Entry'!$L$6:$L$1005,'Fault &amp; Downtime Entry'!$E$6:$E$1005,G154,'Fault &amp; Downtime Entry'!$B$6:$B$1005,B154)=0,120,100*(INDEX('Standards &amp; Scoring'!$E$5:$E$13,MATCH("Downtime Control",'Standards &amp; Scoring'!$A$5:$A$13,0))/IFERROR(SUMIFS('Fault &amp; Downtime Entry'!$L$6:$L$1005,'Fault &amp; Downtime Entry'!$E$6:$E$1005,G154,'Fault &amp; Downtime Entry'!$B$6:$B$1005,B154)/O154*1000,999999)))))</f>
        <v/>
      </c>
      <c r="AT154" s="49" t="n">
        <f aca="false">IF(COUNTA(AH154,AJ154)=0,"",MIN(120,IF(AND(AH154&lt;&gt;"",AJ154&lt;&gt;""),AVERAGE(AH154,AJ154),IF(AH154&lt;&gt;"",AH154,AJ154))))</f>
        <v>0</v>
      </c>
      <c r="AU154" s="49" t="str">
        <f aca="false">IF(AI154="","",MIN(120,AI154))</f>
        <v/>
      </c>
      <c r="AV154" s="49" t="str">
        <f aca="false">IF(AJ154="","",MIN(120,AJ154))</f>
        <v/>
      </c>
      <c r="AW154" s="50" t="str">
        <f aca="false">IF(COUNT(AN154:AV154)&lt;9,"",(AN154*'Standards &amp; Scoring'!$D$5+AO154*'Standards &amp; Scoring'!$D$6+AP154*'Standards &amp; Scoring'!$D$7+AQ154*'Standards &amp; Scoring'!$D$8+AR154*'Standards &amp; Scoring'!$D$9+AS154*'Standards &amp; Scoring'!$D$10+AT154*'Standards &amp; Scoring'!$D$11+AU154*'Standards &amp; Scoring'!$D$12+AV154*'Standards &amp; Scoring'!$D$13)/10000)</f>
        <v/>
      </c>
      <c r="AX154" s="47" t="str">
        <f aca="false">IF(AW154="","",IF(AW154&gt;=1.05,"A+",IF(AW154&gt;=1,"A",IF(AW154&gt;=0.95,"B+",IF(AW154&gt;=0.9,"B","C")))))</f>
        <v/>
      </c>
      <c r="AY154" s="47" t="str">
        <f aca="false">IF(AX154="","",IF(AX154="A+",1800,IF(AX154="A",1600,IF(AX154="B+",1400,IF(AX154="B",1200,0)))))</f>
        <v/>
      </c>
      <c r="AZ154" s="49" t="str">
        <f aca="false">IF(OR(L154="",M154="",S154="",M154=0),"",IFERROR(L154*60*S154/(M154*36),0))</f>
        <v/>
      </c>
    </row>
    <row r="155" customFormat="false" ht="15" hidden="false" customHeight="true" outlineLevel="0" collapsed="false">
      <c r="A155" s="47" t="n">
        <f aca="false">'Daily KPI Entry'!A156</f>
        <v>0</v>
      </c>
      <c r="B155" s="48" t="n">
        <f aca="false">'Daily KPI Entry'!B156</f>
        <v>0</v>
      </c>
      <c r="C155" s="47" t="n">
        <f aca="false">'Daily KPI Entry'!C156</f>
        <v>0</v>
      </c>
      <c r="D155" s="47" t="n">
        <f aca="false">'Daily KPI Entry'!D156</f>
        <v>0</v>
      </c>
      <c r="E155" s="47" t="n">
        <f aca="false">'Daily KPI Entry'!E156</f>
        <v>0</v>
      </c>
      <c r="F155" s="47" t="n">
        <f aca="false">'Daily KPI Entry'!F156</f>
        <v>0</v>
      </c>
      <c r="G155" s="47" t="n">
        <f aca="false">'Daily KPI Entry'!G156</f>
        <v>0</v>
      </c>
      <c r="H155" s="47" t="str">
        <f aca="false">'Daily KPI Entry'!H156</f>
        <v/>
      </c>
      <c r="I155" s="47" t="n">
        <f aca="false">'Daily KPI Entry'!I156</f>
        <v>0</v>
      </c>
      <c r="J155" s="47" t="n">
        <f aca="false">'Daily KPI Entry'!J156</f>
        <v>0</v>
      </c>
      <c r="K155" s="47" t="n">
        <f aca="false">'Daily KPI Entry'!K156</f>
        <v>0</v>
      </c>
      <c r="L155" s="47" t="n">
        <f aca="false">'Daily KPI Entry'!L156</f>
        <v>0</v>
      </c>
      <c r="M155" s="47" t="n">
        <f aca="false">'Daily KPI Entry'!M156</f>
        <v>0</v>
      </c>
      <c r="N155" s="49" t="n">
        <f aca="false">'Daily KPI Entry'!N156</f>
        <v>0</v>
      </c>
      <c r="O155" s="49" t="n">
        <f aca="false">'Daily KPI Entry'!O156</f>
        <v>0</v>
      </c>
      <c r="P155" s="49" t="str">
        <f aca="false">IF(OR(N155="",O155=""),"",IFERROR(O155/N155*100,0))</f>
        <v/>
      </c>
      <c r="Q155" s="47" t="n">
        <f aca="false">'Daily KPI Entry'!Q156</f>
        <v>8</v>
      </c>
      <c r="R155" s="47" t="str">
        <f aca="false">IF(J155="","",Q155*J155)</f>
        <v/>
      </c>
      <c r="S155" s="49" t="n">
        <f aca="false">'Daily KPI Entry'!S156</f>
        <v>0</v>
      </c>
      <c r="T155" s="49" t="str">
        <f aca="false">IF(OR(R155="",S155=""),"",IFERROR(S155/R155*100,0))</f>
        <v/>
      </c>
      <c r="U155" s="49" t="str">
        <f aca="false">IF(OR(O155="",L155="",M155="",S155="",M155=0),"",IFERROR(O155/(L155*60*S155/(M155*36))*100,0))</f>
        <v/>
      </c>
      <c r="V155" s="49" t="n">
        <f aca="false">'Daily KPI Entry'!V156</f>
        <v>0</v>
      </c>
      <c r="W155" s="49" t="str">
        <f aca="false">IF(O155="","",IFERROR(V155/O155*100,0))</f>
        <v/>
      </c>
      <c r="X155" s="49" t="n">
        <f aca="false">'Daily KPI Entry'!X156</f>
        <v>0</v>
      </c>
      <c r="Y155" s="49" t="n">
        <f aca="false">'Daily KPI Entry'!Y156</f>
        <v>0</v>
      </c>
      <c r="Z155" s="49" t="n">
        <f aca="false">'Daily KPI Entry'!Z156</f>
        <v>0</v>
      </c>
      <c r="AA155" s="49" t="n">
        <f aca="false">'Daily KPI Entry'!AA156</f>
        <v>0</v>
      </c>
      <c r="AB155" s="49" t="n">
        <f aca="false">'Daily KPI Entry'!AB156</f>
        <v>0</v>
      </c>
      <c r="AC155" s="49" t="n">
        <f aca="false">'Daily KPI Entry'!AC156</f>
        <v>0</v>
      </c>
      <c r="AD155" s="49" t="n">
        <f aca="false">'Daily KPI Entry'!AD156</f>
        <v>0</v>
      </c>
      <c r="AE155" s="49" t="n">
        <f aca="false">'Daily KPI Entry'!AE156</f>
        <v>0</v>
      </c>
      <c r="AF155" s="47" t="str">
        <f aca="false">IF(O155="","",SUM(X155:AE155))</f>
        <v/>
      </c>
      <c r="AG155" s="49" t="str">
        <f aca="false">IF(O155="","",IFERROR(AF155/O155*1000,0))</f>
        <v/>
      </c>
      <c r="AH155" s="49" t="n">
        <f aca="false">'Daily KPI Entry'!AH156</f>
        <v>0</v>
      </c>
      <c r="AI155" s="49" t="n">
        <f aca="false">'Daily KPI Entry'!AI156</f>
        <v>0</v>
      </c>
      <c r="AJ155" s="49" t="n">
        <f aca="false">'Daily KPI Entry'!AJ156</f>
        <v>0</v>
      </c>
      <c r="AK155" s="47" t="n">
        <f aca="false">'Daily KPI Entry'!AK156</f>
        <v>0</v>
      </c>
      <c r="AL155" s="47" t="n">
        <f aca="false">'Daily KPI Entry'!AL156</f>
        <v>0</v>
      </c>
      <c r="AM155" s="47" t="n">
        <f aca="false">'Daily KPI Entry'!AM156</f>
        <v>0</v>
      </c>
      <c r="AN155" s="49" t="str">
        <f aca="false">IF(P155="","",MIN(120,P155))</f>
        <v/>
      </c>
      <c r="AO155" s="49" t="str">
        <f aca="false">IF(U155="","",MIN(120,U155))</f>
        <v/>
      </c>
      <c r="AP155" s="49" t="str">
        <f aca="false">IF(R155="","",MIN(120,IFERROR(S155/R155*100,0)))</f>
        <v/>
      </c>
      <c r="AQ155" s="49" t="str">
        <f aca="false">IF(W155="","",MIN(120,IF(W155=0,120,100*(INDEX('Standards &amp; Scoring'!$E$5:$E$13,MATCH("Quality / Rejection",'Standards &amp; Scoring'!$A$5:$A$13,0))/W155))))</f>
        <v/>
      </c>
      <c r="AR155" s="49" t="str">
        <f aca="false">IF(AG155="","",MIN(120,IF(AG155=0,120,100*(INDEX('Standards &amp; Scoring'!$E$5:$E$13,MATCH("Fault Control",'Standards &amp; Scoring'!$A$5:$A$13,0))/AG155))))</f>
        <v/>
      </c>
      <c r="AS155" s="49" t="str">
        <f aca="false">IF(O155="","",MIN(120,IF(SUMIFS('Fault &amp; Downtime Entry'!$L$6:$L$1005,'Fault &amp; Downtime Entry'!$E$6:$E$1005,G155,'Fault &amp; Downtime Entry'!$B$6:$B$1005,B155)=0,120,100*(INDEX('Standards &amp; Scoring'!$E$5:$E$13,MATCH("Downtime Control",'Standards &amp; Scoring'!$A$5:$A$13,0))/IFERROR(SUMIFS('Fault &amp; Downtime Entry'!$L$6:$L$1005,'Fault &amp; Downtime Entry'!$E$6:$E$1005,G155,'Fault &amp; Downtime Entry'!$B$6:$B$1005,B155)/O155*1000,999999)))))</f>
        <v/>
      </c>
      <c r="AT155" s="49" t="n">
        <f aca="false">IF(COUNTA(AH155,AJ155)=0,"",MIN(120,IF(AND(AH155&lt;&gt;"",AJ155&lt;&gt;""),AVERAGE(AH155,AJ155),IF(AH155&lt;&gt;"",AH155,AJ155))))</f>
        <v>0</v>
      </c>
      <c r="AU155" s="49" t="str">
        <f aca="false">IF(AI155="","",MIN(120,AI155))</f>
        <v/>
      </c>
      <c r="AV155" s="49" t="str">
        <f aca="false">IF(AJ155="","",MIN(120,AJ155))</f>
        <v/>
      </c>
      <c r="AW155" s="50" t="str">
        <f aca="false">IF(COUNT(AN155:AV155)&lt;9,"",(AN155*'Standards &amp; Scoring'!$D$5+AO155*'Standards &amp; Scoring'!$D$6+AP155*'Standards &amp; Scoring'!$D$7+AQ155*'Standards &amp; Scoring'!$D$8+AR155*'Standards &amp; Scoring'!$D$9+AS155*'Standards &amp; Scoring'!$D$10+AT155*'Standards &amp; Scoring'!$D$11+AU155*'Standards &amp; Scoring'!$D$12+AV155*'Standards &amp; Scoring'!$D$13)/10000)</f>
        <v/>
      </c>
      <c r="AX155" s="47" t="str">
        <f aca="false">IF(AW155="","",IF(AW155&gt;=1.05,"A+",IF(AW155&gt;=1,"A",IF(AW155&gt;=0.95,"B+",IF(AW155&gt;=0.9,"B","C")))))</f>
        <v/>
      </c>
      <c r="AY155" s="47" t="str">
        <f aca="false">IF(AX155="","",IF(AX155="A+",1800,IF(AX155="A",1600,IF(AX155="B+",1400,IF(AX155="B",1200,0)))))</f>
        <v/>
      </c>
      <c r="AZ155" s="49" t="str">
        <f aca="false">IF(OR(L155="",M155="",S155="",M155=0),"",IFERROR(L155*60*S155/(M155*36),0))</f>
        <v/>
      </c>
    </row>
    <row r="156" customFormat="false" ht="15" hidden="false" customHeight="true" outlineLevel="0" collapsed="false">
      <c r="A156" s="47" t="n">
        <f aca="false">'Daily KPI Entry'!A157</f>
        <v>0</v>
      </c>
      <c r="B156" s="48" t="n">
        <f aca="false">'Daily KPI Entry'!B157</f>
        <v>0</v>
      </c>
      <c r="C156" s="47" t="n">
        <f aca="false">'Daily KPI Entry'!C157</f>
        <v>0</v>
      </c>
      <c r="D156" s="47" t="n">
        <f aca="false">'Daily KPI Entry'!D157</f>
        <v>0</v>
      </c>
      <c r="E156" s="47" t="n">
        <f aca="false">'Daily KPI Entry'!E157</f>
        <v>0</v>
      </c>
      <c r="F156" s="47" t="n">
        <f aca="false">'Daily KPI Entry'!F157</f>
        <v>0</v>
      </c>
      <c r="G156" s="47" t="n">
        <f aca="false">'Daily KPI Entry'!G157</f>
        <v>0</v>
      </c>
      <c r="H156" s="47" t="str">
        <f aca="false">'Daily KPI Entry'!H157</f>
        <v/>
      </c>
      <c r="I156" s="47" t="n">
        <f aca="false">'Daily KPI Entry'!I157</f>
        <v>0</v>
      </c>
      <c r="J156" s="47" t="n">
        <f aca="false">'Daily KPI Entry'!J157</f>
        <v>0</v>
      </c>
      <c r="K156" s="47" t="n">
        <f aca="false">'Daily KPI Entry'!K157</f>
        <v>0</v>
      </c>
      <c r="L156" s="47" t="n">
        <f aca="false">'Daily KPI Entry'!L157</f>
        <v>0</v>
      </c>
      <c r="M156" s="47" t="n">
        <f aca="false">'Daily KPI Entry'!M157</f>
        <v>0</v>
      </c>
      <c r="N156" s="49" t="n">
        <f aca="false">'Daily KPI Entry'!N157</f>
        <v>0</v>
      </c>
      <c r="O156" s="49" t="n">
        <f aca="false">'Daily KPI Entry'!O157</f>
        <v>0</v>
      </c>
      <c r="P156" s="49" t="str">
        <f aca="false">IF(OR(N156="",O156=""),"",IFERROR(O156/N156*100,0))</f>
        <v/>
      </c>
      <c r="Q156" s="47" t="n">
        <f aca="false">'Daily KPI Entry'!Q157</f>
        <v>8</v>
      </c>
      <c r="R156" s="47" t="str">
        <f aca="false">IF(J156="","",Q156*J156)</f>
        <v/>
      </c>
      <c r="S156" s="49" t="n">
        <f aca="false">'Daily KPI Entry'!S157</f>
        <v>0</v>
      </c>
      <c r="T156" s="49" t="str">
        <f aca="false">IF(OR(R156="",S156=""),"",IFERROR(S156/R156*100,0))</f>
        <v/>
      </c>
      <c r="U156" s="49" t="str">
        <f aca="false">IF(OR(O156="",L156="",M156="",S156="",M156=0),"",IFERROR(O156/(L156*60*S156/(M156*36))*100,0))</f>
        <v/>
      </c>
      <c r="V156" s="49" t="n">
        <f aca="false">'Daily KPI Entry'!V157</f>
        <v>0</v>
      </c>
      <c r="W156" s="49" t="str">
        <f aca="false">IF(O156="","",IFERROR(V156/O156*100,0))</f>
        <v/>
      </c>
      <c r="X156" s="49" t="n">
        <f aca="false">'Daily KPI Entry'!X157</f>
        <v>0</v>
      </c>
      <c r="Y156" s="49" t="n">
        <f aca="false">'Daily KPI Entry'!Y157</f>
        <v>0</v>
      </c>
      <c r="Z156" s="49" t="n">
        <f aca="false">'Daily KPI Entry'!Z157</f>
        <v>0</v>
      </c>
      <c r="AA156" s="49" t="n">
        <f aca="false">'Daily KPI Entry'!AA157</f>
        <v>0</v>
      </c>
      <c r="AB156" s="49" t="n">
        <f aca="false">'Daily KPI Entry'!AB157</f>
        <v>0</v>
      </c>
      <c r="AC156" s="49" t="n">
        <f aca="false">'Daily KPI Entry'!AC157</f>
        <v>0</v>
      </c>
      <c r="AD156" s="49" t="n">
        <f aca="false">'Daily KPI Entry'!AD157</f>
        <v>0</v>
      </c>
      <c r="AE156" s="49" t="n">
        <f aca="false">'Daily KPI Entry'!AE157</f>
        <v>0</v>
      </c>
      <c r="AF156" s="47" t="str">
        <f aca="false">IF(O156="","",SUM(X156:AE156))</f>
        <v/>
      </c>
      <c r="AG156" s="49" t="str">
        <f aca="false">IF(O156="","",IFERROR(AF156/O156*1000,0))</f>
        <v/>
      </c>
      <c r="AH156" s="49" t="n">
        <f aca="false">'Daily KPI Entry'!AH157</f>
        <v>0</v>
      </c>
      <c r="AI156" s="49" t="n">
        <f aca="false">'Daily KPI Entry'!AI157</f>
        <v>0</v>
      </c>
      <c r="AJ156" s="49" t="n">
        <f aca="false">'Daily KPI Entry'!AJ157</f>
        <v>0</v>
      </c>
      <c r="AK156" s="47" t="n">
        <f aca="false">'Daily KPI Entry'!AK157</f>
        <v>0</v>
      </c>
      <c r="AL156" s="47" t="n">
        <f aca="false">'Daily KPI Entry'!AL157</f>
        <v>0</v>
      </c>
      <c r="AM156" s="47" t="n">
        <f aca="false">'Daily KPI Entry'!AM157</f>
        <v>0</v>
      </c>
      <c r="AN156" s="49" t="str">
        <f aca="false">IF(P156="","",MIN(120,P156))</f>
        <v/>
      </c>
      <c r="AO156" s="49" t="str">
        <f aca="false">IF(U156="","",MIN(120,U156))</f>
        <v/>
      </c>
      <c r="AP156" s="49" t="str">
        <f aca="false">IF(R156="","",MIN(120,IFERROR(S156/R156*100,0)))</f>
        <v/>
      </c>
      <c r="AQ156" s="49" t="str">
        <f aca="false">IF(W156="","",MIN(120,IF(W156=0,120,100*(INDEX('Standards &amp; Scoring'!$E$5:$E$13,MATCH("Quality / Rejection",'Standards &amp; Scoring'!$A$5:$A$13,0))/W156))))</f>
        <v/>
      </c>
      <c r="AR156" s="49" t="str">
        <f aca="false">IF(AG156="","",MIN(120,IF(AG156=0,120,100*(INDEX('Standards &amp; Scoring'!$E$5:$E$13,MATCH("Fault Control",'Standards &amp; Scoring'!$A$5:$A$13,0))/AG156))))</f>
        <v/>
      </c>
      <c r="AS156" s="49" t="str">
        <f aca="false">IF(O156="","",MIN(120,IF(SUMIFS('Fault &amp; Downtime Entry'!$L$6:$L$1005,'Fault &amp; Downtime Entry'!$E$6:$E$1005,G156,'Fault &amp; Downtime Entry'!$B$6:$B$1005,B156)=0,120,100*(INDEX('Standards &amp; Scoring'!$E$5:$E$13,MATCH("Downtime Control",'Standards &amp; Scoring'!$A$5:$A$13,0))/IFERROR(SUMIFS('Fault &amp; Downtime Entry'!$L$6:$L$1005,'Fault &amp; Downtime Entry'!$E$6:$E$1005,G156,'Fault &amp; Downtime Entry'!$B$6:$B$1005,B156)/O156*1000,999999)))))</f>
        <v/>
      </c>
      <c r="AT156" s="49" t="n">
        <f aca="false">IF(COUNTA(AH156,AJ156)=0,"",MIN(120,IF(AND(AH156&lt;&gt;"",AJ156&lt;&gt;""),AVERAGE(AH156,AJ156),IF(AH156&lt;&gt;"",AH156,AJ156))))</f>
        <v>0</v>
      </c>
      <c r="AU156" s="49" t="str">
        <f aca="false">IF(AI156="","",MIN(120,AI156))</f>
        <v/>
      </c>
      <c r="AV156" s="49" t="str">
        <f aca="false">IF(AJ156="","",MIN(120,AJ156))</f>
        <v/>
      </c>
      <c r="AW156" s="50" t="str">
        <f aca="false">IF(COUNT(AN156:AV156)&lt;9,"",(AN156*'Standards &amp; Scoring'!$D$5+AO156*'Standards &amp; Scoring'!$D$6+AP156*'Standards &amp; Scoring'!$D$7+AQ156*'Standards &amp; Scoring'!$D$8+AR156*'Standards &amp; Scoring'!$D$9+AS156*'Standards &amp; Scoring'!$D$10+AT156*'Standards &amp; Scoring'!$D$11+AU156*'Standards &amp; Scoring'!$D$12+AV156*'Standards &amp; Scoring'!$D$13)/10000)</f>
        <v/>
      </c>
      <c r="AX156" s="47" t="str">
        <f aca="false">IF(AW156="","",IF(AW156&gt;=1.05,"A+",IF(AW156&gt;=1,"A",IF(AW156&gt;=0.95,"B+",IF(AW156&gt;=0.9,"B","C")))))</f>
        <v/>
      </c>
      <c r="AY156" s="47" t="str">
        <f aca="false">IF(AX156="","",IF(AX156="A+",1800,IF(AX156="A",1600,IF(AX156="B+",1400,IF(AX156="B",1200,0)))))</f>
        <v/>
      </c>
      <c r="AZ156" s="49" t="str">
        <f aca="false">IF(OR(L156="",M156="",S156="",M156=0),"",IFERROR(L156*60*S156/(M156*36),0))</f>
        <v/>
      </c>
    </row>
    <row r="157" customFormat="false" ht="15" hidden="false" customHeight="true" outlineLevel="0" collapsed="false">
      <c r="A157" s="47" t="n">
        <f aca="false">'Daily KPI Entry'!A158</f>
        <v>0</v>
      </c>
      <c r="B157" s="48" t="n">
        <f aca="false">'Daily KPI Entry'!B158</f>
        <v>0</v>
      </c>
      <c r="C157" s="47" t="n">
        <f aca="false">'Daily KPI Entry'!C158</f>
        <v>0</v>
      </c>
      <c r="D157" s="47" t="n">
        <f aca="false">'Daily KPI Entry'!D158</f>
        <v>0</v>
      </c>
      <c r="E157" s="47" t="n">
        <f aca="false">'Daily KPI Entry'!E158</f>
        <v>0</v>
      </c>
      <c r="F157" s="47" t="n">
        <f aca="false">'Daily KPI Entry'!F158</f>
        <v>0</v>
      </c>
      <c r="G157" s="47" t="n">
        <f aca="false">'Daily KPI Entry'!G158</f>
        <v>0</v>
      </c>
      <c r="H157" s="47" t="str">
        <f aca="false">'Daily KPI Entry'!H158</f>
        <v/>
      </c>
      <c r="I157" s="47" t="n">
        <f aca="false">'Daily KPI Entry'!I158</f>
        <v>0</v>
      </c>
      <c r="J157" s="47" t="n">
        <f aca="false">'Daily KPI Entry'!J158</f>
        <v>0</v>
      </c>
      <c r="K157" s="47" t="n">
        <f aca="false">'Daily KPI Entry'!K158</f>
        <v>0</v>
      </c>
      <c r="L157" s="47" t="n">
        <f aca="false">'Daily KPI Entry'!L158</f>
        <v>0</v>
      </c>
      <c r="M157" s="47" t="n">
        <f aca="false">'Daily KPI Entry'!M158</f>
        <v>0</v>
      </c>
      <c r="N157" s="49" t="n">
        <f aca="false">'Daily KPI Entry'!N158</f>
        <v>0</v>
      </c>
      <c r="O157" s="49" t="n">
        <f aca="false">'Daily KPI Entry'!O158</f>
        <v>0</v>
      </c>
      <c r="P157" s="49" t="str">
        <f aca="false">IF(OR(N157="",O157=""),"",IFERROR(O157/N157*100,0))</f>
        <v/>
      </c>
      <c r="Q157" s="47" t="n">
        <f aca="false">'Daily KPI Entry'!Q158</f>
        <v>8</v>
      </c>
      <c r="R157" s="47" t="str">
        <f aca="false">IF(J157="","",Q157*J157)</f>
        <v/>
      </c>
      <c r="S157" s="49" t="n">
        <f aca="false">'Daily KPI Entry'!S158</f>
        <v>0</v>
      </c>
      <c r="T157" s="49" t="str">
        <f aca="false">IF(OR(R157="",S157=""),"",IFERROR(S157/R157*100,0))</f>
        <v/>
      </c>
      <c r="U157" s="49" t="str">
        <f aca="false">IF(OR(O157="",L157="",M157="",S157="",M157=0),"",IFERROR(O157/(L157*60*S157/(M157*36))*100,0))</f>
        <v/>
      </c>
      <c r="V157" s="49" t="n">
        <f aca="false">'Daily KPI Entry'!V158</f>
        <v>0</v>
      </c>
      <c r="W157" s="49" t="str">
        <f aca="false">IF(O157="","",IFERROR(V157/O157*100,0))</f>
        <v/>
      </c>
      <c r="X157" s="49" t="n">
        <f aca="false">'Daily KPI Entry'!X158</f>
        <v>0</v>
      </c>
      <c r="Y157" s="49" t="n">
        <f aca="false">'Daily KPI Entry'!Y158</f>
        <v>0</v>
      </c>
      <c r="Z157" s="49" t="n">
        <f aca="false">'Daily KPI Entry'!Z158</f>
        <v>0</v>
      </c>
      <c r="AA157" s="49" t="n">
        <f aca="false">'Daily KPI Entry'!AA158</f>
        <v>0</v>
      </c>
      <c r="AB157" s="49" t="n">
        <f aca="false">'Daily KPI Entry'!AB158</f>
        <v>0</v>
      </c>
      <c r="AC157" s="49" t="n">
        <f aca="false">'Daily KPI Entry'!AC158</f>
        <v>0</v>
      </c>
      <c r="AD157" s="49" t="n">
        <f aca="false">'Daily KPI Entry'!AD158</f>
        <v>0</v>
      </c>
      <c r="AE157" s="49" t="n">
        <f aca="false">'Daily KPI Entry'!AE158</f>
        <v>0</v>
      </c>
      <c r="AF157" s="47" t="str">
        <f aca="false">IF(O157="","",SUM(X157:AE157))</f>
        <v/>
      </c>
      <c r="AG157" s="49" t="str">
        <f aca="false">IF(O157="","",IFERROR(AF157/O157*1000,0))</f>
        <v/>
      </c>
      <c r="AH157" s="49" t="n">
        <f aca="false">'Daily KPI Entry'!AH158</f>
        <v>0</v>
      </c>
      <c r="AI157" s="49" t="n">
        <f aca="false">'Daily KPI Entry'!AI158</f>
        <v>0</v>
      </c>
      <c r="AJ157" s="49" t="n">
        <f aca="false">'Daily KPI Entry'!AJ158</f>
        <v>0</v>
      </c>
      <c r="AK157" s="47" t="n">
        <f aca="false">'Daily KPI Entry'!AK158</f>
        <v>0</v>
      </c>
      <c r="AL157" s="47" t="n">
        <f aca="false">'Daily KPI Entry'!AL158</f>
        <v>0</v>
      </c>
      <c r="AM157" s="47" t="n">
        <f aca="false">'Daily KPI Entry'!AM158</f>
        <v>0</v>
      </c>
      <c r="AN157" s="49" t="str">
        <f aca="false">IF(P157="","",MIN(120,P157))</f>
        <v/>
      </c>
      <c r="AO157" s="49" t="str">
        <f aca="false">IF(U157="","",MIN(120,U157))</f>
        <v/>
      </c>
      <c r="AP157" s="49" t="str">
        <f aca="false">IF(R157="","",MIN(120,IFERROR(S157/R157*100,0)))</f>
        <v/>
      </c>
      <c r="AQ157" s="49" t="str">
        <f aca="false">IF(W157="","",MIN(120,IF(W157=0,120,100*(INDEX('Standards &amp; Scoring'!$E$5:$E$13,MATCH("Quality / Rejection",'Standards &amp; Scoring'!$A$5:$A$13,0))/W157))))</f>
        <v/>
      </c>
      <c r="AR157" s="49" t="str">
        <f aca="false">IF(AG157="","",MIN(120,IF(AG157=0,120,100*(INDEX('Standards &amp; Scoring'!$E$5:$E$13,MATCH("Fault Control",'Standards &amp; Scoring'!$A$5:$A$13,0))/AG157))))</f>
        <v/>
      </c>
      <c r="AS157" s="49" t="str">
        <f aca="false">IF(O157="","",MIN(120,IF(SUMIFS('Fault &amp; Downtime Entry'!$L$6:$L$1005,'Fault &amp; Downtime Entry'!$E$6:$E$1005,G157,'Fault &amp; Downtime Entry'!$B$6:$B$1005,B157)=0,120,100*(INDEX('Standards &amp; Scoring'!$E$5:$E$13,MATCH("Downtime Control",'Standards &amp; Scoring'!$A$5:$A$13,0))/IFERROR(SUMIFS('Fault &amp; Downtime Entry'!$L$6:$L$1005,'Fault &amp; Downtime Entry'!$E$6:$E$1005,G157,'Fault &amp; Downtime Entry'!$B$6:$B$1005,B157)/O157*1000,999999)))))</f>
        <v/>
      </c>
      <c r="AT157" s="49" t="n">
        <f aca="false">IF(COUNTA(AH157,AJ157)=0,"",MIN(120,IF(AND(AH157&lt;&gt;"",AJ157&lt;&gt;""),AVERAGE(AH157,AJ157),IF(AH157&lt;&gt;"",AH157,AJ157))))</f>
        <v>0</v>
      </c>
      <c r="AU157" s="49" t="str">
        <f aca="false">IF(AI157="","",MIN(120,AI157))</f>
        <v/>
      </c>
      <c r="AV157" s="49" t="str">
        <f aca="false">IF(AJ157="","",MIN(120,AJ157))</f>
        <v/>
      </c>
      <c r="AW157" s="50" t="str">
        <f aca="false">IF(COUNT(AN157:AV157)&lt;9,"",(AN157*'Standards &amp; Scoring'!$D$5+AO157*'Standards &amp; Scoring'!$D$6+AP157*'Standards &amp; Scoring'!$D$7+AQ157*'Standards &amp; Scoring'!$D$8+AR157*'Standards &amp; Scoring'!$D$9+AS157*'Standards &amp; Scoring'!$D$10+AT157*'Standards &amp; Scoring'!$D$11+AU157*'Standards &amp; Scoring'!$D$12+AV157*'Standards &amp; Scoring'!$D$13)/10000)</f>
        <v/>
      </c>
      <c r="AX157" s="47" t="str">
        <f aca="false">IF(AW157="","",IF(AW157&gt;=1.05,"A+",IF(AW157&gt;=1,"A",IF(AW157&gt;=0.95,"B+",IF(AW157&gt;=0.9,"B","C")))))</f>
        <v/>
      </c>
      <c r="AY157" s="47" t="str">
        <f aca="false">IF(AX157="","",IF(AX157="A+",1800,IF(AX157="A",1600,IF(AX157="B+",1400,IF(AX157="B",1200,0)))))</f>
        <v/>
      </c>
      <c r="AZ157" s="49" t="str">
        <f aca="false">IF(OR(L157="",M157="",S157="",M157=0),"",IFERROR(L157*60*S157/(M157*36),0))</f>
        <v/>
      </c>
    </row>
    <row r="158" customFormat="false" ht="15" hidden="false" customHeight="true" outlineLevel="0" collapsed="false">
      <c r="A158" s="47" t="n">
        <f aca="false">'Daily KPI Entry'!A159</f>
        <v>0</v>
      </c>
      <c r="B158" s="48" t="n">
        <f aca="false">'Daily KPI Entry'!B159</f>
        <v>0</v>
      </c>
      <c r="C158" s="47" t="n">
        <f aca="false">'Daily KPI Entry'!C159</f>
        <v>0</v>
      </c>
      <c r="D158" s="47" t="n">
        <f aca="false">'Daily KPI Entry'!D159</f>
        <v>0</v>
      </c>
      <c r="E158" s="47" t="n">
        <f aca="false">'Daily KPI Entry'!E159</f>
        <v>0</v>
      </c>
      <c r="F158" s="47" t="n">
        <f aca="false">'Daily KPI Entry'!F159</f>
        <v>0</v>
      </c>
      <c r="G158" s="47" t="n">
        <f aca="false">'Daily KPI Entry'!G159</f>
        <v>0</v>
      </c>
      <c r="H158" s="47" t="str">
        <f aca="false">'Daily KPI Entry'!H159</f>
        <v/>
      </c>
      <c r="I158" s="47" t="n">
        <f aca="false">'Daily KPI Entry'!I159</f>
        <v>0</v>
      </c>
      <c r="J158" s="47" t="n">
        <f aca="false">'Daily KPI Entry'!J159</f>
        <v>0</v>
      </c>
      <c r="K158" s="47" t="n">
        <f aca="false">'Daily KPI Entry'!K159</f>
        <v>0</v>
      </c>
      <c r="L158" s="47" t="n">
        <f aca="false">'Daily KPI Entry'!L159</f>
        <v>0</v>
      </c>
      <c r="M158" s="47" t="n">
        <f aca="false">'Daily KPI Entry'!M159</f>
        <v>0</v>
      </c>
      <c r="N158" s="49" t="n">
        <f aca="false">'Daily KPI Entry'!N159</f>
        <v>0</v>
      </c>
      <c r="O158" s="49" t="n">
        <f aca="false">'Daily KPI Entry'!O159</f>
        <v>0</v>
      </c>
      <c r="P158" s="49" t="str">
        <f aca="false">IF(OR(N158="",O158=""),"",IFERROR(O158/N158*100,0))</f>
        <v/>
      </c>
      <c r="Q158" s="47" t="n">
        <f aca="false">'Daily KPI Entry'!Q159</f>
        <v>8</v>
      </c>
      <c r="R158" s="47" t="str">
        <f aca="false">IF(J158="","",Q158*J158)</f>
        <v/>
      </c>
      <c r="S158" s="49" t="n">
        <f aca="false">'Daily KPI Entry'!S159</f>
        <v>0</v>
      </c>
      <c r="T158" s="49" t="str">
        <f aca="false">IF(OR(R158="",S158=""),"",IFERROR(S158/R158*100,0))</f>
        <v/>
      </c>
      <c r="U158" s="49" t="str">
        <f aca="false">IF(OR(O158="",L158="",M158="",S158="",M158=0),"",IFERROR(O158/(L158*60*S158/(M158*36))*100,0))</f>
        <v/>
      </c>
      <c r="V158" s="49" t="n">
        <f aca="false">'Daily KPI Entry'!V159</f>
        <v>0</v>
      </c>
      <c r="W158" s="49" t="str">
        <f aca="false">IF(O158="","",IFERROR(V158/O158*100,0))</f>
        <v/>
      </c>
      <c r="X158" s="49" t="n">
        <f aca="false">'Daily KPI Entry'!X159</f>
        <v>0</v>
      </c>
      <c r="Y158" s="49" t="n">
        <f aca="false">'Daily KPI Entry'!Y159</f>
        <v>0</v>
      </c>
      <c r="Z158" s="49" t="n">
        <f aca="false">'Daily KPI Entry'!Z159</f>
        <v>0</v>
      </c>
      <c r="AA158" s="49" t="n">
        <f aca="false">'Daily KPI Entry'!AA159</f>
        <v>0</v>
      </c>
      <c r="AB158" s="49" t="n">
        <f aca="false">'Daily KPI Entry'!AB159</f>
        <v>0</v>
      </c>
      <c r="AC158" s="49" t="n">
        <f aca="false">'Daily KPI Entry'!AC159</f>
        <v>0</v>
      </c>
      <c r="AD158" s="49" t="n">
        <f aca="false">'Daily KPI Entry'!AD159</f>
        <v>0</v>
      </c>
      <c r="AE158" s="49" t="n">
        <f aca="false">'Daily KPI Entry'!AE159</f>
        <v>0</v>
      </c>
      <c r="AF158" s="47" t="str">
        <f aca="false">IF(O158="","",SUM(X158:AE158))</f>
        <v/>
      </c>
      <c r="AG158" s="49" t="str">
        <f aca="false">IF(O158="","",IFERROR(AF158/O158*1000,0))</f>
        <v/>
      </c>
      <c r="AH158" s="49" t="n">
        <f aca="false">'Daily KPI Entry'!AH159</f>
        <v>0</v>
      </c>
      <c r="AI158" s="49" t="n">
        <f aca="false">'Daily KPI Entry'!AI159</f>
        <v>0</v>
      </c>
      <c r="AJ158" s="49" t="n">
        <f aca="false">'Daily KPI Entry'!AJ159</f>
        <v>0</v>
      </c>
      <c r="AK158" s="47" t="n">
        <f aca="false">'Daily KPI Entry'!AK159</f>
        <v>0</v>
      </c>
      <c r="AL158" s="47" t="n">
        <f aca="false">'Daily KPI Entry'!AL159</f>
        <v>0</v>
      </c>
      <c r="AM158" s="47" t="n">
        <f aca="false">'Daily KPI Entry'!AM159</f>
        <v>0</v>
      </c>
      <c r="AN158" s="49" t="str">
        <f aca="false">IF(P158="","",MIN(120,P158))</f>
        <v/>
      </c>
      <c r="AO158" s="49" t="str">
        <f aca="false">IF(U158="","",MIN(120,U158))</f>
        <v/>
      </c>
      <c r="AP158" s="49" t="str">
        <f aca="false">IF(R158="","",MIN(120,IFERROR(S158/R158*100,0)))</f>
        <v/>
      </c>
      <c r="AQ158" s="49" t="str">
        <f aca="false">IF(W158="","",MIN(120,IF(W158=0,120,100*(INDEX('Standards &amp; Scoring'!$E$5:$E$13,MATCH("Quality / Rejection",'Standards &amp; Scoring'!$A$5:$A$13,0))/W158))))</f>
        <v/>
      </c>
      <c r="AR158" s="49" t="str">
        <f aca="false">IF(AG158="","",MIN(120,IF(AG158=0,120,100*(INDEX('Standards &amp; Scoring'!$E$5:$E$13,MATCH("Fault Control",'Standards &amp; Scoring'!$A$5:$A$13,0))/AG158))))</f>
        <v/>
      </c>
      <c r="AS158" s="49" t="str">
        <f aca="false">IF(O158="","",MIN(120,IF(SUMIFS('Fault &amp; Downtime Entry'!$L$6:$L$1005,'Fault &amp; Downtime Entry'!$E$6:$E$1005,G158,'Fault &amp; Downtime Entry'!$B$6:$B$1005,B158)=0,120,100*(INDEX('Standards &amp; Scoring'!$E$5:$E$13,MATCH("Downtime Control",'Standards &amp; Scoring'!$A$5:$A$13,0))/IFERROR(SUMIFS('Fault &amp; Downtime Entry'!$L$6:$L$1005,'Fault &amp; Downtime Entry'!$E$6:$E$1005,G158,'Fault &amp; Downtime Entry'!$B$6:$B$1005,B158)/O158*1000,999999)))))</f>
        <v/>
      </c>
      <c r="AT158" s="49" t="n">
        <f aca="false">IF(COUNTA(AH158,AJ158)=0,"",MIN(120,IF(AND(AH158&lt;&gt;"",AJ158&lt;&gt;""),AVERAGE(AH158,AJ158),IF(AH158&lt;&gt;"",AH158,AJ158))))</f>
        <v>0</v>
      </c>
      <c r="AU158" s="49" t="str">
        <f aca="false">IF(AI158="","",MIN(120,AI158))</f>
        <v/>
      </c>
      <c r="AV158" s="49" t="str">
        <f aca="false">IF(AJ158="","",MIN(120,AJ158))</f>
        <v/>
      </c>
      <c r="AW158" s="50" t="str">
        <f aca="false">IF(COUNT(AN158:AV158)&lt;9,"",(AN158*'Standards &amp; Scoring'!$D$5+AO158*'Standards &amp; Scoring'!$D$6+AP158*'Standards &amp; Scoring'!$D$7+AQ158*'Standards &amp; Scoring'!$D$8+AR158*'Standards &amp; Scoring'!$D$9+AS158*'Standards &amp; Scoring'!$D$10+AT158*'Standards &amp; Scoring'!$D$11+AU158*'Standards &amp; Scoring'!$D$12+AV158*'Standards &amp; Scoring'!$D$13)/10000)</f>
        <v/>
      </c>
      <c r="AX158" s="47" t="str">
        <f aca="false">IF(AW158="","",IF(AW158&gt;=1.05,"A+",IF(AW158&gt;=1,"A",IF(AW158&gt;=0.95,"B+",IF(AW158&gt;=0.9,"B","C")))))</f>
        <v/>
      </c>
      <c r="AY158" s="47" t="str">
        <f aca="false">IF(AX158="","",IF(AX158="A+",1800,IF(AX158="A",1600,IF(AX158="B+",1400,IF(AX158="B",1200,0)))))</f>
        <v/>
      </c>
      <c r="AZ158" s="49" t="str">
        <f aca="false">IF(OR(L158="",M158="",S158="",M158=0),"",IFERROR(L158*60*S158/(M158*36),0))</f>
        <v/>
      </c>
    </row>
    <row r="159" customFormat="false" ht="15" hidden="false" customHeight="true" outlineLevel="0" collapsed="false">
      <c r="A159" s="47" t="n">
        <f aca="false">'Daily KPI Entry'!A160</f>
        <v>0</v>
      </c>
      <c r="B159" s="48" t="n">
        <f aca="false">'Daily KPI Entry'!B160</f>
        <v>0</v>
      </c>
      <c r="C159" s="47" t="n">
        <f aca="false">'Daily KPI Entry'!C160</f>
        <v>0</v>
      </c>
      <c r="D159" s="47" t="n">
        <f aca="false">'Daily KPI Entry'!D160</f>
        <v>0</v>
      </c>
      <c r="E159" s="47" t="n">
        <f aca="false">'Daily KPI Entry'!E160</f>
        <v>0</v>
      </c>
      <c r="F159" s="47" t="n">
        <f aca="false">'Daily KPI Entry'!F160</f>
        <v>0</v>
      </c>
      <c r="G159" s="47" t="n">
        <f aca="false">'Daily KPI Entry'!G160</f>
        <v>0</v>
      </c>
      <c r="H159" s="47" t="str">
        <f aca="false">'Daily KPI Entry'!H160</f>
        <v/>
      </c>
      <c r="I159" s="47" t="n">
        <f aca="false">'Daily KPI Entry'!I160</f>
        <v>0</v>
      </c>
      <c r="J159" s="47" t="n">
        <f aca="false">'Daily KPI Entry'!J160</f>
        <v>0</v>
      </c>
      <c r="K159" s="47" t="n">
        <f aca="false">'Daily KPI Entry'!K160</f>
        <v>0</v>
      </c>
      <c r="L159" s="47" t="n">
        <f aca="false">'Daily KPI Entry'!L160</f>
        <v>0</v>
      </c>
      <c r="M159" s="47" t="n">
        <f aca="false">'Daily KPI Entry'!M160</f>
        <v>0</v>
      </c>
      <c r="N159" s="49" t="n">
        <f aca="false">'Daily KPI Entry'!N160</f>
        <v>0</v>
      </c>
      <c r="O159" s="49" t="n">
        <f aca="false">'Daily KPI Entry'!O160</f>
        <v>0</v>
      </c>
      <c r="P159" s="49" t="str">
        <f aca="false">IF(OR(N159="",O159=""),"",IFERROR(O159/N159*100,0))</f>
        <v/>
      </c>
      <c r="Q159" s="47" t="n">
        <f aca="false">'Daily KPI Entry'!Q160</f>
        <v>8</v>
      </c>
      <c r="R159" s="47" t="str">
        <f aca="false">IF(J159="","",Q159*J159)</f>
        <v/>
      </c>
      <c r="S159" s="49" t="n">
        <f aca="false">'Daily KPI Entry'!S160</f>
        <v>0</v>
      </c>
      <c r="T159" s="49" t="str">
        <f aca="false">IF(OR(R159="",S159=""),"",IFERROR(S159/R159*100,0))</f>
        <v/>
      </c>
      <c r="U159" s="49" t="str">
        <f aca="false">IF(OR(O159="",L159="",M159="",S159="",M159=0),"",IFERROR(O159/(L159*60*S159/(M159*36))*100,0))</f>
        <v/>
      </c>
      <c r="V159" s="49" t="n">
        <f aca="false">'Daily KPI Entry'!V160</f>
        <v>0</v>
      </c>
      <c r="W159" s="49" t="str">
        <f aca="false">IF(O159="","",IFERROR(V159/O159*100,0))</f>
        <v/>
      </c>
      <c r="X159" s="49" t="n">
        <f aca="false">'Daily KPI Entry'!X160</f>
        <v>0</v>
      </c>
      <c r="Y159" s="49" t="n">
        <f aca="false">'Daily KPI Entry'!Y160</f>
        <v>0</v>
      </c>
      <c r="Z159" s="49" t="n">
        <f aca="false">'Daily KPI Entry'!Z160</f>
        <v>0</v>
      </c>
      <c r="AA159" s="49" t="n">
        <f aca="false">'Daily KPI Entry'!AA160</f>
        <v>0</v>
      </c>
      <c r="AB159" s="49" t="n">
        <f aca="false">'Daily KPI Entry'!AB160</f>
        <v>0</v>
      </c>
      <c r="AC159" s="49" t="n">
        <f aca="false">'Daily KPI Entry'!AC160</f>
        <v>0</v>
      </c>
      <c r="AD159" s="49" t="n">
        <f aca="false">'Daily KPI Entry'!AD160</f>
        <v>0</v>
      </c>
      <c r="AE159" s="49" t="n">
        <f aca="false">'Daily KPI Entry'!AE160</f>
        <v>0</v>
      </c>
      <c r="AF159" s="47" t="str">
        <f aca="false">IF(O159="","",SUM(X159:AE159))</f>
        <v/>
      </c>
      <c r="AG159" s="49" t="str">
        <f aca="false">IF(O159="","",IFERROR(AF159/O159*1000,0))</f>
        <v/>
      </c>
      <c r="AH159" s="49" t="n">
        <f aca="false">'Daily KPI Entry'!AH160</f>
        <v>0</v>
      </c>
      <c r="AI159" s="49" t="n">
        <f aca="false">'Daily KPI Entry'!AI160</f>
        <v>0</v>
      </c>
      <c r="AJ159" s="49" t="n">
        <f aca="false">'Daily KPI Entry'!AJ160</f>
        <v>0</v>
      </c>
      <c r="AK159" s="47" t="n">
        <f aca="false">'Daily KPI Entry'!AK160</f>
        <v>0</v>
      </c>
      <c r="AL159" s="47" t="n">
        <f aca="false">'Daily KPI Entry'!AL160</f>
        <v>0</v>
      </c>
      <c r="AM159" s="47" t="n">
        <f aca="false">'Daily KPI Entry'!AM160</f>
        <v>0</v>
      </c>
      <c r="AN159" s="49" t="str">
        <f aca="false">IF(P159="","",MIN(120,P159))</f>
        <v/>
      </c>
      <c r="AO159" s="49" t="str">
        <f aca="false">IF(U159="","",MIN(120,U159))</f>
        <v/>
      </c>
      <c r="AP159" s="49" t="str">
        <f aca="false">IF(R159="","",MIN(120,IFERROR(S159/R159*100,0)))</f>
        <v/>
      </c>
      <c r="AQ159" s="49" t="str">
        <f aca="false">IF(W159="","",MIN(120,IF(W159=0,120,100*(INDEX('Standards &amp; Scoring'!$E$5:$E$13,MATCH("Quality / Rejection",'Standards &amp; Scoring'!$A$5:$A$13,0))/W159))))</f>
        <v/>
      </c>
      <c r="AR159" s="49" t="str">
        <f aca="false">IF(AG159="","",MIN(120,IF(AG159=0,120,100*(INDEX('Standards &amp; Scoring'!$E$5:$E$13,MATCH("Fault Control",'Standards &amp; Scoring'!$A$5:$A$13,0))/AG159))))</f>
        <v/>
      </c>
      <c r="AS159" s="49" t="str">
        <f aca="false">IF(O159="","",MIN(120,IF(SUMIFS('Fault &amp; Downtime Entry'!$L$6:$L$1005,'Fault &amp; Downtime Entry'!$E$6:$E$1005,G159,'Fault &amp; Downtime Entry'!$B$6:$B$1005,B159)=0,120,100*(INDEX('Standards &amp; Scoring'!$E$5:$E$13,MATCH("Downtime Control",'Standards &amp; Scoring'!$A$5:$A$13,0))/IFERROR(SUMIFS('Fault &amp; Downtime Entry'!$L$6:$L$1005,'Fault &amp; Downtime Entry'!$E$6:$E$1005,G159,'Fault &amp; Downtime Entry'!$B$6:$B$1005,B159)/O159*1000,999999)))))</f>
        <v/>
      </c>
      <c r="AT159" s="49" t="n">
        <f aca="false">IF(COUNTA(AH159,AJ159)=0,"",MIN(120,IF(AND(AH159&lt;&gt;"",AJ159&lt;&gt;""),AVERAGE(AH159,AJ159),IF(AH159&lt;&gt;"",AH159,AJ159))))</f>
        <v>0</v>
      </c>
      <c r="AU159" s="49" t="str">
        <f aca="false">IF(AI159="","",MIN(120,AI159))</f>
        <v/>
      </c>
      <c r="AV159" s="49" t="str">
        <f aca="false">IF(AJ159="","",MIN(120,AJ159))</f>
        <v/>
      </c>
      <c r="AW159" s="50" t="str">
        <f aca="false">IF(COUNT(AN159:AV159)&lt;9,"",(AN159*'Standards &amp; Scoring'!$D$5+AO159*'Standards &amp; Scoring'!$D$6+AP159*'Standards &amp; Scoring'!$D$7+AQ159*'Standards &amp; Scoring'!$D$8+AR159*'Standards &amp; Scoring'!$D$9+AS159*'Standards &amp; Scoring'!$D$10+AT159*'Standards &amp; Scoring'!$D$11+AU159*'Standards &amp; Scoring'!$D$12+AV159*'Standards &amp; Scoring'!$D$13)/10000)</f>
        <v/>
      </c>
      <c r="AX159" s="47" t="str">
        <f aca="false">IF(AW159="","",IF(AW159&gt;=1.05,"A+",IF(AW159&gt;=1,"A",IF(AW159&gt;=0.95,"B+",IF(AW159&gt;=0.9,"B","C")))))</f>
        <v/>
      </c>
      <c r="AY159" s="47" t="str">
        <f aca="false">IF(AX159="","",IF(AX159="A+",1800,IF(AX159="A",1600,IF(AX159="B+",1400,IF(AX159="B",1200,0)))))</f>
        <v/>
      </c>
      <c r="AZ159" s="49" t="str">
        <f aca="false">IF(OR(L159="",M159="",S159="",M159=0),"",IFERROR(L159*60*S159/(M159*36),0))</f>
        <v/>
      </c>
    </row>
    <row r="160" customFormat="false" ht="15" hidden="false" customHeight="true" outlineLevel="0" collapsed="false">
      <c r="A160" s="47" t="n">
        <f aca="false">'Daily KPI Entry'!A161</f>
        <v>0</v>
      </c>
      <c r="B160" s="48" t="n">
        <f aca="false">'Daily KPI Entry'!B161</f>
        <v>0</v>
      </c>
      <c r="C160" s="47" t="n">
        <f aca="false">'Daily KPI Entry'!C161</f>
        <v>0</v>
      </c>
      <c r="D160" s="47" t="n">
        <f aca="false">'Daily KPI Entry'!D161</f>
        <v>0</v>
      </c>
      <c r="E160" s="47" t="n">
        <f aca="false">'Daily KPI Entry'!E161</f>
        <v>0</v>
      </c>
      <c r="F160" s="47" t="n">
        <f aca="false">'Daily KPI Entry'!F161</f>
        <v>0</v>
      </c>
      <c r="G160" s="47" t="n">
        <f aca="false">'Daily KPI Entry'!G161</f>
        <v>0</v>
      </c>
      <c r="H160" s="47" t="str">
        <f aca="false">'Daily KPI Entry'!H161</f>
        <v/>
      </c>
      <c r="I160" s="47" t="n">
        <f aca="false">'Daily KPI Entry'!I161</f>
        <v>0</v>
      </c>
      <c r="J160" s="47" t="n">
        <f aca="false">'Daily KPI Entry'!J161</f>
        <v>0</v>
      </c>
      <c r="K160" s="47" t="n">
        <f aca="false">'Daily KPI Entry'!K161</f>
        <v>0</v>
      </c>
      <c r="L160" s="47" t="n">
        <f aca="false">'Daily KPI Entry'!L161</f>
        <v>0</v>
      </c>
      <c r="M160" s="47" t="n">
        <f aca="false">'Daily KPI Entry'!M161</f>
        <v>0</v>
      </c>
      <c r="N160" s="49" t="n">
        <f aca="false">'Daily KPI Entry'!N161</f>
        <v>0</v>
      </c>
      <c r="O160" s="49" t="n">
        <f aca="false">'Daily KPI Entry'!O161</f>
        <v>0</v>
      </c>
      <c r="P160" s="49" t="str">
        <f aca="false">IF(OR(N160="",O160=""),"",IFERROR(O160/N160*100,0))</f>
        <v/>
      </c>
      <c r="Q160" s="47" t="n">
        <f aca="false">'Daily KPI Entry'!Q161</f>
        <v>8</v>
      </c>
      <c r="R160" s="47" t="str">
        <f aca="false">IF(J160="","",Q160*J160)</f>
        <v/>
      </c>
      <c r="S160" s="49" t="n">
        <f aca="false">'Daily KPI Entry'!S161</f>
        <v>0</v>
      </c>
      <c r="T160" s="49" t="str">
        <f aca="false">IF(OR(R160="",S160=""),"",IFERROR(S160/R160*100,0))</f>
        <v/>
      </c>
      <c r="U160" s="49" t="str">
        <f aca="false">IF(OR(O160="",L160="",M160="",S160="",M160=0),"",IFERROR(O160/(L160*60*S160/(M160*36))*100,0))</f>
        <v/>
      </c>
      <c r="V160" s="49" t="n">
        <f aca="false">'Daily KPI Entry'!V161</f>
        <v>0</v>
      </c>
      <c r="W160" s="49" t="str">
        <f aca="false">IF(O160="","",IFERROR(V160/O160*100,0))</f>
        <v/>
      </c>
      <c r="X160" s="49" t="n">
        <f aca="false">'Daily KPI Entry'!X161</f>
        <v>0</v>
      </c>
      <c r="Y160" s="49" t="n">
        <f aca="false">'Daily KPI Entry'!Y161</f>
        <v>0</v>
      </c>
      <c r="Z160" s="49" t="n">
        <f aca="false">'Daily KPI Entry'!Z161</f>
        <v>0</v>
      </c>
      <c r="AA160" s="49" t="n">
        <f aca="false">'Daily KPI Entry'!AA161</f>
        <v>0</v>
      </c>
      <c r="AB160" s="49" t="n">
        <f aca="false">'Daily KPI Entry'!AB161</f>
        <v>0</v>
      </c>
      <c r="AC160" s="49" t="n">
        <f aca="false">'Daily KPI Entry'!AC161</f>
        <v>0</v>
      </c>
      <c r="AD160" s="49" t="n">
        <f aca="false">'Daily KPI Entry'!AD161</f>
        <v>0</v>
      </c>
      <c r="AE160" s="49" t="n">
        <f aca="false">'Daily KPI Entry'!AE161</f>
        <v>0</v>
      </c>
      <c r="AF160" s="47" t="str">
        <f aca="false">IF(O160="","",SUM(X160:AE160))</f>
        <v/>
      </c>
      <c r="AG160" s="49" t="str">
        <f aca="false">IF(O160="","",IFERROR(AF160/O160*1000,0))</f>
        <v/>
      </c>
      <c r="AH160" s="49" t="n">
        <f aca="false">'Daily KPI Entry'!AH161</f>
        <v>0</v>
      </c>
      <c r="AI160" s="49" t="n">
        <f aca="false">'Daily KPI Entry'!AI161</f>
        <v>0</v>
      </c>
      <c r="AJ160" s="49" t="n">
        <f aca="false">'Daily KPI Entry'!AJ161</f>
        <v>0</v>
      </c>
      <c r="AK160" s="47" t="n">
        <f aca="false">'Daily KPI Entry'!AK161</f>
        <v>0</v>
      </c>
      <c r="AL160" s="47" t="n">
        <f aca="false">'Daily KPI Entry'!AL161</f>
        <v>0</v>
      </c>
      <c r="AM160" s="47" t="n">
        <f aca="false">'Daily KPI Entry'!AM161</f>
        <v>0</v>
      </c>
      <c r="AN160" s="49" t="str">
        <f aca="false">IF(P160="","",MIN(120,P160))</f>
        <v/>
      </c>
      <c r="AO160" s="49" t="str">
        <f aca="false">IF(U160="","",MIN(120,U160))</f>
        <v/>
      </c>
      <c r="AP160" s="49" t="str">
        <f aca="false">IF(R160="","",MIN(120,IFERROR(S160/R160*100,0)))</f>
        <v/>
      </c>
      <c r="AQ160" s="49" t="str">
        <f aca="false">IF(W160="","",MIN(120,IF(W160=0,120,100*(INDEX('Standards &amp; Scoring'!$E$5:$E$13,MATCH("Quality / Rejection",'Standards &amp; Scoring'!$A$5:$A$13,0))/W160))))</f>
        <v/>
      </c>
      <c r="AR160" s="49" t="str">
        <f aca="false">IF(AG160="","",MIN(120,IF(AG160=0,120,100*(INDEX('Standards &amp; Scoring'!$E$5:$E$13,MATCH("Fault Control",'Standards &amp; Scoring'!$A$5:$A$13,0))/AG160))))</f>
        <v/>
      </c>
      <c r="AS160" s="49" t="str">
        <f aca="false">IF(O160="","",MIN(120,IF(SUMIFS('Fault &amp; Downtime Entry'!$L$6:$L$1005,'Fault &amp; Downtime Entry'!$E$6:$E$1005,G160,'Fault &amp; Downtime Entry'!$B$6:$B$1005,B160)=0,120,100*(INDEX('Standards &amp; Scoring'!$E$5:$E$13,MATCH("Downtime Control",'Standards &amp; Scoring'!$A$5:$A$13,0))/IFERROR(SUMIFS('Fault &amp; Downtime Entry'!$L$6:$L$1005,'Fault &amp; Downtime Entry'!$E$6:$E$1005,G160,'Fault &amp; Downtime Entry'!$B$6:$B$1005,B160)/O160*1000,999999)))))</f>
        <v/>
      </c>
      <c r="AT160" s="49" t="n">
        <f aca="false">IF(COUNTA(AH160,AJ160)=0,"",MIN(120,IF(AND(AH160&lt;&gt;"",AJ160&lt;&gt;""),AVERAGE(AH160,AJ160),IF(AH160&lt;&gt;"",AH160,AJ160))))</f>
        <v>0</v>
      </c>
      <c r="AU160" s="49" t="str">
        <f aca="false">IF(AI160="","",MIN(120,AI160))</f>
        <v/>
      </c>
      <c r="AV160" s="49" t="str">
        <f aca="false">IF(AJ160="","",MIN(120,AJ160))</f>
        <v/>
      </c>
      <c r="AW160" s="50" t="str">
        <f aca="false">IF(COUNT(AN160:AV160)&lt;9,"",(AN160*'Standards &amp; Scoring'!$D$5+AO160*'Standards &amp; Scoring'!$D$6+AP160*'Standards &amp; Scoring'!$D$7+AQ160*'Standards &amp; Scoring'!$D$8+AR160*'Standards &amp; Scoring'!$D$9+AS160*'Standards &amp; Scoring'!$D$10+AT160*'Standards &amp; Scoring'!$D$11+AU160*'Standards &amp; Scoring'!$D$12+AV160*'Standards &amp; Scoring'!$D$13)/10000)</f>
        <v/>
      </c>
      <c r="AX160" s="47" t="str">
        <f aca="false">IF(AW160="","",IF(AW160&gt;=1.05,"A+",IF(AW160&gt;=1,"A",IF(AW160&gt;=0.95,"B+",IF(AW160&gt;=0.9,"B","C")))))</f>
        <v/>
      </c>
      <c r="AY160" s="47" t="str">
        <f aca="false">IF(AX160="","",IF(AX160="A+",1800,IF(AX160="A",1600,IF(AX160="B+",1400,IF(AX160="B",1200,0)))))</f>
        <v/>
      </c>
      <c r="AZ160" s="49" t="str">
        <f aca="false">IF(OR(L160="",M160="",S160="",M160=0),"",IFERROR(L160*60*S160/(M160*36),0))</f>
        <v/>
      </c>
    </row>
    <row r="161" customFormat="false" ht="15" hidden="false" customHeight="true" outlineLevel="0" collapsed="false">
      <c r="A161" s="47" t="n">
        <f aca="false">'Daily KPI Entry'!A162</f>
        <v>0</v>
      </c>
      <c r="B161" s="48" t="n">
        <f aca="false">'Daily KPI Entry'!B162</f>
        <v>0</v>
      </c>
      <c r="C161" s="47" t="n">
        <f aca="false">'Daily KPI Entry'!C162</f>
        <v>0</v>
      </c>
      <c r="D161" s="47" t="n">
        <f aca="false">'Daily KPI Entry'!D162</f>
        <v>0</v>
      </c>
      <c r="E161" s="47" t="n">
        <f aca="false">'Daily KPI Entry'!E162</f>
        <v>0</v>
      </c>
      <c r="F161" s="47" t="n">
        <f aca="false">'Daily KPI Entry'!F162</f>
        <v>0</v>
      </c>
      <c r="G161" s="47" t="n">
        <f aca="false">'Daily KPI Entry'!G162</f>
        <v>0</v>
      </c>
      <c r="H161" s="47" t="str">
        <f aca="false">'Daily KPI Entry'!H162</f>
        <v/>
      </c>
      <c r="I161" s="47" t="n">
        <f aca="false">'Daily KPI Entry'!I162</f>
        <v>0</v>
      </c>
      <c r="J161" s="47" t="n">
        <f aca="false">'Daily KPI Entry'!J162</f>
        <v>0</v>
      </c>
      <c r="K161" s="47" t="n">
        <f aca="false">'Daily KPI Entry'!K162</f>
        <v>0</v>
      </c>
      <c r="L161" s="47" t="n">
        <f aca="false">'Daily KPI Entry'!L162</f>
        <v>0</v>
      </c>
      <c r="M161" s="47" t="n">
        <f aca="false">'Daily KPI Entry'!M162</f>
        <v>0</v>
      </c>
      <c r="N161" s="49" t="n">
        <f aca="false">'Daily KPI Entry'!N162</f>
        <v>0</v>
      </c>
      <c r="O161" s="49" t="n">
        <f aca="false">'Daily KPI Entry'!O162</f>
        <v>0</v>
      </c>
      <c r="P161" s="49" t="str">
        <f aca="false">IF(OR(N161="",O161=""),"",IFERROR(O161/N161*100,0))</f>
        <v/>
      </c>
      <c r="Q161" s="47" t="n">
        <f aca="false">'Daily KPI Entry'!Q162</f>
        <v>8</v>
      </c>
      <c r="R161" s="47" t="str">
        <f aca="false">IF(J161="","",Q161*J161)</f>
        <v/>
      </c>
      <c r="S161" s="49" t="n">
        <f aca="false">'Daily KPI Entry'!S162</f>
        <v>0</v>
      </c>
      <c r="T161" s="49" t="str">
        <f aca="false">IF(OR(R161="",S161=""),"",IFERROR(S161/R161*100,0))</f>
        <v/>
      </c>
      <c r="U161" s="49" t="str">
        <f aca="false">IF(OR(O161="",L161="",M161="",S161="",M161=0),"",IFERROR(O161/(L161*60*S161/(M161*36))*100,0))</f>
        <v/>
      </c>
      <c r="V161" s="49" t="n">
        <f aca="false">'Daily KPI Entry'!V162</f>
        <v>0</v>
      </c>
      <c r="W161" s="49" t="str">
        <f aca="false">IF(O161="","",IFERROR(V161/O161*100,0))</f>
        <v/>
      </c>
      <c r="X161" s="49" t="n">
        <f aca="false">'Daily KPI Entry'!X162</f>
        <v>0</v>
      </c>
      <c r="Y161" s="49" t="n">
        <f aca="false">'Daily KPI Entry'!Y162</f>
        <v>0</v>
      </c>
      <c r="Z161" s="49" t="n">
        <f aca="false">'Daily KPI Entry'!Z162</f>
        <v>0</v>
      </c>
      <c r="AA161" s="49" t="n">
        <f aca="false">'Daily KPI Entry'!AA162</f>
        <v>0</v>
      </c>
      <c r="AB161" s="49" t="n">
        <f aca="false">'Daily KPI Entry'!AB162</f>
        <v>0</v>
      </c>
      <c r="AC161" s="49" t="n">
        <f aca="false">'Daily KPI Entry'!AC162</f>
        <v>0</v>
      </c>
      <c r="AD161" s="49" t="n">
        <f aca="false">'Daily KPI Entry'!AD162</f>
        <v>0</v>
      </c>
      <c r="AE161" s="49" t="n">
        <f aca="false">'Daily KPI Entry'!AE162</f>
        <v>0</v>
      </c>
      <c r="AF161" s="47" t="str">
        <f aca="false">IF(O161="","",SUM(X161:AE161))</f>
        <v/>
      </c>
      <c r="AG161" s="49" t="str">
        <f aca="false">IF(O161="","",IFERROR(AF161/O161*1000,0))</f>
        <v/>
      </c>
      <c r="AH161" s="49" t="n">
        <f aca="false">'Daily KPI Entry'!AH162</f>
        <v>0</v>
      </c>
      <c r="AI161" s="49" t="n">
        <f aca="false">'Daily KPI Entry'!AI162</f>
        <v>0</v>
      </c>
      <c r="AJ161" s="49" t="n">
        <f aca="false">'Daily KPI Entry'!AJ162</f>
        <v>0</v>
      </c>
      <c r="AK161" s="47" t="n">
        <f aca="false">'Daily KPI Entry'!AK162</f>
        <v>0</v>
      </c>
      <c r="AL161" s="47" t="n">
        <f aca="false">'Daily KPI Entry'!AL162</f>
        <v>0</v>
      </c>
      <c r="AM161" s="47" t="n">
        <f aca="false">'Daily KPI Entry'!AM162</f>
        <v>0</v>
      </c>
      <c r="AN161" s="49" t="str">
        <f aca="false">IF(P161="","",MIN(120,P161))</f>
        <v/>
      </c>
      <c r="AO161" s="49" t="str">
        <f aca="false">IF(U161="","",MIN(120,U161))</f>
        <v/>
      </c>
      <c r="AP161" s="49" t="str">
        <f aca="false">IF(R161="","",MIN(120,IFERROR(S161/R161*100,0)))</f>
        <v/>
      </c>
      <c r="AQ161" s="49" t="str">
        <f aca="false">IF(W161="","",MIN(120,IF(W161=0,120,100*(INDEX('Standards &amp; Scoring'!$E$5:$E$13,MATCH("Quality / Rejection",'Standards &amp; Scoring'!$A$5:$A$13,0))/W161))))</f>
        <v/>
      </c>
      <c r="AR161" s="49" t="str">
        <f aca="false">IF(AG161="","",MIN(120,IF(AG161=0,120,100*(INDEX('Standards &amp; Scoring'!$E$5:$E$13,MATCH("Fault Control",'Standards &amp; Scoring'!$A$5:$A$13,0))/AG161))))</f>
        <v/>
      </c>
      <c r="AS161" s="49" t="str">
        <f aca="false">IF(O161="","",MIN(120,IF(SUMIFS('Fault &amp; Downtime Entry'!$L$6:$L$1005,'Fault &amp; Downtime Entry'!$E$6:$E$1005,G161,'Fault &amp; Downtime Entry'!$B$6:$B$1005,B161)=0,120,100*(INDEX('Standards &amp; Scoring'!$E$5:$E$13,MATCH("Downtime Control",'Standards &amp; Scoring'!$A$5:$A$13,0))/IFERROR(SUMIFS('Fault &amp; Downtime Entry'!$L$6:$L$1005,'Fault &amp; Downtime Entry'!$E$6:$E$1005,G161,'Fault &amp; Downtime Entry'!$B$6:$B$1005,B161)/O161*1000,999999)))))</f>
        <v/>
      </c>
      <c r="AT161" s="49" t="n">
        <f aca="false">IF(COUNTA(AH161,AJ161)=0,"",MIN(120,IF(AND(AH161&lt;&gt;"",AJ161&lt;&gt;""),AVERAGE(AH161,AJ161),IF(AH161&lt;&gt;"",AH161,AJ161))))</f>
        <v>0</v>
      </c>
      <c r="AU161" s="49" t="str">
        <f aca="false">IF(AI161="","",MIN(120,AI161))</f>
        <v/>
      </c>
      <c r="AV161" s="49" t="str">
        <f aca="false">IF(AJ161="","",MIN(120,AJ161))</f>
        <v/>
      </c>
      <c r="AW161" s="50" t="str">
        <f aca="false">IF(COUNT(AN161:AV161)&lt;9,"",(AN161*'Standards &amp; Scoring'!$D$5+AO161*'Standards &amp; Scoring'!$D$6+AP161*'Standards &amp; Scoring'!$D$7+AQ161*'Standards &amp; Scoring'!$D$8+AR161*'Standards &amp; Scoring'!$D$9+AS161*'Standards &amp; Scoring'!$D$10+AT161*'Standards &amp; Scoring'!$D$11+AU161*'Standards &amp; Scoring'!$D$12+AV161*'Standards &amp; Scoring'!$D$13)/10000)</f>
        <v/>
      </c>
      <c r="AX161" s="47" t="str">
        <f aca="false">IF(AW161="","",IF(AW161&gt;=1.05,"A+",IF(AW161&gt;=1,"A",IF(AW161&gt;=0.95,"B+",IF(AW161&gt;=0.9,"B","C")))))</f>
        <v/>
      </c>
      <c r="AY161" s="47" t="str">
        <f aca="false">IF(AX161="","",IF(AX161="A+",1800,IF(AX161="A",1600,IF(AX161="B+",1400,IF(AX161="B",1200,0)))))</f>
        <v/>
      </c>
      <c r="AZ161" s="49" t="str">
        <f aca="false">IF(OR(L161="",M161="",S161="",M161=0),"",IFERROR(L161*60*S161/(M161*36),0))</f>
        <v/>
      </c>
    </row>
    <row r="162" customFormat="false" ht="15" hidden="false" customHeight="true" outlineLevel="0" collapsed="false">
      <c r="A162" s="47" t="n">
        <f aca="false">'Daily KPI Entry'!A163</f>
        <v>0</v>
      </c>
      <c r="B162" s="48" t="n">
        <f aca="false">'Daily KPI Entry'!B163</f>
        <v>0</v>
      </c>
      <c r="C162" s="47" t="n">
        <f aca="false">'Daily KPI Entry'!C163</f>
        <v>0</v>
      </c>
      <c r="D162" s="47" t="n">
        <f aca="false">'Daily KPI Entry'!D163</f>
        <v>0</v>
      </c>
      <c r="E162" s="47" t="n">
        <f aca="false">'Daily KPI Entry'!E163</f>
        <v>0</v>
      </c>
      <c r="F162" s="47" t="n">
        <f aca="false">'Daily KPI Entry'!F163</f>
        <v>0</v>
      </c>
      <c r="G162" s="47" t="n">
        <f aca="false">'Daily KPI Entry'!G163</f>
        <v>0</v>
      </c>
      <c r="H162" s="47" t="str">
        <f aca="false">'Daily KPI Entry'!H163</f>
        <v/>
      </c>
      <c r="I162" s="47" t="n">
        <f aca="false">'Daily KPI Entry'!I163</f>
        <v>0</v>
      </c>
      <c r="J162" s="47" t="n">
        <f aca="false">'Daily KPI Entry'!J163</f>
        <v>0</v>
      </c>
      <c r="K162" s="47" t="n">
        <f aca="false">'Daily KPI Entry'!K163</f>
        <v>0</v>
      </c>
      <c r="L162" s="47" t="n">
        <f aca="false">'Daily KPI Entry'!L163</f>
        <v>0</v>
      </c>
      <c r="M162" s="47" t="n">
        <f aca="false">'Daily KPI Entry'!M163</f>
        <v>0</v>
      </c>
      <c r="N162" s="49" t="n">
        <f aca="false">'Daily KPI Entry'!N163</f>
        <v>0</v>
      </c>
      <c r="O162" s="49" t="n">
        <f aca="false">'Daily KPI Entry'!O163</f>
        <v>0</v>
      </c>
      <c r="P162" s="49" t="str">
        <f aca="false">IF(OR(N162="",O162=""),"",IFERROR(O162/N162*100,0))</f>
        <v/>
      </c>
      <c r="Q162" s="47" t="n">
        <f aca="false">'Daily KPI Entry'!Q163</f>
        <v>8</v>
      </c>
      <c r="R162" s="47" t="str">
        <f aca="false">IF(J162="","",Q162*J162)</f>
        <v/>
      </c>
      <c r="S162" s="49" t="n">
        <f aca="false">'Daily KPI Entry'!S163</f>
        <v>0</v>
      </c>
      <c r="T162" s="49" t="str">
        <f aca="false">IF(OR(R162="",S162=""),"",IFERROR(S162/R162*100,0))</f>
        <v/>
      </c>
      <c r="U162" s="49" t="str">
        <f aca="false">IF(OR(O162="",L162="",M162="",S162="",M162=0),"",IFERROR(O162/(L162*60*S162/(M162*36))*100,0))</f>
        <v/>
      </c>
      <c r="V162" s="49" t="n">
        <f aca="false">'Daily KPI Entry'!V163</f>
        <v>0</v>
      </c>
      <c r="W162" s="49" t="str">
        <f aca="false">IF(O162="","",IFERROR(V162/O162*100,0))</f>
        <v/>
      </c>
      <c r="X162" s="49" t="n">
        <f aca="false">'Daily KPI Entry'!X163</f>
        <v>0</v>
      </c>
      <c r="Y162" s="49" t="n">
        <f aca="false">'Daily KPI Entry'!Y163</f>
        <v>0</v>
      </c>
      <c r="Z162" s="49" t="n">
        <f aca="false">'Daily KPI Entry'!Z163</f>
        <v>0</v>
      </c>
      <c r="AA162" s="49" t="n">
        <f aca="false">'Daily KPI Entry'!AA163</f>
        <v>0</v>
      </c>
      <c r="AB162" s="49" t="n">
        <f aca="false">'Daily KPI Entry'!AB163</f>
        <v>0</v>
      </c>
      <c r="AC162" s="49" t="n">
        <f aca="false">'Daily KPI Entry'!AC163</f>
        <v>0</v>
      </c>
      <c r="AD162" s="49" t="n">
        <f aca="false">'Daily KPI Entry'!AD163</f>
        <v>0</v>
      </c>
      <c r="AE162" s="49" t="n">
        <f aca="false">'Daily KPI Entry'!AE163</f>
        <v>0</v>
      </c>
      <c r="AF162" s="47" t="str">
        <f aca="false">IF(O162="","",SUM(X162:AE162))</f>
        <v/>
      </c>
      <c r="AG162" s="49" t="str">
        <f aca="false">IF(O162="","",IFERROR(AF162/O162*1000,0))</f>
        <v/>
      </c>
      <c r="AH162" s="49" t="n">
        <f aca="false">'Daily KPI Entry'!AH163</f>
        <v>0</v>
      </c>
      <c r="AI162" s="49" t="n">
        <f aca="false">'Daily KPI Entry'!AI163</f>
        <v>0</v>
      </c>
      <c r="AJ162" s="49" t="n">
        <f aca="false">'Daily KPI Entry'!AJ163</f>
        <v>0</v>
      </c>
      <c r="AK162" s="47" t="n">
        <f aca="false">'Daily KPI Entry'!AK163</f>
        <v>0</v>
      </c>
      <c r="AL162" s="47" t="n">
        <f aca="false">'Daily KPI Entry'!AL163</f>
        <v>0</v>
      </c>
      <c r="AM162" s="47" t="n">
        <f aca="false">'Daily KPI Entry'!AM163</f>
        <v>0</v>
      </c>
      <c r="AN162" s="49" t="str">
        <f aca="false">IF(P162="","",MIN(120,P162))</f>
        <v/>
      </c>
      <c r="AO162" s="49" t="str">
        <f aca="false">IF(U162="","",MIN(120,U162))</f>
        <v/>
      </c>
      <c r="AP162" s="49" t="str">
        <f aca="false">IF(R162="","",MIN(120,IFERROR(S162/R162*100,0)))</f>
        <v/>
      </c>
      <c r="AQ162" s="49" t="str">
        <f aca="false">IF(W162="","",MIN(120,IF(W162=0,120,100*(INDEX('Standards &amp; Scoring'!$E$5:$E$13,MATCH("Quality / Rejection",'Standards &amp; Scoring'!$A$5:$A$13,0))/W162))))</f>
        <v/>
      </c>
      <c r="AR162" s="49" t="str">
        <f aca="false">IF(AG162="","",MIN(120,IF(AG162=0,120,100*(INDEX('Standards &amp; Scoring'!$E$5:$E$13,MATCH("Fault Control",'Standards &amp; Scoring'!$A$5:$A$13,0))/AG162))))</f>
        <v/>
      </c>
      <c r="AS162" s="49" t="str">
        <f aca="false">IF(O162="","",MIN(120,IF(SUMIFS('Fault &amp; Downtime Entry'!$L$6:$L$1005,'Fault &amp; Downtime Entry'!$E$6:$E$1005,G162,'Fault &amp; Downtime Entry'!$B$6:$B$1005,B162)=0,120,100*(INDEX('Standards &amp; Scoring'!$E$5:$E$13,MATCH("Downtime Control",'Standards &amp; Scoring'!$A$5:$A$13,0))/IFERROR(SUMIFS('Fault &amp; Downtime Entry'!$L$6:$L$1005,'Fault &amp; Downtime Entry'!$E$6:$E$1005,G162,'Fault &amp; Downtime Entry'!$B$6:$B$1005,B162)/O162*1000,999999)))))</f>
        <v/>
      </c>
      <c r="AT162" s="49" t="n">
        <f aca="false">IF(COUNTA(AH162,AJ162)=0,"",MIN(120,IF(AND(AH162&lt;&gt;"",AJ162&lt;&gt;""),AVERAGE(AH162,AJ162),IF(AH162&lt;&gt;"",AH162,AJ162))))</f>
        <v>0</v>
      </c>
      <c r="AU162" s="49" t="str">
        <f aca="false">IF(AI162="","",MIN(120,AI162))</f>
        <v/>
      </c>
      <c r="AV162" s="49" t="str">
        <f aca="false">IF(AJ162="","",MIN(120,AJ162))</f>
        <v/>
      </c>
      <c r="AW162" s="50" t="str">
        <f aca="false">IF(COUNT(AN162:AV162)&lt;9,"",(AN162*'Standards &amp; Scoring'!$D$5+AO162*'Standards &amp; Scoring'!$D$6+AP162*'Standards &amp; Scoring'!$D$7+AQ162*'Standards &amp; Scoring'!$D$8+AR162*'Standards &amp; Scoring'!$D$9+AS162*'Standards &amp; Scoring'!$D$10+AT162*'Standards &amp; Scoring'!$D$11+AU162*'Standards &amp; Scoring'!$D$12+AV162*'Standards &amp; Scoring'!$D$13)/10000)</f>
        <v/>
      </c>
      <c r="AX162" s="47" t="str">
        <f aca="false">IF(AW162="","",IF(AW162&gt;=1.05,"A+",IF(AW162&gt;=1,"A",IF(AW162&gt;=0.95,"B+",IF(AW162&gt;=0.9,"B","C")))))</f>
        <v/>
      </c>
      <c r="AY162" s="47" t="str">
        <f aca="false">IF(AX162="","",IF(AX162="A+",1800,IF(AX162="A",1600,IF(AX162="B+",1400,IF(AX162="B",1200,0)))))</f>
        <v/>
      </c>
      <c r="AZ162" s="49" t="str">
        <f aca="false">IF(OR(L162="",M162="",S162="",M162=0),"",IFERROR(L162*60*S162/(M162*36),0))</f>
        <v/>
      </c>
    </row>
    <row r="163" customFormat="false" ht="15" hidden="false" customHeight="true" outlineLevel="0" collapsed="false">
      <c r="A163" s="47" t="n">
        <f aca="false">'Daily KPI Entry'!A164</f>
        <v>0</v>
      </c>
      <c r="B163" s="48" t="n">
        <f aca="false">'Daily KPI Entry'!B164</f>
        <v>0</v>
      </c>
      <c r="C163" s="47" t="n">
        <f aca="false">'Daily KPI Entry'!C164</f>
        <v>0</v>
      </c>
      <c r="D163" s="47" t="n">
        <f aca="false">'Daily KPI Entry'!D164</f>
        <v>0</v>
      </c>
      <c r="E163" s="47" t="n">
        <f aca="false">'Daily KPI Entry'!E164</f>
        <v>0</v>
      </c>
      <c r="F163" s="47" t="n">
        <f aca="false">'Daily KPI Entry'!F164</f>
        <v>0</v>
      </c>
      <c r="G163" s="47" t="n">
        <f aca="false">'Daily KPI Entry'!G164</f>
        <v>0</v>
      </c>
      <c r="H163" s="47" t="str">
        <f aca="false">'Daily KPI Entry'!H164</f>
        <v/>
      </c>
      <c r="I163" s="47" t="n">
        <f aca="false">'Daily KPI Entry'!I164</f>
        <v>0</v>
      </c>
      <c r="J163" s="47" t="n">
        <f aca="false">'Daily KPI Entry'!J164</f>
        <v>0</v>
      </c>
      <c r="K163" s="47" t="n">
        <f aca="false">'Daily KPI Entry'!K164</f>
        <v>0</v>
      </c>
      <c r="L163" s="47" t="n">
        <f aca="false">'Daily KPI Entry'!L164</f>
        <v>0</v>
      </c>
      <c r="M163" s="47" t="n">
        <f aca="false">'Daily KPI Entry'!M164</f>
        <v>0</v>
      </c>
      <c r="N163" s="49" t="n">
        <f aca="false">'Daily KPI Entry'!N164</f>
        <v>0</v>
      </c>
      <c r="O163" s="49" t="n">
        <f aca="false">'Daily KPI Entry'!O164</f>
        <v>0</v>
      </c>
      <c r="P163" s="49" t="str">
        <f aca="false">IF(OR(N163="",O163=""),"",IFERROR(O163/N163*100,0))</f>
        <v/>
      </c>
      <c r="Q163" s="47" t="n">
        <f aca="false">'Daily KPI Entry'!Q164</f>
        <v>8</v>
      </c>
      <c r="R163" s="47" t="str">
        <f aca="false">IF(J163="","",Q163*J163)</f>
        <v/>
      </c>
      <c r="S163" s="49" t="n">
        <f aca="false">'Daily KPI Entry'!S164</f>
        <v>0</v>
      </c>
      <c r="T163" s="49" t="str">
        <f aca="false">IF(OR(R163="",S163=""),"",IFERROR(S163/R163*100,0))</f>
        <v/>
      </c>
      <c r="U163" s="49" t="str">
        <f aca="false">IF(OR(O163="",L163="",M163="",S163="",M163=0),"",IFERROR(O163/(L163*60*S163/(M163*36))*100,0))</f>
        <v/>
      </c>
      <c r="V163" s="49" t="n">
        <f aca="false">'Daily KPI Entry'!V164</f>
        <v>0</v>
      </c>
      <c r="W163" s="49" t="str">
        <f aca="false">IF(O163="","",IFERROR(V163/O163*100,0))</f>
        <v/>
      </c>
      <c r="X163" s="49" t="n">
        <f aca="false">'Daily KPI Entry'!X164</f>
        <v>0</v>
      </c>
      <c r="Y163" s="49" t="n">
        <f aca="false">'Daily KPI Entry'!Y164</f>
        <v>0</v>
      </c>
      <c r="Z163" s="49" t="n">
        <f aca="false">'Daily KPI Entry'!Z164</f>
        <v>0</v>
      </c>
      <c r="AA163" s="49" t="n">
        <f aca="false">'Daily KPI Entry'!AA164</f>
        <v>0</v>
      </c>
      <c r="AB163" s="49" t="n">
        <f aca="false">'Daily KPI Entry'!AB164</f>
        <v>0</v>
      </c>
      <c r="AC163" s="49" t="n">
        <f aca="false">'Daily KPI Entry'!AC164</f>
        <v>0</v>
      </c>
      <c r="AD163" s="49" t="n">
        <f aca="false">'Daily KPI Entry'!AD164</f>
        <v>0</v>
      </c>
      <c r="AE163" s="49" t="n">
        <f aca="false">'Daily KPI Entry'!AE164</f>
        <v>0</v>
      </c>
      <c r="AF163" s="47" t="str">
        <f aca="false">IF(O163="","",SUM(X163:AE163))</f>
        <v/>
      </c>
      <c r="AG163" s="49" t="str">
        <f aca="false">IF(O163="","",IFERROR(AF163/O163*1000,0))</f>
        <v/>
      </c>
      <c r="AH163" s="49" t="n">
        <f aca="false">'Daily KPI Entry'!AH164</f>
        <v>0</v>
      </c>
      <c r="AI163" s="49" t="n">
        <f aca="false">'Daily KPI Entry'!AI164</f>
        <v>0</v>
      </c>
      <c r="AJ163" s="49" t="n">
        <f aca="false">'Daily KPI Entry'!AJ164</f>
        <v>0</v>
      </c>
      <c r="AK163" s="47" t="n">
        <f aca="false">'Daily KPI Entry'!AK164</f>
        <v>0</v>
      </c>
      <c r="AL163" s="47" t="n">
        <f aca="false">'Daily KPI Entry'!AL164</f>
        <v>0</v>
      </c>
      <c r="AM163" s="47" t="n">
        <f aca="false">'Daily KPI Entry'!AM164</f>
        <v>0</v>
      </c>
      <c r="AN163" s="49" t="str">
        <f aca="false">IF(P163="","",MIN(120,P163))</f>
        <v/>
      </c>
      <c r="AO163" s="49" t="str">
        <f aca="false">IF(U163="","",MIN(120,U163))</f>
        <v/>
      </c>
      <c r="AP163" s="49" t="str">
        <f aca="false">IF(R163="","",MIN(120,IFERROR(S163/R163*100,0)))</f>
        <v/>
      </c>
      <c r="AQ163" s="49" t="str">
        <f aca="false">IF(W163="","",MIN(120,IF(W163=0,120,100*(INDEX('Standards &amp; Scoring'!$E$5:$E$13,MATCH("Quality / Rejection",'Standards &amp; Scoring'!$A$5:$A$13,0))/W163))))</f>
        <v/>
      </c>
      <c r="AR163" s="49" t="str">
        <f aca="false">IF(AG163="","",MIN(120,IF(AG163=0,120,100*(INDEX('Standards &amp; Scoring'!$E$5:$E$13,MATCH("Fault Control",'Standards &amp; Scoring'!$A$5:$A$13,0))/AG163))))</f>
        <v/>
      </c>
      <c r="AS163" s="49" t="str">
        <f aca="false">IF(O163="","",MIN(120,IF(SUMIFS('Fault &amp; Downtime Entry'!$L$6:$L$1005,'Fault &amp; Downtime Entry'!$E$6:$E$1005,G163,'Fault &amp; Downtime Entry'!$B$6:$B$1005,B163)=0,120,100*(INDEX('Standards &amp; Scoring'!$E$5:$E$13,MATCH("Downtime Control",'Standards &amp; Scoring'!$A$5:$A$13,0))/IFERROR(SUMIFS('Fault &amp; Downtime Entry'!$L$6:$L$1005,'Fault &amp; Downtime Entry'!$E$6:$E$1005,G163,'Fault &amp; Downtime Entry'!$B$6:$B$1005,B163)/O163*1000,999999)))))</f>
        <v/>
      </c>
      <c r="AT163" s="49" t="n">
        <f aca="false">IF(COUNTA(AH163,AJ163)=0,"",MIN(120,IF(AND(AH163&lt;&gt;"",AJ163&lt;&gt;""),AVERAGE(AH163,AJ163),IF(AH163&lt;&gt;"",AH163,AJ163))))</f>
        <v>0</v>
      </c>
      <c r="AU163" s="49" t="str">
        <f aca="false">IF(AI163="","",MIN(120,AI163))</f>
        <v/>
      </c>
      <c r="AV163" s="49" t="str">
        <f aca="false">IF(AJ163="","",MIN(120,AJ163))</f>
        <v/>
      </c>
      <c r="AW163" s="50" t="str">
        <f aca="false">IF(COUNT(AN163:AV163)&lt;9,"",(AN163*'Standards &amp; Scoring'!$D$5+AO163*'Standards &amp; Scoring'!$D$6+AP163*'Standards &amp; Scoring'!$D$7+AQ163*'Standards &amp; Scoring'!$D$8+AR163*'Standards &amp; Scoring'!$D$9+AS163*'Standards &amp; Scoring'!$D$10+AT163*'Standards &amp; Scoring'!$D$11+AU163*'Standards &amp; Scoring'!$D$12+AV163*'Standards &amp; Scoring'!$D$13)/10000)</f>
        <v/>
      </c>
      <c r="AX163" s="47" t="str">
        <f aca="false">IF(AW163="","",IF(AW163&gt;=1.05,"A+",IF(AW163&gt;=1,"A",IF(AW163&gt;=0.95,"B+",IF(AW163&gt;=0.9,"B","C")))))</f>
        <v/>
      </c>
      <c r="AY163" s="47" t="str">
        <f aca="false">IF(AX163="","",IF(AX163="A+",1800,IF(AX163="A",1600,IF(AX163="B+",1400,IF(AX163="B",1200,0)))))</f>
        <v/>
      </c>
      <c r="AZ163" s="49" t="str">
        <f aca="false">IF(OR(L163="",M163="",S163="",M163=0),"",IFERROR(L163*60*S163/(M163*36),0))</f>
        <v/>
      </c>
    </row>
    <row r="164" customFormat="false" ht="15" hidden="false" customHeight="true" outlineLevel="0" collapsed="false">
      <c r="A164" s="47" t="n">
        <f aca="false">'Daily KPI Entry'!A165</f>
        <v>0</v>
      </c>
      <c r="B164" s="48" t="n">
        <f aca="false">'Daily KPI Entry'!B165</f>
        <v>0</v>
      </c>
      <c r="C164" s="47" t="n">
        <f aca="false">'Daily KPI Entry'!C165</f>
        <v>0</v>
      </c>
      <c r="D164" s="47" t="n">
        <f aca="false">'Daily KPI Entry'!D165</f>
        <v>0</v>
      </c>
      <c r="E164" s="47" t="n">
        <f aca="false">'Daily KPI Entry'!E165</f>
        <v>0</v>
      </c>
      <c r="F164" s="47" t="n">
        <f aca="false">'Daily KPI Entry'!F165</f>
        <v>0</v>
      </c>
      <c r="G164" s="47" t="n">
        <f aca="false">'Daily KPI Entry'!G165</f>
        <v>0</v>
      </c>
      <c r="H164" s="47" t="str">
        <f aca="false">'Daily KPI Entry'!H165</f>
        <v/>
      </c>
      <c r="I164" s="47" t="n">
        <f aca="false">'Daily KPI Entry'!I165</f>
        <v>0</v>
      </c>
      <c r="J164" s="47" t="n">
        <f aca="false">'Daily KPI Entry'!J165</f>
        <v>0</v>
      </c>
      <c r="K164" s="47" t="n">
        <f aca="false">'Daily KPI Entry'!K165</f>
        <v>0</v>
      </c>
      <c r="L164" s="47" t="n">
        <f aca="false">'Daily KPI Entry'!L165</f>
        <v>0</v>
      </c>
      <c r="M164" s="47" t="n">
        <f aca="false">'Daily KPI Entry'!M165</f>
        <v>0</v>
      </c>
      <c r="N164" s="49" t="n">
        <f aca="false">'Daily KPI Entry'!N165</f>
        <v>0</v>
      </c>
      <c r="O164" s="49" t="n">
        <f aca="false">'Daily KPI Entry'!O165</f>
        <v>0</v>
      </c>
      <c r="P164" s="49" t="str">
        <f aca="false">IF(OR(N164="",O164=""),"",IFERROR(O164/N164*100,0))</f>
        <v/>
      </c>
      <c r="Q164" s="47" t="n">
        <f aca="false">'Daily KPI Entry'!Q165</f>
        <v>8</v>
      </c>
      <c r="R164" s="47" t="str">
        <f aca="false">IF(J164="","",Q164*J164)</f>
        <v/>
      </c>
      <c r="S164" s="49" t="n">
        <f aca="false">'Daily KPI Entry'!S165</f>
        <v>0</v>
      </c>
      <c r="T164" s="49" t="str">
        <f aca="false">IF(OR(R164="",S164=""),"",IFERROR(S164/R164*100,0))</f>
        <v/>
      </c>
      <c r="U164" s="49" t="str">
        <f aca="false">IF(OR(O164="",L164="",M164="",S164="",M164=0),"",IFERROR(O164/(L164*60*S164/(M164*36))*100,0))</f>
        <v/>
      </c>
      <c r="V164" s="49" t="n">
        <f aca="false">'Daily KPI Entry'!V165</f>
        <v>0</v>
      </c>
      <c r="W164" s="49" t="str">
        <f aca="false">IF(O164="","",IFERROR(V164/O164*100,0))</f>
        <v/>
      </c>
      <c r="X164" s="49" t="n">
        <f aca="false">'Daily KPI Entry'!X165</f>
        <v>0</v>
      </c>
      <c r="Y164" s="49" t="n">
        <f aca="false">'Daily KPI Entry'!Y165</f>
        <v>0</v>
      </c>
      <c r="Z164" s="49" t="n">
        <f aca="false">'Daily KPI Entry'!Z165</f>
        <v>0</v>
      </c>
      <c r="AA164" s="49" t="n">
        <f aca="false">'Daily KPI Entry'!AA165</f>
        <v>0</v>
      </c>
      <c r="AB164" s="49" t="n">
        <f aca="false">'Daily KPI Entry'!AB165</f>
        <v>0</v>
      </c>
      <c r="AC164" s="49" t="n">
        <f aca="false">'Daily KPI Entry'!AC165</f>
        <v>0</v>
      </c>
      <c r="AD164" s="49" t="n">
        <f aca="false">'Daily KPI Entry'!AD165</f>
        <v>0</v>
      </c>
      <c r="AE164" s="49" t="n">
        <f aca="false">'Daily KPI Entry'!AE165</f>
        <v>0</v>
      </c>
      <c r="AF164" s="47" t="str">
        <f aca="false">IF(O164="","",SUM(X164:AE164))</f>
        <v/>
      </c>
      <c r="AG164" s="49" t="str">
        <f aca="false">IF(O164="","",IFERROR(AF164/O164*1000,0))</f>
        <v/>
      </c>
      <c r="AH164" s="49" t="n">
        <f aca="false">'Daily KPI Entry'!AH165</f>
        <v>0</v>
      </c>
      <c r="AI164" s="49" t="n">
        <f aca="false">'Daily KPI Entry'!AI165</f>
        <v>0</v>
      </c>
      <c r="AJ164" s="49" t="n">
        <f aca="false">'Daily KPI Entry'!AJ165</f>
        <v>0</v>
      </c>
      <c r="AK164" s="47" t="n">
        <f aca="false">'Daily KPI Entry'!AK165</f>
        <v>0</v>
      </c>
      <c r="AL164" s="47" t="n">
        <f aca="false">'Daily KPI Entry'!AL165</f>
        <v>0</v>
      </c>
      <c r="AM164" s="47" t="n">
        <f aca="false">'Daily KPI Entry'!AM165</f>
        <v>0</v>
      </c>
      <c r="AN164" s="49" t="str">
        <f aca="false">IF(P164="","",MIN(120,P164))</f>
        <v/>
      </c>
      <c r="AO164" s="49" t="str">
        <f aca="false">IF(U164="","",MIN(120,U164))</f>
        <v/>
      </c>
      <c r="AP164" s="49" t="str">
        <f aca="false">IF(R164="","",MIN(120,IFERROR(S164/R164*100,0)))</f>
        <v/>
      </c>
      <c r="AQ164" s="49" t="str">
        <f aca="false">IF(W164="","",MIN(120,IF(W164=0,120,100*(INDEX('Standards &amp; Scoring'!$E$5:$E$13,MATCH("Quality / Rejection",'Standards &amp; Scoring'!$A$5:$A$13,0))/W164))))</f>
        <v/>
      </c>
      <c r="AR164" s="49" t="str">
        <f aca="false">IF(AG164="","",MIN(120,IF(AG164=0,120,100*(INDEX('Standards &amp; Scoring'!$E$5:$E$13,MATCH("Fault Control",'Standards &amp; Scoring'!$A$5:$A$13,0))/AG164))))</f>
        <v/>
      </c>
      <c r="AS164" s="49" t="str">
        <f aca="false">IF(O164="","",MIN(120,IF(SUMIFS('Fault &amp; Downtime Entry'!$L$6:$L$1005,'Fault &amp; Downtime Entry'!$E$6:$E$1005,G164,'Fault &amp; Downtime Entry'!$B$6:$B$1005,B164)=0,120,100*(INDEX('Standards &amp; Scoring'!$E$5:$E$13,MATCH("Downtime Control",'Standards &amp; Scoring'!$A$5:$A$13,0))/IFERROR(SUMIFS('Fault &amp; Downtime Entry'!$L$6:$L$1005,'Fault &amp; Downtime Entry'!$E$6:$E$1005,G164,'Fault &amp; Downtime Entry'!$B$6:$B$1005,B164)/O164*1000,999999)))))</f>
        <v/>
      </c>
      <c r="AT164" s="49" t="n">
        <f aca="false">IF(COUNTA(AH164,AJ164)=0,"",MIN(120,IF(AND(AH164&lt;&gt;"",AJ164&lt;&gt;""),AVERAGE(AH164,AJ164),IF(AH164&lt;&gt;"",AH164,AJ164))))</f>
        <v>0</v>
      </c>
      <c r="AU164" s="49" t="str">
        <f aca="false">IF(AI164="","",MIN(120,AI164))</f>
        <v/>
      </c>
      <c r="AV164" s="49" t="str">
        <f aca="false">IF(AJ164="","",MIN(120,AJ164))</f>
        <v/>
      </c>
      <c r="AW164" s="50" t="str">
        <f aca="false">IF(COUNT(AN164:AV164)&lt;9,"",(AN164*'Standards &amp; Scoring'!$D$5+AO164*'Standards &amp; Scoring'!$D$6+AP164*'Standards &amp; Scoring'!$D$7+AQ164*'Standards &amp; Scoring'!$D$8+AR164*'Standards &amp; Scoring'!$D$9+AS164*'Standards &amp; Scoring'!$D$10+AT164*'Standards &amp; Scoring'!$D$11+AU164*'Standards &amp; Scoring'!$D$12+AV164*'Standards &amp; Scoring'!$D$13)/10000)</f>
        <v/>
      </c>
      <c r="AX164" s="47" t="str">
        <f aca="false">IF(AW164="","",IF(AW164&gt;=1.05,"A+",IF(AW164&gt;=1,"A",IF(AW164&gt;=0.95,"B+",IF(AW164&gt;=0.9,"B","C")))))</f>
        <v/>
      </c>
      <c r="AY164" s="47" t="str">
        <f aca="false">IF(AX164="","",IF(AX164="A+",1800,IF(AX164="A",1600,IF(AX164="B+",1400,IF(AX164="B",1200,0)))))</f>
        <v/>
      </c>
      <c r="AZ164" s="49" t="str">
        <f aca="false">IF(OR(L164="",M164="",S164="",M164=0),"",IFERROR(L164*60*S164/(M164*36),0))</f>
        <v/>
      </c>
    </row>
    <row r="165" customFormat="false" ht="15" hidden="false" customHeight="true" outlineLevel="0" collapsed="false">
      <c r="A165" s="47" t="n">
        <f aca="false">'Daily KPI Entry'!A166</f>
        <v>0</v>
      </c>
      <c r="B165" s="48" t="n">
        <f aca="false">'Daily KPI Entry'!B166</f>
        <v>0</v>
      </c>
      <c r="C165" s="47" t="n">
        <f aca="false">'Daily KPI Entry'!C166</f>
        <v>0</v>
      </c>
      <c r="D165" s="47" t="n">
        <f aca="false">'Daily KPI Entry'!D166</f>
        <v>0</v>
      </c>
      <c r="E165" s="47" t="n">
        <f aca="false">'Daily KPI Entry'!E166</f>
        <v>0</v>
      </c>
      <c r="F165" s="47" t="n">
        <f aca="false">'Daily KPI Entry'!F166</f>
        <v>0</v>
      </c>
      <c r="G165" s="47" t="n">
        <f aca="false">'Daily KPI Entry'!G166</f>
        <v>0</v>
      </c>
      <c r="H165" s="47" t="str">
        <f aca="false">'Daily KPI Entry'!H166</f>
        <v/>
      </c>
      <c r="I165" s="47" t="n">
        <f aca="false">'Daily KPI Entry'!I166</f>
        <v>0</v>
      </c>
      <c r="J165" s="47" t="n">
        <f aca="false">'Daily KPI Entry'!J166</f>
        <v>0</v>
      </c>
      <c r="K165" s="47" t="n">
        <f aca="false">'Daily KPI Entry'!K166</f>
        <v>0</v>
      </c>
      <c r="L165" s="47" t="n">
        <f aca="false">'Daily KPI Entry'!L166</f>
        <v>0</v>
      </c>
      <c r="M165" s="47" t="n">
        <f aca="false">'Daily KPI Entry'!M166</f>
        <v>0</v>
      </c>
      <c r="N165" s="49" t="n">
        <f aca="false">'Daily KPI Entry'!N166</f>
        <v>0</v>
      </c>
      <c r="O165" s="49" t="n">
        <f aca="false">'Daily KPI Entry'!O166</f>
        <v>0</v>
      </c>
      <c r="P165" s="49" t="str">
        <f aca="false">IF(OR(N165="",O165=""),"",IFERROR(O165/N165*100,0))</f>
        <v/>
      </c>
      <c r="Q165" s="47" t="n">
        <f aca="false">'Daily KPI Entry'!Q166</f>
        <v>8</v>
      </c>
      <c r="R165" s="47" t="str">
        <f aca="false">IF(J165="","",Q165*J165)</f>
        <v/>
      </c>
      <c r="S165" s="49" t="n">
        <f aca="false">'Daily KPI Entry'!S166</f>
        <v>0</v>
      </c>
      <c r="T165" s="49" t="str">
        <f aca="false">IF(OR(R165="",S165=""),"",IFERROR(S165/R165*100,0))</f>
        <v/>
      </c>
      <c r="U165" s="49" t="str">
        <f aca="false">IF(OR(O165="",L165="",M165="",S165="",M165=0),"",IFERROR(O165/(L165*60*S165/(M165*36))*100,0))</f>
        <v/>
      </c>
      <c r="V165" s="49" t="n">
        <f aca="false">'Daily KPI Entry'!V166</f>
        <v>0</v>
      </c>
      <c r="W165" s="49" t="str">
        <f aca="false">IF(O165="","",IFERROR(V165/O165*100,0))</f>
        <v/>
      </c>
      <c r="X165" s="49" t="n">
        <f aca="false">'Daily KPI Entry'!X166</f>
        <v>0</v>
      </c>
      <c r="Y165" s="49" t="n">
        <f aca="false">'Daily KPI Entry'!Y166</f>
        <v>0</v>
      </c>
      <c r="Z165" s="49" t="n">
        <f aca="false">'Daily KPI Entry'!Z166</f>
        <v>0</v>
      </c>
      <c r="AA165" s="49" t="n">
        <f aca="false">'Daily KPI Entry'!AA166</f>
        <v>0</v>
      </c>
      <c r="AB165" s="49" t="n">
        <f aca="false">'Daily KPI Entry'!AB166</f>
        <v>0</v>
      </c>
      <c r="AC165" s="49" t="n">
        <f aca="false">'Daily KPI Entry'!AC166</f>
        <v>0</v>
      </c>
      <c r="AD165" s="49" t="n">
        <f aca="false">'Daily KPI Entry'!AD166</f>
        <v>0</v>
      </c>
      <c r="AE165" s="49" t="n">
        <f aca="false">'Daily KPI Entry'!AE166</f>
        <v>0</v>
      </c>
      <c r="AF165" s="47" t="str">
        <f aca="false">IF(O165="","",SUM(X165:AE165))</f>
        <v/>
      </c>
      <c r="AG165" s="49" t="str">
        <f aca="false">IF(O165="","",IFERROR(AF165/O165*1000,0))</f>
        <v/>
      </c>
      <c r="AH165" s="49" t="n">
        <f aca="false">'Daily KPI Entry'!AH166</f>
        <v>0</v>
      </c>
      <c r="AI165" s="49" t="n">
        <f aca="false">'Daily KPI Entry'!AI166</f>
        <v>0</v>
      </c>
      <c r="AJ165" s="49" t="n">
        <f aca="false">'Daily KPI Entry'!AJ166</f>
        <v>0</v>
      </c>
      <c r="AK165" s="47" t="n">
        <f aca="false">'Daily KPI Entry'!AK166</f>
        <v>0</v>
      </c>
      <c r="AL165" s="47" t="n">
        <f aca="false">'Daily KPI Entry'!AL166</f>
        <v>0</v>
      </c>
      <c r="AM165" s="47" t="n">
        <f aca="false">'Daily KPI Entry'!AM166</f>
        <v>0</v>
      </c>
      <c r="AN165" s="49" t="str">
        <f aca="false">IF(P165="","",MIN(120,P165))</f>
        <v/>
      </c>
      <c r="AO165" s="49" t="str">
        <f aca="false">IF(U165="","",MIN(120,U165))</f>
        <v/>
      </c>
      <c r="AP165" s="49" t="str">
        <f aca="false">IF(R165="","",MIN(120,IFERROR(S165/R165*100,0)))</f>
        <v/>
      </c>
      <c r="AQ165" s="49" t="str">
        <f aca="false">IF(W165="","",MIN(120,IF(W165=0,120,100*(INDEX('Standards &amp; Scoring'!$E$5:$E$13,MATCH("Quality / Rejection",'Standards &amp; Scoring'!$A$5:$A$13,0))/W165))))</f>
        <v/>
      </c>
      <c r="AR165" s="49" t="str">
        <f aca="false">IF(AG165="","",MIN(120,IF(AG165=0,120,100*(INDEX('Standards &amp; Scoring'!$E$5:$E$13,MATCH("Fault Control",'Standards &amp; Scoring'!$A$5:$A$13,0))/AG165))))</f>
        <v/>
      </c>
      <c r="AS165" s="49" t="str">
        <f aca="false">IF(O165="","",MIN(120,IF(SUMIFS('Fault &amp; Downtime Entry'!$L$6:$L$1005,'Fault &amp; Downtime Entry'!$E$6:$E$1005,G165,'Fault &amp; Downtime Entry'!$B$6:$B$1005,B165)=0,120,100*(INDEX('Standards &amp; Scoring'!$E$5:$E$13,MATCH("Downtime Control",'Standards &amp; Scoring'!$A$5:$A$13,0))/IFERROR(SUMIFS('Fault &amp; Downtime Entry'!$L$6:$L$1005,'Fault &amp; Downtime Entry'!$E$6:$E$1005,G165,'Fault &amp; Downtime Entry'!$B$6:$B$1005,B165)/O165*1000,999999)))))</f>
        <v/>
      </c>
      <c r="AT165" s="49" t="n">
        <f aca="false">IF(COUNTA(AH165,AJ165)=0,"",MIN(120,IF(AND(AH165&lt;&gt;"",AJ165&lt;&gt;""),AVERAGE(AH165,AJ165),IF(AH165&lt;&gt;"",AH165,AJ165))))</f>
        <v>0</v>
      </c>
      <c r="AU165" s="49" t="str">
        <f aca="false">IF(AI165="","",MIN(120,AI165))</f>
        <v/>
      </c>
      <c r="AV165" s="49" t="str">
        <f aca="false">IF(AJ165="","",MIN(120,AJ165))</f>
        <v/>
      </c>
      <c r="AW165" s="50" t="str">
        <f aca="false">IF(COUNT(AN165:AV165)&lt;9,"",(AN165*'Standards &amp; Scoring'!$D$5+AO165*'Standards &amp; Scoring'!$D$6+AP165*'Standards &amp; Scoring'!$D$7+AQ165*'Standards &amp; Scoring'!$D$8+AR165*'Standards &amp; Scoring'!$D$9+AS165*'Standards &amp; Scoring'!$D$10+AT165*'Standards &amp; Scoring'!$D$11+AU165*'Standards &amp; Scoring'!$D$12+AV165*'Standards &amp; Scoring'!$D$13)/10000)</f>
        <v/>
      </c>
      <c r="AX165" s="47" t="str">
        <f aca="false">IF(AW165="","",IF(AW165&gt;=1.05,"A+",IF(AW165&gt;=1,"A",IF(AW165&gt;=0.95,"B+",IF(AW165&gt;=0.9,"B","C")))))</f>
        <v/>
      </c>
      <c r="AY165" s="47" t="str">
        <f aca="false">IF(AX165="","",IF(AX165="A+",1800,IF(AX165="A",1600,IF(AX165="B+",1400,IF(AX165="B",1200,0)))))</f>
        <v/>
      </c>
      <c r="AZ165" s="49" t="str">
        <f aca="false">IF(OR(L165="",M165="",S165="",M165=0),"",IFERROR(L165*60*S165/(M165*36),0))</f>
        <v/>
      </c>
    </row>
    <row r="166" customFormat="false" ht="15" hidden="false" customHeight="true" outlineLevel="0" collapsed="false">
      <c r="A166" s="47" t="n">
        <f aca="false">'Daily KPI Entry'!A167</f>
        <v>0</v>
      </c>
      <c r="B166" s="48" t="n">
        <f aca="false">'Daily KPI Entry'!B167</f>
        <v>0</v>
      </c>
      <c r="C166" s="47" t="n">
        <f aca="false">'Daily KPI Entry'!C167</f>
        <v>0</v>
      </c>
      <c r="D166" s="47" t="n">
        <f aca="false">'Daily KPI Entry'!D167</f>
        <v>0</v>
      </c>
      <c r="E166" s="47" t="n">
        <f aca="false">'Daily KPI Entry'!E167</f>
        <v>0</v>
      </c>
      <c r="F166" s="47" t="n">
        <f aca="false">'Daily KPI Entry'!F167</f>
        <v>0</v>
      </c>
      <c r="G166" s="47" t="n">
        <f aca="false">'Daily KPI Entry'!G167</f>
        <v>0</v>
      </c>
      <c r="H166" s="47" t="str">
        <f aca="false">'Daily KPI Entry'!H167</f>
        <v/>
      </c>
      <c r="I166" s="47" t="n">
        <f aca="false">'Daily KPI Entry'!I167</f>
        <v>0</v>
      </c>
      <c r="J166" s="47" t="n">
        <f aca="false">'Daily KPI Entry'!J167</f>
        <v>0</v>
      </c>
      <c r="K166" s="47" t="n">
        <f aca="false">'Daily KPI Entry'!K167</f>
        <v>0</v>
      </c>
      <c r="L166" s="47" t="n">
        <f aca="false">'Daily KPI Entry'!L167</f>
        <v>0</v>
      </c>
      <c r="M166" s="47" t="n">
        <f aca="false">'Daily KPI Entry'!M167</f>
        <v>0</v>
      </c>
      <c r="N166" s="49" t="n">
        <f aca="false">'Daily KPI Entry'!N167</f>
        <v>0</v>
      </c>
      <c r="O166" s="49" t="n">
        <f aca="false">'Daily KPI Entry'!O167</f>
        <v>0</v>
      </c>
      <c r="P166" s="49" t="str">
        <f aca="false">IF(OR(N166="",O166=""),"",IFERROR(O166/N166*100,0))</f>
        <v/>
      </c>
      <c r="Q166" s="47" t="n">
        <f aca="false">'Daily KPI Entry'!Q167</f>
        <v>8</v>
      </c>
      <c r="R166" s="47" t="str">
        <f aca="false">IF(J166="","",Q166*J166)</f>
        <v/>
      </c>
      <c r="S166" s="49" t="n">
        <f aca="false">'Daily KPI Entry'!S167</f>
        <v>0</v>
      </c>
      <c r="T166" s="49" t="str">
        <f aca="false">IF(OR(R166="",S166=""),"",IFERROR(S166/R166*100,0))</f>
        <v/>
      </c>
      <c r="U166" s="49" t="str">
        <f aca="false">IF(OR(O166="",L166="",M166="",S166="",M166=0),"",IFERROR(O166/(L166*60*S166/(M166*36))*100,0))</f>
        <v/>
      </c>
      <c r="V166" s="49" t="n">
        <f aca="false">'Daily KPI Entry'!V167</f>
        <v>0</v>
      </c>
      <c r="W166" s="49" t="str">
        <f aca="false">IF(O166="","",IFERROR(V166/O166*100,0))</f>
        <v/>
      </c>
      <c r="X166" s="49" t="n">
        <f aca="false">'Daily KPI Entry'!X167</f>
        <v>0</v>
      </c>
      <c r="Y166" s="49" t="n">
        <f aca="false">'Daily KPI Entry'!Y167</f>
        <v>0</v>
      </c>
      <c r="Z166" s="49" t="n">
        <f aca="false">'Daily KPI Entry'!Z167</f>
        <v>0</v>
      </c>
      <c r="AA166" s="49" t="n">
        <f aca="false">'Daily KPI Entry'!AA167</f>
        <v>0</v>
      </c>
      <c r="AB166" s="49" t="n">
        <f aca="false">'Daily KPI Entry'!AB167</f>
        <v>0</v>
      </c>
      <c r="AC166" s="49" t="n">
        <f aca="false">'Daily KPI Entry'!AC167</f>
        <v>0</v>
      </c>
      <c r="AD166" s="49" t="n">
        <f aca="false">'Daily KPI Entry'!AD167</f>
        <v>0</v>
      </c>
      <c r="AE166" s="49" t="n">
        <f aca="false">'Daily KPI Entry'!AE167</f>
        <v>0</v>
      </c>
      <c r="AF166" s="47" t="str">
        <f aca="false">IF(O166="","",SUM(X166:AE166))</f>
        <v/>
      </c>
      <c r="AG166" s="49" t="str">
        <f aca="false">IF(O166="","",IFERROR(AF166/O166*1000,0))</f>
        <v/>
      </c>
      <c r="AH166" s="49" t="n">
        <f aca="false">'Daily KPI Entry'!AH167</f>
        <v>0</v>
      </c>
      <c r="AI166" s="49" t="n">
        <f aca="false">'Daily KPI Entry'!AI167</f>
        <v>0</v>
      </c>
      <c r="AJ166" s="49" t="n">
        <f aca="false">'Daily KPI Entry'!AJ167</f>
        <v>0</v>
      </c>
      <c r="AK166" s="47" t="n">
        <f aca="false">'Daily KPI Entry'!AK167</f>
        <v>0</v>
      </c>
      <c r="AL166" s="47" t="n">
        <f aca="false">'Daily KPI Entry'!AL167</f>
        <v>0</v>
      </c>
      <c r="AM166" s="47" t="n">
        <f aca="false">'Daily KPI Entry'!AM167</f>
        <v>0</v>
      </c>
      <c r="AN166" s="49" t="str">
        <f aca="false">IF(P166="","",MIN(120,P166))</f>
        <v/>
      </c>
      <c r="AO166" s="49" t="str">
        <f aca="false">IF(U166="","",MIN(120,U166))</f>
        <v/>
      </c>
      <c r="AP166" s="49" t="str">
        <f aca="false">IF(R166="","",MIN(120,IFERROR(S166/R166*100,0)))</f>
        <v/>
      </c>
      <c r="AQ166" s="49" t="str">
        <f aca="false">IF(W166="","",MIN(120,IF(W166=0,120,100*(INDEX('Standards &amp; Scoring'!$E$5:$E$13,MATCH("Quality / Rejection",'Standards &amp; Scoring'!$A$5:$A$13,0))/W166))))</f>
        <v/>
      </c>
      <c r="AR166" s="49" t="str">
        <f aca="false">IF(AG166="","",MIN(120,IF(AG166=0,120,100*(INDEX('Standards &amp; Scoring'!$E$5:$E$13,MATCH("Fault Control",'Standards &amp; Scoring'!$A$5:$A$13,0))/AG166))))</f>
        <v/>
      </c>
      <c r="AS166" s="49" t="str">
        <f aca="false">IF(O166="","",MIN(120,IF(SUMIFS('Fault &amp; Downtime Entry'!$L$6:$L$1005,'Fault &amp; Downtime Entry'!$E$6:$E$1005,G166,'Fault &amp; Downtime Entry'!$B$6:$B$1005,B166)=0,120,100*(INDEX('Standards &amp; Scoring'!$E$5:$E$13,MATCH("Downtime Control",'Standards &amp; Scoring'!$A$5:$A$13,0))/IFERROR(SUMIFS('Fault &amp; Downtime Entry'!$L$6:$L$1005,'Fault &amp; Downtime Entry'!$E$6:$E$1005,G166,'Fault &amp; Downtime Entry'!$B$6:$B$1005,B166)/O166*1000,999999)))))</f>
        <v/>
      </c>
      <c r="AT166" s="49" t="n">
        <f aca="false">IF(COUNTA(AH166,AJ166)=0,"",MIN(120,IF(AND(AH166&lt;&gt;"",AJ166&lt;&gt;""),AVERAGE(AH166,AJ166),IF(AH166&lt;&gt;"",AH166,AJ166))))</f>
        <v>0</v>
      </c>
      <c r="AU166" s="49" t="str">
        <f aca="false">IF(AI166="","",MIN(120,AI166))</f>
        <v/>
      </c>
      <c r="AV166" s="49" t="str">
        <f aca="false">IF(AJ166="","",MIN(120,AJ166))</f>
        <v/>
      </c>
      <c r="AW166" s="50" t="str">
        <f aca="false">IF(COUNT(AN166:AV166)&lt;9,"",(AN166*'Standards &amp; Scoring'!$D$5+AO166*'Standards &amp; Scoring'!$D$6+AP166*'Standards &amp; Scoring'!$D$7+AQ166*'Standards &amp; Scoring'!$D$8+AR166*'Standards &amp; Scoring'!$D$9+AS166*'Standards &amp; Scoring'!$D$10+AT166*'Standards &amp; Scoring'!$D$11+AU166*'Standards &amp; Scoring'!$D$12+AV166*'Standards &amp; Scoring'!$D$13)/10000)</f>
        <v/>
      </c>
      <c r="AX166" s="47" t="str">
        <f aca="false">IF(AW166="","",IF(AW166&gt;=1.05,"A+",IF(AW166&gt;=1,"A",IF(AW166&gt;=0.95,"B+",IF(AW166&gt;=0.9,"B","C")))))</f>
        <v/>
      </c>
      <c r="AY166" s="47" t="str">
        <f aca="false">IF(AX166="","",IF(AX166="A+",1800,IF(AX166="A",1600,IF(AX166="B+",1400,IF(AX166="B",1200,0)))))</f>
        <v/>
      </c>
      <c r="AZ166" s="49" t="str">
        <f aca="false">IF(OR(L166="",M166="",S166="",M166=0),"",IFERROR(L166*60*S166/(M166*36),0))</f>
        <v/>
      </c>
    </row>
    <row r="167" customFormat="false" ht="15" hidden="false" customHeight="true" outlineLevel="0" collapsed="false">
      <c r="A167" s="47" t="n">
        <f aca="false">'Daily KPI Entry'!A168</f>
        <v>0</v>
      </c>
      <c r="B167" s="48" t="n">
        <f aca="false">'Daily KPI Entry'!B168</f>
        <v>0</v>
      </c>
      <c r="C167" s="47" t="n">
        <f aca="false">'Daily KPI Entry'!C168</f>
        <v>0</v>
      </c>
      <c r="D167" s="47" t="n">
        <f aca="false">'Daily KPI Entry'!D168</f>
        <v>0</v>
      </c>
      <c r="E167" s="47" t="n">
        <f aca="false">'Daily KPI Entry'!E168</f>
        <v>0</v>
      </c>
      <c r="F167" s="47" t="n">
        <f aca="false">'Daily KPI Entry'!F168</f>
        <v>0</v>
      </c>
      <c r="G167" s="47" t="n">
        <f aca="false">'Daily KPI Entry'!G168</f>
        <v>0</v>
      </c>
      <c r="H167" s="47" t="str">
        <f aca="false">'Daily KPI Entry'!H168</f>
        <v/>
      </c>
      <c r="I167" s="47" t="n">
        <f aca="false">'Daily KPI Entry'!I168</f>
        <v>0</v>
      </c>
      <c r="J167" s="47" t="n">
        <f aca="false">'Daily KPI Entry'!J168</f>
        <v>0</v>
      </c>
      <c r="K167" s="47" t="n">
        <f aca="false">'Daily KPI Entry'!K168</f>
        <v>0</v>
      </c>
      <c r="L167" s="47" t="n">
        <f aca="false">'Daily KPI Entry'!L168</f>
        <v>0</v>
      </c>
      <c r="M167" s="47" t="n">
        <f aca="false">'Daily KPI Entry'!M168</f>
        <v>0</v>
      </c>
      <c r="N167" s="49" t="n">
        <f aca="false">'Daily KPI Entry'!N168</f>
        <v>0</v>
      </c>
      <c r="O167" s="49" t="n">
        <f aca="false">'Daily KPI Entry'!O168</f>
        <v>0</v>
      </c>
      <c r="P167" s="49" t="str">
        <f aca="false">IF(OR(N167="",O167=""),"",IFERROR(O167/N167*100,0))</f>
        <v/>
      </c>
      <c r="Q167" s="47" t="n">
        <f aca="false">'Daily KPI Entry'!Q168</f>
        <v>8</v>
      </c>
      <c r="R167" s="47" t="str">
        <f aca="false">IF(J167="","",Q167*J167)</f>
        <v/>
      </c>
      <c r="S167" s="49" t="n">
        <f aca="false">'Daily KPI Entry'!S168</f>
        <v>0</v>
      </c>
      <c r="T167" s="49" t="str">
        <f aca="false">IF(OR(R167="",S167=""),"",IFERROR(S167/R167*100,0))</f>
        <v/>
      </c>
      <c r="U167" s="49" t="str">
        <f aca="false">IF(OR(O167="",L167="",M167="",S167="",M167=0),"",IFERROR(O167/(L167*60*S167/(M167*36))*100,0))</f>
        <v/>
      </c>
      <c r="V167" s="49" t="n">
        <f aca="false">'Daily KPI Entry'!V168</f>
        <v>0</v>
      </c>
      <c r="W167" s="49" t="str">
        <f aca="false">IF(O167="","",IFERROR(V167/O167*100,0))</f>
        <v/>
      </c>
      <c r="X167" s="49" t="n">
        <f aca="false">'Daily KPI Entry'!X168</f>
        <v>0</v>
      </c>
      <c r="Y167" s="49" t="n">
        <f aca="false">'Daily KPI Entry'!Y168</f>
        <v>0</v>
      </c>
      <c r="Z167" s="49" t="n">
        <f aca="false">'Daily KPI Entry'!Z168</f>
        <v>0</v>
      </c>
      <c r="AA167" s="49" t="n">
        <f aca="false">'Daily KPI Entry'!AA168</f>
        <v>0</v>
      </c>
      <c r="AB167" s="49" t="n">
        <f aca="false">'Daily KPI Entry'!AB168</f>
        <v>0</v>
      </c>
      <c r="AC167" s="49" t="n">
        <f aca="false">'Daily KPI Entry'!AC168</f>
        <v>0</v>
      </c>
      <c r="AD167" s="49" t="n">
        <f aca="false">'Daily KPI Entry'!AD168</f>
        <v>0</v>
      </c>
      <c r="AE167" s="49" t="n">
        <f aca="false">'Daily KPI Entry'!AE168</f>
        <v>0</v>
      </c>
      <c r="AF167" s="47" t="str">
        <f aca="false">IF(O167="","",SUM(X167:AE167))</f>
        <v/>
      </c>
      <c r="AG167" s="49" t="str">
        <f aca="false">IF(O167="","",IFERROR(AF167/O167*1000,0))</f>
        <v/>
      </c>
      <c r="AH167" s="49" t="n">
        <f aca="false">'Daily KPI Entry'!AH168</f>
        <v>0</v>
      </c>
      <c r="AI167" s="49" t="n">
        <f aca="false">'Daily KPI Entry'!AI168</f>
        <v>0</v>
      </c>
      <c r="AJ167" s="49" t="n">
        <f aca="false">'Daily KPI Entry'!AJ168</f>
        <v>0</v>
      </c>
      <c r="AK167" s="47" t="n">
        <f aca="false">'Daily KPI Entry'!AK168</f>
        <v>0</v>
      </c>
      <c r="AL167" s="47" t="n">
        <f aca="false">'Daily KPI Entry'!AL168</f>
        <v>0</v>
      </c>
      <c r="AM167" s="47" t="n">
        <f aca="false">'Daily KPI Entry'!AM168</f>
        <v>0</v>
      </c>
      <c r="AN167" s="49" t="str">
        <f aca="false">IF(P167="","",MIN(120,P167))</f>
        <v/>
      </c>
      <c r="AO167" s="49" t="str">
        <f aca="false">IF(U167="","",MIN(120,U167))</f>
        <v/>
      </c>
      <c r="AP167" s="49" t="str">
        <f aca="false">IF(R167="","",MIN(120,IFERROR(S167/R167*100,0)))</f>
        <v/>
      </c>
      <c r="AQ167" s="49" t="str">
        <f aca="false">IF(W167="","",MIN(120,IF(W167=0,120,100*(INDEX('Standards &amp; Scoring'!$E$5:$E$13,MATCH("Quality / Rejection",'Standards &amp; Scoring'!$A$5:$A$13,0))/W167))))</f>
        <v/>
      </c>
      <c r="AR167" s="49" t="str">
        <f aca="false">IF(AG167="","",MIN(120,IF(AG167=0,120,100*(INDEX('Standards &amp; Scoring'!$E$5:$E$13,MATCH("Fault Control",'Standards &amp; Scoring'!$A$5:$A$13,0))/AG167))))</f>
        <v/>
      </c>
      <c r="AS167" s="49" t="str">
        <f aca="false">IF(O167="","",MIN(120,IF(SUMIFS('Fault &amp; Downtime Entry'!$L$6:$L$1005,'Fault &amp; Downtime Entry'!$E$6:$E$1005,G167,'Fault &amp; Downtime Entry'!$B$6:$B$1005,B167)=0,120,100*(INDEX('Standards &amp; Scoring'!$E$5:$E$13,MATCH("Downtime Control",'Standards &amp; Scoring'!$A$5:$A$13,0))/IFERROR(SUMIFS('Fault &amp; Downtime Entry'!$L$6:$L$1005,'Fault &amp; Downtime Entry'!$E$6:$E$1005,G167,'Fault &amp; Downtime Entry'!$B$6:$B$1005,B167)/O167*1000,999999)))))</f>
        <v/>
      </c>
      <c r="AT167" s="49" t="n">
        <f aca="false">IF(COUNTA(AH167,AJ167)=0,"",MIN(120,IF(AND(AH167&lt;&gt;"",AJ167&lt;&gt;""),AVERAGE(AH167,AJ167),IF(AH167&lt;&gt;"",AH167,AJ167))))</f>
        <v>0</v>
      </c>
      <c r="AU167" s="49" t="str">
        <f aca="false">IF(AI167="","",MIN(120,AI167))</f>
        <v/>
      </c>
      <c r="AV167" s="49" t="str">
        <f aca="false">IF(AJ167="","",MIN(120,AJ167))</f>
        <v/>
      </c>
      <c r="AW167" s="50" t="str">
        <f aca="false">IF(COUNT(AN167:AV167)&lt;9,"",(AN167*'Standards &amp; Scoring'!$D$5+AO167*'Standards &amp; Scoring'!$D$6+AP167*'Standards &amp; Scoring'!$D$7+AQ167*'Standards &amp; Scoring'!$D$8+AR167*'Standards &amp; Scoring'!$D$9+AS167*'Standards &amp; Scoring'!$D$10+AT167*'Standards &amp; Scoring'!$D$11+AU167*'Standards &amp; Scoring'!$D$12+AV167*'Standards &amp; Scoring'!$D$13)/10000)</f>
        <v/>
      </c>
      <c r="AX167" s="47" t="str">
        <f aca="false">IF(AW167="","",IF(AW167&gt;=1.05,"A+",IF(AW167&gt;=1,"A",IF(AW167&gt;=0.95,"B+",IF(AW167&gt;=0.9,"B","C")))))</f>
        <v/>
      </c>
      <c r="AY167" s="47" t="str">
        <f aca="false">IF(AX167="","",IF(AX167="A+",1800,IF(AX167="A",1600,IF(AX167="B+",1400,IF(AX167="B",1200,0)))))</f>
        <v/>
      </c>
      <c r="AZ167" s="49" t="str">
        <f aca="false">IF(OR(L167="",M167="",S167="",M167=0),"",IFERROR(L167*60*S167/(M167*36),0))</f>
        <v/>
      </c>
    </row>
    <row r="168" customFormat="false" ht="15" hidden="false" customHeight="true" outlineLevel="0" collapsed="false">
      <c r="A168" s="47" t="n">
        <f aca="false">'Daily KPI Entry'!A169</f>
        <v>0</v>
      </c>
      <c r="B168" s="48" t="n">
        <f aca="false">'Daily KPI Entry'!B169</f>
        <v>0</v>
      </c>
      <c r="C168" s="47" t="n">
        <f aca="false">'Daily KPI Entry'!C169</f>
        <v>0</v>
      </c>
      <c r="D168" s="47" t="n">
        <f aca="false">'Daily KPI Entry'!D169</f>
        <v>0</v>
      </c>
      <c r="E168" s="47" t="n">
        <f aca="false">'Daily KPI Entry'!E169</f>
        <v>0</v>
      </c>
      <c r="F168" s="47" t="n">
        <f aca="false">'Daily KPI Entry'!F169</f>
        <v>0</v>
      </c>
      <c r="G168" s="47" t="n">
        <f aca="false">'Daily KPI Entry'!G169</f>
        <v>0</v>
      </c>
      <c r="H168" s="47" t="str">
        <f aca="false">'Daily KPI Entry'!H169</f>
        <v/>
      </c>
      <c r="I168" s="47" t="n">
        <f aca="false">'Daily KPI Entry'!I169</f>
        <v>0</v>
      </c>
      <c r="J168" s="47" t="n">
        <f aca="false">'Daily KPI Entry'!J169</f>
        <v>0</v>
      </c>
      <c r="K168" s="47" t="n">
        <f aca="false">'Daily KPI Entry'!K169</f>
        <v>0</v>
      </c>
      <c r="L168" s="47" t="n">
        <f aca="false">'Daily KPI Entry'!L169</f>
        <v>0</v>
      </c>
      <c r="M168" s="47" t="n">
        <f aca="false">'Daily KPI Entry'!M169</f>
        <v>0</v>
      </c>
      <c r="N168" s="49" t="n">
        <f aca="false">'Daily KPI Entry'!N169</f>
        <v>0</v>
      </c>
      <c r="O168" s="49" t="n">
        <f aca="false">'Daily KPI Entry'!O169</f>
        <v>0</v>
      </c>
      <c r="P168" s="49" t="str">
        <f aca="false">IF(OR(N168="",O168=""),"",IFERROR(O168/N168*100,0))</f>
        <v/>
      </c>
      <c r="Q168" s="47" t="n">
        <f aca="false">'Daily KPI Entry'!Q169</f>
        <v>8</v>
      </c>
      <c r="R168" s="47" t="str">
        <f aca="false">IF(J168="","",Q168*J168)</f>
        <v/>
      </c>
      <c r="S168" s="49" t="n">
        <f aca="false">'Daily KPI Entry'!S169</f>
        <v>0</v>
      </c>
      <c r="T168" s="49" t="str">
        <f aca="false">IF(OR(R168="",S168=""),"",IFERROR(S168/R168*100,0))</f>
        <v/>
      </c>
      <c r="U168" s="49" t="str">
        <f aca="false">IF(OR(O168="",L168="",M168="",S168="",M168=0),"",IFERROR(O168/(L168*60*S168/(M168*36))*100,0))</f>
        <v/>
      </c>
      <c r="V168" s="49" t="n">
        <f aca="false">'Daily KPI Entry'!V169</f>
        <v>0</v>
      </c>
      <c r="W168" s="49" t="str">
        <f aca="false">IF(O168="","",IFERROR(V168/O168*100,0))</f>
        <v/>
      </c>
      <c r="X168" s="49" t="n">
        <f aca="false">'Daily KPI Entry'!X169</f>
        <v>0</v>
      </c>
      <c r="Y168" s="49" t="n">
        <f aca="false">'Daily KPI Entry'!Y169</f>
        <v>0</v>
      </c>
      <c r="Z168" s="49" t="n">
        <f aca="false">'Daily KPI Entry'!Z169</f>
        <v>0</v>
      </c>
      <c r="AA168" s="49" t="n">
        <f aca="false">'Daily KPI Entry'!AA169</f>
        <v>0</v>
      </c>
      <c r="AB168" s="49" t="n">
        <f aca="false">'Daily KPI Entry'!AB169</f>
        <v>0</v>
      </c>
      <c r="AC168" s="49" t="n">
        <f aca="false">'Daily KPI Entry'!AC169</f>
        <v>0</v>
      </c>
      <c r="AD168" s="49" t="n">
        <f aca="false">'Daily KPI Entry'!AD169</f>
        <v>0</v>
      </c>
      <c r="AE168" s="49" t="n">
        <f aca="false">'Daily KPI Entry'!AE169</f>
        <v>0</v>
      </c>
      <c r="AF168" s="47" t="str">
        <f aca="false">IF(O168="","",SUM(X168:AE168))</f>
        <v/>
      </c>
      <c r="AG168" s="49" t="str">
        <f aca="false">IF(O168="","",IFERROR(AF168/O168*1000,0))</f>
        <v/>
      </c>
      <c r="AH168" s="49" t="n">
        <f aca="false">'Daily KPI Entry'!AH169</f>
        <v>0</v>
      </c>
      <c r="AI168" s="49" t="n">
        <f aca="false">'Daily KPI Entry'!AI169</f>
        <v>0</v>
      </c>
      <c r="AJ168" s="49" t="n">
        <f aca="false">'Daily KPI Entry'!AJ169</f>
        <v>0</v>
      </c>
      <c r="AK168" s="47" t="n">
        <f aca="false">'Daily KPI Entry'!AK169</f>
        <v>0</v>
      </c>
      <c r="AL168" s="47" t="n">
        <f aca="false">'Daily KPI Entry'!AL169</f>
        <v>0</v>
      </c>
      <c r="AM168" s="47" t="n">
        <f aca="false">'Daily KPI Entry'!AM169</f>
        <v>0</v>
      </c>
      <c r="AN168" s="49" t="str">
        <f aca="false">IF(P168="","",MIN(120,P168))</f>
        <v/>
      </c>
      <c r="AO168" s="49" t="str">
        <f aca="false">IF(U168="","",MIN(120,U168))</f>
        <v/>
      </c>
      <c r="AP168" s="49" t="str">
        <f aca="false">IF(R168="","",MIN(120,IFERROR(S168/R168*100,0)))</f>
        <v/>
      </c>
      <c r="AQ168" s="49" t="str">
        <f aca="false">IF(W168="","",MIN(120,IF(W168=0,120,100*(INDEX('Standards &amp; Scoring'!$E$5:$E$13,MATCH("Quality / Rejection",'Standards &amp; Scoring'!$A$5:$A$13,0))/W168))))</f>
        <v/>
      </c>
      <c r="AR168" s="49" t="str">
        <f aca="false">IF(AG168="","",MIN(120,IF(AG168=0,120,100*(INDEX('Standards &amp; Scoring'!$E$5:$E$13,MATCH("Fault Control",'Standards &amp; Scoring'!$A$5:$A$13,0))/AG168))))</f>
        <v/>
      </c>
      <c r="AS168" s="49" t="str">
        <f aca="false">IF(O168="","",MIN(120,IF(SUMIFS('Fault &amp; Downtime Entry'!$L$6:$L$1005,'Fault &amp; Downtime Entry'!$E$6:$E$1005,G168,'Fault &amp; Downtime Entry'!$B$6:$B$1005,B168)=0,120,100*(INDEX('Standards &amp; Scoring'!$E$5:$E$13,MATCH("Downtime Control",'Standards &amp; Scoring'!$A$5:$A$13,0))/IFERROR(SUMIFS('Fault &amp; Downtime Entry'!$L$6:$L$1005,'Fault &amp; Downtime Entry'!$E$6:$E$1005,G168,'Fault &amp; Downtime Entry'!$B$6:$B$1005,B168)/O168*1000,999999)))))</f>
        <v/>
      </c>
      <c r="AT168" s="49" t="n">
        <f aca="false">IF(COUNTA(AH168,AJ168)=0,"",MIN(120,IF(AND(AH168&lt;&gt;"",AJ168&lt;&gt;""),AVERAGE(AH168,AJ168),IF(AH168&lt;&gt;"",AH168,AJ168))))</f>
        <v>0</v>
      </c>
      <c r="AU168" s="49" t="str">
        <f aca="false">IF(AI168="","",MIN(120,AI168))</f>
        <v/>
      </c>
      <c r="AV168" s="49" t="str">
        <f aca="false">IF(AJ168="","",MIN(120,AJ168))</f>
        <v/>
      </c>
      <c r="AW168" s="50" t="str">
        <f aca="false">IF(COUNT(AN168:AV168)&lt;9,"",(AN168*'Standards &amp; Scoring'!$D$5+AO168*'Standards &amp; Scoring'!$D$6+AP168*'Standards &amp; Scoring'!$D$7+AQ168*'Standards &amp; Scoring'!$D$8+AR168*'Standards &amp; Scoring'!$D$9+AS168*'Standards &amp; Scoring'!$D$10+AT168*'Standards &amp; Scoring'!$D$11+AU168*'Standards &amp; Scoring'!$D$12+AV168*'Standards &amp; Scoring'!$D$13)/10000)</f>
        <v/>
      </c>
      <c r="AX168" s="47" t="str">
        <f aca="false">IF(AW168="","",IF(AW168&gt;=1.05,"A+",IF(AW168&gt;=1,"A",IF(AW168&gt;=0.95,"B+",IF(AW168&gt;=0.9,"B","C")))))</f>
        <v/>
      </c>
      <c r="AY168" s="47" t="str">
        <f aca="false">IF(AX168="","",IF(AX168="A+",1800,IF(AX168="A",1600,IF(AX168="B+",1400,IF(AX168="B",1200,0)))))</f>
        <v/>
      </c>
      <c r="AZ168" s="49" t="str">
        <f aca="false">IF(OR(L168="",M168="",S168="",M168=0),"",IFERROR(L168*60*S168/(M168*36),0))</f>
        <v/>
      </c>
    </row>
    <row r="169" customFormat="false" ht="15" hidden="false" customHeight="true" outlineLevel="0" collapsed="false">
      <c r="A169" s="47" t="n">
        <f aca="false">'Daily KPI Entry'!A170</f>
        <v>0</v>
      </c>
      <c r="B169" s="48" t="n">
        <f aca="false">'Daily KPI Entry'!B170</f>
        <v>0</v>
      </c>
      <c r="C169" s="47" t="n">
        <f aca="false">'Daily KPI Entry'!C170</f>
        <v>0</v>
      </c>
      <c r="D169" s="47" t="n">
        <f aca="false">'Daily KPI Entry'!D170</f>
        <v>0</v>
      </c>
      <c r="E169" s="47" t="n">
        <f aca="false">'Daily KPI Entry'!E170</f>
        <v>0</v>
      </c>
      <c r="F169" s="47" t="n">
        <f aca="false">'Daily KPI Entry'!F170</f>
        <v>0</v>
      </c>
      <c r="G169" s="47" t="n">
        <f aca="false">'Daily KPI Entry'!G170</f>
        <v>0</v>
      </c>
      <c r="H169" s="47" t="str">
        <f aca="false">'Daily KPI Entry'!H170</f>
        <v/>
      </c>
      <c r="I169" s="47" t="n">
        <f aca="false">'Daily KPI Entry'!I170</f>
        <v>0</v>
      </c>
      <c r="J169" s="47" t="n">
        <f aca="false">'Daily KPI Entry'!J170</f>
        <v>0</v>
      </c>
      <c r="K169" s="47" t="n">
        <f aca="false">'Daily KPI Entry'!K170</f>
        <v>0</v>
      </c>
      <c r="L169" s="47" t="n">
        <f aca="false">'Daily KPI Entry'!L170</f>
        <v>0</v>
      </c>
      <c r="M169" s="47" t="n">
        <f aca="false">'Daily KPI Entry'!M170</f>
        <v>0</v>
      </c>
      <c r="N169" s="49" t="n">
        <f aca="false">'Daily KPI Entry'!N170</f>
        <v>0</v>
      </c>
      <c r="O169" s="49" t="n">
        <f aca="false">'Daily KPI Entry'!O170</f>
        <v>0</v>
      </c>
      <c r="P169" s="49" t="str">
        <f aca="false">IF(OR(N169="",O169=""),"",IFERROR(O169/N169*100,0))</f>
        <v/>
      </c>
      <c r="Q169" s="47" t="n">
        <f aca="false">'Daily KPI Entry'!Q170</f>
        <v>8</v>
      </c>
      <c r="R169" s="47" t="str">
        <f aca="false">IF(J169="","",Q169*J169)</f>
        <v/>
      </c>
      <c r="S169" s="49" t="n">
        <f aca="false">'Daily KPI Entry'!S170</f>
        <v>0</v>
      </c>
      <c r="T169" s="49" t="str">
        <f aca="false">IF(OR(R169="",S169=""),"",IFERROR(S169/R169*100,0))</f>
        <v/>
      </c>
      <c r="U169" s="49" t="str">
        <f aca="false">IF(OR(O169="",L169="",M169="",S169="",M169=0),"",IFERROR(O169/(L169*60*S169/(M169*36))*100,0))</f>
        <v/>
      </c>
      <c r="V169" s="49" t="n">
        <f aca="false">'Daily KPI Entry'!V170</f>
        <v>0</v>
      </c>
      <c r="W169" s="49" t="str">
        <f aca="false">IF(O169="","",IFERROR(V169/O169*100,0))</f>
        <v/>
      </c>
      <c r="X169" s="49" t="n">
        <f aca="false">'Daily KPI Entry'!X170</f>
        <v>0</v>
      </c>
      <c r="Y169" s="49" t="n">
        <f aca="false">'Daily KPI Entry'!Y170</f>
        <v>0</v>
      </c>
      <c r="Z169" s="49" t="n">
        <f aca="false">'Daily KPI Entry'!Z170</f>
        <v>0</v>
      </c>
      <c r="AA169" s="49" t="n">
        <f aca="false">'Daily KPI Entry'!AA170</f>
        <v>0</v>
      </c>
      <c r="AB169" s="49" t="n">
        <f aca="false">'Daily KPI Entry'!AB170</f>
        <v>0</v>
      </c>
      <c r="AC169" s="49" t="n">
        <f aca="false">'Daily KPI Entry'!AC170</f>
        <v>0</v>
      </c>
      <c r="AD169" s="49" t="n">
        <f aca="false">'Daily KPI Entry'!AD170</f>
        <v>0</v>
      </c>
      <c r="AE169" s="49" t="n">
        <f aca="false">'Daily KPI Entry'!AE170</f>
        <v>0</v>
      </c>
      <c r="AF169" s="47" t="str">
        <f aca="false">IF(O169="","",SUM(X169:AE169))</f>
        <v/>
      </c>
      <c r="AG169" s="49" t="str">
        <f aca="false">IF(O169="","",IFERROR(AF169/O169*1000,0))</f>
        <v/>
      </c>
      <c r="AH169" s="49" t="n">
        <f aca="false">'Daily KPI Entry'!AH170</f>
        <v>0</v>
      </c>
      <c r="AI169" s="49" t="n">
        <f aca="false">'Daily KPI Entry'!AI170</f>
        <v>0</v>
      </c>
      <c r="AJ169" s="49" t="n">
        <f aca="false">'Daily KPI Entry'!AJ170</f>
        <v>0</v>
      </c>
      <c r="AK169" s="47" t="n">
        <f aca="false">'Daily KPI Entry'!AK170</f>
        <v>0</v>
      </c>
      <c r="AL169" s="47" t="n">
        <f aca="false">'Daily KPI Entry'!AL170</f>
        <v>0</v>
      </c>
      <c r="AM169" s="47" t="n">
        <f aca="false">'Daily KPI Entry'!AM170</f>
        <v>0</v>
      </c>
      <c r="AN169" s="49" t="str">
        <f aca="false">IF(P169="","",MIN(120,P169))</f>
        <v/>
      </c>
      <c r="AO169" s="49" t="str">
        <f aca="false">IF(U169="","",MIN(120,U169))</f>
        <v/>
      </c>
      <c r="AP169" s="49" t="str">
        <f aca="false">IF(R169="","",MIN(120,IFERROR(S169/R169*100,0)))</f>
        <v/>
      </c>
      <c r="AQ169" s="49" t="str">
        <f aca="false">IF(W169="","",MIN(120,IF(W169=0,120,100*(INDEX('Standards &amp; Scoring'!$E$5:$E$13,MATCH("Quality / Rejection",'Standards &amp; Scoring'!$A$5:$A$13,0))/W169))))</f>
        <v/>
      </c>
      <c r="AR169" s="49" t="str">
        <f aca="false">IF(AG169="","",MIN(120,IF(AG169=0,120,100*(INDEX('Standards &amp; Scoring'!$E$5:$E$13,MATCH("Fault Control",'Standards &amp; Scoring'!$A$5:$A$13,0))/AG169))))</f>
        <v/>
      </c>
      <c r="AS169" s="49" t="str">
        <f aca="false">IF(O169="","",MIN(120,IF(SUMIFS('Fault &amp; Downtime Entry'!$L$6:$L$1005,'Fault &amp; Downtime Entry'!$E$6:$E$1005,G169,'Fault &amp; Downtime Entry'!$B$6:$B$1005,B169)=0,120,100*(INDEX('Standards &amp; Scoring'!$E$5:$E$13,MATCH("Downtime Control",'Standards &amp; Scoring'!$A$5:$A$13,0))/IFERROR(SUMIFS('Fault &amp; Downtime Entry'!$L$6:$L$1005,'Fault &amp; Downtime Entry'!$E$6:$E$1005,G169,'Fault &amp; Downtime Entry'!$B$6:$B$1005,B169)/O169*1000,999999)))))</f>
        <v/>
      </c>
      <c r="AT169" s="49" t="n">
        <f aca="false">IF(COUNTA(AH169,AJ169)=0,"",MIN(120,IF(AND(AH169&lt;&gt;"",AJ169&lt;&gt;""),AVERAGE(AH169,AJ169),IF(AH169&lt;&gt;"",AH169,AJ169))))</f>
        <v>0</v>
      </c>
      <c r="AU169" s="49" t="str">
        <f aca="false">IF(AI169="","",MIN(120,AI169))</f>
        <v/>
      </c>
      <c r="AV169" s="49" t="str">
        <f aca="false">IF(AJ169="","",MIN(120,AJ169))</f>
        <v/>
      </c>
      <c r="AW169" s="50" t="str">
        <f aca="false">IF(COUNT(AN169:AV169)&lt;9,"",(AN169*'Standards &amp; Scoring'!$D$5+AO169*'Standards &amp; Scoring'!$D$6+AP169*'Standards &amp; Scoring'!$D$7+AQ169*'Standards &amp; Scoring'!$D$8+AR169*'Standards &amp; Scoring'!$D$9+AS169*'Standards &amp; Scoring'!$D$10+AT169*'Standards &amp; Scoring'!$D$11+AU169*'Standards &amp; Scoring'!$D$12+AV169*'Standards &amp; Scoring'!$D$13)/10000)</f>
        <v/>
      </c>
      <c r="AX169" s="47" t="str">
        <f aca="false">IF(AW169="","",IF(AW169&gt;=1.05,"A+",IF(AW169&gt;=1,"A",IF(AW169&gt;=0.95,"B+",IF(AW169&gt;=0.9,"B","C")))))</f>
        <v/>
      </c>
      <c r="AY169" s="47" t="str">
        <f aca="false">IF(AX169="","",IF(AX169="A+",1800,IF(AX169="A",1600,IF(AX169="B+",1400,IF(AX169="B",1200,0)))))</f>
        <v/>
      </c>
      <c r="AZ169" s="49" t="str">
        <f aca="false">IF(OR(L169="",M169="",S169="",M169=0),"",IFERROR(L169*60*S169/(M169*36),0))</f>
        <v/>
      </c>
    </row>
    <row r="170" customFormat="false" ht="15" hidden="false" customHeight="true" outlineLevel="0" collapsed="false">
      <c r="A170" s="47" t="n">
        <f aca="false">'Daily KPI Entry'!A171</f>
        <v>0</v>
      </c>
      <c r="B170" s="48" t="n">
        <f aca="false">'Daily KPI Entry'!B171</f>
        <v>0</v>
      </c>
      <c r="C170" s="47" t="n">
        <f aca="false">'Daily KPI Entry'!C171</f>
        <v>0</v>
      </c>
      <c r="D170" s="47" t="n">
        <f aca="false">'Daily KPI Entry'!D171</f>
        <v>0</v>
      </c>
      <c r="E170" s="47" t="n">
        <f aca="false">'Daily KPI Entry'!E171</f>
        <v>0</v>
      </c>
      <c r="F170" s="47" t="n">
        <f aca="false">'Daily KPI Entry'!F171</f>
        <v>0</v>
      </c>
      <c r="G170" s="47" t="n">
        <f aca="false">'Daily KPI Entry'!G171</f>
        <v>0</v>
      </c>
      <c r="H170" s="47" t="str">
        <f aca="false">'Daily KPI Entry'!H171</f>
        <v/>
      </c>
      <c r="I170" s="47" t="n">
        <f aca="false">'Daily KPI Entry'!I171</f>
        <v>0</v>
      </c>
      <c r="J170" s="47" t="n">
        <f aca="false">'Daily KPI Entry'!J171</f>
        <v>0</v>
      </c>
      <c r="K170" s="47" t="n">
        <f aca="false">'Daily KPI Entry'!K171</f>
        <v>0</v>
      </c>
      <c r="L170" s="47" t="n">
        <f aca="false">'Daily KPI Entry'!L171</f>
        <v>0</v>
      </c>
      <c r="M170" s="47" t="n">
        <f aca="false">'Daily KPI Entry'!M171</f>
        <v>0</v>
      </c>
      <c r="N170" s="49" t="n">
        <f aca="false">'Daily KPI Entry'!N171</f>
        <v>0</v>
      </c>
      <c r="O170" s="49" t="n">
        <f aca="false">'Daily KPI Entry'!O171</f>
        <v>0</v>
      </c>
      <c r="P170" s="49" t="str">
        <f aca="false">IF(OR(N170="",O170=""),"",IFERROR(O170/N170*100,0))</f>
        <v/>
      </c>
      <c r="Q170" s="47" t="n">
        <f aca="false">'Daily KPI Entry'!Q171</f>
        <v>8</v>
      </c>
      <c r="R170" s="47" t="str">
        <f aca="false">IF(J170="","",Q170*J170)</f>
        <v/>
      </c>
      <c r="S170" s="49" t="n">
        <f aca="false">'Daily KPI Entry'!S171</f>
        <v>0</v>
      </c>
      <c r="T170" s="49" t="str">
        <f aca="false">IF(OR(R170="",S170=""),"",IFERROR(S170/R170*100,0))</f>
        <v/>
      </c>
      <c r="U170" s="49" t="str">
        <f aca="false">IF(OR(O170="",L170="",M170="",S170="",M170=0),"",IFERROR(O170/(L170*60*S170/(M170*36))*100,0))</f>
        <v/>
      </c>
      <c r="V170" s="49" t="n">
        <f aca="false">'Daily KPI Entry'!V171</f>
        <v>0</v>
      </c>
      <c r="W170" s="49" t="str">
        <f aca="false">IF(O170="","",IFERROR(V170/O170*100,0))</f>
        <v/>
      </c>
      <c r="X170" s="49" t="n">
        <f aca="false">'Daily KPI Entry'!X171</f>
        <v>0</v>
      </c>
      <c r="Y170" s="49" t="n">
        <f aca="false">'Daily KPI Entry'!Y171</f>
        <v>0</v>
      </c>
      <c r="Z170" s="49" t="n">
        <f aca="false">'Daily KPI Entry'!Z171</f>
        <v>0</v>
      </c>
      <c r="AA170" s="49" t="n">
        <f aca="false">'Daily KPI Entry'!AA171</f>
        <v>0</v>
      </c>
      <c r="AB170" s="49" t="n">
        <f aca="false">'Daily KPI Entry'!AB171</f>
        <v>0</v>
      </c>
      <c r="AC170" s="49" t="n">
        <f aca="false">'Daily KPI Entry'!AC171</f>
        <v>0</v>
      </c>
      <c r="AD170" s="49" t="n">
        <f aca="false">'Daily KPI Entry'!AD171</f>
        <v>0</v>
      </c>
      <c r="AE170" s="49" t="n">
        <f aca="false">'Daily KPI Entry'!AE171</f>
        <v>0</v>
      </c>
      <c r="AF170" s="47" t="str">
        <f aca="false">IF(O170="","",SUM(X170:AE170))</f>
        <v/>
      </c>
      <c r="AG170" s="49" t="str">
        <f aca="false">IF(O170="","",IFERROR(AF170/O170*1000,0))</f>
        <v/>
      </c>
      <c r="AH170" s="49" t="n">
        <f aca="false">'Daily KPI Entry'!AH171</f>
        <v>0</v>
      </c>
      <c r="AI170" s="49" t="n">
        <f aca="false">'Daily KPI Entry'!AI171</f>
        <v>0</v>
      </c>
      <c r="AJ170" s="49" t="n">
        <f aca="false">'Daily KPI Entry'!AJ171</f>
        <v>0</v>
      </c>
      <c r="AK170" s="47" t="n">
        <f aca="false">'Daily KPI Entry'!AK171</f>
        <v>0</v>
      </c>
      <c r="AL170" s="47" t="n">
        <f aca="false">'Daily KPI Entry'!AL171</f>
        <v>0</v>
      </c>
      <c r="AM170" s="47" t="n">
        <f aca="false">'Daily KPI Entry'!AM171</f>
        <v>0</v>
      </c>
      <c r="AN170" s="49" t="str">
        <f aca="false">IF(P170="","",MIN(120,P170))</f>
        <v/>
      </c>
      <c r="AO170" s="49" t="str">
        <f aca="false">IF(U170="","",MIN(120,U170))</f>
        <v/>
      </c>
      <c r="AP170" s="49" t="str">
        <f aca="false">IF(R170="","",MIN(120,IFERROR(S170/R170*100,0)))</f>
        <v/>
      </c>
      <c r="AQ170" s="49" t="str">
        <f aca="false">IF(W170="","",MIN(120,IF(W170=0,120,100*(INDEX('Standards &amp; Scoring'!$E$5:$E$13,MATCH("Quality / Rejection",'Standards &amp; Scoring'!$A$5:$A$13,0))/W170))))</f>
        <v/>
      </c>
      <c r="AR170" s="49" t="str">
        <f aca="false">IF(AG170="","",MIN(120,IF(AG170=0,120,100*(INDEX('Standards &amp; Scoring'!$E$5:$E$13,MATCH("Fault Control",'Standards &amp; Scoring'!$A$5:$A$13,0))/AG170))))</f>
        <v/>
      </c>
      <c r="AS170" s="49" t="str">
        <f aca="false">IF(O170="","",MIN(120,IF(SUMIFS('Fault &amp; Downtime Entry'!$L$6:$L$1005,'Fault &amp; Downtime Entry'!$E$6:$E$1005,G170,'Fault &amp; Downtime Entry'!$B$6:$B$1005,B170)=0,120,100*(INDEX('Standards &amp; Scoring'!$E$5:$E$13,MATCH("Downtime Control",'Standards &amp; Scoring'!$A$5:$A$13,0))/IFERROR(SUMIFS('Fault &amp; Downtime Entry'!$L$6:$L$1005,'Fault &amp; Downtime Entry'!$E$6:$E$1005,G170,'Fault &amp; Downtime Entry'!$B$6:$B$1005,B170)/O170*1000,999999)))))</f>
        <v/>
      </c>
      <c r="AT170" s="49" t="n">
        <f aca="false">IF(COUNTA(AH170,AJ170)=0,"",MIN(120,IF(AND(AH170&lt;&gt;"",AJ170&lt;&gt;""),AVERAGE(AH170,AJ170),IF(AH170&lt;&gt;"",AH170,AJ170))))</f>
        <v>0</v>
      </c>
      <c r="AU170" s="49" t="str">
        <f aca="false">IF(AI170="","",MIN(120,AI170))</f>
        <v/>
      </c>
      <c r="AV170" s="49" t="str">
        <f aca="false">IF(AJ170="","",MIN(120,AJ170))</f>
        <v/>
      </c>
      <c r="AW170" s="50" t="str">
        <f aca="false">IF(COUNT(AN170:AV170)&lt;9,"",(AN170*'Standards &amp; Scoring'!$D$5+AO170*'Standards &amp; Scoring'!$D$6+AP170*'Standards &amp; Scoring'!$D$7+AQ170*'Standards &amp; Scoring'!$D$8+AR170*'Standards &amp; Scoring'!$D$9+AS170*'Standards &amp; Scoring'!$D$10+AT170*'Standards &amp; Scoring'!$D$11+AU170*'Standards &amp; Scoring'!$D$12+AV170*'Standards &amp; Scoring'!$D$13)/10000)</f>
        <v/>
      </c>
      <c r="AX170" s="47" t="str">
        <f aca="false">IF(AW170="","",IF(AW170&gt;=1.05,"A+",IF(AW170&gt;=1,"A",IF(AW170&gt;=0.95,"B+",IF(AW170&gt;=0.9,"B","C")))))</f>
        <v/>
      </c>
      <c r="AY170" s="47" t="str">
        <f aca="false">IF(AX170="","",IF(AX170="A+",1800,IF(AX170="A",1600,IF(AX170="B+",1400,IF(AX170="B",1200,0)))))</f>
        <v/>
      </c>
      <c r="AZ170" s="49" t="str">
        <f aca="false">IF(OR(L170="",M170="",S170="",M170=0),"",IFERROR(L170*60*S170/(M170*36),0))</f>
        <v/>
      </c>
    </row>
    <row r="171" customFormat="false" ht="15" hidden="false" customHeight="true" outlineLevel="0" collapsed="false">
      <c r="A171" s="47" t="n">
        <f aca="false">'Daily KPI Entry'!A172</f>
        <v>0</v>
      </c>
      <c r="B171" s="48" t="n">
        <f aca="false">'Daily KPI Entry'!B172</f>
        <v>0</v>
      </c>
      <c r="C171" s="47" t="n">
        <f aca="false">'Daily KPI Entry'!C172</f>
        <v>0</v>
      </c>
      <c r="D171" s="47" t="n">
        <f aca="false">'Daily KPI Entry'!D172</f>
        <v>0</v>
      </c>
      <c r="E171" s="47" t="n">
        <f aca="false">'Daily KPI Entry'!E172</f>
        <v>0</v>
      </c>
      <c r="F171" s="47" t="n">
        <f aca="false">'Daily KPI Entry'!F172</f>
        <v>0</v>
      </c>
      <c r="G171" s="47" t="n">
        <f aca="false">'Daily KPI Entry'!G172</f>
        <v>0</v>
      </c>
      <c r="H171" s="47" t="str">
        <f aca="false">'Daily KPI Entry'!H172</f>
        <v/>
      </c>
      <c r="I171" s="47" t="n">
        <f aca="false">'Daily KPI Entry'!I172</f>
        <v>0</v>
      </c>
      <c r="J171" s="47" t="n">
        <f aca="false">'Daily KPI Entry'!J172</f>
        <v>0</v>
      </c>
      <c r="K171" s="47" t="n">
        <f aca="false">'Daily KPI Entry'!K172</f>
        <v>0</v>
      </c>
      <c r="L171" s="47" t="n">
        <f aca="false">'Daily KPI Entry'!L172</f>
        <v>0</v>
      </c>
      <c r="M171" s="47" t="n">
        <f aca="false">'Daily KPI Entry'!M172</f>
        <v>0</v>
      </c>
      <c r="N171" s="49" t="n">
        <f aca="false">'Daily KPI Entry'!N172</f>
        <v>0</v>
      </c>
      <c r="O171" s="49" t="n">
        <f aca="false">'Daily KPI Entry'!O172</f>
        <v>0</v>
      </c>
      <c r="P171" s="49" t="str">
        <f aca="false">IF(OR(N171="",O171=""),"",IFERROR(O171/N171*100,0))</f>
        <v/>
      </c>
      <c r="Q171" s="47" t="n">
        <f aca="false">'Daily KPI Entry'!Q172</f>
        <v>8</v>
      </c>
      <c r="R171" s="47" t="str">
        <f aca="false">IF(J171="","",Q171*J171)</f>
        <v/>
      </c>
      <c r="S171" s="49" t="n">
        <f aca="false">'Daily KPI Entry'!S172</f>
        <v>0</v>
      </c>
      <c r="T171" s="49" t="str">
        <f aca="false">IF(OR(R171="",S171=""),"",IFERROR(S171/R171*100,0))</f>
        <v/>
      </c>
      <c r="U171" s="49" t="str">
        <f aca="false">IF(OR(O171="",L171="",M171="",S171="",M171=0),"",IFERROR(O171/(L171*60*S171/(M171*36))*100,0))</f>
        <v/>
      </c>
      <c r="V171" s="49" t="n">
        <f aca="false">'Daily KPI Entry'!V172</f>
        <v>0</v>
      </c>
      <c r="W171" s="49" t="str">
        <f aca="false">IF(O171="","",IFERROR(V171/O171*100,0))</f>
        <v/>
      </c>
      <c r="X171" s="49" t="n">
        <f aca="false">'Daily KPI Entry'!X172</f>
        <v>0</v>
      </c>
      <c r="Y171" s="49" t="n">
        <f aca="false">'Daily KPI Entry'!Y172</f>
        <v>0</v>
      </c>
      <c r="Z171" s="49" t="n">
        <f aca="false">'Daily KPI Entry'!Z172</f>
        <v>0</v>
      </c>
      <c r="AA171" s="49" t="n">
        <f aca="false">'Daily KPI Entry'!AA172</f>
        <v>0</v>
      </c>
      <c r="AB171" s="49" t="n">
        <f aca="false">'Daily KPI Entry'!AB172</f>
        <v>0</v>
      </c>
      <c r="AC171" s="49" t="n">
        <f aca="false">'Daily KPI Entry'!AC172</f>
        <v>0</v>
      </c>
      <c r="AD171" s="49" t="n">
        <f aca="false">'Daily KPI Entry'!AD172</f>
        <v>0</v>
      </c>
      <c r="AE171" s="49" t="n">
        <f aca="false">'Daily KPI Entry'!AE172</f>
        <v>0</v>
      </c>
      <c r="AF171" s="47" t="str">
        <f aca="false">IF(O171="","",SUM(X171:AE171))</f>
        <v/>
      </c>
      <c r="AG171" s="49" t="str">
        <f aca="false">IF(O171="","",IFERROR(AF171/O171*1000,0))</f>
        <v/>
      </c>
      <c r="AH171" s="49" t="n">
        <f aca="false">'Daily KPI Entry'!AH172</f>
        <v>0</v>
      </c>
      <c r="AI171" s="49" t="n">
        <f aca="false">'Daily KPI Entry'!AI172</f>
        <v>0</v>
      </c>
      <c r="AJ171" s="49" t="n">
        <f aca="false">'Daily KPI Entry'!AJ172</f>
        <v>0</v>
      </c>
      <c r="AK171" s="47" t="n">
        <f aca="false">'Daily KPI Entry'!AK172</f>
        <v>0</v>
      </c>
      <c r="AL171" s="47" t="n">
        <f aca="false">'Daily KPI Entry'!AL172</f>
        <v>0</v>
      </c>
      <c r="AM171" s="47" t="n">
        <f aca="false">'Daily KPI Entry'!AM172</f>
        <v>0</v>
      </c>
      <c r="AN171" s="49" t="str">
        <f aca="false">IF(P171="","",MIN(120,P171))</f>
        <v/>
      </c>
      <c r="AO171" s="49" t="str">
        <f aca="false">IF(U171="","",MIN(120,U171))</f>
        <v/>
      </c>
      <c r="AP171" s="49" t="str">
        <f aca="false">IF(R171="","",MIN(120,IFERROR(S171/R171*100,0)))</f>
        <v/>
      </c>
      <c r="AQ171" s="49" t="str">
        <f aca="false">IF(W171="","",MIN(120,IF(W171=0,120,100*(INDEX('Standards &amp; Scoring'!$E$5:$E$13,MATCH("Quality / Rejection",'Standards &amp; Scoring'!$A$5:$A$13,0))/W171))))</f>
        <v/>
      </c>
      <c r="AR171" s="49" t="str">
        <f aca="false">IF(AG171="","",MIN(120,IF(AG171=0,120,100*(INDEX('Standards &amp; Scoring'!$E$5:$E$13,MATCH("Fault Control",'Standards &amp; Scoring'!$A$5:$A$13,0))/AG171))))</f>
        <v/>
      </c>
      <c r="AS171" s="49" t="str">
        <f aca="false">IF(O171="","",MIN(120,IF(SUMIFS('Fault &amp; Downtime Entry'!$L$6:$L$1005,'Fault &amp; Downtime Entry'!$E$6:$E$1005,G171,'Fault &amp; Downtime Entry'!$B$6:$B$1005,B171)=0,120,100*(INDEX('Standards &amp; Scoring'!$E$5:$E$13,MATCH("Downtime Control",'Standards &amp; Scoring'!$A$5:$A$13,0))/IFERROR(SUMIFS('Fault &amp; Downtime Entry'!$L$6:$L$1005,'Fault &amp; Downtime Entry'!$E$6:$E$1005,G171,'Fault &amp; Downtime Entry'!$B$6:$B$1005,B171)/O171*1000,999999)))))</f>
        <v/>
      </c>
      <c r="AT171" s="49" t="n">
        <f aca="false">IF(COUNTA(AH171,AJ171)=0,"",MIN(120,IF(AND(AH171&lt;&gt;"",AJ171&lt;&gt;""),AVERAGE(AH171,AJ171),IF(AH171&lt;&gt;"",AH171,AJ171))))</f>
        <v>0</v>
      </c>
      <c r="AU171" s="49" t="str">
        <f aca="false">IF(AI171="","",MIN(120,AI171))</f>
        <v/>
      </c>
      <c r="AV171" s="49" t="str">
        <f aca="false">IF(AJ171="","",MIN(120,AJ171))</f>
        <v/>
      </c>
      <c r="AW171" s="50" t="str">
        <f aca="false">IF(COUNT(AN171:AV171)&lt;9,"",(AN171*'Standards &amp; Scoring'!$D$5+AO171*'Standards &amp; Scoring'!$D$6+AP171*'Standards &amp; Scoring'!$D$7+AQ171*'Standards &amp; Scoring'!$D$8+AR171*'Standards &amp; Scoring'!$D$9+AS171*'Standards &amp; Scoring'!$D$10+AT171*'Standards &amp; Scoring'!$D$11+AU171*'Standards &amp; Scoring'!$D$12+AV171*'Standards &amp; Scoring'!$D$13)/10000)</f>
        <v/>
      </c>
      <c r="AX171" s="47" t="str">
        <f aca="false">IF(AW171="","",IF(AW171&gt;=1.05,"A+",IF(AW171&gt;=1,"A",IF(AW171&gt;=0.95,"B+",IF(AW171&gt;=0.9,"B","C")))))</f>
        <v/>
      </c>
      <c r="AY171" s="47" t="str">
        <f aca="false">IF(AX171="","",IF(AX171="A+",1800,IF(AX171="A",1600,IF(AX171="B+",1400,IF(AX171="B",1200,0)))))</f>
        <v/>
      </c>
      <c r="AZ171" s="49" t="str">
        <f aca="false">IF(OR(L171="",M171="",S171="",M171=0),"",IFERROR(L171*60*S171/(M171*36),0))</f>
        <v/>
      </c>
    </row>
    <row r="172" customFormat="false" ht="15" hidden="false" customHeight="true" outlineLevel="0" collapsed="false">
      <c r="A172" s="47" t="n">
        <f aca="false">'Daily KPI Entry'!A173</f>
        <v>0</v>
      </c>
      <c r="B172" s="48" t="n">
        <f aca="false">'Daily KPI Entry'!B173</f>
        <v>0</v>
      </c>
      <c r="C172" s="47" t="n">
        <f aca="false">'Daily KPI Entry'!C173</f>
        <v>0</v>
      </c>
      <c r="D172" s="47" t="n">
        <f aca="false">'Daily KPI Entry'!D173</f>
        <v>0</v>
      </c>
      <c r="E172" s="47" t="n">
        <f aca="false">'Daily KPI Entry'!E173</f>
        <v>0</v>
      </c>
      <c r="F172" s="47" t="n">
        <f aca="false">'Daily KPI Entry'!F173</f>
        <v>0</v>
      </c>
      <c r="G172" s="47" t="n">
        <f aca="false">'Daily KPI Entry'!G173</f>
        <v>0</v>
      </c>
      <c r="H172" s="47" t="str">
        <f aca="false">'Daily KPI Entry'!H173</f>
        <v/>
      </c>
      <c r="I172" s="47" t="n">
        <f aca="false">'Daily KPI Entry'!I173</f>
        <v>0</v>
      </c>
      <c r="J172" s="47" t="n">
        <f aca="false">'Daily KPI Entry'!J173</f>
        <v>0</v>
      </c>
      <c r="K172" s="47" t="n">
        <f aca="false">'Daily KPI Entry'!K173</f>
        <v>0</v>
      </c>
      <c r="L172" s="47" t="n">
        <f aca="false">'Daily KPI Entry'!L173</f>
        <v>0</v>
      </c>
      <c r="M172" s="47" t="n">
        <f aca="false">'Daily KPI Entry'!M173</f>
        <v>0</v>
      </c>
      <c r="N172" s="49" t="n">
        <f aca="false">'Daily KPI Entry'!N173</f>
        <v>0</v>
      </c>
      <c r="O172" s="49" t="n">
        <f aca="false">'Daily KPI Entry'!O173</f>
        <v>0</v>
      </c>
      <c r="P172" s="49" t="str">
        <f aca="false">IF(OR(N172="",O172=""),"",IFERROR(O172/N172*100,0))</f>
        <v/>
      </c>
      <c r="Q172" s="47" t="n">
        <f aca="false">'Daily KPI Entry'!Q173</f>
        <v>8</v>
      </c>
      <c r="R172" s="47" t="str">
        <f aca="false">IF(J172="","",Q172*J172)</f>
        <v/>
      </c>
      <c r="S172" s="49" t="n">
        <f aca="false">'Daily KPI Entry'!S173</f>
        <v>0</v>
      </c>
      <c r="T172" s="49" t="str">
        <f aca="false">IF(OR(R172="",S172=""),"",IFERROR(S172/R172*100,0))</f>
        <v/>
      </c>
      <c r="U172" s="49" t="str">
        <f aca="false">IF(OR(O172="",L172="",M172="",S172="",M172=0),"",IFERROR(O172/(L172*60*S172/(M172*36))*100,0))</f>
        <v/>
      </c>
      <c r="V172" s="49" t="n">
        <f aca="false">'Daily KPI Entry'!V173</f>
        <v>0</v>
      </c>
      <c r="W172" s="49" t="str">
        <f aca="false">IF(O172="","",IFERROR(V172/O172*100,0))</f>
        <v/>
      </c>
      <c r="X172" s="49" t="n">
        <f aca="false">'Daily KPI Entry'!X173</f>
        <v>0</v>
      </c>
      <c r="Y172" s="49" t="n">
        <f aca="false">'Daily KPI Entry'!Y173</f>
        <v>0</v>
      </c>
      <c r="Z172" s="49" t="n">
        <f aca="false">'Daily KPI Entry'!Z173</f>
        <v>0</v>
      </c>
      <c r="AA172" s="49" t="n">
        <f aca="false">'Daily KPI Entry'!AA173</f>
        <v>0</v>
      </c>
      <c r="AB172" s="49" t="n">
        <f aca="false">'Daily KPI Entry'!AB173</f>
        <v>0</v>
      </c>
      <c r="AC172" s="49" t="n">
        <f aca="false">'Daily KPI Entry'!AC173</f>
        <v>0</v>
      </c>
      <c r="AD172" s="49" t="n">
        <f aca="false">'Daily KPI Entry'!AD173</f>
        <v>0</v>
      </c>
      <c r="AE172" s="49" t="n">
        <f aca="false">'Daily KPI Entry'!AE173</f>
        <v>0</v>
      </c>
      <c r="AF172" s="47" t="str">
        <f aca="false">IF(O172="","",SUM(X172:AE172))</f>
        <v/>
      </c>
      <c r="AG172" s="49" t="str">
        <f aca="false">IF(O172="","",IFERROR(AF172/O172*1000,0))</f>
        <v/>
      </c>
      <c r="AH172" s="49" t="n">
        <f aca="false">'Daily KPI Entry'!AH173</f>
        <v>0</v>
      </c>
      <c r="AI172" s="49" t="n">
        <f aca="false">'Daily KPI Entry'!AI173</f>
        <v>0</v>
      </c>
      <c r="AJ172" s="49" t="n">
        <f aca="false">'Daily KPI Entry'!AJ173</f>
        <v>0</v>
      </c>
      <c r="AK172" s="47" t="n">
        <f aca="false">'Daily KPI Entry'!AK173</f>
        <v>0</v>
      </c>
      <c r="AL172" s="47" t="n">
        <f aca="false">'Daily KPI Entry'!AL173</f>
        <v>0</v>
      </c>
      <c r="AM172" s="47" t="n">
        <f aca="false">'Daily KPI Entry'!AM173</f>
        <v>0</v>
      </c>
      <c r="AN172" s="49" t="str">
        <f aca="false">IF(P172="","",MIN(120,P172))</f>
        <v/>
      </c>
      <c r="AO172" s="49" t="str">
        <f aca="false">IF(U172="","",MIN(120,U172))</f>
        <v/>
      </c>
      <c r="AP172" s="49" t="str">
        <f aca="false">IF(R172="","",MIN(120,IFERROR(S172/R172*100,0)))</f>
        <v/>
      </c>
      <c r="AQ172" s="49" t="str">
        <f aca="false">IF(W172="","",MIN(120,IF(W172=0,120,100*(INDEX('Standards &amp; Scoring'!$E$5:$E$13,MATCH("Quality / Rejection",'Standards &amp; Scoring'!$A$5:$A$13,0))/W172))))</f>
        <v/>
      </c>
      <c r="AR172" s="49" t="str">
        <f aca="false">IF(AG172="","",MIN(120,IF(AG172=0,120,100*(INDEX('Standards &amp; Scoring'!$E$5:$E$13,MATCH("Fault Control",'Standards &amp; Scoring'!$A$5:$A$13,0))/AG172))))</f>
        <v/>
      </c>
      <c r="AS172" s="49" t="str">
        <f aca="false">IF(O172="","",MIN(120,IF(SUMIFS('Fault &amp; Downtime Entry'!$L$6:$L$1005,'Fault &amp; Downtime Entry'!$E$6:$E$1005,G172,'Fault &amp; Downtime Entry'!$B$6:$B$1005,B172)=0,120,100*(INDEX('Standards &amp; Scoring'!$E$5:$E$13,MATCH("Downtime Control",'Standards &amp; Scoring'!$A$5:$A$13,0))/IFERROR(SUMIFS('Fault &amp; Downtime Entry'!$L$6:$L$1005,'Fault &amp; Downtime Entry'!$E$6:$E$1005,G172,'Fault &amp; Downtime Entry'!$B$6:$B$1005,B172)/O172*1000,999999)))))</f>
        <v/>
      </c>
      <c r="AT172" s="49" t="n">
        <f aca="false">IF(COUNTA(AH172,AJ172)=0,"",MIN(120,IF(AND(AH172&lt;&gt;"",AJ172&lt;&gt;""),AVERAGE(AH172,AJ172),IF(AH172&lt;&gt;"",AH172,AJ172))))</f>
        <v>0</v>
      </c>
      <c r="AU172" s="49" t="str">
        <f aca="false">IF(AI172="","",MIN(120,AI172))</f>
        <v/>
      </c>
      <c r="AV172" s="49" t="str">
        <f aca="false">IF(AJ172="","",MIN(120,AJ172))</f>
        <v/>
      </c>
      <c r="AW172" s="50" t="str">
        <f aca="false">IF(COUNT(AN172:AV172)&lt;9,"",(AN172*'Standards &amp; Scoring'!$D$5+AO172*'Standards &amp; Scoring'!$D$6+AP172*'Standards &amp; Scoring'!$D$7+AQ172*'Standards &amp; Scoring'!$D$8+AR172*'Standards &amp; Scoring'!$D$9+AS172*'Standards &amp; Scoring'!$D$10+AT172*'Standards &amp; Scoring'!$D$11+AU172*'Standards &amp; Scoring'!$D$12+AV172*'Standards &amp; Scoring'!$D$13)/10000)</f>
        <v/>
      </c>
      <c r="AX172" s="47" t="str">
        <f aca="false">IF(AW172="","",IF(AW172&gt;=1.05,"A+",IF(AW172&gt;=1,"A",IF(AW172&gt;=0.95,"B+",IF(AW172&gt;=0.9,"B","C")))))</f>
        <v/>
      </c>
      <c r="AY172" s="47" t="str">
        <f aca="false">IF(AX172="","",IF(AX172="A+",1800,IF(AX172="A",1600,IF(AX172="B+",1400,IF(AX172="B",1200,0)))))</f>
        <v/>
      </c>
      <c r="AZ172" s="49" t="str">
        <f aca="false">IF(OR(L172="",M172="",S172="",M172=0),"",IFERROR(L172*60*S172/(M172*36),0))</f>
        <v/>
      </c>
    </row>
    <row r="173" customFormat="false" ht="15" hidden="false" customHeight="true" outlineLevel="0" collapsed="false">
      <c r="A173" s="47" t="n">
        <f aca="false">'Daily KPI Entry'!A174</f>
        <v>0</v>
      </c>
      <c r="B173" s="48" t="n">
        <f aca="false">'Daily KPI Entry'!B174</f>
        <v>0</v>
      </c>
      <c r="C173" s="47" t="n">
        <f aca="false">'Daily KPI Entry'!C174</f>
        <v>0</v>
      </c>
      <c r="D173" s="47" t="n">
        <f aca="false">'Daily KPI Entry'!D174</f>
        <v>0</v>
      </c>
      <c r="E173" s="47" t="n">
        <f aca="false">'Daily KPI Entry'!E174</f>
        <v>0</v>
      </c>
      <c r="F173" s="47" t="n">
        <f aca="false">'Daily KPI Entry'!F174</f>
        <v>0</v>
      </c>
      <c r="G173" s="47" t="n">
        <f aca="false">'Daily KPI Entry'!G174</f>
        <v>0</v>
      </c>
      <c r="H173" s="47" t="str">
        <f aca="false">'Daily KPI Entry'!H174</f>
        <v/>
      </c>
      <c r="I173" s="47" t="n">
        <f aca="false">'Daily KPI Entry'!I174</f>
        <v>0</v>
      </c>
      <c r="J173" s="47" t="n">
        <f aca="false">'Daily KPI Entry'!J174</f>
        <v>0</v>
      </c>
      <c r="K173" s="47" t="n">
        <f aca="false">'Daily KPI Entry'!K174</f>
        <v>0</v>
      </c>
      <c r="L173" s="47" t="n">
        <f aca="false">'Daily KPI Entry'!L174</f>
        <v>0</v>
      </c>
      <c r="M173" s="47" t="n">
        <f aca="false">'Daily KPI Entry'!M174</f>
        <v>0</v>
      </c>
      <c r="N173" s="49" t="n">
        <f aca="false">'Daily KPI Entry'!N174</f>
        <v>0</v>
      </c>
      <c r="O173" s="49" t="n">
        <f aca="false">'Daily KPI Entry'!O174</f>
        <v>0</v>
      </c>
      <c r="P173" s="49" t="str">
        <f aca="false">IF(OR(N173="",O173=""),"",IFERROR(O173/N173*100,0))</f>
        <v/>
      </c>
      <c r="Q173" s="47" t="n">
        <f aca="false">'Daily KPI Entry'!Q174</f>
        <v>8</v>
      </c>
      <c r="R173" s="47" t="str">
        <f aca="false">IF(J173="","",Q173*J173)</f>
        <v/>
      </c>
      <c r="S173" s="49" t="n">
        <f aca="false">'Daily KPI Entry'!S174</f>
        <v>0</v>
      </c>
      <c r="T173" s="49" t="str">
        <f aca="false">IF(OR(R173="",S173=""),"",IFERROR(S173/R173*100,0))</f>
        <v/>
      </c>
      <c r="U173" s="49" t="str">
        <f aca="false">IF(OR(O173="",L173="",M173="",S173="",M173=0),"",IFERROR(O173/(L173*60*S173/(M173*36))*100,0))</f>
        <v/>
      </c>
      <c r="V173" s="49" t="n">
        <f aca="false">'Daily KPI Entry'!V174</f>
        <v>0</v>
      </c>
      <c r="W173" s="49" t="str">
        <f aca="false">IF(O173="","",IFERROR(V173/O173*100,0))</f>
        <v/>
      </c>
      <c r="X173" s="49" t="n">
        <f aca="false">'Daily KPI Entry'!X174</f>
        <v>0</v>
      </c>
      <c r="Y173" s="49" t="n">
        <f aca="false">'Daily KPI Entry'!Y174</f>
        <v>0</v>
      </c>
      <c r="Z173" s="49" t="n">
        <f aca="false">'Daily KPI Entry'!Z174</f>
        <v>0</v>
      </c>
      <c r="AA173" s="49" t="n">
        <f aca="false">'Daily KPI Entry'!AA174</f>
        <v>0</v>
      </c>
      <c r="AB173" s="49" t="n">
        <f aca="false">'Daily KPI Entry'!AB174</f>
        <v>0</v>
      </c>
      <c r="AC173" s="49" t="n">
        <f aca="false">'Daily KPI Entry'!AC174</f>
        <v>0</v>
      </c>
      <c r="AD173" s="49" t="n">
        <f aca="false">'Daily KPI Entry'!AD174</f>
        <v>0</v>
      </c>
      <c r="AE173" s="49" t="n">
        <f aca="false">'Daily KPI Entry'!AE174</f>
        <v>0</v>
      </c>
      <c r="AF173" s="47" t="str">
        <f aca="false">IF(O173="","",SUM(X173:AE173))</f>
        <v/>
      </c>
      <c r="AG173" s="49" t="str">
        <f aca="false">IF(O173="","",IFERROR(AF173/O173*1000,0))</f>
        <v/>
      </c>
      <c r="AH173" s="49" t="n">
        <f aca="false">'Daily KPI Entry'!AH174</f>
        <v>0</v>
      </c>
      <c r="AI173" s="49" t="n">
        <f aca="false">'Daily KPI Entry'!AI174</f>
        <v>0</v>
      </c>
      <c r="AJ173" s="49" t="n">
        <f aca="false">'Daily KPI Entry'!AJ174</f>
        <v>0</v>
      </c>
      <c r="AK173" s="47" t="n">
        <f aca="false">'Daily KPI Entry'!AK174</f>
        <v>0</v>
      </c>
      <c r="AL173" s="47" t="n">
        <f aca="false">'Daily KPI Entry'!AL174</f>
        <v>0</v>
      </c>
      <c r="AM173" s="47" t="n">
        <f aca="false">'Daily KPI Entry'!AM174</f>
        <v>0</v>
      </c>
      <c r="AN173" s="49" t="str">
        <f aca="false">IF(P173="","",MIN(120,P173))</f>
        <v/>
      </c>
      <c r="AO173" s="49" t="str">
        <f aca="false">IF(U173="","",MIN(120,U173))</f>
        <v/>
      </c>
      <c r="AP173" s="49" t="str">
        <f aca="false">IF(R173="","",MIN(120,IFERROR(S173/R173*100,0)))</f>
        <v/>
      </c>
      <c r="AQ173" s="49" t="str">
        <f aca="false">IF(W173="","",MIN(120,IF(W173=0,120,100*(INDEX('Standards &amp; Scoring'!$E$5:$E$13,MATCH("Quality / Rejection",'Standards &amp; Scoring'!$A$5:$A$13,0))/W173))))</f>
        <v/>
      </c>
      <c r="AR173" s="49" t="str">
        <f aca="false">IF(AG173="","",MIN(120,IF(AG173=0,120,100*(INDEX('Standards &amp; Scoring'!$E$5:$E$13,MATCH("Fault Control",'Standards &amp; Scoring'!$A$5:$A$13,0))/AG173))))</f>
        <v/>
      </c>
      <c r="AS173" s="49" t="str">
        <f aca="false">IF(O173="","",MIN(120,IF(SUMIFS('Fault &amp; Downtime Entry'!$L$6:$L$1005,'Fault &amp; Downtime Entry'!$E$6:$E$1005,G173,'Fault &amp; Downtime Entry'!$B$6:$B$1005,B173)=0,120,100*(INDEX('Standards &amp; Scoring'!$E$5:$E$13,MATCH("Downtime Control",'Standards &amp; Scoring'!$A$5:$A$13,0))/IFERROR(SUMIFS('Fault &amp; Downtime Entry'!$L$6:$L$1005,'Fault &amp; Downtime Entry'!$E$6:$E$1005,G173,'Fault &amp; Downtime Entry'!$B$6:$B$1005,B173)/O173*1000,999999)))))</f>
        <v/>
      </c>
      <c r="AT173" s="49" t="n">
        <f aca="false">IF(COUNTA(AH173,AJ173)=0,"",MIN(120,IF(AND(AH173&lt;&gt;"",AJ173&lt;&gt;""),AVERAGE(AH173,AJ173),IF(AH173&lt;&gt;"",AH173,AJ173))))</f>
        <v>0</v>
      </c>
      <c r="AU173" s="49" t="str">
        <f aca="false">IF(AI173="","",MIN(120,AI173))</f>
        <v/>
      </c>
      <c r="AV173" s="49" t="str">
        <f aca="false">IF(AJ173="","",MIN(120,AJ173))</f>
        <v/>
      </c>
      <c r="AW173" s="50" t="str">
        <f aca="false">IF(COUNT(AN173:AV173)&lt;9,"",(AN173*'Standards &amp; Scoring'!$D$5+AO173*'Standards &amp; Scoring'!$D$6+AP173*'Standards &amp; Scoring'!$D$7+AQ173*'Standards &amp; Scoring'!$D$8+AR173*'Standards &amp; Scoring'!$D$9+AS173*'Standards &amp; Scoring'!$D$10+AT173*'Standards &amp; Scoring'!$D$11+AU173*'Standards &amp; Scoring'!$D$12+AV173*'Standards &amp; Scoring'!$D$13)/10000)</f>
        <v/>
      </c>
      <c r="AX173" s="47" t="str">
        <f aca="false">IF(AW173="","",IF(AW173&gt;=1.05,"A+",IF(AW173&gt;=1,"A",IF(AW173&gt;=0.95,"B+",IF(AW173&gt;=0.9,"B","C")))))</f>
        <v/>
      </c>
      <c r="AY173" s="47" t="str">
        <f aca="false">IF(AX173="","",IF(AX173="A+",1800,IF(AX173="A",1600,IF(AX173="B+",1400,IF(AX173="B",1200,0)))))</f>
        <v/>
      </c>
      <c r="AZ173" s="49" t="str">
        <f aca="false">IF(OR(L173="",M173="",S173="",M173=0),"",IFERROR(L173*60*S173/(M173*36),0))</f>
        <v/>
      </c>
    </row>
    <row r="174" customFormat="false" ht="15" hidden="false" customHeight="true" outlineLevel="0" collapsed="false">
      <c r="A174" s="47" t="n">
        <f aca="false">'Daily KPI Entry'!A175</f>
        <v>0</v>
      </c>
      <c r="B174" s="48" t="n">
        <f aca="false">'Daily KPI Entry'!B175</f>
        <v>0</v>
      </c>
      <c r="C174" s="47" t="n">
        <f aca="false">'Daily KPI Entry'!C175</f>
        <v>0</v>
      </c>
      <c r="D174" s="47" t="n">
        <f aca="false">'Daily KPI Entry'!D175</f>
        <v>0</v>
      </c>
      <c r="E174" s="47" t="n">
        <f aca="false">'Daily KPI Entry'!E175</f>
        <v>0</v>
      </c>
      <c r="F174" s="47" t="n">
        <f aca="false">'Daily KPI Entry'!F175</f>
        <v>0</v>
      </c>
      <c r="G174" s="47" t="n">
        <f aca="false">'Daily KPI Entry'!G175</f>
        <v>0</v>
      </c>
      <c r="H174" s="47" t="str">
        <f aca="false">'Daily KPI Entry'!H175</f>
        <v/>
      </c>
      <c r="I174" s="47" t="n">
        <f aca="false">'Daily KPI Entry'!I175</f>
        <v>0</v>
      </c>
      <c r="J174" s="47" t="n">
        <f aca="false">'Daily KPI Entry'!J175</f>
        <v>0</v>
      </c>
      <c r="K174" s="47" t="n">
        <f aca="false">'Daily KPI Entry'!K175</f>
        <v>0</v>
      </c>
      <c r="L174" s="47" t="n">
        <f aca="false">'Daily KPI Entry'!L175</f>
        <v>0</v>
      </c>
      <c r="M174" s="47" t="n">
        <f aca="false">'Daily KPI Entry'!M175</f>
        <v>0</v>
      </c>
      <c r="N174" s="49" t="n">
        <f aca="false">'Daily KPI Entry'!N175</f>
        <v>0</v>
      </c>
      <c r="O174" s="49" t="n">
        <f aca="false">'Daily KPI Entry'!O175</f>
        <v>0</v>
      </c>
      <c r="P174" s="49" t="str">
        <f aca="false">IF(OR(N174="",O174=""),"",IFERROR(O174/N174*100,0))</f>
        <v/>
      </c>
      <c r="Q174" s="47" t="n">
        <f aca="false">'Daily KPI Entry'!Q175</f>
        <v>8</v>
      </c>
      <c r="R174" s="47" t="str">
        <f aca="false">IF(J174="","",Q174*J174)</f>
        <v/>
      </c>
      <c r="S174" s="49" t="n">
        <f aca="false">'Daily KPI Entry'!S175</f>
        <v>0</v>
      </c>
      <c r="T174" s="49" t="str">
        <f aca="false">IF(OR(R174="",S174=""),"",IFERROR(S174/R174*100,0))</f>
        <v/>
      </c>
      <c r="U174" s="49" t="str">
        <f aca="false">IF(OR(O174="",L174="",M174="",S174="",M174=0),"",IFERROR(O174/(L174*60*S174/(M174*36))*100,0))</f>
        <v/>
      </c>
      <c r="V174" s="49" t="n">
        <f aca="false">'Daily KPI Entry'!V175</f>
        <v>0</v>
      </c>
      <c r="W174" s="49" t="str">
        <f aca="false">IF(O174="","",IFERROR(V174/O174*100,0))</f>
        <v/>
      </c>
      <c r="X174" s="49" t="n">
        <f aca="false">'Daily KPI Entry'!X175</f>
        <v>0</v>
      </c>
      <c r="Y174" s="49" t="n">
        <f aca="false">'Daily KPI Entry'!Y175</f>
        <v>0</v>
      </c>
      <c r="Z174" s="49" t="n">
        <f aca="false">'Daily KPI Entry'!Z175</f>
        <v>0</v>
      </c>
      <c r="AA174" s="49" t="n">
        <f aca="false">'Daily KPI Entry'!AA175</f>
        <v>0</v>
      </c>
      <c r="AB174" s="49" t="n">
        <f aca="false">'Daily KPI Entry'!AB175</f>
        <v>0</v>
      </c>
      <c r="AC174" s="49" t="n">
        <f aca="false">'Daily KPI Entry'!AC175</f>
        <v>0</v>
      </c>
      <c r="AD174" s="49" t="n">
        <f aca="false">'Daily KPI Entry'!AD175</f>
        <v>0</v>
      </c>
      <c r="AE174" s="49" t="n">
        <f aca="false">'Daily KPI Entry'!AE175</f>
        <v>0</v>
      </c>
      <c r="AF174" s="47" t="str">
        <f aca="false">IF(O174="","",SUM(X174:AE174))</f>
        <v/>
      </c>
      <c r="AG174" s="49" t="str">
        <f aca="false">IF(O174="","",IFERROR(AF174/O174*1000,0))</f>
        <v/>
      </c>
      <c r="AH174" s="49" t="n">
        <f aca="false">'Daily KPI Entry'!AH175</f>
        <v>0</v>
      </c>
      <c r="AI174" s="49" t="n">
        <f aca="false">'Daily KPI Entry'!AI175</f>
        <v>0</v>
      </c>
      <c r="AJ174" s="49" t="n">
        <f aca="false">'Daily KPI Entry'!AJ175</f>
        <v>0</v>
      </c>
      <c r="AK174" s="47" t="n">
        <f aca="false">'Daily KPI Entry'!AK175</f>
        <v>0</v>
      </c>
      <c r="AL174" s="47" t="n">
        <f aca="false">'Daily KPI Entry'!AL175</f>
        <v>0</v>
      </c>
      <c r="AM174" s="47" t="n">
        <f aca="false">'Daily KPI Entry'!AM175</f>
        <v>0</v>
      </c>
      <c r="AN174" s="49" t="str">
        <f aca="false">IF(P174="","",MIN(120,P174))</f>
        <v/>
      </c>
      <c r="AO174" s="49" t="str">
        <f aca="false">IF(U174="","",MIN(120,U174))</f>
        <v/>
      </c>
      <c r="AP174" s="49" t="str">
        <f aca="false">IF(R174="","",MIN(120,IFERROR(S174/R174*100,0)))</f>
        <v/>
      </c>
      <c r="AQ174" s="49" t="str">
        <f aca="false">IF(W174="","",MIN(120,IF(W174=0,120,100*(INDEX('Standards &amp; Scoring'!$E$5:$E$13,MATCH("Quality / Rejection",'Standards &amp; Scoring'!$A$5:$A$13,0))/W174))))</f>
        <v/>
      </c>
      <c r="AR174" s="49" t="str">
        <f aca="false">IF(AG174="","",MIN(120,IF(AG174=0,120,100*(INDEX('Standards &amp; Scoring'!$E$5:$E$13,MATCH("Fault Control",'Standards &amp; Scoring'!$A$5:$A$13,0))/AG174))))</f>
        <v/>
      </c>
      <c r="AS174" s="49" t="str">
        <f aca="false">IF(O174="","",MIN(120,IF(SUMIFS('Fault &amp; Downtime Entry'!$L$6:$L$1005,'Fault &amp; Downtime Entry'!$E$6:$E$1005,G174,'Fault &amp; Downtime Entry'!$B$6:$B$1005,B174)=0,120,100*(INDEX('Standards &amp; Scoring'!$E$5:$E$13,MATCH("Downtime Control",'Standards &amp; Scoring'!$A$5:$A$13,0))/IFERROR(SUMIFS('Fault &amp; Downtime Entry'!$L$6:$L$1005,'Fault &amp; Downtime Entry'!$E$6:$E$1005,G174,'Fault &amp; Downtime Entry'!$B$6:$B$1005,B174)/O174*1000,999999)))))</f>
        <v/>
      </c>
      <c r="AT174" s="49" t="n">
        <f aca="false">IF(COUNTA(AH174,AJ174)=0,"",MIN(120,IF(AND(AH174&lt;&gt;"",AJ174&lt;&gt;""),AVERAGE(AH174,AJ174),IF(AH174&lt;&gt;"",AH174,AJ174))))</f>
        <v>0</v>
      </c>
      <c r="AU174" s="49" t="str">
        <f aca="false">IF(AI174="","",MIN(120,AI174))</f>
        <v/>
      </c>
      <c r="AV174" s="49" t="str">
        <f aca="false">IF(AJ174="","",MIN(120,AJ174))</f>
        <v/>
      </c>
      <c r="AW174" s="50" t="str">
        <f aca="false">IF(COUNT(AN174:AV174)&lt;9,"",(AN174*'Standards &amp; Scoring'!$D$5+AO174*'Standards &amp; Scoring'!$D$6+AP174*'Standards &amp; Scoring'!$D$7+AQ174*'Standards &amp; Scoring'!$D$8+AR174*'Standards &amp; Scoring'!$D$9+AS174*'Standards &amp; Scoring'!$D$10+AT174*'Standards &amp; Scoring'!$D$11+AU174*'Standards &amp; Scoring'!$D$12+AV174*'Standards &amp; Scoring'!$D$13)/10000)</f>
        <v/>
      </c>
      <c r="AX174" s="47" t="str">
        <f aca="false">IF(AW174="","",IF(AW174&gt;=1.05,"A+",IF(AW174&gt;=1,"A",IF(AW174&gt;=0.95,"B+",IF(AW174&gt;=0.9,"B","C")))))</f>
        <v/>
      </c>
      <c r="AY174" s="47" t="str">
        <f aca="false">IF(AX174="","",IF(AX174="A+",1800,IF(AX174="A",1600,IF(AX174="B+",1400,IF(AX174="B",1200,0)))))</f>
        <v/>
      </c>
      <c r="AZ174" s="49" t="str">
        <f aca="false">IF(OR(L174="",M174="",S174="",M174=0),"",IFERROR(L174*60*S174/(M174*36),0))</f>
        <v/>
      </c>
    </row>
    <row r="175" customFormat="false" ht="15" hidden="false" customHeight="true" outlineLevel="0" collapsed="false">
      <c r="A175" s="47" t="n">
        <f aca="false">'Daily KPI Entry'!A176</f>
        <v>0</v>
      </c>
      <c r="B175" s="48" t="n">
        <f aca="false">'Daily KPI Entry'!B176</f>
        <v>0</v>
      </c>
      <c r="C175" s="47" t="n">
        <f aca="false">'Daily KPI Entry'!C176</f>
        <v>0</v>
      </c>
      <c r="D175" s="47" t="n">
        <f aca="false">'Daily KPI Entry'!D176</f>
        <v>0</v>
      </c>
      <c r="E175" s="47" t="n">
        <f aca="false">'Daily KPI Entry'!E176</f>
        <v>0</v>
      </c>
      <c r="F175" s="47" t="n">
        <f aca="false">'Daily KPI Entry'!F176</f>
        <v>0</v>
      </c>
      <c r="G175" s="47" t="n">
        <f aca="false">'Daily KPI Entry'!G176</f>
        <v>0</v>
      </c>
      <c r="H175" s="47" t="str">
        <f aca="false">'Daily KPI Entry'!H176</f>
        <v/>
      </c>
      <c r="I175" s="47" t="n">
        <f aca="false">'Daily KPI Entry'!I176</f>
        <v>0</v>
      </c>
      <c r="J175" s="47" t="n">
        <f aca="false">'Daily KPI Entry'!J176</f>
        <v>0</v>
      </c>
      <c r="K175" s="47" t="n">
        <f aca="false">'Daily KPI Entry'!K176</f>
        <v>0</v>
      </c>
      <c r="L175" s="47" t="n">
        <f aca="false">'Daily KPI Entry'!L176</f>
        <v>0</v>
      </c>
      <c r="M175" s="47" t="n">
        <f aca="false">'Daily KPI Entry'!M176</f>
        <v>0</v>
      </c>
      <c r="N175" s="49" t="n">
        <f aca="false">'Daily KPI Entry'!N176</f>
        <v>0</v>
      </c>
      <c r="O175" s="49" t="n">
        <f aca="false">'Daily KPI Entry'!O176</f>
        <v>0</v>
      </c>
      <c r="P175" s="49" t="str">
        <f aca="false">IF(OR(N175="",O175=""),"",IFERROR(O175/N175*100,0))</f>
        <v/>
      </c>
      <c r="Q175" s="47" t="n">
        <f aca="false">'Daily KPI Entry'!Q176</f>
        <v>8</v>
      </c>
      <c r="R175" s="47" t="str">
        <f aca="false">IF(J175="","",Q175*J175)</f>
        <v/>
      </c>
      <c r="S175" s="49" t="n">
        <f aca="false">'Daily KPI Entry'!S176</f>
        <v>0</v>
      </c>
      <c r="T175" s="49" t="str">
        <f aca="false">IF(OR(R175="",S175=""),"",IFERROR(S175/R175*100,0))</f>
        <v/>
      </c>
      <c r="U175" s="49" t="str">
        <f aca="false">IF(OR(O175="",L175="",M175="",S175="",M175=0),"",IFERROR(O175/(L175*60*S175/(M175*36))*100,0))</f>
        <v/>
      </c>
      <c r="V175" s="49" t="n">
        <f aca="false">'Daily KPI Entry'!V176</f>
        <v>0</v>
      </c>
      <c r="W175" s="49" t="str">
        <f aca="false">IF(O175="","",IFERROR(V175/O175*100,0))</f>
        <v/>
      </c>
      <c r="X175" s="49" t="n">
        <f aca="false">'Daily KPI Entry'!X176</f>
        <v>0</v>
      </c>
      <c r="Y175" s="49" t="n">
        <f aca="false">'Daily KPI Entry'!Y176</f>
        <v>0</v>
      </c>
      <c r="Z175" s="49" t="n">
        <f aca="false">'Daily KPI Entry'!Z176</f>
        <v>0</v>
      </c>
      <c r="AA175" s="49" t="n">
        <f aca="false">'Daily KPI Entry'!AA176</f>
        <v>0</v>
      </c>
      <c r="AB175" s="49" t="n">
        <f aca="false">'Daily KPI Entry'!AB176</f>
        <v>0</v>
      </c>
      <c r="AC175" s="49" t="n">
        <f aca="false">'Daily KPI Entry'!AC176</f>
        <v>0</v>
      </c>
      <c r="AD175" s="49" t="n">
        <f aca="false">'Daily KPI Entry'!AD176</f>
        <v>0</v>
      </c>
      <c r="AE175" s="49" t="n">
        <f aca="false">'Daily KPI Entry'!AE176</f>
        <v>0</v>
      </c>
      <c r="AF175" s="47" t="str">
        <f aca="false">IF(O175="","",SUM(X175:AE175))</f>
        <v/>
      </c>
      <c r="AG175" s="49" t="str">
        <f aca="false">IF(O175="","",IFERROR(AF175/O175*1000,0))</f>
        <v/>
      </c>
      <c r="AH175" s="49" t="n">
        <f aca="false">'Daily KPI Entry'!AH176</f>
        <v>0</v>
      </c>
      <c r="AI175" s="49" t="n">
        <f aca="false">'Daily KPI Entry'!AI176</f>
        <v>0</v>
      </c>
      <c r="AJ175" s="49" t="n">
        <f aca="false">'Daily KPI Entry'!AJ176</f>
        <v>0</v>
      </c>
      <c r="AK175" s="47" t="n">
        <f aca="false">'Daily KPI Entry'!AK176</f>
        <v>0</v>
      </c>
      <c r="AL175" s="47" t="n">
        <f aca="false">'Daily KPI Entry'!AL176</f>
        <v>0</v>
      </c>
      <c r="AM175" s="47" t="n">
        <f aca="false">'Daily KPI Entry'!AM176</f>
        <v>0</v>
      </c>
      <c r="AN175" s="49" t="str">
        <f aca="false">IF(P175="","",MIN(120,P175))</f>
        <v/>
      </c>
      <c r="AO175" s="49" t="str">
        <f aca="false">IF(U175="","",MIN(120,U175))</f>
        <v/>
      </c>
      <c r="AP175" s="49" t="str">
        <f aca="false">IF(R175="","",MIN(120,IFERROR(S175/R175*100,0)))</f>
        <v/>
      </c>
      <c r="AQ175" s="49" t="str">
        <f aca="false">IF(W175="","",MIN(120,IF(W175=0,120,100*(INDEX('Standards &amp; Scoring'!$E$5:$E$13,MATCH("Quality / Rejection",'Standards &amp; Scoring'!$A$5:$A$13,0))/W175))))</f>
        <v/>
      </c>
      <c r="AR175" s="49" t="str">
        <f aca="false">IF(AG175="","",MIN(120,IF(AG175=0,120,100*(INDEX('Standards &amp; Scoring'!$E$5:$E$13,MATCH("Fault Control",'Standards &amp; Scoring'!$A$5:$A$13,0))/AG175))))</f>
        <v/>
      </c>
      <c r="AS175" s="49" t="str">
        <f aca="false">IF(O175="","",MIN(120,IF(SUMIFS('Fault &amp; Downtime Entry'!$L$6:$L$1005,'Fault &amp; Downtime Entry'!$E$6:$E$1005,G175,'Fault &amp; Downtime Entry'!$B$6:$B$1005,B175)=0,120,100*(INDEX('Standards &amp; Scoring'!$E$5:$E$13,MATCH("Downtime Control",'Standards &amp; Scoring'!$A$5:$A$13,0))/IFERROR(SUMIFS('Fault &amp; Downtime Entry'!$L$6:$L$1005,'Fault &amp; Downtime Entry'!$E$6:$E$1005,G175,'Fault &amp; Downtime Entry'!$B$6:$B$1005,B175)/O175*1000,999999)))))</f>
        <v/>
      </c>
      <c r="AT175" s="49" t="n">
        <f aca="false">IF(COUNTA(AH175,AJ175)=0,"",MIN(120,IF(AND(AH175&lt;&gt;"",AJ175&lt;&gt;""),AVERAGE(AH175,AJ175),IF(AH175&lt;&gt;"",AH175,AJ175))))</f>
        <v>0</v>
      </c>
      <c r="AU175" s="49" t="str">
        <f aca="false">IF(AI175="","",MIN(120,AI175))</f>
        <v/>
      </c>
      <c r="AV175" s="49" t="str">
        <f aca="false">IF(AJ175="","",MIN(120,AJ175))</f>
        <v/>
      </c>
      <c r="AW175" s="50" t="str">
        <f aca="false">IF(COUNT(AN175:AV175)&lt;9,"",(AN175*'Standards &amp; Scoring'!$D$5+AO175*'Standards &amp; Scoring'!$D$6+AP175*'Standards &amp; Scoring'!$D$7+AQ175*'Standards &amp; Scoring'!$D$8+AR175*'Standards &amp; Scoring'!$D$9+AS175*'Standards &amp; Scoring'!$D$10+AT175*'Standards &amp; Scoring'!$D$11+AU175*'Standards &amp; Scoring'!$D$12+AV175*'Standards &amp; Scoring'!$D$13)/10000)</f>
        <v/>
      </c>
      <c r="AX175" s="47" t="str">
        <f aca="false">IF(AW175="","",IF(AW175&gt;=1.05,"A+",IF(AW175&gt;=1,"A",IF(AW175&gt;=0.95,"B+",IF(AW175&gt;=0.9,"B","C")))))</f>
        <v/>
      </c>
      <c r="AY175" s="47" t="str">
        <f aca="false">IF(AX175="","",IF(AX175="A+",1800,IF(AX175="A",1600,IF(AX175="B+",1400,IF(AX175="B",1200,0)))))</f>
        <v/>
      </c>
      <c r="AZ175" s="49" t="str">
        <f aca="false">IF(OR(L175="",M175="",S175="",M175=0),"",IFERROR(L175*60*S175/(M175*36),0))</f>
        <v/>
      </c>
    </row>
    <row r="176" customFormat="false" ht="15" hidden="false" customHeight="true" outlineLevel="0" collapsed="false">
      <c r="A176" s="47" t="n">
        <f aca="false">'Daily KPI Entry'!A177</f>
        <v>0</v>
      </c>
      <c r="B176" s="48" t="n">
        <f aca="false">'Daily KPI Entry'!B177</f>
        <v>0</v>
      </c>
      <c r="C176" s="47" t="n">
        <f aca="false">'Daily KPI Entry'!C177</f>
        <v>0</v>
      </c>
      <c r="D176" s="47" t="n">
        <f aca="false">'Daily KPI Entry'!D177</f>
        <v>0</v>
      </c>
      <c r="E176" s="47" t="n">
        <f aca="false">'Daily KPI Entry'!E177</f>
        <v>0</v>
      </c>
      <c r="F176" s="47" t="n">
        <f aca="false">'Daily KPI Entry'!F177</f>
        <v>0</v>
      </c>
      <c r="G176" s="47" t="n">
        <f aca="false">'Daily KPI Entry'!G177</f>
        <v>0</v>
      </c>
      <c r="H176" s="47" t="str">
        <f aca="false">'Daily KPI Entry'!H177</f>
        <v/>
      </c>
      <c r="I176" s="47" t="n">
        <f aca="false">'Daily KPI Entry'!I177</f>
        <v>0</v>
      </c>
      <c r="J176" s="47" t="n">
        <f aca="false">'Daily KPI Entry'!J177</f>
        <v>0</v>
      </c>
      <c r="K176" s="47" t="n">
        <f aca="false">'Daily KPI Entry'!K177</f>
        <v>0</v>
      </c>
      <c r="L176" s="47" t="n">
        <f aca="false">'Daily KPI Entry'!L177</f>
        <v>0</v>
      </c>
      <c r="M176" s="47" t="n">
        <f aca="false">'Daily KPI Entry'!M177</f>
        <v>0</v>
      </c>
      <c r="N176" s="49" t="n">
        <f aca="false">'Daily KPI Entry'!N177</f>
        <v>0</v>
      </c>
      <c r="O176" s="49" t="n">
        <f aca="false">'Daily KPI Entry'!O177</f>
        <v>0</v>
      </c>
      <c r="P176" s="49" t="str">
        <f aca="false">IF(OR(N176="",O176=""),"",IFERROR(O176/N176*100,0))</f>
        <v/>
      </c>
      <c r="Q176" s="47" t="n">
        <f aca="false">'Daily KPI Entry'!Q177</f>
        <v>8</v>
      </c>
      <c r="R176" s="47" t="str">
        <f aca="false">IF(J176="","",Q176*J176)</f>
        <v/>
      </c>
      <c r="S176" s="49" t="n">
        <f aca="false">'Daily KPI Entry'!S177</f>
        <v>0</v>
      </c>
      <c r="T176" s="49" t="str">
        <f aca="false">IF(OR(R176="",S176=""),"",IFERROR(S176/R176*100,0))</f>
        <v/>
      </c>
      <c r="U176" s="49" t="str">
        <f aca="false">IF(OR(O176="",L176="",M176="",S176="",M176=0),"",IFERROR(O176/(L176*60*S176/(M176*36))*100,0))</f>
        <v/>
      </c>
      <c r="V176" s="49" t="n">
        <f aca="false">'Daily KPI Entry'!V177</f>
        <v>0</v>
      </c>
      <c r="W176" s="49" t="str">
        <f aca="false">IF(O176="","",IFERROR(V176/O176*100,0))</f>
        <v/>
      </c>
      <c r="X176" s="49" t="n">
        <f aca="false">'Daily KPI Entry'!X177</f>
        <v>0</v>
      </c>
      <c r="Y176" s="49" t="n">
        <f aca="false">'Daily KPI Entry'!Y177</f>
        <v>0</v>
      </c>
      <c r="Z176" s="49" t="n">
        <f aca="false">'Daily KPI Entry'!Z177</f>
        <v>0</v>
      </c>
      <c r="AA176" s="49" t="n">
        <f aca="false">'Daily KPI Entry'!AA177</f>
        <v>0</v>
      </c>
      <c r="AB176" s="49" t="n">
        <f aca="false">'Daily KPI Entry'!AB177</f>
        <v>0</v>
      </c>
      <c r="AC176" s="49" t="n">
        <f aca="false">'Daily KPI Entry'!AC177</f>
        <v>0</v>
      </c>
      <c r="AD176" s="49" t="n">
        <f aca="false">'Daily KPI Entry'!AD177</f>
        <v>0</v>
      </c>
      <c r="AE176" s="49" t="n">
        <f aca="false">'Daily KPI Entry'!AE177</f>
        <v>0</v>
      </c>
      <c r="AF176" s="47" t="str">
        <f aca="false">IF(O176="","",SUM(X176:AE176))</f>
        <v/>
      </c>
      <c r="AG176" s="49" t="str">
        <f aca="false">IF(O176="","",IFERROR(AF176/O176*1000,0))</f>
        <v/>
      </c>
      <c r="AH176" s="49" t="n">
        <f aca="false">'Daily KPI Entry'!AH177</f>
        <v>0</v>
      </c>
      <c r="AI176" s="49" t="n">
        <f aca="false">'Daily KPI Entry'!AI177</f>
        <v>0</v>
      </c>
      <c r="AJ176" s="49" t="n">
        <f aca="false">'Daily KPI Entry'!AJ177</f>
        <v>0</v>
      </c>
      <c r="AK176" s="47" t="n">
        <f aca="false">'Daily KPI Entry'!AK177</f>
        <v>0</v>
      </c>
      <c r="AL176" s="47" t="n">
        <f aca="false">'Daily KPI Entry'!AL177</f>
        <v>0</v>
      </c>
      <c r="AM176" s="47" t="n">
        <f aca="false">'Daily KPI Entry'!AM177</f>
        <v>0</v>
      </c>
      <c r="AN176" s="49" t="str">
        <f aca="false">IF(P176="","",MIN(120,P176))</f>
        <v/>
      </c>
      <c r="AO176" s="49" t="str">
        <f aca="false">IF(U176="","",MIN(120,U176))</f>
        <v/>
      </c>
      <c r="AP176" s="49" t="str">
        <f aca="false">IF(R176="","",MIN(120,IFERROR(S176/R176*100,0)))</f>
        <v/>
      </c>
      <c r="AQ176" s="49" t="str">
        <f aca="false">IF(W176="","",MIN(120,IF(W176=0,120,100*(INDEX('Standards &amp; Scoring'!$E$5:$E$13,MATCH("Quality / Rejection",'Standards &amp; Scoring'!$A$5:$A$13,0))/W176))))</f>
        <v/>
      </c>
      <c r="AR176" s="49" t="str">
        <f aca="false">IF(AG176="","",MIN(120,IF(AG176=0,120,100*(INDEX('Standards &amp; Scoring'!$E$5:$E$13,MATCH("Fault Control",'Standards &amp; Scoring'!$A$5:$A$13,0))/AG176))))</f>
        <v/>
      </c>
      <c r="AS176" s="49" t="str">
        <f aca="false">IF(O176="","",MIN(120,IF(SUMIFS('Fault &amp; Downtime Entry'!$L$6:$L$1005,'Fault &amp; Downtime Entry'!$E$6:$E$1005,G176,'Fault &amp; Downtime Entry'!$B$6:$B$1005,B176)=0,120,100*(INDEX('Standards &amp; Scoring'!$E$5:$E$13,MATCH("Downtime Control",'Standards &amp; Scoring'!$A$5:$A$13,0))/IFERROR(SUMIFS('Fault &amp; Downtime Entry'!$L$6:$L$1005,'Fault &amp; Downtime Entry'!$E$6:$E$1005,G176,'Fault &amp; Downtime Entry'!$B$6:$B$1005,B176)/O176*1000,999999)))))</f>
        <v/>
      </c>
      <c r="AT176" s="49" t="n">
        <f aca="false">IF(COUNTA(AH176,AJ176)=0,"",MIN(120,IF(AND(AH176&lt;&gt;"",AJ176&lt;&gt;""),AVERAGE(AH176,AJ176),IF(AH176&lt;&gt;"",AH176,AJ176))))</f>
        <v>0</v>
      </c>
      <c r="AU176" s="49" t="str">
        <f aca="false">IF(AI176="","",MIN(120,AI176))</f>
        <v/>
      </c>
      <c r="AV176" s="49" t="str">
        <f aca="false">IF(AJ176="","",MIN(120,AJ176))</f>
        <v/>
      </c>
      <c r="AW176" s="50" t="str">
        <f aca="false">IF(COUNT(AN176:AV176)&lt;9,"",(AN176*'Standards &amp; Scoring'!$D$5+AO176*'Standards &amp; Scoring'!$D$6+AP176*'Standards &amp; Scoring'!$D$7+AQ176*'Standards &amp; Scoring'!$D$8+AR176*'Standards &amp; Scoring'!$D$9+AS176*'Standards &amp; Scoring'!$D$10+AT176*'Standards &amp; Scoring'!$D$11+AU176*'Standards &amp; Scoring'!$D$12+AV176*'Standards &amp; Scoring'!$D$13)/10000)</f>
        <v/>
      </c>
      <c r="AX176" s="47" t="str">
        <f aca="false">IF(AW176="","",IF(AW176&gt;=1.05,"A+",IF(AW176&gt;=1,"A",IF(AW176&gt;=0.95,"B+",IF(AW176&gt;=0.9,"B","C")))))</f>
        <v/>
      </c>
      <c r="AY176" s="47" t="str">
        <f aca="false">IF(AX176="","",IF(AX176="A+",1800,IF(AX176="A",1600,IF(AX176="B+",1400,IF(AX176="B",1200,0)))))</f>
        <v/>
      </c>
      <c r="AZ176" s="49" t="str">
        <f aca="false">IF(OR(L176="",M176="",S176="",M176=0),"",IFERROR(L176*60*S176/(M176*36),0))</f>
        <v/>
      </c>
    </row>
    <row r="177" customFormat="false" ht="15" hidden="false" customHeight="true" outlineLevel="0" collapsed="false">
      <c r="A177" s="47" t="n">
        <f aca="false">'Daily KPI Entry'!A178</f>
        <v>0</v>
      </c>
      <c r="B177" s="48" t="n">
        <f aca="false">'Daily KPI Entry'!B178</f>
        <v>0</v>
      </c>
      <c r="C177" s="47" t="n">
        <f aca="false">'Daily KPI Entry'!C178</f>
        <v>0</v>
      </c>
      <c r="D177" s="47" t="n">
        <f aca="false">'Daily KPI Entry'!D178</f>
        <v>0</v>
      </c>
      <c r="E177" s="47" t="n">
        <f aca="false">'Daily KPI Entry'!E178</f>
        <v>0</v>
      </c>
      <c r="F177" s="47" t="n">
        <f aca="false">'Daily KPI Entry'!F178</f>
        <v>0</v>
      </c>
      <c r="G177" s="47" t="n">
        <f aca="false">'Daily KPI Entry'!G178</f>
        <v>0</v>
      </c>
      <c r="H177" s="47" t="str">
        <f aca="false">'Daily KPI Entry'!H178</f>
        <v/>
      </c>
      <c r="I177" s="47" t="n">
        <f aca="false">'Daily KPI Entry'!I178</f>
        <v>0</v>
      </c>
      <c r="J177" s="47" t="n">
        <f aca="false">'Daily KPI Entry'!J178</f>
        <v>0</v>
      </c>
      <c r="K177" s="47" t="n">
        <f aca="false">'Daily KPI Entry'!K178</f>
        <v>0</v>
      </c>
      <c r="L177" s="47" t="n">
        <f aca="false">'Daily KPI Entry'!L178</f>
        <v>0</v>
      </c>
      <c r="M177" s="47" t="n">
        <f aca="false">'Daily KPI Entry'!M178</f>
        <v>0</v>
      </c>
      <c r="N177" s="49" t="n">
        <f aca="false">'Daily KPI Entry'!N178</f>
        <v>0</v>
      </c>
      <c r="O177" s="49" t="n">
        <f aca="false">'Daily KPI Entry'!O178</f>
        <v>0</v>
      </c>
      <c r="P177" s="49" t="str">
        <f aca="false">IF(OR(N177="",O177=""),"",IFERROR(O177/N177*100,0))</f>
        <v/>
      </c>
      <c r="Q177" s="47" t="n">
        <f aca="false">'Daily KPI Entry'!Q178</f>
        <v>8</v>
      </c>
      <c r="R177" s="47" t="str">
        <f aca="false">IF(J177="","",Q177*J177)</f>
        <v/>
      </c>
      <c r="S177" s="49" t="n">
        <f aca="false">'Daily KPI Entry'!S178</f>
        <v>0</v>
      </c>
      <c r="T177" s="49" t="str">
        <f aca="false">IF(OR(R177="",S177=""),"",IFERROR(S177/R177*100,0))</f>
        <v/>
      </c>
      <c r="U177" s="49" t="str">
        <f aca="false">IF(OR(O177="",L177="",M177="",S177="",M177=0),"",IFERROR(O177/(L177*60*S177/(M177*36))*100,0))</f>
        <v/>
      </c>
      <c r="V177" s="49" t="n">
        <f aca="false">'Daily KPI Entry'!V178</f>
        <v>0</v>
      </c>
      <c r="W177" s="49" t="str">
        <f aca="false">IF(O177="","",IFERROR(V177/O177*100,0))</f>
        <v/>
      </c>
      <c r="X177" s="49" t="n">
        <f aca="false">'Daily KPI Entry'!X178</f>
        <v>0</v>
      </c>
      <c r="Y177" s="49" t="n">
        <f aca="false">'Daily KPI Entry'!Y178</f>
        <v>0</v>
      </c>
      <c r="Z177" s="49" t="n">
        <f aca="false">'Daily KPI Entry'!Z178</f>
        <v>0</v>
      </c>
      <c r="AA177" s="49" t="n">
        <f aca="false">'Daily KPI Entry'!AA178</f>
        <v>0</v>
      </c>
      <c r="AB177" s="49" t="n">
        <f aca="false">'Daily KPI Entry'!AB178</f>
        <v>0</v>
      </c>
      <c r="AC177" s="49" t="n">
        <f aca="false">'Daily KPI Entry'!AC178</f>
        <v>0</v>
      </c>
      <c r="AD177" s="49" t="n">
        <f aca="false">'Daily KPI Entry'!AD178</f>
        <v>0</v>
      </c>
      <c r="AE177" s="49" t="n">
        <f aca="false">'Daily KPI Entry'!AE178</f>
        <v>0</v>
      </c>
      <c r="AF177" s="47" t="str">
        <f aca="false">IF(O177="","",SUM(X177:AE177))</f>
        <v/>
      </c>
      <c r="AG177" s="49" t="str">
        <f aca="false">IF(O177="","",IFERROR(AF177/O177*1000,0))</f>
        <v/>
      </c>
      <c r="AH177" s="49" t="n">
        <f aca="false">'Daily KPI Entry'!AH178</f>
        <v>0</v>
      </c>
      <c r="AI177" s="49" t="n">
        <f aca="false">'Daily KPI Entry'!AI178</f>
        <v>0</v>
      </c>
      <c r="AJ177" s="49" t="n">
        <f aca="false">'Daily KPI Entry'!AJ178</f>
        <v>0</v>
      </c>
      <c r="AK177" s="47" t="n">
        <f aca="false">'Daily KPI Entry'!AK178</f>
        <v>0</v>
      </c>
      <c r="AL177" s="47" t="n">
        <f aca="false">'Daily KPI Entry'!AL178</f>
        <v>0</v>
      </c>
      <c r="AM177" s="47" t="n">
        <f aca="false">'Daily KPI Entry'!AM178</f>
        <v>0</v>
      </c>
      <c r="AN177" s="49" t="str">
        <f aca="false">IF(P177="","",MIN(120,P177))</f>
        <v/>
      </c>
      <c r="AO177" s="49" t="str">
        <f aca="false">IF(U177="","",MIN(120,U177))</f>
        <v/>
      </c>
      <c r="AP177" s="49" t="str">
        <f aca="false">IF(R177="","",MIN(120,IFERROR(S177/R177*100,0)))</f>
        <v/>
      </c>
      <c r="AQ177" s="49" t="str">
        <f aca="false">IF(W177="","",MIN(120,IF(W177=0,120,100*(INDEX('Standards &amp; Scoring'!$E$5:$E$13,MATCH("Quality / Rejection",'Standards &amp; Scoring'!$A$5:$A$13,0))/W177))))</f>
        <v/>
      </c>
      <c r="AR177" s="49" t="str">
        <f aca="false">IF(AG177="","",MIN(120,IF(AG177=0,120,100*(INDEX('Standards &amp; Scoring'!$E$5:$E$13,MATCH("Fault Control",'Standards &amp; Scoring'!$A$5:$A$13,0))/AG177))))</f>
        <v/>
      </c>
      <c r="AS177" s="49" t="str">
        <f aca="false">IF(O177="","",MIN(120,IF(SUMIFS('Fault &amp; Downtime Entry'!$L$6:$L$1005,'Fault &amp; Downtime Entry'!$E$6:$E$1005,G177,'Fault &amp; Downtime Entry'!$B$6:$B$1005,B177)=0,120,100*(INDEX('Standards &amp; Scoring'!$E$5:$E$13,MATCH("Downtime Control",'Standards &amp; Scoring'!$A$5:$A$13,0))/IFERROR(SUMIFS('Fault &amp; Downtime Entry'!$L$6:$L$1005,'Fault &amp; Downtime Entry'!$E$6:$E$1005,G177,'Fault &amp; Downtime Entry'!$B$6:$B$1005,B177)/O177*1000,999999)))))</f>
        <v/>
      </c>
      <c r="AT177" s="49" t="n">
        <f aca="false">IF(COUNTA(AH177,AJ177)=0,"",MIN(120,IF(AND(AH177&lt;&gt;"",AJ177&lt;&gt;""),AVERAGE(AH177,AJ177),IF(AH177&lt;&gt;"",AH177,AJ177))))</f>
        <v>0</v>
      </c>
      <c r="AU177" s="49" t="str">
        <f aca="false">IF(AI177="","",MIN(120,AI177))</f>
        <v/>
      </c>
      <c r="AV177" s="49" t="str">
        <f aca="false">IF(AJ177="","",MIN(120,AJ177))</f>
        <v/>
      </c>
      <c r="AW177" s="50" t="str">
        <f aca="false">IF(COUNT(AN177:AV177)&lt;9,"",(AN177*'Standards &amp; Scoring'!$D$5+AO177*'Standards &amp; Scoring'!$D$6+AP177*'Standards &amp; Scoring'!$D$7+AQ177*'Standards &amp; Scoring'!$D$8+AR177*'Standards &amp; Scoring'!$D$9+AS177*'Standards &amp; Scoring'!$D$10+AT177*'Standards &amp; Scoring'!$D$11+AU177*'Standards &amp; Scoring'!$D$12+AV177*'Standards &amp; Scoring'!$D$13)/10000)</f>
        <v/>
      </c>
      <c r="AX177" s="47" t="str">
        <f aca="false">IF(AW177="","",IF(AW177&gt;=1.05,"A+",IF(AW177&gt;=1,"A",IF(AW177&gt;=0.95,"B+",IF(AW177&gt;=0.9,"B","C")))))</f>
        <v/>
      </c>
      <c r="AY177" s="47" t="str">
        <f aca="false">IF(AX177="","",IF(AX177="A+",1800,IF(AX177="A",1600,IF(AX177="B+",1400,IF(AX177="B",1200,0)))))</f>
        <v/>
      </c>
      <c r="AZ177" s="49" t="str">
        <f aca="false">IF(OR(L177="",M177="",S177="",M177=0),"",IFERROR(L177*60*S177/(M177*36),0))</f>
        <v/>
      </c>
    </row>
    <row r="178" customFormat="false" ht="15" hidden="false" customHeight="true" outlineLevel="0" collapsed="false">
      <c r="A178" s="47" t="n">
        <f aca="false">'Daily KPI Entry'!A179</f>
        <v>0</v>
      </c>
      <c r="B178" s="48" t="n">
        <f aca="false">'Daily KPI Entry'!B179</f>
        <v>0</v>
      </c>
      <c r="C178" s="47" t="n">
        <f aca="false">'Daily KPI Entry'!C179</f>
        <v>0</v>
      </c>
      <c r="D178" s="47" t="n">
        <f aca="false">'Daily KPI Entry'!D179</f>
        <v>0</v>
      </c>
      <c r="E178" s="47" t="n">
        <f aca="false">'Daily KPI Entry'!E179</f>
        <v>0</v>
      </c>
      <c r="F178" s="47" t="n">
        <f aca="false">'Daily KPI Entry'!F179</f>
        <v>0</v>
      </c>
      <c r="G178" s="47" t="n">
        <f aca="false">'Daily KPI Entry'!G179</f>
        <v>0</v>
      </c>
      <c r="H178" s="47" t="str">
        <f aca="false">'Daily KPI Entry'!H179</f>
        <v/>
      </c>
      <c r="I178" s="47" t="n">
        <f aca="false">'Daily KPI Entry'!I179</f>
        <v>0</v>
      </c>
      <c r="J178" s="47" t="n">
        <f aca="false">'Daily KPI Entry'!J179</f>
        <v>0</v>
      </c>
      <c r="K178" s="47" t="n">
        <f aca="false">'Daily KPI Entry'!K179</f>
        <v>0</v>
      </c>
      <c r="L178" s="47" t="n">
        <f aca="false">'Daily KPI Entry'!L179</f>
        <v>0</v>
      </c>
      <c r="M178" s="47" t="n">
        <f aca="false">'Daily KPI Entry'!M179</f>
        <v>0</v>
      </c>
      <c r="N178" s="49" t="n">
        <f aca="false">'Daily KPI Entry'!N179</f>
        <v>0</v>
      </c>
      <c r="O178" s="49" t="n">
        <f aca="false">'Daily KPI Entry'!O179</f>
        <v>0</v>
      </c>
      <c r="P178" s="49" t="str">
        <f aca="false">IF(OR(N178="",O178=""),"",IFERROR(O178/N178*100,0))</f>
        <v/>
      </c>
      <c r="Q178" s="47" t="n">
        <f aca="false">'Daily KPI Entry'!Q179</f>
        <v>8</v>
      </c>
      <c r="R178" s="47" t="str">
        <f aca="false">IF(J178="","",Q178*J178)</f>
        <v/>
      </c>
      <c r="S178" s="49" t="n">
        <f aca="false">'Daily KPI Entry'!S179</f>
        <v>0</v>
      </c>
      <c r="T178" s="49" t="str">
        <f aca="false">IF(OR(R178="",S178=""),"",IFERROR(S178/R178*100,0))</f>
        <v/>
      </c>
      <c r="U178" s="49" t="str">
        <f aca="false">IF(OR(O178="",L178="",M178="",S178="",M178=0),"",IFERROR(O178/(L178*60*S178/(M178*36))*100,0))</f>
        <v/>
      </c>
      <c r="V178" s="49" t="n">
        <f aca="false">'Daily KPI Entry'!V179</f>
        <v>0</v>
      </c>
      <c r="W178" s="49" t="str">
        <f aca="false">IF(O178="","",IFERROR(V178/O178*100,0))</f>
        <v/>
      </c>
      <c r="X178" s="49" t="n">
        <f aca="false">'Daily KPI Entry'!X179</f>
        <v>0</v>
      </c>
      <c r="Y178" s="49" t="n">
        <f aca="false">'Daily KPI Entry'!Y179</f>
        <v>0</v>
      </c>
      <c r="Z178" s="49" t="n">
        <f aca="false">'Daily KPI Entry'!Z179</f>
        <v>0</v>
      </c>
      <c r="AA178" s="49" t="n">
        <f aca="false">'Daily KPI Entry'!AA179</f>
        <v>0</v>
      </c>
      <c r="AB178" s="49" t="n">
        <f aca="false">'Daily KPI Entry'!AB179</f>
        <v>0</v>
      </c>
      <c r="AC178" s="49" t="n">
        <f aca="false">'Daily KPI Entry'!AC179</f>
        <v>0</v>
      </c>
      <c r="AD178" s="49" t="n">
        <f aca="false">'Daily KPI Entry'!AD179</f>
        <v>0</v>
      </c>
      <c r="AE178" s="49" t="n">
        <f aca="false">'Daily KPI Entry'!AE179</f>
        <v>0</v>
      </c>
      <c r="AF178" s="47" t="str">
        <f aca="false">IF(O178="","",SUM(X178:AE178))</f>
        <v/>
      </c>
      <c r="AG178" s="49" t="str">
        <f aca="false">IF(O178="","",IFERROR(AF178/O178*1000,0))</f>
        <v/>
      </c>
      <c r="AH178" s="49" t="n">
        <f aca="false">'Daily KPI Entry'!AH179</f>
        <v>0</v>
      </c>
      <c r="AI178" s="49" t="n">
        <f aca="false">'Daily KPI Entry'!AI179</f>
        <v>0</v>
      </c>
      <c r="AJ178" s="49" t="n">
        <f aca="false">'Daily KPI Entry'!AJ179</f>
        <v>0</v>
      </c>
      <c r="AK178" s="47" t="n">
        <f aca="false">'Daily KPI Entry'!AK179</f>
        <v>0</v>
      </c>
      <c r="AL178" s="47" t="n">
        <f aca="false">'Daily KPI Entry'!AL179</f>
        <v>0</v>
      </c>
      <c r="AM178" s="47" t="n">
        <f aca="false">'Daily KPI Entry'!AM179</f>
        <v>0</v>
      </c>
      <c r="AN178" s="49" t="str">
        <f aca="false">IF(P178="","",MIN(120,P178))</f>
        <v/>
      </c>
      <c r="AO178" s="49" t="str">
        <f aca="false">IF(U178="","",MIN(120,U178))</f>
        <v/>
      </c>
      <c r="AP178" s="49" t="str">
        <f aca="false">IF(R178="","",MIN(120,IFERROR(S178/R178*100,0)))</f>
        <v/>
      </c>
      <c r="AQ178" s="49" t="str">
        <f aca="false">IF(W178="","",MIN(120,IF(W178=0,120,100*(INDEX('Standards &amp; Scoring'!$E$5:$E$13,MATCH("Quality / Rejection",'Standards &amp; Scoring'!$A$5:$A$13,0))/W178))))</f>
        <v/>
      </c>
      <c r="AR178" s="49" t="str">
        <f aca="false">IF(AG178="","",MIN(120,IF(AG178=0,120,100*(INDEX('Standards &amp; Scoring'!$E$5:$E$13,MATCH("Fault Control",'Standards &amp; Scoring'!$A$5:$A$13,0))/AG178))))</f>
        <v/>
      </c>
      <c r="AS178" s="49" t="str">
        <f aca="false">IF(O178="","",MIN(120,IF(SUMIFS('Fault &amp; Downtime Entry'!$L$6:$L$1005,'Fault &amp; Downtime Entry'!$E$6:$E$1005,G178,'Fault &amp; Downtime Entry'!$B$6:$B$1005,B178)=0,120,100*(INDEX('Standards &amp; Scoring'!$E$5:$E$13,MATCH("Downtime Control",'Standards &amp; Scoring'!$A$5:$A$13,0))/IFERROR(SUMIFS('Fault &amp; Downtime Entry'!$L$6:$L$1005,'Fault &amp; Downtime Entry'!$E$6:$E$1005,G178,'Fault &amp; Downtime Entry'!$B$6:$B$1005,B178)/O178*1000,999999)))))</f>
        <v/>
      </c>
      <c r="AT178" s="49" t="n">
        <f aca="false">IF(COUNTA(AH178,AJ178)=0,"",MIN(120,IF(AND(AH178&lt;&gt;"",AJ178&lt;&gt;""),AVERAGE(AH178,AJ178),IF(AH178&lt;&gt;"",AH178,AJ178))))</f>
        <v>0</v>
      </c>
      <c r="AU178" s="49" t="str">
        <f aca="false">IF(AI178="","",MIN(120,AI178))</f>
        <v/>
      </c>
      <c r="AV178" s="49" t="str">
        <f aca="false">IF(AJ178="","",MIN(120,AJ178))</f>
        <v/>
      </c>
      <c r="AW178" s="50" t="str">
        <f aca="false">IF(COUNT(AN178:AV178)&lt;9,"",(AN178*'Standards &amp; Scoring'!$D$5+AO178*'Standards &amp; Scoring'!$D$6+AP178*'Standards &amp; Scoring'!$D$7+AQ178*'Standards &amp; Scoring'!$D$8+AR178*'Standards &amp; Scoring'!$D$9+AS178*'Standards &amp; Scoring'!$D$10+AT178*'Standards &amp; Scoring'!$D$11+AU178*'Standards &amp; Scoring'!$D$12+AV178*'Standards &amp; Scoring'!$D$13)/10000)</f>
        <v/>
      </c>
      <c r="AX178" s="47" t="str">
        <f aca="false">IF(AW178="","",IF(AW178&gt;=1.05,"A+",IF(AW178&gt;=1,"A",IF(AW178&gt;=0.95,"B+",IF(AW178&gt;=0.9,"B","C")))))</f>
        <v/>
      </c>
      <c r="AY178" s="47" t="str">
        <f aca="false">IF(AX178="","",IF(AX178="A+",1800,IF(AX178="A",1600,IF(AX178="B+",1400,IF(AX178="B",1200,0)))))</f>
        <v/>
      </c>
      <c r="AZ178" s="49" t="str">
        <f aca="false">IF(OR(L178="",M178="",S178="",M178=0),"",IFERROR(L178*60*S178/(M178*36),0))</f>
        <v/>
      </c>
    </row>
    <row r="179" customFormat="false" ht="15" hidden="false" customHeight="true" outlineLevel="0" collapsed="false">
      <c r="A179" s="47" t="n">
        <f aca="false">'Daily KPI Entry'!A180</f>
        <v>0</v>
      </c>
      <c r="B179" s="48" t="n">
        <f aca="false">'Daily KPI Entry'!B180</f>
        <v>0</v>
      </c>
      <c r="C179" s="47" t="n">
        <f aca="false">'Daily KPI Entry'!C180</f>
        <v>0</v>
      </c>
      <c r="D179" s="47" t="n">
        <f aca="false">'Daily KPI Entry'!D180</f>
        <v>0</v>
      </c>
      <c r="E179" s="47" t="n">
        <f aca="false">'Daily KPI Entry'!E180</f>
        <v>0</v>
      </c>
      <c r="F179" s="47" t="n">
        <f aca="false">'Daily KPI Entry'!F180</f>
        <v>0</v>
      </c>
      <c r="G179" s="47" t="n">
        <f aca="false">'Daily KPI Entry'!G180</f>
        <v>0</v>
      </c>
      <c r="H179" s="47" t="str">
        <f aca="false">'Daily KPI Entry'!H180</f>
        <v/>
      </c>
      <c r="I179" s="47" t="n">
        <f aca="false">'Daily KPI Entry'!I180</f>
        <v>0</v>
      </c>
      <c r="J179" s="47" t="n">
        <f aca="false">'Daily KPI Entry'!J180</f>
        <v>0</v>
      </c>
      <c r="K179" s="47" t="n">
        <f aca="false">'Daily KPI Entry'!K180</f>
        <v>0</v>
      </c>
      <c r="L179" s="47" t="n">
        <f aca="false">'Daily KPI Entry'!L180</f>
        <v>0</v>
      </c>
      <c r="M179" s="47" t="n">
        <f aca="false">'Daily KPI Entry'!M180</f>
        <v>0</v>
      </c>
      <c r="N179" s="49" t="n">
        <f aca="false">'Daily KPI Entry'!N180</f>
        <v>0</v>
      </c>
      <c r="O179" s="49" t="n">
        <f aca="false">'Daily KPI Entry'!O180</f>
        <v>0</v>
      </c>
      <c r="P179" s="49" t="str">
        <f aca="false">IF(OR(N179="",O179=""),"",IFERROR(O179/N179*100,0))</f>
        <v/>
      </c>
      <c r="Q179" s="47" t="n">
        <f aca="false">'Daily KPI Entry'!Q180</f>
        <v>8</v>
      </c>
      <c r="R179" s="47" t="str">
        <f aca="false">IF(J179="","",Q179*J179)</f>
        <v/>
      </c>
      <c r="S179" s="49" t="n">
        <f aca="false">'Daily KPI Entry'!S180</f>
        <v>0</v>
      </c>
      <c r="T179" s="49" t="str">
        <f aca="false">IF(OR(R179="",S179=""),"",IFERROR(S179/R179*100,0))</f>
        <v/>
      </c>
      <c r="U179" s="49" t="str">
        <f aca="false">IF(OR(O179="",L179="",M179="",S179="",M179=0),"",IFERROR(O179/(L179*60*S179/(M179*36))*100,0))</f>
        <v/>
      </c>
      <c r="V179" s="49" t="n">
        <f aca="false">'Daily KPI Entry'!V180</f>
        <v>0</v>
      </c>
      <c r="W179" s="49" t="str">
        <f aca="false">IF(O179="","",IFERROR(V179/O179*100,0))</f>
        <v/>
      </c>
      <c r="X179" s="49" t="n">
        <f aca="false">'Daily KPI Entry'!X180</f>
        <v>0</v>
      </c>
      <c r="Y179" s="49" t="n">
        <f aca="false">'Daily KPI Entry'!Y180</f>
        <v>0</v>
      </c>
      <c r="Z179" s="49" t="n">
        <f aca="false">'Daily KPI Entry'!Z180</f>
        <v>0</v>
      </c>
      <c r="AA179" s="49" t="n">
        <f aca="false">'Daily KPI Entry'!AA180</f>
        <v>0</v>
      </c>
      <c r="AB179" s="49" t="n">
        <f aca="false">'Daily KPI Entry'!AB180</f>
        <v>0</v>
      </c>
      <c r="AC179" s="49" t="n">
        <f aca="false">'Daily KPI Entry'!AC180</f>
        <v>0</v>
      </c>
      <c r="AD179" s="49" t="n">
        <f aca="false">'Daily KPI Entry'!AD180</f>
        <v>0</v>
      </c>
      <c r="AE179" s="49" t="n">
        <f aca="false">'Daily KPI Entry'!AE180</f>
        <v>0</v>
      </c>
      <c r="AF179" s="47" t="str">
        <f aca="false">IF(O179="","",SUM(X179:AE179))</f>
        <v/>
      </c>
      <c r="AG179" s="49" t="str">
        <f aca="false">IF(O179="","",IFERROR(AF179/O179*1000,0))</f>
        <v/>
      </c>
      <c r="AH179" s="49" t="n">
        <f aca="false">'Daily KPI Entry'!AH180</f>
        <v>0</v>
      </c>
      <c r="AI179" s="49" t="n">
        <f aca="false">'Daily KPI Entry'!AI180</f>
        <v>0</v>
      </c>
      <c r="AJ179" s="49" t="n">
        <f aca="false">'Daily KPI Entry'!AJ180</f>
        <v>0</v>
      </c>
      <c r="AK179" s="47" t="n">
        <f aca="false">'Daily KPI Entry'!AK180</f>
        <v>0</v>
      </c>
      <c r="AL179" s="47" t="n">
        <f aca="false">'Daily KPI Entry'!AL180</f>
        <v>0</v>
      </c>
      <c r="AM179" s="47" t="n">
        <f aca="false">'Daily KPI Entry'!AM180</f>
        <v>0</v>
      </c>
      <c r="AN179" s="49" t="str">
        <f aca="false">IF(P179="","",MIN(120,P179))</f>
        <v/>
      </c>
      <c r="AO179" s="49" t="str">
        <f aca="false">IF(U179="","",MIN(120,U179))</f>
        <v/>
      </c>
      <c r="AP179" s="49" t="str">
        <f aca="false">IF(R179="","",MIN(120,IFERROR(S179/R179*100,0)))</f>
        <v/>
      </c>
      <c r="AQ179" s="49" t="str">
        <f aca="false">IF(W179="","",MIN(120,IF(W179=0,120,100*(INDEX('Standards &amp; Scoring'!$E$5:$E$13,MATCH("Quality / Rejection",'Standards &amp; Scoring'!$A$5:$A$13,0))/W179))))</f>
        <v/>
      </c>
      <c r="AR179" s="49" t="str">
        <f aca="false">IF(AG179="","",MIN(120,IF(AG179=0,120,100*(INDEX('Standards &amp; Scoring'!$E$5:$E$13,MATCH("Fault Control",'Standards &amp; Scoring'!$A$5:$A$13,0))/AG179))))</f>
        <v/>
      </c>
      <c r="AS179" s="49" t="str">
        <f aca="false">IF(O179="","",MIN(120,IF(SUMIFS('Fault &amp; Downtime Entry'!$L$6:$L$1005,'Fault &amp; Downtime Entry'!$E$6:$E$1005,G179,'Fault &amp; Downtime Entry'!$B$6:$B$1005,B179)=0,120,100*(INDEX('Standards &amp; Scoring'!$E$5:$E$13,MATCH("Downtime Control",'Standards &amp; Scoring'!$A$5:$A$13,0))/IFERROR(SUMIFS('Fault &amp; Downtime Entry'!$L$6:$L$1005,'Fault &amp; Downtime Entry'!$E$6:$E$1005,G179,'Fault &amp; Downtime Entry'!$B$6:$B$1005,B179)/O179*1000,999999)))))</f>
        <v/>
      </c>
      <c r="AT179" s="49" t="n">
        <f aca="false">IF(COUNTA(AH179,AJ179)=0,"",MIN(120,IF(AND(AH179&lt;&gt;"",AJ179&lt;&gt;""),AVERAGE(AH179,AJ179),IF(AH179&lt;&gt;"",AH179,AJ179))))</f>
        <v>0</v>
      </c>
      <c r="AU179" s="49" t="str">
        <f aca="false">IF(AI179="","",MIN(120,AI179))</f>
        <v/>
      </c>
      <c r="AV179" s="49" t="str">
        <f aca="false">IF(AJ179="","",MIN(120,AJ179))</f>
        <v/>
      </c>
      <c r="AW179" s="50" t="str">
        <f aca="false">IF(COUNT(AN179:AV179)&lt;9,"",(AN179*'Standards &amp; Scoring'!$D$5+AO179*'Standards &amp; Scoring'!$D$6+AP179*'Standards &amp; Scoring'!$D$7+AQ179*'Standards &amp; Scoring'!$D$8+AR179*'Standards &amp; Scoring'!$D$9+AS179*'Standards &amp; Scoring'!$D$10+AT179*'Standards &amp; Scoring'!$D$11+AU179*'Standards &amp; Scoring'!$D$12+AV179*'Standards &amp; Scoring'!$D$13)/10000)</f>
        <v/>
      </c>
      <c r="AX179" s="47" t="str">
        <f aca="false">IF(AW179="","",IF(AW179&gt;=1.05,"A+",IF(AW179&gt;=1,"A",IF(AW179&gt;=0.95,"B+",IF(AW179&gt;=0.9,"B","C")))))</f>
        <v/>
      </c>
      <c r="AY179" s="47" t="str">
        <f aca="false">IF(AX179="","",IF(AX179="A+",1800,IF(AX179="A",1600,IF(AX179="B+",1400,IF(AX179="B",1200,0)))))</f>
        <v/>
      </c>
      <c r="AZ179" s="49" t="str">
        <f aca="false">IF(OR(L179="",M179="",S179="",M179=0),"",IFERROR(L179*60*S179/(M179*36),0))</f>
        <v/>
      </c>
    </row>
    <row r="180" customFormat="false" ht="15" hidden="false" customHeight="true" outlineLevel="0" collapsed="false">
      <c r="A180" s="47" t="n">
        <f aca="false">'Daily KPI Entry'!A181</f>
        <v>0</v>
      </c>
      <c r="B180" s="48" t="n">
        <f aca="false">'Daily KPI Entry'!B181</f>
        <v>0</v>
      </c>
      <c r="C180" s="47" t="n">
        <f aca="false">'Daily KPI Entry'!C181</f>
        <v>0</v>
      </c>
      <c r="D180" s="47" t="n">
        <f aca="false">'Daily KPI Entry'!D181</f>
        <v>0</v>
      </c>
      <c r="E180" s="47" t="n">
        <f aca="false">'Daily KPI Entry'!E181</f>
        <v>0</v>
      </c>
      <c r="F180" s="47" t="n">
        <f aca="false">'Daily KPI Entry'!F181</f>
        <v>0</v>
      </c>
      <c r="G180" s="47" t="n">
        <f aca="false">'Daily KPI Entry'!G181</f>
        <v>0</v>
      </c>
      <c r="H180" s="47" t="str">
        <f aca="false">'Daily KPI Entry'!H181</f>
        <v/>
      </c>
      <c r="I180" s="47" t="n">
        <f aca="false">'Daily KPI Entry'!I181</f>
        <v>0</v>
      </c>
      <c r="J180" s="47" t="n">
        <f aca="false">'Daily KPI Entry'!J181</f>
        <v>0</v>
      </c>
      <c r="K180" s="47" t="n">
        <f aca="false">'Daily KPI Entry'!K181</f>
        <v>0</v>
      </c>
      <c r="L180" s="47" t="n">
        <f aca="false">'Daily KPI Entry'!L181</f>
        <v>0</v>
      </c>
      <c r="M180" s="47" t="n">
        <f aca="false">'Daily KPI Entry'!M181</f>
        <v>0</v>
      </c>
      <c r="N180" s="49" t="n">
        <f aca="false">'Daily KPI Entry'!N181</f>
        <v>0</v>
      </c>
      <c r="O180" s="49" t="n">
        <f aca="false">'Daily KPI Entry'!O181</f>
        <v>0</v>
      </c>
      <c r="P180" s="49" t="str">
        <f aca="false">IF(OR(N180="",O180=""),"",IFERROR(O180/N180*100,0))</f>
        <v/>
      </c>
      <c r="Q180" s="47" t="n">
        <f aca="false">'Daily KPI Entry'!Q181</f>
        <v>8</v>
      </c>
      <c r="R180" s="47" t="str">
        <f aca="false">IF(J180="","",Q180*J180)</f>
        <v/>
      </c>
      <c r="S180" s="49" t="n">
        <f aca="false">'Daily KPI Entry'!S181</f>
        <v>0</v>
      </c>
      <c r="T180" s="49" t="str">
        <f aca="false">IF(OR(R180="",S180=""),"",IFERROR(S180/R180*100,0))</f>
        <v/>
      </c>
      <c r="U180" s="49" t="str">
        <f aca="false">IF(OR(O180="",L180="",M180="",S180="",M180=0),"",IFERROR(O180/(L180*60*S180/(M180*36))*100,0))</f>
        <v/>
      </c>
      <c r="V180" s="49" t="n">
        <f aca="false">'Daily KPI Entry'!V181</f>
        <v>0</v>
      </c>
      <c r="W180" s="49" t="str">
        <f aca="false">IF(O180="","",IFERROR(V180/O180*100,0))</f>
        <v/>
      </c>
      <c r="X180" s="49" t="n">
        <f aca="false">'Daily KPI Entry'!X181</f>
        <v>0</v>
      </c>
      <c r="Y180" s="49" t="n">
        <f aca="false">'Daily KPI Entry'!Y181</f>
        <v>0</v>
      </c>
      <c r="Z180" s="49" t="n">
        <f aca="false">'Daily KPI Entry'!Z181</f>
        <v>0</v>
      </c>
      <c r="AA180" s="49" t="n">
        <f aca="false">'Daily KPI Entry'!AA181</f>
        <v>0</v>
      </c>
      <c r="AB180" s="49" t="n">
        <f aca="false">'Daily KPI Entry'!AB181</f>
        <v>0</v>
      </c>
      <c r="AC180" s="49" t="n">
        <f aca="false">'Daily KPI Entry'!AC181</f>
        <v>0</v>
      </c>
      <c r="AD180" s="49" t="n">
        <f aca="false">'Daily KPI Entry'!AD181</f>
        <v>0</v>
      </c>
      <c r="AE180" s="49" t="n">
        <f aca="false">'Daily KPI Entry'!AE181</f>
        <v>0</v>
      </c>
      <c r="AF180" s="47" t="str">
        <f aca="false">IF(O180="","",SUM(X180:AE180))</f>
        <v/>
      </c>
      <c r="AG180" s="49" t="str">
        <f aca="false">IF(O180="","",IFERROR(AF180/O180*1000,0))</f>
        <v/>
      </c>
      <c r="AH180" s="49" t="n">
        <f aca="false">'Daily KPI Entry'!AH181</f>
        <v>0</v>
      </c>
      <c r="AI180" s="49" t="n">
        <f aca="false">'Daily KPI Entry'!AI181</f>
        <v>0</v>
      </c>
      <c r="AJ180" s="49" t="n">
        <f aca="false">'Daily KPI Entry'!AJ181</f>
        <v>0</v>
      </c>
      <c r="AK180" s="47" t="n">
        <f aca="false">'Daily KPI Entry'!AK181</f>
        <v>0</v>
      </c>
      <c r="AL180" s="47" t="n">
        <f aca="false">'Daily KPI Entry'!AL181</f>
        <v>0</v>
      </c>
      <c r="AM180" s="47" t="n">
        <f aca="false">'Daily KPI Entry'!AM181</f>
        <v>0</v>
      </c>
      <c r="AN180" s="49" t="str">
        <f aca="false">IF(P180="","",MIN(120,P180))</f>
        <v/>
      </c>
      <c r="AO180" s="49" t="str">
        <f aca="false">IF(U180="","",MIN(120,U180))</f>
        <v/>
      </c>
      <c r="AP180" s="49" t="str">
        <f aca="false">IF(R180="","",MIN(120,IFERROR(S180/R180*100,0)))</f>
        <v/>
      </c>
      <c r="AQ180" s="49" t="str">
        <f aca="false">IF(W180="","",MIN(120,IF(W180=0,120,100*(INDEX('Standards &amp; Scoring'!$E$5:$E$13,MATCH("Quality / Rejection",'Standards &amp; Scoring'!$A$5:$A$13,0))/W180))))</f>
        <v/>
      </c>
      <c r="AR180" s="49" t="str">
        <f aca="false">IF(AG180="","",MIN(120,IF(AG180=0,120,100*(INDEX('Standards &amp; Scoring'!$E$5:$E$13,MATCH("Fault Control",'Standards &amp; Scoring'!$A$5:$A$13,0))/AG180))))</f>
        <v/>
      </c>
      <c r="AS180" s="49" t="str">
        <f aca="false">IF(O180="","",MIN(120,IF(SUMIFS('Fault &amp; Downtime Entry'!$L$6:$L$1005,'Fault &amp; Downtime Entry'!$E$6:$E$1005,G180,'Fault &amp; Downtime Entry'!$B$6:$B$1005,B180)=0,120,100*(INDEX('Standards &amp; Scoring'!$E$5:$E$13,MATCH("Downtime Control",'Standards &amp; Scoring'!$A$5:$A$13,0))/IFERROR(SUMIFS('Fault &amp; Downtime Entry'!$L$6:$L$1005,'Fault &amp; Downtime Entry'!$E$6:$E$1005,G180,'Fault &amp; Downtime Entry'!$B$6:$B$1005,B180)/O180*1000,999999)))))</f>
        <v/>
      </c>
      <c r="AT180" s="49" t="n">
        <f aca="false">IF(COUNTA(AH180,AJ180)=0,"",MIN(120,IF(AND(AH180&lt;&gt;"",AJ180&lt;&gt;""),AVERAGE(AH180,AJ180),IF(AH180&lt;&gt;"",AH180,AJ180))))</f>
        <v>0</v>
      </c>
      <c r="AU180" s="49" t="str">
        <f aca="false">IF(AI180="","",MIN(120,AI180))</f>
        <v/>
      </c>
      <c r="AV180" s="49" t="str">
        <f aca="false">IF(AJ180="","",MIN(120,AJ180))</f>
        <v/>
      </c>
      <c r="AW180" s="50" t="str">
        <f aca="false">IF(COUNT(AN180:AV180)&lt;9,"",(AN180*'Standards &amp; Scoring'!$D$5+AO180*'Standards &amp; Scoring'!$D$6+AP180*'Standards &amp; Scoring'!$D$7+AQ180*'Standards &amp; Scoring'!$D$8+AR180*'Standards &amp; Scoring'!$D$9+AS180*'Standards &amp; Scoring'!$D$10+AT180*'Standards &amp; Scoring'!$D$11+AU180*'Standards &amp; Scoring'!$D$12+AV180*'Standards &amp; Scoring'!$D$13)/10000)</f>
        <v/>
      </c>
      <c r="AX180" s="47" t="str">
        <f aca="false">IF(AW180="","",IF(AW180&gt;=1.05,"A+",IF(AW180&gt;=1,"A",IF(AW180&gt;=0.95,"B+",IF(AW180&gt;=0.9,"B","C")))))</f>
        <v/>
      </c>
      <c r="AY180" s="47" t="str">
        <f aca="false">IF(AX180="","",IF(AX180="A+",1800,IF(AX180="A",1600,IF(AX180="B+",1400,IF(AX180="B",1200,0)))))</f>
        <v/>
      </c>
      <c r="AZ180" s="49" t="str">
        <f aca="false">IF(OR(L180="",M180="",S180="",M180=0),"",IFERROR(L180*60*S180/(M180*36),0))</f>
        <v/>
      </c>
    </row>
    <row r="181" customFormat="false" ht="15" hidden="false" customHeight="true" outlineLevel="0" collapsed="false">
      <c r="A181" s="47" t="n">
        <f aca="false">'Daily KPI Entry'!A182</f>
        <v>0</v>
      </c>
      <c r="B181" s="48" t="n">
        <f aca="false">'Daily KPI Entry'!B182</f>
        <v>0</v>
      </c>
      <c r="C181" s="47" t="n">
        <f aca="false">'Daily KPI Entry'!C182</f>
        <v>0</v>
      </c>
      <c r="D181" s="47" t="n">
        <f aca="false">'Daily KPI Entry'!D182</f>
        <v>0</v>
      </c>
      <c r="E181" s="47" t="n">
        <f aca="false">'Daily KPI Entry'!E182</f>
        <v>0</v>
      </c>
      <c r="F181" s="47" t="n">
        <f aca="false">'Daily KPI Entry'!F182</f>
        <v>0</v>
      </c>
      <c r="G181" s="47" t="n">
        <f aca="false">'Daily KPI Entry'!G182</f>
        <v>0</v>
      </c>
      <c r="H181" s="47" t="str">
        <f aca="false">'Daily KPI Entry'!H182</f>
        <v/>
      </c>
      <c r="I181" s="47" t="n">
        <f aca="false">'Daily KPI Entry'!I182</f>
        <v>0</v>
      </c>
      <c r="J181" s="47" t="n">
        <f aca="false">'Daily KPI Entry'!J182</f>
        <v>0</v>
      </c>
      <c r="K181" s="47" t="n">
        <f aca="false">'Daily KPI Entry'!K182</f>
        <v>0</v>
      </c>
      <c r="L181" s="47" t="n">
        <f aca="false">'Daily KPI Entry'!L182</f>
        <v>0</v>
      </c>
      <c r="M181" s="47" t="n">
        <f aca="false">'Daily KPI Entry'!M182</f>
        <v>0</v>
      </c>
      <c r="N181" s="49" t="n">
        <f aca="false">'Daily KPI Entry'!N182</f>
        <v>0</v>
      </c>
      <c r="O181" s="49" t="n">
        <f aca="false">'Daily KPI Entry'!O182</f>
        <v>0</v>
      </c>
      <c r="P181" s="49" t="str">
        <f aca="false">IF(OR(N181="",O181=""),"",IFERROR(O181/N181*100,0))</f>
        <v/>
      </c>
      <c r="Q181" s="47" t="n">
        <f aca="false">'Daily KPI Entry'!Q182</f>
        <v>8</v>
      </c>
      <c r="R181" s="47" t="str">
        <f aca="false">IF(J181="","",Q181*J181)</f>
        <v/>
      </c>
      <c r="S181" s="49" t="n">
        <f aca="false">'Daily KPI Entry'!S182</f>
        <v>0</v>
      </c>
      <c r="T181" s="49" t="str">
        <f aca="false">IF(OR(R181="",S181=""),"",IFERROR(S181/R181*100,0))</f>
        <v/>
      </c>
      <c r="U181" s="49" t="str">
        <f aca="false">IF(OR(O181="",L181="",M181="",S181="",M181=0),"",IFERROR(O181/(L181*60*S181/(M181*36))*100,0))</f>
        <v/>
      </c>
      <c r="V181" s="49" t="n">
        <f aca="false">'Daily KPI Entry'!V182</f>
        <v>0</v>
      </c>
      <c r="W181" s="49" t="str">
        <f aca="false">IF(O181="","",IFERROR(V181/O181*100,0))</f>
        <v/>
      </c>
      <c r="X181" s="49" t="n">
        <f aca="false">'Daily KPI Entry'!X182</f>
        <v>0</v>
      </c>
      <c r="Y181" s="49" t="n">
        <f aca="false">'Daily KPI Entry'!Y182</f>
        <v>0</v>
      </c>
      <c r="Z181" s="49" t="n">
        <f aca="false">'Daily KPI Entry'!Z182</f>
        <v>0</v>
      </c>
      <c r="AA181" s="49" t="n">
        <f aca="false">'Daily KPI Entry'!AA182</f>
        <v>0</v>
      </c>
      <c r="AB181" s="49" t="n">
        <f aca="false">'Daily KPI Entry'!AB182</f>
        <v>0</v>
      </c>
      <c r="AC181" s="49" t="n">
        <f aca="false">'Daily KPI Entry'!AC182</f>
        <v>0</v>
      </c>
      <c r="AD181" s="49" t="n">
        <f aca="false">'Daily KPI Entry'!AD182</f>
        <v>0</v>
      </c>
      <c r="AE181" s="49" t="n">
        <f aca="false">'Daily KPI Entry'!AE182</f>
        <v>0</v>
      </c>
      <c r="AF181" s="47" t="str">
        <f aca="false">IF(O181="","",SUM(X181:AE181))</f>
        <v/>
      </c>
      <c r="AG181" s="49" t="str">
        <f aca="false">IF(O181="","",IFERROR(AF181/O181*1000,0))</f>
        <v/>
      </c>
      <c r="AH181" s="49" t="n">
        <f aca="false">'Daily KPI Entry'!AH182</f>
        <v>0</v>
      </c>
      <c r="AI181" s="49" t="n">
        <f aca="false">'Daily KPI Entry'!AI182</f>
        <v>0</v>
      </c>
      <c r="AJ181" s="49" t="n">
        <f aca="false">'Daily KPI Entry'!AJ182</f>
        <v>0</v>
      </c>
      <c r="AK181" s="47" t="n">
        <f aca="false">'Daily KPI Entry'!AK182</f>
        <v>0</v>
      </c>
      <c r="AL181" s="47" t="n">
        <f aca="false">'Daily KPI Entry'!AL182</f>
        <v>0</v>
      </c>
      <c r="AM181" s="47" t="n">
        <f aca="false">'Daily KPI Entry'!AM182</f>
        <v>0</v>
      </c>
      <c r="AN181" s="49" t="str">
        <f aca="false">IF(P181="","",MIN(120,P181))</f>
        <v/>
      </c>
      <c r="AO181" s="49" t="str">
        <f aca="false">IF(U181="","",MIN(120,U181))</f>
        <v/>
      </c>
      <c r="AP181" s="49" t="str">
        <f aca="false">IF(R181="","",MIN(120,IFERROR(S181/R181*100,0)))</f>
        <v/>
      </c>
      <c r="AQ181" s="49" t="str">
        <f aca="false">IF(W181="","",MIN(120,IF(W181=0,120,100*(INDEX('Standards &amp; Scoring'!$E$5:$E$13,MATCH("Quality / Rejection",'Standards &amp; Scoring'!$A$5:$A$13,0))/W181))))</f>
        <v/>
      </c>
      <c r="AR181" s="49" t="str">
        <f aca="false">IF(AG181="","",MIN(120,IF(AG181=0,120,100*(INDEX('Standards &amp; Scoring'!$E$5:$E$13,MATCH("Fault Control",'Standards &amp; Scoring'!$A$5:$A$13,0))/AG181))))</f>
        <v/>
      </c>
      <c r="AS181" s="49" t="str">
        <f aca="false">IF(O181="","",MIN(120,IF(SUMIFS('Fault &amp; Downtime Entry'!$L$6:$L$1005,'Fault &amp; Downtime Entry'!$E$6:$E$1005,G181,'Fault &amp; Downtime Entry'!$B$6:$B$1005,B181)=0,120,100*(INDEX('Standards &amp; Scoring'!$E$5:$E$13,MATCH("Downtime Control",'Standards &amp; Scoring'!$A$5:$A$13,0))/IFERROR(SUMIFS('Fault &amp; Downtime Entry'!$L$6:$L$1005,'Fault &amp; Downtime Entry'!$E$6:$E$1005,G181,'Fault &amp; Downtime Entry'!$B$6:$B$1005,B181)/O181*1000,999999)))))</f>
        <v/>
      </c>
      <c r="AT181" s="49" t="n">
        <f aca="false">IF(COUNTA(AH181,AJ181)=0,"",MIN(120,IF(AND(AH181&lt;&gt;"",AJ181&lt;&gt;""),AVERAGE(AH181,AJ181),IF(AH181&lt;&gt;"",AH181,AJ181))))</f>
        <v>0</v>
      </c>
      <c r="AU181" s="49" t="str">
        <f aca="false">IF(AI181="","",MIN(120,AI181))</f>
        <v/>
      </c>
      <c r="AV181" s="49" t="str">
        <f aca="false">IF(AJ181="","",MIN(120,AJ181))</f>
        <v/>
      </c>
      <c r="AW181" s="50" t="str">
        <f aca="false">IF(COUNT(AN181:AV181)&lt;9,"",(AN181*'Standards &amp; Scoring'!$D$5+AO181*'Standards &amp; Scoring'!$D$6+AP181*'Standards &amp; Scoring'!$D$7+AQ181*'Standards &amp; Scoring'!$D$8+AR181*'Standards &amp; Scoring'!$D$9+AS181*'Standards &amp; Scoring'!$D$10+AT181*'Standards &amp; Scoring'!$D$11+AU181*'Standards &amp; Scoring'!$D$12+AV181*'Standards &amp; Scoring'!$D$13)/10000)</f>
        <v/>
      </c>
      <c r="AX181" s="47" t="str">
        <f aca="false">IF(AW181="","",IF(AW181&gt;=1.05,"A+",IF(AW181&gt;=1,"A",IF(AW181&gt;=0.95,"B+",IF(AW181&gt;=0.9,"B","C")))))</f>
        <v/>
      </c>
      <c r="AY181" s="47" t="str">
        <f aca="false">IF(AX181="","",IF(AX181="A+",1800,IF(AX181="A",1600,IF(AX181="B+",1400,IF(AX181="B",1200,0)))))</f>
        <v/>
      </c>
      <c r="AZ181" s="49" t="str">
        <f aca="false">IF(OR(L181="",M181="",S181="",M181=0),"",IFERROR(L181*60*S181/(M181*36),0))</f>
        <v/>
      </c>
    </row>
    <row r="182" customFormat="false" ht="15" hidden="false" customHeight="true" outlineLevel="0" collapsed="false">
      <c r="A182" s="47" t="n">
        <f aca="false">'Daily KPI Entry'!A183</f>
        <v>0</v>
      </c>
      <c r="B182" s="48" t="n">
        <f aca="false">'Daily KPI Entry'!B183</f>
        <v>0</v>
      </c>
      <c r="C182" s="47" t="n">
        <f aca="false">'Daily KPI Entry'!C183</f>
        <v>0</v>
      </c>
      <c r="D182" s="47" t="n">
        <f aca="false">'Daily KPI Entry'!D183</f>
        <v>0</v>
      </c>
      <c r="E182" s="47" t="n">
        <f aca="false">'Daily KPI Entry'!E183</f>
        <v>0</v>
      </c>
      <c r="F182" s="47" t="n">
        <f aca="false">'Daily KPI Entry'!F183</f>
        <v>0</v>
      </c>
      <c r="G182" s="47" t="n">
        <f aca="false">'Daily KPI Entry'!G183</f>
        <v>0</v>
      </c>
      <c r="H182" s="47" t="str">
        <f aca="false">'Daily KPI Entry'!H183</f>
        <v/>
      </c>
      <c r="I182" s="47" t="n">
        <f aca="false">'Daily KPI Entry'!I183</f>
        <v>0</v>
      </c>
      <c r="J182" s="47" t="n">
        <f aca="false">'Daily KPI Entry'!J183</f>
        <v>0</v>
      </c>
      <c r="K182" s="47" t="n">
        <f aca="false">'Daily KPI Entry'!K183</f>
        <v>0</v>
      </c>
      <c r="L182" s="47" t="n">
        <f aca="false">'Daily KPI Entry'!L183</f>
        <v>0</v>
      </c>
      <c r="M182" s="47" t="n">
        <f aca="false">'Daily KPI Entry'!M183</f>
        <v>0</v>
      </c>
      <c r="N182" s="49" t="n">
        <f aca="false">'Daily KPI Entry'!N183</f>
        <v>0</v>
      </c>
      <c r="O182" s="49" t="n">
        <f aca="false">'Daily KPI Entry'!O183</f>
        <v>0</v>
      </c>
      <c r="P182" s="49" t="str">
        <f aca="false">IF(OR(N182="",O182=""),"",IFERROR(O182/N182*100,0))</f>
        <v/>
      </c>
      <c r="Q182" s="47" t="n">
        <f aca="false">'Daily KPI Entry'!Q183</f>
        <v>8</v>
      </c>
      <c r="R182" s="47" t="str">
        <f aca="false">IF(J182="","",Q182*J182)</f>
        <v/>
      </c>
      <c r="S182" s="49" t="n">
        <f aca="false">'Daily KPI Entry'!S183</f>
        <v>0</v>
      </c>
      <c r="T182" s="49" t="str">
        <f aca="false">IF(OR(R182="",S182=""),"",IFERROR(S182/R182*100,0))</f>
        <v/>
      </c>
      <c r="U182" s="49" t="str">
        <f aca="false">IF(OR(O182="",L182="",M182="",S182="",M182=0),"",IFERROR(O182/(L182*60*S182/(M182*36))*100,0))</f>
        <v/>
      </c>
      <c r="V182" s="49" t="n">
        <f aca="false">'Daily KPI Entry'!V183</f>
        <v>0</v>
      </c>
      <c r="W182" s="49" t="str">
        <f aca="false">IF(O182="","",IFERROR(V182/O182*100,0))</f>
        <v/>
      </c>
      <c r="X182" s="49" t="n">
        <f aca="false">'Daily KPI Entry'!X183</f>
        <v>0</v>
      </c>
      <c r="Y182" s="49" t="n">
        <f aca="false">'Daily KPI Entry'!Y183</f>
        <v>0</v>
      </c>
      <c r="Z182" s="49" t="n">
        <f aca="false">'Daily KPI Entry'!Z183</f>
        <v>0</v>
      </c>
      <c r="AA182" s="49" t="n">
        <f aca="false">'Daily KPI Entry'!AA183</f>
        <v>0</v>
      </c>
      <c r="AB182" s="49" t="n">
        <f aca="false">'Daily KPI Entry'!AB183</f>
        <v>0</v>
      </c>
      <c r="AC182" s="49" t="n">
        <f aca="false">'Daily KPI Entry'!AC183</f>
        <v>0</v>
      </c>
      <c r="AD182" s="49" t="n">
        <f aca="false">'Daily KPI Entry'!AD183</f>
        <v>0</v>
      </c>
      <c r="AE182" s="49" t="n">
        <f aca="false">'Daily KPI Entry'!AE183</f>
        <v>0</v>
      </c>
      <c r="AF182" s="47" t="str">
        <f aca="false">IF(O182="","",SUM(X182:AE182))</f>
        <v/>
      </c>
      <c r="AG182" s="49" t="str">
        <f aca="false">IF(O182="","",IFERROR(AF182/O182*1000,0))</f>
        <v/>
      </c>
      <c r="AH182" s="49" t="n">
        <f aca="false">'Daily KPI Entry'!AH183</f>
        <v>0</v>
      </c>
      <c r="AI182" s="49" t="n">
        <f aca="false">'Daily KPI Entry'!AI183</f>
        <v>0</v>
      </c>
      <c r="AJ182" s="49" t="n">
        <f aca="false">'Daily KPI Entry'!AJ183</f>
        <v>0</v>
      </c>
      <c r="AK182" s="47" t="n">
        <f aca="false">'Daily KPI Entry'!AK183</f>
        <v>0</v>
      </c>
      <c r="AL182" s="47" t="n">
        <f aca="false">'Daily KPI Entry'!AL183</f>
        <v>0</v>
      </c>
      <c r="AM182" s="47" t="n">
        <f aca="false">'Daily KPI Entry'!AM183</f>
        <v>0</v>
      </c>
      <c r="AN182" s="49" t="str">
        <f aca="false">IF(P182="","",MIN(120,P182))</f>
        <v/>
      </c>
      <c r="AO182" s="49" t="str">
        <f aca="false">IF(U182="","",MIN(120,U182))</f>
        <v/>
      </c>
      <c r="AP182" s="49" t="str">
        <f aca="false">IF(R182="","",MIN(120,IFERROR(S182/R182*100,0)))</f>
        <v/>
      </c>
      <c r="AQ182" s="49" t="str">
        <f aca="false">IF(W182="","",MIN(120,IF(W182=0,120,100*(INDEX('Standards &amp; Scoring'!$E$5:$E$13,MATCH("Quality / Rejection",'Standards &amp; Scoring'!$A$5:$A$13,0))/W182))))</f>
        <v/>
      </c>
      <c r="AR182" s="49" t="str">
        <f aca="false">IF(AG182="","",MIN(120,IF(AG182=0,120,100*(INDEX('Standards &amp; Scoring'!$E$5:$E$13,MATCH("Fault Control",'Standards &amp; Scoring'!$A$5:$A$13,0))/AG182))))</f>
        <v/>
      </c>
      <c r="AS182" s="49" t="str">
        <f aca="false">IF(O182="","",MIN(120,IF(SUMIFS('Fault &amp; Downtime Entry'!$L$6:$L$1005,'Fault &amp; Downtime Entry'!$E$6:$E$1005,G182,'Fault &amp; Downtime Entry'!$B$6:$B$1005,B182)=0,120,100*(INDEX('Standards &amp; Scoring'!$E$5:$E$13,MATCH("Downtime Control",'Standards &amp; Scoring'!$A$5:$A$13,0))/IFERROR(SUMIFS('Fault &amp; Downtime Entry'!$L$6:$L$1005,'Fault &amp; Downtime Entry'!$E$6:$E$1005,G182,'Fault &amp; Downtime Entry'!$B$6:$B$1005,B182)/O182*1000,999999)))))</f>
        <v/>
      </c>
      <c r="AT182" s="49" t="n">
        <f aca="false">IF(COUNTA(AH182,AJ182)=0,"",MIN(120,IF(AND(AH182&lt;&gt;"",AJ182&lt;&gt;""),AVERAGE(AH182,AJ182),IF(AH182&lt;&gt;"",AH182,AJ182))))</f>
        <v>0</v>
      </c>
      <c r="AU182" s="49" t="str">
        <f aca="false">IF(AI182="","",MIN(120,AI182))</f>
        <v/>
      </c>
      <c r="AV182" s="49" t="str">
        <f aca="false">IF(AJ182="","",MIN(120,AJ182))</f>
        <v/>
      </c>
      <c r="AW182" s="50" t="str">
        <f aca="false">IF(COUNT(AN182:AV182)&lt;9,"",(AN182*'Standards &amp; Scoring'!$D$5+AO182*'Standards &amp; Scoring'!$D$6+AP182*'Standards &amp; Scoring'!$D$7+AQ182*'Standards &amp; Scoring'!$D$8+AR182*'Standards &amp; Scoring'!$D$9+AS182*'Standards &amp; Scoring'!$D$10+AT182*'Standards &amp; Scoring'!$D$11+AU182*'Standards &amp; Scoring'!$D$12+AV182*'Standards &amp; Scoring'!$D$13)/10000)</f>
        <v/>
      </c>
      <c r="AX182" s="47" t="str">
        <f aca="false">IF(AW182="","",IF(AW182&gt;=1.05,"A+",IF(AW182&gt;=1,"A",IF(AW182&gt;=0.95,"B+",IF(AW182&gt;=0.9,"B","C")))))</f>
        <v/>
      </c>
      <c r="AY182" s="47" t="str">
        <f aca="false">IF(AX182="","",IF(AX182="A+",1800,IF(AX182="A",1600,IF(AX182="B+",1400,IF(AX182="B",1200,0)))))</f>
        <v/>
      </c>
      <c r="AZ182" s="49" t="str">
        <f aca="false">IF(OR(L182="",M182="",S182="",M182=0),"",IFERROR(L182*60*S182/(M182*36),0))</f>
        <v/>
      </c>
    </row>
    <row r="183" customFormat="false" ht="15" hidden="false" customHeight="true" outlineLevel="0" collapsed="false">
      <c r="A183" s="47" t="n">
        <f aca="false">'Daily KPI Entry'!A184</f>
        <v>0</v>
      </c>
      <c r="B183" s="48" t="n">
        <f aca="false">'Daily KPI Entry'!B184</f>
        <v>0</v>
      </c>
      <c r="C183" s="47" t="n">
        <f aca="false">'Daily KPI Entry'!C184</f>
        <v>0</v>
      </c>
      <c r="D183" s="47" t="n">
        <f aca="false">'Daily KPI Entry'!D184</f>
        <v>0</v>
      </c>
      <c r="E183" s="47" t="n">
        <f aca="false">'Daily KPI Entry'!E184</f>
        <v>0</v>
      </c>
      <c r="F183" s="47" t="n">
        <f aca="false">'Daily KPI Entry'!F184</f>
        <v>0</v>
      </c>
      <c r="G183" s="47" t="n">
        <f aca="false">'Daily KPI Entry'!G184</f>
        <v>0</v>
      </c>
      <c r="H183" s="47" t="str">
        <f aca="false">'Daily KPI Entry'!H184</f>
        <v/>
      </c>
      <c r="I183" s="47" t="n">
        <f aca="false">'Daily KPI Entry'!I184</f>
        <v>0</v>
      </c>
      <c r="J183" s="47" t="n">
        <f aca="false">'Daily KPI Entry'!J184</f>
        <v>0</v>
      </c>
      <c r="K183" s="47" t="n">
        <f aca="false">'Daily KPI Entry'!K184</f>
        <v>0</v>
      </c>
      <c r="L183" s="47" t="n">
        <f aca="false">'Daily KPI Entry'!L184</f>
        <v>0</v>
      </c>
      <c r="M183" s="47" t="n">
        <f aca="false">'Daily KPI Entry'!M184</f>
        <v>0</v>
      </c>
      <c r="N183" s="49" t="n">
        <f aca="false">'Daily KPI Entry'!N184</f>
        <v>0</v>
      </c>
      <c r="O183" s="49" t="n">
        <f aca="false">'Daily KPI Entry'!O184</f>
        <v>0</v>
      </c>
      <c r="P183" s="49" t="str">
        <f aca="false">IF(OR(N183="",O183=""),"",IFERROR(O183/N183*100,0))</f>
        <v/>
      </c>
      <c r="Q183" s="47" t="n">
        <f aca="false">'Daily KPI Entry'!Q184</f>
        <v>8</v>
      </c>
      <c r="R183" s="47" t="str">
        <f aca="false">IF(J183="","",Q183*J183)</f>
        <v/>
      </c>
      <c r="S183" s="49" t="n">
        <f aca="false">'Daily KPI Entry'!S184</f>
        <v>0</v>
      </c>
      <c r="T183" s="49" t="str">
        <f aca="false">IF(OR(R183="",S183=""),"",IFERROR(S183/R183*100,0))</f>
        <v/>
      </c>
      <c r="U183" s="49" t="str">
        <f aca="false">IF(OR(O183="",L183="",M183="",S183="",M183=0),"",IFERROR(O183/(L183*60*S183/(M183*36))*100,0))</f>
        <v/>
      </c>
      <c r="V183" s="49" t="n">
        <f aca="false">'Daily KPI Entry'!V184</f>
        <v>0</v>
      </c>
      <c r="W183" s="49" t="str">
        <f aca="false">IF(O183="","",IFERROR(V183/O183*100,0))</f>
        <v/>
      </c>
      <c r="X183" s="49" t="n">
        <f aca="false">'Daily KPI Entry'!X184</f>
        <v>0</v>
      </c>
      <c r="Y183" s="49" t="n">
        <f aca="false">'Daily KPI Entry'!Y184</f>
        <v>0</v>
      </c>
      <c r="Z183" s="49" t="n">
        <f aca="false">'Daily KPI Entry'!Z184</f>
        <v>0</v>
      </c>
      <c r="AA183" s="49" t="n">
        <f aca="false">'Daily KPI Entry'!AA184</f>
        <v>0</v>
      </c>
      <c r="AB183" s="49" t="n">
        <f aca="false">'Daily KPI Entry'!AB184</f>
        <v>0</v>
      </c>
      <c r="AC183" s="49" t="n">
        <f aca="false">'Daily KPI Entry'!AC184</f>
        <v>0</v>
      </c>
      <c r="AD183" s="49" t="n">
        <f aca="false">'Daily KPI Entry'!AD184</f>
        <v>0</v>
      </c>
      <c r="AE183" s="49" t="n">
        <f aca="false">'Daily KPI Entry'!AE184</f>
        <v>0</v>
      </c>
      <c r="AF183" s="47" t="str">
        <f aca="false">IF(O183="","",SUM(X183:AE183))</f>
        <v/>
      </c>
      <c r="AG183" s="49" t="str">
        <f aca="false">IF(O183="","",IFERROR(AF183/O183*1000,0))</f>
        <v/>
      </c>
      <c r="AH183" s="49" t="n">
        <f aca="false">'Daily KPI Entry'!AH184</f>
        <v>0</v>
      </c>
      <c r="AI183" s="49" t="n">
        <f aca="false">'Daily KPI Entry'!AI184</f>
        <v>0</v>
      </c>
      <c r="AJ183" s="49" t="n">
        <f aca="false">'Daily KPI Entry'!AJ184</f>
        <v>0</v>
      </c>
      <c r="AK183" s="47" t="n">
        <f aca="false">'Daily KPI Entry'!AK184</f>
        <v>0</v>
      </c>
      <c r="AL183" s="47" t="n">
        <f aca="false">'Daily KPI Entry'!AL184</f>
        <v>0</v>
      </c>
      <c r="AM183" s="47" t="n">
        <f aca="false">'Daily KPI Entry'!AM184</f>
        <v>0</v>
      </c>
      <c r="AN183" s="49" t="str">
        <f aca="false">IF(P183="","",MIN(120,P183))</f>
        <v/>
      </c>
      <c r="AO183" s="49" t="str">
        <f aca="false">IF(U183="","",MIN(120,U183))</f>
        <v/>
      </c>
      <c r="AP183" s="49" t="str">
        <f aca="false">IF(R183="","",MIN(120,IFERROR(S183/R183*100,0)))</f>
        <v/>
      </c>
      <c r="AQ183" s="49" t="str">
        <f aca="false">IF(W183="","",MIN(120,IF(W183=0,120,100*(INDEX('Standards &amp; Scoring'!$E$5:$E$13,MATCH("Quality / Rejection",'Standards &amp; Scoring'!$A$5:$A$13,0))/W183))))</f>
        <v/>
      </c>
      <c r="AR183" s="49" t="str">
        <f aca="false">IF(AG183="","",MIN(120,IF(AG183=0,120,100*(INDEX('Standards &amp; Scoring'!$E$5:$E$13,MATCH("Fault Control",'Standards &amp; Scoring'!$A$5:$A$13,0))/AG183))))</f>
        <v/>
      </c>
      <c r="AS183" s="49" t="str">
        <f aca="false">IF(O183="","",MIN(120,IF(SUMIFS('Fault &amp; Downtime Entry'!$L$6:$L$1005,'Fault &amp; Downtime Entry'!$E$6:$E$1005,G183,'Fault &amp; Downtime Entry'!$B$6:$B$1005,B183)=0,120,100*(INDEX('Standards &amp; Scoring'!$E$5:$E$13,MATCH("Downtime Control",'Standards &amp; Scoring'!$A$5:$A$13,0))/IFERROR(SUMIFS('Fault &amp; Downtime Entry'!$L$6:$L$1005,'Fault &amp; Downtime Entry'!$E$6:$E$1005,G183,'Fault &amp; Downtime Entry'!$B$6:$B$1005,B183)/O183*1000,999999)))))</f>
        <v/>
      </c>
      <c r="AT183" s="49" t="n">
        <f aca="false">IF(COUNTA(AH183,AJ183)=0,"",MIN(120,IF(AND(AH183&lt;&gt;"",AJ183&lt;&gt;""),AVERAGE(AH183,AJ183),IF(AH183&lt;&gt;"",AH183,AJ183))))</f>
        <v>0</v>
      </c>
      <c r="AU183" s="49" t="str">
        <f aca="false">IF(AI183="","",MIN(120,AI183))</f>
        <v/>
      </c>
      <c r="AV183" s="49" t="str">
        <f aca="false">IF(AJ183="","",MIN(120,AJ183))</f>
        <v/>
      </c>
      <c r="AW183" s="50" t="str">
        <f aca="false">IF(COUNT(AN183:AV183)&lt;9,"",(AN183*'Standards &amp; Scoring'!$D$5+AO183*'Standards &amp; Scoring'!$D$6+AP183*'Standards &amp; Scoring'!$D$7+AQ183*'Standards &amp; Scoring'!$D$8+AR183*'Standards &amp; Scoring'!$D$9+AS183*'Standards &amp; Scoring'!$D$10+AT183*'Standards &amp; Scoring'!$D$11+AU183*'Standards &amp; Scoring'!$D$12+AV183*'Standards &amp; Scoring'!$D$13)/10000)</f>
        <v/>
      </c>
      <c r="AX183" s="47" t="str">
        <f aca="false">IF(AW183="","",IF(AW183&gt;=1.05,"A+",IF(AW183&gt;=1,"A",IF(AW183&gt;=0.95,"B+",IF(AW183&gt;=0.9,"B","C")))))</f>
        <v/>
      </c>
      <c r="AY183" s="47" t="str">
        <f aca="false">IF(AX183="","",IF(AX183="A+",1800,IF(AX183="A",1600,IF(AX183="B+",1400,IF(AX183="B",1200,0)))))</f>
        <v/>
      </c>
      <c r="AZ183" s="49" t="str">
        <f aca="false">IF(OR(L183="",M183="",S183="",M183=0),"",IFERROR(L183*60*S183/(M183*36),0))</f>
        <v/>
      </c>
    </row>
    <row r="184" customFormat="false" ht="15" hidden="false" customHeight="true" outlineLevel="0" collapsed="false">
      <c r="A184" s="47" t="n">
        <f aca="false">'Daily KPI Entry'!A185</f>
        <v>0</v>
      </c>
      <c r="B184" s="48" t="n">
        <f aca="false">'Daily KPI Entry'!B185</f>
        <v>0</v>
      </c>
      <c r="C184" s="47" t="n">
        <f aca="false">'Daily KPI Entry'!C185</f>
        <v>0</v>
      </c>
      <c r="D184" s="47" t="n">
        <f aca="false">'Daily KPI Entry'!D185</f>
        <v>0</v>
      </c>
      <c r="E184" s="47" t="n">
        <f aca="false">'Daily KPI Entry'!E185</f>
        <v>0</v>
      </c>
      <c r="F184" s="47" t="n">
        <f aca="false">'Daily KPI Entry'!F185</f>
        <v>0</v>
      </c>
      <c r="G184" s="47" t="n">
        <f aca="false">'Daily KPI Entry'!G185</f>
        <v>0</v>
      </c>
      <c r="H184" s="47" t="str">
        <f aca="false">'Daily KPI Entry'!H185</f>
        <v/>
      </c>
      <c r="I184" s="47" t="n">
        <f aca="false">'Daily KPI Entry'!I185</f>
        <v>0</v>
      </c>
      <c r="J184" s="47" t="n">
        <f aca="false">'Daily KPI Entry'!J185</f>
        <v>0</v>
      </c>
      <c r="K184" s="47" t="n">
        <f aca="false">'Daily KPI Entry'!K185</f>
        <v>0</v>
      </c>
      <c r="L184" s="47" t="n">
        <f aca="false">'Daily KPI Entry'!L185</f>
        <v>0</v>
      </c>
      <c r="M184" s="47" t="n">
        <f aca="false">'Daily KPI Entry'!M185</f>
        <v>0</v>
      </c>
      <c r="N184" s="49" t="n">
        <f aca="false">'Daily KPI Entry'!N185</f>
        <v>0</v>
      </c>
      <c r="O184" s="49" t="n">
        <f aca="false">'Daily KPI Entry'!O185</f>
        <v>0</v>
      </c>
      <c r="P184" s="49" t="str">
        <f aca="false">IF(OR(N184="",O184=""),"",IFERROR(O184/N184*100,0))</f>
        <v/>
      </c>
      <c r="Q184" s="47" t="n">
        <f aca="false">'Daily KPI Entry'!Q185</f>
        <v>8</v>
      </c>
      <c r="R184" s="47" t="str">
        <f aca="false">IF(J184="","",Q184*J184)</f>
        <v/>
      </c>
      <c r="S184" s="49" t="n">
        <f aca="false">'Daily KPI Entry'!S185</f>
        <v>0</v>
      </c>
      <c r="T184" s="49" t="str">
        <f aca="false">IF(OR(R184="",S184=""),"",IFERROR(S184/R184*100,0))</f>
        <v/>
      </c>
      <c r="U184" s="49" t="str">
        <f aca="false">IF(OR(O184="",L184="",M184="",S184="",M184=0),"",IFERROR(O184/(L184*60*S184/(M184*36))*100,0))</f>
        <v/>
      </c>
      <c r="V184" s="49" t="n">
        <f aca="false">'Daily KPI Entry'!V185</f>
        <v>0</v>
      </c>
      <c r="W184" s="49" t="str">
        <f aca="false">IF(O184="","",IFERROR(V184/O184*100,0))</f>
        <v/>
      </c>
      <c r="X184" s="49" t="n">
        <f aca="false">'Daily KPI Entry'!X185</f>
        <v>0</v>
      </c>
      <c r="Y184" s="49" t="n">
        <f aca="false">'Daily KPI Entry'!Y185</f>
        <v>0</v>
      </c>
      <c r="Z184" s="49" t="n">
        <f aca="false">'Daily KPI Entry'!Z185</f>
        <v>0</v>
      </c>
      <c r="AA184" s="49" t="n">
        <f aca="false">'Daily KPI Entry'!AA185</f>
        <v>0</v>
      </c>
      <c r="AB184" s="49" t="n">
        <f aca="false">'Daily KPI Entry'!AB185</f>
        <v>0</v>
      </c>
      <c r="AC184" s="49" t="n">
        <f aca="false">'Daily KPI Entry'!AC185</f>
        <v>0</v>
      </c>
      <c r="AD184" s="49" t="n">
        <f aca="false">'Daily KPI Entry'!AD185</f>
        <v>0</v>
      </c>
      <c r="AE184" s="49" t="n">
        <f aca="false">'Daily KPI Entry'!AE185</f>
        <v>0</v>
      </c>
      <c r="AF184" s="47" t="str">
        <f aca="false">IF(O184="","",SUM(X184:AE184))</f>
        <v/>
      </c>
      <c r="AG184" s="49" t="str">
        <f aca="false">IF(O184="","",IFERROR(AF184/O184*1000,0))</f>
        <v/>
      </c>
      <c r="AH184" s="49" t="n">
        <f aca="false">'Daily KPI Entry'!AH185</f>
        <v>0</v>
      </c>
      <c r="AI184" s="49" t="n">
        <f aca="false">'Daily KPI Entry'!AI185</f>
        <v>0</v>
      </c>
      <c r="AJ184" s="49" t="n">
        <f aca="false">'Daily KPI Entry'!AJ185</f>
        <v>0</v>
      </c>
      <c r="AK184" s="47" t="n">
        <f aca="false">'Daily KPI Entry'!AK185</f>
        <v>0</v>
      </c>
      <c r="AL184" s="47" t="n">
        <f aca="false">'Daily KPI Entry'!AL185</f>
        <v>0</v>
      </c>
      <c r="AM184" s="47" t="n">
        <f aca="false">'Daily KPI Entry'!AM185</f>
        <v>0</v>
      </c>
      <c r="AN184" s="49" t="str">
        <f aca="false">IF(P184="","",MIN(120,P184))</f>
        <v/>
      </c>
      <c r="AO184" s="49" t="str">
        <f aca="false">IF(U184="","",MIN(120,U184))</f>
        <v/>
      </c>
      <c r="AP184" s="49" t="str">
        <f aca="false">IF(R184="","",MIN(120,IFERROR(S184/R184*100,0)))</f>
        <v/>
      </c>
      <c r="AQ184" s="49" t="str">
        <f aca="false">IF(W184="","",MIN(120,IF(W184=0,120,100*(INDEX('Standards &amp; Scoring'!$E$5:$E$13,MATCH("Quality / Rejection",'Standards &amp; Scoring'!$A$5:$A$13,0))/W184))))</f>
        <v/>
      </c>
      <c r="AR184" s="49" t="str">
        <f aca="false">IF(AG184="","",MIN(120,IF(AG184=0,120,100*(INDEX('Standards &amp; Scoring'!$E$5:$E$13,MATCH("Fault Control",'Standards &amp; Scoring'!$A$5:$A$13,0))/AG184))))</f>
        <v/>
      </c>
      <c r="AS184" s="49" t="str">
        <f aca="false">IF(O184="","",MIN(120,IF(SUMIFS('Fault &amp; Downtime Entry'!$L$6:$L$1005,'Fault &amp; Downtime Entry'!$E$6:$E$1005,G184,'Fault &amp; Downtime Entry'!$B$6:$B$1005,B184)=0,120,100*(INDEX('Standards &amp; Scoring'!$E$5:$E$13,MATCH("Downtime Control",'Standards &amp; Scoring'!$A$5:$A$13,0))/IFERROR(SUMIFS('Fault &amp; Downtime Entry'!$L$6:$L$1005,'Fault &amp; Downtime Entry'!$E$6:$E$1005,G184,'Fault &amp; Downtime Entry'!$B$6:$B$1005,B184)/O184*1000,999999)))))</f>
        <v/>
      </c>
      <c r="AT184" s="49" t="n">
        <f aca="false">IF(COUNTA(AH184,AJ184)=0,"",MIN(120,IF(AND(AH184&lt;&gt;"",AJ184&lt;&gt;""),AVERAGE(AH184,AJ184),IF(AH184&lt;&gt;"",AH184,AJ184))))</f>
        <v>0</v>
      </c>
      <c r="AU184" s="49" t="str">
        <f aca="false">IF(AI184="","",MIN(120,AI184))</f>
        <v/>
      </c>
      <c r="AV184" s="49" t="str">
        <f aca="false">IF(AJ184="","",MIN(120,AJ184))</f>
        <v/>
      </c>
      <c r="AW184" s="50" t="str">
        <f aca="false">IF(COUNT(AN184:AV184)&lt;9,"",(AN184*'Standards &amp; Scoring'!$D$5+AO184*'Standards &amp; Scoring'!$D$6+AP184*'Standards &amp; Scoring'!$D$7+AQ184*'Standards &amp; Scoring'!$D$8+AR184*'Standards &amp; Scoring'!$D$9+AS184*'Standards &amp; Scoring'!$D$10+AT184*'Standards &amp; Scoring'!$D$11+AU184*'Standards &amp; Scoring'!$D$12+AV184*'Standards &amp; Scoring'!$D$13)/10000)</f>
        <v/>
      </c>
      <c r="AX184" s="47" t="str">
        <f aca="false">IF(AW184="","",IF(AW184&gt;=1.05,"A+",IF(AW184&gt;=1,"A",IF(AW184&gt;=0.95,"B+",IF(AW184&gt;=0.9,"B","C")))))</f>
        <v/>
      </c>
      <c r="AY184" s="47" t="str">
        <f aca="false">IF(AX184="","",IF(AX184="A+",1800,IF(AX184="A",1600,IF(AX184="B+",1400,IF(AX184="B",1200,0)))))</f>
        <v/>
      </c>
      <c r="AZ184" s="49" t="str">
        <f aca="false">IF(OR(L184="",M184="",S184="",M184=0),"",IFERROR(L184*60*S184/(M184*36),0))</f>
        <v/>
      </c>
    </row>
    <row r="185" customFormat="false" ht="15" hidden="false" customHeight="true" outlineLevel="0" collapsed="false">
      <c r="A185" s="47" t="n">
        <f aca="false">'Daily KPI Entry'!A186</f>
        <v>0</v>
      </c>
      <c r="B185" s="48" t="n">
        <f aca="false">'Daily KPI Entry'!B186</f>
        <v>0</v>
      </c>
      <c r="C185" s="47" t="n">
        <f aca="false">'Daily KPI Entry'!C186</f>
        <v>0</v>
      </c>
      <c r="D185" s="47" t="n">
        <f aca="false">'Daily KPI Entry'!D186</f>
        <v>0</v>
      </c>
      <c r="E185" s="47" t="n">
        <f aca="false">'Daily KPI Entry'!E186</f>
        <v>0</v>
      </c>
      <c r="F185" s="47" t="n">
        <f aca="false">'Daily KPI Entry'!F186</f>
        <v>0</v>
      </c>
      <c r="G185" s="47" t="n">
        <f aca="false">'Daily KPI Entry'!G186</f>
        <v>0</v>
      </c>
      <c r="H185" s="47" t="str">
        <f aca="false">'Daily KPI Entry'!H186</f>
        <v/>
      </c>
      <c r="I185" s="47" t="n">
        <f aca="false">'Daily KPI Entry'!I186</f>
        <v>0</v>
      </c>
      <c r="J185" s="47" t="n">
        <f aca="false">'Daily KPI Entry'!J186</f>
        <v>0</v>
      </c>
      <c r="K185" s="47" t="n">
        <f aca="false">'Daily KPI Entry'!K186</f>
        <v>0</v>
      </c>
      <c r="L185" s="47" t="n">
        <f aca="false">'Daily KPI Entry'!L186</f>
        <v>0</v>
      </c>
      <c r="M185" s="47" t="n">
        <f aca="false">'Daily KPI Entry'!M186</f>
        <v>0</v>
      </c>
      <c r="N185" s="49" t="n">
        <f aca="false">'Daily KPI Entry'!N186</f>
        <v>0</v>
      </c>
      <c r="O185" s="49" t="n">
        <f aca="false">'Daily KPI Entry'!O186</f>
        <v>0</v>
      </c>
      <c r="P185" s="49" t="str">
        <f aca="false">IF(OR(N185="",O185=""),"",IFERROR(O185/N185*100,0))</f>
        <v/>
      </c>
      <c r="Q185" s="47" t="n">
        <f aca="false">'Daily KPI Entry'!Q186</f>
        <v>8</v>
      </c>
      <c r="R185" s="47" t="str">
        <f aca="false">IF(J185="","",Q185*J185)</f>
        <v/>
      </c>
      <c r="S185" s="49" t="n">
        <f aca="false">'Daily KPI Entry'!S186</f>
        <v>0</v>
      </c>
      <c r="T185" s="49" t="str">
        <f aca="false">IF(OR(R185="",S185=""),"",IFERROR(S185/R185*100,0))</f>
        <v/>
      </c>
      <c r="U185" s="49" t="str">
        <f aca="false">IF(OR(O185="",L185="",M185="",S185="",M185=0),"",IFERROR(O185/(L185*60*S185/(M185*36))*100,0))</f>
        <v/>
      </c>
      <c r="V185" s="49" t="n">
        <f aca="false">'Daily KPI Entry'!V186</f>
        <v>0</v>
      </c>
      <c r="W185" s="49" t="str">
        <f aca="false">IF(O185="","",IFERROR(V185/O185*100,0))</f>
        <v/>
      </c>
      <c r="X185" s="49" t="n">
        <f aca="false">'Daily KPI Entry'!X186</f>
        <v>0</v>
      </c>
      <c r="Y185" s="49" t="n">
        <f aca="false">'Daily KPI Entry'!Y186</f>
        <v>0</v>
      </c>
      <c r="Z185" s="49" t="n">
        <f aca="false">'Daily KPI Entry'!Z186</f>
        <v>0</v>
      </c>
      <c r="AA185" s="49" t="n">
        <f aca="false">'Daily KPI Entry'!AA186</f>
        <v>0</v>
      </c>
      <c r="AB185" s="49" t="n">
        <f aca="false">'Daily KPI Entry'!AB186</f>
        <v>0</v>
      </c>
      <c r="AC185" s="49" t="n">
        <f aca="false">'Daily KPI Entry'!AC186</f>
        <v>0</v>
      </c>
      <c r="AD185" s="49" t="n">
        <f aca="false">'Daily KPI Entry'!AD186</f>
        <v>0</v>
      </c>
      <c r="AE185" s="49" t="n">
        <f aca="false">'Daily KPI Entry'!AE186</f>
        <v>0</v>
      </c>
      <c r="AF185" s="47" t="str">
        <f aca="false">IF(O185="","",SUM(X185:AE185))</f>
        <v/>
      </c>
      <c r="AG185" s="49" t="str">
        <f aca="false">IF(O185="","",IFERROR(AF185/O185*1000,0))</f>
        <v/>
      </c>
      <c r="AH185" s="49" t="n">
        <f aca="false">'Daily KPI Entry'!AH186</f>
        <v>0</v>
      </c>
      <c r="AI185" s="49" t="n">
        <f aca="false">'Daily KPI Entry'!AI186</f>
        <v>0</v>
      </c>
      <c r="AJ185" s="49" t="n">
        <f aca="false">'Daily KPI Entry'!AJ186</f>
        <v>0</v>
      </c>
      <c r="AK185" s="47" t="n">
        <f aca="false">'Daily KPI Entry'!AK186</f>
        <v>0</v>
      </c>
      <c r="AL185" s="47" t="n">
        <f aca="false">'Daily KPI Entry'!AL186</f>
        <v>0</v>
      </c>
      <c r="AM185" s="47" t="n">
        <f aca="false">'Daily KPI Entry'!AM186</f>
        <v>0</v>
      </c>
      <c r="AN185" s="49" t="str">
        <f aca="false">IF(P185="","",MIN(120,P185))</f>
        <v/>
      </c>
      <c r="AO185" s="49" t="str">
        <f aca="false">IF(U185="","",MIN(120,U185))</f>
        <v/>
      </c>
      <c r="AP185" s="49" t="str">
        <f aca="false">IF(R185="","",MIN(120,IFERROR(S185/R185*100,0)))</f>
        <v/>
      </c>
      <c r="AQ185" s="49" t="str">
        <f aca="false">IF(W185="","",MIN(120,IF(W185=0,120,100*(INDEX('Standards &amp; Scoring'!$E$5:$E$13,MATCH("Quality / Rejection",'Standards &amp; Scoring'!$A$5:$A$13,0))/W185))))</f>
        <v/>
      </c>
      <c r="AR185" s="49" t="str">
        <f aca="false">IF(AG185="","",MIN(120,IF(AG185=0,120,100*(INDEX('Standards &amp; Scoring'!$E$5:$E$13,MATCH("Fault Control",'Standards &amp; Scoring'!$A$5:$A$13,0))/AG185))))</f>
        <v/>
      </c>
      <c r="AS185" s="49" t="str">
        <f aca="false">IF(O185="","",MIN(120,IF(SUMIFS('Fault &amp; Downtime Entry'!$L$6:$L$1005,'Fault &amp; Downtime Entry'!$E$6:$E$1005,G185,'Fault &amp; Downtime Entry'!$B$6:$B$1005,B185)=0,120,100*(INDEX('Standards &amp; Scoring'!$E$5:$E$13,MATCH("Downtime Control",'Standards &amp; Scoring'!$A$5:$A$13,0))/IFERROR(SUMIFS('Fault &amp; Downtime Entry'!$L$6:$L$1005,'Fault &amp; Downtime Entry'!$E$6:$E$1005,G185,'Fault &amp; Downtime Entry'!$B$6:$B$1005,B185)/O185*1000,999999)))))</f>
        <v/>
      </c>
      <c r="AT185" s="49" t="n">
        <f aca="false">IF(COUNTA(AH185,AJ185)=0,"",MIN(120,IF(AND(AH185&lt;&gt;"",AJ185&lt;&gt;""),AVERAGE(AH185,AJ185),IF(AH185&lt;&gt;"",AH185,AJ185))))</f>
        <v>0</v>
      </c>
      <c r="AU185" s="49" t="str">
        <f aca="false">IF(AI185="","",MIN(120,AI185))</f>
        <v/>
      </c>
      <c r="AV185" s="49" t="str">
        <f aca="false">IF(AJ185="","",MIN(120,AJ185))</f>
        <v/>
      </c>
      <c r="AW185" s="50" t="str">
        <f aca="false">IF(COUNT(AN185:AV185)&lt;9,"",(AN185*'Standards &amp; Scoring'!$D$5+AO185*'Standards &amp; Scoring'!$D$6+AP185*'Standards &amp; Scoring'!$D$7+AQ185*'Standards &amp; Scoring'!$D$8+AR185*'Standards &amp; Scoring'!$D$9+AS185*'Standards &amp; Scoring'!$D$10+AT185*'Standards &amp; Scoring'!$D$11+AU185*'Standards &amp; Scoring'!$D$12+AV185*'Standards &amp; Scoring'!$D$13)/10000)</f>
        <v/>
      </c>
      <c r="AX185" s="47" t="str">
        <f aca="false">IF(AW185="","",IF(AW185&gt;=1.05,"A+",IF(AW185&gt;=1,"A",IF(AW185&gt;=0.95,"B+",IF(AW185&gt;=0.9,"B","C")))))</f>
        <v/>
      </c>
      <c r="AY185" s="47" t="str">
        <f aca="false">IF(AX185="","",IF(AX185="A+",1800,IF(AX185="A",1600,IF(AX185="B+",1400,IF(AX185="B",1200,0)))))</f>
        <v/>
      </c>
      <c r="AZ185" s="49" t="str">
        <f aca="false">IF(OR(L185="",M185="",S185="",M185=0),"",IFERROR(L185*60*S185/(M185*36),0))</f>
        <v/>
      </c>
    </row>
    <row r="186" customFormat="false" ht="15" hidden="false" customHeight="true" outlineLevel="0" collapsed="false">
      <c r="A186" s="47" t="n">
        <f aca="false">'Daily KPI Entry'!A187</f>
        <v>0</v>
      </c>
      <c r="B186" s="48" t="n">
        <f aca="false">'Daily KPI Entry'!B187</f>
        <v>0</v>
      </c>
      <c r="C186" s="47" t="n">
        <f aca="false">'Daily KPI Entry'!C187</f>
        <v>0</v>
      </c>
      <c r="D186" s="47" t="n">
        <f aca="false">'Daily KPI Entry'!D187</f>
        <v>0</v>
      </c>
      <c r="E186" s="47" t="n">
        <f aca="false">'Daily KPI Entry'!E187</f>
        <v>0</v>
      </c>
      <c r="F186" s="47" t="n">
        <f aca="false">'Daily KPI Entry'!F187</f>
        <v>0</v>
      </c>
      <c r="G186" s="47" t="n">
        <f aca="false">'Daily KPI Entry'!G187</f>
        <v>0</v>
      </c>
      <c r="H186" s="47" t="str">
        <f aca="false">'Daily KPI Entry'!H187</f>
        <v/>
      </c>
      <c r="I186" s="47" t="n">
        <f aca="false">'Daily KPI Entry'!I187</f>
        <v>0</v>
      </c>
      <c r="J186" s="47" t="n">
        <f aca="false">'Daily KPI Entry'!J187</f>
        <v>0</v>
      </c>
      <c r="K186" s="47" t="n">
        <f aca="false">'Daily KPI Entry'!K187</f>
        <v>0</v>
      </c>
      <c r="L186" s="47" t="n">
        <f aca="false">'Daily KPI Entry'!L187</f>
        <v>0</v>
      </c>
      <c r="M186" s="47" t="n">
        <f aca="false">'Daily KPI Entry'!M187</f>
        <v>0</v>
      </c>
      <c r="N186" s="49" t="n">
        <f aca="false">'Daily KPI Entry'!N187</f>
        <v>0</v>
      </c>
      <c r="O186" s="49" t="n">
        <f aca="false">'Daily KPI Entry'!O187</f>
        <v>0</v>
      </c>
      <c r="P186" s="49" t="str">
        <f aca="false">IF(OR(N186="",O186=""),"",IFERROR(O186/N186*100,0))</f>
        <v/>
      </c>
      <c r="Q186" s="47" t="n">
        <f aca="false">'Daily KPI Entry'!Q187</f>
        <v>8</v>
      </c>
      <c r="R186" s="47" t="str">
        <f aca="false">IF(J186="","",Q186*J186)</f>
        <v/>
      </c>
      <c r="S186" s="49" t="n">
        <f aca="false">'Daily KPI Entry'!S187</f>
        <v>0</v>
      </c>
      <c r="T186" s="49" t="str">
        <f aca="false">IF(OR(R186="",S186=""),"",IFERROR(S186/R186*100,0))</f>
        <v/>
      </c>
      <c r="U186" s="49" t="str">
        <f aca="false">IF(OR(O186="",L186="",M186="",S186="",M186=0),"",IFERROR(O186/(L186*60*S186/(M186*36))*100,0))</f>
        <v/>
      </c>
      <c r="V186" s="49" t="n">
        <f aca="false">'Daily KPI Entry'!V187</f>
        <v>0</v>
      </c>
      <c r="W186" s="49" t="str">
        <f aca="false">IF(O186="","",IFERROR(V186/O186*100,0))</f>
        <v/>
      </c>
      <c r="X186" s="49" t="n">
        <f aca="false">'Daily KPI Entry'!X187</f>
        <v>0</v>
      </c>
      <c r="Y186" s="49" t="n">
        <f aca="false">'Daily KPI Entry'!Y187</f>
        <v>0</v>
      </c>
      <c r="Z186" s="49" t="n">
        <f aca="false">'Daily KPI Entry'!Z187</f>
        <v>0</v>
      </c>
      <c r="AA186" s="49" t="n">
        <f aca="false">'Daily KPI Entry'!AA187</f>
        <v>0</v>
      </c>
      <c r="AB186" s="49" t="n">
        <f aca="false">'Daily KPI Entry'!AB187</f>
        <v>0</v>
      </c>
      <c r="AC186" s="49" t="n">
        <f aca="false">'Daily KPI Entry'!AC187</f>
        <v>0</v>
      </c>
      <c r="AD186" s="49" t="n">
        <f aca="false">'Daily KPI Entry'!AD187</f>
        <v>0</v>
      </c>
      <c r="AE186" s="49" t="n">
        <f aca="false">'Daily KPI Entry'!AE187</f>
        <v>0</v>
      </c>
      <c r="AF186" s="47" t="str">
        <f aca="false">IF(O186="","",SUM(X186:AE186))</f>
        <v/>
      </c>
      <c r="AG186" s="49" t="str">
        <f aca="false">IF(O186="","",IFERROR(AF186/O186*1000,0))</f>
        <v/>
      </c>
      <c r="AH186" s="49" t="n">
        <f aca="false">'Daily KPI Entry'!AH187</f>
        <v>0</v>
      </c>
      <c r="AI186" s="49" t="n">
        <f aca="false">'Daily KPI Entry'!AI187</f>
        <v>0</v>
      </c>
      <c r="AJ186" s="49" t="n">
        <f aca="false">'Daily KPI Entry'!AJ187</f>
        <v>0</v>
      </c>
      <c r="AK186" s="47" t="n">
        <f aca="false">'Daily KPI Entry'!AK187</f>
        <v>0</v>
      </c>
      <c r="AL186" s="47" t="n">
        <f aca="false">'Daily KPI Entry'!AL187</f>
        <v>0</v>
      </c>
      <c r="AM186" s="47" t="n">
        <f aca="false">'Daily KPI Entry'!AM187</f>
        <v>0</v>
      </c>
      <c r="AN186" s="49" t="str">
        <f aca="false">IF(P186="","",MIN(120,P186))</f>
        <v/>
      </c>
      <c r="AO186" s="49" t="str">
        <f aca="false">IF(U186="","",MIN(120,U186))</f>
        <v/>
      </c>
      <c r="AP186" s="49" t="str">
        <f aca="false">IF(R186="","",MIN(120,IFERROR(S186/R186*100,0)))</f>
        <v/>
      </c>
      <c r="AQ186" s="49" t="str">
        <f aca="false">IF(W186="","",MIN(120,IF(W186=0,120,100*(INDEX('Standards &amp; Scoring'!$E$5:$E$13,MATCH("Quality / Rejection",'Standards &amp; Scoring'!$A$5:$A$13,0))/W186))))</f>
        <v/>
      </c>
      <c r="AR186" s="49" t="str">
        <f aca="false">IF(AG186="","",MIN(120,IF(AG186=0,120,100*(INDEX('Standards &amp; Scoring'!$E$5:$E$13,MATCH("Fault Control",'Standards &amp; Scoring'!$A$5:$A$13,0))/AG186))))</f>
        <v/>
      </c>
      <c r="AS186" s="49" t="str">
        <f aca="false">IF(O186="","",MIN(120,IF(SUMIFS('Fault &amp; Downtime Entry'!$L$6:$L$1005,'Fault &amp; Downtime Entry'!$E$6:$E$1005,G186,'Fault &amp; Downtime Entry'!$B$6:$B$1005,B186)=0,120,100*(INDEX('Standards &amp; Scoring'!$E$5:$E$13,MATCH("Downtime Control",'Standards &amp; Scoring'!$A$5:$A$13,0))/IFERROR(SUMIFS('Fault &amp; Downtime Entry'!$L$6:$L$1005,'Fault &amp; Downtime Entry'!$E$6:$E$1005,G186,'Fault &amp; Downtime Entry'!$B$6:$B$1005,B186)/O186*1000,999999)))))</f>
        <v/>
      </c>
      <c r="AT186" s="49" t="n">
        <f aca="false">IF(COUNTA(AH186,AJ186)=0,"",MIN(120,IF(AND(AH186&lt;&gt;"",AJ186&lt;&gt;""),AVERAGE(AH186,AJ186),IF(AH186&lt;&gt;"",AH186,AJ186))))</f>
        <v>0</v>
      </c>
      <c r="AU186" s="49" t="str">
        <f aca="false">IF(AI186="","",MIN(120,AI186))</f>
        <v/>
      </c>
      <c r="AV186" s="49" t="str">
        <f aca="false">IF(AJ186="","",MIN(120,AJ186))</f>
        <v/>
      </c>
      <c r="AW186" s="50" t="str">
        <f aca="false">IF(COUNT(AN186:AV186)&lt;9,"",(AN186*'Standards &amp; Scoring'!$D$5+AO186*'Standards &amp; Scoring'!$D$6+AP186*'Standards &amp; Scoring'!$D$7+AQ186*'Standards &amp; Scoring'!$D$8+AR186*'Standards &amp; Scoring'!$D$9+AS186*'Standards &amp; Scoring'!$D$10+AT186*'Standards &amp; Scoring'!$D$11+AU186*'Standards &amp; Scoring'!$D$12+AV186*'Standards &amp; Scoring'!$D$13)/10000)</f>
        <v/>
      </c>
      <c r="AX186" s="47" t="str">
        <f aca="false">IF(AW186="","",IF(AW186&gt;=1.05,"A+",IF(AW186&gt;=1,"A",IF(AW186&gt;=0.95,"B+",IF(AW186&gt;=0.9,"B","C")))))</f>
        <v/>
      </c>
      <c r="AY186" s="47" t="str">
        <f aca="false">IF(AX186="","",IF(AX186="A+",1800,IF(AX186="A",1600,IF(AX186="B+",1400,IF(AX186="B",1200,0)))))</f>
        <v/>
      </c>
      <c r="AZ186" s="49" t="str">
        <f aca="false">IF(OR(L186="",M186="",S186="",M186=0),"",IFERROR(L186*60*S186/(M186*36),0))</f>
        <v/>
      </c>
    </row>
    <row r="187" customFormat="false" ht="15" hidden="false" customHeight="true" outlineLevel="0" collapsed="false">
      <c r="A187" s="47" t="n">
        <f aca="false">'Daily KPI Entry'!A188</f>
        <v>0</v>
      </c>
      <c r="B187" s="48" t="n">
        <f aca="false">'Daily KPI Entry'!B188</f>
        <v>0</v>
      </c>
      <c r="C187" s="47" t="n">
        <f aca="false">'Daily KPI Entry'!C188</f>
        <v>0</v>
      </c>
      <c r="D187" s="47" t="n">
        <f aca="false">'Daily KPI Entry'!D188</f>
        <v>0</v>
      </c>
      <c r="E187" s="47" t="n">
        <f aca="false">'Daily KPI Entry'!E188</f>
        <v>0</v>
      </c>
      <c r="F187" s="47" t="n">
        <f aca="false">'Daily KPI Entry'!F188</f>
        <v>0</v>
      </c>
      <c r="G187" s="47" t="n">
        <f aca="false">'Daily KPI Entry'!G188</f>
        <v>0</v>
      </c>
      <c r="H187" s="47" t="str">
        <f aca="false">'Daily KPI Entry'!H188</f>
        <v/>
      </c>
      <c r="I187" s="47" t="n">
        <f aca="false">'Daily KPI Entry'!I188</f>
        <v>0</v>
      </c>
      <c r="J187" s="47" t="n">
        <f aca="false">'Daily KPI Entry'!J188</f>
        <v>0</v>
      </c>
      <c r="K187" s="47" t="n">
        <f aca="false">'Daily KPI Entry'!K188</f>
        <v>0</v>
      </c>
      <c r="L187" s="47" t="n">
        <f aca="false">'Daily KPI Entry'!L188</f>
        <v>0</v>
      </c>
      <c r="M187" s="47" t="n">
        <f aca="false">'Daily KPI Entry'!M188</f>
        <v>0</v>
      </c>
      <c r="N187" s="49" t="n">
        <f aca="false">'Daily KPI Entry'!N188</f>
        <v>0</v>
      </c>
      <c r="O187" s="49" t="n">
        <f aca="false">'Daily KPI Entry'!O188</f>
        <v>0</v>
      </c>
      <c r="P187" s="49" t="str">
        <f aca="false">IF(OR(N187="",O187=""),"",IFERROR(O187/N187*100,0))</f>
        <v/>
      </c>
      <c r="Q187" s="47" t="n">
        <f aca="false">'Daily KPI Entry'!Q188</f>
        <v>8</v>
      </c>
      <c r="R187" s="47" t="str">
        <f aca="false">IF(J187="","",Q187*J187)</f>
        <v/>
      </c>
      <c r="S187" s="49" t="n">
        <f aca="false">'Daily KPI Entry'!S188</f>
        <v>0</v>
      </c>
      <c r="T187" s="49" t="str">
        <f aca="false">IF(OR(R187="",S187=""),"",IFERROR(S187/R187*100,0))</f>
        <v/>
      </c>
      <c r="U187" s="49" t="str">
        <f aca="false">IF(OR(O187="",L187="",M187="",S187="",M187=0),"",IFERROR(O187/(L187*60*S187/(M187*36))*100,0))</f>
        <v/>
      </c>
      <c r="V187" s="49" t="n">
        <f aca="false">'Daily KPI Entry'!V188</f>
        <v>0</v>
      </c>
      <c r="W187" s="49" t="str">
        <f aca="false">IF(O187="","",IFERROR(V187/O187*100,0))</f>
        <v/>
      </c>
      <c r="X187" s="49" t="n">
        <f aca="false">'Daily KPI Entry'!X188</f>
        <v>0</v>
      </c>
      <c r="Y187" s="49" t="n">
        <f aca="false">'Daily KPI Entry'!Y188</f>
        <v>0</v>
      </c>
      <c r="Z187" s="49" t="n">
        <f aca="false">'Daily KPI Entry'!Z188</f>
        <v>0</v>
      </c>
      <c r="AA187" s="49" t="n">
        <f aca="false">'Daily KPI Entry'!AA188</f>
        <v>0</v>
      </c>
      <c r="AB187" s="49" t="n">
        <f aca="false">'Daily KPI Entry'!AB188</f>
        <v>0</v>
      </c>
      <c r="AC187" s="49" t="n">
        <f aca="false">'Daily KPI Entry'!AC188</f>
        <v>0</v>
      </c>
      <c r="AD187" s="49" t="n">
        <f aca="false">'Daily KPI Entry'!AD188</f>
        <v>0</v>
      </c>
      <c r="AE187" s="49" t="n">
        <f aca="false">'Daily KPI Entry'!AE188</f>
        <v>0</v>
      </c>
      <c r="AF187" s="47" t="str">
        <f aca="false">IF(O187="","",SUM(X187:AE187))</f>
        <v/>
      </c>
      <c r="AG187" s="49" t="str">
        <f aca="false">IF(O187="","",IFERROR(AF187/O187*1000,0))</f>
        <v/>
      </c>
      <c r="AH187" s="49" t="n">
        <f aca="false">'Daily KPI Entry'!AH188</f>
        <v>0</v>
      </c>
      <c r="AI187" s="49" t="n">
        <f aca="false">'Daily KPI Entry'!AI188</f>
        <v>0</v>
      </c>
      <c r="AJ187" s="49" t="n">
        <f aca="false">'Daily KPI Entry'!AJ188</f>
        <v>0</v>
      </c>
      <c r="AK187" s="47" t="n">
        <f aca="false">'Daily KPI Entry'!AK188</f>
        <v>0</v>
      </c>
      <c r="AL187" s="47" t="n">
        <f aca="false">'Daily KPI Entry'!AL188</f>
        <v>0</v>
      </c>
      <c r="AM187" s="47" t="n">
        <f aca="false">'Daily KPI Entry'!AM188</f>
        <v>0</v>
      </c>
      <c r="AN187" s="49" t="str">
        <f aca="false">IF(P187="","",MIN(120,P187))</f>
        <v/>
      </c>
      <c r="AO187" s="49" t="str">
        <f aca="false">IF(U187="","",MIN(120,U187))</f>
        <v/>
      </c>
      <c r="AP187" s="49" t="str">
        <f aca="false">IF(R187="","",MIN(120,IFERROR(S187/R187*100,0)))</f>
        <v/>
      </c>
      <c r="AQ187" s="49" t="str">
        <f aca="false">IF(W187="","",MIN(120,IF(W187=0,120,100*(INDEX('Standards &amp; Scoring'!$E$5:$E$13,MATCH("Quality / Rejection",'Standards &amp; Scoring'!$A$5:$A$13,0))/W187))))</f>
        <v/>
      </c>
      <c r="AR187" s="49" t="str">
        <f aca="false">IF(AG187="","",MIN(120,IF(AG187=0,120,100*(INDEX('Standards &amp; Scoring'!$E$5:$E$13,MATCH("Fault Control",'Standards &amp; Scoring'!$A$5:$A$13,0))/AG187))))</f>
        <v/>
      </c>
      <c r="AS187" s="49" t="str">
        <f aca="false">IF(O187="","",MIN(120,IF(SUMIFS('Fault &amp; Downtime Entry'!$L$6:$L$1005,'Fault &amp; Downtime Entry'!$E$6:$E$1005,G187,'Fault &amp; Downtime Entry'!$B$6:$B$1005,B187)=0,120,100*(INDEX('Standards &amp; Scoring'!$E$5:$E$13,MATCH("Downtime Control",'Standards &amp; Scoring'!$A$5:$A$13,0))/IFERROR(SUMIFS('Fault &amp; Downtime Entry'!$L$6:$L$1005,'Fault &amp; Downtime Entry'!$E$6:$E$1005,G187,'Fault &amp; Downtime Entry'!$B$6:$B$1005,B187)/O187*1000,999999)))))</f>
        <v/>
      </c>
      <c r="AT187" s="49" t="n">
        <f aca="false">IF(COUNTA(AH187,AJ187)=0,"",MIN(120,IF(AND(AH187&lt;&gt;"",AJ187&lt;&gt;""),AVERAGE(AH187,AJ187),IF(AH187&lt;&gt;"",AH187,AJ187))))</f>
        <v>0</v>
      </c>
      <c r="AU187" s="49" t="str">
        <f aca="false">IF(AI187="","",MIN(120,AI187))</f>
        <v/>
      </c>
      <c r="AV187" s="49" t="str">
        <f aca="false">IF(AJ187="","",MIN(120,AJ187))</f>
        <v/>
      </c>
      <c r="AW187" s="50" t="str">
        <f aca="false">IF(COUNT(AN187:AV187)&lt;9,"",(AN187*'Standards &amp; Scoring'!$D$5+AO187*'Standards &amp; Scoring'!$D$6+AP187*'Standards &amp; Scoring'!$D$7+AQ187*'Standards &amp; Scoring'!$D$8+AR187*'Standards &amp; Scoring'!$D$9+AS187*'Standards &amp; Scoring'!$D$10+AT187*'Standards &amp; Scoring'!$D$11+AU187*'Standards &amp; Scoring'!$D$12+AV187*'Standards &amp; Scoring'!$D$13)/10000)</f>
        <v/>
      </c>
      <c r="AX187" s="47" t="str">
        <f aca="false">IF(AW187="","",IF(AW187&gt;=1.05,"A+",IF(AW187&gt;=1,"A",IF(AW187&gt;=0.95,"B+",IF(AW187&gt;=0.9,"B","C")))))</f>
        <v/>
      </c>
      <c r="AY187" s="47" t="str">
        <f aca="false">IF(AX187="","",IF(AX187="A+",1800,IF(AX187="A",1600,IF(AX187="B+",1400,IF(AX187="B",1200,0)))))</f>
        <v/>
      </c>
      <c r="AZ187" s="49" t="str">
        <f aca="false">IF(OR(L187="",M187="",S187="",M187=0),"",IFERROR(L187*60*S187/(M187*36),0))</f>
        <v/>
      </c>
    </row>
    <row r="188" customFormat="false" ht="15" hidden="false" customHeight="true" outlineLevel="0" collapsed="false">
      <c r="A188" s="47" t="n">
        <f aca="false">'Daily KPI Entry'!A189</f>
        <v>0</v>
      </c>
      <c r="B188" s="48" t="n">
        <f aca="false">'Daily KPI Entry'!B189</f>
        <v>0</v>
      </c>
      <c r="C188" s="47" t="n">
        <f aca="false">'Daily KPI Entry'!C189</f>
        <v>0</v>
      </c>
      <c r="D188" s="47" t="n">
        <f aca="false">'Daily KPI Entry'!D189</f>
        <v>0</v>
      </c>
      <c r="E188" s="47" t="n">
        <f aca="false">'Daily KPI Entry'!E189</f>
        <v>0</v>
      </c>
      <c r="F188" s="47" t="n">
        <f aca="false">'Daily KPI Entry'!F189</f>
        <v>0</v>
      </c>
      <c r="G188" s="47" t="n">
        <f aca="false">'Daily KPI Entry'!G189</f>
        <v>0</v>
      </c>
      <c r="H188" s="47" t="str">
        <f aca="false">'Daily KPI Entry'!H189</f>
        <v/>
      </c>
      <c r="I188" s="47" t="n">
        <f aca="false">'Daily KPI Entry'!I189</f>
        <v>0</v>
      </c>
      <c r="J188" s="47" t="n">
        <f aca="false">'Daily KPI Entry'!J189</f>
        <v>0</v>
      </c>
      <c r="K188" s="47" t="n">
        <f aca="false">'Daily KPI Entry'!K189</f>
        <v>0</v>
      </c>
      <c r="L188" s="47" t="n">
        <f aca="false">'Daily KPI Entry'!L189</f>
        <v>0</v>
      </c>
      <c r="M188" s="47" t="n">
        <f aca="false">'Daily KPI Entry'!M189</f>
        <v>0</v>
      </c>
      <c r="N188" s="49" t="n">
        <f aca="false">'Daily KPI Entry'!N189</f>
        <v>0</v>
      </c>
      <c r="O188" s="49" t="n">
        <f aca="false">'Daily KPI Entry'!O189</f>
        <v>0</v>
      </c>
      <c r="P188" s="49" t="str">
        <f aca="false">IF(OR(N188="",O188=""),"",IFERROR(O188/N188*100,0))</f>
        <v/>
      </c>
      <c r="Q188" s="47" t="n">
        <f aca="false">'Daily KPI Entry'!Q189</f>
        <v>8</v>
      </c>
      <c r="R188" s="47" t="str">
        <f aca="false">IF(J188="","",Q188*J188)</f>
        <v/>
      </c>
      <c r="S188" s="49" t="n">
        <f aca="false">'Daily KPI Entry'!S189</f>
        <v>0</v>
      </c>
      <c r="T188" s="49" t="str">
        <f aca="false">IF(OR(R188="",S188=""),"",IFERROR(S188/R188*100,0))</f>
        <v/>
      </c>
      <c r="U188" s="49" t="str">
        <f aca="false">IF(OR(O188="",L188="",M188="",S188="",M188=0),"",IFERROR(O188/(L188*60*S188/(M188*36))*100,0))</f>
        <v/>
      </c>
      <c r="V188" s="49" t="n">
        <f aca="false">'Daily KPI Entry'!V189</f>
        <v>0</v>
      </c>
      <c r="W188" s="49" t="str">
        <f aca="false">IF(O188="","",IFERROR(V188/O188*100,0))</f>
        <v/>
      </c>
      <c r="X188" s="49" t="n">
        <f aca="false">'Daily KPI Entry'!X189</f>
        <v>0</v>
      </c>
      <c r="Y188" s="49" t="n">
        <f aca="false">'Daily KPI Entry'!Y189</f>
        <v>0</v>
      </c>
      <c r="Z188" s="49" t="n">
        <f aca="false">'Daily KPI Entry'!Z189</f>
        <v>0</v>
      </c>
      <c r="AA188" s="49" t="n">
        <f aca="false">'Daily KPI Entry'!AA189</f>
        <v>0</v>
      </c>
      <c r="AB188" s="49" t="n">
        <f aca="false">'Daily KPI Entry'!AB189</f>
        <v>0</v>
      </c>
      <c r="AC188" s="49" t="n">
        <f aca="false">'Daily KPI Entry'!AC189</f>
        <v>0</v>
      </c>
      <c r="AD188" s="49" t="n">
        <f aca="false">'Daily KPI Entry'!AD189</f>
        <v>0</v>
      </c>
      <c r="AE188" s="49" t="n">
        <f aca="false">'Daily KPI Entry'!AE189</f>
        <v>0</v>
      </c>
      <c r="AF188" s="47" t="str">
        <f aca="false">IF(O188="","",SUM(X188:AE188))</f>
        <v/>
      </c>
      <c r="AG188" s="49" t="str">
        <f aca="false">IF(O188="","",IFERROR(AF188/O188*1000,0))</f>
        <v/>
      </c>
      <c r="AH188" s="49" t="n">
        <f aca="false">'Daily KPI Entry'!AH189</f>
        <v>0</v>
      </c>
      <c r="AI188" s="49" t="n">
        <f aca="false">'Daily KPI Entry'!AI189</f>
        <v>0</v>
      </c>
      <c r="AJ188" s="49" t="n">
        <f aca="false">'Daily KPI Entry'!AJ189</f>
        <v>0</v>
      </c>
      <c r="AK188" s="47" t="n">
        <f aca="false">'Daily KPI Entry'!AK189</f>
        <v>0</v>
      </c>
      <c r="AL188" s="47" t="n">
        <f aca="false">'Daily KPI Entry'!AL189</f>
        <v>0</v>
      </c>
      <c r="AM188" s="47" t="n">
        <f aca="false">'Daily KPI Entry'!AM189</f>
        <v>0</v>
      </c>
      <c r="AN188" s="49" t="str">
        <f aca="false">IF(P188="","",MIN(120,P188))</f>
        <v/>
      </c>
      <c r="AO188" s="49" t="str">
        <f aca="false">IF(U188="","",MIN(120,U188))</f>
        <v/>
      </c>
      <c r="AP188" s="49" t="str">
        <f aca="false">IF(R188="","",MIN(120,IFERROR(S188/R188*100,0)))</f>
        <v/>
      </c>
      <c r="AQ188" s="49" t="str">
        <f aca="false">IF(W188="","",MIN(120,IF(W188=0,120,100*(INDEX('Standards &amp; Scoring'!$E$5:$E$13,MATCH("Quality / Rejection",'Standards &amp; Scoring'!$A$5:$A$13,0))/W188))))</f>
        <v/>
      </c>
      <c r="AR188" s="49" t="str">
        <f aca="false">IF(AG188="","",MIN(120,IF(AG188=0,120,100*(INDEX('Standards &amp; Scoring'!$E$5:$E$13,MATCH("Fault Control",'Standards &amp; Scoring'!$A$5:$A$13,0))/AG188))))</f>
        <v/>
      </c>
      <c r="AS188" s="49" t="str">
        <f aca="false">IF(O188="","",MIN(120,IF(SUMIFS('Fault &amp; Downtime Entry'!$L$6:$L$1005,'Fault &amp; Downtime Entry'!$E$6:$E$1005,G188,'Fault &amp; Downtime Entry'!$B$6:$B$1005,B188)=0,120,100*(INDEX('Standards &amp; Scoring'!$E$5:$E$13,MATCH("Downtime Control",'Standards &amp; Scoring'!$A$5:$A$13,0))/IFERROR(SUMIFS('Fault &amp; Downtime Entry'!$L$6:$L$1005,'Fault &amp; Downtime Entry'!$E$6:$E$1005,G188,'Fault &amp; Downtime Entry'!$B$6:$B$1005,B188)/O188*1000,999999)))))</f>
        <v/>
      </c>
      <c r="AT188" s="49" t="n">
        <f aca="false">IF(COUNTA(AH188,AJ188)=0,"",MIN(120,IF(AND(AH188&lt;&gt;"",AJ188&lt;&gt;""),AVERAGE(AH188,AJ188),IF(AH188&lt;&gt;"",AH188,AJ188))))</f>
        <v>0</v>
      </c>
      <c r="AU188" s="49" t="str">
        <f aca="false">IF(AI188="","",MIN(120,AI188))</f>
        <v/>
      </c>
      <c r="AV188" s="49" t="str">
        <f aca="false">IF(AJ188="","",MIN(120,AJ188))</f>
        <v/>
      </c>
      <c r="AW188" s="50" t="str">
        <f aca="false">IF(COUNT(AN188:AV188)&lt;9,"",(AN188*'Standards &amp; Scoring'!$D$5+AO188*'Standards &amp; Scoring'!$D$6+AP188*'Standards &amp; Scoring'!$D$7+AQ188*'Standards &amp; Scoring'!$D$8+AR188*'Standards &amp; Scoring'!$D$9+AS188*'Standards &amp; Scoring'!$D$10+AT188*'Standards &amp; Scoring'!$D$11+AU188*'Standards &amp; Scoring'!$D$12+AV188*'Standards &amp; Scoring'!$D$13)/10000)</f>
        <v/>
      </c>
      <c r="AX188" s="47" t="str">
        <f aca="false">IF(AW188="","",IF(AW188&gt;=1.05,"A+",IF(AW188&gt;=1,"A",IF(AW188&gt;=0.95,"B+",IF(AW188&gt;=0.9,"B","C")))))</f>
        <v/>
      </c>
      <c r="AY188" s="47" t="str">
        <f aca="false">IF(AX188="","",IF(AX188="A+",1800,IF(AX188="A",1600,IF(AX188="B+",1400,IF(AX188="B",1200,0)))))</f>
        <v/>
      </c>
      <c r="AZ188" s="49" t="str">
        <f aca="false">IF(OR(L188="",M188="",S188="",M188=0),"",IFERROR(L188*60*S188/(M188*36),0))</f>
        <v/>
      </c>
    </row>
    <row r="189" customFormat="false" ht="15" hidden="false" customHeight="true" outlineLevel="0" collapsed="false">
      <c r="A189" s="47" t="n">
        <f aca="false">'Daily KPI Entry'!A190</f>
        <v>0</v>
      </c>
      <c r="B189" s="48" t="n">
        <f aca="false">'Daily KPI Entry'!B190</f>
        <v>0</v>
      </c>
      <c r="C189" s="47" t="n">
        <f aca="false">'Daily KPI Entry'!C190</f>
        <v>0</v>
      </c>
      <c r="D189" s="47" t="n">
        <f aca="false">'Daily KPI Entry'!D190</f>
        <v>0</v>
      </c>
      <c r="E189" s="47" t="n">
        <f aca="false">'Daily KPI Entry'!E190</f>
        <v>0</v>
      </c>
      <c r="F189" s="47" t="n">
        <f aca="false">'Daily KPI Entry'!F190</f>
        <v>0</v>
      </c>
      <c r="G189" s="47" t="n">
        <f aca="false">'Daily KPI Entry'!G190</f>
        <v>0</v>
      </c>
      <c r="H189" s="47" t="str">
        <f aca="false">'Daily KPI Entry'!H190</f>
        <v/>
      </c>
      <c r="I189" s="47" t="n">
        <f aca="false">'Daily KPI Entry'!I190</f>
        <v>0</v>
      </c>
      <c r="J189" s="47" t="n">
        <f aca="false">'Daily KPI Entry'!J190</f>
        <v>0</v>
      </c>
      <c r="K189" s="47" t="n">
        <f aca="false">'Daily KPI Entry'!K190</f>
        <v>0</v>
      </c>
      <c r="L189" s="47" t="n">
        <f aca="false">'Daily KPI Entry'!L190</f>
        <v>0</v>
      </c>
      <c r="M189" s="47" t="n">
        <f aca="false">'Daily KPI Entry'!M190</f>
        <v>0</v>
      </c>
      <c r="N189" s="49" t="n">
        <f aca="false">'Daily KPI Entry'!N190</f>
        <v>0</v>
      </c>
      <c r="O189" s="49" t="n">
        <f aca="false">'Daily KPI Entry'!O190</f>
        <v>0</v>
      </c>
      <c r="P189" s="49" t="str">
        <f aca="false">IF(OR(N189="",O189=""),"",IFERROR(O189/N189*100,0))</f>
        <v/>
      </c>
      <c r="Q189" s="47" t="n">
        <f aca="false">'Daily KPI Entry'!Q190</f>
        <v>8</v>
      </c>
      <c r="R189" s="47" t="str">
        <f aca="false">IF(J189="","",Q189*J189)</f>
        <v/>
      </c>
      <c r="S189" s="49" t="n">
        <f aca="false">'Daily KPI Entry'!S190</f>
        <v>0</v>
      </c>
      <c r="T189" s="49" t="str">
        <f aca="false">IF(OR(R189="",S189=""),"",IFERROR(S189/R189*100,0))</f>
        <v/>
      </c>
      <c r="U189" s="49" t="str">
        <f aca="false">IF(OR(O189="",L189="",M189="",S189="",M189=0),"",IFERROR(O189/(L189*60*S189/(M189*36))*100,0))</f>
        <v/>
      </c>
      <c r="V189" s="49" t="n">
        <f aca="false">'Daily KPI Entry'!V190</f>
        <v>0</v>
      </c>
      <c r="W189" s="49" t="str">
        <f aca="false">IF(O189="","",IFERROR(V189/O189*100,0))</f>
        <v/>
      </c>
      <c r="X189" s="49" t="n">
        <f aca="false">'Daily KPI Entry'!X190</f>
        <v>0</v>
      </c>
      <c r="Y189" s="49" t="n">
        <f aca="false">'Daily KPI Entry'!Y190</f>
        <v>0</v>
      </c>
      <c r="Z189" s="49" t="n">
        <f aca="false">'Daily KPI Entry'!Z190</f>
        <v>0</v>
      </c>
      <c r="AA189" s="49" t="n">
        <f aca="false">'Daily KPI Entry'!AA190</f>
        <v>0</v>
      </c>
      <c r="AB189" s="49" t="n">
        <f aca="false">'Daily KPI Entry'!AB190</f>
        <v>0</v>
      </c>
      <c r="AC189" s="49" t="n">
        <f aca="false">'Daily KPI Entry'!AC190</f>
        <v>0</v>
      </c>
      <c r="AD189" s="49" t="n">
        <f aca="false">'Daily KPI Entry'!AD190</f>
        <v>0</v>
      </c>
      <c r="AE189" s="49" t="n">
        <f aca="false">'Daily KPI Entry'!AE190</f>
        <v>0</v>
      </c>
      <c r="AF189" s="47" t="str">
        <f aca="false">IF(O189="","",SUM(X189:AE189))</f>
        <v/>
      </c>
      <c r="AG189" s="49" t="str">
        <f aca="false">IF(O189="","",IFERROR(AF189/O189*1000,0))</f>
        <v/>
      </c>
      <c r="AH189" s="49" t="n">
        <f aca="false">'Daily KPI Entry'!AH190</f>
        <v>0</v>
      </c>
      <c r="AI189" s="49" t="n">
        <f aca="false">'Daily KPI Entry'!AI190</f>
        <v>0</v>
      </c>
      <c r="AJ189" s="49" t="n">
        <f aca="false">'Daily KPI Entry'!AJ190</f>
        <v>0</v>
      </c>
      <c r="AK189" s="47" t="n">
        <f aca="false">'Daily KPI Entry'!AK190</f>
        <v>0</v>
      </c>
      <c r="AL189" s="47" t="n">
        <f aca="false">'Daily KPI Entry'!AL190</f>
        <v>0</v>
      </c>
      <c r="AM189" s="47" t="n">
        <f aca="false">'Daily KPI Entry'!AM190</f>
        <v>0</v>
      </c>
      <c r="AN189" s="49" t="str">
        <f aca="false">IF(P189="","",MIN(120,P189))</f>
        <v/>
      </c>
      <c r="AO189" s="49" t="str">
        <f aca="false">IF(U189="","",MIN(120,U189))</f>
        <v/>
      </c>
      <c r="AP189" s="49" t="str">
        <f aca="false">IF(R189="","",MIN(120,IFERROR(S189/R189*100,0)))</f>
        <v/>
      </c>
      <c r="AQ189" s="49" t="str">
        <f aca="false">IF(W189="","",MIN(120,IF(W189=0,120,100*(INDEX('Standards &amp; Scoring'!$E$5:$E$13,MATCH("Quality / Rejection",'Standards &amp; Scoring'!$A$5:$A$13,0))/W189))))</f>
        <v/>
      </c>
      <c r="AR189" s="49" t="str">
        <f aca="false">IF(AG189="","",MIN(120,IF(AG189=0,120,100*(INDEX('Standards &amp; Scoring'!$E$5:$E$13,MATCH("Fault Control",'Standards &amp; Scoring'!$A$5:$A$13,0))/AG189))))</f>
        <v/>
      </c>
      <c r="AS189" s="49" t="str">
        <f aca="false">IF(O189="","",MIN(120,IF(SUMIFS('Fault &amp; Downtime Entry'!$L$6:$L$1005,'Fault &amp; Downtime Entry'!$E$6:$E$1005,G189,'Fault &amp; Downtime Entry'!$B$6:$B$1005,B189)=0,120,100*(INDEX('Standards &amp; Scoring'!$E$5:$E$13,MATCH("Downtime Control",'Standards &amp; Scoring'!$A$5:$A$13,0))/IFERROR(SUMIFS('Fault &amp; Downtime Entry'!$L$6:$L$1005,'Fault &amp; Downtime Entry'!$E$6:$E$1005,G189,'Fault &amp; Downtime Entry'!$B$6:$B$1005,B189)/O189*1000,999999)))))</f>
        <v/>
      </c>
      <c r="AT189" s="49" t="n">
        <f aca="false">IF(COUNTA(AH189,AJ189)=0,"",MIN(120,IF(AND(AH189&lt;&gt;"",AJ189&lt;&gt;""),AVERAGE(AH189,AJ189),IF(AH189&lt;&gt;"",AH189,AJ189))))</f>
        <v>0</v>
      </c>
      <c r="AU189" s="49" t="str">
        <f aca="false">IF(AI189="","",MIN(120,AI189))</f>
        <v/>
      </c>
      <c r="AV189" s="49" t="str">
        <f aca="false">IF(AJ189="","",MIN(120,AJ189))</f>
        <v/>
      </c>
      <c r="AW189" s="50" t="str">
        <f aca="false">IF(COUNT(AN189:AV189)&lt;9,"",(AN189*'Standards &amp; Scoring'!$D$5+AO189*'Standards &amp; Scoring'!$D$6+AP189*'Standards &amp; Scoring'!$D$7+AQ189*'Standards &amp; Scoring'!$D$8+AR189*'Standards &amp; Scoring'!$D$9+AS189*'Standards &amp; Scoring'!$D$10+AT189*'Standards &amp; Scoring'!$D$11+AU189*'Standards &amp; Scoring'!$D$12+AV189*'Standards &amp; Scoring'!$D$13)/10000)</f>
        <v/>
      </c>
      <c r="AX189" s="47" t="str">
        <f aca="false">IF(AW189="","",IF(AW189&gt;=1.05,"A+",IF(AW189&gt;=1,"A",IF(AW189&gt;=0.95,"B+",IF(AW189&gt;=0.9,"B","C")))))</f>
        <v/>
      </c>
      <c r="AY189" s="47" t="str">
        <f aca="false">IF(AX189="","",IF(AX189="A+",1800,IF(AX189="A",1600,IF(AX189="B+",1400,IF(AX189="B",1200,0)))))</f>
        <v/>
      </c>
      <c r="AZ189" s="49" t="str">
        <f aca="false">IF(OR(L189="",M189="",S189="",M189=0),"",IFERROR(L189*60*S189/(M189*36),0))</f>
        <v/>
      </c>
    </row>
    <row r="190" customFormat="false" ht="15" hidden="false" customHeight="true" outlineLevel="0" collapsed="false">
      <c r="A190" s="47" t="n">
        <f aca="false">'Daily KPI Entry'!A191</f>
        <v>0</v>
      </c>
      <c r="B190" s="48" t="n">
        <f aca="false">'Daily KPI Entry'!B191</f>
        <v>0</v>
      </c>
      <c r="C190" s="47" t="n">
        <f aca="false">'Daily KPI Entry'!C191</f>
        <v>0</v>
      </c>
      <c r="D190" s="47" t="n">
        <f aca="false">'Daily KPI Entry'!D191</f>
        <v>0</v>
      </c>
      <c r="E190" s="47" t="n">
        <f aca="false">'Daily KPI Entry'!E191</f>
        <v>0</v>
      </c>
      <c r="F190" s="47" t="n">
        <f aca="false">'Daily KPI Entry'!F191</f>
        <v>0</v>
      </c>
      <c r="G190" s="47" t="n">
        <f aca="false">'Daily KPI Entry'!G191</f>
        <v>0</v>
      </c>
      <c r="H190" s="47" t="str">
        <f aca="false">'Daily KPI Entry'!H191</f>
        <v/>
      </c>
      <c r="I190" s="47" t="n">
        <f aca="false">'Daily KPI Entry'!I191</f>
        <v>0</v>
      </c>
      <c r="J190" s="47" t="n">
        <f aca="false">'Daily KPI Entry'!J191</f>
        <v>0</v>
      </c>
      <c r="K190" s="47" t="n">
        <f aca="false">'Daily KPI Entry'!K191</f>
        <v>0</v>
      </c>
      <c r="L190" s="47" t="n">
        <f aca="false">'Daily KPI Entry'!L191</f>
        <v>0</v>
      </c>
      <c r="M190" s="47" t="n">
        <f aca="false">'Daily KPI Entry'!M191</f>
        <v>0</v>
      </c>
      <c r="N190" s="49" t="n">
        <f aca="false">'Daily KPI Entry'!N191</f>
        <v>0</v>
      </c>
      <c r="O190" s="49" t="n">
        <f aca="false">'Daily KPI Entry'!O191</f>
        <v>0</v>
      </c>
      <c r="P190" s="49" t="str">
        <f aca="false">IF(OR(N190="",O190=""),"",IFERROR(O190/N190*100,0))</f>
        <v/>
      </c>
      <c r="Q190" s="47" t="n">
        <f aca="false">'Daily KPI Entry'!Q191</f>
        <v>8</v>
      </c>
      <c r="R190" s="47" t="str">
        <f aca="false">IF(J190="","",Q190*J190)</f>
        <v/>
      </c>
      <c r="S190" s="49" t="n">
        <f aca="false">'Daily KPI Entry'!S191</f>
        <v>0</v>
      </c>
      <c r="T190" s="49" t="str">
        <f aca="false">IF(OR(R190="",S190=""),"",IFERROR(S190/R190*100,0))</f>
        <v/>
      </c>
      <c r="U190" s="49" t="str">
        <f aca="false">IF(OR(O190="",L190="",M190="",S190="",M190=0),"",IFERROR(O190/(L190*60*S190/(M190*36))*100,0))</f>
        <v/>
      </c>
      <c r="V190" s="49" t="n">
        <f aca="false">'Daily KPI Entry'!V191</f>
        <v>0</v>
      </c>
      <c r="W190" s="49" t="str">
        <f aca="false">IF(O190="","",IFERROR(V190/O190*100,0))</f>
        <v/>
      </c>
      <c r="X190" s="49" t="n">
        <f aca="false">'Daily KPI Entry'!X191</f>
        <v>0</v>
      </c>
      <c r="Y190" s="49" t="n">
        <f aca="false">'Daily KPI Entry'!Y191</f>
        <v>0</v>
      </c>
      <c r="Z190" s="49" t="n">
        <f aca="false">'Daily KPI Entry'!Z191</f>
        <v>0</v>
      </c>
      <c r="AA190" s="49" t="n">
        <f aca="false">'Daily KPI Entry'!AA191</f>
        <v>0</v>
      </c>
      <c r="AB190" s="49" t="n">
        <f aca="false">'Daily KPI Entry'!AB191</f>
        <v>0</v>
      </c>
      <c r="AC190" s="49" t="n">
        <f aca="false">'Daily KPI Entry'!AC191</f>
        <v>0</v>
      </c>
      <c r="AD190" s="49" t="n">
        <f aca="false">'Daily KPI Entry'!AD191</f>
        <v>0</v>
      </c>
      <c r="AE190" s="49" t="n">
        <f aca="false">'Daily KPI Entry'!AE191</f>
        <v>0</v>
      </c>
      <c r="AF190" s="47" t="str">
        <f aca="false">IF(O190="","",SUM(X190:AE190))</f>
        <v/>
      </c>
      <c r="AG190" s="49" t="str">
        <f aca="false">IF(O190="","",IFERROR(AF190/O190*1000,0))</f>
        <v/>
      </c>
      <c r="AH190" s="49" t="n">
        <f aca="false">'Daily KPI Entry'!AH191</f>
        <v>0</v>
      </c>
      <c r="AI190" s="49" t="n">
        <f aca="false">'Daily KPI Entry'!AI191</f>
        <v>0</v>
      </c>
      <c r="AJ190" s="49" t="n">
        <f aca="false">'Daily KPI Entry'!AJ191</f>
        <v>0</v>
      </c>
      <c r="AK190" s="47" t="n">
        <f aca="false">'Daily KPI Entry'!AK191</f>
        <v>0</v>
      </c>
      <c r="AL190" s="47" t="n">
        <f aca="false">'Daily KPI Entry'!AL191</f>
        <v>0</v>
      </c>
      <c r="AM190" s="47" t="n">
        <f aca="false">'Daily KPI Entry'!AM191</f>
        <v>0</v>
      </c>
      <c r="AN190" s="49" t="str">
        <f aca="false">IF(P190="","",MIN(120,P190))</f>
        <v/>
      </c>
      <c r="AO190" s="49" t="str">
        <f aca="false">IF(U190="","",MIN(120,U190))</f>
        <v/>
      </c>
      <c r="AP190" s="49" t="str">
        <f aca="false">IF(R190="","",MIN(120,IFERROR(S190/R190*100,0)))</f>
        <v/>
      </c>
      <c r="AQ190" s="49" t="str">
        <f aca="false">IF(W190="","",MIN(120,IF(W190=0,120,100*(INDEX('Standards &amp; Scoring'!$E$5:$E$13,MATCH("Quality / Rejection",'Standards &amp; Scoring'!$A$5:$A$13,0))/W190))))</f>
        <v/>
      </c>
      <c r="AR190" s="49" t="str">
        <f aca="false">IF(AG190="","",MIN(120,IF(AG190=0,120,100*(INDEX('Standards &amp; Scoring'!$E$5:$E$13,MATCH("Fault Control",'Standards &amp; Scoring'!$A$5:$A$13,0))/AG190))))</f>
        <v/>
      </c>
      <c r="AS190" s="49" t="str">
        <f aca="false">IF(O190="","",MIN(120,IF(SUMIFS('Fault &amp; Downtime Entry'!$L$6:$L$1005,'Fault &amp; Downtime Entry'!$E$6:$E$1005,G190,'Fault &amp; Downtime Entry'!$B$6:$B$1005,B190)=0,120,100*(INDEX('Standards &amp; Scoring'!$E$5:$E$13,MATCH("Downtime Control",'Standards &amp; Scoring'!$A$5:$A$13,0))/IFERROR(SUMIFS('Fault &amp; Downtime Entry'!$L$6:$L$1005,'Fault &amp; Downtime Entry'!$E$6:$E$1005,G190,'Fault &amp; Downtime Entry'!$B$6:$B$1005,B190)/O190*1000,999999)))))</f>
        <v/>
      </c>
      <c r="AT190" s="49" t="n">
        <f aca="false">IF(COUNTA(AH190,AJ190)=0,"",MIN(120,IF(AND(AH190&lt;&gt;"",AJ190&lt;&gt;""),AVERAGE(AH190,AJ190),IF(AH190&lt;&gt;"",AH190,AJ190))))</f>
        <v>0</v>
      </c>
      <c r="AU190" s="49" t="str">
        <f aca="false">IF(AI190="","",MIN(120,AI190))</f>
        <v/>
      </c>
      <c r="AV190" s="49" t="str">
        <f aca="false">IF(AJ190="","",MIN(120,AJ190))</f>
        <v/>
      </c>
      <c r="AW190" s="50" t="str">
        <f aca="false">IF(COUNT(AN190:AV190)&lt;9,"",(AN190*'Standards &amp; Scoring'!$D$5+AO190*'Standards &amp; Scoring'!$D$6+AP190*'Standards &amp; Scoring'!$D$7+AQ190*'Standards &amp; Scoring'!$D$8+AR190*'Standards &amp; Scoring'!$D$9+AS190*'Standards &amp; Scoring'!$D$10+AT190*'Standards &amp; Scoring'!$D$11+AU190*'Standards &amp; Scoring'!$D$12+AV190*'Standards &amp; Scoring'!$D$13)/10000)</f>
        <v/>
      </c>
      <c r="AX190" s="47" t="str">
        <f aca="false">IF(AW190="","",IF(AW190&gt;=1.05,"A+",IF(AW190&gt;=1,"A",IF(AW190&gt;=0.95,"B+",IF(AW190&gt;=0.9,"B","C")))))</f>
        <v/>
      </c>
      <c r="AY190" s="47" t="str">
        <f aca="false">IF(AX190="","",IF(AX190="A+",1800,IF(AX190="A",1600,IF(AX190="B+",1400,IF(AX190="B",1200,0)))))</f>
        <v/>
      </c>
      <c r="AZ190" s="49" t="str">
        <f aca="false">IF(OR(L190="",M190="",S190="",M190=0),"",IFERROR(L190*60*S190/(M190*36),0))</f>
        <v/>
      </c>
    </row>
    <row r="191" customFormat="false" ht="15" hidden="false" customHeight="true" outlineLevel="0" collapsed="false">
      <c r="A191" s="47" t="n">
        <f aca="false">'Daily KPI Entry'!A192</f>
        <v>0</v>
      </c>
      <c r="B191" s="48" t="n">
        <f aca="false">'Daily KPI Entry'!B192</f>
        <v>0</v>
      </c>
      <c r="C191" s="47" t="n">
        <f aca="false">'Daily KPI Entry'!C192</f>
        <v>0</v>
      </c>
      <c r="D191" s="47" t="n">
        <f aca="false">'Daily KPI Entry'!D192</f>
        <v>0</v>
      </c>
      <c r="E191" s="47" t="n">
        <f aca="false">'Daily KPI Entry'!E192</f>
        <v>0</v>
      </c>
      <c r="F191" s="47" t="n">
        <f aca="false">'Daily KPI Entry'!F192</f>
        <v>0</v>
      </c>
      <c r="G191" s="47" t="n">
        <f aca="false">'Daily KPI Entry'!G192</f>
        <v>0</v>
      </c>
      <c r="H191" s="47" t="str">
        <f aca="false">'Daily KPI Entry'!H192</f>
        <v/>
      </c>
      <c r="I191" s="47" t="n">
        <f aca="false">'Daily KPI Entry'!I192</f>
        <v>0</v>
      </c>
      <c r="J191" s="47" t="n">
        <f aca="false">'Daily KPI Entry'!J192</f>
        <v>0</v>
      </c>
      <c r="K191" s="47" t="n">
        <f aca="false">'Daily KPI Entry'!K192</f>
        <v>0</v>
      </c>
      <c r="L191" s="47" t="n">
        <f aca="false">'Daily KPI Entry'!L192</f>
        <v>0</v>
      </c>
      <c r="M191" s="47" t="n">
        <f aca="false">'Daily KPI Entry'!M192</f>
        <v>0</v>
      </c>
      <c r="N191" s="49" t="n">
        <f aca="false">'Daily KPI Entry'!N192</f>
        <v>0</v>
      </c>
      <c r="O191" s="49" t="n">
        <f aca="false">'Daily KPI Entry'!O192</f>
        <v>0</v>
      </c>
      <c r="P191" s="49" t="str">
        <f aca="false">IF(OR(N191="",O191=""),"",IFERROR(O191/N191*100,0))</f>
        <v/>
      </c>
      <c r="Q191" s="47" t="n">
        <f aca="false">'Daily KPI Entry'!Q192</f>
        <v>8</v>
      </c>
      <c r="R191" s="47" t="str">
        <f aca="false">IF(J191="","",Q191*J191)</f>
        <v/>
      </c>
      <c r="S191" s="49" t="n">
        <f aca="false">'Daily KPI Entry'!S192</f>
        <v>0</v>
      </c>
      <c r="T191" s="49" t="str">
        <f aca="false">IF(OR(R191="",S191=""),"",IFERROR(S191/R191*100,0))</f>
        <v/>
      </c>
      <c r="U191" s="49" t="str">
        <f aca="false">IF(OR(O191="",L191="",M191="",S191="",M191=0),"",IFERROR(O191/(L191*60*S191/(M191*36))*100,0))</f>
        <v/>
      </c>
      <c r="V191" s="49" t="n">
        <f aca="false">'Daily KPI Entry'!V192</f>
        <v>0</v>
      </c>
      <c r="W191" s="49" t="str">
        <f aca="false">IF(O191="","",IFERROR(V191/O191*100,0))</f>
        <v/>
      </c>
      <c r="X191" s="49" t="n">
        <f aca="false">'Daily KPI Entry'!X192</f>
        <v>0</v>
      </c>
      <c r="Y191" s="49" t="n">
        <f aca="false">'Daily KPI Entry'!Y192</f>
        <v>0</v>
      </c>
      <c r="Z191" s="49" t="n">
        <f aca="false">'Daily KPI Entry'!Z192</f>
        <v>0</v>
      </c>
      <c r="AA191" s="49" t="n">
        <f aca="false">'Daily KPI Entry'!AA192</f>
        <v>0</v>
      </c>
      <c r="AB191" s="49" t="n">
        <f aca="false">'Daily KPI Entry'!AB192</f>
        <v>0</v>
      </c>
      <c r="AC191" s="49" t="n">
        <f aca="false">'Daily KPI Entry'!AC192</f>
        <v>0</v>
      </c>
      <c r="AD191" s="49" t="n">
        <f aca="false">'Daily KPI Entry'!AD192</f>
        <v>0</v>
      </c>
      <c r="AE191" s="49" t="n">
        <f aca="false">'Daily KPI Entry'!AE192</f>
        <v>0</v>
      </c>
      <c r="AF191" s="47" t="str">
        <f aca="false">IF(O191="","",SUM(X191:AE191))</f>
        <v/>
      </c>
      <c r="AG191" s="49" t="str">
        <f aca="false">IF(O191="","",IFERROR(AF191/O191*1000,0))</f>
        <v/>
      </c>
      <c r="AH191" s="49" t="n">
        <f aca="false">'Daily KPI Entry'!AH192</f>
        <v>0</v>
      </c>
      <c r="AI191" s="49" t="n">
        <f aca="false">'Daily KPI Entry'!AI192</f>
        <v>0</v>
      </c>
      <c r="AJ191" s="49" t="n">
        <f aca="false">'Daily KPI Entry'!AJ192</f>
        <v>0</v>
      </c>
      <c r="AK191" s="47" t="n">
        <f aca="false">'Daily KPI Entry'!AK192</f>
        <v>0</v>
      </c>
      <c r="AL191" s="47" t="n">
        <f aca="false">'Daily KPI Entry'!AL192</f>
        <v>0</v>
      </c>
      <c r="AM191" s="47" t="n">
        <f aca="false">'Daily KPI Entry'!AM192</f>
        <v>0</v>
      </c>
      <c r="AN191" s="49" t="str">
        <f aca="false">IF(P191="","",MIN(120,P191))</f>
        <v/>
      </c>
      <c r="AO191" s="49" t="str">
        <f aca="false">IF(U191="","",MIN(120,U191))</f>
        <v/>
      </c>
      <c r="AP191" s="49" t="str">
        <f aca="false">IF(R191="","",MIN(120,IFERROR(S191/R191*100,0)))</f>
        <v/>
      </c>
      <c r="AQ191" s="49" t="str">
        <f aca="false">IF(W191="","",MIN(120,IF(W191=0,120,100*(INDEX('Standards &amp; Scoring'!$E$5:$E$13,MATCH("Quality / Rejection",'Standards &amp; Scoring'!$A$5:$A$13,0))/W191))))</f>
        <v/>
      </c>
      <c r="AR191" s="49" t="str">
        <f aca="false">IF(AG191="","",MIN(120,IF(AG191=0,120,100*(INDEX('Standards &amp; Scoring'!$E$5:$E$13,MATCH("Fault Control",'Standards &amp; Scoring'!$A$5:$A$13,0))/AG191))))</f>
        <v/>
      </c>
      <c r="AS191" s="49" t="str">
        <f aca="false">IF(O191="","",MIN(120,IF(SUMIFS('Fault &amp; Downtime Entry'!$L$6:$L$1005,'Fault &amp; Downtime Entry'!$E$6:$E$1005,G191,'Fault &amp; Downtime Entry'!$B$6:$B$1005,B191)=0,120,100*(INDEX('Standards &amp; Scoring'!$E$5:$E$13,MATCH("Downtime Control",'Standards &amp; Scoring'!$A$5:$A$13,0))/IFERROR(SUMIFS('Fault &amp; Downtime Entry'!$L$6:$L$1005,'Fault &amp; Downtime Entry'!$E$6:$E$1005,G191,'Fault &amp; Downtime Entry'!$B$6:$B$1005,B191)/O191*1000,999999)))))</f>
        <v/>
      </c>
      <c r="AT191" s="49" t="n">
        <f aca="false">IF(COUNTA(AH191,AJ191)=0,"",MIN(120,IF(AND(AH191&lt;&gt;"",AJ191&lt;&gt;""),AVERAGE(AH191,AJ191),IF(AH191&lt;&gt;"",AH191,AJ191))))</f>
        <v>0</v>
      </c>
      <c r="AU191" s="49" t="str">
        <f aca="false">IF(AI191="","",MIN(120,AI191))</f>
        <v/>
      </c>
      <c r="AV191" s="49" t="str">
        <f aca="false">IF(AJ191="","",MIN(120,AJ191))</f>
        <v/>
      </c>
      <c r="AW191" s="50" t="str">
        <f aca="false">IF(COUNT(AN191:AV191)&lt;9,"",(AN191*'Standards &amp; Scoring'!$D$5+AO191*'Standards &amp; Scoring'!$D$6+AP191*'Standards &amp; Scoring'!$D$7+AQ191*'Standards &amp; Scoring'!$D$8+AR191*'Standards &amp; Scoring'!$D$9+AS191*'Standards &amp; Scoring'!$D$10+AT191*'Standards &amp; Scoring'!$D$11+AU191*'Standards &amp; Scoring'!$D$12+AV191*'Standards &amp; Scoring'!$D$13)/10000)</f>
        <v/>
      </c>
      <c r="AX191" s="47" t="str">
        <f aca="false">IF(AW191="","",IF(AW191&gt;=1.05,"A+",IF(AW191&gt;=1,"A",IF(AW191&gt;=0.95,"B+",IF(AW191&gt;=0.9,"B","C")))))</f>
        <v/>
      </c>
      <c r="AY191" s="47" t="str">
        <f aca="false">IF(AX191="","",IF(AX191="A+",1800,IF(AX191="A",1600,IF(AX191="B+",1400,IF(AX191="B",1200,0)))))</f>
        <v/>
      </c>
      <c r="AZ191" s="49" t="str">
        <f aca="false">IF(OR(L191="",M191="",S191="",M191=0),"",IFERROR(L191*60*S191/(M191*36),0))</f>
        <v/>
      </c>
    </row>
    <row r="192" customFormat="false" ht="15" hidden="false" customHeight="true" outlineLevel="0" collapsed="false">
      <c r="A192" s="47" t="n">
        <f aca="false">'Daily KPI Entry'!A193</f>
        <v>0</v>
      </c>
      <c r="B192" s="48" t="n">
        <f aca="false">'Daily KPI Entry'!B193</f>
        <v>0</v>
      </c>
      <c r="C192" s="47" t="n">
        <f aca="false">'Daily KPI Entry'!C193</f>
        <v>0</v>
      </c>
      <c r="D192" s="47" t="n">
        <f aca="false">'Daily KPI Entry'!D193</f>
        <v>0</v>
      </c>
      <c r="E192" s="47" t="n">
        <f aca="false">'Daily KPI Entry'!E193</f>
        <v>0</v>
      </c>
      <c r="F192" s="47" t="n">
        <f aca="false">'Daily KPI Entry'!F193</f>
        <v>0</v>
      </c>
      <c r="G192" s="47" t="n">
        <f aca="false">'Daily KPI Entry'!G193</f>
        <v>0</v>
      </c>
      <c r="H192" s="47" t="str">
        <f aca="false">'Daily KPI Entry'!H193</f>
        <v/>
      </c>
      <c r="I192" s="47" t="n">
        <f aca="false">'Daily KPI Entry'!I193</f>
        <v>0</v>
      </c>
      <c r="J192" s="47" t="n">
        <f aca="false">'Daily KPI Entry'!J193</f>
        <v>0</v>
      </c>
      <c r="K192" s="47" t="n">
        <f aca="false">'Daily KPI Entry'!K193</f>
        <v>0</v>
      </c>
      <c r="L192" s="47" t="n">
        <f aca="false">'Daily KPI Entry'!L193</f>
        <v>0</v>
      </c>
      <c r="M192" s="47" t="n">
        <f aca="false">'Daily KPI Entry'!M193</f>
        <v>0</v>
      </c>
      <c r="N192" s="49" t="n">
        <f aca="false">'Daily KPI Entry'!N193</f>
        <v>0</v>
      </c>
      <c r="O192" s="49" t="n">
        <f aca="false">'Daily KPI Entry'!O193</f>
        <v>0</v>
      </c>
      <c r="P192" s="49" t="str">
        <f aca="false">IF(OR(N192="",O192=""),"",IFERROR(O192/N192*100,0))</f>
        <v/>
      </c>
      <c r="Q192" s="47" t="n">
        <f aca="false">'Daily KPI Entry'!Q193</f>
        <v>8</v>
      </c>
      <c r="R192" s="47" t="str">
        <f aca="false">IF(J192="","",Q192*J192)</f>
        <v/>
      </c>
      <c r="S192" s="49" t="n">
        <f aca="false">'Daily KPI Entry'!S193</f>
        <v>0</v>
      </c>
      <c r="T192" s="49" t="str">
        <f aca="false">IF(OR(R192="",S192=""),"",IFERROR(S192/R192*100,0))</f>
        <v/>
      </c>
      <c r="U192" s="49" t="str">
        <f aca="false">IF(OR(O192="",L192="",M192="",S192="",M192=0),"",IFERROR(O192/(L192*60*S192/(M192*36))*100,0))</f>
        <v/>
      </c>
      <c r="V192" s="49" t="n">
        <f aca="false">'Daily KPI Entry'!V193</f>
        <v>0</v>
      </c>
      <c r="W192" s="49" t="str">
        <f aca="false">IF(O192="","",IFERROR(V192/O192*100,0))</f>
        <v/>
      </c>
      <c r="X192" s="49" t="n">
        <f aca="false">'Daily KPI Entry'!X193</f>
        <v>0</v>
      </c>
      <c r="Y192" s="49" t="n">
        <f aca="false">'Daily KPI Entry'!Y193</f>
        <v>0</v>
      </c>
      <c r="Z192" s="49" t="n">
        <f aca="false">'Daily KPI Entry'!Z193</f>
        <v>0</v>
      </c>
      <c r="AA192" s="49" t="n">
        <f aca="false">'Daily KPI Entry'!AA193</f>
        <v>0</v>
      </c>
      <c r="AB192" s="49" t="n">
        <f aca="false">'Daily KPI Entry'!AB193</f>
        <v>0</v>
      </c>
      <c r="AC192" s="49" t="n">
        <f aca="false">'Daily KPI Entry'!AC193</f>
        <v>0</v>
      </c>
      <c r="AD192" s="49" t="n">
        <f aca="false">'Daily KPI Entry'!AD193</f>
        <v>0</v>
      </c>
      <c r="AE192" s="49" t="n">
        <f aca="false">'Daily KPI Entry'!AE193</f>
        <v>0</v>
      </c>
      <c r="AF192" s="47" t="str">
        <f aca="false">IF(O192="","",SUM(X192:AE192))</f>
        <v/>
      </c>
      <c r="AG192" s="49" t="str">
        <f aca="false">IF(O192="","",IFERROR(AF192/O192*1000,0))</f>
        <v/>
      </c>
      <c r="AH192" s="49" t="n">
        <f aca="false">'Daily KPI Entry'!AH193</f>
        <v>0</v>
      </c>
      <c r="AI192" s="49" t="n">
        <f aca="false">'Daily KPI Entry'!AI193</f>
        <v>0</v>
      </c>
      <c r="AJ192" s="49" t="n">
        <f aca="false">'Daily KPI Entry'!AJ193</f>
        <v>0</v>
      </c>
      <c r="AK192" s="47" t="n">
        <f aca="false">'Daily KPI Entry'!AK193</f>
        <v>0</v>
      </c>
      <c r="AL192" s="47" t="n">
        <f aca="false">'Daily KPI Entry'!AL193</f>
        <v>0</v>
      </c>
      <c r="AM192" s="47" t="n">
        <f aca="false">'Daily KPI Entry'!AM193</f>
        <v>0</v>
      </c>
      <c r="AN192" s="49" t="str">
        <f aca="false">IF(P192="","",MIN(120,P192))</f>
        <v/>
      </c>
      <c r="AO192" s="49" t="str">
        <f aca="false">IF(U192="","",MIN(120,U192))</f>
        <v/>
      </c>
      <c r="AP192" s="49" t="str">
        <f aca="false">IF(R192="","",MIN(120,IFERROR(S192/R192*100,0)))</f>
        <v/>
      </c>
      <c r="AQ192" s="49" t="str">
        <f aca="false">IF(W192="","",MIN(120,IF(W192=0,120,100*(INDEX('Standards &amp; Scoring'!$E$5:$E$13,MATCH("Quality / Rejection",'Standards &amp; Scoring'!$A$5:$A$13,0))/W192))))</f>
        <v/>
      </c>
      <c r="AR192" s="49" t="str">
        <f aca="false">IF(AG192="","",MIN(120,IF(AG192=0,120,100*(INDEX('Standards &amp; Scoring'!$E$5:$E$13,MATCH("Fault Control",'Standards &amp; Scoring'!$A$5:$A$13,0))/AG192))))</f>
        <v/>
      </c>
      <c r="AS192" s="49" t="str">
        <f aca="false">IF(O192="","",MIN(120,IF(SUMIFS('Fault &amp; Downtime Entry'!$L$6:$L$1005,'Fault &amp; Downtime Entry'!$E$6:$E$1005,G192,'Fault &amp; Downtime Entry'!$B$6:$B$1005,B192)=0,120,100*(INDEX('Standards &amp; Scoring'!$E$5:$E$13,MATCH("Downtime Control",'Standards &amp; Scoring'!$A$5:$A$13,0))/IFERROR(SUMIFS('Fault &amp; Downtime Entry'!$L$6:$L$1005,'Fault &amp; Downtime Entry'!$E$6:$E$1005,G192,'Fault &amp; Downtime Entry'!$B$6:$B$1005,B192)/O192*1000,999999)))))</f>
        <v/>
      </c>
      <c r="AT192" s="49" t="n">
        <f aca="false">IF(COUNTA(AH192,AJ192)=0,"",MIN(120,IF(AND(AH192&lt;&gt;"",AJ192&lt;&gt;""),AVERAGE(AH192,AJ192),IF(AH192&lt;&gt;"",AH192,AJ192))))</f>
        <v>0</v>
      </c>
      <c r="AU192" s="49" t="str">
        <f aca="false">IF(AI192="","",MIN(120,AI192))</f>
        <v/>
      </c>
      <c r="AV192" s="49" t="str">
        <f aca="false">IF(AJ192="","",MIN(120,AJ192))</f>
        <v/>
      </c>
      <c r="AW192" s="50" t="str">
        <f aca="false">IF(COUNT(AN192:AV192)&lt;9,"",(AN192*'Standards &amp; Scoring'!$D$5+AO192*'Standards &amp; Scoring'!$D$6+AP192*'Standards &amp; Scoring'!$D$7+AQ192*'Standards &amp; Scoring'!$D$8+AR192*'Standards &amp; Scoring'!$D$9+AS192*'Standards &amp; Scoring'!$D$10+AT192*'Standards &amp; Scoring'!$D$11+AU192*'Standards &amp; Scoring'!$D$12+AV192*'Standards &amp; Scoring'!$D$13)/10000)</f>
        <v/>
      </c>
      <c r="AX192" s="47" t="str">
        <f aca="false">IF(AW192="","",IF(AW192&gt;=1.05,"A+",IF(AW192&gt;=1,"A",IF(AW192&gt;=0.95,"B+",IF(AW192&gt;=0.9,"B","C")))))</f>
        <v/>
      </c>
      <c r="AY192" s="47" t="str">
        <f aca="false">IF(AX192="","",IF(AX192="A+",1800,IF(AX192="A",1600,IF(AX192="B+",1400,IF(AX192="B",1200,0)))))</f>
        <v/>
      </c>
      <c r="AZ192" s="49" t="str">
        <f aca="false">IF(OR(L192="",M192="",S192="",M192=0),"",IFERROR(L192*60*S192/(M192*36),0))</f>
        <v/>
      </c>
    </row>
    <row r="193" customFormat="false" ht="15" hidden="false" customHeight="true" outlineLevel="0" collapsed="false">
      <c r="A193" s="47" t="n">
        <f aca="false">'Daily KPI Entry'!A194</f>
        <v>0</v>
      </c>
      <c r="B193" s="48" t="n">
        <f aca="false">'Daily KPI Entry'!B194</f>
        <v>0</v>
      </c>
      <c r="C193" s="47" t="n">
        <f aca="false">'Daily KPI Entry'!C194</f>
        <v>0</v>
      </c>
      <c r="D193" s="47" t="n">
        <f aca="false">'Daily KPI Entry'!D194</f>
        <v>0</v>
      </c>
      <c r="E193" s="47" t="n">
        <f aca="false">'Daily KPI Entry'!E194</f>
        <v>0</v>
      </c>
      <c r="F193" s="47" t="n">
        <f aca="false">'Daily KPI Entry'!F194</f>
        <v>0</v>
      </c>
      <c r="G193" s="47" t="n">
        <f aca="false">'Daily KPI Entry'!G194</f>
        <v>0</v>
      </c>
      <c r="H193" s="47" t="str">
        <f aca="false">'Daily KPI Entry'!H194</f>
        <v/>
      </c>
      <c r="I193" s="47" t="n">
        <f aca="false">'Daily KPI Entry'!I194</f>
        <v>0</v>
      </c>
      <c r="J193" s="47" t="n">
        <f aca="false">'Daily KPI Entry'!J194</f>
        <v>0</v>
      </c>
      <c r="K193" s="47" t="n">
        <f aca="false">'Daily KPI Entry'!K194</f>
        <v>0</v>
      </c>
      <c r="L193" s="47" t="n">
        <f aca="false">'Daily KPI Entry'!L194</f>
        <v>0</v>
      </c>
      <c r="M193" s="47" t="n">
        <f aca="false">'Daily KPI Entry'!M194</f>
        <v>0</v>
      </c>
      <c r="N193" s="49" t="n">
        <f aca="false">'Daily KPI Entry'!N194</f>
        <v>0</v>
      </c>
      <c r="O193" s="49" t="n">
        <f aca="false">'Daily KPI Entry'!O194</f>
        <v>0</v>
      </c>
      <c r="P193" s="49" t="str">
        <f aca="false">IF(OR(N193="",O193=""),"",IFERROR(O193/N193*100,0))</f>
        <v/>
      </c>
      <c r="Q193" s="47" t="n">
        <f aca="false">'Daily KPI Entry'!Q194</f>
        <v>8</v>
      </c>
      <c r="R193" s="47" t="str">
        <f aca="false">IF(J193="","",Q193*J193)</f>
        <v/>
      </c>
      <c r="S193" s="49" t="n">
        <f aca="false">'Daily KPI Entry'!S194</f>
        <v>0</v>
      </c>
      <c r="T193" s="49" t="str">
        <f aca="false">IF(OR(R193="",S193=""),"",IFERROR(S193/R193*100,0))</f>
        <v/>
      </c>
      <c r="U193" s="49" t="str">
        <f aca="false">IF(OR(O193="",L193="",M193="",S193="",M193=0),"",IFERROR(O193/(L193*60*S193/(M193*36))*100,0))</f>
        <v/>
      </c>
      <c r="V193" s="49" t="n">
        <f aca="false">'Daily KPI Entry'!V194</f>
        <v>0</v>
      </c>
      <c r="W193" s="49" t="str">
        <f aca="false">IF(O193="","",IFERROR(V193/O193*100,0))</f>
        <v/>
      </c>
      <c r="X193" s="49" t="n">
        <f aca="false">'Daily KPI Entry'!X194</f>
        <v>0</v>
      </c>
      <c r="Y193" s="49" t="n">
        <f aca="false">'Daily KPI Entry'!Y194</f>
        <v>0</v>
      </c>
      <c r="Z193" s="49" t="n">
        <f aca="false">'Daily KPI Entry'!Z194</f>
        <v>0</v>
      </c>
      <c r="AA193" s="49" t="n">
        <f aca="false">'Daily KPI Entry'!AA194</f>
        <v>0</v>
      </c>
      <c r="AB193" s="49" t="n">
        <f aca="false">'Daily KPI Entry'!AB194</f>
        <v>0</v>
      </c>
      <c r="AC193" s="49" t="n">
        <f aca="false">'Daily KPI Entry'!AC194</f>
        <v>0</v>
      </c>
      <c r="AD193" s="49" t="n">
        <f aca="false">'Daily KPI Entry'!AD194</f>
        <v>0</v>
      </c>
      <c r="AE193" s="49" t="n">
        <f aca="false">'Daily KPI Entry'!AE194</f>
        <v>0</v>
      </c>
      <c r="AF193" s="47" t="str">
        <f aca="false">IF(O193="","",SUM(X193:AE193))</f>
        <v/>
      </c>
      <c r="AG193" s="49" t="str">
        <f aca="false">IF(O193="","",IFERROR(AF193/O193*1000,0))</f>
        <v/>
      </c>
      <c r="AH193" s="49" t="n">
        <f aca="false">'Daily KPI Entry'!AH194</f>
        <v>0</v>
      </c>
      <c r="AI193" s="49" t="n">
        <f aca="false">'Daily KPI Entry'!AI194</f>
        <v>0</v>
      </c>
      <c r="AJ193" s="49" t="n">
        <f aca="false">'Daily KPI Entry'!AJ194</f>
        <v>0</v>
      </c>
      <c r="AK193" s="47" t="n">
        <f aca="false">'Daily KPI Entry'!AK194</f>
        <v>0</v>
      </c>
      <c r="AL193" s="47" t="n">
        <f aca="false">'Daily KPI Entry'!AL194</f>
        <v>0</v>
      </c>
      <c r="AM193" s="47" t="n">
        <f aca="false">'Daily KPI Entry'!AM194</f>
        <v>0</v>
      </c>
      <c r="AN193" s="49" t="str">
        <f aca="false">IF(P193="","",MIN(120,P193))</f>
        <v/>
      </c>
      <c r="AO193" s="49" t="str">
        <f aca="false">IF(U193="","",MIN(120,U193))</f>
        <v/>
      </c>
      <c r="AP193" s="49" t="str">
        <f aca="false">IF(R193="","",MIN(120,IFERROR(S193/R193*100,0)))</f>
        <v/>
      </c>
      <c r="AQ193" s="49" t="str">
        <f aca="false">IF(W193="","",MIN(120,IF(W193=0,120,100*(INDEX('Standards &amp; Scoring'!$E$5:$E$13,MATCH("Quality / Rejection",'Standards &amp; Scoring'!$A$5:$A$13,0))/W193))))</f>
        <v/>
      </c>
      <c r="AR193" s="49" t="str">
        <f aca="false">IF(AG193="","",MIN(120,IF(AG193=0,120,100*(INDEX('Standards &amp; Scoring'!$E$5:$E$13,MATCH("Fault Control",'Standards &amp; Scoring'!$A$5:$A$13,0))/AG193))))</f>
        <v/>
      </c>
      <c r="AS193" s="49" t="str">
        <f aca="false">IF(O193="","",MIN(120,IF(SUMIFS('Fault &amp; Downtime Entry'!$L$6:$L$1005,'Fault &amp; Downtime Entry'!$E$6:$E$1005,G193,'Fault &amp; Downtime Entry'!$B$6:$B$1005,B193)=0,120,100*(INDEX('Standards &amp; Scoring'!$E$5:$E$13,MATCH("Downtime Control",'Standards &amp; Scoring'!$A$5:$A$13,0))/IFERROR(SUMIFS('Fault &amp; Downtime Entry'!$L$6:$L$1005,'Fault &amp; Downtime Entry'!$E$6:$E$1005,G193,'Fault &amp; Downtime Entry'!$B$6:$B$1005,B193)/O193*1000,999999)))))</f>
        <v/>
      </c>
      <c r="AT193" s="49" t="n">
        <f aca="false">IF(COUNTA(AH193,AJ193)=0,"",MIN(120,IF(AND(AH193&lt;&gt;"",AJ193&lt;&gt;""),AVERAGE(AH193,AJ193),IF(AH193&lt;&gt;"",AH193,AJ193))))</f>
        <v>0</v>
      </c>
      <c r="AU193" s="49" t="str">
        <f aca="false">IF(AI193="","",MIN(120,AI193))</f>
        <v/>
      </c>
      <c r="AV193" s="49" t="str">
        <f aca="false">IF(AJ193="","",MIN(120,AJ193))</f>
        <v/>
      </c>
      <c r="AW193" s="50" t="str">
        <f aca="false">IF(COUNT(AN193:AV193)&lt;9,"",(AN193*'Standards &amp; Scoring'!$D$5+AO193*'Standards &amp; Scoring'!$D$6+AP193*'Standards &amp; Scoring'!$D$7+AQ193*'Standards &amp; Scoring'!$D$8+AR193*'Standards &amp; Scoring'!$D$9+AS193*'Standards &amp; Scoring'!$D$10+AT193*'Standards &amp; Scoring'!$D$11+AU193*'Standards &amp; Scoring'!$D$12+AV193*'Standards &amp; Scoring'!$D$13)/10000)</f>
        <v/>
      </c>
      <c r="AX193" s="47" t="str">
        <f aca="false">IF(AW193="","",IF(AW193&gt;=1.05,"A+",IF(AW193&gt;=1,"A",IF(AW193&gt;=0.95,"B+",IF(AW193&gt;=0.9,"B","C")))))</f>
        <v/>
      </c>
      <c r="AY193" s="47" t="str">
        <f aca="false">IF(AX193="","",IF(AX193="A+",1800,IF(AX193="A",1600,IF(AX193="B+",1400,IF(AX193="B",1200,0)))))</f>
        <v/>
      </c>
      <c r="AZ193" s="49" t="str">
        <f aca="false">IF(OR(L193="",M193="",S193="",M193=0),"",IFERROR(L193*60*S193/(M193*36),0))</f>
        <v/>
      </c>
    </row>
    <row r="194" customFormat="false" ht="15" hidden="false" customHeight="true" outlineLevel="0" collapsed="false">
      <c r="A194" s="47" t="n">
        <f aca="false">'Daily KPI Entry'!A195</f>
        <v>0</v>
      </c>
      <c r="B194" s="48" t="n">
        <f aca="false">'Daily KPI Entry'!B195</f>
        <v>0</v>
      </c>
      <c r="C194" s="47" t="n">
        <f aca="false">'Daily KPI Entry'!C195</f>
        <v>0</v>
      </c>
      <c r="D194" s="47" t="n">
        <f aca="false">'Daily KPI Entry'!D195</f>
        <v>0</v>
      </c>
      <c r="E194" s="47" t="n">
        <f aca="false">'Daily KPI Entry'!E195</f>
        <v>0</v>
      </c>
      <c r="F194" s="47" t="n">
        <f aca="false">'Daily KPI Entry'!F195</f>
        <v>0</v>
      </c>
      <c r="G194" s="47" t="n">
        <f aca="false">'Daily KPI Entry'!G195</f>
        <v>0</v>
      </c>
      <c r="H194" s="47" t="str">
        <f aca="false">'Daily KPI Entry'!H195</f>
        <v/>
      </c>
      <c r="I194" s="47" t="n">
        <f aca="false">'Daily KPI Entry'!I195</f>
        <v>0</v>
      </c>
      <c r="J194" s="47" t="n">
        <f aca="false">'Daily KPI Entry'!J195</f>
        <v>0</v>
      </c>
      <c r="K194" s="47" t="n">
        <f aca="false">'Daily KPI Entry'!K195</f>
        <v>0</v>
      </c>
      <c r="L194" s="47" t="n">
        <f aca="false">'Daily KPI Entry'!L195</f>
        <v>0</v>
      </c>
      <c r="M194" s="47" t="n">
        <f aca="false">'Daily KPI Entry'!M195</f>
        <v>0</v>
      </c>
      <c r="N194" s="49" t="n">
        <f aca="false">'Daily KPI Entry'!N195</f>
        <v>0</v>
      </c>
      <c r="O194" s="49" t="n">
        <f aca="false">'Daily KPI Entry'!O195</f>
        <v>0</v>
      </c>
      <c r="P194" s="49" t="str">
        <f aca="false">IF(OR(N194="",O194=""),"",IFERROR(O194/N194*100,0))</f>
        <v/>
      </c>
      <c r="Q194" s="47" t="n">
        <f aca="false">'Daily KPI Entry'!Q195</f>
        <v>8</v>
      </c>
      <c r="R194" s="47" t="str">
        <f aca="false">IF(J194="","",Q194*J194)</f>
        <v/>
      </c>
      <c r="S194" s="49" t="n">
        <f aca="false">'Daily KPI Entry'!S195</f>
        <v>0</v>
      </c>
      <c r="T194" s="49" t="str">
        <f aca="false">IF(OR(R194="",S194=""),"",IFERROR(S194/R194*100,0))</f>
        <v/>
      </c>
      <c r="U194" s="49" t="str">
        <f aca="false">IF(OR(O194="",L194="",M194="",S194="",M194=0),"",IFERROR(O194/(L194*60*S194/(M194*36))*100,0))</f>
        <v/>
      </c>
      <c r="V194" s="49" t="n">
        <f aca="false">'Daily KPI Entry'!V195</f>
        <v>0</v>
      </c>
      <c r="W194" s="49" t="str">
        <f aca="false">IF(O194="","",IFERROR(V194/O194*100,0))</f>
        <v/>
      </c>
      <c r="X194" s="49" t="n">
        <f aca="false">'Daily KPI Entry'!X195</f>
        <v>0</v>
      </c>
      <c r="Y194" s="49" t="n">
        <f aca="false">'Daily KPI Entry'!Y195</f>
        <v>0</v>
      </c>
      <c r="Z194" s="49" t="n">
        <f aca="false">'Daily KPI Entry'!Z195</f>
        <v>0</v>
      </c>
      <c r="AA194" s="49" t="n">
        <f aca="false">'Daily KPI Entry'!AA195</f>
        <v>0</v>
      </c>
      <c r="AB194" s="49" t="n">
        <f aca="false">'Daily KPI Entry'!AB195</f>
        <v>0</v>
      </c>
      <c r="AC194" s="49" t="n">
        <f aca="false">'Daily KPI Entry'!AC195</f>
        <v>0</v>
      </c>
      <c r="AD194" s="49" t="n">
        <f aca="false">'Daily KPI Entry'!AD195</f>
        <v>0</v>
      </c>
      <c r="AE194" s="49" t="n">
        <f aca="false">'Daily KPI Entry'!AE195</f>
        <v>0</v>
      </c>
      <c r="AF194" s="47" t="str">
        <f aca="false">IF(O194="","",SUM(X194:AE194))</f>
        <v/>
      </c>
      <c r="AG194" s="49" t="str">
        <f aca="false">IF(O194="","",IFERROR(AF194/O194*1000,0))</f>
        <v/>
      </c>
      <c r="AH194" s="49" t="n">
        <f aca="false">'Daily KPI Entry'!AH195</f>
        <v>0</v>
      </c>
      <c r="AI194" s="49" t="n">
        <f aca="false">'Daily KPI Entry'!AI195</f>
        <v>0</v>
      </c>
      <c r="AJ194" s="49" t="n">
        <f aca="false">'Daily KPI Entry'!AJ195</f>
        <v>0</v>
      </c>
      <c r="AK194" s="47" t="n">
        <f aca="false">'Daily KPI Entry'!AK195</f>
        <v>0</v>
      </c>
      <c r="AL194" s="47" t="n">
        <f aca="false">'Daily KPI Entry'!AL195</f>
        <v>0</v>
      </c>
      <c r="AM194" s="47" t="n">
        <f aca="false">'Daily KPI Entry'!AM195</f>
        <v>0</v>
      </c>
      <c r="AN194" s="49" t="str">
        <f aca="false">IF(P194="","",MIN(120,P194))</f>
        <v/>
      </c>
      <c r="AO194" s="49" t="str">
        <f aca="false">IF(U194="","",MIN(120,U194))</f>
        <v/>
      </c>
      <c r="AP194" s="49" t="str">
        <f aca="false">IF(R194="","",MIN(120,IFERROR(S194/R194*100,0)))</f>
        <v/>
      </c>
      <c r="AQ194" s="49" t="str">
        <f aca="false">IF(W194="","",MIN(120,IF(W194=0,120,100*(INDEX('Standards &amp; Scoring'!$E$5:$E$13,MATCH("Quality / Rejection",'Standards &amp; Scoring'!$A$5:$A$13,0))/W194))))</f>
        <v/>
      </c>
      <c r="AR194" s="49" t="str">
        <f aca="false">IF(AG194="","",MIN(120,IF(AG194=0,120,100*(INDEX('Standards &amp; Scoring'!$E$5:$E$13,MATCH("Fault Control",'Standards &amp; Scoring'!$A$5:$A$13,0))/AG194))))</f>
        <v/>
      </c>
      <c r="AS194" s="49" t="str">
        <f aca="false">IF(O194="","",MIN(120,IF(SUMIFS('Fault &amp; Downtime Entry'!$L$6:$L$1005,'Fault &amp; Downtime Entry'!$E$6:$E$1005,G194,'Fault &amp; Downtime Entry'!$B$6:$B$1005,B194)=0,120,100*(INDEX('Standards &amp; Scoring'!$E$5:$E$13,MATCH("Downtime Control",'Standards &amp; Scoring'!$A$5:$A$13,0))/IFERROR(SUMIFS('Fault &amp; Downtime Entry'!$L$6:$L$1005,'Fault &amp; Downtime Entry'!$E$6:$E$1005,G194,'Fault &amp; Downtime Entry'!$B$6:$B$1005,B194)/O194*1000,999999)))))</f>
        <v/>
      </c>
      <c r="AT194" s="49" t="n">
        <f aca="false">IF(COUNTA(AH194,AJ194)=0,"",MIN(120,IF(AND(AH194&lt;&gt;"",AJ194&lt;&gt;""),AVERAGE(AH194,AJ194),IF(AH194&lt;&gt;"",AH194,AJ194))))</f>
        <v>0</v>
      </c>
      <c r="AU194" s="49" t="str">
        <f aca="false">IF(AI194="","",MIN(120,AI194))</f>
        <v/>
      </c>
      <c r="AV194" s="49" t="str">
        <f aca="false">IF(AJ194="","",MIN(120,AJ194))</f>
        <v/>
      </c>
      <c r="AW194" s="50" t="str">
        <f aca="false">IF(COUNT(AN194:AV194)&lt;9,"",(AN194*'Standards &amp; Scoring'!$D$5+AO194*'Standards &amp; Scoring'!$D$6+AP194*'Standards &amp; Scoring'!$D$7+AQ194*'Standards &amp; Scoring'!$D$8+AR194*'Standards &amp; Scoring'!$D$9+AS194*'Standards &amp; Scoring'!$D$10+AT194*'Standards &amp; Scoring'!$D$11+AU194*'Standards &amp; Scoring'!$D$12+AV194*'Standards &amp; Scoring'!$D$13)/10000)</f>
        <v/>
      </c>
      <c r="AX194" s="47" t="str">
        <f aca="false">IF(AW194="","",IF(AW194&gt;=1.05,"A+",IF(AW194&gt;=1,"A",IF(AW194&gt;=0.95,"B+",IF(AW194&gt;=0.9,"B","C")))))</f>
        <v/>
      </c>
      <c r="AY194" s="47" t="str">
        <f aca="false">IF(AX194="","",IF(AX194="A+",1800,IF(AX194="A",1600,IF(AX194="B+",1400,IF(AX194="B",1200,0)))))</f>
        <v/>
      </c>
      <c r="AZ194" s="49" t="str">
        <f aca="false">IF(OR(L194="",M194="",S194="",M194=0),"",IFERROR(L194*60*S194/(M194*36),0))</f>
        <v/>
      </c>
    </row>
    <row r="195" customFormat="false" ht="15" hidden="false" customHeight="true" outlineLevel="0" collapsed="false">
      <c r="A195" s="47" t="n">
        <f aca="false">'Daily KPI Entry'!A196</f>
        <v>0</v>
      </c>
      <c r="B195" s="48" t="n">
        <f aca="false">'Daily KPI Entry'!B196</f>
        <v>0</v>
      </c>
      <c r="C195" s="47" t="n">
        <f aca="false">'Daily KPI Entry'!C196</f>
        <v>0</v>
      </c>
      <c r="D195" s="47" t="n">
        <f aca="false">'Daily KPI Entry'!D196</f>
        <v>0</v>
      </c>
      <c r="E195" s="47" t="n">
        <f aca="false">'Daily KPI Entry'!E196</f>
        <v>0</v>
      </c>
      <c r="F195" s="47" t="n">
        <f aca="false">'Daily KPI Entry'!F196</f>
        <v>0</v>
      </c>
      <c r="G195" s="47" t="n">
        <f aca="false">'Daily KPI Entry'!G196</f>
        <v>0</v>
      </c>
      <c r="H195" s="47" t="str">
        <f aca="false">'Daily KPI Entry'!H196</f>
        <v/>
      </c>
      <c r="I195" s="47" t="n">
        <f aca="false">'Daily KPI Entry'!I196</f>
        <v>0</v>
      </c>
      <c r="J195" s="47" t="n">
        <f aca="false">'Daily KPI Entry'!J196</f>
        <v>0</v>
      </c>
      <c r="K195" s="47" t="n">
        <f aca="false">'Daily KPI Entry'!K196</f>
        <v>0</v>
      </c>
      <c r="L195" s="47" t="n">
        <f aca="false">'Daily KPI Entry'!L196</f>
        <v>0</v>
      </c>
      <c r="M195" s="47" t="n">
        <f aca="false">'Daily KPI Entry'!M196</f>
        <v>0</v>
      </c>
      <c r="N195" s="49" t="n">
        <f aca="false">'Daily KPI Entry'!N196</f>
        <v>0</v>
      </c>
      <c r="O195" s="49" t="n">
        <f aca="false">'Daily KPI Entry'!O196</f>
        <v>0</v>
      </c>
      <c r="P195" s="49" t="str">
        <f aca="false">IF(OR(N195="",O195=""),"",IFERROR(O195/N195*100,0))</f>
        <v/>
      </c>
      <c r="Q195" s="47" t="n">
        <f aca="false">'Daily KPI Entry'!Q196</f>
        <v>8</v>
      </c>
      <c r="R195" s="47" t="str">
        <f aca="false">IF(J195="","",Q195*J195)</f>
        <v/>
      </c>
      <c r="S195" s="49" t="n">
        <f aca="false">'Daily KPI Entry'!S196</f>
        <v>0</v>
      </c>
      <c r="T195" s="49" t="str">
        <f aca="false">IF(OR(R195="",S195=""),"",IFERROR(S195/R195*100,0))</f>
        <v/>
      </c>
      <c r="U195" s="49" t="str">
        <f aca="false">IF(OR(O195="",L195="",M195="",S195="",M195=0),"",IFERROR(O195/(L195*60*S195/(M195*36))*100,0))</f>
        <v/>
      </c>
      <c r="V195" s="49" t="n">
        <f aca="false">'Daily KPI Entry'!V196</f>
        <v>0</v>
      </c>
      <c r="W195" s="49" t="str">
        <f aca="false">IF(O195="","",IFERROR(V195/O195*100,0))</f>
        <v/>
      </c>
      <c r="X195" s="49" t="n">
        <f aca="false">'Daily KPI Entry'!X196</f>
        <v>0</v>
      </c>
      <c r="Y195" s="49" t="n">
        <f aca="false">'Daily KPI Entry'!Y196</f>
        <v>0</v>
      </c>
      <c r="Z195" s="49" t="n">
        <f aca="false">'Daily KPI Entry'!Z196</f>
        <v>0</v>
      </c>
      <c r="AA195" s="49" t="n">
        <f aca="false">'Daily KPI Entry'!AA196</f>
        <v>0</v>
      </c>
      <c r="AB195" s="49" t="n">
        <f aca="false">'Daily KPI Entry'!AB196</f>
        <v>0</v>
      </c>
      <c r="AC195" s="49" t="n">
        <f aca="false">'Daily KPI Entry'!AC196</f>
        <v>0</v>
      </c>
      <c r="AD195" s="49" t="n">
        <f aca="false">'Daily KPI Entry'!AD196</f>
        <v>0</v>
      </c>
      <c r="AE195" s="49" t="n">
        <f aca="false">'Daily KPI Entry'!AE196</f>
        <v>0</v>
      </c>
      <c r="AF195" s="47" t="str">
        <f aca="false">IF(O195="","",SUM(X195:AE195))</f>
        <v/>
      </c>
      <c r="AG195" s="49" t="str">
        <f aca="false">IF(O195="","",IFERROR(AF195/O195*1000,0))</f>
        <v/>
      </c>
      <c r="AH195" s="49" t="n">
        <f aca="false">'Daily KPI Entry'!AH196</f>
        <v>0</v>
      </c>
      <c r="AI195" s="49" t="n">
        <f aca="false">'Daily KPI Entry'!AI196</f>
        <v>0</v>
      </c>
      <c r="AJ195" s="49" t="n">
        <f aca="false">'Daily KPI Entry'!AJ196</f>
        <v>0</v>
      </c>
      <c r="AK195" s="47" t="n">
        <f aca="false">'Daily KPI Entry'!AK196</f>
        <v>0</v>
      </c>
      <c r="AL195" s="47" t="n">
        <f aca="false">'Daily KPI Entry'!AL196</f>
        <v>0</v>
      </c>
      <c r="AM195" s="47" t="n">
        <f aca="false">'Daily KPI Entry'!AM196</f>
        <v>0</v>
      </c>
      <c r="AN195" s="49" t="str">
        <f aca="false">IF(P195="","",MIN(120,P195))</f>
        <v/>
      </c>
      <c r="AO195" s="49" t="str">
        <f aca="false">IF(U195="","",MIN(120,U195))</f>
        <v/>
      </c>
      <c r="AP195" s="49" t="str">
        <f aca="false">IF(R195="","",MIN(120,IFERROR(S195/R195*100,0)))</f>
        <v/>
      </c>
      <c r="AQ195" s="49" t="str">
        <f aca="false">IF(W195="","",MIN(120,IF(W195=0,120,100*(INDEX('Standards &amp; Scoring'!$E$5:$E$13,MATCH("Quality / Rejection",'Standards &amp; Scoring'!$A$5:$A$13,0))/W195))))</f>
        <v/>
      </c>
      <c r="AR195" s="49" t="str">
        <f aca="false">IF(AG195="","",MIN(120,IF(AG195=0,120,100*(INDEX('Standards &amp; Scoring'!$E$5:$E$13,MATCH("Fault Control",'Standards &amp; Scoring'!$A$5:$A$13,0))/AG195))))</f>
        <v/>
      </c>
      <c r="AS195" s="49" t="str">
        <f aca="false">IF(O195="","",MIN(120,IF(SUMIFS('Fault &amp; Downtime Entry'!$L$6:$L$1005,'Fault &amp; Downtime Entry'!$E$6:$E$1005,G195,'Fault &amp; Downtime Entry'!$B$6:$B$1005,B195)=0,120,100*(INDEX('Standards &amp; Scoring'!$E$5:$E$13,MATCH("Downtime Control",'Standards &amp; Scoring'!$A$5:$A$13,0))/IFERROR(SUMIFS('Fault &amp; Downtime Entry'!$L$6:$L$1005,'Fault &amp; Downtime Entry'!$E$6:$E$1005,G195,'Fault &amp; Downtime Entry'!$B$6:$B$1005,B195)/O195*1000,999999)))))</f>
        <v/>
      </c>
      <c r="AT195" s="49" t="n">
        <f aca="false">IF(COUNTA(AH195,AJ195)=0,"",MIN(120,IF(AND(AH195&lt;&gt;"",AJ195&lt;&gt;""),AVERAGE(AH195,AJ195),IF(AH195&lt;&gt;"",AH195,AJ195))))</f>
        <v>0</v>
      </c>
      <c r="AU195" s="49" t="str">
        <f aca="false">IF(AI195="","",MIN(120,AI195))</f>
        <v/>
      </c>
      <c r="AV195" s="49" t="str">
        <f aca="false">IF(AJ195="","",MIN(120,AJ195))</f>
        <v/>
      </c>
      <c r="AW195" s="50" t="str">
        <f aca="false">IF(COUNT(AN195:AV195)&lt;9,"",(AN195*'Standards &amp; Scoring'!$D$5+AO195*'Standards &amp; Scoring'!$D$6+AP195*'Standards &amp; Scoring'!$D$7+AQ195*'Standards &amp; Scoring'!$D$8+AR195*'Standards &amp; Scoring'!$D$9+AS195*'Standards &amp; Scoring'!$D$10+AT195*'Standards &amp; Scoring'!$D$11+AU195*'Standards &amp; Scoring'!$D$12+AV195*'Standards &amp; Scoring'!$D$13)/10000)</f>
        <v/>
      </c>
      <c r="AX195" s="47" t="str">
        <f aca="false">IF(AW195="","",IF(AW195&gt;=1.05,"A+",IF(AW195&gt;=1,"A",IF(AW195&gt;=0.95,"B+",IF(AW195&gt;=0.9,"B","C")))))</f>
        <v/>
      </c>
      <c r="AY195" s="47" t="str">
        <f aca="false">IF(AX195="","",IF(AX195="A+",1800,IF(AX195="A",1600,IF(AX195="B+",1400,IF(AX195="B",1200,0)))))</f>
        <v/>
      </c>
      <c r="AZ195" s="49" t="str">
        <f aca="false">IF(OR(L195="",M195="",S195="",M195=0),"",IFERROR(L195*60*S195/(M195*36),0))</f>
        <v/>
      </c>
    </row>
    <row r="196" customFormat="false" ht="15" hidden="false" customHeight="true" outlineLevel="0" collapsed="false">
      <c r="A196" s="47" t="n">
        <f aca="false">'Daily KPI Entry'!A197</f>
        <v>0</v>
      </c>
      <c r="B196" s="48" t="n">
        <f aca="false">'Daily KPI Entry'!B197</f>
        <v>0</v>
      </c>
      <c r="C196" s="47" t="n">
        <f aca="false">'Daily KPI Entry'!C197</f>
        <v>0</v>
      </c>
      <c r="D196" s="47" t="n">
        <f aca="false">'Daily KPI Entry'!D197</f>
        <v>0</v>
      </c>
      <c r="E196" s="47" t="n">
        <f aca="false">'Daily KPI Entry'!E197</f>
        <v>0</v>
      </c>
      <c r="F196" s="47" t="n">
        <f aca="false">'Daily KPI Entry'!F197</f>
        <v>0</v>
      </c>
      <c r="G196" s="47" t="n">
        <f aca="false">'Daily KPI Entry'!G197</f>
        <v>0</v>
      </c>
      <c r="H196" s="47" t="str">
        <f aca="false">'Daily KPI Entry'!H197</f>
        <v/>
      </c>
      <c r="I196" s="47" t="n">
        <f aca="false">'Daily KPI Entry'!I197</f>
        <v>0</v>
      </c>
      <c r="J196" s="47" t="n">
        <f aca="false">'Daily KPI Entry'!J197</f>
        <v>0</v>
      </c>
      <c r="K196" s="47" t="n">
        <f aca="false">'Daily KPI Entry'!K197</f>
        <v>0</v>
      </c>
      <c r="L196" s="47" t="n">
        <f aca="false">'Daily KPI Entry'!L197</f>
        <v>0</v>
      </c>
      <c r="M196" s="47" t="n">
        <f aca="false">'Daily KPI Entry'!M197</f>
        <v>0</v>
      </c>
      <c r="N196" s="49" t="n">
        <f aca="false">'Daily KPI Entry'!N197</f>
        <v>0</v>
      </c>
      <c r="O196" s="49" t="n">
        <f aca="false">'Daily KPI Entry'!O197</f>
        <v>0</v>
      </c>
      <c r="P196" s="49" t="str">
        <f aca="false">IF(OR(N196="",O196=""),"",IFERROR(O196/N196*100,0))</f>
        <v/>
      </c>
      <c r="Q196" s="47" t="n">
        <f aca="false">'Daily KPI Entry'!Q197</f>
        <v>8</v>
      </c>
      <c r="R196" s="47" t="str">
        <f aca="false">IF(J196="","",Q196*J196)</f>
        <v/>
      </c>
      <c r="S196" s="49" t="n">
        <f aca="false">'Daily KPI Entry'!S197</f>
        <v>0</v>
      </c>
      <c r="T196" s="49" t="str">
        <f aca="false">IF(OR(R196="",S196=""),"",IFERROR(S196/R196*100,0))</f>
        <v/>
      </c>
      <c r="U196" s="49" t="str">
        <f aca="false">IF(OR(O196="",L196="",M196="",S196="",M196=0),"",IFERROR(O196/(L196*60*S196/(M196*36))*100,0))</f>
        <v/>
      </c>
      <c r="V196" s="49" t="n">
        <f aca="false">'Daily KPI Entry'!V197</f>
        <v>0</v>
      </c>
      <c r="W196" s="49" t="str">
        <f aca="false">IF(O196="","",IFERROR(V196/O196*100,0))</f>
        <v/>
      </c>
      <c r="X196" s="49" t="n">
        <f aca="false">'Daily KPI Entry'!X197</f>
        <v>0</v>
      </c>
      <c r="Y196" s="49" t="n">
        <f aca="false">'Daily KPI Entry'!Y197</f>
        <v>0</v>
      </c>
      <c r="Z196" s="49" t="n">
        <f aca="false">'Daily KPI Entry'!Z197</f>
        <v>0</v>
      </c>
      <c r="AA196" s="49" t="n">
        <f aca="false">'Daily KPI Entry'!AA197</f>
        <v>0</v>
      </c>
      <c r="AB196" s="49" t="n">
        <f aca="false">'Daily KPI Entry'!AB197</f>
        <v>0</v>
      </c>
      <c r="AC196" s="49" t="n">
        <f aca="false">'Daily KPI Entry'!AC197</f>
        <v>0</v>
      </c>
      <c r="AD196" s="49" t="n">
        <f aca="false">'Daily KPI Entry'!AD197</f>
        <v>0</v>
      </c>
      <c r="AE196" s="49" t="n">
        <f aca="false">'Daily KPI Entry'!AE197</f>
        <v>0</v>
      </c>
      <c r="AF196" s="47" t="str">
        <f aca="false">IF(O196="","",SUM(X196:AE196))</f>
        <v/>
      </c>
      <c r="AG196" s="49" t="str">
        <f aca="false">IF(O196="","",IFERROR(AF196/O196*1000,0))</f>
        <v/>
      </c>
      <c r="AH196" s="49" t="n">
        <f aca="false">'Daily KPI Entry'!AH197</f>
        <v>0</v>
      </c>
      <c r="AI196" s="49" t="n">
        <f aca="false">'Daily KPI Entry'!AI197</f>
        <v>0</v>
      </c>
      <c r="AJ196" s="49" t="n">
        <f aca="false">'Daily KPI Entry'!AJ197</f>
        <v>0</v>
      </c>
      <c r="AK196" s="47" t="n">
        <f aca="false">'Daily KPI Entry'!AK197</f>
        <v>0</v>
      </c>
      <c r="AL196" s="47" t="n">
        <f aca="false">'Daily KPI Entry'!AL197</f>
        <v>0</v>
      </c>
      <c r="AM196" s="47" t="n">
        <f aca="false">'Daily KPI Entry'!AM197</f>
        <v>0</v>
      </c>
      <c r="AN196" s="49" t="str">
        <f aca="false">IF(P196="","",MIN(120,P196))</f>
        <v/>
      </c>
      <c r="AO196" s="49" t="str">
        <f aca="false">IF(U196="","",MIN(120,U196))</f>
        <v/>
      </c>
      <c r="AP196" s="49" t="str">
        <f aca="false">IF(R196="","",MIN(120,IFERROR(S196/R196*100,0)))</f>
        <v/>
      </c>
      <c r="AQ196" s="49" t="str">
        <f aca="false">IF(W196="","",MIN(120,IF(W196=0,120,100*(INDEX('Standards &amp; Scoring'!$E$5:$E$13,MATCH("Quality / Rejection",'Standards &amp; Scoring'!$A$5:$A$13,0))/W196))))</f>
        <v/>
      </c>
      <c r="AR196" s="49" t="str">
        <f aca="false">IF(AG196="","",MIN(120,IF(AG196=0,120,100*(INDEX('Standards &amp; Scoring'!$E$5:$E$13,MATCH("Fault Control",'Standards &amp; Scoring'!$A$5:$A$13,0))/AG196))))</f>
        <v/>
      </c>
      <c r="AS196" s="49" t="str">
        <f aca="false">IF(O196="","",MIN(120,IF(SUMIFS('Fault &amp; Downtime Entry'!$L$6:$L$1005,'Fault &amp; Downtime Entry'!$E$6:$E$1005,G196,'Fault &amp; Downtime Entry'!$B$6:$B$1005,B196)=0,120,100*(INDEX('Standards &amp; Scoring'!$E$5:$E$13,MATCH("Downtime Control",'Standards &amp; Scoring'!$A$5:$A$13,0))/IFERROR(SUMIFS('Fault &amp; Downtime Entry'!$L$6:$L$1005,'Fault &amp; Downtime Entry'!$E$6:$E$1005,G196,'Fault &amp; Downtime Entry'!$B$6:$B$1005,B196)/O196*1000,999999)))))</f>
        <v/>
      </c>
      <c r="AT196" s="49" t="n">
        <f aca="false">IF(COUNTA(AH196,AJ196)=0,"",MIN(120,IF(AND(AH196&lt;&gt;"",AJ196&lt;&gt;""),AVERAGE(AH196,AJ196),IF(AH196&lt;&gt;"",AH196,AJ196))))</f>
        <v>0</v>
      </c>
      <c r="AU196" s="49" t="str">
        <f aca="false">IF(AI196="","",MIN(120,AI196))</f>
        <v/>
      </c>
      <c r="AV196" s="49" t="str">
        <f aca="false">IF(AJ196="","",MIN(120,AJ196))</f>
        <v/>
      </c>
      <c r="AW196" s="50" t="str">
        <f aca="false">IF(COUNT(AN196:AV196)&lt;9,"",(AN196*'Standards &amp; Scoring'!$D$5+AO196*'Standards &amp; Scoring'!$D$6+AP196*'Standards &amp; Scoring'!$D$7+AQ196*'Standards &amp; Scoring'!$D$8+AR196*'Standards &amp; Scoring'!$D$9+AS196*'Standards &amp; Scoring'!$D$10+AT196*'Standards &amp; Scoring'!$D$11+AU196*'Standards &amp; Scoring'!$D$12+AV196*'Standards &amp; Scoring'!$D$13)/10000)</f>
        <v/>
      </c>
      <c r="AX196" s="47" t="str">
        <f aca="false">IF(AW196="","",IF(AW196&gt;=1.05,"A+",IF(AW196&gt;=1,"A",IF(AW196&gt;=0.95,"B+",IF(AW196&gt;=0.9,"B","C")))))</f>
        <v/>
      </c>
      <c r="AY196" s="47" t="str">
        <f aca="false">IF(AX196="","",IF(AX196="A+",1800,IF(AX196="A",1600,IF(AX196="B+",1400,IF(AX196="B",1200,0)))))</f>
        <v/>
      </c>
      <c r="AZ196" s="49" t="str">
        <f aca="false">IF(OR(L196="",M196="",S196="",M196=0),"",IFERROR(L196*60*S196/(M196*36),0))</f>
        <v/>
      </c>
    </row>
    <row r="197" customFormat="false" ht="15" hidden="false" customHeight="true" outlineLevel="0" collapsed="false">
      <c r="A197" s="47" t="n">
        <f aca="false">'Daily KPI Entry'!A198</f>
        <v>0</v>
      </c>
      <c r="B197" s="48" t="n">
        <f aca="false">'Daily KPI Entry'!B198</f>
        <v>0</v>
      </c>
      <c r="C197" s="47" t="n">
        <f aca="false">'Daily KPI Entry'!C198</f>
        <v>0</v>
      </c>
      <c r="D197" s="47" t="n">
        <f aca="false">'Daily KPI Entry'!D198</f>
        <v>0</v>
      </c>
      <c r="E197" s="47" t="n">
        <f aca="false">'Daily KPI Entry'!E198</f>
        <v>0</v>
      </c>
      <c r="F197" s="47" t="n">
        <f aca="false">'Daily KPI Entry'!F198</f>
        <v>0</v>
      </c>
      <c r="G197" s="47" t="n">
        <f aca="false">'Daily KPI Entry'!G198</f>
        <v>0</v>
      </c>
      <c r="H197" s="47" t="str">
        <f aca="false">'Daily KPI Entry'!H198</f>
        <v/>
      </c>
      <c r="I197" s="47" t="n">
        <f aca="false">'Daily KPI Entry'!I198</f>
        <v>0</v>
      </c>
      <c r="J197" s="47" t="n">
        <f aca="false">'Daily KPI Entry'!J198</f>
        <v>0</v>
      </c>
      <c r="K197" s="47" t="n">
        <f aca="false">'Daily KPI Entry'!K198</f>
        <v>0</v>
      </c>
      <c r="L197" s="47" t="n">
        <f aca="false">'Daily KPI Entry'!L198</f>
        <v>0</v>
      </c>
      <c r="M197" s="47" t="n">
        <f aca="false">'Daily KPI Entry'!M198</f>
        <v>0</v>
      </c>
      <c r="N197" s="49" t="n">
        <f aca="false">'Daily KPI Entry'!N198</f>
        <v>0</v>
      </c>
      <c r="O197" s="49" t="n">
        <f aca="false">'Daily KPI Entry'!O198</f>
        <v>0</v>
      </c>
      <c r="P197" s="49" t="str">
        <f aca="false">IF(OR(N197="",O197=""),"",IFERROR(O197/N197*100,0))</f>
        <v/>
      </c>
      <c r="Q197" s="47" t="n">
        <f aca="false">'Daily KPI Entry'!Q198</f>
        <v>8</v>
      </c>
      <c r="R197" s="47" t="str">
        <f aca="false">IF(J197="","",Q197*J197)</f>
        <v/>
      </c>
      <c r="S197" s="49" t="n">
        <f aca="false">'Daily KPI Entry'!S198</f>
        <v>0</v>
      </c>
      <c r="T197" s="49" t="str">
        <f aca="false">IF(OR(R197="",S197=""),"",IFERROR(S197/R197*100,0))</f>
        <v/>
      </c>
      <c r="U197" s="49" t="str">
        <f aca="false">IF(OR(O197="",L197="",M197="",S197="",M197=0),"",IFERROR(O197/(L197*60*S197/(M197*36))*100,0))</f>
        <v/>
      </c>
      <c r="V197" s="49" t="n">
        <f aca="false">'Daily KPI Entry'!V198</f>
        <v>0</v>
      </c>
      <c r="W197" s="49" t="str">
        <f aca="false">IF(O197="","",IFERROR(V197/O197*100,0))</f>
        <v/>
      </c>
      <c r="X197" s="49" t="n">
        <f aca="false">'Daily KPI Entry'!X198</f>
        <v>0</v>
      </c>
      <c r="Y197" s="49" t="n">
        <f aca="false">'Daily KPI Entry'!Y198</f>
        <v>0</v>
      </c>
      <c r="Z197" s="49" t="n">
        <f aca="false">'Daily KPI Entry'!Z198</f>
        <v>0</v>
      </c>
      <c r="AA197" s="49" t="n">
        <f aca="false">'Daily KPI Entry'!AA198</f>
        <v>0</v>
      </c>
      <c r="AB197" s="49" t="n">
        <f aca="false">'Daily KPI Entry'!AB198</f>
        <v>0</v>
      </c>
      <c r="AC197" s="49" t="n">
        <f aca="false">'Daily KPI Entry'!AC198</f>
        <v>0</v>
      </c>
      <c r="AD197" s="49" t="n">
        <f aca="false">'Daily KPI Entry'!AD198</f>
        <v>0</v>
      </c>
      <c r="AE197" s="49" t="n">
        <f aca="false">'Daily KPI Entry'!AE198</f>
        <v>0</v>
      </c>
      <c r="AF197" s="47" t="str">
        <f aca="false">IF(O197="","",SUM(X197:AE197))</f>
        <v/>
      </c>
      <c r="AG197" s="49" t="str">
        <f aca="false">IF(O197="","",IFERROR(AF197/O197*1000,0))</f>
        <v/>
      </c>
      <c r="AH197" s="49" t="n">
        <f aca="false">'Daily KPI Entry'!AH198</f>
        <v>0</v>
      </c>
      <c r="AI197" s="49" t="n">
        <f aca="false">'Daily KPI Entry'!AI198</f>
        <v>0</v>
      </c>
      <c r="AJ197" s="49" t="n">
        <f aca="false">'Daily KPI Entry'!AJ198</f>
        <v>0</v>
      </c>
      <c r="AK197" s="47" t="n">
        <f aca="false">'Daily KPI Entry'!AK198</f>
        <v>0</v>
      </c>
      <c r="AL197" s="47" t="n">
        <f aca="false">'Daily KPI Entry'!AL198</f>
        <v>0</v>
      </c>
      <c r="AM197" s="47" t="n">
        <f aca="false">'Daily KPI Entry'!AM198</f>
        <v>0</v>
      </c>
      <c r="AN197" s="49" t="str">
        <f aca="false">IF(P197="","",MIN(120,P197))</f>
        <v/>
      </c>
      <c r="AO197" s="49" t="str">
        <f aca="false">IF(U197="","",MIN(120,U197))</f>
        <v/>
      </c>
      <c r="AP197" s="49" t="str">
        <f aca="false">IF(R197="","",MIN(120,IFERROR(S197/R197*100,0)))</f>
        <v/>
      </c>
      <c r="AQ197" s="49" t="str">
        <f aca="false">IF(W197="","",MIN(120,IF(W197=0,120,100*(INDEX('Standards &amp; Scoring'!$E$5:$E$13,MATCH("Quality / Rejection",'Standards &amp; Scoring'!$A$5:$A$13,0))/W197))))</f>
        <v/>
      </c>
      <c r="AR197" s="49" t="str">
        <f aca="false">IF(AG197="","",MIN(120,IF(AG197=0,120,100*(INDEX('Standards &amp; Scoring'!$E$5:$E$13,MATCH("Fault Control",'Standards &amp; Scoring'!$A$5:$A$13,0))/AG197))))</f>
        <v/>
      </c>
      <c r="AS197" s="49" t="str">
        <f aca="false">IF(O197="","",MIN(120,IF(SUMIFS('Fault &amp; Downtime Entry'!$L$6:$L$1005,'Fault &amp; Downtime Entry'!$E$6:$E$1005,G197,'Fault &amp; Downtime Entry'!$B$6:$B$1005,B197)=0,120,100*(INDEX('Standards &amp; Scoring'!$E$5:$E$13,MATCH("Downtime Control",'Standards &amp; Scoring'!$A$5:$A$13,0))/IFERROR(SUMIFS('Fault &amp; Downtime Entry'!$L$6:$L$1005,'Fault &amp; Downtime Entry'!$E$6:$E$1005,G197,'Fault &amp; Downtime Entry'!$B$6:$B$1005,B197)/O197*1000,999999)))))</f>
        <v/>
      </c>
      <c r="AT197" s="49" t="n">
        <f aca="false">IF(COUNTA(AH197,AJ197)=0,"",MIN(120,IF(AND(AH197&lt;&gt;"",AJ197&lt;&gt;""),AVERAGE(AH197,AJ197),IF(AH197&lt;&gt;"",AH197,AJ197))))</f>
        <v>0</v>
      </c>
      <c r="AU197" s="49" t="str">
        <f aca="false">IF(AI197="","",MIN(120,AI197))</f>
        <v/>
      </c>
      <c r="AV197" s="49" t="str">
        <f aca="false">IF(AJ197="","",MIN(120,AJ197))</f>
        <v/>
      </c>
      <c r="AW197" s="50" t="str">
        <f aca="false">IF(COUNT(AN197:AV197)&lt;9,"",(AN197*'Standards &amp; Scoring'!$D$5+AO197*'Standards &amp; Scoring'!$D$6+AP197*'Standards &amp; Scoring'!$D$7+AQ197*'Standards &amp; Scoring'!$D$8+AR197*'Standards &amp; Scoring'!$D$9+AS197*'Standards &amp; Scoring'!$D$10+AT197*'Standards &amp; Scoring'!$D$11+AU197*'Standards &amp; Scoring'!$D$12+AV197*'Standards &amp; Scoring'!$D$13)/10000)</f>
        <v/>
      </c>
      <c r="AX197" s="47" t="str">
        <f aca="false">IF(AW197="","",IF(AW197&gt;=1.05,"A+",IF(AW197&gt;=1,"A",IF(AW197&gt;=0.95,"B+",IF(AW197&gt;=0.9,"B","C")))))</f>
        <v/>
      </c>
      <c r="AY197" s="47" t="str">
        <f aca="false">IF(AX197="","",IF(AX197="A+",1800,IF(AX197="A",1600,IF(AX197="B+",1400,IF(AX197="B",1200,0)))))</f>
        <v/>
      </c>
      <c r="AZ197" s="49" t="str">
        <f aca="false">IF(OR(L197="",M197="",S197="",M197=0),"",IFERROR(L197*60*S197/(M197*36),0))</f>
        <v/>
      </c>
    </row>
    <row r="198" customFormat="false" ht="15" hidden="false" customHeight="true" outlineLevel="0" collapsed="false">
      <c r="A198" s="47" t="n">
        <f aca="false">'Daily KPI Entry'!A199</f>
        <v>0</v>
      </c>
      <c r="B198" s="48" t="n">
        <f aca="false">'Daily KPI Entry'!B199</f>
        <v>0</v>
      </c>
      <c r="C198" s="47" t="n">
        <f aca="false">'Daily KPI Entry'!C199</f>
        <v>0</v>
      </c>
      <c r="D198" s="47" t="n">
        <f aca="false">'Daily KPI Entry'!D199</f>
        <v>0</v>
      </c>
      <c r="E198" s="47" t="n">
        <f aca="false">'Daily KPI Entry'!E199</f>
        <v>0</v>
      </c>
      <c r="F198" s="47" t="n">
        <f aca="false">'Daily KPI Entry'!F199</f>
        <v>0</v>
      </c>
      <c r="G198" s="47" t="n">
        <f aca="false">'Daily KPI Entry'!G199</f>
        <v>0</v>
      </c>
      <c r="H198" s="47" t="str">
        <f aca="false">'Daily KPI Entry'!H199</f>
        <v/>
      </c>
      <c r="I198" s="47" t="n">
        <f aca="false">'Daily KPI Entry'!I199</f>
        <v>0</v>
      </c>
      <c r="J198" s="47" t="n">
        <f aca="false">'Daily KPI Entry'!J199</f>
        <v>0</v>
      </c>
      <c r="K198" s="47" t="n">
        <f aca="false">'Daily KPI Entry'!K199</f>
        <v>0</v>
      </c>
      <c r="L198" s="47" t="n">
        <f aca="false">'Daily KPI Entry'!L199</f>
        <v>0</v>
      </c>
      <c r="M198" s="47" t="n">
        <f aca="false">'Daily KPI Entry'!M199</f>
        <v>0</v>
      </c>
      <c r="N198" s="49" t="n">
        <f aca="false">'Daily KPI Entry'!N199</f>
        <v>0</v>
      </c>
      <c r="O198" s="49" t="n">
        <f aca="false">'Daily KPI Entry'!O199</f>
        <v>0</v>
      </c>
      <c r="P198" s="49" t="str">
        <f aca="false">IF(OR(N198="",O198=""),"",IFERROR(O198/N198*100,0))</f>
        <v/>
      </c>
      <c r="Q198" s="47" t="n">
        <f aca="false">'Daily KPI Entry'!Q199</f>
        <v>8</v>
      </c>
      <c r="R198" s="47" t="str">
        <f aca="false">IF(J198="","",Q198*J198)</f>
        <v/>
      </c>
      <c r="S198" s="49" t="n">
        <f aca="false">'Daily KPI Entry'!S199</f>
        <v>0</v>
      </c>
      <c r="T198" s="49" t="str">
        <f aca="false">IF(OR(R198="",S198=""),"",IFERROR(S198/R198*100,0))</f>
        <v/>
      </c>
      <c r="U198" s="49" t="str">
        <f aca="false">IF(OR(O198="",L198="",M198="",S198="",M198=0),"",IFERROR(O198/(L198*60*S198/(M198*36))*100,0))</f>
        <v/>
      </c>
      <c r="V198" s="49" t="n">
        <f aca="false">'Daily KPI Entry'!V199</f>
        <v>0</v>
      </c>
      <c r="W198" s="49" t="str">
        <f aca="false">IF(O198="","",IFERROR(V198/O198*100,0))</f>
        <v/>
      </c>
      <c r="X198" s="49" t="n">
        <f aca="false">'Daily KPI Entry'!X199</f>
        <v>0</v>
      </c>
      <c r="Y198" s="49" t="n">
        <f aca="false">'Daily KPI Entry'!Y199</f>
        <v>0</v>
      </c>
      <c r="Z198" s="49" t="n">
        <f aca="false">'Daily KPI Entry'!Z199</f>
        <v>0</v>
      </c>
      <c r="AA198" s="49" t="n">
        <f aca="false">'Daily KPI Entry'!AA199</f>
        <v>0</v>
      </c>
      <c r="AB198" s="49" t="n">
        <f aca="false">'Daily KPI Entry'!AB199</f>
        <v>0</v>
      </c>
      <c r="AC198" s="49" t="n">
        <f aca="false">'Daily KPI Entry'!AC199</f>
        <v>0</v>
      </c>
      <c r="AD198" s="49" t="n">
        <f aca="false">'Daily KPI Entry'!AD199</f>
        <v>0</v>
      </c>
      <c r="AE198" s="49" t="n">
        <f aca="false">'Daily KPI Entry'!AE199</f>
        <v>0</v>
      </c>
      <c r="AF198" s="47" t="str">
        <f aca="false">IF(O198="","",SUM(X198:AE198))</f>
        <v/>
      </c>
      <c r="AG198" s="49" t="str">
        <f aca="false">IF(O198="","",IFERROR(AF198/O198*1000,0))</f>
        <v/>
      </c>
      <c r="AH198" s="49" t="n">
        <f aca="false">'Daily KPI Entry'!AH199</f>
        <v>0</v>
      </c>
      <c r="AI198" s="49" t="n">
        <f aca="false">'Daily KPI Entry'!AI199</f>
        <v>0</v>
      </c>
      <c r="AJ198" s="49" t="n">
        <f aca="false">'Daily KPI Entry'!AJ199</f>
        <v>0</v>
      </c>
      <c r="AK198" s="47" t="n">
        <f aca="false">'Daily KPI Entry'!AK199</f>
        <v>0</v>
      </c>
      <c r="AL198" s="47" t="n">
        <f aca="false">'Daily KPI Entry'!AL199</f>
        <v>0</v>
      </c>
      <c r="AM198" s="47" t="n">
        <f aca="false">'Daily KPI Entry'!AM199</f>
        <v>0</v>
      </c>
      <c r="AN198" s="49" t="str">
        <f aca="false">IF(P198="","",MIN(120,P198))</f>
        <v/>
      </c>
      <c r="AO198" s="49" t="str">
        <f aca="false">IF(U198="","",MIN(120,U198))</f>
        <v/>
      </c>
      <c r="AP198" s="49" t="str">
        <f aca="false">IF(R198="","",MIN(120,IFERROR(S198/R198*100,0)))</f>
        <v/>
      </c>
      <c r="AQ198" s="49" t="str">
        <f aca="false">IF(W198="","",MIN(120,IF(W198=0,120,100*(INDEX('Standards &amp; Scoring'!$E$5:$E$13,MATCH("Quality / Rejection",'Standards &amp; Scoring'!$A$5:$A$13,0))/W198))))</f>
        <v/>
      </c>
      <c r="AR198" s="49" t="str">
        <f aca="false">IF(AG198="","",MIN(120,IF(AG198=0,120,100*(INDEX('Standards &amp; Scoring'!$E$5:$E$13,MATCH("Fault Control",'Standards &amp; Scoring'!$A$5:$A$13,0))/AG198))))</f>
        <v/>
      </c>
      <c r="AS198" s="49" t="str">
        <f aca="false">IF(O198="","",MIN(120,IF(SUMIFS('Fault &amp; Downtime Entry'!$L$6:$L$1005,'Fault &amp; Downtime Entry'!$E$6:$E$1005,G198,'Fault &amp; Downtime Entry'!$B$6:$B$1005,B198)=0,120,100*(INDEX('Standards &amp; Scoring'!$E$5:$E$13,MATCH("Downtime Control",'Standards &amp; Scoring'!$A$5:$A$13,0))/IFERROR(SUMIFS('Fault &amp; Downtime Entry'!$L$6:$L$1005,'Fault &amp; Downtime Entry'!$E$6:$E$1005,G198,'Fault &amp; Downtime Entry'!$B$6:$B$1005,B198)/O198*1000,999999)))))</f>
        <v/>
      </c>
      <c r="AT198" s="49" t="n">
        <f aca="false">IF(COUNTA(AH198,AJ198)=0,"",MIN(120,IF(AND(AH198&lt;&gt;"",AJ198&lt;&gt;""),AVERAGE(AH198,AJ198),IF(AH198&lt;&gt;"",AH198,AJ198))))</f>
        <v>0</v>
      </c>
      <c r="AU198" s="49" t="str">
        <f aca="false">IF(AI198="","",MIN(120,AI198))</f>
        <v/>
      </c>
      <c r="AV198" s="49" t="str">
        <f aca="false">IF(AJ198="","",MIN(120,AJ198))</f>
        <v/>
      </c>
      <c r="AW198" s="50" t="str">
        <f aca="false">IF(COUNT(AN198:AV198)&lt;9,"",(AN198*'Standards &amp; Scoring'!$D$5+AO198*'Standards &amp; Scoring'!$D$6+AP198*'Standards &amp; Scoring'!$D$7+AQ198*'Standards &amp; Scoring'!$D$8+AR198*'Standards &amp; Scoring'!$D$9+AS198*'Standards &amp; Scoring'!$D$10+AT198*'Standards &amp; Scoring'!$D$11+AU198*'Standards &amp; Scoring'!$D$12+AV198*'Standards &amp; Scoring'!$D$13)/10000)</f>
        <v/>
      </c>
      <c r="AX198" s="47" t="str">
        <f aca="false">IF(AW198="","",IF(AW198&gt;=1.05,"A+",IF(AW198&gt;=1,"A",IF(AW198&gt;=0.95,"B+",IF(AW198&gt;=0.9,"B","C")))))</f>
        <v/>
      </c>
      <c r="AY198" s="47" t="str">
        <f aca="false">IF(AX198="","",IF(AX198="A+",1800,IF(AX198="A",1600,IF(AX198="B+",1400,IF(AX198="B",1200,0)))))</f>
        <v/>
      </c>
      <c r="AZ198" s="49" t="str">
        <f aca="false">IF(OR(L198="",M198="",S198="",M198=0),"",IFERROR(L198*60*S198/(M198*36),0))</f>
        <v/>
      </c>
    </row>
    <row r="199" customFormat="false" ht="15" hidden="false" customHeight="true" outlineLevel="0" collapsed="false">
      <c r="A199" s="47" t="n">
        <f aca="false">'Daily KPI Entry'!A200</f>
        <v>0</v>
      </c>
      <c r="B199" s="48" t="n">
        <f aca="false">'Daily KPI Entry'!B200</f>
        <v>0</v>
      </c>
      <c r="C199" s="47" t="n">
        <f aca="false">'Daily KPI Entry'!C200</f>
        <v>0</v>
      </c>
      <c r="D199" s="47" t="n">
        <f aca="false">'Daily KPI Entry'!D200</f>
        <v>0</v>
      </c>
      <c r="E199" s="47" t="n">
        <f aca="false">'Daily KPI Entry'!E200</f>
        <v>0</v>
      </c>
      <c r="F199" s="47" t="n">
        <f aca="false">'Daily KPI Entry'!F200</f>
        <v>0</v>
      </c>
      <c r="G199" s="47" t="n">
        <f aca="false">'Daily KPI Entry'!G200</f>
        <v>0</v>
      </c>
      <c r="H199" s="47" t="str">
        <f aca="false">'Daily KPI Entry'!H200</f>
        <v/>
      </c>
      <c r="I199" s="47" t="n">
        <f aca="false">'Daily KPI Entry'!I200</f>
        <v>0</v>
      </c>
      <c r="J199" s="47" t="n">
        <f aca="false">'Daily KPI Entry'!J200</f>
        <v>0</v>
      </c>
      <c r="K199" s="47" t="n">
        <f aca="false">'Daily KPI Entry'!K200</f>
        <v>0</v>
      </c>
      <c r="L199" s="47" t="n">
        <f aca="false">'Daily KPI Entry'!L200</f>
        <v>0</v>
      </c>
      <c r="M199" s="47" t="n">
        <f aca="false">'Daily KPI Entry'!M200</f>
        <v>0</v>
      </c>
      <c r="N199" s="49" t="n">
        <f aca="false">'Daily KPI Entry'!N200</f>
        <v>0</v>
      </c>
      <c r="O199" s="49" t="n">
        <f aca="false">'Daily KPI Entry'!O200</f>
        <v>0</v>
      </c>
      <c r="P199" s="49" t="str">
        <f aca="false">IF(OR(N199="",O199=""),"",IFERROR(O199/N199*100,0))</f>
        <v/>
      </c>
      <c r="Q199" s="47" t="n">
        <f aca="false">'Daily KPI Entry'!Q200</f>
        <v>8</v>
      </c>
      <c r="R199" s="47" t="str">
        <f aca="false">IF(J199="","",Q199*J199)</f>
        <v/>
      </c>
      <c r="S199" s="49" t="n">
        <f aca="false">'Daily KPI Entry'!S200</f>
        <v>0</v>
      </c>
      <c r="T199" s="49" t="str">
        <f aca="false">IF(OR(R199="",S199=""),"",IFERROR(S199/R199*100,0))</f>
        <v/>
      </c>
      <c r="U199" s="49" t="str">
        <f aca="false">IF(OR(O199="",L199="",M199="",S199="",M199=0),"",IFERROR(O199/(L199*60*S199/(M199*36))*100,0))</f>
        <v/>
      </c>
      <c r="V199" s="49" t="n">
        <f aca="false">'Daily KPI Entry'!V200</f>
        <v>0</v>
      </c>
      <c r="W199" s="49" t="str">
        <f aca="false">IF(O199="","",IFERROR(V199/O199*100,0))</f>
        <v/>
      </c>
      <c r="X199" s="49" t="n">
        <f aca="false">'Daily KPI Entry'!X200</f>
        <v>0</v>
      </c>
      <c r="Y199" s="49" t="n">
        <f aca="false">'Daily KPI Entry'!Y200</f>
        <v>0</v>
      </c>
      <c r="Z199" s="49" t="n">
        <f aca="false">'Daily KPI Entry'!Z200</f>
        <v>0</v>
      </c>
      <c r="AA199" s="49" t="n">
        <f aca="false">'Daily KPI Entry'!AA200</f>
        <v>0</v>
      </c>
      <c r="AB199" s="49" t="n">
        <f aca="false">'Daily KPI Entry'!AB200</f>
        <v>0</v>
      </c>
      <c r="AC199" s="49" t="n">
        <f aca="false">'Daily KPI Entry'!AC200</f>
        <v>0</v>
      </c>
      <c r="AD199" s="49" t="n">
        <f aca="false">'Daily KPI Entry'!AD200</f>
        <v>0</v>
      </c>
      <c r="AE199" s="49" t="n">
        <f aca="false">'Daily KPI Entry'!AE200</f>
        <v>0</v>
      </c>
      <c r="AF199" s="47" t="str">
        <f aca="false">IF(O199="","",SUM(X199:AE199))</f>
        <v/>
      </c>
      <c r="AG199" s="49" t="str">
        <f aca="false">IF(O199="","",IFERROR(AF199/O199*1000,0))</f>
        <v/>
      </c>
      <c r="AH199" s="49" t="n">
        <f aca="false">'Daily KPI Entry'!AH200</f>
        <v>0</v>
      </c>
      <c r="AI199" s="49" t="n">
        <f aca="false">'Daily KPI Entry'!AI200</f>
        <v>0</v>
      </c>
      <c r="AJ199" s="49" t="n">
        <f aca="false">'Daily KPI Entry'!AJ200</f>
        <v>0</v>
      </c>
      <c r="AK199" s="47" t="n">
        <f aca="false">'Daily KPI Entry'!AK200</f>
        <v>0</v>
      </c>
      <c r="AL199" s="47" t="n">
        <f aca="false">'Daily KPI Entry'!AL200</f>
        <v>0</v>
      </c>
      <c r="AM199" s="47" t="n">
        <f aca="false">'Daily KPI Entry'!AM200</f>
        <v>0</v>
      </c>
      <c r="AN199" s="49" t="str">
        <f aca="false">IF(P199="","",MIN(120,P199))</f>
        <v/>
      </c>
      <c r="AO199" s="49" t="str">
        <f aca="false">IF(U199="","",MIN(120,U199))</f>
        <v/>
      </c>
      <c r="AP199" s="49" t="str">
        <f aca="false">IF(R199="","",MIN(120,IFERROR(S199/R199*100,0)))</f>
        <v/>
      </c>
      <c r="AQ199" s="49" t="str">
        <f aca="false">IF(W199="","",MIN(120,IF(W199=0,120,100*(INDEX('Standards &amp; Scoring'!$E$5:$E$13,MATCH("Quality / Rejection",'Standards &amp; Scoring'!$A$5:$A$13,0))/W199))))</f>
        <v/>
      </c>
      <c r="AR199" s="49" t="str">
        <f aca="false">IF(AG199="","",MIN(120,IF(AG199=0,120,100*(INDEX('Standards &amp; Scoring'!$E$5:$E$13,MATCH("Fault Control",'Standards &amp; Scoring'!$A$5:$A$13,0))/AG199))))</f>
        <v/>
      </c>
      <c r="AS199" s="49" t="str">
        <f aca="false">IF(O199="","",MIN(120,IF(SUMIFS('Fault &amp; Downtime Entry'!$L$6:$L$1005,'Fault &amp; Downtime Entry'!$E$6:$E$1005,G199,'Fault &amp; Downtime Entry'!$B$6:$B$1005,B199)=0,120,100*(INDEX('Standards &amp; Scoring'!$E$5:$E$13,MATCH("Downtime Control",'Standards &amp; Scoring'!$A$5:$A$13,0))/IFERROR(SUMIFS('Fault &amp; Downtime Entry'!$L$6:$L$1005,'Fault &amp; Downtime Entry'!$E$6:$E$1005,G199,'Fault &amp; Downtime Entry'!$B$6:$B$1005,B199)/O199*1000,999999)))))</f>
        <v/>
      </c>
      <c r="AT199" s="49" t="n">
        <f aca="false">IF(COUNTA(AH199,AJ199)=0,"",MIN(120,IF(AND(AH199&lt;&gt;"",AJ199&lt;&gt;""),AVERAGE(AH199,AJ199),IF(AH199&lt;&gt;"",AH199,AJ199))))</f>
        <v>0</v>
      </c>
      <c r="AU199" s="49" t="str">
        <f aca="false">IF(AI199="","",MIN(120,AI199))</f>
        <v/>
      </c>
      <c r="AV199" s="49" t="str">
        <f aca="false">IF(AJ199="","",MIN(120,AJ199))</f>
        <v/>
      </c>
      <c r="AW199" s="50" t="str">
        <f aca="false">IF(COUNT(AN199:AV199)&lt;9,"",(AN199*'Standards &amp; Scoring'!$D$5+AO199*'Standards &amp; Scoring'!$D$6+AP199*'Standards &amp; Scoring'!$D$7+AQ199*'Standards &amp; Scoring'!$D$8+AR199*'Standards &amp; Scoring'!$D$9+AS199*'Standards &amp; Scoring'!$D$10+AT199*'Standards &amp; Scoring'!$D$11+AU199*'Standards &amp; Scoring'!$D$12+AV199*'Standards &amp; Scoring'!$D$13)/10000)</f>
        <v/>
      </c>
      <c r="AX199" s="47" t="str">
        <f aca="false">IF(AW199="","",IF(AW199&gt;=1.05,"A+",IF(AW199&gt;=1,"A",IF(AW199&gt;=0.95,"B+",IF(AW199&gt;=0.9,"B","C")))))</f>
        <v/>
      </c>
      <c r="AY199" s="47" t="str">
        <f aca="false">IF(AX199="","",IF(AX199="A+",1800,IF(AX199="A",1600,IF(AX199="B+",1400,IF(AX199="B",1200,0)))))</f>
        <v/>
      </c>
      <c r="AZ199" s="49" t="str">
        <f aca="false">IF(OR(L199="",M199="",S199="",M199=0),"",IFERROR(L199*60*S199/(M199*36),0))</f>
        <v/>
      </c>
    </row>
    <row r="200" customFormat="false" ht="15" hidden="false" customHeight="true" outlineLevel="0" collapsed="false">
      <c r="A200" s="47" t="n">
        <f aca="false">'Daily KPI Entry'!A201</f>
        <v>0</v>
      </c>
      <c r="B200" s="48" t="n">
        <f aca="false">'Daily KPI Entry'!B201</f>
        <v>0</v>
      </c>
      <c r="C200" s="47" t="n">
        <f aca="false">'Daily KPI Entry'!C201</f>
        <v>0</v>
      </c>
      <c r="D200" s="47" t="n">
        <f aca="false">'Daily KPI Entry'!D201</f>
        <v>0</v>
      </c>
      <c r="E200" s="47" t="n">
        <f aca="false">'Daily KPI Entry'!E201</f>
        <v>0</v>
      </c>
      <c r="F200" s="47" t="n">
        <f aca="false">'Daily KPI Entry'!F201</f>
        <v>0</v>
      </c>
      <c r="G200" s="47" t="n">
        <f aca="false">'Daily KPI Entry'!G201</f>
        <v>0</v>
      </c>
      <c r="H200" s="47" t="str">
        <f aca="false">'Daily KPI Entry'!H201</f>
        <v/>
      </c>
      <c r="I200" s="47" t="n">
        <f aca="false">'Daily KPI Entry'!I201</f>
        <v>0</v>
      </c>
      <c r="J200" s="47" t="n">
        <f aca="false">'Daily KPI Entry'!J201</f>
        <v>0</v>
      </c>
      <c r="K200" s="47" t="n">
        <f aca="false">'Daily KPI Entry'!K201</f>
        <v>0</v>
      </c>
      <c r="L200" s="47" t="n">
        <f aca="false">'Daily KPI Entry'!L201</f>
        <v>0</v>
      </c>
      <c r="M200" s="47" t="n">
        <f aca="false">'Daily KPI Entry'!M201</f>
        <v>0</v>
      </c>
      <c r="N200" s="49" t="n">
        <f aca="false">'Daily KPI Entry'!N201</f>
        <v>0</v>
      </c>
      <c r="O200" s="49" t="n">
        <f aca="false">'Daily KPI Entry'!O201</f>
        <v>0</v>
      </c>
      <c r="P200" s="49" t="str">
        <f aca="false">IF(OR(N200="",O200=""),"",IFERROR(O200/N200*100,0))</f>
        <v/>
      </c>
      <c r="Q200" s="47" t="n">
        <f aca="false">'Daily KPI Entry'!Q201</f>
        <v>8</v>
      </c>
      <c r="R200" s="47" t="str">
        <f aca="false">IF(J200="","",Q200*J200)</f>
        <v/>
      </c>
      <c r="S200" s="49" t="n">
        <f aca="false">'Daily KPI Entry'!S201</f>
        <v>0</v>
      </c>
      <c r="T200" s="49" t="str">
        <f aca="false">IF(OR(R200="",S200=""),"",IFERROR(S200/R200*100,0))</f>
        <v/>
      </c>
      <c r="U200" s="49" t="str">
        <f aca="false">IF(OR(O200="",L200="",M200="",S200="",M200=0),"",IFERROR(O200/(L200*60*S200/(M200*36))*100,0))</f>
        <v/>
      </c>
      <c r="V200" s="49" t="n">
        <f aca="false">'Daily KPI Entry'!V201</f>
        <v>0</v>
      </c>
      <c r="W200" s="49" t="str">
        <f aca="false">IF(O200="","",IFERROR(V200/O200*100,0))</f>
        <v/>
      </c>
      <c r="X200" s="49" t="n">
        <f aca="false">'Daily KPI Entry'!X201</f>
        <v>0</v>
      </c>
      <c r="Y200" s="49" t="n">
        <f aca="false">'Daily KPI Entry'!Y201</f>
        <v>0</v>
      </c>
      <c r="Z200" s="49" t="n">
        <f aca="false">'Daily KPI Entry'!Z201</f>
        <v>0</v>
      </c>
      <c r="AA200" s="49" t="n">
        <f aca="false">'Daily KPI Entry'!AA201</f>
        <v>0</v>
      </c>
      <c r="AB200" s="49" t="n">
        <f aca="false">'Daily KPI Entry'!AB201</f>
        <v>0</v>
      </c>
      <c r="AC200" s="49" t="n">
        <f aca="false">'Daily KPI Entry'!AC201</f>
        <v>0</v>
      </c>
      <c r="AD200" s="49" t="n">
        <f aca="false">'Daily KPI Entry'!AD201</f>
        <v>0</v>
      </c>
      <c r="AE200" s="49" t="n">
        <f aca="false">'Daily KPI Entry'!AE201</f>
        <v>0</v>
      </c>
      <c r="AF200" s="47" t="str">
        <f aca="false">IF(O200="","",SUM(X200:AE200))</f>
        <v/>
      </c>
      <c r="AG200" s="49" t="str">
        <f aca="false">IF(O200="","",IFERROR(AF200/O200*1000,0))</f>
        <v/>
      </c>
      <c r="AH200" s="49" t="n">
        <f aca="false">'Daily KPI Entry'!AH201</f>
        <v>0</v>
      </c>
      <c r="AI200" s="49" t="n">
        <f aca="false">'Daily KPI Entry'!AI201</f>
        <v>0</v>
      </c>
      <c r="AJ200" s="49" t="n">
        <f aca="false">'Daily KPI Entry'!AJ201</f>
        <v>0</v>
      </c>
      <c r="AK200" s="47" t="n">
        <f aca="false">'Daily KPI Entry'!AK201</f>
        <v>0</v>
      </c>
      <c r="AL200" s="47" t="n">
        <f aca="false">'Daily KPI Entry'!AL201</f>
        <v>0</v>
      </c>
      <c r="AM200" s="47" t="n">
        <f aca="false">'Daily KPI Entry'!AM201</f>
        <v>0</v>
      </c>
      <c r="AN200" s="49" t="str">
        <f aca="false">IF(P200="","",MIN(120,P200))</f>
        <v/>
      </c>
      <c r="AO200" s="49" t="str">
        <f aca="false">IF(U200="","",MIN(120,U200))</f>
        <v/>
      </c>
      <c r="AP200" s="49" t="str">
        <f aca="false">IF(R200="","",MIN(120,IFERROR(S200/R200*100,0)))</f>
        <v/>
      </c>
      <c r="AQ200" s="49" t="str">
        <f aca="false">IF(W200="","",MIN(120,IF(W200=0,120,100*(INDEX('Standards &amp; Scoring'!$E$5:$E$13,MATCH("Quality / Rejection",'Standards &amp; Scoring'!$A$5:$A$13,0))/W200))))</f>
        <v/>
      </c>
      <c r="AR200" s="49" t="str">
        <f aca="false">IF(AG200="","",MIN(120,IF(AG200=0,120,100*(INDEX('Standards &amp; Scoring'!$E$5:$E$13,MATCH("Fault Control",'Standards &amp; Scoring'!$A$5:$A$13,0))/AG200))))</f>
        <v/>
      </c>
      <c r="AS200" s="49" t="str">
        <f aca="false">IF(O200="","",MIN(120,IF(SUMIFS('Fault &amp; Downtime Entry'!$L$6:$L$1005,'Fault &amp; Downtime Entry'!$E$6:$E$1005,G200,'Fault &amp; Downtime Entry'!$B$6:$B$1005,B200)=0,120,100*(INDEX('Standards &amp; Scoring'!$E$5:$E$13,MATCH("Downtime Control",'Standards &amp; Scoring'!$A$5:$A$13,0))/IFERROR(SUMIFS('Fault &amp; Downtime Entry'!$L$6:$L$1005,'Fault &amp; Downtime Entry'!$E$6:$E$1005,G200,'Fault &amp; Downtime Entry'!$B$6:$B$1005,B200)/O200*1000,999999)))))</f>
        <v/>
      </c>
      <c r="AT200" s="49" t="n">
        <f aca="false">IF(COUNTA(AH200,AJ200)=0,"",MIN(120,IF(AND(AH200&lt;&gt;"",AJ200&lt;&gt;""),AVERAGE(AH200,AJ200),IF(AH200&lt;&gt;"",AH200,AJ200))))</f>
        <v>0</v>
      </c>
      <c r="AU200" s="49" t="str">
        <f aca="false">IF(AI200="","",MIN(120,AI200))</f>
        <v/>
      </c>
      <c r="AV200" s="49" t="str">
        <f aca="false">IF(AJ200="","",MIN(120,AJ200))</f>
        <v/>
      </c>
      <c r="AW200" s="50" t="str">
        <f aca="false">IF(COUNT(AN200:AV200)&lt;9,"",(AN200*'Standards &amp; Scoring'!$D$5+AO200*'Standards &amp; Scoring'!$D$6+AP200*'Standards &amp; Scoring'!$D$7+AQ200*'Standards &amp; Scoring'!$D$8+AR200*'Standards &amp; Scoring'!$D$9+AS200*'Standards &amp; Scoring'!$D$10+AT200*'Standards &amp; Scoring'!$D$11+AU200*'Standards &amp; Scoring'!$D$12+AV200*'Standards &amp; Scoring'!$D$13)/10000)</f>
        <v/>
      </c>
      <c r="AX200" s="47" t="str">
        <f aca="false">IF(AW200="","",IF(AW200&gt;=1.05,"A+",IF(AW200&gt;=1,"A",IF(AW200&gt;=0.95,"B+",IF(AW200&gt;=0.9,"B","C")))))</f>
        <v/>
      </c>
      <c r="AY200" s="47" t="str">
        <f aca="false">IF(AX200="","",IF(AX200="A+",1800,IF(AX200="A",1600,IF(AX200="B+",1400,IF(AX200="B",1200,0)))))</f>
        <v/>
      </c>
      <c r="AZ200" s="49" t="str">
        <f aca="false">IF(OR(L200="",M200="",S200="",M200=0),"",IFERROR(L200*60*S200/(M200*36),0))</f>
        <v/>
      </c>
    </row>
    <row r="201" customFormat="false" ht="15" hidden="false" customHeight="true" outlineLevel="0" collapsed="false">
      <c r="A201" s="47" t="n">
        <f aca="false">'Daily KPI Entry'!A202</f>
        <v>0</v>
      </c>
      <c r="B201" s="48" t="n">
        <f aca="false">'Daily KPI Entry'!B202</f>
        <v>0</v>
      </c>
      <c r="C201" s="47" t="n">
        <f aca="false">'Daily KPI Entry'!C202</f>
        <v>0</v>
      </c>
      <c r="D201" s="47" t="n">
        <f aca="false">'Daily KPI Entry'!D202</f>
        <v>0</v>
      </c>
      <c r="E201" s="47" t="n">
        <f aca="false">'Daily KPI Entry'!E202</f>
        <v>0</v>
      </c>
      <c r="F201" s="47" t="n">
        <f aca="false">'Daily KPI Entry'!F202</f>
        <v>0</v>
      </c>
      <c r="G201" s="47" t="n">
        <f aca="false">'Daily KPI Entry'!G202</f>
        <v>0</v>
      </c>
      <c r="H201" s="47" t="str">
        <f aca="false">'Daily KPI Entry'!H202</f>
        <v/>
      </c>
      <c r="I201" s="47" t="n">
        <f aca="false">'Daily KPI Entry'!I202</f>
        <v>0</v>
      </c>
      <c r="J201" s="47" t="n">
        <f aca="false">'Daily KPI Entry'!J202</f>
        <v>0</v>
      </c>
      <c r="K201" s="47" t="n">
        <f aca="false">'Daily KPI Entry'!K202</f>
        <v>0</v>
      </c>
      <c r="L201" s="47" t="n">
        <f aca="false">'Daily KPI Entry'!L202</f>
        <v>0</v>
      </c>
      <c r="M201" s="47" t="n">
        <f aca="false">'Daily KPI Entry'!M202</f>
        <v>0</v>
      </c>
      <c r="N201" s="49" t="n">
        <f aca="false">'Daily KPI Entry'!N202</f>
        <v>0</v>
      </c>
      <c r="O201" s="49" t="n">
        <f aca="false">'Daily KPI Entry'!O202</f>
        <v>0</v>
      </c>
      <c r="P201" s="49" t="str">
        <f aca="false">IF(OR(N201="",O201=""),"",IFERROR(O201/N201*100,0))</f>
        <v/>
      </c>
      <c r="Q201" s="47" t="n">
        <f aca="false">'Daily KPI Entry'!Q202</f>
        <v>8</v>
      </c>
      <c r="R201" s="47" t="str">
        <f aca="false">IF(J201="","",Q201*J201)</f>
        <v/>
      </c>
      <c r="S201" s="49" t="n">
        <f aca="false">'Daily KPI Entry'!S202</f>
        <v>0</v>
      </c>
      <c r="T201" s="49" t="str">
        <f aca="false">IF(OR(R201="",S201=""),"",IFERROR(S201/R201*100,0))</f>
        <v/>
      </c>
      <c r="U201" s="49" t="str">
        <f aca="false">IF(OR(O201="",L201="",M201="",S201="",M201=0),"",IFERROR(O201/(L201*60*S201/(M201*36))*100,0))</f>
        <v/>
      </c>
      <c r="V201" s="49" t="n">
        <f aca="false">'Daily KPI Entry'!V202</f>
        <v>0</v>
      </c>
      <c r="W201" s="49" t="str">
        <f aca="false">IF(O201="","",IFERROR(V201/O201*100,0))</f>
        <v/>
      </c>
      <c r="X201" s="49" t="n">
        <f aca="false">'Daily KPI Entry'!X202</f>
        <v>0</v>
      </c>
      <c r="Y201" s="49" t="n">
        <f aca="false">'Daily KPI Entry'!Y202</f>
        <v>0</v>
      </c>
      <c r="Z201" s="49" t="n">
        <f aca="false">'Daily KPI Entry'!Z202</f>
        <v>0</v>
      </c>
      <c r="AA201" s="49" t="n">
        <f aca="false">'Daily KPI Entry'!AA202</f>
        <v>0</v>
      </c>
      <c r="AB201" s="49" t="n">
        <f aca="false">'Daily KPI Entry'!AB202</f>
        <v>0</v>
      </c>
      <c r="AC201" s="49" t="n">
        <f aca="false">'Daily KPI Entry'!AC202</f>
        <v>0</v>
      </c>
      <c r="AD201" s="49" t="n">
        <f aca="false">'Daily KPI Entry'!AD202</f>
        <v>0</v>
      </c>
      <c r="AE201" s="49" t="n">
        <f aca="false">'Daily KPI Entry'!AE202</f>
        <v>0</v>
      </c>
      <c r="AF201" s="47" t="str">
        <f aca="false">IF(O201="","",SUM(X201:AE201))</f>
        <v/>
      </c>
      <c r="AG201" s="49" t="str">
        <f aca="false">IF(O201="","",IFERROR(AF201/O201*1000,0))</f>
        <v/>
      </c>
      <c r="AH201" s="49" t="n">
        <f aca="false">'Daily KPI Entry'!AH202</f>
        <v>0</v>
      </c>
      <c r="AI201" s="49" t="n">
        <f aca="false">'Daily KPI Entry'!AI202</f>
        <v>0</v>
      </c>
      <c r="AJ201" s="49" t="n">
        <f aca="false">'Daily KPI Entry'!AJ202</f>
        <v>0</v>
      </c>
      <c r="AK201" s="47" t="n">
        <f aca="false">'Daily KPI Entry'!AK202</f>
        <v>0</v>
      </c>
      <c r="AL201" s="47" t="n">
        <f aca="false">'Daily KPI Entry'!AL202</f>
        <v>0</v>
      </c>
      <c r="AM201" s="47" t="n">
        <f aca="false">'Daily KPI Entry'!AM202</f>
        <v>0</v>
      </c>
      <c r="AN201" s="49" t="str">
        <f aca="false">IF(P201="","",MIN(120,P201))</f>
        <v/>
      </c>
      <c r="AO201" s="49" t="str">
        <f aca="false">IF(U201="","",MIN(120,U201))</f>
        <v/>
      </c>
      <c r="AP201" s="49" t="str">
        <f aca="false">IF(R201="","",MIN(120,IFERROR(S201/R201*100,0)))</f>
        <v/>
      </c>
      <c r="AQ201" s="49" t="str">
        <f aca="false">IF(W201="","",MIN(120,IF(W201=0,120,100*(INDEX('Standards &amp; Scoring'!$E$5:$E$13,MATCH("Quality / Rejection",'Standards &amp; Scoring'!$A$5:$A$13,0))/W201))))</f>
        <v/>
      </c>
      <c r="AR201" s="49" t="str">
        <f aca="false">IF(AG201="","",MIN(120,IF(AG201=0,120,100*(INDEX('Standards &amp; Scoring'!$E$5:$E$13,MATCH("Fault Control",'Standards &amp; Scoring'!$A$5:$A$13,0))/AG201))))</f>
        <v/>
      </c>
      <c r="AS201" s="49" t="str">
        <f aca="false">IF(O201="","",MIN(120,IF(SUMIFS('Fault &amp; Downtime Entry'!$L$6:$L$1005,'Fault &amp; Downtime Entry'!$E$6:$E$1005,G201,'Fault &amp; Downtime Entry'!$B$6:$B$1005,B201)=0,120,100*(INDEX('Standards &amp; Scoring'!$E$5:$E$13,MATCH("Downtime Control",'Standards &amp; Scoring'!$A$5:$A$13,0))/IFERROR(SUMIFS('Fault &amp; Downtime Entry'!$L$6:$L$1005,'Fault &amp; Downtime Entry'!$E$6:$E$1005,G201,'Fault &amp; Downtime Entry'!$B$6:$B$1005,B201)/O201*1000,999999)))))</f>
        <v/>
      </c>
      <c r="AT201" s="49" t="n">
        <f aca="false">IF(COUNTA(AH201,AJ201)=0,"",MIN(120,IF(AND(AH201&lt;&gt;"",AJ201&lt;&gt;""),AVERAGE(AH201,AJ201),IF(AH201&lt;&gt;"",AH201,AJ201))))</f>
        <v>0</v>
      </c>
      <c r="AU201" s="49" t="str">
        <f aca="false">IF(AI201="","",MIN(120,AI201))</f>
        <v/>
      </c>
      <c r="AV201" s="49" t="str">
        <f aca="false">IF(AJ201="","",MIN(120,AJ201))</f>
        <v/>
      </c>
      <c r="AW201" s="50" t="str">
        <f aca="false">IF(COUNT(AN201:AV201)&lt;9,"",(AN201*'Standards &amp; Scoring'!$D$5+AO201*'Standards &amp; Scoring'!$D$6+AP201*'Standards &amp; Scoring'!$D$7+AQ201*'Standards &amp; Scoring'!$D$8+AR201*'Standards &amp; Scoring'!$D$9+AS201*'Standards &amp; Scoring'!$D$10+AT201*'Standards &amp; Scoring'!$D$11+AU201*'Standards &amp; Scoring'!$D$12+AV201*'Standards &amp; Scoring'!$D$13)/10000)</f>
        <v/>
      </c>
      <c r="AX201" s="47" t="str">
        <f aca="false">IF(AW201="","",IF(AW201&gt;=1.05,"A+",IF(AW201&gt;=1,"A",IF(AW201&gt;=0.95,"B+",IF(AW201&gt;=0.9,"B","C")))))</f>
        <v/>
      </c>
      <c r="AY201" s="47" t="str">
        <f aca="false">IF(AX201="","",IF(AX201="A+",1800,IF(AX201="A",1600,IF(AX201="B+",1400,IF(AX201="B",1200,0)))))</f>
        <v/>
      </c>
      <c r="AZ201" s="49" t="str">
        <f aca="false">IF(OR(L201="",M201="",S201="",M201=0),"",IFERROR(L201*60*S201/(M201*36),0))</f>
        <v/>
      </c>
    </row>
    <row r="202" customFormat="false" ht="15" hidden="false" customHeight="true" outlineLevel="0" collapsed="false">
      <c r="A202" s="47" t="n">
        <f aca="false">'Daily KPI Entry'!A203</f>
        <v>0</v>
      </c>
      <c r="B202" s="48" t="n">
        <f aca="false">'Daily KPI Entry'!B203</f>
        <v>0</v>
      </c>
      <c r="C202" s="47" t="n">
        <f aca="false">'Daily KPI Entry'!C203</f>
        <v>0</v>
      </c>
      <c r="D202" s="47" t="n">
        <f aca="false">'Daily KPI Entry'!D203</f>
        <v>0</v>
      </c>
      <c r="E202" s="47" t="n">
        <f aca="false">'Daily KPI Entry'!E203</f>
        <v>0</v>
      </c>
      <c r="F202" s="47" t="n">
        <f aca="false">'Daily KPI Entry'!F203</f>
        <v>0</v>
      </c>
      <c r="G202" s="47" t="n">
        <f aca="false">'Daily KPI Entry'!G203</f>
        <v>0</v>
      </c>
      <c r="H202" s="47" t="str">
        <f aca="false">'Daily KPI Entry'!H203</f>
        <v/>
      </c>
      <c r="I202" s="47" t="n">
        <f aca="false">'Daily KPI Entry'!I203</f>
        <v>0</v>
      </c>
      <c r="J202" s="47" t="n">
        <f aca="false">'Daily KPI Entry'!J203</f>
        <v>0</v>
      </c>
      <c r="K202" s="47" t="n">
        <f aca="false">'Daily KPI Entry'!K203</f>
        <v>0</v>
      </c>
      <c r="L202" s="47" t="n">
        <f aca="false">'Daily KPI Entry'!L203</f>
        <v>0</v>
      </c>
      <c r="M202" s="47" t="n">
        <f aca="false">'Daily KPI Entry'!M203</f>
        <v>0</v>
      </c>
      <c r="N202" s="49" t="n">
        <f aca="false">'Daily KPI Entry'!N203</f>
        <v>0</v>
      </c>
      <c r="O202" s="49" t="n">
        <f aca="false">'Daily KPI Entry'!O203</f>
        <v>0</v>
      </c>
      <c r="P202" s="49" t="str">
        <f aca="false">IF(OR(N202="",O202=""),"",IFERROR(O202/N202*100,0))</f>
        <v/>
      </c>
      <c r="Q202" s="47" t="n">
        <f aca="false">'Daily KPI Entry'!Q203</f>
        <v>8</v>
      </c>
      <c r="R202" s="47" t="str">
        <f aca="false">IF(J202="","",Q202*J202)</f>
        <v/>
      </c>
      <c r="S202" s="49" t="n">
        <f aca="false">'Daily KPI Entry'!S203</f>
        <v>0</v>
      </c>
      <c r="T202" s="49" t="str">
        <f aca="false">IF(OR(R202="",S202=""),"",IFERROR(S202/R202*100,0))</f>
        <v/>
      </c>
      <c r="U202" s="49" t="str">
        <f aca="false">IF(OR(O202="",L202="",M202="",S202="",M202=0),"",IFERROR(O202/(L202*60*S202/(M202*36))*100,0))</f>
        <v/>
      </c>
      <c r="V202" s="49" t="n">
        <f aca="false">'Daily KPI Entry'!V203</f>
        <v>0</v>
      </c>
      <c r="W202" s="49" t="str">
        <f aca="false">IF(O202="","",IFERROR(V202/O202*100,0))</f>
        <v/>
      </c>
      <c r="X202" s="49" t="n">
        <f aca="false">'Daily KPI Entry'!X203</f>
        <v>0</v>
      </c>
      <c r="Y202" s="49" t="n">
        <f aca="false">'Daily KPI Entry'!Y203</f>
        <v>0</v>
      </c>
      <c r="Z202" s="49" t="n">
        <f aca="false">'Daily KPI Entry'!Z203</f>
        <v>0</v>
      </c>
      <c r="AA202" s="49" t="n">
        <f aca="false">'Daily KPI Entry'!AA203</f>
        <v>0</v>
      </c>
      <c r="AB202" s="49" t="n">
        <f aca="false">'Daily KPI Entry'!AB203</f>
        <v>0</v>
      </c>
      <c r="AC202" s="49" t="n">
        <f aca="false">'Daily KPI Entry'!AC203</f>
        <v>0</v>
      </c>
      <c r="AD202" s="49" t="n">
        <f aca="false">'Daily KPI Entry'!AD203</f>
        <v>0</v>
      </c>
      <c r="AE202" s="49" t="n">
        <f aca="false">'Daily KPI Entry'!AE203</f>
        <v>0</v>
      </c>
      <c r="AF202" s="47" t="str">
        <f aca="false">IF(O202="","",SUM(X202:AE202))</f>
        <v/>
      </c>
      <c r="AG202" s="49" t="str">
        <f aca="false">IF(O202="","",IFERROR(AF202/O202*1000,0))</f>
        <v/>
      </c>
      <c r="AH202" s="49" t="n">
        <f aca="false">'Daily KPI Entry'!AH203</f>
        <v>0</v>
      </c>
      <c r="AI202" s="49" t="n">
        <f aca="false">'Daily KPI Entry'!AI203</f>
        <v>0</v>
      </c>
      <c r="AJ202" s="49" t="n">
        <f aca="false">'Daily KPI Entry'!AJ203</f>
        <v>0</v>
      </c>
      <c r="AK202" s="47" t="n">
        <f aca="false">'Daily KPI Entry'!AK203</f>
        <v>0</v>
      </c>
      <c r="AL202" s="47" t="n">
        <f aca="false">'Daily KPI Entry'!AL203</f>
        <v>0</v>
      </c>
      <c r="AM202" s="47" t="n">
        <f aca="false">'Daily KPI Entry'!AM203</f>
        <v>0</v>
      </c>
      <c r="AN202" s="49" t="str">
        <f aca="false">IF(P202="","",MIN(120,P202))</f>
        <v/>
      </c>
      <c r="AO202" s="49" t="str">
        <f aca="false">IF(U202="","",MIN(120,U202))</f>
        <v/>
      </c>
      <c r="AP202" s="49" t="str">
        <f aca="false">IF(R202="","",MIN(120,IFERROR(S202/R202*100,0)))</f>
        <v/>
      </c>
      <c r="AQ202" s="49" t="str">
        <f aca="false">IF(W202="","",MIN(120,IF(W202=0,120,100*(INDEX('Standards &amp; Scoring'!$E$5:$E$13,MATCH("Quality / Rejection",'Standards &amp; Scoring'!$A$5:$A$13,0))/W202))))</f>
        <v/>
      </c>
      <c r="AR202" s="49" t="str">
        <f aca="false">IF(AG202="","",MIN(120,IF(AG202=0,120,100*(INDEX('Standards &amp; Scoring'!$E$5:$E$13,MATCH("Fault Control",'Standards &amp; Scoring'!$A$5:$A$13,0))/AG202))))</f>
        <v/>
      </c>
      <c r="AS202" s="49" t="str">
        <f aca="false">IF(O202="","",MIN(120,IF(SUMIFS('Fault &amp; Downtime Entry'!$L$6:$L$1005,'Fault &amp; Downtime Entry'!$E$6:$E$1005,G202,'Fault &amp; Downtime Entry'!$B$6:$B$1005,B202)=0,120,100*(INDEX('Standards &amp; Scoring'!$E$5:$E$13,MATCH("Downtime Control",'Standards &amp; Scoring'!$A$5:$A$13,0))/IFERROR(SUMIFS('Fault &amp; Downtime Entry'!$L$6:$L$1005,'Fault &amp; Downtime Entry'!$E$6:$E$1005,G202,'Fault &amp; Downtime Entry'!$B$6:$B$1005,B202)/O202*1000,999999)))))</f>
        <v/>
      </c>
      <c r="AT202" s="49" t="n">
        <f aca="false">IF(COUNTA(AH202,AJ202)=0,"",MIN(120,IF(AND(AH202&lt;&gt;"",AJ202&lt;&gt;""),AVERAGE(AH202,AJ202),IF(AH202&lt;&gt;"",AH202,AJ202))))</f>
        <v>0</v>
      </c>
      <c r="AU202" s="49" t="str">
        <f aca="false">IF(AI202="","",MIN(120,AI202))</f>
        <v/>
      </c>
      <c r="AV202" s="49" t="str">
        <f aca="false">IF(AJ202="","",MIN(120,AJ202))</f>
        <v/>
      </c>
      <c r="AW202" s="50" t="str">
        <f aca="false">IF(COUNT(AN202:AV202)&lt;9,"",(AN202*'Standards &amp; Scoring'!$D$5+AO202*'Standards &amp; Scoring'!$D$6+AP202*'Standards &amp; Scoring'!$D$7+AQ202*'Standards &amp; Scoring'!$D$8+AR202*'Standards &amp; Scoring'!$D$9+AS202*'Standards &amp; Scoring'!$D$10+AT202*'Standards &amp; Scoring'!$D$11+AU202*'Standards &amp; Scoring'!$D$12+AV202*'Standards &amp; Scoring'!$D$13)/10000)</f>
        <v/>
      </c>
      <c r="AX202" s="47" t="str">
        <f aca="false">IF(AW202="","",IF(AW202&gt;=1.05,"A+",IF(AW202&gt;=1,"A",IF(AW202&gt;=0.95,"B+",IF(AW202&gt;=0.9,"B","C")))))</f>
        <v/>
      </c>
      <c r="AY202" s="47" t="str">
        <f aca="false">IF(AX202="","",IF(AX202="A+",1800,IF(AX202="A",1600,IF(AX202="B+",1400,IF(AX202="B",1200,0)))))</f>
        <v/>
      </c>
      <c r="AZ202" s="49" t="str">
        <f aca="false">IF(OR(L202="",M202="",S202="",M202=0),"",IFERROR(L202*60*S202/(M202*36),0))</f>
        <v/>
      </c>
    </row>
    <row r="203" customFormat="false" ht="15" hidden="false" customHeight="true" outlineLevel="0" collapsed="false">
      <c r="A203" s="47" t="n">
        <f aca="false">'Daily KPI Entry'!A204</f>
        <v>0</v>
      </c>
      <c r="B203" s="48" t="n">
        <f aca="false">'Daily KPI Entry'!B204</f>
        <v>0</v>
      </c>
      <c r="C203" s="47" t="n">
        <f aca="false">'Daily KPI Entry'!C204</f>
        <v>0</v>
      </c>
      <c r="D203" s="47" t="n">
        <f aca="false">'Daily KPI Entry'!D204</f>
        <v>0</v>
      </c>
      <c r="E203" s="47" t="n">
        <f aca="false">'Daily KPI Entry'!E204</f>
        <v>0</v>
      </c>
      <c r="F203" s="47" t="n">
        <f aca="false">'Daily KPI Entry'!F204</f>
        <v>0</v>
      </c>
      <c r="G203" s="47" t="n">
        <f aca="false">'Daily KPI Entry'!G204</f>
        <v>0</v>
      </c>
      <c r="H203" s="47" t="str">
        <f aca="false">'Daily KPI Entry'!H204</f>
        <v/>
      </c>
      <c r="I203" s="47" t="n">
        <f aca="false">'Daily KPI Entry'!I204</f>
        <v>0</v>
      </c>
      <c r="J203" s="47" t="n">
        <f aca="false">'Daily KPI Entry'!J204</f>
        <v>0</v>
      </c>
      <c r="K203" s="47" t="n">
        <f aca="false">'Daily KPI Entry'!K204</f>
        <v>0</v>
      </c>
      <c r="L203" s="47" t="n">
        <f aca="false">'Daily KPI Entry'!L204</f>
        <v>0</v>
      </c>
      <c r="M203" s="47" t="n">
        <f aca="false">'Daily KPI Entry'!M204</f>
        <v>0</v>
      </c>
      <c r="N203" s="49" t="n">
        <f aca="false">'Daily KPI Entry'!N204</f>
        <v>0</v>
      </c>
      <c r="O203" s="49" t="n">
        <f aca="false">'Daily KPI Entry'!O204</f>
        <v>0</v>
      </c>
      <c r="P203" s="49" t="str">
        <f aca="false">IF(OR(N203="",O203=""),"",IFERROR(O203/N203*100,0))</f>
        <v/>
      </c>
      <c r="Q203" s="47" t="n">
        <f aca="false">'Daily KPI Entry'!Q204</f>
        <v>8</v>
      </c>
      <c r="R203" s="47" t="str">
        <f aca="false">IF(J203="","",Q203*J203)</f>
        <v/>
      </c>
      <c r="S203" s="49" t="n">
        <f aca="false">'Daily KPI Entry'!S204</f>
        <v>0</v>
      </c>
      <c r="T203" s="49" t="str">
        <f aca="false">IF(OR(R203="",S203=""),"",IFERROR(S203/R203*100,0))</f>
        <v/>
      </c>
      <c r="U203" s="49" t="str">
        <f aca="false">IF(OR(O203="",L203="",M203="",S203="",M203=0),"",IFERROR(O203/(L203*60*S203/(M203*36))*100,0))</f>
        <v/>
      </c>
      <c r="V203" s="49" t="n">
        <f aca="false">'Daily KPI Entry'!V204</f>
        <v>0</v>
      </c>
      <c r="W203" s="49" t="str">
        <f aca="false">IF(O203="","",IFERROR(V203/O203*100,0))</f>
        <v/>
      </c>
      <c r="X203" s="49" t="n">
        <f aca="false">'Daily KPI Entry'!X204</f>
        <v>0</v>
      </c>
      <c r="Y203" s="49" t="n">
        <f aca="false">'Daily KPI Entry'!Y204</f>
        <v>0</v>
      </c>
      <c r="Z203" s="49" t="n">
        <f aca="false">'Daily KPI Entry'!Z204</f>
        <v>0</v>
      </c>
      <c r="AA203" s="49" t="n">
        <f aca="false">'Daily KPI Entry'!AA204</f>
        <v>0</v>
      </c>
      <c r="AB203" s="49" t="n">
        <f aca="false">'Daily KPI Entry'!AB204</f>
        <v>0</v>
      </c>
      <c r="AC203" s="49" t="n">
        <f aca="false">'Daily KPI Entry'!AC204</f>
        <v>0</v>
      </c>
      <c r="AD203" s="49" t="n">
        <f aca="false">'Daily KPI Entry'!AD204</f>
        <v>0</v>
      </c>
      <c r="AE203" s="49" t="n">
        <f aca="false">'Daily KPI Entry'!AE204</f>
        <v>0</v>
      </c>
      <c r="AF203" s="47" t="str">
        <f aca="false">IF(O203="","",SUM(X203:AE203))</f>
        <v/>
      </c>
      <c r="AG203" s="49" t="str">
        <f aca="false">IF(O203="","",IFERROR(AF203/O203*1000,0))</f>
        <v/>
      </c>
      <c r="AH203" s="49" t="n">
        <f aca="false">'Daily KPI Entry'!AH204</f>
        <v>0</v>
      </c>
      <c r="AI203" s="49" t="n">
        <f aca="false">'Daily KPI Entry'!AI204</f>
        <v>0</v>
      </c>
      <c r="AJ203" s="49" t="n">
        <f aca="false">'Daily KPI Entry'!AJ204</f>
        <v>0</v>
      </c>
      <c r="AK203" s="47" t="n">
        <f aca="false">'Daily KPI Entry'!AK204</f>
        <v>0</v>
      </c>
      <c r="AL203" s="47" t="n">
        <f aca="false">'Daily KPI Entry'!AL204</f>
        <v>0</v>
      </c>
      <c r="AM203" s="47" t="n">
        <f aca="false">'Daily KPI Entry'!AM204</f>
        <v>0</v>
      </c>
      <c r="AN203" s="49" t="str">
        <f aca="false">IF(P203="","",MIN(120,P203))</f>
        <v/>
      </c>
      <c r="AO203" s="49" t="str">
        <f aca="false">IF(U203="","",MIN(120,U203))</f>
        <v/>
      </c>
      <c r="AP203" s="49" t="str">
        <f aca="false">IF(R203="","",MIN(120,IFERROR(S203/R203*100,0)))</f>
        <v/>
      </c>
      <c r="AQ203" s="49" t="str">
        <f aca="false">IF(W203="","",MIN(120,IF(W203=0,120,100*(INDEX('Standards &amp; Scoring'!$E$5:$E$13,MATCH("Quality / Rejection",'Standards &amp; Scoring'!$A$5:$A$13,0))/W203))))</f>
        <v/>
      </c>
      <c r="AR203" s="49" t="str">
        <f aca="false">IF(AG203="","",MIN(120,IF(AG203=0,120,100*(INDEX('Standards &amp; Scoring'!$E$5:$E$13,MATCH("Fault Control",'Standards &amp; Scoring'!$A$5:$A$13,0))/AG203))))</f>
        <v/>
      </c>
      <c r="AS203" s="49" t="str">
        <f aca="false">IF(O203="","",MIN(120,IF(SUMIFS('Fault &amp; Downtime Entry'!$L$6:$L$1005,'Fault &amp; Downtime Entry'!$E$6:$E$1005,G203,'Fault &amp; Downtime Entry'!$B$6:$B$1005,B203)=0,120,100*(INDEX('Standards &amp; Scoring'!$E$5:$E$13,MATCH("Downtime Control",'Standards &amp; Scoring'!$A$5:$A$13,0))/IFERROR(SUMIFS('Fault &amp; Downtime Entry'!$L$6:$L$1005,'Fault &amp; Downtime Entry'!$E$6:$E$1005,G203,'Fault &amp; Downtime Entry'!$B$6:$B$1005,B203)/O203*1000,999999)))))</f>
        <v/>
      </c>
      <c r="AT203" s="49" t="n">
        <f aca="false">IF(COUNTA(AH203,AJ203)=0,"",MIN(120,IF(AND(AH203&lt;&gt;"",AJ203&lt;&gt;""),AVERAGE(AH203,AJ203),IF(AH203&lt;&gt;"",AH203,AJ203))))</f>
        <v>0</v>
      </c>
      <c r="AU203" s="49" t="str">
        <f aca="false">IF(AI203="","",MIN(120,AI203))</f>
        <v/>
      </c>
      <c r="AV203" s="49" t="str">
        <f aca="false">IF(AJ203="","",MIN(120,AJ203))</f>
        <v/>
      </c>
      <c r="AW203" s="50" t="str">
        <f aca="false">IF(COUNT(AN203:AV203)&lt;9,"",(AN203*'Standards &amp; Scoring'!$D$5+AO203*'Standards &amp; Scoring'!$D$6+AP203*'Standards &amp; Scoring'!$D$7+AQ203*'Standards &amp; Scoring'!$D$8+AR203*'Standards &amp; Scoring'!$D$9+AS203*'Standards &amp; Scoring'!$D$10+AT203*'Standards &amp; Scoring'!$D$11+AU203*'Standards &amp; Scoring'!$D$12+AV203*'Standards &amp; Scoring'!$D$13)/10000)</f>
        <v/>
      </c>
      <c r="AX203" s="47" t="str">
        <f aca="false">IF(AW203="","",IF(AW203&gt;=1.05,"A+",IF(AW203&gt;=1,"A",IF(AW203&gt;=0.95,"B+",IF(AW203&gt;=0.9,"B","C")))))</f>
        <v/>
      </c>
      <c r="AY203" s="47" t="str">
        <f aca="false">IF(AX203="","",IF(AX203="A+",1800,IF(AX203="A",1600,IF(AX203="B+",1400,IF(AX203="B",1200,0)))))</f>
        <v/>
      </c>
      <c r="AZ203" s="49" t="str">
        <f aca="false">IF(OR(L203="",M203="",S203="",M203=0),"",IFERROR(L203*60*S203/(M203*36),0))</f>
        <v/>
      </c>
    </row>
    <row r="204" customFormat="false" ht="15" hidden="false" customHeight="true" outlineLevel="0" collapsed="false">
      <c r="A204" s="47" t="n">
        <f aca="false">'Daily KPI Entry'!A205</f>
        <v>0</v>
      </c>
      <c r="B204" s="48" t="n">
        <f aca="false">'Daily KPI Entry'!B205</f>
        <v>0</v>
      </c>
      <c r="C204" s="47" t="n">
        <f aca="false">'Daily KPI Entry'!C205</f>
        <v>0</v>
      </c>
      <c r="D204" s="47" t="n">
        <f aca="false">'Daily KPI Entry'!D205</f>
        <v>0</v>
      </c>
      <c r="E204" s="47" t="n">
        <f aca="false">'Daily KPI Entry'!E205</f>
        <v>0</v>
      </c>
      <c r="F204" s="47" t="n">
        <f aca="false">'Daily KPI Entry'!F205</f>
        <v>0</v>
      </c>
      <c r="G204" s="47" t="n">
        <f aca="false">'Daily KPI Entry'!G205</f>
        <v>0</v>
      </c>
      <c r="H204" s="47" t="str">
        <f aca="false">'Daily KPI Entry'!H205</f>
        <v/>
      </c>
      <c r="I204" s="47" t="n">
        <f aca="false">'Daily KPI Entry'!I205</f>
        <v>0</v>
      </c>
      <c r="J204" s="47" t="n">
        <f aca="false">'Daily KPI Entry'!J205</f>
        <v>0</v>
      </c>
      <c r="K204" s="47" t="n">
        <f aca="false">'Daily KPI Entry'!K205</f>
        <v>0</v>
      </c>
      <c r="L204" s="47" t="n">
        <f aca="false">'Daily KPI Entry'!L205</f>
        <v>0</v>
      </c>
      <c r="M204" s="47" t="n">
        <f aca="false">'Daily KPI Entry'!M205</f>
        <v>0</v>
      </c>
      <c r="N204" s="49" t="n">
        <f aca="false">'Daily KPI Entry'!N205</f>
        <v>0</v>
      </c>
      <c r="O204" s="49" t="n">
        <f aca="false">'Daily KPI Entry'!O205</f>
        <v>0</v>
      </c>
      <c r="P204" s="49" t="str">
        <f aca="false">IF(OR(N204="",O204=""),"",IFERROR(O204/N204*100,0))</f>
        <v/>
      </c>
      <c r="Q204" s="47" t="n">
        <f aca="false">'Daily KPI Entry'!Q205</f>
        <v>8</v>
      </c>
      <c r="R204" s="47" t="str">
        <f aca="false">IF(J204="","",Q204*J204)</f>
        <v/>
      </c>
      <c r="S204" s="49" t="n">
        <f aca="false">'Daily KPI Entry'!S205</f>
        <v>0</v>
      </c>
      <c r="T204" s="49" t="str">
        <f aca="false">IF(OR(R204="",S204=""),"",IFERROR(S204/R204*100,0))</f>
        <v/>
      </c>
      <c r="U204" s="49" t="str">
        <f aca="false">IF(OR(O204="",L204="",M204="",S204="",M204=0),"",IFERROR(O204/(L204*60*S204/(M204*36))*100,0))</f>
        <v/>
      </c>
      <c r="V204" s="49" t="n">
        <f aca="false">'Daily KPI Entry'!V205</f>
        <v>0</v>
      </c>
      <c r="W204" s="49" t="str">
        <f aca="false">IF(O204="","",IFERROR(V204/O204*100,0))</f>
        <v/>
      </c>
      <c r="X204" s="49" t="n">
        <f aca="false">'Daily KPI Entry'!X205</f>
        <v>0</v>
      </c>
      <c r="Y204" s="49" t="n">
        <f aca="false">'Daily KPI Entry'!Y205</f>
        <v>0</v>
      </c>
      <c r="Z204" s="49" t="n">
        <f aca="false">'Daily KPI Entry'!Z205</f>
        <v>0</v>
      </c>
      <c r="AA204" s="49" t="n">
        <f aca="false">'Daily KPI Entry'!AA205</f>
        <v>0</v>
      </c>
      <c r="AB204" s="49" t="n">
        <f aca="false">'Daily KPI Entry'!AB205</f>
        <v>0</v>
      </c>
      <c r="AC204" s="49" t="n">
        <f aca="false">'Daily KPI Entry'!AC205</f>
        <v>0</v>
      </c>
      <c r="AD204" s="49" t="n">
        <f aca="false">'Daily KPI Entry'!AD205</f>
        <v>0</v>
      </c>
      <c r="AE204" s="49" t="n">
        <f aca="false">'Daily KPI Entry'!AE205</f>
        <v>0</v>
      </c>
      <c r="AF204" s="47" t="str">
        <f aca="false">IF(O204="","",SUM(X204:AE204))</f>
        <v/>
      </c>
      <c r="AG204" s="49" t="str">
        <f aca="false">IF(O204="","",IFERROR(AF204/O204*1000,0))</f>
        <v/>
      </c>
      <c r="AH204" s="49" t="n">
        <f aca="false">'Daily KPI Entry'!AH205</f>
        <v>0</v>
      </c>
      <c r="AI204" s="49" t="n">
        <f aca="false">'Daily KPI Entry'!AI205</f>
        <v>0</v>
      </c>
      <c r="AJ204" s="49" t="n">
        <f aca="false">'Daily KPI Entry'!AJ205</f>
        <v>0</v>
      </c>
      <c r="AK204" s="47" t="n">
        <f aca="false">'Daily KPI Entry'!AK205</f>
        <v>0</v>
      </c>
      <c r="AL204" s="47" t="n">
        <f aca="false">'Daily KPI Entry'!AL205</f>
        <v>0</v>
      </c>
      <c r="AM204" s="47" t="n">
        <f aca="false">'Daily KPI Entry'!AM205</f>
        <v>0</v>
      </c>
      <c r="AN204" s="49" t="str">
        <f aca="false">IF(P204="","",MIN(120,P204))</f>
        <v/>
      </c>
      <c r="AO204" s="49" t="str">
        <f aca="false">IF(U204="","",MIN(120,U204))</f>
        <v/>
      </c>
      <c r="AP204" s="49" t="str">
        <f aca="false">IF(R204="","",MIN(120,IFERROR(S204/R204*100,0)))</f>
        <v/>
      </c>
      <c r="AQ204" s="49" t="str">
        <f aca="false">IF(W204="","",MIN(120,IF(W204=0,120,100*(INDEX('Standards &amp; Scoring'!$E$5:$E$13,MATCH("Quality / Rejection",'Standards &amp; Scoring'!$A$5:$A$13,0))/W204))))</f>
        <v/>
      </c>
      <c r="AR204" s="49" t="str">
        <f aca="false">IF(AG204="","",MIN(120,IF(AG204=0,120,100*(INDEX('Standards &amp; Scoring'!$E$5:$E$13,MATCH("Fault Control",'Standards &amp; Scoring'!$A$5:$A$13,0))/AG204))))</f>
        <v/>
      </c>
      <c r="AS204" s="49" t="str">
        <f aca="false">IF(O204="","",MIN(120,IF(SUMIFS('Fault &amp; Downtime Entry'!$L$6:$L$1005,'Fault &amp; Downtime Entry'!$E$6:$E$1005,G204,'Fault &amp; Downtime Entry'!$B$6:$B$1005,B204)=0,120,100*(INDEX('Standards &amp; Scoring'!$E$5:$E$13,MATCH("Downtime Control",'Standards &amp; Scoring'!$A$5:$A$13,0))/IFERROR(SUMIFS('Fault &amp; Downtime Entry'!$L$6:$L$1005,'Fault &amp; Downtime Entry'!$E$6:$E$1005,G204,'Fault &amp; Downtime Entry'!$B$6:$B$1005,B204)/O204*1000,999999)))))</f>
        <v/>
      </c>
      <c r="AT204" s="49" t="n">
        <f aca="false">IF(COUNTA(AH204,AJ204)=0,"",MIN(120,IF(AND(AH204&lt;&gt;"",AJ204&lt;&gt;""),AVERAGE(AH204,AJ204),IF(AH204&lt;&gt;"",AH204,AJ204))))</f>
        <v>0</v>
      </c>
      <c r="AU204" s="49" t="str">
        <f aca="false">IF(AI204="","",MIN(120,AI204))</f>
        <v/>
      </c>
      <c r="AV204" s="49" t="str">
        <f aca="false">IF(AJ204="","",MIN(120,AJ204))</f>
        <v/>
      </c>
      <c r="AW204" s="50" t="str">
        <f aca="false">IF(COUNT(AN204:AV204)&lt;9,"",(AN204*'Standards &amp; Scoring'!$D$5+AO204*'Standards &amp; Scoring'!$D$6+AP204*'Standards &amp; Scoring'!$D$7+AQ204*'Standards &amp; Scoring'!$D$8+AR204*'Standards &amp; Scoring'!$D$9+AS204*'Standards &amp; Scoring'!$D$10+AT204*'Standards &amp; Scoring'!$D$11+AU204*'Standards &amp; Scoring'!$D$12+AV204*'Standards &amp; Scoring'!$D$13)/10000)</f>
        <v/>
      </c>
      <c r="AX204" s="47" t="str">
        <f aca="false">IF(AW204="","",IF(AW204&gt;=1.05,"A+",IF(AW204&gt;=1,"A",IF(AW204&gt;=0.95,"B+",IF(AW204&gt;=0.9,"B","C")))))</f>
        <v/>
      </c>
      <c r="AY204" s="47" t="str">
        <f aca="false">IF(AX204="","",IF(AX204="A+",1800,IF(AX204="A",1600,IF(AX204="B+",1400,IF(AX204="B",1200,0)))))</f>
        <v/>
      </c>
      <c r="AZ204" s="49" t="str">
        <f aca="false">IF(OR(L204="",M204="",S204="",M204=0),"",IFERROR(L204*60*S204/(M204*36),0))</f>
        <v/>
      </c>
    </row>
    <row r="205" customFormat="false" ht="15" hidden="false" customHeight="true" outlineLevel="0" collapsed="false">
      <c r="A205" s="47" t="n">
        <f aca="false">'Daily KPI Entry'!A206</f>
        <v>0</v>
      </c>
      <c r="B205" s="48" t="n">
        <f aca="false">'Daily KPI Entry'!B206</f>
        <v>0</v>
      </c>
      <c r="C205" s="47" t="n">
        <f aca="false">'Daily KPI Entry'!C206</f>
        <v>0</v>
      </c>
      <c r="D205" s="47" t="n">
        <f aca="false">'Daily KPI Entry'!D206</f>
        <v>0</v>
      </c>
      <c r="E205" s="47" t="n">
        <f aca="false">'Daily KPI Entry'!E206</f>
        <v>0</v>
      </c>
      <c r="F205" s="47" t="n">
        <f aca="false">'Daily KPI Entry'!F206</f>
        <v>0</v>
      </c>
      <c r="G205" s="47" t="n">
        <f aca="false">'Daily KPI Entry'!G206</f>
        <v>0</v>
      </c>
      <c r="H205" s="47" t="str">
        <f aca="false">'Daily KPI Entry'!H206</f>
        <v/>
      </c>
      <c r="I205" s="47" t="n">
        <f aca="false">'Daily KPI Entry'!I206</f>
        <v>0</v>
      </c>
      <c r="J205" s="47" t="n">
        <f aca="false">'Daily KPI Entry'!J206</f>
        <v>0</v>
      </c>
      <c r="K205" s="47" t="n">
        <f aca="false">'Daily KPI Entry'!K206</f>
        <v>0</v>
      </c>
      <c r="L205" s="47" t="n">
        <f aca="false">'Daily KPI Entry'!L206</f>
        <v>0</v>
      </c>
      <c r="M205" s="47" t="n">
        <f aca="false">'Daily KPI Entry'!M206</f>
        <v>0</v>
      </c>
      <c r="N205" s="49" t="n">
        <f aca="false">'Daily KPI Entry'!N206</f>
        <v>0</v>
      </c>
      <c r="O205" s="49" t="n">
        <f aca="false">'Daily KPI Entry'!O206</f>
        <v>0</v>
      </c>
      <c r="P205" s="49" t="str">
        <f aca="false">IF(OR(N205="",O205=""),"",IFERROR(O205/N205*100,0))</f>
        <v/>
      </c>
      <c r="Q205" s="47" t="n">
        <f aca="false">'Daily KPI Entry'!Q206</f>
        <v>8</v>
      </c>
      <c r="R205" s="47" t="str">
        <f aca="false">IF(J205="","",Q205*J205)</f>
        <v/>
      </c>
      <c r="S205" s="49" t="n">
        <f aca="false">'Daily KPI Entry'!S206</f>
        <v>0</v>
      </c>
      <c r="T205" s="49" t="str">
        <f aca="false">IF(OR(R205="",S205=""),"",IFERROR(S205/R205*100,0))</f>
        <v/>
      </c>
      <c r="U205" s="49" t="str">
        <f aca="false">IF(OR(O205="",L205="",M205="",S205="",M205=0),"",IFERROR(O205/(L205*60*S205/(M205*36))*100,0))</f>
        <v/>
      </c>
      <c r="V205" s="49" t="n">
        <f aca="false">'Daily KPI Entry'!V206</f>
        <v>0</v>
      </c>
      <c r="W205" s="49" t="str">
        <f aca="false">IF(O205="","",IFERROR(V205/O205*100,0))</f>
        <v/>
      </c>
      <c r="X205" s="49" t="n">
        <f aca="false">'Daily KPI Entry'!X206</f>
        <v>0</v>
      </c>
      <c r="Y205" s="49" t="n">
        <f aca="false">'Daily KPI Entry'!Y206</f>
        <v>0</v>
      </c>
      <c r="Z205" s="49" t="n">
        <f aca="false">'Daily KPI Entry'!Z206</f>
        <v>0</v>
      </c>
      <c r="AA205" s="49" t="n">
        <f aca="false">'Daily KPI Entry'!AA206</f>
        <v>0</v>
      </c>
      <c r="AB205" s="49" t="n">
        <f aca="false">'Daily KPI Entry'!AB206</f>
        <v>0</v>
      </c>
      <c r="AC205" s="49" t="n">
        <f aca="false">'Daily KPI Entry'!AC206</f>
        <v>0</v>
      </c>
      <c r="AD205" s="49" t="n">
        <f aca="false">'Daily KPI Entry'!AD206</f>
        <v>0</v>
      </c>
      <c r="AE205" s="49" t="n">
        <f aca="false">'Daily KPI Entry'!AE206</f>
        <v>0</v>
      </c>
      <c r="AF205" s="47" t="str">
        <f aca="false">IF(O205="","",SUM(X205:AE205))</f>
        <v/>
      </c>
      <c r="AG205" s="49" t="str">
        <f aca="false">IF(O205="","",IFERROR(AF205/O205*1000,0))</f>
        <v/>
      </c>
      <c r="AH205" s="49" t="n">
        <f aca="false">'Daily KPI Entry'!AH206</f>
        <v>0</v>
      </c>
      <c r="AI205" s="49" t="n">
        <f aca="false">'Daily KPI Entry'!AI206</f>
        <v>0</v>
      </c>
      <c r="AJ205" s="49" t="n">
        <f aca="false">'Daily KPI Entry'!AJ206</f>
        <v>0</v>
      </c>
      <c r="AK205" s="47" t="n">
        <f aca="false">'Daily KPI Entry'!AK206</f>
        <v>0</v>
      </c>
      <c r="AL205" s="47" t="n">
        <f aca="false">'Daily KPI Entry'!AL206</f>
        <v>0</v>
      </c>
      <c r="AM205" s="47" t="n">
        <f aca="false">'Daily KPI Entry'!AM206</f>
        <v>0</v>
      </c>
      <c r="AN205" s="49" t="str">
        <f aca="false">IF(P205="","",MIN(120,P205))</f>
        <v/>
      </c>
      <c r="AO205" s="49" t="str">
        <f aca="false">IF(U205="","",MIN(120,U205))</f>
        <v/>
      </c>
      <c r="AP205" s="49" t="str">
        <f aca="false">IF(R205="","",MIN(120,IFERROR(S205/R205*100,0)))</f>
        <v/>
      </c>
      <c r="AQ205" s="49" t="str">
        <f aca="false">IF(W205="","",MIN(120,IF(W205=0,120,100*(INDEX('Standards &amp; Scoring'!$E$5:$E$13,MATCH("Quality / Rejection",'Standards &amp; Scoring'!$A$5:$A$13,0))/W205))))</f>
        <v/>
      </c>
      <c r="AR205" s="49" t="str">
        <f aca="false">IF(AG205="","",MIN(120,IF(AG205=0,120,100*(INDEX('Standards &amp; Scoring'!$E$5:$E$13,MATCH("Fault Control",'Standards &amp; Scoring'!$A$5:$A$13,0))/AG205))))</f>
        <v/>
      </c>
      <c r="AS205" s="49" t="str">
        <f aca="false">IF(O205="","",MIN(120,IF(SUMIFS('Fault &amp; Downtime Entry'!$L$6:$L$1005,'Fault &amp; Downtime Entry'!$E$6:$E$1005,G205,'Fault &amp; Downtime Entry'!$B$6:$B$1005,B205)=0,120,100*(INDEX('Standards &amp; Scoring'!$E$5:$E$13,MATCH("Downtime Control",'Standards &amp; Scoring'!$A$5:$A$13,0))/IFERROR(SUMIFS('Fault &amp; Downtime Entry'!$L$6:$L$1005,'Fault &amp; Downtime Entry'!$E$6:$E$1005,G205,'Fault &amp; Downtime Entry'!$B$6:$B$1005,B205)/O205*1000,999999)))))</f>
        <v/>
      </c>
      <c r="AT205" s="49" t="n">
        <f aca="false">IF(COUNTA(AH205,AJ205)=0,"",MIN(120,IF(AND(AH205&lt;&gt;"",AJ205&lt;&gt;""),AVERAGE(AH205,AJ205),IF(AH205&lt;&gt;"",AH205,AJ205))))</f>
        <v>0</v>
      </c>
      <c r="AU205" s="49" t="str">
        <f aca="false">IF(AI205="","",MIN(120,AI205))</f>
        <v/>
      </c>
      <c r="AV205" s="49" t="str">
        <f aca="false">IF(AJ205="","",MIN(120,AJ205))</f>
        <v/>
      </c>
      <c r="AW205" s="50" t="str">
        <f aca="false">IF(COUNT(AN205:AV205)&lt;9,"",(AN205*'Standards &amp; Scoring'!$D$5+AO205*'Standards &amp; Scoring'!$D$6+AP205*'Standards &amp; Scoring'!$D$7+AQ205*'Standards &amp; Scoring'!$D$8+AR205*'Standards &amp; Scoring'!$D$9+AS205*'Standards &amp; Scoring'!$D$10+AT205*'Standards &amp; Scoring'!$D$11+AU205*'Standards &amp; Scoring'!$D$12+AV205*'Standards &amp; Scoring'!$D$13)/10000)</f>
        <v/>
      </c>
      <c r="AX205" s="47" t="str">
        <f aca="false">IF(AW205="","",IF(AW205&gt;=1.05,"A+",IF(AW205&gt;=1,"A",IF(AW205&gt;=0.95,"B+",IF(AW205&gt;=0.9,"B","C")))))</f>
        <v/>
      </c>
      <c r="AY205" s="47" t="str">
        <f aca="false">IF(AX205="","",IF(AX205="A+",1800,IF(AX205="A",1600,IF(AX205="B+",1400,IF(AX205="B",1200,0)))))</f>
        <v/>
      </c>
      <c r="AZ205" s="49" t="str">
        <f aca="false">IF(OR(L205="",M205="",S205="",M205=0),"",IFERROR(L205*60*S205/(M205*36),0))</f>
        <v/>
      </c>
    </row>
    <row r="206" customFormat="false" ht="15" hidden="false" customHeight="true" outlineLevel="0" collapsed="false">
      <c r="A206" s="47" t="n">
        <f aca="false">'Daily KPI Entry'!A207</f>
        <v>0</v>
      </c>
      <c r="B206" s="48" t="n">
        <f aca="false">'Daily KPI Entry'!B207</f>
        <v>0</v>
      </c>
      <c r="C206" s="47" t="n">
        <f aca="false">'Daily KPI Entry'!C207</f>
        <v>0</v>
      </c>
      <c r="D206" s="47" t="n">
        <f aca="false">'Daily KPI Entry'!D207</f>
        <v>0</v>
      </c>
      <c r="E206" s="47" t="n">
        <f aca="false">'Daily KPI Entry'!E207</f>
        <v>0</v>
      </c>
      <c r="F206" s="47" t="n">
        <f aca="false">'Daily KPI Entry'!F207</f>
        <v>0</v>
      </c>
      <c r="G206" s="47" t="n">
        <f aca="false">'Daily KPI Entry'!G207</f>
        <v>0</v>
      </c>
      <c r="H206" s="47" t="str">
        <f aca="false">'Daily KPI Entry'!H207</f>
        <v/>
      </c>
      <c r="I206" s="47" t="n">
        <f aca="false">'Daily KPI Entry'!I207</f>
        <v>0</v>
      </c>
      <c r="J206" s="47" t="n">
        <f aca="false">'Daily KPI Entry'!J207</f>
        <v>0</v>
      </c>
      <c r="K206" s="47" t="n">
        <f aca="false">'Daily KPI Entry'!K207</f>
        <v>0</v>
      </c>
      <c r="L206" s="47" t="n">
        <f aca="false">'Daily KPI Entry'!L207</f>
        <v>0</v>
      </c>
      <c r="M206" s="47" t="n">
        <f aca="false">'Daily KPI Entry'!M207</f>
        <v>0</v>
      </c>
      <c r="N206" s="49" t="n">
        <f aca="false">'Daily KPI Entry'!N207</f>
        <v>0</v>
      </c>
      <c r="O206" s="49" t="n">
        <f aca="false">'Daily KPI Entry'!O207</f>
        <v>0</v>
      </c>
      <c r="P206" s="49" t="str">
        <f aca="false">IF(OR(N206="",O206=""),"",IFERROR(O206/N206*100,0))</f>
        <v/>
      </c>
      <c r="Q206" s="47" t="n">
        <f aca="false">'Daily KPI Entry'!Q207</f>
        <v>8</v>
      </c>
      <c r="R206" s="47" t="str">
        <f aca="false">IF(J206="","",Q206*J206)</f>
        <v/>
      </c>
      <c r="S206" s="49" t="n">
        <f aca="false">'Daily KPI Entry'!S207</f>
        <v>0</v>
      </c>
      <c r="T206" s="49" t="str">
        <f aca="false">IF(OR(R206="",S206=""),"",IFERROR(S206/R206*100,0))</f>
        <v/>
      </c>
      <c r="U206" s="49" t="str">
        <f aca="false">IF(OR(O206="",L206="",M206="",S206="",M206=0),"",IFERROR(O206/(L206*60*S206/(M206*36))*100,0))</f>
        <v/>
      </c>
      <c r="V206" s="49" t="n">
        <f aca="false">'Daily KPI Entry'!V207</f>
        <v>0</v>
      </c>
      <c r="W206" s="49" t="str">
        <f aca="false">IF(O206="","",IFERROR(V206/O206*100,0))</f>
        <v/>
      </c>
      <c r="X206" s="49" t="n">
        <f aca="false">'Daily KPI Entry'!X207</f>
        <v>0</v>
      </c>
      <c r="Y206" s="49" t="n">
        <f aca="false">'Daily KPI Entry'!Y207</f>
        <v>0</v>
      </c>
      <c r="Z206" s="49" t="n">
        <f aca="false">'Daily KPI Entry'!Z207</f>
        <v>0</v>
      </c>
      <c r="AA206" s="49" t="n">
        <f aca="false">'Daily KPI Entry'!AA207</f>
        <v>0</v>
      </c>
      <c r="AB206" s="49" t="n">
        <f aca="false">'Daily KPI Entry'!AB207</f>
        <v>0</v>
      </c>
      <c r="AC206" s="49" t="n">
        <f aca="false">'Daily KPI Entry'!AC207</f>
        <v>0</v>
      </c>
      <c r="AD206" s="49" t="n">
        <f aca="false">'Daily KPI Entry'!AD207</f>
        <v>0</v>
      </c>
      <c r="AE206" s="49" t="n">
        <f aca="false">'Daily KPI Entry'!AE207</f>
        <v>0</v>
      </c>
      <c r="AF206" s="47" t="str">
        <f aca="false">IF(O206="","",SUM(X206:AE206))</f>
        <v/>
      </c>
      <c r="AG206" s="49" t="str">
        <f aca="false">IF(O206="","",IFERROR(AF206/O206*1000,0))</f>
        <v/>
      </c>
      <c r="AH206" s="49" t="n">
        <f aca="false">'Daily KPI Entry'!AH207</f>
        <v>0</v>
      </c>
      <c r="AI206" s="49" t="n">
        <f aca="false">'Daily KPI Entry'!AI207</f>
        <v>0</v>
      </c>
      <c r="AJ206" s="49" t="n">
        <f aca="false">'Daily KPI Entry'!AJ207</f>
        <v>0</v>
      </c>
      <c r="AK206" s="47" t="n">
        <f aca="false">'Daily KPI Entry'!AK207</f>
        <v>0</v>
      </c>
      <c r="AL206" s="47" t="n">
        <f aca="false">'Daily KPI Entry'!AL207</f>
        <v>0</v>
      </c>
      <c r="AM206" s="47" t="n">
        <f aca="false">'Daily KPI Entry'!AM207</f>
        <v>0</v>
      </c>
      <c r="AN206" s="49" t="str">
        <f aca="false">IF(P206="","",MIN(120,P206))</f>
        <v/>
      </c>
      <c r="AO206" s="49" t="str">
        <f aca="false">IF(U206="","",MIN(120,U206))</f>
        <v/>
      </c>
      <c r="AP206" s="49" t="str">
        <f aca="false">IF(R206="","",MIN(120,IFERROR(S206/R206*100,0)))</f>
        <v/>
      </c>
      <c r="AQ206" s="49" t="str">
        <f aca="false">IF(W206="","",MIN(120,IF(W206=0,120,100*(INDEX('Standards &amp; Scoring'!$E$5:$E$13,MATCH("Quality / Rejection",'Standards &amp; Scoring'!$A$5:$A$13,0))/W206))))</f>
        <v/>
      </c>
      <c r="AR206" s="49" t="str">
        <f aca="false">IF(AG206="","",MIN(120,IF(AG206=0,120,100*(INDEX('Standards &amp; Scoring'!$E$5:$E$13,MATCH("Fault Control",'Standards &amp; Scoring'!$A$5:$A$13,0))/AG206))))</f>
        <v/>
      </c>
      <c r="AS206" s="49" t="str">
        <f aca="false">IF(O206="","",MIN(120,IF(SUMIFS('Fault &amp; Downtime Entry'!$L$6:$L$1005,'Fault &amp; Downtime Entry'!$E$6:$E$1005,G206,'Fault &amp; Downtime Entry'!$B$6:$B$1005,B206)=0,120,100*(INDEX('Standards &amp; Scoring'!$E$5:$E$13,MATCH("Downtime Control",'Standards &amp; Scoring'!$A$5:$A$13,0))/IFERROR(SUMIFS('Fault &amp; Downtime Entry'!$L$6:$L$1005,'Fault &amp; Downtime Entry'!$E$6:$E$1005,G206,'Fault &amp; Downtime Entry'!$B$6:$B$1005,B206)/O206*1000,999999)))))</f>
        <v/>
      </c>
      <c r="AT206" s="49" t="n">
        <f aca="false">IF(COUNTA(AH206,AJ206)=0,"",MIN(120,IF(AND(AH206&lt;&gt;"",AJ206&lt;&gt;""),AVERAGE(AH206,AJ206),IF(AH206&lt;&gt;"",AH206,AJ206))))</f>
        <v>0</v>
      </c>
      <c r="AU206" s="49" t="str">
        <f aca="false">IF(AI206="","",MIN(120,AI206))</f>
        <v/>
      </c>
      <c r="AV206" s="49" t="str">
        <f aca="false">IF(AJ206="","",MIN(120,AJ206))</f>
        <v/>
      </c>
      <c r="AW206" s="50" t="str">
        <f aca="false">IF(COUNT(AN206:AV206)&lt;9,"",(AN206*'Standards &amp; Scoring'!$D$5+AO206*'Standards &amp; Scoring'!$D$6+AP206*'Standards &amp; Scoring'!$D$7+AQ206*'Standards &amp; Scoring'!$D$8+AR206*'Standards &amp; Scoring'!$D$9+AS206*'Standards &amp; Scoring'!$D$10+AT206*'Standards &amp; Scoring'!$D$11+AU206*'Standards &amp; Scoring'!$D$12+AV206*'Standards &amp; Scoring'!$D$13)/10000)</f>
        <v/>
      </c>
      <c r="AX206" s="47" t="str">
        <f aca="false">IF(AW206="","",IF(AW206&gt;=1.05,"A+",IF(AW206&gt;=1,"A",IF(AW206&gt;=0.95,"B+",IF(AW206&gt;=0.9,"B","C")))))</f>
        <v/>
      </c>
      <c r="AY206" s="47" t="str">
        <f aca="false">IF(AX206="","",IF(AX206="A+",1800,IF(AX206="A",1600,IF(AX206="B+",1400,IF(AX206="B",1200,0)))))</f>
        <v/>
      </c>
      <c r="AZ206" s="49" t="str">
        <f aca="false">IF(OR(L206="",M206="",S206="",M206=0),"",IFERROR(L206*60*S206/(M206*36),0))</f>
        <v/>
      </c>
    </row>
    <row r="207" customFormat="false" ht="15" hidden="false" customHeight="true" outlineLevel="0" collapsed="false">
      <c r="A207" s="47" t="n">
        <f aca="false">'Daily KPI Entry'!A208</f>
        <v>0</v>
      </c>
      <c r="B207" s="48" t="n">
        <f aca="false">'Daily KPI Entry'!B208</f>
        <v>0</v>
      </c>
      <c r="C207" s="47" t="n">
        <f aca="false">'Daily KPI Entry'!C208</f>
        <v>0</v>
      </c>
      <c r="D207" s="47" t="n">
        <f aca="false">'Daily KPI Entry'!D208</f>
        <v>0</v>
      </c>
      <c r="E207" s="47" t="n">
        <f aca="false">'Daily KPI Entry'!E208</f>
        <v>0</v>
      </c>
      <c r="F207" s="47" t="n">
        <f aca="false">'Daily KPI Entry'!F208</f>
        <v>0</v>
      </c>
      <c r="G207" s="47" t="n">
        <f aca="false">'Daily KPI Entry'!G208</f>
        <v>0</v>
      </c>
      <c r="H207" s="47" t="str">
        <f aca="false">'Daily KPI Entry'!H208</f>
        <v/>
      </c>
      <c r="I207" s="47" t="n">
        <f aca="false">'Daily KPI Entry'!I208</f>
        <v>0</v>
      </c>
      <c r="J207" s="47" t="n">
        <f aca="false">'Daily KPI Entry'!J208</f>
        <v>0</v>
      </c>
      <c r="K207" s="47" t="n">
        <f aca="false">'Daily KPI Entry'!K208</f>
        <v>0</v>
      </c>
      <c r="L207" s="47" t="n">
        <f aca="false">'Daily KPI Entry'!L208</f>
        <v>0</v>
      </c>
      <c r="M207" s="47" t="n">
        <f aca="false">'Daily KPI Entry'!M208</f>
        <v>0</v>
      </c>
      <c r="N207" s="49" t="n">
        <f aca="false">'Daily KPI Entry'!N208</f>
        <v>0</v>
      </c>
      <c r="O207" s="49" t="n">
        <f aca="false">'Daily KPI Entry'!O208</f>
        <v>0</v>
      </c>
      <c r="P207" s="49" t="str">
        <f aca="false">IF(OR(N207="",O207=""),"",IFERROR(O207/N207*100,0))</f>
        <v/>
      </c>
      <c r="Q207" s="47" t="n">
        <f aca="false">'Daily KPI Entry'!Q208</f>
        <v>8</v>
      </c>
      <c r="R207" s="47" t="str">
        <f aca="false">IF(J207="","",Q207*J207)</f>
        <v/>
      </c>
      <c r="S207" s="49" t="n">
        <f aca="false">'Daily KPI Entry'!S208</f>
        <v>0</v>
      </c>
      <c r="T207" s="49" t="str">
        <f aca="false">IF(OR(R207="",S207=""),"",IFERROR(S207/R207*100,0))</f>
        <v/>
      </c>
      <c r="U207" s="49" t="str">
        <f aca="false">IF(OR(O207="",L207="",M207="",S207="",M207=0),"",IFERROR(O207/(L207*60*S207/(M207*36))*100,0))</f>
        <v/>
      </c>
      <c r="V207" s="49" t="n">
        <f aca="false">'Daily KPI Entry'!V208</f>
        <v>0</v>
      </c>
      <c r="W207" s="49" t="str">
        <f aca="false">IF(O207="","",IFERROR(V207/O207*100,0))</f>
        <v/>
      </c>
      <c r="X207" s="49" t="n">
        <f aca="false">'Daily KPI Entry'!X208</f>
        <v>0</v>
      </c>
      <c r="Y207" s="49" t="n">
        <f aca="false">'Daily KPI Entry'!Y208</f>
        <v>0</v>
      </c>
      <c r="Z207" s="49" t="n">
        <f aca="false">'Daily KPI Entry'!Z208</f>
        <v>0</v>
      </c>
      <c r="AA207" s="49" t="n">
        <f aca="false">'Daily KPI Entry'!AA208</f>
        <v>0</v>
      </c>
      <c r="AB207" s="49" t="n">
        <f aca="false">'Daily KPI Entry'!AB208</f>
        <v>0</v>
      </c>
      <c r="AC207" s="49" t="n">
        <f aca="false">'Daily KPI Entry'!AC208</f>
        <v>0</v>
      </c>
      <c r="AD207" s="49" t="n">
        <f aca="false">'Daily KPI Entry'!AD208</f>
        <v>0</v>
      </c>
      <c r="AE207" s="49" t="n">
        <f aca="false">'Daily KPI Entry'!AE208</f>
        <v>0</v>
      </c>
      <c r="AF207" s="47" t="str">
        <f aca="false">IF(O207="","",SUM(X207:AE207))</f>
        <v/>
      </c>
      <c r="AG207" s="49" t="str">
        <f aca="false">IF(O207="","",IFERROR(AF207/O207*1000,0))</f>
        <v/>
      </c>
      <c r="AH207" s="49" t="n">
        <f aca="false">'Daily KPI Entry'!AH208</f>
        <v>0</v>
      </c>
      <c r="AI207" s="49" t="n">
        <f aca="false">'Daily KPI Entry'!AI208</f>
        <v>0</v>
      </c>
      <c r="AJ207" s="49" t="n">
        <f aca="false">'Daily KPI Entry'!AJ208</f>
        <v>0</v>
      </c>
      <c r="AK207" s="47" t="n">
        <f aca="false">'Daily KPI Entry'!AK208</f>
        <v>0</v>
      </c>
      <c r="AL207" s="47" t="n">
        <f aca="false">'Daily KPI Entry'!AL208</f>
        <v>0</v>
      </c>
      <c r="AM207" s="47" t="n">
        <f aca="false">'Daily KPI Entry'!AM208</f>
        <v>0</v>
      </c>
      <c r="AN207" s="49" t="str">
        <f aca="false">IF(P207="","",MIN(120,P207))</f>
        <v/>
      </c>
      <c r="AO207" s="49" t="str">
        <f aca="false">IF(U207="","",MIN(120,U207))</f>
        <v/>
      </c>
      <c r="AP207" s="49" t="str">
        <f aca="false">IF(R207="","",MIN(120,IFERROR(S207/R207*100,0)))</f>
        <v/>
      </c>
      <c r="AQ207" s="49" t="str">
        <f aca="false">IF(W207="","",MIN(120,IF(W207=0,120,100*(INDEX('Standards &amp; Scoring'!$E$5:$E$13,MATCH("Quality / Rejection",'Standards &amp; Scoring'!$A$5:$A$13,0))/W207))))</f>
        <v/>
      </c>
      <c r="AR207" s="49" t="str">
        <f aca="false">IF(AG207="","",MIN(120,IF(AG207=0,120,100*(INDEX('Standards &amp; Scoring'!$E$5:$E$13,MATCH("Fault Control",'Standards &amp; Scoring'!$A$5:$A$13,0))/AG207))))</f>
        <v/>
      </c>
      <c r="AS207" s="49" t="str">
        <f aca="false">IF(O207="","",MIN(120,IF(SUMIFS('Fault &amp; Downtime Entry'!$L$6:$L$1005,'Fault &amp; Downtime Entry'!$E$6:$E$1005,G207,'Fault &amp; Downtime Entry'!$B$6:$B$1005,B207)=0,120,100*(INDEX('Standards &amp; Scoring'!$E$5:$E$13,MATCH("Downtime Control",'Standards &amp; Scoring'!$A$5:$A$13,0))/IFERROR(SUMIFS('Fault &amp; Downtime Entry'!$L$6:$L$1005,'Fault &amp; Downtime Entry'!$E$6:$E$1005,G207,'Fault &amp; Downtime Entry'!$B$6:$B$1005,B207)/O207*1000,999999)))))</f>
        <v/>
      </c>
      <c r="AT207" s="49" t="n">
        <f aca="false">IF(COUNTA(AH207,AJ207)=0,"",MIN(120,IF(AND(AH207&lt;&gt;"",AJ207&lt;&gt;""),AVERAGE(AH207,AJ207),IF(AH207&lt;&gt;"",AH207,AJ207))))</f>
        <v>0</v>
      </c>
      <c r="AU207" s="49" t="str">
        <f aca="false">IF(AI207="","",MIN(120,AI207))</f>
        <v/>
      </c>
      <c r="AV207" s="49" t="str">
        <f aca="false">IF(AJ207="","",MIN(120,AJ207))</f>
        <v/>
      </c>
      <c r="AW207" s="50" t="str">
        <f aca="false">IF(COUNT(AN207:AV207)&lt;9,"",(AN207*'Standards &amp; Scoring'!$D$5+AO207*'Standards &amp; Scoring'!$D$6+AP207*'Standards &amp; Scoring'!$D$7+AQ207*'Standards &amp; Scoring'!$D$8+AR207*'Standards &amp; Scoring'!$D$9+AS207*'Standards &amp; Scoring'!$D$10+AT207*'Standards &amp; Scoring'!$D$11+AU207*'Standards &amp; Scoring'!$D$12+AV207*'Standards &amp; Scoring'!$D$13)/10000)</f>
        <v/>
      </c>
      <c r="AX207" s="47" t="str">
        <f aca="false">IF(AW207="","",IF(AW207&gt;=1.05,"A+",IF(AW207&gt;=1,"A",IF(AW207&gt;=0.95,"B+",IF(AW207&gt;=0.9,"B","C")))))</f>
        <v/>
      </c>
      <c r="AY207" s="47" t="str">
        <f aca="false">IF(AX207="","",IF(AX207="A+",1800,IF(AX207="A",1600,IF(AX207="B+",1400,IF(AX207="B",1200,0)))))</f>
        <v/>
      </c>
      <c r="AZ207" s="49" t="str">
        <f aca="false">IF(OR(L207="",M207="",S207="",M207=0),"",IFERROR(L207*60*S207/(M207*36),0))</f>
        <v/>
      </c>
    </row>
    <row r="208" customFormat="false" ht="15" hidden="false" customHeight="true" outlineLevel="0" collapsed="false">
      <c r="A208" s="47" t="n">
        <f aca="false">'Daily KPI Entry'!A209</f>
        <v>0</v>
      </c>
      <c r="B208" s="48" t="n">
        <f aca="false">'Daily KPI Entry'!B209</f>
        <v>0</v>
      </c>
      <c r="C208" s="47" t="n">
        <f aca="false">'Daily KPI Entry'!C209</f>
        <v>0</v>
      </c>
      <c r="D208" s="47" t="n">
        <f aca="false">'Daily KPI Entry'!D209</f>
        <v>0</v>
      </c>
      <c r="E208" s="47" t="n">
        <f aca="false">'Daily KPI Entry'!E209</f>
        <v>0</v>
      </c>
      <c r="F208" s="47" t="n">
        <f aca="false">'Daily KPI Entry'!F209</f>
        <v>0</v>
      </c>
      <c r="G208" s="47" t="n">
        <f aca="false">'Daily KPI Entry'!G209</f>
        <v>0</v>
      </c>
      <c r="H208" s="47" t="str">
        <f aca="false">'Daily KPI Entry'!H209</f>
        <v/>
      </c>
      <c r="I208" s="47" t="n">
        <f aca="false">'Daily KPI Entry'!I209</f>
        <v>0</v>
      </c>
      <c r="J208" s="47" t="n">
        <f aca="false">'Daily KPI Entry'!J209</f>
        <v>0</v>
      </c>
      <c r="K208" s="47" t="n">
        <f aca="false">'Daily KPI Entry'!K209</f>
        <v>0</v>
      </c>
      <c r="L208" s="47" t="n">
        <f aca="false">'Daily KPI Entry'!L209</f>
        <v>0</v>
      </c>
      <c r="M208" s="47" t="n">
        <f aca="false">'Daily KPI Entry'!M209</f>
        <v>0</v>
      </c>
      <c r="N208" s="49" t="n">
        <f aca="false">'Daily KPI Entry'!N209</f>
        <v>0</v>
      </c>
      <c r="O208" s="49" t="n">
        <f aca="false">'Daily KPI Entry'!O209</f>
        <v>0</v>
      </c>
      <c r="P208" s="49" t="str">
        <f aca="false">IF(OR(N208="",O208=""),"",IFERROR(O208/N208*100,0))</f>
        <v/>
      </c>
      <c r="Q208" s="47" t="n">
        <f aca="false">'Daily KPI Entry'!Q209</f>
        <v>8</v>
      </c>
      <c r="R208" s="47" t="str">
        <f aca="false">IF(J208="","",Q208*J208)</f>
        <v/>
      </c>
      <c r="S208" s="49" t="n">
        <f aca="false">'Daily KPI Entry'!S209</f>
        <v>0</v>
      </c>
      <c r="T208" s="49" t="str">
        <f aca="false">IF(OR(R208="",S208=""),"",IFERROR(S208/R208*100,0))</f>
        <v/>
      </c>
      <c r="U208" s="49" t="str">
        <f aca="false">IF(OR(O208="",L208="",M208="",S208="",M208=0),"",IFERROR(O208/(L208*60*S208/(M208*36))*100,0))</f>
        <v/>
      </c>
      <c r="V208" s="49" t="n">
        <f aca="false">'Daily KPI Entry'!V209</f>
        <v>0</v>
      </c>
      <c r="W208" s="49" t="str">
        <f aca="false">IF(O208="","",IFERROR(V208/O208*100,0))</f>
        <v/>
      </c>
      <c r="X208" s="49" t="n">
        <f aca="false">'Daily KPI Entry'!X209</f>
        <v>0</v>
      </c>
      <c r="Y208" s="49" t="n">
        <f aca="false">'Daily KPI Entry'!Y209</f>
        <v>0</v>
      </c>
      <c r="Z208" s="49" t="n">
        <f aca="false">'Daily KPI Entry'!Z209</f>
        <v>0</v>
      </c>
      <c r="AA208" s="49" t="n">
        <f aca="false">'Daily KPI Entry'!AA209</f>
        <v>0</v>
      </c>
      <c r="AB208" s="49" t="n">
        <f aca="false">'Daily KPI Entry'!AB209</f>
        <v>0</v>
      </c>
      <c r="AC208" s="49" t="n">
        <f aca="false">'Daily KPI Entry'!AC209</f>
        <v>0</v>
      </c>
      <c r="AD208" s="49" t="n">
        <f aca="false">'Daily KPI Entry'!AD209</f>
        <v>0</v>
      </c>
      <c r="AE208" s="49" t="n">
        <f aca="false">'Daily KPI Entry'!AE209</f>
        <v>0</v>
      </c>
      <c r="AF208" s="47" t="str">
        <f aca="false">IF(O208="","",SUM(X208:AE208))</f>
        <v/>
      </c>
      <c r="AG208" s="49" t="str">
        <f aca="false">IF(O208="","",IFERROR(AF208/O208*1000,0))</f>
        <v/>
      </c>
      <c r="AH208" s="49" t="n">
        <f aca="false">'Daily KPI Entry'!AH209</f>
        <v>0</v>
      </c>
      <c r="AI208" s="49" t="n">
        <f aca="false">'Daily KPI Entry'!AI209</f>
        <v>0</v>
      </c>
      <c r="AJ208" s="49" t="n">
        <f aca="false">'Daily KPI Entry'!AJ209</f>
        <v>0</v>
      </c>
      <c r="AK208" s="47" t="n">
        <f aca="false">'Daily KPI Entry'!AK209</f>
        <v>0</v>
      </c>
      <c r="AL208" s="47" t="n">
        <f aca="false">'Daily KPI Entry'!AL209</f>
        <v>0</v>
      </c>
      <c r="AM208" s="47" t="n">
        <f aca="false">'Daily KPI Entry'!AM209</f>
        <v>0</v>
      </c>
      <c r="AN208" s="49" t="str">
        <f aca="false">IF(P208="","",MIN(120,P208))</f>
        <v/>
      </c>
      <c r="AO208" s="49" t="str">
        <f aca="false">IF(U208="","",MIN(120,U208))</f>
        <v/>
      </c>
      <c r="AP208" s="49" t="str">
        <f aca="false">IF(R208="","",MIN(120,IFERROR(S208/R208*100,0)))</f>
        <v/>
      </c>
      <c r="AQ208" s="49" t="str">
        <f aca="false">IF(W208="","",MIN(120,IF(W208=0,120,100*(INDEX('Standards &amp; Scoring'!$E$5:$E$13,MATCH("Quality / Rejection",'Standards &amp; Scoring'!$A$5:$A$13,0))/W208))))</f>
        <v/>
      </c>
      <c r="AR208" s="49" t="str">
        <f aca="false">IF(AG208="","",MIN(120,IF(AG208=0,120,100*(INDEX('Standards &amp; Scoring'!$E$5:$E$13,MATCH("Fault Control",'Standards &amp; Scoring'!$A$5:$A$13,0))/AG208))))</f>
        <v/>
      </c>
      <c r="AS208" s="49" t="str">
        <f aca="false">IF(O208="","",MIN(120,IF(SUMIFS('Fault &amp; Downtime Entry'!$L$6:$L$1005,'Fault &amp; Downtime Entry'!$E$6:$E$1005,G208,'Fault &amp; Downtime Entry'!$B$6:$B$1005,B208)=0,120,100*(INDEX('Standards &amp; Scoring'!$E$5:$E$13,MATCH("Downtime Control",'Standards &amp; Scoring'!$A$5:$A$13,0))/IFERROR(SUMIFS('Fault &amp; Downtime Entry'!$L$6:$L$1005,'Fault &amp; Downtime Entry'!$E$6:$E$1005,G208,'Fault &amp; Downtime Entry'!$B$6:$B$1005,B208)/O208*1000,999999)))))</f>
        <v/>
      </c>
      <c r="AT208" s="49" t="n">
        <f aca="false">IF(COUNTA(AH208,AJ208)=0,"",MIN(120,IF(AND(AH208&lt;&gt;"",AJ208&lt;&gt;""),AVERAGE(AH208,AJ208),IF(AH208&lt;&gt;"",AH208,AJ208))))</f>
        <v>0</v>
      </c>
      <c r="AU208" s="49" t="str">
        <f aca="false">IF(AI208="","",MIN(120,AI208))</f>
        <v/>
      </c>
      <c r="AV208" s="49" t="str">
        <f aca="false">IF(AJ208="","",MIN(120,AJ208))</f>
        <v/>
      </c>
      <c r="AW208" s="50" t="str">
        <f aca="false">IF(COUNT(AN208:AV208)&lt;9,"",(AN208*'Standards &amp; Scoring'!$D$5+AO208*'Standards &amp; Scoring'!$D$6+AP208*'Standards &amp; Scoring'!$D$7+AQ208*'Standards &amp; Scoring'!$D$8+AR208*'Standards &amp; Scoring'!$D$9+AS208*'Standards &amp; Scoring'!$D$10+AT208*'Standards &amp; Scoring'!$D$11+AU208*'Standards &amp; Scoring'!$D$12+AV208*'Standards &amp; Scoring'!$D$13)/10000)</f>
        <v/>
      </c>
      <c r="AX208" s="47" t="str">
        <f aca="false">IF(AW208="","",IF(AW208&gt;=1.05,"A+",IF(AW208&gt;=1,"A",IF(AW208&gt;=0.95,"B+",IF(AW208&gt;=0.9,"B","C")))))</f>
        <v/>
      </c>
      <c r="AY208" s="47" t="str">
        <f aca="false">IF(AX208="","",IF(AX208="A+",1800,IF(AX208="A",1600,IF(AX208="B+",1400,IF(AX208="B",1200,0)))))</f>
        <v/>
      </c>
      <c r="AZ208" s="49" t="str">
        <f aca="false">IF(OR(L208="",M208="",S208="",M208=0),"",IFERROR(L208*60*S208/(M208*36),0))</f>
        <v/>
      </c>
    </row>
    <row r="209" customFormat="false" ht="15" hidden="false" customHeight="true" outlineLevel="0" collapsed="false">
      <c r="A209" s="47" t="n">
        <f aca="false">'Daily KPI Entry'!A210</f>
        <v>0</v>
      </c>
      <c r="B209" s="48" t="n">
        <f aca="false">'Daily KPI Entry'!B210</f>
        <v>0</v>
      </c>
      <c r="C209" s="47" t="n">
        <f aca="false">'Daily KPI Entry'!C210</f>
        <v>0</v>
      </c>
      <c r="D209" s="47" t="n">
        <f aca="false">'Daily KPI Entry'!D210</f>
        <v>0</v>
      </c>
      <c r="E209" s="47" t="n">
        <f aca="false">'Daily KPI Entry'!E210</f>
        <v>0</v>
      </c>
      <c r="F209" s="47" t="n">
        <f aca="false">'Daily KPI Entry'!F210</f>
        <v>0</v>
      </c>
      <c r="G209" s="47" t="n">
        <f aca="false">'Daily KPI Entry'!G210</f>
        <v>0</v>
      </c>
      <c r="H209" s="47" t="str">
        <f aca="false">'Daily KPI Entry'!H210</f>
        <v/>
      </c>
      <c r="I209" s="47" t="n">
        <f aca="false">'Daily KPI Entry'!I210</f>
        <v>0</v>
      </c>
      <c r="J209" s="47" t="n">
        <f aca="false">'Daily KPI Entry'!J210</f>
        <v>0</v>
      </c>
      <c r="K209" s="47" t="n">
        <f aca="false">'Daily KPI Entry'!K210</f>
        <v>0</v>
      </c>
      <c r="L209" s="47" t="n">
        <f aca="false">'Daily KPI Entry'!L210</f>
        <v>0</v>
      </c>
      <c r="M209" s="47" t="n">
        <f aca="false">'Daily KPI Entry'!M210</f>
        <v>0</v>
      </c>
      <c r="N209" s="49" t="n">
        <f aca="false">'Daily KPI Entry'!N210</f>
        <v>0</v>
      </c>
      <c r="O209" s="49" t="n">
        <f aca="false">'Daily KPI Entry'!O210</f>
        <v>0</v>
      </c>
      <c r="P209" s="49" t="str">
        <f aca="false">IF(OR(N209="",O209=""),"",IFERROR(O209/N209*100,0))</f>
        <v/>
      </c>
      <c r="Q209" s="47" t="n">
        <f aca="false">'Daily KPI Entry'!Q210</f>
        <v>8</v>
      </c>
      <c r="R209" s="47" t="str">
        <f aca="false">IF(J209="","",Q209*J209)</f>
        <v/>
      </c>
      <c r="S209" s="49" t="n">
        <f aca="false">'Daily KPI Entry'!S210</f>
        <v>0</v>
      </c>
      <c r="T209" s="49" t="str">
        <f aca="false">IF(OR(R209="",S209=""),"",IFERROR(S209/R209*100,0))</f>
        <v/>
      </c>
      <c r="U209" s="49" t="str">
        <f aca="false">IF(OR(O209="",L209="",M209="",S209="",M209=0),"",IFERROR(O209/(L209*60*S209/(M209*36))*100,0))</f>
        <v/>
      </c>
      <c r="V209" s="49" t="n">
        <f aca="false">'Daily KPI Entry'!V210</f>
        <v>0</v>
      </c>
      <c r="W209" s="49" t="str">
        <f aca="false">IF(O209="","",IFERROR(V209/O209*100,0))</f>
        <v/>
      </c>
      <c r="X209" s="49" t="n">
        <f aca="false">'Daily KPI Entry'!X210</f>
        <v>0</v>
      </c>
      <c r="Y209" s="49" t="n">
        <f aca="false">'Daily KPI Entry'!Y210</f>
        <v>0</v>
      </c>
      <c r="Z209" s="49" t="n">
        <f aca="false">'Daily KPI Entry'!Z210</f>
        <v>0</v>
      </c>
      <c r="AA209" s="49" t="n">
        <f aca="false">'Daily KPI Entry'!AA210</f>
        <v>0</v>
      </c>
      <c r="AB209" s="49" t="n">
        <f aca="false">'Daily KPI Entry'!AB210</f>
        <v>0</v>
      </c>
      <c r="AC209" s="49" t="n">
        <f aca="false">'Daily KPI Entry'!AC210</f>
        <v>0</v>
      </c>
      <c r="AD209" s="49" t="n">
        <f aca="false">'Daily KPI Entry'!AD210</f>
        <v>0</v>
      </c>
      <c r="AE209" s="49" t="n">
        <f aca="false">'Daily KPI Entry'!AE210</f>
        <v>0</v>
      </c>
      <c r="AF209" s="47" t="str">
        <f aca="false">IF(O209="","",SUM(X209:AE209))</f>
        <v/>
      </c>
      <c r="AG209" s="49" t="str">
        <f aca="false">IF(O209="","",IFERROR(AF209/O209*1000,0))</f>
        <v/>
      </c>
      <c r="AH209" s="49" t="n">
        <f aca="false">'Daily KPI Entry'!AH210</f>
        <v>0</v>
      </c>
      <c r="AI209" s="49" t="n">
        <f aca="false">'Daily KPI Entry'!AI210</f>
        <v>0</v>
      </c>
      <c r="AJ209" s="49" t="n">
        <f aca="false">'Daily KPI Entry'!AJ210</f>
        <v>0</v>
      </c>
      <c r="AK209" s="47" t="n">
        <f aca="false">'Daily KPI Entry'!AK210</f>
        <v>0</v>
      </c>
      <c r="AL209" s="47" t="n">
        <f aca="false">'Daily KPI Entry'!AL210</f>
        <v>0</v>
      </c>
      <c r="AM209" s="47" t="n">
        <f aca="false">'Daily KPI Entry'!AM210</f>
        <v>0</v>
      </c>
      <c r="AN209" s="49" t="str">
        <f aca="false">IF(P209="","",MIN(120,P209))</f>
        <v/>
      </c>
      <c r="AO209" s="49" t="str">
        <f aca="false">IF(U209="","",MIN(120,U209))</f>
        <v/>
      </c>
      <c r="AP209" s="49" t="str">
        <f aca="false">IF(R209="","",MIN(120,IFERROR(S209/R209*100,0)))</f>
        <v/>
      </c>
      <c r="AQ209" s="49" t="str">
        <f aca="false">IF(W209="","",MIN(120,IF(W209=0,120,100*(INDEX('Standards &amp; Scoring'!$E$5:$E$13,MATCH("Quality / Rejection",'Standards &amp; Scoring'!$A$5:$A$13,0))/W209))))</f>
        <v/>
      </c>
      <c r="AR209" s="49" t="str">
        <f aca="false">IF(AG209="","",MIN(120,IF(AG209=0,120,100*(INDEX('Standards &amp; Scoring'!$E$5:$E$13,MATCH("Fault Control",'Standards &amp; Scoring'!$A$5:$A$13,0))/AG209))))</f>
        <v/>
      </c>
      <c r="AS209" s="49" t="str">
        <f aca="false">IF(O209="","",MIN(120,IF(SUMIFS('Fault &amp; Downtime Entry'!$L$6:$L$1005,'Fault &amp; Downtime Entry'!$E$6:$E$1005,G209,'Fault &amp; Downtime Entry'!$B$6:$B$1005,B209)=0,120,100*(INDEX('Standards &amp; Scoring'!$E$5:$E$13,MATCH("Downtime Control",'Standards &amp; Scoring'!$A$5:$A$13,0))/IFERROR(SUMIFS('Fault &amp; Downtime Entry'!$L$6:$L$1005,'Fault &amp; Downtime Entry'!$E$6:$E$1005,G209,'Fault &amp; Downtime Entry'!$B$6:$B$1005,B209)/O209*1000,999999)))))</f>
        <v/>
      </c>
      <c r="AT209" s="49" t="n">
        <f aca="false">IF(COUNTA(AH209,AJ209)=0,"",MIN(120,IF(AND(AH209&lt;&gt;"",AJ209&lt;&gt;""),AVERAGE(AH209,AJ209),IF(AH209&lt;&gt;"",AH209,AJ209))))</f>
        <v>0</v>
      </c>
      <c r="AU209" s="49" t="str">
        <f aca="false">IF(AI209="","",MIN(120,AI209))</f>
        <v/>
      </c>
      <c r="AV209" s="49" t="str">
        <f aca="false">IF(AJ209="","",MIN(120,AJ209))</f>
        <v/>
      </c>
      <c r="AW209" s="50" t="str">
        <f aca="false">IF(COUNT(AN209:AV209)&lt;9,"",(AN209*'Standards &amp; Scoring'!$D$5+AO209*'Standards &amp; Scoring'!$D$6+AP209*'Standards &amp; Scoring'!$D$7+AQ209*'Standards &amp; Scoring'!$D$8+AR209*'Standards &amp; Scoring'!$D$9+AS209*'Standards &amp; Scoring'!$D$10+AT209*'Standards &amp; Scoring'!$D$11+AU209*'Standards &amp; Scoring'!$D$12+AV209*'Standards &amp; Scoring'!$D$13)/10000)</f>
        <v/>
      </c>
      <c r="AX209" s="47" t="str">
        <f aca="false">IF(AW209="","",IF(AW209&gt;=1.05,"A+",IF(AW209&gt;=1,"A",IF(AW209&gt;=0.95,"B+",IF(AW209&gt;=0.9,"B","C")))))</f>
        <v/>
      </c>
      <c r="AY209" s="47" t="str">
        <f aca="false">IF(AX209="","",IF(AX209="A+",1800,IF(AX209="A",1600,IF(AX209="B+",1400,IF(AX209="B",1200,0)))))</f>
        <v/>
      </c>
      <c r="AZ209" s="49" t="str">
        <f aca="false">IF(OR(L209="",M209="",S209="",M209=0),"",IFERROR(L209*60*S209/(M209*36),0))</f>
        <v/>
      </c>
    </row>
    <row r="210" customFormat="false" ht="15" hidden="false" customHeight="true" outlineLevel="0" collapsed="false">
      <c r="A210" s="47" t="n">
        <f aca="false">'Daily KPI Entry'!A211</f>
        <v>0</v>
      </c>
      <c r="B210" s="48" t="n">
        <f aca="false">'Daily KPI Entry'!B211</f>
        <v>0</v>
      </c>
      <c r="C210" s="47" t="n">
        <f aca="false">'Daily KPI Entry'!C211</f>
        <v>0</v>
      </c>
      <c r="D210" s="47" t="n">
        <f aca="false">'Daily KPI Entry'!D211</f>
        <v>0</v>
      </c>
      <c r="E210" s="47" t="n">
        <f aca="false">'Daily KPI Entry'!E211</f>
        <v>0</v>
      </c>
      <c r="F210" s="47" t="n">
        <f aca="false">'Daily KPI Entry'!F211</f>
        <v>0</v>
      </c>
      <c r="G210" s="47" t="n">
        <f aca="false">'Daily KPI Entry'!G211</f>
        <v>0</v>
      </c>
      <c r="H210" s="47" t="str">
        <f aca="false">'Daily KPI Entry'!H211</f>
        <v/>
      </c>
      <c r="I210" s="47" t="n">
        <f aca="false">'Daily KPI Entry'!I211</f>
        <v>0</v>
      </c>
      <c r="J210" s="47" t="n">
        <f aca="false">'Daily KPI Entry'!J211</f>
        <v>0</v>
      </c>
      <c r="K210" s="47" t="n">
        <f aca="false">'Daily KPI Entry'!K211</f>
        <v>0</v>
      </c>
      <c r="L210" s="47" t="n">
        <f aca="false">'Daily KPI Entry'!L211</f>
        <v>0</v>
      </c>
      <c r="M210" s="47" t="n">
        <f aca="false">'Daily KPI Entry'!M211</f>
        <v>0</v>
      </c>
      <c r="N210" s="49" t="n">
        <f aca="false">'Daily KPI Entry'!N211</f>
        <v>0</v>
      </c>
      <c r="O210" s="49" t="n">
        <f aca="false">'Daily KPI Entry'!O211</f>
        <v>0</v>
      </c>
      <c r="P210" s="49" t="str">
        <f aca="false">IF(OR(N210="",O210=""),"",IFERROR(O210/N210*100,0))</f>
        <v/>
      </c>
      <c r="Q210" s="47" t="n">
        <f aca="false">'Daily KPI Entry'!Q211</f>
        <v>8</v>
      </c>
      <c r="R210" s="47" t="str">
        <f aca="false">IF(J210="","",Q210*J210)</f>
        <v/>
      </c>
      <c r="S210" s="49" t="n">
        <f aca="false">'Daily KPI Entry'!S211</f>
        <v>0</v>
      </c>
      <c r="T210" s="49" t="str">
        <f aca="false">IF(OR(R210="",S210=""),"",IFERROR(S210/R210*100,0))</f>
        <v/>
      </c>
      <c r="U210" s="49" t="str">
        <f aca="false">IF(OR(O210="",L210="",M210="",S210="",M210=0),"",IFERROR(O210/(L210*60*S210/(M210*36))*100,0))</f>
        <v/>
      </c>
      <c r="V210" s="49" t="n">
        <f aca="false">'Daily KPI Entry'!V211</f>
        <v>0</v>
      </c>
      <c r="W210" s="49" t="str">
        <f aca="false">IF(O210="","",IFERROR(V210/O210*100,0))</f>
        <v/>
      </c>
      <c r="X210" s="49" t="n">
        <f aca="false">'Daily KPI Entry'!X211</f>
        <v>0</v>
      </c>
      <c r="Y210" s="49" t="n">
        <f aca="false">'Daily KPI Entry'!Y211</f>
        <v>0</v>
      </c>
      <c r="Z210" s="49" t="n">
        <f aca="false">'Daily KPI Entry'!Z211</f>
        <v>0</v>
      </c>
      <c r="AA210" s="49" t="n">
        <f aca="false">'Daily KPI Entry'!AA211</f>
        <v>0</v>
      </c>
      <c r="AB210" s="49" t="n">
        <f aca="false">'Daily KPI Entry'!AB211</f>
        <v>0</v>
      </c>
      <c r="AC210" s="49" t="n">
        <f aca="false">'Daily KPI Entry'!AC211</f>
        <v>0</v>
      </c>
      <c r="AD210" s="49" t="n">
        <f aca="false">'Daily KPI Entry'!AD211</f>
        <v>0</v>
      </c>
      <c r="AE210" s="49" t="n">
        <f aca="false">'Daily KPI Entry'!AE211</f>
        <v>0</v>
      </c>
      <c r="AF210" s="47" t="str">
        <f aca="false">IF(O210="","",SUM(X210:AE210))</f>
        <v/>
      </c>
      <c r="AG210" s="49" t="str">
        <f aca="false">IF(O210="","",IFERROR(AF210/O210*1000,0))</f>
        <v/>
      </c>
      <c r="AH210" s="49" t="n">
        <f aca="false">'Daily KPI Entry'!AH211</f>
        <v>0</v>
      </c>
      <c r="AI210" s="49" t="n">
        <f aca="false">'Daily KPI Entry'!AI211</f>
        <v>0</v>
      </c>
      <c r="AJ210" s="49" t="n">
        <f aca="false">'Daily KPI Entry'!AJ211</f>
        <v>0</v>
      </c>
      <c r="AK210" s="47" t="n">
        <f aca="false">'Daily KPI Entry'!AK211</f>
        <v>0</v>
      </c>
      <c r="AL210" s="47" t="n">
        <f aca="false">'Daily KPI Entry'!AL211</f>
        <v>0</v>
      </c>
      <c r="AM210" s="47" t="n">
        <f aca="false">'Daily KPI Entry'!AM211</f>
        <v>0</v>
      </c>
      <c r="AN210" s="49" t="str">
        <f aca="false">IF(P210="","",MIN(120,P210))</f>
        <v/>
      </c>
      <c r="AO210" s="49" t="str">
        <f aca="false">IF(U210="","",MIN(120,U210))</f>
        <v/>
      </c>
      <c r="AP210" s="49" t="str">
        <f aca="false">IF(R210="","",MIN(120,IFERROR(S210/R210*100,0)))</f>
        <v/>
      </c>
      <c r="AQ210" s="49" t="str">
        <f aca="false">IF(W210="","",MIN(120,IF(W210=0,120,100*(INDEX('Standards &amp; Scoring'!$E$5:$E$13,MATCH("Quality / Rejection",'Standards &amp; Scoring'!$A$5:$A$13,0))/W210))))</f>
        <v/>
      </c>
      <c r="AR210" s="49" t="str">
        <f aca="false">IF(AG210="","",MIN(120,IF(AG210=0,120,100*(INDEX('Standards &amp; Scoring'!$E$5:$E$13,MATCH("Fault Control",'Standards &amp; Scoring'!$A$5:$A$13,0))/AG210))))</f>
        <v/>
      </c>
      <c r="AS210" s="49" t="str">
        <f aca="false">IF(O210="","",MIN(120,IF(SUMIFS('Fault &amp; Downtime Entry'!$L$6:$L$1005,'Fault &amp; Downtime Entry'!$E$6:$E$1005,G210,'Fault &amp; Downtime Entry'!$B$6:$B$1005,B210)=0,120,100*(INDEX('Standards &amp; Scoring'!$E$5:$E$13,MATCH("Downtime Control",'Standards &amp; Scoring'!$A$5:$A$13,0))/IFERROR(SUMIFS('Fault &amp; Downtime Entry'!$L$6:$L$1005,'Fault &amp; Downtime Entry'!$E$6:$E$1005,G210,'Fault &amp; Downtime Entry'!$B$6:$B$1005,B210)/O210*1000,999999)))))</f>
        <v/>
      </c>
      <c r="AT210" s="49" t="n">
        <f aca="false">IF(COUNTA(AH210,AJ210)=0,"",MIN(120,IF(AND(AH210&lt;&gt;"",AJ210&lt;&gt;""),AVERAGE(AH210,AJ210),IF(AH210&lt;&gt;"",AH210,AJ210))))</f>
        <v>0</v>
      </c>
      <c r="AU210" s="49" t="str">
        <f aca="false">IF(AI210="","",MIN(120,AI210))</f>
        <v/>
      </c>
      <c r="AV210" s="49" t="str">
        <f aca="false">IF(AJ210="","",MIN(120,AJ210))</f>
        <v/>
      </c>
      <c r="AW210" s="50" t="str">
        <f aca="false">IF(COUNT(AN210:AV210)&lt;9,"",(AN210*'Standards &amp; Scoring'!$D$5+AO210*'Standards &amp; Scoring'!$D$6+AP210*'Standards &amp; Scoring'!$D$7+AQ210*'Standards &amp; Scoring'!$D$8+AR210*'Standards &amp; Scoring'!$D$9+AS210*'Standards &amp; Scoring'!$D$10+AT210*'Standards &amp; Scoring'!$D$11+AU210*'Standards &amp; Scoring'!$D$12+AV210*'Standards &amp; Scoring'!$D$13)/10000)</f>
        <v/>
      </c>
      <c r="AX210" s="47" t="str">
        <f aca="false">IF(AW210="","",IF(AW210&gt;=1.05,"A+",IF(AW210&gt;=1,"A",IF(AW210&gt;=0.95,"B+",IF(AW210&gt;=0.9,"B","C")))))</f>
        <v/>
      </c>
      <c r="AY210" s="47" t="str">
        <f aca="false">IF(AX210="","",IF(AX210="A+",1800,IF(AX210="A",1600,IF(AX210="B+",1400,IF(AX210="B",1200,0)))))</f>
        <v/>
      </c>
      <c r="AZ210" s="49" t="str">
        <f aca="false">IF(OR(L210="",M210="",S210="",M210=0),"",IFERROR(L210*60*S210/(M210*36),0))</f>
        <v/>
      </c>
    </row>
    <row r="211" customFormat="false" ht="15" hidden="false" customHeight="true" outlineLevel="0" collapsed="false">
      <c r="A211" s="47" t="n">
        <f aca="false">'Daily KPI Entry'!A212</f>
        <v>0</v>
      </c>
      <c r="B211" s="48" t="n">
        <f aca="false">'Daily KPI Entry'!B212</f>
        <v>0</v>
      </c>
      <c r="C211" s="47" t="n">
        <f aca="false">'Daily KPI Entry'!C212</f>
        <v>0</v>
      </c>
      <c r="D211" s="47" t="n">
        <f aca="false">'Daily KPI Entry'!D212</f>
        <v>0</v>
      </c>
      <c r="E211" s="47" t="n">
        <f aca="false">'Daily KPI Entry'!E212</f>
        <v>0</v>
      </c>
      <c r="F211" s="47" t="n">
        <f aca="false">'Daily KPI Entry'!F212</f>
        <v>0</v>
      </c>
      <c r="G211" s="47" t="n">
        <f aca="false">'Daily KPI Entry'!G212</f>
        <v>0</v>
      </c>
      <c r="H211" s="47" t="str">
        <f aca="false">'Daily KPI Entry'!H212</f>
        <v/>
      </c>
      <c r="I211" s="47" t="n">
        <f aca="false">'Daily KPI Entry'!I212</f>
        <v>0</v>
      </c>
      <c r="J211" s="47" t="n">
        <f aca="false">'Daily KPI Entry'!J212</f>
        <v>0</v>
      </c>
      <c r="K211" s="47" t="n">
        <f aca="false">'Daily KPI Entry'!K212</f>
        <v>0</v>
      </c>
      <c r="L211" s="47" t="n">
        <f aca="false">'Daily KPI Entry'!L212</f>
        <v>0</v>
      </c>
      <c r="M211" s="47" t="n">
        <f aca="false">'Daily KPI Entry'!M212</f>
        <v>0</v>
      </c>
      <c r="N211" s="49" t="n">
        <f aca="false">'Daily KPI Entry'!N212</f>
        <v>0</v>
      </c>
      <c r="O211" s="49" t="n">
        <f aca="false">'Daily KPI Entry'!O212</f>
        <v>0</v>
      </c>
      <c r="P211" s="49" t="str">
        <f aca="false">IF(OR(N211="",O211=""),"",IFERROR(O211/N211*100,0))</f>
        <v/>
      </c>
      <c r="Q211" s="47" t="n">
        <f aca="false">'Daily KPI Entry'!Q212</f>
        <v>8</v>
      </c>
      <c r="R211" s="47" t="str">
        <f aca="false">IF(J211="","",Q211*J211)</f>
        <v/>
      </c>
      <c r="S211" s="49" t="n">
        <f aca="false">'Daily KPI Entry'!S212</f>
        <v>0</v>
      </c>
      <c r="T211" s="49" t="str">
        <f aca="false">IF(OR(R211="",S211=""),"",IFERROR(S211/R211*100,0))</f>
        <v/>
      </c>
      <c r="U211" s="49" t="str">
        <f aca="false">IF(OR(O211="",L211="",M211="",S211="",M211=0),"",IFERROR(O211/(L211*60*S211/(M211*36))*100,0))</f>
        <v/>
      </c>
      <c r="V211" s="49" t="n">
        <f aca="false">'Daily KPI Entry'!V212</f>
        <v>0</v>
      </c>
      <c r="W211" s="49" t="str">
        <f aca="false">IF(O211="","",IFERROR(V211/O211*100,0))</f>
        <v/>
      </c>
      <c r="X211" s="49" t="n">
        <f aca="false">'Daily KPI Entry'!X212</f>
        <v>0</v>
      </c>
      <c r="Y211" s="49" t="n">
        <f aca="false">'Daily KPI Entry'!Y212</f>
        <v>0</v>
      </c>
      <c r="Z211" s="49" t="n">
        <f aca="false">'Daily KPI Entry'!Z212</f>
        <v>0</v>
      </c>
      <c r="AA211" s="49" t="n">
        <f aca="false">'Daily KPI Entry'!AA212</f>
        <v>0</v>
      </c>
      <c r="AB211" s="49" t="n">
        <f aca="false">'Daily KPI Entry'!AB212</f>
        <v>0</v>
      </c>
      <c r="AC211" s="49" t="n">
        <f aca="false">'Daily KPI Entry'!AC212</f>
        <v>0</v>
      </c>
      <c r="AD211" s="49" t="n">
        <f aca="false">'Daily KPI Entry'!AD212</f>
        <v>0</v>
      </c>
      <c r="AE211" s="49" t="n">
        <f aca="false">'Daily KPI Entry'!AE212</f>
        <v>0</v>
      </c>
      <c r="AF211" s="47" t="str">
        <f aca="false">IF(O211="","",SUM(X211:AE211))</f>
        <v/>
      </c>
      <c r="AG211" s="49" t="str">
        <f aca="false">IF(O211="","",IFERROR(AF211/O211*1000,0))</f>
        <v/>
      </c>
      <c r="AH211" s="49" t="n">
        <f aca="false">'Daily KPI Entry'!AH212</f>
        <v>0</v>
      </c>
      <c r="AI211" s="49" t="n">
        <f aca="false">'Daily KPI Entry'!AI212</f>
        <v>0</v>
      </c>
      <c r="AJ211" s="49" t="n">
        <f aca="false">'Daily KPI Entry'!AJ212</f>
        <v>0</v>
      </c>
      <c r="AK211" s="47" t="n">
        <f aca="false">'Daily KPI Entry'!AK212</f>
        <v>0</v>
      </c>
      <c r="AL211" s="47" t="n">
        <f aca="false">'Daily KPI Entry'!AL212</f>
        <v>0</v>
      </c>
      <c r="AM211" s="47" t="n">
        <f aca="false">'Daily KPI Entry'!AM212</f>
        <v>0</v>
      </c>
      <c r="AN211" s="49" t="str">
        <f aca="false">IF(P211="","",MIN(120,P211))</f>
        <v/>
      </c>
      <c r="AO211" s="49" t="str">
        <f aca="false">IF(U211="","",MIN(120,U211))</f>
        <v/>
      </c>
      <c r="AP211" s="49" t="str">
        <f aca="false">IF(R211="","",MIN(120,IFERROR(S211/R211*100,0)))</f>
        <v/>
      </c>
      <c r="AQ211" s="49" t="str">
        <f aca="false">IF(W211="","",MIN(120,IF(W211=0,120,100*(INDEX('Standards &amp; Scoring'!$E$5:$E$13,MATCH("Quality / Rejection",'Standards &amp; Scoring'!$A$5:$A$13,0))/W211))))</f>
        <v/>
      </c>
      <c r="AR211" s="49" t="str">
        <f aca="false">IF(AG211="","",MIN(120,IF(AG211=0,120,100*(INDEX('Standards &amp; Scoring'!$E$5:$E$13,MATCH("Fault Control",'Standards &amp; Scoring'!$A$5:$A$13,0))/AG211))))</f>
        <v/>
      </c>
      <c r="AS211" s="49" t="str">
        <f aca="false">IF(O211="","",MIN(120,IF(SUMIFS('Fault &amp; Downtime Entry'!$L$6:$L$1005,'Fault &amp; Downtime Entry'!$E$6:$E$1005,G211,'Fault &amp; Downtime Entry'!$B$6:$B$1005,B211)=0,120,100*(INDEX('Standards &amp; Scoring'!$E$5:$E$13,MATCH("Downtime Control",'Standards &amp; Scoring'!$A$5:$A$13,0))/IFERROR(SUMIFS('Fault &amp; Downtime Entry'!$L$6:$L$1005,'Fault &amp; Downtime Entry'!$E$6:$E$1005,G211,'Fault &amp; Downtime Entry'!$B$6:$B$1005,B211)/O211*1000,999999)))))</f>
        <v/>
      </c>
      <c r="AT211" s="49" t="n">
        <f aca="false">IF(COUNTA(AH211,AJ211)=0,"",MIN(120,IF(AND(AH211&lt;&gt;"",AJ211&lt;&gt;""),AVERAGE(AH211,AJ211),IF(AH211&lt;&gt;"",AH211,AJ211))))</f>
        <v>0</v>
      </c>
      <c r="AU211" s="49" t="str">
        <f aca="false">IF(AI211="","",MIN(120,AI211))</f>
        <v/>
      </c>
      <c r="AV211" s="49" t="str">
        <f aca="false">IF(AJ211="","",MIN(120,AJ211))</f>
        <v/>
      </c>
      <c r="AW211" s="50" t="str">
        <f aca="false">IF(COUNT(AN211:AV211)&lt;9,"",(AN211*'Standards &amp; Scoring'!$D$5+AO211*'Standards &amp; Scoring'!$D$6+AP211*'Standards &amp; Scoring'!$D$7+AQ211*'Standards &amp; Scoring'!$D$8+AR211*'Standards &amp; Scoring'!$D$9+AS211*'Standards &amp; Scoring'!$D$10+AT211*'Standards &amp; Scoring'!$D$11+AU211*'Standards &amp; Scoring'!$D$12+AV211*'Standards &amp; Scoring'!$D$13)/10000)</f>
        <v/>
      </c>
      <c r="AX211" s="47" t="str">
        <f aca="false">IF(AW211="","",IF(AW211&gt;=1.05,"A+",IF(AW211&gt;=1,"A",IF(AW211&gt;=0.95,"B+",IF(AW211&gt;=0.9,"B","C")))))</f>
        <v/>
      </c>
      <c r="AY211" s="47" t="str">
        <f aca="false">IF(AX211="","",IF(AX211="A+",1800,IF(AX211="A",1600,IF(AX211="B+",1400,IF(AX211="B",1200,0)))))</f>
        <v/>
      </c>
      <c r="AZ211" s="49" t="str">
        <f aca="false">IF(OR(L211="",M211="",S211="",M211=0),"",IFERROR(L211*60*S211/(M211*36),0))</f>
        <v/>
      </c>
    </row>
    <row r="212" customFormat="false" ht="15" hidden="false" customHeight="true" outlineLevel="0" collapsed="false">
      <c r="A212" s="47" t="n">
        <f aca="false">'Daily KPI Entry'!A213</f>
        <v>0</v>
      </c>
      <c r="B212" s="48" t="n">
        <f aca="false">'Daily KPI Entry'!B213</f>
        <v>0</v>
      </c>
      <c r="C212" s="47" t="n">
        <f aca="false">'Daily KPI Entry'!C213</f>
        <v>0</v>
      </c>
      <c r="D212" s="47" t="n">
        <f aca="false">'Daily KPI Entry'!D213</f>
        <v>0</v>
      </c>
      <c r="E212" s="47" t="n">
        <f aca="false">'Daily KPI Entry'!E213</f>
        <v>0</v>
      </c>
      <c r="F212" s="47" t="n">
        <f aca="false">'Daily KPI Entry'!F213</f>
        <v>0</v>
      </c>
      <c r="G212" s="47" t="n">
        <f aca="false">'Daily KPI Entry'!G213</f>
        <v>0</v>
      </c>
      <c r="H212" s="47" t="str">
        <f aca="false">'Daily KPI Entry'!H213</f>
        <v/>
      </c>
      <c r="I212" s="47" t="n">
        <f aca="false">'Daily KPI Entry'!I213</f>
        <v>0</v>
      </c>
      <c r="J212" s="47" t="n">
        <f aca="false">'Daily KPI Entry'!J213</f>
        <v>0</v>
      </c>
      <c r="K212" s="47" t="n">
        <f aca="false">'Daily KPI Entry'!K213</f>
        <v>0</v>
      </c>
      <c r="L212" s="47" t="n">
        <f aca="false">'Daily KPI Entry'!L213</f>
        <v>0</v>
      </c>
      <c r="M212" s="47" t="n">
        <f aca="false">'Daily KPI Entry'!M213</f>
        <v>0</v>
      </c>
      <c r="N212" s="49" t="n">
        <f aca="false">'Daily KPI Entry'!N213</f>
        <v>0</v>
      </c>
      <c r="O212" s="49" t="n">
        <f aca="false">'Daily KPI Entry'!O213</f>
        <v>0</v>
      </c>
      <c r="P212" s="49" t="str">
        <f aca="false">IF(OR(N212="",O212=""),"",IFERROR(O212/N212*100,0))</f>
        <v/>
      </c>
      <c r="Q212" s="47" t="n">
        <f aca="false">'Daily KPI Entry'!Q213</f>
        <v>8</v>
      </c>
      <c r="R212" s="47" t="str">
        <f aca="false">IF(J212="","",Q212*J212)</f>
        <v/>
      </c>
      <c r="S212" s="49" t="n">
        <f aca="false">'Daily KPI Entry'!S213</f>
        <v>0</v>
      </c>
      <c r="T212" s="49" t="str">
        <f aca="false">IF(OR(R212="",S212=""),"",IFERROR(S212/R212*100,0))</f>
        <v/>
      </c>
      <c r="U212" s="49" t="str">
        <f aca="false">IF(OR(O212="",L212="",M212="",S212="",M212=0),"",IFERROR(O212/(L212*60*S212/(M212*36))*100,0))</f>
        <v/>
      </c>
      <c r="V212" s="49" t="n">
        <f aca="false">'Daily KPI Entry'!V213</f>
        <v>0</v>
      </c>
      <c r="W212" s="49" t="str">
        <f aca="false">IF(O212="","",IFERROR(V212/O212*100,0))</f>
        <v/>
      </c>
      <c r="X212" s="49" t="n">
        <f aca="false">'Daily KPI Entry'!X213</f>
        <v>0</v>
      </c>
      <c r="Y212" s="49" t="n">
        <f aca="false">'Daily KPI Entry'!Y213</f>
        <v>0</v>
      </c>
      <c r="Z212" s="49" t="n">
        <f aca="false">'Daily KPI Entry'!Z213</f>
        <v>0</v>
      </c>
      <c r="AA212" s="49" t="n">
        <f aca="false">'Daily KPI Entry'!AA213</f>
        <v>0</v>
      </c>
      <c r="AB212" s="49" t="n">
        <f aca="false">'Daily KPI Entry'!AB213</f>
        <v>0</v>
      </c>
      <c r="AC212" s="49" t="n">
        <f aca="false">'Daily KPI Entry'!AC213</f>
        <v>0</v>
      </c>
      <c r="AD212" s="49" t="n">
        <f aca="false">'Daily KPI Entry'!AD213</f>
        <v>0</v>
      </c>
      <c r="AE212" s="49" t="n">
        <f aca="false">'Daily KPI Entry'!AE213</f>
        <v>0</v>
      </c>
      <c r="AF212" s="47" t="str">
        <f aca="false">IF(O212="","",SUM(X212:AE212))</f>
        <v/>
      </c>
      <c r="AG212" s="49" t="str">
        <f aca="false">IF(O212="","",IFERROR(AF212/O212*1000,0))</f>
        <v/>
      </c>
      <c r="AH212" s="49" t="n">
        <f aca="false">'Daily KPI Entry'!AH213</f>
        <v>0</v>
      </c>
      <c r="AI212" s="49" t="n">
        <f aca="false">'Daily KPI Entry'!AI213</f>
        <v>0</v>
      </c>
      <c r="AJ212" s="49" t="n">
        <f aca="false">'Daily KPI Entry'!AJ213</f>
        <v>0</v>
      </c>
      <c r="AK212" s="47" t="n">
        <f aca="false">'Daily KPI Entry'!AK213</f>
        <v>0</v>
      </c>
      <c r="AL212" s="47" t="n">
        <f aca="false">'Daily KPI Entry'!AL213</f>
        <v>0</v>
      </c>
      <c r="AM212" s="47" t="n">
        <f aca="false">'Daily KPI Entry'!AM213</f>
        <v>0</v>
      </c>
      <c r="AN212" s="49" t="str">
        <f aca="false">IF(P212="","",MIN(120,P212))</f>
        <v/>
      </c>
      <c r="AO212" s="49" t="str">
        <f aca="false">IF(U212="","",MIN(120,U212))</f>
        <v/>
      </c>
      <c r="AP212" s="49" t="str">
        <f aca="false">IF(R212="","",MIN(120,IFERROR(S212/R212*100,0)))</f>
        <v/>
      </c>
      <c r="AQ212" s="49" t="str">
        <f aca="false">IF(W212="","",MIN(120,IF(W212=0,120,100*(INDEX('Standards &amp; Scoring'!$E$5:$E$13,MATCH("Quality / Rejection",'Standards &amp; Scoring'!$A$5:$A$13,0))/W212))))</f>
        <v/>
      </c>
      <c r="AR212" s="49" t="str">
        <f aca="false">IF(AG212="","",MIN(120,IF(AG212=0,120,100*(INDEX('Standards &amp; Scoring'!$E$5:$E$13,MATCH("Fault Control",'Standards &amp; Scoring'!$A$5:$A$13,0))/AG212))))</f>
        <v/>
      </c>
      <c r="AS212" s="49" t="str">
        <f aca="false">IF(O212="","",MIN(120,IF(SUMIFS('Fault &amp; Downtime Entry'!$L$6:$L$1005,'Fault &amp; Downtime Entry'!$E$6:$E$1005,G212,'Fault &amp; Downtime Entry'!$B$6:$B$1005,B212)=0,120,100*(INDEX('Standards &amp; Scoring'!$E$5:$E$13,MATCH("Downtime Control",'Standards &amp; Scoring'!$A$5:$A$13,0))/IFERROR(SUMIFS('Fault &amp; Downtime Entry'!$L$6:$L$1005,'Fault &amp; Downtime Entry'!$E$6:$E$1005,G212,'Fault &amp; Downtime Entry'!$B$6:$B$1005,B212)/O212*1000,999999)))))</f>
        <v/>
      </c>
      <c r="AT212" s="49" t="n">
        <f aca="false">IF(COUNTA(AH212,AJ212)=0,"",MIN(120,IF(AND(AH212&lt;&gt;"",AJ212&lt;&gt;""),AVERAGE(AH212,AJ212),IF(AH212&lt;&gt;"",AH212,AJ212))))</f>
        <v>0</v>
      </c>
      <c r="AU212" s="49" t="str">
        <f aca="false">IF(AI212="","",MIN(120,AI212))</f>
        <v/>
      </c>
      <c r="AV212" s="49" t="str">
        <f aca="false">IF(AJ212="","",MIN(120,AJ212))</f>
        <v/>
      </c>
      <c r="AW212" s="50" t="str">
        <f aca="false">IF(COUNT(AN212:AV212)&lt;9,"",(AN212*'Standards &amp; Scoring'!$D$5+AO212*'Standards &amp; Scoring'!$D$6+AP212*'Standards &amp; Scoring'!$D$7+AQ212*'Standards &amp; Scoring'!$D$8+AR212*'Standards &amp; Scoring'!$D$9+AS212*'Standards &amp; Scoring'!$D$10+AT212*'Standards &amp; Scoring'!$D$11+AU212*'Standards &amp; Scoring'!$D$12+AV212*'Standards &amp; Scoring'!$D$13)/10000)</f>
        <v/>
      </c>
      <c r="AX212" s="47" t="str">
        <f aca="false">IF(AW212="","",IF(AW212&gt;=1.05,"A+",IF(AW212&gt;=1,"A",IF(AW212&gt;=0.95,"B+",IF(AW212&gt;=0.9,"B","C")))))</f>
        <v/>
      </c>
      <c r="AY212" s="47" t="str">
        <f aca="false">IF(AX212="","",IF(AX212="A+",1800,IF(AX212="A",1600,IF(AX212="B+",1400,IF(AX212="B",1200,0)))))</f>
        <v/>
      </c>
      <c r="AZ212" s="49" t="str">
        <f aca="false">IF(OR(L212="",M212="",S212="",M212=0),"",IFERROR(L212*60*S212/(M212*36),0))</f>
        <v/>
      </c>
    </row>
    <row r="213" customFormat="false" ht="15" hidden="false" customHeight="true" outlineLevel="0" collapsed="false">
      <c r="A213" s="47" t="n">
        <f aca="false">'Daily KPI Entry'!A214</f>
        <v>0</v>
      </c>
      <c r="B213" s="48" t="n">
        <f aca="false">'Daily KPI Entry'!B214</f>
        <v>0</v>
      </c>
      <c r="C213" s="47" t="n">
        <f aca="false">'Daily KPI Entry'!C214</f>
        <v>0</v>
      </c>
      <c r="D213" s="47" t="n">
        <f aca="false">'Daily KPI Entry'!D214</f>
        <v>0</v>
      </c>
      <c r="E213" s="47" t="n">
        <f aca="false">'Daily KPI Entry'!E214</f>
        <v>0</v>
      </c>
      <c r="F213" s="47" t="n">
        <f aca="false">'Daily KPI Entry'!F214</f>
        <v>0</v>
      </c>
      <c r="G213" s="47" t="n">
        <f aca="false">'Daily KPI Entry'!G214</f>
        <v>0</v>
      </c>
      <c r="H213" s="47" t="str">
        <f aca="false">'Daily KPI Entry'!H214</f>
        <v/>
      </c>
      <c r="I213" s="47" t="n">
        <f aca="false">'Daily KPI Entry'!I214</f>
        <v>0</v>
      </c>
      <c r="J213" s="47" t="n">
        <f aca="false">'Daily KPI Entry'!J214</f>
        <v>0</v>
      </c>
      <c r="K213" s="47" t="n">
        <f aca="false">'Daily KPI Entry'!K214</f>
        <v>0</v>
      </c>
      <c r="L213" s="47" t="n">
        <f aca="false">'Daily KPI Entry'!L214</f>
        <v>0</v>
      </c>
      <c r="M213" s="47" t="n">
        <f aca="false">'Daily KPI Entry'!M214</f>
        <v>0</v>
      </c>
      <c r="N213" s="49" t="n">
        <f aca="false">'Daily KPI Entry'!N214</f>
        <v>0</v>
      </c>
      <c r="O213" s="49" t="n">
        <f aca="false">'Daily KPI Entry'!O214</f>
        <v>0</v>
      </c>
      <c r="P213" s="49" t="str">
        <f aca="false">IF(OR(N213="",O213=""),"",IFERROR(O213/N213*100,0))</f>
        <v/>
      </c>
      <c r="Q213" s="47" t="n">
        <f aca="false">'Daily KPI Entry'!Q214</f>
        <v>8</v>
      </c>
      <c r="R213" s="47" t="str">
        <f aca="false">IF(J213="","",Q213*J213)</f>
        <v/>
      </c>
      <c r="S213" s="49" t="n">
        <f aca="false">'Daily KPI Entry'!S214</f>
        <v>0</v>
      </c>
      <c r="T213" s="49" t="str">
        <f aca="false">IF(OR(R213="",S213=""),"",IFERROR(S213/R213*100,0))</f>
        <v/>
      </c>
      <c r="U213" s="49" t="str">
        <f aca="false">IF(OR(O213="",L213="",M213="",S213="",M213=0),"",IFERROR(O213/(L213*60*S213/(M213*36))*100,0))</f>
        <v/>
      </c>
      <c r="V213" s="49" t="n">
        <f aca="false">'Daily KPI Entry'!V214</f>
        <v>0</v>
      </c>
      <c r="W213" s="49" t="str">
        <f aca="false">IF(O213="","",IFERROR(V213/O213*100,0))</f>
        <v/>
      </c>
      <c r="X213" s="49" t="n">
        <f aca="false">'Daily KPI Entry'!X214</f>
        <v>0</v>
      </c>
      <c r="Y213" s="49" t="n">
        <f aca="false">'Daily KPI Entry'!Y214</f>
        <v>0</v>
      </c>
      <c r="Z213" s="49" t="n">
        <f aca="false">'Daily KPI Entry'!Z214</f>
        <v>0</v>
      </c>
      <c r="AA213" s="49" t="n">
        <f aca="false">'Daily KPI Entry'!AA214</f>
        <v>0</v>
      </c>
      <c r="AB213" s="49" t="n">
        <f aca="false">'Daily KPI Entry'!AB214</f>
        <v>0</v>
      </c>
      <c r="AC213" s="49" t="n">
        <f aca="false">'Daily KPI Entry'!AC214</f>
        <v>0</v>
      </c>
      <c r="AD213" s="49" t="n">
        <f aca="false">'Daily KPI Entry'!AD214</f>
        <v>0</v>
      </c>
      <c r="AE213" s="49" t="n">
        <f aca="false">'Daily KPI Entry'!AE214</f>
        <v>0</v>
      </c>
      <c r="AF213" s="47" t="str">
        <f aca="false">IF(O213="","",SUM(X213:AE213))</f>
        <v/>
      </c>
      <c r="AG213" s="49" t="str">
        <f aca="false">IF(O213="","",IFERROR(AF213/O213*1000,0))</f>
        <v/>
      </c>
      <c r="AH213" s="49" t="n">
        <f aca="false">'Daily KPI Entry'!AH214</f>
        <v>0</v>
      </c>
      <c r="AI213" s="49" t="n">
        <f aca="false">'Daily KPI Entry'!AI214</f>
        <v>0</v>
      </c>
      <c r="AJ213" s="49" t="n">
        <f aca="false">'Daily KPI Entry'!AJ214</f>
        <v>0</v>
      </c>
      <c r="AK213" s="47" t="n">
        <f aca="false">'Daily KPI Entry'!AK214</f>
        <v>0</v>
      </c>
      <c r="AL213" s="47" t="n">
        <f aca="false">'Daily KPI Entry'!AL214</f>
        <v>0</v>
      </c>
      <c r="AM213" s="47" t="n">
        <f aca="false">'Daily KPI Entry'!AM214</f>
        <v>0</v>
      </c>
      <c r="AN213" s="49" t="str">
        <f aca="false">IF(P213="","",MIN(120,P213))</f>
        <v/>
      </c>
      <c r="AO213" s="49" t="str">
        <f aca="false">IF(U213="","",MIN(120,U213))</f>
        <v/>
      </c>
      <c r="AP213" s="49" t="str">
        <f aca="false">IF(R213="","",MIN(120,IFERROR(S213/R213*100,0)))</f>
        <v/>
      </c>
      <c r="AQ213" s="49" t="str">
        <f aca="false">IF(W213="","",MIN(120,IF(W213=0,120,100*(INDEX('Standards &amp; Scoring'!$E$5:$E$13,MATCH("Quality / Rejection",'Standards &amp; Scoring'!$A$5:$A$13,0))/W213))))</f>
        <v/>
      </c>
      <c r="AR213" s="49" t="str">
        <f aca="false">IF(AG213="","",MIN(120,IF(AG213=0,120,100*(INDEX('Standards &amp; Scoring'!$E$5:$E$13,MATCH("Fault Control",'Standards &amp; Scoring'!$A$5:$A$13,0))/AG213))))</f>
        <v/>
      </c>
      <c r="AS213" s="49" t="str">
        <f aca="false">IF(O213="","",MIN(120,IF(SUMIFS('Fault &amp; Downtime Entry'!$L$6:$L$1005,'Fault &amp; Downtime Entry'!$E$6:$E$1005,G213,'Fault &amp; Downtime Entry'!$B$6:$B$1005,B213)=0,120,100*(INDEX('Standards &amp; Scoring'!$E$5:$E$13,MATCH("Downtime Control",'Standards &amp; Scoring'!$A$5:$A$13,0))/IFERROR(SUMIFS('Fault &amp; Downtime Entry'!$L$6:$L$1005,'Fault &amp; Downtime Entry'!$E$6:$E$1005,G213,'Fault &amp; Downtime Entry'!$B$6:$B$1005,B213)/O213*1000,999999)))))</f>
        <v/>
      </c>
      <c r="AT213" s="49" t="n">
        <f aca="false">IF(COUNTA(AH213,AJ213)=0,"",MIN(120,IF(AND(AH213&lt;&gt;"",AJ213&lt;&gt;""),AVERAGE(AH213,AJ213),IF(AH213&lt;&gt;"",AH213,AJ213))))</f>
        <v>0</v>
      </c>
      <c r="AU213" s="49" t="str">
        <f aca="false">IF(AI213="","",MIN(120,AI213))</f>
        <v/>
      </c>
      <c r="AV213" s="49" t="str">
        <f aca="false">IF(AJ213="","",MIN(120,AJ213))</f>
        <v/>
      </c>
      <c r="AW213" s="50" t="str">
        <f aca="false">IF(COUNT(AN213:AV213)&lt;9,"",(AN213*'Standards &amp; Scoring'!$D$5+AO213*'Standards &amp; Scoring'!$D$6+AP213*'Standards &amp; Scoring'!$D$7+AQ213*'Standards &amp; Scoring'!$D$8+AR213*'Standards &amp; Scoring'!$D$9+AS213*'Standards &amp; Scoring'!$D$10+AT213*'Standards &amp; Scoring'!$D$11+AU213*'Standards &amp; Scoring'!$D$12+AV213*'Standards &amp; Scoring'!$D$13)/10000)</f>
        <v/>
      </c>
      <c r="AX213" s="47" t="str">
        <f aca="false">IF(AW213="","",IF(AW213&gt;=1.05,"A+",IF(AW213&gt;=1,"A",IF(AW213&gt;=0.95,"B+",IF(AW213&gt;=0.9,"B","C")))))</f>
        <v/>
      </c>
      <c r="AY213" s="47" t="str">
        <f aca="false">IF(AX213="","",IF(AX213="A+",1800,IF(AX213="A",1600,IF(AX213="B+",1400,IF(AX213="B",1200,0)))))</f>
        <v/>
      </c>
      <c r="AZ213" s="49" t="str">
        <f aca="false">IF(OR(L213="",M213="",S213="",M213=0),"",IFERROR(L213*60*S213/(M213*36),0))</f>
        <v/>
      </c>
    </row>
    <row r="214" customFormat="false" ht="15" hidden="false" customHeight="true" outlineLevel="0" collapsed="false">
      <c r="A214" s="47" t="n">
        <f aca="false">'Daily KPI Entry'!A215</f>
        <v>0</v>
      </c>
      <c r="B214" s="48" t="n">
        <f aca="false">'Daily KPI Entry'!B215</f>
        <v>0</v>
      </c>
      <c r="C214" s="47" t="n">
        <f aca="false">'Daily KPI Entry'!C215</f>
        <v>0</v>
      </c>
      <c r="D214" s="47" t="n">
        <f aca="false">'Daily KPI Entry'!D215</f>
        <v>0</v>
      </c>
      <c r="E214" s="47" t="n">
        <f aca="false">'Daily KPI Entry'!E215</f>
        <v>0</v>
      </c>
      <c r="F214" s="47" t="n">
        <f aca="false">'Daily KPI Entry'!F215</f>
        <v>0</v>
      </c>
      <c r="G214" s="47" t="n">
        <f aca="false">'Daily KPI Entry'!G215</f>
        <v>0</v>
      </c>
      <c r="H214" s="47" t="str">
        <f aca="false">'Daily KPI Entry'!H215</f>
        <v/>
      </c>
      <c r="I214" s="47" t="n">
        <f aca="false">'Daily KPI Entry'!I215</f>
        <v>0</v>
      </c>
      <c r="J214" s="47" t="n">
        <f aca="false">'Daily KPI Entry'!J215</f>
        <v>0</v>
      </c>
      <c r="K214" s="47" t="n">
        <f aca="false">'Daily KPI Entry'!K215</f>
        <v>0</v>
      </c>
      <c r="L214" s="47" t="n">
        <f aca="false">'Daily KPI Entry'!L215</f>
        <v>0</v>
      </c>
      <c r="M214" s="47" t="n">
        <f aca="false">'Daily KPI Entry'!M215</f>
        <v>0</v>
      </c>
      <c r="N214" s="49" t="n">
        <f aca="false">'Daily KPI Entry'!N215</f>
        <v>0</v>
      </c>
      <c r="O214" s="49" t="n">
        <f aca="false">'Daily KPI Entry'!O215</f>
        <v>0</v>
      </c>
      <c r="P214" s="49" t="str">
        <f aca="false">IF(OR(N214="",O214=""),"",IFERROR(O214/N214*100,0))</f>
        <v/>
      </c>
      <c r="Q214" s="47" t="n">
        <f aca="false">'Daily KPI Entry'!Q215</f>
        <v>8</v>
      </c>
      <c r="R214" s="47" t="str">
        <f aca="false">IF(J214="","",Q214*J214)</f>
        <v/>
      </c>
      <c r="S214" s="49" t="n">
        <f aca="false">'Daily KPI Entry'!S215</f>
        <v>0</v>
      </c>
      <c r="T214" s="49" t="str">
        <f aca="false">IF(OR(R214="",S214=""),"",IFERROR(S214/R214*100,0))</f>
        <v/>
      </c>
      <c r="U214" s="49" t="str">
        <f aca="false">IF(OR(O214="",L214="",M214="",S214="",M214=0),"",IFERROR(O214/(L214*60*S214/(M214*36))*100,0))</f>
        <v/>
      </c>
      <c r="V214" s="49" t="n">
        <f aca="false">'Daily KPI Entry'!V215</f>
        <v>0</v>
      </c>
      <c r="W214" s="49" t="str">
        <f aca="false">IF(O214="","",IFERROR(V214/O214*100,0))</f>
        <v/>
      </c>
      <c r="X214" s="49" t="n">
        <f aca="false">'Daily KPI Entry'!X215</f>
        <v>0</v>
      </c>
      <c r="Y214" s="49" t="n">
        <f aca="false">'Daily KPI Entry'!Y215</f>
        <v>0</v>
      </c>
      <c r="Z214" s="49" t="n">
        <f aca="false">'Daily KPI Entry'!Z215</f>
        <v>0</v>
      </c>
      <c r="AA214" s="49" t="n">
        <f aca="false">'Daily KPI Entry'!AA215</f>
        <v>0</v>
      </c>
      <c r="AB214" s="49" t="n">
        <f aca="false">'Daily KPI Entry'!AB215</f>
        <v>0</v>
      </c>
      <c r="AC214" s="49" t="n">
        <f aca="false">'Daily KPI Entry'!AC215</f>
        <v>0</v>
      </c>
      <c r="AD214" s="49" t="n">
        <f aca="false">'Daily KPI Entry'!AD215</f>
        <v>0</v>
      </c>
      <c r="AE214" s="49" t="n">
        <f aca="false">'Daily KPI Entry'!AE215</f>
        <v>0</v>
      </c>
      <c r="AF214" s="47" t="str">
        <f aca="false">IF(O214="","",SUM(X214:AE214))</f>
        <v/>
      </c>
      <c r="AG214" s="49" t="str">
        <f aca="false">IF(O214="","",IFERROR(AF214/O214*1000,0))</f>
        <v/>
      </c>
      <c r="AH214" s="49" t="n">
        <f aca="false">'Daily KPI Entry'!AH215</f>
        <v>0</v>
      </c>
      <c r="AI214" s="49" t="n">
        <f aca="false">'Daily KPI Entry'!AI215</f>
        <v>0</v>
      </c>
      <c r="AJ214" s="49" t="n">
        <f aca="false">'Daily KPI Entry'!AJ215</f>
        <v>0</v>
      </c>
      <c r="AK214" s="47" t="n">
        <f aca="false">'Daily KPI Entry'!AK215</f>
        <v>0</v>
      </c>
      <c r="AL214" s="47" t="n">
        <f aca="false">'Daily KPI Entry'!AL215</f>
        <v>0</v>
      </c>
      <c r="AM214" s="47" t="n">
        <f aca="false">'Daily KPI Entry'!AM215</f>
        <v>0</v>
      </c>
      <c r="AN214" s="49" t="str">
        <f aca="false">IF(P214="","",MIN(120,P214))</f>
        <v/>
      </c>
      <c r="AO214" s="49" t="str">
        <f aca="false">IF(U214="","",MIN(120,U214))</f>
        <v/>
      </c>
      <c r="AP214" s="49" t="str">
        <f aca="false">IF(R214="","",MIN(120,IFERROR(S214/R214*100,0)))</f>
        <v/>
      </c>
      <c r="AQ214" s="49" t="str">
        <f aca="false">IF(W214="","",MIN(120,IF(W214=0,120,100*(INDEX('Standards &amp; Scoring'!$E$5:$E$13,MATCH("Quality / Rejection",'Standards &amp; Scoring'!$A$5:$A$13,0))/W214))))</f>
        <v/>
      </c>
      <c r="AR214" s="49" t="str">
        <f aca="false">IF(AG214="","",MIN(120,IF(AG214=0,120,100*(INDEX('Standards &amp; Scoring'!$E$5:$E$13,MATCH("Fault Control",'Standards &amp; Scoring'!$A$5:$A$13,0))/AG214))))</f>
        <v/>
      </c>
      <c r="AS214" s="49" t="str">
        <f aca="false">IF(O214="","",MIN(120,IF(SUMIFS('Fault &amp; Downtime Entry'!$L$6:$L$1005,'Fault &amp; Downtime Entry'!$E$6:$E$1005,G214,'Fault &amp; Downtime Entry'!$B$6:$B$1005,B214)=0,120,100*(INDEX('Standards &amp; Scoring'!$E$5:$E$13,MATCH("Downtime Control",'Standards &amp; Scoring'!$A$5:$A$13,0))/IFERROR(SUMIFS('Fault &amp; Downtime Entry'!$L$6:$L$1005,'Fault &amp; Downtime Entry'!$E$6:$E$1005,G214,'Fault &amp; Downtime Entry'!$B$6:$B$1005,B214)/O214*1000,999999)))))</f>
        <v/>
      </c>
      <c r="AT214" s="49" t="n">
        <f aca="false">IF(COUNTA(AH214,AJ214)=0,"",MIN(120,IF(AND(AH214&lt;&gt;"",AJ214&lt;&gt;""),AVERAGE(AH214,AJ214),IF(AH214&lt;&gt;"",AH214,AJ214))))</f>
        <v>0</v>
      </c>
      <c r="AU214" s="49" t="str">
        <f aca="false">IF(AI214="","",MIN(120,AI214))</f>
        <v/>
      </c>
      <c r="AV214" s="49" t="str">
        <f aca="false">IF(AJ214="","",MIN(120,AJ214))</f>
        <v/>
      </c>
      <c r="AW214" s="50" t="str">
        <f aca="false">IF(COUNT(AN214:AV214)&lt;9,"",(AN214*'Standards &amp; Scoring'!$D$5+AO214*'Standards &amp; Scoring'!$D$6+AP214*'Standards &amp; Scoring'!$D$7+AQ214*'Standards &amp; Scoring'!$D$8+AR214*'Standards &amp; Scoring'!$D$9+AS214*'Standards &amp; Scoring'!$D$10+AT214*'Standards &amp; Scoring'!$D$11+AU214*'Standards &amp; Scoring'!$D$12+AV214*'Standards &amp; Scoring'!$D$13)/10000)</f>
        <v/>
      </c>
      <c r="AX214" s="47" t="str">
        <f aca="false">IF(AW214="","",IF(AW214&gt;=1.05,"A+",IF(AW214&gt;=1,"A",IF(AW214&gt;=0.95,"B+",IF(AW214&gt;=0.9,"B","C")))))</f>
        <v/>
      </c>
      <c r="AY214" s="47" t="str">
        <f aca="false">IF(AX214="","",IF(AX214="A+",1800,IF(AX214="A",1600,IF(AX214="B+",1400,IF(AX214="B",1200,0)))))</f>
        <v/>
      </c>
      <c r="AZ214" s="49" t="str">
        <f aca="false">IF(OR(L214="",M214="",S214="",M214=0),"",IFERROR(L214*60*S214/(M214*36),0))</f>
        <v/>
      </c>
    </row>
    <row r="215" customFormat="false" ht="15" hidden="false" customHeight="true" outlineLevel="0" collapsed="false">
      <c r="A215" s="47" t="n">
        <f aca="false">'Daily KPI Entry'!A216</f>
        <v>0</v>
      </c>
      <c r="B215" s="48" t="n">
        <f aca="false">'Daily KPI Entry'!B216</f>
        <v>0</v>
      </c>
      <c r="C215" s="47" t="n">
        <f aca="false">'Daily KPI Entry'!C216</f>
        <v>0</v>
      </c>
      <c r="D215" s="47" t="n">
        <f aca="false">'Daily KPI Entry'!D216</f>
        <v>0</v>
      </c>
      <c r="E215" s="47" t="n">
        <f aca="false">'Daily KPI Entry'!E216</f>
        <v>0</v>
      </c>
      <c r="F215" s="47" t="n">
        <f aca="false">'Daily KPI Entry'!F216</f>
        <v>0</v>
      </c>
      <c r="G215" s="47" t="n">
        <f aca="false">'Daily KPI Entry'!G216</f>
        <v>0</v>
      </c>
      <c r="H215" s="47" t="str">
        <f aca="false">'Daily KPI Entry'!H216</f>
        <v/>
      </c>
      <c r="I215" s="47" t="n">
        <f aca="false">'Daily KPI Entry'!I216</f>
        <v>0</v>
      </c>
      <c r="J215" s="47" t="n">
        <f aca="false">'Daily KPI Entry'!J216</f>
        <v>0</v>
      </c>
      <c r="K215" s="47" t="n">
        <f aca="false">'Daily KPI Entry'!K216</f>
        <v>0</v>
      </c>
      <c r="L215" s="47" t="n">
        <f aca="false">'Daily KPI Entry'!L216</f>
        <v>0</v>
      </c>
      <c r="M215" s="47" t="n">
        <f aca="false">'Daily KPI Entry'!M216</f>
        <v>0</v>
      </c>
      <c r="N215" s="49" t="n">
        <f aca="false">'Daily KPI Entry'!N216</f>
        <v>0</v>
      </c>
      <c r="O215" s="49" t="n">
        <f aca="false">'Daily KPI Entry'!O216</f>
        <v>0</v>
      </c>
      <c r="P215" s="49" t="str">
        <f aca="false">IF(OR(N215="",O215=""),"",IFERROR(O215/N215*100,0))</f>
        <v/>
      </c>
      <c r="Q215" s="47" t="n">
        <f aca="false">'Daily KPI Entry'!Q216</f>
        <v>8</v>
      </c>
      <c r="R215" s="47" t="str">
        <f aca="false">IF(J215="","",Q215*J215)</f>
        <v/>
      </c>
      <c r="S215" s="49" t="n">
        <f aca="false">'Daily KPI Entry'!S216</f>
        <v>0</v>
      </c>
      <c r="T215" s="49" t="str">
        <f aca="false">IF(OR(R215="",S215=""),"",IFERROR(S215/R215*100,0))</f>
        <v/>
      </c>
      <c r="U215" s="49" t="str">
        <f aca="false">IF(OR(O215="",L215="",M215="",S215="",M215=0),"",IFERROR(O215/(L215*60*S215/(M215*36))*100,0))</f>
        <v/>
      </c>
      <c r="V215" s="49" t="n">
        <f aca="false">'Daily KPI Entry'!V216</f>
        <v>0</v>
      </c>
      <c r="W215" s="49" t="str">
        <f aca="false">IF(O215="","",IFERROR(V215/O215*100,0))</f>
        <v/>
      </c>
      <c r="X215" s="49" t="n">
        <f aca="false">'Daily KPI Entry'!X216</f>
        <v>0</v>
      </c>
      <c r="Y215" s="49" t="n">
        <f aca="false">'Daily KPI Entry'!Y216</f>
        <v>0</v>
      </c>
      <c r="Z215" s="49" t="n">
        <f aca="false">'Daily KPI Entry'!Z216</f>
        <v>0</v>
      </c>
      <c r="AA215" s="49" t="n">
        <f aca="false">'Daily KPI Entry'!AA216</f>
        <v>0</v>
      </c>
      <c r="AB215" s="49" t="n">
        <f aca="false">'Daily KPI Entry'!AB216</f>
        <v>0</v>
      </c>
      <c r="AC215" s="49" t="n">
        <f aca="false">'Daily KPI Entry'!AC216</f>
        <v>0</v>
      </c>
      <c r="AD215" s="49" t="n">
        <f aca="false">'Daily KPI Entry'!AD216</f>
        <v>0</v>
      </c>
      <c r="AE215" s="49" t="n">
        <f aca="false">'Daily KPI Entry'!AE216</f>
        <v>0</v>
      </c>
      <c r="AF215" s="47" t="str">
        <f aca="false">IF(O215="","",SUM(X215:AE215))</f>
        <v/>
      </c>
      <c r="AG215" s="49" t="str">
        <f aca="false">IF(O215="","",IFERROR(AF215/O215*1000,0))</f>
        <v/>
      </c>
      <c r="AH215" s="49" t="n">
        <f aca="false">'Daily KPI Entry'!AH216</f>
        <v>0</v>
      </c>
      <c r="AI215" s="49" t="n">
        <f aca="false">'Daily KPI Entry'!AI216</f>
        <v>0</v>
      </c>
      <c r="AJ215" s="49" t="n">
        <f aca="false">'Daily KPI Entry'!AJ216</f>
        <v>0</v>
      </c>
      <c r="AK215" s="47" t="n">
        <f aca="false">'Daily KPI Entry'!AK216</f>
        <v>0</v>
      </c>
      <c r="AL215" s="47" t="n">
        <f aca="false">'Daily KPI Entry'!AL216</f>
        <v>0</v>
      </c>
      <c r="AM215" s="47" t="n">
        <f aca="false">'Daily KPI Entry'!AM216</f>
        <v>0</v>
      </c>
      <c r="AN215" s="49" t="str">
        <f aca="false">IF(P215="","",MIN(120,P215))</f>
        <v/>
      </c>
      <c r="AO215" s="49" t="str">
        <f aca="false">IF(U215="","",MIN(120,U215))</f>
        <v/>
      </c>
      <c r="AP215" s="49" t="str">
        <f aca="false">IF(R215="","",MIN(120,IFERROR(S215/R215*100,0)))</f>
        <v/>
      </c>
      <c r="AQ215" s="49" t="str">
        <f aca="false">IF(W215="","",MIN(120,IF(W215=0,120,100*(INDEX('Standards &amp; Scoring'!$E$5:$E$13,MATCH("Quality / Rejection",'Standards &amp; Scoring'!$A$5:$A$13,0))/W215))))</f>
        <v/>
      </c>
      <c r="AR215" s="49" t="str">
        <f aca="false">IF(AG215="","",MIN(120,IF(AG215=0,120,100*(INDEX('Standards &amp; Scoring'!$E$5:$E$13,MATCH("Fault Control",'Standards &amp; Scoring'!$A$5:$A$13,0))/AG215))))</f>
        <v/>
      </c>
      <c r="AS215" s="49" t="str">
        <f aca="false">IF(O215="","",MIN(120,IF(SUMIFS('Fault &amp; Downtime Entry'!$L$6:$L$1005,'Fault &amp; Downtime Entry'!$E$6:$E$1005,G215,'Fault &amp; Downtime Entry'!$B$6:$B$1005,B215)=0,120,100*(INDEX('Standards &amp; Scoring'!$E$5:$E$13,MATCH("Downtime Control",'Standards &amp; Scoring'!$A$5:$A$13,0))/IFERROR(SUMIFS('Fault &amp; Downtime Entry'!$L$6:$L$1005,'Fault &amp; Downtime Entry'!$E$6:$E$1005,G215,'Fault &amp; Downtime Entry'!$B$6:$B$1005,B215)/O215*1000,999999)))))</f>
        <v/>
      </c>
      <c r="AT215" s="49" t="n">
        <f aca="false">IF(COUNTA(AH215,AJ215)=0,"",MIN(120,IF(AND(AH215&lt;&gt;"",AJ215&lt;&gt;""),AVERAGE(AH215,AJ215),IF(AH215&lt;&gt;"",AH215,AJ215))))</f>
        <v>0</v>
      </c>
      <c r="AU215" s="49" t="str">
        <f aca="false">IF(AI215="","",MIN(120,AI215))</f>
        <v/>
      </c>
      <c r="AV215" s="49" t="str">
        <f aca="false">IF(AJ215="","",MIN(120,AJ215))</f>
        <v/>
      </c>
      <c r="AW215" s="50" t="str">
        <f aca="false">IF(COUNT(AN215:AV215)&lt;9,"",(AN215*'Standards &amp; Scoring'!$D$5+AO215*'Standards &amp; Scoring'!$D$6+AP215*'Standards &amp; Scoring'!$D$7+AQ215*'Standards &amp; Scoring'!$D$8+AR215*'Standards &amp; Scoring'!$D$9+AS215*'Standards &amp; Scoring'!$D$10+AT215*'Standards &amp; Scoring'!$D$11+AU215*'Standards &amp; Scoring'!$D$12+AV215*'Standards &amp; Scoring'!$D$13)/10000)</f>
        <v/>
      </c>
      <c r="AX215" s="47" t="str">
        <f aca="false">IF(AW215="","",IF(AW215&gt;=1.05,"A+",IF(AW215&gt;=1,"A",IF(AW215&gt;=0.95,"B+",IF(AW215&gt;=0.9,"B","C")))))</f>
        <v/>
      </c>
      <c r="AY215" s="47" t="str">
        <f aca="false">IF(AX215="","",IF(AX215="A+",1800,IF(AX215="A",1600,IF(AX215="B+",1400,IF(AX215="B",1200,0)))))</f>
        <v/>
      </c>
      <c r="AZ215" s="49" t="str">
        <f aca="false">IF(OR(L215="",M215="",S215="",M215=0),"",IFERROR(L215*60*S215/(M215*36),0))</f>
        <v/>
      </c>
    </row>
    <row r="216" customFormat="false" ht="15" hidden="false" customHeight="true" outlineLevel="0" collapsed="false">
      <c r="A216" s="47" t="n">
        <f aca="false">'Daily KPI Entry'!A217</f>
        <v>0</v>
      </c>
      <c r="B216" s="48" t="n">
        <f aca="false">'Daily KPI Entry'!B217</f>
        <v>0</v>
      </c>
      <c r="C216" s="47" t="n">
        <f aca="false">'Daily KPI Entry'!C217</f>
        <v>0</v>
      </c>
      <c r="D216" s="47" t="n">
        <f aca="false">'Daily KPI Entry'!D217</f>
        <v>0</v>
      </c>
      <c r="E216" s="47" t="n">
        <f aca="false">'Daily KPI Entry'!E217</f>
        <v>0</v>
      </c>
      <c r="F216" s="47" t="n">
        <f aca="false">'Daily KPI Entry'!F217</f>
        <v>0</v>
      </c>
      <c r="G216" s="47" t="n">
        <f aca="false">'Daily KPI Entry'!G217</f>
        <v>0</v>
      </c>
      <c r="H216" s="47" t="str">
        <f aca="false">'Daily KPI Entry'!H217</f>
        <v/>
      </c>
      <c r="I216" s="47" t="n">
        <f aca="false">'Daily KPI Entry'!I217</f>
        <v>0</v>
      </c>
      <c r="J216" s="47" t="n">
        <f aca="false">'Daily KPI Entry'!J217</f>
        <v>0</v>
      </c>
      <c r="K216" s="47" t="n">
        <f aca="false">'Daily KPI Entry'!K217</f>
        <v>0</v>
      </c>
      <c r="L216" s="47" t="n">
        <f aca="false">'Daily KPI Entry'!L217</f>
        <v>0</v>
      </c>
      <c r="M216" s="47" t="n">
        <f aca="false">'Daily KPI Entry'!M217</f>
        <v>0</v>
      </c>
      <c r="N216" s="49" t="n">
        <f aca="false">'Daily KPI Entry'!N217</f>
        <v>0</v>
      </c>
      <c r="O216" s="49" t="n">
        <f aca="false">'Daily KPI Entry'!O217</f>
        <v>0</v>
      </c>
      <c r="P216" s="49" t="str">
        <f aca="false">IF(OR(N216="",O216=""),"",IFERROR(O216/N216*100,0))</f>
        <v/>
      </c>
      <c r="Q216" s="47" t="n">
        <f aca="false">'Daily KPI Entry'!Q217</f>
        <v>8</v>
      </c>
      <c r="R216" s="47" t="str">
        <f aca="false">IF(J216="","",Q216*J216)</f>
        <v/>
      </c>
      <c r="S216" s="49" t="n">
        <f aca="false">'Daily KPI Entry'!S217</f>
        <v>0</v>
      </c>
      <c r="T216" s="49" t="str">
        <f aca="false">IF(OR(R216="",S216=""),"",IFERROR(S216/R216*100,0))</f>
        <v/>
      </c>
      <c r="U216" s="49" t="str">
        <f aca="false">IF(OR(O216="",L216="",M216="",S216="",M216=0),"",IFERROR(O216/(L216*60*S216/(M216*36))*100,0))</f>
        <v/>
      </c>
      <c r="V216" s="49" t="n">
        <f aca="false">'Daily KPI Entry'!V217</f>
        <v>0</v>
      </c>
      <c r="W216" s="49" t="str">
        <f aca="false">IF(O216="","",IFERROR(V216/O216*100,0))</f>
        <v/>
      </c>
      <c r="X216" s="49" t="n">
        <f aca="false">'Daily KPI Entry'!X217</f>
        <v>0</v>
      </c>
      <c r="Y216" s="49" t="n">
        <f aca="false">'Daily KPI Entry'!Y217</f>
        <v>0</v>
      </c>
      <c r="Z216" s="49" t="n">
        <f aca="false">'Daily KPI Entry'!Z217</f>
        <v>0</v>
      </c>
      <c r="AA216" s="49" t="n">
        <f aca="false">'Daily KPI Entry'!AA217</f>
        <v>0</v>
      </c>
      <c r="AB216" s="49" t="n">
        <f aca="false">'Daily KPI Entry'!AB217</f>
        <v>0</v>
      </c>
      <c r="AC216" s="49" t="n">
        <f aca="false">'Daily KPI Entry'!AC217</f>
        <v>0</v>
      </c>
      <c r="AD216" s="49" t="n">
        <f aca="false">'Daily KPI Entry'!AD217</f>
        <v>0</v>
      </c>
      <c r="AE216" s="49" t="n">
        <f aca="false">'Daily KPI Entry'!AE217</f>
        <v>0</v>
      </c>
      <c r="AF216" s="47" t="str">
        <f aca="false">IF(O216="","",SUM(X216:AE216))</f>
        <v/>
      </c>
      <c r="AG216" s="49" t="str">
        <f aca="false">IF(O216="","",IFERROR(AF216/O216*1000,0))</f>
        <v/>
      </c>
      <c r="AH216" s="49" t="n">
        <f aca="false">'Daily KPI Entry'!AH217</f>
        <v>0</v>
      </c>
      <c r="AI216" s="49" t="n">
        <f aca="false">'Daily KPI Entry'!AI217</f>
        <v>0</v>
      </c>
      <c r="AJ216" s="49" t="n">
        <f aca="false">'Daily KPI Entry'!AJ217</f>
        <v>0</v>
      </c>
      <c r="AK216" s="47" t="n">
        <f aca="false">'Daily KPI Entry'!AK217</f>
        <v>0</v>
      </c>
      <c r="AL216" s="47" t="n">
        <f aca="false">'Daily KPI Entry'!AL217</f>
        <v>0</v>
      </c>
      <c r="AM216" s="47" t="n">
        <f aca="false">'Daily KPI Entry'!AM217</f>
        <v>0</v>
      </c>
      <c r="AN216" s="49" t="str">
        <f aca="false">IF(P216="","",MIN(120,P216))</f>
        <v/>
      </c>
      <c r="AO216" s="49" t="str">
        <f aca="false">IF(U216="","",MIN(120,U216))</f>
        <v/>
      </c>
      <c r="AP216" s="49" t="str">
        <f aca="false">IF(R216="","",MIN(120,IFERROR(S216/R216*100,0)))</f>
        <v/>
      </c>
      <c r="AQ216" s="49" t="str">
        <f aca="false">IF(W216="","",MIN(120,IF(W216=0,120,100*(INDEX('Standards &amp; Scoring'!$E$5:$E$13,MATCH("Quality / Rejection",'Standards &amp; Scoring'!$A$5:$A$13,0))/W216))))</f>
        <v/>
      </c>
      <c r="AR216" s="49" t="str">
        <f aca="false">IF(AG216="","",MIN(120,IF(AG216=0,120,100*(INDEX('Standards &amp; Scoring'!$E$5:$E$13,MATCH("Fault Control",'Standards &amp; Scoring'!$A$5:$A$13,0))/AG216))))</f>
        <v/>
      </c>
      <c r="AS216" s="49" t="str">
        <f aca="false">IF(O216="","",MIN(120,IF(SUMIFS('Fault &amp; Downtime Entry'!$L$6:$L$1005,'Fault &amp; Downtime Entry'!$E$6:$E$1005,G216,'Fault &amp; Downtime Entry'!$B$6:$B$1005,B216)=0,120,100*(INDEX('Standards &amp; Scoring'!$E$5:$E$13,MATCH("Downtime Control",'Standards &amp; Scoring'!$A$5:$A$13,0))/IFERROR(SUMIFS('Fault &amp; Downtime Entry'!$L$6:$L$1005,'Fault &amp; Downtime Entry'!$E$6:$E$1005,G216,'Fault &amp; Downtime Entry'!$B$6:$B$1005,B216)/O216*1000,999999)))))</f>
        <v/>
      </c>
      <c r="AT216" s="49" t="n">
        <f aca="false">IF(COUNTA(AH216,AJ216)=0,"",MIN(120,IF(AND(AH216&lt;&gt;"",AJ216&lt;&gt;""),AVERAGE(AH216,AJ216),IF(AH216&lt;&gt;"",AH216,AJ216))))</f>
        <v>0</v>
      </c>
      <c r="AU216" s="49" t="str">
        <f aca="false">IF(AI216="","",MIN(120,AI216))</f>
        <v/>
      </c>
      <c r="AV216" s="49" t="str">
        <f aca="false">IF(AJ216="","",MIN(120,AJ216))</f>
        <v/>
      </c>
      <c r="AW216" s="50" t="str">
        <f aca="false">IF(COUNT(AN216:AV216)&lt;9,"",(AN216*'Standards &amp; Scoring'!$D$5+AO216*'Standards &amp; Scoring'!$D$6+AP216*'Standards &amp; Scoring'!$D$7+AQ216*'Standards &amp; Scoring'!$D$8+AR216*'Standards &amp; Scoring'!$D$9+AS216*'Standards &amp; Scoring'!$D$10+AT216*'Standards &amp; Scoring'!$D$11+AU216*'Standards &amp; Scoring'!$D$12+AV216*'Standards &amp; Scoring'!$D$13)/10000)</f>
        <v/>
      </c>
      <c r="AX216" s="47" t="str">
        <f aca="false">IF(AW216="","",IF(AW216&gt;=1.05,"A+",IF(AW216&gt;=1,"A",IF(AW216&gt;=0.95,"B+",IF(AW216&gt;=0.9,"B","C")))))</f>
        <v/>
      </c>
      <c r="AY216" s="47" t="str">
        <f aca="false">IF(AX216="","",IF(AX216="A+",1800,IF(AX216="A",1600,IF(AX216="B+",1400,IF(AX216="B",1200,0)))))</f>
        <v/>
      </c>
      <c r="AZ216" s="49" t="str">
        <f aca="false">IF(OR(L216="",M216="",S216="",M216=0),"",IFERROR(L216*60*S216/(M216*36),0))</f>
        <v/>
      </c>
    </row>
    <row r="217" customFormat="false" ht="15" hidden="false" customHeight="true" outlineLevel="0" collapsed="false">
      <c r="A217" s="47" t="n">
        <f aca="false">'Daily KPI Entry'!A218</f>
        <v>0</v>
      </c>
      <c r="B217" s="48" t="n">
        <f aca="false">'Daily KPI Entry'!B218</f>
        <v>0</v>
      </c>
      <c r="C217" s="47" t="n">
        <f aca="false">'Daily KPI Entry'!C218</f>
        <v>0</v>
      </c>
      <c r="D217" s="47" t="n">
        <f aca="false">'Daily KPI Entry'!D218</f>
        <v>0</v>
      </c>
      <c r="E217" s="47" t="n">
        <f aca="false">'Daily KPI Entry'!E218</f>
        <v>0</v>
      </c>
      <c r="F217" s="47" t="n">
        <f aca="false">'Daily KPI Entry'!F218</f>
        <v>0</v>
      </c>
      <c r="G217" s="47" t="n">
        <f aca="false">'Daily KPI Entry'!G218</f>
        <v>0</v>
      </c>
      <c r="H217" s="47" t="str">
        <f aca="false">'Daily KPI Entry'!H218</f>
        <v/>
      </c>
      <c r="I217" s="47" t="n">
        <f aca="false">'Daily KPI Entry'!I218</f>
        <v>0</v>
      </c>
      <c r="J217" s="47" t="n">
        <f aca="false">'Daily KPI Entry'!J218</f>
        <v>0</v>
      </c>
      <c r="K217" s="47" t="n">
        <f aca="false">'Daily KPI Entry'!K218</f>
        <v>0</v>
      </c>
      <c r="L217" s="47" t="n">
        <f aca="false">'Daily KPI Entry'!L218</f>
        <v>0</v>
      </c>
      <c r="M217" s="47" t="n">
        <f aca="false">'Daily KPI Entry'!M218</f>
        <v>0</v>
      </c>
      <c r="N217" s="49" t="n">
        <f aca="false">'Daily KPI Entry'!N218</f>
        <v>0</v>
      </c>
      <c r="O217" s="49" t="n">
        <f aca="false">'Daily KPI Entry'!O218</f>
        <v>0</v>
      </c>
      <c r="P217" s="49" t="str">
        <f aca="false">IF(OR(N217="",O217=""),"",IFERROR(O217/N217*100,0))</f>
        <v/>
      </c>
      <c r="Q217" s="47" t="n">
        <f aca="false">'Daily KPI Entry'!Q218</f>
        <v>8</v>
      </c>
      <c r="R217" s="47" t="str">
        <f aca="false">IF(J217="","",Q217*J217)</f>
        <v/>
      </c>
      <c r="S217" s="49" t="n">
        <f aca="false">'Daily KPI Entry'!S218</f>
        <v>0</v>
      </c>
      <c r="T217" s="49" t="str">
        <f aca="false">IF(OR(R217="",S217=""),"",IFERROR(S217/R217*100,0))</f>
        <v/>
      </c>
      <c r="U217" s="49" t="str">
        <f aca="false">IF(OR(O217="",L217="",M217="",S217="",M217=0),"",IFERROR(O217/(L217*60*S217/(M217*36))*100,0))</f>
        <v/>
      </c>
      <c r="V217" s="49" t="n">
        <f aca="false">'Daily KPI Entry'!V218</f>
        <v>0</v>
      </c>
      <c r="W217" s="49" t="str">
        <f aca="false">IF(O217="","",IFERROR(V217/O217*100,0))</f>
        <v/>
      </c>
      <c r="X217" s="49" t="n">
        <f aca="false">'Daily KPI Entry'!X218</f>
        <v>0</v>
      </c>
      <c r="Y217" s="49" t="n">
        <f aca="false">'Daily KPI Entry'!Y218</f>
        <v>0</v>
      </c>
      <c r="Z217" s="49" t="n">
        <f aca="false">'Daily KPI Entry'!Z218</f>
        <v>0</v>
      </c>
      <c r="AA217" s="49" t="n">
        <f aca="false">'Daily KPI Entry'!AA218</f>
        <v>0</v>
      </c>
      <c r="AB217" s="49" t="n">
        <f aca="false">'Daily KPI Entry'!AB218</f>
        <v>0</v>
      </c>
      <c r="AC217" s="49" t="n">
        <f aca="false">'Daily KPI Entry'!AC218</f>
        <v>0</v>
      </c>
      <c r="AD217" s="49" t="n">
        <f aca="false">'Daily KPI Entry'!AD218</f>
        <v>0</v>
      </c>
      <c r="AE217" s="49" t="n">
        <f aca="false">'Daily KPI Entry'!AE218</f>
        <v>0</v>
      </c>
      <c r="AF217" s="47" t="str">
        <f aca="false">IF(O217="","",SUM(X217:AE217))</f>
        <v/>
      </c>
      <c r="AG217" s="49" t="str">
        <f aca="false">IF(O217="","",IFERROR(AF217/O217*1000,0))</f>
        <v/>
      </c>
      <c r="AH217" s="49" t="n">
        <f aca="false">'Daily KPI Entry'!AH218</f>
        <v>0</v>
      </c>
      <c r="AI217" s="49" t="n">
        <f aca="false">'Daily KPI Entry'!AI218</f>
        <v>0</v>
      </c>
      <c r="AJ217" s="49" t="n">
        <f aca="false">'Daily KPI Entry'!AJ218</f>
        <v>0</v>
      </c>
      <c r="AK217" s="47" t="n">
        <f aca="false">'Daily KPI Entry'!AK218</f>
        <v>0</v>
      </c>
      <c r="AL217" s="47" t="n">
        <f aca="false">'Daily KPI Entry'!AL218</f>
        <v>0</v>
      </c>
      <c r="AM217" s="47" t="n">
        <f aca="false">'Daily KPI Entry'!AM218</f>
        <v>0</v>
      </c>
      <c r="AN217" s="49" t="str">
        <f aca="false">IF(P217="","",MIN(120,P217))</f>
        <v/>
      </c>
      <c r="AO217" s="49" t="str">
        <f aca="false">IF(U217="","",MIN(120,U217))</f>
        <v/>
      </c>
      <c r="AP217" s="49" t="str">
        <f aca="false">IF(R217="","",MIN(120,IFERROR(S217/R217*100,0)))</f>
        <v/>
      </c>
      <c r="AQ217" s="49" t="str">
        <f aca="false">IF(W217="","",MIN(120,IF(W217=0,120,100*(INDEX('Standards &amp; Scoring'!$E$5:$E$13,MATCH("Quality / Rejection",'Standards &amp; Scoring'!$A$5:$A$13,0))/W217))))</f>
        <v/>
      </c>
      <c r="AR217" s="49" t="str">
        <f aca="false">IF(AG217="","",MIN(120,IF(AG217=0,120,100*(INDEX('Standards &amp; Scoring'!$E$5:$E$13,MATCH("Fault Control",'Standards &amp; Scoring'!$A$5:$A$13,0))/AG217))))</f>
        <v/>
      </c>
      <c r="AS217" s="49" t="str">
        <f aca="false">IF(O217="","",MIN(120,IF(SUMIFS('Fault &amp; Downtime Entry'!$L$6:$L$1005,'Fault &amp; Downtime Entry'!$E$6:$E$1005,G217,'Fault &amp; Downtime Entry'!$B$6:$B$1005,B217)=0,120,100*(INDEX('Standards &amp; Scoring'!$E$5:$E$13,MATCH("Downtime Control",'Standards &amp; Scoring'!$A$5:$A$13,0))/IFERROR(SUMIFS('Fault &amp; Downtime Entry'!$L$6:$L$1005,'Fault &amp; Downtime Entry'!$E$6:$E$1005,G217,'Fault &amp; Downtime Entry'!$B$6:$B$1005,B217)/O217*1000,999999)))))</f>
        <v/>
      </c>
      <c r="AT217" s="49" t="n">
        <f aca="false">IF(COUNTA(AH217,AJ217)=0,"",MIN(120,IF(AND(AH217&lt;&gt;"",AJ217&lt;&gt;""),AVERAGE(AH217,AJ217),IF(AH217&lt;&gt;"",AH217,AJ217))))</f>
        <v>0</v>
      </c>
      <c r="AU217" s="49" t="str">
        <f aca="false">IF(AI217="","",MIN(120,AI217))</f>
        <v/>
      </c>
      <c r="AV217" s="49" t="str">
        <f aca="false">IF(AJ217="","",MIN(120,AJ217))</f>
        <v/>
      </c>
      <c r="AW217" s="50" t="str">
        <f aca="false">IF(COUNT(AN217:AV217)&lt;9,"",(AN217*'Standards &amp; Scoring'!$D$5+AO217*'Standards &amp; Scoring'!$D$6+AP217*'Standards &amp; Scoring'!$D$7+AQ217*'Standards &amp; Scoring'!$D$8+AR217*'Standards &amp; Scoring'!$D$9+AS217*'Standards &amp; Scoring'!$D$10+AT217*'Standards &amp; Scoring'!$D$11+AU217*'Standards &amp; Scoring'!$D$12+AV217*'Standards &amp; Scoring'!$D$13)/10000)</f>
        <v/>
      </c>
      <c r="AX217" s="47" t="str">
        <f aca="false">IF(AW217="","",IF(AW217&gt;=1.05,"A+",IF(AW217&gt;=1,"A",IF(AW217&gt;=0.95,"B+",IF(AW217&gt;=0.9,"B","C")))))</f>
        <v/>
      </c>
      <c r="AY217" s="47" t="str">
        <f aca="false">IF(AX217="","",IF(AX217="A+",1800,IF(AX217="A",1600,IF(AX217="B+",1400,IF(AX217="B",1200,0)))))</f>
        <v/>
      </c>
      <c r="AZ217" s="49" t="str">
        <f aca="false">IF(OR(L217="",M217="",S217="",M217=0),"",IFERROR(L217*60*S217/(M217*36),0))</f>
        <v/>
      </c>
    </row>
    <row r="218" customFormat="false" ht="15" hidden="false" customHeight="true" outlineLevel="0" collapsed="false">
      <c r="A218" s="47" t="n">
        <f aca="false">'Daily KPI Entry'!A219</f>
        <v>0</v>
      </c>
      <c r="B218" s="48" t="n">
        <f aca="false">'Daily KPI Entry'!B219</f>
        <v>0</v>
      </c>
      <c r="C218" s="47" t="n">
        <f aca="false">'Daily KPI Entry'!C219</f>
        <v>0</v>
      </c>
      <c r="D218" s="47" t="n">
        <f aca="false">'Daily KPI Entry'!D219</f>
        <v>0</v>
      </c>
      <c r="E218" s="47" t="n">
        <f aca="false">'Daily KPI Entry'!E219</f>
        <v>0</v>
      </c>
      <c r="F218" s="47" t="n">
        <f aca="false">'Daily KPI Entry'!F219</f>
        <v>0</v>
      </c>
      <c r="G218" s="47" t="n">
        <f aca="false">'Daily KPI Entry'!G219</f>
        <v>0</v>
      </c>
      <c r="H218" s="47" t="str">
        <f aca="false">'Daily KPI Entry'!H219</f>
        <v/>
      </c>
      <c r="I218" s="47" t="n">
        <f aca="false">'Daily KPI Entry'!I219</f>
        <v>0</v>
      </c>
      <c r="J218" s="47" t="n">
        <f aca="false">'Daily KPI Entry'!J219</f>
        <v>0</v>
      </c>
      <c r="K218" s="47" t="n">
        <f aca="false">'Daily KPI Entry'!K219</f>
        <v>0</v>
      </c>
      <c r="L218" s="47" t="n">
        <f aca="false">'Daily KPI Entry'!L219</f>
        <v>0</v>
      </c>
      <c r="M218" s="47" t="n">
        <f aca="false">'Daily KPI Entry'!M219</f>
        <v>0</v>
      </c>
      <c r="N218" s="49" t="n">
        <f aca="false">'Daily KPI Entry'!N219</f>
        <v>0</v>
      </c>
      <c r="O218" s="49" t="n">
        <f aca="false">'Daily KPI Entry'!O219</f>
        <v>0</v>
      </c>
      <c r="P218" s="49" t="str">
        <f aca="false">IF(OR(N218="",O218=""),"",IFERROR(O218/N218*100,0))</f>
        <v/>
      </c>
      <c r="Q218" s="47" t="n">
        <f aca="false">'Daily KPI Entry'!Q219</f>
        <v>8</v>
      </c>
      <c r="R218" s="47" t="str">
        <f aca="false">IF(J218="","",Q218*J218)</f>
        <v/>
      </c>
      <c r="S218" s="49" t="n">
        <f aca="false">'Daily KPI Entry'!S219</f>
        <v>0</v>
      </c>
      <c r="T218" s="49" t="str">
        <f aca="false">IF(OR(R218="",S218=""),"",IFERROR(S218/R218*100,0))</f>
        <v/>
      </c>
      <c r="U218" s="49" t="str">
        <f aca="false">IF(OR(O218="",L218="",M218="",S218="",M218=0),"",IFERROR(O218/(L218*60*S218/(M218*36))*100,0))</f>
        <v/>
      </c>
      <c r="V218" s="49" t="n">
        <f aca="false">'Daily KPI Entry'!V219</f>
        <v>0</v>
      </c>
      <c r="W218" s="49" t="str">
        <f aca="false">IF(O218="","",IFERROR(V218/O218*100,0))</f>
        <v/>
      </c>
      <c r="X218" s="49" t="n">
        <f aca="false">'Daily KPI Entry'!X219</f>
        <v>0</v>
      </c>
      <c r="Y218" s="49" t="n">
        <f aca="false">'Daily KPI Entry'!Y219</f>
        <v>0</v>
      </c>
      <c r="Z218" s="49" t="n">
        <f aca="false">'Daily KPI Entry'!Z219</f>
        <v>0</v>
      </c>
      <c r="AA218" s="49" t="n">
        <f aca="false">'Daily KPI Entry'!AA219</f>
        <v>0</v>
      </c>
      <c r="AB218" s="49" t="n">
        <f aca="false">'Daily KPI Entry'!AB219</f>
        <v>0</v>
      </c>
      <c r="AC218" s="49" t="n">
        <f aca="false">'Daily KPI Entry'!AC219</f>
        <v>0</v>
      </c>
      <c r="AD218" s="49" t="n">
        <f aca="false">'Daily KPI Entry'!AD219</f>
        <v>0</v>
      </c>
      <c r="AE218" s="49" t="n">
        <f aca="false">'Daily KPI Entry'!AE219</f>
        <v>0</v>
      </c>
      <c r="AF218" s="47" t="str">
        <f aca="false">IF(O218="","",SUM(X218:AE218))</f>
        <v/>
      </c>
      <c r="AG218" s="49" t="str">
        <f aca="false">IF(O218="","",IFERROR(AF218/O218*1000,0))</f>
        <v/>
      </c>
      <c r="AH218" s="49" t="n">
        <f aca="false">'Daily KPI Entry'!AH219</f>
        <v>0</v>
      </c>
      <c r="AI218" s="49" t="n">
        <f aca="false">'Daily KPI Entry'!AI219</f>
        <v>0</v>
      </c>
      <c r="AJ218" s="49" t="n">
        <f aca="false">'Daily KPI Entry'!AJ219</f>
        <v>0</v>
      </c>
      <c r="AK218" s="47" t="n">
        <f aca="false">'Daily KPI Entry'!AK219</f>
        <v>0</v>
      </c>
      <c r="AL218" s="47" t="n">
        <f aca="false">'Daily KPI Entry'!AL219</f>
        <v>0</v>
      </c>
      <c r="AM218" s="47" t="n">
        <f aca="false">'Daily KPI Entry'!AM219</f>
        <v>0</v>
      </c>
      <c r="AN218" s="49" t="str">
        <f aca="false">IF(P218="","",MIN(120,P218))</f>
        <v/>
      </c>
      <c r="AO218" s="49" t="str">
        <f aca="false">IF(U218="","",MIN(120,U218))</f>
        <v/>
      </c>
      <c r="AP218" s="49" t="str">
        <f aca="false">IF(R218="","",MIN(120,IFERROR(S218/R218*100,0)))</f>
        <v/>
      </c>
      <c r="AQ218" s="49" t="str">
        <f aca="false">IF(W218="","",MIN(120,IF(W218=0,120,100*(INDEX('Standards &amp; Scoring'!$E$5:$E$13,MATCH("Quality / Rejection",'Standards &amp; Scoring'!$A$5:$A$13,0))/W218))))</f>
        <v/>
      </c>
      <c r="AR218" s="49" t="str">
        <f aca="false">IF(AG218="","",MIN(120,IF(AG218=0,120,100*(INDEX('Standards &amp; Scoring'!$E$5:$E$13,MATCH("Fault Control",'Standards &amp; Scoring'!$A$5:$A$13,0))/AG218))))</f>
        <v/>
      </c>
      <c r="AS218" s="49" t="str">
        <f aca="false">IF(O218="","",MIN(120,IF(SUMIFS('Fault &amp; Downtime Entry'!$L$6:$L$1005,'Fault &amp; Downtime Entry'!$E$6:$E$1005,G218,'Fault &amp; Downtime Entry'!$B$6:$B$1005,B218)=0,120,100*(INDEX('Standards &amp; Scoring'!$E$5:$E$13,MATCH("Downtime Control",'Standards &amp; Scoring'!$A$5:$A$13,0))/IFERROR(SUMIFS('Fault &amp; Downtime Entry'!$L$6:$L$1005,'Fault &amp; Downtime Entry'!$E$6:$E$1005,G218,'Fault &amp; Downtime Entry'!$B$6:$B$1005,B218)/O218*1000,999999)))))</f>
        <v/>
      </c>
      <c r="AT218" s="49" t="n">
        <f aca="false">IF(COUNTA(AH218,AJ218)=0,"",MIN(120,IF(AND(AH218&lt;&gt;"",AJ218&lt;&gt;""),AVERAGE(AH218,AJ218),IF(AH218&lt;&gt;"",AH218,AJ218))))</f>
        <v>0</v>
      </c>
      <c r="AU218" s="49" t="str">
        <f aca="false">IF(AI218="","",MIN(120,AI218))</f>
        <v/>
      </c>
      <c r="AV218" s="49" t="str">
        <f aca="false">IF(AJ218="","",MIN(120,AJ218))</f>
        <v/>
      </c>
      <c r="AW218" s="50" t="str">
        <f aca="false">IF(COUNT(AN218:AV218)&lt;9,"",(AN218*'Standards &amp; Scoring'!$D$5+AO218*'Standards &amp; Scoring'!$D$6+AP218*'Standards &amp; Scoring'!$D$7+AQ218*'Standards &amp; Scoring'!$D$8+AR218*'Standards &amp; Scoring'!$D$9+AS218*'Standards &amp; Scoring'!$D$10+AT218*'Standards &amp; Scoring'!$D$11+AU218*'Standards &amp; Scoring'!$D$12+AV218*'Standards &amp; Scoring'!$D$13)/10000)</f>
        <v/>
      </c>
      <c r="AX218" s="47" t="str">
        <f aca="false">IF(AW218="","",IF(AW218&gt;=1.05,"A+",IF(AW218&gt;=1,"A",IF(AW218&gt;=0.95,"B+",IF(AW218&gt;=0.9,"B","C")))))</f>
        <v/>
      </c>
      <c r="AY218" s="47" t="str">
        <f aca="false">IF(AX218="","",IF(AX218="A+",1800,IF(AX218="A",1600,IF(AX218="B+",1400,IF(AX218="B",1200,0)))))</f>
        <v/>
      </c>
      <c r="AZ218" s="49" t="str">
        <f aca="false">IF(OR(L218="",M218="",S218="",M218=0),"",IFERROR(L218*60*S218/(M218*36),0))</f>
        <v/>
      </c>
    </row>
    <row r="219" customFormat="false" ht="15" hidden="false" customHeight="true" outlineLevel="0" collapsed="false">
      <c r="A219" s="47" t="n">
        <f aca="false">'Daily KPI Entry'!A220</f>
        <v>0</v>
      </c>
      <c r="B219" s="48" t="n">
        <f aca="false">'Daily KPI Entry'!B220</f>
        <v>0</v>
      </c>
      <c r="C219" s="47" t="n">
        <f aca="false">'Daily KPI Entry'!C220</f>
        <v>0</v>
      </c>
      <c r="D219" s="47" t="n">
        <f aca="false">'Daily KPI Entry'!D220</f>
        <v>0</v>
      </c>
      <c r="E219" s="47" t="n">
        <f aca="false">'Daily KPI Entry'!E220</f>
        <v>0</v>
      </c>
      <c r="F219" s="47" t="n">
        <f aca="false">'Daily KPI Entry'!F220</f>
        <v>0</v>
      </c>
      <c r="G219" s="47" t="n">
        <f aca="false">'Daily KPI Entry'!G220</f>
        <v>0</v>
      </c>
      <c r="H219" s="47" t="str">
        <f aca="false">'Daily KPI Entry'!H220</f>
        <v/>
      </c>
      <c r="I219" s="47" t="n">
        <f aca="false">'Daily KPI Entry'!I220</f>
        <v>0</v>
      </c>
      <c r="J219" s="47" t="n">
        <f aca="false">'Daily KPI Entry'!J220</f>
        <v>0</v>
      </c>
      <c r="K219" s="47" t="n">
        <f aca="false">'Daily KPI Entry'!K220</f>
        <v>0</v>
      </c>
      <c r="L219" s="47" t="n">
        <f aca="false">'Daily KPI Entry'!L220</f>
        <v>0</v>
      </c>
      <c r="M219" s="47" t="n">
        <f aca="false">'Daily KPI Entry'!M220</f>
        <v>0</v>
      </c>
      <c r="N219" s="49" t="n">
        <f aca="false">'Daily KPI Entry'!N220</f>
        <v>0</v>
      </c>
      <c r="O219" s="49" t="n">
        <f aca="false">'Daily KPI Entry'!O220</f>
        <v>0</v>
      </c>
      <c r="P219" s="49" t="str">
        <f aca="false">IF(OR(N219="",O219=""),"",IFERROR(O219/N219*100,0))</f>
        <v/>
      </c>
      <c r="Q219" s="47" t="n">
        <f aca="false">'Daily KPI Entry'!Q220</f>
        <v>8</v>
      </c>
      <c r="R219" s="47" t="str">
        <f aca="false">IF(J219="","",Q219*J219)</f>
        <v/>
      </c>
      <c r="S219" s="49" t="n">
        <f aca="false">'Daily KPI Entry'!S220</f>
        <v>0</v>
      </c>
      <c r="T219" s="49" t="str">
        <f aca="false">IF(OR(R219="",S219=""),"",IFERROR(S219/R219*100,0))</f>
        <v/>
      </c>
      <c r="U219" s="49" t="str">
        <f aca="false">IF(OR(O219="",L219="",M219="",S219="",M219=0),"",IFERROR(O219/(L219*60*S219/(M219*36))*100,0))</f>
        <v/>
      </c>
      <c r="V219" s="49" t="n">
        <f aca="false">'Daily KPI Entry'!V220</f>
        <v>0</v>
      </c>
      <c r="W219" s="49" t="str">
        <f aca="false">IF(O219="","",IFERROR(V219/O219*100,0))</f>
        <v/>
      </c>
      <c r="X219" s="49" t="n">
        <f aca="false">'Daily KPI Entry'!X220</f>
        <v>0</v>
      </c>
      <c r="Y219" s="49" t="n">
        <f aca="false">'Daily KPI Entry'!Y220</f>
        <v>0</v>
      </c>
      <c r="Z219" s="49" t="n">
        <f aca="false">'Daily KPI Entry'!Z220</f>
        <v>0</v>
      </c>
      <c r="AA219" s="49" t="n">
        <f aca="false">'Daily KPI Entry'!AA220</f>
        <v>0</v>
      </c>
      <c r="AB219" s="49" t="n">
        <f aca="false">'Daily KPI Entry'!AB220</f>
        <v>0</v>
      </c>
      <c r="AC219" s="49" t="n">
        <f aca="false">'Daily KPI Entry'!AC220</f>
        <v>0</v>
      </c>
      <c r="AD219" s="49" t="n">
        <f aca="false">'Daily KPI Entry'!AD220</f>
        <v>0</v>
      </c>
      <c r="AE219" s="49" t="n">
        <f aca="false">'Daily KPI Entry'!AE220</f>
        <v>0</v>
      </c>
      <c r="AF219" s="47" t="str">
        <f aca="false">IF(O219="","",SUM(X219:AE219))</f>
        <v/>
      </c>
      <c r="AG219" s="49" t="str">
        <f aca="false">IF(O219="","",IFERROR(AF219/O219*1000,0))</f>
        <v/>
      </c>
      <c r="AH219" s="49" t="n">
        <f aca="false">'Daily KPI Entry'!AH220</f>
        <v>0</v>
      </c>
      <c r="AI219" s="49" t="n">
        <f aca="false">'Daily KPI Entry'!AI220</f>
        <v>0</v>
      </c>
      <c r="AJ219" s="49" t="n">
        <f aca="false">'Daily KPI Entry'!AJ220</f>
        <v>0</v>
      </c>
      <c r="AK219" s="47" t="n">
        <f aca="false">'Daily KPI Entry'!AK220</f>
        <v>0</v>
      </c>
      <c r="AL219" s="47" t="n">
        <f aca="false">'Daily KPI Entry'!AL220</f>
        <v>0</v>
      </c>
      <c r="AM219" s="47" t="n">
        <f aca="false">'Daily KPI Entry'!AM220</f>
        <v>0</v>
      </c>
      <c r="AN219" s="49" t="str">
        <f aca="false">IF(P219="","",MIN(120,P219))</f>
        <v/>
      </c>
      <c r="AO219" s="49" t="str">
        <f aca="false">IF(U219="","",MIN(120,U219))</f>
        <v/>
      </c>
      <c r="AP219" s="49" t="str">
        <f aca="false">IF(R219="","",MIN(120,IFERROR(S219/R219*100,0)))</f>
        <v/>
      </c>
      <c r="AQ219" s="49" t="str">
        <f aca="false">IF(W219="","",MIN(120,IF(W219=0,120,100*(INDEX('Standards &amp; Scoring'!$E$5:$E$13,MATCH("Quality / Rejection",'Standards &amp; Scoring'!$A$5:$A$13,0))/W219))))</f>
        <v/>
      </c>
      <c r="AR219" s="49" t="str">
        <f aca="false">IF(AG219="","",MIN(120,IF(AG219=0,120,100*(INDEX('Standards &amp; Scoring'!$E$5:$E$13,MATCH("Fault Control",'Standards &amp; Scoring'!$A$5:$A$13,0))/AG219))))</f>
        <v/>
      </c>
      <c r="AS219" s="49" t="str">
        <f aca="false">IF(O219="","",MIN(120,IF(SUMIFS('Fault &amp; Downtime Entry'!$L$6:$L$1005,'Fault &amp; Downtime Entry'!$E$6:$E$1005,G219,'Fault &amp; Downtime Entry'!$B$6:$B$1005,B219)=0,120,100*(INDEX('Standards &amp; Scoring'!$E$5:$E$13,MATCH("Downtime Control",'Standards &amp; Scoring'!$A$5:$A$13,0))/IFERROR(SUMIFS('Fault &amp; Downtime Entry'!$L$6:$L$1005,'Fault &amp; Downtime Entry'!$E$6:$E$1005,G219,'Fault &amp; Downtime Entry'!$B$6:$B$1005,B219)/O219*1000,999999)))))</f>
        <v/>
      </c>
      <c r="AT219" s="49" t="n">
        <f aca="false">IF(COUNTA(AH219,AJ219)=0,"",MIN(120,IF(AND(AH219&lt;&gt;"",AJ219&lt;&gt;""),AVERAGE(AH219,AJ219),IF(AH219&lt;&gt;"",AH219,AJ219))))</f>
        <v>0</v>
      </c>
      <c r="AU219" s="49" t="str">
        <f aca="false">IF(AI219="","",MIN(120,AI219))</f>
        <v/>
      </c>
      <c r="AV219" s="49" t="str">
        <f aca="false">IF(AJ219="","",MIN(120,AJ219))</f>
        <v/>
      </c>
      <c r="AW219" s="50" t="str">
        <f aca="false">IF(COUNT(AN219:AV219)&lt;9,"",(AN219*'Standards &amp; Scoring'!$D$5+AO219*'Standards &amp; Scoring'!$D$6+AP219*'Standards &amp; Scoring'!$D$7+AQ219*'Standards &amp; Scoring'!$D$8+AR219*'Standards &amp; Scoring'!$D$9+AS219*'Standards &amp; Scoring'!$D$10+AT219*'Standards &amp; Scoring'!$D$11+AU219*'Standards &amp; Scoring'!$D$12+AV219*'Standards &amp; Scoring'!$D$13)/10000)</f>
        <v/>
      </c>
      <c r="AX219" s="47" t="str">
        <f aca="false">IF(AW219="","",IF(AW219&gt;=1.05,"A+",IF(AW219&gt;=1,"A",IF(AW219&gt;=0.95,"B+",IF(AW219&gt;=0.9,"B","C")))))</f>
        <v/>
      </c>
      <c r="AY219" s="47" t="str">
        <f aca="false">IF(AX219="","",IF(AX219="A+",1800,IF(AX219="A",1600,IF(AX219="B+",1400,IF(AX219="B",1200,0)))))</f>
        <v/>
      </c>
      <c r="AZ219" s="49" t="str">
        <f aca="false">IF(OR(L219="",M219="",S219="",M219=0),"",IFERROR(L219*60*S219/(M219*36),0))</f>
        <v/>
      </c>
    </row>
    <row r="220" customFormat="false" ht="15" hidden="false" customHeight="true" outlineLevel="0" collapsed="false">
      <c r="A220" s="47" t="n">
        <f aca="false">'Daily KPI Entry'!A221</f>
        <v>0</v>
      </c>
      <c r="B220" s="48" t="n">
        <f aca="false">'Daily KPI Entry'!B221</f>
        <v>0</v>
      </c>
      <c r="C220" s="47" t="n">
        <f aca="false">'Daily KPI Entry'!C221</f>
        <v>0</v>
      </c>
      <c r="D220" s="47" t="n">
        <f aca="false">'Daily KPI Entry'!D221</f>
        <v>0</v>
      </c>
      <c r="E220" s="47" t="n">
        <f aca="false">'Daily KPI Entry'!E221</f>
        <v>0</v>
      </c>
      <c r="F220" s="47" t="n">
        <f aca="false">'Daily KPI Entry'!F221</f>
        <v>0</v>
      </c>
      <c r="G220" s="47" t="n">
        <f aca="false">'Daily KPI Entry'!G221</f>
        <v>0</v>
      </c>
      <c r="H220" s="47" t="str">
        <f aca="false">'Daily KPI Entry'!H221</f>
        <v/>
      </c>
      <c r="I220" s="47" t="n">
        <f aca="false">'Daily KPI Entry'!I221</f>
        <v>0</v>
      </c>
      <c r="J220" s="47" t="n">
        <f aca="false">'Daily KPI Entry'!J221</f>
        <v>0</v>
      </c>
      <c r="K220" s="47" t="n">
        <f aca="false">'Daily KPI Entry'!K221</f>
        <v>0</v>
      </c>
      <c r="L220" s="47" t="n">
        <f aca="false">'Daily KPI Entry'!L221</f>
        <v>0</v>
      </c>
      <c r="M220" s="47" t="n">
        <f aca="false">'Daily KPI Entry'!M221</f>
        <v>0</v>
      </c>
      <c r="N220" s="49" t="n">
        <f aca="false">'Daily KPI Entry'!N221</f>
        <v>0</v>
      </c>
      <c r="O220" s="49" t="n">
        <f aca="false">'Daily KPI Entry'!O221</f>
        <v>0</v>
      </c>
      <c r="P220" s="49" t="str">
        <f aca="false">IF(OR(N220="",O220=""),"",IFERROR(O220/N220*100,0))</f>
        <v/>
      </c>
      <c r="Q220" s="47" t="n">
        <f aca="false">'Daily KPI Entry'!Q221</f>
        <v>8</v>
      </c>
      <c r="R220" s="47" t="str">
        <f aca="false">IF(J220="","",Q220*J220)</f>
        <v/>
      </c>
      <c r="S220" s="49" t="n">
        <f aca="false">'Daily KPI Entry'!S221</f>
        <v>0</v>
      </c>
      <c r="T220" s="49" t="str">
        <f aca="false">IF(OR(R220="",S220=""),"",IFERROR(S220/R220*100,0))</f>
        <v/>
      </c>
      <c r="U220" s="49" t="str">
        <f aca="false">IF(OR(O220="",L220="",M220="",S220="",M220=0),"",IFERROR(O220/(L220*60*S220/(M220*36))*100,0))</f>
        <v/>
      </c>
      <c r="V220" s="49" t="n">
        <f aca="false">'Daily KPI Entry'!V221</f>
        <v>0</v>
      </c>
      <c r="W220" s="49" t="str">
        <f aca="false">IF(O220="","",IFERROR(V220/O220*100,0))</f>
        <v/>
      </c>
      <c r="X220" s="49" t="n">
        <f aca="false">'Daily KPI Entry'!X221</f>
        <v>0</v>
      </c>
      <c r="Y220" s="49" t="n">
        <f aca="false">'Daily KPI Entry'!Y221</f>
        <v>0</v>
      </c>
      <c r="Z220" s="49" t="n">
        <f aca="false">'Daily KPI Entry'!Z221</f>
        <v>0</v>
      </c>
      <c r="AA220" s="49" t="n">
        <f aca="false">'Daily KPI Entry'!AA221</f>
        <v>0</v>
      </c>
      <c r="AB220" s="49" t="n">
        <f aca="false">'Daily KPI Entry'!AB221</f>
        <v>0</v>
      </c>
      <c r="AC220" s="49" t="n">
        <f aca="false">'Daily KPI Entry'!AC221</f>
        <v>0</v>
      </c>
      <c r="AD220" s="49" t="n">
        <f aca="false">'Daily KPI Entry'!AD221</f>
        <v>0</v>
      </c>
      <c r="AE220" s="49" t="n">
        <f aca="false">'Daily KPI Entry'!AE221</f>
        <v>0</v>
      </c>
      <c r="AF220" s="47" t="str">
        <f aca="false">IF(O220="","",SUM(X220:AE220))</f>
        <v/>
      </c>
      <c r="AG220" s="49" t="str">
        <f aca="false">IF(O220="","",IFERROR(AF220/O220*1000,0))</f>
        <v/>
      </c>
      <c r="AH220" s="49" t="n">
        <f aca="false">'Daily KPI Entry'!AH221</f>
        <v>0</v>
      </c>
      <c r="AI220" s="49" t="n">
        <f aca="false">'Daily KPI Entry'!AI221</f>
        <v>0</v>
      </c>
      <c r="AJ220" s="49" t="n">
        <f aca="false">'Daily KPI Entry'!AJ221</f>
        <v>0</v>
      </c>
      <c r="AK220" s="47" t="n">
        <f aca="false">'Daily KPI Entry'!AK221</f>
        <v>0</v>
      </c>
      <c r="AL220" s="47" t="n">
        <f aca="false">'Daily KPI Entry'!AL221</f>
        <v>0</v>
      </c>
      <c r="AM220" s="47" t="n">
        <f aca="false">'Daily KPI Entry'!AM221</f>
        <v>0</v>
      </c>
      <c r="AN220" s="49" t="str">
        <f aca="false">IF(P220="","",MIN(120,P220))</f>
        <v/>
      </c>
      <c r="AO220" s="49" t="str">
        <f aca="false">IF(U220="","",MIN(120,U220))</f>
        <v/>
      </c>
      <c r="AP220" s="49" t="str">
        <f aca="false">IF(R220="","",MIN(120,IFERROR(S220/R220*100,0)))</f>
        <v/>
      </c>
      <c r="AQ220" s="49" t="str">
        <f aca="false">IF(W220="","",MIN(120,IF(W220=0,120,100*(INDEX('Standards &amp; Scoring'!$E$5:$E$13,MATCH("Quality / Rejection",'Standards &amp; Scoring'!$A$5:$A$13,0))/W220))))</f>
        <v/>
      </c>
      <c r="AR220" s="49" t="str">
        <f aca="false">IF(AG220="","",MIN(120,IF(AG220=0,120,100*(INDEX('Standards &amp; Scoring'!$E$5:$E$13,MATCH("Fault Control",'Standards &amp; Scoring'!$A$5:$A$13,0))/AG220))))</f>
        <v/>
      </c>
      <c r="AS220" s="49" t="str">
        <f aca="false">IF(O220="","",MIN(120,IF(SUMIFS('Fault &amp; Downtime Entry'!$L$6:$L$1005,'Fault &amp; Downtime Entry'!$E$6:$E$1005,G220,'Fault &amp; Downtime Entry'!$B$6:$B$1005,B220)=0,120,100*(INDEX('Standards &amp; Scoring'!$E$5:$E$13,MATCH("Downtime Control",'Standards &amp; Scoring'!$A$5:$A$13,0))/IFERROR(SUMIFS('Fault &amp; Downtime Entry'!$L$6:$L$1005,'Fault &amp; Downtime Entry'!$E$6:$E$1005,G220,'Fault &amp; Downtime Entry'!$B$6:$B$1005,B220)/O220*1000,999999)))))</f>
        <v/>
      </c>
      <c r="AT220" s="49" t="n">
        <f aca="false">IF(COUNTA(AH220,AJ220)=0,"",MIN(120,IF(AND(AH220&lt;&gt;"",AJ220&lt;&gt;""),AVERAGE(AH220,AJ220),IF(AH220&lt;&gt;"",AH220,AJ220))))</f>
        <v>0</v>
      </c>
      <c r="AU220" s="49" t="str">
        <f aca="false">IF(AI220="","",MIN(120,AI220))</f>
        <v/>
      </c>
      <c r="AV220" s="49" t="str">
        <f aca="false">IF(AJ220="","",MIN(120,AJ220))</f>
        <v/>
      </c>
      <c r="AW220" s="50" t="str">
        <f aca="false">IF(COUNT(AN220:AV220)&lt;9,"",(AN220*'Standards &amp; Scoring'!$D$5+AO220*'Standards &amp; Scoring'!$D$6+AP220*'Standards &amp; Scoring'!$D$7+AQ220*'Standards &amp; Scoring'!$D$8+AR220*'Standards &amp; Scoring'!$D$9+AS220*'Standards &amp; Scoring'!$D$10+AT220*'Standards &amp; Scoring'!$D$11+AU220*'Standards &amp; Scoring'!$D$12+AV220*'Standards &amp; Scoring'!$D$13)/10000)</f>
        <v/>
      </c>
      <c r="AX220" s="47" t="str">
        <f aca="false">IF(AW220="","",IF(AW220&gt;=1.05,"A+",IF(AW220&gt;=1,"A",IF(AW220&gt;=0.95,"B+",IF(AW220&gt;=0.9,"B","C")))))</f>
        <v/>
      </c>
      <c r="AY220" s="47" t="str">
        <f aca="false">IF(AX220="","",IF(AX220="A+",1800,IF(AX220="A",1600,IF(AX220="B+",1400,IF(AX220="B",1200,0)))))</f>
        <v/>
      </c>
      <c r="AZ220" s="49" t="str">
        <f aca="false">IF(OR(L220="",M220="",S220="",M220=0),"",IFERROR(L220*60*S220/(M220*36),0))</f>
        <v/>
      </c>
    </row>
    <row r="221" customFormat="false" ht="15" hidden="false" customHeight="true" outlineLevel="0" collapsed="false">
      <c r="A221" s="47" t="n">
        <f aca="false">'Daily KPI Entry'!A222</f>
        <v>0</v>
      </c>
      <c r="B221" s="48" t="n">
        <f aca="false">'Daily KPI Entry'!B222</f>
        <v>0</v>
      </c>
      <c r="C221" s="47" t="n">
        <f aca="false">'Daily KPI Entry'!C222</f>
        <v>0</v>
      </c>
      <c r="D221" s="47" t="n">
        <f aca="false">'Daily KPI Entry'!D222</f>
        <v>0</v>
      </c>
      <c r="E221" s="47" t="n">
        <f aca="false">'Daily KPI Entry'!E222</f>
        <v>0</v>
      </c>
      <c r="F221" s="47" t="n">
        <f aca="false">'Daily KPI Entry'!F222</f>
        <v>0</v>
      </c>
      <c r="G221" s="47" t="n">
        <f aca="false">'Daily KPI Entry'!G222</f>
        <v>0</v>
      </c>
      <c r="H221" s="47" t="str">
        <f aca="false">'Daily KPI Entry'!H222</f>
        <v/>
      </c>
      <c r="I221" s="47" t="n">
        <f aca="false">'Daily KPI Entry'!I222</f>
        <v>0</v>
      </c>
      <c r="J221" s="47" t="n">
        <f aca="false">'Daily KPI Entry'!J222</f>
        <v>0</v>
      </c>
      <c r="K221" s="47" t="n">
        <f aca="false">'Daily KPI Entry'!K222</f>
        <v>0</v>
      </c>
      <c r="L221" s="47" t="n">
        <f aca="false">'Daily KPI Entry'!L222</f>
        <v>0</v>
      </c>
      <c r="M221" s="47" t="n">
        <f aca="false">'Daily KPI Entry'!M222</f>
        <v>0</v>
      </c>
      <c r="N221" s="49" t="n">
        <f aca="false">'Daily KPI Entry'!N222</f>
        <v>0</v>
      </c>
      <c r="O221" s="49" t="n">
        <f aca="false">'Daily KPI Entry'!O222</f>
        <v>0</v>
      </c>
      <c r="P221" s="49" t="str">
        <f aca="false">IF(OR(N221="",O221=""),"",IFERROR(O221/N221*100,0))</f>
        <v/>
      </c>
      <c r="Q221" s="47" t="n">
        <f aca="false">'Daily KPI Entry'!Q222</f>
        <v>8</v>
      </c>
      <c r="R221" s="47" t="str">
        <f aca="false">IF(J221="","",Q221*J221)</f>
        <v/>
      </c>
      <c r="S221" s="49" t="n">
        <f aca="false">'Daily KPI Entry'!S222</f>
        <v>0</v>
      </c>
      <c r="T221" s="49" t="str">
        <f aca="false">IF(OR(R221="",S221=""),"",IFERROR(S221/R221*100,0))</f>
        <v/>
      </c>
      <c r="U221" s="49" t="str">
        <f aca="false">IF(OR(O221="",L221="",M221="",S221="",M221=0),"",IFERROR(O221/(L221*60*S221/(M221*36))*100,0))</f>
        <v/>
      </c>
      <c r="V221" s="49" t="n">
        <f aca="false">'Daily KPI Entry'!V222</f>
        <v>0</v>
      </c>
      <c r="W221" s="49" t="str">
        <f aca="false">IF(O221="","",IFERROR(V221/O221*100,0))</f>
        <v/>
      </c>
      <c r="X221" s="49" t="n">
        <f aca="false">'Daily KPI Entry'!X222</f>
        <v>0</v>
      </c>
      <c r="Y221" s="49" t="n">
        <f aca="false">'Daily KPI Entry'!Y222</f>
        <v>0</v>
      </c>
      <c r="Z221" s="49" t="n">
        <f aca="false">'Daily KPI Entry'!Z222</f>
        <v>0</v>
      </c>
      <c r="AA221" s="49" t="n">
        <f aca="false">'Daily KPI Entry'!AA222</f>
        <v>0</v>
      </c>
      <c r="AB221" s="49" t="n">
        <f aca="false">'Daily KPI Entry'!AB222</f>
        <v>0</v>
      </c>
      <c r="AC221" s="49" t="n">
        <f aca="false">'Daily KPI Entry'!AC222</f>
        <v>0</v>
      </c>
      <c r="AD221" s="49" t="n">
        <f aca="false">'Daily KPI Entry'!AD222</f>
        <v>0</v>
      </c>
      <c r="AE221" s="49" t="n">
        <f aca="false">'Daily KPI Entry'!AE222</f>
        <v>0</v>
      </c>
      <c r="AF221" s="47" t="str">
        <f aca="false">IF(O221="","",SUM(X221:AE221))</f>
        <v/>
      </c>
      <c r="AG221" s="49" t="str">
        <f aca="false">IF(O221="","",IFERROR(AF221/O221*1000,0))</f>
        <v/>
      </c>
      <c r="AH221" s="49" t="n">
        <f aca="false">'Daily KPI Entry'!AH222</f>
        <v>0</v>
      </c>
      <c r="AI221" s="49" t="n">
        <f aca="false">'Daily KPI Entry'!AI222</f>
        <v>0</v>
      </c>
      <c r="AJ221" s="49" t="n">
        <f aca="false">'Daily KPI Entry'!AJ222</f>
        <v>0</v>
      </c>
      <c r="AK221" s="47" t="n">
        <f aca="false">'Daily KPI Entry'!AK222</f>
        <v>0</v>
      </c>
      <c r="AL221" s="47" t="n">
        <f aca="false">'Daily KPI Entry'!AL222</f>
        <v>0</v>
      </c>
      <c r="AM221" s="47" t="n">
        <f aca="false">'Daily KPI Entry'!AM222</f>
        <v>0</v>
      </c>
      <c r="AN221" s="49" t="str">
        <f aca="false">IF(P221="","",MIN(120,P221))</f>
        <v/>
      </c>
      <c r="AO221" s="49" t="str">
        <f aca="false">IF(U221="","",MIN(120,U221))</f>
        <v/>
      </c>
      <c r="AP221" s="49" t="str">
        <f aca="false">IF(R221="","",MIN(120,IFERROR(S221/R221*100,0)))</f>
        <v/>
      </c>
      <c r="AQ221" s="49" t="str">
        <f aca="false">IF(W221="","",MIN(120,IF(W221=0,120,100*(INDEX('Standards &amp; Scoring'!$E$5:$E$13,MATCH("Quality / Rejection",'Standards &amp; Scoring'!$A$5:$A$13,0))/W221))))</f>
        <v/>
      </c>
      <c r="AR221" s="49" t="str">
        <f aca="false">IF(AG221="","",MIN(120,IF(AG221=0,120,100*(INDEX('Standards &amp; Scoring'!$E$5:$E$13,MATCH("Fault Control",'Standards &amp; Scoring'!$A$5:$A$13,0))/AG221))))</f>
        <v/>
      </c>
      <c r="AS221" s="49" t="str">
        <f aca="false">IF(O221="","",MIN(120,IF(SUMIFS('Fault &amp; Downtime Entry'!$L$6:$L$1005,'Fault &amp; Downtime Entry'!$E$6:$E$1005,G221,'Fault &amp; Downtime Entry'!$B$6:$B$1005,B221)=0,120,100*(INDEX('Standards &amp; Scoring'!$E$5:$E$13,MATCH("Downtime Control",'Standards &amp; Scoring'!$A$5:$A$13,0))/IFERROR(SUMIFS('Fault &amp; Downtime Entry'!$L$6:$L$1005,'Fault &amp; Downtime Entry'!$E$6:$E$1005,G221,'Fault &amp; Downtime Entry'!$B$6:$B$1005,B221)/O221*1000,999999)))))</f>
        <v/>
      </c>
      <c r="AT221" s="49" t="n">
        <f aca="false">IF(COUNTA(AH221,AJ221)=0,"",MIN(120,IF(AND(AH221&lt;&gt;"",AJ221&lt;&gt;""),AVERAGE(AH221,AJ221),IF(AH221&lt;&gt;"",AH221,AJ221))))</f>
        <v>0</v>
      </c>
      <c r="AU221" s="49" t="str">
        <f aca="false">IF(AI221="","",MIN(120,AI221))</f>
        <v/>
      </c>
      <c r="AV221" s="49" t="str">
        <f aca="false">IF(AJ221="","",MIN(120,AJ221))</f>
        <v/>
      </c>
      <c r="AW221" s="50" t="str">
        <f aca="false">IF(COUNT(AN221:AV221)&lt;9,"",(AN221*'Standards &amp; Scoring'!$D$5+AO221*'Standards &amp; Scoring'!$D$6+AP221*'Standards &amp; Scoring'!$D$7+AQ221*'Standards &amp; Scoring'!$D$8+AR221*'Standards &amp; Scoring'!$D$9+AS221*'Standards &amp; Scoring'!$D$10+AT221*'Standards &amp; Scoring'!$D$11+AU221*'Standards &amp; Scoring'!$D$12+AV221*'Standards &amp; Scoring'!$D$13)/10000)</f>
        <v/>
      </c>
      <c r="AX221" s="47" t="str">
        <f aca="false">IF(AW221="","",IF(AW221&gt;=1.05,"A+",IF(AW221&gt;=1,"A",IF(AW221&gt;=0.95,"B+",IF(AW221&gt;=0.9,"B","C")))))</f>
        <v/>
      </c>
      <c r="AY221" s="47" t="str">
        <f aca="false">IF(AX221="","",IF(AX221="A+",1800,IF(AX221="A",1600,IF(AX221="B+",1400,IF(AX221="B",1200,0)))))</f>
        <v/>
      </c>
      <c r="AZ221" s="49" t="str">
        <f aca="false">IF(OR(L221="",M221="",S221="",M221=0),"",IFERROR(L221*60*S221/(M221*36),0))</f>
        <v/>
      </c>
    </row>
    <row r="222" customFormat="false" ht="15" hidden="false" customHeight="true" outlineLevel="0" collapsed="false">
      <c r="A222" s="47" t="n">
        <f aca="false">'Daily KPI Entry'!A223</f>
        <v>0</v>
      </c>
      <c r="B222" s="48" t="n">
        <f aca="false">'Daily KPI Entry'!B223</f>
        <v>0</v>
      </c>
      <c r="C222" s="47" t="n">
        <f aca="false">'Daily KPI Entry'!C223</f>
        <v>0</v>
      </c>
      <c r="D222" s="47" t="n">
        <f aca="false">'Daily KPI Entry'!D223</f>
        <v>0</v>
      </c>
      <c r="E222" s="47" t="n">
        <f aca="false">'Daily KPI Entry'!E223</f>
        <v>0</v>
      </c>
      <c r="F222" s="47" t="n">
        <f aca="false">'Daily KPI Entry'!F223</f>
        <v>0</v>
      </c>
      <c r="G222" s="47" t="n">
        <f aca="false">'Daily KPI Entry'!G223</f>
        <v>0</v>
      </c>
      <c r="H222" s="47" t="str">
        <f aca="false">'Daily KPI Entry'!H223</f>
        <v/>
      </c>
      <c r="I222" s="47" t="n">
        <f aca="false">'Daily KPI Entry'!I223</f>
        <v>0</v>
      </c>
      <c r="J222" s="47" t="n">
        <f aca="false">'Daily KPI Entry'!J223</f>
        <v>0</v>
      </c>
      <c r="K222" s="47" t="n">
        <f aca="false">'Daily KPI Entry'!K223</f>
        <v>0</v>
      </c>
      <c r="L222" s="47" t="n">
        <f aca="false">'Daily KPI Entry'!L223</f>
        <v>0</v>
      </c>
      <c r="M222" s="47" t="n">
        <f aca="false">'Daily KPI Entry'!M223</f>
        <v>0</v>
      </c>
      <c r="N222" s="49" t="n">
        <f aca="false">'Daily KPI Entry'!N223</f>
        <v>0</v>
      </c>
      <c r="O222" s="49" t="n">
        <f aca="false">'Daily KPI Entry'!O223</f>
        <v>0</v>
      </c>
      <c r="P222" s="49" t="str">
        <f aca="false">IF(OR(N222="",O222=""),"",IFERROR(O222/N222*100,0))</f>
        <v/>
      </c>
      <c r="Q222" s="47" t="n">
        <f aca="false">'Daily KPI Entry'!Q223</f>
        <v>8</v>
      </c>
      <c r="R222" s="47" t="str">
        <f aca="false">IF(J222="","",Q222*J222)</f>
        <v/>
      </c>
      <c r="S222" s="49" t="n">
        <f aca="false">'Daily KPI Entry'!S223</f>
        <v>0</v>
      </c>
      <c r="T222" s="49" t="str">
        <f aca="false">IF(OR(R222="",S222=""),"",IFERROR(S222/R222*100,0))</f>
        <v/>
      </c>
      <c r="U222" s="49" t="str">
        <f aca="false">IF(OR(O222="",L222="",M222="",S222="",M222=0),"",IFERROR(O222/(L222*60*S222/(M222*36))*100,0))</f>
        <v/>
      </c>
      <c r="V222" s="49" t="n">
        <f aca="false">'Daily KPI Entry'!V223</f>
        <v>0</v>
      </c>
      <c r="W222" s="49" t="str">
        <f aca="false">IF(O222="","",IFERROR(V222/O222*100,0))</f>
        <v/>
      </c>
      <c r="X222" s="49" t="n">
        <f aca="false">'Daily KPI Entry'!X223</f>
        <v>0</v>
      </c>
      <c r="Y222" s="49" t="n">
        <f aca="false">'Daily KPI Entry'!Y223</f>
        <v>0</v>
      </c>
      <c r="Z222" s="49" t="n">
        <f aca="false">'Daily KPI Entry'!Z223</f>
        <v>0</v>
      </c>
      <c r="AA222" s="49" t="n">
        <f aca="false">'Daily KPI Entry'!AA223</f>
        <v>0</v>
      </c>
      <c r="AB222" s="49" t="n">
        <f aca="false">'Daily KPI Entry'!AB223</f>
        <v>0</v>
      </c>
      <c r="AC222" s="49" t="n">
        <f aca="false">'Daily KPI Entry'!AC223</f>
        <v>0</v>
      </c>
      <c r="AD222" s="49" t="n">
        <f aca="false">'Daily KPI Entry'!AD223</f>
        <v>0</v>
      </c>
      <c r="AE222" s="49" t="n">
        <f aca="false">'Daily KPI Entry'!AE223</f>
        <v>0</v>
      </c>
      <c r="AF222" s="47" t="str">
        <f aca="false">IF(O222="","",SUM(X222:AE222))</f>
        <v/>
      </c>
      <c r="AG222" s="49" t="str">
        <f aca="false">IF(O222="","",IFERROR(AF222/O222*1000,0))</f>
        <v/>
      </c>
      <c r="AH222" s="49" t="n">
        <f aca="false">'Daily KPI Entry'!AH223</f>
        <v>0</v>
      </c>
      <c r="AI222" s="49" t="n">
        <f aca="false">'Daily KPI Entry'!AI223</f>
        <v>0</v>
      </c>
      <c r="AJ222" s="49" t="n">
        <f aca="false">'Daily KPI Entry'!AJ223</f>
        <v>0</v>
      </c>
      <c r="AK222" s="47" t="n">
        <f aca="false">'Daily KPI Entry'!AK223</f>
        <v>0</v>
      </c>
      <c r="AL222" s="47" t="n">
        <f aca="false">'Daily KPI Entry'!AL223</f>
        <v>0</v>
      </c>
      <c r="AM222" s="47" t="n">
        <f aca="false">'Daily KPI Entry'!AM223</f>
        <v>0</v>
      </c>
      <c r="AN222" s="49" t="str">
        <f aca="false">IF(P222="","",MIN(120,P222))</f>
        <v/>
      </c>
      <c r="AO222" s="49" t="str">
        <f aca="false">IF(U222="","",MIN(120,U222))</f>
        <v/>
      </c>
      <c r="AP222" s="49" t="str">
        <f aca="false">IF(R222="","",MIN(120,IFERROR(S222/R222*100,0)))</f>
        <v/>
      </c>
      <c r="AQ222" s="49" t="str">
        <f aca="false">IF(W222="","",MIN(120,IF(W222=0,120,100*(INDEX('Standards &amp; Scoring'!$E$5:$E$13,MATCH("Quality / Rejection",'Standards &amp; Scoring'!$A$5:$A$13,0))/W222))))</f>
        <v/>
      </c>
      <c r="AR222" s="49" t="str">
        <f aca="false">IF(AG222="","",MIN(120,IF(AG222=0,120,100*(INDEX('Standards &amp; Scoring'!$E$5:$E$13,MATCH("Fault Control",'Standards &amp; Scoring'!$A$5:$A$13,0))/AG222))))</f>
        <v/>
      </c>
      <c r="AS222" s="49" t="str">
        <f aca="false">IF(O222="","",MIN(120,IF(SUMIFS('Fault &amp; Downtime Entry'!$L$6:$L$1005,'Fault &amp; Downtime Entry'!$E$6:$E$1005,G222,'Fault &amp; Downtime Entry'!$B$6:$B$1005,B222)=0,120,100*(INDEX('Standards &amp; Scoring'!$E$5:$E$13,MATCH("Downtime Control",'Standards &amp; Scoring'!$A$5:$A$13,0))/IFERROR(SUMIFS('Fault &amp; Downtime Entry'!$L$6:$L$1005,'Fault &amp; Downtime Entry'!$E$6:$E$1005,G222,'Fault &amp; Downtime Entry'!$B$6:$B$1005,B222)/O222*1000,999999)))))</f>
        <v/>
      </c>
      <c r="AT222" s="49" t="n">
        <f aca="false">IF(COUNTA(AH222,AJ222)=0,"",MIN(120,IF(AND(AH222&lt;&gt;"",AJ222&lt;&gt;""),AVERAGE(AH222,AJ222),IF(AH222&lt;&gt;"",AH222,AJ222))))</f>
        <v>0</v>
      </c>
      <c r="AU222" s="49" t="str">
        <f aca="false">IF(AI222="","",MIN(120,AI222))</f>
        <v/>
      </c>
      <c r="AV222" s="49" t="str">
        <f aca="false">IF(AJ222="","",MIN(120,AJ222))</f>
        <v/>
      </c>
      <c r="AW222" s="50" t="str">
        <f aca="false">IF(COUNT(AN222:AV222)&lt;9,"",(AN222*'Standards &amp; Scoring'!$D$5+AO222*'Standards &amp; Scoring'!$D$6+AP222*'Standards &amp; Scoring'!$D$7+AQ222*'Standards &amp; Scoring'!$D$8+AR222*'Standards &amp; Scoring'!$D$9+AS222*'Standards &amp; Scoring'!$D$10+AT222*'Standards &amp; Scoring'!$D$11+AU222*'Standards &amp; Scoring'!$D$12+AV222*'Standards &amp; Scoring'!$D$13)/10000)</f>
        <v/>
      </c>
      <c r="AX222" s="47" t="str">
        <f aca="false">IF(AW222="","",IF(AW222&gt;=1.05,"A+",IF(AW222&gt;=1,"A",IF(AW222&gt;=0.95,"B+",IF(AW222&gt;=0.9,"B","C")))))</f>
        <v/>
      </c>
      <c r="AY222" s="47" t="str">
        <f aca="false">IF(AX222="","",IF(AX222="A+",1800,IF(AX222="A",1600,IF(AX222="B+",1400,IF(AX222="B",1200,0)))))</f>
        <v/>
      </c>
      <c r="AZ222" s="49" t="str">
        <f aca="false">IF(OR(L222="",M222="",S222="",M222=0),"",IFERROR(L222*60*S222/(M222*36),0))</f>
        <v/>
      </c>
    </row>
    <row r="223" customFormat="false" ht="15" hidden="false" customHeight="true" outlineLevel="0" collapsed="false">
      <c r="A223" s="47" t="n">
        <f aca="false">'Daily KPI Entry'!A224</f>
        <v>0</v>
      </c>
      <c r="B223" s="48" t="n">
        <f aca="false">'Daily KPI Entry'!B224</f>
        <v>0</v>
      </c>
      <c r="C223" s="47" t="n">
        <f aca="false">'Daily KPI Entry'!C224</f>
        <v>0</v>
      </c>
      <c r="D223" s="47" t="n">
        <f aca="false">'Daily KPI Entry'!D224</f>
        <v>0</v>
      </c>
      <c r="E223" s="47" t="n">
        <f aca="false">'Daily KPI Entry'!E224</f>
        <v>0</v>
      </c>
      <c r="F223" s="47" t="n">
        <f aca="false">'Daily KPI Entry'!F224</f>
        <v>0</v>
      </c>
      <c r="G223" s="47" t="n">
        <f aca="false">'Daily KPI Entry'!G224</f>
        <v>0</v>
      </c>
      <c r="H223" s="47" t="str">
        <f aca="false">'Daily KPI Entry'!H224</f>
        <v/>
      </c>
      <c r="I223" s="47" t="n">
        <f aca="false">'Daily KPI Entry'!I224</f>
        <v>0</v>
      </c>
      <c r="J223" s="47" t="n">
        <f aca="false">'Daily KPI Entry'!J224</f>
        <v>0</v>
      </c>
      <c r="K223" s="47" t="n">
        <f aca="false">'Daily KPI Entry'!K224</f>
        <v>0</v>
      </c>
      <c r="L223" s="47" t="n">
        <f aca="false">'Daily KPI Entry'!L224</f>
        <v>0</v>
      </c>
      <c r="M223" s="47" t="n">
        <f aca="false">'Daily KPI Entry'!M224</f>
        <v>0</v>
      </c>
      <c r="N223" s="49" t="n">
        <f aca="false">'Daily KPI Entry'!N224</f>
        <v>0</v>
      </c>
      <c r="O223" s="49" t="n">
        <f aca="false">'Daily KPI Entry'!O224</f>
        <v>0</v>
      </c>
      <c r="P223" s="49" t="str">
        <f aca="false">IF(OR(N223="",O223=""),"",IFERROR(O223/N223*100,0))</f>
        <v/>
      </c>
      <c r="Q223" s="47" t="n">
        <f aca="false">'Daily KPI Entry'!Q224</f>
        <v>8</v>
      </c>
      <c r="R223" s="47" t="str">
        <f aca="false">IF(J223="","",Q223*J223)</f>
        <v/>
      </c>
      <c r="S223" s="49" t="n">
        <f aca="false">'Daily KPI Entry'!S224</f>
        <v>0</v>
      </c>
      <c r="T223" s="49" t="str">
        <f aca="false">IF(OR(R223="",S223=""),"",IFERROR(S223/R223*100,0))</f>
        <v/>
      </c>
      <c r="U223" s="49" t="str">
        <f aca="false">IF(OR(O223="",L223="",M223="",S223="",M223=0),"",IFERROR(O223/(L223*60*S223/(M223*36))*100,0))</f>
        <v/>
      </c>
      <c r="V223" s="49" t="n">
        <f aca="false">'Daily KPI Entry'!V224</f>
        <v>0</v>
      </c>
      <c r="W223" s="49" t="str">
        <f aca="false">IF(O223="","",IFERROR(V223/O223*100,0))</f>
        <v/>
      </c>
      <c r="X223" s="49" t="n">
        <f aca="false">'Daily KPI Entry'!X224</f>
        <v>0</v>
      </c>
      <c r="Y223" s="49" t="n">
        <f aca="false">'Daily KPI Entry'!Y224</f>
        <v>0</v>
      </c>
      <c r="Z223" s="49" t="n">
        <f aca="false">'Daily KPI Entry'!Z224</f>
        <v>0</v>
      </c>
      <c r="AA223" s="49" t="n">
        <f aca="false">'Daily KPI Entry'!AA224</f>
        <v>0</v>
      </c>
      <c r="AB223" s="49" t="n">
        <f aca="false">'Daily KPI Entry'!AB224</f>
        <v>0</v>
      </c>
      <c r="AC223" s="49" t="n">
        <f aca="false">'Daily KPI Entry'!AC224</f>
        <v>0</v>
      </c>
      <c r="AD223" s="49" t="n">
        <f aca="false">'Daily KPI Entry'!AD224</f>
        <v>0</v>
      </c>
      <c r="AE223" s="49" t="n">
        <f aca="false">'Daily KPI Entry'!AE224</f>
        <v>0</v>
      </c>
      <c r="AF223" s="47" t="str">
        <f aca="false">IF(O223="","",SUM(X223:AE223))</f>
        <v/>
      </c>
      <c r="AG223" s="49" t="str">
        <f aca="false">IF(O223="","",IFERROR(AF223/O223*1000,0))</f>
        <v/>
      </c>
      <c r="AH223" s="49" t="n">
        <f aca="false">'Daily KPI Entry'!AH224</f>
        <v>0</v>
      </c>
      <c r="AI223" s="49" t="n">
        <f aca="false">'Daily KPI Entry'!AI224</f>
        <v>0</v>
      </c>
      <c r="AJ223" s="49" t="n">
        <f aca="false">'Daily KPI Entry'!AJ224</f>
        <v>0</v>
      </c>
      <c r="AK223" s="47" t="n">
        <f aca="false">'Daily KPI Entry'!AK224</f>
        <v>0</v>
      </c>
      <c r="AL223" s="47" t="n">
        <f aca="false">'Daily KPI Entry'!AL224</f>
        <v>0</v>
      </c>
      <c r="AM223" s="47" t="n">
        <f aca="false">'Daily KPI Entry'!AM224</f>
        <v>0</v>
      </c>
      <c r="AN223" s="49" t="str">
        <f aca="false">IF(P223="","",MIN(120,P223))</f>
        <v/>
      </c>
      <c r="AO223" s="49" t="str">
        <f aca="false">IF(U223="","",MIN(120,U223))</f>
        <v/>
      </c>
      <c r="AP223" s="49" t="str">
        <f aca="false">IF(R223="","",MIN(120,IFERROR(S223/R223*100,0)))</f>
        <v/>
      </c>
      <c r="AQ223" s="49" t="str">
        <f aca="false">IF(W223="","",MIN(120,IF(W223=0,120,100*(INDEX('Standards &amp; Scoring'!$E$5:$E$13,MATCH("Quality / Rejection",'Standards &amp; Scoring'!$A$5:$A$13,0))/W223))))</f>
        <v/>
      </c>
      <c r="AR223" s="49" t="str">
        <f aca="false">IF(AG223="","",MIN(120,IF(AG223=0,120,100*(INDEX('Standards &amp; Scoring'!$E$5:$E$13,MATCH("Fault Control",'Standards &amp; Scoring'!$A$5:$A$13,0))/AG223))))</f>
        <v/>
      </c>
      <c r="AS223" s="49" t="str">
        <f aca="false">IF(O223="","",MIN(120,IF(SUMIFS('Fault &amp; Downtime Entry'!$L$6:$L$1005,'Fault &amp; Downtime Entry'!$E$6:$E$1005,G223,'Fault &amp; Downtime Entry'!$B$6:$B$1005,B223)=0,120,100*(INDEX('Standards &amp; Scoring'!$E$5:$E$13,MATCH("Downtime Control",'Standards &amp; Scoring'!$A$5:$A$13,0))/IFERROR(SUMIFS('Fault &amp; Downtime Entry'!$L$6:$L$1005,'Fault &amp; Downtime Entry'!$E$6:$E$1005,G223,'Fault &amp; Downtime Entry'!$B$6:$B$1005,B223)/O223*1000,999999)))))</f>
        <v/>
      </c>
      <c r="AT223" s="49" t="n">
        <f aca="false">IF(COUNTA(AH223,AJ223)=0,"",MIN(120,IF(AND(AH223&lt;&gt;"",AJ223&lt;&gt;""),AVERAGE(AH223,AJ223),IF(AH223&lt;&gt;"",AH223,AJ223))))</f>
        <v>0</v>
      </c>
      <c r="AU223" s="49" t="str">
        <f aca="false">IF(AI223="","",MIN(120,AI223))</f>
        <v/>
      </c>
      <c r="AV223" s="49" t="str">
        <f aca="false">IF(AJ223="","",MIN(120,AJ223))</f>
        <v/>
      </c>
      <c r="AW223" s="50" t="str">
        <f aca="false">IF(COUNT(AN223:AV223)&lt;9,"",(AN223*'Standards &amp; Scoring'!$D$5+AO223*'Standards &amp; Scoring'!$D$6+AP223*'Standards &amp; Scoring'!$D$7+AQ223*'Standards &amp; Scoring'!$D$8+AR223*'Standards &amp; Scoring'!$D$9+AS223*'Standards &amp; Scoring'!$D$10+AT223*'Standards &amp; Scoring'!$D$11+AU223*'Standards &amp; Scoring'!$D$12+AV223*'Standards &amp; Scoring'!$D$13)/10000)</f>
        <v/>
      </c>
      <c r="AX223" s="47" t="str">
        <f aca="false">IF(AW223="","",IF(AW223&gt;=1.05,"A+",IF(AW223&gt;=1,"A",IF(AW223&gt;=0.95,"B+",IF(AW223&gt;=0.9,"B","C")))))</f>
        <v/>
      </c>
      <c r="AY223" s="47" t="str">
        <f aca="false">IF(AX223="","",IF(AX223="A+",1800,IF(AX223="A",1600,IF(AX223="B+",1400,IF(AX223="B",1200,0)))))</f>
        <v/>
      </c>
      <c r="AZ223" s="49" t="str">
        <f aca="false">IF(OR(L223="",M223="",S223="",M223=0),"",IFERROR(L223*60*S223/(M223*36),0))</f>
        <v/>
      </c>
    </row>
    <row r="224" customFormat="false" ht="15" hidden="false" customHeight="true" outlineLevel="0" collapsed="false">
      <c r="A224" s="47" t="n">
        <f aca="false">'Daily KPI Entry'!A225</f>
        <v>0</v>
      </c>
      <c r="B224" s="48" t="n">
        <f aca="false">'Daily KPI Entry'!B225</f>
        <v>0</v>
      </c>
      <c r="C224" s="47" t="n">
        <f aca="false">'Daily KPI Entry'!C225</f>
        <v>0</v>
      </c>
      <c r="D224" s="47" t="n">
        <f aca="false">'Daily KPI Entry'!D225</f>
        <v>0</v>
      </c>
      <c r="E224" s="47" t="n">
        <f aca="false">'Daily KPI Entry'!E225</f>
        <v>0</v>
      </c>
      <c r="F224" s="47" t="n">
        <f aca="false">'Daily KPI Entry'!F225</f>
        <v>0</v>
      </c>
      <c r="G224" s="47" t="n">
        <f aca="false">'Daily KPI Entry'!G225</f>
        <v>0</v>
      </c>
      <c r="H224" s="47" t="str">
        <f aca="false">'Daily KPI Entry'!H225</f>
        <v/>
      </c>
      <c r="I224" s="47" t="n">
        <f aca="false">'Daily KPI Entry'!I225</f>
        <v>0</v>
      </c>
      <c r="J224" s="47" t="n">
        <f aca="false">'Daily KPI Entry'!J225</f>
        <v>0</v>
      </c>
      <c r="K224" s="47" t="n">
        <f aca="false">'Daily KPI Entry'!K225</f>
        <v>0</v>
      </c>
      <c r="L224" s="47" t="n">
        <f aca="false">'Daily KPI Entry'!L225</f>
        <v>0</v>
      </c>
      <c r="M224" s="47" t="n">
        <f aca="false">'Daily KPI Entry'!M225</f>
        <v>0</v>
      </c>
      <c r="N224" s="49" t="n">
        <f aca="false">'Daily KPI Entry'!N225</f>
        <v>0</v>
      </c>
      <c r="O224" s="49" t="n">
        <f aca="false">'Daily KPI Entry'!O225</f>
        <v>0</v>
      </c>
      <c r="P224" s="49" t="str">
        <f aca="false">IF(OR(N224="",O224=""),"",IFERROR(O224/N224*100,0))</f>
        <v/>
      </c>
      <c r="Q224" s="47" t="n">
        <f aca="false">'Daily KPI Entry'!Q225</f>
        <v>8</v>
      </c>
      <c r="R224" s="47" t="str">
        <f aca="false">IF(J224="","",Q224*J224)</f>
        <v/>
      </c>
      <c r="S224" s="49" t="n">
        <f aca="false">'Daily KPI Entry'!S225</f>
        <v>0</v>
      </c>
      <c r="T224" s="49" t="str">
        <f aca="false">IF(OR(R224="",S224=""),"",IFERROR(S224/R224*100,0))</f>
        <v/>
      </c>
      <c r="U224" s="49" t="str">
        <f aca="false">IF(OR(O224="",L224="",M224="",S224="",M224=0),"",IFERROR(O224/(L224*60*S224/(M224*36))*100,0))</f>
        <v/>
      </c>
      <c r="V224" s="49" t="n">
        <f aca="false">'Daily KPI Entry'!V225</f>
        <v>0</v>
      </c>
      <c r="W224" s="49" t="str">
        <f aca="false">IF(O224="","",IFERROR(V224/O224*100,0))</f>
        <v/>
      </c>
      <c r="X224" s="49" t="n">
        <f aca="false">'Daily KPI Entry'!X225</f>
        <v>0</v>
      </c>
      <c r="Y224" s="49" t="n">
        <f aca="false">'Daily KPI Entry'!Y225</f>
        <v>0</v>
      </c>
      <c r="Z224" s="49" t="n">
        <f aca="false">'Daily KPI Entry'!Z225</f>
        <v>0</v>
      </c>
      <c r="AA224" s="49" t="n">
        <f aca="false">'Daily KPI Entry'!AA225</f>
        <v>0</v>
      </c>
      <c r="AB224" s="49" t="n">
        <f aca="false">'Daily KPI Entry'!AB225</f>
        <v>0</v>
      </c>
      <c r="AC224" s="49" t="n">
        <f aca="false">'Daily KPI Entry'!AC225</f>
        <v>0</v>
      </c>
      <c r="AD224" s="49" t="n">
        <f aca="false">'Daily KPI Entry'!AD225</f>
        <v>0</v>
      </c>
      <c r="AE224" s="49" t="n">
        <f aca="false">'Daily KPI Entry'!AE225</f>
        <v>0</v>
      </c>
      <c r="AF224" s="47" t="str">
        <f aca="false">IF(O224="","",SUM(X224:AE224))</f>
        <v/>
      </c>
      <c r="AG224" s="49" t="str">
        <f aca="false">IF(O224="","",IFERROR(AF224/O224*1000,0))</f>
        <v/>
      </c>
      <c r="AH224" s="49" t="n">
        <f aca="false">'Daily KPI Entry'!AH225</f>
        <v>0</v>
      </c>
      <c r="AI224" s="49" t="n">
        <f aca="false">'Daily KPI Entry'!AI225</f>
        <v>0</v>
      </c>
      <c r="AJ224" s="49" t="n">
        <f aca="false">'Daily KPI Entry'!AJ225</f>
        <v>0</v>
      </c>
      <c r="AK224" s="47" t="n">
        <f aca="false">'Daily KPI Entry'!AK225</f>
        <v>0</v>
      </c>
      <c r="AL224" s="47" t="n">
        <f aca="false">'Daily KPI Entry'!AL225</f>
        <v>0</v>
      </c>
      <c r="AM224" s="47" t="n">
        <f aca="false">'Daily KPI Entry'!AM225</f>
        <v>0</v>
      </c>
      <c r="AN224" s="49" t="str">
        <f aca="false">IF(P224="","",MIN(120,P224))</f>
        <v/>
      </c>
      <c r="AO224" s="49" t="str">
        <f aca="false">IF(U224="","",MIN(120,U224))</f>
        <v/>
      </c>
      <c r="AP224" s="49" t="str">
        <f aca="false">IF(R224="","",MIN(120,IFERROR(S224/R224*100,0)))</f>
        <v/>
      </c>
      <c r="AQ224" s="49" t="str">
        <f aca="false">IF(W224="","",MIN(120,IF(W224=0,120,100*(INDEX('Standards &amp; Scoring'!$E$5:$E$13,MATCH("Quality / Rejection",'Standards &amp; Scoring'!$A$5:$A$13,0))/W224))))</f>
        <v/>
      </c>
      <c r="AR224" s="49" t="str">
        <f aca="false">IF(AG224="","",MIN(120,IF(AG224=0,120,100*(INDEX('Standards &amp; Scoring'!$E$5:$E$13,MATCH("Fault Control",'Standards &amp; Scoring'!$A$5:$A$13,0))/AG224))))</f>
        <v/>
      </c>
      <c r="AS224" s="49" t="str">
        <f aca="false">IF(O224="","",MIN(120,IF(SUMIFS('Fault &amp; Downtime Entry'!$L$6:$L$1005,'Fault &amp; Downtime Entry'!$E$6:$E$1005,G224,'Fault &amp; Downtime Entry'!$B$6:$B$1005,B224)=0,120,100*(INDEX('Standards &amp; Scoring'!$E$5:$E$13,MATCH("Downtime Control",'Standards &amp; Scoring'!$A$5:$A$13,0))/IFERROR(SUMIFS('Fault &amp; Downtime Entry'!$L$6:$L$1005,'Fault &amp; Downtime Entry'!$E$6:$E$1005,G224,'Fault &amp; Downtime Entry'!$B$6:$B$1005,B224)/O224*1000,999999)))))</f>
        <v/>
      </c>
      <c r="AT224" s="49" t="n">
        <f aca="false">IF(COUNTA(AH224,AJ224)=0,"",MIN(120,IF(AND(AH224&lt;&gt;"",AJ224&lt;&gt;""),AVERAGE(AH224,AJ224),IF(AH224&lt;&gt;"",AH224,AJ224))))</f>
        <v>0</v>
      </c>
      <c r="AU224" s="49" t="str">
        <f aca="false">IF(AI224="","",MIN(120,AI224))</f>
        <v/>
      </c>
      <c r="AV224" s="49" t="str">
        <f aca="false">IF(AJ224="","",MIN(120,AJ224))</f>
        <v/>
      </c>
      <c r="AW224" s="50" t="str">
        <f aca="false">IF(COUNT(AN224:AV224)&lt;9,"",(AN224*'Standards &amp; Scoring'!$D$5+AO224*'Standards &amp; Scoring'!$D$6+AP224*'Standards &amp; Scoring'!$D$7+AQ224*'Standards &amp; Scoring'!$D$8+AR224*'Standards &amp; Scoring'!$D$9+AS224*'Standards &amp; Scoring'!$D$10+AT224*'Standards &amp; Scoring'!$D$11+AU224*'Standards &amp; Scoring'!$D$12+AV224*'Standards &amp; Scoring'!$D$13)/10000)</f>
        <v/>
      </c>
      <c r="AX224" s="47" t="str">
        <f aca="false">IF(AW224="","",IF(AW224&gt;=1.05,"A+",IF(AW224&gt;=1,"A",IF(AW224&gt;=0.95,"B+",IF(AW224&gt;=0.9,"B","C")))))</f>
        <v/>
      </c>
      <c r="AY224" s="47" t="str">
        <f aca="false">IF(AX224="","",IF(AX224="A+",1800,IF(AX224="A",1600,IF(AX224="B+",1400,IF(AX224="B",1200,0)))))</f>
        <v/>
      </c>
      <c r="AZ224" s="49" t="str">
        <f aca="false">IF(OR(L224="",M224="",S224="",M224=0),"",IFERROR(L224*60*S224/(M224*36),0))</f>
        <v/>
      </c>
    </row>
    <row r="225" customFormat="false" ht="15" hidden="false" customHeight="true" outlineLevel="0" collapsed="false">
      <c r="A225" s="47" t="n">
        <f aca="false">'Daily KPI Entry'!A226</f>
        <v>0</v>
      </c>
      <c r="B225" s="48" t="n">
        <f aca="false">'Daily KPI Entry'!B226</f>
        <v>0</v>
      </c>
      <c r="C225" s="47" t="n">
        <f aca="false">'Daily KPI Entry'!C226</f>
        <v>0</v>
      </c>
      <c r="D225" s="47" t="n">
        <f aca="false">'Daily KPI Entry'!D226</f>
        <v>0</v>
      </c>
      <c r="E225" s="47" t="n">
        <f aca="false">'Daily KPI Entry'!E226</f>
        <v>0</v>
      </c>
      <c r="F225" s="47" t="n">
        <f aca="false">'Daily KPI Entry'!F226</f>
        <v>0</v>
      </c>
      <c r="G225" s="47" t="n">
        <f aca="false">'Daily KPI Entry'!G226</f>
        <v>0</v>
      </c>
      <c r="H225" s="47" t="str">
        <f aca="false">'Daily KPI Entry'!H226</f>
        <v/>
      </c>
      <c r="I225" s="47" t="n">
        <f aca="false">'Daily KPI Entry'!I226</f>
        <v>0</v>
      </c>
      <c r="J225" s="47" t="n">
        <f aca="false">'Daily KPI Entry'!J226</f>
        <v>0</v>
      </c>
      <c r="K225" s="47" t="n">
        <f aca="false">'Daily KPI Entry'!K226</f>
        <v>0</v>
      </c>
      <c r="L225" s="47" t="n">
        <f aca="false">'Daily KPI Entry'!L226</f>
        <v>0</v>
      </c>
      <c r="M225" s="47" t="n">
        <f aca="false">'Daily KPI Entry'!M226</f>
        <v>0</v>
      </c>
      <c r="N225" s="49" t="n">
        <f aca="false">'Daily KPI Entry'!N226</f>
        <v>0</v>
      </c>
      <c r="O225" s="49" t="n">
        <f aca="false">'Daily KPI Entry'!O226</f>
        <v>0</v>
      </c>
      <c r="P225" s="49" t="str">
        <f aca="false">IF(OR(N225="",O225=""),"",IFERROR(O225/N225*100,0))</f>
        <v/>
      </c>
      <c r="Q225" s="47" t="n">
        <f aca="false">'Daily KPI Entry'!Q226</f>
        <v>8</v>
      </c>
      <c r="R225" s="47" t="str">
        <f aca="false">IF(J225="","",Q225*J225)</f>
        <v/>
      </c>
      <c r="S225" s="49" t="n">
        <f aca="false">'Daily KPI Entry'!S226</f>
        <v>0</v>
      </c>
      <c r="T225" s="49" t="str">
        <f aca="false">IF(OR(R225="",S225=""),"",IFERROR(S225/R225*100,0))</f>
        <v/>
      </c>
      <c r="U225" s="49" t="str">
        <f aca="false">IF(OR(O225="",L225="",M225="",S225="",M225=0),"",IFERROR(O225/(L225*60*S225/(M225*36))*100,0))</f>
        <v/>
      </c>
      <c r="V225" s="49" t="n">
        <f aca="false">'Daily KPI Entry'!V226</f>
        <v>0</v>
      </c>
      <c r="W225" s="49" t="str">
        <f aca="false">IF(O225="","",IFERROR(V225/O225*100,0))</f>
        <v/>
      </c>
      <c r="X225" s="49" t="n">
        <f aca="false">'Daily KPI Entry'!X226</f>
        <v>0</v>
      </c>
      <c r="Y225" s="49" t="n">
        <f aca="false">'Daily KPI Entry'!Y226</f>
        <v>0</v>
      </c>
      <c r="Z225" s="49" t="n">
        <f aca="false">'Daily KPI Entry'!Z226</f>
        <v>0</v>
      </c>
      <c r="AA225" s="49" t="n">
        <f aca="false">'Daily KPI Entry'!AA226</f>
        <v>0</v>
      </c>
      <c r="AB225" s="49" t="n">
        <f aca="false">'Daily KPI Entry'!AB226</f>
        <v>0</v>
      </c>
      <c r="AC225" s="49" t="n">
        <f aca="false">'Daily KPI Entry'!AC226</f>
        <v>0</v>
      </c>
      <c r="AD225" s="49" t="n">
        <f aca="false">'Daily KPI Entry'!AD226</f>
        <v>0</v>
      </c>
      <c r="AE225" s="49" t="n">
        <f aca="false">'Daily KPI Entry'!AE226</f>
        <v>0</v>
      </c>
      <c r="AF225" s="47" t="str">
        <f aca="false">IF(O225="","",SUM(X225:AE225))</f>
        <v/>
      </c>
      <c r="AG225" s="49" t="str">
        <f aca="false">IF(O225="","",IFERROR(AF225/O225*1000,0))</f>
        <v/>
      </c>
      <c r="AH225" s="49" t="n">
        <f aca="false">'Daily KPI Entry'!AH226</f>
        <v>0</v>
      </c>
      <c r="AI225" s="49" t="n">
        <f aca="false">'Daily KPI Entry'!AI226</f>
        <v>0</v>
      </c>
      <c r="AJ225" s="49" t="n">
        <f aca="false">'Daily KPI Entry'!AJ226</f>
        <v>0</v>
      </c>
      <c r="AK225" s="47" t="n">
        <f aca="false">'Daily KPI Entry'!AK226</f>
        <v>0</v>
      </c>
      <c r="AL225" s="47" t="n">
        <f aca="false">'Daily KPI Entry'!AL226</f>
        <v>0</v>
      </c>
      <c r="AM225" s="47" t="n">
        <f aca="false">'Daily KPI Entry'!AM226</f>
        <v>0</v>
      </c>
      <c r="AN225" s="49" t="str">
        <f aca="false">IF(P225="","",MIN(120,P225))</f>
        <v/>
      </c>
      <c r="AO225" s="49" t="str">
        <f aca="false">IF(U225="","",MIN(120,U225))</f>
        <v/>
      </c>
      <c r="AP225" s="49" t="str">
        <f aca="false">IF(R225="","",MIN(120,IFERROR(S225/R225*100,0)))</f>
        <v/>
      </c>
      <c r="AQ225" s="49" t="str">
        <f aca="false">IF(W225="","",MIN(120,IF(W225=0,120,100*(INDEX('Standards &amp; Scoring'!$E$5:$E$13,MATCH("Quality / Rejection",'Standards &amp; Scoring'!$A$5:$A$13,0))/W225))))</f>
        <v/>
      </c>
      <c r="AR225" s="49" t="str">
        <f aca="false">IF(AG225="","",MIN(120,IF(AG225=0,120,100*(INDEX('Standards &amp; Scoring'!$E$5:$E$13,MATCH("Fault Control",'Standards &amp; Scoring'!$A$5:$A$13,0))/AG225))))</f>
        <v/>
      </c>
      <c r="AS225" s="49" t="str">
        <f aca="false">IF(O225="","",MIN(120,IF(SUMIFS('Fault &amp; Downtime Entry'!$L$6:$L$1005,'Fault &amp; Downtime Entry'!$E$6:$E$1005,G225,'Fault &amp; Downtime Entry'!$B$6:$B$1005,B225)=0,120,100*(INDEX('Standards &amp; Scoring'!$E$5:$E$13,MATCH("Downtime Control",'Standards &amp; Scoring'!$A$5:$A$13,0))/IFERROR(SUMIFS('Fault &amp; Downtime Entry'!$L$6:$L$1005,'Fault &amp; Downtime Entry'!$E$6:$E$1005,G225,'Fault &amp; Downtime Entry'!$B$6:$B$1005,B225)/O225*1000,999999)))))</f>
        <v/>
      </c>
      <c r="AT225" s="49" t="n">
        <f aca="false">IF(COUNTA(AH225,AJ225)=0,"",MIN(120,IF(AND(AH225&lt;&gt;"",AJ225&lt;&gt;""),AVERAGE(AH225,AJ225),IF(AH225&lt;&gt;"",AH225,AJ225))))</f>
        <v>0</v>
      </c>
      <c r="AU225" s="49" t="str">
        <f aca="false">IF(AI225="","",MIN(120,AI225))</f>
        <v/>
      </c>
      <c r="AV225" s="49" t="str">
        <f aca="false">IF(AJ225="","",MIN(120,AJ225))</f>
        <v/>
      </c>
      <c r="AW225" s="50" t="str">
        <f aca="false">IF(COUNT(AN225:AV225)&lt;9,"",(AN225*'Standards &amp; Scoring'!$D$5+AO225*'Standards &amp; Scoring'!$D$6+AP225*'Standards &amp; Scoring'!$D$7+AQ225*'Standards &amp; Scoring'!$D$8+AR225*'Standards &amp; Scoring'!$D$9+AS225*'Standards &amp; Scoring'!$D$10+AT225*'Standards &amp; Scoring'!$D$11+AU225*'Standards &amp; Scoring'!$D$12+AV225*'Standards &amp; Scoring'!$D$13)/10000)</f>
        <v/>
      </c>
      <c r="AX225" s="47" t="str">
        <f aca="false">IF(AW225="","",IF(AW225&gt;=1.05,"A+",IF(AW225&gt;=1,"A",IF(AW225&gt;=0.95,"B+",IF(AW225&gt;=0.9,"B","C")))))</f>
        <v/>
      </c>
      <c r="AY225" s="47" t="str">
        <f aca="false">IF(AX225="","",IF(AX225="A+",1800,IF(AX225="A",1600,IF(AX225="B+",1400,IF(AX225="B",1200,0)))))</f>
        <v/>
      </c>
      <c r="AZ225" s="49" t="str">
        <f aca="false">IF(OR(L225="",M225="",S225="",M225=0),"",IFERROR(L225*60*S225/(M225*36),0))</f>
        <v/>
      </c>
    </row>
    <row r="226" customFormat="false" ht="15" hidden="false" customHeight="true" outlineLevel="0" collapsed="false">
      <c r="A226" s="47" t="n">
        <f aca="false">'Daily KPI Entry'!A227</f>
        <v>0</v>
      </c>
      <c r="B226" s="48" t="n">
        <f aca="false">'Daily KPI Entry'!B227</f>
        <v>0</v>
      </c>
      <c r="C226" s="47" t="n">
        <f aca="false">'Daily KPI Entry'!C227</f>
        <v>0</v>
      </c>
      <c r="D226" s="47" t="n">
        <f aca="false">'Daily KPI Entry'!D227</f>
        <v>0</v>
      </c>
      <c r="E226" s="47" t="n">
        <f aca="false">'Daily KPI Entry'!E227</f>
        <v>0</v>
      </c>
      <c r="F226" s="47" t="n">
        <f aca="false">'Daily KPI Entry'!F227</f>
        <v>0</v>
      </c>
      <c r="G226" s="47" t="n">
        <f aca="false">'Daily KPI Entry'!G227</f>
        <v>0</v>
      </c>
      <c r="H226" s="47" t="str">
        <f aca="false">'Daily KPI Entry'!H227</f>
        <v/>
      </c>
      <c r="I226" s="47" t="n">
        <f aca="false">'Daily KPI Entry'!I227</f>
        <v>0</v>
      </c>
      <c r="J226" s="47" t="n">
        <f aca="false">'Daily KPI Entry'!J227</f>
        <v>0</v>
      </c>
      <c r="K226" s="47" t="n">
        <f aca="false">'Daily KPI Entry'!K227</f>
        <v>0</v>
      </c>
      <c r="L226" s="47" t="n">
        <f aca="false">'Daily KPI Entry'!L227</f>
        <v>0</v>
      </c>
      <c r="M226" s="47" t="n">
        <f aca="false">'Daily KPI Entry'!M227</f>
        <v>0</v>
      </c>
      <c r="N226" s="49" t="n">
        <f aca="false">'Daily KPI Entry'!N227</f>
        <v>0</v>
      </c>
      <c r="O226" s="49" t="n">
        <f aca="false">'Daily KPI Entry'!O227</f>
        <v>0</v>
      </c>
      <c r="P226" s="49" t="str">
        <f aca="false">IF(OR(N226="",O226=""),"",IFERROR(O226/N226*100,0))</f>
        <v/>
      </c>
      <c r="Q226" s="47" t="n">
        <f aca="false">'Daily KPI Entry'!Q227</f>
        <v>8</v>
      </c>
      <c r="R226" s="47" t="str">
        <f aca="false">IF(J226="","",Q226*J226)</f>
        <v/>
      </c>
      <c r="S226" s="49" t="n">
        <f aca="false">'Daily KPI Entry'!S227</f>
        <v>0</v>
      </c>
      <c r="T226" s="49" t="str">
        <f aca="false">IF(OR(R226="",S226=""),"",IFERROR(S226/R226*100,0))</f>
        <v/>
      </c>
      <c r="U226" s="49" t="str">
        <f aca="false">IF(OR(O226="",L226="",M226="",S226="",M226=0),"",IFERROR(O226/(L226*60*S226/(M226*36))*100,0))</f>
        <v/>
      </c>
      <c r="V226" s="49" t="n">
        <f aca="false">'Daily KPI Entry'!V227</f>
        <v>0</v>
      </c>
      <c r="W226" s="49" t="str">
        <f aca="false">IF(O226="","",IFERROR(V226/O226*100,0))</f>
        <v/>
      </c>
      <c r="X226" s="49" t="n">
        <f aca="false">'Daily KPI Entry'!X227</f>
        <v>0</v>
      </c>
      <c r="Y226" s="49" t="n">
        <f aca="false">'Daily KPI Entry'!Y227</f>
        <v>0</v>
      </c>
      <c r="Z226" s="49" t="n">
        <f aca="false">'Daily KPI Entry'!Z227</f>
        <v>0</v>
      </c>
      <c r="AA226" s="49" t="n">
        <f aca="false">'Daily KPI Entry'!AA227</f>
        <v>0</v>
      </c>
      <c r="AB226" s="49" t="n">
        <f aca="false">'Daily KPI Entry'!AB227</f>
        <v>0</v>
      </c>
      <c r="AC226" s="49" t="n">
        <f aca="false">'Daily KPI Entry'!AC227</f>
        <v>0</v>
      </c>
      <c r="AD226" s="49" t="n">
        <f aca="false">'Daily KPI Entry'!AD227</f>
        <v>0</v>
      </c>
      <c r="AE226" s="49" t="n">
        <f aca="false">'Daily KPI Entry'!AE227</f>
        <v>0</v>
      </c>
      <c r="AF226" s="47" t="str">
        <f aca="false">IF(O226="","",SUM(X226:AE226))</f>
        <v/>
      </c>
      <c r="AG226" s="49" t="str">
        <f aca="false">IF(O226="","",IFERROR(AF226/O226*1000,0))</f>
        <v/>
      </c>
      <c r="AH226" s="49" t="n">
        <f aca="false">'Daily KPI Entry'!AH227</f>
        <v>0</v>
      </c>
      <c r="AI226" s="49" t="n">
        <f aca="false">'Daily KPI Entry'!AI227</f>
        <v>0</v>
      </c>
      <c r="AJ226" s="49" t="n">
        <f aca="false">'Daily KPI Entry'!AJ227</f>
        <v>0</v>
      </c>
      <c r="AK226" s="47" t="n">
        <f aca="false">'Daily KPI Entry'!AK227</f>
        <v>0</v>
      </c>
      <c r="AL226" s="47" t="n">
        <f aca="false">'Daily KPI Entry'!AL227</f>
        <v>0</v>
      </c>
      <c r="AM226" s="47" t="n">
        <f aca="false">'Daily KPI Entry'!AM227</f>
        <v>0</v>
      </c>
      <c r="AN226" s="49" t="str">
        <f aca="false">IF(P226="","",MIN(120,P226))</f>
        <v/>
      </c>
      <c r="AO226" s="49" t="str">
        <f aca="false">IF(U226="","",MIN(120,U226))</f>
        <v/>
      </c>
      <c r="AP226" s="49" t="str">
        <f aca="false">IF(R226="","",MIN(120,IFERROR(S226/R226*100,0)))</f>
        <v/>
      </c>
      <c r="AQ226" s="49" t="str">
        <f aca="false">IF(W226="","",MIN(120,IF(W226=0,120,100*(INDEX('Standards &amp; Scoring'!$E$5:$E$13,MATCH("Quality / Rejection",'Standards &amp; Scoring'!$A$5:$A$13,0))/W226))))</f>
        <v/>
      </c>
      <c r="AR226" s="49" t="str">
        <f aca="false">IF(AG226="","",MIN(120,IF(AG226=0,120,100*(INDEX('Standards &amp; Scoring'!$E$5:$E$13,MATCH("Fault Control",'Standards &amp; Scoring'!$A$5:$A$13,0))/AG226))))</f>
        <v/>
      </c>
      <c r="AS226" s="49" t="str">
        <f aca="false">IF(O226="","",MIN(120,IF(SUMIFS('Fault &amp; Downtime Entry'!$L$6:$L$1005,'Fault &amp; Downtime Entry'!$E$6:$E$1005,G226,'Fault &amp; Downtime Entry'!$B$6:$B$1005,B226)=0,120,100*(INDEX('Standards &amp; Scoring'!$E$5:$E$13,MATCH("Downtime Control",'Standards &amp; Scoring'!$A$5:$A$13,0))/IFERROR(SUMIFS('Fault &amp; Downtime Entry'!$L$6:$L$1005,'Fault &amp; Downtime Entry'!$E$6:$E$1005,G226,'Fault &amp; Downtime Entry'!$B$6:$B$1005,B226)/O226*1000,999999)))))</f>
        <v/>
      </c>
      <c r="AT226" s="49" t="n">
        <f aca="false">IF(COUNTA(AH226,AJ226)=0,"",MIN(120,IF(AND(AH226&lt;&gt;"",AJ226&lt;&gt;""),AVERAGE(AH226,AJ226),IF(AH226&lt;&gt;"",AH226,AJ226))))</f>
        <v>0</v>
      </c>
      <c r="AU226" s="49" t="str">
        <f aca="false">IF(AI226="","",MIN(120,AI226))</f>
        <v/>
      </c>
      <c r="AV226" s="49" t="str">
        <f aca="false">IF(AJ226="","",MIN(120,AJ226))</f>
        <v/>
      </c>
      <c r="AW226" s="50" t="str">
        <f aca="false">IF(COUNT(AN226:AV226)&lt;9,"",(AN226*'Standards &amp; Scoring'!$D$5+AO226*'Standards &amp; Scoring'!$D$6+AP226*'Standards &amp; Scoring'!$D$7+AQ226*'Standards &amp; Scoring'!$D$8+AR226*'Standards &amp; Scoring'!$D$9+AS226*'Standards &amp; Scoring'!$D$10+AT226*'Standards &amp; Scoring'!$D$11+AU226*'Standards &amp; Scoring'!$D$12+AV226*'Standards &amp; Scoring'!$D$13)/10000)</f>
        <v/>
      </c>
      <c r="AX226" s="47" t="str">
        <f aca="false">IF(AW226="","",IF(AW226&gt;=1.05,"A+",IF(AW226&gt;=1,"A",IF(AW226&gt;=0.95,"B+",IF(AW226&gt;=0.9,"B","C")))))</f>
        <v/>
      </c>
      <c r="AY226" s="47" t="str">
        <f aca="false">IF(AX226="","",IF(AX226="A+",1800,IF(AX226="A",1600,IF(AX226="B+",1400,IF(AX226="B",1200,0)))))</f>
        <v/>
      </c>
      <c r="AZ226" s="49" t="str">
        <f aca="false">IF(OR(L226="",M226="",S226="",M226=0),"",IFERROR(L226*60*S226/(M226*36),0))</f>
        <v/>
      </c>
    </row>
    <row r="227" customFormat="false" ht="15" hidden="false" customHeight="true" outlineLevel="0" collapsed="false">
      <c r="A227" s="47" t="n">
        <f aca="false">'Daily KPI Entry'!A228</f>
        <v>0</v>
      </c>
      <c r="B227" s="48" t="n">
        <f aca="false">'Daily KPI Entry'!B228</f>
        <v>0</v>
      </c>
      <c r="C227" s="47" t="n">
        <f aca="false">'Daily KPI Entry'!C228</f>
        <v>0</v>
      </c>
      <c r="D227" s="47" t="n">
        <f aca="false">'Daily KPI Entry'!D228</f>
        <v>0</v>
      </c>
      <c r="E227" s="47" t="n">
        <f aca="false">'Daily KPI Entry'!E228</f>
        <v>0</v>
      </c>
      <c r="F227" s="47" t="n">
        <f aca="false">'Daily KPI Entry'!F228</f>
        <v>0</v>
      </c>
      <c r="G227" s="47" t="n">
        <f aca="false">'Daily KPI Entry'!G228</f>
        <v>0</v>
      </c>
      <c r="H227" s="47" t="str">
        <f aca="false">'Daily KPI Entry'!H228</f>
        <v/>
      </c>
      <c r="I227" s="47" t="n">
        <f aca="false">'Daily KPI Entry'!I228</f>
        <v>0</v>
      </c>
      <c r="J227" s="47" t="n">
        <f aca="false">'Daily KPI Entry'!J228</f>
        <v>0</v>
      </c>
      <c r="K227" s="47" t="n">
        <f aca="false">'Daily KPI Entry'!K228</f>
        <v>0</v>
      </c>
      <c r="L227" s="47" t="n">
        <f aca="false">'Daily KPI Entry'!L228</f>
        <v>0</v>
      </c>
      <c r="M227" s="47" t="n">
        <f aca="false">'Daily KPI Entry'!M228</f>
        <v>0</v>
      </c>
      <c r="N227" s="49" t="n">
        <f aca="false">'Daily KPI Entry'!N228</f>
        <v>0</v>
      </c>
      <c r="O227" s="49" t="n">
        <f aca="false">'Daily KPI Entry'!O228</f>
        <v>0</v>
      </c>
      <c r="P227" s="49" t="str">
        <f aca="false">IF(OR(N227="",O227=""),"",IFERROR(O227/N227*100,0))</f>
        <v/>
      </c>
      <c r="Q227" s="47" t="n">
        <f aca="false">'Daily KPI Entry'!Q228</f>
        <v>8</v>
      </c>
      <c r="R227" s="47" t="str">
        <f aca="false">IF(J227="","",Q227*J227)</f>
        <v/>
      </c>
      <c r="S227" s="49" t="n">
        <f aca="false">'Daily KPI Entry'!S228</f>
        <v>0</v>
      </c>
      <c r="T227" s="49" t="str">
        <f aca="false">IF(OR(R227="",S227=""),"",IFERROR(S227/R227*100,0))</f>
        <v/>
      </c>
      <c r="U227" s="49" t="str">
        <f aca="false">IF(OR(O227="",L227="",M227="",S227="",M227=0),"",IFERROR(O227/(L227*60*S227/(M227*36))*100,0))</f>
        <v/>
      </c>
      <c r="V227" s="49" t="n">
        <f aca="false">'Daily KPI Entry'!V228</f>
        <v>0</v>
      </c>
      <c r="W227" s="49" t="str">
        <f aca="false">IF(O227="","",IFERROR(V227/O227*100,0))</f>
        <v/>
      </c>
      <c r="X227" s="49" t="n">
        <f aca="false">'Daily KPI Entry'!X228</f>
        <v>0</v>
      </c>
      <c r="Y227" s="49" t="n">
        <f aca="false">'Daily KPI Entry'!Y228</f>
        <v>0</v>
      </c>
      <c r="Z227" s="49" t="n">
        <f aca="false">'Daily KPI Entry'!Z228</f>
        <v>0</v>
      </c>
      <c r="AA227" s="49" t="n">
        <f aca="false">'Daily KPI Entry'!AA228</f>
        <v>0</v>
      </c>
      <c r="AB227" s="49" t="n">
        <f aca="false">'Daily KPI Entry'!AB228</f>
        <v>0</v>
      </c>
      <c r="AC227" s="49" t="n">
        <f aca="false">'Daily KPI Entry'!AC228</f>
        <v>0</v>
      </c>
      <c r="AD227" s="49" t="n">
        <f aca="false">'Daily KPI Entry'!AD228</f>
        <v>0</v>
      </c>
      <c r="AE227" s="49" t="n">
        <f aca="false">'Daily KPI Entry'!AE228</f>
        <v>0</v>
      </c>
      <c r="AF227" s="47" t="str">
        <f aca="false">IF(O227="","",SUM(X227:AE227))</f>
        <v/>
      </c>
      <c r="AG227" s="49" t="str">
        <f aca="false">IF(O227="","",IFERROR(AF227/O227*1000,0))</f>
        <v/>
      </c>
      <c r="AH227" s="49" t="n">
        <f aca="false">'Daily KPI Entry'!AH228</f>
        <v>0</v>
      </c>
      <c r="AI227" s="49" t="n">
        <f aca="false">'Daily KPI Entry'!AI228</f>
        <v>0</v>
      </c>
      <c r="AJ227" s="49" t="n">
        <f aca="false">'Daily KPI Entry'!AJ228</f>
        <v>0</v>
      </c>
      <c r="AK227" s="47" t="n">
        <f aca="false">'Daily KPI Entry'!AK228</f>
        <v>0</v>
      </c>
      <c r="AL227" s="47" t="n">
        <f aca="false">'Daily KPI Entry'!AL228</f>
        <v>0</v>
      </c>
      <c r="AM227" s="47" t="n">
        <f aca="false">'Daily KPI Entry'!AM228</f>
        <v>0</v>
      </c>
      <c r="AN227" s="49" t="str">
        <f aca="false">IF(P227="","",MIN(120,P227))</f>
        <v/>
      </c>
      <c r="AO227" s="49" t="str">
        <f aca="false">IF(U227="","",MIN(120,U227))</f>
        <v/>
      </c>
      <c r="AP227" s="49" t="str">
        <f aca="false">IF(R227="","",MIN(120,IFERROR(S227/R227*100,0)))</f>
        <v/>
      </c>
      <c r="AQ227" s="49" t="str">
        <f aca="false">IF(W227="","",MIN(120,IF(W227=0,120,100*(INDEX('Standards &amp; Scoring'!$E$5:$E$13,MATCH("Quality / Rejection",'Standards &amp; Scoring'!$A$5:$A$13,0))/W227))))</f>
        <v/>
      </c>
      <c r="AR227" s="49" t="str">
        <f aca="false">IF(AG227="","",MIN(120,IF(AG227=0,120,100*(INDEX('Standards &amp; Scoring'!$E$5:$E$13,MATCH("Fault Control",'Standards &amp; Scoring'!$A$5:$A$13,0))/AG227))))</f>
        <v/>
      </c>
      <c r="AS227" s="49" t="str">
        <f aca="false">IF(O227="","",MIN(120,IF(SUMIFS('Fault &amp; Downtime Entry'!$L$6:$L$1005,'Fault &amp; Downtime Entry'!$E$6:$E$1005,G227,'Fault &amp; Downtime Entry'!$B$6:$B$1005,B227)=0,120,100*(INDEX('Standards &amp; Scoring'!$E$5:$E$13,MATCH("Downtime Control",'Standards &amp; Scoring'!$A$5:$A$13,0))/IFERROR(SUMIFS('Fault &amp; Downtime Entry'!$L$6:$L$1005,'Fault &amp; Downtime Entry'!$E$6:$E$1005,G227,'Fault &amp; Downtime Entry'!$B$6:$B$1005,B227)/O227*1000,999999)))))</f>
        <v/>
      </c>
      <c r="AT227" s="49" t="n">
        <f aca="false">IF(COUNTA(AH227,AJ227)=0,"",MIN(120,IF(AND(AH227&lt;&gt;"",AJ227&lt;&gt;""),AVERAGE(AH227,AJ227),IF(AH227&lt;&gt;"",AH227,AJ227))))</f>
        <v>0</v>
      </c>
      <c r="AU227" s="49" t="str">
        <f aca="false">IF(AI227="","",MIN(120,AI227))</f>
        <v/>
      </c>
      <c r="AV227" s="49" t="str">
        <f aca="false">IF(AJ227="","",MIN(120,AJ227))</f>
        <v/>
      </c>
      <c r="AW227" s="50" t="str">
        <f aca="false">IF(COUNT(AN227:AV227)&lt;9,"",(AN227*'Standards &amp; Scoring'!$D$5+AO227*'Standards &amp; Scoring'!$D$6+AP227*'Standards &amp; Scoring'!$D$7+AQ227*'Standards &amp; Scoring'!$D$8+AR227*'Standards &amp; Scoring'!$D$9+AS227*'Standards &amp; Scoring'!$D$10+AT227*'Standards &amp; Scoring'!$D$11+AU227*'Standards &amp; Scoring'!$D$12+AV227*'Standards &amp; Scoring'!$D$13)/10000)</f>
        <v/>
      </c>
      <c r="AX227" s="47" t="str">
        <f aca="false">IF(AW227="","",IF(AW227&gt;=1.05,"A+",IF(AW227&gt;=1,"A",IF(AW227&gt;=0.95,"B+",IF(AW227&gt;=0.9,"B","C")))))</f>
        <v/>
      </c>
      <c r="AY227" s="47" t="str">
        <f aca="false">IF(AX227="","",IF(AX227="A+",1800,IF(AX227="A",1600,IF(AX227="B+",1400,IF(AX227="B",1200,0)))))</f>
        <v/>
      </c>
      <c r="AZ227" s="49" t="str">
        <f aca="false">IF(OR(L227="",M227="",S227="",M227=0),"",IFERROR(L227*60*S227/(M227*36),0))</f>
        <v/>
      </c>
    </row>
    <row r="228" customFormat="false" ht="15" hidden="false" customHeight="true" outlineLevel="0" collapsed="false">
      <c r="A228" s="47" t="n">
        <f aca="false">'Daily KPI Entry'!A229</f>
        <v>0</v>
      </c>
      <c r="B228" s="48" t="n">
        <f aca="false">'Daily KPI Entry'!B229</f>
        <v>0</v>
      </c>
      <c r="C228" s="47" t="n">
        <f aca="false">'Daily KPI Entry'!C229</f>
        <v>0</v>
      </c>
      <c r="D228" s="47" t="n">
        <f aca="false">'Daily KPI Entry'!D229</f>
        <v>0</v>
      </c>
      <c r="E228" s="47" t="n">
        <f aca="false">'Daily KPI Entry'!E229</f>
        <v>0</v>
      </c>
      <c r="F228" s="47" t="n">
        <f aca="false">'Daily KPI Entry'!F229</f>
        <v>0</v>
      </c>
      <c r="G228" s="47" t="n">
        <f aca="false">'Daily KPI Entry'!G229</f>
        <v>0</v>
      </c>
      <c r="H228" s="47" t="str">
        <f aca="false">'Daily KPI Entry'!H229</f>
        <v/>
      </c>
      <c r="I228" s="47" t="n">
        <f aca="false">'Daily KPI Entry'!I229</f>
        <v>0</v>
      </c>
      <c r="J228" s="47" t="n">
        <f aca="false">'Daily KPI Entry'!J229</f>
        <v>0</v>
      </c>
      <c r="K228" s="47" t="n">
        <f aca="false">'Daily KPI Entry'!K229</f>
        <v>0</v>
      </c>
      <c r="L228" s="47" t="n">
        <f aca="false">'Daily KPI Entry'!L229</f>
        <v>0</v>
      </c>
      <c r="M228" s="47" t="n">
        <f aca="false">'Daily KPI Entry'!M229</f>
        <v>0</v>
      </c>
      <c r="N228" s="49" t="n">
        <f aca="false">'Daily KPI Entry'!N229</f>
        <v>0</v>
      </c>
      <c r="O228" s="49" t="n">
        <f aca="false">'Daily KPI Entry'!O229</f>
        <v>0</v>
      </c>
      <c r="P228" s="49" t="str">
        <f aca="false">IF(OR(N228="",O228=""),"",IFERROR(O228/N228*100,0))</f>
        <v/>
      </c>
      <c r="Q228" s="47" t="n">
        <f aca="false">'Daily KPI Entry'!Q229</f>
        <v>8</v>
      </c>
      <c r="R228" s="47" t="str">
        <f aca="false">IF(J228="","",Q228*J228)</f>
        <v/>
      </c>
      <c r="S228" s="49" t="n">
        <f aca="false">'Daily KPI Entry'!S229</f>
        <v>0</v>
      </c>
      <c r="T228" s="49" t="str">
        <f aca="false">IF(OR(R228="",S228=""),"",IFERROR(S228/R228*100,0))</f>
        <v/>
      </c>
      <c r="U228" s="49" t="str">
        <f aca="false">IF(OR(O228="",L228="",M228="",S228="",M228=0),"",IFERROR(O228/(L228*60*S228/(M228*36))*100,0))</f>
        <v/>
      </c>
      <c r="V228" s="49" t="n">
        <f aca="false">'Daily KPI Entry'!V229</f>
        <v>0</v>
      </c>
      <c r="W228" s="49" t="str">
        <f aca="false">IF(O228="","",IFERROR(V228/O228*100,0))</f>
        <v/>
      </c>
      <c r="X228" s="49" t="n">
        <f aca="false">'Daily KPI Entry'!X229</f>
        <v>0</v>
      </c>
      <c r="Y228" s="49" t="n">
        <f aca="false">'Daily KPI Entry'!Y229</f>
        <v>0</v>
      </c>
      <c r="Z228" s="49" t="n">
        <f aca="false">'Daily KPI Entry'!Z229</f>
        <v>0</v>
      </c>
      <c r="AA228" s="49" t="n">
        <f aca="false">'Daily KPI Entry'!AA229</f>
        <v>0</v>
      </c>
      <c r="AB228" s="49" t="n">
        <f aca="false">'Daily KPI Entry'!AB229</f>
        <v>0</v>
      </c>
      <c r="AC228" s="49" t="n">
        <f aca="false">'Daily KPI Entry'!AC229</f>
        <v>0</v>
      </c>
      <c r="AD228" s="49" t="n">
        <f aca="false">'Daily KPI Entry'!AD229</f>
        <v>0</v>
      </c>
      <c r="AE228" s="49" t="n">
        <f aca="false">'Daily KPI Entry'!AE229</f>
        <v>0</v>
      </c>
      <c r="AF228" s="47" t="str">
        <f aca="false">IF(O228="","",SUM(X228:AE228))</f>
        <v/>
      </c>
      <c r="AG228" s="49" t="str">
        <f aca="false">IF(O228="","",IFERROR(AF228/O228*1000,0))</f>
        <v/>
      </c>
      <c r="AH228" s="49" t="n">
        <f aca="false">'Daily KPI Entry'!AH229</f>
        <v>0</v>
      </c>
      <c r="AI228" s="49" t="n">
        <f aca="false">'Daily KPI Entry'!AI229</f>
        <v>0</v>
      </c>
      <c r="AJ228" s="49" t="n">
        <f aca="false">'Daily KPI Entry'!AJ229</f>
        <v>0</v>
      </c>
      <c r="AK228" s="47" t="n">
        <f aca="false">'Daily KPI Entry'!AK229</f>
        <v>0</v>
      </c>
      <c r="AL228" s="47" t="n">
        <f aca="false">'Daily KPI Entry'!AL229</f>
        <v>0</v>
      </c>
      <c r="AM228" s="47" t="n">
        <f aca="false">'Daily KPI Entry'!AM229</f>
        <v>0</v>
      </c>
      <c r="AN228" s="49" t="str">
        <f aca="false">IF(P228="","",MIN(120,P228))</f>
        <v/>
      </c>
      <c r="AO228" s="49" t="str">
        <f aca="false">IF(U228="","",MIN(120,U228))</f>
        <v/>
      </c>
      <c r="AP228" s="49" t="str">
        <f aca="false">IF(R228="","",MIN(120,IFERROR(S228/R228*100,0)))</f>
        <v/>
      </c>
      <c r="AQ228" s="49" t="str">
        <f aca="false">IF(W228="","",MIN(120,IF(W228=0,120,100*(INDEX('Standards &amp; Scoring'!$E$5:$E$13,MATCH("Quality / Rejection",'Standards &amp; Scoring'!$A$5:$A$13,0))/W228))))</f>
        <v/>
      </c>
      <c r="AR228" s="49" t="str">
        <f aca="false">IF(AG228="","",MIN(120,IF(AG228=0,120,100*(INDEX('Standards &amp; Scoring'!$E$5:$E$13,MATCH("Fault Control",'Standards &amp; Scoring'!$A$5:$A$13,0))/AG228))))</f>
        <v/>
      </c>
      <c r="AS228" s="49" t="str">
        <f aca="false">IF(O228="","",MIN(120,IF(SUMIFS('Fault &amp; Downtime Entry'!$L$6:$L$1005,'Fault &amp; Downtime Entry'!$E$6:$E$1005,G228,'Fault &amp; Downtime Entry'!$B$6:$B$1005,B228)=0,120,100*(INDEX('Standards &amp; Scoring'!$E$5:$E$13,MATCH("Downtime Control",'Standards &amp; Scoring'!$A$5:$A$13,0))/IFERROR(SUMIFS('Fault &amp; Downtime Entry'!$L$6:$L$1005,'Fault &amp; Downtime Entry'!$E$6:$E$1005,G228,'Fault &amp; Downtime Entry'!$B$6:$B$1005,B228)/O228*1000,999999)))))</f>
        <v/>
      </c>
      <c r="AT228" s="49" t="n">
        <f aca="false">IF(COUNTA(AH228,AJ228)=0,"",MIN(120,IF(AND(AH228&lt;&gt;"",AJ228&lt;&gt;""),AVERAGE(AH228,AJ228),IF(AH228&lt;&gt;"",AH228,AJ228))))</f>
        <v>0</v>
      </c>
      <c r="AU228" s="49" t="str">
        <f aca="false">IF(AI228="","",MIN(120,AI228))</f>
        <v/>
      </c>
      <c r="AV228" s="49" t="str">
        <f aca="false">IF(AJ228="","",MIN(120,AJ228))</f>
        <v/>
      </c>
      <c r="AW228" s="50" t="str">
        <f aca="false">IF(COUNT(AN228:AV228)&lt;9,"",(AN228*'Standards &amp; Scoring'!$D$5+AO228*'Standards &amp; Scoring'!$D$6+AP228*'Standards &amp; Scoring'!$D$7+AQ228*'Standards &amp; Scoring'!$D$8+AR228*'Standards &amp; Scoring'!$D$9+AS228*'Standards &amp; Scoring'!$D$10+AT228*'Standards &amp; Scoring'!$D$11+AU228*'Standards &amp; Scoring'!$D$12+AV228*'Standards &amp; Scoring'!$D$13)/10000)</f>
        <v/>
      </c>
      <c r="AX228" s="47" t="str">
        <f aca="false">IF(AW228="","",IF(AW228&gt;=1.05,"A+",IF(AW228&gt;=1,"A",IF(AW228&gt;=0.95,"B+",IF(AW228&gt;=0.9,"B","C")))))</f>
        <v/>
      </c>
      <c r="AY228" s="47" t="str">
        <f aca="false">IF(AX228="","",IF(AX228="A+",1800,IF(AX228="A",1600,IF(AX228="B+",1400,IF(AX228="B",1200,0)))))</f>
        <v/>
      </c>
      <c r="AZ228" s="49" t="str">
        <f aca="false">IF(OR(L228="",M228="",S228="",M228=0),"",IFERROR(L228*60*S228/(M228*36),0))</f>
        <v/>
      </c>
    </row>
    <row r="229" customFormat="false" ht="15" hidden="false" customHeight="true" outlineLevel="0" collapsed="false">
      <c r="A229" s="47" t="n">
        <f aca="false">'Daily KPI Entry'!A230</f>
        <v>0</v>
      </c>
      <c r="B229" s="48" t="n">
        <f aca="false">'Daily KPI Entry'!B230</f>
        <v>0</v>
      </c>
      <c r="C229" s="47" t="n">
        <f aca="false">'Daily KPI Entry'!C230</f>
        <v>0</v>
      </c>
      <c r="D229" s="47" t="n">
        <f aca="false">'Daily KPI Entry'!D230</f>
        <v>0</v>
      </c>
      <c r="E229" s="47" t="n">
        <f aca="false">'Daily KPI Entry'!E230</f>
        <v>0</v>
      </c>
      <c r="F229" s="47" t="n">
        <f aca="false">'Daily KPI Entry'!F230</f>
        <v>0</v>
      </c>
      <c r="G229" s="47" t="n">
        <f aca="false">'Daily KPI Entry'!G230</f>
        <v>0</v>
      </c>
      <c r="H229" s="47" t="str">
        <f aca="false">'Daily KPI Entry'!H230</f>
        <v/>
      </c>
      <c r="I229" s="47" t="n">
        <f aca="false">'Daily KPI Entry'!I230</f>
        <v>0</v>
      </c>
      <c r="J229" s="47" t="n">
        <f aca="false">'Daily KPI Entry'!J230</f>
        <v>0</v>
      </c>
      <c r="K229" s="47" t="n">
        <f aca="false">'Daily KPI Entry'!K230</f>
        <v>0</v>
      </c>
      <c r="L229" s="47" t="n">
        <f aca="false">'Daily KPI Entry'!L230</f>
        <v>0</v>
      </c>
      <c r="M229" s="47" t="n">
        <f aca="false">'Daily KPI Entry'!M230</f>
        <v>0</v>
      </c>
      <c r="N229" s="49" t="n">
        <f aca="false">'Daily KPI Entry'!N230</f>
        <v>0</v>
      </c>
      <c r="O229" s="49" t="n">
        <f aca="false">'Daily KPI Entry'!O230</f>
        <v>0</v>
      </c>
      <c r="P229" s="49" t="str">
        <f aca="false">IF(OR(N229="",O229=""),"",IFERROR(O229/N229*100,0))</f>
        <v/>
      </c>
      <c r="Q229" s="47" t="n">
        <f aca="false">'Daily KPI Entry'!Q230</f>
        <v>8</v>
      </c>
      <c r="R229" s="47" t="str">
        <f aca="false">IF(J229="","",Q229*J229)</f>
        <v/>
      </c>
      <c r="S229" s="49" t="n">
        <f aca="false">'Daily KPI Entry'!S230</f>
        <v>0</v>
      </c>
      <c r="T229" s="49" t="str">
        <f aca="false">IF(OR(R229="",S229=""),"",IFERROR(S229/R229*100,0))</f>
        <v/>
      </c>
      <c r="U229" s="49" t="str">
        <f aca="false">IF(OR(O229="",L229="",M229="",S229="",M229=0),"",IFERROR(O229/(L229*60*S229/(M229*36))*100,0))</f>
        <v/>
      </c>
      <c r="V229" s="49" t="n">
        <f aca="false">'Daily KPI Entry'!V230</f>
        <v>0</v>
      </c>
      <c r="W229" s="49" t="str">
        <f aca="false">IF(O229="","",IFERROR(V229/O229*100,0))</f>
        <v/>
      </c>
      <c r="X229" s="49" t="n">
        <f aca="false">'Daily KPI Entry'!X230</f>
        <v>0</v>
      </c>
      <c r="Y229" s="49" t="n">
        <f aca="false">'Daily KPI Entry'!Y230</f>
        <v>0</v>
      </c>
      <c r="Z229" s="49" t="n">
        <f aca="false">'Daily KPI Entry'!Z230</f>
        <v>0</v>
      </c>
      <c r="AA229" s="49" t="n">
        <f aca="false">'Daily KPI Entry'!AA230</f>
        <v>0</v>
      </c>
      <c r="AB229" s="49" t="n">
        <f aca="false">'Daily KPI Entry'!AB230</f>
        <v>0</v>
      </c>
      <c r="AC229" s="49" t="n">
        <f aca="false">'Daily KPI Entry'!AC230</f>
        <v>0</v>
      </c>
      <c r="AD229" s="49" t="n">
        <f aca="false">'Daily KPI Entry'!AD230</f>
        <v>0</v>
      </c>
      <c r="AE229" s="49" t="n">
        <f aca="false">'Daily KPI Entry'!AE230</f>
        <v>0</v>
      </c>
      <c r="AF229" s="47" t="str">
        <f aca="false">IF(O229="","",SUM(X229:AE229))</f>
        <v/>
      </c>
      <c r="AG229" s="49" t="str">
        <f aca="false">IF(O229="","",IFERROR(AF229/O229*1000,0))</f>
        <v/>
      </c>
      <c r="AH229" s="49" t="n">
        <f aca="false">'Daily KPI Entry'!AH230</f>
        <v>0</v>
      </c>
      <c r="AI229" s="49" t="n">
        <f aca="false">'Daily KPI Entry'!AI230</f>
        <v>0</v>
      </c>
      <c r="AJ229" s="49" t="n">
        <f aca="false">'Daily KPI Entry'!AJ230</f>
        <v>0</v>
      </c>
      <c r="AK229" s="47" t="n">
        <f aca="false">'Daily KPI Entry'!AK230</f>
        <v>0</v>
      </c>
      <c r="AL229" s="47" t="n">
        <f aca="false">'Daily KPI Entry'!AL230</f>
        <v>0</v>
      </c>
      <c r="AM229" s="47" t="n">
        <f aca="false">'Daily KPI Entry'!AM230</f>
        <v>0</v>
      </c>
      <c r="AN229" s="49" t="str">
        <f aca="false">IF(P229="","",MIN(120,P229))</f>
        <v/>
      </c>
      <c r="AO229" s="49" t="str">
        <f aca="false">IF(U229="","",MIN(120,U229))</f>
        <v/>
      </c>
      <c r="AP229" s="49" t="str">
        <f aca="false">IF(R229="","",MIN(120,IFERROR(S229/R229*100,0)))</f>
        <v/>
      </c>
      <c r="AQ229" s="49" t="str">
        <f aca="false">IF(W229="","",MIN(120,IF(W229=0,120,100*(INDEX('Standards &amp; Scoring'!$E$5:$E$13,MATCH("Quality / Rejection",'Standards &amp; Scoring'!$A$5:$A$13,0))/W229))))</f>
        <v/>
      </c>
      <c r="AR229" s="49" t="str">
        <f aca="false">IF(AG229="","",MIN(120,IF(AG229=0,120,100*(INDEX('Standards &amp; Scoring'!$E$5:$E$13,MATCH("Fault Control",'Standards &amp; Scoring'!$A$5:$A$13,0))/AG229))))</f>
        <v/>
      </c>
      <c r="AS229" s="49" t="str">
        <f aca="false">IF(O229="","",MIN(120,IF(SUMIFS('Fault &amp; Downtime Entry'!$L$6:$L$1005,'Fault &amp; Downtime Entry'!$E$6:$E$1005,G229,'Fault &amp; Downtime Entry'!$B$6:$B$1005,B229)=0,120,100*(INDEX('Standards &amp; Scoring'!$E$5:$E$13,MATCH("Downtime Control",'Standards &amp; Scoring'!$A$5:$A$13,0))/IFERROR(SUMIFS('Fault &amp; Downtime Entry'!$L$6:$L$1005,'Fault &amp; Downtime Entry'!$E$6:$E$1005,G229,'Fault &amp; Downtime Entry'!$B$6:$B$1005,B229)/O229*1000,999999)))))</f>
        <v/>
      </c>
      <c r="AT229" s="49" t="n">
        <f aca="false">IF(COUNTA(AH229,AJ229)=0,"",MIN(120,IF(AND(AH229&lt;&gt;"",AJ229&lt;&gt;""),AVERAGE(AH229,AJ229),IF(AH229&lt;&gt;"",AH229,AJ229))))</f>
        <v>0</v>
      </c>
      <c r="AU229" s="49" t="str">
        <f aca="false">IF(AI229="","",MIN(120,AI229))</f>
        <v/>
      </c>
      <c r="AV229" s="49" t="str">
        <f aca="false">IF(AJ229="","",MIN(120,AJ229))</f>
        <v/>
      </c>
      <c r="AW229" s="50" t="str">
        <f aca="false">IF(COUNT(AN229:AV229)&lt;9,"",(AN229*'Standards &amp; Scoring'!$D$5+AO229*'Standards &amp; Scoring'!$D$6+AP229*'Standards &amp; Scoring'!$D$7+AQ229*'Standards &amp; Scoring'!$D$8+AR229*'Standards &amp; Scoring'!$D$9+AS229*'Standards &amp; Scoring'!$D$10+AT229*'Standards &amp; Scoring'!$D$11+AU229*'Standards &amp; Scoring'!$D$12+AV229*'Standards &amp; Scoring'!$D$13)/10000)</f>
        <v/>
      </c>
      <c r="AX229" s="47" t="str">
        <f aca="false">IF(AW229="","",IF(AW229&gt;=1.05,"A+",IF(AW229&gt;=1,"A",IF(AW229&gt;=0.95,"B+",IF(AW229&gt;=0.9,"B","C")))))</f>
        <v/>
      </c>
      <c r="AY229" s="47" t="str">
        <f aca="false">IF(AX229="","",IF(AX229="A+",1800,IF(AX229="A",1600,IF(AX229="B+",1400,IF(AX229="B",1200,0)))))</f>
        <v/>
      </c>
      <c r="AZ229" s="49" t="str">
        <f aca="false">IF(OR(L229="",M229="",S229="",M229=0),"",IFERROR(L229*60*S229/(M229*36),0))</f>
        <v/>
      </c>
    </row>
    <row r="230" customFormat="false" ht="15" hidden="false" customHeight="true" outlineLevel="0" collapsed="false">
      <c r="A230" s="47" t="n">
        <f aca="false">'Daily KPI Entry'!A231</f>
        <v>0</v>
      </c>
      <c r="B230" s="48" t="n">
        <f aca="false">'Daily KPI Entry'!B231</f>
        <v>0</v>
      </c>
      <c r="C230" s="47" t="n">
        <f aca="false">'Daily KPI Entry'!C231</f>
        <v>0</v>
      </c>
      <c r="D230" s="47" t="n">
        <f aca="false">'Daily KPI Entry'!D231</f>
        <v>0</v>
      </c>
      <c r="E230" s="47" t="n">
        <f aca="false">'Daily KPI Entry'!E231</f>
        <v>0</v>
      </c>
      <c r="F230" s="47" t="n">
        <f aca="false">'Daily KPI Entry'!F231</f>
        <v>0</v>
      </c>
      <c r="G230" s="47" t="n">
        <f aca="false">'Daily KPI Entry'!G231</f>
        <v>0</v>
      </c>
      <c r="H230" s="47" t="str">
        <f aca="false">'Daily KPI Entry'!H231</f>
        <v/>
      </c>
      <c r="I230" s="47" t="n">
        <f aca="false">'Daily KPI Entry'!I231</f>
        <v>0</v>
      </c>
      <c r="J230" s="47" t="n">
        <f aca="false">'Daily KPI Entry'!J231</f>
        <v>0</v>
      </c>
      <c r="K230" s="47" t="n">
        <f aca="false">'Daily KPI Entry'!K231</f>
        <v>0</v>
      </c>
      <c r="L230" s="47" t="n">
        <f aca="false">'Daily KPI Entry'!L231</f>
        <v>0</v>
      </c>
      <c r="M230" s="47" t="n">
        <f aca="false">'Daily KPI Entry'!M231</f>
        <v>0</v>
      </c>
      <c r="N230" s="49" t="n">
        <f aca="false">'Daily KPI Entry'!N231</f>
        <v>0</v>
      </c>
      <c r="O230" s="49" t="n">
        <f aca="false">'Daily KPI Entry'!O231</f>
        <v>0</v>
      </c>
      <c r="P230" s="49" t="str">
        <f aca="false">IF(OR(N230="",O230=""),"",IFERROR(O230/N230*100,0))</f>
        <v/>
      </c>
      <c r="Q230" s="47" t="n">
        <f aca="false">'Daily KPI Entry'!Q231</f>
        <v>8</v>
      </c>
      <c r="R230" s="47" t="str">
        <f aca="false">IF(J230="","",Q230*J230)</f>
        <v/>
      </c>
      <c r="S230" s="49" t="n">
        <f aca="false">'Daily KPI Entry'!S231</f>
        <v>0</v>
      </c>
      <c r="T230" s="49" t="str">
        <f aca="false">IF(OR(R230="",S230=""),"",IFERROR(S230/R230*100,0))</f>
        <v/>
      </c>
      <c r="U230" s="49" t="str">
        <f aca="false">IF(OR(O230="",L230="",M230="",S230="",M230=0),"",IFERROR(O230/(L230*60*S230/(M230*36))*100,0))</f>
        <v/>
      </c>
      <c r="V230" s="49" t="n">
        <f aca="false">'Daily KPI Entry'!V231</f>
        <v>0</v>
      </c>
      <c r="W230" s="49" t="str">
        <f aca="false">IF(O230="","",IFERROR(V230/O230*100,0))</f>
        <v/>
      </c>
      <c r="X230" s="49" t="n">
        <f aca="false">'Daily KPI Entry'!X231</f>
        <v>0</v>
      </c>
      <c r="Y230" s="49" t="n">
        <f aca="false">'Daily KPI Entry'!Y231</f>
        <v>0</v>
      </c>
      <c r="Z230" s="49" t="n">
        <f aca="false">'Daily KPI Entry'!Z231</f>
        <v>0</v>
      </c>
      <c r="AA230" s="49" t="n">
        <f aca="false">'Daily KPI Entry'!AA231</f>
        <v>0</v>
      </c>
      <c r="AB230" s="49" t="n">
        <f aca="false">'Daily KPI Entry'!AB231</f>
        <v>0</v>
      </c>
      <c r="AC230" s="49" t="n">
        <f aca="false">'Daily KPI Entry'!AC231</f>
        <v>0</v>
      </c>
      <c r="AD230" s="49" t="n">
        <f aca="false">'Daily KPI Entry'!AD231</f>
        <v>0</v>
      </c>
      <c r="AE230" s="49" t="n">
        <f aca="false">'Daily KPI Entry'!AE231</f>
        <v>0</v>
      </c>
      <c r="AF230" s="47" t="str">
        <f aca="false">IF(O230="","",SUM(X230:AE230))</f>
        <v/>
      </c>
      <c r="AG230" s="49" t="str">
        <f aca="false">IF(O230="","",IFERROR(AF230/O230*1000,0))</f>
        <v/>
      </c>
      <c r="AH230" s="49" t="n">
        <f aca="false">'Daily KPI Entry'!AH231</f>
        <v>0</v>
      </c>
      <c r="AI230" s="49" t="n">
        <f aca="false">'Daily KPI Entry'!AI231</f>
        <v>0</v>
      </c>
      <c r="AJ230" s="49" t="n">
        <f aca="false">'Daily KPI Entry'!AJ231</f>
        <v>0</v>
      </c>
      <c r="AK230" s="47" t="n">
        <f aca="false">'Daily KPI Entry'!AK231</f>
        <v>0</v>
      </c>
      <c r="AL230" s="47" t="n">
        <f aca="false">'Daily KPI Entry'!AL231</f>
        <v>0</v>
      </c>
      <c r="AM230" s="47" t="n">
        <f aca="false">'Daily KPI Entry'!AM231</f>
        <v>0</v>
      </c>
      <c r="AN230" s="49" t="str">
        <f aca="false">IF(P230="","",MIN(120,P230))</f>
        <v/>
      </c>
      <c r="AO230" s="49" t="str">
        <f aca="false">IF(U230="","",MIN(120,U230))</f>
        <v/>
      </c>
      <c r="AP230" s="49" t="str">
        <f aca="false">IF(R230="","",MIN(120,IFERROR(S230/R230*100,0)))</f>
        <v/>
      </c>
      <c r="AQ230" s="49" t="str">
        <f aca="false">IF(W230="","",MIN(120,IF(W230=0,120,100*(INDEX('Standards &amp; Scoring'!$E$5:$E$13,MATCH("Quality / Rejection",'Standards &amp; Scoring'!$A$5:$A$13,0))/W230))))</f>
        <v/>
      </c>
      <c r="AR230" s="49" t="str">
        <f aca="false">IF(AG230="","",MIN(120,IF(AG230=0,120,100*(INDEX('Standards &amp; Scoring'!$E$5:$E$13,MATCH("Fault Control",'Standards &amp; Scoring'!$A$5:$A$13,0))/AG230))))</f>
        <v/>
      </c>
      <c r="AS230" s="49" t="str">
        <f aca="false">IF(O230="","",MIN(120,IF(SUMIFS('Fault &amp; Downtime Entry'!$L$6:$L$1005,'Fault &amp; Downtime Entry'!$E$6:$E$1005,G230,'Fault &amp; Downtime Entry'!$B$6:$B$1005,B230)=0,120,100*(INDEX('Standards &amp; Scoring'!$E$5:$E$13,MATCH("Downtime Control",'Standards &amp; Scoring'!$A$5:$A$13,0))/IFERROR(SUMIFS('Fault &amp; Downtime Entry'!$L$6:$L$1005,'Fault &amp; Downtime Entry'!$E$6:$E$1005,G230,'Fault &amp; Downtime Entry'!$B$6:$B$1005,B230)/O230*1000,999999)))))</f>
        <v/>
      </c>
      <c r="AT230" s="49" t="n">
        <f aca="false">IF(COUNTA(AH230,AJ230)=0,"",MIN(120,IF(AND(AH230&lt;&gt;"",AJ230&lt;&gt;""),AVERAGE(AH230,AJ230),IF(AH230&lt;&gt;"",AH230,AJ230))))</f>
        <v>0</v>
      </c>
      <c r="AU230" s="49" t="str">
        <f aca="false">IF(AI230="","",MIN(120,AI230))</f>
        <v/>
      </c>
      <c r="AV230" s="49" t="str">
        <f aca="false">IF(AJ230="","",MIN(120,AJ230))</f>
        <v/>
      </c>
      <c r="AW230" s="50" t="str">
        <f aca="false">IF(COUNT(AN230:AV230)&lt;9,"",(AN230*'Standards &amp; Scoring'!$D$5+AO230*'Standards &amp; Scoring'!$D$6+AP230*'Standards &amp; Scoring'!$D$7+AQ230*'Standards &amp; Scoring'!$D$8+AR230*'Standards &amp; Scoring'!$D$9+AS230*'Standards &amp; Scoring'!$D$10+AT230*'Standards &amp; Scoring'!$D$11+AU230*'Standards &amp; Scoring'!$D$12+AV230*'Standards &amp; Scoring'!$D$13)/10000)</f>
        <v/>
      </c>
      <c r="AX230" s="47" t="str">
        <f aca="false">IF(AW230="","",IF(AW230&gt;=1.05,"A+",IF(AW230&gt;=1,"A",IF(AW230&gt;=0.95,"B+",IF(AW230&gt;=0.9,"B","C")))))</f>
        <v/>
      </c>
      <c r="AY230" s="47" t="str">
        <f aca="false">IF(AX230="","",IF(AX230="A+",1800,IF(AX230="A",1600,IF(AX230="B+",1400,IF(AX230="B",1200,0)))))</f>
        <v/>
      </c>
      <c r="AZ230" s="49" t="str">
        <f aca="false">IF(OR(L230="",M230="",S230="",M230=0),"",IFERROR(L230*60*S230/(M230*36),0))</f>
        <v/>
      </c>
    </row>
    <row r="231" customFormat="false" ht="15" hidden="false" customHeight="true" outlineLevel="0" collapsed="false">
      <c r="A231" s="47" t="n">
        <f aca="false">'Daily KPI Entry'!A232</f>
        <v>0</v>
      </c>
      <c r="B231" s="48" t="n">
        <f aca="false">'Daily KPI Entry'!B232</f>
        <v>0</v>
      </c>
      <c r="C231" s="47" t="n">
        <f aca="false">'Daily KPI Entry'!C232</f>
        <v>0</v>
      </c>
      <c r="D231" s="47" t="n">
        <f aca="false">'Daily KPI Entry'!D232</f>
        <v>0</v>
      </c>
      <c r="E231" s="47" t="n">
        <f aca="false">'Daily KPI Entry'!E232</f>
        <v>0</v>
      </c>
      <c r="F231" s="47" t="n">
        <f aca="false">'Daily KPI Entry'!F232</f>
        <v>0</v>
      </c>
      <c r="G231" s="47" t="n">
        <f aca="false">'Daily KPI Entry'!G232</f>
        <v>0</v>
      </c>
      <c r="H231" s="47" t="str">
        <f aca="false">'Daily KPI Entry'!H232</f>
        <v/>
      </c>
      <c r="I231" s="47" t="n">
        <f aca="false">'Daily KPI Entry'!I232</f>
        <v>0</v>
      </c>
      <c r="J231" s="47" t="n">
        <f aca="false">'Daily KPI Entry'!J232</f>
        <v>0</v>
      </c>
      <c r="K231" s="47" t="n">
        <f aca="false">'Daily KPI Entry'!K232</f>
        <v>0</v>
      </c>
      <c r="L231" s="47" t="n">
        <f aca="false">'Daily KPI Entry'!L232</f>
        <v>0</v>
      </c>
      <c r="M231" s="47" t="n">
        <f aca="false">'Daily KPI Entry'!M232</f>
        <v>0</v>
      </c>
      <c r="N231" s="49" t="n">
        <f aca="false">'Daily KPI Entry'!N232</f>
        <v>0</v>
      </c>
      <c r="O231" s="49" t="n">
        <f aca="false">'Daily KPI Entry'!O232</f>
        <v>0</v>
      </c>
      <c r="P231" s="49" t="str">
        <f aca="false">IF(OR(N231="",O231=""),"",IFERROR(O231/N231*100,0))</f>
        <v/>
      </c>
      <c r="Q231" s="47" t="n">
        <f aca="false">'Daily KPI Entry'!Q232</f>
        <v>8</v>
      </c>
      <c r="R231" s="47" t="str">
        <f aca="false">IF(J231="","",Q231*J231)</f>
        <v/>
      </c>
      <c r="S231" s="49" t="n">
        <f aca="false">'Daily KPI Entry'!S232</f>
        <v>0</v>
      </c>
      <c r="T231" s="49" t="str">
        <f aca="false">IF(OR(R231="",S231=""),"",IFERROR(S231/R231*100,0))</f>
        <v/>
      </c>
      <c r="U231" s="49" t="str">
        <f aca="false">IF(OR(O231="",L231="",M231="",S231="",M231=0),"",IFERROR(O231/(L231*60*S231/(M231*36))*100,0))</f>
        <v/>
      </c>
      <c r="V231" s="49" t="n">
        <f aca="false">'Daily KPI Entry'!V232</f>
        <v>0</v>
      </c>
      <c r="W231" s="49" t="str">
        <f aca="false">IF(O231="","",IFERROR(V231/O231*100,0))</f>
        <v/>
      </c>
      <c r="X231" s="49" t="n">
        <f aca="false">'Daily KPI Entry'!X232</f>
        <v>0</v>
      </c>
      <c r="Y231" s="49" t="n">
        <f aca="false">'Daily KPI Entry'!Y232</f>
        <v>0</v>
      </c>
      <c r="Z231" s="49" t="n">
        <f aca="false">'Daily KPI Entry'!Z232</f>
        <v>0</v>
      </c>
      <c r="AA231" s="49" t="n">
        <f aca="false">'Daily KPI Entry'!AA232</f>
        <v>0</v>
      </c>
      <c r="AB231" s="49" t="n">
        <f aca="false">'Daily KPI Entry'!AB232</f>
        <v>0</v>
      </c>
      <c r="AC231" s="49" t="n">
        <f aca="false">'Daily KPI Entry'!AC232</f>
        <v>0</v>
      </c>
      <c r="AD231" s="49" t="n">
        <f aca="false">'Daily KPI Entry'!AD232</f>
        <v>0</v>
      </c>
      <c r="AE231" s="49" t="n">
        <f aca="false">'Daily KPI Entry'!AE232</f>
        <v>0</v>
      </c>
      <c r="AF231" s="47" t="str">
        <f aca="false">IF(O231="","",SUM(X231:AE231))</f>
        <v/>
      </c>
      <c r="AG231" s="49" t="str">
        <f aca="false">IF(O231="","",IFERROR(AF231/O231*1000,0))</f>
        <v/>
      </c>
      <c r="AH231" s="49" t="n">
        <f aca="false">'Daily KPI Entry'!AH232</f>
        <v>0</v>
      </c>
      <c r="AI231" s="49" t="n">
        <f aca="false">'Daily KPI Entry'!AI232</f>
        <v>0</v>
      </c>
      <c r="AJ231" s="49" t="n">
        <f aca="false">'Daily KPI Entry'!AJ232</f>
        <v>0</v>
      </c>
      <c r="AK231" s="47" t="n">
        <f aca="false">'Daily KPI Entry'!AK232</f>
        <v>0</v>
      </c>
      <c r="AL231" s="47" t="n">
        <f aca="false">'Daily KPI Entry'!AL232</f>
        <v>0</v>
      </c>
      <c r="AM231" s="47" t="n">
        <f aca="false">'Daily KPI Entry'!AM232</f>
        <v>0</v>
      </c>
      <c r="AN231" s="49" t="str">
        <f aca="false">IF(P231="","",MIN(120,P231))</f>
        <v/>
      </c>
      <c r="AO231" s="49" t="str">
        <f aca="false">IF(U231="","",MIN(120,U231))</f>
        <v/>
      </c>
      <c r="AP231" s="49" t="str">
        <f aca="false">IF(R231="","",MIN(120,IFERROR(S231/R231*100,0)))</f>
        <v/>
      </c>
      <c r="AQ231" s="49" t="str">
        <f aca="false">IF(W231="","",MIN(120,IF(W231=0,120,100*(INDEX('Standards &amp; Scoring'!$E$5:$E$13,MATCH("Quality / Rejection",'Standards &amp; Scoring'!$A$5:$A$13,0))/W231))))</f>
        <v/>
      </c>
      <c r="AR231" s="49" t="str">
        <f aca="false">IF(AG231="","",MIN(120,IF(AG231=0,120,100*(INDEX('Standards &amp; Scoring'!$E$5:$E$13,MATCH("Fault Control",'Standards &amp; Scoring'!$A$5:$A$13,0))/AG231))))</f>
        <v/>
      </c>
      <c r="AS231" s="49" t="str">
        <f aca="false">IF(O231="","",MIN(120,IF(SUMIFS('Fault &amp; Downtime Entry'!$L$6:$L$1005,'Fault &amp; Downtime Entry'!$E$6:$E$1005,G231,'Fault &amp; Downtime Entry'!$B$6:$B$1005,B231)=0,120,100*(INDEX('Standards &amp; Scoring'!$E$5:$E$13,MATCH("Downtime Control",'Standards &amp; Scoring'!$A$5:$A$13,0))/IFERROR(SUMIFS('Fault &amp; Downtime Entry'!$L$6:$L$1005,'Fault &amp; Downtime Entry'!$E$6:$E$1005,G231,'Fault &amp; Downtime Entry'!$B$6:$B$1005,B231)/O231*1000,999999)))))</f>
        <v/>
      </c>
      <c r="AT231" s="49" t="n">
        <f aca="false">IF(COUNTA(AH231,AJ231)=0,"",MIN(120,IF(AND(AH231&lt;&gt;"",AJ231&lt;&gt;""),AVERAGE(AH231,AJ231),IF(AH231&lt;&gt;"",AH231,AJ231))))</f>
        <v>0</v>
      </c>
      <c r="AU231" s="49" t="str">
        <f aca="false">IF(AI231="","",MIN(120,AI231))</f>
        <v/>
      </c>
      <c r="AV231" s="49" t="str">
        <f aca="false">IF(AJ231="","",MIN(120,AJ231))</f>
        <v/>
      </c>
      <c r="AW231" s="50" t="str">
        <f aca="false">IF(COUNT(AN231:AV231)&lt;9,"",(AN231*'Standards &amp; Scoring'!$D$5+AO231*'Standards &amp; Scoring'!$D$6+AP231*'Standards &amp; Scoring'!$D$7+AQ231*'Standards &amp; Scoring'!$D$8+AR231*'Standards &amp; Scoring'!$D$9+AS231*'Standards &amp; Scoring'!$D$10+AT231*'Standards &amp; Scoring'!$D$11+AU231*'Standards &amp; Scoring'!$D$12+AV231*'Standards &amp; Scoring'!$D$13)/10000)</f>
        <v/>
      </c>
      <c r="AX231" s="47" t="str">
        <f aca="false">IF(AW231="","",IF(AW231&gt;=1.05,"A+",IF(AW231&gt;=1,"A",IF(AW231&gt;=0.95,"B+",IF(AW231&gt;=0.9,"B","C")))))</f>
        <v/>
      </c>
      <c r="AY231" s="47" t="str">
        <f aca="false">IF(AX231="","",IF(AX231="A+",1800,IF(AX231="A",1600,IF(AX231="B+",1400,IF(AX231="B",1200,0)))))</f>
        <v/>
      </c>
      <c r="AZ231" s="49" t="str">
        <f aca="false">IF(OR(L231="",M231="",S231="",M231=0),"",IFERROR(L231*60*S231/(M231*36),0))</f>
        <v/>
      </c>
    </row>
    <row r="232" customFormat="false" ht="15" hidden="false" customHeight="true" outlineLevel="0" collapsed="false">
      <c r="A232" s="47" t="n">
        <f aca="false">'Daily KPI Entry'!A233</f>
        <v>0</v>
      </c>
      <c r="B232" s="48" t="n">
        <f aca="false">'Daily KPI Entry'!B233</f>
        <v>0</v>
      </c>
      <c r="C232" s="47" t="n">
        <f aca="false">'Daily KPI Entry'!C233</f>
        <v>0</v>
      </c>
      <c r="D232" s="47" t="n">
        <f aca="false">'Daily KPI Entry'!D233</f>
        <v>0</v>
      </c>
      <c r="E232" s="47" t="n">
        <f aca="false">'Daily KPI Entry'!E233</f>
        <v>0</v>
      </c>
      <c r="F232" s="47" t="n">
        <f aca="false">'Daily KPI Entry'!F233</f>
        <v>0</v>
      </c>
      <c r="G232" s="47" t="n">
        <f aca="false">'Daily KPI Entry'!G233</f>
        <v>0</v>
      </c>
      <c r="H232" s="47" t="str">
        <f aca="false">'Daily KPI Entry'!H233</f>
        <v/>
      </c>
      <c r="I232" s="47" t="n">
        <f aca="false">'Daily KPI Entry'!I233</f>
        <v>0</v>
      </c>
      <c r="J232" s="47" t="n">
        <f aca="false">'Daily KPI Entry'!J233</f>
        <v>0</v>
      </c>
      <c r="K232" s="47" t="n">
        <f aca="false">'Daily KPI Entry'!K233</f>
        <v>0</v>
      </c>
      <c r="L232" s="47" t="n">
        <f aca="false">'Daily KPI Entry'!L233</f>
        <v>0</v>
      </c>
      <c r="M232" s="47" t="n">
        <f aca="false">'Daily KPI Entry'!M233</f>
        <v>0</v>
      </c>
      <c r="N232" s="49" t="n">
        <f aca="false">'Daily KPI Entry'!N233</f>
        <v>0</v>
      </c>
      <c r="O232" s="49" t="n">
        <f aca="false">'Daily KPI Entry'!O233</f>
        <v>0</v>
      </c>
      <c r="P232" s="49" t="str">
        <f aca="false">IF(OR(N232="",O232=""),"",IFERROR(O232/N232*100,0))</f>
        <v/>
      </c>
      <c r="Q232" s="47" t="n">
        <f aca="false">'Daily KPI Entry'!Q233</f>
        <v>8</v>
      </c>
      <c r="R232" s="47" t="str">
        <f aca="false">IF(J232="","",Q232*J232)</f>
        <v/>
      </c>
      <c r="S232" s="49" t="n">
        <f aca="false">'Daily KPI Entry'!S233</f>
        <v>0</v>
      </c>
      <c r="T232" s="49" t="str">
        <f aca="false">IF(OR(R232="",S232=""),"",IFERROR(S232/R232*100,0))</f>
        <v/>
      </c>
      <c r="U232" s="49" t="str">
        <f aca="false">IF(OR(O232="",L232="",M232="",S232="",M232=0),"",IFERROR(O232/(L232*60*S232/(M232*36))*100,0))</f>
        <v/>
      </c>
      <c r="V232" s="49" t="n">
        <f aca="false">'Daily KPI Entry'!V233</f>
        <v>0</v>
      </c>
      <c r="W232" s="49" t="str">
        <f aca="false">IF(O232="","",IFERROR(V232/O232*100,0))</f>
        <v/>
      </c>
      <c r="X232" s="49" t="n">
        <f aca="false">'Daily KPI Entry'!X233</f>
        <v>0</v>
      </c>
      <c r="Y232" s="49" t="n">
        <f aca="false">'Daily KPI Entry'!Y233</f>
        <v>0</v>
      </c>
      <c r="Z232" s="49" t="n">
        <f aca="false">'Daily KPI Entry'!Z233</f>
        <v>0</v>
      </c>
      <c r="AA232" s="49" t="n">
        <f aca="false">'Daily KPI Entry'!AA233</f>
        <v>0</v>
      </c>
      <c r="AB232" s="49" t="n">
        <f aca="false">'Daily KPI Entry'!AB233</f>
        <v>0</v>
      </c>
      <c r="AC232" s="49" t="n">
        <f aca="false">'Daily KPI Entry'!AC233</f>
        <v>0</v>
      </c>
      <c r="AD232" s="49" t="n">
        <f aca="false">'Daily KPI Entry'!AD233</f>
        <v>0</v>
      </c>
      <c r="AE232" s="49" t="n">
        <f aca="false">'Daily KPI Entry'!AE233</f>
        <v>0</v>
      </c>
      <c r="AF232" s="47" t="str">
        <f aca="false">IF(O232="","",SUM(X232:AE232))</f>
        <v/>
      </c>
      <c r="AG232" s="49" t="str">
        <f aca="false">IF(O232="","",IFERROR(AF232/O232*1000,0))</f>
        <v/>
      </c>
      <c r="AH232" s="49" t="n">
        <f aca="false">'Daily KPI Entry'!AH233</f>
        <v>0</v>
      </c>
      <c r="AI232" s="49" t="n">
        <f aca="false">'Daily KPI Entry'!AI233</f>
        <v>0</v>
      </c>
      <c r="AJ232" s="49" t="n">
        <f aca="false">'Daily KPI Entry'!AJ233</f>
        <v>0</v>
      </c>
      <c r="AK232" s="47" t="n">
        <f aca="false">'Daily KPI Entry'!AK233</f>
        <v>0</v>
      </c>
      <c r="AL232" s="47" t="n">
        <f aca="false">'Daily KPI Entry'!AL233</f>
        <v>0</v>
      </c>
      <c r="AM232" s="47" t="n">
        <f aca="false">'Daily KPI Entry'!AM233</f>
        <v>0</v>
      </c>
      <c r="AN232" s="49" t="str">
        <f aca="false">IF(P232="","",MIN(120,P232))</f>
        <v/>
      </c>
      <c r="AO232" s="49" t="str">
        <f aca="false">IF(U232="","",MIN(120,U232))</f>
        <v/>
      </c>
      <c r="AP232" s="49" t="str">
        <f aca="false">IF(R232="","",MIN(120,IFERROR(S232/R232*100,0)))</f>
        <v/>
      </c>
      <c r="AQ232" s="49" t="str">
        <f aca="false">IF(W232="","",MIN(120,IF(W232=0,120,100*(INDEX('Standards &amp; Scoring'!$E$5:$E$13,MATCH("Quality / Rejection",'Standards &amp; Scoring'!$A$5:$A$13,0))/W232))))</f>
        <v/>
      </c>
      <c r="AR232" s="49" t="str">
        <f aca="false">IF(AG232="","",MIN(120,IF(AG232=0,120,100*(INDEX('Standards &amp; Scoring'!$E$5:$E$13,MATCH("Fault Control",'Standards &amp; Scoring'!$A$5:$A$13,0))/AG232))))</f>
        <v/>
      </c>
      <c r="AS232" s="49" t="str">
        <f aca="false">IF(O232="","",MIN(120,IF(SUMIFS('Fault &amp; Downtime Entry'!$L$6:$L$1005,'Fault &amp; Downtime Entry'!$E$6:$E$1005,G232,'Fault &amp; Downtime Entry'!$B$6:$B$1005,B232)=0,120,100*(INDEX('Standards &amp; Scoring'!$E$5:$E$13,MATCH("Downtime Control",'Standards &amp; Scoring'!$A$5:$A$13,0))/IFERROR(SUMIFS('Fault &amp; Downtime Entry'!$L$6:$L$1005,'Fault &amp; Downtime Entry'!$E$6:$E$1005,G232,'Fault &amp; Downtime Entry'!$B$6:$B$1005,B232)/O232*1000,999999)))))</f>
        <v/>
      </c>
      <c r="AT232" s="49" t="n">
        <f aca="false">IF(COUNTA(AH232,AJ232)=0,"",MIN(120,IF(AND(AH232&lt;&gt;"",AJ232&lt;&gt;""),AVERAGE(AH232,AJ232),IF(AH232&lt;&gt;"",AH232,AJ232))))</f>
        <v>0</v>
      </c>
      <c r="AU232" s="49" t="str">
        <f aca="false">IF(AI232="","",MIN(120,AI232))</f>
        <v/>
      </c>
      <c r="AV232" s="49" t="str">
        <f aca="false">IF(AJ232="","",MIN(120,AJ232))</f>
        <v/>
      </c>
      <c r="AW232" s="50" t="str">
        <f aca="false">IF(COUNT(AN232:AV232)&lt;9,"",(AN232*'Standards &amp; Scoring'!$D$5+AO232*'Standards &amp; Scoring'!$D$6+AP232*'Standards &amp; Scoring'!$D$7+AQ232*'Standards &amp; Scoring'!$D$8+AR232*'Standards &amp; Scoring'!$D$9+AS232*'Standards &amp; Scoring'!$D$10+AT232*'Standards &amp; Scoring'!$D$11+AU232*'Standards &amp; Scoring'!$D$12+AV232*'Standards &amp; Scoring'!$D$13)/10000)</f>
        <v/>
      </c>
      <c r="AX232" s="47" t="str">
        <f aca="false">IF(AW232="","",IF(AW232&gt;=1.05,"A+",IF(AW232&gt;=1,"A",IF(AW232&gt;=0.95,"B+",IF(AW232&gt;=0.9,"B","C")))))</f>
        <v/>
      </c>
      <c r="AY232" s="47" t="str">
        <f aca="false">IF(AX232="","",IF(AX232="A+",1800,IF(AX232="A",1600,IF(AX232="B+",1400,IF(AX232="B",1200,0)))))</f>
        <v/>
      </c>
      <c r="AZ232" s="49" t="str">
        <f aca="false">IF(OR(L232="",M232="",S232="",M232=0),"",IFERROR(L232*60*S232/(M232*36),0))</f>
        <v/>
      </c>
    </row>
    <row r="233" customFormat="false" ht="15" hidden="false" customHeight="true" outlineLevel="0" collapsed="false">
      <c r="A233" s="47" t="n">
        <f aca="false">'Daily KPI Entry'!A234</f>
        <v>0</v>
      </c>
      <c r="B233" s="48" t="n">
        <f aca="false">'Daily KPI Entry'!B234</f>
        <v>0</v>
      </c>
      <c r="C233" s="47" t="n">
        <f aca="false">'Daily KPI Entry'!C234</f>
        <v>0</v>
      </c>
      <c r="D233" s="47" t="n">
        <f aca="false">'Daily KPI Entry'!D234</f>
        <v>0</v>
      </c>
      <c r="E233" s="47" t="n">
        <f aca="false">'Daily KPI Entry'!E234</f>
        <v>0</v>
      </c>
      <c r="F233" s="47" t="n">
        <f aca="false">'Daily KPI Entry'!F234</f>
        <v>0</v>
      </c>
      <c r="G233" s="47" t="n">
        <f aca="false">'Daily KPI Entry'!G234</f>
        <v>0</v>
      </c>
      <c r="H233" s="47" t="str">
        <f aca="false">'Daily KPI Entry'!H234</f>
        <v/>
      </c>
      <c r="I233" s="47" t="n">
        <f aca="false">'Daily KPI Entry'!I234</f>
        <v>0</v>
      </c>
      <c r="J233" s="47" t="n">
        <f aca="false">'Daily KPI Entry'!J234</f>
        <v>0</v>
      </c>
      <c r="K233" s="47" t="n">
        <f aca="false">'Daily KPI Entry'!K234</f>
        <v>0</v>
      </c>
      <c r="L233" s="47" t="n">
        <f aca="false">'Daily KPI Entry'!L234</f>
        <v>0</v>
      </c>
      <c r="M233" s="47" t="n">
        <f aca="false">'Daily KPI Entry'!M234</f>
        <v>0</v>
      </c>
      <c r="N233" s="49" t="n">
        <f aca="false">'Daily KPI Entry'!N234</f>
        <v>0</v>
      </c>
      <c r="O233" s="49" t="n">
        <f aca="false">'Daily KPI Entry'!O234</f>
        <v>0</v>
      </c>
      <c r="P233" s="49" t="str">
        <f aca="false">IF(OR(N233="",O233=""),"",IFERROR(O233/N233*100,0))</f>
        <v/>
      </c>
      <c r="Q233" s="47" t="n">
        <f aca="false">'Daily KPI Entry'!Q234</f>
        <v>8</v>
      </c>
      <c r="R233" s="47" t="str">
        <f aca="false">IF(J233="","",Q233*J233)</f>
        <v/>
      </c>
      <c r="S233" s="49" t="n">
        <f aca="false">'Daily KPI Entry'!S234</f>
        <v>0</v>
      </c>
      <c r="T233" s="49" t="str">
        <f aca="false">IF(OR(R233="",S233=""),"",IFERROR(S233/R233*100,0))</f>
        <v/>
      </c>
      <c r="U233" s="49" t="str">
        <f aca="false">IF(OR(O233="",L233="",M233="",S233="",M233=0),"",IFERROR(O233/(L233*60*S233/(M233*36))*100,0))</f>
        <v/>
      </c>
      <c r="V233" s="49" t="n">
        <f aca="false">'Daily KPI Entry'!V234</f>
        <v>0</v>
      </c>
      <c r="W233" s="49" t="str">
        <f aca="false">IF(O233="","",IFERROR(V233/O233*100,0))</f>
        <v/>
      </c>
      <c r="X233" s="49" t="n">
        <f aca="false">'Daily KPI Entry'!X234</f>
        <v>0</v>
      </c>
      <c r="Y233" s="49" t="n">
        <f aca="false">'Daily KPI Entry'!Y234</f>
        <v>0</v>
      </c>
      <c r="Z233" s="49" t="n">
        <f aca="false">'Daily KPI Entry'!Z234</f>
        <v>0</v>
      </c>
      <c r="AA233" s="49" t="n">
        <f aca="false">'Daily KPI Entry'!AA234</f>
        <v>0</v>
      </c>
      <c r="AB233" s="49" t="n">
        <f aca="false">'Daily KPI Entry'!AB234</f>
        <v>0</v>
      </c>
      <c r="AC233" s="49" t="n">
        <f aca="false">'Daily KPI Entry'!AC234</f>
        <v>0</v>
      </c>
      <c r="AD233" s="49" t="n">
        <f aca="false">'Daily KPI Entry'!AD234</f>
        <v>0</v>
      </c>
      <c r="AE233" s="49" t="n">
        <f aca="false">'Daily KPI Entry'!AE234</f>
        <v>0</v>
      </c>
      <c r="AF233" s="47" t="str">
        <f aca="false">IF(O233="","",SUM(X233:AE233))</f>
        <v/>
      </c>
      <c r="AG233" s="49" t="str">
        <f aca="false">IF(O233="","",IFERROR(AF233/O233*1000,0))</f>
        <v/>
      </c>
      <c r="AH233" s="49" t="n">
        <f aca="false">'Daily KPI Entry'!AH234</f>
        <v>0</v>
      </c>
      <c r="AI233" s="49" t="n">
        <f aca="false">'Daily KPI Entry'!AI234</f>
        <v>0</v>
      </c>
      <c r="AJ233" s="49" t="n">
        <f aca="false">'Daily KPI Entry'!AJ234</f>
        <v>0</v>
      </c>
      <c r="AK233" s="47" t="n">
        <f aca="false">'Daily KPI Entry'!AK234</f>
        <v>0</v>
      </c>
      <c r="AL233" s="47" t="n">
        <f aca="false">'Daily KPI Entry'!AL234</f>
        <v>0</v>
      </c>
      <c r="AM233" s="47" t="n">
        <f aca="false">'Daily KPI Entry'!AM234</f>
        <v>0</v>
      </c>
      <c r="AN233" s="49" t="str">
        <f aca="false">IF(P233="","",MIN(120,P233))</f>
        <v/>
      </c>
      <c r="AO233" s="49" t="str">
        <f aca="false">IF(U233="","",MIN(120,U233))</f>
        <v/>
      </c>
      <c r="AP233" s="49" t="str">
        <f aca="false">IF(R233="","",MIN(120,IFERROR(S233/R233*100,0)))</f>
        <v/>
      </c>
      <c r="AQ233" s="49" t="str">
        <f aca="false">IF(W233="","",MIN(120,IF(W233=0,120,100*(INDEX('Standards &amp; Scoring'!$E$5:$E$13,MATCH("Quality / Rejection",'Standards &amp; Scoring'!$A$5:$A$13,0))/W233))))</f>
        <v/>
      </c>
      <c r="AR233" s="49" t="str">
        <f aca="false">IF(AG233="","",MIN(120,IF(AG233=0,120,100*(INDEX('Standards &amp; Scoring'!$E$5:$E$13,MATCH("Fault Control",'Standards &amp; Scoring'!$A$5:$A$13,0))/AG233))))</f>
        <v/>
      </c>
      <c r="AS233" s="49" t="str">
        <f aca="false">IF(O233="","",MIN(120,IF(SUMIFS('Fault &amp; Downtime Entry'!$L$6:$L$1005,'Fault &amp; Downtime Entry'!$E$6:$E$1005,G233,'Fault &amp; Downtime Entry'!$B$6:$B$1005,B233)=0,120,100*(INDEX('Standards &amp; Scoring'!$E$5:$E$13,MATCH("Downtime Control",'Standards &amp; Scoring'!$A$5:$A$13,0))/IFERROR(SUMIFS('Fault &amp; Downtime Entry'!$L$6:$L$1005,'Fault &amp; Downtime Entry'!$E$6:$E$1005,G233,'Fault &amp; Downtime Entry'!$B$6:$B$1005,B233)/O233*1000,999999)))))</f>
        <v/>
      </c>
      <c r="AT233" s="49" t="n">
        <f aca="false">IF(COUNTA(AH233,AJ233)=0,"",MIN(120,IF(AND(AH233&lt;&gt;"",AJ233&lt;&gt;""),AVERAGE(AH233,AJ233),IF(AH233&lt;&gt;"",AH233,AJ233))))</f>
        <v>0</v>
      </c>
      <c r="AU233" s="49" t="str">
        <f aca="false">IF(AI233="","",MIN(120,AI233))</f>
        <v/>
      </c>
      <c r="AV233" s="49" t="str">
        <f aca="false">IF(AJ233="","",MIN(120,AJ233))</f>
        <v/>
      </c>
      <c r="AW233" s="50" t="str">
        <f aca="false">IF(COUNT(AN233:AV233)&lt;9,"",(AN233*'Standards &amp; Scoring'!$D$5+AO233*'Standards &amp; Scoring'!$D$6+AP233*'Standards &amp; Scoring'!$D$7+AQ233*'Standards &amp; Scoring'!$D$8+AR233*'Standards &amp; Scoring'!$D$9+AS233*'Standards &amp; Scoring'!$D$10+AT233*'Standards &amp; Scoring'!$D$11+AU233*'Standards &amp; Scoring'!$D$12+AV233*'Standards &amp; Scoring'!$D$13)/10000)</f>
        <v/>
      </c>
      <c r="AX233" s="47" t="str">
        <f aca="false">IF(AW233="","",IF(AW233&gt;=1.05,"A+",IF(AW233&gt;=1,"A",IF(AW233&gt;=0.95,"B+",IF(AW233&gt;=0.9,"B","C")))))</f>
        <v/>
      </c>
      <c r="AY233" s="47" t="str">
        <f aca="false">IF(AX233="","",IF(AX233="A+",1800,IF(AX233="A",1600,IF(AX233="B+",1400,IF(AX233="B",1200,0)))))</f>
        <v/>
      </c>
      <c r="AZ233" s="49" t="str">
        <f aca="false">IF(OR(L233="",M233="",S233="",M233=0),"",IFERROR(L233*60*S233/(M233*36),0))</f>
        <v/>
      </c>
    </row>
    <row r="234" customFormat="false" ht="15" hidden="false" customHeight="true" outlineLevel="0" collapsed="false">
      <c r="A234" s="47" t="n">
        <f aca="false">'Daily KPI Entry'!A235</f>
        <v>0</v>
      </c>
      <c r="B234" s="48" t="n">
        <f aca="false">'Daily KPI Entry'!B235</f>
        <v>0</v>
      </c>
      <c r="C234" s="47" t="n">
        <f aca="false">'Daily KPI Entry'!C235</f>
        <v>0</v>
      </c>
      <c r="D234" s="47" t="n">
        <f aca="false">'Daily KPI Entry'!D235</f>
        <v>0</v>
      </c>
      <c r="E234" s="47" t="n">
        <f aca="false">'Daily KPI Entry'!E235</f>
        <v>0</v>
      </c>
      <c r="F234" s="47" t="n">
        <f aca="false">'Daily KPI Entry'!F235</f>
        <v>0</v>
      </c>
      <c r="G234" s="47" t="n">
        <f aca="false">'Daily KPI Entry'!G235</f>
        <v>0</v>
      </c>
      <c r="H234" s="47" t="str">
        <f aca="false">'Daily KPI Entry'!H235</f>
        <v/>
      </c>
      <c r="I234" s="47" t="n">
        <f aca="false">'Daily KPI Entry'!I235</f>
        <v>0</v>
      </c>
      <c r="J234" s="47" t="n">
        <f aca="false">'Daily KPI Entry'!J235</f>
        <v>0</v>
      </c>
      <c r="K234" s="47" t="n">
        <f aca="false">'Daily KPI Entry'!K235</f>
        <v>0</v>
      </c>
      <c r="L234" s="47" t="n">
        <f aca="false">'Daily KPI Entry'!L235</f>
        <v>0</v>
      </c>
      <c r="M234" s="47" t="n">
        <f aca="false">'Daily KPI Entry'!M235</f>
        <v>0</v>
      </c>
      <c r="N234" s="49" t="n">
        <f aca="false">'Daily KPI Entry'!N235</f>
        <v>0</v>
      </c>
      <c r="O234" s="49" t="n">
        <f aca="false">'Daily KPI Entry'!O235</f>
        <v>0</v>
      </c>
      <c r="P234" s="49" t="str">
        <f aca="false">IF(OR(N234="",O234=""),"",IFERROR(O234/N234*100,0))</f>
        <v/>
      </c>
      <c r="Q234" s="47" t="n">
        <f aca="false">'Daily KPI Entry'!Q235</f>
        <v>8</v>
      </c>
      <c r="R234" s="47" t="str">
        <f aca="false">IF(J234="","",Q234*J234)</f>
        <v/>
      </c>
      <c r="S234" s="49" t="n">
        <f aca="false">'Daily KPI Entry'!S235</f>
        <v>0</v>
      </c>
      <c r="T234" s="49" t="str">
        <f aca="false">IF(OR(R234="",S234=""),"",IFERROR(S234/R234*100,0))</f>
        <v/>
      </c>
      <c r="U234" s="49" t="str">
        <f aca="false">IF(OR(O234="",L234="",M234="",S234="",M234=0),"",IFERROR(O234/(L234*60*S234/(M234*36))*100,0))</f>
        <v/>
      </c>
      <c r="V234" s="49" t="n">
        <f aca="false">'Daily KPI Entry'!V235</f>
        <v>0</v>
      </c>
      <c r="W234" s="49" t="str">
        <f aca="false">IF(O234="","",IFERROR(V234/O234*100,0))</f>
        <v/>
      </c>
      <c r="X234" s="49" t="n">
        <f aca="false">'Daily KPI Entry'!X235</f>
        <v>0</v>
      </c>
      <c r="Y234" s="49" t="n">
        <f aca="false">'Daily KPI Entry'!Y235</f>
        <v>0</v>
      </c>
      <c r="Z234" s="49" t="n">
        <f aca="false">'Daily KPI Entry'!Z235</f>
        <v>0</v>
      </c>
      <c r="AA234" s="49" t="n">
        <f aca="false">'Daily KPI Entry'!AA235</f>
        <v>0</v>
      </c>
      <c r="AB234" s="49" t="n">
        <f aca="false">'Daily KPI Entry'!AB235</f>
        <v>0</v>
      </c>
      <c r="AC234" s="49" t="n">
        <f aca="false">'Daily KPI Entry'!AC235</f>
        <v>0</v>
      </c>
      <c r="AD234" s="49" t="n">
        <f aca="false">'Daily KPI Entry'!AD235</f>
        <v>0</v>
      </c>
      <c r="AE234" s="49" t="n">
        <f aca="false">'Daily KPI Entry'!AE235</f>
        <v>0</v>
      </c>
      <c r="AF234" s="47" t="str">
        <f aca="false">IF(O234="","",SUM(X234:AE234))</f>
        <v/>
      </c>
      <c r="AG234" s="49" t="str">
        <f aca="false">IF(O234="","",IFERROR(AF234/O234*1000,0))</f>
        <v/>
      </c>
      <c r="AH234" s="49" t="n">
        <f aca="false">'Daily KPI Entry'!AH235</f>
        <v>0</v>
      </c>
      <c r="AI234" s="49" t="n">
        <f aca="false">'Daily KPI Entry'!AI235</f>
        <v>0</v>
      </c>
      <c r="AJ234" s="49" t="n">
        <f aca="false">'Daily KPI Entry'!AJ235</f>
        <v>0</v>
      </c>
      <c r="AK234" s="47" t="n">
        <f aca="false">'Daily KPI Entry'!AK235</f>
        <v>0</v>
      </c>
      <c r="AL234" s="47" t="n">
        <f aca="false">'Daily KPI Entry'!AL235</f>
        <v>0</v>
      </c>
      <c r="AM234" s="47" t="n">
        <f aca="false">'Daily KPI Entry'!AM235</f>
        <v>0</v>
      </c>
      <c r="AN234" s="49" t="str">
        <f aca="false">IF(P234="","",MIN(120,P234))</f>
        <v/>
      </c>
      <c r="AO234" s="49" t="str">
        <f aca="false">IF(U234="","",MIN(120,U234))</f>
        <v/>
      </c>
      <c r="AP234" s="49" t="str">
        <f aca="false">IF(R234="","",MIN(120,IFERROR(S234/R234*100,0)))</f>
        <v/>
      </c>
      <c r="AQ234" s="49" t="str">
        <f aca="false">IF(W234="","",MIN(120,IF(W234=0,120,100*(INDEX('Standards &amp; Scoring'!$E$5:$E$13,MATCH("Quality / Rejection",'Standards &amp; Scoring'!$A$5:$A$13,0))/W234))))</f>
        <v/>
      </c>
      <c r="AR234" s="49" t="str">
        <f aca="false">IF(AG234="","",MIN(120,IF(AG234=0,120,100*(INDEX('Standards &amp; Scoring'!$E$5:$E$13,MATCH("Fault Control",'Standards &amp; Scoring'!$A$5:$A$13,0))/AG234))))</f>
        <v/>
      </c>
      <c r="AS234" s="49" t="str">
        <f aca="false">IF(O234="","",MIN(120,IF(SUMIFS('Fault &amp; Downtime Entry'!$L$6:$L$1005,'Fault &amp; Downtime Entry'!$E$6:$E$1005,G234,'Fault &amp; Downtime Entry'!$B$6:$B$1005,B234)=0,120,100*(INDEX('Standards &amp; Scoring'!$E$5:$E$13,MATCH("Downtime Control",'Standards &amp; Scoring'!$A$5:$A$13,0))/IFERROR(SUMIFS('Fault &amp; Downtime Entry'!$L$6:$L$1005,'Fault &amp; Downtime Entry'!$E$6:$E$1005,G234,'Fault &amp; Downtime Entry'!$B$6:$B$1005,B234)/O234*1000,999999)))))</f>
        <v/>
      </c>
      <c r="AT234" s="49" t="n">
        <f aca="false">IF(COUNTA(AH234,AJ234)=0,"",MIN(120,IF(AND(AH234&lt;&gt;"",AJ234&lt;&gt;""),AVERAGE(AH234,AJ234),IF(AH234&lt;&gt;"",AH234,AJ234))))</f>
        <v>0</v>
      </c>
      <c r="AU234" s="49" t="str">
        <f aca="false">IF(AI234="","",MIN(120,AI234))</f>
        <v/>
      </c>
      <c r="AV234" s="49" t="str">
        <f aca="false">IF(AJ234="","",MIN(120,AJ234))</f>
        <v/>
      </c>
      <c r="AW234" s="50" t="str">
        <f aca="false">IF(COUNT(AN234:AV234)&lt;9,"",(AN234*'Standards &amp; Scoring'!$D$5+AO234*'Standards &amp; Scoring'!$D$6+AP234*'Standards &amp; Scoring'!$D$7+AQ234*'Standards &amp; Scoring'!$D$8+AR234*'Standards &amp; Scoring'!$D$9+AS234*'Standards &amp; Scoring'!$D$10+AT234*'Standards &amp; Scoring'!$D$11+AU234*'Standards &amp; Scoring'!$D$12+AV234*'Standards &amp; Scoring'!$D$13)/10000)</f>
        <v/>
      </c>
      <c r="AX234" s="47" t="str">
        <f aca="false">IF(AW234="","",IF(AW234&gt;=1.05,"A+",IF(AW234&gt;=1,"A",IF(AW234&gt;=0.95,"B+",IF(AW234&gt;=0.9,"B","C")))))</f>
        <v/>
      </c>
      <c r="AY234" s="47" t="str">
        <f aca="false">IF(AX234="","",IF(AX234="A+",1800,IF(AX234="A",1600,IF(AX234="B+",1400,IF(AX234="B",1200,0)))))</f>
        <v/>
      </c>
      <c r="AZ234" s="49" t="str">
        <f aca="false">IF(OR(L234="",M234="",S234="",M234=0),"",IFERROR(L234*60*S234/(M234*36),0))</f>
        <v/>
      </c>
    </row>
    <row r="235" customFormat="false" ht="15" hidden="false" customHeight="true" outlineLevel="0" collapsed="false">
      <c r="A235" s="47" t="n">
        <f aca="false">'Daily KPI Entry'!A236</f>
        <v>0</v>
      </c>
      <c r="B235" s="48" t="n">
        <f aca="false">'Daily KPI Entry'!B236</f>
        <v>0</v>
      </c>
      <c r="C235" s="47" t="n">
        <f aca="false">'Daily KPI Entry'!C236</f>
        <v>0</v>
      </c>
      <c r="D235" s="47" t="n">
        <f aca="false">'Daily KPI Entry'!D236</f>
        <v>0</v>
      </c>
      <c r="E235" s="47" t="n">
        <f aca="false">'Daily KPI Entry'!E236</f>
        <v>0</v>
      </c>
      <c r="F235" s="47" t="n">
        <f aca="false">'Daily KPI Entry'!F236</f>
        <v>0</v>
      </c>
      <c r="G235" s="47" t="n">
        <f aca="false">'Daily KPI Entry'!G236</f>
        <v>0</v>
      </c>
      <c r="H235" s="47" t="str">
        <f aca="false">'Daily KPI Entry'!H236</f>
        <v/>
      </c>
      <c r="I235" s="47" t="n">
        <f aca="false">'Daily KPI Entry'!I236</f>
        <v>0</v>
      </c>
      <c r="J235" s="47" t="n">
        <f aca="false">'Daily KPI Entry'!J236</f>
        <v>0</v>
      </c>
      <c r="K235" s="47" t="n">
        <f aca="false">'Daily KPI Entry'!K236</f>
        <v>0</v>
      </c>
      <c r="L235" s="47" t="n">
        <f aca="false">'Daily KPI Entry'!L236</f>
        <v>0</v>
      </c>
      <c r="M235" s="47" t="n">
        <f aca="false">'Daily KPI Entry'!M236</f>
        <v>0</v>
      </c>
      <c r="N235" s="49" t="n">
        <f aca="false">'Daily KPI Entry'!N236</f>
        <v>0</v>
      </c>
      <c r="O235" s="49" t="n">
        <f aca="false">'Daily KPI Entry'!O236</f>
        <v>0</v>
      </c>
      <c r="P235" s="49" t="str">
        <f aca="false">IF(OR(N235="",O235=""),"",IFERROR(O235/N235*100,0))</f>
        <v/>
      </c>
      <c r="Q235" s="47" t="n">
        <f aca="false">'Daily KPI Entry'!Q236</f>
        <v>8</v>
      </c>
      <c r="R235" s="47" t="str">
        <f aca="false">IF(J235="","",Q235*J235)</f>
        <v/>
      </c>
      <c r="S235" s="49" t="n">
        <f aca="false">'Daily KPI Entry'!S236</f>
        <v>0</v>
      </c>
      <c r="T235" s="49" t="str">
        <f aca="false">IF(OR(R235="",S235=""),"",IFERROR(S235/R235*100,0))</f>
        <v/>
      </c>
      <c r="U235" s="49" t="str">
        <f aca="false">IF(OR(O235="",L235="",M235="",S235="",M235=0),"",IFERROR(O235/(L235*60*S235/(M235*36))*100,0))</f>
        <v/>
      </c>
      <c r="V235" s="49" t="n">
        <f aca="false">'Daily KPI Entry'!V236</f>
        <v>0</v>
      </c>
      <c r="W235" s="49" t="str">
        <f aca="false">IF(O235="","",IFERROR(V235/O235*100,0))</f>
        <v/>
      </c>
      <c r="X235" s="49" t="n">
        <f aca="false">'Daily KPI Entry'!X236</f>
        <v>0</v>
      </c>
      <c r="Y235" s="49" t="n">
        <f aca="false">'Daily KPI Entry'!Y236</f>
        <v>0</v>
      </c>
      <c r="Z235" s="49" t="n">
        <f aca="false">'Daily KPI Entry'!Z236</f>
        <v>0</v>
      </c>
      <c r="AA235" s="49" t="n">
        <f aca="false">'Daily KPI Entry'!AA236</f>
        <v>0</v>
      </c>
      <c r="AB235" s="49" t="n">
        <f aca="false">'Daily KPI Entry'!AB236</f>
        <v>0</v>
      </c>
      <c r="AC235" s="49" t="n">
        <f aca="false">'Daily KPI Entry'!AC236</f>
        <v>0</v>
      </c>
      <c r="AD235" s="49" t="n">
        <f aca="false">'Daily KPI Entry'!AD236</f>
        <v>0</v>
      </c>
      <c r="AE235" s="49" t="n">
        <f aca="false">'Daily KPI Entry'!AE236</f>
        <v>0</v>
      </c>
      <c r="AF235" s="47" t="str">
        <f aca="false">IF(O235="","",SUM(X235:AE235))</f>
        <v/>
      </c>
      <c r="AG235" s="49" t="str">
        <f aca="false">IF(O235="","",IFERROR(AF235/O235*1000,0))</f>
        <v/>
      </c>
      <c r="AH235" s="49" t="n">
        <f aca="false">'Daily KPI Entry'!AH236</f>
        <v>0</v>
      </c>
      <c r="AI235" s="49" t="n">
        <f aca="false">'Daily KPI Entry'!AI236</f>
        <v>0</v>
      </c>
      <c r="AJ235" s="49" t="n">
        <f aca="false">'Daily KPI Entry'!AJ236</f>
        <v>0</v>
      </c>
      <c r="AK235" s="47" t="n">
        <f aca="false">'Daily KPI Entry'!AK236</f>
        <v>0</v>
      </c>
      <c r="AL235" s="47" t="n">
        <f aca="false">'Daily KPI Entry'!AL236</f>
        <v>0</v>
      </c>
      <c r="AM235" s="47" t="n">
        <f aca="false">'Daily KPI Entry'!AM236</f>
        <v>0</v>
      </c>
      <c r="AN235" s="49" t="str">
        <f aca="false">IF(P235="","",MIN(120,P235))</f>
        <v/>
      </c>
      <c r="AO235" s="49" t="str">
        <f aca="false">IF(U235="","",MIN(120,U235))</f>
        <v/>
      </c>
      <c r="AP235" s="49" t="str">
        <f aca="false">IF(R235="","",MIN(120,IFERROR(S235/R235*100,0)))</f>
        <v/>
      </c>
      <c r="AQ235" s="49" t="str">
        <f aca="false">IF(W235="","",MIN(120,IF(W235=0,120,100*(INDEX('Standards &amp; Scoring'!$E$5:$E$13,MATCH("Quality / Rejection",'Standards &amp; Scoring'!$A$5:$A$13,0))/W235))))</f>
        <v/>
      </c>
      <c r="AR235" s="49" t="str">
        <f aca="false">IF(AG235="","",MIN(120,IF(AG235=0,120,100*(INDEX('Standards &amp; Scoring'!$E$5:$E$13,MATCH("Fault Control",'Standards &amp; Scoring'!$A$5:$A$13,0))/AG235))))</f>
        <v/>
      </c>
      <c r="AS235" s="49" t="str">
        <f aca="false">IF(O235="","",MIN(120,IF(SUMIFS('Fault &amp; Downtime Entry'!$L$6:$L$1005,'Fault &amp; Downtime Entry'!$E$6:$E$1005,G235,'Fault &amp; Downtime Entry'!$B$6:$B$1005,B235)=0,120,100*(INDEX('Standards &amp; Scoring'!$E$5:$E$13,MATCH("Downtime Control",'Standards &amp; Scoring'!$A$5:$A$13,0))/IFERROR(SUMIFS('Fault &amp; Downtime Entry'!$L$6:$L$1005,'Fault &amp; Downtime Entry'!$E$6:$E$1005,G235,'Fault &amp; Downtime Entry'!$B$6:$B$1005,B235)/O235*1000,999999)))))</f>
        <v/>
      </c>
      <c r="AT235" s="49" t="n">
        <f aca="false">IF(COUNTA(AH235,AJ235)=0,"",MIN(120,IF(AND(AH235&lt;&gt;"",AJ235&lt;&gt;""),AVERAGE(AH235,AJ235),IF(AH235&lt;&gt;"",AH235,AJ235))))</f>
        <v>0</v>
      </c>
      <c r="AU235" s="49" t="str">
        <f aca="false">IF(AI235="","",MIN(120,AI235))</f>
        <v/>
      </c>
      <c r="AV235" s="49" t="str">
        <f aca="false">IF(AJ235="","",MIN(120,AJ235))</f>
        <v/>
      </c>
      <c r="AW235" s="50" t="str">
        <f aca="false">IF(COUNT(AN235:AV235)&lt;9,"",(AN235*'Standards &amp; Scoring'!$D$5+AO235*'Standards &amp; Scoring'!$D$6+AP235*'Standards &amp; Scoring'!$D$7+AQ235*'Standards &amp; Scoring'!$D$8+AR235*'Standards &amp; Scoring'!$D$9+AS235*'Standards &amp; Scoring'!$D$10+AT235*'Standards &amp; Scoring'!$D$11+AU235*'Standards &amp; Scoring'!$D$12+AV235*'Standards &amp; Scoring'!$D$13)/10000)</f>
        <v/>
      </c>
      <c r="AX235" s="47" t="str">
        <f aca="false">IF(AW235="","",IF(AW235&gt;=1.05,"A+",IF(AW235&gt;=1,"A",IF(AW235&gt;=0.95,"B+",IF(AW235&gt;=0.9,"B","C")))))</f>
        <v/>
      </c>
      <c r="AY235" s="47" t="str">
        <f aca="false">IF(AX235="","",IF(AX235="A+",1800,IF(AX235="A",1600,IF(AX235="B+",1400,IF(AX235="B",1200,0)))))</f>
        <v/>
      </c>
      <c r="AZ235" s="49" t="str">
        <f aca="false">IF(OR(L235="",M235="",S235="",M235=0),"",IFERROR(L235*60*S235/(M235*36),0))</f>
        <v/>
      </c>
    </row>
    <row r="236" customFormat="false" ht="15" hidden="false" customHeight="true" outlineLevel="0" collapsed="false">
      <c r="A236" s="47" t="n">
        <f aca="false">'Daily KPI Entry'!A237</f>
        <v>0</v>
      </c>
      <c r="B236" s="48" t="n">
        <f aca="false">'Daily KPI Entry'!B237</f>
        <v>0</v>
      </c>
      <c r="C236" s="47" t="n">
        <f aca="false">'Daily KPI Entry'!C237</f>
        <v>0</v>
      </c>
      <c r="D236" s="47" t="n">
        <f aca="false">'Daily KPI Entry'!D237</f>
        <v>0</v>
      </c>
      <c r="E236" s="47" t="n">
        <f aca="false">'Daily KPI Entry'!E237</f>
        <v>0</v>
      </c>
      <c r="F236" s="47" t="n">
        <f aca="false">'Daily KPI Entry'!F237</f>
        <v>0</v>
      </c>
      <c r="G236" s="47" t="n">
        <f aca="false">'Daily KPI Entry'!G237</f>
        <v>0</v>
      </c>
      <c r="H236" s="47" t="str">
        <f aca="false">'Daily KPI Entry'!H237</f>
        <v/>
      </c>
      <c r="I236" s="47" t="n">
        <f aca="false">'Daily KPI Entry'!I237</f>
        <v>0</v>
      </c>
      <c r="J236" s="47" t="n">
        <f aca="false">'Daily KPI Entry'!J237</f>
        <v>0</v>
      </c>
      <c r="K236" s="47" t="n">
        <f aca="false">'Daily KPI Entry'!K237</f>
        <v>0</v>
      </c>
      <c r="L236" s="47" t="n">
        <f aca="false">'Daily KPI Entry'!L237</f>
        <v>0</v>
      </c>
      <c r="M236" s="47" t="n">
        <f aca="false">'Daily KPI Entry'!M237</f>
        <v>0</v>
      </c>
      <c r="N236" s="49" t="n">
        <f aca="false">'Daily KPI Entry'!N237</f>
        <v>0</v>
      </c>
      <c r="O236" s="49" t="n">
        <f aca="false">'Daily KPI Entry'!O237</f>
        <v>0</v>
      </c>
      <c r="P236" s="49" t="str">
        <f aca="false">IF(OR(N236="",O236=""),"",IFERROR(O236/N236*100,0))</f>
        <v/>
      </c>
      <c r="Q236" s="47" t="n">
        <f aca="false">'Daily KPI Entry'!Q237</f>
        <v>8</v>
      </c>
      <c r="R236" s="47" t="str">
        <f aca="false">IF(J236="","",Q236*J236)</f>
        <v/>
      </c>
      <c r="S236" s="49" t="n">
        <f aca="false">'Daily KPI Entry'!S237</f>
        <v>0</v>
      </c>
      <c r="T236" s="49" t="str">
        <f aca="false">IF(OR(R236="",S236=""),"",IFERROR(S236/R236*100,0))</f>
        <v/>
      </c>
      <c r="U236" s="49" t="str">
        <f aca="false">IF(OR(O236="",L236="",M236="",S236="",M236=0),"",IFERROR(O236/(L236*60*S236/(M236*36))*100,0))</f>
        <v/>
      </c>
      <c r="V236" s="49" t="n">
        <f aca="false">'Daily KPI Entry'!V237</f>
        <v>0</v>
      </c>
      <c r="W236" s="49" t="str">
        <f aca="false">IF(O236="","",IFERROR(V236/O236*100,0))</f>
        <v/>
      </c>
      <c r="X236" s="49" t="n">
        <f aca="false">'Daily KPI Entry'!X237</f>
        <v>0</v>
      </c>
      <c r="Y236" s="49" t="n">
        <f aca="false">'Daily KPI Entry'!Y237</f>
        <v>0</v>
      </c>
      <c r="Z236" s="49" t="n">
        <f aca="false">'Daily KPI Entry'!Z237</f>
        <v>0</v>
      </c>
      <c r="AA236" s="49" t="n">
        <f aca="false">'Daily KPI Entry'!AA237</f>
        <v>0</v>
      </c>
      <c r="AB236" s="49" t="n">
        <f aca="false">'Daily KPI Entry'!AB237</f>
        <v>0</v>
      </c>
      <c r="AC236" s="49" t="n">
        <f aca="false">'Daily KPI Entry'!AC237</f>
        <v>0</v>
      </c>
      <c r="AD236" s="49" t="n">
        <f aca="false">'Daily KPI Entry'!AD237</f>
        <v>0</v>
      </c>
      <c r="AE236" s="49" t="n">
        <f aca="false">'Daily KPI Entry'!AE237</f>
        <v>0</v>
      </c>
      <c r="AF236" s="47" t="str">
        <f aca="false">IF(O236="","",SUM(X236:AE236))</f>
        <v/>
      </c>
      <c r="AG236" s="49" t="str">
        <f aca="false">IF(O236="","",IFERROR(AF236/O236*1000,0))</f>
        <v/>
      </c>
      <c r="AH236" s="49" t="n">
        <f aca="false">'Daily KPI Entry'!AH237</f>
        <v>0</v>
      </c>
      <c r="AI236" s="49" t="n">
        <f aca="false">'Daily KPI Entry'!AI237</f>
        <v>0</v>
      </c>
      <c r="AJ236" s="49" t="n">
        <f aca="false">'Daily KPI Entry'!AJ237</f>
        <v>0</v>
      </c>
      <c r="AK236" s="47" t="n">
        <f aca="false">'Daily KPI Entry'!AK237</f>
        <v>0</v>
      </c>
      <c r="AL236" s="47" t="n">
        <f aca="false">'Daily KPI Entry'!AL237</f>
        <v>0</v>
      </c>
      <c r="AM236" s="47" t="n">
        <f aca="false">'Daily KPI Entry'!AM237</f>
        <v>0</v>
      </c>
      <c r="AN236" s="49" t="str">
        <f aca="false">IF(P236="","",MIN(120,P236))</f>
        <v/>
      </c>
      <c r="AO236" s="49" t="str">
        <f aca="false">IF(U236="","",MIN(120,U236))</f>
        <v/>
      </c>
      <c r="AP236" s="49" t="str">
        <f aca="false">IF(R236="","",MIN(120,IFERROR(S236/R236*100,0)))</f>
        <v/>
      </c>
      <c r="AQ236" s="49" t="str">
        <f aca="false">IF(W236="","",MIN(120,IF(W236=0,120,100*(INDEX('Standards &amp; Scoring'!$E$5:$E$13,MATCH("Quality / Rejection",'Standards &amp; Scoring'!$A$5:$A$13,0))/W236))))</f>
        <v/>
      </c>
      <c r="AR236" s="49" t="str">
        <f aca="false">IF(AG236="","",MIN(120,IF(AG236=0,120,100*(INDEX('Standards &amp; Scoring'!$E$5:$E$13,MATCH("Fault Control",'Standards &amp; Scoring'!$A$5:$A$13,0))/AG236))))</f>
        <v/>
      </c>
      <c r="AS236" s="49" t="str">
        <f aca="false">IF(O236="","",MIN(120,IF(SUMIFS('Fault &amp; Downtime Entry'!$L$6:$L$1005,'Fault &amp; Downtime Entry'!$E$6:$E$1005,G236,'Fault &amp; Downtime Entry'!$B$6:$B$1005,B236)=0,120,100*(INDEX('Standards &amp; Scoring'!$E$5:$E$13,MATCH("Downtime Control",'Standards &amp; Scoring'!$A$5:$A$13,0))/IFERROR(SUMIFS('Fault &amp; Downtime Entry'!$L$6:$L$1005,'Fault &amp; Downtime Entry'!$E$6:$E$1005,G236,'Fault &amp; Downtime Entry'!$B$6:$B$1005,B236)/O236*1000,999999)))))</f>
        <v/>
      </c>
      <c r="AT236" s="49" t="n">
        <f aca="false">IF(COUNTA(AH236,AJ236)=0,"",MIN(120,IF(AND(AH236&lt;&gt;"",AJ236&lt;&gt;""),AVERAGE(AH236,AJ236),IF(AH236&lt;&gt;"",AH236,AJ236))))</f>
        <v>0</v>
      </c>
      <c r="AU236" s="49" t="str">
        <f aca="false">IF(AI236="","",MIN(120,AI236))</f>
        <v/>
      </c>
      <c r="AV236" s="49" t="str">
        <f aca="false">IF(AJ236="","",MIN(120,AJ236))</f>
        <v/>
      </c>
      <c r="AW236" s="50" t="str">
        <f aca="false">IF(COUNT(AN236:AV236)&lt;9,"",(AN236*'Standards &amp; Scoring'!$D$5+AO236*'Standards &amp; Scoring'!$D$6+AP236*'Standards &amp; Scoring'!$D$7+AQ236*'Standards &amp; Scoring'!$D$8+AR236*'Standards &amp; Scoring'!$D$9+AS236*'Standards &amp; Scoring'!$D$10+AT236*'Standards &amp; Scoring'!$D$11+AU236*'Standards &amp; Scoring'!$D$12+AV236*'Standards &amp; Scoring'!$D$13)/10000)</f>
        <v/>
      </c>
      <c r="AX236" s="47" t="str">
        <f aca="false">IF(AW236="","",IF(AW236&gt;=1.05,"A+",IF(AW236&gt;=1,"A",IF(AW236&gt;=0.95,"B+",IF(AW236&gt;=0.9,"B","C")))))</f>
        <v/>
      </c>
      <c r="AY236" s="47" t="str">
        <f aca="false">IF(AX236="","",IF(AX236="A+",1800,IF(AX236="A",1600,IF(AX236="B+",1400,IF(AX236="B",1200,0)))))</f>
        <v/>
      </c>
      <c r="AZ236" s="49" t="str">
        <f aca="false">IF(OR(L236="",M236="",S236="",M236=0),"",IFERROR(L236*60*S236/(M236*36),0))</f>
        <v/>
      </c>
    </row>
    <row r="237" customFormat="false" ht="15" hidden="false" customHeight="true" outlineLevel="0" collapsed="false">
      <c r="A237" s="47" t="n">
        <f aca="false">'Daily KPI Entry'!A238</f>
        <v>0</v>
      </c>
      <c r="B237" s="48" t="n">
        <f aca="false">'Daily KPI Entry'!B238</f>
        <v>0</v>
      </c>
      <c r="C237" s="47" t="n">
        <f aca="false">'Daily KPI Entry'!C238</f>
        <v>0</v>
      </c>
      <c r="D237" s="47" t="n">
        <f aca="false">'Daily KPI Entry'!D238</f>
        <v>0</v>
      </c>
      <c r="E237" s="47" t="n">
        <f aca="false">'Daily KPI Entry'!E238</f>
        <v>0</v>
      </c>
      <c r="F237" s="47" t="n">
        <f aca="false">'Daily KPI Entry'!F238</f>
        <v>0</v>
      </c>
      <c r="G237" s="47" t="n">
        <f aca="false">'Daily KPI Entry'!G238</f>
        <v>0</v>
      </c>
      <c r="H237" s="47" t="str">
        <f aca="false">'Daily KPI Entry'!H238</f>
        <v/>
      </c>
      <c r="I237" s="47" t="n">
        <f aca="false">'Daily KPI Entry'!I238</f>
        <v>0</v>
      </c>
      <c r="J237" s="47" t="n">
        <f aca="false">'Daily KPI Entry'!J238</f>
        <v>0</v>
      </c>
      <c r="K237" s="47" t="n">
        <f aca="false">'Daily KPI Entry'!K238</f>
        <v>0</v>
      </c>
      <c r="L237" s="47" t="n">
        <f aca="false">'Daily KPI Entry'!L238</f>
        <v>0</v>
      </c>
      <c r="M237" s="47" t="n">
        <f aca="false">'Daily KPI Entry'!M238</f>
        <v>0</v>
      </c>
      <c r="N237" s="49" t="n">
        <f aca="false">'Daily KPI Entry'!N238</f>
        <v>0</v>
      </c>
      <c r="O237" s="49" t="n">
        <f aca="false">'Daily KPI Entry'!O238</f>
        <v>0</v>
      </c>
      <c r="P237" s="49" t="str">
        <f aca="false">IF(OR(N237="",O237=""),"",IFERROR(O237/N237*100,0))</f>
        <v/>
      </c>
      <c r="Q237" s="47" t="n">
        <f aca="false">'Daily KPI Entry'!Q238</f>
        <v>8</v>
      </c>
      <c r="R237" s="47" t="str">
        <f aca="false">IF(J237="","",Q237*J237)</f>
        <v/>
      </c>
      <c r="S237" s="49" t="n">
        <f aca="false">'Daily KPI Entry'!S238</f>
        <v>0</v>
      </c>
      <c r="T237" s="49" t="str">
        <f aca="false">IF(OR(R237="",S237=""),"",IFERROR(S237/R237*100,0))</f>
        <v/>
      </c>
      <c r="U237" s="49" t="str">
        <f aca="false">IF(OR(O237="",L237="",M237="",S237="",M237=0),"",IFERROR(O237/(L237*60*S237/(M237*36))*100,0))</f>
        <v/>
      </c>
      <c r="V237" s="49" t="n">
        <f aca="false">'Daily KPI Entry'!V238</f>
        <v>0</v>
      </c>
      <c r="W237" s="49" t="str">
        <f aca="false">IF(O237="","",IFERROR(V237/O237*100,0))</f>
        <v/>
      </c>
      <c r="X237" s="49" t="n">
        <f aca="false">'Daily KPI Entry'!X238</f>
        <v>0</v>
      </c>
      <c r="Y237" s="49" t="n">
        <f aca="false">'Daily KPI Entry'!Y238</f>
        <v>0</v>
      </c>
      <c r="Z237" s="49" t="n">
        <f aca="false">'Daily KPI Entry'!Z238</f>
        <v>0</v>
      </c>
      <c r="AA237" s="49" t="n">
        <f aca="false">'Daily KPI Entry'!AA238</f>
        <v>0</v>
      </c>
      <c r="AB237" s="49" t="n">
        <f aca="false">'Daily KPI Entry'!AB238</f>
        <v>0</v>
      </c>
      <c r="AC237" s="49" t="n">
        <f aca="false">'Daily KPI Entry'!AC238</f>
        <v>0</v>
      </c>
      <c r="AD237" s="49" t="n">
        <f aca="false">'Daily KPI Entry'!AD238</f>
        <v>0</v>
      </c>
      <c r="AE237" s="49" t="n">
        <f aca="false">'Daily KPI Entry'!AE238</f>
        <v>0</v>
      </c>
      <c r="AF237" s="47" t="str">
        <f aca="false">IF(O237="","",SUM(X237:AE237))</f>
        <v/>
      </c>
      <c r="AG237" s="49" t="str">
        <f aca="false">IF(O237="","",IFERROR(AF237/O237*1000,0))</f>
        <v/>
      </c>
      <c r="AH237" s="49" t="n">
        <f aca="false">'Daily KPI Entry'!AH238</f>
        <v>0</v>
      </c>
      <c r="AI237" s="49" t="n">
        <f aca="false">'Daily KPI Entry'!AI238</f>
        <v>0</v>
      </c>
      <c r="AJ237" s="49" t="n">
        <f aca="false">'Daily KPI Entry'!AJ238</f>
        <v>0</v>
      </c>
      <c r="AK237" s="47" t="n">
        <f aca="false">'Daily KPI Entry'!AK238</f>
        <v>0</v>
      </c>
      <c r="AL237" s="47" t="n">
        <f aca="false">'Daily KPI Entry'!AL238</f>
        <v>0</v>
      </c>
      <c r="AM237" s="47" t="n">
        <f aca="false">'Daily KPI Entry'!AM238</f>
        <v>0</v>
      </c>
      <c r="AN237" s="49" t="str">
        <f aca="false">IF(P237="","",MIN(120,P237))</f>
        <v/>
      </c>
      <c r="AO237" s="49" t="str">
        <f aca="false">IF(U237="","",MIN(120,U237))</f>
        <v/>
      </c>
      <c r="AP237" s="49" t="str">
        <f aca="false">IF(R237="","",MIN(120,IFERROR(S237/R237*100,0)))</f>
        <v/>
      </c>
      <c r="AQ237" s="49" t="str">
        <f aca="false">IF(W237="","",MIN(120,IF(W237=0,120,100*(INDEX('Standards &amp; Scoring'!$E$5:$E$13,MATCH("Quality / Rejection",'Standards &amp; Scoring'!$A$5:$A$13,0))/W237))))</f>
        <v/>
      </c>
      <c r="AR237" s="49" t="str">
        <f aca="false">IF(AG237="","",MIN(120,IF(AG237=0,120,100*(INDEX('Standards &amp; Scoring'!$E$5:$E$13,MATCH("Fault Control",'Standards &amp; Scoring'!$A$5:$A$13,0))/AG237))))</f>
        <v/>
      </c>
      <c r="AS237" s="49" t="str">
        <f aca="false">IF(O237="","",MIN(120,IF(SUMIFS('Fault &amp; Downtime Entry'!$L$6:$L$1005,'Fault &amp; Downtime Entry'!$E$6:$E$1005,G237,'Fault &amp; Downtime Entry'!$B$6:$B$1005,B237)=0,120,100*(INDEX('Standards &amp; Scoring'!$E$5:$E$13,MATCH("Downtime Control",'Standards &amp; Scoring'!$A$5:$A$13,0))/IFERROR(SUMIFS('Fault &amp; Downtime Entry'!$L$6:$L$1005,'Fault &amp; Downtime Entry'!$E$6:$E$1005,G237,'Fault &amp; Downtime Entry'!$B$6:$B$1005,B237)/O237*1000,999999)))))</f>
        <v/>
      </c>
      <c r="AT237" s="49" t="n">
        <f aca="false">IF(COUNTA(AH237,AJ237)=0,"",MIN(120,IF(AND(AH237&lt;&gt;"",AJ237&lt;&gt;""),AVERAGE(AH237,AJ237),IF(AH237&lt;&gt;"",AH237,AJ237))))</f>
        <v>0</v>
      </c>
      <c r="AU237" s="49" t="str">
        <f aca="false">IF(AI237="","",MIN(120,AI237))</f>
        <v/>
      </c>
      <c r="AV237" s="49" t="str">
        <f aca="false">IF(AJ237="","",MIN(120,AJ237))</f>
        <v/>
      </c>
      <c r="AW237" s="50" t="str">
        <f aca="false">IF(COUNT(AN237:AV237)&lt;9,"",(AN237*'Standards &amp; Scoring'!$D$5+AO237*'Standards &amp; Scoring'!$D$6+AP237*'Standards &amp; Scoring'!$D$7+AQ237*'Standards &amp; Scoring'!$D$8+AR237*'Standards &amp; Scoring'!$D$9+AS237*'Standards &amp; Scoring'!$D$10+AT237*'Standards &amp; Scoring'!$D$11+AU237*'Standards &amp; Scoring'!$D$12+AV237*'Standards &amp; Scoring'!$D$13)/10000)</f>
        <v/>
      </c>
      <c r="AX237" s="47" t="str">
        <f aca="false">IF(AW237="","",IF(AW237&gt;=1.05,"A+",IF(AW237&gt;=1,"A",IF(AW237&gt;=0.95,"B+",IF(AW237&gt;=0.9,"B","C")))))</f>
        <v/>
      </c>
      <c r="AY237" s="47" t="str">
        <f aca="false">IF(AX237="","",IF(AX237="A+",1800,IF(AX237="A",1600,IF(AX237="B+",1400,IF(AX237="B",1200,0)))))</f>
        <v/>
      </c>
      <c r="AZ237" s="49" t="str">
        <f aca="false">IF(OR(L237="",M237="",S237="",M237=0),"",IFERROR(L237*60*S237/(M237*36),0))</f>
        <v/>
      </c>
    </row>
    <row r="238" customFormat="false" ht="15" hidden="false" customHeight="true" outlineLevel="0" collapsed="false">
      <c r="A238" s="47" t="n">
        <f aca="false">'Daily KPI Entry'!A239</f>
        <v>0</v>
      </c>
      <c r="B238" s="48" t="n">
        <f aca="false">'Daily KPI Entry'!B239</f>
        <v>0</v>
      </c>
      <c r="C238" s="47" t="n">
        <f aca="false">'Daily KPI Entry'!C239</f>
        <v>0</v>
      </c>
      <c r="D238" s="47" t="n">
        <f aca="false">'Daily KPI Entry'!D239</f>
        <v>0</v>
      </c>
      <c r="E238" s="47" t="n">
        <f aca="false">'Daily KPI Entry'!E239</f>
        <v>0</v>
      </c>
      <c r="F238" s="47" t="n">
        <f aca="false">'Daily KPI Entry'!F239</f>
        <v>0</v>
      </c>
      <c r="G238" s="47" t="n">
        <f aca="false">'Daily KPI Entry'!G239</f>
        <v>0</v>
      </c>
      <c r="H238" s="47" t="str">
        <f aca="false">'Daily KPI Entry'!H239</f>
        <v/>
      </c>
      <c r="I238" s="47" t="n">
        <f aca="false">'Daily KPI Entry'!I239</f>
        <v>0</v>
      </c>
      <c r="J238" s="47" t="n">
        <f aca="false">'Daily KPI Entry'!J239</f>
        <v>0</v>
      </c>
      <c r="K238" s="47" t="n">
        <f aca="false">'Daily KPI Entry'!K239</f>
        <v>0</v>
      </c>
      <c r="L238" s="47" t="n">
        <f aca="false">'Daily KPI Entry'!L239</f>
        <v>0</v>
      </c>
      <c r="M238" s="47" t="n">
        <f aca="false">'Daily KPI Entry'!M239</f>
        <v>0</v>
      </c>
      <c r="N238" s="49" t="n">
        <f aca="false">'Daily KPI Entry'!N239</f>
        <v>0</v>
      </c>
      <c r="O238" s="49" t="n">
        <f aca="false">'Daily KPI Entry'!O239</f>
        <v>0</v>
      </c>
      <c r="P238" s="49" t="str">
        <f aca="false">IF(OR(N238="",O238=""),"",IFERROR(O238/N238*100,0))</f>
        <v/>
      </c>
      <c r="Q238" s="47" t="n">
        <f aca="false">'Daily KPI Entry'!Q239</f>
        <v>8</v>
      </c>
      <c r="R238" s="47" t="str">
        <f aca="false">IF(J238="","",Q238*J238)</f>
        <v/>
      </c>
      <c r="S238" s="49" t="n">
        <f aca="false">'Daily KPI Entry'!S239</f>
        <v>0</v>
      </c>
      <c r="T238" s="49" t="str">
        <f aca="false">IF(OR(R238="",S238=""),"",IFERROR(S238/R238*100,0))</f>
        <v/>
      </c>
      <c r="U238" s="49" t="str">
        <f aca="false">IF(OR(O238="",L238="",M238="",S238="",M238=0),"",IFERROR(O238/(L238*60*S238/(M238*36))*100,0))</f>
        <v/>
      </c>
      <c r="V238" s="49" t="n">
        <f aca="false">'Daily KPI Entry'!V239</f>
        <v>0</v>
      </c>
      <c r="W238" s="49" t="str">
        <f aca="false">IF(O238="","",IFERROR(V238/O238*100,0))</f>
        <v/>
      </c>
      <c r="X238" s="49" t="n">
        <f aca="false">'Daily KPI Entry'!X239</f>
        <v>0</v>
      </c>
      <c r="Y238" s="49" t="n">
        <f aca="false">'Daily KPI Entry'!Y239</f>
        <v>0</v>
      </c>
      <c r="Z238" s="49" t="n">
        <f aca="false">'Daily KPI Entry'!Z239</f>
        <v>0</v>
      </c>
      <c r="AA238" s="49" t="n">
        <f aca="false">'Daily KPI Entry'!AA239</f>
        <v>0</v>
      </c>
      <c r="AB238" s="49" t="n">
        <f aca="false">'Daily KPI Entry'!AB239</f>
        <v>0</v>
      </c>
      <c r="AC238" s="49" t="n">
        <f aca="false">'Daily KPI Entry'!AC239</f>
        <v>0</v>
      </c>
      <c r="AD238" s="49" t="n">
        <f aca="false">'Daily KPI Entry'!AD239</f>
        <v>0</v>
      </c>
      <c r="AE238" s="49" t="n">
        <f aca="false">'Daily KPI Entry'!AE239</f>
        <v>0</v>
      </c>
      <c r="AF238" s="47" t="str">
        <f aca="false">IF(O238="","",SUM(X238:AE238))</f>
        <v/>
      </c>
      <c r="AG238" s="49" t="str">
        <f aca="false">IF(O238="","",IFERROR(AF238/O238*1000,0))</f>
        <v/>
      </c>
      <c r="AH238" s="49" t="n">
        <f aca="false">'Daily KPI Entry'!AH239</f>
        <v>0</v>
      </c>
      <c r="AI238" s="49" t="n">
        <f aca="false">'Daily KPI Entry'!AI239</f>
        <v>0</v>
      </c>
      <c r="AJ238" s="49" t="n">
        <f aca="false">'Daily KPI Entry'!AJ239</f>
        <v>0</v>
      </c>
      <c r="AK238" s="47" t="n">
        <f aca="false">'Daily KPI Entry'!AK239</f>
        <v>0</v>
      </c>
      <c r="AL238" s="47" t="n">
        <f aca="false">'Daily KPI Entry'!AL239</f>
        <v>0</v>
      </c>
      <c r="AM238" s="47" t="n">
        <f aca="false">'Daily KPI Entry'!AM239</f>
        <v>0</v>
      </c>
      <c r="AN238" s="49" t="str">
        <f aca="false">IF(P238="","",MIN(120,P238))</f>
        <v/>
      </c>
      <c r="AO238" s="49" t="str">
        <f aca="false">IF(U238="","",MIN(120,U238))</f>
        <v/>
      </c>
      <c r="AP238" s="49" t="str">
        <f aca="false">IF(R238="","",MIN(120,IFERROR(S238/R238*100,0)))</f>
        <v/>
      </c>
      <c r="AQ238" s="49" t="str">
        <f aca="false">IF(W238="","",MIN(120,IF(W238=0,120,100*(INDEX('Standards &amp; Scoring'!$E$5:$E$13,MATCH("Quality / Rejection",'Standards &amp; Scoring'!$A$5:$A$13,0))/W238))))</f>
        <v/>
      </c>
      <c r="AR238" s="49" t="str">
        <f aca="false">IF(AG238="","",MIN(120,IF(AG238=0,120,100*(INDEX('Standards &amp; Scoring'!$E$5:$E$13,MATCH("Fault Control",'Standards &amp; Scoring'!$A$5:$A$13,0))/AG238))))</f>
        <v/>
      </c>
      <c r="AS238" s="49" t="str">
        <f aca="false">IF(O238="","",MIN(120,IF(SUMIFS('Fault &amp; Downtime Entry'!$L$6:$L$1005,'Fault &amp; Downtime Entry'!$E$6:$E$1005,G238,'Fault &amp; Downtime Entry'!$B$6:$B$1005,B238)=0,120,100*(INDEX('Standards &amp; Scoring'!$E$5:$E$13,MATCH("Downtime Control",'Standards &amp; Scoring'!$A$5:$A$13,0))/IFERROR(SUMIFS('Fault &amp; Downtime Entry'!$L$6:$L$1005,'Fault &amp; Downtime Entry'!$E$6:$E$1005,G238,'Fault &amp; Downtime Entry'!$B$6:$B$1005,B238)/O238*1000,999999)))))</f>
        <v/>
      </c>
      <c r="AT238" s="49" t="n">
        <f aca="false">IF(COUNTA(AH238,AJ238)=0,"",MIN(120,IF(AND(AH238&lt;&gt;"",AJ238&lt;&gt;""),AVERAGE(AH238,AJ238),IF(AH238&lt;&gt;"",AH238,AJ238))))</f>
        <v>0</v>
      </c>
      <c r="AU238" s="49" t="str">
        <f aca="false">IF(AI238="","",MIN(120,AI238))</f>
        <v/>
      </c>
      <c r="AV238" s="49" t="str">
        <f aca="false">IF(AJ238="","",MIN(120,AJ238))</f>
        <v/>
      </c>
      <c r="AW238" s="50" t="str">
        <f aca="false">IF(COUNT(AN238:AV238)&lt;9,"",(AN238*'Standards &amp; Scoring'!$D$5+AO238*'Standards &amp; Scoring'!$D$6+AP238*'Standards &amp; Scoring'!$D$7+AQ238*'Standards &amp; Scoring'!$D$8+AR238*'Standards &amp; Scoring'!$D$9+AS238*'Standards &amp; Scoring'!$D$10+AT238*'Standards &amp; Scoring'!$D$11+AU238*'Standards &amp; Scoring'!$D$12+AV238*'Standards &amp; Scoring'!$D$13)/10000)</f>
        <v/>
      </c>
      <c r="AX238" s="47" t="str">
        <f aca="false">IF(AW238="","",IF(AW238&gt;=1.05,"A+",IF(AW238&gt;=1,"A",IF(AW238&gt;=0.95,"B+",IF(AW238&gt;=0.9,"B","C")))))</f>
        <v/>
      </c>
      <c r="AY238" s="47" t="str">
        <f aca="false">IF(AX238="","",IF(AX238="A+",1800,IF(AX238="A",1600,IF(AX238="B+",1400,IF(AX238="B",1200,0)))))</f>
        <v/>
      </c>
      <c r="AZ238" s="49" t="str">
        <f aca="false">IF(OR(L238="",M238="",S238="",M238=0),"",IFERROR(L238*60*S238/(M238*36),0))</f>
        <v/>
      </c>
    </row>
    <row r="239" customFormat="false" ht="15" hidden="false" customHeight="true" outlineLevel="0" collapsed="false">
      <c r="A239" s="47" t="n">
        <f aca="false">'Daily KPI Entry'!A240</f>
        <v>0</v>
      </c>
      <c r="B239" s="48" t="n">
        <f aca="false">'Daily KPI Entry'!B240</f>
        <v>0</v>
      </c>
      <c r="C239" s="47" t="n">
        <f aca="false">'Daily KPI Entry'!C240</f>
        <v>0</v>
      </c>
      <c r="D239" s="47" t="n">
        <f aca="false">'Daily KPI Entry'!D240</f>
        <v>0</v>
      </c>
      <c r="E239" s="47" t="n">
        <f aca="false">'Daily KPI Entry'!E240</f>
        <v>0</v>
      </c>
      <c r="F239" s="47" t="n">
        <f aca="false">'Daily KPI Entry'!F240</f>
        <v>0</v>
      </c>
      <c r="G239" s="47" t="n">
        <f aca="false">'Daily KPI Entry'!G240</f>
        <v>0</v>
      </c>
      <c r="H239" s="47" t="str">
        <f aca="false">'Daily KPI Entry'!H240</f>
        <v/>
      </c>
      <c r="I239" s="47" t="n">
        <f aca="false">'Daily KPI Entry'!I240</f>
        <v>0</v>
      </c>
      <c r="J239" s="47" t="n">
        <f aca="false">'Daily KPI Entry'!J240</f>
        <v>0</v>
      </c>
      <c r="K239" s="47" t="n">
        <f aca="false">'Daily KPI Entry'!K240</f>
        <v>0</v>
      </c>
      <c r="L239" s="47" t="n">
        <f aca="false">'Daily KPI Entry'!L240</f>
        <v>0</v>
      </c>
      <c r="M239" s="47" t="n">
        <f aca="false">'Daily KPI Entry'!M240</f>
        <v>0</v>
      </c>
      <c r="N239" s="49" t="n">
        <f aca="false">'Daily KPI Entry'!N240</f>
        <v>0</v>
      </c>
      <c r="O239" s="49" t="n">
        <f aca="false">'Daily KPI Entry'!O240</f>
        <v>0</v>
      </c>
      <c r="P239" s="49" t="str">
        <f aca="false">IF(OR(N239="",O239=""),"",IFERROR(O239/N239*100,0))</f>
        <v/>
      </c>
      <c r="Q239" s="47" t="n">
        <f aca="false">'Daily KPI Entry'!Q240</f>
        <v>8</v>
      </c>
      <c r="R239" s="47" t="str">
        <f aca="false">IF(J239="","",Q239*J239)</f>
        <v/>
      </c>
      <c r="S239" s="49" t="n">
        <f aca="false">'Daily KPI Entry'!S240</f>
        <v>0</v>
      </c>
      <c r="T239" s="49" t="str">
        <f aca="false">IF(OR(R239="",S239=""),"",IFERROR(S239/R239*100,0))</f>
        <v/>
      </c>
      <c r="U239" s="49" t="str">
        <f aca="false">IF(OR(O239="",L239="",M239="",S239="",M239=0),"",IFERROR(O239/(L239*60*S239/(M239*36))*100,0))</f>
        <v/>
      </c>
      <c r="V239" s="49" t="n">
        <f aca="false">'Daily KPI Entry'!V240</f>
        <v>0</v>
      </c>
      <c r="W239" s="49" t="str">
        <f aca="false">IF(O239="","",IFERROR(V239/O239*100,0))</f>
        <v/>
      </c>
      <c r="X239" s="49" t="n">
        <f aca="false">'Daily KPI Entry'!X240</f>
        <v>0</v>
      </c>
      <c r="Y239" s="49" t="n">
        <f aca="false">'Daily KPI Entry'!Y240</f>
        <v>0</v>
      </c>
      <c r="Z239" s="49" t="n">
        <f aca="false">'Daily KPI Entry'!Z240</f>
        <v>0</v>
      </c>
      <c r="AA239" s="49" t="n">
        <f aca="false">'Daily KPI Entry'!AA240</f>
        <v>0</v>
      </c>
      <c r="AB239" s="49" t="n">
        <f aca="false">'Daily KPI Entry'!AB240</f>
        <v>0</v>
      </c>
      <c r="AC239" s="49" t="n">
        <f aca="false">'Daily KPI Entry'!AC240</f>
        <v>0</v>
      </c>
      <c r="AD239" s="49" t="n">
        <f aca="false">'Daily KPI Entry'!AD240</f>
        <v>0</v>
      </c>
      <c r="AE239" s="49" t="n">
        <f aca="false">'Daily KPI Entry'!AE240</f>
        <v>0</v>
      </c>
      <c r="AF239" s="47" t="str">
        <f aca="false">IF(O239="","",SUM(X239:AE239))</f>
        <v/>
      </c>
      <c r="AG239" s="49" t="str">
        <f aca="false">IF(O239="","",IFERROR(AF239/O239*1000,0))</f>
        <v/>
      </c>
      <c r="AH239" s="49" t="n">
        <f aca="false">'Daily KPI Entry'!AH240</f>
        <v>0</v>
      </c>
      <c r="AI239" s="49" t="n">
        <f aca="false">'Daily KPI Entry'!AI240</f>
        <v>0</v>
      </c>
      <c r="AJ239" s="49" t="n">
        <f aca="false">'Daily KPI Entry'!AJ240</f>
        <v>0</v>
      </c>
      <c r="AK239" s="47" t="n">
        <f aca="false">'Daily KPI Entry'!AK240</f>
        <v>0</v>
      </c>
      <c r="AL239" s="47" t="n">
        <f aca="false">'Daily KPI Entry'!AL240</f>
        <v>0</v>
      </c>
      <c r="AM239" s="47" t="n">
        <f aca="false">'Daily KPI Entry'!AM240</f>
        <v>0</v>
      </c>
      <c r="AN239" s="49" t="str">
        <f aca="false">IF(P239="","",MIN(120,P239))</f>
        <v/>
      </c>
      <c r="AO239" s="49" t="str">
        <f aca="false">IF(U239="","",MIN(120,U239))</f>
        <v/>
      </c>
      <c r="AP239" s="49" t="str">
        <f aca="false">IF(R239="","",MIN(120,IFERROR(S239/R239*100,0)))</f>
        <v/>
      </c>
      <c r="AQ239" s="49" t="str">
        <f aca="false">IF(W239="","",MIN(120,IF(W239=0,120,100*(INDEX('Standards &amp; Scoring'!$E$5:$E$13,MATCH("Quality / Rejection",'Standards &amp; Scoring'!$A$5:$A$13,0))/W239))))</f>
        <v/>
      </c>
      <c r="AR239" s="49" t="str">
        <f aca="false">IF(AG239="","",MIN(120,IF(AG239=0,120,100*(INDEX('Standards &amp; Scoring'!$E$5:$E$13,MATCH("Fault Control",'Standards &amp; Scoring'!$A$5:$A$13,0))/AG239))))</f>
        <v/>
      </c>
      <c r="AS239" s="49" t="str">
        <f aca="false">IF(O239="","",MIN(120,IF(SUMIFS('Fault &amp; Downtime Entry'!$L$6:$L$1005,'Fault &amp; Downtime Entry'!$E$6:$E$1005,G239,'Fault &amp; Downtime Entry'!$B$6:$B$1005,B239)=0,120,100*(INDEX('Standards &amp; Scoring'!$E$5:$E$13,MATCH("Downtime Control",'Standards &amp; Scoring'!$A$5:$A$13,0))/IFERROR(SUMIFS('Fault &amp; Downtime Entry'!$L$6:$L$1005,'Fault &amp; Downtime Entry'!$E$6:$E$1005,G239,'Fault &amp; Downtime Entry'!$B$6:$B$1005,B239)/O239*1000,999999)))))</f>
        <v/>
      </c>
      <c r="AT239" s="49" t="n">
        <f aca="false">IF(COUNTA(AH239,AJ239)=0,"",MIN(120,IF(AND(AH239&lt;&gt;"",AJ239&lt;&gt;""),AVERAGE(AH239,AJ239),IF(AH239&lt;&gt;"",AH239,AJ239))))</f>
        <v>0</v>
      </c>
      <c r="AU239" s="49" t="str">
        <f aca="false">IF(AI239="","",MIN(120,AI239))</f>
        <v/>
      </c>
      <c r="AV239" s="49" t="str">
        <f aca="false">IF(AJ239="","",MIN(120,AJ239))</f>
        <v/>
      </c>
      <c r="AW239" s="50" t="str">
        <f aca="false">IF(COUNT(AN239:AV239)&lt;9,"",(AN239*'Standards &amp; Scoring'!$D$5+AO239*'Standards &amp; Scoring'!$D$6+AP239*'Standards &amp; Scoring'!$D$7+AQ239*'Standards &amp; Scoring'!$D$8+AR239*'Standards &amp; Scoring'!$D$9+AS239*'Standards &amp; Scoring'!$D$10+AT239*'Standards &amp; Scoring'!$D$11+AU239*'Standards &amp; Scoring'!$D$12+AV239*'Standards &amp; Scoring'!$D$13)/10000)</f>
        <v/>
      </c>
      <c r="AX239" s="47" t="str">
        <f aca="false">IF(AW239="","",IF(AW239&gt;=1.05,"A+",IF(AW239&gt;=1,"A",IF(AW239&gt;=0.95,"B+",IF(AW239&gt;=0.9,"B","C")))))</f>
        <v/>
      </c>
      <c r="AY239" s="47" t="str">
        <f aca="false">IF(AX239="","",IF(AX239="A+",1800,IF(AX239="A",1600,IF(AX239="B+",1400,IF(AX239="B",1200,0)))))</f>
        <v/>
      </c>
      <c r="AZ239" s="49" t="str">
        <f aca="false">IF(OR(L239="",M239="",S239="",M239=0),"",IFERROR(L239*60*S239/(M239*36),0))</f>
        <v/>
      </c>
    </row>
    <row r="240" customFormat="false" ht="15" hidden="false" customHeight="true" outlineLevel="0" collapsed="false">
      <c r="A240" s="47" t="n">
        <f aca="false">'Daily KPI Entry'!A241</f>
        <v>0</v>
      </c>
      <c r="B240" s="48" t="n">
        <f aca="false">'Daily KPI Entry'!B241</f>
        <v>0</v>
      </c>
      <c r="C240" s="47" t="n">
        <f aca="false">'Daily KPI Entry'!C241</f>
        <v>0</v>
      </c>
      <c r="D240" s="47" t="n">
        <f aca="false">'Daily KPI Entry'!D241</f>
        <v>0</v>
      </c>
      <c r="E240" s="47" t="n">
        <f aca="false">'Daily KPI Entry'!E241</f>
        <v>0</v>
      </c>
      <c r="F240" s="47" t="n">
        <f aca="false">'Daily KPI Entry'!F241</f>
        <v>0</v>
      </c>
      <c r="G240" s="47" t="n">
        <f aca="false">'Daily KPI Entry'!G241</f>
        <v>0</v>
      </c>
      <c r="H240" s="47" t="str">
        <f aca="false">'Daily KPI Entry'!H241</f>
        <v/>
      </c>
      <c r="I240" s="47" t="n">
        <f aca="false">'Daily KPI Entry'!I241</f>
        <v>0</v>
      </c>
      <c r="J240" s="47" t="n">
        <f aca="false">'Daily KPI Entry'!J241</f>
        <v>0</v>
      </c>
      <c r="K240" s="47" t="n">
        <f aca="false">'Daily KPI Entry'!K241</f>
        <v>0</v>
      </c>
      <c r="L240" s="47" t="n">
        <f aca="false">'Daily KPI Entry'!L241</f>
        <v>0</v>
      </c>
      <c r="M240" s="47" t="n">
        <f aca="false">'Daily KPI Entry'!M241</f>
        <v>0</v>
      </c>
      <c r="N240" s="49" t="n">
        <f aca="false">'Daily KPI Entry'!N241</f>
        <v>0</v>
      </c>
      <c r="O240" s="49" t="n">
        <f aca="false">'Daily KPI Entry'!O241</f>
        <v>0</v>
      </c>
      <c r="P240" s="49" t="str">
        <f aca="false">IF(OR(N240="",O240=""),"",IFERROR(O240/N240*100,0))</f>
        <v/>
      </c>
      <c r="Q240" s="47" t="n">
        <f aca="false">'Daily KPI Entry'!Q241</f>
        <v>8</v>
      </c>
      <c r="R240" s="47" t="str">
        <f aca="false">IF(J240="","",Q240*J240)</f>
        <v/>
      </c>
      <c r="S240" s="49" t="n">
        <f aca="false">'Daily KPI Entry'!S241</f>
        <v>0</v>
      </c>
      <c r="T240" s="49" t="str">
        <f aca="false">IF(OR(R240="",S240=""),"",IFERROR(S240/R240*100,0))</f>
        <v/>
      </c>
      <c r="U240" s="49" t="str">
        <f aca="false">IF(OR(O240="",L240="",M240="",S240="",M240=0),"",IFERROR(O240/(L240*60*S240/(M240*36))*100,0))</f>
        <v/>
      </c>
      <c r="V240" s="49" t="n">
        <f aca="false">'Daily KPI Entry'!V241</f>
        <v>0</v>
      </c>
      <c r="W240" s="49" t="str">
        <f aca="false">IF(O240="","",IFERROR(V240/O240*100,0))</f>
        <v/>
      </c>
      <c r="X240" s="49" t="n">
        <f aca="false">'Daily KPI Entry'!X241</f>
        <v>0</v>
      </c>
      <c r="Y240" s="49" t="n">
        <f aca="false">'Daily KPI Entry'!Y241</f>
        <v>0</v>
      </c>
      <c r="Z240" s="49" t="n">
        <f aca="false">'Daily KPI Entry'!Z241</f>
        <v>0</v>
      </c>
      <c r="AA240" s="49" t="n">
        <f aca="false">'Daily KPI Entry'!AA241</f>
        <v>0</v>
      </c>
      <c r="AB240" s="49" t="n">
        <f aca="false">'Daily KPI Entry'!AB241</f>
        <v>0</v>
      </c>
      <c r="AC240" s="49" t="n">
        <f aca="false">'Daily KPI Entry'!AC241</f>
        <v>0</v>
      </c>
      <c r="AD240" s="49" t="n">
        <f aca="false">'Daily KPI Entry'!AD241</f>
        <v>0</v>
      </c>
      <c r="AE240" s="49" t="n">
        <f aca="false">'Daily KPI Entry'!AE241</f>
        <v>0</v>
      </c>
      <c r="AF240" s="47" t="str">
        <f aca="false">IF(O240="","",SUM(X240:AE240))</f>
        <v/>
      </c>
      <c r="AG240" s="49" t="str">
        <f aca="false">IF(O240="","",IFERROR(AF240/O240*1000,0))</f>
        <v/>
      </c>
      <c r="AH240" s="49" t="n">
        <f aca="false">'Daily KPI Entry'!AH241</f>
        <v>0</v>
      </c>
      <c r="AI240" s="49" t="n">
        <f aca="false">'Daily KPI Entry'!AI241</f>
        <v>0</v>
      </c>
      <c r="AJ240" s="49" t="n">
        <f aca="false">'Daily KPI Entry'!AJ241</f>
        <v>0</v>
      </c>
      <c r="AK240" s="47" t="n">
        <f aca="false">'Daily KPI Entry'!AK241</f>
        <v>0</v>
      </c>
      <c r="AL240" s="47" t="n">
        <f aca="false">'Daily KPI Entry'!AL241</f>
        <v>0</v>
      </c>
      <c r="AM240" s="47" t="n">
        <f aca="false">'Daily KPI Entry'!AM241</f>
        <v>0</v>
      </c>
      <c r="AN240" s="49" t="str">
        <f aca="false">IF(P240="","",MIN(120,P240))</f>
        <v/>
      </c>
      <c r="AO240" s="49" t="str">
        <f aca="false">IF(U240="","",MIN(120,U240))</f>
        <v/>
      </c>
      <c r="AP240" s="49" t="str">
        <f aca="false">IF(R240="","",MIN(120,IFERROR(S240/R240*100,0)))</f>
        <v/>
      </c>
      <c r="AQ240" s="49" t="str">
        <f aca="false">IF(W240="","",MIN(120,IF(W240=0,120,100*(INDEX('Standards &amp; Scoring'!$E$5:$E$13,MATCH("Quality / Rejection",'Standards &amp; Scoring'!$A$5:$A$13,0))/W240))))</f>
        <v/>
      </c>
      <c r="AR240" s="49" t="str">
        <f aca="false">IF(AG240="","",MIN(120,IF(AG240=0,120,100*(INDEX('Standards &amp; Scoring'!$E$5:$E$13,MATCH("Fault Control",'Standards &amp; Scoring'!$A$5:$A$13,0))/AG240))))</f>
        <v/>
      </c>
      <c r="AS240" s="49" t="str">
        <f aca="false">IF(O240="","",MIN(120,IF(SUMIFS('Fault &amp; Downtime Entry'!$L$6:$L$1005,'Fault &amp; Downtime Entry'!$E$6:$E$1005,G240,'Fault &amp; Downtime Entry'!$B$6:$B$1005,B240)=0,120,100*(INDEX('Standards &amp; Scoring'!$E$5:$E$13,MATCH("Downtime Control",'Standards &amp; Scoring'!$A$5:$A$13,0))/IFERROR(SUMIFS('Fault &amp; Downtime Entry'!$L$6:$L$1005,'Fault &amp; Downtime Entry'!$E$6:$E$1005,G240,'Fault &amp; Downtime Entry'!$B$6:$B$1005,B240)/O240*1000,999999)))))</f>
        <v/>
      </c>
      <c r="AT240" s="49" t="n">
        <f aca="false">IF(COUNTA(AH240,AJ240)=0,"",MIN(120,IF(AND(AH240&lt;&gt;"",AJ240&lt;&gt;""),AVERAGE(AH240,AJ240),IF(AH240&lt;&gt;"",AH240,AJ240))))</f>
        <v>0</v>
      </c>
      <c r="AU240" s="49" t="str">
        <f aca="false">IF(AI240="","",MIN(120,AI240))</f>
        <v/>
      </c>
      <c r="AV240" s="49" t="str">
        <f aca="false">IF(AJ240="","",MIN(120,AJ240))</f>
        <v/>
      </c>
      <c r="AW240" s="50" t="str">
        <f aca="false">IF(COUNT(AN240:AV240)&lt;9,"",(AN240*'Standards &amp; Scoring'!$D$5+AO240*'Standards &amp; Scoring'!$D$6+AP240*'Standards &amp; Scoring'!$D$7+AQ240*'Standards &amp; Scoring'!$D$8+AR240*'Standards &amp; Scoring'!$D$9+AS240*'Standards &amp; Scoring'!$D$10+AT240*'Standards &amp; Scoring'!$D$11+AU240*'Standards &amp; Scoring'!$D$12+AV240*'Standards &amp; Scoring'!$D$13)/10000)</f>
        <v/>
      </c>
      <c r="AX240" s="47" t="str">
        <f aca="false">IF(AW240="","",IF(AW240&gt;=1.05,"A+",IF(AW240&gt;=1,"A",IF(AW240&gt;=0.95,"B+",IF(AW240&gt;=0.9,"B","C")))))</f>
        <v/>
      </c>
      <c r="AY240" s="47" t="str">
        <f aca="false">IF(AX240="","",IF(AX240="A+",1800,IF(AX240="A",1600,IF(AX240="B+",1400,IF(AX240="B",1200,0)))))</f>
        <v/>
      </c>
      <c r="AZ240" s="49" t="str">
        <f aca="false">IF(OR(L240="",M240="",S240="",M240=0),"",IFERROR(L240*60*S240/(M240*36),0))</f>
        <v/>
      </c>
    </row>
    <row r="241" customFormat="false" ht="15" hidden="false" customHeight="true" outlineLevel="0" collapsed="false">
      <c r="A241" s="47" t="n">
        <f aca="false">'Daily KPI Entry'!A242</f>
        <v>0</v>
      </c>
      <c r="B241" s="48" t="n">
        <f aca="false">'Daily KPI Entry'!B242</f>
        <v>0</v>
      </c>
      <c r="C241" s="47" t="n">
        <f aca="false">'Daily KPI Entry'!C242</f>
        <v>0</v>
      </c>
      <c r="D241" s="47" t="n">
        <f aca="false">'Daily KPI Entry'!D242</f>
        <v>0</v>
      </c>
      <c r="E241" s="47" t="n">
        <f aca="false">'Daily KPI Entry'!E242</f>
        <v>0</v>
      </c>
      <c r="F241" s="47" t="n">
        <f aca="false">'Daily KPI Entry'!F242</f>
        <v>0</v>
      </c>
      <c r="G241" s="47" t="n">
        <f aca="false">'Daily KPI Entry'!G242</f>
        <v>0</v>
      </c>
      <c r="H241" s="47" t="str">
        <f aca="false">'Daily KPI Entry'!H242</f>
        <v/>
      </c>
      <c r="I241" s="47" t="n">
        <f aca="false">'Daily KPI Entry'!I242</f>
        <v>0</v>
      </c>
      <c r="J241" s="47" t="n">
        <f aca="false">'Daily KPI Entry'!J242</f>
        <v>0</v>
      </c>
      <c r="K241" s="47" t="n">
        <f aca="false">'Daily KPI Entry'!K242</f>
        <v>0</v>
      </c>
      <c r="L241" s="47" t="n">
        <f aca="false">'Daily KPI Entry'!L242</f>
        <v>0</v>
      </c>
      <c r="M241" s="47" t="n">
        <f aca="false">'Daily KPI Entry'!M242</f>
        <v>0</v>
      </c>
      <c r="N241" s="49" t="n">
        <f aca="false">'Daily KPI Entry'!N242</f>
        <v>0</v>
      </c>
      <c r="O241" s="49" t="n">
        <f aca="false">'Daily KPI Entry'!O242</f>
        <v>0</v>
      </c>
      <c r="P241" s="49" t="str">
        <f aca="false">IF(OR(N241="",O241=""),"",IFERROR(O241/N241*100,0))</f>
        <v/>
      </c>
      <c r="Q241" s="47" t="n">
        <f aca="false">'Daily KPI Entry'!Q242</f>
        <v>8</v>
      </c>
      <c r="R241" s="47" t="str">
        <f aca="false">IF(J241="","",Q241*J241)</f>
        <v/>
      </c>
      <c r="S241" s="49" t="n">
        <f aca="false">'Daily KPI Entry'!S242</f>
        <v>0</v>
      </c>
      <c r="T241" s="49" t="str">
        <f aca="false">IF(OR(R241="",S241=""),"",IFERROR(S241/R241*100,0))</f>
        <v/>
      </c>
      <c r="U241" s="49" t="str">
        <f aca="false">IF(OR(O241="",L241="",M241="",S241="",M241=0),"",IFERROR(O241/(L241*60*S241/(M241*36))*100,0))</f>
        <v/>
      </c>
      <c r="V241" s="49" t="n">
        <f aca="false">'Daily KPI Entry'!V242</f>
        <v>0</v>
      </c>
      <c r="W241" s="49" t="str">
        <f aca="false">IF(O241="","",IFERROR(V241/O241*100,0))</f>
        <v/>
      </c>
      <c r="X241" s="49" t="n">
        <f aca="false">'Daily KPI Entry'!X242</f>
        <v>0</v>
      </c>
      <c r="Y241" s="49" t="n">
        <f aca="false">'Daily KPI Entry'!Y242</f>
        <v>0</v>
      </c>
      <c r="Z241" s="49" t="n">
        <f aca="false">'Daily KPI Entry'!Z242</f>
        <v>0</v>
      </c>
      <c r="AA241" s="49" t="n">
        <f aca="false">'Daily KPI Entry'!AA242</f>
        <v>0</v>
      </c>
      <c r="AB241" s="49" t="n">
        <f aca="false">'Daily KPI Entry'!AB242</f>
        <v>0</v>
      </c>
      <c r="AC241" s="49" t="n">
        <f aca="false">'Daily KPI Entry'!AC242</f>
        <v>0</v>
      </c>
      <c r="AD241" s="49" t="n">
        <f aca="false">'Daily KPI Entry'!AD242</f>
        <v>0</v>
      </c>
      <c r="AE241" s="49" t="n">
        <f aca="false">'Daily KPI Entry'!AE242</f>
        <v>0</v>
      </c>
      <c r="AF241" s="47" t="str">
        <f aca="false">IF(O241="","",SUM(X241:AE241))</f>
        <v/>
      </c>
      <c r="AG241" s="49" t="str">
        <f aca="false">IF(O241="","",IFERROR(AF241/O241*1000,0))</f>
        <v/>
      </c>
      <c r="AH241" s="49" t="n">
        <f aca="false">'Daily KPI Entry'!AH242</f>
        <v>0</v>
      </c>
      <c r="AI241" s="49" t="n">
        <f aca="false">'Daily KPI Entry'!AI242</f>
        <v>0</v>
      </c>
      <c r="AJ241" s="49" t="n">
        <f aca="false">'Daily KPI Entry'!AJ242</f>
        <v>0</v>
      </c>
      <c r="AK241" s="47" t="n">
        <f aca="false">'Daily KPI Entry'!AK242</f>
        <v>0</v>
      </c>
      <c r="AL241" s="47" t="n">
        <f aca="false">'Daily KPI Entry'!AL242</f>
        <v>0</v>
      </c>
      <c r="AM241" s="47" t="n">
        <f aca="false">'Daily KPI Entry'!AM242</f>
        <v>0</v>
      </c>
      <c r="AN241" s="49" t="str">
        <f aca="false">IF(P241="","",MIN(120,P241))</f>
        <v/>
      </c>
      <c r="AO241" s="49" t="str">
        <f aca="false">IF(U241="","",MIN(120,U241))</f>
        <v/>
      </c>
      <c r="AP241" s="49" t="str">
        <f aca="false">IF(R241="","",MIN(120,IFERROR(S241/R241*100,0)))</f>
        <v/>
      </c>
      <c r="AQ241" s="49" t="str">
        <f aca="false">IF(W241="","",MIN(120,IF(W241=0,120,100*(INDEX('Standards &amp; Scoring'!$E$5:$E$13,MATCH("Quality / Rejection",'Standards &amp; Scoring'!$A$5:$A$13,0))/W241))))</f>
        <v/>
      </c>
      <c r="AR241" s="49" t="str">
        <f aca="false">IF(AG241="","",MIN(120,IF(AG241=0,120,100*(INDEX('Standards &amp; Scoring'!$E$5:$E$13,MATCH("Fault Control",'Standards &amp; Scoring'!$A$5:$A$13,0))/AG241))))</f>
        <v/>
      </c>
      <c r="AS241" s="49" t="str">
        <f aca="false">IF(O241="","",MIN(120,IF(SUMIFS('Fault &amp; Downtime Entry'!$L$6:$L$1005,'Fault &amp; Downtime Entry'!$E$6:$E$1005,G241,'Fault &amp; Downtime Entry'!$B$6:$B$1005,B241)=0,120,100*(INDEX('Standards &amp; Scoring'!$E$5:$E$13,MATCH("Downtime Control",'Standards &amp; Scoring'!$A$5:$A$13,0))/IFERROR(SUMIFS('Fault &amp; Downtime Entry'!$L$6:$L$1005,'Fault &amp; Downtime Entry'!$E$6:$E$1005,G241,'Fault &amp; Downtime Entry'!$B$6:$B$1005,B241)/O241*1000,999999)))))</f>
        <v/>
      </c>
      <c r="AT241" s="49" t="n">
        <f aca="false">IF(COUNTA(AH241,AJ241)=0,"",MIN(120,IF(AND(AH241&lt;&gt;"",AJ241&lt;&gt;""),AVERAGE(AH241,AJ241),IF(AH241&lt;&gt;"",AH241,AJ241))))</f>
        <v>0</v>
      </c>
      <c r="AU241" s="49" t="str">
        <f aca="false">IF(AI241="","",MIN(120,AI241))</f>
        <v/>
      </c>
      <c r="AV241" s="49" t="str">
        <f aca="false">IF(AJ241="","",MIN(120,AJ241))</f>
        <v/>
      </c>
      <c r="AW241" s="50" t="str">
        <f aca="false">IF(COUNT(AN241:AV241)&lt;9,"",(AN241*'Standards &amp; Scoring'!$D$5+AO241*'Standards &amp; Scoring'!$D$6+AP241*'Standards &amp; Scoring'!$D$7+AQ241*'Standards &amp; Scoring'!$D$8+AR241*'Standards &amp; Scoring'!$D$9+AS241*'Standards &amp; Scoring'!$D$10+AT241*'Standards &amp; Scoring'!$D$11+AU241*'Standards &amp; Scoring'!$D$12+AV241*'Standards &amp; Scoring'!$D$13)/10000)</f>
        <v/>
      </c>
      <c r="AX241" s="47" t="str">
        <f aca="false">IF(AW241="","",IF(AW241&gt;=1.05,"A+",IF(AW241&gt;=1,"A",IF(AW241&gt;=0.95,"B+",IF(AW241&gt;=0.9,"B","C")))))</f>
        <v/>
      </c>
      <c r="AY241" s="47" t="str">
        <f aca="false">IF(AX241="","",IF(AX241="A+",1800,IF(AX241="A",1600,IF(AX241="B+",1400,IF(AX241="B",1200,0)))))</f>
        <v/>
      </c>
      <c r="AZ241" s="49" t="str">
        <f aca="false">IF(OR(L241="",M241="",S241="",M241=0),"",IFERROR(L241*60*S241/(M241*36),0))</f>
        <v/>
      </c>
    </row>
    <row r="242" customFormat="false" ht="15" hidden="false" customHeight="true" outlineLevel="0" collapsed="false">
      <c r="A242" s="47" t="n">
        <f aca="false">'Daily KPI Entry'!A243</f>
        <v>0</v>
      </c>
      <c r="B242" s="48" t="n">
        <f aca="false">'Daily KPI Entry'!B243</f>
        <v>0</v>
      </c>
      <c r="C242" s="47" t="n">
        <f aca="false">'Daily KPI Entry'!C243</f>
        <v>0</v>
      </c>
      <c r="D242" s="47" t="n">
        <f aca="false">'Daily KPI Entry'!D243</f>
        <v>0</v>
      </c>
      <c r="E242" s="47" t="n">
        <f aca="false">'Daily KPI Entry'!E243</f>
        <v>0</v>
      </c>
      <c r="F242" s="47" t="n">
        <f aca="false">'Daily KPI Entry'!F243</f>
        <v>0</v>
      </c>
      <c r="G242" s="47" t="n">
        <f aca="false">'Daily KPI Entry'!G243</f>
        <v>0</v>
      </c>
      <c r="H242" s="47" t="str">
        <f aca="false">'Daily KPI Entry'!H243</f>
        <v/>
      </c>
      <c r="I242" s="47" t="n">
        <f aca="false">'Daily KPI Entry'!I243</f>
        <v>0</v>
      </c>
      <c r="J242" s="47" t="n">
        <f aca="false">'Daily KPI Entry'!J243</f>
        <v>0</v>
      </c>
      <c r="K242" s="47" t="n">
        <f aca="false">'Daily KPI Entry'!K243</f>
        <v>0</v>
      </c>
      <c r="L242" s="47" t="n">
        <f aca="false">'Daily KPI Entry'!L243</f>
        <v>0</v>
      </c>
      <c r="M242" s="47" t="n">
        <f aca="false">'Daily KPI Entry'!M243</f>
        <v>0</v>
      </c>
      <c r="N242" s="49" t="n">
        <f aca="false">'Daily KPI Entry'!N243</f>
        <v>0</v>
      </c>
      <c r="O242" s="49" t="n">
        <f aca="false">'Daily KPI Entry'!O243</f>
        <v>0</v>
      </c>
      <c r="P242" s="49" t="str">
        <f aca="false">IF(OR(N242="",O242=""),"",IFERROR(O242/N242*100,0))</f>
        <v/>
      </c>
      <c r="Q242" s="47" t="n">
        <f aca="false">'Daily KPI Entry'!Q243</f>
        <v>8</v>
      </c>
      <c r="R242" s="47" t="str">
        <f aca="false">IF(J242="","",Q242*J242)</f>
        <v/>
      </c>
      <c r="S242" s="49" t="n">
        <f aca="false">'Daily KPI Entry'!S243</f>
        <v>0</v>
      </c>
      <c r="T242" s="49" t="str">
        <f aca="false">IF(OR(R242="",S242=""),"",IFERROR(S242/R242*100,0))</f>
        <v/>
      </c>
      <c r="U242" s="49" t="str">
        <f aca="false">IF(OR(O242="",L242="",M242="",S242="",M242=0),"",IFERROR(O242/(L242*60*S242/(M242*36))*100,0))</f>
        <v/>
      </c>
      <c r="V242" s="49" t="n">
        <f aca="false">'Daily KPI Entry'!V243</f>
        <v>0</v>
      </c>
      <c r="W242" s="49" t="str">
        <f aca="false">IF(O242="","",IFERROR(V242/O242*100,0))</f>
        <v/>
      </c>
      <c r="X242" s="49" t="n">
        <f aca="false">'Daily KPI Entry'!X243</f>
        <v>0</v>
      </c>
      <c r="Y242" s="49" t="n">
        <f aca="false">'Daily KPI Entry'!Y243</f>
        <v>0</v>
      </c>
      <c r="Z242" s="49" t="n">
        <f aca="false">'Daily KPI Entry'!Z243</f>
        <v>0</v>
      </c>
      <c r="AA242" s="49" t="n">
        <f aca="false">'Daily KPI Entry'!AA243</f>
        <v>0</v>
      </c>
      <c r="AB242" s="49" t="n">
        <f aca="false">'Daily KPI Entry'!AB243</f>
        <v>0</v>
      </c>
      <c r="AC242" s="49" t="n">
        <f aca="false">'Daily KPI Entry'!AC243</f>
        <v>0</v>
      </c>
      <c r="AD242" s="49" t="n">
        <f aca="false">'Daily KPI Entry'!AD243</f>
        <v>0</v>
      </c>
      <c r="AE242" s="49" t="n">
        <f aca="false">'Daily KPI Entry'!AE243</f>
        <v>0</v>
      </c>
      <c r="AF242" s="47" t="str">
        <f aca="false">IF(O242="","",SUM(X242:AE242))</f>
        <v/>
      </c>
      <c r="AG242" s="49" t="str">
        <f aca="false">IF(O242="","",IFERROR(AF242/O242*1000,0))</f>
        <v/>
      </c>
      <c r="AH242" s="49" t="n">
        <f aca="false">'Daily KPI Entry'!AH243</f>
        <v>0</v>
      </c>
      <c r="AI242" s="49" t="n">
        <f aca="false">'Daily KPI Entry'!AI243</f>
        <v>0</v>
      </c>
      <c r="AJ242" s="49" t="n">
        <f aca="false">'Daily KPI Entry'!AJ243</f>
        <v>0</v>
      </c>
      <c r="AK242" s="47" t="n">
        <f aca="false">'Daily KPI Entry'!AK243</f>
        <v>0</v>
      </c>
      <c r="AL242" s="47" t="n">
        <f aca="false">'Daily KPI Entry'!AL243</f>
        <v>0</v>
      </c>
      <c r="AM242" s="47" t="n">
        <f aca="false">'Daily KPI Entry'!AM243</f>
        <v>0</v>
      </c>
      <c r="AN242" s="49" t="str">
        <f aca="false">IF(P242="","",MIN(120,P242))</f>
        <v/>
      </c>
      <c r="AO242" s="49" t="str">
        <f aca="false">IF(U242="","",MIN(120,U242))</f>
        <v/>
      </c>
      <c r="AP242" s="49" t="str">
        <f aca="false">IF(R242="","",MIN(120,IFERROR(S242/R242*100,0)))</f>
        <v/>
      </c>
      <c r="AQ242" s="49" t="str">
        <f aca="false">IF(W242="","",MIN(120,IF(W242=0,120,100*(INDEX('Standards &amp; Scoring'!$E$5:$E$13,MATCH("Quality / Rejection",'Standards &amp; Scoring'!$A$5:$A$13,0))/W242))))</f>
        <v/>
      </c>
      <c r="AR242" s="49" t="str">
        <f aca="false">IF(AG242="","",MIN(120,IF(AG242=0,120,100*(INDEX('Standards &amp; Scoring'!$E$5:$E$13,MATCH("Fault Control",'Standards &amp; Scoring'!$A$5:$A$13,0))/AG242))))</f>
        <v/>
      </c>
      <c r="AS242" s="49" t="str">
        <f aca="false">IF(O242="","",MIN(120,IF(SUMIFS('Fault &amp; Downtime Entry'!$L$6:$L$1005,'Fault &amp; Downtime Entry'!$E$6:$E$1005,G242,'Fault &amp; Downtime Entry'!$B$6:$B$1005,B242)=0,120,100*(INDEX('Standards &amp; Scoring'!$E$5:$E$13,MATCH("Downtime Control",'Standards &amp; Scoring'!$A$5:$A$13,0))/IFERROR(SUMIFS('Fault &amp; Downtime Entry'!$L$6:$L$1005,'Fault &amp; Downtime Entry'!$E$6:$E$1005,G242,'Fault &amp; Downtime Entry'!$B$6:$B$1005,B242)/O242*1000,999999)))))</f>
        <v/>
      </c>
      <c r="AT242" s="49" t="n">
        <f aca="false">IF(COUNTA(AH242,AJ242)=0,"",MIN(120,IF(AND(AH242&lt;&gt;"",AJ242&lt;&gt;""),AVERAGE(AH242,AJ242),IF(AH242&lt;&gt;"",AH242,AJ242))))</f>
        <v>0</v>
      </c>
      <c r="AU242" s="49" t="str">
        <f aca="false">IF(AI242="","",MIN(120,AI242))</f>
        <v/>
      </c>
      <c r="AV242" s="49" t="str">
        <f aca="false">IF(AJ242="","",MIN(120,AJ242))</f>
        <v/>
      </c>
      <c r="AW242" s="50" t="str">
        <f aca="false">IF(COUNT(AN242:AV242)&lt;9,"",(AN242*'Standards &amp; Scoring'!$D$5+AO242*'Standards &amp; Scoring'!$D$6+AP242*'Standards &amp; Scoring'!$D$7+AQ242*'Standards &amp; Scoring'!$D$8+AR242*'Standards &amp; Scoring'!$D$9+AS242*'Standards &amp; Scoring'!$D$10+AT242*'Standards &amp; Scoring'!$D$11+AU242*'Standards &amp; Scoring'!$D$12+AV242*'Standards &amp; Scoring'!$D$13)/10000)</f>
        <v/>
      </c>
      <c r="AX242" s="47" t="str">
        <f aca="false">IF(AW242="","",IF(AW242&gt;=1.05,"A+",IF(AW242&gt;=1,"A",IF(AW242&gt;=0.95,"B+",IF(AW242&gt;=0.9,"B","C")))))</f>
        <v/>
      </c>
      <c r="AY242" s="47" t="str">
        <f aca="false">IF(AX242="","",IF(AX242="A+",1800,IF(AX242="A",1600,IF(AX242="B+",1400,IF(AX242="B",1200,0)))))</f>
        <v/>
      </c>
      <c r="AZ242" s="49" t="str">
        <f aca="false">IF(OR(L242="",M242="",S242="",M242=0),"",IFERROR(L242*60*S242/(M242*36),0))</f>
        <v/>
      </c>
    </row>
    <row r="243" customFormat="false" ht="15" hidden="false" customHeight="true" outlineLevel="0" collapsed="false">
      <c r="A243" s="47" t="n">
        <f aca="false">'Daily KPI Entry'!A244</f>
        <v>0</v>
      </c>
      <c r="B243" s="48" t="n">
        <f aca="false">'Daily KPI Entry'!B244</f>
        <v>0</v>
      </c>
      <c r="C243" s="47" t="n">
        <f aca="false">'Daily KPI Entry'!C244</f>
        <v>0</v>
      </c>
      <c r="D243" s="47" t="n">
        <f aca="false">'Daily KPI Entry'!D244</f>
        <v>0</v>
      </c>
      <c r="E243" s="47" t="n">
        <f aca="false">'Daily KPI Entry'!E244</f>
        <v>0</v>
      </c>
      <c r="F243" s="47" t="n">
        <f aca="false">'Daily KPI Entry'!F244</f>
        <v>0</v>
      </c>
      <c r="G243" s="47" t="n">
        <f aca="false">'Daily KPI Entry'!G244</f>
        <v>0</v>
      </c>
      <c r="H243" s="47" t="str">
        <f aca="false">'Daily KPI Entry'!H244</f>
        <v/>
      </c>
      <c r="I243" s="47" t="n">
        <f aca="false">'Daily KPI Entry'!I244</f>
        <v>0</v>
      </c>
      <c r="J243" s="47" t="n">
        <f aca="false">'Daily KPI Entry'!J244</f>
        <v>0</v>
      </c>
      <c r="K243" s="47" t="n">
        <f aca="false">'Daily KPI Entry'!K244</f>
        <v>0</v>
      </c>
      <c r="L243" s="47" t="n">
        <f aca="false">'Daily KPI Entry'!L244</f>
        <v>0</v>
      </c>
      <c r="M243" s="47" t="n">
        <f aca="false">'Daily KPI Entry'!M244</f>
        <v>0</v>
      </c>
      <c r="N243" s="49" t="n">
        <f aca="false">'Daily KPI Entry'!N244</f>
        <v>0</v>
      </c>
      <c r="O243" s="49" t="n">
        <f aca="false">'Daily KPI Entry'!O244</f>
        <v>0</v>
      </c>
      <c r="P243" s="49" t="str">
        <f aca="false">IF(OR(N243="",O243=""),"",IFERROR(O243/N243*100,0))</f>
        <v/>
      </c>
      <c r="Q243" s="47" t="n">
        <f aca="false">'Daily KPI Entry'!Q244</f>
        <v>8</v>
      </c>
      <c r="R243" s="47" t="str">
        <f aca="false">IF(J243="","",Q243*J243)</f>
        <v/>
      </c>
      <c r="S243" s="49" t="n">
        <f aca="false">'Daily KPI Entry'!S244</f>
        <v>0</v>
      </c>
      <c r="T243" s="49" t="str">
        <f aca="false">IF(OR(R243="",S243=""),"",IFERROR(S243/R243*100,0))</f>
        <v/>
      </c>
      <c r="U243" s="49" t="str">
        <f aca="false">IF(OR(O243="",L243="",M243="",S243="",M243=0),"",IFERROR(O243/(L243*60*S243/(M243*36))*100,0))</f>
        <v/>
      </c>
      <c r="V243" s="49" t="n">
        <f aca="false">'Daily KPI Entry'!V244</f>
        <v>0</v>
      </c>
      <c r="W243" s="49" t="str">
        <f aca="false">IF(O243="","",IFERROR(V243/O243*100,0))</f>
        <v/>
      </c>
      <c r="X243" s="49" t="n">
        <f aca="false">'Daily KPI Entry'!X244</f>
        <v>0</v>
      </c>
      <c r="Y243" s="49" t="n">
        <f aca="false">'Daily KPI Entry'!Y244</f>
        <v>0</v>
      </c>
      <c r="Z243" s="49" t="n">
        <f aca="false">'Daily KPI Entry'!Z244</f>
        <v>0</v>
      </c>
      <c r="AA243" s="49" t="n">
        <f aca="false">'Daily KPI Entry'!AA244</f>
        <v>0</v>
      </c>
      <c r="AB243" s="49" t="n">
        <f aca="false">'Daily KPI Entry'!AB244</f>
        <v>0</v>
      </c>
      <c r="AC243" s="49" t="n">
        <f aca="false">'Daily KPI Entry'!AC244</f>
        <v>0</v>
      </c>
      <c r="AD243" s="49" t="n">
        <f aca="false">'Daily KPI Entry'!AD244</f>
        <v>0</v>
      </c>
      <c r="AE243" s="49" t="n">
        <f aca="false">'Daily KPI Entry'!AE244</f>
        <v>0</v>
      </c>
      <c r="AF243" s="47" t="str">
        <f aca="false">IF(O243="","",SUM(X243:AE243))</f>
        <v/>
      </c>
      <c r="AG243" s="49" t="str">
        <f aca="false">IF(O243="","",IFERROR(AF243/O243*1000,0))</f>
        <v/>
      </c>
      <c r="AH243" s="49" t="n">
        <f aca="false">'Daily KPI Entry'!AH244</f>
        <v>0</v>
      </c>
      <c r="AI243" s="49" t="n">
        <f aca="false">'Daily KPI Entry'!AI244</f>
        <v>0</v>
      </c>
      <c r="AJ243" s="49" t="n">
        <f aca="false">'Daily KPI Entry'!AJ244</f>
        <v>0</v>
      </c>
      <c r="AK243" s="47" t="n">
        <f aca="false">'Daily KPI Entry'!AK244</f>
        <v>0</v>
      </c>
      <c r="AL243" s="47" t="n">
        <f aca="false">'Daily KPI Entry'!AL244</f>
        <v>0</v>
      </c>
      <c r="AM243" s="47" t="n">
        <f aca="false">'Daily KPI Entry'!AM244</f>
        <v>0</v>
      </c>
      <c r="AN243" s="49" t="str">
        <f aca="false">IF(P243="","",MIN(120,P243))</f>
        <v/>
      </c>
      <c r="AO243" s="49" t="str">
        <f aca="false">IF(U243="","",MIN(120,U243))</f>
        <v/>
      </c>
      <c r="AP243" s="49" t="str">
        <f aca="false">IF(R243="","",MIN(120,IFERROR(S243/R243*100,0)))</f>
        <v/>
      </c>
      <c r="AQ243" s="49" t="str">
        <f aca="false">IF(W243="","",MIN(120,IF(W243=0,120,100*(INDEX('Standards &amp; Scoring'!$E$5:$E$13,MATCH("Quality / Rejection",'Standards &amp; Scoring'!$A$5:$A$13,0))/W243))))</f>
        <v/>
      </c>
      <c r="AR243" s="49" t="str">
        <f aca="false">IF(AG243="","",MIN(120,IF(AG243=0,120,100*(INDEX('Standards &amp; Scoring'!$E$5:$E$13,MATCH("Fault Control",'Standards &amp; Scoring'!$A$5:$A$13,0))/AG243))))</f>
        <v/>
      </c>
      <c r="AS243" s="49" t="str">
        <f aca="false">IF(O243="","",MIN(120,IF(SUMIFS('Fault &amp; Downtime Entry'!$L$6:$L$1005,'Fault &amp; Downtime Entry'!$E$6:$E$1005,G243,'Fault &amp; Downtime Entry'!$B$6:$B$1005,B243)=0,120,100*(INDEX('Standards &amp; Scoring'!$E$5:$E$13,MATCH("Downtime Control",'Standards &amp; Scoring'!$A$5:$A$13,0))/IFERROR(SUMIFS('Fault &amp; Downtime Entry'!$L$6:$L$1005,'Fault &amp; Downtime Entry'!$E$6:$E$1005,G243,'Fault &amp; Downtime Entry'!$B$6:$B$1005,B243)/O243*1000,999999)))))</f>
        <v/>
      </c>
      <c r="AT243" s="49" t="n">
        <f aca="false">IF(COUNTA(AH243,AJ243)=0,"",MIN(120,IF(AND(AH243&lt;&gt;"",AJ243&lt;&gt;""),AVERAGE(AH243,AJ243),IF(AH243&lt;&gt;"",AH243,AJ243))))</f>
        <v>0</v>
      </c>
      <c r="AU243" s="49" t="str">
        <f aca="false">IF(AI243="","",MIN(120,AI243))</f>
        <v/>
      </c>
      <c r="AV243" s="49" t="str">
        <f aca="false">IF(AJ243="","",MIN(120,AJ243))</f>
        <v/>
      </c>
      <c r="AW243" s="50" t="str">
        <f aca="false">IF(COUNT(AN243:AV243)&lt;9,"",(AN243*'Standards &amp; Scoring'!$D$5+AO243*'Standards &amp; Scoring'!$D$6+AP243*'Standards &amp; Scoring'!$D$7+AQ243*'Standards &amp; Scoring'!$D$8+AR243*'Standards &amp; Scoring'!$D$9+AS243*'Standards &amp; Scoring'!$D$10+AT243*'Standards &amp; Scoring'!$D$11+AU243*'Standards &amp; Scoring'!$D$12+AV243*'Standards &amp; Scoring'!$D$13)/10000)</f>
        <v/>
      </c>
      <c r="AX243" s="47" t="str">
        <f aca="false">IF(AW243="","",IF(AW243&gt;=1.05,"A+",IF(AW243&gt;=1,"A",IF(AW243&gt;=0.95,"B+",IF(AW243&gt;=0.9,"B","C")))))</f>
        <v/>
      </c>
      <c r="AY243" s="47" t="str">
        <f aca="false">IF(AX243="","",IF(AX243="A+",1800,IF(AX243="A",1600,IF(AX243="B+",1400,IF(AX243="B",1200,0)))))</f>
        <v/>
      </c>
      <c r="AZ243" s="49" t="str">
        <f aca="false">IF(OR(L243="",M243="",S243="",M243=0),"",IFERROR(L243*60*S243/(M243*36),0))</f>
        <v/>
      </c>
    </row>
    <row r="244" customFormat="false" ht="15" hidden="false" customHeight="true" outlineLevel="0" collapsed="false">
      <c r="A244" s="47" t="n">
        <f aca="false">'Daily KPI Entry'!A245</f>
        <v>0</v>
      </c>
      <c r="B244" s="48" t="n">
        <f aca="false">'Daily KPI Entry'!B245</f>
        <v>0</v>
      </c>
      <c r="C244" s="47" t="n">
        <f aca="false">'Daily KPI Entry'!C245</f>
        <v>0</v>
      </c>
      <c r="D244" s="47" t="n">
        <f aca="false">'Daily KPI Entry'!D245</f>
        <v>0</v>
      </c>
      <c r="E244" s="47" t="n">
        <f aca="false">'Daily KPI Entry'!E245</f>
        <v>0</v>
      </c>
      <c r="F244" s="47" t="n">
        <f aca="false">'Daily KPI Entry'!F245</f>
        <v>0</v>
      </c>
      <c r="G244" s="47" t="n">
        <f aca="false">'Daily KPI Entry'!G245</f>
        <v>0</v>
      </c>
      <c r="H244" s="47" t="str">
        <f aca="false">'Daily KPI Entry'!H245</f>
        <v/>
      </c>
      <c r="I244" s="47" t="n">
        <f aca="false">'Daily KPI Entry'!I245</f>
        <v>0</v>
      </c>
      <c r="J244" s="47" t="n">
        <f aca="false">'Daily KPI Entry'!J245</f>
        <v>0</v>
      </c>
      <c r="K244" s="47" t="n">
        <f aca="false">'Daily KPI Entry'!K245</f>
        <v>0</v>
      </c>
      <c r="L244" s="47" t="n">
        <f aca="false">'Daily KPI Entry'!L245</f>
        <v>0</v>
      </c>
      <c r="M244" s="47" t="n">
        <f aca="false">'Daily KPI Entry'!M245</f>
        <v>0</v>
      </c>
      <c r="N244" s="49" t="n">
        <f aca="false">'Daily KPI Entry'!N245</f>
        <v>0</v>
      </c>
      <c r="O244" s="49" t="n">
        <f aca="false">'Daily KPI Entry'!O245</f>
        <v>0</v>
      </c>
      <c r="P244" s="49" t="str">
        <f aca="false">IF(OR(N244="",O244=""),"",IFERROR(O244/N244*100,0))</f>
        <v/>
      </c>
      <c r="Q244" s="47" t="n">
        <f aca="false">'Daily KPI Entry'!Q245</f>
        <v>8</v>
      </c>
      <c r="R244" s="47" t="str">
        <f aca="false">IF(J244="","",Q244*J244)</f>
        <v/>
      </c>
      <c r="S244" s="49" t="n">
        <f aca="false">'Daily KPI Entry'!S245</f>
        <v>0</v>
      </c>
      <c r="T244" s="49" t="str">
        <f aca="false">IF(OR(R244="",S244=""),"",IFERROR(S244/R244*100,0))</f>
        <v/>
      </c>
      <c r="U244" s="49" t="str">
        <f aca="false">IF(OR(O244="",L244="",M244="",S244="",M244=0),"",IFERROR(O244/(L244*60*S244/(M244*36))*100,0))</f>
        <v/>
      </c>
      <c r="V244" s="49" t="n">
        <f aca="false">'Daily KPI Entry'!V245</f>
        <v>0</v>
      </c>
      <c r="W244" s="49" t="str">
        <f aca="false">IF(O244="","",IFERROR(V244/O244*100,0))</f>
        <v/>
      </c>
      <c r="X244" s="49" t="n">
        <f aca="false">'Daily KPI Entry'!X245</f>
        <v>0</v>
      </c>
      <c r="Y244" s="49" t="n">
        <f aca="false">'Daily KPI Entry'!Y245</f>
        <v>0</v>
      </c>
      <c r="Z244" s="49" t="n">
        <f aca="false">'Daily KPI Entry'!Z245</f>
        <v>0</v>
      </c>
      <c r="AA244" s="49" t="n">
        <f aca="false">'Daily KPI Entry'!AA245</f>
        <v>0</v>
      </c>
      <c r="AB244" s="49" t="n">
        <f aca="false">'Daily KPI Entry'!AB245</f>
        <v>0</v>
      </c>
      <c r="AC244" s="49" t="n">
        <f aca="false">'Daily KPI Entry'!AC245</f>
        <v>0</v>
      </c>
      <c r="AD244" s="49" t="n">
        <f aca="false">'Daily KPI Entry'!AD245</f>
        <v>0</v>
      </c>
      <c r="AE244" s="49" t="n">
        <f aca="false">'Daily KPI Entry'!AE245</f>
        <v>0</v>
      </c>
      <c r="AF244" s="47" t="str">
        <f aca="false">IF(O244="","",SUM(X244:AE244))</f>
        <v/>
      </c>
      <c r="AG244" s="49" t="str">
        <f aca="false">IF(O244="","",IFERROR(AF244/O244*1000,0))</f>
        <v/>
      </c>
      <c r="AH244" s="49" t="n">
        <f aca="false">'Daily KPI Entry'!AH245</f>
        <v>0</v>
      </c>
      <c r="AI244" s="49" t="n">
        <f aca="false">'Daily KPI Entry'!AI245</f>
        <v>0</v>
      </c>
      <c r="AJ244" s="49" t="n">
        <f aca="false">'Daily KPI Entry'!AJ245</f>
        <v>0</v>
      </c>
      <c r="AK244" s="47" t="n">
        <f aca="false">'Daily KPI Entry'!AK245</f>
        <v>0</v>
      </c>
      <c r="AL244" s="47" t="n">
        <f aca="false">'Daily KPI Entry'!AL245</f>
        <v>0</v>
      </c>
      <c r="AM244" s="47" t="n">
        <f aca="false">'Daily KPI Entry'!AM245</f>
        <v>0</v>
      </c>
      <c r="AN244" s="49" t="str">
        <f aca="false">IF(P244="","",MIN(120,P244))</f>
        <v/>
      </c>
      <c r="AO244" s="49" t="str">
        <f aca="false">IF(U244="","",MIN(120,U244))</f>
        <v/>
      </c>
      <c r="AP244" s="49" t="str">
        <f aca="false">IF(R244="","",MIN(120,IFERROR(S244/R244*100,0)))</f>
        <v/>
      </c>
      <c r="AQ244" s="49" t="str">
        <f aca="false">IF(W244="","",MIN(120,IF(W244=0,120,100*(INDEX('Standards &amp; Scoring'!$E$5:$E$13,MATCH("Quality / Rejection",'Standards &amp; Scoring'!$A$5:$A$13,0))/W244))))</f>
        <v/>
      </c>
      <c r="AR244" s="49" t="str">
        <f aca="false">IF(AG244="","",MIN(120,IF(AG244=0,120,100*(INDEX('Standards &amp; Scoring'!$E$5:$E$13,MATCH("Fault Control",'Standards &amp; Scoring'!$A$5:$A$13,0))/AG244))))</f>
        <v/>
      </c>
      <c r="AS244" s="49" t="str">
        <f aca="false">IF(O244="","",MIN(120,IF(SUMIFS('Fault &amp; Downtime Entry'!$L$6:$L$1005,'Fault &amp; Downtime Entry'!$E$6:$E$1005,G244,'Fault &amp; Downtime Entry'!$B$6:$B$1005,B244)=0,120,100*(INDEX('Standards &amp; Scoring'!$E$5:$E$13,MATCH("Downtime Control",'Standards &amp; Scoring'!$A$5:$A$13,0))/IFERROR(SUMIFS('Fault &amp; Downtime Entry'!$L$6:$L$1005,'Fault &amp; Downtime Entry'!$E$6:$E$1005,G244,'Fault &amp; Downtime Entry'!$B$6:$B$1005,B244)/O244*1000,999999)))))</f>
        <v/>
      </c>
      <c r="AT244" s="49" t="n">
        <f aca="false">IF(COUNTA(AH244,AJ244)=0,"",MIN(120,IF(AND(AH244&lt;&gt;"",AJ244&lt;&gt;""),AVERAGE(AH244,AJ244),IF(AH244&lt;&gt;"",AH244,AJ244))))</f>
        <v>0</v>
      </c>
      <c r="AU244" s="49" t="str">
        <f aca="false">IF(AI244="","",MIN(120,AI244))</f>
        <v/>
      </c>
      <c r="AV244" s="49" t="str">
        <f aca="false">IF(AJ244="","",MIN(120,AJ244))</f>
        <v/>
      </c>
      <c r="AW244" s="50" t="str">
        <f aca="false">IF(COUNT(AN244:AV244)&lt;9,"",(AN244*'Standards &amp; Scoring'!$D$5+AO244*'Standards &amp; Scoring'!$D$6+AP244*'Standards &amp; Scoring'!$D$7+AQ244*'Standards &amp; Scoring'!$D$8+AR244*'Standards &amp; Scoring'!$D$9+AS244*'Standards &amp; Scoring'!$D$10+AT244*'Standards &amp; Scoring'!$D$11+AU244*'Standards &amp; Scoring'!$D$12+AV244*'Standards &amp; Scoring'!$D$13)/10000)</f>
        <v/>
      </c>
      <c r="AX244" s="47" t="str">
        <f aca="false">IF(AW244="","",IF(AW244&gt;=1.05,"A+",IF(AW244&gt;=1,"A",IF(AW244&gt;=0.95,"B+",IF(AW244&gt;=0.9,"B","C")))))</f>
        <v/>
      </c>
      <c r="AY244" s="47" t="str">
        <f aca="false">IF(AX244="","",IF(AX244="A+",1800,IF(AX244="A",1600,IF(AX244="B+",1400,IF(AX244="B",1200,0)))))</f>
        <v/>
      </c>
      <c r="AZ244" s="49" t="str">
        <f aca="false">IF(OR(L244="",M244="",S244="",M244=0),"",IFERROR(L244*60*S244/(M244*36),0))</f>
        <v/>
      </c>
    </row>
    <row r="245" customFormat="false" ht="15" hidden="false" customHeight="true" outlineLevel="0" collapsed="false">
      <c r="A245" s="47" t="n">
        <f aca="false">'Daily KPI Entry'!A246</f>
        <v>0</v>
      </c>
      <c r="B245" s="48" t="n">
        <f aca="false">'Daily KPI Entry'!B246</f>
        <v>0</v>
      </c>
      <c r="C245" s="47" t="n">
        <f aca="false">'Daily KPI Entry'!C246</f>
        <v>0</v>
      </c>
      <c r="D245" s="47" t="n">
        <f aca="false">'Daily KPI Entry'!D246</f>
        <v>0</v>
      </c>
      <c r="E245" s="47" t="n">
        <f aca="false">'Daily KPI Entry'!E246</f>
        <v>0</v>
      </c>
      <c r="F245" s="47" t="n">
        <f aca="false">'Daily KPI Entry'!F246</f>
        <v>0</v>
      </c>
      <c r="G245" s="47" t="n">
        <f aca="false">'Daily KPI Entry'!G246</f>
        <v>0</v>
      </c>
      <c r="H245" s="47" t="str">
        <f aca="false">'Daily KPI Entry'!H246</f>
        <v/>
      </c>
      <c r="I245" s="47" t="n">
        <f aca="false">'Daily KPI Entry'!I246</f>
        <v>0</v>
      </c>
      <c r="J245" s="47" t="n">
        <f aca="false">'Daily KPI Entry'!J246</f>
        <v>0</v>
      </c>
      <c r="K245" s="47" t="n">
        <f aca="false">'Daily KPI Entry'!K246</f>
        <v>0</v>
      </c>
      <c r="L245" s="47" t="n">
        <f aca="false">'Daily KPI Entry'!L246</f>
        <v>0</v>
      </c>
      <c r="M245" s="47" t="n">
        <f aca="false">'Daily KPI Entry'!M246</f>
        <v>0</v>
      </c>
      <c r="N245" s="49" t="n">
        <f aca="false">'Daily KPI Entry'!N246</f>
        <v>0</v>
      </c>
      <c r="O245" s="49" t="n">
        <f aca="false">'Daily KPI Entry'!O246</f>
        <v>0</v>
      </c>
      <c r="P245" s="49" t="str">
        <f aca="false">IF(OR(N245="",O245=""),"",IFERROR(O245/N245*100,0))</f>
        <v/>
      </c>
      <c r="Q245" s="47" t="n">
        <f aca="false">'Daily KPI Entry'!Q246</f>
        <v>8</v>
      </c>
      <c r="R245" s="47" t="str">
        <f aca="false">IF(J245="","",Q245*J245)</f>
        <v/>
      </c>
      <c r="S245" s="49" t="n">
        <f aca="false">'Daily KPI Entry'!S246</f>
        <v>0</v>
      </c>
      <c r="T245" s="49" t="str">
        <f aca="false">IF(OR(R245="",S245=""),"",IFERROR(S245/R245*100,0))</f>
        <v/>
      </c>
      <c r="U245" s="49" t="str">
        <f aca="false">IF(OR(O245="",L245="",M245="",S245="",M245=0),"",IFERROR(O245/(L245*60*S245/(M245*36))*100,0))</f>
        <v/>
      </c>
      <c r="V245" s="49" t="n">
        <f aca="false">'Daily KPI Entry'!V246</f>
        <v>0</v>
      </c>
      <c r="W245" s="49" t="str">
        <f aca="false">IF(O245="","",IFERROR(V245/O245*100,0))</f>
        <v/>
      </c>
      <c r="X245" s="49" t="n">
        <f aca="false">'Daily KPI Entry'!X246</f>
        <v>0</v>
      </c>
      <c r="Y245" s="49" t="n">
        <f aca="false">'Daily KPI Entry'!Y246</f>
        <v>0</v>
      </c>
      <c r="Z245" s="49" t="n">
        <f aca="false">'Daily KPI Entry'!Z246</f>
        <v>0</v>
      </c>
      <c r="AA245" s="49" t="n">
        <f aca="false">'Daily KPI Entry'!AA246</f>
        <v>0</v>
      </c>
      <c r="AB245" s="49" t="n">
        <f aca="false">'Daily KPI Entry'!AB246</f>
        <v>0</v>
      </c>
      <c r="AC245" s="49" t="n">
        <f aca="false">'Daily KPI Entry'!AC246</f>
        <v>0</v>
      </c>
      <c r="AD245" s="49" t="n">
        <f aca="false">'Daily KPI Entry'!AD246</f>
        <v>0</v>
      </c>
      <c r="AE245" s="49" t="n">
        <f aca="false">'Daily KPI Entry'!AE246</f>
        <v>0</v>
      </c>
      <c r="AF245" s="47" t="str">
        <f aca="false">IF(O245="","",SUM(X245:AE245))</f>
        <v/>
      </c>
      <c r="AG245" s="49" t="str">
        <f aca="false">IF(O245="","",IFERROR(AF245/O245*1000,0))</f>
        <v/>
      </c>
      <c r="AH245" s="49" t="n">
        <f aca="false">'Daily KPI Entry'!AH246</f>
        <v>0</v>
      </c>
      <c r="AI245" s="49" t="n">
        <f aca="false">'Daily KPI Entry'!AI246</f>
        <v>0</v>
      </c>
      <c r="AJ245" s="49" t="n">
        <f aca="false">'Daily KPI Entry'!AJ246</f>
        <v>0</v>
      </c>
      <c r="AK245" s="47" t="n">
        <f aca="false">'Daily KPI Entry'!AK246</f>
        <v>0</v>
      </c>
      <c r="AL245" s="47" t="n">
        <f aca="false">'Daily KPI Entry'!AL246</f>
        <v>0</v>
      </c>
      <c r="AM245" s="47" t="n">
        <f aca="false">'Daily KPI Entry'!AM246</f>
        <v>0</v>
      </c>
      <c r="AN245" s="49" t="str">
        <f aca="false">IF(P245="","",MIN(120,P245))</f>
        <v/>
      </c>
      <c r="AO245" s="49" t="str">
        <f aca="false">IF(U245="","",MIN(120,U245))</f>
        <v/>
      </c>
      <c r="AP245" s="49" t="str">
        <f aca="false">IF(R245="","",MIN(120,IFERROR(S245/R245*100,0)))</f>
        <v/>
      </c>
      <c r="AQ245" s="49" t="str">
        <f aca="false">IF(W245="","",MIN(120,IF(W245=0,120,100*(INDEX('Standards &amp; Scoring'!$E$5:$E$13,MATCH("Quality / Rejection",'Standards &amp; Scoring'!$A$5:$A$13,0))/W245))))</f>
        <v/>
      </c>
      <c r="AR245" s="49" t="str">
        <f aca="false">IF(AG245="","",MIN(120,IF(AG245=0,120,100*(INDEX('Standards &amp; Scoring'!$E$5:$E$13,MATCH("Fault Control",'Standards &amp; Scoring'!$A$5:$A$13,0))/AG245))))</f>
        <v/>
      </c>
      <c r="AS245" s="49" t="str">
        <f aca="false">IF(O245="","",MIN(120,IF(SUMIFS('Fault &amp; Downtime Entry'!$L$6:$L$1005,'Fault &amp; Downtime Entry'!$E$6:$E$1005,G245,'Fault &amp; Downtime Entry'!$B$6:$B$1005,B245)=0,120,100*(INDEX('Standards &amp; Scoring'!$E$5:$E$13,MATCH("Downtime Control",'Standards &amp; Scoring'!$A$5:$A$13,0))/IFERROR(SUMIFS('Fault &amp; Downtime Entry'!$L$6:$L$1005,'Fault &amp; Downtime Entry'!$E$6:$E$1005,G245,'Fault &amp; Downtime Entry'!$B$6:$B$1005,B245)/O245*1000,999999)))))</f>
        <v/>
      </c>
      <c r="AT245" s="49" t="n">
        <f aca="false">IF(COUNTA(AH245,AJ245)=0,"",MIN(120,IF(AND(AH245&lt;&gt;"",AJ245&lt;&gt;""),AVERAGE(AH245,AJ245),IF(AH245&lt;&gt;"",AH245,AJ245))))</f>
        <v>0</v>
      </c>
      <c r="AU245" s="49" t="str">
        <f aca="false">IF(AI245="","",MIN(120,AI245))</f>
        <v/>
      </c>
      <c r="AV245" s="49" t="str">
        <f aca="false">IF(AJ245="","",MIN(120,AJ245))</f>
        <v/>
      </c>
      <c r="AW245" s="50" t="str">
        <f aca="false">IF(COUNT(AN245:AV245)&lt;9,"",(AN245*'Standards &amp; Scoring'!$D$5+AO245*'Standards &amp; Scoring'!$D$6+AP245*'Standards &amp; Scoring'!$D$7+AQ245*'Standards &amp; Scoring'!$D$8+AR245*'Standards &amp; Scoring'!$D$9+AS245*'Standards &amp; Scoring'!$D$10+AT245*'Standards &amp; Scoring'!$D$11+AU245*'Standards &amp; Scoring'!$D$12+AV245*'Standards &amp; Scoring'!$D$13)/10000)</f>
        <v/>
      </c>
      <c r="AX245" s="47" t="str">
        <f aca="false">IF(AW245="","",IF(AW245&gt;=1.05,"A+",IF(AW245&gt;=1,"A",IF(AW245&gt;=0.95,"B+",IF(AW245&gt;=0.9,"B","C")))))</f>
        <v/>
      </c>
      <c r="AY245" s="47" t="str">
        <f aca="false">IF(AX245="","",IF(AX245="A+",1800,IF(AX245="A",1600,IF(AX245="B+",1400,IF(AX245="B",1200,0)))))</f>
        <v/>
      </c>
      <c r="AZ245" s="49" t="str">
        <f aca="false">IF(OR(L245="",M245="",S245="",M245=0),"",IFERROR(L245*60*S245/(M245*36),0))</f>
        <v/>
      </c>
    </row>
    <row r="246" customFormat="false" ht="15" hidden="false" customHeight="true" outlineLevel="0" collapsed="false">
      <c r="A246" s="47" t="n">
        <f aca="false">'Daily KPI Entry'!A247</f>
        <v>0</v>
      </c>
      <c r="B246" s="48" t="n">
        <f aca="false">'Daily KPI Entry'!B247</f>
        <v>0</v>
      </c>
      <c r="C246" s="47" t="n">
        <f aca="false">'Daily KPI Entry'!C247</f>
        <v>0</v>
      </c>
      <c r="D246" s="47" t="n">
        <f aca="false">'Daily KPI Entry'!D247</f>
        <v>0</v>
      </c>
      <c r="E246" s="47" t="n">
        <f aca="false">'Daily KPI Entry'!E247</f>
        <v>0</v>
      </c>
      <c r="F246" s="47" t="n">
        <f aca="false">'Daily KPI Entry'!F247</f>
        <v>0</v>
      </c>
      <c r="G246" s="47" t="n">
        <f aca="false">'Daily KPI Entry'!G247</f>
        <v>0</v>
      </c>
      <c r="H246" s="47" t="str">
        <f aca="false">'Daily KPI Entry'!H247</f>
        <v/>
      </c>
      <c r="I246" s="47" t="n">
        <f aca="false">'Daily KPI Entry'!I247</f>
        <v>0</v>
      </c>
      <c r="J246" s="47" t="n">
        <f aca="false">'Daily KPI Entry'!J247</f>
        <v>0</v>
      </c>
      <c r="K246" s="47" t="n">
        <f aca="false">'Daily KPI Entry'!K247</f>
        <v>0</v>
      </c>
      <c r="L246" s="47" t="n">
        <f aca="false">'Daily KPI Entry'!L247</f>
        <v>0</v>
      </c>
      <c r="M246" s="47" t="n">
        <f aca="false">'Daily KPI Entry'!M247</f>
        <v>0</v>
      </c>
      <c r="N246" s="49" t="n">
        <f aca="false">'Daily KPI Entry'!N247</f>
        <v>0</v>
      </c>
      <c r="O246" s="49" t="n">
        <f aca="false">'Daily KPI Entry'!O247</f>
        <v>0</v>
      </c>
      <c r="P246" s="49" t="str">
        <f aca="false">IF(OR(N246="",O246=""),"",IFERROR(O246/N246*100,0))</f>
        <v/>
      </c>
      <c r="Q246" s="47" t="n">
        <f aca="false">'Daily KPI Entry'!Q247</f>
        <v>8</v>
      </c>
      <c r="R246" s="47" t="str">
        <f aca="false">IF(J246="","",Q246*J246)</f>
        <v/>
      </c>
      <c r="S246" s="49" t="n">
        <f aca="false">'Daily KPI Entry'!S247</f>
        <v>0</v>
      </c>
      <c r="T246" s="49" t="str">
        <f aca="false">IF(OR(R246="",S246=""),"",IFERROR(S246/R246*100,0))</f>
        <v/>
      </c>
      <c r="U246" s="49" t="str">
        <f aca="false">IF(OR(O246="",L246="",M246="",S246="",M246=0),"",IFERROR(O246/(L246*60*S246/(M246*36))*100,0))</f>
        <v/>
      </c>
      <c r="V246" s="49" t="n">
        <f aca="false">'Daily KPI Entry'!V247</f>
        <v>0</v>
      </c>
      <c r="W246" s="49" t="str">
        <f aca="false">IF(O246="","",IFERROR(V246/O246*100,0))</f>
        <v/>
      </c>
      <c r="X246" s="49" t="n">
        <f aca="false">'Daily KPI Entry'!X247</f>
        <v>0</v>
      </c>
      <c r="Y246" s="49" t="n">
        <f aca="false">'Daily KPI Entry'!Y247</f>
        <v>0</v>
      </c>
      <c r="Z246" s="49" t="n">
        <f aca="false">'Daily KPI Entry'!Z247</f>
        <v>0</v>
      </c>
      <c r="AA246" s="49" t="n">
        <f aca="false">'Daily KPI Entry'!AA247</f>
        <v>0</v>
      </c>
      <c r="AB246" s="49" t="n">
        <f aca="false">'Daily KPI Entry'!AB247</f>
        <v>0</v>
      </c>
      <c r="AC246" s="49" t="n">
        <f aca="false">'Daily KPI Entry'!AC247</f>
        <v>0</v>
      </c>
      <c r="AD246" s="49" t="n">
        <f aca="false">'Daily KPI Entry'!AD247</f>
        <v>0</v>
      </c>
      <c r="AE246" s="49" t="n">
        <f aca="false">'Daily KPI Entry'!AE247</f>
        <v>0</v>
      </c>
      <c r="AF246" s="47" t="str">
        <f aca="false">IF(O246="","",SUM(X246:AE246))</f>
        <v/>
      </c>
      <c r="AG246" s="49" t="str">
        <f aca="false">IF(O246="","",IFERROR(AF246/O246*1000,0))</f>
        <v/>
      </c>
      <c r="AH246" s="49" t="n">
        <f aca="false">'Daily KPI Entry'!AH247</f>
        <v>0</v>
      </c>
      <c r="AI246" s="49" t="n">
        <f aca="false">'Daily KPI Entry'!AI247</f>
        <v>0</v>
      </c>
      <c r="AJ246" s="49" t="n">
        <f aca="false">'Daily KPI Entry'!AJ247</f>
        <v>0</v>
      </c>
      <c r="AK246" s="47" t="n">
        <f aca="false">'Daily KPI Entry'!AK247</f>
        <v>0</v>
      </c>
      <c r="AL246" s="47" t="n">
        <f aca="false">'Daily KPI Entry'!AL247</f>
        <v>0</v>
      </c>
      <c r="AM246" s="47" t="n">
        <f aca="false">'Daily KPI Entry'!AM247</f>
        <v>0</v>
      </c>
      <c r="AN246" s="49" t="str">
        <f aca="false">IF(P246="","",MIN(120,P246))</f>
        <v/>
      </c>
      <c r="AO246" s="49" t="str">
        <f aca="false">IF(U246="","",MIN(120,U246))</f>
        <v/>
      </c>
      <c r="AP246" s="49" t="str">
        <f aca="false">IF(R246="","",MIN(120,IFERROR(S246/R246*100,0)))</f>
        <v/>
      </c>
      <c r="AQ246" s="49" t="str">
        <f aca="false">IF(W246="","",MIN(120,IF(W246=0,120,100*(INDEX('Standards &amp; Scoring'!$E$5:$E$13,MATCH("Quality / Rejection",'Standards &amp; Scoring'!$A$5:$A$13,0))/W246))))</f>
        <v/>
      </c>
      <c r="AR246" s="49" t="str">
        <f aca="false">IF(AG246="","",MIN(120,IF(AG246=0,120,100*(INDEX('Standards &amp; Scoring'!$E$5:$E$13,MATCH("Fault Control",'Standards &amp; Scoring'!$A$5:$A$13,0))/AG246))))</f>
        <v/>
      </c>
      <c r="AS246" s="49" t="str">
        <f aca="false">IF(O246="","",MIN(120,IF(SUMIFS('Fault &amp; Downtime Entry'!$L$6:$L$1005,'Fault &amp; Downtime Entry'!$E$6:$E$1005,G246,'Fault &amp; Downtime Entry'!$B$6:$B$1005,B246)=0,120,100*(INDEX('Standards &amp; Scoring'!$E$5:$E$13,MATCH("Downtime Control",'Standards &amp; Scoring'!$A$5:$A$13,0))/IFERROR(SUMIFS('Fault &amp; Downtime Entry'!$L$6:$L$1005,'Fault &amp; Downtime Entry'!$E$6:$E$1005,G246,'Fault &amp; Downtime Entry'!$B$6:$B$1005,B246)/O246*1000,999999)))))</f>
        <v/>
      </c>
      <c r="AT246" s="49" t="n">
        <f aca="false">IF(COUNTA(AH246,AJ246)=0,"",MIN(120,IF(AND(AH246&lt;&gt;"",AJ246&lt;&gt;""),AVERAGE(AH246,AJ246),IF(AH246&lt;&gt;"",AH246,AJ246))))</f>
        <v>0</v>
      </c>
      <c r="AU246" s="49" t="str">
        <f aca="false">IF(AI246="","",MIN(120,AI246))</f>
        <v/>
      </c>
      <c r="AV246" s="49" t="str">
        <f aca="false">IF(AJ246="","",MIN(120,AJ246))</f>
        <v/>
      </c>
      <c r="AW246" s="50" t="str">
        <f aca="false">IF(COUNT(AN246:AV246)&lt;9,"",(AN246*'Standards &amp; Scoring'!$D$5+AO246*'Standards &amp; Scoring'!$D$6+AP246*'Standards &amp; Scoring'!$D$7+AQ246*'Standards &amp; Scoring'!$D$8+AR246*'Standards &amp; Scoring'!$D$9+AS246*'Standards &amp; Scoring'!$D$10+AT246*'Standards &amp; Scoring'!$D$11+AU246*'Standards &amp; Scoring'!$D$12+AV246*'Standards &amp; Scoring'!$D$13)/10000)</f>
        <v/>
      </c>
      <c r="AX246" s="47" t="str">
        <f aca="false">IF(AW246="","",IF(AW246&gt;=1.05,"A+",IF(AW246&gt;=1,"A",IF(AW246&gt;=0.95,"B+",IF(AW246&gt;=0.9,"B","C")))))</f>
        <v/>
      </c>
      <c r="AY246" s="47" t="str">
        <f aca="false">IF(AX246="","",IF(AX246="A+",1800,IF(AX246="A",1600,IF(AX246="B+",1400,IF(AX246="B",1200,0)))))</f>
        <v/>
      </c>
      <c r="AZ246" s="49" t="str">
        <f aca="false">IF(OR(L246="",M246="",S246="",M246=0),"",IFERROR(L246*60*S246/(M246*36),0))</f>
        <v/>
      </c>
    </row>
    <row r="247" customFormat="false" ht="15" hidden="false" customHeight="true" outlineLevel="0" collapsed="false">
      <c r="A247" s="47" t="n">
        <f aca="false">'Daily KPI Entry'!A248</f>
        <v>0</v>
      </c>
      <c r="B247" s="48" t="n">
        <f aca="false">'Daily KPI Entry'!B248</f>
        <v>0</v>
      </c>
      <c r="C247" s="47" t="n">
        <f aca="false">'Daily KPI Entry'!C248</f>
        <v>0</v>
      </c>
      <c r="D247" s="47" t="n">
        <f aca="false">'Daily KPI Entry'!D248</f>
        <v>0</v>
      </c>
      <c r="E247" s="47" t="n">
        <f aca="false">'Daily KPI Entry'!E248</f>
        <v>0</v>
      </c>
      <c r="F247" s="47" t="n">
        <f aca="false">'Daily KPI Entry'!F248</f>
        <v>0</v>
      </c>
      <c r="G247" s="47" t="n">
        <f aca="false">'Daily KPI Entry'!G248</f>
        <v>0</v>
      </c>
      <c r="H247" s="47" t="str">
        <f aca="false">'Daily KPI Entry'!H248</f>
        <v/>
      </c>
      <c r="I247" s="47" t="n">
        <f aca="false">'Daily KPI Entry'!I248</f>
        <v>0</v>
      </c>
      <c r="J247" s="47" t="n">
        <f aca="false">'Daily KPI Entry'!J248</f>
        <v>0</v>
      </c>
      <c r="K247" s="47" t="n">
        <f aca="false">'Daily KPI Entry'!K248</f>
        <v>0</v>
      </c>
      <c r="L247" s="47" t="n">
        <f aca="false">'Daily KPI Entry'!L248</f>
        <v>0</v>
      </c>
      <c r="M247" s="47" t="n">
        <f aca="false">'Daily KPI Entry'!M248</f>
        <v>0</v>
      </c>
      <c r="N247" s="49" t="n">
        <f aca="false">'Daily KPI Entry'!N248</f>
        <v>0</v>
      </c>
      <c r="O247" s="49" t="n">
        <f aca="false">'Daily KPI Entry'!O248</f>
        <v>0</v>
      </c>
      <c r="P247" s="49" t="str">
        <f aca="false">IF(OR(N247="",O247=""),"",IFERROR(O247/N247*100,0))</f>
        <v/>
      </c>
      <c r="Q247" s="47" t="n">
        <f aca="false">'Daily KPI Entry'!Q248</f>
        <v>8</v>
      </c>
      <c r="R247" s="47" t="str">
        <f aca="false">IF(J247="","",Q247*J247)</f>
        <v/>
      </c>
      <c r="S247" s="49" t="n">
        <f aca="false">'Daily KPI Entry'!S248</f>
        <v>0</v>
      </c>
      <c r="T247" s="49" t="str">
        <f aca="false">IF(OR(R247="",S247=""),"",IFERROR(S247/R247*100,0))</f>
        <v/>
      </c>
      <c r="U247" s="49" t="str">
        <f aca="false">IF(OR(O247="",L247="",M247="",S247="",M247=0),"",IFERROR(O247/(L247*60*S247/(M247*36))*100,0))</f>
        <v/>
      </c>
      <c r="V247" s="49" t="n">
        <f aca="false">'Daily KPI Entry'!V248</f>
        <v>0</v>
      </c>
      <c r="W247" s="49" t="str">
        <f aca="false">IF(O247="","",IFERROR(V247/O247*100,0))</f>
        <v/>
      </c>
      <c r="X247" s="49" t="n">
        <f aca="false">'Daily KPI Entry'!X248</f>
        <v>0</v>
      </c>
      <c r="Y247" s="49" t="n">
        <f aca="false">'Daily KPI Entry'!Y248</f>
        <v>0</v>
      </c>
      <c r="Z247" s="49" t="n">
        <f aca="false">'Daily KPI Entry'!Z248</f>
        <v>0</v>
      </c>
      <c r="AA247" s="49" t="n">
        <f aca="false">'Daily KPI Entry'!AA248</f>
        <v>0</v>
      </c>
      <c r="AB247" s="49" t="n">
        <f aca="false">'Daily KPI Entry'!AB248</f>
        <v>0</v>
      </c>
      <c r="AC247" s="49" t="n">
        <f aca="false">'Daily KPI Entry'!AC248</f>
        <v>0</v>
      </c>
      <c r="AD247" s="49" t="n">
        <f aca="false">'Daily KPI Entry'!AD248</f>
        <v>0</v>
      </c>
      <c r="AE247" s="49" t="n">
        <f aca="false">'Daily KPI Entry'!AE248</f>
        <v>0</v>
      </c>
      <c r="AF247" s="47" t="str">
        <f aca="false">IF(O247="","",SUM(X247:AE247))</f>
        <v/>
      </c>
      <c r="AG247" s="49" t="str">
        <f aca="false">IF(O247="","",IFERROR(AF247/O247*1000,0))</f>
        <v/>
      </c>
      <c r="AH247" s="49" t="n">
        <f aca="false">'Daily KPI Entry'!AH248</f>
        <v>0</v>
      </c>
      <c r="AI247" s="49" t="n">
        <f aca="false">'Daily KPI Entry'!AI248</f>
        <v>0</v>
      </c>
      <c r="AJ247" s="49" t="n">
        <f aca="false">'Daily KPI Entry'!AJ248</f>
        <v>0</v>
      </c>
      <c r="AK247" s="47" t="n">
        <f aca="false">'Daily KPI Entry'!AK248</f>
        <v>0</v>
      </c>
      <c r="AL247" s="47" t="n">
        <f aca="false">'Daily KPI Entry'!AL248</f>
        <v>0</v>
      </c>
      <c r="AM247" s="47" t="n">
        <f aca="false">'Daily KPI Entry'!AM248</f>
        <v>0</v>
      </c>
      <c r="AN247" s="49" t="str">
        <f aca="false">IF(P247="","",MIN(120,P247))</f>
        <v/>
      </c>
      <c r="AO247" s="49" t="str">
        <f aca="false">IF(U247="","",MIN(120,U247))</f>
        <v/>
      </c>
      <c r="AP247" s="49" t="str">
        <f aca="false">IF(R247="","",MIN(120,IFERROR(S247/R247*100,0)))</f>
        <v/>
      </c>
      <c r="AQ247" s="49" t="str">
        <f aca="false">IF(W247="","",MIN(120,IF(W247=0,120,100*(INDEX('Standards &amp; Scoring'!$E$5:$E$13,MATCH("Quality / Rejection",'Standards &amp; Scoring'!$A$5:$A$13,0))/W247))))</f>
        <v/>
      </c>
      <c r="AR247" s="49" t="str">
        <f aca="false">IF(AG247="","",MIN(120,IF(AG247=0,120,100*(INDEX('Standards &amp; Scoring'!$E$5:$E$13,MATCH("Fault Control",'Standards &amp; Scoring'!$A$5:$A$13,0))/AG247))))</f>
        <v/>
      </c>
      <c r="AS247" s="49" t="str">
        <f aca="false">IF(O247="","",MIN(120,IF(SUMIFS('Fault &amp; Downtime Entry'!$L$6:$L$1005,'Fault &amp; Downtime Entry'!$E$6:$E$1005,G247,'Fault &amp; Downtime Entry'!$B$6:$B$1005,B247)=0,120,100*(INDEX('Standards &amp; Scoring'!$E$5:$E$13,MATCH("Downtime Control",'Standards &amp; Scoring'!$A$5:$A$13,0))/IFERROR(SUMIFS('Fault &amp; Downtime Entry'!$L$6:$L$1005,'Fault &amp; Downtime Entry'!$E$6:$E$1005,G247,'Fault &amp; Downtime Entry'!$B$6:$B$1005,B247)/O247*1000,999999)))))</f>
        <v/>
      </c>
      <c r="AT247" s="49" t="n">
        <f aca="false">IF(COUNTA(AH247,AJ247)=0,"",MIN(120,IF(AND(AH247&lt;&gt;"",AJ247&lt;&gt;""),AVERAGE(AH247,AJ247),IF(AH247&lt;&gt;"",AH247,AJ247))))</f>
        <v>0</v>
      </c>
      <c r="AU247" s="49" t="str">
        <f aca="false">IF(AI247="","",MIN(120,AI247))</f>
        <v/>
      </c>
      <c r="AV247" s="49" t="str">
        <f aca="false">IF(AJ247="","",MIN(120,AJ247))</f>
        <v/>
      </c>
      <c r="AW247" s="50" t="str">
        <f aca="false">IF(COUNT(AN247:AV247)&lt;9,"",(AN247*'Standards &amp; Scoring'!$D$5+AO247*'Standards &amp; Scoring'!$D$6+AP247*'Standards &amp; Scoring'!$D$7+AQ247*'Standards &amp; Scoring'!$D$8+AR247*'Standards &amp; Scoring'!$D$9+AS247*'Standards &amp; Scoring'!$D$10+AT247*'Standards &amp; Scoring'!$D$11+AU247*'Standards &amp; Scoring'!$D$12+AV247*'Standards &amp; Scoring'!$D$13)/10000)</f>
        <v/>
      </c>
      <c r="AX247" s="47" t="str">
        <f aca="false">IF(AW247="","",IF(AW247&gt;=1.05,"A+",IF(AW247&gt;=1,"A",IF(AW247&gt;=0.95,"B+",IF(AW247&gt;=0.9,"B","C")))))</f>
        <v/>
      </c>
      <c r="AY247" s="47" t="str">
        <f aca="false">IF(AX247="","",IF(AX247="A+",1800,IF(AX247="A",1600,IF(AX247="B+",1400,IF(AX247="B",1200,0)))))</f>
        <v/>
      </c>
      <c r="AZ247" s="49" t="str">
        <f aca="false">IF(OR(L247="",M247="",S247="",M247=0),"",IFERROR(L247*60*S247/(M247*36),0))</f>
        <v/>
      </c>
    </row>
    <row r="248" customFormat="false" ht="15" hidden="false" customHeight="true" outlineLevel="0" collapsed="false">
      <c r="A248" s="47" t="n">
        <f aca="false">'Daily KPI Entry'!A249</f>
        <v>0</v>
      </c>
      <c r="B248" s="48" t="n">
        <f aca="false">'Daily KPI Entry'!B249</f>
        <v>0</v>
      </c>
      <c r="C248" s="47" t="n">
        <f aca="false">'Daily KPI Entry'!C249</f>
        <v>0</v>
      </c>
      <c r="D248" s="47" t="n">
        <f aca="false">'Daily KPI Entry'!D249</f>
        <v>0</v>
      </c>
      <c r="E248" s="47" t="n">
        <f aca="false">'Daily KPI Entry'!E249</f>
        <v>0</v>
      </c>
      <c r="F248" s="47" t="n">
        <f aca="false">'Daily KPI Entry'!F249</f>
        <v>0</v>
      </c>
      <c r="G248" s="47" t="n">
        <f aca="false">'Daily KPI Entry'!G249</f>
        <v>0</v>
      </c>
      <c r="H248" s="47" t="str">
        <f aca="false">'Daily KPI Entry'!H249</f>
        <v/>
      </c>
      <c r="I248" s="47" t="n">
        <f aca="false">'Daily KPI Entry'!I249</f>
        <v>0</v>
      </c>
      <c r="J248" s="47" t="n">
        <f aca="false">'Daily KPI Entry'!J249</f>
        <v>0</v>
      </c>
      <c r="K248" s="47" t="n">
        <f aca="false">'Daily KPI Entry'!K249</f>
        <v>0</v>
      </c>
      <c r="L248" s="47" t="n">
        <f aca="false">'Daily KPI Entry'!L249</f>
        <v>0</v>
      </c>
      <c r="M248" s="47" t="n">
        <f aca="false">'Daily KPI Entry'!M249</f>
        <v>0</v>
      </c>
      <c r="N248" s="49" t="n">
        <f aca="false">'Daily KPI Entry'!N249</f>
        <v>0</v>
      </c>
      <c r="O248" s="49" t="n">
        <f aca="false">'Daily KPI Entry'!O249</f>
        <v>0</v>
      </c>
      <c r="P248" s="49" t="str">
        <f aca="false">IF(OR(N248="",O248=""),"",IFERROR(O248/N248*100,0))</f>
        <v/>
      </c>
      <c r="Q248" s="47" t="n">
        <f aca="false">'Daily KPI Entry'!Q249</f>
        <v>8</v>
      </c>
      <c r="R248" s="47" t="str">
        <f aca="false">IF(J248="","",Q248*J248)</f>
        <v/>
      </c>
      <c r="S248" s="49" t="n">
        <f aca="false">'Daily KPI Entry'!S249</f>
        <v>0</v>
      </c>
      <c r="T248" s="49" t="str">
        <f aca="false">IF(OR(R248="",S248=""),"",IFERROR(S248/R248*100,0))</f>
        <v/>
      </c>
      <c r="U248" s="49" t="str">
        <f aca="false">IF(OR(O248="",L248="",M248="",S248="",M248=0),"",IFERROR(O248/(L248*60*S248/(M248*36))*100,0))</f>
        <v/>
      </c>
      <c r="V248" s="49" t="n">
        <f aca="false">'Daily KPI Entry'!V249</f>
        <v>0</v>
      </c>
      <c r="W248" s="49" t="str">
        <f aca="false">IF(O248="","",IFERROR(V248/O248*100,0))</f>
        <v/>
      </c>
      <c r="X248" s="49" t="n">
        <f aca="false">'Daily KPI Entry'!X249</f>
        <v>0</v>
      </c>
      <c r="Y248" s="49" t="n">
        <f aca="false">'Daily KPI Entry'!Y249</f>
        <v>0</v>
      </c>
      <c r="Z248" s="49" t="n">
        <f aca="false">'Daily KPI Entry'!Z249</f>
        <v>0</v>
      </c>
      <c r="AA248" s="49" t="n">
        <f aca="false">'Daily KPI Entry'!AA249</f>
        <v>0</v>
      </c>
      <c r="AB248" s="49" t="n">
        <f aca="false">'Daily KPI Entry'!AB249</f>
        <v>0</v>
      </c>
      <c r="AC248" s="49" t="n">
        <f aca="false">'Daily KPI Entry'!AC249</f>
        <v>0</v>
      </c>
      <c r="AD248" s="49" t="n">
        <f aca="false">'Daily KPI Entry'!AD249</f>
        <v>0</v>
      </c>
      <c r="AE248" s="49" t="n">
        <f aca="false">'Daily KPI Entry'!AE249</f>
        <v>0</v>
      </c>
      <c r="AF248" s="47" t="str">
        <f aca="false">IF(O248="","",SUM(X248:AE248))</f>
        <v/>
      </c>
      <c r="AG248" s="49" t="str">
        <f aca="false">IF(O248="","",IFERROR(AF248/O248*1000,0))</f>
        <v/>
      </c>
      <c r="AH248" s="49" t="n">
        <f aca="false">'Daily KPI Entry'!AH249</f>
        <v>0</v>
      </c>
      <c r="AI248" s="49" t="n">
        <f aca="false">'Daily KPI Entry'!AI249</f>
        <v>0</v>
      </c>
      <c r="AJ248" s="49" t="n">
        <f aca="false">'Daily KPI Entry'!AJ249</f>
        <v>0</v>
      </c>
      <c r="AK248" s="47" t="n">
        <f aca="false">'Daily KPI Entry'!AK249</f>
        <v>0</v>
      </c>
      <c r="AL248" s="47" t="n">
        <f aca="false">'Daily KPI Entry'!AL249</f>
        <v>0</v>
      </c>
      <c r="AM248" s="47" t="n">
        <f aca="false">'Daily KPI Entry'!AM249</f>
        <v>0</v>
      </c>
      <c r="AN248" s="49" t="str">
        <f aca="false">IF(P248="","",MIN(120,P248))</f>
        <v/>
      </c>
      <c r="AO248" s="49" t="str">
        <f aca="false">IF(U248="","",MIN(120,U248))</f>
        <v/>
      </c>
      <c r="AP248" s="49" t="str">
        <f aca="false">IF(R248="","",MIN(120,IFERROR(S248/R248*100,0)))</f>
        <v/>
      </c>
      <c r="AQ248" s="49" t="str">
        <f aca="false">IF(W248="","",MIN(120,IF(W248=0,120,100*(INDEX('Standards &amp; Scoring'!$E$5:$E$13,MATCH("Quality / Rejection",'Standards &amp; Scoring'!$A$5:$A$13,0))/W248))))</f>
        <v/>
      </c>
      <c r="AR248" s="49" t="str">
        <f aca="false">IF(AG248="","",MIN(120,IF(AG248=0,120,100*(INDEX('Standards &amp; Scoring'!$E$5:$E$13,MATCH("Fault Control",'Standards &amp; Scoring'!$A$5:$A$13,0))/AG248))))</f>
        <v/>
      </c>
      <c r="AS248" s="49" t="str">
        <f aca="false">IF(O248="","",MIN(120,IF(SUMIFS('Fault &amp; Downtime Entry'!$L$6:$L$1005,'Fault &amp; Downtime Entry'!$E$6:$E$1005,G248,'Fault &amp; Downtime Entry'!$B$6:$B$1005,B248)=0,120,100*(INDEX('Standards &amp; Scoring'!$E$5:$E$13,MATCH("Downtime Control",'Standards &amp; Scoring'!$A$5:$A$13,0))/IFERROR(SUMIFS('Fault &amp; Downtime Entry'!$L$6:$L$1005,'Fault &amp; Downtime Entry'!$E$6:$E$1005,G248,'Fault &amp; Downtime Entry'!$B$6:$B$1005,B248)/O248*1000,999999)))))</f>
        <v/>
      </c>
      <c r="AT248" s="49" t="n">
        <f aca="false">IF(COUNTA(AH248,AJ248)=0,"",MIN(120,IF(AND(AH248&lt;&gt;"",AJ248&lt;&gt;""),AVERAGE(AH248,AJ248),IF(AH248&lt;&gt;"",AH248,AJ248))))</f>
        <v>0</v>
      </c>
      <c r="AU248" s="49" t="str">
        <f aca="false">IF(AI248="","",MIN(120,AI248))</f>
        <v/>
      </c>
      <c r="AV248" s="49" t="str">
        <f aca="false">IF(AJ248="","",MIN(120,AJ248))</f>
        <v/>
      </c>
      <c r="AW248" s="50" t="str">
        <f aca="false">IF(COUNT(AN248:AV248)&lt;9,"",(AN248*'Standards &amp; Scoring'!$D$5+AO248*'Standards &amp; Scoring'!$D$6+AP248*'Standards &amp; Scoring'!$D$7+AQ248*'Standards &amp; Scoring'!$D$8+AR248*'Standards &amp; Scoring'!$D$9+AS248*'Standards &amp; Scoring'!$D$10+AT248*'Standards &amp; Scoring'!$D$11+AU248*'Standards &amp; Scoring'!$D$12+AV248*'Standards &amp; Scoring'!$D$13)/10000)</f>
        <v/>
      </c>
      <c r="AX248" s="47" t="str">
        <f aca="false">IF(AW248="","",IF(AW248&gt;=1.05,"A+",IF(AW248&gt;=1,"A",IF(AW248&gt;=0.95,"B+",IF(AW248&gt;=0.9,"B","C")))))</f>
        <v/>
      </c>
      <c r="AY248" s="47" t="str">
        <f aca="false">IF(AX248="","",IF(AX248="A+",1800,IF(AX248="A",1600,IF(AX248="B+",1400,IF(AX248="B",1200,0)))))</f>
        <v/>
      </c>
      <c r="AZ248" s="49" t="str">
        <f aca="false">IF(OR(L248="",M248="",S248="",M248=0),"",IFERROR(L248*60*S248/(M248*36),0))</f>
        <v/>
      </c>
    </row>
    <row r="249" customFormat="false" ht="15" hidden="false" customHeight="true" outlineLevel="0" collapsed="false">
      <c r="A249" s="47" t="n">
        <f aca="false">'Daily KPI Entry'!A250</f>
        <v>0</v>
      </c>
      <c r="B249" s="48" t="n">
        <f aca="false">'Daily KPI Entry'!B250</f>
        <v>0</v>
      </c>
      <c r="C249" s="47" t="n">
        <f aca="false">'Daily KPI Entry'!C250</f>
        <v>0</v>
      </c>
      <c r="D249" s="47" t="n">
        <f aca="false">'Daily KPI Entry'!D250</f>
        <v>0</v>
      </c>
      <c r="E249" s="47" t="n">
        <f aca="false">'Daily KPI Entry'!E250</f>
        <v>0</v>
      </c>
      <c r="F249" s="47" t="n">
        <f aca="false">'Daily KPI Entry'!F250</f>
        <v>0</v>
      </c>
      <c r="G249" s="47" t="n">
        <f aca="false">'Daily KPI Entry'!G250</f>
        <v>0</v>
      </c>
      <c r="H249" s="47" t="str">
        <f aca="false">'Daily KPI Entry'!H250</f>
        <v/>
      </c>
      <c r="I249" s="47" t="n">
        <f aca="false">'Daily KPI Entry'!I250</f>
        <v>0</v>
      </c>
      <c r="J249" s="47" t="n">
        <f aca="false">'Daily KPI Entry'!J250</f>
        <v>0</v>
      </c>
      <c r="K249" s="47" t="n">
        <f aca="false">'Daily KPI Entry'!K250</f>
        <v>0</v>
      </c>
      <c r="L249" s="47" t="n">
        <f aca="false">'Daily KPI Entry'!L250</f>
        <v>0</v>
      </c>
      <c r="M249" s="47" t="n">
        <f aca="false">'Daily KPI Entry'!M250</f>
        <v>0</v>
      </c>
      <c r="N249" s="49" t="n">
        <f aca="false">'Daily KPI Entry'!N250</f>
        <v>0</v>
      </c>
      <c r="O249" s="49" t="n">
        <f aca="false">'Daily KPI Entry'!O250</f>
        <v>0</v>
      </c>
      <c r="P249" s="49" t="str">
        <f aca="false">IF(OR(N249="",O249=""),"",IFERROR(O249/N249*100,0))</f>
        <v/>
      </c>
      <c r="Q249" s="47" t="n">
        <f aca="false">'Daily KPI Entry'!Q250</f>
        <v>8</v>
      </c>
      <c r="R249" s="47" t="str">
        <f aca="false">IF(J249="","",Q249*J249)</f>
        <v/>
      </c>
      <c r="S249" s="49" t="n">
        <f aca="false">'Daily KPI Entry'!S250</f>
        <v>0</v>
      </c>
      <c r="T249" s="49" t="str">
        <f aca="false">IF(OR(R249="",S249=""),"",IFERROR(S249/R249*100,0))</f>
        <v/>
      </c>
      <c r="U249" s="49" t="str">
        <f aca="false">IF(OR(O249="",L249="",M249="",S249="",M249=0),"",IFERROR(O249/(L249*60*S249/(M249*36))*100,0))</f>
        <v/>
      </c>
      <c r="V249" s="49" t="n">
        <f aca="false">'Daily KPI Entry'!V250</f>
        <v>0</v>
      </c>
      <c r="W249" s="49" t="str">
        <f aca="false">IF(O249="","",IFERROR(V249/O249*100,0))</f>
        <v/>
      </c>
      <c r="X249" s="49" t="n">
        <f aca="false">'Daily KPI Entry'!X250</f>
        <v>0</v>
      </c>
      <c r="Y249" s="49" t="n">
        <f aca="false">'Daily KPI Entry'!Y250</f>
        <v>0</v>
      </c>
      <c r="Z249" s="49" t="n">
        <f aca="false">'Daily KPI Entry'!Z250</f>
        <v>0</v>
      </c>
      <c r="AA249" s="49" t="n">
        <f aca="false">'Daily KPI Entry'!AA250</f>
        <v>0</v>
      </c>
      <c r="AB249" s="49" t="n">
        <f aca="false">'Daily KPI Entry'!AB250</f>
        <v>0</v>
      </c>
      <c r="AC249" s="49" t="n">
        <f aca="false">'Daily KPI Entry'!AC250</f>
        <v>0</v>
      </c>
      <c r="AD249" s="49" t="n">
        <f aca="false">'Daily KPI Entry'!AD250</f>
        <v>0</v>
      </c>
      <c r="AE249" s="49" t="n">
        <f aca="false">'Daily KPI Entry'!AE250</f>
        <v>0</v>
      </c>
      <c r="AF249" s="47" t="str">
        <f aca="false">IF(O249="","",SUM(X249:AE249))</f>
        <v/>
      </c>
      <c r="AG249" s="49" t="str">
        <f aca="false">IF(O249="","",IFERROR(AF249/O249*1000,0))</f>
        <v/>
      </c>
      <c r="AH249" s="49" t="n">
        <f aca="false">'Daily KPI Entry'!AH250</f>
        <v>0</v>
      </c>
      <c r="AI249" s="49" t="n">
        <f aca="false">'Daily KPI Entry'!AI250</f>
        <v>0</v>
      </c>
      <c r="AJ249" s="49" t="n">
        <f aca="false">'Daily KPI Entry'!AJ250</f>
        <v>0</v>
      </c>
      <c r="AK249" s="47" t="n">
        <f aca="false">'Daily KPI Entry'!AK250</f>
        <v>0</v>
      </c>
      <c r="AL249" s="47" t="n">
        <f aca="false">'Daily KPI Entry'!AL250</f>
        <v>0</v>
      </c>
      <c r="AM249" s="47" t="n">
        <f aca="false">'Daily KPI Entry'!AM250</f>
        <v>0</v>
      </c>
      <c r="AN249" s="49" t="str">
        <f aca="false">IF(P249="","",MIN(120,P249))</f>
        <v/>
      </c>
      <c r="AO249" s="49" t="str">
        <f aca="false">IF(U249="","",MIN(120,U249))</f>
        <v/>
      </c>
      <c r="AP249" s="49" t="str">
        <f aca="false">IF(R249="","",MIN(120,IFERROR(S249/R249*100,0)))</f>
        <v/>
      </c>
      <c r="AQ249" s="49" t="str">
        <f aca="false">IF(W249="","",MIN(120,IF(W249=0,120,100*(INDEX('Standards &amp; Scoring'!$E$5:$E$13,MATCH("Quality / Rejection",'Standards &amp; Scoring'!$A$5:$A$13,0))/W249))))</f>
        <v/>
      </c>
      <c r="AR249" s="49" t="str">
        <f aca="false">IF(AG249="","",MIN(120,IF(AG249=0,120,100*(INDEX('Standards &amp; Scoring'!$E$5:$E$13,MATCH("Fault Control",'Standards &amp; Scoring'!$A$5:$A$13,0))/AG249))))</f>
        <v/>
      </c>
      <c r="AS249" s="49" t="str">
        <f aca="false">IF(O249="","",MIN(120,IF(SUMIFS('Fault &amp; Downtime Entry'!$L$6:$L$1005,'Fault &amp; Downtime Entry'!$E$6:$E$1005,G249,'Fault &amp; Downtime Entry'!$B$6:$B$1005,B249)=0,120,100*(INDEX('Standards &amp; Scoring'!$E$5:$E$13,MATCH("Downtime Control",'Standards &amp; Scoring'!$A$5:$A$13,0))/IFERROR(SUMIFS('Fault &amp; Downtime Entry'!$L$6:$L$1005,'Fault &amp; Downtime Entry'!$E$6:$E$1005,G249,'Fault &amp; Downtime Entry'!$B$6:$B$1005,B249)/O249*1000,999999)))))</f>
        <v/>
      </c>
      <c r="AT249" s="49" t="n">
        <f aca="false">IF(COUNTA(AH249,AJ249)=0,"",MIN(120,IF(AND(AH249&lt;&gt;"",AJ249&lt;&gt;""),AVERAGE(AH249,AJ249),IF(AH249&lt;&gt;"",AH249,AJ249))))</f>
        <v>0</v>
      </c>
      <c r="AU249" s="49" t="str">
        <f aca="false">IF(AI249="","",MIN(120,AI249))</f>
        <v/>
      </c>
      <c r="AV249" s="49" t="str">
        <f aca="false">IF(AJ249="","",MIN(120,AJ249))</f>
        <v/>
      </c>
      <c r="AW249" s="50" t="str">
        <f aca="false">IF(COUNT(AN249:AV249)&lt;9,"",(AN249*'Standards &amp; Scoring'!$D$5+AO249*'Standards &amp; Scoring'!$D$6+AP249*'Standards &amp; Scoring'!$D$7+AQ249*'Standards &amp; Scoring'!$D$8+AR249*'Standards &amp; Scoring'!$D$9+AS249*'Standards &amp; Scoring'!$D$10+AT249*'Standards &amp; Scoring'!$D$11+AU249*'Standards &amp; Scoring'!$D$12+AV249*'Standards &amp; Scoring'!$D$13)/10000)</f>
        <v/>
      </c>
      <c r="AX249" s="47" t="str">
        <f aca="false">IF(AW249="","",IF(AW249&gt;=1.05,"A+",IF(AW249&gt;=1,"A",IF(AW249&gt;=0.95,"B+",IF(AW249&gt;=0.9,"B","C")))))</f>
        <v/>
      </c>
      <c r="AY249" s="47" t="str">
        <f aca="false">IF(AX249="","",IF(AX249="A+",1800,IF(AX249="A",1600,IF(AX249="B+",1400,IF(AX249="B",1200,0)))))</f>
        <v/>
      </c>
      <c r="AZ249" s="49" t="str">
        <f aca="false">IF(OR(L249="",M249="",S249="",M249=0),"",IFERROR(L249*60*S249/(M249*36),0))</f>
        <v/>
      </c>
    </row>
    <row r="250" customFormat="false" ht="15" hidden="false" customHeight="true" outlineLevel="0" collapsed="false">
      <c r="A250" s="47" t="n">
        <f aca="false">'Daily KPI Entry'!A251</f>
        <v>0</v>
      </c>
      <c r="B250" s="48" t="n">
        <f aca="false">'Daily KPI Entry'!B251</f>
        <v>0</v>
      </c>
      <c r="C250" s="47" t="n">
        <f aca="false">'Daily KPI Entry'!C251</f>
        <v>0</v>
      </c>
      <c r="D250" s="47" t="n">
        <f aca="false">'Daily KPI Entry'!D251</f>
        <v>0</v>
      </c>
      <c r="E250" s="47" t="n">
        <f aca="false">'Daily KPI Entry'!E251</f>
        <v>0</v>
      </c>
      <c r="F250" s="47" t="n">
        <f aca="false">'Daily KPI Entry'!F251</f>
        <v>0</v>
      </c>
      <c r="G250" s="47" t="n">
        <f aca="false">'Daily KPI Entry'!G251</f>
        <v>0</v>
      </c>
      <c r="H250" s="47" t="str">
        <f aca="false">'Daily KPI Entry'!H251</f>
        <v/>
      </c>
      <c r="I250" s="47" t="n">
        <f aca="false">'Daily KPI Entry'!I251</f>
        <v>0</v>
      </c>
      <c r="J250" s="47" t="n">
        <f aca="false">'Daily KPI Entry'!J251</f>
        <v>0</v>
      </c>
      <c r="K250" s="47" t="n">
        <f aca="false">'Daily KPI Entry'!K251</f>
        <v>0</v>
      </c>
      <c r="L250" s="47" t="n">
        <f aca="false">'Daily KPI Entry'!L251</f>
        <v>0</v>
      </c>
      <c r="M250" s="47" t="n">
        <f aca="false">'Daily KPI Entry'!M251</f>
        <v>0</v>
      </c>
      <c r="N250" s="49" t="n">
        <f aca="false">'Daily KPI Entry'!N251</f>
        <v>0</v>
      </c>
      <c r="O250" s="49" t="n">
        <f aca="false">'Daily KPI Entry'!O251</f>
        <v>0</v>
      </c>
      <c r="P250" s="49" t="str">
        <f aca="false">IF(OR(N250="",O250=""),"",IFERROR(O250/N250*100,0))</f>
        <v/>
      </c>
      <c r="Q250" s="47" t="n">
        <f aca="false">'Daily KPI Entry'!Q251</f>
        <v>8</v>
      </c>
      <c r="R250" s="47" t="str">
        <f aca="false">IF(J250="","",Q250*J250)</f>
        <v/>
      </c>
      <c r="S250" s="49" t="n">
        <f aca="false">'Daily KPI Entry'!S251</f>
        <v>0</v>
      </c>
      <c r="T250" s="49" t="str">
        <f aca="false">IF(OR(R250="",S250=""),"",IFERROR(S250/R250*100,0))</f>
        <v/>
      </c>
      <c r="U250" s="49" t="str">
        <f aca="false">IF(OR(O250="",L250="",M250="",S250="",M250=0),"",IFERROR(O250/(L250*60*S250/(M250*36))*100,0))</f>
        <v/>
      </c>
      <c r="V250" s="49" t="n">
        <f aca="false">'Daily KPI Entry'!V251</f>
        <v>0</v>
      </c>
      <c r="W250" s="49" t="str">
        <f aca="false">IF(O250="","",IFERROR(V250/O250*100,0))</f>
        <v/>
      </c>
      <c r="X250" s="49" t="n">
        <f aca="false">'Daily KPI Entry'!X251</f>
        <v>0</v>
      </c>
      <c r="Y250" s="49" t="n">
        <f aca="false">'Daily KPI Entry'!Y251</f>
        <v>0</v>
      </c>
      <c r="Z250" s="49" t="n">
        <f aca="false">'Daily KPI Entry'!Z251</f>
        <v>0</v>
      </c>
      <c r="AA250" s="49" t="n">
        <f aca="false">'Daily KPI Entry'!AA251</f>
        <v>0</v>
      </c>
      <c r="AB250" s="49" t="n">
        <f aca="false">'Daily KPI Entry'!AB251</f>
        <v>0</v>
      </c>
      <c r="AC250" s="49" t="n">
        <f aca="false">'Daily KPI Entry'!AC251</f>
        <v>0</v>
      </c>
      <c r="AD250" s="49" t="n">
        <f aca="false">'Daily KPI Entry'!AD251</f>
        <v>0</v>
      </c>
      <c r="AE250" s="49" t="n">
        <f aca="false">'Daily KPI Entry'!AE251</f>
        <v>0</v>
      </c>
      <c r="AF250" s="47" t="str">
        <f aca="false">IF(O250="","",SUM(X250:AE250))</f>
        <v/>
      </c>
      <c r="AG250" s="49" t="str">
        <f aca="false">IF(O250="","",IFERROR(AF250/O250*1000,0))</f>
        <v/>
      </c>
      <c r="AH250" s="49" t="n">
        <f aca="false">'Daily KPI Entry'!AH251</f>
        <v>0</v>
      </c>
      <c r="AI250" s="49" t="n">
        <f aca="false">'Daily KPI Entry'!AI251</f>
        <v>0</v>
      </c>
      <c r="AJ250" s="49" t="n">
        <f aca="false">'Daily KPI Entry'!AJ251</f>
        <v>0</v>
      </c>
      <c r="AK250" s="47" t="n">
        <f aca="false">'Daily KPI Entry'!AK251</f>
        <v>0</v>
      </c>
      <c r="AL250" s="47" t="n">
        <f aca="false">'Daily KPI Entry'!AL251</f>
        <v>0</v>
      </c>
      <c r="AM250" s="47" t="n">
        <f aca="false">'Daily KPI Entry'!AM251</f>
        <v>0</v>
      </c>
      <c r="AN250" s="49" t="str">
        <f aca="false">IF(P250="","",MIN(120,P250))</f>
        <v/>
      </c>
      <c r="AO250" s="49" t="str">
        <f aca="false">IF(U250="","",MIN(120,U250))</f>
        <v/>
      </c>
      <c r="AP250" s="49" t="str">
        <f aca="false">IF(R250="","",MIN(120,IFERROR(S250/R250*100,0)))</f>
        <v/>
      </c>
      <c r="AQ250" s="49" t="str">
        <f aca="false">IF(W250="","",MIN(120,IF(W250=0,120,100*(INDEX('Standards &amp; Scoring'!$E$5:$E$13,MATCH("Quality / Rejection",'Standards &amp; Scoring'!$A$5:$A$13,0))/W250))))</f>
        <v/>
      </c>
      <c r="AR250" s="49" t="str">
        <f aca="false">IF(AG250="","",MIN(120,IF(AG250=0,120,100*(INDEX('Standards &amp; Scoring'!$E$5:$E$13,MATCH("Fault Control",'Standards &amp; Scoring'!$A$5:$A$13,0))/AG250))))</f>
        <v/>
      </c>
      <c r="AS250" s="49" t="str">
        <f aca="false">IF(O250="","",MIN(120,IF(SUMIFS('Fault &amp; Downtime Entry'!$L$6:$L$1005,'Fault &amp; Downtime Entry'!$E$6:$E$1005,G250,'Fault &amp; Downtime Entry'!$B$6:$B$1005,B250)=0,120,100*(INDEX('Standards &amp; Scoring'!$E$5:$E$13,MATCH("Downtime Control",'Standards &amp; Scoring'!$A$5:$A$13,0))/IFERROR(SUMIFS('Fault &amp; Downtime Entry'!$L$6:$L$1005,'Fault &amp; Downtime Entry'!$E$6:$E$1005,G250,'Fault &amp; Downtime Entry'!$B$6:$B$1005,B250)/O250*1000,999999)))))</f>
        <v/>
      </c>
      <c r="AT250" s="49" t="n">
        <f aca="false">IF(COUNTA(AH250,AJ250)=0,"",MIN(120,IF(AND(AH250&lt;&gt;"",AJ250&lt;&gt;""),AVERAGE(AH250,AJ250),IF(AH250&lt;&gt;"",AH250,AJ250))))</f>
        <v>0</v>
      </c>
      <c r="AU250" s="49" t="str">
        <f aca="false">IF(AI250="","",MIN(120,AI250))</f>
        <v/>
      </c>
      <c r="AV250" s="49" t="str">
        <f aca="false">IF(AJ250="","",MIN(120,AJ250))</f>
        <v/>
      </c>
      <c r="AW250" s="50" t="str">
        <f aca="false">IF(COUNT(AN250:AV250)&lt;9,"",(AN250*'Standards &amp; Scoring'!$D$5+AO250*'Standards &amp; Scoring'!$D$6+AP250*'Standards &amp; Scoring'!$D$7+AQ250*'Standards &amp; Scoring'!$D$8+AR250*'Standards &amp; Scoring'!$D$9+AS250*'Standards &amp; Scoring'!$D$10+AT250*'Standards &amp; Scoring'!$D$11+AU250*'Standards &amp; Scoring'!$D$12+AV250*'Standards &amp; Scoring'!$D$13)/10000)</f>
        <v/>
      </c>
      <c r="AX250" s="47" t="str">
        <f aca="false">IF(AW250="","",IF(AW250&gt;=1.05,"A+",IF(AW250&gt;=1,"A",IF(AW250&gt;=0.95,"B+",IF(AW250&gt;=0.9,"B","C")))))</f>
        <v/>
      </c>
      <c r="AY250" s="47" t="str">
        <f aca="false">IF(AX250="","",IF(AX250="A+",1800,IF(AX250="A",1600,IF(AX250="B+",1400,IF(AX250="B",1200,0)))))</f>
        <v/>
      </c>
      <c r="AZ250" s="49" t="str">
        <f aca="false">IF(OR(L250="",M250="",S250="",M250=0),"",IFERROR(L250*60*S250/(M250*36),0))</f>
        <v/>
      </c>
    </row>
    <row r="251" customFormat="false" ht="15" hidden="false" customHeight="true" outlineLevel="0" collapsed="false">
      <c r="A251" s="47" t="n">
        <f aca="false">'Daily KPI Entry'!A252</f>
        <v>0</v>
      </c>
      <c r="B251" s="48" t="n">
        <f aca="false">'Daily KPI Entry'!B252</f>
        <v>0</v>
      </c>
      <c r="C251" s="47" t="n">
        <f aca="false">'Daily KPI Entry'!C252</f>
        <v>0</v>
      </c>
      <c r="D251" s="47" t="n">
        <f aca="false">'Daily KPI Entry'!D252</f>
        <v>0</v>
      </c>
      <c r="E251" s="47" t="n">
        <f aca="false">'Daily KPI Entry'!E252</f>
        <v>0</v>
      </c>
      <c r="F251" s="47" t="n">
        <f aca="false">'Daily KPI Entry'!F252</f>
        <v>0</v>
      </c>
      <c r="G251" s="47" t="n">
        <f aca="false">'Daily KPI Entry'!G252</f>
        <v>0</v>
      </c>
      <c r="H251" s="47" t="str">
        <f aca="false">'Daily KPI Entry'!H252</f>
        <v/>
      </c>
      <c r="I251" s="47" t="n">
        <f aca="false">'Daily KPI Entry'!I252</f>
        <v>0</v>
      </c>
      <c r="J251" s="47" t="n">
        <f aca="false">'Daily KPI Entry'!J252</f>
        <v>0</v>
      </c>
      <c r="K251" s="47" t="n">
        <f aca="false">'Daily KPI Entry'!K252</f>
        <v>0</v>
      </c>
      <c r="L251" s="47" t="n">
        <f aca="false">'Daily KPI Entry'!L252</f>
        <v>0</v>
      </c>
      <c r="M251" s="47" t="n">
        <f aca="false">'Daily KPI Entry'!M252</f>
        <v>0</v>
      </c>
      <c r="N251" s="49" t="n">
        <f aca="false">'Daily KPI Entry'!N252</f>
        <v>0</v>
      </c>
      <c r="O251" s="49" t="n">
        <f aca="false">'Daily KPI Entry'!O252</f>
        <v>0</v>
      </c>
      <c r="P251" s="49" t="str">
        <f aca="false">IF(OR(N251="",O251=""),"",IFERROR(O251/N251*100,0))</f>
        <v/>
      </c>
      <c r="Q251" s="47" t="n">
        <f aca="false">'Daily KPI Entry'!Q252</f>
        <v>8</v>
      </c>
      <c r="R251" s="47" t="str">
        <f aca="false">IF(J251="","",Q251*J251)</f>
        <v/>
      </c>
      <c r="S251" s="49" t="n">
        <f aca="false">'Daily KPI Entry'!S252</f>
        <v>0</v>
      </c>
      <c r="T251" s="49" t="str">
        <f aca="false">IF(OR(R251="",S251=""),"",IFERROR(S251/R251*100,0))</f>
        <v/>
      </c>
      <c r="U251" s="49" t="str">
        <f aca="false">IF(OR(O251="",L251="",M251="",S251="",M251=0),"",IFERROR(O251/(L251*60*S251/(M251*36))*100,0))</f>
        <v/>
      </c>
      <c r="V251" s="49" t="n">
        <f aca="false">'Daily KPI Entry'!V252</f>
        <v>0</v>
      </c>
      <c r="W251" s="49" t="str">
        <f aca="false">IF(O251="","",IFERROR(V251/O251*100,0))</f>
        <v/>
      </c>
      <c r="X251" s="49" t="n">
        <f aca="false">'Daily KPI Entry'!X252</f>
        <v>0</v>
      </c>
      <c r="Y251" s="49" t="n">
        <f aca="false">'Daily KPI Entry'!Y252</f>
        <v>0</v>
      </c>
      <c r="Z251" s="49" t="n">
        <f aca="false">'Daily KPI Entry'!Z252</f>
        <v>0</v>
      </c>
      <c r="AA251" s="49" t="n">
        <f aca="false">'Daily KPI Entry'!AA252</f>
        <v>0</v>
      </c>
      <c r="AB251" s="49" t="n">
        <f aca="false">'Daily KPI Entry'!AB252</f>
        <v>0</v>
      </c>
      <c r="AC251" s="49" t="n">
        <f aca="false">'Daily KPI Entry'!AC252</f>
        <v>0</v>
      </c>
      <c r="AD251" s="49" t="n">
        <f aca="false">'Daily KPI Entry'!AD252</f>
        <v>0</v>
      </c>
      <c r="AE251" s="49" t="n">
        <f aca="false">'Daily KPI Entry'!AE252</f>
        <v>0</v>
      </c>
      <c r="AF251" s="47" t="str">
        <f aca="false">IF(O251="","",SUM(X251:AE251))</f>
        <v/>
      </c>
      <c r="AG251" s="49" t="str">
        <f aca="false">IF(O251="","",IFERROR(AF251/O251*1000,0))</f>
        <v/>
      </c>
      <c r="AH251" s="49" t="n">
        <f aca="false">'Daily KPI Entry'!AH252</f>
        <v>0</v>
      </c>
      <c r="AI251" s="49" t="n">
        <f aca="false">'Daily KPI Entry'!AI252</f>
        <v>0</v>
      </c>
      <c r="AJ251" s="49" t="n">
        <f aca="false">'Daily KPI Entry'!AJ252</f>
        <v>0</v>
      </c>
      <c r="AK251" s="47" t="n">
        <f aca="false">'Daily KPI Entry'!AK252</f>
        <v>0</v>
      </c>
      <c r="AL251" s="47" t="n">
        <f aca="false">'Daily KPI Entry'!AL252</f>
        <v>0</v>
      </c>
      <c r="AM251" s="47" t="n">
        <f aca="false">'Daily KPI Entry'!AM252</f>
        <v>0</v>
      </c>
      <c r="AN251" s="49" t="str">
        <f aca="false">IF(P251="","",MIN(120,P251))</f>
        <v/>
      </c>
      <c r="AO251" s="49" t="str">
        <f aca="false">IF(U251="","",MIN(120,U251))</f>
        <v/>
      </c>
      <c r="AP251" s="49" t="str">
        <f aca="false">IF(R251="","",MIN(120,IFERROR(S251/R251*100,0)))</f>
        <v/>
      </c>
      <c r="AQ251" s="49" t="str">
        <f aca="false">IF(W251="","",MIN(120,IF(W251=0,120,100*(INDEX('Standards &amp; Scoring'!$E$5:$E$13,MATCH("Quality / Rejection",'Standards &amp; Scoring'!$A$5:$A$13,0))/W251))))</f>
        <v/>
      </c>
      <c r="AR251" s="49" t="str">
        <f aca="false">IF(AG251="","",MIN(120,IF(AG251=0,120,100*(INDEX('Standards &amp; Scoring'!$E$5:$E$13,MATCH("Fault Control",'Standards &amp; Scoring'!$A$5:$A$13,0))/AG251))))</f>
        <v/>
      </c>
      <c r="AS251" s="49" t="str">
        <f aca="false">IF(O251="","",MIN(120,IF(SUMIFS('Fault &amp; Downtime Entry'!$L$6:$L$1005,'Fault &amp; Downtime Entry'!$E$6:$E$1005,G251,'Fault &amp; Downtime Entry'!$B$6:$B$1005,B251)=0,120,100*(INDEX('Standards &amp; Scoring'!$E$5:$E$13,MATCH("Downtime Control",'Standards &amp; Scoring'!$A$5:$A$13,0))/IFERROR(SUMIFS('Fault &amp; Downtime Entry'!$L$6:$L$1005,'Fault &amp; Downtime Entry'!$E$6:$E$1005,G251,'Fault &amp; Downtime Entry'!$B$6:$B$1005,B251)/O251*1000,999999)))))</f>
        <v/>
      </c>
      <c r="AT251" s="49" t="n">
        <f aca="false">IF(COUNTA(AH251,AJ251)=0,"",MIN(120,IF(AND(AH251&lt;&gt;"",AJ251&lt;&gt;""),AVERAGE(AH251,AJ251),IF(AH251&lt;&gt;"",AH251,AJ251))))</f>
        <v>0</v>
      </c>
      <c r="AU251" s="49" t="str">
        <f aca="false">IF(AI251="","",MIN(120,AI251))</f>
        <v/>
      </c>
      <c r="AV251" s="49" t="str">
        <f aca="false">IF(AJ251="","",MIN(120,AJ251))</f>
        <v/>
      </c>
      <c r="AW251" s="50" t="str">
        <f aca="false">IF(COUNT(AN251:AV251)&lt;9,"",(AN251*'Standards &amp; Scoring'!$D$5+AO251*'Standards &amp; Scoring'!$D$6+AP251*'Standards &amp; Scoring'!$D$7+AQ251*'Standards &amp; Scoring'!$D$8+AR251*'Standards &amp; Scoring'!$D$9+AS251*'Standards &amp; Scoring'!$D$10+AT251*'Standards &amp; Scoring'!$D$11+AU251*'Standards &amp; Scoring'!$D$12+AV251*'Standards &amp; Scoring'!$D$13)/10000)</f>
        <v/>
      </c>
      <c r="AX251" s="47" t="str">
        <f aca="false">IF(AW251="","",IF(AW251&gt;=1.05,"A+",IF(AW251&gt;=1,"A",IF(AW251&gt;=0.95,"B+",IF(AW251&gt;=0.9,"B","C")))))</f>
        <v/>
      </c>
      <c r="AY251" s="47" t="str">
        <f aca="false">IF(AX251="","",IF(AX251="A+",1800,IF(AX251="A",1600,IF(AX251="B+",1400,IF(AX251="B",1200,0)))))</f>
        <v/>
      </c>
      <c r="AZ251" s="49" t="str">
        <f aca="false">IF(OR(L251="",M251="",S251="",M251=0),"",IFERROR(L251*60*S251/(M251*36),0))</f>
        <v/>
      </c>
    </row>
    <row r="252" customFormat="false" ht="15" hidden="false" customHeight="true" outlineLevel="0" collapsed="false">
      <c r="A252" s="47" t="n">
        <f aca="false">'Daily KPI Entry'!A253</f>
        <v>0</v>
      </c>
      <c r="B252" s="48" t="n">
        <f aca="false">'Daily KPI Entry'!B253</f>
        <v>0</v>
      </c>
      <c r="C252" s="47" t="n">
        <f aca="false">'Daily KPI Entry'!C253</f>
        <v>0</v>
      </c>
      <c r="D252" s="47" t="n">
        <f aca="false">'Daily KPI Entry'!D253</f>
        <v>0</v>
      </c>
      <c r="E252" s="47" t="n">
        <f aca="false">'Daily KPI Entry'!E253</f>
        <v>0</v>
      </c>
      <c r="F252" s="47" t="n">
        <f aca="false">'Daily KPI Entry'!F253</f>
        <v>0</v>
      </c>
      <c r="G252" s="47" t="n">
        <f aca="false">'Daily KPI Entry'!G253</f>
        <v>0</v>
      </c>
      <c r="H252" s="47" t="str">
        <f aca="false">'Daily KPI Entry'!H253</f>
        <v/>
      </c>
      <c r="I252" s="47" t="n">
        <f aca="false">'Daily KPI Entry'!I253</f>
        <v>0</v>
      </c>
      <c r="J252" s="47" t="n">
        <f aca="false">'Daily KPI Entry'!J253</f>
        <v>0</v>
      </c>
      <c r="K252" s="47" t="n">
        <f aca="false">'Daily KPI Entry'!K253</f>
        <v>0</v>
      </c>
      <c r="L252" s="47" t="n">
        <f aca="false">'Daily KPI Entry'!L253</f>
        <v>0</v>
      </c>
      <c r="M252" s="47" t="n">
        <f aca="false">'Daily KPI Entry'!M253</f>
        <v>0</v>
      </c>
      <c r="N252" s="49" t="n">
        <f aca="false">'Daily KPI Entry'!N253</f>
        <v>0</v>
      </c>
      <c r="O252" s="49" t="n">
        <f aca="false">'Daily KPI Entry'!O253</f>
        <v>0</v>
      </c>
      <c r="P252" s="49" t="str">
        <f aca="false">IF(OR(N252="",O252=""),"",IFERROR(O252/N252*100,0))</f>
        <v/>
      </c>
      <c r="Q252" s="47" t="n">
        <f aca="false">'Daily KPI Entry'!Q253</f>
        <v>8</v>
      </c>
      <c r="R252" s="47" t="str">
        <f aca="false">IF(J252="","",Q252*J252)</f>
        <v/>
      </c>
      <c r="S252" s="49" t="n">
        <f aca="false">'Daily KPI Entry'!S253</f>
        <v>0</v>
      </c>
      <c r="T252" s="49" t="str">
        <f aca="false">IF(OR(R252="",S252=""),"",IFERROR(S252/R252*100,0))</f>
        <v/>
      </c>
      <c r="U252" s="49" t="str">
        <f aca="false">IF(OR(O252="",L252="",M252="",S252="",M252=0),"",IFERROR(O252/(L252*60*S252/(M252*36))*100,0))</f>
        <v/>
      </c>
      <c r="V252" s="49" t="n">
        <f aca="false">'Daily KPI Entry'!V253</f>
        <v>0</v>
      </c>
      <c r="W252" s="49" t="str">
        <f aca="false">IF(O252="","",IFERROR(V252/O252*100,0))</f>
        <v/>
      </c>
      <c r="X252" s="49" t="n">
        <f aca="false">'Daily KPI Entry'!X253</f>
        <v>0</v>
      </c>
      <c r="Y252" s="49" t="n">
        <f aca="false">'Daily KPI Entry'!Y253</f>
        <v>0</v>
      </c>
      <c r="Z252" s="49" t="n">
        <f aca="false">'Daily KPI Entry'!Z253</f>
        <v>0</v>
      </c>
      <c r="AA252" s="49" t="n">
        <f aca="false">'Daily KPI Entry'!AA253</f>
        <v>0</v>
      </c>
      <c r="AB252" s="49" t="n">
        <f aca="false">'Daily KPI Entry'!AB253</f>
        <v>0</v>
      </c>
      <c r="AC252" s="49" t="n">
        <f aca="false">'Daily KPI Entry'!AC253</f>
        <v>0</v>
      </c>
      <c r="AD252" s="49" t="n">
        <f aca="false">'Daily KPI Entry'!AD253</f>
        <v>0</v>
      </c>
      <c r="AE252" s="49" t="n">
        <f aca="false">'Daily KPI Entry'!AE253</f>
        <v>0</v>
      </c>
      <c r="AF252" s="47" t="str">
        <f aca="false">IF(O252="","",SUM(X252:AE252))</f>
        <v/>
      </c>
      <c r="AG252" s="49" t="str">
        <f aca="false">IF(O252="","",IFERROR(AF252/O252*1000,0))</f>
        <v/>
      </c>
      <c r="AH252" s="49" t="n">
        <f aca="false">'Daily KPI Entry'!AH253</f>
        <v>0</v>
      </c>
      <c r="AI252" s="49" t="n">
        <f aca="false">'Daily KPI Entry'!AI253</f>
        <v>0</v>
      </c>
      <c r="AJ252" s="49" t="n">
        <f aca="false">'Daily KPI Entry'!AJ253</f>
        <v>0</v>
      </c>
      <c r="AK252" s="47" t="n">
        <f aca="false">'Daily KPI Entry'!AK253</f>
        <v>0</v>
      </c>
      <c r="AL252" s="47" t="n">
        <f aca="false">'Daily KPI Entry'!AL253</f>
        <v>0</v>
      </c>
      <c r="AM252" s="47" t="n">
        <f aca="false">'Daily KPI Entry'!AM253</f>
        <v>0</v>
      </c>
      <c r="AN252" s="49" t="str">
        <f aca="false">IF(P252="","",MIN(120,P252))</f>
        <v/>
      </c>
      <c r="AO252" s="49" t="str">
        <f aca="false">IF(U252="","",MIN(120,U252))</f>
        <v/>
      </c>
      <c r="AP252" s="49" t="str">
        <f aca="false">IF(R252="","",MIN(120,IFERROR(S252/R252*100,0)))</f>
        <v/>
      </c>
      <c r="AQ252" s="49" t="str">
        <f aca="false">IF(W252="","",MIN(120,IF(W252=0,120,100*(INDEX('Standards &amp; Scoring'!$E$5:$E$13,MATCH("Quality / Rejection",'Standards &amp; Scoring'!$A$5:$A$13,0))/W252))))</f>
        <v/>
      </c>
      <c r="AR252" s="49" t="str">
        <f aca="false">IF(AG252="","",MIN(120,IF(AG252=0,120,100*(INDEX('Standards &amp; Scoring'!$E$5:$E$13,MATCH("Fault Control",'Standards &amp; Scoring'!$A$5:$A$13,0))/AG252))))</f>
        <v/>
      </c>
      <c r="AS252" s="49" t="str">
        <f aca="false">IF(O252="","",MIN(120,IF(SUMIFS('Fault &amp; Downtime Entry'!$L$6:$L$1005,'Fault &amp; Downtime Entry'!$E$6:$E$1005,G252,'Fault &amp; Downtime Entry'!$B$6:$B$1005,B252)=0,120,100*(INDEX('Standards &amp; Scoring'!$E$5:$E$13,MATCH("Downtime Control",'Standards &amp; Scoring'!$A$5:$A$13,0))/IFERROR(SUMIFS('Fault &amp; Downtime Entry'!$L$6:$L$1005,'Fault &amp; Downtime Entry'!$E$6:$E$1005,G252,'Fault &amp; Downtime Entry'!$B$6:$B$1005,B252)/O252*1000,999999)))))</f>
        <v/>
      </c>
      <c r="AT252" s="49" t="n">
        <f aca="false">IF(COUNTA(AH252,AJ252)=0,"",MIN(120,IF(AND(AH252&lt;&gt;"",AJ252&lt;&gt;""),AVERAGE(AH252,AJ252),IF(AH252&lt;&gt;"",AH252,AJ252))))</f>
        <v>0</v>
      </c>
      <c r="AU252" s="49" t="str">
        <f aca="false">IF(AI252="","",MIN(120,AI252))</f>
        <v/>
      </c>
      <c r="AV252" s="49" t="str">
        <f aca="false">IF(AJ252="","",MIN(120,AJ252))</f>
        <v/>
      </c>
      <c r="AW252" s="50" t="str">
        <f aca="false">IF(COUNT(AN252:AV252)&lt;9,"",(AN252*'Standards &amp; Scoring'!$D$5+AO252*'Standards &amp; Scoring'!$D$6+AP252*'Standards &amp; Scoring'!$D$7+AQ252*'Standards &amp; Scoring'!$D$8+AR252*'Standards &amp; Scoring'!$D$9+AS252*'Standards &amp; Scoring'!$D$10+AT252*'Standards &amp; Scoring'!$D$11+AU252*'Standards &amp; Scoring'!$D$12+AV252*'Standards &amp; Scoring'!$D$13)/10000)</f>
        <v/>
      </c>
      <c r="AX252" s="47" t="str">
        <f aca="false">IF(AW252="","",IF(AW252&gt;=1.05,"A+",IF(AW252&gt;=1,"A",IF(AW252&gt;=0.95,"B+",IF(AW252&gt;=0.9,"B","C")))))</f>
        <v/>
      </c>
      <c r="AY252" s="47" t="str">
        <f aca="false">IF(AX252="","",IF(AX252="A+",1800,IF(AX252="A",1600,IF(AX252="B+",1400,IF(AX252="B",1200,0)))))</f>
        <v/>
      </c>
      <c r="AZ252" s="49" t="str">
        <f aca="false">IF(OR(L252="",M252="",S252="",M252=0),"",IFERROR(L252*60*S252/(M252*36),0))</f>
        <v/>
      </c>
    </row>
    <row r="253" customFormat="false" ht="15" hidden="false" customHeight="true" outlineLevel="0" collapsed="false">
      <c r="A253" s="47" t="n">
        <f aca="false">'Daily KPI Entry'!A254</f>
        <v>0</v>
      </c>
      <c r="B253" s="48" t="n">
        <f aca="false">'Daily KPI Entry'!B254</f>
        <v>0</v>
      </c>
      <c r="C253" s="47" t="n">
        <f aca="false">'Daily KPI Entry'!C254</f>
        <v>0</v>
      </c>
      <c r="D253" s="47" t="n">
        <f aca="false">'Daily KPI Entry'!D254</f>
        <v>0</v>
      </c>
      <c r="E253" s="47" t="n">
        <f aca="false">'Daily KPI Entry'!E254</f>
        <v>0</v>
      </c>
      <c r="F253" s="47" t="n">
        <f aca="false">'Daily KPI Entry'!F254</f>
        <v>0</v>
      </c>
      <c r="G253" s="47" t="n">
        <f aca="false">'Daily KPI Entry'!G254</f>
        <v>0</v>
      </c>
      <c r="H253" s="47" t="str">
        <f aca="false">'Daily KPI Entry'!H254</f>
        <v/>
      </c>
      <c r="I253" s="47" t="n">
        <f aca="false">'Daily KPI Entry'!I254</f>
        <v>0</v>
      </c>
      <c r="J253" s="47" t="n">
        <f aca="false">'Daily KPI Entry'!J254</f>
        <v>0</v>
      </c>
      <c r="K253" s="47" t="n">
        <f aca="false">'Daily KPI Entry'!K254</f>
        <v>0</v>
      </c>
      <c r="L253" s="47" t="n">
        <f aca="false">'Daily KPI Entry'!L254</f>
        <v>0</v>
      </c>
      <c r="M253" s="47" t="n">
        <f aca="false">'Daily KPI Entry'!M254</f>
        <v>0</v>
      </c>
      <c r="N253" s="49" t="n">
        <f aca="false">'Daily KPI Entry'!N254</f>
        <v>0</v>
      </c>
      <c r="O253" s="49" t="n">
        <f aca="false">'Daily KPI Entry'!O254</f>
        <v>0</v>
      </c>
      <c r="P253" s="49" t="str">
        <f aca="false">IF(OR(N253="",O253=""),"",IFERROR(O253/N253*100,0))</f>
        <v/>
      </c>
      <c r="Q253" s="47" t="n">
        <f aca="false">'Daily KPI Entry'!Q254</f>
        <v>8</v>
      </c>
      <c r="R253" s="47" t="str">
        <f aca="false">IF(J253="","",Q253*J253)</f>
        <v/>
      </c>
      <c r="S253" s="49" t="n">
        <f aca="false">'Daily KPI Entry'!S254</f>
        <v>0</v>
      </c>
      <c r="T253" s="49" t="str">
        <f aca="false">IF(OR(R253="",S253=""),"",IFERROR(S253/R253*100,0))</f>
        <v/>
      </c>
      <c r="U253" s="49" t="str">
        <f aca="false">IF(OR(O253="",L253="",M253="",S253="",M253=0),"",IFERROR(O253/(L253*60*S253/(M253*36))*100,0))</f>
        <v/>
      </c>
      <c r="V253" s="49" t="n">
        <f aca="false">'Daily KPI Entry'!V254</f>
        <v>0</v>
      </c>
      <c r="W253" s="49" t="str">
        <f aca="false">IF(O253="","",IFERROR(V253/O253*100,0))</f>
        <v/>
      </c>
      <c r="X253" s="49" t="n">
        <f aca="false">'Daily KPI Entry'!X254</f>
        <v>0</v>
      </c>
      <c r="Y253" s="49" t="n">
        <f aca="false">'Daily KPI Entry'!Y254</f>
        <v>0</v>
      </c>
      <c r="Z253" s="49" t="n">
        <f aca="false">'Daily KPI Entry'!Z254</f>
        <v>0</v>
      </c>
      <c r="AA253" s="49" t="n">
        <f aca="false">'Daily KPI Entry'!AA254</f>
        <v>0</v>
      </c>
      <c r="AB253" s="49" t="n">
        <f aca="false">'Daily KPI Entry'!AB254</f>
        <v>0</v>
      </c>
      <c r="AC253" s="49" t="n">
        <f aca="false">'Daily KPI Entry'!AC254</f>
        <v>0</v>
      </c>
      <c r="AD253" s="49" t="n">
        <f aca="false">'Daily KPI Entry'!AD254</f>
        <v>0</v>
      </c>
      <c r="AE253" s="49" t="n">
        <f aca="false">'Daily KPI Entry'!AE254</f>
        <v>0</v>
      </c>
      <c r="AF253" s="47" t="str">
        <f aca="false">IF(O253="","",SUM(X253:AE253))</f>
        <v/>
      </c>
      <c r="AG253" s="49" t="str">
        <f aca="false">IF(O253="","",IFERROR(AF253/O253*1000,0))</f>
        <v/>
      </c>
      <c r="AH253" s="49" t="n">
        <f aca="false">'Daily KPI Entry'!AH254</f>
        <v>0</v>
      </c>
      <c r="AI253" s="49" t="n">
        <f aca="false">'Daily KPI Entry'!AI254</f>
        <v>0</v>
      </c>
      <c r="AJ253" s="49" t="n">
        <f aca="false">'Daily KPI Entry'!AJ254</f>
        <v>0</v>
      </c>
      <c r="AK253" s="47" t="n">
        <f aca="false">'Daily KPI Entry'!AK254</f>
        <v>0</v>
      </c>
      <c r="AL253" s="47" t="n">
        <f aca="false">'Daily KPI Entry'!AL254</f>
        <v>0</v>
      </c>
      <c r="AM253" s="47" t="n">
        <f aca="false">'Daily KPI Entry'!AM254</f>
        <v>0</v>
      </c>
      <c r="AN253" s="49" t="str">
        <f aca="false">IF(P253="","",MIN(120,P253))</f>
        <v/>
      </c>
      <c r="AO253" s="49" t="str">
        <f aca="false">IF(U253="","",MIN(120,U253))</f>
        <v/>
      </c>
      <c r="AP253" s="49" t="str">
        <f aca="false">IF(R253="","",MIN(120,IFERROR(S253/R253*100,0)))</f>
        <v/>
      </c>
      <c r="AQ253" s="49" t="str">
        <f aca="false">IF(W253="","",MIN(120,IF(W253=0,120,100*(INDEX('Standards &amp; Scoring'!$E$5:$E$13,MATCH("Quality / Rejection",'Standards &amp; Scoring'!$A$5:$A$13,0))/W253))))</f>
        <v/>
      </c>
      <c r="AR253" s="49" t="str">
        <f aca="false">IF(AG253="","",MIN(120,IF(AG253=0,120,100*(INDEX('Standards &amp; Scoring'!$E$5:$E$13,MATCH("Fault Control",'Standards &amp; Scoring'!$A$5:$A$13,0))/AG253))))</f>
        <v/>
      </c>
      <c r="AS253" s="49" t="str">
        <f aca="false">IF(O253="","",MIN(120,IF(SUMIFS('Fault &amp; Downtime Entry'!$L$6:$L$1005,'Fault &amp; Downtime Entry'!$E$6:$E$1005,G253,'Fault &amp; Downtime Entry'!$B$6:$B$1005,B253)=0,120,100*(INDEX('Standards &amp; Scoring'!$E$5:$E$13,MATCH("Downtime Control",'Standards &amp; Scoring'!$A$5:$A$13,0))/IFERROR(SUMIFS('Fault &amp; Downtime Entry'!$L$6:$L$1005,'Fault &amp; Downtime Entry'!$E$6:$E$1005,G253,'Fault &amp; Downtime Entry'!$B$6:$B$1005,B253)/O253*1000,999999)))))</f>
        <v/>
      </c>
      <c r="AT253" s="49" t="n">
        <f aca="false">IF(COUNTA(AH253,AJ253)=0,"",MIN(120,IF(AND(AH253&lt;&gt;"",AJ253&lt;&gt;""),AVERAGE(AH253,AJ253),IF(AH253&lt;&gt;"",AH253,AJ253))))</f>
        <v>0</v>
      </c>
      <c r="AU253" s="49" t="str">
        <f aca="false">IF(AI253="","",MIN(120,AI253))</f>
        <v/>
      </c>
      <c r="AV253" s="49" t="str">
        <f aca="false">IF(AJ253="","",MIN(120,AJ253))</f>
        <v/>
      </c>
      <c r="AW253" s="50" t="str">
        <f aca="false">IF(COUNT(AN253:AV253)&lt;9,"",(AN253*'Standards &amp; Scoring'!$D$5+AO253*'Standards &amp; Scoring'!$D$6+AP253*'Standards &amp; Scoring'!$D$7+AQ253*'Standards &amp; Scoring'!$D$8+AR253*'Standards &amp; Scoring'!$D$9+AS253*'Standards &amp; Scoring'!$D$10+AT253*'Standards &amp; Scoring'!$D$11+AU253*'Standards &amp; Scoring'!$D$12+AV253*'Standards &amp; Scoring'!$D$13)/10000)</f>
        <v/>
      </c>
      <c r="AX253" s="47" t="str">
        <f aca="false">IF(AW253="","",IF(AW253&gt;=1.05,"A+",IF(AW253&gt;=1,"A",IF(AW253&gt;=0.95,"B+",IF(AW253&gt;=0.9,"B","C")))))</f>
        <v/>
      </c>
      <c r="AY253" s="47" t="str">
        <f aca="false">IF(AX253="","",IF(AX253="A+",1800,IF(AX253="A",1600,IF(AX253="B+",1400,IF(AX253="B",1200,0)))))</f>
        <v/>
      </c>
      <c r="AZ253" s="49" t="str">
        <f aca="false">IF(OR(L253="",M253="",S253="",M253=0),"",IFERROR(L253*60*S253/(M253*36),0))</f>
        <v/>
      </c>
    </row>
    <row r="254" customFormat="false" ht="15" hidden="false" customHeight="true" outlineLevel="0" collapsed="false">
      <c r="A254" s="47" t="n">
        <f aca="false">'Daily KPI Entry'!A255</f>
        <v>0</v>
      </c>
      <c r="B254" s="48" t="n">
        <f aca="false">'Daily KPI Entry'!B255</f>
        <v>0</v>
      </c>
      <c r="C254" s="47" t="n">
        <f aca="false">'Daily KPI Entry'!C255</f>
        <v>0</v>
      </c>
      <c r="D254" s="47" t="n">
        <f aca="false">'Daily KPI Entry'!D255</f>
        <v>0</v>
      </c>
      <c r="E254" s="47" t="n">
        <f aca="false">'Daily KPI Entry'!E255</f>
        <v>0</v>
      </c>
      <c r="F254" s="47" t="n">
        <f aca="false">'Daily KPI Entry'!F255</f>
        <v>0</v>
      </c>
      <c r="G254" s="47" t="n">
        <f aca="false">'Daily KPI Entry'!G255</f>
        <v>0</v>
      </c>
      <c r="H254" s="47" t="str">
        <f aca="false">'Daily KPI Entry'!H255</f>
        <v/>
      </c>
      <c r="I254" s="47" t="n">
        <f aca="false">'Daily KPI Entry'!I255</f>
        <v>0</v>
      </c>
      <c r="J254" s="47" t="n">
        <f aca="false">'Daily KPI Entry'!J255</f>
        <v>0</v>
      </c>
      <c r="K254" s="47" t="n">
        <f aca="false">'Daily KPI Entry'!K255</f>
        <v>0</v>
      </c>
      <c r="L254" s="47" t="n">
        <f aca="false">'Daily KPI Entry'!L255</f>
        <v>0</v>
      </c>
      <c r="M254" s="47" t="n">
        <f aca="false">'Daily KPI Entry'!M255</f>
        <v>0</v>
      </c>
      <c r="N254" s="49" t="n">
        <f aca="false">'Daily KPI Entry'!N255</f>
        <v>0</v>
      </c>
      <c r="O254" s="49" t="n">
        <f aca="false">'Daily KPI Entry'!O255</f>
        <v>0</v>
      </c>
      <c r="P254" s="49" t="str">
        <f aca="false">IF(OR(N254="",O254=""),"",IFERROR(O254/N254*100,0))</f>
        <v/>
      </c>
      <c r="Q254" s="47" t="n">
        <f aca="false">'Daily KPI Entry'!Q255</f>
        <v>8</v>
      </c>
      <c r="R254" s="47" t="str">
        <f aca="false">IF(J254="","",Q254*J254)</f>
        <v/>
      </c>
      <c r="S254" s="49" t="n">
        <f aca="false">'Daily KPI Entry'!S255</f>
        <v>0</v>
      </c>
      <c r="T254" s="49" t="str">
        <f aca="false">IF(OR(R254="",S254=""),"",IFERROR(S254/R254*100,0))</f>
        <v/>
      </c>
      <c r="U254" s="49" t="str">
        <f aca="false">IF(OR(O254="",L254="",M254="",S254="",M254=0),"",IFERROR(O254/(L254*60*S254/(M254*36))*100,0))</f>
        <v/>
      </c>
      <c r="V254" s="49" t="n">
        <f aca="false">'Daily KPI Entry'!V255</f>
        <v>0</v>
      </c>
      <c r="W254" s="49" t="str">
        <f aca="false">IF(O254="","",IFERROR(V254/O254*100,0))</f>
        <v/>
      </c>
      <c r="X254" s="49" t="n">
        <f aca="false">'Daily KPI Entry'!X255</f>
        <v>0</v>
      </c>
      <c r="Y254" s="49" t="n">
        <f aca="false">'Daily KPI Entry'!Y255</f>
        <v>0</v>
      </c>
      <c r="Z254" s="49" t="n">
        <f aca="false">'Daily KPI Entry'!Z255</f>
        <v>0</v>
      </c>
      <c r="AA254" s="49" t="n">
        <f aca="false">'Daily KPI Entry'!AA255</f>
        <v>0</v>
      </c>
      <c r="AB254" s="49" t="n">
        <f aca="false">'Daily KPI Entry'!AB255</f>
        <v>0</v>
      </c>
      <c r="AC254" s="49" t="n">
        <f aca="false">'Daily KPI Entry'!AC255</f>
        <v>0</v>
      </c>
      <c r="AD254" s="49" t="n">
        <f aca="false">'Daily KPI Entry'!AD255</f>
        <v>0</v>
      </c>
      <c r="AE254" s="49" t="n">
        <f aca="false">'Daily KPI Entry'!AE255</f>
        <v>0</v>
      </c>
      <c r="AF254" s="47" t="str">
        <f aca="false">IF(O254="","",SUM(X254:AE254))</f>
        <v/>
      </c>
      <c r="AG254" s="49" t="str">
        <f aca="false">IF(O254="","",IFERROR(AF254/O254*1000,0))</f>
        <v/>
      </c>
      <c r="AH254" s="49" t="n">
        <f aca="false">'Daily KPI Entry'!AH255</f>
        <v>0</v>
      </c>
      <c r="AI254" s="49" t="n">
        <f aca="false">'Daily KPI Entry'!AI255</f>
        <v>0</v>
      </c>
      <c r="AJ254" s="49" t="n">
        <f aca="false">'Daily KPI Entry'!AJ255</f>
        <v>0</v>
      </c>
      <c r="AK254" s="47" t="n">
        <f aca="false">'Daily KPI Entry'!AK255</f>
        <v>0</v>
      </c>
      <c r="AL254" s="47" t="n">
        <f aca="false">'Daily KPI Entry'!AL255</f>
        <v>0</v>
      </c>
      <c r="AM254" s="47" t="n">
        <f aca="false">'Daily KPI Entry'!AM255</f>
        <v>0</v>
      </c>
      <c r="AN254" s="49" t="str">
        <f aca="false">IF(P254="","",MIN(120,P254))</f>
        <v/>
      </c>
      <c r="AO254" s="49" t="str">
        <f aca="false">IF(U254="","",MIN(120,U254))</f>
        <v/>
      </c>
      <c r="AP254" s="49" t="str">
        <f aca="false">IF(R254="","",MIN(120,IFERROR(S254/R254*100,0)))</f>
        <v/>
      </c>
      <c r="AQ254" s="49" t="str">
        <f aca="false">IF(W254="","",MIN(120,IF(W254=0,120,100*(INDEX('Standards &amp; Scoring'!$E$5:$E$13,MATCH("Quality / Rejection",'Standards &amp; Scoring'!$A$5:$A$13,0))/W254))))</f>
        <v/>
      </c>
      <c r="AR254" s="49" t="str">
        <f aca="false">IF(AG254="","",MIN(120,IF(AG254=0,120,100*(INDEX('Standards &amp; Scoring'!$E$5:$E$13,MATCH("Fault Control",'Standards &amp; Scoring'!$A$5:$A$13,0))/AG254))))</f>
        <v/>
      </c>
      <c r="AS254" s="49" t="str">
        <f aca="false">IF(O254="","",MIN(120,IF(SUMIFS('Fault &amp; Downtime Entry'!$L$6:$L$1005,'Fault &amp; Downtime Entry'!$E$6:$E$1005,G254,'Fault &amp; Downtime Entry'!$B$6:$B$1005,B254)=0,120,100*(INDEX('Standards &amp; Scoring'!$E$5:$E$13,MATCH("Downtime Control",'Standards &amp; Scoring'!$A$5:$A$13,0))/IFERROR(SUMIFS('Fault &amp; Downtime Entry'!$L$6:$L$1005,'Fault &amp; Downtime Entry'!$E$6:$E$1005,G254,'Fault &amp; Downtime Entry'!$B$6:$B$1005,B254)/O254*1000,999999)))))</f>
        <v/>
      </c>
      <c r="AT254" s="49" t="n">
        <f aca="false">IF(COUNTA(AH254,AJ254)=0,"",MIN(120,IF(AND(AH254&lt;&gt;"",AJ254&lt;&gt;""),AVERAGE(AH254,AJ254),IF(AH254&lt;&gt;"",AH254,AJ254))))</f>
        <v>0</v>
      </c>
      <c r="AU254" s="49" t="str">
        <f aca="false">IF(AI254="","",MIN(120,AI254))</f>
        <v/>
      </c>
      <c r="AV254" s="49" t="str">
        <f aca="false">IF(AJ254="","",MIN(120,AJ254))</f>
        <v/>
      </c>
      <c r="AW254" s="50" t="str">
        <f aca="false">IF(COUNT(AN254:AV254)&lt;9,"",(AN254*'Standards &amp; Scoring'!$D$5+AO254*'Standards &amp; Scoring'!$D$6+AP254*'Standards &amp; Scoring'!$D$7+AQ254*'Standards &amp; Scoring'!$D$8+AR254*'Standards &amp; Scoring'!$D$9+AS254*'Standards &amp; Scoring'!$D$10+AT254*'Standards &amp; Scoring'!$D$11+AU254*'Standards &amp; Scoring'!$D$12+AV254*'Standards &amp; Scoring'!$D$13)/10000)</f>
        <v/>
      </c>
      <c r="AX254" s="47" t="str">
        <f aca="false">IF(AW254="","",IF(AW254&gt;=1.05,"A+",IF(AW254&gt;=1,"A",IF(AW254&gt;=0.95,"B+",IF(AW254&gt;=0.9,"B","C")))))</f>
        <v/>
      </c>
      <c r="AY254" s="47" t="str">
        <f aca="false">IF(AX254="","",IF(AX254="A+",1800,IF(AX254="A",1600,IF(AX254="B+",1400,IF(AX254="B",1200,0)))))</f>
        <v/>
      </c>
      <c r="AZ254" s="49" t="str">
        <f aca="false">IF(OR(L254="",M254="",S254="",M254=0),"",IFERROR(L254*60*S254/(M254*36),0))</f>
        <v/>
      </c>
    </row>
    <row r="255" customFormat="false" ht="15" hidden="false" customHeight="true" outlineLevel="0" collapsed="false">
      <c r="A255" s="47" t="n">
        <f aca="false">'Daily KPI Entry'!A256</f>
        <v>0</v>
      </c>
      <c r="B255" s="48" t="n">
        <f aca="false">'Daily KPI Entry'!B256</f>
        <v>0</v>
      </c>
      <c r="C255" s="47" t="n">
        <f aca="false">'Daily KPI Entry'!C256</f>
        <v>0</v>
      </c>
      <c r="D255" s="47" t="n">
        <f aca="false">'Daily KPI Entry'!D256</f>
        <v>0</v>
      </c>
      <c r="E255" s="47" t="n">
        <f aca="false">'Daily KPI Entry'!E256</f>
        <v>0</v>
      </c>
      <c r="F255" s="47" t="n">
        <f aca="false">'Daily KPI Entry'!F256</f>
        <v>0</v>
      </c>
      <c r="G255" s="47" t="n">
        <f aca="false">'Daily KPI Entry'!G256</f>
        <v>0</v>
      </c>
      <c r="H255" s="47" t="str">
        <f aca="false">'Daily KPI Entry'!H256</f>
        <v/>
      </c>
      <c r="I255" s="47" t="n">
        <f aca="false">'Daily KPI Entry'!I256</f>
        <v>0</v>
      </c>
      <c r="J255" s="47" t="n">
        <f aca="false">'Daily KPI Entry'!J256</f>
        <v>0</v>
      </c>
      <c r="K255" s="47" t="n">
        <f aca="false">'Daily KPI Entry'!K256</f>
        <v>0</v>
      </c>
      <c r="L255" s="47" t="n">
        <f aca="false">'Daily KPI Entry'!L256</f>
        <v>0</v>
      </c>
      <c r="M255" s="47" t="n">
        <f aca="false">'Daily KPI Entry'!M256</f>
        <v>0</v>
      </c>
      <c r="N255" s="49" t="n">
        <f aca="false">'Daily KPI Entry'!N256</f>
        <v>0</v>
      </c>
      <c r="O255" s="49" t="n">
        <f aca="false">'Daily KPI Entry'!O256</f>
        <v>0</v>
      </c>
      <c r="P255" s="49" t="str">
        <f aca="false">IF(OR(N255="",O255=""),"",IFERROR(O255/N255*100,0))</f>
        <v/>
      </c>
      <c r="Q255" s="47" t="n">
        <f aca="false">'Daily KPI Entry'!Q256</f>
        <v>8</v>
      </c>
      <c r="R255" s="47" t="str">
        <f aca="false">IF(J255="","",Q255*J255)</f>
        <v/>
      </c>
      <c r="S255" s="49" t="n">
        <f aca="false">'Daily KPI Entry'!S256</f>
        <v>0</v>
      </c>
      <c r="T255" s="49" t="str">
        <f aca="false">IF(OR(R255="",S255=""),"",IFERROR(S255/R255*100,0))</f>
        <v/>
      </c>
      <c r="U255" s="49" t="str">
        <f aca="false">IF(OR(O255="",L255="",M255="",S255="",M255=0),"",IFERROR(O255/(L255*60*S255/(M255*36))*100,0))</f>
        <v/>
      </c>
      <c r="V255" s="49" t="n">
        <f aca="false">'Daily KPI Entry'!V256</f>
        <v>0</v>
      </c>
      <c r="W255" s="49" t="str">
        <f aca="false">IF(O255="","",IFERROR(V255/O255*100,0))</f>
        <v/>
      </c>
      <c r="X255" s="49" t="n">
        <f aca="false">'Daily KPI Entry'!X256</f>
        <v>0</v>
      </c>
      <c r="Y255" s="49" t="n">
        <f aca="false">'Daily KPI Entry'!Y256</f>
        <v>0</v>
      </c>
      <c r="Z255" s="49" t="n">
        <f aca="false">'Daily KPI Entry'!Z256</f>
        <v>0</v>
      </c>
      <c r="AA255" s="49" t="n">
        <f aca="false">'Daily KPI Entry'!AA256</f>
        <v>0</v>
      </c>
      <c r="AB255" s="49" t="n">
        <f aca="false">'Daily KPI Entry'!AB256</f>
        <v>0</v>
      </c>
      <c r="AC255" s="49" t="n">
        <f aca="false">'Daily KPI Entry'!AC256</f>
        <v>0</v>
      </c>
      <c r="AD255" s="49" t="n">
        <f aca="false">'Daily KPI Entry'!AD256</f>
        <v>0</v>
      </c>
      <c r="AE255" s="49" t="n">
        <f aca="false">'Daily KPI Entry'!AE256</f>
        <v>0</v>
      </c>
      <c r="AF255" s="47" t="str">
        <f aca="false">IF(O255="","",SUM(X255:AE255))</f>
        <v/>
      </c>
      <c r="AG255" s="49" t="str">
        <f aca="false">IF(O255="","",IFERROR(AF255/O255*1000,0))</f>
        <v/>
      </c>
      <c r="AH255" s="49" t="n">
        <f aca="false">'Daily KPI Entry'!AH256</f>
        <v>0</v>
      </c>
      <c r="AI255" s="49" t="n">
        <f aca="false">'Daily KPI Entry'!AI256</f>
        <v>0</v>
      </c>
      <c r="AJ255" s="49" t="n">
        <f aca="false">'Daily KPI Entry'!AJ256</f>
        <v>0</v>
      </c>
      <c r="AK255" s="47" t="n">
        <f aca="false">'Daily KPI Entry'!AK256</f>
        <v>0</v>
      </c>
      <c r="AL255" s="47" t="n">
        <f aca="false">'Daily KPI Entry'!AL256</f>
        <v>0</v>
      </c>
      <c r="AM255" s="47" t="n">
        <f aca="false">'Daily KPI Entry'!AM256</f>
        <v>0</v>
      </c>
      <c r="AN255" s="49" t="str">
        <f aca="false">IF(P255="","",MIN(120,P255))</f>
        <v/>
      </c>
      <c r="AO255" s="49" t="str">
        <f aca="false">IF(U255="","",MIN(120,U255))</f>
        <v/>
      </c>
      <c r="AP255" s="49" t="str">
        <f aca="false">IF(R255="","",MIN(120,IFERROR(S255/R255*100,0)))</f>
        <v/>
      </c>
      <c r="AQ255" s="49" t="str">
        <f aca="false">IF(W255="","",MIN(120,IF(W255=0,120,100*(INDEX('Standards &amp; Scoring'!$E$5:$E$13,MATCH("Quality / Rejection",'Standards &amp; Scoring'!$A$5:$A$13,0))/W255))))</f>
        <v/>
      </c>
      <c r="AR255" s="49" t="str">
        <f aca="false">IF(AG255="","",MIN(120,IF(AG255=0,120,100*(INDEX('Standards &amp; Scoring'!$E$5:$E$13,MATCH("Fault Control",'Standards &amp; Scoring'!$A$5:$A$13,0))/AG255))))</f>
        <v/>
      </c>
      <c r="AS255" s="49" t="str">
        <f aca="false">IF(O255="","",MIN(120,IF(SUMIFS('Fault &amp; Downtime Entry'!$L$6:$L$1005,'Fault &amp; Downtime Entry'!$E$6:$E$1005,G255,'Fault &amp; Downtime Entry'!$B$6:$B$1005,B255)=0,120,100*(INDEX('Standards &amp; Scoring'!$E$5:$E$13,MATCH("Downtime Control",'Standards &amp; Scoring'!$A$5:$A$13,0))/IFERROR(SUMIFS('Fault &amp; Downtime Entry'!$L$6:$L$1005,'Fault &amp; Downtime Entry'!$E$6:$E$1005,G255,'Fault &amp; Downtime Entry'!$B$6:$B$1005,B255)/O255*1000,999999)))))</f>
        <v/>
      </c>
      <c r="AT255" s="49" t="n">
        <f aca="false">IF(COUNTA(AH255,AJ255)=0,"",MIN(120,IF(AND(AH255&lt;&gt;"",AJ255&lt;&gt;""),AVERAGE(AH255,AJ255),IF(AH255&lt;&gt;"",AH255,AJ255))))</f>
        <v>0</v>
      </c>
      <c r="AU255" s="49" t="str">
        <f aca="false">IF(AI255="","",MIN(120,AI255))</f>
        <v/>
      </c>
      <c r="AV255" s="49" t="str">
        <f aca="false">IF(AJ255="","",MIN(120,AJ255))</f>
        <v/>
      </c>
      <c r="AW255" s="50" t="str">
        <f aca="false">IF(COUNT(AN255:AV255)&lt;9,"",(AN255*'Standards &amp; Scoring'!$D$5+AO255*'Standards &amp; Scoring'!$D$6+AP255*'Standards &amp; Scoring'!$D$7+AQ255*'Standards &amp; Scoring'!$D$8+AR255*'Standards &amp; Scoring'!$D$9+AS255*'Standards &amp; Scoring'!$D$10+AT255*'Standards &amp; Scoring'!$D$11+AU255*'Standards &amp; Scoring'!$D$12+AV255*'Standards &amp; Scoring'!$D$13)/10000)</f>
        <v/>
      </c>
      <c r="AX255" s="47" t="str">
        <f aca="false">IF(AW255="","",IF(AW255&gt;=1.05,"A+",IF(AW255&gt;=1,"A",IF(AW255&gt;=0.95,"B+",IF(AW255&gt;=0.9,"B","C")))))</f>
        <v/>
      </c>
      <c r="AY255" s="47" t="str">
        <f aca="false">IF(AX255="","",IF(AX255="A+",1800,IF(AX255="A",1600,IF(AX255="B+",1400,IF(AX255="B",1200,0)))))</f>
        <v/>
      </c>
      <c r="AZ255" s="49" t="str">
        <f aca="false">IF(OR(L255="",M255="",S255="",M255=0),"",IFERROR(L255*60*S255/(M255*36),0))</f>
        <v/>
      </c>
    </row>
    <row r="256" customFormat="false" ht="15" hidden="false" customHeight="true" outlineLevel="0" collapsed="false">
      <c r="A256" s="47" t="n">
        <f aca="false">'Daily KPI Entry'!A257</f>
        <v>0</v>
      </c>
      <c r="B256" s="48" t="n">
        <f aca="false">'Daily KPI Entry'!B257</f>
        <v>0</v>
      </c>
      <c r="C256" s="47" t="n">
        <f aca="false">'Daily KPI Entry'!C257</f>
        <v>0</v>
      </c>
      <c r="D256" s="47" t="n">
        <f aca="false">'Daily KPI Entry'!D257</f>
        <v>0</v>
      </c>
      <c r="E256" s="47" t="n">
        <f aca="false">'Daily KPI Entry'!E257</f>
        <v>0</v>
      </c>
      <c r="F256" s="47" t="n">
        <f aca="false">'Daily KPI Entry'!F257</f>
        <v>0</v>
      </c>
      <c r="G256" s="47" t="n">
        <f aca="false">'Daily KPI Entry'!G257</f>
        <v>0</v>
      </c>
      <c r="H256" s="47" t="str">
        <f aca="false">'Daily KPI Entry'!H257</f>
        <v/>
      </c>
      <c r="I256" s="47" t="n">
        <f aca="false">'Daily KPI Entry'!I257</f>
        <v>0</v>
      </c>
      <c r="J256" s="47" t="n">
        <f aca="false">'Daily KPI Entry'!J257</f>
        <v>0</v>
      </c>
      <c r="K256" s="47" t="n">
        <f aca="false">'Daily KPI Entry'!K257</f>
        <v>0</v>
      </c>
      <c r="L256" s="47" t="n">
        <f aca="false">'Daily KPI Entry'!L257</f>
        <v>0</v>
      </c>
      <c r="M256" s="47" t="n">
        <f aca="false">'Daily KPI Entry'!M257</f>
        <v>0</v>
      </c>
      <c r="N256" s="49" t="n">
        <f aca="false">'Daily KPI Entry'!N257</f>
        <v>0</v>
      </c>
      <c r="O256" s="49" t="n">
        <f aca="false">'Daily KPI Entry'!O257</f>
        <v>0</v>
      </c>
      <c r="P256" s="49" t="str">
        <f aca="false">IF(OR(N256="",O256=""),"",IFERROR(O256/N256*100,0))</f>
        <v/>
      </c>
      <c r="Q256" s="47" t="n">
        <f aca="false">'Daily KPI Entry'!Q257</f>
        <v>8</v>
      </c>
      <c r="R256" s="47" t="str">
        <f aca="false">IF(J256="","",Q256*J256)</f>
        <v/>
      </c>
      <c r="S256" s="49" t="n">
        <f aca="false">'Daily KPI Entry'!S257</f>
        <v>0</v>
      </c>
      <c r="T256" s="49" t="str">
        <f aca="false">IF(OR(R256="",S256=""),"",IFERROR(S256/R256*100,0))</f>
        <v/>
      </c>
      <c r="U256" s="49" t="str">
        <f aca="false">IF(OR(O256="",L256="",M256="",S256="",M256=0),"",IFERROR(O256/(L256*60*S256/(M256*36))*100,0))</f>
        <v/>
      </c>
      <c r="V256" s="49" t="n">
        <f aca="false">'Daily KPI Entry'!V257</f>
        <v>0</v>
      </c>
      <c r="W256" s="49" t="str">
        <f aca="false">IF(O256="","",IFERROR(V256/O256*100,0))</f>
        <v/>
      </c>
      <c r="X256" s="49" t="n">
        <f aca="false">'Daily KPI Entry'!X257</f>
        <v>0</v>
      </c>
      <c r="Y256" s="49" t="n">
        <f aca="false">'Daily KPI Entry'!Y257</f>
        <v>0</v>
      </c>
      <c r="Z256" s="49" t="n">
        <f aca="false">'Daily KPI Entry'!Z257</f>
        <v>0</v>
      </c>
      <c r="AA256" s="49" t="n">
        <f aca="false">'Daily KPI Entry'!AA257</f>
        <v>0</v>
      </c>
      <c r="AB256" s="49" t="n">
        <f aca="false">'Daily KPI Entry'!AB257</f>
        <v>0</v>
      </c>
      <c r="AC256" s="49" t="n">
        <f aca="false">'Daily KPI Entry'!AC257</f>
        <v>0</v>
      </c>
      <c r="AD256" s="49" t="n">
        <f aca="false">'Daily KPI Entry'!AD257</f>
        <v>0</v>
      </c>
      <c r="AE256" s="49" t="n">
        <f aca="false">'Daily KPI Entry'!AE257</f>
        <v>0</v>
      </c>
      <c r="AF256" s="47" t="str">
        <f aca="false">IF(O256="","",SUM(X256:AE256))</f>
        <v/>
      </c>
      <c r="AG256" s="49" t="str">
        <f aca="false">IF(O256="","",IFERROR(AF256/O256*1000,0))</f>
        <v/>
      </c>
      <c r="AH256" s="49" t="n">
        <f aca="false">'Daily KPI Entry'!AH257</f>
        <v>0</v>
      </c>
      <c r="AI256" s="49" t="n">
        <f aca="false">'Daily KPI Entry'!AI257</f>
        <v>0</v>
      </c>
      <c r="AJ256" s="49" t="n">
        <f aca="false">'Daily KPI Entry'!AJ257</f>
        <v>0</v>
      </c>
      <c r="AK256" s="47" t="n">
        <f aca="false">'Daily KPI Entry'!AK257</f>
        <v>0</v>
      </c>
      <c r="AL256" s="47" t="n">
        <f aca="false">'Daily KPI Entry'!AL257</f>
        <v>0</v>
      </c>
      <c r="AM256" s="47" t="n">
        <f aca="false">'Daily KPI Entry'!AM257</f>
        <v>0</v>
      </c>
      <c r="AN256" s="49" t="str">
        <f aca="false">IF(P256="","",MIN(120,P256))</f>
        <v/>
      </c>
      <c r="AO256" s="49" t="str">
        <f aca="false">IF(U256="","",MIN(120,U256))</f>
        <v/>
      </c>
      <c r="AP256" s="49" t="str">
        <f aca="false">IF(R256="","",MIN(120,IFERROR(S256/R256*100,0)))</f>
        <v/>
      </c>
      <c r="AQ256" s="49" t="str">
        <f aca="false">IF(W256="","",MIN(120,IF(W256=0,120,100*(INDEX('Standards &amp; Scoring'!$E$5:$E$13,MATCH("Quality / Rejection",'Standards &amp; Scoring'!$A$5:$A$13,0))/W256))))</f>
        <v/>
      </c>
      <c r="AR256" s="49" t="str">
        <f aca="false">IF(AG256="","",MIN(120,IF(AG256=0,120,100*(INDEX('Standards &amp; Scoring'!$E$5:$E$13,MATCH("Fault Control",'Standards &amp; Scoring'!$A$5:$A$13,0))/AG256))))</f>
        <v/>
      </c>
      <c r="AS256" s="49" t="str">
        <f aca="false">IF(O256="","",MIN(120,IF(SUMIFS('Fault &amp; Downtime Entry'!$L$6:$L$1005,'Fault &amp; Downtime Entry'!$E$6:$E$1005,G256,'Fault &amp; Downtime Entry'!$B$6:$B$1005,B256)=0,120,100*(INDEX('Standards &amp; Scoring'!$E$5:$E$13,MATCH("Downtime Control",'Standards &amp; Scoring'!$A$5:$A$13,0))/IFERROR(SUMIFS('Fault &amp; Downtime Entry'!$L$6:$L$1005,'Fault &amp; Downtime Entry'!$E$6:$E$1005,G256,'Fault &amp; Downtime Entry'!$B$6:$B$1005,B256)/O256*1000,999999)))))</f>
        <v/>
      </c>
      <c r="AT256" s="49" t="n">
        <f aca="false">IF(COUNTA(AH256,AJ256)=0,"",MIN(120,IF(AND(AH256&lt;&gt;"",AJ256&lt;&gt;""),AVERAGE(AH256,AJ256),IF(AH256&lt;&gt;"",AH256,AJ256))))</f>
        <v>0</v>
      </c>
      <c r="AU256" s="49" t="str">
        <f aca="false">IF(AI256="","",MIN(120,AI256))</f>
        <v/>
      </c>
      <c r="AV256" s="49" t="str">
        <f aca="false">IF(AJ256="","",MIN(120,AJ256))</f>
        <v/>
      </c>
      <c r="AW256" s="50" t="str">
        <f aca="false">IF(COUNT(AN256:AV256)&lt;9,"",(AN256*'Standards &amp; Scoring'!$D$5+AO256*'Standards &amp; Scoring'!$D$6+AP256*'Standards &amp; Scoring'!$D$7+AQ256*'Standards &amp; Scoring'!$D$8+AR256*'Standards &amp; Scoring'!$D$9+AS256*'Standards &amp; Scoring'!$D$10+AT256*'Standards &amp; Scoring'!$D$11+AU256*'Standards &amp; Scoring'!$D$12+AV256*'Standards &amp; Scoring'!$D$13)/10000)</f>
        <v/>
      </c>
      <c r="AX256" s="47" t="str">
        <f aca="false">IF(AW256="","",IF(AW256&gt;=1.05,"A+",IF(AW256&gt;=1,"A",IF(AW256&gt;=0.95,"B+",IF(AW256&gt;=0.9,"B","C")))))</f>
        <v/>
      </c>
      <c r="AY256" s="47" t="str">
        <f aca="false">IF(AX256="","",IF(AX256="A+",1800,IF(AX256="A",1600,IF(AX256="B+",1400,IF(AX256="B",1200,0)))))</f>
        <v/>
      </c>
      <c r="AZ256" s="49" t="str">
        <f aca="false">IF(OR(L256="",M256="",S256="",M256=0),"",IFERROR(L256*60*S256/(M256*36),0))</f>
        <v/>
      </c>
    </row>
    <row r="257" customFormat="false" ht="15" hidden="false" customHeight="true" outlineLevel="0" collapsed="false">
      <c r="A257" s="47" t="n">
        <f aca="false">'Daily KPI Entry'!A258</f>
        <v>0</v>
      </c>
      <c r="B257" s="48" t="n">
        <f aca="false">'Daily KPI Entry'!B258</f>
        <v>0</v>
      </c>
      <c r="C257" s="47" t="n">
        <f aca="false">'Daily KPI Entry'!C258</f>
        <v>0</v>
      </c>
      <c r="D257" s="47" t="n">
        <f aca="false">'Daily KPI Entry'!D258</f>
        <v>0</v>
      </c>
      <c r="E257" s="47" t="n">
        <f aca="false">'Daily KPI Entry'!E258</f>
        <v>0</v>
      </c>
      <c r="F257" s="47" t="n">
        <f aca="false">'Daily KPI Entry'!F258</f>
        <v>0</v>
      </c>
      <c r="G257" s="47" t="n">
        <f aca="false">'Daily KPI Entry'!G258</f>
        <v>0</v>
      </c>
      <c r="H257" s="47" t="str">
        <f aca="false">'Daily KPI Entry'!H258</f>
        <v/>
      </c>
      <c r="I257" s="47" t="n">
        <f aca="false">'Daily KPI Entry'!I258</f>
        <v>0</v>
      </c>
      <c r="J257" s="47" t="n">
        <f aca="false">'Daily KPI Entry'!J258</f>
        <v>0</v>
      </c>
      <c r="K257" s="47" t="n">
        <f aca="false">'Daily KPI Entry'!K258</f>
        <v>0</v>
      </c>
      <c r="L257" s="47" t="n">
        <f aca="false">'Daily KPI Entry'!L258</f>
        <v>0</v>
      </c>
      <c r="M257" s="47" t="n">
        <f aca="false">'Daily KPI Entry'!M258</f>
        <v>0</v>
      </c>
      <c r="N257" s="49" t="n">
        <f aca="false">'Daily KPI Entry'!N258</f>
        <v>0</v>
      </c>
      <c r="O257" s="49" t="n">
        <f aca="false">'Daily KPI Entry'!O258</f>
        <v>0</v>
      </c>
      <c r="P257" s="49" t="str">
        <f aca="false">IF(OR(N257="",O257=""),"",IFERROR(O257/N257*100,0))</f>
        <v/>
      </c>
      <c r="Q257" s="47" t="n">
        <f aca="false">'Daily KPI Entry'!Q258</f>
        <v>8</v>
      </c>
      <c r="R257" s="47" t="str">
        <f aca="false">IF(J257="","",Q257*J257)</f>
        <v/>
      </c>
      <c r="S257" s="49" t="n">
        <f aca="false">'Daily KPI Entry'!S258</f>
        <v>0</v>
      </c>
      <c r="T257" s="49" t="str">
        <f aca="false">IF(OR(R257="",S257=""),"",IFERROR(S257/R257*100,0))</f>
        <v/>
      </c>
      <c r="U257" s="49" t="str">
        <f aca="false">IF(OR(O257="",L257="",M257="",S257="",M257=0),"",IFERROR(O257/(L257*60*S257/(M257*36))*100,0))</f>
        <v/>
      </c>
      <c r="V257" s="49" t="n">
        <f aca="false">'Daily KPI Entry'!V258</f>
        <v>0</v>
      </c>
      <c r="W257" s="49" t="str">
        <f aca="false">IF(O257="","",IFERROR(V257/O257*100,0))</f>
        <v/>
      </c>
      <c r="X257" s="49" t="n">
        <f aca="false">'Daily KPI Entry'!X258</f>
        <v>0</v>
      </c>
      <c r="Y257" s="49" t="n">
        <f aca="false">'Daily KPI Entry'!Y258</f>
        <v>0</v>
      </c>
      <c r="Z257" s="49" t="n">
        <f aca="false">'Daily KPI Entry'!Z258</f>
        <v>0</v>
      </c>
      <c r="AA257" s="49" t="n">
        <f aca="false">'Daily KPI Entry'!AA258</f>
        <v>0</v>
      </c>
      <c r="AB257" s="49" t="n">
        <f aca="false">'Daily KPI Entry'!AB258</f>
        <v>0</v>
      </c>
      <c r="AC257" s="49" t="n">
        <f aca="false">'Daily KPI Entry'!AC258</f>
        <v>0</v>
      </c>
      <c r="AD257" s="49" t="n">
        <f aca="false">'Daily KPI Entry'!AD258</f>
        <v>0</v>
      </c>
      <c r="AE257" s="49" t="n">
        <f aca="false">'Daily KPI Entry'!AE258</f>
        <v>0</v>
      </c>
      <c r="AF257" s="47" t="str">
        <f aca="false">IF(O257="","",SUM(X257:AE257))</f>
        <v/>
      </c>
      <c r="AG257" s="49" t="str">
        <f aca="false">IF(O257="","",IFERROR(AF257/O257*1000,0))</f>
        <v/>
      </c>
      <c r="AH257" s="49" t="n">
        <f aca="false">'Daily KPI Entry'!AH258</f>
        <v>0</v>
      </c>
      <c r="AI257" s="49" t="n">
        <f aca="false">'Daily KPI Entry'!AI258</f>
        <v>0</v>
      </c>
      <c r="AJ257" s="49" t="n">
        <f aca="false">'Daily KPI Entry'!AJ258</f>
        <v>0</v>
      </c>
      <c r="AK257" s="47" t="n">
        <f aca="false">'Daily KPI Entry'!AK258</f>
        <v>0</v>
      </c>
      <c r="AL257" s="47" t="n">
        <f aca="false">'Daily KPI Entry'!AL258</f>
        <v>0</v>
      </c>
      <c r="AM257" s="47" t="n">
        <f aca="false">'Daily KPI Entry'!AM258</f>
        <v>0</v>
      </c>
      <c r="AN257" s="49" t="str">
        <f aca="false">IF(P257="","",MIN(120,P257))</f>
        <v/>
      </c>
      <c r="AO257" s="49" t="str">
        <f aca="false">IF(U257="","",MIN(120,U257))</f>
        <v/>
      </c>
      <c r="AP257" s="49" t="str">
        <f aca="false">IF(R257="","",MIN(120,IFERROR(S257/R257*100,0)))</f>
        <v/>
      </c>
      <c r="AQ257" s="49" t="str">
        <f aca="false">IF(W257="","",MIN(120,IF(W257=0,120,100*(INDEX('Standards &amp; Scoring'!$E$5:$E$13,MATCH("Quality / Rejection",'Standards &amp; Scoring'!$A$5:$A$13,0))/W257))))</f>
        <v/>
      </c>
      <c r="AR257" s="49" t="str">
        <f aca="false">IF(AG257="","",MIN(120,IF(AG257=0,120,100*(INDEX('Standards &amp; Scoring'!$E$5:$E$13,MATCH("Fault Control",'Standards &amp; Scoring'!$A$5:$A$13,0))/AG257))))</f>
        <v/>
      </c>
      <c r="AS257" s="49" t="str">
        <f aca="false">IF(O257="","",MIN(120,IF(SUMIFS('Fault &amp; Downtime Entry'!$L$6:$L$1005,'Fault &amp; Downtime Entry'!$E$6:$E$1005,G257,'Fault &amp; Downtime Entry'!$B$6:$B$1005,B257)=0,120,100*(INDEX('Standards &amp; Scoring'!$E$5:$E$13,MATCH("Downtime Control",'Standards &amp; Scoring'!$A$5:$A$13,0))/IFERROR(SUMIFS('Fault &amp; Downtime Entry'!$L$6:$L$1005,'Fault &amp; Downtime Entry'!$E$6:$E$1005,G257,'Fault &amp; Downtime Entry'!$B$6:$B$1005,B257)/O257*1000,999999)))))</f>
        <v/>
      </c>
      <c r="AT257" s="49" t="n">
        <f aca="false">IF(COUNTA(AH257,AJ257)=0,"",MIN(120,IF(AND(AH257&lt;&gt;"",AJ257&lt;&gt;""),AVERAGE(AH257,AJ257),IF(AH257&lt;&gt;"",AH257,AJ257))))</f>
        <v>0</v>
      </c>
      <c r="AU257" s="49" t="str">
        <f aca="false">IF(AI257="","",MIN(120,AI257))</f>
        <v/>
      </c>
      <c r="AV257" s="49" t="str">
        <f aca="false">IF(AJ257="","",MIN(120,AJ257))</f>
        <v/>
      </c>
      <c r="AW257" s="50" t="str">
        <f aca="false">IF(COUNT(AN257:AV257)&lt;9,"",(AN257*'Standards &amp; Scoring'!$D$5+AO257*'Standards &amp; Scoring'!$D$6+AP257*'Standards &amp; Scoring'!$D$7+AQ257*'Standards &amp; Scoring'!$D$8+AR257*'Standards &amp; Scoring'!$D$9+AS257*'Standards &amp; Scoring'!$D$10+AT257*'Standards &amp; Scoring'!$D$11+AU257*'Standards &amp; Scoring'!$D$12+AV257*'Standards &amp; Scoring'!$D$13)/10000)</f>
        <v/>
      </c>
      <c r="AX257" s="47" t="str">
        <f aca="false">IF(AW257="","",IF(AW257&gt;=1.05,"A+",IF(AW257&gt;=1,"A",IF(AW257&gt;=0.95,"B+",IF(AW257&gt;=0.9,"B","C")))))</f>
        <v/>
      </c>
      <c r="AY257" s="47" t="str">
        <f aca="false">IF(AX257="","",IF(AX257="A+",1800,IF(AX257="A",1600,IF(AX257="B+",1400,IF(AX257="B",1200,0)))))</f>
        <v/>
      </c>
      <c r="AZ257" s="49" t="str">
        <f aca="false">IF(OR(L257="",M257="",S257="",M257=0),"",IFERROR(L257*60*S257/(M257*36),0))</f>
        <v/>
      </c>
    </row>
    <row r="258" customFormat="false" ht="15" hidden="false" customHeight="true" outlineLevel="0" collapsed="false">
      <c r="A258" s="47" t="n">
        <f aca="false">'Daily KPI Entry'!A259</f>
        <v>0</v>
      </c>
      <c r="B258" s="48" t="n">
        <f aca="false">'Daily KPI Entry'!B259</f>
        <v>0</v>
      </c>
      <c r="C258" s="47" t="n">
        <f aca="false">'Daily KPI Entry'!C259</f>
        <v>0</v>
      </c>
      <c r="D258" s="47" t="n">
        <f aca="false">'Daily KPI Entry'!D259</f>
        <v>0</v>
      </c>
      <c r="E258" s="47" t="n">
        <f aca="false">'Daily KPI Entry'!E259</f>
        <v>0</v>
      </c>
      <c r="F258" s="47" t="n">
        <f aca="false">'Daily KPI Entry'!F259</f>
        <v>0</v>
      </c>
      <c r="G258" s="47" t="n">
        <f aca="false">'Daily KPI Entry'!G259</f>
        <v>0</v>
      </c>
      <c r="H258" s="47" t="str">
        <f aca="false">'Daily KPI Entry'!H259</f>
        <v/>
      </c>
      <c r="I258" s="47" t="n">
        <f aca="false">'Daily KPI Entry'!I259</f>
        <v>0</v>
      </c>
      <c r="J258" s="47" t="n">
        <f aca="false">'Daily KPI Entry'!J259</f>
        <v>0</v>
      </c>
      <c r="K258" s="47" t="n">
        <f aca="false">'Daily KPI Entry'!K259</f>
        <v>0</v>
      </c>
      <c r="L258" s="47" t="n">
        <f aca="false">'Daily KPI Entry'!L259</f>
        <v>0</v>
      </c>
      <c r="M258" s="47" t="n">
        <f aca="false">'Daily KPI Entry'!M259</f>
        <v>0</v>
      </c>
      <c r="N258" s="49" t="n">
        <f aca="false">'Daily KPI Entry'!N259</f>
        <v>0</v>
      </c>
      <c r="O258" s="49" t="n">
        <f aca="false">'Daily KPI Entry'!O259</f>
        <v>0</v>
      </c>
      <c r="P258" s="49" t="str">
        <f aca="false">IF(OR(N258="",O258=""),"",IFERROR(O258/N258*100,0))</f>
        <v/>
      </c>
      <c r="Q258" s="47" t="n">
        <f aca="false">'Daily KPI Entry'!Q259</f>
        <v>8</v>
      </c>
      <c r="R258" s="47" t="str">
        <f aca="false">IF(J258="","",Q258*J258)</f>
        <v/>
      </c>
      <c r="S258" s="49" t="n">
        <f aca="false">'Daily KPI Entry'!S259</f>
        <v>0</v>
      </c>
      <c r="T258" s="49" t="str">
        <f aca="false">IF(OR(R258="",S258=""),"",IFERROR(S258/R258*100,0))</f>
        <v/>
      </c>
      <c r="U258" s="49" t="str">
        <f aca="false">IF(OR(O258="",L258="",M258="",S258="",M258=0),"",IFERROR(O258/(L258*60*S258/(M258*36))*100,0))</f>
        <v/>
      </c>
      <c r="V258" s="49" t="n">
        <f aca="false">'Daily KPI Entry'!V259</f>
        <v>0</v>
      </c>
      <c r="W258" s="49" t="str">
        <f aca="false">IF(O258="","",IFERROR(V258/O258*100,0))</f>
        <v/>
      </c>
      <c r="X258" s="49" t="n">
        <f aca="false">'Daily KPI Entry'!X259</f>
        <v>0</v>
      </c>
      <c r="Y258" s="49" t="n">
        <f aca="false">'Daily KPI Entry'!Y259</f>
        <v>0</v>
      </c>
      <c r="Z258" s="49" t="n">
        <f aca="false">'Daily KPI Entry'!Z259</f>
        <v>0</v>
      </c>
      <c r="AA258" s="49" t="n">
        <f aca="false">'Daily KPI Entry'!AA259</f>
        <v>0</v>
      </c>
      <c r="AB258" s="49" t="n">
        <f aca="false">'Daily KPI Entry'!AB259</f>
        <v>0</v>
      </c>
      <c r="AC258" s="49" t="n">
        <f aca="false">'Daily KPI Entry'!AC259</f>
        <v>0</v>
      </c>
      <c r="AD258" s="49" t="n">
        <f aca="false">'Daily KPI Entry'!AD259</f>
        <v>0</v>
      </c>
      <c r="AE258" s="49" t="n">
        <f aca="false">'Daily KPI Entry'!AE259</f>
        <v>0</v>
      </c>
      <c r="AF258" s="47" t="str">
        <f aca="false">IF(O258="","",SUM(X258:AE258))</f>
        <v/>
      </c>
      <c r="AG258" s="49" t="str">
        <f aca="false">IF(O258="","",IFERROR(AF258/O258*1000,0))</f>
        <v/>
      </c>
      <c r="AH258" s="49" t="n">
        <f aca="false">'Daily KPI Entry'!AH259</f>
        <v>0</v>
      </c>
      <c r="AI258" s="49" t="n">
        <f aca="false">'Daily KPI Entry'!AI259</f>
        <v>0</v>
      </c>
      <c r="AJ258" s="49" t="n">
        <f aca="false">'Daily KPI Entry'!AJ259</f>
        <v>0</v>
      </c>
      <c r="AK258" s="47" t="n">
        <f aca="false">'Daily KPI Entry'!AK259</f>
        <v>0</v>
      </c>
      <c r="AL258" s="47" t="n">
        <f aca="false">'Daily KPI Entry'!AL259</f>
        <v>0</v>
      </c>
      <c r="AM258" s="47" t="n">
        <f aca="false">'Daily KPI Entry'!AM259</f>
        <v>0</v>
      </c>
      <c r="AN258" s="49" t="str">
        <f aca="false">IF(P258="","",MIN(120,P258))</f>
        <v/>
      </c>
      <c r="AO258" s="49" t="str">
        <f aca="false">IF(U258="","",MIN(120,U258))</f>
        <v/>
      </c>
      <c r="AP258" s="49" t="str">
        <f aca="false">IF(R258="","",MIN(120,IFERROR(S258/R258*100,0)))</f>
        <v/>
      </c>
      <c r="AQ258" s="49" t="str">
        <f aca="false">IF(W258="","",MIN(120,IF(W258=0,120,100*(INDEX('Standards &amp; Scoring'!$E$5:$E$13,MATCH("Quality / Rejection",'Standards &amp; Scoring'!$A$5:$A$13,0))/W258))))</f>
        <v/>
      </c>
      <c r="AR258" s="49" t="str">
        <f aca="false">IF(AG258="","",MIN(120,IF(AG258=0,120,100*(INDEX('Standards &amp; Scoring'!$E$5:$E$13,MATCH("Fault Control",'Standards &amp; Scoring'!$A$5:$A$13,0))/AG258))))</f>
        <v/>
      </c>
      <c r="AS258" s="49" t="str">
        <f aca="false">IF(O258="","",MIN(120,IF(SUMIFS('Fault &amp; Downtime Entry'!$L$6:$L$1005,'Fault &amp; Downtime Entry'!$E$6:$E$1005,G258,'Fault &amp; Downtime Entry'!$B$6:$B$1005,B258)=0,120,100*(INDEX('Standards &amp; Scoring'!$E$5:$E$13,MATCH("Downtime Control",'Standards &amp; Scoring'!$A$5:$A$13,0))/IFERROR(SUMIFS('Fault &amp; Downtime Entry'!$L$6:$L$1005,'Fault &amp; Downtime Entry'!$E$6:$E$1005,G258,'Fault &amp; Downtime Entry'!$B$6:$B$1005,B258)/O258*1000,999999)))))</f>
        <v/>
      </c>
      <c r="AT258" s="49" t="n">
        <f aca="false">IF(COUNTA(AH258,AJ258)=0,"",MIN(120,IF(AND(AH258&lt;&gt;"",AJ258&lt;&gt;""),AVERAGE(AH258,AJ258),IF(AH258&lt;&gt;"",AH258,AJ258))))</f>
        <v>0</v>
      </c>
      <c r="AU258" s="49" t="str">
        <f aca="false">IF(AI258="","",MIN(120,AI258))</f>
        <v/>
      </c>
      <c r="AV258" s="49" t="str">
        <f aca="false">IF(AJ258="","",MIN(120,AJ258))</f>
        <v/>
      </c>
      <c r="AW258" s="50" t="str">
        <f aca="false">IF(COUNT(AN258:AV258)&lt;9,"",(AN258*'Standards &amp; Scoring'!$D$5+AO258*'Standards &amp; Scoring'!$D$6+AP258*'Standards &amp; Scoring'!$D$7+AQ258*'Standards &amp; Scoring'!$D$8+AR258*'Standards &amp; Scoring'!$D$9+AS258*'Standards &amp; Scoring'!$D$10+AT258*'Standards &amp; Scoring'!$D$11+AU258*'Standards &amp; Scoring'!$D$12+AV258*'Standards &amp; Scoring'!$D$13)/10000)</f>
        <v/>
      </c>
      <c r="AX258" s="47" t="str">
        <f aca="false">IF(AW258="","",IF(AW258&gt;=1.05,"A+",IF(AW258&gt;=1,"A",IF(AW258&gt;=0.95,"B+",IF(AW258&gt;=0.9,"B","C")))))</f>
        <v/>
      </c>
      <c r="AY258" s="47" t="str">
        <f aca="false">IF(AX258="","",IF(AX258="A+",1800,IF(AX258="A",1600,IF(AX258="B+",1400,IF(AX258="B",1200,0)))))</f>
        <v/>
      </c>
      <c r="AZ258" s="49" t="str">
        <f aca="false">IF(OR(L258="",M258="",S258="",M258=0),"",IFERROR(L258*60*S258/(M258*36),0))</f>
        <v/>
      </c>
    </row>
    <row r="259" customFormat="false" ht="15" hidden="false" customHeight="true" outlineLevel="0" collapsed="false">
      <c r="A259" s="47" t="n">
        <f aca="false">'Daily KPI Entry'!A260</f>
        <v>0</v>
      </c>
      <c r="B259" s="48" t="n">
        <f aca="false">'Daily KPI Entry'!B260</f>
        <v>0</v>
      </c>
      <c r="C259" s="47" t="n">
        <f aca="false">'Daily KPI Entry'!C260</f>
        <v>0</v>
      </c>
      <c r="D259" s="47" t="n">
        <f aca="false">'Daily KPI Entry'!D260</f>
        <v>0</v>
      </c>
      <c r="E259" s="47" t="n">
        <f aca="false">'Daily KPI Entry'!E260</f>
        <v>0</v>
      </c>
      <c r="F259" s="47" t="n">
        <f aca="false">'Daily KPI Entry'!F260</f>
        <v>0</v>
      </c>
      <c r="G259" s="47" t="n">
        <f aca="false">'Daily KPI Entry'!G260</f>
        <v>0</v>
      </c>
      <c r="H259" s="47" t="str">
        <f aca="false">'Daily KPI Entry'!H260</f>
        <v/>
      </c>
      <c r="I259" s="47" t="n">
        <f aca="false">'Daily KPI Entry'!I260</f>
        <v>0</v>
      </c>
      <c r="J259" s="47" t="n">
        <f aca="false">'Daily KPI Entry'!J260</f>
        <v>0</v>
      </c>
      <c r="K259" s="47" t="n">
        <f aca="false">'Daily KPI Entry'!K260</f>
        <v>0</v>
      </c>
      <c r="L259" s="47" t="n">
        <f aca="false">'Daily KPI Entry'!L260</f>
        <v>0</v>
      </c>
      <c r="M259" s="47" t="n">
        <f aca="false">'Daily KPI Entry'!M260</f>
        <v>0</v>
      </c>
      <c r="N259" s="49" t="n">
        <f aca="false">'Daily KPI Entry'!N260</f>
        <v>0</v>
      </c>
      <c r="O259" s="49" t="n">
        <f aca="false">'Daily KPI Entry'!O260</f>
        <v>0</v>
      </c>
      <c r="P259" s="49" t="str">
        <f aca="false">IF(OR(N259="",O259=""),"",IFERROR(O259/N259*100,0))</f>
        <v/>
      </c>
      <c r="Q259" s="47" t="n">
        <f aca="false">'Daily KPI Entry'!Q260</f>
        <v>8</v>
      </c>
      <c r="R259" s="47" t="str">
        <f aca="false">IF(J259="","",Q259*J259)</f>
        <v/>
      </c>
      <c r="S259" s="49" t="n">
        <f aca="false">'Daily KPI Entry'!S260</f>
        <v>0</v>
      </c>
      <c r="T259" s="49" t="str">
        <f aca="false">IF(OR(R259="",S259=""),"",IFERROR(S259/R259*100,0))</f>
        <v/>
      </c>
      <c r="U259" s="49" t="str">
        <f aca="false">IF(OR(O259="",L259="",M259="",S259="",M259=0),"",IFERROR(O259/(L259*60*S259/(M259*36))*100,0))</f>
        <v/>
      </c>
      <c r="V259" s="49" t="n">
        <f aca="false">'Daily KPI Entry'!V260</f>
        <v>0</v>
      </c>
      <c r="W259" s="49" t="str">
        <f aca="false">IF(O259="","",IFERROR(V259/O259*100,0))</f>
        <v/>
      </c>
      <c r="X259" s="49" t="n">
        <f aca="false">'Daily KPI Entry'!X260</f>
        <v>0</v>
      </c>
      <c r="Y259" s="49" t="n">
        <f aca="false">'Daily KPI Entry'!Y260</f>
        <v>0</v>
      </c>
      <c r="Z259" s="49" t="n">
        <f aca="false">'Daily KPI Entry'!Z260</f>
        <v>0</v>
      </c>
      <c r="AA259" s="49" t="n">
        <f aca="false">'Daily KPI Entry'!AA260</f>
        <v>0</v>
      </c>
      <c r="AB259" s="49" t="n">
        <f aca="false">'Daily KPI Entry'!AB260</f>
        <v>0</v>
      </c>
      <c r="AC259" s="49" t="n">
        <f aca="false">'Daily KPI Entry'!AC260</f>
        <v>0</v>
      </c>
      <c r="AD259" s="49" t="n">
        <f aca="false">'Daily KPI Entry'!AD260</f>
        <v>0</v>
      </c>
      <c r="AE259" s="49" t="n">
        <f aca="false">'Daily KPI Entry'!AE260</f>
        <v>0</v>
      </c>
      <c r="AF259" s="47" t="str">
        <f aca="false">IF(O259="","",SUM(X259:AE259))</f>
        <v/>
      </c>
      <c r="AG259" s="49" t="str">
        <f aca="false">IF(O259="","",IFERROR(AF259/O259*1000,0))</f>
        <v/>
      </c>
      <c r="AH259" s="49" t="n">
        <f aca="false">'Daily KPI Entry'!AH260</f>
        <v>0</v>
      </c>
      <c r="AI259" s="49" t="n">
        <f aca="false">'Daily KPI Entry'!AI260</f>
        <v>0</v>
      </c>
      <c r="AJ259" s="49" t="n">
        <f aca="false">'Daily KPI Entry'!AJ260</f>
        <v>0</v>
      </c>
      <c r="AK259" s="47" t="n">
        <f aca="false">'Daily KPI Entry'!AK260</f>
        <v>0</v>
      </c>
      <c r="AL259" s="47" t="n">
        <f aca="false">'Daily KPI Entry'!AL260</f>
        <v>0</v>
      </c>
      <c r="AM259" s="47" t="n">
        <f aca="false">'Daily KPI Entry'!AM260</f>
        <v>0</v>
      </c>
      <c r="AN259" s="49" t="str">
        <f aca="false">IF(P259="","",MIN(120,P259))</f>
        <v/>
      </c>
      <c r="AO259" s="49" t="str">
        <f aca="false">IF(U259="","",MIN(120,U259))</f>
        <v/>
      </c>
      <c r="AP259" s="49" t="str">
        <f aca="false">IF(R259="","",MIN(120,IFERROR(S259/R259*100,0)))</f>
        <v/>
      </c>
      <c r="AQ259" s="49" t="str">
        <f aca="false">IF(W259="","",MIN(120,IF(W259=0,120,100*(INDEX('Standards &amp; Scoring'!$E$5:$E$13,MATCH("Quality / Rejection",'Standards &amp; Scoring'!$A$5:$A$13,0))/W259))))</f>
        <v/>
      </c>
      <c r="AR259" s="49" t="str">
        <f aca="false">IF(AG259="","",MIN(120,IF(AG259=0,120,100*(INDEX('Standards &amp; Scoring'!$E$5:$E$13,MATCH("Fault Control",'Standards &amp; Scoring'!$A$5:$A$13,0))/AG259))))</f>
        <v/>
      </c>
      <c r="AS259" s="49" t="str">
        <f aca="false">IF(O259="","",MIN(120,IF(SUMIFS('Fault &amp; Downtime Entry'!$L$6:$L$1005,'Fault &amp; Downtime Entry'!$E$6:$E$1005,G259,'Fault &amp; Downtime Entry'!$B$6:$B$1005,B259)=0,120,100*(INDEX('Standards &amp; Scoring'!$E$5:$E$13,MATCH("Downtime Control",'Standards &amp; Scoring'!$A$5:$A$13,0))/IFERROR(SUMIFS('Fault &amp; Downtime Entry'!$L$6:$L$1005,'Fault &amp; Downtime Entry'!$E$6:$E$1005,G259,'Fault &amp; Downtime Entry'!$B$6:$B$1005,B259)/O259*1000,999999)))))</f>
        <v/>
      </c>
      <c r="AT259" s="49" t="n">
        <f aca="false">IF(COUNTA(AH259,AJ259)=0,"",MIN(120,IF(AND(AH259&lt;&gt;"",AJ259&lt;&gt;""),AVERAGE(AH259,AJ259),IF(AH259&lt;&gt;"",AH259,AJ259))))</f>
        <v>0</v>
      </c>
      <c r="AU259" s="49" t="str">
        <f aca="false">IF(AI259="","",MIN(120,AI259))</f>
        <v/>
      </c>
      <c r="AV259" s="49" t="str">
        <f aca="false">IF(AJ259="","",MIN(120,AJ259))</f>
        <v/>
      </c>
      <c r="AW259" s="50" t="str">
        <f aca="false">IF(COUNT(AN259:AV259)&lt;9,"",(AN259*'Standards &amp; Scoring'!$D$5+AO259*'Standards &amp; Scoring'!$D$6+AP259*'Standards &amp; Scoring'!$D$7+AQ259*'Standards &amp; Scoring'!$D$8+AR259*'Standards &amp; Scoring'!$D$9+AS259*'Standards &amp; Scoring'!$D$10+AT259*'Standards &amp; Scoring'!$D$11+AU259*'Standards &amp; Scoring'!$D$12+AV259*'Standards &amp; Scoring'!$D$13)/10000)</f>
        <v/>
      </c>
      <c r="AX259" s="47" t="str">
        <f aca="false">IF(AW259="","",IF(AW259&gt;=1.05,"A+",IF(AW259&gt;=1,"A",IF(AW259&gt;=0.95,"B+",IF(AW259&gt;=0.9,"B","C")))))</f>
        <v/>
      </c>
      <c r="AY259" s="47" t="str">
        <f aca="false">IF(AX259="","",IF(AX259="A+",1800,IF(AX259="A",1600,IF(AX259="B+",1400,IF(AX259="B",1200,0)))))</f>
        <v/>
      </c>
      <c r="AZ259" s="49" t="str">
        <f aca="false">IF(OR(L259="",M259="",S259="",M259=0),"",IFERROR(L259*60*S259/(M259*36),0))</f>
        <v/>
      </c>
    </row>
    <row r="260" customFormat="false" ht="15" hidden="false" customHeight="true" outlineLevel="0" collapsed="false">
      <c r="A260" s="47" t="n">
        <f aca="false">'Daily KPI Entry'!A261</f>
        <v>0</v>
      </c>
      <c r="B260" s="48" t="n">
        <f aca="false">'Daily KPI Entry'!B261</f>
        <v>0</v>
      </c>
      <c r="C260" s="47" t="n">
        <f aca="false">'Daily KPI Entry'!C261</f>
        <v>0</v>
      </c>
      <c r="D260" s="47" t="n">
        <f aca="false">'Daily KPI Entry'!D261</f>
        <v>0</v>
      </c>
      <c r="E260" s="47" t="n">
        <f aca="false">'Daily KPI Entry'!E261</f>
        <v>0</v>
      </c>
      <c r="F260" s="47" t="n">
        <f aca="false">'Daily KPI Entry'!F261</f>
        <v>0</v>
      </c>
      <c r="G260" s="47" t="n">
        <f aca="false">'Daily KPI Entry'!G261</f>
        <v>0</v>
      </c>
      <c r="H260" s="47" t="str">
        <f aca="false">'Daily KPI Entry'!H261</f>
        <v/>
      </c>
      <c r="I260" s="47" t="n">
        <f aca="false">'Daily KPI Entry'!I261</f>
        <v>0</v>
      </c>
      <c r="J260" s="47" t="n">
        <f aca="false">'Daily KPI Entry'!J261</f>
        <v>0</v>
      </c>
      <c r="K260" s="47" t="n">
        <f aca="false">'Daily KPI Entry'!K261</f>
        <v>0</v>
      </c>
      <c r="L260" s="47" t="n">
        <f aca="false">'Daily KPI Entry'!L261</f>
        <v>0</v>
      </c>
      <c r="M260" s="47" t="n">
        <f aca="false">'Daily KPI Entry'!M261</f>
        <v>0</v>
      </c>
      <c r="N260" s="49" t="n">
        <f aca="false">'Daily KPI Entry'!N261</f>
        <v>0</v>
      </c>
      <c r="O260" s="49" t="n">
        <f aca="false">'Daily KPI Entry'!O261</f>
        <v>0</v>
      </c>
      <c r="P260" s="49" t="str">
        <f aca="false">IF(OR(N260="",O260=""),"",IFERROR(O260/N260*100,0))</f>
        <v/>
      </c>
      <c r="Q260" s="47" t="n">
        <f aca="false">'Daily KPI Entry'!Q261</f>
        <v>8</v>
      </c>
      <c r="R260" s="47" t="str">
        <f aca="false">IF(J260="","",Q260*J260)</f>
        <v/>
      </c>
      <c r="S260" s="49" t="n">
        <f aca="false">'Daily KPI Entry'!S261</f>
        <v>0</v>
      </c>
      <c r="T260" s="49" t="str">
        <f aca="false">IF(OR(R260="",S260=""),"",IFERROR(S260/R260*100,0))</f>
        <v/>
      </c>
      <c r="U260" s="49" t="str">
        <f aca="false">IF(OR(O260="",L260="",M260="",S260="",M260=0),"",IFERROR(O260/(L260*60*S260/(M260*36))*100,0))</f>
        <v/>
      </c>
      <c r="V260" s="49" t="n">
        <f aca="false">'Daily KPI Entry'!V261</f>
        <v>0</v>
      </c>
      <c r="W260" s="49" t="str">
        <f aca="false">IF(O260="","",IFERROR(V260/O260*100,0))</f>
        <v/>
      </c>
      <c r="X260" s="49" t="n">
        <f aca="false">'Daily KPI Entry'!X261</f>
        <v>0</v>
      </c>
      <c r="Y260" s="49" t="n">
        <f aca="false">'Daily KPI Entry'!Y261</f>
        <v>0</v>
      </c>
      <c r="Z260" s="49" t="n">
        <f aca="false">'Daily KPI Entry'!Z261</f>
        <v>0</v>
      </c>
      <c r="AA260" s="49" t="n">
        <f aca="false">'Daily KPI Entry'!AA261</f>
        <v>0</v>
      </c>
      <c r="AB260" s="49" t="n">
        <f aca="false">'Daily KPI Entry'!AB261</f>
        <v>0</v>
      </c>
      <c r="AC260" s="49" t="n">
        <f aca="false">'Daily KPI Entry'!AC261</f>
        <v>0</v>
      </c>
      <c r="AD260" s="49" t="n">
        <f aca="false">'Daily KPI Entry'!AD261</f>
        <v>0</v>
      </c>
      <c r="AE260" s="49" t="n">
        <f aca="false">'Daily KPI Entry'!AE261</f>
        <v>0</v>
      </c>
      <c r="AF260" s="47" t="str">
        <f aca="false">IF(O260="","",SUM(X260:AE260))</f>
        <v/>
      </c>
      <c r="AG260" s="49" t="str">
        <f aca="false">IF(O260="","",IFERROR(AF260/O260*1000,0))</f>
        <v/>
      </c>
      <c r="AH260" s="49" t="n">
        <f aca="false">'Daily KPI Entry'!AH261</f>
        <v>0</v>
      </c>
      <c r="AI260" s="49" t="n">
        <f aca="false">'Daily KPI Entry'!AI261</f>
        <v>0</v>
      </c>
      <c r="AJ260" s="49" t="n">
        <f aca="false">'Daily KPI Entry'!AJ261</f>
        <v>0</v>
      </c>
      <c r="AK260" s="47" t="n">
        <f aca="false">'Daily KPI Entry'!AK261</f>
        <v>0</v>
      </c>
      <c r="AL260" s="47" t="n">
        <f aca="false">'Daily KPI Entry'!AL261</f>
        <v>0</v>
      </c>
      <c r="AM260" s="47" t="n">
        <f aca="false">'Daily KPI Entry'!AM261</f>
        <v>0</v>
      </c>
      <c r="AN260" s="49" t="str">
        <f aca="false">IF(P260="","",MIN(120,P260))</f>
        <v/>
      </c>
      <c r="AO260" s="49" t="str">
        <f aca="false">IF(U260="","",MIN(120,U260))</f>
        <v/>
      </c>
      <c r="AP260" s="49" t="str">
        <f aca="false">IF(R260="","",MIN(120,IFERROR(S260/R260*100,0)))</f>
        <v/>
      </c>
      <c r="AQ260" s="49" t="str">
        <f aca="false">IF(W260="","",MIN(120,IF(W260=0,120,100*(INDEX('Standards &amp; Scoring'!$E$5:$E$13,MATCH("Quality / Rejection",'Standards &amp; Scoring'!$A$5:$A$13,0))/W260))))</f>
        <v/>
      </c>
      <c r="AR260" s="49" t="str">
        <f aca="false">IF(AG260="","",MIN(120,IF(AG260=0,120,100*(INDEX('Standards &amp; Scoring'!$E$5:$E$13,MATCH("Fault Control",'Standards &amp; Scoring'!$A$5:$A$13,0))/AG260))))</f>
        <v/>
      </c>
      <c r="AS260" s="49" t="str">
        <f aca="false">IF(O260="","",MIN(120,IF(SUMIFS('Fault &amp; Downtime Entry'!$L$6:$L$1005,'Fault &amp; Downtime Entry'!$E$6:$E$1005,G260,'Fault &amp; Downtime Entry'!$B$6:$B$1005,B260)=0,120,100*(INDEX('Standards &amp; Scoring'!$E$5:$E$13,MATCH("Downtime Control",'Standards &amp; Scoring'!$A$5:$A$13,0))/IFERROR(SUMIFS('Fault &amp; Downtime Entry'!$L$6:$L$1005,'Fault &amp; Downtime Entry'!$E$6:$E$1005,G260,'Fault &amp; Downtime Entry'!$B$6:$B$1005,B260)/O260*1000,999999)))))</f>
        <v/>
      </c>
      <c r="AT260" s="49" t="n">
        <f aca="false">IF(COUNTA(AH260,AJ260)=0,"",MIN(120,IF(AND(AH260&lt;&gt;"",AJ260&lt;&gt;""),AVERAGE(AH260,AJ260),IF(AH260&lt;&gt;"",AH260,AJ260))))</f>
        <v>0</v>
      </c>
      <c r="AU260" s="49" t="str">
        <f aca="false">IF(AI260="","",MIN(120,AI260))</f>
        <v/>
      </c>
      <c r="AV260" s="49" t="str">
        <f aca="false">IF(AJ260="","",MIN(120,AJ260))</f>
        <v/>
      </c>
      <c r="AW260" s="50" t="str">
        <f aca="false">IF(COUNT(AN260:AV260)&lt;9,"",(AN260*'Standards &amp; Scoring'!$D$5+AO260*'Standards &amp; Scoring'!$D$6+AP260*'Standards &amp; Scoring'!$D$7+AQ260*'Standards &amp; Scoring'!$D$8+AR260*'Standards &amp; Scoring'!$D$9+AS260*'Standards &amp; Scoring'!$D$10+AT260*'Standards &amp; Scoring'!$D$11+AU260*'Standards &amp; Scoring'!$D$12+AV260*'Standards &amp; Scoring'!$D$13)/10000)</f>
        <v/>
      </c>
      <c r="AX260" s="47" t="str">
        <f aca="false">IF(AW260="","",IF(AW260&gt;=1.05,"A+",IF(AW260&gt;=1,"A",IF(AW260&gt;=0.95,"B+",IF(AW260&gt;=0.9,"B","C")))))</f>
        <v/>
      </c>
      <c r="AY260" s="47" t="str">
        <f aca="false">IF(AX260="","",IF(AX260="A+",1800,IF(AX260="A",1600,IF(AX260="B+",1400,IF(AX260="B",1200,0)))))</f>
        <v/>
      </c>
      <c r="AZ260" s="49" t="str">
        <f aca="false">IF(OR(L260="",M260="",S260="",M260=0),"",IFERROR(L260*60*S260/(M260*36),0))</f>
        <v/>
      </c>
    </row>
    <row r="261" customFormat="false" ht="15" hidden="false" customHeight="true" outlineLevel="0" collapsed="false">
      <c r="A261" s="47" t="n">
        <f aca="false">'Daily KPI Entry'!A262</f>
        <v>0</v>
      </c>
      <c r="B261" s="48" t="n">
        <f aca="false">'Daily KPI Entry'!B262</f>
        <v>0</v>
      </c>
      <c r="C261" s="47" t="n">
        <f aca="false">'Daily KPI Entry'!C262</f>
        <v>0</v>
      </c>
      <c r="D261" s="47" t="n">
        <f aca="false">'Daily KPI Entry'!D262</f>
        <v>0</v>
      </c>
      <c r="E261" s="47" t="n">
        <f aca="false">'Daily KPI Entry'!E262</f>
        <v>0</v>
      </c>
      <c r="F261" s="47" t="n">
        <f aca="false">'Daily KPI Entry'!F262</f>
        <v>0</v>
      </c>
      <c r="G261" s="47" t="n">
        <f aca="false">'Daily KPI Entry'!G262</f>
        <v>0</v>
      </c>
      <c r="H261" s="47" t="str">
        <f aca="false">'Daily KPI Entry'!H262</f>
        <v/>
      </c>
      <c r="I261" s="47" t="n">
        <f aca="false">'Daily KPI Entry'!I262</f>
        <v>0</v>
      </c>
      <c r="J261" s="47" t="n">
        <f aca="false">'Daily KPI Entry'!J262</f>
        <v>0</v>
      </c>
      <c r="K261" s="47" t="n">
        <f aca="false">'Daily KPI Entry'!K262</f>
        <v>0</v>
      </c>
      <c r="L261" s="47" t="n">
        <f aca="false">'Daily KPI Entry'!L262</f>
        <v>0</v>
      </c>
      <c r="M261" s="47" t="n">
        <f aca="false">'Daily KPI Entry'!M262</f>
        <v>0</v>
      </c>
      <c r="N261" s="49" t="n">
        <f aca="false">'Daily KPI Entry'!N262</f>
        <v>0</v>
      </c>
      <c r="O261" s="49" t="n">
        <f aca="false">'Daily KPI Entry'!O262</f>
        <v>0</v>
      </c>
      <c r="P261" s="49" t="str">
        <f aca="false">IF(OR(N261="",O261=""),"",IFERROR(O261/N261*100,0))</f>
        <v/>
      </c>
      <c r="Q261" s="47" t="n">
        <f aca="false">'Daily KPI Entry'!Q262</f>
        <v>8</v>
      </c>
      <c r="R261" s="47" t="str">
        <f aca="false">IF(J261="","",Q261*J261)</f>
        <v/>
      </c>
      <c r="S261" s="49" t="n">
        <f aca="false">'Daily KPI Entry'!S262</f>
        <v>0</v>
      </c>
      <c r="T261" s="49" t="str">
        <f aca="false">IF(OR(R261="",S261=""),"",IFERROR(S261/R261*100,0))</f>
        <v/>
      </c>
      <c r="U261" s="49" t="str">
        <f aca="false">IF(OR(O261="",L261="",M261="",S261="",M261=0),"",IFERROR(O261/(L261*60*S261/(M261*36))*100,0))</f>
        <v/>
      </c>
      <c r="V261" s="49" t="n">
        <f aca="false">'Daily KPI Entry'!V262</f>
        <v>0</v>
      </c>
      <c r="W261" s="49" t="str">
        <f aca="false">IF(O261="","",IFERROR(V261/O261*100,0))</f>
        <v/>
      </c>
      <c r="X261" s="49" t="n">
        <f aca="false">'Daily KPI Entry'!X262</f>
        <v>0</v>
      </c>
      <c r="Y261" s="49" t="n">
        <f aca="false">'Daily KPI Entry'!Y262</f>
        <v>0</v>
      </c>
      <c r="Z261" s="49" t="n">
        <f aca="false">'Daily KPI Entry'!Z262</f>
        <v>0</v>
      </c>
      <c r="AA261" s="49" t="n">
        <f aca="false">'Daily KPI Entry'!AA262</f>
        <v>0</v>
      </c>
      <c r="AB261" s="49" t="n">
        <f aca="false">'Daily KPI Entry'!AB262</f>
        <v>0</v>
      </c>
      <c r="AC261" s="49" t="n">
        <f aca="false">'Daily KPI Entry'!AC262</f>
        <v>0</v>
      </c>
      <c r="AD261" s="49" t="n">
        <f aca="false">'Daily KPI Entry'!AD262</f>
        <v>0</v>
      </c>
      <c r="AE261" s="49" t="n">
        <f aca="false">'Daily KPI Entry'!AE262</f>
        <v>0</v>
      </c>
      <c r="AF261" s="47" t="str">
        <f aca="false">IF(O261="","",SUM(X261:AE261))</f>
        <v/>
      </c>
      <c r="AG261" s="49" t="str">
        <f aca="false">IF(O261="","",IFERROR(AF261/O261*1000,0))</f>
        <v/>
      </c>
      <c r="AH261" s="49" t="n">
        <f aca="false">'Daily KPI Entry'!AH262</f>
        <v>0</v>
      </c>
      <c r="AI261" s="49" t="n">
        <f aca="false">'Daily KPI Entry'!AI262</f>
        <v>0</v>
      </c>
      <c r="AJ261" s="49" t="n">
        <f aca="false">'Daily KPI Entry'!AJ262</f>
        <v>0</v>
      </c>
      <c r="AK261" s="47" t="n">
        <f aca="false">'Daily KPI Entry'!AK262</f>
        <v>0</v>
      </c>
      <c r="AL261" s="47" t="n">
        <f aca="false">'Daily KPI Entry'!AL262</f>
        <v>0</v>
      </c>
      <c r="AM261" s="47" t="n">
        <f aca="false">'Daily KPI Entry'!AM262</f>
        <v>0</v>
      </c>
      <c r="AN261" s="49" t="str">
        <f aca="false">IF(P261="","",MIN(120,P261))</f>
        <v/>
      </c>
      <c r="AO261" s="49" t="str">
        <f aca="false">IF(U261="","",MIN(120,U261))</f>
        <v/>
      </c>
      <c r="AP261" s="49" t="str">
        <f aca="false">IF(R261="","",MIN(120,IFERROR(S261/R261*100,0)))</f>
        <v/>
      </c>
      <c r="AQ261" s="49" t="str">
        <f aca="false">IF(W261="","",MIN(120,IF(W261=0,120,100*(INDEX('Standards &amp; Scoring'!$E$5:$E$13,MATCH("Quality / Rejection",'Standards &amp; Scoring'!$A$5:$A$13,0))/W261))))</f>
        <v/>
      </c>
      <c r="AR261" s="49" t="str">
        <f aca="false">IF(AG261="","",MIN(120,IF(AG261=0,120,100*(INDEX('Standards &amp; Scoring'!$E$5:$E$13,MATCH("Fault Control",'Standards &amp; Scoring'!$A$5:$A$13,0))/AG261))))</f>
        <v/>
      </c>
      <c r="AS261" s="49" t="str">
        <f aca="false">IF(O261="","",MIN(120,IF(SUMIFS('Fault &amp; Downtime Entry'!$L$6:$L$1005,'Fault &amp; Downtime Entry'!$E$6:$E$1005,G261,'Fault &amp; Downtime Entry'!$B$6:$B$1005,B261)=0,120,100*(INDEX('Standards &amp; Scoring'!$E$5:$E$13,MATCH("Downtime Control",'Standards &amp; Scoring'!$A$5:$A$13,0))/IFERROR(SUMIFS('Fault &amp; Downtime Entry'!$L$6:$L$1005,'Fault &amp; Downtime Entry'!$E$6:$E$1005,G261,'Fault &amp; Downtime Entry'!$B$6:$B$1005,B261)/O261*1000,999999)))))</f>
        <v/>
      </c>
      <c r="AT261" s="49" t="n">
        <f aca="false">IF(COUNTA(AH261,AJ261)=0,"",MIN(120,IF(AND(AH261&lt;&gt;"",AJ261&lt;&gt;""),AVERAGE(AH261,AJ261),IF(AH261&lt;&gt;"",AH261,AJ261))))</f>
        <v>0</v>
      </c>
      <c r="AU261" s="49" t="str">
        <f aca="false">IF(AI261="","",MIN(120,AI261))</f>
        <v/>
      </c>
      <c r="AV261" s="49" t="str">
        <f aca="false">IF(AJ261="","",MIN(120,AJ261))</f>
        <v/>
      </c>
      <c r="AW261" s="50" t="str">
        <f aca="false">IF(COUNT(AN261:AV261)&lt;9,"",(AN261*'Standards &amp; Scoring'!$D$5+AO261*'Standards &amp; Scoring'!$D$6+AP261*'Standards &amp; Scoring'!$D$7+AQ261*'Standards &amp; Scoring'!$D$8+AR261*'Standards &amp; Scoring'!$D$9+AS261*'Standards &amp; Scoring'!$D$10+AT261*'Standards &amp; Scoring'!$D$11+AU261*'Standards &amp; Scoring'!$D$12+AV261*'Standards &amp; Scoring'!$D$13)/10000)</f>
        <v/>
      </c>
      <c r="AX261" s="47" t="str">
        <f aca="false">IF(AW261="","",IF(AW261&gt;=1.05,"A+",IF(AW261&gt;=1,"A",IF(AW261&gt;=0.95,"B+",IF(AW261&gt;=0.9,"B","C")))))</f>
        <v/>
      </c>
      <c r="AY261" s="47" t="str">
        <f aca="false">IF(AX261="","",IF(AX261="A+",1800,IF(AX261="A",1600,IF(AX261="B+",1400,IF(AX261="B",1200,0)))))</f>
        <v/>
      </c>
      <c r="AZ261" s="49" t="str">
        <f aca="false">IF(OR(L261="",M261="",S261="",M261=0),"",IFERROR(L261*60*S261/(M261*36),0))</f>
        <v/>
      </c>
    </row>
    <row r="262" customFormat="false" ht="15" hidden="false" customHeight="true" outlineLevel="0" collapsed="false">
      <c r="A262" s="47" t="n">
        <f aca="false">'Daily KPI Entry'!A263</f>
        <v>0</v>
      </c>
      <c r="B262" s="48" t="n">
        <f aca="false">'Daily KPI Entry'!B263</f>
        <v>0</v>
      </c>
      <c r="C262" s="47" t="n">
        <f aca="false">'Daily KPI Entry'!C263</f>
        <v>0</v>
      </c>
      <c r="D262" s="47" t="n">
        <f aca="false">'Daily KPI Entry'!D263</f>
        <v>0</v>
      </c>
      <c r="E262" s="47" t="n">
        <f aca="false">'Daily KPI Entry'!E263</f>
        <v>0</v>
      </c>
      <c r="F262" s="47" t="n">
        <f aca="false">'Daily KPI Entry'!F263</f>
        <v>0</v>
      </c>
      <c r="G262" s="47" t="n">
        <f aca="false">'Daily KPI Entry'!G263</f>
        <v>0</v>
      </c>
      <c r="H262" s="47" t="str">
        <f aca="false">'Daily KPI Entry'!H263</f>
        <v/>
      </c>
      <c r="I262" s="47" t="n">
        <f aca="false">'Daily KPI Entry'!I263</f>
        <v>0</v>
      </c>
      <c r="J262" s="47" t="n">
        <f aca="false">'Daily KPI Entry'!J263</f>
        <v>0</v>
      </c>
      <c r="K262" s="47" t="n">
        <f aca="false">'Daily KPI Entry'!K263</f>
        <v>0</v>
      </c>
      <c r="L262" s="47" t="n">
        <f aca="false">'Daily KPI Entry'!L263</f>
        <v>0</v>
      </c>
      <c r="M262" s="47" t="n">
        <f aca="false">'Daily KPI Entry'!M263</f>
        <v>0</v>
      </c>
      <c r="N262" s="49" t="n">
        <f aca="false">'Daily KPI Entry'!N263</f>
        <v>0</v>
      </c>
      <c r="O262" s="49" t="n">
        <f aca="false">'Daily KPI Entry'!O263</f>
        <v>0</v>
      </c>
      <c r="P262" s="49" t="str">
        <f aca="false">IF(OR(N262="",O262=""),"",IFERROR(O262/N262*100,0))</f>
        <v/>
      </c>
      <c r="Q262" s="47" t="n">
        <f aca="false">'Daily KPI Entry'!Q263</f>
        <v>8</v>
      </c>
      <c r="R262" s="47" t="str">
        <f aca="false">IF(J262="","",Q262*J262)</f>
        <v/>
      </c>
      <c r="S262" s="49" t="n">
        <f aca="false">'Daily KPI Entry'!S263</f>
        <v>0</v>
      </c>
      <c r="T262" s="49" t="str">
        <f aca="false">IF(OR(R262="",S262=""),"",IFERROR(S262/R262*100,0))</f>
        <v/>
      </c>
      <c r="U262" s="49" t="str">
        <f aca="false">IF(OR(O262="",L262="",M262="",S262="",M262=0),"",IFERROR(O262/(L262*60*S262/(M262*36))*100,0))</f>
        <v/>
      </c>
      <c r="V262" s="49" t="n">
        <f aca="false">'Daily KPI Entry'!V263</f>
        <v>0</v>
      </c>
      <c r="W262" s="49" t="str">
        <f aca="false">IF(O262="","",IFERROR(V262/O262*100,0))</f>
        <v/>
      </c>
      <c r="X262" s="49" t="n">
        <f aca="false">'Daily KPI Entry'!X263</f>
        <v>0</v>
      </c>
      <c r="Y262" s="49" t="n">
        <f aca="false">'Daily KPI Entry'!Y263</f>
        <v>0</v>
      </c>
      <c r="Z262" s="49" t="n">
        <f aca="false">'Daily KPI Entry'!Z263</f>
        <v>0</v>
      </c>
      <c r="AA262" s="49" t="n">
        <f aca="false">'Daily KPI Entry'!AA263</f>
        <v>0</v>
      </c>
      <c r="AB262" s="49" t="n">
        <f aca="false">'Daily KPI Entry'!AB263</f>
        <v>0</v>
      </c>
      <c r="AC262" s="49" t="n">
        <f aca="false">'Daily KPI Entry'!AC263</f>
        <v>0</v>
      </c>
      <c r="AD262" s="49" t="n">
        <f aca="false">'Daily KPI Entry'!AD263</f>
        <v>0</v>
      </c>
      <c r="AE262" s="49" t="n">
        <f aca="false">'Daily KPI Entry'!AE263</f>
        <v>0</v>
      </c>
      <c r="AF262" s="47" t="str">
        <f aca="false">IF(O262="","",SUM(X262:AE262))</f>
        <v/>
      </c>
      <c r="AG262" s="49" t="str">
        <f aca="false">IF(O262="","",IFERROR(AF262/O262*1000,0))</f>
        <v/>
      </c>
      <c r="AH262" s="49" t="n">
        <f aca="false">'Daily KPI Entry'!AH263</f>
        <v>0</v>
      </c>
      <c r="AI262" s="49" t="n">
        <f aca="false">'Daily KPI Entry'!AI263</f>
        <v>0</v>
      </c>
      <c r="AJ262" s="49" t="n">
        <f aca="false">'Daily KPI Entry'!AJ263</f>
        <v>0</v>
      </c>
      <c r="AK262" s="47" t="n">
        <f aca="false">'Daily KPI Entry'!AK263</f>
        <v>0</v>
      </c>
      <c r="AL262" s="47" t="n">
        <f aca="false">'Daily KPI Entry'!AL263</f>
        <v>0</v>
      </c>
      <c r="AM262" s="47" t="n">
        <f aca="false">'Daily KPI Entry'!AM263</f>
        <v>0</v>
      </c>
      <c r="AN262" s="49" t="str">
        <f aca="false">IF(P262="","",MIN(120,P262))</f>
        <v/>
      </c>
      <c r="AO262" s="49" t="str">
        <f aca="false">IF(U262="","",MIN(120,U262))</f>
        <v/>
      </c>
      <c r="AP262" s="49" t="str">
        <f aca="false">IF(R262="","",MIN(120,IFERROR(S262/R262*100,0)))</f>
        <v/>
      </c>
      <c r="AQ262" s="49" t="str">
        <f aca="false">IF(W262="","",MIN(120,IF(W262=0,120,100*(INDEX('Standards &amp; Scoring'!$E$5:$E$13,MATCH("Quality / Rejection",'Standards &amp; Scoring'!$A$5:$A$13,0))/W262))))</f>
        <v/>
      </c>
      <c r="AR262" s="49" t="str">
        <f aca="false">IF(AG262="","",MIN(120,IF(AG262=0,120,100*(INDEX('Standards &amp; Scoring'!$E$5:$E$13,MATCH("Fault Control",'Standards &amp; Scoring'!$A$5:$A$13,0))/AG262))))</f>
        <v/>
      </c>
      <c r="AS262" s="49" t="str">
        <f aca="false">IF(O262="","",MIN(120,IF(SUMIFS('Fault &amp; Downtime Entry'!$L$6:$L$1005,'Fault &amp; Downtime Entry'!$E$6:$E$1005,G262,'Fault &amp; Downtime Entry'!$B$6:$B$1005,B262)=0,120,100*(INDEX('Standards &amp; Scoring'!$E$5:$E$13,MATCH("Downtime Control",'Standards &amp; Scoring'!$A$5:$A$13,0))/IFERROR(SUMIFS('Fault &amp; Downtime Entry'!$L$6:$L$1005,'Fault &amp; Downtime Entry'!$E$6:$E$1005,G262,'Fault &amp; Downtime Entry'!$B$6:$B$1005,B262)/O262*1000,999999)))))</f>
        <v/>
      </c>
      <c r="AT262" s="49" t="n">
        <f aca="false">IF(COUNTA(AH262,AJ262)=0,"",MIN(120,IF(AND(AH262&lt;&gt;"",AJ262&lt;&gt;""),AVERAGE(AH262,AJ262),IF(AH262&lt;&gt;"",AH262,AJ262))))</f>
        <v>0</v>
      </c>
      <c r="AU262" s="49" t="str">
        <f aca="false">IF(AI262="","",MIN(120,AI262))</f>
        <v/>
      </c>
      <c r="AV262" s="49" t="str">
        <f aca="false">IF(AJ262="","",MIN(120,AJ262))</f>
        <v/>
      </c>
      <c r="AW262" s="50" t="str">
        <f aca="false">IF(COUNT(AN262:AV262)&lt;9,"",(AN262*'Standards &amp; Scoring'!$D$5+AO262*'Standards &amp; Scoring'!$D$6+AP262*'Standards &amp; Scoring'!$D$7+AQ262*'Standards &amp; Scoring'!$D$8+AR262*'Standards &amp; Scoring'!$D$9+AS262*'Standards &amp; Scoring'!$D$10+AT262*'Standards &amp; Scoring'!$D$11+AU262*'Standards &amp; Scoring'!$D$12+AV262*'Standards &amp; Scoring'!$D$13)/10000)</f>
        <v/>
      </c>
      <c r="AX262" s="47" t="str">
        <f aca="false">IF(AW262="","",IF(AW262&gt;=1.05,"A+",IF(AW262&gt;=1,"A",IF(AW262&gt;=0.95,"B+",IF(AW262&gt;=0.9,"B","C")))))</f>
        <v/>
      </c>
      <c r="AY262" s="47" t="str">
        <f aca="false">IF(AX262="","",IF(AX262="A+",1800,IF(AX262="A",1600,IF(AX262="B+",1400,IF(AX262="B",1200,0)))))</f>
        <v/>
      </c>
      <c r="AZ262" s="49" t="str">
        <f aca="false">IF(OR(L262="",M262="",S262="",M262=0),"",IFERROR(L262*60*S262/(M262*36),0))</f>
        <v/>
      </c>
    </row>
    <row r="263" customFormat="false" ht="15" hidden="false" customHeight="true" outlineLevel="0" collapsed="false">
      <c r="A263" s="47" t="n">
        <f aca="false">'Daily KPI Entry'!A264</f>
        <v>0</v>
      </c>
      <c r="B263" s="48" t="n">
        <f aca="false">'Daily KPI Entry'!B264</f>
        <v>0</v>
      </c>
      <c r="C263" s="47" t="n">
        <f aca="false">'Daily KPI Entry'!C264</f>
        <v>0</v>
      </c>
      <c r="D263" s="47" t="n">
        <f aca="false">'Daily KPI Entry'!D264</f>
        <v>0</v>
      </c>
      <c r="E263" s="47" t="n">
        <f aca="false">'Daily KPI Entry'!E264</f>
        <v>0</v>
      </c>
      <c r="F263" s="47" t="n">
        <f aca="false">'Daily KPI Entry'!F264</f>
        <v>0</v>
      </c>
      <c r="G263" s="47" t="n">
        <f aca="false">'Daily KPI Entry'!G264</f>
        <v>0</v>
      </c>
      <c r="H263" s="47" t="str">
        <f aca="false">'Daily KPI Entry'!H264</f>
        <v/>
      </c>
      <c r="I263" s="47" t="n">
        <f aca="false">'Daily KPI Entry'!I264</f>
        <v>0</v>
      </c>
      <c r="J263" s="47" t="n">
        <f aca="false">'Daily KPI Entry'!J264</f>
        <v>0</v>
      </c>
      <c r="K263" s="47" t="n">
        <f aca="false">'Daily KPI Entry'!K264</f>
        <v>0</v>
      </c>
      <c r="L263" s="47" t="n">
        <f aca="false">'Daily KPI Entry'!L264</f>
        <v>0</v>
      </c>
      <c r="M263" s="47" t="n">
        <f aca="false">'Daily KPI Entry'!M264</f>
        <v>0</v>
      </c>
      <c r="N263" s="49" t="n">
        <f aca="false">'Daily KPI Entry'!N264</f>
        <v>0</v>
      </c>
      <c r="O263" s="49" t="n">
        <f aca="false">'Daily KPI Entry'!O264</f>
        <v>0</v>
      </c>
      <c r="P263" s="49" t="str">
        <f aca="false">IF(OR(N263="",O263=""),"",IFERROR(O263/N263*100,0))</f>
        <v/>
      </c>
      <c r="Q263" s="47" t="n">
        <f aca="false">'Daily KPI Entry'!Q264</f>
        <v>8</v>
      </c>
      <c r="R263" s="47" t="str">
        <f aca="false">IF(J263="","",Q263*J263)</f>
        <v/>
      </c>
      <c r="S263" s="49" t="n">
        <f aca="false">'Daily KPI Entry'!S264</f>
        <v>0</v>
      </c>
      <c r="T263" s="49" t="str">
        <f aca="false">IF(OR(R263="",S263=""),"",IFERROR(S263/R263*100,0))</f>
        <v/>
      </c>
      <c r="U263" s="49" t="str">
        <f aca="false">IF(OR(O263="",L263="",M263="",S263="",M263=0),"",IFERROR(O263/(L263*60*S263/(M263*36))*100,0))</f>
        <v/>
      </c>
      <c r="V263" s="49" t="n">
        <f aca="false">'Daily KPI Entry'!V264</f>
        <v>0</v>
      </c>
      <c r="W263" s="49" t="str">
        <f aca="false">IF(O263="","",IFERROR(V263/O263*100,0))</f>
        <v/>
      </c>
      <c r="X263" s="49" t="n">
        <f aca="false">'Daily KPI Entry'!X264</f>
        <v>0</v>
      </c>
      <c r="Y263" s="49" t="n">
        <f aca="false">'Daily KPI Entry'!Y264</f>
        <v>0</v>
      </c>
      <c r="Z263" s="49" t="n">
        <f aca="false">'Daily KPI Entry'!Z264</f>
        <v>0</v>
      </c>
      <c r="AA263" s="49" t="n">
        <f aca="false">'Daily KPI Entry'!AA264</f>
        <v>0</v>
      </c>
      <c r="AB263" s="49" t="n">
        <f aca="false">'Daily KPI Entry'!AB264</f>
        <v>0</v>
      </c>
      <c r="AC263" s="49" t="n">
        <f aca="false">'Daily KPI Entry'!AC264</f>
        <v>0</v>
      </c>
      <c r="AD263" s="49" t="n">
        <f aca="false">'Daily KPI Entry'!AD264</f>
        <v>0</v>
      </c>
      <c r="AE263" s="49" t="n">
        <f aca="false">'Daily KPI Entry'!AE264</f>
        <v>0</v>
      </c>
      <c r="AF263" s="47" t="str">
        <f aca="false">IF(O263="","",SUM(X263:AE263))</f>
        <v/>
      </c>
      <c r="AG263" s="49" t="str">
        <f aca="false">IF(O263="","",IFERROR(AF263/O263*1000,0))</f>
        <v/>
      </c>
      <c r="AH263" s="49" t="n">
        <f aca="false">'Daily KPI Entry'!AH264</f>
        <v>0</v>
      </c>
      <c r="AI263" s="49" t="n">
        <f aca="false">'Daily KPI Entry'!AI264</f>
        <v>0</v>
      </c>
      <c r="AJ263" s="49" t="n">
        <f aca="false">'Daily KPI Entry'!AJ264</f>
        <v>0</v>
      </c>
      <c r="AK263" s="47" t="n">
        <f aca="false">'Daily KPI Entry'!AK264</f>
        <v>0</v>
      </c>
      <c r="AL263" s="47" t="n">
        <f aca="false">'Daily KPI Entry'!AL264</f>
        <v>0</v>
      </c>
      <c r="AM263" s="47" t="n">
        <f aca="false">'Daily KPI Entry'!AM264</f>
        <v>0</v>
      </c>
      <c r="AN263" s="49" t="str">
        <f aca="false">IF(P263="","",MIN(120,P263))</f>
        <v/>
      </c>
      <c r="AO263" s="49" t="str">
        <f aca="false">IF(U263="","",MIN(120,U263))</f>
        <v/>
      </c>
      <c r="AP263" s="49" t="str">
        <f aca="false">IF(R263="","",MIN(120,IFERROR(S263/R263*100,0)))</f>
        <v/>
      </c>
      <c r="AQ263" s="49" t="str">
        <f aca="false">IF(W263="","",MIN(120,IF(W263=0,120,100*(INDEX('Standards &amp; Scoring'!$E$5:$E$13,MATCH("Quality / Rejection",'Standards &amp; Scoring'!$A$5:$A$13,0))/W263))))</f>
        <v/>
      </c>
      <c r="AR263" s="49" t="str">
        <f aca="false">IF(AG263="","",MIN(120,IF(AG263=0,120,100*(INDEX('Standards &amp; Scoring'!$E$5:$E$13,MATCH("Fault Control",'Standards &amp; Scoring'!$A$5:$A$13,0))/AG263))))</f>
        <v/>
      </c>
      <c r="AS263" s="49" t="str">
        <f aca="false">IF(O263="","",MIN(120,IF(SUMIFS('Fault &amp; Downtime Entry'!$L$6:$L$1005,'Fault &amp; Downtime Entry'!$E$6:$E$1005,G263,'Fault &amp; Downtime Entry'!$B$6:$B$1005,B263)=0,120,100*(INDEX('Standards &amp; Scoring'!$E$5:$E$13,MATCH("Downtime Control",'Standards &amp; Scoring'!$A$5:$A$13,0))/IFERROR(SUMIFS('Fault &amp; Downtime Entry'!$L$6:$L$1005,'Fault &amp; Downtime Entry'!$E$6:$E$1005,G263,'Fault &amp; Downtime Entry'!$B$6:$B$1005,B263)/O263*1000,999999)))))</f>
        <v/>
      </c>
      <c r="AT263" s="49" t="n">
        <f aca="false">IF(COUNTA(AH263,AJ263)=0,"",MIN(120,IF(AND(AH263&lt;&gt;"",AJ263&lt;&gt;""),AVERAGE(AH263,AJ263),IF(AH263&lt;&gt;"",AH263,AJ263))))</f>
        <v>0</v>
      </c>
      <c r="AU263" s="49" t="str">
        <f aca="false">IF(AI263="","",MIN(120,AI263))</f>
        <v/>
      </c>
      <c r="AV263" s="49" t="str">
        <f aca="false">IF(AJ263="","",MIN(120,AJ263))</f>
        <v/>
      </c>
      <c r="AW263" s="50" t="str">
        <f aca="false">IF(COUNT(AN263:AV263)&lt;9,"",(AN263*'Standards &amp; Scoring'!$D$5+AO263*'Standards &amp; Scoring'!$D$6+AP263*'Standards &amp; Scoring'!$D$7+AQ263*'Standards &amp; Scoring'!$D$8+AR263*'Standards &amp; Scoring'!$D$9+AS263*'Standards &amp; Scoring'!$D$10+AT263*'Standards &amp; Scoring'!$D$11+AU263*'Standards &amp; Scoring'!$D$12+AV263*'Standards &amp; Scoring'!$D$13)/10000)</f>
        <v/>
      </c>
      <c r="AX263" s="47" t="str">
        <f aca="false">IF(AW263="","",IF(AW263&gt;=1.05,"A+",IF(AW263&gt;=1,"A",IF(AW263&gt;=0.95,"B+",IF(AW263&gt;=0.9,"B","C")))))</f>
        <v/>
      </c>
      <c r="AY263" s="47" t="str">
        <f aca="false">IF(AX263="","",IF(AX263="A+",1800,IF(AX263="A",1600,IF(AX263="B+",1400,IF(AX263="B",1200,0)))))</f>
        <v/>
      </c>
      <c r="AZ263" s="49" t="str">
        <f aca="false">IF(OR(L263="",M263="",S263="",M263=0),"",IFERROR(L263*60*S263/(M263*36),0))</f>
        <v/>
      </c>
    </row>
    <row r="264" customFormat="false" ht="15" hidden="false" customHeight="true" outlineLevel="0" collapsed="false">
      <c r="A264" s="47" t="n">
        <f aca="false">'Daily KPI Entry'!A265</f>
        <v>0</v>
      </c>
      <c r="B264" s="48" t="n">
        <f aca="false">'Daily KPI Entry'!B265</f>
        <v>0</v>
      </c>
      <c r="C264" s="47" t="n">
        <f aca="false">'Daily KPI Entry'!C265</f>
        <v>0</v>
      </c>
      <c r="D264" s="47" t="n">
        <f aca="false">'Daily KPI Entry'!D265</f>
        <v>0</v>
      </c>
      <c r="E264" s="47" t="n">
        <f aca="false">'Daily KPI Entry'!E265</f>
        <v>0</v>
      </c>
      <c r="F264" s="47" t="n">
        <f aca="false">'Daily KPI Entry'!F265</f>
        <v>0</v>
      </c>
      <c r="G264" s="47" t="n">
        <f aca="false">'Daily KPI Entry'!G265</f>
        <v>0</v>
      </c>
      <c r="H264" s="47" t="str">
        <f aca="false">'Daily KPI Entry'!H265</f>
        <v/>
      </c>
      <c r="I264" s="47" t="n">
        <f aca="false">'Daily KPI Entry'!I265</f>
        <v>0</v>
      </c>
      <c r="J264" s="47" t="n">
        <f aca="false">'Daily KPI Entry'!J265</f>
        <v>0</v>
      </c>
      <c r="K264" s="47" t="n">
        <f aca="false">'Daily KPI Entry'!K265</f>
        <v>0</v>
      </c>
      <c r="L264" s="47" t="n">
        <f aca="false">'Daily KPI Entry'!L265</f>
        <v>0</v>
      </c>
      <c r="M264" s="47" t="n">
        <f aca="false">'Daily KPI Entry'!M265</f>
        <v>0</v>
      </c>
      <c r="N264" s="49" t="n">
        <f aca="false">'Daily KPI Entry'!N265</f>
        <v>0</v>
      </c>
      <c r="O264" s="49" t="n">
        <f aca="false">'Daily KPI Entry'!O265</f>
        <v>0</v>
      </c>
      <c r="P264" s="49" t="str">
        <f aca="false">IF(OR(N264="",O264=""),"",IFERROR(O264/N264*100,0))</f>
        <v/>
      </c>
      <c r="Q264" s="47" t="n">
        <f aca="false">'Daily KPI Entry'!Q265</f>
        <v>8</v>
      </c>
      <c r="R264" s="47" t="str">
        <f aca="false">IF(J264="","",Q264*J264)</f>
        <v/>
      </c>
      <c r="S264" s="49" t="n">
        <f aca="false">'Daily KPI Entry'!S265</f>
        <v>0</v>
      </c>
      <c r="T264" s="49" t="str">
        <f aca="false">IF(OR(R264="",S264=""),"",IFERROR(S264/R264*100,0))</f>
        <v/>
      </c>
      <c r="U264" s="49" t="str">
        <f aca="false">IF(OR(O264="",L264="",M264="",S264="",M264=0),"",IFERROR(O264/(L264*60*S264/(M264*36))*100,0))</f>
        <v/>
      </c>
      <c r="V264" s="49" t="n">
        <f aca="false">'Daily KPI Entry'!V265</f>
        <v>0</v>
      </c>
      <c r="W264" s="49" t="str">
        <f aca="false">IF(O264="","",IFERROR(V264/O264*100,0))</f>
        <v/>
      </c>
      <c r="X264" s="49" t="n">
        <f aca="false">'Daily KPI Entry'!X265</f>
        <v>0</v>
      </c>
      <c r="Y264" s="49" t="n">
        <f aca="false">'Daily KPI Entry'!Y265</f>
        <v>0</v>
      </c>
      <c r="Z264" s="49" t="n">
        <f aca="false">'Daily KPI Entry'!Z265</f>
        <v>0</v>
      </c>
      <c r="AA264" s="49" t="n">
        <f aca="false">'Daily KPI Entry'!AA265</f>
        <v>0</v>
      </c>
      <c r="AB264" s="49" t="n">
        <f aca="false">'Daily KPI Entry'!AB265</f>
        <v>0</v>
      </c>
      <c r="AC264" s="49" t="n">
        <f aca="false">'Daily KPI Entry'!AC265</f>
        <v>0</v>
      </c>
      <c r="AD264" s="49" t="n">
        <f aca="false">'Daily KPI Entry'!AD265</f>
        <v>0</v>
      </c>
      <c r="AE264" s="49" t="n">
        <f aca="false">'Daily KPI Entry'!AE265</f>
        <v>0</v>
      </c>
      <c r="AF264" s="47" t="str">
        <f aca="false">IF(O264="","",SUM(X264:AE264))</f>
        <v/>
      </c>
      <c r="AG264" s="49" t="str">
        <f aca="false">IF(O264="","",IFERROR(AF264/O264*1000,0))</f>
        <v/>
      </c>
      <c r="AH264" s="49" t="n">
        <f aca="false">'Daily KPI Entry'!AH265</f>
        <v>0</v>
      </c>
      <c r="AI264" s="49" t="n">
        <f aca="false">'Daily KPI Entry'!AI265</f>
        <v>0</v>
      </c>
      <c r="AJ264" s="49" t="n">
        <f aca="false">'Daily KPI Entry'!AJ265</f>
        <v>0</v>
      </c>
      <c r="AK264" s="47" t="n">
        <f aca="false">'Daily KPI Entry'!AK265</f>
        <v>0</v>
      </c>
      <c r="AL264" s="47" t="n">
        <f aca="false">'Daily KPI Entry'!AL265</f>
        <v>0</v>
      </c>
      <c r="AM264" s="47" t="n">
        <f aca="false">'Daily KPI Entry'!AM265</f>
        <v>0</v>
      </c>
      <c r="AN264" s="49" t="str">
        <f aca="false">IF(P264="","",MIN(120,P264))</f>
        <v/>
      </c>
      <c r="AO264" s="49" t="str">
        <f aca="false">IF(U264="","",MIN(120,U264))</f>
        <v/>
      </c>
      <c r="AP264" s="49" t="str">
        <f aca="false">IF(R264="","",MIN(120,IFERROR(S264/R264*100,0)))</f>
        <v/>
      </c>
      <c r="AQ264" s="49" t="str">
        <f aca="false">IF(W264="","",MIN(120,IF(W264=0,120,100*(INDEX('Standards &amp; Scoring'!$E$5:$E$13,MATCH("Quality / Rejection",'Standards &amp; Scoring'!$A$5:$A$13,0))/W264))))</f>
        <v/>
      </c>
      <c r="AR264" s="49" t="str">
        <f aca="false">IF(AG264="","",MIN(120,IF(AG264=0,120,100*(INDEX('Standards &amp; Scoring'!$E$5:$E$13,MATCH("Fault Control",'Standards &amp; Scoring'!$A$5:$A$13,0))/AG264))))</f>
        <v/>
      </c>
      <c r="AS264" s="49" t="str">
        <f aca="false">IF(O264="","",MIN(120,IF(SUMIFS('Fault &amp; Downtime Entry'!$L$6:$L$1005,'Fault &amp; Downtime Entry'!$E$6:$E$1005,G264,'Fault &amp; Downtime Entry'!$B$6:$B$1005,B264)=0,120,100*(INDEX('Standards &amp; Scoring'!$E$5:$E$13,MATCH("Downtime Control",'Standards &amp; Scoring'!$A$5:$A$13,0))/IFERROR(SUMIFS('Fault &amp; Downtime Entry'!$L$6:$L$1005,'Fault &amp; Downtime Entry'!$E$6:$E$1005,G264,'Fault &amp; Downtime Entry'!$B$6:$B$1005,B264)/O264*1000,999999)))))</f>
        <v/>
      </c>
      <c r="AT264" s="49" t="n">
        <f aca="false">IF(COUNTA(AH264,AJ264)=0,"",MIN(120,IF(AND(AH264&lt;&gt;"",AJ264&lt;&gt;""),AVERAGE(AH264,AJ264),IF(AH264&lt;&gt;"",AH264,AJ264))))</f>
        <v>0</v>
      </c>
      <c r="AU264" s="49" t="str">
        <f aca="false">IF(AI264="","",MIN(120,AI264))</f>
        <v/>
      </c>
      <c r="AV264" s="49" t="str">
        <f aca="false">IF(AJ264="","",MIN(120,AJ264))</f>
        <v/>
      </c>
      <c r="AW264" s="50" t="str">
        <f aca="false">IF(COUNT(AN264:AV264)&lt;9,"",(AN264*'Standards &amp; Scoring'!$D$5+AO264*'Standards &amp; Scoring'!$D$6+AP264*'Standards &amp; Scoring'!$D$7+AQ264*'Standards &amp; Scoring'!$D$8+AR264*'Standards &amp; Scoring'!$D$9+AS264*'Standards &amp; Scoring'!$D$10+AT264*'Standards &amp; Scoring'!$D$11+AU264*'Standards &amp; Scoring'!$D$12+AV264*'Standards &amp; Scoring'!$D$13)/10000)</f>
        <v/>
      </c>
      <c r="AX264" s="47" t="str">
        <f aca="false">IF(AW264="","",IF(AW264&gt;=1.05,"A+",IF(AW264&gt;=1,"A",IF(AW264&gt;=0.95,"B+",IF(AW264&gt;=0.9,"B","C")))))</f>
        <v/>
      </c>
      <c r="AY264" s="47" t="str">
        <f aca="false">IF(AX264="","",IF(AX264="A+",1800,IF(AX264="A",1600,IF(AX264="B+",1400,IF(AX264="B",1200,0)))))</f>
        <v/>
      </c>
      <c r="AZ264" s="49" t="str">
        <f aca="false">IF(OR(L264="",M264="",S264="",M264=0),"",IFERROR(L264*60*S264/(M264*36),0))</f>
        <v/>
      </c>
    </row>
    <row r="265" customFormat="false" ht="15" hidden="false" customHeight="true" outlineLevel="0" collapsed="false">
      <c r="A265" s="47" t="n">
        <f aca="false">'Daily KPI Entry'!A266</f>
        <v>0</v>
      </c>
      <c r="B265" s="48" t="n">
        <f aca="false">'Daily KPI Entry'!B266</f>
        <v>0</v>
      </c>
      <c r="C265" s="47" t="n">
        <f aca="false">'Daily KPI Entry'!C266</f>
        <v>0</v>
      </c>
      <c r="D265" s="47" t="n">
        <f aca="false">'Daily KPI Entry'!D266</f>
        <v>0</v>
      </c>
      <c r="E265" s="47" t="n">
        <f aca="false">'Daily KPI Entry'!E266</f>
        <v>0</v>
      </c>
      <c r="F265" s="47" t="n">
        <f aca="false">'Daily KPI Entry'!F266</f>
        <v>0</v>
      </c>
      <c r="G265" s="47" t="n">
        <f aca="false">'Daily KPI Entry'!G266</f>
        <v>0</v>
      </c>
      <c r="H265" s="47" t="str">
        <f aca="false">'Daily KPI Entry'!H266</f>
        <v/>
      </c>
      <c r="I265" s="47" t="n">
        <f aca="false">'Daily KPI Entry'!I266</f>
        <v>0</v>
      </c>
      <c r="J265" s="47" t="n">
        <f aca="false">'Daily KPI Entry'!J266</f>
        <v>0</v>
      </c>
      <c r="K265" s="47" t="n">
        <f aca="false">'Daily KPI Entry'!K266</f>
        <v>0</v>
      </c>
      <c r="L265" s="47" t="n">
        <f aca="false">'Daily KPI Entry'!L266</f>
        <v>0</v>
      </c>
      <c r="M265" s="47" t="n">
        <f aca="false">'Daily KPI Entry'!M266</f>
        <v>0</v>
      </c>
      <c r="N265" s="49" t="n">
        <f aca="false">'Daily KPI Entry'!N266</f>
        <v>0</v>
      </c>
      <c r="O265" s="49" t="n">
        <f aca="false">'Daily KPI Entry'!O266</f>
        <v>0</v>
      </c>
      <c r="P265" s="49" t="str">
        <f aca="false">IF(OR(N265="",O265=""),"",IFERROR(O265/N265*100,0))</f>
        <v/>
      </c>
      <c r="Q265" s="47" t="n">
        <f aca="false">'Daily KPI Entry'!Q266</f>
        <v>8</v>
      </c>
      <c r="R265" s="47" t="str">
        <f aca="false">IF(J265="","",Q265*J265)</f>
        <v/>
      </c>
      <c r="S265" s="49" t="n">
        <f aca="false">'Daily KPI Entry'!S266</f>
        <v>0</v>
      </c>
      <c r="T265" s="49" t="str">
        <f aca="false">IF(OR(R265="",S265=""),"",IFERROR(S265/R265*100,0))</f>
        <v/>
      </c>
      <c r="U265" s="49" t="str">
        <f aca="false">IF(OR(O265="",L265="",M265="",S265="",M265=0),"",IFERROR(O265/(L265*60*S265/(M265*36))*100,0))</f>
        <v/>
      </c>
      <c r="V265" s="49" t="n">
        <f aca="false">'Daily KPI Entry'!V266</f>
        <v>0</v>
      </c>
      <c r="W265" s="49" t="str">
        <f aca="false">IF(O265="","",IFERROR(V265/O265*100,0))</f>
        <v/>
      </c>
      <c r="X265" s="49" t="n">
        <f aca="false">'Daily KPI Entry'!X266</f>
        <v>0</v>
      </c>
      <c r="Y265" s="49" t="n">
        <f aca="false">'Daily KPI Entry'!Y266</f>
        <v>0</v>
      </c>
      <c r="Z265" s="49" t="n">
        <f aca="false">'Daily KPI Entry'!Z266</f>
        <v>0</v>
      </c>
      <c r="AA265" s="49" t="n">
        <f aca="false">'Daily KPI Entry'!AA266</f>
        <v>0</v>
      </c>
      <c r="AB265" s="49" t="n">
        <f aca="false">'Daily KPI Entry'!AB266</f>
        <v>0</v>
      </c>
      <c r="AC265" s="49" t="n">
        <f aca="false">'Daily KPI Entry'!AC266</f>
        <v>0</v>
      </c>
      <c r="AD265" s="49" t="n">
        <f aca="false">'Daily KPI Entry'!AD266</f>
        <v>0</v>
      </c>
      <c r="AE265" s="49" t="n">
        <f aca="false">'Daily KPI Entry'!AE266</f>
        <v>0</v>
      </c>
      <c r="AF265" s="47" t="str">
        <f aca="false">IF(O265="","",SUM(X265:AE265))</f>
        <v/>
      </c>
      <c r="AG265" s="49" t="str">
        <f aca="false">IF(O265="","",IFERROR(AF265/O265*1000,0))</f>
        <v/>
      </c>
      <c r="AH265" s="49" t="n">
        <f aca="false">'Daily KPI Entry'!AH266</f>
        <v>0</v>
      </c>
      <c r="AI265" s="49" t="n">
        <f aca="false">'Daily KPI Entry'!AI266</f>
        <v>0</v>
      </c>
      <c r="AJ265" s="49" t="n">
        <f aca="false">'Daily KPI Entry'!AJ266</f>
        <v>0</v>
      </c>
      <c r="AK265" s="47" t="n">
        <f aca="false">'Daily KPI Entry'!AK266</f>
        <v>0</v>
      </c>
      <c r="AL265" s="47" t="n">
        <f aca="false">'Daily KPI Entry'!AL266</f>
        <v>0</v>
      </c>
      <c r="AM265" s="47" t="n">
        <f aca="false">'Daily KPI Entry'!AM266</f>
        <v>0</v>
      </c>
      <c r="AN265" s="49" t="str">
        <f aca="false">IF(P265="","",MIN(120,P265))</f>
        <v/>
      </c>
      <c r="AO265" s="49" t="str">
        <f aca="false">IF(U265="","",MIN(120,U265))</f>
        <v/>
      </c>
      <c r="AP265" s="49" t="str">
        <f aca="false">IF(R265="","",MIN(120,IFERROR(S265/R265*100,0)))</f>
        <v/>
      </c>
      <c r="AQ265" s="49" t="str">
        <f aca="false">IF(W265="","",MIN(120,IF(W265=0,120,100*(INDEX('Standards &amp; Scoring'!$E$5:$E$13,MATCH("Quality / Rejection",'Standards &amp; Scoring'!$A$5:$A$13,0))/W265))))</f>
        <v/>
      </c>
      <c r="AR265" s="49" t="str">
        <f aca="false">IF(AG265="","",MIN(120,IF(AG265=0,120,100*(INDEX('Standards &amp; Scoring'!$E$5:$E$13,MATCH("Fault Control",'Standards &amp; Scoring'!$A$5:$A$13,0))/AG265))))</f>
        <v/>
      </c>
      <c r="AS265" s="49" t="str">
        <f aca="false">IF(O265="","",MIN(120,IF(SUMIFS('Fault &amp; Downtime Entry'!$L$6:$L$1005,'Fault &amp; Downtime Entry'!$E$6:$E$1005,G265,'Fault &amp; Downtime Entry'!$B$6:$B$1005,B265)=0,120,100*(INDEX('Standards &amp; Scoring'!$E$5:$E$13,MATCH("Downtime Control",'Standards &amp; Scoring'!$A$5:$A$13,0))/IFERROR(SUMIFS('Fault &amp; Downtime Entry'!$L$6:$L$1005,'Fault &amp; Downtime Entry'!$E$6:$E$1005,G265,'Fault &amp; Downtime Entry'!$B$6:$B$1005,B265)/O265*1000,999999)))))</f>
        <v/>
      </c>
      <c r="AT265" s="49" t="n">
        <f aca="false">IF(COUNTA(AH265,AJ265)=0,"",MIN(120,IF(AND(AH265&lt;&gt;"",AJ265&lt;&gt;""),AVERAGE(AH265,AJ265),IF(AH265&lt;&gt;"",AH265,AJ265))))</f>
        <v>0</v>
      </c>
      <c r="AU265" s="49" t="str">
        <f aca="false">IF(AI265="","",MIN(120,AI265))</f>
        <v/>
      </c>
      <c r="AV265" s="49" t="str">
        <f aca="false">IF(AJ265="","",MIN(120,AJ265))</f>
        <v/>
      </c>
      <c r="AW265" s="50" t="str">
        <f aca="false">IF(COUNT(AN265:AV265)&lt;9,"",(AN265*'Standards &amp; Scoring'!$D$5+AO265*'Standards &amp; Scoring'!$D$6+AP265*'Standards &amp; Scoring'!$D$7+AQ265*'Standards &amp; Scoring'!$D$8+AR265*'Standards &amp; Scoring'!$D$9+AS265*'Standards &amp; Scoring'!$D$10+AT265*'Standards &amp; Scoring'!$D$11+AU265*'Standards &amp; Scoring'!$D$12+AV265*'Standards &amp; Scoring'!$D$13)/10000)</f>
        <v/>
      </c>
      <c r="AX265" s="47" t="str">
        <f aca="false">IF(AW265="","",IF(AW265&gt;=1.05,"A+",IF(AW265&gt;=1,"A",IF(AW265&gt;=0.95,"B+",IF(AW265&gt;=0.9,"B","C")))))</f>
        <v/>
      </c>
      <c r="AY265" s="47" t="str">
        <f aca="false">IF(AX265="","",IF(AX265="A+",1800,IF(AX265="A",1600,IF(AX265="B+",1400,IF(AX265="B",1200,0)))))</f>
        <v/>
      </c>
      <c r="AZ265" s="49" t="str">
        <f aca="false">IF(OR(L265="",M265="",S265="",M265=0),"",IFERROR(L265*60*S265/(M265*36),0))</f>
        <v/>
      </c>
    </row>
    <row r="266" customFormat="false" ht="15" hidden="false" customHeight="true" outlineLevel="0" collapsed="false">
      <c r="A266" s="47" t="n">
        <f aca="false">'Daily KPI Entry'!A267</f>
        <v>0</v>
      </c>
      <c r="B266" s="48" t="n">
        <f aca="false">'Daily KPI Entry'!B267</f>
        <v>0</v>
      </c>
      <c r="C266" s="47" t="n">
        <f aca="false">'Daily KPI Entry'!C267</f>
        <v>0</v>
      </c>
      <c r="D266" s="47" t="n">
        <f aca="false">'Daily KPI Entry'!D267</f>
        <v>0</v>
      </c>
      <c r="E266" s="47" t="n">
        <f aca="false">'Daily KPI Entry'!E267</f>
        <v>0</v>
      </c>
      <c r="F266" s="47" t="n">
        <f aca="false">'Daily KPI Entry'!F267</f>
        <v>0</v>
      </c>
      <c r="G266" s="47" t="n">
        <f aca="false">'Daily KPI Entry'!G267</f>
        <v>0</v>
      </c>
      <c r="H266" s="47" t="str">
        <f aca="false">'Daily KPI Entry'!H267</f>
        <v/>
      </c>
      <c r="I266" s="47" t="n">
        <f aca="false">'Daily KPI Entry'!I267</f>
        <v>0</v>
      </c>
      <c r="J266" s="47" t="n">
        <f aca="false">'Daily KPI Entry'!J267</f>
        <v>0</v>
      </c>
      <c r="K266" s="47" t="n">
        <f aca="false">'Daily KPI Entry'!K267</f>
        <v>0</v>
      </c>
      <c r="L266" s="47" t="n">
        <f aca="false">'Daily KPI Entry'!L267</f>
        <v>0</v>
      </c>
      <c r="M266" s="47" t="n">
        <f aca="false">'Daily KPI Entry'!M267</f>
        <v>0</v>
      </c>
      <c r="N266" s="49" t="n">
        <f aca="false">'Daily KPI Entry'!N267</f>
        <v>0</v>
      </c>
      <c r="O266" s="49" t="n">
        <f aca="false">'Daily KPI Entry'!O267</f>
        <v>0</v>
      </c>
      <c r="P266" s="49" t="str">
        <f aca="false">IF(OR(N266="",O266=""),"",IFERROR(O266/N266*100,0))</f>
        <v/>
      </c>
      <c r="Q266" s="47" t="n">
        <f aca="false">'Daily KPI Entry'!Q267</f>
        <v>8</v>
      </c>
      <c r="R266" s="47" t="str">
        <f aca="false">IF(J266="","",Q266*J266)</f>
        <v/>
      </c>
      <c r="S266" s="49" t="n">
        <f aca="false">'Daily KPI Entry'!S267</f>
        <v>0</v>
      </c>
      <c r="T266" s="49" t="str">
        <f aca="false">IF(OR(R266="",S266=""),"",IFERROR(S266/R266*100,0))</f>
        <v/>
      </c>
      <c r="U266" s="49" t="str">
        <f aca="false">IF(OR(O266="",L266="",M266="",S266="",M266=0),"",IFERROR(O266/(L266*60*S266/(M266*36))*100,0))</f>
        <v/>
      </c>
      <c r="V266" s="49" t="n">
        <f aca="false">'Daily KPI Entry'!V267</f>
        <v>0</v>
      </c>
      <c r="W266" s="49" t="str">
        <f aca="false">IF(O266="","",IFERROR(V266/O266*100,0))</f>
        <v/>
      </c>
      <c r="X266" s="49" t="n">
        <f aca="false">'Daily KPI Entry'!X267</f>
        <v>0</v>
      </c>
      <c r="Y266" s="49" t="n">
        <f aca="false">'Daily KPI Entry'!Y267</f>
        <v>0</v>
      </c>
      <c r="Z266" s="49" t="n">
        <f aca="false">'Daily KPI Entry'!Z267</f>
        <v>0</v>
      </c>
      <c r="AA266" s="49" t="n">
        <f aca="false">'Daily KPI Entry'!AA267</f>
        <v>0</v>
      </c>
      <c r="AB266" s="49" t="n">
        <f aca="false">'Daily KPI Entry'!AB267</f>
        <v>0</v>
      </c>
      <c r="AC266" s="49" t="n">
        <f aca="false">'Daily KPI Entry'!AC267</f>
        <v>0</v>
      </c>
      <c r="AD266" s="49" t="n">
        <f aca="false">'Daily KPI Entry'!AD267</f>
        <v>0</v>
      </c>
      <c r="AE266" s="49" t="n">
        <f aca="false">'Daily KPI Entry'!AE267</f>
        <v>0</v>
      </c>
      <c r="AF266" s="47" t="str">
        <f aca="false">IF(O266="","",SUM(X266:AE266))</f>
        <v/>
      </c>
      <c r="AG266" s="49" t="str">
        <f aca="false">IF(O266="","",IFERROR(AF266/O266*1000,0))</f>
        <v/>
      </c>
      <c r="AH266" s="49" t="n">
        <f aca="false">'Daily KPI Entry'!AH267</f>
        <v>0</v>
      </c>
      <c r="AI266" s="49" t="n">
        <f aca="false">'Daily KPI Entry'!AI267</f>
        <v>0</v>
      </c>
      <c r="AJ266" s="49" t="n">
        <f aca="false">'Daily KPI Entry'!AJ267</f>
        <v>0</v>
      </c>
      <c r="AK266" s="47" t="n">
        <f aca="false">'Daily KPI Entry'!AK267</f>
        <v>0</v>
      </c>
      <c r="AL266" s="47" t="n">
        <f aca="false">'Daily KPI Entry'!AL267</f>
        <v>0</v>
      </c>
      <c r="AM266" s="47" t="n">
        <f aca="false">'Daily KPI Entry'!AM267</f>
        <v>0</v>
      </c>
      <c r="AN266" s="49" t="str">
        <f aca="false">IF(P266="","",MIN(120,P266))</f>
        <v/>
      </c>
      <c r="AO266" s="49" t="str">
        <f aca="false">IF(U266="","",MIN(120,U266))</f>
        <v/>
      </c>
      <c r="AP266" s="49" t="str">
        <f aca="false">IF(R266="","",MIN(120,IFERROR(S266/R266*100,0)))</f>
        <v/>
      </c>
      <c r="AQ266" s="49" t="str">
        <f aca="false">IF(W266="","",MIN(120,IF(W266=0,120,100*(INDEX('Standards &amp; Scoring'!$E$5:$E$13,MATCH("Quality / Rejection",'Standards &amp; Scoring'!$A$5:$A$13,0))/W266))))</f>
        <v/>
      </c>
      <c r="AR266" s="49" t="str">
        <f aca="false">IF(AG266="","",MIN(120,IF(AG266=0,120,100*(INDEX('Standards &amp; Scoring'!$E$5:$E$13,MATCH("Fault Control",'Standards &amp; Scoring'!$A$5:$A$13,0))/AG266))))</f>
        <v/>
      </c>
      <c r="AS266" s="49" t="str">
        <f aca="false">IF(O266="","",MIN(120,IF(SUMIFS('Fault &amp; Downtime Entry'!$L$6:$L$1005,'Fault &amp; Downtime Entry'!$E$6:$E$1005,G266,'Fault &amp; Downtime Entry'!$B$6:$B$1005,B266)=0,120,100*(INDEX('Standards &amp; Scoring'!$E$5:$E$13,MATCH("Downtime Control",'Standards &amp; Scoring'!$A$5:$A$13,0))/IFERROR(SUMIFS('Fault &amp; Downtime Entry'!$L$6:$L$1005,'Fault &amp; Downtime Entry'!$E$6:$E$1005,G266,'Fault &amp; Downtime Entry'!$B$6:$B$1005,B266)/O266*1000,999999)))))</f>
        <v/>
      </c>
      <c r="AT266" s="49" t="n">
        <f aca="false">IF(COUNTA(AH266,AJ266)=0,"",MIN(120,IF(AND(AH266&lt;&gt;"",AJ266&lt;&gt;""),AVERAGE(AH266,AJ266),IF(AH266&lt;&gt;"",AH266,AJ266))))</f>
        <v>0</v>
      </c>
      <c r="AU266" s="49" t="str">
        <f aca="false">IF(AI266="","",MIN(120,AI266))</f>
        <v/>
      </c>
      <c r="AV266" s="49" t="str">
        <f aca="false">IF(AJ266="","",MIN(120,AJ266))</f>
        <v/>
      </c>
      <c r="AW266" s="50" t="str">
        <f aca="false">IF(COUNT(AN266:AV266)&lt;9,"",(AN266*'Standards &amp; Scoring'!$D$5+AO266*'Standards &amp; Scoring'!$D$6+AP266*'Standards &amp; Scoring'!$D$7+AQ266*'Standards &amp; Scoring'!$D$8+AR266*'Standards &amp; Scoring'!$D$9+AS266*'Standards &amp; Scoring'!$D$10+AT266*'Standards &amp; Scoring'!$D$11+AU266*'Standards &amp; Scoring'!$D$12+AV266*'Standards &amp; Scoring'!$D$13)/10000)</f>
        <v/>
      </c>
      <c r="AX266" s="47" t="str">
        <f aca="false">IF(AW266="","",IF(AW266&gt;=1.05,"A+",IF(AW266&gt;=1,"A",IF(AW266&gt;=0.95,"B+",IF(AW266&gt;=0.9,"B","C")))))</f>
        <v/>
      </c>
      <c r="AY266" s="47" t="str">
        <f aca="false">IF(AX266="","",IF(AX266="A+",1800,IF(AX266="A",1600,IF(AX266="B+",1400,IF(AX266="B",1200,0)))))</f>
        <v/>
      </c>
      <c r="AZ266" s="49" t="str">
        <f aca="false">IF(OR(L266="",M266="",S266="",M266=0),"",IFERROR(L266*60*S266/(M266*36),0))</f>
        <v/>
      </c>
    </row>
    <row r="267" customFormat="false" ht="15" hidden="false" customHeight="true" outlineLevel="0" collapsed="false">
      <c r="A267" s="47" t="n">
        <f aca="false">'Daily KPI Entry'!A268</f>
        <v>0</v>
      </c>
      <c r="B267" s="48" t="n">
        <f aca="false">'Daily KPI Entry'!B268</f>
        <v>0</v>
      </c>
      <c r="C267" s="47" t="n">
        <f aca="false">'Daily KPI Entry'!C268</f>
        <v>0</v>
      </c>
      <c r="D267" s="47" t="n">
        <f aca="false">'Daily KPI Entry'!D268</f>
        <v>0</v>
      </c>
      <c r="E267" s="47" t="n">
        <f aca="false">'Daily KPI Entry'!E268</f>
        <v>0</v>
      </c>
      <c r="F267" s="47" t="n">
        <f aca="false">'Daily KPI Entry'!F268</f>
        <v>0</v>
      </c>
      <c r="G267" s="47" t="n">
        <f aca="false">'Daily KPI Entry'!G268</f>
        <v>0</v>
      </c>
      <c r="H267" s="47" t="str">
        <f aca="false">'Daily KPI Entry'!H268</f>
        <v/>
      </c>
      <c r="I267" s="47" t="n">
        <f aca="false">'Daily KPI Entry'!I268</f>
        <v>0</v>
      </c>
      <c r="J267" s="47" t="n">
        <f aca="false">'Daily KPI Entry'!J268</f>
        <v>0</v>
      </c>
      <c r="K267" s="47" t="n">
        <f aca="false">'Daily KPI Entry'!K268</f>
        <v>0</v>
      </c>
      <c r="L267" s="47" t="n">
        <f aca="false">'Daily KPI Entry'!L268</f>
        <v>0</v>
      </c>
      <c r="M267" s="47" t="n">
        <f aca="false">'Daily KPI Entry'!M268</f>
        <v>0</v>
      </c>
      <c r="N267" s="49" t="n">
        <f aca="false">'Daily KPI Entry'!N268</f>
        <v>0</v>
      </c>
      <c r="O267" s="49" t="n">
        <f aca="false">'Daily KPI Entry'!O268</f>
        <v>0</v>
      </c>
      <c r="P267" s="49" t="str">
        <f aca="false">IF(OR(N267="",O267=""),"",IFERROR(O267/N267*100,0))</f>
        <v/>
      </c>
      <c r="Q267" s="47" t="n">
        <f aca="false">'Daily KPI Entry'!Q268</f>
        <v>8</v>
      </c>
      <c r="R267" s="47" t="str">
        <f aca="false">IF(J267="","",Q267*J267)</f>
        <v/>
      </c>
      <c r="S267" s="49" t="n">
        <f aca="false">'Daily KPI Entry'!S268</f>
        <v>0</v>
      </c>
      <c r="T267" s="49" t="str">
        <f aca="false">IF(OR(R267="",S267=""),"",IFERROR(S267/R267*100,0))</f>
        <v/>
      </c>
      <c r="U267" s="49" t="str">
        <f aca="false">IF(OR(O267="",L267="",M267="",S267="",M267=0),"",IFERROR(O267/(L267*60*S267/(M267*36))*100,0))</f>
        <v/>
      </c>
      <c r="V267" s="49" t="n">
        <f aca="false">'Daily KPI Entry'!V268</f>
        <v>0</v>
      </c>
      <c r="W267" s="49" t="str">
        <f aca="false">IF(O267="","",IFERROR(V267/O267*100,0))</f>
        <v/>
      </c>
      <c r="X267" s="49" t="n">
        <f aca="false">'Daily KPI Entry'!X268</f>
        <v>0</v>
      </c>
      <c r="Y267" s="49" t="n">
        <f aca="false">'Daily KPI Entry'!Y268</f>
        <v>0</v>
      </c>
      <c r="Z267" s="49" t="n">
        <f aca="false">'Daily KPI Entry'!Z268</f>
        <v>0</v>
      </c>
      <c r="AA267" s="49" t="n">
        <f aca="false">'Daily KPI Entry'!AA268</f>
        <v>0</v>
      </c>
      <c r="AB267" s="49" t="n">
        <f aca="false">'Daily KPI Entry'!AB268</f>
        <v>0</v>
      </c>
      <c r="AC267" s="49" t="n">
        <f aca="false">'Daily KPI Entry'!AC268</f>
        <v>0</v>
      </c>
      <c r="AD267" s="49" t="n">
        <f aca="false">'Daily KPI Entry'!AD268</f>
        <v>0</v>
      </c>
      <c r="AE267" s="49" t="n">
        <f aca="false">'Daily KPI Entry'!AE268</f>
        <v>0</v>
      </c>
      <c r="AF267" s="47" t="str">
        <f aca="false">IF(O267="","",SUM(X267:AE267))</f>
        <v/>
      </c>
      <c r="AG267" s="49" t="str">
        <f aca="false">IF(O267="","",IFERROR(AF267/O267*1000,0))</f>
        <v/>
      </c>
      <c r="AH267" s="49" t="n">
        <f aca="false">'Daily KPI Entry'!AH268</f>
        <v>0</v>
      </c>
      <c r="AI267" s="49" t="n">
        <f aca="false">'Daily KPI Entry'!AI268</f>
        <v>0</v>
      </c>
      <c r="AJ267" s="49" t="n">
        <f aca="false">'Daily KPI Entry'!AJ268</f>
        <v>0</v>
      </c>
      <c r="AK267" s="47" t="n">
        <f aca="false">'Daily KPI Entry'!AK268</f>
        <v>0</v>
      </c>
      <c r="AL267" s="47" t="n">
        <f aca="false">'Daily KPI Entry'!AL268</f>
        <v>0</v>
      </c>
      <c r="AM267" s="47" t="n">
        <f aca="false">'Daily KPI Entry'!AM268</f>
        <v>0</v>
      </c>
      <c r="AN267" s="49" t="str">
        <f aca="false">IF(P267="","",MIN(120,P267))</f>
        <v/>
      </c>
      <c r="AO267" s="49" t="str">
        <f aca="false">IF(U267="","",MIN(120,U267))</f>
        <v/>
      </c>
      <c r="AP267" s="49" t="str">
        <f aca="false">IF(R267="","",MIN(120,IFERROR(S267/R267*100,0)))</f>
        <v/>
      </c>
      <c r="AQ267" s="49" t="str">
        <f aca="false">IF(W267="","",MIN(120,IF(W267=0,120,100*(INDEX('Standards &amp; Scoring'!$E$5:$E$13,MATCH("Quality / Rejection",'Standards &amp; Scoring'!$A$5:$A$13,0))/W267))))</f>
        <v/>
      </c>
      <c r="AR267" s="49" t="str">
        <f aca="false">IF(AG267="","",MIN(120,IF(AG267=0,120,100*(INDEX('Standards &amp; Scoring'!$E$5:$E$13,MATCH("Fault Control",'Standards &amp; Scoring'!$A$5:$A$13,0))/AG267))))</f>
        <v/>
      </c>
      <c r="AS267" s="49" t="str">
        <f aca="false">IF(O267="","",MIN(120,IF(SUMIFS('Fault &amp; Downtime Entry'!$L$6:$L$1005,'Fault &amp; Downtime Entry'!$E$6:$E$1005,G267,'Fault &amp; Downtime Entry'!$B$6:$B$1005,B267)=0,120,100*(INDEX('Standards &amp; Scoring'!$E$5:$E$13,MATCH("Downtime Control",'Standards &amp; Scoring'!$A$5:$A$13,0))/IFERROR(SUMIFS('Fault &amp; Downtime Entry'!$L$6:$L$1005,'Fault &amp; Downtime Entry'!$E$6:$E$1005,G267,'Fault &amp; Downtime Entry'!$B$6:$B$1005,B267)/O267*1000,999999)))))</f>
        <v/>
      </c>
      <c r="AT267" s="49" t="n">
        <f aca="false">IF(COUNTA(AH267,AJ267)=0,"",MIN(120,IF(AND(AH267&lt;&gt;"",AJ267&lt;&gt;""),AVERAGE(AH267,AJ267),IF(AH267&lt;&gt;"",AH267,AJ267))))</f>
        <v>0</v>
      </c>
      <c r="AU267" s="49" t="str">
        <f aca="false">IF(AI267="","",MIN(120,AI267))</f>
        <v/>
      </c>
      <c r="AV267" s="49" t="str">
        <f aca="false">IF(AJ267="","",MIN(120,AJ267))</f>
        <v/>
      </c>
      <c r="AW267" s="50" t="str">
        <f aca="false">IF(COUNT(AN267:AV267)&lt;9,"",(AN267*'Standards &amp; Scoring'!$D$5+AO267*'Standards &amp; Scoring'!$D$6+AP267*'Standards &amp; Scoring'!$D$7+AQ267*'Standards &amp; Scoring'!$D$8+AR267*'Standards &amp; Scoring'!$D$9+AS267*'Standards &amp; Scoring'!$D$10+AT267*'Standards &amp; Scoring'!$D$11+AU267*'Standards &amp; Scoring'!$D$12+AV267*'Standards &amp; Scoring'!$D$13)/10000)</f>
        <v/>
      </c>
      <c r="AX267" s="47" t="str">
        <f aca="false">IF(AW267="","",IF(AW267&gt;=1.05,"A+",IF(AW267&gt;=1,"A",IF(AW267&gt;=0.95,"B+",IF(AW267&gt;=0.9,"B","C")))))</f>
        <v/>
      </c>
      <c r="AY267" s="47" t="str">
        <f aca="false">IF(AX267="","",IF(AX267="A+",1800,IF(AX267="A",1600,IF(AX267="B+",1400,IF(AX267="B",1200,0)))))</f>
        <v/>
      </c>
      <c r="AZ267" s="49" t="str">
        <f aca="false">IF(OR(L267="",M267="",S267="",M267=0),"",IFERROR(L267*60*S267/(M267*36),0))</f>
        <v/>
      </c>
    </row>
    <row r="268" customFormat="false" ht="15" hidden="false" customHeight="true" outlineLevel="0" collapsed="false">
      <c r="A268" s="47" t="n">
        <f aca="false">'Daily KPI Entry'!A269</f>
        <v>0</v>
      </c>
      <c r="B268" s="48" t="n">
        <f aca="false">'Daily KPI Entry'!B269</f>
        <v>0</v>
      </c>
      <c r="C268" s="47" t="n">
        <f aca="false">'Daily KPI Entry'!C269</f>
        <v>0</v>
      </c>
      <c r="D268" s="47" t="n">
        <f aca="false">'Daily KPI Entry'!D269</f>
        <v>0</v>
      </c>
      <c r="E268" s="47" t="n">
        <f aca="false">'Daily KPI Entry'!E269</f>
        <v>0</v>
      </c>
      <c r="F268" s="47" t="n">
        <f aca="false">'Daily KPI Entry'!F269</f>
        <v>0</v>
      </c>
      <c r="G268" s="47" t="n">
        <f aca="false">'Daily KPI Entry'!G269</f>
        <v>0</v>
      </c>
      <c r="H268" s="47" t="str">
        <f aca="false">'Daily KPI Entry'!H269</f>
        <v/>
      </c>
      <c r="I268" s="47" t="n">
        <f aca="false">'Daily KPI Entry'!I269</f>
        <v>0</v>
      </c>
      <c r="J268" s="47" t="n">
        <f aca="false">'Daily KPI Entry'!J269</f>
        <v>0</v>
      </c>
      <c r="K268" s="47" t="n">
        <f aca="false">'Daily KPI Entry'!K269</f>
        <v>0</v>
      </c>
      <c r="L268" s="47" t="n">
        <f aca="false">'Daily KPI Entry'!L269</f>
        <v>0</v>
      </c>
      <c r="M268" s="47" t="n">
        <f aca="false">'Daily KPI Entry'!M269</f>
        <v>0</v>
      </c>
      <c r="N268" s="49" t="n">
        <f aca="false">'Daily KPI Entry'!N269</f>
        <v>0</v>
      </c>
      <c r="O268" s="49" t="n">
        <f aca="false">'Daily KPI Entry'!O269</f>
        <v>0</v>
      </c>
      <c r="P268" s="49" t="str">
        <f aca="false">IF(OR(N268="",O268=""),"",IFERROR(O268/N268*100,0))</f>
        <v/>
      </c>
      <c r="Q268" s="47" t="n">
        <f aca="false">'Daily KPI Entry'!Q269</f>
        <v>8</v>
      </c>
      <c r="R268" s="47" t="str">
        <f aca="false">IF(J268="","",Q268*J268)</f>
        <v/>
      </c>
      <c r="S268" s="49" t="n">
        <f aca="false">'Daily KPI Entry'!S269</f>
        <v>0</v>
      </c>
      <c r="T268" s="49" t="str">
        <f aca="false">IF(OR(R268="",S268=""),"",IFERROR(S268/R268*100,0))</f>
        <v/>
      </c>
      <c r="U268" s="49" t="str">
        <f aca="false">IF(OR(O268="",L268="",M268="",S268="",M268=0),"",IFERROR(O268/(L268*60*S268/(M268*36))*100,0))</f>
        <v/>
      </c>
      <c r="V268" s="49" t="n">
        <f aca="false">'Daily KPI Entry'!V269</f>
        <v>0</v>
      </c>
      <c r="W268" s="49" t="str">
        <f aca="false">IF(O268="","",IFERROR(V268/O268*100,0))</f>
        <v/>
      </c>
      <c r="X268" s="49" t="n">
        <f aca="false">'Daily KPI Entry'!X269</f>
        <v>0</v>
      </c>
      <c r="Y268" s="49" t="n">
        <f aca="false">'Daily KPI Entry'!Y269</f>
        <v>0</v>
      </c>
      <c r="Z268" s="49" t="n">
        <f aca="false">'Daily KPI Entry'!Z269</f>
        <v>0</v>
      </c>
      <c r="AA268" s="49" t="n">
        <f aca="false">'Daily KPI Entry'!AA269</f>
        <v>0</v>
      </c>
      <c r="AB268" s="49" t="n">
        <f aca="false">'Daily KPI Entry'!AB269</f>
        <v>0</v>
      </c>
      <c r="AC268" s="49" t="n">
        <f aca="false">'Daily KPI Entry'!AC269</f>
        <v>0</v>
      </c>
      <c r="AD268" s="49" t="n">
        <f aca="false">'Daily KPI Entry'!AD269</f>
        <v>0</v>
      </c>
      <c r="AE268" s="49" t="n">
        <f aca="false">'Daily KPI Entry'!AE269</f>
        <v>0</v>
      </c>
      <c r="AF268" s="47" t="str">
        <f aca="false">IF(O268="","",SUM(X268:AE268))</f>
        <v/>
      </c>
      <c r="AG268" s="49" t="str">
        <f aca="false">IF(O268="","",IFERROR(AF268/O268*1000,0))</f>
        <v/>
      </c>
      <c r="AH268" s="49" t="n">
        <f aca="false">'Daily KPI Entry'!AH269</f>
        <v>0</v>
      </c>
      <c r="AI268" s="49" t="n">
        <f aca="false">'Daily KPI Entry'!AI269</f>
        <v>0</v>
      </c>
      <c r="AJ268" s="49" t="n">
        <f aca="false">'Daily KPI Entry'!AJ269</f>
        <v>0</v>
      </c>
      <c r="AK268" s="47" t="n">
        <f aca="false">'Daily KPI Entry'!AK269</f>
        <v>0</v>
      </c>
      <c r="AL268" s="47" t="n">
        <f aca="false">'Daily KPI Entry'!AL269</f>
        <v>0</v>
      </c>
      <c r="AM268" s="47" t="n">
        <f aca="false">'Daily KPI Entry'!AM269</f>
        <v>0</v>
      </c>
      <c r="AN268" s="49" t="str">
        <f aca="false">IF(P268="","",MIN(120,P268))</f>
        <v/>
      </c>
      <c r="AO268" s="49" t="str">
        <f aca="false">IF(U268="","",MIN(120,U268))</f>
        <v/>
      </c>
      <c r="AP268" s="49" t="str">
        <f aca="false">IF(R268="","",MIN(120,IFERROR(S268/R268*100,0)))</f>
        <v/>
      </c>
      <c r="AQ268" s="49" t="str">
        <f aca="false">IF(W268="","",MIN(120,IF(W268=0,120,100*(INDEX('Standards &amp; Scoring'!$E$5:$E$13,MATCH("Quality / Rejection",'Standards &amp; Scoring'!$A$5:$A$13,0))/W268))))</f>
        <v/>
      </c>
      <c r="AR268" s="49" t="str">
        <f aca="false">IF(AG268="","",MIN(120,IF(AG268=0,120,100*(INDEX('Standards &amp; Scoring'!$E$5:$E$13,MATCH("Fault Control",'Standards &amp; Scoring'!$A$5:$A$13,0))/AG268))))</f>
        <v/>
      </c>
      <c r="AS268" s="49" t="str">
        <f aca="false">IF(O268="","",MIN(120,IF(SUMIFS('Fault &amp; Downtime Entry'!$L$6:$L$1005,'Fault &amp; Downtime Entry'!$E$6:$E$1005,G268,'Fault &amp; Downtime Entry'!$B$6:$B$1005,B268)=0,120,100*(INDEX('Standards &amp; Scoring'!$E$5:$E$13,MATCH("Downtime Control",'Standards &amp; Scoring'!$A$5:$A$13,0))/IFERROR(SUMIFS('Fault &amp; Downtime Entry'!$L$6:$L$1005,'Fault &amp; Downtime Entry'!$E$6:$E$1005,G268,'Fault &amp; Downtime Entry'!$B$6:$B$1005,B268)/O268*1000,999999)))))</f>
        <v/>
      </c>
      <c r="AT268" s="49" t="n">
        <f aca="false">IF(COUNTA(AH268,AJ268)=0,"",MIN(120,IF(AND(AH268&lt;&gt;"",AJ268&lt;&gt;""),AVERAGE(AH268,AJ268),IF(AH268&lt;&gt;"",AH268,AJ268))))</f>
        <v>0</v>
      </c>
      <c r="AU268" s="49" t="str">
        <f aca="false">IF(AI268="","",MIN(120,AI268))</f>
        <v/>
      </c>
      <c r="AV268" s="49" t="str">
        <f aca="false">IF(AJ268="","",MIN(120,AJ268))</f>
        <v/>
      </c>
      <c r="AW268" s="50" t="str">
        <f aca="false">IF(COUNT(AN268:AV268)&lt;9,"",(AN268*'Standards &amp; Scoring'!$D$5+AO268*'Standards &amp; Scoring'!$D$6+AP268*'Standards &amp; Scoring'!$D$7+AQ268*'Standards &amp; Scoring'!$D$8+AR268*'Standards &amp; Scoring'!$D$9+AS268*'Standards &amp; Scoring'!$D$10+AT268*'Standards &amp; Scoring'!$D$11+AU268*'Standards &amp; Scoring'!$D$12+AV268*'Standards &amp; Scoring'!$D$13)/10000)</f>
        <v/>
      </c>
      <c r="AX268" s="47" t="str">
        <f aca="false">IF(AW268="","",IF(AW268&gt;=1.05,"A+",IF(AW268&gt;=1,"A",IF(AW268&gt;=0.95,"B+",IF(AW268&gt;=0.9,"B","C")))))</f>
        <v/>
      </c>
      <c r="AY268" s="47" t="str">
        <f aca="false">IF(AX268="","",IF(AX268="A+",1800,IF(AX268="A",1600,IF(AX268="B+",1400,IF(AX268="B",1200,0)))))</f>
        <v/>
      </c>
      <c r="AZ268" s="49" t="str">
        <f aca="false">IF(OR(L268="",M268="",S268="",M268=0),"",IFERROR(L268*60*S268/(M268*36),0))</f>
        <v/>
      </c>
    </row>
    <row r="269" customFormat="false" ht="15" hidden="false" customHeight="true" outlineLevel="0" collapsed="false">
      <c r="A269" s="47" t="n">
        <f aca="false">'Daily KPI Entry'!A270</f>
        <v>0</v>
      </c>
      <c r="B269" s="48" t="n">
        <f aca="false">'Daily KPI Entry'!B270</f>
        <v>0</v>
      </c>
      <c r="C269" s="47" t="n">
        <f aca="false">'Daily KPI Entry'!C270</f>
        <v>0</v>
      </c>
      <c r="D269" s="47" t="n">
        <f aca="false">'Daily KPI Entry'!D270</f>
        <v>0</v>
      </c>
      <c r="E269" s="47" t="n">
        <f aca="false">'Daily KPI Entry'!E270</f>
        <v>0</v>
      </c>
      <c r="F269" s="47" t="n">
        <f aca="false">'Daily KPI Entry'!F270</f>
        <v>0</v>
      </c>
      <c r="G269" s="47" t="n">
        <f aca="false">'Daily KPI Entry'!G270</f>
        <v>0</v>
      </c>
      <c r="H269" s="47" t="str">
        <f aca="false">'Daily KPI Entry'!H270</f>
        <v/>
      </c>
      <c r="I269" s="47" t="n">
        <f aca="false">'Daily KPI Entry'!I270</f>
        <v>0</v>
      </c>
      <c r="J269" s="47" t="n">
        <f aca="false">'Daily KPI Entry'!J270</f>
        <v>0</v>
      </c>
      <c r="K269" s="47" t="n">
        <f aca="false">'Daily KPI Entry'!K270</f>
        <v>0</v>
      </c>
      <c r="L269" s="47" t="n">
        <f aca="false">'Daily KPI Entry'!L270</f>
        <v>0</v>
      </c>
      <c r="M269" s="47" t="n">
        <f aca="false">'Daily KPI Entry'!M270</f>
        <v>0</v>
      </c>
      <c r="N269" s="49" t="n">
        <f aca="false">'Daily KPI Entry'!N270</f>
        <v>0</v>
      </c>
      <c r="O269" s="49" t="n">
        <f aca="false">'Daily KPI Entry'!O270</f>
        <v>0</v>
      </c>
      <c r="P269" s="49" t="str">
        <f aca="false">IF(OR(N269="",O269=""),"",IFERROR(O269/N269*100,0))</f>
        <v/>
      </c>
      <c r="Q269" s="47" t="n">
        <f aca="false">'Daily KPI Entry'!Q270</f>
        <v>8</v>
      </c>
      <c r="R269" s="47" t="str">
        <f aca="false">IF(J269="","",Q269*J269)</f>
        <v/>
      </c>
      <c r="S269" s="49" t="n">
        <f aca="false">'Daily KPI Entry'!S270</f>
        <v>0</v>
      </c>
      <c r="T269" s="49" t="str">
        <f aca="false">IF(OR(R269="",S269=""),"",IFERROR(S269/R269*100,0))</f>
        <v/>
      </c>
      <c r="U269" s="49" t="str">
        <f aca="false">IF(OR(O269="",L269="",M269="",S269="",M269=0),"",IFERROR(O269/(L269*60*S269/(M269*36))*100,0))</f>
        <v/>
      </c>
      <c r="V269" s="49" t="n">
        <f aca="false">'Daily KPI Entry'!V270</f>
        <v>0</v>
      </c>
      <c r="W269" s="49" t="str">
        <f aca="false">IF(O269="","",IFERROR(V269/O269*100,0))</f>
        <v/>
      </c>
      <c r="X269" s="49" t="n">
        <f aca="false">'Daily KPI Entry'!X270</f>
        <v>0</v>
      </c>
      <c r="Y269" s="49" t="n">
        <f aca="false">'Daily KPI Entry'!Y270</f>
        <v>0</v>
      </c>
      <c r="Z269" s="49" t="n">
        <f aca="false">'Daily KPI Entry'!Z270</f>
        <v>0</v>
      </c>
      <c r="AA269" s="49" t="n">
        <f aca="false">'Daily KPI Entry'!AA270</f>
        <v>0</v>
      </c>
      <c r="AB269" s="49" t="n">
        <f aca="false">'Daily KPI Entry'!AB270</f>
        <v>0</v>
      </c>
      <c r="AC269" s="49" t="n">
        <f aca="false">'Daily KPI Entry'!AC270</f>
        <v>0</v>
      </c>
      <c r="AD269" s="49" t="n">
        <f aca="false">'Daily KPI Entry'!AD270</f>
        <v>0</v>
      </c>
      <c r="AE269" s="49" t="n">
        <f aca="false">'Daily KPI Entry'!AE270</f>
        <v>0</v>
      </c>
      <c r="AF269" s="47" t="str">
        <f aca="false">IF(O269="","",SUM(X269:AE269))</f>
        <v/>
      </c>
      <c r="AG269" s="49" t="str">
        <f aca="false">IF(O269="","",IFERROR(AF269/O269*1000,0))</f>
        <v/>
      </c>
      <c r="AH269" s="49" t="n">
        <f aca="false">'Daily KPI Entry'!AH270</f>
        <v>0</v>
      </c>
      <c r="AI269" s="49" t="n">
        <f aca="false">'Daily KPI Entry'!AI270</f>
        <v>0</v>
      </c>
      <c r="AJ269" s="49" t="n">
        <f aca="false">'Daily KPI Entry'!AJ270</f>
        <v>0</v>
      </c>
      <c r="AK269" s="47" t="n">
        <f aca="false">'Daily KPI Entry'!AK270</f>
        <v>0</v>
      </c>
      <c r="AL269" s="47" t="n">
        <f aca="false">'Daily KPI Entry'!AL270</f>
        <v>0</v>
      </c>
      <c r="AM269" s="47" t="n">
        <f aca="false">'Daily KPI Entry'!AM270</f>
        <v>0</v>
      </c>
      <c r="AN269" s="49" t="str">
        <f aca="false">IF(P269="","",MIN(120,P269))</f>
        <v/>
      </c>
      <c r="AO269" s="49" t="str">
        <f aca="false">IF(U269="","",MIN(120,U269))</f>
        <v/>
      </c>
      <c r="AP269" s="49" t="str">
        <f aca="false">IF(R269="","",MIN(120,IFERROR(S269/R269*100,0)))</f>
        <v/>
      </c>
      <c r="AQ269" s="49" t="str">
        <f aca="false">IF(W269="","",MIN(120,IF(W269=0,120,100*(INDEX('Standards &amp; Scoring'!$E$5:$E$13,MATCH("Quality / Rejection",'Standards &amp; Scoring'!$A$5:$A$13,0))/W269))))</f>
        <v/>
      </c>
      <c r="AR269" s="49" t="str">
        <f aca="false">IF(AG269="","",MIN(120,IF(AG269=0,120,100*(INDEX('Standards &amp; Scoring'!$E$5:$E$13,MATCH("Fault Control",'Standards &amp; Scoring'!$A$5:$A$13,0))/AG269))))</f>
        <v/>
      </c>
      <c r="AS269" s="49" t="str">
        <f aca="false">IF(O269="","",MIN(120,IF(SUMIFS('Fault &amp; Downtime Entry'!$L$6:$L$1005,'Fault &amp; Downtime Entry'!$E$6:$E$1005,G269,'Fault &amp; Downtime Entry'!$B$6:$B$1005,B269)=0,120,100*(INDEX('Standards &amp; Scoring'!$E$5:$E$13,MATCH("Downtime Control",'Standards &amp; Scoring'!$A$5:$A$13,0))/IFERROR(SUMIFS('Fault &amp; Downtime Entry'!$L$6:$L$1005,'Fault &amp; Downtime Entry'!$E$6:$E$1005,G269,'Fault &amp; Downtime Entry'!$B$6:$B$1005,B269)/O269*1000,999999)))))</f>
        <v/>
      </c>
      <c r="AT269" s="49" t="n">
        <f aca="false">IF(COUNTA(AH269,AJ269)=0,"",MIN(120,IF(AND(AH269&lt;&gt;"",AJ269&lt;&gt;""),AVERAGE(AH269,AJ269),IF(AH269&lt;&gt;"",AH269,AJ269))))</f>
        <v>0</v>
      </c>
      <c r="AU269" s="49" t="str">
        <f aca="false">IF(AI269="","",MIN(120,AI269))</f>
        <v/>
      </c>
      <c r="AV269" s="49" t="str">
        <f aca="false">IF(AJ269="","",MIN(120,AJ269))</f>
        <v/>
      </c>
      <c r="AW269" s="50" t="str">
        <f aca="false">IF(COUNT(AN269:AV269)&lt;9,"",(AN269*'Standards &amp; Scoring'!$D$5+AO269*'Standards &amp; Scoring'!$D$6+AP269*'Standards &amp; Scoring'!$D$7+AQ269*'Standards &amp; Scoring'!$D$8+AR269*'Standards &amp; Scoring'!$D$9+AS269*'Standards &amp; Scoring'!$D$10+AT269*'Standards &amp; Scoring'!$D$11+AU269*'Standards &amp; Scoring'!$D$12+AV269*'Standards &amp; Scoring'!$D$13)/10000)</f>
        <v/>
      </c>
      <c r="AX269" s="47" t="str">
        <f aca="false">IF(AW269="","",IF(AW269&gt;=1.05,"A+",IF(AW269&gt;=1,"A",IF(AW269&gt;=0.95,"B+",IF(AW269&gt;=0.9,"B","C")))))</f>
        <v/>
      </c>
      <c r="AY269" s="47" t="str">
        <f aca="false">IF(AX269="","",IF(AX269="A+",1800,IF(AX269="A",1600,IF(AX269="B+",1400,IF(AX269="B",1200,0)))))</f>
        <v/>
      </c>
      <c r="AZ269" s="49" t="str">
        <f aca="false">IF(OR(L269="",M269="",S269="",M269=0),"",IFERROR(L269*60*S269/(M269*36),0))</f>
        <v/>
      </c>
    </row>
    <row r="270" customFormat="false" ht="15" hidden="false" customHeight="true" outlineLevel="0" collapsed="false">
      <c r="A270" s="47" t="n">
        <f aca="false">'Daily KPI Entry'!A271</f>
        <v>0</v>
      </c>
      <c r="B270" s="48" t="n">
        <f aca="false">'Daily KPI Entry'!B271</f>
        <v>0</v>
      </c>
      <c r="C270" s="47" t="n">
        <f aca="false">'Daily KPI Entry'!C271</f>
        <v>0</v>
      </c>
      <c r="D270" s="47" t="n">
        <f aca="false">'Daily KPI Entry'!D271</f>
        <v>0</v>
      </c>
      <c r="E270" s="47" t="n">
        <f aca="false">'Daily KPI Entry'!E271</f>
        <v>0</v>
      </c>
      <c r="F270" s="47" t="n">
        <f aca="false">'Daily KPI Entry'!F271</f>
        <v>0</v>
      </c>
      <c r="G270" s="47" t="n">
        <f aca="false">'Daily KPI Entry'!G271</f>
        <v>0</v>
      </c>
      <c r="H270" s="47" t="str">
        <f aca="false">'Daily KPI Entry'!H271</f>
        <v/>
      </c>
      <c r="I270" s="47" t="n">
        <f aca="false">'Daily KPI Entry'!I271</f>
        <v>0</v>
      </c>
      <c r="J270" s="47" t="n">
        <f aca="false">'Daily KPI Entry'!J271</f>
        <v>0</v>
      </c>
      <c r="K270" s="47" t="n">
        <f aca="false">'Daily KPI Entry'!K271</f>
        <v>0</v>
      </c>
      <c r="L270" s="47" t="n">
        <f aca="false">'Daily KPI Entry'!L271</f>
        <v>0</v>
      </c>
      <c r="M270" s="47" t="n">
        <f aca="false">'Daily KPI Entry'!M271</f>
        <v>0</v>
      </c>
      <c r="N270" s="49" t="n">
        <f aca="false">'Daily KPI Entry'!N271</f>
        <v>0</v>
      </c>
      <c r="O270" s="49" t="n">
        <f aca="false">'Daily KPI Entry'!O271</f>
        <v>0</v>
      </c>
      <c r="P270" s="49" t="str">
        <f aca="false">IF(OR(N270="",O270=""),"",IFERROR(O270/N270*100,0))</f>
        <v/>
      </c>
      <c r="Q270" s="47" t="n">
        <f aca="false">'Daily KPI Entry'!Q271</f>
        <v>8</v>
      </c>
      <c r="R270" s="47" t="str">
        <f aca="false">IF(J270="","",Q270*J270)</f>
        <v/>
      </c>
      <c r="S270" s="49" t="n">
        <f aca="false">'Daily KPI Entry'!S271</f>
        <v>0</v>
      </c>
      <c r="T270" s="49" t="str">
        <f aca="false">IF(OR(R270="",S270=""),"",IFERROR(S270/R270*100,0))</f>
        <v/>
      </c>
      <c r="U270" s="49" t="str">
        <f aca="false">IF(OR(O270="",L270="",M270="",S270="",M270=0),"",IFERROR(O270/(L270*60*S270/(M270*36))*100,0))</f>
        <v/>
      </c>
      <c r="V270" s="49" t="n">
        <f aca="false">'Daily KPI Entry'!V271</f>
        <v>0</v>
      </c>
      <c r="W270" s="49" t="str">
        <f aca="false">IF(O270="","",IFERROR(V270/O270*100,0))</f>
        <v/>
      </c>
      <c r="X270" s="49" t="n">
        <f aca="false">'Daily KPI Entry'!X271</f>
        <v>0</v>
      </c>
      <c r="Y270" s="49" t="n">
        <f aca="false">'Daily KPI Entry'!Y271</f>
        <v>0</v>
      </c>
      <c r="Z270" s="49" t="n">
        <f aca="false">'Daily KPI Entry'!Z271</f>
        <v>0</v>
      </c>
      <c r="AA270" s="49" t="n">
        <f aca="false">'Daily KPI Entry'!AA271</f>
        <v>0</v>
      </c>
      <c r="AB270" s="49" t="n">
        <f aca="false">'Daily KPI Entry'!AB271</f>
        <v>0</v>
      </c>
      <c r="AC270" s="49" t="n">
        <f aca="false">'Daily KPI Entry'!AC271</f>
        <v>0</v>
      </c>
      <c r="AD270" s="49" t="n">
        <f aca="false">'Daily KPI Entry'!AD271</f>
        <v>0</v>
      </c>
      <c r="AE270" s="49" t="n">
        <f aca="false">'Daily KPI Entry'!AE271</f>
        <v>0</v>
      </c>
      <c r="AF270" s="47" t="str">
        <f aca="false">IF(O270="","",SUM(X270:AE270))</f>
        <v/>
      </c>
      <c r="AG270" s="49" t="str">
        <f aca="false">IF(O270="","",IFERROR(AF270/O270*1000,0))</f>
        <v/>
      </c>
      <c r="AH270" s="49" t="n">
        <f aca="false">'Daily KPI Entry'!AH271</f>
        <v>0</v>
      </c>
      <c r="AI270" s="49" t="n">
        <f aca="false">'Daily KPI Entry'!AI271</f>
        <v>0</v>
      </c>
      <c r="AJ270" s="49" t="n">
        <f aca="false">'Daily KPI Entry'!AJ271</f>
        <v>0</v>
      </c>
      <c r="AK270" s="47" t="n">
        <f aca="false">'Daily KPI Entry'!AK271</f>
        <v>0</v>
      </c>
      <c r="AL270" s="47" t="n">
        <f aca="false">'Daily KPI Entry'!AL271</f>
        <v>0</v>
      </c>
      <c r="AM270" s="47" t="n">
        <f aca="false">'Daily KPI Entry'!AM271</f>
        <v>0</v>
      </c>
      <c r="AN270" s="49" t="str">
        <f aca="false">IF(P270="","",MIN(120,P270))</f>
        <v/>
      </c>
      <c r="AO270" s="49" t="str">
        <f aca="false">IF(U270="","",MIN(120,U270))</f>
        <v/>
      </c>
      <c r="AP270" s="49" t="str">
        <f aca="false">IF(R270="","",MIN(120,IFERROR(S270/R270*100,0)))</f>
        <v/>
      </c>
      <c r="AQ270" s="49" t="str">
        <f aca="false">IF(W270="","",MIN(120,IF(W270=0,120,100*(INDEX('Standards &amp; Scoring'!$E$5:$E$13,MATCH("Quality / Rejection",'Standards &amp; Scoring'!$A$5:$A$13,0))/W270))))</f>
        <v/>
      </c>
      <c r="AR270" s="49" t="str">
        <f aca="false">IF(AG270="","",MIN(120,IF(AG270=0,120,100*(INDEX('Standards &amp; Scoring'!$E$5:$E$13,MATCH("Fault Control",'Standards &amp; Scoring'!$A$5:$A$13,0))/AG270))))</f>
        <v/>
      </c>
      <c r="AS270" s="49" t="str">
        <f aca="false">IF(O270="","",MIN(120,IF(SUMIFS('Fault &amp; Downtime Entry'!$L$6:$L$1005,'Fault &amp; Downtime Entry'!$E$6:$E$1005,G270,'Fault &amp; Downtime Entry'!$B$6:$B$1005,B270)=0,120,100*(INDEX('Standards &amp; Scoring'!$E$5:$E$13,MATCH("Downtime Control",'Standards &amp; Scoring'!$A$5:$A$13,0))/IFERROR(SUMIFS('Fault &amp; Downtime Entry'!$L$6:$L$1005,'Fault &amp; Downtime Entry'!$E$6:$E$1005,G270,'Fault &amp; Downtime Entry'!$B$6:$B$1005,B270)/O270*1000,999999)))))</f>
        <v/>
      </c>
      <c r="AT270" s="49" t="n">
        <f aca="false">IF(COUNTA(AH270,AJ270)=0,"",MIN(120,IF(AND(AH270&lt;&gt;"",AJ270&lt;&gt;""),AVERAGE(AH270,AJ270),IF(AH270&lt;&gt;"",AH270,AJ270))))</f>
        <v>0</v>
      </c>
      <c r="AU270" s="49" t="str">
        <f aca="false">IF(AI270="","",MIN(120,AI270))</f>
        <v/>
      </c>
      <c r="AV270" s="49" t="str">
        <f aca="false">IF(AJ270="","",MIN(120,AJ270))</f>
        <v/>
      </c>
      <c r="AW270" s="50" t="str">
        <f aca="false">IF(COUNT(AN270:AV270)&lt;9,"",(AN270*'Standards &amp; Scoring'!$D$5+AO270*'Standards &amp; Scoring'!$D$6+AP270*'Standards &amp; Scoring'!$D$7+AQ270*'Standards &amp; Scoring'!$D$8+AR270*'Standards &amp; Scoring'!$D$9+AS270*'Standards &amp; Scoring'!$D$10+AT270*'Standards &amp; Scoring'!$D$11+AU270*'Standards &amp; Scoring'!$D$12+AV270*'Standards &amp; Scoring'!$D$13)/10000)</f>
        <v/>
      </c>
      <c r="AX270" s="47" t="str">
        <f aca="false">IF(AW270="","",IF(AW270&gt;=1.05,"A+",IF(AW270&gt;=1,"A",IF(AW270&gt;=0.95,"B+",IF(AW270&gt;=0.9,"B","C")))))</f>
        <v/>
      </c>
      <c r="AY270" s="47" t="str">
        <f aca="false">IF(AX270="","",IF(AX270="A+",1800,IF(AX270="A",1600,IF(AX270="B+",1400,IF(AX270="B",1200,0)))))</f>
        <v/>
      </c>
      <c r="AZ270" s="49" t="str">
        <f aca="false">IF(OR(L270="",M270="",S270="",M270=0),"",IFERROR(L270*60*S270/(M270*36),0))</f>
        <v/>
      </c>
    </row>
    <row r="271" customFormat="false" ht="15" hidden="false" customHeight="true" outlineLevel="0" collapsed="false">
      <c r="A271" s="47" t="n">
        <f aca="false">'Daily KPI Entry'!A272</f>
        <v>0</v>
      </c>
      <c r="B271" s="48" t="n">
        <f aca="false">'Daily KPI Entry'!B272</f>
        <v>0</v>
      </c>
      <c r="C271" s="47" t="n">
        <f aca="false">'Daily KPI Entry'!C272</f>
        <v>0</v>
      </c>
      <c r="D271" s="47" t="n">
        <f aca="false">'Daily KPI Entry'!D272</f>
        <v>0</v>
      </c>
      <c r="E271" s="47" t="n">
        <f aca="false">'Daily KPI Entry'!E272</f>
        <v>0</v>
      </c>
      <c r="F271" s="47" t="n">
        <f aca="false">'Daily KPI Entry'!F272</f>
        <v>0</v>
      </c>
      <c r="G271" s="47" t="n">
        <f aca="false">'Daily KPI Entry'!G272</f>
        <v>0</v>
      </c>
      <c r="H271" s="47" t="str">
        <f aca="false">'Daily KPI Entry'!H272</f>
        <v/>
      </c>
      <c r="I271" s="47" t="n">
        <f aca="false">'Daily KPI Entry'!I272</f>
        <v>0</v>
      </c>
      <c r="J271" s="47" t="n">
        <f aca="false">'Daily KPI Entry'!J272</f>
        <v>0</v>
      </c>
      <c r="K271" s="47" t="n">
        <f aca="false">'Daily KPI Entry'!K272</f>
        <v>0</v>
      </c>
      <c r="L271" s="47" t="n">
        <f aca="false">'Daily KPI Entry'!L272</f>
        <v>0</v>
      </c>
      <c r="M271" s="47" t="n">
        <f aca="false">'Daily KPI Entry'!M272</f>
        <v>0</v>
      </c>
      <c r="N271" s="49" t="n">
        <f aca="false">'Daily KPI Entry'!N272</f>
        <v>0</v>
      </c>
      <c r="O271" s="49" t="n">
        <f aca="false">'Daily KPI Entry'!O272</f>
        <v>0</v>
      </c>
      <c r="P271" s="49" t="str">
        <f aca="false">IF(OR(N271="",O271=""),"",IFERROR(O271/N271*100,0))</f>
        <v/>
      </c>
      <c r="Q271" s="47" t="n">
        <f aca="false">'Daily KPI Entry'!Q272</f>
        <v>8</v>
      </c>
      <c r="R271" s="47" t="str">
        <f aca="false">IF(J271="","",Q271*J271)</f>
        <v/>
      </c>
      <c r="S271" s="49" t="n">
        <f aca="false">'Daily KPI Entry'!S272</f>
        <v>0</v>
      </c>
      <c r="T271" s="49" t="str">
        <f aca="false">IF(OR(R271="",S271=""),"",IFERROR(S271/R271*100,0))</f>
        <v/>
      </c>
      <c r="U271" s="49" t="str">
        <f aca="false">IF(OR(O271="",L271="",M271="",S271="",M271=0),"",IFERROR(O271/(L271*60*S271/(M271*36))*100,0))</f>
        <v/>
      </c>
      <c r="V271" s="49" t="n">
        <f aca="false">'Daily KPI Entry'!V272</f>
        <v>0</v>
      </c>
      <c r="W271" s="49" t="str">
        <f aca="false">IF(O271="","",IFERROR(V271/O271*100,0))</f>
        <v/>
      </c>
      <c r="X271" s="49" t="n">
        <f aca="false">'Daily KPI Entry'!X272</f>
        <v>0</v>
      </c>
      <c r="Y271" s="49" t="n">
        <f aca="false">'Daily KPI Entry'!Y272</f>
        <v>0</v>
      </c>
      <c r="Z271" s="49" t="n">
        <f aca="false">'Daily KPI Entry'!Z272</f>
        <v>0</v>
      </c>
      <c r="AA271" s="49" t="n">
        <f aca="false">'Daily KPI Entry'!AA272</f>
        <v>0</v>
      </c>
      <c r="AB271" s="49" t="n">
        <f aca="false">'Daily KPI Entry'!AB272</f>
        <v>0</v>
      </c>
      <c r="AC271" s="49" t="n">
        <f aca="false">'Daily KPI Entry'!AC272</f>
        <v>0</v>
      </c>
      <c r="AD271" s="49" t="n">
        <f aca="false">'Daily KPI Entry'!AD272</f>
        <v>0</v>
      </c>
      <c r="AE271" s="49" t="n">
        <f aca="false">'Daily KPI Entry'!AE272</f>
        <v>0</v>
      </c>
      <c r="AF271" s="47" t="str">
        <f aca="false">IF(O271="","",SUM(X271:AE271))</f>
        <v/>
      </c>
      <c r="AG271" s="49" t="str">
        <f aca="false">IF(O271="","",IFERROR(AF271/O271*1000,0))</f>
        <v/>
      </c>
      <c r="AH271" s="49" t="n">
        <f aca="false">'Daily KPI Entry'!AH272</f>
        <v>0</v>
      </c>
      <c r="AI271" s="49" t="n">
        <f aca="false">'Daily KPI Entry'!AI272</f>
        <v>0</v>
      </c>
      <c r="AJ271" s="49" t="n">
        <f aca="false">'Daily KPI Entry'!AJ272</f>
        <v>0</v>
      </c>
      <c r="AK271" s="47" t="n">
        <f aca="false">'Daily KPI Entry'!AK272</f>
        <v>0</v>
      </c>
      <c r="AL271" s="47" t="n">
        <f aca="false">'Daily KPI Entry'!AL272</f>
        <v>0</v>
      </c>
      <c r="AM271" s="47" t="n">
        <f aca="false">'Daily KPI Entry'!AM272</f>
        <v>0</v>
      </c>
      <c r="AN271" s="49" t="str">
        <f aca="false">IF(P271="","",MIN(120,P271))</f>
        <v/>
      </c>
      <c r="AO271" s="49" t="str">
        <f aca="false">IF(U271="","",MIN(120,U271))</f>
        <v/>
      </c>
      <c r="AP271" s="49" t="str">
        <f aca="false">IF(R271="","",MIN(120,IFERROR(S271/R271*100,0)))</f>
        <v/>
      </c>
      <c r="AQ271" s="49" t="str">
        <f aca="false">IF(W271="","",MIN(120,IF(W271=0,120,100*(INDEX('Standards &amp; Scoring'!$E$5:$E$13,MATCH("Quality / Rejection",'Standards &amp; Scoring'!$A$5:$A$13,0))/W271))))</f>
        <v/>
      </c>
      <c r="AR271" s="49" t="str">
        <f aca="false">IF(AG271="","",MIN(120,IF(AG271=0,120,100*(INDEX('Standards &amp; Scoring'!$E$5:$E$13,MATCH("Fault Control",'Standards &amp; Scoring'!$A$5:$A$13,0))/AG271))))</f>
        <v/>
      </c>
      <c r="AS271" s="49" t="str">
        <f aca="false">IF(O271="","",MIN(120,IF(SUMIFS('Fault &amp; Downtime Entry'!$L$6:$L$1005,'Fault &amp; Downtime Entry'!$E$6:$E$1005,G271,'Fault &amp; Downtime Entry'!$B$6:$B$1005,B271)=0,120,100*(INDEX('Standards &amp; Scoring'!$E$5:$E$13,MATCH("Downtime Control",'Standards &amp; Scoring'!$A$5:$A$13,0))/IFERROR(SUMIFS('Fault &amp; Downtime Entry'!$L$6:$L$1005,'Fault &amp; Downtime Entry'!$E$6:$E$1005,G271,'Fault &amp; Downtime Entry'!$B$6:$B$1005,B271)/O271*1000,999999)))))</f>
        <v/>
      </c>
      <c r="AT271" s="49" t="n">
        <f aca="false">IF(COUNTA(AH271,AJ271)=0,"",MIN(120,IF(AND(AH271&lt;&gt;"",AJ271&lt;&gt;""),AVERAGE(AH271,AJ271),IF(AH271&lt;&gt;"",AH271,AJ271))))</f>
        <v>0</v>
      </c>
      <c r="AU271" s="49" t="str">
        <f aca="false">IF(AI271="","",MIN(120,AI271))</f>
        <v/>
      </c>
      <c r="AV271" s="49" t="str">
        <f aca="false">IF(AJ271="","",MIN(120,AJ271))</f>
        <v/>
      </c>
      <c r="AW271" s="50" t="str">
        <f aca="false">IF(COUNT(AN271:AV271)&lt;9,"",(AN271*'Standards &amp; Scoring'!$D$5+AO271*'Standards &amp; Scoring'!$D$6+AP271*'Standards &amp; Scoring'!$D$7+AQ271*'Standards &amp; Scoring'!$D$8+AR271*'Standards &amp; Scoring'!$D$9+AS271*'Standards &amp; Scoring'!$D$10+AT271*'Standards &amp; Scoring'!$D$11+AU271*'Standards &amp; Scoring'!$D$12+AV271*'Standards &amp; Scoring'!$D$13)/10000)</f>
        <v/>
      </c>
      <c r="AX271" s="47" t="str">
        <f aca="false">IF(AW271="","",IF(AW271&gt;=1.05,"A+",IF(AW271&gt;=1,"A",IF(AW271&gt;=0.95,"B+",IF(AW271&gt;=0.9,"B","C")))))</f>
        <v/>
      </c>
      <c r="AY271" s="47" t="str">
        <f aca="false">IF(AX271="","",IF(AX271="A+",1800,IF(AX271="A",1600,IF(AX271="B+",1400,IF(AX271="B",1200,0)))))</f>
        <v/>
      </c>
      <c r="AZ271" s="49" t="str">
        <f aca="false">IF(OR(L271="",M271="",S271="",M271=0),"",IFERROR(L271*60*S271/(M271*36),0))</f>
        <v/>
      </c>
    </row>
    <row r="272" customFormat="false" ht="15" hidden="false" customHeight="true" outlineLevel="0" collapsed="false">
      <c r="A272" s="47" t="n">
        <f aca="false">'Daily KPI Entry'!A273</f>
        <v>0</v>
      </c>
      <c r="B272" s="48" t="n">
        <f aca="false">'Daily KPI Entry'!B273</f>
        <v>0</v>
      </c>
      <c r="C272" s="47" t="n">
        <f aca="false">'Daily KPI Entry'!C273</f>
        <v>0</v>
      </c>
      <c r="D272" s="47" t="n">
        <f aca="false">'Daily KPI Entry'!D273</f>
        <v>0</v>
      </c>
      <c r="E272" s="47" t="n">
        <f aca="false">'Daily KPI Entry'!E273</f>
        <v>0</v>
      </c>
      <c r="F272" s="47" t="n">
        <f aca="false">'Daily KPI Entry'!F273</f>
        <v>0</v>
      </c>
      <c r="G272" s="47" t="n">
        <f aca="false">'Daily KPI Entry'!G273</f>
        <v>0</v>
      </c>
      <c r="H272" s="47" t="str">
        <f aca="false">'Daily KPI Entry'!H273</f>
        <v/>
      </c>
      <c r="I272" s="47" t="n">
        <f aca="false">'Daily KPI Entry'!I273</f>
        <v>0</v>
      </c>
      <c r="J272" s="47" t="n">
        <f aca="false">'Daily KPI Entry'!J273</f>
        <v>0</v>
      </c>
      <c r="K272" s="47" t="n">
        <f aca="false">'Daily KPI Entry'!K273</f>
        <v>0</v>
      </c>
      <c r="L272" s="47" t="n">
        <f aca="false">'Daily KPI Entry'!L273</f>
        <v>0</v>
      </c>
      <c r="M272" s="47" t="n">
        <f aca="false">'Daily KPI Entry'!M273</f>
        <v>0</v>
      </c>
      <c r="N272" s="49" t="n">
        <f aca="false">'Daily KPI Entry'!N273</f>
        <v>0</v>
      </c>
      <c r="O272" s="49" t="n">
        <f aca="false">'Daily KPI Entry'!O273</f>
        <v>0</v>
      </c>
      <c r="P272" s="49" t="str">
        <f aca="false">IF(OR(N272="",O272=""),"",IFERROR(O272/N272*100,0))</f>
        <v/>
      </c>
      <c r="Q272" s="47" t="n">
        <f aca="false">'Daily KPI Entry'!Q273</f>
        <v>8</v>
      </c>
      <c r="R272" s="47" t="str">
        <f aca="false">IF(J272="","",Q272*J272)</f>
        <v/>
      </c>
      <c r="S272" s="49" t="n">
        <f aca="false">'Daily KPI Entry'!S273</f>
        <v>0</v>
      </c>
      <c r="T272" s="49" t="str">
        <f aca="false">IF(OR(R272="",S272=""),"",IFERROR(S272/R272*100,0))</f>
        <v/>
      </c>
      <c r="U272" s="49" t="str">
        <f aca="false">IF(OR(O272="",L272="",M272="",S272="",M272=0),"",IFERROR(O272/(L272*60*S272/(M272*36))*100,0))</f>
        <v/>
      </c>
      <c r="V272" s="49" t="n">
        <f aca="false">'Daily KPI Entry'!V273</f>
        <v>0</v>
      </c>
      <c r="W272" s="49" t="str">
        <f aca="false">IF(O272="","",IFERROR(V272/O272*100,0))</f>
        <v/>
      </c>
      <c r="X272" s="49" t="n">
        <f aca="false">'Daily KPI Entry'!X273</f>
        <v>0</v>
      </c>
      <c r="Y272" s="49" t="n">
        <f aca="false">'Daily KPI Entry'!Y273</f>
        <v>0</v>
      </c>
      <c r="Z272" s="49" t="n">
        <f aca="false">'Daily KPI Entry'!Z273</f>
        <v>0</v>
      </c>
      <c r="AA272" s="49" t="n">
        <f aca="false">'Daily KPI Entry'!AA273</f>
        <v>0</v>
      </c>
      <c r="AB272" s="49" t="n">
        <f aca="false">'Daily KPI Entry'!AB273</f>
        <v>0</v>
      </c>
      <c r="AC272" s="49" t="n">
        <f aca="false">'Daily KPI Entry'!AC273</f>
        <v>0</v>
      </c>
      <c r="AD272" s="49" t="n">
        <f aca="false">'Daily KPI Entry'!AD273</f>
        <v>0</v>
      </c>
      <c r="AE272" s="49" t="n">
        <f aca="false">'Daily KPI Entry'!AE273</f>
        <v>0</v>
      </c>
      <c r="AF272" s="47" t="str">
        <f aca="false">IF(O272="","",SUM(X272:AE272))</f>
        <v/>
      </c>
      <c r="AG272" s="49" t="str">
        <f aca="false">IF(O272="","",IFERROR(AF272/O272*1000,0))</f>
        <v/>
      </c>
      <c r="AH272" s="49" t="n">
        <f aca="false">'Daily KPI Entry'!AH273</f>
        <v>0</v>
      </c>
      <c r="AI272" s="49" t="n">
        <f aca="false">'Daily KPI Entry'!AI273</f>
        <v>0</v>
      </c>
      <c r="AJ272" s="49" t="n">
        <f aca="false">'Daily KPI Entry'!AJ273</f>
        <v>0</v>
      </c>
      <c r="AK272" s="47" t="n">
        <f aca="false">'Daily KPI Entry'!AK273</f>
        <v>0</v>
      </c>
      <c r="AL272" s="47" t="n">
        <f aca="false">'Daily KPI Entry'!AL273</f>
        <v>0</v>
      </c>
      <c r="AM272" s="47" t="n">
        <f aca="false">'Daily KPI Entry'!AM273</f>
        <v>0</v>
      </c>
      <c r="AN272" s="49" t="str">
        <f aca="false">IF(P272="","",MIN(120,P272))</f>
        <v/>
      </c>
      <c r="AO272" s="49" t="str">
        <f aca="false">IF(U272="","",MIN(120,U272))</f>
        <v/>
      </c>
      <c r="AP272" s="49" t="str">
        <f aca="false">IF(R272="","",MIN(120,IFERROR(S272/R272*100,0)))</f>
        <v/>
      </c>
      <c r="AQ272" s="49" t="str">
        <f aca="false">IF(W272="","",MIN(120,IF(W272=0,120,100*(INDEX('Standards &amp; Scoring'!$E$5:$E$13,MATCH("Quality / Rejection",'Standards &amp; Scoring'!$A$5:$A$13,0))/W272))))</f>
        <v/>
      </c>
      <c r="AR272" s="49" t="str">
        <f aca="false">IF(AG272="","",MIN(120,IF(AG272=0,120,100*(INDEX('Standards &amp; Scoring'!$E$5:$E$13,MATCH("Fault Control",'Standards &amp; Scoring'!$A$5:$A$13,0))/AG272))))</f>
        <v/>
      </c>
      <c r="AS272" s="49" t="str">
        <f aca="false">IF(O272="","",MIN(120,IF(SUMIFS('Fault &amp; Downtime Entry'!$L$6:$L$1005,'Fault &amp; Downtime Entry'!$E$6:$E$1005,G272,'Fault &amp; Downtime Entry'!$B$6:$B$1005,B272)=0,120,100*(INDEX('Standards &amp; Scoring'!$E$5:$E$13,MATCH("Downtime Control",'Standards &amp; Scoring'!$A$5:$A$13,0))/IFERROR(SUMIFS('Fault &amp; Downtime Entry'!$L$6:$L$1005,'Fault &amp; Downtime Entry'!$E$6:$E$1005,G272,'Fault &amp; Downtime Entry'!$B$6:$B$1005,B272)/O272*1000,999999)))))</f>
        <v/>
      </c>
      <c r="AT272" s="49" t="n">
        <f aca="false">IF(COUNTA(AH272,AJ272)=0,"",MIN(120,IF(AND(AH272&lt;&gt;"",AJ272&lt;&gt;""),AVERAGE(AH272,AJ272),IF(AH272&lt;&gt;"",AH272,AJ272))))</f>
        <v>0</v>
      </c>
      <c r="AU272" s="49" t="str">
        <f aca="false">IF(AI272="","",MIN(120,AI272))</f>
        <v/>
      </c>
      <c r="AV272" s="49" t="str">
        <f aca="false">IF(AJ272="","",MIN(120,AJ272))</f>
        <v/>
      </c>
      <c r="AW272" s="50" t="str">
        <f aca="false">IF(COUNT(AN272:AV272)&lt;9,"",(AN272*'Standards &amp; Scoring'!$D$5+AO272*'Standards &amp; Scoring'!$D$6+AP272*'Standards &amp; Scoring'!$D$7+AQ272*'Standards &amp; Scoring'!$D$8+AR272*'Standards &amp; Scoring'!$D$9+AS272*'Standards &amp; Scoring'!$D$10+AT272*'Standards &amp; Scoring'!$D$11+AU272*'Standards &amp; Scoring'!$D$12+AV272*'Standards &amp; Scoring'!$D$13)/10000)</f>
        <v/>
      </c>
      <c r="AX272" s="47" t="str">
        <f aca="false">IF(AW272="","",IF(AW272&gt;=1.05,"A+",IF(AW272&gt;=1,"A",IF(AW272&gt;=0.95,"B+",IF(AW272&gt;=0.9,"B","C")))))</f>
        <v/>
      </c>
      <c r="AY272" s="47" t="str">
        <f aca="false">IF(AX272="","",IF(AX272="A+",1800,IF(AX272="A",1600,IF(AX272="B+",1400,IF(AX272="B",1200,0)))))</f>
        <v/>
      </c>
      <c r="AZ272" s="49" t="str">
        <f aca="false">IF(OR(L272="",M272="",S272="",M272=0),"",IFERROR(L272*60*S272/(M272*36),0))</f>
        <v/>
      </c>
    </row>
    <row r="273" customFormat="false" ht="15" hidden="false" customHeight="true" outlineLevel="0" collapsed="false">
      <c r="A273" s="47" t="n">
        <f aca="false">'Daily KPI Entry'!A274</f>
        <v>0</v>
      </c>
      <c r="B273" s="48" t="n">
        <f aca="false">'Daily KPI Entry'!B274</f>
        <v>0</v>
      </c>
      <c r="C273" s="47" t="n">
        <f aca="false">'Daily KPI Entry'!C274</f>
        <v>0</v>
      </c>
      <c r="D273" s="47" t="n">
        <f aca="false">'Daily KPI Entry'!D274</f>
        <v>0</v>
      </c>
      <c r="E273" s="47" t="n">
        <f aca="false">'Daily KPI Entry'!E274</f>
        <v>0</v>
      </c>
      <c r="F273" s="47" t="n">
        <f aca="false">'Daily KPI Entry'!F274</f>
        <v>0</v>
      </c>
      <c r="G273" s="47" t="n">
        <f aca="false">'Daily KPI Entry'!G274</f>
        <v>0</v>
      </c>
      <c r="H273" s="47" t="str">
        <f aca="false">'Daily KPI Entry'!H274</f>
        <v/>
      </c>
      <c r="I273" s="47" t="n">
        <f aca="false">'Daily KPI Entry'!I274</f>
        <v>0</v>
      </c>
      <c r="J273" s="47" t="n">
        <f aca="false">'Daily KPI Entry'!J274</f>
        <v>0</v>
      </c>
      <c r="K273" s="47" t="n">
        <f aca="false">'Daily KPI Entry'!K274</f>
        <v>0</v>
      </c>
      <c r="L273" s="47" t="n">
        <f aca="false">'Daily KPI Entry'!L274</f>
        <v>0</v>
      </c>
      <c r="M273" s="47" t="n">
        <f aca="false">'Daily KPI Entry'!M274</f>
        <v>0</v>
      </c>
      <c r="N273" s="49" t="n">
        <f aca="false">'Daily KPI Entry'!N274</f>
        <v>0</v>
      </c>
      <c r="O273" s="49" t="n">
        <f aca="false">'Daily KPI Entry'!O274</f>
        <v>0</v>
      </c>
      <c r="P273" s="49" t="str">
        <f aca="false">IF(OR(N273="",O273=""),"",IFERROR(O273/N273*100,0))</f>
        <v/>
      </c>
      <c r="Q273" s="47" t="n">
        <f aca="false">'Daily KPI Entry'!Q274</f>
        <v>8</v>
      </c>
      <c r="R273" s="47" t="str">
        <f aca="false">IF(J273="","",Q273*J273)</f>
        <v/>
      </c>
      <c r="S273" s="49" t="n">
        <f aca="false">'Daily KPI Entry'!S274</f>
        <v>0</v>
      </c>
      <c r="T273" s="49" t="str">
        <f aca="false">IF(OR(R273="",S273=""),"",IFERROR(S273/R273*100,0))</f>
        <v/>
      </c>
      <c r="U273" s="49" t="str">
        <f aca="false">IF(OR(O273="",L273="",M273="",S273="",M273=0),"",IFERROR(O273/(L273*60*S273/(M273*36))*100,0))</f>
        <v/>
      </c>
      <c r="V273" s="49" t="n">
        <f aca="false">'Daily KPI Entry'!V274</f>
        <v>0</v>
      </c>
      <c r="W273" s="49" t="str">
        <f aca="false">IF(O273="","",IFERROR(V273/O273*100,0))</f>
        <v/>
      </c>
      <c r="X273" s="49" t="n">
        <f aca="false">'Daily KPI Entry'!X274</f>
        <v>0</v>
      </c>
      <c r="Y273" s="49" t="n">
        <f aca="false">'Daily KPI Entry'!Y274</f>
        <v>0</v>
      </c>
      <c r="Z273" s="49" t="n">
        <f aca="false">'Daily KPI Entry'!Z274</f>
        <v>0</v>
      </c>
      <c r="AA273" s="49" t="n">
        <f aca="false">'Daily KPI Entry'!AA274</f>
        <v>0</v>
      </c>
      <c r="AB273" s="49" t="n">
        <f aca="false">'Daily KPI Entry'!AB274</f>
        <v>0</v>
      </c>
      <c r="AC273" s="49" t="n">
        <f aca="false">'Daily KPI Entry'!AC274</f>
        <v>0</v>
      </c>
      <c r="AD273" s="49" t="n">
        <f aca="false">'Daily KPI Entry'!AD274</f>
        <v>0</v>
      </c>
      <c r="AE273" s="49" t="n">
        <f aca="false">'Daily KPI Entry'!AE274</f>
        <v>0</v>
      </c>
      <c r="AF273" s="47" t="str">
        <f aca="false">IF(O273="","",SUM(X273:AE273))</f>
        <v/>
      </c>
      <c r="AG273" s="49" t="str">
        <f aca="false">IF(O273="","",IFERROR(AF273/O273*1000,0))</f>
        <v/>
      </c>
      <c r="AH273" s="49" t="n">
        <f aca="false">'Daily KPI Entry'!AH274</f>
        <v>0</v>
      </c>
      <c r="AI273" s="49" t="n">
        <f aca="false">'Daily KPI Entry'!AI274</f>
        <v>0</v>
      </c>
      <c r="AJ273" s="49" t="n">
        <f aca="false">'Daily KPI Entry'!AJ274</f>
        <v>0</v>
      </c>
      <c r="AK273" s="47" t="n">
        <f aca="false">'Daily KPI Entry'!AK274</f>
        <v>0</v>
      </c>
      <c r="AL273" s="47" t="n">
        <f aca="false">'Daily KPI Entry'!AL274</f>
        <v>0</v>
      </c>
      <c r="AM273" s="47" t="n">
        <f aca="false">'Daily KPI Entry'!AM274</f>
        <v>0</v>
      </c>
      <c r="AN273" s="49" t="str">
        <f aca="false">IF(P273="","",MIN(120,P273))</f>
        <v/>
      </c>
      <c r="AO273" s="49" t="str">
        <f aca="false">IF(U273="","",MIN(120,U273))</f>
        <v/>
      </c>
      <c r="AP273" s="49" t="str">
        <f aca="false">IF(R273="","",MIN(120,IFERROR(S273/R273*100,0)))</f>
        <v/>
      </c>
      <c r="AQ273" s="49" t="str">
        <f aca="false">IF(W273="","",MIN(120,IF(W273=0,120,100*(INDEX('Standards &amp; Scoring'!$E$5:$E$13,MATCH("Quality / Rejection",'Standards &amp; Scoring'!$A$5:$A$13,0))/W273))))</f>
        <v/>
      </c>
      <c r="AR273" s="49" t="str">
        <f aca="false">IF(AG273="","",MIN(120,IF(AG273=0,120,100*(INDEX('Standards &amp; Scoring'!$E$5:$E$13,MATCH("Fault Control",'Standards &amp; Scoring'!$A$5:$A$13,0))/AG273))))</f>
        <v/>
      </c>
      <c r="AS273" s="49" t="str">
        <f aca="false">IF(O273="","",MIN(120,IF(SUMIFS('Fault &amp; Downtime Entry'!$L$6:$L$1005,'Fault &amp; Downtime Entry'!$E$6:$E$1005,G273,'Fault &amp; Downtime Entry'!$B$6:$B$1005,B273)=0,120,100*(INDEX('Standards &amp; Scoring'!$E$5:$E$13,MATCH("Downtime Control",'Standards &amp; Scoring'!$A$5:$A$13,0))/IFERROR(SUMIFS('Fault &amp; Downtime Entry'!$L$6:$L$1005,'Fault &amp; Downtime Entry'!$E$6:$E$1005,G273,'Fault &amp; Downtime Entry'!$B$6:$B$1005,B273)/O273*1000,999999)))))</f>
        <v/>
      </c>
      <c r="AT273" s="49" t="n">
        <f aca="false">IF(COUNTA(AH273,AJ273)=0,"",MIN(120,IF(AND(AH273&lt;&gt;"",AJ273&lt;&gt;""),AVERAGE(AH273,AJ273),IF(AH273&lt;&gt;"",AH273,AJ273))))</f>
        <v>0</v>
      </c>
      <c r="AU273" s="49" t="str">
        <f aca="false">IF(AI273="","",MIN(120,AI273))</f>
        <v/>
      </c>
      <c r="AV273" s="49" t="str">
        <f aca="false">IF(AJ273="","",MIN(120,AJ273))</f>
        <v/>
      </c>
      <c r="AW273" s="50" t="str">
        <f aca="false">IF(COUNT(AN273:AV273)&lt;9,"",(AN273*'Standards &amp; Scoring'!$D$5+AO273*'Standards &amp; Scoring'!$D$6+AP273*'Standards &amp; Scoring'!$D$7+AQ273*'Standards &amp; Scoring'!$D$8+AR273*'Standards &amp; Scoring'!$D$9+AS273*'Standards &amp; Scoring'!$D$10+AT273*'Standards &amp; Scoring'!$D$11+AU273*'Standards &amp; Scoring'!$D$12+AV273*'Standards &amp; Scoring'!$D$13)/10000)</f>
        <v/>
      </c>
      <c r="AX273" s="47" t="str">
        <f aca="false">IF(AW273="","",IF(AW273&gt;=1.05,"A+",IF(AW273&gt;=1,"A",IF(AW273&gt;=0.95,"B+",IF(AW273&gt;=0.9,"B","C")))))</f>
        <v/>
      </c>
      <c r="AY273" s="47" t="str">
        <f aca="false">IF(AX273="","",IF(AX273="A+",1800,IF(AX273="A",1600,IF(AX273="B+",1400,IF(AX273="B",1200,0)))))</f>
        <v/>
      </c>
      <c r="AZ273" s="49" t="str">
        <f aca="false">IF(OR(L273="",M273="",S273="",M273=0),"",IFERROR(L273*60*S273/(M273*36),0))</f>
        <v/>
      </c>
    </row>
    <row r="274" customFormat="false" ht="15" hidden="false" customHeight="true" outlineLevel="0" collapsed="false">
      <c r="A274" s="47" t="n">
        <f aca="false">'Daily KPI Entry'!A275</f>
        <v>0</v>
      </c>
      <c r="B274" s="48" t="n">
        <f aca="false">'Daily KPI Entry'!B275</f>
        <v>0</v>
      </c>
      <c r="C274" s="47" t="n">
        <f aca="false">'Daily KPI Entry'!C275</f>
        <v>0</v>
      </c>
      <c r="D274" s="47" t="n">
        <f aca="false">'Daily KPI Entry'!D275</f>
        <v>0</v>
      </c>
      <c r="E274" s="47" t="n">
        <f aca="false">'Daily KPI Entry'!E275</f>
        <v>0</v>
      </c>
      <c r="F274" s="47" t="n">
        <f aca="false">'Daily KPI Entry'!F275</f>
        <v>0</v>
      </c>
      <c r="G274" s="47" t="n">
        <f aca="false">'Daily KPI Entry'!G275</f>
        <v>0</v>
      </c>
      <c r="H274" s="47" t="str">
        <f aca="false">'Daily KPI Entry'!H275</f>
        <v/>
      </c>
      <c r="I274" s="47" t="n">
        <f aca="false">'Daily KPI Entry'!I275</f>
        <v>0</v>
      </c>
      <c r="J274" s="47" t="n">
        <f aca="false">'Daily KPI Entry'!J275</f>
        <v>0</v>
      </c>
      <c r="K274" s="47" t="n">
        <f aca="false">'Daily KPI Entry'!K275</f>
        <v>0</v>
      </c>
      <c r="L274" s="47" t="n">
        <f aca="false">'Daily KPI Entry'!L275</f>
        <v>0</v>
      </c>
      <c r="M274" s="47" t="n">
        <f aca="false">'Daily KPI Entry'!M275</f>
        <v>0</v>
      </c>
      <c r="N274" s="49" t="n">
        <f aca="false">'Daily KPI Entry'!N275</f>
        <v>0</v>
      </c>
      <c r="O274" s="49" t="n">
        <f aca="false">'Daily KPI Entry'!O275</f>
        <v>0</v>
      </c>
      <c r="P274" s="49" t="str">
        <f aca="false">IF(OR(N274="",O274=""),"",IFERROR(O274/N274*100,0))</f>
        <v/>
      </c>
      <c r="Q274" s="47" t="n">
        <f aca="false">'Daily KPI Entry'!Q275</f>
        <v>8</v>
      </c>
      <c r="R274" s="47" t="str">
        <f aca="false">IF(J274="","",Q274*J274)</f>
        <v/>
      </c>
      <c r="S274" s="49" t="n">
        <f aca="false">'Daily KPI Entry'!S275</f>
        <v>0</v>
      </c>
      <c r="T274" s="49" t="str">
        <f aca="false">IF(OR(R274="",S274=""),"",IFERROR(S274/R274*100,0))</f>
        <v/>
      </c>
      <c r="U274" s="49" t="str">
        <f aca="false">IF(OR(O274="",L274="",M274="",S274="",M274=0),"",IFERROR(O274/(L274*60*S274/(M274*36))*100,0))</f>
        <v/>
      </c>
      <c r="V274" s="49" t="n">
        <f aca="false">'Daily KPI Entry'!V275</f>
        <v>0</v>
      </c>
      <c r="W274" s="49" t="str">
        <f aca="false">IF(O274="","",IFERROR(V274/O274*100,0))</f>
        <v/>
      </c>
      <c r="X274" s="49" t="n">
        <f aca="false">'Daily KPI Entry'!X275</f>
        <v>0</v>
      </c>
      <c r="Y274" s="49" t="n">
        <f aca="false">'Daily KPI Entry'!Y275</f>
        <v>0</v>
      </c>
      <c r="Z274" s="49" t="n">
        <f aca="false">'Daily KPI Entry'!Z275</f>
        <v>0</v>
      </c>
      <c r="AA274" s="49" t="n">
        <f aca="false">'Daily KPI Entry'!AA275</f>
        <v>0</v>
      </c>
      <c r="AB274" s="49" t="n">
        <f aca="false">'Daily KPI Entry'!AB275</f>
        <v>0</v>
      </c>
      <c r="AC274" s="49" t="n">
        <f aca="false">'Daily KPI Entry'!AC275</f>
        <v>0</v>
      </c>
      <c r="AD274" s="49" t="n">
        <f aca="false">'Daily KPI Entry'!AD275</f>
        <v>0</v>
      </c>
      <c r="AE274" s="49" t="n">
        <f aca="false">'Daily KPI Entry'!AE275</f>
        <v>0</v>
      </c>
      <c r="AF274" s="47" t="str">
        <f aca="false">IF(O274="","",SUM(X274:AE274))</f>
        <v/>
      </c>
      <c r="AG274" s="49" t="str">
        <f aca="false">IF(O274="","",IFERROR(AF274/O274*1000,0))</f>
        <v/>
      </c>
      <c r="AH274" s="49" t="n">
        <f aca="false">'Daily KPI Entry'!AH275</f>
        <v>0</v>
      </c>
      <c r="AI274" s="49" t="n">
        <f aca="false">'Daily KPI Entry'!AI275</f>
        <v>0</v>
      </c>
      <c r="AJ274" s="49" t="n">
        <f aca="false">'Daily KPI Entry'!AJ275</f>
        <v>0</v>
      </c>
      <c r="AK274" s="47" t="n">
        <f aca="false">'Daily KPI Entry'!AK275</f>
        <v>0</v>
      </c>
      <c r="AL274" s="47" t="n">
        <f aca="false">'Daily KPI Entry'!AL275</f>
        <v>0</v>
      </c>
      <c r="AM274" s="47" t="n">
        <f aca="false">'Daily KPI Entry'!AM275</f>
        <v>0</v>
      </c>
      <c r="AN274" s="49" t="str">
        <f aca="false">IF(P274="","",MIN(120,P274))</f>
        <v/>
      </c>
      <c r="AO274" s="49" t="str">
        <f aca="false">IF(U274="","",MIN(120,U274))</f>
        <v/>
      </c>
      <c r="AP274" s="49" t="str">
        <f aca="false">IF(R274="","",MIN(120,IFERROR(S274/R274*100,0)))</f>
        <v/>
      </c>
      <c r="AQ274" s="49" t="str">
        <f aca="false">IF(W274="","",MIN(120,IF(W274=0,120,100*(INDEX('Standards &amp; Scoring'!$E$5:$E$13,MATCH("Quality / Rejection",'Standards &amp; Scoring'!$A$5:$A$13,0))/W274))))</f>
        <v/>
      </c>
      <c r="AR274" s="49" t="str">
        <f aca="false">IF(AG274="","",MIN(120,IF(AG274=0,120,100*(INDEX('Standards &amp; Scoring'!$E$5:$E$13,MATCH("Fault Control",'Standards &amp; Scoring'!$A$5:$A$13,0))/AG274))))</f>
        <v/>
      </c>
      <c r="AS274" s="49" t="str">
        <f aca="false">IF(O274="","",MIN(120,IF(SUMIFS('Fault &amp; Downtime Entry'!$L$6:$L$1005,'Fault &amp; Downtime Entry'!$E$6:$E$1005,G274,'Fault &amp; Downtime Entry'!$B$6:$B$1005,B274)=0,120,100*(INDEX('Standards &amp; Scoring'!$E$5:$E$13,MATCH("Downtime Control",'Standards &amp; Scoring'!$A$5:$A$13,0))/IFERROR(SUMIFS('Fault &amp; Downtime Entry'!$L$6:$L$1005,'Fault &amp; Downtime Entry'!$E$6:$E$1005,G274,'Fault &amp; Downtime Entry'!$B$6:$B$1005,B274)/O274*1000,999999)))))</f>
        <v/>
      </c>
      <c r="AT274" s="49" t="n">
        <f aca="false">IF(COUNTA(AH274,AJ274)=0,"",MIN(120,IF(AND(AH274&lt;&gt;"",AJ274&lt;&gt;""),AVERAGE(AH274,AJ274),IF(AH274&lt;&gt;"",AH274,AJ274))))</f>
        <v>0</v>
      </c>
      <c r="AU274" s="49" t="str">
        <f aca="false">IF(AI274="","",MIN(120,AI274))</f>
        <v/>
      </c>
      <c r="AV274" s="49" t="str">
        <f aca="false">IF(AJ274="","",MIN(120,AJ274))</f>
        <v/>
      </c>
      <c r="AW274" s="50" t="str">
        <f aca="false">IF(COUNT(AN274:AV274)&lt;9,"",(AN274*'Standards &amp; Scoring'!$D$5+AO274*'Standards &amp; Scoring'!$D$6+AP274*'Standards &amp; Scoring'!$D$7+AQ274*'Standards &amp; Scoring'!$D$8+AR274*'Standards &amp; Scoring'!$D$9+AS274*'Standards &amp; Scoring'!$D$10+AT274*'Standards &amp; Scoring'!$D$11+AU274*'Standards &amp; Scoring'!$D$12+AV274*'Standards &amp; Scoring'!$D$13)/10000)</f>
        <v/>
      </c>
      <c r="AX274" s="47" t="str">
        <f aca="false">IF(AW274="","",IF(AW274&gt;=1.05,"A+",IF(AW274&gt;=1,"A",IF(AW274&gt;=0.95,"B+",IF(AW274&gt;=0.9,"B","C")))))</f>
        <v/>
      </c>
      <c r="AY274" s="47" t="str">
        <f aca="false">IF(AX274="","",IF(AX274="A+",1800,IF(AX274="A",1600,IF(AX274="B+",1400,IF(AX274="B",1200,0)))))</f>
        <v/>
      </c>
      <c r="AZ274" s="49" t="str">
        <f aca="false">IF(OR(L274="",M274="",S274="",M274=0),"",IFERROR(L274*60*S274/(M274*36),0))</f>
        <v/>
      </c>
    </row>
    <row r="275" customFormat="false" ht="15" hidden="false" customHeight="true" outlineLevel="0" collapsed="false">
      <c r="A275" s="47" t="n">
        <f aca="false">'Daily KPI Entry'!A276</f>
        <v>0</v>
      </c>
      <c r="B275" s="48" t="n">
        <f aca="false">'Daily KPI Entry'!B276</f>
        <v>0</v>
      </c>
      <c r="C275" s="47" t="n">
        <f aca="false">'Daily KPI Entry'!C276</f>
        <v>0</v>
      </c>
      <c r="D275" s="47" t="n">
        <f aca="false">'Daily KPI Entry'!D276</f>
        <v>0</v>
      </c>
      <c r="E275" s="47" t="n">
        <f aca="false">'Daily KPI Entry'!E276</f>
        <v>0</v>
      </c>
      <c r="F275" s="47" t="n">
        <f aca="false">'Daily KPI Entry'!F276</f>
        <v>0</v>
      </c>
      <c r="G275" s="47" t="n">
        <f aca="false">'Daily KPI Entry'!G276</f>
        <v>0</v>
      </c>
      <c r="H275" s="47" t="str">
        <f aca="false">'Daily KPI Entry'!H276</f>
        <v/>
      </c>
      <c r="I275" s="47" t="n">
        <f aca="false">'Daily KPI Entry'!I276</f>
        <v>0</v>
      </c>
      <c r="J275" s="47" t="n">
        <f aca="false">'Daily KPI Entry'!J276</f>
        <v>0</v>
      </c>
      <c r="K275" s="47" t="n">
        <f aca="false">'Daily KPI Entry'!K276</f>
        <v>0</v>
      </c>
      <c r="L275" s="47" t="n">
        <f aca="false">'Daily KPI Entry'!L276</f>
        <v>0</v>
      </c>
      <c r="M275" s="47" t="n">
        <f aca="false">'Daily KPI Entry'!M276</f>
        <v>0</v>
      </c>
      <c r="N275" s="49" t="n">
        <f aca="false">'Daily KPI Entry'!N276</f>
        <v>0</v>
      </c>
      <c r="O275" s="49" t="n">
        <f aca="false">'Daily KPI Entry'!O276</f>
        <v>0</v>
      </c>
      <c r="P275" s="49" t="str">
        <f aca="false">IF(OR(N275="",O275=""),"",IFERROR(O275/N275*100,0))</f>
        <v/>
      </c>
      <c r="Q275" s="47" t="n">
        <f aca="false">'Daily KPI Entry'!Q276</f>
        <v>8</v>
      </c>
      <c r="R275" s="47" t="str">
        <f aca="false">IF(J275="","",Q275*J275)</f>
        <v/>
      </c>
      <c r="S275" s="49" t="n">
        <f aca="false">'Daily KPI Entry'!S276</f>
        <v>0</v>
      </c>
      <c r="T275" s="49" t="str">
        <f aca="false">IF(OR(R275="",S275=""),"",IFERROR(S275/R275*100,0))</f>
        <v/>
      </c>
      <c r="U275" s="49" t="str">
        <f aca="false">IF(OR(O275="",L275="",M275="",S275="",M275=0),"",IFERROR(O275/(L275*60*S275/(M275*36))*100,0))</f>
        <v/>
      </c>
      <c r="V275" s="49" t="n">
        <f aca="false">'Daily KPI Entry'!V276</f>
        <v>0</v>
      </c>
      <c r="W275" s="49" t="str">
        <f aca="false">IF(O275="","",IFERROR(V275/O275*100,0))</f>
        <v/>
      </c>
      <c r="X275" s="49" t="n">
        <f aca="false">'Daily KPI Entry'!X276</f>
        <v>0</v>
      </c>
      <c r="Y275" s="49" t="n">
        <f aca="false">'Daily KPI Entry'!Y276</f>
        <v>0</v>
      </c>
      <c r="Z275" s="49" t="n">
        <f aca="false">'Daily KPI Entry'!Z276</f>
        <v>0</v>
      </c>
      <c r="AA275" s="49" t="n">
        <f aca="false">'Daily KPI Entry'!AA276</f>
        <v>0</v>
      </c>
      <c r="AB275" s="49" t="n">
        <f aca="false">'Daily KPI Entry'!AB276</f>
        <v>0</v>
      </c>
      <c r="AC275" s="49" t="n">
        <f aca="false">'Daily KPI Entry'!AC276</f>
        <v>0</v>
      </c>
      <c r="AD275" s="49" t="n">
        <f aca="false">'Daily KPI Entry'!AD276</f>
        <v>0</v>
      </c>
      <c r="AE275" s="49" t="n">
        <f aca="false">'Daily KPI Entry'!AE276</f>
        <v>0</v>
      </c>
      <c r="AF275" s="47" t="str">
        <f aca="false">IF(O275="","",SUM(X275:AE275))</f>
        <v/>
      </c>
      <c r="AG275" s="49" t="str">
        <f aca="false">IF(O275="","",IFERROR(AF275/O275*1000,0))</f>
        <v/>
      </c>
      <c r="AH275" s="49" t="n">
        <f aca="false">'Daily KPI Entry'!AH276</f>
        <v>0</v>
      </c>
      <c r="AI275" s="49" t="n">
        <f aca="false">'Daily KPI Entry'!AI276</f>
        <v>0</v>
      </c>
      <c r="AJ275" s="49" t="n">
        <f aca="false">'Daily KPI Entry'!AJ276</f>
        <v>0</v>
      </c>
      <c r="AK275" s="47" t="n">
        <f aca="false">'Daily KPI Entry'!AK276</f>
        <v>0</v>
      </c>
      <c r="AL275" s="47" t="n">
        <f aca="false">'Daily KPI Entry'!AL276</f>
        <v>0</v>
      </c>
      <c r="AM275" s="47" t="n">
        <f aca="false">'Daily KPI Entry'!AM276</f>
        <v>0</v>
      </c>
      <c r="AN275" s="49" t="str">
        <f aca="false">IF(P275="","",MIN(120,P275))</f>
        <v/>
      </c>
      <c r="AO275" s="49" t="str">
        <f aca="false">IF(U275="","",MIN(120,U275))</f>
        <v/>
      </c>
      <c r="AP275" s="49" t="str">
        <f aca="false">IF(R275="","",MIN(120,IFERROR(S275/R275*100,0)))</f>
        <v/>
      </c>
      <c r="AQ275" s="49" t="str">
        <f aca="false">IF(W275="","",MIN(120,IF(W275=0,120,100*(INDEX('Standards &amp; Scoring'!$E$5:$E$13,MATCH("Quality / Rejection",'Standards &amp; Scoring'!$A$5:$A$13,0))/W275))))</f>
        <v/>
      </c>
      <c r="AR275" s="49" t="str">
        <f aca="false">IF(AG275="","",MIN(120,IF(AG275=0,120,100*(INDEX('Standards &amp; Scoring'!$E$5:$E$13,MATCH("Fault Control",'Standards &amp; Scoring'!$A$5:$A$13,0))/AG275))))</f>
        <v/>
      </c>
      <c r="AS275" s="49" t="str">
        <f aca="false">IF(O275="","",MIN(120,IF(SUMIFS('Fault &amp; Downtime Entry'!$L$6:$L$1005,'Fault &amp; Downtime Entry'!$E$6:$E$1005,G275,'Fault &amp; Downtime Entry'!$B$6:$B$1005,B275)=0,120,100*(INDEX('Standards &amp; Scoring'!$E$5:$E$13,MATCH("Downtime Control",'Standards &amp; Scoring'!$A$5:$A$13,0))/IFERROR(SUMIFS('Fault &amp; Downtime Entry'!$L$6:$L$1005,'Fault &amp; Downtime Entry'!$E$6:$E$1005,G275,'Fault &amp; Downtime Entry'!$B$6:$B$1005,B275)/O275*1000,999999)))))</f>
        <v/>
      </c>
      <c r="AT275" s="49" t="n">
        <f aca="false">IF(COUNTA(AH275,AJ275)=0,"",MIN(120,IF(AND(AH275&lt;&gt;"",AJ275&lt;&gt;""),AVERAGE(AH275,AJ275),IF(AH275&lt;&gt;"",AH275,AJ275))))</f>
        <v>0</v>
      </c>
      <c r="AU275" s="49" t="str">
        <f aca="false">IF(AI275="","",MIN(120,AI275))</f>
        <v/>
      </c>
      <c r="AV275" s="49" t="str">
        <f aca="false">IF(AJ275="","",MIN(120,AJ275))</f>
        <v/>
      </c>
      <c r="AW275" s="50" t="str">
        <f aca="false">IF(COUNT(AN275:AV275)&lt;9,"",(AN275*'Standards &amp; Scoring'!$D$5+AO275*'Standards &amp; Scoring'!$D$6+AP275*'Standards &amp; Scoring'!$D$7+AQ275*'Standards &amp; Scoring'!$D$8+AR275*'Standards &amp; Scoring'!$D$9+AS275*'Standards &amp; Scoring'!$D$10+AT275*'Standards &amp; Scoring'!$D$11+AU275*'Standards &amp; Scoring'!$D$12+AV275*'Standards &amp; Scoring'!$D$13)/10000)</f>
        <v/>
      </c>
      <c r="AX275" s="47" t="str">
        <f aca="false">IF(AW275="","",IF(AW275&gt;=1.05,"A+",IF(AW275&gt;=1,"A",IF(AW275&gt;=0.95,"B+",IF(AW275&gt;=0.9,"B","C")))))</f>
        <v/>
      </c>
      <c r="AY275" s="47" t="str">
        <f aca="false">IF(AX275="","",IF(AX275="A+",1800,IF(AX275="A",1600,IF(AX275="B+",1400,IF(AX275="B",1200,0)))))</f>
        <v/>
      </c>
      <c r="AZ275" s="49" t="str">
        <f aca="false">IF(OR(L275="",M275="",S275="",M275=0),"",IFERROR(L275*60*S275/(M275*36),0))</f>
        <v/>
      </c>
    </row>
    <row r="276" customFormat="false" ht="15" hidden="false" customHeight="true" outlineLevel="0" collapsed="false">
      <c r="A276" s="47" t="n">
        <f aca="false">'Daily KPI Entry'!A277</f>
        <v>0</v>
      </c>
      <c r="B276" s="48" t="n">
        <f aca="false">'Daily KPI Entry'!B277</f>
        <v>0</v>
      </c>
      <c r="C276" s="47" t="n">
        <f aca="false">'Daily KPI Entry'!C277</f>
        <v>0</v>
      </c>
      <c r="D276" s="47" t="n">
        <f aca="false">'Daily KPI Entry'!D277</f>
        <v>0</v>
      </c>
      <c r="E276" s="47" t="n">
        <f aca="false">'Daily KPI Entry'!E277</f>
        <v>0</v>
      </c>
      <c r="F276" s="47" t="n">
        <f aca="false">'Daily KPI Entry'!F277</f>
        <v>0</v>
      </c>
      <c r="G276" s="47" t="n">
        <f aca="false">'Daily KPI Entry'!G277</f>
        <v>0</v>
      </c>
      <c r="H276" s="47" t="str">
        <f aca="false">'Daily KPI Entry'!H277</f>
        <v/>
      </c>
      <c r="I276" s="47" t="n">
        <f aca="false">'Daily KPI Entry'!I277</f>
        <v>0</v>
      </c>
      <c r="J276" s="47" t="n">
        <f aca="false">'Daily KPI Entry'!J277</f>
        <v>0</v>
      </c>
      <c r="K276" s="47" t="n">
        <f aca="false">'Daily KPI Entry'!K277</f>
        <v>0</v>
      </c>
      <c r="L276" s="47" t="n">
        <f aca="false">'Daily KPI Entry'!L277</f>
        <v>0</v>
      </c>
      <c r="M276" s="47" t="n">
        <f aca="false">'Daily KPI Entry'!M277</f>
        <v>0</v>
      </c>
      <c r="N276" s="49" t="n">
        <f aca="false">'Daily KPI Entry'!N277</f>
        <v>0</v>
      </c>
      <c r="O276" s="49" t="n">
        <f aca="false">'Daily KPI Entry'!O277</f>
        <v>0</v>
      </c>
      <c r="P276" s="49" t="str">
        <f aca="false">IF(OR(N276="",O276=""),"",IFERROR(O276/N276*100,0))</f>
        <v/>
      </c>
      <c r="Q276" s="47" t="n">
        <f aca="false">'Daily KPI Entry'!Q277</f>
        <v>8</v>
      </c>
      <c r="R276" s="47" t="str">
        <f aca="false">IF(J276="","",Q276*J276)</f>
        <v/>
      </c>
      <c r="S276" s="49" t="n">
        <f aca="false">'Daily KPI Entry'!S277</f>
        <v>0</v>
      </c>
      <c r="T276" s="49" t="str">
        <f aca="false">IF(OR(R276="",S276=""),"",IFERROR(S276/R276*100,0))</f>
        <v/>
      </c>
      <c r="U276" s="49" t="str">
        <f aca="false">IF(OR(O276="",L276="",M276="",S276="",M276=0),"",IFERROR(O276/(L276*60*S276/(M276*36))*100,0))</f>
        <v/>
      </c>
      <c r="V276" s="49" t="n">
        <f aca="false">'Daily KPI Entry'!V277</f>
        <v>0</v>
      </c>
      <c r="W276" s="49" t="str">
        <f aca="false">IF(O276="","",IFERROR(V276/O276*100,0))</f>
        <v/>
      </c>
      <c r="X276" s="49" t="n">
        <f aca="false">'Daily KPI Entry'!X277</f>
        <v>0</v>
      </c>
      <c r="Y276" s="49" t="n">
        <f aca="false">'Daily KPI Entry'!Y277</f>
        <v>0</v>
      </c>
      <c r="Z276" s="49" t="n">
        <f aca="false">'Daily KPI Entry'!Z277</f>
        <v>0</v>
      </c>
      <c r="AA276" s="49" t="n">
        <f aca="false">'Daily KPI Entry'!AA277</f>
        <v>0</v>
      </c>
      <c r="AB276" s="49" t="n">
        <f aca="false">'Daily KPI Entry'!AB277</f>
        <v>0</v>
      </c>
      <c r="AC276" s="49" t="n">
        <f aca="false">'Daily KPI Entry'!AC277</f>
        <v>0</v>
      </c>
      <c r="AD276" s="49" t="n">
        <f aca="false">'Daily KPI Entry'!AD277</f>
        <v>0</v>
      </c>
      <c r="AE276" s="49" t="n">
        <f aca="false">'Daily KPI Entry'!AE277</f>
        <v>0</v>
      </c>
      <c r="AF276" s="47" t="str">
        <f aca="false">IF(O276="","",SUM(X276:AE276))</f>
        <v/>
      </c>
      <c r="AG276" s="49" t="str">
        <f aca="false">IF(O276="","",IFERROR(AF276/O276*1000,0))</f>
        <v/>
      </c>
      <c r="AH276" s="49" t="n">
        <f aca="false">'Daily KPI Entry'!AH277</f>
        <v>0</v>
      </c>
      <c r="AI276" s="49" t="n">
        <f aca="false">'Daily KPI Entry'!AI277</f>
        <v>0</v>
      </c>
      <c r="AJ276" s="49" t="n">
        <f aca="false">'Daily KPI Entry'!AJ277</f>
        <v>0</v>
      </c>
      <c r="AK276" s="47" t="n">
        <f aca="false">'Daily KPI Entry'!AK277</f>
        <v>0</v>
      </c>
      <c r="AL276" s="47" t="n">
        <f aca="false">'Daily KPI Entry'!AL277</f>
        <v>0</v>
      </c>
      <c r="AM276" s="47" t="n">
        <f aca="false">'Daily KPI Entry'!AM277</f>
        <v>0</v>
      </c>
      <c r="AN276" s="49" t="str">
        <f aca="false">IF(P276="","",MIN(120,P276))</f>
        <v/>
      </c>
      <c r="AO276" s="49" t="str">
        <f aca="false">IF(U276="","",MIN(120,U276))</f>
        <v/>
      </c>
      <c r="AP276" s="49" t="str">
        <f aca="false">IF(R276="","",MIN(120,IFERROR(S276/R276*100,0)))</f>
        <v/>
      </c>
      <c r="AQ276" s="49" t="str">
        <f aca="false">IF(W276="","",MIN(120,IF(W276=0,120,100*(INDEX('Standards &amp; Scoring'!$E$5:$E$13,MATCH("Quality / Rejection",'Standards &amp; Scoring'!$A$5:$A$13,0))/W276))))</f>
        <v/>
      </c>
      <c r="AR276" s="49" t="str">
        <f aca="false">IF(AG276="","",MIN(120,IF(AG276=0,120,100*(INDEX('Standards &amp; Scoring'!$E$5:$E$13,MATCH("Fault Control",'Standards &amp; Scoring'!$A$5:$A$13,0))/AG276))))</f>
        <v/>
      </c>
      <c r="AS276" s="49" t="str">
        <f aca="false">IF(O276="","",MIN(120,IF(SUMIFS('Fault &amp; Downtime Entry'!$L$6:$L$1005,'Fault &amp; Downtime Entry'!$E$6:$E$1005,G276,'Fault &amp; Downtime Entry'!$B$6:$B$1005,B276)=0,120,100*(INDEX('Standards &amp; Scoring'!$E$5:$E$13,MATCH("Downtime Control",'Standards &amp; Scoring'!$A$5:$A$13,0))/IFERROR(SUMIFS('Fault &amp; Downtime Entry'!$L$6:$L$1005,'Fault &amp; Downtime Entry'!$E$6:$E$1005,G276,'Fault &amp; Downtime Entry'!$B$6:$B$1005,B276)/O276*1000,999999)))))</f>
        <v/>
      </c>
      <c r="AT276" s="49" t="n">
        <f aca="false">IF(COUNTA(AH276,AJ276)=0,"",MIN(120,IF(AND(AH276&lt;&gt;"",AJ276&lt;&gt;""),AVERAGE(AH276,AJ276),IF(AH276&lt;&gt;"",AH276,AJ276))))</f>
        <v>0</v>
      </c>
      <c r="AU276" s="49" t="str">
        <f aca="false">IF(AI276="","",MIN(120,AI276))</f>
        <v/>
      </c>
      <c r="AV276" s="49" t="str">
        <f aca="false">IF(AJ276="","",MIN(120,AJ276))</f>
        <v/>
      </c>
      <c r="AW276" s="50" t="str">
        <f aca="false">IF(COUNT(AN276:AV276)&lt;9,"",(AN276*'Standards &amp; Scoring'!$D$5+AO276*'Standards &amp; Scoring'!$D$6+AP276*'Standards &amp; Scoring'!$D$7+AQ276*'Standards &amp; Scoring'!$D$8+AR276*'Standards &amp; Scoring'!$D$9+AS276*'Standards &amp; Scoring'!$D$10+AT276*'Standards &amp; Scoring'!$D$11+AU276*'Standards &amp; Scoring'!$D$12+AV276*'Standards &amp; Scoring'!$D$13)/10000)</f>
        <v/>
      </c>
      <c r="AX276" s="47" t="str">
        <f aca="false">IF(AW276="","",IF(AW276&gt;=1.05,"A+",IF(AW276&gt;=1,"A",IF(AW276&gt;=0.95,"B+",IF(AW276&gt;=0.9,"B","C")))))</f>
        <v/>
      </c>
      <c r="AY276" s="47" t="str">
        <f aca="false">IF(AX276="","",IF(AX276="A+",1800,IF(AX276="A",1600,IF(AX276="B+",1400,IF(AX276="B",1200,0)))))</f>
        <v/>
      </c>
      <c r="AZ276" s="49" t="str">
        <f aca="false">IF(OR(L276="",M276="",S276="",M276=0),"",IFERROR(L276*60*S276/(M276*36),0))</f>
        <v/>
      </c>
    </row>
    <row r="277" customFormat="false" ht="15" hidden="false" customHeight="true" outlineLevel="0" collapsed="false">
      <c r="A277" s="47" t="n">
        <f aca="false">'Daily KPI Entry'!A278</f>
        <v>0</v>
      </c>
      <c r="B277" s="48" t="n">
        <f aca="false">'Daily KPI Entry'!B278</f>
        <v>0</v>
      </c>
      <c r="C277" s="47" t="n">
        <f aca="false">'Daily KPI Entry'!C278</f>
        <v>0</v>
      </c>
      <c r="D277" s="47" t="n">
        <f aca="false">'Daily KPI Entry'!D278</f>
        <v>0</v>
      </c>
      <c r="E277" s="47" t="n">
        <f aca="false">'Daily KPI Entry'!E278</f>
        <v>0</v>
      </c>
      <c r="F277" s="47" t="n">
        <f aca="false">'Daily KPI Entry'!F278</f>
        <v>0</v>
      </c>
      <c r="G277" s="47" t="n">
        <f aca="false">'Daily KPI Entry'!G278</f>
        <v>0</v>
      </c>
      <c r="H277" s="47" t="str">
        <f aca="false">'Daily KPI Entry'!H278</f>
        <v/>
      </c>
      <c r="I277" s="47" t="n">
        <f aca="false">'Daily KPI Entry'!I278</f>
        <v>0</v>
      </c>
      <c r="J277" s="47" t="n">
        <f aca="false">'Daily KPI Entry'!J278</f>
        <v>0</v>
      </c>
      <c r="K277" s="47" t="n">
        <f aca="false">'Daily KPI Entry'!K278</f>
        <v>0</v>
      </c>
      <c r="L277" s="47" t="n">
        <f aca="false">'Daily KPI Entry'!L278</f>
        <v>0</v>
      </c>
      <c r="M277" s="47" t="n">
        <f aca="false">'Daily KPI Entry'!M278</f>
        <v>0</v>
      </c>
      <c r="N277" s="49" t="n">
        <f aca="false">'Daily KPI Entry'!N278</f>
        <v>0</v>
      </c>
      <c r="O277" s="49" t="n">
        <f aca="false">'Daily KPI Entry'!O278</f>
        <v>0</v>
      </c>
      <c r="P277" s="49" t="str">
        <f aca="false">IF(OR(N277="",O277=""),"",IFERROR(O277/N277*100,0))</f>
        <v/>
      </c>
      <c r="Q277" s="47" t="n">
        <f aca="false">'Daily KPI Entry'!Q278</f>
        <v>8</v>
      </c>
      <c r="R277" s="47" t="str">
        <f aca="false">IF(J277="","",Q277*J277)</f>
        <v/>
      </c>
      <c r="S277" s="49" t="n">
        <f aca="false">'Daily KPI Entry'!S278</f>
        <v>0</v>
      </c>
      <c r="T277" s="49" t="str">
        <f aca="false">IF(OR(R277="",S277=""),"",IFERROR(S277/R277*100,0))</f>
        <v/>
      </c>
      <c r="U277" s="49" t="str">
        <f aca="false">IF(OR(O277="",L277="",M277="",S277="",M277=0),"",IFERROR(O277/(L277*60*S277/(M277*36))*100,0))</f>
        <v/>
      </c>
      <c r="V277" s="49" t="n">
        <f aca="false">'Daily KPI Entry'!V278</f>
        <v>0</v>
      </c>
      <c r="W277" s="49" t="str">
        <f aca="false">IF(O277="","",IFERROR(V277/O277*100,0))</f>
        <v/>
      </c>
      <c r="X277" s="49" t="n">
        <f aca="false">'Daily KPI Entry'!X278</f>
        <v>0</v>
      </c>
      <c r="Y277" s="49" t="n">
        <f aca="false">'Daily KPI Entry'!Y278</f>
        <v>0</v>
      </c>
      <c r="Z277" s="49" t="n">
        <f aca="false">'Daily KPI Entry'!Z278</f>
        <v>0</v>
      </c>
      <c r="AA277" s="49" t="n">
        <f aca="false">'Daily KPI Entry'!AA278</f>
        <v>0</v>
      </c>
      <c r="AB277" s="49" t="n">
        <f aca="false">'Daily KPI Entry'!AB278</f>
        <v>0</v>
      </c>
      <c r="AC277" s="49" t="n">
        <f aca="false">'Daily KPI Entry'!AC278</f>
        <v>0</v>
      </c>
      <c r="AD277" s="49" t="n">
        <f aca="false">'Daily KPI Entry'!AD278</f>
        <v>0</v>
      </c>
      <c r="AE277" s="49" t="n">
        <f aca="false">'Daily KPI Entry'!AE278</f>
        <v>0</v>
      </c>
      <c r="AF277" s="47" t="str">
        <f aca="false">IF(O277="","",SUM(X277:AE277))</f>
        <v/>
      </c>
      <c r="AG277" s="49" t="str">
        <f aca="false">IF(O277="","",IFERROR(AF277/O277*1000,0))</f>
        <v/>
      </c>
      <c r="AH277" s="49" t="n">
        <f aca="false">'Daily KPI Entry'!AH278</f>
        <v>0</v>
      </c>
      <c r="AI277" s="49" t="n">
        <f aca="false">'Daily KPI Entry'!AI278</f>
        <v>0</v>
      </c>
      <c r="AJ277" s="49" t="n">
        <f aca="false">'Daily KPI Entry'!AJ278</f>
        <v>0</v>
      </c>
      <c r="AK277" s="47" t="n">
        <f aca="false">'Daily KPI Entry'!AK278</f>
        <v>0</v>
      </c>
      <c r="AL277" s="47" t="n">
        <f aca="false">'Daily KPI Entry'!AL278</f>
        <v>0</v>
      </c>
      <c r="AM277" s="47" t="n">
        <f aca="false">'Daily KPI Entry'!AM278</f>
        <v>0</v>
      </c>
      <c r="AN277" s="49" t="str">
        <f aca="false">IF(P277="","",MIN(120,P277))</f>
        <v/>
      </c>
      <c r="AO277" s="49" t="str">
        <f aca="false">IF(U277="","",MIN(120,U277))</f>
        <v/>
      </c>
      <c r="AP277" s="49" t="str">
        <f aca="false">IF(R277="","",MIN(120,IFERROR(S277/R277*100,0)))</f>
        <v/>
      </c>
      <c r="AQ277" s="49" t="str">
        <f aca="false">IF(W277="","",MIN(120,IF(W277=0,120,100*(INDEX('Standards &amp; Scoring'!$E$5:$E$13,MATCH("Quality / Rejection",'Standards &amp; Scoring'!$A$5:$A$13,0))/W277))))</f>
        <v/>
      </c>
      <c r="AR277" s="49" t="str">
        <f aca="false">IF(AG277="","",MIN(120,IF(AG277=0,120,100*(INDEX('Standards &amp; Scoring'!$E$5:$E$13,MATCH("Fault Control",'Standards &amp; Scoring'!$A$5:$A$13,0))/AG277))))</f>
        <v/>
      </c>
      <c r="AS277" s="49" t="str">
        <f aca="false">IF(O277="","",MIN(120,IF(SUMIFS('Fault &amp; Downtime Entry'!$L$6:$L$1005,'Fault &amp; Downtime Entry'!$E$6:$E$1005,G277,'Fault &amp; Downtime Entry'!$B$6:$B$1005,B277)=0,120,100*(INDEX('Standards &amp; Scoring'!$E$5:$E$13,MATCH("Downtime Control",'Standards &amp; Scoring'!$A$5:$A$13,0))/IFERROR(SUMIFS('Fault &amp; Downtime Entry'!$L$6:$L$1005,'Fault &amp; Downtime Entry'!$E$6:$E$1005,G277,'Fault &amp; Downtime Entry'!$B$6:$B$1005,B277)/O277*1000,999999)))))</f>
        <v/>
      </c>
      <c r="AT277" s="49" t="n">
        <f aca="false">IF(COUNTA(AH277,AJ277)=0,"",MIN(120,IF(AND(AH277&lt;&gt;"",AJ277&lt;&gt;""),AVERAGE(AH277,AJ277),IF(AH277&lt;&gt;"",AH277,AJ277))))</f>
        <v>0</v>
      </c>
      <c r="AU277" s="49" t="str">
        <f aca="false">IF(AI277="","",MIN(120,AI277))</f>
        <v/>
      </c>
      <c r="AV277" s="49" t="str">
        <f aca="false">IF(AJ277="","",MIN(120,AJ277))</f>
        <v/>
      </c>
      <c r="AW277" s="50" t="str">
        <f aca="false">IF(COUNT(AN277:AV277)&lt;9,"",(AN277*'Standards &amp; Scoring'!$D$5+AO277*'Standards &amp; Scoring'!$D$6+AP277*'Standards &amp; Scoring'!$D$7+AQ277*'Standards &amp; Scoring'!$D$8+AR277*'Standards &amp; Scoring'!$D$9+AS277*'Standards &amp; Scoring'!$D$10+AT277*'Standards &amp; Scoring'!$D$11+AU277*'Standards &amp; Scoring'!$D$12+AV277*'Standards &amp; Scoring'!$D$13)/10000)</f>
        <v/>
      </c>
      <c r="AX277" s="47" t="str">
        <f aca="false">IF(AW277="","",IF(AW277&gt;=1.05,"A+",IF(AW277&gt;=1,"A",IF(AW277&gt;=0.95,"B+",IF(AW277&gt;=0.9,"B","C")))))</f>
        <v/>
      </c>
      <c r="AY277" s="47" t="str">
        <f aca="false">IF(AX277="","",IF(AX277="A+",1800,IF(AX277="A",1600,IF(AX277="B+",1400,IF(AX277="B",1200,0)))))</f>
        <v/>
      </c>
      <c r="AZ277" s="49" t="str">
        <f aca="false">IF(OR(L277="",M277="",S277="",M277=0),"",IFERROR(L277*60*S277/(M277*36),0))</f>
        <v/>
      </c>
    </row>
    <row r="278" customFormat="false" ht="15" hidden="false" customHeight="true" outlineLevel="0" collapsed="false">
      <c r="A278" s="47" t="n">
        <f aca="false">'Daily KPI Entry'!A279</f>
        <v>0</v>
      </c>
      <c r="B278" s="48" t="n">
        <f aca="false">'Daily KPI Entry'!B279</f>
        <v>0</v>
      </c>
      <c r="C278" s="47" t="n">
        <f aca="false">'Daily KPI Entry'!C279</f>
        <v>0</v>
      </c>
      <c r="D278" s="47" t="n">
        <f aca="false">'Daily KPI Entry'!D279</f>
        <v>0</v>
      </c>
      <c r="E278" s="47" t="n">
        <f aca="false">'Daily KPI Entry'!E279</f>
        <v>0</v>
      </c>
      <c r="F278" s="47" t="n">
        <f aca="false">'Daily KPI Entry'!F279</f>
        <v>0</v>
      </c>
      <c r="G278" s="47" t="n">
        <f aca="false">'Daily KPI Entry'!G279</f>
        <v>0</v>
      </c>
      <c r="H278" s="47" t="str">
        <f aca="false">'Daily KPI Entry'!H279</f>
        <v/>
      </c>
      <c r="I278" s="47" t="n">
        <f aca="false">'Daily KPI Entry'!I279</f>
        <v>0</v>
      </c>
      <c r="J278" s="47" t="n">
        <f aca="false">'Daily KPI Entry'!J279</f>
        <v>0</v>
      </c>
      <c r="K278" s="47" t="n">
        <f aca="false">'Daily KPI Entry'!K279</f>
        <v>0</v>
      </c>
      <c r="L278" s="47" t="n">
        <f aca="false">'Daily KPI Entry'!L279</f>
        <v>0</v>
      </c>
      <c r="M278" s="47" t="n">
        <f aca="false">'Daily KPI Entry'!M279</f>
        <v>0</v>
      </c>
      <c r="N278" s="49" t="n">
        <f aca="false">'Daily KPI Entry'!N279</f>
        <v>0</v>
      </c>
      <c r="O278" s="49" t="n">
        <f aca="false">'Daily KPI Entry'!O279</f>
        <v>0</v>
      </c>
      <c r="P278" s="49" t="str">
        <f aca="false">IF(OR(N278="",O278=""),"",IFERROR(O278/N278*100,0))</f>
        <v/>
      </c>
      <c r="Q278" s="47" t="n">
        <f aca="false">'Daily KPI Entry'!Q279</f>
        <v>8</v>
      </c>
      <c r="R278" s="47" t="str">
        <f aca="false">IF(J278="","",Q278*J278)</f>
        <v/>
      </c>
      <c r="S278" s="49" t="n">
        <f aca="false">'Daily KPI Entry'!S279</f>
        <v>0</v>
      </c>
      <c r="T278" s="49" t="str">
        <f aca="false">IF(OR(R278="",S278=""),"",IFERROR(S278/R278*100,0))</f>
        <v/>
      </c>
      <c r="U278" s="49" t="str">
        <f aca="false">IF(OR(O278="",L278="",M278="",S278="",M278=0),"",IFERROR(O278/(L278*60*S278/(M278*36))*100,0))</f>
        <v/>
      </c>
      <c r="V278" s="49" t="n">
        <f aca="false">'Daily KPI Entry'!V279</f>
        <v>0</v>
      </c>
      <c r="W278" s="49" t="str">
        <f aca="false">IF(O278="","",IFERROR(V278/O278*100,0))</f>
        <v/>
      </c>
      <c r="X278" s="49" t="n">
        <f aca="false">'Daily KPI Entry'!X279</f>
        <v>0</v>
      </c>
      <c r="Y278" s="49" t="n">
        <f aca="false">'Daily KPI Entry'!Y279</f>
        <v>0</v>
      </c>
      <c r="Z278" s="49" t="n">
        <f aca="false">'Daily KPI Entry'!Z279</f>
        <v>0</v>
      </c>
      <c r="AA278" s="49" t="n">
        <f aca="false">'Daily KPI Entry'!AA279</f>
        <v>0</v>
      </c>
      <c r="AB278" s="49" t="n">
        <f aca="false">'Daily KPI Entry'!AB279</f>
        <v>0</v>
      </c>
      <c r="AC278" s="49" t="n">
        <f aca="false">'Daily KPI Entry'!AC279</f>
        <v>0</v>
      </c>
      <c r="AD278" s="49" t="n">
        <f aca="false">'Daily KPI Entry'!AD279</f>
        <v>0</v>
      </c>
      <c r="AE278" s="49" t="n">
        <f aca="false">'Daily KPI Entry'!AE279</f>
        <v>0</v>
      </c>
      <c r="AF278" s="47" t="str">
        <f aca="false">IF(O278="","",SUM(X278:AE278))</f>
        <v/>
      </c>
      <c r="AG278" s="49" t="str">
        <f aca="false">IF(O278="","",IFERROR(AF278/O278*1000,0))</f>
        <v/>
      </c>
      <c r="AH278" s="49" t="n">
        <f aca="false">'Daily KPI Entry'!AH279</f>
        <v>0</v>
      </c>
      <c r="AI278" s="49" t="n">
        <f aca="false">'Daily KPI Entry'!AI279</f>
        <v>0</v>
      </c>
      <c r="AJ278" s="49" t="n">
        <f aca="false">'Daily KPI Entry'!AJ279</f>
        <v>0</v>
      </c>
      <c r="AK278" s="47" t="n">
        <f aca="false">'Daily KPI Entry'!AK279</f>
        <v>0</v>
      </c>
      <c r="AL278" s="47" t="n">
        <f aca="false">'Daily KPI Entry'!AL279</f>
        <v>0</v>
      </c>
      <c r="AM278" s="47" t="n">
        <f aca="false">'Daily KPI Entry'!AM279</f>
        <v>0</v>
      </c>
      <c r="AN278" s="49" t="str">
        <f aca="false">IF(P278="","",MIN(120,P278))</f>
        <v/>
      </c>
      <c r="AO278" s="49" t="str">
        <f aca="false">IF(U278="","",MIN(120,U278))</f>
        <v/>
      </c>
      <c r="AP278" s="49" t="str">
        <f aca="false">IF(R278="","",MIN(120,IFERROR(S278/R278*100,0)))</f>
        <v/>
      </c>
      <c r="AQ278" s="49" t="str">
        <f aca="false">IF(W278="","",MIN(120,IF(W278=0,120,100*(INDEX('Standards &amp; Scoring'!$E$5:$E$13,MATCH("Quality / Rejection",'Standards &amp; Scoring'!$A$5:$A$13,0))/W278))))</f>
        <v/>
      </c>
      <c r="AR278" s="49" t="str">
        <f aca="false">IF(AG278="","",MIN(120,IF(AG278=0,120,100*(INDEX('Standards &amp; Scoring'!$E$5:$E$13,MATCH("Fault Control",'Standards &amp; Scoring'!$A$5:$A$13,0))/AG278))))</f>
        <v/>
      </c>
      <c r="AS278" s="49" t="str">
        <f aca="false">IF(O278="","",MIN(120,IF(SUMIFS('Fault &amp; Downtime Entry'!$L$6:$L$1005,'Fault &amp; Downtime Entry'!$E$6:$E$1005,G278,'Fault &amp; Downtime Entry'!$B$6:$B$1005,B278)=0,120,100*(INDEX('Standards &amp; Scoring'!$E$5:$E$13,MATCH("Downtime Control",'Standards &amp; Scoring'!$A$5:$A$13,0))/IFERROR(SUMIFS('Fault &amp; Downtime Entry'!$L$6:$L$1005,'Fault &amp; Downtime Entry'!$E$6:$E$1005,G278,'Fault &amp; Downtime Entry'!$B$6:$B$1005,B278)/O278*1000,999999)))))</f>
        <v/>
      </c>
      <c r="AT278" s="49" t="n">
        <f aca="false">IF(COUNTA(AH278,AJ278)=0,"",MIN(120,IF(AND(AH278&lt;&gt;"",AJ278&lt;&gt;""),AVERAGE(AH278,AJ278),IF(AH278&lt;&gt;"",AH278,AJ278))))</f>
        <v>0</v>
      </c>
      <c r="AU278" s="49" t="str">
        <f aca="false">IF(AI278="","",MIN(120,AI278))</f>
        <v/>
      </c>
      <c r="AV278" s="49" t="str">
        <f aca="false">IF(AJ278="","",MIN(120,AJ278))</f>
        <v/>
      </c>
      <c r="AW278" s="50" t="str">
        <f aca="false">IF(COUNT(AN278:AV278)&lt;9,"",(AN278*'Standards &amp; Scoring'!$D$5+AO278*'Standards &amp; Scoring'!$D$6+AP278*'Standards &amp; Scoring'!$D$7+AQ278*'Standards &amp; Scoring'!$D$8+AR278*'Standards &amp; Scoring'!$D$9+AS278*'Standards &amp; Scoring'!$D$10+AT278*'Standards &amp; Scoring'!$D$11+AU278*'Standards &amp; Scoring'!$D$12+AV278*'Standards &amp; Scoring'!$D$13)/10000)</f>
        <v/>
      </c>
      <c r="AX278" s="47" t="str">
        <f aca="false">IF(AW278="","",IF(AW278&gt;=1.05,"A+",IF(AW278&gt;=1,"A",IF(AW278&gt;=0.95,"B+",IF(AW278&gt;=0.9,"B","C")))))</f>
        <v/>
      </c>
      <c r="AY278" s="47" t="str">
        <f aca="false">IF(AX278="","",IF(AX278="A+",1800,IF(AX278="A",1600,IF(AX278="B+",1400,IF(AX278="B",1200,0)))))</f>
        <v/>
      </c>
      <c r="AZ278" s="49" t="str">
        <f aca="false">IF(OR(L278="",M278="",S278="",M278=0),"",IFERROR(L278*60*S278/(M278*36),0))</f>
        <v/>
      </c>
    </row>
    <row r="279" customFormat="false" ht="15" hidden="false" customHeight="true" outlineLevel="0" collapsed="false">
      <c r="A279" s="47" t="n">
        <f aca="false">'Daily KPI Entry'!A280</f>
        <v>0</v>
      </c>
      <c r="B279" s="48" t="n">
        <f aca="false">'Daily KPI Entry'!B280</f>
        <v>0</v>
      </c>
      <c r="C279" s="47" t="n">
        <f aca="false">'Daily KPI Entry'!C280</f>
        <v>0</v>
      </c>
      <c r="D279" s="47" t="n">
        <f aca="false">'Daily KPI Entry'!D280</f>
        <v>0</v>
      </c>
      <c r="E279" s="47" t="n">
        <f aca="false">'Daily KPI Entry'!E280</f>
        <v>0</v>
      </c>
      <c r="F279" s="47" t="n">
        <f aca="false">'Daily KPI Entry'!F280</f>
        <v>0</v>
      </c>
      <c r="G279" s="47" t="n">
        <f aca="false">'Daily KPI Entry'!G280</f>
        <v>0</v>
      </c>
      <c r="H279" s="47" t="str">
        <f aca="false">'Daily KPI Entry'!H280</f>
        <v/>
      </c>
      <c r="I279" s="47" t="n">
        <f aca="false">'Daily KPI Entry'!I280</f>
        <v>0</v>
      </c>
      <c r="J279" s="47" t="n">
        <f aca="false">'Daily KPI Entry'!J280</f>
        <v>0</v>
      </c>
      <c r="K279" s="47" t="n">
        <f aca="false">'Daily KPI Entry'!K280</f>
        <v>0</v>
      </c>
      <c r="L279" s="47" t="n">
        <f aca="false">'Daily KPI Entry'!L280</f>
        <v>0</v>
      </c>
      <c r="M279" s="47" t="n">
        <f aca="false">'Daily KPI Entry'!M280</f>
        <v>0</v>
      </c>
      <c r="N279" s="49" t="n">
        <f aca="false">'Daily KPI Entry'!N280</f>
        <v>0</v>
      </c>
      <c r="O279" s="49" t="n">
        <f aca="false">'Daily KPI Entry'!O280</f>
        <v>0</v>
      </c>
      <c r="P279" s="49" t="str">
        <f aca="false">IF(OR(N279="",O279=""),"",IFERROR(O279/N279*100,0))</f>
        <v/>
      </c>
      <c r="Q279" s="47" t="n">
        <f aca="false">'Daily KPI Entry'!Q280</f>
        <v>8</v>
      </c>
      <c r="R279" s="47" t="str">
        <f aca="false">IF(J279="","",Q279*J279)</f>
        <v/>
      </c>
      <c r="S279" s="49" t="n">
        <f aca="false">'Daily KPI Entry'!S280</f>
        <v>0</v>
      </c>
      <c r="T279" s="49" t="str">
        <f aca="false">IF(OR(R279="",S279=""),"",IFERROR(S279/R279*100,0))</f>
        <v/>
      </c>
      <c r="U279" s="49" t="str">
        <f aca="false">IF(OR(O279="",L279="",M279="",S279="",M279=0),"",IFERROR(O279/(L279*60*S279/(M279*36))*100,0))</f>
        <v/>
      </c>
      <c r="V279" s="49" t="n">
        <f aca="false">'Daily KPI Entry'!V280</f>
        <v>0</v>
      </c>
      <c r="W279" s="49" t="str">
        <f aca="false">IF(O279="","",IFERROR(V279/O279*100,0))</f>
        <v/>
      </c>
      <c r="X279" s="49" t="n">
        <f aca="false">'Daily KPI Entry'!X280</f>
        <v>0</v>
      </c>
      <c r="Y279" s="49" t="n">
        <f aca="false">'Daily KPI Entry'!Y280</f>
        <v>0</v>
      </c>
      <c r="Z279" s="49" t="n">
        <f aca="false">'Daily KPI Entry'!Z280</f>
        <v>0</v>
      </c>
      <c r="AA279" s="49" t="n">
        <f aca="false">'Daily KPI Entry'!AA280</f>
        <v>0</v>
      </c>
      <c r="AB279" s="49" t="n">
        <f aca="false">'Daily KPI Entry'!AB280</f>
        <v>0</v>
      </c>
      <c r="AC279" s="49" t="n">
        <f aca="false">'Daily KPI Entry'!AC280</f>
        <v>0</v>
      </c>
      <c r="AD279" s="49" t="n">
        <f aca="false">'Daily KPI Entry'!AD280</f>
        <v>0</v>
      </c>
      <c r="AE279" s="49" t="n">
        <f aca="false">'Daily KPI Entry'!AE280</f>
        <v>0</v>
      </c>
      <c r="AF279" s="47" t="str">
        <f aca="false">IF(O279="","",SUM(X279:AE279))</f>
        <v/>
      </c>
      <c r="AG279" s="49" t="str">
        <f aca="false">IF(O279="","",IFERROR(AF279/O279*1000,0))</f>
        <v/>
      </c>
      <c r="AH279" s="49" t="n">
        <f aca="false">'Daily KPI Entry'!AH280</f>
        <v>0</v>
      </c>
      <c r="AI279" s="49" t="n">
        <f aca="false">'Daily KPI Entry'!AI280</f>
        <v>0</v>
      </c>
      <c r="AJ279" s="49" t="n">
        <f aca="false">'Daily KPI Entry'!AJ280</f>
        <v>0</v>
      </c>
      <c r="AK279" s="47" t="n">
        <f aca="false">'Daily KPI Entry'!AK280</f>
        <v>0</v>
      </c>
      <c r="AL279" s="47" t="n">
        <f aca="false">'Daily KPI Entry'!AL280</f>
        <v>0</v>
      </c>
      <c r="AM279" s="47" t="n">
        <f aca="false">'Daily KPI Entry'!AM280</f>
        <v>0</v>
      </c>
      <c r="AN279" s="49" t="str">
        <f aca="false">IF(P279="","",MIN(120,P279))</f>
        <v/>
      </c>
      <c r="AO279" s="49" t="str">
        <f aca="false">IF(U279="","",MIN(120,U279))</f>
        <v/>
      </c>
      <c r="AP279" s="49" t="str">
        <f aca="false">IF(R279="","",MIN(120,IFERROR(S279/R279*100,0)))</f>
        <v/>
      </c>
      <c r="AQ279" s="49" t="str">
        <f aca="false">IF(W279="","",MIN(120,IF(W279=0,120,100*(INDEX('Standards &amp; Scoring'!$E$5:$E$13,MATCH("Quality / Rejection",'Standards &amp; Scoring'!$A$5:$A$13,0))/W279))))</f>
        <v/>
      </c>
      <c r="AR279" s="49" t="str">
        <f aca="false">IF(AG279="","",MIN(120,IF(AG279=0,120,100*(INDEX('Standards &amp; Scoring'!$E$5:$E$13,MATCH("Fault Control",'Standards &amp; Scoring'!$A$5:$A$13,0))/AG279))))</f>
        <v/>
      </c>
      <c r="AS279" s="49" t="str">
        <f aca="false">IF(O279="","",MIN(120,IF(SUMIFS('Fault &amp; Downtime Entry'!$L$6:$L$1005,'Fault &amp; Downtime Entry'!$E$6:$E$1005,G279,'Fault &amp; Downtime Entry'!$B$6:$B$1005,B279)=0,120,100*(INDEX('Standards &amp; Scoring'!$E$5:$E$13,MATCH("Downtime Control",'Standards &amp; Scoring'!$A$5:$A$13,0))/IFERROR(SUMIFS('Fault &amp; Downtime Entry'!$L$6:$L$1005,'Fault &amp; Downtime Entry'!$E$6:$E$1005,G279,'Fault &amp; Downtime Entry'!$B$6:$B$1005,B279)/O279*1000,999999)))))</f>
        <v/>
      </c>
      <c r="AT279" s="49" t="n">
        <f aca="false">IF(COUNTA(AH279,AJ279)=0,"",MIN(120,IF(AND(AH279&lt;&gt;"",AJ279&lt;&gt;""),AVERAGE(AH279,AJ279),IF(AH279&lt;&gt;"",AH279,AJ279))))</f>
        <v>0</v>
      </c>
      <c r="AU279" s="49" t="str">
        <f aca="false">IF(AI279="","",MIN(120,AI279))</f>
        <v/>
      </c>
      <c r="AV279" s="49" t="str">
        <f aca="false">IF(AJ279="","",MIN(120,AJ279))</f>
        <v/>
      </c>
      <c r="AW279" s="50" t="str">
        <f aca="false">IF(COUNT(AN279:AV279)&lt;9,"",(AN279*'Standards &amp; Scoring'!$D$5+AO279*'Standards &amp; Scoring'!$D$6+AP279*'Standards &amp; Scoring'!$D$7+AQ279*'Standards &amp; Scoring'!$D$8+AR279*'Standards &amp; Scoring'!$D$9+AS279*'Standards &amp; Scoring'!$D$10+AT279*'Standards &amp; Scoring'!$D$11+AU279*'Standards &amp; Scoring'!$D$12+AV279*'Standards &amp; Scoring'!$D$13)/10000)</f>
        <v/>
      </c>
      <c r="AX279" s="47" t="str">
        <f aca="false">IF(AW279="","",IF(AW279&gt;=1.05,"A+",IF(AW279&gt;=1,"A",IF(AW279&gt;=0.95,"B+",IF(AW279&gt;=0.9,"B","C")))))</f>
        <v/>
      </c>
      <c r="AY279" s="47" t="str">
        <f aca="false">IF(AX279="","",IF(AX279="A+",1800,IF(AX279="A",1600,IF(AX279="B+",1400,IF(AX279="B",1200,0)))))</f>
        <v/>
      </c>
      <c r="AZ279" s="49" t="str">
        <f aca="false">IF(OR(L279="",M279="",S279="",M279=0),"",IFERROR(L279*60*S279/(M279*36),0))</f>
        <v/>
      </c>
    </row>
    <row r="280" customFormat="false" ht="15" hidden="false" customHeight="true" outlineLevel="0" collapsed="false">
      <c r="A280" s="47" t="n">
        <f aca="false">'Daily KPI Entry'!A281</f>
        <v>0</v>
      </c>
      <c r="B280" s="48" t="n">
        <f aca="false">'Daily KPI Entry'!B281</f>
        <v>0</v>
      </c>
      <c r="C280" s="47" t="n">
        <f aca="false">'Daily KPI Entry'!C281</f>
        <v>0</v>
      </c>
      <c r="D280" s="47" t="n">
        <f aca="false">'Daily KPI Entry'!D281</f>
        <v>0</v>
      </c>
      <c r="E280" s="47" t="n">
        <f aca="false">'Daily KPI Entry'!E281</f>
        <v>0</v>
      </c>
      <c r="F280" s="47" t="n">
        <f aca="false">'Daily KPI Entry'!F281</f>
        <v>0</v>
      </c>
      <c r="G280" s="47" t="n">
        <f aca="false">'Daily KPI Entry'!G281</f>
        <v>0</v>
      </c>
      <c r="H280" s="47" t="str">
        <f aca="false">'Daily KPI Entry'!H281</f>
        <v/>
      </c>
      <c r="I280" s="47" t="n">
        <f aca="false">'Daily KPI Entry'!I281</f>
        <v>0</v>
      </c>
      <c r="J280" s="47" t="n">
        <f aca="false">'Daily KPI Entry'!J281</f>
        <v>0</v>
      </c>
      <c r="K280" s="47" t="n">
        <f aca="false">'Daily KPI Entry'!K281</f>
        <v>0</v>
      </c>
      <c r="L280" s="47" t="n">
        <f aca="false">'Daily KPI Entry'!L281</f>
        <v>0</v>
      </c>
      <c r="M280" s="47" t="n">
        <f aca="false">'Daily KPI Entry'!M281</f>
        <v>0</v>
      </c>
      <c r="N280" s="49" t="n">
        <f aca="false">'Daily KPI Entry'!N281</f>
        <v>0</v>
      </c>
      <c r="O280" s="49" t="n">
        <f aca="false">'Daily KPI Entry'!O281</f>
        <v>0</v>
      </c>
      <c r="P280" s="49" t="str">
        <f aca="false">IF(OR(N280="",O280=""),"",IFERROR(O280/N280*100,0))</f>
        <v/>
      </c>
      <c r="Q280" s="47" t="n">
        <f aca="false">'Daily KPI Entry'!Q281</f>
        <v>8</v>
      </c>
      <c r="R280" s="47" t="str">
        <f aca="false">IF(J280="","",Q280*J280)</f>
        <v/>
      </c>
      <c r="S280" s="49" t="n">
        <f aca="false">'Daily KPI Entry'!S281</f>
        <v>0</v>
      </c>
      <c r="T280" s="49" t="str">
        <f aca="false">IF(OR(R280="",S280=""),"",IFERROR(S280/R280*100,0))</f>
        <v/>
      </c>
      <c r="U280" s="49" t="str">
        <f aca="false">IF(OR(O280="",L280="",M280="",S280="",M280=0),"",IFERROR(O280/(L280*60*S280/(M280*36))*100,0))</f>
        <v/>
      </c>
      <c r="V280" s="49" t="n">
        <f aca="false">'Daily KPI Entry'!V281</f>
        <v>0</v>
      </c>
      <c r="W280" s="49" t="str">
        <f aca="false">IF(O280="","",IFERROR(V280/O280*100,0))</f>
        <v/>
      </c>
      <c r="X280" s="49" t="n">
        <f aca="false">'Daily KPI Entry'!X281</f>
        <v>0</v>
      </c>
      <c r="Y280" s="49" t="n">
        <f aca="false">'Daily KPI Entry'!Y281</f>
        <v>0</v>
      </c>
      <c r="Z280" s="49" t="n">
        <f aca="false">'Daily KPI Entry'!Z281</f>
        <v>0</v>
      </c>
      <c r="AA280" s="49" t="n">
        <f aca="false">'Daily KPI Entry'!AA281</f>
        <v>0</v>
      </c>
      <c r="AB280" s="49" t="n">
        <f aca="false">'Daily KPI Entry'!AB281</f>
        <v>0</v>
      </c>
      <c r="AC280" s="49" t="n">
        <f aca="false">'Daily KPI Entry'!AC281</f>
        <v>0</v>
      </c>
      <c r="AD280" s="49" t="n">
        <f aca="false">'Daily KPI Entry'!AD281</f>
        <v>0</v>
      </c>
      <c r="AE280" s="49" t="n">
        <f aca="false">'Daily KPI Entry'!AE281</f>
        <v>0</v>
      </c>
      <c r="AF280" s="47" t="str">
        <f aca="false">IF(O280="","",SUM(X280:AE280))</f>
        <v/>
      </c>
      <c r="AG280" s="49" t="str">
        <f aca="false">IF(O280="","",IFERROR(AF280/O280*1000,0))</f>
        <v/>
      </c>
      <c r="AH280" s="49" t="n">
        <f aca="false">'Daily KPI Entry'!AH281</f>
        <v>0</v>
      </c>
      <c r="AI280" s="49" t="n">
        <f aca="false">'Daily KPI Entry'!AI281</f>
        <v>0</v>
      </c>
      <c r="AJ280" s="49" t="n">
        <f aca="false">'Daily KPI Entry'!AJ281</f>
        <v>0</v>
      </c>
      <c r="AK280" s="47" t="n">
        <f aca="false">'Daily KPI Entry'!AK281</f>
        <v>0</v>
      </c>
      <c r="AL280" s="47" t="n">
        <f aca="false">'Daily KPI Entry'!AL281</f>
        <v>0</v>
      </c>
      <c r="AM280" s="47" t="n">
        <f aca="false">'Daily KPI Entry'!AM281</f>
        <v>0</v>
      </c>
      <c r="AN280" s="49" t="str">
        <f aca="false">IF(P280="","",MIN(120,P280))</f>
        <v/>
      </c>
      <c r="AO280" s="49" t="str">
        <f aca="false">IF(U280="","",MIN(120,U280))</f>
        <v/>
      </c>
      <c r="AP280" s="49" t="str">
        <f aca="false">IF(R280="","",MIN(120,IFERROR(S280/R280*100,0)))</f>
        <v/>
      </c>
      <c r="AQ280" s="49" t="str">
        <f aca="false">IF(W280="","",MIN(120,IF(W280=0,120,100*(INDEX('Standards &amp; Scoring'!$E$5:$E$13,MATCH("Quality / Rejection",'Standards &amp; Scoring'!$A$5:$A$13,0))/W280))))</f>
        <v/>
      </c>
      <c r="AR280" s="49" t="str">
        <f aca="false">IF(AG280="","",MIN(120,IF(AG280=0,120,100*(INDEX('Standards &amp; Scoring'!$E$5:$E$13,MATCH("Fault Control",'Standards &amp; Scoring'!$A$5:$A$13,0))/AG280))))</f>
        <v/>
      </c>
      <c r="AS280" s="49" t="str">
        <f aca="false">IF(O280="","",MIN(120,IF(SUMIFS('Fault &amp; Downtime Entry'!$L$6:$L$1005,'Fault &amp; Downtime Entry'!$E$6:$E$1005,G280,'Fault &amp; Downtime Entry'!$B$6:$B$1005,B280)=0,120,100*(INDEX('Standards &amp; Scoring'!$E$5:$E$13,MATCH("Downtime Control",'Standards &amp; Scoring'!$A$5:$A$13,0))/IFERROR(SUMIFS('Fault &amp; Downtime Entry'!$L$6:$L$1005,'Fault &amp; Downtime Entry'!$E$6:$E$1005,G280,'Fault &amp; Downtime Entry'!$B$6:$B$1005,B280)/O280*1000,999999)))))</f>
        <v/>
      </c>
      <c r="AT280" s="49" t="n">
        <f aca="false">IF(COUNTA(AH280,AJ280)=0,"",MIN(120,IF(AND(AH280&lt;&gt;"",AJ280&lt;&gt;""),AVERAGE(AH280,AJ280),IF(AH280&lt;&gt;"",AH280,AJ280))))</f>
        <v>0</v>
      </c>
      <c r="AU280" s="49" t="str">
        <f aca="false">IF(AI280="","",MIN(120,AI280))</f>
        <v/>
      </c>
      <c r="AV280" s="49" t="str">
        <f aca="false">IF(AJ280="","",MIN(120,AJ280))</f>
        <v/>
      </c>
      <c r="AW280" s="50" t="str">
        <f aca="false">IF(COUNT(AN280:AV280)&lt;9,"",(AN280*'Standards &amp; Scoring'!$D$5+AO280*'Standards &amp; Scoring'!$D$6+AP280*'Standards &amp; Scoring'!$D$7+AQ280*'Standards &amp; Scoring'!$D$8+AR280*'Standards &amp; Scoring'!$D$9+AS280*'Standards &amp; Scoring'!$D$10+AT280*'Standards &amp; Scoring'!$D$11+AU280*'Standards &amp; Scoring'!$D$12+AV280*'Standards &amp; Scoring'!$D$13)/10000)</f>
        <v/>
      </c>
      <c r="AX280" s="47" t="str">
        <f aca="false">IF(AW280="","",IF(AW280&gt;=1.05,"A+",IF(AW280&gt;=1,"A",IF(AW280&gt;=0.95,"B+",IF(AW280&gt;=0.9,"B","C")))))</f>
        <v/>
      </c>
      <c r="AY280" s="47" t="str">
        <f aca="false">IF(AX280="","",IF(AX280="A+",1800,IF(AX280="A",1600,IF(AX280="B+",1400,IF(AX280="B",1200,0)))))</f>
        <v/>
      </c>
      <c r="AZ280" s="49" t="str">
        <f aca="false">IF(OR(L280="",M280="",S280="",M280=0),"",IFERROR(L280*60*S280/(M280*36),0))</f>
        <v/>
      </c>
    </row>
    <row r="281" customFormat="false" ht="15" hidden="false" customHeight="true" outlineLevel="0" collapsed="false">
      <c r="A281" s="47" t="n">
        <f aca="false">'Daily KPI Entry'!A282</f>
        <v>0</v>
      </c>
      <c r="B281" s="48" t="n">
        <f aca="false">'Daily KPI Entry'!B282</f>
        <v>0</v>
      </c>
      <c r="C281" s="47" t="n">
        <f aca="false">'Daily KPI Entry'!C282</f>
        <v>0</v>
      </c>
      <c r="D281" s="47" t="n">
        <f aca="false">'Daily KPI Entry'!D282</f>
        <v>0</v>
      </c>
      <c r="E281" s="47" t="n">
        <f aca="false">'Daily KPI Entry'!E282</f>
        <v>0</v>
      </c>
      <c r="F281" s="47" t="n">
        <f aca="false">'Daily KPI Entry'!F282</f>
        <v>0</v>
      </c>
      <c r="G281" s="47" t="n">
        <f aca="false">'Daily KPI Entry'!G282</f>
        <v>0</v>
      </c>
      <c r="H281" s="47" t="str">
        <f aca="false">'Daily KPI Entry'!H282</f>
        <v/>
      </c>
      <c r="I281" s="47" t="n">
        <f aca="false">'Daily KPI Entry'!I282</f>
        <v>0</v>
      </c>
      <c r="J281" s="47" t="n">
        <f aca="false">'Daily KPI Entry'!J282</f>
        <v>0</v>
      </c>
      <c r="K281" s="47" t="n">
        <f aca="false">'Daily KPI Entry'!K282</f>
        <v>0</v>
      </c>
      <c r="L281" s="47" t="n">
        <f aca="false">'Daily KPI Entry'!L282</f>
        <v>0</v>
      </c>
      <c r="M281" s="47" t="n">
        <f aca="false">'Daily KPI Entry'!M282</f>
        <v>0</v>
      </c>
      <c r="N281" s="49" t="n">
        <f aca="false">'Daily KPI Entry'!N282</f>
        <v>0</v>
      </c>
      <c r="O281" s="49" t="n">
        <f aca="false">'Daily KPI Entry'!O282</f>
        <v>0</v>
      </c>
      <c r="P281" s="49" t="str">
        <f aca="false">IF(OR(N281="",O281=""),"",IFERROR(O281/N281*100,0))</f>
        <v/>
      </c>
      <c r="Q281" s="47" t="n">
        <f aca="false">'Daily KPI Entry'!Q282</f>
        <v>8</v>
      </c>
      <c r="R281" s="47" t="str">
        <f aca="false">IF(J281="","",Q281*J281)</f>
        <v/>
      </c>
      <c r="S281" s="49" t="n">
        <f aca="false">'Daily KPI Entry'!S282</f>
        <v>0</v>
      </c>
      <c r="T281" s="49" t="str">
        <f aca="false">IF(OR(R281="",S281=""),"",IFERROR(S281/R281*100,0))</f>
        <v/>
      </c>
      <c r="U281" s="49" t="str">
        <f aca="false">IF(OR(O281="",L281="",M281="",S281="",M281=0),"",IFERROR(O281/(L281*60*S281/(M281*36))*100,0))</f>
        <v/>
      </c>
      <c r="V281" s="49" t="n">
        <f aca="false">'Daily KPI Entry'!V282</f>
        <v>0</v>
      </c>
      <c r="W281" s="49" t="str">
        <f aca="false">IF(O281="","",IFERROR(V281/O281*100,0))</f>
        <v/>
      </c>
      <c r="X281" s="49" t="n">
        <f aca="false">'Daily KPI Entry'!X282</f>
        <v>0</v>
      </c>
      <c r="Y281" s="49" t="n">
        <f aca="false">'Daily KPI Entry'!Y282</f>
        <v>0</v>
      </c>
      <c r="Z281" s="49" t="n">
        <f aca="false">'Daily KPI Entry'!Z282</f>
        <v>0</v>
      </c>
      <c r="AA281" s="49" t="n">
        <f aca="false">'Daily KPI Entry'!AA282</f>
        <v>0</v>
      </c>
      <c r="AB281" s="49" t="n">
        <f aca="false">'Daily KPI Entry'!AB282</f>
        <v>0</v>
      </c>
      <c r="AC281" s="49" t="n">
        <f aca="false">'Daily KPI Entry'!AC282</f>
        <v>0</v>
      </c>
      <c r="AD281" s="49" t="n">
        <f aca="false">'Daily KPI Entry'!AD282</f>
        <v>0</v>
      </c>
      <c r="AE281" s="49" t="n">
        <f aca="false">'Daily KPI Entry'!AE282</f>
        <v>0</v>
      </c>
      <c r="AF281" s="47" t="str">
        <f aca="false">IF(O281="","",SUM(X281:AE281))</f>
        <v/>
      </c>
      <c r="AG281" s="49" t="str">
        <f aca="false">IF(O281="","",IFERROR(AF281/O281*1000,0))</f>
        <v/>
      </c>
      <c r="AH281" s="49" t="n">
        <f aca="false">'Daily KPI Entry'!AH282</f>
        <v>0</v>
      </c>
      <c r="AI281" s="49" t="n">
        <f aca="false">'Daily KPI Entry'!AI282</f>
        <v>0</v>
      </c>
      <c r="AJ281" s="49" t="n">
        <f aca="false">'Daily KPI Entry'!AJ282</f>
        <v>0</v>
      </c>
      <c r="AK281" s="47" t="n">
        <f aca="false">'Daily KPI Entry'!AK282</f>
        <v>0</v>
      </c>
      <c r="AL281" s="47" t="n">
        <f aca="false">'Daily KPI Entry'!AL282</f>
        <v>0</v>
      </c>
      <c r="AM281" s="47" t="n">
        <f aca="false">'Daily KPI Entry'!AM282</f>
        <v>0</v>
      </c>
      <c r="AN281" s="49" t="str">
        <f aca="false">IF(P281="","",MIN(120,P281))</f>
        <v/>
      </c>
      <c r="AO281" s="49" t="str">
        <f aca="false">IF(U281="","",MIN(120,U281))</f>
        <v/>
      </c>
      <c r="AP281" s="49" t="str">
        <f aca="false">IF(R281="","",MIN(120,IFERROR(S281/R281*100,0)))</f>
        <v/>
      </c>
      <c r="AQ281" s="49" t="str">
        <f aca="false">IF(W281="","",MIN(120,IF(W281=0,120,100*(INDEX('Standards &amp; Scoring'!$E$5:$E$13,MATCH("Quality / Rejection",'Standards &amp; Scoring'!$A$5:$A$13,0))/W281))))</f>
        <v/>
      </c>
      <c r="AR281" s="49" t="str">
        <f aca="false">IF(AG281="","",MIN(120,IF(AG281=0,120,100*(INDEX('Standards &amp; Scoring'!$E$5:$E$13,MATCH("Fault Control",'Standards &amp; Scoring'!$A$5:$A$13,0))/AG281))))</f>
        <v/>
      </c>
      <c r="AS281" s="49" t="str">
        <f aca="false">IF(O281="","",MIN(120,IF(SUMIFS('Fault &amp; Downtime Entry'!$L$6:$L$1005,'Fault &amp; Downtime Entry'!$E$6:$E$1005,G281,'Fault &amp; Downtime Entry'!$B$6:$B$1005,B281)=0,120,100*(INDEX('Standards &amp; Scoring'!$E$5:$E$13,MATCH("Downtime Control",'Standards &amp; Scoring'!$A$5:$A$13,0))/IFERROR(SUMIFS('Fault &amp; Downtime Entry'!$L$6:$L$1005,'Fault &amp; Downtime Entry'!$E$6:$E$1005,G281,'Fault &amp; Downtime Entry'!$B$6:$B$1005,B281)/O281*1000,999999)))))</f>
        <v/>
      </c>
      <c r="AT281" s="49" t="n">
        <f aca="false">IF(COUNTA(AH281,AJ281)=0,"",MIN(120,IF(AND(AH281&lt;&gt;"",AJ281&lt;&gt;""),AVERAGE(AH281,AJ281),IF(AH281&lt;&gt;"",AH281,AJ281))))</f>
        <v>0</v>
      </c>
      <c r="AU281" s="49" t="str">
        <f aca="false">IF(AI281="","",MIN(120,AI281))</f>
        <v/>
      </c>
      <c r="AV281" s="49" t="str">
        <f aca="false">IF(AJ281="","",MIN(120,AJ281))</f>
        <v/>
      </c>
      <c r="AW281" s="50" t="str">
        <f aca="false">IF(COUNT(AN281:AV281)&lt;9,"",(AN281*'Standards &amp; Scoring'!$D$5+AO281*'Standards &amp; Scoring'!$D$6+AP281*'Standards &amp; Scoring'!$D$7+AQ281*'Standards &amp; Scoring'!$D$8+AR281*'Standards &amp; Scoring'!$D$9+AS281*'Standards &amp; Scoring'!$D$10+AT281*'Standards &amp; Scoring'!$D$11+AU281*'Standards &amp; Scoring'!$D$12+AV281*'Standards &amp; Scoring'!$D$13)/10000)</f>
        <v/>
      </c>
      <c r="AX281" s="47" t="str">
        <f aca="false">IF(AW281="","",IF(AW281&gt;=1.05,"A+",IF(AW281&gt;=1,"A",IF(AW281&gt;=0.95,"B+",IF(AW281&gt;=0.9,"B","C")))))</f>
        <v/>
      </c>
      <c r="AY281" s="47" t="str">
        <f aca="false">IF(AX281="","",IF(AX281="A+",1800,IF(AX281="A",1600,IF(AX281="B+",1400,IF(AX281="B",1200,0)))))</f>
        <v/>
      </c>
      <c r="AZ281" s="49" t="str">
        <f aca="false">IF(OR(L281="",M281="",S281="",M281=0),"",IFERROR(L281*60*S281/(M281*36),0))</f>
        <v/>
      </c>
    </row>
    <row r="282" customFormat="false" ht="15" hidden="false" customHeight="true" outlineLevel="0" collapsed="false">
      <c r="A282" s="47" t="n">
        <f aca="false">'Daily KPI Entry'!A283</f>
        <v>0</v>
      </c>
      <c r="B282" s="48" t="n">
        <f aca="false">'Daily KPI Entry'!B283</f>
        <v>0</v>
      </c>
      <c r="C282" s="47" t="n">
        <f aca="false">'Daily KPI Entry'!C283</f>
        <v>0</v>
      </c>
      <c r="D282" s="47" t="n">
        <f aca="false">'Daily KPI Entry'!D283</f>
        <v>0</v>
      </c>
      <c r="E282" s="47" t="n">
        <f aca="false">'Daily KPI Entry'!E283</f>
        <v>0</v>
      </c>
      <c r="F282" s="47" t="n">
        <f aca="false">'Daily KPI Entry'!F283</f>
        <v>0</v>
      </c>
      <c r="G282" s="47" t="n">
        <f aca="false">'Daily KPI Entry'!G283</f>
        <v>0</v>
      </c>
      <c r="H282" s="47" t="str">
        <f aca="false">'Daily KPI Entry'!H283</f>
        <v/>
      </c>
      <c r="I282" s="47" t="n">
        <f aca="false">'Daily KPI Entry'!I283</f>
        <v>0</v>
      </c>
      <c r="J282" s="47" t="n">
        <f aca="false">'Daily KPI Entry'!J283</f>
        <v>0</v>
      </c>
      <c r="K282" s="47" t="n">
        <f aca="false">'Daily KPI Entry'!K283</f>
        <v>0</v>
      </c>
      <c r="L282" s="47" t="n">
        <f aca="false">'Daily KPI Entry'!L283</f>
        <v>0</v>
      </c>
      <c r="M282" s="47" t="n">
        <f aca="false">'Daily KPI Entry'!M283</f>
        <v>0</v>
      </c>
      <c r="N282" s="49" t="n">
        <f aca="false">'Daily KPI Entry'!N283</f>
        <v>0</v>
      </c>
      <c r="O282" s="49" t="n">
        <f aca="false">'Daily KPI Entry'!O283</f>
        <v>0</v>
      </c>
      <c r="P282" s="49" t="str">
        <f aca="false">IF(OR(N282="",O282=""),"",IFERROR(O282/N282*100,0))</f>
        <v/>
      </c>
      <c r="Q282" s="47" t="n">
        <f aca="false">'Daily KPI Entry'!Q283</f>
        <v>8</v>
      </c>
      <c r="R282" s="47" t="str">
        <f aca="false">IF(J282="","",Q282*J282)</f>
        <v/>
      </c>
      <c r="S282" s="49" t="n">
        <f aca="false">'Daily KPI Entry'!S283</f>
        <v>0</v>
      </c>
      <c r="T282" s="49" t="str">
        <f aca="false">IF(OR(R282="",S282=""),"",IFERROR(S282/R282*100,0))</f>
        <v/>
      </c>
      <c r="U282" s="49" t="str">
        <f aca="false">IF(OR(O282="",L282="",M282="",S282="",M282=0),"",IFERROR(O282/(L282*60*S282/(M282*36))*100,0))</f>
        <v/>
      </c>
      <c r="V282" s="49" t="n">
        <f aca="false">'Daily KPI Entry'!V283</f>
        <v>0</v>
      </c>
      <c r="W282" s="49" t="str">
        <f aca="false">IF(O282="","",IFERROR(V282/O282*100,0))</f>
        <v/>
      </c>
      <c r="X282" s="49" t="n">
        <f aca="false">'Daily KPI Entry'!X283</f>
        <v>0</v>
      </c>
      <c r="Y282" s="49" t="n">
        <f aca="false">'Daily KPI Entry'!Y283</f>
        <v>0</v>
      </c>
      <c r="Z282" s="49" t="n">
        <f aca="false">'Daily KPI Entry'!Z283</f>
        <v>0</v>
      </c>
      <c r="AA282" s="49" t="n">
        <f aca="false">'Daily KPI Entry'!AA283</f>
        <v>0</v>
      </c>
      <c r="AB282" s="49" t="n">
        <f aca="false">'Daily KPI Entry'!AB283</f>
        <v>0</v>
      </c>
      <c r="AC282" s="49" t="n">
        <f aca="false">'Daily KPI Entry'!AC283</f>
        <v>0</v>
      </c>
      <c r="AD282" s="49" t="n">
        <f aca="false">'Daily KPI Entry'!AD283</f>
        <v>0</v>
      </c>
      <c r="AE282" s="49" t="n">
        <f aca="false">'Daily KPI Entry'!AE283</f>
        <v>0</v>
      </c>
      <c r="AF282" s="47" t="str">
        <f aca="false">IF(O282="","",SUM(X282:AE282))</f>
        <v/>
      </c>
      <c r="AG282" s="49" t="str">
        <f aca="false">IF(O282="","",IFERROR(AF282/O282*1000,0))</f>
        <v/>
      </c>
      <c r="AH282" s="49" t="n">
        <f aca="false">'Daily KPI Entry'!AH283</f>
        <v>0</v>
      </c>
      <c r="AI282" s="49" t="n">
        <f aca="false">'Daily KPI Entry'!AI283</f>
        <v>0</v>
      </c>
      <c r="AJ282" s="49" t="n">
        <f aca="false">'Daily KPI Entry'!AJ283</f>
        <v>0</v>
      </c>
      <c r="AK282" s="47" t="n">
        <f aca="false">'Daily KPI Entry'!AK283</f>
        <v>0</v>
      </c>
      <c r="AL282" s="47" t="n">
        <f aca="false">'Daily KPI Entry'!AL283</f>
        <v>0</v>
      </c>
      <c r="AM282" s="47" t="n">
        <f aca="false">'Daily KPI Entry'!AM283</f>
        <v>0</v>
      </c>
      <c r="AN282" s="49" t="str">
        <f aca="false">IF(P282="","",MIN(120,P282))</f>
        <v/>
      </c>
      <c r="AO282" s="49" t="str">
        <f aca="false">IF(U282="","",MIN(120,U282))</f>
        <v/>
      </c>
      <c r="AP282" s="49" t="str">
        <f aca="false">IF(R282="","",MIN(120,IFERROR(S282/R282*100,0)))</f>
        <v/>
      </c>
      <c r="AQ282" s="49" t="str">
        <f aca="false">IF(W282="","",MIN(120,IF(W282=0,120,100*(INDEX('Standards &amp; Scoring'!$E$5:$E$13,MATCH("Quality / Rejection",'Standards &amp; Scoring'!$A$5:$A$13,0))/W282))))</f>
        <v/>
      </c>
      <c r="AR282" s="49" t="str">
        <f aca="false">IF(AG282="","",MIN(120,IF(AG282=0,120,100*(INDEX('Standards &amp; Scoring'!$E$5:$E$13,MATCH("Fault Control",'Standards &amp; Scoring'!$A$5:$A$13,0))/AG282))))</f>
        <v/>
      </c>
      <c r="AS282" s="49" t="str">
        <f aca="false">IF(O282="","",MIN(120,IF(SUMIFS('Fault &amp; Downtime Entry'!$L$6:$L$1005,'Fault &amp; Downtime Entry'!$E$6:$E$1005,G282,'Fault &amp; Downtime Entry'!$B$6:$B$1005,B282)=0,120,100*(INDEX('Standards &amp; Scoring'!$E$5:$E$13,MATCH("Downtime Control",'Standards &amp; Scoring'!$A$5:$A$13,0))/IFERROR(SUMIFS('Fault &amp; Downtime Entry'!$L$6:$L$1005,'Fault &amp; Downtime Entry'!$E$6:$E$1005,G282,'Fault &amp; Downtime Entry'!$B$6:$B$1005,B282)/O282*1000,999999)))))</f>
        <v/>
      </c>
      <c r="AT282" s="49" t="n">
        <f aca="false">IF(COUNTA(AH282,AJ282)=0,"",MIN(120,IF(AND(AH282&lt;&gt;"",AJ282&lt;&gt;""),AVERAGE(AH282,AJ282),IF(AH282&lt;&gt;"",AH282,AJ282))))</f>
        <v>0</v>
      </c>
      <c r="AU282" s="49" t="str">
        <f aca="false">IF(AI282="","",MIN(120,AI282))</f>
        <v/>
      </c>
      <c r="AV282" s="49" t="str">
        <f aca="false">IF(AJ282="","",MIN(120,AJ282))</f>
        <v/>
      </c>
      <c r="AW282" s="50" t="str">
        <f aca="false">IF(COUNT(AN282:AV282)&lt;9,"",(AN282*'Standards &amp; Scoring'!$D$5+AO282*'Standards &amp; Scoring'!$D$6+AP282*'Standards &amp; Scoring'!$D$7+AQ282*'Standards &amp; Scoring'!$D$8+AR282*'Standards &amp; Scoring'!$D$9+AS282*'Standards &amp; Scoring'!$D$10+AT282*'Standards &amp; Scoring'!$D$11+AU282*'Standards &amp; Scoring'!$D$12+AV282*'Standards &amp; Scoring'!$D$13)/10000)</f>
        <v/>
      </c>
      <c r="AX282" s="47" t="str">
        <f aca="false">IF(AW282="","",IF(AW282&gt;=1.05,"A+",IF(AW282&gt;=1,"A",IF(AW282&gt;=0.95,"B+",IF(AW282&gt;=0.9,"B","C")))))</f>
        <v/>
      </c>
      <c r="AY282" s="47" t="str">
        <f aca="false">IF(AX282="","",IF(AX282="A+",1800,IF(AX282="A",1600,IF(AX282="B+",1400,IF(AX282="B",1200,0)))))</f>
        <v/>
      </c>
      <c r="AZ282" s="49" t="str">
        <f aca="false">IF(OR(L282="",M282="",S282="",M282=0),"",IFERROR(L282*60*S282/(M282*36),0))</f>
        <v/>
      </c>
    </row>
    <row r="283" customFormat="false" ht="15" hidden="false" customHeight="true" outlineLevel="0" collapsed="false">
      <c r="A283" s="47" t="n">
        <f aca="false">'Daily KPI Entry'!A284</f>
        <v>0</v>
      </c>
      <c r="B283" s="48" t="n">
        <f aca="false">'Daily KPI Entry'!B284</f>
        <v>0</v>
      </c>
      <c r="C283" s="47" t="n">
        <f aca="false">'Daily KPI Entry'!C284</f>
        <v>0</v>
      </c>
      <c r="D283" s="47" t="n">
        <f aca="false">'Daily KPI Entry'!D284</f>
        <v>0</v>
      </c>
      <c r="E283" s="47" t="n">
        <f aca="false">'Daily KPI Entry'!E284</f>
        <v>0</v>
      </c>
      <c r="F283" s="47" t="n">
        <f aca="false">'Daily KPI Entry'!F284</f>
        <v>0</v>
      </c>
      <c r="G283" s="47" t="n">
        <f aca="false">'Daily KPI Entry'!G284</f>
        <v>0</v>
      </c>
      <c r="H283" s="47" t="str">
        <f aca="false">'Daily KPI Entry'!H284</f>
        <v/>
      </c>
      <c r="I283" s="47" t="n">
        <f aca="false">'Daily KPI Entry'!I284</f>
        <v>0</v>
      </c>
      <c r="J283" s="47" t="n">
        <f aca="false">'Daily KPI Entry'!J284</f>
        <v>0</v>
      </c>
      <c r="K283" s="47" t="n">
        <f aca="false">'Daily KPI Entry'!K284</f>
        <v>0</v>
      </c>
      <c r="L283" s="47" t="n">
        <f aca="false">'Daily KPI Entry'!L284</f>
        <v>0</v>
      </c>
      <c r="M283" s="47" t="n">
        <f aca="false">'Daily KPI Entry'!M284</f>
        <v>0</v>
      </c>
      <c r="N283" s="49" t="n">
        <f aca="false">'Daily KPI Entry'!N284</f>
        <v>0</v>
      </c>
      <c r="O283" s="49" t="n">
        <f aca="false">'Daily KPI Entry'!O284</f>
        <v>0</v>
      </c>
      <c r="P283" s="49" t="str">
        <f aca="false">IF(OR(N283="",O283=""),"",IFERROR(O283/N283*100,0))</f>
        <v/>
      </c>
      <c r="Q283" s="47" t="n">
        <f aca="false">'Daily KPI Entry'!Q284</f>
        <v>8</v>
      </c>
      <c r="R283" s="47" t="str">
        <f aca="false">IF(J283="","",Q283*J283)</f>
        <v/>
      </c>
      <c r="S283" s="49" t="n">
        <f aca="false">'Daily KPI Entry'!S284</f>
        <v>0</v>
      </c>
      <c r="T283" s="49" t="str">
        <f aca="false">IF(OR(R283="",S283=""),"",IFERROR(S283/R283*100,0))</f>
        <v/>
      </c>
      <c r="U283" s="49" t="str">
        <f aca="false">IF(OR(O283="",L283="",M283="",S283="",M283=0),"",IFERROR(O283/(L283*60*S283/(M283*36))*100,0))</f>
        <v/>
      </c>
      <c r="V283" s="49" t="n">
        <f aca="false">'Daily KPI Entry'!V284</f>
        <v>0</v>
      </c>
      <c r="W283" s="49" t="str">
        <f aca="false">IF(O283="","",IFERROR(V283/O283*100,0))</f>
        <v/>
      </c>
      <c r="X283" s="49" t="n">
        <f aca="false">'Daily KPI Entry'!X284</f>
        <v>0</v>
      </c>
      <c r="Y283" s="49" t="n">
        <f aca="false">'Daily KPI Entry'!Y284</f>
        <v>0</v>
      </c>
      <c r="Z283" s="49" t="n">
        <f aca="false">'Daily KPI Entry'!Z284</f>
        <v>0</v>
      </c>
      <c r="AA283" s="49" t="n">
        <f aca="false">'Daily KPI Entry'!AA284</f>
        <v>0</v>
      </c>
      <c r="AB283" s="49" t="n">
        <f aca="false">'Daily KPI Entry'!AB284</f>
        <v>0</v>
      </c>
      <c r="AC283" s="49" t="n">
        <f aca="false">'Daily KPI Entry'!AC284</f>
        <v>0</v>
      </c>
      <c r="AD283" s="49" t="n">
        <f aca="false">'Daily KPI Entry'!AD284</f>
        <v>0</v>
      </c>
      <c r="AE283" s="49" t="n">
        <f aca="false">'Daily KPI Entry'!AE284</f>
        <v>0</v>
      </c>
      <c r="AF283" s="47" t="str">
        <f aca="false">IF(O283="","",SUM(X283:AE283))</f>
        <v/>
      </c>
      <c r="AG283" s="49" t="str">
        <f aca="false">IF(O283="","",IFERROR(AF283/O283*1000,0))</f>
        <v/>
      </c>
      <c r="AH283" s="49" t="n">
        <f aca="false">'Daily KPI Entry'!AH284</f>
        <v>0</v>
      </c>
      <c r="AI283" s="49" t="n">
        <f aca="false">'Daily KPI Entry'!AI284</f>
        <v>0</v>
      </c>
      <c r="AJ283" s="49" t="n">
        <f aca="false">'Daily KPI Entry'!AJ284</f>
        <v>0</v>
      </c>
      <c r="AK283" s="47" t="n">
        <f aca="false">'Daily KPI Entry'!AK284</f>
        <v>0</v>
      </c>
      <c r="AL283" s="47" t="n">
        <f aca="false">'Daily KPI Entry'!AL284</f>
        <v>0</v>
      </c>
      <c r="AM283" s="47" t="n">
        <f aca="false">'Daily KPI Entry'!AM284</f>
        <v>0</v>
      </c>
      <c r="AN283" s="49" t="str">
        <f aca="false">IF(P283="","",MIN(120,P283))</f>
        <v/>
      </c>
      <c r="AO283" s="49" t="str">
        <f aca="false">IF(U283="","",MIN(120,U283))</f>
        <v/>
      </c>
      <c r="AP283" s="49" t="str">
        <f aca="false">IF(R283="","",MIN(120,IFERROR(S283/R283*100,0)))</f>
        <v/>
      </c>
      <c r="AQ283" s="49" t="str">
        <f aca="false">IF(W283="","",MIN(120,IF(W283=0,120,100*(INDEX('Standards &amp; Scoring'!$E$5:$E$13,MATCH("Quality / Rejection",'Standards &amp; Scoring'!$A$5:$A$13,0))/W283))))</f>
        <v/>
      </c>
      <c r="AR283" s="49" t="str">
        <f aca="false">IF(AG283="","",MIN(120,IF(AG283=0,120,100*(INDEX('Standards &amp; Scoring'!$E$5:$E$13,MATCH("Fault Control",'Standards &amp; Scoring'!$A$5:$A$13,0))/AG283))))</f>
        <v/>
      </c>
      <c r="AS283" s="49" t="str">
        <f aca="false">IF(O283="","",MIN(120,IF(SUMIFS('Fault &amp; Downtime Entry'!$L$6:$L$1005,'Fault &amp; Downtime Entry'!$E$6:$E$1005,G283,'Fault &amp; Downtime Entry'!$B$6:$B$1005,B283)=0,120,100*(INDEX('Standards &amp; Scoring'!$E$5:$E$13,MATCH("Downtime Control",'Standards &amp; Scoring'!$A$5:$A$13,0))/IFERROR(SUMIFS('Fault &amp; Downtime Entry'!$L$6:$L$1005,'Fault &amp; Downtime Entry'!$E$6:$E$1005,G283,'Fault &amp; Downtime Entry'!$B$6:$B$1005,B283)/O283*1000,999999)))))</f>
        <v/>
      </c>
      <c r="AT283" s="49" t="n">
        <f aca="false">IF(COUNTA(AH283,AJ283)=0,"",MIN(120,IF(AND(AH283&lt;&gt;"",AJ283&lt;&gt;""),AVERAGE(AH283,AJ283),IF(AH283&lt;&gt;"",AH283,AJ283))))</f>
        <v>0</v>
      </c>
      <c r="AU283" s="49" t="str">
        <f aca="false">IF(AI283="","",MIN(120,AI283))</f>
        <v/>
      </c>
      <c r="AV283" s="49" t="str">
        <f aca="false">IF(AJ283="","",MIN(120,AJ283))</f>
        <v/>
      </c>
      <c r="AW283" s="50" t="str">
        <f aca="false">IF(COUNT(AN283:AV283)&lt;9,"",(AN283*'Standards &amp; Scoring'!$D$5+AO283*'Standards &amp; Scoring'!$D$6+AP283*'Standards &amp; Scoring'!$D$7+AQ283*'Standards &amp; Scoring'!$D$8+AR283*'Standards &amp; Scoring'!$D$9+AS283*'Standards &amp; Scoring'!$D$10+AT283*'Standards &amp; Scoring'!$D$11+AU283*'Standards &amp; Scoring'!$D$12+AV283*'Standards &amp; Scoring'!$D$13)/10000)</f>
        <v/>
      </c>
      <c r="AX283" s="47" t="str">
        <f aca="false">IF(AW283="","",IF(AW283&gt;=1.05,"A+",IF(AW283&gt;=1,"A",IF(AW283&gt;=0.95,"B+",IF(AW283&gt;=0.9,"B","C")))))</f>
        <v/>
      </c>
      <c r="AY283" s="47" t="str">
        <f aca="false">IF(AX283="","",IF(AX283="A+",1800,IF(AX283="A",1600,IF(AX283="B+",1400,IF(AX283="B",1200,0)))))</f>
        <v/>
      </c>
      <c r="AZ283" s="49" t="str">
        <f aca="false">IF(OR(L283="",M283="",S283="",M283=0),"",IFERROR(L283*60*S283/(M283*36),0))</f>
        <v/>
      </c>
    </row>
    <row r="284" customFormat="false" ht="15" hidden="false" customHeight="true" outlineLevel="0" collapsed="false">
      <c r="A284" s="47" t="n">
        <f aca="false">'Daily KPI Entry'!A285</f>
        <v>0</v>
      </c>
      <c r="B284" s="48" t="n">
        <f aca="false">'Daily KPI Entry'!B285</f>
        <v>0</v>
      </c>
      <c r="C284" s="47" t="n">
        <f aca="false">'Daily KPI Entry'!C285</f>
        <v>0</v>
      </c>
      <c r="D284" s="47" t="n">
        <f aca="false">'Daily KPI Entry'!D285</f>
        <v>0</v>
      </c>
      <c r="E284" s="47" t="n">
        <f aca="false">'Daily KPI Entry'!E285</f>
        <v>0</v>
      </c>
      <c r="F284" s="47" t="n">
        <f aca="false">'Daily KPI Entry'!F285</f>
        <v>0</v>
      </c>
      <c r="G284" s="47" t="n">
        <f aca="false">'Daily KPI Entry'!G285</f>
        <v>0</v>
      </c>
      <c r="H284" s="47" t="str">
        <f aca="false">'Daily KPI Entry'!H285</f>
        <v/>
      </c>
      <c r="I284" s="47" t="n">
        <f aca="false">'Daily KPI Entry'!I285</f>
        <v>0</v>
      </c>
      <c r="J284" s="47" t="n">
        <f aca="false">'Daily KPI Entry'!J285</f>
        <v>0</v>
      </c>
      <c r="K284" s="47" t="n">
        <f aca="false">'Daily KPI Entry'!K285</f>
        <v>0</v>
      </c>
      <c r="L284" s="47" t="n">
        <f aca="false">'Daily KPI Entry'!L285</f>
        <v>0</v>
      </c>
      <c r="M284" s="47" t="n">
        <f aca="false">'Daily KPI Entry'!M285</f>
        <v>0</v>
      </c>
      <c r="N284" s="49" t="n">
        <f aca="false">'Daily KPI Entry'!N285</f>
        <v>0</v>
      </c>
      <c r="O284" s="49" t="n">
        <f aca="false">'Daily KPI Entry'!O285</f>
        <v>0</v>
      </c>
      <c r="P284" s="49" t="str">
        <f aca="false">IF(OR(N284="",O284=""),"",IFERROR(O284/N284*100,0))</f>
        <v/>
      </c>
      <c r="Q284" s="47" t="n">
        <f aca="false">'Daily KPI Entry'!Q285</f>
        <v>8</v>
      </c>
      <c r="R284" s="47" t="str">
        <f aca="false">IF(J284="","",Q284*J284)</f>
        <v/>
      </c>
      <c r="S284" s="49" t="n">
        <f aca="false">'Daily KPI Entry'!S285</f>
        <v>0</v>
      </c>
      <c r="T284" s="49" t="str">
        <f aca="false">IF(OR(R284="",S284=""),"",IFERROR(S284/R284*100,0))</f>
        <v/>
      </c>
      <c r="U284" s="49" t="str">
        <f aca="false">IF(OR(O284="",L284="",M284="",S284="",M284=0),"",IFERROR(O284/(L284*60*S284/(M284*36))*100,0))</f>
        <v/>
      </c>
      <c r="V284" s="49" t="n">
        <f aca="false">'Daily KPI Entry'!V285</f>
        <v>0</v>
      </c>
      <c r="W284" s="49" t="str">
        <f aca="false">IF(O284="","",IFERROR(V284/O284*100,0))</f>
        <v/>
      </c>
      <c r="X284" s="49" t="n">
        <f aca="false">'Daily KPI Entry'!X285</f>
        <v>0</v>
      </c>
      <c r="Y284" s="49" t="n">
        <f aca="false">'Daily KPI Entry'!Y285</f>
        <v>0</v>
      </c>
      <c r="Z284" s="49" t="n">
        <f aca="false">'Daily KPI Entry'!Z285</f>
        <v>0</v>
      </c>
      <c r="AA284" s="49" t="n">
        <f aca="false">'Daily KPI Entry'!AA285</f>
        <v>0</v>
      </c>
      <c r="AB284" s="49" t="n">
        <f aca="false">'Daily KPI Entry'!AB285</f>
        <v>0</v>
      </c>
      <c r="AC284" s="49" t="n">
        <f aca="false">'Daily KPI Entry'!AC285</f>
        <v>0</v>
      </c>
      <c r="AD284" s="49" t="n">
        <f aca="false">'Daily KPI Entry'!AD285</f>
        <v>0</v>
      </c>
      <c r="AE284" s="49" t="n">
        <f aca="false">'Daily KPI Entry'!AE285</f>
        <v>0</v>
      </c>
      <c r="AF284" s="47" t="str">
        <f aca="false">IF(O284="","",SUM(X284:AE284))</f>
        <v/>
      </c>
      <c r="AG284" s="49" t="str">
        <f aca="false">IF(O284="","",IFERROR(AF284/O284*1000,0))</f>
        <v/>
      </c>
      <c r="AH284" s="49" t="n">
        <f aca="false">'Daily KPI Entry'!AH285</f>
        <v>0</v>
      </c>
      <c r="AI284" s="49" t="n">
        <f aca="false">'Daily KPI Entry'!AI285</f>
        <v>0</v>
      </c>
      <c r="AJ284" s="49" t="n">
        <f aca="false">'Daily KPI Entry'!AJ285</f>
        <v>0</v>
      </c>
      <c r="AK284" s="47" t="n">
        <f aca="false">'Daily KPI Entry'!AK285</f>
        <v>0</v>
      </c>
      <c r="AL284" s="47" t="n">
        <f aca="false">'Daily KPI Entry'!AL285</f>
        <v>0</v>
      </c>
      <c r="AM284" s="47" t="n">
        <f aca="false">'Daily KPI Entry'!AM285</f>
        <v>0</v>
      </c>
      <c r="AN284" s="49" t="str">
        <f aca="false">IF(P284="","",MIN(120,P284))</f>
        <v/>
      </c>
      <c r="AO284" s="49" t="str">
        <f aca="false">IF(U284="","",MIN(120,U284))</f>
        <v/>
      </c>
      <c r="AP284" s="49" t="str">
        <f aca="false">IF(R284="","",MIN(120,IFERROR(S284/R284*100,0)))</f>
        <v/>
      </c>
      <c r="AQ284" s="49" t="str">
        <f aca="false">IF(W284="","",MIN(120,IF(W284=0,120,100*(INDEX('Standards &amp; Scoring'!$E$5:$E$13,MATCH("Quality / Rejection",'Standards &amp; Scoring'!$A$5:$A$13,0))/W284))))</f>
        <v/>
      </c>
      <c r="AR284" s="49" t="str">
        <f aca="false">IF(AG284="","",MIN(120,IF(AG284=0,120,100*(INDEX('Standards &amp; Scoring'!$E$5:$E$13,MATCH("Fault Control",'Standards &amp; Scoring'!$A$5:$A$13,0))/AG284))))</f>
        <v/>
      </c>
      <c r="AS284" s="49" t="str">
        <f aca="false">IF(O284="","",MIN(120,IF(SUMIFS('Fault &amp; Downtime Entry'!$L$6:$L$1005,'Fault &amp; Downtime Entry'!$E$6:$E$1005,G284,'Fault &amp; Downtime Entry'!$B$6:$B$1005,B284)=0,120,100*(INDEX('Standards &amp; Scoring'!$E$5:$E$13,MATCH("Downtime Control",'Standards &amp; Scoring'!$A$5:$A$13,0))/IFERROR(SUMIFS('Fault &amp; Downtime Entry'!$L$6:$L$1005,'Fault &amp; Downtime Entry'!$E$6:$E$1005,G284,'Fault &amp; Downtime Entry'!$B$6:$B$1005,B284)/O284*1000,999999)))))</f>
        <v/>
      </c>
      <c r="AT284" s="49" t="n">
        <f aca="false">IF(COUNTA(AH284,AJ284)=0,"",MIN(120,IF(AND(AH284&lt;&gt;"",AJ284&lt;&gt;""),AVERAGE(AH284,AJ284),IF(AH284&lt;&gt;"",AH284,AJ284))))</f>
        <v>0</v>
      </c>
      <c r="AU284" s="49" t="str">
        <f aca="false">IF(AI284="","",MIN(120,AI284))</f>
        <v/>
      </c>
      <c r="AV284" s="49" t="str">
        <f aca="false">IF(AJ284="","",MIN(120,AJ284))</f>
        <v/>
      </c>
      <c r="AW284" s="50" t="str">
        <f aca="false">IF(COUNT(AN284:AV284)&lt;9,"",(AN284*'Standards &amp; Scoring'!$D$5+AO284*'Standards &amp; Scoring'!$D$6+AP284*'Standards &amp; Scoring'!$D$7+AQ284*'Standards &amp; Scoring'!$D$8+AR284*'Standards &amp; Scoring'!$D$9+AS284*'Standards &amp; Scoring'!$D$10+AT284*'Standards &amp; Scoring'!$D$11+AU284*'Standards &amp; Scoring'!$D$12+AV284*'Standards &amp; Scoring'!$D$13)/10000)</f>
        <v/>
      </c>
      <c r="AX284" s="47" t="str">
        <f aca="false">IF(AW284="","",IF(AW284&gt;=1.05,"A+",IF(AW284&gt;=1,"A",IF(AW284&gt;=0.95,"B+",IF(AW284&gt;=0.9,"B","C")))))</f>
        <v/>
      </c>
      <c r="AY284" s="47" t="str">
        <f aca="false">IF(AX284="","",IF(AX284="A+",1800,IF(AX284="A",1600,IF(AX284="B+",1400,IF(AX284="B",1200,0)))))</f>
        <v/>
      </c>
      <c r="AZ284" s="49" t="str">
        <f aca="false">IF(OR(L284="",M284="",S284="",M284=0),"",IFERROR(L284*60*S284/(M284*36),0))</f>
        <v/>
      </c>
    </row>
    <row r="285" customFormat="false" ht="15" hidden="false" customHeight="true" outlineLevel="0" collapsed="false">
      <c r="A285" s="47" t="n">
        <f aca="false">'Daily KPI Entry'!A286</f>
        <v>0</v>
      </c>
      <c r="B285" s="48" t="n">
        <f aca="false">'Daily KPI Entry'!B286</f>
        <v>0</v>
      </c>
      <c r="C285" s="47" t="n">
        <f aca="false">'Daily KPI Entry'!C286</f>
        <v>0</v>
      </c>
      <c r="D285" s="47" t="n">
        <f aca="false">'Daily KPI Entry'!D286</f>
        <v>0</v>
      </c>
      <c r="E285" s="47" t="n">
        <f aca="false">'Daily KPI Entry'!E286</f>
        <v>0</v>
      </c>
      <c r="F285" s="47" t="n">
        <f aca="false">'Daily KPI Entry'!F286</f>
        <v>0</v>
      </c>
      <c r="G285" s="47" t="n">
        <f aca="false">'Daily KPI Entry'!G286</f>
        <v>0</v>
      </c>
      <c r="H285" s="47" t="str">
        <f aca="false">'Daily KPI Entry'!H286</f>
        <v/>
      </c>
      <c r="I285" s="47" t="n">
        <f aca="false">'Daily KPI Entry'!I286</f>
        <v>0</v>
      </c>
      <c r="J285" s="47" t="n">
        <f aca="false">'Daily KPI Entry'!J286</f>
        <v>0</v>
      </c>
      <c r="K285" s="47" t="n">
        <f aca="false">'Daily KPI Entry'!K286</f>
        <v>0</v>
      </c>
      <c r="L285" s="47" t="n">
        <f aca="false">'Daily KPI Entry'!L286</f>
        <v>0</v>
      </c>
      <c r="M285" s="47" t="n">
        <f aca="false">'Daily KPI Entry'!M286</f>
        <v>0</v>
      </c>
      <c r="N285" s="49" t="n">
        <f aca="false">'Daily KPI Entry'!N286</f>
        <v>0</v>
      </c>
      <c r="O285" s="49" t="n">
        <f aca="false">'Daily KPI Entry'!O286</f>
        <v>0</v>
      </c>
      <c r="P285" s="49" t="str">
        <f aca="false">IF(OR(N285="",O285=""),"",IFERROR(O285/N285*100,0))</f>
        <v/>
      </c>
      <c r="Q285" s="47" t="n">
        <f aca="false">'Daily KPI Entry'!Q286</f>
        <v>8</v>
      </c>
      <c r="R285" s="47" t="str">
        <f aca="false">IF(J285="","",Q285*J285)</f>
        <v/>
      </c>
      <c r="S285" s="49" t="n">
        <f aca="false">'Daily KPI Entry'!S286</f>
        <v>0</v>
      </c>
      <c r="T285" s="49" t="str">
        <f aca="false">IF(OR(R285="",S285=""),"",IFERROR(S285/R285*100,0))</f>
        <v/>
      </c>
      <c r="U285" s="49" t="str">
        <f aca="false">IF(OR(O285="",L285="",M285="",S285="",M285=0),"",IFERROR(O285/(L285*60*S285/(M285*36))*100,0))</f>
        <v/>
      </c>
      <c r="V285" s="49" t="n">
        <f aca="false">'Daily KPI Entry'!V286</f>
        <v>0</v>
      </c>
      <c r="W285" s="49" t="str">
        <f aca="false">IF(O285="","",IFERROR(V285/O285*100,0))</f>
        <v/>
      </c>
      <c r="X285" s="49" t="n">
        <f aca="false">'Daily KPI Entry'!X286</f>
        <v>0</v>
      </c>
      <c r="Y285" s="49" t="n">
        <f aca="false">'Daily KPI Entry'!Y286</f>
        <v>0</v>
      </c>
      <c r="Z285" s="49" t="n">
        <f aca="false">'Daily KPI Entry'!Z286</f>
        <v>0</v>
      </c>
      <c r="AA285" s="49" t="n">
        <f aca="false">'Daily KPI Entry'!AA286</f>
        <v>0</v>
      </c>
      <c r="AB285" s="49" t="n">
        <f aca="false">'Daily KPI Entry'!AB286</f>
        <v>0</v>
      </c>
      <c r="AC285" s="49" t="n">
        <f aca="false">'Daily KPI Entry'!AC286</f>
        <v>0</v>
      </c>
      <c r="AD285" s="49" t="n">
        <f aca="false">'Daily KPI Entry'!AD286</f>
        <v>0</v>
      </c>
      <c r="AE285" s="49" t="n">
        <f aca="false">'Daily KPI Entry'!AE286</f>
        <v>0</v>
      </c>
      <c r="AF285" s="47" t="str">
        <f aca="false">IF(O285="","",SUM(X285:AE285))</f>
        <v/>
      </c>
      <c r="AG285" s="49" t="str">
        <f aca="false">IF(O285="","",IFERROR(AF285/O285*1000,0))</f>
        <v/>
      </c>
      <c r="AH285" s="49" t="n">
        <f aca="false">'Daily KPI Entry'!AH286</f>
        <v>0</v>
      </c>
      <c r="AI285" s="49" t="n">
        <f aca="false">'Daily KPI Entry'!AI286</f>
        <v>0</v>
      </c>
      <c r="AJ285" s="49" t="n">
        <f aca="false">'Daily KPI Entry'!AJ286</f>
        <v>0</v>
      </c>
      <c r="AK285" s="47" t="n">
        <f aca="false">'Daily KPI Entry'!AK286</f>
        <v>0</v>
      </c>
      <c r="AL285" s="47" t="n">
        <f aca="false">'Daily KPI Entry'!AL286</f>
        <v>0</v>
      </c>
      <c r="AM285" s="47" t="n">
        <f aca="false">'Daily KPI Entry'!AM286</f>
        <v>0</v>
      </c>
      <c r="AN285" s="49" t="str">
        <f aca="false">IF(P285="","",MIN(120,P285))</f>
        <v/>
      </c>
      <c r="AO285" s="49" t="str">
        <f aca="false">IF(U285="","",MIN(120,U285))</f>
        <v/>
      </c>
      <c r="AP285" s="49" t="str">
        <f aca="false">IF(R285="","",MIN(120,IFERROR(S285/R285*100,0)))</f>
        <v/>
      </c>
      <c r="AQ285" s="49" t="str">
        <f aca="false">IF(W285="","",MIN(120,IF(W285=0,120,100*(INDEX('Standards &amp; Scoring'!$E$5:$E$13,MATCH("Quality / Rejection",'Standards &amp; Scoring'!$A$5:$A$13,0))/W285))))</f>
        <v/>
      </c>
      <c r="AR285" s="49" t="str">
        <f aca="false">IF(AG285="","",MIN(120,IF(AG285=0,120,100*(INDEX('Standards &amp; Scoring'!$E$5:$E$13,MATCH("Fault Control",'Standards &amp; Scoring'!$A$5:$A$13,0))/AG285))))</f>
        <v/>
      </c>
      <c r="AS285" s="49" t="str">
        <f aca="false">IF(O285="","",MIN(120,IF(SUMIFS('Fault &amp; Downtime Entry'!$L$6:$L$1005,'Fault &amp; Downtime Entry'!$E$6:$E$1005,G285,'Fault &amp; Downtime Entry'!$B$6:$B$1005,B285)=0,120,100*(INDEX('Standards &amp; Scoring'!$E$5:$E$13,MATCH("Downtime Control",'Standards &amp; Scoring'!$A$5:$A$13,0))/IFERROR(SUMIFS('Fault &amp; Downtime Entry'!$L$6:$L$1005,'Fault &amp; Downtime Entry'!$E$6:$E$1005,G285,'Fault &amp; Downtime Entry'!$B$6:$B$1005,B285)/O285*1000,999999)))))</f>
        <v/>
      </c>
      <c r="AT285" s="49" t="n">
        <f aca="false">IF(COUNTA(AH285,AJ285)=0,"",MIN(120,IF(AND(AH285&lt;&gt;"",AJ285&lt;&gt;""),AVERAGE(AH285,AJ285),IF(AH285&lt;&gt;"",AH285,AJ285))))</f>
        <v>0</v>
      </c>
      <c r="AU285" s="49" t="str">
        <f aca="false">IF(AI285="","",MIN(120,AI285))</f>
        <v/>
      </c>
      <c r="AV285" s="49" t="str">
        <f aca="false">IF(AJ285="","",MIN(120,AJ285))</f>
        <v/>
      </c>
      <c r="AW285" s="50" t="str">
        <f aca="false">IF(COUNT(AN285:AV285)&lt;9,"",(AN285*'Standards &amp; Scoring'!$D$5+AO285*'Standards &amp; Scoring'!$D$6+AP285*'Standards &amp; Scoring'!$D$7+AQ285*'Standards &amp; Scoring'!$D$8+AR285*'Standards &amp; Scoring'!$D$9+AS285*'Standards &amp; Scoring'!$D$10+AT285*'Standards &amp; Scoring'!$D$11+AU285*'Standards &amp; Scoring'!$D$12+AV285*'Standards &amp; Scoring'!$D$13)/10000)</f>
        <v/>
      </c>
      <c r="AX285" s="47" t="str">
        <f aca="false">IF(AW285="","",IF(AW285&gt;=1.05,"A+",IF(AW285&gt;=1,"A",IF(AW285&gt;=0.95,"B+",IF(AW285&gt;=0.9,"B","C")))))</f>
        <v/>
      </c>
      <c r="AY285" s="47" t="str">
        <f aca="false">IF(AX285="","",IF(AX285="A+",1800,IF(AX285="A",1600,IF(AX285="B+",1400,IF(AX285="B",1200,0)))))</f>
        <v/>
      </c>
      <c r="AZ285" s="49" t="str">
        <f aca="false">IF(OR(L285="",M285="",S285="",M285=0),"",IFERROR(L285*60*S285/(M285*36),0))</f>
        <v/>
      </c>
    </row>
    <row r="286" customFormat="false" ht="15" hidden="false" customHeight="true" outlineLevel="0" collapsed="false">
      <c r="A286" s="47" t="n">
        <f aca="false">'Daily KPI Entry'!A287</f>
        <v>0</v>
      </c>
      <c r="B286" s="48" t="n">
        <f aca="false">'Daily KPI Entry'!B287</f>
        <v>0</v>
      </c>
      <c r="C286" s="47" t="n">
        <f aca="false">'Daily KPI Entry'!C287</f>
        <v>0</v>
      </c>
      <c r="D286" s="47" t="n">
        <f aca="false">'Daily KPI Entry'!D287</f>
        <v>0</v>
      </c>
      <c r="E286" s="47" t="n">
        <f aca="false">'Daily KPI Entry'!E287</f>
        <v>0</v>
      </c>
      <c r="F286" s="47" t="n">
        <f aca="false">'Daily KPI Entry'!F287</f>
        <v>0</v>
      </c>
      <c r="G286" s="47" t="n">
        <f aca="false">'Daily KPI Entry'!G287</f>
        <v>0</v>
      </c>
      <c r="H286" s="47" t="str">
        <f aca="false">'Daily KPI Entry'!H287</f>
        <v/>
      </c>
      <c r="I286" s="47" t="n">
        <f aca="false">'Daily KPI Entry'!I287</f>
        <v>0</v>
      </c>
      <c r="J286" s="47" t="n">
        <f aca="false">'Daily KPI Entry'!J287</f>
        <v>0</v>
      </c>
      <c r="K286" s="47" t="n">
        <f aca="false">'Daily KPI Entry'!K287</f>
        <v>0</v>
      </c>
      <c r="L286" s="47" t="n">
        <f aca="false">'Daily KPI Entry'!L287</f>
        <v>0</v>
      </c>
      <c r="M286" s="47" t="n">
        <f aca="false">'Daily KPI Entry'!M287</f>
        <v>0</v>
      </c>
      <c r="N286" s="49" t="n">
        <f aca="false">'Daily KPI Entry'!N287</f>
        <v>0</v>
      </c>
      <c r="O286" s="49" t="n">
        <f aca="false">'Daily KPI Entry'!O287</f>
        <v>0</v>
      </c>
      <c r="P286" s="49" t="str">
        <f aca="false">IF(OR(N286="",O286=""),"",IFERROR(O286/N286*100,0))</f>
        <v/>
      </c>
      <c r="Q286" s="47" t="n">
        <f aca="false">'Daily KPI Entry'!Q287</f>
        <v>8</v>
      </c>
      <c r="R286" s="47" t="str">
        <f aca="false">IF(J286="","",Q286*J286)</f>
        <v/>
      </c>
      <c r="S286" s="49" t="n">
        <f aca="false">'Daily KPI Entry'!S287</f>
        <v>0</v>
      </c>
      <c r="T286" s="49" t="str">
        <f aca="false">IF(OR(R286="",S286=""),"",IFERROR(S286/R286*100,0))</f>
        <v/>
      </c>
      <c r="U286" s="49" t="str">
        <f aca="false">IF(OR(O286="",L286="",M286="",S286="",M286=0),"",IFERROR(O286/(L286*60*S286/(M286*36))*100,0))</f>
        <v/>
      </c>
      <c r="V286" s="49" t="n">
        <f aca="false">'Daily KPI Entry'!V287</f>
        <v>0</v>
      </c>
      <c r="W286" s="49" t="str">
        <f aca="false">IF(O286="","",IFERROR(V286/O286*100,0))</f>
        <v/>
      </c>
      <c r="X286" s="49" t="n">
        <f aca="false">'Daily KPI Entry'!X287</f>
        <v>0</v>
      </c>
      <c r="Y286" s="49" t="n">
        <f aca="false">'Daily KPI Entry'!Y287</f>
        <v>0</v>
      </c>
      <c r="Z286" s="49" t="n">
        <f aca="false">'Daily KPI Entry'!Z287</f>
        <v>0</v>
      </c>
      <c r="AA286" s="49" t="n">
        <f aca="false">'Daily KPI Entry'!AA287</f>
        <v>0</v>
      </c>
      <c r="AB286" s="49" t="n">
        <f aca="false">'Daily KPI Entry'!AB287</f>
        <v>0</v>
      </c>
      <c r="AC286" s="49" t="n">
        <f aca="false">'Daily KPI Entry'!AC287</f>
        <v>0</v>
      </c>
      <c r="AD286" s="49" t="n">
        <f aca="false">'Daily KPI Entry'!AD287</f>
        <v>0</v>
      </c>
      <c r="AE286" s="49" t="n">
        <f aca="false">'Daily KPI Entry'!AE287</f>
        <v>0</v>
      </c>
      <c r="AF286" s="47" t="str">
        <f aca="false">IF(O286="","",SUM(X286:AE286))</f>
        <v/>
      </c>
      <c r="AG286" s="49" t="str">
        <f aca="false">IF(O286="","",IFERROR(AF286/O286*1000,0))</f>
        <v/>
      </c>
      <c r="AH286" s="49" t="n">
        <f aca="false">'Daily KPI Entry'!AH287</f>
        <v>0</v>
      </c>
      <c r="AI286" s="49" t="n">
        <f aca="false">'Daily KPI Entry'!AI287</f>
        <v>0</v>
      </c>
      <c r="AJ286" s="49" t="n">
        <f aca="false">'Daily KPI Entry'!AJ287</f>
        <v>0</v>
      </c>
      <c r="AK286" s="47" t="n">
        <f aca="false">'Daily KPI Entry'!AK287</f>
        <v>0</v>
      </c>
      <c r="AL286" s="47" t="n">
        <f aca="false">'Daily KPI Entry'!AL287</f>
        <v>0</v>
      </c>
      <c r="AM286" s="47" t="n">
        <f aca="false">'Daily KPI Entry'!AM287</f>
        <v>0</v>
      </c>
      <c r="AN286" s="49" t="str">
        <f aca="false">IF(P286="","",MIN(120,P286))</f>
        <v/>
      </c>
      <c r="AO286" s="49" t="str">
        <f aca="false">IF(U286="","",MIN(120,U286))</f>
        <v/>
      </c>
      <c r="AP286" s="49" t="str">
        <f aca="false">IF(R286="","",MIN(120,IFERROR(S286/R286*100,0)))</f>
        <v/>
      </c>
      <c r="AQ286" s="49" t="str">
        <f aca="false">IF(W286="","",MIN(120,IF(W286=0,120,100*(INDEX('Standards &amp; Scoring'!$E$5:$E$13,MATCH("Quality / Rejection",'Standards &amp; Scoring'!$A$5:$A$13,0))/W286))))</f>
        <v/>
      </c>
      <c r="AR286" s="49" t="str">
        <f aca="false">IF(AG286="","",MIN(120,IF(AG286=0,120,100*(INDEX('Standards &amp; Scoring'!$E$5:$E$13,MATCH("Fault Control",'Standards &amp; Scoring'!$A$5:$A$13,0))/AG286))))</f>
        <v/>
      </c>
      <c r="AS286" s="49" t="str">
        <f aca="false">IF(O286="","",MIN(120,IF(SUMIFS('Fault &amp; Downtime Entry'!$L$6:$L$1005,'Fault &amp; Downtime Entry'!$E$6:$E$1005,G286,'Fault &amp; Downtime Entry'!$B$6:$B$1005,B286)=0,120,100*(INDEX('Standards &amp; Scoring'!$E$5:$E$13,MATCH("Downtime Control",'Standards &amp; Scoring'!$A$5:$A$13,0))/IFERROR(SUMIFS('Fault &amp; Downtime Entry'!$L$6:$L$1005,'Fault &amp; Downtime Entry'!$E$6:$E$1005,G286,'Fault &amp; Downtime Entry'!$B$6:$B$1005,B286)/O286*1000,999999)))))</f>
        <v/>
      </c>
      <c r="AT286" s="49" t="n">
        <f aca="false">IF(COUNTA(AH286,AJ286)=0,"",MIN(120,IF(AND(AH286&lt;&gt;"",AJ286&lt;&gt;""),AVERAGE(AH286,AJ286),IF(AH286&lt;&gt;"",AH286,AJ286))))</f>
        <v>0</v>
      </c>
      <c r="AU286" s="49" t="str">
        <f aca="false">IF(AI286="","",MIN(120,AI286))</f>
        <v/>
      </c>
      <c r="AV286" s="49" t="str">
        <f aca="false">IF(AJ286="","",MIN(120,AJ286))</f>
        <v/>
      </c>
      <c r="AW286" s="50" t="str">
        <f aca="false">IF(COUNT(AN286:AV286)&lt;9,"",(AN286*'Standards &amp; Scoring'!$D$5+AO286*'Standards &amp; Scoring'!$D$6+AP286*'Standards &amp; Scoring'!$D$7+AQ286*'Standards &amp; Scoring'!$D$8+AR286*'Standards &amp; Scoring'!$D$9+AS286*'Standards &amp; Scoring'!$D$10+AT286*'Standards &amp; Scoring'!$D$11+AU286*'Standards &amp; Scoring'!$D$12+AV286*'Standards &amp; Scoring'!$D$13)/10000)</f>
        <v/>
      </c>
      <c r="AX286" s="47" t="str">
        <f aca="false">IF(AW286="","",IF(AW286&gt;=1.05,"A+",IF(AW286&gt;=1,"A",IF(AW286&gt;=0.95,"B+",IF(AW286&gt;=0.9,"B","C")))))</f>
        <v/>
      </c>
      <c r="AY286" s="47" t="str">
        <f aca="false">IF(AX286="","",IF(AX286="A+",1800,IF(AX286="A",1600,IF(AX286="B+",1400,IF(AX286="B",1200,0)))))</f>
        <v/>
      </c>
      <c r="AZ286" s="49" t="str">
        <f aca="false">IF(OR(L286="",M286="",S286="",M286=0),"",IFERROR(L286*60*S286/(M286*36),0))</f>
        <v/>
      </c>
    </row>
    <row r="287" customFormat="false" ht="15" hidden="false" customHeight="true" outlineLevel="0" collapsed="false">
      <c r="A287" s="47" t="n">
        <f aca="false">'Daily KPI Entry'!A288</f>
        <v>0</v>
      </c>
      <c r="B287" s="48" t="n">
        <f aca="false">'Daily KPI Entry'!B288</f>
        <v>0</v>
      </c>
      <c r="C287" s="47" t="n">
        <f aca="false">'Daily KPI Entry'!C288</f>
        <v>0</v>
      </c>
      <c r="D287" s="47" t="n">
        <f aca="false">'Daily KPI Entry'!D288</f>
        <v>0</v>
      </c>
      <c r="E287" s="47" t="n">
        <f aca="false">'Daily KPI Entry'!E288</f>
        <v>0</v>
      </c>
      <c r="F287" s="47" t="n">
        <f aca="false">'Daily KPI Entry'!F288</f>
        <v>0</v>
      </c>
      <c r="G287" s="47" t="n">
        <f aca="false">'Daily KPI Entry'!G288</f>
        <v>0</v>
      </c>
      <c r="H287" s="47" t="str">
        <f aca="false">'Daily KPI Entry'!H288</f>
        <v/>
      </c>
      <c r="I287" s="47" t="n">
        <f aca="false">'Daily KPI Entry'!I288</f>
        <v>0</v>
      </c>
      <c r="J287" s="47" t="n">
        <f aca="false">'Daily KPI Entry'!J288</f>
        <v>0</v>
      </c>
      <c r="K287" s="47" t="n">
        <f aca="false">'Daily KPI Entry'!K288</f>
        <v>0</v>
      </c>
      <c r="L287" s="47" t="n">
        <f aca="false">'Daily KPI Entry'!L288</f>
        <v>0</v>
      </c>
      <c r="M287" s="47" t="n">
        <f aca="false">'Daily KPI Entry'!M288</f>
        <v>0</v>
      </c>
      <c r="N287" s="49" t="n">
        <f aca="false">'Daily KPI Entry'!N288</f>
        <v>0</v>
      </c>
      <c r="O287" s="49" t="n">
        <f aca="false">'Daily KPI Entry'!O288</f>
        <v>0</v>
      </c>
      <c r="P287" s="49" t="str">
        <f aca="false">IF(OR(N287="",O287=""),"",IFERROR(O287/N287*100,0))</f>
        <v/>
      </c>
      <c r="Q287" s="47" t="n">
        <f aca="false">'Daily KPI Entry'!Q288</f>
        <v>8</v>
      </c>
      <c r="R287" s="47" t="str">
        <f aca="false">IF(J287="","",Q287*J287)</f>
        <v/>
      </c>
      <c r="S287" s="49" t="n">
        <f aca="false">'Daily KPI Entry'!S288</f>
        <v>0</v>
      </c>
      <c r="T287" s="49" t="str">
        <f aca="false">IF(OR(R287="",S287=""),"",IFERROR(S287/R287*100,0))</f>
        <v/>
      </c>
      <c r="U287" s="49" t="str">
        <f aca="false">IF(OR(O287="",L287="",M287="",S287="",M287=0),"",IFERROR(O287/(L287*60*S287/(M287*36))*100,0))</f>
        <v/>
      </c>
      <c r="V287" s="49" t="n">
        <f aca="false">'Daily KPI Entry'!V288</f>
        <v>0</v>
      </c>
      <c r="W287" s="49" t="str">
        <f aca="false">IF(O287="","",IFERROR(V287/O287*100,0))</f>
        <v/>
      </c>
      <c r="X287" s="49" t="n">
        <f aca="false">'Daily KPI Entry'!X288</f>
        <v>0</v>
      </c>
      <c r="Y287" s="49" t="n">
        <f aca="false">'Daily KPI Entry'!Y288</f>
        <v>0</v>
      </c>
      <c r="Z287" s="49" t="n">
        <f aca="false">'Daily KPI Entry'!Z288</f>
        <v>0</v>
      </c>
      <c r="AA287" s="49" t="n">
        <f aca="false">'Daily KPI Entry'!AA288</f>
        <v>0</v>
      </c>
      <c r="AB287" s="49" t="n">
        <f aca="false">'Daily KPI Entry'!AB288</f>
        <v>0</v>
      </c>
      <c r="AC287" s="49" t="n">
        <f aca="false">'Daily KPI Entry'!AC288</f>
        <v>0</v>
      </c>
      <c r="AD287" s="49" t="n">
        <f aca="false">'Daily KPI Entry'!AD288</f>
        <v>0</v>
      </c>
      <c r="AE287" s="49" t="n">
        <f aca="false">'Daily KPI Entry'!AE288</f>
        <v>0</v>
      </c>
      <c r="AF287" s="47" t="str">
        <f aca="false">IF(O287="","",SUM(X287:AE287))</f>
        <v/>
      </c>
      <c r="AG287" s="49" t="str">
        <f aca="false">IF(O287="","",IFERROR(AF287/O287*1000,0))</f>
        <v/>
      </c>
      <c r="AH287" s="49" t="n">
        <f aca="false">'Daily KPI Entry'!AH288</f>
        <v>0</v>
      </c>
      <c r="AI287" s="49" t="n">
        <f aca="false">'Daily KPI Entry'!AI288</f>
        <v>0</v>
      </c>
      <c r="AJ287" s="49" t="n">
        <f aca="false">'Daily KPI Entry'!AJ288</f>
        <v>0</v>
      </c>
      <c r="AK287" s="47" t="n">
        <f aca="false">'Daily KPI Entry'!AK288</f>
        <v>0</v>
      </c>
      <c r="AL287" s="47" t="n">
        <f aca="false">'Daily KPI Entry'!AL288</f>
        <v>0</v>
      </c>
      <c r="AM287" s="47" t="n">
        <f aca="false">'Daily KPI Entry'!AM288</f>
        <v>0</v>
      </c>
      <c r="AN287" s="49" t="str">
        <f aca="false">IF(P287="","",MIN(120,P287))</f>
        <v/>
      </c>
      <c r="AO287" s="49" t="str">
        <f aca="false">IF(U287="","",MIN(120,U287))</f>
        <v/>
      </c>
      <c r="AP287" s="49" t="str">
        <f aca="false">IF(R287="","",MIN(120,IFERROR(S287/R287*100,0)))</f>
        <v/>
      </c>
      <c r="AQ287" s="49" t="str">
        <f aca="false">IF(W287="","",MIN(120,IF(W287=0,120,100*(INDEX('Standards &amp; Scoring'!$E$5:$E$13,MATCH("Quality / Rejection",'Standards &amp; Scoring'!$A$5:$A$13,0))/W287))))</f>
        <v/>
      </c>
      <c r="AR287" s="49" t="str">
        <f aca="false">IF(AG287="","",MIN(120,IF(AG287=0,120,100*(INDEX('Standards &amp; Scoring'!$E$5:$E$13,MATCH("Fault Control",'Standards &amp; Scoring'!$A$5:$A$13,0))/AG287))))</f>
        <v/>
      </c>
      <c r="AS287" s="49" t="str">
        <f aca="false">IF(O287="","",MIN(120,IF(SUMIFS('Fault &amp; Downtime Entry'!$L$6:$L$1005,'Fault &amp; Downtime Entry'!$E$6:$E$1005,G287,'Fault &amp; Downtime Entry'!$B$6:$B$1005,B287)=0,120,100*(INDEX('Standards &amp; Scoring'!$E$5:$E$13,MATCH("Downtime Control",'Standards &amp; Scoring'!$A$5:$A$13,0))/IFERROR(SUMIFS('Fault &amp; Downtime Entry'!$L$6:$L$1005,'Fault &amp; Downtime Entry'!$E$6:$E$1005,G287,'Fault &amp; Downtime Entry'!$B$6:$B$1005,B287)/O287*1000,999999)))))</f>
        <v/>
      </c>
      <c r="AT287" s="49" t="n">
        <f aca="false">IF(COUNTA(AH287,AJ287)=0,"",MIN(120,IF(AND(AH287&lt;&gt;"",AJ287&lt;&gt;""),AVERAGE(AH287,AJ287),IF(AH287&lt;&gt;"",AH287,AJ287))))</f>
        <v>0</v>
      </c>
      <c r="AU287" s="49" t="str">
        <f aca="false">IF(AI287="","",MIN(120,AI287))</f>
        <v/>
      </c>
      <c r="AV287" s="49" t="str">
        <f aca="false">IF(AJ287="","",MIN(120,AJ287))</f>
        <v/>
      </c>
      <c r="AW287" s="50" t="str">
        <f aca="false">IF(COUNT(AN287:AV287)&lt;9,"",(AN287*'Standards &amp; Scoring'!$D$5+AO287*'Standards &amp; Scoring'!$D$6+AP287*'Standards &amp; Scoring'!$D$7+AQ287*'Standards &amp; Scoring'!$D$8+AR287*'Standards &amp; Scoring'!$D$9+AS287*'Standards &amp; Scoring'!$D$10+AT287*'Standards &amp; Scoring'!$D$11+AU287*'Standards &amp; Scoring'!$D$12+AV287*'Standards &amp; Scoring'!$D$13)/10000)</f>
        <v/>
      </c>
      <c r="AX287" s="47" t="str">
        <f aca="false">IF(AW287="","",IF(AW287&gt;=1.05,"A+",IF(AW287&gt;=1,"A",IF(AW287&gt;=0.95,"B+",IF(AW287&gt;=0.9,"B","C")))))</f>
        <v/>
      </c>
      <c r="AY287" s="47" t="str">
        <f aca="false">IF(AX287="","",IF(AX287="A+",1800,IF(AX287="A",1600,IF(AX287="B+",1400,IF(AX287="B",1200,0)))))</f>
        <v/>
      </c>
      <c r="AZ287" s="49" t="str">
        <f aca="false">IF(OR(L287="",M287="",S287="",M287=0),"",IFERROR(L287*60*S287/(M287*36),0))</f>
        <v/>
      </c>
    </row>
    <row r="288" customFormat="false" ht="15" hidden="false" customHeight="true" outlineLevel="0" collapsed="false">
      <c r="A288" s="47" t="n">
        <f aca="false">'Daily KPI Entry'!A289</f>
        <v>0</v>
      </c>
      <c r="B288" s="48" t="n">
        <f aca="false">'Daily KPI Entry'!B289</f>
        <v>0</v>
      </c>
      <c r="C288" s="47" t="n">
        <f aca="false">'Daily KPI Entry'!C289</f>
        <v>0</v>
      </c>
      <c r="D288" s="47" t="n">
        <f aca="false">'Daily KPI Entry'!D289</f>
        <v>0</v>
      </c>
      <c r="E288" s="47" t="n">
        <f aca="false">'Daily KPI Entry'!E289</f>
        <v>0</v>
      </c>
      <c r="F288" s="47" t="n">
        <f aca="false">'Daily KPI Entry'!F289</f>
        <v>0</v>
      </c>
      <c r="G288" s="47" t="n">
        <f aca="false">'Daily KPI Entry'!G289</f>
        <v>0</v>
      </c>
      <c r="H288" s="47" t="str">
        <f aca="false">'Daily KPI Entry'!H289</f>
        <v/>
      </c>
      <c r="I288" s="47" t="n">
        <f aca="false">'Daily KPI Entry'!I289</f>
        <v>0</v>
      </c>
      <c r="J288" s="47" t="n">
        <f aca="false">'Daily KPI Entry'!J289</f>
        <v>0</v>
      </c>
      <c r="K288" s="47" t="n">
        <f aca="false">'Daily KPI Entry'!K289</f>
        <v>0</v>
      </c>
      <c r="L288" s="47" t="n">
        <f aca="false">'Daily KPI Entry'!L289</f>
        <v>0</v>
      </c>
      <c r="M288" s="47" t="n">
        <f aca="false">'Daily KPI Entry'!M289</f>
        <v>0</v>
      </c>
      <c r="N288" s="49" t="n">
        <f aca="false">'Daily KPI Entry'!N289</f>
        <v>0</v>
      </c>
      <c r="O288" s="49" t="n">
        <f aca="false">'Daily KPI Entry'!O289</f>
        <v>0</v>
      </c>
      <c r="P288" s="49" t="str">
        <f aca="false">IF(OR(N288="",O288=""),"",IFERROR(O288/N288*100,0))</f>
        <v/>
      </c>
      <c r="Q288" s="47" t="n">
        <f aca="false">'Daily KPI Entry'!Q289</f>
        <v>8</v>
      </c>
      <c r="R288" s="47" t="str">
        <f aca="false">IF(J288="","",Q288*J288)</f>
        <v/>
      </c>
      <c r="S288" s="49" t="n">
        <f aca="false">'Daily KPI Entry'!S289</f>
        <v>0</v>
      </c>
      <c r="T288" s="49" t="str">
        <f aca="false">IF(OR(R288="",S288=""),"",IFERROR(S288/R288*100,0))</f>
        <v/>
      </c>
      <c r="U288" s="49" t="str">
        <f aca="false">IF(OR(O288="",L288="",M288="",S288="",M288=0),"",IFERROR(O288/(L288*60*S288/(M288*36))*100,0))</f>
        <v/>
      </c>
      <c r="V288" s="49" t="n">
        <f aca="false">'Daily KPI Entry'!V289</f>
        <v>0</v>
      </c>
      <c r="W288" s="49" t="str">
        <f aca="false">IF(O288="","",IFERROR(V288/O288*100,0))</f>
        <v/>
      </c>
      <c r="X288" s="49" t="n">
        <f aca="false">'Daily KPI Entry'!X289</f>
        <v>0</v>
      </c>
      <c r="Y288" s="49" t="n">
        <f aca="false">'Daily KPI Entry'!Y289</f>
        <v>0</v>
      </c>
      <c r="Z288" s="49" t="n">
        <f aca="false">'Daily KPI Entry'!Z289</f>
        <v>0</v>
      </c>
      <c r="AA288" s="49" t="n">
        <f aca="false">'Daily KPI Entry'!AA289</f>
        <v>0</v>
      </c>
      <c r="AB288" s="49" t="n">
        <f aca="false">'Daily KPI Entry'!AB289</f>
        <v>0</v>
      </c>
      <c r="AC288" s="49" t="n">
        <f aca="false">'Daily KPI Entry'!AC289</f>
        <v>0</v>
      </c>
      <c r="AD288" s="49" t="n">
        <f aca="false">'Daily KPI Entry'!AD289</f>
        <v>0</v>
      </c>
      <c r="AE288" s="49" t="n">
        <f aca="false">'Daily KPI Entry'!AE289</f>
        <v>0</v>
      </c>
      <c r="AF288" s="47" t="str">
        <f aca="false">IF(O288="","",SUM(X288:AE288))</f>
        <v/>
      </c>
      <c r="AG288" s="49" t="str">
        <f aca="false">IF(O288="","",IFERROR(AF288/O288*1000,0))</f>
        <v/>
      </c>
      <c r="AH288" s="49" t="n">
        <f aca="false">'Daily KPI Entry'!AH289</f>
        <v>0</v>
      </c>
      <c r="AI288" s="49" t="n">
        <f aca="false">'Daily KPI Entry'!AI289</f>
        <v>0</v>
      </c>
      <c r="AJ288" s="49" t="n">
        <f aca="false">'Daily KPI Entry'!AJ289</f>
        <v>0</v>
      </c>
      <c r="AK288" s="47" t="n">
        <f aca="false">'Daily KPI Entry'!AK289</f>
        <v>0</v>
      </c>
      <c r="AL288" s="47" t="n">
        <f aca="false">'Daily KPI Entry'!AL289</f>
        <v>0</v>
      </c>
      <c r="AM288" s="47" t="n">
        <f aca="false">'Daily KPI Entry'!AM289</f>
        <v>0</v>
      </c>
      <c r="AN288" s="49" t="str">
        <f aca="false">IF(P288="","",MIN(120,P288))</f>
        <v/>
      </c>
      <c r="AO288" s="49" t="str">
        <f aca="false">IF(U288="","",MIN(120,U288))</f>
        <v/>
      </c>
      <c r="AP288" s="49" t="str">
        <f aca="false">IF(R288="","",MIN(120,IFERROR(S288/R288*100,0)))</f>
        <v/>
      </c>
      <c r="AQ288" s="49" t="str">
        <f aca="false">IF(W288="","",MIN(120,IF(W288=0,120,100*(INDEX('Standards &amp; Scoring'!$E$5:$E$13,MATCH("Quality / Rejection",'Standards &amp; Scoring'!$A$5:$A$13,0))/W288))))</f>
        <v/>
      </c>
      <c r="AR288" s="49" t="str">
        <f aca="false">IF(AG288="","",MIN(120,IF(AG288=0,120,100*(INDEX('Standards &amp; Scoring'!$E$5:$E$13,MATCH("Fault Control",'Standards &amp; Scoring'!$A$5:$A$13,0))/AG288))))</f>
        <v/>
      </c>
      <c r="AS288" s="49" t="str">
        <f aca="false">IF(O288="","",MIN(120,IF(SUMIFS('Fault &amp; Downtime Entry'!$L$6:$L$1005,'Fault &amp; Downtime Entry'!$E$6:$E$1005,G288,'Fault &amp; Downtime Entry'!$B$6:$B$1005,B288)=0,120,100*(INDEX('Standards &amp; Scoring'!$E$5:$E$13,MATCH("Downtime Control",'Standards &amp; Scoring'!$A$5:$A$13,0))/IFERROR(SUMIFS('Fault &amp; Downtime Entry'!$L$6:$L$1005,'Fault &amp; Downtime Entry'!$E$6:$E$1005,G288,'Fault &amp; Downtime Entry'!$B$6:$B$1005,B288)/O288*1000,999999)))))</f>
        <v/>
      </c>
      <c r="AT288" s="49" t="n">
        <f aca="false">IF(COUNTA(AH288,AJ288)=0,"",MIN(120,IF(AND(AH288&lt;&gt;"",AJ288&lt;&gt;""),AVERAGE(AH288,AJ288),IF(AH288&lt;&gt;"",AH288,AJ288))))</f>
        <v>0</v>
      </c>
      <c r="AU288" s="49" t="str">
        <f aca="false">IF(AI288="","",MIN(120,AI288))</f>
        <v/>
      </c>
      <c r="AV288" s="49" t="str">
        <f aca="false">IF(AJ288="","",MIN(120,AJ288))</f>
        <v/>
      </c>
      <c r="AW288" s="50" t="str">
        <f aca="false">IF(COUNT(AN288:AV288)&lt;9,"",(AN288*'Standards &amp; Scoring'!$D$5+AO288*'Standards &amp; Scoring'!$D$6+AP288*'Standards &amp; Scoring'!$D$7+AQ288*'Standards &amp; Scoring'!$D$8+AR288*'Standards &amp; Scoring'!$D$9+AS288*'Standards &amp; Scoring'!$D$10+AT288*'Standards &amp; Scoring'!$D$11+AU288*'Standards &amp; Scoring'!$D$12+AV288*'Standards &amp; Scoring'!$D$13)/10000)</f>
        <v/>
      </c>
      <c r="AX288" s="47" t="str">
        <f aca="false">IF(AW288="","",IF(AW288&gt;=1.05,"A+",IF(AW288&gt;=1,"A",IF(AW288&gt;=0.95,"B+",IF(AW288&gt;=0.9,"B","C")))))</f>
        <v/>
      </c>
      <c r="AY288" s="47" t="str">
        <f aca="false">IF(AX288="","",IF(AX288="A+",1800,IF(AX288="A",1600,IF(AX288="B+",1400,IF(AX288="B",1200,0)))))</f>
        <v/>
      </c>
      <c r="AZ288" s="49" t="str">
        <f aca="false">IF(OR(L288="",M288="",S288="",M288=0),"",IFERROR(L288*60*S288/(M288*36),0))</f>
        <v/>
      </c>
    </row>
    <row r="289" customFormat="false" ht="15" hidden="false" customHeight="true" outlineLevel="0" collapsed="false">
      <c r="A289" s="47" t="n">
        <f aca="false">'Daily KPI Entry'!A290</f>
        <v>0</v>
      </c>
      <c r="B289" s="48" t="n">
        <f aca="false">'Daily KPI Entry'!B290</f>
        <v>0</v>
      </c>
      <c r="C289" s="47" t="n">
        <f aca="false">'Daily KPI Entry'!C290</f>
        <v>0</v>
      </c>
      <c r="D289" s="47" t="n">
        <f aca="false">'Daily KPI Entry'!D290</f>
        <v>0</v>
      </c>
      <c r="E289" s="47" t="n">
        <f aca="false">'Daily KPI Entry'!E290</f>
        <v>0</v>
      </c>
      <c r="F289" s="47" t="n">
        <f aca="false">'Daily KPI Entry'!F290</f>
        <v>0</v>
      </c>
      <c r="G289" s="47" t="n">
        <f aca="false">'Daily KPI Entry'!G290</f>
        <v>0</v>
      </c>
      <c r="H289" s="47" t="str">
        <f aca="false">'Daily KPI Entry'!H290</f>
        <v/>
      </c>
      <c r="I289" s="47" t="n">
        <f aca="false">'Daily KPI Entry'!I290</f>
        <v>0</v>
      </c>
      <c r="J289" s="47" t="n">
        <f aca="false">'Daily KPI Entry'!J290</f>
        <v>0</v>
      </c>
      <c r="K289" s="47" t="n">
        <f aca="false">'Daily KPI Entry'!K290</f>
        <v>0</v>
      </c>
      <c r="L289" s="47" t="n">
        <f aca="false">'Daily KPI Entry'!L290</f>
        <v>0</v>
      </c>
      <c r="M289" s="47" t="n">
        <f aca="false">'Daily KPI Entry'!M290</f>
        <v>0</v>
      </c>
      <c r="N289" s="49" t="n">
        <f aca="false">'Daily KPI Entry'!N290</f>
        <v>0</v>
      </c>
      <c r="O289" s="49" t="n">
        <f aca="false">'Daily KPI Entry'!O290</f>
        <v>0</v>
      </c>
      <c r="P289" s="49" t="str">
        <f aca="false">IF(OR(N289="",O289=""),"",IFERROR(O289/N289*100,0))</f>
        <v/>
      </c>
      <c r="Q289" s="47" t="n">
        <f aca="false">'Daily KPI Entry'!Q290</f>
        <v>8</v>
      </c>
      <c r="R289" s="47" t="str">
        <f aca="false">IF(J289="","",Q289*J289)</f>
        <v/>
      </c>
      <c r="S289" s="49" t="n">
        <f aca="false">'Daily KPI Entry'!S290</f>
        <v>0</v>
      </c>
      <c r="T289" s="49" t="str">
        <f aca="false">IF(OR(R289="",S289=""),"",IFERROR(S289/R289*100,0))</f>
        <v/>
      </c>
      <c r="U289" s="49" t="str">
        <f aca="false">IF(OR(O289="",L289="",M289="",S289="",M289=0),"",IFERROR(O289/(L289*60*S289/(M289*36))*100,0))</f>
        <v/>
      </c>
      <c r="V289" s="49" t="n">
        <f aca="false">'Daily KPI Entry'!V290</f>
        <v>0</v>
      </c>
      <c r="W289" s="49" t="str">
        <f aca="false">IF(O289="","",IFERROR(V289/O289*100,0))</f>
        <v/>
      </c>
      <c r="X289" s="49" t="n">
        <f aca="false">'Daily KPI Entry'!X290</f>
        <v>0</v>
      </c>
      <c r="Y289" s="49" t="n">
        <f aca="false">'Daily KPI Entry'!Y290</f>
        <v>0</v>
      </c>
      <c r="Z289" s="49" t="n">
        <f aca="false">'Daily KPI Entry'!Z290</f>
        <v>0</v>
      </c>
      <c r="AA289" s="49" t="n">
        <f aca="false">'Daily KPI Entry'!AA290</f>
        <v>0</v>
      </c>
      <c r="AB289" s="49" t="n">
        <f aca="false">'Daily KPI Entry'!AB290</f>
        <v>0</v>
      </c>
      <c r="AC289" s="49" t="n">
        <f aca="false">'Daily KPI Entry'!AC290</f>
        <v>0</v>
      </c>
      <c r="AD289" s="49" t="n">
        <f aca="false">'Daily KPI Entry'!AD290</f>
        <v>0</v>
      </c>
      <c r="AE289" s="49" t="n">
        <f aca="false">'Daily KPI Entry'!AE290</f>
        <v>0</v>
      </c>
      <c r="AF289" s="47" t="str">
        <f aca="false">IF(O289="","",SUM(X289:AE289))</f>
        <v/>
      </c>
      <c r="AG289" s="49" t="str">
        <f aca="false">IF(O289="","",IFERROR(AF289/O289*1000,0))</f>
        <v/>
      </c>
      <c r="AH289" s="49" t="n">
        <f aca="false">'Daily KPI Entry'!AH290</f>
        <v>0</v>
      </c>
      <c r="AI289" s="49" t="n">
        <f aca="false">'Daily KPI Entry'!AI290</f>
        <v>0</v>
      </c>
      <c r="AJ289" s="49" t="n">
        <f aca="false">'Daily KPI Entry'!AJ290</f>
        <v>0</v>
      </c>
      <c r="AK289" s="47" t="n">
        <f aca="false">'Daily KPI Entry'!AK290</f>
        <v>0</v>
      </c>
      <c r="AL289" s="47" t="n">
        <f aca="false">'Daily KPI Entry'!AL290</f>
        <v>0</v>
      </c>
      <c r="AM289" s="47" t="n">
        <f aca="false">'Daily KPI Entry'!AM290</f>
        <v>0</v>
      </c>
      <c r="AN289" s="49" t="str">
        <f aca="false">IF(P289="","",MIN(120,P289))</f>
        <v/>
      </c>
      <c r="AO289" s="49" t="str">
        <f aca="false">IF(U289="","",MIN(120,U289))</f>
        <v/>
      </c>
      <c r="AP289" s="49" t="str">
        <f aca="false">IF(R289="","",MIN(120,IFERROR(S289/R289*100,0)))</f>
        <v/>
      </c>
      <c r="AQ289" s="49" t="str">
        <f aca="false">IF(W289="","",MIN(120,IF(W289=0,120,100*(INDEX('Standards &amp; Scoring'!$E$5:$E$13,MATCH("Quality / Rejection",'Standards &amp; Scoring'!$A$5:$A$13,0))/W289))))</f>
        <v/>
      </c>
      <c r="AR289" s="49" t="str">
        <f aca="false">IF(AG289="","",MIN(120,IF(AG289=0,120,100*(INDEX('Standards &amp; Scoring'!$E$5:$E$13,MATCH("Fault Control",'Standards &amp; Scoring'!$A$5:$A$13,0))/AG289))))</f>
        <v/>
      </c>
      <c r="AS289" s="49" t="str">
        <f aca="false">IF(O289="","",MIN(120,IF(SUMIFS('Fault &amp; Downtime Entry'!$L$6:$L$1005,'Fault &amp; Downtime Entry'!$E$6:$E$1005,G289,'Fault &amp; Downtime Entry'!$B$6:$B$1005,B289)=0,120,100*(INDEX('Standards &amp; Scoring'!$E$5:$E$13,MATCH("Downtime Control",'Standards &amp; Scoring'!$A$5:$A$13,0))/IFERROR(SUMIFS('Fault &amp; Downtime Entry'!$L$6:$L$1005,'Fault &amp; Downtime Entry'!$E$6:$E$1005,G289,'Fault &amp; Downtime Entry'!$B$6:$B$1005,B289)/O289*1000,999999)))))</f>
        <v/>
      </c>
      <c r="AT289" s="49" t="n">
        <f aca="false">IF(COUNTA(AH289,AJ289)=0,"",MIN(120,IF(AND(AH289&lt;&gt;"",AJ289&lt;&gt;""),AVERAGE(AH289,AJ289),IF(AH289&lt;&gt;"",AH289,AJ289))))</f>
        <v>0</v>
      </c>
      <c r="AU289" s="49" t="str">
        <f aca="false">IF(AI289="","",MIN(120,AI289))</f>
        <v/>
      </c>
      <c r="AV289" s="49" t="str">
        <f aca="false">IF(AJ289="","",MIN(120,AJ289))</f>
        <v/>
      </c>
      <c r="AW289" s="50" t="str">
        <f aca="false">IF(COUNT(AN289:AV289)&lt;9,"",(AN289*'Standards &amp; Scoring'!$D$5+AO289*'Standards &amp; Scoring'!$D$6+AP289*'Standards &amp; Scoring'!$D$7+AQ289*'Standards &amp; Scoring'!$D$8+AR289*'Standards &amp; Scoring'!$D$9+AS289*'Standards &amp; Scoring'!$D$10+AT289*'Standards &amp; Scoring'!$D$11+AU289*'Standards &amp; Scoring'!$D$12+AV289*'Standards &amp; Scoring'!$D$13)/10000)</f>
        <v/>
      </c>
      <c r="AX289" s="47" t="str">
        <f aca="false">IF(AW289="","",IF(AW289&gt;=1.05,"A+",IF(AW289&gt;=1,"A",IF(AW289&gt;=0.95,"B+",IF(AW289&gt;=0.9,"B","C")))))</f>
        <v/>
      </c>
      <c r="AY289" s="47" t="str">
        <f aca="false">IF(AX289="","",IF(AX289="A+",1800,IF(AX289="A",1600,IF(AX289="B+",1400,IF(AX289="B",1200,0)))))</f>
        <v/>
      </c>
      <c r="AZ289" s="49" t="str">
        <f aca="false">IF(OR(L289="",M289="",S289="",M289=0),"",IFERROR(L289*60*S289/(M289*36),0))</f>
        <v/>
      </c>
    </row>
    <row r="290" customFormat="false" ht="15" hidden="false" customHeight="true" outlineLevel="0" collapsed="false">
      <c r="A290" s="47" t="n">
        <f aca="false">'Daily KPI Entry'!A291</f>
        <v>0</v>
      </c>
      <c r="B290" s="48" t="n">
        <f aca="false">'Daily KPI Entry'!B291</f>
        <v>0</v>
      </c>
      <c r="C290" s="47" t="n">
        <f aca="false">'Daily KPI Entry'!C291</f>
        <v>0</v>
      </c>
      <c r="D290" s="47" t="n">
        <f aca="false">'Daily KPI Entry'!D291</f>
        <v>0</v>
      </c>
      <c r="E290" s="47" t="n">
        <f aca="false">'Daily KPI Entry'!E291</f>
        <v>0</v>
      </c>
      <c r="F290" s="47" t="n">
        <f aca="false">'Daily KPI Entry'!F291</f>
        <v>0</v>
      </c>
      <c r="G290" s="47" t="n">
        <f aca="false">'Daily KPI Entry'!G291</f>
        <v>0</v>
      </c>
      <c r="H290" s="47" t="str">
        <f aca="false">'Daily KPI Entry'!H291</f>
        <v/>
      </c>
      <c r="I290" s="47" t="n">
        <f aca="false">'Daily KPI Entry'!I291</f>
        <v>0</v>
      </c>
      <c r="J290" s="47" t="n">
        <f aca="false">'Daily KPI Entry'!J291</f>
        <v>0</v>
      </c>
      <c r="K290" s="47" t="n">
        <f aca="false">'Daily KPI Entry'!K291</f>
        <v>0</v>
      </c>
      <c r="L290" s="47" t="n">
        <f aca="false">'Daily KPI Entry'!L291</f>
        <v>0</v>
      </c>
      <c r="M290" s="47" t="n">
        <f aca="false">'Daily KPI Entry'!M291</f>
        <v>0</v>
      </c>
      <c r="N290" s="49" t="n">
        <f aca="false">'Daily KPI Entry'!N291</f>
        <v>0</v>
      </c>
      <c r="O290" s="49" t="n">
        <f aca="false">'Daily KPI Entry'!O291</f>
        <v>0</v>
      </c>
      <c r="P290" s="49" t="str">
        <f aca="false">IF(OR(N290="",O290=""),"",IFERROR(O290/N290*100,0))</f>
        <v/>
      </c>
      <c r="Q290" s="47" t="n">
        <f aca="false">'Daily KPI Entry'!Q291</f>
        <v>8</v>
      </c>
      <c r="R290" s="47" t="str">
        <f aca="false">IF(J290="","",Q290*J290)</f>
        <v/>
      </c>
      <c r="S290" s="49" t="n">
        <f aca="false">'Daily KPI Entry'!S291</f>
        <v>0</v>
      </c>
      <c r="T290" s="49" t="str">
        <f aca="false">IF(OR(R290="",S290=""),"",IFERROR(S290/R290*100,0))</f>
        <v/>
      </c>
      <c r="U290" s="49" t="str">
        <f aca="false">IF(OR(O290="",L290="",M290="",S290="",M290=0),"",IFERROR(O290/(L290*60*S290/(M290*36))*100,0))</f>
        <v/>
      </c>
      <c r="V290" s="49" t="n">
        <f aca="false">'Daily KPI Entry'!V291</f>
        <v>0</v>
      </c>
      <c r="W290" s="49" t="str">
        <f aca="false">IF(O290="","",IFERROR(V290/O290*100,0))</f>
        <v/>
      </c>
      <c r="X290" s="49" t="n">
        <f aca="false">'Daily KPI Entry'!X291</f>
        <v>0</v>
      </c>
      <c r="Y290" s="49" t="n">
        <f aca="false">'Daily KPI Entry'!Y291</f>
        <v>0</v>
      </c>
      <c r="Z290" s="49" t="n">
        <f aca="false">'Daily KPI Entry'!Z291</f>
        <v>0</v>
      </c>
      <c r="AA290" s="49" t="n">
        <f aca="false">'Daily KPI Entry'!AA291</f>
        <v>0</v>
      </c>
      <c r="AB290" s="49" t="n">
        <f aca="false">'Daily KPI Entry'!AB291</f>
        <v>0</v>
      </c>
      <c r="AC290" s="49" t="n">
        <f aca="false">'Daily KPI Entry'!AC291</f>
        <v>0</v>
      </c>
      <c r="AD290" s="49" t="n">
        <f aca="false">'Daily KPI Entry'!AD291</f>
        <v>0</v>
      </c>
      <c r="AE290" s="49" t="n">
        <f aca="false">'Daily KPI Entry'!AE291</f>
        <v>0</v>
      </c>
      <c r="AF290" s="47" t="str">
        <f aca="false">IF(O290="","",SUM(X290:AE290))</f>
        <v/>
      </c>
      <c r="AG290" s="49" t="str">
        <f aca="false">IF(O290="","",IFERROR(AF290/O290*1000,0))</f>
        <v/>
      </c>
      <c r="AH290" s="49" t="n">
        <f aca="false">'Daily KPI Entry'!AH291</f>
        <v>0</v>
      </c>
      <c r="AI290" s="49" t="n">
        <f aca="false">'Daily KPI Entry'!AI291</f>
        <v>0</v>
      </c>
      <c r="AJ290" s="49" t="n">
        <f aca="false">'Daily KPI Entry'!AJ291</f>
        <v>0</v>
      </c>
      <c r="AK290" s="47" t="n">
        <f aca="false">'Daily KPI Entry'!AK291</f>
        <v>0</v>
      </c>
      <c r="AL290" s="47" t="n">
        <f aca="false">'Daily KPI Entry'!AL291</f>
        <v>0</v>
      </c>
      <c r="AM290" s="47" t="n">
        <f aca="false">'Daily KPI Entry'!AM291</f>
        <v>0</v>
      </c>
      <c r="AN290" s="49" t="str">
        <f aca="false">IF(P290="","",MIN(120,P290))</f>
        <v/>
      </c>
      <c r="AO290" s="49" t="str">
        <f aca="false">IF(U290="","",MIN(120,U290))</f>
        <v/>
      </c>
      <c r="AP290" s="49" t="str">
        <f aca="false">IF(R290="","",MIN(120,IFERROR(S290/R290*100,0)))</f>
        <v/>
      </c>
      <c r="AQ290" s="49" t="str">
        <f aca="false">IF(W290="","",MIN(120,IF(W290=0,120,100*(INDEX('Standards &amp; Scoring'!$E$5:$E$13,MATCH("Quality / Rejection",'Standards &amp; Scoring'!$A$5:$A$13,0))/W290))))</f>
        <v/>
      </c>
      <c r="AR290" s="49" t="str">
        <f aca="false">IF(AG290="","",MIN(120,IF(AG290=0,120,100*(INDEX('Standards &amp; Scoring'!$E$5:$E$13,MATCH("Fault Control",'Standards &amp; Scoring'!$A$5:$A$13,0))/AG290))))</f>
        <v/>
      </c>
      <c r="AS290" s="49" t="str">
        <f aca="false">IF(O290="","",MIN(120,IF(SUMIFS('Fault &amp; Downtime Entry'!$L$6:$L$1005,'Fault &amp; Downtime Entry'!$E$6:$E$1005,G290,'Fault &amp; Downtime Entry'!$B$6:$B$1005,B290)=0,120,100*(INDEX('Standards &amp; Scoring'!$E$5:$E$13,MATCH("Downtime Control",'Standards &amp; Scoring'!$A$5:$A$13,0))/IFERROR(SUMIFS('Fault &amp; Downtime Entry'!$L$6:$L$1005,'Fault &amp; Downtime Entry'!$E$6:$E$1005,G290,'Fault &amp; Downtime Entry'!$B$6:$B$1005,B290)/O290*1000,999999)))))</f>
        <v/>
      </c>
      <c r="AT290" s="49" t="n">
        <f aca="false">IF(COUNTA(AH290,AJ290)=0,"",MIN(120,IF(AND(AH290&lt;&gt;"",AJ290&lt;&gt;""),AVERAGE(AH290,AJ290),IF(AH290&lt;&gt;"",AH290,AJ290))))</f>
        <v>0</v>
      </c>
      <c r="AU290" s="49" t="str">
        <f aca="false">IF(AI290="","",MIN(120,AI290))</f>
        <v/>
      </c>
      <c r="AV290" s="49" t="str">
        <f aca="false">IF(AJ290="","",MIN(120,AJ290))</f>
        <v/>
      </c>
      <c r="AW290" s="50" t="str">
        <f aca="false">IF(COUNT(AN290:AV290)&lt;9,"",(AN290*'Standards &amp; Scoring'!$D$5+AO290*'Standards &amp; Scoring'!$D$6+AP290*'Standards &amp; Scoring'!$D$7+AQ290*'Standards &amp; Scoring'!$D$8+AR290*'Standards &amp; Scoring'!$D$9+AS290*'Standards &amp; Scoring'!$D$10+AT290*'Standards &amp; Scoring'!$D$11+AU290*'Standards &amp; Scoring'!$D$12+AV290*'Standards &amp; Scoring'!$D$13)/10000)</f>
        <v/>
      </c>
      <c r="AX290" s="47" t="str">
        <f aca="false">IF(AW290="","",IF(AW290&gt;=1.05,"A+",IF(AW290&gt;=1,"A",IF(AW290&gt;=0.95,"B+",IF(AW290&gt;=0.9,"B","C")))))</f>
        <v/>
      </c>
      <c r="AY290" s="47" t="str">
        <f aca="false">IF(AX290="","",IF(AX290="A+",1800,IF(AX290="A",1600,IF(AX290="B+",1400,IF(AX290="B",1200,0)))))</f>
        <v/>
      </c>
      <c r="AZ290" s="49" t="str">
        <f aca="false">IF(OR(L290="",M290="",S290="",M290=0),"",IFERROR(L290*60*S290/(M290*36),0))</f>
        <v/>
      </c>
    </row>
    <row r="291" customFormat="false" ht="15" hidden="false" customHeight="true" outlineLevel="0" collapsed="false">
      <c r="A291" s="47" t="n">
        <f aca="false">'Daily KPI Entry'!A292</f>
        <v>0</v>
      </c>
      <c r="B291" s="48" t="n">
        <f aca="false">'Daily KPI Entry'!B292</f>
        <v>0</v>
      </c>
      <c r="C291" s="47" t="n">
        <f aca="false">'Daily KPI Entry'!C292</f>
        <v>0</v>
      </c>
      <c r="D291" s="47" t="n">
        <f aca="false">'Daily KPI Entry'!D292</f>
        <v>0</v>
      </c>
      <c r="E291" s="47" t="n">
        <f aca="false">'Daily KPI Entry'!E292</f>
        <v>0</v>
      </c>
      <c r="F291" s="47" t="n">
        <f aca="false">'Daily KPI Entry'!F292</f>
        <v>0</v>
      </c>
      <c r="G291" s="47" t="n">
        <f aca="false">'Daily KPI Entry'!G292</f>
        <v>0</v>
      </c>
      <c r="H291" s="47" t="str">
        <f aca="false">'Daily KPI Entry'!H292</f>
        <v/>
      </c>
      <c r="I291" s="47" t="n">
        <f aca="false">'Daily KPI Entry'!I292</f>
        <v>0</v>
      </c>
      <c r="J291" s="47" t="n">
        <f aca="false">'Daily KPI Entry'!J292</f>
        <v>0</v>
      </c>
      <c r="K291" s="47" t="n">
        <f aca="false">'Daily KPI Entry'!K292</f>
        <v>0</v>
      </c>
      <c r="L291" s="47" t="n">
        <f aca="false">'Daily KPI Entry'!L292</f>
        <v>0</v>
      </c>
      <c r="M291" s="47" t="n">
        <f aca="false">'Daily KPI Entry'!M292</f>
        <v>0</v>
      </c>
      <c r="N291" s="49" t="n">
        <f aca="false">'Daily KPI Entry'!N292</f>
        <v>0</v>
      </c>
      <c r="O291" s="49" t="n">
        <f aca="false">'Daily KPI Entry'!O292</f>
        <v>0</v>
      </c>
      <c r="P291" s="49" t="str">
        <f aca="false">IF(OR(N291="",O291=""),"",IFERROR(O291/N291*100,0))</f>
        <v/>
      </c>
      <c r="Q291" s="47" t="n">
        <f aca="false">'Daily KPI Entry'!Q292</f>
        <v>8</v>
      </c>
      <c r="R291" s="47" t="str">
        <f aca="false">IF(J291="","",Q291*J291)</f>
        <v/>
      </c>
      <c r="S291" s="49" t="n">
        <f aca="false">'Daily KPI Entry'!S292</f>
        <v>0</v>
      </c>
      <c r="T291" s="49" t="str">
        <f aca="false">IF(OR(R291="",S291=""),"",IFERROR(S291/R291*100,0))</f>
        <v/>
      </c>
      <c r="U291" s="49" t="str">
        <f aca="false">IF(OR(O291="",L291="",M291="",S291="",M291=0),"",IFERROR(O291/(L291*60*S291/(M291*36))*100,0))</f>
        <v/>
      </c>
      <c r="V291" s="49" t="n">
        <f aca="false">'Daily KPI Entry'!V292</f>
        <v>0</v>
      </c>
      <c r="W291" s="49" t="str">
        <f aca="false">IF(O291="","",IFERROR(V291/O291*100,0))</f>
        <v/>
      </c>
      <c r="X291" s="49" t="n">
        <f aca="false">'Daily KPI Entry'!X292</f>
        <v>0</v>
      </c>
      <c r="Y291" s="49" t="n">
        <f aca="false">'Daily KPI Entry'!Y292</f>
        <v>0</v>
      </c>
      <c r="Z291" s="49" t="n">
        <f aca="false">'Daily KPI Entry'!Z292</f>
        <v>0</v>
      </c>
      <c r="AA291" s="49" t="n">
        <f aca="false">'Daily KPI Entry'!AA292</f>
        <v>0</v>
      </c>
      <c r="AB291" s="49" t="n">
        <f aca="false">'Daily KPI Entry'!AB292</f>
        <v>0</v>
      </c>
      <c r="AC291" s="49" t="n">
        <f aca="false">'Daily KPI Entry'!AC292</f>
        <v>0</v>
      </c>
      <c r="AD291" s="49" t="n">
        <f aca="false">'Daily KPI Entry'!AD292</f>
        <v>0</v>
      </c>
      <c r="AE291" s="49" t="n">
        <f aca="false">'Daily KPI Entry'!AE292</f>
        <v>0</v>
      </c>
      <c r="AF291" s="47" t="str">
        <f aca="false">IF(O291="","",SUM(X291:AE291))</f>
        <v/>
      </c>
      <c r="AG291" s="49" t="str">
        <f aca="false">IF(O291="","",IFERROR(AF291/O291*1000,0))</f>
        <v/>
      </c>
      <c r="AH291" s="49" t="n">
        <f aca="false">'Daily KPI Entry'!AH292</f>
        <v>0</v>
      </c>
      <c r="AI291" s="49" t="n">
        <f aca="false">'Daily KPI Entry'!AI292</f>
        <v>0</v>
      </c>
      <c r="AJ291" s="49" t="n">
        <f aca="false">'Daily KPI Entry'!AJ292</f>
        <v>0</v>
      </c>
      <c r="AK291" s="47" t="n">
        <f aca="false">'Daily KPI Entry'!AK292</f>
        <v>0</v>
      </c>
      <c r="AL291" s="47" t="n">
        <f aca="false">'Daily KPI Entry'!AL292</f>
        <v>0</v>
      </c>
      <c r="AM291" s="47" t="n">
        <f aca="false">'Daily KPI Entry'!AM292</f>
        <v>0</v>
      </c>
      <c r="AN291" s="49" t="str">
        <f aca="false">IF(P291="","",MIN(120,P291))</f>
        <v/>
      </c>
      <c r="AO291" s="49" t="str">
        <f aca="false">IF(U291="","",MIN(120,U291))</f>
        <v/>
      </c>
      <c r="AP291" s="49" t="str">
        <f aca="false">IF(R291="","",MIN(120,IFERROR(S291/R291*100,0)))</f>
        <v/>
      </c>
      <c r="AQ291" s="49" t="str">
        <f aca="false">IF(W291="","",MIN(120,IF(W291=0,120,100*(INDEX('Standards &amp; Scoring'!$E$5:$E$13,MATCH("Quality / Rejection",'Standards &amp; Scoring'!$A$5:$A$13,0))/W291))))</f>
        <v/>
      </c>
      <c r="AR291" s="49" t="str">
        <f aca="false">IF(AG291="","",MIN(120,IF(AG291=0,120,100*(INDEX('Standards &amp; Scoring'!$E$5:$E$13,MATCH("Fault Control",'Standards &amp; Scoring'!$A$5:$A$13,0))/AG291))))</f>
        <v/>
      </c>
      <c r="AS291" s="49" t="str">
        <f aca="false">IF(O291="","",MIN(120,IF(SUMIFS('Fault &amp; Downtime Entry'!$L$6:$L$1005,'Fault &amp; Downtime Entry'!$E$6:$E$1005,G291,'Fault &amp; Downtime Entry'!$B$6:$B$1005,B291)=0,120,100*(INDEX('Standards &amp; Scoring'!$E$5:$E$13,MATCH("Downtime Control",'Standards &amp; Scoring'!$A$5:$A$13,0))/IFERROR(SUMIFS('Fault &amp; Downtime Entry'!$L$6:$L$1005,'Fault &amp; Downtime Entry'!$E$6:$E$1005,G291,'Fault &amp; Downtime Entry'!$B$6:$B$1005,B291)/O291*1000,999999)))))</f>
        <v/>
      </c>
      <c r="AT291" s="49" t="n">
        <f aca="false">IF(COUNTA(AH291,AJ291)=0,"",MIN(120,IF(AND(AH291&lt;&gt;"",AJ291&lt;&gt;""),AVERAGE(AH291,AJ291),IF(AH291&lt;&gt;"",AH291,AJ291))))</f>
        <v>0</v>
      </c>
      <c r="AU291" s="49" t="str">
        <f aca="false">IF(AI291="","",MIN(120,AI291))</f>
        <v/>
      </c>
      <c r="AV291" s="49" t="str">
        <f aca="false">IF(AJ291="","",MIN(120,AJ291))</f>
        <v/>
      </c>
      <c r="AW291" s="50" t="str">
        <f aca="false">IF(COUNT(AN291:AV291)&lt;9,"",(AN291*'Standards &amp; Scoring'!$D$5+AO291*'Standards &amp; Scoring'!$D$6+AP291*'Standards &amp; Scoring'!$D$7+AQ291*'Standards &amp; Scoring'!$D$8+AR291*'Standards &amp; Scoring'!$D$9+AS291*'Standards &amp; Scoring'!$D$10+AT291*'Standards &amp; Scoring'!$D$11+AU291*'Standards &amp; Scoring'!$D$12+AV291*'Standards &amp; Scoring'!$D$13)/10000)</f>
        <v/>
      </c>
      <c r="AX291" s="47" t="str">
        <f aca="false">IF(AW291="","",IF(AW291&gt;=1.05,"A+",IF(AW291&gt;=1,"A",IF(AW291&gt;=0.95,"B+",IF(AW291&gt;=0.9,"B","C")))))</f>
        <v/>
      </c>
      <c r="AY291" s="47" t="str">
        <f aca="false">IF(AX291="","",IF(AX291="A+",1800,IF(AX291="A",1600,IF(AX291="B+",1400,IF(AX291="B",1200,0)))))</f>
        <v/>
      </c>
      <c r="AZ291" s="49" t="str">
        <f aca="false">IF(OR(L291="",M291="",S291="",M291=0),"",IFERROR(L291*60*S291/(M291*36),0))</f>
        <v/>
      </c>
    </row>
    <row r="292" customFormat="false" ht="15" hidden="false" customHeight="true" outlineLevel="0" collapsed="false">
      <c r="A292" s="47" t="n">
        <f aca="false">'Daily KPI Entry'!A293</f>
        <v>0</v>
      </c>
      <c r="B292" s="48" t="n">
        <f aca="false">'Daily KPI Entry'!B293</f>
        <v>0</v>
      </c>
      <c r="C292" s="47" t="n">
        <f aca="false">'Daily KPI Entry'!C293</f>
        <v>0</v>
      </c>
      <c r="D292" s="47" t="n">
        <f aca="false">'Daily KPI Entry'!D293</f>
        <v>0</v>
      </c>
      <c r="E292" s="47" t="n">
        <f aca="false">'Daily KPI Entry'!E293</f>
        <v>0</v>
      </c>
      <c r="F292" s="47" t="n">
        <f aca="false">'Daily KPI Entry'!F293</f>
        <v>0</v>
      </c>
      <c r="G292" s="47" t="n">
        <f aca="false">'Daily KPI Entry'!G293</f>
        <v>0</v>
      </c>
      <c r="H292" s="47" t="str">
        <f aca="false">'Daily KPI Entry'!H293</f>
        <v/>
      </c>
      <c r="I292" s="47" t="n">
        <f aca="false">'Daily KPI Entry'!I293</f>
        <v>0</v>
      </c>
      <c r="J292" s="47" t="n">
        <f aca="false">'Daily KPI Entry'!J293</f>
        <v>0</v>
      </c>
      <c r="K292" s="47" t="n">
        <f aca="false">'Daily KPI Entry'!K293</f>
        <v>0</v>
      </c>
      <c r="L292" s="47" t="n">
        <f aca="false">'Daily KPI Entry'!L293</f>
        <v>0</v>
      </c>
      <c r="M292" s="47" t="n">
        <f aca="false">'Daily KPI Entry'!M293</f>
        <v>0</v>
      </c>
      <c r="N292" s="49" t="n">
        <f aca="false">'Daily KPI Entry'!N293</f>
        <v>0</v>
      </c>
      <c r="O292" s="49" t="n">
        <f aca="false">'Daily KPI Entry'!O293</f>
        <v>0</v>
      </c>
      <c r="P292" s="49" t="str">
        <f aca="false">IF(OR(N292="",O292=""),"",IFERROR(O292/N292*100,0))</f>
        <v/>
      </c>
      <c r="Q292" s="47" t="n">
        <f aca="false">'Daily KPI Entry'!Q293</f>
        <v>8</v>
      </c>
      <c r="R292" s="47" t="str">
        <f aca="false">IF(J292="","",Q292*J292)</f>
        <v/>
      </c>
      <c r="S292" s="49" t="n">
        <f aca="false">'Daily KPI Entry'!S293</f>
        <v>0</v>
      </c>
      <c r="T292" s="49" t="str">
        <f aca="false">IF(OR(R292="",S292=""),"",IFERROR(S292/R292*100,0))</f>
        <v/>
      </c>
      <c r="U292" s="49" t="str">
        <f aca="false">IF(OR(O292="",L292="",M292="",S292="",M292=0),"",IFERROR(O292/(L292*60*S292/(M292*36))*100,0))</f>
        <v/>
      </c>
      <c r="V292" s="49" t="n">
        <f aca="false">'Daily KPI Entry'!V293</f>
        <v>0</v>
      </c>
      <c r="W292" s="49" t="str">
        <f aca="false">IF(O292="","",IFERROR(V292/O292*100,0))</f>
        <v/>
      </c>
      <c r="X292" s="49" t="n">
        <f aca="false">'Daily KPI Entry'!X293</f>
        <v>0</v>
      </c>
      <c r="Y292" s="49" t="n">
        <f aca="false">'Daily KPI Entry'!Y293</f>
        <v>0</v>
      </c>
      <c r="Z292" s="49" t="n">
        <f aca="false">'Daily KPI Entry'!Z293</f>
        <v>0</v>
      </c>
      <c r="AA292" s="49" t="n">
        <f aca="false">'Daily KPI Entry'!AA293</f>
        <v>0</v>
      </c>
      <c r="AB292" s="49" t="n">
        <f aca="false">'Daily KPI Entry'!AB293</f>
        <v>0</v>
      </c>
      <c r="AC292" s="49" t="n">
        <f aca="false">'Daily KPI Entry'!AC293</f>
        <v>0</v>
      </c>
      <c r="AD292" s="49" t="n">
        <f aca="false">'Daily KPI Entry'!AD293</f>
        <v>0</v>
      </c>
      <c r="AE292" s="49" t="n">
        <f aca="false">'Daily KPI Entry'!AE293</f>
        <v>0</v>
      </c>
      <c r="AF292" s="47" t="str">
        <f aca="false">IF(O292="","",SUM(X292:AE292))</f>
        <v/>
      </c>
      <c r="AG292" s="49" t="str">
        <f aca="false">IF(O292="","",IFERROR(AF292/O292*1000,0))</f>
        <v/>
      </c>
      <c r="AH292" s="49" t="n">
        <f aca="false">'Daily KPI Entry'!AH293</f>
        <v>0</v>
      </c>
      <c r="AI292" s="49" t="n">
        <f aca="false">'Daily KPI Entry'!AI293</f>
        <v>0</v>
      </c>
      <c r="AJ292" s="49" t="n">
        <f aca="false">'Daily KPI Entry'!AJ293</f>
        <v>0</v>
      </c>
      <c r="AK292" s="47" t="n">
        <f aca="false">'Daily KPI Entry'!AK293</f>
        <v>0</v>
      </c>
      <c r="AL292" s="47" t="n">
        <f aca="false">'Daily KPI Entry'!AL293</f>
        <v>0</v>
      </c>
      <c r="AM292" s="47" t="n">
        <f aca="false">'Daily KPI Entry'!AM293</f>
        <v>0</v>
      </c>
      <c r="AN292" s="49" t="str">
        <f aca="false">IF(P292="","",MIN(120,P292))</f>
        <v/>
      </c>
      <c r="AO292" s="49" t="str">
        <f aca="false">IF(U292="","",MIN(120,U292))</f>
        <v/>
      </c>
      <c r="AP292" s="49" t="str">
        <f aca="false">IF(R292="","",MIN(120,IFERROR(S292/R292*100,0)))</f>
        <v/>
      </c>
      <c r="AQ292" s="49" t="str">
        <f aca="false">IF(W292="","",MIN(120,IF(W292=0,120,100*(INDEX('Standards &amp; Scoring'!$E$5:$E$13,MATCH("Quality / Rejection",'Standards &amp; Scoring'!$A$5:$A$13,0))/W292))))</f>
        <v/>
      </c>
      <c r="AR292" s="49" t="str">
        <f aca="false">IF(AG292="","",MIN(120,IF(AG292=0,120,100*(INDEX('Standards &amp; Scoring'!$E$5:$E$13,MATCH("Fault Control",'Standards &amp; Scoring'!$A$5:$A$13,0))/AG292))))</f>
        <v/>
      </c>
      <c r="AS292" s="49" t="str">
        <f aca="false">IF(O292="","",MIN(120,IF(SUMIFS('Fault &amp; Downtime Entry'!$L$6:$L$1005,'Fault &amp; Downtime Entry'!$E$6:$E$1005,G292,'Fault &amp; Downtime Entry'!$B$6:$B$1005,B292)=0,120,100*(INDEX('Standards &amp; Scoring'!$E$5:$E$13,MATCH("Downtime Control",'Standards &amp; Scoring'!$A$5:$A$13,0))/IFERROR(SUMIFS('Fault &amp; Downtime Entry'!$L$6:$L$1005,'Fault &amp; Downtime Entry'!$E$6:$E$1005,G292,'Fault &amp; Downtime Entry'!$B$6:$B$1005,B292)/O292*1000,999999)))))</f>
        <v/>
      </c>
      <c r="AT292" s="49" t="n">
        <f aca="false">IF(COUNTA(AH292,AJ292)=0,"",MIN(120,IF(AND(AH292&lt;&gt;"",AJ292&lt;&gt;""),AVERAGE(AH292,AJ292),IF(AH292&lt;&gt;"",AH292,AJ292))))</f>
        <v>0</v>
      </c>
      <c r="AU292" s="49" t="str">
        <f aca="false">IF(AI292="","",MIN(120,AI292))</f>
        <v/>
      </c>
      <c r="AV292" s="49" t="str">
        <f aca="false">IF(AJ292="","",MIN(120,AJ292))</f>
        <v/>
      </c>
      <c r="AW292" s="50" t="str">
        <f aca="false">IF(COUNT(AN292:AV292)&lt;9,"",(AN292*'Standards &amp; Scoring'!$D$5+AO292*'Standards &amp; Scoring'!$D$6+AP292*'Standards &amp; Scoring'!$D$7+AQ292*'Standards &amp; Scoring'!$D$8+AR292*'Standards &amp; Scoring'!$D$9+AS292*'Standards &amp; Scoring'!$D$10+AT292*'Standards &amp; Scoring'!$D$11+AU292*'Standards &amp; Scoring'!$D$12+AV292*'Standards &amp; Scoring'!$D$13)/10000)</f>
        <v/>
      </c>
      <c r="AX292" s="47" t="str">
        <f aca="false">IF(AW292="","",IF(AW292&gt;=1.05,"A+",IF(AW292&gt;=1,"A",IF(AW292&gt;=0.95,"B+",IF(AW292&gt;=0.9,"B","C")))))</f>
        <v/>
      </c>
      <c r="AY292" s="47" t="str">
        <f aca="false">IF(AX292="","",IF(AX292="A+",1800,IF(AX292="A",1600,IF(AX292="B+",1400,IF(AX292="B",1200,0)))))</f>
        <v/>
      </c>
      <c r="AZ292" s="49" t="str">
        <f aca="false">IF(OR(L292="",M292="",S292="",M292=0),"",IFERROR(L292*60*S292/(M292*36),0))</f>
        <v/>
      </c>
    </row>
    <row r="293" customFormat="false" ht="15" hidden="false" customHeight="true" outlineLevel="0" collapsed="false">
      <c r="A293" s="47" t="n">
        <f aca="false">'Daily KPI Entry'!A294</f>
        <v>0</v>
      </c>
      <c r="B293" s="48" t="n">
        <f aca="false">'Daily KPI Entry'!B294</f>
        <v>0</v>
      </c>
      <c r="C293" s="47" t="n">
        <f aca="false">'Daily KPI Entry'!C294</f>
        <v>0</v>
      </c>
      <c r="D293" s="47" t="n">
        <f aca="false">'Daily KPI Entry'!D294</f>
        <v>0</v>
      </c>
      <c r="E293" s="47" t="n">
        <f aca="false">'Daily KPI Entry'!E294</f>
        <v>0</v>
      </c>
      <c r="F293" s="47" t="n">
        <f aca="false">'Daily KPI Entry'!F294</f>
        <v>0</v>
      </c>
      <c r="G293" s="47" t="n">
        <f aca="false">'Daily KPI Entry'!G294</f>
        <v>0</v>
      </c>
      <c r="H293" s="47" t="str">
        <f aca="false">'Daily KPI Entry'!H294</f>
        <v/>
      </c>
      <c r="I293" s="47" t="n">
        <f aca="false">'Daily KPI Entry'!I294</f>
        <v>0</v>
      </c>
      <c r="J293" s="47" t="n">
        <f aca="false">'Daily KPI Entry'!J294</f>
        <v>0</v>
      </c>
      <c r="K293" s="47" t="n">
        <f aca="false">'Daily KPI Entry'!K294</f>
        <v>0</v>
      </c>
      <c r="L293" s="47" t="n">
        <f aca="false">'Daily KPI Entry'!L294</f>
        <v>0</v>
      </c>
      <c r="M293" s="47" t="n">
        <f aca="false">'Daily KPI Entry'!M294</f>
        <v>0</v>
      </c>
      <c r="N293" s="49" t="n">
        <f aca="false">'Daily KPI Entry'!N294</f>
        <v>0</v>
      </c>
      <c r="O293" s="49" t="n">
        <f aca="false">'Daily KPI Entry'!O294</f>
        <v>0</v>
      </c>
      <c r="P293" s="49" t="str">
        <f aca="false">IF(OR(N293="",O293=""),"",IFERROR(O293/N293*100,0))</f>
        <v/>
      </c>
      <c r="Q293" s="47" t="n">
        <f aca="false">'Daily KPI Entry'!Q294</f>
        <v>8</v>
      </c>
      <c r="R293" s="47" t="str">
        <f aca="false">IF(J293="","",Q293*J293)</f>
        <v/>
      </c>
      <c r="S293" s="49" t="n">
        <f aca="false">'Daily KPI Entry'!S294</f>
        <v>0</v>
      </c>
      <c r="T293" s="49" t="str">
        <f aca="false">IF(OR(R293="",S293=""),"",IFERROR(S293/R293*100,0))</f>
        <v/>
      </c>
      <c r="U293" s="49" t="str">
        <f aca="false">IF(OR(O293="",L293="",M293="",S293="",M293=0),"",IFERROR(O293/(L293*60*S293/(M293*36))*100,0))</f>
        <v/>
      </c>
      <c r="V293" s="49" t="n">
        <f aca="false">'Daily KPI Entry'!V294</f>
        <v>0</v>
      </c>
      <c r="W293" s="49" t="str">
        <f aca="false">IF(O293="","",IFERROR(V293/O293*100,0))</f>
        <v/>
      </c>
      <c r="X293" s="49" t="n">
        <f aca="false">'Daily KPI Entry'!X294</f>
        <v>0</v>
      </c>
      <c r="Y293" s="49" t="n">
        <f aca="false">'Daily KPI Entry'!Y294</f>
        <v>0</v>
      </c>
      <c r="Z293" s="49" t="n">
        <f aca="false">'Daily KPI Entry'!Z294</f>
        <v>0</v>
      </c>
      <c r="AA293" s="49" t="n">
        <f aca="false">'Daily KPI Entry'!AA294</f>
        <v>0</v>
      </c>
      <c r="AB293" s="49" t="n">
        <f aca="false">'Daily KPI Entry'!AB294</f>
        <v>0</v>
      </c>
      <c r="AC293" s="49" t="n">
        <f aca="false">'Daily KPI Entry'!AC294</f>
        <v>0</v>
      </c>
      <c r="AD293" s="49" t="n">
        <f aca="false">'Daily KPI Entry'!AD294</f>
        <v>0</v>
      </c>
      <c r="AE293" s="49" t="n">
        <f aca="false">'Daily KPI Entry'!AE294</f>
        <v>0</v>
      </c>
      <c r="AF293" s="47" t="str">
        <f aca="false">IF(O293="","",SUM(X293:AE293))</f>
        <v/>
      </c>
      <c r="AG293" s="49" t="str">
        <f aca="false">IF(O293="","",IFERROR(AF293/O293*1000,0))</f>
        <v/>
      </c>
      <c r="AH293" s="49" t="n">
        <f aca="false">'Daily KPI Entry'!AH294</f>
        <v>0</v>
      </c>
      <c r="AI293" s="49" t="n">
        <f aca="false">'Daily KPI Entry'!AI294</f>
        <v>0</v>
      </c>
      <c r="AJ293" s="49" t="n">
        <f aca="false">'Daily KPI Entry'!AJ294</f>
        <v>0</v>
      </c>
      <c r="AK293" s="47" t="n">
        <f aca="false">'Daily KPI Entry'!AK294</f>
        <v>0</v>
      </c>
      <c r="AL293" s="47" t="n">
        <f aca="false">'Daily KPI Entry'!AL294</f>
        <v>0</v>
      </c>
      <c r="AM293" s="47" t="n">
        <f aca="false">'Daily KPI Entry'!AM294</f>
        <v>0</v>
      </c>
      <c r="AN293" s="49" t="str">
        <f aca="false">IF(P293="","",MIN(120,P293))</f>
        <v/>
      </c>
      <c r="AO293" s="49" t="str">
        <f aca="false">IF(U293="","",MIN(120,U293))</f>
        <v/>
      </c>
      <c r="AP293" s="49" t="str">
        <f aca="false">IF(R293="","",MIN(120,IFERROR(S293/R293*100,0)))</f>
        <v/>
      </c>
      <c r="AQ293" s="49" t="str">
        <f aca="false">IF(W293="","",MIN(120,IF(W293=0,120,100*(INDEX('Standards &amp; Scoring'!$E$5:$E$13,MATCH("Quality / Rejection",'Standards &amp; Scoring'!$A$5:$A$13,0))/W293))))</f>
        <v/>
      </c>
      <c r="AR293" s="49" t="str">
        <f aca="false">IF(AG293="","",MIN(120,IF(AG293=0,120,100*(INDEX('Standards &amp; Scoring'!$E$5:$E$13,MATCH("Fault Control",'Standards &amp; Scoring'!$A$5:$A$13,0))/AG293))))</f>
        <v/>
      </c>
      <c r="AS293" s="49" t="str">
        <f aca="false">IF(O293="","",MIN(120,IF(SUMIFS('Fault &amp; Downtime Entry'!$L$6:$L$1005,'Fault &amp; Downtime Entry'!$E$6:$E$1005,G293,'Fault &amp; Downtime Entry'!$B$6:$B$1005,B293)=0,120,100*(INDEX('Standards &amp; Scoring'!$E$5:$E$13,MATCH("Downtime Control",'Standards &amp; Scoring'!$A$5:$A$13,0))/IFERROR(SUMIFS('Fault &amp; Downtime Entry'!$L$6:$L$1005,'Fault &amp; Downtime Entry'!$E$6:$E$1005,G293,'Fault &amp; Downtime Entry'!$B$6:$B$1005,B293)/O293*1000,999999)))))</f>
        <v/>
      </c>
      <c r="AT293" s="49" t="n">
        <f aca="false">IF(COUNTA(AH293,AJ293)=0,"",MIN(120,IF(AND(AH293&lt;&gt;"",AJ293&lt;&gt;""),AVERAGE(AH293,AJ293),IF(AH293&lt;&gt;"",AH293,AJ293))))</f>
        <v>0</v>
      </c>
      <c r="AU293" s="49" t="str">
        <f aca="false">IF(AI293="","",MIN(120,AI293))</f>
        <v/>
      </c>
      <c r="AV293" s="49" t="str">
        <f aca="false">IF(AJ293="","",MIN(120,AJ293))</f>
        <v/>
      </c>
      <c r="AW293" s="50" t="str">
        <f aca="false">IF(COUNT(AN293:AV293)&lt;9,"",(AN293*'Standards &amp; Scoring'!$D$5+AO293*'Standards &amp; Scoring'!$D$6+AP293*'Standards &amp; Scoring'!$D$7+AQ293*'Standards &amp; Scoring'!$D$8+AR293*'Standards &amp; Scoring'!$D$9+AS293*'Standards &amp; Scoring'!$D$10+AT293*'Standards &amp; Scoring'!$D$11+AU293*'Standards &amp; Scoring'!$D$12+AV293*'Standards &amp; Scoring'!$D$13)/10000)</f>
        <v/>
      </c>
      <c r="AX293" s="47" t="str">
        <f aca="false">IF(AW293="","",IF(AW293&gt;=1.05,"A+",IF(AW293&gt;=1,"A",IF(AW293&gt;=0.95,"B+",IF(AW293&gt;=0.9,"B","C")))))</f>
        <v/>
      </c>
      <c r="AY293" s="47" t="str">
        <f aca="false">IF(AX293="","",IF(AX293="A+",1800,IF(AX293="A",1600,IF(AX293="B+",1400,IF(AX293="B",1200,0)))))</f>
        <v/>
      </c>
      <c r="AZ293" s="49" t="str">
        <f aca="false">IF(OR(L293="",M293="",S293="",M293=0),"",IFERROR(L293*60*S293/(M293*36),0))</f>
        <v/>
      </c>
    </row>
    <row r="294" customFormat="false" ht="15" hidden="false" customHeight="true" outlineLevel="0" collapsed="false">
      <c r="A294" s="47" t="n">
        <f aca="false">'Daily KPI Entry'!A295</f>
        <v>0</v>
      </c>
      <c r="B294" s="48" t="n">
        <f aca="false">'Daily KPI Entry'!B295</f>
        <v>0</v>
      </c>
      <c r="C294" s="47" t="n">
        <f aca="false">'Daily KPI Entry'!C295</f>
        <v>0</v>
      </c>
      <c r="D294" s="47" t="n">
        <f aca="false">'Daily KPI Entry'!D295</f>
        <v>0</v>
      </c>
      <c r="E294" s="47" t="n">
        <f aca="false">'Daily KPI Entry'!E295</f>
        <v>0</v>
      </c>
      <c r="F294" s="47" t="n">
        <f aca="false">'Daily KPI Entry'!F295</f>
        <v>0</v>
      </c>
      <c r="G294" s="47" t="n">
        <f aca="false">'Daily KPI Entry'!G295</f>
        <v>0</v>
      </c>
      <c r="H294" s="47" t="str">
        <f aca="false">'Daily KPI Entry'!H295</f>
        <v/>
      </c>
      <c r="I294" s="47" t="n">
        <f aca="false">'Daily KPI Entry'!I295</f>
        <v>0</v>
      </c>
      <c r="J294" s="47" t="n">
        <f aca="false">'Daily KPI Entry'!J295</f>
        <v>0</v>
      </c>
      <c r="K294" s="47" t="n">
        <f aca="false">'Daily KPI Entry'!K295</f>
        <v>0</v>
      </c>
      <c r="L294" s="47" t="n">
        <f aca="false">'Daily KPI Entry'!L295</f>
        <v>0</v>
      </c>
      <c r="M294" s="47" t="n">
        <f aca="false">'Daily KPI Entry'!M295</f>
        <v>0</v>
      </c>
      <c r="N294" s="49" t="n">
        <f aca="false">'Daily KPI Entry'!N295</f>
        <v>0</v>
      </c>
      <c r="O294" s="49" t="n">
        <f aca="false">'Daily KPI Entry'!O295</f>
        <v>0</v>
      </c>
      <c r="P294" s="49" t="str">
        <f aca="false">IF(OR(N294="",O294=""),"",IFERROR(O294/N294*100,0))</f>
        <v/>
      </c>
      <c r="Q294" s="47" t="n">
        <f aca="false">'Daily KPI Entry'!Q295</f>
        <v>8</v>
      </c>
      <c r="R294" s="47" t="str">
        <f aca="false">IF(J294="","",Q294*J294)</f>
        <v/>
      </c>
      <c r="S294" s="49" t="n">
        <f aca="false">'Daily KPI Entry'!S295</f>
        <v>0</v>
      </c>
      <c r="T294" s="49" t="str">
        <f aca="false">IF(OR(R294="",S294=""),"",IFERROR(S294/R294*100,0))</f>
        <v/>
      </c>
      <c r="U294" s="49" t="str">
        <f aca="false">IF(OR(O294="",L294="",M294="",S294="",M294=0),"",IFERROR(O294/(L294*60*S294/(M294*36))*100,0))</f>
        <v/>
      </c>
      <c r="V294" s="49" t="n">
        <f aca="false">'Daily KPI Entry'!V295</f>
        <v>0</v>
      </c>
      <c r="W294" s="49" t="str">
        <f aca="false">IF(O294="","",IFERROR(V294/O294*100,0))</f>
        <v/>
      </c>
      <c r="X294" s="49" t="n">
        <f aca="false">'Daily KPI Entry'!X295</f>
        <v>0</v>
      </c>
      <c r="Y294" s="49" t="n">
        <f aca="false">'Daily KPI Entry'!Y295</f>
        <v>0</v>
      </c>
      <c r="Z294" s="49" t="n">
        <f aca="false">'Daily KPI Entry'!Z295</f>
        <v>0</v>
      </c>
      <c r="AA294" s="49" t="n">
        <f aca="false">'Daily KPI Entry'!AA295</f>
        <v>0</v>
      </c>
      <c r="AB294" s="49" t="n">
        <f aca="false">'Daily KPI Entry'!AB295</f>
        <v>0</v>
      </c>
      <c r="AC294" s="49" t="n">
        <f aca="false">'Daily KPI Entry'!AC295</f>
        <v>0</v>
      </c>
      <c r="AD294" s="49" t="n">
        <f aca="false">'Daily KPI Entry'!AD295</f>
        <v>0</v>
      </c>
      <c r="AE294" s="49" t="n">
        <f aca="false">'Daily KPI Entry'!AE295</f>
        <v>0</v>
      </c>
      <c r="AF294" s="47" t="str">
        <f aca="false">IF(O294="","",SUM(X294:AE294))</f>
        <v/>
      </c>
      <c r="AG294" s="49" t="str">
        <f aca="false">IF(O294="","",IFERROR(AF294/O294*1000,0))</f>
        <v/>
      </c>
      <c r="AH294" s="49" t="n">
        <f aca="false">'Daily KPI Entry'!AH295</f>
        <v>0</v>
      </c>
      <c r="AI294" s="49" t="n">
        <f aca="false">'Daily KPI Entry'!AI295</f>
        <v>0</v>
      </c>
      <c r="AJ294" s="49" t="n">
        <f aca="false">'Daily KPI Entry'!AJ295</f>
        <v>0</v>
      </c>
      <c r="AK294" s="47" t="n">
        <f aca="false">'Daily KPI Entry'!AK295</f>
        <v>0</v>
      </c>
      <c r="AL294" s="47" t="n">
        <f aca="false">'Daily KPI Entry'!AL295</f>
        <v>0</v>
      </c>
      <c r="AM294" s="47" t="n">
        <f aca="false">'Daily KPI Entry'!AM295</f>
        <v>0</v>
      </c>
      <c r="AN294" s="49" t="str">
        <f aca="false">IF(P294="","",MIN(120,P294))</f>
        <v/>
      </c>
      <c r="AO294" s="49" t="str">
        <f aca="false">IF(U294="","",MIN(120,U294))</f>
        <v/>
      </c>
      <c r="AP294" s="49" t="str">
        <f aca="false">IF(R294="","",MIN(120,IFERROR(S294/R294*100,0)))</f>
        <v/>
      </c>
      <c r="AQ294" s="49" t="str">
        <f aca="false">IF(W294="","",MIN(120,IF(W294=0,120,100*(INDEX('Standards &amp; Scoring'!$E$5:$E$13,MATCH("Quality / Rejection",'Standards &amp; Scoring'!$A$5:$A$13,0))/W294))))</f>
        <v/>
      </c>
      <c r="AR294" s="49" t="str">
        <f aca="false">IF(AG294="","",MIN(120,IF(AG294=0,120,100*(INDEX('Standards &amp; Scoring'!$E$5:$E$13,MATCH("Fault Control",'Standards &amp; Scoring'!$A$5:$A$13,0))/AG294))))</f>
        <v/>
      </c>
      <c r="AS294" s="49" t="str">
        <f aca="false">IF(O294="","",MIN(120,IF(SUMIFS('Fault &amp; Downtime Entry'!$L$6:$L$1005,'Fault &amp; Downtime Entry'!$E$6:$E$1005,G294,'Fault &amp; Downtime Entry'!$B$6:$B$1005,B294)=0,120,100*(INDEX('Standards &amp; Scoring'!$E$5:$E$13,MATCH("Downtime Control",'Standards &amp; Scoring'!$A$5:$A$13,0))/IFERROR(SUMIFS('Fault &amp; Downtime Entry'!$L$6:$L$1005,'Fault &amp; Downtime Entry'!$E$6:$E$1005,G294,'Fault &amp; Downtime Entry'!$B$6:$B$1005,B294)/O294*1000,999999)))))</f>
        <v/>
      </c>
      <c r="AT294" s="49" t="n">
        <f aca="false">IF(COUNTA(AH294,AJ294)=0,"",MIN(120,IF(AND(AH294&lt;&gt;"",AJ294&lt;&gt;""),AVERAGE(AH294,AJ294),IF(AH294&lt;&gt;"",AH294,AJ294))))</f>
        <v>0</v>
      </c>
      <c r="AU294" s="49" t="str">
        <f aca="false">IF(AI294="","",MIN(120,AI294))</f>
        <v/>
      </c>
      <c r="AV294" s="49" t="str">
        <f aca="false">IF(AJ294="","",MIN(120,AJ294))</f>
        <v/>
      </c>
      <c r="AW294" s="50" t="str">
        <f aca="false">IF(COUNT(AN294:AV294)&lt;9,"",(AN294*'Standards &amp; Scoring'!$D$5+AO294*'Standards &amp; Scoring'!$D$6+AP294*'Standards &amp; Scoring'!$D$7+AQ294*'Standards &amp; Scoring'!$D$8+AR294*'Standards &amp; Scoring'!$D$9+AS294*'Standards &amp; Scoring'!$D$10+AT294*'Standards &amp; Scoring'!$D$11+AU294*'Standards &amp; Scoring'!$D$12+AV294*'Standards &amp; Scoring'!$D$13)/10000)</f>
        <v/>
      </c>
      <c r="AX294" s="47" t="str">
        <f aca="false">IF(AW294="","",IF(AW294&gt;=1.05,"A+",IF(AW294&gt;=1,"A",IF(AW294&gt;=0.95,"B+",IF(AW294&gt;=0.9,"B","C")))))</f>
        <v/>
      </c>
      <c r="AY294" s="47" t="str">
        <f aca="false">IF(AX294="","",IF(AX294="A+",1800,IF(AX294="A",1600,IF(AX294="B+",1400,IF(AX294="B",1200,0)))))</f>
        <v/>
      </c>
      <c r="AZ294" s="49" t="str">
        <f aca="false">IF(OR(L294="",M294="",S294="",M294=0),"",IFERROR(L294*60*S294/(M294*36),0))</f>
        <v/>
      </c>
    </row>
    <row r="295" customFormat="false" ht="15" hidden="false" customHeight="true" outlineLevel="0" collapsed="false">
      <c r="A295" s="47" t="n">
        <f aca="false">'Daily KPI Entry'!A296</f>
        <v>0</v>
      </c>
      <c r="B295" s="48" t="n">
        <f aca="false">'Daily KPI Entry'!B296</f>
        <v>0</v>
      </c>
      <c r="C295" s="47" t="n">
        <f aca="false">'Daily KPI Entry'!C296</f>
        <v>0</v>
      </c>
      <c r="D295" s="47" t="n">
        <f aca="false">'Daily KPI Entry'!D296</f>
        <v>0</v>
      </c>
      <c r="E295" s="47" t="n">
        <f aca="false">'Daily KPI Entry'!E296</f>
        <v>0</v>
      </c>
      <c r="F295" s="47" t="n">
        <f aca="false">'Daily KPI Entry'!F296</f>
        <v>0</v>
      </c>
      <c r="G295" s="47" t="n">
        <f aca="false">'Daily KPI Entry'!G296</f>
        <v>0</v>
      </c>
      <c r="H295" s="47" t="str">
        <f aca="false">'Daily KPI Entry'!H296</f>
        <v/>
      </c>
      <c r="I295" s="47" t="n">
        <f aca="false">'Daily KPI Entry'!I296</f>
        <v>0</v>
      </c>
      <c r="J295" s="47" t="n">
        <f aca="false">'Daily KPI Entry'!J296</f>
        <v>0</v>
      </c>
      <c r="K295" s="47" t="n">
        <f aca="false">'Daily KPI Entry'!K296</f>
        <v>0</v>
      </c>
      <c r="L295" s="47" t="n">
        <f aca="false">'Daily KPI Entry'!L296</f>
        <v>0</v>
      </c>
      <c r="M295" s="47" t="n">
        <f aca="false">'Daily KPI Entry'!M296</f>
        <v>0</v>
      </c>
      <c r="N295" s="49" t="n">
        <f aca="false">'Daily KPI Entry'!N296</f>
        <v>0</v>
      </c>
      <c r="O295" s="49" t="n">
        <f aca="false">'Daily KPI Entry'!O296</f>
        <v>0</v>
      </c>
      <c r="P295" s="49" t="str">
        <f aca="false">IF(OR(N295="",O295=""),"",IFERROR(O295/N295*100,0))</f>
        <v/>
      </c>
      <c r="Q295" s="47" t="n">
        <f aca="false">'Daily KPI Entry'!Q296</f>
        <v>8</v>
      </c>
      <c r="R295" s="47" t="str">
        <f aca="false">IF(J295="","",Q295*J295)</f>
        <v/>
      </c>
      <c r="S295" s="49" t="n">
        <f aca="false">'Daily KPI Entry'!S296</f>
        <v>0</v>
      </c>
      <c r="T295" s="49" t="str">
        <f aca="false">IF(OR(R295="",S295=""),"",IFERROR(S295/R295*100,0))</f>
        <v/>
      </c>
      <c r="U295" s="49" t="str">
        <f aca="false">IF(OR(O295="",L295="",M295="",S295="",M295=0),"",IFERROR(O295/(L295*60*S295/(M295*36))*100,0))</f>
        <v/>
      </c>
      <c r="V295" s="49" t="n">
        <f aca="false">'Daily KPI Entry'!V296</f>
        <v>0</v>
      </c>
      <c r="W295" s="49" t="str">
        <f aca="false">IF(O295="","",IFERROR(V295/O295*100,0))</f>
        <v/>
      </c>
      <c r="X295" s="49" t="n">
        <f aca="false">'Daily KPI Entry'!X296</f>
        <v>0</v>
      </c>
      <c r="Y295" s="49" t="n">
        <f aca="false">'Daily KPI Entry'!Y296</f>
        <v>0</v>
      </c>
      <c r="Z295" s="49" t="n">
        <f aca="false">'Daily KPI Entry'!Z296</f>
        <v>0</v>
      </c>
      <c r="AA295" s="49" t="n">
        <f aca="false">'Daily KPI Entry'!AA296</f>
        <v>0</v>
      </c>
      <c r="AB295" s="49" t="n">
        <f aca="false">'Daily KPI Entry'!AB296</f>
        <v>0</v>
      </c>
      <c r="AC295" s="49" t="n">
        <f aca="false">'Daily KPI Entry'!AC296</f>
        <v>0</v>
      </c>
      <c r="AD295" s="49" t="n">
        <f aca="false">'Daily KPI Entry'!AD296</f>
        <v>0</v>
      </c>
      <c r="AE295" s="49" t="n">
        <f aca="false">'Daily KPI Entry'!AE296</f>
        <v>0</v>
      </c>
      <c r="AF295" s="47" t="str">
        <f aca="false">IF(O295="","",SUM(X295:AE295))</f>
        <v/>
      </c>
      <c r="AG295" s="49" t="str">
        <f aca="false">IF(O295="","",IFERROR(AF295/O295*1000,0))</f>
        <v/>
      </c>
      <c r="AH295" s="49" t="n">
        <f aca="false">'Daily KPI Entry'!AH296</f>
        <v>0</v>
      </c>
      <c r="AI295" s="49" t="n">
        <f aca="false">'Daily KPI Entry'!AI296</f>
        <v>0</v>
      </c>
      <c r="AJ295" s="49" t="n">
        <f aca="false">'Daily KPI Entry'!AJ296</f>
        <v>0</v>
      </c>
      <c r="AK295" s="47" t="n">
        <f aca="false">'Daily KPI Entry'!AK296</f>
        <v>0</v>
      </c>
      <c r="AL295" s="47" t="n">
        <f aca="false">'Daily KPI Entry'!AL296</f>
        <v>0</v>
      </c>
      <c r="AM295" s="47" t="n">
        <f aca="false">'Daily KPI Entry'!AM296</f>
        <v>0</v>
      </c>
      <c r="AN295" s="49" t="str">
        <f aca="false">IF(P295="","",MIN(120,P295))</f>
        <v/>
      </c>
      <c r="AO295" s="49" t="str">
        <f aca="false">IF(U295="","",MIN(120,U295))</f>
        <v/>
      </c>
      <c r="AP295" s="49" t="str">
        <f aca="false">IF(R295="","",MIN(120,IFERROR(S295/R295*100,0)))</f>
        <v/>
      </c>
      <c r="AQ295" s="49" t="str">
        <f aca="false">IF(W295="","",MIN(120,IF(W295=0,120,100*(INDEX('Standards &amp; Scoring'!$E$5:$E$13,MATCH("Quality / Rejection",'Standards &amp; Scoring'!$A$5:$A$13,0))/W295))))</f>
        <v/>
      </c>
      <c r="AR295" s="49" t="str">
        <f aca="false">IF(AG295="","",MIN(120,IF(AG295=0,120,100*(INDEX('Standards &amp; Scoring'!$E$5:$E$13,MATCH("Fault Control",'Standards &amp; Scoring'!$A$5:$A$13,0))/AG295))))</f>
        <v/>
      </c>
      <c r="AS295" s="49" t="str">
        <f aca="false">IF(O295="","",MIN(120,IF(SUMIFS('Fault &amp; Downtime Entry'!$L$6:$L$1005,'Fault &amp; Downtime Entry'!$E$6:$E$1005,G295,'Fault &amp; Downtime Entry'!$B$6:$B$1005,B295)=0,120,100*(INDEX('Standards &amp; Scoring'!$E$5:$E$13,MATCH("Downtime Control",'Standards &amp; Scoring'!$A$5:$A$13,0))/IFERROR(SUMIFS('Fault &amp; Downtime Entry'!$L$6:$L$1005,'Fault &amp; Downtime Entry'!$E$6:$E$1005,G295,'Fault &amp; Downtime Entry'!$B$6:$B$1005,B295)/O295*1000,999999)))))</f>
        <v/>
      </c>
      <c r="AT295" s="49" t="n">
        <f aca="false">IF(COUNTA(AH295,AJ295)=0,"",MIN(120,IF(AND(AH295&lt;&gt;"",AJ295&lt;&gt;""),AVERAGE(AH295,AJ295),IF(AH295&lt;&gt;"",AH295,AJ295))))</f>
        <v>0</v>
      </c>
      <c r="AU295" s="49" t="str">
        <f aca="false">IF(AI295="","",MIN(120,AI295))</f>
        <v/>
      </c>
      <c r="AV295" s="49" t="str">
        <f aca="false">IF(AJ295="","",MIN(120,AJ295))</f>
        <v/>
      </c>
      <c r="AW295" s="50" t="str">
        <f aca="false">IF(COUNT(AN295:AV295)&lt;9,"",(AN295*'Standards &amp; Scoring'!$D$5+AO295*'Standards &amp; Scoring'!$D$6+AP295*'Standards &amp; Scoring'!$D$7+AQ295*'Standards &amp; Scoring'!$D$8+AR295*'Standards &amp; Scoring'!$D$9+AS295*'Standards &amp; Scoring'!$D$10+AT295*'Standards &amp; Scoring'!$D$11+AU295*'Standards &amp; Scoring'!$D$12+AV295*'Standards &amp; Scoring'!$D$13)/10000)</f>
        <v/>
      </c>
      <c r="AX295" s="47" t="str">
        <f aca="false">IF(AW295="","",IF(AW295&gt;=1.05,"A+",IF(AW295&gt;=1,"A",IF(AW295&gt;=0.95,"B+",IF(AW295&gt;=0.9,"B","C")))))</f>
        <v/>
      </c>
      <c r="AY295" s="47" t="str">
        <f aca="false">IF(AX295="","",IF(AX295="A+",1800,IF(AX295="A",1600,IF(AX295="B+",1400,IF(AX295="B",1200,0)))))</f>
        <v/>
      </c>
      <c r="AZ295" s="49" t="str">
        <f aca="false">IF(OR(L295="",M295="",S295="",M295=0),"",IFERROR(L295*60*S295/(M295*36),0))</f>
        <v/>
      </c>
    </row>
    <row r="296" customFormat="false" ht="15" hidden="false" customHeight="true" outlineLevel="0" collapsed="false">
      <c r="A296" s="47" t="n">
        <f aca="false">'Daily KPI Entry'!A297</f>
        <v>0</v>
      </c>
      <c r="B296" s="48" t="n">
        <f aca="false">'Daily KPI Entry'!B297</f>
        <v>0</v>
      </c>
      <c r="C296" s="47" t="n">
        <f aca="false">'Daily KPI Entry'!C297</f>
        <v>0</v>
      </c>
      <c r="D296" s="47" t="n">
        <f aca="false">'Daily KPI Entry'!D297</f>
        <v>0</v>
      </c>
      <c r="E296" s="47" t="n">
        <f aca="false">'Daily KPI Entry'!E297</f>
        <v>0</v>
      </c>
      <c r="F296" s="47" t="n">
        <f aca="false">'Daily KPI Entry'!F297</f>
        <v>0</v>
      </c>
      <c r="G296" s="47" t="n">
        <f aca="false">'Daily KPI Entry'!G297</f>
        <v>0</v>
      </c>
      <c r="H296" s="47" t="str">
        <f aca="false">'Daily KPI Entry'!H297</f>
        <v/>
      </c>
      <c r="I296" s="47" t="n">
        <f aca="false">'Daily KPI Entry'!I297</f>
        <v>0</v>
      </c>
      <c r="J296" s="47" t="n">
        <f aca="false">'Daily KPI Entry'!J297</f>
        <v>0</v>
      </c>
      <c r="K296" s="47" t="n">
        <f aca="false">'Daily KPI Entry'!K297</f>
        <v>0</v>
      </c>
      <c r="L296" s="47" t="n">
        <f aca="false">'Daily KPI Entry'!L297</f>
        <v>0</v>
      </c>
      <c r="M296" s="47" t="n">
        <f aca="false">'Daily KPI Entry'!M297</f>
        <v>0</v>
      </c>
      <c r="N296" s="49" t="n">
        <f aca="false">'Daily KPI Entry'!N297</f>
        <v>0</v>
      </c>
      <c r="O296" s="49" t="n">
        <f aca="false">'Daily KPI Entry'!O297</f>
        <v>0</v>
      </c>
      <c r="P296" s="49" t="str">
        <f aca="false">IF(OR(N296="",O296=""),"",IFERROR(O296/N296*100,0))</f>
        <v/>
      </c>
      <c r="Q296" s="47" t="n">
        <f aca="false">'Daily KPI Entry'!Q297</f>
        <v>8</v>
      </c>
      <c r="R296" s="47" t="str">
        <f aca="false">IF(J296="","",Q296*J296)</f>
        <v/>
      </c>
      <c r="S296" s="49" t="n">
        <f aca="false">'Daily KPI Entry'!S297</f>
        <v>0</v>
      </c>
      <c r="T296" s="49" t="str">
        <f aca="false">IF(OR(R296="",S296=""),"",IFERROR(S296/R296*100,0))</f>
        <v/>
      </c>
      <c r="U296" s="49" t="str">
        <f aca="false">IF(OR(O296="",L296="",M296="",S296="",M296=0),"",IFERROR(O296/(L296*60*S296/(M296*36))*100,0))</f>
        <v/>
      </c>
      <c r="V296" s="49" t="n">
        <f aca="false">'Daily KPI Entry'!V297</f>
        <v>0</v>
      </c>
      <c r="W296" s="49" t="str">
        <f aca="false">IF(O296="","",IFERROR(V296/O296*100,0))</f>
        <v/>
      </c>
      <c r="X296" s="49" t="n">
        <f aca="false">'Daily KPI Entry'!X297</f>
        <v>0</v>
      </c>
      <c r="Y296" s="49" t="n">
        <f aca="false">'Daily KPI Entry'!Y297</f>
        <v>0</v>
      </c>
      <c r="Z296" s="49" t="n">
        <f aca="false">'Daily KPI Entry'!Z297</f>
        <v>0</v>
      </c>
      <c r="AA296" s="49" t="n">
        <f aca="false">'Daily KPI Entry'!AA297</f>
        <v>0</v>
      </c>
      <c r="AB296" s="49" t="n">
        <f aca="false">'Daily KPI Entry'!AB297</f>
        <v>0</v>
      </c>
      <c r="AC296" s="49" t="n">
        <f aca="false">'Daily KPI Entry'!AC297</f>
        <v>0</v>
      </c>
      <c r="AD296" s="49" t="n">
        <f aca="false">'Daily KPI Entry'!AD297</f>
        <v>0</v>
      </c>
      <c r="AE296" s="49" t="n">
        <f aca="false">'Daily KPI Entry'!AE297</f>
        <v>0</v>
      </c>
      <c r="AF296" s="47" t="str">
        <f aca="false">IF(O296="","",SUM(X296:AE296))</f>
        <v/>
      </c>
      <c r="AG296" s="49" t="str">
        <f aca="false">IF(O296="","",IFERROR(AF296/O296*1000,0))</f>
        <v/>
      </c>
      <c r="AH296" s="49" t="n">
        <f aca="false">'Daily KPI Entry'!AH297</f>
        <v>0</v>
      </c>
      <c r="AI296" s="49" t="n">
        <f aca="false">'Daily KPI Entry'!AI297</f>
        <v>0</v>
      </c>
      <c r="AJ296" s="49" t="n">
        <f aca="false">'Daily KPI Entry'!AJ297</f>
        <v>0</v>
      </c>
      <c r="AK296" s="47" t="n">
        <f aca="false">'Daily KPI Entry'!AK297</f>
        <v>0</v>
      </c>
      <c r="AL296" s="47" t="n">
        <f aca="false">'Daily KPI Entry'!AL297</f>
        <v>0</v>
      </c>
      <c r="AM296" s="47" t="n">
        <f aca="false">'Daily KPI Entry'!AM297</f>
        <v>0</v>
      </c>
      <c r="AN296" s="49" t="str">
        <f aca="false">IF(P296="","",MIN(120,P296))</f>
        <v/>
      </c>
      <c r="AO296" s="49" t="str">
        <f aca="false">IF(U296="","",MIN(120,U296))</f>
        <v/>
      </c>
      <c r="AP296" s="49" t="str">
        <f aca="false">IF(R296="","",MIN(120,IFERROR(S296/R296*100,0)))</f>
        <v/>
      </c>
      <c r="AQ296" s="49" t="str">
        <f aca="false">IF(W296="","",MIN(120,IF(W296=0,120,100*(INDEX('Standards &amp; Scoring'!$E$5:$E$13,MATCH("Quality / Rejection",'Standards &amp; Scoring'!$A$5:$A$13,0))/W296))))</f>
        <v/>
      </c>
      <c r="AR296" s="49" t="str">
        <f aca="false">IF(AG296="","",MIN(120,IF(AG296=0,120,100*(INDEX('Standards &amp; Scoring'!$E$5:$E$13,MATCH("Fault Control",'Standards &amp; Scoring'!$A$5:$A$13,0))/AG296))))</f>
        <v/>
      </c>
      <c r="AS296" s="49" t="str">
        <f aca="false">IF(O296="","",MIN(120,IF(SUMIFS('Fault &amp; Downtime Entry'!$L$6:$L$1005,'Fault &amp; Downtime Entry'!$E$6:$E$1005,G296,'Fault &amp; Downtime Entry'!$B$6:$B$1005,B296)=0,120,100*(INDEX('Standards &amp; Scoring'!$E$5:$E$13,MATCH("Downtime Control",'Standards &amp; Scoring'!$A$5:$A$13,0))/IFERROR(SUMIFS('Fault &amp; Downtime Entry'!$L$6:$L$1005,'Fault &amp; Downtime Entry'!$E$6:$E$1005,G296,'Fault &amp; Downtime Entry'!$B$6:$B$1005,B296)/O296*1000,999999)))))</f>
        <v/>
      </c>
      <c r="AT296" s="49" t="n">
        <f aca="false">IF(COUNTA(AH296,AJ296)=0,"",MIN(120,IF(AND(AH296&lt;&gt;"",AJ296&lt;&gt;""),AVERAGE(AH296,AJ296),IF(AH296&lt;&gt;"",AH296,AJ296))))</f>
        <v>0</v>
      </c>
      <c r="AU296" s="49" t="str">
        <f aca="false">IF(AI296="","",MIN(120,AI296))</f>
        <v/>
      </c>
      <c r="AV296" s="49" t="str">
        <f aca="false">IF(AJ296="","",MIN(120,AJ296))</f>
        <v/>
      </c>
      <c r="AW296" s="50" t="str">
        <f aca="false">IF(COUNT(AN296:AV296)&lt;9,"",(AN296*'Standards &amp; Scoring'!$D$5+AO296*'Standards &amp; Scoring'!$D$6+AP296*'Standards &amp; Scoring'!$D$7+AQ296*'Standards &amp; Scoring'!$D$8+AR296*'Standards &amp; Scoring'!$D$9+AS296*'Standards &amp; Scoring'!$D$10+AT296*'Standards &amp; Scoring'!$D$11+AU296*'Standards &amp; Scoring'!$D$12+AV296*'Standards &amp; Scoring'!$D$13)/10000)</f>
        <v/>
      </c>
      <c r="AX296" s="47" t="str">
        <f aca="false">IF(AW296="","",IF(AW296&gt;=1.05,"A+",IF(AW296&gt;=1,"A",IF(AW296&gt;=0.95,"B+",IF(AW296&gt;=0.9,"B","C")))))</f>
        <v/>
      </c>
      <c r="AY296" s="47" t="str">
        <f aca="false">IF(AX296="","",IF(AX296="A+",1800,IF(AX296="A",1600,IF(AX296="B+",1400,IF(AX296="B",1200,0)))))</f>
        <v/>
      </c>
      <c r="AZ296" s="49" t="str">
        <f aca="false">IF(OR(L296="",M296="",S296="",M296=0),"",IFERROR(L296*60*S296/(M296*36),0))</f>
        <v/>
      </c>
    </row>
    <row r="297" customFormat="false" ht="15" hidden="false" customHeight="true" outlineLevel="0" collapsed="false">
      <c r="A297" s="47" t="n">
        <f aca="false">'Daily KPI Entry'!A298</f>
        <v>0</v>
      </c>
      <c r="B297" s="48" t="n">
        <f aca="false">'Daily KPI Entry'!B298</f>
        <v>0</v>
      </c>
      <c r="C297" s="47" t="n">
        <f aca="false">'Daily KPI Entry'!C298</f>
        <v>0</v>
      </c>
      <c r="D297" s="47" t="n">
        <f aca="false">'Daily KPI Entry'!D298</f>
        <v>0</v>
      </c>
      <c r="E297" s="47" t="n">
        <f aca="false">'Daily KPI Entry'!E298</f>
        <v>0</v>
      </c>
      <c r="F297" s="47" t="n">
        <f aca="false">'Daily KPI Entry'!F298</f>
        <v>0</v>
      </c>
      <c r="G297" s="47" t="n">
        <f aca="false">'Daily KPI Entry'!G298</f>
        <v>0</v>
      </c>
      <c r="H297" s="47" t="str">
        <f aca="false">'Daily KPI Entry'!H298</f>
        <v/>
      </c>
      <c r="I297" s="47" t="n">
        <f aca="false">'Daily KPI Entry'!I298</f>
        <v>0</v>
      </c>
      <c r="J297" s="47" t="n">
        <f aca="false">'Daily KPI Entry'!J298</f>
        <v>0</v>
      </c>
      <c r="K297" s="47" t="n">
        <f aca="false">'Daily KPI Entry'!K298</f>
        <v>0</v>
      </c>
      <c r="L297" s="47" t="n">
        <f aca="false">'Daily KPI Entry'!L298</f>
        <v>0</v>
      </c>
      <c r="M297" s="47" t="n">
        <f aca="false">'Daily KPI Entry'!M298</f>
        <v>0</v>
      </c>
      <c r="N297" s="49" t="n">
        <f aca="false">'Daily KPI Entry'!N298</f>
        <v>0</v>
      </c>
      <c r="O297" s="49" t="n">
        <f aca="false">'Daily KPI Entry'!O298</f>
        <v>0</v>
      </c>
      <c r="P297" s="49" t="str">
        <f aca="false">IF(OR(N297="",O297=""),"",IFERROR(O297/N297*100,0))</f>
        <v/>
      </c>
      <c r="Q297" s="47" t="n">
        <f aca="false">'Daily KPI Entry'!Q298</f>
        <v>8</v>
      </c>
      <c r="R297" s="47" t="str">
        <f aca="false">IF(J297="","",Q297*J297)</f>
        <v/>
      </c>
      <c r="S297" s="49" t="n">
        <f aca="false">'Daily KPI Entry'!S298</f>
        <v>0</v>
      </c>
      <c r="T297" s="49" t="str">
        <f aca="false">IF(OR(R297="",S297=""),"",IFERROR(S297/R297*100,0))</f>
        <v/>
      </c>
      <c r="U297" s="49" t="str">
        <f aca="false">IF(OR(O297="",L297="",M297="",S297="",M297=0),"",IFERROR(O297/(L297*60*S297/(M297*36))*100,0))</f>
        <v/>
      </c>
      <c r="V297" s="49" t="n">
        <f aca="false">'Daily KPI Entry'!V298</f>
        <v>0</v>
      </c>
      <c r="W297" s="49" t="str">
        <f aca="false">IF(O297="","",IFERROR(V297/O297*100,0))</f>
        <v/>
      </c>
      <c r="X297" s="49" t="n">
        <f aca="false">'Daily KPI Entry'!X298</f>
        <v>0</v>
      </c>
      <c r="Y297" s="49" t="n">
        <f aca="false">'Daily KPI Entry'!Y298</f>
        <v>0</v>
      </c>
      <c r="Z297" s="49" t="n">
        <f aca="false">'Daily KPI Entry'!Z298</f>
        <v>0</v>
      </c>
      <c r="AA297" s="49" t="n">
        <f aca="false">'Daily KPI Entry'!AA298</f>
        <v>0</v>
      </c>
      <c r="AB297" s="49" t="n">
        <f aca="false">'Daily KPI Entry'!AB298</f>
        <v>0</v>
      </c>
      <c r="AC297" s="49" t="n">
        <f aca="false">'Daily KPI Entry'!AC298</f>
        <v>0</v>
      </c>
      <c r="AD297" s="49" t="n">
        <f aca="false">'Daily KPI Entry'!AD298</f>
        <v>0</v>
      </c>
      <c r="AE297" s="49" t="n">
        <f aca="false">'Daily KPI Entry'!AE298</f>
        <v>0</v>
      </c>
      <c r="AF297" s="47" t="str">
        <f aca="false">IF(O297="","",SUM(X297:AE297))</f>
        <v/>
      </c>
      <c r="AG297" s="49" t="str">
        <f aca="false">IF(O297="","",IFERROR(AF297/O297*1000,0))</f>
        <v/>
      </c>
      <c r="AH297" s="49" t="n">
        <f aca="false">'Daily KPI Entry'!AH298</f>
        <v>0</v>
      </c>
      <c r="AI297" s="49" t="n">
        <f aca="false">'Daily KPI Entry'!AI298</f>
        <v>0</v>
      </c>
      <c r="AJ297" s="49" t="n">
        <f aca="false">'Daily KPI Entry'!AJ298</f>
        <v>0</v>
      </c>
      <c r="AK297" s="47" t="n">
        <f aca="false">'Daily KPI Entry'!AK298</f>
        <v>0</v>
      </c>
      <c r="AL297" s="47" t="n">
        <f aca="false">'Daily KPI Entry'!AL298</f>
        <v>0</v>
      </c>
      <c r="AM297" s="47" t="n">
        <f aca="false">'Daily KPI Entry'!AM298</f>
        <v>0</v>
      </c>
      <c r="AN297" s="49" t="str">
        <f aca="false">IF(P297="","",MIN(120,P297))</f>
        <v/>
      </c>
      <c r="AO297" s="49" t="str">
        <f aca="false">IF(U297="","",MIN(120,U297))</f>
        <v/>
      </c>
      <c r="AP297" s="49" t="str">
        <f aca="false">IF(R297="","",MIN(120,IFERROR(S297/R297*100,0)))</f>
        <v/>
      </c>
      <c r="AQ297" s="49" t="str">
        <f aca="false">IF(W297="","",MIN(120,IF(W297=0,120,100*(INDEX('Standards &amp; Scoring'!$E$5:$E$13,MATCH("Quality / Rejection",'Standards &amp; Scoring'!$A$5:$A$13,0))/W297))))</f>
        <v/>
      </c>
      <c r="AR297" s="49" t="str">
        <f aca="false">IF(AG297="","",MIN(120,IF(AG297=0,120,100*(INDEX('Standards &amp; Scoring'!$E$5:$E$13,MATCH("Fault Control",'Standards &amp; Scoring'!$A$5:$A$13,0))/AG297))))</f>
        <v/>
      </c>
      <c r="AS297" s="49" t="str">
        <f aca="false">IF(O297="","",MIN(120,IF(SUMIFS('Fault &amp; Downtime Entry'!$L$6:$L$1005,'Fault &amp; Downtime Entry'!$E$6:$E$1005,G297,'Fault &amp; Downtime Entry'!$B$6:$B$1005,B297)=0,120,100*(INDEX('Standards &amp; Scoring'!$E$5:$E$13,MATCH("Downtime Control",'Standards &amp; Scoring'!$A$5:$A$13,0))/IFERROR(SUMIFS('Fault &amp; Downtime Entry'!$L$6:$L$1005,'Fault &amp; Downtime Entry'!$E$6:$E$1005,G297,'Fault &amp; Downtime Entry'!$B$6:$B$1005,B297)/O297*1000,999999)))))</f>
        <v/>
      </c>
      <c r="AT297" s="49" t="n">
        <f aca="false">IF(COUNTA(AH297,AJ297)=0,"",MIN(120,IF(AND(AH297&lt;&gt;"",AJ297&lt;&gt;""),AVERAGE(AH297,AJ297),IF(AH297&lt;&gt;"",AH297,AJ297))))</f>
        <v>0</v>
      </c>
      <c r="AU297" s="49" t="str">
        <f aca="false">IF(AI297="","",MIN(120,AI297))</f>
        <v/>
      </c>
      <c r="AV297" s="49" t="str">
        <f aca="false">IF(AJ297="","",MIN(120,AJ297))</f>
        <v/>
      </c>
      <c r="AW297" s="50" t="str">
        <f aca="false">IF(COUNT(AN297:AV297)&lt;9,"",(AN297*'Standards &amp; Scoring'!$D$5+AO297*'Standards &amp; Scoring'!$D$6+AP297*'Standards &amp; Scoring'!$D$7+AQ297*'Standards &amp; Scoring'!$D$8+AR297*'Standards &amp; Scoring'!$D$9+AS297*'Standards &amp; Scoring'!$D$10+AT297*'Standards &amp; Scoring'!$D$11+AU297*'Standards &amp; Scoring'!$D$12+AV297*'Standards &amp; Scoring'!$D$13)/10000)</f>
        <v/>
      </c>
      <c r="AX297" s="47" t="str">
        <f aca="false">IF(AW297="","",IF(AW297&gt;=1.05,"A+",IF(AW297&gt;=1,"A",IF(AW297&gt;=0.95,"B+",IF(AW297&gt;=0.9,"B","C")))))</f>
        <v/>
      </c>
      <c r="AY297" s="47" t="str">
        <f aca="false">IF(AX297="","",IF(AX297="A+",1800,IF(AX297="A",1600,IF(AX297="B+",1400,IF(AX297="B",1200,0)))))</f>
        <v/>
      </c>
      <c r="AZ297" s="49" t="str">
        <f aca="false">IF(OR(L297="",M297="",S297="",M297=0),"",IFERROR(L297*60*S297/(M297*36),0))</f>
        <v/>
      </c>
    </row>
    <row r="298" customFormat="false" ht="15" hidden="false" customHeight="true" outlineLevel="0" collapsed="false">
      <c r="A298" s="47" t="n">
        <f aca="false">'Daily KPI Entry'!A299</f>
        <v>0</v>
      </c>
      <c r="B298" s="48" t="n">
        <f aca="false">'Daily KPI Entry'!B299</f>
        <v>0</v>
      </c>
      <c r="C298" s="47" t="n">
        <f aca="false">'Daily KPI Entry'!C299</f>
        <v>0</v>
      </c>
      <c r="D298" s="47" t="n">
        <f aca="false">'Daily KPI Entry'!D299</f>
        <v>0</v>
      </c>
      <c r="E298" s="47" t="n">
        <f aca="false">'Daily KPI Entry'!E299</f>
        <v>0</v>
      </c>
      <c r="F298" s="47" t="n">
        <f aca="false">'Daily KPI Entry'!F299</f>
        <v>0</v>
      </c>
      <c r="G298" s="47" t="n">
        <f aca="false">'Daily KPI Entry'!G299</f>
        <v>0</v>
      </c>
      <c r="H298" s="47" t="str">
        <f aca="false">'Daily KPI Entry'!H299</f>
        <v/>
      </c>
      <c r="I298" s="47" t="n">
        <f aca="false">'Daily KPI Entry'!I299</f>
        <v>0</v>
      </c>
      <c r="J298" s="47" t="n">
        <f aca="false">'Daily KPI Entry'!J299</f>
        <v>0</v>
      </c>
      <c r="K298" s="47" t="n">
        <f aca="false">'Daily KPI Entry'!K299</f>
        <v>0</v>
      </c>
      <c r="L298" s="47" t="n">
        <f aca="false">'Daily KPI Entry'!L299</f>
        <v>0</v>
      </c>
      <c r="M298" s="47" t="n">
        <f aca="false">'Daily KPI Entry'!M299</f>
        <v>0</v>
      </c>
      <c r="N298" s="49" t="n">
        <f aca="false">'Daily KPI Entry'!N299</f>
        <v>0</v>
      </c>
      <c r="O298" s="49" t="n">
        <f aca="false">'Daily KPI Entry'!O299</f>
        <v>0</v>
      </c>
      <c r="P298" s="49" t="str">
        <f aca="false">IF(OR(N298="",O298=""),"",IFERROR(O298/N298*100,0))</f>
        <v/>
      </c>
      <c r="Q298" s="47" t="n">
        <f aca="false">'Daily KPI Entry'!Q299</f>
        <v>8</v>
      </c>
      <c r="R298" s="47" t="str">
        <f aca="false">IF(J298="","",Q298*J298)</f>
        <v/>
      </c>
      <c r="S298" s="49" t="n">
        <f aca="false">'Daily KPI Entry'!S299</f>
        <v>0</v>
      </c>
      <c r="T298" s="49" t="str">
        <f aca="false">IF(OR(R298="",S298=""),"",IFERROR(S298/R298*100,0))</f>
        <v/>
      </c>
      <c r="U298" s="49" t="str">
        <f aca="false">IF(OR(O298="",L298="",M298="",S298="",M298=0),"",IFERROR(O298/(L298*60*S298/(M298*36))*100,0))</f>
        <v/>
      </c>
      <c r="V298" s="49" t="n">
        <f aca="false">'Daily KPI Entry'!V299</f>
        <v>0</v>
      </c>
      <c r="W298" s="49" t="str">
        <f aca="false">IF(O298="","",IFERROR(V298/O298*100,0))</f>
        <v/>
      </c>
      <c r="X298" s="49" t="n">
        <f aca="false">'Daily KPI Entry'!X299</f>
        <v>0</v>
      </c>
      <c r="Y298" s="49" t="n">
        <f aca="false">'Daily KPI Entry'!Y299</f>
        <v>0</v>
      </c>
      <c r="Z298" s="49" t="n">
        <f aca="false">'Daily KPI Entry'!Z299</f>
        <v>0</v>
      </c>
      <c r="AA298" s="49" t="n">
        <f aca="false">'Daily KPI Entry'!AA299</f>
        <v>0</v>
      </c>
      <c r="AB298" s="49" t="n">
        <f aca="false">'Daily KPI Entry'!AB299</f>
        <v>0</v>
      </c>
      <c r="AC298" s="49" t="n">
        <f aca="false">'Daily KPI Entry'!AC299</f>
        <v>0</v>
      </c>
      <c r="AD298" s="49" t="n">
        <f aca="false">'Daily KPI Entry'!AD299</f>
        <v>0</v>
      </c>
      <c r="AE298" s="49" t="n">
        <f aca="false">'Daily KPI Entry'!AE299</f>
        <v>0</v>
      </c>
      <c r="AF298" s="47" t="str">
        <f aca="false">IF(O298="","",SUM(X298:AE298))</f>
        <v/>
      </c>
      <c r="AG298" s="49" t="str">
        <f aca="false">IF(O298="","",IFERROR(AF298/O298*1000,0))</f>
        <v/>
      </c>
      <c r="AH298" s="49" t="n">
        <f aca="false">'Daily KPI Entry'!AH299</f>
        <v>0</v>
      </c>
      <c r="AI298" s="49" t="n">
        <f aca="false">'Daily KPI Entry'!AI299</f>
        <v>0</v>
      </c>
      <c r="AJ298" s="49" t="n">
        <f aca="false">'Daily KPI Entry'!AJ299</f>
        <v>0</v>
      </c>
      <c r="AK298" s="47" t="n">
        <f aca="false">'Daily KPI Entry'!AK299</f>
        <v>0</v>
      </c>
      <c r="AL298" s="47" t="n">
        <f aca="false">'Daily KPI Entry'!AL299</f>
        <v>0</v>
      </c>
      <c r="AM298" s="47" t="n">
        <f aca="false">'Daily KPI Entry'!AM299</f>
        <v>0</v>
      </c>
      <c r="AN298" s="49" t="str">
        <f aca="false">IF(P298="","",MIN(120,P298))</f>
        <v/>
      </c>
      <c r="AO298" s="49" t="str">
        <f aca="false">IF(U298="","",MIN(120,U298))</f>
        <v/>
      </c>
      <c r="AP298" s="49" t="str">
        <f aca="false">IF(R298="","",MIN(120,IFERROR(S298/R298*100,0)))</f>
        <v/>
      </c>
      <c r="AQ298" s="49" t="str">
        <f aca="false">IF(W298="","",MIN(120,IF(W298=0,120,100*(INDEX('Standards &amp; Scoring'!$E$5:$E$13,MATCH("Quality / Rejection",'Standards &amp; Scoring'!$A$5:$A$13,0))/W298))))</f>
        <v/>
      </c>
      <c r="AR298" s="49" t="str">
        <f aca="false">IF(AG298="","",MIN(120,IF(AG298=0,120,100*(INDEX('Standards &amp; Scoring'!$E$5:$E$13,MATCH("Fault Control",'Standards &amp; Scoring'!$A$5:$A$13,0))/AG298))))</f>
        <v/>
      </c>
      <c r="AS298" s="49" t="str">
        <f aca="false">IF(O298="","",MIN(120,IF(SUMIFS('Fault &amp; Downtime Entry'!$L$6:$L$1005,'Fault &amp; Downtime Entry'!$E$6:$E$1005,G298,'Fault &amp; Downtime Entry'!$B$6:$B$1005,B298)=0,120,100*(INDEX('Standards &amp; Scoring'!$E$5:$E$13,MATCH("Downtime Control",'Standards &amp; Scoring'!$A$5:$A$13,0))/IFERROR(SUMIFS('Fault &amp; Downtime Entry'!$L$6:$L$1005,'Fault &amp; Downtime Entry'!$E$6:$E$1005,G298,'Fault &amp; Downtime Entry'!$B$6:$B$1005,B298)/O298*1000,999999)))))</f>
        <v/>
      </c>
      <c r="AT298" s="49" t="n">
        <f aca="false">IF(COUNTA(AH298,AJ298)=0,"",MIN(120,IF(AND(AH298&lt;&gt;"",AJ298&lt;&gt;""),AVERAGE(AH298,AJ298),IF(AH298&lt;&gt;"",AH298,AJ298))))</f>
        <v>0</v>
      </c>
      <c r="AU298" s="49" t="str">
        <f aca="false">IF(AI298="","",MIN(120,AI298))</f>
        <v/>
      </c>
      <c r="AV298" s="49" t="str">
        <f aca="false">IF(AJ298="","",MIN(120,AJ298))</f>
        <v/>
      </c>
      <c r="AW298" s="50" t="str">
        <f aca="false">IF(COUNT(AN298:AV298)&lt;9,"",(AN298*'Standards &amp; Scoring'!$D$5+AO298*'Standards &amp; Scoring'!$D$6+AP298*'Standards &amp; Scoring'!$D$7+AQ298*'Standards &amp; Scoring'!$D$8+AR298*'Standards &amp; Scoring'!$D$9+AS298*'Standards &amp; Scoring'!$D$10+AT298*'Standards &amp; Scoring'!$D$11+AU298*'Standards &amp; Scoring'!$D$12+AV298*'Standards &amp; Scoring'!$D$13)/10000)</f>
        <v/>
      </c>
      <c r="AX298" s="47" t="str">
        <f aca="false">IF(AW298="","",IF(AW298&gt;=1.05,"A+",IF(AW298&gt;=1,"A",IF(AW298&gt;=0.95,"B+",IF(AW298&gt;=0.9,"B","C")))))</f>
        <v/>
      </c>
      <c r="AY298" s="47" t="str">
        <f aca="false">IF(AX298="","",IF(AX298="A+",1800,IF(AX298="A",1600,IF(AX298="B+",1400,IF(AX298="B",1200,0)))))</f>
        <v/>
      </c>
      <c r="AZ298" s="49" t="str">
        <f aca="false">IF(OR(L298="",M298="",S298="",M298=0),"",IFERROR(L298*60*S298/(M298*36),0))</f>
        <v/>
      </c>
    </row>
    <row r="299" customFormat="false" ht="15" hidden="false" customHeight="true" outlineLevel="0" collapsed="false">
      <c r="A299" s="47" t="n">
        <f aca="false">'Daily KPI Entry'!A300</f>
        <v>0</v>
      </c>
      <c r="B299" s="48" t="n">
        <f aca="false">'Daily KPI Entry'!B300</f>
        <v>0</v>
      </c>
      <c r="C299" s="47" t="n">
        <f aca="false">'Daily KPI Entry'!C300</f>
        <v>0</v>
      </c>
      <c r="D299" s="47" t="n">
        <f aca="false">'Daily KPI Entry'!D300</f>
        <v>0</v>
      </c>
      <c r="E299" s="47" t="n">
        <f aca="false">'Daily KPI Entry'!E300</f>
        <v>0</v>
      </c>
      <c r="F299" s="47" t="n">
        <f aca="false">'Daily KPI Entry'!F300</f>
        <v>0</v>
      </c>
      <c r="G299" s="47" t="n">
        <f aca="false">'Daily KPI Entry'!G300</f>
        <v>0</v>
      </c>
      <c r="H299" s="47" t="str">
        <f aca="false">'Daily KPI Entry'!H300</f>
        <v/>
      </c>
      <c r="I299" s="47" t="n">
        <f aca="false">'Daily KPI Entry'!I300</f>
        <v>0</v>
      </c>
      <c r="J299" s="47" t="n">
        <f aca="false">'Daily KPI Entry'!J300</f>
        <v>0</v>
      </c>
      <c r="K299" s="47" t="n">
        <f aca="false">'Daily KPI Entry'!K300</f>
        <v>0</v>
      </c>
      <c r="L299" s="47" t="n">
        <f aca="false">'Daily KPI Entry'!L300</f>
        <v>0</v>
      </c>
      <c r="M299" s="47" t="n">
        <f aca="false">'Daily KPI Entry'!M300</f>
        <v>0</v>
      </c>
      <c r="N299" s="49" t="n">
        <f aca="false">'Daily KPI Entry'!N300</f>
        <v>0</v>
      </c>
      <c r="O299" s="49" t="n">
        <f aca="false">'Daily KPI Entry'!O300</f>
        <v>0</v>
      </c>
      <c r="P299" s="49" t="str">
        <f aca="false">IF(OR(N299="",O299=""),"",IFERROR(O299/N299*100,0))</f>
        <v/>
      </c>
      <c r="Q299" s="47" t="n">
        <f aca="false">'Daily KPI Entry'!Q300</f>
        <v>8</v>
      </c>
      <c r="R299" s="47" t="str">
        <f aca="false">IF(J299="","",Q299*J299)</f>
        <v/>
      </c>
      <c r="S299" s="49" t="n">
        <f aca="false">'Daily KPI Entry'!S300</f>
        <v>0</v>
      </c>
      <c r="T299" s="49" t="str">
        <f aca="false">IF(OR(R299="",S299=""),"",IFERROR(S299/R299*100,0))</f>
        <v/>
      </c>
      <c r="U299" s="49" t="str">
        <f aca="false">IF(OR(O299="",L299="",M299="",S299="",M299=0),"",IFERROR(O299/(L299*60*S299/(M299*36))*100,0))</f>
        <v/>
      </c>
      <c r="V299" s="49" t="n">
        <f aca="false">'Daily KPI Entry'!V300</f>
        <v>0</v>
      </c>
      <c r="W299" s="49" t="str">
        <f aca="false">IF(O299="","",IFERROR(V299/O299*100,0))</f>
        <v/>
      </c>
      <c r="X299" s="49" t="n">
        <f aca="false">'Daily KPI Entry'!X300</f>
        <v>0</v>
      </c>
      <c r="Y299" s="49" t="n">
        <f aca="false">'Daily KPI Entry'!Y300</f>
        <v>0</v>
      </c>
      <c r="Z299" s="49" t="n">
        <f aca="false">'Daily KPI Entry'!Z300</f>
        <v>0</v>
      </c>
      <c r="AA299" s="49" t="n">
        <f aca="false">'Daily KPI Entry'!AA300</f>
        <v>0</v>
      </c>
      <c r="AB299" s="49" t="n">
        <f aca="false">'Daily KPI Entry'!AB300</f>
        <v>0</v>
      </c>
      <c r="AC299" s="49" t="n">
        <f aca="false">'Daily KPI Entry'!AC300</f>
        <v>0</v>
      </c>
      <c r="AD299" s="49" t="n">
        <f aca="false">'Daily KPI Entry'!AD300</f>
        <v>0</v>
      </c>
      <c r="AE299" s="49" t="n">
        <f aca="false">'Daily KPI Entry'!AE300</f>
        <v>0</v>
      </c>
      <c r="AF299" s="47" t="str">
        <f aca="false">IF(O299="","",SUM(X299:AE299))</f>
        <v/>
      </c>
      <c r="AG299" s="49" t="str">
        <f aca="false">IF(O299="","",IFERROR(AF299/O299*1000,0))</f>
        <v/>
      </c>
      <c r="AH299" s="49" t="n">
        <f aca="false">'Daily KPI Entry'!AH300</f>
        <v>0</v>
      </c>
      <c r="AI299" s="49" t="n">
        <f aca="false">'Daily KPI Entry'!AI300</f>
        <v>0</v>
      </c>
      <c r="AJ299" s="49" t="n">
        <f aca="false">'Daily KPI Entry'!AJ300</f>
        <v>0</v>
      </c>
      <c r="AK299" s="47" t="n">
        <f aca="false">'Daily KPI Entry'!AK300</f>
        <v>0</v>
      </c>
      <c r="AL299" s="47" t="n">
        <f aca="false">'Daily KPI Entry'!AL300</f>
        <v>0</v>
      </c>
      <c r="AM299" s="47" t="n">
        <f aca="false">'Daily KPI Entry'!AM300</f>
        <v>0</v>
      </c>
      <c r="AN299" s="49" t="str">
        <f aca="false">IF(P299="","",MIN(120,P299))</f>
        <v/>
      </c>
      <c r="AO299" s="49" t="str">
        <f aca="false">IF(U299="","",MIN(120,U299))</f>
        <v/>
      </c>
      <c r="AP299" s="49" t="str">
        <f aca="false">IF(R299="","",MIN(120,IFERROR(S299/R299*100,0)))</f>
        <v/>
      </c>
      <c r="AQ299" s="49" t="str">
        <f aca="false">IF(W299="","",MIN(120,IF(W299=0,120,100*(INDEX('Standards &amp; Scoring'!$E$5:$E$13,MATCH("Quality / Rejection",'Standards &amp; Scoring'!$A$5:$A$13,0))/W299))))</f>
        <v/>
      </c>
      <c r="AR299" s="49" t="str">
        <f aca="false">IF(AG299="","",MIN(120,IF(AG299=0,120,100*(INDEX('Standards &amp; Scoring'!$E$5:$E$13,MATCH("Fault Control",'Standards &amp; Scoring'!$A$5:$A$13,0))/AG299))))</f>
        <v/>
      </c>
      <c r="AS299" s="49" t="str">
        <f aca="false">IF(O299="","",MIN(120,IF(SUMIFS('Fault &amp; Downtime Entry'!$L$6:$L$1005,'Fault &amp; Downtime Entry'!$E$6:$E$1005,G299,'Fault &amp; Downtime Entry'!$B$6:$B$1005,B299)=0,120,100*(INDEX('Standards &amp; Scoring'!$E$5:$E$13,MATCH("Downtime Control",'Standards &amp; Scoring'!$A$5:$A$13,0))/IFERROR(SUMIFS('Fault &amp; Downtime Entry'!$L$6:$L$1005,'Fault &amp; Downtime Entry'!$E$6:$E$1005,G299,'Fault &amp; Downtime Entry'!$B$6:$B$1005,B299)/O299*1000,999999)))))</f>
        <v/>
      </c>
      <c r="AT299" s="49" t="n">
        <f aca="false">IF(COUNTA(AH299,AJ299)=0,"",MIN(120,IF(AND(AH299&lt;&gt;"",AJ299&lt;&gt;""),AVERAGE(AH299,AJ299),IF(AH299&lt;&gt;"",AH299,AJ299))))</f>
        <v>0</v>
      </c>
      <c r="AU299" s="49" t="str">
        <f aca="false">IF(AI299="","",MIN(120,AI299))</f>
        <v/>
      </c>
      <c r="AV299" s="49" t="str">
        <f aca="false">IF(AJ299="","",MIN(120,AJ299))</f>
        <v/>
      </c>
      <c r="AW299" s="50" t="str">
        <f aca="false">IF(COUNT(AN299:AV299)&lt;9,"",(AN299*'Standards &amp; Scoring'!$D$5+AO299*'Standards &amp; Scoring'!$D$6+AP299*'Standards &amp; Scoring'!$D$7+AQ299*'Standards &amp; Scoring'!$D$8+AR299*'Standards &amp; Scoring'!$D$9+AS299*'Standards &amp; Scoring'!$D$10+AT299*'Standards &amp; Scoring'!$D$11+AU299*'Standards &amp; Scoring'!$D$12+AV299*'Standards &amp; Scoring'!$D$13)/10000)</f>
        <v/>
      </c>
      <c r="AX299" s="47" t="str">
        <f aca="false">IF(AW299="","",IF(AW299&gt;=1.05,"A+",IF(AW299&gt;=1,"A",IF(AW299&gt;=0.95,"B+",IF(AW299&gt;=0.9,"B","C")))))</f>
        <v/>
      </c>
      <c r="AY299" s="47" t="str">
        <f aca="false">IF(AX299="","",IF(AX299="A+",1800,IF(AX299="A",1600,IF(AX299="B+",1400,IF(AX299="B",1200,0)))))</f>
        <v/>
      </c>
      <c r="AZ299" s="49" t="str">
        <f aca="false">IF(OR(L299="",M299="",S299="",M299=0),"",IFERROR(L299*60*S299/(M299*36),0))</f>
        <v/>
      </c>
    </row>
    <row r="300" customFormat="false" ht="15" hidden="false" customHeight="true" outlineLevel="0" collapsed="false">
      <c r="A300" s="47" t="n">
        <f aca="false">'Daily KPI Entry'!A301</f>
        <v>0</v>
      </c>
      <c r="B300" s="48" t="n">
        <f aca="false">'Daily KPI Entry'!B301</f>
        <v>0</v>
      </c>
      <c r="C300" s="47" t="n">
        <f aca="false">'Daily KPI Entry'!C301</f>
        <v>0</v>
      </c>
      <c r="D300" s="47" t="n">
        <f aca="false">'Daily KPI Entry'!D301</f>
        <v>0</v>
      </c>
      <c r="E300" s="47" t="n">
        <f aca="false">'Daily KPI Entry'!E301</f>
        <v>0</v>
      </c>
      <c r="F300" s="47" t="n">
        <f aca="false">'Daily KPI Entry'!F301</f>
        <v>0</v>
      </c>
      <c r="G300" s="47" t="n">
        <f aca="false">'Daily KPI Entry'!G301</f>
        <v>0</v>
      </c>
      <c r="H300" s="47" t="str">
        <f aca="false">'Daily KPI Entry'!H301</f>
        <v/>
      </c>
      <c r="I300" s="47" t="n">
        <f aca="false">'Daily KPI Entry'!I301</f>
        <v>0</v>
      </c>
      <c r="J300" s="47" t="n">
        <f aca="false">'Daily KPI Entry'!J301</f>
        <v>0</v>
      </c>
      <c r="K300" s="47" t="n">
        <f aca="false">'Daily KPI Entry'!K301</f>
        <v>0</v>
      </c>
      <c r="L300" s="47" t="n">
        <f aca="false">'Daily KPI Entry'!L301</f>
        <v>0</v>
      </c>
      <c r="M300" s="47" t="n">
        <f aca="false">'Daily KPI Entry'!M301</f>
        <v>0</v>
      </c>
      <c r="N300" s="49" t="n">
        <f aca="false">'Daily KPI Entry'!N301</f>
        <v>0</v>
      </c>
      <c r="O300" s="49" t="n">
        <f aca="false">'Daily KPI Entry'!O301</f>
        <v>0</v>
      </c>
      <c r="P300" s="49" t="str">
        <f aca="false">IF(OR(N300="",O300=""),"",IFERROR(O300/N300*100,0))</f>
        <v/>
      </c>
      <c r="Q300" s="47" t="n">
        <f aca="false">'Daily KPI Entry'!Q301</f>
        <v>8</v>
      </c>
      <c r="R300" s="47" t="str">
        <f aca="false">IF(J300="","",Q300*J300)</f>
        <v/>
      </c>
      <c r="S300" s="49" t="n">
        <f aca="false">'Daily KPI Entry'!S301</f>
        <v>0</v>
      </c>
      <c r="T300" s="49" t="str">
        <f aca="false">IF(OR(R300="",S300=""),"",IFERROR(S300/R300*100,0))</f>
        <v/>
      </c>
      <c r="U300" s="49" t="str">
        <f aca="false">IF(OR(O300="",L300="",M300="",S300="",M300=0),"",IFERROR(O300/(L300*60*S300/(M300*36))*100,0))</f>
        <v/>
      </c>
      <c r="V300" s="49" t="n">
        <f aca="false">'Daily KPI Entry'!V301</f>
        <v>0</v>
      </c>
      <c r="W300" s="49" t="str">
        <f aca="false">IF(O300="","",IFERROR(V300/O300*100,0))</f>
        <v/>
      </c>
      <c r="X300" s="49" t="n">
        <f aca="false">'Daily KPI Entry'!X301</f>
        <v>0</v>
      </c>
      <c r="Y300" s="49" t="n">
        <f aca="false">'Daily KPI Entry'!Y301</f>
        <v>0</v>
      </c>
      <c r="Z300" s="49" t="n">
        <f aca="false">'Daily KPI Entry'!Z301</f>
        <v>0</v>
      </c>
      <c r="AA300" s="49" t="n">
        <f aca="false">'Daily KPI Entry'!AA301</f>
        <v>0</v>
      </c>
      <c r="AB300" s="49" t="n">
        <f aca="false">'Daily KPI Entry'!AB301</f>
        <v>0</v>
      </c>
      <c r="AC300" s="49" t="n">
        <f aca="false">'Daily KPI Entry'!AC301</f>
        <v>0</v>
      </c>
      <c r="AD300" s="49" t="n">
        <f aca="false">'Daily KPI Entry'!AD301</f>
        <v>0</v>
      </c>
      <c r="AE300" s="49" t="n">
        <f aca="false">'Daily KPI Entry'!AE301</f>
        <v>0</v>
      </c>
      <c r="AF300" s="47" t="str">
        <f aca="false">IF(O300="","",SUM(X300:AE300))</f>
        <v/>
      </c>
      <c r="AG300" s="49" t="str">
        <f aca="false">IF(O300="","",IFERROR(AF300/O300*1000,0))</f>
        <v/>
      </c>
      <c r="AH300" s="49" t="n">
        <f aca="false">'Daily KPI Entry'!AH301</f>
        <v>0</v>
      </c>
      <c r="AI300" s="49" t="n">
        <f aca="false">'Daily KPI Entry'!AI301</f>
        <v>0</v>
      </c>
      <c r="AJ300" s="49" t="n">
        <f aca="false">'Daily KPI Entry'!AJ301</f>
        <v>0</v>
      </c>
      <c r="AK300" s="47" t="n">
        <f aca="false">'Daily KPI Entry'!AK301</f>
        <v>0</v>
      </c>
      <c r="AL300" s="47" t="n">
        <f aca="false">'Daily KPI Entry'!AL301</f>
        <v>0</v>
      </c>
      <c r="AM300" s="47" t="n">
        <f aca="false">'Daily KPI Entry'!AM301</f>
        <v>0</v>
      </c>
      <c r="AN300" s="49" t="str">
        <f aca="false">IF(P300="","",MIN(120,P300))</f>
        <v/>
      </c>
      <c r="AO300" s="49" t="str">
        <f aca="false">IF(U300="","",MIN(120,U300))</f>
        <v/>
      </c>
      <c r="AP300" s="49" t="str">
        <f aca="false">IF(R300="","",MIN(120,IFERROR(S300/R300*100,0)))</f>
        <v/>
      </c>
      <c r="AQ300" s="49" t="str">
        <f aca="false">IF(W300="","",MIN(120,IF(W300=0,120,100*(INDEX('Standards &amp; Scoring'!$E$5:$E$13,MATCH("Quality / Rejection",'Standards &amp; Scoring'!$A$5:$A$13,0))/W300))))</f>
        <v/>
      </c>
      <c r="AR300" s="49" t="str">
        <f aca="false">IF(AG300="","",MIN(120,IF(AG300=0,120,100*(INDEX('Standards &amp; Scoring'!$E$5:$E$13,MATCH("Fault Control",'Standards &amp; Scoring'!$A$5:$A$13,0))/AG300))))</f>
        <v/>
      </c>
      <c r="AS300" s="49" t="str">
        <f aca="false">IF(O300="","",MIN(120,IF(SUMIFS('Fault &amp; Downtime Entry'!$L$6:$L$1005,'Fault &amp; Downtime Entry'!$E$6:$E$1005,G300,'Fault &amp; Downtime Entry'!$B$6:$B$1005,B300)=0,120,100*(INDEX('Standards &amp; Scoring'!$E$5:$E$13,MATCH("Downtime Control",'Standards &amp; Scoring'!$A$5:$A$13,0))/IFERROR(SUMIFS('Fault &amp; Downtime Entry'!$L$6:$L$1005,'Fault &amp; Downtime Entry'!$E$6:$E$1005,G300,'Fault &amp; Downtime Entry'!$B$6:$B$1005,B300)/O300*1000,999999)))))</f>
        <v/>
      </c>
      <c r="AT300" s="49" t="n">
        <f aca="false">IF(COUNTA(AH300,AJ300)=0,"",MIN(120,IF(AND(AH300&lt;&gt;"",AJ300&lt;&gt;""),AVERAGE(AH300,AJ300),IF(AH300&lt;&gt;"",AH300,AJ300))))</f>
        <v>0</v>
      </c>
      <c r="AU300" s="49" t="str">
        <f aca="false">IF(AI300="","",MIN(120,AI300))</f>
        <v/>
      </c>
      <c r="AV300" s="49" t="str">
        <f aca="false">IF(AJ300="","",MIN(120,AJ300))</f>
        <v/>
      </c>
      <c r="AW300" s="50" t="str">
        <f aca="false">IF(COUNT(AN300:AV300)&lt;9,"",(AN300*'Standards &amp; Scoring'!$D$5+AO300*'Standards &amp; Scoring'!$D$6+AP300*'Standards &amp; Scoring'!$D$7+AQ300*'Standards &amp; Scoring'!$D$8+AR300*'Standards &amp; Scoring'!$D$9+AS300*'Standards &amp; Scoring'!$D$10+AT300*'Standards &amp; Scoring'!$D$11+AU300*'Standards &amp; Scoring'!$D$12+AV300*'Standards &amp; Scoring'!$D$13)/10000)</f>
        <v/>
      </c>
      <c r="AX300" s="47" t="str">
        <f aca="false">IF(AW300="","",IF(AW300&gt;=1.05,"A+",IF(AW300&gt;=1,"A",IF(AW300&gt;=0.95,"B+",IF(AW300&gt;=0.9,"B","C")))))</f>
        <v/>
      </c>
      <c r="AY300" s="47" t="str">
        <f aca="false">IF(AX300="","",IF(AX300="A+",1800,IF(AX300="A",1600,IF(AX300="B+",1400,IF(AX300="B",1200,0)))))</f>
        <v/>
      </c>
      <c r="AZ300" s="49" t="str">
        <f aca="false">IF(OR(L300="",M300="",S300="",M300=0),"",IFERROR(L300*60*S300/(M300*36),0))</f>
        <v/>
      </c>
    </row>
    <row r="301" customFormat="false" ht="15" hidden="false" customHeight="true" outlineLevel="0" collapsed="false">
      <c r="A301" s="47" t="n">
        <f aca="false">'Daily KPI Entry'!A302</f>
        <v>0</v>
      </c>
      <c r="B301" s="48" t="n">
        <f aca="false">'Daily KPI Entry'!B302</f>
        <v>0</v>
      </c>
      <c r="C301" s="47" t="n">
        <f aca="false">'Daily KPI Entry'!C302</f>
        <v>0</v>
      </c>
      <c r="D301" s="47" t="n">
        <f aca="false">'Daily KPI Entry'!D302</f>
        <v>0</v>
      </c>
      <c r="E301" s="47" t="n">
        <f aca="false">'Daily KPI Entry'!E302</f>
        <v>0</v>
      </c>
      <c r="F301" s="47" t="n">
        <f aca="false">'Daily KPI Entry'!F302</f>
        <v>0</v>
      </c>
      <c r="G301" s="47" t="n">
        <f aca="false">'Daily KPI Entry'!G302</f>
        <v>0</v>
      </c>
      <c r="H301" s="47" t="str">
        <f aca="false">'Daily KPI Entry'!H302</f>
        <v/>
      </c>
      <c r="I301" s="47" t="n">
        <f aca="false">'Daily KPI Entry'!I302</f>
        <v>0</v>
      </c>
      <c r="J301" s="47" t="n">
        <f aca="false">'Daily KPI Entry'!J302</f>
        <v>0</v>
      </c>
      <c r="K301" s="47" t="n">
        <f aca="false">'Daily KPI Entry'!K302</f>
        <v>0</v>
      </c>
      <c r="L301" s="47" t="n">
        <f aca="false">'Daily KPI Entry'!L302</f>
        <v>0</v>
      </c>
      <c r="M301" s="47" t="n">
        <f aca="false">'Daily KPI Entry'!M302</f>
        <v>0</v>
      </c>
      <c r="N301" s="49" t="n">
        <f aca="false">'Daily KPI Entry'!N302</f>
        <v>0</v>
      </c>
      <c r="O301" s="49" t="n">
        <f aca="false">'Daily KPI Entry'!O302</f>
        <v>0</v>
      </c>
      <c r="P301" s="49" t="str">
        <f aca="false">IF(OR(N301="",O301=""),"",IFERROR(O301/N301*100,0))</f>
        <v/>
      </c>
      <c r="Q301" s="47" t="n">
        <f aca="false">'Daily KPI Entry'!Q302</f>
        <v>8</v>
      </c>
      <c r="R301" s="47" t="str">
        <f aca="false">IF(J301="","",Q301*J301)</f>
        <v/>
      </c>
      <c r="S301" s="49" t="n">
        <f aca="false">'Daily KPI Entry'!S302</f>
        <v>0</v>
      </c>
      <c r="T301" s="49" t="str">
        <f aca="false">IF(OR(R301="",S301=""),"",IFERROR(S301/R301*100,0))</f>
        <v/>
      </c>
      <c r="U301" s="49" t="str">
        <f aca="false">IF(OR(O301="",L301="",M301="",S301="",M301=0),"",IFERROR(O301/(L301*60*S301/(M301*36))*100,0))</f>
        <v/>
      </c>
      <c r="V301" s="49" t="n">
        <f aca="false">'Daily KPI Entry'!V302</f>
        <v>0</v>
      </c>
      <c r="W301" s="49" t="str">
        <f aca="false">IF(O301="","",IFERROR(V301/O301*100,0))</f>
        <v/>
      </c>
      <c r="X301" s="49" t="n">
        <f aca="false">'Daily KPI Entry'!X302</f>
        <v>0</v>
      </c>
      <c r="Y301" s="49" t="n">
        <f aca="false">'Daily KPI Entry'!Y302</f>
        <v>0</v>
      </c>
      <c r="Z301" s="49" t="n">
        <f aca="false">'Daily KPI Entry'!Z302</f>
        <v>0</v>
      </c>
      <c r="AA301" s="49" t="n">
        <f aca="false">'Daily KPI Entry'!AA302</f>
        <v>0</v>
      </c>
      <c r="AB301" s="49" t="n">
        <f aca="false">'Daily KPI Entry'!AB302</f>
        <v>0</v>
      </c>
      <c r="AC301" s="49" t="n">
        <f aca="false">'Daily KPI Entry'!AC302</f>
        <v>0</v>
      </c>
      <c r="AD301" s="49" t="n">
        <f aca="false">'Daily KPI Entry'!AD302</f>
        <v>0</v>
      </c>
      <c r="AE301" s="49" t="n">
        <f aca="false">'Daily KPI Entry'!AE302</f>
        <v>0</v>
      </c>
      <c r="AF301" s="47" t="str">
        <f aca="false">IF(O301="","",SUM(X301:AE301))</f>
        <v/>
      </c>
      <c r="AG301" s="49" t="str">
        <f aca="false">IF(O301="","",IFERROR(AF301/O301*1000,0))</f>
        <v/>
      </c>
      <c r="AH301" s="49" t="n">
        <f aca="false">'Daily KPI Entry'!AH302</f>
        <v>0</v>
      </c>
      <c r="AI301" s="49" t="n">
        <f aca="false">'Daily KPI Entry'!AI302</f>
        <v>0</v>
      </c>
      <c r="AJ301" s="49" t="n">
        <f aca="false">'Daily KPI Entry'!AJ302</f>
        <v>0</v>
      </c>
      <c r="AK301" s="47" t="n">
        <f aca="false">'Daily KPI Entry'!AK302</f>
        <v>0</v>
      </c>
      <c r="AL301" s="47" t="n">
        <f aca="false">'Daily KPI Entry'!AL302</f>
        <v>0</v>
      </c>
      <c r="AM301" s="47" t="n">
        <f aca="false">'Daily KPI Entry'!AM302</f>
        <v>0</v>
      </c>
      <c r="AN301" s="49" t="str">
        <f aca="false">IF(P301="","",MIN(120,P301))</f>
        <v/>
      </c>
      <c r="AO301" s="49" t="str">
        <f aca="false">IF(U301="","",MIN(120,U301))</f>
        <v/>
      </c>
      <c r="AP301" s="49" t="str">
        <f aca="false">IF(R301="","",MIN(120,IFERROR(S301/R301*100,0)))</f>
        <v/>
      </c>
      <c r="AQ301" s="49" t="str">
        <f aca="false">IF(W301="","",MIN(120,IF(W301=0,120,100*(INDEX('Standards &amp; Scoring'!$E$5:$E$13,MATCH("Quality / Rejection",'Standards &amp; Scoring'!$A$5:$A$13,0))/W301))))</f>
        <v/>
      </c>
      <c r="AR301" s="49" t="str">
        <f aca="false">IF(AG301="","",MIN(120,IF(AG301=0,120,100*(INDEX('Standards &amp; Scoring'!$E$5:$E$13,MATCH("Fault Control",'Standards &amp; Scoring'!$A$5:$A$13,0))/AG301))))</f>
        <v/>
      </c>
      <c r="AS301" s="49" t="str">
        <f aca="false">IF(O301="","",MIN(120,IF(SUMIFS('Fault &amp; Downtime Entry'!$L$6:$L$1005,'Fault &amp; Downtime Entry'!$E$6:$E$1005,G301,'Fault &amp; Downtime Entry'!$B$6:$B$1005,B301)=0,120,100*(INDEX('Standards &amp; Scoring'!$E$5:$E$13,MATCH("Downtime Control",'Standards &amp; Scoring'!$A$5:$A$13,0))/IFERROR(SUMIFS('Fault &amp; Downtime Entry'!$L$6:$L$1005,'Fault &amp; Downtime Entry'!$E$6:$E$1005,G301,'Fault &amp; Downtime Entry'!$B$6:$B$1005,B301)/O301*1000,999999)))))</f>
        <v/>
      </c>
      <c r="AT301" s="49" t="n">
        <f aca="false">IF(COUNTA(AH301,AJ301)=0,"",MIN(120,IF(AND(AH301&lt;&gt;"",AJ301&lt;&gt;""),AVERAGE(AH301,AJ301),IF(AH301&lt;&gt;"",AH301,AJ301))))</f>
        <v>0</v>
      </c>
      <c r="AU301" s="49" t="str">
        <f aca="false">IF(AI301="","",MIN(120,AI301))</f>
        <v/>
      </c>
      <c r="AV301" s="49" t="str">
        <f aca="false">IF(AJ301="","",MIN(120,AJ301))</f>
        <v/>
      </c>
      <c r="AW301" s="50" t="str">
        <f aca="false">IF(COUNT(AN301:AV301)&lt;9,"",(AN301*'Standards &amp; Scoring'!$D$5+AO301*'Standards &amp; Scoring'!$D$6+AP301*'Standards &amp; Scoring'!$D$7+AQ301*'Standards &amp; Scoring'!$D$8+AR301*'Standards &amp; Scoring'!$D$9+AS301*'Standards &amp; Scoring'!$D$10+AT301*'Standards &amp; Scoring'!$D$11+AU301*'Standards &amp; Scoring'!$D$12+AV301*'Standards &amp; Scoring'!$D$13)/10000)</f>
        <v/>
      </c>
      <c r="AX301" s="47" t="str">
        <f aca="false">IF(AW301="","",IF(AW301&gt;=1.05,"A+",IF(AW301&gt;=1,"A",IF(AW301&gt;=0.95,"B+",IF(AW301&gt;=0.9,"B","C")))))</f>
        <v/>
      </c>
      <c r="AY301" s="47" t="str">
        <f aca="false">IF(AX301="","",IF(AX301="A+",1800,IF(AX301="A",1600,IF(AX301="B+",1400,IF(AX301="B",1200,0)))))</f>
        <v/>
      </c>
      <c r="AZ301" s="49" t="str">
        <f aca="false">IF(OR(L301="",M301="",S301="",M301=0),"",IFERROR(L301*60*S301/(M301*36),0))</f>
        <v/>
      </c>
    </row>
    <row r="302" customFormat="false" ht="15" hidden="false" customHeight="true" outlineLevel="0" collapsed="false">
      <c r="A302" s="47" t="n">
        <f aca="false">'Daily KPI Entry'!A303</f>
        <v>0</v>
      </c>
      <c r="B302" s="48" t="n">
        <f aca="false">'Daily KPI Entry'!B303</f>
        <v>0</v>
      </c>
      <c r="C302" s="47" t="n">
        <f aca="false">'Daily KPI Entry'!C303</f>
        <v>0</v>
      </c>
      <c r="D302" s="47" t="n">
        <f aca="false">'Daily KPI Entry'!D303</f>
        <v>0</v>
      </c>
      <c r="E302" s="47" t="n">
        <f aca="false">'Daily KPI Entry'!E303</f>
        <v>0</v>
      </c>
      <c r="F302" s="47" t="n">
        <f aca="false">'Daily KPI Entry'!F303</f>
        <v>0</v>
      </c>
      <c r="G302" s="47" t="n">
        <f aca="false">'Daily KPI Entry'!G303</f>
        <v>0</v>
      </c>
      <c r="H302" s="47" t="str">
        <f aca="false">'Daily KPI Entry'!H303</f>
        <v/>
      </c>
      <c r="I302" s="47" t="n">
        <f aca="false">'Daily KPI Entry'!I303</f>
        <v>0</v>
      </c>
      <c r="J302" s="47" t="n">
        <f aca="false">'Daily KPI Entry'!J303</f>
        <v>0</v>
      </c>
      <c r="K302" s="47" t="n">
        <f aca="false">'Daily KPI Entry'!K303</f>
        <v>0</v>
      </c>
      <c r="L302" s="47" t="n">
        <f aca="false">'Daily KPI Entry'!L303</f>
        <v>0</v>
      </c>
      <c r="M302" s="47" t="n">
        <f aca="false">'Daily KPI Entry'!M303</f>
        <v>0</v>
      </c>
      <c r="N302" s="49" t="n">
        <f aca="false">'Daily KPI Entry'!N303</f>
        <v>0</v>
      </c>
      <c r="O302" s="49" t="n">
        <f aca="false">'Daily KPI Entry'!O303</f>
        <v>0</v>
      </c>
      <c r="P302" s="49" t="str">
        <f aca="false">IF(OR(N302="",O302=""),"",IFERROR(O302/N302*100,0))</f>
        <v/>
      </c>
      <c r="Q302" s="47" t="n">
        <f aca="false">'Daily KPI Entry'!Q303</f>
        <v>8</v>
      </c>
      <c r="R302" s="47" t="str">
        <f aca="false">IF(J302="","",Q302*J302)</f>
        <v/>
      </c>
      <c r="S302" s="49" t="n">
        <f aca="false">'Daily KPI Entry'!S303</f>
        <v>0</v>
      </c>
      <c r="T302" s="49" t="str">
        <f aca="false">IF(OR(R302="",S302=""),"",IFERROR(S302/R302*100,0))</f>
        <v/>
      </c>
      <c r="U302" s="49" t="str">
        <f aca="false">IF(OR(O302="",L302="",M302="",S302="",M302=0),"",IFERROR(O302/(L302*60*S302/(M302*36))*100,0))</f>
        <v/>
      </c>
      <c r="V302" s="49" t="n">
        <f aca="false">'Daily KPI Entry'!V303</f>
        <v>0</v>
      </c>
      <c r="W302" s="49" t="str">
        <f aca="false">IF(O302="","",IFERROR(V302/O302*100,0))</f>
        <v/>
      </c>
      <c r="X302" s="49" t="n">
        <f aca="false">'Daily KPI Entry'!X303</f>
        <v>0</v>
      </c>
      <c r="Y302" s="49" t="n">
        <f aca="false">'Daily KPI Entry'!Y303</f>
        <v>0</v>
      </c>
      <c r="Z302" s="49" t="n">
        <f aca="false">'Daily KPI Entry'!Z303</f>
        <v>0</v>
      </c>
      <c r="AA302" s="49" t="n">
        <f aca="false">'Daily KPI Entry'!AA303</f>
        <v>0</v>
      </c>
      <c r="AB302" s="49" t="n">
        <f aca="false">'Daily KPI Entry'!AB303</f>
        <v>0</v>
      </c>
      <c r="AC302" s="49" t="n">
        <f aca="false">'Daily KPI Entry'!AC303</f>
        <v>0</v>
      </c>
      <c r="AD302" s="49" t="n">
        <f aca="false">'Daily KPI Entry'!AD303</f>
        <v>0</v>
      </c>
      <c r="AE302" s="49" t="n">
        <f aca="false">'Daily KPI Entry'!AE303</f>
        <v>0</v>
      </c>
      <c r="AF302" s="47" t="str">
        <f aca="false">IF(O302="","",SUM(X302:AE302))</f>
        <v/>
      </c>
      <c r="AG302" s="49" t="str">
        <f aca="false">IF(O302="","",IFERROR(AF302/O302*1000,0))</f>
        <v/>
      </c>
      <c r="AH302" s="49" t="n">
        <f aca="false">'Daily KPI Entry'!AH303</f>
        <v>0</v>
      </c>
      <c r="AI302" s="49" t="n">
        <f aca="false">'Daily KPI Entry'!AI303</f>
        <v>0</v>
      </c>
      <c r="AJ302" s="49" t="n">
        <f aca="false">'Daily KPI Entry'!AJ303</f>
        <v>0</v>
      </c>
      <c r="AK302" s="47" t="n">
        <f aca="false">'Daily KPI Entry'!AK303</f>
        <v>0</v>
      </c>
      <c r="AL302" s="47" t="n">
        <f aca="false">'Daily KPI Entry'!AL303</f>
        <v>0</v>
      </c>
      <c r="AM302" s="47" t="n">
        <f aca="false">'Daily KPI Entry'!AM303</f>
        <v>0</v>
      </c>
      <c r="AN302" s="49" t="str">
        <f aca="false">IF(P302="","",MIN(120,P302))</f>
        <v/>
      </c>
      <c r="AO302" s="49" t="str">
        <f aca="false">IF(U302="","",MIN(120,U302))</f>
        <v/>
      </c>
      <c r="AP302" s="49" t="str">
        <f aca="false">IF(R302="","",MIN(120,IFERROR(S302/R302*100,0)))</f>
        <v/>
      </c>
      <c r="AQ302" s="49" t="str">
        <f aca="false">IF(W302="","",MIN(120,IF(W302=0,120,100*(INDEX('Standards &amp; Scoring'!$E$5:$E$13,MATCH("Quality / Rejection",'Standards &amp; Scoring'!$A$5:$A$13,0))/W302))))</f>
        <v/>
      </c>
      <c r="AR302" s="49" t="str">
        <f aca="false">IF(AG302="","",MIN(120,IF(AG302=0,120,100*(INDEX('Standards &amp; Scoring'!$E$5:$E$13,MATCH("Fault Control",'Standards &amp; Scoring'!$A$5:$A$13,0))/AG302))))</f>
        <v/>
      </c>
      <c r="AS302" s="49" t="str">
        <f aca="false">IF(O302="","",MIN(120,IF(SUMIFS('Fault &amp; Downtime Entry'!$L$6:$L$1005,'Fault &amp; Downtime Entry'!$E$6:$E$1005,G302,'Fault &amp; Downtime Entry'!$B$6:$B$1005,B302)=0,120,100*(INDEX('Standards &amp; Scoring'!$E$5:$E$13,MATCH("Downtime Control",'Standards &amp; Scoring'!$A$5:$A$13,0))/IFERROR(SUMIFS('Fault &amp; Downtime Entry'!$L$6:$L$1005,'Fault &amp; Downtime Entry'!$E$6:$E$1005,G302,'Fault &amp; Downtime Entry'!$B$6:$B$1005,B302)/O302*1000,999999)))))</f>
        <v/>
      </c>
      <c r="AT302" s="49" t="n">
        <f aca="false">IF(COUNTA(AH302,AJ302)=0,"",MIN(120,IF(AND(AH302&lt;&gt;"",AJ302&lt;&gt;""),AVERAGE(AH302,AJ302),IF(AH302&lt;&gt;"",AH302,AJ302))))</f>
        <v>0</v>
      </c>
      <c r="AU302" s="49" t="str">
        <f aca="false">IF(AI302="","",MIN(120,AI302))</f>
        <v/>
      </c>
      <c r="AV302" s="49" t="str">
        <f aca="false">IF(AJ302="","",MIN(120,AJ302))</f>
        <v/>
      </c>
      <c r="AW302" s="50" t="str">
        <f aca="false">IF(COUNT(AN302:AV302)&lt;9,"",(AN302*'Standards &amp; Scoring'!$D$5+AO302*'Standards &amp; Scoring'!$D$6+AP302*'Standards &amp; Scoring'!$D$7+AQ302*'Standards &amp; Scoring'!$D$8+AR302*'Standards &amp; Scoring'!$D$9+AS302*'Standards &amp; Scoring'!$D$10+AT302*'Standards &amp; Scoring'!$D$11+AU302*'Standards &amp; Scoring'!$D$12+AV302*'Standards &amp; Scoring'!$D$13)/10000)</f>
        <v/>
      </c>
      <c r="AX302" s="47" t="str">
        <f aca="false">IF(AW302="","",IF(AW302&gt;=1.05,"A+",IF(AW302&gt;=1,"A",IF(AW302&gt;=0.95,"B+",IF(AW302&gt;=0.9,"B","C")))))</f>
        <v/>
      </c>
      <c r="AY302" s="47" t="str">
        <f aca="false">IF(AX302="","",IF(AX302="A+",1800,IF(AX302="A",1600,IF(AX302="B+",1400,IF(AX302="B",1200,0)))))</f>
        <v/>
      </c>
      <c r="AZ302" s="49" t="str">
        <f aca="false">IF(OR(L302="",M302="",S302="",M302=0),"",IFERROR(L302*60*S302/(M302*36),0))</f>
        <v/>
      </c>
    </row>
    <row r="303" customFormat="false" ht="15" hidden="false" customHeight="true" outlineLevel="0" collapsed="false">
      <c r="A303" s="47" t="n">
        <f aca="false">'Daily KPI Entry'!A304</f>
        <v>0</v>
      </c>
      <c r="B303" s="48" t="n">
        <f aca="false">'Daily KPI Entry'!B304</f>
        <v>0</v>
      </c>
      <c r="C303" s="47" t="n">
        <f aca="false">'Daily KPI Entry'!C304</f>
        <v>0</v>
      </c>
      <c r="D303" s="47" t="n">
        <f aca="false">'Daily KPI Entry'!D304</f>
        <v>0</v>
      </c>
      <c r="E303" s="47" t="n">
        <f aca="false">'Daily KPI Entry'!E304</f>
        <v>0</v>
      </c>
      <c r="F303" s="47" t="n">
        <f aca="false">'Daily KPI Entry'!F304</f>
        <v>0</v>
      </c>
      <c r="G303" s="47" t="n">
        <f aca="false">'Daily KPI Entry'!G304</f>
        <v>0</v>
      </c>
      <c r="H303" s="47" t="str">
        <f aca="false">'Daily KPI Entry'!H304</f>
        <v/>
      </c>
      <c r="I303" s="47" t="n">
        <f aca="false">'Daily KPI Entry'!I304</f>
        <v>0</v>
      </c>
      <c r="J303" s="47" t="n">
        <f aca="false">'Daily KPI Entry'!J304</f>
        <v>0</v>
      </c>
      <c r="K303" s="47" t="n">
        <f aca="false">'Daily KPI Entry'!K304</f>
        <v>0</v>
      </c>
      <c r="L303" s="47" t="n">
        <f aca="false">'Daily KPI Entry'!L304</f>
        <v>0</v>
      </c>
      <c r="M303" s="47" t="n">
        <f aca="false">'Daily KPI Entry'!M304</f>
        <v>0</v>
      </c>
      <c r="N303" s="49" t="n">
        <f aca="false">'Daily KPI Entry'!N304</f>
        <v>0</v>
      </c>
      <c r="O303" s="49" t="n">
        <f aca="false">'Daily KPI Entry'!O304</f>
        <v>0</v>
      </c>
      <c r="P303" s="49" t="str">
        <f aca="false">IF(OR(N303="",O303=""),"",IFERROR(O303/N303*100,0))</f>
        <v/>
      </c>
      <c r="Q303" s="47" t="n">
        <f aca="false">'Daily KPI Entry'!Q304</f>
        <v>8</v>
      </c>
      <c r="R303" s="47" t="str">
        <f aca="false">IF(J303="","",Q303*J303)</f>
        <v/>
      </c>
      <c r="S303" s="49" t="n">
        <f aca="false">'Daily KPI Entry'!S304</f>
        <v>0</v>
      </c>
      <c r="T303" s="49" t="str">
        <f aca="false">IF(OR(R303="",S303=""),"",IFERROR(S303/R303*100,0))</f>
        <v/>
      </c>
      <c r="U303" s="49" t="str">
        <f aca="false">IF(OR(O303="",L303="",M303="",S303="",M303=0),"",IFERROR(O303/(L303*60*S303/(M303*36))*100,0))</f>
        <v/>
      </c>
      <c r="V303" s="49" t="n">
        <f aca="false">'Daily KPI Entry'!V304</f>
        <v>0</v>
      </c>
      <c r="W303" s="49" t="str">
        <f aca="false">IF(O303="","",IFERROR(V303/O303*100,0))</f>
        <v/>
      </c>
      <c r="X303" s="49" t="n">
        <f aca="false">'Daily KPI Entry'!X304</f>
        <v>0</v>
      </c>
      <c r="Y303" s="49" t="n">
        <f aca="false">'Daily KPI Entry'!Y304</f>
        <v>0</v>
      </c>
      <c r="Z303" s="49" t="n">
        <f aca="false">'Daily KPI Entry'!Z304</f>
        <v>0</v>
      </c>
      <c r="AA303" s="49" t="n">
        <f aca="false">'Daily KPI Entry'!AA304</f>
        <v>0</v>
      </c>
      <c r="AB303" s="49" t="n">
        <f aca="false">'Daily KPI Entry'!AB304</f>
        <v>0</v>
      </c>
      <c r="AC303" s="49" t="n">
        <f aca="false">'Daily KPI Entry'!AC304</f>
        <v>0</v>
      </c>
      <c r="AD303" s="49" t="n">
        <f aca="false">'Daily KPI Entry'!AD304</f>
        <v>0</v>
      </c>
      <c r="AE303" s="49" t="n">
        <f aca="false">'Daily KPI Entry'!AE304</f>
        <v>0</v>
      </c>
      <c r="AF303" s="47" t="str">
        <f aca="false">IF(O303="","",SUM(X303:AE303))</f>
        <v/>
      </c>
      <c r="AG303" s="49" t="str">
        <f aca="false">IF(O303="","",IFERROR(AF303/O303*1000,0))</f>
        <v/>
      </c>
      <c r="AH303" s="49" t="n">
        <f aca="false">'Daily KPI Entry'!AH304</f>
        <v>0</v>
      </c>
      <c r="AI303" s="49" t="n">
        <f aca="false">'Daily KPI Entry'!AI304</f>
        <v>0</v>
      </c>
      <c r="AJ303" s="49" t="n">
        <f aca="false">'Daily KPI Entry'!AJ304</f>
        <v>0</v>
      </c>
      <c r="AK303" s="47" t="n">
        <f aca="false">'Daily KPI Entry'!AK304</f>
        <v>0</v>
      </c>
      <c r="AL303" s="47" t="n">
        <f aca="false">'Daily KPI Entry'!AL304</f>
        <v>0</v>
      </c>
      <c r="AM303" s="47" t="n">
        <f aca="false">'Daily KPI Entry'!AM304</f>
        <v>0</v>
      </c>
      <c r="AN303" s="49" t="str">
        <f aca="false">IF(P303="","",MIN(120,P303))</f>
        <v/>
      </c>
      <c r="AO303" s="49" t="str">
        <f aca="false">IF(U303="","",MIN(120,U303))</f>
        <v/>
      </c>
      <c r="AP303" s="49" t="str">
        <f aca="false">IF(R303="","",MIN(120,IFERROR(S303/R303*100,0)))</f>
        <v/>
      </c>
      <c r="AQ303" s="49" t="str">
        <f aca="false">IF(W303="","",MIN(120,IF(W303=0,120,100*(INDEX('Standards &amp; Scoring'!$E$5:$E$13,MATCH("Quality / Rejection",'Standards &amp; Scoring'!$A$5:$A$13,0))/W303))))</f>
        <v/>
      </c>
      <c r="AR303" s="49" t="str">
        <f aca="false">IF(AG303="","",MIN(120,IF(AG303=0,120,100*(INDEX('Standards &amp; Scoring'!$E$5:$E$13,MATCH("Fault Control",'Standards &amp; Scoring'!$A$5:$A$13,0))/AG303))))</f>
        <v/>
      </c>
      <c r="AS303" s="49" t="str">
        <f aca="false">IF(O303="","",MIN(120,IF(SUMIFS('Fault &amp; Downtime Entry'!$L$6:$L$1005,'Fault &amp; Downtime Entry'!$E$6:$E$1005,G303,'Fault &amp; Downtime Entry'!$B$6:$B$1005,B303)=0,120,100*(INDEX('Standards &amp; Scoring'!$E$5:$E$13,MATCH("Downtime Control",'Standards &amp; Scoring'!$A$5:$A$13,0))/IFERROR(SUMIFS('Fault &amp; Downtime Entry'!$L$6:$L$1005,'Fault &amp; Downtime Entry'!$E$6:$E$1005,G303,'Fault &amp; Downtime Entry'!$B$6:$B$1005,B303)/O303*1000,999999)))))</f>
        <v/>
      </c>
      <c r="AT303" s="49" t="n">
        <f aca="false">IF(COUNTA(AH303,AJ303)=0,"",MIN(120,IF(AND(AH303&lt;&gt;"",AJ303&lt;&gt;""),AVERAGE(AH303,AJ303),IF(AH303&lt;&gt;"",AH303,AJ303))))</f>
        <v>0</v>
      </c>
      <c r="AU303" s="49" t="str">
        <f aca="false">IF(AI303="","",MIN(120,AI303))</f>
        <v/>
      </c>
      <c r="AV303" s="49" t="str">
        <f aca="false">IF(AJ303="","",MIN(120,AJ303))</f>
        <v/>
      </c>
      <c r="AW303" s="50" t="str">
        <f aca="false">IF(COUNT(AN303:AV303)&lt;9,"",(AN303*'Standards &amp; Scoring'!$D$5+AO303*'Standards &amp; Scoring'!$D$6+AP303*'Standards &amp; Scoring'!$D$7+AQ303*'Standards &amp; Scoring'!$D$8+AR303*'Standards &amp; Scoring'!$D$9+AS303*'Standards &amp; Scoring'!$D$10+AT303*'Standards &amp; Scoring'!$D$11+AU303*'Standards &amp; Scoring'!$D$12+AV303*'Standards &amp; Scoring'!$D$13)/10000)</f>
        <v/>
      </c>
      <c r="AX303" s="47" t="str">
        <f aca="false">IF(AW303="","",IF(AW303&gt;=1.05,"A+",IF(AW303&gt;=1,"A",IF(AW303&gt;=0.95,"B+",IF(AW303&gt;=0.9,"B","C")))))</f>
        <v/>
      </c>
      <c r="AY303" s="47" t="str">
        <f aca="false">IF(AX303="","",IF(AX303="A+",1800,IF(AX303="A",1600,IF(AX303="B+",1400,IF(AX303="B",1200,0)))))</f>
        <v/>
      </c>
      <c r="AZ303" s="49" t="str">
        <f aca="false">IF(OR(L303="",M303="",S303="",M303=0),"",IFERROR(L303*60*S303/(M303*36),0))</f>
        <v/>
      </c>
    </row>
    <row r="304" customFormat="false" ht="15" hidden="false" customHeight="true" outlineLevel="0" collapsed="false">
      <c r="A304" s="47" t="n">
        <f aca="false">'Daily KPI Entry'!A305</f>
        <v>0</v>
      </c>
      <c r="B304" s="48" t="n">
        <f aca="false">'Daily KPI Entry'!B305</f>
        <v>0</v>
      </c>
      <c r="C304" s="47" t="n">
        <f aca="false">'Daily KPI Entry'!C305</f>
        <v>0</v>
      </c>
      <c r="D304" s="47" t="n">
        <f aca="false">'Daily KPI Entry'!D305</f>
        <v>0</v>
      </c>
      <c r="E304" s="47" t="n">
        <f aca="false">'Daily KPI Entry'!E305</f>
        <v>0</v>
      </c>
      <c r="F304" s="47" t="n">
        <f aca="false">'Daily KPI Entry'!F305</f>
        <v>0</v>
      </c>
      <c r="G304" s="47" t="n">
        <f aca="false">'Daily KPI Entry'!G305</f>
        <v>0</v>
      </c>
      <c r="H304" s="47" t="str">
        <f aca="false">'Daily KPI Entry'!H305</f>
        <v/>
      </c>
      <c r="I304" s="47" t="n">
        <f aca="false">'Daily KPI Entry'!I305</f>
        <v>0</v>
      </c>
      <c r="J304" s="47" t="n">
        <f aca="false">'Daily KPI Entry'!J305</f>
        <v>0</v>
      </c>
      <c r="K304" s="47" t="n">
        <f aca="false">'Daily KPI Entry'!K305</f>
        <v>0</v>
      </c>
      <c r="L304" s="47" t="n">
        <f aca="false">'Daily KPI Entry'!L305</f>
        <v>0</v>
      </c>
      <c r="M304" s="47" t="n">
        <f aca="false">'Daily KPI Entry'!M305</f>
        <v>0</v>
      </c>
      <c r="N304" s="49" t="n">
        <f aca="false">'Daily KPI Entry'!N305</f>
        <v>0</v>
      </c>
      <c r="O304" s="49" t="n">
        <f aca="false">'Daily KPI Entry'!O305</f>
        <v>0</v>
      </c>
      <c r="P304" s="49" t="str">
        <f aca="false">IF(OR(N304="",O304=""),"",IFERROR(O304/N304*100,0))</f>
        <v/>
      </c>
      <c r="Q304" s="47" t="n">
        <f aca="false">'Daily KPI Entry'!Q305</f>
        <v>8</v>
      </c>
      <c r="R304" s="47" t="str">
        <f aca="false">IF(J304="","",Q304*J304)</f>
        <v/>
      </c>
      <c r="S304" s="49" t="n">
        <f aca="false">'Daily KPI Entry'!S305</f>
        <v>0</v>
      </c>
      <c r="T304" s="49" t="str">
        <f aca="false">IF(OR(R304="",S304=""),"",IFERROR(S304/R304*100,0))</f>
        <v/>
      </c>
      <c r="U304" s="49" t="str">
        <f aca="false">IF(OR(O304="",L304="",M304="",S304="",M304=0),"",IFERROR(O304/(L304*60*S304/(M304*36))*100,0))</f>
        <v/>
      </c>
      <c r="V304" s="49" t="n">
        <f aca="false">'Daily KPI Entry'!V305</f>
        <v>0</v>
      </c>
      <c r="W304" s="49" t="str">
        <f aca="false">IF(O304="","",IFERROR(V304/O304*100,0))</f>
        <v/>
      </c>
      <c r="X304" s="49" t="n">
        <f aca="false">'Daily KPI Entry'!X305</f>
        <v>0</v>
      </c>
      <c r="Y304" s="49" t="n">
        <f aca="false">'Daily KPI Entry'!Y305</f>
        <v>0</v>
      </c>
      <c r="Z304" s="49" t="n">
        <f aca="false">'Daily KPI Entry'!Z305</f>
        <v>0</v>
      </c>
      <c r="AA304" s="49" t="n">
        <f aca="false">'Daily KPI Entry'!AA305</f>
        <v>0</v>
      </c>
      <c r="AB304" s="49" t="n">
        <f aca="false">'Daily KPI Entry'!AB305</f>
        <v>0</v>
      </c>
      <c r="AC304" s="49" t="n">
        <f aca="false">'Daily KPI Entry'!AC305</f>
        <v>0</v>
      </c>
      <c r="AD304" s="49" t="n">
        <f aca="false">'Daily KPI Entry'!AD305</f>
        <v>0</v>
      </c>
      <c r="AE304" s="49" t="n">
        <f aca="false">'Daily KPI Entry'!AE305</f>
        <v>0</v>
      </c>
      <c r="AF304" s="47" t="str">
        <f aca="false">IF(O304="","",SUM(X304:AE304))</f>
        <v/>
      </c>
      <c r="AG304" s="49" t="str">
        <f aca="false">IF(O304="","",IFERROR(AF304/O304*1000,0))</f>
        <v/>
      </c>
      <c r="AH304" s="49" t="n">
        <f aca="false">'Daily KPI Entry'!AH305</f>
        <v>0</v>
      </c>
      <c r="AI304" s="49" t="n">
        <f aca="false">'Daily KPI Entry'!AI305</f>
        <v>0</v>
      </c>
      <c r="AJ304" s="49" t="n">
        <f aca="false">'Daily KPI Entry'!AJ305</f>
        <v>0</v>
      </c>
      <c r="AK304" s="47" t="n">
        <f aca="false">'Daily KPI Entry'!AK305</f>
        <v>0</v>
      </c>
      <c r="AL304" s="47" t="n">
        <f aca="false">'Daily KPI Entry'!AL305</f>
        <v>0</v>
      </c>
      <c r="AM304" s="47" t="n">
        <f aca="false">'Daily KPI Entry'!AM305</f>
        <v>0</v>
      </c>
      <c r="AN304" s="49" t="str">
        <f aca="false">IF(P304="","",MIN(120,P304))</f>
        <v/>
      </c>
      <c r="AO304" s="49" t="str">
        <f aca="false">IF(U304="","",MIN(120,U304))</f>
        <v/>
      </c>
      <c r="AP304" s="49" t="str">
        <f aca="false">IF(R304="","",MIN(120,IFERROR(S304/R304*100,0)))</f>
        <v/>
      </c>
      <c r="AQ304" s="49" t="str">
        <f aca="false">IF(W304="","",MIN(120,IF(W304=0,120,100*(INDEX('Standards &amp; Scoring'!$E$5:$E$13,MATCH("Quality / Rejection",'Standards &amp; Scoring'!$A$5:$A$13,0))/W304))))</f>
        <v/>
      </c>
      <c r="AR304" s="49" t="str">
        <f aca="false">IF(AG304="","",MIN(120,IF(AG304=0,120,100*(INDEX('Standards &amp; Scoring'!$E$5:$E$13,MATCH("Fault Control",'Standards &amp; Scoring'!$A$5:$A$13,0))/AG304))))</f>
        <v/>
      </c>
      <c r="AS304" s="49" t="str">
        <f aca="false">IF(O304="","",MIN(120,IF(SUMIFS('Fault &amp; Downtime Entry'!$L$6:$L$1005,'Fault &amp; Downtime Entry'!$E$6:$E$1005,G304,'Fault &amp; Downtime Entry'!$B$6:$B$1005,B304)=0,120,100*(INDEX('Standards &amp; Scoring'!$E$5:$E$13,MATCH("Downtime Control",'Standards &amp; Scoring'!$A$5:$A$13,0))/IFERROR(SUMIFS('Fault &amp; Downtime Entry'!$L$6:$L$1005,'Fault &amp; Downtime Entry'!$E$6:$E$1005,G304,'Fault &amp; Downtime Entry'!$B$6:$B$1005,B304)/O304*1000,999999)))))</f>
        <v/>
      </c>
      <c r="AT304" s="49" t="n">
        <f aca="false">IF(COUNTA(AH304,AJ304)=0,"",MIN(120,IF(AND(AH304&lt;&gt;"",AJ304&lt;&gt;""),AVERAGE(AH304,AJ304),IF(AH304&lt;&gt;"",AH304,AJ304))))</f>
        <v>0</v>
      </c>
      <c r="AU304" s="49" t="str">
        <f aca="false">IF(AI304="","",MIN(120,AI304))</f>
        <v/>
      </c>
      <c r="AV304" s="49" t="str">
        <f aca="false">IF(AJ304="","",MIN(120,AJ304))</f>
        <v/>
      </c>
      <c r="AW304" s="50" t="str">
        <f aca="false">IF(COUNT(AN304:AV304)&lt;9,"",(AN304*'Standards &amp; Scoring'!$D$5+AO304*'Standards &amp; Scoring'!$D$6+AP304*'Standards &amp; Scoring'!$D$7+AQ304*'Standards &amp; Scoring'!$D$8+AR304*'Standards &amp; Scoring'!$D$9+AS304*'Standards &amp; Scoring'!$D$10+AT304*'Standards &amp; Scoring'!$D$11+AU304*'Standards &amp; Scoring'!$D$12+AV304*'Standards &amp; Scoring'!$D$13)/10000)</f>
        <v/>
      </c>
      <c r="AX304" s="47" t="str">
        <f aca="false">IF(AW304="","",IF(AW304&gt;=1.05,"A+",IF(AW304&gt;=1,"A",IF(AW304&gt;=0.95,"B+",IF(AW304&gt;=0.9,"B","C")))))</f>
        <v/>
      </c>
      <c r="AY304" s="47" t="str">
        <f aca="false">IF(AX304="","",IF(AX304="A+",1800,IF(AX304="A",1600,IF(AX304="B+",1400,IF(AX304="B",1200,0)))))</f>
        <v/>
      </c>
      <c r="AZ304" s="49" t="str">
        <f aca="false">IF(OR(L304="",M304="",S304="",M304=0),"",IFERROR(L304*60*S304/(M304*36),0))</f>
        <v/>
      </c>
    </row>
    <row r="305" customFormat="false" ht="15" hidden="false" customHeight="true" outlineLevel="0" collapsed="false">
      <c r="A305" s="47" t="n">
        <f aca="false">'Daily KPI Entry'!A306</f>
        <v>0</v>
      </c>
      <c r="B305" s="48" t="n">
        <f aca="false">'Daily KPI Entry'!B306</f>
        <v>0</v>
      </c>
      <c r="C305" s="47" t="n">
        <f aca="false">'Daily KPI Entry'!C306</f>
        <v>0</v>
      </c>
      <c r="D305" s="47" t="n">
        <f aca="false">'Daily KPI Entry'!D306</f>
        <v>0</v>
      </c>
      <c r="E305" s="47" t="n">
        <f aca="false">'Daily KPI Entry'!E306</f>
        <v>0</v>
      </c>
      <c r="F305" s="47" t="n">
        <f aca="false">'Daily KPI Entry'!F306</f>
        <v>0</v>
      </c>
      <c r="G305" s="47" t="n">
        <f aca="false">'Daily KPI Entry'!G306</f>
        <v>0</v>
      </c>
      <c r="H305" s="47" t="str">
        <f aca="false">'Daily KPI Entry'!H306</f>
        <v/>
      </c>
      <c r="I305" s="47" t="n">
        <f aca="false">'Daily KPI Entry'!I306</f>
        <v>0</v>
      </c>
      <c r="J305" s="47" t="n">
        <f aca="false">'Daily KPI Entry'!J306</f>
        <v>0</v>
      </c>
      <c r="K305" s="47" t="n">
        <f aca="false">'Daily KPI Entry'!K306</f>
        <v>0</v>
      </c>
      <c r="L305" s="47" t="n">
        <f aca="false">'Daily KPI Entry'!L306</f>
        <v>0</v>
      </c>
      <c r="M305" s="47" t="n">
        <f aca="false">'Daily KPI Entry'!M306</f>
        <v>0</v>
      </c>
      <c r="N305" s="49" t="n">
        <f aca="false">'Daily KPI Entry'!N306</f>
        <v>0</v>
      </c>
      <c r="O305" s="49" t="n">
        <f aca="false">'Daily KPI Entry'!O306</f>
        <v>0</v>
      </c>
      <c r="P305" s="49" t="str">
        <f aca="false">IF(OR(N305="",O305=""),"",IFERROR(O305/N305*100,0))</f>
        <v/>
      </c>
      <c r="Q305" s="47" t="n">
        <f aca="false">'Daily KPI Entry'!Q306</f>
        <v>8</v>
      </c>
      <c r="R305" s="47" t="str">
        <f aca="false">IF(J305="","",Q305*J305)</f>
        <v/>
      </c>
      <c r="S305" s="49" t="n">
        <f aca="false">'Daily KPI Entry'!S306</f>
        <v>0</v>
      </c>
      <c r="T305" s="49" t="str">
        <f aca="false">IF(OR(R305="",S305=""),"",IFERROR(S305/R305*100,0))</f>
        <v/>
      </c>
      <c r="U305" s="49" t="str">
        <f aca="false">IF(OR(O305="",L305="",M305="",S305="",M305=0),"",IFERROR(O305/(L305*60*S305/(M305*36))*100,0))</f>
        <v/>
      </c>
      <c r="V305" s="49" t="n">
        <f aca="false">'Daily KPI Entry'!V306</f>
        <v>0</v>
      </c>
      <c r="W305" s="49" t="str">
        <f aca="false">IF(O305="","",IFERROR(V305/O305*100,0))</f>
        <v/>
      </c>
      <c r="X305" s="49" t="n">
        <f aca="false">'Daily KPI Entry'!X306</f>
        <v>0</v>
      </c>
      <c r="Y305" s="49" t="n">
        <f aca="false">'Daily KPI Entry'!Y306</f>
        <v>0</v>
      </c>
      <c r="Z305" s="49" t="n">
        <f aca="false">'Daily KPI Entry'!Z306</f>
        <v>0</v>
      </c>
      <c r="AA305" s="49" t="n">
        <f aca="false">'Daily KPI Entry'!AA306</f>
        <v>0</v>
      </c>
      <c r="AB305" s="49" t="n">
        <f aca="false">'Daily KPI Entry'!AB306</f>
        <v>0</v>
      </c>
      <c r="AC305" s="49" t="n">
        <f aca="false">'Daily KPI Entry'!AC306</f>
        <v>0</v>
      </c>
      <c r="AD305" s="49" t="n">
        <f aca="false">'Daily KPI Entry'!AD306</f>
        <v>0</v>
      </c>
      <c r="AE305" s="49" t="n">
        <f aca="false">'Daily KPI Entry'!AE306</f>
        <v>0</v>
      </c>
      <c r="AF305" s="47" t="str">
        <f aca="false">IF(O305="","",SUM(X305:AE305))</f>
        <v/>
      </c>
      <c r="AG305" s="49" t="str">
        <f aca="false">IF(O305="","",IFERROR(AF305/O305*1000,0))</f>
        <v/>
      </c>
      <c r="AH305" s="49" t="n">
        <f aca="false">'Daily KPI Entry'!AH306</f>
        <v>0</v>
      </c>
      <c r="AI305" s="49" t="n">
        <f aca="false">'Daily KPI Entry'!AI306</f>
        <v>0</v>
      </c>
      <c r="AJ305" s="49" t="n">
        <f aca="false">'Daily KPI Entry'!AJ306</f>
        <v>0</v>
      </c>
      <c r="AK305" s="47" t="n">
        <f aca="false">'Daily KPI Entry'!AK306</f>
        <v>0</v>
      </c>
      <c r="AL305" s="47" t="n">
        <f aca="false">'Daily KPI Entry'!AL306</f>
        <v>0</v>
      </c>
      <c r="AM305" s="47" t="n">
        <f aca="false">'Daily KPI Entry'!AM306</f>
        <v>0</v>
      </c>
      <c r="AN305" s="49" t="str">
        <f aca="false">IF(P305="","",MIN(120,P305))</f>
        <v/>
      </c>
      <c r="AO305" s="49" t="str">
        <f aca="false">IF(U305="","",MIN(120,U305))</f>
        <v/>
      </c>
      <c r="AP305" s="49" t="str">
        <f aca="false">IF(R305="","",MIN(120,IFERROR(S305/R305*100,0)))</f>
        <v/>
      </c>
      <c r="AQ305" s="49" t="str">
        <f aca="false">IF(W305="","",MIN(120,IF(W305=0,120,100*(INDEX('Standards &amp; Scoring'!$E$5:$E$13,MATCH("Quality / Rejection",'Standards &amp; Scoring'!$A$5:$A$13,0))/W305))))</f>
        <v/>
      </c>
      <c r="AR305" s="49" t="str">
        <f aca="false">IF(AG305="","",MIN(120,IF(AG305=0,120,100*(INDEX('Standards &amp; Scoring'!$E$5:$E$13,MATCH("Fault Control",'Standards &amp; Scoring'!$A$5:$A$13,0))/AG305))))</f>
        <v/>
      </c>
      <c r="AS305" s="49" t="str">
        <f aca="false">IF(O305="","",MIN(120,IF(SUMIFS('Fault &amp; Downtime Entry'!$L$6:$L$1005,'Fault &amp; Downtime Entry'!$E$6:$E$1005,G305,'Fault &amp; Downtime Entry'!$B$6:$B$1005,B305)=0,120,100*(INDEX('Standards &amp; Scoring'!$E$5:$E$13,MATCH("Downtime Control",'Standards &amp; Scoring'!$A$5:$A$13,0))/IFERROR(SUMIFS('Fault &amp; Downtime Entry'!$L$6:$L$1005,'Fault &amp; Downtime Entry'!$E$6:$E$1005,G305,'Fault &amp; Downtime Entry'!$B$6:$B$1005,B305)/O305*1000,999999)))))</f>
        <v/>
      </c>
      <c r="AT305" s="49" t="n">
        <f aca="false">IF(COUNTA(AH305,AJ305)=0,"",MIN(120,IF(AND(AH305&lt;&gt;"",AJ305&lt;&gt;""),AVERAGE(AH305,AJ305),IF(AH305&lt;&gt;"",AH305,AJ305))))</f>
        <v>0</v>
      </c>
      <c r="AU305" s="49" t="str">
        <f aca="false">IF(AI305="","",MIN(120,AI305))</f>
        <v/>
      </c>
      <c r="AV305" s="49" t="str">
        <f aca="false">IF(AJ305="","",MIN(120,AJ305))</f>
        <v/>
      </c>
      <c r="AW305" s="50" t="str">
        <f aca="false">IF(COUNT(AN305:AV305)&lt;9,"",(AN305*'Standards &amp; Scoring'!$D$5+AO305*'Standards &amp; Scoring'!$D$6+AP305*'Standards &amp; Scoring'!$D$7+AQ305*'Standards &amp; Scoring'!$D$8+AR305*'Standards &amp; Scoring'!$D$9+AS305*'Standards &amp; Scoring'!$D$10+AT305*'Standards &amp; Scoring'!$D$11+AU305*'Standards &amp; Scoring'!$D$12+AV305*'Standards &amp; Scoring'!$D$13)/10000)</f>
        <v/>
      </c>
      <c r="AX305" s="47" t="str">
        <f aca="false">IF(AW305="","",IF(AW305&gt;=1.05,"A+",IF(AW305&gt;=1,"A",IF(AW305&gt;=0.95,"B+",IF(AW305&gt;=0.9,"B","C")))))</f>
        <v/>
      </c>
      <c r="AY305" s="47" t="str">
        <f aca="false">IF(AX305="","",IF(AX305="A+",1800,IF(AX305="A",1600,IF(AX305="B+",1400,IF(AX305="B",1200,0)))))</f>
        <v/>
      </c>
      <c r="AZ305" s="49" t="str">
        <f aca="false">IF(OR(L305="",M305="",S305="",M305=0),"",IFERROR(L305*60*S305/(M305*36),0))</f>
        <v/>
      </c>
    </row>
    <row r="306" customFormat="false" ht="15" hidden="false" customHeight="true" outlineLevel="0" collapsed="false">
      <c r="A306" s="47" t="n">
        <f aca="false">'Daily KPI Entry'!A307</f>
        <v>0</v>
      </c>
      <c r="B306" s="48" t="n">
        <f aca="false">'Daily KPI Entry'!B307</f>
        <v>0</v>
      </c>
      <c r="C306" s="47" t="n">
        <f aca="false">'Daily KPI Entry'!C307</f>
        <v>0</v>
      </c>
      <c r="D306" s="47" t="n">
        <f aca="false">'Daily KPI Entry'!D307</f>
        <v>0</v>
      </c>
      <c r="E306" s="47" t="n">
        <f aca="false">'Daily KPI Entry'!E307</f>
        <v>0</v>
      </c>
      <c r="F306" s="47" t="n">
        <f aca="false">'Daily KPI Entry'!F307</f>
        <v>0</v>
      </c>
      <c r="G306" s="47" t="n">
        <f aca="false">'Daily KPI Entry'!G307</f>
        <v>0</v>
      </c>
      <c r="H306" s="47" t="str">
        <f aca="false">'Daily KPI Entry'!H307</f>
        <v/>
      </c>
      <c r="I306" s="47" t="n">
        <f aca="false">'Daily KPI Entry'!I307</f>
        <v>0</v>
      </c>
      <c r="J306" s="47" t="n">
        <f aca="false">'Daily KPI Entry'!J307</f>
        <v>0</v>
      </c>
      <c r="K306" s="47" t="n">
        <f aca="false">'Daily KPI Entry'!K307</f>
        <v>0</v>
      </c>
      <c r="L306" s="47" t="n">
        <f aca="false">'Daily KPI Entry'!L307</f>
        <v>0</v>
      </c>
      <c r="M306" s="47" t="n">
        <f aca="false">'Daily KPI Entry'!M307</f>
        <v>0</v>
      </c>
      <c r="N306" s="49" t="n">
        <f aca="false">'Daily KPI Entry'!N307</f>
        <v>0</v>
      </c>
      <c r="O306" s="49" t="n">
        <f aca="false">'Daily KPI Entry'!O307</f>
        <v>0</v>
      </c>
      <c r="P306" s="49" t="str">
        <f aca="false">IF(OR(N306="",O306=""),"",IFERROR(O306/N306*100,0))</f>
        <v/>
      </c>
      <c r="Q306" s="47" t="n">
        <f aca="false">'Daily KPI Entry'!Q307</f>
        <v>8</v>
      </c>
      <c r="R306" s="47" t="str">
        <f aca="false">IF(J306="","",Q306*J306)</f>
        <v/>
      </c>
      <c r="S306" s="49" t="n">
        <f aca="false">'Daily KPI Entry'!S307</f>
        <v>0</v>
      </c>
      <c r="T306" s="49" t="str">
        <f aca="false">IF(OR(R306="",S306=""),"",IFERROR(S306/R306*100,0))</f>
        <v/>
      </c>
      <c r="U306" s="49" t="str">
        <f aca="false">IF(OR(O306="",L306="",M306="",S306="",M306=0),"",IFERROR(O306/(L306*60*S306/(M306*36))*100,0))</f>
        <v/>
      </c>
      <c r="V306" s="49" t="n">
        <f aca="false">'Daily KPI Entry'!V307</f>
        <v>0</v>
      </c>
      <c r="W306" s="49" t="str">
        <f aca="false">IF(O306="","",IFERROR(V306/O306*100,0))</f>
        <v/>
      </c>
      <c r="X306" s="49" t="n">
        <f aca="false">'Daily KPI Entry'!X307</f>
        <v>0</v>
      </c>
      <c r="Y306" s="49" t="n">
        <f aca="false">'Daily KPI Entry'!Y307</f>
        <v>0</v>
      </c>
      <c r="Z306" s="49" t="n">
        <f aca="false">'Daily KPI Entry'!Z307</f>
        <v>0</v>
      </c>
      <c r="AA306" s="49" t="n">
        <f aca="false">'Daily KPI Entry'!AA307</f>
        <v>0</v>
      </c>
      <c r="AB306" s="49" t="n">
        <f aca="false">'Daily KPI Entry'!AB307</f>
        <v>0</v>
      </c>
      <c r="AC306" s="49" t="n">
        <f aca="false">'Daily KPI Entry'!AC307</f>
        <v>0</v>
      </c>
      <c r="AD306" s="49" t="n">
        <f aca="false">'Daily KPI Entry'!AD307</f>
        <v>0</v>
      </c>
      <c r="AE306" s="49" t="n">
        <f aca="false">'Daily KPI Entry'!AE307</f>
        <v>0</v>
      </c>
      <c r="AF306" s="47" t="str">
        <f aca="false">IF(O306="","",SUM(X306:AE306))</f>
        <v/>
      </c>
      <c r="AG306" s="49" t="str">
        <f aca="false">IF(O306="","",IFERROR(AF306/O306*1000,0))</f>
        <v/>
      </c>
      <c r="AH306" s="49" t="n">
        <f aca="false">'Daily KPI Entry'!AH307</f>
        <v>0</v>
      </c>
      <c r="AI306" s="49" t="n">
        <f aca="false">'Daily KPI Entry'!AI307</f>
        <v>0</v>
      </c>
      <c r="AJ306" s="49" t="n">
        <f aca="false">'Daily KPI Entry'!AJ307</f>
        <v>0</v>
      </c>
      <c r="AK306" s="47" t="n">
        <f aca="false">'Daily KPI Entry'!AK307</f>
        <v>0</v>
      </c>
      <c r="AL306" s="47" t="n">
        <f aca="false">'Daily KPI Entry'!AL307</f>
        <v>0</v>
      </c>
      <c r="AM306" s="47" t="n">
        <f aca="false">'Daily KPI Entry'!AM307</f>
        <v>0</v>
      </c>
      <c r="AN306" s="49" t="str">
        <f aca="false">IF(P306="","",MIN(120,P306))</f>
        <v/>
      </c>
      <c r="AO306" s="49" t="str">
        <f aca="false">IF(U306="","",MIN(120,U306))</f>
        <v/>
      </c>
      <c r="AP306" s="49" t="str">
        <f aca="false">IF(R306="","",MIN(120,IFERROR(S306/R306*100,0)))</f>
        <v/>
      </c>
      <c r="AQ306" s="49" t="str">
        <f aca="false">IF(W306="","",MIN(120,IF(W306=0,120,100*(INDEX('Standards &amp; Scoring'!$E$5:$E$13,MATCH("Quality / Rejection",'Standards &amp; Scoring'!$A$5:$A$13,0))/W306))))</f>
        <v/>
      </c>
      <c r="AR306" s="49" t="str">
        <f aca="false">IF(AG306="","",MIN(120,IF(AG306=0,120,100*(INDEX('Standards &amp; Scoring'!$E$5:$E$13,MATCH("Fault Control",'Standards &amp; Scoring'!$A$5:$A$13,0))/AG306))))</f>
        <v/>
      </c>
      <c r="AS306" s="49" t="str">
        <f aca="false">IF(O306="","",MIN(120,IF(SUMIFS('Fault &amp; Downtime Entry'!$L$6:$L$1005,'Fault &amp; Downtime Entry'!$E$6:$E$1005,G306,'Fault &amp; Downtime Entry'!$B$6:$B$1005,B306)=0,120,100*(INDEX('Standards &amp; Scoring'!$E$5:$E$13,MATCH("Downtime Control",'Standards &amp; Scoring'!$A$5:$A$13,0))/IFERROR(SUMIFS('Fault &amp; Downtime Entry'!$L$6:$L$1005,'Fault &amp; Downtime Entry'!$E$6:$E$1005,G306,'Fault &amp; Downtime Entry'!$B$6:$B$1005,B306)/O306*1000,999999)))))</f>
        <v/>
      </c>
      <c r="AT306" s="49" t="n">
        <f aca="false">IF(COUNTA(AH306,AJ306)=0,"",MIN(120,IF(AND(AH306&lt;&gt;"",AJ306&lt;&gt;""),AVERAGE(AH306,AJ306),IF(AH306&lt;&gt;"",AH306,AJ306))))</f>
        <v>0</v>
      </c>
      <c r="AU306" s="49" t="str">
        <f aca="false">IF(AI306="","",MIN(120,AI306))</f>
        <v/>
      </c>
      <c r="AV306" s="49" t="str">
        <f aca="false">IF(AJ306="","",MIN(120,AJ306))</f>
        <v/>
      </c>
      <c r="AW306" s="50" t="str">
        <f aca="false">IF(COUNT(AN306:AV306)&lt;9,"",(AN306*'Standards &amp; Scoring'!$D$5+AO306*'Standards &amp; Scoring'!$D$6+AP306*'Standards &amp; Scoring'!$D$7+AQ306*'Standards &amp; Scoring'!$D$8+AR306*'Standards &amp; Scoring'!$D$9+AS306*'Standards &amp; Scoring'!$D$10+AT306*'Standards &amp; Scoring'!$D$11+AU306*'Standards &amp; Scoring'!$D$12+AV306*'Standards &amp; Scoring'!$D$13)/10000)</f>
        <v/>
      </c>
      <c r="AX306" s="47" t="str">
        <f aca="false">IF(AW306="","",IF(AW306&gt;=1.05,"A+",IF(AW306&gt;=1,"A",IF(AW306&gt;=0.95,"B+",IF(AW306&gt;=0.9,"B","C")))))</f>
        <v/>
      </c>
      <c r="AY306" s="47" t="str">
        <f aca="false">IF(AX306="","",IF(AX306="A+",1800,IF(AX306="A",1600,IF(AX306="B+",1400,IF(AX306="B",1200,0)))))</f>
        <v/>
      </c>
      <c r="AZ306" s="49" t="str">
        <f aca="false">IF(OR(L306="",M306="",S306="",M306=0),"",IFERROR(L306*60*S306/(M306*36),0))</f>
        <v/>
      </c>
    </row>
    <row r="307" customFormat="false" ht="15" hidden="false" customHeight="true" outlineLevel="0" collapsed="false">
      <c r="A307" s="47" t="n">
        <f aca="false">'Daily KPI Entry'!A308</f>
        <v>0</v>
      </c>
      <c r="B307" s="48" t="n">
        <f aca="false">'Daily KPI Entry'!B308</f>
        <v>0</v>
      </c>
      <c r="C307" s="47" t="n">
        <f aca="false">'Daily KPI Entry'!C308</f>
        <v>0</v>
      </c>
      <c r="D307" s="47" t="n">
        <f aca="false">'Daily KPI Entry'!D308</f>
        <v>0</v>
      </c>
      <c r="E307" s="47" t="n">
        <f aca="false">'Daily KPI Entry'!E308</f>
        <v>0</v>
      </c>
      <c r="F307" s="47" t="n">
        <f aca="false">'Daily KPI Entry'!F308</f>
        <v>0</v>
      </c>
      <c r="G307" s="47" t="n">
        <f aca="false">'Daily KPI Entry'!G308</f>
        <v>0</v>
      </c>
      <c r="H307" s="47" t="str">
        <f aca="false">'Daily KPI Entry'!H308</f>
        <v/>
      </c>
      <c r="I307" s="47" t="n">
        <f aca="false">'Daily KPI Entry'!I308</f>
        <v>0</v>
      </c>
      <c r="J307" s="47" t="n">
        <f aca="false">'Daily KPI Entry'!J308</f>
        <v>0</v>
      </c>
      <c r="K307" s="47" t="n">
        <f aca="false">'Daily KPI Entry'!K308</f>
        <v>0</v>
      </c>
      <c r="L307" s="47" t="n">
        <f aca="false">'Daily KPI Entry'!L308</f>
        <v>0</v>
      </c>
      <c r="M307" s="47" t="n">
        <f aca="false">'Daily KPI Entry'!M308</f>
        <v>0</v>
      </c>
      <c r="N307" s="49" t="n">
        <f aca="false">'Daily KPI Entry'!N308</f>
        <v>0</v>
      </c>
      <c r="O307" s="49" t="n">
        <f aca="false">'Daily KPI Entry'!O308</f>
        <v>0</v>
      </c>
      <c r="P307" s="49" t="str">
        <f aca="false">IF(OR(N307="",O307=""),"",IFERROR(O307/N307*100,0))</f>
        <v/>
      </c>
      <c r="Q307" s="47" t="n">
        <f aca="false">'Daily KPI Entry'!Q308</f>
        <v>8</v>
      </c>
      <c r="R307" s="47" t="str">
        <f aca="false">IF(J307="","",Q307*J307)</f>
        <v/>
      </c>
      <c r="S307" s="49" t="n">
        <f aca="false">'Daily KPI Entry'!S308</f>
        <v>0</v>
      </c>
      <c r="T307" s="49" t="str">
        <f aca="false">IF(OR(R307="",S307=""),"",IFERROR(S307/R307*100,0))</f>
        <v/>
      </c>
      <c r="U307" s="49" t="str">
        <f aca="false">IF(OR(O307="",L307="",M307="",S307="",M307=0),"",IFERROR(O307/(L307*60*S307/(M307*36))*100,0))</f>
        <v/>
      </c>
      <c r="V307" s="49" t="n">
        <f aca="false">'Daily KPI Entry'!V308</f>
        <v>0</v>
      </c>
      <c r="W307" s="49" t="str">
        <f aca="false">IF(O307="","",IFERROR(V307/O307*100,0))</f>
        <v/>
      </c>
      <c r="X307" s="49" t="n">
        <f aca="false">'Daily KPI Entry'!X308</f>
        <v>0</v>
      </c>
      <c r="Y307" s="49" t="n">
        <f aca="false">'Daily KPI Entry'!Y308</f>
        <v>0</v>
      </c>
      <c r="Z307" s="49" t="n">
        <f aca="false">'Daily KPI Entry'!Z308</f>
        <v>0</v>
      </c>
      <c r="AA307" s="49" t="n">
        <f aca="false">'Daily KPI Entry'!AA308</f>
        <v>0</v>
      </c>
      <c r="AB307" s="49" t="n">
        <f aca="false">'Daily KPI Entry'!AB308</f>
        <v>0</v>
      </c>
      <c r="AC307" s="49" t="n">
        <f aca="false">'Daily KPI Entry'!AC308</f>
        <v>0</v>
      </c>
      <c r="AD307" s="49" t="n">
        <f aca="false">'Daily KPI Entry'!AD308</f>
        <v>0</v>
      </c>
      <c r="AE307" s="49" t="n">
        <f aca="false">'Daily KPI Entry'!AE308</f>
        <v>0</v>
      </c>
      <c r="AF307" s="47" t="str">
        <f aca="false">IF(O307="","",SUM(X307:AE307))</f>
        <v/>
      </c>
      <c r="AG307" s="49" t="str">
        <f aca="false">IF(O307="","",IFERROR(AF307/O307*1000,0))</f>
        <v/>
      </c>
      <c r="AH307" s="49" t="n">
        <f aca="false">'Daily KPI Entry'!AH308</f>
        <v>0</v>
      </c>
      <c r="AI307" s="49" t="n">
        <f aca="false">'Daily KPI Entry'!AI308</f>
        <v>0</v>
      </c>
      <c r="AJ307" s="49" t="n">
        <f aca="false">'Daily KPI Entry'!AJ308</f>
        <v>0</v>
      </c>
      <c r="AK307" s="47" t="n">
        <f aca="false">'Daily KPI Entry'!AK308</f>
        <v>0</v>
      </c>
      <c r="AL307" s="47" t="n">
        <f aca="false">'Daily KPI Entry'!AL308</f>
        <v>0</v>
      </c>
      <c r="AM307" s="47" t="n">
        <f aca="false">'Daily KPI Entry'!AM308</f>
        <v>0</v>
      </c>
      <c r="AN307" s="49" t="str">
        <f aca="false">IF(P307="","",MIN(120,P307))</f>
        <v/>
      </c>
      <c r="AO307" s="49" t="str">
        <f aca="false">IF(U307="","",MIN(120,U307))</f>
        <v/>
      </c>
      <c r="AP307" s="49" t="str">
        <f aca="false">IF(R307="","",MIN(120,IFERROR(S307/R307*100,0)))</f>
        <v/>
      </c>
      <c r="AQ307" s="49" t="str">
        <f aca="false">IF(W307="","",MIN(120,IF(W307=0,120,100*(INDEX('Standards &amp; Scoring'!$E$5:$E$13,MATCH("Quality / Rejection",'Standards &amp; Scoring'!$A$5:$A$13,0))/W307))))</f>
        <v/>
      </c>
      <c r="AR307" s="49" t="str">
        <f aca="false">IF(AG307="","",MIN(120,IF(AG307=0,120,100*(INDEX('Standards &amp; Scoring'!$E$5:$E$13,MATCH("Fault Control",'Standards &amp; Scoring'!$A$5:$A$13,0))/AG307))))</f>
        <v/>
      </c>
      <c r="AS307" s="49" t="str">
        <f aca="false">IF(O307="","",MIN(120,IF(SUMIFS('Fault &amp; Downtime Entry'!$L$6:$L$1005,'Fault &amp; Downtime Entry'!$E$6:$E$1005,G307,'Fault &amp; Downtime Entry'!$B$6:$B$1005,B307)=0,120,100*(INDEX('Standards &amp; Scoring'!$E$5:$E$13,MATCH("Downtime Control",'Standards &amp; Scoring'!$A$5:$A$13,0))/IFERROR(SUMIFS('Fault &amp; Downtime Entry'!$L$6:$L$1005,'Fault &amp; Downtime Entry'!$E$6:$E$1005,G307,'Fault &amp; Downtime Entry'!$B$6:$B$1005,B307)/O307*1000,999999)))))</f>
        <v/>
      </c>
      <c r="AT307" s="49" t="n">
        <f aca="false">IF(COUNTA(AH307,AJ307)=0,"",MIN(120,IF(AND(AH307&lt;&gt;"",AJ307&lt;&gt;""),AVERAGE(AH307,AJ307),IF(AH307&lt;&gt;"",AH307,AJ307))))</f>
        <v>0</v>
      </c>
      <c r="AU307" s="49" t="str">
        <f aca="false">IF(AI307="","",MIN(120,AI307))</f>
        <v/>
      </c>
      <c r="AV307" s="49" t="str">
        <f aca="false">IF(AJ307="","",MIN(120,AJ307))</f>
        <v/>
      </c>
      <c r="AW307" s="50" t="str">
        <f aca="false">IF(COUNT(AN307:AV307)&lt;9,"",(AN307*'Standards &amp; Scoring'!$D$5+AO307*'Standards &amp; Scoring'!$D$6+AP307*'Standards &amp; Scoring'!$D$7+AQ307*'Standards &amp; Scoring'!$D$8+AR307*'Standards &amp; Scoring'!$D$9+AS307*'Standards &amp; Scoring'!$D$10+AT307*'Standards &amp; Scoring'!$D$11+AU307*'Standards &amp; Scoring'!$D$12+AV307*'Standards &amp; Scoring'!$D$13)/10000)</f>
        <v/>
      </c>
      <c r="AX307" s="47" t="str">
        <f aca="false">IF(AW307="","",IF(AW307&gt;=1.05,"A+",IF(AW307&gt;=1,"A",IF(AW307&gt;=0.95,"B+",IF(AW307&gt;=0.9,"B","C")))))</f>
        <v/>
      </c>
      <c r="AY307" s="47" t="str">
        <f aca="false">IF(AX307="","",IF(AX307="A+",1800,IF(AX307="A",1600,IF(AX307="B+",1400,IF(AX307="B",1200,0)))))</f>
        <v/>
      </c>
      <c r="AZ307" s="49" t="str">
        <f aca="false">IF(OR(L307="",M307="",S307="",M307=0),"",IFERROR(L307*60*S307/(M307*36),0))</f>
        <v/>
      </c>
    </row>
    <row r="308" customFormat="false" ht="15" hidden="false" customHeight="true" outlineLevel="0" collapsed="false">
      <c r="A308" s="47" t="n">
        <f aca="false">'Daily KPI Entry'!A309</f>
        <v>0</v>
      </c>
      <c r="B308" s="48" t="n">
        <f aca="false">'Daily KPI Entry'!B309</f>
        <v>0</v>
      </c>
      <c r="C308" s="47" t="n">
        <f aca="false">'Daily KPI Entry'!C309</f>
        <v>0</v>
      </c>
      <c r="D308" s="47" t="n">
        <f aca="false">'Daily KPI Entry'!D309</f>
        <v>0</v>
      </c>
      <c r="E308" s="47" t="n">
        <f aca="false">'Daily KPI Entry'!E309</f>
        <v>0</v>
      </c>
      <c r="F308" s="47" t="n">
        <f aca="false">'Daily KPI Entry'!F309</f>
        <v>0</v>
      </c>
      <c r="G308" s="47" t="n">
        <f aca="false">'Daily KPI Entry'!G309</f>
        <v>0</v>
      </c>
      <c r="H308" s="47" t="str">
        <f aca="false">'Daily KPI Entry'!H309</f>
        <v/>
      </c>
      <c r="I308" s="47" t="n">
        <f aca="false">'Daily KPI Entry'!I309</f>
        <v>0</v>
      </c>
      <c r="J308" s="47" t="n">
        <f aca="false">'Daily KPI Entry'!J309</f>
        <v>0</v>
      </c>
      <c r="K308" s="47" t="n">
        <f aca="false">'Daily KPI Entry'!K309</f>
        <v>0</v>
      </c>
      <c r="L308" s="47" t="n">
        <f aca="false">'Daily KPI Entry'!L309</f>
        <v>0</v>
      </c>
      <c r="M308" s="47" t="n">
        <f aca="false">'Daily KPI Entry'!M309</f>
        <v>0</v>
      </c>
      <c r="N308" s="49" t="n">
        <f aca="false">'Daily KPI Entry'!N309</f>
        <v>0</v>
      </c>
      <c r="O308" s="49" t="n">
        <f aca="false">'Daily KPI Entry'!O309</f>
        <v>0</v>
      </c>
      <c r="P308" s="49" t="str">
        <f aca="false">IF(OR(N308="",O308=""),"",IFERROR(O308/N308*100,0))</f>
        <v/>
      </c>
      <c r="Q308" s="47" t="n">
        <f aca="false">'Daily KPI Entry'!Q309</f>
        <v>8</v>
      </c>
      <c r="R308" s="47" t="str">
        <f aca="false">IF(J308="","",Q308*J308)</f>
        <v/>
      </c>
      <c r="S308" s="49" t="n">
        <f aca="false">'Daily KPI Entry'!S309</f>
        <v>0</v>
      </c>
      <c r="T308" s="49" t="str">
        <f aca="false">IF(OR(R308="",S308=""),"",IFERROR(S308/R308*100,0))</f>
        <v/>
      </c>
      <c r="U308" s="49" t="str">
        <f aca="false">IF(OR(O308="",L308="",M308="",S308="",M308=0),"",IFERROR(O308/(L308*60*S308/(M308*36))*100,0))</f>
        <v/>
      </c>
      <c r="V308" s="49" t="n">
        <f aca="false">'Daily KPI Entry'!V309</f>
        <v>0</v>
      </c>
      <c r="W308" s="49" t="str">
        <f aca="false">IF(O308="","",IFERROR(V308/O308*100,0))</f>
        <v/>
      </c>
      <c r="X308" s="49" t="n">
        <f aca="false">'Daily KPI Entry'!X309</f>
        <v>0</v>
      </c>
      <c r="Y308" s="49" t="n">
        <f aca="false">'Daily KPI Entry'!Y309</f>
        <v>0</v>
      </c>
      <c r="Z308" s="49" t="n">
        <f aca="false">'Daily KPI Entry'!Z309</f>
        <v>0</v>
      </c>
      <c r="AA308" s="49" t="n">
        <f aca="false">'Daily KPI Entry'!AA309</f>
        <v>0</v>
      </c>
      <c r="AB308" s="49" t="n">
        <f aca="false">'Daily KPI Entry'!AB309</f>
        <v>0</v>
      </c>
      <c r="AC308" s="49" t="n">
        <f aca="false">'Daily KPI Entry'!AC309</f>
        <v>0</v>
      </c>
      <c r="AD308" s="49" t="n">
        <f aca="false">'Daily KPI Entry'!AD309</f>
        <v>0</v>
      </c>
      <c r="AE308" s="49" t="n">
        <f aca="false">'Daily KPI Entry'!AE309</f>
        <v>0</v>
      </c>
      <c r="AF308" s="47" t="str">
        <f aca="false">IF(O308="","",SUM(X308:AE308))</f>
        <v/>
      </c>
      <c r="AG308" s="49" t="str">
        <f aca="false">IF(O308="","",IFERROR(AF308/O308*1000,0))</f>
        <v/>
      </c>
      <c r="AH308" s="49" t="n">
        <f aca="false">'Daily KPI Entry'!AH309</f>
        <v>0</v>
      </c>
      <c r="AI308" s="49" t="n">
        <f aca="false">'Daily KPI Entry'!AI309</f>
        <v>0</v>
      </c>
      <c r="AJ308" s="49" t="n">
        <f aca="false">'Daily KPI Entry'!AJ309</f>
        <v>0</v>
      </c>
      <c r="AK308" s="47" t="n">
        <f aca="false">'Daily KPI Entry'!AK309</f>
        <v>0</v>
      </c>
      <c r="AL308" s="47" t="n">
        <f aca="false">'Daily KPI Entry'!AL309</f>
        <v>0</v>
      </c>
      <c r="AM308" s="47" t="n">
        <f aca="false">'Daily KPI Entry'!AM309</f>
        <v>0</v>
      </c>
      <c r="AN308" s="49" t="str">
        <f aca="false">IF(P308="","",MIN(120,P308))</f>
        <v/>
      </c>
      <c r="AO308" s="49" t="str">
        <f aca="false">IF(U308="","",MIN(120,U308))</f>
        <v/>
      </c>
      <c r="AP308" s="49" t="str">
        <f aca="false">IF(R308="","",MIN(120,IFERROR(S308/R308*100,0)))</f>
        <v/>
      </c>
      <c r="AQ308" s="49" t="str">
        <f aca="false">IF(W308="","",MIN(120,IF(W308=0,120,100*(INDEX('Standards &amp; Scoring'!$E$5:$E$13,MATCH("Quality / Rejection",'Standards &amp; Scoring'!$A$5:$A$13,0))/W308))))</f>
        <v/>
      </c>
      <c r="AR308" s="49" t="str">
        <f aca="false">IF(AG308="","",MIN(120,IF(AG308=0,120,100*(INDEX('Standards &amp; Scoring'!$E$5:$E$13,MATCH("Fault Control",'Standards &amp; Scoring'!$A$5:$A$13,0))/AG308))))</f>
        <v/>
      </c>
      <c r="AS308" s="49" t="str">
        <f aca="false">IF(O308="","",MIN(120,IF(SUMIFS('Fault &amp; Downtime Entry'!$L$6:$L$1005,'Fault &amp; Downtime Entry'!$E$6:$E$1005,G308,'Fault &amp; Downtime Entry'!$B$6:$B$1005,B308)=0,120,100*(INDEX('Standards &amp; Scoring'!$E$5:$E$13,MATCH("Downtime Control",'Standards &amp; Scoring'!$A$5:$A$13,0))/IFERROR(SUMIFS('Fault &amp; Downtime Entry'!$L$6:$L$1005,'Fault &amp; Downtime Entry'!$E$6:$E$1005,G308,'Fault &amp; Downtime Entry'!$B$6:$B$1005,B308)/O308*1000,999999)))))</f>
        <v/>
      </c>
      <c r="AT308" s="49" t="n">
        <f aca="false">IF(COUNTA(AH308,AJ308)=0,"",MIN(120,IF(AND(AH308&lt;&gt;"",AJ308&lt;&gt;""),AVERAGE(AH308,AJ308),IF(AH308&lt;&gt;"",AH308,AJ308))))</f>
        <v>0</v>
      </c>
      <c r="AU308" s="49" t="str">
        <f aca="false">IF(AI308="","",MIN(120,AI308))</f>
        <v/>
      </c>
      <c r="AV308" s="49" t="str">
        <f aca="false">IF(AJ308="","",MIN(120,AJ308))</f>
        <v/>
      </c>
      <c r="AW308" s="50" t="str">
        <f aca="false">IF(COUNT(AN308:AV308)&lt;9,"",(AN308*'Standards &amp; Scoring'!$D$5+AO308*'Standards &amp; Scoring'!$D$6+AP308*'Standards &amp; Scoring'!$D$7+AQ308*'Standards &amp; Scoring'!$D$8+AR308*'Standards &amp; Scoring'!$D$9+AS308*'Standards &amp; Scoring'!$D$10+AT308*'Standards &amp; Scoring'!$D$11+AU308*'Standards &amp; Scoring'!$D$12+AV308*'Standards &amp; Scoring'!$D$13)/10000)</f>
        <v/>
      </c>
      <c r="AX308" s="47" t="str">
        <f aca="false">IF(AW308="","",IF(AW308&gt;=1.05,"A+",IF(AW308&gt;=1,"A",IF(AW308&gt;=0.95,"B+",IF(AW308&gt;=0.9,"B","C")))))</f>
        <v/>
      </c>
      <c r="AY308" s="47" t="str">
        <f aca="false">IF(AX308="","",IF(AX308="A+",1800,IF(AX308="A",1600,IF(AX308="B+",1400,IF(AX308="B",1200,0)))))</f>
        <v/>
      </c>
      <c r="AZ308" s="49" t="str">
        <f aca="false">IF(OR(L308="",M308="",S308="",M308=0),"",IFERROR(L308*60*S308/(M308*36),0))</f>
        <v/>
      </c>
    </row>
    <row r="309" customFormat="false" ht="15" hidden="false" customHeight="true" outlineLevel="0" collapsed="false">
      <c r="A309" s="47" t="n">
        <f aca="false">'Daily KPI Entry'!A310</f>
        <v>0</v>
      </c>
      <c r="B309" s="48" t="n">
        <f aca="false">'Daily KPI Entry'!B310</f>
        <v>0</v>
      </c>
      <c r="C309" s="47" t="n">
        <f aca="false">'Daily KPI Entry'!C310</f>
        <v>0</v>
      </c>
      <c r="D309" s="47" t="n">
        <f aca="false">'Daily KPI Entry'!D310</f>
        <v>0</v>
      </c>
      <c r="E309" s="47" t="n">
        <f aca="false">'Daily KPI Entry'!E310</f>
        <v>0</v>
      </c>
      <c r="F309" s="47" t="n">
        <f aca="false">'Daily KPI Entry'!F310</f>
        <v>0</v>
      </c>
      <c r="G309" s="47" t="n">
        <f aca="false">'Daily KPI Entry'!G310</f>
        <v>0</v>
      </c>
      <c r="H309" s="47" t="str">
        <f aca="false">'Daily KPI Entry'!H310</f>
        <v/>
      </c>
      <c r="I309" s="47" t="n">
        <f aca="false">'Daily KPI Entry'!I310</f>
        <v>0</v>
      </c>
      <c r="J309" s="47" t="n">
        <f aca="false">'Daily KPI Entry'!J310</f>
        <v>0</v>
      </c>
      <c r="K309" s="47" t="n">
        <f aca="false">'Daily KPI Entry'!K310</f>
        <v>0</v>
      </c>
      <c r="L309" s="47" t="n">
        <f aca="false">'Daily KPI Entry'!L310</f>
        <v>0</v>
      </c>
      <c r="M309" s="47" t="n">
        <f aca="false">'Daily KPI Entry'!M310</f>
        <v>0</v>
      </c>
      <c r="N309" s="49" t="n">
        <f aca="false">'Daily KPI Entry'!N310</f>
        <v>0</v>
      </c>
      <c r="O309" s="49" t="n">
        <f aca="false">'Daily KPI Entry'!O310</f>
        <v>0</v>
      </c>
      <c r="P309" s="49" t="str">
        <f aca="false">IF(OR(N309="",O309=""),"",IFERROR(O309/N309*100,0))</f>
        <v/>
      </c>
      <c r="Q309" s="47" t="n">
        <f aca="false">'Daily KPI Entry'!Q310</f>
        <v>8</v>
      </c>
      <c r="R309" s="47" t="str">
        <f aca="false">IF(J309="","",Q309*J309)</f>
        <v/>
      </c>
      <c r="S309" s="49" t="n">
        <f aca="false">'Daily KPI Entry'!S310</f>
        <v>0</v>
      </c>
      <c r="T309" s="49" t="str">
        <f aca="false">IF(OR(R309="",S309=""),"",IFERROR(S309/R309*100,0))</f>
        <v/>
      </c>
      <c r="U309" s="49" t="str">
        <f aca="false">IF(OR(O309="",L309="",M309="",S309="",M309=0),"",IFERROR(O309/(L309*60*S309/(M309*36))*100,0))</f>
        <v/>
      </c>
      <c r="V309" s="49" t="n">
        <f aca="false">'Daily KPI Entry'!V310</f>
        <v>0</v>
      </c>
      <c r="W309" s="49" t="str">
        <f aca="false">IF(O309="","",IFERROR(V309/O309*100,0))</f>
        <v/>
      </c>
      <c r="X309" s="49" t="n">
        <f aca="false">'Daily KPI Entry'!X310</f>
        <v>0</v>
      </c>
      <c r="Y309" s="49" t="n">
        <f aca="false">'Daily KPI Entry'!Y310</f>
        <v>0</v>
      </c>
      <c r="Z309" s="49" t="n">
        <f aca="false">'Daily KPI Entry'!Z310</f>
        <v>0</v>
      </c>
      <c r="AA309" s="49" t="n">
        <f aca="false">'Daily KPI Entry'!AA310</f>
        <v>0</v>
      </c>
      <c r="AB309" s="49" t="n">
        <f aca="false">'Daily KPI Entry'!AB310</f>
        <v>0</v>
      </c>
      <c r="AC309" s="49" t="n">
        <f aca="false">'Daily KPI Entry'!AC310</f>
        <v>0</v>
      </c>
      <c r="AD309" s="49" t="n">
        <f aca="false">'Daily KPI Entry'!AD310</f>
        <v>0</v>
      </c>
      <c r="AE309" s="49" t="n">
        <f aca="false">'Daily KPI Entry'!AE310</f>
        <v>0</v>
      </c>
      <c r="AF309" s="47" t="str">
        <f aca="false">IF(O309="","",SUM(X309:AE309))</f>
        <v/>
      </c>
      <c r="AG309" s="49" t="str">
        <f aca="false">IF(O309="","",IFERROR(AF309/O309*1000,0))</f>
        <v/>
      </c>
      <c r="AH309" s="49" t="n">
        <f aca="false">'Daily KPI Entry'!AH310</f>
        <v>0</v>
      </c>
      <c r="AI309" s="49" t="n">
        <f aca="false">'Daily KPI Entry'!AI310</f>
        <v>0</v>
      </c>
      <c r="AJ309" s="49" t="n">
        <f aca="false">'Daily KPI Entry'!AJ310</f>
        <v>0</v>
      </c>
      <c r="AK309" s="47" t="n">
        <f aca="false">'Daily KPI Entry'!AK310</f>
        <v>0</v>
      </c>
      <c r="AL309" s="47" t="n">
        <f aca="false">'Daily KPI Entry'!AL310</f>
        <v>0</v>
      </c>
      <c r="AM309" s="47" t="n">
        <f aca="false">'Daily KPI Entry'!AM310</f>
        <v>0</v>
      </c>
      <c r="AN309" s="49" t="str">
        <f aca="false">IF(P309="","",MIN(120,P309))</f>
        <v/>
      </c>
      <c r="AO309" s="49" t="str">
        <f aca="false">IF(U309="","",MIN(120,U309))</f>
        <v/>
      </c>
      <c r="AP309" s="49" t="str">
        <f aca="false">IF(R309="","",MIN(120,IFERROR(S309/R309*100,0)))</f>
        <v/>
      </c>
      <c r="AQ309" s="49" t="str">
        <f aca="false">IF(W309="","",MIN(120,IF(W309=0,120,100*(INDEX('Standards &amp; Scoring'!$E$5:$E$13,MATCH("Quality / Rejection",'Standards &amp; Scoring'!$A$5:$A$13,0))/W309))))</f>
        <v/>
      </c>
      <c r="AR309" s="49" t="str">
        <f aca="false">IF(AG309="","",MIN(120,IF(AG309=0,120,100*(INDEX('Standards &amp; Scoring'!$E$5:$E$13,MATCH("Fault Control",'Standards &amp; Scoring'!$A$5:$A$13,0))/AG309))))</f>
        <v/>
      </c>
      <c r="AS309" s="49" t="str">
        <f aca="false">IF(O309="","",MIN(120,IF(SUMIFS('Fault &amp; Downtime Entry'!$L$6:$L$1005,'Fault &amp; Downtime Entry'!$E$6:$E$1005,G309,'Fault &amp; Downtime Entry'!$B$6:$B$1005,B309)=0,120,100*(INDEX('Standards &amp; Scoring'!$E$5:$E$13,MATCH("Downtime Control",'Standards &amp; Scoring'!$A$5:$A$13,0))/IFERROR(SUMIFS('Fault &amp; Downtime Entry'!$L$6:$L$1005,'Fault &amp; Downtime Entry'!$E$6:$E$1005,G309,'Fault &amp; Downtime Entry'!$B$6:$B$1005,B309)/O309*1000,999999)))))</f>
        <v/>
      </c>
      <c r="AT309" s="49" t="n">
        <f aca="false">IF(COUNTA(AH309,AJ309)=0,"",MIN(120,IF(AND(AH309&lt;&gt;"",AJ309&lt;&gt;""),AVERAGE(AH309,AJ309),IF(AH309&lt;&gt;"",AH309,AJ309))))</f>
        <v>0</v>
      </c>
      <c r="AU309" s="49" t="str">
        <f aca="false">IF(AI309="","",MIN(120,AI309))</f>
        <v/>
      </c>
      <c r="AV309" s="49" t="str">
        <f aca="false">IF(AJ309="","",MIN(120,AJ309))</f>
        <v/>
      </c>
      <c r="AW309" s="50" t="str">
        <f aca="false">IF(COUNT(AN309:AV309)&lt;9,"",(AN309*'Standards &amp; Scoring'!$D$5+AO309*'Standards &amp; Scoring'!$D$6+AP309*'Standards &amp; Scoring'!$D$7+AQ309*'Standards &amp; Scoring'!$D$8+AR309*'Standards &amp; Scoring'!$D$9+AS309*'Standards &amp; Scoring'!$D$10+AT309*'Standards &amp; Scoring'!$D$11+AU309*'Standards &amp; Scoring'!$D$12+AV309*'Standards &amp; Scoring'!$D$13)/10000)</f>
        <v/>
      </c>
      <c r="AX309" s="47" t="str">
        <f aca="false">IF(AW309="","",IF(AW309&gt;=1.05,"A+",IF(AW309&gt;=1,"A",IF(AW309&gt;=0.95,"B+",IF(AW309&gt;=0.9,"B","C")))))</f>
        <v/>
      </c>
      <c r="AY309" s="47" t="str">
        <f aca="false">IF(AX309="","",IF(AX309="A+",1800,IF(AX309="A",1600,IF(AX309="B+",1400,IF(AX309="B",1200,0)))))</f>
        <v/>
      </c>
      <c r="AZ309" s="49" t="str">
        <f aca="false">IF(OR(L309="",M309="",S309="",M309=0),"",IFERROR(L309*60*S309/(M309*36),0))</f>
        <v/>
      </c>
    </row>
    <row r="310" customFormat="false" ht="15" hidden="false" customHeight="true" outlineLevel="0" collapsed="false">
      <c r="A310" s="47" t="n">
        <f aca="false">'Daily KPI Entry'!A311</f>
        <v>0</v>
      </c>
      <c r="B310" s="48" t="n">
        <f aca="false">'Daily KPI Entry'!B311</f>
        <v>0</v>
      </c>
      <c r="C310" s="47" t="n">
        <f aca="false">'Daily KPI Entry'!C311</f>
        <v>0</v>
      </c>
      <c r="D310" s="47" t="n">
        <f aca="false">'Daily KPI Entry'!D311</f>
        <v>0</v>
      </c>
      <c r="E310" s="47" t="n">
        <f aca="false">'Daily KPI Entry'!E311</f>
        <v>0</v>
      </c>
      <c r="F310" s="47" t="n">
        <f aca="false">'Daily KPI Entry'!F311</f>
        <v>0</v>
      </c>
      <c r="G310" s="47" t="n">
        <f aca="false">'Daily KPI Entry'!G311</f>
        <v>0</v>
      </c>
      <c r="H310" s="47" t="str">
        <f aca="false">'Daily KPI Entry'!H311</f>
        <v/>
      </c>
      <c r="I310" s="47" t="n">
        <f aca="false">'Daily KPI Entry'!I311</f>
        <v>0</v>
      </c>
      <c r="J310" s="47" t="n">
        <f aca="false">'Daily KPI Entry'!J311</f>
        <v>0</v>
      </c>
      <c r="K310" s="47" t="n">
        <f aca="false">'Daily KPI Entry'!K311</f>
        <v>0</v>
      </c>
      <c r="L310" s="47" t="n">
        <f aca="false">'Daily KPI Entry'!L311</f>
        <v>0</v>
      </c>
      <c r="M310" s="47" t="n">
        <f aca="false">'Daily KPI Entry'!M311</f>
        <v>0</v>
      </c>
      <c r="N310" s="49" t="n">
        <f aca="false">'Daily KPI Entry'!N311</f>
        <v>0</v>
      </c>
      <c r="O310" s="49" t="n">
        <f aca="false">'Daily KPI Entry'!O311</f>
        <v>0</v>
      </c>
      <c r="P310" s="49" t="str">
        <f aca="false">IF(OR(N310="",O310=""),"",IFERROR(O310/N310*100,0))</f>
        <v/>
      </c>
      <c r="Q310" s="47" t="n">
        <f aca="false">'Daily KPI Entry'!Q311</f>
        <v>8</v>
      </c>
      <c r="R310" s="47" t="str">
        <f aca="false">IF(J310="","",Q310*J310)</f>
        <v/>
      </c>
      <c r="S310" s="49" t="n">
        <f aca="false">'Daily KPI Entry'!S311</f>
        <v>0</v>
      </c>
      <c r="T310" s="49" t="str">
        <f aca="false">IF(OR(R310="",S310=""),"",IFERROR(S310/R310*100,0))</f>
        <v/>
      </c>
      <c r="U310" s="49" t="str">
        <f aca="false">IF(OR(O310="",L310="",M310="",S310="",M310=0),"",IFERROR(O310/(L310*60*S310/(M310*36))*100,0))</f>
        <v/>
      </c>
      <c r="V310" s="49" t="n">
        <f aca="false">'Daily KPI Entry'!V311</f>
        <v>0</v>
      </c>
      <c r="W310" s="49" t="str">
        <f aca="false">IF(O310="","",IFERROR(V310/O310*100,0))</f>
        <v/>
      </c>
      <c r="X310" s="49" t="n">
        <f aca="false">'Daily KPI Entry'!X311</f>
        <v>0</v>
      </c>
      <c r="Y310" s="49" t="n">
        <f aca="false">'Daily KPI Entry'!Y311</f>
        <v>0</v>
      </c>
      <c r="Z310" s="49" t="n">
        <f aca="false">'Daily KPI Entry'!Z311</f>
        <v>0</v>
      </c>
      <c r="AA310" s="49" t="n">
        <f aca="false">'Daily KPI Entry'!AA311</f>
        <v>0</v>
      </c>
      <c r="AB310" s="49" t="n">
        <f aca="false">'Daily KPI Entry'!AB311</f>
        <v>0</v>
      </c>
      <c r="AC310" s="49" t="n">
        <f aca="false">'Daily KPI Entry'!AC311</f>
        <v>0</v>
      </c>
      <c r="AD310" s="49" t="n">
        <f aca="false">'Daily KPI Entry'!AD311</f>
        <v>0</v>
      </c>
      <c r="AE310" s="49" t="n">
        <f aca="false">'Daily KPI Entry'!AE311</f>
        <v>0</v>
      </c>
      <c r="AF310" s="47" t="str">
        <f aca="false">IF(O310="","",SUM(X310:AE310))</f>
        <v/>
      </c>
      <c r="AG310" s="49" t="str">
        <f aca="false">IF(O310="","",IFERROR(AF310/O310*1000,0))</f>
        <v/>
      </c>
      <c r="AH310" s="49" t="n">
        <f aca="false">'Daily KPI Entry'!AH311</f>
        <v>0</v>
      </c>
      <c r="AI310" s="49" t="n">
        <f aca="false">'Daily KPI Entry'!AI311</f>
        <v>0</v>
      </c>
      <c r="AJ310" s="49" t="n">
        <f aca="false">'Daily KPI Entry'!AJ311</f>
        <v>0</v>
      </c>
      <c r="AK310" s="47" t="n">
        <f aca="false">'Daily KPI Entry'!AK311</f>
        <v>0</v>
      </c>
      <c r="AL310" s="47" t="n">
        <f aca="false">'Daily KPI Entry'!AL311</f>
        <v>0</v>
      </c>
      <c r="AM310" s="47" t="n">
        <f aca="false">'Daily KPI Entry'!AM311</f>
        <v>0</v>
      </c>
      <c r="AN310" s="49" t="str">
        <f aca="false">IF(P310="","",MIN(120,P310))</f>
        <v/>
      </c>
      <c r="AO310" s="49" t="str">
        <f aca="false">IF(U310="","",MIN(120,U310))</f>
        <v/>
      </c>
      <c r="AP310" s="49" t="str">
        <f aca="false">IF(R310="","",MIN(120,IFERROR(S310/R310*100,0)))</f>
        <v/>
      </c>
      <c r="AQ310" s="49" t="str">
        <f aca="false">IF(W310="","",MIN(120,IF(W310=0,120,100*(INDEX('Standards &amp; Scoring'!$E$5:$E$13,MATCH("Quality / Rejection",'Standards &amp; Scoring'!$A$5:$A$13,0))/W310))))</f>
        <v/>
      </c>
      <c r="AR310" s="49" t="str">
        <f aca="false">IF(AG310="","",MIN(120,IF(AG310=0,120,100*(INDEX('Standards &amp; Scoring'!$E$5:$E$13,MATCH("Fault Control",'Standards &amp; Scoring'!$A$5:$A$13,0))/AG310))))</f>
        <v/>
      </c>
      <c r="AS310" s="49" t="str">
        <f aca="false">IF(O310="","",MIN(120,IF(SUMIFS('Fault &amp; Downtime Entry'!$L$6:$L$1005,'Fault &amp; Downtime Entry'!$E$6:$E$1005,G310,'Fault &amp; Downtime Entry'!$B$6:$B$1005,B310)=0,120,100*(INDEX('Standards &amp; Scoring'!$E$5:$E$13,MATCH("Downtime Control",'Standards &amp; Scoring'!$A$5:$A$13,0))/IFERROR(SUMIFS('Fault &amp; Downtime Entry'!$L$6:$L$1005,'Fault &amp; Downtime Entry'!$E$6:$E$1005,G310,'Fault &amp; Downtime Entry'!$B$6:$B$1005,B310)/O310*1000,999999)))))</f>
        <v/>
      </c>
      <c r="AT310" s="49" t="n">
        <f aca="false">IF(COUNTA(AH310,AJ310)=0,"",MIN(120,IF(AND(AH310&lt;&gt;"",AJ310&lt;&gt;""),AVERAGE(AH310,AJ310),IF(AH310&lt;&gt;"",AH310,AJ310))))</f>
        <v>0</v>
      </c>
      <c r="AU310" s="49" t="str">
        <f aca="false">IF(AI310="","",MIN(120,AI310))</f>
        <v/>
      </c>
      <c r="AV310" s="49" t="str">
        <f aca="false">IF(AJ310="","",MIN(120,AJ310))</f>
        <v/>
      </c>
      <c r="AW310" s="50" t="str">
        <f aca="false">IF(COUNT(AN310:AV310)&lt;9,"",(AN310*'Standards &amp; Scoring'!$D$5+AO310*'Standards &amp; Scoring'!$D$6+AP310*'Standards &amp; Scoring'!$D$7+AQ310*'Standards &amp; Scoring'!$D$8+AR310*'Standards &amp; Scoring'!$D$9+AS310*'Standards &amp; Scoring'!$D$10+AT310*'Standards &amp; Scoring'!$D$11+AU310*'Standards &amp; Scoring'!$D$12+AV310*'Standards &amp; Scoring'!$D$13)/10000)</f>
        <v/>
      </c>
      <c r="AX310" s="47" t="str">
        <f aca="false">IF(AW310="","",IF(AW310&gt;=1.05,"A+",IF(AW310&gt;=1,"A",IF(AW310&gt;=0.95,"B+",IF(AW310&gt;=0.9,"B","C")))))</f>
        <v/>
      </c>
      <c r="AY310" s="47" t="str">
        <f aca="false">IF(AX310="","",IF(AX310="A+",1800,IF(AX310="A",1600,IF(AX310="B+",1400,IF(AX310="B",1200,0)))))</f>
        <v/>
      </c>
      <c r="AZ310" s="49" t="str">
        <f aca="false">IF(OR(L310="",M310="",S310="",M310=0),"",IFERROR(L310*60*S310/(M310*36),0))</f>
        <v/>
      </c>
    </row>
    <row r="311" customFormat="false" ht="15" hidden="false" customHeight="true" outlineLevel="0" collapsed="false">
      <c r="A311" s="47" t="n">
        <f aca="false">'Daily KPI Entry'!A312</f>
        <v>0</v>
      </c>
      <c r="B311" s="48" t="n">
        <f aca="false">'Daily KPI Entry'!B312</f>
        <v>0</v>
      </c>
      <c r="C311" s="47" t="n">
        <f aca="false">'Daily KPI Entry'!C312</f>
        <v>0</v>
      </c>
      <c r="D311" s="47" t="n">
        <f aca="false">'Daily KPI Entry'!D312</f>
        <v>0</v>
      </c>
      <c r="E311" s="47" t="n">
        <f aca="false">'Daily KPI Entry'!E312</f>
        <v>0</v>
      </c>
      <c r="F311" s="47" t="n">
        <f aca="false">'Daily KPI Entry'!F312</f>
        <v>0</v>
      </c>
      <c r="G311" s="47" t="n">
        <f aca="false">'Daily KPI Entry'!G312</f>
        <v>0</v>
      </c>
      <c r="H311" s="47" t="str">
        <f aca="false">'Daily KPI Entry'!H312</f>
        <v/>
      </c>
      <c r="I311" s="47" t="n">
        <f aca="false">'Daily KPI Entry'!I312</f>
        <v>0</v>
      </c>
      <c r="J311" s="47" t="n">
        <f aca="false">'Daily KPI Entry'!J312</f>
        <v>0</v>
      </c>
      <c r="K311" s="47" t="n">
        <f aca="false">'Daily KPI Entry'!K312</f>
        <v>0</v>
      </c>
      <c r="L311" s="47" t="n">
        <f aca="false">'Daily KPI Entry'!L312</f>
        <v>0</v>
      </c>
      <c r="M311" s="47" t="n">
        <f aca="false">'Daily KPI Entry'!M312</f>
        <v>0</v>
      </c>
      <c r="N311" s="49" t="n">
        <f aca="false">'Daily KPI Entry'!N312</f>
        <v>0</v>
      </c>
      <c r="O311" s="49" t="n">
        <f aca="false">'Daily KPI Entry'!O312</f>
        <v>0</v>
      </c>
      <c r="P311" s="49" t="str">
        <f aca="false">IF(OR(N311="",O311=""),"",IFERROR(O311/N311*100,0))</f>
        <v/>
      </c>
      <c r="Q311" s="47" t="n">
        <f aca="false">'Daily KPI Entry'!Q312</f>
        <v>8</v>
      </c>
      <c r="R311" s="47" t="str">
        <f aca="false">IF(J311="","",Q311*J311)</f>
        <v/>
      </c>
      <c r="S311" s="49" t="n">
        <f aca="false">'Daily KPI Entry'!S312</f>
        <v>0</v>
      </c>
      <c r="T311" s="49" t="str">
        <f aca="false">IF(OR(R311="",S311=""),"",IFERROR(S311/R311*100,0))</f>
        <v/>
      </c>
      <c r="U311" s="49" t="str">
        <f aca="false">IF(OR(O311="",L311="",M311="",S311="",M311=0),"",IFERROR(O311/(L311*60*S311/(M311*36))*100,0))</f>
        <v/>
      </c>
      <c r="V311" s="49" t="n">
        <f aca="false">'Daily KPI Entry'!V312</f>
        <v>0</v>
      </c>
      <c r="W311" s="49" t="str">
        <f aca="false">IF(O311="","",IFERROR(V311/O311*100,0))</f>
        <v/>
      </c>
      <c r="X311" s="49" t="n">
        <f aca="false">'Daily KPI Entry'!X312</f>
        <v>0</v>
      </c>
      <c r="Y311" s="49" t="n">
        <f aca="false">'Daily KPI Entry'!Y312</f>
        <v>0</v>
      </c>
      <c r="Z311" s="49" t="n">
        <f aca="false">'Daily KPI Entry'!Z312</f>
        <v>0</v>
      </c>
      <c r="AA311" s="49" t="n">
        <f aca="false">'Daily KPI Entry'!AA312</f>
        <v>0</v>
      </c>
      <c r="AB311" s="49" t="n">
        <f aca="false">'Daily KPI Entry'!AB312</f>
        <v>0</v>
      </c>
      <c r="AC311" s="49" t="n">
        <f aca="false">'Daily KPI Entry'!AC312</f>
        <v>0</v>
      </c>
      <c r="AD311" s="49" t="n">
        <f aca="false">'Daily KPI Entry'!AD312</f>
        <v>0</v>
      </c>
      <c r="AE311" s="49" t="n">
        <f aca="false">'Daily KPI Entry'!AE312</f>
        <v>0</v>
      </c>
      <c r="AF311" s="47" t="str">
        <f aca="false">IF(O311="","",SUM(X311:AE311))</f>
        <v/>
      </c>
      <c r="AG311" s="49" t="str">
        <f aca="false">IF(O311="","",IFERROR(AF311/O311*1000,0))</f>
        <v/>
      </c>
      <c r="AH311" s="49" t="n">
        <f aca="false">'Daily KPI Entry'!AH312</f>
        <v>0</v>
      </c>
      <c r="AI311" s="49" t="n">
        <f aca="false">'Daily KPI Entry'!AI312</f>
        <v>0</v>
      </c>
      <c r="AJ311" s="49" t="n">
        <f aca="false">'Daily KPI Entry'!AJ312</f>
        <v>0</v>
      </c>
      <c r="AK311" s="47" t="n">
        <f aca="false">'Daily KPI Entry'!AK312</f>
        <v>0</v>
      </c>
      <c r="AL311" s="47" t="n">
        <f aca="false">'Daily KPI Entry'!AL312</f>
        <v>0</v>
      </c>
      <c r="AM311" s="47" t="n">
        <f aca="false">'Daily KPI Entry'!AM312</f>
        <v>0</v>
      </c>
      <c r="AN311" s="49" t="str">
        <f aca="false">IF(P311="","",MIN(120,P311))</f>
        <v/>
      </c>
      <c r="AO311" s="49" t="str">
        <f aca="false">IF(U311="","",MIN(120,U311))</f>
        <v/>
      </c>
      <c r="AP311" s="49" t="str">
        <f aca="false">IF(R311="","",MIN(120,IFERROR(S311/R311*100,0)))</f>
        <v/>
      </c>
      <c r="AQ311" s="49" t="str">
        <f aca="false">IF(W311="","",MIN(120,IF(W311=0,120,100*(INDEX('Standards &amp; Scoring'!$E$5:$E$13,MATCH("Quality / Rejection",'Standards &amp; Scoring'!$A$5:$A$13,0))/W311))))</f>
        <v/>
      </c>
      <c r="AR311" s="49" t="str">
        <f aca="false">IF(AG311="","",MIN(120,IF(AG311=0,120,100*(INDEX('Standards &amp; Scoring'!$E$5:$E$13,MATCH("Fault Control",'Standards &amp; Scoring'!$A$5:$A$13,0))/AG311))))</f>
        <v/>
      </c>
      <c r="AS311" s="49" t="str">
        <f aca="false">IF(O311="","",MIN(120,IF(SUMIFS('Fault &amp; Downtime Entry'!$L$6:$L$1005,'Fault &amp; Downtime Entry'!$E$6:$E$1005,G311,'Fault &amp; Downtime Entry'!$B$6:$B$1005,B311)=0,120,100*(INDEX('Standards &amp; Scoring'!$E$5:$E$13,MATCH("Downtime Control",'Standards &amp; Scoring'!$A$5:$A$13,0))/IFERROR(SUMIFS('Fault &amp; Downtime Entry'!$L$6:$L$1005,'Fault &amp; Downtime Entry'!$E$6:$E$1005,G311,'Fault &amp; Downtime Entry'!$B$6:$B$1005,B311)/O311*1000,999999)))))</f>
        <v/>
      </c>
      <c r="AT311" s="49" t="n">
        <f aca="false">IF(COUNTA(AH311,AJ311)=0,"",MIN(120,IF(AND(AH311&lt;&gt;"",AJ311&lt;&gt;""),AVERAGE(AH311,AJ311),IF(AH311&lt;&gt;"",AH311,AJ311))))</f>
        <v>0</v>
      </c>
      <c r="AU311" s="49" t="str">
        <f aca="false">IF(AI311="","",MIN(120,AI311))</f>
        <v/>
      </c>
      <c r="AV311" s="49" t="str">
        <f aca="false">IF(AJ311="","",MIN(120,AJ311))</f>
        <v/>
      </c>
      <c r="AW311" s="50" t="str">
        <f aca="false">IF(COUNT(AN311:AV311)&lt;9,"",(AN311*'Standards &amp; Scoring'!$D$5+AO311*'Standards &amp; Scoring'!$D$6+AP311*'Standards &amp; Scoring'!$D$7+AQ311*'Standards &amp; Scoring'!$D$8+AR311*'Standards &amp; Scoring'!$D$9+AS311*'Standards &amp; Scoring'!$D$10+AT311*'Standards &amp; Scoring'!$D$11+AU311*'Standards &amp; Scoring'!$D$12+AV311*'Standards &amp; Scoring'!$D$13)/10000)</f>
        <v/>
      </c>
      <c r="AX311" s="47" t="str">
        <f aca="false">IF(AW311="","",IF(AW311&gt;=1.05,"A+",IF(AW311&gt;=1,"A",IF(AW311&gt;=0.95,"B+",IF(AW311&gt;=0.9,"B","C")))))</f>
        <v/>
      </c>
      <c r="AY311" s="47" t="str">
        <f aca="false">IF(AX311="","",IF(AX311="A+",1800,IF(AX311="A",1600,IF(AX311="B+",1400,IF(AX311="B",1200,0)))))</f>
        <v/>
      </c>
      <c r="AZ311" s="49" t="str">
        <f aca="false">IF(OR(L311="",M311="",S311="",M311=0),"",IFERROR(L311*60*S311/(M311*36),0))</f>
        <v/>
      </c>
    </row>
    <row r="312" customFormat="false" ht="15" hidden="false" customHeight="true" outlineLevel="0" collapsed="false">
      <c r="A312" s="47" t="n">
        <f aca="false">'Daily KPI Entry'!A313</f>
        <v>0</v>
      </c>
      <c r="B312" s="48" t="n">
        <f aca="false">'Daily KPI Entry'!B313</f>
        <v>0</v>
      </c>
      <c r="C312" s="47" t="n">
        <f aca="false">'Daily KPI Entry'!C313</f>
        <v>0</v>
      </c>
      <c r="D312" s="47" t="n">
        <f aca="false">'Daily KPI Entry'!D313</f>
        <v>0</v>
      </c>
      <c r="E312" s="47" t="n">
        <f aca="false">'Daily KPI Entry'!E313</f>
        <v>0</v>
      </c>
      <c r="F312" s="47" t="n">
        <f aca="false">'Daily KPI Entry'!F313</f>
        <v>0</v>
      </c>
      <c r="G312" s="47" t="n">
        <f aca="false">'Daily KPI Entry'!G313</f>
        <v>0</v>
      </c>
      <c r="H312" s="47" t="str">
        <f aca="false">'Daily KPI Entry'!H313</f>
        <v/>
      </c>
      <c r="I312" s="47" t="n">
        <f aca="false">'Daily KPI Entry'!I313</f>
        <v>0</v>
      </c>
      <c r="J312" s="47" t="n">
        <f aca="false">'Daily KPI Entry'!J313</f>
        <v>0</v>
      </c>
      <c r="K312" s="47" t="n">
        <f aca="false">'Daily KPI Entry'!K313</f>
        <v>0</v>
      </c>
      <c r="L312" s="47" t="n">
        <f aca="false">'Daily KPI Entry'!L313</f>
        <v>0</v>
      </c>
      <c r="M312" s="47" t="n">
        <f aca="false">'Daily KPI Entry'!M313</f>
        <v>0</v>
      </c>
      <c r="N312" s="49" t="n">
        <f aca="false">'Daily KPI Entry'!N313</f>
        <v>0</v>
      </c>
      <c r="O312" s="49" t="n">
        <f aca="false">'Daily KPI Entry'!O313</f>
        <v>0</v>
      </c>
      <c r="P312" s="49" t="str">
        <f aca="false">IF(OR(N312="",O312=""),"",IFERROR(O312/N312*100,0))</f>
        <v/>
      </c>
      <c r="Q312" s="47" t="n">
        <f aca="false">'Daily KPI Entry'!Q313</f>
        <v>8</v>
      </c>
      <c r="R312" s="47" t="str">
        <f aca="false">IF(J312="","",Q312*J312)</f>
        <v/>
      </c>
      <c r="S312" s="49" t="n">
        <f aca="false">'Daily KPI Entry'!S313</f>
        <v>0</v>
      </c>
      <c r="T312" s="49" t="str">
        <f aca="false">IF(OR(R312="",S312=""),"",IFERROR(S312/R312*100,0))</f>
        <v/>
      </c>
      <c r="U312" s="49" t="str">
        <f aca="false">IF(OR(O312="",L312="",M312="",S312="",M312=0),"",IFERROR(O312/(L312*60*S312/(M312*36))*100,0))</f>
        <v/>
      </c>
      <c r="V312" s="49" t="n">
        <f aca="false">'Daily KPI Entry'!V313</f>
        <v>0</v>
      </c>
      <c r="W312" s="49" t="str">
        <f aca="false">IF(O312="","",IFERROR(V312/O312*100,0))</f>
        <v/>
      </c>
      <c r="X312" s="49" t="n">
        <f aca="false">'Daily KPI Entry'!X313</f>
        <v>0</v>
      </c>
      <c r="Y312" s="49" t="n">
        <f aca="false">'Daily KPI Entry'!Y313</f>
        <v>0</v>
      </c>
      <c r="Z312" s="49" t="n">
        <f aca="false">'Daily KPI Entry'!Z313</f>
        <v>0</v>
      </c>
      <c r="AA312" s="49" t="n">
        <f aca="false">'Daily KPI Entry'!AA313</f>
        <v>0</v>
      </c>
      <c r="AB312" s="49" t="n">
        <f aca="false">'Daily KPI Entry'!AB313</f>
        <v>0</v>
      </c>
      <c r="AC312" s="49" t="n">
        <f aca="false">'Daily KPI Entry'!AC313</f>
        <v>0</v>
      </c>
      <c r="AD312" s="49" t="n">
        <f aca="false">'Daily KPI Entry'!AD313</f>
        <v>0</v>
      </c>
      <c r="AE312" s="49" t="n">
        <f aca="false">'Daily KPI Entry'!AE313</f>
        <v>0</v>
      </c>
      <c r="AF312" s="47" t="str">
        <f aca="false">IF(O312="","",SUM(X312:AE312))</f>
        <v/>
      </c>
      <c r="AG312" s="49" t="str">
        <f aca="false">IF(O312="","",IFERROR(AF312/O312*1000,0))</f>
        <v/>
      </c>
      <c r="AH312" s="49" t="n">
        <f aca="false">'Daily KPI Entry'!AH313</f>
        <v>0</v>
      </c>
      <c r="AI312" s="49" t="n">
        <f aca="false">'Daily KPI Entry'!AI313</f>
        <v>0</v>
      </c>
      <c r="AJ312" s="49" t="n">
        <f aca="false">'Daily KPI Entry'!AJ313</f>
        <v>0</v>
      </c>
      <c r="AK312" s="47" t="n">
        <f aca="false">'Daily KPI Entry'!AK313</f>
        <v>0</v>
      </c>
      <c r="AL312" s="47" t="n">
        <f aca="false">'Daily KPI Entry'!AL313</f>
        <v>0</v>
      </c>
      <c r="AM312" s="47" t="n">
        <f aca="false">'Daily KPI Entry'!AM313</f>
        <v>0</v>
      </c>
      <c r="AN312" s="49" t="str">
        <f aca="false">IF(P312="","",MIN(120,P312))</f>
        <v/>
      </c>
      <c r="AO312" s="49" t="str">
        <f aca="false">IF(U312="","",MIN(120,U312))</f>
        <v/>
      </c>
      <c r="AP312" s="49" t="str">
        <f aca="false">IF(R312="","",MIN(120,IFERROR(S312/R312*100,0)))</f>
        <v/>
      </c>
      <c r="AQ312" s="49" t="str">
        <f aca="false">IF(W312="","",MIN(120,IF(W312=0,120,100*(INDEX('Standards &amp; Scoring'!$E$5:$E$13,MATCH("Quality / Rejection",'Standards &amp; Scoring'!$A$5:$A$13,0))/W312))))</f>
        <v/>
      </c>
      <c r="AR312" s="49" t="str">
        <f aca="false">IF(AG312="","",MIN(120,IF(AG312=0,120,100*(INDEX('Standards &amp; Scoring'!$E$5:$E$13,MATCH("Fault Control",'Standards &amp; Scoring'!$A$5:$A$13,0))/AG312))))</f>
        <v/>
      </c>
      <c r="AS312" s="49" t="str">
        <f aca="false">IF(O312="","",MIN(120,IF(SUMIFS('Fault &amp; Downtime Entry'!$L$6:$L$1005,'Fault &amp; Downtime Entry'!$E$6:$E$1005,G312,'Fault &amp; Downtime Entry'!$B$6:$B$1005,B312)=0,120,100*(INDEX('Standards &amp; Scoring'!$E$5:$E$13,MATCH("Downtime Control",'Standards &amp; Scoring'!$A$5:$A$13,0))/IFERROR(SUMIFS('Fault &amp; Downtime Entry'!$L$6:$L$1005,'Fault &amp; Downtime Entry'!$E$6:$E$1005,G312,'Fault &amp; Downtime Entry'!$B$6:$B$1005,B312)/O312*1000,999999)))))</f>
        <v/>
      </c>
      <c r="AT312" s="49" t="n">
        <f aca="false">IF(COUNTA(AH312,AJ312)=0,"",MIN(120,IF(AND(AH312&lt;&gt;"",AJ312&lt;&gt;""),AVERAGE(AH312,AJ312),IF(AH312&lt;&gt;"",AH312,AJ312))))</f>
        <v>0</v>
      </c>
      <c r="AU312" s="49" t="str">
        <f aca="false">IF(AI312="","",MIN(120,AI312))</f>
        <v/>
      </c>
      <c r="AV312" s="49" t="str">
        <f aca="false">IF(AJ312="","",MIN(120,AJ312))</f>
        <v/>
      </c>
      <c r="AW312" s="50" t="str">
        <f aca="false">IF(COUNT(AN312:AV312)&lt;9,"",(AN312*'Standards &amp; Scoring'!$D$5+AO312*'Standards &amp; Scoring'!$D$6+AP312*'Standards &amp; Scoring'!$D$7+AQ312*'Standards &amp; Scoring'!$D$8+AR312*'Standards &amp; Scoring'!$D$9+AS312*'Standards &amp; Scoring'!$D$10+AT312*'Standards &amp; Scoring'!$D$11+AU312*'Standards &amp; Scoring'!$D$12+AV312*'Standards &amp; Scoring'!$D$13)/10000)</f>
        <v/>
      </c>
      <c r="AX312" s="47" t="str">
        <f aca="false">IF(AW312="","",IF(AW312&gt;=1.05,"A+",IF(AW312&gt;=1,"A",IF(AW312&gt;=0.95,"B+",IF(AW312&gt;=0.9,"B","C")))))</f>
        <v/>
      </c>
      <c r="AY312" s="47" t="str">
        <f aca="false">IF(AX312="","",IF(AX312="A+",1800,IF(AX312="A",1600,IF(AX312="B+",1400,IF(AX312="B",1200,0)))))</f>
        <v/>
      </c>
      <c r="AZ312" s="49" t="str">
        <f aca="false">IF(OR(L312="",M312="",S312="",M312=0),"",IFERROR(L312*60*S312/(M312*36),0))</f>
        <v/>
      </c>
    </row>
    <row r="313" customFormat="false" ht="15" hidden="false" customHeight="true" outlineLevel="0" collapsed="false">
      <c r="A313" s="47" t="n">
        <f aca="false">'Daily KPI Entry'!A314</f>
        <v>0</v>
      </c>
      <c r="B313" s="48" t="n">
        <f aca="false">'Daily KPI Entry'!B314</f>
        <v>0</v>
      </c>
      <c r="C313" s="47" t="n">
        <f aca="false">'Daily KPI Entry'!C314</f>
        <v>0</v>
      </c>
      <c r="D313" s="47" t="n">
        <f aca="false">'Daily KPI Entry'!D314</f>
        <v>0</v>
      </c>
      <c r="E313" s="47" t="n">
        <f aca="false">'Daily KPI Entry'!E314</f>
        <v>0</v>
      </c>
      <c r="F313" s="47" t="n">
        <f aca="false">'Daily KPI Entry'!F314</f>
        <v>0</v>
      </c>
      <c r="G313" s="47" t="n">
        <f aca="false">'Daily KPI Entry'!G314</f>
        <v>0</v>
      </c>
      <c r="H313" s="47" t="str">
        <f aca="false">'Daily KPI Entry'!H314</f>
        <v/>
      </c>
      <c r="I313" s="47" t="n">
        <f aca="false">'Daily KPI Entry'!I314</f>
        <v>0</v>
      </c>
      <c r="J313" s="47" t="n">
        <f aca="false">'Daily KPI Entry'!J314</f>
        <v>0</v>
      </c>
      <c r="K313" s="47" t="n">
        <f aca="false">'Daily KPI Entry'!K314</f>
        <v>0</v>
      </c>
      <c r="L313" s="47" t="n">
        <f aca="false">'Daily KPI Entry'!L314</f>
        <v>0</v>
      </c>
      <c r="M313" s="47" t="n">
        <f aca="false">'Daily KPI Entry'!M314</f>
        <v>0</v>
      </c>
      <c r="N313" s="49" t="n">
        <f aca="false">'Daily KPI Entry'!N314</f>
        <v>0</v>
      </c>
      <c r="O313" s="49" t="n">
        <f aca="false">'Daily KPI Entry'!O314</f>
        <v>0</v>
      </c>
      <c r="P313" s="49" t="str">
        <f aca="false">IF(OR(N313="",O313=""),"",IFERROR(O313/N313*100,0))</f>
        <v/>
      </c>
      <c r="Q313" s="47" t="n">
        <f aca="false">'Daily KPI Entry'!Q314</f>
        <v>8</v>
      </c>
      <c r="R313" s="47" t="str">
        <f aca="false">IF(J313="","",Q313*J313)</f>
        <v/>
      </c>
      <c r="S313" s="49" t="n">
        <f aca="false">'Daily KPI Entry'!S314</f>
        <v>0</v>
      </c>
      <c r="T313" s="49" t="str">
        <f aca="false">IF(OR(R313="",S313=""),"",IFERROR(S313/R313*100,0))</f>
        <v/>
      </c>
      <c r="U313" s="49" t="str">
        <f aca="false">IF(OR(O313="",L313="",M313="",S313="",M313=0),"",IFERROR(O313/(L313*60*S313/(M313*36))*100,0))</f>
        <v/>
      </c>
      <c r="V313" s="49" t="n">
        <f aca="false">'Daily KPI Entry'!V314</f>
        <v>0</v>
      </c>
      <c r="W313" s="49" t="str">
        <f aca="false">IF(O313="","",IFERROR(V313/O313*100,0))</f>
        <v/>
      </c>
      <c r="X313" s="49" t="n">
        <f aca="false">'Daily KPI Entry'!X314</f>
        <v>0</v>
      </c>
      <c r="Y313" s="49" t="n">
        <f aca="false">'Daily KPI Entry'!Y314</f>
        <v>0</v>
      </c>
      <c r="Z313" s="49" t="n">
        <f aca="false">'Daily KPI Entry'!Z314</f>
        <v>0</v>
      </c>
      <c r="AA313" s="49" t="n">
        <f aca="false">'Daily KPI Entry'!AA314</f>
        <v>0</v>
      </c>
      <c r="AB313" s="49" t="n">
        <f aca="false">'Daily KPI Entry'!AB314</f>
        <v>0</v>
      </c>
      <c r="AC313" s="49" t="n">
        <f aca="false">'Daily KPI Entry'!AC314</f>
        <v>0</v>
      </c>
      <c r="AD313" s="49" t="n">
        <f aca="false">'Daily KPI Entry'!AD314</f>
        <v>0</v>
      </c>
      <c r="AE313" s="49" t="n">
        <f aca="false">'Daily KPI Entry'!AE314</f>
        <v>0</v>
      </c>
      <c r="AF313" s="47" t="str">
        <f aca="false">IF(O313="","",SUM(X313:AE313))</f>
        <v/>
      </c>
      <c r="AG313" s="49" t="str">
        <f aca="false">IF(O313="","",IFERROR(AF313/O313*1000,0))</f>
        <v/>
      </c>
      <c r="AH313" s="49" t="n">
        <f aca="false">'Daily KPI Entry'!AH314</f>
        <v>0</v>
      </c>
      <c r="AI313" s="49" t="n">
        <f aca="false">'Daily KPI Entry'!AI314</f>
        <v>0</v>
      </c>
      <c r="AJ313" s="49" t="n">
        <f aca="false">'Daily KPI Entry'!AJ314</f>
        <v>0</v>
      </c>
      <c r="AK313" s="47" t="n">
        <f aca="false">'Daily KPI Entry'!AK314</f>
        <v>0</v>
      </c>
      <c r="AL313" s="47" t="n">
        <f aca="false">'Daily KPI Entry'!AL314</f>
        <v>0</v>
      </c>
      <c r="AM313" s="47" t="n">
        <f aca="false">'Daily KPI Entry'!AM314</f>
        <v>0</v>
      </c>
      <c r="AN313" s="49" t="str">
        <f aca="false">IF(P313="","",MIN(120,P313))</f>
        <v/>
      </c>
      <c r="AO313" s="49" t="str">
        <f aca="false">IF(U313="","",MIN(120,U313))</f>
        <v/>
      </c>
      <c r="AP313" s="49" t="str">
        <f aca="false">IF(R313="","",MIN(120,IFERROR(S313/R313*100,0)))</f>
        <v/>
      </c>
      <c r="AQ313" s="49" t="str">
        <f aca="false">IF(W313="","",MIN(120,IF(W313=0,120,100*(INDEX('Standards &amp; Scoring'!$E$5:$E$13,MATCH("Quality / Rejection",'Standards &amp; Scoring'!$A$5:$A$13,0))/W313))))</f>
        <v/>
      </c>
      <c r="AR313" s="49" t="str">
        <f aca="false">IF(AG313="","",MIN(120,IF(AG313=0,120,100*(INDEX('Standards &amp; Scoring'!$E$5:$E$13,MATCH("Fault Control",'Standards &amp; Scoring'!$A$5:$A$13,0))/AG313))))</f>
        <v/>
      </c>
      <c r="AS313" s="49" t="str">
        <f aca="false">IF(O313="","",MIN(120,IF(SUMIFS('Fault &amp; Downtime Entry'!$L$6:$L$1005,'Fault &amp; Downtime Entry'!$E$6:$E$1005,G313,'Fault &amp; Downtime Entry'!$B$6:$B$1005,B313)=0,120,100*(INDEX('Standards &amp; Scoring'!$E$5:$E$13,MATCH("Downtime Control",'Standards &amp; Scoring'!$A$5:$A$13,0))/IFERROR(SUMIFS('Fault &amp; Downtime Entry'!$L$6:$L$1005,'Fault &amp; Downtime Entry'!$E$6:$E$1005,G313,'Fault &amp; Downtime Entry'!$B$6:$B$1005,B313)/O313*1000,999999)))))</f>
        <v/>
      </c>
      <c r="AT313" s="49" t="n">
        <f aca="false">IF(COUNTA(AH313,AJ313)=0,"",MIN(120,IF(AND(AH313&lt;&gt;"",AJ313&lt;&gt;""),AVERAGE(AH313,AJ313),IF(AH313&lt;&gt;"",AH313,AJ313))))</f>
        <v>0</v>
      </c>
      <c r="AU313" s="49" t="str">
        <f aca="false">IF(AI313="","",MIN(120,AI313))</f>
        <v/>
      </c>
      <c r="AV313" s="49" t="str">
        <f aca="false">IF(AJ313="","",MIN(120,AJ313))</f>
        <v/>
      </c>
      <c r="AW313" s="50" t="str">
        <f aca="false">IF(COUNT(AN313:AV313)&lt;9,"",(AN313*'Standards &amp; Scoring'!$D$5+AO313*'Standards &amp; Scoring'!$D$6+AP313*'Standards &amp; Scoring'!$D$7+AQ313*'Standards &amp; Scoring'!$D$8+AR313*'Standards &amp; Scoring'!$D$9+AS313*'Standards &amp; Scoring'!$D$10+AT313*'Standards &amp; Scoring'!$D$11+AU313*'Standards &amp; Scoring'!$D$12+AV313*'Standards &amp; Scoring'!$D$13)/10000)</f>
        <v/>
      </c>
      <c r="AX313" s="47" t="str">
        <f aca="false">IF(AW313="","",IF(AW313&gt;=1.05,"A+",IF(AW313&gt;=1,"A",IF(AW313&gt;=0.95,"B+",IF(AW313&gt;=0.9,"B","C")))))</f>
        <v/>
      </c>
      <c r="AY313" s="47" t="str">
        <f aca="false">IF(AX313="","",IF(AX313="A+",1800,IF(AX313="A",1600,IF(AX313="B+",1400,IF(AX313="B",1200,0)))))</f>
        <v/>
      </c>
      <c r="AZ313" s="49" t="str">
        <f aca="false">IF(OR(L313="",M313="",S313="",M313=0),"",IFERROR(L313*60*S313/(M313*36),0))</f>
        <v/>
      </c>
    </row>
    <row r="314" customFormat="false" ht="15" hidden="false" customHeight="true" outlineLevel="0" collapsed="false">
      <c r="A314" s="47" t="n">
        <f aca="false">'Daily KPI Entry'!A315</f>
        <v>0</v>
      </c>
      <c r="B314" s="48" t="n">
        <f aca="false">'Daily KPI Entry'!B315</f>
        <v>0</v>
      </c>
      <c r="C314" s="47" t="n">
        <f aca="false">'Daily KPI Entry'!C315</f>
        <v>0</v>
      </c>
      <c r="D314" s="47" t="n">
        <f aca="false">'Daily KPI Entry'!D315</f>
        <v>0</v>
      </c>
      <c r="E314" s="47" t="n">
        <f aca="false">'Daily KPI Entry'!E315</f>
        <v>0</v>
      </c>
      <c r="F314" s="47" t="n">
        <f aca="false">'Daily KPI Entry'!F315</f>
        <v>0</v>
      </c>
      <c r="G314" s="47" t="n">
        <f aca="false">'Daily KPI Entry'!G315</f>
        <v>0</v>
      </c>
      <c r="H314" s="47" t="str">
        <f aca="false">'Daily KPI Entry'!H315</f>
        <v/>
      </c>
      <c r="I314" s="47" t="n">
        <f aca="false">'Daily KPI Entry'!I315</f>
        <v>0</v>
      </c>
      <c r="J314" s="47" t="n">
        <f aca="false">'Daily KPI Entry'!J315</f>
        <v>0</v>
      </c>
      <c r="K314" s="47" t="n">
        <f aca="false">'Daily KPI Entry'!K315</f>
        <v>0</v>
      </c>
      <c r="L314" s="47" t="n">
        <f aca="false">'Daily KPI Entry'!L315</f>
        <v>0</v>
      </c>
      <c r="M314" s="47" t="n">
        <f aca="false">'Daily KPI Entry'!M315</f>
        <v>0</v>
      </c>
      <c r="N314" s="49" t="n">
        <f aca="false">'Daily KPI Entry'!N315</f>
        <v>0</v>
      </c>
      <c r="O314" s="49" t="n">
        <f aca="false">'Daily KPI Entry'!O315</f>
        <v>0</v>
      </c>
      <c r="P314" s="49" t="str">
        <f aca="false">IF(OR(N314="",O314=""),"",IFERROR(O314/N314*100,0))</f>
        <v/>
      </c>
      <c r="Q314" s="47" t="n">
        <f aca="false">'Daily KPI Entry'!Q315</f>
        <v>8</v>
      </c>
      <c r="R314" s="47" t="str">
        <f aca="false">IF(J314="","",Q314*J314)</f>
        <v/>
      </c>
      <c r="S314" s="49" t="n">
        <f aca="false">'Daily KPI Entry'!S315</f>
        <v>0</v>
      </c>
      <c r="T314" s="49" t="str">
        <f aca="false">IF(OR(R314="",S314=""),"",IFERROR(S314/R314*100,0))</f>
        <v/>
      </c>
      <c r="U314" s="49" t="str">
        <f aca="false">IF(OR(O314="",L314="",M314="",S314="",M314=0),"",IFERROR(O314/(L314*60*S314/(M314*36))*100,0))</f>
        <v/>
      </c>
      <c r="V314" s="49" t="n">
        <f aca="false">'Daily KPI Entry'!V315</f>
        <v>0</v>
      </c>
      <c r="W314" s="49" t="str">
        <f aca="false">IF(O314="","",IFERROR(V314/O314*100,0))</f>
        <v/>
      </c>
      <c r="X314" s="49" t="n">
        <f aca="false">'Daily KPI Entry'!X315</f>
        <v>0</v>
      </c>
      <c r="Y314" s="49" t="n">
        <f aca="false">'Daily KPI Entry'!Y315</f>
        <v>0</v>
      </c>
      <c r="Z314" s="49" t="n">
        <f aca="false">'Daily KPI Entry'!Z315</f>
        <v>0</v>
      </c>
      <c r="AA314" s="49" t="n">
        <f aca="false">'Daily KPI Entry'!AA315</f>
        <v>0</v>
      </c>
      <c r="AB314" s="49" t="n">
        <f aca="false">'Daily KPI Entry'!AB315</f>
        <v>0</v>
      </c>
      <c r="AC314" s="49" t="n">
        <f aca="false">'Daily KPI Entry'!AC315</f>
        <v>0</v>
      </c>
      <c r="AD314" s="49" t="n">
        <f aca="false">'Daily KPI Entry'!AD315</f>
        <v>0</v>
      </c>
      <c r="AE314" s="49" t="n">
        <f aca="false">'Daily KPI Entry'!AE315</f>
        <v>0</v>
      </c>
      <c r="AF314" s="47" t="str">
        <f aca="false">IF(O314="","",SUM(X314:AE314))</f>
        <v/>
      </c>
      <c r="AG314" s="49" t="str">
        <f aca="false">IF(O314="","",IFERROR(AF314/O314*1000,0))</f>
        <v/>
      </c>
      <c r="AH314" s="49" t="n">
        <f aca="false">'Daily KPI Entry'!AH315</f>
        <v>0</v>
      </c>
      <c r="AI314" s="49" t="n">
        <f aca="false">'Daily KPI Entry'!AI315</f>
        <v>0</v>
      </c>
      <c r="AJ314" s="49" t="n">
        <f aca="false">'Daily KPI Entry'!AJ315</f>
        <v>0</v>
      </c>
      <c r="AK314" s="47" t="n">
        <f aca="false">'Daily KPI Entry'!AK315</f>
        <v>0</v>
      </c>
      <c r="AL314" s="47" t="n">
        <f aca="false">'Daily KPI Entry'!AL315</f>
        <v>0</v>
      </c>
      <c r="AM314" s="47" t="n">
        <f aca="false">'Daily KPI Entry'!AM315</f>
        <v>0</v>
      </c>
      <c r="AN314" s="49" t="str">
        <f aca="false">IF(P314="","",MIN(120,P314))</f>
        <v/>
      </c>
      <c r="AO314" s="49" t="str">
        <f aca="false">IF(U314="","",MIN(120,U314))</f>
        <v/>
      </c>
      <c r="AP314" s="49" t="str">
        <f aca="false">IF(R314="","",MIN(120,IFERROR(S314/R314*100,0)))</f>
        <v/>
      </c>
      <c r="AQ314" s="49" t="str">
        <f aca="false">IF(W314="","",MIN(120,IF(W314=0,120,100*(INDEX('Standards &amp; Scoring'!$E$5:$E$13,MATCH("Quality / Rejection",'Standards &amp; Scoring'!$A$5:$A$13,0))/W314))))</f>
        <v/>
      </c>
      <c r="AR314" s="49" t="str">
        <f aca="false">IF(AG314="","",MIN(120,IF(AG314=0,120,100*(INDEX('Standards &amp; Scoring'!$E$5:$E$13,MATCH("Fault Control",'Standards &amp; Scoring'!$A$5:$A$13,0))/AG314))))</f>
        <v/>
      </c>
      <c r="AS314" s="49" t="str">
        <f aca="false">IF(O314="","",MIN(120,IF(SUMIFS('Fault &amp; Downtime Entry'!$L$6:$L$1005,'Fault &amp; Downtime Entry'!$E$6:$E$1005,G314,'Fault &amp; Downtime Entry'!$B$6:$B$1005,B314)=0,120,100*(INDEX('Standards &amp; Scoring'!$E$5:$E$13,MATCH("Downtime Control",'Standards &amp; Scoring'!$A$5:$A$13,0))/IFERROR(SUMIFS('Fault &amp; Downtime Entry'!$L$6:$L$1005,'Fault &amp; Downtime Entry'!$E$6:$E$1005,G314,'Fault &amp; Downtime Entry'!$B$6:$B$1005,B314)/O314*1000,999999)))))</f>
        <v/>
      </c>
      <c r="AT314" s="49" t="n">
        <f aca="false">IF(COUNTA(AH314,AJ314)=0,"",MIN(120,IF(AND(AH314&lt;&gt;"",AJ314&lt;&gt;""),AVERAGE(AH314,AJ314),IF(AH314&lt;&gt;"",AH314,AJ314))))</f>
        <v>0</v>
      </c>
      <c r="AU314" s="49" t="str">
        <f aca="false">IF(AI314="","",MIN(120,AI314))</f>
        <v/>
      </c>
      <c r="AV314" s="49" t="str">
        <f aca="false">IF(AJ314="","",MIN(120,AJ314))</f>
        <v/>
      </c>
      <c r="AW314" s="50" t="str">
        <f aca="false">IF(COUNT(AN314:AV314)&lt;9,"",(AN314*'Standards &amp; Scoring'!$D$5+AO314*'Standards &amp; Scoring'!$D$6+AP314*'Standards &amp; Scoring'!$D$7+AQ314*'Standards &amp; Scoring'!$D$8+AR314*'Standards &amp; Scoring'!$D$9+AS314*'Standards &amp; Scoring'!$D$10+AT314*'Standards &amp; Scoring'!$D$11+AU314*'Standards &amp; Scoring'!$D$12+AV314*'Standards &amp; Scoring'!$D$13)/10000)</f>
        <v/>
      </c>
      <c r="AX314" s="47" t="str">
        <f aca="false">IF(AW314="","",IF(AW314&gt;=1.05,"A+",IF(AW314&gt;=1,"A",IF(AW314&gt;=0.95,"B+",IF(AW314&gt;=0.9,"B","C")))))</f>
        <v/>
      </c>
      <c r="AY314" s="47" t="str">
        <f aca="false">IF(AX314="","",IF(AX314="A+",1800,IF(AX314="A",1600,IF(AX314="B+",1400,IF(AX314="B",1200,0)))))</f>
        <v/>
      </c>
      <c r="AZ314" s="49" t="str">
        <f aca="false">IF(OR(L314="",M314="",S314="",M314=0),"",IFERROR(L314*60*S314/(M314*36),0))</f>
        <v/>
      </c>
    </row>
    <row r="315" customFormat="false" ht="15" hidden="false" customHeight="true" outlineLevel="0" collapsed="false">
      <c r="A315" s="47" t="n">
        <f aca="false">'Daily KPI Entry'!A316</f>
        <v>0</v>
      </c>
      <c r="B315" s="48" t="n">
        <f aca="false">'Daily KPI Entry'!B316</f>
        <v>0</v>
      </c>
      <c r="C315" s="47" t="n">
        <f aca="false">'Daily KPI Entry'!C316</f>
        <v>0</v>
      </c>
      <c r="D315" s="47" t="n">
        <f aca="false">'Daily KPI Entry'!D316</f>
        <v>0</v>
      </c>
      <c r="E315" s="47" t="n">
        <f aca="false">'Daily KPI Entry'!E316</f>
        <v>0</v>
      </c>
      <c r="F315" s="47" t="n">
        <f aca="false">'Daily KPI Entry'!F316</f>
        <v>0</v>
      </c>
      <c r="G315" s="47" t="n">
        <f aca="false">'Daily KPI Entry'!G316</f>
        <v>0</v>
      </c>
      <c r="H315" s="47" t="str">
        <f aca="false">'Daily KPI Entry'!H316</f>
        <v/>
      </c>
      <c r="I315" s="47" t="n">
        <f aca="false">'Daily KPI Entry'!I316</f>
        <v>0</v>
      </c>
      <c r="J315" s="47" t="n">
        <f aca="false">'Daily KPI Entry'!J316</f>
        <v>0</v>
      </c>
      <c r="K315" s="47" t="n">
        <f aca="false">'Daily KPI Entry'!K316</f>
        <v>0</v>
      </c>
      <c r="L315" s="47" t="n">
        <f aca="false">'Daily KPI Entry'!L316</f>
        <v>0</v>
      </c>
      <c r="M315" s="47" t="n">
        <f aca="false">'Daily KPI Entry'!M316</f>
        <v>0</v>
      </c>
      <c r="N315" s="49" t="n">
        <f aca="false">'Daily KPI Entry'!N316</f>
        <v>0</v>
      </c>
      <c r="O315" s="49" t="n">
        <f aca="false">'Daily KPI Entry'!O316</f>
        <v>0</v>
      </c>
      <c r="P315" s="49" t="str">
        <f aca="false">IF(OR(N315="",O315=""),"",IFERROR(O315/N315*100,0))</f>
        <v/>
      </c>
      <c r="Q315" s="47" t="n">
        <f aca="false">'Daily KPI Entry'!Q316</f>
        <v>8</v>
      </c>
      <c r="R315" s="47" t="str">
        <f aca="false">IF(J315="","",Q315*J315)</f>
        <v/>
      </c>
      <c r="S315" s="49" t="n">
        <f aca="false">'Daily KPI Entry'!S316</f>
        <v>0</v>
      </c>
      <c r="T315" s="49" t="str">
        <f aca="false">IF(OR(R315="",S315=""),"",IFERROR(S315/R315*100,0))</f>
        <v/>
      </c>
      <c r="U315" s="49" t="str">
        <f aca="false">IF(OR(O315="",L315="",M315="",S315="",M315=0),"",IFERROR(O315/(L315*60*S315/(M315*36))*100,0))</f>
        <v/>
      </c>
      <c r="V315" s="49" t="n">
        <f aca="false">'Daily KPI Entry'!V316</f>
        <v>0</v>
      </c>
      <c r="W315" s="49" t="str">
        <f aca="false">IF(O315="","",IFERROR(V315/O315*100,0))</f>
        <v/>
      </c>
      <c r="X315" s="49" t="n">
        <f aca="false">'Daily KPI Entry'!X316</f>
        <v>0</v>
      </c>
      <c r="Y315" s="49" t="n">
        <f aca="false">'Daily KPI Entry'!Y316</f>
        <v>0</v>
      </c>
      <c r="Z315" s="49" t="n">
        <f aca="false">'Daily KPI Entry'!Z316</f>
        <v>0</v>
      </c>
      <c r="AA315" s="49" t="n">
        <f aca="false">'Daily KPI Entry'!AA316</f>
        <v>0</v>
      </c>
      <c r="AB315" s="49" t="n">
        <f aca="false">'Daily KPI Entry'!AB316</f>
        <v>0</v>
      </c>
      <c r="AC315" s="49" t="n">
        <f aca="false">'Daily KPI Entry'!AC316</f>
        <v>0</v>
      </c>
      <c r="AD315" s="49" t="n">
        <f aca="false">'Daily KPI Entry'!AD316</f>
        <v>0</v>
      </c>
      <c r="AE315" s="49" t="n">
        <f aca="false">'Daily KPI Entry'!AE316</f>
        <v>0</v>
      </c>
      <c r="AF315" s="47" t="str">
        <f aca="false">IF(O315="","",SUM(X315:AE315))</f>
        <v/>
      </c>
      <c r="AG315" s="49" t="str">
        <f aca="false">IF(O315="","",IFERROR(AF315/O315*1000,0))</f>
        <v/>
      </c>
      <c r="AH315" s="49" t="n">
        <f aca="false">'Daily KPI Entry'!AH316</f>
        <v>0</v>
      </c>
      <c r="AI315" s="49" t="n">
        <f aca="false">'Daily KPI Entry'!AI316</f>
        <v>0</v>
      </c>
      <c r="AJ315" s="49" t="n">
        <f aca="false">'Daily KPI Entry'!AJ316</f>
        <v>0</v>
      </c>
      <c r="AK315" s="47" t="n">
        <f aca="false">'Daily KPI Entry'!AK316</f>
        <v>0</v>
      </c>
      <c r="AL315" s="47" t="n">
        <f aca="false">'Daily KPI Entry'!AL316</f>
        <v>0</v>
      </c>
      <c r="AM315" s="47" t="n">
        <f aca="false">'Daily KPI Entry'!AM316</f>
        <v>0</v>
      </c>
      <c r="AN315" s="49" t="str">
        <f aca="false">IF(P315="","",MIN(120,P315))</f>
        <v/>
      </c>
      <c r="AO315" s="49" t="str">
        <f aca="false">IF(U315="","",MIN(120,U315))</f>
        <v/>
      </c>
      <c r="AP315" s="49" t="str">
        <f aca="false">IF(R315="","",MIN(120,IFERROR(S315/R315*100,0)))</f>
        <v/>
      </c>
      <c r="AQ315" s="49" t="str">
        <f aca="false">IF(W315="","",MIN(120,IF(W315=0,120,100*(INDEX('Standards &amp; Scoring'!$E$5:$E$13,MATCH("Quality / Rejection",'Standards &amp; Scoring'!$A$5:$A$13,0))/W315))))</f>
        <v/>
      </c>
      <c r="AR315" s="49" t="str">
        <f aca="false">IF(AG315="","",MIN(120,IF(AG315=0,120,100*(INDEX('Standards &amp; Scoring'!$E$5:$E$13,MATCH("Fault Control",'Standards &amp; Scoring'!$A$5:$A$13,0))/AG315))))</f>
        <v/>
      </c>
      <c r="AS315" s="49" t="str">
        <f aca="false">IF(O315="","",MIN(120,IF(SUMIFS('Fault &amp; Downtime Entry'!$L$6:$L$1005,'Fault &amp; Downtime Entry'!$E$6:$E$1005,G315,'Fault &amp; Downtime Entry'!$B$6:$B$1005,B315)=0,120,100*(INDEX('Standards &amp; Scoring'!$E$5:$E$13,MATCH("Downtime Control",'Standards &amp; Scoring'!$A$5:$A$13,0))/IFERROR(SUMIFS('Fault &amp; Downtime Entry'!$L$6:$L$1005,'Fault &amp; Downtime Entry'!$E$6:$E$1005,G315,'Fault &amp; Downtime Entry'!$B$6:$B$1005,B315)/O315*1000,999999)))))</f>
        <v/>
      </c>
      <c r="AT315" s="49" t="n">
        <f aca="false">IF(COUNTA(AH315,AJ315)=0,"",MIN(120,IF(AND(AH315&lt;&gt;"",AJ315&lt;&gt;""),AVERAGE(AH315,AJ315),IF(AH315&lt;&gt;"",AH315,AJ315))))</f>
        <v>0</v>
      </c>
      <c r="AU315" s="49" t="str">
        <f aca="false">IF(AI315="","",MIN(120,AI315))</f>
        <v/>
      </c>
      <c r="AV315" s="49" t="str">
        <f aca="false">IF(AJ315="","",MIN(120,AJ315))</f>
        <v/>
      </c>
      <c r="AW315" s="50" t="str">
        <f aca="false">IF(COUNT(AN315:AV315)&lt;9,"",(AN315*'Standards &amp; Scoring'!$D$5+AO315*'Standards &amp; Scoring'!$D$6+AP315*'Standards &amp; Scoring'!$D$7+AQ315*'Standards &amp; Scoring'!$D$8+AR315*'Standards &amp; Scoring'!$D$9+AS315*'Standards &amp; Scoring'!$D$10+AT315*'Standards &amp; Scoring'!$D$11+AU315*'Standards &amp; Scoring'!$D$12+AV315*'Standards &amp; Scoring'!$D$13)/10000)</f>
        <v/>
      </c>
      <c r="AX315" s="47" t="str">
        <f aca="false">IF(AW315="","",IF(AW315&gt;=1.05,"A+",IF(AW315&gt;=1,"A",IF(AW315&gt;=0.95,"B+",IF(AW315&gt;=0.9,"B","C")))))</f>
        <v/>
      </c>
      <c r="AY315" s="47" t="str">
        <f aca="false">IF(AX315="","",IF(AX315="A+",1800,IF(AX315="A",1600,IF(AX315="B+",1400,IF(AX315="B",1200,0)))))</f>
        <v/>
      </c>
      <c r="AZ315" s="49" t="str">
        <f aca="false">IF(OR(L315="",M315="",S315="",M315=0),"",IFERROR(L315*60*S315/(M315*36),0))</f>
        <v/>
      </c>
    </row>
    <row r="316" customFormat="false" ht="15" hidden="false" customHeight="true" outlineLevel="0" collapsed="false">
      <c r="A316" s="47" t="n">
        <f aca="false">'Daily KPI Entry'!A317</f>
        <v>0</v>
      </c>
      <c r="B316" s="48" t="n">
        <f aca="false">'Daily KPI Entry'!B317</f>
        <v>0</v>
      </c>
      <c r="C316" s="47" t="n">
        <f aca="false">'Daily KPI Entry'!C317</f>
        <v>0</v>
      </c>
      <c r="D316" s="47" t="n">
        <f aca="false">'Daily KPI Entry'!D317</f>
        <v>0</v>
      </c>
      <c r="E316" s="47" t="n">
        <f aca="false">'Daily KPI Entry'!E317</f>
        <v>0</v>
      </c>
      <c r="F316" s="47" t="n">
        <f aca="false">'Daily KPI Entry'!F317</f>
        <v>0</v>
      </c>
      <c r="G316" s="47" t="n">
        <f aca="false">'Daily KPI Entry'!G317</f>
        <v>0</v>
      </c>
      <c r="H316" s="47" t="str">
        <f aca="false">'Daily KPI Entry'!H317</f>
        <v/>
      </c>
      <c r="I316" s="47" t="n">
        <f aca="false">'Daily KPI Entry'!I317</f>
        <v>0</v>
      </c>
      <c r="J316" s="47" t="n">
        <f aca="false">'Daily KPI Entry'!J317</f>
        <v>0</v>
      </c>
      <c r="K316" s="47" t="n">
        <f aca="false">'Daily KPI Entry'!K317</f>
        <v>0</v>
      </c>
      <c r="L316" s="47" t="n">
        <f aca="false">'Daily KPI Entry'!L317</f>
        <v>0</v>
      </c>
      <c r="M316" s="47" t="n">
        <f aca="false">'Daily KPI Entry'!M317</f>
        <v>0</v>
      </c>
      <c r="N316" s="49" t="n">
        <f aca="false">'Daily KPI Entry'!N317</f>
        <v>0</v>
      </c>
      <c r="O316" s="49" t="n">
        <f aca="false">'Daily KPI Entry'!O317</f>
        <v>0</v>
      </c>
      <c r="P316" s="49" t="str">
        <f aca="false">IF(OR(N316="",O316=""),"",IFERROR(O316/N316*100,0))</f>
        <v/>
      </c>
      <c r="Q316" s="47" t="n">
        <f aca="false">'Daily KPI Entry'!Q317</f>
        <v>8</v>
      </c>
      <c r="R316" s="47" t="str">
        <f aca="false">IF(J316="","",Q316*J316)</f>
        <v/>
      </c>
      <c r="S316" s="49" t="n">
        <f aca="false">'Daily KPI Entry'!S317</f>
        <v>0</v>
      </c>
      <c r="T316" s="49" t="str">
        <f aca="false">IF(OR(R316="",S316=""),"",IFERROR(S316/R316*100,0))</f>
        <v/>
      </c>
      <c r="U316" s="49" t="str">
        <f aca="false">IF(OR(O316="",L316="",M316="",S316="",M316=0),"",IFERROR(O316/(L316*60*S316/(M316*36))*100,0))</f>
        <v/>
      </c>
      <c r="V316" s="49" t="n">
        <f aca="false">'Daily KPI Entry'!V317</f>
        <v>0</v>
      </c>
      <c r="W316" s="49" t="str">
        <f aca="false">IF(O316="","",IFERROR(V316/O316*100,0))</f>
        <v/>
      </c>
      <c r="X316" s="49" t="n">
        <f aca="false">'Daily KPI Entry'!X317</f>
        <v>0</v>
      </c>
      <c r="Y316" s="49" t="n">
        <f aca="false">'Daily KPI Entry'!Y317</f>
        <v>0</v>
      </c>
      <c r="Z316" s="49" t="n">
        <f aca="false">'Daily KPI Entry'!Z317</f>
        <v>0</v>
      </c>
      <c r="AA316" s="49" t="n">
        <f aca="false">'Daily KPI Entry'!AA317</f>
        <v>0</v>
      </c>
      <c r="AB316" s="49" t="n">
        <f aca="false">'Daily KPI Entry'!AB317</f>
        <v>0</v>
      </c>
      <c r="AC316" s="49" t="n">
        <f aca="false">'Daily KPI Entry'!AC317</f>
        <v>0</v>
      </c>
      <c r="AD316" s="49" t="n">
        <f aca="false">'Daily KPI Entry'!AD317</f>
        <v>0</v>
      </c>
      <c r="AE316" s="49" t="n">
        <f aca="false">'Daily KPI Entry'!AE317</f>
        <v>0</v>
      </c>
      <c r="AF316" s="47" t="str">
        <f aca="false">IF(O316="","",SUM(X316:AE316))</f>
        <v/>
      </c>
      <c r="AG316" s="49" t="str">
        <f aca="false">IF(O316="","",IFERROR(AF316/O316*1000,0))</f>
        <v/>
      </c>
      <c r="AH316" s="49" t="n">
        <f aca="false">'Daily KPI Entry'!AH317</f>
        <v>0</v>
      </c>
      <c r="AI316" s="49" t="n">
        <f aca="false">'Daily KPI Entry'!AI317</f>
        <v>0</v>
      </c>
      <c r="AJ316" s="49" t="n">
        <f aca="false">'Daily KPI Entry'!AJ317</f>
        <v>0</v>
      </c>
      <c r="AK316" s="47" t="n">
        <f aca="false">'Daily KPI Entry'!AK317</f>
        <v>0</v>
      </c>
      <c r="AL316" s="47" t="n">
        <f aca="false">'Daily KPI Entry'!AL317</f>
        <v>0</v>
      </c>
      <c r="AM316" s="47" t="n">
        <f aca="false">'Daily KPI Entry'!AM317</f>
        <v>0</v>
      </c>
      <c r="AN316" s="49" t="str">
        <f aca="false">IF(P316="","",MIN(120,P316))</f>
        <v/>
      </c>
      <c r="AO316" s="49" t="str">
        <f aca="false">IF(U316="","",MIN(120,U316))</f>
        <v/>
      </c>
      <c r="AP316" s="49" t="str">
        <f aca="false">IF(R316="","",MIN(120,IFERROR(S316/R316*100,0)))</f>
        <v/>
      </c>
      <c r="AQ316" s="49" t="str">
        <f aca="false">IF(W316="","",MIN(120,IF(W316=0,120,100*(INDEX('Standards &amp; Scoring'!$E$5:$E$13,MATCH("Quality / Rejection",'Standards &amp; Scoring'!$A$5:$A$13,0))/W316))))</f>
        <v/>
      </c>
      <c r="AR316" s="49" t="str">
        <f aca="false">IF(AG316="","",MIN(120,IF(AG316=0,120,100*(INDEX('Standards &amp; Scoring'!$E$5:$E$13,MATCH("Fault Control",'Standards &amp; Scoring'!$A$5:$A$13,0))/AG316))))</f>
        <v/>
      </c>
      <c r="AS316" s="49" t="str">
        <f aca="false">IF(O316="","",MIN(120,IF(SUMIFS('Fault &amp; Downtime Entry'!$L$6:$L$1005,'Fault &amp; Downtime Entry'!$E$6:$E$1005,G316,'Fault &amp; Downtime Entry'!$B$6:$B$1005,B316)=0,120,100*(INDEX('Standards &amp; Scoring'!$E$5:$E$13,MATCH("Downtime Control",'Standards &amp; Scoring'!$A$5:$A$13,0))/IFERROR(SUMIFS('Fault &amp; Downtime Entry'!$L$6:$L$1005,'Fault &amp; Downtime Entry'!$E$6:$E$1005,G316,'Fault &amp; Downtime Entry'!$B$6:$B$1005,B316)/O316*1000,999999)))))</f>
        <v/>
      </c>
      <c r="AT316" s="49" t="n">
        <f aca="false">IF(COUNTA(AH316,AJ316)=0,"",MIN(120,IF(AND(AH316&lt;&gt;"",AJ316&lt;&gt;""),AVERAGE(AH316,AJ316),IF(AH316&lt;&gt;"",AH316,AJ316))))</f>
        <v>0</v>
      </c>
      <c r="AU316" s="49" t="str">
        <f aca="false">IF(AI316="","",MIN(120,AI316))</f>
        <v/>
      </c>
      <c r="AV316" s="49" t="str">
        <f aca="false">IF(AJ316="","",MIN(120,AJ316))</f>
        <v/>
      </c>
      <c r="AW316" s="50" t="str">
        <f aca="false">IF(COUNT(AN316:AV316)&lt;9,"",(AN316*'Standards &amp; Scoring'!$D$5+AO316*'Standards &amp; Scoring'!$D$6+AP316*'Standards &amp; Scoring'!$D$7+AQ316*'Standards &amp; Scoring'!$D$8+AR316*'Standards &amp; Scoring'!$D$9+AS316*'Standards &amp; Scoring'!$D$10+AT316*'Standards &amp; Scoring'!$D$11+AU316*'Standards &amp; Scoring'!$D$12+AV316*'Standards &amp; Scoring'!$D$13)/10000)</f>
        <v/>
      </c>
      <c r="AX316" s="47" t="str">
        <f aca="false">IF(AW316="","",IF(AW316&gt;=1.05,"A+",IF(AW316&gt;=1,"A",IF(AW316&gt;=0.95,"B+",IF(AW316&gt;=0.9,"B","C")))))</f>
        <v/>
      </c>
      <c r="AY316" s="47" t="str">
        <f aca="false">IF(AX316="","",IF(AX316="A+",1800,IF(AX316="A",1600,IF(AX316="B+",1400,IF(AX316="B",1200,0)))))</f>
        <v/>
      </c>
      <c r="AZ316" s="49" t="str">
        <f aca="false">IF(OR(L316="",M316="",S316="",M316=0),"",IFERROR(L316*60*S316/(M316*36),0))</f>
        <v/>
      </c>
    </row>
    <row r="317" customFormat="false" ht="15" hidden="false" customHeight="true" outlineLevel="0" collapsed="false">
      <c r="A317" s="47" t="n">
        <f aca="false">'Daily KPI Entry'!A318</f>
        <v>0</v>
      </c>
      <c r="B317" s="48" t="n">
        <f aca="false">'Daily KPI Entry'!B318</f>
        <v>0</v>
      </c>
      <c r="C317" s="47" t="n">
        <f aca="false">'Daily KPI Entry'!C318</f>
        <v>0</v>
      </c>
      <c r="D317" s="47" t="n">
        <f aca="false">'Daily KPI Entry'!D318</f>
        <v>0</v>
      </c>
      <c r="E317" s="47" t="n">
        <f aca="false">'Daily KPI Entry'!E318</f>
        <v>0</v>
      </c>
      <c r="F317" s="47" t="n">
        <f aca="false">'Daily KPI Entry'!F318</f>
        <v>0</v>
      </c>
      <c r="G317" s="47" t="n">
        <f aca="false">'Daily KPI Entry'!G318</f>
        <v>0</v>
      </c>
      <c r="H317" s="47" t="str">
        <f aca="false">'Daily KPI Entry'!H318</f>
        <v/>
      </c>
      <c r="I317" s="47" t="n">
        <f aca="false">'Daily KPI Entry'!I318</f>
        <v>0</v>
      </c>
      <c r="J317" s="47" t="n">
        <f aca="false">'Daily KPI Entry'!J318</f>
        <v>0</v>
      </c>
      <c r="K317" s="47" t="n">
        <f aca="false">'Daily KPI Entry'!K318</f>
        <v>0</v>
      </c>
      <c r="L317" s="47" t="n">
        <f aca="false">'Daily KPI Entry'!L318</f>
        <v>0</v>
      </c>
      <c r="M317" s="47" t="n">
        <f aca="false">'Daily KPI Entry'!M318</f>
        <v>0</v>
      </c>
      <c r="N317" s="49" t="n">
        <f aca="false">'Daily KPI Entry'!N318</f>
        <v>0</v>
      </c>
      <c r="O317" s="49" t="n">
        <f aca="false">'Daily KPI Entry'!O318</f>
        <v>0</v>
      </c>
      <c r="P317" s="49" t="str">
        <f aca="false">IF(OR(N317="",O317=""),"",IFERROR(O317/N317*100,0))</f>
        <v/>
      </c>
      <c r="Q317" s="47" t="n">
        <f aca="false">'Daily KPI Entry'!Q318</f>
        <v>8</v>
      </c>
      <c r="R317" s="47" t="str">
        <f aca="false">IF(J317="","",Q317*J317)</f>
        <v/>
      </c>
      <c r="S317" s="49" t="n">
        <f aca="false">'Daily KPI Entry'!S318</f>
        <v>0</v>
      </c>
      <c r="T317" s="49" t="str">
        <f aca="false">IF(OR(R317="",S317=""),"",IFERROR(S317/R317*100,0))</f>
        <v/>
      </c>
      <c r="U317" s="49" t="str">
        <f aca="false">IF(OR(O317="",L317="",M317="",S317="",M317=0),"",IFERROR(O317/(L317*60*S317/(M317*36))*100,0))</f>
        <v/>
      </c>
      <c r="V317" s="49" t="n">
        <f aca="false">'Daily KPI Entry'!V318</f>
        <v>0</v>
      </c>
      <c r="W317" s="49" t="str">
        <f aca="false">IF(O317="","",IFERROR(V317/O317*100,0))</f>
        <v/>
      </c>
      <c r="X317" s="49" t="n">
        <f aca="false">'Daily KPI Entry'!X318</f>
        <v>0</v>
      </c>
      <c r="Y317" s="49" t="n">
        <f aca="false">'Daily KPI Entry'!Y318</f>
        <v>0</v>
      </c>
      <c r="Z317" s="49" t="n">
        <f aca="false">'Daily KPI Entry'!Z318</f>
        <v>0</v>
      </c>
      <c r="AA317" s="49" t="n">
        <f aca="false">'Daily KPI Entry'!AA318</f>
        <v>0</v>
      </c>
      <c r="AB317" s="49" t="n">
        <f aca="false">'Daily KPI Entry'!AB318</f>
        <v>0</v>
      </c>
      <c r="AC317" s="49" t="n">
        <f aca="false">'Daily KPI Entry'!AC318</f>
        <v>0</v>
      </c>
      <c r="AD317" s="49" t="n">
        <f aca="false">'Daily KPI Entry'!AD318</f>
        <v>0</v>
      </c>
      <c r="AE317" s="49" t="n">
        <f aca="false">'Daily KPI Entry'!AE318</f>
        <v>0</v>
      </c>
      <c r="AF317" s="47" t="str">
        <f aca="false">IF(O317="","",SUM(X317:AE317))</f>
        <v/>
      </c>
      <c r="AG317" s="49" t="str">
        <f aca="false">IF(O317="","",IFERROR(AF317/O317*1000,0))</f>
        <v/>
      </c>
      <c r="AH317" s="49" t="n">
        <f aca="false">'Daily KPI Entry'!AH318</f>
        <v>0</v>
      </c>
      <c r="AI317" s="49" t="n">
        <f aca="false">'Daily KPI Entry'!AI318</f>
        <v>0</v>
      </c>
      <c r="AJ317" s="49" t="n">
        <f aca="false">'Daily KPI Entry'!AJ318</f>
        <v>0</v>
      </c>
      <c r="AK317" s="47" t="n">
        <f aca="false">'Daily KPI Entry'!AK318</f>
        <v>0</v>
      </c>
      <c r="AL317" s="47" t="n">
        <f aca="false">'Daily KPI Entry'!AL318</f>
        <v>0</v>
      </c>
      <c r="AM317" s="47" t="n">
        <f aca="false">'Daily KPI Entry'!AM318</f>
        <v>0</v>
      </c>
      <c r="AN317" s="49" t="str">
        <f aca="false">IF(P317="","",MIN(120,P317))</f>
        <v/>
      </c>
      <c r="AO317" s="49" t="str">
        <f aca="false">IF(U317="","",MIN(120,U317))</f>
        <v/>
      </c>
      <c r="AP317" s="49" t="str">
        <f aca="false">IF(R317="","",MIN(120,IFERROR(S317/R317*100,0)))</f>
        <v/>
      </c>
      <c r="AQ317" s="49" t="str">
        <f aca="false">IF(W317="","",MIN(120,IF(W317=0,120,100*(INDEX('Standards &amp; Scoring'!$E$5:$E$13,MATCH("Quality / Rejection",'Standards &amp; Scoring'!$A$5:$A$13,0))/W317))))</f>
        <v/>
      </c>
      <c r="AR317" s="49" t="str">
        <f aca="false">IF(AG317="","",MIN(120,IF(AG317=0,120,100*(INDEX('Standards &amp; Scoring'!$E$5:$E$13,MATCH("Fault Control",'Standards &amp; Scoring'!$A$5:$A$13,0))/AG317))))</f>
        <v/>
      </c>
      <c r="AS317" s="49" t="str">
        <f aca="false">IF(O317="","",MIN(120,IF(SUMIFS('Fault &amp; Downtime Entry'!$L$6:$L$1005,'Fault &amp; Downtime Entry'!$E$6:$E$1005,G317,'Fault &amp; Downtime Entry'!$B$6:$B$1005,B317)=0,120,100*(INDEX('Standards &amp; Scoring'!$E$5:$E$13,MATCH("Downtime Control",'Standards &amp; Scoring'!$A$5:$A$13,0))/IFERROR(SUMIFS('Fault &amp; Downtime Entry'!$L$6:$L$1005,'Fault &amp; Downtime Entry'!$E$6:$E$1005,G317,'Fault &amp; Downtime Entry'!$B$6:$B$1005,B317)/O317*1000,999999)))))</f>
        <v/>
      </c>
      <c r="AT317" s="49" t="n">
        <f aca="false">IF(COUNTA(AH317,AJ317)=0,"",MIN(120,IF(AND(AH317&lt;&gt;"",AJ317&lt;&gt;""),AVERAGE(AH317,AJ317),IF(AH317&lt;&gt;"",AH317,AJ317))))</f>
        <v>0</v>
      </c>
      <c r="AU317" s="49" t="str">
        <f aca="false">IF(AI317="","",MIN(120,AI317))</f>
        <v/>
      </c>
      <c r="AV317" s="49" t="str">
        <f aca="false">IF(AJ317="","",MIN(120,AJ317))</f>
        <v/>
      </c>
      <c r="AW317" s="50" t="str">
        <f aca="false">IF(COUNT(AN317:AV317)&lt;9,"",(AN317*'Standards &amp; Scoring'!$D$5+AO317*'Standards &amp; Scoring'!$D$6+AP317*'Standards &amp; Scoring'!$D$7+AQ317*'Standards &amp; Scoring'!$D$8+AR317*'Standards &amp; Scoring'!$D$9+AS317*'Standards &amp; Scoring'!$D$10+AT317*'Standards &amp; Scoring'!$D$11+AU317*'Standards &amp; Scoring'!$D$12+AV317*'Standards &amp; Scoring'!$D$13)/10000)</f>
        <v/>
      </c>
      <c r="AX317" s="47" t="str">
        <f aca="false">IF(AW317="","",IF(AW317&gt;=1.05,"A+",IF(AW317&gt;=1,"A",IF(AW317&gt;=0.95,"B+",IF(AW317&gt;=0.9,"B","C")))))</f>
        <v/>
      </c>
      <c r="AY317" s="47" t="str">
        <f aca="false">IF(AX317="","",IF(AX317="A+",1800,IF(AX317="A",1600,IF(AX317="B+",1400,IF(AX317="B",1200,0)))))</f>
        <v/>
      </c>
      <c r="AZ317" s="49" t="str">
        <f aca="false">IF(OR(L317="",M317="",S317="",M317=0),"",IFERROR(L317*60*S317/(M317*36),0))</f>
        <v/>
      </c>
    </row>
    <row r="318" customFormat="false" ht="15" hidden="false" customHeight="true" outlineLevel="0" collapsed="false">
      <c r="A318" s="47" t="n">
        <f aca="false">'Daily KPI Entry'!A319</f>
        <v>0</v>
      </c>
      <c r="B318" s="48" t="n">
        <f aca="false">'Daily KPI Entry'!B319</f>
        <v>0</v>
      </c>
      <c r="C318" s="47" t="n">
        <f aca="false">'Daily KPI Entry'!C319</f>
        <v>0</v>
      </c>
      <c r="D318" s="47" t="n">
        <f aca="false">'Daily KPI Entry'!D319</f>
        <v>0</v>
      </c>
      <c r="E318" s="47" t="n">
        <f aca="false">'Daily KPI Entry'!E319</f>
        <v>0</v>
      </c>
      <c r="F318" s="47" t="n">
        <f aca="false">'Daily KPI Entry'!F319</f>
        <v>0</v>
      </c>
      <c r="G318" s="47" t="n">
        <f aca="false">'Daily KPI Entry'!G319</f>
        <v>0</v>
      </c>
      <c r="H318" s="47" t="str">
        <f aca="false">'Daily KPI Entry'!H319</f>
        <v/>
      </c>
      <c r="I318" s="47" t="n">
        <f aca="false">'Daily KPI Entry'!I319</f>
        <v>0</v>
      </c>
      <c r="J318" s="47" t="n">
        <f aca="false">'Daily KPI Entry'!J319</f>
        <v>0</v>
      </c>
      <c r="K318" s="47" t="n">
        <f aca="false">'Daily KPI Entry'!K319</f>
        <v>0</v>
      </c>
      <c r="L318" s="47" t="n">
        <f aca="false">'Daily KPI Entry'!L319</f>
        <v>0</v>
      </c>
      <c r="M318" s="47" t="n">
        <f aca="false">'Daily KPI Entry'!M319</f>
        <v>0</v>
      </c>
      <c r="N318" s="49" t="n">
        <f aca="false">'Daily KPI Entry'!N319</f>
        <v>0</v>
      </c>
      <c r="O318" s="49" t="n">
        <f aca="false">'Daily KPI Entry'!O319</f>
        <v>0</v>
      </c>
      <c r="P318" s="49" t="str">
        <f aca="false">IF(OR(N318="",O318=""),"",IFERROR(O318/N318*100,0))</f>
        <v/>
      </c>
      <c r="Q318" s="47" t="n">
        <f aca="false">'Daily KPI Entry'!Q319</f>
        <v>8</v>
      </c>
      <c r="R318" s="47" t="str">
        <f aca="false">IF(J318="","",Q318*J318)</f>
        <v/>
      </c>
      <c r="S318" s="49" t="n">
        <f aca="false">'Daily KPI Entry'!S319</f>
        <v>0</v>
      </c>
      <c r="T318" s="49" t="str">
        <f aca="false">IF(OR(R318="",S318=""),"",IFERROR(S318/R318*100,0))</f>
        <v/>
      </c>
      <c r="U318" s="49" t="str">
        <f aca="false">IF(OR(O318="",L318="",M318="",S318="",M318=0),"",IFERROR(O318/(L318*60*S318/(M318*36))*100,0))</f>
        <v/>
      </c>
      <c r="V318" s="49" t="n">
        <f aca="false">'Daily KPI Entry'!V319</f>
        <v>0</v>
      </c>
      <c r="W318" s="49" t="str">
        <f aca="false">IF(O318="","",IFERROR(V318/O318*100,0))</f>
        <v/>
      </c>
      <c r="X318" s="49" t="n">
        <f aca="false">'Daily KPI Entry'!X319</f>
        <v>0</v>
      </c>
      <c r="Y318" s="49" t="n">
        <f aca="false">'Daily KPI Entry'!Y319</f>
        <v>0</v>
      </c>
      <c r="Z318" s="49" t="n">
        <f aca="false">'Daily KPI Entry'!Z319</f>
        <v>0</v>
      </c>
      <c r="AA318" s="49" t="n">
        <f aca="false">'Daily KPI Entry'!AA319</f>
        <v>0</v>
      </c>
      <c r="AB318" s="49" t="n">
        <f aca="false">'Daily KPI Entry'!AB319</f>
        <v>0</v>
      </c>
      <c r="AC318" s="49" t="n">
        <f aca="false">'Daily KPI Entry'!AC319</f>
        <v>0</v>
      </c>
      <c r="AD318" s="49" t="n">
        <f aca="false">'Daily KPI Entry'!AD319</f>
        <v>0</v>
      </c>
      <c r="AE318" s="49" t="n">
        <f aca="false">'Daily KPI Entry'!AE319</f>
        <v>0</v>
      </c>
      <c r="AF318" s="47" t="str">
        <f aca="false">IF(O318="","",SUM(X318:AE318))</f>
        <v/>
      </c>
      <c r="AG318" s="49" t="str">
        <f aca="false">IF(O318="","",IFERROR(AF318/O318*1000,0))</f>
        <v/>
      </c>
      <c r="AH318" s="49" t="n">
        <f aca="false">'Daily KPI Entry'!AH319</f>
        <v>0</v>
      </c>
      <c r="AI318" s="49" t="n">
        <f aca="false">'Daily KPI Entry'!AI319</f>
        <v>0</v>
      </c>
      <c r="AJ318" s="49" t="n">
        <f aca="false">'Daily KPI Entry'!AJ319</f>
        <v>0</v>
      </c>
      <c r="AK318" s="47" t="n">
        <f aca="false">'Daily KPI Entry'!AK319</f>
        <v>0</v>
      </c>
      <c r="AL318" s="47" t="n">
        <f aca="false">'Daily KPI Entry'!AL319</f>
        <v>0</v>
      </c>
      <c r="AM318" s="47" t="n">
        <f aca="false">'Daily KPI Entry'!AM319</f>
        <v>0</v>
      </c>
      <c r="AN318" s="49" t="str">
        <f aca="false">IF(P318="","",MIN(120,P318))</f>
        <v/>
      </c>
      <c r="AO318" s="49" t="str">
        <f aca="false">IF(U318="","",MIN(120,U318))</f>
        <v/>
      </c>
      <c r="AP318" s="49" t="str">
        <f aca="false">IF(R318="","",MIN(120,IFERROR(S318/R318*100,0)))</f>
        <v/>
      </c>
      <c r="AQ318" s="49" t="str">
        <f aca="false">IF(W318="","",MIN(120,IF(W318=0,120,100*(INDEX('Standards &amp; Scoring'!$E$5:$E$13,MATCH("Quality / Rejection",'Standards &amp; Scoring'!$A$5:$A$13,0))/W318))))</f>
        <v/>
      </c>
      <c r="AR318" s="49" t="str">
        <f aca="false">IF(AG318="","",MIN(120,IF(AG318=0,120,100*(INDEX('Standards &amp; Scoring'!$E$5:$E$13,MATCH("Fault Control",'Standards &amp; Scoring'!$A$5:$A$13,0))/AG318))))</f>
        <v/>
      </c>
      <c r="AS318" s="49" t="str">
        <f aca="false">IF(O318="","",MIN(120,IF(SUMIFS('Fault &amp; Downtime Entry'!$L$6:$L$1005,'Fault &amp; Downtime Entry'!$E$6:$E$1005,G318,'Fault &amp; Downtime Entry'!$B$6:$B$1005,B318)=0,120,100*(INDEX('Standards &amp; Scoring'!$E$5:$E$13,MATCH("Downtime Control",'Standards &amp; Scoring'!$A$5:$A$13,0))/IFERROR(SUMIFS('Fault &amp; Downtime Entry'!$L$6:$L$1005,'Fault &amp; Downtime Entry'!$E$6:$E$1005,G318,'Fault &amp; Downtime Entry'!$B$6:$B$1005,B318)/O318*1000,999999)))))</f>
        <v/>
      </c>
      <c r="AT318" s="49" t="n">
        <f aca="false">IF(COUNTA(AH318,AJ318)=0,"",MIN(120,IF(AND(AH318&lt;&gt;"",AJ318&lt;&gt;""),AVERAGE(AH318,AJ318),IF(AH318&lt;&gt;"",AH318,AJ318))))</f>
        <v>0</v>
      </c>
      <c r="AU318" s="49" t="str">
        <f aca="false">IF(AI318="","",MIN(120,AI318))</f>
        <v/>
      </c>
      <c r="AV318" s="49" t="str">
        <f aca="false">IF(AJ318="","",MIN(120,AJ318))</f>
        <v/>
      </c>
      <c r="AW318" s="50" t="str">
        <f aca="false">IF(COUNT(AN318:AV318)&lt;9,"",(AN318*'Standards &amp; Scoring'!$D$5+AO318*'Standards &amp; Scoring'!$D$6+AP318*'Standards &amp; Scoring'!$D$7+AQ318*'Standards &amp; Scoring'!$D$8+AR318*'Standards &amp; Scoring'!$D$9+AS318*'Standards &amp; Scoring'!$D$10+AT318*'Standards &amp; Scoring'!$D$11+AU318*'Standards &amp; Scoring'!$D$12+AV318*'Standards &amp; Scoring'!$D$13)/10000)</f>
        <v/>
      </c>
      <c r="AX318" s="47" t="str">
        <f aca="false">IF(AW318="","",IF(AW318&gt;=1.05,"A+",IF(AW318&gt;=1,"A",IF(AW318&gt;=0.95,"B+",IF(AW318&gt;=0.9,"B","C")))))</f>
        <v/>
      </c>
      <c r="AY318" s="47" t="str">
        <f aca="false">IF(AX318="","",IF(AX318="A+",1800,IF(AX318="A",1600,IF(AX318="B+",1400,IF(AX318="B",1200,0)))))</f>
        <v/>
      </c>
      <c r="AZ318" s="49" t="str">
        <f aca="false">IF(OR(L318="",M318="",S318="",M318=0),"",IFERROR(L318*60*S318/(M318*36),0))</f>
        <v/>
      </c>
    </row>
    <row r="319" customFormat="false" ht="15" hidden="false" customHeight="true" outlineLevel="0" collapsed="false">
      <c r="A319" s="47" t="n">
        <f aca="false">'Daily KPI Entry'!A320</f>
        <v>0</v>
      </c>
      <c r="B319" s="48" t="n">
        <f aca="false">'Daily KPI Entry'!B320</f>
        <v>0</v>
      </c>
      <c r="C319" s="47" t="n">
        <f aca="false">'Daily KPI Entry'!C320</f>
        <v>0</v>
      </c>
      <c r="D319" s="47" t="n">
        <f aca="false">'Daily KPI Entry'!D320</f>
        <v>0</v>
      </c>
      <c r="E319" s="47" t="n">
        <f aca="false">'Daily KPI Entry'!E320</f>
        <v>0</v>
      </c>
      <c r="F319" s="47" t="n">
        <f aca="false">'Daily KPI Entry'!F320</f>
        <v>0</v>
      </c>
      <c r="G319" s="47" t="n">
        <f aca="false">'Daily KPI Entry'!G320</f>
        <v>0</v>
      </c>
      <c r="H319" s="47" t="str">
        <f aca="false">'Daily KPI Entry'!H320</f>
        <v/>
      </c>
      <c r="I319" s="47" t="n">
        <f aca="false">'Daily KPI Entry'!I320</f>
        <v>0</v>
      </c>
      <c r="J319" s="47" t="n">
        <f aca="false">'Daily KPI Entry'!J320</f>
        <v>0</v>
      </c>
      <c r="K319" s="47" t="n">
        <f aca="false">'Daily KPI Entry'!K320</f>
        <v>0</v>
      </c>
      <c r="L319" s="47" t="n">
        <f aca="false">'Daily KPI Entry'!L320</f>
        <v>0</v>
      </c>
      <c r="M319" s="47" t="n">
        <f aca="false">'Daily KPI Entry'!M320</f>
        <v>0</v>
      </c>
      <c r="N319" s="49" t="n">
        <f aca="false">'Daily KPI Entry'!N320</f>
        <v>0</v>
      </c>
      <c r="O319" s="49" t="n">
        <f aca="false">'Daily KPI Entry'!O320</f>
        <v>0</v>
      </c>
      <c r="P319" s="49" t="str">
        <f aca="false">IF(OR(N319="",O319=""),"",IFERROR(O319/N319*100,0))</f>
        <v/>
      </c>
      <c r="Q319" s="47" t="n">
        <f aca="false">'Daily KPI Entry'!Q320</f>
        <v>8</v>
      </c>
      <c r="R319" s="47" t="str">
        <f aca="false">IF(J319="","",Q319*J319)</f>
        <v/>
      </c>
      <c r="S319" s="49" t="n">
        <f aca="false">'Daily KPI Entry'!S320</f>
        <v>0</v>
      </c>
      <c r="T319" s="49" t="str">
        <f aca="false">IF(OR(R319="",S319=""),"",IFERROR(S319/R319*100,0))</f>
        <v/>
      </c>
      <c r="U319" s="49" t="str">
        <f aca="false">IF(OR(O319="",L319="",M319="",S319="",M319=0),"",IFERROR(O319/(L319*60*S319/(M319*36))*100,0))</f>
        <v/>
      </c>
      <c r="V319" s="49" t="n">
        <f aca="false">'Daily KPI Entry'!V320</f>
        <v>0</v>
      </c>
      <c r="W319" s="49" t="str">
        <f aca="false">IF(O319="","",IFERROR(V319/O319*100,0))</f>
        <v/>
      </c>
      <c r="X319" s="49" t="n">
        <f aca="false">'Daily KPI Entry'!X320</f>
        <v>0</v>
      </c>
      <c r="Y319" s="49" t="n">
        <f aca="false">'Daily KPI Entry'!Y320</f>
        <v>0</v>
      </c>
      <c r="Z319" s="49" t="n">
        <f aca="false">'Daily KPI Entry'!Z320</f>
        <v>0</v>
      </c>
      <c r="AA319" s="49" t="n">
        <f aca="false">'Daily KPI Entry'!AA320</f>
        <v>0</v>
      </c>
      <c r="AB319" s="49" t="n">
        <f aca="false">'Daily KPI Entry'!AB320</f>
        <v>0</v>
      </c>
      <c r="AC319" s="49" t="n">
        <f aca="false">'Daily KPI Entry'!AC320</f>
        <v>0</v>
      </c>
      <c r="AD319" s="49" t="n">
        <f aca="false">'Daily KPI Entry'!AD320</f>
        <v>0</v>
      </c>
      <c r="AE319" s="49" t="n">
        <f aca="false">'Daily KPI Entry'!AE320</f>
        <v>0</v>
      </c>
      <c r="AF319" s="47" t="str">
        <f aca="false">IF(O319="","",SUM(X319:AE319))</f>
        <v/>
      </c>
      <c r="AG319" s="49" t="str">
        <f aca="false">IF(O319="","",IFERROR(AF319/O319*1000,0))</f>
        <v/>
      </c>
      <c r="AH319" s="49" t="n">
        <f aca="false">'Daily KPI Entry'!AH320</f>
        <v>0</v>
      </c>
      <c r="AI319" s="49" t="n">
        <f aca="false">'Daily KPI Entry'!AI320</f>
        <v>0</v>
      </c>
      <c r="AJ319" s="49" t="n">
        <f aca="false">'Daily KPI Entry'!AJ320</f>
        <v>0</v>
      </c>
      <c r="AK319" s="47" t="n">
        <f aca="false">'Daily KPI Entry'!AK320</f>
        <v>0</v>
      </c>
      <c r="AL319" s="47" t="n">
        <f aca="false">'Daily KPI Entry'!AL320</f>
        <v>0</v>
      </c>
      <c r="AM319" s="47" t="n">
        <f aca="false">'Daily KPI Entry'!AM320</f>
        <v>0</v>
      </c>
      <c r="AN319" s="49" t="str">
        <f aca="false">IF(P319="","",MIN(120,P319))</f>
        <v/>
      </c>
      <c r="AO319" s="49" t="str">
        <f aca="false">IF(U319="","",MIN(120,U319))</f>
        <v/>
      </c>
      <c r="AP319" s="49" t="str">
        <f aca="false">IF(R319="","",MIN(120,IFERROR(S319/R319*100,0)))</f>
        <v/>
      </c>
      <c r="AQ319" s="49" t="str">
        <f aca="false">IF(W319="","",MIN(120,IF(W319=0,120,100*(INDEX('Standards &amp; Scoring'!$E$5:$E$13,MATCH("Quality / Rejection",'Standards &amp; Scoring'!$A$5:$A$13,0))/W319))))</f>
        <v/>
      </c>
      <c r="AR319" s="49" t="str">
        <f aca="false">IF(AG319="","",MIN(120,IF(AG319=0,120,100*(INDEX('Standards &amp; Scoring'!$E$5:$E$13,MATCH("Fault Control",'Standards &amp; Scoring'!$A$5:$A$13,0))/AG319))))</f>
        <v/>
      </c>
      <c r="AS319" s="49" t="str">
        <f aca="false">IF(O319="","",MIN(120,IF(SUMIFS('Fault &amp; Downtime Entry'!$L$6:$L$1005,'Fault &amp; Downtime Entry'!$E$6:$E$1005,G319,'Fault &amp; Downtime Entry'!$B$6:$B$1005,B319)=0,120,100*(INDEX('Standards &amp; Scoring'!$E$5:$E$13,MATCH("Downtime Control",'Standards &amp; Scoring'!$A$5:$A$13,0))/IFERROR(SUMIFS('Fault &amp; Downtime Entry'!$L$6:$L$1005,'Fault &amp; Downtime Entry'!$E$6:$E$1005,G319,'Fault &amp; Downtime Entry'!$B$6:$B$1005,B319)/O319*1000,999999)))))</f>
        <v/>
      </c>
      <c r="AT319" s="49" t="n">
        <f aca="false">IF(COUNTA(AH319,AJ319)=0,"",MIN(120,IF(AND(AH319&lt;&gt;"",AJ319&lt;&gt;""),AVERAGE(AH319,AJ319),IF(AH319&lt;&gt;"",AH319,AJ319))))</f>
        <v>0</v>
      </c>
      <c r="AU319" s="49" t="str">
        <f aca="false">IF(AI319="","",MIN(120,AI319))</f>
        <v/>
      </c>
      <c r="AV319" s="49" t="str">
        <f aca="false">IF(AJ319="","",MIN(120,AJ319))</f>
        <v/>
      </c>
      <c r="AW319" s="50" t="str">
        <f aca="false">IF(COUNT(AN319:AV319)&lt;9,"",(AN319*'Standards &amp; Scoring'!$D$5+AO319*'Standards &amp; Scoring'!$D$6+AP319*'Standards &amp; Scoring'!$D$7+AQ319*'Standards &amp; Scoring'!$D$8+AR319*'Standards &amp; Scoring'!$D$9+AS319*'Standards &amp; Scoring'!$D$10+AT319*'Standards &amp; Scoring'!$D$11+AU319*'Standards &amp; Scoring'!$D$12+AV319*'Standards &amp; Scoring'!$D$13)/10000)</f>
        <v/>
      </c>
      <c r="AX319" s="47" t="str">
        <f aca="false">IF(AW319="","",IF(AW319&gt;=1.05,"A+",IF(AW319&gt;=1,"A",IF(AW319&gt;=0.95,"B+",IF(AW319&gt;=0.9,"B","C")))))</f>
        <v/>
      </c>
      <c r="AY319" s="47" t="str">
        <f aca="false">IF(AX319="","",IF(AX319="A+",1800,IF(AX319="A",1600,IF(AX319="B+",1400,IF(AX319="B",1200,0)))))</f>
        <v/>
      </c>
      <c r="AZ319" s="49" t="str">
        <f aca="false">IF(OR(L319="",M319="",S319="",M319=0),"",IFERROR(L319*60*S319/(M319*36),0))</f>
        <v/>
      </c>
    </row>
    <row r="320" customFormat="false" ht="15" hidden="false" customHeight="true" outlineLevel="0" collapsed="false">
      <c r="A320" s="47" t="n">
        <f aca="false">'Daily KPI Entry'!A321</f>
        <v>0</v>
      </c>
      <c r="B320" s="48" t="n">
        <f aca="false">'Daily KPI Entry'!B321</f>
        <v>0</v>
      </c>
      <c r="C320" s="47" t="n">
        <f aca="false">'Daily KPI Entry'!C321</f>
        <v>0</v>
      </c>
      <c r="D320" s="47" t="n">
        <f aca="false">'Daily KPI Entry'!D321</f>
        <v>0</v>
      </c>
      <c r="E320" s="47" t="n">
        <f aca="false">'Daily KPI Entry'!E321</f>
        <v>0</v>
      </c>
      <c r="F320" s="47" t="n">
        <f aca="false">'Daily KPI Entry'!F321</f>
        <v>0</v>
      </c>
      <c r="G320" s="47" t="n">
        <f aca="false">'Daily KPI Entry'!G321</f>
        <v>0</v>
      </c>
      <c r="H320" s="47" t="str">
        <f aca="false">'Daily KPI Entry'!H321</f>
        <v/>
      </c>
      <c r="I320" s="47" t="n">
        <f aca="false">'Daily KPI Entry'!I321</f>
        <v>0</v>
      </c>
      <c r="J320" s="47" t="n">
        <f aca="false">'Daily KPI Entry'!J321</f>
        <v>0</v>
      </c>
      <c r="K320" s="47" t="n">
        <f aca="false">'Daily KPI Entry'!K321</f>
        <v>0</v>
      </c>
      <c r="L320" s="47" t="n">
        <f aca="false">'Daily KPI Entry'!L321</f>
        <v>0</v>
      </c>
      <c r="M320" s="47" t="n">
        <f aca="false">'Daily KPI Entry'!M321</f>
        <v>0</v>
      </c>
      <c r="N320" s="49" t="n">
        <f aca="false">'Daily KPI Entry'!N321</f>
        <v>0</v>
      </c>
      <c r="O320" s="49" t="n">
        <f aca="false">'Daily KPI Entry'!O321</f>
        <v>0</v>
      </c>
      <c r="P320" s="49" t="str">
        <f aca="false">IF(OR(N320="",O320=""),"",IFERROR(O320/N320*100,0))</f>
        <v/>
      </c>
      <c r="Q320" s="47" t="n">
        <f aca="false">'Daily KPI Entry'!Q321</f>
        <v>8</v>
      </c>
      <c r="R320" s="47" t="str">
        <f aca="false">IF(J320="","",Q320*J320)</f>
        <v/>
      </c>
      <c r="S320" s="49" t="n">
        <f aca="false">'Daily KPI Entry'!S321</f>
        <v>0</v>
      </c>
      <c r="T320" s="49" t="str">
        <f aca="false">IF(OR(R320="",S320=""),"",IFERROR(S320/R320*100,0))</f>
        <v/>
      </c>
      <c r="U320" s="49" t="str">
        <f aca="false">IF(OR(O320="",L320="",M320="",S320="",M320=0),"",IFERROR(O320/(L320*60*S320/(M320*36))*100,0))</f>
        <v/>
      </c>
      <c r="V320" s="49" t="n">
        <f aca="false">'Daily KPI Entry'!V321</f>
        <v>0</v>
      </c>
      <c r="W320" s="49" t="str">
        <f aca="false">IF(O320="","",IFERROR(V320/O320*100,0))</f>
        <v/>
      </c>
      <c r="X320" s="49" t="n">
        <f aca="false">'Daily KPI Entry'!X321</f>
        <v>0</v>
      </c>
      <c r="Y320" s="49" t="n">
        <f aca="false">'Daily KPI Entry'!Y321</f>
        <v>0</v>
      </c>
      <c r="Z320" s="49" t="n">
        <f aca="false">'Daily KPI Entry'!Z321</f>
        <v>0</v>
      </c>
      <c r="AA320" s="49" t="n">
        <f aca="false">'Daily KPI Entry'!AA321</f>
        <v>0</v>
      </c>
      <c r="AB320" s="49" t="n">
        <f aca="false">'Daily KPI Entry'!AB321</f>
        <v>0</v>
      </c>
      <c r="AC320" s="49" t="n">
        <f aca="false">'Daily KPI Entry'!AC321</f>
        <v>0</v>
      </c>
      <c r="AD320" s="49" t="n">
        <f aca="false">'Daily KPI Entry'!AD321</f>
        <v>0</v>
      </c>
      <c r="AE320" s="49" t="n">
        <f aca="false">'Daily KPI Entry'!AE321</f>
        <v>0</v>
      </c>
      <c r="AF320" s="47" t="str">
        <f aca="false">IF(O320="","",SUM(X320:AE320))</f>
        <v/>
      </c>
      <c r="AG320" s="49" t="str">
        <f aca="false">IF(O320="","",IFERROR(AF320/O320*1000,0))</f>
        <v/>
      </c>
      <c r="AH320" s="49" t="n">
        <f aca="false">'Daily KPI Entry'!AH321</f>
        <v>0</v>
      </c>
      <c r="AI320" s="49" t="n">
        <f aca="false">'Daily KPI Entry'!AI321</f>
        <v>0</v>
      </c>
      <c r="AJ320" s="49" t="n">
        <f aca="false">'Daily KPI Entry'!AJ321</f>
        <v>0</v>
      </c>
      <c r="AK320" s="47" t="n">
        <f aca="false">'Daily KPI Entry'!AK321</f>
        <v>0</v>
      </c>
      <c r="AL320" s="47" t="n">
        <f aca="false">'Daily KPI Entry'!AL321</f>
        <v>0</v>
      </c>
      <c r="AM320" s="47" t="n">
        <f aca="false">'Daily KPI Entry'!AM321</f>
        <v>0</v>
      </c>
      <c r="AN320" s="49" t="str">
        <f aca="false">IF(P320="","",MIN(120,P320))</f>
        <v/>
      </c>
      <c r="AO320" s="49" t="str">
        <f aca="false">IF(U320="","",MIN(120,U320))</f>
        <v/>
      </c>
      <c r="AP320" s="49" t="str">
        <f aca="false">IF(R320="","",MIN(120,IFERROR(S320/R320*100,0)))</f>
        <v/>
      </c>
      <c r="AQ320" s="49" t="str">
        <f aca="false">IF(W320="","",MIN(120,IF(W320=0,120,100*(INDEX('Standards &amp; Scoring'!$E$5:$E$13,MATCH("Quality / Rejection",'Standards &amp; Scoring'!$A$5:$A$13,0))/W320))))</f>
        <v/>
      </c>
      <c r="AR320" s="49" t="str">
        <f aca="false">IF(AG320="","",MIN(120,IF(AG320=0,120,100*(INDEX('Standards &amp; Scoring'!$E$5:$E$13,MATCH("Fault Control",'Standards &amp; Scoring'!$A$5:$A$13,0))/AG320))))</f>
        <v/>
      </c>
      <c r="AS320" s="49" t="str">
        <f aca="false">IF(O320="","",MIN(120,IF(SUMIFS('Fault &amp; Downtime Entry'!$L$6:$L$1005,'Fault &amp; Downtime Entry'!$E$6:$E$1005,G320,'Fault &amp; Downtime Entry'!$B$6:$B$1005,B320)=0,120,100*(INDEX('Standards &amp; Scoring'!$E$5:$E$13,MATCH("Downtime Control",'Standards &amp; Scoring'!$A$5:$A$13,0))/IFERROR(SUMIFS('Fault &amp; Downtime Entry'!$L$6:$L$1005,'Fault &amp; Downtime Entry'!$E$6:$E$1005,G320,'Fault &amp; Downtime Entry'!$B$6:$B$1005,B320)/O320*1000,999999)))))</f>
        <v/>
      </c>
      <c r="AT320" s="49" t="n">
        <f aca="false">IF(COUNTA(AH320,AJ320)=0,"",MIN(120,IF(AND(AH320&lt;&gt;"",AJ320&lt;&gt;""),AVERAGE(AH320,AJ320),IF(AH320&lt;&gt;"",AH320,AJ320))))</f>
        <v>0</v>
      </c>
      <c r="AU320" s="49" t="str">
        <f aca="false">IF(AI320="","",MIN(120,AI320))</f>
        <v/>
      </c>
      <c r="AV320" s="49" t="str">
        <f aca="false">IF(AJ320="","",MIN(120,AJ320))</f>
        <v/>
      </c>
      <c r="AW320" s="50" t="str">
        <f aca="false">IF(COUNT(AN320:AV320)&lt;9,"",(AN320*'Standards &amp; Scoring'!$D$5+AO320*'Standards &amp; Scoring'!$D$6+AP320*'Standards &amp; Scoring'!$D$7+AQ320*'Standards &amp; Scoring'!$D$8+AR320*'Standards &amp; Scoring'!$D$9+AS320*'Standards &amp; Scoring'!$D$10+AT320*'Standards &amp; Scoring'!$D$11+AU320*'Standards &amp; Scoring'!$D$12+AV320*'Standards &amp; Scoring'!$D$13)/10000)</f>
        <v/>
      </c>
      <c r="AX320" s="47" t="str">
        <f aca="false">IF(AW320="","",IF(AW320&gt;=1.05,"A+",IF(AW320&gt;=1,"A",IF(AW320&gt;=0.95,"B+",IF(AW320&gt;=0.9,"B","C")))))</f>
        <v/>
      </c>
      <c r="AY320" s="47" t="str">
        <f aca="false">IF(AX320="","",IF(AX320="A+",1800,IF(AX320="A",1600,IF(AX320="B+",1400,IF(AX320="B",1200,0)))))</f>
        <v/>
      </c>
      <c r="AZ320" s="49" t="str">
        <f aca="false">IF(OR(L320="",M320="",S320="",M320=0),"",IFERROR(L320*60*S320/(M320*36),0))</f>
        <v/>
      </c>
    </row>
    <row r="321" customFormat="false" ht="15" hidden="false" customHeight="true" outlineLevel="0" collapsed="false">
      <c r="A321" s="47" t="n">
        <f aca="false">'Daily KPI Entry'!A322</f>
        <v>0</v>
      </c>
      <c r="B321" s="48" t="n">
        <f aca="false">'Daily KPI Entry'!B322</f>
        <v>0</v>
      </c>
      <c r="C321" s="47" t="n">
        <f aca="false">'Daily KPI Entry'!C322</f>
        <v>0</v>
      </c>
      <c r="D321" s="47" t="n">
        <f aca="false">'Daily KPI Entry'!D322</f>
        <v>0</v>
      </c>
      <c r="E321" s="47" t="n">
        <f aca="false">'Daily KPI Entry'!E322</f>
        <v>0</v>
      </c>
      <c r="F321" s="47" t="n">
        <f aca="false">'Daily KPI Entry'!F322</f>
        <v>0</v>
      </c>
      <c r="G321" s="47" t="n">
        <f aca="false">'Daily KPI Entry'!G322</f>
        <v>0</v>
      </c>
      <c r="H321" s="47" t="str">
        <f aca="false">'Daily KPI Entry'!H322</f>
        <v/>
      </c>
      <c r="I321" s="47" t="n">
        <f aca="false">'Daily KPI Entry'!I322</f>
        <v>0</v>
      </c>
      <c r="J321" s="47" t="n">
        <f aca="false">'Daily KPI Entry'!J322</f>
        <v>0</v>
      </c>
      <c r="K321" s="47" t="n">
        <f aca="false">'Daily KPI Entry'!K322</f>
        <v>0</v>
      </c>
      <c r="L321" s="47" t="n">
        <f aca="false">'Daily KPI Entry'!L322</f>
        <v>0</v>
      </c>
      <c r="M321" s="47" t="n">
        <f aca="false">'Daily KPI Entry'!M322</f>
        <v>0</v>
      </c>
      <c r="N321" s="49" t="n">
        <f aca="false">'Daily KPI Entry'!N322</f>
        <v>0</v>
      </c>
      <c r="O321" s="49" t="n">
        <f aca="false">'Daily KPI Entry'!O322</f>
        <v>0</v>
      </c>
      <c r="P321" s="49" t="str">
        <f aca="false">IF(OR(N321="",O321=""),"",IFERROR(O321/N321*100,0))</f>
        <v/>
      </c>
      <c r="Q321" s="47" t="n">
        <f aca="false">'Daily KPI Entry'!Q322</f>
        <v>8</v>
      </c>
      <c r="R321" s="47" t="str">
        <f aca="false">IF(J321="","",Q321*J321)</f>
        <v/>
      </c>
      <c r="S321" s="49" t="n">
        <f aca="false">'Daily KPI Entry'!S322</f>
        <v>0</v>
      </c>
      <c r="T321" s="49" t="str">
        <f aca="false">IF(OR(R321="",S321=""),"",IFERROR(S321/R321*100,0))</f>
        <v/>
      </c>
      <c r="U321" s="49" t="str">
        <f aca="false">IF(OR(O321="",L321="",M321="",S321="",M321=0),"",IFERROR(O321/(L321*60*S321/(M321*36))*100,0))</f>
        <v/>
      </c>
      <c r="V321" s="49" t="n">
        <f aca="false">'Daily KPI Entry'!V322</f>
        <v>0</v>
      </c>
      <c r="W321" s="49" t="str">
        <f aca="false">IF(O321="","",IFERROR(V321/O321*100,0))</f>
        <v/>
      </c>
      <c r="X321" s="49" t="n">
        <f aca="false">'Daily KPI Entry'!X322</f>
        <v>0</v>
      </c>
      <c r="Y321" s="49" t="n">
        <f aca="false">'Daily KPI Entry'!Y322</f>
        <v>0</v>
      </c>
      <c r="Z321" s="49" t="n">
        <f aca="false">'Daily KPI Entry'!Z322</f>
        <v>0</v>
      </c>
      <c r="AA321" s="49" t="n">
        <f aca="false">'Daily KPI Entry'!AA322</f>
        <v>0</v>
      </c>
      <c r="AB321" s="49" t="n">
        <f aca="false">'Daily KPI Entry'!AB322</f>
        <v>0</v>
      </c>
      <c r="AC321" s="49" t="n">
        <f aca="false">'Daily KPI Entry'!AC322</f>
        <v>0</v>
      </c>
      <c r="AD321" s="49" t="n">
        <f aca="false">'Daily KPI Entry'!AD322</f>
        <v>0</v>
      </c>
      <c r="AE321" s="49" t="n">
        <f aca="false">'Daily KPI Entry'!AE322</f>
        <v>0</v>
      </c>
      <c r="AF321" s="47" t="str">
        <f aca="false">IF(O321="","",SUM(X321:AE321))</f>
        <v/>
      </c>
      <c r="AG321" s="49" t="str">
        <f aca="false">IF(O321="","",IFERROR(AF321/O321*1000,0))</f>
        <v/>
      </c>
      <c r="AH321" s="49" t="n">
        <f aca="false">'Daily KPI Entry'!AH322</f>
        <v>0</v>
      </c>
      <c r="AI321" s="49" t="n">
        <f aca="false">'Daily KPI Entry'!AI322</f>
        <v>0</v>
      </c>
      <c r="AJ321" s="49" t="n">
        <f aca="false">'Daily KPI Entry'!AJ322</f>
        <v>0</v>
      </c>
      <c r="AK321" s="47" t="n">
        <f aca="false">'Daily KPI Entry'!AK322</f>
        <v>0</v>
      </c>
      <c r="AL321" s="47" t="n">
        <f aca="false">'Daily KPI Entry'!AL322</f>
        <v>0</v>
      </c>
      <c r="AM321" s="47" t="n">
        <f aca="false">'Daily KPI Entry'!AM322</f>
        <v>0</v>
      </c>
      <c r="AN321" s="49" t="str">
        <f aca="false">IF(P321="","",MIN(120,P321))</f>
        <v/>
      </c>
      <c r="AO321" s="49" t="str">
        <f aca="false">IF(U321="","",MIN(120,U321))</f>
        <v/>
      </c>
      <c r="AP321" s="49" t="str">
        <f aca="false">IF(R321="","",MIN(120,IFERROR(S321/R321*100,0)))</f>
        <v/>
      </c>
      <c r="AQ321" s="49" t="str">
        <f aca="false">IF(W321="","",MIN(120,IF(W321=0,120,100*(INDEX('Standards &amp; Scoring'!$E$5:$E$13,MATCH("Quality / Rejection",'Standards &amp; Scoring'!$A$5:$A$13,0))/W321))))</f>
        <v/>
      </c>
      <c r="AR321" s="49" t="str">
        <f aca="false">IF(AG321="","",MIN(120,IF(AG321=0,120,100*(INDEX('Standards &amp; Scoring'!$E$5:$E$13,MATCH("Fault Control",'Standards &amp; Scoring'!$A$5:$A$13,0))/AG321))))</f>
        <v/>
      </c>
      <c r="AS321" s="49" t="str">
        <f aca="false">IF(O321="","",MIN(120,IF(SUMIFS('Fault &amp; Downtime Entry'!$L$6:$L$1005,'Fault &amp; Downtime Entry'!$E$6:$E$1005,G321,'Fault &amp; Downtime Entry'!$B$6:$B$1005,B321)=0,120,100*(INDEX('Standards &amp; Scoring'!$E$5:$E$13,MATCH("Downtime Control",'Standards &amp; Scoring'!$A$5:$A$13,0))/IFERROR(SUMIFS('Fault &amp; Downtime Entry'!$L$6:$L$1005,'Fault &amp; Downtime Entry'!$E$6:$E$1005,G321,'Fault &amp; Downtime Entry'!$B$6:$B$1005,B321)/O321*1000,999999)))))</f>
        <v/>
      </c>
      <c r="AT321" s="49" t="n">
        <f aca="false">IF(COUNTA(AH321,AJ321)=0,"",MIN(120,IF(AND(AH321&lt;&gt;"",AJ321&lt;&gt;""),AVERAGE(AH321,AJ321),IF(AH321&lt;&gt;"",AH321,AJ321))))</f>
        <v>0</v>
      </c>
      <c r="AU321" s="49" t="str">
        <f aca="false">IF(AI321="","",MIN(120,AI321))</f>
        <v/>
      </c>
      <c r="AV321" s="49" t="str">
        <f aca="false">IF(AJ321="","",MIN(120,AJ321))</f>
        <v/>
      </c>
      <c r="AW321" s="50" t="str">
        <f aca="false">IF(COUNT(AN321:AV321)&lt;9,"",(AN321*'Standards &amp; Scoring'!$D$5+AO321*'Standards &amp; Scoring'!$D$6+AP321*'Standards &amp; Scoring'!$D$7+AQ321*'Standards &amp; Scoring'!$D$8+AR321*'Standards &amp; Scoring'!$D$9+AS321*'Standards &amp; Scoring'!$D$10+AT321*'Standards &amp; Scoring'!$D$11+AU321*'Standards &amp; Scoring'!$D$12+AV321*'Standards &amp; Scoring'!$D$13)/10000)</f>
        <v/>
      </c>
      <c r="AX321" s="47" t="str">
        <f aca="false">IF(AW321="","",IF(AW321&gt;=1.05,"A+",IF(AW321&gt;=1,"A",IF(AW321&gt;=0.95,"B+",IF(AW321&gt;=0.9,"B","C")))))</f>
        <v/>
      </c>
      <c r="AY321" s="47" t="str">
        <f aca="false">IF(AX321="","",IF(AX321="A+",1800,IF(AX321="A",1600,IF(AX321="B+",1400,IF(AX321="B",1200,0)))))</f>
        <v/>
      </c>
      <c r="AZ321" s="49" t="str">
        <f aca="false">IF(OR(L321="",M321="",S321="",M321=0),"",IFERROR(L321*60*S321/(M321*36),0))</f>
        <v/>
      </c>
    </row>
    <row r="322" customFormat="false" ht="15" hidden="false" customHeight="true" outlineLevel="0" collapsed="false">
      <c r="A322" s="47" t="n">
        <f aca="false">'Daily KPI Entry'!A323</f>
        <v>0</v>
      </c>
      <c r="B322" s="48" t="n">
        <f aca="false">'Daily KPI Entry'!B323</f>
        <v>0</v>
      </c>
      <c r="C322" s="47" t="n">
        <f aca="false">'Daily KPI Entry'!C323</f>
        <v>0</v>
      </c>
      <c r="D322" s="47" t="n">
        <f aca="false">'Daily KPI Entry'!D323</f>
        <v>0</v>
      </c>
      <c r="E322" s="47" t="n">
        <f aca="false">'Daily KPI Entry'!E323</f>
        <v>0</v>
      </c>
      <c r="F322" s="47" t="n">
        <f aca="false">'Daily KPI Entry'!F323</f>
        <v>0</v>
      </c>
      <c r="G322" s="47" t="n">
        <f aca="false">'Daily KPI Entry'!G323</f>
        <v>0</v>
      </c>
      <c r="H322" s="47" t="str">
        <f aca="false">'Daily KPI Entry'!H323</f>
        <v/>
      </c>
      <c r="I322" s="47" t="n">
        <f aca="false">'Daily KPI Entry'!I323</f>
        <v>0</v>
      </c>
      <c r="J322" s="47" t="n">
        <f aca="false">'Daily KPI Entry'!J323</f>
        <v>0</v>
      </c>
      <c r="K322" s="47" t="n">
        <f aca="false">'Daily KPI Entry'!K323</f>
        <v>0</v>
      </c>
      <c r="L322" s="47" t="n">
        <f aca="false">'Daily KPI Entry'!L323</f>
        <v>0</v>
      </c>
      <c r="M322" s="47" t="n">
        <f aca="false">'Daily KPI Entry'!M323</f>
        <v>0</v>
      </c>
      <c r="N322" s="49" t="n">
        <f aca="false">'Daily KPI Entry'!N323</f>
        <v>0</v>
      </c>
      <c r="O322" s="49" t="n">
        <f aca="false">'Daily KPI Entry'!O323</f>
        <v>0</v>
      </c>
      <c r="P322" s="49" t="str">
        <f aca="false">IF(OR(N322="",O322=""),"",IFERROR(O322/N322*100,0))</f>
        <v/>
      </c>
      <c r="Q322" s="47" t="n">
        <f aca="false">'Daily KPI Entry'!Q323</f>
        <v>8</v>
      </c>
      <c r="R322" s="47" t="str">
        <f aca="false">IF(J322="","",Q322*J322)</f>
        <v/>
      </c>
      <c r="S322" s="49" t="n">
        <f aca="false">'Daily KPI Entry'!S323</f>
        <v>0</v>
      </c>
      <c r="T322" s="49" t="str">
        <f aca="false">IF(OR(R322="",S322=""),"",IFERROR(S322/R322*100,0))</f>
        <v/>
      </c>
      <c r="U322" s="49" t="str">
        <f aca="false">IF(OR(O322="",L322="",M322="",S322="",M322=0),"",IFERROR(O322/(L322*60*S322/(M322*36))*100,0))</f>
        <v/>
      </c>
      <c r="V322" s="49" t="n">
        <f aca="false">'Daily KPI Entry'!V323</f>
        <v>0</v>
      </c>
      <c r="W322" s="49" t="str">
        <f aca="false">IF(O322="","",IFERROR(V322/O322*100,0))</f>
        <v/>
      </c>
      <c r="X322" s="49" t="n">
        <f aca="false">'Daily KPI Entry'!X323</f>
        <v>0</v>
      </c>
      <c r="Y322" s="49" t="n">
        <f aca="false">'Daily KPI Entry'!Y323</f>
        <v>0</v>
      </c>
      <c r="Z322" s="49" t="n">
        <f aca="false">'Daily KPI Entry'!Z323</f>
        <v>0</v>
      </c>
      <c r="AA322" s="49" t="n">
        <f aca="false">'Daily KPI Entry'!AA323</f>
        <v>0</v>
      </c>
      <c r="AB322" s="49" t="n">
        <f aca="false">'Daily KPI Entry'!AB323</f>
        <v>0</v>
      </c>
      <c r="AC322" s="49" t="n">
        <f aca="false">'Daily KPI Entry'!AC323</f>
        <v>0</v>
      </c>
      <c r="AD322" s="49" t="n">
        <f aca="false">'Daily KPI Entry'!AD323</f>
        <v>0</v>
      </c>
      <c r="AE322" s="49" t="n">
        <f aca="false">'Daily KPI Entry'!AE323</f>
        <v>0</v>
      </c>
      <c r="AF322" s="47" t="str">
        <f aca="false">IF(O322="","",SUM(X322:AE322))</f>
        <v/>
      </c>
      <c r="AG322" s="49" t="str">
        <f aca="false">IF(O322="","",IFERROR(AF322/O322*1000,0))</f>
        <v/>
      </c>
      <c r="AH322" s="49" t="n">
        <f aca="false">'Daily KPI Entry'!AH323</f>
        <v>0</v>
      </c>
      <c r="AI322" s="49" t="n">
        <f aca="false">'Daily KPI Entry'!AI323</f>
        <v>0</v>
      </c>
      <c r="AJ322" s="49" t="n">
        <f aca="false">'Daily KPI Entry'!AJ323</f>
        <v>0</v>
      </c>
      <c r="AK322" s="47" t="n">
        <f aca="false">'Daily KPI Entry'!AK323</f>
        <v>0</v>
      </c>
      <c r="AL322" s="47" t="n">
        <f aca="false">'Daily KPI Entry'!AL323</f>
        <v>0</v>
      </c>
      <c r="AM322" s="47" t="n">
        <f aca="false">'Daily KPI Entry'!AM323</f>
        <v>0</v>
      </c>
      <c r="AN322" s="49" t="str">
        <f aca="false">IF(P322="","",MIN(120,P322))</f>
        <v/>
      </c>
      <c r="AO322" s="49" t="str">
        <f aca="false">IF(U322="","",MIN(120,U322))</f>
        <v/>
      </c>
      <c r="AP322" s="49" t="str">
        <f aca="false">IF(R322="","",MIN(120,IFERROR(S322/R322*100,0)))</f>
        <v/>
      </c>
      <c r="AQ322" s="49" t="str">
        <f aca="false">IF(W322="","",MIN(120,IF(W322=0,120,100*(INDEX('Standards &amp; Scoring'!$E$5:$E$13,MATCH("Quality / Rejection",'Standards &amp; Scoring'!$A$5:$A$13,0))/W322))))</f>
        <v/>
      </c>
      <c r="AR322" s="49" t="str">
        <f aca="false">IF(AG322="","",MIN(120,IF(AG322=0,120,100*(INDEX('Standards &amp; Scoring'!$E$5:$E$13,MATCH("Fault Control",'Standards &amp; Scoring'!$A$5:$A$13,0))/AG322))))</f>
        <v/>
      </c>
      <c r="AS322" s="49" t="str">
        <f aca="false">IF(O322="","",MIN(120,IF(SUMIFS('Fault &amp; Downtime Entry'!$L$6:$L$1005,'Fault &amp; Downtime Entry'!$E$6:$E$1005,G322,'Fault &amp; Downtime Entry'!$B$6:$B$1005,B322)=0,120,100*(INDEX('Standards &amp; Scoring'!$E$5:$E$13,MATCH("Downtime Control",'Standards &amp; Scoring'!$A$5:$A$13,0))/IFERROR(SUMIFS('Fault &amp; Downtime Entry'!$L$6:$L$1005,'Fault &amp; Downtime Entry'!$E$6:$E$1005,G322,'Fault &amp; Downtime Entry'!$B$6:$B$1005,B322)/O322*1000,999999)))))</f>
        <v/>
      </c>
      <c r="AT322" s="49" t="n">
        <f aca="false">IF(COUNTA(AH322,AJ322)=0,"",MIN(120,IF(AND(AH322&lt;&gt;"",AJ322&lt;&gt;""),AVERAGE(AH322,AJ322),IF(AH322&lt;&gt;"",AH322,AJ322))))</f>
        <v>0</v>
      </c>
      <c r="AU322" s="49" t="str">
        <f aca="false">IF(AI322="","",MIN(120,AI322))</f>
        <v/>
      </c>
      <c r="AV322" s="49" t="str">
        <f aca="false">IF(AJ322="","",MIN(120,AJ322))</f>
        <v/>
      </c>
      <c r="AW322" s="50" t="str">
        <f aca="false">IF(COUNT(AN322:AV322)&lt;9,"",(AN322*'Standards &amp; Scoring'!$D$5+AO322*'Standards &amp; Scoring'!$D$6+AP322*'Standards &amp; Scoring'!$D$7+AQ322*'Standards &amp; Scoring'!$D$8+AR322*'Standards &amp; Scoring'!$D$9+AS322*'Standards &amp; Scoring'!$D$10+AT322*'Standards &amp; Scoring'!$D$11+AU322*'Standards &amp; Scoring'!$D$12+AV322*'Standards &amp; Scoring'!$D$13)/10000)</f>
        <v/>
      </c>
      <c r="AX322" s="47" t="str">
        <f aca="false">IF(AW322="","",IF(AW322&gt;=1.05,"A+",IF(AW322&gt;=1,"A",IF(AW322&gt;=0.95,"B+",IF(AW322&gt;=0.9,"B","C")))))</f>
        <v/>
      </c>
      <c r="AY322" s="47" t="str">
        <f aca="false">IF(AX322="","",IF(AX322="A+",1800,IF(AX322="A",1600,IF(AX322="B+",1400,IF(AX322="B",1200,0)))))</f>
        <v/>
      </c>
      <c r="AZ322" s="49" t="str">
        <f aca="false">IF(OR(L322="",M322="",S322="",M322=0),"",IFERROR(L322*60*S322/(M322*36),0))</f>
        <v/>
      </c>
    </row>
    <row r="323" customFormat="false" ht="15" hidden="false" customHeight="true" outlineLevel="0" collapsed="false">
      <c r="A323" s="47" t="n">
        <f aca="false">'Daily KPI Entry'!A324</f>
        <v>0</v>
      </c>
      <c r="B323" s="48" t="n">
        <f aca="false">'Daily KPI Entry'!B324</f>
        <v>0</v>
      </c>
      <c r="C323" s="47" t="n">
        <f aca="false">'Daily KPI Entry'!C324</f>
        <v>0</v>
      </c>
      <c r="D323" s="47" t="n">
        <f aca="false">'Daily KPI Entry'!D324</f>
        <v>0</v>
      </c>
      <c r="E323" s="47" t="n">
        <f aca="false">'Daily KPI Entry'!E324</f>
        <v>0</v>
      </c>
      <c r="F323" s="47" t="n">
        <f aca="false">'Daily KPI Entry'!F324</f>
        <v>0</v>
      </c>
      <c r="G323" s="47" t="n">
        <f aca="false">'Daily KPI Entry'!G324</f>
        <v>0</v>
      </c>
      <c r="H323" s="47" t="str">
        <f aca="false">'Daily KPI Entry'!H324</f>
        <v/>
      </c>
      <c r="I323" s="47" t="n">
        <f aca="false">'Daily KPI Entry'!I324</f>
        <v>0</v>
      </c>
      <c r="J323" s="47" t="n">
        <f aca="false">'Daily KPI Entry'!J324</f>
        <v>0</v>
      </c>
      <c r="K323" s="47" t="n">
        <f aca="false">'Daily KPI Entry'!K324</f>
        <v>0</v>
      </c>
      <c r="L323" s="47" t="n">
        <f aca="false">'Daily KPI Entry'!L324</f>
        <v>0</v>
      </c>
      <c r="M323" s="47" t="n">
        <f aca="false">'Daily KPI Entry'!M324</f>
        <v>0</v>
      </c>
      <c r="N323" s="49" t="n">
        <f aca="false">'Daily KPI Entry'!N324</f>
        <v>0</v>
      </c>
      <c r="O323" s="49" t="n">
        <f aca="false">'Daily KPI Entry'!O324</f>
        <v>0</v>
      </c>
      <c r="P323" s="49" t="str">
        <f aca="false">IF(OR(N323="",O323=""),"",IFERROR(O323/N323*100,0))</f>
        <v/>
      </c>
      <c r="Q323" s="47" t="n">
        <f aca="false">'Daily KPI Entry'!Q324</f>
        <v>8</v>
      </c>
      <c r="R323" s="47" t="str">
        <f aca="false">IF(J323="","",Q323*J323)</f>
        <v/>
      </c>
      <c r="S323" s="49" t="n">
        <f aca="false">'Daily KPI Entry'!S324</f>
        <v>0</v>
      </c>
      <c r="T323" s="49" t="str">
        <f aca="false">IF(OR(R323="",S323=""),"",IFERROR(S323/R323*100,0))</f>
        <v/>
      </c>
      <c r="U323" s="49" t="str">
        <f aca="false">IF(OR(O323="",L323="",M323="",S323="",M323=0),"",IFERROR(O323/(L323*60*S323/(M323*36))*100,0))</f>
        <v/>
      </c>
      <c r="V323" s="49" t="n">
        <f aca="false">'Daily KPI Entry'!V324</f>
        <v>0</v>
      </c>
      <c r="W323" s="49" t="str">
        <f aca="false">IF(O323="","",IFERROR(V323/O323*100,0))</f>
        <v/>
      </c>
      <c r="X323" s="49" t="n">
        <f aca="false">'Daily KPI Entry'!X324</f>
        <v>0</v>
      </c>
      <c r="Y323" s="49" t="n">
        <f aca="false">'Daily KPI Entry'!Y324</f>
        <v>0</v>
      </c>
      <c r="Z323" s="49" t="n">
        <f aca="false">'Daily KPI Entry'!Z324</f>
        <v>0</v>
      </c>
      <c r="AA323" s="49" t="n">
        <f aca="false">'Daily KPI Entry'!AA324</f>
        <v>0</v>
      </c>
      <c r="AB323" s="49" t="n">
        <f aca="false">'Daily KPI Entry'!AB324</f>
        <v>0</v>
      </c>
      <c r="AC323" s="49" t="n">
        <f aca="false">'Daily KPI Entry'!AC324</f>
        <v>0</v>
      </c>
      <c r="AD323" s="49" t="n">
        <f aca="false">'Daily KPI Entry'!AD324</f>
        <v>0</v>
      </c>
      <c r="AE323" s="49" t="n">
        <f aca="false">'Daily KPI Entry'!AE324</f>
        <v>0</v>
      </c>
      <c r="AF323" s="47" t="str">
        <f aca="false">IF(O323="","",SUM(X323:AE323))</f>
        <v/>
      </c>
      <c r="AG323" s="49" t="str">
        <f aca="false">IF(O323="","",IFERROR(AF323/O323*1000,0))</f>
        <v/>
      </c>
      <c r="AH323" s="49" t="n">
        <f aca="false">'Daily KPI Entry'!AH324</f>
        <v>0</v>
      </c>
      <c r="AI323" s="49" t="n">
        <f aca="false">'Daily KPI Entry'!AI324</f>
        <v>0</v>
      </c>
      <c r="AJ323" s="49" t="n">
        <f aca="false">'Daily KPI Entry'!AJ324</f>
        <v>0</v>
      </c>
      <c r="AK323" s="47" t="n">
        <f aca="false">'Daily KPI Entry'!AK324</f>
        <v>0</v>
      </c>
      <c r="AL323" s="47" t="n">
        <f aca="false">'Daily KPI Entry'!AL324</f>
        <v>0</v>
      </c>
      <c r="AM323" s="47" t="n">
        <f aca="false">'Daily KPI Entry'!AM324</f>
        <v>0</v>
      </c>
      <c r="AN323" s="49" t="str">
        <f aca="false">IF(P323="","",MIN(120,P323))</f>
        <v/>
      </c>
      <c r="AO323" s="49" t="str">
        <f aca="false">IF(U323="","",MIN(120,U323))</f>
        <v/>
      </c>
      <c r="AP323" s="49" t="str">
        <f aca="false">IF(R323="","",MIN(120,IFERROR(S323/R323*100,0)))</f>
        <v/>
      </c>
      <c r="AQ323" s="49" t="str">
        <f aca="false">IF(W323="","",MIN(120,IF(W323=0,120,100*(INDEX('Standards &amp; Scoring'!$E$5:$E$13,MATCH("Quality / Rejection",'Standards &amp; Scoring'!$A$5:$A$13,0))/W323))))</f>
        <v/>
      </c>
      <c r="AR323" s="49" t="str">
        <f aca="false">IF(AG323="","",MIN(120,IF(AG323=0,120,100*(INDEX('Standards &amp; Scoring'!$E$5:$E$13,MATCH("Fault Control",'Standards &amp; Scoring'!$A$5:$A$13,0))/AG323))))</f>
        <v/>
      </c>
      <c r="AS323" s="49" t="str">
        <f aca="false">IF(O323="","",MIN(120,IF(SUMIFS('Fault &amp; Downtime Entry'!$L$6:$L$1005,'Fault &amp; Downtime Entry'!$E$6:$E$1005,G323,'Fault &amp; Downtime Entry'!$B$6:$B$1005,B323)=0,120,100*(INDEX('Standards &amp; Scoring'!$E$5:$E$13,MATCH("Downtime Control",'Standards &amp; Scoring'!$A$5:$A$13,0))/IFERROR(SUMIFS('Fault &amp; Downtime Entry'!$L$6:$L$1005,'Fault &amp; Downtime Entry'!$E$6:$E$1005,G323,'Fault &amp; Downtime Entry'!$B$6:$B$1005,B323)/O323*1000,999999)))))</f>
        <v/>
      </c>
      <c r="AT323" s="49" t="n">
        <f aca="false">IF(COUNTA(AH323,AJ323)=0,"",MIN(120,IF(AND(AH323&lt;&gt;"",AJ323&lt;&gt;""),AVERAGE(AH323,AJ323),IF(AH323&lt;&gt;"",AH323,AJ323))))</f>
        <v>0</v>
      </c>
      <c r="AU323" s="49" t="str">
        <f aca="false">IF(AI323="","",MIN(120,AI323))</f>
        <v/>
      </c>
      <c r="AV323" s="49" t="str">
        <f aca="false">IF(AJ323="","",MIN(120,AJ323))</f>
        <v/>
      </c>
      <c r="AW323" s="50" t="str">
        <f aca="false">IF(COUNT(AN323:AV323)&lt;9,"",(AN323*'Standards &amp; Scoring'!$D$5+AO323*'Standards &amp; Scoring'!$D$6+AP323*'Standards &amp; Scoring'!$D$7+AQ323*'Standards &amp; Scoring'!$D$8+AR323*'Standards &amp; Scoring'!$D$9+AS323*'Standards &amp; Scoring'!$D$10+AT323*'Standards &amp; Scoring'!$D$11+AU323*'Standards &amp; Scoring'!$D$12+AV323*'Standards &amp; Scoring'!$D$13)/10000)</f>
        <v/>
      </c>
      <c r="AX323" s="47" t="str">
        <f aca="false">IF(AW323="","",IF(AW323&gt;=1.05,"A+",IF(AW323&gt;=1,"A",IF(AW323&gt;=0.95,"B+",IF(AW323&gt;=0.9,"B","C")))))</f>
        <v/>
      </c>
      <c r="AY323" s="47" t="str">
        <f aca="false">IF(AX323="","",IF(AX323="A+",1800,IF(AX323="A",1600,IF(AX323="B+",1400,IF(AX323="B",1200,0)))))</f>
        <v/>
      </c>
      <c r="AZ323" s="49" t="str">
        <f aca="false">IF(OR(L323="",M323="",S323="",M323=0),"",IFERROR(L323*60*S323/(M323*36),0))</f>
        <v/>
      </c>
    </row>
    <row r="324" customFormat="false" ht="15" hidden="false" customHeight="true" outlineLevel="0" collapsed="false">
      <c r="A324" s="47" t="n">
        <f aca="false">'Daily KPI Entry'!A325</f>
        <v>0</v>
      </c>
      <c r="B324" s="48" t="n">
        <f aca="false">'Daily KPI Entry'!B325</f>
        <v>0</v>
      </c>
      <c r="C324" s="47" t="n">
        <f aca="false">'Daily KPI Entry'!C325</f>
        <v>0</v>
      </c>
      <c r="D324" s="47" t="n">
        <f aca="false">'Daily KPI Entry'!D325</f>
        <v>0</v>
      </c>
      <c r="E324" s="47" t="n">
        <f aca="false">'Daily KPI Entry'!E325</f>
        <v>0</v>
      </c>
      <c r="F324" s="47" t="n">
        <f aca="false">'Daily KPI Entry'!F325</f>
        <v>0</v>
      </c>
      <c r="G324" s="47" t="n">
        <f aca="false">'Daily KPI Entry'!G325</f>
        <v>0</v>
      </c>
      <c r="H324" s="47" t="str">
        <f aca="false">'Daily KPI Entry'!H325</f>
        <v/>
      </c>
      <c r="I324" s="47" t="n">
        <f aca="false">'Daily KPI Entry'!I325</f>
        <v>0</v>
      </c>
      <c r="J324" s="47" t="n">
        <f aca="false">'Daily KPI Entry'!J325</f>
        <v>0</v>
      </c>
      <c r="K324" s="47" t="n">
        <f aca="false">'Daily KPI Entry'!K325</f>
        <v>0</v>
      </c>
      <c r="L324" s="47" t="n">
        <f aca="false">'Daily KPI Entry'!L325</f>
        <v>0</v>
      </c>
      <c r="M324" s="47" t="n">
        <f aca="false">'Daily KPI Entry'!M325</f>
        <v>0</v>
      </c>
      <c r="N324" s="49" t="n">
        <f aca="false">'Daily KPI Entry'!N325</f>
        <v>0</v>
      </c>
      <c r="O324" s="49" t="n">
        <f aca="false">'Daily KPI Entry'!O325</f>
        <v>0</v>
      </c>
      <c r="P324" s="49" t="str">
        <f aca="false">IF(OR(N324="",O324=""),"",IFERROR(O324/N324*100,0))</f>
        <v/>
      </c>
      <c r="Q324" s="47" t="n">
        <f aca="false">'Daily KPI Entry'!Q325</f>
        <v>8</v>
      </c>
      <c r="R324" s="47" t="str">
        <f aca="false">IF(J324="","",Q324*J324)</f>
        <v/>
      </c>
      <c r="S324" s="49" t="n">
        <f aca="false">'Daily KPI Entry'!S325</f>
        <v>0</v>
      </c>
      <c r="T324" s="49" t="str">
        <f aca="false">IF(OR(R324="",S324=""),"",IFERROR(S324/R324*100,0))</f>
        <v/>
      </c>
      <c r="U324" s="49" t="str">
        <f aca="false">IF(OR(O324="",L324="",M324="",S324="",M324=0),"",IFERROR(O324/(L324*60*S324/(M324*36))*100,0))</f>
        <v/>
      </c>
      <c r="V324" s="49" t="n">
        <f aca="false">'Daily KPI Entry'!V325</f>
        <v>0</v>
      </c>
      <c r="W324" s="49" t="str">
        <f aca="false">IF(O324="","",IFERROR(V324/O324*100,0))</f>
        <v/>
      </c>
      <c r="X324" s="49" t="n">
        <f aca="false">'Daily KPI Entry'!X325</f>
        <v>0</v>
      </c>
      <c r="Y324" s="49" t="n">
        <f aca="false">'Daily KPI Entry'!Y325</f>
        <v>0</v>
      </c>
      <c r="Z324" s="49" t="n">
        <f aca="false">'Daily KPI Entry'!Z325</f>
        <v>0</v>
      </c>
      <c r="AA324" s="49" t="n">
        <f aca="false">'Daily KPI Entry'!AA325</f>
        <v>0</v>
      </c>
      <c r="AB324" s="49" t="n">
        <f aca="false">'Daily KPI Entry'!AB325</f>
        <v>0</v>
      </c>
      <c r="AC324" s="49" t="n">
        <f aca="false">'Daily KPI Entry'!AC325</f>
        <v>0</v>
      </c>
      <c r="AD324" s="49" t="n">
        <f aca="false">'Daily KPI Entry'!AD325</f>
        <v>0</v>
      </c>
      <c r="AE324" s="49" t="n">
        <f aca="false">'Daily KPI Entry'!AE325</f>
        <v>0</v>
      </c>
      <c r="AF324" s="47" t="str">
        <f aca="false">IF(O324="","",SUM(X324:AE324))</f>
        <v/>
      </c>
      <c r="AG324" s="49" t="str">
        <f aca="false">IF(O324="","",IFERROR(AF324/O324*1000,0))</f>
        <v/>
      </c>
      <c r="AH324" s="49" t="n">
        <f aca="false">'Daily KPI Entry'!AH325</f>
        <v>0</v>
      </c>
      <c r="AI324" s="49" t="n">
        <f aca="false">'Daily KPI Entry'!AI325</f>
        <v>0</v>
      </c>
      <c r="AJ324" s="49" t="n">
        <f aca="false">'Daily KPI Entry'!AJ325</f>
        <v>0</v>
      </c>
      <c r="AK324" s="47" t="n">
        <f aca="false">'Daily KPI Entry'!AK325</f>
        <v>0</v>
      </c>
      <c r="AL324" s="47" t="n">
        <f aca="false">'Daily KPI Entry'!AL325</f>
        <v>0</v>
      </c>
      <c r="AM324" s="47" t="n">
        <f aca="false">'Daily KPI Entry'!AM325</f>
        <v>0</v>
      </c>
      <c r="AN324" s="49" t="str">
        <f aca="false">IF(P324="","",MIN(120,P324))</f>
        <v/>
      </c>
      <c r="AO324" s="49" t="str">
        <f aca="false">IF(U324="","",MIN(120,U324))</f>
        <v/>
      </c>
      <c r="AP324" s="49" t="str">
        <f aca="false">IF(R324="","",MIN(120,IFERROR(S324/R324*100,0)))</f>
        <v/>
      </c>
      <c r="AQ324" s="49" t="str">
        <f aca="false">IF(W324="","",MIN(120,IF(W324=0,120,100*(INDEX('Standards &amp; Scoring'!$E$5:$E$13,MATCH("Quality / Rejection",'Standards &amp; Scoring'!$A$5:$A$13,0))/W324))))</f>
        <v/>
      </c>
      <c r="AR324" s="49" t="str">
        <f aca="false">IF(AG324="","",MIN(120,IF(AG324=0,120,100*(INDEX('Standards &amp; Scoring'!$E$5:$E$13,MATCH("Fault Control",'Standards &amp; Scoring'!$A$5:$A$13,0))/AG324))))</f>
        <v/>
      </c>
      <c r="AS324" s="49" t="str">
        <f aca="false">IF(O324="","",MIN(120,IF(SUMIFS('Fault &amp; Downtime Entry'!$L$6:$L$1005,'Fault &amp; Downtime Entry'!$E$6:$E$1005,G324,'Fault &amp; Downtime Entry'!$B$6:$B$1005,B324)=0,120,100*(INDEX('Standards &amp; Scoring'!$E$5:$E$13,MATCH("Downtime Control",'Standards &amp; Scoring'!$A$5:$A$13,0))/IFERROR(SUMIFS('Fault &amp; Downtime Entry'!$L$6:$L$1005,'Fault &amp; Downtime Entry'!$E$6:$E$1005,G324,'Fault &amp; Downtime Entry'!$B$6:$B$1005,B324)/O324*1000,999999)))))</f>
        <v/>
      </c>
      <c r="AT324" s="49" t="n">
        <f aca="false">IF(COUNTA(AH324,AJ324)=0,"",MIN(120,IF(AND(AH324&lt;&gt;"",AJ324&lt;&gt;""),AVERAGE(AH324,AJ324),IF(AH324&lt;&gt;"",AH324,AJ324))))</f>
        <v>0</v>
      </c>
      <c r="AU324" s="49" t="str">
        <f aca="false">IF(AI324="","",MIN(120,AI324))</f>
        <v/>
      </c>
      <c r="AV324" s="49" t="str">
        <f aca="false">IF(AJ324="","",MIN(120,AJ324))</f>
        <v/>
      </c>
      <c r="AW324" s="50" t="str">
        <f aca="false">IF(COUNT(AN324:AV324)&lt;9,"",(AN324*'Standards &amp; Scoring'!$D$5+AO324*'Standards &amp; Scoring'!$D$6+AP324*'Standards &amp; Scoring'!$D$7+AQ324*'Standards &amp; Scoring'!$D$8+AR324*'Standards &amp; Scoring'!$D$9+AS324*'Standards &amp; Scoring'!$D$10+AT324*'Standards &amp; Scoring'!$D$11+AU324*'Standards &amp; Scoring'!$D$12+AV324*'Standards &amp; Scoring'!$D$13)/10000)</f>
        <v/>
      </c>
      <c r="AX324" s="47" t="str">
        <f aca="false">IF(AW324="","",IF(AW324&gt;=1.05,"A+",IF(AW324&gt;=1,"A",IF(AW324&gt;=0.95,"B+",IF(AW324&gt;=0.9,"B","C")))))</f>
        <v/>
      </c>
      <c r="AY324" s="47" t="str">
        <f aca="false">IF(AX324="","",IF(AX324="A+",1800,IF(AX324="A",1600,IF(AX324="B+",1400,IF(AX324="B",1200,0)))))</f>
        <v/>
      </c>
      <c r="AZ324" s="49" t="str">
        <f aca="false">IF(OR(L324="",M324="",S324="",M324=0),"",IFERROR(L324*60*S324/(M324*36),0))</f>
        <v/>
      </c>
    </row>
    <row r="325" customFormat="false" ht="15" hidden="false" customHeight="true" outlineLevel="0" collapsed="false">
      <c r="A325" s="47" t="n">
        <f aca="false">'Daily KPI Entry'!A326</f>
        <v>0</v>
      </c>
      <c r="B325" s="48" t="n">
        <f aca="false">'Daily KPI Entry'!B326</f>
        <v>0</v>
      </c>
      <c r="C325" s="47" t="n">
        <f aca="false">'Daily KPI Entry'!C326</f>
        <v>0</v>
      </c>
      <c r="D325" s="47" t="n">
        <f aca="false">'Daily KPI Entry'!D326</f>
        <v>0</v>
      </c>
      <c r="E325" s="47" t="n">
        <f aca="false">'Daily KPI Entry'!E326</f>
        <v>0</v>
      </c>
      <c r="F325" s="47" t="n">
        <f aca="false">'Daily KPI Entry'!F326</f>
        <v>0</v>
      </c>
      <c r="G325" s="47" t="n">
        <f aca="false">'Daily KPI Entry'!G326</f>
        <v>0</v>
      </c>
      <c r="H325" s="47" t="str">
        <f aca="false">'Daily KPI Entry'!H326</f>
        <v/>
      </c>
      <c r="I325" s="47" t="n">
        <f aca="false">'Daily KPI Entry'!I326</f>
        <v>0</v>
      </c>
      <c r="J325" s="47" t="n">
        <f aca="false">'Daily KPI Entry'!J326</f>
        <v>0</v>
      </c>
      <c r="K325" s="47" t="n">
        <f aca="false">'Daily KPI Entry'!K326</f>
        <v>0</v>
      </c>
      <c r="L325" s="47" t="n">
        <f aca="false">'Daily KPI Entry'!L326</f>
        <v>0</v>
      </c>
      <c r="M325" s="47" t="n">
        <f aca="false">'Daily KPI Entry'!M326</f>
        <v>0</v>
      </c>
      <c r="N325" s="49" t="n">
        <f aca="false">'Daily KPI Entry'!N326</f>
        <v>0</v>
      </c>
      <c r="O325" s="49" t="n">
        <f aca="false">'Daily KPI Entry'!O326</f>
        <v>0</v>
      </c>
      <c r="P325" s="49" t="str">
        <f aca="false">IF(OR(N325="",O325=""),"",IFERROR(O325/N325*100,0))</f>
        <v/>
      </c>
      <c r="Q325" s="47" t="n">
        <f aca="false">'Daily KPI Entry'!Q326</f>
        <v>8</v>
      </c>
      <c r="R325" s="47" t="str">
        <f aca="false">IF(J325="","",Q325*J325)</f>
        <v/>
      </c>
      <c r="S325" s="49" t="n">
        <f aca="false">'Daily KPI Entry'!S326</f>
        <v>0</v>
      </c>
      <c r="T325" s="49" t="str">
        <f aca="false">IF(OR(R325="",S325=""),"",IFERROR(S325/R325*100,0))</f>
        <v/>
      </c>
      <c r="U325" s="49" t="str">
        <f aca="false">IF(OR(O325="",L325="",M325="",S325="",M325=0),"",IFERROR(O325/(L325*60*S325/(M325*36))*100,0))</f>
        <v/>
      </c>
      <c r="V325" s="49" t="n">
        <f aca="false">'Daily KPI Entry'!V326</f>
        <v>0</v>
      </c>
      <c r="W325" s="49" t="str">
        <f aca="false">IF(O325="","",IFERROR(V325/O325*100,0))</f>
        <v/>
      </c>
      <c r="X325" s="49" t="n">
        <f aca="false">'Daily KPI Entry'!X326</f>
        <v>0</v>
      </c>
      <c r="Y325" s="49" t="n">
        <f aca="false">'Daily KPI Entry'!Y326</f>
        <v>0</v>
      </c>
      <c r="Z325" s="49" t="n">
        <f aca="false">'Daily KPI Entry'!Z326</f>
        <v>0</v>
      </c>
      <c r="AA325" s="49" t="n">
        <f aca="false">'Daily KPI Entry'!AA326</f>
        <v>0</v>
      </c>
      <c r="AB325" s="49" t="n">
        <f aca="false">'Daily KPI Entry'!AB326</f>
        <v>0</v>
      </c>
      <c r="AC325" s="49" t="n">
        <f aca="false">'Daily KPI Entry'!AC326</f>
        <v>0</v>
      </c>
      <c r="AD325" s="49" t="n">
        <f aca="false">'Daily KPI Entry'!AD326</f>
        <v>0</v>
      </c>
      <c r="AE325" s="49" t="n">
        <f aca="false">'Daily KPI Entry'!AE326</f>
        <v>0</v>
      </c>
      <c r="AF325" s="47" t="str">
        <f aca="false">IF(O325="","",SUM(X325:AE325))</f>
        <v/>
      </c>
      <c r="AG325" s="49" t="str">
        <f aca="false">IF(O325="","",IFERROR(AF325/O325*1000,0))</f>
        <v/>
      </c>
      <c r="AH325" s="49" t="n">
        <f aca="false">'Daily KPI Entry'!AH326</f>
        <v>0</v>
      </c>
      <c r="AI325" s="49" t="n">
        <f aca="false">'Daily KPI Entry'!AI326</f>
        <v>0</v>
      </c>
      <c r="AJ325" s="49" t="n">
        <f aca="false">'Daily KPI Entry'!AJ326</f>
        <v>0</v>
      </c>
      <c r="AK325" s="47" t="n">
        <f aca="false">'Daily KPI Entry'!AK326</f>
        <v>0</v>
      </c>
      <c r="AL325" s="47" t="n">
        <f aca="false">'Daily KPI Entry'!AL326</f>
        <v>0</v>
      </c>
      <c r="AM325" s="47" t="n">
        <f aca="false">'Daily KPI Entry'!AM326</f>
        <v>0</v>
      </c>
      <c r="AN325" s="49" t="str">
        <f aca="false">IF(P325="","",MIN(120,P325))</f>
        <v/>
      </c>
      <c r="AO325" s="49" t="str">
        <f aca="false">IF(U325="","",MIN(120,U325))</f>
        <v/>
      </c>
      <c r="AP325" s="49" t="str">
        <f aca="false">IF(R325="","",MIN(120,IFERROR(S325/R325*100,0)))</f>
        <v/>
      </c>
      <c r="AQ325" s="49" t="str">
        <f aca="false">IF(W325="","",MIN(120,IF(W325=0,120,100*(INDEX('Standards &amp; Scoring'!$E$5:$E$13,MATCH("Quality / Rejection",'Standards &amp; Scoring'!$A$5:$A$13,0))/W325))))</f>
        <v/>
      </c>
      <c r="AR325" s="49" t="str">
        <f aca="false">IF(AG325="","",MIN(120,IF(AG325=0,120,100*(INDEX('Standards &amp; Scoring'!$E$5:$E$13,MATCH("Fault Control",'Standards &amp; Scoring'!$A$5:$A$13,0))/AG325))))</f>
        <v/>
      </c>
      <c r="AS325" s="49" t="str">
        <f aca="false">IF(O325="","",MIN(120,IF(SUMIFS('Fault &amp; Downtime Entry'!$L$6:$L$1005,'Fault &amp; Downtime Entry'!$E$6:$E$1005,G325,'Fault &amp; Downtime Entry'!$B$6:$B$1005,B325)=0,120,100*(INDEX('Standards &amp; Scoring'!$E$5:$E$13,MATCH("Downtime Control",'Standards &amp; Scoring'!$A$5:$A$13,0))/IFERROR(SUMIFS('Fault &amp; Downtime Entry'!$L$6:$L$1005,'Fault &amp; Downtime Entry'!$E$6:$E$1005,G325,'Fault &amp; Downtime Entry'!$B$6:$B$1005,B325)/O325*1000,999999)))))</f>
        <v/>
      </c>
      <c r="AT325" s="49" t="n">
        <f aca="false">IF(COUNTA(AH325,AJ325)=0,"",MIN(120,IF(AND(AH325&lt;&gt;"",AJ325&lt;&gt;""),AVERAGE(AH325,AJ325),IF(AH325&lt;&gt;"",AH325,AJ325))))</f>
        <v>0</v>
      </c>
      <c r="AU325" s="49" t="str">
        <f aca="false">IF(AI325="","",MIN(120,AI325))</f>
        <v/>
      </c>
      <c r="AV325" s="49" t="str">
        <f aca="false">IF(AJ325="","",MIN(120,AJ325))</f>
        <v/>
      </c>
      <c r="AW325" s="50" t="str">
        <f aca="false">IF(COUNT(AN325:AV325)&lt;9,"",(AN325*'Standards &amp; Scoring'!$D$5+AO325*'Standards &amp; Scoring'!$D$6+AP325*'Standards &amp; Scoring'!$D$7+AQ325*'Standards &amp; Scoring'!$D$8+AR325*'Standards &amp; Scoring'!$D$9+AS325*'Standards &amp; Scoring'!$D$10+AT325*'Standards &amp; Scoring'!$D$11+AU325*'Standards &amp; Scoring'!$D$12+AV325*'Standards &amp; Scoring'!$D$13)/10000)</f>
        <v/>
      </c>
      <c r="AX325" s="47" t="str">
        <f aca="false">IF(AW325="","",IF(AW325&gt;=1.05,"A+",IF(AW325&gt;=1,"A",IF(AW325&gt;=0.95,"B+",IF(AW325&gt;=0.9,"B","C")))))</f>
        <v/>
      </c>
      <c r="AY325" s="47" t="str">
        <f aca="false">IF(AX325="","",IF(AX325="A+",1800,IF(AX325="A",1600,IF(AX325="B+",1400,IF(AX325="B",1200,0)))))</f>
        <v/>
      </c>
      <c r="AZ325" s="49" t="str">
        <f aca="false">IF(OR(L325="",M325="",S325="",M325=0),"",IFERROR(L325*60*S325/(M325*36),0))</f>
        <v/>
      </c>
    </row>
    <row r="326" customFormat="false" ht="15" hidden="false" customHeight="true" outlineLevel="0" collapsed="false">
      <c r="A326" s="47" t="n">
        <f aca="false">'Daily KPI Entry'!A327</f>
        <v>0</v>
      </c>
      <c r="B326" s="48" t="n">
        <f aca="false">'Daily KPI Entry'!B327</f>
        <v>0</v>
      </c>
      <c r="C326" s="47" t="n">
        <f aca="false">'Daily KPI Entry'!C327</f>
        <v>0</v>
      </c>
      <c r="D326" s="47" t="n">
        <f aca="false">'Daily KPI Entry'!D327</f>
        <v>0</v>
      </c>
      <c r="E326" s="47" t="n">
        <f aca="false">'Daily KPI Entry'!E327</f>
        <v>0</v>
      </c>
      <c r="F326" s="47" t="n">
        <f aca="false">'Daily KPI Entry'!F327</f>
        <v>0</v>
      </c>
      <c r="G326" s="47" t="n">
        <f aca="false">'Daily KPI Entry'!G327</f>
        <v>0</v>
      </c>
      <c r="H326" s="47" t="str">
        <f aca="false">'Daily KPI Entry'!H327</f>
        <v/>
      </c>
      <c r="I326" s="47" t="n">
        <f aca="false">'Daily KPI Entry'!I327</f>
        <v>0</v>
      </c>
      <c r="J326" s="47" t="n">
        <f aca="false">'Daily KPI Entry'!J327</f>
        <v>0</v>
      </c>
      <c r="K326" s="47" t="n">
        <f aca="false">'Daily KPI Entry'!K327</f>
        <v>0</v>
      </c>
      <c r="L326" s="47" t="n">
        <f aca="false">'Daily KPI Entry'!L327</f>
        <v>0</v>
      </c>
      <c r="M326" s="47" t="n">
        <f aca="false">'Daily KPI Entry'!M327</f>
        <v>0</v>
      </c>
      <c r="N326" s="49" t="n">
        <f aca="false">'Daily KPI Entry'!N327</f>
        <v>0</v>
      </c>
      <c r="O326" s="49" t="n">
        <f aca="false">'Daily KPI Entry'!O327</f>
        <v>0</v>
      </c>
      <c r="P326" s="49" t="str">
        <f aca="false">IF(OR(N326="",O326=""),"",IFERROR(O326/N326*100,0))</f>
        <v/>
      </c>
      <c r="Q326" s="47" t="n">
        <f aca="false">'Daily KPI Entry'!Q327</f>
        <v>8</v>
      </c>
      <c r="R326" s="47" t="str">
        <f aca="false">IF(J326="","",Q326*J326)</f>
        <v/>
      </c>
      <c r="S326" s="49" t="n">
        <f aca="false">'Daily KPI Entry'!S327</f>
        <v>0</v>
      </c>
      <c r="T326" s="49" t="str">
        <f aca="false">IF(OR(R326="",S326=""),"",IFERROR(S326/R326*100,0))</f>
        <v/>
      </c>
      <c r="U326" s="49" t="str">
        <f aca="false">IF(OR(O326="",L326="",M326="",S326="",M326=0),"",IFERROR(O326/(L326*60*S326/(M326*36))*100,0))</f>
        <v/>
      </c>
      <c r="V326" s="49" t="n">
        <f aca="false">'Daily KPI Entry'!V327</f>
        <v>0</v>
      </c>
      <c r="W326" s="49" t="str">
        <f aca="false">IF(O326="","",IFERROR(V326/O326*100,0))</f>
        <v/>
      </c>
      <c r="X326" s="49" t="n">
        <f aca="false">'Daily KPI Entry'!X327</f>
        <v>0</v>
      </c>
      <c r="Y326" s="49" t="n">
        <f aca="false">'Daily KPI Entry'!Y327</f>
        <v>0</v>
      </c>
      <c r="Z326" s="49" t="n">
        <f aca="false">'Daily KPI Entry'!Z327</f>
        <v>0</v>
      </c>
      <c r="AA326" s="49" t="n">
        <f aca="false">'Daily KPI Entry'!AA327</f>
        <v>0</v>
      </c>
      <c r="AB326" s="49" t="n">
        <f aca="false">'Daily KPI Entry'!AB327</f>
        <v>0</v>
      </c>
      <c r="AC326" s="49" t="n">
        <f aca="false">'Daily KPI Entry'!AC327</f>
        <v>0</v>
      </c>
      <c r="AD326" s="49" t="n">
        <f aca="false">'Daily KPI Entry'!AD327</f>
        <v>0</v>
      </c>
      <c r="AE326" s="49" t="n">
        <f aca="false">'Daily KPI Entry'!AE327</f>
        <v>0</v>
      </c>
      <c r="AF326" s="47" t="str">
        <f aca="false">IF(O326="","",SUM(X326:AE326))</f>
        <v/>
      </c>
      <c r="AG326" s="49" t="str">
        <f aca="false">IF(O326="","",IFERROR(AF326/O326*1000,0))</f>
        <v/>
      </c>
      <c r="AH326" s="49" t="n">
        <f aca="false">'Daily KPI Entry'!AH327</f>
        <v>0</v>
      </c>
      <c r="AI326" s="49" t="n">
        <f aca="false">'Daily KPI Entry'!AI327</f>
        <v>0</v>
      </c>
      <c r="AJ326" s="49" t="n">
        <f aca="false">'Daily KPI Entry'!AJ327</f>
        <v>0</v>
      </c>
      <c r="AK326" s="47" t="n">
        <f aca="false">'Daily KPI Entry'!AK327</f>
        <v>0</v>
      </c>
      <c r="AL326" s="47" t="n">
        <f aca="false">'Daily KPI Entry'!AL327</f>
        <v>0</v>
      </c>
      <c r="AM326" s="47" t="n">
        <f aca="false">'Daily KPI Entry'!AM327</f>
        <v>0</v>
      </c>
      <c r="AN326" s="49" t="str">
        <f aca="false">IF(P326="","",MIN(120,P326))</f>
        <v/>
      </c>
      <c r="AO326" s="49" t="str">
        <f aca="false">IF(U326="","",MIN(120,U326))</f>
        <v/>
      </c>
      <c r="AP326" s="49" t="str">
        <f aca="false">IF(R326="","",MIN(120,IFERROR(S326/R326*100,0)))</f>
        <v/>
      </c>
      <c r="AQ326" s="49" t="str">
        <f aca="false">IF(W326="","",MIN(120,IF(W326=0,120,100*(INDEX('Standards &amp; Scoring'!$E$5:$E$13,MATCH("Quality / Rejection",'Standards &amp; Scoring'!$A$5:$A$13,0))/W326))))</f>
        <v/>
      </c>
      <c r="AR326" s="49" t="str">
        <f aca="false">IF(AG326="","",MIN(120,IF(AG326=0,120,100*(INDEX('Standards &amp; Scoring'!$E$5:$E$13,MATCH("Fault Control",'Standards &amp; Scoring'!$A$5:$A$13,0))/AG326))))</f>
        <v/>
      </c>
      <c r="AS326" s="49" t="str">
        <f aca="false">IF(O326="","",MIN(120,IF(SUMIFS('Fault &amp; Downtime Entry'!$L$6:$L$1005,'Fault &amp; Downtime Entry'!$E$6:$E$1005,G326,'Fault &amp; Downtime Entry'!$B$6:$B$1005,B326)=0,120,100*(INDEX('Standards &amp; Scoring'!$E$5:$E$13,MATCH("Downtime Control",'Standards &amp; Scoring'!$A$5:$A$13,0))/IFERROR(SUMIFS('Fault &amp; Downtime Entry'!$L$6:$L$1005,'Fault &amp; Downtime Entry'!$E$6:$E$1005,G326,'Fault &amp; Downtime Entry'!$B$6:$B$1005,B326)/O326*1000,999999)))))</f>
        <v/>
      </c>
      <c r="AT326" s="49" t="n">
        <f aca="false">IF(COUNTA(AH326,AJ326)=0,"",MIN(120,IF(AND(AH326&lt;&gt;"",AJ326&lt;&gt;""),AVERAGE(AH326,AJ326),IF(AH326&lt;&gt;"",AH326,AJ326))))</f>
        <v>0</v>
      </c>
      <c r="AU326" s="49" t="str">
        <f aca="false">IF(AI326="","",MIN(120,AI326))</f>
        <v/>
      </c>
      <c r="AV326" s="49" t="str">
        <f aca="false">IF(AJ326="","",MIN(120,AJ326))</f>
        <v/>
      </c>
      <c r="AW326" s="50" t="str">
        <f aca="false">IF(COUNT(AN326:AV326)&lt;9,"",(AN326*'Standards &amp; Scoring'!$D$5+AO326*'Standards &amp; Scoring'!$D$6+AP326*'Standards &amp; Scoring'!$D$7+AQ326*'Standards &amp; Scoring'!$D$8+AR326*'Standards &amp; Scoring'!$D$9+AS326*'Standards &amp; Scoring'!$D$10+AT326*'Standards &amp; Scoring'!$D$11+AU326*'Standards &amp; Scoring'!$D$12+AV326*'Standards &amp; Scoring'!$D$13)/10000)</f>
        <v/>
      </c>
      <c r="AX326" s="47" t="str">
        <f aca="false">IF(AW326="","",IF(AW326&gt;=1.05,"A+",IF(AW326&gt;=1,"A",IF(AW326&gt;=0.95,"B+",IF(AW326&gt;=0.9,"B","C")))))</f>
        <v/>
      </c>
      <c r="AY326" s="47" t="str">
        <f aca="false">IF(AX326="","",IF(AX326="A+",1800,IF(AX326="A",1600,IF(AX326="B+",1400,IF(AX326="B",1200,0)))))</f>
        <v/>
      </c>
      <c r="AZ326" s="49" t="str">
        <f aca="false">IF(OR(L326="",M326="",S326="",M326=0),"",IFERROR(L326*60*S326/(M326*36),0))</f>
        <v/>
      </c>
    </row>
    <row r="327" customFormat="false" ht="15" hidden="false" customHeight="true" outlineLevel="0" collapsed="false">
      <c r="A327" s="47" t="n">
        <f aca="false">'Daily KPI Entry'!A328</f>
        <v>0</v>
      </c>
      <c r="B327" s="48" t="n">
        <f aca="false">'Daily KPI Entry'!B328</f>
        <v>0</v>
      </c>
      <c r="C327" s="47" t="n">
        <f aca="false">'Daily KPI Entry'!C328</f>
        <v>0</v>
      </c>
      <c r="D327" s="47" t="n">
        <f aca="false">'Daily KPI Entry'!D328</f>
        <v>0</v>
      </c>
      <c r="E327" s="47" t="n">
        <f aca="false">'Daily KPI Entry'!E328</f>
        <v>0</v>
      </c>
      <c r="F327" s="47" t="n">
        <f aca="false">'Daily KPI Entry'!F328</f>
        <v>0</v>
      </c>
      <c r="G327" s="47" t="n">
        <f aca="false">'Daily KPI Entry'!G328</f>
        <v>0</v>
      </c>
      <c r="H327" s="47" t="str">
        <f aca="false">'Daily KPI Entry'!H328</f>
        <v/>
      </c>
      <c r="I327" s="47" t="n">
        <f aca="false">'Daily KPI Entry'!I328</f>
        <v>0</v>
      </c>
      <c r="J327" s="47" t="n">
        <f aca="false">'Daily KPI Entry'!J328</f>
        <v>0</v>
      </c>
      <c r="K327" s="47" t="n">
        <f aca="false">'Daily KPI Entry'!K328</f>
        <v>0</v>
      </c>
      <c r="L327" s="47" t="n">
        <f aca="false">'Daily KPI Entry'!L328</f>
        <v>0</v>
      </c>
      <c r="M327" s="47" t="n">
        <f aca="false">'Daily KPI Entry'!M328</f>
        <v>0</v>
      </c>
      <c r="N327" s="49" t="n">
        <f aca="false">'Daily KPI Entry'!N328</f>
        <v>0</v>
      </c>
      <c r="O327" s="49" t="n">
        <f aca="false">'Daily KPI Entry'!O328</f>
        <v>0</v>
      </c>
      <c r="P327" s="49" t="str">
        <f aca="false">IF(OR(N327="",O327=""),"",IFERROR(O327/N327*100,0))</f>
        <v/>
      </c>
      <c r="Q327" s="47" t="n">
        <f aca="false">'Daily KPI Entry'!Q328</f>
        <v>8</v>
      </c>
      <c r="R327" s="47" t="str">
        <f aca="false">IF(J327="","",Q327*J327)</f>
        <v/>
      </c>
      <c r="S327" s="49" t="n">
        <f aca="false">'Daily KPI Entry'!S328</f>
        <v>0</v>
      </c>
      <c r="T327" s="49" t="str">
        <f aca="false">IF(OR(R327="",S327=""),"",IFERROR(S327/R327*100,0))</f>
        <v/>
      </c>
      <c r="U327" s="49" t="str">
        <f aca="false">IF(OR(O327="",L327="",M327="",S327="",M327=0),"",IFERROR(O327/(L327*60*S327/(M327*36))*100,0))</f>
        <v/>
      </c>
      <c r="V327" s="49" t="n">
        <f aca="false">'Daily KPI Entry'!V328</f>
        <v>0</v>
      </c>
      <c r="W327" s="49" t="str">
        <f aca="false">IF(O327="","",IFERROR(V327/O327*100,0))</f>
        <v/>
      </c>
      <c r="X327" s="49" t="n">
        <f aca="false">'Daily KPI Entry'!X328</f>
        <v>0</v>
      </c>
      <c r="Y327" s="49" t="n">
        <f aca="false">'Daily KPI Entry'!Y328</f>
        <v>0</v>
      </c>
      <c r="Z327" s="49" t="n">
        <f aca="false">'Daily KPI Entry'!Z328</f>
        <v>0</v>
      </c>
      <c r="AA327" s="49" t="n">
        <f aca="false">'Daily KPI Entry'!AA328</f>
        <v>0</v>
      </c>
      <c r="AB327" s="49" t="n">
        <f aca="false">'Daily KPI Entry'!AB328</f>
        <v>0</v>
      </c>
      <c r="AC327" s="49" t="n">
        <f aca="false">'Daily KPI Entry'!AC328</f>
        <v>0</v>
      </c>
      <c r="AD327" s="49" t="n">
        <f aca="false">'Daily KPI Entry'!AD328</f>
        <v>0</v>
      </c>
      <c r="AE327" s="49" t="n">
        <f aca="false">'Daily KPI Entry'!AE328</f>
        <v>0</v>
      </c>
      <c r="AF327" s="47" t="str">
        <f aca="false">IF(O327="","",SUM(X327:AE327))</f>
        <v/>
      </c>
      <c r="AG327" s="49" t="str">
        <f aca="false">IF(O327="","",IFERROR(AF327/O327*1000,0))</f>
        <v/>
      </c>
      <c r="AH327" s="49" t="n">
        <f aca="false">'Daily KPI Entry'!AH328</f>
        <v>0</v>
      </c>
      <c r="AI327" s="49" t="n">
        <f aca="false">'Daily KPI Entry'!AI328</f>
        <v>0</v>
      </c>
      <c r="AJ327" s="49" t="n">
        <f aca="false">'Daily KPI Entry'!AJ328</f>
        <v>0</v>
      </c>
      <c r="AK327" s="47" t="n">
        <f aca="false">'Daily KPI Entry'!AK328</f>
        <v>0</v>
      </c>
      <c r="AL327" s="47" t="n">
        <f aca="false">'Daily KPI Entry'!AL328</f>
        <v>0</v>
      </c>
      <c r="AM327" s="47" t="n">
        <f aca="false">'Daily KPI Entry'!AM328</f>
        <v>0</v>
      </c>
      <c r="AN327" s="49" t="str">
        <f aca="false">IF(P327="","",MIN(120,P327))</f>
        <v/>
      </c>
      <c r="AO327" s="49" t="str">
        <f aca="false">IF(U327="","",MIN(120,U327))</f>
        <v/>
      </c>
      <c r="AP327" s="49" t="str">
        <f aca="false">IF(R327="","",MIN(120,IFERROR(S327/R327*100,0)))</f>
        <v/>
      </c>
      <c r="AQ327" s="49" t="str">
        <f aca="false">IF(W327="","",MIN(120,IF(W327=0,120,100*(INDEX('Standards &amp; Scoring'!$E$5:$E$13,MATCH("Quality / Rejection",'Standards &amp; Scoring'!$A$5:$A$13,0))/W327))))</f>
        <v/>
      </c>
      <c r="AR327" s="49" t="str">
        <f aca="false">IF(AG327="","",MIN(120,IF(AG327=0,120,100*(INDEX('Standards &amp; Scoring'!$E$5:$E$13,MATCH("Fault Control",'Standards &amp; Scoring'!$A$5:$A$13,0))/AG327))))</f>
        <v/>
      </c>
      <c r="AS327" s="49" t="str">
        <f aca="false">IF(O327="","",MIN(120,IF(SUMIFS('Fault &amp; Downtime Entry'!$L$6:$L$1005,'Fault &amp; Downtime Entry'!$E$6:$E$1005,G327,'Fault &amp; Downtime Entry'!$B$6:$B$1005,B327)=0,120,100*(INDEX('Standards &amp; Scoring'!$E$5:$E$13,MATCH("Downtime Control",'Standards &amp; Scoring'!$A$5:$A$13,0))/IFERROR(SUMIFS('Fault &amp; Downtime Entry'!$L$6:$L$1005,'Fault &amp; Downtime Entry'!$E$6:$E$1005,G327,'Fault &amp; Downtime Entry'!$B$6:$B$1005,B327)/O327*1000,999999)))))</f>
        <v/>
      </c>
      <c r="AT327" s="49" t="n">
        <f aca="false">IF(COUNTA(AH327,AJ327)=0,"",MIN(120,IF(AND(AH327&lt;&gt;"",AJ327&lt;&gt;""),AVERAGE(AH327,AJ327),IF(AH327&lt;&gt;"",AH327,AJ327))))</f>
        <v>0</v>
      </c>
      <c r="AU327" s="49" t="str">
        <f aca="false">IF(AI327="","",MIN(120,AI327))</f>
        <v/>
      </c>
      <c r="AV327" s="49" t="str">
        <f aca="false">IF(AJ327="","",MIN(120,AJ327))</f>
        <v/>
      </c>
      <c r="AW327" s="50" t="str">
        <f aca="false">IF(COUNT(AN327:AV327)&lt;9,"",(AN327*'Standards &amp; Scoring'!$D$5+AO327*'Standards &amp; Scoring'!$D$6+AP327*'Standards &amp; Scoring'!$D$7+AQ327*'Standards &amp; Scoring'!$D$8+AR327*'Standards &amp; Scoring'!$D$9+AS327*'Standards &amp; Scoring'!$D$10+AT327*'Standards &amp; Scoring'!$D$11+AU327*'Standards &amp; Scoring'!$D$12+AV327*'Standards &amp; Scoring'!$D$13)/10000)</f>
        <v/>
      </c>
      <c r="AX327" s="47" t="str">
        <f aca="false">IF(AW327="","",IF(AW327&gt;=1.05,"A+",IF(AW327&gt;=1,"A",IF(AW327&gt;=0.95,"B+",IF(AW327&gt;=0.9,"B","C")))))</f>
        <v/>
      </c>
      <c r="AY327" s="47" t="str">
        <f aca="false">IF(AX327="","",IF(AX327="A+",1800,IF(AX327="A",1600,IF(AX327="B+",1400,IF(AX327="B",1200,0)))))</f>
        <v/>
      </c>
      <c r="AZ327" s="49" t="str">
        <f aca="false">IF(OR(L327="",M327="",S327="",M327=0),"",IFERROR(L327*60*S327/(M327*36),0))</f>
        <v/>
      </c>
    </row>
    <row r="328" customFormat="false" ht="15" hidden="false" customHeight="true" outlineLevel="0" collapsed="false">
      <c r="A328" s="47" t="n">
        <f aca="false">'Daily KPI Entry'!A329</f>
        <v>0</v>
      </c>
      <c r="B328" s="48" t="n">
        <f aca="false">'Daily KPI Entry'!B329</f>
        <v>0</v>
      </c>
      <c r="C328" s="47" t="n">
        <f aca="false">'Daily KPI Entry'!C329</f>
        <v>0</v>
      </c>
      <c r="D328" s="47" t="n">
        <f aca="false">'Daily KPI Entry'!D329</f>
        <v>0</v>
      </c>
      <c r="E328" s="47" t="n">
        <f aca="false">'Daily KPI Entry'!E329</f>
        <v>0</v>
      </c>
      <c r="F328" s="47" t="n">
        <f aca="false">'Daily KPI Entry'!F329</f>
        <v>0</v>
      </c>
      <c r="G328" s="47" t="n">
        <f aca="false">'Daily KPI Entry'!G329</f>
        <v>0</v>
      </c>
      <c r="H328" s="47" t="str">
        <f aca="false">'Daily KPI Entry'!H329</f>
        <v/>
      </c>
      <c r="I328" s="47" t="n">
        <f aca="false">'Daily KPI Entry'!I329</f>
        <v>0</v>
      </c>
      <c r="J328" s="47" t="n">
        <f aca="false">'Daily KPI Entry'!J329</f>
        <v>0</v>
      </c>
      <c r="K328" s="47" t="n">
        <f aca="false">'Daily KPI Entry'!K329</f>
        <v>0</v>
      </c>
      <c r="L328" s="47" t="n">
        <f aca="false">'Daily KPI Entry'!L329</f>
        <v>0</v>
      </c>
      <c r="M328" s="47" t="n">
        <f aca="false">'Daily KPI Entry'!M329</f>
        <v>0</v>
      </c>
      <c r="N328" s="49" t="n">
        <f aca="false">'Daily KPI Entry'!N329</f>
        <v>0</v>
      </c>
      <c r="O328" s="49" t="n">
        <f aca="false">'Daily KPI Entry'!O329</f>
        <v>0</v>
      </c>
      <c r="P328" s="49" t="str">
        <f aca="false">IF(OR(N328="",O328=""),"",IFERROR(O328/N328*100,0))</f>
        <v/>
      </c>
      <c r="Q328" s="47" t="n">
        <f aca="false">'Daily KPI Entry'!Q329</f>
        <v>8</v>
      </c>
      <c r="R328" s="47" t="str">
        <f aca="false">IF(J328="","",Q328*J328)</f>
        <v/>
      </c>
      <c r="S328" s="49" t="n">
        <f aca="false">'Daily KPI Entry'!S329</f>
        <v>0</v>
      </c>
      <c r="T328" s="49" t="str">
        <f aca="false">IF(OR(R328="",S328=""),"",IFERROR(S328/R328*100,0))</f>
        <v/>
      </c>
      <c r="U328" s="49" t="str">
        <f aca="false">IF(OR(O328="",L328="",M328="",S328="",M328=0),"",IFERROR(O328/(L328*60*S328/(M328*36))*100,0))</f>
        <v/>
      </c>
      <c r="V328" s="49" t="n">
        <f aca="false">'Daily KPI Entry'!V329</f>
        <v>0</v>
      </c>
      <c r="W328" s="49" t="str">
        <f aca="false">IF(O328="","",IFERROR(V328/O328*100,0))</f>
        <v/>
      </c>
      <c r="X328" s="49" t="n">
        <f aca="false">'Daily KPI Entry'!X329</f>
        <v>0</v>
      </c>
      <c r="Y328" s="49" t="n">
        <f aca="false">'Daily KPI Entry'!Y329</f>
        <v>0</v>
      </c>
      <c r="Z328" s="49" t="n">
        <f aca="false">'Daily KPI Entry'!Z329</f>
        <v>0</v>
      </c>
      <c r="AA328" s="49" t="n">
        <f aca="false">'Daily KPI Entry'!AA329</f>
        <v>0</v>
      </c>
      <c r="AB328" s="49" t="n">
        <f aca="false">'Daily KPI Entry'!AB329</f>
        <v>0</v>
      </c>
      <c r="AC328" s="49" t="n">
        <f aca="false">'Daily KPI Entry'!AC329</f>
        <v>0</v>
      </c>
      <c r="AD328" s="49" t="n">
        <f aca="false">'Daily KPI Entry'!AD329</f>
        <v>0</v>
      </c>
      <c r="AE328" s="49" t="n">
        <f aca="false">'Daily KPI Entry'!AE329</f>
        <v>0</v>
      </c>
      <c r="AF328" s="47" t="str">
        <f aca="false">IF(O328="","",SUM(X328:AE328))</f>
        <v/>
      </c>
      <c r="AG328" s="49" t="str">
        <f aca="false">IF(O328="","",IFERROR(AF328/O328*1000,0))</f>
        <v/>
      </c>
      <c r="AH328" s="49" t="n">
        <f aca="false">'Daily KPI Entry'!AH329</f>
        <v>0</v>
      </c>
      <c r="AI328" s="49" t="n">
        <f aca="false">'Daily KPI Entry'!AI329</f>
        <v>0</v>
      </c>
      <c r="AJ328" s="49" t="n">
        <f aca="false">'Daily KPI Entry'!AJ329</f>
        <v>0</v>
      </c>
      <c r="AK328" s="47" t="n">
        <f aca="false">'Daily KPI Entry'!AK329</f>
        <v>0</v>
      </c>
      <c r="AL328" s="47" t="n">
        <f aca="false">'Daily KPI Entry'!AL329</f>
        <v>0</v>
      </c>
      <c r="AM328" s="47" t="n">
        <f aca="false">'Daily KPI Entry'!AM329</f>
        <v>0</v>
      </c>
      <c r="AN328" s="49" t="str">
        <f aca="false">IF(P328="","",MIN(120,P328))</f>
        <v/>
      </c>
      <c r="AO328" s="49" t="str">
        <f aca="false">IF(U328="","",MIN(120,U328))</f>
        <v/>
      </c>
      <c r="AP328" s="49" t="str">
        <f aca="false">IF(R328="","",MIN(120,IFERROR(S328/R328*100,0)))</f>
        <v/>
      </c>
      <c r="AQ328" s="49" t="str">
        <f aca="false">IF(W328="","",MIN(120,IF(W328=0,120,100*(INDEX('Standards &amp; Scoring'!$E$5:$E$13,MATCH("Quality / Rejection",'Standards &amp; Scoring'!$A$5:$A$13,0))/W328))))</f>
        <v/>
      </c>
      <c r="AR328" s="49" t="str">
        <f aca="false">IF(AG328="","",MIN(120,IF(AG328=0,120,100*(INDEX('Standards &amp; Scoring'!$E$5:$E$13,MATCH("Fault Control",'Standards &amp; Scoring'!$A$5:$A$13,0))/AG328))))</f>
        <v/>
      </c>
      <c r="AS328" s="49" t="str">
        <f aca="false">IF(O328="","",MIN(120,IF(SUMIFS('Fault &amp; Downtime Entry'!$L$6:$L$1005,'Fault &amp; Downtime Entry'!$E$6:$E$1005,G328,'Fault &amp; Downtime Entry'!$B$6:$B$1005,B328)=0,120,100*(INDEX('Standards &amp; Scoring'!$E$5:$E$13,MATCH("Downtime Control",'Standards &amp; Scoring'!$A$5:$A$13,0))/IFERROR(SUMIFS('Fault &amp; Downtime Entry'!$L$6:$L$1005,'Fault &amp; Downtime Entry'!$E$6:$E$1005,G328,'Fault &amp; Downtime Entry'!$B$6:$B$1005,B328)/O328*1000,999999)))))</f>
        <v/>
      </c>
      <c r="AT328" s="49" t="n">
        <f aca="false">IF(COUNTA(AH328,AJ328)=0,"",MIN(120,IF(AND(AH328&lt;&gt;"",AJ328&lt;&gt;""),AVERAGE(AH328,AJ328),IF(AH328&lt;&gt;"",AH328,AJ328))))</f>
        <v>0</v>
      </c>
      <c r="AU328" s="49" t="str">
        <f aca="false">IF(AI328="","",MIN(120,AI328))</f>
        <v/>
      </c>
      <c r="AV328" s="49" t="str">
        <f aca="false">IF(AJ328="","",MIN(120,AJ328))</f>
        <v/>
      </c>
      <c r="AW328" s="50" t="str">
        <f aca="false">IF(COUNT(AN328:AV328)&lt;9,"",(AN328*'Standards &amp; Scoring'!$D$5+AO328*'Standards &amp; Scoring'!$D$6+AP328*'Standards &amp; Scoring'!$D$7+AQ328*'Standards &amp; Scoring'!$D$8+AR328*'Standards &amp; Scoring'!$D$9+AS328*'Standards &amp; Scoring'!$D$10+AT328*'Standards &amp; Scoring'!$D$11+AU328*'Standards &amp; Scoring'!$D$12+AV328*'Standards &amp; Scoring'!$D$13)/10000)</f>
        <v/>
      </c>
      <c r="AX328" s="47" t="str">
        <f aca="false">IF(AW328="","",IF(AW328&gt;=1.05,"A+",IF(AW328&gt;=1,"A",IF(AW328&gt;=0.95,"B+",IF(AW328&gt;=0.9,"B","C")))))</f>
        <v/>
      </c>
      <c r="AY328" s="47" t="str">
        <f aca="false">IF(AX328="","",IF(AX328="A+",1800,IF(AX328="A",1600,IF(AX328="B+",1400,IF(AX328="B",1200,0)))))</f>
        <v/>
      </c>
      <c r="AZ328" s="49" t="str">
        <f aca="false">IF(OR(L328="",M328="",S328="",M328=0),"",IFERROR(L328*60*S328/(M328*36),0))</f>
        <v/>
      </c>
    </row>
    <row r="329" customFormat="false" ht="15" hidden="false" customHeight="true" outlineLevel="0" collapsed="false">
      <c r="A329" s="47" t="n">
        <f aca="false">'Daily KPI Entry'!A330</f>
        <v>0</v>
      </c>
      <c r="B329" s="48" t="n">
        <f aca="false">'Daily KPI Entry'!B330</f>
        <v>0</v>
      </c>
      <c r="C329" s="47" t="n">
        <f aca="false">'Daily KPI Entry'!C330</f>
        <v>0</v>
      </c>
      <c r="D329" s="47" t="n">
        <f aca="false">'Daily KPI Entry'!D330</f>
        <v>0</v>
      </c>
      <c r="E329" s="47" t="n">
        <f aca="false">'Daily KPI Entry'!E330</f>
        <v>0</v>
      </c>
      <c r="F329" s="47" t="n">
        <f aca="false">'Daily KPI Entry'!F330</f>
        <v>0</v>
      </c>
      <c r="G329" s="47" t="n">
        <f aca="false">'Daily KPI Entry'!G330</f>
        <v>0</v>
      </c>
      <c r="H329" s="47" t="str">
        <f aca="false">'Daily KPI Entry'!H330</f>
        <v/>
      </c>
      <c r="I329" s="47" t="n">
        <f aca="false">'Daily KPI Entry'!I330</f>
        <v>0</v>
      </c>
      <c r="J329" s="47" t="n">
        <f aca="false">'Daily KPI Entry'!J330</f>
        <v>0</v>
      </c>
      <c r="K329" s="47" t="n">
        <f aca="false">'Daily KPI Entry'!K330</f>
        <v>0</v>
      </c>
      <c r="L329" s="47" t="n">
        <f aca="false">'Daily KPI Entry'!L330</f>
        <v>0</v>
      </c>
      <c r="M329" s="47" t="n">
        <f aca="false">'Daily KPI Entry'!M330</f>
        <v>0</v>
      </c>
      <c r="N329" s="49" t="n">
        <f aca="false">'Daily KPI Entry'!N330</f>
        <v>0</v>
      </c>
      <c r="O329" s="49" t="n">
        <f aca="false">'Daily KPI Entry'!O330</f>
        <v>0</v>
      </c>
      <c r="P329" s="49" t="str">
        <f aca="false">IF(OR(N329="",O329=""),"",IFERROR(O329/N329*100,0))</f>
        <v/>
      </c>
      <c r="Q329" s="47" t="n">
        <f aca="false">'Daily KPI Entry'!Q330</f>
        <v>8</v>
      </c>
      <c r="R329" s="47" t="str">
        <f aca="false">IF(J329="","",Q329*J329)</f>
        <v/>
      </c>
      <c r="S329" s="49" t="n">
        <f aca="false">'Daily KPI Entry'!S330</f>
        <v>0</v>
      </c>
      <c r="T329" s="49" t="str">
        <f aca="false">IF(OR(R329="",S329=""),"",IFERROR(S329/R329*100,0))</f>
        <v/>
      </c>
      <c r="U329" s="49" t="str">
        <f aca="false">IF(OR(O329="",L329="",M329="",S329="",M329=0),"",IFERROR(O329/(L329*60*S329/(M329*36))*100,0))</f>
        <v/>
      </c>
      <c r="V329" s="49" t="n">
        <f aca="false">'Daily KPI Entry'!V330</f>
        <v>0</v>
      </c>
      <c r="W329" s="49" t="str">
        <f aca="false">IF(O329="","",IFERROR(V329/O329*100,0))</f>
        <v/>
      </c>
      <c r="X329" s="49" t="n">
        <f aca="false">'Daily KPI Entry'!X330</f>
        <v>0</v>
      </c>
      <c r="Y329" s="49" t="n">
        <f aca="false">'Daily KPI Entry'!Y330</f>
        <v>0</v>
      </c>
      <c r="Z329" s="49" t="n">
        <f aca="false">'Daily KPI Entry'!Z330</f>
        <v>0</v>
      </c>
      <c r="AA329" s="49" t="n">
        <f aca="false">'Daily KPI Entry'!AA330</f>
        <v>0</v>
      </c>
      <c r="AB329" s="49" t="n">
        <f aca="false">'Daily KPI Entry'!AB330</f>
        <v>0</v>
      </c>
      <c r="AC329" s="49" t="n">
        <f aca="false">'Daily KPI Entry'!AC330</f>
        <v>0</v>
      </c>
      <c r="AD329" s="49" t="n">
        <f aca="false">'Daily KPI Entry'!AD330</f>
        <v>0</v>
      </c>
      <c r="AE329" s="49" t="n">
        <f aca="false">'Daily KPI Entry'!AE330</f>
        <v>0</v>
      </c>
      <c r="AF329" s="47" t="str">
        <f aca="false">IF(O329="","",SUM(X329:AE329))</f>
        <v/>
      </c>
      <c r="AG329" s="49" t="str">
        <f aca="false">IF(O329="","",IFERROR(AF329/O329*1000,0))</f>
        <v/>
      </c>
      <c r="AH329" s="49" t="n">
        <f aca="false">'Daily KPI Entry'!AH330</f>
        <v>0</v>
      </c>
      <c r="AI329" s="49" t="n">
        <f aca="false">'Daily KPI Entry'!AI330</f>
        <v>0</v>
      </c>
      <c r="AJ329" s="49" t="n">
        <f aca="false">'Daily KPI Entry'!AJ330</f>
        <v>0</v>
      </c>
      <c r="AK329" s="47" t="n">
        <f aca="false">'Daily KPI Entry'!AK330</f>
        <v>0</v>
      </c>
      <c r="AL329" s="47" t="n">
        <f aca="false">'Daily KPI Entry'!AL330</f>
        <v>0</v>
      </c>
      <c r="AM329" s="47" t="n">
        <f aca="false">'Daily KPI Entry'!AM330</f>
        <v>0</v>
      </c>
      <c r="AN329" s="49" t="str">
        <f aca="false">IF(P329="","",MIN(120,P329))</f>
        <v/>
      </c>
      <c r="AO329" s="49" t="str">
        <f aca="false">IF(U329="","",MIN(120,U329))</f>
        <v/>
      </c>
      <c r="AP329" s="49" t="str">
        <f aca="false">IF(R329="","",MIN(120,IFERROR(S329/R329*100,0)))</f>
        <v/>
      </c>
      <c r="AQ329" s="49" t="str">
        <f aca="false">IF(W329="","",MIN(120,IF(W329=0,120,100*(INDEX('Standards &amp; Scoring'!$E$5:$E$13,MATCH("Quality / Rejection",'Standards &amp; Scoring'!$A$5:$A$13,0))/W329))))</f>
        <v/>
      </c>
      <c r="AR329" s="49" t="str">
        <f aca="false">IF(AG329="","",MIN(120,IF(AG329=0,120,100*(INDEX('Standards &amp; Scoring'!$E$5:$E$13,MATCH("Fault Control",'Standards &amp; Scoring'!$A$5:$A$13,0))/AG329))))</f>
        <v/>
      </c>
      <c r="AS329" s="49" t="str">
        <f aca="false">IF(O329="","",MIN(120,IF(SUMIFS('Fault &amp; Downtime Entry'!$L$6:$L$1005,'Fault &amp; Downtime Entry'!$E$6:$E$1005,G329,'Fault &amp; Downtime Entry'!$B$6:$B$1005,B329)=0,120,100*(INDEX('Standards &amp; Scoring'!$E$5:$E$13,MATCH("Downtime Control",'Standards &amp; Scoring'!$A$5:$A$13,0))/IFERROR(SUMIFS('Fault &amp; Downtime Entry'!$L$6:$L$1005,'Fault &amp; Downtime Entry'!$E$6:$E$1005,G329,'Fault &amp; Downtime Entry'!$B$6:$B$1005,B329)/O329*1000,999999)))))</f>
        <v/>
      </c>
      <c r="AT329" s="49" t="n">
        <f aca="false">IF(COUNTA(AH329,AJ329)=0,"",MIN(120,IF(AND(AH329&lt;&gt;"",AJ329&lt;&gt;""),AVERAGE(AH329,AJ329),IF(AH329&lt;&gt;"",AH329,AJ329))))</f>
        <v>0</v>
      </c>
      <c r="AU329" s="49" t="str">
        <f aca="false">IF(AI329="","",MIN(120,AI329))</f>
        <v/>
      </c>
      <c r="AV329" s="49" t="str">
        <f aca="false">IF(AJ329="","",MIN(120,AJ329))</f>
        <v/>
      </c>
      <c r="AW329" s="50" t="str">
        <f aca="false">IF(COUNT(AN329:AV329)&lt;9,"",(AN329*'Standards &amp; Scoring'!$D$5+AO329*'Standards &amp; Scoring'!$D$6+AP329*'Standards &amp; Scoring'!$D$7+AQ329*'Standards &amp; Scoring'!$D$8+AR329*'Standards &amp; Scoring'!$D$9+AS329*'Standards &amp; Scoring'!$D$10+AT329*'Standards &amp; Scoring'!$D$11+AU329*'Standards &amp; Scoring'!$D$12+AV329*'Standards &amp; Scoring'!$D$13)/10000)</f>
        <v/>
      </c>
      <c r="AX329" s="47" t="str">
        <f aca="false">IF(AW329="","",IF(AW329&gt;=1.05,"A+",IF(AW329&gt;=1,"A",IF(AW329&gt;=0.95,"B+",IF(AW329&gt;=0.9,"B","C")))))</f>
        <v/>
      </c>
      <c r="AY329" s="47" t="str">
        <f aca="false">IF(AX329="","",IF(AX329="A+",1800,IF(AX329="A",1600,IF(AX329="B+",1400,IF(AX329="B",1200,0)))))</f>
        <v/>
      </c>
      <c r="AZ329" s="49" t="str">
        <f aca="false">IF(OR(L329="",M329="",S329="",M329=0),"",IFERROR(L329*60*S329/(M329*36),0))</f>
        <v/>
      </c>
    </row>
    <row r="330" customFormat="false" ht="15" hidden="false" customHeight="true" outlineLevel="0" collapsed="false">
      <c r="A330" s="47" t="n">
        <f aca="false">'Daily KPI Entry'!A331</f>
        <v>0</v>
      </c>
      <c r="B330" s="48" t="n">
        <f aca="false">'Daily KPI Entry'!B331</f>
        <v>0</v>
      </c>
      <c r="C330" s="47" t="n">
        <f aca="false">'Daily KPI Entry'!C331</f>
        <v>0</v>
      </c>
      <c r="D330" s="47" t="n">
        <f aca="false">'Daily KPI Entry'!D331</f>
        <v>0</v>
      </c>
      <c r="E330" s="47" t="n">
        <f aca="false">'Daily KPI Entry'!E331</f>
        <v>0</v>
      </c>
      <c r="F330" s="47" t="n">
        <f aca="false">'Daily KPI Entry'!F331</f>
        <v>0</v>
      </c>
      <c r="G330" s="47" t="n">
        <f aca="false">'Daily KPI Entry'!G331</f>
        <v>0</v>
      </c>
      <c r="H330" s="47" t="str">
        <f aca="false">'Daily KPI Entry'!H331</f>
        <v/>
      </c>
      <c r="I330" s="47" t="n">
        <f aca="false">'Daily KPI Entry'!I331</f>
        <v>0</v>
      </c>
      <c r="J330" s="47" t="n">
        <f aca="false">'Daily KPI Entry'!J331</f>
        <v>0</v>
      </c>
      <c r="K330" s="47" t="n">
        <f aca="false">'Daily KPI Entry'!K331</f>
        <v>0</v>
      </c>
      <c r="L330" s="47" t="n">
        <f aca="false">'Daily KPI Entry'!L331</f>
        <v>0</v>
      </c>
      <c r="M330" s="47" t="n">
        <f aca="false">'Daily KPI Entry'!M331</f>
        <v>0</v>
      </c>
      <c r="N330" s="49" t="n">
        <f aca="false">'Daily KPI Entry'!N331</f>
        <v>0</v>
      </c>
      <c r="O330" s="49" t="n">
        <f aca="false">'Daily KPI Entry'!O331</f>
        <v>0</v>
      </c>
      <c r="P330" s="49" t="str">
        <f aca="false">IF(OR(N330="",O330=""),"",IFERROR(O330/N330*100,0))</f>
        <v/>
      </c>
      <c r="Q330" s="47" t="n">
        <f aca="false">'Daily KPI Entry'!Q331</f>
        <v>8</v>
      </c>
      <c r="R330" s="47" t="str">
        <f aca="false">IF(J330="","",Q330*J330)</f>
        <v/>
      </c>
      <c r="S330" s="49" t="n">
        <f aca="false">'Daily KPI Entry'!S331</f>
        <v>0</v>
      </c>
      <c r="T330" s="49" t="str">
        <f aca="false">IF(OR(R330="",S330=""),"",IFERROR(S330/R330*100,0))</f>
        <v/>
      </c>
      <c r="U330" s="49" t="str">
        <f aca="false">IF(OR(O330="",L330="",M330="",S330="",M330=0),"",IFERROR(O330/(L330*60*S330/(M330*36))*100,0))</f>
        <v/>
      </c>
      <c r="V330" s="49" t="n">
        <f aca="false">'Daily KPI Entry'!V331</f>
        <v>0</v>
      </c>
      <c r="W330" s="49" t="str">
        <f aca="false">IF(O330="","",IFERROR(V330/O330*100,0))</f>
        <v/>
      </c>
      <c r="X330" s="49" t="n">
        <f aca="false">'Daily KPI Entry'!X331</f>
        <v>0</v>
      </c>
      <c r="Y330" s="49" t="n">
        <f aca="false">'Daily KPI Entry'!Y331</f>
        <v>0</v>
      </c>
      <c r="Z330" s="49" t="n">
        <f aca="false">'Daily KPI Entry'!Z331</f>
        <v>0</v>
      </c>
      <c r="AA330" s="49" t="n">
        <f aca="false">'Daily KPI Entry'!AA331</f>
        <v>0</v>
      </c>
      <c r="AB330" s="49" t="n">
        <f aca="false">'Daily KPI Entry'!AB331</f>
        <v>0</v>
      </c>
      <c r="AC330" s="49" t="n">
        <f aca="false">'Daily KPI Entry'!AC331</f>
        <v>0</v>
      </c>
      <c r="AD330" s="49" t="n">
        <f aca="false">'Daily KPI Entry'!AD331</f>
        <v>0</v>
      </c>
      <c r="AE330" s="49" t="n">
        <f aca="false">'Daily KPI Entry'!AE331</f>
        <v>0</v>
      </c>
      <c r="AF330" s="47" t="str">
        <f aca="false">IF(O330="","",SUM(X330:AE330))</f>
        <v/>
      </c>
      <c r="AG330" s="49" t="str">
        <f aca="false">IF(O330="","",IFERROR(AF330/O330*1000,0))</f>
        <v/>
      </c>
      <c r="AH330" s="49" t="n">
        <f aca="false">'Daily KPI Entry'!AH331</f>
        <v>0</v>
      </c>
      <c r="AI330" s="49" t="n">
        <f aca="false">'Daily KPI Entry'!AI331</f>
        <v>0</v>
      </c>
      <c r="AJ330" s="49" t="n">
        <f aca="false">'Daily KPI Entry'!AJ331</f>
        <v>0</v>
      </c>
      <c r="AK330" s="47" t="n">
        <f aca="false">'Daily KPI Entry'!AK331</f>
        <v>0</v>
      </c>
      <c r="AL330" s="47" t="n">
        <f aca="false">'Daily KPI Entry'!AL331</f>
        <v>0</v>
      </c>
      <c r="AM330" s="47" t="n">
        <f aca="false">'Daily KPI Entry'!AM331</f>
        <v>0</v>
      </c>
      <c r="AN330" s="49" t="str">
        <f aca="false">IF(P330="","",MIN(120,P330))</f>
        <v/>
      </c>
      <c r="AO330" s="49" t="str">
        <f aca="false">IF(U330="","",MIN(120,U330))</f>
        <v/>
      </c>
      <c r="AP330" s="49" t="str">
        <f aca="false">IF(R330="","",MIN(120,IFERROR(S330/R330*100,0)))</f>
        <v/>
      </c>
      <c r="AQ330" s="49" t="str">
        <f aca="false">IF(W330="","",MIN(120,IF(W330=0,120,100*(INDEX('Standards &amp; Scoring'!$E$5:$E$13,MATCH("Quality / Rejection",'Standards &amp; Scoring'!$A$5:$A$13,0))/W330))))</f>
        <v/>
      </c>
      <c r="AR330" s="49" t="str">
        <f aca="false">IF(AG330="","",MIN(120,IF(AG330=0,120,100*(INDEX('Standards &amp; Scoring'!$E$5:$E$13,MATCH("Fault Control",'Standards &amp; Scoring'!$A$5:$A$13,0))/AG330))))</f>
        <v/>
      </c>
      <c r="AS330" s="49" t="str">
        <f aca="false">IF(O330="","",MIN(120,IF(SUMIFS('Fault &amp; Downtime Entry'!$L$6:$L$1005,'Fault &amp; Downtime Entry'!$E$6:$E$1005,G330,'Fault &amp; Downtime Entry'!$B$6:$B$1005,B330)=0,120,100*(INDEX('Standards &amp; Scoring'!$E$5:$E$13,MATCH("Downtime Control",'Standards &amp; Scoring'!$A$5:$A$13,0))/IFERROR(SUMIFS('Fault &amp; Downtime Entry'!$L$6:$L$1005,'Fault &amp; Downtime Entry'!$E$6:$E$1005,G330,'Fault &amp; Downtime Entry'!$B$6:$B$1005,B330)/O330*1000,999999)))))</f>
        <v/>
      </c>
      <c r="AT330" s="49" t="n">
        <f aca="false">IF(COUNTA(AH330,AJ330)=0,"",MIN(120,IF(AND(AH330&lt;&gt;"",AJ330&lt;&gt;""),AVERAGE(AH330,AJ330),IF(AH330&lt;&gt;"",AH330,AJ330))))</f>
        <v>0</v>
      </c>
      <c r="AU330" s="49" t="str">
        <f aca="false">IF(AI330="","",MIN(120,AI330))</f>
        <v/>
      </c>
      <c r="AV330" s="49" t="str">
        <f aca="false">IF(AJ330="","",MIN(120,AJ330))</f>
        <v/>
      </c>
      <c r="AW330" s="50" t="str">
        <f aca="false">IF(COUNT(AN330:AV330)&lt;9,"",(AN330*'Standards &amp; Scoring'!$D$5+AO330*'Standards &amp; Scoring'!$D$6+AP330*'Standards &amp; Scoring'!$D$7+AQ330*'Standards &amp; Scoring'!$D$8+AR330*'Standards &amp; Scoring'!$D$9+AS330*'Standards &amp; Scoring'!$D$10+AT330*'Standards &amp; Scoring'!$D$11+AU330*'Standards &amp; Scoring'!$D$12+AV330*'Standards &amp; Scoring'!$D$13)/10000)</f>
        <v/>
      </c>
      <c r="AX330" s="47" t="str">
        <f aca="false">IF(AW330="","",IF(AW330&gt;=1.05,"A+",IF(AW330&gt;=1,"A",IF(AW330&gt;=0.95,"B+",IF(AW330&gt;=0.9,"B","C")))))</f>
        <v/>
      </c>
      <c r="AY330" s="47" t="str">
        <f aca="false">IF(AX330="","",IF(AX330="A+",1800,IF(AX330="A",1600,IF(AX330="B+",1400,IF(AX330="B",1200,0)))))</f>
        <v/>
      </c>
      <c r="AZ330" s="49" t="str">
        <f aca="false">IF(OR(L330="",M330="",S330="",M330=0),"",IFERROR(L330*60*S330/(M330*36),0))</f>
        <v/>
      </c>
    </row>
    <row r="331" customFormat="false" ht="15" hidden="false" customHeight="true" outlineLevel="0" collapsed="false">
      <c r="A331" s="47" t="n">
        <f aca="false">'Daily KPI Entry'!A332</f>
        <v>0</v>
      </c>
      <c r="B331" s="48" t="n">
        <f aca="false">'Daily KPI Entry'!B332</f>
        <v>0</v>
      </c>
      <c r="C331" s="47" t="n">
        <f aca="false">'Daily KPI Entry'!C332</f>
        <v>0</v>
      </c>
      <c r="D331" s="47" t="n">
        <f aca="false">'Daily KPI Entry'!D332</f>
        <v>0</v>
      </c>
      <c r="E331" s="47" t="n">
        <f aca="false">'Daily KPI Entry'!E332</f>
        <v>0</v>
      </c>
      <c r="F331" s="47" t="n">
        <f aca="false">'Daily KPI Entry'!F332</f>
        <v>0</v>
      </c>
      <c r="G331" s="47" t="n">
        <f aca="false">'Daily KPI Entry'!G332</f>
        <v>0</v>
      </c>
      <c r="H331" s="47" t="str">
        <f aca="false">'Daily KPI Entry'!H332</f>
        <v/>
      </c>
      <c r="I331" s="47" t="n">
        <f aca="false">'Daily KPI Entry'!I332</f>
        <v>0</v>
      </c>
      <c r="J331" s="47" t="n">
        <f aca="false">'Daily KPI Entry'!J332</f>
        <v>0</v>
      </c>
      <c r="K331" s="47" t="n">
        <f aca="false">'Daily KPI Entry'!K332</f>
        <v>0</v>
      </c>
      <c r="L331" s="47" t="n">
        <f aca="false">'Daily KPI Entry'!L332</f>
        <v>0</v>
      </c>
      <c r="M331" s="47" t="n">
        <f aca="false">'Daily KPI Entry'!M332</f>
        <v>0</v>
      </c>
      <c r="N331" s="49" t="n">
        <f aca="false">'Daily KPI Entry'!N332</f>
        <v>0</v>
      </c>
      <c r="O331" s="49" t="n">
        <f aca="false">'Daily KPI Entry'!O332</f>
        <v>0</v>
      </c>
      <c r="P331" s="49" t="str">
        <f aca="false">IF(OR(N331="",O331=""),"",IFERROR(O331/N331*100,0))</f>
        <v/>
      </c>
      <c r="Q331" s="47" t="n">
        <f aca="false">'Daily KPI Entry'!Q332</f>
        <v>8</v>
      </c>
      <c r="R331" s="47" t="str">
        <f aca="false">IF(J331="","",Q331*J331)</f>
        <v/>
      </c>
      <c r="S331" s="49" t="n">
        <f aca="false">'Daily KPI Entry'!S332</f>
        <v>0</v>
      </c>
      <c r="T331" s="49" t="str">
        <f aca="false">IF(OR(R331="",S331=""),"",IFERROR(S331/R331*100,0))</f>
        <v/>
      </c>
      <c r="U331" s="49" t="str">
        <f aca="false">IF(OR(O331="",L331="",M331="",S331="",M331=0),"",IFERROR(O331/(L331*60*S331/(M331*36))*100,0))</f>
        <v/>
      </c>
      <c r="V331" s="49" t="n">
        <f aca="false">'Daily KPI Entry'!V332</f>
        <v>0</v>
      </c>
      <c r="W331" s="49" t="str">
        <f aca="false">IF(O331="","",IFERROR(V331/O331*100,0))</f>
        <v/>
      </c>
      <c r="X331" s="49" t="n">
        <f aca="false">'Daily KPI Entry'!X332</f>
        <v>0</v>
      </c>
      <c r="Y331" s="49" t="n">
        <f aca="false">'Daily KPI Entry'!Y332</f>
        <v>0</v>
      </c>
      <c r="Z331" s="49" t="n">
        <f aca="false">'Daily KPI Entry'!Z332</f>
        <v>0</v>
      </c>
      <c r="AA331" s="49" t="n">
        <f aca="false">'Daily KPI Entry'!AA332</f>
        <v>0</v>
      </c>
      <c r="AB331" s="49" t="n">
        <f aca="false">'Daily KPI Entry'!AB332</f>
        <v>0</v>
      </c>
      <c r="AC331" s="49" t="n">
        <f aca="false">'Daily KPI Entry'!AC332</f>
        <v>0</v>
      </c>
      <c r="AD331" s="49" t="n">
        <f aca="false">'Daily KPI Entry'!AD332</f>
        <v>0</v>
      </c>
      <c r="AE331" s="49" t="n">
        <f aca="false">'Daily KPI Entry'!AE332</f>
        <v>0</v>
      </c>
      <c r="AF331" s="47" t="str">
        <f aca="false">IF(O331="","",SUM(X331:AE331))</f>
        <v/>
      </c>
      <c r="AG331" s="49" t="str">
        <f aca="false">IF(O331="","",IFERROR(AF331/O331*1000,0))</f>
        <v/>
      </c>
      <c r="AH331" s="49" t="n">
        <f aca="false">'Daily KPI Entry'!AH332</f>
        <v>0</v>
      </c>
      <c r="AI331" s="49" t="n">
        <f aca="false">'Daily KPI Entry'!AI332</f>
        <v>0</v>
      </c>
      <c r="AJ331" s="49" t="n">
        <f aca="false">'Daily KPI Entry'!AJ332</f>
        <v>0</v>
      </c>
      <c r="AK331" s="47" t="n">
        <f aca="false">'Daily KPI Entry'!AK332</f>
        <v>0</v>
      </c>
      <c r="AL331" s="47" t="n">
        <f aca="false">'Daily KPI Entry'!AL332</f>
        <v>0</v>
      </c>
      <c r="AM331" s="47" t="n">
        <f aca="false">'Daily KPI Entry'!AM332</f>
        <v>0</v>
      </c>
      <c r="AN331" s="49" t="str">
        <f aca="false">IF(P331="","",MIN(120,P331))</f>
        <v/>
      </c>
      <c r="AO331" s="49" t="str">
        <f aca="false">IF(U331="","",MIN(120,U331))</f>
        <v/>
      </c>
      <c r="AP331" s="49" t="str">
        <f aca="false">IF(R331="","",MIN(120,IFERROR(S331/R331*100,0)))</f>
        <v/>
      </c>
      <c r="AQ331" s="49" t="str">
        <f aca="false">IF(W331="","",MIN(120,IF(W331=0,120,100*(INDEX('Standards &amp; Scoring'!$E$5:$E$13,MATCH("Quality / Rejection",'Standards &amp; Scoring'!$A$5:$A$13,0))/W331))))</f>
        <v/>
      </c>
      <c r="AR331" s="49" t="str">
        <f aca="false">IF(AG331="","",MIN(120,IF(AG331=0,120,100*(INDEX('Standards &amp; Scoring'!$E$5:$E$13,MATCH("Fault Control",'Standards &amp; Scoring'!$A$5:$A$13,0))/AG331))))</f>
        <v/>
      </c>
      <c r="AS331" s="49" t="str">
        <f aca="false">IF(O331="","",MIN(120,IF(SUMIFS('Fault &amp; Downtime Entry'!$L$6:$L$1005,'Fault &amp; Downtime Entry'!$E$6:$E$1005,G331,'Fault &amp; Downtime Entry'!$B$6:$B$1005,B331)=0,120,100*(INDEX('Standards &amp; Scoring'!$E$5:$E$13,MATCH("Downtime Control",'Standards &amp; Scoring'!$A$5:$A$13,0))/IFERROR(SUMIFS('Fault &amp; Downtime Entry'!$L$6:$L$1005,'Fault &amp; Downtime Entry'!$E$6:$E$1005,G331,'Fault &amp; Downtime Entry'!$B$6:$B$1005,B331)/O331*1000,999999)))))</f>
        <v/>
      </c>
      <c r="AT331" s="49" t="n">
        <f aca="false">IF(COUNTA(AH331,AJ331)=0,"",MIN(120,IF(AND(AH331&lt;&gt;"",AJ331&lt;&gt;""),AVERAGE(AH331,AJ331),IF(AH331&lt;&gt;"",AH331,AJ331))))</f>
        <v>0</v>
      </c>
      <c r="AU331" s="49" t="str">
        <f aca="false">IF(AI331="","",MIN(120,AI331))</f>
        <v/>
      </c>
      <c r="AV331" s="49" t="str">
        <f aca="false">IF(AJ331="","",MIN(120,AJ331))</f>
        <v/>
      </c>
      <c r="AW331" s="50" t="str">
        <f aca="false">IF(COUNT(AN331:AV331)&lt;9,"",(AN331*'Standards &amp; Scoring'!$D$5+AO331*'Standards &amp; Scoring'!$D$6+AP331*'Standards &amp; Scoring'!$D$7+AQ331*'Standards &amp; Scoring'!$D$8+AR331*'Standards &amp; Scoring'!$D$9+AS331*'Standards &amp; Scoring'!$D$10+AT331*'Standards &amp; Scoring'!$D$11+AU331*'Standards &amp; Scoring'!$D$12+AV331*'Standards &amp; Scoring'!$D$13)/10000)</f>
        <v/>
      </c>
      <c r="AX331" s="47" t="str">
        <f aca="false">IF(AW331="","",IF(AW331&gt;=1.05,"A+",IF(AW331&gt;=1,"A",IF(AW331&gt;=0.95,"B+",IF(AW331&gt;=0.9,"B","C")))))</f>
        <v/>
      </c>
      <c r="AY331" s="47" t="str">
        <f aca="false">IF(AX331="","",IF(AX331="A+",1800,IF(AX331="A",1600,IF(AX331="B+",1400,IF(AX331="B",1200,0)))))</f>
        <v/>
      </c>
      <c r="AZ331" s="49" t="str">
        <f aca="false">IF(OR(L331="",M331="",S331="",M331=0),"",IFERROR(L331*60*S331/(M331*36),0))</f>
        <v/>
      </c>
    </row>
    <row r="332" customFormat="false" ht="15" hidden="false" customHeight="true" outlineLevel="0" collapsed="false">
      <c r="A332" s="47" t="n">
        <f aca="false">'Daily KPI Entry'!A333</f>
        <v>0</v>
      </c>
      <c r="B332" s="48" t="n">
        <f aca="false">'Daily KPI Entry'!B333</f>
        <v>0</v>
      </c>
      <c r="C332" s="47" t="n">
        <f aca="false">'Daily KPI Entry'!C333</f>
        <v>0</v>
      </c>
      <c r="D332" s="47" t="n">
        <f aca="false">'Daily KPI Entry'!D333</f>
        <v>0</v>
      </c>
      <c r="E332" s="47" t="n">
        <f aca="false">'Daily KPI Entry'!E333</f>
        <v>0</v>
      </c>
      <c r="F332" s="47" t="n">
        <f aca="false">'Daily KPI Entry'!F333</f>
        <v>0</v>
      </c>
      <c r="G332" s="47" t="n">
        <f aca="false">'Daily KPI Entry'!G333</f>
        <v>0</v>
      </c>
      <c r="H332" s="47" t="str">
        <f aca="false">'Daily KPI Entry'!H333</f>
        <v/>
      </c>
      <c r="I332" s="47" t="n">
        <f aca="false">'Daily KPI Entry'!I333</f>
        <v>0</v>
      </c>
      <c r="J332" s="47" t="n">
        <f aca="false">'Daily KPI Entry'!J333</f>
        <v>0</v>
      </c>
      <c r="K332" s="47" t="n">
        <f aca="false">'Daily KPI Entry'!K333</f>
        <v>0</v>
      </c>
      <c r="L332" s="47" t="n">
        <f aca="false">'Daily KPI Entry'!L333</f>
        <v>0</v>
      </c>
      <c r="M332" s="47" t="n">
        <f aca="false">'Daily KPI Entry'!M333</f>
        <v>0</v>
      </c>
      <c r="N332" s="49" t="n">
        <f aca="false">'Daily KPI Entry'!N333</f>
        <v>0</v>
      </c>
      <c r="O332" s="49" t="n">
        <f aca="false">'Daily KPI Entry'!O333</f>
        <v>0</v>
      </c>
      <c r="P332" s="49" t="str">
        <f aca="false">IF(OR(N332="",O332=""),"",IFERROR(O332/N332*100,0))</f>
        <v/>
      </c>
      <c r="Q332" s="47" t="n">
        <f aca="false">'Daily KPI Entry'!Q333</f>
        <v>8</v>
      </c>
      <c r="R332" s="47" t="str">
        <f aca="false">IF(J332="","",Q332*J332)</f>
        <v/>
      </c>
      <c r="S332" s="49" t="n">
        <f aca="false">'Daily KPI Entry'!S333</f>
        <v>0</v>
      </c>
      <c r="T332" s="49" t="str">
        <f aca="false">IF(OR(R332="",S332=""),"",IFERROR(S332/R332*100,0))</f>
        <v/>
      </c>
      <c r="U332" s="49" t="str">
        <f aca="false">IF(OR(O332="",L332="",M332="",S332="",M332=0),"",IFERROR(O332/(L332*60*S332/(M332*36))*100,0))</f>
        <v/>
      </c>
      <c r="V332" s="49" t="n">
        <f aca="false">'Daily KPI Entry'!V333</f>
        <v>0</v>
      </c>
      <c r="W332" s="49" t="str">
        <f aca="false">IF(O332="","",IFERROR(V332/O332*100,0))</f>
        <v/>
      </c>
      <c r="X332" s="49" t="n">
        <f aca="false">'Daily KPI Entry'!X333</f>
        <v>0</v>
      </c>
      <c r="Y332" s="49" t="n">
        <f aca="false">'Daily KPI Entry'!Y333</f>
        <v>0</v>
      </c>
      <c r="Z332" s="49" t="n">
        <f aca="false">'Daily KPI Entry'!Z333</f>
        <v>0</v>
      </c>
      <c r="AA332" s="49" t="n">
        <f aca="false">'Daily KPI Entry'!AA333</f>
        <v>0</v>
      </c>
      <c r="AB332" s="49" t="n">
        <f aca="false">'Daily KPI Entry'!AB333</f>
        <v>0</v>
      </c>
      <c r="AC332" s="49" t="n">
        <f aca="false">'Daily KPI Entry'!AC333</f>
        <v>0</v>
      </c>
      <c r="AD332" s="49" t="n">
        <f aca="false">'Daily KPI Entry'!AD333</f>
        <v>0</v>
      </c>
      <c r="AE332" s="49" t="n">
        <f aca="false">'Daily KPI Entry'!AE333</f>
        <v>0</v>
      </c>
      <c r="AF332" s="47" t="str">
        <f aca="false">IF(O332="","",SUM(X332:AE332))</f>
        <v/>
      </c>
      <c r="AG332" s="49" t="str">
        <f aca="false">IF(O332="","",IFERROR(AF332/O332*1000,0))</f>
        <v/>
      </c>
      <c r="AH332" s="49" t="n">
        <f aca="false">'Daily KPI Entry'!AH333</f>
        <v>0</v>
      </c>
      <c r="AI332" s="49" t="n">
        <f aca="false">'Daily KPI Entry'!AI333</f>
        <v>0</v>
      </c>
      <c r="AJ332" s="49" t="n">
        <f aca="false">'Daily KPI Entry'!AJ333</f>
        <v>0</v>
      </c>
      <c r="AK332" s="47" t="n">
        <f aca="false">'Daily KPI Entry'!AK333</f>
        <v>0</v>
      </c>
      <c r="AL332" s="47" t="n">
        <f aca="false">'Daily KPI Entry'!AL333</f>
        <v>0</v>
      </c>
      <c r="AM332" s="47" t="n">
        <f aca="false">'Daily KPI Entry'!AM333</f>
        <v>0</v>
      </c>
      <c r="AN332" s="49" t="str">
        <f aca="false">IF(P332="","",MIN(120,P332))</f>
        <v/>
      </c>
      <c r="AO332" s="49" t="str">
        <f aca="false">IF(U332="","",MIN(120,U332))</f>
        <v/>
      </c>
      <c r="AP332" s="49" t="str">
        <f aca="false">IF(R332="","",MIN(120,IFERROR(S332/R332*100,0)))</f>
        <v/>
      </c>
      <c r="AQ332" s="49" t="str">
        <f aca="false">IF(W332="","",MIN(120,IF(W332=0,120,100*(INDEX('Standards &amp; Scoring'!$E$5:$E$13,MATCH("Quality / Rejection",'Standards &amp; Scoring'!$A$5:$A$13,0))/W332))))</f>
        <v/>
      </c>
      <c r="AR332" s="49" t="str">
        <f aca="false">IF(AG332="","",MIN(120,IF(AG332=0,120,100*(INDEX('Standards &amp; Scoring'!$E$5:$E$13,MATCH("Fault Control",'Standards &amp; Scoring'!$A$5:$A$13,0))/AG332))))</f>
        <v/>
      </c>
      <c r="AS332" s="49" t="str">
        <f aca="false">IF(O332="","",MIN(120,IF(SUMIFS('Fault &amp; Downtime Entry'!$L$6:$L$1005,'Fault &amp; Downtime Entry'!$E$6:$E$1005,G332,'Fault &amp; Downtime Entry'!$B$6:$B$1005,B332)=0,120,100*(INDEX('Standards &amp; Scoring'!$E$5:$E$13,MATCH("Downtime Control",'Standards &amp; Scoring'!$A$5:$A$13,0))/IFERROR(SUMIFS('Fault &amp; Downtime Entry'!$L$6:$L$1005,'Fault &amp; Downtime Entry'!$E$6:$E$1005,G332,'Fault &amp; Downtime Entry'!$B$6:$B$1005,B332)/O332*1000,999999)))))</f>
        <v/>
      </c>
      <c r="AT332" s="49" t="n">
        <f aca="false">IF(COUNTA(AH332,AJ332)=0,"",MIN(120,IF(AND(AH332&lt;&gt;"",AJ332&lt;&gt;""),AVERAGE(AH332,AJ332),IF(AH332&lt;&gt;"",AH332,AJ332))))</f>
        <v>0</v>
      </c>
      <c r="AU332" s="49" t="str">
        <f aca="false">IF(AI332="","",MIN(120,AI332))</f>
        <v/>
      </c>
      <c r="AV332" s="49" t="str">
        <f aca="false">IF(AJ332="","",MIN(120,AJ332))</f>
        <v/>
      </c>
      <c r="AW332" s="50" t="str">
        <f aca="false">IF(COUNT(AN332:AV332)&lt;9,"",(AN332*'Standards &amp; Scoring'!$D$5+AO332*'Standards &amp; Scoring'!$D$6+AP332*'Standards &amp; Scoring'!$D$7+AQ332*'Standards &amp; Scoring'!$D$8+AR332*'Standards &amp; Scoring'!$D$9+AS332*'Standards &amp; Scoring'!$D$10+AT332*'Standards &amp; Scoring'!$D$11+AU332*'Standards &amp; Scoring'!$D$12+AV332*'Standards &amp; Scoring'!$D$13)/10000)</f>
        <v/>
      </c>
      <c r="AX332" s="47" t="str">
        <f aca="false">IF(AW332="","",IF(AW332&gt;=1.05,"A+",IF(AW332&gt;=1,"A",IF(AW332&gt;=0.95,"B+",IF(AW332&gt;=0.9,"B","C")))))</f>
        <v/>
      </c>
      <c r="AY332" s="47" t="str">
        <f aca="false">IF(AX332="","",IF(AX332="A+",1800,IF(AX332="A",1600,IF(AX332="B+",1400,IF(AX332="B",1200,0)))))</f>
        <v/>
      </c>
      <c r="AZ332" s="49" t="str">
        <f aca="false">IF(OR(L332="",M332="",S332="",M332=0),"",IFERROR(L332*60*S332/(M332*36),0))</f>
        <v/>
      </c>
    </row>
    <row r="333" customFormat="false" ht="15" hidden="false" customHeight="true" outlineLevel="0" collapsed="false">
      <c r="A333" s="47" t="n">
        <f aca="false">'Daily KPI Entry'!A334</f>
        <v>0</v>
      </c>
      <c r="B333" s="48" t="n">
        <f aca="false">'Daily KPI Entry'!B334</f>
        <v>0</v>
      </c>
      <c r="C333" s="47" t="n">
        <f aca="false">'Daily KPI Entry'!C334</f>
        <v>0</v>
      </c>
      <c r="D333" s="47" t="n">
        <f aca="false">'Daily KPI Entry'!D334</f>
        <v>0</v>
      </c>
      <c r="E333" s="47" t="n">
        <f aca="false">'Daily KPI Entry'!E334</f>
        <v>0</v>
      </c>
      <c r="F333" s="47" t="n">
        <f aca="false">'Daily KPI Entry'!F334</f>
        <v>0</v>
      </c>
      <c r="G333" s="47" t="n">
        <f aca="false">'Daily KPI Entry'!G334</f>
        <v>0</v>
      </c>
      <c r="H333" s="47" t="str">
        <f aca="false">'Daily KPI Entry'!H334</f>
        <v/>
      </c>
      <c r="I333" s="47" t="n">
        <f aca="false">'Daily KPI Entry'!I334</f>
        <v>0</v>
      </c>
      <c r="J333" s="47" t="n">
        <f aca="false">'Daily KPI Entry'!J334</f>
        <v>0</v>
      </c>
      <c r="K333" s="47" t="n">
        <f aca="false">'Daily KPI Entry'!K334</f>
        <v>0</v>
      </c>
      <c r="L333" s="47" t="n">
        <f aca="false">'Daily KPI Entry'!L334</f>
        <v>0</v>
      </c>
      <c r="M333" s="47" t="n">
        <f aca="false">'Daily KPI Entry'!M334</f>
        <v>0</v>
      </c>
      <c r="N333" s="49" t="n">
        <f aca="false">'Daily KPI Entry'!N334</f>
        <v>0</v>
      </c>
      <c r="O333" s="49" t="n">
        <f aca="false">'Daily KPI Entry'!O334</f>
        <v>0</v>
      </c>
      <c r="P333" s="49" t="str">
        <f aca="false">IF(OR(N333="",O333=""),"",IFERROR(O333/N333*100,0))</f>
        <v/>
      </c>
      <c r="Q333" s="47" t="n">
        <f aca="false">'Daily KPI Entry'!Q334</f>
        <v>8</v>
      </c>
      <c r="R333" s="47" t="str">
        <f aca="false">IF(J333="","",Q333*J333)</f>
        <v/>
      </c>
      <c r="S333" s="49" t="n">
        <f aca="false">'Daily KPI Entry'!S334</f>
        <v>0</v>
      </c>
      <c r="T333" s="49" t="str">
        <f aca="false">IF(OR(R333="",S333=""),"",IFERROR(S333/R333*100,0))</f>
        <v/>
      </c>
      <c r="U333" s="49" t="str">
        <f aca="false">IF(OR(O333="",L333="",M333="",S333="",M333=0),"",IFERROR(O333/(L333*60*S333/(M333*36))*100,0))</f>
        <v/>
      </c>
      <c r="V333" s="49" t="n">
        <f aca="false">'Daily KPI Entry'!V334</f>
        <v>0</v>
      </c>
      <c r="W333" s="49" t="str">
        <f aca="false">IF(O333="","",IFERROR(V333/O333*100,0))</f>
        <v/>
      </c>
      <c r="X333" s="49" t="n">
        <f aca="false">'Daily KPI Entry'!X334</f>
        <v>0</v>
      </c>
      <c r="Y333" s="49" t="n">
        <f aca="false">'Daily KPI Entry'!Y334</f>
        <v>0</v>
      </c>
      <c r="Z333" s="49" t="n">
        <f aca="false">'Daily KPI Entry'!Z334</f>
        <v>0</v>
      </c>
      <c r="AA333" s="49" t="n">
        <f aca="false">'Daily KPI Entry'!AA334</f>
        <v>0</v>
      </c>
      <c r="AB333" s="49" t="n">
        <f aca="false">'Daily KPI Entry'!AB334</f>
        <v>0</v>
      </c>
      <c r="AC333" s="49" t="n">
        <f aca="false">'Daily KPI Entry'!AC334</f>
        <v>0</v>
      </c>
      <c r="AD333" s="49" t="n">
        <f aca="false">'Daily KPI Entry'!AD334</f>
        <v>0</v>
      </c>
      <c r="AE333" s="49" t="n">
        <f aca="false">'Daily KPI Entry'!AE334</f>
        <v>0</v>
      </c>
      <c r="AF333" s="47" t="str">
        <f aca="false">IF(O333="","",SUM(X333:AE333))</f>
        <v/>
      </c>
      <c r="AG333" s="49" t="str">
        <f aca="false">IF(O333="","",IFERROR(AF333/O333*1000,0))</f>
        <v/>
      </c>
      <c r="AH333" s="49" t="n">
        <f aca="false">'Daily KPI Entry'!AH334</f>
        <v>0</v>
      </c>
      <c r="AI333" s="49" t="n">
        <f aca="false">'Daily KPI Entry'!AI334</f>
        <v>0</v>
      </c>
      <c r="AJ333" s="49" t="n">
        <f aca="false">'Daily KPI Entry'!AJ334</f>
        <v>0</v>
      </c>
      <c r="AK333" s="47" t="n">
        <f aca="false">'Daily KPI Entry'!AK334</f>
        <v>0</v>
      </c>
      <c r="AL333" s="47" t="n">
        <f aca="false">'Daily KPI Entry'!AL334</f>
        <v>0</v>
      </c>
      <c r="AM333" s="47" t="n">
        <f aca="false">'Daily KPI Entry'!AM334</f>
        <v>0</v>
      </c>
      <c r="AN333" s="49" t="str">
        <f aca="false">IF(P333="","",MIN(120,P333))</f>
        <v/>
      </c>
      <c r="AO333" s="49" t="str">
        <f aca="false">IF(U333="","",MIN(120,U333))</f>
        <v/>
      </c>
      <c r="AP333" s="49" t="str">
        <f aca="false">IF(R333="","",MIN(120,IFERROR(S333/R333*100,0)))</f>
        <v/>
      </c>
      <c r="AQ333" s="49" t="str">
        <f aca="false">IF(W333="","",MIN(120,IF(W333=0,120,100*(INDEX('Standards &amp; Scoring'!$E$5:$E$13,MATCH("Quality / Rejection",'Standards &amp; Scoring'!$A$5:$A$13,0))/W333))))</f>
        <v/>
      </c>
      <c r="AR333" s="49" t="str">
        <f aca="false">IF(AG333="","",MIN(120,IF(AG333=0,120,100*(INDEX('Standards &amp; Scoring'!$E$5:$E$13,MATCH("Fault Control",'Standards &amp; Scoring'!$A$5:$A$13,0))/AG333))))</f>
        <v/>
      </c>
      <c r="AS333" s="49" t="str">
        <f aca="false">IF(O333="","",MIN(120,IF(SUMIFS('Fault &amp; Downtime Entry'!$L$6:$L$1005,'Fault &amp; Downtime Entry'!$E$6:$E$1005,G333,'Fault &amp; Downtime Entry'!$B$6:$B$1005,B333)=0,120,100*(INDEX('Standards &amp; Scoring'!$E$5:$E$13,MATCH("Downtime Control",'Standards &amp; Scoring'!$A$5:$A$13,0))/IFERROR(SUMIFS('Fault &amp; Downtime Entry'!$L$6:$L$1005,'Fault &amp; Downtime Entry'!$E$6:$E$1005,G333,'Fault &amp; Downtime Entry'!$B$6:$B$1005,B333)/O333*1000,999999)))))</f>
        <v/>
      </c>
      <c r="AT333" s="49" t="n">
        <f aca="false">IF(COUNTA(AH333,AJ333)=0,"",MIN(120,IF(AND(AH333&lt;&gt;"",AJ333&lt;&gt;""),AVERAGE(AH333,AJ333),IF(AH333&lt;&gt;"",AH333,AJ333))))</f>
        <v>0</v>
      </c>
      <c r="AU333" s="49" t="str">
        <f aca="false">IF(AI333="","",MIN(120,AI333))</f>
        <v/>
      </c>
      <c r="AV333" s="49" t="str">
        <f aca="false">IF(AJ333="","",MIN(120,AJ333))</f>
        <v/>
      </c>
      <c r="AW333" s="50" t="str">
        <f aca="false">IF(COUNT(AN333:AV333)&lt;9,"",(AN333*'Standards &amp; Scoring'!$D$5+AO333*'Standards &amp; Scoring'!$D$6+AP333*'Standards &amp; Scoring'!$D$7+AQ333*'Standards &amp; Scoring'!$D$8+AR333*'Standards &amp; Scoring'!$D$9+AS333*'Standards &amp; Scoring'!$D$10+AT333*'Standards &amp; Scoring'!$D$11+AU333*'Standards &amp; Scoring'!$D$12+AV333*'Standards &amp; Scoring'!$D$13)/10000)</f>
        <v/>
      </c>
      <c r="AX333" s="47" t="str">
        <f aca="false">IF(AW333="","",IF(AW333&gt;=1.05,"A+",IF(AW333&gt;=1,"A",IF(AW333&gt;=0.95,"B+",IF(AW333&gt;=0.9,"B","C")))))</f>
        <v/>
      </c>
      <c r="AY333" s="47" t="str">
        <f aca="false">IF(AX333="","",IF(AX333="A+",1800,IF(AX333="A",1600,IF(AX333="B+",1400,IF(AX333="B",1200,0)))))</f>
        <v/>
      </c>
      <c r="AZ333" s="49" t="str">
        <f aca="false">IF(OR(L333="",M333="",S333="",M333=0),"",IFERROR(L333*60*S333/(M333*36),0))</f>
        <v/>
      </c>
    </row>
    <row r="334" customFormat="false" ht="15" hidden="false" customHeight="true" outlineLevel="0" collapsed="false">
      <c r="A334" s="47" t="n">
        <f aca="false">'Daily KPI Entry'!A335</f>
        <v>0</v>
      </c>
      <c r="B334" s="48" t="n">
        <f aca="false">'Daily KPI Entry'!B335</f>
        <v>0</v>
      </c>
      <c r="C334" s="47" t="n">
        <f aca="false">'Daily KPI Entry'!C335</f>
        <v>0</v>
      </c>
      <c r="D334" s="47" t="n">
        <f aca="false">'Daily KPI Entry'!D335</f>
        <v>0</v>
      </c>
      <c r="E334" s="47" t="n">
        <f aca="false">'Daily KPI Entry'!E335</f>
        <v>0</v>
      </c>
      <c r="F334" s="47" t="n">
        <f aca="false">'Daily KPI Entry'!F335</f>
        <v>0</v>
      </c>
      <c r="G334" s="47" t="n">
        <f aca="false">'Daily KPI Entry'!G335</f>
        <v>0</v>
      </c>
      <c r="H334" s="47" t="str">
        <f aca="false">'Daily KPI Entry'!H335</f>
        <v/>
      </c>
      <c r="I334" s="47" t="n">
        <f aca="false">'Daily KPI Entry'!I335</f>
        <v>0</v>
      </c>
      <c r="J334" s="47" t="n">
        <f aca="false">'Daily KPI Entry'!J335</f>
        <v>0</v>
      </c>
      <c r="K334" s="47" t="n">
        <f aca="false">'Daily KPI Entry'!K335</f>
        <v>0</v>
      </c>
      <c r="L334" s="47" t="n">
        <f aca="false">'Daily KPI Entry'!L335</f>
        <v>0</v>
      </c>
      <c r="M334" s="47" t="n">
        <f aca="false">'Daily KPI Entry'!M335</f>
        <v>0</v>
      </c>
      <c r="N334" s="49" t="n">
        <f aca="false">'Daily KPI Entry'!N335</f>
        <v>0</v>
      </c>
      <c r="O334" s="49" t="n">
        <f aca="false">'Daily KPI Entry'!O335</f>
        <v>0</v>
      </c>
      <c r="P334" s="49" t="str">
        <f aca="false">IF(OR(N334="",O334=""),"",IFERROR(O334/N334*100,0))</f>
        <v/>
      </c>
      <c r="Q334" s="47" t="n">
        <f aca="false">'Daily KPI Entry'!Q335</f>
        <v>8</v>
      </c>
      <c r="R334" s="47" t="str">
        <f aca="false">IF(J334="","",Q334*J334)</f>
        <v/>
      </c>
      <c r="S334" s="49" t="n">
        <f aca="false">'Daily KPI Entry'!S335</f>
        <v>0</v>
      </c>
      <c r="T334" s="49" t="str">
        <f aca="false">IF(OR(R334="",S334=""),"",IFERROR(S334/R334*100,0))</f>
        <v/>
      </c>
      <c r="U334" s="49" t="str">
        <f aca="false">IF(OR(O334="",L334="",M334="",S334="",M334=0),"",IFERROR(O334/(L334*60*S334/(M334*36))*100,0))</f>
        <v/>
      </c>
      <c r="V334" s="49" t="n">
        <f aca="false">'Daily KPI Entry'!V335</f>
        <v>0</v>
      </c>
      <c r="W334" s="49" t="str">
        <f aca="false">IF(O334="","",IFERROR(V334/O334*100,0))</f>
        <v/>
      </c>
      <c r="X334" s="49" t="n">
        <f aca="false">'Daily KPI Entry'!X335</f>
        <v>0</v>
      </c>
      <c r="Y334" s="49" t="n">
        <f aca="false">'Daily KPI Entry'!Y335</f>
        <v>0</v>
      </c>
      <c r="Z334" s="49" t="n">
        <f aca="false">'Daily KPI Entry'!Z335</f>
        <v>0</v>
      </c>
      <c r="AA334" s="49" t="n">
        <f aca="false">'Daily KPI Entry'!AA335</f>
        <v>0</v>
      </c>
      <c r="AB334" s="49" t="n">
        <f aca="false">'Daily KPI Entry'!AB335</f>
        <v>0</v>
      </c>
      <c r="AC334" s="49" t="n">
        <f aca="false">'Daily KPI Entry'!AC335</f>
        <v>0</v>
      </c>
      <c r="AD334" s="49" t="n">
        <f aca="false">'Daily KPI Entry'!AD335</f>
        <v>0</v>
      </c>
      <c r="AE334" s="49" t="n">
        <f aca="false">'Daily KPI Entry'!AE335</f>
        <v>0</v>
      </c>
      <c r="AF334" s="47" t="str">
        <f aca="false">IF(O334="","",SUM(X334:AE334))</f>
        <v/>
      </c>
      <c r="AG334" s="49" t="str">
        <f aca="false">IF(O334="","",IFERROR(AF334/O334*1000,0))</f>
        <v/>
      </c>
      <c r="AH334" s="49" t="n">
        <f aca="false">'Daily KPI Entry'!AH335</f>
        <v>0</v>
      </c>
      <c r="AI334" s="49" t="n">
        <f aca="false">'Daily KPI Entry'!AI335</f>
        <v>0</v>
      </c>
      <c r="AJ334" s="49" t="n">
        <f aca="false">'Daily KPI Entry'!AJ335</f>
        <v>0</v>
      </c>
      <c r="AK334" s="47" t="n">
        <f aca="false">'Daily KPI Entry'!AK335</f>
        <v>0</v>
      </c>
      <c r="AL334" s="47" t="n">
        <f aca="false">'Daily KPI Entry'!AL335</f>
        <v>0</v>
      </c>
      <c r="AM334" s="47" t="n">
        <f aca="false">'Daily KPI Entry'!AM335</f>
        <v>0</v>
      </c>
      <c r="AN334" s="49" t="str">
        <f aca="false">IF(P334="","",MIN(120,P334))</f>
        <v/>
      </c>
      <c r="AO334" s="49" t="str">
        <f aca="false">IF(U334="","",MIN(120,U334))</f>
        <v/>
      </c>
      <c r="AP334" s="49" t="str">
        <f aca="false">IF(R334="","",MIN(120,IFERROR(S334/R334*100,0)))</f>
        <v/>
      </c>
      <c r="AQ334" s="49" t="str">
        <f aca="false">IF(W334="","",MIN(120,IF(W334=0,120,100*(INDEX('Standards &amp; Scoring'!$E$5:$E$13,MATCH("Quality / Rejection",'Standards &amp; Scoring'!$A$5:$A$13,0))/W334))))</f>
        <v/>
      </c>
      <c r="AR334" s="49" t="str">
        <f aca="false">IF(AG334="","",MIN(120,IF(AG334=0,120,100*(INDEX('Standards &amp; Scoring'!$E$5:$E$13,MATCH("Fault Control",'Standards &amp; Scoring'!$A$5:$A$13,0))/AG334))))</f>
        <v/>
      </c>
      <c r="AS334" s="49" t="str">
        <f aca="false">IF(O334="","",MIN(120,IF(SUMIFS('Fault &amp; Downtime Entry'!$L$6:$L$1005,'Fault &amp; Downtime Entry'!$E$6:$E$1005,G334,'Fault &amp; Downtime Entry'!$B$6:$B$1005,B334)=0,120,100*(INDEX('Standards &amp; Scoring'!$E$5:$E$13,MATCH("Downtime Control",'Standards &amp; Scoring'!$A$5:$A$13,0))/IFERROR(SUMIFS('Fault &amp; Downtime Entry'!$L$6:$L$1005,'Fault &amp; Downtime Entry'!$E$6:$E$1005,G334,'Fault &amp; Downtime Entry'!$B$6:$B$1005,B334)/O334*1000,999999)))))</f>
        <v/>
      </c>
      <c r="AT334" s="49" t="n">
        <f aca="false">IF(COUNTA(AH334,AJ334)=0,"",MIN(120,IF(AND(AH334&lt;&gt;"",AJ334&lt;&gt;""),AVERAGE(AH334,AJ334),IF(AH334&lt;&gt;"",AH334,AJ334))))</f>
        <v>0</v>
      </c>
      <c r="AU334" s="49" t="str">
        <f aca="false">IF(AI334="","",MIN(120,AI334))</f>
        <v/>
      </c>
      <c r="AV334" s="49" t="str">
        <f aca="false">IF(AJ334="","",MIN(120,AJ334))</f>
        <v/>
      </c>
      <c r="AW334" s="50" t="str">
        <f aca="false">IF(COUNT(AN334:AV334)&lt;9,"",(AN334*'Standards &amp; Scoring'!$D$5+AO334*'Standards &amp; Scoring'!$D$6+AP334*'Standards &amp; Scoring'!$D$7+AQ334*'Standards &amp; Scoring'!$D$8+AR334*'Standards &amp; Scoring'!$D$9+AS334*'Standards &amp; Scoring'!$D$10+AT334*'Standards &amp; Scoring'!$D$11+AU334*'Standards &amp; Scoring'!$D$12+AV334*'Standards &amp; Scoring'!$D$13)/10000)</f>
        <v/>
      </c>
      <c r="AX334" s="47" t="str">
        <f aca="false">IF(AW334="","",IF(AW334&gt;=1.05,"A+",IF(AW334&gt;=1,"A",IF(AW334&gt;=0.95,"B+",IF(AW334&gt;=0.9,"B","C")))))</f>
        <v/>
      </c>
      <c r="AY334" s="47" t="str">
        <f aca="false">IF(AX334="","",IF(AX334="A+",1800,IF(AX334="A",1600,IF(AX334="B+",1400,IF(AX334="B",1200,0)))))</f>
        <v/>
      </c>
      <c r="AZ334" s="49" t="str">
        <f aca="false">IF(OR(L334="",M334="",S334="",M334=0),"",IFERROR(L334*60*S334/(M334*36),0))</f>
        <v/>
      </c>
    </row>
    <row r="335" customFormat="false" ht="15" hidden="false" customHeight="true" outlineLevel="0" collapsed="false">
      <c r="A335" s="47" t="n">
        <f aca="false">'Daily KPI Entry'!A336</f>
        <v>0</v>
      </c>
      <c r="B335" s="48" t="n">
        <f aca="false">'Daily KPI Entry'!B336</f>
        <v>0</v>
      </c>
      <c r="C335" s="47" t="n">
        <f aca="false">'Daily KPI Entry'!C336</f>
        <v>0</v>
      </c>
      <c r="D335" s="47" t="n">
        <f aca="false">'Daily KPI Entry'!D336</f>
        <v>0</v>
      </c>
      <c r="E335" s="47" t="n">
        <f aca="false">'Daily KPI Entry'!E336</f>
        <v>0</v>
      </c>
      <c r="F335" s="47" t="n">
        <f aca="false">'Daily KPI Entry'!F336</f>
        <v>0</v>
      </c>
      <c r="G335" s="47" t="n">
        <f aca="false">'Daily KPI Entry'!G336</f>
        <v>0</v>
      </c>
      <c r="H335" s="47" t="str">
        <f aca="false">'Daily KPI Entry'!H336</f>
        <v/>
      </c>
      <c r="I335" s="47" t="n">
        <f aca="false">'Daily KPI Entry'!I336</f>
        <v>0</v>
      </c>
      <c r="J335" s="47" t="n">
        <f aca="false">'Daily KPI Entry'!J336</f>
        <v>0</v>
      </c>
      <c r="K335" s="47" t="n">
        <f aca="false">'Daily KPI Entry'!K336</f>
        <v>0</v>
      </c>
      <c r="L335" s="47" t="n">
        <f aca="false">'Daily KPI Entry'!L336</f>
        <v>0</v>
      </c>
      <c r="M335" s="47" t="n">
        <f aca="false">'Daily KPI Entry'!M336</f>
        <v>0</v>
      </c>
      <c r="N335" s="49" t="n">
        <f aca="false">'Daily KPI Entry'!N336</f>
        <v>0</v>
      </c>
      <c r="O335" s="49" t="n">
        <f aca="false">'Daily KPI Entry'!O336</f>
        <v>0</v>
      </c>
      <c r="P335" s="49" t="str">
        <f aca="false">IF(OR(N335="",O335=""),"",IFERROR(O335/N335*100,0))</f>
        <v/>
      </c>
      <c r="Q335" s="47" t="n">
        <f aca="false">'Daily KPI Entry'!Q336</f>
        <v>8</v>
      </c>
      <c r="R335" s="47" t="str">
        <f aca="false">IF(J335="","",Q335*J335)</f>
        <v/>
      </c>
      <c r="S335" s="49" t="n">
        <f aca="false">'Daily KPI Entry'!S336</f>
        <v>0</v>
      </c>
      <c r="T335" s="49" t="str">
        <f aca="false">IF(OR(R335="",S335=""),"",IFERROR(S335/R335*100,0))</f>
        <v/>
      </c>
      <c r="U335" s="49" t="str">
        <f aca="false">IF(OR(O335="",L335="",M335="",S335="",M335=0),"",IFERROR(O335/(L335*60*S335/(M335*36))*100,0))</f>
        <v/>
      </c>
      <c r="V335" s="49" t="n">
        <f aca="false">'Daily KPI Entry'!V336</f>
        <v>0</v>
      </c>
      <c r="W335" s="49" t="str">
        <f aca="false">IF(O335="","",IFERROR(V335/O335*100,0))</f>
        <v/>
      </c>
      <c r="X335" s="49" t="n">
        <f aca="false">'Daily KPI Entry'!X336</f>
        <v>0</v>
      </c>
      <c r="Y335" s="49" t="n">
        <f aca="false">'Daily KPI Entry'!Y336</f>
        <v>0</v>
      </c>
      <c r="Z335" s="49" t="n">
        <f aca="false">'Daily KPI Entry'!Z336</f>
        <v>0</v>
      </c>
      <c r="AA335" s="49" t="n">
        <f aca="false">'Daily KPI Entry'!AA336</f>
        <v>0</v>
      </c>
      <c r="AB335" s="49" t="n">
        <f aca="false">'Daily KPI Entry'!AB336</f>
        <v>0</v>
      </c>
      <c r="AC335" s="49" t="n">
        <f aca="false">'Daily KPI Entry'!AC336</f>
        <v>0</v>
      </c>
      <c r="AD335" s="49" t="n">
        <f aca="false">'Daily KPI Entry'!AD336</f>
        <v>0</v>
      </c>
      <c r="AE335" s="49" t="n">
        <f aca="false">'Daily KPI Entry'!AE336</f>
        <v>0</v>
      </c>
      <c r="AF335" s="47" t="str">
        <f aca="false">IF(O335="","",SUM(X335:AE335))</f>
        <v/>
      </c>
      <c r="AG335" s="49" t="str">
        <f aca="false">IF(O335="","",IFERROR(AF335/O335*1000,0))</f>
        <v/>
      </c>
      <c r="AH335" s="49" t="n">
        <f aca="false">'Daily KPI Entry'!AH336</f>
        <v>0</v>
      </c>
      <c r="AI335" s="49" t="n">
        <f aca="false">'Daily KPI Entry'!AI336</f>
        <v>0</v>
      </c>
      <c r="AJ335" s="49" t="n">
        <f aca="false">'Daily KPI Entry'!AJ336</f>
        <v>0</v>
      </c>
      <c r="AK335" s="47" t="n">
        <f aca="false">'Daily KPI Entry'!AK336</f>
        <v>0</v>
      </c>
      <c r="AL335" s="47" t="n">
        <f aca="false">'Daily KPI Entry'!AL336</f>
        <v>0</v>
      </c>
      <c r="AM335" s="47" t="n">
        <f aca="false">'Daily KPI Entry'!AM336</f>
        <v>0</v>
      </c>
      <c r="AN335" s="49" t="str">
        <f aca="false">IF(P335="","",MIN(120,P335))</f>
        <v/>
      </c>
      <c r="AO335" s="49" t="str">
        <f aca="false">IF(U335="","",MIN(120,U335))</f>
        <v/>
      </c>
      <c r="AP335" s="49" t="str">
        <f aca="false">IF(R335="","",MIN(120,IFERROR(S335/R335*100,0)))</f>
        <v/>
      </c>
      <c r="AQ335" s="49" t="str">
        <f aca="false">IF(W335="","",MIN(120,IF(W335=0,120,100*(INDEX('Standards &amp; Scoring'!$E$5:$E$13,MATCH("Quality / Rejection",'Standards &amp; Scoring'!$A$5:$A$13,0))/W335))))</f>
        <v/>
      </c>
      <c r="AR335" s="49" t="str">
        <f aca="false">IF(AG335="","",MIN(120,IF(AG335=0,120,100*(INDEX('Standards &amp; Scoring'!$E$5:$E$13,MATCH("Fault Control",'Standards &amp; Scoring'!$A$5:$A$13,0))/AG335))))</f>
        <v/>
      </c>
      <c r="AS335" s="49" t="str">
        <f aca="false">IF(O335="","",MIN(120,IF(SUMIFS('Fault &amp; Downtime Entry'!$L$6:$L$1005,'Fault &amp; Downtime Entry'!$E$6:$E$1005,G335,'Fault &amp; Downtime Entry'!$B$6:$B$1005,B335)=0,120,100*(INDEX('Standards &amp; Scoring'!$E$5:$E$13,MATCH("Downtime Control",'Standards &amp; Scoring'!$A$5:$A$13,0))/IFERROR(SUMIFS('Fault &amp; Downtime Entry'!$L$6:$L$1005,'Fault &amp; Downtime Entry'!$E$6:$E$1005,G335,'Fault &amp; Downtime Entry'!$B$6:$B$1005,B335)/O335*1000,999999)))))</f>
        <v/>
      </c>
      <c r="AT335" s="49" t="n">
        <f aca="false">IF(COUNTA(AH335,AJ335)=0,"",MIN(120,IF(AND(AH335&lt;&gt;"",AJ335&lt;&gt;""),AVERAGE(AH335,AJ335),IF(AH335&lt;&gt;"",AH335,AJ335))))</f>
        <v>0</v>
      </c>
      <c r="AU335" s="49" t="str">
        <f aca="false">IF(AI335="","",MIN(120,AI335))</f>
        <v/>
      </c>
      <c r="AV335" s="49" t="str">
        <f aca="false">IF(AJ335="","",MIN(120,AJ335))</f>
        <v/>
      </c>
      <c r="AW335" s="50" t="str">
        <f aca="false">IF(COUNT(AN335:AV335)&lt;9,"",(AN335*'Standards &amp; Scoring'!$D$5+AO335*'Standards &amp; Scoring'!$D$6+AP335*'Standards &amp; Scoring'!$D$7+AQ335*'Standards &amp; Scoring'!$D$8+AR335*'Standards &amp; Scoring'!$D$9+AS335*'Standards &amp; Scoring'!$D$10+AT335*'Standards &amp; Scoring'!$D$11+AU335*'Standards &amp; Scoring'!$D$12+AV335*'Standards &amp; Scoring'!$D$13)/10000)</f>
        <v/>
      </c>
      <c r="AX335" s="47" t="str">
        <f aca="false">IF(AW335="","",IF(AW335&gt;=1.05,"A+",IF(AW335&gt;=1,"A",IF(AW335&gt;=0.95,"B+",IF(AW335&gt;=0.9,"B","C")))))</f>
        <v/>
      </c>
      <c r="AY335" s="47" t="str">
        <f aca="false">IF(AX335="","",IF(AX335="A+",1800,IF(AX335="A",1600,IF(AX335="B+",1400,IF(AX335="B",1200,0)))))</f>
        <v/>
      </c>
      <c r="AZ335" s="49" t="str">
        <f aca="false">IF(OR(L335="",M335="",S335="",M335=0),"",IFERROR(L335*60*S335/(M335*36),0))</f>
        <v/>
      </c>
    </row>
    <row r="336" customFormat="false" ht="15" hidden="false" customHeight="true" outlineLevel="0" collapsed="false">
      <c r="A336" s="47" t="n">
        <f aca="false">'Daily KPI Entry'!A337</f>
        <v>0</v>
      </c>
      <c r="B336" s="48" t="n">
        <f aca="false">'Daily KPI Entry'!B337</f>
        <v>0</v>
      </c>
      <c r="C336" s="47" t="n">
        <f aca="false">'Daily KPI Entry'!C337</f>
        <v>0</v>
      </c>
      <c r="D336" s="47" t="n">
        <f aca="false">'Daily KPI Entry'!D337</f>
        <v>0</v>
      </c>
      <c r="E336" s="47" t="n">
        <f aca="false">'Daily KPI Entry'!E337</f>
        <v>0</v>
      </c>
      <c r="F336" s="47" t="n">
        <f aca="false">'Daily KPI Entry'!F337</f>
        <v>0</v>
      </c>
      <c r="G336" s="47" t="n">
        <f aca="false">'Daily KPI Entry'!G337</f>
        <v>0</v>
      </c>
      <c r="H336" s="47" t="str">
        <f aca="false">'Daily KPI Entry'!H337</f>
        <v/>
      </c>
      <c r="I336" s="47" t="n">
        <f aca="false">'Daily KPI Entry'!I337</f>
        <v>0</v>
      </c>
      <c r="J336" s="47" t="n">
        <f aca="false">'Daily KPI Entry'!J337</f>
        <v>0</v>
      </c>
      <c r="K336" s="47" t="n">
        <f aca="false">'Daily KPI Entry'!K337</f>
        <v>0</v>
      </c>
      <c r="L336" s="47" t="n">
        <f aca="false">'Daily KPI Entry'!L337</f>
        <v>0</v>
      </c>
      <c r="M336" s="47" t="n">
        <f aca="false">'Daily KPI Entry'!M337</f>
        <v>0</v>
      </c>
      <c r="N336" s="49" t="n">
        <f aca="false">'Daily KPI Entry'!N337</f>
        <v>0</v>
      </c>
      <c r="O336" s="49" t="n">
        <f aca="false">'Daily KPI Entry'!O337</f>
        <v>0</v>
      </c>
      <c r="P336" s="49" t="str">
        <f aca="false">IF(OR(N336="",O336=""),"",IFERROR(O336/N336*100,0))</f>
        <v/>
      </c>
      <c r="Q336" s="47" t="n">
        <f aca="false">'Daily KPI Entry'!Q337</f>
        <v>8</v>
      </c>
      <c r="R336" s="47" t="str">
        <f aca="false">IF(J336="","",Q336*J336)</f>
        <v/>
      </c>
      <c r="S336" s="49" t="n">
        <f aca="false">'Daily KPI Entry'!S337</f>
        <v>0</v>
      </c>
      <c r="T336" s="49" t="str">
        <f aca="false">IF(OR(R336="",S336=""),"",IFERROR(S336/R336*100,0))</f>
        <v/>
      </c>
      <c r="U336" s="49" t="str">
        <f aca="false">IF(OR(O336="",L336="",M336="",S336="",M336=0),"",IFERROR(O336/(L336*60*S336/(M336*36))*100,0))</f>
        <v/>
      </c>
      <c r="V336" s="49" t="n">
        <f aca="false">'Daily KPI Entry'!V337</f>
        <v>0</v>
      </c>
      <c r="W336" s="49" t="str">
        <f aca="false">IF(O336="","",IFERROR(V336/O336*100,0))</f>
        <v/>
      </c>
      <c r="X336" s="49" t="n">
        <f aca="false">'Daily KPI Entry'!X337</f>
        <v>0</v>
      </c>
      <c r="Y336" s="49" t="n">
        <f aca="false">'Daily KPI Entry'!Y337</f>
        <v>0</v>
      </c>
      <c r="Z336" s="49" t="n">
        <f aca="false">'Daily KPI Entry'!Z337</f>
        <v>0</v>
      </c>
      <c r="AA336" s="49" t="n">
        <f aca="false">'Daily KPI Entry'!AA337</f>
        <v>0</v>
      </c>
      <c r="AB336" s="49" t="n">
        <f aca="false">'Daily KPI Entry'!AB337</f>
        <v>0</v>
      </c>
      <c r="AC336" s="49" t="n">
        <f aca="false">'Daily KPI Entry'!AC337</f>
        <v>0</v>
      </c>
      <c r="AD336" s="49" t="n">
        <f aca="false">'Daily KPI Entry'!AD337</f>
        <v>0</v>
      </c>
      <c r="AE336" s="49" t="n">
        <f aca="false">'Daily KPI Entry'!AE337</f>
        <v>0</v>
      </c>
      <c r="AF336" s="47" t="str">
        <f aca="false">IF(O336="","",SUM(X336:AE336))</f>
        <v/>
      </c>
      <c r="AG336" s="49" t="str">
        <f aca="false">IF(O336="","",IFERROR(AF336/O336*1000,0))</f>
        <v/>
      </c>
      <c r="AH336" s="49" t="n">
        <f aca="false">'Daily KPI Entry'!AH337</f>
        <v>0</v>
      </c>
      <c r="AI336" s="49" t="n">
        <f aca="false">'Daily KPI Entry'!AI337</f>
        <v>0</v>
      </c>
      <c r="AJ336" s="49" t="n">
        <f aca="false">'Daily KPI Entry'!AJ337</f>
        <v>0</v>
      </c>
      <c r="AK336" s="47" t="n">
        <f aca="false">'Daily KPI Entry'!AK337</f>
        <v>0</v>
      </c>
      <c r="AL336" s="47" t="n">
        <f aca="false">'Daily KPI Entry'!AL337</f>
        <v>0</v>
      </c>
      <c r="AM336" s="47" t="n">
        <f aca="false">'Daily KPI Entry'!AM337</f>
        <v>0</v>
      </c>
      <c r="AN336" s="49" t="str">
        <f aca="false">IF(P336="","",MIN(120,P336))</f>
        <v/>
      </c>
      <c r="AO336" s="49" t="str">
        <f aca="false">IF(U336="","",MIN(120,U336))</f>
        <v/>
      </c>
      <c r="AP336" s="49" t="str">
        <f aca="false">IF(R336="","",MIN(120,IFERROR(S336/R336*100,0)))</f>
        <v/>
      </c>
      <c r="AQ336" s="49" t="str">
        <f aca="false">IF(W336="","",MIN(120,IF(W336=0,120,100*(INDEX('Standards &amp; Scoring'!$E$5:$E$13,MATCH("Quality / Rejection",'Standards &amp; Scoring'!$A$5:$A$13,0))/W336))))</f>
        <v/>
      </c>
      <c r="AR336" s="49" t="str">
        <f aca="false">IF(AG336="","",MIN(120,IF(AG336=0,120,100*(INDEX('Standards &amp; Scoring'!$E$5:$E$13,MATCH("Fault Control",'Standards &amp; Scoring'!$A$5:$A$13,0))/AG336))))</f>
        <v/>
      </c>
      <c r="AS336" s="49" t="str">
        <f aca="false">IF(O336="","",MIN(120,IF(SUMIFS('Fault &amp; Downtime Entry'!$L$6:$L$1005,'Fault &amp; Downtime Entry'!$E$6:$E$1005,G336,'Fault &amp; Downtime Entry'!$B$6:$B$1005,B336)=0,120,100*(INDEX('Standards &amp; Scoring'!$E$5:$E$13,MATCH("Downtime Control",'Standards &amp; Scoring'!$A$5:$A$13,0))/IFERROR(SUMIFS('Fault &amp; Downtime Entry'!$L$6:$L$1005,'Fault &amp; Downtime Entry'!$E$6:$E$1005,G336,'Fault &amp; Downtime Entry'!$B$6:$B$1005,B336)/O336*1000,999999)))))</f>
        <v/>
      </c>
      <c r="AT336" s="49" t="n">
        <f aca="false">IF(COUNTA(AH336,AJ336)=0,"",MIN(120,IF(AND(AH336&lt;&gt;"",AJ336&lt;&gt;""),AVERAGE(AH336,AJ336),IF(AH336&lt;&gt;"",AH336,AJ336))))</f>
        <v>0</v>
      </c>
      <c r="AU336" s="49" t="str">
        <f aca="false">IF(AI336="","",MIN(120,AI336))</f>
        <v/>
      </c>
      <c r="AV336" s="49" t="str">
        <f aca="false">IF(AJ336="","",MIN(120,AJ336))</f>
        <v/>
      </c>
      <c r="AW336" s="50" t="str">
        <f aca="false">IF(COUNT(AN336:AV336)&lt;9,"",(AN336*'Standards &amp; Scoring'!$D$5+AO336*'Standards &amp; Scoring'!$D$6+AP336*'Standards &amp; Scoring'!$D$7+AQ336*'Standards &amp; Scoring'!$D$8+AR336*'Standards &amp; Scoring'!$D$9+AS336*'Standards &amp; Scoring'!$D$10+AT336*'Standards &amp; Scoring'!$D$11+AU336*'Standards &amp; Scoring'!$D$12+AV336*'Standards &amp; Scoring'!$D$13)/10000)</f>
        <v/>
      </c>
      <c r="AX336" s="47" t="str">
        <f aca="false">IF(AW336="","",IF(AW336&gt;=1.05,"A+",IF(AW336&gt;=1,"A",IF(AW336&gt;=0.95,"B+",IF(AW336&gt;=0.9,"B","C")))))</f>
        <v/>
      </c>
      <c r="AY336" s="47" t="str">
        <f aca="false">IF(AX336="","",IF(AX336="A+",1800,IF(AX336="A",1600,IF(AX336="B+",1400,IF(AX336="B",1200,0)))))</f>
        <v/>
      </c>
      <c r="AZ336" s="49" t="str">
        <f aca="false">IF(OR(L336="",M336="",S336="",M336=0),"",IFERROR(L336*60*S336/(M336*36),0))</f>
        <v/>
      </c>
    </row>
    <row r="337" customFormat="false" ht="15" hidden="false" customHeight="true" outlineLevel="0" collapsed="false">
      <c r="A337" s="47" t="n">
        <f aca="false">'Daily KPI Entry'!A338</f>
        <v>0</v>
      </c>
      <c r="B337" s="48" t="n">
        <f aca="false">'Daily KPI Entry'!B338</f>
        <v>0</v>
      </c>
      <c r="C337" s="47" t="n">
        <f aca="false">'Daily KPI Entry'!C338</f>
        <v>0</v>
      </c>
      <c r="D337" s="47" t="n">
        <f aca="false">'Daily KPI Entry'!D338</f>
        <v>0</v>
      </c>
      <c r="E337" s="47" t="n">
        <f aca="false">'Daily KPI Entry'!E338</f>
        <v>0</v>
      </c>
      <c r="F337" s="47" t="n">
        <f aca="false">'Daily KPI Entry'!F338</f>
        <v>0</v>
      </c>
      <c r="G337" s="47" t="n">
        <f aca="false">'Daily KPI Entry'!G338</f>
        <v>0</v>
      </c>
      <c r="H337" s="47" t="str">
        <f aca="false">'Daily KPI Entry'!H338</f>
        <v/>
      </c>
      <c r="I337" s="47" t="n">
        <f aca="false">'Daily KPI Entry'!I338</f>
        <v>0</v>
      </c>
      <c r="J337" s="47" t="n">
        <f aca="false">'Daily KPI Entry'!J338</f>
        <v>0</v>
      </c>
      <c r="K337" s="47" t="n">
        <f aca="false">'Daily KPI Entry'!K338</f>
        <v>0</v>
      </c>
      <c r="L337" s="47" t="n">
        <f aca="false">'Daily KPI Entry'!L338</f>
        <v>0</v>
      </c>
      <c r="M337" s="47" t="n">
        <f aca="false">'Daily KPI Entry'!M338</f>
        <v>0</v>
      </c>
      <c r="N337" s="49" t="n">
        <f aca="false">'Daily KPI Entry'!N338</f>
        <v>0</v>
      </c>
      <c r="O337" s="49" t="n">
        <f aca="false">'Daily KPI Entry'!O338</f>
        <v>0</v>
      </c>
      <c r="P337" s="49" t="str">
        <f aca="false">IF(OR(N337="",O337=""),"",IFERROR(O337/N337*100,0))</f>
        <v/>
      </c>
      <c r="Q337" s="47" t="n">
        <f aca="false">'Daily KPI Entry'!Q338</f>
        <v>8</v>
      </c>
      <c r="R337" s="47" t="str">
        <f aca="false">IF(J337="","",Q337*J337)</f>
        <v/>
      </c>
      <c r="S337" s="49" t="n">
        <f aca="false">'Daily KPI Entry'!S338</f>
        <v>0</v>
      </c>
      <c r="T337" s="49" t="str">
        <f aca="false">IF(OR(R337="",S337=""),"",IFERROR(S337/R337*100,0))</f>
        <v/>
      </c>
      <c r="U337" s="49" t="str">
        <f aca="false">IF(OR(O337="",L337="",M337="",S337="",M337=0),"",IFERROR(O337/(L337*60*S337/(M337*36))*100,0))</f>
        <v/>
      </c>
      <c r="V337" s="49" t="n">
        <f aca="false">'Daily KPI Entry'!V338</f>
        <v>0</v>
      </c>
      <c r="W337" s="49" t="str">
        <f aca="false">IF(O337="","",IFERROR(V337/O337*100,0))</f>
        <v/>
      </c>
      <c r="X337" s="49" t="n">
        <f aca="false">'Daily KPI Entry'!X338</f>
        <v>0</v>
      </c>
      <c r="Y337" s="49" t="n">
        <f aca="false">'Daily KPI Entry'!Y338</f>
        <v>0</v>
      </c>
      <c r="Z337" s="49" t="n">
        <f aca="false">'Daily KPI Entry'!Z338</f>
        <v>0</v>
      </c>
      <c r="AA337" s="49" t="n">
        <f aca="false">'Daily KPI Entry'!AA338</f>
        <v>0</v>
      </c>
      <c r="AB337" s="49" t="n">
        <f aca="false">'Daily KPI Entry'!AB338</f>
        <v>0</v>
      </c>
      <c r="AC337" s="49" t="n">
        <f aca="false">'Daily KPI Entry'!AC338</f>
        <v>0</v>
      </c>
      <c r="AD337" s="49" t="n">
        <f aca="false">'Daily KPI Entry'!AD338</f>
        <v>0</v>
      </c>
      <c r="AE337" s="49" t="n">
        <f aca="false">'Daily KPI Entry'!AE338</f>
        <v>0</v>
      </c>
      <c r="AF337" s="47" t="str">
        <f aca="false">IF(O337="","",SUM(X337:AE337))</f>
        <v/>
      </c>
      <c r="AG337" s="49" t="str">
        <f aca="false">IF(O337="","",IFERROR(AF337/O337*1000,0))</f>
        <v/>
      </c>
      <c r="AH337" s="49" t="n">
        <f aca="false">'Daily KPI Entry'!AH338</f>
        <v>0</v>
      </c>
      <c r="AI337" s="49" t="n">
        <f aca="false">'Daily KPI Entry'!AI338</f>
        <v>0</v>
      </c>
      <c r="AJ337" s="49" t="n">
        <f aca="false">'Daily KPI Entry'!AJ338</f>
        <v>0</v>
      </c>
      <c r="AK337" s="47" t="n">
        <f aca="false">'Daily KPI Entry'!AK338</f>
        <v>0</v>
      </c>
      <c r="AL337" s="47" t="n">
        <f aca="false">'Daily KPI Entry'!AL338</f>
        <v>0</v>
      </c>
      <c r="AM337" s="47" t="n">
        <f aca="false">'Daily KPI Entry'!AM338</f>
        <v>0</v>
      </c>
      <c r="AN337" s="49" t="str">
        <f aca="false">IF(P337="","",MIN(120,P337))</f>
        <v/>
      </c>
      <c r="AO337" s="49" t="str">
        <f aca="false">IF(U337="","",MIN(120,U337))</f>
        <v/>
      </c>
      <c r="AP337" s="49" t="str">
        <f aca="false">IF(R337="","",MIN(120,IFERROR(S337/R337*100,0)))</f>
        <v/>
      </c>
      <c r="AQ337" s="49" t="str">
        <f aca="false">IF(W337="","",MIN(120,IF(W337=0,120,100*(INDEX('Standards &amp; Scoring'!$E$5:$E$13,MATCH("Quality / Rejection",'Standards &amp; Scoring'!$A$5:$A$13,0))/W337))))</f>
        <v/>
      </c>
      <c r="AR337" s="49" t="str">
        <f aca="false">IF(AG337="","",MIN(120,IF(AG337=0,120,100*(INDEX('Standards &amp; Scoring'!$E$5:$E$13,MATCH("Fault Control",'Standards &amp; Scoring'!$A$5:$A$13,0))/AG337))))</f>
        <v/>
      </c>
      <c r="AS337" s="49" t="str">
        <f aca="false">IF(O337="","",MIN(120,IF(SUMIFS('Fault &amp; Downtime Entry'!$L$6:$L$1005,'Fault &amp; Downtime Entry'!$E$6:$E$1005,G337,'Fault &amp; Downtime Entry'!$B$6:$B$1005,B337)=0,120,100*(INDEX('Standards &amp; Scoring'!$E$5:$E$13,MATCH("Downtime Control",'Standards &amp; Scoring'!$A$5:$A$13,0))/IFERROR(SUMIFS('Fault &amp; Downtime Entry'!$L$6:$L$1005,'Fault &amp; Downtime Entry'!$E$6:$E$1005,G337,'Fault &amp; Downtime Entry'!$B$6:$B$1005,B337)/O337*1000,999999)))))</f>
        <v/>
      </c>
      <c r="AT337" s="49" t="n">
        <f aca="false">IF(COUNTA(AH337,AJ337)=0,"",MIN(120,IF(AND(AH337&lt;&gt;"",AJ337&lt;&gt;""),AVERAGE(AH337,AJ337),IF(AH337&lt;&gt;"",AH337,AJ337))))</f>
        <v>0</v>
      </c>
      <c r="AU337" s="49" t="str">
        <f aca="false">IF(AI337="","",MIN(120,AI337))</f>
        <v/>
      </c>
      <c r="AV337" s="49" t="str">
        <f aca="false">IF(AJ337="","",MIN(120,AJ337))</f>
        <v/>
      </c>
      <c r="AW337" s="50" t="str">
        <f aca="false">IF(COUNT(AN337:AV337)&lt;9,"",(AN337*'Standards &amp; Scoring'!$D$5+AO337*'Standards &amp; Scoring'!$D$6+AP337*'Standards &amp; Scoring'!$D$7+AQ337*'Standards &amp; Scoring'!$D$8+AR337*'Standards &amp; Scoring'!$D$9+AS337*'Standards &amp; Scoring'!$D$10+AT337*'Standards &amp; Scoring'!$D$11+AU337*'Standards &amp; Scoring'!$D$12+AV337*'Standards &amp; Scoring'!$D$13)/10000)</f>
        <v/>
      </c>
      <c r="AX337" s="47" t="str">
        <f aca="false">IF(AW337="","",IF(AW337&gt;=1.05,"A+",IF(AW337&gt;=1,"A",IF(AW337&gt;=0.95,"B+",IF(AW337&gt;=0.9,"B","C")))))</f>
        <v/>
      </c>
      <c r="AY337" s="47" t="str">
        <f aca="false">IF(AX337="","",IF(AX337="A+",1800,IF(AX337="A",1600,IF(AX337="B+",1400,IF(AX337="B",1200,0)))))</f>
        <v/>
      </c>
      <c r="AZ337" s="49" t="str">
        <f aca="false">IF(OR(L337="",M337="",S337="",M337=0),"",IFERROR(L337*60*S337/(M337*36),0))</f>
        <v/>
      </c>
    </row>
    <row r="338" customFormat="false" ht="15" hidden="false" customHeight="true" outlineLevel="0" collapsed="false">
      <c r="A338" s="47" t="n">
        <f aca="false">'Daily KPI Entry'!A339</f>
        <v>0</v>
      </c>
      <c r="B338" s="48" t="n">
        <f aca="false">'Daily KPI Entry'!B339</f>
        <v>0</v>
      </c>
      <c r="C338" s="47" t="n">
        <f aca="false">'Daily KPI Entry'!C339</f>
        <v>0</v>
      </c>
      <c r="D338" s="47" t="n">
        <f aca="false">'Daily KPI Entry'!D339</f>
        <v>0</v>
      </c>
      <c r="E338" s="47" t="n">
        <f aca="false">'Daily KPI Entry'!E339</f>
        <v>0</v>
      </c>
      <c r="F338" s="47" t="n">
        <f aca="false">'Daily KPI Entry'!F339</f>
        <v>0</v>
      </c>
      <c r="G338" s="47" t="n">
        <f aca="false">'Daily KPI Entry'!G339</f>
        <v>0</v>
      </c>
      <c r="H338" s="47" t="str">
        <f aca="false">'Daily KPI Entry'!H339</f>
        <v/>
      </c>
      <c r="I338" s="47" t="n">
        <f aca="false">'Daily KPI Entry'!I339</f>
        <v>0</v>
      </c>
      <c r="J338" s="47" t="n">
        <f aca="false">'Daily KPI Entry'!J339</f>
        <v>0</v>
      </c>
      <c r="K338" s="47" t="n">
        <f aca="false">'Daily KPI Entry'!K339</f>
        <v>0</v>
      </c>
      <c r="L338" s="47" t="n">
        <f aca="false">'Daily KPI Entry'!L339</f>
        <v>0</v>
      </c>
      <c r="M338" s="47" t="n">
        <f aca="false">'Daily KPI Entry'!M339</f>
        <v>0</v>
      </c>
      <c r="N338" s="49" t="n">
        <f aca="false">'Daily KPI Entry'!N339</f>
        <v>0</v>
      </c>
      <c r="O338" s="49" t="n">
        <f aca="false">'Daily KPI Entry'!O339</f>
        <v>0</v>
      </c>
      <c r="P338" s="49" t="str">
        <f aca="false">IF(OR(N338="",O338=""),"",IFERROR(O338/N338*100,0))</f>
        <v/>
      </c>
      <c r="Q338" s="47" t="n">
        <f aca="false">'Daily KPI Entry'!Q339</f>
        <v>8</v>
      </c>
      <c r="R338" s="47" t="str">
        <f aca="false">IF(J338="","",Q338*J338)</f>
        <v/>
      </c>
      <c r="S338" s="49" t="n">
        <f aca="false">'Daily KPI Entry'!S339</f>
        <v>0</v>
      </c>
      <c r="T338" s="49" t="str">
        <f aca="false">IF(OR(R338="",S338=""),"",IFERROR(S338/R338*100,0))</f>
        <v/>
      </c>
      <c r="U338" s="49" t="str">
        <f aca="false">IF(OR(O338="",L338="",M338="",S338="",M338=0),"",IFERROR(O338/(L338*60*S338/(M338*36))*100,0))</f>
        <v/>
      </c>
      <c r="V338" s="49" t="n">
        <f aca="false">'Daily KPI Entry'!V339</f>
        <v>0</v>
      </c>
      <c r="W338" s="49" t="str">
        <f aca="false">IF(O338="","",IFERROR(V338/O338*100,0))</f>
        <v/>
      </c>
      <c r="X338" s="49" t="n">
        <f aca="false">'Daily KPI Entry'!X339</f>
        <v>0</v>
      </c>
      <c r="Y338" s="49" t="n">
        <f aca="false">'Daily KPI Entry'!Y339</f>
        <v>0</v>
      </c>
      <c r="Z338" s="49" t="n">
        <f aca="false">'Daily KPI Entry'!Z339</f>
        <v>0</v>
      </c>
      <c r="AA338" s="49" t="n">
        <f aca="false">'Daily KPI Entry'!AA339</f>
        <v>0</v>
      </c>
      <c r="AB338" s="49" t="n">
        <f aca="false">'Daily KPI Entry'!AB339</f>
        <v>0</v>
      </c>
      <c r="AC338" s="49" t="n">
        <f aca="false">'Daily KPI Entry'!AC339</f>
        <v>0</v>
      </c>
      <c r="AD338" s="49" t="n">
        <f aca="false">'Daily KPI Entry'!AD339</f>
        <v>0</v>
      </c>
      <c r="AE338" s="49" t="n">
        <f aca="false">'Daily KPI Entry'!AE339</f>
        <v>0</v>
      </c>
      <c r="AF338" s="47" t="str">
        <f aca="false">IF(O338="","",SUM(X338:AE338))</f>
        <v/>
      </c>
      <c r="AG338" s="49" t="str">
        <f aca="false">IF(O338="","",IFERROR(AF338/O338*1000,0))</f>
        <v/>
      </c>
      <c r="AH338" s="49" t="n">
        <f aca="false">'Daily KPI Entry'!AH339</f>
        <v>0</v>
      </c>
      <c r="AI338" s="49" t="n">
        <f aca="false">'Daily KPI Entry'!AI339</f>
        <v>0</v>
      </c>
      <c r="AJ338" s="49" t="n">
        <f aca="false">'Daily KPI Entry'!AJ339</f>
        <v>0</v>
      </c>
      <c r="AK338" s="47" t="n">
        <f aca="false">'Daily KPI Entry'!AK339</f>
        <v>0</v>
      </c>
      <c r="AL338" s="47" t="n">
        <f aca="false">'Daily KPI Entry'!AL339</f>
        <v>0</v>
      </c>
      <c r="AM338" s="47" t="n">
        <f aca="false">'Daily KPI Entry'!AM339</f>
        <v>0</v>
      </c>
      <c r="AN338" s="49" t="str">
        <f aca="false">IF(P338="","",MIN(120,P338))</f>
        <v/>
      </c>
      <c r="AO338" s="49" t="str">
        <f aca="false">IF(U338="","",MIN(120,U338))</f>
        <v/>
      </c>
      <c r="AP338" s="49" t="str">
        <f aca="false">IF(R338="","",MIN(120,IFERROR(S338/R338*100,0)))</f>
        <v/>
      </c>
      <c r="AQ338" s="49" t="str">
        <f aca="false">IF(W338="","",MIN(120,IF(W338=0,120,100*(INDEX('Standards &amp; Scoring'!$E$5:$E$13,MATCH("Quality / Rejection",'Standards &amp; Scoring'!$A$5:$A$13,0))/W338))))</f>
        <v/>
      </c>
      <c r="AR338" s="49" t="str">
        <f aca="false">IF(AG338="","",MIN(120,IF(AG338=0,120,100*(INDEX('Standards &amp; Scoring'!$E$5:$E$13,MATCH("Fault Control",'Standards &amp; Scoring'!$A$5:$A$13,0))/AG338))))</f>
        <v/>
      </c>
      <c r="AS338" s="49" t="str">
        <f aca="false">IF(O338="","",MIN(120,IF(SUMIFS('Fault &amp; Downtime Entry'!$L$6:$L$1005,'Fault &amp; Downtime Entry'!$E$6:$E$1005,G338,'Fault &amp; Downtime Entry'!$B$6:$B$1005,B338)=0,120,100*(INDEX('Standards &amp; Scoring'!$E$5:$E$13,MATCH("Downtime Control",'Standards &amp; Scoring'!$A$5:$A$13,0))/IFERROR(SUMIFS('Fault &amp; Downtime Entry'!$L$6:$L$1005,'Fault &amp; Downtime Entry'!$E$6:$E$1005,G338,'Fault &amp; Downtime Entry'!$B$6:$B$1005,B338)/O338*1000,999999)))))</f>
        <v/>
      </c>
      <c r="AT338" s="49" t="n">
        <f aca="false">IF(COUNTA(AH338,AJ338)=0,"",MIN(120,IF(AND(AH338&lt;&gt;"",AJ338&lt;&gt;""),AVERAGE(AH338,AJ338),IF(AH338&lt;&gt;"",AH338,AJ338))))</f>
        <v>0</v>
      </c>
      <c r="AU338" s="49" t="str">
        <f aca="false">IF(AI338="","",MIN(120,AI338))</f>
        <v/>
      </c>
      <c r="AV338" s="49" t="str">
        <f aca="false">IF(AJ338="","",MIN(120,AJ338))</f>
        <v/>
      </c>
      <c r="AW338" s="50" t="str">
        <f aca="false">IF(COUNT(AN338:AV338)&lt;9,"",(AN338*'Standards &amp; Scoring'!$D$5+AO338*'Standards &amp; Scoring'!$D$6+AP338*'Standards &amp; Scoring'!$D$7+AQ338*'Standards &amp; Scoring'!$D$8+AR338*'Standards &amp; Scoring'!$D$9+AS338*'Standards &amp; Scoring'!$D$10+AT338*'Standards &amp; Scoring'!$D$11+AU338*'Standards &amp; Scoring'!$D$12+AV338*'Standards &amp; Scoring'!$D$13)/10000)</f>
        <v/>
      </c>
      <c r="AX338" s="47" t="str">
        <f aca="false">IF(AW338="","",IF(AW338&gt;=1.05,"A+",IF(AW338&gt;=1,"A",IF(AW338&gt;=0.95,"B+",IF(AW338&gt;=0.9,"B","C")))))</f>
        <v/>
      </c>
      <c r="AY338" s="47" t="str">
        <f aca="false">IF(AX338="","",IF(AX338="A+",1800,IF(AX338="A",1600,IF(AX338="B+",1400,IF(AX338="B",1200,0)))))</f>
        <v/>
      </c>
      <c r="AZ338" s="49" t="str">
        <f aca="false">IF(OR(L338="",M338="",S338="",M338=0),"",IFERROR(L338*60*S338/(M338*36),0))</f>
        <v/>
      </c>
    </row>
    <row r="339" customFormat="false" ht="15" hidden="false" customHeight="true" outlineLevel="0" collapsed="false">
      <c r="A339" s="47" t="n">
        <f aca="false">'Daily KPI Entry'!A340</f>
        <v>0</v>
      </c>
      <c r="B339" s="48" t="n">
        <f aca="false">'Daily KPI Entry'!B340</f>
        <v>0</v>
      </c>
      <c r="C339" s="47" t="n">
        <f aca="false">'Daily KPI Entry'!C340</f>
        <v>0</v>
      </c>
      <c r="D339" s="47" t="n">
        <f aca="false">'Daily KPI Entry'!D340</f>
        <v>0</v>
      </c>
      <c r="E339" s="47" t="n">
        <f aca="false">'Daily KPI Entry'!E340</f>
        <v>0</v>
      </c>
      <c r="F339" s="47" t="n">
        <f aca="false">'Daily KPI Entry'!F340</f>
        <v>0</v>
      </c>
      <c r="G339" s="47" t="n">
        <f aca="false">'Daily KPI Entry'!G340</f>
        <v>0</v>
      </c>
      <c r="H339" s="47" t="str">
        <f aca="false">'Daily KPI Entry'!H340</f>
        <v/>
      </c>
      <c r="I339" s="47" t="n">
        <f aca="false">'Daily KPI Entry'!I340</f>
        <v>0</v>
      </c>
      <c r="J339" s="47" t="n">
        <f aca="false">'Daily KPI Entry'!J340</f>
        <v>0</v>
      </c>
      <c r="K339" s="47" t="n">
        <f aca="false">'Daily KPI Entry'!K340</f>
        <v>0</v>
      </c>
      <c r="L339" s="47" t="n">
        <f aca="false">'Daily KPI Entry'!L340</f>
        <v>0</v>
      </c>
      <c r="M339" s="47" t="n">
        <f aca="false">'Daily KPI Entry'!M340</f>
        <v>0</v>
      </c>
      <c r="N339" s="49" t="n">
        <f aca="false">'Daily KPI Entry'!N340</f>
        <v>0</v>
      </c>
      <c r="O339" s="49" t="n">
        <f aca="false">'Daily KPI Entry'!O340</f>
        <v>0</v>
      </c>
      <c r="P339" s="49" t="str">
        <f aca="false">IF(OR(N339="",O339=""),"",IFERROR(O339/N339*100,0))</f>
        <v/>
      </c>
      <c r="Q339" s="47" t="n">
        <f aca="false">'Daily KPI Entry'!Q340</f>
        <v>8</v>
      </c>
      <c r="R339" s="47" t="str">
        <f aca="false">IF(J339="","",Q339*J339)</f>
        <v/>
      </c>
      <c r="S339" s="49" t="n">
        <f aca="false">'Daily KPI Entry'!S340</f>
        <v>0</v>
      </c>
      <c r="T339" s="49" t="str">
        <f aca="false">IF(OR(R339="",S339=""),"",IFERROR(S339/R339*100,0))</f>
        <v/>
      </c>
      <c r="U339" s="49" t="str">
        <f aca="false">IF(OR(O339="",L339="",M339="",S339="",M339=0),"",IFERROR(O339/(L339*60*S339/(M339*36))*100,0))</f>
        <v/>
      </c>
      <c r="V339" s="49" t="n">
        <f aca="false">'Daily KPI Entry'!V340</f>
        <v>0</v>
      </c>
      <c r="W339" s="49" t="str">
        <f aca="false">IF(O339="","",IFERROR(V339/O339*100,0))</f>
        <v/>
      </c>
      <c r="X339" s="49" t="n">
        <f aca="false">'Daily KPI Entry'!X340</f>
        <v>0</v>
      </c>
      <c r="Y339" s="49" t="n">
        <f aca="false">'Daily KPI Entry'!Y340</f>
        <v>0</v>
      </c>
      <c r="Z339" s="49" t="n">
        <f aca="false">'Daily KPI Entry'!Z340</f>
        <v>0</v>
      </c>
      <c r="AA339" s="49" t="n">
        <f aca="false">'Daily KPI Entry'!AA340</f>
        <v>0</v>
      </c>
      <c r="AB339" s="49" t="n">
        <f aca="false">'Daily KPI Entry'!AB340</f>
        <v>0</v>
      </c>
      <c r="AC339" s="49" t="n">
        <f aca="false">'Daily KPI Entry'!AC340</f>
        <v>0</v>
      </c>
      <c r="AD339" s="49" t="n">
        <f aca="false">'Daily KPI Entry'!AD340</f>
        <v>0</v>
      </c>
      <c r="AE339" s="49" t="n">
        <f aca="false">'Daily KPI Entry'!AE340</f>
        <v>0</v>
      </c>
      <c r="AF339" s="47" t="str">
        <f aca="false">IF(O339="","",SUM(X339:AE339))</f>
        <v/>
      </c>
      <c r="AG339" s="49" t="str">
        <f aca="false">IF(O339="","",IFERROR(AF339/O339*1000,0))</f>
        <v/>
      </c>
      <c r="AH339" s="49" t="n">
        <f aca="false">'Daily KPI Entry'!AH340</f>
        <v>0</v>
      </c>
      <c r="AI339" s="49" t="n">
        <f aca="false">'Daily KPI Entry'!AI340</f>
        <v>0</v>
      </c>
      <c r="AJ339" s="49" t="n">
        <f aca="false">'Daily KPI Entry'!AJ340</f>
        <v>0</v>
      </c>
      <c r="AK339" s="47" t="n">
        <f aca="false">'Daily KPI Entry'!AK340</f>
        <v>0</v>
      </c>
      <c r="AL339" s="47" t="n">
        <f aca="false">'Daily KPI Entry'!AL340</f>
        <v>0</v>
      </c>
      <c r="AM339" s="47" t="n">
        <f aca="false">'Daily KPI Entry'!AM340</f>
        <v>0</v>
      </c>
      <c r="AN339" s="49" t="str">
        <f aca="false">IF(P339="","",MIN(120,P339))</f>
        <v/>
      </c>
      <c r="AO339" s="49" t="str">
        <f aca="false">IF(U339="","",MIN(120,U339))</f>
        <v/>
      </c>
      <c r="AP339" s="49" t="str">
        <f aca="false">IF(R339="","",MIN(120,IFERROR(S339/R339*100,0)))</f>
        <v/>
      </c>
      <c r="AQ339" s="49" t="str">
        <f aca="false">IF(W339="","",MIN(120,IF(W339=0,120,100*(INDEX('Standards &amp; Scoring'!$E$5:$E$13,MATCH("Quality / Rejection",'Standards &amp; Scoring'!$A$5:$A$13,0))/W339))))</f>
        <v/>
      </c>
      <c r="AR339" s="49" t="str">
        <f aca="false">IF(AG339="","",MIN(120,IF(AG339=0,120,100*(INDEX('Standards &amp; Scoring'!$E$5:$E$13,MATCH("Fault Control",'Standards &amp; Scoring'!$A$5:$A$13,0))/AG339))))</f>
        <v/>
      </c>
      <c r="AS339" s="49" t="str">
        <f aca="false">IF(O339="","",MIN(120,IF(SUMIFS('Fault &amp; Downtime Entry'!$L$6:$L$1005,'Fault &amp; Downtime Entry'!$E$6:$E$1005,G339,'Fault &amp; Downtime Entry'!$B$6:$B$1005,B339)=0,120,100*(INDEX('Standards &amp; Scoring'!$E$5:$E$13,MATCH("Downtime Control",'Standards &amp; Scoring'!$A$5:$A$13,0))/IFERROR(SUMIFS('Fault &amp; Downtime Entry'!$L$6:$L$1005,'Fault &amp; Downtime Entry'!$E$6:$E$1005,G339,'Fault &amp; Downtime Entry'!$B$6:$B$1005,B339)/O339*1000,999999)))))</f>
        <v/>
      </c>
      <c r="AT339" s="49" t="n">
        <f aca="false">IF(COUNTA(AH339,AJ339)=0,"",MIN(120,IF(AND(AH339&lt;&gt;"",AJ339&lt;&gt;""),AVERAGE(AH339,AJ339),IF(AH339&lt;&gt;"",AH339,AJ339))))</f>
        <v>0</v>
      </c>
      <c r="AU339" s="49" t="str">
        <f aca="false">IF(AI339="","",MIN(120,AI339))</f>
        <v/>
      </c>
      <c r="AV339" s="49" t="str">
        <f aca="false">IF(AJ339="","",MIN(120,AJ339))</f>
        <v/>
      </c>
      <c r="AW339" s="50" t="str">
        <f aca="false">IF(COUNT(AN339:AV339)&lt;9,"",(AN339*'Standards &amp; Scoring'!$D$5+AO339*'Standards &amp; Scoring'!$D$6+AP339*'Standards &amp; Scoring'!$D$7+AQ339*'Standards &amp; Scoring'!$D$8+AR339*'Standards &amp; Scoring'!$D$9+AS339*'Standards &amp; Scoring'!$D$10+AT339*'Standards &amp; Scoring'!$D$11+AU339*'Standards &amp; Scoring'!$D$12+AV339*'Standards &amp; Scoring'!$D$13)/10000)</f>
        <v/>
      </c>
      <c r="AX339" s="47" t="str">
        <f aca="false">IF(AW339="","",IF(AW339&gt;=1.05,"A+",IF(AW339&gt;=1,"A",IF(AW339&gt;=0.95,"B+",IF(AW339&gt;=0.9,"B","C")))))</f>
        <v/>
      </c>
      <c r="AY339" s="47" t="str">
        <f aca="false">IF(AX339="","",IF(AX339="A+",1800,IF(AX339="A",1600,IF(AX339="B+",1400,IF(AX339="B",1200,0)))))</f>
        <v/>
      </c>
      <c r="AZ339" s="49" t="str">
        <f aca="false">IF(OR(L339="",M339="",S339="",M339=0),"",IFERROR(L339*60*S339/(M339*36),0))</f>
        <v/>
      </c>
    </row>
    <row r="340" customFormat="false" ht="15" hidden="false" customHeight="true" outlineLevel="0" collapsed="false">
      <c r="A340" s="47" t="n">
        <f aca="false">'Daily KPI Entry'!A341</f>
        <v>0</v>
      </c>
      <c r="B340" s="48" t="n">
        <f aca="false">'Daily KPI Entry'!B341</f>
        <v>0</v>
      </c>
      <c r="C340" s="47" t="n">
        <f aca="false">'Daily KPI Entry'!C341</f>
        <v>0</v>
      </c>
      <c r="D340" s="47" t="n">
        <f aca="false">'Daily KPI Entry'!D341</f>
        <v>0</v>
      </c>
      <c r="E340" s="47" t="n">
        <f aca="false">'Daily KPI Entry'!E341</f>
        <v>0</v>
      </c>
      <c r="F340" s="47" t="n">
        <f aca="false">'Daily KPI Entry'!F341</f>
        <v>0</v>
      </c>
      <c r="G340" s="47" t="n">
        <f aca="false">'Daily KPI Entry'!G341</f>
        <v>0</v>
      </c>
      <c r="H340" s="47" t="str">
        <f aca="false">'Daily KPI Entry'!H341</f>
        <v/>
      </c>
      <c r="I340" s="47" t="n">
        <f aca="false">'Daily KPI Entry'!I341</f>
        <v>0</v>
      </c>
      <c r="J340" s="47" t="n">
        <f aca="false">'Daily KPI Entry'!J341</f>
        <v>0</v>
      </c>
      <c r="K340" s="47" t="n">
        <f aca="false">'Daily KPI Entry'!K341</f>
        <v>0</v>
      </c>
      <c r="L340" s="47" t="n">
        <f aca="false">'Daily KPI Entry'!L341</f>
        <v>0</v>
      </c>
      <c r="M340" s="47" t="n">
        <f aca="false">'Daily KPI Entry'!M341</f>
        <v>0</v>
      </c>
      <c r="N340" s="49" t="n">
        <f aca="false">'Daily KPI Entry'!N341</f>
        <v>0</v>
      </c>
      <c r="O340" s="49" t="n">
        <f aca="false">'Daily KPI Entry'!O341</f>
        <v>0</v>
      </c>
      <c r="P340" s="49" t="str">
        <f aca="false">IF(OR(N340="",O340=""),"",IFERROR(O340/N340*100,0))</f>
        <v/>
      </c>
      <c r="Q340" s="47" t="n">
        <f aca="false">'Daily KPI Entry'!Q341</f>
        <v>8</v>
      </c>
      <c r="R340" s="47" t="str">
        <f aca="false">IF(J340="","",Q340*J340)</f>
        <v/>
      </c>
      <c r="S340" s="49" t="n">
        <f aca="false">'Daily KPI Entry'!S341</f>
        <v>0</v>
      </c>
      <c r="T340" s="49" t="str">
        <f aca="false">IF(OR(R340="",S340=""),"",IFERROR(S340/R340*100,0))</f>
        <v/>
      </c>
      <c r="U340" s="49" t="str">
        <f aca="false">IF(OR(O340="",L340="",M340="",S340="",M340=0),"",IFERROR(O340/(L340*60*S340/(M340*36))*100,0))</f>
        <v/>
      </c>
      <c r="V340" s="49" t="n">
        <f aca="false">'Daily KPI Entry'!V341</f>
        <v>0</v>
      </c>
      <c r="W340" s="49" t="str">
        <f aca="false">IF(O340="","",IFERROR(V340/O340*100,0))</f>
        <v/>
      </c>
      <c r="X340" s="49" t="n">
        <f aca="false">'Daily KPI Entry'!X341</f>
        <v>0</v>
      </c>
      <c r="Y340" s="49" t="n">
        <f aca="false">'Daily KPI Entry'!Y341</f>
        <v>0</v>
      </c>
      <c r="Z340" s="49" t="n">
        <f aca="false">'Daily KPI Entry'!Z341</f>
        <v>0</v>
      </c>
      <c r="AA340" s="49" t="n">
        <f aca="false">'Daily KPI Entry'!AA341</f>
        <v>0</v>
      </c>
      <c r="AB340" s="49" t="n">
        <f aca="false">'Daily KPI Entry'!AB341</f>
        <v>0</v>
      </c>
      <c r="AC340" s="49" t="n">
        <f aca="false">'Daily KPI Entry'!AC341</f>
        <v>0</v>
      </c>
      <c r="AD340" s="49" t="n">
        <f aca="false">'Daily KPI Entry'!AD341</f>
        <v>0</v>
      </c>
      <c r="AE340" s="49" t="n">
        <f aca="false">'Daily KPI Entry'!AE341</f>
        <v>0</v>
      </c>
      <c r="AF340" s="47" t="str">
        <f aca="false">IF(O340="","",SUM(X340:AE340))</f>
        <v/>
      </c>
      <c r="AG340" s="49" t="str">
        <f aca="false">IF(O340="","",IFERROR(AF340/O340*1000,0))</f>
        <v/>
      </c>
      <c r="AH340" s="49" t="n">
        <f aca="false">'Daily KPI Entry'!AH341</f>
        <v>0</v>
      </c>
      <c r="AI340" s="49" t="n">
        <f aca="false">'Daily KPI Entry'!AI341</f>
        <v>0</v>
      </c>
      <c r="AJ340" s="49" t="n">
        <f aca="false">'Daily KPI Entry'!AJ341</f>
        <v>0</v>
      </c>
      <c r="AK340" s="47" t="n">
        <f aca="false">'Daily KPI Entry'!AK341</f>
        <v>0</v>
      </c>
      <c r="AL340" s="47" t="n">
        <f aca="false">'Daily KPI Entry'!AL341</f>
        <v>0</v>
      </c>
      <c r="AM340" s="47" t="n">
        <f aca="false">'Daily KPI Entry'!AM341</f>
        <v>0</v>
      </c>
      <c r="AN340" s="49" t="str">
        <f aca="false">IF(P340="","",MIN(120,P340))</f>
        <v/>
      </c>
      <c r="AO340" s="49" t="str">
        <f aca="false">IF(U340="","",MIN(120,U340))</f>
        <v/>
      </c>
      <c r="AP340" s="49" t="str">
        <f aca="false">IF(R340="","",MIN(120,IFERROR(S340/R340*100,0)))</f>
        <v/>
      </c>
      <c r="AQ340" s="49" t="str">
        <f aca="false">IF(W340="","",MIN(120,IF(W340=0,120,100*(INDEX('Standards &amp; Scoring'!$E$5:$E$13,MATCH("Quality / Rejection",'Standards &amp; Scoring'!$A$5:$A$13,0))/W340))))</f>
        <v/>
      </c>
      <c r="AR340" s="49" t="str">
        <f aca="false">IF(AG340="","",MIN(120,IF(AG340=0,120,100*(INDEX('Standards &amp; Scoring'!$E$5:$E$13,MATCH("Fault Control",'Standards &amp; Scoring'!$A$5:$A$13,0))/AG340))))</f>
        <v/>
      </c>
      <c r="AS340" s="49" t="str">
        <f aca="false">IF(O340="","",MIN(120,IF(SUMIFS('Fault &amp; Downtime Entry'!$L$6:$L$1005,'Fault &amp; Downtime Entry'!$E$6:$E$1005,G340,'Fault &amp; Downtime Entry'!$B$6:$B$1005,B340)=0,120,100*(INDEX('Standards &amp; Scoring'!$E$5:$E$13,MATCH("Downtime Control",'Standards &amp; Scoring'!$A$5:$A$13,0))/IFERROR(SUMIFS('Fault &amp; Downtime Entry'!$L$6:$L$1005,'Fault &amp; Downtime Entry'!$E$6:$E$1005,G340,'Fault &amp; Downtime Entry'!$B$6:$B$1005,B340)/O340*1000,999999)))))</f>
        <v/>
      </c>
      <c r="AT340" s="49" t="n">
        <f aca="false">IF(COUNTA(AH340,AJ340)=0,"",MIN(120,IF(AND(AH340&lt;&gt;"",AJ340&lt;&gt;""),AVERAGE(AH340,AJ340),IF(AH340&lt;&gt;"",AH340,AJ340))))</f>
        <v>0</v>
      </c>
      <c r="AU340" s="49" t="str">
        <f aca="false">IF(AI340="","",MIN(120,AI340))</f>
        <v/>
      </c>
      <c r="AV340" s="49" t="str">
        <f aca="false">IF(AJ340="","",MIN(120,AJ340))</f>
        <v/>
      </c>
      <c r="AW340" s="50" t="str">
        <f aca="false">IF(COUNT(AN340:AV340)&lt;9,"",(AN340*'Standards &amp; Scoring'!$D$5+AO340*'Standards &amp; Scoring'!$D$6+AP340*'Standards &amp; Scoring'!$D$7+AQ340*'Standards &amp; Scoring'!$D$8+AR340*'Standards &amp; Scoring'!$D$9+AS340*'Standards &amp; Scoring'!$D$10+AT340*'Standards &amp; Scoring'!$D$11+AU340*'Standards &amp; Scoring'!$D$12+AV340*'Standards &amp; Scoring'!$D$13)/10000)</f>
        <v/>
      </c>
      <c r="AX340" s="47" t="str">
        <f aca="false">IF(AW340="","",IF(AW340&gt;=1.05,"A+",IF(AW340&gt;=1,"A",IF(AW340&gt;=0.95,"B+",IF(AW340&gt;=0.9,"B","C")))))</f>
        <v/>
      </c>
      <c r="AY340" s="47" t="str">
        <f aca="false">IF(AX340="","",IF(AX340="A+",1800,IF(AX340="A",1600,IF(AX340="B+",1400,IF(AX340="B",1200,0)))))</f>
        <v/>
      </c>
      <c r="AZ340" s="49" t="str">
        <f aca="false">IF(OR(L340="",M340="",S340="",M340=0),"",IFERROR(L340*60*S340/(M340*36),0))</f>
        <v/>
      </c>
    </row>
    <row r="341" customFormat="false" ht="15" hidden="false" customHeight="true" outlineLevel="0" collapsed="false">
      <c r="A341" s="47" t="n">
        <f aca="false">'Daily KPI Entry'!A342</f>
        <v>0</v>
      </c>
      <c r="B341" s="48" t="n">
        <f aca="false">'Daily KPI Entry'!B342</f>
        <v>0</v>
      </c>
      <c r="C341" s="47" t="n">
        <f aca="false">'Daily KPI Entry'!C342</f>
        <v>0</v>
      </c>
      <c r="D341" s="47" t="n">
        <f aca="false">'Daily KPI Entry'!D342</f>
        <v>0</v>
      </c>
      <c r="E341" s="47" t="n">
        <f aca="false">'Daily KPI Entry'!E342</f>
        <v>0</v>
      </c>
      <c r="F341" s="47" t="n">
        <f aca="false">'Daily KPI Entry'!F342</f>
        <v>0</v>
      </c>
      <c r="G341" s="47" t="n">
        <f aca="false">'Daily KPI Entry'!G342</f>
        <v>0</v>
      </c>
      <c r="H341" s="47" t="str">
        <f aca="false">'Daily KPI Entry'!H342</f>
        <v/>
      </c>
      <c r="I341" s="47" t="n">
        <f aca="false">'Daily KPI Entry'!I342</f>
        <v>0</v>
      </c>
      <c r="J341" s="47" t="n">
        <f aca="false">'Daily KPI Entry'!J342</f>
        <v>0</v>
      </c>
      <c r="K341" s="47" t="n">
        <f aca="false">'Daily KPI Entry'!K342</f>
        <v>0</v>
      </c>
      <c r="L341" s="47" t="n">
        <f aca="false">'Daily KPI Entry'!L342</f>
        <v>0</v>
      </c>
      <c r="M341" s="47" t="n">
        <f aca="false">'Daily KPI Entry'!M342</f>
        <v>0</v>
      </c>
      <c r="N341" s="49" t="n">
        <f aca="false">'Daily KPI Entry'!N342</f>
        <v>0</v>
      </c>
      <c r="O341" s="49" t="n">
        <f aca="false">'Daily KPI Entry'!O342</f>
        <v>0</v>
      </c>
      <c r="P341" s="49" t="str">
        <f aca="false">IF(OR(N341="",O341=""),"",IFERROR(O341/N341*100,0))</f>
        <v/>
      </c>
      <c r="Q341" s="47" t="n">
        <f aca="false">'Daily KPI Entry'!Q342</f>
        <v>8</v>
      </c>
      <c r="R341" s="47" t="str">
        <f aca="false">IF(J341="","",Q341*J341)</f>
        <v/>
      </c>
      <c r="S341" s="49" t="n">
        <f aca="false">'Daily KPI Entry'!S342</f>
        <v>0</v>
      </c>
      <c r="T341" s="49" t="str">
        <f aca="false">IF(OR(R341="",S341=""),"",IFERROR(S341/R341*100,0))</f>
        <v/>
      </c>
      <c r="U341" s="49" t="str">
        <f aca="false">IF(OR(O341="",L341="",M341="",S341="",M341=0),"",IFERROR(O341/(L341*60*S341/(M341*36))*100,0))</f>
        <v/>
      </c>
      <c r="V341" s="49" t="n">
        <f aca="false">'Daily KPI Entry'!V342</f>
        <v>0</v>
      </c>
      <c r="W341" s="49" t="str">
        <f aca="false">IF(O341="","",IFERROR(V341/O341*100,0))</f>
        <v/>
      </c>
      <c r="X341" s="49" t="n">
        <f aca="false">'Daily KPI Entry'!X342</f>
        <v>0</v>
      </c>
      <c r="Y341" s="49" t="n">
        <f aca="false">'Daily KPI Entry'!Y342</f>
        <v>0</v>
      </c>
      <c r="Z341" s="49" t="n">
        <f aca="false">'Daily KPI Entry'!Z342</f>
        <v>0</v>
      </c>
      <c r="AA341" s="49" t="n">
        <f aca="false">'Daily KPI Entry'!AA342</f>
        <v>0</v>
      </c>
      <c r="AB341" s="49" t="n">
        <f aca="false">'Daily KPI Entry'!AB342</f>
        <v>0</v>
      </c>
      <c r="AC341" s="49" t="n">
        <f aca="false">'Daily KPI Entry'!AC342</f>
        <v>0</v>
      </c>
      <c r="AD341" s="49" t="n">
        <f aca="false">'Daily KPI Entry'!AD342</f>
        <v>0</v>
      </c>
      <c r="AE341" s="49" t="n">
        <f aca="false">'Daily KPI Entry'!AE342</f>
        <v>0</v>
      </c>
      <c r="AF341" s="47" t="str">
        <f aca="false">IF(O341="","",SUM(X341:AE341))</f>
        <v/>
      </c>
      <c r="AG341" s="49" t="str">
        <f aca="false">IF(O341="","",IFERROR(AF341/O341*1000,0))</f>
        <v/>
      </c>
      <c r="AH341" s="49" t="n">
        <f aca="false">'Daily KPI Entry'!AH342</f>
        <v>0</v>
      </c>
      <c r="AI341" s="49" t="n">
        <f aca="false">'Daily KPI Entry'!AI342</f>
        <v>0</v>
      </c>
      <c r="AJ341" s="49" t="n">
        <f aca="false">'Daily KPI Entry'!AJ342</f>
        <v>0</v>
      </c>
      <c r="AK341" s="47" t="n">
        <f aca="false">'Daily KPI Entry'!AK342</f>
        <v>0</v>
      </c>
      <c r="AL341" s="47" t="n">
        <f aca="false">'Daily KPI Entry'!AL342</f>
        <v>0</v>
      </c>
      <c r="AM341" s="47" t="n">
        <f aca="false">'Daily KPI Entry'!AM342</f>
        <v>0</v>
      </c>
      <c r="AN341" s="49" t="str">
        <f aca="false">IF(P341="","",MIN(120,P341))</f>
        <v/>
      </c>
      <c r="AO341" s="49" t="str">
        <f aca="false">IF(U341="","",MIN(120,U341))</f>
        <v/>
      </c>
      <c r="AP341" s="49" t="str">
        <f aca="false">IF(R341="","",MIN(120,IFERROR(S341/R341*100,0)))</f>
        <v/>
      </c>
      <c r="AQ341" s="49" t="str">
        <f aca="false">IF(W341="","",MIN(120,IF(W341=0,120,100*(INDEX('Standards &amp; Scoring'!$E$5:$E$13,MATCH("Quality / Rejection",'Standards &amp; Scoring'!$A$5:$A$13,0))/W341))))</f>
        <v/>
      </c>
      <c r="AR341" s="49" t="str">
        <f aca="false">IF(AG341="","",MIN(120,IF(AG341=0,120,100*(INDEX('Standards &amp; Scoring'!$E$5:$E$13,MATCH("Fault Control",'Standards &amp; Scoring'!$A$5:$A$13,0))/AG341))))</f>
        <v/>
      </c>
      <c r="AS341" s="49" t="str">
        <f aca="false">IF(O341="","",MIN(120,IF(SUMIFS('Fault &amp; Downtime Entry'!$L$6:$L$1005,'Fault &amp; Downtime Entry'!$E$6:$E$1005,G341,'Fault &amp; Downtime Entry'!$B$6:$B$1005,B341)=0,120,100*(INDEX('Standards &amp; Scoring'!$E$5:$E$13,MATCH("Downtime Control",'Standards &amp; Scoring'!$A$5:$A$13,0))/IFERROR(SUMIFS('Fault &amp; Downtime Entry'!$L$6:$L$1005,'Fault &amp; Downtime Entry'!$E$6:$E$1005,G341,'Fault &amp; Downtime Entry'!$B$6:$B$1005,B341)/O341*1000,999999)))))</f>
        <v/>
      </c>
      <c r="AT341" s="49" t="n">
        <f aca="false">IF(COUNTA(AH341,AJ341)=0,"",MIN(120,IF(AND(AH341&lt;&gt;"",AJ341&lt;&gt;""),AVERAGE(AH341,AJ341),IF(AH341&lt;&gt;"",AH341,AJ341))))</f>
        <v>0</v>
      </c>
      <c r="AU341" s="49" t="str">
        <f aca="false">IF(AI341="","",MIN(120,AI341))</f>
        <v/>
      </c>
      <c r="AV341" s="49" t="str">
        <f aca="false">IF(AJ341="","",MIN(120,AJ341))</f>
        <v/>
      </c>
      <c r="AW341" s="50" t="str">
        <f aca="false">IF(COUNT(AN341:AV341)&lt;9,"",(AN341*'Standards &amp; Scoring'!$D$5+AO341*'Standards &amp; Scoring'!$D$6+AP341*'Standards &amp; Scoring'!$D$7+AQ341*'Standards &amp; Scoring'!$D$8+AR341*'Standards &amp; Scoring'!$D$9+AS341*'Standards &amp; Scoring'!$D$10+AT341*'Standards &amp; Scoring'!$D$11+AU341*'Standards &amp; Scoring'!$D$12+AV341*'Standards &amp; Scoring'!$D$13)/10000)</f>
        <v/>
      </c>
      <c r="AX341" s="47" t="str">
        <f aca="false">IF(AW341="","",IF(AW341&gt;=1.05,"A+",IF(AW341&gt;=1,"A",IF(AW341&gt;=0.95,"B+",IF(AW341&gt;=0.9,"B","C")))))</f>
        <v/>
      </c>
      <c r="AY341" s="47" t="str">
        <f aca="false">IF(AX341="","",IF(AX341="A+",1800,IF(AX341="A",1600,IF(AX341="B+",1400,IF(AX341="B",1200,0)))))</f>
        <v/>
      </c>
      <c r="AZ341" s="49" t="str">
        <f aca="false">IF(OR(L341="",M341="",S341="",M341=0),"",IFERROR(L341*60*S341/(M341*36),0))</f>
        <v/>
      </c>
    </row>
    <row r="342" customFormat="false" ht="15" hidden="false" customHeight="true" outlineLevel="0" collapsed="false">
      <c r="A342" s="47" t="n">
        <f aca="false">'Daily KPI Entry'!A343</f>
        <v>0</v>
      </c>
      <c r="B342" s="48" t="n">
        <f aca="false">'Daily KPI Entry'!B343</f>
        <v>0</v>
      </c>
      <c r="C342" s="47" t="n">
        <f aca="false">'Daily KPI Entry'!C343</f>
        <v>0</v>
      </c>
      <c r="D342" s="47" t="n">
        <f aca="false">'Daily KPI Entry'!D343</f>
        <v>0</v>
      </c>
      <c r="E342" s="47" t="n">
        <f aca="false">'Daily KPI Entry'!E343</f>
        <v>0</v>
      </c>
      <c r="F342" s="47" t="n">
        <f aca="false">'Daily KPI Entry'!F343</f>
        <v>0</v>
      </c>
      <c r="G342" s="47" t="n">
        <f aca="false">'Daily KPI Entry'!G343</f>
        <v>0</v>
      </c>
      <c r="H342" s="47" t="str">
        <f aca="false">'Daily KPI Entry'!H343</f>
        <v/>
      </c>
      <c r="I342" s="47" t="n">
        <f aca="false">'Daily KPI Entry'!I343</f>
        <v>0</v>
      </c>
      <c r="J342" s="47" t="n">
        <f aca="false">'Daily KPI Entry'!J343</f>
        <v>0</v>
      </c>
      <c r="K342" s="47" t="n">
        <f aca="false">'Daily KPI Entry'!K343</f>
        <v>0</v>
      </c>
      <c r="L342" s="47" t="n">
        <f aca="false">'Daily KPI Entry'!L343</f>
        <v>0</v>
      </c>
      <c r="M342" s="47" t="n">
        <f aca="false">'Daily KPI Entry'!M343</f>
        <v>0</v>
      </c>
      <c r="N342" s="49" t="n">
        <f aca="false">'Daily KPI Entry'!N343</f>
        <v>0</v>
      </c>
      <c r="O342" s="49" t="n">
        <f aca="false">'Daily KPI Entry'!O343</f>
        <v>0</v>
      </c>
      <c r="P342" s="49" t="str">
        <f aca="false">IF(OR(N342="",O342=""),"",IFERROR(O342/N342*100,0))</f>
        <v/>
      </c>
      <c r="Q342" s="47" t="n">
        <f aca="false">'Daily KPI Entry'!Q343</f>
        <v>8</v>
      </c>
      <c r="R342" s="47" t="str">
        <f aca="false">IF(J342="","",Q342*J342)</f>
        <v/>
      </c>
      <c r="S342" s="49" t="n">
        <f aca="false">'Daily KPI Entry'!S343</f>
        <v>0</v>
      </c>
      <c r="T342" s="49" t="str">
        <f aca="false">IF(OR(R342="",S342=""),"",IFERROR(S342/R342*100,0))</f>
        <v/>
      </c>
      <c r="U342" s="49" t="str">
        <f aca="false">IF(OR(O342="",L342="",M342="",S342="",M342=0),"",IFERROR(O342/(L342*60*S342/(M342*36))*100,0))</f>
        <v/>
      </c>
      <c r="V342" s="49" t="n">
        <f aca="false">'Daily KPI Entry'!V343</f>
        <v>0</v>
      </c>
      <c r="W342" s="49" t="str">
        <f aca="false">IF(O342="","",IFERROR(V342/O342*100,0))</f>
        <v/>
      </c>
      <c r="X342" s="49" t="n">
        <f aca="false">'Daily KPI Entry'!X343</f>
        <v>0</v>
      </c>
      <c r="Y342" s="49" t="n">
        <f aca="false">'Daily KPI Entry'!Y343</f>
        <v>0</v>
      </c>
      <c r="Z342" s="49" t="n">
        <f aca="false">'Daily KPI Entry'!Z343</f>
        <v>0</v>
      </c>
      <c r="AA342" s="49" t="n">
        <f aca="false">'Daily KPI Entry'!AA343</f>
        <v>0</v>
      </c>
      <c r="AB342" s="49" t="n">
        <f aca="false">'Daily KPI Entry'!AB343</f>
        <v>0</v>
      </c>
      <c r="AC342" s="49" t="n">
        <f aca="false">'Daily KPI Entry'!AC343</f>
        <v>0</v>
      </c>
      <c r="AD342" s="49" t="n">
        <f aca="false">'Daily KPI Entry'!AD343</f>
        <v>0</v>
      </c>
      <c r="AE342" s="49" t="n">
        <f aca="false">'Daily KPI Entry'!AE343</f>
        <v>0</v>
      </c>
      <c r="AF342" s="47" t="str">
        <f aca="false">IF(O342="","",SUM(X342:AE342))</f>
        <v/>
      </c>
      <c r="AG342" s="49" t="str">
        <f aca="false">IF(O342="","",IFERROR(AF342/O342*1000,0))</f>
        <v/>
      </c>
      <c r="AH342" s="49" t="n">
        <f aca="false">'Daily KPI Entry'!AH343</f>
        <v>0</v>
      </c>
      <c r="AI342" s="49" t="n">
        <f aca="false">'Daily KPI Entry'!AI343</f>
        <v>0</v>
      </c>
      <c r="AJ342" s="49" t="n">
        <f aca="false">'Daily KPI Entry'!AJ343</f>
        <v>0</v>
      </c>
      <c r="AK342" s="47" t="n">
        <f aca="false">'Daily KPI Entry'!AK343</f>
        <v>0</v>
      </c>
      <c r="AL342" s="47" t="n">
        <f aca="false">'Daily KPI Entry'!AL343</f>
        <v>0</v>
      </c>
      <c r="AM342" s="47" t="n">
        <f aca="false">'Daily KPI Entry'!AM343</f>
        <v>0</v>
      </c>
      <c r="AN342" s="49" t="str">
        <f aca="false">IF(P342="","",MIN(120,P342))</f>
        <v/>
      </c>
      <c r="AO342" s="49" t="str">
        <f aca="false">IF(U342="","",MIN(120,U342))</f>
        <v/>
      </c>
      <c r="AP342" s="49" t="str">
        <f aca="false">IF(R342="","",MIN(120,IFERROR(S342/R342*100,0)))</f>
        <v/>
      </c>
      <c r="AQ342" s="49" t="str">
        <f aca="false">IF(W342="","",MIN(120,IF(W342=0,120,100*(INDEX('Standards &amp; Scoring'!$E$5:$E$13,MATCH("Quality / Rejection",'Standards &amp; Scoring'!$A$5:$A$13,0))/W342))))</f>
        <v/>
      </c>
      <c r="AR342" s="49" t="str">
        <f aca="false">IF(AG342="","",MIN(120,IF(AG342=0,120,100*(INDEX('Standards &amp; Scoring'!$E$5:$E$13,MATCH("Fault Control",'Standards &amp; Scoring'!$A$5:$A$13,0))/AG342))))</f>
        <v/>
      </c>
      <c r="AS342" s="49" t="str">
        <f aca="false">IF(O342="","",MIN(120,IF(SUMIFS('Fault &amp; Downtime Entry'!$L$6:$L$1005,'Fault &amp; Downtime Entry'!$E$6:$E$1005,G342,'Fault &amp; Downtime Entry'!$B$6:$B$1005,B342)=0,120,100*(INDEX('Standards &amp; Scoring'!$E$5:$E$13,MATCH("Downtime Control",'Standards &amp; Scoring'!$A$5:$A$13,0))/IFERROR(SUMIFS('Fault &amp; Downtime Entry'!$L$6:$L$1005,'Fault &amp; Downtime Entry'!$E$6:$E$1005,G342,'Fault &amp; Downtime Entry'!$B$6:$B$1005,B342)/O342*1000,999999)))))</f>
        <v/>
      </c>
      <c r="AT342" s="49" t="n">
        <f aca="false">IF(COUNTA(AH342,AJ342)=0,"",MIN(120,IF(AND(AH342&lt;&gt;"",AJ342&lt;&gt;""),AVERAGE(AH342,AJ342),IF(AH342&lt;&gt;"",AH342,AJ342))))</f>
        <v>0</v>
      </c>
      <c r="AU342" s="49" t="str">
        <f aca="false">IF(AI342="","",MIN(120,AI342))</f>
        <v/>
      </c>
      <c r="AV342" s="49" t="str">
        <f aca="false">IF(AJ342="","",MIN(120,AJ342))</f>
        <v/>
      </c>
      <c r="AW342" s="50" t="str">
        <f aca="false">IF(COUNT(AN342:AV342)&lt;9,"",(AN342*'Standards &amp; Scoring'!$D$5+AO342*'Standards &amp; Scoring'!$D$6+AP342*'Standards &amp; Scoring'!$D$7+AQ342*'Standards &amp; Scoring'!$D$8+AR342*'Standards &amp; Scoring'!$D$9+AS342*'Standards &amp; Scoring'!$D$10+AT342*'Standards &amp; Scoring'!$D$11+AU342*'Standards &amp; Scoring'!$D$12+AV342*'Standards &amp; Scoring'!$D$13)/10000)</f>
        <v/>
      </c>
      <c r="AX342" s="47" t="str">
        <f aca="false">IF(AW342="","",IF(AW342&gt;=1.05,"A+",IF(AW342&gt;=1,"A",IF(AW342&gt;=0.95,"B+",IF(AW342&gt;=0.9,"B","C")))))</f>
        <v/>
      </c>
      <c r="AY342" s="47" t="str">
        <f aca="false">IF(AX342="","",IF(AX342="A+",1800,IF(AX342="A",1600,IF(AX342="B+",1400,IF(AX342="B",1200,0)))))</f>
        <v/>
      </c>
      <c r="AZ342" s="49" t="str">
        <f aca="false">IF(OR(L342="",M342="",S342="",M342=0),"",IFERROR(L342*60*S342/(M342*36),0))</f>
        <v/>
      </c>
    </row>
    <row r="343" customFormat="false" ht="15" hidden="false" customHeight="true" outlineLevel="0" collapsed="false">
      <c r="A343" s="47" t="n">
        <f aca="false">'Daily KPI Entry'!A344</f>
        <v>0</v>
      </c>
      <c r="B343" s="48" t="n">
        <f aca="false">'Daily KPI Entry'!B344</f>
        <v>0</v>
      </c>
      <c r="C343" s="47" t="n">
        <f aca="false">'Daily KPI Entry'!C344</f>
        <v>0</v>
      </c>
      <c r="D343" s="47" t="n">
        <f aca="false">'Daily KPI Entry'!D344</f>
        <v>0</v>
      </c>
      <c r="E343" s="47" t="n">
        <f aca="false">'Daily KPI Entry'!E344</f>
        <v>0</v>
      </c>
      <c r="F343" s="47" t="n">
        <f aca="false">'Daily KPI Entry'!F344</f>
        <v>0</v>
      </c>
      <c r="G343" s="47" t="n">
        <f aca="false">'Daily KPI Entry'!G344</f>
        <v>0</v>
      </c>
      <c r="H343" s="47" t="str">
        <f aca="false">'Daily KPI Entry'!H344</f>
        <v/>
      </c>
      <c r="I343" s="47" t="n">
        <f aca="false">'Daily KPI Entry'!I344</f>
        <v>0</v>
      </c>
      <c r="J343" s="47" t="n">
        <f aca="false">'Daily KPI Entry'!J344</f>
        <v>0</v>
      </c>
      <c r="K343" s="47" t="n">
        <f aca="false">'Daily KPI Entry'!K344</f>
        <v>0</v>
      </c>
      <c r="L343" s="47" t="n">
        <f aca="false">'Daily KPI Entry'!L344</f>
        <v>0</v>
      </c>
      <c r="M343" s="47" t="n">
        <f aca="false">'Daily KPI Entry'!M344</f>
        <v>0</v>
      </c>
      <c r="N343" s="49" t="n">
        <f aca="false">'Daily KPI Entry'!N344</f>
        <v>0</v>
      </c>
      <c r="O343" s="49" t="n">
        <f aca="false">'Daily KPI Entry'!O344</f>
        <v>0</v>
      </c>
      <c r="P343" s="49" t="str">
        <f aca="false">IF(OR(N343="",O343=""),"",IFERROR(O343/N343*100,0))</f>
        <v/>
      </c>
      <c r="Q343" s="47" t="n">
        <f aca="false">'Daily KPI Entry'!Q344</f>
        <v>8</v>
      </c>
      <c r="R343" s="47" t="str">
        <f aca="false">IF(J343="","",Q343*J343)</f>
        <v/>
      </c>
      <c r="S343" s="49" t="n">
        <f aca="false">'Daily KPI Entry'!S344</f>
        <v>0</v>
      </c>
      <c r="T343" s="49" t="str">
        <f aca="false">IF(OR(R343="",S343=""),"",IFERROR(S343/R343*100,0))</f>
        <v/>
      </c>
      <c r="U343" s="49" t="str">
        <f aca="false">IF(OR(O343="",L343="",M343="",S343="",M343=0),"",IFERROR(O343/(L343*60*S343/(M343*36))*100,0))</f>
        <v/>
      </c>
      <c r="V343" s="49" t="n">
        <f aca="false">'Daily KPI Entry'!V344</f>
        <v>0</v>
      </c>
      <c r="W343" s="49" t="str">
        <f aca="false">IF(O343="","",IFERROR(V343/O343*100,0))</f>
        <v/>
      </c>
      <c r="X343" s="49" t="n">
        <f aca="false">'Daily KPI Entry'!X344</f>
        <v>0</v>
      </c>
      <c r="Y343" s="49" t="n">
        <f aca="false">'Daily KPI Entry'!Y344</f>
        <v>0</v>
      </c>
      <c r="Z343" s="49" t="n">
        <f aca="false">'Daily KPI Entry'!Z344</f>
        <v>0</v>
      </c>
      <c r="AA343" s="49" t="n">
        <f aca="false">'Daily KPI Entry'!AA344</f>
        <v>0</v>
      </c>
      <c r="AB343" s="49" t="n">
        <f aca="false">'Daily KPI Entry'!AB344</f>
        <v>0</v>
      </c>
      <c r="AC343" s="49" t="n">
        <f aca="false">'Daily KPI Entry'!AC344</f>
        <v>0</v>
      </c>
      <c r="AD343" s="49" t="n">
        <f aca="false">'Daily KPI Entry'!AD344</f>
        <v>0</v>
      </c>
      <c r="AE343" s="49" t="n">
        <f aca="false">'Daily KPI Entry'!AE344</f>
        <v>0</v>
      </c>
      <c r="AF343" s="47" t="str">
        <f aca="false">IF(O343="","",SUM(X343:AE343))</f>
        <v/>
      </c>
      <c r="AG343" s="49" t="str">
        <f aca="false">IF(O343="","",IFERROR(AF343/O343*1000,0))</f>
        <v/>
      </c>
      <c r="AH343" s="49" t="n">
        <f aca="false">'Daily KPI Entry'!AH344</f>
        <v>0</v>
      </c>
      <c r="AI343" s="49" t="n">
        <f aca="false">'Daily KPI Entry'!AI344</f>
        <v>0</v>
      </c>
      <c r="AJ343" s="49" t="n">
        <f aca="false">'Daily KPI Entry'!AJ344</f>
        <v>0</v>
      </c>
      <c r="AK343" s="47" t="n">
        <f aca="false">'Daily KPI Entry'!AK344</f>
        <v>0</v>
      </c>
      <c r="AL343" s="47" t="n">
        <f aca="false">'Daily KPI Entry'!AL344</f>
        <v>0</v>
      </c>
      <c r="AM343" s="47" t="n">
        <f aca="false">'Daily KPI Entry'!AM344</f>
        <v>0</v>
      </c>
      <c r="AN343" s="49" t="str">
        <f aca="false">IF(P343="","",MIN(120,P343))</f>
        <v/>
      </c>
      <c r="AO343" s="49" t="str">
        <f aca="false">IF(U343="","",MIN(120,U343))</f>
        <v/>
      </c>
      <c r="AP343" s="49" t="str">
        <f aca="false">IF(R343="","",MIN(120,IFERROR(S343/R343*100,0)))</f>
        <v/>
      </c>
      <c r="AQ343" s="49" t="str">
        <f aca="false">IF(W343="","",MIN(120,IF(W343=0,120,100*(INDEX('Standards &amp; Scoring'!$E$5:$E$13,MATCH("Quality / Rejection",'Standards &amp; Scoring'!$A$5:$A$13,0))/W343))))</f>
        <v/>
      </c>
      <c r="AR343" s="49" t="str">
        <f aca="false">IF(AG343="","",MIN(120,IF(AG343=0,120,100*(INDEX('Standards &amp; Scoring'!$E$5:$E$13,MATCH("Fault Control",'Standards &amp; Scoring'!$A$5:$A$13,0))/AG343))))</f>
        <v/>
      </c>
      <c r="AS343" s="49" t="str">
        <f aca="false">IF(O343="","",MIN(120,IF(SUMIFS('Fault &amp; Downtime Entry'!$L$6:$L$1005,'Fault &amp; Downtime Entry'!$E$6:$E$1005,G343,'Fault &amp; Downtime Entry'!$B$6:$B$1005,B343)=0,120,100*(INDEX('Standards &amp; Scoring'!$E$5:$E$13,MATCH("Downtime Control",'Standards &amp; Scoring'!$A$5:$A$13,0))/IFERROR(SUMIFS('Fault &amp; Downtime Entry'!$L$6:$L$1005,'Fault &amp; Downtime Entry'!$E$6:$E$1005,G343,'Fault &amp; Downtime Entry'!$B$6:$B$1005,B343)/O343*1000,999999)))))</f>
        <v/>
      </c>
      <c r="AT343" s="49" t="n">
        <f aca="false">IF(COUNTA(AH343,AJ343)=0,"",MIN(120,IF(AND(AH343&lt;&gt;"",AJ343&lt;&gt;""),AVERAGE(AH343,AJ343),IF(AH343&lt;&gt;"",AH343,AJ343))))</f>
        <v>0</v>
      </c>
      <c r="AU343" s="49" t="str">
        <f aca="false">IF(AI343="","",MIN(120,AI343))</f>
        <v/>
      </c>
      <c r="AV343" s="49" t="str">
        <f aca="false">IF(AJ343="","",MIN(120,AJ343))</f>
        <v/>
      </c>
      <c r="AW343" s="50" t="str">
        <f aca="false">IF(COUNT(AN343:AV343)&lt;9,"",(AN343*'Standards &amp; Scoring'!$D$5+AO343*'Standards &amp; Scoring'!$D$6+AP343*'Standards &amp; Scoring'!$D$7+AQ343*'Standards &amp; Scoring'!$D$8+AR343*'Standards &amp; Scoring'!$D$9+AS343*'Standards &amp; Scoring'!$D$10+AT343*'Standards &amp; Scoring'!$D$11+AU343*'Standards &amp; Scoring'!$D$12+AV343*'Standards &amp; Scoring'!$D$13)/10000)</f>
        <v/>
      </c>
      <c r="AX343" s="47" t="str">
        <f aca="false">IF(AW343="","",IF(AW343&gt;=1.05,"A+",IF(AW343&gt;=1,"A",IF(AW343&gt;=0.95,"B+",IF(AW343&gt;=0.9,"B","C")))))</f>
        <v/>
      </c>
      <c r="AY343" s="47" t="str">
        <f aca="false">IF(AX343="","",IF(AX343="A+",1800,IF(AX343="A",1600,IF(AX343="B+",1400,IF(AX343="B",1200,0)))))</f>
        <v/>
      </c>
      <c r="AZ343" s="49" t="str">
        <f aca="false">IF(OR(L343="",M343="",S343="",M343=0),"",IFERROR(L343*60*S343/(M343*36),0))</f>
        <v/>
      </c>
    </row>
    <row r="344" customFormat="false" ht="15" hidden="false" customHeight="true" outlineLevel="0" collapsed="false">
      <c r="A344" s="47" t="n">
        <f aca="false">'Daily KPI Entry'!A345</f>
        <v>0</v>
      </c>
      <c r="B344" s="48" t="n">
        <f aca="false">'Daily KPI Entry'!B345</f>
        <v>0</v>
      </c>
      <c r="C344" s="47" t="n">
        <f aca="false">'Daily KPI Entry'!C345</f>
        <v>0</v>
      </c>
      <c r="D344" s="47" t="n">
        <f aca="false">'Daily KPI Entry'!D345</f>
        <v>0</v>
      </c>
      <c r="E344" s="47" t="n">
        <f aca="false">'Daily KPI Entry'!E345</f>
        <v>0</v>
      </c>
      <c r="F344" s="47" t="n">
        <f aca="false">'Daily KPI Entry'!F345</f>
        <v>0</v>
      </c>
      <c r="G344" s="47" t="n">
        <f aca="false">'Daily KPI Entry'!G345</f>
        <v>0</v>
      </c>
      <c r="H344" s="47" t="str">
        <f aca="false">'Daily KPI Entry'!H345</f>
        <v/>
      </c>
      <c r="I344" s="47" t="n">
        <f aca="false">'Daily KPI Entry'!I345</f>
        <v>0</v>
      </c>
      <c r="J344" s="47" t="n">
        <f aca="false">'Daily KPI Entry'!J345</f>
        <v>0</v>
      </c>
      <c r="K344" s="47" t="n">
        <f aca="false">'Daily KPI Entry'!K345</f>
        <v>0</v>
      </c>
      <c r="L344" s="47" t="n">
        <f aca="false">'Daily KPI Entry'!L345</f>
        <v>0</v>
      </c>
      <c r="M344" s="47" t="n">
        <f aca="false">'Daily KPI Entry'!M345</f>
        <v>0</v>
      </c>
      <c r="N344" s="49" t="n">
        <f aca="false">'Daily KPI Entry'!N345</f>
        <v>0</v>
      </c>
      <c r="O344" s="49" t="n">
        <f aca="false">'Daily KPI Entry'!O345</f>
        <v>0</v>
      </c>
      <c r="P344" s="49" t="str">
        <f aca="false">IF(OR(N344="",O344=""),"",IFERROR(O344/N344*100,0))</f>
        <v/>
      </c>
      <c r="Q344" s="47" t="n">
        <f aca="false">'Daily KPI Entry'!Q345</f>
        <v>8</v>
      </c>
      <c r="R344" s="47" t="str">
        <f aca="false">IF(J344="","",Q344*J344)</f>
        <v/>
      </c>
      <c r="S344" s="49" t="n">
        <f aca="false">'Daily KPI Entry'!S345</f>
        <v>0</v>
      </c>
      <c r="T344" s="49" t="str">
        <f aca="false">IF(OR(R344="",S344=""),"",IFERROR(S344/R344*100,0))</f>
        <v/>
      </c>
      <c r="U344" s="49" t="str">
        <f aca="false">IF(OR(O344="",L344="",M344="",S344="",M344=0),"",IFERROR(O344/(L344*60*S344/(M344*36))*100,0))</f>
        <v/>
      </c>
      <c r="V344" s="49" t="n">
        <f aca="false">'Daily KPI Entry'!V345</f>
        <v>0</v>
      </c>
      <c r="W344" s="49" t="str">
        <f aca="false">IF(O344="","",IFERROR(V344/O344*100,0))</f>
        <v/>
      </c>
      <c r="X344" s="49" t="n">
        <f aca="false">'Daily KPI Entry'!X345</f>
        <v>0</v>
      </c>
      <c r="Y344" s="49" t="n">
        <f aca="false">'Daily KPI Entry'!Y345</f>
        <v>0</v>
      </c>
      <c r="Z344" s="49" t="n">
        <f aca="false">'Daily KPI Entry'!Z345</f>
        <v>0</v>
      </c>
      <c r="AA344" s="49" t="n">
        <f aca="false">'Daily KPI Entry'!AA345</f>
        <v>0</v>
      </c>
      <c r="AB344" s="49" t="n">
        <f aca="false">'Daily KPI Entry'!AB345</f>
        <v>0</v>
      </c>
      <c r="AC344" s="49" t="n">
        <f aca="false">'Daily KPI Entry'!AC345</f>
        <v>0</v>
      </c>
      <c r="AD344" s="49" t="n">
        <f aca="false">'Daily KPI Entry'!AD345</f>
        <v>0</v>
      </c>
      <c r="AE344" s="49" t="n">
        <f aca="false">'Daily KPI Entry'!AE345</f>
        <v>0</v>
      </c>
      <c r="AF344" s="47" t="str">
        <f aca="false">IF(O344="","",SUM(X344:AE344))</f>
        <v/>
      </c>
      <c r="AG344" s="49" t="str">
        <f aca="false">IF(O344="","",IFERROR(AF344/O344*1000,0))</f>
        <v/>
      </c>
      <c r="AH344" s="49" t="n">
        <f aca="false">'Daily KPI Entry'!AH345</f>
        <v>0</v>
      </c>
      <c r="AI344" s="49" t="n">
        <f aca="false">'Daily KPI Entry'!AI345</f>
        <v>0</v>
      </c>
      <c r="AJ344" s="49" t="n">
        <f aca="false">'Daily KPI Entry'!AJ345</f>
        <v>0</v>
      </c>
      <c r="AK344" s="47" t="n">
        <f aca="false">'Daily KPI Entry'!AK345</f>
        <v>0</v>
      </c>
      <c r="AL344" s="47" t="n">
        <f aca="false">'Daily KPI Entry'!AL345</f>
        <v>0</v>
      </c>
      <c r="AM344" s="47" t="n">
        <f aca="false">'Daily KPI Entry'!AM345</f>
        <v>0</v>
      </c>
      <c r="AN344" s="49" t="str">
        <f aca="false">IF(P344="","",MIN(120,P344))</f>
        <v/>
      </c>
      <c r="AO344" s="49" t="str">
        <f aca="false">IF(U344="","",MIN(120,U344))</f>
        <v/>
      </c>
      <c r="AP344" s="49" t="str">
        <f aca="false">IF(R344="","",MIN(120,IFERROR(S344/R344*100,0)))</f>
        <v/>
      </c>
      <c r="AQ344" s="49" t="str">
        <f aca="false">IF(W344="","",MIN(120,IF(W344=0,120,100*(INDEX('Standards &amp; Scoring'!$E$5:$E$13,MATCH("Quality / Rejection",'Standards &amp; Scoring'!$A$5:$A$13,0))/W344))))</f>
        <v/>
      </c>
      <c r="AR344" s="49" t="str">
        <f aca="false">IF(AG344="","",MIN(120,IF(AG344=0,120,100*(INDEX('Standards &amp; Scoring'!$E$5:$E$13,MATCH("Fault Control",'Standards &amp; Scoring'!$A$5:$A$13,0))/AG344))))</f>
        <v/>
      </c>
      <c r="AS344" s="49" t="str">
        <f aca="false">IF(O344="","",MIN(120,IF(SUMIFS('Fault &amp; Downtime Entry'!$L$6:$L$1005,'Fault &amp; Downtime Entry'!$E$6:$E$1005,G344,'Fault &amp; Downtime Entry'!$B$6:$B$1005,B344)=0,120,100*(INDEX('Standards &amp; Scoring'!$E$5:$E$13,MATCH("Downtime Control",'Standards &amp; Scoring'!$A$5:$A$13,0))/IFERROR(SUMIFS('Fault &amp; Downtime Entry'!$L$6:$L$1005,'Fault &amp; Downtime Entry'!$E$6:$E$1005,G344,'Fault &amp; Downtime Entry'!$B$6:$B$1005,B344)/O344*1000,999999)))))</f>
        <v/>
      </c>
      <c r="AT344" s="49" t="n">
        <f aca="false">IF(COUNTA(AH344,AJ344)=0,"",MIN(120,IF(AND(AH344&lt;&gt;"",AJ344&lt;&gt;""),AVERAGE(AH344,AJ344),IF(AH344&lt;&gt;"",AH344,AJ344))))</f>
        <v>0</v>
      </c>
      <c r="AU344" s="49" t="str">
        <f aca="false">IF(AI344="","",MIN(120,AI344))</f>
        <v/>
      </c>
      <c r="AV344" s="49" t="str">
        <f aca="false">IF(AJ344="","",MIN(120,AJ344))</f>
        <v/>
      </c>
      <c r="AW344" s="50" t="str">
        <f aca="false">IF(COUNT(AN344:AV344)&lt;9,"",(AN344*'Standards &amp; Scoring'!$D$5+AO344*'Standards &amp; Scoring'!$D$6+AP344*'Standards &amp; Scoring'!$D$7+AQ344*'Standards &amp; Scoring'!$D$8+AR344*'Standards &amp; Scoring'!$D$9+AS344*'Standards &amp; Scoring'!$D$10+AT344*'Standards &amp; Scoring'!$D$11+AU344*'Standards &amp; Scoring'!$D$12+AV344*'Standards &amp; Scoring'!$D$13)/10000)</f>
        <v/>
      </c>
      <c r="AX344" s="47" t="str">
        <f aca="false">IF(AW344="","",IF(AW344&gt;=1.05,"A+",IF(AW344&gt;=1,"A",IF(AW344&gt;=0.95,"B+",IF(AW344&gt;=0.9,"B","C")))))</f>
        <v/>
      </c>
      <c r="AY344" s="47" t="str">
        <f aca="false">IF(AX344="","",IF(AX344="A+",1800,IF(AX344="A",1600,IF(AX344="B+",1400,IF(AX344="B",1200,0)))))</f>
        <v/>
      </c>
      <c r="AZ344" s="49" t="str">
        <f aca="false">IF(OR(L344="",M344="",S344="",M344=0),"",IFERROR(L344*60*S344/(M344*36),0))</f>
        <v/>
      </c>
    </row>
    <row r="345" customFormat="false" ht="15" hidden="false" customHeight="true" outlineLevel="0" collapsed="false">
      <c r="A345" s="47" t="n">
        <f aca="false">'Daily KPI Entry'!A346</f>
        <v>0</v>
      </c>
      <c r="B345" s="48" t="n">
        <f aca="false">'Daily KPI Entry'!B346</f>
        <v>0</v>
      </c>
      <c r="C345" s="47" t="n">
        <f aca="false">'Daily KPI Entry'!C346</f>
        <v>0</v>
      </c>
      <c r="D345" s="47" t="n">
        <f aca="false">'Daily KPI Entry'!D346</f>
        <v>0</v>
      </c>
      <c r="E345" s="47" t="n">
        <f aca="false">'Daily KPI Entry'!E346</f>
        <v>0</v>
      </c>
      <c r="F345" s="47" t="n">
        <f aca="false">'Daily KPI Entry'!F346</f>
        <v>0</v>
      </c>
      <c r="G345" s="47" t="n">
        <f aca="false">'Daily KPI Entry'!G346</f>
        <v>0</v>
      </c>
      <c r="H345" s="47" t="str">
        <f aca="false">'Daily KPI Entry'!H346</f>
        <v/>
      </c>
      <c r="I345" s="47" t="n">
        <f aca="false">'Daily KPI Entry'!I346</f>
        <v>0</v>
      </c>
      <c r="J345" s="47" t="n">
        <f aca="false">'Daily KPI Entry'!J346</f>
        <v>0</v>
      </c>
      <c r="K345" s="47" t="n">
        <f aca="false">'Daily KPI Entry'!K346</f>
        <v>0</v>
      </c>
      <c r="L345" s="47" t="n">
        <f aca="false">'Daily KPI Entry'!L346</f>
        <v>0</v>
      </c>
      <c r="M345" s="47" t="n">
        <f aca="false">'Daily KPI Entry'!M346</f>
        <v>0</v>
      </c>
      <c r="N345" s="49" t="n">
        <f aca="false">'Daily KPI Entry'!N346</f>
        <v>0</v>
      </c>
      <c r="O345" s="49" t="n">
        <f aca="false">'Daily KPI Entry'!O346</f>
        <v>0</v>
      </c>
      <c r="P345" s="49" t="str">
        <f aca="false">IF(OR(N345="",O345=""),"",IFERROR(O345/N345*100,0))</f>
        <v/>
      </c>
      <c r="Q345" s="47" t="n">
        <f aca="false">'Daily KPI Entry'!Q346</f>
        <v>8</v>
      </c>
      <c r="R345" s="47" t="str">
        <f aca="false">IF(J345="","",Q345*J345)</f>
        <v/>
      </c>
      <c r="S345" s="49" t="n">
        <f aca="false">'Daily KPI Entry'!S346</f>
        <v>0</v>
      </c>
      <c r="T345" s="49" t="str">
        <f aca="false">IF(OR(R345="",S345=""),"",IFERROR(S345/R345*100,0))</f>
        <v/>
      </c>
      <c r="U345" s="49" t="str">
        <f aca="false">IF(OR(O345="",L345="",M345="",S345="",M345=0),"",IFERROR(O345/(L345*60*S345/(M345*36))*100,0))</f>
        <v/>
      </c>
      <c r="V345" s="49" t="n">
        <f aca="false">'Daily KPI Entry'!V346</f>
        <v>0</v>
      </c>
      <c r="W345" s="49" t="str">
        <f aca="false">IF(O345="","",IFERROR(V345/O345*100,0))</f>
        <v/>
      </c>
      <c r="X345" s="49" t="n">
        <f aca="false">'Daily KPI Entry'!X346</f>
        <v>0</v>
      </c>
      <c r="Y345" s="49" t="n">
        <f aca="false">'Daily KPI Entry'!Y346</f>
        <v>0</v>
      </c>
      <c r="Z345" s="49" t="n">
        <f aca="false">'Daily KPI Entry'!Z346</f>
        <v>0</v>
      </c>
      <c r="AA345" s="49" t="n">
        <f aca="false">'Daily KPI Entry'!AA346</f>
        <v>0</v>
      </c>
      <c r="AB345" s="49" t="n">
        <f aca="false">'Daily KPI Entry'!AB346</f>
        <v>0</v>
      </c>
      <c r="AC345" s="49" t="n">
        <f aca="false">'Daily KPI Entry'!AC346</f>
        <v>0</v>
      </c>
      <c r="AD345" s="49" t="n">
        <f aca="false">'Daily KPI Entry'!AD346</f>
        <v>0</v>
      </c>
      <c r="AE345" s="49" t="n">
        <f aca="false">'Daily KPI Entry'!AE346</f>
        <v>0</v>
      </c>
      <c r="AF345" s="47" t="str">
        <f aca="false">IF(O345="","",SUM(X345:AE345))</f>
        <v/>
      </c>
      <c r="AG345" s="49" t="str">
        <f aca="false">IF(O345="","",IFERROR(AF345/O345*1000,0))</f>
        <v/>
      </c>
      <c r="AH345" s="49" t="n">
        <f aca="false">'Daily KPI Entry'!AH346</f>
        <v>0</v>
      </c>
      <c r="AI345" s="49" t="n">
        <f aca="false">'Daily KPI Entry'!AI346</f>
        <v>0</v>
      </c>
      <c r="AJ345" s="49" t="n">
        <f aca="false">'Daily KPI Entry'!AJ346</f>
        <v>0</v>
      </c>
      <c r="AK345" s="47" t="n">
        <f aca="false">'Daily KPI Entry'!AK346</f>
        <v>0</v>
      </c>
      <c r="AL345" s="47" t="n">
        <f aca="false">'Daily KPI Entry'!AL346</f>
        <v>0</v>
      </c>
      <c r="AM345" s="47" t="n">
        <f aca="false">'Daily KPI Entry'!AM346</f>
        <v>0</v>
      </c>
      <c r="AN345" s="49" t="str">
        <f aca="false">IF(P345="","",MIN(120,P345))</f>
        <v/>
      </c>
      <c r="AO345" s="49" t="str">
        <f aca="false">IF(U345="","",MIN(120,U345))</f>
        <v/>
      </c>
      <c r="AP345" s="49" t="str">
        <f aca="false">IF(R345="","",MIN(120,IFERROR(S345/R345*100,0)))</f>
        <v/>
      </c>
      <c r="AQ345" s="49" t="str">
        <f aca="false">IF(W345="","",MIN(120,IF(W345=0,120,100*(INDEX('Standards &amp; Scoring'!$E$5:$E$13,MATCH("Quality / Rejection",'Standards &amp; Scoring'!$A$5:$A$13,0))/W345))))</f>
        <v/>
      </c>
      <c r="AR345" s="49" t="str">
        <f aca="false">IF(AG345="","",MIN(120,IF(AG345=0,120,100*(INDEX('Standards &amp; Scoring'!$E$5:$E$13,MATCH("Fault Control",'Standards &amp; Scoring'!$A$5:$A$13,0))/AG345))))</f>
        <v/>
      </c>
      <c r="AS345" s="49" t="str">
        <f aca="false">IF(O345="","",MIN(120,IF(SUMIFS('Fault &amp; Downtime Entry'!$L$6:$L$1005,'Fault &amp; Downtime Entry'!$E$6:$E$1005,G345,'Fault &amp; Downtime Entry'!$B$6:$B$1005,B345)=0,120,100*(INDEX('Standards &amp; Scoring'!$E$5:$E$13,MATCH("Downtime Control",'Standards &amp; Scoring'!$A$5:$A$13,0))/IFERROR(SUMIFS('Fault &amp; Downtime Entry'!$L$6:$L$1005,'Fault &amp; Downtime Entry'!$E$6:$E$1005,G345,'Fault &amp; Downtime Entry'!$B$6:$B$1005,B345)/O345*1000,999999)))))</f>
        <v/>
      </c>
      <c r="AT345" s="49" t="n">
        <f aca="false">IF(COUNTA(AH345,AJ345)=0,"",MIN(120,IF(AND(AH345&lt;&gt;"",AJ345&lt;&gt;""),AVERAGE(AH345,AJ345),IF(AH345&lt;&gt;"",AH345,AJ345))))</f>
        <v>0</v>
      </c>
      <c r="AU345" s="49" t="str">
        <f aca="false">IF(AI345="","",MIN(120,AI345))</f>
        <v/>
      </c>
      <c r="AV345" s="49" t="str">
        <f aca="false">IF(AJ345="","",MIN(120,AJ345))</f>
        <v/>
      </c>
      <c r="AW345" s="50" t="str">
        <f aca="false">IF(COUNT(AN345:AV345)&lt;9,"",(AN345*'Standards &amp; Scoring'!$D$5+AO345*'Standards &amp; Scoring'!$D$6+AP345*'Standards &amp; Scoring'!$D$7+AQ345*'Standards &amp; Scoring'!$D$8+AR345*'Standards &amp; Scoring'!$D$9+AS345*'Standards &amp; Scoring'!$D$10+AT345*'Standards &amp; Scoring'!$D$11+AU345*'Standards &amp; Scoring'!$D$12+AV345*'Standards &amp; Scoring'!$D$13)/10000)</f>
        <v/>
      </c>
      <c r="AX345" s="47" t="str">
        <f aca="false">IF(AW345="","",IF(AW345&gt;=1.05,"A+",IF(AW345&gt;=1,"A",IF(AW345&gt;=0.95,"B+",IF(AW345&gt;=0.9,"B","C")))))</f>
        <v/>
      </c>
      <c r="AY345" s="47" t="str">
        <f aca="false">IF(AX345="","",IF(AX345="A+",1800,IF(AX345="A",1600,IF(AX345="B+",1400,IF(AX345="B",1200,0)))))</f>
        <v/>
      </c>
      <c r="AZ345" s="49" t="str">
        <f aca="false">IF(OR(L345="",M345="",S345="",M345=0),"",IFERROR(L345*60*S345/(M345*36),0))</f>
        <v/>
      </c>
    </row>
    <row r="346" customFormat="false" ht="15" hidden="false" customHeight="true" outlineLevel="0" collapsed="false">
      <c r="A346" s="47" t="n">
        <f aca="false">'Daily KPI Entry'!A347</f>
        <v>0</v>
      </c>
      <c r="B346" s="48" t="n">
        <f aca="false">'Daily KPI Entry'!B347</f>
        <v>0</v>
      </c>
      <c r="C346" s="47" t="n">
        <f aca="false">'Daily KPI Entry'!C347</f>
        <v>0</v>
      </c>
      <c r="D346" s="47" t="n">
        <f aca="false">'Daily KPI Entry'!D347</f>
        <v>0</v>
      </c>
      <c r="E346" s="47" t="n">
        <f aca="false">'Daily KPI Entry'!E347</f>
        <v>0</v>
      </c>
      <c r="F346" s="47" t="n">
        <f aca="false">'Daily KPI Entry'!F347</f>
        <v>0</v>
      </c>
      <c r="G346" s="47" t="n">
        <f aca="false">'Daily KPI Entry'!G347</f>
        <v>0</v>
      </c>
      <c r="H346" s="47" t="str">
        <f aca="false">'Daily KPI Entry'!H347</f>
        <v/>
      </c>
      <c r="I346" s="47" t="n">
        <f aca="false">'Daily KPI Entry'!I347</f>
        <v>0</v>
      </c>
      <c r="J346" s="47" t="n">
        <f aca="false">'Daily KPI Entry'!J347</f>
        <v>0</v>
      </c>
      <c r="K346" s="47" t="n">
        <f aca="false">'Daily KPI Entry'!K347</f>
        <v>0</v>
      </c>
      <c r="L346" s="47" t="n">
        <f aca="false">'Daily KPI Entry'!L347</f>
        <v>0</v>
      </c>
      <c r="M346" s="47" t="n">
        <f aca="false">'Daily KPI Entry'!M347</f>
        <v>0</v>
      </c>
      <c r="N346" s="49" t="n">
        <f aca="false">'Daily KPI Entry'!N347</f>
        <v>0</v>
      </c>
      <c r="O346" s="49" t="n">
        <f aca="false">'Daily KPI Entry'!O347</f>
        <v>0</v>
      </c>
      <c r="P346" s="49" t="str">
        <f aca="false">IF(OR(N346="",O346=""),"",IFERROR(O346/N346*100,0))</f>
        <v/>
      </c>
      <c r="Q346" s="47" t="n">
        <f aca="false">'Daily KPI Entry'!Q347</f>
        <v>8</v>
      </c>
      <c r="R346" s="47" t="str">
        <f aca="false">IF(J346="","",Q346*J346)</f>
        <v/>
      </c>
      <c r="S346" s="49" t="n">
        <f aca="false">'Daily KPI Entry'!S347</f>
        <v>0</v>
      </c>
      <c r="T346" s="49" t="str">
        <f aca="false">IF(OR(R346="",S346=""),"",IFERROR(S346/R346*100,0))</f>
        <v/>
      </c>
      <c r="U346" s="49" t="str">
        <f aca="false">IF(OR(O346="",L346="",M346="",S346="",M346=0),"",IFERROR(O346/(L346*60*S346/(M346*36))*100,0))</f>
        <v/>
      </c>
      <c r="V346" s="49" t="n">
        <f aca="false">'Daily KPI Entry'!V347</f>
        <v>0</v>
      </c>
      <c r="W346" s="49" t="str">
        <f aca="false">IF(O346="","",IFERROR(V346/O346*100,0))</f>
        <v/>
      </c>
      <c r="X346" s="49" t="n">
        <f aca="false">'Daily KPI Entry'!X347</f>
        <v>0</v>
      </c>
      <c r="Y346" s="49" t="n">
        <f aca="false">'Daily KPI Entry'!Y347</f>
        <v>0</v>
      </c>
      <c r="Z346" s="49" t="n">
        <f aca="false">'Daily KPI Entry'!Z347</f>
        <v>0</v>
      </c>
      <c r="AA346" s="49" t="n">
        <f aca="false">'Daily KPI Entry'!AA347</f>
        <v>0</v>
      </c>
      <c r="AB346" s="49" t="n">
        <f aca="false">'Daily KPI Entry'!AB347</f>
        <v>0</v>
      </c>
      <c r="AC346" s="49" t="n">
        <f aca="false">'Daily KPI Entry'!AC347</f>
        <v>0</v>
      </c>
      <c r="AD346" s="49" t="n">
        <f aca="false">'Daily KPI Entry'!AD347</f>
        <v>0</v>
      </c>
      <c r="AE346" s="49" t="n">
        <f aca="false">'Daily KPI Entry'!AE347</f>
        <v>0</v>
      </c>
      <c r="AF346" s="47" t="str">
        <f aca="false">IF(O346="","",SUM(X346:AE346))</f>
        <v/>
      </c>
      <c r="AG346" s="49" t="str">
        <f aca="false">IF(O346="","",IFERROR(AF346/O346*1000,0))</f>
        <v/>
      </c>
      <c r="AH346" s="49" t="n">
        <f aca="false">'Daily KPI Entry'!AH347</f>
        <v>0</v>
      </c>
      <c r="AI346" s="49" t="n">
        <f aca="false">'Daily KPI Entry'!AI347</f>
        <v>0</v>
      </c>
      <c r="AJ346" s="49" t="n">
        <f aca="false">'Daily KPI Entry'!AJ347</f>
        <v>0</v>
      </c>
      <c r="AK346" s="47" t="n">
        <f aca="false">'Daily KPI Entry'!AK347</f>
        <v>0</v>
      </c>
      <c r="AL346" s="47" t="n">
        <f aca="false">'Daily KPI Entry'!AL347</f>
        <v>0</v>
      </c>
      <c r="AM346" s="47" t="n">
        <f aca="false">'Daily KPI Entry'!AM347</f>
        <v>0</v>
      </c>
      <c r="AN346" s="49" t="str">
        <f aca="false">IF(P346="","",MIN(120,P346))</f>
        <v/>
      </c>
      <c r="AO346" s="49" t="str">
        <f aca="false">IF(U346="","",MIN(120,U346))</f>
        <v/>
      </c>
      <c r="AP346" s="49" t="str">
        <f aca="false">IF(R346="","",MIN(120,IFERROR(S346/R346*100,0)))</f>
        <v/>
      </c>
      <c r="AQ346" s="49" t="str">
        <f aca="false">IF(W346="","",MIN(120,IF(W346=0,120,100*(INDEX('Standards &amp; Scoring'!$E$5:$E$13,MATCH("Quality / Rejection",'Standards &amp; Scoring'!$A$5:$A$13,0))/W346))))</f>
        <v/>
      </c>
      <c r="AR346" s="49" t="str">
        <f aca="false">IF(AG346="","",MIN(120,IF(AG346=0,120,100*(INDEX('Standards &amp; Scoring'!$E$5:$E$13,MATCH("Fault Control",'Standards &amp; Scoring'!$A$5:$A$13,0))/AG346))))</f>
        <v/>
      </c>
      <c r="AS346" s="49" t="str">
        <f aca="false">IF(O346="","",MIN(120,IF(SUMIFS('Fault &amp; Downtime Entry'!$L$6:$L$1005,'Fault &amp; Downtime Entry'!$E$6:$E$1005,G346,'Fault &amp; Downtime Entry'!$B$6:$B$1005,B346)=0,120,100*(INDEX('Standards &amp; Scoring'!$E$5:$E$13,MATCH("Downtime Control",'Standards &amp; Scoring'!$A$5:$A$13,0))/IFERROR(SUMIFS('Fault &amp; Downtime Entry'!$L$6:$L$1005,'Fault &amp; Downtime Entry'!$E$6:$E$1005,G346,'Fault &amp; Downtime Entry'!$B$6:$B$1005,B346)/O346*1000,999999)))))</f>
        <v/>
      </c>
      <c r="AT346" s="49" t="n">
        <f aca="false">IF(COUNTA(AH346,AJ346)=0,"",MIN(120,IF(AND(AH346&lt;&gt;"",AJ346&lt;&gt;""),AVERAGE(AH346,AJ346),IF(AH346&lt;&gt;"",AH346,AJ346))))</f>
        <v>0</v>
      </c>
      <c r="AU346" s="49" t="str">
        <f aca="false">IF(AI346="","",MIN(120,AI346))</f>
        <v/>
      </c>
      <c r="AV346" s="49" t="str">
        <f aca="false">IF(AJ346="","",MIN(120,AJ346))</f>
        <v/>
      </c>
      <c r="AW346" s="50" t="str">
        <f aca="false">IF(COUNT(AN346:AV346)&lt;9,"",(AN346*'Standards &amp; Scoring'!$D$5+AO346*'Standards &amp; Scoring'!$D$6+AP346*'Standards &amp; Scoring'!$D$7+AQ346*'Standards &amp; Scoring'!$D$8+AR346*'Standards &amp; Scoring'!$D$9+AS346*'Standards &amp; Scoring'!$D$10+AT346*'Standards &amp; Scoring'!$D$11+AU346*'Standards &amp; Scoring'!$D$12+AV346*'Standards &amp; Scoring'!$D$13)/10000)</f>
        <v/>
      </c>
      <c r="AX346" s="47" t="str">
        <f aca="false">IF(AW346="","",IF(AW346&gt;=1.05,"A+",IF(AW346&gt;=1,"A",IF(AW346&gt;=0.95,"B+",IF(AW346&gt;=0.9,"B","C")))))</f>
        <v/>
      </c>
      <c r="AY346" s="47" t="str">
        <f aca="false">IF(AX346="","",IF(AX346="A+",1800,IF(AX346="A",1600,IF(AX346="B+",1400,IF(AX346="B",1200,0)))))</f>
        <v/>
      </c>
      <c r="AZ346" s="49" t="str">
        <f aca="false">IF(OR(L346="",M346="",S346="",M346=0),"",IFERROR(L346*60*S346/(M346*36),0))</f>
        <v/>
      </c>
    </row>
    <row r="347" customFormat="false" ht="15" hidden="false" customHeight="true" outlineLevel="0" collapsed="false">
      <c r="A347" s="47" t="n">
        <f aca="false">'Daily KPI Entry'!A348</f>
        <v>0</v>
      </c>
      <c r="B347" s="48" t="n">
        <f aca="false">'Daily KPI Entry'!B348</f>
        <v>0</v>
      </c>
      <c r="C347" s="47" t="n">
        <f aca="false">'Daily KPI Entry'!C348</f>
        <v>0</v>
      </c>
      <c r="D347" s="47" t="n">
        <f aca="false">'Daily KPI Entry'!D348</f>
        <v>0</v>
      </c>
      <c r="E347" s="47" t="n">
        <f aca="false">'Daily KPI Entry'!E348</f>
        <v>0</v>
      </c>
      <c r="F347" s="47" t="n">
        <f aca="false">'Daily KPI Entry'!F348</f>
        <v>0</v>
      </c>
      <c r="G347" s="47" t="n">
        <f aca="false">'Daily KPI Entry'!G348</f>
        <v>0</v>
      </c>
      <c r="H347" s="47" t="str">
        <f aca="false">'Daily KPI Entry'!H348</f>
        <v/>
      </c>
      <c r="I347" s="47" t="n">
        <f aca="false">'Daily KPI Entry'!I348</f>
        <v>0</v>
      </c>
      <c r="J347" s="47" t="n">
        <f aca="false">'Daily KPI Entry'!J348</f>
        <v>0</v>
      </c>
      <c r="K347" s="47" t="n">
        <f aca="false">'Daily KPI Entry'!K348</f>
        <v>0</v>
      </c>
      <c r="L347" s="47" t="n">
        <f aca="false">'Daily KPI Entry'!L348</f>
        <v>0</v>
      </c>
      <c r="M347" s="47" t="n">
        <f aca="false">'Daily KPI Entry'!M348</f>
        <v>0</v>
      </c>
      <c r="N347" s="49" t="n">
        <f aca="false">'Daily KPI Entry'!N348</f>
        <v>0</v>
      </c>
      <c r="O347" s="49" t="n">
        <f aca="false">'Daily KPI Entry'!O348</f>
        <v>0</v>
      </c>
      <c r="P347" s="49" t="str">
        <f aca="false">IF(OR(N347="",O347=""),"",IFERROR(O347/N347*100,0))</f>
        <v/>
      </c>
      <c r="Q347" s="47" t="n">
        <f aca="false">'Daily KPI Entry'!Q348</f>
        <v>8</v>
      </c>
      <c r="R347" s="47" t="str">
        <f aca="false">IF(J347="","",Q347*J347)</f>
        <v/>
      </c>
      <c r="S347" s="49" t="n">
        <f aca="false">'Daily KPI Entry'!S348</f>
        <v>0</v>
      </c>
      <c r="T347" s="49" t="str">
        <f aca="false">IF(OR(R347="",S347=""),"",IFERROR(S347/R347*100,0))</f>
        <v/>
      </c>
      <c r="U347" s="49" t="str">
        <f aca="false">IF(OR(O347="",L347="",M347="",S347="",M347=0),"",IFERROR(O347/(L347*60*S347/(M347*36))*100,0))</f>
        <v/>
      </c>
      <c r="V347" s="49" t="n">
        <f aca="false">'Daily KPI Entry'!V348</f>
        <v>0</v>
      </c>
      <c r="W347" s="49" t="str">
        <f aca="false">IF(O347="","",IFERROR(V347/O347*100,0))</f>
        <v/>
      </c>
      <c r="X347" s="49" t="n">
        <f aca="false">'Daily KPI Entry'!X348</f>
        <v>0</v>
      </c>
      <c r="Y347" s="49" t="n">
        <f aca="false">'Daily KPI Entry'!Y348</f>
        <v>0</v>
      </c>
      <c r="Z347" s="49" t="n">
        <f aca="false">'Daily KPI Entry'!Z348</f>
        <v>0</v>
      </c>
      <c r="AA347" s="49" t="n">
        <f aca="false">'Daily KPI Entry'!AA348</f>
        <v>0</v>
      </c>
      <c r="AB347" s="49" t="n">
        <f aca="false">'Daily KPI Entry'!AB348</f>
        <v>0</v>
      </c>
      <c r="AC347" s="49" t="n">
        <f aca="false">'Daily KPI Entry'!AC348</f>
        <v>0</v>
      </c>
      <c r="AD347" s="49" t="n">
        <f aca="false">'Daily KPI Entry'!AD348</f>
        <v>0</v>
      </c>
      <c r="AE347" s="49" t="n">
        <f aca="false">'Daily KPI Entry'!AE348</f>
        <v>0</v>
      </c>
      <c r="AF347" s="47" t="str">
        <f aca="false">IF(O347="","",SUM(X347:AE347))</f>
        <v/>
      </c>
      <c r="AG347" s="49" t="str">
        <f aca="false">IF(O347="","",IFERROR(AF347/O347*1000,0))</f>
        <v/>
      </c>
      <c r="AH347" s="49" t="n">
        <f aca="false">'Daily KPI Entry'!AH348</f>
        <v>0</v>
      </c>
      <c r="AI347" s="49" t="n">
        <f aca="false">'Daily KPI Entry'!AI348</f>
        <v>0</v>
      </c>
      <c r="AJ347" s="49" t="n">
        <f aca="false">'Daily KPI Entry'!AJ348</f>
        <v>0</v>
      </c>
      <c r="AK347" s="47" t="n">
        <f aca="false">'Daily KPI Entry'!AK348</f>
        <v>0</v>
      </c>
      <c r="AL347" s="47" t="n">
        <f aca="false">'Daily KPI Entry'!AL348</f>
        <v>0</v>
      </c>
      <c r="AM347" s="47" t="n">
        <f aca="false">'Daily KPI Entry'!AM348</f>
        <v>0</v>
      </c>
      <c r="AN347" s="49" t="str">
        <f aca="false">IF(P347="","",MIN(120,P347))</f>
        <v/>
      </c>
      <c r="AO347" s="49" t="str">
        <f aca="false">IF(U347="","",MIN(120,U347))</f>
        <v/>
      </c>
      <c r="AP347" s="49" t="str">
        <f aca="false">IF(R347="","",MIN(120,IFERROR(S347/R347*100,0)))</f>
        <v/>
      </c>
      <c r="AQ347" s="49" t="str">
        <f aca="false">IF(W347="","",MIN(120,IF(W347=0,120,100*(INDEX('Standards &amp; Scoring'!$E$5:$E$13,MATCH("Quality / Rejection",'Standards &amp; Scoring'!$A$5:$A$13,0))/W347))))</f>
        <v/>
      </c>
      <c r="AR347" s="49" t="str">
        <f aca="false">IF(AG347="","",MIN(120,IF(AG347=0,120,100*(INDEX('Standards &amp; Scoring'!$E$5:$E$13,MATCH("Fault Control",'Standards &amp; Scoring'!$A$5:$A$13,0))/AG347))))</f>
        <v/>
      </c>
      <c r="AS347" s="49" t="str">
        <f aca="false">IF(O347="","",MIN(120,IF(SUMIFS('Fault &amp; Downtime Entry'!$L$6:$L$1005,'Fault &amp; Downtime Entry'!$E$6:$E$1005,G347,'Fault &amp; Downtime Entry'!$B$6:$B$1005,B347)=0,120,100*(INDEX('Standards &amp; Scoring'!$E$5:$E$13,MATCH("Downtime Control",'Standards &amp; Scoring'!$A$5:$A$13,0))/IFERROR(SUMIFS('Fault &amp; Downtime Entry'!$L$6:$L$1005,'Fault &amp; Downtime Entry'!$E$6:$E$1005,G347,'Fault &amp; Downtime Entry'!$B$6:$B$1005,B347)/O347*1000,999999)))))</f>
        <v/>
      </c>
      <c r="AT347" s="49" t="n">
        <f aca="false">IF(COUNTA(AH347,AJ347)=0,"",MIN(120,IF(AND(AH347&lt;&gt;"",AJ347&lt;&gt;""),AVERAGE(AH347,AJ347),IF(AH347&lt;&gt;"",AH347,AJ347))))</f>
        <v>0</v>
      </c>
      <c r="AU347" s="49" t="str">
        <f aca="false">IF(AI347="","",MIN(120,AI347))</f>
        <v/>
      </c>
      <c r="AV347" s="49" t="str">
        <f aca="false">IF(AJ347="","",MIN(120,AJ347))</f>
        <v/>
      </c>
      <c r="AW347" s="50" t="str">
        <f aca="false">IF(COUNT(AN347:AV347)&lt;9,"",(AN347*'Standards &amp; Scoring'!$D$5+AO347*'Standards &amp; Scoring'!$D$6+AP347*'Standards &amp; Scoring'!$D$7+AQ347*'Standards &amp; Scoring'!$D$8+AR347*'Standards &amp; Scoring'!$D$9+AS347*'Standards &amp; Scoring'!$D$10+AT347*'Standards &amp; Scoring'!$D$11+AU347*'Standards &amp; Scoring'!$D$12+AV347*'Standards &amp; Scoring'!$D$13)/10000)</f>
        <v/>
      </c>
      <c r="AX347" s="47" t="str">
        <f aca="false">IF(AW347="","",IF(AW347&gt;=1.05,"A+",IF(AW347&gt;=1,"A",IF(AW347&gt;=0.95,"B+",IF(AW347&gt;=0.9,"B","C")))))</f>
        <v/>
      </c>
      <c r="AY347" s="47" t="str">
        <f aca="false">IF(AX347="","",IF(AX347="A+",1800,IF(AX347="A",1600,IF(AX347="B+",1400,IF(AX347="B",1200,0)))))</f>
        <v/>
      </c>
      <c r="AZ347" s="49" t="str">
        <f aca="false">IF(OR(L347="",M347="",S347="",M347=0),"",IFERROR(L347*60*S347/(M347*36),0))</f>
        <v/>
      </c>
    </row>
    <row r="348" customFormat="false" ht="15" hidden="false" customHeight="true" outlineLevel="0" collapsed="false">
      <c r="A348" s="47" t="n">
        <f aca="false">'Daily KPI Entry'!A349</f>
        <v>0</v>
      </c>
      <c r="B348" s="48" t="n">
        <f aca="false">'Daily KPI Entry'!B349</f>
        <v>0</v>
      </c>
      <c r="C348" s="47" t="n">
        <f aca="false">'Daily KPI Entry'!C349</f>
        <v>0</v>
      </c>
      <c r="D348" s="47" t="n">
        <f aca="false">'Daily KPI Entry'!D349</f>
        <v>0</v>
      </c>
      <c r="E348" s="47" t="n">
        <f aca="false">'Daily KPI Entry'!E349</f>
        <v>0</v>
      </c>
      <c r="F348" s="47" t="n">
        <f aca="false">'Daily KPI Entry'!F349</f>
        <v>0</v>
      </c>
      <c r="G348" s="47" t="n">
        <f aca="false">'Daily KPI Entry'!G349</f>
        <v>0</v>
      </c>
      <c r="H348" s="47" t="str">
        <f aca="false">'Daily KPI Entry'!H349</f>
        <v/>
      </c>
      <c r="I348" s="47" t="n">
        <f aca="false">'Daily KPI Entry'!I349</f>
        <v>0</v>
      </c>
      <c r="J348" s="47" t="n">
        <f aca="false">'Daily KPI Entry'!J349</f>
        <v>0</v>
      </c>
      <c r="K348" s="47" t="n">
        <f aca="false">'Daily KPI Entry'!K349</f>
        <v>0</v>
      </c>
      <c r="L348" s="47" t="n">
        <f aca="false">'Daily KPI Entry'!L349</f>
        <v>0</v>
      </c>
      <c r="M348" s="47" t="n">
        <f aca="false">'Daily KPI Entry'!M349</f>
        <v>0</v>
      </c>
      <c r="N348" s="49" t="n">
        <f aca="false">'Daily KPI Entry'!N349</f>
        <v>0</v>
      </c>
      <c r="O348" s="49" t="n">
        <f aca="false">'Daily KPI Entry'!O349</f>
        <v>0</v>
      </c>
      <c r="P348" s="49" t="str">
        <f aca="false">IF(OR(N348="",O348=""),"",IFERROR(O348/N348*100,0))</f>
        <v/>
      </c>
      <c r="Q348" s="47" t="n">
        <f aca="false">'Daily KPI Entry'!Q349</f>
        <v>8</v>
      </c>
      <c r="R348" s="47" t="str">
        <f aca="false">IF(J348="","",Q348*J348)</f>
        <v/>
      </c>
      <c r="S348" s="49" t="n">
        <f aca="false">'Daily KPI Entry'!S349</f>
        <v>0</v>
      </c>
      <c r="T348" s="49" t="str">
        <f aca="false">IF(OR(R348="",S348=""),"",IFERROR(S348/R348*100,0))</f>
        <v/>
      </c>
      <c r="U348" s="49" t="str">
        <f aca="false">IF(OR(O348="",L348="",M348="",S348="",M348=0),"",IFERROR(O348/(L348*60*S348/(M348*36))*100,0))</f>
        <v/>
      </c>
      <c r="V348" s="49" t="n">
        <f aca="false">'Daily KPI Entry'!V349</f>
        <v>0</v>
      </c>
      <c r="W348" s="49" t="str">
        <f aca="false">IF(O348="","",IFERROR(V348/O348*100,0))</f>
        <v/>
      </c>
      <c r="X348" s="49" t="n">
        <f aca="false">'Daily KPI Entry'!X349</f>
        <v>0</v>
      </c>
      <c r="Y348" s="49" t="n">
        <f aca="false">'Daily KPI Entry'!Y349</f>
        <v>0</v>
      </c>
      <c r="Z348" s="49" t="n">
        <f aca="false">'Daily KPI Entry'!Z349</f>
        <v>0</v>
      </c>
      <c r="AA348" s="49" t="n">
        <f aca="false">'Daily KPI Entry'!AA349</f>
        <v>0</v>
      </c>
      <c r="AB348" s="49" t="n">
        <f aca="false">'Daily KPI Entry'!AB349</f>
        <v>0</v>
      </c>
      <c r="AC348" s="49" t="n">
        <f aca="false">'Daily KPI Entry'!AC349</f>
        <v>0</v>
      </c>
      <c r="AD348" s="49" t="n">
        <f aca="false">'Daily KPI Entry'!AD349</f>
        <v>0</v>
      </c>
      <c r="AE348" s="49" t="n">
        <f aca="false">'Daily KPI Entry'!AE349</f>
        <v>0</v>
      </c>
      <c r="AF348" s="47" t="str">
        <f aca="false">IF(O348="","",SUM(X348:AE348))</f>
        <v/>
      </c>
      <c r="AG348" s="49" t="str">
        <f aca="false">IF(O348="","",IFERROR(AF348/O348*1000,0))</f>
        <v/>
      </c>
      <c r="AH348" s="49" t="n">
        <f aca="false">'Daily KPI Entry'!AH349</f>
        <v>0</v>
      </c>
      <c r="AI348" s="49" t="n">
        <f aca="false">'Daily KPI Entry'!AI349</f>
        <v>0</v>
      </c>
      <c r="AJ348" s="49" t="n">
        <f aca="false">'Daily KPI Entry'!AJ349</f>
        <v>0</v>
      </c>
      <c r="AK348" s="47" t="n">
        <f aca="false">'Daily KPI Entry'!AK349</f>
        <v>0</v>
      </c>
      <c r="AL348" s="47" t="n">
        <f aca="false">'Daily KPI Entry'!AL349</f>
        <v>0</v>
      </c>
      <c r="AM348" s="47" t="n">
        <f aca="false">'Daily KPI Entry'!AM349</f>
        <v>0</v>
      </c>
      <c r="AN348" s="49" t="str">
        <f aca="false">IF(P348="","",MIN(120,P348))</f>
        <v/>
      </c>
      <c r="AO348" s="49" t="str">
        <f aca="false">IF(U348="","",MIN(120,U348))</f>
        <v/>
      </c>
      <c r="AP348" s="49" t="str">
        <f aca="false">IF(R348="","",MIN(120,IFERROR(S348/R348*100,0)))</f>
        <v/>
      </c>
      <c r="AQ348" s="49" t="str">
        <f aca="false">IF(W348="","",MIN(120,IF(W348=0,120,100*(INDEX('Standards &amp; Scoring'!$E$5:$E$13,MATCH("Quality / Rejection",'Standards &amp; Scoring'!$A$5:$A$13,0))/W348))))</f>
        <v/>
      </c>
      <c r="AR348" s="49" t="str">
        <f aca="false">IF(AG348="","",MIN(120,IF(AG348=0,120,100*(INDEX('Standards &amp; Scoring'!$E$5:$E$13,MATCH("Fault Control",'Standards &amp; Scoring'!$A$5:$A$13,0))/AG348))))</f>
        <v/>
      </c>
      <c r="AS348" s="49" t="str">
        <f aca="false">IF(O348="","",MIN(120,IF(SUMIFS('Fault &amp; Downtime Entry'!$L$6:$L$1005,'Fault &amp; Downtime Entry'!$E$6:$E$1005,G348,'Fault &amp; Downtime Entry'!$B$6:$B$1005,B348)=0,120,100*(INDEX('Standards &amp; Scoring'!$E$5:$E$13,MATCH("Downtime Control",'Standards &amp; Scoring'!$A$5:$A$13,0))/IFERROR(SUMIFS('Fault &amp; Downtime Entry'!$L$6:$L$1005,'Fault &amp; Downtime Entry'!$E$6:$E$1005,G348,'Fault &amp; Downtime Entry'!$B$6:$B$1005,B348)/O348*1000,999999)))))</f>
        <v/>
      </c>
      <c r="AT348" s="49" t="n">
        <f aca="false">IF(COUNTA(AH348,AJ348)=0,"",MIN(120,IF(AND(AH348&lt;&gt;"",AJ348&lt;&gt;""),AVERAGE(AH348,AJ348),IF(AH348&lt;&gt;"",AH348,AJ348))))</f>
        <v>0</v>
      </c>
      <c r="AU348" s="49" t="str">
        <f aca="false">IF(AI348="","",MIN(120,AI348))</f>
        <v/>
      </c>
      <c r="AV348" s="49" t="str">
        <f aca="false">IF(AJ348="","",MIN(120,AJ348))</f>
        <v/>
      </c>
      <c r="AW348" s="50" t="str">
        <f aca="false">IF(COUNT(AN348:AV348)&lt;9,"",(AN348*'Standards &amp; Scoring'!$D$5+AO348*'Standards &amp; Scoring'!$D$6+AP348*'Standards &amp; Scoring'!$D$7+AQ348*'Standards &amp; Scoring'!$D$8+AR348*'Standards &amp; Scoring'!$D$9+AS348*'Standards &amp; Scoring'!$D$10+AT348*'Standards &amp; Scoring'!$D$11+AU348*'Standards &amp; Scoring'!$D$12+AV348*'Standards &amp; Scoring'!$D$13)/10000)</f>
        <v/>
      </c>
      <c r="AX348" s="47" t="str">
        <f aca="false">IF(AW348="","",IF(AW348&gt;=1.05,"A+",IF(AW348&gt;=1,"A",IF(AW348&gt;=0.95,"B+",IF(AW348&gt;=0.9,"B","C")))))</f>
        <v/>
      </c>
      <c r="AY348" s="47" t="str">
        <f aca="false">IF(AX348="","",IF(AX348="A+",1800,IF(AX348="A",1600,IF(AX348="B+",1400,IF(AX348="B",1200,0)))))</f>
        <v/>
      </c>
      <c r="AZ348" s="49" t="str">
        <f aca="false">IF(OR(L348="",M348="",S348="",M348=0),"",IFERROR(L348*60*S348/(M348*36),0))</f>
        <v/>
      </c>
    </row>
    <row r="349" customFormat="false" ht="15" hidden="false" customHeight="true" outlineLevel="0" collapsed="false">
      <c r="A349" s="47" t="n">
        <f aca="false">'Daily KPI Entry'!A350</f>
        <v>0</v>
      </c>
      <c r="B349" s="48" t="n">
        <f aca="false">'Daily KPI Entry'!B350</f>
        <v>0</v>
      </c>
      <c r="C349" s="47" t="n">
        <f aca="false">'Daily KPI Entry'!C350</f>
        <v>0</v>
      </c>
      <c r="D349" s="47" t="n">
        <f aca="false">'Daily KPI Entry'!D350</f>
        <v>0</v>
      </c>
      <c r="E349" s="47" t="n">
        <f aca="false">'Daily KPI Entry'!E350</f>
        <v>0</v>
      </c>
      <c r="F349" s="47" t="n">
        <f aca="false">'Daily KPI Entry'!F350</f>
        <v>0</v>
      </c>
      <c r="G349" s="47" t="n">
        <f aca="false">'Daily KPI Entry'!G350</f>
        <v>0</v>
      </c>
      <c r="H349" s="47" t="str">
        <f aca="false">'Daily KPI Entry'!H350</f>
        <v/>
      </c>
      <c r="I349" s="47" t="n">
        <f aca="false">'Daily KPI Entry'!I350</f>
        <v>0</v>
      </c>
      <c r="J349" s="47" t="n">
        <f aca="false">'Daily KPI Entry'!J350</f>
        <v>0</v>
      </c>
      <c r="K349" s="47" t="n">
        <f aca="false">'Daily KPI Entry'!K350</f>
        <v>0</v>
      </c>
      <c r="L349" s="47" t="n">
        <f aca="false">'Daily KPI Entry'!L350</f>
        <v>0</v>
      </c>
      <c r="M349" s="47" t="n">
        <f aca="false">'Daily KPI Entry'!M350</f>
        <v>0</v>
      </c>
      <c r="N349" s="49" t="n">
        <f aca="false">'Daily KPI Entry'!N350</f>
        <v>0</v>
      </c>
      <c r="O349" s="49" t="n">
        <f aca="false">'Daily KPI Entry'!O350</f>
        <v>0</v>
      </c>
      <c r="P349" s="49" t="str">
        <f aca="false">IF(OR(N349="",O349=""),"",IFERROR(O349/N349*100,0))</f>
        <v/>
      </c>
      <c r="Q349" s="47" t="n">
        <f aca="false">'Daily KPI Entry'!Q350</f>
        <v>8</v>
      </c>
      <c r="R349" s="47" t="str">
        <f aca="false">IF(J349="","",Q349*J349)</f>
        <v/>
      </c>
      <c r="S349" s="49" t="n">
        <f aca="false">'Daily KPI Entry'!S350</f>
        <v>0</v>
      </c>
      <c r="T349" s="49" t="str">
        <f aca="false">IF(OR(R349="",S349=""),"",IFERROR(S349/R349*100,0))</f>
        <v/>
      </c>
      <c r="U349" s="49" t="str">
        <f aca="false">IF(OR(O349="",L349="",M349="",S349="",M349=0),"",IFERROR(O349/(L349*60*S349/(M349*36))*100,0))</f>
        <v/>
      </c>
      <c r="V349" s="49" t="n">
        <f aca="false">'Daily KPI Entry'!V350</f>
        <v>0</v>
      </c>
      <c r="W349" s="49" t="str">
        <f aca="false">IF(O349="","",IFERROR(V349/O349*100,0))</f>
        <v/>
      </c>
      <c r="X349" s="49" t="n">
        <f aca="false">'Daily KPI Entry'!X350</f>
        <v>0</v>
      </c>
      <c r="Y349" s="49" t="n">
        <f aca="false">'Daily KPI Entry'!Y350</f>
        <v>0</v>
      </c>
      <c r="Z349" s="49" t="n">
        <f aca="false">'Daily KPI Entry'!Z350</f>
        <v>0</v>
      </c>
      <c r="AA349" s="49" t="n">
        <f aca="false">'Daily KPI Entry'!AA350</f>
        <v>0</v>
      </c>
      <c r="AB349" s="49" t="n">
        <f aca="false">'Daily KPI Entry'!AB350</f>
        <v>0</v>
      </c>
      <c r="AC349" s="49" t="n">
        <f aca="false">'Daily KPI Entry'!AC350</f>
        <v>0</v>
      </c>
      <c r="AD349" s="49" t="n">
        <f aca="false">'Daily KPI Entry'!AD350</f>
        <v>0</v>
      </c>
      <c r="AE349" s="49" t="n">
        <f aca="false">'Daily KPI Entry'!AE350</f>
        <v>0</v>
      </c>
      <c r="AF349" s="47" t="str">
        <f aca="false">IF(O349="","",SUM(X349:AE349))</f>
        <v/>
      </c>
      <c r="AG349" s="49" t="str">
        <f aca="false">IF(O349="","",IFERROR(AF349/O349*1000,0))</f>
        <v/>
      </c>
      <c r="AH349" s="49" t="n">
        <f aca="false">'Daily KPI Entry'!AH350</f>
        <v>0</v>
      </c>
      <c r="AI349" s="49" t="n">
        <f aca="false">'Daily KPI Entry'!AI350</f>
        <v>0</v>
      </c>
      <c r="AJ349" s="49" t="n">
        <f aca="false">'Daily KPI Entry'!AJ350</f>
        <v>0</v>
      </c>
      <c r="AK349" s="47" t="n">
        <f aca="false">'Daily KPI Entry'!AK350</f>
        <v>0</v>
      </c>
      <c r="AL349" s="47" t="n">
        <f aca="false">'Daily KPI Entry'!AL350</f>
        <v>0</v>
      </c>
      <c r="AM349" s="47" t="n">
        <f aca="false">'Daily KPI Entry'!AM350</f>
        <v>0</v>
      </c>
      <c r="AN349" s="49" t="str">
        <f aca="false">IF(P349="","",MIN(120,P349))</f>
        <v/>
      </c>
      <c r="AO349" s="49" t="str">
        <f aca="false">IF(U349="","",MIN(120,U349))</f>
        <v/>
      </c>
      <c r="AP349" s="49" t="str">
        <f aca="false">IF(R349="","",MIN(120,IFERROR(S349/R349*100,0)))</f>
        <v/>
      </c>
      <c r="AQ349" s="49" t="str">
        <f aca="false">IF(W349="","",MIN(120,IF(W349=0,120,100*(INDEX('Standards &amp; Scoring'!$E$5:$E$13,MATCH("Quality / Rejection",'Standards &amp; Scoring'!$A$5:$A$13,0))/W349))))</f>
        <v/>
      </c>
      <c r="AR349" s="49" t="str">
        <f aca="false">IF(AG349="","",MIN(120,IF(AG349=0,120,100*(INDEX('Standards &amp; Scoring'!$E$5:$E$13,MATCH("Fault Control",'Standards &amp; Scoring'!$A$5:$A$13,0))/AG349))))</f>
        <v/>
      </c>
      <c r="AS349" s="49" t="str">
        <f aca="false">IF(O349="","",MIN(120,IF(SUMIFS('Fault &amp; Downtime Entry'!$L$6:$L$1005,'Fault &amp; Downtime Entry'!$E$6:$E$1005,G349,'Fault &amp; Downtime Entry'!$B$6:$B$1005,B349)=0,120,100*(INDEX('Standards &amp; Scoring'!$E$5:$E$13,MATCH("Downtime Control",'Standards &amp; Scoring'!$A$5:$A$13,0))/IFERROR(SUMIFS('Fault &amp; Downtime Entry'!$L$6:$L$1005,'Fault &amp; Downtime Entry'!$E$6:$E$1005,G349,'Fault &amp; Downtime Entry'!$B$6:$B$1005,B349)/O349*1000,999999)))))</f>
        <v/>
      </c>
      <c r="AT349" s="49" t="n">
        <f aca="false">IF(COUNTA(AH349,AJ349)=0,"",MIN(120,IF(AND(AH349&lt;&gt;"",AJ349&lt;&gt;""),AVERAGE(AH349,AJ349),IF(AH349&lt;&gt;"",AH349,AJ349))))</f>
        <v>0</v>
      </c>
      <c r="AU349" s="49" t="str">
        <f aca="false">IF(AI349="","",MIN(120,AI349))</f>
        <v/>
      </c>
      <c r="AV349" s="49" t="str">
        <f aca="false">IF(AJ349="","",MIN(120,AJ349))</f>
        <v/>
      </c>
      <c r="AW349" s="50" t="str">
        <f aca="false">IF(COUNT(AN349:AV349)&lt;9,"",(AN349*'Standards &amp; Scoring'!$D$5+AO349*'Standards &amp; Scoring'!$D$6+AP349*'Standards &amp; Scoring'!$D$7+AQ349*'Standards &amp; Scoring'!$D$8+AR349*'Standards &amp; Scoring'!$D$9+AS349*'Standards &amp; Scoring'!$D$10+AT349*'Standards &amp; Scoring'!$D$11+AU349*'Standards &amp; Scoring'!$D$12+AV349*'Standards &amp; Scoring'!$D$13)/10000)</f>
        <v/>
      </c>
      <c r="AX349" s="47" t="str">
        <f aca="false">IF(AW349="","",IF(AW349&gt;=1.05,"A+",IF(AW349&gt;=1,"A",IF(AW349&gt;=0.95,"B+",IF(AW349&gt;=0.9,"B","C")))))</f>
        <v/>
      </c>
      <c r="AY349" s="47" t="str">
        <f aca="false">IF(AX349="","",IF(AX349="A+",1800,IF(AX349="A",1600,IF(AX349="B+",1400,IF(AX349="B",1200,0)))))</f>
        <v/>
      </c>
      <c r="AZ349" s="49" t="str">
        <f aca="false">IF(OR(L349="",M349="",S349="",M349=0),"",IFERROR(L349*60*S349/(M349*36),0))</f>
        <v/>
      </c>
    </row>
    <row r="350" customFormat="false" ht="15" hidden="false" customHeight="true" outlineLevel="0" collapsed="false">
      <c r="A350" s="47" t="n">
        <f aca="false">'Daily KPI Entry'!A351</f>
        <v>0</v>
      </c>
      <c r="B350" s="48" t="n">
        <f aca="false">'Daily KPI Entry'!B351</f>
        <v>0</v>
      </c>
      <c r="C350" s="47" t="n">
        <f aca="false">'Daily KPI Entry'!C351</f>
        <v>0</v>
      </c>
      <c r="D350" s="47" t="n">
        <f aca="false">'Daily KPI Entry'!D351</f>
        <v>0</v>
      </c>
      <c r="E350" s="47" t="n">
        <f aca="false">'Daily KPI Entry'!E351</f>
        <v>0</v>
      </c>
      <c r="F350" s="47" t="n">
        <f aca="false">'Daily KPI Entry'!F351</f>
        <v>0</v>
      </c>
      <c r="G350" s="47" t="n">
        <f aca="false">'Daily KPI Entry'!G351</f>
        <v>0</v>
      </c>
      <c r="H350" s="47" t="str">
        <f aca="false">'Daily KPI Entry'!H351</f>
        <v/>
      </c>
      <c r="I350" s="47" t="n">
        <f aca="false">'Daily KPI Entry'!I351</f>
        <v>0</v>
      </c>
      <c r="J350" s="47" t="n">
        <f aca="false">'Daily KPI Entry'!J351</f>
        <v>0</v>
      </c>
      <c r="K350" s="47" t="n">
        <f aca="false">'Daily KPI Entry'!K351</f>
        <v>0</v>
      </c>
      <c r="L350" s="47" t="n">
        <f aca="false">'Daily KPI Entry'!L351</f>
        <v>0</v>
      </c>
      <c r="M350" s="47" t="n">
        <f aca="false">'Daily KPI Entry'!M351</f>
        <v>0</v>
      </c>
      <c r="N350" s="49" t="n">
        <f aca="false">'Daily KPI Entry'!N351</f>
        <v>0</v>
      </c>
      <c r="O350" s="49" t="n">
        <f aca="false">'Daily KPI Entry'!O351</f>
        <v>0</v>
      </c>
      <c r="P350" s="49" t="str">
        <f aca="false">IF(OR(N350="",O350=""),"",IFERROR(O350/N350*100,0))</f>
        <v/>
      </c>
      <c r="Q350" s="47" t="n">
        <f aca="false">'Daily KPI Entry'!Q351</f>
        <v>8</v>
      </c>
      <c r="R350" s="47" t="str">
        <f aca="false">IF(J350="","",Q350*J350)</f>
        <v/>
      </c>
      <c r="S350" s="49" t="n">
        <f aca="false">'Daily KPI Entry'!S351</f>
        <v>0</v>
      </c>
      <c r="T350" s="49" t="str">
        <f aca="false">IF(OR(R350="",S350=""),"",IFERROR(S350/R350*100,0))</f>
        <v/>
      </c>
      <c r="U350" s="49" t="str">
        <f aca="false">IF(OR(O350="",L350="",M350="",S350="",M350=0),"",IFERROR(O350/(L350*60*S350/(M350*36))*100,0))</f>
        <v/>
      </c>
      <c r="V350" s="49" t="n">
        <f aca="false">'Daily KPI Entry'!V351</f>
        <v>0</v>
      </c>
      <c r="W350" s="49" t="str">
        <f aca="false">IF(O350="","",IFERROR(V350/O350*100,0))</f>
        <v/>
      </c>
      <c r="X350" s="49" t="n">
        <f aca="false">'Daily KPI Entry'!X351</f>
        <v>0</v>
      </c>
      <c r="Y350" s="49" t="n">
        <f aca="false">'Daily KPI Entry'!Y351</f>
        <v>0</v>
      </c>
      <c r="Z350" s="49" t="n">
        <f aca="false">'Daily KPI Entry'!Z351</f>
        <v>0</v>
      </c>
      <c r="AA350" s="49" t="n">
        <f aca="false">'Daily KPI Entry'!AA351</f>
        <v>0</v>
      </c>
      <c r="AB350" s="49" t="n">
        <f aca="false">'Daily KPI Entry'!AB351</f>
        <v>0</v>
      </c>
      <c r="AC350" s="49" t="n">
        <f aca="false">'Daily KPI Entry'!AC351</f>
        <v>0</v>
      </c>
      <c r="AD350" s="49" t="n">
        <f aca="false">'Daily KPI Entry'!AD351</f>
        <v>0</v>
      </c>
      <c r="AE350" s="49" t="n">
        <f aca="false">'Daily KPI Entry'!AE351</f>
        <v>0</v>
      </c>
      <c r="AF350" s="47" t="str">
        <f aca="false">IF(O350="","",SUM(X350:AE350))</f>
        <v/>
      </c>
      <c r="AG350" s="49" t="str">
        <f aca="false">IF(O350="","",IFERROR(AF350/O350*1000,0))</f>
        <v/>
      </c>
      <c r="AH350" s="49" t="n">
        <f aca="false">'Daily KPI Entry'!AH351</f>
        <v>0</v>
      </c>
      <c r="AI350" s="49" t="n">
        <f aca="false">'Daily KPI Entry'!AI351</f>
        <v>0</v>
      </c>
      <c r="AJ350" s="49" t="n">
        <f aca="false">'Daily KPI Entry'!AJ351</f>
        <v>0</v>
      </c>
      <c r="AK350" s="47" t="n">
        <f aca="false">'Daily KPI Entry'!AK351</f>
        <v>0</v>
      </c>
      <c r="AL350" s="47" t="n">
        <f aca="false">'Daily KPI Entry'!AL351</f>
        <v>0</v>
      </c>
      <c r="AM350" s="47" t="n">
        <f aca="false">'Daily KPI Entry'!AM351</f>
        <v>0</v>
      </c>
      <c r="AN350" s="49" t="str">
        <f aca="false">IF(P350="","",MIN(120,P350))</f>
        <v/>
      </c>
      <c r="AO350" s="49" t="str">
        <f aca="false">IF(U350="","",MIN(120,U350))</f>
        <v/>
      </c>
      <c r="AP350" s="49" t="str">
        <f aca="false">IF(R350="","",MIN(120,IFERROR(S350/R350*100,0)))</f>
        <v/>
      </c>
      <c r="AQ350" s="49" t="str">
        <f aca="false">IF(W350="","",MIN(120,IF(W350=0,120,100*(INDEX('Standards &amp; Scoring'!$E$5:$E$13,MATCH("Quality / Rejection",'Standards &amp; Scoring'!$A$5:$A$13,0))/W350))))</f>
        <v/>
      </c>
      <c r="AR350" s="49" t="str">
        <f aca="false">IF(AG350="","",MIN(120,IF(AG350=0,120,100*(INDEX('Standards &amp; Scoring'!$E$5:$E$13,MATCH("Fault Control",'Standards &amp; Scoring'!$A$5:$A$13,0))/AG350))))</f>
        <v/>
      </c>
      <c r="AS350" s="49" t="str">
        <f aca="false">IF(O350="","",MIN(120,IF(SUMIFS('Fault &amp; Downtime Entry'!$L$6:$L$1005,'Fault &amp; Downtime Entry'!$E$6:$E$1005,G350,'Fault &amp; Downtime Entry'!$B$6:$B$1005,B350)=0,120,100*(INDEX('Standards &amp; Scoring'!$E$5:$E$13,MATCH("Downtime Control",'Standards &amp; Scoring'!$A$5:$A$13,0))/IFERROR(SUMIFS('Fault &amp; Downtime Entry'!$L$6:$L$1005,'Fault &amp; Downtime Entry'!$E$6:$E$1005,G350,'Fault &amp; Downtime Entry'!$B$6:$B$1005,B350)/O350*1000,999999)))))</f>
        <v/>
      </c>
      <c r="AT350" s="49" t="n">
        <f aca="false">IF(COUNTA(AH350,AJ350)=0,"",MIN(120,IF(AND(AH350&lt;&gt;"",AJ350&lt;&gt;""),AVERAGE(AH350,AJ350),IF(AH350&lt;&gt;"",AH350,AJ350))))</f>
        <v>0</v>
      </c>
      <c r="AU350" s="49" t="str">
        <f aca="false">IF(AI350="","",MIN(120,AI350))</f>
        <v/>
      </c>
      <c r="AV350" s="49" t="str">
        <f aca="false">IF(AJ350="","",MIN(120,AJ350))</f>
        <v/>
      </c>
      <c r="AW350" s="50" t="str">
        <f aca="false">IF(COUNT(AN350:AV350)&lt;9,"",(AN350*'Standards &amp; Scoring'!$D$5+AO350*'Standards &amp; Scoring'!$D$6+AP350*'Standards &amp; Scoring'!$D$7+AQ350*'Standards &amp; Scoring'!$D$8+AR350*'Standards &amp; Scoring'!$D$9+AS350*'Standards &amp; Scoring'!$D$10+AT350*'Standards &amp; Scoring'!$D$11+AU350*'Standards &amp; Scoring'!$D$12+AV350*'Standards &amp; Scoring'!$D$13)/10000)</f>
        <v/>
      </c>
      <c r="AX350" s="47" t="str">
        <f aca="false">IF(AW350="","",IF(AW350&gt;=1.05,"A+",IF(AW350&gt;=1,"A",IF(AW350&gt;=0.95,"B+",IF(AW350&gt;=0.9,"B","C")))))</f>
        <v/>
      </c>
      <c r="AY350" s="47" t="str">
        <f aca="false">IF(AX350="","",IF(AX350="A+",1800,IF(AX350="A",1600,IF(AX350="B+",1400,IF(AX350="B",1200,0)))))</f>
        <v/>
      </c>
      <c r="AZ350" s="49" t="str">
        <f aca="false">IF(OR(L350="",M350="",S350="",M350=0),"",IFERROR(L350*60*S350/(M350*36),0))</f>
        <v/>
      </c>
    </row>
    <row r="351" customFormat="false" ht="15" hidden="false" customHeight="true" outlineLevel="0" collapsed="false">
      <c r="A351" s="47" t="n">
        <f aca="false">'Daily KPI Entry'!A352</f>
        <v>0</v>
      </c>
      <c r="B351" s="48" t="n">
        <f aca="false">'Daily KPI Entry'!B352</f>
        <v>0</v>
      </c>
      <c r="C351" s="47" t="n">
        <f aca="false">'Daily KPI Entry'!C352</f>
        <v>0</v>
      </c>
      <c r="D351" s="47" t="n">
        <f aca="false">'Daily KPI Entry'!D352</f>
        <v>0</v>
      </c>
      <c r="E351" s="47" t="n">
        <f aca="false">'Daily KPI Entry'!E352</f>
        <v>0</v>
      </c>
      <c r="F351" s="47" t="n">
        <f aca="false">'Daily KPI Entry'!F352</f>
        <v>0</v>
      </c>
      <c r="G351" s="47" t="n">
        <f aca="false">'Daily KPI Entry'!G352</f>
        <v>0</v>
      </c>
      <c r="H351" s="47" t="str">
        <f aca="false">'Daily KPI Entry'!H352</f>
        <v/>
      </c>
      <c r="I351" s="47" t="n">
        <f aca="false">'Daily KPI Entry'!I352</f>
        <v>0</v>
      </c>
      <c r="J351" s="47" t="n">
        <f aca="false">'Daily KPI Entry'!J352</f>
        <v>0</v>
      </c>
      <c r="K351" s="47" t="n">
        <f aca="false">'Daily KPI Entry'!K352</f>
        <v>0</v>
      </c>
      <c r="L351" s="47" t="n">
        <f aca="false">'Daily KPI Entry'!L352</f>
        <v>0</v>
      </c>
      <c r="M351" s="47" t="n">
        <f aca="false">'Daily KPI Entry'!M352</f>
        <v>0</v>
      </c>
      <c r="N351" s="49" t="n">
        <f aca="false">'Daily KPI Entry'!N352</f>
        <v>0</v>
      </c>
      <c r="O351" s="49" t="n">
        <f aca="false">'Daily KPI Entry'!O352</f>
        <v>0</v>
      </c>
      <c r="P351" s="49" t="str">
        <f aca="false">IF(OR(N351="",O351=""),"",IFERROR(O351/N351*100,0))</f>
        <v/>
      </c>
      <c r="Q351" s="47" t="n">
        <f aca="false">'Daily KPI Entry'!Q352</f>
        <v>8</v>
      </c>
      <c r="R351" s="47" t="str">
        <f aca="false">IF(J351="","",Q351*J351)</f>
        <v/>
      </c>
      <c r="S351" s="49" t="n">
        <f aca="false">'Daily KPI Entry'!S352</f>
        <v>0</v>
      </c>
      <c r="T351" s="49" t="str">
        <f aca="false">IF(OR(R351="",S351=""),"",IFERROR(S351/R351*100,0))</f>
        <v/>
      </c>
      <c r="U351" s="49" t="str">
        <f aca="false">IF(OR(O351="",L351="",M351="",S351="",M351=0),"",IFERROR(O351/(L351*60*S351/(M351*36))*100,0))</f>
        <v/>
      </c>
      <c r="V351" s="49" t="n">
        <f aca="false">'Daily KPI Entry'!V352</f>
        <v>0</v>
      </c>
      <c r="W351" s="49" t="str">
        <f aca="false">IF(O351="","",IFERROR(V351/O351*100,0))</f>
        <v/>
      </c>
      <c r="X351" s="49" t="n">
        <f aca="false">'Daily KPI Entry'!X352</f>
        <v>0</v>
      </c>
      <c r="Y351" s="49" t="n">
        <f aca="false">'Daily KPI Entry'!Y352</f>
        <v>0</v>
      </c>
      <c r="Z351" s="49" t="n">
        <f aca="false">'Daily KPI Entry'!Z352</f>
        <v>0</v>
      </c>
      <c r="AA351" s="49" t="n">
        <f aca="false">'Daily KPI Entry'!AA352</f>
        <v>0</v>
      </c>
      <c r="AB351" s="49" t="n">
        <f aca="false">'Daily KPI Entry'!AB352</f>
        <v>0</v>
      </c>
      <c r="AC351" s="49" t="n">
        <f aca="false">'Daily KPI Entry'!AC352</f>
        <v>0</v>
      </c>
      <c r="AD351" s="49" t="n">
        <f aca="false">'Daily KPI Entry'!AD352</f>
        <v>0</v>
      </c>
      <c r="AE351" s="49" t="n">
        <f aca="false">'Daily KPI Entry'!AE352</f>
        <v>0</v>
      </c>
      <c r="AF351" s="47" t="str">
        <f aca="false">IF(O351="","",SUM(X351:AE351))</f>
        <v/>
      </c>
      <c r="AG351" s="49" t="str">
        <f aca="false">IF(O351="","",IFERROR(AF351/O351*1000,0))</f>
        <v/>
      </c>
      <c r="AH351" s="49" t="n">
        <f aca="false">'Daily KPI Entry'!AH352</f>
        <v>0</v>
      </c>
      <c r="AI351" s="49" t="n">
        <f aca="false">'Daily KPI Entry'!AI352</f>
        <v>0</v>
      </c>
      <c r="AJ351" s="49" t="n">
        <f aca="false">'Daily KPI Entry'!AJ352</f>
        <v>0</v>
      </c>
      <c r="AK351" s="47" t="n">
        <f aca="false">'Daily KPI Entry'!AK352</f>
        <v>0</v>
      </c>
      <c r="AL351" s="47" t="n">
        <f aca="false">'Daily KPI Entry'!AL352</f>
        <v>0</v>
      </c>
      <c r="AM351" s="47" t="n">
        <f aca="false">'Daily KPI Entry'!AM352</f>
        <v>0</v>
      </c>
      <c r="AN351" s="49" t="str">
        <f aca="false">IF(P351="","",MIN(120,P351))</f>
        <v/>
      </c>
      <c r="AO351" s="49" t="str">
        <f aca="false">IF(U351="","",MIN(120,U351))</f>
        <v/>
      </c>
      <c r="AP351" s="49" t="str">
        <f aca="false">IF(R351="","",MIN(120,IFERROR(S351/R351*100,0)))</f>
        <v/>
      </c>
      <c r="AQ351" s="49" t="str">
        <f aca="false">IF(W351="","",MIN(120,IF(W351=0,120,100*(INDEX('Standards &amp; Scoring'!$E$5:$E$13,MATCH("Quality / Rejection",'Standards &amp; Scoring'!$A$5:$A$13,0))/W351))))</f>
        <v/>
      </c>
      <c r="AR351" s="49" t="str">
        <f aca="false">IF(AG351="","",MIN(120,IF(AG351=0,120,100*(INDEX('Standards &amp; Scoring'!$E$5:$E$13,MATCH("Fault Control",'Standards &amp; Scoring'!$A$5:$A$13,0))/AG351))))</f>
        <v/>
      </c>
      <c r="AS351" s="49" t="str">
        <f aca="false">IF(O351="","",MIN(120,IF(SUMIFS('Fault &amp; Downtime Entry'!$L$6:$L$1005,'Fault &amp; Downtime Entry'!$E$6:$E$1005,G351,'Fault &amp; Downtime Entry'!$B$6:$B$1005,B351)=0,120,100*(INDEX('Standards &amp; Scoring'!$E$5:$E$13,MATCH("Downtime Control",'Standards &amp; Scoring'!$A$5:$A$13,0))/IFERROR(SUMIFS('Fault &amp; Downtime Entry'!$L$6:$L$1005,'Fault &amp; Downtime Entry'!$E$6:$E$1005,G351,'Fault &amp; Downtime Entry'!$B$6:$B$1005,B351)/O351*1000,999999)))))</f>
        <v/>
      </c>
      <c r="AT351" s="49" t="n">
        <f aca="false">IF(COUNTA(AH351,AJ351)=0,"",MIN(120,IF(AND(AH351&lt;&gt;"",AJ351&lt;&gt;""),AVERAGE(AH351,AJ351),IF(AH351&lt;&gt;"",AH351,AJ351))))</f>
        <v>0</v>
      </c>
      <c r="AU351" s="49" t="str">
        <f aca="false">IF(AI351="","",MIN(120,AI351))</f>
        <v/>
      </c>
      <c r="AV351" s="49" t="str">
        <f aca="false">IF(AJ351="","",MIN(120,AJ351))</f>
        <v/>
      </c>
      <c r="AW351" s="50" t="str">
        <f aca="false">IF(COUNT(AN351:AV351)&lt;9,"",(AN351*'Standards &amp; Scoring'!$D$5+AO351*'Standards &amp; Scoring'!$D$6+AP351*'Standards &amp; Scoring'!$D$7+AQ351*'Standards &amp; Scoring'!$D$8+AR351*'Standards &amp; Scoring'!$D$9+AS351*'Standards &amp; Scoring'!$D$10+AT351*'Standards &amp; Scoring'!$D$11+AU351*'Standards &amp; Scoring'!$D$12+AV351*'Standards &amp; Scoring'!$D$13)/10000)</f>
        <v/>
      </c>
      <c r="AX351" s="47" t="str">
        <f aca="false">IF(AW351="","",IF(AW351&gt;=1.05,"A+",IF(AW351&gt;=1,"A",IF(AW351&gt;=0.95,"B+",IF(AW351&gt;=0.9,"B","C")))))</f>
        <v/>
      </c>
      <c r="AY351" s="47" t="str">
        <f aca="false">IF(AX351="","",IF(AX351="A+",1800,IF(AX351="A",1600,IF(AX351="B+",1400,IF(AX351="B",1200,0)))))</f>
        <v/>
      </c>
      <c r="AZ351" s="49" t="str">
        <f aca="false">IF(OR(L351="",M351="",S351="",M351=0),"",IFERROR(L351*60*S351/(M351*36),0))</f>
        <v/>
      </c>
    </row>
    <row r="352" customFormat="false" ht="15" hidden="false" customHeight="true" outlineLevel="0" collapsed="false">
      <c r="A352" s="47" t="n">
        <f aca="false">'Daily KPI Entry'!A353</f>
        <v>0</v>
      </c>
      <c r="B352" s="48" t="n">
        <f aca="false">'Daily KPI Entry'!B353</f>
        <v>0</v>
      </c>
      <c r="C352" s="47" t="n">
        <f aca="false">'Daily KPI Entry'!C353</f>
        <v>0</v>
      </c>
      <c r="D352" s="47" t="n">
        <f aca="false">'Daily KPI Entry'!D353</f>
        <v>0</v>
      </c>
      <c r="E352" s="47" t="n">
        <f aca="false">'Daily KPI Entry'!E353</f>
        <v>0</v>
      </c>
      <c r="F352" s="47" t="n">
        <f aca="false">'Daily KPI Entry'!F353</f>
        <v>0</v>
      </c>
      <c r="G352" s="47" t="n">
        <f aca="false">'Daily KPI Entry'!G353</f>
        <v>0</v>
      </c>
      <c r="H352" s="47" t="str">
        <f aca="false">'Daily KPI Entry'!H353</f>
        <v/>
      </c>
      <c r="I352" s="47" t="n">
        <f aca="false">'Daily KPI Entry'!I353</f>
        <v>0</v>
      </c>
      <c r="J352" s="47" t="n">
        <f aca="false">'Daily KPI Entry'!J353</f>
        <v>0</v>
      </c>
      <c r="K352" s="47" t="n">
        <f aca="false">'Daily KPI Entry'!K353</f>
        <v>0</v>
      </c>
      <c r="L352" s="47" t="n">
        <f aca="false">'Daily KPI Entry'!L353</f>
        <v>0</v>
      </c>
      <c r="M352" s="47" t="n">
        <f aca="false">'Daily KPI Entry'!M353</f>
        <v>0</v>
      </c>
      <c r="N352" s="49" t="n">
        <f aca="false">'Daily KPI Entry'!N353</f>
        <v>0</v>
      </c>
      <c r="O352" s="49" t="n">
        <f aca="false">'Daily KPI Entry'!O353</f>
        <v>0</v>
      </c>
      <c r="P352" s="49" t="str">
        <f aca="false">IF(OR(N352="",O352=""),"",IFERROR(O352/N352*100,0))</f>
        <v/>
      </c>
      <c r="Q352" s="47" t="n">
        <f aca="false">'Daily KPI Entry'!Q353</f>
        <v>8</v>
      </c>
      <c r="R352" s="47" t="str">
        <f aca="false">IF(J352="","",Q352*J352)</f>
        <v/>
      </c>
      <c r="S352" s="49" t="n">
        <f aca="false">'Daily KPI Entry'!S353</f>
        <v>0</v>
      </c>
      <c r="T352" s="49" t="str">
        <f aca="false">IF(OR(R352="",S352=""),"",IFERROR(S352/R352*100,0))</f>
        <v/>
      </c>
      <c r="U352" s="49" t="str">
        <f aca="false">IF(OR(O352="",L352="",M352="",S352="",M352=0),"",IFERROR(O352/(L352*60*S352/(M352*36))*100,0))</f>
        <v/>
      </c>
      <c r="V352" s="49" t="n">
        <f aca="false">'Daily KPI Entry'!V353</f>
        <v>0</v>
      </c>
      <c r="W352" s="49" t="str">
        <f aca="false">IF(O352="","",IFERROR(V352/O352*100,0))</f>
        <v/>
      </c>
      <c r="X352" s="49" t="n">
        <f aca="false">'Daily KPI Entry'!X353</f>
        <v>0</v>
      </c>
      <c r="Y352" s="49" t="n">
        <f aca="false">'Daily KPI Entry'!Y353</f>
        <v>0</v>
      </c>
      <c r="Z352" s="49" t="n">
        <f aca="false">'Daily KPI Entry'!Z353</f>
        <v>0</v>
      </c>
      <c r="AA352" s="49" t="n">
        <f aca="false">'Daily KPI Entry'!AA353</f>
        <v>0</v>
      </c>
      <c r="AB352" s="49" t="n">
        <f aca="false">'Daily KPI Entry'!AB353</f>
        <v>0</v>
      </c>
      <c r="AC352" s="49" t="n">
        <f aca="false">'Daily KPI Entry'!AC353</f>
        <v>0</v>
      </c>
      <c r="AD352" s="49" t="n">
        <f aca="false">'Daily KPI Entry'!AD353</f>
        <v>0</v>
      </c>
      <c r="AE352" s="49" t="n">
        <f aca="false">'Daily KPI Entry'!AE353</f>
        <v>0</v>
      </c>
      <c r="AF352" s="47" t="str">
        <f aca="false">IF(O352="","",SUM(X352:AE352))</f>
        <v/>
      </c>
      <c r="AG352" s="49" t="str">
        <f aca="false">IF(O352="","",IFERROR(AF352/O352*1000,0))</f>
        <v/>
      </c>
      <c r="AH352" s="49" t="n">
        <f aca="false">'Daily KPI Entry'!AH353</f>
        <v>0</v>
      </c>
      <c r="AI352" s="49" t="n">
        <f aca="false">'Daily KPI Entry'!AI353</f>
        <v>0</v>
      </c>
      <c r="AJ352" s="49" t="n">
        <f aca="false">'Daily KPI Entry'!AJ353</f>
        <v>0</v>
      </c>
      <c r="AK352" s="47" t="n">
        <f aca="false">'Daily KPI Entry'!AK353</f>
        <v>0</v>
      </c>
      <c r="AL352" s="47" t="n">
        <f aca="false">'Daily KPI Entry'!AL353</f>
        <v>0</v>
      </c>
      <c r="AM352" s="47" t="n">
        <f aca="false">'Daily KPI Entry'!AM353</f>
        <v>0</v>
      </c>
      <c r="AN352" s="49" t="str">
        <f aca="false">IF(P352="","",MIN(120,P352))</f>
        <v/>
      </c>
      <c r="AO352" s="49" t="str">
        <f aca="false">IF(U352="","",MIN(120,U352))</f>
        <v/>
      </c>
      <c r="AP352" s="49" t="str">
        <f aca="false">IF(R352="","",MIN(120,IFERROR(S352/R352*100,0)))</f>
        <v/>
      </c>
      <c r="AQ352" s="49" t="str">
        <f aca="false">IF(W352="","",MIN(120,IF(W352=0,120,100*(INDEX('Standards &amp; Scoring'!$E$5:$E$13,MATCH("Quality / Rejection",'Standards &amp; Scoring'!$A$5:$A$13,0))/W352))))</f>
        <v/>
      </c>
      <c r="AR352" s="49" t="str">
        <f aca="false">IF(AG352="","",MIN(120,IF(AG352=0,120,100*(INDEX('Standards &amp; Scoring'!$E$5:$E$13,MATCH("Fault Control",'Standards &amp; Scoring'!$A$5:$A$13,0))/AG352))))</f>
        <v/>
      </c>
      <c r="AS352" s="49" t="str">
        <f aca="false">IF(O352="","",MIN(120,IF(SUMIFS('Fault &amp; Downtime Entry'!$L$6:$L$1005,'Fault &amp; Downtime Entry'!$E$6:$E$1005,G352,'Fault &amp; Downtime Entry'!$B$6:$B$1005,B352)=0,120,100*(INDEX('Standards &amp; Scoring'!$E$5:$E$13,MATCH("Downtime Control",'Standards &amp; Scoring'!$A$5:$A$13,0))/IFERROR(SUMIFS('Fault &amp; Downtime Entry'!$L$6:$L$1005,'Fault &amp; Downtime Entry'!$E$6:$E$1005,G352,'Fault &amp; Downtime Entry'!$B$6:$B$1005,B352)/O352*1000,999999)))))</f>
        <v/>
      </c>
      <c r="AT352" s="49" t="n">
        <f aca="false">IF(COUNTA(AH352,AJ352)=0,"",MIN(120,IF(AND(AH352&lt;&gt;"",AJ352&lt;&gt;""),AVERAGE(AH352,AJ352),IF(AH352&lt;&gt;"",AH352,AJ352))))</f>
        <v>0</v>
      </c>
      <c r="AU352" s="49" t="str">
        <f aca="false">IF(AI352="","",MIN(120,AI352))</f>
        <v/>
      </c>
      <c r="AV352" s="49" t="str">
        <f aca="false">IF(AJ352="","",MIN(120,AJ352))</f>
        <v/>
      </c>
      <c r="AW352" s="50" t="str">
        <f aca="false">IF(COUNT(AN352:AV352)&lt;9,"",(AN352*'Standards &amp; Scoring'!$D$5+AO352*'Standards &amp; Scoring'!$D$6+AP352*'Standards &amp; Scoring'!$D$7+AQ352*'Standards &amp; Scoring'!$D$8+AR352*'Standards &amp; Scoring'!$D$9+AS352*'Standards &amp; Scoring'!$D$10+AT352*'Standards &amp; Scoring'!$D$11+AU352*'Standards &amp; Scoring'!$D$12+AV352*'Standards &amp; Scoring'!$D$13)/10000)</f>
        <v/>
      </c>
      <c r="AX352" s="47" t="str">
        <f aca="false">IF(AW352="","",IF(AW352&gt;=1.05,"A+",IF(AW352&gt;=1,"A",IF(AW352&gt;=0.95,"B+",IF(AW352&gt;=0.9,"B","C")))))</f>
        <v/>
      </c>
      <c r="AY352" s="47" t="str">
        <f aca="false">IF(AX352="","",IF(AX352="A+",1800,IF(AX352="A",1600,IF(AX352="B+",1400,IF(AX352="B",1200,0)))))</f>
        <v/>
      </c>
      <c r="AZ352" s="49" t="str">
        <f aca="false">IF(OR(L352="",M352="",S352="",M352=0),"",IFERROR(L352*60*S352/(M352*36),0))</f>
        <v/>
      </c>
    </row>
    <row r="353" customFormat="false" ht="15" hidden="false" customHeight="true" outlineLevel="0" collapsed="false">
      <c r="A353" s="47" t="n">
        <f aca="false">'Daily KPI Entry'!A354</f>
        <v>0</v>
      </c>
      <c r="B353" s="48" t="n">
        <f aca="false">'Daily KPI Entry'!B354</f>
        <v>0</v>
      </c>
      <c r="C353" s="47" t="n">
        <f aca="false">'Daily KPI Entry'!C354</f>
        <v>0</v>
      </c>
      <c r="D353" s="47" t="n">
        <f aca="false">'Daily KPI Entry'!D354</f>
        <v>0</v>
      </c>
      <c r="E353" s="47" t="n">
        <f aca="false">'Daily KPI Entry'!E354</f>
        <v>0</v>
      </c>
      <c r="F353" s="47" t="n">
        <f aca="false">'Daily KPI Entry'!F354</f>
        <v>0</v>
      </c>
      <c r="G353" s="47" t="n">
        <f aca="false">'Daily KPI Entry'!G354</f>
        <v>0</v>
      </c>
      <c r="H353" s="47" t="str">
        <f aca="false">'Daily KPI Entry'!H354</f>
        <v/>
      </c>
      <c r="I353" s="47" t="n">
        <f aca="false">'Daily KPI Entry'!I354</f>
        <v>0</v>
      </c>
      <c r="J353" s="47" t="n">
        <f aca="false">'Daily KPI Entry'!J354</f>
        <v>0</v>
      </c>
      <c r="K353" s="47" t="n">
        <f aca="false">'Daily KPI Entry'!K354</f>
        <v>0</v>
      </c>
      <c r="L353" s="47" t="n">
        <f aca="false">'Daily KPI Entry'!L354</f>
        <v>0</v>
      </c>
      <c r="M353" s="47" t="n">
        <f aca="false">'Daily KPI Entry'!M354</f>
        <v>0</v>
      </c>
      <c r="N353" s="49" t="n">
        <f aca="false">'Daily KPI Entry'!N354</f>
        <v>0</v>
      </c>
      <c r="O353" s="49" t="n">
        <f aca="false">'Daily KPI Entry'!O354</f>
        <v>0</v>
      </c>
      <c r="P353" s="49" t="str">
        <f aca="false">IF(OR(N353="",O353=""),"",IFERROR(O353/N353*100,0))</f>
        <v/>
      </c>
      <c r="Q353" s="47" t="n">
        <f aca="false">'Daily KPI Entry'!Q354</f>
        <v>8</v>
      </c>
      <c r="R353" s="47" t="str">
        <f aca="false">IF(J353="","",Q353*J353)</f>
        <v/>
      </c>
      <c r="S353" s="49" t="n">
        <f aca="false">'Daily KPI Entry'!S354</f>
        <v>0</v>
      </c>
      <c r="T353" s="49" t="str">
        <f aca="false">IF(OR(R353="",S353=""),"",IFERROR(S353/R353*100,0))</f>
        <v/>
      </c>
      <c r="U353" s="49" t="str">
        <f aca="false">IF(OR(O353="",L353="",M353="",S353="",M353=0),"",IFERROR(O353/(L353*60*S353/(M353*36))*100,0))</f>
        <v/>
      </c>
      <c r="V353" s="49" t="n">
        <f aca="false">'Daily KPI Entry'!V354</f>
        <v>0</v>
      </c>
      <c r="W353" s="49" t="str">
        <f aca="false">IF(O353="","",IFERROR(V353/O353*100,0))</f>
        <v/>
      </c>
      <c r="X353" s="49" t="n">
        <f aca="false">'Daily KPI Entry'!X354</f>
        <v>0</v>
      </c>
      <c r="Y353" s="49" t="n">
        <f aca="false">'Daily KPI Entry'!Y354</f>
        <v>0</v>
      </c>
      <c r="Z353" s="49" t="n">
        <f aca="false">'Daily KPI Entry'!Z354</f>
        <v>0</v>
      </c>
      <c r="AA353" s="49" t="n">
        <f aca="false">'Daily KPI Entry'!AA354</f>
        <v>0</v>
      </c>
      <c r="AB353" s="49" t="n">
        <f aca="false">'Daily KPI Entry'!AB354</f>
        <v>0</v>
      </c>
      <c r="AC353" s="49" t="n">
        <f aca="false">'Daily KPI Entry'!AC354</f>
        <v>0</v>
      </c>
      <c r="AD353" s="49" t="n">
        <f aca="false">'Daily KPI Entry'!AD354</f>
        <v>0</v>
      </c>
      <c r="AE353" s="49" t="n">
        <f aca="false">'Daily KPI Entry'!AE354</f>
        <v>0</v>
      </c>
      <c r="AF353" s="47" t="str">
        <f aca="false">IF(O353="","",SUM(X353:AE353))</f>
        <v/>
      </c>
      <c r="AG353" s="49" t="str">
        <f aca="false">IF(O353="","",IFERROR(AF353/O353*1000,0))</f>
        <v/>
      </c>
      <c r="AH353" s="49" t="n">
        <f aca="false">'Daily KPI Entry'!AH354</f>
        <v>0</v>
      </c>
      <c r="AI353" s="49" t="n">
        <f aca="false">'Daily KPI Entry'!AI354</f>
        <v>0</v>
      </c>
      <c r="AJ353" s="49" t="n">
        <f aca="false">'Daily KPI Entry'!AJ354</f>
        <v>0</v>
      </c>
      <c r="AK353" s="47" t="n">
        <f aca="false">'Daily KPI Entry'!AK354</f>
        <v>0</v>
      </c>
      <c r="AL353" s="47" t="n">
        <f aca="false">'Daily KPI Entry'!AL354</f>
        <v>0</v>
      </c>
      <c r="AM353" s="47" t="n">
        <f aca="false">'Daily KPI Entry'!AM354</f>
        <v>0</v>
      </c>
      <c r="AN353" s="49" t="str">
        <f aca="false">IF(P353="","",MIN(120,P353))</f>
        <v/>
      </c>
      <c r="AO353" s="49" t="str">
        <f aca="false">IF(U353="","",MIN(120,U353))</f>
        <v/>
      </c>
      <c r="AP353" s="49" t="str">
        <f aca="false">IF(R353="","",MIN(120,IFERROR(S353/R353*100,0)))</f>
        <v/>
      </c>
      <c r="AQ353" s="49" t="str">
        <f aca="false">IF(W353="","",MIN(120,IF(W353=0,120,100*(INDEX('Standards &amp; Scoring'!$E$5:$E$13,MATCH("Quality / Rejection",'Standards &amp; Scoring'!$A$5:$A$13,0))/W353))))</f>
        <v/>
      </c>
      <c r="AR353" s="49" t="str">
        <f aca="false">IF(AG353="","",MIN(120,IF(AG353=0,120,100*(INDEX('Standards &amp; Scoring'!$E$5:$E$13,MATCH("Fault Control",'Standards &amp; Scoring'!$A$5:$A$13,0))/AG353))))</f>
        <v/>
      </c>
      <c r="AS353" s="49" t="str">
        <f aca="false">IF(O353="","",MIN(120,IF(SUMIFS('Fault &amp; Downtime Entry'!$L$6:$L$1005,'Fault &amp; Downtime Entry'!$E$6:$E$1005,G353,'Fault &amp; Downtime Entry'!$B$6:$B$1005,B353)=0,120,100*(INDEX('Standards &amp; Scoring'!$E$5:$E$13,MATCH("Downtime Control",'Standards &amp; Scoring'!$A$5:$A$13,0))/IFERROR(SUMIFS('Fault &amp; Downtime Entry'!$L$6:$L$1005,'Fault &amp; Downtime Entry'!$E$6:$E$1005,G353,'Fault &amp; Downtime Entry'!$B$6:$B$1005,B353)/O353*1000,999999)))))</f>
        <v/>
      </c>
      <c r="AT353" s="49" t="n">
        <f aca="false">IF(COUNTA(AH353,AJ353)=0,"",MIN(120,IF(AND(AH353&lt;&gt;"",AJ353&lt;&gt;""),AVERAGE(AH353,AJ353),IF(AH353&lt;&gt;"",AH353,AJ353))))</f>
        <v>0</v>
      </c>
      <c r="AU353" s="49" t="str">
        <f aca="false">IF(AI353="","",MIN(120,AI353))</f>
        <v/>
      </c>
      <c r="AV353" s="49" t="str">
        <f aca="false">IF(AJ353="","",MIN(120,AJ353))</f>
        <v/>
      </c>
      <c r="AW353" s="50" t="str">
        <f aca="false">IF(COUNT(AN353:AV353)&lt;9,"",(AN353*'Standards &amp; Scoring'!$D$5+AO353*'Standards &amp; Scoring'!$D$6+AP353*'Standards &amp; Scoring'!$D$7+AQ353*'Standards &amp; Scoring'!$D$8+AR353*'Standards &amp; Scoring'!$D$9+AS353*'Standards &amp; Scoring'!$D$10+AT353*'Standards &amp; Scoring'!$D$11+AU353*'Standards &amp; Scoring'!$D$12+AV353*'Standards &amp; Scoring'!$D$13)/10000)</f>
        <v/>
      </c>
      <c r="AX353" s="47" t="str">
        <f aca="false">IF(AW353="","",IF(AW353&gt;=1.05,"A+",IF(AW353&gt;=1,"A",IF(AW353&gt;=0.95,"B+",IF(AW353&gt;=0.9,"B","C")))))</f>
        <v/>
      </c>
      <c r="AY353" s="47" t="str">
        <f aca="false">IF(AX353="","",IF(AX353="A+",1800,IF(AX353="A",1600,IF(AX353="B+",1400,IF(AX353="B",1200,0)))))</f>
        <v/>
      </c>
      <c r="AZ353" s="49" t="str">
        <f aca="false">IF(OR(L353="",M353="",S353="",M353=0),"",IFERROR(L353*60*S353/(M353*36),0))</f>
        <v/>
      </c>
    </row>
    <row r="354" customFormat="false" ht="15" hidden="false" customHeight="true" outlineLevel="0" collapsed="false">
      <c r="A354" s="47" t="n">
        <f aca="false">'Daily KPI Entry'!A355</f>
        <v>0</v>
      </c>
      <c r="B354" s="48" t="n">
        <f aca="false">'Daily KPI Entry'!B355</f>
        <v>0</v>
      </c>
      <c r="C354" s="47" t="n">
        <f aca="false">'Daily KPI Entry'!C355</f>
        <v>0</v>
      </c>
      <c r="D354" s="47" t="n">
        <f aca="false">'Daily KPI Entry'!D355</f>
        <v>0</v>
      </c>
      <c r="E354" s="47" t="n">
        <f aca="false">'Daily KPI Entry'!E355</f>
        <v>0</v>
      </c>
      <c r="F354" s="47" t="n">
        <f aca="false">'Daily KPI Entry'!F355</f>
        <v>0</v>
      </c>
      <c r="G354" s="47" t="n">
        <f aca="false">'Daily KPI Entry'!G355</f>
        <v>0</v>
      </c>
      <c r="H354" s="47" t="str">
        <f aca="false">'Daily KPI Entry'!H355</f>
        <v/>
      </c>
      <c r="I354" s="47" t="n">
        <f aca="false">'Daily KPI Entry'!I355</f>
        <v>0</v>
      </c>
      <c r="J354" s="47" t="n">
        <f aca="false">'Daily KPI Entry'!J355</f>
        <v>0</v>
      </c>
      <c r="K354" s="47" t="n">
        <f aca="false">'Daily KPI Entry'!K355</f>
        <v>0</v>
      </c>
      <c r="L354" s="47" t="n">
        <f aca="false">'Daily KPI Entry'!L355</f>
        <v>0</v>
      </c>
      <c r="M354" s="47" t="n">
        <f aca="false">'Daily KPI Entry'!M355</f>
        <v>0</v>
      </c>
      <c r="N354" s="49" t="n">
        <f aca="false">'Daily KPI Entry'!N355</f>
        <v>0</v>
      </c>
      <c r="O354" s="49" t="n">
        <f aca="false">'Daily KPI Entry'!O355</f>
        <v>0</v>
      </c>
      <c r="P354" s="49" t="str">
        <f aca="false">IF(OR(N354="",O354=""),"",IFERROR(O354/N354*100,0))</f>
        <v/>
      </c>
      <c r="Q354" s="47" t="n">
        <f aca="false">'Daily KPI Entry'!Q355</f>
        <v>8</v>
      </c>
      <c r="R354" s="47" t="str">
        <f aca="false">IF(J354="","",Q354*J354)</f>
        <v/>
      </c>
      <c r="S354" s="49" t="n">
        <f aca="false">'Daily KPI Entry'!S355</f>
        <v>0</v>
      </c>
      <c r="T354" s="49" t="str">
        <f aca="false">IF(OR(R354="",S354=""),"",IFERROR(S354/R354*100,0))</f>
        <v/>
      </c>
      <c r="U354" s="49" t="str">
        <f aca="false">IF(OR(O354="",L354="",M354="",S354="",M354=0),"",IFERROR(O354/(L354*60*S354/(M354*36))*100,0))</f>
        <v/>
      </c>
      <c r="V354" s="49" t="n">
        <f aca="false">'Daily KPI Entry'!V355</f>
        <v>0</v>
      </c>
      <c r="W354" s="49" t="str">
        <f aca="false">IF(O354="","",IFERROR(V354/O354*100,0))</f>
        <v/>
      </c>
      <c r="X354" s="49" t="n">
        <f aca="false">'Daily KPI Entry'!X355</f>
        <v>0</v>
      </c>
      <c r="Y354" s="49" t="n">
        <f aca="false">'Daily KPI Entry'!Y355</f>
        <v>0</v>
      </c>
      <c r="Z354" s="49" t="n">
        <f aca="false">'Daily KPI Entry'!Z355</f>
        <v>0</v>
      </c>
      <c r="AA354" s="49" t="n">
        <f aca="false">'Daily KPI Entry'!AA355</f>
        <v>0</v>
      </c>
      <c r="AB354" s="49" t="n">
        <f aca="false">'Daily KPI Entry'!AB355</f>
        <v>0</v>
      </c>
      <c r="AC354" s="49" t="n">
        <f aca="false">'Daily KPI Entry'!AC355</f>
        <v>0</v>
      </c>
      <c r="AD354" s="49" t="n">
        <f aca="false">'Daily KPI Entry'!AD355</f>
        <v>0</v>
      </c>
      <c r="AE354" s="49" t="n">
        <f aca="false">'Daily KPI Entry'!AE355</f>
        <v>0</v>
      </c>
      <c r="AF354" s="47" t="str">
        <f aca="false">IF(O354="","",SUM(X354:AE354))</f>
        <v/>
      </c>
      <c r="AG354" s="49" t="str">
        <f aca="false">IF(O354="","",IFERROR(AF354/O354*1000,0))</f>
        <v/>
      </c>
      <c r="AH354" s="49" t="n">
        <f aca="false">'Daily KPI Entry'!AH355</f>
        <v>0</v>
      </c>
      <c r="AI354" s="49" t="n">
        <f aca="false">'Daily KPI Entry'!AI355</f>
        <v>0</v>
      </c>
      <c r="AJ354" s="49" t="n">
        <f aca="false">'Daily KPI Entry'!AJ355</f>
        <v>0</v>
      </c>
      <c r="AK354" s="47" t="n">
        <f aca="false">'Daily KPI Entry'!AK355</f>
        <v>0</v>
      </c>
      <c r="AL354" s="47" t="n">
        <f aca="false">'Daily KPI Entry'!AL355</f>
        <v>0</v>
      </c>
      <c r="AM354" s="47" t="n">
        <f aca="false">'Daily KPI Entry'!AM355</f>
        <v>0</v>
      </c>
      <c r="AN354" s="49" t="str">
        <f aca="false">IF(P354="","",MIN(120,P354))</f>
        <v/>
      </c>
      <c r="AO354" s="49" t="str">
        <f aca="false">IF(U354="","",MIN(120,U354))</f>
        <v/>
      </c>
      <c r="AP354" s="49" t="str">
        <f aca="false">IF(R354="","",MIN(120,IFERROR(S354/R354*100,0)))</f>
        <v/>
      </c>
      <c r="AQ354" s="49" t="str">
        <f aca="false">IF(W354="","",MIN(120,IF(W354=0,120,100*(INDEX('Standards &amp; Scoring'!$E$5:$E$13,MATCH("Quality / Rejection",'Standards &amp; Scoring'!$A$5:$A$13,0))/W354))))</f>
        <v/>
      </c>
      <c r="AR354" s="49" t="str">
        <f aca="false">IF(AG354="","",MIN(120,IF(AG354=0,120,100*(INDEX('Standards &amp; Scoring'!$E$5:$E$13,MATCH("Fault Control",'Standards &amp; Scoring'!$A$5:$A$13,0))/AG354))))</f>
        <v/>
      </c>
      <c r="AS354" s="49" t="str">
        <f aca="false">IF(O354="","",MIN(120,IF(SUMIFS('Fault &amp; Downtime Entry'!$L$6:$L$1005,'Fault &amp; Downtime Entry'!$E$6:$E$1005,G354,'Fault &amp; Downtime Entry'!$B$6:$B$1005,B354)=0,120,100*(INDEX('Standards &amp; Scoring'!$E$5:$E$13,MATCH("Downtime Control",'Standards &amp; Scoring'!$A$5:$A$13,0))/IFERROR(SUMIFS('Fault &amp; Downtime Entry'!$L$6:$L$1005,'Fault &amp; Downtime Entry'!$E$6:$E$1005,G354,'Fault &amp; Downtime Entry'!$B$6:$B$1005,B354)/O354*1000,999999)))))</f>
        <v/>
      </c>
      <c r="AT354" s="49" t="n">
        <f aca="false">IF(COUNTA(AH354,AJ354)=0,"",MIN(120,IF(AND(AH354&lt;&gt;"",AJ354&lt;&gt;""),AVERAGE(AH354,AJ354),IF(AH354&lt;&gt;"",AH354,AJ354))))</f>
        <v>0</v>
      </c>
      <c r="AU354" s="49" t="str">
        <f aca="false">IF(AI354="","",MIN(120,AI354))</f>
        <v/>
      </c>
      <c r="AV354" s="49" t="str">
        <f aca="false">IF(AJ354="","",MIN(120,AJ354))</f>
        <v/>
      </c>
      <c r="AW354" s="50" t="str">
        <f aca="false">IF(COUNT(AN354:AV354)&lt;9,"",(AN354*'Standards &amp; Scoring'!$D$5+AO354*'Standards &amp; Scoring'!$D$6+AP354*'Standards &amp; Scoring'!$D$7+AQ354*'Standards &amp; Scoring'!$D$8+AR354*'Standards &amp; Scoring'!$D$9+AS354*'Standards &amp; Scoring'!$D$10+AT354*'Standards &amp; Scoring'!$D$11+AU354*'Standards &amp; Scoring'!$D$12+AV354*'Standards &amp; Scoring'!$D$13)/10000)</f>
        <v/>
      </c>
      <c r="AX354" s="47" t="str">
        <f aca="false">IF(AW354="","",IF(AW354&gt;=1.05,"A+",IF(AW354&gt;=1,"A",IF(AW354&gt;=0.95,"B+",IF(AW354&gt;=0.9,"B","C")))))</f>
        <v/>
      </c>
      <c r="AY354" s="47" t="str">
        <f aca="false">IF(AX354="","",IF(AX354="A+",1800,IF(AX354="A",1600,IF(AX354="B+",1400,IF(AX354="B",1200,0)))))</f>
        <v/>
      </c>
      <c r="AZ354" s="49" t="str">
        <f aca="false">IF(OR(L354="",M354="",S354="",M354=0),"",IFERROR(L354*60*S354/(M354*36),0))</f>
        <v/>
      </c>
    </row>
    <row r="355" customFormat="false" ht="15" hidden="false" customHeight="true" outlineLevel="0" collapsed="false">
      <c r="A355" s="47" t="n">
        <f aca="false">'Daily KPI Entry'!A356</f>
        <v>0</v>
      </c>
      <c r="B355" s="48" t="n">
        <f aca="false">'Daily KPI Entry'!B356</f>
        <v>0</v>
      </c>
      <c r="C355" s="47" t="n">
        <f aca="false">'Daily KPI Entry'!C356</f>
        <v>0</v>
      </c>
      <c r="D355" s="47" t="n">
        <f aca="false">'Daily KPI Entry'!D356</f>
        <v>0</v>
      </c>
      <c r="E355" s="47" t="n">
        <f aca="false">'Daily KPI Entry'!E356</f>
        <v>0</v>
      </c>
      <c r="F355" s="47" t="n">
        <f aca="false">'Daily KPI Entry'!F356</f>
        <v>0</v>
      </c>
      <c r="G355" s="47" t="n">
        <f aca="false">'Daily KPI Entry'!G356</f>
        <v>0</v>
      </c>
      <c r="H355" s="47" t="str">
        <f aca="false">'Daily KPI Entry'!H356</f>
        <v/>
      </c>
      <c r="I355" s="47" t="n">
        <f aca="false">'Daily KPI Entry'!I356</f>
        <v>0</v>
      </c>
      <c r="J355" s="47" t="n">
        <f aca="false">'Daily KPI Entry'!J356</f>
        <v>0</v>
      </c>
      <c r="K355" s="47" t="n">
        <f aca="false">'Daily KPI Entry'!K356</f>
        <v>0</v>
      </c>
      <c r="L355" s="47" t="n">
        <f aca="false">'Daily KPI Entry'!L356</f>
        <v>0</v>
      </c>
      <c r="M355" s="47" t="n">
        <f aca="false">'Daily KPI Entry'!M356</f>
        <v>0</v>
      </c>
      <c r="N355" s="49" t="n">
        <f aca="false">'Daily KPI Entry'!N356</f>
        <v>0</v>
      </c>
      <c r="O355" s="49" t="n">
        <f aca="false">'Daily KPI Entry'!O356</f>
        <v>0</v>
      </c>
      <c r="P355" s="49" t="str">
        <f aca="false">IF(OR(N355="",O355=""),"",IFERROR(O355/N355*100,0))</f>
        <v/>
      </c>
      <c r="Q355" s="47" t="n">
        <f aca="false">'Daily KPI Entry'!Q356</f>
        <v>8</v>
      </c>
      <c r="R355" s="47" t="str">
        <f aca="false">IF(J355="","",Q355*J355)</f>
        <v/>
      </c>
      <c r="S355" s="49" t="n">
        <f aca="false">'Daily KPI Entry'!S356</f>
        <v>0</v>
      </c>
      <c r="T355" s="49" t="str">
        <f aca="false">IF(OR(R355="",S355=""),"",IFERROR(S355/R355*100,0))</f>
        <v/>
      </c>
      <c r="U355" s="49" t="str">
        <f aca="false">IF(OR(O355="",L355="",M355="",S355="",M355=0),"",IFERROR(O355/(L355*60*S355/(M355*36))*100,0))</f>
        <v/>
      </c>
      <c r="V355" s="49" t="n">
        <f aca="false">'Daily KPI Entry'!V356</f>
        <v>0</v>
      </c>
      <c r="W355" s="49" t="str">
        <f aca="false">IF(O355="","",IFERROR(V355/O355*100,0))</f>
        <v/>
      </c>
      <c r="X355" s="49" t="n">
        <f aca="false">'Daily KPI Entry'!X356</f>
        <v>0</v>
      </c>
      <c r="Y355" s="49" t="n">
        <f aca="false">'Daily KPI Entry'!Y356</f>
        <v>0</v>
      </c>
      <c r="Z355" s="49" t="n">
        <f aca="false">'Daily KPI Entry'!Z356</f>
        <v>0</v>
      </c>
      <c r="AA355" s="49" t="n">
        <f aca="false">'Daily KPI Entry'!AA356</f>
        <v>0</v>
      </c>
      <c r="AB355" s="49" t="n">
        <f aca="false">'Daily KPI Entry'!AB356</f>
        <v>0</v>
      </c>
      <c r="AC355" s="49" t="n">
        <f aca="false">'Daily KPI Entry'!AC356</f>
        <v>0</v>
      </c>
      <c r="AD355" s="49" t="n">
        <f aca="false">'Daily KPI Entry'!AD356</f>
        <v>0</v>
      </c>
      <c r="AE355" s="49" t="n">
        <f aca="false">'Daily KPI Entry'!AE356</f>
        <v>0</v>
      </c>
      <c r="AF355" s="47" t="str">
        <f aca="false">IF(O355="","",SUM(X355:AE355))</f>
        <v/>
      </c>
      <c r="AG355" s="49" t="str">
        <f aca="false">IF(O355="","",IFERROR(AF355/O355*1000,0))</f>
        <v/>
      </c>
      <c r="AH355" s="49" t="n">
        <f aca="false">'Daily KPI Entry'!AH356</f>
        <v>0</v>
      </c>
      <c r="AI355" s="49" t="n">
        <f aca="false">'Daily KPI Entry'!AI356</f>
        <v>0</v>
      </c>
      <c r="AJ355" s="49" t="n">
        <f aca="false">'Daily KPI Entry'!AJ356</f>
        <v>0</v>
      </c>
      <c r="AK355" s="47" t="n">
        <f aca="false">'Daily KPI Entry'!AK356</f>
        <v>0</v>
      </c>
      <c r="AL355" s="47" t="n">
        <f aca="false">'Daily KPI Entry'!AL356</f>
        <v>0</v>
      </c>
      <c r="AM355" s="47" t="n">
        <f aca="false">'Daily KPI Entry'!AM356</f>
        <v>0</v>
      </c>
      <c r="AN355" s="49" t="str">
        <f aca="false">IF(P355="","",MIN(120,P355))</f>
        <v/>
      </c>
      <c r="AO355" s="49" t="str">
        <f aca="false">IF(U355="","",MIN(120,U355))</f>
        <v/>
      </c>
      <c r="AP355" s="49" t="str">
        <f aca="false">IF(R355="","",MIN(120,IFERROR(S355/R355*100,0)))</f>
        <v/>
      </c>
      <c r="AQ355" s="49" t="str">
        <f aca="false">IF(W355="","",MIN(120,IF(W355=0,120,100*(INDEX('Standards &amp; Scoring'!$E$5:$E$13,MATCH("Quality / Rejection",'Standards &amp; Scoring'!$A$5:$A$13,0))/W355))))</f>
        <v/>
      </c>
      <c r="AR355" s="49" t="str">
        <f aca="false">IF(AG355="","",MIN(120,IF(AG355=0,120,100*(INDEX('Standards &amp; Scoring'!$E$5:$E$13,MATCH("Fault Control",'Standards &amp; Scoring'!$A$5:$A$13,0))/AG355))))</f>
        <v/>
      </c>
      <c r="AS355" s="49" t="str">
        <f aca="false">IF(O355="","",MIN(120,IF(SUMIFS('Fault &amp; Downtime Entry'!$L$6:$L$1005,'Fault &amp; Downtime Entry'!$E$6:$E$1005,G355,'Fault &amp; Downtime Entry'!$B$6:$B$1005,B355)=0,120,100*(INDEX('Standards &amp; Scoring'!$E$5:$E$13,MATCH("Downtime Control",'Standards &amp; Scoring'!$A$5:$A$13,0))/IFERROR(SUMIFS('Fault &amp; Downtime Entry'!$L$6:$L$1005,'Fault &amp; Downtime Entry'!$E$6:$E$1005,G355,'Fault &amp; Downtime Entry'!$B$6:$B$1005,B355)/O355*1000,999999)))))</f>
        <v/>
      </c>
      <c r="AT355" s="49" t="n">
        <f aca="false">IF(COUNTA(AH355,AJ355)=0,"",MIN(120,IF(AND(AH355&lt;&gt;"",AJ355&lt;&gt;""),AVERAGE(AH355,AJ355),IF(AH355&lt;&gt;"",AH355,AJ355))))</f>
        <v>0</v>
      </c>
      <c r="AU355" s="49" t="str">
        <f aca="false">IF(AI355="","",MIN(120,AI355))</f>
        <v/>
      </c>
      <c r="AV355" s="49" t="str">
        <f aca="false">IF(AJ355="","",MIN(120,AJ355))</f>
        <v/>
      </c>
      <c r="AW355" s="50" t="str">
        <f aca="false">IF(COUNT(AN355:AV355)&lt;9,"",(AN355*'Standards &amp; Scoring'!$D$5+AO355*'Standards &amp; Scoring'!$D$6+AP355*'Standards &amp; Scoring'!$D$7+AQ355*'Standards &amp; Scoring'!$D$8+AR355*'Standards &amp; Scoring'!$D$9+AS355*'Standards &amp; Scoring'!$D$10+AT355*'Standards &amp; Scoring'!$D$11+AU355*'Standards &amp; Scoring'!$D$12+AV355*'Standards &amp; Scoring'!$D$13)/10000)</f>
        <v/>
      </c>
      <c r="AX355" s="47" t="str">
        <f aca="false">IF(AW355="","",IF(AW355&gt;=1.05,"A+",IF(AW355&gt;=1,"A",IF(AW355&gt;=0.95,"B+",IF(AW355&gt;=0.9,"B","C")))))</f>
        <v/>
      </c>
      <c r="AY355" s="47" t="str">
        <f aca="false">IF(AX355="","",IF(AX355="A+",1800,IF(AX355="A",1600,IF(AX355="B+",1400,IF(AX355="B",1200,0)))))</f>
        <v/>
      </c>
      <c r="AZ355" s="49" t="str">
        <f aca="false">IF(OR(L355="",M355="",S355="",M355=0),"",IFERROR(L355*60*S355/(M355*36),0))</f>
        <v/>
      </c>
    </row>
    <row r="356" customFormat="false" ht="15" hidden="false" customHeight="true" outlineLevel="0" collapsed="false">
      <c r="A356" s="47" t="n">
        <f aca="false">'Daily KPI Entry'!A357</f>
        <v>0</v>
      </c>
      <c r="B356" s="48" t="n">
        <f aca="false">'Daily KPI Entry'!B357</f>
        <v>0</v>
      </c>
      <c r="C356" s="47" t="n">
        <f aca="false">'Daily KPI Entry'!C357</f>
        <v>0</v>
      </c>
      <c r="D356" s="47" t="n">
        <f aca="false">'Daily KPI Entry'!D357</f>
        <v>0</v>
      </c>
      <c r="E356" s="47" t="n">
        <f aca="false">'Daily KPI Entry'!E357</f>
        <v>0</v>
      </c>
      <c r="F356" s="47" t="n">
        <f aca="false">'Daily KPI Entry'!F357</f>
        <v>0</v>
      </c>
      <c r="G356" s="47" t="n">
        <f aca="false">'Daily KPI Entry'!G357</f>
        <v>0</v>
      </c>
      <c r="H356" s="47" t="str">
        <f aca="false">'Daily KPI Entry'!H357</f>
        <v/>
      </c>
      <c r="I356" s="47" t="n">
        <f aca="false">'Daily KPI Entry'!I357</f>
        <v>0</v>
      </c>
      <c r="J356" s="47" t="n">
        <f aca="false">'Daily KPI Entry'!J357</f>
        <v>0</v>
      </c>
      <c r="K356" s="47" t="n">
        <f aca="false">'Daily KPI Entry'!K357</f>
        <v>0</v>
      </c>
      <c r="L356" s="47" t="n">
        <f aca="false">'Daily KPI Entry'!L357</f>
        <v>0</v>
      </c>
      <c r="M356" s="47" t="n">
        <f aca="false">'Daily KPI Entry'!M357</f>
        <v>0</v>
      </c>
      <c r="N356" s="49" t="n">
        <f aca="false">'Daily KPI Entry'!N357</f>
        <v>0</v>
      </c>
      <c r="O356" s="49" t="n">
        <f aca="false">'Daily KPI Entry'!O357</f>
        <v>0</v>
      </c>
      <c r="P356" s="49" t="str">
        <f aca="false">IF(OR(N356="",O356=""),"",IFERROR(O356/N356*100,0))</f>
        <v/>
      </c>
      <c r="Q356" s="47" t="n">
        <f aca="false">'Daily KPI Entry'!Q357</f>
        <v>8</v>
      </c>
      <c r="R356" s="47" t="str">
        <f aca="false">IF(J356="","",Q356*J356)</f>
        <v/>
      </c>
      <c r="S356" s="49" t="n">
        <f aca="false">'Daily KPI Entry'!S357</f>
        <v>0</v>
      </c>
      <c r="T356" s="49" t="str">
        <f aca="false">IF(OR(R356="",S356=""),"",IFERROR(S356/R356*100,0))</f>
        <v/>
      </c>
      <c r="U356" s="49" t="str">
        <f aca="false">IF(OR(O356="",L356="",M356="",S356="",M356=0),"",IFERROR(O356/(L356*60*S356/(M356*36))*100,0))</f>
        <v/>
      </c>
      <c r="V356" s="49" t="n">
        <f aca="false">'Daily KPI Entry'!V357</f>
        <v>0</v>
      </c>
      <c r="W356" s="49" t="str">
        <f aca="false">IF(O356="","",IFERROR(V356/O356*100,0))</f>
        <v/>
      </c>
      <c r="X356" s="49" t="n">
        <f aca="false">'Daily KPI Entry'!X357</f>
        <v>0</v>
      </c>
      <c r="Y356" s="49" t="n">
        <f aca="false">'Daily KPI Entry'!Y357</f>
        <v>0</v>
      </c>
      <c r="Z356" s="49" t="n">
        <f aca="false">'Daily KPI Entry'!Z357</f>
        <v>0</v>
      </c>
      <c r="AA356" s="49" t="n">
        <f aca="false">'Daily KPI Entry'!AA357</f>
        <v>0</v>
      </c>
      <c r="AB356" s="49" t="n">
        <f aca="false">'Daily KPI Entry'!AB357</f>
        <v>0</v>
      </c>
      <c r="AC356" s="49" t="n">
        <f aca="false">'Daily KPI Entry'!AC357</f>
        <v>0</v>
      </c>
      <c r="AD356" s="49" t="n">
        <f aca="false">'Daily KPI Entry'!AD357</f>
        <v>0</v>
      </c>
      <c r="AE356" s="49" t="n">
        <f aca="false">'Daily KPI Entry'!AE357</f>
        <v>0</v>
      </c>
      <c r="AF356" s="47" t="str">
        <f aca="false">IF(O356="","",SUM(X356:AE356))</f>
        <v/>
      </c>
      <c r="AG356" s="49" t="str">
        <f aca="false">IF(O356="","",IFERROR(AF356/O356*1000,0))</f>
        <v/>
      </c>
      <c r="AH356" s="49" t="n">
        <f aca="false">'Daily KPI Entry'!AH357</f>
        <v>0</v>
      </c>
      <c r="AI356" s="49" t="n">
        <f aca="false">'Daily KPI Entry'!AI357</f>
        <v>0</v>
      </c>
      <c r="AJ356" s="49" t="n">
        <f aca="false">'Daily KPI Entry'!AJ357</f>
        <v>0</v>
      </c>
      <c r="AK356" s="47" t="n">
        <f aca="false">'Daily KPI Entry'!AK357</f>
        <v>0</v>
      </c>
      <c r="AL356" s="47" t="n">
        <f aca="false">'Daily KPI Entry'!AL357</f>
        <v>0</v>
      </c>
      <c r="AM356" s="47" t="n">
        <f aca="false">'Daily KPI Entry'!AM357</f>
        <v>0</v>
      </c>
      <c r="AN356" s="49" t="str">
        <f aca="false">IF(P356="","",MIN(120,P356))</f>
        <v/>
      </c>
      <c r="AO356" s="49" t="str">
        <f aca="false">IF(U356="","",MIN(120,U356))</f>
        <v/>
      </c>
      <c r="AP356" s="49" t="str">
        <f aca="false">IF(R356="","",MIN(120,IFERROR(S356/R356*100,0)))</f>
        <v/>
      </c>
      <c r="AQ356" s="49" t="str">
        <f aca="false">IF(W356="","",MIN(120,IF(W356=0,120,100*(INDEX('Standards &amp; Scoring'!$E$5:$E$13,MATCH("Quality / Rejection",'Standards &amp; Scoring'!$A$5:$A$13,0))/W356))))</f>
        <v/>
      </c>
      <c r="AR356" s="49" t="str">
        <f aca="false">IF(AG356="","",MIN(120,IF(AG356=0,120,100*(INDEX('Standards &amp; Scoring'!$E$5:$E$13,MATCH("Fault Control",'Standards &amp; Scoring'!$A$5:$A$13,0))/AG356))))</f>
        <v/>
      </c>
      <c r="AS356" s="49" t="str">
        <f aca="false">IF(O356="","",MIN(120,IF(SUMIFS('Fault &amp; Downtime Entry'!$L$6:$L$1005,'Fault &amp; Downtime Entry'!$E$6:$E$1005,G356,'Fault &amp; Downtime Entry'!$B$6:$B$1005,B356)=0,120,100*(INDEX('Standards &amp; Scoring'!$E$5:$E$13,MATCH("Downtime Control",'Standards &amp; Scoring'!$A$5:$A$13,0))/IFERROR(SUMIFS('Fault &amp; Downtime Entry'!$L$6:$L$1005,'Fault &amp; Downtime Entry'!$E$6:$E$1005,G356,'Fault &amp; Downtime Entry'!$B$6:$B$1005,B356)/O356*1000,999999)))))</f>
        <v/>
      </c>
      <c r="AT356" s="49" t="n">
        <f aca="false">IF(COUNTA(AH356,AJ356)=0,"",MIN(120,IF(AND(AH356&lt;&gt;"",AJ356&lt;&gt;""),AVERAGE(AH356,AJ356),IF(AH356&lt;&gt;"",AH356,AJ356))))</f>
        <v>0</v>
      </c>
      <c r="AU356" s="49" t="str">
        <f aca="false">IF(AI356="","",MIN(120,AI356))</f>
        <v/>
      </c>
      <c r="AV356" s="49" t="str">
        <f aca="false">IF(AJ356="","",MIN(120,AJ356))</f>
        <v/>
      </c>
      <c r="AW356" s="50" t="str">
        <f aca="false">IF(COUNT(AN356:AV356)&lt;9,"",(AN356*'Standards &amp; Scoring'!$D$5+AO356*'Standards &amp; Scoring'!$D$6+AP356*'Standards &amp; Scoring'!$D$7+AQ356*'Standards &amp; Scoring'!$D$8+AR356*'Standards &amp; Scoring'!$D$9+AS356*'Standards &amp; Scoring'!$D$10+AT356*'Standards &amp; Scoring'!$D$11+AU356*'Standards &amp; Scoring'!$D$12+AV356*'Standards &amp; Scoring'!$D$13)/10000)</f>
        <v/>
      </c>
      <c r="AX356" s="47" t="str">
        <f aca="false">IF(AW356="","",IF(AW356&gt;=1.05,"A+",IF(AW356&gt;=1,"A",IF(AW356&gt;=0.95,"B+",IF(AW356&gt;=0.9,"B","C")))))</f>
        <v/>
      </c>
      <c r="AY356" s="47" t="str">
        <f aca="false">IF(AX356="","",IF(AX356="A+",1800,IF(AX356="A",1600,IF(AX356="B+",1400,IF(AX356="B",1200,0)))))</f>
        <v/>
      </c>
      <c r="AZ356" s="49" t="str">
        <f aca="false">IF(OR(L356="",M356="",S356="",M356=0),"",IFERROR(L356*60*S356/(M356*36),0))</f>
        <v/>
      </c>
    </row>
    <row r="357" customFormat="false" ht="15" hidden="false" customHeight="true" outlineLevel="0" collapsed="false">
      <c r="A357" s="47" t="n">
        <f aca="false">'Daily KPI Entry'!A358</f>
        <v>0</v>
      </c>
      <c r="B357" s="48" t="n">
        <f aca="false">'Daily KPI Entry'!B358</f>
        <v>0</v>
      </c>
      <c r="C357" s="47" t="n">
        <f aca="false">'Daily KPI Entry'!C358</f>
        <v>0</v>
      </c>
      <c r="D357" s="47" t="n">
        <f aca="false">'Daily KPI Entry'!D358</f>
        <v>0</v>
      </c>
      <c r="E357" s="47" t="n">
        <f aca="false">'Daily KPI Entry'!E358</f>
        <v>0</v>
      </c>
      <c r="F357" s="47" t="n">
        <f aca="false">'Daily KPI Entry'!F358</f>
        <v>0</v>
      </c>
      <c r="G357" s="47" t="n">
        <f aca="false">'Daily KPI Entry'!G358</f>
        <v>0</v>
      </c>
      <c r="H357" s="47" t="str">
        <f aca="false">'Daily KPI Entry'!H358</f>
        <v/>
      </c>
      <c r="I357" s="47" t="n">
        <f aca="false">'Daily KPI Entry'!I358</f>
        <v>0</v>
      </c>
      <c r="J357" s="47" t="n">
        <f aca="false">'Daily KPI Entry'!J358</f>
        <v>0</v>
      </c>
      <c r="K357" s="47" t="n">
        <f aca="false">'Daily KPI Entry'!K358</f>
        <v>0</v>
      </c>
      <c r="L357" s="47" t="n">
        <f aca="false">'Daily KPI Entry'!L358</f>
        <v>0</v>
      </c>
      <c r="M357" s="47" t="n">
        <f aca="false">'Daily KPI Entry'!M358</f>
        <v>0</v>
      </c>
      <c r="N357" s="49" t="n">
        <f aca="false">'Daily KPI Entry'!N358</f>
        <v>0</v>
      </c>
      <c r="O357" s="49" t="n">
        <f aca="false">'Daily KPI Entry'!O358</f>
        <v>0</v>
      </c>
      <c r="P357" s="49" t="str">
        <f aca="false">IF(OR(N357="",O357=""),"",IFERROR(O357/N357*100,0))</f>
        <v/>
      </c>
      <c r="Q357" s="47" t="n">
        <f aca="false">'Daily KPI Entry'!Q358</f>
        <v>8</v>
      </c>
      <c r="R357" s="47" t="str">
        <f aca="false">IF(J357="","",Q357*J357)</f>
        <v/>
      </c>
      <c r="S357" s="49" t="n">
        <f aca="false">'Daily KPI Entry'!S358</f>
        <v>0</v>
      </c>
      <c r="T357" s="49" t="str">
        <f aca="false">IF(OR(R357="",S357=""),"",IFERROR(S357/R357*100,0))</f>
        <v/>
      </c>
      <c r="U357" s="49" t="str">
        <f aca="false">IF(OR(O357="",L357="",M357="",S357="",M357=0),"",IFERROR(O357/(L357*60*S357/(M357*36))*100,0))</f>
        <v/>
      </c>
      <c r="V357" s="49" t="n">
        <f aca="false">'Daily KPI Entry'!V358</f>
        <v>0</v>
      </c>
      <c r="W357" s="49" t="str">
        <f aca="false">IF(O357="","",IFERROR(V357/O357*100,0))</f>
        <v/>
      </c>
      <c r="X357" s="49" t="n">
        <f aca="false">'Daily KPI Entry'!X358</f>
        <v>0</v>
      </c>
      <c r="Y357" s="49" t="n">
        <f aca="false">'Daily KPI Entry'!Y358</f>
        <v>0</v>
      </c>
      <c r="Z357" s="49" t="n">
        <f aca="false">'Daily KPI Entry'!Z358</f>
        <v>0</v>
      </c>
      <c r="AA357" s="49" t="n">
        <f aca="false">'Daily KPI Entry'!AA358</f>
        <v>0</v>
      </c>
      <c r="AB357" s="49" t="n">
        <f aca="false">'Daily KPI Entry'!AB358</f>
        <v>0</v>
      </c>
      <c r="AC357" s="49" t="n">
        <f aca="false">'Daily KPI Entry'!AC358</f>
        <v>0</v>
      </c>
      <c r="AD357" s="49" t="n">
        <f aca="false">'Daily KPI Entry'!AD358</f>
        <v>0</v>
      </c>
      <c r="AE357" s="49" t="n">
        <f aca="false">'Daily KPI Entry'!AE358</f>
        <v>0</v>
      </c>
      <c r="AF357" s="47" t="str">
        <f aca="false">IF(O357="","",SUM(X357:AE357))</f>
        <v/>
      </c>
      <c r="AG357" s="49" t="str">
        <f aca="false">IF(O357="","",IFERROR(AF357/O357*1000,0))</f>
        <v/>
      </c>
      <c r="AH357" s="49" t="n">
        <f aca="false">'Daily KPI Entry'!AH358</f>
        <v>0</v>
      </c>
      <c r="AI357" s="49" t="n">
        <f aca="false">'Daily KPI Entry'!AI358</f>
        <v>0</v>
      </c>
      <c r="AJ357" s="49" t="n">
        <f aca="false">'Daily KPI Entry'!AJ358</f>
        <v>0</v>
      </c>
      <c r="AK357" s="47" t="n">
        <f aca="false">'Daily KPI Entry'!AK358</f>
        <v>0</v>
      </c>
      <c r="AL357" s="47" t="n">
        <f aca="false">'Daily KPI Entry'!AL358</f>
        <v>0</v>
      </c>
      <c r="AM357" s="47" t="n">
        <f aca="false">'Daily KPI Entry'!AM358</f>
        <v>0</v>
      </c>
      <c r="AN357" s="49" t="str">
        <f aca="false">IF(P357="","",MIN(120,P357))</f>
        <v/>
      </c>
      <c r="AO357" s="49" t="str">
        <f aca="false">IF(U357="","",MIN(120,U357))</f>
        <v/>
      </c>
      <c r="AP357" s="49" t="str">
        <f aca="false">IF(R357="","",MIN(120,IFERROR(S357/R357*100,0)))</f>
        <v/>
      </c>
      <c r="AQ357" s="49" t="str">
        <f aca="false">IF(W357="","",MIN(120,IF(W357=0,120,100*(INDEX('Standards &amp; Scoring'!$E$5:$E$13,MATCH("Quality / Rejection",'Standards &amp; Scoring'!$A$5:$A$13,0))/W357))))</f>
        <v/>
      </c>
      <c r="AR357" s="49" t="str">
        <f aca="false">IF(AG357="","",MIN(120,IF(AG357=0,120,100*(INDEX('Standards &amp; Scoring'!$E$5:$E$13,MATCH("Fault Control",'Standards &amp; Scoring'!$A$5:$A$13,0))/AG357))))</f>
        <v/>
      </c>
      <c r="AS357" s="49" t="str">
        <f aca="false">IF(O357="","",MIN(120,IF(SUMIFS('Fault &amp; Downtime Entry'!$L$6:$L$1005,'Fault &amp; Downtime Entry'!$E$6:$E$1005,G357,'Fault &amp; Downtime Entry'!$B$6:$B$1005,B357)=0,120,100*(INDEX('Standards &amp; Scoring'!$E$5:$E$13,MATCH("Downtime Control",'Standards &amp; Scoring'!$A$5:$A$13,0))/IFERROR(SUMIFS('Fault &amp; Downtime Entry'!$L$6:$L$1005,'Fault &amp; Downtime Entry'!$E$6:$E$1005,G357,'Fault &amp; Downtime Entry'!$B$6:$B$1005,B357)/O357*1000,999999)))))</f>
        <v/>
      </c>
      <c r="AT357" s="49" t="n">
        <f aca="false">IF(COUNTA(AH357,AJ357)=0,"",MIN(120,IF(AND(AH357&lt;&gt;"",AJ357&lt;&gt;""),AVERAGE(AH357,AJ357),IF(AH357&lt;&gt;"",AH357,AJ357))))</f>
        <v>0</v>
      </c>
      <c r="AU357" s="49" t="str">
        <f aca="false">IF(AI357="","",MIN(120,AI357))</f>
        <v/>
      </c>
      <c r="AV357" s="49" t="str">
        <f aca="false">IF(AJ357="","",MIN(120,AJ357))</f>
        <v/>
      </c>
      <c r="AW357" s="50" t="str">
        <f aca="false">IF(COUNT(AN357:AV357)&lt;9,"",(AN357*'Standards &amp; Scoring'!$D$5+AO357*'Standards &amp; Scoring'!$D$6+AP357*'Standards &amp; Scoring'!$D$7+AQ357*'Standards &amp; Scoring'!$D$8+AR357*'Standards &amp; Scoring'!$D$9+AS357*'Standards &amp; Scoring'!$D$10+AT357*'Standards &amp; Scoring'!$D$11+AU357*'Standards &amp; Scoring'!$D$12+AV357*'Standards &amp; Scoring'!$D$13)/10000)</f>
        <v/>
      </c>
      <c r="AX357" s="47" t="str">
        <f aca="false">IF(AW357="","",IF(AW357&gt;=1.05,"A+",IF(AW357&gt;=1,"A",IF(AW357&gt;=0.95,"B+",IF(AW357&gt;=0.9,"B","C")))))</f>
        <v/>
      </c>
      <c r="AY357" s="47" t="str">
        <f aca="false">IF(AX357="","",IF(AX357="A+",1800,IF(AX357="A",1600,IF(AX357="B+",1400,IF(AX357="B",1200,0)))))</f>
        <v/>
      </c>
      <c r="AZ357" s="49" t="str">
        <f aca="false">IF(OR(L357="",M357="",S357="",M357=0),"",IFERROR(L357*60*S357/(M357*36),0))</f>
        <v/>
      </c>
    </row>
    <row r="358" customFormat="false" ht="15" hidden="false" customHeight="true" outlineLevel="0" collapsed="false">
      <c r="A358" s="47" t="n">
        <f aca="false">'Daily KPI Entry'!A359</f>
        <v>0</v>
      </c>
      <c r="B358" s="48" t="n">
        <f aca="false">'Daily KPI Entry'!B359</f>
        <v>0</v>
      </c>
      <c r="C358" s="47" t="n">
        <f aca="false">'Daily KPI Entry'!C359</f>
        <v>0</v>
      </c>
      <c r="D358" s="47" t="n">
        <f aca="false">'Daily KPI Entry'!D359</f>
        <v>0</v>
      </c>
      <c r="E358" s="47" t="n">
        <f aca="false">'Daily KPI Entry'!E359</f>
        <v>0</v>
      </c>
      <c r="F358" s="47" t="n">
        <f aca="false">'Daily KPI Entry'!F359</f>
        <v>0</v>
      </c>
      <c r="G358" s="47" t="n">
        <f aca="false">'Daily KPI Entry'!G359</f>
        <v>0</v>
      </c>
      <c r="H358" s="47" t="str">
        <f aca="false">'Daily KPI Entry'!H359</f>
        <v/>
      </c>
      <c r="I358" s="47" t="n">
        <f aca="false">'Daily KPI Entry'!I359</f>
        <v>0</v>
      </c>
      <c r="J358" s="47" t="n">
        <f aca="false">'Daily KPI Entry'!J359</f>
        <v>0</v>
      </c>
      <c r="K358" s="47" t="n">
        <f aca="false">'Daily KPI Entry'!K359</f>
        <v>0</v>
      </c>
      <c r="L358" s="47" t="n">
        <f aca="false">'Daily KPI Entry'!L359</f>
        <v>0</v>
      </c>
      <c r="M358" s="47" t="n">
        <f aca="false">'Daily KPI Entry'!M359</f>
        <v>0</v>
      </c>
      <c r="N358" s="49" t="n">
        <f aca="false">'Daily KPI Entry'!N359</f>
        <v>0</v>
      </c>
      <c r="O358" s="49" t="n">
        <f aca="false">'Daily KPI Entry'!O359</f>
        <v>0</v>
      </c>
      <c r="P358" s="49" t="str">
        <f aca="false">IF(OR(N358="",O358=""),"",IFERROR(O358/N358*100,0))</f>
        <v/>
      </c>
      <c r="Q358" s="47" t="n">
        <f aca="false">'Daily KPI Entry'!Q359</f>
        <v>8</v>
      </c>
      <c r="R358" s="47" t="str">
        <f aca="false">IF(J358="","",Q358*J358)</f>
        <v/>
      </c>
      <c r="S358" s="49" t="n">
        <f aca="false">'Daily KPI Entry'!S359</f>
        <v>0</v>
      </c>
      <c r="T358" s="49" t="str">
        <f aca="false">IF(OR(R358="",S358=""),"",IFERROR(S358/R358*100,0))</f>
        <v/>
      </c>
      <c r="U358" s="49" t="str">
        <f aca="false">IF(OR(O358="",L358="",M358="",S358="",M358=0),"",IFERROR(O358/(L358*60*S358/(M358*36))*100,0))</f>
        <v/>
      </c>
      <c r="V358" s="49" t="n">
        <f aca="false">'Daily KPI Entry'!V359</f>
        <v>0</v>
      </c>
      <c r="W358" s="49" t="str">
        <f aca="false">IF(O358="","",IFERROR(V358/O358*100,0))</f>
        <v/>
      </c>
      <c r="X358" s="49" t="n">
        <f aca="false">'Daily KPI Entry'!X359</f>
        <v>0</v>
      </c>
      <c r="Y358" s="49" t="n">
        <f aca="false">'Daily KPI Entry'!Y359</f>
        <v>0</v>
      </c>
      <c r="Z358" s="49" t="n">
        <f aca="false">'Daily KPI Entry'!Z359</f>
        <v>0</v>
      </c>
      <c r="AA358" s="49" t="n">
        <f aca="false">'Daily KPI Entry'!AA359</f>
        <v>0</v>
      </c>
      <c r="AB358" s="49" t="n">
        <f aca="false">'Daily KPI Entry'!AB359</f>
        <v>0</v>
      </c>
      <c r="AC358" s="49" t="n">
        <f aca="false">'Daily KPI Entry'!AC359</f>
        <v>0</v>
      </c>
      <c r="AD358" s="49" t="n">
        <f aca="false">'Daily KPI Entry'!AD359</f>
        <v>0</v>
      </c>
      <c r="AE358" s="49" t="n">
        <f aca="false">'Daily KPI Entry'!AE359</f>
        <v>0</v>
      </c>
      <c r="AF358" s="47" t="str">
        <f aca="false">IF(O358="","",SUM(X358:AE358))</f>
        <v/>
      </c>
      <c r="AG358" s="49" t="str">
        <f aca="false">IF(O358="","",IFERROR(AF358/O358*1000,0))</f>
        <v/>
      </c>
      <c r="AH358" s="49" t="n">
        <f aca="false">'Daily KPI Entry'!AH359</f>
        <v>0</v>
      </c>
      <c r="AI358" s="49" t="n">
        <f aca="false">'Daily KPI Entry'!AI359</f>
        <v>0</v>
      </c>
      <c r="AJ358" s="49" t="n">
        <f aca="false">'Daily KPI Entry'!AJ359</f>
        <v>0</v>
      </c>
      <c r="AK358" s="47" t="n">
        <f aca="false">'Daily KPI Entry'!AK359</f>
        <v>0</v>
      </c>
      <c r="AL358" s="47" t="n">
        <f aca="false">'Daily KPI Entry'!AL359</f>
        <v>0</v>
      </c>
      <c r="AM358" s="47" t="n">
        <f aca="false">'Daily KPI Entry'!AM359</f>
        <v>0</v>
      </c>
      <c r="AN358" s="49" t="str">
        <f aca="false">IF(P358="","",MIN(120,P358))</f>
        <v/>
      </c>
      <c r="AO358" s="49" t="str">
        <f aca="false">IF(U358="","",MIN(120,U358))</f>
        <v/>
      </c>
      <c r="AP358" s="49" t="str">
        <f aca="false">IF(R358="","",MIN(120,IFERROR(S358/R358*100,0)))</f>
        <v/>
      </c>
      <c r="AQ358" s="49" t="str">
        <f aca="false">IF(W358="","",MIN(120,IF(W358=0,120,100*(INDEX('Standards &amp; Scoring'!$E$5:$E$13,MATCH("Quality / Rejection",'Standards &amp; Scoring'!$A$5:$A$13,0))/W358))))</f>
        <v/>
      </c>
      <c r="AR358" s="49" t="str">
        <f aca="false">IF(AG358="","",MIN(120,IF(AG358=0,120,100*(INDEX('Standards &amp; Scoring'!$E$5:$E$13,MATCH("Fault Control",'Standards &amp; Scoring'!$A$5:$A$13,0))/AG358))))</f>
        <v/>
      </c>
      <c r="AS358" s="49" t="str">
        <f aca="false">IF(O358="","",MIN(120,IF(SUMIFS('Fault &amp; Downtime Entry'!$L$6:$L$1005,'Fault &amp; Downtime Entry'!$E$6:$E$1005,G358,'Fault &amp; Downtime Entry'!$B$6:$B$1005,B358)=0,120,100*(INDEX('Standards &amp; Scoring'!$E$5:$E$13,MATCH("Downtime Control",'Standards &amp; Scoring'!$A$5:$A$13,0))/IFERROR(SUMIFS('Fault &amp; Downtime Entry'!$L$6:$L$1005,'Fault &amp; Downtime Entry'!$E$6:$E$1005,G358,'Fault &amp; Downtime Entry'!$B$6:$B$1005,B358)/O358*1000,999999)))))</f>
        <v/>
      </c>
      <c r="AT358" s="49" t="n">
        <f aca="false">IF(COUNTA(AH358,AJ358)=0,"",MIN(120,IF(AND(AH358&lt;&gt;"",AJ358&lt;&gt;""),AVERAGE(AH358,AJ358),IF(AH358&lt;&gt;"",AH358,AJ358))))</f>
        <v>0</v>
      </c>
      <c r="AU358" s="49" t="str">
        <f aca="false">IF(AI358="","",MIN(120,AI358))</f>
        <v/>
      </c>
      <c r="AV358" s="49" t="str">
        <f aca="false">IF(AJ358="","",MIN(120,AJ358))</f>
        <v/>
      </c>
      <c r="AW358" s="50" t="str">
        <f aca="false">IF(COUNT(AN358:AV358)&lt;9,"",(AN358*'Standards &amp; Scoring'!$D$5+AO358*'Standards &amp; Scoring'!$D$6+AP358*'Standards &amp; Scoring'!$D$7+AQ358*'Standards &amp; Scoring'!$D$8+AR358*'Standards &amp; Scoring'!$D$9+AS358*'Standards &amp; Scoring'!$D$10+AT358*'Standards &amp; Scoring'!$D$11+AU358*'Standards &amp; Scoring'!$D$12+AV358*'Standards &amp; Scoring'!$D$13)/10000)</f>
        <v/>
      </c>
      <c r="AX358" s="47" t="str">
        <f aca="false">IF(AW358="","",IF(AW358&gt;=1.05,"A+",IF(AW358&gt;=1,"A",IF(AW358&gt;=0.95,"B+",IF(AW358&gt;=0.9,"B","C")))))</f>
        <v/>
      </c>
      <c r="AY358" s="47" t="str">
        <f aca="false">IF(AX358="","",IF(AX358="A+",1800,IF(AX358="A",1600,IF(AX358="B+",1400,IF(AX358="B",1200,0)))))</f>
        <v/>
      </c>
      <c r="AZ358" s="49" t="str">
        <f aca="false">IF(OR(L358="",M358="",S358="",M358=0),"",IFERROR(L358*60*S358/(M358*36),0))</f>
        <v/>
      </c>
    </row>
    <row r="359" customFormat="false" ht="15" hidden="false" customHeight="true" outlineLevel="0" collapsed="false">
      <c r="A359" s="47" t="n">
        <f aca="false">'Daily KPI Entry'!A360</f>
        <v>0</v>
      </c>
      <c r="B359" s="48" t="n">
        <f aca="false">'Daily KPI Entry'!B360</f>
        <v>0</v>
      </c>
      <c r="C359" s="47" t="n">
        <f aca="false">'Daily KPI Entry'!C360</f>
        <v>0</v>
      </c>
      <c r="D359" s="47" t="n">
        <f aca="false">'Daily KPI Entry'!D360</f>
        <v>0</v>
      </c>
      <c r="E359" s="47" t="n">
        <f aca="false">'Daily KPI Entry'!E360</f>
        <v>0</v>
      </c>
      <c r="F359" s="47" t="n">
        <f aca="false">'Daily KPI Entry'!F360</f>
        <v>0</v>
      </c>
      <c r="G359" s="47" t="n">
        <f aca="false">'Daily KPI Entry'!G360</f>
        <v>0</v>
      </c>
      <c r="H359" s="47" t="str">
        <f aca="false">'Daily KPI Entry'!H360</f>
        <v/>
      </c>
      <c r="I359" s="47" t="n">
        <f aca="false">'Daily KPI Entry'!I360</f>
        <v>0</v>
      </c>
      <c r="J359" s="47" t="n">
        <f aca="false">'Daily KPI Entry'!J360</f>
        <v>0</v>
      </c>
      <c r="K359" s="47" t="n">
        <f aca="false">'Daily KPI Entry'!K360</f>
        <v>0</v>
      </c>
      <c r="L359" s="47" t="n">
        <f aca="false">'Daily KPI Entry'!L360</f>
        <v>0</v>
      </c>
      <c r="M359" s="47" t="n">
        <f aca="false">'Daily KPI Entry'!M360</f>
        <v>0</v>
      </c>
      <c r="N359" s="49" t="n">
        <f aca="false">'Daily KPI Entry'!N360</f>
        <v>0</v>
      </c>
      <c r="O359" s="49" t="n">
        <f aca="false">'Daily KPI Entry'!O360</f>
        <v>0</v>
      </c>
      <c r="P359" s="49" t="str">
        <f aca="false">IF(OR(N359="",O359=""),"",IFERROR(O359/N359*100,0))</f>
        <v/>
      </c>
      <c r="Q359" s="47" t="n">
        <f aca="false">'Daily KPI Entry'!Q360</f>
        <v>8</v>
      </c>
      <c r="R359" s="47" t="str">
        <f aca="false">IF(J359="","",Q359*J359)</f>
        <v/>
      </c>
      <c r="S359" s="49" t="n">
        <f aca="false">'Daily KPI Entry'!S360</f>
        <v>0</v>
      </c>
      <c r="T359" s="49" t="str">
        <f aca="false">IF(OR(R359="",S359=""),"",IFERROR(S359/R359*100,0))</f>
        <v/>
      </c>
      <c r="U359" s="49" t="str">
        <f aca="false">IF(OR(O359="",L359="",M359="",S359="",M359=0),"",IFERROR(O359/(L359*60*S359/(M359*36))*100,0))</f>
        <v/>
      </c>
      <c r="V359" s="49" t="n">
        <f aca="false">'Daily KPI Entry'!V360</f>
        <v>0</v>
      </c>
      <c r="W359" s="49" t="str">
        <f aca="false">IF(O359="","",IFERROR(V359/O359*100,0))</f>
        <v/>
      </c>
      <c r="X359" s="49" t="n">
        <f aca="false">'Daily KPI Entry'!X360</f>
        <v>0</v>
      </c>
      <c r="Y359" s="49" t="n">
        <f aca="false">'Daily KPI Entry'!Y360</f>
        <v>0</v>
      </c>
      <c r="Z359" s="49" t="n">
        <f aca="false">'Daily KPI Entry'!Z360</f>
        <v>0</v>
      </c>
      <c r="AA359" s="49" t="n">
        <f aca="false">'Daily KPI Entry'!AA360</f>
        <v>0</v>
      </c>
      <c r="AB359" s="49" t="n">
        <f aca="false">'Daily KPI Entry'!AB360</f>
        <v>0</v>
      </c>
      <c r="AC359" s="49" t="n">
        <f aca="false">'Daily KPI Entry'!AC360</f>
        <v>0</v>
      </c>
      <c r="AD359" s="49" t="n">
        <f aca="false">'Daily KPI Entry'!AD360</f>
        <v>0</v>
      </c>
      <c r="AE359" s="49" t="n">
        <f aca="false">'Daily KPI Entry'!AE360</f>
        <v>0</v>
      </c>
      <c r="AF359" s="47" t="str">
        <f aca="false">IF(O359="","",SUM(X359:AE359))</f>
        <v/>
      </c>
      <c r="AG359" s="49" t="str">
        <f aca="false">IF(O359="","",IFERROR(AF359/O359*1000,0))</f>
        <v/>
      </c>
      <c r="AH359" s="49" t="n">
        <f aca="false">'Daily KPI Entry'!AH360</f>
        <v>0</v>
      </c>
      <c r="AI359" s="49" t="n">
        <f aca="false">'Daily KPI Entry'!AI360</f>
        <v>0</v>
      </c>
      <c r="AJ359" s="49" t="n">
        <f aca="false">'Daily KPI Entry'!AJ360</f>
        <v>0</v>
      </c>
      <c r="AK359" s="47" t="n">
        <f aca="false">'Daily KPI Entry'!AK360</f>
        <v>0</v>
      </c>
      <c r="AL359" s="47" t="n">
        <f aca="false">'Daily KPI Entry'!AL360</f>
        <v>0</v>
      </c>
      <c r="AM359" s="47" t="n">
        <f aca="false">'Daily KPI Entry'!AM360</f>
        <v>0</v>
      </c>
      <c r="AN359" s="49" t="str">
        <f aca="false">IF(P359="","",MIN(120,P359))</f>
        <v/>
      </c>
      <c r="AO359" s="49" t="str">
        <f aca="false">IF(U359="","",MIN(120,U359))</f>
        <v/>
      </c>
      <c r="AP359" s="49" t="str">
        <f aca="false">IF(R359="","",MIN(120,IFERROR(S359/R359*100,0)))</f>
        <v/>
      </c>
      <c r="AQ359" s="49" t="str">
        <f aca="false">IF(W359="","",MIN(120,IF(W359=0,120,100*(INDEX('Standards &amp; Scoring'!$E$5:$E$13,MATCH("Quality / Rejection",'Standards &amp; Scoring'!$A$5:$A$13,0))/W359))))</f>
        <v/>
      </c>
      <c r="AR359" s="49" t="str">
        <f aca="false">IF(AG359="","",MIN(120,IF(AG359=0,120,100*(INDEX('Standards &amp; Scoring'!$E$5:$E$13,MATCH("Fault Control",'Standards &amp; Scoring'!$A$5:$A$13,0))/AG359))))</f>
        <v/>
      </c>
      <c r="AS359" s="49" t="str">
        <f aca="false">IF(O359="","",MIN(120,IF(SUMIFS('Fault &amp; Downtime Entry'!$L$6:$L$1005,'Fault &amp; Downtime Entry'!$E$6:$E$1005,G359,'Fault &amp; Downtime Entry'!$B$6:$B$1005,B359)=0,120,100*(INDEX('Standards &amp; Scoring'!$E$5:$E$13,MATCH("Downtime Control",'Standards &amp; Scoring'!$A$5:$A$13,0))/IFERROR(SUMIFS('Fault &amp; Downtime Entry'!$L$6:$L$1005,'Fault &amp; Downtime Entry'!$E$6:$E$1005,G359,'Fault &amp; Downtime Entry'!$B$6:$B$1005,B359)/O359*1000,999999)))))</f>
        <v/>
      </c>
      <c r="AT359" s="49" t="n">
        <f aca="false">IF(COUNTA(AH359,AJ359)=0,"",MIN(120,IF(AND(AH359&lt;&gt;"",AJ359&lt;&gt;""),AVERAGE(AH359,AJ359),IF(AH359&lt;&gt;"",AH359,AJ359))))</f>
        <v>0</v>
      </c>
      <c r="AU359" s="49" t="str">
        <f aca="false">IF(AI359="","",MIN(120,AI359))</f>
        <v/>
      </c>
      <c r="AV359" s="49" t="str">
        <f aca="false">IF(AJ359="","",MIN(120,AJ359))</f>
        <v/>
      </c>
      <c r="AW359" s="50" t="str">
        <f aca="false">IF(COUNT(AN359:AV359)&lt;9,"",(AN359*'Standards &amp; Scoring'!$D$5+AO359*'Standards &amp; Scoring'!$D$6+AP359*'Standards &amp; Scoring'!$D$7+AQ359*'Standards &amp; Scoring'!$D$8+AR359*'Standards &amp; Scoring'!$D$9+AS359*'Standards &amp; Scoring'!$D$10+AT359*'Standards &amp; Scoring'!$D$11+AU359*'Standards &amp; Scoring'!$D$12+AV359*'Standards &amp; Scoring'!$D$13)/10000)</f>
        <v/>
      </c>
      <c r="AX359" s="47" t="str">
        <f aca="false">IF(AW359="","",IF(AW359&gt;=1.05,"A+",IF(AW359&gt;=1,"A",IF(AW359&gt;=0.95,"B+",IF(AW359&gt;=0.9,"B","C")))))</f>
        <v/>
      </c>
      <c r="AY359" s="47" t="str">
        <f aca="false">IF(AX359="","",IF(AX359="A+",1800,IF(AX359="A",1600,IF(AX359="B+",1400,IF(AX359="B",1200,0)))))</f>
        <v/>
      </c>
      <c r="AZ359" s="49" t="str">
        <f aca="false">IF(OR(L359="",M359="",S359="",M359=0),"",IFERROR(L359*60*S359/(M359*36),0))</f>
        <v/>
      </c>
    </row>
    <row r="360" customFormat="false" ht="15" hidden="false" customHeight="true" outlineLevel="0" collapsed="false">
      <c r="A360" s="47" t="n">
        <f aca="false">'Daily KPI Entry'!A361</f>
        <v>0</v>
      </c>
      <c r="B360" s="48" t="n">
        <f aca="false">'Daily KPI Entry'!B361</f>
        <v>0</v>
      </c>
      <c r="C360" s="47" t="n">
        <f aca="false">'Daily KPI Entry'!C361</f>
        <v>0</v>
      </c>
      <c r="D360" s="47" t="n">
        <f aca="false">'Daily KPI Entry'!D361</f>
        <v>0</v>
      </c>
      <c r="E360" s="47" t="n">
        <f aca="false">'Daily KPI Entry'!E361</f>
        <v>0</v>
      </c>
      <c r="F360" s="47" t="n">
        <f aca="false">'Daily KPI Entry'!F361</f>
        <v>0</v>
      </c>
      <c r="G360" s="47" t="n">
        <f aca="false">'Daily KPI Entry'!G361</f>
        <v>0</v>
      </c>
      <c r="H360" s="47" t="str">
        <f aca="false">'Daily KPI Entry'!H361</f>
        <v/>
      </c>
      <c r="I360" s="47" t="n">
        <f aca="false">'Daily KPI Entry'!I361</f>
        <v>0</v>
      </c>
      <c r="J360" s="47" t="n">
        <f aca="false">'Daily KPI Entry'!J361</f>
        <v>0</v>
      </c>
      <c r="K360" s="47" t="n">
        <f aca="false">'Daily KPI Entry'!K361</f>
        <v>0</v>
      </c>
      <c r="L360" s="47" t="n">
        <f aca="false">'Daily KPI Entry'!L361</f>
        <v>0</v>
      </c>
      <c r="M360" s="47" t="n">
        <f aca="false">'Daily KPI Entry'!M361</f>
        <v>0</v>
      </c>
      <c r="N360" s="49" t="n">
        <f aca="false">'Daily KPI Entry'!N361</f>
        <v>0</v>
      </c>
      <c r="O360" s="49" t="n">
        <f aca="false">'Daily KPI Entry'!O361</f>
        <v>0</v>
      </c>
      <c r="P360" s="49" t="str">
        <f aca="false">IF(OR(N360="",O360=""),"",IFERROR(O360/N360*100,0))</f>
        <v/>
      </c>
      <c r="Q360" s="47" t="n">
        <f aca="false">'Daily KPI Entry'!Q361</f>
        <v>8</v>
      </c>
      <c r="R360" s="47" t="str">
        <f aca="false">IF(J360="","",Q360*J360)</f>
        <v/>
      </c>
      <c r="S360" s="49" t="n">
        <f aca="false">'Daily KPI Entry'!S361</f>
        <v>0</v>
      </c>
      <c r="T360" s="49" t="str">
        <f aca="false">IF(OR(R360="",S360=""),"",IFERROR(S360/R360*100,0))</f>
        <v/>
      </c>
      <c r="U360" s="49" t="str">
        <f aca="false">IF(OR(O360="",L360="",M360="",S360="",M360=0),"",IFERROR(O360/(L360*60*S360/(M360*36))*100,0))</f>
        <v/>
      </c>
      <c r="V360" s="49" t="n">
        <f aca="false">'Daily KPI Entry'!V361</f>
        <v>0</v>
      </c>
      <c r="W360" s="49" t="str">
        <f aca="false">IF(O360="","",IFERROR(V360/O360*100,0))</f>
        <v/>
      </c>
      <c r="X360" s="49" t="n">
        <f aca="false">'Daily KPI Entry'!X361</f>
        <v>0</v>
      </c>
      <c r="Y360" s="49" t="n">
        <f aca="false">'Daily KPI Entry'!Y361</f>
        <v>0</v>
      </c>
      <c r="Z360" s="49" t="n">
        <f aca="false">'Daily KPI Entry'!Z361</f>
        <v>0</v>
      </c>
      <c r="AA360" s="49" t="n">
        <f aca="false">'Daily KPI Entry'!AA361</f>
        <v>0</v>
      </c>
      <c r="AB360" s="49" t="n">
        <f aca="false">'Daily KPI Entry'!AB361</f>
        <v>0</v>
      </c>
      <c r="AC360" s="49" t="n">
        <f aca="false">'Daily KPI Entry'!AC361</f>
        <v>0</v>
      </c>
      <c r="AD360" s="49" t="n">
        <f aca="false">'Daily KPI Entry'!AD361</f>
        <v>0</v>
      </c>
      <c r="AE360" s="49" t="n">
        <f aca="false">'Daily KPI Entry'!AE361</f>
        <v>0</v>
      </c>
      <c r="AF360" s="47" t="str">
        <f aca="false">IF(O360="","",SUM(X360:AE360))</f>
        <v/>
      </c>
      <c r="AG360" s="49" t="str">
        <f aca="false">IF(O360="","",IFERROR(AF360/O360*1000,0))</f>
        <v/>
      </c>
      <c r="AH360" s="49" t="n">
        <f aca="false">'Daily KPI Entry'!AH361</f>
        <v>0</v>
      </c>
      <c r="AI360" s="49" t="n">
        <f aca="false">'Daily KPI Entry'!AI361</f>
        <v>0</v>
      </c>
      <c r="AJ360" s="49" t="n">
        <f aca="false">'Daily KPI Entry'!AJ361</f>
        <v>0</v>
      </c>
      <c r="AK360" s="47" t="n">
        <f aca="false">'Daily KPI Entry'!AK361</f>
        <v>0</v>
      </c>
      <c r="AL360" s="47" t="n">
        <f aca="false">'Daily KPI Entry'!AL361</f>
        <v>0</v>
      </c>
      <c r="AM360" s="47" t="n">
        <f aca="false">'Daily KPI Entry'!AM361</f>
        <v>0</v>
      </c>
      <c r="AN360" s="49" t="str">
        <f aca="false">IF(P360="","",MIN(120,P360))</f>
        <v/>
      </c>
      <c r="AO360" s="49" t="str">
        <f aca="false">IF(U360="","",MIN(120,U360))</f>
        <v/>
      </c>
      <c r="AP360" s="49" t="str">
        <f aca="false">IF(R360="","",MIN(120,IFERROR(S360/R360*100,0)))</f>
        <v/>
      </c>
      <c r="AQ360" s="49" t="str">
        <f aca="false">IF(W360="","",MIN(120,IF(W360=0,120,100*(INDEX('Standards &amp; Scoring'!$E$5:$E$13,MATCH("Quality / Rejection",'Standards &amp; Scoring'!$A$5:$A$13,0))/W360))))</f>
        <v/>
      </c>
      <c r="AR360" s="49" t="str">
        <f aca="false">IF(AG360="","",MIN(120,IF(AG360=0,120,100*(INDEX('Standards &amp; Scoring'!$E$5:$E$13,MATCH("Fault Control",'Standards &amp; Scoring'!$A$5:$A$13,0))/AG360))))</f>
        <v/>
      </c>
      <c r="AS360" s="49" t="str">
        <f aca="false">IF(O360="","",MIN(120,IF(SUMIFS('Fault &amp; Downtime Entry'!$L$6:$L$1005,'Fault &amp; Downtime Entry'!$E$6:$E$1005,G360,'Fault &amp; Downtime Entry'!$B$6:$B$1005,B360)=0,120,100*(INDEX('Standards &amp; Scoring'!$E$5:$E$13,MATCH("Downtime Control",'Standards &amp; Scoring'!$A$5:$A$13,0))/IFERROR(SUMIFS('Fault &amp; Downtime Entry'!$L$6:$L$1005,'Fault &amp; Downtime Entry'!$E$6:$E$1005,G360,'Fault &amp; Downtime Entry'!$B$6:$B$1005,B360)/O360*1000,999999)))))</f>
        <v/>
      </c>
      <c r="AT360" s="49" t="n">
        <f aca="false">IF(COUNTA(AH360,AJ360)=0,"",MIN(120,IF(AND(AH360&lt;&gt;"",AJ360&lt;&gt;""),AVERAGE(AH360,AJ360),IF(AH360&lt;&gt;"",AH360,AJ360))))</f>
        <v>0</v>
      </c>
      <c r="AU360" s="49" t="str">
        <f aca="false">IF(AI360="","",MIN(120,AI360))</f>
        <v/>
      </c>
      <c r="AV360" s="49" t="str">
        <f aca="false">IF(AJ360="","",MIN(120,AJ360))</f>
        <v/>
      </c>
      <c r="AW360" s="50" t="str">
        <f aca="false">IF(COUNT(AN360:AV360)&lt;9,"",(AN360*'Standards &amp; Scoring'!$D$5+AO360*'Standards &amp; Scoring'!$D$6+AP360*'Standards &amp; Scoring'!$D$7+AQ360*'Standards &amp; Scoring'!$D$8+AR360*'Standards &amp; Scoring'!$D$9+AS360*'Standards &amp; Scoring'!$D$10+AT360*'Standards &amp; Scoring'!$D$11+AU360*'Standards &amp; Scoring'!$D$12+AV360*'Standards &amp; Scoring'!$D$13)/10000)</f>
        <v/>
      </c>
      <c r="AX360" s="47" t="str">
        <f aca="false">IF(AW360="","",IF(AW360&gt;=1.05,"A+",IF(AW360&gt;=1,"A",IF(AW360&gt;=0.95,"B+",IF(AW360&gt;=0.9,"B","C")))))</f>
        <v/>
      </c>
      <c r="AY360" s="47" t="str">
        <f aca="false">IF(AX360="","",IF(AX360="A+",1800,IF(AX360="A",1600,IF(AX360="B+",1400,IF(AX360="B",1200,0)))))</f>
        <v/>
      </c>
      <c r="AZ360" s="49" t="str">
        <f aca="false">IF(OR(L360="",M360="",S360="",M360=0),"",IFERROR(L360*60*S360/(M360*36),0))</f>
        <v/>
      </c>
    </row>
    <row r="361" customFormat="false" ht="15" hidden="false" customHeight="true" outlineLevel="0" collapsed="false">
      <c r="A361" s="47" t="n">
        <f aca="false">'Daily KPI Entry'!A362</f>
        <v>0</v>
      </c>
      <c r="B361" s="48" t="n">
        <f aca="false">'Daily KPI Entry'!B362</f>
        <v>0</v>
      </c>
      <c r="C361" s="47" t="n">
        <f aca="false">'Daily KPI Entry'!C362</f>
        <v>0</v>
      </c>
      <c r="D361" s="47" t="n">
        <f aca="false">'Daily KPI Entry'!D362</f>
        <v>0</v>
      </c>
      <c r="E361" s="47" t="n">
        <f aca="false">'Daily KPI Entry'!E362</f>
        <v>0</v>
      </c>
      <c r="F361" s="47" t="n">
        <f aca="false">'Daily KPI Entry'!F362</f>
        <v>0</v>
      </c>
      <c r="G361" s="47" t="n">
        <f aca="false">'Daily KPI Entry'!G362</f>
        <v>0</v>
      </c>
      <c r="H361" s="47" t="str">
        <f aca="false">'Daily KPI Entry'!H362</f>
        <v/>
      </c>
      <c r="I361" s="47" t="n">
        <f aca="false">'Daily KPI Entry'!I362</f>
        <v>0</v>
      </c>
      <c r="J361" s="47" t="n">
        <f aca="false">'Daily KPI Entry'!J362</f>
        <v>0</v>
      </c>
      <c r="K361" s="47" t="n">
        <f aca="false">'Daily KPI Entry'!K362</f>
        <v>0</v>
      </c>
      <c r="L361" s="47" t="n">
        <f aca="false">'Daily KPI Entry'!L362</f>
        <v>0</v>
      </c>
      <c r="M361" s="47" t="n">
        <f aca="false">'Daily KPI Entry'!M362</f>
        <v>0</v>
      </c>
      <c r="N361" s="49" t="n">
        <f aca="false">'Daily KPI Entry'!N362</f>
        <v>0</v>
      </c>
      <c r="O361" s="49" t="n">
        <f aca="false">'Daily KPI Entry'!O362</f>
        <v>0</v>
      </c>
      <c r="P361" s="49" t="str">
        <f aca="false">IF(OR(N361="",O361=""),"",IFERROR(O361/N361*100,0))</f>
        <v/>
      </c>
      <c r="Q361" s="47" t="n">
        <f aca="false">'Daily KPI Entry'!Q362</f>
        <v>8</v>
      </c>
      <c r="R361" s="47" t="str">
        <f aca="false">IF(J361="","",Q361*J361)</f>
        <v/>
      </c>
      <c r="S361" s="49" t="n">
        <f aca="false">'Daily KPI Entry'!S362</f>
        <v>0</v>
      </c>
      <c r="T361" s="49" t="str">
        <f aca="false">IF(OR(R361="",S361=""),"",IFERROR(S361/R361*100,0))</f>
        <v/>
      </c>
      <c r="U361" s="49" t="str">
        <f aca="false">IF(OR(O361="",L361="",M361="",S361="",M361=0),"",IFERROR(O361/(L361*60*S361/(M361*36))*100,0))</f>
        <v/>
      </c>
      <c r="V361" s="49" t="n">
        <f aca="false">'Daily KPI Entry'!V362</f>
        <v>0</v>
      </c>
      <c r="W361" s="49" t="str">
        <f aca="false">IF(O361="","",IFERROR(V361/O361*100,0))</f>
        <v/>
      </c>
      <c r="X361" s="49" t="n">
        <f aca="false">'Daily KPI Entry'!X362</f>
        <v>0</v>
      </c>
      <c r="Y361" s="49" t="n">
        <f aca="false">'Daily KPI Entry'!Y362</f>
        <v>0</v>
      </c>
      <c r="Z361" s="49" t="n">
        <f aca="false">'Daily KPI Entry'!Z362</f>
        <v>0</v>
      </c>
      <c r="AA361" s="49" t="n">
        <f aca="false">'Daily KPI Entry'!AA362</f>
        <v>0</v>
      </c>
      <c r="AB361" s="49" t="n">
        <f aca="false">'Daily KPI Entry'!AB362</f>
        <v>0</v>
      </c>
      <c r="AC361" s="49" t="n">
        <f aca="false">'Daily KPI Entry'!AC362</f>
        <v>0</v>
      </c>
      <c r="AD361" s="49" t="n">
        <f aca="false">'Daily KPI Entry'!AD362</f>
        <v>0</v>
      </c>
      <c r="AE361" s="49" t="n">
        <f aca="false">'Daily KPI Entry'!AE362</f>
        <v>0</v>
      </c>
      <c r="AF361" s="47" t="str">
        <f aca="false">IF(O361="","",SUM(X361:AE361))</f>
        <v/>
      </c>
      <c r="AG361" s="49" t="str">
        <f aca="false">IF(O361="","",IFERROR(AF361/O361*1000,0))</f>
        <v/>
      </c>
      <c r="AH361" s="49" t="n">
        <f aca="false">'Daily KPI Entry'!AH362</f>
        <v>0</v>
      </c>
      <c r="AI361" s="49" t="n">
        <f aca="false">'Daily KPI Entry'!AI362</f>
        <v>0</v>
      </c>
      <c r="AJ361" s="49" t="n">
        <f aca="false">'Daily KPI Entry'!AJ362</f>
        <v>0</v>
      </c>
      <c r="AK361" s="47" t="n">
        <f aca="false">'Daily KPI Entry'!AK362</f>
        <v>0</v>
      </c>
      <c r="AL361" s="47" t="n">
        <f aca="false">'Daily KPI Entry'!AL362</f>
        <v>0</v>
      </c>
      <c r="AM361" s="47" t="n">
        <f aca="false">'Daily KPI Entry'!AM362</f>
        <v>0</v>
      </c>
      <c r="AN361" s="49" t="str">
        <f aca="false">IF(P361="","",MIN(120,P361))</f>
        <v/>
      </c>
      <c r="AO361" s="49" t="str">
        <f aca="false">IF(U361="","",MIN(120,U361))</f>
        <v/>
      </c>
      <c r="AP361" s="49" t="str">
        <f aca="false">IF(R361="","",MIN(120,IFERROR(S361/R361*100,0)))</f>
        <v/>
      </c>
      <c r="AQ361" s="49" t="str">
        <f aca="false">IF(W361="","",MIN(120,IF(W361=0,120,100*(INDEX('Standards &amp; Scoring'!$E$5:$E$13,MATCH("Quality / Rejection",'Standards &amp; Scoring'!$A$5:$A$13,0))/W361))))</f>
        <v/>
      </c>
      <c r="AR361" s="49" t="str">
        <f aca="false">IF(AG361="","",MIN(120,IF(AG361=0,120,100*(INDEX('Standards &amp; Scoring'!$E$5:$E$13,MATCH("Fault Control",'Standards &amp; Scoring'!$A$5:$A$13,0))/AG361))))</f>
        <v/>
      </c>
      <c r="AS361" s="49" t="str">
        <f aca="false">IF(O361="","",MIN(120,IF(SUMIFS('Fault &amp; Downtime Entry'!$L$6:$L$1005,'Fault &amp; Downtime Entry'!$E$6:$E$1005,G361,'Fault &amp; Downtime Entry'!$B$6:$B$1005,B361)=0,120,100*(INDEX('Standards &amp; Scoring'!$E$5:$E$13,MATCH("Downtime Control",'Standards &amp; Scoring'!$A$5:$A$13,0))/IFERROR(SUMIFS('Fault &amp; Downtime Entry'!$L$6:$L$1005,'Fault &amp; Downtime Entry'!$E$6:$E$1005,G361,'Fault &amp; Downtime Entry'!$B$6:$B$1005,B361)/O361*1000,999999)))))</f>
        <v/>
      </c>
      <c r="AT361" s="49" t="n">
        <f aca="false">IF(COUNTA(AH361,AJ361)=0,"",MIN(120,IF(AND(AH361&lt;&gt;"",AJ361&lt;&gt;""),AVERAGE(AH361,AJ361),IF(AH361&lt;&gt;"",AH361,AJ361))))</f>
        <v>0</v>
      </c>
      <c r="AU361" s="49" t="str">
        <f aca="false">IF(AI361="","",MIN(120,AI361))</f>
        <v/>
      </c>
      <c r="AV361" s="49" t="str">
        <f aca="false">IF(AJ361="","",MIN(120,AJ361))</f>
        <v/>
      </c>
      <c r="AW361" s="50" t="str">
        <f aca="false">IF(COUNT(AN361:AV361)&lt;9,"",(AN361*'Standards &amp; Scoring'!$D$5+AO361*'Standards &amp; Scoring'!$D$6+AP361*'Standards &amp; Scoring'!$D$7+AQ361*'Standards &amp; Scoring'!$D$8+AR361*'Standards &amp; Scoring'!$D$9+AS361*'Standards &amp; Scoring'!$D$10+AT361*'Standards &amp; Scoring'!$D$11+AU361*'Standards &amp; Scoring'!$D$12+AV361*'Standards &amp; Scoring'!$D$13)/10000)</f>
        <v/>
      </c>
      <c r="AX361" s="47" t="str">
        <f aca="false">IF(AW361="","",IF(AW361&gt;=1.05,"A+",IF(AW361&gt;=1,"A",IF(AW361&gt;=0.95,"B+",IF(AW361&gt;=0.9,"B","C")))))</f>
        <v/>
      </c>
      <c r="AY361" s="47" t="str">
        <f aca="false">IF(AX361="","",IF(AX361="A+",1800,IF(AX361="A",1600,IF(AX361="B+",1400,IF(AX361="B",1200,0)))))</f>
        <v/>
      </c>
      <c r="AZ361" s="49" t="str">
        <f aca="false">IF(OR(L361="",M361="",S361="",M361=0),"",IFERROR(L361*60*S361/(M361*36),0))</f>
        <v/>
      </c>
    </row>
    <row r="362" customFormat="false" ht="15" hidden="false" customHeight="true" outlineLevel="0" collapsed="false">
      <c r="A362" s="47" t="n">
        <f aca="false">'Daily KPI Entry'!A363</f>
        <v>0</v>
      </c>
      <c r="B362" s="48" t="n">
        <f aca="false">'Daily KPI Entry'!B363</f>
        <v>0</v>
      </c>
      <c r="C362" s="47" t="n">
        <f aca="false">'Daily KPI Entry'!C363</f>
        <v>0</v>
      </c>
      <c r="D362" s="47" t="n">
        <f aca="false">'Daily KPI Entry'!D363</f>
        <v>0</v>
      </c>
      <c r="E362" s="47" t="n">
        <f aca="false">'Daily KPI Entry'!E363</f>
        <v>0</v>
      </c>
      <c r="F362" s="47" t="n">
        <f aca="false">'Daily KPI Entry'!F363</f>
        <v>0</v>
      </c>
      <c r="G362" s="47" t="n">
        <f aca="false">'Daily KPI Entry'!G363</f>
        <v>0</v>
      </c>
      <c r="H362" s="47" t="str">
        <f aca="false">'Daily KPI Entry'!H363</f>
        <v/>
      </c>
      <c r="I362" s="47" t="n">
        <f aca="false">'Daily KPI Entry'!I363</f>
        <v>0</v>
      </c>
      <c r="J362" s="47" t="n">
        <f aca="false">'Daily KPI Entry'!J363</f>
        <v>0</v>
      </c>
      <c r="K362" s="47" t="n">
        <f aca="false">'Daily KPI Entry'!K363</f>
        <v>0</v>
      </c>
      <c r="L362" s="47" t="n">
        <f aca="false">'Daily KPI Entry'!L363</f>
        <v>0</v>
      </c>
      <c r="M362" s="47" t="n">
        <f aca="false">'Daily KPI Entry'!M363</f>
        <v>0</v>
      </c>
      <c r="N362" s="49" t="n">
        <f aca="false">'Daily KPI Entry'!N363</f>
        <v>0</v>
      </c>
      <c r="O362" s="49" t="n">
        <f aca="false">'Daily KPI Entry'!O363</f>
        <v>0</v>
      </c>
      <c r="P362" s="49" t="str">
        <f aca="false">IF(OR(N362="",O362=""),"",IFERROR(O362/N362*100,0))</f>
        <v/>
      </c>
      <c r="Q362" s="47" t="n">
        <f aca="false">'Daily KPI Entry'!Q363</f>
        <v>8</v>
      </c>
      <c r="R362" s="47" t="str">
        <f aca="false">IF(J362="","",Q362*J362)</f>
        <v/>
      </c>
      <c r="S362" s="49" t="n">
        <f aca="false">'Daily KPI Entry'!S363</f>
        <v>0</v>
      </c>
      <c r="T362" s="49" t="str">
        <f aca="false">IF(OR(R362="",S362=""),"",IFERROR(S362/R362*100,0))</f>
        <v/>
      </c>
      <c r="U362" s="49" t="str">
        <f aca="false">IF(OR(O362="",L362="",M362="",S362="",M362=0),"",IFERROR(O362/(L362*60*S362/(M362*36))*100,0))</f>
        <v/>
      </c>
      <c r="V362" s="49" t="n">
        <f aca="false">'Daily KPI Entry'!V363</f>
        <v>0</v>
      </c>
      <c r="W362" s="49" t="str">
        <f aca="false">IF(O362="","",IFERROR(V362/O362*100,0))</f>
        <v/>
      </c>
      <c r="X362" s="49" t="n">
        <f aca="false">'Daily KPI Entry'!X363</f>
        <v>0</v>
      </c>
      <c r="Y362" s="49" t="n">
        <f aca="false">'Daily KPI Entry'!Y363</f>
        <v>0</v>
      </c>
      <c r="Z362" s="49" t="n">
        <f aca="false">'Daily KPI Entry'!Z363</f>
        <v>0</v>
      </c>
      <c r="AA362" s="49" t="n">
        <f aca="false">'Daily KPI Entry'!AA363</f>
        <v>0</v>
      </c>
      <c r="AB362" s="49" t="n">
        <f aca="false">'Daily KPI Entry'!AB363</f>
        <v>0</v>
      </c>
      <c r="AC362" s="49" t="n">
        <f aca="false">'Daily KPI Entry'!AC363</f>
        <v>0</v>
      </c>
      <c r="AD362" s="49" t="n">
        <f aca="false">'Daily KPI Entry'!AD363</f>
        <v>0</v>
      </c>
      <c r="AE362" s="49" t="n">
        <f aca="false">'Daily KPI Entry'!AE363</f>
        <v>0</v>
      </c>
      <c r="AF362" s="47" t="str">
        <f aca="false">IF(O362="","",SUM(X362:AE362))</f>
        <v/>
      </c>
      <c r="AG362" s="49" t="str">
        <f aca="false">IF(O362="","",IFERROR(AF362/O362*1000,0))</f>
        <v/>
      </c>
      <c r="AH362" s="49" t="n">
        <f aca="false">'Daily KPI Entry'!AH363</f>
        <v>0</v>
      </c>
      <c r="AI362" s="49" t="n">
        <f aca="false">'Daily KPI Entry'!AI363</f>
        <v>0</v>
      </c>
      <c r="AJ362" s="49" t="n">
        <f aca="false">'Daily KPI Entry'!AJ363</f>
        <v>0</v>
      </c>
      <c r="AK362" s="47" t="n">
        <f aca="false">'Daily KPI Entry'!AK363</f>
        <v>0</v>
      </c>
      <c r="AL362" s="47" t="n">
        <f aca="false">'Daily KPI Entry'!AL363</f>
        <v>0</v>
      </c>
      <c r="AM362" s="47" t="n">
        <f aca="false">'Daily KPI Entry'!AM363</f>
        <v>0</v>
      </c>
      <c r="AN362" s="49" t="str">
        <f aca="false">IF(P362="","",MIN(120,P362))</f>
        <v/>
      </c>
      <c r="AO362" s="49" t="str">
        <f aca="false">IF(U362="","",MIN(120,U362))</f>
        <v/>
      </c>
      <c r="AP362" s="49" t="str">
        <f aca="false">IF(R362="","",MIN(120,IFERROR(S362/R362*100,0)))</f>
        <v/>
      </c>
      <c r="AQ362" s="49" t="str">
        <f aca="false">IF(W362="","",MIN(120,IF(W362=0,120,100*(INDEX('Standards &amp; Scoring'!$E$5:$E$13,MATCH("Quality / Rejection",'Standards &amp; Scoring'!$A$5:$A$13,0))/W362))))</f>
        <v/>
      </c>
      <c r="AR362" s="49" t="str">
        <f aca="false">IF(AG362="","",MIN(120,IF(AG362=0,120,100*(INDEX('Standards &amp; Scoring'!$E$5:$E$13,MATCH("Fault Control",'Standards &amp; Scoring'!$A$5:$A$13,0))/AG362))))</f>
        <v/>
      </c>
      <c r="AS362" s="49" t="str">
        <f aca="false">IF(O362="","",MIN(120,IF(SUMIFS('Fault &amp; Downtime Entry'!$L$6:$L$1005,'Fault &amp; Downtime Entry'!$E$6:$E$1005,G362,'Fault &amp; Downtime Entry'!$B$6:$B$1005,B362)=0,120,100*(INDEX('Standards &amp; Scoring'!$E$5:$E$13,MATCH("Downtime Control",'Standards &amp; Scoring'!$A$5:$A$13,0))/IFERROR(SUMIFS('Fault &amp; Downtime Entry'!$L$6:$L$1005,'Fault &amp; Downtime Entry'!$E$6:$E$1005,G362,'Fault &amp; Downtime Entry'!$B$6:$B$1005,B362)/O362*1000,999999)))))</f>
        <v/>
      </c>
      <c r="AT362" s="49" t="n">
        <f aca="false">IF(COUNTA(AH362,AJ362)=0,"",MIN(120,IF(AND(AH362&lt;&gt;"",AJ362&lt;&gt;""),AVERAGE(AH362,AJ362),IF(AH362&lt;&gt;"",AH362,AJ362))))</f>
        <v>0</v>
      </c>
      <c r="AU362" s="49" t="str">
        <f aca="false">IF(AI362="","",MIN(120,AI362))</f>
        <v/>
      </c>
      <c r="AV362" s="49" t="str">
        <f aca="false">IF(AJ362="","",MIN(120,AJ362))</f>
        <v/>
      </c>
      <c r="AW362" s="50" t="str">
        <f aca="false">IF(COUNT(AN362:AV362)&lt;9,"",(AN362*'Standards &amp; Scoring'!$D$5+AO362*'Standards &amp; Scoring'!$D$6+AP362*'Standards &amp; Scoring'!$D$7+AQ362*'Standards &amp; Scoring'!$D$8+AR362*'Standards &amp; Scoring'!$D$9+AS362*'Standards &amp; Scoring'!$D$10+AT362*'Standards &amp; Scoring'!$D$11+AU362*'Standards &amp; Scoring'!$D$12+AV362*'Standards &amp; Scoring'!$D$13)/10000)</f>
        <v/>
      </c>
      <c r="AX362" s="47" t="str">
        <f aca="false">IF(AW362="","",IF(AW362&gt;=1.05,"A+",IF(AW362&gt;=1,"A",IF(AW362&gt;=0.95,"B+",IF(AW362&gt;=0.9,"B","C")))))</f>
        <v/>
      </c>
      <c r="AY362" s="47" t="str">
        <f aca="false">IF(AX362="","",IF(AX362="A+",1800,IF(AX362="A",1600,IF(AX362="B+",1400,IF(AX362="B",1200,0)))))</f>
        <v/>
      </c>
      <c r="AZ362" s="49" t="str">
        <f aca="false">IF(OR(L362="",M362="",S362="",M362=0),"",IFERROR(L362*60*S362/(M362*36),0))</f>
        <v/>
      </c>
    </row>
    <row r="363" customFormat="false" ht="15" hidden="false" customHeight="true" outlineLevel="0" collapsed="false">
      <c r="A363" s="47" t="n">
        <f aca="false">'Daily KPI Entry'!A364</f>
        <v>0</v>
      </c>
      <c r="B363" s="48" t="n">
        <f aca="false">'Daily KPI Entry'!B364</f>
        <v>0</v>
      </c>
      <c r="C363" s="47" t="n">
        <f aca="false">'Daily KPI Entry'!C364</f>
        <v>0</v>
      </c>
      <c r="D363" s="47" t="n">
        <f aca="false">'Daily KPI Entry'!D364</f>
        <v>0</v>
      </c>
      <c r="E363" s="47" t="n">
        <f aca="false">'Daily KPI Entry'!E364</f>
        <v>0</v>
      </c>
      <c r="F363" s="47" t="n">
        <f aca="false">'Daily KPI Entry'!F364</f>
        <v>0</v>
      </c>
      <c r="G363" s="47" t="n">
        <f aca="false">'Daily KPI Entry'!G364</f>
        <v>0</v>
      </c>
      <c r="H363" s="47" t="str">
        <f aca="false">'Daily KPI Entry'!H364</f>
        <v/>
      </c>
      <c r="I363" s="47" t="n">
        <f aca="false">'Daily KPI Entry'!I364</f>
        <v>0</v>
      </c>
      <c r="J363" s="47" t="n">
        <f aca="false">'Daily KPI Entry'!J364</f>
        <v>0</v>
      </c>
      <c r="K363" s="47" t="n">
        <f aca="false">'Daily KPI Entry'!K364</f>
        <v>0</v>
      </c>
      <c r="L363" s="47" t="n">
        <f aca="false">'Daily KPI Entry'!L364</f>
        <v>0</v>
      </c>
      <c r="M363" s="47" t="n">
        <f aca="false">'Daily KPI Entry'!M364</f>
        <v>0</v>
      </c>
      <c r="N363" s="49" t="n">
        <f aca="false">'Daily KPI Entry'!N364</f>
        <v>0</v>
      </c>
      <c r="O363" s="49" t="n">
        <f aca="false">'Daily KPI Entry'!O364</f>
        <v>0</v>
      </c>
      <c r="P363" s="49" t="str">
        <f aca="false">IF(OR(N363="",O363=""),"",IFERROR(O363/N363*100,0))</f>
        <v/>
      </c>
      <c r="Q363" s="47" t="n">
        <f aca="false">'Daily KPI Entry'!Q364</f>
        <v>8</v>
      </c>
      <c r="R363" s="47" t="str">
        <f aca="false">IF(J363="","",Q363*J363)</f>
        <v/>
      </c>
      <c r="S363" s="49" t="n">
        <f aca="false">'Daily KPI Entry'!S364</f>
        <v>0</v>
      </c>
      <c r="T363" s="49" t="str">
        <f aca="false">IF(OR(R363="",S363=""),"",IFERROR(S363/R363*100,0))</f>
        <v/>
      </c>
      <c r="U363" s="49" t="str">
        <f aca="false">IF(OR(O363="",L363="",M363="",S363="",M363=0),"",IFERROR(O363/(L363*60*S363/(M363*36))*100,0))</f>
        <v/>
      </c>
      <c r="V363" s="49" t="n">
        <f aca="false">'Daily KPI Entry'!V364</f>
        <v>0</v>
      </c>
      <c r="W363" s="49" t="str">
        <f aca="false">IF(O363="","",IFERROR(V363/O363*100,0))</f>
        <v/>
      </c>
      <c r="X363" s="49" t="n">
        <f aca="false">'Daily KPI Entry'!X364</f>
        <v>0</v>
      </c>
      <c r="Y363" s="49" t="n">
        <f aca="false">'Daily KPI Entry'!Y364</f>
        <v>0</v>
      </c>
      <c r="Z363" s="49" t="n">
        <f aca="false">'Daily KPI Entry'!Z364</f>
        <v>0</v>
      </c>
      <c r="AA363" s="49" t="n">
        <f aca="false">'Daily KPI Entry'!AA364</f>
        <v>0</v>
      </c>
      <c r="AB363" s="49" t="n">
        <f aca="false">'Daily KPI Entry'!AB364</f>
        <v>0</v>
      </c>
      <c r="AC363" s="49" t="n">
        <f aca="false">'Daily KPI Entry'!AC364</f>
        <v>0</v>
      </c>
      <c r="AD363" s="49" t="n">
        <f aca="false">'Daily KPI Entry'!AD364</f>
        <v>0</v>
      </c>
      <c r="AE363" s="49" t="n">
        <f aca="false">'Daily KPI Entry'!AE364</f>
        <v>0</v>
      </c>
      <c r="AF363" s="47" t="str">
        <f aca="false">IF(O363="","",SUM(X363:AE363))</f>
        <v/>
      </c>
      <c r="AG363" s="49" t="str">
        <f aca="false">IF(O363="","",IFERROR(AF363/O363*1000,0))</f>
        <v/>
      </c>
      <c r="AH363" s="49" t="n">
        <f aca="false">'Daily KPI Entry'!AH364</f>
        <v>0</v>
      </c>
      <c r="AI363" s="49" t="n">
        <f aca="false">'Daily KPI Entry'!AI364</f>
        <v>0</v>
      </c>
      <c r="AJ363" s="49" t="n">
        <f aca="false">'Daily KPI Entry'!AJ364</f>
        <v>0</v>
      </c>
      <c r="AK363" s="47" t="n">
        <f aca="false">'Daily KPI Entry'!AK364</f>
        <v>0</v>
      </c>
      <c r="AL363" s="47" t="n">
        <f aca="false">'Daily KPI Entry'!AL364</f>
        <v>0</v>
      </c>
      <c r="AM363" s="47" t="n">
        <f aca="false">'Daily KPI Entry'!AM364</f>
        <v>0</v>
      </c>
      <c r="AN363" s="49" t="str">
        <f aca="false">IF(P363="","",MIN(120,P363))</f>
        <v/>
      </c>
      <c r="AO363" s="49" t="str">
        <f aca="false">IF(U363="","",MIN(120,U363))</f>
        <v/>
      </c>
      <c r="AP363" s="49" t="str">
        <f aca="false">IF(R363="","",MIN(120,IFERROR(S363/R363*100,0)))</f>
        <v/>
      </c>
      <c r="AQ363" s="49" t="str">
        <f aca="false">IF(W363="","",MIN(120,IF(W363=0,120,100*(INDEX('Standards &amp; Scoring'!$E$5:$E$13,MATCH("Quality / Rejection",'Standards &amp; Scoring'!$A$5:$A$13,0))/W363))))</f>
        <v/>
      </c>
      <c r="AR363" s="49" t="str">
        <f aca="false">IF(AG363="","",MIN(120,IF(AG363=0,120,100*(INDEX('Standards &amp; Scoring'!$E$5:$E$13,MATCH("Fault Control",'Standards &amp; Scoring'!$A$5:$A$13,0))/AG363))))</f>
        <v/>
      </c>
      <c r="AS363" s="49" t="str">
        <f aca="false">IF(O363="","",MIN(120,IF(SUMIFS('Fault &amp; Downtime Entry'!$L$6:$L$1005,'Fault &amp; Downtime Entry'!$E$6:$E$1005,G363,'Fault &amp; Downtime Entry'!$B$6:$B$1005,B363)=0,120,100*(INDEX('Standards &amp; Scoring'!$E$5:$E$13,MATCH("Downtime Control",'Standards &amp; Scoring'!$A$5:$A$13,0))/IFERROR(SUMIFS('Fault &amp; Downtime Entry'!$L$6:$L$1005,'Fault &amp; Downtime Entry'!$E$6:$E$1005,G363,'Fault &amp; Downtime Entry'!$B$6:$B$1005,B363)/O363*1000,999999)))))</f>
        <v/>
      </c>
      <c r="AT363" s="49" t="n">
        <f aca="false">IF(COUNTA(AH363,AJ363)=0,"",MIN(120,IF(AND(AH363&lt;&gt;"",AJ363&lt;&gt;""),AVERAGE(AH363,AJ363),IF(AH363&lt;&gt;"",AH363,AJ363))))</f>
        <v>0</v>
      </c>
      <c r="AU363" s="49" t="str">
        <f aca="false">IF(AI363="","",MIN(120,AI363))</f>
        <v/>
      </c>
      <c r="AV363" s="49" t="str">
        <f aca="false">IF(AJ363="","",MIN(120,AJ363))</f>
        <v/>
      </c>
      <c r="AW363" s="50" t="str">
        <f aca="false">IF(COUNT(AN363:AV363)&lt;9,"",(AN363*'Standards &amp; Scoring'!$D$5+AO363*'Standards &amp; Scoring'!$D$6+AP363*'Standards &amp; Scoring'!$D$7+AQ363*'Standards &amp; Scoring'!$D$8+AR363*'Standards &amp; Scoring'!$D$9+AS363*'Standards &amp; Scoring'!$D$10+AT363*'Standards &amp; Scoring'!$D$11+AU363*'Standards &amp; Scoring'!$D$12+AV363*'Standards &amp; Scoring'!$D$13)/10000)</f>
        <v/>
      </c>
      <c r="AX363" s="47" t="str">
        <f aca="false">IF(AW363="","",IF(AW363&gt;=1.05,"A+",IF(AW363&gt;=1,"A",IF(AW363&gt;=0.95,"B+",IF(AW363&gt;=0.9,"B","C")))))</f>
        <v/>
      </c>
      <c r="AY363" s="47" t="str">
        <f aca="false">IF(AX363="","",IF(AX363="A+",1800,IF(AX363="A",1600,IF(AX363="B+",1400,IF(AX363="B",1200,0)))))</f>
        <v/>
      </c>
      <c r="AZ363" s="49" t="str">
        <f aca="false">IF(OR(L363="",M363="",S363="",M363=0),"",IFERROR(L363*60*S363/(M363*36),0))</f>
        <v/>
      </c>
    </row>
    <row r="364" customFormat="false" ht="15" hidden="false" customHeight="true" outlineLevel="0" collapsed="false">
      <c r="A364" s="47" t="n">
        <f aca="false">'Daily KPI Entry'!A365</f>
        <v>0</v>
      </c>
      <c r="B364" s="48" t="n">
        <f aca="false">'Daily KPI Entry'!B365</f>
        <v>0</v>
      </c>
      <c r="C364" s="47" t="n">
        <f aca="false">'Daily KPI Entry'!C365</f>
        <v>0</v>
      </c>
      <c r="D364" s="47" t="n">
        <f aca="false">'Daily KPI Entry'!D365</f>
        <v>0</v>
      </c>
      <c r="E364" s="47" t="n">
        <f aca="false">'Daily KPI Entry'!E365</f>
        <v>0</v>
      </c>
      <c r="F364" s="47" t="n">
        <f aca="false">'Daily KPI Entry'!F365</f>
        <v>0</v>
      </c>
      <c r="G364" s="47" t="n">
        <f aca="false">'Daily KPI Entry'!G365</f>
        <v>0</v>
      </c>
      <c r="H364" s="47" t="str">
        <f aca="false">'Daily KPI Entry'!H365</f>
        <v/>
      </c>
      <c r="I364" s="47" t="n">
        <f aca="false">'Daily KPI Entry'!I365</f>
        <v>0</v>
      </c>
      <c r="J364" s="47" t="n">
        <f aca="false">'Daily KPI Entry'!J365</f>
        <v>0</v>
      </c>
      <c r="K364" s="47" t="n">
        <f aca="false">'Daily KPI Entry'!K365</f>
        <v>0</v>
      </c>
      <c r="L364" s="47" t="n">
        <f aca="false">'Daily KPI Entry'!L365</f>
        <v>0</v>
      </c>
      <c r="M364" s="47" t="n">
        <f aca="false">'Daily KPI Entry'!M365</f>
        <v>0</v>
      </c>
      <c r="N364" s="49" t="n">
        <f aca="false">'Daily KPI Entry'!N365</f>
        <v>0</v>
      </c>
      <c r="O364" s="49" t="n">
        <f aca="false">'Daily KPI Entry'!O365</f>
        <v>0</v>
      </c>
      <c r="P364" s="49" t="str">
        <f aca="false">IF(OR(N364="",O364=""),"",IFERROR(O364/N364*100,0))</f>
        <v/>
      </c>
      <c r="Q364" s="47" t="n">
        <f aca="false">'Daily KPI Entry'!Q365</f>
        <v>8</v>
      </c>
      <c r="R364" s="47" t="str">
        <f aca="false">IF(J364="","",Q364*J364)</f>
        <v/>
      </c>
      <c r="S364" s="49" t="n">
        <f aca="false">'Daily KPI Entry'!S365</f>
        <v>0</v>
      </c>
      <c r="T364" s="49" t="str">
        <f aca="false">IF(OR(R364="",S364=""),"",IFERROR(S364/R364*100,0))</f>
        <v/>
      </c>
      <c r="U364" s="49" t="str">
        <f aca="false">IF(OR(O364="",L364="",M364="",S364="",M364=0),"",IFERROR(O364/(L364*60*S364/(M364*36))*100,0))</f>
        <v/>
      </c>
      <c r="V364" s="49" t="n">
        <f aca="false">'Daily KPI Entry'!V365</f>
        <v>0</v>
      </c>
      <c r="W364" s="49" t="str">
        <f aca="false">IF(O364="","",IFERROR(V364/O364*100,0))</f>
        <v/>
      </c>
      <c r="X364" s="49" t="n">
        <f aca="false">'Daily KPI Entry'!X365</f>
        <v>0</v>
      </c>
      <c r="Y364" s="49" t="n">
        <f aca="false">'Daily KPI Entry'!Y365</f>
        <v>0</v>
      </c>
      <c r="Z364" s="49" t="n">
        <f aca="false">'Daily KPI Entry'!Z365</f>
        <v>0</v>
      </c>
      <c r="AA364" s="49" t="n">
        <f aca="false">'Daily KPI Entry'!AA365</f>
        <v>0</v>
      </c>
      <c r="AB364" s="49" t="n">
        <f aca="false">'Daily KPI Entry'!AB365</f>
        <v>0</v>
      </c>
      <c r="AC364" s="49" t="n">
        <f aca="false">'Daily KPI Entry'!AC365</f>
        <v>0</v>
      </c>
      <c r="AD364" s="49" t="n">
        <f aca="false">'Daily KPI Entry'!AD365</f>
        <v>0</v>
      </c>
      <c r="AE364" s="49" t="n">
        <f aca="false">'Daily KPI Entry'!AE365</f>
        <v>0</v>
      </c>
      <c r="AF364" s="47" t="str">
        <f aca="false">IF(O364="","",SUM(X364:AE364))</f>
        <v/>
      </c>
      <c r="AG364" s="49" t="str">
        <f aca="false">IF(O364="","",IFERROR(AF364/O364*1000,0))</f>
        <v/>
      </c>
      <c r="AH364" s="49" t="n">
        <f aca="false">'Daily KPI Entry'!AH365</f>
        <v>0</v>
      </c>
      <c r="AI364" s="49" t="n">
        <f aca="false">'Daily KPI Entry'!AI365</f>
        <v>0</v>
      </c>
      <c r="AJ364" s="49" t="n">
        <f aca="false">'Daily KPI Entry'!AJ365</f>
        <v>0</v>
      </c>
      <c r="AK364" s="47" t="n">
        <f aca="false">'Daily KPI Entry'!AK365</f>
        <v>0</v>
      </c>
      <c r="AL364" s="47" t="n">
        <f aca="false">'Daily KPI Entry'!AL365</f>
        <v>0</v>
      </c>
      <c r="AM364" s="47" t="n">
        <f aca="false">'Daily KPI Entry'!AM365</f>
        <v>0</v>
      </c>
      <c r="AN364" s="49" t="str">
        <f aca="false">IF(P364="","",MIN(120,P364))</f>
        <v/>
      </c>
      <c r="AO364" s="49" t="str">
        <f aca="false">IF(U364="","",MIN(120,U364))</f>
        <v/>
      </c>
      <c r="AP364" s="49" t="str">
        <f aca="false">IF(R364="","",MIN(120,IFERROR(S364/R364*100,0)))</f>
        <v/>
      </c>
      <c r="AQ364" s="49" t="str">
        <f aca="false">IF(W364="","",MIN(120,IF(W364=0,120,100*(INDEX('Standards &amp; Scoring'!$E$5:$E$13,MATCH("Quality / Rejection",'Standards &amp; Scoring'!$A$5:$A$13,0))/W364))))</f>
        <v/>
      </c>
      <c r="AR364" s="49" t="str">
        <f aca="false">IF(AG364="","",MIN(120,IF(AG364=0,120,100*(INDEX('Standards &amp; Scoring'!$E$5:$E$13,MATCH("Fault Control",'Standards &amp; Scoring'!$A$5:$A$13,0))/AG364))))</f>
        <v/>
      </c>
      <c r="AS364" s="49" t="str">
        <f aca="false">IF(O364="","",MIN(120,IF(SUMIFS('Fault &amp; Downtime Entry'!$L$6:$L$1005,'Fault &amp; Downtime Entry'!$E$6:$E$1005,G364,'Fault &amp; Downtime Entry'!$B$6:$B$1005,B364)=0,120,100*(INDEX('Standards &amp; Scoring'!$E$5:$E$13,MATCH("Downtime Control",'Standards &amp; Scoring'!$A$5:$A$13,0))/IFERROR(SUMIFS('Fault &amp; Downtime Entry'!$L$6:$L$1005,'Fault &amp; Downtime Entry'!$E$6:$E$1005,G364,'Fault &amp; Downtime Entry'!$B$6:$B$1005,B364)/O364*1000,999999)))))</f>
        <v/>
      </c>
      <c r="AT364" s="49" t="n">
        <f aca="false">IF(COUNTA(AH364,AJ364)=0,"",MIN(120,IF(AND(AH364&lt;&gt;"",AJ364&lt;&gt;""),AVERAGE(AH364,AJ364),IF(AH364&lt;&gt;"",AH364,AJ364))))</f>
        <v>0</v>
      </c>
      <c r="AU364" s="49" t="str">
        <f aca="false">IF(AI364="","",MIN(120,AI364))</f>
        <v/>
      </c>
      <c r="AV364" s="49" t="str">
        <f aca="false">IF(AJ364="","",MIN(120,AJ364))</f>
        <v/>
      </c>
      <c r="AW364" s="50" t="str">
        <f aca="false">IF(COUNT(AN364:AV364)&lt;9,"",(AN364*'Standards &amp; Scoring'!$D$5+AO364*'Standards &amp; Scoring'!$D$6+AP364*'Standards &amp; Scoring'!$D$7+AQ364*'Standards &amp; Scoring'!$D$8+AR364*'Standards &amp; Scoring'!$D$9+AS364*'Standards &amp; Scoring'!$D$10+AT364*'Standards &amp; Scoring'!$D$11+AU364*'Standards &amp; Scoring'!$D$12+AV364*'Standards &amp; Scoring'!$D$13)/10000)</f>
        <v/>
      </c>
      <c r="AX364" s="47" t="str">
        <f aca="false">IF(AW364="","",IF(AW364&gt;=1.05,"A+",IF(AW364&gt;=1,"A",IF(AW364&gt;=0.95,"B+",IF(AW364&gt;=0.9,"B","C")))))</f>
        <v/>
      </c>
      <c r="AY364" s="47" t="str">
        <f aca="false">IF(AX364="","",IF(AX364="A+",1800,IF(AX364="A",1600,IF(AX364="B+",1400,IF(AX364="B",1200,0)))))</f>
        <v/>
      </c>
      <c r="AZ364" s="49" t="str">
        <f aca="false">IF(OR(L364="",M364="",S364="",M364=0),"",IFERROR(L364*60*S364/(M364*36),0))</f>
        <v/>
      </c>
    </row>
    <row r="365" customFormat="false" ht="15" hidden="false" customHeight="true" outlineLevel="0" collapsed="false">
      <c r="A365" s="47" t="n">
        <f aca="false">'Daily KPI Entry'!A366</f>
        <v>0</v>
      </c>
      <c r="B365" s="48" t="n">
        <f aca="false">'Daily KPI Entry'!B366</f>
        <v>0</v>
      </c>
      <c r="C365" s="47" t="n">
        <f aca="false">'Daily KPI Entry'!C366</f>
        <v>0</v>
      </c>
      <c r="D365" s="47" t="n">
        <f aca="false">'Daily KPI Entry'!D366</f>
        <v>0</v>
      </c>
      <c r="E365" s="47" t="n">
        <f aca="false">'Daily KPI Entry'!E366</f>
        <v>0</v>
      </c>
      <c r="F365" s="47" t="n">
        <f aca="false">'Daily KPI Entry'!F366</f>
        <v>0</v>
      </c>
      <c r="G365" s="47" t="n">
        <f aca="false">'Daily KPI Entry'!G366</f>
        <v>0</v>
      </c>
      <c r="H365" s="47" t="str">
        <f aca="false">'Daily KPI Entry'!H366</f>
        <v/>
      </c>
      <c r="I365" s="47" t="n">
        <f aca="false">'Daily KPI Entry'!I366</f>
        <v>0</v>
      </c>
      <c r="J365" s="47" t="n">
        <f aca="false">'Daily KPI Entry'!J366</f>
        <v>0</v>
      </c>
      <c r="K365" s="47" t="n">
        <f aca="false">'Daily KPI Entry'!K366</f>
        <v>0</v>
      </c>
      <c r="L365" s="47" t="n">
        <f aca="false">'Daily KPI Entry'!L366</f>
        <v>0</v>
      </c>
      <c r="M365" s="47" t="n">
        <f aca="false">'Daily KPI Entry'!M366</f>
        <v>0</v>
      </c>
      <c r="N365" s="49" t="n">
        <f aca="false">'Daily KPI Entry'!N366</f>
        <v>0</v>
      </c>
      <c r="O365" s="49" t="n">
        <f aca="false">'Daily KPI Entry'!O366</f>
        <v>0</v>
      </c>
      <c r="P365" s="49" t="str">
        <f aca="false">IF(OR(N365="",O365=""),"",IFERROR(O365/N365*100,0))</f>
        <v/>
      </c>
      <c r="Q365" s="47" t="n">
        <f aca="false">'Daily KPI Entry'!Q366</f>
        <v>8</v>
      </c>
      <c r="R365" s="47" t="str">
        <f aca="false">IF(J365="","",Q365*J365)</f>
        <v/>
      </c>
      <c r="S365" s="49" t="n">
        <f aca="false">'Daily KPI Entry'!S366</f>
        <v>0</v>
      </c>
      <c r="T365" s="49" t="str">
        <f aca="false">IF(OR(R365="",S365=""),"",IFERROR(S365/R365*100,0))</f>
        <v/>
      </c>
      <c r="U365" s="49" t="str">
        <f aca="false">IF(OR(O365="",L365="",M365="",S365="",M365=0),"",IFERROR(O365/(L365*60*S365/(M365*36))*100,0))</f>
        <v/>
      </c>
      <c r="V365" s="49" t="n">
        <f aca="false">'Daily KPI Entry'!V366</f>
        <v>0</v>
      </c>
      <c r="W365" s="49" t="str">
        <f aca="false">IF(O365="","",IFERROR(V365/O365*100,0))</f>
        <v/>
      </c>
      <c r="X365" s="49" t="n">
        <f aca="false">'Daily KPI Entry'!X366</f>
        <v>0</v>
      </c>
      <c r="Y365" s="49" t="n">
        <f aca="false">'Daily KPI Entry'!Y366</f>
        <v>0</v>
      </c>
      <c r="Z365" s="49" t="n">
        <f aca="false">'Daily KPI Entry'!Z366</f>
        <v>0</v>
      </c>
      <c r="AA365" s="49" t="n">
        <f aca="false">'Daily KPI Entry'!AA366</f>
        <v>0</v>
      </c>
      <c r="AB365" s="49" t="n">
        <f aca="false">'Daily KPI Entry'!AB366</f>
        <v>0</v>
      </c>
      <c r="AC365" s="49" t="n">
        <f aca="false">'Daily KPI Entry'!AC366</f>
        <v>0</v>
      </c>
      <c r="AD365" s="49" t="n">
        <f aca="false">'Daily KPI Entry'!AD366</f>
        <v>0</v>
      </c>
      <c r="AE365" s="49" t="n">
        <f aca="false">'Daily KPI Entry'!AE366</f>
        <v>0</v>
      </c>
      <c r="AF365" s="47" t="str">
        <f aca="false">IF(O365="","",SUM(X365:AE365))</f>
        <v/>
      </c>
      <c r="AG365" s="49" t="str">
        <f aca="false">IF(O365="","",IFERROR(AF365/O365*1000,0))</f>
        <v/>
      </c>
      <c r="AH365" s="49" t="n">
        <f aca="false">'Daily KPI Entry'!AH366</f>
        <v>0</v>
      </c>
      <c r="AI365" s="49" t="n">
        <f aca="false">'Daily KPI Entry'!AI366</f>
        <v>0</v>
      </c>
      <c r="AJ365" s="49" t="n">
        <f aca="false">'Daily KPI Entry'!AJ366</f>
        <v>0</v>
      </c>
      <c r="AK365" s="47" t="n">
        <f aca="false">'Daily KPI Entry'!AK366</f>
        <v>0</v>
      </c>
      <c r="AL365" s="47" t="n">
        <f aca="false">'Daily KPI Entry'!AL366</f>
        <v>0</v>
      </c>
      <c r="AM365" s="47" t="n">
        <f aca="false">'Daily KPI Entry'!AM366</f>
        <v>0</v>
      </c>
      <c r="AN365" s="49" t="str">
        <f aca="false">IF(P365="","",MIN(120,P365))</f>
        <v/>
      </c>
      <c r="AO365" s="49" t="str">
        <f aca="false">IF(U365="","",MIN(120,U365))</f>
        <v/>
      </c>
      <c r="AP365" s="49" t="str">
        <f aca="false">IF(R365="","",MIN(120,IFERROR(S365/R365*100,0)))</f>
        <v/>
      </c>
      <c r="AQ365" s="49" t="str">
        <f aca="false">IF(W365="","",MIN(120,IF(W365=0,120,100*(INDEX('Standards &amp; Scoring'!$E$5:$E$13,MATCH("Quality / Rejection",'Standards &amp; Scoring'!$A$5:$A$13,0))/W365))))</f>
        <v/>
      </c>
      <c r="AR365" s="49" t="str">
        <f aca="false">IF(AG365="","",MIN(120,IF(AG365=0,120,100*(INDEX('Standards &amp; Scoring'!$E$5:$E$13,MATCH("Fault Control",'Standards &amp; Scoring'!$A$5:$A$13,0))/AG365))))</f>
        <v/>
      </c>
      <c r="AS365" s="49" t="str">
        <f aca="false">IF(O365="","",MIN(120,IF(SUMIFS('Fault &amp; Downtime Entry'!$L$6:$L$1005,'Fault &amp; Downtime Entry'!$E$6:$E$1005,G365,'Fault &amp; Downtime Entry'!$B$6:$B$1005,B365)=0,120,100*(INDEX('Standards &amp; Scoring'!$E$5:$E$13,MATCH("Downtime Control",'Standards &amp; Scoring'!$A$5:$A$13,0))/IFERROR(SUMIFS('Fault &amp; Downtime Entry'!$L$6:$L$1005,'Fault &amp; Downtime Entry'!$E$6:$E$1005,G365,'Fault &amp; Downtime Entry'!$B$6:$B$1005,B365)/O365*1000,999999)))))</f>
        <v/>
      </c>
      <c r="AT365" s="49" t="n">
        <f aca="false">IF(COUNTA(AH365,AJ365)=0,"",MIN(120,IF(AND(AH365&lt;&gt;"",AJ365&lt;&gt;""),AVERAGE(AH365,AJ365),IF(AH365&lt;&gt;"",AH365,AJ365))))</f>
        <v>0</v>
      </c>
      <c r="AU365" s="49" t="str">
        <f aca="false">IF(AI365="","",MIN(120,AI365))</f>
        <v/>
      </c>
      <c r="AV365" s="49" t="str">
        <f aca="false">IF(AJ365="","",MIN(120,AJ365))</f>
        <v/>
      </c>
      <c r="AW365" s="50" t="str">
        <f aca="false">IF(COUNT(AN365:AV365)&lt;9,"",(AN365*'Standards &amp; Scoring'!$D$5+AO365*'Standards &amp; Scoring'!$D$6+AP365*'Standards &amp; Scoring'!$D$7+AQ365*'Standards &amp; Scoring'!$D$8+AR365*'Standards &amp; Scoring'!$D$9+AS365*'Standards &amp; Scoring'!$D$10+AT365*'Standards &amp; Scoring'!$D$11+AU365*'Standards &amp; Scoring'!$D$12+AV365*'Standards &amp; Scoring'!$D$13)/10000)</f>
        <v/>
      </c>
      <c r="AX365" s="47" t="str">
        <f aca="false">IF(AW365="","",IF(AW365&gt;=1.05,"A+",IF(AW365&gt;=1,"A",IF(AW365&gt;=0.95,"B+",IF(AW365&gt;=0.9,"B","C")))))</f>
        <v/>
      </c>
      <c r="AY365" s="47" t="str">
        <f aca="false">IF(AX365="","",IF(AX365="A+",1800,IF(AX365="A",1600,IF(AX365="B+",1400,IF(AX365="B",1200,0)))))</f>
        <v/>
      </c>
      <c r="AZ365" s="49" t="str">
        <f aca="false">IF(OR(L365="",M365="",S365="",M365=0),"",IFERROR(L365*60*S365/(M365*36),0))</f>
        <v/>
      </c>
    </row>
    <row r="366" customFormat="false" ht="15" hidden="false" customHeight="true" outlineLevel="0" collapsed="false">
      <c r="A366" s="47" t="n">
        <f aca="false">'Daily KPI Entry'!A367</f>
        <v>0</v>
      </c>
      <c r="B366" s="48" t="n">
        <f aca="false">'Daily KPI Entry'!B367</f>
        <v>0</v>
      </c>
      <c r="C366" s="47" t="n">
        <f aca="false">'Daily KPI Entry'!C367</f>
        <v>0</v>
      </c>
      <c r="D366" s="47" t="n">
        <f aca="false">'Daily KPI Entry'!D367</f>
        <v>0</v>
      </c>
      <c r="E366" s="47" t="n">
        <f aca="false">'Daily KPI Entry'!E367</f>
        <v>0</v>
      </c>
      <c r="F366" s="47" t="n">
        <f aca="false">'Daily KPI Entry'!F367</f>
        <v>0</v>
      </c>
      <c r="G366" s="47" t="n">
        <f aca="false">'Daily KPI Entry'!G367</f>
        <v>0</v>
      </c>
      <c r="H366" s="47" t="str">
        <f aca="false">'Daily KPI Entry'!H367</f>
        <v/>
      </c>
      <c r="I366" s="47" t="n">
        <f aca="false">'Daily KPI Entry'!I367</f>
        <v>0</v>
      </c>
      <c r="J366" s="47" t="n">
        <f aca="false">'Daily KPI Entry'!J367</f>
        <v>0</v>
      </c>
      <c r="K366" s="47" t="n">
        <f aca="false">'Daily KPI Entry'!K367</f>
        <v>0</v>
      </c>
      <c r="L366" s="47" t="n">
        <f aca="false">'Daily KPI Entry'!L367</f>
        <v>0</v>
      </c>
      <c r="M366" s="47" t="n">
        <f aca="false">'Daily KPI Entry'!M367</f>
        <v>0</v>
      </c>
      <c r="N366" s="49" t="n">
        <f aca="false">'Daily KPI Entry'!N367</f>
        <v>0</v>
      </c>
      <c r="O366" s="49" t="n">
        <f aca="false">'Daily KPI Entry'!O367</f>
        <v>0</v>
      </c>
      <c r="P366" s="49" t="str">
        <f aca="false">IF(OR(N366="",O366=""),"",IFERROR(O366/N366*100,0))</f>
        <v/>
      </c>
      <c r="Q366" s="47" t="n">
        <f aca="false">'Daily KPI Entry'!Q367</f>
        <v>8</v>
      </c>
      <c r="R366" s="47" t="str">
        <f aca="false">IF(J366="","",Q366*J366)</f>
        <v/>
      </c>
      <c r="S366" s="49" t="n">
        <f aca="false">'Daily KPI Entry'!S367</f>
        <v>0</v>
      </c>
      <c r="T366" s="49" t="str">
        <f aca="false">IF(OR(R366="",S366=""),"",IFERROR(S366/R366*100,0))</f>
        <v/>
      </c>
      <c r="U366" s="49" t="str">
        <f aca="false">IF(OR(O366="",L366="",M366="",S366="",M366=0),"",IFERROR(O366/(L366*60*S366/(M366*36))*100,0))</f>
        <v/>
      </c>
      <c r="V366" s="49" t="n">
        <f aca="false">'Daily KPI Entry'!V367</f>
        <v>0</v>
      </c>
      <c r="W366" s="49" t="str">
        <f aca="false">IF(O366="","",IFERROR(V366/O366*100,0))</f>
        <v/>
      </c>
      <c r="X366" s="49" t="n">
        <f aca="false">'Daily KPI Entry'!X367</f>
        <v>0</v>
      </c>
      <c r="Y366" s="49" t="n">
        <f aca="false">'Daily KPI Entry'!Y367</f>
        <v>0</v>
      </c>
      <c r="Z366" s="49" t="n">
        <f aca="false">'Daily KPI Entry'!Z367</f>
        <v>0</v>
      </c>
      <c r="AA366" s="49" t="n">
        <f aca="false">'Daily KPI Entry'!AA367</f>
        <v>0</v>
      </c>
      <c r="AB366" s="49" t="n">
        <f aca="false">'Daily KPI Entry'!AB367</f>
        <v>0</v>
      </c>
      <c r="AC366" s="49" t="n">
        <f aca="false">'Daily KPI Entry'!AC367</f>
        <v>0</v>
      </c>
      <c r="AD366" s="49" t="n">
        <f aca="false">'Daily KPI Entry'!AD367</f>
        <v>0</v>
      </c>
      <c r="AE366" s="49" t="n">
        <f aca="false">'Daily KPI Entry'!AE367</f>
        <v>0</v>
      </c>
      <c r="AF366" s="47" t="str">
        <f aca="false">IF(O366="","",SUM(X366:AE366))</f>
        <v/>
      </c>
      <c r="AG366" s="49" t="str">
        <f aca="false">IF(O366="","",IFERROR(AF366/O366*1000,0))</f>
        <v/>
      </c>
      <c r="AH366" s="49" t="n">
        <f aca="false">'Daily KPI Entry'!AH367</f>
        <v>0</v>
      </c>
      <c r="AI366" s="49" t="n">
        <f aca="false">'Daily KPI Entry'!AI367</f>
        <v>0</v>
      </c>
      <c r="AJ366" s="49" t="n">
        <f aca="false">'Daily KPI Entry'!AJ367</f>
        <v>0</v>
      </c>
      <c r="AK366" s="47" t="n">
        <f aca="false">'Daily KPI Entry'!AK367</f>
        <v>0</v>
      </c>
      <c r="AL366" s="47" t="n">
        <f aca="false">'Daily KPI Entry'!AL367</f>
        <v>0</v>
      </c>
      <c r="AM366" s="47" t="n">
        <f aca="false">'Daily KPI Entry'!AM367</f>
        <v>0</v>
      </c>
      <c r="AN366" s="49" t="str">
        <f aca="false">IF(P366="","",MIN(120,P366))</f>
        <v/>
      </c>
      <c r="AO366" s="49" t="str">
        <f aca="false">IF(U366="","",MIN(120,U366))</f>
        <v/>
      </c>
      <c r="AP366" s="49" t="str">
        <f aca="false">IF(R366="","",MIN(120,IFERROR(S366/R366*100,0)))</f>
        <v/>
      </c>
      <c r="AQ366" s="49" t="str">
        <f aca="false">IF(W366="","",MIN(120,IF(W366=0,120,100*(INDEX('Standards &amp; Scoring'!$E$5:$E$13,MATCH("Quality / Rejection",'Standards &amp; Scoring'!$A$5:$A$13,0))/W366))))</f>
        <v/>
      </c>
      <c r="AR366" s="49" t="str">
        <f aca="false">IF(AG366="","",MIN(120,IF(AG366=0,120,100*(INDEX('Standards &amp; Scoring'!$E$5:$E$13,MATCH("Fault Control",'Standards &amp; Scoring'!$A$5:$A$13,0))/AG366))))</f>
        <v/>
      </c>
      <c r="AS366" s="49" t="str">
        <f aca="false">IF(O366="","",MIN(120,IF(SUMIFS('Fault &amp; Downtime Entry'!$L$6:$L$1005,'Fault &amp; Downtime Entry'!$E$6:$E$1005,G366,'Fault &amp; Downtime Entry'!$B$6:$B$1005,B366)=0,120,100*(INDEX('Standards &amp; Scoring'!$E$5:$E$13,MATCH("Downtime Control",'Standards &amp; Scoring'!$A$5:$A$13,0))/IFERROR(SUMIFS('Fault &amp; Downtime Entry'!$L$6:$L$1005,'Fault &amp; Downtime Entry'!$E$6:$E$1005,G366,'Fault &amp; Downtime Entry'!$B$6:$B$1005,B366)/O366*1000,999999)))))</f>
        <v/>
      </c>
      <c r="AT366" s="49" t="n">
        <f aca="false">IF(COUNTA(AH366,AJ366)=0,"",MIN(120,IF(AND(AH366&lt;&gt;"",AJ366&lt;&gt;""),AVERAGE(AH366,AJ366),IF(AH366&lt;&gt;"",AH366,AJ366))))</f>
        <v>0</v>
      </c>
      <c r="AU366" s="49" t="str">
        <f aca="false">IF(AI366="","",MIN(120,AI366))</f>
        <v/>
      </c>
      <c r="AV366" s="49" t="str">
        <f aca="false">IF(AJ366="","",MIN(120,AJ366))</f>
        <v/>
      </c>
      <c r="AW366" s="50" t="str">
        <f aca="false">IF(COUNT(AN366:AV366)&lt;9,"",(AN366*'Standards &amp; Scoring'!$D$5+AO366*'Standards &amp; Scoring'!$D$6+AP366*'Standards &amp; Scoring'!$D$7+AQ366*'Standards &amp; Scoring'!$D$8+AR366*'Standards &amp; Scoring'!$D$9+AS366*'Standards &amp; Scoring'!$D$10+AT366*'Standards &amp; Scoring'!$D$11+AU366*'Standards &amp; Scoring'!$D$12+AV366*'Standards &amp; Scoring'!$D$13)/10000)</f>
        <v/>
      </c>
      <c r="AX366" s="47" t="str">
        <f aca="false">IF(AW366="","",IF(AW366&gt;=1.05,"A+",IF(AW366&gt;=1,"A",IF(AW366&gt;=0.95,"B+",IF(AW366&gt;=0.9,"B","C")))))</f>
        <v/>
      </c>
      <c r="AY366" s="47" t="str">
        <f aca="false">IF(AX366="","",IF(AX366="A+",1800,IF(AX366="A",1600,IF(AX366="B+",1400,IF(AX366="B",1200,0)))))</f>
        <v/>
      </c>
      <c r="AZ366" s="49" t="str">
        <f aca="false">IF(OR(L366="",M366="",S366="",M366=0),"",IFERROR(L366*60*S366/(M366*36),0))</f>
        <v/>
      </c>
    </row>
    <row r="367" customFormat="false" ht="15" hidden="false" customHeight="true" outlineLevel="0" collapsed="false">
      <c r="A367" s="47" t="n">
        <f aca="false">'Daily KPI Entry'!A368</f>
        <v>0</v>
      </c>
      <c r="B367" s="48" t="n">
        <f aca="false">'Daily KPI Entry'!B368</f>
        <v>0</v>
      </c>
      <c r="C367" s="47" t="n">
        <f aca="false">'Daily KPI Entry'!C368</f>
        <v>0</v>
      </c>
      <c r="D367" s="47" t="n">
        <f aca="false">'Daily KPI Entry'!D368</f>
        <v>0</v>
      </c>
      <c r="E367" s="47" t="n">
        <f aca="false">'Daily KPI Entry'!E368</f>
        <v>0</v>
      </c>
      <c r="F367" s="47" t="n">
        <f aca="false">'Daily KPI Entry'!F368</f>
        <v>0</v>
      </c>
      <c r="G367" s="47" t="n">
        <f aca="false">'Daily KPI Entry'!G368</f>
        <v>0</v>
      </c>
      <c r="H367" s="47" t="str">
        <f aca="false">'Daily KPI Entry'!H368</f>
        <v/>
      </c>
      <c r="I367" s="47" t="n">
        <f aca="false">'Daily KPI Entry'!I368</f>
        <v>0</v>
      </c>
      <c r="J367" s="47" t="n">
        <f aca="false">'Daily KPI Entry'!J368</f>
        <v>0</v>
      </c>
      <c r="K367" s="47" t="n">
        <f aca="false">'Daily KPI Entry'!K368</f>
        <v>0</v>
      </c>
      <c r="L367" s="47" t="n">
        <f aca="false">'Daily KPI Entry'!L368</f>
        <v>0</v>
      </c>
      <c r="M367" s="47" t="n">
        <f aca="false">'Daily KPI Entry'!M368</f>
        <v>0</v>
      </c>
      <c r="N367" s="49" t="n">
        <f aca="false">'Daily KPI Entry'!N368</f>
        <v>0</v>
      </c>
      <c r="O367" s="49" t="n">
        <f aca="false">'Daily KPI Entry'!O368</f>
        <v>0</v>
      </c>
      <c r="P367" s="49" t="str">
        <f aca="false">IF(OR(N367="",O367=""),"",IFERROR(O367/N367*100,0))</f>
        <v/>
      </c>
      <c r="Q367" s="47" t="n">
        <f aca="false">'Daily KPI Entry'!Q368</f>
        <v>8</v>
      </c>
      <c r="R367" s="47" t="str">
        <f aca="false">IF(J367="","",Q367*J367)</f>
        <v/>
      </c>
      <c r="S367" s="49" t="n">
        <f aca="false">'Daily KPI Entry'!S368</f>
        <v>0</v>
      </c>
      <c r="T367" s="49" t="str">
        <f aca="false">IF(OR(R367="",S367=""),"",IFERROR(S367/R367*100,0))</f>
        <v/>
      </c>
      <c r="U367" s="49" t="str">
        <f aca="false">IF(OR(O367="",L367="",M367="",S367="",M367=0),"",IFERROR(O367/(L367*60*S367/(M367*36))*100,0))</f>
        <v/>
      </c>
      <c r="V367" s="49" t="n">
        <f aca="false">'Daily KPI Entry'!V368</f>
        <v>0</v>
      </c>
      <c r="W367" s="49" t="str">
        <f aca="false">IF(O367="","",IFERROR(V367/O367*100,0))</f>
        <v/>
      </c>
      <c r="X367" s="49" t="n">
        <f aca="false">'Daily KPI Entry'!X368</f>
        <v>0</v>
      </c>
      <c r="Y367" s="49" t="n">
        <f aca="false">'Daily KPI Entry'!Y368</f>
        <v>0</v>
      </c>
      <c r="Z367" s="49" t="n">
        <f aca="false">'Daily KPI Entry'!Z368</f>
        <v>0</v>
      </c>
      <c r="AA367" s="49" t="n">
        <f aca="false">'Daily KPI Entry'!AA368</f>
        <v>0</v>
      </c>
      <c r="AB367" s="49" t="n">
        <f aca="false">'Daily KPI Entry'!AB368</f>
        <v>0</v>
      </c>
      <c r="AC367" s="49" t="n">
        <f aca="false">'Daily KPI Entry'!AC368</f>
        <v>0</v>
      </c>
      <c r="AD367" s="49" t="n">
        <f aca="false">'Daily KPI Entry'!AD368</f>
        <v>0</v>
      </c>
      <c r="AE367" s="49" t="n">
        <f aca="false">'Daily KPI Entry'!AE368</f>
        <v>0</v>
      </c>
      <c r="AF367" s="47" t="str">
        <f aca="false">IF(O367="","",SUM(X367:AE367))</f>
        <v/>
      </c>
      <c r="AG367" s="49" t="str">
        <f aca="false">IF(O367="","",IFERROR(AF367/O367*1000,0))</f>
        <v/>
      </c>
      <c r="AH367" s="49" t="n">
        <f aca="false">'Daily KPI Entry'!AH368</f>
        <v>0</v>
      </c>
      <c r="AI367" s="49" t="n">
        <f aca="false">'Daily KPI Entry'!AI368</f>
        <v>0</v>
      </c>
      <c r="AJ367" s="49" t="n">
        <f aca="false">'Daily KPI Entry'!AJ368</f>
        <v>0</v>
      </c>
      <c r="AK367" s="47" t="n">
        <f aca="false">'Daily KPI Entry'!AK368</f>
        <v>0</v>
      </c>
      <c r="AL367" s="47" t="n">
        <f aca="false">'Daily KPI Entry'!AL368</f>
        <v>0</v>
      </c>
      <c r="AM367" s="47" t="n">
        <f aca="false">'Daily KPI Entry'!AM368</f>
        <v>0</v>
      </c>
      <c r="AN367" s="49" t="str">
        <f aca="false">IF(P367="","",MIN(120,P367))</f>
        <v/>
      </c>
      <c r="AO367" s="49" t="str">
        <f aca="false">IF(U367="","",MIN(120,U367))</f>
        <v/>
      </c>
      <c r="AP367" s="49" t="str">
        <f aca="false">IF(R367="","",MIN(120,IFERROR(S367/R367*100,0)))</f>
        <v/>
      </c>
      <c r="AQ367" s="49" t="str">
        <f aca="false">IF(W367="","",MIN(120,IF(W367=0,120,100*(INDEX('Standards &amp; Scoring'!$E$5:$E$13,MATCH("Quality / Rejection",'Standards &amp; Scoring'!$A$5:$A$13,0))/W367))))</f>
        <v/>
      </c>
      <c r="AR367" s="49" t="str">
        <f aca="false">IF(AG367="","",MIN(120,IF(AG367=0,120,100*(INDEX('Standards &amp; Scoring'!$E$5:$E$13,MATCH("Fault Control",'Standards &amp; Scoring'!$A$5:$A$13,0))/AG367))))</f>
        <v/>
      </c>
      <c r="AS367" s="49" t="str">
        <f aca="false">IF(O367="","",MIN(120,IF(SUMIFS('Fault &amp; Downtime Entry'!$L$6:$L$1005,'Fault &amp; Downtime Entry'!$E$6:$E$1005,G367,'Fault &amp; Downtime Entry'!$B$6:$B$1005,B367)=0,120,100*(INDEX('Standards &amp; Scoring'!$E$5:$E$13,MATCH("Downtime Control",'Standards &amp; Scoring'!$A$5:$A$13,0))/IFERROR(SUMIFS('Fault &amp; Downtime Entry'!$L$6:$L$1005,'Fault &amp; Downtime Entry'!$E$6:$E$1005,G367,'Fault &amp; Downtime Entry'!$B$6:$B$1005,B367)/O367*1000,999999)))))</f>
        <v/>
      </c>
      <c r="AT367" s="49" t="n">
        <f aca="false">IF(COUNTA(AH367,AJ367)=0,"",MIN(120,IF(AND(AH367&lt;&gt;"",AJ367&lt;&gt;""),AVERAGE(AH367,AJ367),IF(AH367&lt;&gt;"",AH367,AJ367))))</f>
        <v>0</v>
      </c>
      <c r="AU367" s="49" t="str">
        <f aca="false">IF(AI367="","",MIN(120,AI367))</f>
        <v/>
      </c>
      <c r="AV367" s="49" t="str">
        <f aca="false">IF(AJ367="","",MIN(120,AJ367))</f>
        <v/>
      </c>
      <c r="AW367" s="50" t="str">
        <f aca="false">IF(COUNT(AN367:AV367)&lt;9,"",(AN367*'Standards &amp; Scoring'!$D$5+AO367*'Standards &amp; Scoring'!$D$6+AP367*'Standards &amp; Scoring'!$D$7+AQ367*'Standards &amp; Scoring'!$D$8+AR367*'Standards &amp; Scoring'!$D$9+AS367*'Standards &amp; Scoring'!$D$10+AT367*'Standards &amp; Scoring'!$D$11+AU367*'Standards &amp; Scoring'!$D$12+AV367*'Standards &amp; Scoring'!$D$13)/10000)</f>
        <v/>
      </c>
      <c r="AX367" s="47" t="str">
        <f aca="false">IF(AW367="","",IF(AW367&gt;=1.05,"A+",IF(AW367&gt;=1,"A",IF(AW367&gt;=0.95,"B+",IF(AW367&gt;=0.9,"B","C")))))</f>
        <v/>
      </c>
      <c r="AY367" s="47" t="str">
        <f aca="false">IF(AX367="","",IF(AX367="A+",1800,IF(AX367="A",1600,IF(AX367="B+",1400,IF(AX367="B",1200,0)))))</f>
        <v/>
      </c>
      <c r="AZ367" s="49" t="str">
        <f aca="false">IF(OR(L367="",M367="",S367="",M367=0),"",IFERROR(L367*60*S367/(M367*36),0))</f>
        <v/>
      </c>
    </row>
    <row r="368" customFormat="false" ht="15" hidden="false" customHeight="true" outlineLevel="0" collapsed="false">
      <c r="A368" s="47" t="n">
        <f aca="false">'Daily KPI Entry'!A369</f>
        <v>0</v>
      </c>
      <c r="B368" s="48" t="n">
        <f aca="false">'Daily KPI Entry'!B369</f>
        <v>0</v>
      </c>
      <c r="C368" s="47" t="n">
        <f aca="false">'Daily KPI Entry'!C369</f>
        <v>0</v>
      </c>
      <c r="D368" s="47" t="n">
        <f aca="false">'Daily KPI Entry'!D369</f>
        <v>0</v>
      </c>
      <c r="E368" s="47" t="n">
        <f aca="false">'Daily KPI Entry'!E369</f>
        <v>0</v>
      </c>
      <c r="F368" s="47" t="n">
        <f aca="false">'Daily KPI Entry'!F369</f>
        <v>0</v>
      </c>
      <c r="G368" s="47" t="n">
        <f aca="false">'Daily KPI Entry'!G369</f>
        <v>0</v>
      </c>
      <c r="H368" s="47" t="str">
        <f aca="false">'Daily KPI Entry'!H369</f>
        <v/>
      </c>
      <c r="I368" s="47" t="n">
        <f aca="false">'Daily KPI Entry'!I369</f>
        <v>0</v>
      </c>
      <c r="J368" s="47" t="n">
        <f aca="false">'Daily KPI Entry'!J369</f>
        <v>0</v>
      </c>
      <c r="K368" s="47" t="n">
        <f aca="false">'Daily KPI Entry'!K369</f>
        <v>0</v>
      </c>
      <c r="L368" s="47" t="n">
        <f aca="false">'Daily KPI Entry'!L369</f>
        <v>0</v>
      </c>
      <c r="M368" s="47" t="n">
        <f aca="false">'Daily KPI Entry'!M369</f>
        <v>0</v>
      </c>
      <c r="N368" s="49" t="n">
        <f aca="false">'Daily KPI Entry'!N369</f>
        <v>0</v>
      </c>
      <c r="O368" s="49" t="n">
        <f aca="false">'Daily KPI Entry'!O369</f>
        <v>0</v>
      </c>
      <c r="P368" s="49" t="str">
        <f aca="false">IF(OR(N368="",O368=""),"",IFERROR(O368/N368*100,0))</f>
        <v/>
      </c>
      <c r="Q368" s="47" t="n">
        <f aca="false">'Daily KPI Entry'!Q369</f>
        <v>8</v>
      </c>
      <c r="R368" s="47" t="str">
        <f aca="false">IF(J368="","",Q368*J368)</f>
        <v/>
      </c>
      <c r="S368" s="49" t="n">
        <f aca="false">'Daily KPI Entry'!S369</f>
        <v>0</v>
      </c>
      <c r="T368" s="49" t="str">
        <f aca="false">IF(OR(R368="",S368=""),"",IFERROR(S368/R368*100,0))</f>
        <v/>
      </c>
      <c r="U368" s="49" t="str">
        <f aca="false">IF(OR(O368="",L368="",M368="",S368="",M368=0),"",IFERROR(O368/(L368*60*S368/(M368*36))*100,0))</f>
        <v/>
      </c>
      <c r="V368" s="49" t="n">
        <f aca="false">'Daily KPI Entry'!V369</f>
        <v>0</v>
      </c>
      <c r="W368" s="49" t="str">
        <f aca="false">IF(O368="","",IFERROR(V368/O368*100,0))</f>
        <v/>
      </c>
      <c r="X368" s="49" t="n">
        <f aca="false">'Daily KPI Entry'!X369</f>
        <v>0</v>
      </c>
      <c r="Y368" s="49" t="n">
        <f aca="false">'Daily KPI Entry'!Y369</f>
        <v>0</v>
      </c>
      <c r="Z368" s="49" t="n">
        <f aca="false">'Daily KPI Entry'!Z369</f>
        <v>0</v>
      </c>
      <c r="AA368" s="49" t="n">
        <f aca="false">'Daily KPI Entry'!AA369</f>
        <v>0</v>
      </c>
      <c r="AB368" s="49" t="n">
        <f aca="false">'Daily KPI Entry'!AB369</f>
        <v>0</v>
      </c>
      <c r="AC368" s="49" t="n">
        <f aca="false">'Daily KPI Entry'!AC369</f>
        <v>0</v>
      </c>
      <c r="AD368" s="49" t="n">
        <f aca="false">'Daily KPI Entry'!AD369</f>
        <v>0</v>
      </c>
      <c r="AE368" s="49" t="n">
        <f aca="false">'Daily KPI Entry'!AE369</f>
        <v>0</v>
      </c>
      <c r="AF368" s="47" t="str">
        <f aca="false">IF(O368="","",SUM(X368:AE368))</f>
        <v/>
      </c>
      <c r="AG368" s="49" t="str">
        <f aca="false">IF(O368="","",IFERROR(AF368/O368*1000,0))</f>
        <v/>
      </c>
      <c r="AH368" s="49" t="n">
        <f aca="false">'Daily KPI Entry'!AH369</f>
        <v>0</v>
      </c>
      <c r="AI368" s="49" t="n">
        <f aca="false">'Daily KPI Entry'!AI369</f>
        <v>0</v>
      </c>
      <c r="AJ368" s="49" t="n">
        <f aca="false">'Daily KPI Entry'!AJ369</f>
        <v>0</v>
      </c>
      <c r="AK368" s="47" t="n">
        <f aca="false">'Daily KPI Entry'!AK369</f>
        <v>0</v>
      </c>
      <c r="AL368" s="47" t="n">
        <f aca="false">'Daily KPI Entry'!AL369</f>
        <v>0</v>
      </c>
      <c r="AM368" s="47" t="n">
        <f aca="false">'Daily KPI Entry'!AM369</f>
        <v>0</v>
      </c>
      <c r="AN368" s="49" t="str">
        <f aca="false">IF(P368="","",MIN(120,P368))</f>
        <v/>
      </c>
      <c r="AO368" s="49" t="str">
        <f aca="false">IF(U368="","",MIN(120,U368))</f>
        <v/>
      </c>
      <c r="AP368" s="49" t="str">
        <f aca="false">IF(R368="","",MIN(120,IFERROR(S368/R368*100,0)))</f>
        <v/>
      </c>
      <c r="AQ368" s="49" t="str">
        <f aca="false">IF(W368="","",MIN(120,IF(W368=0,120,100*(INDEX('Standards &amp; Scoring'!$E$5:$E$13,MATCH("Quality / Rejection",'Standards &amp; Scoring'!$A$5:$A$13,0))/W368))))</f>
        <v/>
      </c>
      <c r="AR368" s="49" t="str">
        <f aca="false">IF(AG368="","",MIN(120,IF(AG368=0,120,100*(INDEX('Standards &amp; Scoring'!$E$5:$E$13,MATCH("Fault Control",'Standards &amp; Scoring'!$A$5:$A$13,0))/AG368))))</f>
        <v/>
      </c>
      <c r="AS368" s="49" t="str">
        <f aca="false">IF(O368="","",MIN(120,IF(SUMIFS('Fault &amp; Downtime Entry'!$L$6:$L$1005,'Fault &amp; Downtime Entry'!$E$6:$E$1005,G368,'Fault &amp; Downtime Entry'!$B$6:$B$1005,B368)=0,120,100*(INDEX('Standards &amp; Scoring'!$E$5:$E$13,MATCH("Downtime Control",'Standards &amp; Scoring'!$A$5:$A$13,0))/IFERROR(SUMIFS('Fault &amp; Downtime Entry'!$L$6:$L$1005,'Fault &amp; Downtime Entry'!$E$6:$E$1005,G368,'Fault &amp; Downtime Entry'!$B$6:$B$1005,B368)/O368*1000,999999)))))</f>
        <v/>
      </c>
      <c r="AT368" s="49" t="n">
        <f aca="false">IF(COUNTA(AH368,AJ368)=0,"",MIN(120,IF(AND(AH368&lt;&gt;"",AJ368&lt;&gt;""),AVERAGE(AH368,AJ368),IF(AH368&lt;&gt;"",AH368,AJ368))))</f>
        <v>0</v>
      </c>
      <c r="AU368" s="49" t="str">
        <f aca="false">IF(AI368="","",MIN(120,AI368))</f>
        <v/>
      </c>
      <c r="AV368" s="49" t="str">
        <f aca="false">IF(AJ368="","",MIN(120,AJ368))</f>
        <v/>
      </c>
      <c r="AW368" s="50" t="str">
        <f aca="false">IF(COUNT(AN368:AV368)&lt;9,"",(AN368*'Standards &amp; Scoring'!$D$5+AO368*'Standards &amp; Scoring'!$D$6+AP368*'Standards &amp; Scoring'!$D$7+AQ368*'Standards &amp; Scoring'!$D$8+AR368*'Standards &amp; Scoring'!$D$9+AS368*'Standards &amp; Scoring'!$D$10+AT368*'Standards &amp; Scoring'!$D$11+AU368*'Standards &amp; Scoring'!$D$12+AV368*'Standards &amp; Scoring'!$D$13)/10000)</f>
        <v/>
      </c>
      <c r="AX368" s="47" t="str">
        <f aca="false">IF(AW368="","",IF(AW368&gt;=1.05,"A+",IF(AW368&gt;=1,"A",IF(AW368&gt;=0.95,"B+",IF(AW368&gt;=0.9,"B","C")))))</f>
        <v/>
      </c>
      <c r="AY368" s="47" t="str">
        <f aca="false">IF(AX368="","",IF(AX368="A+",1800,IF(AX368="A",1600,IF(AX368="B+",1400,IF(AX368="B",1200,0)))))</f>
        <v/>
      </c>
      <c r="AZ368" s="49" t="str">
        <f aca="false">IF(OR(L368="",M368="",S368="",M368=0),"",IFERROR(L368*60*S368/(M368*36),0))</f>
        <v/>
      </c>
    </row>
    <row r="369" customFormat="false" ht="15" hidden="false" customHeight="true" outlineLevel="0" collapsed="false">
      <c r="A369" s="47" t="n">
        <f aca="false">'Daily KPI Entry'!A370</f>
        <v>0</v>
      </c>
      <c r="B369" s="48" t="n">
        <f aca="false">'Daily KPI Entry'!B370</f>
        <v>0</v>
      </c>
      <c r="C369" s="47" t="n">
        <f aca="false">'Daily KPI Entry'!C370</f>
        <v>0</v>
      </c>
      <c r="D369" s="47" t="n">
        <f aca="false">'Daily KPI Entry'!D370</f>
        <v>0</v>
      </c>
      <c r="E369" s="47" t="n">
        <f aca="false">'Daily KPI Entry'!E370</f>
        <v>0</v>
      </c>
      <c r="F369" s="47" t="n">
        <f aca="false">'Daily KPI Entry'!F370</f>
        <v>0</v>
      </c>
      <c r="G369" s="47" t="n">
        <f aca="false">'Daily KPI Entry'!G370</f>
        <v>0</v>
      </c>
      <c r="H369" s="47" t="str">
        <f aca="false">'Daily KPI Entry'!H370</f>
        <v/>
      </c>
      <c r="I369" s="47" t="n">
        <f aca="false">'Daily KPI Entry'!I370</f>
        <v>0</v>
      </c>
      <c r="J369" s="47" t="n">
        <f aca="false">'Daily KPI Entry'!J370</f>
        <v>0</v>
      </c>
      <c r="K369" s="47" t="n">
        <f aca="false">'Daily KPI Entry'!K370</f>
        <v>0</v>
      </c>
      <c r="L369" s="47" t="n">
        <f aca="false">'Daily KPI Entry'!L370</f>
        <v>0</v>
      </c>
      <c r="M369" s="47" t="n">
        <f aca="false">'Daily KPI Entry'!M370</f>
        <v>0</v>
      </c>
      <c r="N369" s="49" t="n">
        <f aca="false">'Daily KPI Entry'!N370</f>
        <v>0</v>
      </c>
      <c r="O369" s="49" t="n">
        <f aca="false">'Daily KPI Entry'!O370</f>
        <v>0</v>
      </c>
      <c r="P369" s="49" t="str">
        <f aca="false">IF(OR(N369="",O369=""),"",IFERROR(O369/N369*100,0))</f>
        <v/>
      </c>
      <c r="Q369" s="47" t="n">
        <f aca="false">'Daily KPI Entry'!Q370</f>
        <v>8</v>
      </c>
      <c r="R369" s="47" t="str">
        <f aca="false">IF(J369="","",Q369*J369)</f>
        <v/>
      </c>
      <c r="S369" s="49" t="n">
        <f aca="false">'Daily KPI Entry'!S370</f>
        <v>0</v>
      </c>
      <c r="T369" s="49" t="str">
        <f aca="false">IF(OR(R369="",S369=""),"",IFERROR(S369/R369*100,0))</f>
        <v/>
      </c>
      <c r="U369" s="49" t="str">
        <f aca="false">IF(OR(O369="",L369="",M369="",S369="",M369=0),"",IFERROR(O369/(L369*60*S369/(M369*36))*100,0))</f>
        <v/>
      </c>
      <c r="V369" s="49" t="n">
        <f aca="false">'Daily KPI Entry'!V370</f>
        <v>0</v>
      </c>
      <c r="W369" s="49" t="str">
        <f aca="false">IF(O369="","",IFERROR(V369/O369*100,0))</f>
        <v/>
      </c>
      <c r="X369" s="49" t="n">
        <f aca="false">'Daily KPI Entry'!X370</f>
        <v>0</v>
      </c>
      <c r="Y369" s="49" t="n">
        <f aca="false">'Daily KPI Entry'!Y370</f>
        <v>0</v>
      </c>
      <c r="Z369" s="49" t="n">
        <f aca="false">'Daily KPI Entry'!Z370</f>
        <v>0</v>
      </c>
      <c r="AA369" s="49" t="n">
        <f aca="false">'Daily KPI Entry'!AA370</f>
        <v>0</v>
      </c>
      <c r="AB369" s="49" t="n">
        <f aca="false">'Daily KPI Entry'!AB370</f>
        <v>0</v>
      </c>
      <c r="AC369" s="49" t="n">
        <f aca="false">'Daily KPI Entry'!AC370</f>
        <v>0</v>
      </c>
      <c r="AD369" s="49" t="n">
        <f aca="false">'Daily KPI Entry'!AD370</f>
        <v>0</v>
      </c>
      <c r="AE369" s="49" t="n">
        <f aca="false">'Daily KPI Entry'!AE370</f>
        <v>0</v>
      </c>
      <c r="AF369" s="47" t="str">
        <f aca="false">IF(O369="","",SUM(X369:AE369))</f>
        <v/>
      </c>
      <c r="AG369" s="49" t="str">
        <f aca="false">IF(O369="","",IFERROR(AF369/O369*1000,0))</f>
        <v/>
      </c>
      <c r="AH369" s="49" t="n">
        <f aca="false">'Daily KPI Entry'!AH370</f>
        <v>0</v>
      </c>
      <c r="AI369" s="49" t="n">
        <f aca="false">'Daily KPI Entry'!AI370</f>
        <v>0</v>
      </c>
      <c r="AJ369" s="49" t="n">
        <f aca="false">'Daily KPI Entry'!AJ370</f>
        <v>0</v>
      </c>
      <c r="AK369" s="47" t="n">
        <f aca="false">'Daily KPI Entry'!AK370</f>
        <v>0</v>
      </c>
      <c r="AL369" s="47" t="n">
        <f aca="false">'Daily KPI Entry'!AL370</f>
        <v>0</v>
      </c>
      <c r="AM369" s="47" t="n">
        <f aca="false">'Daily KPI Entry'!AM370</f>
        <v>0</v>
      </c>
      <c r="AN369" s="49" t="str">
        <f aca="false">IF(P369="","",MIN(120,P369))</f>
        <v/>
      </c>
      <c r="AO369" s="49" t="str">
        <f aca="false">IF(U369="","",MIN(120,U369))</f>
        <v/>
      </c>
      <c r="AP369" s="49" t="str">
        <f aca="false">IF(R369="","",MIN(120,IFERROR(S369/R369*100,0)))</f>
        <v/>
      </c>
      <c r="AQ369" s="49" t="str">
        <f aca="false">IF(W369="","",MIN(120,IF(W369=0,120,100*(INDEX('Standards &amp; Scoring'!$E$5:$E$13,MATCH("Quality / Rejection",'Standards &amp; Scoring'!$A$5:$A$13,0))/W369))))</f>
        <v/>
      </c>
      <c r="AR369" s="49" t="str">
        <f aca="false">IF(AG369="","",MIN(120,IF(AG369=0,120,100*(INDEX('Standards &amp; Scoring'!$E$5:$E$13,MATCH("Fault Control",'Standards &amp; Scoring'!$A$5:$A$13,0))/AG369))))</f>
        <v/>
      </c>
      <c r="AS369" s="49" t="str">
        <f aca="false">IF(O369="","",MIN(120,IF(SUMIFS('Fault &amp; Downtime Entry'!$L$6:$L$1005,'Fault &amp; Downtime Entry'!$E$6:$E$1005,G369,'Fault &amp; Downtime Entry'!$B$6:$B$1005,B369)=0,120,100*(INDEX('Standards &amp; Scoring'!$E$5:$E$13,MATCH("Downtime Control",'Standards &amp; Scoring'!$A$5:$A$13,0))/IFERROR(SUMIFS('Fault &amp; Downtime Entry'!$L$6:$L$1005,'Fault &amp; Downtime Entry'!$E$6:$E$1005,G369,'Fault &amp; Downtime Entry'!$B$6:$B$1005,B369)/O369*1000,999999)))))</f>
        <v/>
      </c>
      <c r="AT369" s="49" t="n">
        <f aca="false">IF(COUNTA(AH369,AJ369)=0,"",MIN(120,IF(AND(AH369&lt;&gt;"",AJ369&lt;&gt;""),AVERAGE(AH369,AJ369),IF(AH369&lt;&gt;"",AH369,AJ369))))</f>
        <v>0</v>
      </c>
      <c r="AU369" s="49" t="str">
        <f aca="false">IF(AI369="","",MIN(120,AI369))</f>
        <v/>
      </c>
      <c r="AV369" s="49" t="str">
        <f aca="false">IF(AJ369="","",MIN(120,AJ369))</f>
        <v/>
      </c>
      <c r="AW369" s="50" t="str">
        <f aca="false">IF(COUNT(AN369:AV369)&lt;9,"",(AN369*'Standards &amp; Scoring'!$D$5+AO369*'Standards &amp; Scoring'!$D$6+AP369*'Standards &amp; Scoring'!$D$7+AQ369*'Standards &amp; Scoring'!$D$8+AR369*'Standards &amp; Scoring'!$D$9+AS369*'Standards &amp; Scoring'!$D$10+AT369*'Standards &amp; Scoring'!$D$11+AU369*'Standards &amp; Scoring'!$D$12+AV369*'Standards &amp; Scoring'!$D$13)/10000)</f>
        <v/>
      </c>
      <c r="AX369" s="47" t="str">
        <f aca="false">IF(AW369="","",IF(AW369&gt;=1.05,"A+",IF(AW369&gt;=1,"A",IF(AW369&gt;=0.95,"B+",IF(AW369&gt;=0.9,"B","C")))))</f>
        <v/>
      </c>
      <c r="AY369" s="47" t="str">
        <f aca="false">IF(AX369="","",IF(AX369="A+",1800,IF(AX369="A",1600,IF(AX369="B+",1400,IF(AX369="B",1200,0)))))</f>
        <v/>
      </c>
      <c r="AZ369" s="49" t="str">
        <f aca="false">IF(OR(L369="",M369="",S369="",M369=0),"",IFERROR(L369*60*S369/(M369*36),0))</f>
        <v/>
      </c>
    </row>
    <row r="370" customFormat="false" ht="15" hidden="false" customHeight="true" outlineLevel="0" collapsed="false">
      <c r="A370" s="47" t="n">
        <f aca="false">'Daily KPI Entry'!A371</f>
        <v>0</v>
      </c>
      <c r="B370" s="48" t="n">
        <f aca="false">'Daily KPI Entry'!B371</f>
        <v>0</v>
      </c>
      <c r="C370" s="47" t="n">
        <f aca="false">'Daily KPI Entry'!C371</f>
        <v>0</v>
      </c>
      <c r="D370" s="47" t="n">
        <f aca="false">'Daily KPI Entry'!D371</f>
        <v>0</v>
      </c>
      <c r="E370" s="47" t="n">
        <f aca="false">'Daily KPI Entry'!E371</f>
        <v>0</v>
      </c>
      <c r="F370" s="47" t="n">
        <f aca="false">'Daily KPI Entry'!F371</f>
        <v>0</v>
      </c>
      <c r="G370" s="47" t="n">
        <f aca="false">'Daily KPI Entry'!G371</f>
        <v>0</v>
      </c>
      <c r="H370" s="47" t="str">
        <f aca="false">'Daily KPI Entry'!H371</f>
        <v/>
      </c>
      <c r="I370" s="47" t="n">
        <f aca="false">'Daily KPI Entry'!I371</f>
        <v>0</v>
      </c>
      <c r="J370" s="47" t="n">
        <f aca="false">'Daily KPI Entry'!J371</f>
        <v>0</v>
      </c>
      <c r="K370" s="47" t="n">
        <f aca="false">'Daily KPI Entry'!K371</f>
        <v>0</v>
      </c>
      <c r="L370" s="47" t="n">
        <f aca="false">'Daily KPI Entry'!L371</f>
        <v>0</v>
      </c>
      <c r="M370" s="47" t="n">
        <f aca="false">'Daily KPI Entry'!M371</f>
        <v>0</v>
      </c>
      <c r="N370" s="49" t="n">
        <f aca="false">'Daily KPI Entry'!N371</f>
        <v>0</v>
      </c>
      <c r="O370" s="49" t="n">
        <f aca="false">'Daily KPI Entry'!O371</f>
        <v>0</v>
      </c>
      <c r="P370" s="49" t="str">
        <f aca="false">IF(OR(N370="",O370=""),"",IFERROR(O370/N370*100,0))</f>
        <v/>
      </c>
      <c r="Q370" s="47" t="n">
        <f aca="false">'Daily KPI Entry'!Q371</f>
        <v>8</v>
      </c>
      <c r="R370" s="47" t="str">
        <f aca="false">IF(J370="","",Q370*J370)</f>
        <v/>
      </c>
      <c r="S370" s="49" t="n">
        <f aca="false">'Daily KPI Entry'!S371</f>
        <v>0</v>
      </c>
      <c r="T370" s="49" t="str">
        <f aca="false">IF(OR(R370="",S370=""),"",IFERROR(S370/R370*100,0))</f>
        <v/>
      </c>
      <c r="U370" s="49" t="str">
        <f aca="false">IF(OR(O370="",L370="",M370="",S370="",M370=0),"",IFERROR(O370/(L370*60*S370/(M370*36))*100,0))</f>
        <v/>
      </c>
      <c r="V370" s="49" t="n">
        <f aca="false">'Daily KPI Entry'!V371</f>
        <v>0</v>
      </c>
      <c r="W370" s="49" t="str">
        <f aca="false">IF(O370="","",IFERROR(V370/O370*100,0))</f>
        <v/>
      </c>
      <c r="X370" s="49" t="n">
        <f aca="false">'Daily KPI Entry'!X371</f>
        <v>0</v>
      </c>
      <c r="Y370" s="49" t="n">
        <f aca="false">'Daily KPI Entry'!Y371</f>
        <v>0</v>
      </c>
      <c r="Z370" s="49" t="n">
        <f aca="false">'Daily KPI Entry'!Z371</f>
        <v>0</v>
      </c>
      <c r="AA370" s="49" t="n">
        <f aca="false">'Daily KPI Entry'!AA371</f>
        <v>0</v>
      </c>
      <c r="AB370" s="49" t="n">
        <f aca="false">'Daily KPI Entry'!AB371</f>
        <v>0</v>
      </c>
      <c r="AC370" s="49" t="n">
        <f aca="false">'Daily KPI Entry'!AC371</f>
        <v>0</v>
      </c>
      <c r="AD370" s="49" t="n">
        <f aca="false">'Daily KPI Entry'!AD371</f>
        <v>0</v>
      </c>
      <c r="AE370" s="49" t="n">
        <f aca="false">'Daily KPI Entry'!AE371</f>
        <v>0</v>
      </c>
      <c r="AF370" s="47" t="str">
        <f aca="false">IF(O370="","",SUM(X370:AE370))</f>
        <v/>
      </c>
      <c r="AG370" s="49" t="str">
        <f aca="false">IF(O370="","",IFERROR(AF370/O370*1000,0))</f>
        <v/>
      </c>
      <c r="AH370" s="49" t="n">
        <f aca="false">'Daily KPI Entry'!AH371</f>
        <v>0</v>
      </c>
      <c r="AI370" s="49" t="n">
        <f aca="false">'Daily KPI Entry'!AI371</f>
        <v>0</v>
      </c>
      <c r="AJ370" s="49" t="n">
        <f aca="false">'Daily KPI Entry'!AJ371</f>
        <v>0</v>
      </c>
      <c r="AK370" s="47" t="n">
        <f aca="false">'Daily KPI Entry'!AK371</f>
        <v>0</v>
      </c>
      <c r="AL370" s="47" t="n">
        <f aca="false">'Daily KPI Entry'!AL371</f>
        <v>0</v>
      </c>
      <c r="AM370" s="47" t="n">
        <f aca="false">'Daily KPI Entry'!AM371</f>
        <v>0</v>
      </c>
      <c r="AN370" s="49" t="str">
        <f aca="false">IF(P370="","",MIN(120,P370))</f>
        <v/>
      </c>
      <c r="AO370" s="49" t="str">
        <f aca="false">IF(U370="","",MIN(120,U370))</f>
        <v/>
      </c>
      <c r="AP370" s="49" t="str">
        <f aca="false">IF(R370="","",MIN(120,IFERROR(S370/R370*100,0)))</f>
        <v/>
      </c>
      <c r="AQ370" s="49" t="str">
        <f aca="false">IF(W370="","",MIN(120,IF(W370=0,120,100*(INDEX('Standards &amp; Scoring'!$E$5:$E$13,MATCH("Quality / Rejection",'Standards &amp; Scoring'!$A$5:$A$13,0))/W370))))</f>
        <v/>
      </c>
      <c r="AR370" s="49" t="str">
        <f aca="false">IF(AG370="","",MIN(120,IF(AG370=0,120,100*(INDEX('Standards &amp; Scoring'!$E$5:$E$13,MATCH("Fault Control",'Standards &amp; Scoring'!$A$5:$A$13,0))/AG370))))</f>
        <v/>
      </c>
      <c r="AS370" s="49" t="str">
        <f aca="false">IF(O370="","",MIN(120,IF(SUMIFS('Fault &amp; Downtime Entry'!$L$6:$L$1005,'Fault &amp; Downtime Entry'!$E$6:$E$1005,G370,'Fault &amp; Downtime Entry'!$B$6:$B$1005,B370)=0,120,100*(INDEX('Standards &amp; Scoring'!$E$5:$E$13,MATCH("Downtime Control",'Standards &amp; Scoring'!$A$5:$A$13,0))/IFERROR(SUMIFS('Fault &amp; Downtime Entry'!$L$6:$L$1005,'Fault &amp; Downtime Entry'!$E$6:$E$1005,G370,'Fault &amp; Downtime Entry'!$B$6:$B$1005,B370)/O370*1000,999999)))))</f>
        <v/>
      </c>
      <c r="AT370" s="49" t="n">
        <f aca="false">IF(COUNTA(AH370,AJ370)=0,"",MIN(120,IF(AND(AH370&lt;&gt;"",AJ370&lt;&gt;""),AVERAGE(AH370,AJ370),IF(AH370&lt;&gt;"",AH370,AJ370))))</f>
        <v>0</v>
      </c>
      <c r="AU370" s="49" t="str">
        <f aca="false">IF(AI370="","",MIN(120,AI370))</f>
        <v/>
      </c>
      <c r="AV370" s="49" t="str">
        <f aca="false">IF(AJ370="","",MIN(120,AJ370))</f>
        <v/>
      </c>
      <c r="AW370" s="50" t="str">
        <f aca="false">IF(COUNT(AN370:AV370)&lt;9,"",(AN370*'Standards &amp; Scoring'!$D$5+AO370*'Standards &amp; Scoring'!$D$6+AP370*'Standards &amp; Scoring'!$D$7+AQ370*'Standards &amp; Scoring'!$D$8+AR370*'Standards &amp; Scoring'!$D$9+AS370*'Standards &amp; Scoring'!$D$10+AT370*'Standards &amp; Scoring'!$D$11+AU370*'Standards &amp; Scoring'!$D$12+AV370*'Standards &amp; Scoring'!$D$13)/10000)</f>
        <v/>
      </c>
      <c r="AX370" s="47" t="str">
        <f aca="false">IF(AW370="","",IF(AW370&gt;=1.05,"A+",IF(AW370&gt;=1,"A",IF(AW370&gt;=0.95,"B+",IF(AW370&gt;=0.9,"B","C")))))</f>
        <v/>
      </c>
      <c r="AY370" s="47" t="str">
        <f aca="false">IF(AX370="","",IF(AX370="A+",1800,IF(AX370="A",1600,IF(AX370="B+",1400,IF(AX370="B",1200,0)))))</f>
        <v/>
      </c>
      <c r="AZ370" s="49" t="str">
        <f aca="false">IF(OR(L370="",M370="",S370="",M370=0),"",IFERROR(L370*60*S370/(M370*36),0))</f>
        <v/>
      </c>
    </row>
    <row r="371" customFormat="false" ht="15" hidden="false" customHeight="true" outlineLevel="0" collapsed="false">
      <c r="A371" s="47" t="n">
        <f aca="false">'Daily KPI Entry'!A372</f>
        <v>0</v>
      </c>
      <c r="B371" s="48" t="n">
        <f aca="false">'Daily KPI Entry'!B372</f>
        <v>0</v>
      </c>
      <c r="C371" s="47" t="n">
        <f aca="false">'Daily KPI Entry'!C372</f>
        <v>0</v>
      </c>
      <c r="D371" s="47" t="n">
        <f aca="false">'Daily KPI Entry'!D372</f>
        <v>0</v>
      </c>
      <c r="E371" s="47" t="n">
        <f aca="false">'Daily KPI Entry'!E372</f>
        <v>0</v>
      </c>
      <c r="F371" s="47" t="n">
        <f aca="false">'Daily KPI Entry'!F372</f>
        <v>0</v>
      </c>
      <c r="G371" s="47" t="n">
        <f aca="false">'Daily KPI Entry'!G372</f>
        <v>0</v>
      </c>
      <c r="H371" s="47" t="str">
        <f aca="false">'Daily KPI Entry'!H372</f>
        <v/>
      </c>
      <c r="I371" s="47" t="n">
        <f aca="false">'Daily KPI Entry'!I372</f>
        <v>0</v>
      </c>
      <c r="J371" s="47" t="n">
        <f aca="false">'Daily KPI Entry'!J372</f>
        <v>0</v>
      </c>
      <c r="K371" s="47" t="n">
        <f aca="false">'Daily KPI Entry'!K372</f>
        <v>0</v>
      </c>
      <c r="L371" s="47" t="n">
        <f aca="false">'Daily KPI Entry'!L372</f>
        <v>0</v>
      </c>
      <c r="M371" s="47" t="n">
        <f aca="false">'Daily KPI Entry'!M372</f>
        <v>0</v>
      </c>
      <c r="N371" s="49" t="n">
        <f aca="false">'Daily KPI Entry'!N372</f>
        <v>0</v>
      </c>
      <c r="O371" s="49" t="n">
        <f aca="false">'Daily KPI Entry'!O372</f>
        <v>0</v>
      </c>
      <c r="P371" s="49" t="str">
        <f aca="false">IF(OR(N371="",O371=""),"",IFERROR(O371/N371*100,0))</f>
        <v/>
      </c>
      <c r="Q371" s="47" t="n">
        <f aca="false">'Daily KPI Entry'!Q372</f>
        <v>8</v>
      </c>
      <c r="R371" s="47" t="str">
        <f aca="false">IF(J371="","",Q371*J371)</f>
        <v/>
      </c>
      <c r="S371" s="49" t="n">
        <f aca="false">'Daily KPI Entry'!S372</f>
        <v>0</v>
      </c>
      <c r="T371" s="49" t="str">
        <f aca="false">IF(OR(R371="",S371=""),"",IFERROR(S371/R371*100,0))</f>
        <v/>
      </c>
      <c r="U371" s="49" t="str">
        <f aca="false">IF(OR(O371="",L371="",M371="",S371="",M371=0),"",IFERROR(O371/(L371*60*S371/(M371*36))*100,0))</f>
        <v/>
      </c>
      <c r="V371" s="49" t="n">
        <f aca="false">'Daily KPI Entry'!V372</f>
        <v>0</v>
      </c>
      <c r="W371" s="49" t="str">
        <f aca="false">IF(O371="","",IFERROR(V371/O371*100,0))</f>
        <v/>
      </c>
      <c r="X371" s="49" t="n">
        <f aca="false">'Daily KPI Entry'!X372</f>
        <v>0</v>
      </c>
      <c r="Y371" s="49" t="n">
        <f aca="false">'Daily KPI Entry'!Y372</f>
        <v>0</v>
      </c>
      <c r="Z371" s="49" t="n">
        <f aca="false">'Daily KPI Entry'!Z372</f>
        <v>0</v>
      </c>
      <c r="AA371" s="49" t="n">
        <f aca="false">'Daily KPI Entry'!AA372</f>
        <v>0</v>
      </c>
      <c r="AB371" s="49" t="n">
        <f aca="false">'Daily KPI Entry'!AB372</f>
        <v>0</v>
      </c>
      <c r="AC371" s="49" t="n">
        <f aca="false">'Daily KPI Entry'!AC372</f>
        <v>0</v>
      </c>
      <c r="AD371" s="49" t="n">
        <f aca="false">'Daily KPI Entry'!AD372</f>
        <v>0</v>
      </c>
      <c r="AE371" s="49" t="n">
        <f aca="false">'Daily KPI Entry'!AE372</f>
        <v>0</v>
      </c>
      <c r="AF371" s="47" t="str">
        <f aca="false">IF(O371="","",SUM(X371:AE371))</f>
        <v/>
      </c>
      <c r="AG371" s="49" t="str">
        <f aca="false">IF(O371="","",IFERROR(AF371/O371*1000,0))</f>
        <v/>
      </c>
      <c r="AH371" s="49" t="n">
        <f aca="false">'Daily KPI Entry'!AH372</f>
        <v>0</v>
      </c>
      <c r="AI371" s="49" t="n">
        <f aca="false">'Daily KPI Entry'!AI372</f>
        <v>0</v>
      </c>
      <c r="AJ371" s="49" t="n">
        <f aca="false">'Daily KPI Entry'!AJ372</f>
        <v>0</v>
      </c>
      <c r="AK371" s="47" t="n">
        <f aca="false">'Daily KPI Entry'!AK372</f>
        <v>0</v>
      </c>
      <c r="AL371" s="47" t="n">
        <f aca="false">'Daily KPI Entry'!AL372</f>
        <v>0</v>
      </c>
      <c r="AM371" s="47" t="n">
        <f aca="false">'Daily KPI Entry'!AM372</f>
        <v>0</v>
      </c>
      <c r="AN371" s="49" t="str">
        <f aca="false">IF(P371="","",MIN(120,P371))</f>
        <v/>
      </c>
      <c r="AO371" s="49" t="str">
        <f aca="false">IF(U371="","",MIN(120,U371))</f>
        <v/>
      </c>
      <c r="AP371" s="49" t="str">
        <f aca="false">IF(R371="","",MIN(120,IFERROR(S371/R371*100,0)))</f>
        <v/>
      </c>
      <c r="AQ371" s="49" t="str">
        <f aca="false">IF(W371="","",MIN(120,IF(W371=0,120,100*(INDEX('Standards &amp; Scoring'!$E$5:$E$13,MATCH("Quality / Rejection",'Standards &amp; Scoring'!$A$5:$A$13,0))/W371))))</f>
        <v/>
      </c>
      <c r="AR371" s="49" t="str">
        <f aca="false">IF(AG371="","",MIN(120,IF(AG371=0,120,100*(INDEX('Standards &amp; Scoring'!$E$5:$E$13,MATCH("Fault Control",'Standards &amp; Scoring'!$A$5:$A$13,0))/AG371))))</f>
        <v/>
      </c>
      <c r="AS371" s="49" t="str">
        <f aca="false">IF(O371="","",MIN(120,IF(SUMIFS('Fault &amp; Downtime Entry'!$L$6:$L$1005,'Fault &amp; Downtime Entry'!$E$6:$E$1005,G371,'Fault &amp; Downtime Entry'!$B$6:$B$1005,B371)=0,120,100*(INDEX('Standards &amp; Scoring'!$E$5:$E$13,MATCH("Downtime Control",'Standards &amp; Scoring'!$A$5:$A$13,0))/IFERROR(SUMIFS('Fault &amp; Downtime Entry'!$L$6:$L$1005,'Fault &amp; Downtime Entry'!$E$6:$E$1005,G371,'Fault &amp; Downtime Entry'!$B$6:$B$1005,B371)/O371*1000,999999)))))</f>
        <v/>
      </c>
      <c r="AT371" s="49" t="n">
        <f aca="false">IF(COUNTA(AH371,AJ371)=0,"",MIN(120,IF(AND(AH371&lt;&gt;"",AJ371&lt;&gt;""),AVERAGE(AH371,AJ371),IF(AH371&lt;&gt;"",AH371,AJ371))))</f>
        <v>0</v>
      </c>
      <c r="AU371" s="49" t="str">
        <f aca="false">IF(AI371="","",MIN(120,AI371))</f>
        <v/>
      </c>
      <c r="AV371" s="49" t="str">
        <f aca="false">IF(AJ371="","",MIN(120,AJ371))</f>
        <v/>
      </c>
      <c r="AW371" s="50" t="str">
        <f aca="false">IF(COUNT(AN371:AV371)&lt;9,"",(AN371*'Standards &amp; Scoring'!$D$5+AO371*'Standards &amp; Scoring'!$D$6+AP371*'Standards &amp; Scoring'!$D$7+AQ371*'Standards &amp; Scoring'!$D$8+AR371*'Standards &amp; Scoring'!$D$9+AS371*'Standards &amp; Scoring'!$D$10+AT371*'Standards &amp; Scoring'!$D$11+AU371*'Standards &amp; Scoring'!$D$12+AV371*'Standards &amp; Scoring'!$D$13)/10000)</f>
        <v/>
      </c>
      <c r="AX371" s="47" t="str">
        <f aca="false">IF(AW371="","",IF(AW371&gt;=1.05,"A+",IF(AW371&gt;=1,"A",IF(AW371&gt;=0.95,"B+",IF(AW371&gt;=0.9,"B","C")))))</f>
        <v/>
      </c>
      <c r="AY371" s="47" t="str">
        <f aca="false">IF(AX371="","",IF(AX371="A+",1800,IF(AX371="A",1600,IF(AX371="B+",1400,IF(AX371="B",1200,0)))))</f>
        <v/>
      </c>
      <c r="AZ371" s="49" t="str">
        <f aca="false">IF(OR(L371="",M371="",S371="",M371=0),"",IFERROR(L371*60*S371/(M371*36),0))</f>
        <v/>
      </c>
    </row>
    <row r="372" customFormat="false" ht="15" hidden="false" customHeight="true" outlineLevel="0" collapsed="false">
      <c r="A372" s="47" t="n">
        <f aca="false">'Daily KPI Entry'!A373</f>
        <v>0</v>
      </c>
      <c r="B372" s="48" t="n">
        <f aca="false">'Daily KPI Entry'!B373</f>
        <v>0</v>
      </c>
      <c r="C372" s="47" t="n">
        <f aca="false">'Daily KPI Entry'!C373</f>
        <v>0</v>
      </c>
      <c r="D372" s="47" t="n">
        <f aca="false">'Daily KPI Entry'!D373</f>
        <v>0</v>
      </c>
      <c r="E372" s="47" t="n">
        <f aca="false">'Daily KPI Entry'!E373</f>
        <v>0</v>
      </c>
      <c r="F372" s="47" t="n">
        <f aca="false">'Daily KPI Entry'!F373</f>
        <v>0</v>
      </c>
      <c r="G372" s="47" t="n">
        <f aca="false">'Daily KPI Entry'!G373</f>
        <v>0</v>
      </c>
      <c r="H372" s="47" t="str">
        <f aca="false">'Daily KPI Entry'!H373</f>
        <v/>
      </c>
      <c r="I372" s="47" t="n">
        <f aca="false">'Daily KPI Entry'!I373</f>
        <v>0</v>
      </c>
      <c r="J372" s="47" t="n">
        <f aca="false">'Daily KPI Entry'!J373</f>
        <v>0</v>
      </c>
      <c r="K372" s="47" t="n">
        <f aca="false">'Daily KPI Entry'!K373</f>
        <v>0</v>
      </c>
      <c r="L372" s="47" t="n">
        <f aca="false">'Daily KPI Entry'!L373</f>
        <v>0</v>
      </c>
      <c r="M372" s="47" t="n">
        <f aca="false">'Daily KPI Entry'!M373</f>
        <v>0</v>
      </c>
      <c r="N372" s="49" t="n">
        <f aca="false">'Daily KPI Entry'!N373</f>
        <v>0</v>
      </c>
      <c r="O372" s="49" t="n">
        <f aca="false">'Daily KPI Entry'!O373</f>
        <v>0</v>
      </c>
      <c r="P372" s="49" t="str">
        <f aca="false">IF(OR(N372="",O372=""),"",IFERROR(O372/N372*100,0))</f>
        <v/>
      </c>
      <c r="Q372" s="47" t="n">
        <f aca="false">'Daily KPI Entry'!Q373</f>
        <v>8</v>
      </c>
      <c r="R372" s="47" t="str">
        <f aca="false">IF(J372="","",Q372*J372)</f>
        <v/>
      </c>
      <c r="S372" s="49" t="n">
        <f aca="false">'Daily KPI Entry'!S373</f>
        <v>0</v>
      </c>
      <c r="T372" s="49" t="str">
        <f aca="false">IF(OR(R372="",S372=""),"",IFERROR(S372/R372*100,0))</f>
        <v/>
      </c>
      <c r="U372" s="49" t="str">
        <f aca="false">IF(OR(O372="",L372="",M372="",S372="",M372=0),"",IFERROR(O372/(L372*60*S372/(M372*36))*100,0))</f>
        <v/>
      </c>
      <c r="V372" s="49" t="n">
        <f aca="false">'Daily KPI Entry'!V373</f>
        <v>0</v>
      </c>
      <c r="W372" s="49" t="str">
        <f aca="false">IF(O372="","",IFERROR(V372/O372*100,0))</f>
        <v/>
      </c>
      <c r="X372" s="49" t="n">
        <f aca="false">'Daily KPI Entry'!X373</f>
        <v>0</v>
      </c>
      <c r="Y372" s="49" t="n">
        <f aca="false">'Daily KPI Entry'!Y373</f>
        <v>0</v>
      </c>
      <c r="Z372" s="49" t="n">
        <f aca="false">'Daily KPI Entry'!Z373</f>
        <v>0</v>
      </c>
      <c r="AA372" s="49" t="n">
        <f aca="false">'Daily KPI Entry'!AA373</f>
        <v>0</v>
      </c>
      <c r="AB372" s="49" t="n">
        <f aca="false">'Daily KPI Entry'!AB373</f>
        <v>0</v>
      </c>
      <c r="AC372" s="49" t="n">
        <f aca="false">'Daily KPI Entry'!AC373</f>
        <v>0</v>
      </c>
      <c r="AD372" s="49" t="n">
        <f aca="false">'Daily KPI Entry'!AD373</f>
        <v>0</v>
      </c>
      <c r="AE372" s="49" t="n">
        <f aca="false">'Daily KPI Entry'!AE373</f>
        <v>0</v>
      </c>
      <c r="AF372" s="47" t="str">
        <f aca="false">IF(O372="","",SUM(X372:AE372))</f>
        <v/>
      </c>
      <c r="AG372" s="49" t="str">
        <f aca="false">IF(O372="","",IFERROR(AF372/O372*1000,0))</f>
        <v/>
      </c>
      <c r="AH372" s="49" t="n">
        <f aca="false">'Daily KPI Entry'!AH373</f>
        <v>0</v>
      </c>
      <c r="AI372" s="49" t="n">
        <f aca="false">'Daily KPI Entry'!AI373</f>
        <v>0</v>
      </c>
      <c r="AJ372" s="49" t="n">
        <f aca="false">'Daily KPI Entry'!AJ373</f>
        <v>0</v>
      </c>
      <c r="AK372" s="47" t="n">
        <f aca="false">'Daily KPI Entry'!AK373</f>
        <v>0</v>
      </c>
      <c r="AL372" s="47" t="n">
        <f aca="false">'Daily KPI Entry'!AL373</f>
        <v>0</v>
      </c>
      <c r="AM372" s="47" t="n">
        <f aca="false">'Daily KPI Entry'!AM373</f>
        <v>0</v>
      </c>
      <c r="AN372" s="49" t="str">
        <f aca="false">IF(P372="","",MIN(120,P372))</f>
        <v/>
      </c>
      <c r="AO372" s="49" t="str">
        <f aca="false">IF(U372="","",MIN(120,U372))</f>
        <v/>
      </c>
      <c r="AP372" s="49" t="str">
        <f aca="false">IF(R372="","",MIN(120,IFERROR(S372/R372*100,0)))</f>
        <v/>
      </c>
      <c r="AQ372" s="49" t="str">
        <f aca="false">IF(W372="","",MIN(120,IF(W372=0,120,100*(INDEX('Standards &amp; Scoring'!$E$5:$E$13,MATCH("Quality / Rejection",'Standards &amp; Scoring'!$A$5:$A$13,0))/W372))))</f>
        <v/>
      </c>
      <c r="AR372" s="49" t="str">
        <f aca="false">IF(AG372="","",MIN(120,IF(AG372=0,120,100*(INDEX('Standards &amp; Scoring'!$E$5:$E$13,MATCH("Fault Control",'Standards &amp; Scoring'!$A$5:$A$13,0))/AG372))))</f>
        <v/>
      </c>
      <c r="AS372" s="49" t="str">
        <f aca="false">IF(O372="","",MIN(120,IF(SUMIFS('Fault &amp; Downtime Entry'!$L$6:$L$1005,'Fault &amp; Downtime Entry'!$E$6:$E$1005,G372,'Fault &amp; Downtime Entry'!$B$6:$B$1005,B372)=0,120,100*(INDEX('Standards &amp; Scoring'!$E$5:$E$13,MATCH("Downtime Control",'Standards &amp; Scoring'!$A$5:$A$13,0))/IFERROR(SUMIFS('Fault &amp; Downtime Entry'!$L$6:$L$1005,'Fault &amp; Downtime Entry'!$E$6:$E$1005,G372,'Fault &amp; Downtime Entry'!$B$6:$B$1005,B372)/O372*1000,999999)))))</f>
        <v/>
      </c>
      <c r="AT372" s="49" t="n">
        <f aca="false">IF(COUNTA(AH372,AJ372)=0,"",MIN(120,IF(AND(AH372&lt;&gt;"",AJ372&lt;&gt;""),AVERAGE(AH372,AJ372),IF(AH372&lt;&gt;"",AH372,AJ372))))</f>
        <v>0</v>
      </c>
      <c r="AU372" s="49" t="str">
        <f aca="false">IF(AI372="","",MIN(120,AI372))</f>
        <v/>
      </c>
      <c r="AV372" s="49" t="str">
        <f aca="false">IF(AJ372="","",MIN(120,AJ372))</f>
        <v/>
      </c>
      <c r="AW372" s="50" t="str">
        <f aca="false">IF(COUNT(AN372:AV372)&lt;9,"",(AN372*'Standards &amp; Scoring'!$D$5+AO372*'Standards &amp; Scoring'!$D$6+AP372*'Standards &amp; Scoring'!$D$7+AQ372*'Standards &amp; Scoring'!$D$8+AR372*'Standards &amp; Scoring'!$D$9+AS372*'Standards &amp; Scoring'!$D$10+AT372*'Standards &amp; Scoring'!$D$11+AU372*'Standards &amp; Scoring'!$D$12+AV372*'Standards &amp; Scoring'!$D$13)/10000)</f>
        <v/>
      </c>
      <c r="AX372" s="47" t="str">
        <f aca="false">IF(AW372="","",IF(AW372&gt;=1.05,"A+",IF(AW372&gt;=1,"A",IF(AW372&gt;=0.95,"B+",IF(AW372&gt;=0.9,"B","C")))))</f>
        <v/>
      </c>
      <c r="AY372" s="47" t="str">
        <f aca="false">IF(AX372="","",IF(AX372="A+",1800,IF(AX372="A",1600,IF(AX372="B+",1400,IF(AX372="B",1200,0)))))</f>
        <v/>
      </c>
      <c r="AZ372" s="49" t="str">
        <f aca="false">IF(OR(L372="",M372="",S372="",M372=0),"",IFERROR(L372*60*S372/(M372*36),0))</f>
        <v/>
      </c>
    </row>
    <row r="373" customFormat="false" ht="15" hidden="false" customHeight="true" outlineLevel="0" collapsed="false">
      <c r="A373" s="47" t="n">
        <f aca="false">'Daily KPI Entry'!A374</f>
        <v>0</v>
      </c>
      <c r="B373" s="48" t="n">
        <f aca="false">'Daily KPI Entry'!B374</f>
        <v>0</v>
      </c>
      <c r="C373" s="47" t="n">
        <f aca="false">'Daily KPI Entry'!C374</f>
        <v>0</v>
      </c>
      <c r="D373" s="47" t="n">
        <f aca="false">'Daily KPI Entry'!D374</f>
        <v>0</v>
      </c>
      <c r="E373" s="47" t="n">
        <f aca="false">'Daily KPI Entry'!E374</f>
        <v>0</v>
      </c>
      <c r="F373" s="47" t="n">
        <f aca="false">'Daily KPI Entry'!F374</f>
        <v>0</v>
      </c>
      <c r="G373" s="47" t="n">
        <f aca="false">'Daily KPI Entry'!G374</f>
        <v>0</v>
      </c>
      <c r="H373" s="47" t="str">
        <f aca="false">'Daily KPI Entry'!H374</f>
        <v/>
      </c>
      <c r="I373" s="47" t="n">
        <f aca="false">'Daily KPI Entry'!I374</f>
        <v>0</v>
      </c>
      <c r="J373" s="47" t="n">
        <f aca="false">'Daily KPI Entry'!J374</f>
        <v>0</v>
      </c>
      <c r="K373" s="47" t="n">
        <f aca="false">'Daily KPI Entry'!K374</f>
        <v>0</v>
      </c>
      <c r="L373" s="47" t="n">
        <f aca="false">'Daily KPI Entry'!L374</f>
        <v>0</v>
      </c>
      <c r="M373" s="47" t="n">
        <f aca="false">'Daily KPI Entry'!M374</f>
        <v>0</v>
      </c>
      <c r="N373" s="49" t="n">
        <f aca="false">'Daily KPI Entry'!N374</f>
        <v>0</v>
      </c>
      <c r="O373" s="49" t="n">
        <f aca="false">'Daily KPI Entry'!O374</f>
        <v>0</v>
      </c>
      <c r="P373" s="49" t="str">
        <f aca="false">IF(OR(N373="",O373=""),"",IFERROR(O373/N373*100,0))</f>
        <v/>
      </c>
      <c r="Q373" s="47" t="n">
        <f aca="false">'Daily KPI Entry'!Q374</f>
        <v>8</v>
      </c>
      <c r="R373" s="47" t="str">
        <f aca="false">IF(J373="","",Q373*J373)</f>
        <v/>
      </c>
      <c r="S373" s="49" t="n">
        <f aca="false">'Daily KPI Entry'!S374</f>
        <v>0</v>
      </c>
      <c r="T373" s="49" t="str">
        <f aca="false">IF(OR(R373="",S373=""),"",IFERROR(S373/R373*100,0))</f>
        <v/>
      </c>
      <c r="U373" s="49" t="str">
        <f aca="false">IF(OR(O373="",L373="",M373="",S373="",M373=0),"",IFERROR(O373/(L373*60*S373/(M373*36))*100,0))</f>
        <v/>
      </c>
      <c r="V373" s="49" t="n">
        <f aca="false">'Daily KPI Entry'!V374</f>
        <v>0</v>
      </c>
      <c r="W373" s="49" t="str">
        <f aca="false">IF(O373="","",IFERROR(V373/O373*100,0))</f>
        <v/>
      </c>
      <c r="X373" s="49" t="n">
        <f aca="false">'Daily KPI Entry'!X374</f>
        <v>0</v>
      </c>
      <c r="Y373" s="49" t="n">
        <f aca="false">'Daily KPI Entry'!Y374</f>
        <v>0</v>
      </c>
      <c r="Z373" s="49" t="n">
        <f aca="false">'Daily KPI Entry'!Z374</f>
        <v>0</v>
      </c>
      <c r="AA373" s="49" t="n">
        <f aca="false">'Daily KPI Entry'!AA374</f>
        <v>0</v>
      </c>
      <c r="AB373" s="49" t="n">
        <f aca="false">'Daily KPI Entry'!AB374</f>
        <v>0</v>
      </c>
      <c r="AC373" s="49" t="n">
        <f aca="false">'Daily KPI Entry'!AC374</f>
        <v>0</v>
      </c>
      <c r="AD373" s="49" t="n">
        <f aca="false">'Daily KPI Entry'!AD374</f>
        <v>0</v>
      </c>
      <c r="AE373" s="49" t="n">
        <f aca="false">'Daily KPI Entry'!AE374</f>
        <v>0</v>
      </c>
      <c r="AF373" s="47" t="str">
        <f aca="false">IF(O373="","",SUM(X373:AE373))</f>
        <v/>
      </c>
      <c r="AG373" s="49" t="str">
        <f aca="false">IF(O373="","",IFERROR(AF373/O373*1000,0))</f>
        <v/>
      </c>
      <c r="AH373" s="49" t="n">
        <f aca="false">'Daily KPI Entry'!AH374</f>
        <v>0</v>
      </c>
      <c r="AI373" s="49" t="n">
        <f aca="false">'Daily KPI Entry'!AI374</f>
        <v>0</v>
      </c>
      <c r="AJ373" s="49" t="n">
        <f aca="false">'Daily KPI Entry'!AJ374</f>
        <v>0</v>
      </c>
      <c r="AK373" s="47" t="n">
        <f aca="false">'Daily KPI Entry'!AK374</f>
        <v>0</v>
      </c>
      <c r="AL373" s="47" t="n">
        <f aca="false">'Daily KPI Entry'!AL374</f>
        <v>0</v>
      </c>
      <c r="AM373" s="47" t="n">
        <f aca="false">'Daily KPI Entry'!AM374</f>
        <v>0</v>
      </c>
      <c r="AN373" s="49" t="str">
        <f aca="false">IF(P373="","",MIN(120,P373))</f>
        <v/>
      </c>
      <c r="AO373" s="49" t="str">
        <f aca="false">IF(U373="","",MIN(120,U373))</f>
        <v/>
      </c>
      <c r="AP373" s="49" t="str">
        <f aca="false">IF(R373="","",MIN(120,IFERROR(S373/R373*100,0)))</f>
        <v/>
      </c>
      <c r="AQ373" s="49" t="str">
        <f aca="false">IF(W373="","",MIN(120,IF(W373=0,120,100*(INDEX('Standards &amp; Scoring'!$E$5:$E$13,MATCH("Quality / Rejection",'Standards &amp; Scoring'!$A$5:$A$13,0))/W373))))</f>
        <v/>
      </c>
      <c r="AR373" s="49" t="str">
        <f aca="false">IF(AG373="","",MIN(120,IF(AG373=0,120,100*(INDEX('Standards &amp; Scoring'!$E$5:$E$13,MATCH("Fault Control",'Standards &amp; Scoring'!$A$5:$A$13,0))/AG373))))</f>
        <v/>
      </c>
      <c r="AS373" s="49" t="str">
        <f aca="false">IF(O373="","",MIN(120,IF(SUMIFS('Fault &amp; Downtime Entry'!$L$6:$L$1005,'Fault &amp; Downtime Entry'!$E$6:$E$1005,G373,'Fault &amp; Downtime Entry'!$B$6:$B$1005,B373)=0,120,100*(INDEX('Standards &amp; Scoring'!$E$5:$E$13,MATCH("Downtime Control",'Standards &amp; Scoring'!$A$5:$A$13,0))/IFERROR(SUMIFS('Fault &amp; Downtime Entry'!$L$6:$L$1005,'Fault &amp; Downtime Entry'!$E$6:$E$1005,G373,'Fault &amp; Downtime Entry'!$B$6:$B$1005,B373)/O373*1000,999999)))))</f>
        <v/>
      </c>
      <c r="AT373" s="49" t="n">
        <f aca="false">IF(COUNTA(AH373,AJ373)=0,"",MIN(120,IF(AND(AH373&lt;&gt;"",AJ373&lt;&gt;""),AVERAGE(AH373,AJ373),IF(AH373&lt;&gt;"",AH373,AJ373))))</f>
        <v>0</v>
      </c>
      <c r="AU373" s="49" t="str">
        <f aca="false">IF(AI373="","",MIN(120,AI373))</f>
        <v/>
      </c>
      <c r="AV373" s="49" t="str">
        <f aca="false">IF(AJ373="","",MIN(120,AJ373))</f>
        <v/>
      </c>
      <c r="AW373" s="50" t="str">
        <f aca="false">IF(COUNT(AN373:AV373)&lt;9,"",(AN373*'Standards &amp; Scoring'!$D$5+AO373*'Standards &amp; Scoring'!$D$6+AP373*'Standards &amp; Scoring'!$D$7+AQ373*'Standards &amp; Scoring'!$D$8+AR373*'Standards &amp; Scoring'!$D$9+AS373*'Standards &amp; Scoring'!$D$10+AT373*'Standards &amp; Scoring'!$D$11+AU373*'Standards &amp; Scoring'!$D$12+AV373*'Standards &amp; Scoring'!$D$13)/10000)</f>
        <v/>
      </c>
      <c r="AX373" s="47" t="str">
        <f aca="false">IF(AW373="","",IF(AW373&gt;=1.05,"A+",IF(AW373&gt;=1,"A",IF(AW373&gt;=0.95,"B+",IF(AW373&gt;=0.9,"B","C")))))</f>
        <v/>
      </c>
      <c r="AY373" s="47" t="str">
        <f aca="false">IF(AX373="","",IF(AX373="A+",1800,IF(AX373="A",1600,IF(AX373="B+",1400,IF(AX373="B",1200,0)))))</f>
        <v/>
      </c>
      <c r="AZ373" s="49" t="str">
        <f aca="false">IF(OR(L373="",M373="",S373="",M373=0),"",IFERROR(L373*60*S373/(M373*36),0))</f>
        <v/>
      </c>
    </row>
    <row r="374" customFormat="false" ht="15" hidden="false" customHeight="true" outlineLevel="0" collapsed="false">
      <c r="A374" s="47" t="n">
        <f aca="false">'Daily KPI Entry'!A375</f>
        <v>0</v>
      </c>
      <c r="B374" s="48" t="n">
        <f aca="false">'Daily KPI Entry'!B375</f>
        <v>0</v>
      </c>
      <c r="C374" s="47" t="n">
        <f aca="false">'Daily KPI Entry'!C375</f>
        <v>0</v>
      </c>
      <c r="D374" s="47" t="n">
        <f aca="false">'Daily KPI Entry'!D375</f>
        <v>0</v>
      </c>
      <c r="E374" s="47" t="n">
        <f aca="false">'Daily KPI Entry'!E375</f>
        <v>0</v>
      </c>
      <c r="F374" s="47" t="n">
        <f aca="false">'Daily KPI Entry'!F375</f>
        <v>0</v>
      </c>
      <c r="G374" s="47" t="n">
        <f aca="false">'Daily KPI Entry'!G375</f>
        <v>0</v>
      </c>
      <c r="H374" s="47" t="str">
        <f aca="false">'Daily KPI Entry'!H375</f>
        <v/>
      </c>
      <c r="I374" s="47" t="n">
        <f aca="false">'Daily KPI Entry'!I375</f>
        <v>0</v>
      </c>
      <c r="J374" s="47" t="n">
        <f aca="false">'Daily KPI Entry'!J375</f>
        <v>0</v>
      </c>
      <c r="K374" s="47" t="n">
        <f aca="false">'Daily KPI Entry'!K375</f>
        <v>0</v>
      </c>
      <c r="L374" s="47" t="n">
        <f aca="false">'Daily KPI Entry'!L375</f>
        <v>0</v>
      </c>
      <c r="M374" s="47" t="n">
        <f aca="false">'Daily KPI Entry'!M375</f>
        <v>0</v>
      </c>
      <c r="N374" s="49" t="n">
        <f aca="false">'Daily KPI Entry'!N375</f>
        <v>0</v>
      </c>
      <c r="O374" s="49" t="n">
        <f aca="false">'Daily KPI Entry'!O375</f>
        <v>0</v>
      </c>
      <c r="P374" s="49" t="str">
        <f aca="false">IF(OR(N374="",O374=""),"",IFERROR(O374/N374*100,0))</f>
        <v/>
      </c>
      <c r="Q374" s="47" t="n">
        <f aca="false">'Daily KPI Entry'!Q375</f>
        <v>8</v>
      </c>
      <c r="R374" s="47" t="str">
        <f aca="false">IF(J374="","",Q374*J374)</f>
        <v/>
      </c>
      <c r="S374" s="49" t="n">
        <f aca="false">'Daily KPI Entry'!S375</f>
        <v>0</v>
      </c>
      <c r="T374" s="49" t="str">
        <f aca="false">IF(OR(R374="",S374=""),"",IFERROR(S374/R374*100,0))</f>
        <v/>
      </c>
      <c r="U374" s="49" t="str">
        <f aca="false">IF(OR(O374="",L374="",M374="",S374="",M374=0),"",IFERROR(O374/(L374*60*S374/(M374*36))*100,0))</f>
        <v/>
      </c>
      <c r="V374" s="49" t="n">
        <f aca="false">'Daily KPI Entry'!V375</f>
        <v>0</v>
      </c>
      <c r="W374" s="49" t="str">
        <f aca="false">IF(O374="","",IFERROR(V374/O374*100,0))</f>
        <v/>
      </c>
      <c r="X374" s="49" t="n">
        <f aca="false">'Daily KPI Entry'!X375</f>
        <v>0</v>
      </c>
      <c r="Y374" s="49" t="n">
        <f aca="false">'Daily KPI Entry'!Y375</f>
        <v>0</v>
      </c>
      <c r="Z374" s="49" t="n">
        <f aca="false">'Daily KPI Entry'!Z375</f>
        <v>0</v>
      </c>
      <c r="AA374" s="49" t="n">
        <f aca="false">'Daily KPI Entry'!AA375</f>
        <v>0</v>
      </c>
      <c r="AB374" s="49" t="n">
        <f aca="false">'Daily KPI Entry'!AB375</f>
        <v>0</v>
      </c>
      <c r="AC374" s="49" t="n">
        <f aca="false">'Daily KPI Entry'!AC375</f>
        <v>0</v>
      </c>
      <c r="AD374" s="49" t="n">
        <f aca="false">'Daily KPI Entry'!AD375</f>
        <v>0</v>
      </c>
      <c r="AE374" s="49" t="n">
        <f aca="false">'Daily KPI Entry'!AE375</f>
        <v>0</v>
      </c>
      <c r="AF374" s="47" t="str">
        <f aca="false">IF(O374="","",SUM(X374:AE374))</f>
        <v/>
      </c>
      <c r="AG374" s="49" t="str">
        <f aca="false">IF(O374="","",IFERROR(AF374/O374*1000,0))</f>
        <v/>
      </c>
      <c r="AH374" s="49" t="n">
        <f aca="false">'Daily KPI Entry'!AH375</f>
        <v>0</v>
      </c>
      <c r="AI374" s="49" t="n">
        <f aca="false">'Daily KPI Entry'!AI375</f>
        <v>0</v>
      </c>
      <c r="AJ374" s="49" t="n">
        <f aca="false">'Daily KPI Entry'!AJ375</f>
        <v>0</v>
      </c>
      <c r="AK374" s="47" t="n">
        <f aca="false">'Daily KPI Entry'!AK375</f>
        <v>0</v>
      </c>
      <c r="AL374" s="47" t="n">
        <f aca="false">'Daily KPI Entry'!AL375</f>
        <v>0</v>
      </c>
      <c r="AM374" s="47" t="n">
        <f aca="false">'Daily KPI Entry'!AM375</f>
        <v>0</v>
      </c>
      <c r="AN374" s="49" t="str">
        <f aca="false">IF(P374="","",MIN(120,P374))</f>
        <v/>
      </c>
      <c r="AO374" s="49" t="str">
        <f aca="false">IF(U374="","",MIN(120,U374))</f>
        <v/>
      </c>
      <c r="AP374" s="49" t="str">
        <f aca="false">IF(R374="","",MIN(120,IFERROR(S374/R374*100,0)))</f>
        <v/>
      </c>
      <c r="AQ374" s="49" t="str">
        <f aca="false">IF(W374="","",MIN(120,IF(W374=0,120,100*(INDEX('Standards &amp; Scoring'!$E$5:$E$13,MATCH("Quality / Rejection",'Standards &amp; Scoring'!$A$5:$A$13,0))/W374))))</f>
        <v/>
      </c>
      <c r="AR374" s="49" t="str">
        <f aca="false">IF(AG374="","",MIN(120,IF(AG374=0,120,100*(INDEX('Standards &amp; Scoring'!$E$5:$E$13,MATCH("Fault Control",'Standards &amp; Scoring'!$A$5:$A$13,0))/AG374))))</f>
        <v/>
      </c>
      <c r="AS374" s="49" t="str">
        <f aca="false">IF(O374="","",MIN(120,IF(SUMIFS('Fault &amp; Downtime Entry'!$L$6:$L$1005,'Fault &amp; Downtime Entry'!$E$6:$E$1005,G374,'Fault &amp; Downtime Entry'!$B$6:$B$1005,B374)=0,120,100*(INDEX('Standards &amp; Scoring'!$E$5:$E$13,MATCH("Downtime Control",'Standards &amp; Scoring'!$A$5:$A$13,0))/IFERROR(SUMIFS('Fault &amp; Downtime Entry'!$L$6:$L$1005,'Fault &amp; Downtime Entry'!$E$6:$E$1005,G374,'Fault &amp; Downtime Entry'!$B$6:$B$1005,B374)/O374*1000,999999)))))</f>
        <v/>
      </c>
      <c r="AT374" s="49" t="n">
        <f aca="false">IF(COUNTA(AH374,AJ374)=0,"",MIN(120,IF(AND(AH374&lt;&gt;"",AJ374&lt;&gt;""),AVERAGE(AH374,AJ374),IF(AH374&lt;&gt;"",AH374,AJ374))))</f>
        <v>0</v>
      </c>
      <c r="AU374" s="49" t="str">
        <f aca="false">IF(AI374="","",MIN(120,AI374))</f>
        <v/>
      </c>
      <c r="AV374" s="49" t="str">
        <f aca="false">IF(AJ374="","",MIN(120,AJ374))</f>
        <v/>
      </c>
      <c r="AW374" s="50" t="str">
        <f aca="false">IF(COUNT(AN374:AV374)&lt;9,"",(AN374*'Standards &amp; Scoring'!$D$5+AO374*'Standards &amp; Scoring'!$D$6+AP374*'Standards &amp; Scoring'!$D$7+AQ374*'Standards &amp; Scoring'!$D$8+AR374*'Standards &amp; Scoring'!$D$9+AS374*'Standards &amp; Scoring'!$D$10+AT374*'Standards &amp; Scoring'!$D$11+AU374*'Standards &amp; Scoring'!$D$12+AV374*'Standards &amp; Scoring'!$D$13)/10000)</f>
        <v/>
      </c>
      <c r="AX374" s="47" t="str">
        <f aca="false">IF(AW374="","",IF(AW374&gt;=1.05,"A+",IF(AW374&gt;=1,"A",IF(AW374&gt;=0.95,"B+",IF(AW374&gt;=0.9,"B","C")))))</f>
        <v/>
      </c>
      <c r="AY374" s="47" t="str">
        <f aca="false">IF(AX374="","",IF(AX374="A+",1800,IF(AX374="A",1600,IF(AX374="B+",1400,IF(AX374="B",1200,0)))))</f>
        <v/>
      </c>
      <c r="AZ374" s="49" t="str">
        <f aca="false">IF(OR(L374="",M374="",S374="",M374=0),"",IFERROR(L374*60*S374/(M374*36),0))</f>
        <v/>
      </c>
    </row>
    <row r="375" customFormat="false" ht="15" hidden="false" customHeight="true" outlineLevel="0" collapsed="false">
      <c r="A375" s="47" t="n">
        <f aca="false">'Daily KPI Entry'!A376</f>
        <v>0</v>
      </c>
      <c r="B375" s="48" t="n">
        <f aca="false">'Daily KPI Entry'!B376</f>
        <v>0</v>
      </c>
      <c r="C375" s="47" t="n">
        <f aca="false">'Daily KPI Entry'!C376</f>
        <v>0</v>
      </c>
      <c r="D375" s="47" t="n">
        <f aca="false">'Daily KPI Entry'!D376</f>
        <v>0</v>
      </c>
      <c r="E375" s="47" t="n">
        <f aca="false">'Daily KPI Entry'!E376</f>
        <v>0</v>
      </c>
      <c r="F375" s="47" t="n">
        <f aca="false">'Daily KPI Entry'!F376</f>
        <v>0</v>
      </c>
      <c r="G375" s="47" t="n">
        <f aca="false">'Daily KPI Entry'!G376</f>
        <v>0</v>
      </c>
      <c r="H375" s="47" t="str">
        <f aca="false">'Daily KPI Entry'!H376</f>
        <v/>
      </c>
      <c r="I375" s="47" t="n">
        <f aca="false">'Daily KPI Entry'!I376</f>
        <v>0</v>
      </c>
      <c r="J375" s="47" t="n">
        <f aca="false">'Daily KPI Entry'!J376</f>
        <v>0</v>
      </c>
      <c r="K375" s="47" t="n">
        <f aca="false">'Daily KPI Entry'!K376</f>
        <v>0</v>
      </c>
      <c r="L375" s="47" t="n">
        <f aca="false">'Daily KPI Entry'!L376</f>
        <v>0</v>
      </c>
      <c r="M375" s="47" t="n">
        <f aca="false">'Daily KPI Entry'!M376</f>
        <v>0</v>
      </c>
      <c r="N375" s="49" t="n">
        <f aca="false">'Daily KPI Entry'!N376</f>
        <v>0</v>
      </c>
      <c r="O375" s="49" t="n">
        <f aca="false">'Daily KPI Entry'!O376</f>
        <v>0</v>
      </c>
      <c r="P375" s="49" t="str">
        <f aca="false">IF(OR(N375="",O375=""),"",IFERROR(O375/N375*100,0))</f>
        <v/>
      </c>
      <c r="Q375" s="47" t="n">
        <f aca="false">'Daily KPI Entry'!Q376</f>
        <v>8</v>
      </c>
      <c r="R375" s="47" t="str">
        <f aca="false">IF(J375="","",Q375*J375)</f>
        <v/>
      </c>
      <c r="S375" s="49" t="n">
        <f aca="false">'Daily KPI Entry'!S376</f>
        <v>0</v>
      </c>
      <c r="T375" s="49" t="str">
        <f aca="false">IF(OR(R375="",S375=""),"",IFERROR(S375/R375*100,0))</f>
        <v/>
      </c>
      <c r="U375" s="49" t="str">
        <f aca="false">IF(OR(O375="",L375="",M375="",S375="",M375=0),"",IFERROR(O375/(L375*60*S375/(M375*36))*100,0))</f>
        <v/>
      </c>
      <c r="V375" s="49" t="n">
        <f aca="false">'Daily KPI Entry'!V376</f>
        <v>0</v>
      </c>
      <c r="W375" s="49" t="str">
        <f aca="false">IF(O375="","",IFERROR(V375/O375*100,0))</f>
        <v/>
      </c>
      <c r="X375" s="49" t="n">
        <f aca="false">'Daily KPI Entry'!X376</f>
        <v>0</v>
      </c>
      <c r="Y375" s="49" t="n">
        <f aca="false">'Daily KPI Entry'!Y376</f>
        <v>0</v>
      </c>
      <c r="Z375" s="49" t="n">
        <f aca="false">'Daily KPI Entry'!Z376</f>
        <v>0</v>
      </c>
      <c r="AA375" s="49" t="n">
        <f aca="false">'Daily KPI Entry'!AA376</f>
        <v>0</v>
      </c>
      <c r="AB375" s="49" t="n">
        <f aca="false">'Daily KPI Entry'!AB376</f>
        <v>0</v>
      </c>
      <c r="AC375" s="49" t="n">
        <f aca="false">'Daily KPI Entry'!AC376</f>
        <v>0</v>
      </c>
      <c r="AD375" s="49" t="n">
        <f aca="false">'Daily KPI Entry'!AD376</f>
        <v>0</v>
      </c>
      <c r="AE375" s="49" t="n">
        <f aca="false">'Daily KPI Entry'!AE376</f>
        <v>0</v>
      </c>
      <c r="AF375" s="47" t="str">
        <f aca="false">IF(O375="","",SUM(X375:AE375))</f>
        <v/>
      </c>
      <c r="AG375" s="49" t="str">
        <f aca="false">IF(O375="","",IFERROR(AF375/O375*1000,0))</f>
        <v/>
      </c>
      <c r="AH375" s="49" t="n">
        <f aca="false">'Daily KPI Entry'!AH376</f>
        <v>0</v>
      </c>
      <c r="AI375" s="49" t="n">
        <f aca="false">'Daily KPI Entry'!AI376</f>
        <v>0</v>
      </c>
      <c r="AJ375" s="49" t="n">
        <f aca="false">'Daily KPI Entry'!AJ376</f>
        <v>0</v>
      </c>
      <c r="AK375" s="47" t="n">
        <f aca="false">'Daily KPI Entry'!AK376</f>
        <v>0</v>
      </c>
      <c r="AL375" s="47" t="n">
        <f aca="false">'Daily KPI Entry'!AL376</f>
        <v>0</v>
      </c>
      <c r="AM375" s="47" t="n">
        <f aca="false">'Daily KPI Entry'!AM376</f>
        <v>0</v>
      </c>
      <c r="AN375" s="49" t="str">
        <f aca="false">IF(P375="","",MIN(120,P375))</f>
        <v/>
      </c>
      <c r="AO375" s="49" t="str">
        <f aca="false">IF(U375="","",MIN(120,U375))</f>
        <v/>
      </c>
      <c r="AP375" s="49" t="str">
        <f aca="false">IF(R375="","",MIN(120,IFERROR(S375/R375*100,0)))</f>
        <v/>
      </c>
      <c r="AQ375" s="49" t="str">
        <f aca="false">IF(W375="","",MIN(120,IF(W375=0,120,100*(INDEX('Standards &amp; Scoring'!$E$5:$E$13,MATCH("Quality / Rejection",'Standards &amp; Scoring'!$A$5:$A$13,0))/W375))))</f>
        <v/>
      </c>
      <c r="AR375" s="49" t="str">
        <f aca="false">IF(AG375="","",MIN(120,IF(AG375=0,120,100*(INDEX('Standards &amp; Scoring'!$E$5:$E$13,MATCH("Fault Control",'Standards &amp; Scoring'!$A$5:$A$13,0))/AG375))))</f>
        <v/>
      </c>
      <c r="AS375" s="49" t="str">
        <f aca="false">IF(O375="","",MIN(120,IF(SUMIFS('Fault &amp; Downtime Entry'!$L$6:$L$1005,'Fault &amp; Downtime Entry'!$E$6:$E$1005,G375,'Fault &amp; Downtime Entry'!$B$6:$B$1005,B375)=0,120,100*(INDEX('Standards &amp; Scoring'!$E$5:$E$13,MATCH("Downtime Control",'Standards &amp; Scoring'!$A$5:$A$13,0))/IFERROR(SUMIFS('Fault &amp; Downtime Entry'!$L$6:$L$1005,'Fault &amp; Downtime Entry'!$E$6:$E$1005,G375,'Fault &amp; Downtime Entry'!$B$6:$B$1005,B375)/O375*1000,999999)))))</f>
        <v/>
      </c>
      <c r="AT375" s="49" t="n">
        <f aca="false">IF(COUNTA(AH375,AJ375)=0,"",MIN(120,IF(AND(AH375&lt;&gt;"",AJ375&lt;&gt;""),AVERAGE(AH375,AJ375),IF(AH375&lt;&gt;"",AH375,AJ375))))</f>
        <v>0</v>
      </c>
      <c r="AU375" s="49" t="str">
        <f aca="false">IF(AI375="","",MIN(120,AI375))</f>
        <v/>
      </c>
      <c r="AV375" s="49" t="str">
        <f aca="false">IF(AJ375="","",MIN(120,AJ375))</f>
        <v/>
      </c>
      <c r="AW375" s="50" t="str">
        <f aca="false">IF(COUNT(AN375:AV375)&lt;9,"",(AN375*'Standards &amp; Scoring'!$D$5+AO375*'Standards &amp; Scoring'!$D$6+AP375*'Standards &amp; Scoring'!$D$7+AQ375*'Standards &amp; Scoring'!$D$8+AR375*'Standards &amp; Scoring'!$D$9+AS375*'Standards &amp; Scoring'!$D$10+AT375*'Standards &amp; Scoring'!$D$11+AU375*'Standards &amp; Scoring'!$D$12+AV375*'Standards &amp; Scoring'!$D$13)/10000)</f>
        <v/>
      </c>
      <c r="AX375" s="47" t="str">
        <f aca="false">IF(AW375="","",IF(AW375&gt;=1.05,"A+",IF(AW375&gt;=1,"A",IF(AW375&gt;=0.95,"B+",IF(AW375&gt;=0.9,"B","C")))))</f>
        <v/>
      </c>
      <c r="AY375" s="47" t="str">
        <f aca="false">IF(AX375="","",IF(AX375="A+",1800,IF(AX375="A",1600,IF(AX375="B+",1400,IF(AX375="B",1200,0)))))</f>
        <v/>
      </c>
      <c r="AZ375" s="49" t="str">
        <f aca="false">IF(OR(L375="",M375="",S375="",M375=0),"",IFERROR(L375*60*S375/(M375*36),0))</f>
        <v/>
      </c>
    </row>
    <row r="376" customFormat="false" ht="15" hidden="false" customHeight="true" outlineLevel="0" collapsed="false">
      <c r="A376" s="47" t="n">
        <f aca="false">'Daily KPI Entry'!A377</f>
        <v>0</v>
      </c>
      <c r="B376" s="48" t="n">
        <f aca="false">'Daily KPI Entry'!B377</f>
        <v>0</v>
      </c>
      <c r="C376" s="47" t="n">
        <f aca="false">'Daily KPI Entry'!C377</f>
        <v>0</v>
      </c>
      <c r="D376" s="47" t="n">
        <f aca="false">'Daily KPI Entry'!D377</f>
        <v>0</v>
      </c>
      <c r="E376" s="47" t="n">
        <f aca="false">'Daily KPI Entry'!E377</f>
        <v>0</v>
      </c>
      <c r="F376" s="47" t="n">
        <f aca="false">'Daily KPI Entry'!F377</f>
        <v>0</v>
      </c>
      <c r="G376" s="47" t="n">
        <f aca="false">'Daily KPI Entry'!G377</f>
        <v>0</v>
      </c>
      <c r="H376" s="47" t="str">
        <f aca="false">'Daily KPI Entry'!H377</f>
        <v/>
      </c>
      <c r="I376" s="47" t="n">
        <f aca="false">'Daily KPI Entry'!I377</f>
        <v>0</v>
      </c>
      <c r="J376" s="47" t="n">
        <f aca="false">'Daily KPI Entry'!J377</f>
        <v>0</v>
      </c>
      <c r="K376" s="47" t="n">
        <f aca="false">'Daily KPI Entry'!K377</f>
        <v>0</v>
      </c>
      <c r="L376" s="47" t="n">
        <f aca="false">'Daily KPI Entry'!L377</f>
        <v>0</v>
      </c>
      <c r="M376" s="47" t="n">
        <f aca="false">'Daily KPI Entry'!M377</f>
        <v>0</v>
      </c>
      <c r="N376" s="49" t="n">
        <f aca="false">'Daily KPI Entry'!N377</f>
        <v>0</v>
      </c>
      <c r="O376" s="49" t="n">
        <f aca="false">'Daily KPI Entry'!O377</f>
        <v>0</v>
      </c>
      <c r="P376" s="49" t="str">
        <f aca="false">IF(OR(N376="",O376=""),"",IFERROR(O376/N376*100,0))</f>
        <v/>
      </c>
      <c r="Q376" s="47" t="n">
        <f aca="false">'Daily KPI Entry'!Q377</f>
        <v>8</v>
      </c>
      <c r="R376" s="47" t="str">
        <f aca="false">IF(J376="","",Q376*J376)</f>
        <v/>
      </c>
      <c r="S376" s="49" t="n">
        <f aca="false">'Daily KPI Entry'!S377</f>
        <v>0</v>
      </c>
      <c r="T376" s="49" t="str">
        <f aca="false">IF(OR(R376="",S376=""),"",IFERROR(S376/R376*100,0))</f>
        <v/>
      </c>
      <c r="U376" s="49" t="str">
        <f aca="false">IF(OR(O376="",L376="",M376="",S376="",M376=0),"",IFERROR(O376/(L376*60*S376/(M376*36))*100,0))</f>
        <v/>
      </c>
      <c r="V376" s="49" t="n">
        <f aca="false">'Daily KPI Entry'!V377</f>
        <v>0</v>
      </c>
      <c r="W376" s="49" t="str">
        <f aca="false">IF(O376="","",IFERROR(V376/O376*100,0))</f>
        <v/>
      </c>
      <c r="X376" s="49" t="n">
        <f aca="false">'Daily KPI Entry'!X377</f>
        <v>0</v>
      </c>
      <c r="Y376" s="49" t="n">
        <f aca="false">'Daily KPI Entry'!Y377</f>
        <v>0</v>
      </c>
      <c r="Z376" s="49" t="n">
        <f aca="false">'Daily KPI Entry'!Z377</f>
        <v>0</v>
      </c>
      <c r="AA376" s="49" t="n">
        <f aca="false">'Daily KPI Entry'!AA377</f>
        <v>0</v>
      </c>
      <c r="AB376" s="49" t="n">
        <f aca="false">'Daily KPI Entry'!AB377</f>
        <v>0</v>
      </c>
      <c r="AC376" s="49" t="n">
        <f aca="false">'Daily KPI Entry'!AC377</f>
        <v>0</v>
      </c>
      <c r="AD376" s="49" t="n">
        <f aca="false">'Daily KPI Entry'!AD377</f>
        <v>0</v>
      </c>
      <c r="AE376" s="49" t="n">
        <f aca="false">'Daily KPI Entry'!AE377</f>
        <v>0</v>
      </c>
      <c r="AF376" s="47" t="str">
        <f aca="false">IF(O376="","",SUM(X376:AE376))</f>
        <v/>
      </c>
      <c r="AG376" s="49" t="str">
        <f aca="false">IF(O376="","",IFERROR(AF376/O376*1000,0))</f>
        <v/>
      </c>
      <c r="AH376" s="49" t="n">
        <f aca="false">'Daily KPI Entry'!AH377</f>
        <v>0</v>
      </c>
      <c r="AI376" s="49" t="n">
        <f aca="false">'Daily KPI Entry'!AI377</f>
        <v>0</v>
      </c>
      <c r="AJ376" s="49" t="n">
        <f aca="false">'Daily KPI Entry'!AJ377</f>
        <v>0</v>
      </c>
      <c r="AK376" s="47" t="n">
        <f aca="false">'Daily KPI Entry'!AK377</f>
        <v>0</v>
      </c>
      <c r="AL376" s="47" t="n">
        <f aca="false">'Daily KPI Entry'!AL377</f>
        <v>0</v>
      </c>
      <c r="AM376" s="47" t="n">
        <f aca="false">'Daily KPI Entry'!AM377</f>
        <v>0</v>
      </c>
      <c r="AN376" s="49" t="str">
        <f aca="false">IF(P376="","",MIN(120,P376))</f>
        <v/>
      </c>
      <c r="AO376" s="49" t="str">
        <f aca="false">IF(U376="","",MIN(120,U376))</f>
        <v/>
      </c>
      <c r="AP376" s="49" t="str">
        <f aca="false">IF(R376="","",MIN(120,IFERROR(S376/R376*100,0)))</f>
        <v/>
      </c>
      <c r="AQ376" s="49" t="str">
        <f aca="false">IF(W376="","",MIN(120,IF(W376=0,120,100*(INDEX('Standards &amp; Scoring'!$E$5:$E$13,MATCH("Quality / Rejection",'Standards &amp; Scoring'!$A$5:$A$13,0))/W376))))</f>
        <v/>
      </c>
      <c r="AR376" s="49" t="str">
        <f aca="false">IF(AG376="","",MIN(120,IF(AG376=0,120,100*(INDEX('Standards &amp; Scoring'!$E$5:$E$13,MATCH("Fault Control",'Standards &amp; Scoring'!$A$5:$A$13,0))/AG376))))</f>
        <v/>
      </c>
      <c r="AS376" s="49" t="str">
        <f aca="false">IF(O376="","",MIN(120,IF(SUMIFS('Fault &amp; Downtime Entry'!$L$6:$L$1005,'Fault &amp; Downtime Entry'!$E$6:$E$1005,G376,'Fault &amp; Downtime Entry'!$B$6:$B$1005,B376)=0,120,100*(INDEX('Standards &amp; Scoring'!$E$5:$E$13,MATCH("Downtime Control",'Standards &amp; Scoring'!$A$5:$A$13,0))/IFERROR(SUMIFS('Fault &amp; Downtime Entry'!$L$6:$L$1005,'Fault &amp; Downtime Entry'!$E$6:$E$1005,G376,'Fault &amp; Downtime Entry'!$B$6:$B$1005,B376)/O376*1000,999999)))))</f>
        <v/>
      </c>
      <c r="AT376" s="49" t="n">
        <f aca="false">IF(COUNTA(AH376,AJ376)=0,"",MIN(120,IF(AND(AH376&lt;&gt;"",AJ376&lt;&gt;""),AVERAGE(AH376,AJ376),IF(AH376&lt;&gt;"",AH376,AJ376))))</f>
        <v>0</v>
      </c>
      <c r="AU376" s="49" t="str">
        <f aca="false">IF(AI376="","",MIN(120,AI376))</f>
        <v/>
      </c>
      <c r="AV376" s="49" t="str">
        <f aca="false">IF(AJ376="","",MIN(120,AJ376))</f>
        <v/>
      </c>
      <c r="AW376" s="50" t="str">
        <f aca="false">IF(COUNT(AN376:AV376)&lt;9,"",(AN376*'Standards &amp; Scoring'!$D$5+AO376*'Standards &amp; Scoring'!$D$6+AP376*'Standards &amp; Scoring'!$D$7+AQ376*'Standards &amp; Scoring'!$D$8+AR376*'Standards &amp; Scoring'!$D$9+AS376*'Standards &amp; Scoring'!$D$10+AT376*'Standards &amp; Scoring'!$D$11+AU376*'Standards &amp; Scoring'!$D$12+AV376*'Standards &amp; Scoring'!$D$13)/10000)</f>
        <v/>
      </c>
      <c r="AX376" s="47" t="str">
        <f aca="false">IF(AW376="","",IF(AW376&gt;=1.05,"A+",IF(AW376&gt;=1,"A",IF(AW376&gt;=0.95,"B+",IF(AW376&gt;=0.9,"B","C")))))</f>
        <v/>
      </c>
      <c r="AY376" s="47" t="str">
        <f aca="false">IF(AX376="","",IF(AX376="A+",1800,IF(AX376="A",1600,IF(AX376="B+",1400,IF(AX376="B",1200,0)))))</f>
        <v/>
      </c>
      <c r="AZ376" s="49" t="str">
        <f aca="false">IF(OR(L376="",M376="",S376="",M376=0),"",IFERROR(L376*60*S376/(M376*36),0))</f>
        <v/>
      </c>
    </row>
    <row r="377" customFormat="false" ht="15" hidden="false" customHeight="true" outlineLevel="0" collapsed="false">
      <c r="A377" s="47" t="n">
        <f aca="false">'Daily KPI Entry'!A378</f>
        <v>0</v>
      </c>
      <c r="B377" s="48" t="n">
        <f aca="false">'Daily KPI Entry'!B378</f>
        <v>0</v>
      </c>
      <c r="C377" s="47" t="n">
        <f aca="false">'Daily KPI Entry'!C378</f>
        <v>0</v>
      </c>
      <c r="D377" s="47" t="n">
        <f aca="false">'Daily KPI Entry'!D378</f>
        <v>0</v>
      </c>
      <c r="E377" s="47" t="n">
        <f aca="false">'Daily KPI Entry'!E378</f>
        <v>0</v>
      </c>
      <c r="F377" s="47" t="n">
        <f aca="false">'Daily KPI Entry'!F378</f>
        <v>0</v>
      </c>
      <c r="G377" s="47" t="n">
        <f aca="false">'Daily KPI Entry'!G378</f>
        <v>0</v>
      </c>
      <c r="H377" s="47" t="str">
        <f aca="false">'Daily KPI Entry'!H378</f>
        <v/>
      </c>
      <c r="I377" s="47" t="n">
        <f aca="false">'Daily KPI Entry'!I378</f>
        <v>0</v>
      </c>
      <c r="J377" s="47" t="n">
        <f aca="false">'Daily KPI Entry'!J378</f>
        <v>0</v>
      </c>
      <c r="K377" s="47" t="n">
        <f aca="false">'Daily KPI Entry'!K378</f>
        <v>0</v>
      </c>
      <c r="L377" s="47" t="n">
        <f aca="false">'Daily KPI Entry'!L378</f>
        <v>0</v>
      </c>
      <c r="M377" s="47" t="n">
        <f aca="false">'Daily KPI Entry'!M378</f>
        <v>0</v>
      </c>
      <c r="N377" s="49" t="n">
        <f aca="false">'Daily KPI Entry'!N378</f>
        <v>0</v>
      </c>
      <c r="O377" s="49" t="n">
        <f aca="false">'Daily KPI Entry'!O378</f>
        <v>0</v>
      </c>
      <c r="P377" s="49" t="str">
        <f aca="false">IF(OR(N377="",O377=""),"",IFERROR(O377/N377*100,0))</f>
        <v/>
      </c>
      <c r="Q377" s="47" t="n">
        <f aca="false">'Daily KPI Entry'!Q378</f>
        <v>8</v>
      </c>
      <c r="R377" s="47" t="str">
        <f aca="false">IF(J377="","",Q377*J377)</f>
        <v/>
      </c>
      <c r="S377" s="49" t="n">
        <f aca="false">'Daily KPI Entry'!S378</f>
        <v>0</v>
      </c>
      <c r="T377" s="49" t="str">
        <f aca="false">IF(OR(R377="",S377=""),"",IFERROR(S377/R377*100,0))</f>
        <v/>
      </c>
      <c r="U377" s="49" t="str">
        <f aca="false">IF(OR(O377="",L377="",M377="",S377="",M377=0),"",IFERROR(O377/(L377*60*S377/(M377*36))*100,0))</f>
        <v/>
      </c>
      <c r="V377" s="49" t="n">
        <f aca="false">'Daily KPI Entry'!V378</f>
        <v>0</v>
      </c>
      <c r="W377" s="49" t="str">
        <f aca="false">IF(O377="","",IFERROR(V377/O377*100,0))</f>
        <v/>
      </c>
      <c r="X377" s="49" t="n">
        <f aca="false">'Daily KPI Entry'!X378</f>
        <v>0</v>
      </c>
      <c r="Y377" s="49" t="n">
        <f aca="false">'Daily KPI Entry'!Y378</f>
        <v>0</v>
      </c>
      <c r="Z377" s="49" t="n">
        <f aca="false">'Daily KPI Entry'!Z378</f>
        <v>0</v>
      </c>
      <c r="AA377" s="49" t="n">
        <f aca="false">'Daily KPI Entry'!AA378</f>
        <v>0</v>
      </c>
      <c r="AB377" s="49" t="n">
        <f aca="false">'Daily KPI Entry'!AB378</f>
        <v>0</v>
      </c>
      <c r="AC377" s="49" t="n">
        <f aca="false">'Daily KPI Entry'!AC378</f>
        <v>0</v>
      </c>
      <c r="AD377" s="49" t="n">
        <f aca="false">'Daily KPI Entry'!AD378</f>
        <v>0</v>
      </c>
      <c r="AE377" s="49" t="n">
        <f aca="false">'Daily KPI Entry'!AE378</f>
        <v>0</v>
      </c>
      <c r="AF377" s="47" t="str">
        <f aca="false">IF(O377="","",SUM(X377:AE377))</f>
        <v/>
      </c>
      <c r="AG377" s="49" t="str">
        <f aca="false">IF(O377="","",IFERROR(AF377/O377*1000,0))</f>
        <v/>
      </c>
      <c r="AH377" s="49" t="n">
        <f aca="false">'Daily KPI Entry'!AH378</f>
        <v>0</v>
      </c>
      <c r="AI377" s="49" t="n">
        <f aca="false">'Daily KPI Entry'!AI378</f>
        <v>0</v>
      </c>
      <c r="AJ377" s="49" t="n">
        <f aca="false">'Daily KPI Entry'!AJ378</f>
        <v>0</v>
      </c>
      <c r="AK377" s="47" t="n">
        <f aca="false">'Daily KPI Entry'!AK378</f>
        <v>0</v>
      </c>
      <c r="AL377" s="47" t="n">
        <f aca="false">'Daily KPI Entry'!AL378</f>
        <v>0</v>
      </c>
      <c r="AM377" s="47" t="n">
        <f aca="false">'Daily KPI Entry'!AM378</f>
        <v>0</v>
      </c>
      <c r="AN377" s="49" t="str">
        <f aca="false">IF(P377="","",MIN(120,P377))</f>
        <v/>
      </c>
      <c r="AO377" s="49" t="str">
        <f aca="false">IF(U377="","",MIN(120,U377))</f>
        <v/>
      </c>
      <c r="AP377" s="49" t="str">
        <f aca="false">IF(R377="","",MIN(120,IFERROR(S377/R377*100,0)))</f>
        <v/>
      </c>
      <c r="AQ377" s="49" t="str">
        <f aca="false">IF(W377="","",MIN(120,IF(W377=0,120,100*(INDEX('Standards &amp; Scoring'!$E$5:$E$13,MATCH("Quality / Rejection",'Standards &amp; Scoring'!$A$5:$A$13,0))/W377))))</f>
        <v/>
      </c>
      <c r="AR377" s="49" t="str">
        <f aca="false">IF(AG377="","",MIN(120,IF(AG377=0,120,100*(INDEX('Standards &amp; Scoring'!$E$5:$E$13,MATCH("Fault Control",'Standards &amp; Scoring'!$A$5:$A$13,0))/AG377))))</f>
        <v/>
      </c>
      <c r="AS377" s="49" t="str">
        <f aca="false">IF(O377="","",MIN(120,IF(SUMIFS('Fault &amp; Downtime Entry'!$L$6:$L$1005,'Fault &amp; Downtime Entry'!$E$6:$E$1005,G377,'Fault &amp; Downtime Entry'!$B$6:$B$1005,B377)=0,120,100*(INDEX('Standards &amp; Scoring'!$E$5:$E$13,MATCH("Downtime Control",'Standards &amp; Scoring'!$A$5:$A$13,0))/IFERROR(SUMIFS('Fault &amp; Downtime Entry'!$L$6:$L$1005,'Fault &amp; Downtime Entry'!$E$6:$E$1005,G377,'Fault &amp; Downtime Entry'!$B$6:$B$1005,B377)/O377*1000,999999)))))</f>
        <v/>
      </c>
      <c r="AT377" s="49" t="n">
        <f aca="false">IF(COUNTA(AH377,AJ377)=0,"",MIN(120,IF(AND(AH377&lt;&gt;"",AJ377&lt;&gt;""),AVERAGE(AH377,AJ377),IF(AH377&lt;&gt;"",AH377,AJ377))))</f>
        <v>0</v>
      </c>
      <c r="AU377" s="49" t="str">
        <f aca="false">IF(AI377="","",MIN(120,AI377))</f>
        <v/>
      </c>
      <c r="AV377" s="49" t="str">
        <f aca="false">IF(AJ377="","",MIN(120,AJ377))</f>
        <v/>
      </c>
      <c r="AW377" s="50" t="str">
        <f aca="false">IF(COUNT(AN377:AV377)&lt;9,"",(AN377*'Standards &amp; Scoring'!$D$5+AO377*'Standards &amp; Scoring'!$D$6+AP377*'Standards &amp; Scoring'!$D$7+AQ377*'Standards &amp; Scoring'!$D$8+AR377*'Standards &amp; Scoring'!$D$9+AS377*'Standards &amp; Scoring'!$D$10+AT377*'Standards &amp; Scoring'!$D$11+AU377*'Standards &amp; Scoring'!$D$12+AV377*'Standards &amp; Scoring'!$D$13)/10000)</f>
        <v/>
      </c>
      <c r="AX377" s="47" t="str">
        <f aca="false">IF(AW377="","",IF(AW377&gt;=1.05,"A+",IF(AW377&gt;=1,"A",IF(AW377&gt;=0.95,"B+",IF(AW377&gt;=0.9,"B","C")))))</f>
        <v/>
      </c>
      <c r="AY377" s="47" t="str">
        <f aca="false">IF(AX377="","",IF(AX377="A+",1800,IF(AX377="A",1600,IF(AX377="B+",1400,IF(AX377="B",1200,0)))))</f>
        <v/>
      </c>
      <c r="AZ377" s="49" t="str">
        <f aca="false">IF(OR(L377="",M377="",S377="",M377=0),"",IFERROR(L377*60*S377/(M377*36),0))</f>
        <v/>
      </c>
    </row>
    <row r="378" customFormat="false" ht="15" hidden="false" customHeight="true" outlineLevel="0" collapsed="false">
      <c r="A378" s="47" t="n">
        <f aca="false">'Daily KPI Entry'!A379</f>
        <v>0</v>
      </c>
      <c r="B378" s="48" t="n">
        <f aca="false">'Daily KPI Entry'!B379</f>
        <v>0</v>
      </c>
      <c r="C378" s="47" t="n">
        <f aca="false">'Daily KPI Entry'!C379</f>
        <v>0</v>
      </c>
      <c r="D378" s="47" t="n">
        <f aca="false">'Daily KPI Entry'!D379</f>
        <v>0</v>
      </c>
      <c r="E378" s="47" t="n">
        <f aca="false">'Daily KPI Entry'!E379</f>
        <v>0</v>
      </c>
      <c r="F378" s="47" t="n">
        <f aca="false">'Daily KPI Entry'!F379</f>
        <v>0</v>
      </c>
      <c r="G378" s="47" t="n">
        <f aca="false">'Daily KPI Entry'!G379</f>
        <v>0</v>
      </c>
      <c r="H378" s="47" t="str">
        <f aca="false">'Daily KPI Entry'!H379</f>
        <v/>
      </c>
      <c r="I378" s="47" t="n">
        <f aca="false">'Daily KPI Entry'!I379</f>
        <v>0</v>
      </c>
      <c r="J378" s="47" t="n">
        <f aca="false">'Daily KPI Entry'!J379</f>
        <v>0</v>
      </c>
      <c r="K378" s="47" t="n">
        <f aca="false">'Daily KPI Entry'!K379</f>
        <v>0</v>
      </c>
      <c r="L378" s="47" t="n">
        <f aca="false">'Daily KPI Entry'!L379</f>
        <v>0</v>
      </c>
      <c r="M378" s="47" t="n">
        <f aca="false">'Daily KPI Entry'!M379</f>
        <v>0</v>
      </c>
      <c r="N378" s="49" t="n">
        <f aca="false">'Daily KPI Entry'!N379</f>
        <v>0</v>
      </c>
      <c r="O378" s="49" t="n">
        <f aca="false">'Daily KPI Entry'!O379</f>
        <v>0</v>
      </c>
      <c r="P378" s="49" t="str">
        <f aca="false">IF(OR(N378="",O378=""),"",IFERROR(O378/N378*100,0))</f>
        <v/>
      </c>
      <c r="Q378" s="47" t="n">
        <f aca="false">'Daily KPI Entry'!Q379</f>
        <v>8</v>
      </c>
      <c r="R378" s="47" t="str">
        <f aca="false">IF(J378="","",Q378*J378)</f>
        <v/>
      </c>
      <c r="S378" s="49" t="n">
        <f aca="false">'Daily KPI Entry'!S379</f>
        <v>0</v>
      </c>
      <c r="T378" s="49" t="str">
        <f aca="false">IF(OR(R378="",S378=""),"",IFERROR(S378/R378*100,0))</f>
        <v/>
      </c>
      <c r="U378" s="49" t="str">
        <f aca="false">IF(OR(O378="",L378="",M378="",S378="",M378=0),"",IFERROR(O378/(L378*60*S378/(M378*36))*100,0))</f>
        <v/>
      </c>
      <c r="V378" s="49" t="n">
        <f aca="false">'Daily KPI Entry'!V379</f>
        <v>0</v>
      </c>
      <c r="W378" s="49" t="str">
        <f aca="false">IF(O378="","",IFERROR(V378/O378*100,0))</f>
        <v/>
      </c>
      <c r="X378" s="49" t="n">
        <f aca="false">'Daily KPI Entry'!X379</f>
        <v>0</v>
      </c>
      <c r="Y378" s="49" t="n">
        <f aca="false">'Daily KPI Entry'!Y379</f>
        <v>0</v>
      </c>
      <c r="Z378" s="49" t="n">
        <f aca="false">'Daily KPI Entry'!Z379</f>
        <v>0</v>
      </c>
      <c r="AA378" s="49" t="n">
        <f aca="false">'Daily KPI Entry'!AA379</f>
        <v>0</v>
      </c>
      <c r="AB378" s="49" t="n">
        <f aca="false">'Daily KPI Entry'!AB379</f>
        <v>0</v>
      </c>
      <c r="AC378" s="49" t="n">
        <f aca="false">'Daily KPI Entry'!AC379</f>
        <v>0</v>
      </c>
      <c r="AD378" s="49" t="n">
        <f aca="false">'Daily KPI Entry'!AD379</f>
        <v>0</v>
      </c>
      <c r="AE378" s="49" t="n">
        <f aca="false">'Daily KPI Entry'!AE379</f>
        <v>0</v>
      </c>
      <c r="AF378" s="47" t="str">
        <f aca="false">IF(O378="","",SUM(X378:AE378))</f>
        <v/>
      </c>
      <c r="AG378" s="49" t="str">
        <f aca="false">IF(O378="","",IFERROR(AF378/O378*1000,0))</f>
        <v/>
      </c>
      <c r="AH378" s="49" t="n">
        <f aca="false">'Daily KPI Entry'!AH379</f>
        <v>0</v>
      </c>
      <c r="AI378" s="49" t="n">
        <f aca="false">'Daily KPI Entry'!AI379</f>
        <v>0</v>
      </c>
      <c r="AJ378" s="49" t="n">
        <f aca="false">'Daily KPI Entry'!AJ379</f>
        <v>0</v>
      </c>
      <c r="AK378" s="47" t="n">
        <f aca="false">'Daily KPI Entry'!AK379</f>
        <v>0</v>
      </c>
      <c r="AL378" s="47" t="n">
        <f aca="false">'Daily KPI Entry'!AL379</f>
        <v>0</v>
      </c>
      <c r="AM378" s="47" t="n">
        <f aca="false">'Daily KPI Entry'!AM379</f>
        <v>0</v>
      </c>
      <c r="AN378" s="49" t="str">
        <f aca="false">IF(P378="","",MIN(120,P378))</f>
        <v/>
      </c>
      <c r="AO378" s="49" t="str">
        <f aca="false">IF(U378="","",MIN(120,U378))</f>
        <v/>
      </c>
      <c r="AP378" s="49" t="str">
        <f aca="false">IF(R378="","",MIN(120,IFERROR(S378/R378*100,0)))</f>
        <v/>
      </c>
      <c r="AQ378" s="49" t="str">
        <f aca="false">IF(W378="","",MIN(120,IF(W378=0,120,100*(INDEX('Standards &amp; Scoring'!$E$5:$E$13,MATCH("Quality / Rejection",'Standards &amp; Scoring'!$A$5:$A$13,0))/W378))))</f>
        <v/>
      </c>
      <c r="AR378" s="49" t="str">
        <f aca="false">IF(AG378="","",MIN(120,IF(AG378=0,120,100*(INDEX('Standards &amp; Scoring'!$E$5:$E$13,MATCH("Fault Control",'Standards &amp; Scoring'!$A$5:$A$13,0))/AG378))))</f>
        <v/>
      </c>
      <c r="AS378" s="49" t="str">
        <f aca="false">IF(O378="","",MIN(120,IF(SUMIFS('Fault &amp; Downtime Entry'!$L$6:$L$1005,'Fault &amp; Downtime Entry'!$E$6:$E$1005,G378,'Fault &amp; Downtime Entry'!$B$6:$B$1005,B378)=0,120,100*(INDEX('Standards &amp; Scoring'!$E$5:$E$13,MATCH("Downtime Control",'Standards &amp; Scoring'!$A$5:$A$13,0))/IFERROR(SUMIFS('Fault &amp; Downtime Entry'!$L$6:$L$1005,'Fault &amp; Downtime Entry'!$E$6:$E$1005,G378,'Fault &amp; Downtime Entry'!$B$6:$B$1005,B378)/O378*1000,999999)))))</f>
        <v/>
      </c>
      <c r="AT378" s="49" t="n">
        <f aca="false">IF(COUNTA(AH378,AJ378)=0,"",MIN(120,IF(AND(AH378&lt;&gt;"",AJ378&lt;&gt;""),AVERAGE(AH378,AJ378),IF(AH378&lt;&gt;"",AH378,AJ378))))</f>
        <v>0</v>
      </c>
      <c r="AU378" s="49" t="str">
        <f aca="false">IF(AI378="","",MIN(120,AI378))</f>
        <v/>
      </c>
      <c r="AV378" s="49" t="str">
        <f aca="false">IF(AJ378="","",MIN(120,AJ378))</f>
        <v/>
      </c>
      <c r="AW378" s="50" t="str">
        <f aca="false">IF(COUNT(AN378:AV378)&lt;9,"",(AN378*'Standards &amp; Scoring'!$D$5+AO378*'Standards &amp; Scoring'!$D$6+AP378*'Standards &amp; Scoring'!$D$7+AQ378*'Standards &amp; Scoring'!$D$8+AR378*'Standards &amp; Scoring'!$D$9+AS378*'Standards &amp; Scoring'!$D$10+AT378*'Standards &amp; Scoring'!$D$11+AU378*'Standards &amp; Scoring'!$D$12+AV378*'Standards &amp; Scoring'!$D$13)/10000)</f>
        <v/>
      </c>
      <c r="AX378" s="47" t="str">
        <f aca="false">IF(AW378="","",IF(AW378&gt;=1.05,"A+",IF(AW378&gt;=1,"A",IF(AW378&gt;=0.95,"B+",IF(AW378&gt;=0.9,"B","C")))))</f>
        <v/>
      </c>
      <c r="AY378" s="47" t="str">
        <f aca="false">IF(AX378="","",IF(AX378="A+",1800,IF(AX378="A",1600,IF(AX378="B+",1400,IF(AX378="B",1200,0)))))</f>
        <v/>
      </c>
      <c r="AZ378" s="49" t="str">
        <f aca="false">IF(OR(L378="",M378="",S378="",M378=0),"",IFERROR(L378*60*S378/(M378*36),0))</f>
        <v/>
      </c>
    </row>
    <row r="379" customFormat="false" ht="15" hidden="false" customHeight="true" outlineLevel="0" collapsed="false">
      <c r="A379" s="47" t="n">
        <f aca="false">'Daily KPI Entry'!A380</f>
        <v>0</v>
      </c>
      <c r="B379" s="48" t="n">
        <f aca="false">'Daily KPI Entry'!B380</f>
        <v>0</v>
      </c>
      <c r="C379" s="47" t="n">
        <f aca="false">'Daily KPI Entry'!C380</f>
        <v>0</v>
      </c>
      <c r="D379" s="47" t="n">
        <f aca="false">'Daily KPI Entry'!D380</f>
        <v>0</v>
      </c>
      <c r="E379" s="47" t="n">
        <f aca="false">'Daily KPI Entry'!E380</f>
        <v>0</v>
      </c>
      <c r="F379" s="47" t="n">
        <f aca="false">'Daily KPI Entry'!F380</f>
        <v>0</v>
      </c>
      <c r="G379" s="47" t="n">
        <f aca="false">'Daily KPI Entry'!G380</f>
        <v>0</v>
      </c>
      <c r="H379" s="47" t="str">
        <f aca="false">'Daily KPI Entry'!H380</f>
        <v/>
      </c>
      <c r="I379" s="47" t="n">
        <f aca="false">'Daily KPI Entry'!I380</f>
        <v>0</v>
      </c>
      <c r="J379" s="47" t="n">
        <f aca="false">'Daily KPI Entry'!J380</f>
        <v>0</v>
      </c>
      <c r="K379" s="47" t="n">
        <f aca="false">'Daily KPI Entry'!K380</f>
        <v>0</v>
      </c>
      <c r="L379" s="47" t="n">
        <f aca="false">'Daily KPI Entry'!L380</f>
        <v>0</v>
      </c>
      <c r="M379" s="47" t="n">
        <f aca="false">'Daily KPI Entry'!M380</f>
        <v>0</v>
      </c>
      <c r="N379" s="49" t="n">
        <f aca="false">'Daily KPI Entry'!N380</f>
        <v>0</v>
      </c>
      <c r="O379" s="49" t="n">
        <f aca="false">'Daily KPI Entry'!O380</f>
        <v>0</v>
      </c>
      <c r="P379" s="49" t="str">
        <f aca="false">IF(OR(N379="",O379=""),"",IFERROR(O379/N379*100,0))</f>
        <v/>
      </c>
      <c r="Q379" s="47" t="n">
        <f aca="false">'Daily KPI Entry'!Q380</f>
        <v>8</v>
      </c>
      <c r="R379" s="47" t="str">
        <f aca="false">IF(J379="","",Q379*J379)</f>
        <v/>
      </c>
      <c r="S379" s="49" t="n">
        <f aca="false">'Daily KPI Entry'!S380</f>
        <v>0</v>
      </c>
      <c r="T379" s="49" t="str">
        <f aca="false">IF(OR(R379="",S379=""),"",IFERROR(S379/R379*100,0))</f>
        <v/>
      </c>
      <c r="U379" s="49" t="str">
        <f aca="false">IF(OR(O379="",L379="",M379="",S379="",M379=0),"",IFERROR(O379/(L379*60*S379/(M379*36))*100,0))</f>
        <v/>
      </c>
      <c r="V379" s="49" t="n">
        <f aca="false">'Daily KPI Entry'!V380</f>
        <v>0</v>
      </c>
      <c r="W379" s="49" t="str">
        <f aca="false">IF(O379="","",IFERROR(V379/O379*100,0))</f>
        <v/>
      </c>
      <c r="X379" s="49" t="n">
        <f aca="false">'Daily KPI Entry'!X380</f>
        <v>0</v>
      </c>
      <c r="Y379" s="49" t="n">
        <f aca="false">'Daily KPI Entry'!Y380</f>
        <v>0</v>
      </c>
      <c r="Z379" s="49" t="n">
        <f aca="false">'Daily KPI Entry'!Z380</f>
        <v>0</v>
      </c>
      <c r="AA379" s="49" t="n">
        <f aca="false">'Daily KPI Entry'!AA380</f>
        <v>0</v>
      </c>
      <c r="AB379" s="49" t="n">
        <f aca="false">'Daily KPI Entry'!AB380</f>
        <v>0</v>
      </c>
      <c r="AC379" s="49" t="n">
        <f aca="false">'Daily KPI Entry'!AC380</f>
        <v>0</v>
      </c>
      <c r="AD379" s="49" t="n">
        <f aca="false">'Daily KPI Entry'!AD380</f>
        <v>0</v>
      </c>
      <c r="AE379" s="49" t="n">
        <f aca="false">'Daily KPI Entry'!AE380</f>
        <v>0</v>
      </c>
      <c r="AF379" s="47" t="str">
        <f aca="false">IF(O379="","",SUM(X379:AE379))</f>
        <v/>
      </c>
      <c r="AG379" s="49" t="str">
        <f aca="false">IF(O379="","",IFERROR(AF379/O379*1000,0))</f>
        <v/>
      </c>
      <c r="AH379" s="49" t="n">
        <f aca="false">'Daily KPI Entry'!AH380</f>
        <v>0</v>
      </c>
      <c r="AI379" s="49" t="n">
        <f aca="false">'Daily KPI Entry'!AI380</f>
        <v>0</v>
      </c>
      <c r="AJ379" s="49" t="n">
        <f aca="false">'Daily KPI Entry'!AJ380</f>
        <v>0</v>
      </c>
      <c r="AK379" s="47" t="n">
        <f aca="false">'Daily KPI Entry'!AK380</f>
        <v>0</v>
      </c>
      <c r="AL379" s="47" t="n">
        <f aca="false">'Daily KPI Entry'!AL380</f>
        <v>0</v>
      </c>
      <c r="AM379" s="47" t="n">
        <f aca="false">'Daily KPI Entry'!AM380</f>
        <v>0</v>
      </c>
      <c r="AN379" s="49" t="str">
        <f aca="false">IF(P379="","",MIN(120,P379))</f>
        <v/>
      </c>
      <c r="AO379" s="49" t="str">
        <f aca="false">IF(U379="","",MIN(120,U379))</f>
        <v/>
      </c>
      <c r="AP379" s="49" t="str">
        <f aca="false">IF(R379="","",MIN(120,IFERROR(S379/R379*100,0)))</f>
        <v/>
      </c>
      <c r="AQ379" s="49" t="str">
        <f aca="false">IF(W379="","",MIN(120,IF(W379=0,120,100*(INDEX('Standards &amp; Scoring'!$E$5:$E$13,MATCH("Quality / Rejection",'Standards &amp; Scoring'!$A$5:$A$13,0))/W379))))</f>
        <v/>
      </c>
      <c r="AR379" s="49" t="str">
        <f aca="false">IF(AG379="","",MIN(120,IF(AG379=0,120,100*(INDEX('Standards &amp; Scoring'!$E$5:$E$13,MATCH("Fault Control",'Standards &amp; Scoring'!$A$5:$A$13,0))/AG379))))</f>
        <v/>
      </c>
      <c r="AS379" s="49" t="str">
        <f aca="false">IF(O379="","",MIN(120,IF(SUMIFS('Fault &amp; Downtime Entry'!$L$6:$L$1005,'Fault &amp; Downtime Entry'!$E$6:$E$1005,G379,'Fault &amp; Downtime Entry'!$B$6:$B$1005,B379)=0,120,100*(INDEX('Standards &amp; Scoring'!$E$5:$E$13,MATCH("Downtime Control",'Standards &amp; Scoring'!$A$5:$A$13,0))/IFERROR(SUMIFS('Fault &amp; Downtime Entry'!$L$6:$L$1005,'Fault &amp; Downtime Entry'!$E$6:$E$1005,G379,'Fault &amp; Downtime Entry'!$B$6:$B$1005,B379)/O379*1000,999999)))))</f>
        <v/>
      </c>
      <c r="AT379" s="49" t="n">
        <f aca="false">IF(COUNTA(AH379,AJ379)=0,"",MIN(120,IF(AND(AH379&lt;&gt;"",AJ379&lt;&gt;""),AVERAGE(AH379,AJ379),IF(AH379&lt;&gt;"",AH379,AJ379))))</f>
        <v>0</v>
      </c>
      <c r="AU379" s="49" t="str">
        <f aca="false">IF(AI379="","",MIN(120,AI379))</f>
        <v/>
      </c>
      <c r="AV379" s="49" t="str">
        <f aca="false">IF(AJ379="","",MIN(120,AJ379))</f>
        <v/>
      </c>
      <c r="AW379" s="50" t="str">
        <f aca="false">IF(COUNT(AN379:AV379)&lt;9,"",(AN379*'Standards &amp; Scoring'!$D$5+AO379*'Standards &amp; Scoring'!$D$6+AP379*'Standards &amp; Scoring'!$D$7+AQ379*'Standards &amp; Scoring'!$D$8+AR379*'Standards &amp; Scoring'!$D$9+AS379*'Standards &amp; Scoring'!$D$10+AT379*'Standards &amp; Scoring'!$D$11+AU379*'Standards &amp; Scoring'!$D$12+AV379*'Standards &amp; Scoring'!$D$13)/10000)</f>
        <v/>
      </c>
      <c r="AX379" s="47" t="str">
        <f aca="false">IF(AW379="","",IF(AW379&gt;=1.05,"A+",IF(AW379&gt;=1,"A",IF(AW379&gt;=0.95,"B+",IF(AW379&gt;=0.9,"B","C")))))</f>
        <v/>
      </c>
      <c r="AY379" s="47" t="str">
        <f aca="false">IF(AX379="","",IF(AX379="A+",1800,IF(AX379="A",1600,IF(AX379="B+",1400,IF(AX379="B",1200,0)))))</f>
        <v/>
      </c>
      <c r="AZ379" s="49" t="str">
        <f aca="false">IF(OR(L379="",M379="",S379="",M379=0),"",IFERROR(L379*60*S379/(M379*36),0))</f>
        <v/>
      </c>
    </row>
    <row r="380" customFormat="false" ht="15" hidden="false" customHeight="true" outlineLevel="0" collapsed="false">
      <c r="A380" s="47" t="n">
        <f aca="false">'Daily KPI Entry'!A381</f>
        <v>0</v>
      </c>
      <c r="B380" s="48" t="n">
        <f aca="false">'Daily KPI Entry'!B381</f>
        <v>0</v>
      </c>
      <c r="C380" s="47" t="n">
        <f aca="false">'Daily KPI Entry'!C381</f>
        <v>0</v>
      </c>
      <c r="D380" s="47" t="n">
        <f aca="false">'Daily KPI Entry'!D381</f>
        <v>0</v>
      </c>
      <c r="E380" s="47" t="n">
        <f aca="false">'Daily KPI Entry'!E381</f>
        <v>0</v>
      </c>
      <c r="F380" s="47" t="n">
        <f aca="false">'Daily KPI Entry'!F381</f>
        <v>0</v>
      </c>
      <c r="G380" s="47" t="n">
        <f aca="false">'Daily KPI Entry'!G381</f>
        <v>0</v>
      </c>
      <c r="H380" s="47" t="str">
        <f aca="false">'Daily KPI Entry'!H381</f>
        <v/>
      </c>
      <c r="I380" s="47" t="n">
        <f aca="false">'Daily KPI Entry'!I381</f>
        <v>0</v>
      </c>
      <c r="J380" s="47" t="n">
        <f aca="false">'Daily KPI Entry'!J381</f>
        <v>0</v>
      </c>
      <c r="K380" s="47" t="n">
        <f aca="false">'Daily KPI Entry'!K381</f>
        <v>0</v>
      </c>
      <c r="L380" s="47" t="n">
        <f aca="false">'Daily KPI Entry'!L381</f>
        <v>0</v>
      </c>
      <c r="M380" s="47" t="n">
        <f aca="false">'Daily KPI Entry'!M381</f>
        <v>0</v>
      </c>
      <c r="N380" s="49" t="n">
        <f aca="false">'Daily KPI Entry'!N381</f>
        <v>0</v>
      </c>
      <c r="O380" s="49" t="n">
        <f aca="false">'Daily KPI Entry'!O381</f>
        <v>0</v>
      </c>
      <c r="P380" s="49" t="str">
        <f aca="false">IF(OR(N380="",O380=""),"",IFERROR(O380/N380*100,0))</f>
        <v/>
      </c>
      <c r="Q380" s="47" t="n">
        <f aca="false">'Daily KPI Entry'!Q381</f>
        <v>8</v>
      </c>
      <c r="R380" s="47" t="str">
        <f aca="false">IF(J380="","",Q380*J380)</f>
        <v/>
      </c>
      <c r="S380" s="49" t="n">
        <f aca="false">'Daily KPI Entry'!S381</f>
        <v>0</v>
      </c>
      <c r="T380" s="49" t="str">
        <f aca="false">IF(OR(R380="",S380=""),"",IFERROR(S380/R380*100,0))</f>
        <v/>
      </c>
      <c r="U380" s="49" t="str">
        <f aca="false">IF(OR(O380="",L380="",M380="",S380="",M380=0),"",IFERROR(O380/(L380*60*S380/(M380*36))*100,0))</f>
        <v/>
      </c>
      <c r="V380" s="49" t="n">
        <f aca="false">'Daily KPI Entry'!V381</f>
        <v>0</v>
      </c>
      <c r="W380" s="49" t="str">
        <f aca="false">IF(O380="","",IFERROR(V380/O380*100,0))</f>
        <v/>
      </c>
      <c r="X380" s="49" t="n">
        <f aca="false">'Daily KPI Entry'!X381</f>
        <v>0</v>
      </c>
      <c r="Y380" s="49" t="n">
        <f aca="false">'Daily KPI Entry'!Y381</f>
        <v>0</v>
      </c>
      <c r="Z380" s="49" t="n">
        <f aca="false">'Daily KPI Entry'!Z381</f>
        <v>0</v>
      </c>
      <c r="AA380" s="49" t="n">
        <f aca="false">'Daily KPI Entry'!AA381</f>
        <v>0</v>
      </c>
      <c r="AB380" s="49" t="n">
        <f aca="false">'Daily KPI Entry'!AB381</f>
        <v>0</v>
      </c>
      <c r="AC380" s="49" t="n">
        <f aca="false">'Daily KPI Entry'!AC381</f>
        <v>0</v>
      </c>
      <c r="AD380" s="49" t="n">
        <f aca="false">'Daily KPI Entry'!AD381</f>
        <v>0</v>
      </c>
      <c r="AE380" s="49" t="n">
        <f aca="false">'Daily KPI Entry'!AE381</f>
        <v>0</v>
      </c>
      <c r="AF380" s="47" t="str">
        <f aca="false">IF(O380="","",SUM(X380:AE380))</f>
        <v/>
      </c>
      <c r="AG380" s="49" t="str">
        <f aca="false">IF(O380="","",IFERROR(AF380/O380*1000,0))</f>
        <v/>
      </c>
      <c r="AH380" s="49" t="n">
        <f aca="false">'Daily KPI Entry'!AH381</f>
        <v>0</v>
      </c>
      <c r="AI380" s="49" t="n">
        <f aca="false">'Daily KPI Entry'!AI381</f>
        <v>0</v>
      </c>
      <c r="AJ380" s="49" t="n">
        <f aca="false">'Daily KPI Entry'!AJ381</f>
        <v>0</v>
      </c>
      <c r="AK380" s="47" t="n">
        <f aca="false">'Daily KPI Entry'!AK381</f>
        <v>0</v>
      </c>
      <c r="AL380" s="47" t="n">
        <f aca="false">'Daily KPI Entry'!AL381</f>
        <v>0</v>
      </c>
      <c r="AM380" s="47" t="n">
        <f aca="false">'Daily KPI Entry'!AM381</f>
        <v>0</v>
      </c>
      <c r="AN380" s="49" t="str">
        <f aca="false">IF(P380="","",MIN(120,P380))</f>
        <v/>
      </c>
      <c r="AO380" s="49" t="str">
        <f aca="false">IF(U380="","",MIN(120,U380))</f>
        <v/>
      </c>
      <c r="AP380" s="49" t="str">
        <f aca="false">IF(R380="","",MIN(120,IFERROR(S380/R380*100,0)))</f>
        <v/>
      </c>
      <c r="AQ380" s="49" t="str">
        <f aca="false">IF(W380="","",MIN(120,IF(W380=0,120,100*(INDEX('Standards &amp; Scoring'!$E$5:$E$13,MATCH("Quality / Rejection",'Standards &amp; Scoring'!$A$5:$A$13,0))/W380))))</f>
        <v/>
      </c>
      <c r="AR380" s="49" t="str">
        <f aca="false">IF(AG380="","",MIN(120,IF(AG380=0,120,100*(INDEX('Standards &amp; Scoring'!$E$5:$E$13,MATCH("Fault Control",'Standards &amp; Scoring'!$A$5:$A$13,0))/AG380))))</f>
        <v/>
      </c>
      <c r="AS380" s="49" t="str">
        <f aca="false">IF(O380="","",MIN(120,IF(SUMIFS('Fault &amp; Downtime Entry'!$L$6:$L$1005,'Fault &amp; Downtime Entry'!$E$6:$E$1005,G380,'Fault &amp; Downtime Entry'!$B$6:$B$1005,B380)=0,120,100*(INDEX('Standards &amp; Scoring'!$E$5:$E$13,MATCH("Downtime Control",'Standards &amp; Scoring'!$A$5:$A$13,0))/IFERROR(SUMIFS('Fault &amp; Downtime Entry'!$L$6:$L$1005,'Fault &amp; Downtime Entry'!$E$6:$E$1005,G380,'Fault &amp; Downtime Entry'!$B$6:$B$1005,B380)/O380*1000,999999)))))</f>
        <v/>
      </c>
      <c r="AT380" s="49" t="n">
        <f aca="false">IF(COUNTA(AH380,AJ380)=0,"",MIN(120,IF(AND(AH380&lt;&gt;"",AJ380&lt;&gt;""),AVERAGE(AH380,AJ380),IF(AH380&lt;&gt;"",AH380,AJ380))))</f>
        <v>0</v>
      </c>
      <c r="AU380" s="49" t="str">
        <f aca="false">IF(AI380="","",MIN(120,AI380))</f>
        <v/>
      </c>
      <c r="AV380" s="49" t="str">
        <f aca="false">IF(AJ380="","",MIN(120,AJ380))</f>
        <v/>
      </c>
      <c r="AW380" s="50" t="str">
        <f aca="false">IF(COUNT(AN380:AV380)&lt;9,"",(AN380*'Standards &amp; Scoring'!$D$5+AO380*'Standards &amp; Scoring'!$D$6+AP380*'Standards &amp; Scoring'!$D$7+AQ380*'Standards &amp; Scoring'!$D$8+AR380*'Standards &amp; Scoring'!$D$9+AS380*'Standards &amp; Scoring'!$D$10+AT380*'Standards &amp; Scoring'!$D$11+AU380*'Standards &amp; Scoring'!$D$12+AV380*'Standards &amp; Scoring'!$D$13)/10000)</f>
        <v/>
      </c>
      <c r="AX380" s="47" t="str">
        <f aca="false">IF(AW380="","",IF(AW380&gt;=1.05,"A+",IF(AW380&gt;=1,"A",IF(AW380&gt;=0.95,"B+",IF(AW380&gt;=0.9,"B","C")))))</f>
        <v/>
      </c>
      <c r="AY380" s="47" t="str">
        <f aca="false">IF(AX380="","",IF(AX380="A+",1800,IF(AX380="A",1600,IF(AX380="B+",1400,IF(AX380="B",1200,0)))))</f>
        <v/>
      </c>
      <c r="AZ380" s="49" t="str">
        <f aca="false">IF(OR(L380="",M380="",S380="",M380=0),"",IFERROR(L380*60*S380/(M380*36),0))</f>
        <v/>
      </c>
    </row>
    <row r="381" customFormat="false" ht="15" hidden="false" customHeight="true" outlineLevel="0" collapsed="false">
      <c r="A381" s="47" t="n">
        <f aca="false">'Daily KPI Entry'!A382</f>
        <v>0</v>
      </c>
      <c r="B381" s="48" t="n">
        <f aca="false">'Daily KPI Entry'!B382</f>
        <v>0</v>
      </c>
      <c r="C381" s="47" t="n">
        <f aca="false">'Daily KPI Entry'!C382</f>
        <v>0</v>
      </c>
      <c r="D381" s="47" t="n">
        <f aca="false">'Daily KPI Entry'!D382</f>
        <v>0</v>
      </c>
      <c r="E381" s="47" t="n">
        <f aca="false">'Daily KPI Entry'!E382</f>
        <v>0</v>
      </c>
      <c r="F381" s="47" t="n">
        <f aca="false">'Daily KPI Entry'!F382</f>
        <v>0</v>
      </c>
      <c r="G381" s="47" t="n">
        <f aca="false">'Daily KPI Entry'!G382</f>
        <v>0</v>
      </c>
      <c r="H381" s="47" t="str">
        <f aca="false">'Daily KPI Entry'!H382</f>
        <v/>
      </c>
      <c r="I381" s="47" t="n">
        <f aca="false">'Daily KPI Entry'!I382</f>
        <v>0</v>
      </c>
      <c r="J381" s="47" t="n">
        <f aca="false">'Daily KPI Entry'!J382</f>
        <v>0</v>
      </c>
      <c r="K381" s="47" t="n">
        <f aca="false">'Daily KPI Entry'!K382</f>
        <v>0</v>
      </c>
      <c r="L381" s="47" t="n">
        <f aca="false">'Daily KPI Entry'!L382</f>
        <v>0</v>
      </c>
      <c r="M381" s="47" t="n">
        <f aca="false">'Daily KPI Entry'!M382</f>
        <v>0</v>
      </c>
      <c r="N381" s="49" t="n">
        <f aca="false">'Daily KPI Entry'!N382</f>
        <v>0</v>
      </c>
      <c r="O381" s="49" t="n">
        <f aca="false">'Daily KPI Entry'!O382</f>
        <v>0</v>
      </c>
      <c r="P381" s="49" t="str">
        <f aca="false">IF(OR(N381="",O381=""),"",IFERROR(O381/N381*100,0))</f>
        <v/>
      </c>
      <c r="Q381" s="47" t="n">
        <f aca="false">'Daily KPI Entry'!Q382</f>
        <v>8</v>
      </c>
      <c r="R381" s="47" t="str">
        <f aca="false">IF(J381="","",Q381*J381)</f>
        <v/>
      </c>
      <c r="S381" s="49" t="n">
        <f aca="false">'Daily KPI Entry'!S382</f>
        <v>0</v>
      </c>
      <c r="T381" s="49" t="str">
        <f aca="false">IF(OR(R381="",S381=""),"",IFERROR(S381/R381*100,0))</f>
        <v/>
      </c>
      <c r="U381" s="49" t="str">
        <f aca="false">IF(OR(O381="",L381="",M381="",S381="",M381=0),"",IFERROR(O381/(L381*60*S381/(M381*36))*100,0))</f>
        <v/>
      </c>
      <c r="V381" s="49" t="n">
        <f aca="false">'Daily KPI Entry'!V382</f>
        <v>0</v>
      </c>
      <c r="W381" s="49" t="str">
        <f aca="false">IF(O381="","",IFERROR(V381/O381*100,0))</f>
        <v/>
      </c>
      <c r="X381" s="49" t="n">
        <f aca="false">'Daily KPI Entry'!X382</f>
        <v>0</v>
      </c>
      <c r="Y381" s="49" t="n">
        <f aca="false">'Daily KPI Entry'!Y382</f>
        <v>0</v>
      </c>
      <c r="Z381" s="49" t="n">
        <f aca="false">'Daily KPI Entry'!Z382</f>
        <v>0</v>
      </c>
      <c r="AA381" s="49" t="n">
        <f aca="false">'Daily KPI Entry'!AA382</f>
        <v>0</v>
      </c>
      <c r="AB381" s="49" t="n">
        <f aca="false">'Daily KPI Entry'!AB382</f>
        <v>0</v>
      </c>
      <c r="AC381" s="49" t="n">
        <f aca="false">'Daily KPI Entry'!AC382</f>
        <v>0</v>
      </c>
      <c r="AD381" s="49" t="n">
        <f aca="false">'Daily KPI Entry'!AD382</f>
        <v>0</v>
      </c>
      <c r="AE381" s="49" t="n">
        <f aca="false">'Daily KPI Entry'!AE382</f>
        <v>0</v>
      </c>
      <c r="AF381" s="47" t="str">
        <f aca="false">IF(O381="","",SUM(X381:AE381))</f>
        <v/>
      </c>
      <c r="AG381" s="49" t="str">
        <f aca="false">IF(O381="","",IFERROR(AF381/O381*1000,0))</f>
        <v/>
      </c>
      <c r="AH381" s="49" t="n">
        <f aca="false">'Daily KPI Entry'!AH382</f>
        <v>0</v>
      </c>
      <c r="AI381" s="49" t="n">
        <f aca="false">'Daily KPI Entry'!AI382</f>
        <v>0</v>
      </c>
      <c r="AJ381" s="49" t="n">
        <f aca="false">'Daily KPI Entry'!AJ382</f>
        <v>0</v>
      </c>
      <c r="AK381" s="47" t="n">
        <f aca="false">'Daily KPI Entry'!AK382</f>
        <v>0</v>
      </c>
      <c r="AL381" s="47" t="n">
        <f aca="false">'Daily KPI Entry'!AL382</f>
        <v>0</v>
      </c>
      <c r="AM381" s="47" t="n">
        <f aca="false">'Daily KPI Entry'!AM382</f>
        <v>0</v>
      </c>
      <c r="AN381" s="49" t="str">
        <f aca="false">IF(P381="","",MIN(120,P381))</f>
        <v/>
      </c>
      <c r="AO381" s="49" t="str">
        <f aca="false">IF(U381="","",MIN(120,U381))</f>
        <v/>
      </c>
      <c r="AP381" s="49" t="str">
        <f aca="false">IF(R381="","",MIN(120,IFERROR(S381/R381*100,0)))</f>
        <v/>
      </c>
      <c r="AQ381" s="49" t="str">
        <f aca="false">IF(W381="","",MIN(120,IF(W381=0,120,100*(INDEX('Standards &amp; Scoring'!$E$5:$E$13,MATCH("Quality / Rejection",'Standards &amp; Scoring'!$A$5:$A$13,0))/W381))))</f>
        <v/>
      </c>
      <c r="AR381" s="49" t="str">
        <f aca="false">IF(AG381="","",MIN(120,IF(AG381=0,120,100*(INDEX('Standards &amp; Scoring'!$E$5:$E$13,MATCH("Fault Control",'Standards &amp; Scoring'!$A$5:$A$13,0))/AG381))))</f>
        <v/>
      </c>
      <c r="AS381" s="49" t="str">
        <f aca="false">IF(O381="","",MIN(120,IF(SUMIFS('Fault &amp; Downtime Entry'!$L$6:$L$1005,'Fault &amp; Downtime Entry'!$E$6:$E$1005,G381,'Fault &amp; Downtime Entry'!$B$6:$B$1005,B381)=0,120,100*(INDEX('Standards &amp; Scoring'!$E$5:$E$13,MATCH("Downtime Control",'Standards &amp; Scoring'!$A$5:$A$13,0))/IFERROR(SUMIFS('Fault &amp; Downtime Entry'!$L$6:$L$1005,'Fault &amp; Downtime Entry'!$E$6:$E$1005,G381,'Fault &amp; Downtime Entry'!$B$6:$B$1005,B381)/O381*1000,999999)))))</f>
        <v/>
      </c>
      <c r="AT381" s="49" t="n">
        <f aca="false">IF(COUNTA(AH381,AJ381)=0,"",MIN(120,IF(AND(AH381&lt;&gt;"",AJ381&lt;&gt;""),AVERAGE(AH381,AJ381),IF(AH381&lt;&gt;"",AH381,AJ381))))</f>
        <v>0</v>
      </c>
      <c r="AU381" s="49" t="str">
        <f aca="false">IF(AI381="","",MIN(120,AI381))</f>
        <v/>
      </c>
      <c r="AV381" s="49" t="str">
        <f aca="false">IF(AJ381="","",MIN(120,AJ381))</f>
        <v/>
      </c>
      <c r="AW381" s="50" t="str">
        <f aca="false">IF(COUNT(AN381:AV381)&lt;9,"",(AN381*'Standards &amp; Scoring'!$D$5+AO381*'Standards &amp; Scoring'!$D$6+AP381*'Standards &amp; Scoring'!$D$7+AQ381*'Standards &amp; Scoring'!$D$8+AR381*'Standards &amp; Scoring'!$D$9+AS381*'Standards &amp; Scoring'!$D$10+AT381*'Standards &amp; Scoring'!$D$11+AU381*'Standards &amp; Scoring'!$D$12+AV381*'Standards &amp; Scoring'!$D$13)/10000)</f>
        <v/>
      </c>
      <c r="AX381" s="47" t="str">
        <f aca="false">IF(AW381="","",IF(AW381&gt;=1.05,"A+",IF(AW381&gt;=1,"A",IF(AW381&gt;=0.95,"B+",IF(AW381&gt;=0.9,"B","C")))))</f>
        <v/>
      </c>
      <c r="AY381" s="47" t="str">
        <f aca="false">IF(AX381="","",IF(AX381="A+",1800,IF(AX381="A",1600,IF(AX381="B+",1400,IF(AX381="B",1200,0)))))</f>
        <v/>
      </c>
      <c r="AZ381" s="49" t="str">
        <f aca="false">IF(OR(L381="",M381="",S381="",M381=0),"",IFERROR(L381*60*S381/(M381*36),0))</f>
        <v/>
      </c>
    </row>
    <row r="382" customFormat="false" ht="15" hidden="false" customHeight="true" outlineLevel="0" collapsed="false">
      <c r="A382" s="47" t="n">
        <f aca="false">'Daily KPI Entry'!A383</f>
        <v>0</v>
      </c>
      <c r="B382" s="48" t="n">
        <f aca="false">'Daily KPI Entry'!B383</f>
        <v>0</v>
      </c>
      <c r="C382" s="47" t="n">
        <f aca="false">'Daily KPI Entry'!C383</f>
        <v>0</v>
      </c>
      <c r="D382" s="47" t="n">
        <f aca="false">'Daily KPI Entry'!D383</f>
        <v>0</v>
      </c>
      <c r="E382" s="47" t="n">
        <f aca="false">'Daily KPI Entry'!E383</f>
        <v>0</v>
      </c>
      <c r="F382" s="47" t="n">
        <f aca="false">'Daily KPI Entry'!F383</f>
        <v>0</v>
      </c>
      <c r="G382" s="47" t="n">
        <f aca="false">'Daily KPI Entry'!G383</f>
        <v>0</v>
      </c>
      <c r="H382" s="47" t="str">
        <f aca="false">'Daily KPI Entry'!H383</f>
        <v/>
      </c>
      <c r="I382" s="47" t="n">
        <f aca="false">'Daily KPI Entry'!I383</f>
        <v>0</v>
      </c>
      <c r="J382" s="47" t="n">
        <f aca="false">'Daily KPI Entry'!J383</f>
        <v>0</v>
      </c>
      <c r="K382" s="47" t="n">
        <f aca="false">'Daily KPI Entry'!K383</f>
        <v>0</v>
      </c>
      <c r="L382" s="47" t="n">
        <f aca="false">'Daily KPI Entry'!L383</f>
        <v>0</v>
      </c>
      <c r="M382" s="47" t="n">
        <f aca="false">'Daily KPI Entry'!M383</f>
        <v>0</v>
      </c>
      <c r="N382" s="49" t="n">
        <f aca="false">'Daily KPI Entry'!N383</f>
        <v>0</v>
      </c>
      <c r="O382" s="49" t="n">
        <f aca="false">'Daily KPI Entry'!O383</f>
        <v>0</v>
      </c>
      <c r="P382" s="49" t="str">
        <f aca="false">IF(OR(N382="",O382=""),"",IFERROR(O382/N382*100,0))</f>
        <v/>
      </c>
      <c r="Q382" s="47" t="n">
        <f aca="false">'Daily KPI Entry'!Q383</f>
        <v>8</v>
      </c>
      <c r="R382" s="47" t="str">
        <f aca="false">IF(J382="","",Q382*J382)</f>
        <v/>
      </c>
      <c r="S382" s="49" t="n">
        <f aca="false">'Daily KPI Entry'!S383</f>
        <v>0</v>
      </c>
      <c r="T382" s="49" t="str">
        <f aca="false">IF(OR(R382="",S382=""),"",IFERROR(S382/R382*100,0))</f>
        <v/>
      </c>
      <c r="U382" s="49" t="str">
        <f aca="false">IF(OR(O382="",L382="",M382="",S382="",M382=0),"",IFERROR(O382/(L382*60*S382/(M382*36))*100,0))</f>
        <v/>
      </c>
      <c r="V382" s="49" t="n">
        <f aca="false">'Daily KPI Entry'!V383</f>
        <v>0</v>
      </c>
      <c r="W382" s="49" t="str">
        <f aca="false">IF(O382="","",IFERROR(V382/O382*100,0))</f>
        <v/>
      </c>
      <c r="X382" s="49" t="n">
        <f aca="false">'Daily KPI Entry'!X383</f>
        <v>0</v>
      </c>
      <c r="Y382" s="49" t="n">
        <f aca="false">'Daily KPI Entry'!Y383</f>
        <v>0</v>
      </c>
      <c r="Z382" s="49" t="n">
        <f aca="false">'Daily KPI Entry'!Z383</f>
        <v>0</v>
      </c>
      <c r="AA382" s="49" t="n">
        <f aca="false">'Daily KPI Entry'!AA383</f>
        <v>0</v>
      </c>
      <c r="AB382" s="49" t="n">
        <f aca="false">'Daily KPI Entry'!AB383</f>
        <v>0</v>
      </c>
      <c r="AC382" s="49" t="n">
        <f aca="false">'Daily KPI Entry'!AC383</f>
        <v>0</v>
      </c>
      <c r="AD382" s="49" t="n">
        <f aca="false">'Daily KPI Entry'!AD383</f>
        <v>0</v>
      </c>
      <c r="AE382" s="49" t="n">
        <f aca="false">'Daily KPI Entry'!AE383</f>
        <v>0</v>
      </c>
      <c r="AF382" s="47" t="str">
        <f aca="false">IF(O382="","",SUM(X382:AE382))</f>
        <v/>
      </c>
      <c r="AG382" s="49" t="str">
        <f aca="false">IF(O382="","",IFERROR(AF382/O382*1000,0))</f>
        <v/>
      </c>
      <c r="AH382" s="49" t="n">
        <f aca="false">'Daily KPI Entry'!AH383</f>
        <v>0</v>
      </c>
      <c r="AI382" s="49" t="n">
        <f aca="false">'Daily KPI Entry'!AI383</f>
        <v>0</v>
      </c>
      <c r="AJ382" s="49" t="n">
        <f aca="false">'Daily KPI Entry'!AJ383</f>
        <v>0</v>
      </c>
      <c r="AK382" s="47" t="n">
        <f aca="false">'Daily KPI Entry'!AK383</f>
        <v>0</v>
      </c>
      <c r="AL382" s="47" t="n">
        <f aca="false">'Daily KPI Entry'!AL383</f>
        <v>0</v>
      </c>
      <c r="AM382" s="47" t="n">
        <f aca="false">'Daily KPI Entry'!AM383</f>
        <v>0</v>
      </c>
      <c r="AN382" s="49" t="str">
        <f aca="false">IF(P382="","",MIN(120,P382))</f>
        <v/>
      </c>
      <c r="AO382" s="49" t="str">
        <f aca="false">IF(U382="","",MIN(120,U382))</f>
        <v/>
      </c>
      <c r="AP382" s="49" t="str">
        <f aca="false">IF(R382="","",MIN(120,IFERROR(S382/R382*100,0)))</f>
        <v/>
      </c>
      <c r="AQ382" s="49" t="str">
        <f aca="false">IF(W382="","",MIN(120,IF(W382=0,120,100*(INDEX('Standards &amp; Scoring'!$E$5:$E$13,MATCH("Quality / Rejection",'Standards &amp; Scoring'!$A$5:$A$13,0))/W382))))</f>
        <v/>
      </c>
      <c r="AR382" s="49" t="str">
        <f aca="false">IF(AG382="","",MIN(120,IF(AG382=0,120,100*(INDEX('Standards &amp; Scoring'!$E$5:$E$13,MATCH("Fault Control",'Standards &amp; Scoring'!$A$5:$A$13,0))/AG382))))</f>
        <v/>
      </c>
      <c r="AS382" s="49" t="str">
        <f aca="false">IF(O382="","",MIN(120,IF(SUMIFS('Fault &amp; Downtime Entry'!$L$6:$L$1005,'Fault &amp; Downtime Entry'!$E$6:$E$1005,G382,'Fault &amp; Downtime Entry'!$B$6:$B$1005,B382)=0,120,100*(INDEX('Standards &amp; Scoring'!$E$5:$E$13,MATCH("Downtime Control",'Standards &amp; Scoring'!$A$5:$A$13,0))/IFERROR(SUMIFS('Fault &amp; Downtime Entry'!$L$6:$L$1005,'Fault &amp; Downtime Entry'!$E$6:$E$1005,G382,'Fault &amp; Downtime Entry'!$B$6:$B$1005,B382)/O382*1000,999999)))))</f>
        <v/>
      </c>
      <c r="AT382" s="49" t="n">
        <f aca="false">IF(COUNTA(AH382,AJ382)=0,"",MIN(120,IF(AND(AH382&lt;&gt;"",AJ382&lt;&gt;""),AVERAGE(AH382,AJ382),IF(AH382&lt;&gt;"",AH382,AJ382))))</f>
        <v>0</v>
      </c>
      <c r="AU382" s="49" t="str">
        <f aca="false">IF(AI382="","",MIN(120,AI382))</f>
        <v/>
      </c>
      <c r="AV382" s="49" t="str">
        <f aca="false">IF(AJ382="","",MIN(120,AJ382))</f>
        <v/>
      </c>
      <c r="AW382" s="50" t="str">
        <f aca="false">IF(COUNT(AN382:AV382)&lt;9,"",(AN382*'Standards &amp; Scoring'!$D$5+AO382*'Standards &amp; Scoring'!$D$6+AP382*'Standards &amp; Scoring'!$D$7+AQ382*'Standards &amp; Scoring'!$D$8+AR382*'Standards &amp; Scoring'!$D$9+AS382*'Standards &amp; Scoring'!$D$10+AT382*'Standards &amp; Scoring'!$D$11+AU382*'Standards &amp; Scoring'!$D$12+AV382*'Standards &amp; Scoring'!$D$13)/10000)</f>
        <v/>
      </c>
      <c r="AX382" s="47" t="str">
        <f aca="false">IF(AW382="","",IF(AW382&gt;=1.05,"A+",IF(AW382&gt;=1,"A",IF(AW382&gt;=0.95,"B+",IF(AW382&gt;=0.9,"B","C")))))</f>
        <v/>
      </c>
      <c r="AY382" s="47" t="str">
        <f aca="false">IF(AX382="","",IF(AX382="A+",1800,IF(AX382="A",1600,IF(AX382="B+",1400,IF(AX382="B",1200,0)))))</f>
        <v/>
      </c>
      <c r="AZ382" s="49" t="str">
        <f aca="false">IF(OR(L382="",M382="",S382="",M382=0),"",IFERROR(L382*60*S382/(M382*36),0))</f>
        <v/>
      </c>
    </row>
    <row r="383" customFormat="false" ht="15" hidden="false" customHeight="true" outlineLevel="0" collapsed="false">
      <c r="A383" s="47" t="n">
        <f aca="false">'Daily KPI Entry'!A384</f>
        <v>0</v>
      </c>
      <c r="B383" s="48" t="n">
        <f aca="false">'Daily KPI Entry'!B384</f>
        <v>0</v>
      </c>
      <c r="C383" s="47" t="n">
        <f aca="false">'Daily KPI Entry'!C384</f>
        <v>0</v>
      </c>
      <c r="D383" s="47" t="n">
        <f aca="false">'Daily KPI Entry'!D384</f>
        <v>0</v>
      </c>
      <c r="E383" s="47" t="n">
        <f aca="false">'Daily KPI Entry'!E384</f>
        <v>0</v>
      </c>
      <c r="F383" s="47" t="n">
        <f aca="false">'Daily KPI Entry'!F384</f>
        <v>0</v>
      </c>
      <c r="G383" s="47" t="n">
        <f aca="false">'Daily KPI Entry'!G384</f>
        <v>0</v>
      </c>
      <c r="H383" s="47" t="str">
        <f aca="false">'Daily KPI Entry'!H384</f>
        <v/>
      </c>
      <c r="I383" s="47" t="n">
        <f aca="false">'Daily KPI Entry'!I384</f>
        <v>0</v>
      </c>
      <c r="J383" s="47" t="n">
        <f aca="false">'Daily KPI Entry'!J384</f>
        <v>0</v>
      </c>
      <c r="K383" s="47" t="n">
        <f aca="false">'Daily KPI Entry'!K384</f>
        <v>0</v>
      </c>
      <c r="L383" s="47" t="n">
        <f aca="false">'Daily KPI Entry'!L384</f>
        <v>0</v>
      </c>
      <c r="M383" s="47" t="n">
        <f aca="false">'Daily KPI Entry'!M384</f>
        <v>0</v>
      </c>
      <c r="N383" s="49" t="n">
        <f aca="false">'Daily KPI Entry'!N384</f>
        <v>0</v>
      </c>
      <c r="O383" s="49" t="n">
        <f aca="false">'Daily KPI Entry'!O384</f>
        <v>0</v>
      </c>
      <c r="P383" s="49" t="str">
        <f aca="false">IF(OR(N383="",O383=""),"",IFERROR(O383/N383*100,0))</f>
        <v/>
      </c>
      <c r="Q383" s="47" t="n">
        <f aca="false">'Daily KPI Entry'!Q384</f>
        <v>8</v>
      </c>
      <c r="R383" s="47" t="str">
        <f aca="false">IF(J383="","",Q383*J383)</f>
        <v/>
      </c>
      <c r="S383" s="49" t="n">
        <f aca="false">'Daily KPI Entry'!S384</f>
        <v>0</v>
      </c>
      <c r="T383" s="49" t="str">
        <f aca="false">IF(OR(R383="",S383=""),"",IFERROR(S383/R383*100,0))</f>
        <v/>
      </c>
      <c r="U383" s="49" t="str">
        <f aca="false">IF(OR(O383="",L383="",M383="",S383="",M383=0),"",IFERROR(O383/(L383*60*S383/(M383*36))*100,0))</f>
        <v/>
      </c>
      <c r="V383" s="49" t="n">
        <f aca="false">'Daily KPI Entry'!V384</f>
        <v>0</v>
      </c>
      <c r="W383" s="49" t="str">
        <f aca="false">IF(O383="","",IFERROR(V383/O383*100,0))</f>
        <v/>
      </c>
      <c r="X383" s="49" t="n">
        <f aca="false">'Daily KPI Entry'!X384</f>
        <v>0</v>
      </c>
      <c r="Y383" s="49" t="n">
        <f aca="false">'Daily KPI Entry'!Y384</f>
        <v>0</v>
      </c>
      <c r="Z383" s="49" t="n">
        <f aca="false">'Daily KPI Entry'!Z384</f>
        <v>0</v>
      </c>
      <c r="AA383" s="49" t="n">
        <f aca="false">'Daily KPI Entry'!AA384</f>
        <v>0</v>
      </c>
      <c r="AB383" s="49" t="n">
        <f aca="false">'Daily KPI Entry'!AB384</f>
        <v>0</v>
      </c>
      <c r="AC383" s="49" t="n">
        <f aca="false">'Daily KPI Entry'!AC384</f>
        <v>0</v>
      </c>
      <c r="AD383" s="49" t="n">
        <f aca="false">'Daily KPI Entry'!AD384</f>
        <v>0</v>
      </c>
      <c r="AE383" s="49" t="n">
        <f aca="false">'Daily KPI Entry'!AE384</f>
        <v>0</v>
      </c>
      <c r="AF383" s="47" t="str">
        <f aca="false">IF(O383="","",SUM(X383:AE383))</f>
        <v/>
      </c>
      <c r="AG383" s="49" t="str">
        <f aca="false">IF(O383="","",IFERROR(AF383/O383*1000,0))</f>
        <v/>
      </c>
      <c r="AH383" s="49" t="n">
        <f aca="false">'Daily KPI Entry'!AH384</f>
        <v>0</v>
      </c>
      <c r="AI383" s="49" t="n">
        <f aca="false">'Daily KPI Entry'!AI384</f>
        <v>0</v>
      </c>
      <c r="AJ383" s="49" t="n">
        <f aca="false">'Daily KPI Entry'!AJ384</f>
        <v>0</v>
      </c>
      <c r="AK383" s="47" t="n">
        <f aca="false">'Daily KPI Entry'!AK384</f>
        <v>0</v>
      </c>
      <c r="AL383" s="47" t="n">
        <f aca="false">'Daily KPI Entry'!AL384</f>
        <v>0</v>
      </c>
      <c r="AM383" s="47" t="n">
        <f aca="false">'Daily KPI Entry'!AM384</f>
        <v>0</v>
      </c>
      <c r="AN383" s="49" t="str">
        <f aca="false">IF(P383="","",MIN(120,P383))</f>
        <v/>
      </c>
      <c r="AO383" s="49" t="str">
        <f aca="false">IF(U383="","",MIN(120,U383))</f>
        <v/>
      </c>
      <c r="AP383" s="49" t="str">
        <f aca="false">IF(R383="","",MIN(120,IFERROR(S383/R383*100,0)))</f>
        <v/>
      </c>
      <c r="AQ383" s="49" t="str">
        <f aca="false">IF(W383="","",MIN(120,IF(W383=0,120,100*(INDEX('Standards &amp; Scoring'!$E$5:$E$13,MATCH("Quality / Rejection",'Standards &amp; Scoring'!$A$5:$A$13,0))/W383))))</f>
        <v/>
      </c>
      <c r="AR383" s="49" t="str">
        <f aca="false">IF(AG383="","",MIN(120,IF(AG383=0,120,100*(INDEX('Standards &amp; Scoring'!$E$5:$E$13,MATCH("Fault Control",'Standards &amp; Scoring'!$A$5:$A$13,0))/AG383))))</f>
        <v/>
      </c>
      <c r="AS383" s="49" t="str">
        <f aca="false">IF(O383="","",MIN(120,IF(SUMIFS('Fault &amp; Downtime Entry'!$L$6:$L$1005,'Fault &amp; Downtime Entry'!$E$6:$E$1005,G383,'Fault &amp; Downtime Entry'!$B$6:$B$1005,B383)=0,120,100*(INDEX('Standards &amp; Scoring'!$E$5:$E$13,MATCH("Downtime Control",'Standards &amp; Scoring'!$A$5:$A$13,0))/IFERROR(SUMIFS('Fault &amp; Downtime Entry'!$L$6:$L$1005,'Fault &amp; Downtime Entry'!$E$6:$E$1005,G383,'Fault &amp; Downtime Entry'!$B$6:$B$1005,B383)/O383*1000,999999)))))</f>
        <v/>
      </c>
      <c r="AT383" s="49" t="n">
        <f aca="false">IF(COUNTA(AH383,AJ383)=0,"",MIN(120,IF(AND(AH383&lt;&gt;"",AJ383&lt;&gt;""),AVERAGE(AH383,AJ383),IF(AH383&lt;&gt;"",AH383,AJ383))))</f>
        <v>0</v>
      </c>
      <c r="AU383" s="49" t="str">
        <f aca="false">IF(AI383="","",MIN(120,AI383))</f>
        <v/>
      </c>
      <c r="AV383" s="49" t="str">
        <f aca="false">IF(AJ383="","",MIN(120,AJ383))</f>
        <v/>
      </c>
      <c r="AW383" s="50" t="str">
        <f aca="false">IF(COUNT(AN383:AV383)&lt;9,"",(AN383*'Standards &amp; Scoring'!$D$5+AO383*'Standards &amp; Scoring'!$D$6+AP383*'Standards &amp; Scoring'!$D$7+AQ383*'Standards &amp; Scoring'!$D$8+AR383*'Standards &amp; Scoring'!$D$9+AS383*'Standards &amp; Scoring'!$D$10+AT383*'Standards &amp; Scoring'!$D$11+AU383*'Standards &amp; Scoring'!$D$12+AV383*'Standards &amp; Scoring'!$D$13)/10000)</f>
        <v/>
      </c>
      <c r="AX383" s="47" t="str">
        <f aca="false">IF(AW383="","",IF(AW383&gt;=1.05,"A+",IF(AW383&gt;=1,"A",IF(AW383&gt;=0.95,"B+",IF(AW383&gt;=0.9,"B","C")))))</f>
        <v/>
      </c>
      <c r="AY383" s="47" t="str">
        <f aca="false">IF(AX383="","",IF(AX383="A+",1800,IF(AX383="A",1600,IF(AX383="B+",1400,IF(AX383="B",1200,0)))))</f>
        <v/>
      </c>
      <c r="AZ383" s="49" t="str">
        <f aca="false">IF(OR(L383="",M383="",S383="",M383=0),"",IFERROR(L383*60*S383/(M383*36),0))</f>
        <v/>
      </c>
    </row>
    <row r="384" customFormat="false" ht="15" hidden="false" customHeight="true" outlineLevel="0" collapsed="false">
      <c r="A384" s="47" t="n">
        <f aca="false">'Daily KPI Entry'!A385</f>
        <v>0</v>
      </c>
      <c r="B384" s="48" t="n">
        <f aca="false">'Daily KPI Entry'!B385</f>
        <v>0</v>
      </c>
      <c r="C384" s="47" t="n">
        <f aca="false">'Daily KPI Entry'!C385</f>
        <v>0</v>
      </c>
      <c r="D384" s="47" t="n">
        <f aca="false">'Daily KPI Entry'!D385</f>
        <v>0</v>
      </c>
      <c r="E384" s="47" t="n">
        <f aca="false">'Daily KPI Entry'!E385</f>
        <v>0</v>
      </c>
      <c r="F384" s="47" t="n">
        <f aca="false">'Daily KPI Entry'!F385</f>
        <v>0</v>
      </c>
      <c r="G384" s="47" t="n">
        <f aca="false">'Daily KPI Entry'!G385</f>
        <v>0</v>
      </c>
      <c r="H384" s="47" t="str">
        <f aca="false">'Daily KPI Entry'!H385</f>
        <v/>
      </c>
      <c r="I384" s="47" t="n">
        <f aca="false">'Daily KPI Entry'!I385</f>
        <v>0</v>
      </c>
      <c r="J384" s="47" t="n">
        <f aca="false">'Daily KPI Entry'!J385</f>
        <v>0</v>
      </c>
      <c r="K384" s="47" t="n">
        <f aca="false">'Daily KPI Entry'!K385</f>
        <v>0</v>
      </c>
      <c r="L384" s="47" t="n">
        <f aca="false">'Daily KPI Entry'!L385</f>
        <v>0</v>
      </c>
      <c r="M384" s="47" t="n">
        <f aca="false">'Daily KPI Entry'!M385</f>
        <v>0</v>
      </c>
      <c r="N384" s="49" t="n">
        <f aca="false">'Daily KPI Entry'!N385</f>
        <v>0</v>
      </c>
      <c r="O384" s="49" t="n">
        <f aca="false">'Daily KPI Entry'!O385</f>
        <v>0</v>
      </c>
      <c r="P384" s="49" t="str">
        <f aca="false">IF(OR(N384="",O384=""),"",IFERROR(O384/N384*100,0))</f>
        <v/>
      </c>
      <c r="Q384" s="47" t="n">
        <f aca="false">'Daily KPI Entry'!Q385</f>
        <v>8</v>
      </c>
      <c r="R384" s="47" t="str">
        <f aca="false">IF(J384="","",Q384*J384)</f>
        <v/>
      </c>
      <c r="S384" s="49" t="n">
        <f aca="false">'Daily KPI Entry'!S385</f>
        <v>0</v>
      </c>
      <c r="T384" s="49" t="str">
        <f aca="false">IF(OR(R384="",S384=""),"",IFERROR(S384/R384*100,0))</f>
        <v/>
      </c>
      <c r="U384" s="49" t="str">
        <f aca="false">IF(OR(O384="",L384="",M384="",S384="",M384=0),"",IFERROR(O384/(L384*60*S384/(M384*36))*100,0))</f>
        <v/>
      </c>
      <c r="V384" s="49" t="n">
        <f aca="false">'Daily KPI Entry'!V385</f>
        <v>0</v>
      </c>
      <c r="W384" s="49" t="str">
        <f aca="false">IF(O384="","",IFERROR(V384/O384*100,0))</f>
        <v/>
      </c>
      <c r="X384" s="49" t="n">
        <f aca="false">'Daily KPI Entry'!X385</f>
        <v>0</v>
      </c>
      <c r="Y384" s="49" t="n">
        <f aca="false">'Daily KPI Entry'!Y385</f>
        <v>0</v>
      </c>
      <c r="Z384" s="49" t="n">
        <f aca="false">'Daily KPI Entry'!Z385</f>
        <v>0</v>
      </c>
      <c r="AA384" s="49" t="n">
        <f aca="false">'Daily KPI Entry'!AA385</f>
        <v>0</v>
      </c>
      <c r="AB384" s="49" t="n">
        <f aca="false">'Daily KPI Entry'!AB385</f>
        <v>0</v>
      </c>
      <c r="AC384" s="49" t="n">
        <f aca="false">'Daily KPI Entry'!AC385</f>
        <v>0</v>
      </c>
      <c r="AD384" s="49" t="n">
        <f aca="false">'Daily KPI Entry'!AD385</f>
        <v>0</v>
      </c>
      <c r="AE384" s="49" t="n">
        <f aca="false">'Daily KPI Entry'!AE385</f>
        <v>0</v>
      </c>
      <c r="AF384" s="47" t="str">
        <f aca="false">IF(O384="","",SUM(X384:AE384))</f>
        <v/>
      </c>
      <c r="AG384" s="49" t="str">
        <f aca="false">IF(O384="","",IFERROR(AF384/O384*1000,0))</f>
        <v/>
      </c>
      <c r="AH384" s="49" t="n">
        <f aca="false">'Daily KPI Entry'!AH385</f>
        <v>0</v>
      </c>
      <c r="AI384" s="49" t="n">
        <f aca="false">'Daily KPI Entry'!AI385</f>
        <v>0</v>
      </c>
      <c r="AJ384" s="49" t="n">
        <f aca="false">'Daily KPI Entry'!AJ385</f>
        <v>0</v>
      </c>
      <c r="AK384" s="47" t="n">
        <f aca="false">'Daily KPI Entry'!AK385</f>
        <v>0</v>
      </c>
      <c r="AL384" s="47" t="n">
        <f aca="false">'Daily KPI Entry'!AL385</f>
        <v>0</v>
      </c>
      <c r="AM384" s="47" t="n">
        <f aca="false">'Daily KPI Entry'!AM385</f>
        <v>0</v>
      </c>
      <c r="AN384" s="49" t="str">
        <f aca="false">IF(P384="","",MIN(120,P384))</f>
        <v/>
      </c>
      <c r="AO384" s="49" t="str">
        <f aca="false">IF(U384="","",MIN(120,U384))</f>
        <v/>
      </c>
      <c r="AP384" s="49" t="str">
        <f aca="false">IF(R384="","",MIN(120,IFERROR(S384/R384*100,0)))</f>
        <v/>
      </c>
      <c r="AQ384" s="49" t="str">
        <f aca="false">IF(W384="","",MIN(120,IF(W384=0,120,100*(INDEX('Standards &amp; Scoring'!$E$5:$E$13,MATCH("Quality / Rejection",'Standards &amp; Scoring'!$A$5:$A$13,0))/W384))))</f>
        <v/>
      </c>
      <c r="AR384" s="49" t="str">
        <f aca="false">IF(AG384="","",MIN(120,IF(AG384=0,120,100*(INDEX('Standards &amp; Scoring'!$E$5:$E$13,MATCH("Fault Control",'Standards &amp; Scoring'!$A$5:$A$13,0))/AG384))))</f>
        <v/>
      </c>
      <c r="AS384" s="49" t="str">
        <f aca="false">IF(O384="","",MIN(120,IF(SUMIFS('Fault &amp; Downtime Entry'!$L$6:$L$1005,'Fault &amp; Downtime Entry'!$E$6:$E$1005,G384,'Fault &amp; Downtime Entry'!$B$6:$B$1005,B384)=0,120,100*(INDEX('Standards &amp; Scoring'!$E$5:$E$13,MATCH("Downtime Control",'Standards &amp; Scoring'!$A$5:$A$13,0))/IFERROR(SUMIFS('Fault &amp; Downtime Entry'!$L$6:$L$1005,'Fault &amp; Downtime Entry'!$E$6:$E$1005,G384,'Fault &amp; Downtime Entry'!$B$6:$B$1005,B384)/O384*1000,999999)))))</f>
        <v/>
      </c>
      <c r="AT384" s="49" t="n">
        <f aca="false">IF(COUNTA(AH384,AJ384)=0,"",MIN(120,IF(AND(AH384&lt;&gt;"",AJ384&lt;&gt;""),AVERAGE(AH384,AJ384),IF(AH384&lt;&gt;"",AH384,AJ384))))</f>
        <v>0</v>
      </c>
      <c r="AU384" s="49" t="str">
        <f aca="false">IF(AI384="","",MIN(120,AI384))</f>
        <v/>
      </c>
      <c r="AV384" s="49" t="str">
        <f aca="false">IF(AJ384="","",MIN(120,AJ384))</f>
        <v/>
      </c>
      <c r="AW384" s="50" t="str">
        <f aca="false">IF(COUNT(AN384:AV384)&lt;9,"",(AN384*'Standards &amp; Scoring'!$D$5+AO384*'Standards &amp; Scoring'!$D$6+AP384*'Standards &amp; Scoring'!$D$7+AQ384*'Standards &amp; Scoring'!$D$8+AR384*'Standards &amp; Scoring'!$D$9+AS384*'Standards &amp; Scoring'!$D$10+AT384*'Standards &amp; Scoring'!$D$11+AU384*'Standards &amp; Scoring'!$D$12+AV384*'Standards &amp; Scoring'!$D$13)/10000)</f>
        <v/>
      </c>
      <c r="AX384" s="47" t="str">
        <f aca="false">IF(AW384="","",IF(AW384&gt;=1.05,"A+",IF(AW384&gt;=1,"A",IF(AW384&gt;=0.95,"B+",IF(AW384&gt;=0.9,"B","C")))))</f>
        <v/>
      </c>
      <c r="AY384" s="47" t="str">
        <f aca="false">IF(AX384="","",IF(AX384="A+",1800,IF(AX384="A",1600,IF(AX384="B+",1400,IF(AX384="B",1200,0)))))</f>
        <v/>
      </c>
      <c r="AZ384" s="49" t="str">
        <f aca="false">IF(OR(L384="",M384="",S384="",M384=0),"",IFERROR(L384*60*S384/(M384*36),0))</f>
        <v/>
      </c>
    </row>
    <row r="385" customFormat="false" ht="15" hidden="false" customHeight="true" outlineLevel="0" collapsed="false">
      <c r="A385" s="47" t="n">
        <f aca="false">'Daily KPI Entry'!A386</f>
        <v>0</v>
      </c>
      <c r="B385" s="48" t="n">
        <f aca="false">'Daily KPI Entry'!B386</f>
        <v>0</v>
      </c>
      <c r="C385" s="47" t="n">
        <f aca="false">'Daily KPI Entry'!C386</f>
        <v>0</v>
      </c>
      <c r="D385" s="47" t="n">
        <f aca="false">'Daily KPI Entry'!D386</f>
        <v>0</v>
      </c>
      <c r="E385" s="47" t="n">
        <f aca="false">'Daily KPI Entry'!E386</f>
        <v>0</v>
      </c>
      <c r="F385" s="47" t="n">
        <f aca="false">'Daily KPI Entry'!F386</f>
        <v>0</v>
      </c>
      <c r="G385" s="47" t="n">
        <f aca="false">'Daily KPI Entry'!G386</f>
        <v>0</v>
      </c>
      <c r="H385" s="47" t="str">
        <f aca="false">'Daily KPI Entry'!H386</f>
        <v/>
      </c>
      <c r="I385" s="47" t="n">
        <f aca="false">'Daily KPI Entry'!I386</f>
        <v>0</v>
      </c>
      <c r="J385" s="47" t="n">
        <f aca="false">'Daily KPI Entry'!J386</f>
        <v>0</v>
      </c>
      <c r="K385" s="47" t="n">
        <f aca="false">'Daily KPI Entry'!K386</f>
        <v>0</v>
      </c>
      <c r="L385" s="47" t="n">
        <f aca="false">'Daily KPI Entry'!L386</f>
        <v>0</v>
      </c>
      <c r="M385" s="47" t="n">
        <f aca="false">'Daily KPI Entry'!M386</f>
        <v>0</v>
      </c>
      <c r="N385" s="49" t="n">
        <f aca="false">'Daily KPI Entry'!N386</f>
        <v>0</v>
      </c>
      <c r="O385" s="49" t="n">
        <f aca="false">'Daily KPI Entry'!O386</f>
        <v>0</v>
      </c>
      <c r="P385" s="49" t="str">
        <f aca="false">IF(OR(N385="",O385=""),"",IFERROR(O385/N385*100,0))</f>
        <v/>
      </c>
      <c r="Q385" s="47" t="n">
        <f aca="false">'Daily KPI Entry'!Q386</f>
        <v>8</v>
      </c>
      <c r="R385" s="47" t="str">
        <f aca="false">IF(J385="","",Q385*J385)</f>
        <v/>
      </c>
      <c r="S385" s="49" t="n">
        <f aca="false">'Daily KPI Entry'!S386</f>
        <v>0</v>
      </c>
      <c r="T385" s="49" t="str">
        <f aca="false">IF(OR(R385="",S385=""),"",IFERROR(S385/R385*100,0))</f>
        <v/>
      </c>
      <c r="U385" s="49" t="str">
        <f aca="false">IF(OR(O385="",L385="",M385="",S385="",M385=0),"",IFERROR(O385/(L385*60*S385/(M385*36))*100,0))</f>
        <v/>
      </c>
      <c r="V385" s="49" t="n">
        <f aca="false">'Daily KPI Entry'!V386</f>
        <v>0</v>
      </c>
      <c r="W385" s="49" t="str">
        <f aca="false">IF(O385="","",IFERROR(V385/O385*100,0))</f>
        <v/>
      </c>
      <c r="X385" s="49" t="n">
        <f aca="false">'Daily KPI Entry'!X386</f>
        <v>0</v>
      </c>
      <c r="Y385" s="49" t="n">
        <f aca="false">'Daily KPI Entry'!Y386</f>
        <v>0</v>
      </c>
      <c r="Z385" s="49" t="n">
        <f aca="false">'Daily KPI Entry'!Z386</f>
        <v>0</v>
      </c>
      <c r="AA385" s="49" t="n">
        <f aca="false">'Daily KPI Entry'!AA386</f>
        <v>0</v>
      </c>
      <c r="AB385" s="49" t="n">
        <f aca="false">'Daily KPI Entry'!AB386</f>
        <v>0</v>
      </c>
      <c r="AC385" s="49" t="n">
        <f aca="false">'Daily KPI Entry'!AC386</f>
        <v>0</v>
      </c>
      <c r="AD385" s="49" t="n">
        <f aca="false">'Daily KPI Entry'!AD386</f>
        <v>0</v>
      </c>
      <c r="AE385" s="49" t="n">
        <f aca="false">'Daily KPI Entry'!AE386</f>
        <v>0</v>
      </c>
      <c r="AF385" s="47" t="str">
        <f aca="false">IF(O385="","",SUM(X385:AE385))</f>
        <v/>
      </c>
      <c r="AG385" s="49" t="str">
        <f aca="false">IF(O385="","",IFERROR(AF385/O385*1000,0))</f>
        <v/>
      </c>
      <c r="AH385" s="49" t="n">
        <f aca="false">'Daily KPI Entry'!AH386</f>
        <v>0</v>
      </c>
      <c r="AI385" s="49" t="n">
        <f aca="false">'Daily KPI Entry'!AI386</f>
        <v>0</v>
      </c>
      <c r="AJ385" s="49" t="n">
        <f aca="false">'Daily KPI Entry'!AJ386</f>
        <v>0</v>
      </c>
      <c r="AK385" s="47" t="n">
        <f aca="false">'Daily KPI Entry'!AK386</f>
        <v>0</v>
      </c>
      <c r="AL385" s="47" t="n">
        <f aca="false">'Daily KPI Entry'!AL386</f>
        <v>0</v>
      </c>
      <c r="AM385" s="47" t="n">
        <f aca="false">'Daily KPI Entry'!AM386</f>
        <v>0</v>
      </c>
      <c r="AN385" s="49" t="str">
        <f aca="false">IF(P385="","",MIN(120,P385))</f>
        <v/>
      </c>
      <c r="AO385" s="49" t="str">
        <f aca="false">IF(U385="","",MIN(120,U385))</f>
        <v/>
      </c>
      <c r="AP385" s="49" t="str">
        <f aca="false">IF(R385="","",MIN(120,IFERROR(S385/R385*100,0)))</f>
        <v/>
      </c>
      <c r="AQ385" s="49" t="str">
        <f aca="false">IF(W385="","",MIN(120,IF(W385=0,120,100*(INDEX('Standards &amp; Scoring'!$E$5:$E$13,MATCH("Quality / Rejection",'Standards &amp; Scoring'!$A$5:$A$13,0))/W385))))</f>
        <v/>
      </c>
      <c r="AR385" s="49" t="str">
        <f aca="false">IF(AG385="","",MIN(120,IF(AG385=0,120,100*(INDEX('Standards &amp; Scoring'!$E$5:$E$13,MATCH("Fault Control",'Standards &amp; Scoring'!$A$5:$A$13,0))/AG385))))</f>
        <v/>
      </c>
      <c r="AS385" s="49" t="str">
        <f aca="false">IF(O385="","",MIN(120,IF(SUMIFS('Fault &amp; Downtime Entry'!$L$6:$L$1005,'Fault &amp; Downtime Entry'!$E$6:$E$1005,G385,'Fault &amp; Downtime Entry'!$B$6:$B$1005,B385)=0,120,100*(INDEX('Standards &amp; Scoring'!$E$5:$E$13,MATCH("Downtime Control",'Standards &amp; Scoring'!$A$5:$A$13,0))/IFERROR(SUMIFS('Fault &amp; Downtime Entry'!$L$6:$L$1005,'Fault &amp; Downtime Entry'!$E$6:$E$1005,G385,'Fault &amp; Downtime Entry'!$B$6:$B$1005,B385)/O385*1000,999999)))))</f>
        <v/>
      </c>
      <c r="AT385" s="49" t="n">
        <f aca="false">IF(COUNTA(AH385,AJ385)=0,"",MIN(120,IF(AND(AH385&lt;&gt;"",AJ385&lt;&gt;""),AVERAGE(AH385,AJ385),IF(AH385&lt;&gt;"",AH385,AJ385))))</f>
        <v>0</v>
      </c>
      <c r="AU385" s="49" t="str">
        <f aca="false">IF(AI385="","",MIN(120,AI385))</f>
        <v/>
      </c>
      <c r="AV385" s="49" t="str">
        <f aca="false">IF(AJ385="","",MIN(120,AJ385))</f>
        <v/>
      </c>
      <c r="AW385" s="50" t="str">
        <f aca="false">IF(COUNT(AN385:AV385)&lt;9,"",(AN385*'Standards &amp; Scoring'!$D$5+AO385*'Standards &amp; Scoring'!$D$6+AP385*'Standards &amp; Scoring'!$D$7+AQ385*'Standards &amp; Scoring'!$D$8+AR385*'Standards &amp; Scoring'!$D$9+AS385*'Standards &amp; Scoring'!$D$10+AT385*'Standards &amp; Scoring'!$D$11+AU385*'Standards &amp; Scoring'!$D$12+AV385*'Standards &amp; Scoring'!$D$13)/10000)</f>
        <v/>
      </c>
      <c r="AX385" s="47" t="str">
        <f aca="false">IF(AW385="","",IF(AW385&gt;=1.05,"A+",IF(AW385&gt;=1,"A",IF(AW385&gt;=0.95,"B+",IF(AW385&gt;=0.9,"B","C")))))</f>
        <v/>
      </c>
      <c r="AY385" s="47" t="str">
        <f aca="false">IF(AX385="","",IF(AX385="A+",1800,IF(AX385="A",1600,IF(AX385="B+",1400,IF(AX385="B",1200,0)))))</f>
        <v/>
      </c>
      <c r="AZ385" s="49" t="str">
        <f aca="false">IF(OR(L385="",M385="",S385="",M385=0),"",IFERROR(L385*60*S385/(M385*36),0))</f>
        <v/>
      </c>
    </row>
    <row r="386" customFormat="false" ht="15" hidden="false" customHeight="true" outlineLevel="0" collapsed="false">
      <c r="A386" s="47" t="n">
        <f aca="false">'Daily KPI Entry'!A387</f>
        <v>0</v>
      </c>
      <c r="B386" s="48" t="n">
        <f aca="false">'Daily KPI Entry'!B387</f>
        <v>0</v>
      </c>
      <c r="C386" s="47" t="n">
        <f aca="false">'Daily KPI Entry'!C387</f>
        <v>0</v>
      </c>
      <c r="D386" s="47" t="n">
        <f aca="false">'Daily KPI Entry'!D387</f>
        <v>0</v>
      </c>
      <c r="E386" s="47" t="n">
        <f aca="false">'Daily KPI Entry'!E387</f>
        <v>0</v>
      </c>
      <c r="F386" s="47" t="n">
        <f aca="false">'Daily KPI Entry'!F387</f>
        <v>0</v>
      </c>
      <c r="G386" s="47" t="n">
        <f aca="false">'Daily KPI Entry'!G387</f>
        <v>0</v>
      </c>
      <c r="H386" s="47" t="str">
        <f aca="false">'Daily KPI Entry'!H387</f>
        <v/>
      </c>
      <c r="I386" s="47" t="n">
        <f aca="false">'Daily KPI Entry'!I387</f>
        <v>0</v>
      </c>
      <c r="J386" s="47" t="n">
        <f aca="false">'Daily KPI Entry'!J387</f>
        <v>0</v>
      </c>
      <c r="K386" s="47" t="n">
        <f aca="false">'Daily KPI Entry'!K387</f>
        <v>0</v>
      </c>
      <c r="L386" s="47" t="n">
        <f aca="false">'Daily KPI Entry'!L387</f>
        <v>0</v>
      </c>
      <c r="M386" s="47" t="n">
        <f aca="false">'Daily KPI Entry'!M387</f>
        <v>0</v>
      </c>
      <c r="N386" s="49" t="n">
        <f aca="false">'Daily KPI Entry'!N387</f>
        <v>0</v>
      </c>
      <c r="O386" s="49" t="n">
        <f aca="false">'Daily KPI Entry'!O387</f>
        <v>0</v>
      </c>
      <c r="P386" s="49" t="str">
        <f aca="false">IF(OR(N386="",O386=""),"",IFERROR(O386/N386*100,0))</f>
        <v/>
      </c>
      <c r="Q386" s="47" t="n">
        <f aca="false">'Daily KPI Entry'!Q387</f>
        <v>8</v>
      </c>
      <c r="R386" s="47" t="str">
        <f aca="false">IF(J386="","",Q386*J386)</f>
        <v/>
      </c>
      <c r="S386" s="49" t="n">
        <f aca="false">'Daily KPI Entry'!S387</f>
        <v>0</v>
      </c>
      <c r="T386" s="49" t="str">
        <f aca="false">IF(OR(R386="",S386=""),"",IFERROR(S386/R386*100,0))</f>
        <v/>
      </c>
      <c r="U386" s="49" t="str">
        <f aca="false">IF(OR(O386="",L386="",M386="",S386="",M386=0),"",IFERROR(O386/(L386*60*S386/(M386*36))*100,0))</f>
        <v/>
      </c>
      <c r="V386" s="49" t="n">
        <f aca="false">'Daily KPI Entry'!V387</f>
        <v>0</v>
      </c>
      <c r="W386" s="49" t="str">
        <f aca="false">IF(O386="","",IFERROR(V386/O386*100,0))</f>
        <v/>
      </c>
      <c r="X386" s="49" t="n">
        <f aca="false">'Daily KPI Entry'!X387</f>
        <v>0</v>
      </c>
      <c r="Y386" s="49" t="n">
        <f aca="false">'Daily KPI Entry'!Y387</f>
        <v>0</v>
      </c>
      <c r="Z386" s="49" t="n">
        <f aca="false">'Daily KPI Entry'!Z387</f>
        <v>0</v>
      </c>
      <c r="AA386" s="49" t="n">
        <f aca="false">'Daily KPI Entry'!AA387</f>
        <v>0</v>
      </c>
      <c r="AB386" s="49" t="n">
        <f aca="false">'Daily KPI Entry'!AB387</f>
        <v>0</v>
      </c>
      <c r="AC386" s="49" t="n">
        <f aca="false">'Daily KPI Entry'!AC387</f>
        <v>0</v>
      </c>
      <c r="AD386" s="49" t="n">
        <f aca="false">'Daily KPI Entry'!AD387</f>
        <v>0</v>
      </c>
      <c r="AE386" s="49" t="n">
        <f aca="false">'Daily KPI Entry'!AE387</f>
        <v>0</v>
      </c>
      <c r="AF386" s="47" t="str">
        <f aca="false">IF(O386="","",SUM(X386:AE386))</f>
        <v/>
      </c>
      <c r="AG386" s="49" t="str">
        <f aca="false">IF(O386="","",IFERROR(AF386/O386*1000,0))</f>
        <v/>
      </c>
      <c r="AH386" s="49" t="n">
        <f aca="false">'Daily KPI Entry'!AH387</f>
        <v>0</v>
      </c>
      <c r="AI386" s="49" t="n">
        <f aca="false">'Daily KPI Entry'!AI387</f>
        <v>0</v>
      </c>
      <c r="AJ386" s="49" t="n">
        <f aca="false">'Daily KPI Entry'!AJ387</f>
        <v>0</v>
      </c>
      <c r="AK386" s="47" t="n">
        <f aca="false">'Daily KPI Entry'!AK387</f>
        <v>0</v>
      </c>
      <c r="AL386" s="47" t="n">
        <f aca="false">'Daily KPI Entry'!AL387</f>
        <v>0</v>
      </c>
      <c r="AM386" s="47" t="n">
        <f aca="false">'Daily KPI Entry'!AM387</f>
        <v>0</v>
      </c>
      <c r="AN386" s="49" t="str">
        <f aca="false">IF(P386="","",MIN(120,P386))</f>
        <v/>
      </c>
      <c r="AO386" s="49" t="str">
        <f aca="false">IF(U386="","",MIN(120,U386))</f>
        <v/>
      </c>
      <c r="AP386" s="49" t="str">
        <f aca="false">IF(R386="","",MIN(120,IFERROR(S386/R386*100,0)))</f>
        <v/>
      </c>
      <c r="AQ386" s="49" t="str">
        <f aca="false">IF(W386="","",MIN(120,IF(W386=0,120,100*(INDEX('Standards &amp; Scoring'!$E$5:$E$13,MATCH("Quality / Rejection",'Standards &amp; Scoring'!$A$5:$A$13,0))/W386))))</f>
        <v/>
      </c>
      <c r="AR386" s="49" t="str">
        <f aca="false">IF(AG386="","",MIN(120,IF(AG386=0,120,100*(INDEX('Standards &amp; Scoring'!$E$5:$E$13,MATCH("Fault Control",'Standards &amp; Scoring'!$A$5:$A$13,0))/AG386))))</f>
        <v/>
      </c>
      <c r="AS386" s="49" t="str">
        <f aca="false">IF(O386="","",MIN(120,IF(SUMIFS('Fault &amp; Downtime Entry'!$L$6:$L$1005,'Fault &amp; Downtime Entry'!$E$6:$E$1005,G386,'Fault &amp; Downtime Entry'!$B$6:$B$1005,B386)=0,120,100*(INDEX('Standards &amp; Scoring'!$E$5:$E$13,MATCH("Downtime Control",'Standards &amp; Scoring'!$A$5:$A$13,0))/IFERROR(SUMIFS('Fault &amp; Downtime Entry'!$L$6:$L$1005,'Fault &amp; Downtime Entry'!$E$6:$E$1005,G386,'Fault &amp; Downtime Entry'!$B$6:$B$1005,B386)/O386*1000,999999)))))</f>
        <v/>
      </c>
      <c r="AT386" s="49" t="n">
        <f aca="false">IF(COUNTA(AH386,AJ386)=0,"",MIN(120,IF(AND(AH386&lt;&gt;"",AJ386&lt;&gt;""),AVERAGE(AH386,AJ386),IF(AH386&lt;&gt;"",AH386,AJ386))))</f>
        <v>0</v>
      </c>
      <c r="AU386" s="49" t="str">
        <f aca="false">IF(AI386="","",MIN(120,AI386))</f>
        <v/>
      </c>
      <c r="AV386" s="49" t="str">
        <f aca="false">IF(AJ386="","",MIN(120,AJ386))</f>
        <v/>
      </c>
      <c r="AW386" s="50" t="str">
        <f aca="false">IF(COUNT(AN386:AV386)&lt;9,"",(AN386*'Standards &amp; Scoring'!$D$5+AO386*'Standards &amp; Scoring'!$D$6+AP386*'Standards &amp; Scoring'!$D$7+AQ386*'Standards &amp; Scoring'!$D$8+AR386*'Standards &amp; Scoring'!$D$9+AS386*'Standards &amp; Scoring'!$D$10+AT386*'Standards &amp; Scoring'!$D$11+AU386*'Standards &amp; Scoring'!$D$12+AV386*'Standards &amp; Scoring'!$D$13)/10000)</f>
        <v/>
      </c>
      <c r="AX386" s="47" t="str">
        <f aca="false">IF(AW386="","",IF(AW386&gt;=1.05,"A+",IF(AW386&gt;=1,"A",IF(AW386&gt;=0.95,"B+",IF(AW386&gt;=0.9,"B","C")))))</f>
        <v/>
      </c>
      <c r="AY386" s="47" t="str">
        <f aca="false">IF(AX386="","",IF(AX386="A+",1800,IF(AX386="A",1600,IF(AX386="B+",1400,IF(AX386="B",1200,0)))))</f>
        <v/>
      </c>
      <c r="AZ386" s="49" t="str">
        <f aca="false">IF(OR(L386="",M386="",S386="",M386=0),"",IFERROR(L386*60*S386/(M386*36),0))</f>
        <v/>
      </c>
    </row>
    <row r="387" customFormat="false" ht="15" hidden="false" customHeight="true" outlineLevel="0" collapsed="false">
      <c r="A387" s="47" t="n">
        <f aca="false">'Daily KPI Entry'!A388</f>
        <v>0</v>
      </c>
      <c r="B387" s="48" t="n">
        <f aca="false">'Daily KPI Entry'!B388</f>
        <v>0</v>
      </c>
      <c r="C387" s="47" t="n">
        <f aca="false">'Daily KPI Entry'!C388</f>
        <v>0</v>
      </c>
      <c r="D387" s="47" t="n">
        <f aca="false">'Daily KPI Entry'!D388</f>
        <v>0</v>
      </c>
      <c r="E387" s="47" t="n">
        <f aca="false">'Daily KPI Entry'!E388</f>
        <v>0</v>
      </c>
      <c r="F387" s="47" t="n">
        <f aca="false">'Daily KPI Entry'!F388</f>
        <v>0</v>
      </c>
      <c r="G387" s="47" t="n">
        <f aca="false">'Daily KPI Entry'!G388</f>
        <v>0</v>
      </c>
      <c r="H387" s="47" t="str">
        <f aca="false">'Daily KPI Entry'!H388</f>
        <v/>
      </c>
      <c r="I387" s="47" t="n">
        <f aca="false">'Daily KPI Entry'!I388</f>
        <v>0</v>
      </c>
      <c r="J387" s="47" t="n">
        <f aca="false">'Daily KPI Entry'!J388</f>
        <v>0</v>
      </c>
      <c r="K387" s="47" t="n">
        <f aca="false">'Daily KPI Entry'!K388</f>
        <v>0</v>
      </c>
      <c r="L387" s="47" t="n">
        <f aca="false">'Daily KPI Entry'!L388</f>
        <v>0</v>
      </c>
      <c r="M387" s="47" t="n">
        <f aca="false">'Daily KPI Entry'!M388</f>
        <v>0</v>
      </c>
      <c r="N387" s="49" t="n">
        <f aca="false">'Daily KPI Entry'!N388</f>
        <v>0</v>
      </c>
      <c r="O387" s="49" t="n">
        <f aca="false">'Daily KPI Entry'!O388</f>
        <v>0</v>
      </c>
      <c r="P387" s="49" t="str">
        <f aca="false">IF(OR(N387="",O387=""),"",IFERROR(O387/N387*100,0))</f>
        <v/>
      </c>
      <c r="Q387" s="47" t="n">
        <f aca="false">'Daily KPI Entry'!Q388</f>
        <v>8</v>
      </c>
      <c r="R387" s="47" t="str">
        <f aca="false">IF(J387="","",Q387*J387)</f>
        <v/>
      </c>
      <c r="S387" s="49" t="n">
        <f aca="false">'Daily KPI Entry'!S388</f>
        <v>0</v>
      </c>
      <c r="T387" s="49" t="str">
        <f aca="false">IF(OR(R387="",S387=""),"",IFERROR(S387/R387*100,0))</f>
        <v/>
      </c>
      <c r="U387" s="49" t="str">
        <f aca="false">IF(OR(O387="",L387="",M387="",S387="",M387=0),"",IFERROR(O387/(L387*60*S387/(M387*36))*100,0))</f>
        <v/>
      </c>
      <c r="V387" s="49" t="n">
        <f aca="false">'Daily KPI Entry'!V388</f>
        <v>0</v>
      </c>
      <c r="W387" s="49" t="str">
        <f aca="false">IF(O387="","",IFERROR(V387/O387*100,0))</f>
        <v/>
      </c>
      <c r="X387" s="49" t="n">
        <f aca="false">'Daily KPI Entry'!X388</f>
        <v>0</v>
      </c>
      <c r="Y387" s="49" t="n">
        <f aca="false">'Daily KPI Entry'!Y388</f>
        <v>0</v>
      </c>
      <c r="Z387" s="49" t="n">
        <f aca="false">'Daily KPI Entry'!Z388</f>
        <v>0</v>
      </c>
      <c r="AA387" s="49" t="n">
        <f aca="false">'Daily KPI Entry'!AA388</f>
        <v>0</v>
      </c>
      <c r="AB387" s="49" t="n">
        <f aca="false">'Daily KPI Entry'!AB388</f>
        <v>0</v>
      </c>
      <c r="AC387" s="49" t="n">
        <f aca="false">'Daily KPI Entry'!AC388</f>
        <v>0</v>
      </c>
      <c r="AD387" s="49" t="n">
        <f aca="false">'Daily KPI Entry'!AD388</f>
        <v>0</v>
      </c>
      <c r="AE387" s="49" t="n">
        <f aca="false">'Daily KPI Entry'!AE388</f>
        <v>0</v>
      </c>
      <c r="AF387" s="47" t="str">
        <f aca="false">IF(O387="","",SUM(X387:AE387))</f>
        <v/>
      </c>
      <c r="AG387" s="49" t="str">
        <f aca="false">IF(O387="","",IFERROR(AF387/O387*1000,0))</f>
        <v/>
      </c>
      <c r="AH387" s="49" t="n">
        <f aca="false">'Daily KPI Entry'!AH388</f>
        <v>0</v>
      </c>
      <c r="AI387" s="49" t="n">
        <f aca="false">'Daily KPI Entry'!AI388</f>
        <v>0</v>
      </c>
      <c r="AJ387" s="49" t="n">
        <f aca="false">'Daily KPI Entry'!AJ388</f>
        <v>0</v>
      </c>
      <c r="AK387" s="47" t="n">
        <f aca="false">'Daily KPI Entry'!AK388</f>
        <v>0</v>
      </c>
      <c r="AL387" s="47" t="n">
        <f aca="false">'Daily KPI Entry'!AL388</f>
        <v>0</v>
      </c>
      <c r="AM387" s="47" t="n">
        <f aca="false">'Daily KPI Entry'!AM388</f>
        <v>0</v>
      </c>
      <c r="AN387" s="49" t="str">
        <f aca="false">IF(P387="","",MIN(120,P387))</f>
        <v/>
      </c>
      <c r="AO387" s="49" t="str">
        <f aca="false">IF(U387="","",MIN(120,U387))</f>
        <v/>
      </c>
      <c r="AP387" s="49" t="str">
        <f aca="false">IF(R387="","",MIN(120,IFERROR(S387/R387*100,0)))</f>
        <v/>
      </c>
      <c r="AQ387" s="49" t="str">
        <f aca="false">IF(W387="","",MIN(120,IF(W387=0,120,100*(INDEX('Standards &amp; Scoring'!$E$5:$E$13,MATCH("Quality / Rejection",'Standards &amp; Scoring'!$A$5:$A$13,0))/W387))))</f>
        <v/>
      </c>
      <c r="AR387" s="49" t="str">
        <f aca="false">IF(AG387="","",MIN(120,IF(AG387=0,120,100*(INDEX('Standards &amp; Scoring'!$E$5:$E$13,MATCH("Fault Control",'Standards &amp; Scoring'!$A$5:$A$13,0))/AG387))))</f>
        <v/>
      </c>
      <c r="AS387" s="49" t="str">
        <f aca="false">IF(O387="","",MIN(120,IF(SUMIFS('Fault &amp; Downtime Entry'!$L$6:$L$1005,'Fault &amp; Downtime Entry'!$E$6:$E$1005,G387,'Fault &amp; Downtime Entry'!$B$6:$B$1005,B387)=0,120,100*(INDEX('Standards &amp; Scoring'!$E$5:$E$13,MATCH("Downtime Control",'Standards &amp; Scoring'!$A$5:$A$13,0))/IFERROR(SUMIFS('Fault &amp; Downtime Entry'!$L$6:$L$1005,'Fault &amp; Downtime Entry'!$E$6:$E$1005,G387,'Fault &amp; Downtime Entry'!$B$6:$B$1005,B387)/O387*1000,999999)))))</f>
        <v/>
      </c>
      <c r="AT387" s="49" t="n">
        <f aca="false">IF(COUNTA(AH387,AJ387)=0,"",MIN(120,IF(AND(AH387&lt;&gt;"",AJ387&lt;&gt;""),AVERAGE(AH387,AJ387),IF(AH387&lt;&gt;"",AH387,AJ387))))</f>
        <v>0</v>
      </c>
      <c r="AU387" s="49" t="str">
        <f aca="false">IF(AI387="","",MIN(120,AI387))</f>
        <v/>
      </c>
      <c r="AV387" s="49" t="str">
        <f aca="false">IF(AJ387="","",MIN(120,AJ387))</f>
        <v/>
      </c>
      <c r="AW387" s="50" t="str">
        <f aca="false">IF(COUNT(AN387:AV387)&lt;9,"",(AN387*'Standards &amp; Scoring'!$D$5+AO387*'Standards &amp; Scoring'!$D$6+AP387*'Standards &amp; Scoring'!$D$7+AQ387*'Standards &amp; Scoring'!$D$8+AR387*'Standards &amp; Scoring'!$D$9+AS387*'Standards &amp; Scoring'!$D$10+AT387*'Standards &amp; Scoring'!$D$11+AU387*'Standards &amp; Scoring'!$D$12+AV387*'Standards &amp; Scoring'!$D$13)/10000)</f>
        <v/>
      </c>
      <c r="AX387" s="47" t="str">
        <f aca="false">IF(AW387="","",IF(AW387&gt;=1.05,"A+",IF(AW387&gt;=1,"A",IF(AW387&gt;=0.95,"B+",IF(AW387&gt;=0.9,"B","C")))))</f>
        <v/>
      </c>
      <c r="AY387" s="47" t="str">
        <f aca="false">IF(AX387="","",IF(AX387="A+",1800,IF(AX387="A",1600,IF(AX387="B+",1400,IF(AX387="B",1200,0)))))</f>
        <v/>
      </c>
      <c r="AZ387" s="49" t="str">
        <f aca="false">IF(OR(L387="",M387="",S387="",M387=0),"",IFERROR(L387*60*S387/(M387*36),0))</f>
        <v/>
      </c>
    </row>
    <row r="388" customFormat="false" ht="15" hidden="false" customHeight="true" outlineLevel="0" collapsed="false">
      <c r="A388" s="47" t="n">
        <f aca="false">'Daily KPI Entry'!A389</f>
        <v>0</v>
      </c>
      <c r="B388" s="48" t="n">
        <f aca="false">'Daily KPI Entry'!B389</f>
        <v>0</v>
      </c>
      <c r="C388" s="47" t="n">
        <f aca="false">'Daily KPI Entry'!C389</f>
        <v>0</v>
      </c>
      <c r="D388" s="47" t="n">
        <f aca="false">'Daily KPI Entry'!D389</f>
        <v>0</v>
      </c>
      <c r="E388" s="47" t="n">
        <f aca="false">'Daily KPI Entry'!E389</f>
        <v>0</v>
      </c>
      <c r="F388" s="47" t="n">
        <f aca="false">'Daily KPI Entry'!F389</f>
        <v>0</v>
      </c>
      <c r="G388" s="47" t="n">
        <f aca="false">'Daily KPI Entry'!G389</f>
        <v>0</v>
      </c>
      <c r="H388" s="47" t="str">
        <f aca="false">'Daily KPI Entry'!H389</f>
        <v/>
      </c>
      <c r="I388" s="47" t="n">
        <f aca="false">'Daily KPI Entry'!I389</f>
        <v>0</v>
      </c>
      <c r="J388" s="47" t="n">
        <f aca="false">'Daily KPI Entry'!J389</f>
        <v>0</v>
      </c>
      <c r="K388" s="47" t="n">
        <f aca="false">'Daily KPI Entry'!K389</f>
        <v>0</v>
      </c>
      <c r="L388" s="47" t="n">
        <f aca="false">'Daily KPI Entry'!L389</f>
        <v>0</v>
      </c>
      <c r="M388" s="47" t="n">
        <f aca="false">'Daily KPI Entry'!M389</f>
        <v>0</v>
      </c>
      <c r="N388" s="49" t="n">
        <f aca="false">'Daily KPI Entry'!N389</f>
        <v>0</v>
      </c>
      <c r="O388" s="49" t="n">
        <f aca="false">'Daily KPI Entry'!O389</f>
        <v>0</v>
      </c>
      <c r="P388" s="49" t="str">
        <f aca="false">IF(OR(N388="",O388=""),"",IFERROR(O388/N388*100,0))</f>
        <v/>
      </c>
      <c r="Q388" s="47" t="n">
        <f aca="false">'Daily KPI Entry'!Q389</f>
        <v>8</v>
      </c>
      <c r="R388" s="47" t="str">
        <f aca="false">IF(J388="","",Q388*J388)</f>
        <v/>
      </c>
      <c r="S388" s="49" t="n">
        <f aca="false">'Daily KPI Entry'!S389</f>
        <v>0</v>
      </c>
      <c r="T388" s="49" t="str">
        <f aca="false">IF(OR(R388="",S388=""),"",IFERROR(S388/R388*100,0))</f>
        <v/>
      </c>
      <c r="U388" s="49" t="str">
        <f aca="false">IF(OR(O388="",L388="",M388="",S388="",M388=0),"",IFERROR(O388/(L388*60*S388/(M388*36))*100,0))</f>
        <v/>
      </c>
      <c r="V388" s="49" t="n">
        <f aca="false">'Daily KPI Entry'!V389</f>
        <v>0</v>
      </c>
      <c r="W388" s="49" t="str">
        <f aca="false">IF(O388="","",IFERROR(V388/O388*100,0))</f>
        <v/>
      </c>
      <c r="X388" s="49" t="n">
        <f aca="false">'Daily KPI Entry'!X389</f>
        <v>0</v>
      </c>
      <c r="Y388" s="49" t="n">
        <f aca="false">'Daily KPI Entry'!Y389</f>
        <v>0</v>
      </c>
      <c r="Z388" s="49" t="n">
        <f aca="false">'Daily KPI Entry'!Z389</f>
        <v>0</v>
      </c>
      <c r="AA388" s="49" t="n">
        <f aca="false">'Daily KPI Entry'!AA389</f>
        <v>0</v>
      </c>
      <c r="AB388" s="49" t="n">
        <f aca="false">'Daily KPI Entry'!AB389</f>
        <v>0</v>
      </c>
      <c r="AC388" s="49" t="n">
        <f aca="false">'Daily KPI Entry'!AC389</f>
        <v>0</v>
      </c>
      <c r="AD388" s="49" t="n">
        <f aca="false">'Daily KPI Entry'!AD389</f>
        <v>0</v>
      </c>
      <c r="AE388" s="49" t="n">
        <f aca="false">'Daily KPI Entry'!AE389</f>
        <v>0</v>
      </c>
      <c r="AF388" s="47" t="str">
        <f aca="false">IF(O388="","",SUM(X388:AE388))</f>
        <v/>
      </c>
      <c r="AG388" s="49" t="str">
        <f aca="false">IF(O388="","",IFERROR(AF388/O388*1000,0))</f>
        <v/>
      </c>
      <c r="AH388" s="49" t="n">
        <f aca="false">'Daily KPI Entry'!AH389</f>
        <v>0</v>
      </c>
      <c r="AI388" s="49" t="n">
        <f aca="false">'Daily KPI Entry'!AI389</f>
        <v>0</v>
      </c>
      <c r="AJ388" s="49" t="n">
        <f aca="false">'Daily KPI Entry'!AJ389</f>
        <v>0</v>
      </c>
      <c r="AK388" s="47" t="n">
        <f aca="false">'Daily KPI Entry'!AK389</f>
        <v>0</v>
      </c>
      <c r="AL388" s="47" t="n">
        <f aca="false">'Daily KPI Entry'!AL389</f>
        <v>0</v>
      </c>
      <c r="AM388" s="47" t="n">
        <f aca="false">'Daily KPI Entry'!AM389</f>
        <v>0</v>
      </c>
      <c r="AN388" s="49" t="str">
        <f aca="false">IF(P388="","",MIN(120,P388))</f>
        <v/>
      </c>
      <c r="AO388" s="49" t="str">
        <f aca="false">IF(U388="","",MIN(120,U388))</f>
        <v/>
      </c>
      <c r="AP388" s="49" t="str">
        <f aca="false">IF(R388="","",MIN(120,IFERROR(S388/R388*100,0)))</f>
        <v/>
      </c>
      <c r="AQ388" s="49" t="str">
        <f aca="false">IF(W388="","",MIN(120,IF(W388=0,120,100*(INDEX('Standards &amp; Scoring'!$E$5:$E$13,MATCH("Quality / Rejection",'Standards &amp; Scoring'!$A$5:$A$13,0))/W388))))</f>
        <v/>
      </c>
      <c r="AR388" s="49" t="str">
        <f aca="false">IF(AG388="","",MIN(120,IF(AG388=0,120,100*(INDEX('Standards &amp; Scoring'!$E$5:$E$13,MATCH("Fault Control",'Standards &amp; Scoring'!$A$5:$A$13,0))/AG388))))</f>
        <v/>
      </c>
      <c r="AS388" s="49" t="str">
        <f aca="false">IF(O388="","",MIN(120,IF(SUMIFS('Fault &amp; Downtime Entry'!$L$6:$L$1005,'Fault &amp; Downtime Entry'!$E$6:$E$1005,G388,'Fault &amp; Downtime Entry'!$B$6:$B$1005,B388)=0,120,100*(INDEX('Standards &amp; Scoring'!$E$5:$E$13,MATCH("Downtime Control",'Standards &amp; Scoring'!$A$5:$A$13,0))/IFERROR(SUMIFS('Fault &amp; Downtime Entry'!$L$6:$L$1005,'Fault &amp; Downtime Entry'!$E$6:$E$1005,G388,'Fault &amp; Downtime Entry'!$B$6:$B$1005,B388)/O388*1000,999999)))))</f>
        <v/>
      </c>
      <c r="AT388" s="49" t="n">
        <f aca="false">IF(COUNTA(AH388,AJ388)=0,"",MIN(120,IF(AND(AH388&lt;&gt;"",AJ388&lt;&gt;""),AVERAGE(AH388,AJ388),IF(AH388&lt;&gt;"",AH388,AJ388))))</f>
        <v>0</v>
      </c>
      <c r="AU388" s="49" t="str">
        <f aca="false">IF(AI388="","",MIN(120,AI388))</f>
        <v/>
      </c>
      <c r="AV388" s="49" t="str">
        <f aca="false">IF(AJ388="","",MIN(120,AJ388))</f>
        <v/>
      </c>
      <c r="AW388" s="50" t="str">
        <f aca="false">IF(COUNT(AN388:AV388)&lt;9,"",(AN388*'Standards &amp; Scoring'!$D$5+AO388*'Standards &amp; Scoring'!$D$6+AP388*'Standards &amp; Scoring'!$D$7+AQ388*'Standards &amp; Scoring'!$D$8+AR388*'Standards &amp; Scoring'!$D$9+AS388*'Standards &amp; Scoring'!$D$10+AT388*'Standards &amp; Scoring'!$D$11+AU388*'Standards &amp; Scoring'!$D$12+AV388*'Standards &amp; Scoring'!$D$13)/10000)</f>
        <v/>
      </c>
      <c r="AX388" s="47" t="str">
        <f aca="false">IF(AW388="","",IF(AW388&gt;=1.05,"A+",IF(AW388&gt;=1,"A",IF(AW388&gt;=0.95,"B+",IF(AW388&gt;=0.9,"B","C")))))</f>
        <v/>
      </c>
      <c r="AY388" s="47" t="str">
        <f aca="false">IF(AX388="","",IF(AX388="A+",1800,IF(AX388="A",1600,IF(AX388="B+",1400,IF(AX388="B",1200,0)))))</f>
        <v/>
      </c>
      <c r="AZ388" s="49" t="str">
        <f aca="false">IF(OR(L388="",M388="",S388="",M388=0),"",IFERROR(L388*60*S388/(M388*36),0))</f>
        <v/>
      </c>
    </row>
    <row r="389" customFormat="false" ht="15" hidden="false" customHeight="true" outlineLevel="0" collapsed="false">
      <c r="A389" s="47" t="n">
        <f aca="false">'Daily KPI Entry'!A390</f>
        <v>0</v>
      </c>
      <c r="B389" s="48" t="n">
        <f aca="false">'Daily KPI Entry'!B390</f>
        <v>0</v>
      </c>
      <c r="C389" s="47" t="n">
        <f aca="false">'Daily KPI Entry'!C390</f>
        <v>0</v>
      </c>
      <c r="D389" s="47" t="n">
        <f aca="false">'Daily KPI Entry'!D390</f>
        <v>0</v>
      </c>
      <c r="E389" s="47" t="n">
        <f aca="false">'Daily KPI Entry'!E390</f>
        <v>0</v>
      </c>
      <c r="F389" s="47" t="n">
        <f aca="false">'Daily KPI Entry'!F390</f>
        <v>0</v>
      </c>
      <c r="G389" s="47" t="n">
        <f aca="false">'Daily KPI Entry'!G390</f>
        <v>0</v>
      </c>
      <c r="H389" s="47" t="str">
        <f aca="false">'Daily KPI Entry'!H390</f>
        <v/>
      </c>
      <c r="I389" s="47" t="n">
        <f aca="false">'Daily KPI Entry'!I390</f>
        <v>0</v>
      </c>
      <c r="J389" s="47" t="n">
        <f aca="false">'Daily KPI Entry'!J390</f>
        <v>0</v>
      </c>
      <c r="K389" s="47" t="n">
        <f aca="false">'Daily KPI Entry'!K390</f>
        <v>0</v>
      </c>
      <c r="L389" s="47" t="n">
        <f aca="false">'Daily KPI Entry'!L390</f>
        <v>0</v>
      </c>
      <c r="M389" s="47" t="n">
        <f aca="false">'Daily KPI Entry'!M390</f>
        <v>0</v>
      </c>
      <c r="N389" s="49" t="n">
        <f aca="false">'Daily KPI Entry'!N390</f>
        <v>0</v>
      </c>
      <c r="O389" s="49" t="n">
        <f aca="false">'Daily KPI Entry'!O390</f>
        <v>0</v>
      </c>
      <c r="P389" s="49" t="str">
        <f aca="false">IF(OR(N389="",O389=""),"",IFERROR(O389/N389*100,0))</f>
        <v/>
      </c>
      <c r="Q389" s="47" t="n">
        <f aca="false">'Daily KPI Entry'!Q390</f>
        <v>8</v>
      </c>
      <c r="R389" s="47" t="str">
        <f aca="false">IF(J389="","",Q389*J389)</f>
        <v/>
      </c>
      <c r="S389" s="49" t="n">
        <f aca="false">'Daily KPI Entry'!S390</f>
        <v>0</v>
      </c>
      <c r="T389" s="49" t="str">
        <f aca="false">IF(OR(R389="",S389=""),"",IFERROR(S389/R389*100,0))</f>
        <v/>
      </c>
      <c r="U389" s="49" t="str">
        <f aca="false">IF(OR(O389="",L389="",M389="",S389="",M389=0),"",IFERROR(O389/(L389*60*S389/(M389*36))*100,0))</f>
        <v/>
      </c>
      <c r="V389" s="49" t="n">
        <f aca="false">'Daily KPI Entry'!V390</f>
        <v>0</v>
      </c>
      <c r="W389" s="49" t="str">
        <f aca="false">IF(O389="","",IFERROR(V389/O389*100,0))</f>
        <v/>
      </c>
      <c r="X389" s="49" t="n">
        <f aca="false">'Daily KPI Entry'!X390</f>
        <v>0</v>
      </c>
      <c r="Y389" s="49" t="n">
        <f aca="false">'Daily KPI Entry'!Y390</f>
        <v>0</v>
      </c>
      <c r="Z389" s="49" t="n">
        <f aca="false">'Daily KPI Entry'!Z390</f>
        <v>0</v>
      </c>
      <c r="AA389" s="49" t="n">
        <f aca="false">'Daily KPI Entry'!AA390</f>
        <v>0</v>
      </c>
      <c r="AB389" s="49" t="n">
        <f aca="false">'Daily KPI Entry'!AB390</f>
        <v>0</v>
      </c>
      <c r="AC389" s="49" t="n">
        <f aca="false">'Daily KPI Entry'!AC390</f>
        <v>0</v>
      </c>
      <c r="AD389" s="49" t="n">
        <f aca="false">'Daily KPI Entry'!AD390</f>
        <v>0</v>
      </c>
      <c r="AE389" s="49" t="n">
        <f aca="false">'Daily KPI Entry'!AE390</f>
        <v>0</v>
      </c>
      <c r="AF389" s="47" t="str">
        <f aca="false">IF(O389="","",SUM(X389:AE389))</f>
        <v/>
      </c>
      <c r="AG389" s="49" t="str">
        <f aca="false">IF(O389="","",IFERROR(AF389/O389*1000,0))</f>
        <v/>
      </c>
      <c r="AH389" s="49" t="n">
        <f aca="false">'Daily KPI Entry'!AH390</f>
        <v>0</v>
      </c>
      <c r="AI389" s="49" t="n">
        <f aca="false">'Daily KPI Entry'!AI390</f>
        <v>0</v>
      </c>
      <c r="AJ389" s="49" t="n">
        <f aca="false">'Daily KPI Entry'!AJ390</f>
        <v>0</v>
      </c>
      <c r="AK389" s="47" t="n">
        <f aca="false">'Daily KPI Entry'!AK390</f>
        <v>0</v>
      </c>
      <c r="AL389" s="47" t="n">
        <f aca="false">'Daily KPI Entry'!AL390</f>
        <v>0</v>
      </c>
      <c r="AM389" s="47" t="n">
        <f aca="false">'Daily KPI Entry'!AM390</f>
        <v>0</v>
      </c>
      <c r="AN389" s="49" t="str">
        <f aca="false">IF(P389="","",MIN(120,P389))</f>
        <v/>
      </c>
      <c r="AO389" s="49" t="str">
        <f aca="false">IF(U389="","",MIN(120,U389))</f>
        <v/>
      </c>
      <c r="AP389" s="49" t="str">
        <f aca="false">IF(R389="","",MIN(120,IFERROR(S389/R389*100,0)))</f>
        <v/>
      </c>
      <c r="AQ389" s="49" t="str">
        <f aca="false">IF(W389="","",MIN(120,IF(W389=0,120,100*(INDEX('Standards &amp; Scoring'!$E$5:$E$13,MATCH("Quality / Rejection",'Standards &amp; Scoring'!$A$5:$A$13,0))/W389))))</f>
        <v/>
      </c>
      <c r="AR389" s="49" t="str">
        <f aca="false">IF(AG389="","",MIN(120,IF(AG389=0,120,100*(INDEX('Standards &amp; Scoring'!$E$5:$E$13,MATCH("Fault Control",'Standards &amp; Scoring'!$A$5:$A$13,0))/AG389))))</f>
        <v/>
      </c>
      <c r="AS389" s="49" t="str">
        <f aca="false">IF(O389="","",MIN(120,IF(SUMIFS('Fault &amp; Downtime Entry'!$L$6:$L$1005,'Fault &amp; Downtime Entry'!$E$6:$E$1005,G389,'Fault &amp; Downtime Entry'!$B$6:$B$1005,B389)=0,120,100*(INDEX('Standards &amp; Scoring'!$E$5:$E$13,MATCH("Downtime Control",'Standards &amp; Scoring'!$A$5:$A$13,0))/IFERROR(SUMIFS('Fault &amp; Downtime Entry'!$L$6:$L$1005,'Fault &amp; Downtime Entry'!$E$6:$E$1005,G389,'Fault &amp; Downtime Entry'!$B$6:$B$1005,B389)/O389*1000,999999)))))</f>
        <v/>
      </c>
      <c r="AT389" s="49" t="n">
        <f aca="false">IF(COUNTA(AH389,AJ389)=0,"",MIN(120,IF(AND(AH389&lt;&gt;"",AJ389&lt;&gt;""),AVERAGE(AH389,AJ389),IF(AH389&lt;&gt;"",AH389,AJ389))))</f>
        <v>0</v>
      </c>
      <c r="AU389" s="49" t="str">
        <f aca="false">IF(AI389="","",MIN(120,AI389))</f>
        <v/>
      </c>
      <c r="AV389" s="49" t="str">
        <f aca="false">IF(AJ389="","",MIN(120,AJ389))</f>
        <v/>
      </c>
      <c r="AW389" s="50" t="str">
        <f aca="false">IF(COUNT(AN389:AV389)&lt;9,"",(AN389*'Standards &amp; Scoring'!$D$5+AO389*'Standards &amp; Scoring'!$D$6+AP389*'Standards &amp; Scoring'!$D$7+AQ389*'Standards &amp; Scoring'!$D$8+AR389*'Standards &amp; Scoring'!$D$9+AS389*'Standards &amp; Scoring'!$D$10+AT389*'Standards &amp; Scoring'!$D$11+AU389*'Standards &amp; Scoring'!$D$12+AV389*'Standards &amp; Scoring'!$D$13)/10000)</f>
        <v/>
      </c>
      <c r="AX389" s="47" t="str">
        <f aca="false">IF(AW389="","",IF(AW389&gt;=1.05,"A+",IF(AW389&gt;=1,"A",IF(AW389&gt;=0.95,"B+",IF(AW389&gt;=0.9,"B","C")))))</f>
        <v/>
      </c>
      <c r="AY389" s="47" t="str">
        <f aca="false">IF(AX389="","",IF(AX389="A+",1800,IF(AX389="A",1600,IF(AX389="B+",1400,IF(AX389="B",1200,0)))))</f>
        <v/>
      </c>
      <c r="AZ389" s="49" t="str">
        <f aca="false">IF(OR(L389="",M389="",S389="",M389=0),"",IFERROR(L389*60*S389/(M389*36),0))</f>
        <v/>
      </c>
    </row>
    <row r="390" customFormat="false" ht="15" hidden="false" customHeight="true" outlineLevel="0" collapsed="false">
      <c r="A390" s="47" t="n">
        <f aca="false">'Daily KPI Entry'!A391</f>
        <v>0</v>
      </c>
      <c r="B390" s="48" t="n">
        <f aca="false">'Daily KPI Entry'!B391</f>
        <v>0</v>
      </c>
      <c r="C390" s="47" t="n">
        <f aca="false">'Daily KPI Entry'!C391</f>
        <v>0</v>
      </c>
      <c r="D390" s="47" t="n">
        <f aca="false">'Daily KPI Entry'!D391</f>
        <v>0</v>
      </c>
      <c r="E390" s="47" t="n">
        <f aca="false">'Daily KPI Entry'!E391</f>
        <v>0</v>
      </c>
      <c r="F390" s="47" t="n">
        <f aca="false">'Daily KPI Entry'!F391</f>
        <v>0</v>
      </c>
      <c r="G390" s="47" t="n">
        <f aca="false">'Daily KPI Entry'!G391</f>
        <v>0</v>
      </c>
      <c r="H390" s="47" t="str">
        <f aca="false">'Daily KPI Entry'!H391</f>
        <v/>
      </c>
      <c r="I390" s="47" t="n">
        <f aca="false">'Daily KPI Entry'!I391</f>
        <v>0</v>
      </c>
      <c r="J390" s="47" t="n">
        <f aca="false">'Daily KPI Entry'!J391</f>
        <v>0</v>
      </c>
      <c r="K390" s="47" t="n">
        <f aca="false">'Daily KPI Entry'!K391</f>
        <v>0</v>
      </c>
      <c r="L390" s="47" t="n">
        <f aca="false">'Daily KPI Entry'!L391</f>
        <v>0</v>
      </c>
      <c r="M390" s="47" t="n">
        <f aca="false">'Daily KPI Entry'!M391</f>
        <v>0</v>
      </c>
      <c r="N390" s="49" t="n">
        <f aca="false">'Daily KPI Entry'!N391</f>
        <v>0</v>
      </c>
      <c r="O390" s="49" t="n">
        <f aca="false">'Daily KPI Entry'!O391</f>
        <v>0</v>
      </c>
      <c r="P390" s="49" t="str">
        <f aca="false">IF(OR(N390="",O390=""),"",IFERROR(O390/N390*100,0))</f>
        <v/>
      </c>
      <c r="Q390" s="47" t="n">
        <f aca="false">'Daily KPI Entry'!Q391</f>
        <v>8</v>
      </c>
      <c r="R390" s="47" t="str">
        <f aca="false">IF(J390="","",Q390*J390)</f>
        <v/>
      </c>
      <c r="S390" s="49" t="n">
        <f aca="false">'Daily KPI Entry'!S391</f>
        <v>0</v>
      </c>
      <c r="T390" s="49" t="str">
        <f aca="false">IF(OR(R390="",S390=""),"",IFERROR(S390/R390*100,0))</f>
        <v/>
      </c>
      <c r="U390" s="49" t="str">
        <f aca="false">IF(OR(O390="",L390="",M390="",S390="",M390=0),"",IFERROR(O390/(L390*60*S390/(M390*36))*100,0))</f>
        <v/>
      </c>
      <c r="V390" s="49" t="n">
        <f aca="false">'Daily KPI Entry'!V391</f>
        <v>0</v>
      </c>
      <c r="W390" s="49" t="str">
        <f aca="false">IF(O390="","",IFERROR(V390/O390*100,0))</f>
        <v/>
      </c>
      <c r="X390" s="49" t="n">
        <f aca="false">'Daily KPI Entry'!X391</f>
        <v>0</v>
      </c>
      <c r="Y390" s="49" t="n">
        <f aca="false">'Daily KPI Entry'!Y391</f>
        <v>0</v>
      </c>
      <c r="Z390" s="49" t="n">
        <f aca="false">'Daily KPI Entry'!Z391</f>
        <v>0</v>
      </c>
      <c r="AA390" s="49" t="n">
        <f aca="false">'Daily KPI Entry'!AA391</f>
        <v>0</v>
      </c>
      <c r="AB390" s="49" t="n">
        <f aca="false">'Daily KPI Entry'!AB391</f>
        <v>0</v>
      </c>
      <c r="AC390" s="49" t="n">
        <f aca="false">'Daily KPI Entry'!AC391</f>
        <v>0</v>
      </c>
      <c r="AD390" s="49" t="n">
        <f aca="false">'Daily KPI Entry'!AD391</f>
        <v>0</v>
      </c>
      <c r="AE390" s="49" t="n">
        <f aca="false">'Daily KPI Entry'!AE391</f>
        <v>0</v>
      </c>
      <c r="AF390" s="47" t="str">
        <f aca="false">IF(O390="","",SUM(X390:AE390))</f>
        <v/>
      </c>
      <c r="AG390" s="49" t="str">
        <f aca="false">IF(O390="","",IFERROR(AF390/O390*1000,0))</f>
        <v/>
      </c>
      <c r="AH390" s="49" t="n">
        <f aca="false">'Daily KPI Entry'!AH391</f>
        <v>0</v>
      </c>
      <c r="AI390" s="49" t="n">
        <f aca="false">'Daily KPI Entry'!AI391</f>
        <v>0</v>
      </c>
      <c r="AJ390" s="49" t="n">
        <f aca="false">'Daily KPI Entry'!AJ391</f>
        <v>0</v>
      </c>
      <c r="AK390" s="47" t="n">
        <f aca="false">'Daily KPI Entry'!AK391</f>
        <v>0</v>
      </c>
      <c r="AL390" s="47" t="n">
        <f aca="false">'Daily KPI Entry'!AL391</f>
        <v>0</v>
      </c>
      <c r="AM390" s="47" t="n">
        <f aca="false">'Daily KPI Entry'!AM391</f>
        <v>0</v>
      </c>
      <c r="AN390" s="49" t="str">
        <f aca="false">IF(P390="","",MIN(120,P390))</f>
        <v/>
      </c>
      <c r="AO390" s="49" t="str">
        <f aca="false">IF(U390="","",MIN(120,U390))</f>
        <v/>
      </c>
      <c r="AP390" s="49" t="str">
        <f aca="false">IF(R390="","",MIN(120,IFERROR(S390/R390*100,0)))</f>
        <v/>
      </c>
      <c r="AQ390" s="49" t="str">
        <f aca="false">IF(W390="","",MIN(120,IF(W390=0,120,100*(INDEX('Standards &amp; Scoring'!$E$5:$E$13,MATCH("Quality / Rejection",'Standards &amp; Scoring'!$A$5:$A$13,0))/W390))))</f>
        <v/>
      </c>
      <c r="AR390" s="49" t="str">
        <f aca="false">IF(AG390="","",MIN(120,IF(AG390=0,120,100*(INDEX('Standards &amp; Scoring'!$E$5:$E$13,MATCH("Fault Control",'Standards &amp; Scoring'!$A$5:$A$13,0))/AG390))))</f>
        <v/>
      </c>
      <c r="AS390" s="49" t="str">
        <f aca="false">IF(O390="","",MIN(120,IF(SUMIFS('Fault &amp; Downtime Entry'!$L$6:$L$1005,'Fault &amp; Downtime Entry'!$E$6:$E$1005,G390,'Fault &amp; Downtime Entry'!$B$6:$B$1005,B390)=0,120,100*(INDEX('Standards &amp; Scoring'!$E$5:$E$13,MATCH("Downtime Control",'Standards &amp; Scoring'!$A$5:$A$13,0))/IFERROR(SUMIFS('Fault &amp; Downtime Entry'!$L$6:$L$1005,'Fault &amp; Downtime Entry'!$E$6:$E$1005,G390,'Fault &amp; Downtime Entry'!$B$6:$B$1005,B390)/O390*1000,999999)))))</f>
        <v/>
      </c>
      <c r="AT390" s="49" t="n">
        <f aca="false">IF(COUNTA(AH390,AJ390)=0,"",MIN(120,IF(AND(AH390&lt;&gt;"",AJ390&lt;&gt;""),AVERAGE(AH390,AJ390),IF(AH390&lt;&gt;"",AH390,AJ390))))</f>
        <v>0</v>
      </c>
      <c r="AU390" s="49" t="str">
        <f aca="false">IF(AI390="","",MIN(120,AI390))</f>
        <v/>
      </c>
      <c r="AV390" s="49" t="str">
        <f aca="false">IF(AJ390="","",MIN(120,AJ390))</f>
        <v/>
      </c>
      <c r="AW390" s="50" t="str">
        <f aca="false">IF(COUNT(AN390:AV390)&lt;9,"",(AN390*'Standards &amp; Scoring'!$D$5+AO390*'Standards &amp; Scoring'!$D$6+AP390*'Standards &amp; Scoring'!$D$7+AQ390*'Standards &amp; Scoring'!$D$8+AR390*'Standards &amp; Scoring'!$D$9+AS390*'Standards &amp; Scoring'!$D$10+AT390*'Standards &amp; Scoring'!$D$11+AU390*'Standards &amp; Scoring'!$D$12+AV390*'Standards &amp; Scoring'!$D$13)/10000)</f>
        <v/>
      </c>
      <c r="AX390" s="47" t="str">
        <f aca="false">IF(AW390="","",IF(AW390&gt;=1.05,"A+",IF(AW390&gt;=1,"A",IF(AW390&gt;=0.95,"B+",IF(AW390&gt;=0.9,"B","C")))))</f>
        <v/>
      </c>
      <c r="AY390" s="47" t="str">
        <f aca="false">IF(AX390="","",IF(AX390="A+",1800,IF(AX390="A",1600,IF(AX390="B+",1400,IF(AX390="B",1200,0)))))</f>
        <v/>
      </c>
      <c r="AZ390" s="49" t="str">
        <f aca="false">IF(OR(L390="",M390="",S390="",M390=0),"",IFERROR(L390*60*S390/(M390*36),0))</f>
        <v/>
      </c>
    </row>
    <row r="391" customFormat="false" ht="15" hidden="false" customHeight="true" outlineLevel="0" collapsed="false">
      <c r="A391" s="47" t="n">
        <f aca="false">'Daily KPI Entry'!A392</f>
        <v>0</v>
      </c>
      <c r="B391" s="48" t="n">
        <f aca="false">'Daily KPI Entry'!B392</f>
        <v>0</v>
      </c>
      <c r="C391" s="47" t="n">
        <f aca="false">'Daily KPI Entry'!C392</f>
        <v>0</v>
      </c>
      <c r="D391" s="47" t="n">
        <f aca="false">'Daily KPI Entry'!D392</f>
        <v>0</v>
      </c>
      <c r="E391" s="47" t="n">
        <f aca="false">'Daily KPI Entry'!E392</f>
        <v>0</v>
      </c>
      <c r="F391" s="47" t="n">
        <f aca="false">'Daily KPI Entry'!F392</f>
        <v>0</v>
      </c>
      <c r="G391" s="47" t="n">
        <f aca="false">'Daily KPI Entry'!G392</f>
        <v>0</v>
      </c>
      <c r="H391" s="47" t="str">
        <f aca="false">'Daily KPI Entry'!H392</f>
        <v/>
      </c>
      <c r="I391" s="47" t="n">
        <f aca="false">'Daily KPI Entry'!I392</f>
        <v>0</v>
      </c>
      <c r="J391" s="47" t="n">
        <f aca="false">'Daily KPI Entry'!J392</f>
        <v>0</v>
      </c>
      <c r="K391" s="47" t="n">
        <f aca="false">'Daily KPI Entry'!K392</f>
        <v>0</v>
      </c>
      <c r="L391" s="47" t="n">
        <f aca="false">'Daily KPI Entry'!L392</f>
        <v>0</v>
      </c>
      <c r="M391" s="47" t="n">
        <f aca="false">'Daily KPI Entry'!M392</f>
        <v>0</v>
      </c>
      <c r="N391" s="49" t="n">
        <f aca="false">'Daily KPI Entry'!N392</f>
        <v>0</v>
      </c>
      <c r="O391" s="49" t="n">
        <f aca="false">'Daily KPI Entry'!O392</f>
        <v>0</v>
      </c>
      <c r="P391" s="49" t="str">
        <f aca="false">IF(OR(N391="",O391=""),"",IFERROR(O391/N391*100,0))</f>
        <v/>
      </c>
      <c r="Q391" s="47" t="n">
        <f aca="false">'Daily KPI Entry'!Q392</f>
        <v>8</v>
      </c>
      <c r="R391" s="47" t="str">
        <f aca="false">IF(J391="","",Q391*J391)</f>
        <v/>
      </c>
      <c r="S391" s="49" t="n">
        <f aca="false">'Daily KPI Entry'!S392</f>
        <v>0</v>
      </c>
      <c r="T391" s="49" t="str">
        <f aca="false">IF(OR(R391="",S391=""),"",IFERROR(S391/R391*100,0))</f>
        <v/>
      </c>
      <c r="U391" s="49" t="str">
        <f aca="false">IF(OR(O391="",L391="",M391="",S391="",M391=0),"",IFERROR(O391/(L391*60*S391/(M391*36))*100,0))</f>
        <v/>
      </c>
      <c r="V391" s="49" t="n">
        <f aca="false">'Daily KPI Entry'!V392</f>
        <v>0</v>
      </c>
      <c r="W391" s="49" t="str">
        <f aca="false">IF(O391="","",IFERROR(V391/O391*100,0))</f>
        <v/>
      </c>
      <c r="X391" s="49" t="n">
        <f aca="false">'Daily KPI Entry'!X392</f>
        <v>0</v>
      </c>
      <c r="Y391" s="49" t="n">
        <f aca="false">'Daily KPI Entry'!Y392</f>
        <v>0</v>
      </c>
      <c r="Z391" s="49" t="n">
        <f aca="false">'Daily KPI Entry'!Z392</f>
        <v>0</v>
      </c>
      <c r="AA391" s="49" t="n">
        <f aca="false">'Daily KPI Entry'!AA392</f>
        <v>0</v>
      </c>
      <c r="AB391" s="49" t="n">
        <f aca="false">'Daily KPI Entry'!AB392</f>
        <v>0</v>
      </c>
      <c r="AC391" s="49" t="n">
        <f aca="false">'Daily KPI Entry'!AC392</f>
        <v>0</v>
      </c>
      <c r="AD391" s="49" t="n">
        <f aca="false">'Daily KPI Entry'!AD392</f>
        <v>0</v>
      </c>
      <c r="AE391" s="49" t="n">
        <f aca="false">'Daily KPI Entry'!AE392</f>
        <v>0</v>
      </c>
      <c r="AF391" s="47" t="str">
        <f aca="false">IF(O391="","",SUM(X391:AE391))</f>
        <v/>
      </c>
      <c r="AG391" s="49" t="str">
        <f aca="false">IF(O391="","",IFERROR(AF391/O391*1000,0))</f>
        <v/>
      </c>
      <c r="AH391" s="49" t="n">
        <f aca="false">'Daily KPI Entry'!AH392</f>
        <v>0</v>
      </c>
      <c r="AI391" s="49" t="n">
        <f aca="false">'Daily KPI Entry'!AI392</f>
        <v>0</v>
      </c>
      <c r="AJ391" s="49" t="n">
        <f aca="false">'Daily KPI Entry'!AJ392</f>
        <v>0</v>
      </c>
      <c r="AK391" s="47" t="n">
        <f aca="false">'Daily KPI Entry'!AK392</f>
        <v>0</v>
      </c>
      <c r="AL391" s="47" t="n">
        <f aca="false">'Daily KPI Entry'!AL392</f>
        <v>0</v>
      </c>
      <c r="AM391" s="47" t="n">
        <f aca="false">'Daily KPI Entry'!AM392</f>
        <v>0</v>
      </c>
      <c r="AN391" s="49" t="str">
        <f aca="false">IF(P391="","",MIN(120,P391))</f>
        <v/>
      </c>
      <c r="AO391" s="49" t="str">
        <f aca="false">IF(U391="","",MIN(120,U391))</f>
        <v/>
      </c>
      <c r="AP391" s="49" t="str">
        <f aca="false">IF(R391="","",MIN(120,IFERROR(S391/R391*100,0)))</f>
        <v/>
      </c>
      <c r="AQ391" s="49" t="str">
        <f aca="false">IF(W391="","",MIN(120,IF(W391=0,120,100*(INDEX('Standards &amp; Scoring'!$E$5:$E$13,MATCH("Quality / Rejection",'Standards &amp; Scoring'!$A$5:$A$13,0))/W391))))</f>
        <v/>
      </c>
      <c r="AR391" s="49" t="str">
        <f aca="false">IF(AG391="","",MIN(120,IF(AG391=0,120,100*(INDEX('Standards &amp; Scoring'!$E$5:$E$13,MATCH("Fault Control",'Standards &amp; Scoring'!$A$5:$A$13,0))/AG391))))</f>
        <v/>
      </c>
      <c r="AS391" s="49" t="str">
        <f aca="false">IF(O391="","",MIN(120,IF(SUMIFS('Fault &amp; Downtime Entry'!$L$6:$L$1005,'Fault &amp; Downtime Entry'!$E$6:$E$1005,G391,'Fault &amp; Downtime Entry'!$B$6:$B$1005,B391)=0,120,100*(INDEX('Standards &amp; Scoring'!$E$5:$E$13,MATCH("Downtime Control",'Standards &amp; Scoring'!$A$5:$A$13,0))/IFERROR(SUMIFS('Fault &amp; Downtime Entry'!$L$6:$L$1005,'Fault &amp; Downtime Entry'!$E$6:$E$1005,G391,'Fault &amp; Downtime Entry'!$B$6:$B$1005,B391)/O391*1000,999999)))))</f>
        <v/>
      </c>
      <c r="AT391" s="49" t="n">
        <f aca="false">IF(COUNTA(AH391,AJ391)=0,"",MIN(120,IF(AND(AH391&lt;&gt;"",AJ391&lt;&gt;""),AVERAGE(AH391,AJ391),IF(AH391&lt;&gt;"",AH391,AJ391))))</f>
        <v>0</v>
      </c>
      <c r="AU391" s="49" t="str">
        <f aca="false">IF(AI391="","",MIN(120,AI391))</f>
        <v/>
      </c>
      <c r="AV391" s="49" t="str">
        <f aca="false">IF(AJ391="","",MIN(120,AJ391))</f>
        <v/>
      </c>
      <c r="AW391" s="50" t="str">
        <f aca="false">IF(COUNT(AN391:AV391)&lt;9,"",(AN391*'Standards &amp; Scoring'!$D$5+AO391*'Standards &amp; Scoring'!$D$6+AP391*'Standards &amp; Scoring'!$D$7+AQ391*'Standards &amp; Scoring'!$D$8+AR391*'Standards &amp; Scoring'!$D$9+AS391*'Standards &amp; Scoring'!$D$10+AT391*'Standards &amp; Scoring'!$D$11+AU391*'Standards &amp; Scoring'!$D$12+AV391*'Standards &amp; Scoring'!$D$13)/10000)</f>
        <v/>
      </c>
      <c r="AX391" s="47" t="str">
        <f aca="false">IF(AW391="","",IF(AW391&gt;=1.05,"A+",IF(AW391&gt;=1,"A",IF(AW391&gt;=0.95,"B+",IF(AW391&gt;=0.9,"B","C")))))</f>
        <v/>
      </c>
      <c r="AY391" s="47" t="str">
        <f aca="false">IF(AX391="","",IF(AX391="A+",1800,IF(AX391="A",1600,IF(AX391="B+",1400,IF(AX391="B",1200,0)))))</f>
        <v/>
      </c>
      <c r="AZ391" s="49" t="str">
        <f aca="false">IF(OR(L391="",M391="",S391="",M391=0),"",IFERROR(L391*60*S391/(M391*36),0))</f>
        <v/>
      </c>
    </row>
    <row r="392" customFormat="false" ht="15" hidden="false" customHeight="true" outlineLevel="0" collapsed="false">
      <c r="A392" s="47" t="n">
        <f aca="false">'Daily KPI Entry'!A393</f>
        <v>0</v>
      </c>
      <c r="B392" s="48" t="n">
        <f aca="false">'Daily KPI Entry'!B393</f>
        <v>0</v>
      </c>
      <c r="C392" s="47" t="n">
        <f aca="false">'Daily KPI Entry'!C393</f>
        <v>0</v>
      </c>
      <c r="D392" s="47" t="n">
        <f aca="false">'Daily KPI Entry'!D393</f>
        <v>0</v>
      </c>
      <c r="E392" s="47" t="n">
        <f aca="false">'Daily KPI Entry'!E393</f>
        <v>0</v>
      </c>
      <c r="F392" s="47" t="n">
        <f aca="false">'Daily KPI Entry'!F393</f>
        <v>0</v>
      </c>
      <c r="G392" s="47" t="n">
        <f aca="false">'Daily KPI Entry'!G393</f>
        <v>0</v>
      </c>
      <c r="H392" s="47" t="str">
        <f aca="false">'Daily KPI Entry'!H393</f>
        <v/>
      </c>
      <c r="I392" s="47" t="n">
        <f aca="false">'Daily KPI Entry'!I393</f>
        <v>0</v>
      </c>
      <c r="J392" s="47" t="n">
        <f aca="false">'Daily KPI Entry'!J393</f>
        <v>0</v>
      </c>
      <c r="K392" s="47" t="n">
        <f aca="false">'Daily KPI Entry'!K393</f>
        <v>0</v>
      </c>
      <c r="L392" s="47" t="n">
        <f aca="false">'Daily KPI Entry'!L393</f>
        <v>0</v>
      </c>
      <c r="M392" s="47" t="n">
        <f aca="false">'Daily KPI Entry'!M393</f>
        <v>0</v>
      </c>
      <c r="N392" s="49" t="n">
        <f aca="false">'Daily KPI Entry'!N393</f>
        <v>0</v>
      </c>
      <c r="O392" s="49" t="n">
        <f aca="false">'Daily KPI Entry'!O393</f>
        <v>0</v>
      </c>
      <c r="P392" s="49" t="str">
        <f aca="false">IF(OR(N392="",O392=""),"",IFERROR(O392/N392*100,0))</f>
        <v/>
      </c>
      <c r="Q392" s="47" t="n">
        <f aca="false">'Daily KPI Entry'!Q393</f>
        <v>8</v>
      </c>
      <c r="R392" s="47" t="str">
        <f aca="false">IF(J392="","",Q392*J392)</f>
        <v/>
      </c>
      <c r="S392" s="49" t="n">
        <f aca="false">'Daily KPI Entry'!S393</f>
        <v>0</v>
      </c>
      <c r="T392" s="49" t="str">
        <f aca="false">IF(OR(R392="",S392=""),"",IFERROR(S392/R392*100,0))</f>
        <v/>
      </c>
      <c r="U392" s="49" t="str">
        <f aca="false">IF(OR(O392="",L392="",M392="",S392="",M392=0),"",IFERROR(O392/(L392*60*S392/(M392*36))*100,0))</f>
        <v/>
      </c>
      <c r="V392" s="49" t="n">
        <f aca="false">'Daily KPI Entry'!V393</f>
        <v>0</v>
      </c>
      <c r="W392" s="49" t="str">
        <f aca="false">IF(O392="","",IFERROR(V392/O392*100,0))</f>
        <v/>
      </c>
      <c r="X392" s="49" t="n">
        <f aca="false">'Daily KPI Entry'!X393</f>
        <v>0</v>
      </c>
      <c r="Y392" s="49" t="n">
        <f aca="false">'Daily KPI Entry'!Y393</f>
        <v>0</v>
      </c>
      <c r="Z392" s="49" t="n">
        <f aca="false">'Daily KPI Entry'!Z393</f>
        <v>0</v>
      </c>
      <c r="AA392" s="49" t="n">
        <f aca="false">'Daily KPI Entry'!AA393</f>
        <v>0</v>
      </c>
      <c r="AB392" s="49" t="n">
        <f aca="false">'Daily KPI Entry'!AB393</f>
        <v>0</v>
      </c>
      <c r="AC392" s="49" t="n">
        <f aca="false">'Daily KPI Entry'!AC393</f>
        <v>0</v>
      </c>
      <c r="AD392" s="49" t="n">
        <f aca="false">'Daily KPI Entry'!AD393</f>
        <v>0</v>
      </c>
      <c r="AE392" s="49" t="n">
        <f aca="false">'Daily KPI Entry'!AE393</f>
        <v>0</v>
      </c>
      <c r="AF392" s="47" t="str">
        <f aca="false">IF(O392="","",SUM(X392:AE392))</f>
        <v/>
      </c>
      <c r="AG392" s="49" t="str">
        <f aca="false">IF(O392="","",IFERROR(AF392/O392*1000,0))</f>
        <v/>
      </c>
      <c r="AH392" s="49" t="n">
        <f aca="false">'Daily KPI Entry'!AH393</f>
        <v>0</v>
      </c>
      <c r="AI392" s="49" t="n">
        <f aca="false">'Daily KPI Entry'!AI393</f>
        <v>0</v>
      </c>
      <c r="AJ392" s="49" t="n">
        <f aca="false">'Daily KPI Entry'!AJ393</f>
        <v>0</v>
      </c>
      <c r="AK392" s="47" t="n">
        <f aca="false">'Daily KPI Entry'!AK393</f>
        <v>0</v>
      </c>
      <c r="AL392" s="47" t="n">
        <f aca="false">'Daily KPI Entry'!AL393</f>
        <v>0</v>
      </c>
      <c r="AM392" s="47" t="n">
        <f aca="false">'Daily KPI Entry'!AM393</f>
        <v>0</v>
      </c>
      <c r="AN392" s="49" t="str">
        <f aca="false">IF(P392="","",MIN(120,P392))</f>
        <v/>
      </c>
      <c r="AO392" s="49" t="str">
        <f aca="false">IF(U392="","",MIN(120,U392))</f>
        <v/>
      </c>
      <c r="AP392" s="49" t="str">
        <f aca="false">IF(R392="","",MIN(120,IFERROR(S392/R392*100,0)))</f>
        <v/>
      </c>
      <c r="AQ392" s="49" t="str">
        <f aca="false">IF(W392="","",MIN(120,IF(W392=0,120,100*(INDEX('Standards &amp; Scoring'!$E$5:$E$13,MATCH("Quality / Rejection",'Standards &amp; Scoring'!$A$5:$A$13,0))/W392))))</f>
        <v/>
      </c>
      <c r="AR392" s="49" t="str">
        <f aca="false">IF(AG392="","",MIN(120,IF(AG392=0,120,100*(INDEX('Standards &amp; Scoring'!$E$5:$E$13,MATCH("Fault Control",'Standards &amp; Scoring'!$A$5:$A$13,0))/AG392))))</f>
        <v/>
      </c>
      <c r="AS392" s="49" t="str">
        <f aca="false">IF(O392="","",MIN(120,IF(SUMIFS('Fault &amp; Downtime Entry'!$L$6:$L$1005,'Fault &amp; Downtime Entry'!$E$6:$E$1005,G392,'Fault &amp; Downtime Entry'!$B$6:$B$1005,B392)=0,120,100*(INDEX('Standards &amp; Scoring'!$E$5:$E$13,MATCH("Downtime Control",'Standards &amp; Scoring'!$A$5:$A$13,0))/IFERROR(SUMIFS('Fault &amp; Downtime Entry'!$L$6:$L$1005,'Fault &amp; Downtime Entry'!$E$6:$E$1005,G392,'Fault &amp; Downtime Entry'!$B$6:$B$1005,B392)/O392*1000,999999)))))</f>
        <v/>
      </c>
      <c r="AT392" s="49" t="n">
        <f aca="false">IF(COUNTA(AH392,AJ392)=0,"",MIN(120,IF(AND(AH392&lt;&gt;"",AJ392&lt;&gt;""),AVERAGE(AH392,AJ392),IF(AH392&lt;&gt;"",AH392,AJ392))))</f>
        <v>0</v>
      </c>
      <c r="AU392" s="49" t="str">
        <f aca="false">IF(AI392="","",MIN(120,AI392))</f>
        <v/>
      </c>
      <c r="AV392" s="49" t="str">
        <f aca="false">IF(AJ392="","",MIN(120,AJ392))</f>
        <v/>
      </c>
      <c r="AW392" s="50" t="str">
        <f aca="false">IF(COUNT(AN392:AV392)&lt;9,"",(AN392*'Standards &amp; Scoring'!$D$5+AO392*'Standards &amp; Scoring'!$D$6+AP392*'Standards &amp; Scoring'!$D$7+AQ392*'Standards &amp; Scoring'!$D$8+AR392*'Standards &amp; Scoring'!$D$9+AS392*'Standards &amp; Scoring'!$D$10+AT392*'Standards &amp; Scoring'!$D$11+AU392*'Standards &amp; Scoring'!$D$12+AV392*'Standards &amp; Scoring'!$D$13)/10000)</f>
        <v/>
      </c>
      <c r="AX392" s="47" t="str">
        <f aca="false">IF(AW392="","",IF(AW392&gt;=1.05,"A+",IF(AW392&gt;=1,"A",IF(AW392&gt;=0.95,"B+",IF(AW392&gt;=0.9,"B","C")))))</f>
        <v/>
      </c>
      <c r="AY392" s="47" t="str">
        <f aca="false">IF(AX392="","",IF(AX392="A+",1800,IF(AX392="A",1600,IF(AX392="B+",1400,IF(AX392="B",1200,0)))))</f>
        <v/>
      </c>
      <c r="AZ392" s="49" t="str">
        <f aca="false">IF(OR(L392="",M392="",S392="",M392=0),"",IFERROR(L392*60*S392/(M392*36),0))</f>
        <v/>
      </c>
    </row>
    <row r="393" customFormat="false" ht="15" hidden="false" customHeight="true" outlineLevel="0" collapsed="false">
      <c r="A393" s="47" t="n">
        <f aca="false">'Daily KPI Entry'!A394</f>
        <v>0</v>
      </c>
      <c r="B393" s="48" t="n">
        <f aca="false">'Daily KPI Entry'!B394</f>
        <v>0</v>
      </c>
      <c r="C393" s="47" t="n">
        <f aca="false">'Daily KPI Entry'!C394</f>
        <v>0</v>
      </c>
      <c r="D393" s="47" t="n">
        <f aca="false">'Daily KPI Entry'!D394</f>
        <v>0</v>
      </c>
      <c r="E393" s="47" t="n">
        <f aca="false">'Daily KPI Entry'!E394</f>
        <v>0</v>
      </c>
      <c r="F393" s="47" t="n">
        <f aca="false">'Daily KPI Entry'!F394</f>
        <v>0</v>
      </c>
      <c r="G393" s="47" t="n">
        <f aca="false">'Daily KPI Entry'!G394</f>
        <v>0</v>
      </c>
      <c r="H393" s="47" t="str">
        <f aca="false">'Daily KPI Entry'!H394</f>
        <v/>
      </c>
      <c r="I393" s="47" t="n">
        <f aca="false">'Daily KPI Entry'!I394</f>
        <v>0</v>
      </c>
      <c r="J393" s="47" t="n">
        <f aca="false">'Daily KPI Entry'!J394</f>
        <v>0</v>
      </c>
      <c r="K393" s="47" t="n">
        <f aca="false">'Daily KPI Entry'!K394</f>
        <v>0</v>
      </c>
      <c r="L393" s="47" t="n">
        <f aca="false">'Daily KPI Entry'!L394</f>
        <v>0</v>
      </c>
      <c r="M393" s="47" t="n">
        <f aca="false">'Daily KPI Entry'!M394</f>
        <v>0</v>
      </c>
      <c r="N393" s="49" t="n">
        <f aca="false">'Daily KPI Entry'!N394</f>
        <v>0</v>
      </c>
      <c r="O393" s="49" t="n">
        <f aca="false">'Daily KPI Entry'!O394</f>
        <v>0</v>
      </c>
      <c r="P393" s="49" t="str">
        <f aca="false">IF(OR(N393="",O393=""),"",IFERROR(O393/N393*100,0))</f>
        <v/>
      </c>
      <c r="Q393" s="47" t="n">
        <f aca="false">'Daily KPI Entry'!Q394</f>
        <v>8</v>
      </c>
      <c r="R393" s="47" t="str">
        <f aca="false">IF(J393="","",Q393*J393)</f>
        <v/>
      </c>
      <c r="S393" s="49" t="n">
        <f aca="false">'Daily KPI Entry'!S394</f>
        <v>0</v>
      </c>
      <c r="T393" s="49" t="str">
        <f aca="false">IF(OR(R393="",S393=""),"",IFERROR(S393/R393*100,0))</f>
        <v/>
      </c>
      <c r="U393" s="49" t="str">
        <f aca="false">IF(OR(O393="",L393="",M393="",S393="",M393=0),"",IFERROR(O393/(L393*60*S393/(M393*36))*100,0))</f>
        <v/>
      </c>
      <c r="V393" s="49" t="n">
        <f aca="false">'Daily KPI Entry'!V394</f>
        <v>0</v>
      </c>
      <c r="W393" s="49" t="str">
        <f aca="false">IF(O393="","",IFERROR(V393/O393*100,0))</f>
        <v/>
      </c>
      <c r="X393" s="49" t="n">
        <f aca="false">'Daily KPI Entry'!X394</f>
        <v>0</v>
      </c>
      <c r="Y393" s="49" t="n">
        <f aca="false">'Daily KPI Entry'!Y394</f>
        <v>0</v>
      </c>
      <c r="Z393" s="49" t="n">
        <f aca="false">'Daily KPI Entry'!Z394</f>
        <v>0</v>
      </c>
      <c r="AA393" s="49" t="n">
        <f aca="false">'Daily KPI Entry'!AA394</f>
        <v>0</v>
      </c>
      <c r="AB393" s="49" t="n">
        <f aca="false">'Daily KPI Entry'!AB394</f>
        <v>0</v>
      </c>
      <c r="AC393" s="49" t="n">
        <f aca="false">'Daily KPI Entry'!AC394</f>
        <v>0</v>
      </c>
      <c r="AD393" s="49" t="n">
        <f aca="false">'Daily KPI Entry'!AD394</f>
        <v>0</v>
      </c>
      <c r="AE393" s="49" t="n">
        <f aca="false">'Daily KPI Entry'!AE394</f>
        <v>0</v>
      </c>
      <c r="AF393" s="47" t="str">
        <f aca="false">IF(O393="","",SUM(X393:AE393))</f>
        <v/>
      </c>
      <c r="AG393" s="49" t="str">
        <f aca="false">IF(O393="","",IFERROR(AF393/O393*1000,0))</f>
        <v/>
      </c>
      <c r="AH393" s="49" t="n">
        <f aca="false">'Daily KPI Entry'!AH394</f>
        <v>0</v>
      </c>
      <c r="AI393" s="49" t="n">
        <f aca="false">'Daily KPI Entry'!AI394</f>
        <v>0</v>
      </c>
      <c r="AJ393" s="49" t="n">
        <f aca="false">'Daily KPI Entry'!AJ394</f>
        <v>0</v>
      </c>
      <c r="AK393" s="47" t="n">
        <f aca="false">'Daily KPI Entry'!AK394</f>
        <v>0</v>
      </c>
      <c r="AL393" s="47" t="n">
        <f aca="false">'Daily KPI Entry'!AL394</f>
        <v>0</v>
      </c>
      <c r="AM393" s="47" t="n">
        <f aca="false">'Daily KPI Entry'!AM394</f>
        <v>0</v>
      </c>
      <c r="AN393" s="49" t="str">
        <f aca="false">IF(P393="","",MIN(120,P393))</f>
        <v/>
      </c>
      <c r="AO393" s="49" t="str">
        <f aca="false">IF(U393="","",MIN(120,U393))</f>
        <v/>
      </c>
      <c r="AP393" s="49" t="str">
        <f aca="false">IF(R393="","",MIN(120,IFERROR(S393/R393*100,0)))</f>
        <v/>
      </c>
      <c r="AQ393" s="49" t="str">
        <f aca="false">IF(W393="","",MIN(120,IF(W393=0,120,100*(INDEX('Standards &amp; Scoring'!$E$5:$E$13,MATCH("Quality / Rejection",'Standards &amp; Scoring'!$A$5:$A$13,0))/W393))))</f>
        <v/>
      </c>
      <c r="AR393" s="49" t="str">
        <f aca="false">IF(AG393="","",MIN(120,IF(AG393=0,120,100*(INDEX('Standards &amp; Scoring'!$E$5:$E$13,MATCH("Fault Control",'Standards &amp; Scoring'!$A$5:$A$13,0))/AG393))))</f>
        <v/>
      </c>
      <c r="AS393" s="49" t="str">
        <f aca="false">IF(O393="","",MIN(120,IF(SUMIFS('Fault &amp; Downtime Entry'!$L$6:$L$1005,'Fault &amp; Downtime Entry'!$E$6:$E$1005,G393,'Fault &amp; Downtime Entry'!$B$6:$B$1005,B393)=0,120,100*(INDEX('Standards &amp; Scoring'!$E$5:$E$13,MATCH("Downtime Control",'Standards &amp; Scoring'!$A$5:$A$13,0))/IFERROR(SUMIFS('Fault &amp; Downtime Entry'!$L$6:$L$1005,'Fault &amp; Downtime Entry'!$E$6:$E$1005,G393,'Fault &amp; Downtime Entry'!$B$6:$B$1005,B393)/O393*1000,999999)))))</f>
        <v/>
      </c>
      <c r="AT393" s="49" t="n">
        <f aca="false">IF(COUNTA(AH393,AJ393)=0,"",MIN(120,IF(AND(AH393&lt;&gt;"",AJ393&lt;&gt;""),AVERAGE(AH393,AJ393),IF(AH393&lt;&gt;"",AH393,AJ393))))</f>
        <v>0</v>
      </c>
      <c r="AU393" s="49" t="str">
        <f aca="false">IF(AI393="","",MIN(120,AI393))</f>
        <v/>
      </c>
      <c r="AV393" s="49" t="str">
        <f aca="false">IF(AJ393="","",MIN(120,AJ393))</f>
        <v/>
      </c>
      <c r="AW393" s="50" t="str">
        <f aca="false">IF(COUNT(AN393:AV393)&lt;9,"",(AN393*'Standards &amp; Scoring'!$D$5+AO393*'Standards &amp; Scoring'!$D$6+AP393*'Standards &amp; Scoring'!$D$7+AQ393*'Standards &amp; Scoring'!$D$8+AR393*'Standards &amp; Scoring'!$D$9+AS393*'Standards &amp; Scoring'!$D$10+AT393*'Standards &amp; Scoring'!$D$11+AU393*'Standards &amp; Scoring'!$D$12+AV393*'Standards &amp; Scoring'!$D$13)/10000)</f>
        <v/>
      </c>
      <c r="AX393" s="47" t="str">
        <f aca="false">IF(AW393="","",IF(AW393&gt;=1.05,"A+",IF(AW393&gt;=1,"A",IF(AW393&gt;=0.95,"B+",IF(AW393&gt;=0.9,"B","C")))))</f>
        <v/>
      </c>
      <c r="AY393" s="47" t="str">
        <f aca="false">IF(AX393="","",IF(AX393="A+",1800,IF(AX393="A",1600,IF(AX393="B+",1400,IF(AX393="B",1200,0)))))</f>
        <v/>
      </c>
      <c r="AZ393" s="49" t="str">
        <f aca="false">IF(OR(L393="",M393="",S393="",M393=0),"",IFERROR(L393*60*S393/(M393*36),0))</f>
        <v/>
      </c>
    </row>
    <row r="394" customFormat="false" ht="15" hidden="false" customHeight="true" outlineLevel="0" collapsed="false">
      <c r="A394" s="47" t="n">
        <f aca="false">'Daily KPI Entry'!A395</f>
        <v>0</v>
      </c>
      <c r="B394" s="48" t="n">
        <f aca="false">'Daily KPI Entry'!B395</f>
        <v>0</v>
      </c>
      <c r="C394" s="47" t="n">
        <f aca="false">'Daily KPI Entry'!C395</f>
        <v>0</v>
      </c>
      <c r="D394" s="47" t="n">
        <f aca="false">'Daily KPI Entry'!D395</f>
        <v>0</v>
      </c>
      <c r="E394" s="47" t="n">
        <f aca="false">'Daily KPI Entry'!E395</f>
        <v>0</v>
      </c>
      <c r="F394" s="47" t="n">
        <f aca="false">'Daily KPI Entry'!F395</f>
        <v>0</v>
      </c>
      <c r="G394" s="47" t="n">
        <f aca="false">'Daily KPI Entry'!G395</f>
        <v>0</v>
      </c>
      <c r="H394" s="47" t="str">
        <f aca="false">'Daily KPI Entry'!H395</f>
        <v/>
      </c>
      <c r="I394" s="47" t="n">
        <f aca="false">'Daily KPI Entry'!I395</f>
        <v>0</v>
      </c>
      <c r="J394" s="47" t="n">
        <f aca="false">'Daily KPI Entry'!J395</f>
        <v>0</v>
      </c>
      <c r="K394" s="47" t="n">
        <f aca="false">'Daily KPI Entry'!K395</f>
        <v>0</v>
      </c>
      <c r="L394" s="47" t="n">
        <f aca="false">'Daily KPI Entry'!L395</f>
        <v>0</v>
      </c>
      <c r="M394" s="47" t="n">
        <f aca="false">'Daily KPI Entry'!M395</f>
        <v>0</v>
      </c>
      <c r="N394" s="49" t="n">
        <f aca="false">'Daily KPI Entry'!N395</f>
        <v>0</v>
      </c>
      <c r="O394" s="49" t="n">
        <f aca="false">'Daily KPI Entry'!O395</f>
        <v>0</v>
      </c>
      <c r="P394" s="49" t="str">
        <f aca="false">IF(OR(N394="",O394=""),"",IFERROR(O394/N394*100,0))</f>
        <v/>
      </c>
      <c r="Q394" s="47" t="n">
        <f aca="false">'Daily KPI Entry'!Q395</f>
        <v>8</v>
      </c>
      <c r="R394" s="47" t="str">
        <f aca="false">IF(J394="","",Q394*J394)</f>
        <v/>
      </c>
      <c r="S394" s="49" t="n">
        <f aca="false">'Daily KPI Entry'!S395</f>
        <v>0</v>
      </c>
      <c r="T394" s="49" t="str">
        <f aca="false">IF(OR(R394="",S394=""),"",IFERROR(S394/R394*100,0))</f>
        <v/>
      </c>
      <c r="U394" s="49" t="str">
        <f aca="false">IF(OR(O394="",L394="",M394="",S394="",M394=0),"",IFERROR(O394/(L394*60*S394/(M394*36))*100,0))</f>
        <v/>
      </c>
      <c r="V394" s="49" t="n">
        <f aca="false">'Daily KPI Entry'!V395</f>
        <v>0</v>
      </c>
      <c r="W394" s="49" t="str">
        <f aca="false">IF(O394="","",IFERROR(V394/O394*100,0))</f>
        <v/>
      </c>
      <c r="X394" s="49" t="n">
        <f aca="false">'Daily KPI Entry'!X395</f>
        <v>0</v>
      </c>
      <c r="Y394" s="49" t="n">
        <f aca="false">'Daily KPI Entry'!Y395</f>
        <v>0</v>
      </c>
      <c r="Z394" s="49" t="n">
        <f aca="false">'Daily KPI Entry'!Z395</f>
        <v>0</v>
      </c>
      <c r="AA394" s="49" t="n">
        <f aca="false">'Daily KPI Entry'!AA395</f>
        <v>0</v>
      </c>
      <c r="AB394" s="49" t="n">
        <f aca="false">'Daily KPI Entry'!AB395</f>
        <v>0</v>
      </c>
      <c r="AC394" s="49" t="n">
        <f aca="false">'Daily KPI Entry'!AC395</f>
        <v>0</v>
      </c>
      <c r="AD394" s="49" t="n">
        <f aca="false">'Daily KPI Entry'!AD395</f>
        <v>0</v>
      </c>
      <c r="AE394" s="49" t="n">
        <f aca="false">'Daily KPI Entry'!AE395</f>
        <v>0</v>
      </c>
      <c r="AF394" s="47" t="str">
        <f aca="false">IF(O394="","",SUM(X394:AE394))</f>
        <v/>
      </c>
      <c r="AG394" s="49" t="str">
        <f aca="false">IF(O394="","",IFERROR(AF394/O394*1000,0))</f>
        <v/>
      </c>
      <c r="AH394" s="49" t="n">
        <f aca="false">'Daily KPI Entry'!AH395</f>
        <v>0</v>
      </c>
      <c r="AI394" s="49" t="n">
        <f aca="false">'Daily KPI Entry'!AI395</f>
        <v>0</v>
      </c>
      <c r="AJ394" s="49" t="n">
        <f aca="false">'Daily KPI Entry'!AJ395</f>
        <v>0</v>
      </c>
      <c r="AK394" s="47" t="n">
        <f aca="false">'Daily KPI Entry'!AK395</f>
        <v>0</v>
      </c>
      <c r="AL394" s="47" t="n">
        <f aca="false">'Daily KPI Entry'!AL395</f>
        <v>0</v>
      </c>
      <c r="AM394" s="47" t="n">
        <f aca="false">'Daily KPI Entry'!AM395</f>
        <v>0</v>
      </c>
      <c r="AN394" s="49" t="str">
        <f aca="false">IF(P394="","",MIN(120,P394))</f>
        <v/>
      </c>
      <c r="AO394" s="49" t="str">
        <f aca="false">IF(U394="","",MIN(120,U394))</f>
        <v/>
      </c>
      <c r="AP394" s="49" t="str">
        <f aca="false">IF(R394="","",MIN(120,IFERROR(S394/R394*100,0)))</f>
        <v/>
      </c>
      <c r="AQ394" s="49" t="str">
        <f aca="false">IF(W394="","",MIN(120,IF(W394=0,120,100*(INDEX('Standards &amp; Scoring'!$E$5:$E$13,MATCH("Quality / Rejection",'Standards &amp; Scoring'!$A$5:$A$13,0))/W394))))</f>
        <v/>
      </c>
      <c r="AR394" s="49" t="str">
        <f aca="false">IF(AG394="","",MIN(120,IF(AG394=0,120,100*(INDEX('Standards &amp; Scoring'!$E$5:$E$13,MATCH("Fault Control",'Standards &amp; Scoring'!$A$5:$A$13,0))/AG394))))</f>
        <v/>
      </c>
      <c r="AS394" s="49" t="str">
        <f aca="false">IF(O394="","",MIN(120,IF(SUMIFS('Fault &amp; Downtime Entry'!$L$6:$L$1005,'Fault &amp; Downtime Entry'!$E$6:$E$1005,G394,'Fault &amp; Downtime Entry'!$B$6:$B$1005,B394)=0,120,100*(INDEX('Standards &amp; Scoring'!$E$5:$E$13,MATCH("Downtime Control",'Standards &amp; Scoring'!$A$5:$A$13,0))/IFERROR(SUMIFS('Fault &amp; Downtime Entry'!$L$6:$L$1005,'Fault &amp; Downtime Entry'!$E$6:$E$1005,G394,'Fault &amp; Downtime Entry'!$B$6:$B$1005,B394)/O394*1000,999999)))))</f>
        <v/>
      </c>
      <c r="AT394" s="49" t="n">
        <f aca="false">IF(COUNTA(AH394,AJ394)=0,"",MIN(120,IF(AND(AH394&lt;&gt;"",AJ394&lt;&gt;""),AVERAGE(AH394,AJ394),IF(AH394&lt;&gt;"",AH394,AJ394))))</f>
        <v>0</v>
      </c>
      <c r="AU394" s="49" t="str">
        <f aca="false">IF(AI394="","",MIN(120,AI394))</f>
        <v/>
      </c>
      <c r="AV394" s="49" t="str">
        <f aca="false">IF(AJ394="","",MIN(120,AJ394))</f>
        <v/>
      </c>
      <c r="AW394" s="50" t="str">
        <f aca="false">IF(COUNT(AN394:AV394)&lt;9,"",(AN394*'Standards &amp; Scoring'!$D$5+AO394*'Standards &amp; Scoring'!$D$6+AP394*'Standards &amp; Scoring'!$D$7+AQ394*'Standards &amp; Scoring'!$D$8+AR394*'Standards &amp; Scoring'!$D$9+AS394*'Standards &amp; Scoring'!$D$10+AT394*'Standards &amp; Scoring'!$D$11+AU394*'Standards &amp; Scoring'!$D$12+AV394*'Standards &amp; Scoring'!$D$13)/10000)</f>
        <v/>
      </c>
      <c r="AX394" s="47" t="str">
        <f aca="false">IF(AW394="","",IF(AW394&gt;=1.05,"A+",IF(AW394&gt;=1,"A",IF(AW394&gt;=0.95,"B+",IF(AW394&gt;=0.9,"B","C")))))</f>
        <v/>
      </c>
      <c r="AY394" s="47" t="str">
        <f aca="false">IF(AX394="","",IF(AX394="A+",1800,IF(AX394="A",1600,IF(AX394="B+",1400,IF(AX394="B",1200,0)))))</f>
        <v/>
      </c>
      <c r="AZ394" s="49" t="str">
        <f aca="false">IF(OR(L394="",M394="",S394="",M394=0),"",IFERROR(L394*60*S394/(M394*36),0))</f>
        <v/>
      </c>
    </row>
    <row r="395" customFormat="false" ht="15" hidden="false" customHeight="true" outlineLevel="0" collapsed="false">
      <c r="A395" s="47" t="n">
        <f aca="false">'Daily KPI Entry'!A396</f>
        <v>0</v>
      </c>
      <c r="B395" s="48" t="n">
        <f aca="false">'Daily KPI Entry'!B396</f>
        <v>0</v>
      </c>
      <c r="C395" s="47" t="n">
        <f aca="false">'Daily KPI Entry'!C396</f>
        <v>0</v>
      </c>
      <c r="D395" s="47" t="n">
        <f aca="false">'Daily KPI Entry'!D396</f>
        <v>0</v>
      </c>
      <c r="E395" s="47" t="n">
        <f aca="false">'Daily KPI Entry'!E396</f>
        <v>0</v>
      </c>
      <c r="F395" s="47" t="n">
        <f aca="false">'Daily KPI Entry'!F396</f>
        <v>0</v>
      </c>
      <c r="G395" s="47" t="n">
        <f aca="false">'Daily KPI Entry'!G396</f>
        <v>0</v>
      </c>
      <c r="H395" s="47" t="str">
        <f aca="false">'Daily KPI Entry'!H396</f>
        <v/>
      </c>
      <c r="I395" s="47" t="n">
        <f aca="false">'Daily KPI Entry'!I396</f>
        <v>0</v>
      </c>
      <c r="J395" s="47" t="n">
        <f aca="false">'Daily KPI Entry'!J396</f>
        <v>0</v>
      </c>
      <c r="K395" s="47" t="n">
        <f aca="false">'Daily KPI Entry'!K396</f>
        <v>0</v>
      </c>
      <c r="L395" s="47" t="n">
        <f aca="false">'Daily KPI Entry'!L396</f>
        <v>0</v>
      </c>
      <c r="M395" s="47" t="n">
        <f aca="false">'Daily KPI Entry'!M396</f>
        <v>0</v>
      </c>
      <c r="N395" s="49" t="n">
        <f aca="false">'Daily KPI Entry'!N396</f>
        <v>0</v>
      </c>
      <c r="O395" s="49" t="n">
        <f aca="false">'Daily KPI Entry'!O396</f>
        <v>0</v>
      </c>
      <c r="P395" s="49" t="str">
        <f aca="false">IF(OR(N395="",O395=""),"",IFERROR(O395/N395*100,0))</f>
        <v/>
      </c>
      <c r="Q395" s="47" t="n">
        <f aca="false">'Daily KPI Entry'!Q396</f>
        <v>8</v>
      </c>
      <c r="R395" s="47" t="str">
        <f aca="false">IF(J395="","",Q395*J395)</f>
        <v/>
      </c>
      <c r="S395" s="49" t="n">
        <f aca="false">'Daily KPI Entry'!S396</f>
        <v>0</v>
      </c>
      <c r="T395" s="49" t="str">
        <f aca="false">IF(OR(R395="",S395=""),"",IFERROR(S395/R395*100,0))</f>
        <v/>
      </c>
      <c r="U395" s="49" t="str">
        <f aca="false">IF(OR(O395="",L395="",M395="",S395="",M395=0),"",IFERROR(O395/(L395*60*S395/(M395*36))*100,0))</f>
        <v/>
      </c>
      <c r="V395" s="49" t="n">
        <f aca="false">'Daily KPI Entry'!V396</f>
        <v>0</v>
      </c>
      <c r="W395" s="49" t="str">
        <f aca="false">IF(O395="","",IFERROR(V395/O395*100,0))</f>
        <v/>
      </c>
      <c r="X395" s="49" t="n">
        <f aca="false">'Daily KPI Entry'!X396</f>
        <v>0</v>
      </c>
      <c r="Y395" s="49" t="n">
        <f aca="false">'Daily KPI Entry'!Y396</f>
        <v>0</v>
      </c>
      <c r="Z395" s="49" t="n">
        <f aca="false">'Daily KPI Entry'!Z396</f>
        <v>0</v>
      </c>
      <c r="AA395" s="49" t="n">
        <f aca="false">'Daily KPI Entry'!AA396</f>
        <v>0</v>
      </c>
      <c r="AB395" s="49" t="n">
        <f aca="false">'Daily KPI Entry'!AB396</f>
        <v>0</v>
      </c>
      <c r="AC395" s="49" t="n">
        <f aca="false">'Daily KPI Entry'!AC396</f>
        <v>0</v>
      </c>
      <c r="AD395" s="49" t="n">
        <f aca="false">'Daily KPI Entry'!AD396</f>
        <v>0</v>
      </c>
      <c r="AE395" s="49" t="n">
        <f aca="false">'Daily KPI Entry'!AE396</f>
        <v>0</v>
      </c>
      <c r="AF395" s="47" t="str">
        <f aca="false">IF(O395="","",SUM(X395:AE395))</f>
        <v/>
      </c>
      <c r="AG395" s="49" t="str">
        <f aca="false">IF(O395="","",IFERROR(AF395/O395*1000,0))</f>
        <v/>
      </c>
      <c r="AH395" s="49" t="n">
        <f aca="false">'Daily KPI Entry'!AH396</f>
        <v>0</v>
      </c>
      <c r="AI395" s="49" t="n">
        <f aca="false">'Daily KPI Entry'!AI396</f>
        <v>0</v>
      </c>
      <c r="AJ395" s="49" t="n">
        <f aca="false">'Daily KPI Entry'!AJ396</f>
        <v>0</v>
      </c>
      <c r="AK395" s="47" t="n">
        <f aca="false">'Daily KPI Entry'!AK396</f>
        <v>0</v>
      </c>
      <c r="AL395" s="47" t="n">
        <f aca="false">'Daily KPI Entry'!AL396</f>
        <v>0</v>
      </c>
      <c r="AM395" s="47" t="n">
        <f aca="false">'Daily KPI Entry'!AM396</f>
        <v>0</v>
      </c>
      <c r="AN395" s="49" t="str">
        <f aca="false">IF(P395="","",MIN(120,P395))</f>
        <v/>
      </c>
      <c r="AO395" s="49" t="str">
        <f aca="false">IF(U395="","",MIN(120,U395))</f>
        <v/>
      </c>
      <c r="AP395" s="49" t="str">
        <f aca="false">IF(R395="","",MIN(120,IFERROR(S395/R395*100,0)))</f>
        <v/>
      </c>
      <c r="AQ395" s="49" t="str">
        <f aca="false">IF(W395="","",MIN(120,IF(W395=0,120,100*(INDEX('Standards &amp; Scoring'!$E$5:$E$13,MATCH("Quality / Rejection",'Standards &amp; Scoring'!$A$5:$A$13,0))/W395))))</f>
        <v/>
      </c>
      <c r="AR395" s="49" t="str">
        <f aca="false">IF(AG395="","",MIN(120,IF(AG395=0,120,100*(INDEX('Standards &amp; Scoring'!$E$5:$E$13,MATCH("Fault Control",'Standards &amp; Scoring'!$A$5:$A$13,0))/AG395))))</f>
        <v/>
      </c>
      <c r="AS395" s="49" t="str">
        <f aca="false">IF(O395="","",MIN(120,IF(SUMIFS('Fault &amp; Downtime Entry'!$L$6:$L$1005,'Fault &amp; Downtime Entry'!$E$6:$E$1005,G395,'Fault &amp; Downtime Entry'!$B$6:$B$1005,B395)=0,120,100*(INDEX('Standards &amp; Scoring'!$E$5:$E$13,MATCH("Downtime Control",'Standards &amp; Scoring'!$A$5:$A$13,0))/IFERROR(SUMIFS('Fault &amp; Downtime Entry'!$L$6:$L$1005,'Fault &amp; Downtime Entry'!$E$6:$E$1005,G395,'Fault &amp; Downtime Entry'!$B$6:$B$1005,B395)/O395*1000,999999)))))</f>
        <v/>
      </c>
      <c r="AT395" s="49" t="n">
        <f aca="false">IF(COUNTA(AH395,AJ395)=0,"",MIN(120,IF(AND(AH395&lt;&gt;"",AJ395&lt;&gt;""),AVERAGE(AH395,AJ395),IF(AH395&lt;&gt;"",AH395,AJ395))))</f>
        <v>0</v>
      </c>
      <c r="AU395" s="49" t="str">
        <f aca="false">IF(AI395="","",MIN(120,AI395))</f>
        <v/>
      </c>
      <c r="AV395" s="49" t="str">
        <f aca="false">IF(AJ395="","",MIN(120,AJ395))</f>
        <v/>
      </c>
      <c r="AW395" s="50" t="str">
        <f aca="false">IF(COUNT(AN395:AV395)&lt;9,"",(AN395*'Standards &amp; Scoring'!$D$5+AO395*'Standards &amp; Scoring'!$D$6+AP395*'Standards &amp; Scoring'!$D$7+AQ395*'Standards &amp; Scoring'!$D$8+AR395*'Standards &amp; Scoring'!$D$9+AS395*'Standards &amp; Scoring'!$D$10+AT395*'Standards &amp; Scoring'!$D$11+AU395*'Standards &amp; Scoring'!$D$12+AV395*'Standards &amp; Scoring'!$D$13)/10000)</f>
        <v/>
      </c>
      <c r="AX395" s="47" t="str">
        <f aca="false">IF(AW395="","",IF(AW395&gt;=1.05,"A+",IF(AW395&gt;=1,"A",IF(AW395&gt;=0.95,"B+",IF(AW395&gt;=0.9,"B","C")))))</f>
        <v/>
      </c>
      <c r="AY395" s="47" t="str">
        <f aca="false">IF(AX395="","",IF(AX395="A+",1800,IF(AX395="A",1600,IF(AX395="B+",1400,IF(AX395="B",1200,0)))))</f>
        <v/>
      </c>
      <c r="AZ395" s="49" t="str">
        <f aca="false">IF(OR(L395="",M395="",S395="",M395=0),"",IFERROR(L395*60*S395/(M395*36),0))</f>
        <v/>
      </c>
    </row>
    <row r="396" customFormat="false" ht="15" hidden="false" customHeight="true" outlineLevel="0" collapsed="false">
      <c r="A396" s="47" t="n">
        <f aca="false">'Daily KPI Entry'!A397</f>
        <v>0</v>
      </c>
      <c r="B396" s="48" t="n">
        <f aca="false">'Daily KPI Entry'!B397</f>
        <v>0</v>
      </c>
      <c r="C396" s="47" t="n">
        <f aca="false">'Daily KPI Entry'!C397</f>
        <v>0</v>
      </c>
      <c r="D396" s="47" t="n">
        <f aca="false">'Daily KPI Entry'!D397</f>
        <v>0</v>
      </c>
      <c r="E396" s="47" t="n">
        <f aca="false">'Daily KPI Entry'!E397</f>
        <v>0</v>
      </c>
      <c r="F396" s="47" t="n">
        <f aca="false">'Daily KPI Entry'!F397</f>
        <v>0</v>
      </c>
      <c r="G396" s="47" t="n">
        <f aca="false">'Daily KPI Entry'!G397</f>
        <v>0</v>
      </c>
      <c r="H396" s="47" t="str">
        <f aca="false">'Daily KPI Entry'!H397</f>
        <v/>
      </c>
      <c r="I396" s="47" t="n">
        <f aca="false">'Daily KPI Entry'!I397</f>
        <v>0</v>
      </c>
      <c r="J396" s="47" t="n">
        <f aca="false">'Daily KPI Entry'!J397</f>
        <v>0</v>
      </c>
      <c r="K396" s="47" t="n">
        <f aca="false">'Daily KPI Entry'!K397</f>
        <v>0</v>
      </c>
      <c r="L396" s="47" t="n">
        <f aca="false">'Daily KPI Entry'!L397</f>
        <v>0</v>
      </c>
      <c r="M396" s="47" t="n">
        <f aca="false">'Daily KPI Entry'!M397</f>
        <v>0</v>
      </c>
      <c r="N396" s="49" t="n">
        <f aca="false">'Daily KPI Entry'!N397</f>
        <v>0</v>
      </c>
      <c r="O396" s="49" t="n">
        <f aca="false">'Daily KPI Entry'!O397</f>
        <v>0</v>
      </c>
      <c r="P396" s="49" t="str">
        <f aca="false">IF(OR(N396="",O396=""),"",IFERROR(O396/N396*100,0))</f>
        <v/>
      </c>
      <c r="Q396" s="47" t="n">
        <f aca="false">'Daily KPI Entry'!Q397</f>
        <v>8</v>
      </c>
      <c r="R396" s="47" t="str">
        <f aca="false">IF(J396="","",Q396*J396)</f>
        <v/>
      </c>
      <c r="S396" s="49" t="n">
        <f aca="false">'Daily KPI Entry'!S397</f>
        <v>0</v>
      </c>
      <c r="T396" s="49" t="str">
        <f aca="false">IF(OR(R396="",S396=""),"",IFERROR(S396/R396*100,0))</f>
        <v/>
      </c>
      <c r="U396" s="49" t="str">
        <f aca="false">IF(OR(O396="",L396="",M396="",S396="",M396=0),"",IFERROR(O396/(L396*60*S396/(M396*36))*100,0))</f>
        <v/>
      </c>
      <c r="V396" s="49" t="n">
        <f aca="false">'Daily KPI Entry'!V397</f>
        <v>0</v>
      </c>
      <c r="W396" s="49" t="str">
        <f aca="false">IF(O396="","",IFERROR(V396/O396*100,0))</f>
        <v/>
      </c>
      <c r="X396" s="49" t="n">
        <f aca="false">'Daily KPI Entry'!X397</f>
        <v>0</v>
      </c>
      <c r="Y396" s="49" t="n">
        <f aca="false">'Daily KPI Entry'!Y397</f>
        <v>0</v>
      </c>
      <c r="Z396" s="49" t="n">
        <f aca="false">'Daily KPI Entry'!Z397</f>
        <v>0</v>
      </c>
      <c r="AA396" s="49" t="n">
        <f aca="false">'Daily KPI Entry'!AA397</f>
        <v>0</v>
      </c>
      <c r="AB396" s="49" t="n">
        <f aca="false">'Daily KPI Entry'!AB397</f>
        <v>0</v>
      </c>
      <c r="AC396" s="49" t="n">
        <f aca="false">'Daily KPI Entry'!AC397</f>
        <v>0</v>
      </c>
      <c r="AD396" s="49" t="n">
        <f aca="false">'Daily KPI Entry'!AD397</f>
        <v>0</v>
      </c>
      <c r="AE396" s="49" t="n">
        <f aca="false">'Daily KPI Entry'!AE397</f>
        <v>0</v>
      </c>
      <c r="AF396" s="47" t="str">
        <f aca="false">IF(O396="","",SUM(X396:AE396))</f>
        <v/>
      </c>
      <c r="AG396" s="49" t="str">
        <f aca="false">IF(O396="","",IFERROR(AF396/O396*1000,0))</f>
        <v/>
      </c>
      <c r="AH396" s="49" t="n">
        <f aca="false">'Daily KPI Entry'!AH397</f>
        <v>0</v>
      </c>
      <c r="AI396" s="49" t="n">
        <f aca="false">'Daily KPI Entry'!AI397</f>
        <v>0</v>
      </c>
      <c r="AJ396" s="49" t="n">
        <f aca="false">'Daily KPI Entry'!AJ397</f>
        <v>0</v>
      </c>
      <c r="AK396" s="47" t="n">
        <f aca="false">'Daily KPI Entry'!AK397</f>
        <v>0</v>
      </c>
      <c r="AL396" s="47" t="n">
        <f aca="false">'Daily KPI Entry'!AL397</f>
        <v>0</v>
      </c>
      <c r="AM396" s="47" t="n">
        <f aca="false">'Daily KPI Entry'!AM397</f>
        <v>0</v>
      </c>
      <c r="AN396" s="49" t="str">
        <f aca="false">IF(P396="","",MIN(120,P396))</f>
        <v/>
      </c>
      <c r="AO396" s="49" t="str">
        <f aca="false">IF(U396="","",MIN(120,U396))</f>
        <v/>
      </c>
      <c r="AP396" s="49" t="str">
        <f aca="false">IF(R396="","",MIN(120,IFERROR(S396/R396*100,0)))</f>
        <v/>
      </c>
      <c r="AQ396" s="49" t="str">
        <f aca="false">IF(W396="","",MIN(120,IF(W396=0,120,100*(INDEX('Standards &amp; Scoring'!$E$5:$E$13,MATCH("Quality / Rejection",'Standards &amp; Scoring'!$A$5:$A$13,0))/W396))))</f>
        <v/>
      </c>
      <c r="AR396" s="49" t="str">
        <f aca="false">IF(AG396="","",MIN(120,IF(AG396=0,120,100*(INDEX('Standards &amp; Scoring'!$E$5:$E$13,MATCH("Fault Control",'Standards &amp; Scoring'!$A$5:$A$13,0))/AG396))))</f>
        <v/>
      </c>
      <c r="AS396" s="49" t="str">
        <f aca="false">IF(O396="","",MIN(120,IF(SUMIFS('Fault &amp; Downtime Entry'!$L$6:$L$1005,'Fault &amp; Downtime Entry'!$E$6:$E$1005,G396,'Fault &amp; Downtime Entry'!$B$6:$B$1005,B396)=0,120,100*(INDEX('Standards &amp; Scoring'!$E$5:$E$13,MATCH("Downtime Control",'Standards &amp; Scoring'!$A$5:$A$13,0))/IFERROR(SUMIFS('Fault &amp; Downtime Entry'!$L$6:$L$1005,'Fault &amp; Downtime Entry'!$E$6:$E$1005,G396,'Fault &amp; Downtime Entry'!$B$6:$B$1005,B396)/O396*1000,999999)))))</f>
        <v/>
      </c>
      <c r="AT396" s="49" t="n">
        <f aca="false">IF(COUNTA(AH396,AJ396)=0,"",MIN(120,IF(AND(AH396&lt;&gt;"",AJ396&lt;&gt;""),AVERAGE(AH396,AJ396),IF(AH396&lt;&gt;"",AH396,AJ396))))</f>
        <v>0</v>
      </c>
      <c r="AU396" s="49" t="str">
        <f aca="false">IF(AI396="","",MIN(120,AI396))</f>
        <v/>
      </c>
      <c r="AV396" s="49" t="str">
        <f aca="false">IF(AJ396="","",MIN(120,AJ396))</f>
        <v/>
      </c>
      <c r="AW396" s="50" t="str">
        <f aca="false">IF(COUNT(AN396:AV396)&lt;9,"",(AN396*'Standards &amp; Scoring'!$D$5+AO396*'Standards &amp; Scoring'!$D$6+AP396*'Standards &amp; Scoring'!$D$7+AQ396*'Standards &amp; Scoring'!$D$8+AR396*'Standards &amp; Scoring'!$D$9+AS396*'Standards &amp; Scoring'!$D$10+AT396*'Standards &amp; Scoring'!$D$11+AU396*'Standards &amp; Scoring'!$D$12+AV396*'Standards &amp; Scoring'!$D$13)/10000)</f>
        <v/>
      </c>
      <c r="AX396" s="47" t="str">
        <f aca="false">IF(AW396="","",IF(AW396&gt;=1.05,"A+",IF(AW396&gt;=1,"A",IF(AW396&gt;=0.95,"B+",IF(AW396&gt;=0.9,"B","C")))))</f>
        <v/>
      </c>
      <c r="AY396" s="47" t="str">
        <f aca="false">IF(AX396="","",IF(AX396="A+",1800,IF(AX396="A",1600,IF(AX396="B+",1400,IF(AX396="B",1200,0)))))</f>
        <v/>
      </c>
      <c r="AZ396" s="49" t="str">
        <f aca="false">IF(OR(L396="",M396="",S396="",M396=0),"",IFERROR(L396*60*S396/(M396*36),0))</f>
        <v/>
      </c>
    </row>
    <row r="397" customFormat="false" ht="15" hidden="false" customHeight="true" outlineLevel="0" collapsed="false">
      <c r="A397" s="47" t="n">
        <f aca="false">'Daily KPI Entry'!A398</f>
        <v>0</v>
      </c>
      <c r="B397" s="48" t="n">
        <f aca="false">'Daily KPI Entry'!B398</f>
        <v>0</v>
      </c>
      <c r="C397" s="47" t="n">
        <f aca="false">'Daily KPI Entry'!C398</f>
        <v>0</v>
      </c>
      <c r="D397" s="47" t="n">
        <f aca="false">'Daily KPI Entry'!D398</f>
        <v>0</v>
      </c>
      <c r="E397" s="47" t="n">
        <f aca="false">'Daily KPI Entry'!E398</f>
        <v>0</v>
      </c>
      <c r="F397" s="47" t="n">
        <f aca="false">'Daily KPI Entry'!F398</f>
        <v>0</v>
      </c>
      <c r="G397" s="47" t="n">
        <f aca="false">'Daily KPI Entry'!G398</f>
        <v>0</v>
      </c>
      <c r="H397" s="47" t="str">
        <f aca="false">'Daily KPI Entry'!H398</f>
        <v/>
      </c>
      <c r="I397" s="47" t="n">
        <f aca="false">'Daily KPI Entry'!I398</f>
        <v>0</v>
      </c>
      <c r="J397" s="47" t="n">
        <f aca="false">'Daily KPI Entry'!J398</f>
        <v>0</v>
      </c>
      <c r="K397" s="47" t="n">
        <f aca="false">'Daily KPI Entry'!K398</f>
        <v>0</v>
      </c>
      <c r="L397" s="47" t="n">
        <f aca="false">'Daily KPI Entry'!L398</f>
        <v>0</v>
      </c>
      <c r="M397" s="47" t="n">
        <f aca="false">'Daily KPI Entry'!M398</f>
        <v>0</v>
      </c>
      <c r="N397" s="49" t="n">
        <f aca="false">'Daily KPI Entry'!N398</f>
        <v>0</v>
      </c>
      <c r="O397" s="49" t="n">
        <f aca="false">'Daily KPI Entry'!O398</f>
        <v>0</v>
      </c>
      <c r="P397" s="49" t="str">
        <f aca="false">IF(OR(N397="",O397=""),"",IFERROR(O397/N397*100,0))</f>
        <v/>
      </c>
      <c r="Q397" s="47" t="n">
        <f aca="false">'Daily KPI Entry'!Q398</f>
        <v>8</v>
      </c>
      <c r="R397" s="47" t="str">
        <f aca="false">IF(J397="","",Q397*J397)</f>
        <v/>
      </c>
      <c r="S397" s="49" t="n">
        <f aca="false">'Daily KPI Entry'!S398</f>
        <v>0</v>
      </c>
      <c r="T397" s="49" t="str">
        <f aca="false">IF(OR(R397="",S397=""),"",IFERROR(S397/R397*100,0))</f>
        <v/>
      </c>
      <c r="U397" s="49" t="str">
        <f aca="false">IF(OR(O397="",L397="",M397="",S397="",M397=0),"",IFERROR(O397/(L397*60*S397/(M397*36))*100,0))</f>
        <v/>
      </c>
      <c r="V397" s="49" t="n">
        <f aca="false">'Daily KPI Entry'!V398</f>
        <v>0</v>
      </c>
      <c r="W397" s="49" t="str">
        <f aca="false">IF(O397="","",IFERROR(V397/O397*100,0))</f>
        <v/>
      </c>
      <c r="X397" s="49" t="n">
        <f aca="false">'Daily KPI Entry'!X398</f>
        <v>0</v>
      </c>
      <c r="Y397" s="49" t="n">
        <f aca="false">'Daily KPI Entry'!Y398</f>
        <v>0</v>
      </c>
      <c r="Z397" s="49" t="n">
        <f aca="false">'Daily KPI Entry'!Z398</f>
        <v>0</v>
      </c>
      <c r="AA397" s="49" t="n">
        <f aca="false">'Daily KPI Entry'!AA398</f>
        <v>0</v>
      </c>
      <c r="AB397" s="49" t="n">
        <f aca="false">'Daily KPI Entry'!AB398</f>
        <v>0</v>
      </c>
      <c r="AC397" s="49" t="n">
        <f aca="false">'Daily KPI Entry'!AC398</f>
        <v>0</v>
      </c>
      <c r="AD397" s="49" t="n">
        <f aca="false">'Daily KPI Entry'!AD398</f>
        <v>0</v>
      </c>
      <c r="AE397" s="49" t="n">
        <f aca="false">'Daily KPI Entry'!AE398</f>
        <v>0</v>
      </c>
      <c r="AF397" s="47" t="str">
        <f aca="false">IF(O397="","",SUM(X397:AE397))</f>
        <v/>
      </c>
      <c r="AG397" s="49" t="str">
        <f aca="false">IF(O397="","",IFERROR(AF397/O397*1000,0))</f>
        <v/>
      </c>
      <c r="AH397" s="49" t="n">
        <f aca="false">'Daily KPI Entry'!AH398</f>
        <v>0</v>
      </c>
      <c r="AI397" s="49" t="n">
        <f aca="false">'Daily KPI Entry'!AI398</f>
        <v>0</v>
      </c>
      <c r="AJ397" s="49" t="n">
        <f aca="false">'Daily KPI Entry'!AJ398</f>
        <v>0</v>
      </c>
      <c r="AK397" s="47" t="n">
        <f aca="false">'Daily KPI Entry'!AK398</f>
        <v>0</v>
      </c>
      <c r="AL397" s="47" t="n">
        <f aca="false">'Daily KPI Entry'!AL398</f>
        <v>0</v>
      </c>
      <c r="AM397" s="47" t="n">
        <f aca="false">'Daily KPI Entry'!AM398</f>
        <v>0</v>
      </c>
      <c r="AN397" s="49" t="str">
        <f aca="false">IF(P397="","",MIN(120,P397))</f>
        <v/>
      </c>
      <c r="AO397" s="49" t="str">
        <f aca="false">IF(U397="","",MIN(120,U397))</f>
        <v/>
      </c>
      <c r="AP397" s="49" t="str">
        <f aca="false">IF(R397="","",MIN(120,IFERROR(S397/R397*100,0)))</f>
        <v/>
      </c>
      <c r="AQ397" s="49" t="str">
        <f aca="false">IF(W397="","",MIN(120,IF(W397=0,120,100*(INDEX('Standards &amp; Scoring'!$E$5:$E$13,MATCH("Quality / Rejection",'Standards &amp; Scoring'!$A$5:$A$13,0))/W397))))</f>
        <v/>
      </c>
      <c r="AR397" s="49" t="str">
        <f aca="false">IF(AG397="","",MIN(120,IF(AG397=0,120,100*(INDEX('Standards &amp; Scoring'!$E$5:$E$13,MATCH("Fault Control",'Standards &amp; Scoring'!$A$5:$A$13,0))/AG397))))</f>
        <v/>
      </c>
      <c r="AS397" s="49" t="str">
        <f aca="false">IF(O397="","",MIN(120,IF(SUMIFS('Fault &amp; Downtime Entry'!$L$6:$L$1005,'Fault &amp; Downtime Entry'!$E$6:$E$1005,G397,'Fault &amp; Downtime Entry'!$B$6:$B$1005,B397)=0,120,100*(INDEX('Standards &amp; Scoring'!$E$5:$E$13,MATCH("Downtime Control",'Standards &amp; Scoring'!$A$5:$A$13,0))/IFERROR(SUMIFS('Fault &amp; Downtime Entry'!$L$6:$L$1005,'Fault &amp; Downtime Entry'!$E$6:$E$1005,G397,'Fault &amp; Downtime Entry'!$B$6:$B$1005,B397)/O397*1000,999999)))))</f>
        <v/>
      </c>
      <c r="AT397" s="49" t="n">
        <f aca="false">IF(COUNTA(AH397,AJ397)=0,"",MIN(120,IF(AND(AH397&lt;&gt;"",AJ397&lt;&gt;""),AVERAGE(AH397,AJ397),IF(AH397&lt;&gt;"",AH397,AJ397))))</f>
        <v>0</v>
      </c>
      <c r="AU397" s="49" t="str">
        <f aca="false">IF(AI397="","",MIN(120,AI397))</f>
        <v/>
      </c>
      <c r="AV397" s="49" t="str">
        <f aca="false">IF(AJ397="","",MIN(120,AJ397))</f>
        <v/>
      </c>
      <c r="AW397" s="50" t="str">
        <f aca="false">IF(COUNT(AN397:AV397)&lt;9,"",(AN397*'Standards &amp; Scoring'!$D$5+AO397*'Standards &amp; Scoring'!$D$6+AP397*'Standards &amp; Scoring'!$D$7+AQ397*'Standards &amp; Scoring'!$D$8+AR397*'Standards &amp; Scoring'!$D$9+AS397*'Standards &amp; Scoring'!$D$10+AT397*'Standards &amp; Scoring'!$D$11+AU397*'Standards &amp; Scoring'!$D$12+AV397*'Standards &amp; Scoring'!$D$13)/10000)</f>
        <v/>
      </c>
      <c r="AX397" s="47" t="str">
        <f aca="false">IF(AW397="","",IF(AW397&gt;=1.05,"A+",IF(AW397&gt;=1,"A",IF(AW397&gt;=0.95,"B+",IF(AW397&gt;=0.9,"B","C")))))</f>
        <v/>
      </c>
      <c r="AY397" s="47" t="str">
        <f aca="false">IF(AX397="","",IF(AX397="A+",1800,IF(AX397="A",1600,IF(AX397="B+",1400,IF(AX397="B",1200,0)))))</f>
        <v/>
      </c>
      <c r="AZ397" s="49" t="str">
        <f aca="false">IF(OR(L397="",M397="",S397="",M397=0),"",IFERROR(L397*60*S397/(M397*36),0))</f>
        <v/>
      </c>
    </row>
    <row r="398" customFormat="false" ht="15" hidden="false" customHeight="true" outlineLevel="0" collapsed="false">
      <c r="A398" s="47" t="n">
        <f aca="false">'Daily KPI Entry'!A399</f>
        <v>0</v>
      </c>
      <c r="B398" s="48" t="n">
        <f aca="false">'Daily KPI Entry'!B399</f>
        <v>0</v>
      </c>
      <c r="C398" s="47" t="n">
        <f aca="false">'Daily KPI Entry'!C399</f>
        <v>0</v>
      </c>
      <c r="D398" s="47" t="n">
        <f aca="false">'Daily KPI Entry'!D399</f>
        <v>0</v>
      </c>
      <c r="E398" s="47" t="n">
        <f aca="false">'Daily KPI Entry'!E399</f>
        <v>0</v>
      </c>
      <c r="F398" s="47" t="n">
        <f aca="false">'Daily KPI Entry'!F399</f>
        <v>0</v>
      </c>
      <c r="G398" s="47" t="n">
        <f aca="false">'Daily KPI Entry'!G399</f>
        <v>0</v>
      </c>
      <c r="H398" s="47" t="str">
        <f aca="false">'Daily KPI Entry'!H399</f>
        <v/>
      </c>
      <c r="I398" s="47" t="n">
        <f aca="false">'Daily KPI Entry'!I399</f>
        <v>0</v>
      </c>
      <c r="J398" s="47" t="n">
        <f aca="false">'Daily KPI Entry'!J399</f>
        <v>0</v>
      </c>
      <c r="K398" s="47" t="n">
        <f aca="false">'Daily KPI Entry'!K399</f>
        <v>0</v>
      </c>
      <c r="L398" s="47" t="n">
        <f aca="false">'Daily KPI Entry'!L399</f>
        <v>0</v>
      </c>
      <c r="M398" s="47" t="n">
        <f aca="false">'Daily KPI Entry'!M399</f>
        <v>0</v>
      </c>
      <c r="N398" s="49" t="n">
        <f aca="false">'Daily KPI Entry'!N399</f>
        <v>0</v>
      </c>
      <c r="O398" s="49" t="n">
        <f aca="false">'Daily KPI Entry'!O399</f>
        <v>0</v>
      </c>
      <c r="P398" s="49" t="str">
        <f aca="false">IF(OR(N398="",O398=""),"",IFERROR(O398/N398*100,0))</f>
        <v/>
      </c>
      <c r="Q398" s="47" t="n">
        <f aca="false">'Daily KPI Entry'!Q399</f>
        <v>8</v>
      </c>
      <c r="R398" s="47" t="str">
        <f aca="false">IF(J398="","",Q398*J398)</f>
        <v/>
      </c>
      <c r="S398" s="49" t="n">
        <f aca="false">'Daily KPI Entry'!S399</f>
        <v>0</v>
      </c>
      <c r="T398" s="49" t="str">
        <f aca="false">IF(OR(R398="",S398=""),"",IFERROR(S398/R398*100,0))</f>
        <v/>
      </c>
      <c r="U398" s="49" t="str">
        <f aca="false">IF(OR(O398="",L398="",M398="",S398="",M398=0),"",IFERROR(O398/(L398*60*S398/(M398*36))*100,0))</f>
        <v/>
      </c>
      <c r="V398" s="49" t="n">
        <f aca="false">'Daily KPI Entry'!V399</f>
        <v>0</v>
      </c>
      <c r="W398" s="49" t="str">
        <f aca="false">IF(O398="","",IFERROR(V398/O398*100,0))</f>
        <v/>
      </c>
      <c r="X398" s="49" t="n">
        <f aca="false">'Daily KPI Entry'!X399</f>
        <v>0</v>
      </c>
      <c r="Y398" s="49" t="n">
        <f aca="false">'Daily KPI Entry'!Y399</f>
        <v>0</v>
      </c>
      <c r="Z398" s="49" t="n">
        <f aca="false">'Daily KPI Entry'!Z399</f>
        <v>0</v>
      </c>
      <c r="AA398" s="49" t="n">
        <f aca="false">'Daily KPI Entry'!AA399</f>
        <v>0</v>
      </c>
      <c r="AB398" s="49" t="n">
        <f aca="false">'Daily KPI Entry'!AB399</f>
        <v>0</v>
      </c>
      <c r="AC398" s="49" t="n">
        <f aca="false">'Daily KPI Entry'!AC399</f>
        <v>0</v>
      </c>
      <c r="AD398" s="49" t="n">
        <f aca="false">'Daily KPI Entry'!AD399</f>
        <v>0</v>
      </c>
      <c r="AE398" s="49" t="n">
        <f aca="false">'Daily KPI Entry'!AE399</f>
        <v>0</v>
      </c>
      <c r="AF398" s="47" t="str">
        <f aca="false">IF(O398="","",SUM(X398:AE398))</f>
        <v/>
      </c>
      <c r="AG398" s="49" t="str">
        <f aca="false">IF(O398="","",IFERROR(AF398/O398*1000,0))</f>
        <v/>
      </c>
      <c r="AH398" s="49" t="n">
        <f aca="false">'Daily KPI Entry'!AH399</f>
        <v>0</v>
      </c>
      <c r="AI398" s="49" t="n">
        <f aca="false">'Daily KPI Entry'!AI399</f>
        <v>0</v>
      </c>
      <c r="AJ398" s="49" t="n">
        <f aca="false">'Daily KPI Entry'!AJ399</f>
        <v>0</v>
      </c>
      <c r="AK398" s="47" t="n">
        <f aca="false">'Daily KPI Entry'!AK399</f>
        <v>0</v>
      </c>
      <c r="AL398" s="47" t="n">
        <f aca="false">'Daily KPI Entry'!AL399</f>
        <v>0</v>
      </c>
      <c r="AM398" s="47" t="n">
        <f aca="false">'Daily KPI Entry'!AM399</f>
        <v>0</v>
      </c>
      <c r="AN398" s="49" t="str">
        <f aca="false">IF(P398="","",MIN(120,P398))</f>
        <v/>
      </c>
      <c r="AO398" s="49" t="str">
        <f aca="false">IF(U398="","",MIN(120,U398))</f>
        <v/>
      </c>
      <c r="AP398" s="49" t="str">
        <f aca="false">IF(R398="","",MIN(120,IFERROR(S398/R398*100,0)))</f>
        <v/>
      </c>
      <c r="AQ398" s="49" t="str">
        <f aca="false">IF(W398="","",MIN(120,IF(W398=0,120,100*(INDEX('Standards &amp; Scoring'!$E$5:$E$13,MATCH("Quality / Rejection",'Standards &amp; Scoring'!$A$5:$A$13,0))/W398))))</f>
        <v/>
      </c>
      <c r="AR398" s="49" t="str">
        <f aca="false">IF(AG398="","",MIN(120,IF(AG398=0,120,100*(INDEX('Standards &amp; Scoring'!$E$5:$E$13,MATCH("Fault Control",'Standards &amp; Scoring'!$A$5:$A$13,0))/AG398))))</f>
        <v/>
      </c>
      <c r="AS398" s="49" t="str">
        <f aca="false">IF(O398="","",MIN(120,IF(SUMIFS('Fault &amp; Downtime Entry'!$L$6:$L$1005,'Fault &amp; Downtime Entry'!$E$6:$E$1005,G398,'Fault &amp; Downtime Entry'!$B$6:$B$1005,B398)=0,120,100*(INDEX('Standards &amp; Scoring'!$E$5:$E$13,MATCH("Downtime Control",'Standards &amp; Scoring'!$A$5:$A$13,0))/IFERROR(SUMIFS('Fault &amp; Downtime Entry'!$L$6:$L$1005,'Fault &amp; Downtime Entry'!$E$6:$E$1005,G398,'Fault &amp; Downtime Entry'!$B$6:$B$1005,B398)/O398*1000,999999)))))</f>
        <v/>
      </c>
      <c r="AT398" s="49" t="n">
        <f aca="false">IF(COUNTA(AH398,AJ398)=0,"",MIN(120,IF(AND(AH398&lt;&gt;"",AJ398&lt;&gt;""),AVERAGE(AH398,AJ398),IF(AH398&lt;&gt;"",AH398,AJ398))))</f>
        <v>0</v>
      </c>
      <c r="AU398" s="49" t="str">
        <f aca="false">IF(AI398="","",MIN(120,AI398))</f>
        <v/>
      </c>
      <c r="AV398" s="49" t="str">
        <f aca="false">IF(AJ398="","",MIN(120,AJ398))</f>
        <v/>
      </c>
      <c r="AW398" s="50" t="str">
        <f aca="false">IF(COUNT(AN398:AV398)&lt;9,"",(AN398*'Standards &amp; Scoring'!$D$5+AO398*'Standards &amp; Scoring'!$D$6+AP398*'Standards &amp; Scoring'!$D$7+AQ398*'Standards &amp; Scoring'!$D$8+AR398*'Standards &amp; Scoring'!$D$9+AS398*'Standards &amp; Scoring'!$D$10+AT398*'Standards &amp; Scoring'!$D$11+AU398*'Standards &amp; Scoring'!$D$12+AV398*'Standards &amp; Scoring'!$D$13)/10000)</f>
        <v/>
      </c>
      <c r="AX398" s="47" t="str">
        <f aca="false">IF(AW398="","",IF(AW398&gt;=1.05,"A+",IF(AW398&gt;=1,"A",IF(AW398&gt;=0.95,"B+",IF(AW398&gt;=0.9,"B","C")))))</f>
        <v/>
      </c>
      <c r="AY398" s="47" t="str">
        <f aca="false">IF(AX398="","",IF(AX398="A+",1800,IF(AX398="A",1600,IF(AX398="B+",1400,IF(AX398="B",1200,0)))))</f>
        <v/>
      </c>
      <c r="AZ398" s="49" t="str">
        <f aca="false">IF(OR(L398="",M398="",S398="",M398=0),"",IFERROR(L398*60*S398/(M398*36),0))</f>
        <v/>
      </c>
    </row>
    <row r="399" customFormat="false" ht="15" hidden="false" customHeight="true" outlineLevel="0" collapsed="false">
      <c r="A399" s="47" t="n">
        <f aca="false">'Daily KPI Entry'!A400</f>
        <v>0</v>
      </c>
      <c r="B399" s="48" t="n">
        <f aca="false">'Daily KPI Entry'!B400</f>
        <v>0</v>
      </c>
      <c r="C399" s="47" t="n">
        <f aca="false">'Daily KPI Entry'!C400</f>
        <v>0</v>
      </c>
      <c r="D399" s="47" t="n">
        <f aca="false">'Daily KPI Entry'!D400</f>
        <v>0</v>
      </c>
      <c r="E399" s="47" t="n">
        <f aca="false">'Daily KPI Entry'!E400</f>
        <v>0</v>
      </c>
      <c r="F399" s="47" t="n">
        <f aca="false">'Daily KPI Entry'!F400</f>
        <v>0</v>
      </c>
      <c r="G399" s="47" t="n">
        <f aca="false">'Daily KPI Entry'!G400</f>
        <v>0</v>
      </c>
      <c r="H399" s="47" t="str">
        <f aca="false">'Daily KPI Entry'!H400</f>
        <v/>
      </c>
      <c r="I399" s="47" t="n">
        <f aca="false">'Daily KPI Entry'!I400</f>
        <v>0</v>
      </c>
      <c r="J399" s="47" t="n">
        <f aca="false">'Daily KPI Entry'!J400</f>
        <v>0</v>
      </c>
      <c r="K399" s="47" t="n">
        <f aca="false">'Daily KPI Entry'!K400</f>
        <v>0</v>
      </c>
      <c r="L399" s="47" t="n">
        <f aca="false">'Daily KPI Entry'!L400</f>
        <v>0</v>
      </c>
      <c r="M399" s="47" t="n">
        <f aca="false">'Daily KPI Entry'!M400</f>
        <v>0</v>
      </c>
      <c r="N399" s="49" t="n">
        <f aca="false">'Daily KPI Entry'!N400</f>
        <v>0</v>
      </c>
      <c r="O399" s="49" t="n">
        <f aca="false">'Daily KPI Entry'!O400</f>
        <v>0</v>
      </c>
      <c r="P399" s="49" t="str">
        <f aca="false">IF(OR(N399="",O399=""),"",IFERROR(O399/N399*100,0))</f>
        <v/>
      </c>
      <c r="Q399" s="47" t="n">
        <f aca="false">'Daily KPI Entry'!Q400</f>
        <v>8</v>
      </c>
      <c r="R399" s="47" t="str">
        <f aca="false">IF(J399="","",Q399*J399)</f>
        <v/>
      </c>
      <c r="S399" s="49" t="n">
        <f aca="false">'Daily KPI Entry'!S400</f>
        <v>0</v>
      </c>
      <c r="T399" s="49" t="str">
        <f aca="false">IF(OR(R399="",S399=""),"",IFERROR(S399/R399*100,0))</f>
        <v/>
      </c>
      <c r="U399" s="49" t="str">
        <f aca="false">IF(OR(O399="",L399="",M399="",S399="",M399=0),"",IFERROR(O399/(L399*60*S399/(M399*36))*100,0))</f>
        <v/>
      </c>
      <c r="V399" s="49" t="n">
        <f aca="false">'Daily KPI Entry'!V400</f>
        <v>0</v>
      </c>
      <c r="W399" s="49" t="str">
        <f aca="false">IF(O399="","",IFERROR(V399/O399*100,0))</f>
        <v/>
      </c>
      <c r="X399" s="49" t="n">
        <f aca="false">'Daily KPI Entry'!X400</f>
        <v>0</v>
      </c>
      <c r="Y399" s="49" t="n">
        <f aca="false">'Daily KPI Entry'!Y400</f>
        <v>0</v>
      </c>
      <c r="Z399" s="49" t="n">
        <f aca="false">'Daily KPI Entry'!Z400</f>
        <v>0</v>
      </c>
      <c r="AA399" s="49" t="n">
        <f aca="false">'Daily KPI Entry'!AA400</f>
        <v>0</v>
      </c>
      <c r="AB399" s="49" t="n">
        <f aca="false">'Daily KPI Entry'!AB400</f>
        <v>0</v>
      </c>
      <c r="AC399" s="49" t="n">
        <f aca="false">'Daily KPI Entry'!AC400</f>
        <v>0</v>
      </c>
      <c r="AD399" s="49" t="n">
        <f aca="false">'Daily KPI Entry'!AD400</f>
        <v>0</v>
      </c>
      <c r="AE399" s="49" t="n">
        <f aca="false">'Daily KPI Entry'!AE400</f>
        <v>0</v>
      </c>
      <c r="AF399" s="47" t="str">
        <f aca="false">IF(O399="","",SUM(X399:AE399))</f>
        <v/>
      </c>
      <c r="AG399" s="49" t="str">
        <f aca="false">IF(O399="","",IFERROR(AF399/O399*1000,0))</f>
        <v/>
      </c>
      <c r="AH399" s="49" t="n">
        <f aca="false">'Daily KPI Entry'!AH400</f>
        <v>0</v>
      </c>
      <c r="AI399" s="49" t="n">
        <f aca="false">'Daily KPI Entry'!AI400</f>
        <v>0</v>
      </c>
      <c r="AJ399" s="49" t="n">
        <f aca="false">'Daily KPI Entry'!AJ400</f>
        <v>0</v>
      </c>
      <c r="AK399" s="47" t="n">
        <f aca="false">'Daily KPI Entry'!AK400</f>
        <v>0</v>
      </c>
      <c r="AL399" s="47" t="n">
        <f aca="false">'Daily KPI Entry'!AL400</f>
        <v>0</v>
      </c>
      <c r="AM399" s="47" t="n">
        <f aca="false">'Daily KPI Entry'!AM400</f>
        <v>0</v>
      </c>
      <c r="AN399" s="49" t="str">
        <f aca="false">IF(P399="","",MIN(120,P399))</f>
        <v/>
      </c>
      <c r="AO399" s="49" t="str">
        <f aca="false">IF(U399="","",MIN(120,U399))</f>
        <v/>
      </c>
      <c r="AP399" s="49" t="str">
        <f aca="false">IF(R399="","",MIN(120,IFERROR(S399/R399*100,0)))</f>
        <v/>
      </c>
      <c r="AQ399" s="49" t="str">
        <f aca="false">IF(W399="","",MIN(120,IF(W399=0,120,100*(INDEX('Standards &amp; Scoring'!$E$5:$E$13,MATCH("Quality / Rejection",'Standards &amp; Scoring'!$A$5:$A$13,0))/W399))))</f>
        <v/>
      </c>
      <c r="AR399" s="49" t="str">
        <f aca="false">IF(AG399="","",MIN(120,IF(AG399=0,120,100*(INDEX('Standards &amp; Scoring'!$E$5:$E$13,MATCH("Fault Control",'Standards &amp; Scoring'!$A$5:$A$13,0))/AG399))))</f>
        <v/>
      </c>
      <c r="AS399" s="49" t="str">
        <f aca="false">IF(O399="","",MIN(120,IF(SUMIFS('Fault &amp; Downtime Entry'!$L$6:$L$1005,'Fault &amp; Downtime Entry'!$E$6:$E$1005,G399,'Fault &amp; Downtime Entry'!$B$6:$B$1005,B399)=0,120,100*(INDEX('Standards &amp; Scoring'!$E$5:$E$13,MATCH("Downtime Control",'Standards &amp; Scoring'!$A$5:$A$13,0))/IFERROR(SUMIFS('Fault &amp; Downtime Entry'!$L$6:$L$1005,'Fault &amp; Downtime Entry'!$E$6:$E$1005,G399,'Fault &amp; Downtime Entry'!$B$6:$B$1005,B399)/O399*1000,999999)))))</f>
        <v/>
      </c>
      <c r="AT399" s="49" t="n">
        <f aca="false">IF(COUNTA(AH399,AJ399)=0,"",MIN(120,IF(AND(AH399&lt;&gt;"",AJ399&lt;&gt;""),AVERAGE(AH399,AJ399),IF(AH399&lt;&gt;"",AH399,AJ399))))</f>
        <v>0</v>
      </c>
      <c r="AU399" s="49" t="str">
        <f aca="false">IF(AI399="","",MIN(120,AI399))</f>
        <v/>
      </c>
      <c r="AV399" s="49" t="str">
        <f aca="false">IF(AJ399="","",MIN(120,AJ399))</f>
        <v/>
      </c>
      <c r="AW399" s="50" t="str">
        <f aca="false">IF(COUNT(AN399:AV399)&lt;9,"",(AN399*'Standards &amp; Scoring'!$D$5+AO399*'Standards &amp; Scoring'!$D$6+AP399*'Standards &amp; Scoring'!$D$7+AQ399*'Standards &amp; Scoring'!$D$8+AR399*'Standards &amp; Scoring'!$D$9+AS399*'Standards &amp; Scoring'!$D$10+AT399*'Standards &amp; Scoring'!$D$11+AU399*'Standards &amp; Scoring'!$D$12+AV399*'Standards &amp; Scoring'!$D$13)/10000)</f>
        <v/>
      </c>
      <c r="AX399" s="47" t="str">
        <f aca="false">IF(AW399="","",IF(AW399&gt;=1.05,"A+",IF(AW399&gt;=1,"A",IF(AW399&gt;=0.95,"B+",IF(AW399&gt;=0.9,"B","C")))))</f>
        <v/>
      </c>
      <c r="AY399" s="47" t="str">
        <f aca="false">IF(AX399="","",IF(AX399="A+",1800,IF(AX399="A",1600,IF(AX399="B+",1400,IF(AX399="B",1200,0)))))</f>
        <v/>
      </c>
      <c r="AZ399" s="49" t="str">
        <f aca="false">IF(OR(L399="",M399="",S399="",M399=0),"",IFERROR(L399*60*S399/(M399*36),0))</f>
        <v/>
      </c>
    </row>
    <row r="400" customFormat="false" ht="15" hidden="false" customHeight="true" outlineLevel="0" collapsed="false">
      <c r="A400" s="47" t="n">
        <f aca="false">'Daily KPI Entry'!A401</f>
        <v>0</v>
      </c>
      <c r="B400" s="48" t="n">
        <f aca="false">'Daily KPI Entry'!B401</f>
        <v>0</v>
      </c>
      <c r="C400" s="47" t="n">
        <f aca="false">'Daily KPI Entry'!C401</f>
        <v>0</v>
      </c>
      <c r="D400" s="47" t="n">
        <f aca="false">'Daily KPI Entry'!D401</f>
        <v>0</v>
      </c>
      <c r="E400" s="47" t="n">
        <f aca="false">'Daily KPI Entry'!E401</f>
        <v>0</v>
      </c>
      <c r="F400" s="47" t="n">
        <f aca="false">'Daily KPI Entry'!F401</f>
        <v>0</v>
      </c>
      <c r="G400" s="47" t="n">
        <f aca="false">'Daily KPI Entry'!G401</f>
        <v>0</v>
      </c>
      <c r="H400" s="47" t="str">
        <f aca="false">'Daily KPI Entry'!H401</f>
        <v/>
      </c>
      <c r="I400" s="47" t="n">
        <f aca="false">'Daily KPI Entry'!I401</f>
        <v>0</v>
      </c>
      <c r="J400" s="47" t="n">
        <f aca="false">'Daily KPI Entry'!J401</f>
        <v>0</v>
      </c>
      <c r="K400" s="47" t="n">
        <f aca="false">'Daily KPI Entry'!K401</f>
        <v>0</v>
      </c>
      <c r="L400" s="47" t="n">
        <f aca="false">'Daily KPI Entry'!L401</f>
        <v>0</v>
      </c>
      <c r="M400" s="47" t="n">
        <f aca="false">'Daily KPI Entry'!M401</f>
        <v>0</v>
      </c>
      <c r="N400" s="49" t="n">
        <f aca="false">'Daily KPI Entry'!N401</f>
        <v>0</v>
      </c>
      <c r="O400" s="49" t="n">
        <f aca="false">'Daily KPI Entry'!O401</f>
        <v>0</v>
      </c>
      <c r="P400" s="49" t="str">
        <f aca="false">IF(OR(N400="",O400=""),"",IFERROR(O400/N400*100,0))</f>
        <v/>
      </c>
      <c r="Q400" s="47" t="n">
        <f aca="false">'Daily KPI Entry'!Q401</f>
        <v>8</v>
      </c>
      <c r="R400" s="47" t="str">
        <f aca="false">IF(J400="","",Q400*J400)</f>
        <v/>
      </c>
      <c r="S400" s="49" t="n">
        <f aca="false">'Daily KPI Entry'!S401</f>
        <v>0</v>
      </c>
      <c r="T400" s="49" t="str">
        <f aca="false">IF(OR(R400="",S400=""),"",IFERROR(S400/R400*100,0))</f>
        <v/>
      </c>
      <c r="U400" s="49" t="str">
        <f aca="false">IF(OR(O400="",L400="",M400="",S400="",M400=0),"",IFERROR(O400/(L400*60*S400/(M400*36))*100,0))</f>
        <v/>
      </c>
      <c r="V400" s="49" t="n">
        <f aca="false">'Daily KPI Entry'!V401</f>
        <v>0</v>
      </c>
      <c r="W400" s="49" t="str">
        <f aca="false">IF(O400="","",IFERROR(V400/O400*100,0))</f>
        <v/>
      </c>
      <c r="X400" s="49" t="n">
        <f aca="false">'Daily KPI Entry'!X401</f>
        <v>0</v>
      </c>
      <c r="Y400" s="49" t="n">
        <f aca="false">'Daily KPI Entry'!Y401</f>
        <v>0</v>
      </c>
      <c r="Z400" s="49" t="n">
        <f aca="false">'Daily KPI Entry'!Z401</f>
        <v>0</v>
      </c>
      <c r="AA400" s="49" t="n">
        <f aca="false">'Daily KPI Entry'!AA401</f>
        <v>0</v>
      </c>
      <c r="AB400" s="49" t="n">
        <f aca="false">'Daily KPI Entry'!AB401</f>
        <v>0</v>
      </c>
      <c r="AC400" s="49" t="n">
        <f aca="false">'Daily KPI Entry'!AC401</f>
        <v>0</v>
      </c>
      <c r="AD400" s="49" t="n">
        <f aca="false">'Daily KPI Entry'!AD401</f>
        <v>0</v>
      </c>
      <c r="AE400" s="49" t="n">
        <f aca="false">'Daily KPI Entry'!AE401</f>
        <v>0</v>
      </c>
      <c r="AF400" s="47" t="str">
        <f aca="false">IF(O400="","",SUM(X400:AE400))</f>
        <v/>
      </c>
      <c r="AG400" s="49" t="str">
        <f aca="false">IF(O400="","",IFERROR(AF400/O400*1000,0))</f>
        <v/>
      </c>
      <c r="AH400" s="49" t="n">
        <f aca="false">'Daily KPI Entry'!AH401</f>
        <v>0</v>
      </c>
      <c r="AI400" s="49" t="n">
        <f aca="false">'Daily KPI Entry'!AI401</f>
        <v>0</v>
      </c>
      <c r="AJ400" s="49" t="n">
        <f aca="false">'Daily KPI Entry'!AJ401</f>
        <v>0</v>
      </c>
      <c r="AK400" s="47" t="n">
        <f aca="false">'Daily KPI Entry'!AK401</f>
        <v>0</v>
      </c>
      <c r="AL400" s="47" t="n">
        <f aca="false">'Daily KPI Entry'!AL401</f>
        <v>0</v>
      </c>
      <c r="AM400" s="47" t="n">
        <f aca="false">'Daily KPI Entry'!AM401</f>
        <v>0</v>
      </c>
      <c r="AN400" s="49" t="str">
        <f aca="false">IF(P400="","",MIN(120,P400))</f>
        <v/>
      </c>
      <c r="AO400" s="49" t="str">
        <f aca="false">IF(U400="","",MIN(120,U400))</f>
        <v/>
      </c>
      <c r="AP400" s="49" t="str">
        <f aca="false">IF(R400="","",MIN(120,IFERROR(S400/R400*100,0)))</f>
        <v/>
      </c>
      <c r="AQ400" s="49" t="str">
        <f aca="false">IF(W400="","",MIN(120,IF(W400=0,120,100*(INDEX('Standards &amp; Scoring'!$E$5:$E$13,MATCH("Quality / Rejection",'Standards &amp; Scoring'!$A$5:$A$13,0))/W400))))</f>
        <v/>
      </c>
      <c r="AR400" s="49" t="str">
        <f aca="false">IF(AG400="","",MIN(120,IF(AG400=0,120,100*(INDEX('Standards &amp; Scoring'!$E$5:$E$13,MATCH("Fault Control",'Standards &amp; Scoring'!$A$5:$A$13,0))/AG400))))</f>
        <v/>
      </c>
      <c r="AS400" s="49" t="str">
        <f aca="false">IF(O400="","",MIN(120,IF(SUMIFS('Fault &amp; Downtime Entry'!$L$6:$L$1005,'Fault &amp; Downtime Entry'!$E$6:$E$1005,G400,'Fault &amp; Downtime Entry'!$B$6:$B$1005,B400)=0,120,100*(INDEX('Standards &amp; Scoring'!$E$5:$E$13,MATCH("Downtime Control",'Standards &amp; Scoring'!$A$5:$A$13,0))/IFERROR(SUMIFS('Fault &amp; Downtime Entry'!$L$6:$L$1005,'Fault &amp; Downtime Entry'!$E$6:$E$1005,G400,'Fault &amp; Downtime Entry'!$B$6:$B$1005,B400)/O400*1000,999999)))))</f>
        <v/>
      </c>
      <c r="AT400" s="49" t="n">
        <f aca="false">IF(COUNTA(AH400,AJ400)=0,"",MIN(120,IF(AND(AH400&lt;&gt;"",AJ400&lt;&gt;""),AVERAGE(AH400,AJ400),IF(AH400&lt;&gt;"",AH400,AJ400))))</f>
        <v>0</v>
      </c>
      <c r="AU400" s="49" t="str">
        <f aca="false">IF(AI400="","",MIN(120,AI400))</f>
        <v/>
      </c>
      <c r="AV400" s="49" t="str">
        <f aca="false">IF(AJ400="","",MIN(120,AJ400))</f>
        <v/>
      </c>
      <c r="AW400" s="50" t="str">
        <f aca="false">IF(COUNT(AN400:AV400)&lt;9,"",(AN400*'Standards &amp; Scoring'!$D$5+AO400*'Standards &amp; Scoring'!$D$6+AP400*'Standards &amp; Scoring'!$D$7+AQ400*'Standards &amp; Scoring'!$D$8+AR400*'Standards &amp; Scoring'!$D$9+AS400*'Standards &amp; Scoring'!$D$10+AT400*'Standards &amp; Scoring'!$D$11+AU400*'Standards &amp; Scoring'!$D$12+AV400*'Standards &amp; Scoring'!$D$13)/10000)</f>
        <v/>
      </c>
      <c r="AX400" s="47" t="str">
        <f aca="false">IF(AW400="","",IF(AW400&gt;=1.05,"A+",IF(AW400&gt;=1,"A",IF(AW400&gt;=0.95,"B+",IF(AW400&gt;=0.9,"B","C")))))</f>
        <v/>
      </c>
      <c r="AY400" s="47" t="str">
        <f aca="false">IF(AX400="","",IF(AX400="A+",1800,IF(AX400="A",1600,IF(AX400="B+",1400,IF(AX400="B",1200,0)))))</f>
        <v/>
      </c>
      <c r="AZ400" s="49" t="str">
        <f aca="false">IF(OR(L400="",M400="",S400="",M400=0),"",IFERROR(L400*60*S400/(M400*36),0))</f>
        <v/>
      </c>
    </row>
    <row r="401" customFormat="false" ht="15" hidden="false" customHeight="true" outlineLevel="0" collapsed="false">
      <c r="A401" s="47" t="n">
        <f aca="false">'Daily KPI Entry'!A402</f>
        <v>0</v>
      </c>
      <c r="B401" s="48" t="n">
        <f aca="false">'Daily KPI Entry'!B402</f>
        <v>0</v>
      </c>
      <c r="C401" s="47" t="n">
        <f aca="false">'Daily KPI Entry'!C402</f>
        <v>0</v>
      </c>
      <c r="D401" s="47" t="n">
        <f aca="false">'Daily KPI Entry'!D402</f>
        <v>0</v>
      </c>
      <c r="E401" s="47" t="n">
        <f aca="false">'Daily KPI Entry'!E402</f>
        <v>0</v>
      </c>
      <c r="F401" s="47" t="n">
        <f aca="false">'Daily KPI Entry'!F402</f>
        <v>0</v>
      </c>
      <c r="G401" s="47" t="n">
        <f aca="false">'Daily KPI Entry'!G402</f>
        <v>0</v>
      </c>
      <c r="H401" s="47" t="str">
        <f aca="false">'Daily KPI Entry'!H402</f>
        <v/>
      </c>
      <c r="I401" s="47" t="n">
        <f aca="false">'Daily KPI Entry'!I402</f>
        <v>0</v>
      </c>
      <c r="J401" s="47" t="n">
        <f aca="false">'Daily KPI Entry'!J402</f>
        <v>0</v>
      </c>
      <c r="K401" s="47" t="n">
        <f aca="false">'Daily KPI Entry'!K402</f>
        <v>0</v>
      </c>
      <c r="L401" s="47" t="n">
        <f aca="false">'Daily KPI Entry'!L402</f>
        <v>0</v>
      </c>
      <c r="M401" s="47" t="n">
        <f aca="false">'Daily KPI Entry'!M402</f>
        <v>0</v>
      </c>
      <c r="N401" s="49" t="n">
        <f aca="false">'Daily KPI Entry'!N402</f>
        <v>0</v>
      </c>
      <c r="O401" s="49" t="n">
        <f aca="false">'Daily KPI Entry'!O402</f>
        <v>0</v>
      </c>
      <c r="P401" s="49" t="str">
        <f aca="false">IF(OR(N401="",O401=""),"",IFERROR(O401/N401*100,0))</f>
        <v/>
      </c>
      <c r="Q401" s="47" t="n">
        <f aca="false">'Daily KPI Entry'!Q402</f>
        <v>8</v>
      </c>
      <c r="R401" s="47" t="str">
        <f aca="false">IF(J401="","",Q401*J401)</f>
        <v/>
      </c>
      <c r="S401" s="49" t="n">
        <f aca="false">'Daily KPI Entry'!S402</f>
        <v>0</v>
      </c>
      <c r="T401" s="49" t="str">
        <f aca="false">IF(OR(R401="",S401=""),"",IFERROR(S401/R401*100,0))</f>
        <v/>
      </c>
      <c r="U401" s="49" t="str">
        <f aca="false">IF(OR(O401="",L401="",M401="",S401="",M401=0),"",IFERROR(O401/(L401*60*S401/(M401*36))*100,0))</f>
        <v/>
      </c>
      <c r="V401" s="49" t="n">
        <f aca="false">'Daily KPI Entry'!V402</f>
        <v>0</v>
      </c>
      <c r="W401" s="49" t="str">
        <f aca="false">IF(O401="","",IFERROR(V401/O401*100,0))</f>
        <v/>
      </c>
      <c r="X401" s="49" t="n">
        <f aca="false">'Daily KPI Entry'!X402</f>
        <v>0</v>
      </c>
      <c r="Y401" s="49" t="n">
        <f aca="false">'Daily KPI Entry'!Y402</f>
        <v>0</v>
      </c>
      <c r="Z401" s="49" t="n">
        <f aca="false">'Daily KPI Entry'!Z402</f>
        <v>0</v>
      </c>
      <c r="AA401" s="49" t="n">
        <f aca="false">'Daily KPI Entry'!AA402</f>
        <v>0</v>
      </c>
      <c r="AB401" s="49" t="n">
        <f aca="false">'Daily KPI Entry'!AB402</f>
        <v>0</v>
      </c>
      <c r="AC401" s="49" t="n">
        <f aca="false">'Daily KPI Entry'!AC402</f>
        <v>0</v>
      </c>
      <c r="AD401" s="49" t="n">
        <f aca="false">'Daily KPI Entry'!AD402</f>
        <v>0</v>
      </c>
      <c r="AE401" s="49" t="n">
        <f aca="false">'Daily KPI Entry'!AE402</f>
        <v>0</v>
      </c>
      <c r="AF401" s="47" t="str">
        <f aca="false">IF(O401="","",SUM(X401:AE401))</f>
        <v/>
      </c>
      <c r="AG401" s="49" t="str">
        <f aca="false">IF(O401="","",IFERROR(AF401/O401*1000,0))</f>
        <v/>
      </c>
      <c r="AH401" s="49" t="n">
        <f aca="false">'Daily KPI Entry'!AH402</f>
        <v>0</v>
      </c>
      <c r="AI401" s="49" t="n">
        <f aca="false">'Daily KPI Entry'!AI402</f>
        <v>0</v>
      </c>
      <c r="AJ401" s="49" t="n">
        <f aca="false">'Daily KPI Entry'!AJ402</f>
        <v>0</v>
      </c>
      <c r="AK401" s="47" t="n">
        <f aca="false">'Daily KPI Entry'!AK402</f>
        <v>0</v>
      </c>
      <c r="AL401" s="47" t="n">
        <f aca="false">'Daily KPI Entry'!AL402</f>
        <v>0</v>
      </c>
      <c r="AM401" s="47" t="n">
        <f aca="false">'Daily KPI Entry'!AM402</f>
        <v>0</v>
      </c>
      <c r="AN401" s="49" t="str">
        <f aca="false">IF(P401="","",MIN(120,P401))</f>
        <v/>
      </c>
      <c r="AO401" s="49" t="str">
        <f aca="false">IF(U401="","",MIN(120,U401))</f>
        <v/>
      </c>
      <c r="AP401" s="49" t="str">
        <f aca="false">IF(R401="","",MIN(120,IFERROR(S401/R401*100,0)))</f>
        <v/>
      </c>
      <c r="AQ401" s="49" t="str">
        <f aca="false">IF(W401="","",MIN(120,IF(W401=0,120,100*(INDEX('Standards &amp; Scoring'!$E$5:$E$13,MATCH("Quality / Rejection",'Standards &amp; Scoring'!$A$5:$A$13,0))/W401))))</f>
        <v/>
      </c>
      <c r="AR401" s="49" t="str">
        <f aca="false">IF(AG401="","",MIN(120,IF(AG401=0,120,100*(INDEX('Standards &amp; Scoring'!$E$5:$E$13,MATCH("Fault Control",'Standards &amp; Scoring'!$A$5:$A$13,0))/AG401))))</f>
        <v/>
      </c>
      <c r="AS401" s="49" t="str">
        <f aca="false">IF(O401="","",MIN(120,IF(SUMIFS('Fault &amp; Downtime Entry'!$L$6:$L$1005,'Fault &amp; Downtime Entry'!$E$6:$E$1005,G401,'Fault &amp; Downtime Entry'!$B$6:$B$1005,B401)=0,120,100*(INDEX('Standards &amp; Scoring'!$E$5:$E$13,MATCH("Downtime Control",'Standards &amp; Scoring'!$A$5:$A$13,0))/IFERROR(SUMIFS('Fault &amp; Downtime Entry'!$L$6:$L$1005,'Fault &amp; Downtime Entry'!$E$6:$E$1005,G401,'Fault &amp; Downtime Entry'!$B$6:$B$1005,B401)/O401*1000,999999)))))</f>
        <v/>
      </c>
      <c r="AT401" s="49" t="n">
        <f aca="false">IF(COUNTA(AH401,AJ401)=0,"",MIN(120,IF(AND(AH401&lt;&gt;"",AJ401&lt;&gt;""),AVERAGE(AH401,AJ401),IF(AH401&lt;&gt;"",AH401,AJ401))))</f>
        <v>0</v>
      </c>
      <c r="AU401" s="49" t="str">
        <f aca="false">IF(AI401="","",MIN(120,AI401))</f>
        <v/>
      </c>
      <c r="AV401" s="49" t="str">
        <f aca="false">IF(AJ401="","",MIN(120,AJ401))</f>
        <v/>
      </c>
      <c r="AW401" s="50" t="str">
        <f aca="false">IF(COUNT(AN401:AV401)&lt;9,"",(AN401*'Standards &amp; Scoring'!$D$5+AO401*'Standards &amp; Scoring'!$D$6+AP401*'Standards &amp; Scoring'!$D$7+AQ401*'Standards &amp; Scoring'!$D$8+AR401*'Standards &amp; Scoring'!$D$9+AS401*'Standards &amp; Scoring'!$D$10+AT401*'Standards &amp; Scoring'!$D$11+AU401*'Standards &amp; Scoring'!$D$12+AV401*'Standards &amp; Scoring'!$D$13)/10000)</f>
        <v/>
      </c>
      <c r="AX401" s="47" t="str">
        <f aca="false">IF(AW401="","",IF(AW401&gt;=1.05,"A+",IF(AW401&gt;=1,"A",IF(AW401&gt;=0.95,"B+",IF(AW401&gt;=0.9,"B","C")))))</f>
        <v/>
      </c>
      <c r="AY401" s="47" t="str">
        <f aca="false">IF(AX401="","",IF(AX401="A+",1800,IF(AX401="A",1600,IF(AX401="B+",1400,IF(AX401="B",1200,0)))))</f>
        <v/>
      </c>
      <c r="AZ401" s="49" t="str">
        <f aca="false">IF(OR(L401="",M401="",S401="",M401=0),"",IFERROR(L401*60*S401/(M401*36),0))</f>
        <v/>
      </c>
    </row>
    <row r="402" customFormat="false" ht="15" hidden="false" customHeight="true" outlineLevel="0" collapsed="false">
      <c r="A402" s="47" t="n">
        <f aca="false">'Daily KPI Entry'!A403</f>
        <v>0</v>
      </c>
      <c r="B402" s="48" t="n">
        <f aca="false">'Daily KPI Entry'!B403</f>
        <v>0</v>
      </c>
      <c r="C402" s="47" t="n">
        <f aca="false">'Daily KPI Entry'!C403</f>
        <v>0</v>
      </c>
      <c r="D402" s="47" t="n">
        <f aca="false">'Daily KPI Entry'!D403</f>
        <v>0</v>
      </c>
      <c r="E402" s="47" t="n">
        <f aca="false">'Daily KPI Entry'!E403</f>
        <v>0</v>
      </c>
      <c r="F402" s="47" t="n">
        <f aca="false">'Daily KPI Entry'!F403</f>
        <v>0</v>
      </c>
      <c r="G402" s="47" t="n">
        <f aca="false">'Daily KPI Entry'!G403</f>
        <v>0</v>
      </c>
      <c r="H402" s="47" t="str">
        <f aca="false">'Daily KPI Entry'!H403</f>
        <v/>
      </c>
      <c r="I402" s="47" t="n">
        <f aca="false">'Daily KPI Entry'!I403</f>
        <v>0</v>
      </c>
      <c r="J402" s="47" t="n">
        <f aca="false">'Daily KPI Entry'!J403</f>
        <v>0</v>
      </c>
      <c r="K402" s="47" t="n">
        <f aca="false">'Daily KPI Entry'!K403</f>
        <v>0</v>
      </c>
      <c r="L402" s="47" t="n">
        <f aca="false">'Daily KPI Entry'!L403</f>
        <v>0</v>
      </c>
      <c r="M402" s="47" t="n">
        <f aca="false">'Daily KPI Entry'!M403</f>
        <v>0</v>
      </c>
      <c r="N402" s="49" t="n">
        <f aca="false">'Daily KPI Entry'!N403</f>
        <v>0</v>
      </c>
      <c r="O402" s="49" t="n">
        <f aca="false">'Daily KPI Entry'!O403</f>
        <v>0</v>
      </c>
      <c r="P402" s="49" t="str">
        <f aca="false">IF(OR(N402="",O402=""),"",IFERROR(O402/N402*100,0))</f>
        <v/>
      </c>
      <c r="Q402" s="47" t="n">
        <f aca="false">'Daily KPI Entry'!Q403</f>
        <v>8</v>
      </c>
      <c r="R402" s="47" t="str">
        <f aca="false">IF(J402="","",Q402*J402)</f>
        <v/>
      </c>
      <c r="S402" s="49" t="n">
        <f aca="false">'Daily KPI Entry'!S403</f>
        <v>0</v>
      </c>
      <c r="T402" s="49" t="str">
        <f aca="false">IF(OR(R402="",S402=""),"",IFERROR(S402/R402*100,0))</f>
        <v/>
      </c>
      <c r="U402" s="49" t="str">
        <f aca="false">IF(OR(O402="",L402="",M402="",S402="",M402=0),"",IFERROR(O402/(L402*60*S402/(M402*36))*100,0))</f>
        <v/>
      </c>
      <c r="V402" s="49" t="n">
        <f aca="false">'Daily KPI Entry'!V403</f>
        <v>0</v>
      </c>
      <c r="W402" s="49" t="str">
        <f aca="false">IF(O402="","",IFERROR(V402/O402*100,0))</f>
        <v/>
      </c>
      <c r="X402" s="49" t="n">
        <f aca="false">'Daily KPI Entry'!X403</f>
        <v>0</v>
      </c>
      <c r="Y402" s="49" t="n">
        <f aca="false">'Daily KPI Entry'!Y403</f>
        <v>0</v>
      </c>
      <c r="Z402" s="49" t="n">
        <f aca="false">'Daily KPI Entry'!Z403</f>
        <v>0</v>
      </c>
      <c r="AA402" s="49" t="n">
        <f aca="false">'Daily KPI Entry'!AA403</f>
        <v>0</v>
      </c>
      <c r="AB402" s="49" t="n">
        <f aca="false">'Daily KPI Entry'!AB403</f>
        <v>0</v>
      </c>
      <c r="AC402" s="49" t="n">
        <f aca="false">'Daily KPI Entry'!AC403</f>
        <v>0</v>
      </c>
      <c r="AD402" s="49" t="n">
        <f aca="false">'Daily KPI Entry'!AD403</f>
        <v>0</v>
      </c>
      <c r="AE402" s="49" t="n">
        <f aca="false">'Daily KPI Entry'!AE403</f>
        <v>0</v>
      </c>
      <c r="AF402" s="47" t="str">
        <f aca="false">IF(O402="","",SUM(X402:AE402))</f>
        <v/>
      </c>
      <c r="AG402" s="49" t="str">
        <f aca="false">IF(O402="","",IFERROR(AF402/O402*1000,0))</f>
        <v/>
      </c>
      <c r="AH402" s="49" t="n">
        <f aca="false">'Daily KPI Entry'!AH403</f>
        <v>0</v>
      </c>
      <c r="AI402" s="49" t="n">
        <f aca="false">'Daily KPI Entry'!AI403</f>
        <v>0</v>
      </c>
      <c r="AJ402" s="49" t="n">
        <f aca="false">'Daily KPI Entry'!AJ403</f>
        <v>0</v>
      </c>
      <c r="AK402" s="47" t="n">
        <f aca="false">'Daily KPI Entry'!AK403</f>
        <v>0</v>
      </c>
      <c r="AL402" s="47" t="n">
        <f aca="false">'Daily KPI Entry'!AL403</f>
        <v>0</v>
      </c>
      <c r="AM402" s="47" t="n">
        <f aca="false">'Daily KPI Entry'!AM403</f>
        <v>0</v>
      </c>
      <c r="AN402" s="49" t="str">
        <f aca="false">IF(P402="","",MIN(120,P402))</f>
        <v/>
      </c>
      <c r="AO402" s="49" t="str">
        <f aca="false">IF(U402="","",MIN(120,U402))</f>
        <v/>
      </c>
      <c r="AP402" s="49" t="str">
        <f aca="false">IF(R402="","",MIN(120,IFERROR(S402/R402*100,0)))</f>
        <v/>
      </c>
      <c r="AQ402" s="49" t="str">
        <f aca="false">IF(W402="","",MIN(120,IF(W402=0,120,100*(INDEX('Standards &amp; Scoring'!$E$5:$E$13,MATCH("Quality / Rejection",'Standards &amp; Scoring'!$A$5:$A$13,0))/W402))))</f>
        <v/>
      </c>
      <c r="AR402" s="49" t="str">
        <f aca="false">IF(AG402="","",MIN(120,IF(AG402=0,120,100*(INDEX('Standards &amp; Scoring'!$E$5:$E$13,MATCH("Fault Control",'Standards &amp; Scoring'!$A$5:$A$13,0))/AG402))))</f>
        <v/>
      </c>
      <c r="AS402" s="49" t="str">
        <f aca="false">IF(O402="","",MIN(120,IF(SUMIFS('Fault &amp; Downtime Entry'!$L$6:$L$1005,'Fault &amp; Downtime Entry'!$E$6:$E$1005,G402,'Fault &amp; Downtime Entry'!$B$6:$B$1005,B402)=0,120,100*(INDEX('Standards &amp; Scoring'!$E$5:$E$13,MATCH("Downtime Control",'Standards &amp; Scoring'!$A$5:$A$13,0))/IFERROR(SUMIFS('Fault &amp; Downtime Entry'!$L$6:$L$1005,'Fault &amp; Downtime Entry'!$E$6:$E$1005,G402,'Fault &amp; Downtime Entry'!$B$6:$B$1005,B402)/O402*1000,999999)))))</f>
        <v/>
      </c>
      <c r="AT402" s="49" t="n">
        <f aca="false">IF(COUNTA(AH402,AJ402)=0,"",MIN(120,IF(AND(AH402&lt;&gt;"",AJ402&lt;&gt;""),AVERAGE(AH402,AJ402),IF(AH402&lt;&gt;"",AH402,AJ402))))</f>
        <v>0</v>
      </c>
      <c r="AU402" s="49" t="str">
        <f aca="false">IF(AI402="","",MIN(120,AI402))</f>
        <v/>
      </c>
      <c r="AV402" s="49" t="str">
        <f aca="false">IF(AJ402="","",MIN(120,AJ402))</f>
        <v/>
      </c>
      <c r="AW402" s="50" t="str">
        <f aca="false">IF(COUNT(AN402:AV402)&lt;9,"",(AN402*'Standards &amp; Scoring'!$D$5+AO402*'Standards &amp; Scoring'!$D$6+AP402*'Standards &amp; Scoring'!$D$7+AQ402*'Standards &amp; Scoring'!$D$8+AR402*'Standards &amp; Scoring'!$D$9+AS402*'Standards &amp; Scoring'!$D$10+AT402*'Standards &amp; Scoring'!$D$11+AU402*'Standards &amp; Scoring'!$D$12+AV402*'Standards &amp; Scoring'!$D$13)/10000)</f>
        <v/>
      </c>
      <c r="AX402" s="47" t="str">
        <f aca="false">IF(AW402="","",IF(AW402&gt;=1.05,"A+",IF(AW402&gt;=1,"A",IF(AW402&gt;=0.95,"B+",IF(AW402&gt;=0.9,"B","C")))))</f>
        <v/>
      </c>
      <c r="AY402" s="47" t="str">
        <f aca="false">IF(AX402="","",IF(AX402="A+",1800,IF(AX402="A",1600,IF(AX402="B+",1400,IF(AX402="B",1200,0)))))</f>
        <v/>
      </c>
      <c r="AZ402" s="49" t="str">
        <f aca="false">IF(OR(L402="",M402="",S402="",M402=0),"",IFERROR(L402*60*S402/(M402*36),0))</f>
        <v/>
      </c>
    </row>
    <row r="403" customFormat="false" ht="15" hidden="false" customHeight="true" outlineLevel="0" collapsed="false">
      <c r="A403" s="47" t="n">
        <f aca="false">'Daily KPI Entry'!A404</f>
        <v>0</v>
      </c>
      <c r="B403" s="48" t="n">
        <f aca="false">'Daily KPI Entry'!B404</f>
        <v>0</v>
      </c>
      <c r="C403" s="47" t="n">
        <f aca="false">'Daily KPI Entry'!C404</f>
        <v>0</v>
      </c>
      <c r="D403" s="47" t="n">
        <f aca="false">'Daily KPI Entry'!D404</f>
        <v>0</v>
      </c>
      <c r="E403" s="47" t="n">
        <f aca="false">'Daily KPI Entry'!E404</f>
        <v>0</v>
      </c>
      <c r="F403" s="47" t="n">
        <f aca="false">'Daily KPI Entry'!F404</f>
        <v>0</v>
      </c>
      <c r="G403" s="47" t="n">
        <f aca="false">'Daily KPI Entry'!G404</f>
        <v>0</v>
      </c>
      <c r="H403" s="47" t="str">
        <f aca="false">'Daily KPI Entry'!H404</f>
        <v/>
      </c>
      <c r="I403" s="47" t="n">
        <f aca="false">'Daily KPI Entry'!I404</f>
        <v>0</v>
      </c>
      <c r="J403" s="47" t="n">
        <f aca="false">'Daily KPI Entry'!J404</f>
        <v>0</v>
      </c>
      <c r="K403" s="47" t="n">
        <f aca="false">'Daily KPI Entry'!K404</f>
        <v>0</v>
      </c>
      <c r="L403" s="47" t="n">
        <f aca="false">'Daily KPI Entry'!L404</f>
        <v>0</v>
      </c>
      <c r="M403" s="47" t="n">
        <f aca="false">'Daily KPI Entry'!M404</f>
        <v>0</v>
      </c>
      <c r="N403" s="49" t="n">
        <f aca="false">'Daily KPI Entry'!N404</f>
        <v>0</v>
      </c>
      <c r="O403" s="49" t="n">
        <f aca="false">'Daily KPI Entry'!O404</f>
        <v>0</v>
      </c>
      <c r="P403" s="49" t="str">
        <f aca="false">IF(OR(N403="",O403=""),"",IFERROR(O403/N403*100,0))</f>
        <v/>
      </c>
      <c r="Q403" s="47" t="n">
        <f aca="false">'Daily KPI Entry'!Q404</f>
        <v>8</v>
      </c>
      <c r="R403" s="47" t="str">
        <f aca="false">IF(J403="","",Q403*J403)</f>
        <v/>
      </c>
      <c r="S403" s="49" t="n">
        <f aca="false">'Daily KPI Entry'!S404</f>
        <v>0</v>
      </c>
      <c r="T403" s="49" t="str">
        <f aca="false">IF(OR(R403="",S403=""),"",IFERROR(S403/R403*100,0))</f>
        <v/>
      </c>
      <c r="U403" s="49" t="str">
        <f aca="false">IF(OR(O403="",L403="",M403="",S403="",M403=0),"",IFERROR(O403/(L403*60*S403/(M403*36))*100,0))</f>
        <v/>
      </c>
      <c r="V403" s="49" t="n">
        <f aca="false">'Daily KPI Entry'!V404</f>
        <v>0</v>
      </c>
      <c r="W403" s="49" t="str">
        <f aca="false">IF(O403="","",IFERROR(V403/O403*100,0))</f>
        <v/>
      </c>
      <c r="X403" s="49" t="n">
        <f aca="false">'Daily KPI Entry'!X404</f>
        <v>0</v>
      </c>
      <c r="Y403" s="49" t="n">
        <f aca="false">'Daily KPI Entry'!Y404</f>
        <v>0</v>
      </c>
      <c r="Z403" s="49" t="n">
        <f aca="false">'Daily KPI Entry'!Z404</f>
        <v>0</v>
      </c>
      <c r="AA403" s="49" t="n">
        <f aca="false">'Daily KPI Entry'!AA404</f>
        <v>0</v>
      </c>
      <c r="AB403" s="49" t="n">
        <f aca="false">'Daily KPI Entry'!AB404</f>
        <v>0</v>
      </c>
      <c r="AC403" s="49" t="n">
        <f aca="false">'Daily KPI Entry'!AC404</f>
        <v>0</v>
      </c>
      <c r="AD403" s="49" t="n">
        <f aca="false">'Daily KPI Entry'!AD404</f>
        <v>0</v>
      </c>
      <c r="AE403" s="49" t="n">
        <f aca="false">'Daily KPI Entry'!AE404</f>
        <v>0</v>
      </c>
      <c r="AF403" s="47" t="str">
        <f aca="false">IF(O403="","",SUM(X403:AE403))</f>
        <v/>
      </c>
      <c r="AG403" s="49" t="str">
        <f aca="false">IF(O403="","",IFERROR(AF403/O403*1000,0))</f>
        <v/>
      </c>
      <c r="AH403" s="49" t="n">
        <f aca="false">'Daily KPI Entry'!AH404</f>
        <v>0</v>
      </c>
      <c r="AI403" s="49" t="n">
        <f aca="false">'Daily KPI Entry'!AI404</f>
        <v>0</v>
      </c>
      <c r="AJ403" s="49" t="n">
        <f aca="false">'Daily KPI Entry'!AJ404</f>
        <v>0</v>
      </c>
      <c r="AK403" s="47" t="n">
        <f aca="false">'Daily KPI Entry'!AK404</f>
        <v>0</v>
      </c>
      <c r="AL403" s="47" t="n">
        <f aca="false">'Daily KPI Entry'!AL404</f>
        <v>0</v>
      </c>
      <c r="AM403" s="47" t="n">
        <f aca="false">'Daily KPI Entry'!AM404</f>
        <v>0</v>
      </c>
      <c r="AN403" s="49" t="str">
        <f aca="false">IF(P403="","",MIN(120,P403))</f>
        <v/>
      </c>
      <c r="AO403" s="49" t="str">
        <f aca="false">IF(U403="","",MIN(120,U403))</f>
        <v/>
      </c>
      <c r="AP403" s="49" t="str">
        <f aca="false">IF(R403="","",MIN(120,IFERROR(S403/R403*100,0)))</f>
        <v/>
      </c>
      <c r="AQ403" s="49" t="str">
        <f aca="false">IF(W403="","",MIN(120,IF(W403=0,120,100*(INDEX('Standards &amp; Scoring'!$E$5:$E$13,MATCH("Quality / Rejection",'Standards &amp; Scoring'!$A$5:$A$13,0))/W403))))</f>
        <v/>
      </c>
      <c r="AR403" s="49" t="str">
        <f aca="false">IF(AG403="","",MIN(120,IF(AG403=0,120,100*(INDEX('Standards &amp; Scoring'!$E$5:$E$13,MATCH("Fault Control",'Standards &amp; Scoring'!$A$5:$A$13,0))/AG403))))</f>
        <v/>
      </c>
      <c r="AS403" s="49" t="str">
        <f aca="false">IF(O403="","",MIN(120,IF(SUMIFS('Fault &amp; Downtime Entry'!$L$6:$L$1005,'Fault &amp; Downtime Entry'!$E$6:$E$1005,G403,'Fault &amp; Downtime Entry'!$B$6:$B$1005,B403)=0,120,100*(INDEX('Standards &amp; Scoring'!$E$5:$E$13,MATCH("Downtime Control",'Standards &amp; Scoring'!$A$5:$A$13,0))/IFERROR(SUMIFS('Fault &amp; Downtime Entry'!$L$6:$L$1005,'Fault &amp; Downtime Entry'!$E$6:$E$1005,G403,'Fault &amp; Downtime Entry'!$B$6:$B$1005,B403)/O403*1000,999999)))))</f>
        <v/>
      </c>
      <c r="AT403" s="49" t="n">
        <f aca="false">IF(COUNTA(AH403,AJ403)=0,"",MIN(120,IF(AND(AH403&lt;&gt;"",AJ403&lt;&gt;""),AVERAGE(AH403,AJ403),IF(AH403&lt;&gt;"",AH403,AJ403))))</f>
        <v>0</v>
      </c>
      <c r="AU403" s="49" t="str">
        <f aca="false">IF(AI403="","",MIN(120,AI403))</f>
        <v/>
      </c>
      <c r="AV403" s="49" t="str">
        <f aca="false">IF(AJ403="","",MIN(120,AJ403))</f>
        <v/>
      </c>
      <c r="AW403" s="50" t="str">
        <f aca="false">IF(COUNT(AN403:AV403)&lt;9,"",(AN403*'Standards &amp; Scoring'!$D$5+AO403*'Standards &amp; Scoring'!$D$6+AP403*'Standards &amp; Scoring'!$D$7+AQ403*'Standards &amp; Scoring'!$D$8+AR403*'Standards &amp; Scoring'!$D$9+AS403*'Standards &amp; Scoring'!$D$10+AT403*'Standards &amp; Scoring'!$D$11+AU403*'Standards &amp; Scoring'!$D$12+AV403*'Standards &amp; Scoring'!$D$13)/10000)</f>
        <v/>
      </c>
      <c r="AX403" s="47" t="str">
        <f aca="false">IF(AW403="","",IF(AW403&gt;=1.05,"A+",IF(AW403&gt;=1,"A",IF(AW403&gt;=0.95,"B+",IF(AW403&gt;=0.9,"B","C")))))</f>
        <v/>
      </c>
      <c r="AY403" s="47" t="str">
        <f aca="false">IF(AX403="","",IF(AX403="A+",1800,IF(AX403="A",1600,IF(AX403="B+",1400,IF(AX403="B",1200,0)))))</f>
        <v/>
      </c>
      <c r="AZ403" s="49" t="str">
        <f aca="false">IF(OR(L403="",M403="",S403="",M403=0),"",IFERROR(L403*60*S403/(M403*36),0))</f>
        <v/>
      </c>
    </row>
    <row r="404" customFormat="false" ht="15" hidden="false" customHeight="true" outlineLevel="0" collapsed="false">
      <c r="A404" s="47" t="n">
        <f aca="false">'Daily KPI Entry'!A405</f>
        <v>0</v>
      </c>
      <c r="B404" s="48" t="n">
        <f aca="false">'Daily KPI Entry'!B405</f>
        <v>0</v>
      </c>
      <c r="C404" s="47" t="n">
        <f aca="false">'Daily KPI Entry'!C405</f>
        <v>0</v>
      </c>
      <c r="D404" s="47" t="n">
        <f aca="false">'Daily KPI Entry'!D405</f>
        <v>0</v>
      </c>
      <c r="E404" s="47" t="n">
        <f aca="false">'Daily KPI Entry'!E405</f>
        <v>0</v>
      </c>
      <c r="F404" s="47" t="n">
        <f aca="false">'Daily KPI Entry'!F405</f>
        <v>0</v>
      </c>
      <c r="G404" s="47" t="n">
        <f aca="false">'Daily KPI Entry'!G405</f>
        <v>0</v>
      </c>
      <c r="H404" s="47" t="str">
        <f aca="false">'Daily KPI Entry'!H405</f>
        <v/>
      </c>
      <c r="I404" s="47" t="n">
        <f aca="false">'Daily KPI Entry'!I405</f>
        <v>0</v>
      </c>
      <c r="J404" s="47" t="n">
        <f aca="false">'Daily KPI Entry'!J405</f>
        <v>0</v>
      </c>
      <c r="K404" s="47" t="n">
        <f aca="false">'Daily KPI Entry'!K405</f>
        <v>0</v>
      </c>
      <c r="L404" s="47" t="n">
        <f aca="false">'Daily KPI Entry'!L405</f>
        <v>0</v>
      </c>
      <c r="M404" s="47" t="n">
        <f aca="false">'Daily KPI Entry'!M405</f>
        <v>0</v>
      </c>
      <c r="N404" s="49" t="n">
        <f aca="false">'Daily KPI Entry'!N405</f>
        <v>0</v>
      </c>
      <c r="O404" s="49" t="n">
        <f aca="false">'Daily KPI Entry'!O405</f>
        <v>0</v>
      </c>
      <c r="P404" s="49" t="str">
        <f aca="false">IF(OR(N404="",O404=""),"",IFERROR(O404/N404*100,0))</f>
        <v/>
      </c>
      <c r="Q404" s="47" t="n">
        <f aca="false">'Daily KPI Entry'!Q405</f>
        <v>8</v>
      </c>
      <c r="R404" s="47" t="str">
        <f aca="false">IF(J404="","",Q404*J404)</f>
        <v/>
      </c>
      <c r="S404" s="49" t="n">
        <f aca="false">'Daily KPI Entry'!S405</f>
        <v>0</v>
      </c>
      <c r="T404" s="49" t="str">
        <f aca="false">IF(OR(R404="",S404=""),"",IFERROR(S404/R404*100,0))</f>
        <v/>
      </c>
      <c r="U404" s="49" t="str">
        <f aca="false">IF(OR(O404="",L404="",M404="",S404="",M404=0),"",IFERROR(O404/(L404*60*S404/(M404*36))*100,0))</f>
        <v/>
      </c>
      <c r="V404" s="49" t="n">
        <f aca="false">'Daily KPI Entry'!V405</f>
        <v>0</v>
      </c>
      <c r="W404" s="49" t="str">
        <f aca="false">IF(O404="","",IFERROR(V404/O404*100,0))</f>
        <v/>
      </c>
      <c r="X404" s="49" t="n">
        <f aca="false">'Daily KPI Entry'!X405</f>
        <v>0</v>
      </c>
      <c r="Y404" s="49" t="n">
        <f aca="false">'Daily KPI Entry'!Y405</f>
        <v>0</v>
      </c>
      <c r="Z404" s="49" t="n">
        <f aca="false">'Daily KPI Entry'!Z405</f>
        <v>0</v>
      </c>
      <c r="AA404" s="49" t="n">
        <f aca="false">'Daily KPI Entry'!AA405</f>
        <v>0</v>
      </c>
      <c r="AB404" s="49" t="n">
        <f aca="false">'Daily KPI Entry'!AB405</f>
        <v>0</v>
      </c>
      <c r="AC404" s="49" t="n">
        <f aca="false">'Daily KPI Entry'!AC405</f>
        <v>0</v>
      </c>
      <c r="AD404" s="49" t="n">
        <f aca="false">'Daily KPI Entry'!AD405</f>
        <v>0</v>
      </c>
      <c r="AE404" s="49" t="n">
        <f aca="false">'Daily KPI Entry'!AE405</f>
        <v>0</v>
      </c>
      <c r="AF404" s="47" t="str">
        <f aca="false">IF(O404="","",SUM(X404:AE404))</f>
        <v/>
      </c>
      <c r="AG404" s="49" t="str">
        <f aca="false">IF(O404="","",IFERROR(AF404/O404*1000,0))</f>
        <v/>
      </c>
      <c r="AH404" s="49" t="n">
        <f aca="false">'Daily KPI Entry'!AH405</f>
        <v>0</v>
      </c>
      <c r="AI404" s="49" t="n">
        <f aca="false">'Daily KPI Entry'!AI405</f>
        <v>0</v>
      </c>
      <c r="AJ404" s="49" t="n">
        <f aca="false">'Daily KPI Entry'!AJ405</f>
        <v>0</v>
      </c>
      <c r="AK404" s="47" t="n">
        <f aca="false">'Daily KPI Entry'!AK405</f>
        <v>0</v>
      </c>
      <c r="AL404" s="47" t="n">
        <f aca="false">'Daily KPI Entry'!AL405</f>
        <v>0</v>
      </c>
      <c r="AM404" s="47" t="n">
        <f aca="false">'Daily KPI Entry'!AM405</f>
        <v>0</v>
      </c>
      <c r="AN404" s="49" t="str">
        <f aca="false">IF(P404="","",MIN(120,P404))</f>
        <v/>
      </c>
      <c r="AO404" s="49" t="str">
        <f aca="false">IF(U404="","",MIN(120,U404))</f>
        <v/>
      </c>
      <c r="AP404" s="49" t="str">
        <f aca="false">IF(R404="","",MIN(120,IFERROR(S404/R404*100,0)))</f>
        <v/>
      </c>
      <c r="AQ404" s="49" t="str">
        <f aca="false">IF(W404="","",MIN(120,IF(W404=0,120,100*(INDEX('Standards &amp; Scoring'!$E$5:$E$13,MATCH("Quality / Rejection",'Standards &amp; Scoring'!$A$5:$A$13,0))/W404))))</f>
        <v/>
      </c>
      <c r="AR404" s="49" t="str">
        <f aca="false">IF(AG404="","",MIN(120,IF(AG404=0,120,100*(INDEX('Standards &amp; Scoring'!$E$5:$E$13,MATCH("Fault Control",'Standards &amp; Scoring'!$A$5:$A$13,0))/AG404))))</f>
        <v/>
      </c>
      <c r="AS404" s="49" t="str">
        <f aca="false">IF(O404="","",MIN(120,IF(SUMIFS('Fault &amp; Downtime Entry'!$L$6:$L$1005,'Fault &amp; Downtime Entry'!$E$6:$E$1005,G404,'Fault &amp; Downtime Entry'!$B$6:$B$1005,B404)=0,120,100*(INDEX('Standards &amp; Scoring'!$E$5:$E$13,MATCH("Downtime Control",'Standards &amp; Scoring'!$A$5:$A$13,0))/IFERROR(SUMIFS('Fault &amp; Downtime Entry'!$L$6:$L$1005,'Fault &amp; Downtime Entry'!$E$6:$E$1005,G404,'Fault &amp; Downtime Entry'!$B$6:$B$1005,B404)/O404*1000,999999)))))</f>
        <v/>
      </c>
      <c r="AT404" s="49" t="n">
        <f aca="false">IF(COUNTA(AH404,AJ404)=0,"",MIN(120,IF(AND(AH404&lt;&gt;"",AJ404&lt;&gt;""),AVERAGE(AH404,AJ404),IF(AH404&lt;&gt;"",AH404,AJ404))))</f>
        <v>0</v>
      </c>
      <c r="AU404" s="49" t="str">
        <f aca="false">IF(AI404="","",MIN(120,AI404))</f>
        <v/>
      </c>
      <c r="AV404" s="49" t="str">
        <f aca="false">IF(AJ404="","",MIN(120,AJ404))</f>
        <v/>
      </c>
      <c r="AW404" s="50" t="str">
        <f aca="false">IF(COUNT(AN404:AV404)&lt;9,"",(AN404*'Standards &amp; Scoring'!$D$5+AO404*'Standards &amp; Scoring'!$D$6+AP404*'Standards &amp; Scoring'!$D$7+AQ404*'Standards &amp; Scoring'!$D$8+AR404*'Standards &amp; Scoring'!$D$9+AS404*'Standards &amp; Scoring'!$D$10+AT404*'Standards &amp; Scoring'!$D$11+AU404*'Standards &amp; Scoring'!$D$12+AV404*'Standards &amp; Scoring'!$D$13)/10000)</f>
        <v/>
      </c>
      <c r="AX404" s="47" t="str">
        <f aca="false">IF(AW404="","",IF(AW404&gt;=1.05,"A+",IF(AW404&gt;=1,"A",IF(AW404&gt;=0.95,"B+",IF(AW404&gt;=0.9,"B","C")))))</f>
        <v/>
      </c>
      <c r="AY404" s="47" t="str">
        <f aca="false">IF(AX404="","",IF(AX404="A+",1800,IF(AX404="A",1600,IF(AX404="B+",1400,IF(AX404="B",1200,0)))))</f>
        <v/>
      </c>
      <c r="AZ404" s="49" t="str">
        <f aca="false">IF(OR(L404="",M404="",S404="",M404=0),"",IFERROR(L404*60*S404/(M404*36),0))</f>
        <v/>
      </c>
    </row>
    <row r="405" customFormat="false" ht="15" hidden="false" customHeight="true" outlineLevel="0" collapsed="false">
      <c r="A405" s="47" t="n">
        <f aca="false">'Daily KPI Entry'!A406</f>
        <v>0</v>
      </c>
      <c r="B405" s="48" t="n">
        <f aca="false">'Daily KPI Entry'!B406</f>
        <v>0</v>
      </c>
      <c r="C405" s="47" t="n">
        <f aca="false">'Daily KPI Entry'!C406</f>
        <v>0</v>
      </c>
      <c r="D405" s="47" t="n">
        <f aca="false">'Daily KPI Entry'!D406</f>
        <v>0</v>
      </c>
      <c r="E405" s="47" t="n">
        <f aca="false">'Daily KPI Entry'!E406</f>
        <v>0</v>
      </c>
      <c r="F405" s="47" t="n">
        <f aca="false">'Daily KPI Entry'!F406</f>
        <v>0</v>
      </c>
      <c r="G405" s="47" t="n">
        <f aca="false">'Daily KPI Entry'!G406</f>
        <v>0</v>
      </c>
      <c r="H405" s="47" t="str">
        <f aca="false">'Daily KPI Entry'!H406</f>
        <v/>
      </c>
      <c r="I405" s="47" t="n">
        <f aca="false">'Daily KPI Entry'!I406</f>
        <v>0</v>
      </c>
      <c r="J405" s="47" t="n">
        <f aca="false">'Daily KPI Entry'!J406</f>
        <v>0</v>
      </c>
      <c r="K405" s="47" t="n">
        <f aca="false">'Daily KPI Entry'!K406</f>
        <v>0</v>
      </c>
      <c r="L405" s="47" t="n">
        <f aca="false">'Daily KPI Entry'!L406</f>
        <v>0</v>
      </c>
      <c r="M405" s="47" t="n">
        <f aca="false">'Daily KPI Entry'!M406</f>
        <v>0</v>
      </c>
      <c r="N405" s="49" t="n">
        <f aca="false">'Daily KPI Entry'!N406</f>
        <v>0</v>
      </c>
      <c r="O405" s="49" t="n">
        <f aca="false">'Daily KPI Entry'!O406</f>
        <v>0</v>
      </c>
      <c r="P405" s="49" t="str">
        <f aca="false">IF(OR(N405="",O405=""),"",IFERROR(O405/N405*100,0))</f>
        <v/>
      </c>
      <c r="Q405" s="47" t="n">
        <f aca="false">'Daily KPI Entry'!Q406</f>
        <v>8</v>
      </c>
      <c r="R405" s="47" t="str">
        <f aca="false">IF(J405="","",Q405*J405)</f>
        <v/>
      </c>
      <c r="S405" s="49" t="n">
        <f aca="false">'Daily KPI Entry'!S406</f>
        <v>0</v>
      </c>
      <c r="T405" s="49" t="str">
        <f aca="false">IF(OR(R405="",S405=""),"",IFERROR(S405/R405*100,0))</f>
        <v/>
      </c>
      <c r="U405" s="49" t="str">
        <f aca="false">IF(OR(O405="",L405="",M405="",S405="",M405=0),"",IFERROR(O405/(L405*60*S405/(M405*36))*100,0))</f>
        <v/>
      </c>
      <c r="V405" s="49" t="n">
        <f aca="false">'Daily KPI Entry'!V406</f>
        <v>0</v>
      </c>
      <c r="W405" s="49" t="str">
        <f aca="false">IF(O405="","",IFERROR(V405/O405*100,0))</f>
        <v/>
      </c>
      <c r="X405" s="49" t="n">
        <f aca="false">'Daily KPI Entry'!X406</f>
        <v>0</v>
      </c>
      <c r="Y405" s="49" t="n">
        <f aca="false">'Daily KPI Entry'!Y406</f>
        <v>0</v>
      </c>
      <c r="Z405" s="49" t="n">
        <f aca="false">'Daily KPI Entry'!Z406</f>
        <v>0</v>
      </c>
      <c r="AA405" s="49" t="n">
        <f aca="false">'Daily KPI Entry'!AA406</f>
        <v>0</v>
      </c>
      <c r="AB405" s="49" t="n">
        <f aca="false">'Daily KPI Entry'!AB406</f>
        <v>0</v>
      </c>
      <c r="AC405" s="49" t="n">
        <f aca="false">'Daily KPI Entry'!AC406</f>
        <v>0</v>
      </c>
      <c r="AD405" s="49" t="n">
        <f aca="false">'Daily KPI Entry'!AD406</f>
        <v>0</v>
      </c>
      <c r="AE405" s="49" t="n">
        <f aca="false">'Daily KPI Entry'!AE406</f>
        <v>0</v>
      </c>
      <c r="AF405" s="47" t="str">
        <f aca="false">IF(O405="","",SUM(X405:AE405))</f>
        <v/>
      </c>
      <c r="AG405" s="49" t="str">
        <f aca="false">IF(O405="","",IFERROR(AF405/O405*1000,0))</f>
        <v/>
      </c>
      <c r="AH405" s="49" t="n">
        <f aca="false">'Daily KPI Entry'!AH406</f>
        <v>0</v>
      </c>
      <c r="AI405" s="49" t="n">
        <f aca="false">'Daily KPI Entry'!AI406</f>
        <v>0</v>
      </c>
      <c r="AJ405" s="49" t="n">
        <f aca="false">'Daily KPI Entry'!AJ406</f>
        <v>0</v>
      </c>
      <c r="AK405" s="47" t="n">
        <f aca="false">'Daily KPI Entry'!AK406</f>
        <v>0</v>
      </c>
      <c r="AL405" s="47" t="n">
        <f aca="false">'Daily KPI Entry'!AL406</f>
        <v>0</v>
      </c>
      <c r="AM405" s="47" t="n">
        <f aca="false">'Daily KPI Entry'!AM406</f>
        <v>0</v>
      </c>
      <c r="AN405" s="49" t="str">
        <f aca="false">IF(P405="","",MIN(120,P405))</f>
        <v/>
      </c>
      <c r="AO405" s="49" t="str">
        <f aca="false">IF(U405="","",MIN(120,U405))</f>
        <v/>
      </c>
      <c r="AP405" s="49" t="str">
        <f aca="false">IF(R405="","",MIN(120,IFERROR(S405/R405*100,0)))</f>
        <v/>
      </c>
      <c r="AQ405" s="49" t="str">
        <f aca="false">IF(W405="","",MIN(120,IF(W405=0,120,100*(INDEX('Standards &amp; Scoring'!$E$5:$E$13,MATCH("Quality / Rejection",'Standards &amp; Scoring'!$A$5:$A$13,0))/W405))))</f>
        <v/>
      </c>
      <c r="AR405" s="49" t="str">
        <f aca="false">IF(AG405="","",MIN(120,IF(AG405=0,120,100*(INDEX('Standards &amp; Scoring'!$E$5:$E$13,MATCH("Fault Control",'Standards &amp; Scoring'!$A$5:$A$13,0))/AG405))))</f>
        <v/>
      </c>
      <c r="AS405" s="49" t="str">
        <f aca="false">IF(O405="","",MIN(120,IF(SUMIFS('Fault &amp; Downtime Entry'!$L$6:$L$1005,'Fault &amp; Downtime Entry'!$E$6:$E$1005,G405,'Fault &amp; Downtime Entry'!$B$6:$B$1005,B405)=0,120,100*(INDEX('Standards &amp; Scoring'!$E$5:$E$13,MATCH("Downtime Control",'Standards &amp; Scoring'!$A$5:$A$13,0))/IFERROR(SUMIFS('Fault &amp; Downtime Entry'!$L$6:$L$1005,'Fault &amp; Downtime Entry'!$E$6:$E$1005,G405,'Fault &amp; Downtime Entry'!$B$6:$B$1005,B405)/O405*1000,999999)))))</f>
        <v/>
      </c>
      <c r="AT405" s="49" t="n">
        <f aca="false">IF(COUNTA(AH405,AJ405)=0,"",MIN(120,IF(AND(AH405&lt;&gt;"",AJ405&lt;&gt;""),AVERAGE(AH405,AJ405),IF(AH405&lt;&gt;"",AH405,AJ405))))</f>
        <v>0</v>
      </c>
      <c r="AU405" s="49" t="str">
        <f aca="false">IF(AI405="","",MIN(120,AI405))</f>
        <v/>
      </c>
      <c r="AV405" s="49" t="str">
        <f aca="false">IF(AJ405="","",MIN(120,AJ405))</f>
        <v/>
      </c>
      <c r="AW405" s="50" t="str">
        <f aca="false">IF(COUNT(AN405:AV405)&lt;9,"",(AN405*'Standards &amp; Scoring'!$D$5+AO405*'Standards &amp; Scoring'!$D$6+AP405*'Standards &amp; Scoring'!$D$7+AQ405*'Standards &amp; Scoring'!$D$8+AR405*'Standards &amp; Scoring'!$D$9+AS405*'Standards &amp; Scoring'!$D$10+AT405*'Standards &amp; Scoring'!$D$11+AU405*'Standards &amp; Scoring'!$D$12+AV405*'Standards &amp; Scoring'!$D$13)/10000)</f>
        <v/>
      </c>
      <c r="AX405" s="47" t="str">
        <f aca="false">IF(AW405="","",IF(AW405&gt;=1.05,"A+",IF(AW405&gt;=1,"A",IF(AW405&gt;=0.95,"B+",IF(AW405&gt;=0.9,"B","C")))))</f>
        <v/>
      </c>
      <c r="AY405" s="47" t="str">
        <f aca="false">IF(AX405="","",IF(AX405="A+",1800,IF(AX405="A",1600,IF(AX405="B+",1400,IF(AX405="B",1200,0)))))</f>
        <v/>
      </c>
      <c r="AZ405" s="49" t="str">
        <f aca="false">IF(OR(L405="",M405="",S405="",M405=0),"",IFERROR(L405*60*S405/(M405*36),0))</f>
        <v/>
      </c>
    </row>
    <row r="406" customFormat="false" ht="15" hidden="false" customHeight="true" outlineLevel="0" collapsed="false">
      <c r="A406" s="47" t="n">
        <f aca="false">'Daily KPI Entry'!A407</f>
        <v>0</v>
      </c>
      <c r="B406" s="48" t="n">
        <f aca="false">'Daily KPI Entry'!B407</f>
        <v>0</v>
      </c>
      <c r="C406" s="47" t="n">
        <f aca="false">'Daily KPI Entry'!C407</f>
        <v>0</v>
      </c>
      <c r="D406" s="47" t="n">
        <f aca="false">'Daily KPI Entry'!D407</f>
        <v>0</v>
      </c>
      <c r="E406" s="47" t="n">
        <f aca="false">'Daily KPI Entry'!E407</f>
        <v>0</v>
      </c>
      <c r="F406" s="47" t="n">
        <f aca="false">'Daily KPI Entry'!F407</f>
        <v>0</v>
      </c>
      <c r="G406" s="47" t="n">
        <f aca="false">'Daily KPI Entry'!G407</f>
        <v>0</v>
      </c>
      <c r="H406" s="47" t="str">
        <f aca="false">'Daily KPI Entry'!H407</f>
        <v/>
      </c>
      <c r="I406" s="47" t="n">
        <f aca="false">'Daily KPI Entry'!I407</f>
        <v>0</v>
      </c>
      <c r="J406" s="47" t="n">
        <f aca="false">'Daily KPI Entry'!J407</f>
        <v>0</v>
      </c>
      <c r="K406" s="47" t="n">
        <f aca="false">'Daily KPI Entry'!K407</f>
        <v>0</v>
      </c>
      <c r="L406" s="47" t="n">
        <f aca="false">'Daily KPI Entry'!L407</f>
        <v>0</v>
      </c>
      <c r="M406" s="47" t="n">
        <f aca="false">'Daily KPI Entry'!M407</f>
        <v>0</v>
      </c>
      <c r="N406" s="49" t="n">
        <f aca="false">'Daily KPI Entry'!N407</f>
        <v>0</v>
      </c>
      <c r="O406" s="49" t="n">
        <f aca="false">'Daily KPI Entry'!O407</f>
        <v>0</v>
      </c>
      <c r="P406" s="49" t="str">
        <f aca="false">IF(OR(N406="",O406=""),"",IFERROR(O406/N406*100,0))</f>
        <v/>
      </c>
      <c r="Q406" s="47" t="n">
        <f aca="false">'Daily KPI Entry'!Q407</f>
        <v>8</v>
      </c>
      <c r="R406" s="47" t="str">
        <f aca="false">IF(J406="","",Q406*J406)</f>
        <v/>
      </c>
      <c r="S406" s="49" t="n">
        <f aca="false">'Daily KPI Entry'!S407</f>
        <v>0</v>
      </c>
      <c r="T406" s="49" t="str">
        <f aca="false">IF(OR(R406="",S406=""),"",IFERROR(S406/R406*100,0))</f>
        <v/>
      </c>
      <c r="U406" s="49" t="str">
        <f aca="false">IF(OR(O406="",L406="",M406="",S406="",M406=0),"",IFERROR(O406/(L406*60*S406/(M406*36))*100,0))</f>
        <v/>
      </c>
      <c r="V406" s="49" t="n">
        <f aca="false">'Daily KPI Entry'!V407</f>
        <v>0</v>
      </c>
      <c r="W406" s="49" t="str">
        <f aca="false">IF(O406="","",IFERROR(V406/O406*100,0))</f>
        <v/>
      </c>
      <c r="X406" s="49" t="n">
        <f aca="false">'Daily KPI Entry'!X407</f>
        <v>0</v>
      </c>
      <c r="Y406" s="49" t="n">
        <f aca="false">'Daily KPI Entry'!Y407</f>
        <v>0</v>
      </c>
      <c r="Z406" s="49" t="n">
        <f aca="false">'Daily KPI Entry'!Z407</f>
        <v>0</v>
      </c>
      <c r="AA406" s="49" t="n">
        <f aca="false">'Daily KPI Entry'!AA407</f>
        <v>0</v>
      </c>
      <c r="AB406" s="49" t="n">
        <f aca="false">'Daily KPI Entry'!AB407</f>
        <v>0</v>
      </c>
      <c r="AC406" s="49" t="n">
        <f aca="false">'Daily KPI Entry'!AC407</f>
        <v>0</v>
      </c>
      <c r="AD406" s="49" t="n">
        <f aca="false">'Daily KPI Entry'!AD407</f>
        <v>0</v>
      </c>
      <c r="AE406" s="49" t="n">
        <f aca="false">'Daily KPI Entry'!AE407</f>
        <v>0</v>
      </c>
      <c r="AF406" s="47" t="str">
        <f aca="false">IF(O406="","",SUM(X406:AE406))</f>
        <v/>
      </c>
      <c r="AG406" s="49" t="str">
        <f aca="false">IF(O406="","",IFERROR(AF406/O406*1000,0))</f>
        <v/>
      </c>
      <c r="AH406" s="49" t="n">
        <f aca="false">'Daily KPI Entry'!AH407</f>
        <v>0</v>
      </c>
      <c r="AI406" s="49" t="n">
        <f aca="false">'Daily KPI Entry'!AI407</f>
        <v>0</v>
      </c>
      <c r="AJ406" s="49" t="n">
        <f aca="false">'Daily KPI Entry'!AJ407</f>
        <v>0</v>
      </c>
      <c r="AK406" s="47" t="n">
        <f aca="false">'Daily KPI Entry'!AK407</f>
        <v>0</v>
      </c>
      <c r="AL406" s="47" t="n">
        <f aca="false">'Daily KPI Entry'!AL407</f>
        <v>0</v>
      </c>
      <c r="AM406" s="47" t="n">
        <f aca="false">'Daily KPI Entry'!AM407</f>
        <v>0</v>
      </c>
      <c r="AN406" s="49" t="str">
        <f aca="false">IF(P406="","",MIN(120,P406))</f>
        <v/>
      </c>
      <c r="AO406" s="49" t="str">
        <f aca="false">IF(U406="","",MIN(120,U406))</f>
        <v/>
      </c>
      <c r="AP406" s="49" t="str">
        <f aca="false">IF(R406="","",MIN(120,IFERROR(S406/R406*100,0)))</f>
        <v/>
      </c>
      <c r="AQ406" s="49" t="str">
        <f aca="false">IF(W406="","",MIN(120,IF(W406=0,120,100*(INDEX('Standards &amp; Scoring'!$E$5:$E$13,MATCH("Quality / Rejection",'Standards &amp; Scoring'!$A$5:$A$13,0))/W406))))</f>
        <v/>
      </c>
      <c r="AR406" s="49" t="str">
        <f aca="false">IF(AG406="","",MIN(120,IF(AG406=0,120,100*(INDEX('Standards &amp; Scoring'!$E$5:$E$13,MATCH("Fault Control",'Standards &amp; Scoring'!$A$5:$A$13,0))/AG406))))</f>
        <v/>
      </c>
      <c r="AS406" s="49" t="str">
        <f aca="false">IF(O406="","",MIN(120,IF(SUMIFS('Fault &amp; Downtime Entry'!$L$6:$L$1005,'Fault &amp; Downtime Entry'!$E$6:$E$1005,G406,'Fault &amp; Downtime Entry'!$B$6:$B$1005,B406)=0,120,100*(INDEX('Standards &amp; Scoring'!$E$5:$E$13,MATCH("Downtime Control",'Standards &amp; Scoring'!$A$5:$A$13,0))/IFERROR(SUMIFS('Fault &amp; Downtime Entry'!$L$6:$L$1005,'Fault &amp; Downtime Entry'!$E$6:$E$1005,G406,'Fault &amp; Downtime Entry'!$B$6:$B$1005,B406)/O406*1000,999999)))))</f>
        <v/>
      </c>
      <c r="AT406" s="49" t="n">
        <f aca="false">IF(COUNTA(AH406,AJ406)=0,"",MIN(120,IF(AND(AH406&lt;&gt;"",AJ406&lt;&gt;""),AVERAGE(AH406,AJ406),IF(AH406&lt;&gt;"",AH406,AJ406))))</f>
        <v>0</v>
      </c>
      <c r="AU406" s="49" t="str">
        <f aca="false">IF(AI406="","",MIN(120,AI406))</f>
        <v/>
      </c>
      <c r="AV406" s="49" t="str">
        <f aca="false">IF(AJ406="","",MIN(120,AJ406))</f>
        <v/>
      </c>
      <c r="AW406" s="50" t="str">
        <f aca="false">IF(COUNT(AN406:AV406)&lt;9,"",(AN406*'Standards &amp; Scoring'!$D$5+AO406*'Standards &amp; Scoring'!$D$6+AP406*'Standards &amp; Scoring'!$D$7+AQ406*'Standards &amp; Scoring'!$D$8+AR406*'Standards &amp; Scoring'!$D$9+AS406*'Standards &amp; Scoring'!$D$10+AT406*'Standards &amp; Scoring'!$D$11+AU406*'Standards &amp; Scoring'!$D$12+AV406*'Standards &amp; Scoring'!$D$13)/10000)</f>
        <v/>
      </c>
      <c r="AX406" s="47" t="str">
        <f aca="false">IF(AW406="","",IF(AW406&gt;=1.05,"A+",IF(AW406&gt;=1,"A",IF(AW406&gt;=0.95,"B+",IF(AW406&gt;=0.9,"B","C")))))</f>
        <v/>
      </c>
      <c r="AY406" s="47" t="str">
        <f aca="false">IF(AX406="","",IF(AX406="A+",1800,IF(AX406="A",1600,IF(AX406="B+",1400,IF(AX406="B",1200,0)))))</f>
        <v/>
      </c>
      <c r="AZ406" s="49" t="str">
        <f aca="false">IF(OR(L406="",M406="",S406="",M406=0),"",IFERROR(L406*60*S406/(M406*36),0))</f>
        <v/>
      </c>
    </row>
    <row r="407" customFormat="false" ht="15" hidden="false" customHeight="true" outlineLevel="0" collapsed="false">
      <c r="A407" s="47" t="n">
        <f aca="false">'Daily KPI Entry'!A408</f>
        <v>0</v>
      </c>
      <c r="B407" s="48" t="n">
        <f aca="false">'Daily KPI Entry'!B408</f>
        <v>0</v>
      </c>
      <c r="C407" s="47" t="n">
        <f aca="false">'Daily KPI Entry'!C408</f>
        <v>0</v>
      </c>
      <c r="D407" s="47" t="n">
        <f aca="false">'Daily KPI Entry'!D408</f>
        <v>0</v>
      </c>
      <c r="E407" s="47" t="n">
        <f aca="false">'Daily KPI Entry'!E408</f>
        <v>0</v>
      </c>
      <c r="F407" s="47" t="n">
        <f aca="false">'Daily KPI Entry'!F408</f>
        <v>0</v>
      </c>
      <c r="G407" s="47" t="n">
        <f aca="false">'Daily KPI Entry'!G408</f>
        <v>0</v>
      </c>
      <c r="H407" s="47" t="str">
        <f aca="false">'Daily KPI Entry'!H408</f>
        <v/>
      </c>
      <c r="I407" s="47" t="n">
        <f aca="false">'Daily KPI Entry'!I408</f>
        <v>0</v>
      </c>
      <c r="J407" s="47" t="n">
        <f aca="false">'Daily KPI Entry'!J408</f>
        <v>0</v>
      </c>
      <c r="K407" s="47" t="n">
        <f aca="false">'Daily KPI Entry'!K408</f>
        <v>0</v>
      </c>
      <c r="L407" s="47" t="n">
        <f aca="false">'Daily KPI Entry'!L408</f>
        <v>0</v>
      </c>
      <c r="M407" s="47" t="n">
        <f aca="false">'Daily KPI Entry'!M408</f>
        <v>0</v>
      </c>
      <c r="N407" s="49" t="n">
        <f aca="false">'Daily KPI Entry'!N408</f>
        <v>0</v>
      </c>
      <c r="O407" s="49" t="n">
        <f aca="false">'Daily KPI Entry'!O408</f>
        <v>0</v>
      </c>
      <c r="P407" s="49" t="str">
        <f aca="false">IF(OR(N407="",O407=""),"",IFERROR(O407/N407*100,0))</f>
        <v/>
      </c>
      <c r="Q407" s="47" t="n">
        <f aca="false">'Daily KPI Entry'!Q408</f>
        <v>8</v>
      </c>
      <c r="R407" s="47" t="str">
        <f aca="false">IF(J407="","",Q407*J407)</f>
        <v/>
      </c>
      <c r="S407" s="49" t="n">
        <f aca="false">'Daily KPI Entry'!S408</f>
        <v>0</v>
      </c>
      <c r="T407" s="49" t="str">
        <f aca="false">IF(OR(R407="",S407=""),"",IFERROR(S407/R407*100,0))</f>
        <v/>
      </c>
      <c r="U407" s="49" t="str">
        <f aca="false">IF(OR(O407="",L407="",M407="",S407="",M407=0),"",IFERROR(O407/(L407*60*S407/(M407*36))*100,0))</f>
        <v/>
      </c>
      <c r="V407" s="49" t="n">
        <f aca="false">'Daily KPI Entry'!V408</f>
        <v>0</v>
      </c>
      <c r="W407" s="49" t="str">
        <f aca="false">IF(O407="","",IFERROR(V407/O407*100,0))</f>
        <v/>
      </c>
      <c r="X407" s="49" t="n">
        <f aca="false">'Daily KPI Entry'!X408</f>
        <v>0</v>
      </c>
      <c r="Y407" s="49" t="n">
        <f aca="false">'Daily KPI Entry'!Y408</f>
        <v>0</v>
      </c>
      <c r="Z407" s="49" t="n">
        <f aca="false">'Daily KPI Entry'!Z408</f>
        <v>0</v>
      </c>
      <c r="AA407" s="49" t="n">
        <f aca="false">'Daily KPI Entry'!AA408</f>
        <v>0</v>
      </c>
      <c r="AB407" s="49" t="n">
        <f aca="false">'Daily KPI Entry'!AB408</f>
        <v>0</v>
      </c>
      <c r="AC407" s="49" t="n">
        <f aca="false">'Daily KPI Entry'!AC408</f>
        <v>0</v>
      </c>
      <c r="AD407" s="49" t="n">
        <f aca="false">'Daily KPI Entry'!AD408</f>
        <v>0</v>
      </c>
      <c r="AE407" s="49" t="n">
        <f aca="false">'Daily KPI Entry'!AE408</f>
        <v>0</v>
      </c>
      <c r="AF407" s="47" t="str">
        <f aca="false">IF(O407="","",SUM(X407:AE407))</f>
        <v/>
      </c>
      <c r="AG407" s="49" t="str">
        <f aca="false">IF(O407="","",IFERROR(AF407/O407*1000,0))</f>
        <v/>
      </c>
      <c r="AH407" s="49" t="n">
        <f aca="false">'Daily KPI Entry'!AH408</f>
        <v>0</v>
      </c>
      <c r="AI407" s="49" t="n">
        <f aca="false">'Daily KPI Entry'!AI408</f>
        <v>0</v>
      </c>
      <c r="AJ407" s="49" t="n">
        <f aca="false">'Daily KPI Entry'!AJ408</f>
        <v>0</v>
      </c>
      <c r="AK407" s="47" t="n">
        <f aca="false">'Daily KPI Entry'!AK408</f>
        <v>0</v>
      </c>
      <c r="AL407" s="47" t="n">
        <f aca="false">'Daily KPI Entry'!AL408</f>
        <v>0</v>
      </c>
      <c r="AM407" s="47" t="n">
        <f aca="false">'Daily KPI Entry'!AM408</f>
        <v>0</v>
      </c>
      <c r="AN407" s="49" t="str">
        <f aca="false">IF(P407="","",MIN(120,P407))</f>
        <v/>
      </c>
      <c r="AO407" s="49" t="str">
        <f aca="false">IF(U407="","",MIN(120,U407))</f>
        <v/>
      </c>
      <c r="AP407" s="49" t="str">
        <f aca="false">IF(R407="","",MIN(120,IFERROR(S407/R407*100,0)))</f>
        <v/>
      </c>
      <c r="AQ407" s="49" t="str">
        <f aca="false">IF(W407="","",MIN(120,IF(W407=0,120,100*(INDEX('Standards &amp; Scoring'!$E$5:$E$13,MATCH("Quality / Rejection",'Standards &amp; Scoring'!$A$5:$A$13,0))/W407))))</f>
        <v/>
      </c>
      <c r="AR407" s="49" t="str">
        <f aca="false">IF(AG407="","",MIN(120,IF(AG407=0,120,100*(INDEX('Standards &amp; Scoring'!$E$5:$E$13,MATCH("Fault Control",'Standards &amp; Scoring'!$A$5:$A$13,0))/AG407))))</f>
        <v/>
      </c>
      <c r="AS407" s="49" t="str">
        <f aca="false">IF(O407="","",MIN(120,IF(SUMIFS('Fault &amp; Downtime Entry'!$L$6:$L$1005,'Fault &amp; Downtime Entry'!$E$6:$E$1005,G407,'Fault &amp; Downtime Entry'!$B$6:$B$1005,B407)=0,120,100*(INDEX('Standards &amp; Scoring'!$E$5:$E$13,MATCH("Downtime Control",'Standards &amp; Scoring'!$A$5:$A$13,0))/IFERROR(SUMIFS('Fault &amp; Downtime Entry'!$L$6:$L$1005,'Fault &amp; Downtime Entry'!$E$6:$E$1005,G407,'Fault &amp; Downtime Entry'!$B$6:$B$1005,B407)/O407*1000,999999)))))</f>
        <v/>
      </c>
      <c r="AT407" s="49" t="n">
        <f aca="false">IF(COUNTA(AH407,AJ407)=0,"",MIN(120,IF(AND(AH407&lt;&gt;"",AJ407&lt;&gt;""),AVERAGE(AH407,AJ407),IF(AH407&lt;&gt;"",AH407,AJ407))))</f>
        <v>0</v>
      </c>
      <c r="AU407" s="49" t="str">
        <f aca="false">IF(AI407="","",MIN(120,AI407))</f>
        <v/>
      </c>
      <c r="AV407" s="49" t="str">
        <f aca="false">IF(AJ407="","",MIN(120,AJ407))</f>
        <v/>
      </c>
      <c r="AW407" s="50" t="str">
        <f aca="false">IF(COUNT(AN407:AV407)&lt;9,"",(AN407*'Standards &amp; Scoring'!$D$5+AO407*'Standards &amp; Scoring'!$D$6+AP407*'Standards &amp; Scoring'!$D$7+AQ407*'Standards &amp; Scoring'!$D$8+AR407*'Standards &amp; Scoring'!$D$9+AS407*'Standards &amp; Scoring'!$D$10+AT407*'Standards &amp; Scoring'!$D$11+AU407*'Standards &amp; Scoring'!$D$12+AV407*'Standards &amp; Scoring'!$D$13)/10000)</f>
        <v/>
      </c>
      <c r="AX407" s="47" t="str">
        <f aca="false">IF(AW407="","",IF(AW407&gt;=1.05,"A+",IF(AW407&gt;=1,"A",IF(AW407&gt;=0.95,"B+",IF(AW407&gt;=0.9,"B","C")))))</f>
        <v/>
      </c>
      <c r="AY407" s="47" t="str">
        <f aca="false">IF(AX407="","",IF(AX407="A+",1800,IF(AX407="A",1600,IF(AX407="B+",1400,IF(AX407="B",1200,0)))))</f>
        <v/>
      </c>
      <c r="AZ407" s="49" t="str">
        <f aca="false">IF(OR(L407="",M407="",S407="",M407=0),"",IFERROR(L407*60*S407/(M407*36),0))</f>
        <v/>
      </c>
    </row>
    <row r="408" customFormat="false" ht="15" hidden="false" customHeight="true" outlineLevel="0" collapsed="false">
      <c r="A408" s="47" t="n">
        <f aca="false">'Daily KPI Entry'!A409</f>
        <v>0</v>
      </c>
      <c r="B408" s="48" t="n">
        <f aca="false">'Daily KPI Entry'!B409</f>
        <v>0</v>
      </c>
      <c r="C408" s="47" t="n">
        <f aca="false">'Daily KPI Entry'!C409</f>
        <v>0</v>
      </c>
      <c r="D408" s="47" t="n">
        <f aca="false">'Daily KPI Entry'!D409</f>
        <v>0</v>
      </c>
      <c r="E408" s="47" t="n">
        <f aca="false">'Daily KPI Entry'!E409</f>
        <v>0</v>
      </c>
      <c r="F408" s="47" t="n">
        <f aca="false">'Daily KPI Entry'!F409</f>
        <v>0</v>
      </c>
      <c r="G408" s="47" t="n">
        <f aca="false">'Daily KPI Entry'!G409</f>
        <v>0</v>
      </c>
      <c r="H408" s="47" t="str">
        <f aca="false">'Daily KPI Entry'!H409</f>
        <v/>
      </c>
      <c r="I408" s="47" t="n">
        <f aca="false">'Daily KPI Entry'!I409</f>
        <v>0</v>
      </c>
      <c r="J408" s="47" t="n">
        <f aca="false">'Daily KPI Entry'!J409</f>
        <v>0</v>
      </c>
      <c r="K408" s="47" t="n">
        <f aca="false">'Daily KPI Entry'!K409</f>
        <v>0</v>
      </c>
      <c r="L408" s="47" t="n">
        <f aca="false">'Daily KPI Entry'!L409</f>
        <v>0</v>
      </c>
      <c r="M408" s="47" t="n">
        <f aca="false">'Daily KPI Entry'!M409</f>
        <v>0</v>
      </c>
      <c r="N408" s="49" t="n">
        <f aca="false">'Daily KPI Entry'!N409</f>
        <v>0</v>
      </c>
      <c r="O408" s="49" t="n">
        <f aca="false">'Daily KPI Entry'!O409</f>
        <v>0</v>
      </c>
      <c r="P408" s="49" t="str">
        <f aca="false">IF(OR(N408="",O408=""),"",IFERROR(O408/N408*100,0))</f>
        <v/>
      </c>
      <c r="Q408" s="47" t="n">
        <f aca="false">'Daily KPI Entry'!Q409</f>
        <v>8</v>
      </c>
      <c r="R408" s="47" t="str">
        <f aca="false">IF(J408="","",Q408*J408)</f>
        <v/>
      </c>
      <c r="S408" s="49" t="n">
        <f aca="false">'Daily KPI Entry'!S409</f>
        <v>0</v>
      </c>
      <c r="T408" s="49" t="str">
        <f aca="false">IF(OR(R408="",S408=""),"",IFERROR(S408/R408*100,0))</f>
        <v/>
      </c>
      <c r="U408" s="49" t="str">
        <f aca="false">IF(OR(O408="",L408="",M408="",S408="",M408=0),"",IFERROR(O408/(L408*60*S408/(M408*36))*100,0))</f>
        <v/>
      </c>
      <c r="V408" s="49" t="n">
        <f aca="false">'Daily KPI Entry'!V409</f>
        <v>0</v>
      </c>
      <c r="W408" s="49" t="str">
        <f aca="false">IF(O408="","",IFERROR(V408/O408*100,0))</f>
        <v/>
      </c>
      <c r="X408" s="49" t="n">
        <f aca="false">'Daily KPI Entry'!X409</f>
        <v>0</v>
      </c>
      <c r="Y408" s="49" t="n">
        <f aca="false">'Daily KPI Entry'!Y409</f>
        <v>0</v>
      </c>
      <c r="Z408" s="49" t="n">
        <f aca="false">'Daily KPI Entry'!Z409</f>
        <v>0</v>
      </c>
      <c r="AA408" s="49" t="n">
        <f aca="false">'Daily KPI Entry'!AA409</f>
        <v>0</v>
      </c>
      <c r="AB408" s="49" t="n">
        <f aca="false">'Daily KPI Entry'!AB409</f>
        <v>0</v>
      </c>
      <c r="AC408" s="49" t="n">
        <f aca="false">'Daily KPI Entry'!AC409</f>
        <v>0</v>
      </c>
      <c r="AD408" s="49" t="n">
        <f aca="false">'Daily KPI Entry'!AD409</f>
        <v>0</v>
      </c>
      <c r="AE408" s="49" t="n">
        <f aca="false">'Daily KPI Entry'!AE409</f>
        <v>0</v>
      </c>
      <c r="AF408" s="47" t="str">
        <f aca="false">IF(O408="","",SUM(X408:AE408))</f>
        <v/>
      </c>
      <c r="AG408" s="49" t="str">
        <f aca="false">IF(O408="","",IFERROR(AF408/O408*1000,0))</f>
        <v/>
      </c>
      <c r="AH408" s="49" t="n">
        <f aca="false">'Daily KPI Entry'!AH409</f>
        <v>0</v>
      </c>
      <c r="AI408" s="49" t="n">
        <f aca="false">'Daily KPI Entry'!AI409</f>
        <v>0</v>
      </c>
      <c r="AJ408" s="49" t="n">
        <f aca="false">'Daily KPI Entry'!AJ409</f>
        <v>0</v>
      </c>
      <c r="AK408" s="47" t="n">
        <f aca="false">'Daily KPI Entry'!AK409</f>
        <v>0</v>
      </c>
      <c r="AL408" s="47" t="n">
        <f aca="false">'Daily KPI Entry'!AL409</f>
        <v>0</v>
      </c>
      <c r="AM408" s="47" t="n">
        <f aca="false">'Daily KPI Entry'!AM409</f>
        <v>0</v>
      </c>
      <c r="AN408" s="49" t="str">
        <f aca="false">IF(P408="","",MIN(120,P408))</f>
        <v/>
      </c>
      <c r="AO408" s="49" t="str">
        <f aca="false">IF(U408="","",MIN(120,U408))</f>
        <v/>
      </c>
      <c r="AP408" s="49" t="str">
        <f aca="false">IF(R408="","",MIN(120,IFERROR(S408/R408*100,0)))</f>
        <v/>
      </c>
      <c r="AQ408" s="49" t="str">
        <f aca="false">IF(W408="","",MIN(120,IF(W408=0,120,100*(INDEX('Standards &amp; Scoring'!$E$5:$E$13,MATCH("Quality / Rejection",'Standards &amp; Scoring'!$A$5:$A$13,0))/W408))))</f>
        <v/>
      </c>
      <c r="AR408" s="49" t="str">
        <f aca="false">IF(AG408="","",MIN(120,IF(AG408=0,120,100*(INDEX('Standards &amp; Scoring'!$E$5:$E$13,MATCH("Fault Control",'Standards &amp; Scoring'!$A$5:$A$13,0))/AG408))))</f>
        <v/>
      </c>
      <c r="AS408" s="49" t="str">
        <f aca="false">IF(O408="","",MIN(120,IF(SUMIFS('Fault &amp; Downtime Entry'!$L$6:$L$1005,'Fault &amp; Downtime Entry'!$E$6:$E$1005,G408,'Fault &amp; Downtime Entry'!$B$6:$B$1005,B408)=0,120,100*(INDEX('Standards &amp; Scoring'!$E$5:$E$13,MATCH("Downtime Control",'Standards &amp; Scoring'!$A$5:$A$13,0))/IFERROR(SUMIFS('Fault &amp; Downtime Entry'!$L$6:$L$1005,'Fault &amp; Downtime Entry'!$E$6:$E$1005,G408,'Fault &amp; Downtime Entry'!$B$6:$B$1005,B408)/O408*1000,999999)))))</f>
        <v/>
      </c>
      <c r="AT408" s="49" t="n">
        <f aca="false">IF(COUNTA(AH408,AJ408)=0,"",MIN(120,IF(AND(AH408&lt;&gt;"",AJ408&lt;&gt;""),AVERAGE(AH408,AJ408),IF(AH408&lt;&gt;"",AH408,AJ408))))</f>
        <v>0</v>
      </c>
      <c r="AU408" s="49" t="str">
        <f aca="false">IF(AI408="","",MIN(120,AI408))</f>
        <v/>
      </c>
      <c r="AV408" s="49" t="str">
        <f aca="false">IF(AJ408="","",MIN(120,AJ408))</f>
        <v/>
      </c>
      <c r="AW408" s="50" t="str">
        <f aca="false">IF(COUNT(AN408:AV408)&lt;9,"",(AN408*'Standards &amp; Scoring'!$D$5+AO408*'Standards &amp; Scoring'!$D$6+AP408*'Standards &amp; Scoring'!$D$7+AQ408*'Standards &amp; Scoring'!$D$8+AR408*'Standards &amp; Scoring'!$D$9+AS408*'Standards &amp; Scoring'!$D$10+AT408*'Standards &amp; Scoring'!$D$11+AU408*'Standards &amp; Scoring'!$D$12+AV408*'Standards &amp; Scoring'!$D$13)/10000)</f>
        <v/>
      </c>
      <c r="AX408" s="47" t="str">
        <f aca="false">IF(AW408="","",IF(AW408&gt;=1.05,"A+",IF(AW408&gt;=1,"A",IF(AW408&gt;=0.95,"B+",IF(AW408&gt;=0.9,"B","C")))))</f>
        <v/>
      </c>
      <c r="AY408" s="47" t="str">
        <f aca="false">IF(AX408="","",IF(AX408="A+",1800,IF(AX408="A",1600,IF(AX408="B+",1400,IF(AX408="B",1200,0)))))</f>
        <v/>
      </c>
      <c r="AZ408" s="49" t="str">
        <f aca="false">IF(OR(L408="",M408="",S408="",M408=0),"",IFERROR(L408*60*S408/(M408*36),0))</f>
        <v/>
      </c>
    </row>
    <row r="409" customFormat="false" ht="15" hidden="false" customHeight="true" outlineLevel="0" collapsed="false">
      <c r="A409" s="47" t="n">
        <f aca="false">'Daily KPI Entry'!A410</f>
        <v>0</v>
      </c>
      <c r="B409" s="48" t="n">
        <f aca="false">'Daily KPI Entry'!B410</f>
        <v>0</v>
      </c>
      <c r="C409" s="47" t="n">
        <f aca="false">'Daily KPI Entry'!C410</f>
        <v>0</v>
      </c>
      <c r="D409" s="47" t="n">
        <f aca="false">'Daily KPI Entry'!D410</f>
        <v>0</v>
      </c>
      <c r="E409" s="47" t="n">
        <f aca="false">'Daily KPI Entry'!E410</f>
        <v>0</v>
      </c>
      <c r="F409" s="47" t="n">
        <f aca="false">'Daily KPI Entry'!F410</f>
        <v>0</v>
      </c>
      <c r="G409" s="47" t="n">
        <f aca="false">'Daily KPI Entry'!G410</f>
        <v>0</v>
      </c>
      <c r="H409" s="47" t="str">
        <f aca="false">'Daily KPI Entry'!H410</f>
        <v/>
      </c>
      <c r="I409" s="47" t="n">
        <f aca="false">'Daily KPI Entry'!I410</f>
        <v>0</v>
      </c>
      <c r="J409" s="47" t="n">
        <f aca="false">'Daily KPI Entry'!J410</f>
        <v>0</v>
      </c>
      <c r="K409" s="47" t="n">
        <f aca="false">'Daily KPI Entry'!K410</f>
        <v>0</v>
      </c>
      <c r="L409" s="47" t="n">
        <f aca="false">'Daily KPI Entry'!L410</f>
        <v>0</v>
      </c>
      <c r="M409" s="47" t="n">
        <f aca="false">'Daily KPI Entry'!M410</f>
        <v>0</v>
      </c>
      <c r="N409" s="49" t="n">
        <f aca="false">'Daily KPI Entry'!N410</f>
        <v>0</v>
      </c>
      <c r="O409" s="49" t="n">
        <f aca="false">'Daily KPI Entry'!O410</f>
        <v>0</v>
      </c>
      <c r="P409" s="49" t="str">
        <f aca="false">IF(OR(N409="",O409=""),"",IFERROR(O409/N409*100,0))</f>
        <v/>
      </c>
      <c r="Q409" s="47" t="n">
        <f aca="false">'Daily KPI Entry'!Q410</f>
        <v>8</v>
      </c>
      <c r="R409" s="47" t="str">
        <f aca="false">IF(J409="","",Q409*J409)</f>
        <v/>
      </c>
      <c r="S409" s="49" t="n">
        <f aca="false">'Daily KPI Entry'!S410</f>
        <v>0</v>
      </c>
      <c r="T409" s="49" t="str">
        <f aca="false">IF(OR(R409="",S409=""),"",IFERROR(S409/R409*100,0))</f>
        <v/>
      </c>
      <c r="U409" s="49" t="str">
        <f aca="false">IF(OR(O409="",L409="",M409="",S409="",M409=0),"",IFERROR(O409/(L409*60*S409/(M409*36))*100,0))</f>
        <v/>
      </c>
      <c r="V409" s="49" t="n">
        <f aca="false">'Daily KPI Entry'!V410</f>
        <v>0</v>
      </c>
      <c r="W409" s="49" t="str">
        <f aca="false">IF(O409="","",IFERROR(V409/O409*100,0))</f>
        <v/>
      </c>
      <c r="X409" s="49" t="n">
        <f aca="false">'Daily KPI Entry'!X410</f>
        <v>0</v>
      </c>
      <c r="Y409" s="49" t="n">
        <f aca="false">'Daily KPI Entry'!Y410</f>
        <v>0</v>
      </c>
      <c r="Z409" s="49" t="n">
        <f aca="false">'Daily KPI Entry'!Z410</f>
        <v>0</v>
      </c>
      <c r="AA409" s="49" t="n">
        <f aca="false">'Daily KPI Entry'!AA410</f>
        <v>0</v>
      </c>
      <c r="AB409" s="49" t="n">
        <f aca="false">'Daily KPI Entry'!AB410</f>
        <v>0</v>
      </c>
      <c r="AC409" s="49" t="n">
        <f aca="false">'Daily KPI Entry'!AC410</f>
        <v>0</v>
      </c>
      <c r="AD409" s="49" t="n">
        <f aca="false">'Daily KPI Entry'!AD410</f>
        <v>0</v>
      </c>
      <c r="AE409" s="49" t="n">
        <f aca="false">'Daily KPI Entry'!AE410</f>
        <v>0</v>
      </c>
      <c r="AF409" s="47" t="str">
        <f aca="false">IF(O409="","",SUM(X409:AE409))</f>
        <v/>
      </c>
      <c r="AG409" s="49" t="str">
        <f aca="false">IF(O409="","",IFERROR(AF409/O409*1000,0))</f>
        <v/>
      </c>
      <c r="AH409" s="49" t="n">
        <f aca="false">'Daily KPI Entry'!AH410</f>
        <v>0</v>
      </c>
      <c r="AI409" s="49" t="n">
        <f aca="false">'Daily KPI Entry'!AI410</f>
        <v>0</v>
      </c>
      <c r="AJ409" s="49" t="n">
        <f aca="false">'Daily KPI Entry'!AJ410</f>
        <v>0</v>
      </c>
      <c r="AK409" s="47" t="n">
        <f aca="false">'Daily KPI Entry'!AK410</f>
        <v>0</v>
      </c>
      <c r="AL409" s="47" t="n">
        <f aca="false">'Daily KPI Entry'!AL410</f>
        <v>0</v>
      </c>
      <c r="AM409" s="47" t="n">
        <f aca="false">'Daily KPI Entry'!AM410</f>
        <v>0</v>
      </c>
      <c r="AN409" s="49" t="str">
        <f aca="false">IF(P409="","",MIN(120,P409))</f>
        <v/>
      </c>
      <c r="AO409" s="49" t="str">
        <f aca="false">IF(U409="","",MIN(120,U409))</f>
        <v/>
      </c>
      <c r="AP409" s="49" t="str">
        <f aca="false">IF(R409="","",MIN(120,IFERROR(S409/R409*100,0)))</f>
        <v/>
      </c>
      <c r="AQ409" s="49" t="str">
        <f aca="false">IF(W409="","",MIN(120,IF(W409=0,120,100*(INDEX('Standards &amp; Scoring'!$E$5:$E$13,MATCH("Quality / Rejection",'Standards &amp; Scoring'!$A$5:$A$13,0))/W409))))</f>
        <v/>
      </c>
      <c r="AR409" s="49" t="str">
        <f aca="false">IF(AG409="","",MIN(120,IF(AG409=0,120,100*(INDEX('Standards &amp; Scoring'!$E$5:$E$13,MATCH("Fault Control",'Standards &amp; Scoring'!$A$5:$A$13,0))/AG409))))</f>
        <v/>
      </c>
      <c r="AS409" s="49" t="str">
        <f aca="false">IF(O409="","",MIN(120,IF(SUMIFS('Fault &amp; Downtime Entry'!$L$6:$L$1005,'Fault &amp; Downtime Entry'!$E$6:$E$1005,G409,'Fault &amp; Downtime Entry'!$B$6:$B$1005,B409)=0,120,100*(INDEX('Standards &amp; Scoring'!$E$5:$E$13,MATCH("Downtime Control",'Standards &amp; Scoring'!$A$5:$A$13,0))/IFERROR(SUMIFS('Fault &amp; Downtime Entry'!$L$6:$L$1005,'Fault &amp; Downtime Entry'!$E$6:$E$1005,G409,'Fault &amp; Downtime Entry'!$B$6:$B$1005,B409)/O409*1000,999999)))))</f>
        <v/>
      </c>
      <c r="AT409" s="49" t="n">
        <f aca="false">IF(COUNTA(AH409,AJ409)=0,"",MIN(120,IF(AND(AH409&lt;&gt;"",AJ409&lt;&gt;""),AVERAGE(AH409,AJ409),IF(AH409&lt;&gt;"",AH409,AJ409))))</f>
        <v>0</v>
      </c>
      <c r="AU409" s="49" t="str">
        <f aca="false">IF(AI409="","",MIN(120,AI409))</f>
        <v/>
      </c>
      <c r="AV409" s="49" t="str">
        <f aca="false">IF(AJ409="","",MIN(120,AJ409))</f>
        <v/>
      </c>
      <c r="AW409" s="50" t="str">
        <f aca="false">IF(COUNT(AN409:AV409)&lt;9,"",(AN409*'Standards &amp; Scoring'!$D$5+AO409*'Standards &amp; Scoring'!$D$6+AP409*'Standards &amp; Scoring'!$D$7+AQ409*'Standards &amp; Scoring'!$D$8+AR409*'Standards &amp; Scoring'!$D$9+AS409*'Standards &amp; Scoring'!$D$10+AT409*'Standards &amp; Scoring'!$D$11+AU409*'Standards &amp; Scoring'!$D$12+AV409*'Standards &amp; Scoring'!$D$13)/10000)</f>
        <v/>
      </c>
      <c r="AX409" s="47" t="str">
        <f aca="false">IF(AW409="","",IF(AW409&gt;=1.05,"A+",IF(AW409&gt;=1,"A",IF(AW409&gt;=0.95,"B+",IF(AW409&gt;=0.9,"B","C")))))</f>
        <v/>
      </c>
      <c r="AY409" s="47" t="str">
        <f aca="false">IF(AX409="","",IF(AX409="A+",1800,IF(AX409="A",1600,IF(AX409="B+",1400,IF(AX409="B",1200,0)))))</f>
        <v/>
      </c>
      <c r="AZ409" s="49" t="str">
        <f aca="false">IF(OR(L409="",M409="",S409="",M409=0),"",IFERROR(L409*60*S409/(M409*36),0))</f>
        <v/>
      </c>
    </row>
    <row r="410" customFormat="false" ht="15" hidden="false" customHeight="true" outlineLevel="0" collapsed="false">
      <c r="A410" s="47" t="n">
        <f aca="false">'Daily KPI Entry'!A411</f>
        <v>0</v>
      </c>
      <c r="B410" s="48" t="n">
        <f aca="false">'Daily KPI Entry'!B411</f>
        <v>0</v>
      </c>
      <c r="C410" s="47" t="n">
        <f aca="false">'Daily KPI Entry'!C411</f>
        <v>0</v>
      </c>
      <c r="D410" s="47" t="n">
        <f aca="false">'Daily KPI Entry'!D411</f>
        <v>0</v>
      </c>
      <c r="E410" s="47" t="n">
        <f aca="false">'Daily KPI Entry'!E411</f>
        <v>0</v>
      </c>
      <c r="F410" s="47" t="n">
        <f aca="false">'Daily KPI Entry'!F411</f>
        <v>0</v>
      </c>
      <c r="G410" s="47" t="n">
        <f aca="false">'Daily KPI Entry'!G411</f>
        <v>0</v>
      </c>
      <c r="H410" s="47" t="str">
        <f aca="false">'Daily KPI Entry'!H411</f>
        <v/>
      </c>
      <c r="I410" s="47" t="n">
        <f aca="false">'Daily KPI Entry'!I411</f>
        <v>0</v>
      </c>
      <c r="J410" s="47" t="n">
        <f aca="false">'Daily KPI Entry'!J411</f>
        <v>0</v>
      </c>
      <c r="K410" s="47" t="n">
        <f aca="false">'Daily KPI Entry'!K411</f>
        <v>0</v>
      </c>
      <c r="L410" s="47" t="n">
        <f aca="false">'Daily KPI Entry'!L411</f>
        <v>0</v>
      </c>
      <c r="M410" s="47" t="n">
        <f aca="false">'Daily KPI Entry'!M411</f>
        <v>0</v>
      </c>
      <c r="N410" s="49" t="n">
        <f aca="false">'Daily KPI Entry'!N411</f>
        <v>0</v>
      </c>
      <c r="O410" s="49" t="n">
        <f aca="false">'Daily KPI Entry'!O411</f>
        <v>0</v>
      </c>
      <c r="P410" s="49" t="str">
        <f aca="false">IF(OR(N410="",O410=""),"",IFERROR(O410/N410*100,0))</f>
        <v/>
      </c>
      <c r="Q410" s="47" t="n">
        <f aca="false">'Daily KPI Entry'!Q411</f>
        <v>8</v>
      </c>
      <c r="R410" s="47" t="str">
        <f aca="false">IF(J410="","",Q410*J410)</f>
        <v/>
      </c>
      <c r="S410" s="49" t="n">
        <f aca="false">'Daily KPI Entry'!S411</f>
        <v>0</v>
      </c>
      <c r="T410" s="49" t="str">
        <f aca="false">IF(OR(R410="",S410=""),"",IFERROR(S410/R410*100,0))</f>
        <v/>
      </c>
      <c r="U410" s="49" t="str">
        <f aca="false">IF(OR(O410="",L410="",M410="",S410="",M410=0),"",IFERROR(O410/(L410*60*S410/(M410*36))*100,0))</f>
        <v/>
      </c>
      <c r="V410" s="49" t="n">
        <f aca="false">'Daily KPI Entry'!V411</f>
        <v>0</v>
      </c>
      <c r="W410" s="49" t="str">
        <f aca="false">IF(O410="","",IFERROR(V410/O410*100,0))</f>
        <v/>
      </c>
      <c r="X410" s="49" t="n">
        <f aca="false">'Daily KPI Entry'!X411</f>
        <v>0</v>
      </c>
      <c r="Y410" s="49" t="n">
        <f aca="false">'Daily KPI Entry'!Y411</f>
        <v>0</v>
      </c>
      <c r="Z410" s="49" t="n">
        <f aca="false">'Daily KPI Entry'!Z411</f>
        <v>0</v>
      </c>
      <c r="AA410" s="49" t="n">
        <f aca="false">'Daily KPI Entry'!AA411</f>
        <v>0</v>
      </c>
      <c r="AB410" s="49" t="n">
        <f aca="false">'Daily KPI Entry'!AB411</f>
        <v>0</v>
      </c>
      <c r="AC410" s="49" t="n">
        <f aca="false">'Daily KPI Entry'!AC411</f>
        <v>0</v>
      </c>
      <c r="AD410" s="49" t="n">
        <f aca="false">'Daily KPI Entry'!AD411</f>
        <v>0</v>
      </c>
      <c r="AE410" s="49" t="n">
        <f aca="false">'Daily KPI Entry'!AE411</f>
        <v>0</v>
      </c>
      <c r="AF410" s="47" t="str">
        <f aca="false">IF(O410="","",SUM(X410:AE410))</f>
        <v/>
      </c>
      <c r="AG410" s="49" t="str">
        <f aca="false">IF(O410="","",IFERROR(AF410/O410*1000,0))</f>
        <v/>
      </c>
      <c r="AH410" s="49" t="n">
        <f aca="false">'Daily KPI Entry'!AH411</f>
        <v>0</v>
      </c>
      <c r="AI410" s="49" t="n">
        <f aca="false">'Daily KPI Entry'!AI411</f>
        <v>0</v>
      </c>
      <c r="AJ410" s="49" t="n">
        <f aca="false">'Daily KPI Entry'!AJ411</f>
        <v>0</v>
      </c>
      <c r="AK410" s="47" t="n">
        <f aca="false">'Daily KPI Entry'!AK411</f>
        <v>0</v>
      </c>
      <c r="AL410" s="47" t="n">
        <f aca="false">'Daily KPI Entry'!AL411</f>
        <v>0</v>
      </c>
      <c r="AM410" s="47" t="n">
        <f aca="false">'Daily KPI Entry'!AM411</f>
        <v>0</v>
      </c>
      <c r="AN410" s="49" t="str">
        <f aca="false">IF(P410="","",MIN(120,P410))</f>
        <v/>
      </c>
      <c r="AO410" s="49" t="str">
        <f aca="false">IF(U410="","",MIN(120,U410))</f>
        <v/>
      </c>
      <c r="AP410" s="49" t="str">
        <f aca="false">IF(R410="","",MIN(120,IFERROR(S410/R410*100,0)))</f>
        <v/>
      </c>
      <c r="AQ410" s="49" t="str">
        <f aca="false">IF(W410="","",MIN(120,IF(W410=0,120,100*(INDEX('Standards &amp; Scoring'!$E$5:$E$13,MATCH("Quality / Rejection",'Standards &amp; Scoring'!$A$5:$A$13,0))/W410))))</f>
        <v/>
      </c>
      <c r="AR410" s="49" t="str">
        <f aca="false">IF(AG410="","",MIN(120,IF(AG410=0,120,100*(INDEX('Standards &amp; Scoring'!$E$5:$E$13,MATCH("Fault Control",'Standards &amp; Scoring'!$A$5:$A$13,0))/AG410))))</f>
        <v/>
      </c>
      <c r="AS410" s="49" t="str">
        <f aca="false">IF(O410="","",MIN(120,IF(SUMIFS('Fault &amp; Downtime Entry'!$L$6:$L$1005,'Fault &amp; Downtime Entry'!$E$6:$E$1005,G410,'Fault &amp; Downtime Entry'!$B$6:$B$1005,B410)=0,120,100*(INDEX('Standards &amp; Scoring'!$E$5:$E$13,MATCH("Downtime Control",'Standards &amp; Scoring'!$A$5:$A$13,0))/IFERROR(SUMIFS('Fault &amp; Downtime Entry'!$L$6:$L$1005,'Fault &amp; Downtime Entry'!$E$6:$E$1005,G410,'Fault &amp; Downtime Entry'!$B$6:$B$1005,B410)/O410*1000,999999)))))</f>
        <v/>
      </c>
      <c r="AT410" s="49" t="n">
        <f aca="false">IF(COUNTA(AH410,AJ410)=0,"",MIN(120,IF(AND(AH410&lt;&gt;"",AJ410&lt;&gt;""),AVERAGE(AH410,AJ410),IF(AH410&lt;&gt;"",AH410,AJ410))))</f>
        <v>0</v>
      </c>
      <c r="AU410" s="49" t="str">
        <f aca="false">IF(AI410="","",MIN(120,AI410))</f>
        <v/>
      </c>
      <c r="AV410" s="49" t="str">
        <f aca="false">IF(AJ410="","",MIN(120,AJ410))</f>
        <v/>
      </c>
      <c r="AW410" s="50" t="str">
        <f aca="false">IF(COUNT(AN410:AV410)&lt;9,"",(AN410*'Standards &amp; Scoring'!$D$5+AO410*'Standards &amp; Scoring'!$D$6+AP410*'Standards &amp; Scoring'!$D$7+AQ410*'Standards &amp; Scoring'!$D$8+AR410*'Standards &amp; Scoring'!$D$9+AS410*'Standards &amp; Scoring'!$D$10+AT410*'Standards &amp; Scoring'!$D$11+AU410*'Standards &amp; Scoring'!$D$12+AV410*'Standards &amp; Scoring'!$D$13)/10000)</f>
        <v/>
      </c>
      <c r="AX410" s="47" t="str">
        <f aca="false">IF(AW410="","",IF(AW410&gt;=1.05,"A+",IF(AW410&gt;=1,"A",IF(AW410&gt;=0.95,"B+",IF(AW410&gt;=0.9,"B","C")))))</f>
        <v/>
      </c>
      <c r="AY410" s="47" t="str">
        <f aca="false">IF(AX410="","",IF(AX410="A+",1800,IF(AX410="A",1600,IF(AX410="B+",1400,IF(AX410="B",1200,0)))))</f>
        <v/>
      </c>
      <c r="AZ410" s="49" t="str">
        <f aca="false">IF(OR(L410="",M410="",S410="",M410=0),"",IFERROR(L410*60*S410/(M410*36),0))</f>
        <v/>
      </c>
    </row>
    <row r="411" customFormat="false" ht="15" hidden="false" customHeight="true" outlineLevel="0" collapsed="false">
      <c r="A411" s="47" t="n">
        <f aca="false">'Daily KPI Entry'!A412</f>
        <v>0</v>
      </c>
      <c r="B411" s="48" t="n">
        <f aca="false">'Daily KPI Entry'!B412</f>
        <v>0</v>
      </c>
      <c r="C411" s="47" t="n">
        <f aca="false">'Daily KPI Entry'!C412</f>
        <v>0</v>
      </c>
      <c r="D411" s="47" t="n">
        <f aca="false">'Daily KPI Entry'!D412</f>
        <v>0</v>
      </c>
      <c r="E411" s="47" t="n">
        <f aca="false">'Daily KPI Entry'!E412</f>
        <v>0</v>
      </c>
      <c r="F411" s="47" t="n">
        <f aca="false">'Daily KPI Entry'!F412</f>
        <v>0</v>
      </c>
      <c r="G411" s="47" t="n">
        <f aca="false">'Daily KPI Entry'!G412</f>
        <v>0</v>
      </c>
      <c r="H411" s="47" t="str">
        <f aca="false">'Daily KPI Entry'!H412</f>
        <v/>
      </c>
      <c r="I411" s="47" t="n">
        <f aca="false">'Daily KPI Entry'!I412</f>
        <v>0</v>
      </c>
      <c r="J411" s="47" t="n">
        <f aca="false">'Daily KPI Entry'!J412</f>
        <v>0</v>
      </c>
      <c r="K411" s="47" t="n">
        <f aca="false">'Daily KPI Entry'!K412</f>
        <v>0</v>
      </c>
      <c r="L411" s="47" t="n">
        <f aca="false">'Daily KPI Entry'!L412</f>
        <v>0</v>
      </c>
      <c r="M411" s="47" t="n">
        <f aca="false">'Daily KPI Entry'!M412</f>
        <v>0</v>
      </c>
      <c r="N411" s="49" t="n">
        <f aca="false">'Daily KPI Entry'!N412</f>
        <v>0</v>
      </c>
      <c r="O411" s="49" t="n">
        <f aca="false">'Daily KPI Entry'!O412</f>
        <v>0</v>
      </c>
      <c r="P411" s="49" t="str">
        <f aca="false">IF(OR(N411="",O411=""),"",IFERROR(O411/N411*100,0))</f>
        <v/>
      </c>
      <c r="Q411" s="47" t="n">
        <f aca="false">'Daily KPI Entry'!Q412</f>
        <v>8</v>
      </c>
      <c r="R411" s="47" t="str">
        <f aca="false">IF(J411="","",Q411*J411)</f>
        <v/>
      </c>
      <c r="S411" s="49" t="n">
        <f aca="false">'Daily KPI Entry'!S412</f>
        <v>0</v>
      </c>
      <c r="T411" s="49" t="str">
        <f aca="false">IF(OR(R411="",S411=""),"",IFERROR(S411/R411*100,0))</f>
        <v/>
      </c>
      <c r="U411" s="49" t="str">
        <f aca="false">IF(OR(O411="",L411="",M411="",S411="",M411=0),"",IFERROR(O411/(L411*60*S411/(M411*36))*100,0))</f>
        <v/>
      </c>
      <c r="V411" s="49" t="n">
        <f aca="false">'Daily KPI Entry'!V412</f>
        <v>0</v>
      </c>
      <c r="W411" s="49" t="str">
        <f aca="false">IF(O411="","",IFERROR(V411/O411*100,0))</f>
        <v/>
      </c>
      <c r="X411" s="49" t="n">
        <f aca="false">'Daily KPI Entry'!X412</f>
        <v>0</v>
      </c>
      <c r="Y411" s="49" t="n">
        <f aca="false">'Daily KPI Entry'!Y412</f>
        <v>0</v>
      </c>
      <c r="Z411" s="49" t="n">
        <f aca="false">'Daily KPI Entry'!Z412</f>
        <v>0</v>
      </c>
      <c r="AA411" s="49" t="n">
        <f aca="false">'Daily KPI Entry'!AA412</f>
        <v>0</v>
      </c>
      <c r="AB411" s="49" t="n">
        <f aca="false">'Daily KPI Entry'!AB412</f>
        <v>0</v>
      </c>
      <c r="AC411" s="49" t="n">
        <f aca="false">'Daily KPI Entry'!AC412</f>
        <v>0</v>
      </c>
      <c r="AD411" s="49" t="n">
        <f aca="false">'Daily KPI Entry'!AD412</f>
        <v>0</v>
      </c>
      <c r="AE411" s="49" t="n">
        <f aca="false">'Daily KPI Entry'!AE412</f>
        <v>0</v>
      </c>
      <c r="AF411" s="47" t="str">
        <f aca="false">IF(O411="","",SUM(X411:AE411))</f>
        <v/>
      </c>
      <c r="AG411" s="49" t="str">
        <f aca="false">IF(O411="","",IFERROR(AF411/O411*1000,0))</f>
        <v/>
      </c>
      <c r="AH411" s="49" t="n">
        <f aca="false">'Daily KPI Entry'!AH412</f>
        <v>0</v>
      </c>
      <c r="AI411" s="49" t="n">
        <f aca="false">'Daily KPI Entry'!AI412</f>
        <v>0</v>
      </c>
      <c r="AJ411" s="49" t="n">
        <f aca="false">'Daily KPI Entry'!AJ412</f>
        <v>0</v>
      </c>
      <c r="AK411" s="47" t="n">
        <f aca="false">'Daily KPI Entry'!AK412</f>
        <v>0</v>
      </c>
      <c r="AL411" s="47" t="n">
        <f aca="false">'Daily KPI Entry'!AL412</f>
        <v>0</v>
      </c>
      <c r="AM411" s="47" t="n">
        <f aca="false">'Daily KPI Entry'!AM412</f>
        <v>0</v>
      </c>
      <c r="AN411" s="49" t="str">
        <f aca="false">IF(P411="","",MIN(120,P411))</f>
        <v/>
      </c>
      <c r="AO411" s="49" t="str">
        <f aca="false">IF(U411="","",MIN(120,U411))</f>
        <v/>
      </c>
      <c r="AP411" s="49" t="str">
        <f aca="false">IF(R411="","",MIN(120,IFERROR(S411/R411*100,0)))</f>
        <v/>
      </c>
      <c r="AQ411" s="49" t="str">
        <f aca="false">IF(W411="","",MIN(120,IF(W411=0,120,100*(INDEX('Standards &amp; Scoring'!$E$5:$E$13,MATCH("Quality / Rejection",'Standards &amp; Scoring'!$A$5:$A$13,0))/W411))))</f>
        <v/>
      </c>
      <c r="AR411" s="49" t="str">
        <f aca="false">IF(AG411="","",MIN(120,IF(AG411=0,120,100*(INDEX('Standards &amp; Scoring'!$E$5:$E$13,MATCH("Fault Control",'Standards &amp; Scoring'!$A$5:$A$13,0))/AG411))))</f>
        <v/>
      </c>
      <c r="AS411" s="49" t="str">
        <f aca="false">IF(O411="","",MIN(120,IF(SUMIFS('Fault &amp; Downtime Entry'!$L$6:$L$1005,'Fault &amp; Downtime Entry'!$E$6:$E$1005,G411,'Fault &amp; Downtime Entry'!$B$6:$B$1005,B411)=0,120,100*(INDEX('Standards &amp; Scoring'!$E$5:$E$13,MATCH("Downtime Control",'Standards &amp; Scoring'!$A$5:$A$13,0))/IFERROR(SUMIFS('Fault &amp; Downtime Entry'!$L$6:$L$1005,'Fault &amp; Downtime Entry'!$E$6:$E$1005,G411,'Fault &amp; Downtime Entry'!$B$6:$B$1005,B411)/O411*1000,999999)))))</f>
        <v/>
      </c>
      <c r="AT411" s="49" t="n">
        <f aca="false">IF(COUNTA(AH411,AJ411)=0,"",MIN(120,IF(AND(AH411&lt;&gt;"",AJ411&lt;&gt;""),AVERAGE(AH411,AJ411),IF(AH411&lt;&gt;"",AH411,AJ411))))</f>
        <v>0</v>
      </c>
      <c r="AU411" s="49" t="str">
        <f aca="false">IF(AI411="","",MIN(120,AI411))</f>
        <v/>
      </c>
      <c r="AV411" s="49" t="str">
        <f aca="false">IF(AJ411="","",MIN(120,AJ411))</f>
        <v/>
      </c>
      <c r="AW411" s="50" t="str">
        <f aca="false">IF(COUNT(AN411:AV411)&lt;9,"",(AN411*'Standards &amp; Scoring'!$D$5+AO411*'Standards &amp; Scoring'!$D$6+AP411*'Standards &amp; Scoring'!$D$7+AQ411*'Standards &amp; Scoring'!$D$8+AR411*'Standards &amp; Scoring'!$D$9+AS411*'Standards &amp; Scoring'!$D$10+AT411*'Standards &amp; Scoring'!$D$11+AU411*'Standards &amp; Scoring'!$D$12+AV411*'Standards &amp; Scoring'!$D$13)/10000)</f>
        <v/>
      </c>
      <c r="AX411" s="47" t="str">
        <f aca="false">IF(AW411="","",IF(AW411&gt;=1.05,"A+",IF(AW411&gt;=1,"A",IF(AW411&gt;=0.95,"B+",IF(AW411&gt;=0.9,"B","C")))))</f>
        <v/>
      </c>
      <c r="AY411" s="47" t="str">
        <f aca="false">IF(AX411="","",IF(AX411="A+",1800,IF(AX411="A",1600,IF(AX411="B+",1400,IF(AX411="B",1200,0)))))</f>
        <v/>
      </c>
      <c r="AZ411" s="49" t="str">
        <f aca="false">IF(OR(L411="",M411="",S411="",M411=0),"",IFERROR(L411*60*S411/(M411*36),0))</f>
        <v/>
      </c>
    </row>
    <row r="412" customFormat="false" ht="15" hidden="false" customHeight="true" outlineLevel="0" collapsed="false">
      <c r="A412" s="47" t="n">
        <f aca="false">'Daily KPI Entry'!A413</f>
        <v>0</v>
      </c>
      <c r="B412" s="48" t="n">
        <f aca="false">'Daily KPI Entry'!B413</f>
        <v>0</v>
      </c>
      <c r="C412" s="47" t="n">
        <f aca="false">'Daily KPI Entry'!C413</f>
        <v>0</v>
      </c>
      <c r="D412" s="47" t="n">
        <f aca="false">'Daily KPI Entry'!D413</f>
        <v>0</v>
      </c>
      <c r="E412" s="47" t="n">
        <f aca="false">'Daily KPI Entry'!E413</f>
        <v>0</v>
      </c>
      <c r="F412" s="47" t="n">
        <f aca="false">'Daily KPI Entry'!F413</f>
        <v>0</v>
      </c>
      <c r="G412" s="47" t="n">
        <f aca="false">'Daily KPI Entry'!G413</f>
        <v>0</v>
      </c>
      <c r="H412" s="47" t="str">
        <f aca="false">'Daily KPI Entry'!H413</f>
        <v/>
      </c>
      <c r="I412" s="47" t="n">
        <f aca="false">'Daily KPI Entry'!I413</f>
        <v>0</v>
      </c>
      <c r="J412" s="47" t="n">
        <f aca="false">'Daily KPI Entry'!J413</f>
        <v>0</v>
      </c>
      <c r="K412" s="47" t="n">
        <f aca="false">'Daily KPI Entry'!K413</f>
        <v>0</v>
      </c>
      <c r="L412" s="47" t="n">
        <f aca="false">'Daily KPI Entry'!L413</f>
        <v>0</v>
      </c>
      <c r="M412" s="47" t="n">
        <f aca="false">'Daily KPI Entry'!M413</f>
        <v>0</v>
      </c>
      <c r="N412" s="49" t="n">
        <f aca="false">'Daily KPI Entry'!N413</f>
        <v>0</v>
      </c>
      <c r="O412" s="49" t="n">
        <f aca="false">'Daily KPI Entry'!O413</f>
        <v>0</v>
      </c>
      <c r="P412" s="49" t="str">
        <f aca="false">IF(OR(N412="",O412=""),"",IFERROR(O412/N412*100,0))</f>
        <v/>
      </c>
      <c r="Q412" s="47" t="n">
        <f aca="false">'Daily KPI Entry'!Q413</f>
        <v>8</v>
      </c>
      <c r="R412" s="47" t="str">
        <f aca="false">IF(J412="","",Q412*J412)</f>
        <v/>
      </c>
      <c r="S412" s="49" t="n">
        <f aca="false">'Daily KPI Entry'!S413</f>
        <v>0</v>
      </c>
      <c r="T412" s="49" t="str">
        <f aca="false">IF(OR(R412="",S412=""),"",IFERROR(S412/R412*100,0))</f>
        <v/>
      </c>
      <c r="U412" s="49" t="str">
        <f aca="false">IF(OR(O412="",L412="",M412="",S412="",M412=0),"",IFERROR(O412/(L412*60*S412/(M412*36))*100,0))</f>
        <v/>
      </c>
      <c r="V412" s="49" t="n">
        <f aca="false">'Daily KPI Entry'!V413</f>
        <v>0</v>
      </c>
      <c r="W412" s="49" t="str">
        <f aca="false">IF(O412="","",IFERROR(V412/O412*100,0))</f>
        <v/>
      </c>
      <c r="X412" s="49" t="n">
        <f aca="false">'Daily KPI Entry'!X413</f>
        <v>0</v>
      </c>
      <c r="Y412" s="49" t="n">
        <f aca="false">'Daily KPI Entry'!Y413</f>
        <v>0</v>
      </c>
      <c r="Z412" s="49" t="n">
        <f aca="false">'Daily KPI Entry'!Z413</f>
        <v>0</v>
      </c>
      <c r="AA412" s="49" t="n">
        <f aca="false">'Daily KPI Entry'!AA413</f>
        <v>0</v>
      </c>
      <c r="AB412" s="49" t="n">
        <f aca="false">'Daily KPI Entry'!AB413</f>
        <v>0</v>
      </c>
      <c r="AC412" s="49" t="n">
        <f aca="false">'Daily KPI Entry'!AC413</f>
        <v>0</v>
      </c>
      <c r="AD412" s="49" t="n">
        <f aca="false">'Daily KPI Entry'!AD413</f>
        <v>0</v>
      </c>
      <c r="AE412" s="49" t="n">
        <f aca="false">'Daily KPI Entry'!AE413</f>
        <v>0</v>
      </c>
      <c r="AF412" s="47" t="str">
        <f aca="false">IF(O412="","",SUM(X412:AE412))</f>
        <v/>
      </c>
      <c r="AG412" s="49" t="str">
        <f aca="false">IF(O412="","",IFERROR(AF412/O412*1000,0))</f>
        <v/>
      </c>
      <c r="AH412" s="49" t="n">
        <f aca="false">'Daily KPI Entry'!AH413</f>
        <v>0</v>
      </c>
      <c r="AI412" s="49" t="n">
        <f aca="false">'Daily KPI Entry'!AI413</f>
        <v>0</v>
      </c>
      <c r="AJ412" s="49" t="n">
        <f aca="false">'Daily KPI Entry'!AJ413</f>
        <v>0</v>
      </c>
      <c r="AK412" s="47" t="n">
        <f aca="false">'Daily KPI Entry'!AK413</f>
        <v>0</v>
      </c>
      <c r="AL412" s="47" t="n">
        <f aca="false">'Daily KPI Entry'!AL413</f>
        <v>0</v>
      </c>
      <c r="AM412" s="47" t="n">
        <f aca="false">'Daily KPI Entry'!AM413</f>
        <v>0</v>
      </c>
      <c r="AN412" s="49" t="str">
        <f aca="false">IF(P412="","",MIN(120,P412))</f>
        <v/>
      </c>
      <c r="AO412" s="49" t="str">
        <f aca="false">IF(U412="","",MIN(120,U412))</f>
        <v/>
      </c>
      <c r="AP412" s="49" t="str">
        <f aca="false">IF(R412="","",MIN(120,IFERROR(S412/R412*100,0)))</f>
        <v/>
      </c>
      <c r="AQ412" s="49" t="str">
        <f aca="false">IF(W412="","",MIN(120,IF(W412=0,120,100*(INDEX('Standards &amp; Scoring'!$E$5:$E$13,MATCH("Quality / Rejection",'Standards &amp; Scoring'!$A$5:$A$13,0))/W412))))</f>
        <v/>
      </c>
      <c r="AR412" s="49" t="str">
        <f aca="false">IF(AG412="","",MIN(120,IF(AG412=0,120,100*(INDEX('Standards &amp; Scoring'!$E$5:$E$13,MATCH("Fault Control",'Standards &amp; Scoring'!$A$5:$A$13,0))/AG412))))</f>
        <v/>
      </c>
      <c r="AS412" s="49" t="str">
        <f aca="false">IF(O412="","",MIN(120,IF(SUMIFS('Fault &amp; Downtime Entry'!$L$6:$L$1005,'Fault &amp; Downtime Entry'!$E$6:$E$1005,G412,'Fault &amp; Downtime Entry'!$B$6:$B$1005,B412)=0,120,100*(INDEX('Standards &amp; Scoring'!$E$5:$E$13,MATCH("Downtime Control",'Standards &amp; Scoring'!$A$5:$A$13,0))/IFERROR(SUMIFS('Fault &amp; Downtime Entry'!$L$6:$L$1005,'Fault &amp; Downtime Entry'!$E$6:$E$1005,G412,'Fault &amp; Downtime Entry'!$B$6:$B$1005,B412)/O412*1000,999999)))))</f>
        <v/>
      </c>
      <c r="AT412" s="49" t="n">
        <f aca="false">IF(COUNTA(AH412,AJ412)=0,"",MIN(120,IF(AND(AH412&lt;&gt;"",AJ412&lt;&gt;""),AVERAGE(AH412,AJ412),IF(AH412&lt;&gt;"",AH412,AJ412))))</f>
        <v>0</v>
      </c>
      <c r="AU412" s="49" t="str">
        <f aca="false">IF(AI412="","",MIN(120,AI412))</f>
        <v/>
      </c>
      <c r="AV412" s="49" t="str">
        <f aca="false">IF(AJ412="","",MIN(120,AJ412))</f>
        <v/>
      </c>
      <c r="AW412" s="50" t="str">
        <f aca="false">IF(COUNT(AN412:AV412)&lt;9,"",(AN412*'Standards &amp; Scoring'!$D$5+AO412*'Standards &amp; Scoring'!$D$6+AP412*'Standards &amp; Scoring'!$D$7+AQ412*'Standards &amp; Scoring'!$D$8+AR412*'Standards &amp; Scoring'!$D$9+AS412*'Standards &amp; Scoring'!$D$10+AT412*'Standards &amp; Scoring'!$D$11+AU412*'Standards &amp; Scoring'!$D$12+AV412*'Standards &amp; Scoring'!$D$13)/10000)</f>
        <v/>
      </c>
      <c r="AX412" s="47" t="str">
        <f aca="false">IF(AW412="","",IF(AW412&gt;=1.05,"A+",IF(AW412&gt;=1,"A",IF(AW412&gt;=0.95,"B+",IF(AW412&gt;=0.9,"B","C")))))</f>
        <v/>
      </c>
      <c r="AY412" s="47" t="str">
        <f aca="false">IF(AX412="","",IF(AX412="A+",1800,IF(AX412="A",1600,IF(AX412="B+",1400,IF(AX412="B",1200,0)))))</f>
        <v/>
      </c>
      <c r="AZ412" s="49" t="str">
        <f aca="false">IF(OR(L412="",M412="",S412="",M412=0),"",IFERROR(L412*60*S412/(M412*36),0))</f>
        <v/>
      </c>
    </row>
    <row r="413" customFormat="false" ht="15" hidden="false" customHeight="true" outlineLevel="0" collapsed="false">
      <c r="A413" s="47" t="n">
        <f aca="false">'Daily KPI Entry'!A414</f>
        <v>0</v>
      </c>
      <c r="B413" s="48" t="n">
        <f aca="false">'Daily KPI Entry'!B414</f>
        <v>0</v>
      </c>
      <c r="C413" s="47" t="n">
        <f aca="false">'Daily KPI Entry'!C414</f>
        <v>0</v>
      </c>
      <c r="D413" s="47" t="n">
        <f aca="false">'Daily KPI Entry'!D414</f>
        <v>0</v>
      </c>
      <c r="E413" s="47" t="n">
        <f aca="false">'Daily KPI Entry'!E414</f>
        <v>0</v>
      </c>
      <c r="F413" s="47" t="n">
        <f aca="false">'Daily KPI Entry'!F414</f>
        <v>0</v>
      </c>
      <c r="G413" s="47" t="n">
        <f aca="false">'Daily KPI Entry'!G414</f>
        <v>0</v>
      </c>
      <c r="H413" s="47" t="str">
        <f aca="false">'Daily KPI Entry'!H414</f>
        <v/>
      </c>
      <c r="I413" s="47" t="n">
        <f aca="false">'Daily KPI Entry'!I414</f>
        <v>0</v>
      </c>
      <c r="J413" s="47" t="n">
        <f aca="false">'Daily KPI Entry'!J414</f>
        <v>0</v>
      </c>
      <c r="K413" s="47" t="n">
        <f aca="false">'Daily KPI Entry'!K414</f>
        <v>0</v>
      </c>
      <c r="L413" s="47" t="n">
        <f aca="false">'Daily KPI Entry'!L414</f>
        <v>0</v>
      </c>
      <c r="M413" s="47" t="n">
        <f aca="false">'Daily KPI Entry'!M414</f>
        <v>0</v>
      </c>
      <c r="N413" s="49" t="n">
        <f aca="false">'Daily KPI Entry'!N414</f>
        <v>0</v>
      </c>
      <c r="O413" s="49" t="n">
        <f aca="false">'Daily KPI Entry'!O414</f>
        <v>0</v>
      </c>
      <c r="P413" s="49" t="str">
        <f aca="false">IF(OR(N413="",O413=""),"",IFERROR(O413/N413*100,0))</f>
        <v/>
      </c>
      <c r="Q413" s="47" t="n">
        <f aca="false">'Daily KPI Entry'!Q414</f>
        <v>8</v>
      </c>
      <c r="R413" s="47" t="str">
        <f aca="false">IF(J413="","",Q413*J413)</f>
        <v/>
      </c>
      <c r="S413" s="49" t="n">
        <f aca="false">'Daily KPI Entry'!S414</f>
        <v>0</v>
      </c>
      <c r="T413" s="49" t="str">
        <f aca="false">IF(OR(R413="",S413=""),"",IFERROR(S413/R413*100,0))</f>
        <v/>
      </c>
      <c r="U413" s="49" t="str">
        <f aca="false">IF(OR(O413="",L413="",M413="",S413="",M413=0),"",IFERROR(O413/(L413*60*S413/(M413*36))*100,0))</f>
        <v/>
      </c>
      <c r="V413" s="49" t="n">
        <f aca="false">'Daily KPI Entry'!V414</f>
        <v>0</v>
      </c>
      <c r="W413" s="49" t="str">
        <f aca="false">IF(O413="","",IFERROR(V413/O413*100,0))</f>
        <v/>
      </c>
      <c r="X413" s="49" t="n">
        <f aca="false">'Daily KPI Entry'!X414</f>
        <v>0</v>
      </c>
      <c r="Y413" s="49" t="n">
        <f aca="false">'Daily KPI Entry'!Y414</f>
        <v>0</v>
      </c>
      <c r="Z413" s="49" t="n">
        <f aca="false">'Daily KPI Entry'!Z414</f>
        <v>0</v>
      </c>
      <c r="AA413" s="49" t="n">
        <f aca="false">'Daily KPI Entry'!AA414</f>
        <v>0</v>
      </c>
      <c r="AB413" s="49" t="n">
        <f aca="false">'Daily KPI Entry'!AB414</f>
        <v>0</v>
      </c>
      <c r="AC413" s="49" t="n">
        <f aca="false">'Daily KPI Entry'!AC414</f>
        <v>0</v>
      </c>
      <c r="AD413" s="49" t="n">
        <f aca="false">'Daily KPI Entry'!AD414</f>
        <v>0</v>
      </c>
      <c r="AE413" s="49" t="n">
        <f aca="false">'Daily KPI Entry'!AE414</f>
        <v>0</v>
      </c>
      <c r="AF413" s="47" t="str">
        <f aca="false">IF(O413="","",SUM(X413:AE413))</f>
        <v/>
      </c>
      <c r="AG413" s="49" t="str">
        <f aca="false">IF(O413="","",IFERROR(AF413/O413*1000,0))</f>
        <v/>
      </c>
      <c r="AH413" s="49" t="n">
        <f aca="false">'Daily KPI Entry'!AH414</f>
        <v>0</v>
      </c>
      <c r="AI413" s="49" t="n">
        <f aca="false">'Daily KPI Entry'!AI414</f>
        <v>0</v>
      </c>
      <c r="AJ413" s="49" t="n">
        <f aca="false">'Daily KPI Entry'!AJ414</f>
        <v>0</v>
      </c>
      <c r="AK413" s="47" t="n">
        <f aca="false">'Daily KPI Entry'!AK414</f>
        <v>0</v>
      </c>
      <c r="AL413" s="47" t="n">
        <f aca="false">'Daily KPI Entry'!AL414</f>
        <v>0</v>
      </c>
      <c r="AM413" s="47" t="n">
        <f aca="false">'Daily KPI Entry'!AM414</f>
        <v>0</v>
      </c>
      <c r="AN413" s="49" t="str">
        <f aca="false">IF(P413="","",MIN(120,P413))</f>
        <v/>
      </c>
      <c r="AO413" s="49" t="str">
        <f aca="false">IF(U413="","",MIN(120,U413))</f>
        <v/>
      </c>
      <c r="AP413" s="49" t="str">
        <f aca="false">IF(R413="","",MIN(120,IFERROR(S413/R413*100,0)))</f>
        <v/>
      </c>
      <c r="AQ413" s="49" t="str">
        <f aca="false">IF(W413="","",MIN(120,IF(W413=0,120,100*(INDEX('Standards &amp; Scoring'!$E$5:$E$13,MATCH("Quality / Rejection",'Standards &amp; Scoring'!$A$5:$A$13,0))/W413))))</f>
        <v/>
      </c>
      <c r="AR413" s="49" t="str">
        <f aca="false">IF(AG413="","",MIN(120,IF(AG413=0,120,100*(INDEX('Standards &amp; Scoring'!$E$5:$E$13,MATCH("Fault Control",'Standards &amp; Scoring'!$A$5:$A$13,0))/AG413))))</f>
        <v/>
      </c>
      <c r="AS413" s="49" t="str">
        <f aca="false">IF(O413="","",MIN(120,IF(SUMIFS('Fault &amp; Downtime Entry'!$L$6:$L$1005,'Fault &amp; Downtime Entry'!$E$6:$E$1005,G413,'Fault &amp; Downtime Entry'!$B$6:$B$1005,B413)=0,120,100*(INDEX('Standards &amp; Scoring'!$E$5:$E$13,MATCH("Downtime Control",'Standards &amp; Scoring'!$A$5:$A$13,0))/IFERROR(SUMIFS('Fault &amp; Downtime Entry'!$L$6:$L$1005,'Fault &amp; Downtime Entry'!$E$6:$E$1005,G413,'Fault &amp; Downtime Entry'!$B$6:$B$1005,B413)/O413*1000,999999)))))</f>
        <v/>
      </c>
      <c r="AT413" s="49" t="n">
        <f aca="false">IF(COUNTA(AH413,AJ413)=0,"",MIN(120,IF(AND(AH413&lt;&gt;"",AJ413&lt;&gt;""),AVERAGE(AH413,AJ413),IF(AH413&lt;&gt;"",AH413,AJ413))))</f>
        <v>0</v>
      </c>
      <c r="AU413" s="49" t="str">
        <f aca="false">IF(AI413="","",MIN(120,AI413))</f>
        <v/>
      </c>
      <c r="AV413" s="49" t="str">
        <f aca="false">IF(AJ413="","",MIN(120,AJ413))</f>
        <v/>
      </c>
      <c r="AW413" s="50" t="str">
        <f aca="false">IF(COUNT(AN413:AV413)&lt;9,"",(AN413*'Standards &amp; Scoring'!$D$5+AO413*'Standards &amp; Scoring'!$D$6+AP413*'Standards &amp; Scoring'!$D$7+AQ413*'Standards &amp; Scoring'!$D$8+AR413*'Standards &amp; Scoring'!$D$9+AS413*'Standards &amp; Scoring'!$D$10+AT413*'Standards &amp; Scoring'!$D$11+AU413*'Standards &amp; Scoring'!$D$12+AV413*'Standards &amp; Scoring'!$D$13)/10000)</f>
        <v/>
      </c>
      <c r="AX413" s="47" t="str">
        <f aca="false">IF(AW413="","",IF(AW413&gt;=1.05,"A+",IF(AW413&gt;=1,"A",IF(AW413&gt;=0.95,"B+",IF(AW413&gt;=0.9,"B","C")))))</f>
        <v/>
      </c>
      <c r="AY413" s="47" t="str">
        <f aca="false">IF(AX413="","",IF(AX413="A+",1800,IF(AX413="A",1600,IF(AX413="B+",1400,IF(AX413="B",1200,0)))))</f>
        <v/>
      </c>
      <c r="AZ413" s="49" t="str">
        <f aca="false">IF(OR(L413="",M413="",S413="",M413=0),"",IFERROR(L413*60*S413/(M413*36),0))</f>
        <v/>
      </c>
    </row>
    <row r="414" customFormat="false" ht="15" hidden="false" customHeight="true" outlineLevel="0" collapsed="false">
      <c r="A414" s="47" t="n">
        <f aca="false">'Daily KPI Entry'!A415</f>
        <v>0</v>
      </c>
      <c r="B414" s="48" t="n">
        <f aca="false">'Daily KPI Entry'!B415</f>
        <v>0</v>
      </c>
      <c r="C414" s="47" t="n">
        <f aca="false">'Daily KPI Entry'!C415</f>
        <v>0</v>
      </c>
      <c r="D414" s="47" t="n">
        <f aca="false">'Daily KPI Entry'!D415</f>
        <v>0</v>
      </c>
      <c r="E414" s="47" t="n">
        <f aca="false">'Daily KPI Entry'!E415</f>
        <v>0</v>
      </c>
      <c r="F414" s="47" t="n">
        <f aca="false">'Daily KPI Entry'!F415</f>
        <v>0</v>
      </c>
      <c r="G414" s="47" t="n">
        <f aca="false">'Daily KPI Entry'!G415</f>
        <v>0</v>
      </c>
      <c r="H414" s="47" t="str">
        <f aca="false">'Daily KPI Entry'!H415</f>
        <v/>
      </c>
      <c r="I414" s="47" t="n">
        <f aca="false">'Daily KPI Entry'!I415</f>
        <v>0</v>
      </c>
      <c r="J414" s="47" t="n">
        <f aca="false">'Daily KPI Entry'!J415</f>
        <v>0</v>
      </c>
      <c r="K414" s="47" t="n">
        <f aca="false">'Daily KPI Entry'!K415</f>
        <v>0</v>
      </c>
      <c r="L414" s="47" t="n">
        <f aca="false">'Daily KPI Entry'!L415</f>
        <v>0</v>
      </c>
      <c r="M414" s="47" t="n">
        <f aca="false">'Daily KPI Entry'!M415</f>
        <v>0</v>
      </c>
      <c r="N414" s="49" t="n">
        <f aca="false">'Daily KPI Entry'!N415</f>
        <v>0</v>
      </c>
      <c r="O414" s="49" t="n">
        <f aca="false">'Daily KPI Entry'!O415</f>
        <v>0</v>
      </c>
      <c r="P414" s="49" t="str">
        <f aca="false">IF(OR(N414="",O414=""),"",IFERROR(O414/N414*100,0))</f>
        <v/>
      </c>
      <c r="Q414" s="47" t="n">
        <f aca="false">'Daily KPI Entry'!Q415</f>
        <v>8</v>
      </c>
      <c r="R414" s="47" t="str">
        <f aca="false">IF(J414="","",Q414*J414)</f>
        <v/>
      </c>
      <c r="S414" s="49" t="n">
        <f aca="false">'Daily KPI Entry'!S415</f>
        <v>0</v>
      </c>
      <c r="T414" s="49" t="str">
        <f aca="false">IF(OR(R414="",S414=""),"",IFERROR(S414/R414*100,0))</f>
        <v/>
      </c>
      <c r="U414" s="49" t="str">
        <f aca="false">IF(OR(O414="",L414="",M414="",S414="",M414=0),"",IFERROR(O414/(L414*60*S414/(M414*36))*100,0))</f>
        <v/>
      </c>
      <c r="V414" s="49" t="n">
        <f aca="false">'Daily KPI Entry'!V415</f>
        <v>0</v>
      </c>
      <c r="W414" s="49" t="str">
        <f aca="false">IF(O414="","",IFERROR(V414/O414*100,0))</f>
        <v/>
      </c>
      <c r="X414" s="49" t="n">
        <f aca="false">'Daily KPI Entry'!X415</f>
        <v>0</v>
      </c>
      <c r="Y414" s="49" t="n">
        <f aca="false">'Daily KPI Entry'!Y415</f>
        <v>0</v>
      </c>
      <c r="Z414" s="49" t="n">
        <f aca="false">'Daily KPI Entry'!Z415</f>
        <v>0</v>
      </c>
      <c r="AA414" s="49" t="n">
        <f aca="false">'Daily KPI Entry'!AA415</f>
        <v>0</v>
      </c>
      <c r="AB414" s="49" t="n">
        <f aca="false">'Daily KPI Entry'!AB415</f>
        <v>0</v>
      </c>
      <c r="AC414" s="49" t="n">
        <f aca="false">'Daily KPI Entry'!AC415</f>
        <v>0</v>
      </c>
      <c r="AD414" s="49" t="n">
        <f aca="false">'Daily KPI Entry'!AD415</f>
        <v>0</v>
      </c>
      <c r="AE414" s="49" t="n">
        <f aca="false">'Daily KPI Entry'!AE415</f>
        <v>0</v>
      </c>
      <c r="AF414" s="47" t="str">
        <f aca="false">IF(O414="","",SUM(X414:AE414))</f>
        <v/>
      </c>
      <c r="AG414" s="49" t="str">
        <f aca="false">IF(O414="","",IFERROR(AF414/O414*1000,0))</f>
        <v/>
      </c>
      <c r="AH414" s="49" t="n">
        <f aca="false">'Daily KPI Entry'!AH415</f>
        <v>0</v>
      </c>
      <c r="AI414" s="49" t="n">
        <f aca="false">'Daily KPI Entry'!AI415</f>
        <v>0</v>
      </c>
      <c r="AJ414" s="49" t="n">
        <f aca="false">'Daily KPI Entry'!AJ415</f>
        <v>0</v>
      </c>
      <c r="AK414" s="47" t="n">
        <f aca="false">'Daily KPI Entry'!AK415</f>
        <v>0</v>
      </c>
      <c r="AL414" s="47" t="n">
        <f aca="false">'Daily KPI Entry'!AL415</f>
        <v>0</v>
      </c>
      <c r="AM414" s="47" t="n">
        <f aca="false">'Daily KPI Entry'!AM415</f>
        <v>0</v>
      </c>
      <c r="AN414" s="49" t="str">
        <f aca="false">IF(P414="","",MIN(120,P414))</f>
        <v/>
      </c>
      <c r="AO414" s="49" t="str">
        <f aca="false">IF(U414="","",MIN(120,U414))</f>
        <v/>
      </c>
      <c r="AP414" s="49" t="str">
        <f aca="false">IF(R414="","",MIN(120,IFERROR(S414/R414*100,0)))</f>
        <v/>
      </c>
      <c r="AQ414" s="49" t="str">
        <f aca="false">IF(W414="","",MIN(120,IF(W414=0,120,100*(INDEX('Standards &amp; Scoring'!$E$5:$E$13,MATCH("Quality / Rejection",'Standards &amp; Scoring'!$A$5:$A$13,0))/W414))))</f>
        <v/>
      </c>
      <c r="AR414" s="49" t="str">
        <f aca="false">IF(AG414="","",MIN(120,IF(AG414=0,120,100*(INDEX('Standards &amp; Scoring'!$E$5:$E$13,MATCH("Fault Control",'Standards &amp; Scoring'!$A$5:$A$13,0))/AG414))))</f>
        <v/>
      </c>
      <c r="AS414" s="49" t="str">
        <f aca="false">IF(O414="","",MIN(120,IF(SUMIFS('Fault &amp; Downtime Entry'!$L$6:$L$1005,'Fault &amp; Downtime Entry'!$E$6:$E$1005,G414,'Fault &amp; Downtime Entry'!$B$6:$B$1005,B414)=0,120,100*(INDEX('Standards &amp; Scoring'!$E$5:$E$13,MATCH("Downtime Control",'Standards &amp; Scoring'!$A$5:$A$13,0))/IFERROR(SUMIFS('Fault &amp; Downtime Entry'!$L$6:$L$1005,'Fault &amp; Downtime Entry'!$E$6:$E$1005,G414,'Fault &amp; Downtime Entry'!$B$6:$B$1005,B414)/O414*1000,999999)))))</f>
        <v/>
      </c>
      <c r="AT414" s="49" t="n">
        <f aca="false">IF(COUNTA(AH414,AJ414)=0,"",MIN(120,IF(AND(AH414&lt;&gt;"",AJ414&lt;&gt;""),AVERAGE(AH414,AJ414),IF(AH414&lt;&gt;"",AH414,AJ414))))</f>
        <v>0</v>
      </c>
      <c r="AU414" s="49" t="str">
        <f aca="false">IF(AI414="","",MIN(120,AI414))</f>
        <v/>
      </c>
      <c r="AV414" s="49" t="str">
        <f aca="false">IF(AJ414="","",MIN(120,AJ414))</f>
        <v/>
      </c>
      <c r="AW414" s="50" t="str">
        <f aca="false">IF(COUNT(AN414:AV414)&lt;9,"",(AN414*'Standards &amp; Scoring'!$D$5+AO414*'Standards &amp; Scoring'!$D$6+AP414*'Standards &amp; Scoring'!$D$7+AQ414*'Standards &amp; Scoring'!$D$8+AR414*'Standards &amp; Scoring'!$D$9+AS414*'Standards &amp; Scoring'!$D$10+AT414*'Standards &amp; Scoring'!$D$11+AU414*'Standards &amp; Scoring'!$D$12+AV414*'Standards &amp; Scoring'!$D$13)/10000)</f>
        <v/>
      </c>
      <c r="AX414" s="47" t="str">
        <f aca="false">IF(AW414="","",IF(AW414&gt;=1.05,"A+",IF(AW414&gt;=1,"A",IF(AW414&gt;=0.95,"B+",IF(AW414&gt;=0.9,"B","C")))))</f>
        <v/>
      </c>
      <c r="AY414" s="47" t="str">
        <f aca="false">IF(AX414="","",IF(AX414="A+",1800,IF(AX414="A",1600,IF(AX414="B+",1400,IF(AX414="B",1200,0)))))</f>
        <v/>
      </c>
      <c r="AZ414" s="49" t="str">
        <f aca="false">IF(OR(L414="",M414="",S414="",M414=0),"",IFERROR(L414*60*S414/(M414*36),0))</f>
        <v/>
      </c>
    </row>
    <row r="415" customFormat="false" ht="15" hidden="false" customHeight="true" outlineLevel="0" collapsed="false">
      <c r="A415" s="47" t="n">
        <f aca="false">'Daily KPI Entry'!A416</f>
        <v>0</v>
      </c>
      <c r="B415" s="48" t="n">
        <f aca="false">'Daily KPI Entry'!B416</f>
        <v>0</v>
      </c>
      <c r="C415" s="47" t="n">
        <f aca="false">'Daily KPI Entry'!C416</f>
        <v>0</v>
      </c>
      <c r="D415" s="47" t="n">
        <f aca="false">'Daily KPI Entry'!D416</f>
        <v>0</v>
      </c>
      <c r="E415" s="47" t="n">
        <f aca="false">'Daily KPI Entry'!E416</f>
        <v>0</v>
      </c>
      <c r="F415" s="47" t="n">
        <f aca="false">'Daily KPI Entry'!F416</f>
        <v>0</v>
      </c>
      <c r="G415" s="47" t="n">
        <f aca="false">'Daily KPI Entry'!G416</f>
        <v>0</v>
      </c>
      <c r="H415" s="47" t="str">
        <f aca="false">'Daily KPI Entry'!H416</f>
        <v/>
      </c>
      <c r="I415" s="47" t="n">
        <f aca="false">'Daily KPI Entry'!I416</f>
        <v>0</v>
      </c>
      <c r="J415" s="47" t="n">
        <f aca="false">'Daily KPI Entry'!J416</f>
        <v>0</v>
      </c>
      <c r="K415" s="47" t="n">
        <f aca="false">'Daily KPI Entry'!K416</f>
        <v>0</v>
      </c>
      <c r="L415" s="47" t="n">
        <f aca="false">'Daily KPI Entry'!L416</f>
        <v>0</v>
      </c>
      <c r="M415" s="47" t="n">
        <f aca="false">'Daily KPI Entry'!M416</f>
        <v>0</v>
      </c>
      <c r="N415" s="49" t="n">
        <f aca="false">'Daily KPI Entry'!N416</f>
        <v>0</v>
      </c>
      <c r="O415" s="49" t="n">
        <f aca="false">'Daily KPI Entry'!O416</f>
        <v>0</v>
      </c>
      <c r="P415" s="49" t="str">
        <f aca="false">IF(OR(N415="",O415=""),"",IFERROR(O415/N415*100,0))</f>
        <v/>
      </c>
      <c r="Q415" s="47" t="n">
        <f aca="false">'Daily KPI Entry'!Q416</f>
        <v>8</v>
      </c>
      <c r="R415" s="47" t="str">
        <f aca="false">IF(J415="","",Q415*J415)</f>
        <v/>
      </c>
      <c r="S415" s="49" t="n">
        <f aca="false">'Daily KPI Entry'!S416</f>
        <v>0</v>
      </c>
      <c r="T415" s="49" t="str">
        <f aca="false">IF(OR(R415="",S415=""),"",IFERROR(S415/R415*100,0))</f>
        <v/>
      </c>
      <c r="U415" s="49" t="str">
        <f aca="false">IF(OR(O415="",L415="",M415="",S415="",M415=0),"",IFERROR(O415/(L415*60*S415/(M415*36))*100,0))</f>
        <v/>
      </c>
      <c r="V415" s="49" t="n">
        <f aca="false">'Daily KPI Entry'!V416</f>
        <v>0</v>
      </c>
      <c r="W415" s="49" t="str">
        <f aca="false">IF(O415="","",IFERROR(V415/O415*100,0))</f>
        <v/>
      </c>
      <c r="X415" s="49" t="n">
        <f aca="false">'Daily KPI Entry'!X416</f>
        <v>0</v>
      </c>
      <c r="Y415" s="49" t="n">
        <f aca="false">'Daily KPI Entry'!Y416</f>
        <v>0</v>
      </c>
      <c r="Z415" s="49" t="n">
        <f aca="false">'Daily KPI Entry'!Z416</f>
        <v>0</v>
      </c>
      <c r="AA415" s="49" t="n">
        <f aca="false">'Daily KPI Entry'!AA416</f>
        <v>0</v>
      </c>
      <c r="AB415" s="49" t="n">
        <f aca="false">'Daily KPI Entry'!AB416</f>
        <v>0</v>
      </c>
      <c r="AC415" s="49" t="n">
        <f aca="false">'Daily KPI Entry'!AC416</f>
        <v>0</v>
      </c>
      <c r="AD415" s="49" t="n">
        <f aca="false">'Daily KPI Entry'!AD416</f>
        <v>0</v>
      </c>
      <c r="AE415" s="49" t="n">
        <f aca="false">'Daily KPI Entry'!AE416</f>
        <v>0</v>
      </c>
      <c r="AF415" s="47" t="str">
        <f aca="false">IF(O415="","",SUM(X415:AE415))</f>
        <v/>
      </c>
      <c r="AG415" s="49" t="str">
        <f aca="false">IF(O415="","",IFERROR(AF415/O415*1000,0))</f>
        <v/>
      </c>
      <c r="AH415" s="49" t="n">
        <f aca="false">'Daily KPI Entry'!AH416</f>
        <v>0</v>
      </c>
      <c r="AI415" s="49" t="n">
        <f aca="false">'Daily KPI Entry'!AI416</f>
        <v>0</v>
      </c>
      <c r="AJ415" s="49" t="n">
        <f aca="false">'Daily KPI Entry'!AJ416</f>
        <v>0</v>
      </c>
      <c r="AK415" s="47" t="n">
        <f aca="false">'Daily KPI Entry'!AK416</f>
        <v>0</v>
      </c>
      <c r="AL415" s="47" t="n">
        <f aca="false">'Daily KPI Entry'!AL416</f>
        <v>0</v>
      </c>
      <c r="AM415" s="47" t="n">
        <f aca="false">'Daily KPI Entry'!AM416</f>
        <v>0</v>
      </c>
      <c r="AN415" s="49" t="str">
        <f aca="false">IF(P415="","",MIN(120,P415))</f>
        <v/>
      </c>
      <c r="AO415" s="49" t="str">
        <f aca="false">IF(U415="","",MIN(120,U415))</f>
        <v/>
      </c>
      <c r="AP415" s="49" t="str">
        <f aca="false">IF(R415="","",MIN(120,IFERROR(S415/R415*100,0)))</f>
        <v/>
      </c>
      <c r="AQ415" s="49" t="str">
        <f aca="false">IF(W415="","",MIN(120,IF(W415=0,120,100*(INDEX('Standards &amp; Scoring'!$E$5:$E$13,MATCH("Quality / Rejection",'Standards &amp; Scoring'!$A$5:$A$13,0))/W415))))</f>
        <v/>
      </c>
      <c r="AR415" s="49" t="str">
        <f aca="false">IF(AG415="","",MIN(120,IF(AG415=0,120,100*(INDEX('Standards &amp; Scoring'!$E$5:$E$13,MATCH("Fault Control",'Standards &amp; Scoring'!$A$5:$A$13,0))/AG415))))</f>
        <v/>
      </c>
      <c r="AS415" s="49" t="str">
        <f aca="false">IF(O415="","",MIN(120,IF(SUMIFS('Fault &amp; Downtime Entry'!$L$6:$L$1005,'Fault &amp; Downtime Entry'!$E$6:$E$1005,G415,'Fault &amp; Downtime Entry'!$B$6:$B$1005,B415)=0,120,100*(INDEX('Standards &amp; Scoring'!$E$5:$E$13,MATCH("Downtime Control",'Standards &amp; Scoring'!$A$5:$A$13,0))/IFERROR(SUMIFS('Fault &amp; Downtime Entry'!$L$6:$L$1005,'Fault &amp; Downtime Entry'!$E$6:$E$1005,G415,'Fault &amp; Downtime Entry'!$B$6:$B$1005,B415)/O415*1000,999999)))))</f>
        <v/>
      </c>
      <c r="AT415" s="49" t="n">
        <f aca="false">IF(COUNTA(AH415,AJ415)=0,"",MIN(120,IF(AND(AH415&lt;&gt;"",AJ415&lt;&gt;""),AVERAGE(AH415,AJ415),IF(AH415&lt;&gt;"",AH415,AJ415))))</f>
        <v>0</v>
      </c>
      <c r="AU415" s="49" t="str">
        <f aca="false">IF(AI415="","",MIN(120,AI415))</f>
        <v/>
      </c>
      <c r="AV415" s="49" t="str">
        <f aca="false">IF(AJ415="","",MIN(120,AJ415))</f>
        <v/>
      </c>
      <c r="AW415" s="50" t="str">
        <f aca="false">IF(COUNT(AN415:AV415)&lt;9,"",(AN415*'Standards &amp; Scoring'!$D$5+AO415*'Standards &amp; Scoring'!$D$6+AP415*'Standards &amp; Scoring'!$D$7+AQ415*'Standards &amp; Scoring'!$D$8+AR415*'Standards &amp; Scoring'!$D$9+AS415*'Standards &amp; Scoring'!$D$10+AT415*'Standards &amp; Scoring'!$D$11+AU415*'Standards &amp; Scoring'!$D$12+AV415*'Standards &amp; Scoring'!$D$13)/10000)</f>
        <v/>
      </c>
      <c r="AX415" s="47" t="str">
        <f aca="false">IF(AW415="","",IF(AW415&gt;=1.05,"A+",IF(AW415&gt;=1,"A",IF(AW415&gt;=0.95,"B+",IF(AW415&gt;=0.9,"B","C")))))</f>
        <v/>
      </c>
      <c r="AY415" s="47" t="str">
        <f aca="false">IF(AX415="","",IF(AX415="A+",1800,IF(AX415="A",1600,IF(AX415="B+",1400,IF(AX415="B",1200,0)))))</f>
        <v/>
      </c>
      <c r="AZ415" s="49" t="str">
        <f aca="false">IF(OR(L415="",M415="",S415="",M415=0),"",IFERROR(L415*60*S415/(M415*36),0))</f>
        <v/>
      </c>
    </row>
    <row r="416" customFormat="false" ht="15" hidden="false" customHeight="true" outlineLevel="0" collapsed="false">
      <c r="A416" s="47" t="n">
        <f aca="false">'Daily KPI Entry'!A417</f>
        <v>0</v>
      </c>
      <c r="B416" s="48" t="n">
        <f aca="false">'Daily KPI Entry'!B417</f>
        <v>0</v>
      </c>
      <c r="C416" s="47" t="n">
        <f aca="false">'Daily KPI Entry'!C417</f>
        <v>0</v>
      </c>
      <c r="D416" s="47" t="n">
        <f aca="false">'Daily KPI Entry'!D417</f>
        <v>0</v>
      </c>
      <c r="E416" s="47" t="n">
        <f aca="false">'Daily KPI Entry'!E417</f>
        <v>0</v>
      </c>
      <c r="F416" s="47" t="n">
        <f aca="false">'Daily KPI Entry'!F417</f>
        <v>0</v>
      </c>
      <c r="G416" s="47" t="n">
        <f aca="false">'Daily KPI Entry'!G417</f>
        <v>0</v>
      </c>
      <c r="H416" s="47" t="str">
        <f aca="false">'Daily KPI Entry'!H417</f>
        <v/>
      </c>
      <c r="I416" s="47" t="n">
        <f aca="false">'Daily KPI Entry'!I417</f>
        <v>0</v>
      </c>
      <c r="J416" s="47" t="n">
        <f aca="false">'Daily KPI Entry'!J417</f>
        <v>0</v>
      </c>
      <c r="K416" s="47" t="n">
        <f aca="false">'Daily KPI Entry'!K417</f>
        <v>0</v>
      </c>
      <c r="L416" s="47" t="n">
        <f aca="false">'Daily KPI Entry'!L417</f>
        <v>0</v>
      </c>
      <c r="M416" s="47" t="n">
        <f aca="false">'Daily KPI Entry'!M417</f>
        <v>0</v>
      </c>
      <c r="N416" s="49" t="n">
        <f aca="false">'Daily KPI Entry'!N417</f>
        <v>0</v>
      </c>
      <c r="O416" s="49" t="n">
        <f aca="false">'Daily KPI Entry'!O417</f>
        <v>0</v>
      </c>
      <c r="P416" s="49" t="str">
        <f aca="false">IF(OR(N416="",O416=""),"",IFERROR(O416/N416*100,0))</f>
        <v/>
      </c>
      <c r="Q416" s="47" t="n">
        <f aca="false">'Daily KPI Entry'!Q417</f>
        <v>8</v>
      </c>
      <c r="R416" s="47" t="str">
        <f aca="false">IF(J416="","",Q416*J416)</f>
        <v/>
      </c>
      <c r="S416" s="49" t="n">
        <f aca="false">'Daily KPI Entry'!S417</f>
        <v>0</v>
      </c>
      <c r="T416" s="49" t="str">
        <f aca="false">IF(OR(R416="",S416=""),"",IFERROR(S416/R416*100,0))</f>
        <v/>
      </c>
      <c r="U416" s="49" t="str">
        <f aca="false">IF(OR(O416="",L416="",M416="",S416="",M416=0),"",IFERROR(O416/(L416*60*S416/(M416*36))*100,0))</f>
        <v/>
      </c>
      <c r="V416" s="49" t="n">
        <f aca="false">'Daily KPI Entry'!V417</f>
        <v>0</v>
      </c>
      <c r="W416" s="49" t="str">
        <f aca="false">IF(O416="","",IFERROR(V416/O416*100,0))</f>
        <v/>
      </c>
      <c r="X416" s="49" t="n">
        <f aca="false">'Daily KPI Entry'!X417</f>
        <v>0</v>
      </c>
      <c r="Y416" s="49" t="n">
        <f aca="false">'Daily KPI Entry'!Y417</f>
        <v>0</v>
      </c>
      <c r="Z416" s="49" t="n">
        <f aca="false">'Daily KPI Entry'!Z417</f>
        <v>0</v>
      </c>
      <c r="AA416" s="49" t="n">
        <f aca="false">'Daily KPI Entry'!AA417</f>
        <v>0</v>
      </c>
      <c r="AB416" s="49" t="n">
        <f aca="false">'Daily KPI Entry'!AB417</f>
        <v>0</v>
      </c>
      <c r="AC416" s="49" t="n">
        <f aca="false">'Daily KPI Entry'!AC417</f>
        <v>0</v>
      </c>
      <c r="AD416" s="49" t="n">
        <f aca="false">'Daily KPI Entry'!AD417</f>
        <v>0</v>
      </c>
      <c r="AE416" s="49" t="n">
        <f aca="false">'Daily KPI Entry'!AE417</f>
        <v>0</v>
      </c>
      <c r="AF416" s="47" t="str">
        <f aca="false">IF(O416="","",SUM(X416:AE416))</f>
        <v/>
      </c>
      <c r="AG416" s="49" t="str">
        <f aca="false">IF(O416="","",IFERROR(AF416/O416*1000,0))</f>
        <v/>
      </c>
      <c r="AH416" s="49" t="n">
        <f aca="false">'Daily KPI Entry'!AH417</f>
        <v>0</v>
      </c>
      <c r="AI416" s="49" t="n">
        <f aca="false">'Daily KPI Entry'!AI417</f>
        <v>0</v>
      </c>
      <c r="AJ416" s="49" t="n">
        <f aca="false">'Daily KPI Entry'!AJ417</f>
        <v>0</v>
      </c>
      <c r="AK416" s="47" t="n">
        <f aca="false">'Daily KPI Entry'!AK417</f>
        <v>0</v>
      </c>
      <c r="AL416" s="47" t="n">
        <f aca="false">'Daily KPI Entry'!AL417</f>
        <v>0</v>
      </c>
      <c r="AM416" s="47" t="n">
        <f aca="false">'Daily KPI Entry'!AM417</f>
        <v>0</v>
      </c>
      <c r="AN416" s="49" t="str">
        <f aca="false">IF(P416="","",MIN(120,P416))</f>
        <v/>
      </c>
      <c r="AO416" s="49" t="str">
        <f aca="false">IF(U416="","",MIN(120,U416))</f>
        <v/>
      </c>
      <c r="AP416" s="49" t="str">
        <f aca="false">IF(R416="","",MIN(120,IFERROR(S416/R416*100,0)))</f>
        <v/>
      </c>
      <c r="AQ416" s="49" t="str">
        <f aca="false">IF(W416="","",MIN(120,IF(W416=0,120,100*(INDEX('Standards &amp; Scoring'!$E$5:$E$13,MATCH("Quality / Rejection",'Standards &amp; Scoring'!$A$5:$A$13,0))/W416))))</f>
        <v/>
      </c>
      <c r="AR416" s="49" t="str">
        <f aca="false">IF(AG416="","",MIN(120,IF(AG416=0,120,100*(INDEX('Standards &amp; Scoring'!$E$5:$E$13,MATCH("Fault Control",'Standards &amp; Scoring'!$A$5:$A$13,0))/AG416))))</f>
        <v/>
      </c>
      <c r="AS416" s="49" t="str">
        <f aca="false">IF(O416="","",MIN(120,IF(SUMIFS('Fault &amp; Downtime Entry'!$L$6:$L$1005,'Fault &amp; Downtime Entry'!$E$6:$E$1005,G416,'Fault &amp; Downtime Entry'!$B$6:$B$1005,B416)=0,120,100*(INDEX('Standards &amp; Scoring'!$E$5:$E$13,MATCH("Downtime Control",'Standards &amp; Scoring'!$A$5:$A$13,0))/IFERROR(SUMIFS('Fault &amp; Downtime Entry'!$L$6:$L$1005,'Fault &amp; Downtime Entry'!$E$6:$E$1005,G416,'Fault &amp; Downtime Entry'!$B$6:$B$1005,B416)/O416*1000,999999)))))</f>
        <v/>
      </c>
      <c r="AT416" s="49" t="n">
        <f aca="false">IF(COUNTA(AH416,AJ416)=0,"",MIN(120,IF(AND(AH416&lt;&gt;"",AJ416&lt;&gt;""),AVERAGE(AH416,AJ416),IF(AH416&lt;&gt;"",AH416,AJ416))))</f>
        <v>0</v>
      </c>
      <c r="AU416" s="49" t="str">
        <f aca="false">IF(AI416="","",MIN(120,AI416))</f>
        <v/>
      </c>
      <c r="AV416" s="49" t="str">
        <f aca="false">IF(AJ416="","",MIN(120,AJ416))</f>
        <v/>
      </c>
      <c r="AW416" s="50" t="str">
        <f aca="false">IF(COUNT(AN416:AV416)&lt;9,"",(AN416*'Standards &amp; Scoring'!$D$5+AO416*'Standards &amp; Scoring'!$D$6+AP416*'Standards &amp; Scoring'!$D$7+AQ416*'Standards &amp; Scoring'!$D$8+AR416*'Standards &amp; Scoring'!$D$9+AS416*'Standards &amp; Scoring'!$D$10+AT416*'Standards &amp; Scoring'!$D$11+AU416*'Standards &amp; Scoring'!$D$12+AV416*'Standards &amp; Scoring'!$D$13)/10000)</f>
        <v/>
      </c>
      <c r="AX416" s="47" t="str">
        <f aca="false">IF(AW416="","",IF(AW416&gt;=1.05,"A+",IF(AW416&gt;=1,"A",IF(AW416&gt;=0.95,"B+",IF(AW416&gt;=0.9,"B","C")))))</f>
        <v/>
      </c>
      <c r="AY416" s="47" t="str">
        <f aca="false">IF(AX416="","",IF(AX416="A+",1800,IF(AX416="A",1600,IF(AX416="B+",1400,IF(AX416="B",1200,0)))))</f>
        <v/>
      </c>
      <c r="AZ416" s="49" t="str">
        <f aca="false">IF(OR(L416="",M416="",S416="",M416=0),"",IFERROR(L416*60*S416/(M416*36),0))</f>
        <v/>
      </c>
    </row>
    <row r="417" customFormat="false" ht="15" hidden="false" customHeight="true" outlineLevel="0" collapsed="false">
      <c r="A417" s="47" t="n">
        <f aca="false">'Daily KPI Entry'!A418</f>
        <v>0</v>
      </c>
      <c r="B417" s="48" t="n">
        <f aca="false">'Daily KPI Entry'!B418</f>
        <v>0</v>
      </c>
      <c r="C417" s="47" t="n">
        <f aca="false">'Daily KPI Entry'!C418</f>
        <v>0</v>
      </c>
      <c r="D417" s="47" t="n">
        <f aca="false">'Daily KPI Entry'!D418</f>
        <v>0</v>
      </c>
      <c r="E417" s="47" t="n">
        <f aca="false">'Daily KPI Entry'!E418</f>
        <v>0</v>
      </c>
      <c r="F417" s="47" t="n">
        <f aca="false">'Daily KPI Entry'!F418</f>
        <v>0</v>
      </c>
      <c r="G417" s="47" t="n">
        <f aca="false">'Daily KPI Entry'!G418</f>
        <v>0</v>
      </c>
      <c r="H417" s="47" t="str">
        <f aca="false">'Daily KPI Entry'!H418</f>
        <v/>
      </c>
      <c r="I417" s="47" t="n">
        <f aca="false">'Daily KPI Entry'!I418</f>
        <v>0</v>
      </c>
      <c r="J417" s="47" t="n">
        <f aca="false">'Daily KPI Entry'!J418</f>
        <v>0</v>
      </c>
      <c r="K417" s="47" t="n">
        <f aca="false">'Daily KPI Entry'!K418</f>
        <v>0</v>
      </c>
      <c r="L417" s="47" t="n">
        <f aca="false">'Daily KPI Entry'!L418</f>
        <v>0</v>
      </c>
      <c r="M417" s="47" t="n">
        <f aca="false">'Daily KPI Entry'!M418</f>
        <v>0</v>
      </c>
      <c r="N417" s="49" t="n">
        <f aca="false">'Daily KPI Entry'!N418</f>
        <v>0</v>
      </c>
      <c r="O417" s="49" t="n">
        <f aca="false">'Daily KPI Entry'!O418</f>
        <v>0</v>
      </c>
      <c r="P417" s="49" t="str">
        <f aca="false">IF(OR(N417="",O417=""),"",IFERROR(O417/N417*100,0))</f>
        <v/>
      </c>
      <c r="Q417" s="47" t="n">
        <f aca="false">'Daily KPI Entry'!Q418</f>
        <v>8</v>
      </c>
      <c r="R417" s="47" t="str">
        <f aca="false">IF(J417="","",Q417*J417)</f>
        <v/>
      </c>
      <c r="S417" s="49" t="n">
        <f aca="false">'Daily KPI Entry'!S418</f>
        <v>0</v>
      </c>
      <c r="T417" s="49" t="str">
        <f aca="false">IF(OR(R417="",S417=""),"",IFERROR(S417/R417*100,0))</f>
        <v/>
      </c>
      <c r="U417" s="49" t="str">
        <f aca="false">IF(OR(O417="",L417="",M417="",S417="",M417=0),"",IFERROR(O417/(L417*60*S417/(M417*36))*100,0))</f>
        <v/>
      </c>
      <c r="V417" s="49" t="n">
        <f aca="false">'Daily KPI Entry'!V418</f>
        <v>0</v>
      </c>
      <c r="W417" s="49" t="str">
        <f aca="false">IF(O417="","",IFERROR(V417/O417*100,0))</f>
        <v/>
      </c>
      <c r="X417" s="49" t="n">
        <f aca="false">'Daily KPI Entry'!X418</f>
        <v>0</v>
      </c>
      <c r="Y417" s="49" t="n">
        <f aca="false">'Daily KPI Entry'!Y418</f>
        <v>0</v>
      </c>
      <c r="Z417" s="49" t="n">
        <f aca="false">'Daily KPI Entry'!Z418</f>
        <v>0</v>
      </c>
      <c r="AA417" s="49" t="n">
        <f aca="false">'Daily KPI Entry'!AA418</f>
        <v>0</v>
      </c>
      <c r="AB417" s="49" t="n">
        <f aca="false">'Daily KPI Entry'!AB418</f>
        <v>0</v>
      </c>
      <c r="AC417" s="49" t="n">
        <f aca="false">'Daily KPI Entry'!AC418</f>
        <v>0</v>
      </c>
      <c r="AD417" s="49" t="n">
        <f aca="false">'Daily KPI Entry'!AD418</f>
        <v>0</v>
      </c>
      <c r="AE417" s="49" t="n">
        <f aca="false">'Daily KPI Entry'!AE418</f>
        <v>0</v>
      </c>
      <c r="AF417" s="47" t="str">
        <f aca="false">IF(O417="","",SUM(X417:AE417))</f>
        <v/>
      </c>
      <c r="AG417" s="49" t="str">
        <f aca="false">IF(O417="","",IFERROR(AF417/O417*1000,0))</f>
        <v/>
      </c>
      <c r="AH417" s="49" t="n">
        <f aca="false">'Daily KPI Entry'!AH418</f>
        <v>0</v>
      </c>
      <c r="AI417" s="49" t="n">
        <f aca="false">'Daily KPI Entry'!AI418</f>
        <v>0</v>
      </c>
      <c r="AJ417" s="49" t="n">
        <f aca="false">'Daily KPI Entry'!AJ418</f>
        <v>0</v>
      </c>
      <c r="AK417" s="47" t="n">
        <f aca="false">'Daily KPI Entry'!AK418</f>
        <v>0</v>
      </c>
      <c r="AL417" s="47" t="n">
        <f aca="false">'Daily KPI Entry'!AL418</f>
        <v>0</v>
      </c>
      <c r="AM417" s="47" t="n">
        <f aca="false">'Daily KPI Entry'!AM418</f>
        <v>0</v>
      </c>
      <c r="AN417" s="49" t="str">
        <f aca="false">IF(P417="","",MIN(120,P417))</f>
        <v/>
      </c>
      <c r="AO417" s="49" t="str">
        <f aca="false">IF(U417="","",MIN(120,U417))</f>
        <v/>
      </c>
      <c r="AP417" s="49" t="str">
        <f aca="false">IF(R417="","",MIN(120,IFERROR(S417/R417*100,0)))</f>
        <v/>
      </c>
      <c r="AQ417" s="49" t="str">
        <f aca="false">IF(W417="","",MIN(120,IF(W417=0,120,100*(INDEX('Standards &amp; Scoring'!$E$5:$E$13,MATCH("Quality / Rejection",'Standards &amp; Scoring'!$A$5:$A$13,0))/W417))))</f>
        <v/>
      </c>
      <c r="AR417" s="49" t="str">
        <f aca="false">IF(AG417="","",MIN(120,IF(AG417=0,120,100*(INDEX('Standards &amp; Scoring'!$E$5:$E$13,MATCH("Fault Control",'Standards &amp; Scoring'!$A$5:$A$13,0))/AG417))))</f>
        <v/>
      </c>
      <c r="AS417" s="49" t="str">
        <f aca="false">IF(O417="","",MIN(120,IF(SUMIFS('Fault &amp; Downtime Entry'!$L$6:$L$1005,'Fault &amp; Downtime Entry'!$E$6:$E$1005,G417,'Fault &amp; Downtime Entry'!$B$6:$B$1005,B417)=0,120,100*(INDEX('Standards &amp; Scoring'!$E$5:$E$13,MATCH("Downtime Control",'Standards &amp; Scoring'!$A$5:$A$13,0))/IFERROR(SUMIFS('Fault &amp; Downtime Entry'!$L$6:$L$1005,'Fault &amp; Downtime Entry'!$E$6:$E$1005,G417,'Fault &amp; Downtime Entry'!$B$6:$B$1005,B417)/O417*1000,999999)))))</f>
        <v/>
      </c>
      <c r="AT417" s="49" t="n">
        <f aca="false">IF(COUNTA(AH417,AJ417)=0,"",MIN(120,IF(AND(AH417&lt;&gt;"",AJ417&lt;&gt;""),AVERAGE(AH417,AJ417),IF(AH417&lt;&gt;"",AH417,AJ417))))</f>
        <v>0</v>
      </c>
      <c r="AU417" s="49" t="str">
        <f aca="false">IF(AI417="","",MIN(120,AI417))</f>
        <v/>
      </c>
      <c r="AV417" s="49" t="str">
        <f aca="false">IF(AJ417="","",MIN(120,AJ417))</f>
        <v/>
      </c>
      <c r="AW417" s="50" t="str">
        <f aca="false">IF(COUNT(AN417:AV417)&lt;9,"",(AN417*'Standards &amp; Scoring'!$D$5+AO417*'Standards &amp; Scoring'!$D$6+AP417*'Standards &amp; Scoring'!$D$7+AQ417*'Standards &amp; Scoring'!$D$8+AR417*'Standards &amp; Scoring'!$D$9+AS417*'Standards &amp; Scoring'!$D$10+AT417*'Standards &amp; Scoring'!$D$11+AU417*'Standards &amp; Scoring'!$D$12+AV417*'Standards &amp; Scoring'!$D$13)/10000)</f>
        <v/>
      </c>
      <c r="AX417" s="47" t="str">
        <f aca="false">IF(AW417="","",IF(AW417&gt;=1.05,"A+",IF(AW417&gt;=1,"A",IF(AW417&gt;=0.95,"B+",IF(AW417&gt;=0.9,"B","C")))))</f>
        <v/>
      </c>
      <c r="AY417" s="47" t="str">
        <f aca="false">IF(AX417="","",IF(AX417="A+",1800,IF(AX417="A",1600,IF(AX417="B+",1400,IF(AX417="B",1200,0)))))</f>
        <v/>
      </c>
      <c r="AZ417" s="49" t="str">
        <f aca="false">IF(OR(L417="",M417="",S417="",M417=0),"",IFERROR(L417*60*S417/(M417*36),0))</f>
        <v/>
      </c>
    </row>
    <row r="418" customFormat="false" ht="15" hidden="false" customHeight="true" outlineLevel="0" collapsed="false">
      <c r="A418" s="47" t="n">
        <f aca="false">'Daily KPI Entry'!A419</f>
        <v>0</v>
      </c>
      <c r="B418" s="48" t="n">
        <f aca="false">'Daily KPI Entry'!B419</f>
        <v>0</v>
      </c>
      <c r="C418" s="47" t="n">
        <f aca="false">'Daily KPI Entry'!C419</f>
        <v>0</v>
      </c>
      <c r="D418" s="47" t="n">
        <f aca="false">'Daily KPI Entry'!D419</f>
        <v>0</v>
      </c>
      <c r="E418" s="47" t="n">
        <f aca="false">'Daily KPI Entry'!E419</f>
        <v>0</v>
      </c>
      <c r="F418" s="47" t="n">
        <f aca="false">'Daily KPI Entry'!F419</f>
        <v>0</v>
      </c>
      <c r="G418" s="47" t="n">
        <f aca="false">'Daily KPI Entry'!G419</f>
        <v>0</v>
      </c>
      <c r="H418" s="47" t="str">
        <f aca="false">'Daily KPI Entry'!H419</f>
        <v/>
      </c>
      <c r="I418" s="47" t="n">
        <f aca="false">'Daily KPI Entry'!I419</f>
        <v>0</v>
      </c>
      <c r="J418" s="47" t="n">
        <f aca="false">'Daily KPI Entry'!J419</f>
        <v>0</v>
      </c>
      <c r="K418" s="47" t="n">
        <f aca="false">'Daily KPI Entry'!K419</f>
        <v>0</v>
      </c>
      <c r="L418" s="47" t="n">
        <f aca="false">'Daily KPI Entry'!L419</f>
        <v>0</v>
      </c>
      <c r="M418" s="47" t="n">
        <f aca="false">'Daily KPI Entry'!M419</f>
        <v>0</v>
      </c>
      <c r="N418" s="49" t="n">
        <f aca="false">'Daily KPI Entry'!N419</f>
        <v>0</v>
      </c>
      <c r="O418" s="49" t="n">
        <f aca="false">'Daily KPI Entry'!O419</f>
        <v>0</v>
      </c>
      <c r="P418" s="49" t="str">
        <f aca="false">IF(OR(N418="",O418=""),"",IFERROR(O418/N418*100,0))</f>
        <v/>
      </c>
      <c r="Q418" s="47" t="n">
        <f aca="false">'Daily KPI Entry'!Q419</f>
        <v>8</v>
      </c>
      <c r="R418" s="47" t="str">
        <f aca="false">IF(J418="","",Q418*J418)</f>
        <v/>
      </c>
      <c r="S418" s="49" t="n">
        <f aca="false">'Daily KPI Entry'!S419</f>
        <v>0</v>
      </c>
      <c r="T418" s="49" t="str">
        <f aca="false">IF(OR(R418="",S418=""),"",IFERROR(S418/R418*100,0))</f>
        <v/>
      </c>
      <c r="U418" s="49" t="str">
        <f aca="false">IF(OR(O418="",L418="",M418="",S418="",M418=0),"",IFERROR(O418/(L418*60*S418/(M418*36))*100,0))</f>
        <v/>
      </c>
      <c r="V418" s="49" t="n">
        <f aca="false">'Daily KPI Entry'!V419</f>
        <v>0</v>
      </c>
      <c r="W418" s="49" t="str">
        <f aca="false">IF(O418="","",IFERROR(V418/O418*100,0))</f>
        <v/>
      </c>
      <c r="X418" s="49" t="n">
        <f aca="false">'Daily KPI Entry'!X419</f>
        <v>0</v>
      </c>
      <c r="Y418" s="49" t="n">
        <f aca="false">'Daily KPI Entry'!Y419</f>
        <v>0</v>
      </c>
      <c r="Z418" s="49" t="n">
        <f aca="false">'Daily KPI Entry'!Z419</f>
        <v>0</v>
      </c>
      <c r="AA418" s="49" t="n">
        <f aca="false">'Daily KPI Entry'!AA419</f>
        <v>0</v>
      </c>
      <c r="AB418" s="49" t="n">
        <f aca="false">'Daily KPI Entry'!AB419</f>
        <v>0</v>
      </c>
      <c r="AC418" s="49" t="n">
        <f aca="false">'Daily KPI Entry'!AC419</f>
        <v>0</v>
      </c>
      <c r="AD418" s="49" t="n">
        <f aca="false">'Daily KPI Entry'!AD419</f>
        <v>0</v>
      </c>
      <c r="AE418" s="49" t="n">
        <f aca="false">'Daily KPI Entry'!AE419</f>
        <v>0</v>
      </c>
      <c r="AF418" s="47" t="str">
        <f aca="false">IF(O418="","",SUM(X418:AE418))</f>
        <v/>
      </c>
      <c r="AG418" s="49" t="str">
        <f aca="false">IF(O418="","",IFERROR(AF418/O418*1000,0))</f>
        <v/>
      </c>
      <c r="AH418" s="49" t="n">
        <f aca="false">'Daily KPI Entry'!AH419</f>
        <v>0</v>
      </c>
      <c r="AI418" s="49" t="n">
        <f aca="false">'Daily KPI Entry'!AI419</f>
        <v>0</v>
      </c>
      <c r="AJ418" s="49" t="n">
        <f aca="false">'Daily KPI Entry'!AJ419</f>
        <v>0</v>
      </c>
      <c r="AK418" s="47" t="n">
        <f aca="false">'Daily KPI Entry'!AK419</f>
        <v>0</v>
      </c>
      <c r="AL418" s="47" t="n">
        <f aca="false">'Daily KPI Entry'!AL419</f>
        <v>0</v>
      </c>
      <c r="AM418" s="47" t="n">
        <f aca="false">'Daily KPI Entry'!AM419</f>
        <v>0</v>
      </c>
      <c r="AN418" s="49" t="str">
        <f aca="false">IF(P418="","",MIN(120,P418))</f>
        <v/>
      </c>
      <c r="AO418" s="49" t="str">
        <f aca="false">IF(U418="","",MIN(120,U418))</f>
        <v/>
      </c>
      <c r="AP418" s="49" t="str">
        <f aca="false">IF(R418="","",MIN(120,IFERROR(S418/R418*100,0)))</f>
        <v/>
      </c>
      <c r="AQ418" s="49" t="str">
        <f aca="false">IF(W418="","",MIN(120,IF(W418=0,120,100*(INDEX('Standards &amp; Scoring'!$E$5:$E$13,MATCH("Quality / Rejection",'Standards &amp; Scoring'!$A$5:$A$13,0))/W418))))</f>
        <v/>
      </c>
      <c r="AR418" s="49" t="str">
        <f aca="false">IF(AG418="","",MIN(120,IF(AG418=0,120,100*(INDEX('Standards &amp; Scoring'!$E$5:$E$13,MATCH("Fault Control",'Standards &amp; Scoring'!$A$5:$A$13,0))/AG418))))</f>
        <v/>
      </c>
      <c r="AS418" s="49" t="str">
        <f aca="false">IF(O418="","",MIN(120,IF(SUMIFS('Fault &amp; Downtime Entry'!$L$6:$L$1005,'Fault &amp; Downtime Entry'!$E$6:$E$1005,G418,'Fault &amp; Downtime Entry'!$B$6:$B$1005,B418)=0,120,100*(INDEX('Standards &amp; Scoring'!$E$5:$E$13,MATCH("Downtime Control",'Standards &amp; Scoring'!$A$5:$A$13,0))/IFERROR(SUMIFS('Fault &amp; Downtime Entry'!$L$6:$L$1005,'Fault &amp; Downtime Entry'!$E$6:$E$1005,G418,'Fault &amp; Downtime Entry'!$B$6:$B$1005,B418)/O418*1000,999999)))))</f>
        <v/>
      </c>
      <c r="AT418" s="49" t="n">
        <f aca="false">IF(COUNTA(AH418,AJ418)=0,"",MIN(120,IF(AND(AH418&lt;&gt;"",AJ418&lt;&gt;""),AVERAGE(AH418,AJ418),IF(AH418&lt;&gt;"",AH418,AJ418))))</f>
        <v>0</v>
      </c>
      <c r="AU418" s="49" t="str">
        <f aca="false">IF(AI418="","",MIN(120,AI418))</f>
        <v/>
      </c>
      <c r="AV418" s="49" t="str">
        <f aca="false">IF(AJ418="","",MIN(120,AJ418))</f>
        <v/>
      </c>
      <c r="AW418" s="50" t="str">
        <f aca="false">IF(COUNT(AN418:AV418)&lt;9,"",(AN418*'Standards &amp; Scoring'!$D$5+AO418*'Standards &amp; Scoring'!$D$6+AP418*'Standards &amp; Scoring'!$D$7+AQ418*'Standards &amp; Scoring'!$D$8+AR418*'Standards &amp; Scoring'!$D$9+AS418*'Standards &amp; Scoring'!$D$10+AT418*'Standards &amp; Scoring'!$D$11+AU418*'Standards &amp; Scoring'!$D$12+AV418*'Standards &amp; Scoring'!$D$13)/10000)</f>
        <v/>
      </c>
      <c r="AX418" s="47" t="str">
        <f aca="false">IF(AW418="","",IF(AW418&gt;=1.05,"A+",IF(AW418&gt;=1,"A",IF(AW418&gt;=0.95,"B+",IF(AW418&gt;=0.9,"B","C")))))</f>
        <v/>
      </c>
      <c r="AY418" s="47" t="str">
        <f aca="false">IF(AX418="","",IF(AX418="A+",1800,IF(AX418="A",1600,IF(AX418="B+",1400,IF(AX418="B",1200,0)))))</f>
        <v/>
      </c>
      <c r="AZ418" s="49" t="str">
        <f aca="false">IF(OR(L418="",M418="",S418="",M418=0),"",IFERROR(L418*60*S418/(M418*36),0))</f>
        <v/>
      </c>
    </row>
    <row r="419" customFormat="false" ht="15" hidden="false" customHeight="true" outlineLevel="0" collapsed="false">
      <c r="A419" s="47" t="n">
        <f aca="false">'Daily KPI Entry'!A420</f>
        <v>0</v>
      </c>
      <c r="B419" s="48" t="n">
        <f aca="false">'Daily KPI Entry'!B420</f>
        <v>0</v>
      </c>
      <c r="C419" s="47" t="n">
        <f aca="false">'Daily KPI Entry'!C420</f>
        <v>0</v>
      </c>
      <c r="D419" s="47" t="n">
        <f aca="false">'Daily KPI Entry'!D420</f>
        <v>0</v>
      </c>
      <c r="E419" s="47" t="n">
        <f aca="false">'Daily KPI Entry'!E420</f>
        <v>0</v>
      </c>
      <c r="F419" s="47" t="n">
        <f aca="false">'Daily KPI Entry'!F420</f>
        <v>0</v>
      </c>
      <c r="G419" s="47" t="n">
        <f aca="false">'Daily KPI Entry'!G420</f>
        <v>0</v>
      </c>
      <c r="H419" s="47" t="str">
        <f aca="false">'Daily KPI Entry'!H420</f>
        <v/>
      </c>
      <c r="I419" s="47" t="n">
        <f aca="false">'Daily KPI Entry'!I420</f>
        <v>0</v>
      </c>
      <c r="J419" s="47" t="n">
        <f aca="false">'Daily KPI Entry'!J420</f>
        <v>0</v>
      </c>
      <c r="K419" s="47" t="n">
        <f aca="false">'Daily KPI Entry'!K420</f>
        <v>0</v>
      </c>
      <c r="L419" s="47" t="n">
        <f aca="false">'Daily KPI Entry'!L420</f>
        <v>0</v>
      </c>
      <c r="M419" s="47" t="n">
        <f aca="false">'Daily KPI Entry'!M420</f>
        <v>0</v>
      </c>
      <c r="N419" s="49" t="n">
        <f aca="false">'Daily KPI Entry'!N420</f>
        <v>0</v>
      </c>
      <c r="O419" s="49" t="n">
        <f aca="false">'Daily KPI Entry'!O420</f>
        <v>0</v>
      </c>
      <c r="P419" s="49" t="str">
        <f aca="false">IF(OR(N419="",O419=""),"",IFERROR(O419/N419*100,0))</f>
        <v/>
      </c>
      <c r="Q419" s="47" t="n">
        <f aca="false">'Daily KPI Entry'!Q420</f>
        <v>8</v>
      </c>
      <c r="R419" s="47" t="str">
        <f aca="false">IF(J419="","",Q419*J419)</f>
        <v/>
      </c>
      <c r="S419" s="49" t="n">
        <f aca="false">'Daily KPI Entry'!S420</f>
        <v>0</v>
      </c>
      <c r="T419" s="49" t="str">
        <f aca="false">IF(OR(R419="",S419=""),"",IFERROR(S419/R419*100,0))</f>
        <v/>
      </c>
      <c r="U419" s="49" t="str">
        <f aca="false">IF(OR(O419="",L419="",M419="",S419="",M419=0),"",IFERROR(O419/(L419*60*S419/(M419*36))*100,0))</f>
        <v/>
      </c>
      <c r="V419" s="49" t="n">
        <f aca="false">'Daily KPI Entry'!V420</f>
        <v>0</v>
      </c>
      <c r="W419" s="49" t="str">
        <f aca="false">IF(O419="","",IFERROR(V419/O419*100,0))</f>
        <v/>
      </c>
      <c r="X419" s="49" t="n">
        <f aca="false">'Daily KPI Entry'!X420</f>
        <v>0</v>
      </c>
      <c r="Y419" s="49" t="n">
        <f aca="false">'Daily KPI Entry'!Y420</f>
        <v>0</v>
      </c>
      <c r="Z419" s="49" t="n">
        <f aca="false">'Daily KPI Entry'!Z420</f>
        <v>0</v>
      </c>
      <c r="AA419" s="49" t="n">
        <f aca="false">'Daily KPI Entry'!AA420</f>
        <v>0</v>
      </c>
      <c r="AB419" s="49" t="n">
        <f aca="false">'Daily KPI Entry'!AB420</f>
        <v>0</v>
      </c>
      <c r="AC419" s="49" t="n">
        <f aca="false">'Daily KPI Entry'!AC420</f>
        <v>0</v>
      </c>
      <c r="AD419" s="49" t="n">
        <f aca="false">'Daily KPI Entry'!AD420</f>
        <v>0</v>
      </c>
      <c r="AE419" s="49" t="n">
        <f aca="false">'Daily KPI Entry'!AE420</f>
        <v>0</v>
      </c>
      <c r="AF419" s="47" t="str">
        <f aca="false">IF(O419="","",SUM(X419:AE419))</f>
        <v/>
      </c>
      <c r="AG419" s="49" t="str">
        <f aca="false">IF(O419="","",IFERROR(AF419/O419*1000,0))</f>
        <v/>
      </c>
      <c r="AH419" s="49" t="n">
        <f aca="false">'Daily KPI Entry'!AH420</f>
        <v>0</v>
      </c>
      <c r="AI419" s="49" t="n">
        <f aca="false">'Daily KPI Entry'!AI420</f>
        <v>0</v>
      </c>
      <c r="AJ419" s="49" t="n">
        <f aca="false">'Daily KPI Entry'!AJ420</f>
        <v>0</v>
      </c>
      <c r="AK419" s="47" t="n">
        <f aca="false">'Daily KPI Entry'!AK420</f>
        <v>0</v>
      </c>
      <c r="AL419" s="47" t="n">
        <f aca="false">'Daily KPI Entry'!AL420</f>
        <v>0</v>
      </c>
      <c r="AM419" s="47" t="n">
        <f aca="false">'Daily KPI Entry'!AM420</f>
        <v>0</v>
      </c>
      <c r="AN419" s="49" t="str">
        <f aca="false">IF(P419="","",MIN(120,P419))</f>
        <v/>
      </c>
      <c r="AO419" s="49" t="str">
        <f aca="false">IF(U419="","",MIN(120,U419))</f>
        <v/>
      </c>
      <c r="AP419" s="49" t="str">
        <f aca="false">IF(R419="","",MIN(120,IFERROR(S419/R419*100,0)))</f>
        <v/>
      </c>
      <c r="AQ419" s="49" t="str">
        <f aca="false">IF(W419="","",MIN(120,IF(W419=0,120,100*(INDEX('Standards &amp; Scoring'!$E$5:$E$13,MATCH("Quality / Rejection",'Standards &amp; Scoring'!$A$5:$A$13,0))/W419))))</f>
        <v/>
      </c>
      <c r="AR419" s="49" t="str">
        <f aca="false">IF(AG419="","",MIN(120,IF(AG419=0,120,100*(INDEX('Standards &amp; Scoring'!$E$5:$E$13,MATCH("Fault Control",'Standards &amp; Scoring'!$A$5:$A$13,0))/AG419))))</f>
        <v/>
      </c>
      <c r="AS419" s="49" t="str">
        <f aca="false">IF(O419="","",MIN(120,IF(SUMIFS('Fault &amp; Downtime Entry'!$L$6:$L$1005,'Fault &amp; Downtime Entry'!$E$6:$E$1005,G419,'Fault &amp; Downtime Entry'!$B$6:$B$1005,B419)=0,120,100*(INDEX('Standards &amp; Scoring'!$E$5:$E$13,MATCH("Downtime Control",'Standards &amp; Scoring'!$A$5:$A$13,0))/IFERROR(SUMIFS('Fault &amp; Downtime Entry'!$L$6:$L$1005,'Fault &amp; Downtime Entry'!$E$6:$E$1005,G419,'Fault &amp; Downtime Entry'!$B$6:$B$1005,B419)/O419*1000,999999)))))</f>
        <v/>
      </c>
      <c r="AT419" s="49" t="n">
        <f aca="false">IF(COUNTA(AH419,AJ419)=0,"",MIN(120,IF(AND(AH419&lt;&gt;"",AJ419&lt;&gt;""),AVERAGE(AH419,AJ419),IF(AH419&lt;&gt;"",AH419,AJ419))))</f>
        <v>0</v>
      </c>
      <c r="AU419" s="49" t="str">
        <f aca="false">IF(AI419="","",MIN(120,AI419))</f>
        <v/>
      </c>
      <c r="AV419" s="49" t="str">
        <f aca="false">IF(AJ419="","",MIN(120,AJ419))</f>
        <v/>
      </c>
      <c r="AW419" s="50" t="str">
        <f aca="false">IF(COUNT(AN419:AV419)&lt;9,"",(AN419*'Standards &amp; Scoring'!$D$5+AO419*'Standards &amp; Scoring'!$D$6+AP419*'Standards &amp; Scoring'!$D$7+AQ419*'Standards &amp; Scoring'!$D$8+AR419*'Standards &amp; Scoring'!$D$9+AS419*'Standards &amp; Scoring'!$D$10+AT419*'Standards &amp; Scoring'!$D$11+AU419*'Standards &amp; Scoring'!$D$12+AV419*'Standards &amp; Scoring'!$D$13)/10000)</f>
        <v/>
      </c>
      <c r="AX419" s="47" t="str">
        <f aca="false">IF(AW419="","",IF(AW419&gt;=1.05,"A+",IF(AW419&gt;=1,"A",IF(AW419&gt;=0.95,"B+",IF(AW419&gt;=0.9,"B","C")))))</f>
        <v/>
      </c>
      <c r="AY419" s="47" t="str">
        <f aca="false">IF(AX419="","",IF(AX419="A+",1800,IF(AX419="A",1600,IF(AX419="B+",1400,IF(AX419="B",1200,0)))))</f>
        <v/>
      </c>
      <c r="AZ419" s="49" t="str">
        <f aca="false">IF(OR(L419="",M419="",S419="",M419=0),"",IFERROR(L419*60*S419/(M419*36),0))</f>
        <v/>
      </c>
    </row>
    <row r="420" customFormat="false" ht="15" hidden="false" customHeight="true" outlineLevel="0" collapsed="false">
      <c r="A420" s="47" t="n">
        <f aca="false">'Daily KPI Entry'!A421</f>
        <v>0</v>
      </c>
      <c r="B420" s="48" t="n">
        <f aca="false">'Daily KPI Entry'!B421</f>
        <v>0</v>
      </c>
      <c r="C420" s="47" t="n">
        <f aca="false">'Daily KPI Entry'!C421</f>
        <v>0</v>
      </c>
      <c r="D420" s="47" t="n">
        <f aca="false">'Daily KPI Entry'!D421</f>
        <v>0</v>
      </c>
      <c r="E420" s="47" t="n">
        <f aca="false">'Daily KPI Entry'!E421</f>
        <v>0</v>
      </c>
      <c r="F420" s="47" t="n">
        <f aca="false">'Daily KPI Entry'!F421</f>
        <v>0</v>
      </c>
      <c r="G420" s="47" t="n">
        <f aca="false">'Daily KPI Entry'!G421</f>
        <v>0</v>
      </c>
      <c r="H420" s="47" t="str">
        <f aca="false">'Daily KPI Entry'!H421</f>
        <v/>
      </c>
      <c r="I420" s="47" t="n">
        <f aca="false">'Daily KPI Entry'!I421</f>
        <v>0</v>
      </c>
      <c r="J420" s="47" t="n">
        <f aca="false">'Daily KPI Entry'!J421</f>
        <v>0</v>
      </c>
      <c r="K420" s="47" t="n">
        <f aca="false">'Daily KPI Entry'!K421</f>
        <v>0</v>
      </c>
      <c r="L420" s="47" t="n">
        <f aca="false">'Daily KPI Entry'!L421</f>
        <v>0</v>
      </c>
      <c r="M420" s="47" t="n">
        <f aca="false">'Daily KPI Entry'!M421</f>
        <v>0</v>
      </c>
      <c r="N420" s="49" t="n">
        <f aca="false">'Daily KPI Entry'!N421</f>
        <v>0</v>
      </c>
      <c r="O420" s="49" t="n">
        <f aca="false">'Daily KPI Entry'!O421</f>
        <v>0</v>
      </c>
      <c r="P420" s="49" t="str">
        <f aca="false">IF(OR(N420="",O420=""),"",IFERROR(O420/N420*100,0))</f>
        <v/>
      </c>
      <c r="Q420" s="47" t="n">
        <f aca="false">'Daily KPI Entry'!Q421</f>
        <v>8</v>
      </c>
      <c r="R420" s="47" t="str">
        <f aca="false">IF(J420="","",Q420*J420)</f>
        <v/>
      </c>
      <c r="S420" s="49" t="n">
        <f aca="false">'Daily KPI Entry'!S421</f>
        <v>0</v>
      </c>
      <c r="T420" s="49" t="str">
        <f aca="false">IF(OR(R420="",S420=""),"",IFERROR(S420/R420*100,0))</f>
        <v/>
      </c>
      <c r="U420" s="49" t="str">
        <f aca="false">IF(OR(O420="",L420="",M420="",S420="",M420=0),"",IFERROR(O420/(L420*60*S420/(M420*36))*100,0))</f>
        <v/>
      </c>
      <c r="V420" s="49" t="n">
        <f aca="false">'Daily KPI Entry'!V421</f>
        <v>0</v>
      </c>
      <c r="W420" s="49" t="str">
        <f aca="false">IF(O420="","",IFERROR(V420/O420*100,0))</f>
        <v/>
      </c>
      <c r="X420" s="49" t="n">
        <f aca="false">'Daily KPI Entry'!X421</f>
        <v>0</v>
      </c>
      <c r="Y420" s="49" t="n">
        <f aca="false">'Daily KPI Entry'!Y421</f>
        <v>0</v>
      </c>
      <c r="Z420" s="49" t="n">
        <f aca="false">'Daily KPI Entry'!Z421</f>
        <v>0</v>
      </c>
      <c r="AA420" s="49" t="n">
        <f aca="false">'Daily KPI Entry'!AA421</f>
        <v>0</v>
      </c>
      <c r="AB420" s="49" t="n">
        <f aca="false">'Daily KPI Entry'!AB421</f>
        <v>0</v>
      </c>
      <c r="AC420" s="49" t="n">
        <f aca="false">'Daily KPI Entry'!AC421</f>
        <v>0</v>
      </c>
      <c r="AD420" s="49" t="n">
        <f aca="false">'Daily KPI Entry'!AD421</f>
        <v>0</v>
      </c>
      <c r="AE420" s="49" t="n">
        <f aca="false">'Daily KPI Entry'!AE421</f>
        <v>0</v>
      </c>
      <c r="AF420" s="47" t="str">
        <f aca="false">IF(O420="","",SUM(X420:AE420))</f>
        <v/>
      </c>
      <c r="AG420" s="49" t="str">
        <f aca="false">IF(O420="","",IFERROR(AF420/O420*1000,0))</f>
        <v/>
      </c>
      <c r="AH420" s="49" t="n">
        <f aca="false">'Daily KPI Entry'!AH421</f>
        <v>0</v>
      </c>
      <c r="AI420" s="49" t="n">
        <f aca="false">'Daily KPI Entry'!AI421</f>
        <v>0</v>
      </c>
      <c r="AJ420" s="49" t="n">
        <f aca="false">'Daily KPI Entry'!AJ421</f>
        <v>0</v>
      </c>
      <c r="AK420" s="47" t="n">
        <f aca="false">'Daily KPI Entry'!AK421</f>
        <v>0</v>
      </c>
      <c r="AL420" s="47" t="n">
        <f aca="false">'Daily KPI Entry'!AL421</f>
        <v>0</v>
      </c>
      <c r="AM420" s="47" t="n">
        <f aca="false">'Daily KPI Entry'!AM421</f>
        <v>0</v>
      </c>
      <c r="AN420" s="49" t="str">
        <f aca="false">IF(P420="","",MIN(120,P420))</f>
        <v/>
      </c>
      <c r="AO420" s="49" t="str">
        <f aca="false">IF(U420="","",MIN(120,U420))</f>
        <v/>
      </c>
      <c r="AP420" s="49" t="str">
        <f aca="false">IF(R420="","",MIN(120,IFERROR(S420/R420*100,0)))</f>
        <v/>
      </c>
      <c r="AQ420" s="49" t="str">
        <f aca="false">IF(W420="","",MIN(120,IF(W420=0,120,100*(INDEX('Standards &amp; Scoring'!$E$5:$E$13,MATCH("Quality / Rejection",'Standards &amp; Scoring'!$A$5:$A$13,0))/W420))))</f>
        <v/>
      </c>
      <c r="AR420" s="49" t="str">
        <f aca="false">IF(AG420="","",MIN(120,IF(AG420=0,120,100*(INDEX('Standards &amp; Scoring'!$E$5:$E$13,MATCH("Fault Control",'Standards &amp; Scoring'!$A$5:$A$13,0))/AG420))))</f>
        <v/>
      </c>
      <c r="AS420" s="49" t="str">
        <f aca="false">IF(O420="","",MIN(120,IF(SUMIFS('Fault &amp; Downtime Entry'!$L$6:$L$1005,'Fault &amp; Downtime Entry'!$E$6:$E$1005,G420,'Fault &amp; Downtime Entry'!$B$6:$B$1005,B420)=0,120,100*(INDEX('Standards &amp; Scoring'!$E$5:$E$13,MATCH("Downtime Control",'Standards &amp; Scoring'!$A$5:$A$13,0))/IFERROR(SUMIFS('Fault &amp; Downtime Entry'!$L$6:$L$1005,'Fault &amp; Downtime Entry'!$E$6:$E$1005,G420,'Fault &amp; Downtime Entry'!$B$6:$B$1005,B420)/O420*1000,999999)))))</f>
        <v/>
      </c>
      <c r="AT420" s="49" t="n">
        <f aca="false">IF(COUNTA(AH420,AJ420)=0,"",MIN(120,IF(AND(AH420&lt;&gt;"",AJ420&lt;&gt;""),AVERAGE(AH420,AJ420),IF(AH420&lt;&gt;"",AH420,AJ420))))</f>
        <v>0</v>
      </c>
      <c r="AU420" s="49" t="str">
        <f aca="false">IF(AI420="","",MIN(120,AI420))</f>
        <v/>
      </c>
      <c r="AV420" s="49" t="str">
        <f aca="false">IF(AJ420="","",MIN(120,AJ420))</f>
        <v/>
      </c>
      <c r="AW420" s="50" t="str">
        <f aca="false">IF(COUNT(AN420:AV420)&lt;9,"",(AN420*'Standards &amp; Scoring'!$D$5+AO420*'Standards &amp; Scoring'!$D$6+AP420*'Standards &amp; Scoring'!$D$7+AQ420*'Standards &amp; Scoring'!$D$8+AR420*'Standards &amp; Scoring'!$D$9+AS420*'Standards &amp; Scoring'!$D$10+AT420*'Standards &amp; Scoring'!$D$11+AU420*'Standards &amp; Scoring'!$D$12+AV420*'Standards &amp; Scoring'!$D$13)/10000)</f>
        <v/>
      </c>
      <c r="AX420" s="47" t="str">
        <f aca="false">IF(AW420="","",IF(AW420&gt;=1.05,"A+",IF(AW420&gt;=1,"A",IF(AW420&gt;=0.95,"B+",IF(AW420&gt;=0.9,"B","C")))))</f>
        <v/>
      </c>
      <c r="AY420" s="47" t="str">
        <f aca="false">IF(AX420="","",IF(AX420="A+",1800,IF(AX420="A",1600,IF(AX420="B+",1400,IF(AX420="B",1200,0)))))</f>
        <v/>
      </c>
      <c r="AZ420" s="49" t="str">
        <f aca="false">IF(OR(L420="",M420="",S420="",M420=0),"",IFERROR(L420*60*S420/(M420*36),0))</f>
        <v/>
      </c>
    </row>
    <row r="421" customFormat="false" ht="15" hidden="false" customHeight="true" outlineLevel="0" collapsed="false">
      <c r="A421" s="47" t="n">
        <f aca="false">'Daily KPI Entry'!A422</f>
        <v>0</v>
      </c>
      <c r="B421" s="48" t="n">
        <f aca="false">'Daily KPI Entry'!B422</f>
        <v>0</v>
      </c>
      <c r="C421" s="47" t="n">
        <f aca="false">'Daily KPI Entry'!C422</f>
        <v>0</v>
      </c>
      <c r="D421" s="47" t="n">
        <f aca="false">'Daily KPI Entry'!D422</f>
        <v>0</v>
      </c>
      <c r="E421" s="47" t="n">
        <f aca="false">'Daily KPI Entry'!E422</f>
        <v>0</v>
      </c>
      <c r="F421" s="47" t="n">
        <f aca="false">'Daily KPI Entry'!F422</f>
        <v>0</v>
      </c>
      <c r="G421" s="47" t="n">
        <f aca="false">'Daily KPI Entry'!G422</f>
        <v>0</v>
      </c>
      <c r="H421" s="47" t="str">
        <f aca="false">'Daily KPI Entry'!H422</f>
        <v/>
      </c>
      <c r="I421" s="47" t="n">
        <f aca="false">'Daily KPI Entry'!I422</f>
        <v>0</v>
      </c>
      <c r="J421" s="47" t="n">
        <f aca="false">'Daily KPI Entry'!J422</f>
        <v>0</v>
      </c>
      <c r="K421" s="47" t="n">
        <f aca="false">'Daily KPI Entry'!K422</f>
        <v>0</v>
      </c>
      <c r="L421" s="47" t="n">
        <f aca="false">'Daily KPI Entry'!L422</f>
        <v>0</v>
      </c>
      <c r="M421" s="47" t="n">
        <f aca="false">'Daily KPI Entry'!M422</f>
        <v>0</v>
      </c>
      <c r="N421" s="49" t="n">
        <f aca="false">'Daily KPI Entry'!N422</f>
        <v>0</v>
      </c>
      <c r="O421" s="49" t="n">
        <f aca="false">'Daily KPI Entry'!O422</f>
        <v>0</v>
      </c>
      <c r="P421" s="49" t="str">
        <f aca="false">IF(OR(N421="",O421=""),"",IFERROR(O421/N421*100,0))</f>
        <v/>
      </c>
      <c r="Q421" s="47" t="n">
        <f aca="false">'Daily KPI Entry'!Q422</f>
        <v>8</v>
      </c>
      <c r="R421" s="47" t="str">
        <f aca="false">IF(J421="","",Q421*J421)</f>
        <v/>
      </c>
      <c r="S421" s="49" t="n">
        <f aca="false">'Daily KPI Entry'!S422</f>
        <v>0</v>
      </c>
      <c r="T421" s="49" t="str">
        <f aca="false">IF(OR(R421="",S421=""),"",IFERROR(S421/R421*100,0))</f>
        <v/>
      </c>
      <c r="U421" s="49" t="str">
        <f aca="false">IF(OR(O421="",L421="",M421="",S421="",M421=0),"",IFERROR(O421/(L421*60*S421/(M421*36))*100,0))</f>
        <v/>
      </c>
      <c r="V421" s="49" t="n">
        <f aca="false">'Daily KPI Entry'!V422</f>
        <v>0</v>
      </c>
      <c r="W421" s="49" t="str">
        <f aca="false">IF(O421="","",IFERROR(V421/O421*100,0))</f>
        <v/>
      </c>
      <c r="X421" s="49" t="n">
        <f aca="false">'Daily KPI Entry'!X422</f>
        <v>0</v>
      </c>
      <c r="Y421" s="49" t="n">
        <f aca="false">'Daily KPI Entry'!Y422</f>
        <v>0</v>
      </c>
      <c r="Z421" s="49" t="n">
        <f aca="false">'Daily KPI Entry'!Z422</f>
        <v>0</v>
      </c>
      <c r="AA421" s="49" t="n">
        <f aca="false">'Daily KPI Entry'!AA422</f>
        <v>0</v>
      </c>
      <c r="AB421" s="49" t="n">
        <f aca="false">'Daily KPI Entry'!AB422</f>
        <v>0</v>
      </c>
      <c r="AC421" s="49" t="n">
        <f aca="false">'Daily KPI Entry'!AC422</f>
        <v>0</v>
      </c>
      <c r="AD421" s="49" t="n">
        <f aca="false">'Daily KPI Entry'!AD422</f>
        <v>0</v>
      </c>
      <c r="AE421" s="49" t="n">
        <f aca="false">'Daily KPI Entry'!AE422</f>
        <v>0</v>
      </c>
      <c r="AF421" s="47" t="str">
        <f aca="false">IF(O421="","",SUM(X421:AE421))</f>
        <v/>
      </c>
      <c r="AG421" s="49" t="str">
        <f aca="false">IF(O421="","",IFERROR(AF421/O421*1000,0))</f>
        <v/>
      </c>
      <c r="AH421" s="49" t="n">
        <f aca="false">'Daily KPI Entry'!AH422</f>
        <v>0</v>
      </c>
      <c r="AI421" s="49" t="n">
        <f aca="false">'Daily KPI Entry'!AI422</f>
        <v>0</v>
      </c>
      <c r="AJ421" s="49" t="n">
        <f aca="false">'Daily KPI Entry'!AJ422</f>
        <v>0</v>
      </c>
      <c r="AK421" s="47" t="n">
        <f aca="false">'Daily KPI Entry'!AK422</f>
        <v>0</v>
      </c>
      <c r="AL421" s="47" t="n">
        <f aca="false">'Daily KPI Entry'!AL422</f>
        <v>0</v>
      </c>
      <c r="AM421" s="47" t="n">
        <f aca="false">'Daily KPI Entry'!AM422</f>
        <v>0</v>
      </c>
      <c r="AN421" s="49" t="str">
        <f aca="false">IF(P421="","",MIN(120,P421))</f>
        <v/>
      </c>
      <c r="AO421" s="49" t="str">
        <f aca="false">IF(U421="","",MIN(120,U421))</f>
        <v/>
      </c>
      <c r="AP421" s="49" t="str">
        <f aca="false">IF(R421="","",MIN(120,IFERROR(S421/R421*100,0)))</f>
        <v/>
      </c>
      <c r="AQ421" s="49" t="str">
        <f aca="false">IF(W421="","",MIN(120,IF(W421=0,120,100*(INDEX('Standards &amp; Scoring'!$E$5:$E$13,MATCH("Quality / Rejection",'Standards &amp; Scoring'!$A$5:$A$13,0))/W421))))</f>
        <v/>
      </c>
      <c r="AR421" s="49" t="str">
        <f aca="false">IF(AG421="","",MIN(120,IF(AG421=0,120,100*(INDEX('Standards &amp; Scoring'!$E$5:$E$13,MATCH("Fault Control",'Standards &amp; Scoring'!$A$5:$A$13,0))/AG421))))</f>
        <v/>
      </c>
      <c r="AS421" s="49" t="str">
        <f aca="false">IF(O421="","",MIN(120,IF(SUMIFS('Fault &amp; Downtime Entry'!$L$6:$L$1005,'Fault &amp; Downtime Entry'!$E$6:$E$1005,G421,'Fault &amp; Downtime Entry'!$B$6:$B$1005,B421)=0,120,100*(INDEX('Standards &amp; Scoring'!$E$5:$E$13,MATCH("Downtime Control",'Standards &amp; Scoring'!$A$5:$A$13,0))/IFERROR(SUMIFS('Fault &amp; Downtime Entry'!$L$6:$L$1005,'Fault &amp; Downtime Entry'!$E$6:$E$1005,G421,'Fault &amp; Downtime Entry'!$B$6:$B$1005,B421)/O421*1000,999999)))))</f>
        <v/>
      </c>
      <c r="AT421" s="49" t="n">
        <f aca="false">IF(COUNTA(AH421,AJ421)=0,"",MIN(120,IF(AND(AH421&lt;&gt;"",AJ421&lt;&gt;""),AVERAGE(AH421,AJ421),IF(AH421&lt;&gt;"",AH421,AJ421))))</f>
        <v>0</v>
      </c>
      <c r="AU421" s="49" t="str">
        <f aca="false">IF(AI421="","",MIN(120,AI421))</f>
        <v/>
      </c>
      <c r="AV421" s="49" t="str">
        <f aca="false">IF(AJ421="","",MIN(120,AJ421))</f>
        <v/>
      </c>
      <c r="AW421" s="50" t="str">
        <f aca="false">IF(COUNT(AN421:AV421)&lt;9,"",(AN421*'Standards &amp; Scoring'!$D$5+AO421*'Standards &amp; Scoring'!$D$6+AP421*'Standards &amp; Scoring'!$D$7+AQ421*'Standards &amp; Scoring'!$D$8+AR421*'Standards &amp; Scoring'!$D$9+AS421*'Standards &amp; Scoring'!$D$10+AT421*'Standards &amp; Scoring'!$D$11+AU421*'Standards &amp; Scoring'!$D$12+AV421*'Standards &amp; Scoring'!$D$13)/10000)</f>
        <v/>
      </c>
      <c r="AX421" s="47" t="str">
        <f aca="false">IF(AW421="","",IF(AW421&gt;=1.05,"A+",IF(AW421&gt;=1,"A",IF(AW421&gt;=0.95,"B+",IF(AW421&gt;=0.9,"B","C")))))</f>
        <v/>
      </c>
      <c r="AY421" s="47" t="str">
        <f aca="false">IF(AX421="","",IF(AX421="A+",1800,IF(AX421="A",1600,IF(AX421="B+",1400,IF(AX421="B",1200,0)))))</f>
        <v/>
      </c>
      <c r="AZ421" s="49" t="str">
        <f aca="false">IF(OR(L421="",M421="",S421="",M421=0),"",IFERROR(L421*60*S421/(M421*36),0))</f>
        <v/>
      </c>
    </row>
    <row r="422" customFormat="false" ht="15" hidden="false" customHeight="true" outlineLevel="0" collapsed="false">
      <c r="A422" s="47" t="n">
        <f aca="false">'Daily KPI Entry'!A423</f>
        <v>0</v>
      </c>
      <c r="B422" s="48" t="n">
        <f aca="false">'Daily KPI Entry'!B423</f>
        <v>0</v>
      </c>
      <c r="C422" s="47" t="n">
        <f aca="false">'Daily KPI Entry'!C423</f>
        <v>0</v>
      </c>
      <c r="D422" s="47" t="n">
        <f aca="false">'Daily KPI Entry'!D423</f>
        <v>0</v>
      </c>
      <c r="E422" s="47" t="n">
        <f aca="false">'Daily KPI Entry'!E423</f>
        <v>0</v>
      </c>
      <c r="F422" s="47" t="n">
        <f aca="false">'Daily KPI Entry'!F423</f>
        <v>0</v>
      </c>
      <c r="G422" s="47" t="n">
        <f aca="false">'Daily KPI Entry'!G423</f>
        <v>0</v>
      </c>
      <c r="H422" s="47" t="str">
        <f aca="false">'Daily KPI Entry'!H423</f>
        <v/>
      </c>
      <c r="I422" s="47" t="n">
        <f aca="false">'Daily KPI Entry'!I423</f>
        <v>0</v>
      </c>
      <c r="J422" s="47" t="n">
        <f aca="false">'Daily KPI Entry'!J423</f>
        <v>0</v>
      </c>
      <c r="K422" s="47" t="n">
        <f aca="false">'Daily KPI Entry'!K423</f>
        <v>0</v>
      </c>
      <c r="L422" s="47" t="n">
        <f aca="false">'Daily KPI Entry'!L423</f>
        <v>0</v>
      </c>
      <c r="M422" s="47" t="n">
        <f aca="false">'Daily KPI Entry'!M423</f>
        <v>0</v>
      </c>
      <c r="N422" s="49" t="n">
        <f aca="false">'Daily KPI Entry'!N423</f>
        <v>0</v>
      </c>
      <c r="O422" s="49" t="n">
        <f aca="false">'Daily KPI Entry'!O423</f>
        <v>0</v>
      </c>
      <c r="P422" s="49" t="str">
        <f aca="false">IF(OR(N422="",O422=""),"",IFERROR(O422/N422*100,0))</f>
        <v/>
      </c>
      <c r="Q422" s="47" t="n">
        <f aca="false">'Daily KPI Entry'!Q423</f>
        <v>8</v>
      </c>
      <c r="R422" s="47" t="str">
        <f aca="false">IF(J422="","",Q422*J422)</f>
        <v/>
      </c>
      <c r="S422" s="49" t="n">
        <f aca="false">'Daily KPI Entry'!S423</f>
        <v>0</v>
      </c>
      <c r="T422" s="49" t="str">
        <f aca="false">IF(OR(R422="",S422=""),"",IFERROR(S422/R422*100,0))</f>
        <v/>
      </c>
      <c r="U422" s="49" t="str">
        <f aca="false">IF(OR(O422="",L422="",M422="",S422="",M422=0),"",IFERROR(O422/(L422*60*S422/(M422*36))*100,0))</f>
        <v/>
      </c>
      <c r="V422" s="49" t="n">
        <f aca="false">'Daily KPI Entry'!V423</f>
        <v>0</v>
      </c>
      <c r="W422" s="49" t="str">
        <f aca="false">IF(O422="","",IFERROR(V422/O422*100,0))</f>
        <v/>
      </c>
      <c r="X422" s="49" t="n">
        <f aca="false">'Daily KPI Entry'!X423</f>
        <v>0</v>
      </c>
      <c r="Y422" s="49" t="n">
        <f aca="false">'Daily KPI Entry'!Y423</f>
        <v>0</v>
      </c>
      <c r="Z422" s="49" t="n">
        <f aca="false">'Daily KPI Entry'!Z423</f>
        <v>0</v>
      </c>
      <c r="AA422" s="49" t="n">
        <f aca="false">'Daily KPI Entry'!AA423</f>
        <v>0</v>
      </c>
      <c r="AB422" s="49" t="n">
        <f aca="false">'Daily KPI Entry'!AB423</f>
        <v>0</v>
      </c>
      <c r="AC422" s="49" t="n">
        <f aca="false">'Daily KPI Entry'!AC423</f>
        <v>0</v>
      </c>
      <c r="AD422" s="49" t="n">
        <f aca="false">'Daily KPI Entry'!AD423</f>
        <v>0</v>
      </c>
      <c r="AE422" s="49" t="n">
        <f aca="false">'Daily KPI Entry'!AE423</f>
        <v>0</v>
      </c>
      <c r="AF422" s="47" t="str">
        <f aca="false">IF(O422="","",SUM(X422:AE422))</f>
        <v/>
      </c>
      <c r="AG422" s="49" t="str">
        <f aca="false">IF(O422="","",IFERROR(AF422/O422*1000,0))</f>
        <v/>
      </c>
      <c r="AH422" s="49" t="n">
        <f aca="false">'Daily KPI Entry'!AH423</f>
        <v>0</v>
      </c>
      <c r="AI422" s="49" t="n">
        <f aca="false">'Daily KPI Entry'!AI423</f>
        <v>0</v>
      </c>
      <c r="AJ422" s="49" t="n">
        <f aca="false">'Daily KPI Entry'!AJ423</f>
        <v>0</v>
      </c>
      <c r="AK422" s="47" t="n">
        <f aca="false">'Daily KPI Entry'!AK423</f>
        <v>0</v>
      </c>
      <c r="AL422" s="47" t="n">
        <f aca="false">'Daily KPI Entry'!AL423</f>
        <v>0</v>
      </c>
      <c r="AM422" s="47" t="n">
        <f aca="false">'Daily KPI Entry'!AM423</f>
        <v>0</v>
      </c>
      <c r="AN422" s="49" t="str">
        <f aca="false">IF(P422="","",MIN(120,P422))</f>
        <v/>
      </c>
      <c r="AO422" s="49" t="str">
        <f aca="false">IF(U422="","",MIN(120,U422))</f>
        <v/>
      </c>
      <c r="AP422" s="49" t="str">
        <f aca="false">IF(R422="","",MIN(120,IFERROR(S422/R422*100,0)))</f>
        <v/>
      </c>
      <c r="AQ422" s="49" t="str">
        <f aca="false">IF(W422="","",MIN(120,IF(W422=0,120,100*(INDEX('Standards &amp; Scoring'!$E$5:$E$13,MATCH("Quality / Rejection",'Standards &amp; Scoring'!$A$5:$A$13,0))/W422))))</f>
        <v/>
      </c>
      <c r="AR422" s="49" t="str">
        <f aca="false">IF(AG422="","",MIN(120,IF(AG422=0,120,100*(INDEX('Standards &amp; Scoring'!$E$5:$E$13,MATCH("Fault Control",'Standards &amp; Scoring'!$A$5:$A$13,0))/AG422))))</f>
        <v/>
      </c>
      <c r="AS422" s="49" t="str">
        <f aca="false">IF(O422="","",MIN(120,IF(SUMIFS('Fault &amp; Downtime Entry'!$L$6:$L$1005,'Fault &amp; Downtime Entry'!$E$6:$E$1005,G422,'Fault &amp; Downtime Entry'!$B$6:$B$1005,B422)=0,120,100*(INDEX('Standards &amp; Scoring'!$E$5:$E$13,MATCH("Downtime Control",'Standards &amp; Scoring'!$A$5:$A$13,0))/IFERROR(SUMIFS('Fault &amp; Downtime Entry'!$L$6:$L$1005,'Fault &amp; Downtime Entry'!$E$6:$E$1005,G422,'Fault &amp; Downtime Entry'!$B$6:$B$1005,B422)/O422*1000,999999)))))</f>
        <v/>
      </c>
      <c r="AT422" s="49" t="n">
        <f aca="false">IF(COUNTA(AH422,AJ422)=0,"",MIN(120,IF(AND(AH422&lt;&gt;"",AJ422&lt;&gt;""),AVERAGE(AH422,AJ422),IF(AH422&lt;&gt;"",AH422,AJ422))))</f>
        <v>0</v>
      </c>
      <c r="AU422" s="49" t="str">
        <f aca="false">IF(AI422="","",MIN(120,AI422))</f>
        <v/>
      </c>
      <c r="AV422" s="49" t="str">
        <f aca="false">IF(AJ422="","",MIN(120,AJ422))</f>
        <v/>
      </c>
      <c r="AW422" s="50" t="str">
        <f aca="false">IF(COUNT(AN422:AV422)&lt;9,"",(AN422*'Standards &amp; Scoring'!$D$5+AO422*'Standards &amp; Scoring'!$D$6+AP422*'Standards &amp; Scoring'!$D$7+AQ422*'Standards &amp; Scoring'!$D$8+AR422*'Standards &amp; Scoring'!$D$9+AS422*'Standards &amp; Scoring'!$D$10+AT422*'Standards &amp; Scoring'!$D$11+AU422*'Standards &amp; Scoring'!$D$12+AV422*'Standards &amp; Scoring'!$D$13)/10000)</f>
        <v/>
      </c>
      <c r="AX422" s="47" t="str">
        <f aca="false">IF(AW422="","",IF(AW422&gt;=1.05,"A+",IF(AW422&gt;=1,"A",IF(AW422&gt;=0.95,"B+",IF(AW422&gt;=0.9,"B","C")))))</f>
        <v/>
      </c>
      <c r="AY422" s="47" t="str">
        <f aca="false">IF(AX422="","",IF(AX422="A+",1800,IF(AX422="A",1600,IF(AX422="B+",1400,IF(AX422="B",1200,0)))))</f>
        <v/>
      </c>
      <c r="AZ422" s="49" t="str">
        <f aca="false">IF(OR(L422="",M422="",S422="",M422=0),"",IFERROR(L422*60*S422/(M422*36),0))</f>
        <v/>
      </c>
    </row>
    <row r="423" customFormat="false" ht="15" hidden="false" customHeight="true" outlineLevel="0" collapsed="false">
      <c r="A423" s="47" t="n">
        <f aca="false">'Daily KPI Entry'!A424</f>
        <v>0</v>
      </c>
      <c r="B423" s="48" t="n">
        <f aca="false">'Daily KPI Entry'!B424</f>
        <v>0</v>
      </c>
      <c r="C423" s="47" t="n">
        <f aca="false">'Daily KPI Entry'!C424</f>
        <v>0</v>
      </c>
      <c r="D423" s="47" t="n">
        <f aca="false">'Daily KPI Entry'!D424</f>
        <v>0</v>
      </c>
      <c r="E423" s="47" t="n">
        <f aca="false">'Daily KPI Entry'!E424</f>
        <v>0</v>
      </c>
      <c r="F423" s="47" t="n">
        <f aca="false">'Daily KPI Entry'!F424</f>
        <v>0</v>
      </c>
      <c r="G423" s="47" t="n">
        <f aca="false">'Daily KPI Entry'!G424</f>
        <v>0</v>
      </c>
      <c r="H423" s="47" t="str">
        <f aca="false">'Daily KPI Entry'!H424</f>
        <v/>
      </c>
      <c r="I423" s="47" t="n">
        <f aca="false">'Daily KPI Entry'!I424</f>
        <v>0</v>
      </c>
      <c r="J423" s="47" t="n">
        <f aca="false">'Daily KPI Entry'!J424</f>
        <v>0</v>
      </c>
      <c r="K423" s="47" t="n">
        <f aca="false">'Daily KPI Entry'!K424</f>
        <v>0</v>
      </c>
      <c r="L423" s="47" t="n">
        <f aca="false">'Daily KPI Entry'!L424</f>
        <v>0</v>
      </c>
      <c r="M423" s="47" t="n">
        <f aca="false">'Daily KPI Entry'!M424</f>
        <v>0</v>
      </c>
      <c r="N423" s="49" t="n">
        <f aca="false">'Daily KPI Entry'!N424</f>
        <v>0</v>
      </c>
      <c r="O423" s="49" t="n">
        <f aca="false">'Daily KPI Entry'!O424</f>
        <v>0</v>
      </c>
      <c r="P423" s="49" t="str">
        <f aca="false">IF(OR(N423="",O423=""),"",IFERROR(O423/N423*100,0))</f>
        <v/>
      </c>
      <c r="Q423" s="47" t="n">
        <f aca="false">'Daily KPI Entry'!Q424</f>
        <v>8</v>
      </c>
      <c r="R423" s="47" t="str">
        <f aca="false">IF(J423="","",Q423*J423)</f>
        <v/>
      </c>
      <c r="S423" s="49" t="n">
        <f aca="false">'Daily KPI Entry'!S424</f>
        <v>0</v>
      </c>
      <c r="T423" s="49" t="str">
        <f aca="false">IF(OR(R423="",S423=""),"",IFERROR(S423/R423*100,0))</f>
        <v/>
      </c>
      <c r="U423" s="49" t="str">
        <f aca="false">IF(OR(O423="",L423="",M423="",S423="",M423=0),"",IFERROR(O423/(L423*60*S423/(M423*36))*100,0))</f>
        <v/>
      </c>
      <c r="V423" s="49" t="n">
        <f aca="false">'Daily KPI Entry'!V424</f>
        <v>0</v>
      </c>
      <c r="W423" s="49" t="str">
        <f aca="false">IF(O423="","",IFERROR(V423/O423*100,0))</f>
        <v/>
      </c>
      <c r="X423" s="49" t="n">
        <f aca="false">'Daily KPI Entry'!X424</f>
        <v>0</v>
      </c>
      <c r="Y423" s="49" t="n">
        <f aca="false">'Daily KPI Entry'!Y424</f>
        <v>0</v>
      </c>
      <c r="Z423" s="49" t="n">
        <f aca="false">'Daily KPI Entry'!Z424</f>
        <v>0</v>
      </c>
      <c r="AA423" s="49" t="n">
        <f aca="false">'Daily KPI Entry'!AA424</f>
        <v>0</v>
      </c>
      <c r="AB423" s="49" t="n">
        <f aca="false">'Daily KPI Entry'!AB424</f>
        <v>0</v>
      </c>
      <c r="AC423" s="49" t="n">
        <f aca="false">'Daily KPI Entry'!AC424</f>
        <v>0</v>
      </c>
      <c r="AD423" s="49" t="n">
        <f aca="false">'Daily KPI Entry'!AD424</f>
        <v>0</v>
      </c>
      <c r="AE423" s="49" t="n">
        <f aca="false">'Daily KPI Entry'!AE424</f>
        <v>0</v>
      </c>
      <c r="AF423" s="47" t="str">
        <f aca="false">IF(O423="","",SUM(X423:AE423))</f>
        <v/>
      </c>
      <c r="AG423" s="49" t="str">
        <f aca="false">IF(O423="","",IFERROR(AF423/O423*1000,0))</f>
        <v/>
      </c>
      <c r="AH423" s="49" t="n">
        <f aca="false">'Daily KPI Entry'!AH424</f>
        <v>0</v>
      </c>
      <c r="AI423" s="49" t="n">
        <f aca="false">'Daily KPI Entry'!AI424</f>
        <v>0</v>
      </c>
      <c r="AJ423" s="49" t="n">
        <f aca="false">'Daily KPI Entry'!AJ424</f>
        <v>0</v>
      </c>
      <c r="AK423" s="47" t="n">
        <f aca="false">'Daily KPI Entry'!AK424</f>
        <v>0</v>
      </c>
      <c r="AL423" s="47" t="n">
        <f aca="false">'Daily KPI Entry'!AL424</f>
        <v>0</v>
      </c>
      <c r="AM423" s="47" t="n">
        <f aca="false">'Daily KPI Entry'!AM424</f>
        <v>0</v>
      </c>
      <c r="AN423" s="49" t="str">
        <f aca="false">IF(P423="","",MIN(120,P423))</f>
        <v/>
      </c>
      <c r="AO423" s="49" t="str">
        <f aca="false">IF(U423="","",MIN(120,U423))</f>
        <v/>
      </c>
      <c r="AP423" s="49" t="str">
        <f aca="false">IF(R423="","",MIN(120,IFERROR(S423/R423*100,0)))</f>
        <v/>
      </c>
      <c r="AQ423" s="49" t="str">
        <f aca="false">IF(W423="","",MIN(120,IF(W423=0,120,100*(INDEX('Standards &amp; Scoring'!$E$5:$E$13,MATCH("Quality / Rejection",'Standards &amp; Scoring'!$A$5:$A$13,0))/W423))))</f>
        <v/>
      </c>
      <c r="AR423" s="49" t="str">
        <f aca="false">IF(AG423="","",MIN(120,IF(AG423=0,120,100*(INDEX('Standards &amp; Scoring'!$E$5:$E$13,MATCH("Fault Control",'Standards &amp; Scoring'!$A$5:$A$13,0))/AG423))))</f>
        <v/>
      </c>
      <c r="AS423" s="49" t="str">
        <f aca="false">IF(O423="","",MIN(120,IF(SUMIFS('Fault &amp; Downtime Entry'!$L$6:$L$1005,'Fault &amp; Downtime Entry'!$E$6:$E$1005,G423,'Fault &amp; Downtime Entry'!$B$6:$B$1005,B423)=0,120,100*(INDEX('Standards &amp; Scoring'!$E$5:$E$13,MATCH("Downtime Control",'Standards &amp; Scoring'!$A$5:$A$13,0))/IFERROR(SUMIFS('Fault &amp; Downtime Entry'!$L$6:$L$1005,'Fault &amp; Downtime Entry'!$E$6:$E$1005,G423,'Fault &amp; Downtime Entry'!$B$6:$B$1005,B423)/O423*1000,999999)))))</f>
        <v/>
      </c>
      <c r="AT423" s="49" t="n">
        <f aca="false">IF(COUNTA(AH423,AJ423)=0,"",MIN(120,IF(AND(AH423&lt;&gt;"",AJ423&lt;&gt;""),AVERAGE(AH423,AJ423),IF(AH423&lt;&gt;"",AH423,AJ423))))</f>
        <v>0</v>
      </c>
      <c r="AU423" s="49" t="str">
        <f aca="false">IF(AI423="","",MIN(120,AI423))</f>
        <v/>
      </c>
      <c r="AV423" s="49" t="str">
        <f aca="false">IF(AJ423="","",MIN(120,AJ423))</f>
        <v/>
      </c>
      <c r="AW423" s="50" t="str">
        <f aca="false">IF(COUNT(AN423:AV423)&lt;9,"",(AN423*'Standards &amp; Scoring'!$D$5+AO423*'Standards &amp; Scoring'!$D$6+AP423*'Standards &amp; Scoring'!$D$7+AQ423*'Standards &amp; Scoring'!$D$8+AR423*'Standards &amp; Scoring'!$D$9+AS423*'Standards &amp; Scoring'!$D$10+AT423*'Standards &amp; Scoring'!$D$11+AU423*'Standards &amp; Scoring'!$D$12+AV423*'Standards &amp; Scoring'!$D$13)/10000)</f>
        <v/>
      </c>
      <c r="AX423" s="47" t="str">
        <f aca="false">IF(AW423="","",IF(AW423&gt;=1.05,"A+",IF(AW423&gt;=1,"A",IF(AW423&gt;=0.95,"B+",IF(AW423&gt;=0.9,"B","C")))))</f>
        <v/>
      </c>
      <c r="AY423" s="47" t="str">
        <f aca="false">IF(AX423="","",IF(AX423="A+",1800,IF(AX423="A",1600,IF(AX423="B+",1400,IF(AX423="B",1200,0)))))</f>
        <v/>
      </c>
      <c r="AZ423" s="49" t="str">
        <f aca="false">IF(OR(L423="",M423="",S423="",M423=0),"",IFERROR(L423*60*S423/(M423*36),0))</f>
        <v/>
      </c>
    </row>
    <row r="424" customFormat="false" ht="15" hidden="false" customHeight="true" outlineLevel="0" collapsed="false">
      <c r="A424" s="47" t="n">
        <f aca="false">'Daily KPI Entry'!A425</f>
        <v>0</v>
      </c>
      <c r="B424" s="48" t="n">
        <f aca="false">'Daily KPI Entry'!B425</f>
        <v>0</v>
      </c>
      <c r="C424" s="47" t="n">
        <f aca="false">'Daily KPI Entry'!C425</f>
        <v>0</v>
      </c>
      <c r="D424" s="47" t="n">
        <f aca="false">'Daily KPI Entry'!D425</f>
        <v>0</v>
      </c>
      <c r="E424" s="47" t="n">
        <f aca="false">'Daily KPI Entry'!E425</f>
        <v>0</v>
      </c>
      <c r="F424" s="47" t="n">
        <f aca="false">'Daily KPI Entry'!F425</f>
        <v>0</v>
      </c>
      <c r="G424" s="47" t="n">
        <f aca="false">'Daily KPI Entry'!G425</f>
        <v>0</v>
      </c>
      <c r="H424" s="47" t="str">
        <f aca="false">'Daily KPI Entry'!H425</f>
        <v/>
      </c>
      <c r="I424" s="47" t="n">
        <f aca="false">'Daily KPI Entry'!I425</f>
        <v>0</v>
      </c>
      <c r="J424" s="47" t="n">
        <f aca="false">'Daily KPI Entry'!J425</f>
        <v>0</v>
      </c>
      <c r="K424" s="47" t="n">
        <f aca="false">'Daily KPI Entry'!K425</f>
        <v>0</v>
      </c>
      <c r="L424" s="47" t="n">
        <f aca="false">'Daily KPI Entry'!L425</f>
        <v>0</v>
      </c>
      <c r="M424" s="47" t="n">
        <f aca="false">'Daily KPI Entry'!M425</f>
        <v>0</v>
      </c>
      <c r="N424" s="49" t="n">
        <f aca="false">'Daily KPI Entry'!N425</f>
        <v>0</v>
      </c>
      <c r="O424" s="49" t="n">
        <f aca="false">'Daily KPI Entry'!O425</f>
        <v>0</v>
      </c>
      <c r="P424" s="49" t="str">
        <f aca="false">IF(OR(N424="",O424=""),"",IFERROR(O424/N424*100,0))</f>
        <v/>
      </c>
      <c r="Q424" s="47" t="n">
        <f aca="false">'Daily KPI Entry'!Q425</f>
        <v>8</v>
      </c>
      <c r="R424" s="47" t="str">
        <f aca="false">IF(J424="","",Q424*J424)</f>
        <v/>
      </c>
      <c r="S424" s="49" t="n">
        <f aca="false">'Daily KPI Entry'!S425</f>
        <v>0</v>
      </c>
      <c r="T424" s="49" t="str">
        <f aca="false">IF(OR(R424="",S424=""),"",IFERROR(S424/R424*100,0))</f>
        <v/>
      </c>
      <c r="U424" s="49" t="str">
        <f aca="false">IF(OR(O424="",L424="",M424="",S424="",M424=0),"",IFERROR(O424/(L424*60*S424/(M424*36))*100,0))</f>
        <v/>
      </c>
      <c r="V424" s="49" t="n">
        <f aca="false">'Daily KPI Entry'!V425</f>
        <v>0</v>
      </c>
      <c r="W424" s="49" t="str">
        <f aca="false">IF(O424="","",IFERROR(V424/O424*100,0))</f>
        <v/>
      </c>
      <c r="X424" s="49" t="n">
        <f aca="false">'Daily KPI Entry'!X425</f>
        <v>0</v>
      </c>
      <c r="Y424" s="49" t="n">
        <f aca="false">'Daily KPI Entry'!Y425</f>
        <v>0</v>
      </c>
      <c r="Z424" s="49" t="n">
        <f aca="false">'Daily KPI Entry'!Z425</f>
        <v>0</v>
      </c>
      <c r="AA424" s="49" t="n">
        <f aca="false">'Daily KPI Entry'!AA425</f>
        <v>0</v>
      </c>
      <c r="AB424" s="49" t="n">
        <f aca="false">'Daily KPI Entry'!AB425</f>
        <v>0</v>
      </c>
      <c r="AC424" s="49" t="n">
        <f aca="false">'Daily KPI Entry'!AC425</f>
        <v>0</v>
      </c>
      <c r="AD424" s="49" t="n">
        <f aca="false">'Daily KPI Entry'!AD425</f>
        <v>0</v>
      </c>
      <c r="AE424" s="49" t="n">
        <f aca="false">'Daily KPI Entry'!AE425</f>
        <v>0</v>
      </c>
      <c r="AF424" s="47" t="str">
        <f aca="false">IF(O424="","",SUM(X424:AE424))</f>
        <v/>
      </c>
      <c r="AG424" s="49" t="str">
        <f aca="false">IF(O424="","",IFERROR(AF424/O424*1000,0))</f>
        <v/>
      </c>
      <c r="AH424" s="49" t="n">
        <f aca="false">'Daily KPI Entry'!AH425</f>
        <v>0</v>
      </c>
      <c r="AI424" s="49" t="n">
        <f aca="false">'Daily KPI Entry'!AI425</f>
        <v>0</v>
      </c>
      <c r="AJ424" s="49" t="n">
        <f aca="false">'Daily KPI Entry'!AJ425</f>
        <v>0</v>
      </c>
      <c r="AK424" s="47" t="n">
        <f aca="false">'Daily KPI Entry'!AK425</f>
        <v>0</v>
      </c>
      <c r="AL424" s="47" t="n">
        <f aca="false">'Daily KPI Entry'!AL425</f>
        <v>0</v>
      </c>
      <c r="AM424" s="47" t="n">
        <f aca="false">'Daily KPI Entry'!AM425</f>
        <v>0</v>
      </c>
      <c r="AN424" s="49" t="str">
        <f aca="false">IF(P424="","",MIN(120,P424))</f>
        <v/>
      </c>
      <c r="AO424" s="49" t="str">
        <f aca="false">IF(U424="","",MIN(120,U424))</f>
        <v/>
      </c>
      <c r="AP424" s="49" t="str">
        <f aca="false">IF(R424="","",MIN(120,IFERROR(S424/R424*100,0)))</f>
        <v/>
      </c>
      <c r="AQ424" s="49" t="str">
        <f aca="false">IF(W424="","",MIN(120,IF(W424=0,120,100*(INDEX('Standards &amp; Scoring'!$E$5:$E$13,MATCH("Quality / Rejection",'Standards &amp; Scoring'!$A$5:$A$13,0))/W424))))</f>
        <v/>
      </c>
      <c r="AR424" s="49" t="str">
        <f aca="false">IF(AG424="","",MIN(120,IF(AG424=0,120,100*(INDEX('Standards &amp; Scoring'!$E$5:$E$13,MATCH("Fault Control",'Standards &amp; Scoring'!$A$5:$A$13,0))/AG424))))</f>
        <v/>
      </c>
      <c r="AS424" s="49" t="str">
        <f aca="false">IF(O424="","",MIN(120,IF(SUMIFS('Fault &amp; Downtime Entry'!$L$6:$L$1005,'Fault &amp; Downtime Entry'!$E$6:$E$1005,G424,'Fault &amp; Downtime Entry'!$B$6:$B$1005,B424)=0,120,100*(INDEX('Standards &amp; Scoring'!$E$5:$E$13,MATCH("Downtime Control",'Standards &amp; Scoring'!$A$5:$A$13,0))/IFERROR(SUMIFS('Fault &amp; Downtime Entry'!$L$6:$L$1005,'Fault &amp; Downtime Entry'!$E$6:$E$1005,G424,'Fault &amp; Downtime Entry'!$B$6:$B$1005,B424)/O424*1000,999999)))))</f>
        <v/>
      </c>
      <c r="AT424" s="49" t="n">
        <f aca="false">IF(COUNTA(AH424,AJ424)=0,"",MIN(120,IF(AND(AH424&lt;&gt;"",AJ424&lt;&gt;""),AVERAGE(AH424,AJ424),IF(AH424&lt;&gt;"",AH424,AJ424))))</f>
        <v>0</v>
      </c>
      <c r="AU424" s="49" t="str">
        <f aca="false">IF(AI424="","",MIN(120,AI424))</f>
        <v/>
      </c>
      <c r="AV424" s="49" t="str">
        <f aca="false">IF(AJ424="","",MIN(120,AJ424))</f>
        <v/>
      </c>
      <c r="AW424" s="50" t="str">
        <f aca="false">IF(COUNT(AN424:AV424)&lt;9,"",(AN424*'Standards &amp; Scoring'!$D$5+AO424*'Standards &amp; Scoring'!$D$6+AP424*'Standards &amp; Scoring'!$D$7+AQ424*'Standards &amp; Scoring'!$D$8+AR424*'Standards &amp; Scoring'!$D$9+AS424*'Standards &amp; Scoring'!$D$10+AT424*'Standards &amp; Scoring'!$D$11+AU424*'Standards &amp; Scoring'!$D$12+AV424*'Standards &amp; Scoring'!$D$13)/10000)</f>
        <v/>
      </c>
      <c r="AX424" s="47" t="str">
        <f aca="false">IF(AW424="","",IF(AW424&gt;=1.05,"A+",IF(AW424&gt;=1,"A",IF(AW424&gt;=0.95,"B+",IF(AW424&gt;=0.9,"B","C")))))</f>
        <v/>
      </c>
      <c r="AY424" s="47" t="str">
        <f aca="false">IF(AX424="","",IF(AX424="A+",1800,IF(AX424="A",1600,IF(AX424="B+",1400,IF(AX424="B",1200,0)))))</f>
        <v/>
      </c>
      <c r="AZ424" s="49" t="str">
        <f aca="false">IF(OR(L424="",M424="",S424="",M424=0),"",IFERROR(L424*60*S424/(M424*36),0))</f>
        <v/>
      </c>
    </row>
    <row r="425" customFormat="false" ht="15" hidden="false" customHeight="true" outlineLevel="0" collapsed="false">
      <c r="A425" s="47" t="n">
        <f aca="false">'Daily KPI Entry'!A426</f>
        <v>0</v>
      </c>
      <c r="B425" s="48" t="n">
        <f aca="false">'Daily KPI Entry'!B426</f>
        <v>0</v>
      </c>
      <c r="C425" s="47" t="n">
        <f aca="false">'Daily KPI Entry'!C426</f>
        <v>0</v>
      </c>
      <c r="D425" s="47" t="n">
        <f aca="false">'Daily KPI Entry'!D426</f>
        <v>0</v>
      </c>
      <c r="E425" s="47" t="n">
        <f aca="false">'Daily KPI Entry'!E426</f>
        <v>0</v>
      </c>
      <c r="F425" s="47" t="n">
        <f aca="false">'Daily KPI Entry'!F426</f>
        <v>0</v>
      </c>
      <c r="G425" s="47" t="n">
        <f aca="false">'Daily KPI Entry'!G426</f>
        <v>0</v>
      </c>
      <c r="H425" s="47" t="str">
        <f aca="false">'Daily KPI Entry'!H426</f>
        <v/>
      </c>
      <c r="I425" s="47" t="n">
        <f aca="false">'Daily KPI Entry'!I426</f>
        <v>0</v>
      </c>
      <c r="J425" s="47" t="n">
        <f aca="false">'Daily KPI Entry'!J426</f>
        <v>0</v>
      </c>
      <c r="K425" s="47" t="n">
        <f aca="false">'Daily KPI Entry'!K426</f>
        <v>0</v>
      </c>
      <c r="L425" s="47" t="n">
        <f aca="false">'Daily KPI Entry'!L426</f>
        <v>0</v>
      </c>
      <c r="M425" s="47" t="n">
        <f aca="false">'Daily KPI Entry'!M426</f>
        <v>0</v>
      </c>
      <c r="N425" s="49" t="n">
        <f aca="false">'Daily KPI Entry'!N426</f>
        <v>0</v>
      </c>
      <c r="O425" s="49" t="n">
        <f aca="false">'Daily KPI Entry'!O426</f>
        <v>0</v>
      </c>
      <c r="P425" s="49" t="str">
        <f aca="false">IF(OR(N425="",O425=""),"",IFERROR(O425/N425*100,0))</f>
        <v/>
      </c>
      <c r="Q425" s="47" t="n">
        <f aca="false">'Daily KPI Entry'!Q426</f>
        <v>8</v>
      </c>
      <c r="R425" s="47" t="str">
        <f aca="false">IF(J425="","",Q425*J425)</f>
        <v/>
      </c>
      <c r="S425" s="49" t="n">
        <f aca="false">'Daily KPI Entry'!S426</f>
        <v>0</v>
      </c>
      <c r="T425" s="49" t="str">
        <f aca="false">IF(OR(R425="",S425=""),"",IFERROR(S425/R425*100,0))</f>
        <v/>
      </c>
      <c r="U425" s="49" t="str">
        <f aca="false">IF(OR(O425="",L425="",M425="",S425="",M425=0),"",IFERROR(O425/(L425*60*S425/(M425*36))*100,0))</f>
        <v/>
      </c>
      <c r="V425" s="49" t="n">
        <f aca="false">'Daily KPI Entry'!V426</f>
        <v>0</v>
      </c>
      <c r="W425" s="49" t="str">
        <f aca="false">IF(O425="","",IFERROR(V425/O425*100,0))</f>
        <v/>
      </c>
      <c r="X425" s="49" t="n">
        <f aca="false">'Daily KPI Entry'!X426</f>
        <v>0</v>
      </c>
      <c r="Y425" s="49" t="n">
        <f aca="false">'Daily KPI Entry'!Y426</f>
        <v>0</v>
      </c>
      <c r="Z425" s="49" t="n">
        <f aca="false">'Daily KPI Entry'!Z426</f>
        <v>0</v>
      </c>
      <c r="AA425" s="49" t="n">
        <f aca="false">'Daily KPI Entry'!AA426</f>
        <v>0</v>
      </c>
      <c r="AB425" s="49" t="n">
        <f aca="false">'Daily KPI Entry'!AB426</f>
        <v>0</v>
      </c>
      <c r="AC425" s="49" t="n">
        <f aca="false">'Daily KPI Entry'!AC426</f>
        <v>0</v>
      </c>
      <c r="AD425" s="49" t="n">
        <f aca="false">'Daily KPI Entry'!AD426</f>
        <v>0</v>
      </c>
      <c r="AE425" s="49" t="n">
        <f aca="false">'Daily KPI Entry'!AE426</f>
        <v>0</v>
      </c>
      <c r="AF425" s="47" t="str">
        <f aca="false">IF(O425="","",SUM(X425:AE425))</f>
        <v/>
      </c>
      <c r="AG425" s="49" t="str">
        <f aca="false">IF(O425="","",IFERROR(AF425/O425*1000,0))</f>
        <v/>
      </c>
      <c r="AH425" s="49" t="n">
        <f aca="false">'Daily KPI Entry'!AH426</f>
        <v>0</v>
      </c>
      <c r="AI425" s="49" t="n">
        <f aca="false">'Daily KPI Entry'!AI426</f>
        <v>0</v>
      </c>
      <c r="AJ425" s="49" t="n">
        <f aca="false">'Daily KPI Entry'!AJ426</f>
        <v>0</v>
      </c>
      <c r="AK425" s="47" t="n">
        <f aca="false">'Daily KPI Entry'!AK426</f>
        <v>0</v>
      </c>
      <c r="AL425" s="47" t="n">
        <f aca="false">'Daily KPI Entry'!AL426</f>
        <v>0</v>
      </c>
      <c r="AM425" s="47" t="n">
        <f aca="false">'Daily KPI Entry'!AM426</f>
        <v>0</v>
      </c>
      <c r="AN425" s="49" t="str">
        <f aca="false">IF(P425="","",MIN(120,P425))</f>
        <v/>
      </c>
      <c r="AO425" s="49" t="str">
        <f aca="false">IF(U425="","",MIN(120,U425))</f>
        <v/>
      </c>
      <c r="AP425" s="49" t="str">
        <f aca="false">IF(R425="","",MIN(120,IFERROR(S425/R425*100,0)))</f>
        <v/>
      </c>
      <c r="AQ425" s="49" t="str">
        <f aca="false">IF(W425="","",MIN(120,IF(W425=0,120,100*(INDEX('Standards &amp; Scoring'!$E$5:$E$13,MATCH("Quality / Rejection",'Standards &amp; Scoring'!$A$5:$A$13,0))/W425))))</f>
        <v/>
      </c>
      <c r="AR425" s="49" t="str">
        <f aca="false">IF(AG425="","",MIN(120,IF(AG425=0,120,100*(INDEX('Standards &amp; Scoring'!$E$5:$E$13,MATCH("Fault Control",'Standards &amp; Scoring'!$A$5:$A$13,0))/AG425))))</f>
        <v/>
      </c>
      <c r="AS425" s="49" t="str">
        <f aca="false">IF(O425="","",MIN(120,IF(SUMIFS('Fault &amp; Downtime Entry'!$L$6:$L$1005,'Fault &amp; Downtime Entry'!$E$6:$E$1005,G425,'Fault &amp; Downtime Entry'!$B$6:$B$1005,B425)=0,120,100*(INDEX('Standards &amp; Scoring'!$E$5:$E$13,MATCH("Downtime Control",'Standards &amp; Scoring'!$A$5:$A$13,0))/IFERROR(SUMIFS('Fault &amp; Downtime Entry'!$L$6:$L$1005,'Fault &amp; Downtime Entry'!$E$6:$E$1005,G425,'Fault &amp; Downtime Entry'!$B$6:$B$1005,B425)/O425*1000,999999)))))</f>
        <v/>
      </c>
      <c r="AT425" s="49" t="n">
        <f aca="false">IF(COUNTA(AH425,AJ425)=0,"",MIN(120,IF(AND(AH425&lt;&gt;"",AJ425&lt;&gt;""),AVERAGE(AH425,AJ425),IF(AH425&lt;&gt;"",AH425,AJ425))))</f>
        <v>0</v>
      </c>
      <c r="AU425" s="49" t="str">
        <f aca="false">IF(AI425="","",MIN(120,AI425))</f>
        <v/>
      </c>
      <c r="AV425" s="49" t="str">
        <f aca="false">IF(AJ425="","",MIN(120,AJ425))</f>
        <v/>
      </c>
      <c r="AW425" s="50" t="str">
        <f aca="false">IF(COUNT(AN425:AV425)&lt;9,"",(AN425*'Standards &amp; Scoring'!$D$5+AO425*'Standards &amp; Scoring'!$D$6+AP425*'Standards &amp; Scoring'!$D$7+AQ425*'Standards &amp; Scoring'!$D$8+AR425*'Standards &amp; Scoring'!$D$9+AS425*'Standards &amp; Scoring'!$D$10+AT425*'Standards &amp; Scoring'!$D$11+AU425*'Standards &amp; Scoring'!$D$12+AV425*'Standards &amp; Scoring'!$D$13)/10000)</f>
        <v/>
      </c>
      <c r="AX425" s="47" t="str">
        <f aca="false">IF(AW425="","",IF(AW425&gt;=1.05,"A+",IF(AW425&gt;=1,"A",IF(AW425&gt;=0.95,"B+",IF(AW425&gt;=0.9,"B","C")))))</f>
        <v/>
      </c>
      <c r="AY425" s="47" t="str">
        <f aca="false">IF(AX425="","",IF(AX425="A+",1800,IF(AX425="A",1600,IF(AX425="B+",1400,IF(AX425="B",1200,0)))))</f>
        <v/>
      </c>
      <c r="AZ425" s="49" t="str">
        <f aca="false">IF(OR(L425="",M425="",S425="",M425=0),"",IFERROR(L425*60*S425/(M425*36),0))</f>
        <v/>
      </c>
    </row>
    <row r="426" customFormat="false" ht="15" hidden="false" customHeight="true" outlineLevel="0" collapsed="false">
      <c r="A426" s="47" t="n">
        <f aca="false">'Daily KPI Entry'!A427</f>
        <v>0</v>
      </c>
      <c r="B426" s="48" t="n">
        <f aca="false">'Daily KPI Entry'!B427</f>
        <v>0</v>
      </c>
      <c r="C426" s="47" t="n">
        <f aca="false">'Daily KPI Entry'!C427</f>
        <v>0</v>
      </c>
      <c r="D426" s="47" t="n">
        <f aca="false">'Daily KPI Entry'!D427</f>
        <v>0</v>
      </c>
      <c r="E426" s="47" t="n">
        <f aca="false">'Daily KPI Entry'!E427</f>
        <v>0</v>
      </c>
      <c r="F426" s="47" t="n">
        <f aca="false">'Daily KPI Entry'!F427</f>
        <v>0</v>
      </c>
      <c r="G426" s="47" t="n">
        <f aca="false">'Daily KPI Entry'!G427</f>
        <v>0</v>
      </c>
      <c r="H426" s="47" t="str">
        <f aca="false">'Daily KPI Entry'!H427</f>
        <v/>
      </c>
      <c r="I426" s="47" t="n">
        <f aca="false">'Daily KPI Entry'!I427</f>
        <v>0</v>
      </c>
      <c r="J426" s="47" t="n">
        <f aca="false">'Daily KPI Entry'!J427</f>
        <v>0</v>
      </c>
      <c r="K426" s="47" t="n">
        <f aca="false">'Daily KPI Entry'!K427</f>
        <v>0</v>
      </c>
      <c r="L426" s="47" t="n">
        <f aca="false">'Daily KPI Entry'!L427</f>
        <v>0</v>
      </c>
      <c r="M426" s="47" t="n">
        <f aca="false">'Daily KPI Entry'!M427</f>
        <v>0</v>
      </c>
      <c r="N426" s="49" t="n">
        <f aca="false">'Daily KPI Entry'!N427</f>
        <v>0</v>
      </c>
      <c r="O426" s="49" t="n">
        <f aca="false">'Daily KPI Entry'!O427</f>
        <v>0</v>
      </c>
      <c r="P426" s="49" t="str">
        <f aca="false">IF(OR(N426="",O426=""),"",IFERROR(O426/N426*100,0))</f>
        <v/>
      </c>
      <c r="Q426" s="47" t="n">
        <f aca="false">'Daily KPI Entry'!Q427</f>
        <v>8</v>
      </c>
      <c r="R426" s="47" t="str">
        <f aca="false">IF(J426="","",Q426*J426)</f>
        <v/>
      </c>
      <c r="S426" s="49" t="n">
        <f aca="false">'Daily KPI Entry'!S427</f>
        <v>0</v>
      </c>
      <c r="T426" s="49" t="str">
        <f aca="false">IF(OR(R426="",S426=""),"",IFERROR(S426/R426*100,0))</f>
        <v/>
      </c>
      <c r="U426" s="49" t="str">
        <f aca="false">IF(OR(O426="",L426="",M426="",S426="",M426=0),"",IFERROR(O426/(L426*60*S426/(M426*36))*100,0))</f>
        <v/>
      </c>
      <c r="V426" s="49" t="n">
        <f aca="false">'Daily KPI Entry'!V427</f>
        <v>0</v>
      </c>
      <c r="W426" s="49" t="str">
        <f aca="false">IF(O426="","",IFERROR(V426/O426*100,0))</f>
        <v/>
      </c>
      <c r="X426" s="49" t="n">
        <f aca="false">'Daily KPI Entry'!X427</f>
        <v>0</v>
      </c>
      <c r="Y426" s="49" t="n">
        <f aca="false">'Daily KPI Entry'!Y427</f>
        <v>0</v>
      </c>
      <c r="Z426" s="49" t="n">
        <f aca="false">'Daily KPI Entry'!Z427</f>
        <v>0</v>
      </c>
      <c r="AA426" s="49" t="n">
        <f aca="false">'Daily KPI Entry'!AA427</f>
        <v>0</v>
      </c>
      <c r="AB426" s="49" t="n">
        <f aca="false">'Daily KPI Entry'!AB427</f>
        <v>0</v>
      </c>
      <c r="AC426" s="49" t="n">
        <f aca="false">'Daily KPI Entry'!AC427</f>
        <v>0</v>
      </c>
      <c r="AD426" s="49" t="n">
        <f aca="false">'Daily KPI Entry'!AD427</f>
        <v>0</v>
      </c>
      <c r="AE426" s="49" t="n">
        <f aca="false">'Daily KPI Entry'!AE427</f>
        <v>0</v>
      </c>
      <c r="AF426" s="47" t="str">
        <f aca="false">IF(O426="","",SUM(X426:AE426))</f>
        <v/>
      </c>
      <c r="AG426" s="49" t="str">
        <f aca="false">IF(O426="","",IFERROR(AF426/O426*1000,0))</f>
        <v/>
      </c>
      <c r="AH426" s="49" t="n">
        <f aca="false">'Daily KPI Entry'!AH427</f>
        <v>0</v>
      </c>
      <c r="AI426" s="49" t="n">
        <f aca="false">'Daily KPI Entry'!AI427</f>
        <v>0</v>
      </c>
      <c r="AJ426" s="49" t="n">
        <f aca="false">'Daily KPI Entry'!AJ427</f>
        <v>0</v>
      </c>
      <c r="AK426" s="47" t="n">
        <f aca="false">'Daily KPI Entry'!AK427</f>
        <v>0</v>
      </c>
      <c r="AL426" s="47" t="n">
        <f aca="false">'Daily KPI Entry'!AL427</f>
        <v>0</v>
      </c>
      <c r="AM426" s="47" t="n">
        <f aca="false">'Daily KPI Entry'!AM427</f>
        <v>0</v>
      </c>
      <c r="AN426" s="49" t="str">
        <f aca="false">IF(P426="","",MIN(120,P426))</f>
        <v/>
      </c>
      <c r="AO426" s="49" t="str">
        <f aca="false">IF(U426="","",MIN(120,U426))</f>
        <v/>
      </c>
      <c r="AP426" s="49" t="str">
        <f aca="false">IF(R426="","",MIN(120,IFERROR(S426/R426*100,0)))</f>
        <v/>
      </c>
      <c r="AQ426" s="49" t="str">
        <f aca="false">IF(W426="","",MIN(120,IF(W426=0,120,100*(INDEX('Standards &amp; Scoring'!$E$5:$E$13,MATCH("Quality / Rejection",'Standards &amp; Scoring'!$A$5:$A$13,0))/W426))))</f>
        <v/>
      </c>
      <c r="AR426" s="49" t="str">
        <f aca="false">IF(AG426="","",MIN(120,IF(AG426=0,120,100*(INDEX('Standards &amp; Scoring'!$E$5:$E$13,MATCH("Fault Control",'Standards &amp; Scoring'!$A$5:$A$13,0))/AG426))))</f>
        <v/>
      </c>
      <c r="AS426" s="49" t="str">
        <f aca="false">IF(O426="","",MIN(120,IF(SUMIFS('Fault &amp; Downtime Entry'!$L$6:$L$1005,'Fault &amp; Downtime Entry'!$E$6:$E$1005,G426,'Fault &amp; Downtime Entry'!$B$6:$B$1005,B426)=0,120,100*(INDEX('Standards &amp; Scoring'!$E$5:$E$13,MATCH("Downtime Control",'Standards &amp; Scoring'!$A$5:$A$13,0))/IFERROR(SUMIFS('Fault &amp; Downtime Entry'!$L$6:$L$1005,'Fault &amp; Downtime Entry'!$E$6:$E$1005,G426,'Fault &amp; Downtime Entry'!$B$6:$B$1005,B426)/O426*1000,999999)))))</f>
        <v/>
      </c>
      <c r="AT426" s="49" t="n">
        <f aca="false">IF(COUNTA(AH426,AJ426)=0,"",MIN(120,IF(AND(AH426&lt;&gt;"",AJ426&lt;&gt;""),AVERAGE(AH426,AJ426),IF(AH426&lt;&gt;"",AH426,AJ426))))</f>
        <v>0</v>
      </c>
      <c r="AU426" s="49" t="str">
        <f aca="false">IF(AI426="","",MIN(120,AI426))</f>
        <v/>
      </c>
      <c r="AV426" s="49" t="str">
        <f aca="false">IF(AJ426="","",MIN(120,AJ426))</f>
        <v/>
      </c>
      <c r="AW426" s="50" t="str">
        <f aca="false">IF(COUNT(AN426:AV426)&lt;9,"",(AN426*'Standards &amp; Scoring'!$D$5+AO426*'Standards &amp; Scoring'!$D$6+AP426*'Standards &amp; Scoring'!$D$7+AQ426*'Standards &amp; Scoring'!$D$8+AR426*'Standards &amp; Scoring'!$D$9+AS426*'Standards &amp; Scoring'!$D$10+AT426*'Standards &amp; Scoring'!$D$11+AU426*'Standards &amp; Scoring'!$D$12+AV426*'Standards &amp; Scoring'!$D$13)/10000)</f>
        <v/>
      </c>
      <c r="AX426" s="47" t="str">
        <f aca="false">IF(AW426="","",IF(AW426&gt;=1.05,"A+",IF(AW426&gt;=1,"A",IF(AW426&gt;=0.95,"B+",IF(AW426&gt;=0.9,"B","C")))))</f>
        <v/>
      </c>
      <c r="AY426" s="47" t="str">
        <f aca="false">IF(AX426="","",IF(AX426="A+",1800,IF(AX426="A",1600,IF(AX426="B+",1400,IF(AX426="B",1200,0)))))</f>
        <v/>
      </c>
      <c r="AZ426" s="49" t="str">
        <f aca="false">IF(OR(L426="",M426="",S426="",M426=0),"",IFERROR(L426*60*S426/(M426*36),0))</f>
        <v/>
      </c>
    </row>
    <row r="427" customFormat="false" ht="15" hidden="false" customHeight="true" outlineLevel="0" collapsed="false">
      <c r="A427" s="47" t="n">
        <f aca="false">'Daily KPI Entry'!A428</f>
        <v>0</v>
      </c>
      <c r="B427" s="48" t="n">
        <f aca="false">'Daily KPI Entry'!B428</f>
        <v>0</v>
      </c>
      <c r="C427" s="47" t="n">
        <f aca="false">'Daily KPI Entry'!C428</f>
        <v>0</v>
      </c>
      <c r="D427" s="47" t="n">
        <f aca="false">'Daily KPI Entry'!D428</f>
        <v>0</v>
      </c>
      <c r="E427" s="47" t="n">
        <f aca="false">'Daily KPI Entry'!E428</f>
        <v>0</v>
      </c>
      <c r="F427" s="47" t="n">
        <f aca="false">'Daily KPI Entry'!F428</f>
        <v>0</v>
      </c>
      <c r="G427" s="47" t="n">
        <f aca="false">'Daily KPI Entry'!G428</f>
        <v>0</v>
      </c>
      <c r="H427" s="47" t="str">
        <f aca="false">'Daily KPI Entry'!H428</f>
        <v/>
      </c>
      <c r="I427" s="47" t="n">
        <f aca="false">'Daily KPI Entry'!I428</f>
        <v>0</v>
      </c>
      <c r="J427" s="47" t="n">
        <f aca="false">'Daily KPI Entry'!J428</f>
        <v>0</v>
      </c>
      <c r="K427" s="47" t="n">
        <f aca="false">'Daily KPI Entry'!K428</f>
        <v>0</v>
      </c>
      <c r="L427" s="47" t="n">
        <f aca="false">'Daily KPI Entry'!L428</f>
        <v>0</v>
      </c>
      <c r="M427" s="47" t="n">
        <f aca="false">'Daily KPI Entry'!M428</f>
        <v>0</v>
      </c>
      <c r="N427" s="49" t="n">
        <f aca="false">'Daily KPI Entry'!N428</f>
        <v>0</v>
      </c>
      <c r="O427" s="49" t="n">
        <f aca="false">'Daily KPI Entry'!O428</f>
        <v>0</v>
      </c>
      <c r="P427" s="49" t="str">
        <f aca="false">IF(OR(N427="",O427=""),"",IFERROR(O427/N427*100,0))</f>
        <v/>
      </c>
      <c r="Q427" s="47" t="n">
        <f aca="false">'Daily KPI Entry'!Q428</f>
        <v>8</v>
      </c>
      <c r="R427" s="47" t="str">
        <f aca="false">IF(J427="","",Q427*J427)</f>
        <v/>
      </c>
      <c r="S427" s="49" t="n">
        <f aca="false">'Daily KPI Entry'!S428</f>
        <v>0</v>
      </c>
      <c r="T427" s="49" t="str">
        <f aca="false">IF(OR(R427="",S427=""),"",IFERROR(S427/R427*100,0))</f>
        <v/>
      </c>
      <c r="U427" s="49" t="str">
        <f aca="false">IF(OR(O427="",L427="",M427="",S427="",M427=0),"",IFERROR(O427/(L427*60*S427/(M427*36))*100,0))</f>
        <v/>
      </c>
      <c r="V427" s="49" t="n">
        <f aca="false">'Daily KPI Entry'!V428</f>
        <v>0</v>
      </c>
      <c r="W427" s="49" t="str">
        <f aca="false">IF(O427="","",IFERROR(V427/O427*100,0))</f>
        <v/>
      </c>
      <c r="X427" s="49" t="n">
        <f aca="false">'Daily KPI Entry'!X428</f>
        <v>0</v>
      </c>
      <c r="Y427" s="49" t="n">
        <f aca="false">'Daily KPI Entry'!Y428</f>
        <v>0</v>
      </c>
      <c r="Z427" s="49" t="n">
        <f aca="false">'Daily KPI Entry'!Z428</f>
        <v>0</v>
      </c>
      <c r="AA427" s="49" t="n">
        <f aca="false">'Daily KPI Entry'!AA428</f>
        <v>0</v>
      </c>
      <c r="AB427" s="49" t="n">
        <f aca="false">'Daily KPI Entry'!AB428</f>
        <v>0</v>
      </c>
      <c r="AC427" s="49" t="n">
        <f aca="false">'Daily KPI Entry'!AC428</f>
        <v>0</v>
      </c>
      <c r="AD427" s="49" t="n">
        <f aca="false">'Daily KPI Entry'!AD428</f>
        <v>0</v>
      </c>
      <c r="AE427" s="49" t="n">
        <f aca="false">'Daily KPI Entry'!AE428</f>
        <v>0</v>
      </c>
      <c r="AF427" s="47" t="str">
        <f aca="false">IF(O427="","",SUM(X427:AE427))</f>
        <v/>
      </c>
      <c r="AG427" s="49" t="str">
        <f aca="false">IF(O427="","",IFERROR(AF427/O427*1000,0))</f>
        <v/>
      </c>
      <c r="AH427" s="49" t="n">
        <f aca="false">'Daily KPI Entry'!AH428</f>
        <v>0</v>
      </c>
      <c r="AI427" s="49" t="n">
        <f aca="false">'Daily KPI Entry'!AI428</f>
        <v>0</v>
      </c>
      <c r="AJ427" s="49" t="n">
        <f aca="false">'Daily KPI Entry'!AJ428</f>
        <v>0</v>
      </c>
      <c r="AK427" s="47" t="n">
        <f aca="false">'Daily KPI Entry'!AK428</f>
        <v>0</v>
      </c>
      <c r="AL427" s="47" t="n">
        <f aca="false">'Daily KPI Entry'!AL428</f>
        <v>0</v>
      </c>
      <c r="AM427" s="47" t="n">
        <f aca="false">'Daily KPI Entry'!AM428</f>
        <v>0</v>
      </c>
      <c r="AN427" s="49" t="str">
        <f aca="false">IF(P427="","",MIN(120,P427))</f>
        <v/>
      </c>
      <c r="AO427" s="49" t="str">
        <f aca="false">IF(U427="","",MIN(120,U427))</f>
        <v/>
      </c>
      <c r="AP427" s="49" t="str">
        <f aca="false">IF(R427="","",MIN(120,IFERROR(S427/R427*100,0)))</f>
        <v/>
      </c>
      <c r="AQ427" s="49" t="str">
        <f aca="false">IF(W427="","",MIN(120,IF(W427=0,120,100*(INDEX('Standards &amp; Scoring'!$E$5:$E$13,MATCH("Quality / Rejection",'Standards &amp; Scoring'!$A$5:$A$13,0))/W427))))</f>
        <v/>
      </c>
      <c r="AR427" s="49" t="str">
        <f aca="false">IF(AG427="","",MIN(120,IF(AG427=0,120,100*(INDEX('Standards &amp; Scoring'!$E$5:$E$13,MATCH("Fault Control",'Standards &amp; Scoring'!$A$5:$A$13,0))/AG427))))</f>
        <v/>
      </c>
      <c r="AS427" s="49" t="str">
        <f aca="false">IF(O427="","",MIN(120,IF(SUMIFS('Fault &amp; Downtime Entry'!$L$6:$L$1005,'Fault &amp; Downtime Entry'!$E$6:$E$1005,G427,'Fault &amp; Downtime Entry'!$B$6:$B$1005,B427)=0,120,100*(INDEX('Standards &amp; Scoring'!$E$5:$E$13,MATCH("Downtime Control",'Standards &amp; Scoring'!$A$5:$A$13,0))/IFERROR(SUMIFS('Fault &amp; Downtime Entry'!$L$6:$L$1005,'Fault &amp; Downtime Entry'!$E$6:$E$1005,G427,'Fault &amp; Downtime Entry'!$B$6:$B$1005,B427)/O427*1000,999999)))))</f>
        <v/>
      </c>
      <c r="AT427" s="49" t="n">
        <f aca="false">IF(COUNTA(AH427,AJ427)=0,"",MIN(120,IF(AND(AH427&lt;&gt;"",AJ427&lt;&gt;""),AVERAGE(AH427,AJ427),IF(AH427&lt;&gt;"",AH427,AJ427))))</f>
        <v>0</v>
      </c>
      <c r="AU427" s="49" t="str">
        <f aca="false">IF(AI427="","",MIN(120,AI427))</f>
        <v/>
      </c>
      <c r="AV427" s="49" t="str">
        <f aca="false">IF(AJ427="","",MIN(120,AJ427))</f>
        <v/>
      </c>
      <c r="AW427" s="50" t="str">
        <f aca="false">IF(COUNT(AN427:AV427)&lt;9,"",(AN427*'Standards &amp; Scoring'!$D$5+AO427*'Standards &amp; Scoring'!$D$6+AP427*'Standards &amp; Scoring'!$D$7+AQ427*'Standards &amp; Scoring'!$D$8+AR427*'Standards &amp; Scoring'!$D$9+AS427*'Standards &amp; Scoring'!$D$10+AT427*'Standards &amp; Scoring'!$D$11+AU427*'Standards &amp; Scoring'!$D$12+AV427*'Standards &amp; Scoring'!$D$13)/10000)</f>
        <v/>
      </c>
      <c r="AX427" s="47" t="str">
        <f aca="false">IF(AW427="","",IF(AW427&gt;=1.05,"A+",IF(AW427&gt;=1,"A",IF(AW427&gt;=0.95,"B+",IF(AW427&gt;=0.9,"B","C")))))</f>
        <v/>
      </c>
      <c r="AY427" s="47" t="str">
        <f aca="false">IF(AX427="","",IF(AX427="A+",1800,IF(AX427="A",1600,IF(AX427="B+",1400,IF(AX427="B",1200,0)))))</f>
        <v/>
      </c>
      <c r="AZ427" s="49" t="str">
        <f aca="false">IF(OR(L427="",M427="",S427="",M427=0),"",IFERROR(L427*60*S427/(M427*36),0))</f>
        <v/>
      </c>
    </row>
    <row r="428" customFormat="false" ht="15" hidden="false" customHeight="true" outlineLevel="0" collapsed="false">
      <c r="A428" s="47" t="n">
        <f aca="false">'Daily KPI Entry'!A429</f>
        <v>0</v>
      </c>
      <c r="B428" s="48" t="n">
        <f aca="false">'Daily KPI Entry'!B429</f>
        <v>0</v>
      </c>
      <c r="C428" s="47" t="n">
        <f aca="false">'Daily KPI Entry'!C429</f>
        <v>0</v>
      </c>
      <c r="D428" s="47" t="n">
        <f aca="false">'Daily KPI Entry'!D429</f>
        <v>0</v>
      </c>
      <c r="E428" s="47" t="n">
        <f aca="false">'Daily KPI Entry'!E429</f>
        <v>0</v>
      </c>
      <c r="F428" s="47" t="n">
        <f aca="false">'Daily KPI Entry'!F429</f>
        <v>0</v>
      </c>
      <c r="G428" s="47" t="n">
        <f aca="false">'Daily KPI Entry'!G429</f>
        <v>0</v>
      </c>
      <c r="H428" s="47" t="str">
        <f aca="false">'Daily KPI Entry'!H429</f>
        <v/>
      </c>
      <c r="I428" s="47" t="n">
        <f aca="false">'Daily KPI Entry'!I429</f>
        <v>0</v>
      </c>
      <c r="J428" s="47" t="n">
        <f aca="false">'Daily KPI Entry'!J429</f>
        <v>0</v>
      </c>
      <c r="K428" s="47" t="n">
        <f aca="false">'Daily KPI Entry'!K429</f>
        <v>0</v>
      </c>
      <c r="L428" s="47" t="n">
        <f aca="false">'Daily KPI Entry'!L429</f>
        <v>0</v>
      </c>
      <c r="M428" s="47" t="n">
        <f aca="false">'Daily KPI Entry'!M429</f>
        <v>0</v>
      </c>
      <c r="N428" s="49" t="n">
        <f aca="false">'Daily KPI Entry'!N429</f>
        <v>0</v>
      </c>
      <c r="O428" s="49" t="n">
        <f aca="false">'Daily KPI Entry'!O429</f>
        <v>0</v>
      </c>
      <c r="P428" s="49" t="str">
        <f aca="false">IF(OR(N428="",O428=""),"",IFERROR(O428/N428*100,0))</f>
        <v/>
      </c>
      <c r="Q428" s="47" t="n">
        <f aca="false">'Daily KPI Entry'!Q429</f>
        <v>8</v>
      </c>
      <c r="R428" s="47" t="str">
        <f aca="false">IF(J428="","",Q428*J428)</f>
        <v/>
      </c>
      <c r="S428" s="49" t="n">
        <f aca="false">'Daily KPI Entry'!S429</f>
        <v>0</v>
      </c>
      <c r="T428" s="49" t="str">
        <f aca="false">IF(OR(R428="",S428=""),"",IFERROR(S428/R428*100,0))</f>
        <v/>
      </c>
      <c r="U428" s="49" t="str">
        <f aca="false">IF(OR(O428="",L428="",M428="",S428="",M428=0),"",IFERROR(O428/(L428*60*S428/(M428*36))*100,0))</f>
        <v/>
      </c>
      <c r="V428" s="49" t="n">
        <f aca="false">'Daily KPI Entry'!V429</f>
        <v>0</v>
      </c>
      <c r="W428" s="49" t="str">
        <f aca="false">IF(O428="","",IFERROR(V428/O428*100,0))</f>
        <v/>
      </c>
      <c r="X428" s="49" t="n">
        <f aca="false">'Daily KPI Entry'!X429</f>
        <v>0</v>
      </c>
      <c r="Y428" s="49" t="n">
        <f aca="false">'Daily KPI Entry'!Y429</f>
        <v>0</v>
      </c>
      <c r="Z428" s="49" t="n">
        <f aca="false">'Daily KPI Entry'!Z429</f>
        <v>0</v>
      </c>
      <c r="AA428" s="49" t="n">
        <f aca="false">'Daily KPI Entry'!AA429</f>
        <v>0</v>
      </c>
      <c r="AB428" s="49" t="n">
        <f aca="false">'Daily KPI Entry'!AB429</f>
        <v>0</v>
      </c>
      <c r="AC428" s="49" t="n">
        <f aca="false">'Daily KPI Entry'!AC429</f>
        <v>0</v>
      </c>
      <c r="AD428" s="49" t="n">
        <f aca="false">'Daily KPI Entry'!AD429</f>
        <v>0</v>
      </c>
      <c r="AE428" s="49" t="n">
        <f aca="false">'Daily KPI Entry'!AE429</f>
        <v>0</v>
      </c>
      <c r="AF428" s="47" t="str">
        <f aca="false">IF(O428="","",SUM(X428:AE428))</f>
        <v/>
      </c>
      <c r="AG428" s="49" t="str">
        <f aca="false">IF(O428="","",IFERROR(AF428/O428*1000,0))</f>
        <v/>
      </c>
      <c r="AH428" s="49" t="n">
        <f aca="false">'Daily KPI Entry'!AH429</f>
        <v>0</v>
      </c>
      <c r="AI428" s="49" t="n">
        <f aca="false">'Daily KPI Entry'!AI429</f>
        <v>0</v>
      </c>
      <c r="AJ428" s="49" t="n">
        <f aca="false">'Daily KPI Entry'!AJ429</f>
        <v>0</v>
      </c>
      <c r="AK428" s="47" t="n">
        <f aca="false">'Daily KPI Entry'!AK429</f>
        <v>0</v>
      </c>
      <c r="AL428" s="47" t="n">
        <f aca="false">'Daily KPI Entry'!AL429</f>
        <v>0</v>
      </c>
      <c r="AM428" s="47" t="n">
        <f aca="false">'Daily KPI Entry'!AM429</f>
        <v>0</v>
      </c>
      <c r="AN428" s="49" t="str">
        <f aca="false">IF(P428="","",MIN(120,P428))</f>
        <v/>
      </c>
      <c r="AO428" s="49" t="str">
        <f aca="false">IF(U428="","",MIN(120,U428))</f>
        <v/>
      </c>
      <c r="AP428" s="49" t="str">
        <f aca="false">IF(R428="","",MIN(120,IFERROR(S428/R428*100,0)))</f>
        <v/>
      </c>
      <c r="AQ428" s="49" t="str">
        <f aca="false">IF(W428="","",MIN(120,IF(W428=0,120,100*(INDEX('Standards &amp; Scoring'!$E$5:$E$13,MATCH("Quality / Rejection",'Standards &amp; Scoring'!$A$5:$A$13,0))/W428))))</f>
        <v/>
      </c>
      <c r="AR428" s="49" t="str">
        <f aca="false">IF(AG428="","",MIN(120,IF(AG428=0,120,100*(INDEX('Standards &amp; Scoring'!$E$5:$E$13,MATCH("Fault Control",'Standards &amp; Scoring'!$A$5:$A$13,0))/AG428))))</f>
        <v/>
      </c>
      <c r="AS428" s="49" t="str">
        <f aca="false">IF(O428="","",MIN(120,IF(SUMIFS('Fault &amp; Downtime Entry'!$L$6:$L$1005,'Fault &amp; Downtime Entry'!$E$6:$E$1005,G428,'Fault &amp; Downtime Entry'!$B$6:$B$1005,B428)=0,120,100*(INDEX('Standards &amp; Scoring'!$E$5:$E$13,MATCH("Downtime Control",'Standards &amp; Scoring'!$A$5:$A$13,0))/IFERROR(SUMIFS('Fault &amp; Downtime Entry'!$L$6:$L$1005,'Fault &amp; Downtime Entry'!$E$6:$E$1005,G428,'Fault &amp; Downtime Entry'!$B$6:$B$1005,B428)/O428*1000,999999)))))</f>
        <v/>
      </c>
      <c r="AT428" s="49" t="n">
        <f aca="false">IF(COUNTA(AH428,AJ428)=0,"",MIN(120,IF(AND(AH428&lt;&gt;"",AJ428&lt;&gt;""),AVERAGE(AH428,AJ428),IF(AH428&lt;&gt;"",AH428,AJ428))))</f>
        <v>0</v>
      </c>
      <c r="AU428" s="49" t="str">
        <f aca="false">IF(AI428="","",MIN(120,AI428))</f>
        <v/>
      </c>
      <c r="AV428" s="49" t="str">
        <f aca="false">IF(AJ428="","",MIN(120,AJ428))</f>
        <v/>
      </c>
      <c r="AW428" s="50" t="str">
        <f aca="false">IF(COUNT(AN428:AV428)&lt;9,"",(AN428*'Standards &amp; Scoring'!$D$5+AO428*'Standards &amp; Scoring'!$D$6+AP428*'Standards &amp; Scoring'!$D$7+AQ428*'Standards &amp; Scoring'!$D$8+AR428*'Standards &amp; Scoring'!$D$9+AS428*'Standards &amp; Scoring'!$D$10+AT428*'Standards &amp; Scoring'!$D$11+AU428*'Standards &amp; Scoring'!$D$12+AV428*'Standards &amp; Scoring'!$D$13)/10000)</f>
        <v/>
      </c>
      <c r="AX428" s="47" t="str">
        <f aca="false">IF(AW428="","",IF(AW428&gt;=1.05,"A+",IF(AW428&gt;=1,"A",IF(AW428&gt;=0.95,"B+",IF(AW428&gt;=0.9,"B","C")))))</f>
        <v/>
      </c>
      <c r="AY428" s="47" t="str">
        <f aca="false">IF(AX428="","",IF(AX428="A+",1800,IF(AX428="A",1600,IF(AX428="B+",1400,IF(AX428="B",1200,0)))))</f>
        <v/>
      </c>
      <c r="AZ428" s="49" t="str">
        <f aca="false">IF(OR(L428="",M428="",S428="",M428=0),"",IFERROR(L428*60*S428/(M428*36),0))</f>
        <v/>
      </c>
    </row>
    <row r="429" customFormat="false" ht="15" hidden="false" customHeight="true" outlineLevel="0" collapsed="false">
      <c r="A429" s="47" t="n">
        <f aca="false">'Daily KPI Entry'!A430</f>
        <v>0</v>
      </c>
      <c r="B429" s="48" t="n">
        <f aca="false">'Daily KPI Entry'!B430</f>
        <v>0</v>
      </c>
      <c r="C429" s="47" t="n">
        <f aca="false">'Daily KPI Entry'!C430</f>
        <v>0</v>
      </c>
      <c r="D429" s="47" t="n">
        <f aca="false">'Daily KPI Entry'!D430</f>
        <v>0</v>
      </c>
      <c r="E429" s="47" t="n">
        <f aca="false">'Daily KPI Entry'!E430</f>
        <v>0</v>
      </c>
      <c r="F429" s="47" t="n">
        <f aca="false">'Daily KPI Entry'!F430</f>
        <v>0</v>
      </c>
      <c r="G429" s="47" t="n">
        <f aca="false">'Daily KPI Entry'!G430</f>
        <v>0</v>
      </c>
      <c r="H429" s="47" t="str">
        <f aca="false">'Daily KPI Entry'!H430</f>
        <v/>
      </c>
      <c r="I429" s="47" t="n">
        <f aca="false">'Daily KPI Entry'!I430</f>
        <v>0</v>
      </c>
      <c r="J429" s="47" t="n">
        <f aca="false">'Daily KPI Entry'!J430</f>
        <v>0</v>
      </c>
      <c r="K429" s="47" t="n">
        <f aca="false">'Daily KPI Entry'!K430</f>
        <v>0</v>
      </c>
      <c r="L429" s="47" t="n">
        <f aca="false">'Daily KPI Entry'!L430</f>
        <v>0</v>
      </c>
      <c r="M429" s="47" t="n">
        <f aca="false">'Daily KPI Entry'!M430</f>
        <v>0</v>
      </c>
      <c r="N429" s="49" t="n">
        <f aca="false">'Daily KPI Entry'!N430</f>
        <v>0</v>
      </c>
      <c r="O429" s="49" t="n">
        <f aca="false">'Daily KPI Entry'!O430</f>
        <v>0</v>
      </c>
      <c r="P429" s="49" t="str">
        <f aca="false">IF(OR(N429="",O429=""),"",IFERROR(O429/N429*100,0))</f>
        <v/>
      </c>
      <c r="Q429" s="47" t="n">
        <f aca="false">'Daily KPI Entry'!Q430</f>
        <v>8</v>
      </c>
      <c r="R429" s="47" t="str">
        <f aca="false">IF(J429="","",Q429*J429)</f>
        <v/>
      </c>
      <c r="S429" s="49" t="n">
        <f aca="false">'Daily KPI Entry'!S430</f>
        <v>0</v>
      </c>
      <c r="T429" s="49" t="str">
        <f aca="false">IF(OR(R429="",S429=""),"",IFERROR(S429/R429*100,0))</f>
        <v/>
      </c>
      <c r="U429" s="49" t="str">
        <f aca="false">IF(OR(O429="",L429="",M429="",S429="",M429=0),"",IFERROR(O429/(L429*60*S429/(M429*36))*100,0))</f>
        <v/>
      </c>
      <c r="V429" s="49" t="n">
        <f aca="false">'Daily KPI Entry'!V430</f>
        <v>0</v>
      </c>
      <c r="W429" s="49" t="str">
        <f aca="false">IF(O429="","",IFERROR(V429/O429*100,0))</f>
        <v/>
      </c>
      <c r="X429" s="49" t="n">
        <f aca="false">'Daily KPI Entry'!X430</f>
        <v>0</v>
      </c>
      <c r="Y429" s="49" t="n">
        <f aca="false">'Daily KPI Entry'!Y430</f>
        <v>0</v>
      </c>
      <c r="Z429" s="49" t="n">
        <f aca="false">'Daily KPI Entry'!Z430</f>
        <v>0</v>
      </c>
      <c r="AA429" s="49" t="n">
        <f aca="false">'Daily KPI Entry'!AA430</f>
        <v>0</v>
      </c>
      <c r="AB429" s="49" t="n">
        <f aca="false">'Daily KPI Entry'!AB430</f>
        <v>0</v>
      </c>
      <c r="AC429" s="49" t="n">
        <f aca="false">'Daily KPI Entry'!AC430</f>
        <v>0</v>
      </c>
      <c r="AD429" s="49" t="n">
        <f aca="false">'Daily KPI Entry'!AD430</f>
        <v>0</v>
      </c>
      <c r="AE429" s="49" t="n">
        <f aca="false">'Daily KPI Entry'!AE430</f>
        <v>0</v>
      </c>
      <c r="AF429" s="47" t="str">
        <f aca="false">IF(O429="","",SUM(X429:AE429))</f>
        <v/>
      </c>
      <c r="AG429" s="49" t="str">
        <f aca="false">IF(O429="","",IFERROR(AF429/O429*1000,0))</f>
        <v/>
      </c>
      <c r="AH429" s="49" t="n">
        <f aca="false">'Daily KPI Entry'!AH430</f>
        <v>0</v>
      </c>
      <c r="AI429" s="49" t="n">
        <f aca="false">'Daily KPI Entry'!AI430</f>
        <v>0</v>
      </c>
      <c r="AJ429" s="49" t="n">
        <f aca="false">'Daily KPI Entry'!AJ430</f>
        <v>0</v>
      </c>
      <c r="AK429" s="47" t="n">
        <f aca="false">'Daily KPI Entry'!AK430</f>
        <v>0</v>
      </c>
      <c r="AL429" s="47" t="n">
        <f aca="false">'Daily KPI Entry'!AL430</f>
        <v>0</v>
      </c>
      <c r="AM429" s="47" t="n">
        <f aca="false">'Daily KPI Entry'!AM430</f>
        <v>0</v>
      </c>
      <c r="AN429" s="49" t="str">
        <f aca="false">IF(P429="","",MIN(120,P429))</f>
        <v/>
      </c>
      <c r="AO429" s="49" t="str">
        <f aca="false">IF(U429="","",MIN(120,U429))</f>
        <v/>
      </c>
      <c r="AP429" s="49" t="str">
        <f aca="false">IF(R429="","",MIN(120,IFERROR(S429/R429*100,0)))</f>
        <v/>
      </c>
      <c r="AQ429" s="49" t="str">
        <f aca="false">IF(W429="","",MIN(120,IF(W429=0,120,100*(INDEX('Standards &amp; Scoring'!$E$5:$E$13,MATCH("Quality / Rejection",'Standards &amp; Scoring'!$A$5:$A$13,0))/W429))))</f>
        <v/>
      </c>
      <c r="AR429" s="49" t="str">
        <f aca="false">IF(AG429="","",MIN(120,IF(AG429=0,120,100*(INDEX('Standards &amp; Scoring'!$E$5:$E$13,MATCH("Fault Control",'Standards &amp; Scoring'!$A$5:$A$13,0))/AG429))))</f>
        <v/>
      </c>
      <c r="AS429" s="49" t="str">
        <f aca="false">IF(O429="","",MIN(120,IF(SUMIFS('Fault &amp; Downtime Entry'!$L$6:$L$1005,'Fault &amp; Downtime Entry'!$E$6:$E$1005,G429,'Fault &amp; Downtime Entry'!$B$6:$B$1005,B429)=0,120,100*(INDEX('Standards &amp; Scoring'!$E$5:$E$13,MATCH("Downtime Control",'Standards &amp; Scoring'!$A$5:$A$13,0))/IFERROR(SUMIFS('Fault &amp; Downtime Entry'!$L$6:$L$1005,'Fault &amp; Downtime Entry'!$E$6:$E$1005,G429,'Fault &amp; Downtime Entry'!$B$6:$B$1005,B429)/O429*1000,999999)))))</f>
        <v/>
      </c>
      <c r="AT429" s="49" t="n">
        <f aca="false">IF(COUNTA(AH429,AJ429)=0,"",MIN(120,IF(AND(AH429&lt;&gt;"",AJ429&lt;&gt;""),AVERAGE(AH429,AJ429),IF(AH429&lt;&gt;"",AH429,AJ429))))</f>
        <v>0</v>
      </c>
      <c r="AU429" s="49" t="str">
        <f aca="false">IF(AI429="","",MIN(120,AI429))</f>
        <v/>
      </c>
      <c r="AV429" s="49" t="str">
        <f aca="false">IF(AJ429="","",MIN(120,AJ429))</f>
        <v/>
      </c>
      <c r="AW429" s="50" t="str">
        <f aca="false">IF(COUNT(AN429:AV429)&lt;9,"",(AN429*'Standards &amp; Scoring'!$D$5+AO429*'Standards &amp; Scoring'!$D$6+AP429*'Standards &amp; Scoring'!$D$7+AQ429*'Standards &amp; Scoring'!$D$8+AR429*'Standards &amp; Scoring'!$D$9+AS429*'Standards &amp; Scoring'!$D$10+AT429*'Standards &amp; Scoring'!$D$11+AU429*'Standards &amp; Scoring'!$D$12+AV429*'Standards &amp; Scoring'!$D$13)/10000)</f>
        <v/>
      </c>
      <c r="AX429" s="47" t="str">
        <f aca="false">IF(AW429="","",IF(AW429&gt;=1.05,"A+",IF(AW429&gt;=1,"A",IF(AW429&gt;=0.95,"B+",IF(AW429&gt;=0.9,"B","C")))))</f>
        <v/>
      </c>
      <c r="AY429" s="47" t="str">
        <f aca="false">IF(AX429="","",IF(AX429="A+",1800,IF(AX429="A",1600,IF(AX429="B+",1400,IF(AX429="B",1200,0)))))</f>
        <v/>
      </c>
      <c r="AZ429" s="49" t="str">
        <f aca="false">IF(OR(L429="",M429="",S429="",M429=0),"",IFERROR(L429*60*S429/(M429*36),0))</f>
        <v/>
      </c>
    </row>
    <row r="430" customFormat="false" ht="15" hidden="false" customHeight="true" outlineLevel="0" collapsed="false">
      <c r="A430" s="47" t="n">
        <f aca="false">'Daily KPI Entry'!A431</f>
        <v>0</v>
      </c>
      <c r="B430" s="48" t="n">
        <f aca="false">'Daily KPI Entry'!B431</f>
        <v>0</v>
      </c>
      <c r="C430" s="47" t="n">
        <f aca="false">'Daily KPI Entry'!C431</f>
        <v>0</v>
      </c>
      <c r="D430" s="47" t="n">
        <f aca="false">'Daily KPI Entry'!D431</f>
        <v>0</v>
      </c>
      <c r="E430" s="47" t="n">
        <f aca="false">'Daily KPI Entry'!E431</f>
        <v>0</v>
      </c>
      <c r="F430" s="47" t="n">
        <f aca="false">'Daily KPI Entry'!F431</f>
        <v>0</v>
      </c>
      <c r="G430" s="47" t="n">
        <f aca="false">'Daily KPI Entry'!G431</f>
        <v>0</v>
      </c>
      <c r="H430" s="47" t="str">
        <f aca="false">'Daily KPI Entry'!H431</f>
        <v/>
      </c>
      <c r="I430" s="47" t="n">
        <f aca="false">'Daily KPI Entry'!I431</f>
        <v>0</v>
      </c>
      <c r="J430" s="47" t="n">
        <f aca="false">'Daily KPI Entry'!J431</f>
        <v>0</v>
      </c>
      <c r="K430" s="47" t="n">
        <f aca="false">'Daily KPI Entry'!K431</f>
        <v>0</v>
      </c>
      <c r="L430" s="47" t="n">
        <f aca="false">'Daily KPI Entry'!L431</f>
        <v>0</v>
      </c>
      <c r="M430" s="47" t="n">
        <f aca="false">'Daily KPI Entry'!M431</f>
        <v>0</v>
      </c>
      <c r="N430" s="49" t="n">
        <f aca="false">'Daily KPI Entry'!N431</f>
        <v>0</v>
      </c>
      <c r="O430" s="49" t="n">
        <f aca="false">'Daily KPI Entry'!O431</f>
        <v>0</v>
      </c>
      <c r="P430" s="49" t="str">
        <f aca="false">IF(OR(N430="",O430=""),"",IFERROR(O430/N430*100,0))</f>
        <v/>
      </c>
      <c r="Q430" s="47" t="n">
        <f aca="false">'Daily KPI Entry'!Q431</f>
        <v>8</v>
      </c>
      <c r="R430" s="47" t="str">
        <f aca="false">IF(J430="","",Q430*J430)</f>
        <v/>
      </c>
      <c r="S430" s="49" t="n">
        <f aca="false">'Daily KPI Entry'!S431</f>
        <v>0</v>
      </c>
      <c r="T430" s="49" t="str">
        <f aca="false">IF(OR(R430="",S430=""),"",IFERROR(S430/R430*100,0))</f>
        <v/>
      </c>
      <c r="U430" s="49" t="str">
        <f aca="false">IF(OR(O430="",L430="",M430="",S430="",M430=0),"",IFERROR(O430/(L430*60*S430/(M430*36))*100,0))</f>
        <v/>
      </c>
      <c r="V430" s="49" t="n">
        <f aca="false">'Daily KPI Entry'!V431</f>
        <v>0</v>
      </c>
      <c r="W430" s="49" t="str">
        <f aca="false">IF(O430="","",IFERROR(V430/O430*100,0))</f>
        <v/>
      </c>
      <c r="X430" s="49" t="n">
        <f aca="false">'Daily KPI Entry'!X431</f>
        <v>0</v>
      </c>
      <c r="Y430" s="49" t="n">
        <f aca="false">'Daily KPI Entry'!Y431</f>
        <v>0</v>
      </c>
      <c r="Z430" s="49" t="n">
        <f aca="false">'Daily KPI Entry'!Z431</f>
        <v>0</v>
      </c>
      <c r="AA430" s="49" t="n">
        <f aca="false">'Daily KPI Entry'!AA431</f>
        <v>0</v>
      </c>
      <c r="AB430" s="49" t="n">
        <f aca="false">'Daily KPI Entry'!AB431</f>
        <v>0</v>
      </c>
      <c r="AC430" s="49" t="n">
        <f aca="false">'Daily KPI Entry'!AC431</f>
        <v>0</v>
      </c>
      <c r="AD430" s="49" t="n">
        <f aca="false">'Daily KPI Entry'!AD431</f>
        <v>0</v>
      </c>
      <c r="AE430" s="49" t="n">
        <f aca="false">'Daily KPI Entry'!AE431</f>
        <v>0</v>
      </c>
      <c r="AF430" s="47" t="str">
        <f aca="false">IF(O430="","",SUM(X430:AE430))</f>
        <v/>
      </c>
      <c r="AG430" s="49" t="str">
        <f aca="false">IF(O430="","",IFERROR(AF430/O430*1000,0))</f>
        <v/>
      </c>
      <c r="AH430" s="49" t="n">
        <f aca="false">'Daily KPI Entry'!AH431</f>
        <v>0</v>
      </c>
      <c r="AI430" s="49" t="n">
        <f aca="false">'Daily KPI Entry'!AI431</f>
        <v>0</v>
      </c>
      <c r="AJ430" s="49" t="n">
        <f aca="false">'Daily KPI Entry'!AJ431</f>
        <v>0</v>
      </c>
      <c r="AK430" s="47" t="n">
        <f aca="false">'Daily KPI Entry'!AK431</f>
        <v>0</v>
      </c>
      <c r="AL430" s="47" t="n">
        <f aca="false">'Daily KPI Entry'!AL431</f>
        <v>0</v>
      </c>
      <c r="AM430" s="47" t="n">
        <f aca="false">'Daily KPI Entry'!AM431</f>
        <v>0</v>
      </c>
      <c r="AN430" s="49" t="str">
        <f aca="false">IF(P430="","",MIN(120,P430))</f>
        <v/>
      </c>
      <c r="AO430" s="49" t="str">
        <f aca="false">IF(U430="","",MIN(120,U430))</f>
        <v/>
      </c>
      <c r="AP430" s="49" t="str">
        <f aca="false">IF(R430="","",MIN(120,IFERROR(S430/R430*100,0)))</f>
        <v/>
      </c>
      <c r="AQ430" s="49" t="str">
        <f aca="false">IF(W430="","",MIN(120,IF(W430=0,120,100*(INDEX('Standards &amp; Scoring'!$E$5:$E$13,MATCH("Quality / Rejection",'Standards &amp; Scoring'!$A$5:$A$13,0))/W430))))</f>
        <v/>
      </c>
      <c r="AR430" s="49" t="str">
        <f aca="false">IF(AG430="","",MIN(120,IF(AG430=0,120,100*(INDEX('Standards &amp; Scoring'!$E$5:$E$13,MATCH("Fault Control",'Standards &amp; Scoring'!$A$5:$A$13,0))/AG430))))</f>
        <v/>
      </c>
      <c r="AS430" s="49" t="str">
        <f aca="false">IF(O430="","",MIN(120,IF(SUMIFS('Fault &amp; Downtime Entry'!$L$6:$L$1005,'Fault &amp; Downtime Entry'!$E$6:$E$1005,G430,'Fault &amp; Downtime Entry'!$B$6:$B$1005,B430)=0,120,100*(INDEX('Standards &amp; Scoring'!$E$5:$E$13,MATCH("Downtime Control",'Standards &amp; Scoring'!$A$5:$A$13,0))/IFERROR(SUMIFS('Fault &amp; Downtime Entry'!$L$6:$L$1005,'Fault &amp; Downtime Entry'!$E$6:$E$1005,G430,'Fault &amp; Downtime Entry'!$B$6:$B$1005,B430)/O430*1000,999999)))))</f>
        <v/>
      </c>
      <c r="AT430" s="49" t="n">
        <f aca="false">IF(COUNTA(AH430,AJ430)=0,"",MIN(120,IF(AND(AH430&lt;&gt;"",AJ430&lt;&gt;""),AVERAGE(AH430,AJ430),IF(AH430&lt;&gt;"",AH430,AJ430))))</f>
        <v>0</v>
      </c>
      <c r="AU430" s="49" t="str">
        <f aca="false">IF(AI430="","",MIN(120,AI430))</f>
        <v/>
      </c>
      <c r="AV430" s="49" t="str">
        <f aca="false">IF(AJ430="","",MIN(120,AJ430))</f>
        <v/>
      </c>
      <c r="AW430" s="50" t="str">
        <f aca="false">IF(COUNT(AN430:AV430)&lt;9,"",(AN430*'Standards &amp; Scoring'!$D$5+AO430*'Standards &amp; Scoring'!$D$6+AP430*'Standards &amp; Scoring'!$D$7+AQ430*'Standards &amp; Scoring'!$D$8+AR430*'Standards &amp; Scoring'!$D$9+AS430*'Standards &amp; Scoring'!$D$10+AT430*'Standards &amp; Scoring'!$D$11+AU430*'Standards &amp; Scoring'!$D$12+AV430*'Standards &amp; Scoring'!$D$13)/10000)</f>
        <v/>
      </c>
      <c r="AX430" s="47" t="str">
        <f aca="false">IF(AW430="","",IF(AW430&gt;=1.05,"A+",IF(AW430&gt;=1,"A",IF(AW430&gt;=0.95,"B+",IF(AW430&gt;=0.9,"B","C")))))</f>
        <v/>
      </c>
      <c r="AY430" s="47" t="str">
        <f aca="false">IF(AX430="","",IF(AX430="A+",1800,IF(AX430="A",1600,IF(AX430="B+",1400,IF(AX430="B",1200,0)))))</f>
        <v/>
      </c>
      <c r="AZ430" s="49" t="str">
        <f aca="false">IF(OR(L430="",M430="",S430="",M430=0),"",IFERROR(L430*60*S430/(M430*36),0))</f>
        <v/>
      </c>
    </row>
    <row r="431" customFormat="false" ht="15" hidden="false" customHeight="true" outlineLevel="0" collapsed="false">
      <c r="A431" s="47" t="n">
        <f aca="false">'Daily KPI Entry'!A432</f>
        <v>0</v>
      </c>
      <c r="B431" s="48" t="n">
        <f aca="false">'Daily KPI Entry'!B432</f>
        <v>0</v>
      </c>
      <c r="C431" s="47" t="n">
        <f aca="false">'Daily KPI Entry'!C432</f>
        <v>0</v>
      </c>
      <c r="D431" s="47" t="n">
        <f aca="false">'Daily KPI Entry'!D432</f>
        <v>0</v>
      </c>
      <c r="E431" s="47" t="n">
        <f aca="false">'Daily KPI Entry'!E432</f>
        <v>0</v>
      </c>
      <c r="F431" s="47" t="n">
        <f aca="false">'Daily KPI Entry'!F432</f>
        <v>0</v>
      </c>
      <c r="G431" s="47" t="n">
        <f aca="false">'Daily KPI Entry'!G432</f>
        <v>0</v>
      </c>
      <c r="H431" s="47" t="str">
        <f aca="false">'Daily KPI Entry'!H432</f>
        <v/>
      </c>
      <c r="I431" s="47" t="n">
        <f aca="false">'Daily KPI Entry'!I432</f>
        <v>0</v>
      </c>
      <c r="J431" s="47" t="n">
        <f aca="false">'Daily KPI Entry'!J432</f>
        <v>0</v>
      </c>
      <c r="K431" s="47" t="n">
        <f aca="false">'Daily KPI Entry'!K432</f>
        <v>0</v>
      </c>
      <c r="L431" s="47" t="n">
        <f aca="false">'Daily KPI Entry'!L432</f>
        <v>0</v>
      </c>
      <c r="M431" s="47" t="n">
        <f aca="false">'Daily KPI Entry'!M432</f>
        <v>0</v>
      </c>
      <c r="N431" s="49" t="n">
        <f aca="false">'Daily KPI Entry'!N432</f>
        <v>0</v>
      </c>
      <c r="O431" s="49" t="n">
        <f aca="false">'Daily KPI Entry'!O432</f>
        <v>0</v>
      </c>
      <c r="P431" s="49" t="str">
        <f aca="false">IF(OR(N431="",O431=""),"",IFERROR(O431/N431*100,0))</f>
        <v/>
      </c>
      <c r="Q431" s="47" t="n">
        <f aca="false">'Daily KPI Entry'!Q432</f>
        <v>8</v>
      </c>
      <c r="R431" s="47" t="str">
        <f aca="false">IF(J431="","",Q431*J431)</f>
        <v/>
      </c>
      <c r="S431" s="49" t="n">
        <f aca="false">'Daily KPI Entry'!S432</f>
        <v>0</v>
      </c>
      <c r="T431" s="49" t="str">
        <f aca="false">IF(OR(R431="",S431=""),"",IFERROR(S431/R431*100,0))</f>
        <v/>
      </c>
      <c r="U431" s="49" t="str">
        <f aca="false">IF(OR(O431="",L431="",M431="",S431="",M431=0),"",IFERROR(O431/(L431*60*S431/(M431*36))*100,0))</f>
        <v/>
      </c>
      <c r="V431" s="49" t="n">
        <f aca="false">'Daily KPI Entry'!V432</f>
        <v>0</v>
      </c>
      <c r="W431" s="49" t="str">
        <f aca="false">IF(O431="","",IFERROR(V431/O431*100,0))</f>
        <v/>
      </c>
      <c r="X431" s="49" t="n">
        <f aca="false">'Daily KPI Entry'!X432</f>
        <v>0</v>
      </c>
      <c r="Y431" s="49" t="n">
        <f aca="false">'Daily KPI Entry'!Y432</f>
        <v>0</v>
      </c>
      <c r="Z431" s="49" t="n">
        <f aca="false">'Daily KPI Entry'!Z432</f>
        <v>0</v>
      </c>
      <c r="AA431" s="49" t="n">
        <f aca="false">'Daily KPI Entry'!AA432</f>
        <v>0</v>
      </c>
      <c r="AB431" s="49" t="n">
        <f aca="false">'Daily KPI Entry'!AB432</f>
        <v>0</v>
      </c>
      <c r="AC431" s="49" t="n">
        <f aca="false">'Daily KPI Entry'!AC432</f>
        <v>0</v>
      </c>
      <c r="AD431" s="49" t="n">
        <f aca="false">'Daily KPI Entry'!AD432</f>
        <v>0</v>
      </c>
      <c r="AE431" s="49" t="n">
        <f aca="false">'Daily KPI Entry'!AE432</f>
        <v>0</v>
      </c>
      <c r="AF431" s="47" t="str">
        <f aca="false">IF(O431="","",SUM(X431:AE431))</f>
        <v/>
      </c>
      <c r="AG431" s="49" t="str">
        <f aca="false">IF(O431="","",IFERROR(AF431/O431*1000,0))</f>
        <v/>
      </c>
      <c r="AH431" s="49" t="n">
        <f aca="false">'Daily KPI Entry'!AH432</f>
        <v>0</v>
      </c>
      <c r="AI431" s="49" t="n">
        <f aca="false">'Daily KPI Entry'!AI432</f>
        <v>0</v>
      </c>
      <c r="AJ431" s="49" t="n">
        <f aca="false">'Daily KPI Entry'!AJ432</f>
        <v>0</v>
      </c>
      <c r="AK431" s="47" t="n">
        <f aca="false">'Daily KPI Entry'!AK432</f>
        <v>0</v>
      </c>
      <c r="AL431" s="47" t="n">
        <f aca="false">'Daily KPI Entry'!AL432</f>
        <v>0</v>
      </c>
      <c r="AM431" s="47" t="n">
        <f aca="false">'Daily KPI Entry'!AM432</f>
        <v>0</v>
      </c>
      <c r="AN431" s="49" t="str">
        <f aca="false">IF(P431="","",MIN(120,P431))</f>
        <v/>
      </c>
      <c r="AO431" s="49" t="str">
        <f aca="false">IF(U431="","",MIN(120,U431))</f>
        <v/>
      </c>
      <c r="AP431" s="49" t="str">
        <f aca="false">IF(R431="","",MIN(120,IFERROR(S431/R431*100,0)))</f>
        <v/>
      </c>
      <c r="AQ431" s="49" t="str">
        <f aca="false">IF(W431="","",MIN(120,IF(W431=0,120,100*(INDEX('Standards &amp; Scoring'!$E$5:$E$13,MATCH("Quality / Rejection",'Standards &amp; Scoring'!$A$5:$A$13,0))/W431))))</f>
        <v/>
      </c>
      <c r="AR431" s="49" t="str">
        <f aca="false">IF(AG431="","",MIN(120,IF(AG431=0,120,100*(INDEX('Standards &amp; Scoring'!$E$5:$E$13,MATCH("Fault Control",'Standards &amp; Scoring'!$A$5:$A$13,0))/AG431))))</f>
        <v/>
      </c>
      <c r="AS431" s="49" t="str">
        <f aca="false">IF(O431="","",MIN(120,IF(SUMIFS('Fault &amp; Downtime Entry'!$L$6:$L$1005,'Fault &amp; Downtime Entry'!$E$6:$E$1005,G431,'Fault &amp; Downtime Entry'!$B$6:$B$1005,B431)=0,120,100*(INDEX('Standards &amp; Scoring'!$E$5:$E$13,MATCH("Downtime Control",'Standards &amp; Scoring'!$A$5:$A$13,0))/IFERROR(SUMIFS('Fault &amp; Downtime Entry'!$L$6:$L$1005,'Fault &amp; Downtime Entry'!$E$6:$E$1005,G431,'Fault &amp; Downtime Entry'!$B$6:$B$1005,B431)/O431*1000,999999)))))</f>
        <v/>
      </c>
      <c r="AT431" s="49" t="n">
        <f aca="false">IF(COUNTA(AH431,AJ431)=0,"",MIN(120,IF(AND(AH431&lt;&gt;"",AJ431&lt;&gt;""),AVERAGE(AH431,AJ431),IF(AH431&lt;&gt;"",AH431,AJ431))))</f>
        <v>0</v>
      </c>
      <c r="AU431" s="49" t="str">
        <f aca="false">IF(AI431="","",MIN(120,AI431))</f>
        <v/>
      </c>
      <c r="AV431" s="49" t="str">
        <f aca="false">IF(AJ431="","",MIN(120,AJ431))</f>
        <v/>
      </c>
      <c r="AW431" s="50" t="str">
        <f aca="false">IF(COUNT(AN431:AV431)&lt;9,"",(AN431*'Standards &amp; Scoring'!$D$5+AO431*'Standards &amp; Scoring'!$D$6+AP431*'Standards &amp; Scoring'!$D$7+AQ431*'Standards &amp; Scoring'!$D$8+AR431*'Standards &amp; Scoring'!$D$9+AS431*'Standards &amp; Scoring'!$D$10+AT431*'Standards &amp; Scoring'!$D$11+AU431*'Standards &amp; Scoring'!$D$12+AV431*'Standards &amp; Scoring'!$D$13)/10000)</f>
        <v/>
      </c>
      <c r="AX431" s="47" t="str">
        <f aca="false">IF(AW431="","",IF(AW431&gt;=1.05,"A+",IF(AW431&gt;=1,"A",IF(AW431&gt;=0.95,"B+",IF(AW431&gt;=0.9,"B","C")))))</f>
        <v/>
      </c>
      <c r="AY431" s="47" t="str">
        <f aca="false">IF(AX431="","",IF(AX431="A+",1800,IF(AX431="A",1600,IF(AX431="B+",1400,IF(AX431="B",1200,0)))))</f>
        <v/>
      </c>
      <c r="AZ431" s="49" t="str">
        <f aca="false">IF(OR(L431="",M431="",S431="",M431=0),"",IFERROR(L431*60*S431/(M431*36),0))</f>
        <v/>
      </c>
    </row>
    <row r="432" customFormat="false" ht="15" hidden="false" customHeight="true" outlineLevel="0" collapsed="false">
      <c r="A432" s="47" t="n">
        <f aca="false">'Daily KPI Entry'!A433</f>
        <v>0</v>
      </c>
      <c r="B432" s="48" t="n">
        <f aca="false">'Daily KPI Entry'!B433</f>
        <v>0</v>
      </c>
      <c r="C432" s="47" t="n">
        <f aca="false">'Daily KPI Entry'!C433</f>
        <v>0</v>
      </c>
      <c r="D432" s="47" t="n">
        <f aca="false">'Daily KPI Entry'!D433</f>
        <v>0</v>
      </c>
      <c r="E432" s="47" t="n">
        <f aca="false">'Daily KPI Entry'!E433</f>
        <v>0</v>
      </c>
      <c r="F432" s="47" t="n">
        <f aca="false">'Daily KPI Entry'!F433</f>
        <v>0</v>
      </c>
      <c r="G432" s="47" t="n">
        <f aca="false">'Daily KPI Entry'!G433</f>
        <v>0</v>
      </c>
      <c r="H432" s="47" t="str">
        <f aca="false">'Daily KPI Entry'!H433</f>
        <v/>
      </c>
      <c r="I432" s="47" t="n">
        <f aca="false">'Daily KPI Entry'!I433</f>
        <v>0</v>
      </c>
      <c r="J432" s="47" t="n">
        <f aca="false">'Daily KPI Entry'!J433</f>
        <v>0</v>
      </c>
      <c r="K432" s="47" t="n">
        <f aca="false">'Daily KPI Entry'!K433</f>
        <v>0</v>
      </c>
      <c r="L432" s="47" t="n">
        <f aca="false">'Daily KPI Entry'!L433</f>
        <v>0</v>
      </c>
      <c r="M432" s="47" t="n">
        <f aca="false">'Daily KPI Entry'!M433</f>
        <v>0</v>
      </c>
      <c r="N432" s="49" t="n">
        <f aca="false">'Daily KPI Entry'!N433</f>
        <v>0</v>
      </c>
      <c r="O432" s="49" t="n">
        <f aca="false">'Daily KPI Entry'!O433</f>
        <v>0</v>
      </c>
      <c r="P432" s="49" t="str">
        <f aca="false">IF(OR(N432="",O432=""),"",IFERROR(O432/N432*100,0))</f>
        <v/>
      </c>
      <c r="Q432" s="47" t="n">
        <f aca="false">'Daily KPI Entry'!Q433</f>
        <v>8</v>
      </c>
      <c r="R432" s="47" t="str">
        <f aca="false">IF(J432="","",Q432*J432)</f>
        <v/>
      </c>
      <c r="S432" s="49" t="n">
        <f aca="false">'Daily KPI Entry'!S433</f>
        <v>0</v>
      </c>
      <c r="T432" s="49" t="str">
        <f aca="false">IF(OR(R432="",S432=""),"",IFERROR(S432/R432*100,0))</f>
        <v/>
      </c>
      <c r="U432" s="49" t="str">
        <f aca="false">IF(OR(O432="",L432="",M432="",S432="",M432=0),"",IFERROR(O432/(L432*60*S432/(M432*36))*100,0))</f>
        <v/>
      </c>
      <c r="V432" s="49" t="n">
        <f aca="false">'Daily KPI Entry'!V433</f>
        <v>0</v>
      </c>
      <c r="W432" s="49" t="str">
        <f aca="false">IF(O432="","",IFERROR(V432/O432*100,0))</f>
        <v/>
      </c>
      <c r="X432" s="49" t="n">
        <f aca="false">'Daily KPI Entry'!X433</f>
        <v>0</v>
      </c>
      <c r="Y432" s="49" t="n">
        <f aca="false">'Daily KPI Entry'!Y433</f>
        <v>0</v>
      </c>
      <c r="Z432" s="49" t="n">
        <f aca="false">'Daily KPI Entry'!Z433</f>
        <v>0</v>
      </c>
      <c r="AA432" s="49" t="n">
        <f aca="false">'Daily KPI Entry'!AA433</f>
        <v>0</v>
      </c>
      <c r="AB432" s="49" t="n">
        <f aca="false">'Daily KPI Entry'!AB433</f>
        <v>0</v>
      </c>
      <c r="AC432" s="49" t="n">
        <f aca="false">'Daily KPI Entry'!AC433</f>
        <v>0</v>
      </c>
      <c r="AD432" s="49" t="n">
        <f aca="false">'Daily KPI Entry'!AD433</f>
        <v>0</v>
      </c>
      <c r="AE432" s="49" t="n">
        <f aca="false">'Daily KPI Entry'!AE433</f>
        <v>0</v>
      </c>
      <c r="AF432" s="47" t="str">
        <f aca="false">IF(O432="","",SUM(X432:AE432))</f>
        <v/>
      </c>
      <c r="AG432" s="49" t="str">
        <f aca="false">IF(O432="","",IFERROR(AF432/O432*1000,0))</f>
        <v/>
      </c>
      <c r="AH432" s="49" t="n">
        <f aca="false">'Daily KPI Entry'!AH433</f>
        <v>0</v>
      </c>
      <c r="AI432" s="49" t="n">
        <f aca="false">'Daily KPI Entry'!AI433</f>
        <v>0</v>
      </c>
      <c r="AJ432" s="49" t="n">
        <f aca="false">'Daily KPI Entry'!AJ433</f>
        <v>0</v>
      </c>
      <c r="AK432" s="47" t="n">
        <f aca="false">'Daily KPI Entry'!AK433</f>
        <v>0</v>
      </c>
      <c r="AL432" s="47" t="n">
        <f aca="false">'Daily KPI Entry'!AL433</f>
        <v>0</v>
      </c>
      <c r="AM432" s="47" t="n">
        <f aca="false">'Daily KPI Entry'!AM433</f>
        <v>0</v>
      </c>
      <c r="AN432" s="49" t="str">
        <f aca="false">IF(P432="","",MIN(120,P432))</f>
        <v/>
      </c>
      <c r="AO432" s="49" t="str">
        <f aca="false">IF(U432="","",MIN(120,U432))</f>
        <v/>
      </c>
      <c r="AP432" s="49" t="str">
        <f aca="false">IF(R432="","",MIN(120,IFERROR(S432/R432*100,0)))</f>
        <v/>
      </c>
      <c r="AQ432" s="49" t="str">
        <f aca="false">IF(W432="","",MIN(120,IF(W432=0,120,100*(INDEX('Standards &amp; Scoring'!$E$5:$E$13,MATCH("Quality / Rejection",'Standards &amp; Scoring'!$A$5:$A$13,0))/W432))))</f>
        <v/>
      </c>
      <c r="AR432" s="49" t="str">
        <f aca="false">IF(AG432="","",MIN(120,IF(AG432=0,120,100*(INDEX('Standards &amp; Scoring'!$E$5:$E$13,MATCH("Fault Control",'Standards &amp; Scoring'!$A$5:$A$13,0))/AG432))))</f>
        <v/>
      </c>
      <c r="AS432" s="49" t="str">
        <f aca="false">IF(O432="","",MIN(120,IF(SUMIFS('Fault &amp; Downtime Entry'!$L$6:$L$1005,'Fault &amp; Downtime Entry'!$E$6:$E$1005,G432,'Fault &amp; Downtime Entry'!$B$6:$B$1005,B432)=0,120,100*(INDEX('Standards &amp; Scoring'!$E$5:$E$13,MATCH("Downtime Control",'Standards &amp; Scoring'!$A$5:$A$13,0))/IFERROR(SUMIFS('Fault &amp; Downtime Entry'!$L$6:$L$1005,'Fault &amp; Downtime Entry'!$E$6:$E$1005,G432,'Fault &amp; Downtime Entry'!$B$6:$B$1005,B432)/O432*1000,999999)))))</f>
        <v/>
      </c>
      <c r="AT432" s="49" t="n">
        <f aca="false">IF(COUNTA(AH432,AJ432)=0,"",MIN(120,IF(AND(AH432&lt;&gt;"",AJ432&lt;&gt;""),AVERAGE(AH432,AJ432),IF(AH432&lt;&gt;"",AH432,AJ432))))</f>
        <v>0</v>
      </c>
      <c r="AU432" s="49" t="str">
        <f aca="false">IF(AI432="","",MIN(120,AI432))</f>
        <v/>
      </c>
      <c r="AV432" s="49" t="str">
        <f aca="false">IF(AJ432="","",MIN(120,AJ432))</f>
        <v/>
      </c>
      <c r="AW432" s="50" t="str">
        <f aca="false">IF(COUNT(AN432:AV432)&lt;9,"",(AN432*'Standards &amp; Scoring'!$D$5+AO432*'Standards &amp; Scoring'!$D$6+AP432*'Standards &amp; Scoring'!$D$7+AQ432*'Standards &amp; Scoring'!$D$8+AR432*'Standards &amp; Scoring'!$D$9+AS432*'Standards &amp; Scoring'!$D$10+AT432*'Standards &amp; Scoring'!$D$11+AU432*'Standards &amp; Scoring'!$D$12+AV432*'Standards &amp; Scoring'!$D$13)/10000)</f>
        <v/>
      </c>
      <c r="AX432" s="47" t="str">
        <f aca="false">IF(AW432="","",IF(AW432&gt;=1.05,"A+",IF(AW432&gt;=1,"A",IF(AW432&gt;=0.95,"B+",IF(AW432&gt;=0.9,"B","C")))))</f>
        <v/>
      </c>
      <c r="AY432" s="47" t="str">
        <f aca="false">IF(AX432="","",IF(AX432="A+",1800,IF(AX432="A",1600,IF(AX432="B+",1400,IF(AX432="B",1200,0)))))</f>
        <v/>
      </c>
      <c r="AZ432" s="49" t="str">
        <f aca="false">IF(OR(L432="",M432="",S432="",M432=0),"",IFERROR(L432*60*S432/(M432*36),0))</f>
        <v/>
      </c>
    </row>
    <row r="433" customFormat="false" ht="15" hidden="false" customHeight="true" outlineLevel="0" collapsed="false">
      <c r="A433" s="47" t="n">
        <f aca="false">'Daily KPI Entry'!A434</f>
        <v>0</v>
      </c>
      <c r="B433" s="48" t="n">
        <f aca="false">'Daily KPI Entry'!B434</f>
        <v>0</v>
      </c>
      <c r="C433" s="47" t="n">
        <f aca="false">'Daily KPI Entry'!C434</f>
        <v>0</v>
      </c>
      <c r="D433" s="47" t="n">
        <f aca="false">'Daily KPI Entry'!D434</f>
        <v>0</v>
      </c>
      <c r="E433" s="47" t="n">
        <f aca="false">'Daily KPI Entry'!E434</f>
        <v>0</v>
      </c>
      <c r="F433" s="47" t="n">
        <f aca="false">'Daily KPI Entry'!F434</f>
        <v>0</v>
      </c>
      <c r="G433" s="47" t="n">
        <f aca="false">'Daily KPI Entry'!G434</f>
        <v>0</v>
      </c>
      <c r="H433" s="47" t="str">
        <f aca="false">'Daily KPI Entry'!H434</f>
        <v/>
      </c>
      <c r="I433" s="47" t="n">
        <f aca="false">'Daily KPI Entry'!I434</f>
        <v>0</v>
      </c>
      <c r="J433" s="47" t="n">
        <f aca="false">'Daily KPI Entry'!J434</f>
        <v>0</v>
      </c>
      <c r="K433" s="47" t="n">
        <f aca="false">'Daily KPI Entry'!K434</f>
        <v>0</v>
      </c>
      <c r="L433" s="47" t="n">
        <f aca="false">'Daily KPI Entry'!L434</f>
        <v>0</v>
      </c>
      <c r="M433" s="47" t="n">
        <f aca="false">'Daily KPI Entry'!M434</f>
        <v>0</v>
      </c>
      <c r="N433" s="49" t="n">
        <f aca="false">'Daily KPI Entry'!N434</f>
        <v>0</v>
      </c>
      <c r="O433" s="49" t="n">
        <f aca="false">'Daily KPI Entry'!O434</f>
        <v>0</v>
      </c>
      <c r="P433" s="49" t="str">
        <f aca="false">IF(OR(N433="",O433=""),"",IFERROR(O433/N433*100,0))</f>
        <v/>
      </c>
      <c r="Q433" s="47" t="n">
        <f aca="false">'Daily KPI Entry'!Q434</f>
        <v>8</v>
      </c>
      <c r="R433" s="47" t="str">
        <f aca="false">IF(J433="","",Q433*J433)</f>
        <v/>
      </c>
      <c r="S433" s="49" t="n">
        <f aca="false">'Daily KPI Entry'!S434</f>
        <v>0</v>
      </c>
      <c r="T433" s="49" t="str">
        <f aca="false">IF(OR(R433="",S433=""),"",IFERROR(S433/R433*100,0))</f>
        <v/>
      </c>
      <c r="U433" s="49" t="str">
        <f aca="false">IF(OR(O433="",L433="",M433="",S433="",M433=0),"",IFERROR(O433/(L433*60*S433/(M433*36))*100,0))</f>
        <v/>
      </c>
      <c r="V433" s="49" t="n">
        <f aca="false">'Daily KPI Entry'!V434</f>
        <v>0</v>
      </c>
      <c r="W433" s="49" t="str">
        <f aca="false">IF(O433="","",IFERROR(V433/O433*100,0))</f>
        <v/>
      </c>
      <c r="X433" s="49" t="n">
        <f aca="false">'Daily KPI Entry'!X434</f>
        <v>0</v>
      </c>
      <c r="Y433" s="49" t="n">
        <f aca="false">'Daily KPI Entry'!Y434</f>
        <v>0</v>
      </c>
      <c r="Z433" s="49" t="n">
        <f aca="false">'Daily KPI Entry'!Z434</f>
        <v>0</v>
      </c>
      <c r="AA433" s="49" t="n">
        <f aca="false">'Daily KPI Entry'!AA434</f>
        <v>0</v>
      </c>
      <c r="AB433" s="49" t="n">
        <f aca="false">'Daily KPI Entry'!AB434</f>
        <v>0</v>
      </c>
      <c r="AC433" s="49" t="n">
        <f aca="false">'Daily KPI Entry'!AC434</f>
        <v>0</v>
      </c>
      <c r="AD433" s="49" t="n">
        <f aca="false">'Daily KPI Entry'!AD434</f>
        <v>0</v>
      </c>
      <c r="AE433" s="49" t="n">
        <f aca="false">'Daily KPI Entry'!AE434</f>
        <v>0</v>
      </c>
      <c r="AF433" s="47" t="str">
        <f aca="false">IF(O433="","",SUM(X433:AE433))</f>
        <v/>
      </c>
      <c r="AG433" s="49" t="str">
        <f aca="false">IF(O433="","",IFERROR(AF433/O433*1000,0))</f>
        <v/>
      </c>
      <c r="AH433" s="49" t="n">
        <f aca="false">'Daily KPI Entry'!AH434</f>
        <v>0</v>
      </c>
      <c r="AI433" s="49" t="n">
        <f aca="false">'Daily KPI Entry'!AI434</f>
        <v>0</v>
      </c>
      <c r="AJ433" s="49" t="n">
        <f aca="false">'Daily KPI Entry'!AJ434</f>
        <v>0</v>
      </c>
      <c r="AK433" s="47" t="n">
        <f aca="false">'Daily KPI Entry'!AK434</f>
        <v>0</v>
      </c>
      <c r="AL433" s="47" t="n">
        <f aca="false">'Daily KPI Entry'!AL434</f>
        <v>0</v>
      </c>
      <c r="AM433" s="47" t="n">
        <f aca="false">'Daily KPI Entry'!AM434</f>
        <v>0</v>
      </c>
      <c r="AN433" s="49" t="str">
        <f aca="false">IF(P433="","",MIN(120,P433))</f>
        <v/>
      </c>
      <c r="AO433" s="49" t="str">
        <f aca="false">IF(U433="","",MIN(120,U433))</f>
        <v/>
      </c>
      <c r="AP433" s="49" t="str">
        <f aca="false">IF(R433="","",MIN(120,IFERROR(S433/R433*100,0)))</f>
        <v/>
      </c>
      <c r="AQ433" s="49" t="str">
        <f aca="false">IF(W433="","",MIN(120,IF(W433=0,120,100*(INDEX('Standards &amp; Scoring'!$E$5:$E$13,MATCH("Quality / Rejection",'Standards &amp; Scoring'!$A$5:$A$13,0))/W433))))</f>
        <v/>
      </c>
      <c r="AR433" s="49" t="str">
        <f aca="false">IF(AG433="","",MIN(120,IF(AG433=0,120,100*(INDEX('Standards &amp; Scoring'!$E$5:$E$13,MATCH("Fault Control",'Standards &amp; Scoring'!$A$5:$A$13,0))/AG433))))</f>
        <v/>
      </c>
      <c r="AS433" s="49" t="str">
        <f aca="false">IF(O433="","",MIN(120,IF(SUMIFS('Fault &amp; Downtime Entry'!$L$6:$L$1005,'Fault &amp; Downtime Entry'!$E$6:$E$1005,G433,'Fault &amp; Downtime Entry'!$B$6:$B$1005,B433)=0,120,100*(INDEX('Standards &amp; Scoring'!$E$5:$E$13,MATCH("Downtime Control",'Standards &amp; Scoring'!$A$5:$A$13,0))/IFERROR(SUMIFS('Fault &amp; Downtime Entry'!$L$6:$L$1005,'Fault &amp; Downtime Entry'!$E$6:$E$1005,G433,'Fault &amp; Downtime Entry'!$B$6:$B$1005,B433)/O433*1000,999999)))))</f>
        <v/>
      </c>
      <c r="AT433" s="49" t="n">
        <f aca="false">IF(COUNTA(AH433,AJ433)=0,"",MIN(120,IF(AND(AH433&lt;&gt;"",AJ433&lt;&gt;""),AVERAGE(AH433,AJ433),IF(AH433&lt;&gt;"",AH433,AJ433))))</f>
        <v>0</v>
      </c>
      <c r="AU433" s="49" t="str">
        <f aca="false">IF(AI433="","",MIN(120,AI433))</f>
        <v/>
      </c>
      <c r="AV433" s="49" t="str">
        <f aca="false">IF(AJ433="","",MIN(120,AJ433))</f>
        <v/>
      </c>
      <c r="AW433" s="50" t="str">
        <f aca="false">IF(COUNT(AN433:AV433)&lt;9,"",(AN433*'Standards &amp; Scoring'!$D$5+AO433*'Standards &amp; Scoring'!$D$6+AP433*'Standards &amp; Scoring'!$D$7+AQ433*'Standards &amp; Scoring'!$D$8+AR433*'Standards &amp; Scoring'!$D$9+AS433*'Standards &amp; Scoring'!$D$10+AT433*'Standards &amp; Scoring'!$D$11+AU433*'Standards &amp; Scoring'!$D$12+AV433*'Standards &amp; Scoring'!$D$13)/10000)</f>
        <v/>
      </c>
      <c r="AX433" s="47" t="str">
        <f aca="false">IF(AW433="","",IF(AW433&gt;=1.05,"A+",IF(AW433&gt;=1,"A",IF(AW433&gt;=0.95,"B+",IF(AW433&gt;=0.9,"B","C")))))</f>
        <v/>
      </c>
      <c r="AY433" s="47" t="str">
        <f aca="false">IF(AX433="","",IF(AX433="A+",1800,IF(AX433="A",1600,IF(AX433="B+",1400,IF(AX433="B",1200,0)))))</f>
        <v/>
      </c>
      <c r="AZ433" s="49" t="str">
        <f aca="false">IF(OR(L433="",M433="",S433="",M433=0),"",IFERROR(L433*60*S433/(M433*36),0))</f>
        <v/>
      </c>
    </row>
    <row r="434" customFormat="false" ht="15" hidden="false" customHeight="true" outlineLevel="0" collapsed="false">
      <c r="A434" s="47" t="n">
        <f aca="false">'Daily KPI Entry'!A435</f>
        <v>0</v>
      </c>
      <c r="B434" s="48" t="n">
        <f aca="false">'Daily KPI Entry'!B435</f>
        <v>0</v>
      </c>
      <c r="C434" s="47" t="n">
        <f aca="false">'Daily KPI Entry'!C435</f>
        <v>0</v>
      </c>
      <c r="D434" s="47" t="n">
        <f aca="false">'Daily KPI Entry'!D435</f>
        <v>0</v>
      </c>
      <c r="E434" s="47" t="n">
        <f aca="false">'Daily KPI Entry'!E435</f>
        <v>0</v>
      </c>
      <c r="F434" s="47" t="n">
        <f aca="false">'Daily KPI Entry'!F435</f>
        <v>0</v>
      </c>
      <c r="G434" s="47" t="n">
        <f aca="false">'Daily KPI Entry'!G435</f>
        <v>0</v>
      </c>
      <c r="H434" s="47" t="str">
        <f aca="false">'Daily KPI Entry'!H435</f>
        <v/>
      </c>
      <c r="I434" s="47" t="n">
        <f aca="false">'Daily KPI Entry'!I435</f>
        <v>0</v>
      </c>
      <c r="J434" s="47" t="n">
        <f aca="false">'Daily KPI Entry'!J435</f>
        <v>0</v>
      </c>
      <c r="K434" s="47" t="n">
        <f aca="false">'Daily KPI Entry'!K435</f>
        <v>0</v>
      </c>
      <c r="L434" s="47" t="n">
        <f aca="false">'Daily KPI Entry'!L435</f>
        <v>0</v>
      </c>
      <c r="M434" s="47" t="n">
        <f aca="false">'Daily KPI Entry'!M435</f>
        <v>0</v>
      </c>
      <c r="N434" s="49" t="n">
        <f aca="false">'Daily KPI Entry'!N435</f>
        <v>0</v>
      </c>
      <c r="O434" s="49" t="n">
        <f aca="false">'Daily KPI Entry'!O435</f>
        <v>0</v>
      </c>
      <c r="P434" s="49" t="str">
        <f aca="false">IF(OR(N434="",O434=""),"",IFERROR(O434/N434*100,0))</f>
        <v/>
      </c>
      <c r="Q434" s="47" t="n">
        <f aca="false">'Daily KPI Entry'!Q435</f>
        <v>8</v>
      </c>
      <c r="R434" s="47" t="str">
        <f aca="false">IF(J434="","",Q434*J434)</f>
        <v/>
      </c>
      <c r="S434" s="49" t="n">
        <f aca="false">'Daily KPI Entry'!S435</f>
        <v>0</v>
      </c>
      <c r="T434" s="49" t="str">
        <f aca="false">IF(OR(R434="",S434=""),"",IFERROR(S434/R434*100,0))</f>
        <v/>
      </c>
      <c r="U434" s="49" t="str">
        <f aca="false">IF(OR(O434="",L434="",M434="",S434="",M434=0),"",IFERROR(O434/(L434*60*S434/(M434*36))*100,0))</f>
        <v/>
      </c>
      <c r="V434" s="49" t="n">
        <f aca="false">'Daily KPI Entry'!V435</f>
        <v>0</v>
      </c>
      <c r="W434" s="49" t="str">
        <f aca="false">IF(O434="","",IFERROR(V434/O434*100,0))</f>
        <v/>
      </c>
      <c r="X434" s="49" t="n">
        <f aca="false">'Daily KPI Entry'!X435</f>
        <v>0</v>
      </c>
      <c r="Y434" s="49" t="n">
        <f aca="false">'Daily KPI Entry'!Y435</f>
        <v>0</v>
      </c>
      <c r="Z434" s="49" t="n">
        <f aca="false">'Daily KPI Entry'!Z435</f>
        <v>0</v>
      </c>
      <c r="AA434" s="49" t="n">
        <f aca="false">'Daily KPI Entry'!AA435</f>
        <v>0</v>
      </c>
      <c r="AB434" s="49" t="n">
        <f aca="false">'Daily KPI Entry'!AB435</f>
        <v>0</v>
      </c>
      <c r="AC434" s="49" t="n">
        <f aca="false">'Daily KPI Entry'!AC435</f>
        <v>0</v>
      </c>
      <c r="AD434" s="49" t="n">
        <f aca="false">'Daily KPI Entry'!AD435</f>
        <v>0</v>
      </c>
      <c r="AE434" s="49" t="n">
        <f aca="false">'Daily KPI Entry'!AE435</f>
        <v>0</v>
      </c>
      <c r="AF434" s="47" t="str">
        <f aca="false">IF(O434="","",SUM(X434:AE434))</f>
        <v/>
      </c>
      <c r="AG434" s="49" t="str">
        <f aca="false">IF(O434="","",IFERROR(AF434/O434*1000,0))</f>
        <v/>
      </c>
      <c r="AH434" s="49" t="n">
        <f aca="false">'Daily KPI Entry'!AH435</f>
        <v>0</v>
      </c>
      <c r="AI434" s="49" t="n">
        <f aca="false">'Daily KPI Entry'!AI435</f>
        <v>0</v>
      </c>
      <c r="AJ434" s="49" t="n">
        <f aca="false">'Daily KPI Entry'!AJ435</f>
        <v>0</v>
      </c>
      <c r="AK434" s="47" t="n">
        <f aca="false">'Daily KPI Entry'!AK435</f>
        <v>0</v>
      </c>
      <c r="AL434" s="47" t="n">
        <f aca="false">'Daily KPI Entry'!AL435</f>
        <v>0</v>
      </c>
      <c r="AM434" s="47" t="n">
        <f aca="false">'Daily KPI Entry'!AM435</f>
        <v>0</v>
      </c>
      <c r="AN434" s="49" t="str">
        <f aca="false">IF(P434="","",MIN(120,P434))</f>
        <v/>
      </c>
      <c r="AO434" s="49" t="str">
        <f aca="false">IF(U434="","",MIN(120,U434))</f>
        <v/>
      </c>
      <c r="AP434" s="49" t="str">
        <f aca="false">IF(R434="","",MIN(120,IFERROR(S434/R434*100,0)))</f>
        <v/>
      </c>
      <c r="AQ434" s="49" t="str">
        <f aca="false">IF(W434="","",MIN(120,IF(W434=0,120,100*(INDEX('Standards &amp; Scoring'!$E$5:$E$13,MATCH("Quality / Rejection",'Standards &amp; Scoring'!$A$5:$A$13,0))/W434))))</f>
        <v/>
      </c>
      <c r="AR434" s="49" t="str">
        <f aca="false">IF(AG434="","",MIN(120,IF(AG434=0,120,100*(INDEX('Standards &amp; Scoring'!$E$5:$E$13,MATCH("Fault Control",'Standards &amp; Scoring'!$A$5:$A$13,0))/AG434))))</f>
        <v/>
      </c>
      <c r="AS434" s="49" t="str">
        <f aca="false">IF(O434="","",MIN(120,IF(SUMIFS('Fault &amp; Downtime Entry'!$L$6:$L$1005,'Fault &amp; Downtime Entry'!$E$6:$E$1005,G434,'Fault &amp; Downtime Entry'!$B$6:$B$1005,B434)=0,120,100*(INDEX('Standards &amp; Scoring'!$E$5:$E$13,MATCH("Downtime Control",'Standards &amp; Scoring'!$A$5:$A$13,0))/IFERROR(SUMIFS('Fault &amp; Downtime Entry'!$L$6:$L$1005,'Fault &amp; Downtime Entry'!$E$6:$E$1005,G434,'Fault &amp; Downtime Entry'!$B$6:$B$1005,B434)/O434*1000,999999)))))</f>
        <v/>
      </c>
      <c r="AT434" s="49" t="n">
        <f aca="false">IF(COUNTA(AH434,AJ434)=0,"",MIN(120,IF(AND(AH434&lt;&gt;"",AJ434&lt;&gt;""),AVERAGE(AH434,AJ434),IF(AH434&lt;&gt;"",AH434,AJ434))))</f>
        <v>0</v>
      </c>
      <c r="AU434" s="49" t="str">
        <f aca="false">IF(AI434="","",MIN(120,AI434))</f>
        <v/>
      </c>
      <c r="AV434" s="49" t="str">
        <f aca="false">IF(AJ434="","",MIN(120,AJ434))</f>
        <v/>
      </c>
      <c r="AW434" s="50" t="str">
        <f aca="false">IF(COUNT(AN434:AV434)&lt;9,"",(AN434*'Standards &amp; Scoring'!$D$5+AO434*'Standards &amp; Scoring'!$D$6+AP434*'Standards &amp; Scoring'!$D$7+AQ434*'Standards &amp; Scoring'!$D$8+AR434*'Standards &amp; Scoring'!$D$9+AS434*'Standards &amp; Scoring'!$D$10+AT434*'Standards &amp; Scoring'!$D$11+AU434*'Standards &amp; Scoring'!$D$12+AV434*'Standards &amp; Scoring'!$D$13)/10000)</f>
        <v/>
      </c>
      <c r="AX434" s="47" t="str">
        <f aca="false">IF(AW434="","",IF(AW434&gt;=1.05,"A+",IF(AW434&gt;=1,"A",IF(AW434&gt;=0.95,"B+",IF(AW434&gt;=0.9,"B","C")))))</f>
        <v/>
      </c>
      <c r="AY434" s="47" t="str">
        <f aca="false">IF(AX434="","",IF(AX434="A+",1800,IF(AX434="A",1600,IF(AX434="B+",1400,IF(AX434="B",1200,0)))))</f>
        <v/>
      </c>
      <c r="AZ434" s="49" t="str">
        <f aca="false">IF(OR(L434="",M434="",S434="",M434=0),"",IFERROR(L434*60*S434/(M434*36),0))</f>
        <v/>
      </c>
    </row>
    <row r="435" customFormat="false" ht="15" hidden="false" customHeight="true" outlineLevel="0" collapsed="false">
      <c r="A435" s="47" t="n">
        <f aca="false">'Daily KPI Entry'!A436</f>
        <v>0</v>
      </c>
      <c r="B435" s="48" t="n">
        <f aca="false">'Daily KPI Entry'!B436</f>
        <v>0</v>
      </c>
      <c r="C435" s="47" t="n">
        <f aca="false">'Daily KPI Entry'!C436</f>
        <v>0</v>
      </c>
      <c r="D435" s="47" t="n">
        <f aca="false">'Daily KPI Entry'!D436</f>
        <v>0</v>
      </c>
      <c r="E435" s="47" t="n">
        <f aca="false">'Daily KPI Entry'!E436</f>
        <v>0</v>
      </c>
      <c r="F435" s="47" t="n">
        <f aca="false">'Daily KPI Entry'!F436</f>
        <v>0</v>
      </c>
      <c r="G435" s="47" t="n">
        <f aca="false">'Daily KPI Entry'!G436</f>
        <v>0</v>
      </c>
      <c r="H435" s="47" t="str">
        <f aca="false">'Daily KPI Entry'!H436</f>
        <v/>
      </c>
      <c r="I435" s="47" t="n">
        <f aca="false">'Daily KPI Entry'!I436</f>
        <v>0</v>
      </c>
      <c r="J435" s="47" t="n">
        <f aca="false">'Daily KPI Entry'!J436</f>
        <v>0</v>
      </c>
      <c r="K435" s="47" t="n">
        <f aca="false">'Daily KPI Entry'!K436</f>
        <v>0</v>
      </c>
      <c r="L435" s="47" t="n">
        <f aca="false">'Daily KPI Entry'!L436</f>
        <v>0</v>
      </c>
      <c r="M435" s="47" t="n">
        <f aca="false">'Daily KPI Entry'!M436</f>
        <v>0</v>
      </c>
      <c r="N435" s="49" t="n">
        <f aca="false">'Daily KPI Entry'!N436</f>
        <v>0</v>
      </c>
      <c r="O435" s="49" t="n">
        <f aca="false">'Daily KPI Entry'!O436</f>
        <v>0</v>
      </c>
      <c r="P435" s="49" t="str">
        <f aca="false">IF(OR(N435="",O435=""),"",IFERROR(O435/N435*100,0))</f>
        <v/>
      </c>
      <c r="Q435" s="47" t="n">
        <f aca="false">'Daily KPI Entry'!Q436</f>
        <v>8</v>
      </c>
      <c r="R435" s="47" t="str">
        <f aca="false">IF(J435="","",Q435*J435)</f>
        <v/>
      </c>
      <c r="S435" s="49" t="n">
        <f aca="false">'Daily KPI Entry'!S436</f>
        <v>0</v>
      </c>
      <c r="T435" s="49" t="str">
        <f aca="false">IF(OR(R435="",S435=""),"",IFERROR(S435/R435*100,0))</f>
        <v/>
      </c>
      <c r="U435" s="49" t="str">
        <f aca="false">IF(OR(O435="",L435="",M435="",S435="",M435=0),"",IFERROR(O435/(L435*60*S435/(M435*36))*100,0))</f>
        <v/>
      </c>
      <c r="V435" s="49" t="n">
        <f aca="false">'Daily KPI Entry'!V436</f>
        <v>0</v>
      </c>
      <c r="W435" s="49" t="str">
        <f aca="false">IF(O435="","",IFERROR(V435/O435*100,0))</f>
        <v/>
      </c>
      <c r="X435" s="49" t="n">
        <f aca="false">'Daily KPI Entry'!X436</f>
        <v>0</v>
      </c>
      <c r="Y435" s="49" t="n">
        <f aca="false">'Daily KPI Entry'!Y436</f>
        <v>0</v>
      </c>
      <c r="Z435" s="49" t="n">
        <f aca="false">'Daily KPI Entry'!Z436</f>
        <v>0</v>
      </c>
      <c r="AA435" s="49" t="n">
        <f aca="false">'Daily KPI Entry'!AA436</f>
        <v>0</v>
      </c>
      <c r="AB435" s="49" t="n">
        <f aca="false">'Daily KPI Entry'!AB436</f>
        <v>0</v>
      </c>
      <c r="AC435" s="49" t="n">
        <f aca="false">'Daily KPI Entry'!AC436</f>
        <v>0</v>
      </c>
      <c r="AD435" s="49" t="n">
        <f aca="false">'Daily KPI Entry'!AD436</f>
        <v>0</v>
      </c>
      <c r="AE435" s="49" t="n">
        <f aca="false">'Daily KPI Entry'!AE436</f>
        <v>0</v>
      </c>
      <c r="AF435" s="47" t="str">
        <f aca="false">IF(O435="","",SUM(X435:AE435))</f>
        <v/>
      </c>
      <c r="AG435" s="49" t="str">
        <f aca="false">IF(O435="","",IFERROR(AF435/O435*1000,0))</f>
        <v/>
      </c>
      <c r="AH435" s="49" t="n">
        <f aca="false">'Daily KPI Entry'!AH436</f>
        <v>0</v>
      </c>
      <c r="AI435" s="49" t="n">
        <f aca="false">'Daily KPI Entry'!AI436</f>
        <v>0</v>
      </c>
      <c r="AJ435" s="49" t="n">
        <f aca="false">'Daily KPI Entry'!AJ436</f>
        <v>0</v>
      </c>
      <c r="AK435" s="47" t="n">
        <f aca="false">'Daily KPI Entry'!AK436</f>
        <v>0</v>
      </c>
      <c r="AL435" s="47" t="n">
        <f aca="false">'Daily KPI Entry'!AL436</f>
        <v>0</v>
      </c>
      <c r="AM435" s="47" t="n">
        <f aca="false">'Daily KPI Entry'!AM436</f>
        <v>0</v>
      </c>
      <c r="AN435" s="49" t="str">
        <f aca="false">IF(P435="","",MIN(120,P435))</f>
        <v/>
      </c>
      <c r="AO435" s="49" t="str">
        <f aca="false">IF(U435="","",MIN(120,U435))</f>
        <v/>
      </c>
      <c r="AP435" s="49" t="str">
        <f aca="false">IF(R435="","",MIN(120,IFERROR(S435/R435*100,0)))</f>
        <v/>
      </c>
      <c r="AQ435" s="49" t="str">
        <f aca="false">IF(W435="","",MIN(120,IF(W435=0,120,100*(INDEX('Standards &amp; Scoring'!$E$5:$E$13,MATCH("Quality / Rejection",'Standards &amp; Scoring'!$A$5:$A$13,0))/W435))))</f>
        <v/>
      </c>
      <c r="AR435" s="49" t="str">
        <f aca="false">IF(AG435="","",MIN(120,IF(AG435=0,120,100*(INDEX('Standards &amp; Scoring'!$E$5:$E$13,MATCH("Fault Control",'Standards &amp; Scoring'!$A$5:$A$13,0))/AG435))))</f>
        <v/>
      </c>
      <c r="AS435" s="49" t="str">
        <f aca="false">IF(O435="","",MIN(120,IF(SUMIFS('Fault &amp; Downtime Entry'!$L$6:$L$1005,'Fault &amp; Downtime Entry'!$E$6:$E$1005,G435,'Fault &amp; Downtime Entry'!$B$6:$B$1005,B435)=0,120,100*(INDEX('Standards &amp; Scoring'!$E$5:$E$13,MATCH("Downtime Control",'Standards &amp; Scoring'!$A$5:$A$13,0))/IFERROR(SUMIFS('Fault &amp; Downtime Entry'!$L$6:$L$1005,'Fault &amp; Downtime Entry'!$E$6:$E$1005,G435,'Fault &amp; Downtime Entry'!$B$6:$B$1005,B435)/O435*1000,999999)))))</f>
        <v/>
      </c>
      <c r="AT435" s="49" t="n">
        <f aca="false">IF(COUNTA(AH435,AJ435)=0,"",MIN(120,IF(AND(AH435&lt;&gt;"",AJ435&lt;&gt;""),AVERAGE(AH435,AJ435),IF(AH435&lt;&gt;"",AH435,AJ435))))</f>
        <v>0</v>
      </c>
      <c r="AU435" s="49" t="str">
        <f aca="false">IF(AI435="","",MIN(120,AI435))</f>
        <v/>
      </c>
      <c r="AV435" s="49" t="str">
        <f aca="false">IF(AJ435="","",MIN(120,AJ435))</f>
        <v/>
      </c>
      <c r="AW435" s="50" t="str">
        <f aca="false">IF(COUNT(AN435:AV435)&lt;9,"",(AN435*'Standards &amp; Scoring'!$D$5+AO435*'Standards &amp; Scoring'!$D$6+AP435*'Standards &amp; Scoring'!$D$7+AQ435*'Standards &amp; Scoring'!$D$8+AR435*'Standards &amp; Scoring'!$D$9+AS435*'Standards &amp; Scoring'!$D$10+AT435*'Standards &amp; Scoring'!$D$11+AU435*'Standards &amp; Scoring'!$D$12+AV435*'Standards &amp; Scoring'!$D$13)/10000)</f>
        <v/>
      </c>
      <c r="AX435" s="47" t="str">
        <f aca="false">IF(AW435="","",IF(AW435&gt;=1.05,"A+",IF(AW435&gt;=1,"A",IF(AW435&gt;=0.95,"B+",IF(AW435&gt;=0.9,"B","C")))))</f>
        <v/>
      </c>
      <c r="AY435" s="47" t="str">
        <f aca="false">IF(AX435="","",IF(AX435="A+",1800,IF(AX435="A",1600,IF(AX435="B+",1400,IF(AX435="B",1200,0)))))</f>
        <v/>
      </c>
      <c r="AZ435" s="49" t="str">
        <f aca="false">IF(OR(L435="",M435="",S435="",M435=0),"",IFERROR(L435*60*S435/(M435*36),0))</f>
        <v/>
      </c>
    </row>
    <row r="436" customFormat="false" ht="15" hidden="false" customHeight="true" outlineLevel="0" collapsed="false">
      <c r="A436" s="47" t="n">
        <f aca="false">'Daily KPI Entry'!A437</f>
        <v>0</v>
      </c>
      <c r="B436" s="48" t="n">
        <f aca="false">'Daily KPI Entry'!B437</f>
        <v>0</v>
      </c>
      <c r="C436" s="47" t="n">
        <f aca="false">'Daily KPI Entry'!C437</f>
        <v>0</v>
      </c>
      <c r="D436" s="47" t="n">
        <f aca="false">'Daily KPI Entry'!D437</f>
        <v>0</v>
      </c>
      <c r="E436" s="47" t="n">
        <f aca="false">'Daily KPI Entry'!E437</f>
        <v>0</v>
      </c>
      <c r="F436" s="47" t="n">
        <f aca="false">'Daily KPI Entry'!F437</f>
        <v>0</v>
      </c>
      <c r="G436" s="47" t="n">
        <f aca="false">'Daily KPI Entry'!G437</f>
        <v>0</v>
      </c>
      <c r="H436" s="47" t="str">
        <f aca="false">'Daily KPI Entry'!H437</f>
        <v/>
      </c>
      <c r="I436" s="47" t="n">
        <f aca="false">'Daily KPI Entry'!I437</f>
        <v>0</v>
      </c>
      <c r="J436" s="47" t="n">
        <f aca="false">'Daily KPI Entry'!J437</f>
        <v>0</v>
      </c>
      <c r="K436" s="47" t="n">
        <f aca="false">'Daily KPI Entry'!K437</f>
        <v>0</v>
      </c>
      <c r="L436" s="47" t="n">
        <f aca="false">'Daily KPI Entry'!L437</f>
        <v>0</v>
      </c>
      <c r="M436" s="47" t="n">
        <f aca="false">'Daily KPI Entry'!M437</f>
        <v>0</v>
      </c>
      <c r="N436" s="49" t="n">
        <f aca="false">'Daily KPI Entry'!N437</f>
        <v>0</v>
      </c>
      <c r="O436" s="49" t="n">
        <f aca="false">'Daily KPI Entry'!O437</f>
        <v>0</v>
      </c>
      <c r="P436" s="49" t="str">
        <f aca="false">IF(OR(N436="",O436=""),"",IFERROR(O436/N436*100,0))</f>
        <v/>
      </c>
      <c r="Q436" s="47" t="n">
        <f aca="false">'Daily KPI Entry'!Q437</f>
        <v>8</v>
      </c>
      <c r="R436" s="47" t="str">
        <f aca="false">IF(J436="","",Q436*J436)</f>
        <v/>
      </c>
      <c r="S436" s="49" t="n">
        <f aca="false">'Daily KPI Entry'!S437</f>
        <v>0</v>
      </c>
      <c r="T436" s="49" t="str">
        <f aca="false">IF(OR(R436="",S436=""),"",IFERROR(S436/R436*100,0))</f>
        <v/>
      </c>
      <c r="U436" s="49" t="str">
        <f aca="false">IF(OR(O436="",L436="",M436="",S436="",M436=0),"",IFERROR(O436/(L436*60*S436/(M436*36))*100,0))</f>
        <v/>
      </c>
      <c r="V436" s="49" t="n">
        <f aca="false">'Daily KPI Entry'!V437</f>
        <v>0</v>
      </c>
      <c r="W436" s="49" t="str">
        <f aca="false">IF(O436="","",IFERROR(V436/O436*100,0))</f>
        <v/>
      </c>
      <c r="X436" s="49" t="n">
        <f aca="false">'Daily KPI Entry'!X437</f>
        <v>0</v>
      </c>
      <c r="Y436" s="49" t="n">
        <f aca="false">'Daily KPI Entry'!Y437</f>
        <v>0</v>
      </c>
      <c r="Z436" s="49" t="n">
        <f aca="false">'Daily KPI Entry'!Z437</f>
        <v>0</v>
      </c>
      <c r="AA436" s="49" t="n">
        <f aca="false">'Daily KPI Entry'!AA437</f>
        <v>0</v>
      </c>
      <c r="AB436" s="49" t="n">
        <f aca="false">'Daily KPI Entry'!AB437</f>
        <v>0</v>
      </c>
      <c r="AC436" s="49" t="n">
        <f aca="false">'Daily KPI Entry'!AC437</f>
        <v>0</v>
      </c>
      <c r="AD436" s="49" t="n">
        <f aca="false">'Daily KPI Entry'!AD437</f>
        <v>0</v>
      </c>
      <c r="AE436" s="49" t="n">
        <f aca="false">'Daily KPI Entry'!AE437</f>
        <v>0</v>
      </c>
      <c r="AF436" s="47" t="str">
        <f aca="false">IF(O436="","",SUM(X436:AE436))</f>
        <v/>
      </c>
      <c r="AG436" s="49" t="str">
        <f aca="false">IF(O436="","",IFERROR(AF436/O436*1000,0))</f>
        <v/>
      </c>
      <c r="AH436" s="49" t="n">
        <f aca="false">'Daily KPI Entry'!AH437</f>
        <v>0</v>
      </c>
      <c r="AI436" s="49" t="n">
        <f aca="false">'Daily KPI Entry'!AI437</f>
        <v>0</v>
      </c>
      <c r="AJ436" s="49" t="n">
        <f aca="false">'Daily KPI Entry'!AJ437</f>
        <v>0</v>
      </c>
      <c r="AK436" s="47" t="n">
        <f aca="false">'Daily KPI Entry'!AK437</f>
        <v>0</v>
      </c>
      <c r="AL436" s="47" t="n">
        <f aca="false">'Daily KPI Entry'!AL437</f>
        <v>0</v>
      </c>
      <c r="AM436" s="47" t="n">
        <f aca="false">'Daily KPI Entry'!AM437</f>
        <v>0</v>
      </c>
      <c r="AN436" s="49" t="str">
        <f aca="false">IF(P436="","",MIN(120,P436))</f>
        <v/>
      </c>
      <c r="AO436" s="49" t="str">
        <f aca="false">IF(U436="","",MIN(120,U436))</f>
        <v/>
      </c>
      <c r="AP436" s="49" t="str">
        <f aca="false">IF(R436="","",MIN(120,IFERROR(S436/R436*100,0)))</f>
        <v/>
      </c>
      <c r="AQ436" s="49" t="str">
        <f aca="false">IF(W436="","",MIN(120,IF(W436=0,120,100*(INDEX('Standards &amp; Scoring'!$E$5:$E$13,MATCH("Quality / Rejection",'Standards &amp; Scoring'!$A$5:$A$13,0))/W436))))</f>
        <v/>
      </c>
      <c r="AR436" s="49" t="str">
        <f aca="false">IF(AG436="","",MIN(120,IF(AG436=0,120,100*(INDEX('Standards &amp; Scoring'!$E$5:$E$13,MATCH("Fault Control",'Standards &amp; Scoring'!$A$5:$A$13,0))/AG436))))</f>
        <v/>
      </c>
      <c r="AS436" s="49" t="str">
        <f aca="false">IF(O436="","",MIN(120,IF(SUMIFS('Fault &amp; Downtime Entry'!$L$6:$L$1005,'Fault &amp; Downtime Entry'!$E$6:$E$1005,G436,'Fault &amp; Downtime Entry'!$B$6:$B$1005,B436)=0,120,100*(INDEX('Standards &amp; Scoring'!$E$5:$E$13,MATCH("Downtime Control",'Standards &amp; Scoring'!$A$5:$A$13,0))/IFERROR(SUMIFS('Fault &amp; Downtime Entry'!$L$6:$L$1005,'Fault &amp; Downtime Entry'!$E$6:$E$1005,G436,'Fault &amp; Downtime Entry'!$B$6:$B$1005,B436)/O436*1000,999999)))))</f>
        <v/>
      </c>
      <c r="AT436" s="49" t="n">
        <f aca="false">IF(COUNTA(AH436,AJ436)=0,"",MIN(120,IF(AND(AH436&lt;&gt;"",AJ436&lt;&gt;""),AVERAGE(AH436,AJ436),IF(AH436&lt;&gt;"",AH436,AJ436))))</f>
        <v>0</v>
      </c>
      <c r="AU436" s="49" t="str">
        <f aca="false">IF(AI436="","",MIN(120,AI436))</f>
        <v/>
      </c>
      <c r="AV436" s="49" t="str">
        <f aca="false">IF(AJ436="","",MIN(120,AJ436))</f>
        <v/>
      </c>
      <c r="AW436" s="50" t="str">
        <f aca="false">IF(COUNT(AN436:AV436)&lt;9,"",(AN436*'Standards &amp; Scoring'!$D$5+AO436*'Standards &amp; Scoring'!$D$6+AP436*'Standards &amp; Scoring'!$D$7+AQ436*'Standards &amp; Scoring'!$D$8+AR436*'Standards &amp; Scoring'!$D$9+AS436*'Standards &amp; Scoring'!$D$10+AT436*'Standards &amp; Scoring'!$D$11+AU436*'Standards &amp; Scoring'!$D$12+AV436*'Standards &amp; Scoring'!$D$13)/10000)</f>
        <v/>
      </c>
      <c r="AX436" s="47" t="str">
        <f aca="false">IF(AW436="","",IF(AW436&gt;=1.05,"A+",IF(AW436&gt;=1,"A",IF(AW436&gt;=0.95,"B+",IF(AW436&gt;=0.9,"B","C")))))</f>
        <v/>
      </c>
      <c r="AY436" s="47" t="str">
        <f aca="false">IF(AX436="","",IF(AX436="A+",1800,IF(AX436="A",1600,IF(AX436="B+",1400,IF(AX436="B",1200,0)))))</f>
        <v/>
      </c>
      <c r="AZ436" s="49" t="str">
        <f aca="false">IF(OR(L436="",M436="",S436="",M436=0),"",IFERROR(L436*60*S436/(M436*36),0))</f>
        <v/>
      </c>
    </row>
    <row r="437" customFormat="false" ht="15" hidden="false" customHeight="true" outlineLevel="0" collapsed="false">
      <c r="A437" s="47" t="n">
        <f aca="false">'Daily KPI Entry'!A438</f>
        <v>0</v>
      </c>
      <c r="B437" s="48" t="n">
        <f aca="false">'Daily KPI Entry'!B438</f>
        <v>0</v>
      </c>
      <c r="C437" s="47" t="n">
        <f aca="false">'Daily KPI Entry'!C438</f>
        <v>0</v>
      </c>
      <c r="D437" s="47" t="n">
        <f aca="false">'Daily KPI Entry'!D438</f>
        <v>0</v>
      </c>
      <c r="E437" s="47" t="n">
        <f aca="false">'Daily KPI Entry'!E438</f>
        <v>0</v>
      </c>
      <c r="F437" s="47" t="n">
        <f aca="false">'Daily KPI Entry'!F438</f>
        <v>0</v>
      </c>
      <c r="G437" s="47" t="n">
        <f aca="false">'Daily KPI Entry'!G438</f>
        <v>0</v>
      </c>
      <c r="H437" s="47" t="str">
        <f aca="false">'Daily KPI Entry'!H438</f>
        <v/>
      </c>
      <c r="I437" s="47" t="n">
        <f aca="false">'Daily KPI Entry'!I438</f>
        <v>0</v>
      </c>
      <c r="J437" s="47" t="n">
        <f aca="false">'Daily KPI Entry'!J438</f>
        <v>0</v>
      </c>
      <c r="K437" s="47" t="n">
        <f aca="false">'Daily KPI Entry'!K438</f>
        <v>0</v>
      </c>
      <c r="L437" s="47" t="n">
        <f aca="false">'Daily KPI Entry'!L438</f>
        <v>0</v>
      </c>
      <c r="M437" s="47" t="n">
        <f aca="false">'Daily KPI Entry'!M438</f>
        <v>0</v>
      </c>
      <c r="N437" s="49" t="n">
        <f aca="false">'Daily KPI Entry'!N438</f>
        <v>0</v>
      </c>
      <c r="O437" s="49" t="n">
        <f aca="false">'Daily KPI Entry'!O438</f>
        <v>0</v>
      </c>
      <c r="P437" s="49" t="str">
        <f aca="false">IF(OR(N437="",O437=""),"",IFERROR(O437/N437*100,0))</f>
        <v/>
      </c>
      <c r="Q437" s="47" t="n">
        <f aca="false">'Daily KPI Entry'!Q438</f>
        <v>8</v>
      </c>
      <c r="R437" s="47" t="str">
        <f aca="false">IF(J437="","",Q437*J437)</f>
        <v/>
      </c>
      <c r="S437" s="49" t="n">
        <f aca="false">'Daily KPI Entry'!S438</f>
        <v>0</v>
      </c>
      <c r="T437" s="49" t="str">
        <f aca="false">IF(OR(R437="",S437=""),"",IFERROR(S437/R437*100,0))</f>
        <v/>
      </c>
      <c r="U437" s="49" t="str">
        <f aca="false">IF(OR(O437="",L437="",M437="",S437="",M437=0),"",IFERROR(O437/(L437*60*S437/(M437*36))*100,0))</f>
        <v/>
      </c>
      <c r="V437" s="49" t="n">
        <f aca="false">'Daily KPI Entry'!V438</f>
        <v>0</v>
      </c>
      <c r="W437" s="49" t="str">
        <f aca="false">IF(O437="","",IFERROR(V437/O437*100,0))</f>
        <v/>
      </c>
      <c r="X437" s="49" t="n">
        <f aca="false">'Daily KPI Entry'!X438</f>
        <v>0</v>
      </c>
      <c r="Y437" s="49" t="n">
        <f aca="false">'Daily KPI Entry'!Y438</f>
        <v>0</v>
      </c>
      <c r="Z437" s="49" t="n">
        <f aca="false">'Daily KPI Entry'!Z438</f>
        <v>0</v>
      </c>
      <c r="AA437" s="49" t="n">
        <f aca="false">'Daily KPI Entry'!AA438</f>
        <v>0</v>
      </c>
      <c r="AB437" s="49" t="n">
        <f aca="false">'Daily KPI Entry'!AB438</f>
        <v>0</v>
      </c>
      <c r="AC437" s="49" t="n">
        <f aca="false">'Daily KPI Entry'!AC438</f>
        <v>0</v>
      </c>
      <c r="AD437" s="49" t="n">
        <f aca="false">'Daily KPI Entry'!AD438</f>
        <v>0</v>
      </c>
      <c r="AE437" s="49" t="n">
        <f aca="false">'Daily KPI Entry'!AE438</f>
        <v>0</v>
      </c>
      <c r="AF437" s="47" t="str">
        <f aca="false">IF(O437="","",SUM(X437:AE437))</f>
        <v/>
      </c>
      <c r="AG437" s="49" t="str">
        <f aca="false">IF(O437="","",IFERROR(AF437/O437*1000,0))</f>
        <v/>
      </c>
      <c r="AH437" s="49" t="n">
        <f aca="false">'Daily KPI Entry'!AH438</f>
        <v>0</v>
      </c>
      <c r="AI437" s="49" t="n">
        <f aca="false">'Daily KPI Entry'!AI438</f>
        <v>0</v>
      </c>
      <c r="AJ437" s="49" t="n">
        <f aca="false">'Daily KPI Entry'!AJ438</f>
        <v>0</v>
      </c>
      <c r="AK437" s="47" t="n">
        <f aca="false">'Daily KPI Entry'!AK438</f>
        <v>0</v>
      </c>
      <c r="AL437" s="47" t="n">
        <f aca="false">'Daily KPI Entry'!AL438</f>
        <v>0</v>
      </c>
      <c r="AM437" s="47" t="n">
        <f aca="false">'Daily KPI Entry'!AM438</f>
        <v>0</v>
      </c>
      <c r="AN437" s="49" t="str">
        <f aca="false">IF(P437="","",MIN(120,P437))</f>
        <v/>
      </c>
      <c r="AO437" s="49" t="str">
        <f aca="false">IF(U437="","",MIN(120,U437))</f>
        <v/>
      </c>
      <c r="AP437" s="49" t="str">
        <f aca="false">IF(R437="","",MIN(120,IFERROR(S437/R437*100,0)))</f>
        <v/>
      </c>
      <c r="AQ437" s="49" t="str">
        <f aca="false">IF(W437="","",MIN(120,IF(W437=0,120,100*(INDEX('Standards &amp; Scoring'!$E$5:$E$13,MATCH("Quality / Rejection",'Standards &amp; Scoring'!$A$5:$A$13,0))/W437))))</f>
        <v/>
      </c>
      <c r="AR437" s="49" t="str">
        <f aca="false">IF(AG437="","",MIN(120,IF(AG437=0,120,100*(INDEX('Standards &amp; Scoring'!$E$5:$E$13,MATCH("Fault Control",'Standards &amp; Scoring'!$A$5:$A$13,0))/AG437))))</f>
        <v/>
      </c>
      <c r="AS437" s="49" t="str">
        <f aca="false">IF(O437="","",MIN(120,IF(SUMIFS('Fault &amp; Downtime Entry'!$L$6:$L$1005,'Fault &amp; Downtime Entry'!$E$6:$E$1005,G437,'Fault &amp; Downtime Entry'!$B$6:$B$1005,B437)=0,120,100*(INDEX('Standards &amp; Scoring'!$E$5:$E$13,MATCH("Downtime Control",'Standards &amp; Scoring'!$A$5:$A$13,0))/IFERROR(SUMIFS('Fault &amp; Downtime Entry'!$L$6:$L$1005,'Fault &amp; Downtime Entry'!$E$6:$E$1005,G437,'Fault &amp; Downtime Entry'!$B$6:$B$1005,B437)/O437*1000,999999)))))</f>
        <v/>
      </c>
      <c r="AT437" s="49" t="n">
        <f aca="false">IF(COUNTA(AH437,AJ437)=0,"",MIN(120,IF(AND(AH437&lt;&gt;"",AJ437&lt;&gt;""),AVERAGE(AH437,AJ437),IF(AH437&lt;&gt;"",AH437,AJ437))))</f>
        <v>0</v>
      </c>
      <c r="AU437" s="49" t="str">
        <f aca="false">IF(AI437="","",MIN(120,AI437))</f>
        <v/>
      </c>
      <c r="AV437" s="49" t="str">
        <f aca="false">IF(AJ437="","",MIN(120,AJ437))</f>
        <v/>
      </c>
      <c r="AW437" s="50" t="str">
        <f aca="false">IF(COUNT(AN437:AV437)&lt;9,"",(AN437*'Standards &amp; Scoring'!$D$5+AO437*'Standards &amp; Scoring'!$D$6+AP437*'Standards &amp; Scoring'!$D$7+AQ437*'Standards &amp; Scoring'!$D$8+AR437*'Standards &amp; Scoring'!$D$9+AS437*'Standards &amp; Scoring'!$D$10+AT437*'Standards &amp; Scoring'!$D$11+AU437*'Standards &amp; Scoring'!$D$12+AV437*'Standards &amp; Scoring'!$D$13)/10000)</f>
        <v/>
      </c>
      <c r="AX437" s="47" t="str">
        <f aca="false">IF(AW437="","",IF(AW437&gt;=1.05,"A+",IF(AW437&gt;=1,"A",IF(AW437&gt;=0.95,"B+",IF(AW437&gt;=0.9,"B","C")))))</f>
        <v/>
      </c>
      <c r="AY437" s="47" t="str">
        <f aca="false">IF(AX437="","",IF(AX437="A+",1800,IF(AX437="A",1600,IF(AX437="B+",1400,IF(AX437="B",1200,0)))))</f>
        <v/>
      </c>
      <c r="AZ437" s="49" t="str">
        <f aca="false">IF(OR(L437="",M437="",S437="",M437=0),"",IFERROR(L437*60*S437/(M437*36),0))</f>
        <v/>
      </c>
    </row>
    <row r="438" customFormat="false" ht="15" hidden="false" customHeight="true" outlineLevel="0" collapsed="false">
      <c r="A438" s="47" t="n">
        <f aca="false">'Daily KPI Entry'!A439</f>
        <v>0</v>
      </c>
      <c r="B438" s="48" t="n">
        <f aca="false">'Daily KPI Entry'!B439</f>
        <v>0</v>
      </c>
      <c r="C438" s="47" t="n">
        <f aca="false">'Daily KPI Entry'!C439</f>
        <v>0</v>
      </c>
      <c r="D438" s="47" t="n">
        <f aca="false">'Daily KPI Entry'!D439</f>
        <v>0</v>
      </c>
      <c r="E438" s="47" t="n">
        <f aca="false">'Daily KPI Entry'!E439</f>
        <v>0</v>
      </c>
      <c r="F438" s="47" t="n">
        <f aca="false">'Daily KPI Entry'!F439</f>
        <v>0</v>
      </c>
      <c r="G438" s="47" t="n">
        <f aca="false">'Daily KPI Entry'!G439</f>
        <v>0</v>
      </c>
      <c r="H438" s="47" t="str">
        <f aca="false">'Daily KPI Entry'!H439</f>
        <v/>
      </c>
      <c r="I438" s="47" t="n">
        <f aca="false">'Daily KPI Entry'!I439</f>
        <v>0</v>
      </c>
      <c r="J438" s="47" t="n">
        <f aca="false">'Daily KPI Entry'!J439</f>
        <v>0</v>
      </c>
      <c r="K438" s="47" t="n">
        <f aca="false">'Daily KPI Entry'!K439</f>
        <v>0</v>
      </c>
      <c r="L438" s="47" t="n">
        <f aca="false">'Daily KPI Entry'!L439</f>
        <v>0</v>
      </c>
      <c r="M438" s="47" t="n">
        <f aca="false">'Daily KPI Entry'!M439</f>
        <v>0</v>
      </c>
      <c r="N438" s="49" t="n">
        <f aca="false">'Daily KPI Entry'!N439</f>
        <v>0</v>
      </c>
      <c r="O438" s="49" t="n">
        <f aca="false">'Daily KPI Entry'!O439</f>
        <v>0</v>
      </c>
      <c r="P438" s="49" t="str">
        <f aca="false">IF(OR(N438="",O438=""),"",IFERROR(O438/N438*100,0))</f>
        <v/>
      </c>
      <c r="Q438" s="47" t="n">
        <f aca="false">'Daily KPI Entry'!Q439</f>
        <v>8</v>
      </c>
      <c r="R438" s="47" t="str">
        <f aca="false">IF(J438="","",Q438*J438)</f>
        <v/>
      </c>
      <c r="S438" s="49" t="n">
        <f aca="false">'Daily KPI Entry'!S439</f>
        <v>0</v>
      </c>
      <c r="T438" s="49" t="str">
        <f aca="false">IF(OR(R438="",S438=""),"",IFERROR(S438/R438*100,0))</f>
        <v/>
      </c>
      <c r="U438" s="49" t="str">
        <f aca="false">IF(OR(O438="",L438="",M438="",S438="",M438=0),"",IFERROR(O438/(L438*60*S438/(M438*36))*100,0))</f>
        <v/>
      </c>
      <c r="V438" s="49" t="n">
        <f aca="false">'Daily KPI Entry'!V439</f>
        <v>0</v>
      </c>
      <c r="W438" s="49" t="str">
        <f aca="false">IF(O438="","",IFERROR(V438/O438*100,0))</f>
        <v/>
      </c>
      <c r="X438" s="49" t="n">
        <f aca="false">'Daily KPI Entry'!X439</f>
        <v>0</v>
      </c>
      <c r="Y438" s="49" t="n">
        <f aca="false">'Daily KPI Entry'!Y439</f>
        <v>0</v>
      </c>
      <c r="Z438" s="49" t="n">
        <f aca="false">'Daily KPI Entry'!Z439</f>
        <v>0</v>
      </c>
      <c r="AA438" s="49" t="n">
        <f aca="false">'Daily KPI Entry'!AA439</f>
        <v>0</v>
      </c>
      <c r="AB438" s="49" t="n">
        <f aca="false">'Daily KPI Entry'!AB439</f>
        <v>0</v>
      </c>
      <c r="AC438" s="49" t="n">
        <f aca="false">'Daily KPI Entry'!AC439</f>
        <v>0</v>
      </c>
      <c r="AD438" s="49" t="n">
        <f aca="false">'Daily KPI Entry'!AD439</f>
        <v>0</v>
      </c>
      <c r="AE438" s="49" t="n">
        <f aca="false">'Daily KPI Entry'!AE439</f>
        <v>0</v>
      </c>
      <c r="AF438" s="47" t="str">
        <f aca="false">IF(O438="","",SUM(X438:AE438))</f>
        <v/>
      </c>
      <c r="AG438" s="49" t="str">
        <f aca="false">IF(O438="","",IFERROR(AF438/O438*1000,0))</f>
        <v/>
      </c>
      <c r="AH438" s="49" t="n">
        <f aca="false">'Daily KPI Entry'!AH439</f>
        <v>0</v>
      </c>
      <c r="AI438" s="49" t="n">
        <f aca="false">'Daily KPI Entry'!AI439</f>
        <v>0</v>
      </c>
      <c r="AJ438" s="49" t="n">
        <f aca="false">'Daily KPI Entry'!AJ439</f>
        <v>0</v>
      </c>
      <c r="AK438" s="47" t="n">
        <f aca="false">'Daily KPI Entry'!AK439</f>
        <v>0</v>
      </c>
      <c r="AL438" s="47" t="n">
        <f aca="false">'Daily KPI Entry'!AL439</f>
        <v>0</v>
      </c>
      <c r="AM438" s="47" t="n">
        <f aca="false">'Daily KPI Entry'!AM439</f>
        <v>0</v>
      </c>
      <c r="AN438" s="49" t="str">
        <f aca="false">IF(P438="","",MIN(120,P438))</f>
        <v/>
      </c>
      <c r="AO438" s="49" t="str">
        <f aca="false">IF(U438="","",MIN(120,U438))</f>
        <v/>
      </c>
      <c r="AP438" s="49" t="str">
        <f aca="false">IF(R438="","",MIN(120,IFERROR(S438/R438*100,0)))</f>
        <v/>
      </c>
      <c r="AQ438" s="49" t="str">
        <f aca="false">IF(W438="","",MIN(120,IF(W438=0,120,100*(INDEX('Standards &amp; Scoring'!$E$5:$E$13,MATCH("Quality / Rejection",'Standards &amp; Scoring'!$A$5:$A$13,0))/W438))))</f>
        <v/>
      </c>
      <c r="AR438" s="49" t="str">
        <f aca="false">IF(AG438="","",MIN(120,IF(AG438=0,120,100*(INDEX('Standards &amp; Scoring'!$E$5:$E$13,MATCH("Fault Control",'Standards &amp; Scoring'!$A$5:$A$13,0))/AG438))))</f>
        <v/>
      </c>
      <c r="AS438" s="49" t="str">
        <f aca="false">IF(O438="","",MIN(120,IF(SUMIFS('Fault &amp; Downtime Entry'!$L$6:$L$1005,'Fault &amp; Downtime Entry'!$E$6:$E$1005,G438,'Fault &amp; Downtime Entry'!$B$6:$B$1005,B438)=0,120,100*(INDEX('Standards &amp; Scoring'!$E$5:$E$13,MATCH("Downtime Control",'Standards &amp; Scoring'!$A$5:$A$13,0))/IFERROR(SUMIFS('Fault &amp; Downtime Entry'!$L$6:$L$1005,'Fault &amp; Downtime Entry'!$E$6:$E$1005,G438,'Fault &amp; Downtime Entry'!$B$6:$B$1005,B438)/O438*1000,999999)))))</f>
        <v/>
      </c>
      <c r="AT438" s="49" t="n">
        <f aca="false">IF(COUNTA(AH438,AJ438)=0,"",MIN(120,IF(AND(AH438&lt;&gt;"",AJ438&lt;&gt;""),AVERAGE(AH438,AJ438),IF(AH438&lt;&gt;"",AH438,AJ438))))</f>
        <v>0</v>
      </c>
      <c r="AU438" s="49" t="str">
        <f aca="false">IF(AI438="","",MIN(120,AI438))</f>
        <v/>
      </c>
      <c r="AV438" s="49" t="str">
        <f aca="false">IF(AJ438="","",MIN(120,AJ438))</f>
        <v/>
      </c>
      <c r="AW438" s="50" t="str">
        <f aca="false">IF(COUNT(AN438:AV438)&lt;9,"",(AN438*'Standards &amp; Scoring'!$D$5+AO438*'Standards &amp; Scoring'!$D$6+AP438*'Standards &amp; Scoring'!$D$7+AQ438*'Standards &amp; Scoring'!$D$8+AR438*'Standards &amp; Scoring'!$D$9+AS438*'Standards &amp; Scoring'!$D$10+AT438*'Standards &amp; Scoring'!$D$11+AU438*'Standards &amp; Scoring'!$D$12+AV438*'Standards &amp; Scoring'!$D$13)/10000)</f>
        <v/>
      </c>
      <c r="AX438" s="47" t="str">
        <f aca="false">IF(AW438="","",IF(AW438&gt;=1.05,"A+",IF(AW438&gt;=1,"A",IF(AW438&gt;=0.95,"B+",IF(AW438&gt;=0.9,"B","C")))))</f>
        <v/>
      </c>
      <c r="AY438" s="47" t="str">
        <f aca="false">IF(AX438="","",IF(AX438="A+",1800,IF(AX438="A",1600,IF(AX438="B+",1400,IF(AX438="B",1200,0)))))</f>
        <v/>
      </c>
      <c r="AZ438" s="49" t="str">
        <f aca="false">IF(OR(L438="",M438="",S438="",M438=0),"",IFERROR(L438*60*S438/(M438*36),0))</f>
        <v/>
      </c>
    </row>
    <row r="439" customFormat="false" ht="15" hidden="false" customHeight="true" outlineLevel="0" collapsed="false">
      <c r="A439" s="47" t="n">
        <f aca="false">'Daily KPI Entry'!A440</f>
        <v>0</v>
      </c>
      <c r="B439" s="48" t="n">
        <f aca="false">'Daily KPI Entry'!B440</f>
        <v>0</v>
      </c>
      <c r="C439" s="47" t="n">
        <f aca="false">'Daily KPI Entry'!C440</f>
        <v>0</v>
      </c>
      <c r="D439" s="47" t="n">
        <f aca="false">'Daily KPI Entry'!D440</f>
        <v>0</v>
      </c>
      <c r="E439" s="47" t="n">
        <f aca="false">'Daily KPI Entry'!E440</f>
        <v>0</v>
      </c>
      <c r="F439" s="47" t="n">
        <f aca="false">'Daily KPI Entry'!F440</f>
        <v>0</v>
      </c>
      <c r="G439" s="47" t="n">
        <f aca="false">'Daily KPI Entry'!G440</f>
        <v>0</v>
      </c>
      <c r="H439" s="47" t="str">
        <f aca="false">'Daily KPI Entry'!H440</f>
        <v/>
      </c>
      <c r="I439" s="47" t="n">
        <f aca="false">'Daily KPI Entry'!I440</f>
        <v>0</v>
      </c>
      <c r="J439" s="47" t="n">
        <f aca="false">'Daily KPI Entry'!J440</f>
        <v>0</v>
      </c>
      <c r="K439" s="47" t="n">
        <f aca="false">'Daily KPI Entry'!K440</f>
        <v>0</v>
      </c>
      <c r="L439" s="47" t="n">
        <f aca="false">'Daily KPI Entry'!L440</f>
        <v>0</v>
      </c>
      <c r="M439" s="47" t="n">
        <f aca="false">'Daily KPI Entry'!M440</f>
        <v>0</v>
      </c>
      <c r="N439" s="49" t="n">
        <f aca="false">'Daily KPI Entry'!N440</f>
        <v>0</v>
      </c>
      <c r="O439" s="49" t="n">
        <f aca="false">'Daily KPI Entry'!O440</f>
        <v>0</v>
      </c>
      <c r="P439" s="49" t="str">
        <f aca="false">IF(OR(N439="",O439=""),"",IFERROR(O439/N439*100,0))</f>
        <v/>
      </c>
      <c r="Q439" s="47" t="n">
        <f aca="false">'Daily KPI Entry'!Q440</f>
        <v>8</v>
      </c>
      <c r="R439" s="47" t="str">
        <f aca="false">IF(J439="","",Q439*J439)</f>
        <v/>
      </c>
      <c r="S439" s="49" t="n">
        <f aca="false">'Daily KPI Entry'!S440</f>
        <v>0</v>
      </c>
      <c r="T439" s="49" t="str">
        <f aca="false">IF(OR(R439="",S439=""),"",IFERROR(S439/R439*100,0))</f>
        <v/>
      </c>
      <c r="U439" s="49" t="str">
        <f aca="false">IF(OR(O439="",L439="",M439="",S439="",M439=0),"",IFERROR(O439/(L439*60*S439/(M439*36))*100,0))</f>
        <v/>
      </c>
      <c r="V439" s="49" t="n">
        <f aca="false">'Daily KPI Entry'!V440</f>
        <v>0</v>
      </c>
      <c r="W439" s="49" t="str">
        <f aca="false">IF(O439="","",IFERROR(V439/O439*100,0))</f>
        <v/>
      </c>
      <c r="X439" s="49" t="n">
        <f aca="false">'Daily KPI Entry'!X440</f>
        <v>0</v>
      </c>
      <c r="Y439" s="49" t="n">
        <f aca="false">'Daily KPI Entry'!Y440</f>
        <v>0</v>
      </c>
      <c r="Z439" s="49" t="n">
        <f aca="false">'Daily KPI Entry'!Z440</f>
        <v>0</v>
      </c>
      <c r="AA439" s="49" t="n">
        <f aca="false">'Daily KPI Entry'!AA440</f>
        <v>0</v>
      </c>
      <c r="AB439" s="49" t="n">
        <f aca="false">'Daily KPI Entry'!AB440</f>
        <v>0</v>
      </c>
      <c r="AC439" s="49" t="n">
        <f aca="false">'Daily KPI Entry'!AC440</f>
        <v>0</v>
      </c>
      <c r="AD439" s="49" t="n">
        <f aca="false">'Daily KPI Entry'!AD440</f>
        <v>0</v>
      </c>
      <c r="AE439" s="49" t="n">
        <f aca="false">'Daily KPI Entry'!AE440</f>
        <v>0</v>
      </c>
      <c r="AF439" s="47" t="str">
        <f aca="false">IF(O439="","",SUM(X439:AE439))</f>
        <v/>
      </c>
      <c r="AG439" s="49" t="str">
        <f aca="false">IF(O439="","",IFERROR(AF439/O439*1000,0))</f>
        <v/>
      </c>
      <c r="AH439" s="49" t="n">
        <f aca="false">'Daily KPI Entry'!AH440</f>
        <v>0</v>
      </c>
      <c r="AI439" s="49" t="n">
        <f aca="false">'Daily KPI Entry'!AI440</f>
        <v>0</v>
      </c>
      <c r="AJ439" s="49" t="n">
        <f aca="false">'Daily KPI Entry'!AJ440</f>
        <v>0</v>
      </c>
      <c r="AK439" s="47" t="n">
        <f aca="false">'Daily KPI Entry'!AK440</f>
        <v>0</v>
      </c>
      <c r="AL439" s="47" t="n">
        <f aca="false">'Daily KPI Entry'!AL440</f>
        <v>0</v>
      </c>
      <c r="AM439" s="47" t="n">
        <f aca="false">'Daily KPI Entry'!AM440</f>
        <v>0</v>
      </c>
      <c r="AN439" s="49" t="str">
        <f aca="false">IF(P439="","",MIN(120,P439))</f>
        <v/>
      </c>
      <c r="AO439" s="49" t="str">
        <f aca="false">IF(U439="","",MIN(120,U439))</f>
        <v/>
      </c>
      <c r="AP439" s="49" t="str">
        <f aca="false">IF(R439="","",MIN(120,IFERROR(S439/R439*100,0)))</f>
        <v/>
      </c>
      <c r="AQ439" s="49" t="str">
        <f aca="false">IF(W439="","",MIN(120,IF(W439=0,120,100*(INDEX('Standards &amp; Scoring'!$E$5:$E$13,MATCH("Quality / Rejection",'Standards &amp; Scoring'!$A$5:$A$13,0))/W439))))</f>
        <v/>
      </c>
      <c r="AR439" s="49" t="str">
        <f aca="false">IF(AG439="","",MIN(120,IF(AG439=0,120,100*(INDEX('Standards &amp; Scoring'!$E$5:$E$13,MATCH("Fault Control",'Standards &amp; Scoring'!$A$5:$A$13,0))/AG439))))</f>
        <v/>
      </c>
      <c r="AS439" s="49" t="str">
        <f aca="false">IF(O439="","",MIN(120,IF(SUMIFS('Fault &amp; Downtime Entry'!$L$6:$L$1005,'Fault &amp; Downtime Entry'!$E$6:$E$1005,G439,'Fault &amp; Downtime Entry'!$B$6:$B$1005,B439)=0,120,100*(INDEX('Standards &amp; Scoring'!$E$5:$E$13,MATCH("Downtime Control",'Standards &amp; Scoring'!$A$5:$A$13,0))/IFERROR(SUMIFS('Fault &amp; Downtime Entry'!$L$6:$L$1005,'Fault &amp; Downtime Entry'!$E$6:$E$1005,G439,'Fault &amp; Downtime Entry'!$B$6:$B$1005,B439)/O439*1000,999999)))))</f>
        <v/>
      </c>
      <c r="AT439" s="49" t="n">
        <f aca="false">IF(COUNTA(AH439,AJ439)=0,"",MIN(120,IF(AND(AH439&lt;&gt;"",AJ439&lt;&gt;""),AVERAGE(AH439,AJ439),IF(AH439&lt;&gt;"",AH439,AJ439))))</f>
        <v>0</v>
      </c>
      <c r="AU439" s="49" t="str">
        <f aca="false">IF(AI439="","",MIN(120,AI439))</f>
        <v/>
      </c>
      <c r="AV439" s="49" t="str">
        <f aca="false">IF(AJ439="","",MIN(120,AJ439))</f>
        <v/>
      </c>
      <c r="AW439" s="50" t="str">
        <f aca="false">IF(COUNT(AN439:AV439)&lt;9,"",(AN439*'Standards &amp; Scoring'!$D$5+AO439*'Standards &amp; Scoring'!$D$6+AP439*'Standards &amp; Scoring'!$D$7+AQ439*'Standards &amp; Scoring'!$D$8+AR439*'Standards &amp; Scoring'!$D$9+AS439*'Standards &amp; Scoring'!$D$10+AT439*'Standards &amp; Scoring'!$D$11+AU439*'Standards &amp; Scoring'!$D$12+AV439*'Standards &amp; Scoring'!$D$13)/10000)</f>
        <v/>
      </c>
      <c r="AX439" s="47" t="str">
        <f aca="false">IF(AW439="","",IF(AW439&gt;=1.05,"A+",IF(AW439&gt;=1,"A",IF(AW439&gt;=0.95,"B+",IF(AW439&gt;=0.9,"B","C")))))</f>
        <v/>
      </c>
      <c r="AY439" s="47" t="str">
        <f aca="false">IF(AX439="","",IF(AX439="A+",1800,IF(AX439="A",1600,IF(AX439="B+",1400,IF(AX439="B",1200,0)))))</f>
        <v/>
      </c>
      <c r="AZ439" s="49" t="str">
        <f aca="false">IF(OR(L439="",M439="",S439="",M439=0),"",IFERROR(L439*60*S439/(M439*36),0))</f>
        <v/>
      </c>
    </row>
    <row r="440" customFormat="false" ht="15" hidden="false" customHeight="true" outlineLevel="0" collapsed="false">
      <c r="A440" s="47" t="n">
        <f aca="false">'Daily KPI Entry'!A441</f>
        <v>0</v>
      </c>
      <c r="B440" s="48" t="n">
        <f aca="false">'Daily KPI Entry'!B441</f>
        <v>0</v>
      </c>
      <c r="C440" s="47" t="n">
        <f aca="false">'Daily KPI Entry'!C441</f>
        <v>0</v>
      </c>
      <c r="D440" s="47" t="n">
        <f aca="false">'Daily KPI Entry'!D441</f>
        <v>0</v>
      </c>
      <c r="E440" s="47" t="n">
        <f aca="false">'Daily KPI Entry'!E441</f>
        <v>0</v>
      </c>
      <c r="F440" s="47" t="n">
        <f aca="false">'Daily KPI Entry'!F441</f>
        <v>0</v>
      </c>
      <c r="G440" s="47" t="n">
        <f aca="false">'Daily KPI Entry'!G441</f>
        <v>0</v>
      </c>
      <c r="H440" s="47" t="str">
        <f aca="false">'Daily KPI Entry'!H441</f>
        <v/>
      </c>
      <c r="I440" s="47" t="n">
        <f aca="false">'Daily KPI Entry'!I441</f>
        <v>0</v>
      </c>
      <c r="J440" s="47" t="n">
        <f aca="false">'Daily KPI Entry'!J441</f>
        <v>0</v>
      </c>
      <c r="K440" s="47" t="n">
        <f aca="false">'Daily KPI Entry'!K441</f>
        <v>0</v>
      </c>
      <c r="L440" s="47" t="n">
        <f aca="false">'Daily KPI Entry'!L441</f>
        <v>0</v>
      </c>
      <c r="M440" s="47" t="n">
        <f aca="false">'Daily KPI Entry'!M441</f>
        <v>0</v>
      </c>
      <c r="N440" s="49" t="n">
        <f aca="false">'Daily KPI Entry'!N441</f>
        <v>0</v>
      </c>
      <c r="O440" s="49" t="n">
        <f aca="false">'Daily KPI Entry'!O441</f>
        <v>0</v>
      </c>
      <c r="P440" s="49" t="str">
        <f aca="false">IF(OR(N440="",O440=""),"",IFERROR(O440/N440*100,0))</f>
        <v/>
      </c>
      <c r="Q440" s="47" t="n">
        <f aca="false">'Daily KPI Entry'!Q441</f>
        <v>8</v>
      </c>
      <c r="R440" s="47" t="str">
        <f aca="false">IF(J440="","",Q440*J440)</f>
        <v/>
      </c>
      <c r="S440" s="49" t="n">
        <f aca="false">'Daily KPI Entry'!S441</f>
        <v>0</v>
      </c>
      <c r="T440" s="49" t="str">
        <f aca="false">IF(OR(R440="",S440=""),"",IFERROR(S440/R440*100,0))</f>
        <v/>
      </c>
      <c r="U440" s="49" t="str">
        <f aca="false">IF(OR(O440="",L440="",M440="",S440="",M440=0),"",IFERROR(O440/(L440*60*S440/(M440*36))*100,0))</f>
        <v/>
      </c>
      <c r="V440" s="49" t="n">
        <f aca="false">'Daily KPI Entry'!V441</f>
        <v>0</v>
      </c>
      <c r="W440" s="49" t="str">
        <f aca="false">IF(O440="","",IFERROR(V440/O440*100,0))</f>
        <v/>
      </c>
      <c r="X440" s="49" t="n">
        <f aca="false">'Daily KPI Entry'!X441</f>
        <v>0</v>
      </c>
      <c r="Y440" s="49" t="n">
        <f aca="false">'Daily KPI Entry'!Y441</f>
        <v>0</v>
      </c>
      <c r="Z440" s="49" t="n">
        <f aca="false">'Daily KPI Entry'!Z441</f>
        <v>0</v>
      </c>
      <c r="AA440" s="49" t="n">
        <f aca="false">'Daily KPI Entry'!AA441</f>
        <v>0</v>
      </c>
      <c r="AB440" s="49" t="n">
        <f aca="false">'Daily KPI Entry'!AB441</f>
        <v>0</v>
      </c>
      <c r="AC440" s="49" t="n">
        <f aca="false">'Daily KPI Entry'!AC441</f>
        <v>0</v>
      </c>
      <c r="AD440" s="49" t="n">
        <f aca="false">'Daily KPI Entry'!AD441</f>
        <v>0</v>
      </c>
      <c r="AE440" s="49" t="n">
        <f aca="false">'Daily KPI Entry'!AE441</f>
        <v>0</v>
      </c>
      <c r="AF440" s="47" t="str">
        <f aca="false">IF(O440="","",SUM(X440:AE440))</f>
        <v/>
      </c>
      <c r="AG440" s="49" t="str">
        <f aca="false">IF(O440="","",IFERROR(AF440/O440*1000,0))</f>
        <v/>
      </c>
      <c r="AH440" s="49" t="n">
        <f aca="false">'Daily KPI Entry'!AH441</f>
        <v>0</v>
      </c>
      <c r="AI440" s="49" t="n">
        <f aca="false">'Daily KPI Entry'!AI441</f>
        <v>0</v>
      </c>
      <c r="AJ440" s="49" t="n">
        <f aca="false">'Daily KPI Entry'!AJ441</f>
        <v>0</v>
      </c>
      <c r="AK440" s="47" t="n">
        <f aca="false">'Daily KPI Entry'!AK441</f>
        <v>0</v>
      </c>
      <c r="AL440" s="47" t="n">
        <f aca="false">'Daily KPI Entry'!AL441</f>
        <v>0</v>
      </c>
      <c r="AM440" s="47" t="n">
        <f aca="false">'Daily KPI Entry'!AM441</f>
        <v>0</v>
      </c>
      <c r="AN440" s="49" t="str">
        <f aca="false">IF(P440="","",MIN(120,P440))</f>
        <v/>
      </c>
      <c r="AO440" s="49" t="str">
        <f aca="false">IF(U440="","",MIN(120,U440))</f>
        <v/>
      </c>
      <c r="AP440" s="49" t="str">
        <f aca="false">IF(R440="","",MIN(120,IFERROR(S440/R440*100,0)))</f>
        <v/>
      </c>
      <c r="AQ440" s="49" t="str">
        <f aca="false">IF(W440="","",MIN(120,IF(W440=0,120,100*(INDEX('Standards &amp; Scoring'!$E$5:$E$13,MATCH("Quality / Rejection",'Standards &amp; Scoring'!$A$5:$A$13,0))/W440))))</f>
        <v/>
      </c>
      <c r="AR440" s="49" t="str">
        <f aca="false">IF(AG440="","",MIN(120,IF(AG440=0,120,100*(INDEX('Standards &amp; Scoring'!$E$5:$E$13,MATCH("Fault Control",'Standards &amp; Scoring'!$A$5:$A$13,0))/AG440))))</f>
        <v/>
      </c>
      <c r="AS440" s="49" t="str">
        <f aca="false">IF(O440="","",MIN(120,IF(SUMIFS('Fault &amp; Downtime Entry'!$L$6:$L$1005,'Fault &amp; Downtime Entry'!$E$6:$E$1005,G440,'Fault &amp; Downtime Entry'!$B$6:$B$1005,B440)=0,120,100*(INDEX('Standards &amp; Scoring'!$E$5:$E$13,MATCH("Downtime Control",'Standards &amp; Scoring'!$A$5:$A$13,0))/IFERROR(SUMIFS('Fault &amp; Downtime Entry'!$L$6:$L$1005,'Fault &amp; Downtime Entry'!$E$6:$E$1005,G440,'Fault &amp; Downtime Entry'!$B$6:$B$1005,B440)/O440*1000,999999)))))</f>
        <v/>
      </c>
      <c r="AT440" s="49" t="n">
        <f aca="false">IF(COUNTA(AH440,AJ440)=0,"",MIN(120,IF(AND(AH440&lt;&gt;"",AJ440&lt;&gt;""),AVERAGE(AH440,AJ440),IF(AH440&lt;&gt;"",AH440,AJ440))))</f>
        <v>0</v>
      </c>
      <c r="AU440" s="49" t="str">
        <f aca="false">IF(AI440="","",MIN(120,AI440))</f>
        <v/>
      </c>
      <c r="AV440" s="49" t="str">
        <f aca="false">IF(AJ440="","",MIN(120,AJ440))</f>
        <v/>
      </c>
      <c r="AW440" s="50" t="str">
        <f aca="false">IF(COUNT(AN440:AV440)&lt;9,"",(AN440*'Standards &amp; Scoring'!$D$5+AO440*'Standards &amp; Scoring'!$D$6+AP440*'Standards &amp; Scoring'!$D$7+AQ440*'Standards &amp; Scoring'!$D$8+AR440*'Standards &amp; Scoring'!$D$9+AS440*'Standards &amp; Scoring'!$D$10+AT440*'Standards &amp; Scoring'!$D$11+AU440*'Standards &amp; Scoring'!$D$12+AV440*'Standards &amp; Scoring'!$D$13)/10000)</f>
        <v/>
      </c>
      <c r="AX440" s="47" t="str">
        <f aca="false">IF(AW440="","",IF(AW440&gt;=1.05,"A+",IF(AW440&gt;=1,"A",IF(AW440&gt;=0.95,"B+",IF(AW440&gt;=0.9,"B","C")))))</f>
        <v/>
      </c>
      <c r="AY440" s="47" t="str">
        <f aca="false">IF(AX440="","",IF(AX440="A+",1800,IF(AX440="A",1600,IF(AX440="B+",1400,IF(AX440="B",1200,0)))))</f>
        <v/>
      </c>
      <c r="AZ440" s="49" t="str">
        <f aca="false">IF(OR(L440="",M440="",S440="",M440=0),"",IFERROR(L440*60*S440/(M440*36),0))</f>
        <v/>
      </c>
    </row>
    <row r="441" customFormat="false" ht="15" hidden="false" customHeight="true" outlineLevel="0" collapsed="false">
      <c r="A441" s="47" t="n">
        <f aca="false">'Daily KPI Entry'!A442</f>
        <v>0</v>
      </c>
      <c r="B441" s="48" t="n">
        <f aca="false">'Daily KPI Entry'!B442</f>
        <v>0</v>
      </c>
      <c r="C441" s="47" t="n">
        <f aca="false">'Daily KPI Entry'!C442</f>
        <v>0</v>
      </c>
      <c r="D441" s="47" t="n">
        <f aca="false">'Daily KPI Entry'!D442</f>
        <v>0</v>
      </c>
      <c r="E441" s="47" t="n">
        <f aca="false">'Daily KPI Entry'!E442</f>
        <v>0</v>
      </c>
      <c r="F441" s="47" t="n">
        <f aca="false">'Daily KPI Entry'!F442</f>
        <v>0</v>
      </c>
      <c r="G441" s="47" t="n">
        <f aca="false">'Daily KPI Entry'!G442</f>
        <v>0</v>
      </c>
      <c r="H441" s="47" t="str">
        <f aca="false">'Daily KPI Entry'!H442</f>
        <v/>
      </c>
      <c r="I441" s="47" t="n">
        <f aca="false">'Daily KPI Entry'!I442</f>
        <v>0</v>
      </c>
      <c r="J441" s="47" t="n">
        <f aca="false">'Daily KPI Entry'!J442</f>
        <v>0</v>
      </c>
      <c r="K441" s="47" t="n">
        <f aca="false">'Daily KPI Entry'!K442</f>
        <v>0</v>
      </c>
      <c r="L441" s="47" t="n">
        <f aca="false">'Daily KPI Entry'!L442</f>
        <v>0</v>
      </c>
      <c r="M441" s="47" t="n">
        <f aca="false">'Daily KPI Entry'!M442</f>
        <v>0</v>
      </c>
      <c r="N441" s="49" t="n">
        <f aca="false">'Daily KPI Entry'!N442</f>
        <v>0</v>
      </c>
      <c r="O441" s="49" t="n">
        <f aca="false">'Daily KPI Entry'!O442</f>
        <v>0</v>
      </c>
      <c r="P441" s="49" t="str">
        <f aca="false">IF(OR(N441="",O441=""),"",IFERROR(O441/N441*100,0))</f>
        <v/>
      </c>
      <c r="Q441" s="47" t="n">
        <f aca="false">'Daily KPI Entry'!Q442</f>
        <v>8</v>
      </c>
      <c r="R441" s="47" t="str">
        <f aca="false">IF(J441="","",Q441*J441)</f>
        <v/>
      </c>
      <c r="S441" s="49" t="n">
        <f aca="false">'Daily KPI Entry'!S442</f>
        <v>0</v>
      </c>
      <c r="T441" s="49" t="str">
        <f aca="false">IF(OR(R441="",S441=""),"",IFERROR(S441/R441*100,0))</f>
        <v/>
      </c>
      <c r="U441" s="49" t="str">
        <f aca="false">IF(OR(O441="",L441="",M441="",S441="",M441=0),"",IFERROR(O441/(L441*60*S441/(M441*36))*100,0))</f>
        <v/>
      </c>
      <c r="V441" s="49" t="n">
        <f aca="false">'Daily KPI Entry'!V442</f>
        <v>0</v>
      </c>
      <c r="W441" s="49" t="str">
        <f aca="false">IF(O441="","",IFERROR(V441/O441*100,0))</f>
        <v/>
      </c>
      <c r="X441" s="49" t="n">
        <f aca="false">'Daily KPI Entry'!X442</f>
        <v>0</v>
      </c>
      <c r="Y441" s="49" t="n">
        <f aca="false">'Daily KPI Entry'!Y442</f>
        <v>0</v>
      </c>
      <c r="Z441" s="49" t="n">
        <f aca="false">'Daily KPI Entry'!Z442</f>
        <v>0</v>
      </c>
      <c r="AA441" s="49" t="n">
        <f aca="false">'Daily KPI Entry'!AA442</f>
        <v>0</v>
      </c>
      <c r="AB441" s="49" t="n">
        <f aca="false">'Daily KPI Entry'!AB442</f>
        <v>0</v>
      </c>
      <c r="AC441" s="49" t="n">
        <f aca="false">'Daily KPI Entry'!AC442</f>
        <v>0</v>
      </c>
      <c r="AD441" s="49" t="n">
        <f aca="false">'Daily KPI Entry'!AD442</f>
        <v>0</v>
      </c>
      <c r="AE441" s="49" t="n">
        <f aca="false">'Daily KPI Entry'!AE442</f>
        <v>0</v>
      </c>
      <c r="AF441" s="47" t="str">
        <f aca="false">IF(O441="","",SUM(X441:AE441))</f>
        <v/>
      </c>
      <c r="AG441" s="49" t="str">
        <f aca="false">IF(O441="","",IFERROR(AF441/O441*1000,0))</f>
        <v/>
      </c>
      <c r="AH441" s="49" t="n">
        <f aca="false">'Daily KPI Entry'!AH442</f>
        <v>0</v>
      </c>
      <c r="AI441" s="49" t="n">
        <f aca="false">'Daily KPI Entry'!AI442</f>
        <v>0</v>
      </c>
      <c r="AJ441" s="49" t="n">
        <f aca="false">'Daily KPI Entry'!AJ442</f>
        <v>0</v>
      </c>
      <c r="AK441" s="47" t="n">
        <f aca="false">'Daily KPI Entry'!AK442</f>
        <v>0</v>
      </c>
      <c r="AL441" s="47" t="n">
        <f aca="false">'Daily KPI Entry'!AL442</f>
        <v>0</v>
      </c>
      <c r="AM441" s="47" t="n">
        <f aca="false">'Daily KPI Entry'!AM442</f>
        <v>0</v>
      </c>
      <c r="AN441" s="49" t="str">
        <f aca="false">IF(P441="","",MIN(120,P441))</f>
        <v/>
      </c>
      <c r="AO441" s="49" t="str">
        <f aca="false">IF(U441="","",MIN(120,U441))</f>
        <v/>
      </c>
      <c r="AP441" s="49" t="str">
        <f aca="false">IF(R441="","",MIN(120,IFERROR(S441/R441*100,0)))</f>
        <v/>
      </c>
      <c r="AQ441" s="49" t="str">
        <f aca="false">IF(W441="","",MIN(120,IF(W441=0,120,100*(INDEX('Standards &amp; Scoring'!$E$5:$E$13,MATCH("Quality / Rejection",'Standards &amp; Scoring'!$A$5:$A$13,0))/W441))))</f>
        <v/>
      </c>
      <c r="AR441" s="49" t="str">
        <f aca="false">IF(AG441="","",MIN(120,IF(AG441=0,120,100*(INDEX('Standards &amp; Scoring'!$E$5:$E$13,MATCH("Fault Control",'Standards &amp; Scoring'!$A$5:$A$13,0))/AG441))))</f>
        <v/>
      </c>
      <c r="AS441" s="49" t="str">
        <f aca="false">IF(O441="","",MIN(120,IF(SUMIFS('Fault &amp; Downtime Entry'!$L$6:$L$1005,'Fault &amp; Downtime Entry'!$E$6:$E$1005,G441,'Fault &amp; Downtime Entry'!$B$6:$B$1005,B441)=0,120,100*(INDEX('Standards &amp; Scoring'!$E$5:$E$13,MATCH("Downtime Control",'Standards &amp; Scoring'!$A$5:$A$13,0))/IFERROR(SUMIFS('Fault &amp; Downtime Entry'!$L$6:$L$1005,'Fault &amp; Downtime Entry'!$E$6:$E$1005,G441,'Fault &amp; Downtime Entry'!$B$6:$B$1005,B441)/O441*1000,999999)))))</f>
        <v/>
      </c>
      <c r="AT441" s="49" t="n">
        <f aca="false">IF(COUNTA(AH441,AJ441)=0,"",MIN(120,IF(AND(AH441&lt;&gt;"",AJ441&lt;&gt;""),AVERAGE(AH441,AJ441),IF(AH441&lt;&gt;"",AH441,AJ441))))</f>
        <v>0</v>
      </c>
      <c r="AU441" s="49" t="str">
        <f aca="false">IF(AI441="","",MIN(120,AI441))</f>
        <v/>
      </c>
      <c r="AV441" s="49" t="str">
        <f aca="false">IF(AJ441="","",MIN(120,AJ441))</f>
        <v/>
      </c>
      <c r="AW441" s="50" t="str">
        <f aca="false">IF(COUNT(AN441:AV441)&lt;9,"",(AN441*'Standards &amp; Scoring'!$D$5+AO441*'Standards &amp; Scoring'!$D$6+AP441*'Standards &amp; Scoring'!$D$7+AQ441*'Standards &amp; Scoring'!$D$8+AR441*'Standards &amp; Scoring'!$D$9+AS441*'Standards &amp; Scoring'!$D$10+AT441*'Standards &amp; Scoring'!$D$11+AU441*'Standards &amp; Scoring'!$D$12+AV441*'Standards &amp; Scoring'!$D$13)/10000)</f>
        <v/>
      </c>
      <c r="AX441" s="47" t="str">
        <f aca="false">IF(AW441="","",IF(AW441&gt;=1.05,"A+",IF(AW441&gt;=1,"A",IF(AW441&gt;=0.95,"B+",IF(AW441&gt;=0.9,"B","C")))))</f>
        <v/>
      </c>
      <c r="AY441" s="47" t="str">
        <f aca="false">IF(AX441="","",IF(AX441="A+",1800,IF(AX441="A",1600,IF(AX441="B+",1400,IF(AX441="B",1200,0)))))</f>
        <v/>
      </c>
      <c r="AZ441" s="49" t="str">
        <f aca="false">IF(OR(L441="",M441="",S441="",M441=0),"",IFERROR(L441*60*S441/(M441*36),0))</f>
        <v/>
      </c>
    </row>
    <row r="442" customFormat="false" ht="15" hidden="false" customHeight="true" outlineLevel="0" collapsed="false">
      <c r="A442" s="47" t="n">
        <f aca="false">'Daily KPI Entry'!A443</f>
        <v>0</v>
      </c>
      <c r="B442" s="48" t="n">
        <f aca="false">'Daily KPI Entry'!B443</f>
        <v>0</v>
      </c>
      <c r="C442" s="47" t="n">
        <f aca="false">'Daily KPI Entry'!C443</f>
        <v>0</v>
      </c>
      <c r="D442" s="47" t="n">
        <f aca="false">'Daily KPI Entry'!D443</f>
        <v>0</v>
      </c>
      <c r="E442" s="47" t="n">
        <f aca="false">'Daily KPI Entry'!E443</f>
        <v>0</v>
      </c>
      <c r="F442" s="47" t="n">
        <f aca="false">'Daily KPI Entry'!F443</f>
        <v>0</v>
      </c>
      <c r="G442" s="47" t="n">
        <f aca="false">'Daily KPI Entry'!G443</f>
        <v>0</v>
      </c>
      <c r="H442" s="47" t="str">
        <f aca="false">'Daily KPI Entry'!H443</f>
        <v/>
      </c>
      <c r="I442" s="47" t="n">
        <f aca="false">'Daily KPI Entry'!I443</f>
        <v>0</v>
      </c>
      <c r="J442" s="47" t="n">
        <f aca="false">'Daily KPI Entry'!J443</f>
        <v>0</v>
      </c>
      <c r="K442" s="47" t="n">
        <f aca="false">'Daily KPI Entry'!K443</f>
        <v>0</v>
      </c>
      <c r="L442" s="47" t="n">
        <f aca="false">'Daily KPI Entry'!L443</f>
        <v>0</v>
      </c>
      <c r="M442" s="47" t="n">
        <f aca="false">'Daily KPI Entry'!M443</f>
        <v>0</v>
      </c>
      <c r="N442" s="49" t="n">
        <f aca="false">'Daily KPI Entry'!N443</f>
        <v>0</v>
      </c>
      <c r="O442" s="49" t="n">
        <f aca="false">'Daily KPI Entry'!O443</f>
        <v>0</v>
      </c>
      <c r="P442" s="49" t="str">
        <f aca="false">IF(OR(N442="",O442=""),"",IFERROR(O442/N442*100,0))</f>
        <v/>
      </c>
      <c r="Q442" s="47" t="n">
        <f aca="false">'Daily KPI Entry'!Q443</f>
        <v>8</v>
      </c>
      <c r="R442" s="47" t="str">
        <f aca="false">IF(J442="","",Q442*J442)</f>
        <v/>
      </c>
      <c r="S442" s="49" t="n">
        <f aca="false">'Daily KPI Entry'!S443</f>
        <v>0</v>
      </c>
      <c r="T442" s="49" t="str">
        <f aca="false">IF(OR(R442="",S442=""),"",IFERROR(S442/R442*100,0))</f>
        <v/>
      </c>
      <c r="U442" s="49" t="str">
        <f aca="false">IF(OR(O442="",L442="",M442="",S442="",M442=0),"",IFERROR(O442/(L442*60*S442/(M442*36))*100,0))</f>
        <v/>
      </c>
      <c r="V442" s="49" t="n">
        <f aca="false">'Daily KPI Entry'!V443</f>
        <v>0</v>
      </c>
      <c r="W442" s="49" t="str">
        <f aca="false">IF(O442="","",IFERROR(V442/O442*100,0))</f>
        <v/>
      </c>
      <c r="X442" s="49" t="n">
        <f aca="false">'Daily KPI Entry'!X443</f>
        <v>0</v>
      </c>
      <c r="Y442" s="49" t="n">
        <f aca="false">'Daily KPI Entry'!Y443</f>
        <v>0</v>
      </c>
      <c r="Z442" s="49" t="n">
        <f aca="false">'Daily KPI Entry'!Z443</f>
        <v>0</v>
      </c>
      <c r="AA442" s="49" t="n">
        <f aca="false">'Daily KPI Entry'!AA443</f>
        <v>0</v>
      </c>
      <c r="AB442" s="49" t="n">
        <f aca="false">'Daily KPI Entry'!AB443</f>
        <v>0</v>
      </c>
      <c r="AC442" s="49" t="n">
        <f aca="false">'Daily KPI Entry'!AC443</f>
        <v>0</v>
      </c>
      <c r="AD442" s="49" t="n">
        <f aca="false">'Daily KPI Entry'!AD443</f>
        <v>0</v>
      </c>
      <c r="AE442" s="49" t="n">
        <f aca="false">'Daily KPI Entry'!AE443</f>
        <v>0</v>
      </c>
      <c r="AF442" s="47" t="str">
        <f aca="false">IF(O442="","",SUM(X442:AE442))</f>
        <v/>
      </c>
      <c r="AG442" s="49" t="str">
        <f aca="false">IF(O442="","",IFERROR(AF442/O442*1000,0))</f>
        <v/>
      </c>
      <c r="AH442" s="49" t="n">
        <f aca="false">'Daily KPI Entry'!AH443</f>
        <v>0</v>
      </c>
      <c r="AI442" s="49" t="n">
        <f aca="false">'Daily KPI Entry'!AI443</f>
        <v>0</v>
      </c>
      <c r="AJ442" s="49" t="n">
        <f aca="false">'Daily KPI Entry'!AJ443</f>
        <v>0</v>
      </c>
      <c r="AK442" s="47" t="n">
        <f aca="false">'Daily KPI Entry'!AK443</f>
        <v>0</v>
      </c>
      <c r="AL442" s="47" t="n">
        <f aca="false">'Daily KPI Entry'!AL443</f>
        <v>0</v>
      </c>
      <c r="AM442" s="47" t="n">
        <f aca="false">'Daily KPI Entry'!AM443</f>
        <v>0</v>
      </c>
      <c r="AN442" s="49" t="str">
        <f aca="false">IF(P442="","",MIN(120,P442))</f>
        <v/>
      </c>
      <c r="AO442" s="49" t="str">
        <f aca="false">IF(U442="","",MIN(120,U442))</f>
        <v/>
      </c>
      <c r="AP442" s="49" t="str">
        <f aca="false">IF(R442="","",MIN(120,IFERROR(S442/R442*100,0)))</f>
        <v/>
      </c>
      <c r="AQ442" s="49" t="str">
        <f aca="false">IF(W442="","",MIN(120,IF(W442=0,120,100*(INDEX('Standards &amp; Scoring'!$E$5:$E$13,MATCH("Quality / Rejection",'Standards &amp; Scoring'!$A$5:$A$13,0))/W442))))</f>
        <v/>
      </c>
      <c r="AR442" s="49" t="str">
        <f aca="false">IF(AG442="","",MIN(120,IF(AG442=0,120,100*(INDEX('Standards &amp; Scoring'!$E$5:$E$13,MATCH("Fault Control",'Standards &amp; Scoring'!$A$5:$A$13,0))/AG442))))</f>
        <v/>
      </c>
      <c r="AS442" s="49" t="str">
        <f aca="false">IF(O442="","",MIN(120,IF(SUMIFS('Fault &amp; Downtime Entry'!$L$6:$L$1005,'Fault &amp; Downtime Entry'!$E$6:$E$1005,G442,'Fault &amp; Downtime Entry'!$B$6:$B$1005,B442)=0,120,100*(INDEX('Standards &amp; Scoring'!$E$5:$E$13,MATCH("Downtime Control",'Standards &amp; Scoring'!$A$5:$A$13,0))/IFERROR(SUMIFS('Fault &amp; Downtime Entry'!$L$6:$L$1005,'Fault &amp; Downtime Entry'!$E$6:$E$1005,G442,'Fault &amp; Downtime Entry'!$B$6:$B$1005,B442)/O442*1000,999999)))))</f>
        <v/>
      </c>
      <c r="AT442" s="49" t="n">
        <f aca="false">IF(COUNTA(AH442,AJ442)=0,"",MIN(120,IF(AND(AH442&lt;&gt;"",AJ442&lt;&gt;""),AVERAGE(AH442,AJ442),IF(AH442&lt;&gt;"",AH442,AJ442))))</f>
        <v>0</v>
      </c>
      <c r="AU442" s="49" t="str">
        <f aca="false">IF(AI442="","",MIN(120,AI442))</f>
        <v/>
      </c>
      <c r="AV442" s="49" t="str">
        <f aca="false">IF(AJ442="","",MIN(120,AJ442))</f>
        <v/>
      </c>
      <c r="AW442" s="50" t="str">
        <f aca="false">IF(COUNT(AN442:AV442)&lt;9,"",(AN442*'Standards &amp; Scoring'!$D$5+AO442*'Standards &amp; Scoring'!$D$6+AP442*'Standards &amp; Scoring'!$D$7+AQ442*'Standards &amp; Scoring'!$D$8+AR442*'Standards &amp; Scoring'!$D$9+AS442*'Standards &amp; Scoring'!$D$10+AT442*'Standards &amp; Scoring'!$D$11+AU442*'Standards &amp; Scoring'!$D$12+AV442*'Standards &amp; Scoring'!$D$13)/10000)</f>
        <v/>
      </c>
      <c r="AX442" s="47" t="str">
        <f aca="false">IF(AW442="","",IF(AW442&gt;=1.05,"A+",IF(AW442&gt;=1,"A",IF(AW442&gt;=0.95,"B+",IF(AW442&gt;=0.9,"B","C")))))</f>
        <v/>
      </c>
      <c r="AY442" s="47" t="str">
        <f aca="false">IF(AX442="","",IF(AX442="A+",1800,IF(AX442="A",1600,IF(AX442="B+",1400,IF(AX442="B",1200,0)))))</f>
        <v/>
      </c>
      <c r="AZ442" s="49" t="str">
        <f aca="false">IF(OR(L442="",M442="",S442="",M442=0),"",IFERROR(L442*60*S442/(M442*36),0))</f>
        <v/>
      </c>
    </row>
    <row r="443" customFormat="false" ht="15" hidden="false" customHeight="true" outlineLevel="0" collapsed="false">
      <c r="A443" s="47" t="n">
        <f aca="false">'Daily KPI Entry'!A444</f>
        <v>0</v>
      </c>
      <c r="B443" s="48" t="n">
        <f aca="false">'Daily KPI Entry'!B444</f>
        <v>0</v>
      </c>
      <c r="C443" s="47" t="n">
        <f aca="false">'Daily KPI Entry'!C444</f>
        <v>0</v>
      </c>
      <c r="D443" s="47" t="n">
        <f aca="false">'Daily KPI Entry'!D444</f>
        <v>0</v>
      </c>
      <c r="E443" s="47" t="n">
        <f aca="false">'Daily KPI Entry'!E444</f>
        <v>0</v>
      </c>
      <c r="F443" s="47" t="n">
        <f aca="false">'Daily KPI Entry'!F444</f>
        <v>0</v>
      </c>
      <c r="G443" s="47" t="n">
        <f aca="false">'Daily KPI Entry'!G444</f>
        <v>0</v>
      </c>
      <c r="H443" s="47" t="str">
        <f aca="false">'Daily KPI Entry'!H444</f>
        <v/>
      </c>
      <c r="I443" s="47" t="n">
        <f aca="false">'Daily KPI Entry'!I444</f>
        <v>0</v>
      </c>
      <c r="J443" s="47" t="n">
        <f aca="false">'Daily KPI Entry'!J444</f>
        <v>0</v>
      </c>
      <c r="K443" s="47" t="n">
        <f aca="false">'Daily KPI Entry'!K444</f>
        <v>0</v>
      </c>
      <c r="L443" s="47" t="n">
        <f aca="false">'Daily KPI Entry'!L444</f>
        <v>0</v>
      </c>
      <c r="M443" s="47" t="n">
        <f aca="false">'Daily KPI Entry'!M444</f>
        <v>0</v>
      </c>
      <c r="N443" s="49" t="n">
        <f aca="false">'Daily KPI Entry'!N444</f>
        <v>0</v>
      </c>
      <c r="O443" s="49" t="n">
        <f aca="false">'Daily KPI Entry'!O444</f>
        <v>0</v>
      </c>
      <c r="P443" s="49" t="str">
        <f aca="false">IF(OR(N443="",O443=""),"",IFERROR(O443/N443*100,0))</f>
        <v/>
      </c>
      <c r="Q443" s="47" t="n">
        <f aca="false">'Daily KPI Entry'!Q444</f>
        <v>8</v>
      </c>
      <c r="R443" s="47" t="str">
        <f aca="false">IF(J443="","",Q443*J443)</f>
        <v/>
      </c>
      <c r="S443" s="49" t="n">
        <f aca="false">'Daily KPI Entry'!S444</f>
        <v>0</v>
      </c>
      <c r="T443" s="49" t="str">
        <f aca="false">IF(OR(R443="",S443=""),"",IFERROR(S443/R443*100,0))</f>
        <v/>
      </c>
      <c r="U443" s="49" t="str">
        <f aca="false">IF(OR(O443="",L443="",M443="",S443="",M443=0),"",IFERROR(O443/(L443*60*S443/(M443*36))*100,0))</f>
        <v/>
      </c>
      <c r="V443" s="49" t="n">
        <f aca="false">'Daily KPI Entry'!V444</f>
        <v>0</v>
      </c>
      <c r="W443" s="49" t="str">
        <f aca="false">IF(O443="","",IFERROR(V443/O443*100,0))</f>
        <v/>
      </c>
      <c r="X443" s="49" t="n">
        <f aca="false">'Daily KPI Entry'!X444</f>
        <v>0</v>
      </c>
      <c r="Y443" s="49" t="n">
        <f aca="false">'Daily KPI Entry'!Y444</f>
        <v>0</v>
      </c>
      <c r="Z443" s="49" t="n">
        <f aca="false">'Daily KPI Entry'!Z444</f>
        <v>0</v>
      </c>
      <c r="AA443" s="49" t="n">
        <f aca="false">'Daily KPI Entry'!AA444</f>
        <v>0</v>
      </c>
      <c r="AB443" s="49" t="n">
        <f aca="false">'Daily KPI Entry'!AB444</f>
        <v>0</v>
      </c>
      <c r="AC443" s="49" t="n">
        <f aca="false">'Daily KPI Entry'!AC444</f>
        <v>0</v>
      </c>
      <c r="AD443" s="49" t="n">
        <f aca="false">'Daily KPI Entry'!AD444</f>
        <v>0</v>
      </c>
      <c r="AE443" s="49" t="n">
        <f aca="false">'Daily KPI Entry'!AE444</f>
        <v>0</v>
      </c>
      <c r="AF443" s="47" t="str">
        <f aca="false">IF(O443="","",SUM(X443:AE443))</f>
        <v/>
      </c>
      <c r="AG443" s="49" t="str">
        <f aca="false">IF(O443="","",IFERROR(AF443/O443*1000,0))</f>
        <v/>
      </c>
      <c r="AH443" s="49" t="n">
        <f aca="false">'Daily KPI Entry'!AH444</f>
        <v>0</v>
      </c>
      <c r="AI443" s="49" t="n">
        <f aca="false">'Daily KPI Entry'!AI444</f>
        <v>0</v>
      </c>
      <c r="AJ443" s="49" t="n">
        <f aca="false">'Daily KPI Entry'!AJ444</f>
        <v>0</v>
      </c>
      <c r="AK443" s="47" t="n">
        <f aca="false">'Daily KPI Entry'!AK444</f>
        <v>0</v>
      </c>
      <c r="AL443" s="47" t="n">
        <f aca="false">'Daily KPI Entry'!AL444</f>
        <v>0</v>
      </c>
      <c r="AM443" s="47" t="n">
        <f aca="false">'Daily KPI Entry'!AM444</f>
        <v>0</v>
      </c>
      <c r="AN443" s="49" t="str">
        <f aca="false">IF(P443="","",MIN(120,P443))</f>
        <v/>
      </c>
      <c r="AO443" s="49" t="str">
        <f aca="false">IF(U443="","",MIN(120,U443))</f>
        <v/>
      </c>
      <c r="AP443" s="49" t="str">
        <f aca="false">IF(R443="","",MIN(120,IFERROR(S443/R443*100,0)))</f>
        <v/>
      </c>
      <c r="AQ443" s="49" t="str">
        <f aca="false">IF(W443="","",MIN(120,IF(W443=0,120,100*(INDEX('Standards &amp; Scoring'!$E$5:$E$13,MATCH("Quality / Rejection",'Standards &amp; Scoring'!$A$5:$A$13,0))/W443))))</f>
        <v/>
      </c>
      <c r="AR443" s="49" t="str">
        <f aca="false">IF(AG443="","",MIN(120,IF(AG443=0,120,100*(INDEX('Standards &amp; Scoring'!$E$5:$E$13,MATCH("Fault Control",'Standards &amp; Scoring'!$A$5:$A$13,0))/AG443))))</f>
        <v/>
      </c>
      <c r="AS443" s="49" t="str">
        <f aca="false">IF(O443="","",MIN(120,IF(SUMIFS('Fault &amp; Downtime Entry'!$L$6:$L$1005,'Fault &amp; Downtime Entry'!$E$6:$E$1005,G443,'Fault &amp; Downtime Entry'!$B$6:$B$1005,B443)=0,120,100*(INDEX('Standards &amp; Scoring'!$E$5:$E$13,MATCH("Downtime Control",'Standards &amp; Scoring'!$A$5:$A$13,0))/IFERROR(SUMIFS('Fault &amp; Downtime Entry'!$L$6:$L$1005,'Fault &amp; Downtime Entry'!$E$6:$E$1005,G443,'Fault &amp; Downtime Entry'!$B$6:$B$1005,B443)/O443*1000,999999)))))</f>
        <v/>
      </c>
      <c r="AT443" s="49" t="n">
        <f aca="false">IF(COUNTA(AH443,AJ443)=0,"",MIN(120,IF(AND(AH443&lt;&gt;"",AJ443&lt;&gt;""),AVERAGE(AH443,AJ443),IF(AH443&lt;&gt;"",AH443,AJ443))))</f>
        <v>0</v>
      </c>
      <c r="AU443" s="49" t="str">
        <f aca="false">IF(AI443="","",MIN(120,AI443))</f>
        <v/>
      </c>
      <c r="AV443" s="49" t="str">
        <f aca="false">IF(AJ443="","",MIN(120,AJ443))</f>
        <v/>
      </c>
      <c r="AW443" s="50" t="str">
        <f aca="false">IF(COUNT(AN443:AV443)&lt;9,"",(AN443*'Standards &amp; Scoring'!$D$5+AO443*'Standards &amp; Scoring'!$D$6+AP443*'Standards &amp; Scoring'!$D$7+AQ443*'Standards &amp; Scoring'!$D$8+AR443*'Standards &amp; Scoring'!$D$9+AS443*'Standards &amp; Scoring'!$D$10+AT443*'Standards &amp; Scoring'!$D$11+AU443*'Standards &amp; Scoring'!$D$12+AV443*'Standards &amp; Scoring'!$D$13)/10000)</f>
        <v/>
      </c>
      <c r="AX443" s="47" t="str">
        <f aca="false">IF(AW443="","",IF(AW443&gt;=1.05,"A+",IF(AW443&gt;=1,"A",IF(AW443&gt;=0.95,"B+",IF(AW443&gt;=0.9,"B","C")))))</f>
        <v/>
      </c>
      <c r="AY443" s="47" t="str">
        <f aca="false">IF(AX443="","",IF(AX443="A+",1800,IF(AX443="A",1600,IF(AX443="B+",1400,IF(AX443="B",1200,0)))))</f>
        <v/>
      </c>
      <c r="AZ443" s="49" t="str">
        <f aca="false">IF(OR(L443="",M443="",S443="",M443=0),"",IFERROR(L443*60*S443/(M443*36),0))</f>
        <v/>
      </c>
    </row>
    <row r="444" customFormat="false" ht="15" hidden="false" customHeight="true" outlineLevel="0" collapsed="false">
      <c r="A444" s="47" t="n">
        <f aca="false">'Daily KPI Entry'!A445</f>
        <v>0</v>
      </c>
      <c r="B444" s="48" t="n">
        <f aca="false">'Daily KPI Entry'!B445</f>
        <v>0</v>
      </c>
      <c r="C444" s="47" t="n">
        <f aca="false">'Daily KPI Entry'!C445</f>
        <v>0</v>
      </c>
      <c r="D444" s="47" t="n">
        <f aca="false">'Daily KPI Entry'!D445</f>
        <v>0</v>
      </c>
      <c r="E444" s="47" t="n">
        <f aca="false">'Daily KPI Entry'!E445</f>
        <v>0</v>
      </c>
      <c r="F444" s="47" t="n">
        <f aca="false">'Daily KPI Entry'!F445</f>
        <v>0</v>
      </c>
      <c r="G444" s="47" t="n">
        <f aca="false">'Daily KPI Entry'!G445</f>
        <v>0</v>
      </c>
      <c r="H444" s="47" t="str">
        <f aca="false">'Daily KPI Entry'!H445</f>
        <v/>
      </c>
      <c r="I444" s="47" t="n">
        <f aca="false">'Daily KPI Entry'!I445</f>
        <v>0</v>
      </c>
      <c r="J444" s="47" t="n">
        <f aca="false">'Daily KPI Entry'!J445</f>
        <v>0</v>
      </c>
      <c r="K444" s="47" t="n">
        <f aca="false">'Daily KPI Entry'!K445</f>
        <v>0</v>
      </c>
      <c r="L444" s="47" t="n">
        <f aca="false">'Daily KPI Entry'!L445</f>
        <v>0</v>
      </c>
      <c r="M444" s="47" t="n">
        <f aca="false">'Daily KPI Entry'!M445</f>
        <v>0</v>
      </c>
      <c r="N444" s="49" t="n">
        <f aca="false">'Daily KPI Entry'!N445</f>
        <v>0</v>
      </c>
      <c r="O444" s="49" t="n">
        <f aca="false">'Daily KPI Entry'!O445</f>
        <v>0</v>
      </c>
      <c r="P444" s="49" t="str">
        <f aca="false">IF(OR(N444="",O444=""),"",IFERROR(O444/N444*100,0))</f>
        <v/>
      </c>
      <c r="Q444" s="47" t="n">
        <f aca="false">'Daily KPI Entry'!Q445</f>
        <v>8</v>
      </c>
      <c r="R444" s="47" t="str">
        <f aca="false">IF(J444="","",Q444*J444)</f>
        <v/>
      </c>
      <c r="S444" s="49" t="n">
        <f aca="false">'Daily KPI Entry'!S445</f>
        <v>0</v>
      </c>
      <c r="T444" s="49" t="str">
        <f aca="false">IF(OR(R444="",S444=""),"",IFERROR(S444/R444*100,0))</f>
        <v/>
      </c>
      <c r="U444" s="49" t="str">
        <f aca="false">IF(OR(O444="",L444="",M444="",S444="",M444=0),"",IFERROR(O444/(L444*60*S444/(M444*36))*100,0))</f>
        <v/>
      </c>
      <c r="V444" s="49" t="n">
        <f aca="false">'Daily KPI Entry'!V445</f>
        <v>0</v>
      </c>
      <c r="W444" s="49" t="str">
        <f aca="false">IF(O444="","",IFERROR(V444/O444*100,0))</f>
        <v/>
      </c>
      <c r="X444" s="49" t="n">
        <f aca="false">'Daily KPI Entry'!X445</f>
        <v>0</v>
      </c>
      <c r="Y444" s="49" t="n">
        <f aca="false">'Daily KPI Entry'!Y445</f>
        <v>0</v>
      </c>
      <c r="Z444" s="49" t="n">
        <f aca="false">'Daily KPI Entry'!Z445</f>
        <v>0</v>
      </c>
      <c r="AA444" s="49" t="n">
        <f aca="false">'Daily KPI Entry'!AA445</f>
        <v>0</v>
      </c>
      <c r="AB444" s="49" t="n">
        <f aca="false">'Daily KPI Entry'!AB445</f>
        <v>0</v>
      </c>
      <c r="AC444" s="49" t="n">
        <f aca="false">'Daily KPI Entry'!AC445</f>
        <v>0</v>
      </c>
      <c r="AD444" s="49" t="n">
        <f aca="false">'Daily KPI Entry'!AD445</f>
        <v>0</v>
      </c>
      <c r="AE444" s="49" t="n">
        <f aca="false">'Daily KPI Entry'!AE445</f>
        <v>0</v>
      </c>
      <c r="AF444" s="47" t="str">
        <f aca="false">IF(O444="","",SUM(X444:AE444))</f>
        <v/>
      </c>
      <c r="AG444" s="49" t="str">
        <f aca="false">IF(O444="","",IFERROR(AF444/O444*1000,0))</f>
        <v/>
      </c>
      <c r="AH444" s="49" t="n">
        <f aca="false">'Daily KPI Entry'!AH445</f>
        <v>0</v>
      </c>
      <c r="AI444" s="49" t="n">
        <f aca="false">'Daily KPI Entry'!AI445</f>
        <v>0</v>
      </c>
      <c r="AJ444" s="49" t="n">
        <f aca="false">'Daily KPI Entry'!AJ445</f>
        <v>0</v>
      </c>
      <c r="AK444" s="47" t="n">
        <f aca="false">'Daily KPI Entry'!AK445</f>
        <v>0</v>
      </c>
      <c r="AL444" s="47" t="n">
        <f aca="false">'Daily KPI Entry'!AL445</f>
        <v>0</v>
      </c>
      <c r="AM444" s="47" t="n">
        <f aca="false">'Daily KPI Entry'!AM445</f>
        <v>0</v>
      </c>
      <c r="AN444" s="49" t="str">
        <f aca="false">IF(P444="","",MIN(120,P444))</f>
        <v/>
      </c>
      <c r="AO444" s="49" t="str">
        <f aca="false">IF(U444="","",MIN(120,U444))</f>
        <v/>
      </c>
      <c r="AP444" s="49" t="str">
        <f aca="false">IF(R444="","",MIN(120,IFERROR(S444/R444*100,0)))</f>
        <v/>
      </c>
      <c r="AQ444" s="49" t="str">
        <f aca="false">IF(W444="","",MIN(120,IF(W444=0,120,100*(INDEX('Standards &amp; Scoring'!$E$5:$E$13,MATCH("Quality / Rejection",'Standards &amp; Scoring'!$A$5:$A$13,0))/W444))))</f>
        <v/>
      </c>
      <c r="AR444" s="49" t="str">
        <f aca="false">IF(AG444="","",MIN(120,IF(AG444=0,120,100*(INDEX('Standards &amp; Scoring'!$E$5:$E$13,MATCH("Fault Control",'Standards &amp; Scoring'!$A$5:$A$13,0))/AG444))))</f>
        <v/>
      </c>
      <c r="AS444" s="49" t="str">
        <f aca="false">IF(O444="","",MIN(120,IF(SUMIFS('Fault &amp; Downtime Entry'!$L$6:$L$1005,'Fault &amp; Downtime Entry'!$E$6:$E$1005,G444,'Fault &amp; Downtime Entry'!$B$6:$B$1005,B444)=0,120,100*(INDEX('Standards &amp; Scoring'!$E$5:$E$13,MATCH("Downtime Control",'Standards &amp; Scoring'!$A$5:$A$13,0))/IFERROR(SUMIFS('Fault &amp; Downtime Entry'!$L$6:$L$1005,'Fault &amp; Downtime Entry'!$E$6:$E$1005,G444,'Fault &amp; Downtime Entry'!$B$6:$B$1005,B444)/O444*1000,999999)))))</f>
        <v/>
      </c>
      <c r="AT444" s="49" t="n">
        <f aca="false">IF(COUNTA(AH444,AJ444)=0,"",MIN(120,IF(AND(AH444&lt;&gt;"",AJ444&lt;&gt;""),AVERAGE(AH444,AJ444),IF(AH444&lt;&gt;"",AH444,AJ444))))</f>
        <v>0</v>
      </c>
      <c r="AU444" s="49" t="str">
        <f aca="false">IF(AI444="","",MIN(120,AI444))</f>
        <v/>
      </c>
      <c r="AV444" s="49" t="str">
        <f aca="false">IF(AJ444="","",MIN(120,AJ444))</f>
        <v/>
      </c>
      <c r="AW444" s="50" t="str">
        <f aca="false">IF(COUNT(AN444:AV444)&lt;9,"",(AN444*'Standards &amp; Scoring'!$D$5+AO444*'Standards &amp; Scoring'!$D$6+AP444*'Standards &amp; Scoring'!$D$7+AQ444*'Standards &amp; Scoring'!$D$8+AR444*'Standards &amp; Scoring'!$D$9+AS444*'Standards &amp; Scoring'!$D$10+AT444*'Standards &amp; Scoring'!$D$11+AU444*'Standards &amp; Scoring'!$D$12+AV444*'Standards &amp; Scoring'!$D$13)/10000)</f>
        <v/>
      </c>
      <c r="AX444" s="47" t="str">
        <f aca="false">IF(AW444="","",IF(AW444&gt;=1.05,"A+",IF(AW444&gt;=1,"A",IF(AW444&gt;=0.95,"B+",IF(AW444&gt;=0.9,"B","C")))))</f>
        <v/>
      </c>
      <c r="AY444" s="47" t="str">
        <f aca="false">IF(AX444="","",IF(AX444="A+",1800,IF(AX444="A",1600,IF(AX444="B+",1400,IF(AX444="B",1200,0)))))</f>
        <v/>
      </c>
      <c r="AZ444" s="49" t="str">
        <f aca="false">IF(OR(L444="",M444="",S444="",M444=0),"",IFERROR(L444*60*S444/(M444*36),0))</f>
        <v/>
      </c>
    </row>
    <row r="445" customFormat="false" ht="15" hidden="false" customHeight="true" outlineLevel="0" collapsed="false">
      <c r="A445" s="47" t="n">
        <f aca="false">'Daily KPI Entry'!A446</f>
        <v>0</v>
      </c>
      <c r="B445" s="48" t="n">
        <f aca="false">'Daily KPI Entry'!B446</f>
        <v>0</v>
      </c>
      <c r="C445" s="47" t="n">
        <f aca="false">'Daily KPI Entry'!C446</f>
        <v>0</v>
      </c>
      <c r="D445" s="47" t="n">
        <f aca="false">'Daily KPI Entry'!D446</f>
        <v>0</v>
      </c>
      <c r="E445" s="47" t="n">
        <f aca="false">'Daily KPI Entry'!E446</f>
        <v>0</v>
      </c>
      <c r="F445" s="47" t="n">
        <f aca="false">'Daily KPI Entry'!F446</f>
        <v>0</v>
      </c>
      <c r="G445" s="47" t="n">
        <f aca="false">'Daily KPI Entry'!G446</f>
        <v>0</v>
      </c>
      <c r="H445" s="47" t="str">
        <f aca="false">'Daily KPI Entry'!H446</f>
        <v/>
      </c>
      <c r="I445" s="47" t="n">
        <f aca="false">'Daily KPI Entry'!I446</f>
        <v>0</v>
      </c>
      <c r="J445" s="47" t="n">
        <f aca="false">'Daily KPI Entry'!J446</f>
        <v>0</v>
      </c>
      <c r="K445" s="47" t="n">
        <f aca="false">'Daily KPI Entry'!K446</f>
        <v>0</v>
      </c>
      <c r="L445" s="47" t="n">
        <f aca="false">'Daily KPI Entry'!L446</f>
        <v>0</v>
      </c>
      <c r="M445" s="47" t="n">
        <f aca="false">'Daily KPI Entry'!M446</f>
        <v>0</v>
      </c>
      <c r="N445" s="49" t="n">
        <f aca="false">'Daily KPI Entry'!N446</f>
        <v>0</v>
      </c>
      <c r="O445" s="49" t="n">
        <f aca="false">'Daily KPI Entry'!O446</f>
        <v>0</v>
      </c>
      <c r="P445" s="49" t="str">
        <f aca="false">IF(OR(N445="",O445=""),"",IFERROR(O445/N445*100,0))</f>
        <v/>
      </c>
      <c r="Q445" s="47" t="n">
        <f aca="false">'Daily KPI Entry'!Q446</f>
        <v>8</v>
      </c>
      <c r="R445" s="47" t="str">
        <f aca="false">IF(J445="","",Q445*J445)</f>
        <v/>
      </c>
      <c r="S445" s="49" t="n">
        <f aca="false">'Daily KPI Entry'!S446</f>
        <v>0</v>
      </c>
      <c r="T445" s="49" t="str">
        <f aca="false">IF(OR(R445="",S445=""),"",IFERROR(S445/R445*100,0))</f>
        <v/>
      </c>
      <c r="U445" s="49" t="str">
        <f aca="false">IF(OR(O445="",L445="",M445="",S445="",M445=0),"",IFERROR(O445/(L445*60*S445/(M445*36))*100,0))</f>
        <v/>
      </c>
      <c r="V445" s="49" t="n">
        <f aca="false">'Daily KPI Entry'!V446</f>
        <v>0</v>
      </c>
      <c r="W445" s="49" t="str">
        <f aca="false">IF(O445="","",IFERROR(V445/O445*100,0))</f>
        <v/>
      </c>
      <c r="X445" s="49" t="n">
        <f aca="false">'Daily KPI Entry'!X446</f>
        <v>0</v>
      </c>
      <c r="Y445" s="49" t="n">
        <f aca="false">'Daily KPI Entry'!Y446</f>
        <v>0</v>
      </c>
      <c r="Z445" s="49" t="n">
        <f aca="false">'Daily KPI Entry'!Z446</f>
        <v>0</v>
      </c>
      <c r="AA445" s="49" t="n">
        <f aca="false">'Daily KPI Entry'!AA446</f>
        <v>0</v>
      </c>
      <c r="AB445" s="49" t="n">
        <f aca="false">'Daily KPI Entry'!AB446</f>
        <v>0</v>
      </c>
      <c r="AC445" s="49" t="n">
        <f aca="false">'Daily KPI Entry'!AC446</f>
        <v>0</v>
      </c>
      <c r="AD445" s="49" t="n">
        <f aca="false">'Daily KPI Entry'!AD446</f>
        <v>0</v>
      </c>
      <c r="AE445" s="49" t="n">
        <f aca="false">'Daily KPI Entry'!AE446</f>
        <v>0</v>
      </c>
      <c r="AF445" s="47" t="str">
        <f aca="false">IF(O445="","",SUM(X445:AE445))</f>
        <v/>
      </c>
      <c r="AG445" s="49" t="str">
        <f aca="false">IF(O445="","",IFERROR(AF445/O445*1000,0))</f>
        <v/>
      </c>
      <c r="AH445" s="49" t="n">
        <f aca="false">'Daily KPI Entry'!AH446</f>
        <v>0</v>
      </c>
      <c r="AI445" s="49" t="n">
        <f aca="false">'Daily KPI Entry'!AI446</f>
        <v>0</v>
      </c>
      <c r="AJ445" s="49" t="n">
        <f aca="false">'Daily KPI Entry'!AJ446</f>
        <v>0</v>
      </c>
      <c r="AK445" s="47" t="n">
        <f aca="false">'Daily KPI Entry'!AK446</f>
        <v>0</v>
      </c>
      <c r="AL445" s="47" t="n">
        <f aca="false">'Daily KPI Entry'!AL446</f>
        <v>0</v>
      </c>
      <c r="AM445" s="47" t="n">
        <f aca="false">'Daily KPI Entry'!AM446</f>
        <v>0</v>
      </c>
      <c r="AN445" s="49" t="str">
        <f aca="false">IF(P445="","",MIN(120,P445))</f>
        <v/>
      </c>
      <c r="AO445" s="49" t="str">
        <f aca="false">IF(U445="","",MIN(120,U445))</f>
        <v/>
      </c>
      <c r="AP445" s="49" t="str">
        <f aca="false">IF(R445="","",MIN(120,IFERROR(S445/R445*100,0)))</f>
        <v/>
      </c>
      <c r="AQ445" s="49" t="str">
        <f aca="false">IF(W445="","",MIN(120,IF(W445=0,120,100*(INDEX('Standards &amp; Scoring'!$E$5:$E$13,MATCH("Quality / Rejection",'Standards &amp; Scoring'!$A$5:$A$13,0))/W445))))</f>
        <v/>
      </c>
      <c r="AR445" s="49" t="str">
        <f aca="false">IF(AG445="","",MIN(120,IF(AG445=0,120,100*(INDEX('Standards &amp; Scoring'!$E$5:$E$13,MATCH("Fault Control",'Standards &amp; Scoring'!$A$5:$A$13,0))/AG445))))</f>
        <v/>
      </c>
      <c r="AS445" s="49" t="str">
        <f aca="false">IF(O445="","",MIN(120,IF(SUMIFS('Fault &amp; Downtime Entry'!$L$6:$L$1005,'Fault &amp; Downtime Entry'!$E$6:$E$1005,G445,'Fault &amp; Downtime Entry'!$B$6:$B$1005,B445)=0,120,100*(INDEX('Standards &amp; Scoring'!$E$5:$E$13,MATCH("Downtime Control",'Standards &amp; Scoring'!$A$5:$A$13,0))/IFERROR(SUMIFS('Fault &amp; Downtime Entry'!$L$6:$L$1005,'Fault &amp; Downtime Entry'!$E$6:$E$1005,G445,'Fault &amp; Downtime Entry'!$B$6:$B$1005,B445)/O445*1000,999999)))))</f>
        <v/>
      </c>
      <c r="AT445" s="49" t="n">
        <f aca="false">IF(COUNTA(AH445,AJ445)=0,"",MIN(120,IF(AND(AH445&lt;&gt;"",AJ445&lt;&gt;""),AVERAGE(AH445,AJ445),IF(AH445&lt;&gt;"",AH445,AJ445))))</f>
        <v>0</v>
      </c>
      <c r="AU445" s="49" t="str">
        <f aca="false">IF(AI445="","",MIN(120,AI445))</f>
        <v/>
      </c>
      <c r="AV445" s="49" t="str">
        <f aca="false">IF(AJ445="","",MIN(120,AJ445))</f>
        <v/>
      </c>
      <c r="AW445" s="50" t="str">
        <f aca="false">IF(COUNT(AN445:AV445)&lt;9,"",(AN445*'Standards &amp; Scoring'!$D$5+AO445*'Standards &amp; Scoring'!$D$6+AP445*'Standards &amp; Scoring'!$D$7+AQ445*'Standards &amp; Scoring'!$D$8+AR445*'Standards &amp; Scoring'!$D$9+AS445*'Standards &amp; Scoring'!$D$10+AT445*'Standards &amp; Scoring'!$D$11+AU445*'Standards &amp; Scoring'!$D$12+AV445*'Standards &amp; Scoring'!$D$13)/10000)</f>
        <v/>
      </c>
      <c r="AX445" s="47" t="str">
        <f aca="false">IF(AW445="","",IF(AW445&gt;=1.05,"A+",IF(AW445&gt;=1,"A",IF(AW445&gt;=0.95,"B+",IF(AW445&gt;=0.9,"B","C")))))</f>
        <v/>
      </c>
      <c r="AY445" s="47" t="str">
        <f aca="false">IF(AX445="","",IF(AX445="A+",1800,IF(AX445="A",1600,IF(AX445="B+",1400,IF(AX445="B",1200,0)))))</f>
        <v/>
      </c>
      <c r="AZ445" s="49" t="str">
        <f aca="false">IF(OR(L445="",M445="",S445="",M445=0),"",IFERROR(L445*60*S445/(M445*36),0))</f>
        <v/>
      </c>
    </row>
    <row r="446" customFormat="false" ht="15" hidden="false" customHeight="true" outlineLevel="0" collapsed="false">
      <c r="A446" s="47" t="n">
        <f aca="false">'Daily KPI Entry'!A447</f>
        <v>0</v>
      </c>
      <c r="B446" s="48" t="n">
        <f aca="false">'Daily KPI Entry'!B447</f>
        <v>0</v>
      </c>
      <c r="C446" s="47" t="n">
        <f aca="false">'Daily KPI Entry'!C447</f>
        <v>0</v>
      </c>
      <c r="D446" s="47" t="n">
        <f aca="false">'Daily KPI Entry'!D447</f>
        <v>0</v>
      </c>
      <c r="E446" s="47" t="n">
        <f aca="false">'Daily KPI Entry'!E447</f>
        <v>0</v>
      </c>
      <c r="F446" s="47" t="n">
        <f aca="false">'Daily KPI Entry'!F447</f>
        <v>0</v>
      </c>
      <c r="G446" s="47" t="n">
        <f aca="false">'Daily KPI Entry'!G447</f>
        <v>0</v>
      </c>
      <c r="H446" s="47" t="str">
        <f aca="false">'Daily KPI Entry'!H447</f>
        <v/>
      </c>
      <c r="I446" s="47" t="n">
        <f aca="false">'Daily KPI Entry'!I447</f>
        <v>0</v>
      </c>
      <c r="J446" s="47" t="n">
        <f aca="false">'Daily KPI Entry'!J447</f>
        <v>0</v>
      </c>
      <c r="K446" s="47" t="n">
        <f aca="false">'Daily KPI Entry'!K447</f>
        <v>0</v>
      </c>
      <c r="L446" s="47" t="n">
        <f aca="false">'Daily KPI Entry'!L447</f>
        <v>0</v>
      </c>
      <c r="M446" s="47" t="n">
        <f aca="false">'Daily KPI Entry'!M447</f>
        <v>0</v>
      </c>
      <c r="N446" s="49" t="n">
        <f aca="false">'Daily KPI Entry'!N447</f>
        <v>0</v>
      </c>
      <c r="O446" s="49" t="n">
        <f aca="false">'Daily KPI Entry'!O447</f>
        <v>0</v>
      </c>
      <c r="P446" s="49" t="str">
        <f aca="false">IF(OR(N446="",O446=""),"",IFERROR(O446/N446*100,0))</f>
        <v/>
      </c>
      <c r="Q446" s="47" t="n">
        <f aca="false">'Daily KPI Entry'!Q447</f>
        <v>8</v>
      </c>
      <c r="R446" s="47" t="str">
        <f aca="false">IF(J446="","",Q446*J446)</f>
        <v/>
      </c>
      <c r="S446" s="49" t="n">
        <f aca="false">'Daily KPI Entry'!S447</f>
        <v>0</v>
      </c>
      <c r="T446" s="49" t="str">
        <f aca="false">IF(OR(R446="",S446=""),"",IFERROR(S446/R446*100,0))</f>
        <v/>
      </c>
      <c r="U446" s="49" t="str">
        <f aca="false">IF(OR(O446="",L446="",M446="",S446="",M446=0),"",IFERROR(O446/(L446*60*S446/(M446*36))*100,0))</f>
        <v/>
      </c>
      <c r="V446" s="49" t="n">
        <f aca="false">'Daily KPI Entry'!V447</f>
        <v>0</v>
      </c>
      <c r="W446" s="49" t="str">
        <f aca="false">IF(O446="","",IFERROR(V446/O446*100,0))</f>
        <v/>
      </c>
      <c r="X446" s="49" t="n">
        <f aca="false">'Daily KPI Entry'!X447</f>
        <v>0</v>
      </c>
      <c r="Y446" s="49" t="n">
        <f aca="false">'Daily KPI Entry'!Y447</f>
        <v>0</v>
      </c>
      <c r="Z446" s="49" t="n">
        <f aca="false">'Daily KPI Entry'!Z447</f>
        <v>0</v>
      </c>
      <c r="AA446" s="49" t="n">
        <f aca="false">'Daily KPI Entry'!AA447</f>
        <v>0</v>
      </c>
      <c r="AB446" s="49" t="n">
        <f aca="false">'Daily KPI Entry'!AB447</f>
        <v>0</v>
      </c>
      <c r="AC446" s="49" t="n">
        <f aca="false">'Daily KPI Entry'!AC447</f>
        <v>0</v>
      </c>
      <c r="AD446" s="49" t="n">
        <f aca="false">'Daily KPI Entry'!AD447</f>
        <v>0</v>
      </c>
      <c r="AE446" s="49" t="n">
        <f aca="false">'Daily KPI Entry'!AE447</f>
        <v>0</v>
      </c>
      <c r="AF446" s="47" t="str">
        <f aca="false">IF(O446="","",SUM(X446:AE446))</f>
        <v/>
      </c>
      <c r="AG446" s="49" t="str">
        <f aca="false">IF(O446="","",IFERROR(AF446/O446*1000,0))</f>
        <v/>
      </c>
      <c r="AH446" s="49" t="n">
        <f aca="false">'Daily KPI Entry'!AH447</f>
        <v>0</v>
      </c>
      <c r="AI446" s="49" t="n">
        <f aca="false">'Daily KPI Entry'!AI447</f>
        <v>0</v>
      </c>
      <c r="AJ446" s="49" t="n">
        <f aca="false">'Daily KPI Entry'!AJ447</f>
        <v>0</v>
      </c>
      <c r="AK446" s="47" t="n">
        <f aca="false">'Daily KPI Entry'!AK447</f>
        <v>0</v>
      </c>
      <c r="AL446" s="47" t="n">
        <f aca="false">'Daily KPI Entry'!AL447</f>
        <v>0</v>
      </c>
      <c r="AM446" s="47" t="n">
        <f aca="false">'Daily KPI Entry'!AM447</f>
        <v>0</v>
      </c>
      <c r="AN446" s="49" t="str">
        <f aca="false">IF(P446="","",MIN(120,P446))</f>
        <v/>
      </c>
      <c r="AO446" s="49" t="str">
        <f aca="false">IF(U446="","",MIN(120,U446))</f>
        <v/>
      </c>
      <c r="AP446" s="49" t="str">
        <f aca="false">IF(R446="","",MIN(120,IFERROR(S446/R446*100,0)))</f>
        <v/>
      </c>
      <c r="AQ446" s="49" t="str">
        <f aca="false">IF(W446="","",MIN(120,IF(W446=0,120,100*(INDEX('Standards &amp; Scoring'!$E$5:$E$13,MATCH("Quality / Rejection",'Standards &amp; Scoring'!$A$5:$A$13,0))/W446))))</f>
        <v/>
      </c>
      <c r="AR446" s="49" t="str">
        <f aca="false">IF(AG446="","",MIN(120,IF(AG446=0,120,100*(INDEX('Standards &amp; Scoring'!$E$5:$E$13,MATCH("Fault Control",'Standards &amp; Scoring'!$A$5:$A$13,0))/AG446))))</f>
        <v/>
      </c>
      <c r="AS446" s="49" t="str">
        <f aca="false">IF(O446="","",MIN(120,IF(SUMIFS('Fault &amp; Downtime Entry'!$L$6:$L$1005,'Fault &amp; Downtime Entry'!$E$6:$E$1005,G446,'Fault &amp; Downtime Entry'!$B$6:$B$1005,B446)=0,120,100*(INDEX('Standards &amp; Scoring'!$E$5:$E$13,MATCH("Downtime Control",'Standards &amp; Scoring'!$A$5:$A$13,0))/IFERROR(SUMIFS('Fault &amp; Downtime Entry'!$L$6:$L$1005,'Fault &amp; Downtime Entry'!$E$6:$E$1005,G446,'Fault &amp; Downtime Entry'!$B$6:$B$1005,B446)/O446*1000,999999)))))</f>
        <v/>
      </c>
      <c r="AT446" s="49" t="n">
        <f aca="false">IF(COUNTA(AH446,AJ446)=0,"",MIN(120,IF(AND(AH446&lt;&gt;"",AJ446&lt;&gt;""),AVERAGE(AH446,AJ446),IF(AH446&lt;&gt;"",AH446,AJ446))))</f>
        <v>0</v>
      </c>
      <c r="AU446" s="49" t="str">
        <f aca="false">IF(AI446="","",MIN(120,AI446))</f>
        <v/>
      </c>
      <c r="AV446" s="49" t="str">
        <f aca="false">IF(AJ446="","",MIN(120,AJ446))</f>
        <v/>
      </c>
      <c r="AW446" s="50" t="str">
        <f aca="false">IF(COUNT(AN446:AV446)&lt;9,"",(AN446*'Standards &amp; Scoring'!$D$5+AO446*'Standards &amp; Scoring'!$D$6+AP446*'Standards &amp; Scoring'!$D$7+AQ446*'Standards &amp; Scoring'!$D$8+AR446*'Standards &amp; Scoring'!$D$9+AS446*'Standards &amp; Scoring'!$D$10+AT446*'Standards &amp; Scoring'!$D$11+AU446*'Standards &amp; Scoring'!$D$12+AV446*'Standards &amp; Scoring'!$D$13)/10000)</f>
        <v/>
      </c>
      <c r="AX446" s="47" t="str">
        <f aca="false">IF(AW446="","",IF(AW446&gt;=1.05,"A+",IF(AW446&gt;=1,"A",IF(AW446&gt;=0.95,"B+",IF(AW446&gt;=0.9,"B","C")))))</f>
        <v/>
      </c>
      <c r="AY446" s="47" t="str">
        <f aca="false">IF(AX446="","",IF(AX446="A+",1800,IF(AX446="A",1600,IF(AX446="B+",1400,IF(AX446="B",1200,0)))))</f>
        <v/>
      </c>
      <c r="AZ446" s="49" t="str">
        <f aca="false">IF(OR(L446="",M446="",S446="",M446=0),"",IFERROR(L446*60*S446/(M446*36),0))</f>
        <v/>
      </c>
    </row>
    <row r="447" customFormat="false" ht="15" hidden="false" customHeight="true" outlineLevel="0" collapsed="false">
      <c r="A447" s="47" t="n">
        <f aca="false">'Daily KPI Entry'!A448</f>
        <v>0</v>
      </c>
      <c r="B447" s="48" t="n">
        <f aca="false">'Daily KPI Entry'!B448</f>
        <v>0</v>
      </c>
      <c r="C447" s="47" t="n">
        <f aca="false">'Daily KPI Entry'!C448</f>
        <v>0</v>
      </c>
      <c r="D447" s="47" t="n">
        <f aca="false">'Daily KPI Entry'!D448</f>
        <v>0</v>
      </c>
      <c r="E447" s="47" t="n">
        <f aca="false">'Daily KPI Entry'!E448</f>
        <v>0</v>
      </c>
      <c r="F447" s="47" t="n">
        <f aca="false">'Daily KPI Entry'!F448</f>
        <v>0</v>
      </c>
      <c r="G447" s="47" t="n">
        <f aca="false">'Daily KPI Entry'!G448</f>
        <v>0</v>
      </c>
      <c r="H447" s="47" t="str">
        <f aca="false">'Daily KPI Entry'!H448</f>
        <v/>
      </c>
      <c r="I447" s="47" t="n">
        <f aca="false">'Daily KPI Entry'!I448</f>
        <v>0</v>
      </c>
      <c r="J447" s="47" t="n">
        <f aca="false">'Daily KPI Entry'!J448</f>
        <v>0</v>
      </c>
      <c r="K447" s="47" t="n">
        <f aca="false">'Daily KPI Entry'!K448</f>
        <v>0</v>
      </c>
      <c r="L447" s="47" t="n">
        <f aca="false">'Daily KPI Entry'!L448</f>
        <v>0</v>
      </c>
      <c r="M447" s="47" t="n">
        <f aca="false">'Daily KPI Entry'!M448</f>
        <v>0</v>
      </c>
      <c r="N447" s="49" t="n">
        <f aca="false">'Daily KPI Entry'!N448</f>
        <v>0</v>
      </c>
      <c r="O447" s="49" t="n">
        <f aca="false">'Daily KPI Entry'!O448</f>
        <v>0</v>
      </c>
      <c r="P447" s="49" t="str">
        <f aca="false">IF(OR(N447="",O447=""),"",IFERROR(O447/N447*100,0))</f>
        <v/>
      </c>
      <c r="Q447" s="47" t="n">
        <f aca="false">'Daily KPI Entry'!Q448</f>
        <v>8</v>
      </c>
      <c r="R447" s="47" t="str">
        <f aca="false">IF(J447="","",Q447*J447)</f>
        <v/>
      </c>
      <c r="S447" s="49" t="n">
        <f aca="false">'Daily KPI Entry'!S448</f>
        <v>0</v>
      </c>
      <c r="T447" s="49" t="str">
        <f aca="false">IF(OR(R447="",S447=""),"",IFERROR(S447/R447*100,0))</f>
        <v/>
      </c>
      <c r="U447" s="49" t="str">
        <f aca="false">IF(OR(O447="",L447="",M447="",S447="",M447=0),"",IFERROR(O447/(L447*60*S447/(M447*36))*100,0))</f>
        <v/>
      </c>
      <c r="V447" s="49" t="n">
        <f aca="false">'Daily KPI Entry'!V448</f>
        <v>0</v>
      </c>
      <c r="W447" s="49" t="str">
        <f aca="false">IF(O447="","",IFERROR(V447/O447*100,0))</f>
        <v/>
      </c>
      <c r="X447" s="49" t="n">
        <f aca="false">'Daily KPI Entry'!X448</f>
        <v>0</v>
      </c>
      <c r="Y447" s="49" t="n">
        <f aca="false">'Daily KPI Entry'!Y448</f>
        <v>0</v>
      </c>
      <c r="Z447" s="49" t="n">
        <f aca="false">'Daily KPI Entry'!Z448</f>
        <v>0</v>
      </c>
      <c r="AA447" s="49" t="n">
        <f aca="false">'Daily KPI Entry'!AA448</f>
        <v>0</v>
      </c>
      <c r="AB447" s="49" t="n">
        <f aca="false">'Daily KPI Entry'!AB448</f>
        <v>0</v>
      </c>
      <c r="AC447" s="49" t="n">
        <f aca="false">'Daily KPI Entry'!AC448</f>
        <v>0</v>
      </c>
      <c r="AD447" s="49" t="n">
        <f aca="false">'Daily KPI Entry'!AD448</f>
        <v>0</v>
      </c>
      <c r="AE447" s="49" t="n">
        <f aca="false">'Daily KPI Entry'!AE448</f>
        <v>0</v>
      </c>
      <c r="AF447" s="47" t="str">
        <f aca="false">IF(O447="","",SUM(X447:AE447))</f>
        <v/>
      </c>
      <c r="AG447" s="49" t="str">
        <f aca="false">IF(O447="","",IFERROR(AF447/O447*1000,0))</f>
        <v/>
      </c>
      <c r="AH447" s="49" t="n">
        <f aca="false">'Daily KPI Entry'!AH448</f>
        <v>0</v>
      </c>
      <c r="AI447" s="49" t="n">
        <f aca="false">'Daily KPI Entry'!AI448</f>
        <v>0</v>
      </c>
      <c r="AJ447" s="49" t="n">
        <f aca="false">'Daily KPI Entry'!AJ448</f>
        <v>0</v>
      </c>
      <c r="AK447" s="47" t="n">
        <f aca="false">'Daily KPI Entry'!AK448</f>
        <v>0</v>
      </c>
      <c r="AL447" s="47" t="n">
        <f aca="false">'Daily KPI Entry'!AL448</f>
        <v>0</v>
      </c>
      <c r="AM447" s="47" t="n">
        <f aca="false">'Daily KPI Entry'!AM448</f>
        <v>0</v>
      </c>
      <c r="AN447" s="49" t="str">
        <f aca="false">IF(P447="","",MIN(120,P447))</f>
        <v/>
      </c>
      <c r="AO447" s="49" t="str">
        <f aca="false">IF(U447="","",MIN(120,U447))</f>
        <v/>
      </c>
      <c r="AP447" s="49" t="str">
        <f aca="false">IF(R447="","",MIN(120,IFERROR(S447/R447*100,0)))</f>
        <v/>
      </c>
      <c r="AQ447" s="49" t="str">
        <f aca="false">IF(W447="","",MIN(120,IF(W447=0,120,100*(INDEX('Standards &amp; Scoring'!$E$5:$E$13,MATCH("Quality / Rejection",'Standards &amp; Scoring'!$A$5:$A$13,0))/W447))))</f>
        <v/>
      </c>
      <c r="AR447" s="49" t="str">
        <f aca="false">IF(AG447="","",MIN(120,IF(AG447=0,120,100*(INDEX('Standards &amp; Scoring'!$E$5:$E$13,MATCH("Fault Control",'Standards &amp; Scoring'!$A$5:$A$13,0))/AG447))))</f>
        <v/>
      </c>
      <c r="AS447" s="49" t="str">
        <f aca="false">IF(O447="","",MIN(120,IF(SUMIFS('Fault &amp; Downtime Entry'!$L$6:$L$1005,'Fault &amp; Downtime Entry'!$E$6:$E$1005,G447,'Fault &amp; Downtime Entry'!$B$6:$B$1005,B447)=0,120,100*(INDEX('Standards &amp; Scoring'!$E$5:$E$13,MATCH("Downtime Control",'Standards &amp; Scoring'!$A$5:$A$13,0))/IFERROR(SUMIFS('Fault &amp; Downtime Entry'!$L$6:$L$1005,'Fault &amp; Downtime Entry'!$E$6:$E$1005,G447,'Fault &amp; Downtime Entry'!$B$6:$B$1005,B447)/O447*1000,999999)))))</f>
        <v/>
      </c>
      <c r="AT447" s="49" t="n">
        <f aca="false">IF(COUNTA(AH447,AJ447)=0,"",MIN(120,IF(AND(AH447&lt;&gt;"",AJ447&lt;&gt;""),AVERAGE(AH447,AJ447),IF(AH447&lt;&gt;"",AH447,AJ447))))</f>
        <v>0</v>
      </c>
      <c r="AU447" s="49" t="str">
        <f aca="false">IF(AI447="","",MIN(120,AI447))</f>
        <v/>
      </c>
      <c r="AV447" s="49" t="str">
        <f aca="false">IF(AJ447="","",MIN(120,AJ447))</f>
        <v/>
      </c>
      <c r="AW447" s="50" t="str">
        <f aca="false">IF(COUNT(AN447:AV447)&lt;9,"",(AN447*'Standards &amp; Scoring'!$D$5+AO447*'Standards &amp; Scoring'!$D$6+AP447*'Standards &amp; Scoring'!$D$7+AQ447*'Standards &amp; Scoring'!$D$8+AR447*'Standards &amp; Scoring'!$D$9+AS447*'Standards &amp; Scoring'!$D$10+AT447*'Standards &amp; Scoring'!$D$11+AU447*'Standards &amp; Scoring'!$D$12+AV447*'Standards &amp; Scoring'!$D$13)/10000)</f>
        <v/>
      </c>
      <c r="AX447" s="47" t="str">
        <f aca="false">IF(AW447="","",IF(AW447&gt;=1.05,"A+",IF(AW447&gt;=1,"A",IF(AW447&gt;=0.95,"B+",IF(AW447&gt;=0.9,"B","C")))))</f>
        <v/>
      </c>
      <c r="AY447" s="47" t="str">
        <f aca="false">IF(AX447="","",IF(AX447="A+",1800,IF(AX447="A",1600,IF(AX447="B+",1400,IF(AX447="B",1200,0)))))</f>
        <v/>
      </c>
      <c r="AZ447" s="49" t="str">
        <f aca="false">IF(OR(L447="",M447="",S447="",M447=0),"",IFERROR(L447*60*S447/(M447*36),0))</f>
        <v/>
      </c>
    </row>
    <row r="448" customFormat="false" ht="15" hidden="false" customHeight="true" outlineLevel="0" collapsed="false">
      <c r="A448" s="47" t="n">
        <f aca="false">'Daily KPI Entry'!A449</f>
        <v>0</v>
      </c>
      <c r="B448" s="48" t="n">
        <f aca="false">'Daily KPI Entry'!B449</f>
        <v>0</v>
      </c>
      <c r="C448" s="47" t="n">
        <f aca="false">'Daily KPI Entry'!C449</f>
        <v>0</v>
      </c>
      <c r="D448" s="47" t="n">
        <f aca="false">'Daily KPI Entry'!D449</f>
        <v>0</v>
      </c>
      <c r="E448" s="47" t="n">
        <f aca="false">'Daily KPI Entry'!E449</f>
        <v>0</v>
      </c>
      <c r="F448" s="47" t="n">
        <f aca="false">'Daily KPI Entry'!F449</f>
        <v>0</v>
      </c>
      <c r="G448" s="47" t="n">
        <f aca="false">'Daily KPI Entry'!G449</f>
        <v>0</v>
      </c>
      <c r="H448" s="47" t="str">
        <f aca="false">'Daily KPI Entry'!H449</f>
        <v/>
      </c>
      <c r="I448" s="47" t="n">
        <f aca="false">'Daily KPI Entry'!I449</f>
        <v>0</v>
      </c>
      <c r="J448" s="47" t="n">
        <f aca="false">'Daily KPI Entry'!J449</f>
        <v>0</v>
      </c>
      <c r="K448" s="47" t="n">
        <f aca="false">'Daily KPI Entry'!K449</f>
        <v>0</v>
      </c>
      <c r="L448" s="47" t="n">
        <f aca="false">'Daily KPI Entry'!L449</f>
        <v>0</v>
      </c>
      <c r="M448" s="47" t="n">
        <f aca="false">'Daily KPI Entry'!M449</f>
        <v>0</v>
      </c>
      <c r="N448" s="49" t="n">
        <f aca="false">'Daily KPI Entry'!N449</f>
        <v>0</v>
      </c>
      <c r="O448" s="49" t="n">
        <f aca="false">'Daily KPI Entry'!O449</f>
        <v>0</v>
      </c>
      <c r="P448" s="49" t="str">
        <f aca="false">IF(OR(N448="",O448=""),"",IFERROR(O448/N448*100,0))</f>
        <v/>
      </c>
      <c r="Q448" s="47" t="n">
        <f aca="false">'Daily KPI Entry'!Q449</f>
        <v>8</v>
      </c>
      <c r="R448" s="47" t="str">
        <f aca="false">IF(J448="","",Q448*J448)</f>
        <v/>
      </c>
      <c r="S448" s="49" t="n">
        <f aca="false">'Daily KPI Entry'!S449</f>
        <v>0</v>
      </c>
      <c r="T448" s="49" t="str">
        <f aca="false">IF(OR(R448="",S448=""),"",IFERROR(S448/R448*100,0))</f>
        <v/>
      </c>
      <c r="U448" s="49" t="str">
        <f aca="false">IF(OR(O448="",L448="",M448="",S448="",M448=0),"",IFERROR(O448/(L448*60*S448/(M448*36))*100,0))</f>
        <v/>
      </c>
      <c r="V448" s="49" t="n">
        <f aca="false">'Daily KPI Entry'!V449</f>
        <v>0</v>
      </c>
      <c r="W448" s="49" t="str">
        <f aca="false">IF(O448="","",IFERROR(V448/O448*100,0))</f>
        <v/>
      </c>
      <c r="X448" s="49" t="n">
        <f aca="false">'Daily KPI Entry'!X449</f>
        <v>0</v>
      </c>
      <c r="Y448" s="49" t="n">
        <f aca="false">'Daily KPI Entry'!Y449</f>
        <v>0</v>
      </c>
      <c r="Z448" s="49" t="n">
        <f aca="false">'Daily KPI Entry'!Z449</f>
        <v>0</v>
      </c>
      <c r="AA448" s="49" t="n">
        <f aca="false">'Daily KPI Entry'!AA449</f>
        <v>0</v>
      </c>
      <c r="AB448" s="49" t="n">
        <f aca="false">'Daily KPI Entry'!AB449</f>
        <v>0</v>
      </c>
      <c r="AC448" s="49" t="n">
        <f aca="false">'Daily KPI Entry'!AC449</f>
        <v>0</v>
      </c>
      <c r="AD448" s="49" t="n">
        <f aca="false">'Daily KPI Entry'!AD449</f>
        <v>0</v>
      </c>
      <c r="AE448" s="49" t="n">
        <f aca="false">'Daily KPI Entry'!AE449</f>
        <v>0</v>
      </c>
      <c r="AF448" s="47" t="str">
        <f aca="false">IF(O448="","",SUM(X448:AE448))</f>
        <v/>
      </c>
      <c r="AG448" s="49" t="str">
        <f aca="false">IF(O448="","",IFERROR(AF448/O448*1000,0))</f>
        <v/>
      </c>
      <c r="AH448" s="49" t="n">
        <f aca="false">'Daily KPI Entry'!AH449</f>
        <v>0</v>
      </c>
      <c r="AI448" s="49" t="n">
        <f aca="false">'Daily KPI Entry'!AI449</f>
        <v>0</v>
      </c>
      <c r="AJ448" s="49" t="n">
        <f aca="false">'Daily KPI Entry'!AJ449</f>
        <v>0</v>
      </c>
      <c r="AK448" s="47" t="n">
        <f aca="false">'Daily KPI Entry'!AK449</f>
        <v>0</v>
      </c>
      <c r="AL448" s="47" t="n">
        <f aca="false">'Daily KPI Entry'!AL449</f>
        <v>0</v>
      </c>
      <c r="AM448" s="47" t="n">
        <f aca="false">'Daily KPI Entry'!AM449</f>
        <v>0</v>
      </c>
      <c r="AN448" s="49" t="str">
        <f aca="false">IF(P448="","",MIN(120,P448))</f>
        <v/>
      </c>
      <c r="AO448" s="49" t="str">
        <f aca="false">IF(U448="","",MIN(120,U448))</f>
        <v/>
      </c>
      <c r="AP448" s="49" t="str">
        <f aca="false">IF(R448="","",MIN(120,IFERROR(S448/R448*100,0)))</f>
        <v/>
      </c>
      <c r="AQ448" s="49" t="str">
        <f aca="false">IF(W448="","",MIN(120,IF(W448=0,120,100*(INDEX('Standards &amp; Scoring'!$E$5:$E$13,MATCH("Quality / Rejection",'Standards &amp; Scoring'!$A$5:$A$13,0))/W448))))</f>
        <v/>
      </c>
      <c r="AR448" s="49" t="str">
        <f aca="false">IF(AG448="","",MIN(120,IF(AG448=0,120,100*(INDEX('Standards &amp; Scoring'!$E$5:$E$13,MATCH("Fault Control",'Standards &amp; Scoring'!$A$5:$A$13,0))/AG448))))</f>
        <v/>
      </c>
      <c r="AS448" s="49" t="str">
        <f aca="false">IF(O448="","",MIN(120,IF(SUMIFS('Fault &amp; Downtime Entry'!$L$6:$L$1005,'Fault &amp; Downtime Entry'!$E$6:$E$1005,G448,'Fault &amp; Downtime Entry'!$B$6:$B$1005,B448)=0,120,100*(INDEX('Standards &amp; Scoring'!$E$5:$E$13,MATCH("Downtime Control",'Standards &amp; Scoring'!$A$5:$A$13,0))/IFERROR(SUMIFS('Fault &amp; Downtime Entry'!$L$6:$L$1005,'Fault &amp; Downtime Entry'!$E$6:$E$1005,G448,'Fault &amp; Downtime Entry'!$B$6:$B$1005,B448)/O448*1000,999999)))))</f>
        <v/>
      </c>
      <c r="AT448" s="49" t="n">
        <f aca="false">IF(COUNTA(AH448,AJ448)=0,"",MIN(120,IF(AND(AH448&lt;&gt;"",AJ448&lt;&gt;""),AVERAGE(AH448,AJ448),IF(AH448&lt;&gt;"",AH448,AJ448))))</f>
        <v>0</v>
      </c>
      <c r="AU448" s="49" t="str">
        <f aca="false">IF(AI448="","",MIN(120,AI448))</f>
        <v/>
      </c>
      <c r="AV448" s="49" t="str">
        <f aca="false">IF(AJ448="","",MIN(120,AJ448))</f>
        <v/>
      </c>
      <c r="AW448" s="50" t="str">
        <f aca="false">IF(COUNT(AN448:AV448)&lt;9,"",(AN448*'Standards &amp; Scoring'!$D$5+AO448*'Standards &amp; Scoring'!$D$6+AP448*'Standards &amp; Scoring'!$D$7+AQ448*'Standards &amp; Scoring'!$D$8+AR448*'Standards &amp; Scoring'!$D$9+AS448*'Standards &amp; Scoring'!$D$10+AT448*'Standards &amp; Scoring'!$D$11+AU448*'Standards &amp; Scoring'!$D$12+AV448*'Standards &amp; Scoring'!$D$13)/10000)</f>
        <v/>
      </c>
      <c r="AX448" s="47" t="str">
        <f aca="false">IF(AW448="","",IF(AW448&gt;=1.05,"A+",IF(AW448&gt;=1,"A",IF(AW448&gt;=0.95,"B+",IF(AW448&gt;=0.9,"B","C")))))</f>
        <v/>
      </c>
      <c r="AY448" s="47" t="str">
        <f aca="false">IF(AX448="","",IF(AX448="A+",1800,IF(AX448="A",1600,IF(AX448="B+",1400,IF(AX448="B",1200,0)))))</f>
        <v/>
      </c>
      <c r="AZ448" s="49" t="str">
        <f aca="false">IF(OR(L448="",M448="",S448="",M448=0),"",IFERROR(L448*60*S448/(M448*36),0))</f>
        <v/>
      </c>
    </row>
    <row r="449" customFormat="false" ht="15" hidden="false" customHeight="true" outlineLevel="0" collapsed="false">
      <c r="A449" s="47" t="n">
        <f aca="false">'Daily KPI Entry'!A450</f>
        <v>0</v>
      </c>
      <c r="B449" s="48" t="n">
        <f aca="false">'Daily KPI Entry'!B450</f>
        <v>0</v>
      </c>
      <c r="C449" s="47" t="n">
        <f aca="false">'Daily KPI Entry'!C450</f>
        <v>0</v>
      </c>
      <c r="D449" s="47" t="n">
        <f aca="false">'Daily KPI Entry'!D450</f>
        <v>0</v>
      </c>
      <c r="E449" s="47" t="n">
        <f aca="false">'Daily KPI Entry'!E450</f>
        <v>0</v>
      </c>
      <c r="F449" s="47" t="n">
        <f aca="false">'Daily KPI Entry'!F450</f>
        <v>0</v>
      </c>
      <c r="G449" s="47" t="n">
        <f aca="false">'Daily KPI Entry'!G450</f>
        <v>0</v>
      </c>
      <c r="H449" s="47" t="str">
        <f aca="false">'Daily KPI Entry'!H450</f>
        <v/>
      </c>
      <c r="I449" s="47" t="n">
        <f aca="false">'Daily KPI Entry'!I450</f>
        <v>0</v>
      </c>
      <c r="J449" s="47" t="n">
        <f aca="false">'Daily KPI Entry'!J450</f>
        <v>0</v>
      </c>
      <c r="K449" s="47" t="n">
        <f aca="false">'Daily KPI Entry'!K450</f>
        <v>0</v>
      </c>
      <c r="L449" s="47" t="n">
        <f aca="false">'Daily KPI Entry'!L450</f>
        <v>0</v>
      </c>
      <c r="M449" s="47" t="n">
        <f aca="false">'Daily KPI Entry'!M450</f>
        <v>0</v>
      </c>
      <c r="N449" s="49" t="n">
        <f aca="false">'Daily KPI Entry'!N450</f>
        <v>0</v>
      </c>
      <c r="O449" s="49" t="n">
        <f aca="false">'Daily KPI Entry'!O450</f>
        <v>0</v>
      </c>
      <c r="P449" s="49" t="str">
        <f aca="false">IF(OR(N449="",O449=""),"",IFERROR(O449/N449*100,0))</f>
        <v/>
      </c>
      <c r="Q449" s="47" t="n">
        <f aca="false">'Daily KPI Entry'!Q450</f>
        <v>8</v>
      </c>
      <c r="R449" s="47" t="str">
        <f aca="false">IF(J449="","",Q449*J449)</f>
        <v/>
      </c>
      <c r="S449" s="49" t="n">
        <f aca="false">'Daily KPI Entry'!S450</f>
        <v>0</v>
      </c>
      <c r="T449" s="49" t="str">
        <f aca="false">IF(OR(R449="",S449=""),"",IFERROR(S449/R449*100,0))</f>
        <v/>
      </c>
      <c r="U449" s="49" t="str">
        <f aca="false">IF(OR(O449="",L449="",M449="",S449="",M449=0),"",IFERROR(O449/(L449*60*S449/(M449*36))*100,0))</f>
        <v/>
      </c>
      <c r="V449" s="49" t="n">
        <f aca="false">'Daily KPI Entry'!V450</f>
        <v>0</v>
      </c>
      <c r="W449" s="49" t="str">
        <f aca="false">IF(O449="","",IFERROR(V449/O449*100,0))</f>
        <v/>
      </c>
      <c r="X449" s="49" t="n">
        <f aca="false">'Daily KPI Entry'!X450</f>
        <v>0</v>
      </c>
      <c r="Y449" s="49" t="n">
        <f aca="false">'Daily KPI Entry'!Y450</f>
        <v>0</v>
      </c>
      <c r="Z449" s="49" t="n">
        <f aca="false">'Daily KPI Entry'!Z450</f>
        <v>0</v>
      </c>
      <c r="AA449" s="49" t="n">
        <f aca="false">'Daily KPI Entry'!AA450</f>
        <v>0</v>
      </c>
      <c r="AB449" s="49" t="n">
        <f aca="false">'Daily KPI Entry'!AB450</f>
        <v>0</v>
      </c>
      <c r="AC449" s="49" t="n">
        <f aca="false">'Daily KPI Entry'!AC450</f>
        <v>0</v>
      </c>
      <c r="AD449" s="49" t="n">
        <f aca="false">'Daily KPI Entry'!AD450</f>
        <v>0</v>
      </c>
      <c r="AE449" s="49" t="n">
        <f aca="false">'Daily KPI Entry'!AE450</f>
        <v>0</v>
      </c>
      <c r="AF449" s="47" t="str">
        <f aca="false">IF(O449="","",SUM(X449:AE449))</f>
        <v/>
      </c>
      <c r="AG449" s="49" t="str">
        <f aca="false">IF(O449="","",IFERROR(AF449/O449*1000,0))</f>
        <v/>
      </c>
      <c r="AH449" s="49" t="n">
        <f aca="false">'Daily KPI Entry'!AH450</f>
        <v>0</v>
      </c>
      <c r="AI449" s="49" t="n">
        <f aca="false">'Daily KPI Entry'!AI450</f>
        <v>0</v>
      </c>
      <c r="AJ449" s="49" t="n">
        <f aca="false">'Daily KPI Entry'!AJ450</f>
        <v>0</v>
      </c>
      <c r="AK449" s="47" t="n">
        <f aca="false">'Daily KPI Entry'!AK450</f>
        <v>0</v>
      </c>
      <c r="AL449" s="47" t="n">
        <f aca="false">'Daily KPI Entry'!AL450</f>
        <v>0</v>
      </c>
      <c r="AM449" s="47" t="n">
        <f aca="false">'Daily KPI Entry'!AM450</f>
        <v>0</v>
      </c>
      <c r="AN449" s="49" t="str">
        <f aca="false">IF(P449="","",MIN(120,P449))</f>
        <v/>
      </c>
      <c r="AO449" s="49" t="str">
        <f aca="false">IF(U449="","",MIN(120,U449))</f>
        <v/>
      </c>
      <c r="AP449" s="49" t="str">
        <f aca="false">IF(R449="","",MIN(120,IFERROR(S449/R449*100,0)))</f>
        <v/>
      </c>
      <c r="AQ449" s="49" t="str">
        <f aca="false">IF(W449="","",MIN(120,IF(W449=0,120,100*(INDEX('Standards &amp; Scoring'!$E$5:$E$13,MATCH("Quality / Rejection",'Standards &amp; Scoring'!$A$5:$A$13,0))/W449))))</f>
        <v/>
      </c>
      <c r="AR449" s="49" t="str">
        <f aca="false">IF(AG449="","",MIN(120,IF(AG449=0,120,100*(INDEX('Standards &amp; Scoring'!$E$5:$E$13,MATCH("Fault Control",'Standards &amp; Scoring'!$A$5:$A$13,0))/AG449))))</f>
        <v/>
      </c>
      <c r="AS449" s="49" t="str">
        <f aca="false">IF(O449="","",MIN(120,IF(SUMIFS('Fault &amp; Downtime Entry'!$L$6:$L$1005,'Fault &amp; Downtime Entry'!$E$6:$E$1005,G449,'Fault &amp; Downtime Entry'!$B$6:$B$1005,B449)=0,120,100*(INDEX('Standards &amp; Scoring'!$E$5:$E$13,MATCH("Downtime Control",'Standards &amp; Scoring'!$A$5:$A$13,0))/IFERROR(SUMIFS('Fault &amp; Downtime Entry'!$L$6:$L$1005,'Fault &amp; Downtime Entry'!$E$6:$E$1005,G449,'Fault &amp; Downtime Entry'!$B$6:$B$1005,B449)/O449*1000,999999)))))</f>
        <v/>
      </c>
      <c r="AT449" s="49" t="n">
        <f aca="false">IF(COUNTA(AH449,AJ449)=0,"",MIN(120,IF(AND(AH449&lt;&gt;"",AJ449&lt;&gt;""),AVERAGE(AH449,AJ449),IF(AH449&lt;&gt;"",AH449,AJ449))))</f>
        <v>0</v>
      </c>
      <c r="AU449" s="49" t="str">
        <f aca="false">IF(AI449="","",MIN(120,AI449))</f>
        <v/>
      </c>
      <c r="AV449" s="49" t="str">
        <f aca="false">IF(AJ449="","",MIN(120,AJ449))</f>
        <v/>
      </c>
      <c r="AW449" s="50" t="str">
        <f aca="false">IF(COUNT(AN449:AV449)&lt;9,"",(AN449*'Standards &amp; Scoring'!$D$5+AO449*'Standards &amp; Scoring'!$D$6+AP449*'Standards &amp; Scoring'!$D$7+AQ449*'Standards &amp; Scoring'!$D$8+AR449*'Standards &amp; Scoring'!$D$9+AS449*'Standards &amp; Scoring'!$D$10+AT449*'Standards &amp; Scoring'!$D$11+AU449*'Standards &amp; Scoring'!$D$12+AV449*'Standards &amp; Scoring'!$D$13)/10000)</f>
        <v/>
      </c>
      <c r="AX449" s="47" t="str">
        <f aca="false">IF(AW449="","",IF(AW449&gt;=1.05,"A+",IF(AW449&gt;=1,"A",IF(AW449&gt;=0.95,"B+",IF(AW449&gt;=0.9,"B","C")))))</f>
        <v/>
      </c>
      <c r="AY449" s="47" t="str">
        <f aca="false">IF(AX449="","",IF(AX449="A+",1800,IF(AX449="A",1600,IF(AX449="B+",1400,IF(AX449="B",1200,0)))))</f>
        <v/>
      </c>
      <c r="AZ449" s="49" t="str">
        <f aca="false">IF(OR(L449="",M449="",S449="",M449=0),"",IFERROR(L449*60*S449/(M449*36),0))</f>
        <v/>
      </c>
    </row>
    <row r="450" customFormat="false" ht="15" hidden="false" customHeight="true" outlineLevel="0" collapsed="false">
      <c r="A450" s="47" t="n">
        <f aca="false">'Daily KPI Entry'!A451</f>
        <v>0</v>
      </c>
      <c r="B450" s="48" t="n">
        <f aca="false">'Daily KPI Entry'!B451</f>
        <v>0</v>
      </c>
      <c r="C450" s="47" t="n">
        <f aca="false">'Daily KPI Entry'!C451</f>
        <v>0</v>
      </c>
      <c r="D450" s="47" t="n">
        <f aca="false">'Daily KPI Entry'!D451</f>
        <v>0</v>
      </c>
      <c r="E450" s="47" t="n">
        <f aca="false">'Daily KPI Entry'!E451</f>
        <v>0</v>
      </c>
      <c r="F450" s="47" t="n">
        <f aca="false">'Daily KPI Entry'!F451</f>
        <v>0</v>
      </c>
      <c r="G450" s="47" t="n">
        <f aca="false">'Daily KPI Entry'!G451</f>
        <v>0</v>
      </c>
      <c r="H450" s="47" t="str">
        <f aca="false">'Daily KPI Entry'!H451</f>
        <v/>
      </c>
      <c r="I450" s="47" t="n">
        <f aca="false">'Daily KPI Entry'!I451</f>
        <v>0</v>
      </c>
      <c r="J450" s="47" t="n">
        <f aca="false">'Daily KPI Entry'!J451</f>
        <v>0</v>
      </c>
      <c r="K450" s="47" t="n">
        <f aca="false">'Daily KPI Entry'!K451</f>
        <v>0</v>
      </c>
      <c r="L450" s="47" t="n">
        <f aca="false">'Daily KPI Entry'!L451</f>
        <v>0</v>
      </c>
      <c r="M450" s="47" t="n">
        <f aca="false">'Daily KPI Entry'!M451</f>
        <v>0</v>
      </c>
      <c r="N450" s="49" t="n">
        <f aca="false">'Daily KPI Entry'!N451</f>
        <v>0</v>
      </c>
      <c r="O450" s="49" t="n">
        <f aca="false">'Daily KPI Entry'!O451</f>
        <v>0</v>
      </c>
      <c r="P450" s="49" t="str">
        <f aca="false">IF(OR(N450="",O450=""),"",IFERROR(O450/N450*100,0))</f>
        <v/>
      </c>
      <c r="Q450" s="47" t="n">
        <f aca="false">'Daily KPI Entry'!Q451</f>
        <v>8</v>
      </c>
      <c r="R450" s="47" t="str">
        <f aca="false">IF(J450="","",Q450*J450)</f>
        <v/>
      </c>
      <c r="S450" s="49" t="n">
        <f aca="false">'Daily KPI Entry'!S451</f>
        <v>0</v>
      </c>
      <c r="T450" s="49" t="str">
        <f aca="false">IF(OR(R450="",S450=""),"",IFERROR(S450/R450*100,0))</f>
        <v/>
      </c>
      <c r="U450" s="49" t="str">
        <f aca="false">IF(OR(O450="",L450="",M450="",S450="",M450=0),"",IFERROR(O450/(L450*60*S450/(M450*36))*100,0))</f>
        <v/>
      </c>
      <c r="V450" s="49" t="n">
        <f aca="false">'Daily KPI Entry'!V451</f>
        <v>0</v>
      </c>
      <c r="W450" s="49" t="str">
        <f aca="false">IF(O450="","",IFERROR(V450/O450*100,0))</f>
        <v/>
      </c>
      <c r="X450" s="49" t="n">
        <f aca="false">'Daily KPI Entry'!X451</f>
        <v>0</v>
      </c>
      <c r="Y450" s="49" t="n">
        <f aca="false">'Daily KPI Entry'!Y451</f>
        <v>0</v>
      </c>
      <c r="Z450" s="49" t="n">
        <f aca="false">'Daily KPI Entry'!Z451</f>
        <v>0</v>
      </c>
      <c r="AA450" s="49" t="n">
        <f aca="false">'Daily KPI Entry'!AA451</f>
        <v>0</v>
      </c>
      <c r="AB450" s="49" t="n">
        <f aca="false">'Daily KPI Entry'!AB451</f>
        <v>0</v>
      </c>
      <c r="AC450" s="49" t="n">
        <f aca="false">'Daily KPI Entry'!AC451</f>
        <v>0</v>
      </c>
      <c r="AD450" s="49" t="n">
        <f aca="false">'Daily KPI Entry'!AD451</f>
        <v>0</v>
      </c>
      <c r="AE450" s="49" t="n">
        <f aca="false">'Daily KPI Entry'!AE451</f>
        <v>0</v>
      </c>
      <c r="AF450" s="47" t="str">
        <f aca="false">IF(O450="","",SUM(X450:AE450))</f>
        <v/>
      </c>
      <c r="AG450" s="49" t="str">
        <f aca="false">IF(O450="","",IFERROR(AF450/O450*1000,0))</f>
        <v/>
      </c>
      <c r="AH450" s="49" t="n">
        <f aca="false">'Daily KPI Entry'!AH451</f>
        <v>0</v>
      </c>
      <c r="AI450" s="49" t="n">
        <f aca="false">'Daily KPI Entry'!AI451</f>
        <v>0</v>
      </c>
      <c r="AJ450" s="49" t="n">
        <f aca="false">'Daily KPI Entry'!AJ451</f>
        <v>0</v>
      </c>
      <c r="AK450" s="47" t="n">
        <f aca="false">'Daily KPI Entry'!AK451</f>
        <v>0</v>
      </c>
      <c r="AL450" s="47" t="n">
        <f aca="false">'Daily KPI Entry'!AL451</f>
        <v>0</v>
      </c>
      <c r="AM450" s="47" t="n">
        <f aca="false">'Daily KPI Entry'!AM451</f>
        <v>0</v>
      </c>
      <c r="AN450" s="49" t="str">
        <f aca="false">IF(P450="","",MIN(120,P450))</f>
        <v/>
      </c>
      <c r="AO450" s="49" t="str">
        <f aca="false">IF(U450="","",MIN(120,U450))</f>
        <v/>
      </c>
      <c r="AP450" s="49" t="str">
        <f aca="false">IF(R450="","",MIN(120,IFERROR(S450/R450*100,0)))</f>
        <v/>
      </c>
      <c r="AQ450" s="49" t="str">
        <f aca="false">IF(W450="","",MIN(120,IF(W450=0,120,100*(INDEX('Standards &amp; Scoring'!$E$5:$E$13,MATCH("Quality / Rejection",'Standards &amp; Scoring'!$A$5:$A$13,0))/W450))))</f>
        <v/>
      </c>
      <c r="AR450" s="49" t="str">
        <f aca="false">IF(AG450="","",MIN(120,IF(AG450=0,120,100*(INDEX('Standards &amp; Scoring'!$E$5:$E$13,MATCH("Fault Control",'Standards &amp; Scoring'!$A$5:$A$13,0))/AG450))))</f>
        <v/>
      </c>
      <c r="AS450" s="49" t="str">
        <f aca="false">IF(O450="","",MIN(120,IF(SUMIFS('Fault &amp; Downtime Entry'!$L$6:$L$1005,'Fault &amp; Downtime Entry'!$E$6:$E$1005,G450,'Fault &amp; Downtime Entry'!$B$6:$B$1005,B450)=0,120,100*(INDEX('Standards &amp; Scoring'!$E$5:$E$13,MATCH("Downtime Control",'Standards &amp; Scoring'!$A$5:$A$13,0))/IFERROR(SUMIFS('Fault &amp; Downtime Entry'!$L$6:$L$1005,'Fault &amp; Downtime Entry'!$E$6:$E$1005,G450,'Fault &amp; Downtime Entry'!$B$6:$B$1005,B450)/O450*1000,999999)))))</f>
        <v/>
      </c>
      <c r="AT450" s="49" t="n">
        <f aca="false">IF(COUNTA(AH450,AJ450)=0,"",MIN(120,IF(AND(AH450&lt;&gt;"",AJ450&lt;&gt;""),AVERAGE(AH450,AJ450),IF(AH450&lt;&gt;"",AH450,AJ450))))</f>
        <v>0</v>
      </c>
      <c r="AU450" s="49" t="str">
        <f aca="false">IF(AI450="","",MIN(120,AI450))</f>
        <v/>
      </c>
      <c r="AV450" s="49" t="str">
        <f aca="false">IF(AJ450="","",MIN(120,AJ450))</f>
        <v/>
      </c>
      <c r="AW450" s="50" t="str">
        <f aca="false">IF(COUNT(AN450:AV450)&lt;9,"",(AN450*'Standards &amp; Scoring'!$D$5+AO450*'Standards &amp; Scoring'!$D$6+AP450*'Standards &amp; Scoring'!$D$7+AQ450*'Standards &amp; Scoring'!$D$8+AR450*'Standards &amp; Scoring'!$D$9+AS450*'Standards &amp; Scoring'!$D$10+AT450*'Standards &amp; Scoring'!$D$11+AU450*'Standards &amp; Scoring'!$D$12+AV450*'Standards &amp; Scoring'!$D$13)/10000)</f>
        <v/>
      </c>
      <c r="AX450" s="47" t="str">
        <f aca="false">IF(AW450="","",IF(AW450&gt;=1.05,"A+",IF(AW450&gt;=1,"A",IF(AW450&gt;=0.95,"B+",IF(AW450&gt;=0.9,"B","C")))))</f>
        <v/>
      </c>
      <c r="AY450" s="47" t="str">
        <f aca="false">IF(AX450="","",IF(AX450="A+",1800,IF(AX450="A",1600,IF(AX450="B+",1400,IF(AX450="B",1200,0)))))</f>
        <v/>
      </c>
      <c r="AZ450" s="49" t="str">
        <f aca="false">IF(OR(L450="",M450="",S450="",M450=0),"",IFERROR(L450*60*S450/(M450*36),0))</f>
        <v/>
      </c>
    </row>
    <row r="451" customFormat="false" ht="15" hidden="false" customHeight="true" outlineLevel="0" collapsed="false">
      <c r="A451" s="47" t="n">
        <f aca="false">'Daily KPI Entry'!A452</f>
        <v>0</v>
      </c>
      <c r="B451" s="48" t="n">
        <f aca="false">'Daily KPI Entry'!B452</f>
        <v>0</v>
      </c>
      <c r="C451" s="47" t="n">
        <f aca="false">'Daily KPI Entry'!C452</f>
        <v>0</v>
      </c>
      <c r="D451" s="47" t="n">
        <f aca="false">'Daily KPI Entry'!D452</f>
        <v>0</v>
      </c>
      <c r="E451" s="47" t="n">
        <f aca="false">'Daily KPI Entry'!E452</f>
        <v>0</v>
      </c>
      <c r="F451" s="47" t="n">
        <f aca="false">'Daily KPI Entry'!F452</f>
        <v>0</v>
      </c>
      <c r="G451" s="47" t="n">
        <f aca="false">'Daily KPI Entry'!G452</f>
        <v>0</v>
      </c>
      <c r="H451" s="47" t="str">
        <f aca="false">'Daily KPI Entry'!H452</f>
        <v/>
      </c>
      <c r="I451" s="47" t="n">
        <f aca="false">'Daily KPI Entry'!I452</f>
        <v>0</v>
      </c>
      <c r="J451" s="47" t="n">
        <f aca="false">'Daily KPI Entry'!J452</f>
        <v>0</v>
      </c>
      <c r="K451" s="47" t="n">
        <f aca="false">'Daily KPI Entry'!K452</f>
        <v>0</v>
      </c>
      <c r="L451" s="47" t="n">
        <f aca="false">'Daily KPI Entry'!L452</f>
        <v>0</v>
      </c>
      <c r="M451" s="47" t="n">
        <f aca="false">'Daily KPI Entry'!M452</f>
        <v>0</v>
      </c>
      <c r="N451" s="49" t="n">
        <f aca="false">'Daily KPI Entry'!N452</f>
        <v>0</v>
      </c>
      <c r="O451" s="49" t="n">
        <f aca="false">'Daily KPI Entry'!O452</f>
        <v>0</v>
      </c>
      <c r="P451" s="49" t="str">
        <f aca="false">IF(OR(N451="",O451=""),"",IFERROR(O451/N451*100,0))</f>
        <v/>
      </c>
      <c r="Q451" s="47" t="n">
        <f aca="false">'Daily KPI Entry'!Q452</f>
        <v>8</v>
      </c>
      <c r="R451" s="47" t="str">
        <f aca="false">IF(J451="","",Q451*J451)</f>
        <v/>
      </c>
      <c r="S451" s="49" t="n">
        <f aca="false">'Daily KPI Entry'!S452</f>
        <v>0</v>
      </c>
      <c r="T451" s="49" t="str">
        <f aca="false">IF(OR(R451="",S451=""),"",IFERROR(S451/R451*100,0))</f>
        <v/>
      </c>
      <c r="U451" s="49" t="str">
        <f aca="false">IF(OR(O451="",L451="",M451="",S451="",M451=0),"",IFERROR(O451/(L451*60*S451/(M451*36))*100,0))</f>
        <v/>
      </c>
      <c r="V451" s="49" t="n">
        <f aca="false">'Daily KPI Entry'!V452</f>
        <v>0</v>
      </c>
      <c r="W451" s="49" t="str">
        <f aca="false">IF(O451="","",IFERROR(V451/O451*100,0))</f>
        <v/>
      </c>
      <c r="X451" s="49" t="n">
        <f aca="false">'Daily KPI Entry'!X452</f>
        <v>0</v>
      </c>
      <c r="Y451" s="49" t="n">
        <f aca="false">'Daily KPI Entry'!Y452</f>
        <v>0</v>
      </c>
      <c r="Z451" s="49" t="n">
        <f aca="false">'Daily KPI Entry'!Z452</f>
        <v>0</v>
      </c>
      <c r="AA451" s="49" t="n">
        <f aca="false">'Daily KPI Entry'!AA452</f>
        <v>0</v>
      </c>
      <c r="AB451" s="49" t="n">
        <f aca="false">'Daily KPI Entry'!AB452</f>
        <v>0</v>
      </c>
      <c r="AC451" s="49" t="n">
        <f aca="false">'Daily KPI Entry'!AC452</f>
        <v>0</v>
      </c>
      <c r="AD451" s="49" t="n">
        <f aca="false">'Daily KPI Entry'!AD452</f>
        <v>0</v>
      </c>
      <c r="AE451" s="49" t="n">
        <f aca="false">'Daily KPI Entry'!AE452</f>
        <v>0</v>
      </c>
      <c r="AF451" s="47" t="str">
        <f aca="false">IF(O451="","",SUM(X451:AE451))</f>
        <v/>
      </c>
      <c r="AG451" s="49" t="str">
        <f aca="false">IF(O451="","",IFERROR(AF451/O451*1000,0))</f>
        <v/>
      </c>
      <c r="AH451" s="49" t="n">
        <f aca="false">'Daily KPI Entry'!AH452</f>
        <v>0</v>
      </c>
      <c r="AI451" s="49" t="n">
        <f aca="false">'Daily KPI Entry'!AI452</f>
        <v>0</v>
      </c>
      <c r="AJ451" s="49" t="n">
        <f aca="false">'Daily KPI Entry'!AJ452</f>
        <v>0</v>
      </c>
      <c r="AK451" s="47" t="n">
        <f aca="false">'Daily KPI Entry'!AK452</f>
        <v>0</v>
      </c>
      <c r="AL451" s="47" t="n">
        <f aca="false">'Daily KPI Entry'!AL452</f>
        <v>0</v>
      </c>
      <c r="AM451" s="47" t="n">
        <f aca="false">'Daily KPI Entry'!AM452</f>
        <v>0</v>
      </c>
      <c r="AN451" s="49" t="str">
        <f aca="false">IF(P451="","",MIN(120,P451))</f>
        <v/>
      </c>
      <c r="AO451" s="49" t="str">
        <f aca="false">IF(U451="","",MIN(120,U451))</f>
        <v/>
      </c>
      <c r="AP451" s="49" t="str">
        <f aca="false">IF(R451="","",MIN(120,IFERROR(S451/R451*100,0)))</f>
        <v/>
      </c>
      <c r="AQ451" s="49" t="str">
        <f aca="false">IF(W451="","",MIN(120,IF(W451=0,120,100*(INDEX('Standards &amp; Scoring'!$E$5:$E$13,MATCH("Quality / Rejection",'Standards &amp; Scoring'!$A$5:$A$13,0))/W451))))</f>
        <v/>
      </c>
      <c r="AR451" s="49" t="str">
        <f aca="false">IF(AG451="","",MIN(120,IF(AG451=0,120,100*(INDEX('Standards &amp; Scoring'!$E$5:$E$13,MATCH("Fault Control",'Standards &amp; Scoring'!$A$5:$A$13,0))/AG451))))</f>
        <v/>
      </c>
      <c r="AS451" s="49" t="str">
        <f aca="false">IF(O451="","",MIN(120,IF(SUMIFS('Fault &amp; Downtime Entry'!$L$6:$L$1005,'Fault &amp; Downtime Entry'!$E$6:$E$1005,G451,'Fault &amp; Downtime Entry'!$B$6:$B$1005,B451)=0,120,100*(INDEX('Standards &amp; Scoring'!$E$5:$E$13,MATCH("Downtime Control",'Standards &amp; Scoring'!$A$5:$A$13,0))/IFERROR(SUMIFS('Fault &amp; Downtime Entry'!$L$6:$L$1005,'Fault &amp; Downtime Entry'!$E$6:$E$1005,G451,'Fault &amp; Downtime Entry'!$B$6:$B$1005,B451)/O451*1000,999999)))))</f>
        <v/>
      </c>
      <c r="AT451" s="49" t="n">
        <f aca="false">IF(COUNTA(AH451,AJ451)=0,"",MIN(120,IF(AND(AH451&lt;&gt;"",AJ451&lt;&gt;""),AVERAGE(AH451,AJ451),IF(AH451&lt;&gt;"",AH451,AJ451))))</f>
        <v>0</v>
      </c>
      <c r="AU451" s="49" t="str">
        <f aca="false">IF(AI451="","",MIN(120,AI451))</f>
        <v/>
      </c>
      <c r="AV451" s="49" t="str">
        <f aca="false">IF(AJ451="","",MIN(120,AJ451))</f>
        <v/>
      </c>
      <c r="AW451" s="50" t="str">
        <f aca="false">IF(COUNT(AN451:AV451)&lt;9,"",(AN451*'Standards &amp; Scoring'!$D$5+AO451*'Standards &amp; Scoring'!$D$6+AP451*'Standards &amp; Scoring'!$D$7+AQ451*'Standards &amp; Scoring'!$D$8+AR451*'Standards &amp; Scoring'!$D$9+AS451*'Standards &amp; Scoring'!$D$10+AT451*'Standards &amp; Scoring'!$D$11+AU451*'Standards &amp; Scoring'!$D$12+AV451*'Standards &amp; Scoring'!$D$13)/10000)</f>
        <v/>
      </c>
      <c r="AX451" s="47" t="str">
        <f aca="false">IF(AW451="","",IF(AW451&gt;=1.05,"A+",IF(AW451&gt;=1,"A",IF(AW451&gt;=0.95,"B+",IF(AW451&gt;=0.9,"B","C")))))</f>
        <v/>
      </c>
      <c r="AY451" s="47" t="str">
        <f aca="false">IF(AX451="","",IF(AX451="A+",1800,IF(AX451="A",1600,IF(AX451="B+",1400,IF(AX451="B",1200,0)))))</f>
        <v/>
      </c>
      <c r="AZ451" s="49" t="str">
        <f aca="false">IF(OR(L451="",M451="",S451="",M451=0),"",IFERROR(L451*60*S451/(M451*36),0))</f>
        <v/>
      </c>
    </row>
    <row r="452" customFormat="false" ht="15" hidden="false" customHeight="true" outlineLevel="0" collapsed="false">
      <c r="A452" s="47" t="n">
        <f aca="false">'Daily KPI Entry'!A453</f>
        <v>0</v>
      </c>
      <c r="B452" s="48" t="n">
        <f aca="false">'Daily KPI Entry'!B453</f>
        <v>0</v>
      </c>
      <c r="C452" s="47" t="n">
        <f aca="false">'Daily KPI Entry'!C453</f>
        <v>0</v>
      </c>
      <c r="D452" s="47" t="n">
        <f aca="false">'Daily KPI Entry'!D453</f>
        <v>0</v>
      </c>
      <c r="E452" s="47" t="n">
        <f aca="false">'Daily KPI Entry'!E453</f>
        <v>0</v>
      </c>
      <c r="F452" s="47" t="n">
        <f aca="false">'Daily KPI Entry'!F453</f>
        <v>0</v>
      </c>
      <c r="G452" s="47" t="n">
        <f aca="false">'Daily KPI Entry'!G453</f>
        <v>0</v>
      </c>
      <c r="H452" s="47" t="str">
        <f aca="false">'Daily KPI Entry'!H453</f>
        <v/>
      </c>
      <c r="I452" s="47" t="n">
        <f aca="false">'Daily KPI Entry'!I453</f>
        <v>0</v>
      </c>
      <c r="J452" s="47" t="n">
        <f aca="false">'Daily KPI Entry'!J453</f>
        <v>0</v>
      </c>
      <c r="K452" s="47" t="n">
        <f aca="false">'Daily KPI Entry'!K453</f>
        <v>0</v>
      </c>
      <c r="L452" s="47" t="n">
        <f aca="false">'Daily KPI Entry'!L453</f>
        <v>0</v>
      </c>
      <c r="M452" s="47" t="n">
        <f aca="false">'Daily KPI Entry'!M453</f>
        <v>0</v>
      </c>
      <c r="N452" s="49" t="n">
        <f aca="false">'Daily KPI Entry'!N453</f>
        <v>0</v>
      </c>
      <c r="O452" s="49" t="n">
        <f aca="false">'Daily KPI Entry'!O453</f>
        <v>0</v>
      </c>
      <c r="P452" s="49" t="str">
        <f aca="false">IF(OR(N452="",O452=""),"",IFERROR(O452/N452*100,0))</f>
        <v/>
      </c>
      <c r="Q452" s="47" t="n">
        <f aca="false">'Daily KPI Entry'!Q453</f>
        <v>8</v>
      </c>
      <c r="R452" s="47" t="str">
        <f aca="false">IF(J452="","",Q452*J452)</f>
        <v/>
      </c>
      <c r="S452" s="49" t="n">
        <f aca="false">'Daily KPI Entry'!S453</f>
        <v>0</v>
      </c>
      <c r="T452" s="49" t="str">
        <f aca="false">IF(OR(R452="",S452=""),"",IFERROR(S452/R452*100,0))</f>
        <v/>
      </c>
      <c r="U452" s="49" t="str">
        <f aca="false">IF(OR(O452="",L452="",M452="",S452="",M452=0),"",IFERROR(O452/(L452*60*S452/(M452*36))*100,0))</f>
        <v/>
      </c>
      <c r="V452" s="49" t="n">
        <f aca="false">'Daily KPI Entry'!V453</f>
        <v>0</v>
      </c>
      <c r="W452" s="49" t="str">
        <f aca="false">IF(O452="","",IFERROR(V452/O452*100,0))</f>
        <v/>
      </c>
      <c r="X452" s="49" t="n">
        <f aca="false">'Daily KPI Entry'!X453</f>
        <v>0</v>
      </c>
      <c r="Y452" s="49" t="n">
        <f aca="false">'Daily KPI Entry'!Y453</f>
        <v>0</v>
      </c>
      <c r="Z452" s="49" t="n">
        <f aca="false">'Daily KPI Entry'!Z453</f>
        <v>0</v>
      </c>
      <c r="AA452" s="49" t="n">
        <f aca="false">'Daily KPI Entry'!AA453</f>
        <v>0</v>
      </c>
      <c r="AB452" s="49" t="n">
        <f aca="false">'Daily KPI Entry'!AB453</f>
        <v>0</v>
      </c>
      <c r="AC452" s="49" t="n">
        <f aca="false">'Daily KPI Entry'!AC453</f>
        <v>0</v>
      </c>
      <c r="AD452" s="49" t="n">
        <f aca="false">'Daily KPI Entry'!AD453</f>
        <v>0</v>
      </c>
      <c r="AE452" s="49" t="n">
        <f aca="false">'Daily KPI Entry'!AE453</f>
        <v>0</v>
      </c>
      <c r="AF452" s="47" t="str">
        <f aca="false">IF(O452="","",SUM(X452:AE452))</f>
        <v/>
      </c>
      <c r="AG452" s="49" t="str">
        <f aca="false">IF(O452="","",IFERROR(AF452/O452*1000,0))</f>
        <v/>
      </c>
      <c r="AH452" s="49" t="n">
        <f aca="false">'Daily KPI Entry'!AH453</f>
        <v>0</v>
      </c>
      <c r="AI452" s="49" t="n">
        <f aca="false">'Daily KPI Entry'!AI453</f>
        <v>0</v>
      </c>
      <c r="AJ452" s="49" t="n">
        <f aca="false">'Daily KPI Entry'!AJ453</f>
        <v>0</v>
      </c>
      <c r="AK452" s="47" t="n">
        <f aca="false">'Daily KPI Entry'!AK453</f>
        <v>0</v>
      </c>
      <c r="AL452" s="47" t="n">
        <f aca="false">'Daily KPI Entry'!AL453</f>
        <v>0</v>
      </c>
      <c r="AM452" s="47" t="n">
        <f aca="false">'Daily KPI Entry'!AM453</f>
        <v>0</v>
      </c>
      <c r="AN452" s="49" t="str">
        <f aca="false">IF(P452="","",MIN(120,P452))</f>
        <v/>
      </c>
      <c r="AO452" s="49" t="str">
        <f aca="false">IF(U452="","",MIN(120,U452))</f>
        <v/>
      </c>
      <c r="AP452" s="49" t="str">
        <f aca="false">IF(R452="","",MIN(120,IFERROR(S452/R452*100,0)))</f>
        <v/>
      </c>
      <c r="AQ452" s="49" t="str">
        <f aca="false">IF(W452="","",MIN(120,IF(W452=0,120,100*(INDEX('Standards &amp; Scoring'!$E$5:$E$13,MATCH("Quality / Rejection",'Standards &amp; Scoring'!$A$5:$A$13,0))/W452))))</f>
        <v/>
      </c>
      <c r="AR452" s="49" t="str">
        <f aca="false">IF(AG452="","",MIN(120,IF(AG452=0,120,100*(INDEX('Standards &amp; Scoring'!$E$5:$E$13,MATCH("Fault Control",'Standards &amp; Scoring'!$A$5:$A$13,0))/AG452))))</f>
        <v/>
      </c>
      <c r="AS452" s="49" t="str">
        <f aca="false">IF(O452="","",MIN(120,IF(SUMIFS('Fault &amp; Downtime Entry'!$L$6:$L$1005,'Fault &amp; Downtime Entry'!$E$6:$E$1005,G452,'Fault &amp; Downtime Entry'!$B$6:$B$1005,B452)=0,120,100*(INDEX('Standards &amp; Scoring'!$E$5:$E$13,MATCH("Downtime Control",'Standards &amp; Scoring'!$A$5:$A$13,0))/IFERROR(SUMIFS('Fault &amp; Downtime Entry'!$L$6:$L$1005,'Fault &amp; Downtime Entry'!$E$6:$E$1005,G452,'Fault &amp; Downtime Entry'!$B$6:$B$1005,B452)/O452*1000,999999)))))</f>
        <v/>
      </c>
      <c r="AT452" s="49" t="n">
        <f aca="false">IF(COUNTA(AH452,AJ452)=0,"",MIN(120,IF(AND(AH452&lt;&gt;"",AJ452&lt;&gt;""),AVERAGE(AH452,AJ452),IF(AH452&lt;&gt;"",AH452,AJ452))))</f>
        <v>0</v>
      </c>
      <c r="AU452" s="49" t="str">
        <f aca="false">IF(AI452="","",MIN(120,AI452))</f>
        <v/>
      </c>
      <c r="AV452" s="49" t="str">
        <f aca="false">IF(AJ452="","",MIN(120,AJ452))</f>
        <v/>
      </c>
      <c r="AW452" s="50" t="str">
        <f aca="false">IF(COUNT(AN452:AV452)&lt;9,"",(AN452*'Standards &amp; Scoring'!$D$5+AO452*'Standards &amp; Scoring'!$D$6+AP452*'Standards &amp; Scoring'!$D$7+AQ452*'Standards &amp; Scoring'!$D$8+AR452*'Standards &amp; Scoring'!$D$9+AS452*'Standards &amp; Scoring'!$D$10+AT452*'Standards &amp; Scoring'!$D$11+AU452*'Standards &amp; Scoring'!$D$12+AV452*'Standards &amp; Scoring'!$D$13)/10000)</f>
        <v/>
      </c>
      <c r="AX452" s="47" t="str">
        <f aca="false">IF(AW452="","",IF(AW452&gt;=1.05,"A+",IF(AW452&gt;=1,"A",IF(AW452&gt;=0.95,"B+",IF(AW452&gt;=0.9,"B","C")))))</f>
        <v/>
      </c>
      <c r="AY452" s="47" t="str">
        <f aca="false">IF(AX452="","",IF(AX452="A+",1800,IF(AX452="A",1600,IF(AX452="B+",1400,IF(AX452="B",1200,0)))))</f>
        <v/>
      </c>
      <c r="AZ452" s="49" t="str">
        <f aca="false">IF(OR(L452="",M452="",S452="",M452=0),"",IFERROR(L452*60*S452/(M452*36),0))</f>
        <v/>
      </c>
    </row>
    <row r="453" customFormat="false" ht="15" hidden="false" customHeight="true" outlineLevel="0" collapsed="false">
      <c r="A453" s="47" t="n">
        <f aca="false">'Daily KPI Entry'!A454</f>
        <v>0</v>
      </c>
      <c r="B453" s="48" t="n">
        <f aca="false">'Daily KPI Entry'!B454</f>
        <v>0</v>
      </c>
      <c r="C453" s="47" t="n">
        <f aca="false">'Daily KPI Entry'!C454</f>
        <v>0</v>
      </c>
      <c r="D453" s="47" t="n">
        <f aca="false">'Daily KPI Entry'!D454</f>
        <v>0</v>
      </c>
      <c r="E453" s="47" t="n">
        <f aca="false">'Daily KPI Entry'!E454</f>
        <v>0</v>
      </c>
      <c r="F453" s="47" t="n">
        <f aca="false">'Daily KPI Entry'!F454</f>
        <v>0</v>
      </c>
      <c r="G453" s="47" t="n">
        <f aca="false">'Daily KPI Entry'!G454</f>
        <v>0</v>
      </c>
      <c r="H453" s="47" t="str">
        <f aca="false">'Daily KPI Entry'!H454</f>
        <v/>
      </c>
      <c r="I453" s="47" t="n">
        <f aca="false">'Daily KPI Entry'!I454</f>
        <v>0</v>
      </c>
      <c r="J453" s="47" t="n">
        <f aca="false">'Daily KPI Entry'!J454</f>
        <v>0</v>
      </c>
      <c r="K453" s="47" t="n">
        <f aca="false">'Daily KPI Entry'!K454</f>
        <v>0</v>
      </c>
      <c r="L453" s="47" t="n">
        <f aca="false">'Daily KPI Entry'!L454</f>
        <v>0</v>
      </c>
      <c r="M453" s="47" t="n">
        <f aca="false">'Daily KPI Entry'!M454</f>
        <v>0</v>
      </c>
      <c r="N453" s="49" t="n">
        <f aca="false">'Daily KPI Entry'!N454</f>
        <v>0</v>
      </c>
      <c r="O453" s="49" t="n">
        <f aca="false">'Daily KPI Entry'!O454</f>
        <v>0</v>
      </c>
      <c r="P453" s="49" t="str">
        <f aca="false">IF(OR(N453="",O453=""),"",IFERROR(O453/N453*100,0))</f>
        <v/>
      </c>
      <c r="Q453" s="47" t="n">
        <f aca="false">'Daily KPI Entry'!Q454</f>
        <v>8</v>
      </c>
      <c r="R453" s="47" t="str">
        <f aca="false">IF(J453="","",Q453*J453)</f>
        <v/>
      </c>
      <c r="S453" s="49" t="n">
        <f aca="false">'Daily KPI Entry'!S454</f>
        <v>0</v>
      </c>
      <c r="T453" s="49" t="str">
        <f aca="false">IF(OR(R453="",S453=""),"",IFERROR(S453/R453*100,0))</f>
        <v/>
      </c>
      <c r="U453" s="49" t="str">
        <f aca="false">IF(OR(O453="",L453="",M453="",S453="",M453=0),"",IFERROR(O453/(L453*60*S453/(M453*36))*100,0))</f>
        <v/>
      </c>
      <c r="V453" s="49" t="n">
        <f aca="false">'Daily KPI Entry'!V454</f>
        <v>0</v>
      </c>
      <c r="W453" s="49" t="str">
        <f aca="false">IF(O453="","",IFERROR(V453/O453*100,0))</f>
        <v/>
      </c>
      <c r="X453" s="49" t="n">
        <f aca="false">'Daily KPI Entry'!X454</f>
        <v>0</v>
      </c>
      <c r="Y453" s="49" t="n">
        <f aca="false">'Daily KPI Entry'!Y454</f>
        <v>0</v>
      </c>
      <c r="Z453" s="49" t="n">
        <f aca="false">'Daily KPI Entry'!Z454</f>
        <v>0</v>
      </c>
      <c r="AA453" s="49" t="n">
        <f aca="false">'Daily KPI Entry'!AA454</f>
        <v>0</v>
      </c>
      <c r="AB453" s="49" t="n">
        <f aca="false">'Daily KPI Entry'!AB454</f>
        <v>0</v>
      </c>
      <c r="AC453" s="49" t="n">
        <f aca="false">'Daily KPI Entry'!AC454</f>
        <v>0</v>
      </c>
      <c r="AD453" s="49" t="n">
        <f aca="false">'Daily KPI Entry'!AD454</f>
        <v>0</v>
      </c>
      <c r="AE453" s="49" t="n">
        <f aca="false">'Daily KPI Entry'!AE454</f>
        <v>0</v>
      </c>
      <c r="AF453" s="47" t="str">
        <f aca="false">IF(O453="","",SUM(X453:AE453))</f>
        <v/>
      </c>
      <c r="AG453" s="49" t="str">
        <f aca="false">IF(O453="","",IFERROR(AF453/O453*1000,0))</f>
        <v/>
      </c>
      <c r="AH453" s="49" t="n">
        <f aca="false">'Daily KPI Entry'!AH454</f>
        <v>0</v>
      </c>
      <c r="AI453" s="49" t="n">
        <f aca="false">'Daily KPI Entry'!AI454</f>
        <v>0</v>
      </c>
      <c r="AJ453" s="49" t="n">
        <f aca="false">'Daily KPI Entry'!AJ454</f>
        <v>0</v>
      </c>
      <c r="AK453" s="47" t="n">
        <f aca="false">'Daily KPI Entry'!AK454</f>
        <v>0</v>
      </c>
      <c r="AL453" s="47" t="n">
        <f aca="false">'Daily KPI Entry'!AL454</f>
        <v>0</v>
      </c>
      <c r="AM453" s="47" t="n">
        <f aca="false">'Daily KPI Entry'!AM454</f>
        <v>0</v>
      </c>
      <c r="AN453" s="49" t="str">
        <f aca="false">IF(P453="","",MIN(120,P453))</f>
        <v/>
      </c>
      <c r="AO453" s="49" t="str">
        <f aca="false">IF(U453="","",MIN(120,U453))</f>
        <v/>
      </c>
      <c r="AP453" s="49" t="str">
        <f aca="false">IF(R453="","",MIN(120,IFERROR(S453/R453*100,0)))</f>
        <v/>
      </c>
      <c r="AQ453" s="49" t="str">
        <f aca="false">IF(W453="","",MIN(120,IF(W453=0,120,100*(INDEX('Standards &amp; Scoring'!$E$5:$E$13,MATCH("Quality / Rejection",'Standards &amp; Scoring'!$A$5:$A$13,0))/W453))))</f>
        <v/>
      </c>
      <c r="AR453" s="49" t="str">
        <f aca="false">IF(AG453="","",MIN(120,IF(AG453=0,120,100*(INDEX('Standards &amp; Scoring'!$E$5:$E$13,MATCH("Fault Control",'Standards &amp; Scoring'!$A$5:$A$13,0))/AG453))))</f>
        <v/>
      </c>
      <c r="AS453" s="49" t="str">
        <f aca="false">IF(O453="","",MIN(120,IF(SUMIFS('Fault &amp; Downtime Entry'!$L$6:$L$1005,'Fault &amp; Downtime Entry'!$E$6:$E$1005,G453,'Fault &amp; Downtime Entry'!$B$6:$B$1005,B453)=0,120,100*(INDEX('Standards &amp; Scoring'!$E$5:$E$13,MATCH("Downtime Control",'Standards &amp; Scoring'!$A$5:$A$13,0))/IFERROR(SUMIFS('Fault &amp; Downtime Entry'!$L$6:$L$1005,'Fault &amp; Downtime Entry'!$E$6:$E$1005,G453,'Fault &amp; Downtime Entry'!$B$6:$B$1005,B453)/O453*1000,999999)))))</f>
        <v/>
      </c>
      <c r="AT453" s="49" t="n">
        <f aca="false">IF(COUNTA(AH453,AJ453)=0,"",MIN(120,IF(AND(AH453&lt;&gt;"",AJ453&lt;&gt;""),AVERAGE(AH453,AJ453),IF(AH453&lt;&gt;"",AH453,AJ453))))</f>
        <v>0</v>
      </c>
      <c r="AU453" s="49" t="str">
        <f aca="false">IF(AI453="","",MIN(120,AI453))</f>
        <v/>
      </c>
      <c r="AV453" s="49" t="str">
        <f aca="false">IF(AJ453="","",MIN(120,AJ453))</f>
        <v/>
      </c>
      <c r="AW453" s="50" t="str">
        <f aca="false">IF(COUNT(AN453:AV453)&lt;9,"",(AN453*'Standards &amp; Scoring'!$D$5+AO453*'Standards &amp; Scoring'!$D$6+AP453*'Standards &amp; Scoring'!$D$7+AQ453*'Standards &amp; Scoring'!$D$8+AR453*'Standards &amp; Scoring'!$D$9+AS453*'Standards &amp; Scoring'!$D$10+AT453*'Standards &amp; Scoring'!$D$11+AU453*'Standards &amp; Scoring'!$D$12+AV453*'Standards &amp; Scoring'!$D$13)/10000)</f>
        <v/>
      </c>
      <c r="AX453" s="47" t="str">
        <f aca="false">IF(AW453="","",IF(AW453&gt;=1.05,"A+",IF(AW453&gt;=1,"A",IF(AW453&gt;=0.95,"B+",IF(AW453&gt;=0.9,"B","C")))))</f>
        <v/>
      </c>
      <c r="AY453" s="47" t="str">
        <f aca="false">IF(AX453="","",IF(AX453="A+",1800,IF(AX453="A",1600,IF(AX453="B+",1400,IF(AX453="B",1200,0)))))</f>
        <v/>
      </c>
      <c r="AZ453" s="49" t="str">
        <f aca="false">IF(OR(L453="",M453="",S453="",M453=0),"",IFERROR(L453*60*S453/(M453*36),0))</f>
        <v/>
      </c>
    </row>
    <row r="454" customFormat="false" ht="15" hidden="false" customHeight="true" outlineLevel="0" collapsed="false">
      <c r="A454" s="47" t="n">
        <f aca="false">'Daily KPI Entry'!A455</f>
        <v>0</v>
      </c>
      <c r="B454" s="48" t="n">
        <f aca="false">'Daily KPI Entry'!B455</f>
        <v>0</v>
      </c>
      <c r="C454" s="47" t="n">
        <f aca="false">'Daily KPI Entry'!C455</f>
        <v>0</v>
      </c>
      <c r="D454" s="47" t="n">
        <f aca="false">'Daily KPI Entry'!D455</f>
        <v>0</v>
      </c>
      <c r="E454" s="47" t="n">
        <f aca="false">'Daily KPI Entry'!E455</f>
        <v>0</v>
      </c>
      <c r="F454" s="47" t="n">
        <f aca="false">'Daily KPI Entry'!F455</f>
        <v>0</v>
      </c>
      <c r="G454" s="47" t="n">
        <f aca="false">'Daily KPI Entry'!G455</f>
        <v>0</v>
      </c>
      <c r="H454" s="47" t="str">
        <f aca="false">'Daily KPI Entry'!H455</f>
        <v/>
      </c>
      <c r="I454" s="47" t="n">
        <f aca="false">'Daily KPI Entry'!I455</f>
        <v>0</v>
      </c>
      <c r="J454" s="47" t="n">
        <f aca="false">'Daily KPI Entry'!J455</f>
        <v>0</v>
      </c>
      <c r="K454" s="47" t="n">
        <f aca="false">'Daily KPI Entry'!K455</f>
        <v>0</v>
      </c>
      <c r="L454" s="47" t="n">
        <f aca="false">'Daily KPI Entry'!L455</f>
        <v>0</v>
      </c>
      <c r="M454" s="47" t="n">
        <f aca="false">'Daily KPI Entry'!M455</f>
        <v>0</v>
      </c>
      <c r="N454" s="49" t="n">
        <f aca="false">'Daily KPI Entry'!N455</f>
        <v>0</v>
      </c>
      <c r="O454" s="49" t="n">
        <f aca="false">'Daily KPI Entry'!O455</f>
        <v>0</v>
      </c>
      <c r="P454" s="49" t="str">
        <f aca="false">IF(OR(N454="",O454=""),"",IFERROR(O454/N454*100,0))</f>
        <v/>
      </c>
      <c r="Q454" s="47" t="n">
        <f aca="false">'Daily KPI Entry'!Q455</f>
        <v>8</v>
      </c>
      <c r="R454" s="47" t="str">
        <f aca="false">IF(J454="","",Q454*J454)</f>
        <v/>
      </c>
      <c r="S454" s="49" t="n">
        <f aca="false">'Daily KPI Entry'!S455</f>
        <v>0</v>
      </c>
      <c r="T454" s="49" t="str">
        <f aca="false">IF(OR(R454="",S454=""),"",IFERROR(S454/R454*100,0))</f>
        <v/>
      </c>
      <c r="U454" s="49" t="str">
        <f aca="false">IF(OR(O454="",L454="",M454="",S454="",M454=0),"",IFERROR(O454/(L454*60*S454/(M454*36))*100,0))</f>
        <v/>
      </c>
      <c r="V454" s="49" t="n">
        <f aca="false">'Daily KPI Entry'!V455</f>
        <v>0</v>
      </c>
      <c r="W454" s="49" t="str">
        <f aca="false">IF(O454="","",IFERROR(V454/O454*100,0))</f>
        <v/>
      </c>
      <c r="X454" s="49" t="n">
        <f aca="false">'Daily KPI Entry'!X455</f>
        <v>0</v>
      </c>
      <c r="Y454" s="49" t="n">
        <f aca="false">'Daily KPI Entry'!Y455</f>
        <v>0</v>
      </c>
      <c r="Z454" s="49" t="n">
        <f aca="false">'Daily KPI Entry'!Z455</f>
        <v>0</v>
      </c>
      <c r="AA454" s="49" t="n">
        <f aca="false">'Daily KPI Entry'!AA455</f>
        <v>0</v>
      </c>
      <c r="AB454" s="49" t="n">
        <f aca="false">'Daily KPI Entry'!AB455</f>
        <v>0</v>
      </c>
      <c r="AC454" s="49" t="n">
        <f aca="false">'Daily KPI Entry'!AC455</f>
        <v>0</v>
      </c>
      <c r="AD454" s="49" t="n">
        <f aca="false">'Daily KPI Entry'!AD455</f>
        <v>0</v>
      </c>
      <c r="AE454" s="49" t="n">
        <f aca="false">'Daily KPI Entry'!AE455</f>
        <v>0</v>
      </c>
      <c r="AF454" s="47" t="str">
        <f aca="false">IF(O454="","",SUM(X454:AE454))</f>
        <v/>
      </c>
      <c r="AG454" s="49" t="str">
        <f aca="false">IF(O454="","",IFERROR(AF454/O454*1000,0))</f>
        <v/>
      </c>
      <c r="AH454" s="49" t="n">
        <f aca="false">'Daily KPI Entry'!AH455</f>
        <v>0</v>
      </c>
      <c r="AI454" s="49" t="n">
        <f aca="false">'Daily KPI Entry'!AI455</f>
        <v>0</v>
      </c>
      <c r="AJ454" s="49" t="n">
        <f aca="false">'Daily KPI Entry'!AJ455</f>
        <v>0</v>
      </c>
      <c r="AK454" s="47" t="n">
        <f aca="false">'Daily KPI Entry'!AK455</f>
        <v>0</v>
      </c>
      <c r="AL454" s="47" t="n">
        <f aca="false">'Daily KPI Entry'!AL455</f>
        <v>0</v>
      </c>
      <c r="AM454" s="47" t="n">
        <f aca="false">'Daily KPI Entry'!AM455</f>
        <v>0</v>
      </c>
      <c r="AN454" s="49" t="str">
        <f aca="false">IF(P454="","",MIN(120,P454))</f>
        <v/>
      </c>
      <c r="AO454" s="49" t="str">
        <f aca="false">IF(U454="","",MIN(120,U454))</f>
        <v/>
      </c>
      <c r="AP454" s="49" t="str">
        <f aca="false">IF(R454="","",MIN(120,IFERROR(S454/R454*100,0)))</f>
        <v/>
      </c>
      <c r="AQ454" s="49" t="str">
        <f aca="false">IF(W454="","",MIN(120,IF(W454=0,120,100*(INDEX('Standards &amp; Scoring'!$E$5:$E$13,MATCH("Quality / Rejection",'Standards &amp; Scoring'!$A$5:$A$13,0))/W454))))</f>
        <v/>
      </c>
      <c r="AR454" s="49" t="str">
        <f aca="false">IF(AG454="","",MIN(120,IF(AG454=0,120,100*(INDEX('Standards &amp; Scoring'!$E$5:$E$13,MATCH("Fault Control",'Standards &amp; Scoring'!$A$5:$A$13,0))/AG454))))</f>
        <v/>
      </c>
      <c r="AS454" s="49" t="str">
        <f aca="false">IF(O454="","",MIN(120,IF(SUMIFS('Fault &amp; Downtime Entry'!$L$6:$L$1005,'Fault &amp; Downtime Entry'!$E$6:$E$1005,G454,'Fault &amp; Downtime Entry'!$B$6:$B$1005,B454)=0,120,100*(INDEX('Standards &amp; Scoring'!$E$5:$E$13,MATCH("Downtime Control",'Standards &amp; Scoring'!$A$5:$A$13,0))/IFERROR(SUMIFS('Fault &amp; Downtime Entry'!$L$6:$L$1005,'Fault &amp; Downtime Entry'!$E$6:$E$1005,G454,'Fault &amp; Downtime Entry'!$B$6:$B$1005,B454)/O454*1000,999999)))))</f>
        <v/>
      </c>
      <c r="AT454" s="49" t="n">
        <f aca="false">IF(COUNTA(AH454,AJ454)=0,"",MIN(120,IF(AND(AH454&lt;&gt;"",AJ454&lt;&gt;""),AVERAGE(AH454,AJ454),IF(AH454&lt;&gt;"",AH454,AJ454))))</f>
        <v>0</v>
      </c>
      <c r="AU454" s="49" t="str">
        <f aca="false">IF(AI454="","",MIN(120,AI454))</f>
        <v/>
      </c>
      <c r="AV454" s="49" t="str">
        <f aca="false">IF(AJ454="","",MIN(120,AJ454))</f>
        <v/>
      </c>
      <c r="AW454" s="50" t="str">
        <f aca="false">IF(COUNT(AN454:AV454)&lt;9,"",(AN454*'Standards &amp; Scoring'!$D$5+AO454*'Standards &amp; Scoring'!$D$6+AP454*'Standards &amp; Scoring'!$D$7+AQ454*'Standards &amp; Scoring'!$D$8+AR454*'Standards &amp; Scoring'!$D$9+AS454*'Standards &amp; Scoring'!$D$10+AT454*'Standards &amp; Scoring'!$D$11+AU454*'Standards &amp; Scoring'!$D$12+AV454*'Standards &amp; Scoring'!$D$13)/10000)</f>
        <v/>
      </c>
      <c r="AX454" s="47" t="str">
        <f aca="false">IF(AW454="","",IF(AW454&gt;=1.05,"A+",IF(AW454&gt;=1,"A",IF(AW454&gt;=0.95,"B+",IF(AW454&gt;=0.9,"B","C")))))</f>
        <v/>
      </c>
      <c r="AY454" s="47" t="str">
        <f aca="false">IF(AX454="","",IF(AX454="A+",1800,IF(AX454="A",1600,IF(AX454="B+",1400,IF(AX454="B",1200,0)))))</f>
        <v/>
      </c>
      <c r="AZ454" s="49" t="str">
        <f aca="false">IF(OR(L454="",M454="",S454="",M454=0),"",IFERROR(L454*60*S454/(M454*36),0))</f>
        <v/>
      </c>
    </row>
    <row r="455" customFormat="false" ht="15" hidden="false" customHeight="true" outlineLevel="0" collapsed="false">
      <c r="A455" s="47" t="n">
        <f aca="false">'Daily KPI Entry'!A456</f>
        <v>0</v>
      </c>
      <c r="B455" s="48" t="n">
        <f aca="false">'Daily KPI Entry'!B456</f>
        <v>0</v>
      </c>
      <c r="C455" s="47" t="n">
        <f aca="false">'Daily KPI Entry'!C456</f>
        <v>0</v>
      </c>
      <c r="D455" s="47" t="n">
        <f aca="false">'Daily KPI Entry'!D456</f>
        <v>0</v>
      </c>
      <c r="E455" s="47" t="n">
        <f aca="false">'Daily KPI Entry'!E456</f>
        <v>0</v>
      </c>
      <c r="F455" s="47" t="n">
        <f aca="false">'Daily KPI Entry'!F456</f>
        <v>0</v>
      </c>
      <c r="G455" s="47" t="n">
        <f aca="false">'Daily KPI Entry'!G456</f>
        <v>0</v>
      </c>
      <c r="H455" s="47" t="str">
        <f aca="false">'Daily KPI Entry'!H456</f>
        <v/>
      </c>
      <c r="I455" s="47" t="n">
        <f aca="false">'Daily KPI Entry'!I456</f>
        <v>0</v>
      </c>
      <c r="J455" s="47" t="n">
        <f aca="false">'Daily KPI Entry'!J456</f>
        <v>0</v>
      </c>
      <c r="K455" s="47" t="n">
        <f aca="false">'Daily KPI Entry'!K456</f>
        <v>0</v>
      </c>
      <c r="L455" s="47" t="n">
        <f aca="false">'Daily KPI Entry'!L456</f>
        <v>0</v>
      </c>
      <c r="M455" s="47" t="n">
        <f aca="false">'Daily KPI Entry'!M456</f>
        <v>0</v>
      </c>
      <c r="N455" s="49" t="n">
        <f aca="false">'Daily KPI Entry'!N456</f>
        <v>0</v>
      </c>
      <c r="O455" s="49" t="n">
        <f aca="false">'Daily KPI Entry'!O456</f>
        <v>0</v>
      </c>
      <c r="P455" s="49" t="str">
        <f aca="false">IF(OR(N455="",O455=""),"",IFERROR(O455/N455*100,0))</f>
        <v/>
      </c>
      <c r="Q455" s="47" t="n">
        <f aca="false">'Daily KPI Entry'!Q456</f>
        <v>8</v>
      </c>
      <c r="R455" s="47" t="str">
        <f aca="false">IF(J455="","",Q455*J455)</f>
        <v/>
      </c>
      <c r="S455" s="49" t="n">
        <f aca="false">'Daily KPI Entry'!S456</f>
        <v>0</v>
      </c>
      <c r="T455" s="49" t="str">
        <f aca="false">IF(OR(R455="",S455=""),"",IFERROR(S455/R455*100,0))</f>
        <v/>
      </c>
      <c r="U455" s="49" t="str">
        <f aca="false">IF(OR(O455="",L455="",M455="",S455="",M455=0),"",IFERROR(O455/(L455*60*S455/(M455*36))*100,0))</f>
        <v/>
      </c>
      <c r="V455" s="49" t="n">
        <f aca="false">'Daily KPI Entry'!V456</f>
        <v>0</v>
      </c>
      <c r="W455" s="49" t="str">
        <f aca="false">IF(O455="","",IFERROR(V455/O455*100,0))</f>
        <v/>
      </c>
      <c r="X455" s="49" t="n">
        <f aca="false">'Daily KPI Entry'!X456</f>
        <v>0</v>
      </c>
      <c r="Y455" s="49" t="n">
        <f aca="false">'Daily KPI Entry'!Y456</f>
        <v>0</v>
      </c>
      <c r="Z455" s="49" t="n">
        <f aca="false">'Daily KPI Entry'!Z456</f>
        <v>0</v>
      </c>
      <c r="AA455" s="49" t="n">
        <f aca="false">'Daily KPI Entry'!AA456</f>
        <v>0</v>
      </c>
      <c r="AB455" s="49" t="n">
        <f aca="false">'Daily KPI Entry'!AB456</f>
        <v>0</v>
      </c>
      <c r="AC455" s="49" t="n">
        <f aca="false">'Daily KPI Entry'!AC456</f>
        <v>0</v>
      </c>
      <c r="AD455" s="49" t="n">
        <f aca="false">'Daily KPI Entry'!AD456</f>
        <v>0</v>
      </c>
      <c r="AE455" s="49" t="n">
        <f aca="false">'Daily KPI Entry'!AE456</f>
        <v>0</v>
      </c>
      <c r="AF455" s="47" t="str">
        <f aca="false">IF(O455="","",SUM(X455:AE455))</f>
        <v/>
      </c>
      <c r="AG455" s="49" t="str">
        <f aca="false">IF(O455="","",IFERROR(AF455/O455*1000,0))</f>
        <v/>
      </c>
      <c r="AH455" s="49" t="n">
        <f aca="false">'Daily KPI Entry'!AH456</f>
        <v>0</v>
      </c>
      <c r="AI455" s="49" t="n">
        <f aca="false">'Daily KPI Entry'!AI456</f>
        <v>0</v>
      </c>
      <c r="AJ455" s="49" t="n">
        <f aca="false">'Daily KPI Entry'!AJ456</f>
        <v>0</v>
      </c>
      <c r="AK455" s="47" t="n">
        <f aca="false">'Daily KPI Entry'!AK456</f>
        <v>0</v>
      </c>
      <c r="AL455" s="47" t="n">
        <f aca="false">'Daily KPI Entry'!AL456</f>
        <v>0</v>
      </c>
      <c r="AM455" s="47" t="n">
        <f aca="false">'Daily KPI Entry'!AM456</f>
        <v>0</v>
      </c>
      <c r="AN455" s="49" t="str">
        <f aca="false">IF(P455="","",MIN(120,P455))</f>
        <v/>
      </c>
      <c r="AO455" s="49" t="str">
        <f aca="false">IF(U455="","",MIN(120,U455))</f>
        <v/>
      </c>
      <c r="AP455" s="49" t="str">
        <f aca="false">IF(R455="","",MIN(120,IFERROR(S455/R455*100,0)))</f>
        <v/>
      </c>
      <c r="AQ455" s="49" t="str">
        <f aca="false">IF(W455="","",MIN(120,IF(W455=0,120,100*(INDEX('Standards &amp; Scoring'!$E$5:$E$13,MATCH("Quality / Rejection",'Standards &amp; Scoring'!$A$5:$A$13,0))/W455))))</f>
        <v/>
      </c>
      <c r="AR455" s="49" t="str">
        <f aca="false">IF(AG455="","",MIN(120,IF(AG455=0,120,100*(INDEX('Standards &amp; Scoring'!$E$5:$E$13,MATCH("Fault Control",'Standards &amp; Scoring'!$A$5:$A$13,0))/AG455))))</f>
        <v/>
      </c>
      <c r="AS455" s="49" t="str">
        <f aca="false">IF(O455="","",MIN(120,IF(SUMIFS('Fault &amp; Downtime Entry'!$L$6:$L$1005,'Fault &amp; Downtime Entry'!$E$6:$E$1005,G455,'Fault &amp; Downtime Entry'!$B$6:$B$1005,B455)=0,120,100*(INDEX('Standards &amp; Scoring'!$E$5:$E$13,MATCH("Downtime Control",'Standards &amp; Scoring'!$A$5:$A$13,0))/IFERROR(SUMIFS('Fault &amp; Downtime Entry'!$L$6:$L$1005,'Fault &amp; Downtime Entry'!$E$6:$E$1005,G455,'Fault &amp; Downtime Entry'!$B$6:$B$1005,B455)/O455*1000,999999)))))</f>
        <v/>
      </c>
      <c r="AT455" s="49" t="n">
        <f aca="false">IF(COUNTA(AH455,AJ455)=0,"",MIN(120,IF(AND(AH455&lt;&gt;"",AJ455&lt;&gt;""),AVERAGE(AH455,AJ455),IF(AH455&lt;&gt;"",AH455,AJ455))))</f>
        <v>0</v>
      </c>
      <c r="AU455" s="49" t="str">
        <f aca="false">IF(AI455="","",MIN(120,AI455))</f>
        <v/>
      </c>
      <c r="AV455" s="49" t="str">
        <f aca="false">IF(AJ455="","",MIN(120,AJ455))</f>
        <v/>
      </c>
      <c r="AW455" s="50" t="str">
        <f aca="false">IF(COUNT(AN455:AV455)&lt;9,"",(AN455*'Standards &amp; Scoring'!$D$5+AO455*'Standards &amp; Scoring'!$D$6+AP455*'Standards &amp; Scoring'!$D$7+AQ455*'Standards &amp; Scoring'!$D$8+AR455*'Standards &amp; Scoring'!$D$9+AS455*'Standards &amp; Scoring'!$D$10+AT455*'Standards &amp; Scoring'!$D$11+AU455*'Standards &amp; Scoring'!$D$12+AV455*'Standards &amp; Scoring'!$D$13)/10000)</f>
        <v/>
      </c>
      <c r="AX455" s="47" t="str">
        <f aca="false">IF(AW455="","",IF(AW455&gt;=1.05,"A+",IF(AW455&gt;=1,"A",IF(AW455&gt;=0.95,"B+",IF(AW455&gt;=0.9,"B","C")))))</f>
        <v/>
      </c>
      <c r="AY455" s="47" t="str">
        <f aca="false">IF(AX455="","",IF(AX455="A+",1800,IF(AX455="A",1600,IF(AX455="B+",1400,IF(AX455="B",1200,0)))))</f>
        <v/>
      </c>
      <c r="AZ455" s="49" t="str">
        <f aca="false">IF(OR(L455="",M455="",S455="",M455=0),"",IFERROR(L455*60*S455/(M455*36),0))</f>
        <v/>
      </c>
    </row>
    <row r="456" customFormat="false" ht="15" hidden="false" customHeight="true" outlineLevel="0" collapsed="false">
      <c r="A456" s="47" t="n">
        <f aca="false">'Daily KPI Entry'!A457</f>
        <v>0</v>
      </c>
      <c r="B456" s="48" t="n">
        <f aca="false">'Daily KPI Entry'!B457</f>
        <v>0</v>
      </c>
      <c r="C456" s="47" t="n">
        <f aca="false">'Daily KPI Entry'!C457</f>
        <v>0</v>
      </c>
      <c r="D456" s="47" t="n">
        <f aca="false">'Daily KPI Entry'!D457</f>
        <v>0</v>
      </c>
      <c r="E456" s="47" t="n">
        <f aca="false">'Daily KPI Entry'!E457</f>
        <v>0</v>
      </c>
      <c r="F456" s="47" t="n">
        <f aca="false">'Daily KPI Entry'!F457</f>
        <v>0</v>
      </c>
      <c r="G456" s="47" t="n">
        <f aca="false">'Daily KPI Entry'!G457</f>
        <v>0</v>
      </c>
      <c r="H456" s="47" t="str">
        <f aca="false">'Daily KPI Entry'!H457</f>
        <v/>
      </c>
      <c r="I456" s="47" t="n">
        <f aca="false">'Daily KPI Entry'!I457</f>
        <v>0</v>
      </c>
      <c r="J456" s="47" t="n">
        <f aca="false">'Daily KPI Entry'!J457</f>
        <v>0</v>
      </c>
      <c r="K456" s="47" t="n">
        <f aca="false">'Daily KPI Entry'!K457</f>
        <v>0</v>
      </c>
      <c r="L456" s="47" t="n">
        <f aca="false">'Daily KPI Entry'!L457</f>
        <v>0</v>
      </c>
      <c r="M456" s="47" t="n">
        <f aca="false">'Daily KPI Entry'!M457</f>
        <v>0</v>
      </c>
      <c r="N456" s="49" t="n">
        <f aca="false">'Daily KPI Entry'!N457</f>
        <v>0</v>
      </c>
      <c r="O456" s="49" t="n">
        <f aca="false">'Daily KPI Entry'!O457</f>
        <v>0</v>
      </c>
      <c r="P456" s="49" t="str">
        <f aca="false">IF(OR(N456="",O456=""),"",IFERROR(O456/N456*100,0))</f>
        <v/>
      </c>
      <c r="Q456" s="47" t="n">
        <f aca="false">'Daily KPI Entry'!Q457</f>
        <v>8</v>
      </c>
      <c r="R456" s="47" t="str">
        <f aca="false">IF(J456="","",Q456*J456)</f>
        <v/>
      </c>
      <c r="S456" s="49" t="n">
        <f aca="false">'Daily KPI Entry'!S457</f>
        <v>0</v>
      </c>
      <c r="T456" s="49" t="str">
        <f aca="false">IF(OR(R456="",S456=""),"",IFERROR(S456/R456*100,0))</f>
        <v/>
      </c>
      <c r="U456" s="49" t="str">
        <f aca="false">IF(OR(O456="",L456="",M456="",S456="",M456=0),"",IFERROR(O456/(L456*60*S456/(M456*36))*100,0))</f>
        <v/>
      </c>
      <c r="V456" s="49" t="n">
        <f aca="false">'Daily KPI Entry'!V457</f>
        <v>0</v>
      </c>
      <c r="W456" s="49" t="str">
        <f aca="false">IF(O456="","",IFERROR(V456/O456*100,0))</f>
        <v/>
      </c>
      <c r="X456" s="49" t="n">
        <f aca="false">'Daily KPI Entry'!X457</f>
        <v>0</v>
      </c>
      <c r="Y456" s="49" t="n">
        <f aca="false">'Daily KPI Entry'!Y457</f>
        <v>0</v>
      </c>
      <c r="Z456" s="49" t="n">
        <f aca="false">'Daily KPI Entry'!Z457</f>
        <v>0</v>
      </c>
      <c r="AA456" s="49" t="n">
        <f aca="false">'Daily KPI Entry'!AA457</f>
        <v>0</v>
      </c>
      <c r="AB456" s="49" t="n">
        <f aca="false">'Daily KPI Entry'!AB457</f>
        <v>0</v>
      </c>
      <c r="AC456" s="49" t="n">
        <f aca="false">'Daily KPI Entry'!AC457</f>
        <v>0</v>
      </c>
      <c r="AD456" s="49" t="n">
        <f aca="false">'Daily KPI Entry'!AD457</f>
        <v>0</v>
      </c>
      <c r="AE456" s="49" t="n">
        <f aca="false">'Daily KPI Entry'!AE457</f>
        <v>0</v>
      </c>
      <c r="AF456" s="47" t="str">
        <f aca="false">IF(O456="","",SUM(X456:AE456))</f>
        <v/>
      </c>
      <c r="AG456" s="49" t="str">
        <f aca="false">IF(O456="","",IFERROR(AF456/O456*1000,0))</f>
        <v/>
      </c>
      <c r="AH456" s="49" t="n">
        <f aca="false">'Daily KPI Entry'!AH457</f>
        <v>0</v>
      </c>
      <c r="AI456" s="49" t="n">
        <f aca="false">'Daily KPI Entry'!AI457</f>
        <v>0</v>
      </c>
      <c r="AJ456" s="49" t="n">
        <f aca="false">'Daily KPI Entry'!AJ457</f>
        <v>0</v>
      </c>
      <c r="AK456" s="47" t="n">
        <f aca="false">'Daily KPI Entry'!AK457</f>
        <v>0</v>
      </c>
      <c r="AL456" s="47" t="n">
        <f aca="false">'Daily KPI Entry'!AL457</f>
        <v>0</v>
      </c>
      <c r="AM456" s="47" t="n">
        <f aca="false">'Daily KPI Entry'!AM457</f>
        <v>0</v>
      </c>
      <c r="AN456" s="49" t="str">
        <f aca="false">IF(P456="","",MIN(120,P456))</f>
        <v/>
      </c>
      <c r="AO456" s="49" t="str">
        <f aca="false">IF(U456="","",MIN(120,U456))</f>
        <v/>
      </c>
      <c r="AP456" s="49" t="str">
        <f aca="false">IF(R456="","",MIN(120,IFERROR(S456/R456*100,0)))</f>
        <v/>
      </c>
      <c r="AQ456" s="49" t="str">
        <f aca="false">IF(W456="","",MIN(120,IF(W456=0,120,100*(INDEX('Standards &amp; Scoring'!$E$5:$E$13,MATCH("Quality / Rejection",'Standards &amp; Scoring'!$A$5:$A$13,0))/W456))))</f>
        <v/>
      </c>
      <c r="AR456" s="49" t="str">
        <f aca="false">IF(AG456="","",MIN(120,IF(AG456=0,120,100*(INDEX('Standards &amp; Scoring'!$E$5:$E$13,MATCH("Fault Control",'Standards &amp; Scoring'!$A$5:$A$13,0))/AG456))))</f>
        <v/>
      </c>
      <c r="AS456" s="49" t="str">
        <f aca="false">IF(O456="","",MIN(120,IF(SUMIFS('Fault &amp; Downtime Entry'!$L$6:$L$1005,'Fault &amp; Downtime Entry'!$E$6:$E$1005,G456,'Fault &amp; Downtime Entry'!$B$6:$B$1005,B456)=0,120,100*(INDEX('Standards &amp; Scoring'!$E$5:$E$13,MATCH("Downtime Control",'Standards &amp; Scoring'!$A$5:$A$13,0))/IFERROR(SUMIFS('Fault &amp; Downtime Entry'!$L$6:$L$1005,'Fault &amp; Downtime Entry'!$E$6:$E$1005,G456,'Fault &amp; Downtime Entry'!$B$6:$B$1005,B456)/O456*1000,999999)))))</f>
        <v/>
      </c>
      <c r="AT456" s="49" t="n">
        <f aca="false">IF(COUNTA(AH456,AJ456)=0,"",MIN(120,IF(AND(AH456&lt;&gt;"",AJ456&lt;&gt;""),AVERAGE(AH456,AJ456),IF(AH456&lt;&gt;"",AH456,AJ456))))</f>
        <v>0</v>
      </c>
      <c r="AU456" s="49" t="str">
        <f aca="false">IF(AI456="","",MIN(120,AI456))</f>
        <v/>
      </c>
      <c r="AV456" s="49" t="str">
        <f aca="false">IF(AJ456="","",MIN(120,AJ456))</f>
        <v/>
      </c>
      <c r="AW456" s="50" t="str">
        <f aca="false">IF(COUNT(AN456:AV456)&lt;9,"",(AN456*'Standards &amp; Scoring'!$D$5+AO456*'Standards &amp; Scoring'!$D$6+AP456*'Standards &amp; Scoring'!$D$7+AQ456*'Standards &amp; Scoring'!$D$8+AR456*'Standards &amp; Scoring'!$D$9+AS456*'Standards &amp; Scoring'!$D$10+AT456*'Standards &amp; Scoring'!$D$11+AU456*'Standards &amp; Scoring'!$D$12+AV456*'Standards &amp; Scoring'!$D$13)/10000)</f>
        <v/>
      </c>
      <c r="AX456" s="47" t="str">
        <f aca="false">IF(AW456="","",IF(AW456&gt;=1.05,"A+",IF(AW456&gt;=1,"A",IF(AW456&gt;=0.95,"B+",IF(AW456&gt;=0.9,"B","C")))))</f>
        <v/>
      </c>
      <c r="AY456" s="47" t="str">
        <f aca="false">IF(AX456="","",IF(AX456="A+",1800,IF(AX456="A",1600,IF(AX456="B+",1400,IF(AX456="B",1200,0)))))</f>
        <v/>
      </c>
      <c r="AZ456" s="49" t="str">
        <f aca="false">IF(OR(L456="",M456="",S456="",M456=0),"",IFERROR(L456*60*S456/(M456*36),0))</f>
        <v/>
      </c>
    </row>
    <row r="457" customFormat="false" ht="15" hidden="false" customHeight="true" outlineLevel="0" collapsed="false">
      <c r="A457" s="47" t="n">
        <f aca="false">'Daily KPI Entry'!A458</f>
        <v>0</v>
      </c>
      <c r="B457" s="48" t="n">
        <f aca="false">'Daily KPI Entry'!B458</f>
        <v>0</v>
      </c>
      <c r="C457" s="47" t="n">
        <f aca="false">'Daily KPI Entry'!C458</f>
        <v>0</v>
      </c>
      <c r="D457" s="47" t="n">
        <f aca="false">'Daily KPI Entry'!D458</f>
        <v>0</v>
      </c>
      <c r="E457" s="47" t="n">
        <f aca="false">'Daily KPI Entry'!E458</f>
        <v>0</v>
      </c>
      <c r="F457" s="47" t="n">
        <f aca="false">'Daily KPI Entry'!F458</f>
        <v>0</v>
      </c>
      <c r="G457" s="47" t="n">
        <f aca="false">'Daily KPI Entry'!G458</f>
        <v>0</v>
      </c>
      <c r="H457" s="47" t="str">
        <f aca="false">'Daily KPI Entry'!H458</f>
        <v/>
      </c>
      <c r="I457" s="47" t="n">
        <f aca="false">'Daily KPI Entry'!I458</f>
        <v>0</v>
      </c>
      <c r="J457" s="47" t="n">
        <f aca="false">'Daily KPI Entry'!J458</f>
        <v>0</v>
      </c>
      <c r="K457" s="47" t="n">
        <f aca="false">'Daily KPI Entry'!K458</f>
        <v>0</v>
      </c>
      <c r="L457" s="47" t="n">
        <f aca="false">'Daily KPI Entry'!L458</f>
        <v>0</v>
      </c>
      <c r="M457" s="47" t="n">
        <f aca="false">'Daily KPI Entry'!M458</f>
        <v>0</v>
      </c>
      <c r="N457" s="49" t="n">
        <f aca="false">'Daily KPI Entry'!N458</f>
        <v>0</v>
      </c>
      <c r="O457" s="49" t="n">
        <f aca="false">'Daily KPI Entry'!O458</f>
        <v>0</v>
      </c>
      <c r="P457" s="49" t="str">
        <f aca="false">IF(OR(N457="",O457=""),"",IFERROR(O457/N457*100,0))</f>
        <v/>
      </c>
      <c r="Q457" s="47" t="n">
        <f aca="false">'Daily KPI Entry'!Q458</f>
        <v>8</v>
      </c>
      <c r="R457" s="47" t="str">
        <f aca="false">IF(J457="","",Q457*J457)</f>
        <v/>
      </c>
      <c r="S457" s="49" t="n">
        <f aca="false">'Daily KPI Entry'!S458</f>
        <v>0</v>
      </c>
      <c r="T457" s="49" t="str">
        <f aca="false">IF(OR(R457="",S457=""),"",IFERROR(S457/R457*100,0))</f>
        <v/>
      </c>
      <c r="U457" s="49" t="str">
        <f aca="false">IF(OR(O457="",L457="",M457="",S457="",M457=0),"",IFERROR(O457/(L457*60*S457/(M457*36))*100,0))</f>
        <v/>
      </c>
      <c r="V457" s="49" t="n">
        <f aca="false">'Daily KPI Entry'!V458</f>
        <v>0</v>
      </c>
      <c r="W457" s="49" t="str">
        <f aca="false">IF(O457="","",IFERROR(V457/O457*100,0))</f>
        <v/>
      </c>
      <c r="X457" s="49" t="n">
        <f aca="false">'Daily KPI Entry'!X458</f>
        <v>0</v>
      </c>
      <c r="Y457" s="49" t="n">
        <f aca="false">'Daily KPI Entry'!Y458</f>
        <v>0</v>
      </c>
      <c r="Z457" s="49" t="n">
        <f aca="false">'Daily KPI Entry'!Z458</f>
        <v>0</v>
      </c>
      <c r="AA457" s="49" t="n">
        <f aca="false">'Daily KPI Entry'!AA458</f>
        <v>0</v>
      </c>
      <c r="AB457" s="49" t="n">
        <f aca="false">'Daily KPI Entry'!AB458</f>
        <v>0</v>
      </c>
      <c r="AC457" s="49" t="n">
        <f aca="false">'Daily KPI Entry'!AC458</f>
        <v>0</v>
      </c>
      <c r="AD457" s="49" t="n">
        <f aca="false">'Daily KPI Entry'!AD458</f>
        <v>0</v>
      </c>
      <c r="AE457" s="49" t="n">
        <f aca="false">'Daily KPI Entry'!AE458</f>
        <v>0</v>
      </c>
      <c r="AF457" s="47" t="str">
        <f aca="false">IF(O457="","",SUM(X457:AE457))</f>
        <v/>
      </c>
      <c r="AG457" s="49" t="str">
        <f aca="false">IF(O457="","",IFERROR(AF457/O457*1000,0))</f>
        <v/>
      </c>
      <c r="AH457" s="49" t="n">
        <f aca="false">'Daily KPI Entry'!AH458</f>
        <v>0</v>
      </c>
      <c r="AI457" s="49" t="n">
        <f aca="false">'Daily KPI Entry'!AI458</f>
        <v>0</v>
      </c>
      <c r="AJ457" s="49" t="n">
        <f aca="false">'Daily KPI Entry'!AJ458</f>
        <v>0</v>
      </c>
      <c r="AK457" s="47" t="n">
        <f aca="false">'Daily KPI Entry'!AK458</f>
        <v>0</v>
      </c>
      <c r="AL457" s="47" t="n">
        <f aca="false">'Daily KPI Entry'!AL458</f>
        <v>0</v>
      </c>
      <c r="AM457" s="47" t="n">
        <f aca="false">'Daily KPI Entry'!AM458</f>
        <v>0</v>
      </c>
      <c r="AN457" s="49" t="str">
        <f aca="false">IF(P457="","",MIN(120,P457))</f>
        <v/>
      </c>
      <c r="AO457" s="49" t="str">
        <f aca="false">IF(U457="","",MIN(120,U457))</f>
        <v/>
      </c>
      <c r="AP457" s="49" t="str">
        <f aca="false">IF(R457="","",MIN(120,IFERROR(S457/R457*100,0)))</f>
        <v/>
      </c>
      <c r="AQ457" s="49" t="str">
        <f aca="false">IF(W457="","",MIN(120,IF(W457=0,120,100*(INDEX('Standards &amp; Scoring'!$E$5:$E$13,MATCH("Quality / Rejection",'Standards &amp; Scoring'!$A$5:$A$13,0))/W457))))</f>
        <v/>
      </c>
      <c r="AR457" s="49" t="str">
        <f aca="false">IF(AG457="","",MIN(120,IF(AG457=0,120,100*(INDEX('Standards &amp; Scoring'!$E$5:$E$13,MATCH("Fault Control",'Standards &amp; Scoring'!$A$5:$A$13,0))/AG457))))</f>
        <v/>
      </c>
      <c r="AS457" s="49" t="str">
        <f aca="false">IF(O457="","",MIN(120,IF(SUMIFS('Fault &amp; Downtime Entry'!$L$6:$L$1005,'Fault &amp; Downtime Entry'!$E$6:$E$1005,G457,'Fault &amp; Downtime Entry'!$B$6:$B$1005,B457)=0,120,100*(INDEX('Standards &amp; Scoring'!$E$5:$E$13,MATCH("Downtime Control",'Standards &amp; Scoring'!$A$5:$A$13,0))/IFERROR(SUMIFS('Fault &amp; Downtime Entry'!$L$6:$L$1005,'Fault &amp; Downtime Entry'!$E$6:$E$1005,G457,'Fault &amp; Downtime Entry'!$B$6:$B$1005,B457)/O457*1000,999999)))))</f>
        <v/>
      </c>
      <c r="AT457" s="49" t="n">
        <f aca="false">IF(COUNTA(AH457,AJ457)=0,"",MIN(120,IF(AND(AH457&lt;&gt;"",AJ457&lt;&gt;""),AVERAGE(AH457,AJ457),IF(AH457&lt;&gt;"",AH457,AJ457))))</f>
        <v>0</v>
      </c>
      <c r="AU457" s="49" t="str">
        <f aca="false">IF(AI457="","",MIN(120,AI457))</f>
        <v/>
      </c>
      <c r="AV457" s="49" t="str">
        <f aca="false">IF(AJ457="","",MIN(120,AJ457))</f>
        <v/>
      </c>
      <c r="AW457" s="50" t="str">
        <f aca="false">IF(COUNT(AN457:AV457)&lt;9,"",(AN457*'Standards &amp; Scoring'!$D$5+AO457*'Standards &amp; Scoring'!$D$6+AP457*'Standards &amp; Scoring'!$D$7+AQ457*'Standards &amp; Scoring'!$D$8+AR457*'Standards &amp; Scoring'!$D$9+AS457*'Standards &amp; Scoring'!$D$10+AT457*'Standards &amp; Scoring'!$D$11+AU457*'Standards &amp; Scoring'!$D$12+AV457*'Standards &amp; Scoring'!$D$13)/10000)</f>
        <v/>
      </c>
      <c r="AX457" s="47" t="str">
        <f aca="false">IF(AW457="","",IF(AW457&gt;=1.05,"A+",IF(AW457&gt;=1,"A",IF(AW457&gt;=0.95,"B+",IF(AW457&gt;=0.9,"B","C")))))</f>
        <v/>
      </c>
      <c r="AY457" s="47" t="str">
        <f aca="false">IF(AX457="","",IF(AX457="A+",1800,IF(AX457="A",1600,IF(AX457="B+",1400,IF(AX457="B",1200,0)))))</f>
        <v/>
      </c>
      <c r="AZ457" s="49" t="str">
        <f aca="false">IF(OR(L457="",M457="",S457="",M457=0),"",IFERROR(L457*60*S457/(M457*36),0))</f>
        <v/>
      </c>
    </row>
    <row r="458" customFormat="false" ht="15" hidden="false" customHeight="true" outlineLevel="0" collapsed="false">
      <c r="A458" s="47" t="n">
        <f aca="false">'Daily KPI Entry'!A459</f>
        <v>0</v>
      </c>
      <c r="B458" s="48" t="n">
        <f aca="false">'Daily KPI Entry'!B459</f>
        <v>0</v>
      </c>
      <c r="C458" s="47" t="n">
        <f aca="false">'Daily KPI Entry'!C459</f>
        <v>0</v>
      </c>
      <c r="D458" s="47" t="n">
        <f aca="false">'Daily KPI Entry'!D459</f>
        <v>0</v>
      </c>
      <c r="E458" s="47" t="n">
        <f aca="false">'Daily KPI Entry'!E459</f>
        <v>0</v>
      </c>
      <c r="F458" s="47" t="n">
        <f aca="false">'Daily KPI Entry'!F459</f>
        <v>0</v>
      </c>
      <c r="G458" s="47" t="n">
        <f aca="false">'Daily KPI Entry'!G459</f>
        <v>0</v>
      </c>
      <c r="H458" s="47" t="str">
        <f aca="false">'Daily KPI Entry'!H459</f>
        <v/>
      </c>
      <c r="I458" s="47" t="n">
        <f aca="false">'Daily KPI Entry'!I459</f>
        <v>0</v>
      </c>
      <c r="J458" s="47" t="n">
        <f aca="false">'Daily KPI Entry'!J459</f>
        <v>0</v>
      </c>
      <c r="K458" s="47" t="n">
        <f aca="false">'Daily KPI Entry'!K459</f>
        <v>0</v>
      </c>
      <c r="L458" s="47" t="n">
        <f aca="false">'Daily KPI Entry'!L459</f>
        <v>0</v>
      </c>
      <c r="M458" s="47" t="n">
        <f aca="false">'Daily KPI Entry'!M459</f>
        <v>0</v>
      </c>
      <c r="N458" s="49" t="n">
        <f aca="false">'Daily KPI Entry'!N459</f>
        <v>0</v>
      </c>
      <c r="O458" s="49" t="n">
        <f aca="false">'Daily KPI Entry'!O459</f>
        <v>0</v>
      </c>
      <c r="P458" s="49" t="str">
        <f aca="false">IF(OR(N458="",O458=""),"",IFERROR(O458/N458*100,0))</f>
        <v/>
      </c>
      <c r="Q458" s="47" t="n">
        <f aca="false">'Daily KPI Entry'!Q459</f>
        <v>8</v>
      </c>
      <c r="R458" s="47" t="str">
        <f aca="false">IF(J458="","",Q458*J458)</f>
        <v/>
      </c>
      <c r="S458" s="49" t="n">
        <f aca="false">'Daily KPI Entry'!S459</f>
        <v>0</v>
      </c>
      <c r="T458" s="49" t="str">
        <f aca="false">IF(OR(R458="",S458=""),"",IFERROR(S458/R458*100,0))</f>
        <v/>
      </c>
      <c r="U458" s="49" t="str">
        <f aca="false">IF(OR(O458="",L458="",M458="",S458="",M458=0),"",IFERROR(O458/(L458*60*S458/(M458*36))*100,0))</f>
        <v/>
      </c>
      <c r="V458" s="49" t="n">
        <f aca="false">'Daily KPI Entry'!V459</f>
        <v>0</v>
      </c>
      <c r="W458" s="49" t="str">
        <f aca="false">IF(O458="","",IFERROR(V458/O458*100,0))</f>
        <v/>
      </c>
      <c r="X458" s="49" t="n">
        <f aca="false">'Daily KPI Entry'!X459</f>
        <v>0</v>
      </c>
      <c r="Y458" s="49" t="n">
        <f aca="false">'Daily KPI Entry'!Y459</f>
        <v>0</v>
      </c>
      <c r="Z458" s="49" t="n">
        <f aca="false">'Daily KPI Entry'!Z459</f>
        <v>0</v>
      </c>
      <c r="AA458" s="49" t="n">
        <f aca="false">'Daily KPI Entry'!AA459</f>
        <v>0</v>
      </c>
      <c r="AB458" s="49" t="n">
        <f aca="false">'Daily KPI Entry'!AB459</f>
        <v>0</v>
      </c>
      <c r="AC458" s="49" t="n">
        <f aca="false">'Daily KPI Entry'!AC459</f>
        <v>0</v>
      </c>
      <c r="AD458" s="49" t="n">
        <f aca="false">'Daily KPI Entry'!AD459</f>
        <v>0</v>
      </c>
      <c r="AE458" s="49" t="n">
        <f aca="false">'Daily KPI Entry'!AE459</f>
        <v>0</v>
      </c>
      <c r="AF458" s="47" t="str">
        <f aca="false">IF(O458="","",SUM(X458:AE458))</f>
        <v/>
      </c>
      <c r="AG458" s="49" t="str">
        <f aca="false">IF(O458="","",IFERROR(AF458/O458*1000,0))</f>
        <v/>
      </c>
      <c r="AH458" s="49" t="n">
        <f aca="false">'Daily KPI Entry'!AH459</f>
        <v>0</v>
      </c>
      <c r="AI458" s="49" t="n">
        <f aca="false">'Daily KPI Entry'!AI459</f>
        <v>0</v>
      </c>
      <c r="AJ458" s="49" t="n">
        <f aca="false">'Daily KPI Entry'!AJ459</f>
        <v>0</v>
      </c>
      <c r="AK458" s="47" t="n">
        <f aca="false">'Daily KPI Entry'!AK459</f>
        <v>0</v>
      </c>
      <c r="AL458" s="47" t="n">
        <f aca="false">'Daily KPI Entry'!AL459</f>
        <v>0</v>
      </c>
      <c r="AM458" s="47" t="n">
        <f aca="false">'Daily KPI Entry'!AM459</f>
        <v>0</v>
      </c>
      <c r="AN458" s="49" t="str">
        <f aca="false">IF(P458="","",MIN(120,P458))</f>
        <v/>
      </c>
      <c r="AO458" s="49" t="str">
        <f aca="false">IF(U458="","",MIN(120,U458))</f>
        <v/>
      </c>
      <c r="AP458" s="49" t="str">
        <f aca="false">IF(R458="","",MIN(120,IFERROR(S458/R458*100,0)))</f>
        <v/>
      </c>
      <c r="AQ458" s="49" t="str">
        <f aca="false">IF(W458="","",MIN(120,IF(W458=0,120,100*(INDEX('Standards &amp; Scoring'!$E$5:$E$13,MATCH("Quality / Rejection",'Standards &amp; Scoring'!$A$5:$A$13,0))/W458))))</f>
        <v/>
      </c>
      <c r="AR458" s="49" t="str">
        <f aca="false">IF(AG458="","",MIN(120,IF(AG458=0,120,100*(INDEX('Standards &amp; Scoring'!$E$5:$E$13,MATCH("Fault Control",'Standards &amp; Scoring'!$A$5:$A$13,0))/AG458))))</f>
        <v/>
      </c>
      <c r="AS458" s="49" t="str">
        <f aca="false">IF(O458="","",MIN(120,IF(SUMIFS('Fault &amp; Downtime Entry'!$L$6:$L$1005,'Fault &amp; Downtime Entry'!$E$6:$E$1005,G458,'Fault &amp; Downtime Entry'!$B$6:$B$1005,B458)=0,120,100*(INDEX('Standards &amp; Scoring'!$E$5:$E$13,MATCH("Downtime Control",'Standards &amp; Scoring'!$A$5:$A$13,0))/IFERROR(SUMIFS('Fault &amp; Downtime Entry'!$L$6:$L$1005,'Fault &amp; Downtime Entry'!$E$6:$E$1005,G458,'Fault &amp; Downtime Entry'!$B$6:$B$1005,B458)/O458*1000,999999)))))</f>
        <v/>
      </c>
      <c r="AT458" s="49" t="n">
        <f aca="false">IF(COUNTA(AH458,AJ458)=0,"",MIN(120,IF(AND(AH458&lt;&gt;"",AJ458&lt;&gt;""),AVERAGE(AH458,AJ458),IF(AH458&lt;&gt;"",AH458,AJ458))))</f>
        <v>0</v>
      </c>
      <c r="AU458" s="49" t="str">
        <f aca="false">IF(AI458="","",MIN(120,AI458))</f>
        <v/>
      </c>
      <c r="AV458" s="49" t="str">
        <f aca="false">IF(AJ458="","",MIN(120,AJ458))</f>
        <v/>
      </c>
      <c r="AW458" s="50" t="str">
        <f aca="false">IF(COUNT(AN458:AV458)&lt;9,"",(AN458*'Standards &amp; Scoring'!$D$5+AO458*'Standards &amp; Scoring'!$D$6+AP458*'Standards &amp; Scoring'!$D$7+AQ458*'Standards &amp; Scoring'!$D$8+AR458*'Standards &amp; Scoring'!$D$9+AS458*'Standards &amp; Scoring'!$D$10+AT458*'Standards &amp; Scoring'!$D$11+AU458*'Standards &amp; Scoring'!$D$12+AV458*'Standards &amp; Scoring'!$D$13)/10000)</f>
        <v/>
      </c>
      <c r="AX458" s="47" t="str">
        <f aca="false">IF(AW458="","",IF(AW458&gt;=1.05,"A+",IF(AW458&gt;=1,"A",IF(AW458&gt;=0.95,"B+",IF(AW458&gt;=0.9,"B","C")))))</f>
        <v/>
      </c>
      <c r="AY458" s="47" t="str">
        <f aca="false">IF(AX458="","",IF(AX458="A+",1800,IF(AX458="A",1600,IF(AX458="B+",1400,IF(AX458="B",1200,0)))))</f>
        <v/>
      </c>
      <c r="AZ458" s="49" t="str">
        <f aca="false">IF(OR(L458="",M458="",S458="",M458=0),"",IFERROR(L458*60*S458/(M458*36),0))</f>
        <v/>
      </c>
    </row>
    <row r="459" customFormat="false" ht="15" hidden="false" customHeight="true" outlineLevel="0" collapsed="false">
      <c r="A459" s="47" t="n">
        <f aca="false">'Daily KPI Entry'!A460</f>
        <v>0</v>
      </c>
      <c r="B459" s="48" t="n">
        <f aca="false">'Daily KPI Entry'!B460</f>
        <v>0</v>
      </c>
      <c r="C459" s="47" t="n">
        <f aca="false">'Daily KPI Entry'!C460</f>
        <v>0</v>
      </c>
      <c r="D459" s="47" t="n">
        <f aca="false">'Daily KPI Entry'!D460</f>
        <v>0</v>
      </c>
      <c r="E459" s="47" t="n">
        <f aca="false">'Daily KPI Entry'!E460</f>
        <v>0</v>
      </c>
      <c r="F459" s="47" t="n">
        <f aca="false">'Daily KPI Entry'!F460</f>
        <v>0</v>
      </c>
      <c r="G459" s="47" t="n">
        <f aca="false">'Daily KPI Entry'!G460</f>
        <v>0</v>
      </c>
      <c r="H459" s="47" t="str">
        <f aca="false">'Daily KPI Entry'!H460</f>
        <v/>
      </c>
      <c r="I459" s="47" t="n">
        <f aca="false">'Daily KPI Entry'!I460</f>
        <v>0</v>
      </c>
      <c r="J459" s="47" t="n">
        <f aca="false">'Daily KPI Entry'!J460</f>
        <v>0</v>
      </c>
      <c r="K459" s="47" t="n">
        <f aca="false">'Daily KPI Entry'!K460</f>
        <v>0</v>
      </c>
      <c r="L459" s="47" t="n">
        <f aca="false">'Daily KPI Entry'!L460</f>
        <v>0</v>
      </c>
      <c r="M459" s="47" t="n">
        <f aca="false">'Daily KPI Entry'!M460</f>
        <v>0</v>
      </c>
      <c r="N459" s="49" t="n">
        <f aca="false">'Daily KPI Entry'!N460</f>
        <v>0</v>
      </c>
      <c r="O459" s="49" t="n">
        <f aca="false">'Daily KPI Entry'!O460</f>
        <v>0</v>
      </c>
      <c r="P459" s="49" t="str">
        <f aca="false">IF(OR(N459="",O459=""),"",IFERROR(O459/N459*100,0))</f>
        <v/>
      </c>
      <c r="Q459" s="47" t="n">
        <f aca="false">'Daily KPI Entry'!Q460</f>
        <v>8</v>
      </c>
      <c r="R459" s="47" t="str">
        <f aca="false">IF(J459="","",Q459*J459)</f>
        <v/>
      </c>
      <c r="S459" s="49" t="n">
        <f aca="false">'Daily KPI Entry'!S460</f>
        <v>0</v>
      </c>
      <c r="T459" s="49" t="str">
        <f aca="false">IF(OR(R459="",S459=""),"",IFERROR(S459/R459*100,0))</f>
        <v/>
      </c>
      <c r="U459" s="49" t="str">
        <f aca="false">IF(OR(O459="",L459="",M459="",S459="",M459=0),"",IFERROR(O459/(L459*60*S459/(M459*36))*100,0))</f>
        <v/>
      </c>
      <c r="V459" s="49" t="n">
        <f aca="false">'Daily KPI Entry'!V460</f>
        <v>0</v>
      </c>
      <c r="W459" s="49" t="str">
        <f aca="false">IF(O459="","",IFERROR(V459/O459*100,0))</f>
        <v/>
      </c>
      <c r="X459" s="49" t="n">
        <f aca="false">'Daily KPI Entry'!X460</f>
        <v>0</v>
      </c>
      <c r="Y459" s="49" t="n">
        <f aca="false">'Daily KPI Entry'!Y460</f>
        <v>0</v>
      </c>
      <c r="Z459" s="49" t="n">
        <f aca="false">'Daily KPI Entry'!Z460</f>
        <v>0</v>
      </c>
      <c r="AA459" s="49" t="n">
        <f aca="false">'Daily KPI Entry'!AA460</f>
        <v>0</v>
      </c>
      <c r="AB459" s="49" t="n">
        <f aca="false">'Daily KPI Entry'!AB460</f>
        <v>0</v>
      </c>
      <c r="AC459" s="49" t="n">
        <f aca="false">'Daily KPI Entry'!AC460</f>
        <v>0</v>
      </c>
      <c r="AD459" s="49" t="n">
        <f aca="false">'Daily KPI Entry'!AD460</f>
        <v>0</v>
      </c>
      <c r="AE459" s="49" t="n">
        <f aca="false">'Daily KPI Entry'!AE460</f>
        <v>0</v>
      </c>
      <c r="AF459" s="47" t="str">
        <f aca="false">IF(O459="","",SUM(X459:AE459))</f>
        <v/>
      </c>
      <c r="AG459" s="49" t="str">
        <f aca="false">IF(O459="","",IFERROR(AF459/O459*1000,0))</f>
        <v/>
      </c>
      <c r="AH459" s="49" t="n">
        <f aca="false">'Daily KPI Entry'!AH460</f>
        <v>0</v>
      </c>
      <c r="AI459" s="49" t="n">
        <f aca="false">'Daily KPI Entry'!AI460</f>
        <v>0</v>
      </c>
      <c r="AJ459" s="49" t="n">
        <f aca="false">'Daily KPI Entry'!AJ460</f>
        <v>0</v>
      </c>
      <c r="AK459" s="47" t="n">
        <f aca="false">'Daily KPI Entry'!AK460</f>
        <v>0</v>
      </c>
      <c r="AL459" s="47" t="n">
        <f aca="false">'Daily KPI Entry'!AL460</f>
        <v>0</v>
      </c>
      <c r="AM459" s="47" t="n">
        <f aca="false">'Daily KPI Entry'!AM460</f>
        <v>0</v>
      </c>
      <c r="AN459" s="49" t="str">
        <f aca="false">IF(P459="","",MIN(120,P459))</f>
        <v/>
      </c>
      <c r="AO459" s="49" t="str">
        <f aca="false">IF(U459="","",MIN(120,U459))</f>
        <v/>
      </c>
      <c r="AP459" s="49" t="str">
        <f aca="false">IF(R459="","",MIN(120,IFERROR(S459/R459*100,0)))</f>
        <v/>
      </c>
      <c r="AQ459" s="49" t="str">
        <f aca="false">IF(W459="","",MIN(120,IF(W459=0,120,100*(INDEX('Standards &amp; Scoring'!$E$5:$E$13,MATCH("Quality / Rejection",'Standards &amp; Scoring'!$A$5:$A$13,0))/W459))))</f>
        <v/>
      </c>
      <c r="AR459" s="49" t="str">
        <f aca="false">IF(AG459="","",MIN(120,IF(AG459=0,120,100*(INDEX('Standards &amp; Scoring'!$E$5:$E$13,MATCH("Fault Control",'Standards &amp; Scoring'!$A$5:$A$13,0))/AG459))))</f>
        <v/>
      </c>
      <c r="AS459" s="49" t="str">
        <f aca="false">IF(O459="","",MIN(120,IF(SUMIFS('Fault &amp; Downtime Entry'!$L$6:$L$1005,'Fault &amp; Downtime Entry'!$E$6:$E$1005,G459,'Fault &amp; Downtime Entry'!$B$6:$B$1005,B459)=0,120,100*(INDEX('Standards &amp; Scoring'!$E$5:$E$13,MATCH("Downtime Control",'Standards &amp; Scoring'!$A$5:$A$13,0))/IFERROR(SUMIFS('Fault &amp; Downtime Entry'!$L$6:$L$1005,'Fault &amp; Downtime Entry'!$E$6:$E$1005,G459,'Fault &amp; Downtime Entry'!$B$6:$B$1005,B459)/O459*1000,999999)))))</f>
        <v/>
      </c>
      <c r="AT459" s="49" t="n">
        <f aca="false">IF(COUNTA(AH459,AJ459)=0,"",MIN(120,IF(AND(AH459&lt;&gt;"",AJ459&lt;&gt;""),AVERAGE(AH459,AJ459),IF(AH459&lt;&gt;"",AH459,AJ459))))</f>
        <v>0</v>
      </c>
      <c r="AU459" s="49" t="str">
        <f aca="false">IF(AI459="","",MIN(120,AI459))</f>
        <v/>
      </c>
      <c r="AV459" s="49" t="str">
        <f aca="false">IF(AJ459="","",MIN(120,AJ459))</f>
        <v/>
      </c>
      <c r="AW459" s="50" t="str">
        <f aca="false">IF(COUNT(AN459:AV459)&lt;9,"",(AN459*'Standards &amp; Scoring'!$D$5+AO459*'Standards &amp; Scoring'!$D$6+AP459*'Standards &amp; Scoring'!$D$7+AQ459*'Standards &amp; Scoring'!$D$8+AR459*'Standards &amp; Scoring'!$D$9+AS459*'Standards &amp; Scoring'!$D$10+AT459*'Standards &amp; Scoring'!$D$11+AU459*'Standards &amp; Scoring'!$D$12+AV459*'Standards &amp; Scoring'!$D$13)/10000)</f>
        <v/>
      </c>
      <c r="AX459" s="47" t="str">
        <f aca="false">IF(AW459="","",IF(AW459&gt;=1.05,"A+",IF(AW459&gt;=1,"A",IF(AW459&gt;=0.95,"B+",IF(AW459&gt;=0.9,"B","C")))))</f>
        <v/>
      </c>
      <c r="AY459" s="47" t="str">
        <f aca="false">IF(AX459="","",IF(AX459="A+",1800,IF(AX459="A",1600,IF(AX459="B+",1400,IF(AX459="B",1200,0)))))</f>
        <v/>
      </c>
      <c r="AZ459" s="49" t="str">
        <f aca="false">IF(OR(L459="",M459="",S459="",M459=0),"",IFERROR(L459*60*S459/(M459*36),0))</f>
        <v/>
      </c>
    </row>
    <row r="460" customFormat="false" ht="15" hidden="false" customHeight="true" outlineLevel="0" collapsed="false">
      <c r="A460" s="47" t="n">
        <f aca="false">'Daily KPI Entry'!A461</f>
        <v>0</v>
      </c>
      <c r="B460" s="48" t="n">
        <f aca="false">'Daily KPI Entry'!B461</f>
        <v>0</v>
      </c>
      <c r="C460" s="47" t="n">
        <f aca="false">'Daily KPI Entry'!C461</f>
        <v>0</v>
      </c>
      <c r="D460" s="47" t="n">
        <f aca="false">'Daily KPI Entry'!D461</f>
        <v>0</v>
      </c>
      <c r="E460" s="47" t="n">
        <f aca="false">'Daily KPI Entry'!E461</f>
        <v>0</v>
      </c>
      <c r="F460" s="47" t="n">
        <f aca="false">'Daily KPI Entry'!F461</f>
        <v>0</v>
      </c>
      <c r="G460" s="47" t="n">
        <f aca="false">'Daily KPI Entry'!G461</f>
        <v>0</v>
      </c>
      <c r="H460" s="47" t="str">
        <f aca="false">'Daily KPI Entry'!H461</f>
        <v/>
      </c>
      <c r="I460" s="47" t="n">
        <f aca="false">'Daily KPI Entry'!I461</f>
        <v>0</v>
      </c>
      <c r="J460" s="47" t="n">
        <f aca="false">'Daily KPI Entry'!J461</f>
        <v>0</v>
      </c>
      <c r="K460" s="47" t="n">
        <f aca="false">'Daily KPI Entry'!K461</f>
        <v>0</v>
      </c>
      <c r="L460" s="47" t="n">
        <f aca="false">'Daily KPI Entry'!L461</f>
        <v>0</v>
      </c>
      <c r="M460" s="47" t="n">
        <f aca="false">'Daily KPI Entry'!M461</f>
        <v>0</v>
      </c>
      <c r="N460" s="49" t="n">
        <f aca="false">'Daily KPI Entry'!N461</f>
        <v>0</v>
      </c>
      <c r="O460" s="49" t="n">
        <f aca="false">'Daily KPI Entry'!O461</f>
        <v>0</v>
      </c>
      <c r="P460" s="49" t="str">
        <f aca="false">IF(OR(N460="",O460=""),"",IFERROR(O460/N460*100,0))</f>
        <v/>
      </c>
      <c r="Q460" s="47" t="n">
        <f aca="false">'Daily KPI Entry'!Q461</f>
        <v>8</v>
      </c>
      <c r="R460" s="47" t="str">
        <f aca="false">IF(J460="","",Q460*J460)</f>
        <v/>
      </c>
      <c r="S460" s="49" t="n">
        <f aca="false">'Daily KPI Entry'!S461</f>
        <v>0</v>
      </c>
      <c r="T460" s="49" t="str">
        <f aca="false">IF(OR(R460="",S460=""),"",IFERROR(S460/R460*100,0))</f>
        <v/>
      </c>
      <c r="U460" s="49" t="str">
        <f aca="false">IF(OR(O460="",L460="",M460="",S460="",M460=0),"",IFERROR(O460/(L460*60*S460/(M460*36))*100,0))</f>
        <v/>
      </c>
      <c r="V460" s="49" t="n">
        <f aca="false">'Daily KPI Entry'!V461</f>
        <v>0</v>
      </c>
      <c r="W460" s="49" t="str">
        <f aca="false">IF(O460="","",IFERROR(V460/O460*100,0))</f>
        <v/>
      </c>
      <c r="X460" s="49" t="n">
        <f aca="false">'Daily KPI Entry'!X461</f>
        <v>0</v>
      </c>
      <c r="Y460" s="49" t="n">
        <f aca="false">'Daily KPI Entry'!Y461</f>
        <v>0</v>
      </c>
      <c r="Z460" s="49" t="n">
        <f aca="false">'Daily KPI Entry'!Z461</f>
        <v>0</v>
      </c>
      <c r="AA460" s="49" t="n">
        <f aca="false">'Daily KPI Entry'!AA461</f>
        <v>0</v>
      </c>
      <c r="AB460" s="49" t="n">
        <f aca="false">'Daily KPI Entry'!AB461</f>
        <v>0</v>
      </c>
      <c r="AC460" s="49" t="n">
        <f aca="false">'Daily KPI Entry'!AC461</f>
        <v>0</v>
      </c>
      <c r="AD460" s="49" t="n">
        <f aca="false">'Daily KPI Entry'!AD461</f>
        <v>0</v>
      </c>
      <c r="AE460" s="49" t="n">
        <f aca="false">'Daily KPI Entry'!AE461</f>
        <v>0</v>
      </c>
      <c r="AF460" s="47" t="str">
        <f aca="false">IF(O460="","",SUM(X460:AE460))</f>
        <v/>
      </c>
      <c r="AG460" s="49" t="str">
        <f aca="false">IF(O460="","",IFERROR(AF460/O460*1000,0))</f>
        <v/>
      </c>
      <c r="AH460" s="49" t="n">
        <f aca="false">'Daily KPI Entry'!AH461</f>
        <v>0</v>
      </c>
      <c r="AI460" s="49" t="n">
        <f aca="false">'Daily KPI Entry'!AI461</f>
        <v>0</v>
      </c>
      <c r="AJ460" s="49" t="n">
        <f aca="false">'Daily KPI Entry'!AJ461</f>
        <v>0</v>
      </c>
      <c r="AK460" s="47" t="n">
        <f aca="false">'Daily KPI Entry'!AK461</f>
        <v>0</v>
      </c>
      <c r="AL460" s="47" t="n">
        <f aca="false">'Daily KPI Entry'!AL461</f>
        <v>0</v>
      </c>
      <c r="AM460" s="47" t="n">
        <f aca="false">'Daily KPI Entry'!AM461</f>
        <v>0</v>
      </c>
      <c r="AN460" s="49" t="str">
        <f aca="false">IF(P460="","",MIN(120,P460))</f>
        <v/>
      </c>
      <c r="AO460" s="49" t="str">
        <f aca="false">IF(U460="","",MIN(120,U460))</f>
        <v/>
      </c>
      <c r="AP460" s="49" t="str">
        <f aca="false">IF(R460="","",MIN(120,IFERROR(S460/R460*100,0)))</f>
        <v/>
      </c>
      <c r="AQ460" s="49" t="str">
        <f aca="false">IF(W460="","",MIN(120,IF(W460=0,120,100*(INDEX('Standards &amp; Scoring'!$E$5:$E$13,MATCH("Quality / Rejection",'Standards &amp; Scoring'!$A$5:$A$13,0))/W460))))</f>
        <v/>
      </c>
      <c r="AR460" s="49" t="str">
        <f aca="false">IF(AG460="","",MIN(120,IF(AG460=0,120,100*(INDEX('Standards &amp; Scoring'!$E$5:$E$13,MATCH("Fault Control",'Standards &amp; Scoring'!$A$5:$A$13,0))/AG460))))</f>
        <v/>
      </c>
      <c r="AS460" s="49" t="str">
        <f aca="false">IF(O460="","",MIN(120,IF(SUMIFS('Fault &amp; Downtime Entry'!$L$6:$L$1005,'Fault &amp; Downtime Entry'!$E$6:$E$1005,G460,'Fault &amp; Downtime Entry'!$B$6:$B$1005,B460)=0,120,100*(INDEX('Standards &amp; Scoring'!$E$5:$E$13,MATCH("Downtime Control",'Standards &amp; Scoring'!$A$5:$A$13,0))/IFERROR(SUMIFS('Fault &amp; Downtime Entry'!$L$6:$L$1005,'Fault &amp; Downtime Entry'!$E$6:$E$1005,G460,'Fault &amp; Downtime Entry'!$B$6:$B$1005,B460)/O460*1000,999999)))))</f>
        <v/>
      </c>
      <c r="AT460" s="49" t="n">
        <f aca="false">IF(COUNTA(AH460,AJ460)=0,"",MIN(120,IF(AND(AH460&lt;&gt;"",AJ460&lt;&gt;""),AVERAGE(AH460,AJ460),IF(AH460&lt;&gt;"",AH460,AJ460))))</f>
        <v>0</v>
      </c>
      <c r="AU460" s="49" t="str">
        <f aca="false">IF(AI460="","",MIN(120,AI460))</f>
        <v/>
      </c>
      <c r="AV460" s="49" t="str">
        <f aca="false">IF(AJ460="","",MIN(120,AJ460))</f>
        <v/>
      </c>
      <c r="AW460" s="50" t="str">
        <f aca="false">IF(COUNT(AN460:AV460)&lt;9,"",(AN460*'Standards &amp; Scoring'!$D$5+AO460*'Standards &amp; Scoring'!$D$6+AP460*'Standards &amp; Scoring'!$D$7+AQ460*'Standards &amp; Scoring'!$D$8+AR460*'Standards &amp; Scoring'!$D$9+AS460*'Standards &amp; Scoring'!$D$10+AT460*'Standards &amp; Scoring'!$D$11+AU460*'Standards &amp; Scoring'!$D$12+AV460*'Standards &amp; Scoring'!$D$13)/10000)</f>
        <v/>
      </c>
      <c r="AX460" s="47" t="str">
        <f aca="false">IF(AW460="","",IF(AW460&gt;=1.05,"A+",IF(AW460&gt;=1,"A",IF(AW460&gt;=0.95,"B+",IF(AW460&gt;=0.9,"B","C")))))</f>
        <v/>
      </c>
      <c r="AY460" s="47" t="str">
        <f aca="false">IF(AX460="","",IF(AX460="A+",1800,IF(AX460="A",1600,IF(AX460="B+",1400,IF(AX460="B",1200,0)))))</f>
        <v/>
      </c>
      <c r="AZ460" s="49" t="str">
        <f aca="false">IF(OR(L460="",M460="",S460="",M460=0),"",IFERROR(L460*60*S460/(M460*36),0))</f>
        <v/>
      </c>
    </row>
    <row r="461" customFormat="false" ht="15" hidden="false" customHeight="true" outlineLevel="0" collapsed="false">
      <c r="A461" s="47" t="n">
        <f aca="false">'Daily KPI Entry'!A462</f>
        <v>0</v>
      </c>
      <c r="B461" s="48" t="n">
        <f aca="false">'Daily KPI Entry'!B462</f>
        <v>0</v>
      </c>
      <c r="C461" s="47" t="n">
        <f aca="false">'Daily KPI Entry'!C462</f>
        <v>0</v>
      </c>
      <c r="D461" s="47" t="n">
        <f aca="false">'Daily KPI Entry'!D462</f>
        <v>0</v>
      </c>
      <c r="E461" s="47" t="n">
        <f aca="false">'Daily KPI Entry'!E462</f>
        <v>0</v>
      </c>
      <c r="F461" s="47" t="n">
        <f aca="false">'Daily KPI Entry'!F462</f>
        <v>0</v>
      </c>
      <c r="G461" s="47" t="n">
        <f aca="false">'Daily KPI Entry'!G462</f>
        <v>0</v>
      </c>
      <c r="H461" s="47" t="str">
        <f aca="false">'Daily KPI Entry'!H462</f>
        <v/>
      </c>
      <c r="I461" s="47" t="n">
        <f aca="false">'Daily KPI Entry'!I462</f>
        <v>0</v>
      </c>
      <c r="J461" s="47" t="n">
        <f aca="false">'Daily KPI Entry'!J462</f>
        <v>0</v>
      </c>
      <c r="K461" s="47" t="n">
        <f aca="false">'Daily KPI Entry'!K462</f>
        <v>0</v>
      </c>
      <c r="L461" s="47" t="n">
        <f aca="false">'Daily KPI Entry'!L462</f>
        <v>0</v>
      </c>
      <c r="M461" s="47" t="n">
        <f aca="false">'Daily KPI Entry'!M462</f>
        <v>0</v>
      </c>
      <c r="N461" s="49" t="n">
        <f aca="false">'Daily KPI Entry'!N462</f>
        <v>0</v>
      </c>
      <c r="O461" s="49" t="n">
        <f aca="false">'Daily KPI Entry'!O462</f>
        <v>0</v>
      </c>
      <c r="P461" s="49" t="str">
        <f aca="false">IF(OR(N461="",O461=""),"",IFERROR(O461/N461*100,0))</f>
        <v/>
      </c>
      <c r="Q461" s="47" t="n">
        <f aca="false">'Daily KPI Entry'!Q462</f>
        <v>8</v>
      </c>
      <c r="R461" s="47" t="str">
        <f aca="false">IF(J461="","",Q461*J461)</f>
        <v/>
      </c>
      <c r="S461" s="49" t="n">
        <f aca="false">'Daily KPI Entry'!S462</f>
        <v>0</v>
      </c>
      <c r="T461" s="49" t="str">
        <f aca="false">IF(OR(R461="",S461=""),"",IFERROR(S461/R461*100,0))</f>
        <v/>
      </c>
      <c r="U461" s="49" t="str">
        <f aca="false">IF(OR(O461="",L461="",M461="",S461="",M461=0),"",IFERROR(O461/(L461*60*S461/(M461*36))*100,0))</f>
        <v/>
      </c>
      <c r="V461" s="49" t="n">
        <f aca="false">'Daily KPI Entry'!V462</f>
        <v>0</v>
      </c>
      <c r="W461" s="49" t="str">
        <f aca="false">IF(O461="","",IFERROR(V461/O461*100,0))</f>
        <v/>
      </c>
      <c r="X461" s="49" t="n">
        <f aca="false">'Daily KPI Entry'!X462</f>
        <v>0</v>
      </c>
      <c r="Y461" s="49" t="n">
        <f aca="false">'Daily KPI Entry'!Y462</f>
        <v>0</v>
      </c>
      <c r="Z461" s="49" t="n">
        <f aca="false">'Daily KPI Entry'!Z462</f>
        <v>0</v>
      </c>
      <c r="AA461" s="49" t="n">
        <f aca="false">'Daily KPI Entry'!AA462</f>
        <v>0</v>
      </c>
      <c r="AB461" s="49" t="n">
        <f aca="false">'Daily KPI Entry'!AB462</f>
        <v>0</v>
      </c>
      <c r="AC461" s="49" t="n">
        <f aca="false">'Daily KPI Entry'!AC462</f>
        <v>0</v>
      </c>
      <c r="AD461" s="49" t="n">
        <f aca="false">'Daily KPI Entry'!AD462</f>
        <v>0</v>
      </c>
      <c r="AE461" s="49" t="n">
        <f aca="false">'Daily KPI Entry'!AE462</f>
        <v>0</v>
      </c>
      <c r="AF461" s="47" t="str">
        <f aca="false">IF(O461="","",SUM(X461:AE461))</f>
        <v/>
      </c>
      <c r="AG461" s="49" t="str">
        <f aca="false">IF(O461="","",IFERROR(AF461/O461*1000,0))</f>
        <v/>
      </c>
      <c r="AH461" s="49" t="n">
        <f aca="false">'Daily KPI Entry'!AH462</f>
        <v>0</v>
      </c>
      <c r="AI461" s="49" t="n">
        <f aca="false">'Daily KPI Entry'!AI462</f>
        <v>0</v>
      </c>
      <c r="AJ461" s="49" t="n">
        <f aca="false">'Daily KPI Entry'!AJ462</f>
        <v>0</v>
      </c>
      <c r="AK461" s="47" t="n">
        <f aca="false">'Daily KPI Entry'!AK462</f>
        <v>0</v>
      </c>
      <c r="AL461" s="47" t="n">
        <f aca="false">'Daily KPI Entry'!AL462</f>
        <v>0</v>
      </c>
      <c r="AM461" s="47" t="n">
        <f aca="false">'Daily KPI Entry'!AM462</f>
        <v>0</v>
      </c>
      <c r="AN461" s="49" t="str">
        <f aca="false">IF(P461="","",MIN(120,P461))</f>
        <v/>
      </c>
      <c r="AO461" s="49" t="str">
        <f aca="false">IF(U461="","",MIN(120,U461))</f>
        <v/>
      </c>
      <c r="AP461" s="49" t="str">
        <f aca="false">IF(R461="","",MIN(120,IFERROR(S461/R461*100,0)))</f>
        <v/>
      </c>
      <c r="AQ461" s="49" t="str">
        <f aca="false">IF(W461="","",MIN(120,IF(W461=0,120,100*(INDEX('Standards &amp; Scoring'!$E$5:$E$13,MATCH("Quality / Rejection",'Standards &amp; Scoring'!$A$5:$A$13,0))/W461))))</f>
        <v/>
      </c>
      <c r="AR461" s="49" t="str">
        <f aca="false">IF(AG461="","",MIN(120,IF(AG461=0,120,100*(INDEX('Standards &amp; Scoring'!$E$5:$E$13,MATCH("Fault Control",'Standards &amp; Scoring'!$A$5:$A$13,0))/AG461))))</f>
        <v/>
      </c>
      <c r="AS461" s="49" t="str">
        <f aca="false">IF(O461="","",MIN(120,IF(SUMIFS('Fault &amp; Downtime Entry'!$L$6:$L$1005,'Fault &amp; Downtime Entry'!$E$6:$E$1005,G461,'Fault &amp; Downtime Entry'!$B$6:$B$1005,B461)=0,120,100*(INDEX('Standards &amp; Scoring'!$E$5:$E$13,MATCH("Downtime Control",'Standards &amp; Scoring'!$A$5:$A$13,0))/IFERROR(SUMIFS('Fault &amp; Downtime Entry'!$L$6:$L$1005,'Fault &amp; Downtime Entry'!$E$6:$E$1005,G461,'Fault &amp; Downtime Entry'!$B$6:$B$1005,B461)/O461*1000,999999)))))</f>
        <v/>
      </c>
      <c r="AT461" s="49" t="n">
        <f aca="false">IF(COUNTA(AH461,AJ461)=0,"",MIN(120,IF(AND(AH461&lt;&gt;"",AJ461&lt;&gt;""),AVERAGE(AH461,AJ461),IF(AH461&lt;&gt;"",AH461,AJ461))))</f>
        <v>0</v>
      </c>
      <c r="AU461" s="49" t="str">
        <f aca="false">IF(AI461="","",MIN(120,AI461))</f>
        <v/>
      </c>
      <c r="AV461" s="49" t="str">
        <f aca="false">IF(AJ461="","",MIN(120,AJ461))</f>
        <v/>
      </c>
      <c r="AW461" s="50" t="str">
        <f aca="false">IF(COUNT(AN461:AV461)&lt;9,"",(AN461*'Standards &amp; Scoring'!$D$5+AO461*'Standards &amp; Scoring'!$D$6+AP461*'Standards &amp; Scoring'!$D$7+AQ461*'Standards &amp; Scoring'!$D$8+AR461*'Standards &amp; Scoring'!$D$9+AS461*'Standards &amp; Scoring'!$D$10+AT461*'Standards &amp; Scoring'!$D$11+AU461*'Standards &amp; Scoring'!$D$12+AV461*'Standards &amp; Scoring'!$D$13)/10000)</f>
        <v/>
      </c>
      <c r="AX461" s="47" t="str">
        <f aca="false">IF(AW461="","",IF(AW461&gt;=1.05,"A+",IF(AW461&gt;=1,"A",IF(AW461&gt;=0.95,"B+",IF(AW461&gt;=0.9,"B","C")))))</f>
        <v/>
      </c>
      <c r="AY461" s="47" t="str">
        <f aca="false">IF(AX461="","",IF(AX461="A+",1800,IF(AX461="A",1600,IF(AX461="B+",1400,IF(AX461="B",1200,0)))))</f>
        <v/>
      </c>
      <c r="AZ461" s="49" t="str">
        <f aca="false">IF(OR(L461="",M461="",S461="",M461=0),"",IFERROR(L461*60*S461/(M461*36),0))</f>
        <v/>
      </c>
    </row>
    <row r="462" customFormat="false" ht="15" hidden="false" customHeight="true" outlineLevel="0" collapsed="false">
      <c r="A462" s="47" t="n">
        <f aca="false">'Daily KPI Entry'!A463</f>
        <v>0</v>
      </c>
      <c r="B462" s="48" t="n">
        <f aca="false">'Daily KPI Entry'!B463</f>
        <v>0</v>
      </c>
      <c r="C462" s="47" t="n">
        <f aca="false">'Daily KPI Entry'!C463</f>
        <v>0</v>
      </c>
      <c r="D462" s="47" t="n">
        <f aca="false">'Daily KPI Entry'!D463</f>
        <v>0</v>
      </c>
      <c r="E462" s="47" t="n">
        <f aca="false">'Daily KPI Entry'!E463</f>
        <v>0</v>
      </c>
      <c r="F462" s="47" t="n">
        <f aca="false">'Daily KPI Entry'!F463</f>
        <v>0</v>
      </c>
      <c r="G462" s="47" t="n">
        <f aca="false">'Daily KPI Entry'!G463</f>
        <v>0</v>
      </c>
      <c r="H462" s="47" t="str">
        <f aca="false">'Daily KPI Entry'!H463</f>
        <v/>
      </c>
      <c r="I462" s="47" t="n">
        <f aca="false">'Daily KPI Entry'!I463</f>
        <v>0</v>
      </c>
      <c r="J462" s="47" t="n">
        <f aca="false">'Daily KPI Entry'!J463</f>
        <v>0</v>
      </c>
      <c r="K462" s="47" t="n">
        <f aca="false">'Daily KPI Entry'!K463</f>
        <v>0</v>
      </c>
      <c r="L462" s="47" t="n">
        <f aca="false">'Daily KPI Entry'!L463</f>
        <v>0</v>
      </c>
      <c r="M462" s="47" t="n">
        <f aca="false">'Daily KPI Entry'!M463</f>
        <v>0</v>
      </c>
      <c r="N462" s="49" t="n">
        <f aca="false">'Daily KPI Entry'!N463</f>
        <v>0</v>
      </c>
      <c r="O462" s="49" t="n">
        <f aca="false">'Daily KPI Entry'!O463</f>
        <v>0</v>
      </c>
      <c r="P462" s="49" t="str">
        <f aca="false">IF(OR(N462="",O462=""),"",IFERROR(O462/N462*100,0))</f>
        <v/>
      </c>
      <c r="Q462" s="47" t="n">
        <f aca="false">'Daily KPI Entry'!Q463</f>
        <v>8</v>
      </c>
      <c r="R462" s="47" t="str">
        <f aca="false">IF(J462="","",Q462*J462)</f>
        <v/>
      </c>
      <c r="S462" s="49" t="n">
        <f aca="false">'Daily KPI Entry'!S463</f>
        <v>0</v>
      </c>
      <c r="T462" s="49" t="str">
        <f aca="false">IF(OR(R462="",S462=""),"",IFERROR(S462/R462*100,0))</f>
        <v/>
      </c>
      <c r="U462" s="49" t="str">
        <f aca="false">IF(OR(O462="",L462="",M462="",S462="",M462=0),"",IFERROR(O462/(L462*60*S462/(M462*36))*100,0))</f>
        <v/>
      </c>
      <c r="V462" s="49" t="n">
        <f aca="false">'Daily KPI Entry'!V463</f>
        <v>0</v>
      </c>
      <c r="W462" s="49" t="str">
        <f aca="false">IF(O462="","",IFERROR(V462/O462*100,0))</f>
        <v/>
      </c>
      <c r="X462" s="49" t="n">
        <f aca="false">'Daily KPI Entry'!X463</f>
        <v>0</v>
      </c>
      <c r="Y462" s="49" t="n">
        <f aca="false">'Daily KPI Entry'!Y463</f>
        <v>0</v>
      </c>
      <c r="Z462" s="49" t="n">
        <f aca="false">'Daily KPI Entry'!Z463</f>
        <v>0</v>
      </c>
      <c r="AA462" s="49" t="n">
        <f aca="false">'Daily KPI Entry'!AA463</f>
        <v>0</v>
      </c>
      <c r="AB462" s="49" t="n">
        <f aca="false">'Daily KPI Entry'!AB463</f>
        <v>0</v>
      </c>
      <c r="AC462" s="49" t="n">
        <f aca="false">'Daily KPI Entry'!AC463</f>
        <v>0</v>
      </c>
      <c r="AD462" s="49" t="n">
        <f aca="false">'Daily KPI Entry'!AD463</f>
        <v>0</v>
      </c>
      <c r="AE462" s="49" t="n">
        <f aca="false">'Daily KPI Entry'!AE463</f>
        <v>0</v>
      </c>
      <c r="AF462" s="47" t="str">
        <f aca="false">IF(O462="","",SUM(X462:AE462))</f>
        <v/>
      </c>
      <c r="AG462" s="49" t="str">
        <f aca="false">IF(O462="","",IFERROR(AF462/O462*1000,0))</f>
        <v/>
      </c>
      <c r="AH462" s="49" t="n">
        <f aca="false">'Daily KPI Entry'!AH463</f>
        <v>0</v>
      </c>
      <c r="AI462" s="49" t="n">
        <f aca="false">'Daily KPI Entry'!AI463</f>
        <v>0</v>
      </c>
      <c r="AJ462" s="49" t="n">
        <f aca="false">'Daily KPI Entry'!AJ463</f>
        <v>0</v>
      </c>
      <c r="AK462" s="47" t="n">
        <f aca="false">'Daily KPI Entry'!AK463</f>
        <v>0</v>
      </c>
      <c r="AL462" s="47" t="n">
        <f aca="false">'Daily KPI Entry'!AL463</f>
        <v>0</v>
      </c>
      <c r="AM462" s="47" t="n">
        <f aca="false">'Daily KPI Entry'!AM463</f>
        <v>0</v>
      </c>
      <c r="AN462" s="49" t="str">
        <f aca="false">IF(P462="","",MIN(120,P462))</f>
        <v/>
      </c>
      <c r="AO462" s="49" t="str">
        <f aca="false">IF(U462="","",MIN(120,U462))</f>
        <v/>
      </c>
      <c r="AP462" s="49" t="str">
        <f aca="false">IF(R462="","",MIN(120,IFERROR(S462/R462*100,0)))</f>
        <v/>
      </c>
      <c r="AQ462" s="49" t="str">
        <f aca="false">IF(W462="","",MIN(120,IF(W462=0,120,100*(INDEX('Standards &amp; Scoring'!$E$5:$E$13,MATCH("Quality / Rejection",'Standards &amp; Scoring'!$A$5:$A$13,0))/W462))))</f>
        <v/>
      </c>
      <c r="AR462" s="49" t="str">
        <f aca="false">IF(AG462="","",MIN(120,IF(AG462=0,120,100*(INDEX('Standards &amp; Scoring'!$E$5:$E$13,MATCH("Fault Control",'Standards &amp; Scoring'!$A$5:$A$13,0))/AG462))))</f>
        <v/>
      </c>
      <c r="AS462" s="49" t="str">
        <f aca="false">IF(O462="","",MIN(120,IF(SUMIFS('Fault &amp; Downtime Entry'!$L$6:$L$1005,'Fault &amp; Downtime Entry'!$E$6:$E$1005,G462,'Fault &amp; Downtime Entry'!$B$6:$B$1005,B462)=0,120,100*(INDEX('Standards &amp; Scoring'!$E$5:$E$13,MATCH("Downtime Control",'Standards &amp; Scoring'!$A$5:$A$13,0))/IFERROR(SUMIFS('Fault &amp; Downtime Entry'!$L$6:$L$1005,'Fault &amp; Downtime Entry'!$E$6:$E$1005,G462,'Fault &amp; Downtime Entry'!$B$6:$B$1005,B462)/O462*1000,999999)))))</f>
        <v/>
      </c>
      <c r="AT462" s="49" t="n">
        <f aca="false">IF(COUNTA(AH462,AJ462)=0,"",MIN(120,IF(AND(AH462&lt;&gt;"",AJ462&lt;&gt;""),AVERAGE(AH462,AJ462),IF(AH462&lt;&gt;"",AH462,AJ462))))</f>
        <v>0</v>
      </c>
      <c r="AU462" s="49" t="str">
        <f aca="false">IF(AI462="","",MIN(120,AI462))</f>
        <v/>
      </c>
      <c r="AV462" s="49" t="str">
        <f aca="false">IF(AJ462="","",MIN(120,AJ462))</f>
        <v/>
      </c>
      <c r="AW462" s="50" t="str">
        <f aca="false">IF(COUNT(AN462:AV462)&lt;9,"",(AN462*'Standards &amp; Scoring'!$D$5+AO462*'Standards &amp; Scoring'!$D$6+AP462*'Standards &amp; Scoring'!$D$7+AQ462*'Standards &amp; Scoring'!$D$8+AR462*'Standards &amp; Scoring'!$D$9+AS462*'Standards &amp; Scoring'!$D$10+AT462*'Standards &amp; Scoring'!$D$11+AU462*'Standards &amp; Scoring'!$D$12+AV462*'Standards &amp; Scoring'!$D$13)/10000)</f>
        <v/>
      </c>
      <c r="AX462" s="47" t="str">
        <f aca="false">IF(AW462="","",IF(AW462&gt;=1.05,"A+",IF(AW462&gt;=1,"A",IF(AW462&gt;=0.95,"B+",IF(AW462&gt;=0.9,"B","C")))))</f>
        <v/>
      </c>
      <c r="AY462" s="47" t="str">
        <f aca="false">IF(AX462="","",IF(AX462="A+",1800,IF(AX462="A",1600,IF(AX462="B+",1400,IF(AX462="B",1200,0)))))</f>
        <v/>
      </c>
      <c r="AZ462" s="49" t="str">
        <f aca="false">IF(OR(L462="",M462="",S462="",M462=0),"",IFERROR(L462*60*S462/(M462*36),0))</f>
        <v/>
      </c>
    </row>
    <row r="463" customFormat="false" ht="15" hidden="false" customHeight="true" outlineLevel="0" collapsed="false">
      <c r="A463" s="47" t="n">
        <f aca="false">'Daily KPI Entry'!A464</f>
        <v>0</v>
      </c>
      <c r="B463" s="48" t="n">
        <f aca="false">'Daily KPI Entry'!B464</f>
        <v>0</v>
      </c>
      <c r="C463" s="47" t="n">
        <f aca="false">'Daily KPI Entry'!C464</f>
        <v>0</v>
      </c>
      <c r="D463" s="47" t="n">
        <f aca="false">'Daily KPI Entry'!D464</f>
        <v>0</v>
      </c>
      <c r="E463" s="47" t="n">
        <f aca="false">'Daily KPI Entry'!E464</f>
        <v>0</v>
      </c>
      <c r="F463" s="47" t="n">
        <f aca="false">'Daily KPI Entry'!F464</f>
        <v>0</v>
      </c>
      <c r="G463" s="47" t="n">
        <f aca="false">'Daily KPI Entry'!G464</f>
        <v>0</v>
      </c>
      <c r="H463" s="47" t="str">
        <f aca="false">'Daily KPI Entry'!H464</f>
        <v/>
      </c>
      <c r="I463" s="47" t="n">
        <f aca="false">'Daily KPI Entry'!I464</f>
        <v>0</v>
      </c>
      <c r="J463" s="47" t="n">
        <f aca="false">'Daily KPI Entry'!J464</f>
        <v>0</v>
      </c>
      <c r="K463" s="47" t="n">
        <f aca="false">'Daily KPI Entry'!K464</f>
        <v>0</v>
      </c>
      <c r="L463" s="47" t="n">
        <f aca="false">'Daily KPI Entry'!L464</f>
        <v>0</v>
      </c>
      <c r="M463" s="47" t="n">
        <f aca="false">'Daily KPI Entry'!M464</f>
        <v>0</v>
      </c>
      <c r="N463" s="49" t="n">
        <f aca="false">'Daily KPI Entry'!N464</f>
        <v>0</v>
      </c>
      <c r="O463" s="49" t="n">
        <f aca="false">'Daily KPI Entry'!O464</f>
        <v>0</v>
      </c>
      <c r="P463" s="49" t="str">
        <f aca="false">IF(OR(N463="",O463=""),"",IFERROR(O463/N463*100,0))</f>
        <v/>
      </c>
      <c r="Q463" s="47" t="n">
        <f aca="false">'Daily KPI Entry'!Q464</f>
        <v>8</v>
      </c>
      <c r="R463" s="47" t="str">
        <f aca="false">IF(J463="","",Q463*J463)</f>
        <v/>
      </c>
      <c r="S463" s="49" t="n">
        <f aca="false">'Daily KPI Entry'!S464</f>
        <v>0</v>
      </c>
      <c r="T463" s="49" t="str">
        <f aca="false">IF(OR(R463="",S463=""),"",IFERROR(S463/R463*100,0))</f>
        <v/>
      </c>
      <c r="U463" s="49" t="str">
        <f aca="false">IF(OR(O463="",L463="",M463="",S463="",M463=0),"",IFERROR(O463/(L463*60*S463/(M463*36))*100,0))</f>
        <v/>
      </c>
      <c r="V463" s="49" t="n">
        <f aca="false">'Daily KPI Entry'!V464</f>
        <v>0</v>
      </c>
      <c r="W463" s="49" t="str">
        <f aca="false">IF(O463="","",IFERROR(V463/O463*100,0))</f>
        <v/>
      </c>
      <c r="X463" s="49" t="n">
        <f aca="false">'Daily KPI Entry'!X464</f>
        <v>0</v>
      </c>
      <c r="Y463" s="49" t="n">
        <f aca="false">'Daily KPI Entry'!Y464</f>
        <v>0</v>
      </c>
      <c r="Z463" s="49" t="n">
        <f aca="false">'Daily KPI Entry'!Z464</f>
        <v>0</v>
      </c>
      <c r="AA463" s="49" t="n">
        <f aca="false">'Daily KPI Entry'!AA464</f>
        <v>0</v>
      </c>
      <c r="AB463" s="49" t="n">
        <f aca="false">'Daily KPI Entry'!AB464</f>
        <v>0</v>
      </c>
      <c r="AC463" s="49" t="n">
        <f aca="false">'Daily KPI Entry'!AC464</f>
        <v>0</v>
      </c>
      <c r="AD463" s="49" t="n">
        <f aca="false">'Daily KPI Entry'!AD464</f>
        <v>0</v>
      </c>
      <c r="AE463" s="49" t="n">
        <f aca="false">'Daily KPI Entry'!AE464</f>
        <v>0</v>
      </c>
      <c r="AF463" s="47" t="str">
        <f aca="false">IF(O463="","",SUM(X463:AE463))</f>
        <v/>
      </c>
      <c r="AG463" s="49" t="str">
        <f aca="false">IF(O463="","",IFERROR(AF463/O463*1000,0))</f>
        <v/>
      </c>
      <c r="AH463" s="49" t="n">
        <f aca="false">'Daily KPI Entry'!AH464</f>
        <v>0</v>
      </c>
      <c r="AI463" s="49" t="n">
        <f aca="false">'Daily KPI Entry'!AI464</f>
        <v>0</v>
      </c>
      <c r="AJ463" s="49" t="n">
        <f aca="false">'Daily KPI Entry'!AJ464</f>
        <v>0</v>
      </c>
      <c r="AK463" s="47" t="n">
        <f aca="false">'Daily KPI Entry'!AK464</f>
        <v>0</v>
      </c>
      <c r="AL463" s="47" t="n">
        <f aca="false">'Daily KPI Entry'!AL464</f>
        <v>0</v>
      </c>
      <c r="AM463" s="47" t="n">
        <f aca="false">'Daily KPI Entry'!AM464</f>
        <v>0</v>
      </c>
      <c r="AN463" s="49" t="str">
        <f aca="false">IF(P463="","",MIN(120,P463))</f>
        <v/>
      </c>
      <c r="AO463" s="49" t="str">
        <f aca="false">IF(U463="","",MIN(120,U463))</f>
        <v/>
      </c>
      <c r="AP463" s="49" t="str">
        <f aca="false">IF(R463="","",MIN(120,IFERROR(S463/R463*100,0)))</f>
        <v/>
      </c>
      <c r="AQ463" s="49" t="str">
        <f aca="false">IF(W463="","",MIN(120,IF(W463=0,120,100*(INDEX('Standards &amp; Scoring'!$E$5:$E$13,MATCH("Quality / Rejection",'Standards &amp; Scoring'!$A$5:$A$13,0))/W463))))</f>
        <v/>
      </c>
      <c r="AR463" s="49" t="str">
        <f aca="false">IF(AG463="","",MIN(120,IF(AG463=0,120,100*(INDEX('Standards &amp; Scoring'!$E$5:$E$13,MATCH("Fault Control",'Standards &amp; Scoring'!$A$5:$A$13,0))/AG463))))</f>
        <v/>
      </c>
      <c r="AS463" s="49" t="str">
        <f aca="false">IF(O463="","",MIN(120,IF(SUMIFS('Fault &amp; Downtime Entry'!$L$6:$L$1005,'Fault &amp; Downtime Entry'!$E$6:$E$1005,G463,'Fault &amp; Downtime Entry'!$B$6:$B$1005,B463)=0,120,100*(INDEX('Standards &amp; Scoring'!$E$5:$E$13,MATCH("Downtime Control",'Standards &amp; Scoring'!$A$5:$A$13,0))/IFERROR(SUMIFS('Fault &amp; Downtime Entry'!$L$6:$L$1005,'Fault &amp; Downtime Entry'!$E$6:$E$1005,G463,'Fault &amp; Downtime Entry'!$B$6:$B$1005,B463)/O463*1000,999999)))))</f>
        <v/>
      </c>
      <c r="AT463" s="49" t="n">
        <f aca="false">IF(COUNTA(AH463,AJ463)=0,"",MIN(120,IF(AND(AH463&lt;&gt;"",AJ463&lt;&gt;""),AVERAGE(AH463,AJ463),IF(AH463&lt;&gt;"",AH463,AJ463))))</f>
        <v>0</v>
      </c>
      <c r="AU463" s="49" t="str">
        <f aca="false">IF(AI463="","",MIN(120,AI463))</f>
        <v/>
      </c>
      <c r="AV463" s="49" t="str">
        <f aca="false">IF(AJ463="","",MIN(120,AJ463))</f>
        <v/>
      </c>
      <c r="AW463" s="50" t="str">
        <f aca="false">IF(COUNT(AN463:AV463)&lt;9,"",(AN463*'Standards &amp; Scoring'!$D$5+AO463*'Standards &amp; Scoring'!$D$6+AP463*'Standards &amp; Scoring'!$D$7+AQ463*'Standards &amp; Scoring'!$D$8+AR463*'Standards &amp; Scoring'!$D$9+AS463*'Standards &amp; Scoring'!$D$10+AT463*'Standards &amp; Scoring'!$D$11+AU463*'Standards &amp; Scoring'!$D$12+AV463*'Standards &amp; Scoring'!$D$13)/10000)</f>
        <v/>
      </c>
      <c r="AX463" s="47" t="str">
        <f aca="false">IF(AW463="","",IF(AW463&gt;=1.05,"A+",IF(AW463&gt;=1,"A",IF(AW463&gt;=0.95,"B+",IF(AW463&gt;=0.9,"B","C")))))</f>
        <v/>
      </c>
      <c r="AY463" s="47" t="str">
        <f aca="false">IF(AX463="","",IF(AX463="A+",1800,IF(AX463="A",1600,IF(AX463="B+",1400,IF(AX463="B",1200,0)))))</f>
        <v/>
      </c>
      <c r="AZ463" s="49" t="str">
        <f aca="false">IF(OR(L463="",M463="",S463="",M463=0),"",IFERROR(L463*60*S463/(M463*36),0))</f>
        <v/>
      </c>
    </row>
    <row r="464" customFormat="false" ht="15" hidden="false" customHeight="true" outlineLevel="0" collapsed="false">
      <c r="A464" s="47" t="n">
        <f aca="false">'Daily KPI Entry'!A465</f>
        <v>0</v>
      </c>
      <c r="B464" s="48" t="n">
        <f aca="false">'Daily KPI Entry'!B465</f>
        <v>0</v>
      </c>
      <c r="C464" s="47" t="n">
        <f aca="false">'Daily KPI Entry'!C465</f>
        <v>0</v>
      </c>
      <c r="D464" s="47" t="n">
        <f aca="false">'Daily KPI Entry'!D465</f>
        <v>0</v>
      </c>
      <c r="E464" s="47" t="n">
        <f aca="false">'Daily KPI Entry'!E465</f>
        <v>0</v>
      </c>
      <c r="F464" s="47" t="n">
        <f aca="false">'Daily KPI Entry'!F465</f>
        <v>0</v>
      </c>
      <c r="G464" s="47" t="n">
        <f aca="false">'Daily KPI Entry'!G465</f>
        <v>0</v>
      </c>
      <c r="H464" s="47" t="str">
        <f aca="false">'Daily KPI Entry'!H465</f>
        <v/>
      </c>
      <c r="I464" s="47" t="n">
        <f aca="false">'Daily KPI Entry'!I465</f>
        <v>0</v>
      </c>
      <c r="J464" s="47" t="n">
        <f aca="false">'Daily KPI Entry'!J465</f>
        <v>0</v>
      </c>
      <c r="K464" s="47" t="n">
        <f aca="false">'Daily KPI Entry'!K465</f>
        <v>0</v>
      </c>
      <c r="L464" s="47" t="n">
        <f aca="false">'Daily KPI Entry'!L465</f>
        <v>0</v>
      </c>
      <c r="M464" s="47" t="n">
        <f aca="false">'Daily KPI Entry'!M465</f>
        <v>0</v>
      </c>
      <c r="N464" s="49" t="n">
        <f aca="false">'Daily KPI Entry'!N465</f>
        <v>0</v>
      </c>
      <c r="O464" s="49" t="n">
        <f aca="false">'Daily KPI Entry'!O465</f>
        <v>0</v>
      </c>
      <c r="P464" s="49" t="str">
        <f aca="false">IF(OR(N464="",O464=""),"",IFERROR(O464/N464*100,0))</f>
        <v/>
      </c>
      <c r="Q464" s="47" t="n">
        <f aca="false">'Daily KPI Entry'!Q465</f>
        <v>8</v>
      </c>
      <c r="R464" s="47" t="str">
        <f aca="false">IF(J464="","",Q464*J464)</f>
        <v/>
      </c>
      <c r="S464" s="49" t="n">
        <f aca="false">'Daily KPI Entry'!S465</f>
        <v>0</v>
      </c>
      <c r="T464" s="49" t="str">
        <f aca="false">IF(OR(R464="",S464=""),"",IFERROR(S464/R464*100,0))</f>
        <v/>
      </c>
      <c r="U464" s="49" t="str">
        <f aca="false">IF(OR(O464="",L464="",M464="",S464="",M464=0),"",IFERROR(O464/(L464*60*S464/(M464*36))*100,0))</f>
        <v/>
      </c>
      <c r="V464" s="49" t="n">
        <f aca="false">'Daily KPI Entry'!V465</f>
        <v>0</v>
      </c>
      <c r="W464" s="49" t="str">
        <f aca="false">IF(O464="","",IFERROR(V464/O464*100,0))</f>
        <v/>
      </c>
      <c r="X464" s="49" t="n">
        <f aca="false">'Daily KPI Entry'!X465</f>
        <v>0</v>
      </c>
      <c r="Y464" s="49" t="n">
        <f aca="false">'Daily KPI Entry'!Y465</f>
        <v>0</v>
      </c>
      <c r="Z464" s="49" t="n">
        <f aca="false">'Daily KPI Entry'!Z465</f>
        <v>0</v>
      </c>
      <c r="AA464" s="49" t="n">
        <f aca="false">'Daily KPI Entry'!AA465</f>
        <v>0</v>
      </c>
      <c r="AB464" s="49" t="n">
        <f aca="false">'Daily KPI Entry'!AB465</f>
        <v>0</v>
      </c>
      <c r="AC464" s="49" t="n">
        <f aca="false">'Daily KPI Entry'!AC465</f>
        <v>0</v>
      </c>
      <c r="AD464" s="49" t="n">
        <f aca="false">'Daily KPI Entry'!AD465</f>
        <v>0</v>
      </c>
      <c r="AE464" s="49" t="n">
        <f aca="false">'Daily KPI Entry'!AE465</f>
        <v>0</v>
      </c>
      <c r="AF464" s="47" t="str">
        <f aca="false">IF(O464="","",SUM(X464:AE464))</f>
        <v/>
      </c>
      <c r="AG464" s="49" t="str">
        <f aca="false">IF(O464="","",IFERROR(AF464/O464*1000,0))</f>
        <v/>
      </c>
      <c r="AH464" s="49" t="n">
        <f aca="false">'Daily KPI Entry'!AH465</f>
        <v>0</v>
      </c>
      <c r="AI464" s="49" t="n">
        <f aca="false">'Daily KPI Entry'!AI465</f>
        <v>0</v>
      </c>
      <c r="AJ464" s="49" t="n">
        <f aca="false">'Daily KPI Entry'!AJ465</f>
        <v>0</v>
      </c>
      <c r="AK464" s="47" t="n">
        <f aca="false">'Daily KPI Entry'!AK465</f>
        <v>0</v>
      </c>
      <c r="AL464" s="47" t="n">
        <f aca="false">'Daily KPI Entry'!AL465</f>
        <v>0</v>
      </c>
      <c r="AM464" s="47" t="n">
        <f aca="false">'Daily KPI Entry'!AM465</f>
        <v>0</v>
      </c>
      <c r="AN464" s="49" t="str">
        <f aca="false">IF(P464="","",MIN(120,P464))</f>
        <v/>
      </c>
      <c r="AO464" s="49" t="str">
        <f aca="false">IF(U464="","",MIN(120,U464))</f>
        <v/>
      </c>
      <c r="AP464" s="49" t="str">
        <f aca="false">IF(R464="","",MIN(120,IFERROR(S464/R464*100,0)))</f>
        <v/>
      </c>
      <c r="AQ464" s="49" t="str">
        <f aca="false">IF(W464="","",MIN(120,IF(W464=0,120,100*(INDEX('Standards &amp; Scoring'!$E$5:$E$13,MATCH("Quality / Rejection",'Standards &amp; Scoring'!$A$5:$A$13,0))/W464))))</f>
        <v/>
      </c>
      <c r="AR464" s="49" t="str">
        <f aca="false">IF(AG464="","",MIN(120,IF(AG464=0,120,100*(INDEX('Standards &amp; Scoring'!$E$5:$E$13,MATCH("Fault Control",'Standards &amp; Scoring'!$A$5:$A$13,0))/AG464))))</f>
        <v/>
      </c>
      <c r="AS464" s="49" t="str">
        <f aca="false">IF(O464="","",MIN(120,IF(SUMIFS('Fault &amp; Downtime Entry'!$L$6:$L$1005,'Fault &amp; Downtime Entry'!$E$6:$E$1005,G464,'Fault &amp; Downtime Entry'!$B$6:$B$1005,B464)=0,120,100*(INDEX('Standards &amp; Scoring'!$E$5:$E$13,MATCH("Downtime Control",'Standards &amp; Scoring'!$A$5:$A$13,0))/IFERROR(SUMIFS('Fault &amp; Downtime Entry'!$L$6:$L$1005,'Fault &amp; Downtime Entry'!$E$6:$E$1005,G464,'Fault &amp; Downtime Entry'!$B$6:$B$1005,B464)/O464*1000,999999)))))</f>
        <v/>
      </c>
      <c r="AT464" s="49" t="n">
        <f aca="false">IF(COUNTA(AH464,AJ464)=0,"",MIN(120,IF(AND(AH464&lt;&gt;"",AJ464&lt;&gt;""),AVERAGE(AH464,AJ464),IF(AH464&lt;&gt;"",AH464,AJ464))))</f>
        <v>0</v>
      </c>
      <c r="AU464" s="49" t="str">
        <f aca="false">IF(AI464="","",MIN(120,AI464))</f>
        <v/>
      </c>
      <c r="AV464" s="49" t="str">
        <f aca="false">IF(AJ464="","",MIN(120,AJ464))</f>
        <v/>
      </c>
      <c r="AW464" s="50" t="str">
        <f aca="false">IF(COUNT(AN464:AV464)&lt;9,"",(AN464*'Standards &amp; Scoring'!$D$5+AO464*'Standards &amp; Scoring'!$D$6+AP464*'Standards &amp; Scoring'!$D$7+AQ464*'Standards &amp; Scoring'!$D$8+AR464*'Standards &amp; Scoring'!$D$9+AS464*'Standards &amp; Scoring'!$D$10+AT464*'Standards &amp; Scoring'!$D$11+AU464*'Standards &amp; Scoring'!$D$12+AV464*'Standards &amp; Scoring'!$D$13)/10000)</f>
        <v/>
      </c>
      <c r="AX464" s="47" t="str">
        <f aca="false">IF(AW464="","",IF(AW464&gt;=1.05,"A+",IF(AW464&gt;=1,"A",IF(AW464&gt;=0.95,"B+",IF(AW464&gt;=0.9,"B","C")))))</f>
        <v/>
      </c>
      <c r="AY464" s="47" t="str">
        <f aca="false">IF(AX464="","",IF(AX464="A+",1800,IF(AX464="A",1600,IF(AX464="B+",1400,IF(AX464="B",1200,0)))))</f>
        <v/>
      </c>
      <c r="AZ464" s="49" t="str">
        <f aca="false">IF(OR(L464="",M464="",S464="",M464=0),"",IFERROR(L464*60*S464/(M464*36),0))</f>
        <v/>
      </c>
    </row>
    <row r="465" customFormat="false" ht="15" hidden="false" customHeight="true" outlineLevel="0" collapsed="false">
      <c r="A465" s="47" t="n">
        <f aca="false">'Daily KPI Entry'!A466</f>
        <v>0</v>
      </c>
      <c r="B465" s="48" t="n">
        <f aca="false">'Daily KPI Entry'!B466</f>
        <v>0</v>
      </c>
      <c r="C465" s="47" t="n">
        <f aca="false">'Daily KPI Entry'!C466</f>
        <v>0</v>
      </c>
      <c r="D465" s="47" t="n">
        <f aca="false">'Daily KPI Entry'!D466</f>
        <v>0</v>
      </c>
      <c r="E465" s="47" t="n">
        <f aca="false">'Daily KPI Entry'!E466</f>
        <v>0</v>
      </c>
      <c r="F465" s="47" t="n">
        <f aca="false">'Daily KPI Entry'!F466</f>
        <v>0</v>
      </c>
      <c r="G465" s="47" t="n">
        <f aca="false">'Daily KPI Entry'!G466</f>
        <v>0</v>
      </c>
      <c r="H465" s="47" t="str">
        <f aca="false">'Daily KPI Entry'!H466</f>
        <v/>
      </c>
      <c r="I465" s="47" t="n">
        <f aca="false">'Daily KPI Entry'!I466</f>
        <v>0</v>
      </c>
      <c r="J465" s="47" t="n">
        <f aca="false">'Daily KPI Entry'!J466</f>
        <v>0</v>
      </c>
      <c r="K465" s="47" t="n">
        <f aca="false">'Daily KPI Entry'!K466</f>
        <v>0</v>
      </c>
      <c r="L465" s="47" t="n">
        <f aca="false">'Daily KPI Entry'!L466</f>
        <v>0</v>
      </c>
      <c r="M465" s="47" t="n">
        <f aca="false">'Daily KPI Entry'!M466</f>
        <v>0</v>
      </c>
      <c r="N465" s="49" t="n">
        <f aca="false">'Daily KPI Entry'!N466</f>
        <v>0</v>
      </c>
      <c r="O465" s="49" t="n">
        <f aca="false">'Daily KPI Entry'!O466</f>
        <v>0</v>
      </c>
      <c r="P465" s="49" t="str">
        <f aca="false">IF(OR(N465="",O465=""),"",IFERROR(O465/N465*100,0))</f>
        <v/>
      </c>
      <c r="Q465" s="47" t="n">
        <f aca="false">'Daily KPI Entry'!Q466</f>
        <v>8</v>
      </c>
      <c r="R465" s="47" t="str">
        <f aca="false">IF(J465="","",Q465*J465)</f>
        <v/>
      </c>
      <c r="S465" s="49" t="n">
        <f aca="false">'Daily KPI Entry'!S466</f>
        <v>0</v>
      </c>
      <c r="T465" s="49" t="str">
        <f aca="false">IF(OR(R465="",S465=""),"",IFERROR(S465/R465*100,0))</f>
        <v/>
      </c>
      <c r="U465" s="49" t="str">
        <f aca="false">IF(OR(O465="",L465="",M465="",S465="",M465=0),"",IFERROR(O465/(L465*60*S465/(M465*36))*100,0))</f>
        <v/>
      </c>
      <c r="V465" s="49" t="n">
        <f aca="false">'Daily KPI Entry'!V466</f>
        <v>0</v>
      </c>
      <c r="W465" s="49" t="str">
        <f aca="false">IF(O465="","",IFERROR(V465/O465*100,0))</f>
        <v/>
      </c>
      <c r="X465" s="49" t="n">
        <f aca="false">'Daily KPI Entry'!X466</f>
        <v>0</v>
      </c>
      <c r="Y465" s="49" t="n">
        <f aca="false">'Daily KPI Entry'!Y466</f>
        <v>0</v>
      </c>
      <c r="Z465" s="49" t="n">
        <f aca="false">'Daily KPI Entry'!Z466</f>
        <v>0</v>
      </c>
      <c r="AA465" s="49" t="n">
        <f aca="false">'Daily KPI Entry'!AA466</f>
        <v>0</v>
      </c>
      <c r="AB465" s="49" t="n">
        <f aca="false">'Daily KPI Entry'!AB466</f>
        <v>0</v>
      </c>
      <c r="AC465" s="49" t="n">
        <f aca="false">'Daily KPI Entry'!AC466</f>
        <v>0</v>
      </c>
      <c r="AD465" s="49" t="n">
        <f aca="false">'Daily KPI Entry'!AD466</f>
        <v>0</v>
      </c>
      <c r="AE465" s="49" t="n">
        <f aca="false">'Daily KPI Entry'!AE466</f>
        <v>0</v>
      </c>
      <c r="AF465" s="47" t="str">
        <f aca="false">IF(O465="","",SUM(X465:AE465))</f>
        <v/>
      </c>
      <c r="AG465" s="49" t="str">
        <f aca="false">IF(O465="","",IFERROR(AF465/O465*1000,0))</f>
        <v/>
      </c>
      <c r="AH465" s="49" t="n">
        <f aca="false">'Daily KPI Entry'!AH466</f>
        <v>0</v>
      </c>
      <c r="AI465" s="49" t="n">
        <f aca="false">'Daily KPI Entry'!AI466</f>
        <v>0</v>
      </c>
      <c r="AJ465" s="49" t="n">
        <f aca="false">'Daily KPI Entry'!AJ466</f>
        <v>0</v>
      </c>
      <c r="AK465" s="47" t="n">
        <f aca="false">'Daily KPI Entry'!AK466</f>
        <v>0</v>
      </c>
      <c r="AL465" s="47" t="n">
        <f aca="false">'Daily KPI Entry'!AL466</f>
        <v>0</v>
      </c>
      <c r="AM465" s="47" t="n">
        <f aca="false">'Daily KPI Entry'!AM466</f>
        <v>0</v>
      </c>
      <c r="AN465" s="49" t="str">
        <f aca="false">IF(P465="","",MIN(120,P465))</f>
        <v/>
      </c>
      <c r="AO465" s="49" t="str">
        <f aca="false">IF(U465="","",MIN(120,U465))</f>
        <v/>
      </c>
      <c r="AP465" s="49" t="str">
        <f aca="false">IF(R465="","",MIN(120,IFERROR(S465/R465*100,0)))</f>
        <v/>
      </c>
      <c r="AQ465" s="49" t="str">
        <f aca="false">IF(W465="","",MIN(120,IF(W465=0,120,100*(INDEX('Standards &amp; Scoring'!$E$5:$E$13,MATCH("Quality / Rejection",'Standards &amp; Scoring'!$A$5:$A$13,0))/W465))))</f>
        <v/>
      </c>
      <c r="AR465" s="49" t="str">
        <f aca="false">IF(AG465="","",MIN(120,IF(AG465=0,120,100*(INDEX('Standards &amp; Scoring'!$E$5:$E$13,MATCH("Fault Control",'Standards &amp; Scoring'!$A$5:$A$13,0))/AG465))))</f>
        <v/>
      </c>
      <c r="AS465" s="49" t="str">
        <f aca="false">IF(O465="","",MIN(120,IF(SUMIFS('Fault &amp; Downtime Entry'!$L$6:$L$1005,'Fault &amp; Downtime Entry'!$E$6:$E$1005,G465,'Fault &amp; Downtime Entry'!$B$6:$B$1005,B465)=0,120,100*(INDEX('Standards &amp; Scoring'!$E$5:$E$13,MATCH("Downtime Control",'Standards &amp; Scoring'!$A$5:$A$13,0))/IFERROR(SUMIFS('Fault &amp; Downtime Entry'!$L$6:$L$1005,'Fault &amp; Downtime Entry'!$E$6:$E$1005,G465,'Fault &amp; Downtime Entry'!$B$6:$B$1005,B465)/O465*1000,999999)))))</f>
        <v/>
      </c>
      <c r="AT465" s="49" t="n">
        <f aca="false">IF(COUNTA(AH465,AJ465)=0,"",MIN(120,IF(AND(AH465&lt;&gt;"",AJ465&lt;&gt;""),AVERAGE(AH465,AJ465),IF(AH465&lt;&gt;"",AH465,AJ465))))</f>
        <v>0</v>
      </c>
      <c r="AU465" s="49" t="str">
        <f aca="false">IF(AI465="","",MIN(120,AI465))</f>
        <v/>
      </c>
      <c r="AV465" s="49" t="str">
        <f aca="false">IF(AJ465="","",MIN(120,AJ465))</f>
        <v/>
      </c>
      <c r="AW465" s="50" t="str">
        <f aca="false">IF(COUNT(AN465:AV465)&lt;9,"",(AN465*'Standards &amp; Scoring'!$D$5+AO465*'Standards &amp; Scoring'!$D$6+AP465*'Standards &amp; Scoring'!$D$7+AQ465*'Standards &amp; Scoring'!$D$8+AR465*'Standards &amp; Scoring'!$D$9+AS465*'Standards &amp; Scoring'!$D$10+AT465*'Standards &amp; Scoring'!$D$11+AU465*'Standards &amp; Scoring'!$D$12+AV465*'Standards &amp; Scoring'!$D$13)/10000)</f>
        <v/>
      </c>
      <c r="AX465" s="47" t="str">
        <f aca="false">IF(AW465="","",IF(AW465&gt;=1.05,"A+",IF(AW465&gt;=1,"A",IF(AW465&gt;=0.95,"B+",IF(AW465&gt;=0.9,"B","C")))))</f>
        <v/>
      </c>
      <c r="AY465" s="47" t="str">
        <f aca="false">IF(AX465="","",IF(AX465="A+",1800,IF(AX465="A",1600,IF(AX465="B+",1400,IF(AX465="B",1200,0)))))</f>
        <v/>
      </c>
      <c r="AZ465" s="49" t="str">
        <f aca="false">IF(OR(L465="",M465="",S465="",M465=0),"",IFERROR(L465*60*S465/(M465*36),0))</f>
        <v/>
      </c>
    </row>
    <row r="466" customFormat="false" ht="15" hidden="false" customHeight="true" outlineLevel="0" collapsed="false">
      <c r="A466" s="47" t="n">
        <f aca="false">'Daily KPI Entry'!A467</f>
        <v>0</v>
      </c>
      <c r="B466" s="48" t="n">
        <f aca="false">'Daily KPI Entry'!B467</f>
        <v>0</v>
      </c>
      <c r="C466" s="47" t="n">
        <f aca="false">'Daily KPI Entry'!C467</f>
        <v>0</v>
      </c>
      <c r="D466" s="47" t="n">
        <f aca="false">'Daily KPI Entry'!D467</f>
        <v>0</v>
      </c>
      <c r="E466" s="47" t="n">
        <f aca="false">'Daily KPI Entry'!E467</f>
        <v>0</v>
      </c>
      <c r="F466" s="47" t="n">
        <f aca="false">'Daily KPI Entry'!F467</f>
        <v>0</v>
      </c>
      <c r="G466" s="47" t="n">
        <f aca="false">'Daily KPI Entry'!G467</f>
        <v>0</v>
      </c>
      <c r="H466" s="47" t="str">
        <f aca="false">'Daily KPI Entry'!H467</f>
        <v/>
      </c>
      <c r="I466" s="47" t="n">
        <f aca="false">'Daily KPI Entry'!I467</f>
        <v>0</v>
      </c>
      <c r="J466" s="47" t="n">
        <f aca="false">'Daily KPI Entry'!J467</f>
        <v>0</v>
      </c>
      <c r="K466" s="47" t="n">
        <f aca="false">'Daily KPI Entry'!K467</f>
        <v>0</v>
      </c>
      <c r="L466" s="47" t="n">
        <f aca="false">'Daily KPI Entry'!L467</f>
        <v>0</v>
      </c>
      <c r="M466" s="47" t="n">
        <f aca="false">'Daily KPI Entry'!M467</f>
        <v>0</v>
      </c>
      <c r="N466" s="49" t="n">
        <f aca="false">'Daily KPI Entry'!N467</f>
        <v>0</v>
      </c>
      <c r="O466" s="49" t="n">
        <f aca="false">'Daily KPI Entry'!O467</f>
        <v>0</v>
      </c>
      <c r="P466" s="49" t="str">
        <f aca="false">IF(OR(N466="",O466=""),"",IFERROR(O466/N466*100,0))</f>
        <v/>
      </c>
      <c r="Q466" s="47" t="n">
        <f aca="false">'Daily KPI Entry'!Q467</f>
        <v>8</v>
      </c>
      <c r="R466" s="47" t="str">
        <f aca="false">IF(J466="","",Q466*J466)</f>
        <v/>
      </c>
      <c r="S466" s="49" t="n">
        <f aca="false">'Daily KPI Entry'!S467</f>
        <v>0</v>
      </c>
      <c r="T466" s="49" t="str">
        <f aca="false">IF(OR(R466="",S466=""),"",IFERROR(S466/R466*100,0))</f>
        <v/>
      </c>
      <c r="U466" s="49" t="str">
        <f aca="false">IF(OR(O466="",L466="",M466="",S466="",M466=0),"",IFERROR(O466/(L466*60*S466/(M466*36))*100,0))</f>
        <v/>
      </c>
      <c r="V466" s="49" t="n">
        <f aca="false">'Daily KPI Entry'!V467</f>
        <v>0</v>
      </c>
      <c r="W466" s="49" t="str">
        <f aca="false">IF(O466="","",IFERROR(V466/O466*100,0))</f>
        <v/>
      </c>
      <c r="X466" s="49" t="n">
        <f aca="false">'Daily KPI Entry'!X467</f>
        <v>0</v>
      </c>
      <c r="Y466" s="49" t="n">
        <f aca="false">'Daily KPI Entry'!Y467</f>
        <v>0</v>
      </c>
      <c r="Z466" s="49" t="n">
        <f aca="false">'Daily KPI Entry'!Z467</f>
        <v>0</v>
      </c>
      <c r="AA466" s="49" t="n">
        <f aca="false">'Daily KPI Entry'!AA467</f>
        <v>0</v>
      </c>
      <c r="AB466" s="49" t="n">
        <f aca="false">'Daily KPI Entry'!AB467</f>
        <v>0</v>
      </c>
      <c r="AC466" s="49" t="n">
        <f aca="false">'Daily KPI Entry'!AC467</f>
        <v>0</v>
      </c>
      <c r="AD466" s="49" t="n">
        <f aca="false">'Daily KPI Entry'!AD467</f>
        <v>0</v>
      </c>
      <c r="AE466" s="49" t="n">
        <f aca="false">'Daily KPI Entry'!AE467</f>
        <v>0</v>
      </c>
      <c r="AF466" s="47" t="str">
        <f aca="false">IF(O466="","",SUM(X466:AE466))</f>
        <v/>
      </c>
      <c r="AG466" s="49" t="str">
        <f aca="false">IF(O466="","",IFERROR(AF466/O466*1000,0))</f>
        <v/>
      </c>
      <c r="AH466" s="49" t="n">
        <f aca="false">'Daily KPI Entry'!AH467</f>
        <v>0</v>
      </c>
      <c r="AI466" s="49" t="n">
        <f aca="false">'Daily KPI Entry'!AI467</f>
        <v>0</v>
      </c>
      <c r="AJ466" s="49" t="n">
        <f aca="false">'Daily KPI Entry'!AJ467</f>
        <v>0</v>
      </c>
      <c r="AK466" s="47" t="n">
        <f aca="false">'Daily KPI Entry'!AK467</f>
        <v>0</v>
      </c>
      <c r="AL466" s="47" t="n">
        <f aca="false">'Daily KPI Entry'!AL467</f>
        <v>0</v>
      </c>
      <c r="AM466" s="47" t="n">
        <f aca="false">'Daily KPI Entry'!AM467</f>
        <v>0</v>
      </c>
      <c r="AN466" s="49" t="str">
        <f aca="false">IF(P466="","",MIN(120,P466))</f>
        <v/>
      </c>
      <c r="AO466" s="49" t="str">
        <f aca="false">IF(U466="","",MIN(120,U466))</f>
        <v/>
      </c>
      <c r="AP466" s="49" t="str">
        <f aca="false">IF(R466="","",MIN(120,IFERROR(S466/R466*100,0)))</f>
        <v/>
      </c>
      <c r="AQ466" s="49" t="str">
        <f aca="false">IF(W466="","",MIN(120,IF(W466=0,120,100*(INDEX('Standards &amp; Scoring'!$E$5:$E$13,MATCH("Quality / Rejection",'Standards &amp; Scoring'!$A$5:$A$13,0))/W466))))</f>
        <v/>
      </c>
      <c r="AR466" s="49" t="str">
        <f aca="false">IF(AG466="","",MIN(120,IF(AG466=0,120,100*(INDEX('Standards &amp; Scoring'!$E$5:$E$13,MATCH("Fault Control",'Standards &amp; Scoring'!$A$5:$A$13,0))/AG466))))</f>
        <v/>
      </c>
      <c r="AS466" s="49" t="str">
        <f aca="false">IF(O466="","",MIN(120,IF(SUMIFS('Fault &amp; Downtime Entry'!$L$6:$L$1005,'Fault &amp; Downtime Entry'!$E$6:$E$1005,G466,'Fault &amp; Downtime Entry'!$B$6:$B$1005,B466)=0,120,100*(INDEX('Standards &amp; Scoring'!$E$5:$E$13,MATCH("Downtime Control",'Standards &amp; Scoring'!$A$5:$A$13,0))/IFERROR(SUMIFS('Fault &amp; Downtime Entry'!$L$6:$L$1005,'Fault &amp; Downtime Entry'!$E$6:$E$1005,G466,'Fault &amp; Downtime Entry'!$B$6:$B$1005,B466)/O466*1000,999999)))))</f>
        <v/>
      </c>
      <c r="AT466" s="49" t="n">
        <f aca="false">IF(COUNTA(AH466,AJ466)=0,"",MIN(120,IF(AND(AH466&lt;&gt;"",AJ466&lt;&gt;""),AVERAGE(AH466,AJ466),IF(AH466&lt;&gt;"",AH466,AJ466))))</f>
        <v>0</v>
      </c>
      <c r="AU466" s="49" t="str">
        <f aca="false">IF(AI466="","",MIN(120,AI466))</f>
        <v/>
      </c>
      <c r="AV466" s="49" t="str">
        <f aca="false">IF(AJ466="","",MIN(120,AJ466))</f>
        <v/>
      </c>
      <c r="AW466" s="50" t="str">
        <f aca="false">IF(COUNT(AN466:AV466)&lt;9,"",(AN466*'Standards &amp; Scoring'!$D$5+AO466*'Standards &amp; Scoring'!$D$6+AP466*'Standards &amp; Scoring'!$D$7+AQ466*'Standards &amp; Scoring'!$D$8+AR466*'Standards &amp; Scoring'!$D$9+AS466*'Standards &amp; Scoring'!$D$10+AT466*'Standards &amp; Scoring'!$D$11+AU466*'Standards &amp; Scoring'!$D$12+AV466*'Standards &amp; Scoring'!$D$13)/10000)</f>
        <v/>
      </c>
      <c r="AX466" s="47" t="str">
        <f aca="false">IF(AW466="","",IF(AW466&gt;=1.05,"A+",IF(AW466&gt;=1,"A",IF(AW466&gt;=0.95,"B+",IF(AW466&gt;=0.9,"B","C")))))</f>
        <v/>
      </c>
      <c r="AY466" s="47" t="str">
        <f aca="false">IF(AX466="","",IF(AX466="A+",1800,IF(AX466="A",1600,IF(AX466="B+",1400,IF(AX466="B",1200,0)))))</f>
        <v/>
      </c>
      <c r="AZ466" s="49" t="str">
        <f aca="false">IF(OR(L466="",M466="",S466="",M466=0),"",IFERROR(L466*60*S466/(M466*36),0))</f>
        <v/>
      </c>
    </row>
    <row r="467" customFormat="false" ht="15" hidden="false" customHeight="true" outlineLevel="0" collapsed="false">
      <c r="A467" s="47" t="n">
        <f aca="false">'Daily KPI Entry'!A468</f>
        <v>0</v>
      </c>
      <c r="B467" s="48" t="n">
        <f aca="false">'Daily KPI Entry'!B468</f>
        <v>0</v>
      </c>
      <c r="C467" s="47" t="n">
        <f aca="false">'Daily KPI Entry'!C468</f>
        <v>0</v>
      </c>
      <c r="D467" s="47" t="n">
        <f aca="false">'Daily KPI Entry'!D468</f>
        <v>0</v>
      </c>
      <c r="E467" s="47" t="n">
        <f aca="false">'Daily KPI Entry'!E468</f>
        <v>0</v>
      </c>
      <c r="F467" s="47" t="n">
        <f aca="false">'Daily KPI Entry'!F468</f>
        <v>0</v>
      </c>
      <c r="G467" s="47" t="n">
        <f aca="false">'Daily KPI Entry'!G468</f>
        <v>0</v>
      </c>
      <c r="H467" s="47" t="str">
        <f aca="false">'Daily KPI Entry'!H468</f>
        <v/>
      </c>
      <c r="I467" s="47" t="n">
        <f aca="false">'Daily KPI Entry'!I468</f>
        <v>0</v>
      </c>
      <c r="J467" s="47" t="n">
        <f aca="false">'Daily KPI Entry'!J468</f>
        <v>0</v>
      </c>
      <c r="K467" s="47" t="n">
        <f aca="false">'Daily KPI Entry'!K468</f>
        <v>0</v>
      </c>
      <c r="L467" s="47" t="n">
        <f aca="false">'Daily KPI Entry'!L468</f>
        <v>0</v>
      </c>
      <c r="M467" s="47" t="n">
        <f aca="false">'Daily KPI Entry'!M468</f>
        <v>0</v>
      </c>
      <c r="N467" s="49" t="n">
        <f aca="false">'Daily KPI Entry'!N468</f>
        <v>0</v>
      </c>
      <c r="O467" s="49" t="n">
        <f aca="false">'Daily KPI Entry'!O468</f>
        <v>0</v>
      </c>
      <c r="P467" s="49" t="str">
        <f aca="false">IF(OR(N467="",O467=""),"",IFERROR(O467/N467*100,0))</f>
        <v/>
      </c>
      <c r="Q467" s="47" t="n">
        <f aca="false">'Daily KPI Entry'!Q468</f>
        <v>8</v>
      </c>
      <c r="R467" s="47" t="str">
        <f aca="false">IF(J467="","",Q467*J467)</f>
        <v/>
      </c>
      <c r="S467" s="49" t="n">
        <f aca="false">'Daily KPI Entry'!S468</f>
        <v>0</v>
      </c>
      <c r="T467" s="49" t="str">
        <f aca="false">IF(OR(R467="",S467=""),"",IFERROR(S467/R467*100,0))</f>
        <v/>
      </c>
      <c r="U467" s="49" t="str">
        <f aca="false">IF(OR(O467="",L467="",M467="",S467="",M467=0),"",IFERROR(O467/(L467*60*S467/(M467*36))*100,0))</f>
        <v/>
      </c>
      <c r="V467" s="49" t="n">
        <f aca="false">'Daily KPI Entry'!V468</f>
        <v>0</v>
      </c>
      <c r="W467" s="49" t="str">
        <f aca="false">IF(O467="","",IFERROR(V467/O467*100,0))</f>
        <v/>
      </c>
      <c r="X467" s="49" t="n">
        <f aca="false">'Daily KPI Entry'!X468</f>
        <v>0</v>
      </c>
      <c r="Y467" s="49" t="n">
        <f aca="false">'Daily KPI Entry'!Y468</f>
        <v>0</v>
      </c>
      <c r="Z467" s="49" t="n">
        <f aca="false">'Daily KPI Entry'!Z468</f>
        <v>0</v>
      </c>
      <c r="AA467" s="49" t="n">
        <f aca="false">'Daily KPI Entry'!AA468</f>
        <v>0</v>
      </c>
      <c r="AB467" s="49" t="n">
        <f aca="false">'Daily KPI Entry'!AB468</f>
        <v>0</v>
      </c>
      <c r="AC467" s="49" t="n">
        <f aca="false">'Daily KPI Entry'!AC468</f>
        <v>0</v>
      </c>
      <c r="AD467" s="49" t="n">
        <f aca="false">'Daily KPI Entry'!AD468</f>
        <v>0</v>
      </c>
      <c r="AE467" s="49" t="n">
        <f aca="false">'Daily KPI Entry'!AE468</f>
        <v>0</v>
      </c>
      <c r="AF467" s="47" t="str">
        <f aca="false">IF(O467="","",SUM(X467:AE467))</f>
        <v/>
      </c>
      <c r="AG467" s="49" t="str">
        <f aca="false">IF(O467="","",IFERROR(AF467/O467*1000,0))</f>
        <v/>
      </c>
      <c r="AH467" s="49" t="n">
        <f aca="false">'Daily KPI Entry'!AH468</f>
        <v>0</v>
      </c>
      <c r="AI467" s="49" t="n">
        <f aca="false">'Daily KPI Entry'!AI468</f>
        <v>0</v>
      </c>
      <c r="AJ467" s="49" t="n">
        <f aca="false">'Daily KPI Entry'!AJ468</f>
        <v>0</v>
      </c>
      <c r="AK467" s="47" t="n">
        <f aca="false">'Daily KPI Entry'!AK468</f>
        <v>0</v>
      </c>
      <c r="AL467" s="47" t="n">
        <f aca="false">'Daily KPI Entry'!AL468</f>
        <v>0</v>
      </c>
      <c r="AM467" s="47" t="n">
        <f aca="false">'Daily KPI Entry'!AM468</f>
        <v>0</v>
      </c>
      <c r="AN467" s="49" t="str">
        <f aca="false">IF(P467="","",MIN(120,P467))</f>
        <v/>
      </c>
      <c r="AO467" s="49" t="str">
        <f aca="false">IF(U467="","",MIN(120,U467))</f>
        <v/>
      </c>
      <c r="AP467" s="49" t="str">
        <f aca="false">IF(R467="","",MIN(120,IFERROR(S467/R467*100,0)))</f>
        <v/>
      </c>
      <c r="AQ467" s="49" t="str">
        <f aca="false">IF(W467="","",MIN(120,IF(W467=0,120,100*(INDEX('Standards &amp; Scoring'!$E$5:$E$13,MATCH("Quality / Rejection",'Standards &amp; Scoring'!$A$5:$A$13,0))/W467))))</f>
        <v/>
      </c>
      <c r="AR467" s="49" t="str">
        <f aca="false">IF(AG467="","",MIN(120,IF(AG467=0,120,100*(INDEX('Standards &amp; Scoring'!$E$5:$E$13,MATCH("Fault Control",'Standards &amp; Scoring'!$A$5:$A$13,0))/AG467))))</f>
        <v/>
      </c>
      <c r="AS467" s="49" t="str">
        <f aca="false">IF(O467="","",MIN(120,IF(SUMIFS('Fault &amp; Downtime Entry'!$L$6:$L$1005,'Fault &amp; Downtime Entry'!$E$6:$E$1005,G467,'Fault &amp; Downtime Entry'!$B$6:$B$1005,B467)=0,120,100*(INDEX('Standards &amp; Scoring'!$E$5:$E$13,MATCH("Downtime Control",'Standards &amp; Scoring'!$A$5:$A$13,0))/IFERROR(SUMIFS('Fault &amp; Downtime Entry'!$L$6:$L$1005,'Fault &amp; Downtime Entry'!$E$6:$E$1005,G467,'Fault &amp; Downtime Entry'!$B$6:$B$1005,B467)/O467*1000,999999)))))</f>
        <v/>
      </c>
      <c r="AT467" s="49" t="n">
        <f aca="false">IF(COUNTA(AH467,AJ467)=0,"",MIN(120,IF(AND(AH467&lt;&gt;"",AJ467&lt;&gt;""),AVERAGE(AH467,AJ467),IF(AH467&lt;&gt;"",AH467,AJ467))))</f>
        <v>0</v>
      </c>
      <c r="AU467" s="49" t="str">
        <f aca="false">IF(AI467="","",MIN(120,AI467))</f>
        <v/>
      </c>
      <c r="AV467" s="49" t="str">
        <f aca="false">IF(AJ467="","",MIN(120,AJ467))</f>
        <v/>
      </c>
      <c r="AW467" s="50" t="str">
        <f aca="false">IF(COUNT(AN467:AV467)&lt;9,"",(AN467*'Standards &amp; Scoring'!$D$5+AO467*'Standards &amp; Scoring'!$D$6+AP467*'Standards &amp; Scoring'!$D$7+AQ467*'Standards &amp; Scoring'!$D$8+AR467*'Standards &amp; Scoring'!$D$9+AS467*'Standards &amp; Scoring'!$D$10+AT467*'Standards &amp; Scoring'!$D$11+AU467*'Standards &amp; Scoring'!$D$12+AV467*'Standards &amp; Scoring'!$D$13)/10000)</f>
        <v/>
      </c>
      <c r="AX467" s="47" t="str">
        <f aca="false">IF(AW467="","",IF(AW467&gt;=1.05,"A+",IF(AW467&gt;=1,"A",IF(AW467&gt;=0.95,"B+",IF(AW467&gt;=0.9,"B","C")))))</f>
        <v/>
      </c>
      <c r="AY467" s="47" t="str">
        <f aca="false">IF(AX467="","",IF(AX467="A+",1800,IF(AX467="A",1600,IF(AX467="B+",1400,IF(AX467="B",1200,0)))))</f>
        <v/>
      </c>
      <c r="AZ467" s="49" t="str">
        <f aca="false">IF(OR(L467="",M467="",S467="",M467=0),"",IFERROR(L467*60*S467/(M467*36),0))</f>
        <v/>
      </c>
    </row>
    <row r="468" customFormat="false" ht="15" hidden="false" customHeight="true" outlineLevel="0" collapsed="false">
      <c r="A468" s="47" t="n">
        <f aca="false">'Daily KPI Entry'!A469</f>
        <v>0</v>
      </c>
      <c r="B468" s="48" t="n">
        <f aca="false">'Daily KPI Entry'!B469</f>
        <v>0</v>
      </c>
      <c r="C468" s="47" t="n">
        <f aca="false">'Daily KPI Entry'!C469</f>
        <v>0</v>
      </c>
      <c r="D468" s="47" t="n">
        <f aca="false">'Daily KPI Entry'!D469</f>
        <v>0</v>
      </c>
      <c r="E468" s="47" t="n">
        <f aca="false">'Daily KPI Entry'!E469</f>
        <v>0</v>
      </c>
      <c r="F468" s="47" t="n">
        <f aca="false">'Daily KPI Entry'!F469</f>
        <v>0</v>
      </c>
      <c r="G468" s="47" t="n">
        <f aca="false">'Daily KPI Entry'!G469</f>
        <v>0</v>
      </c>
      <c r="H468" s="47" t="str">
        <f aca="false">'Daily KPI Entry'!H469</f>
        <v/>
      </c>
      <c r="I468" s="47" t="n">
        <f aca="false">'Daily KPI Entry'!I469</f>
        <v>0</v>
      </c>
      <c r="J468" s="47" t="n">
        <f aca="false">'Daily KPI Entry'!J469</f>
        <v>0</v>
      </c>
      <c r="K468" s="47" t="n">
        <f aca="false">'Daily KPI Entry'!K469</f>
        <v>0</v>
      </c>
      <c r="L468" s="47" t="n">
        <f aca="false">'Daily KPI Entry'!L469</f>
        <v>0</v>
      </c>
      <c r="M468" s="47" t="n">
        <f aca="false">'Daily KPI Entry'!M469</f>
        <v>0</v>
      </c>
      <c r="N468" s="49" t="n">
        <f aca="false">'Daily KPI Entry'!N469</f>
        <v>0</v>
      </c>
      <c r="O468" s="49" t="n">
        <f aca="false">'Daily KPI Entry'!O469</f>
        <v>0</v>
      </c>
      <c r="P468" s="49" t="str">
        <f aca="false">IF(OR(N468="",O468=""),"",IFERROR(O468/N468*100,0))</f>
        <v/>
      </c>
      <c r="Q468" s="47" t="n">
        <f aca="false">'Daily KPI Entry'!Q469</f>
        <v>8</v>
      </c>
      <c r="R468" s="47" t="str">
        <f aca="false">IF(J468="","",Q468*J468)</f>
        <v/>
      </c>
      <c r="S468" s="49" t="n">
        <f aca="false">'Daily KPI Entry'!S469</f>
        <v>0</v>
      </c>
      <c r="T468" s="49" t="str">
        <f aca="false">IF(OR(R468="",S468=""),"",IFERROR(S468/R468*100,0))</f>
        <v/>
      </c>
      <c r="U468" s="49" t="str">
        <f aca="false">IF(OR(O468="",L468="",M468="",S468="",M468=0),"",IFERROR(O468/(L468*60*S468/(M468*36))*100,0))</f>
        <v/>
      </c>
      <c r="V468" s="49" t="n">
        <f aca="false">'Daily KPI Entry'!V469</f>
        <v>0</v>
      </c>
      <c r="W468" s="49" t="str">
        <f aca="false">IF(O468="","",IFERROR(V468/O468*100,0))</f>
        <v/>
      </c>
      <c r="X468" s="49" t="n">
        <f aca="false">'Daily KPI Entry'!X469</f>
        <v>0</v>
      </c>
      <c r="Y468" s="49" t="n">
        <f aca="false">'Daily KPI Entry'!Y469</f>
        <v>0</v>
      </c>
      <c r="Z468" s="49" t="n">
        <f aca="false">'Daily KPI Entry'!Z469</f>
        <v>0</v>
      </c>
      <c r="AA468" s="49" t="n">
        <f aca="false">'Daily KPI Entry'!AA469</f>
        <v>0</v>
      </c>
      <c r="AB468" s="49" t="n">
        <f aca="false">'Daily KPI Entry'!AB469</f>
        <v>0</v>
      </c>
      <c r="AC468" s="49" t="n">
        <f aca="false">'Daily KPI Entry'!AC469</f>
        <v>0</v>
      </c>
      <c r="AD468" s="49" t="n">
        <f aca="false">'Daily KPI Entry'!AD469</f>
        <v>0</v>
      </c>
      <c r="AE468" s="49" t="n">
        <f aca="false">'Daily KPI Entry'!AE469</f>
        <v>0</v>
      </c>
      <c r="AF468" s="47" t="str">
        <f aca="false">IF(O468="","",SUM(X468:AE468))</f>
        <v/>
      </c>
      <c r="AG468" s="49" t="str">
        <f aca="false">IF(O468="","",IFERROR(AF468/O468*1000,0))</f>
        <v/>
      </c>
      <c r="AH468" s="49" t="n">
        <f aca="false">'Daily KPI Entry'!AH469</f>
        <v>0</v>
      </c>
      <c r="AI468" s="49" t="n">
        <f aca="false">'Daily KPI Entry'!AI469</f>
        <v>0</v>
      </c>
      <c r="AJ468" s="49" t="n">
        <f aca="false">'Daily KPI Entry'!AJ469</f>
        <v>0</v>
      </c>
      <c r="AK468" s="47" t="n">
        <f aca="false">'Daily KPI Entry'!AK469</f>
        <v>0</v>
      </c>
      <c r="AL468" s="47" t="n">
        <f aca="false">'Daily KPI Entry'!AL469</f>
        <v>0</v>
      </c>
      <c r="AM468" s="47" t="n">
        <f aca="false">'Daily KPI Entry'!AM469</f>
        <v>0</v>
      </c>
      <c r="AN468" s="49" t="str">
        <f aca="false">IF(P468="","",MIN(120,P468))</f>
        <v/>
      </c>
      <c r="AO468" s="49" t="str">
        <f aca="false">IF(U468="","",MIN(120,U468))</f>
        <v/>
      </c>
      <c r="AP468" s="49" t="str">
        <f aca="false">IF(R468="","",MIN(120,IFERROR(S468/R468*100,0)))</f>
        <v/>
      </c>
      <c r="AQ468" s="49" t="str">
        <f aca="false">IF(W468="","",MIN(120,IF(W468=0,120,100*(INDEX('Standards &amp; Scoring'!$E$5:$E$13,MATCH("Quality / Rejection",'Standards &amp; Scoring'!$A$5:$A$13,0))/W468))))</f>
        <v/>
      </c>
      <c r="AR468" s="49" t="str">
        <f aca="false">IF(AG468="","",MIN(120,IF(AG468=0,120,100*(INDEX('Standards &amp; Scoring'!$E$5:$E$13,MATCH("Fault Control",'Standards &amp; Scoring'!$A$5:$A$13,0))/AG468))))</f>
        <v/>
      </c>
      <c r="AS468" s="49" t="str">
        <f aca="false">IF(O468="","",MIN(120,IF(SUMIFS('Fault &amp; Downtime Entry'!$L$6:$L$1005,'Fault &amp; Downtime Entry'!$E$6:$E$1005,G468,'Fault &amp; Downtime Entry'!$B$6:$B$1005,B468)=0,120,100*(INDEX('Standards &amp; Scoring'!$E$5:$E$13,MATCH("Downtime Control",'Standards &amp; Scoring'!$A$5:$A$13,0))/IFERROR(SUMIFS('Fault &amp; Downtime Entry'!$L$6:$L$1005,'Fault &amp; Downtime Entry'!$E$6:$E$1005,G468,'Fault &amp; Downtime Entry'!$B$6:$B$1005,B468)/O468*1000,999999)))))</f>
        <v/>
      </c>
      <c r="AT468" s="49" t="n">
        <f aca="false">IF(COUNTA(AH468,AJ468)=0,"",MIN(120,IF(AND(AH468&lt;&gt;"",AJ468&lt;&gt;""),AVERAGE(AH468,AJ468),IF(AH468&lt;&gt;"",AH468,AJ468))))</f>
        <v>0</v>
      </c>
      <c r="AU468" s="49" t="str">
        <f aca="false">IF(AI468="","",MIN(120,AI468))</f>
        <v/>
      </c>
      <c r="AV468" s="49" t="str">
        <f aca="false">IF(AJ468="","",MIN(120,AJ468))</f>
        <v/>
      </c>
      <c r="AW468" s="50" t="str">
        <f aca="false">IF(COUNT(AN468:AV468)&lt;9,"",(AN468*'Standards &amp; Scoring'!$D$5+AO468*'Standards &amp; Scoring'!$D$6+AP468*'Standards &amp; Scoring'!$D$7+AQ468*'Standards &amp; Scoring'!$D$8+AR468*'Standards &amp; Scoring'!$D$9+AS468*'Standards &amp; Scoring'!$D$10+AT468*'Standards &amp; Scoring'!$D$11+AU468*'Standards &amp; Scoring'!$D$12+AV468*'Standards &amp; Scoring'!$D$13)/10000)</f>
        <v/>
      </c>
      <c r="AX468" s="47" t="str">
        <f aca="false">IF(AW468="","",IF(AW468&gt;=1.05,"A+",IF(AW468&gt;=1,"A",IF(AW468&gt;=0.95,"B+",IF(AW468&gt;=0.9,"B","C")))))</f>
        <v/>
      </c>
      <c r="AY468" s="47" t="str">
        <f aca="false">IF(AX468="","",IF(AX468="A+",1800,IF(AX468="A",1600,IF(AX468="B+",1400,IF(AX468="B",1200,0)))))</f>
        <v/>
      </c>
      <c r="AZ468" s="49" t="str">
        <f aca="false">IF(OR(L468="",M468="",S468="",M468=0),"",IFERROR(L468*60*S468/(M468*36),0))</f>
        <v/>
      </c>
    </row>
    <row r="469" customFormat="false" ht="15" hidden="false" customHeight="true" outlineLevel="0" collapsed="false">
      <c r="A469" s="47" t="n">
        <f aca="false">'Daily KPI Entry'!A470</f>
        <v>0</v>
      </c>
      <c r="B469" s="48" t="n">
        <f aca="false">'Daily KPI Entry'!B470</f>
        <v>0</v>
      </c>
      <c r="C469" s="47" t="n">
        <f aca="false">'Daily KPI Entry'!C470</f>
        <v>0</v>
      </c>
      <c r="D469" s="47" t="n">
        <f aca="false">'Daily KPI Entry'!D470</f>
        <v>0</v>
      </c>
      <c r="E469" s="47" t="n">
        <f aca="false">'Daily KPI Entry'!E470</f>
        <v>0</v>
      </c>
      <c r="F469" s="47" t="n">
        <f aca="false">'Daily KPI Entry'!F470</f>
        <v>0</v>
      </c>
      <c r="G469" s="47" t="n">
        <f aca="false">'Daily KPI Entry'!G470</f>
        <v>0</v>
      </c>
      <c r="H469" s="47" t="str">
        <f aca="false">'Daily KPI Entry'!H470</f>
        <v/>
      </c>
      <c r="I469" s="47" t="n">
        <f aca="false">'Daily KPI Entry'!I470</f>
        <v>0</v>
      </c>
      <c r="J469" s="47" t="n">
        <f aca="false">'Daily KPI Entry'!J470</f>
        <v>0</v>
      </c>
      <c r="K469" s="47" t="n">
        <f aca="false">'Daily KPI Entry'!K470</f>
        <v>0</v>
      </c>
      <c r="L469" s="47" t="n">
        <f aca="false">'Daily KPI Entry'!L470</f>
        <v>0</v>
      </c>
      <c r="M469" s="47" t="n">
        <f aca="false">'Daily KPI Entry'!M470</f>
        <v>0</v>
      </c>
      <c r="N469" s="49" t="n">
        <f aca="false">'Daily KPI Entry'!N470</f>
        <v>0</v>
      </c>
      <c r="O469" s="49" t="n">
        <f aca="false">'Daily KPI Entry'!O470</f>
        <v>0</v>
      </c>
      <c r="P469" s="49" t="str">
        <f aca="false">IF(OR(N469="",O469=""),"",IFERROR(O469/N469*100,0))</f>
        <v/>
      </c>
      <c r="Q469" s="47" t="n">
        <f aca="false">'Daily KPI Entry'!Q470</f>
        <v>8</v>
      </c>
      <c r="R469" s="47" t="str">
        <f aca="false">IF(J469="","",Q469*J469)</f>
        <v/>
      </c>
      <c r="S469" s="49" t="n">
        <f aca="false">'Daily KPI Entry'!S470</f>
        <v>0</v>
      </c>
      <c r="T469" s="49" t="str">
        <f aca="false">IF(OR(R469="",S469=""),"",IFERROR(S469/R469*100,0))</f>
        <v/>
      </c>
      <c r="U469" s="49" t="str">
        <f aca="false">IF(OR(O469="",L469="",M469="",S469="",M469=0),"",IFERROR(O469/(L469*60*S469/(M469*36))*100,0))</f>
        <v/>
      </c>
      <c r="V469" s="49" t="n">
        <f aca="false">'Daily KPI Entry'!V470</f>
        <v>0</v>
      </c>
      <c r="W469" s="49" t="str">
        <f aca="false">IF(O469="","",IFERROR(V469/O469*100,0))</f>
        <v/>
      </c>
      <c r="X469" s="49" t="n">
        <f aca="false">'Daily KPI Entry'!X470</f>
        <v>0</v>
      </c>
      <c r="Y469" s="49" t="n">
        <f aca="false">'Daily KPI Entry'!Y470</f>
        <v>0</v>
      </c>
      <c r="Z469" s="49" t="n">
        <f aca="false">'Daily KPI Entry'!Z470</f>
        <v>0</v>
      </c>
      <c r="AA469" s="49" t="n">
        <f aca="false">'Daily KPI Entry'!AA470</f>
        <v>0</v>
      </c>
      <c r="AB469" s="49" t="n">
        <f aca="false">'Daily KPI Entry'!AB470</f>
        <v>0</v>
      </c>
      <c r="AC469" s="49" t="n">
        <f aca="false">'Daily KPI Entry'!AC470</f>
        <v>0</v>
      </c>
      <c r="AD469" s="49" t="n">
        <f aca="false">'Daily KPI Entry'!AD470</f>
        <v>0</v>
      </c>
      <c r="AE469" s="49" t="n">
        <f aca="false">'Daily KPI Entry'!AE470</f>
        <v>0</v>
      </c>
      <c r="AF469" s="47" t="str">
        <f aca="false">IF(O469="","",SUM(X469:AE469))</f>
        <v/>
      </c>
      <c r="AG469" s="49" t="str">
        <f aca="false">IF(O469="","",IFERROR(AF469/O469*1000,0))</f>
        <v/>
      </c>
      <c r="AH469" s="49" t="n">
        <f aca="false">'Daily KPI Entry'!AH470</f>
        <v>0</v>
      </c>
      <c r="AI469" s="49" t="n">
        <f aca="false">'Daily KPI Entry'!AI470</f>
        <v>0</v>
      </c>
      <c r="AJ469" s="49" t="n">
        <f aca="false">'Daily KPI Entry'!AJ470</f>
        <v>0</v>
      </c>
      <c r="AK469" s="47" t="n">
        <f aca="false">'Daily KPI Entry'!AK470</f>
        <v>0</v>
      </c>
      <c r="AL469" s="47" t="n">
        <f aca="false">'Daily KPI Entry'!AL470</f>
        <v>0</v>
      </c>
      <c r="AM469" s="47" t="n">
        <f aca="false">'Daily KPI Entry'!AM470</f>
        <v>0</v>
      </c>
      <c r="AN469" s="49" t="str">
        <f aca="false">IF(P469="","",MIN(120,P469))</f>
        <v/>
      </c>
      <c r="AO469" s="49" t="str">
        <f aca="false">IF(U469="","",MIN(120,U469))</f>
        <v/>
      </c>
      <c r="AP469" s="49" t="str">
        <f aca="false">IF(R469="","",MIN(120,IFERROR(S469/R469*100,0)))</f>
        <v/>
      </c>
      <c r="AQ469" s="49" t="str">
        <f aca="false">IF(W469="","",MIN(120,IF(W469=0,120,100*(INDEX('Standards &amp; Scoring'!$E$5:$E$13,MATCH("Quality / Rejection",'Standards &amp; Scoring'!$A$5:$A$13,0))/W469))))</f>
        <v/>
      </c>
      <c r="AR469" s="49" t="str">
        <f aca="false">IF(AG469="","",MIN(120,IF(AG469=0,120,100*(INDEX('Standards &amp; Scoring'!$E$5:$E$13,MATCH("Fault Control",'Standards &amp; Scoring'!$A$5:$A$13,0))/AG469))))</f>
        <v/>
      </c>
      <c r="AS469" s="49" t="str">
        <f aca="false">IF(O469="","",MIN(120,IF(SUMIFS('Fault &amp; Downtime Entry'!$L$6:$L$1005,'Fault &amp; Downtime Entry'!$E$6:$E$1005,G469,'Fault &amp; Downtime Entry'!$B$6:$B$1005,B469)=0,120,100*(INDEX('Standards &amp; Scoring'!$E$5:$E$13,MATCH("Downtime Control",'Standards &amp; Scoring'!$A$5:$A$13,0))/IFERROR(SUMIFS('Fault &amp; Downtime Entry'!$L$6:$L$1005,'Fault &amp; Downtime Entry'!$E$6:$E$1005,G469,'Fault &amp; Downtime Entry'!$B$6:$B$1005,B469)/O469*1000,999999)))))</f>
        <v/>
      </c>
      <c r="AT469" s="49" t="n">
        <f aca="false">IF(COUNTA(AH469,AJ469)=0,"",MIN(120,IF(AND(AH469&lt;&gt;"",AJ469&lt;&gt;""),AVERAGE(AH469,AJ469),IF(AH469&lt;&gt;"",AH469,AJ469))))</f>
        <v>0</v>
      </c>
      <c r="AU469" s="49" t="str">
        <f aca="false">IF(AI469="","",MIN(120,AI469))</f>
        <v/>
      </c>
      <c r="AV469" s="49" t="str">
        <f aca="false">IF(AJ469="","",MIN(120,AJ469))</f>
        <v/>
      </c>
      <c r="AW469" s="50" t="str">
        <f aca="false">IF(COUNT(AN469:AV469)&lt;9,"",(AN469*'Standards &amp; Scoring'!$D$5+AO469*'Standards &amp; Scoring'!$D$6+AP469*'Standards &amp; Scoring'!$D$7+AQ469*'Standards &amp; Scoring'!$D$8+AR469*'Standards &amp; Scoring'!$D$9+AS469*'Standards &amp; Scoring'!$D$10+AT469*'Standards &amp; Scoring'!$D$11+AU469*'Standards &amp; Scoring'!$D$12+AV469*'Standards &amp; Scoring'!$D$13)/10000)</f>
        <v/>
      </c>
      <c r="AX469" s="47" t="str">
        <f aca="false">IF(AW469="","",IF(AW469&gt;=1.05,"A+",IF(AW469&gt;=1,"A",IF(AW469&gt;=0.95,"B+",IF(AW469&gt;=0.9,"B","C")))))</f>
        <v/>
      </c>
      <c r="AY469" s="47" t="str">
        <f aca="false">IF(AX469="","",IF(AX469="A+",1800,IF(AX469="A",1600,IF(AX469="B+",1400,IF(AX469="B",1200,0)))))</f>
        <v/>
      </c>
      <c r="AZ469" s="49" t="str">
        <f aca="false">IF(OR(L469="",M469="",S469="",M469=0),"",IFERROR(L469*60*S469/(M469*36),0))</f>
        <v/>
      </c>
    </row>
    <row r="470" customFormat="false" ht="15" hidden="false" customHeight="true" outlineLevel="0" collapsed="false">
      <c r="A470" s="47" t="n">
        <f aca="false">'Daily KPI Entry'!A471</f>
        <v>0</v>
      </c>
      <c r="B470" s="48" t="n">
        <f aca="false">'Daily KPI Entry'!B471</f>
        <v>0</v>
      </c>
      <c r="C470" s="47" t="n">
        <f aca="false">'Daily KPI Entry'!C471</f>
        <v>0</v>
      </c>
      <c r="D470" s="47" t="n">
        <f aca="false">'Daily KPI Entry'!D471</f>
        <v>0</v>
      </c>
      <c r="E470" s="47" t="n">
        <f aca="false">'Daily KPI Entry'!E471</f>
        <v>0</v>
      </c>
      <c r="F470" s="47" t="n">
        <f aca="false">'Daily KPI Entry'!F471</f>
        <v>0</v>
      </c>
      <c r="G470" s="47" t="n">
        <f aca="false">'Daily KPI Entry'!G471</f>
        <v>0</v>
      </c>
      <c r="H470" s="47" t="str">
        <f aca="false">'Daily KPI Entry'!H471</f>
        <v/>
      </c>
      <c r="I470" s="47" t="n">
        <f aca="false">'Daily KPI Entry'!I471</f>
        <v>0</v>
      </c>
      <c r="J470" s="47" t="n">
        <f aca="false">'Daily KPI Entry'!J471</f>
        <v>0</v>
      </c>
      <c r="K470" s="47" t="n">
        <f aca="false">'Daily KPI Entry'!K471</f>
        <v>0</v>
      </c>
      <c r="L470" s="47" t="n">
        <f aca="false">'Daily KPI Entry'!L471</f>
        <v>0</v>
      </c>
      <c r="M470" s="47" t="n">
        <f aca="false">'Daily KPI Entry'!M471</f>
        <v>0</v>
      </c>
      <c r="N470" s="49" t="n">
        <f aca="false">'Daily KPI Entry'!N471</f>
        <v>0</v>
      </c>
      <c r="O470" s="49" t="n">
        <f aca="false">'Daily KPI Entry'!O471</f>
        <v>0</v>
      </c>
      <c r="P470" s="49" t="str">
        <f aca="false">IF(OR(N470="",O470=""),"",IFERROR(O470/N470*100,0))</f>
        <v/>
      </c>
      <c r="Q470" s="47" t="n">
        <f aca="false">'Daily KPI Entry'!Q471</f>
        <v>8</v>
      </c>
      <c r="R470" s="47" t="str">
        <f aca="false">IF(J470="","",Q470*J470)</f>
        <v/>
      </c>
      <c r="S470" s="49" t="n">
        <f aca="false">'Daily KPI Entry'!S471</f>
        <v>0</v>
      </c>
      <c r="T470" s="49" t="str">
        <f aca="false">IF(OR(R470="",S470=""),"",IFERROR(S470/R470*100,0))</f>
        <v/>
      </c>
      <c r="U470" s="49" t="str">
        <f aca="false">IF(OR(O470="",L470="",M470="",S470="",M470=0),"",IFERROR(O470/(L470*60*S470/(M470*36))*100,0))</f>
        <v/>
      </c>
      <c r="V470" s="49" t="n">
        <f aca="false">'Daily KPI Entry'!V471</f>
        <v>0</v>
      </c>
      <c r="W470" s="49" t="str">
        <f aca="false">IF(O470="","",IFERROR(V470/O470*100,0))</f>
        <v/>
      </c>
      <c r="X470" s="49" t="n">
        <f aca="false">'Daily KPI Entry'!X471</f>
        <v>0</v>
      </c>
      <c r="Y470" s="49" t="n">
        <f aca="false">'Daily KPI Entry'!Y471</f>
        <v>0</v>
      </c>
      <c r="Z470" s="49" t="n">
        <f aca="false">'Daily KPI Entry'!Z471</f>
        <v>0</v>
      </c>
      <c r="AA470" s="49" t="n">
        <f aca="false">'Daily KPI Entry'!AA471</f>
        <v>0</v>
      </c>
      <c r="AB470" s="49" t="n">
        <f aca="false">'Daily KPI Entry'!AB471</f>
        <v>0</v>
      </c>
      <c r="AC470" s="49" t="n">
        <f aca="false">'Daily KPI Entry'!AC471</f>
        <v>0</v>
      </c>
      <c r="AD470" s="49" t="n">
        <f aca="false">'Daily KPI Entry'!AD471</f>
        <v>0</v>
      </c>
      <c r="AE470" s="49" t="n">
        <f aca="false">'Daily KPI Entry'!AE471</f>
        <v>0</v>
      </c>
      <c r="AF470" s="47" t="str">
        <f aca="false">IF(O470="","",SUM(X470:AE470))</f>
        <v/>
      </c>
      <c r="AG470" s="49" t="str">
        <f aca="false">IF(O470="","",IFERROR(AF470/O470*1000,0))</f>
        <v/>
      </c>
      <c r="AH470" s="49" t="n">
        <f aca="false">'Daily KPI Entry'!AH471</f>
        <v>0</v>
      </c>
      <c r="AI470" s="49" t="n">
        <f aca="false">'Daily KPI Entry'!AI471</f>
        <v>0</v>
      </c>
      <c r="AJ470" s="49" t="n">
        <f aca="false">'Daily KPI Entry'!AJ471</f>
        <v>0</v>
      </c>
      <c r="AK470" s="47" t="n">
        <f aca="false">'Daily KPI Entry'!AK471</f>
        <v>0</v>
      </c>
      <c r="AL470" s="47" t="n">
        <f aca="false">'Daily KPI Entry'!AL471</f>
        <v>0</v>
      </c>
      <c r="AM470" s="47" t="n">
        <f aca="false">'Daily KPI Entry'!AM471</f>
        <v>0</v>
      </c>
      <c r="AN470" s="49" t="str">
        <f aca="false">IF(P470="","",MIN(120,P470))</f>
        <v/>
      </c>
      <c r="AO470" s="49" t="str">
        <f aca="false">IF(U470="","",MIN(120,U470))</f>
        <v/>
      </c>
      <c r="AP470" s="49" t="str">
        <f aca="false">IF(R470="","",MIN(120,IFERROR(S470/R470*100,0)))</f>
        <v/>
      </c>
      <c r="AQ470" s="49" t="str">
        <f aca="false">IF(W470="","",MIN(120,IF(W470=0,120,100*(INDEX('Standards &amp; Scoring'!$E$5:$E$13,MATCH("Quality / Rejection",'Standards &amp; Scoring'!$A$5:$A$13,0))/W470))))</f>
        <v/>
      </c>
      <c r="AR470" s="49" t="str">
        <f aca="false">IF(AG470="","",MIN(120,IF(AG470=0,120,100*(INDEX('Standards &amp; Scoring'!$E$5:$E$13,MATCH("Fault Control",'Standards &amp; Scoring'!$A$5:$A$13,0))/AG470))))</f>
        <v/>
      </c>
      <c r="AS470" s="49" t="str">
        <f aca="false">IF(O470="","",MIN(120,IF(SUMIFS('Fault &amp; Downtime Entry'!$L$6:$L$1005,'Fault &amp; Downtime Entry'!$E$6:$E$1005,G470,'Fault &amp; Downtime Entry'!$B$6:$B$1005,B470)=0,120,100*(INDEX('Standards &amp; Scoring'!$E$5:$E$13,MATCH("Downtime Control",'Standards &amp; Scoring'!$A$5:$A$13,0))/IFERROR(SUMIFS('Fault &amp; Downtime Entry'!$L$6:$L$1005,'Fault &amp; Downtime Entry'!$E$6:$E$1005,G470,'Fault &amp; Downtime Entry'!$B$6:$B$1005,B470)/O470*1000,999999)))))</f>
        <v/>
      </c>
      <c r="AT470" s="49" t="n">
        <f aca="false">IF(COUNTA(AH470,AJ470)=0,"",MIN(120,IF(AND(AH470&lt;&gt;"",AJ470&lt;&gt;""),AVERAGE(AH470,AJ470),IF(AH470&lt;&gt;"",AH470,AJ470))))</f>
        <v>0</v>
      </c>
      <c r="AU470" s="49" t="str">
        <f aca="false">IF(AI470="","",MIN(120,AI470))</f>
        <v/>
      </c>
      <c r="AV470" s="49" t="str">
        <f aca="false">IF(AJ470="","",MIN(120,AJ470))</f>
        <v/>
      </c>
      <c r="AW470" s="50" t="str">
        <f aca="false">IF(COUNT(AN470:AV470)&lt;9,"",(AN470*'Standards &amp; Scoring'!$D$5+AO470*'Standards &amp; Scoring'!$D$6+AP470*'Standards &amp; Scoring'!$D$7+AQ470*'Standards &amp; Scoring'!$D$8+AR470*'Standards &amp; Scoring'!$D$9+AS470*'Standards &amp; Scoring'!$D$10+AT470*'Standards &amp; Scoring'!$D$11+AU470*'Standards &amp; Scoring'!$D$12+AV470*'Standards &amp; Scoring'!$D$13)/10000)</f>
        <v/>
      </c>
      <c r="AX470" s="47" t="str">
        <f aca="false">IF(AW470="","",IF(AW470&gt;=1.05,"A+",IF(AW470&gt;=1,"A",IF(AW470&gt;=0.95,"B+",IF(AW470&gt;=0.9,"B","C")))))</f>
        <v/>
      </c>
      <c r="AY470" s="47" t="str">
        <f aca="false">IF(AX470="","",IF(AX470="A+",1800,IF(AX470="A",1600,IF(AX470="B+",1400,IF(AX470="B",1200,0)))))</f>
        <v/>
      </c>
      <c r="AZ470" s="49" t="str">
        <f aca="false">IF(OR(L470="",M470="",S470="",M470=0),"",IFERROR(L470*60*S470/(M470*36),0))</f>
        <v/>
      </c>
    </row>
    <row r="471" customFormat="false" ht="15" hidden="false" customHeight="true" outlineLevel="0" collapsed="false">
      <c r="A471" s="47" t="n">
        <f aca="false">'Daily KPI Entry'!A472</f>
        <v>0</v>
      </c>
      <c r="B471" s="48" t="n">
        <f aca="false">'Daily KPI Entry'!B472</f>
        <v>0</v>
      </c>
      <c r="C471" s="47" t="n">
        <f aca="false">'Daily KPI Entry'!C472</f>
        <v>0</v>
      </c>
      <c r="D471" s="47" t="n">
        <f aca="false">'Daily KPI Entry'!D472</f>
        <v>0</v>
      </c>
      <c r="E471" s="47" t="n">
        <f aca="false">'Daily KPI Entry'!E472</f>
        <v>0</v>
      </c>
      <c r="F471" s="47" t="n">
        <f aca="false">'Daily KPI Entry'!F472</f>
        <v>0</v>
      </c>
      <c r="G471" s="47" t="n">
        <f aca="false">'Daily KPI Entry'!G472</f>
        <v>0</v>
      </c>
      <c r="H471" s="47" t="str">
        <f aca="false">'Daily KPI Entry'!H472</f>
        <v/>
      </c>
      <c r="I471" s="47" t="n">
        <f aca="false">'Daily KPI Entry'!I472</f>
        <v>0</v>
      </c>
      <c r="J471" s="47" t="n">
        <f aca="false">'Daily KPI Entry'!J472</f>
        <v>0</v>
      </c>
      <c r="K471" s="47" t="n">
        <f aca="false">'Daily KPI Entry'!K472</f>
        <v>0</v>
      </c>
      <c r="L471" s="47" t="n">
        <f aca="false">'Daily KPI Entry'!L472</f>
        <v>0</v>
      </c>
      <c r="M471" s="47" t="n">
        <f aca="false">'Daily KPI Entry'!M472</f>
        <v>0</v>
      </c>
      <c r="N471" s="49" t="n">
        <f aca="false">'Daily KPI Entry'!N472</f>
        <v>0</v>
      </c>
      <c r="O471" s="49" t="n">
        <f aca="false">'Daily KPI Entry'!O472</f>
        <v>0</v>
      </c>
      <c r="P471" s="49" t="str">
        <f aca="false">IF(OR(N471="",O471=""),"",IFERROR(O471/N471*100,0))</f>
        <v/>
      </c>
      <c r="Q471" s="47" t="n">
        <f aca="false">'Daily KPI Entry'!Q472</f>
        <v>8</v>
      </c>
      <c r="R471" s="47" t="str">
        <f aca="false">IF(J471="","",Q471*J471)</f>
        <v/>
      </c>
      <c r="S471" s="49" t="n">
        <f aca="false">'Daily KPI Entry'!S472</f>
        <v>0</v>
      </c>
      <c r="T471" s="49" t="str">
        <f aca="false">IF(OR(R471="",S471=""),"",IFERROR(S471/R471*100,0))</f>
        <v/>
      </c>
      <c r="U471" s="49" t="str">
        <f aca="false">IF(OR(O471="",L471="",M471="",S471="",M471=0),"",IFERROR(O471/(L471*60*S471/(M471*36))*100,0))</f>
        <v/>
      </c>
      <c r="V471" s="49" t="n">
        <f aca="false">'Daily KPI Entry'!V472</f>
        <v>0</v>
      </c>
      <c r="W471" s="49" t="str">
        <f aca="false">IF(O471="","",IFERROR(V471/O471*100,0))</f>
        <v/>
      </c>
      <c r="X471" s="49" t="n">
        <f aca="false">'Daily KPI Entry'!X472</f>
        <v>0</v>
      </c>
      <c r="Y471" s="49" t="n">
        <f aca="false">'Daily KPI Entry'!Y472</f>
        <v>0</v>
      </c>
      <c r="Z471" s="49" t="n">
        <f aca="false">'Daily KPI Entry'!Z472</f>
        <v>0</v>
      </c>
      <c r="AA471" s="49" t="n">
        <f aca="false">'Daily KPI Entry'!AA472</f>
        <v>0</v>
      </c>
      <c r="AB471" s="49" t="n">
        <f aca="false">'Daily KPI Entry'!AB472</f>
        <v>0</v>
      </c>
      <c r="AC471" s="49" t="n">
        <f aca="false">'Daily KPI Entry'!AC472</f>
        <v>0</v>
      </c>
      <c r="AD471" s="49" t="n">
        <f aca="false">'Daily KPI Entry'!AD472</f>
        <v>0</v>
      </c>
      <c r="AE471" s="49" t="n">
        <f aca="false">'Daily KPI Entry'!AE472</f>
        <v>0</v>
      </c>
      <c r="AF471" s="47" t="str">
        <f aca="false">IF(O471="","",SUM(X471:AE471))</f>
        <v/>
      </c>
      <c r="AG471" s="49" t="str">
        <f aca="false">IF(O471="","",IFERROR(AF471/O471*1000,0))</f>
        <v/>
      </c>
      <c r="AH471" s="49" t="n">
        <f aca="false">'Daily KPI Entry'!AH472</f>
        <v>0</v>
      </c>
      <c r="AI471" s="49" t="n">
        <f aca="false">'Daily KPI Entry'!AI472</f>
        <v>0</v>
      </c>
      <c r="AJ471" s="49" t="n">
        <f aca="false">'Daily KPI Entry'!AJ472</f>
        <v>0</v>
      </c>
      <c r="AK471" s="47" t="n">
        <f aca="false">'Daily KPI Entry'!AK472</f>
        <v>0</v>
      </c>
      <c r="AL471" s="47" t="n">
        <f aca="false">'Daily KPI Entry'!AL472</f>
        <v>0</v>
      </c>
      <c r="AM471" s="47" t="n">
        <f aca="false">'Daily KPI Entry'!AM472</f>
        <v>0</v>
      </c>
      <c r="AN471" s="49" t="str">
        <f aca="false">IF(P471="","",MIN(120,P471))</f>
        <v/>
      </c>
      <c r="AO471" s="49" t="str">
        <f aca="false">IF(U471="","",MIN(120,U471))</f>
        <v/>
      </c>
      <c r="AP471" s="49" t="str">
        <f aca="false">IF(R471="","",MIN(120,IFERROR(S471/R471*100,0)))</f>
        <v/>
      </c>
      <c r="AQ471" s="49" t="str">
        <f aca="false">IF(W471="","",MIN(120,IF(W471=0,120,100*(INDEX('Standards &amp; Scoring'!$E$5:$E$13,MATCH("Quality / Rejection",'Standards &amp; Scoring'!$A$5:$A$13,0))/W471))))</f>
        <v/>
      </c>
      <c r="AR471" s="49" t="str">
        <f aca="false">IF(AG471="","",MIN(120,IF(AG471=0,120,100*(INDEX('Standards &amp; Scoring'!$E$5:$E$13,MATCH("Fault Control",'Standards &amp; Scoring'!$A$5:$A$13,0))/AG471))))</f>
        <v/>
      </c>
      <c r="AS471" s="49" t="str">
        <f aca="false">IF(O471="","",MIN(120,IF(SUMIFS('Fault &amp; Downtime Entry'!$L$6:$L$1005,'Fault &amp; Downtime Entry'!$E$6:$E$1005,G471,'Fault &amp; Downtime Entry'!$B$6:$B$1005,B471)=0,120,100*(INDEX('Standards &amp; Scoring'!$E$5:$E$13,MATCH("Downtime Control",'Standards &amp; Scoring'!$A$5:$A$13,0))/IFERROR(SUMIFS('Fault &amp; Downtime Entry'!$L$6:$L$1005,'Fault &amp; Downtime Entry'!$E$6:$E$1005,G471,'Fault &amp; Downtime Entry'!$B$6:$B$1005,B471)/O471*1000,999999)))))</f>
        <v/>
      </c>
      <c r="AT471" s="49" t="n">
        <f aca="false">IF(COUNTA(AH471,AJ471)=0,"",MIN(120,IF(AND(AH471&lt;&gt;"",AJ471&lt;&gt;""),AVERAGE(AH471,AJ471),IF(AH471&lt;&gt;"",AH471,AJ471))))</f>
        <v>0</v>
      </c>
      <c r="AU471" s="49" t="str">
        <f aca="false">IF(AI471="","",MIN(120,AI471))</f>
        <v/>
      </c>
      <c r="AV471" s="49" t="str">
        <f aca="false">IF(AJ471="","",MIN(120,AJ471))</f>
        <v/>
      </c>
      <c r="AW471" s="50" t="str">
        <f aca="false">IF(COUNT(AN471:AV471)&lt;9,"",(AN471*'Standards &amp; Scoring'!$D$5+AO471*'Standards &amp; Scoring'!$D$6+AP471*'Standards &amp; Scoring'!$D$7+AQ471*'Standards &amp; Scoring'!$D$8+AR471*'Standards &amp; Scoring'!$D$9+AS471*'Standards &amp; Scoring'!$D$10+AT471*'Standards &amp; Scoring'!$D$11+AU471*'Standards &amp; Scoring'!$D$12+AV471*'Standards &amp; Scoring'!$D$13)/10000)</f>
        <v/>
      </c>
      <c r="AX471" s="47" t="str">
        <f aca="false">IF(AW471="","",IF(AW471&gt;=1.05,"A+",IF(AW471&gt;=1,"A",IF(AW471&gt;=0.95,"B+",IF(AW471&gt;=0.9,"B","C")))))</f>
        <v/>
      </c>
      <c r="AY471" s="47" t="str">
        <f aca="false">IF(AX471="","",IF(AX471="A+",1800,IF(AX471="A",1600,IF(AX471="B+",1400,IF(AX471="B",1200,0)))))</f>
        <v/>
      </c>
      <c r="AZ471" s="49" t="str">
        <f aca="false">IF(OR(L471="",M471="",S471="",M471=0),"",IFERROR(L471*60*S471/(M471*36),0))</f>
        <v/>
      </c>
    </row>
    <row r="472" customFormat="false" ht="15" hidden="false" customHeight="true" outlineLevel="0" collapsed="false">
      <c r="A472" s="47" t="n">
        <f aca="false">'Daily KPI Entry'!A473</f>
        <v>0</v>
      </c>
      <c r="B472" s="48" t="n">
        <f aca="false">'Daily KPI Entry'!B473</f>
        <v>0</v>
      </c>
      <c r="C472" s="47" t="n">
        <f aca="false">'Daily KPI Entry'!C473</f>
        <v>0</v>
      </c>
      <c r="D472" s="47" t="n">
        <f aca="false">'Daily KPI Entry'!D473</f>
        <v>0</v>
      </c>
      <c r="E472" s="47" t="n">
        <f aca="false">'Daily KPI Entry'!E473</f>
        <v>0</v>
      </c>
      <c r="F472" s="47" t="n">
        <f aca="false">'Daily KPI Entry'!F473</f>
        <v>0</v>
      </c>
      <c r="G472" s="47" t="n">
        <f aca="false">'Daily KPI Entry'!G473</f>
        <v>0</v>
      </c>
      <c r="H472" s="47" t="str">
        <f aca="false">'Daily KPI Entry'!H473</f>
        <v/>
      </c>
      <c r="I472" s="47" t="n">
        <f aca="false">'Daily KPI Entry'!I473</f>
        <v>0</v>
      </c>
      <c r="J472" s="47" t="n">
        <f aca="false">'Daily KPI Entry'!J473</f>
        <v>0</v>
      </c>
      <c r="K472" s="47" t="n">
        <f aca="false">'Daily KPI Entry'!K473</f>
        <v>0</v>
      </c>
      <c r="L472" s="47" t="n">
        <f aca="false">'Daily KPI Entry'!L473</f>
        <v>0</v>
      </c>
      <c r="M472" s="47" t="n">
        <f aca="false">'Daily KPI Entry'!M473</f>
        <v>0</v>
      </c>
      <c r="N472" s="49" t="n">
        <f aca="false">'Daily KPI Entry'!N473</f>
        <v>0</v>
      </c>
      <c r="O472" s="49" t="n">
        <f aca="false">'Daily KPI Entry'!O473</f>
        <v>0</v>
      </c>
      <c r="P472" s="49" t="str">
        <f aca="false">IF(OR(N472="",O472=""),"",IFERROR(O472/N472*100,0))</f>
        <v/>
      </c>
      <c r="Q472" s="47" t="n">
        <f aca="false">'Daily KPI Entry'!Q473</f>
        <v>8</v>
      </c>
      <c r="R472" s="47" t="str">
        <f aca="false">IF(J472="","",Q472*J472)</f>
        <v/>
      </c>
      <c r="S472" s="49" t="n">
        <f aca="false">'Daily KPI Entry'!S473</f>
        <v>0</v>
      </c>
      <c r="T472" s="49" t="str">
        <f aca="false">IF(OR(R472="",S472=""),"",IFERROR(S472/R472*100,0))</f>
        <v/>
      </c>
      <c r="U472" s="49" t="str">
        <f aca="false">IF(OR(O472="",L472="",M472="",S472="",M472=0),"",IFERROR(O472/(L472*60*S472/(M472*36))*100,0))</f>
        <v/>
      </c>
      <c r="V472" s="49" t="n">
        <f aca="false">'Daily KPI Entry'!V473</f>
        <v>0</v>
      </c>
      <c r="W472" s="49" t="str">
        <f aca="false">IF(O472="","",IFERROR(V472/O472*100,0))</f>
        <v/>
      </c>
      <c r="X472" s="49" t="n">
        <f aca="false">'Daily KPI Entry'!X473</f>
        <v>0</v>
      </c>
      <c r="Y472" s="49" t="n">
        <f aca="false">'Daily KPI Entry'!Y473</f>
        <v>0</v>
      </c>
      <c r="Z472" s="49" t="n">
        <f aca="false">'Daily KPI Entry'!Z473</f>
        <v>0</v>
      </c>
      <c r="AA472" s="49" t="n">
        <f aca="false">'Daily KPI Entry'!AA473</f>
        <v>0</v>
      </c>
      <c r="AB472" s="49" t="n">
        <f aca="false">'Daily KPI Entry'!AB473</f>
        <v>0</v>
      </c>
      <c r="AC472" s="49" t="n">
        <f aca="false">'Daily KPI Entry'!AC473</f>
        <v>0</v>
      </c>
      <c r="AD472" s="49" t="n">
        <f aca="false">'Daily KPI Entry'!AD473</f>
        <v>0</v>
      </c>
      <c r="AE472" s="49" t="n">
        <f aca="false">'Daily KPI Entry'!AE473</f>
        <v>0</v>
      </c>
      <c r="AF472" s="47" t="str">
        <f aca="false">IF(O472="","",SUM(X472:AE472))</f>
        <v/>
      </c>
      <c r="AG472" s="49" t="str">
        <f aca="false">IF(O472="","",IFERROR(AF472/O472*1000,0))</f>
        <v/>
      </c>
      <c r="AH472" s="49" t="n">
        <f aca="false">'Daily KPI Entry'!AH473</f>
        <v>0</v>
      </c>
      <c r="AI472" s="49" t="n">
        <f aca="false">'Daily KPI Entry'!AI473</f>
        <v>0</v>
      </c>
      <c r="AJ472" s="49" t="n">
        <f aca="false">'Daily KPI Entry'!AJ473</f>
        <v>0</v>
      </c>
      <c r="AK472" s="47" t="n">
        <f aca="false">'Daily KPI Entry'!AK473</f>
        <v>0</v>
      </c>
      <c r="AL472" s="47" t="n">
        <f aca="false">'Daily KPI Entry'!AL473</f>
        <v>0</v>
      </c>
      <c r="AM472" s="47" t="n">
        <f aca="false">'Daily KPI Entry'!AM473</f>
        <v>0</v>
      </c>
      <c r="AN472" s="49" t="str">
        <f aca="false">IF(P472="","",MIN(120,P472))</f>
        <v/>
      </c>
      <c r="AO472" s="49" t="str">
        <f aca="false">IF(U472="","",MIN(120,U472))</f>
        <v/>
      </c>
      <c r="AP472" s="49" t="str">
        <f aca="false">IF(R472="","",MIN(120,IFERROR(S472/R472*100,0)))</f>
        <v/>
      </c>
      <c r="AQ472" s="49" t="str">
        <f aca="false">IF(W472="","",MIN(120,IF(W472=0,120,100*(INDEX('Standards &amp; Scoring'!$E$5:$E$13,MATCH("Quality / Rejection",'Standards &amp; Scoring'!$A$5:$A$13,0))/W472))))</f>
        <v/>
      </c>
      <c r="AR472" s="49" t="str">
        <f aca="false">IF(AG472="","",MIN(120,IF(AG472=0,120,100*(INDEX('Standards &amp; Scoring'!$E$5:$E$13,MATCH("Fault Control",'Standards &amp; Scoring'!$A$5:$A$13,0))/AG472))))</f>
        <v/>
      </c>
      <c r="AS472" s="49" t="str">
        <f aca="false">IF(O472="","",MIN(120,IF(SUMIFS('Fault &amp; Downtime Entry'!$L$6:$L$1005,'Fault &amp; Downtime Entry'!$E$6:$E$1005,G472,'Fault &amp; Downtime Entry'!$B$6:$B$1005,B472)=0,120,100*(INDEX('Standards &amp; Scoring'!$E$5:$E$13,MATCH("Downtime Control",'Standards &amp; Scoring'!$A$5:$A$13,0))/IFERROR(SUMIFS('Fault &amp; Downtime Entry'!$L$6:$L$1005,'Fault &amp; Downtime Entry'!$E$6:$E$1005,G472,'Fault &amp; Downtime Entry'!$B$6:$B$1005,B472)/O472*1000,999999)))))</f>
        <v/>
      </c>
      <c r="AT472" s="49" t="n">
        <f aca="false">IF(COUNTA(AH472,AJ472)=0,"",MIN(120,IF(AND(AH472&lt;&gt;"",AJ472&lt;&gt;""),AVERAGE(AH472,AJ472),IF(AH472&lt;&gt;"",AH472,AJ472))))</f>
        <v>0</v>
      </c>
      <c r="AU472" s="49" t="str">
        <f aca="false">IF(AI472="","",MIN(120,AI472))</f>
        <v/>
      </c>
      <c r="AV472" s="49" t="str">
        <f aca="false">IF(AJ472="","",MIN(120,AJ472))</f>
        <v/>
      </c>
      <c r="AW472" s="50" t="str">
        <f aca="false">IF(COUNT(AN472:AV472)&lt;9,"",(AN472*'Standards &amp; Scoring'!$D$5+AO472*'Standards &amp; Scoring'!$D$6+AP472*'Standards &amp; Scoring'!$D$7+AQ472*'Standards &amp; Scoring'!$D$8+AR472*'Standards &amp; Scoring'!$D$9+AS472*'Standards &amp; Scoring'!$D$10+AT472*'Standards &amp; Scoring'!$D$11+AU472*'Standards &amp; Scoring'!$D$12+AV472*'Standards &amp; Scoring'!$D$13)/10000)</f>
        <v/>
      </c>
      <c r="AX472" s="47" t="str">
        <f aca="false">IF(AW472="","",IF(AW472&gt;=1.05,"A+",IF(AW472&gt;=1,"A",IF(AW472&gt;=0.95,"B+",IF(AW472&gt;=0.9,"B","C")))))</f>
        <v/>
      </c>
      <c r="AY472" s="47" t="str">
        <f aca="false">IF(AX472="","",IF(AX472="A+",1800,IF(AX472="A",1600,IF(AX472="B+",1400,IF(AX472="B",1200,0)))))</f>
        <v/>
      </c>
      <c r="AZ472" s="49" t="str">
        <f aca="false">IF(OR(L472="",M472="",S472="",M472=0),"",IFERROR(L472*60*S472/(M472*36),0))</f>
        <v/>
      </c>
    </row>
    <row r="473" customFormat="false" ht="15" hidden="false" customHeight="true" outlineLevel="0" collapsed="false">
      <c r="A473" s="47" t="n">
        <f aca="false">'Daily KPI Entry'!A474</f>
        <v>0</v>
      </c>
      <c r="B473" s="48" t="n">
        <f aca="false">'Daily KPI Entry'!B474</f>
        <v>0</v>
      </c>
      <c r="C473" s="47" t="n">
        <f aca="false">'Daily KPI Entry'!C474</f>
        <v>0</v>
      </c>
      <c r="D473" s="47" t="n">
        <f aca="false">'Daily KPI Entry'!D474</f>
        <v>0</v>
      </c>
      <c r="E473" s="47" t="n">
        <f aca="false">'Daily KPI Entry'!E474</f>
        <v>0</v>
      </c>
      <c r="F473" s="47" t="n">
        <f aca="false">'Daily KPI Entry'!F474</f>
        <v>0</v>
      </c>
      <c r="G473" s="47" t="n">
        <f aca="false">'Daily KPI Entry'!G474</f>
        <v>0</v>
      </c>
      <c r="H473" s="47" t="str">
        <f aca="false">'Daily KPI Entry'!H474</f>
        <v/>
      </c>
      <c r="I473" s="47" t="n">
        <f aca="false">'Daily KPI Entry'!I474</f>
        <v>0</v>
      </c>
      <c r="J473" s="47" t="n">
        <f aca="false">'Daily KPI Entry'!J474</f>
        <v>0</v>
      </c>
      <c r="K473" s="47" t="n">
        <f aca="false">'Daily KPI Entry'!K474</f>
        <v>0</v>
      </c>
      <c r="L473" s="47" t="n">
        <f aca="false">'Daily KPI Entry'!L474</f>
        <v>0</v>
      </c>
      <c r="M473" s="47" t="n">
        <f aca="false">'Daily KPI Entry'!M474</f>
        <v>0</v>
      </c>
      <c r="N473" s="49" t="n">
        <f aca="false">'Daily KPI Entry'!N474</f>
        <v>0</v>
      </c>
      <c r="O473" s="49" t="n">
        <f aca="false">'Daily KPI Entry'!O474</f>
        <v>0</v>
      </c>
      <c r="P473" s="49" t="str">
        <f aca="false">IF(OR(N473="",O473=""),"",IFERROR(O473/N473*100,0))</f>
        <v/>
      </c>
      <c r="Q473" s="47" t="n">
        <f aca="false">'Daily KPI Entry'!Q474</f>
        <v>8</v>
      </c>
      <c r="R473" s="47" t="str">
        <f aca="false">IF(J473="","",Q473*J473)</f>
        <v/>
      </c>
      <c r="S473" s="49" t="n">
        <f aca="false">'Daily KPI Entry'!S474</f>
        <v>0</v>
      </c>
      <c r="T473" s="49" t="str">
        <f aca="false">IF(OR(R473="",S473=""),"",IFERROR(S473/R473*100,0))</f>
        <v/>
      </c>
      <c r="U473" s="49" t="str">
        <f aca="false">IF(OR(O473="",L473="",M473="",S473="",M473=0),"",IFERROR(O473/(L473*60*S473/(M473*36))*100,0))</f>
        <v/>
      </c>
      <c r="V473" s="49" t="n">
        <f aca="false">'Daily KPI Entry'!V474</f>
        <v>0</v>
      </c>
      <c r="W473" s="49" t="str">
        <f aca="false">IF(O473="","",IFERROR(V473/O473*100,0))</f>
        <v/>
      </c>
      <c r="X473" s="49" t="n">
        <f aca="false">'Daily KPI Entry'!X474</f>
        <v>0</v>
      </c>
      <c r="Y473" s="49" t="n">
        <f aca="false">'Daily KPI Entry'!Y474</f>
        <v>0</v>
      </c>
      <c r="Z473" s="49" t="n">
        <f aca="false">'Daily KPI Entry'!Z474</f>
        <v>0</v>
      </c>
      <c r="AA473" s="49" t="n">
        <f aca="false">'Daily KPI Entry'!AA474</f>
        <v>0</v>
      </c>
      <c r="AB473" s="49" t="n">
        <f aca="false">'Daily KPI Entry'!AB474</f>
        <v>0</v>
      </c>
      <c r="AC473" s="49" t="n">
        <f aca="false">'Daily KPI Entry'!AC474</f>
        <v>0</v>
      </c>
      <c r="AD473" s="49" t="n">
        <f aca="false">'Daily KPI Entry'!AD474</f>
        <v>0</v>
      </c>
      <c r="AE473" s="49" t="n">
        <f aca="false">'Daily KPI Entry'!AE474</f>
        <v>0</v>
      </c>
      <c r="AF473" s="47" t="str">
        <f aca="false">IF(O473="","",SUM(X473:AE473))</f>
        <v/>
      </c>
      <c r="AG473" s="49" t="str">
        <f aca="false">IF(O473="","",IFERROR(AF473/O473*1000,0))</f>
        <v/>
      </c>
      <c r="AH473" s="49" t="n">
        <f aca="false">'Daily KPI Entry'!AH474</f>
        <v>0</v>
      </c>
      <c r="AI473" s="49" t="n">
        <f aca="false">'Daily KPI Entry'!AI474</f>
        <v>0</v>
      </c>
      <c r="AJ473" s="49" t="n">
        <f aca="false">'Daily KPI Entry'!AJ474</f>
        <v>0</v>
      </c>
      <c r="AK473" s="47" t="n">
        <f aca="false">'Daily KPI Entry'!AK474</f>
        <v>0</v>
      </c>
      <c r="AL473" s="47" t="n">
        <f aca="false">'Daily KPI Entry'!AL474</f>
        <v>0</v>
      </c>
      <c r="AM473" s="47" t="n">
        <f aca="false">'Daily KPI Entry'!AM474</f>
        <v>0</v>
      </c>
      <c r="AN473" s="49" t="str">
        <f aca="false">IF(P473="","",MIN(120,P473))</f>
        <v/>
      </c>
      <c r="AO473" s="49" t="str">
        <f aca="false">IF(U473="","",MIN(120,U473))</f>
        <v/>
      </c>
      <c r="AP473" s="49" t="str">
        <f aca="false">IF(R473="","",MIN(120,IFERROR(S473/R473*100,0)))</f>
        <v/>
      </c>
      <c r="AQ473" s="49" t="str">
        <f aca="false">IF(W473="","",MIN(120,IF(W473=0,120,100*(INDEX('Standards &amp; Scoring'!$E$5:$E$13,MATCH("Quality / Rejection",'Standards &amp; Scoring'!$A$5:$A$13,0))/W473))))</f>
        <v/>
      </c>
      <c r="AR473" s="49" t="str">
        <f aca="false">IF(AG473="","",MIN(120,IF(AG473=0,120,100*(INDEX('Standards &amp; Scoring'!$E$5:$E$13,MATCH("Fault Control",'Standards &amp; Scoring'!$A$5:$A$13,0))/AG473))))</f>
        <v/>
      </c>
      <c r="AS473" s="49" t="str">
        <f aca="false">IF(O473="","",MIN(120,IF(SUMIFS('Fault &amp; Downtime Entry'!$L$6:$L$1005,'Fault &amp; Downtime Entry'!$E$6:$E$1005,G473,'Fault &amp; Downtime Entry'!$B$6:$B$1005,B473)=0,120,100*(INDEX('Standards &amp; Scoring'!$E$5:$E$13,MATCH("Downtime Control",'Standards &amp; Scoring'!$A$5:$A$13,0))/IFERROR(SUMIFS('Fault &amp; Downtime Entry'!$L$6:$L$1005,'Fault &amp; Downtime Entry'!$E$6:$E$1005,G473,'Fault &amp; Downtime Entry'!$B$6:$B$1005,B473)/O473*1000,999999)))))</f>
        <v/>
      </c>
      <c r="AT473" s="49" t="n">
        <f aca="false">IF(COUNTA(AH473,AJ473)=0,"",MIN(120,IF(AND(AH473&lt;&gt;"",AJ473&lt;&gt;""),AVERAGE(AH473,AJ473),IF(AH473&lt;&gt;"",AH473,AJ473))))</f>
        <v>0</v>
      </c>
      <c r="AU473" s="49" t="str">
        <f aca="false">IF(AI473="","",MIN(120,AI473))</f>
        <v/>
      </c>
      <c r="AV473" s="49" t="str">
        <f aca="false">IF(AJ473="","",MIN(120,AJ473))</f>
        <v/>
      </c>
      <c r="AW473" s="50" t="str">
        <f aca="false">IF(COUNT(AN473:AV473)&lt;9,"",(AN473*'Standards &amp; Scoring'!$D$5+AO473*'Standards &amp; Scoring'!$D$6+AP473*'Standards &amp; Scoring'!$D$7+AQ473*'Standards &amp; Scoring'!$D$8+AR473*'Standards &amp; Scoring'!$D$9+AS473*'Standards &amp; Scoring'!$D$10+AT473*'Standards &amp; Scoring'!$D$11+AU473*'Standards &amp; Scoring'!$D$12+AV473*'Standards &amp; Scoring'!$D$13)/10000)</f>
        <v/>
      </c>
      <c r="AX473" s="47" t="str">
        <f aca="false">IF(AW473="","",IF(AW473&gt;=1.05,"A+",IF(AW473&gt;=1,"A",IF(AW473&gt;=0.95,"B+",IF(AW473&gt;=0.9,"B","C")))))</f>
        <v/>
      </c>
      <c r="AY473" s="47" t="str">
        <f aca="false">IF(AX473="","",IF(AX473="A+",1800,IF(AX473="A",1600,IF(AX473="B+",1400,IF(AX473="B",1200,0)))))</f>
        <v/>
      </c>
      <c r="AZ473" s="49" t="str">
        <f aca="false">IF(OR(L473="",M473="",S473="",M473=0),"",IFERROR(L473*60*S473/(M473*36),0))</f>
        <v/>
      </c>
    </row>
    <row r="474" customFormat="false" ht="15" hidden="false" customHeight="true" outlineLevel="0" collapsed="false">
      <c r="A474" s="47" t="n">
        <f aca="false">'Daily KPI Entry'!A475</f>
        <v>0</v>
      </c>
      <c r="B474" s="48" t="n">
        <f aca="false">'Daily KPI Entry'!B475</f>
        <v>0</v>
      </c>
      <c r="C474" s="47" t="n">
        <f aca="false">'Daily KPI Entry'!C475</f>
        <v>0</v>
      </c>
      <c r="D474" s="47" t="n">
        <f aca="false">'Daily KPI Entry'!D475</f>
        <v>0</v>
      </c>
      <c r="E474" s="47" t="n">
        <f aca="false">'Daily KPI Entry'!E475</f>
        <v>0</v>
      </c>
      <c r="F474" s="47" t="n">
        <f aca="false">'Daily KPI Entry'!F475</f>
        <v>0</v>
      </c>
      <c r="G474" s="47" t="n">
        <f aca="false">'Daily KPI Entry'!G475</f>
        <v>0</v>
      </c>
      <c r="H474" s="47" t="str">
        <f aca="false">'Daily KPI Entry'!H475</f>
        <v/>
      </c>
      <c r="I474" s="47" t="n">
        <f aca="false">'Daily KPI Entry'!I475</f>
        <v>0</v>
      </c>
      <c r="J474" s="47" t="n">
        <f aca="false">'Daily KPI Entry'!J475</f>
        <v>0</v>
      </c>
      <c r="K474" s="47" t="n">
        <f aca="false">'Daily KPI Entry'!K475</f>
        <v>0</v>
      </c>
      <c r="L474" s="47" t="n">
        <f aca="false">'Daily KPI Entry'!L475</f>
        <v>0</v>
      </c>
      <c r="M474" s="47" t="n">
        <f aca="false">'Daily KPI Entry'!M475</f>
        <v>0</v>
      </c>
      <c r="N474" s="49" t="n">
        <f aca="false">'Daily KPI Entry'!N475</f>
        <v>0</v>
      </c>
      <c r="O474" s="49" t="n">
        <f aca="false">'Daily KPI Entry'!O475</f>
        <v>0</v>
      </c>
      <c r="P474" s="49" t="str">
        <f aca="false">IF(OR(N474="",O474=""),"",IFERROR(O474/N474*100,0))</f>
        <v/>
      </c>
      <c r="Q474" s="47" t="n">
        <f aca="false">'Daily KPI Entry'!Q475</f>
        <v>8</v>
      </c>
      <c r="R474" s="47" t="str">
        <f aca="false">IF(J474="","",Q474*J474)</f>
        <v/>
      </c>
      <c r="S474" s="49" t="n">
        <f aca="false">'Daily KPI Entry'!S475</f>
        <v>0</v>
      </c>
      <c r="T474" s="49" t="str">
        <f aca="false">IF(OR(R474="",S474=""),"",IFERROR(S474/R474*100,0))</f>
        <v/>
      </c>
      <c r="U474" s="49" t="str">
        <f aca="false">IF(OR(O474="",L474="",M474="",S474="",M474=0),"",IFERROR(O474/(L474*60*S474/(M474*36))*100,0))</f>
        <v/>
      </c>
      <c r="V474" s="49" t="n">
        <f aca="false">'Daily KPI Entry'!V475</f>
        <v>0</v>
      </c>
      <c r="W474" s="49" t="str">
        <f aca="false">IF(O474="","",IFERROR(V474/O474*100,0))</f>
        <v/>
      </c>
      <c r="X474" s="49" t="n">
        <f aca="false">'Daily KPI Entry'!X475</f>
        <v>0</v>
      </c>
      <c r="Y474" s="49" t="n">
        <f aca="false">'Daily KPI Entry'!Y475</f>
        <v>0</v>
      </c>
      <c r="Z474" s="49" t="n">
        <f aca="false">'Daily KPI Entry'!Z475</f>
        <v>0</v>
      </c>
      <c r="AA474" s="49" t="n">
        <f aca="false">'Daily KPI Entry'!AA475</f>
        <v>0</v>
      </c>
      <c r="AB474" s="49" t="n">
        <f aca="false">'Daily KPI Entry'!AB475</f>
        <v>0</v>
      </c>
      <c r="AC474" s="49" t="n">
        <f aca="false">'Daily KPI Entry'!AC475</f>
        <v>0</v>
      </c>
      <c r="AD474" s="49" t="n">
        <f aca="false">'Daily KPI Entry'!AD475</f>
        <v>0</v>
      </c>
      <c r="AE474" s="49" t="n">
        <f aca="false">'Daily KPI Entry'!AE475</f>
        <v>0</v>
      </c>
      <c r="AF474" s="47" t="str">
        <f aca="false">IF(O474="","",SUM(X474:AE474))</f>
        <v/>
      </c>
      <c r="AG474" s="49" t="str">
        <f aca="false">IF(O474="","",IFERROR(AF474/O474*1000,0))</f>
        <v/>
      </c>
      <c r="AH474" s="49" t="n">
        <f aca="false">'Daily KPI Entry'!AH475</f>
        <v>0</v>
      </c>
      <c r="AI474" s="49" t="n">
        <f aca="false">'Daily KPI Entry'!AI475</f>
        <v>0</v>
      </c>
      <c r="AJ474" s="49" t="n">
        <f aca="false">'Daily KPI Entry'!AJ475</f>
        <v>0</v>
      </c>
      <c r="AK474" s="47" t="n">
        <f aca="false">'Daily KPI Entry'!AK475</f>
        <v>0</v>
      </c>
      <c r="AL474" s="47" t="n">
        <f aca="false">'Daily KPI Entry'!AL475</f>
        <v>0</v>
      </c>
      <c r="AM474" s="47" t="n">
        <f aca="false">'Daily KPI Entry'!AM475</f>
        <v>0</v>
      </c>
      <c r="AN474" s="49" t="str">
        <f aca="false">IF(P474="","",MIN(120,P474))</f>
        <v/>
      </c>
      <c r="AO474" s="49" t="str">
        <f aca="false">IF(U474="","",MIN(120,U474))</f>
        <v/>
      </c>
      <c r="AP474" s="49" t="str">
        <f aca="false">IF(R474="","",MIN(120,IFERROR(S474/R474*100,0)))</f>
        <v/>
      </c>
      <c r="AQ474" s="49" t="str">
        <f aca="false">IF(W474="","",MIN(120,IF(W474=0,120,100*(INDEX('Standards &amp; Scoring'!$E$5:$E$13,MATCH("Quality / Rejection",'Standards &amp; Scoring'!$A$5:$A$13,0))/W474))))</f>
        <v/>
      </c>
      <c r="AR474" s="49" t="str">
        <f aca="false">IF(AG474="","",MIN(120,IF(AG474=0,120,100*(INDEX('Standards &amp; Scoring'!$E$5:$E$13,MATCH("Fault Control",'Standards &amp; Scoring'!$A$5:$A$13,0))/AG474))))</f>
        <v/>
      </c>
      <c r="AS474" s="49" t="str">
        <f aca="false">IF(O474="","",MIN(120,IF(SUMIFS('Fault &amp; Downtime Entry'!$L$6:$L$1005,'Fault &amp; Downtime Entry'!$E$6:$E$1005,G474,'Fault &amp; Downtime Entry'!$B$6:$B$1005,B474)=0,120,100*(INDEX('Standards &amp; Scoring'!$E$5:$E$13,MATCH("Downtime Control",'Standards &amp; Scoring'!$A$5:$A$13,0))/IFERROR(SUMIFS('Fault &amp; Downtime Entry'!$L$6:$L$1005,'Fault &amp; Downtime Entry'!$E$6:$E$1005,G474,'Fault &amp; Downtime Entry'!$B$6:$B$1005,B474)/O474*1000,999999)))))</f>
        <v/>
      </c>
      <c r="AT474" s="49" t="n">
        <f aca="false">IF(COUNTA(AH474,AJ474)=0,"",MIN(120,IF(AND(AH474&lt;&gt;"",AJ474&lt;&gt;""),AVERAGE(AH474,AJ474),IF(AH474&lt;&gt;"",AH474,AJ474))))</f>
        <v>0</v>
      </c>
      <c r="AU474" s="49" t="str">
        <f aca="false">IF(AI474="","",MIN(120,AI474))</f>
        <v/>
      </c>
      <c r="AV474" s="49" t="str">
        <f aca="false">IF(AJ474="","",MIN(120,AJ474))</f>
        <v/>
      </c>
      <c r="AW474" s="50" t="str">
        <f aca="false">IF(COUNT(AN474:AV474)&lt;9,"",(AN474*'Standards &amp; Scoring'!$D$5+AO474*'Standards &amp; Scoring'!$D$6+AP474*'Standards &amp; Scoring'!$D$7+AQ474*'Standards &amp; Scoring'!$D$8+AR474*'Standards &amp; Scoring'!$D$9+AS474*'Standards &amp; Scoring'!$D$10+AT474*'Standards &amp; Scoring'!$D$11+AU474*'Standards &amp; Scoring'!$D$12+AV474*'Standards &amp; Scoring'!$D$13)/10000)</f>
        <v/>
      </c>
      <c r="AX474" s="47" t="str">
        <f aca="false">IF(AW474="","",IF(AW474&gt;=1.05,"A+",IF(AW474&gt;=1,"A",IF(AW474&gt;=0.95,"B+",IF(AW474&gt;=0.9,"B","C")))))</f>
        <v/>
      </c>
      <c r="AY474" s="47" t="str">
        <f aca="false">IF(AX474="","",IF(AX474="A+",1800,IF(AX474="A",1600,IF(AX474="B+",1400,IF(AX474="B",1200,0)))))</f>
        <v/>
      </c>
      <c r="AZ474" s="49" t="str">
        <f aca="false">IF(OR(L474="",M474="",S474="",M474=0),"",IFERROR(L474*60*S474/(M474*36),0))</f>
        <v/>
      </c>
    </row>
    <row r="475" customFormat="false" ht="15" hidden="false" customHeight="true" outlineLevel="0" collapsed="false">
      <c r="A475" s="47" t="n">
        <f aca="false">'Daily KPI Entry'!A476</f>
        <v>0</v>
      </c>
      <c r="B475" s="48" t="n">
        <f aca="false">'Daily KPI Entry'!B476</f>
        <v>0</v>
      </c>
      <c r="C475" s="47" t="n">
        <f aca="false">'Daily KPI Entry'!C476</f>
        <v>0</v>
      </c>
      <c r="D475" s="47" t="n">
        <f aca="false">'Daily KPI Entry'!D476</f>
        <v>0</v>
      </c>
      <c r="E475" s="47" t="n">
        <f aca="false">'Daily KPI Entry'!E476</f>
        <v>0</v>
      </c>
      <c r="F475" s="47" t="n">
        <f aca="false">'Daily KPI Entry'!F476</f>
        <v>0</v>
      </c>
      <c r="G475" s="47" t="n">
        <f aca="false">'Daily KPI Entry'!G476</f>
        <v>0</v>
      </c>
      <c r="H475" s="47" t="str">
        <f aca="false">'Daily KPI Entry'!H476</f>
        <v/>
      </c>
      <c r="I475" s="47" t="n">
        <f aca="false">'Daily KPI Entry'!I476</f>
        <v>0</v>
      </c>
      <c r="J475" s="47" t="n">
        <f aca="false">'Daily KPI Entry'!J476</f>
        <v>0</v>
      </c>
      <c r="K475" s="47" t="n">
        <f aca="false">'Daily KPI Entry'!K476</f>
        <v>0</v>
      </c>
      <c r="L475" s="47" t="n">
        <f aca="false">'Daily KPI Entry'!L476</f>
        <v>0</v>
      </c>
      <c r="M475" s="47" t="n">
        <f aca="false">'Daily KPI Entry'!M476</f>
        <v>0</v>
      </c>
      <c r="N475" s="49" t="n">
        <f aca="false">'Daily KPI Entry'!N476</f>
        <v>0</v>
      </c>
      <c r="O475" s="49" t="n">
        <f aca="false">'Daily KPI Entry'!O476</f>
        <v>0</v>
      </c>
      <c r="P475" s="49" t="str">
        <f aca="false">IF(OR(N475="",O475=""),"",IFERROR(O475/N475*100,0))</f>
        <v/>
      </c>
      <c r="Q475" s="47" t="n">
        <f aca="false">'Daily KPI Entry'!Q476</f>
        <v>8</v>
      </c>
      <c r="R475" s="47" t="str">
        <f aca="false">IF(J475="","",Q475*J475)</f>
        <v/>
      </c>
      <c r="S475" s="49" t="n">
        <f aca="false">'Daily KPI Entry'!S476</f>
        <v>0</v>
      </c>
      <c r="T475" s="49" t="str">
        <f aca="false">IF(OR(R475="",S475=""),"",IFERROR(S475/R475*100,0))</f>
        <v/>
      </c>
      <c r="U475" s="49" t="str">
        <f aca="false">IF(OR(O475="",L475="",M475="",S475="",M475=0),"",IFERROR(O475/(L475*60*S475/(M475*36))*100,0))</f>
        <v/>
      </c>
      <c r="V475" s="49" t="n">
        <f aca="false">'Daily KPI Entry'!V476</f>
        <v>0</v>
      </c>
      <c r="W475" s="49" t="str">
        <f aca="false">IF(O475="","",IFERROR(V475/O475*100,0))</f>
        <v/>
      </c>
      <c r="X475" s="49" t="n">
        <f aca="false">'Daily KPI Entry'!X476</f>
        <v>0</v>
      </c>
      <c r="Y475" s="49" t="n">
        <f aca="false">'Daily KPI Entry'!Y476</f>
        <v>0</v>
      </c>
      <c r="Z475" s="49" t="n">
        <f aca="false">'Daily KPI Entry'!Z476</f>
        <v>0</v>
      </c>
      <c r="AA475" s="49" t="n">
        <f aca="false">'Daily KPI Entry'!AA476</f>
        <v>0</v>
      </c>
      <c r="AB475" s="49" t="n">
        <f aca="false">'Daily KPI Entry'!AB476</f>
        <v>0</v>
      </c>
      <c r="AC475" s="49" t="n">
        <f aca="false">'Daily KPI Entry'!AC476</f>
        <v>0</v>
      </c>
      <c r="AD475" s="49" t="n">
        <f aca="false">'Daily KPI Entry'!AD476</f>
        <v>0</v>
      </c>
      <c r="AE475" s="49" t="n">
        <f aca="false">'Daily KPI Entry'!AE476</f>
        <v>0</v>
      </c>
      <c r="AF475" s="47" t="str">
        <f aca="false">IF(O475="","",SUM(X475:AE475))</f>
        <v/>
      </c>
      <c r="AG475" s="49" t="str">
        <f aca="false">IF(O475="","",IFERROR(AF475/O475*1000,0))</f>
        <v/>
      </c>
      <c r="AH475" s="49" t="n">
        <f aca="false">'Daily KPI Entry'!AH476</f>
        <v>0</v>
      </c>
      <c r="AI475" s="49" t="n">
        <f aca="false">'Daily KPI Entry'!AI476</f>
        <v>0</v>
      </c>
      <c r="AJ475" s="49" t="n">
        <f aca="false">'Daily KPI Entry'!AJ476</f>
        <v>0</v>
      </c>
      <c r="AK475" s="47" t="n">
        <f aca="false">'Daily KPI Entry'!AK476</f>
        <v>0</v>
      </c>
      <c r="AL475" s="47" t="n">
        <f aca="false">'Daily KPI Entry'!AL476</f>
        <v>0</v>
      </c>
      <c r="AM475" s="47" t="n">
        <f aca="false">'Daily KPI Entry'!AM476</f>
        <v>0</v>
      </c>
      <c r="AN475" s="49" t="str">
        <f aca="false">IF(P475="","",MIN(120,P475))</f>
        <v/>
      </c>
      <c r="AO475" s="49" t="str">
        <f aca="false">IF(U475="","",MIN(120,U475))</f>
        <v/>
      </c>
      <c r="AP475" s="49" t="str">
        <f aca="false">IF(R475="","",MIN(120,IFERROR(S475/R475*100,0)))</f>
        <v/>
      </c>
      <c r="AQ475" s="49" t="str">
        <f aca="false">IF(W475="","",MIN(120,IF(W475=0,120,100*(INDEX('Standards &amp; Scoring'!$E$5:$E$13,MATCH("Quality / Rejection",'Standards &amp; Scoring'!$A$5:$A$13,0))/W475))))</f>
        <v/>
      </c>
      <c r="AR475" s="49" t="str">
        <f aca="false">IF(AG475="","",MIN(120,IF(AG475=0,120,100*(INDEX('Standards &amp; Scoring'!$E$5:$E$13,MATCH("Fault Control",'Standards &amp; Scoring'!$A$5:$A$13,0))/AG475))))</f>
        <v/>
      </c>
      <c r="AS475" s="49" t="str">
        <f aca="false">IF(O475="","",MIN(120,IF(SUMIFS('Fault &amp; Downtime Entry'!$L$6:$L$1005,'Fault &amp; Downtime Entry'!$E$6:$E$1005,G475,'Fault &amp; Downtime Entry'!$B$6:$B$1005,B475)=0,120,100*(INDEX('Standards &amp; Scoring'!$E$5:$E$13,MATCH("Downtime Control",'Standards &amp; Scoring'!$A$5:$A$13,0))/IFERROR(SUMIFS('Fault &amp; Downtime Entry'!$L$6:$L$1005,'Fault &amp; Downtime Entry'!$E$6:$E$1005,G475,'Fault &amp; Downtime Entry'!$B$6:$B$1005,B475)/O475*1000,999999)))))</f>
        <v/>
      </c>
      <c r="AT475" s="49" t="n">
        <f aca="false">IF(COUNTA(AH475,AJ475)=0,"",MIN(120,IF(AND(AH475&lt;&gt;"",AJ475&lt;&gt;""),AVERAGE(AH475,AJ475),IF(AH475&lt;&gt;"",AH475,AJ475))))</f>
        <v>0</v>
      </c>
      <c r="AU475" s="49" t="str">
        <f aca="false">IF(AI475="","",MIN(120,AI475))</f>
        <v/>
      </c>
      <c r="AV475" s="49" t="str">
        <f aca="false">IF(AJ475="","",MIN(120,AJ475))</f>
        <v/>
      </c>
      <c r="AW475" s="50" t="str">
        <f aca="false">IF(COUNT(AN475:AV475)&lt;9,"",(AN475*'Standards &amp; Scoring'!$D$5+AO475*'Standards &amp; Scoring'!$D$6+AP475*'Standards &amp; Scoring'!$D$7+AQ475*'Standards &amp; Scoring'!$D$8+AR475*'Standards &amp; Scoring'!$D$9+AS475*'Standards &amp; Scoring'!$D$10+AT475*'Standards &amp; Scoring'!$D$11+AU475*'Standards &amp; Scoring'!$D$12+AV475*'Standards &amp; Scoring'!$D$13)/10000)</f>
        <v/>
      </c>
      <c r="AX475" s="47" t="str">
        <f aca="false">IF(AW475="","",IF(AW475&gt;=1.05,"A+",IF(AW475&gt;=1,"A",IF(AW475&gt;=0.95,"B+",IF(AW475&gt;=0.9,"B","C")))))</f>
        <v/>
      </c>
      <c r="AY475" s="47" t="str">
        <f aca="false">IF(AX475="","",IF(AX475="A+",1800,IF(AX475="A",1600,IF(AX475="B+",1400,IF(AX475="B",1200,0)))))</f>
        <v/>
      </c>
      <c r="AZ475" s="49" t="str">
        <f aca="false">IF(OR(L475="",M475="",S475="",M475=0),"",IFERROR(L475*60*S475/(M475*36),0))</f>
        <v/>
      </c>
    </row>
    <row r="476" customFormat="false" ht="15" hidden="false" customHeight="true" outlineLevel="0" collapsed="false">
      <c r="A476" s="47" t="n">
        <f aca="false">'Daily KPI Entry'!A477</f>
        <v>0</v>
      </c>
      <c r="B476" s="48" t="n">
        <f aca="false">'Daily KPI Entry'!B477</f>
        <v>0</v>
      </c>
      <c r="C476" s="47" t="n">
        <f aca="false">'Daily KPI Entry'!C477</f>
        <v>0</v>
      </c>
      <c r="D476" s="47" t="n">
        <f aca="false">'Daily KPI Entry'!D477</f>
        <v>0</v>
      </c>
      <c r="E476" s="47" t="n">
        <f aca="false">'Daily KPI Entry'!E477</f>
        <v>0</v>
      </c>
      <c r="F476" s="47" t="n">
        <f aca="false">'Daily KPI Entry'!F477</f>
        <v>0</v>
      </c>
      <c r="G476" s="47" t="n">
        <f aca="false">'Daily KPI Entry'!G477</f>
        <v>0</v>
      </c>
      <c r="H476" s="47" t="str">
        <f aca="false">'Daily KPI Entry'!H477</f>
        <v/>
      </c>
      <c r="I476" s="47" t="n">
        <f aca="false">'Daily KPI Entry'!I477</f>
        <v>0</v>
      </c>
      <c r="J476" s="47" t="n">
        <f aca="false">'Daily KPI Entry'!J477</f>
        <v>0</v>
      </c>
      <c r="K476" s="47" t="n">
        <f aca="false">'Daily KPI Entry'!K477</f>
        <v>0</v>
      </c>
      <c r="L476" s="47" t="n">
        <f aca="false">'Daily KPI Entry'!L477</f>
        <v>0</v>
      </c>
      <c r="M476" s="47" t="n">
        <f aca="false">'Daily KPI Entry'!M477</f>
        <v>0</v>
      </c>
      <c r="N476" s="49" t="n">
        <f aca="false">'Daily KPI Entry'!N477</f>
        <v>0</v>
      </c>
      <c r="O476" s="49" t="n">
        <f aca="false">'Daily KPI Entry'!O477</f>
        <v>0</v>
      </c>
      <c r="P476" s="49" t="str">
        <f aca="false">IF(OR(N476="",O476=""),"",IFERROR(O476/N476*100,0))</f>
        <v/>
      </c>
      <c r="Q476" s="47" t="n">
        <f aca="false">'Daily KPI Entry'!Q477</f>
        <v>8</v>
      </c>
      <c r="R476" s="47" t="str">
        <f aca="false">IF(J476="","",Q476*J476)</f>
        <v/>
      </c>
      <c r="S476" s="49" t="n">
        <f aca="false">'Daily KPI Entry'!S477</f>
        <v>0</v>
      </c>
      <c r="T476" s="49" t="str">
        <f aca="false">IF(OR(R476="",S476=""),"",IFERROR(S476/R476*100,0))</f>
        <v/>
      </c>
      <c r="U476" s="49" t="str">
        <f aca="false">IF(OR(O476="",L476="",M476="",S476="",M476=0),"",IFERROR(O476/(L476*60*S476/(M476*36))*100,0))</f>
        <v/>
      </c>
      <c r="V476" s="49" t="n">
        <f aca="false">'Daily KPI Entry'!V477</f>
        <v>0</v>
      </c>
      <c r="W476" s="49" t="str">
        <f aca="false">IF(O476="","",IFERROR(V476/O476*100,0))</f>
        <v/>
      </c>
      <c r="X476" s="49" t="n">
        <f aca="false">'Daily KPI Entry'!X477</f>
        <v>0</v>
      </c>
      <c r="Y476" s="49" t="n">
        <f aca="false">'Daily KPI Entry'!Y477</f>
        <v>0</v>
      </c>
      <c r="Z476" s="49" t="n">
        <f aca="false">'Daily KPI Entry'!Z477</f>
        <v>0</v>
      </c>
      <c r="AA476" s="49" t="n">
        <f aca="false">'Daily KPI Entry'!AA477</f>
        <v>0</v>
      </c>
      <c r="AB476" s="49" t="n">
        <f aca="false">'Daily KPI Entry'!AB477</f>
        <v>0</v>
      </c>
      <c r="AC476" s="49" t="n">
        <f aca="false">'Daily KPI Entry'!AC477</f>
        <v>0</v>
      </c>
      <c r="AD476" s="49" t="n">
        <f aca="false">'Daily KPI Entry'!AD477</f>
        <v>0</v>
      </c>
      <c r="AE476" s="49" t="n">
        <f aca="false">'Daily KPI Entry'!AE477</f>
        <v>0</v>
      </c>
      <c r="AF476" s="47" t="str">
        <f aca="false">IF(O476="","",SUM(X476:AE476))</f>
        <v/>
      </c>
      <c r="AG476" s="49" t="str">
        <f aca="false">IF(O476="","",IFERROR(AF476/O476*1000,0))</f>
        <v/>
      </c>
      <c r="AH476" s="49" t="n">
        <f aca="false">'Daily KPI Entry'!AH477</f>
        <v>0</v>
      </c>
      <c r="AI476" s="49" t="n">
        <f aca="false">'Daily KPI Entry'!AI477</f>
        <v>0</v>
      </c>
      <c r="AJ476" s="49" t="n">
        <f aca="false">'Daily KPI Entry'!AJ477</f>
        <v>0</v>
      </c>
      <c r="AK476" s="47" t="n">
        <f aca="false">'Daily KPI Entry'!AK477</f>
        <v>0</v>
      </c>
      <c r="AL476" s="47" t="n">
        <f aca="false">'Daily KPI Entry'!AL477</f>
        <v>0</v>
      </c>
      <c r="AM476" s="47" t="n">
        <f aca="false">'Daily KPI Entry'!AM477</f>
        <v>0</v>
      </c>
      <c r="AN476" s="49" t="str">
        <f aca="false">IF(P476="","",MIN(120,P476))</f>
        <v/>
      </c>
      <c r="AO476" s="49" t="str">
        <f aca="false">IF(U476="","",MIN(120,U476))</f>
        <v/>
      </c>
      <c r="AP476" s="49" t="str">
        <f aca="false">IF(R476="","",MIN(120,IFERROR(S476/R476*100,0)))</f>
        <v/>
      </c>
      <c r="AQ476" s="49" t="str">
        <f aca="false">IF(W476="","",MIN(120,IF(W476=0,120,100*(INDEX('Standards &amp; Scoring'!$E$5:$E$13,MATCH("Quality / Rejection",'Standards &amp; Scoring'!$A$5:$A$13,0))/W476))))</f>
        <v/>
      </c>
      <c r="AR476" s="49" t="str">
        <f aca="false">IF(AG476="","",MIN(120,IF(AG476=0,120,100*(INDEX('Standards &amp; Scoring'!$E$5:$E$13,MATCH("Fault Control",'Standards &amp; Scoring'!$A$5:$A$13,0))/AG476))))</f>
        <v/>
      </c>
      <c r="AS476" s="49" t="str">
        <f aca="false">IF(O476="","",MIN(120,IF(SUMIFS('Fault &amp; Downtime Entry'!$L$6:$L$1005,'Fault &amp; Downtime Entry'!$E$6:$E$1005,G476,'Fault &amp; Downtime Entry'!$B$6:$B$1005,B476)=0,120,100*(INDEX('Standards &amp; Scoring'!$E$5:$E$13,MATCH("Downtime Control",'Standards &amp; Scoring'!$A$5:$A$13,0))/IFERROR(SUMIFS('Fault &amp; Downtime Entry'!$L$6:$L$1005,'Fault &amp; Downtime Entry'!$E$6:$E$1005,G476,'Fault &amp; Downtime Entry'!$B$6:$B$1005,B476)/O476*1000,999999)))))</f>
        <v/>
      </c>
      <c r="AT476" s="49" t="n">
        <f aca="false">IF(COUNTA(AH476,AJ476)=0,"",MIN(120,IF(AND(AH476&lt;&gt;"",AJ476&lt;&gt;""),AVERAGE(AH476,AJ476),IF(AH476&lt;&gt;"",AH476,AJ476))))</f>
        <v>0</v>
      </c>
      <c r="AU476" s="49" t="str">
        <f aca="false">IF(AI476="","",MIN(120,AI476))</f>
        <v/>
      </c>
      <c r="AV476" s="49" t="str">
        <f aca="false">IF(AJ476="","",MIN(120,AJ476))</f>
        <v/>
      </c>
      <c r="AW476" s="50" t="str">
        <f aca="false">IF(COUNT(AN476:AV476)&lt;9,"",(AN476*'Standards &amp; Scoring'!$D$5+AO476*'Standards &amp; Scoring'!$D$6+AP476*'Standards &amp; Scoring'!$D$7+AQ476*'Standards &amp; Scoring'!$D$8+AR476*'Standards &amp; Scoring'!$D$9+AS476*'Standards &amp; Scoring'!$D$10+AT476*'Standards &amp; Scoring'!$D$11+AU476*'Standards &amp; Scoring'!$D$12+AV476*'Standards &amp; Scoring'!$D$13)/10000)</f>
        <v/>
      </c>
      <c r="AX476" s="47" t="str">
        <f aca="false">IF(AW476="","",IF(AW476&gt;=1.05,"A+",IF(AW476&gt;=1,"A",IF(AW476&gt;=0.95,"B+",IF(AW476&gt;=0.9,"B","C")))))</f>
        <v/>
      </c>
      <c r="AY476" s="47" t="str">
        <f aca="false">IF(AX476="","",IF(AX476="A+",1800,IF(AX476="A",1600,IF(AX476="B+",1400,IF(AX476="B",1200,0)))))</f>
        <v/>
      </c>
      <c r="AZ476" s="49" t="str">
        <f aca="false">IF(OR(L476="",M476="",S476="",M476=0),"",IFERROR(L476*60*S476/(M476*36),0))</f>
        <v/>
      </c>
    </row>
    <row r="477" customFormat="false" ht="15" hidden="false" customHeight="true" outlineLevel="0" collapsed="false">
      <c r="A477" s="47" t="n">
        <f aca="false">'Daily KPI Entry'!A478</f>
        <v>0</v>
      </c>
      <c r="B477" s="48" t="n">
        <f aca="false">'Daily KPI Entry'!B478</f>
        <v>0</v>
      </c>
      <c r="C477" s="47" t="n">
        <f aca="false">'Daily KPI Entry'!C478</f>
        <v>0</v>
      </c>
      <c r="D477" s="47" t="n">
        <f aca="false">'Daily KPI Entry'!D478</f>
        <v>0</v>
      </c>
      <c r="E477" s="47" t="n">
        <f aca="false">'Daily KPI Entry'!E478</f>
        <v>0</v>
      </c>
      <c r="F477" s="47" t="n">
        <f aca="false">'Daily KPI Entry'!F478</f>
        <v>0</v>
      </c>
      <c r="G477" s="47" t="n">
        <f aca="false">'Daily KPI Entry'!G478</f>
        <v>0</v>
      </c>
      <c r="H477" s="47" t="str">
        <f aca="false">'Daily KPI Entry'!H478</f>
        <v/>
      </c>
      <c r="I477" s="47" t="n">
        <f aca="false">'Daily KPI Entry'!I478</f>
        <v>0</v>
      </c>
      <c r="J477" s="47" t="n">
        <f aca="false">'Daily KPI Entry'!J478</f>
        <v>0</v>
      </c>
      <c r="K477" s="47" t="n">
        <f aca="false">'Daily KPI Entry'!K478</f>
        <v>0</v>
      </c>
      <c r="L477" s="47" t="n">
        <f aca="false">'Daily KPI Entry'!L478</f>
        <v>0</v>
      </c>
      <c r="M477" s="47" t="n">
        <f aca="false">'Daily KPI Entry'!M478</f>
        <v>0</v>
      </c>
      <c r="N477" s="49" t="n">
        <f aca="false">'Daily KPI Entry'!N478</f>
        <v>0</v>
      </c>
      <c r="O477" s="49" t="n">
        <f aca="false">'Daily KPI Entry'!O478</f>
        <v>0</v>
      </c>
      <c r="P477" s="49" t="str">
        <f aca="false">IF(OR(N477="",O477=""),"",IFERROR(O477/N477*100,0))</f>
        <v/>
      </c>
      <c r="Q477" s="47" t="n">
        <f aca="false">'Daily KPI Entry'!Q478</f>
        <v>8</v>
      </c>
      <c r="R477" s="47" t="str">
        <f aca="false">IF(J477="","",Q477*J477)</f>
        <v/>
      </c>
      <c r="S477" s="49" t="n">
        <f aca="false">'Daily KPI Entry'!S478</f>
        <v>0</v>
      </c>
      <c r="T477" s="49" t="str">
        <f aca="false">IF(OR(R477="",S477=""),"",IFERROR(S477/R477*100,0))</f>
        <v/>
      </c>
      <c r="U477" s="49" t="str">
        <f aca="false">IF(OR(O477="",L477="",M477="",S477="",M477=0),"",IFERROR(O477/(L477*60*S477/(M477*36))*100,0))</f>
        <v/>
      </c>
      <c r="V477" s="49" t="n">
        <f aca="false">'Daily KPI Entry'!V478</f>
        <v>0</v>
      </c>
      <c r="W477" s="49" t="str">
        <f aca="false">IF(O477="","",IFERROR(V477/O477*100,0))</f>
        <v/>
      </c>
      <c r="X477" s="49" t="n">
        <f aca="false">'Daily KPI Entry'!X478</f>
        <v>0</v>
      </c>
      <c r="Y477" s="49" t="n">
        <f aca="false">'Daily KPI Entry'!Y478</f>
        <v>0</v>
      </c>
      <c r="Z477" s="49" t="n">
        <f aca="false">'Daily KPI Entry'!Z478</f>
        <v>0</v>
      </c>
      <c r="AA477" s="49" t="n">
        <f aca="false">'Daily KPI Entry'!AA478</f>
        <v>0</v>
      </c>
      <c r="AB477" s="49" t="n">
        <f aca="false">'Daily KPI Entry'!AB478</f>
        <v>0</v>
      </c>
      <c r="AC477" s="49" t="n">
        <f aca="false">'Daily KPI Entry'!AC478</f>
        <v>0</v>
      </c>
      <c r="AD477" s="49" t="n">
        <f aca="false">'Daily KPI Entry'!AD478</f>
        <v>0</v>
      </c>
      <c r="AE477" s="49" t="n">
        <f aca="false">'Daily KPI Entry'!AE478</f>
        <v>0</v>
      </c>
      <c r="AF477" s="47" t="str">
        <f aca="false">IF(O477="","",SUM(X477:AE477))</f>
        <v/>
      </c>
      <c r="AG477" s="49" t="str">
        <f aca="false">IF(O477="","",IFERROR(AF477/O477*1000,0))</f>
        <v/>
      </c>
      <c r="AH477" s="49" t="n">
        <f aca="false">'Daily KPI Entry'!AH478</f>
        <v>0</v>
      </c>
      <c r="AI477" s="49" t="n">
        <f aca="false">'Daily KPI Entry'!AI478</f>
        <v>0</v>
      </c>
      <c r="AJ477" s="49" t="n">
        <f aca="false">'Daily KPI Entry'!AJ478</f>
        <v>0</v>
      </c>
      <c r="AK477" s="47" t="n">
        <f aca="false">'Daily KPI Entry'!AK478</f>
        <v>0</v>
      </c>
      <c r="AL477" s="47" t="n">
        <f aca="false">'Daily KPI Entry'!AL478</f>
        <v>0</v>
      </c>
      <c r="AM477" s="47" t="n">
        <f aca="false">'Daily KPI Entry'!AM478</f>
        <v>0</v>
      </c>
      <c r="AN477" s="49" t="str">
        <f aca="false">IF(P477="","",MIN(120,P477))</f>
        <v/>
      </c>
      <c r="AO477" s="49" t="str">
        <f aca="false">IF(U477="","",MIN(120,U477))</f>
        <v/>
      </c>
      <c r="AP477" s="49" t="str">
        <f aca="false">IF(R477="","",MIN(120,IFERROR(S477/R477*100,0)))</f>
        <v/>
      </c>
      <c r="AQ477" s="49" t="str">
        <f aca="false">IF(W477="","",MIN(120,IF(W477=0,120,100*(INDEX('Standards &amp; Scoring'!$E$5:$E$13,MATCH("Quality / Rejection",'Standards &amp; Scoring'!$A$5:$A$13,0))/W477))))</f>
        <v/>
      </c>
      <c r="AR477" s="49" t="str">
        <f aca="false">IF(AG477="","",MIN(120,IF(AG477=0,120,100*(INDEX('Standards &amp; Scoring'!$E$5:$E$13,MATCH("Fault Control",'Standards &amp; Scoring'!$A$5:$A$13,0))/AG477))))</f>
        <v/>
      </c>
      <c r="AS477" s="49" t="str">
        <f aca="false">IF(O477="","",MIN(120,IF(SUMIFS('Fault &amp; Downtime Entry'!$L$6:$L$1005,'Fault &amp; Downtime Entry'!$E$6:$E$1005,G477,'Fault &amp; Downtime Entry'!$B$6:$B$1005,B477)=0,120,100*(INDEX('Standards &amp; Scoring'!$E$5:$E$13,MATCH("Downtime Control",'Standards &amp; Scoring'!$A$5:$A$13,0))/IFERROR(SUMIFS('Fault &amp; Downtime Entry'!$L$6:$L$1005,'Fault &amp; Downtime Entry'!$E$6:$E$1005,G477,'Fault &amp; Downtime Entry'!$B$6:$B$1005,B477)/O477*1000,999999)))))</f>
        <v/>
      </c>
      <c r="AT477" s="49" t="n">
        <f aca="false">IF(COUNTA(AH477,AJ477)=0,"",MIN(120,IF(AND(AH477&lt;&gt;"",AJ477&lt;&gt;""),AVERAGE(AH477,AJ477),IF(AH477&lt;&gt;"",AH477,AJ477))))</f>
        <v>0</v>
      </c>
      <c r="AU477" s="49" t="str">
        <f aca="false">IF(AI477="","",MIN(120,AI477))</f>
        <v/>
      </c>
      <c r="AV477" s="49" t="str">
        <f aca="false">IF(AJ477="","",MIN(120,AJ477))</f>
        <v/>
      </c>
      <c r="AW477" s="50" t="str">
        <f aca="false">IF(COUNT(AN477:AV477)&lt;9,"",(AN477*'Standards &amp; Scoring'!$D$5+AO477*'Standards &amp; Scoring'!$D$6+AP477*'Standards &amp; Scoring'!$D$7+AQ477*'Standards &amp; Scoring'!$D$8+AR477*'Standards &amp; Scoring'!$D$9+AS477*'Standards &amp; Scoring'!$D$10+AT477*'Standards &amp; Scoring'!$D$11+AU477*'Standards &amp; Scoring'!$D$12+AV477*'Standards &amp; Scoring'!$D$13)/10000)</f>
        <v/>
      </c>
      <c r="AX477" s="47" t="str">
        <f aca="false">IF(AW477="","",IF(AW477&gt;=1.05,"A+",IF(AW477&gt;=1,"A",IF(AW477&gt;=0.95,"B+",IF(AW477&gt;=0.9,"B","C")))))</f>
        <v/>
      </c>
      <c r="AY477" s="47" t="str">
        <f aca="false">IF(AX477="","",IF(AX477="A+",1800,IF(AX477="A",1600,IF(AX477="B+",1400,IF(AX477="B",1200,0)))))</f>
        <v/>
      </c>
      <c r="AZ477" s="49" t="str">
        <f aca="false">IF(OR(L477="",M477="",S477="",M477=0),"",IFERROR(L477*60*S477/(M477*36),0))</f>
        <v/>
      </c>
    </row>
    <row r="478" customFormat="false" ht="15" hidden="false" customHeight="true" outlineLevel="0" collapsed="false">
      <c r="A478" s="47" t="n">
        <f aca="false">'Daily KPI Entry'!A479</f>
        <v>0</v>
      </c>
      <c r="B478" s="48" t="n">
        <f aca="false">'Daily KPI Entry'!B479</f>
        <v>0</v>
      </c>
      <c r="C478" s="47" t="n">
        <f aca="false">'Daily KPI Entry'!C479</f>
        <v>0</v>
      </c>
      <c r="D478" s="47" t="n">
        <f aca="false">'Daily KPI Entry'!D479</f>
        <v>0</v>
      </c>
      <c r="E478" s="47" t="n">
        <f aca="false">'Daily KPI Entry'!E479</f>
        <v>0</v>
      </c>
      <c r="F478" s="47" t="n">
        <f aca="false">'Daily KPI Entry'!F479</f>
        <v>0</v>
      </c>
      <c r="G478" s="47" t="n">
        <f aca="false">'Daily KPI Entry'!G479</f>
        <v>0</v>
      </c>
      <c r="H478" s="47" t="str">
        <f aca="false">'Daily KPI Entry'!H479</f>
        <v/>
      </c>
      <c r="I478" s="47" t="n">
        <f aca="false">'Daily KPI Entry'!I479</f>
        <v>0</v>
      </c>
      <c r="J478" s="47" t="n">
        <f aca="false">'Daily KPI Entry'!J479</f>
        <v>0</v>
      </c>
      <c r="K478" s="47" t="n">
        <f aca="false">'Daily KPI Entry'!K479</f>
        <v>0</v>
      </c>
      <c r="L478" s="47" t="n">
        <f aca="false">'Daily KPI Entry'!L479</f>
        <v>0</v>
      </c>
      <c r="M478" s="47" t="n">
        <f aca="false">'Daily KPI Entry'!M479</f>
        <v>0</v>
      </c>
      <c r="N478" s="49" t="n">
        <f aca="false">'Daily KPI Entry'!N479</f>
        <v>0</v>
      </c>
      <c r="O478" s="49" t="n">
        <f aca="false">'Daily KPI Entry'!O479</f>
        <v>0</v>
      </c>
      <c r="P478" s="49" t="str">
        <f aca="false">IF(OR(N478="",O478=""),"",IFERROR(O478/N478*100,0))</f>
        <v/>
      </c>
      <c r="Q478" s="47" t="n">
        <f aca="false">'Daily KPI Entry'!Q479</f>
        <v>8</v>
      </c>
      <c r="R478" s="47" t="str">
        <f aca="false">IF(J478="","",Q478*J478)</f>
        <v/>
      </c>
      <c r="S478" s="49" t="n">
        <f aca="false">'Daily KPI Entry'!S479</f>
        <v>0</v>
      </c>
      <c r="T478" s="49" t="str">
        <f aca="false">IF(OR(R478="",S478=""),"",IFERROR(S478/R478*100,0))</f>
        <v/>
      </c>
      <c r="U478" s="49" t="str">
        <f aca="false">IF(OR(O478="",L478="",M478="",S478="",M478=0),"",IFERROR(O478/(L478*60*S478/(M478*36))*100,0))</f>
        <v/>
      </c>
      <c r="V478" s="49" t="n">
        <f aca="false">'Daily KPI Entry'!V479</f>
        <v>0</v>
      </c>
      <c r="W478" s="49" t="str">
        <f aca="false">IF(O478="","",IFERROR(V478/O478*100,0))</f>
        <v/>
      </c>
      <c r="X478" s="49" t="n">
        <f aca="false">'Daily KPI Entry'!X479</f>
        <v>0</v>
      </c>
      <c r="Y478" s="49" t="n">
        <f aca="false">'Daily KPI Entry'!Y479</f>
        <v>0</v>
      </c>
      <c r="Z478" s="49" t="n">
        <f aca="false">'Daily KPI Entry'!Z479</f>
        <v>0</v>
      </c>
      <c r="AA478" s="49" t="n">
        <f aca="false">'Daily KPI Entry'!AA479</f>
        <v>0</v>
      </c>
      <c r="AB478" s="49" t="n">
        <f aca="false">'Daily KPI Entry'!AB479</f>
        <v>0</v>
      </c>
      <c r="AC478" s="49" t="n">
        <f aca="false">'Daily KPI Entry'!AC479</f>
        <v>0</v>
      </c>
      <c r="AD478" s="49" t="n">
        <f aca="false">'Daily KPI Entry'!AD479</f>
        <v>0</v>
      </c>
      <c r="AE478" s="49" t="n">
        <f aca="false">'Daily KPI Entry'!AE479</f>
        <v>0</v>
      </c>
      <c r="AF478" s="47" t="str">
        <f aca="false">IF(O478="","",SUM(X478:AE478))</f>
        <v/>
      </c>
      <c r="AG478" s="49" t="str">
        <f aca="false">IF(O478="","",IFERROR(AF478/O478*1000,0))</f>
        <v/>
      </c>
      <c r="AH478" s="49" t="n">
        <f aca="false">'Daily KPI Entry'!AH479</f>
        <v>0</v>
      </c>
      <c r="AI478" s="49" t="n">
        <f aca="false">'Daily KPI Entry'!AI479</f>
        <v>0</v>
      </c>
      <c r="AJ478" s="49" t="n">
        <f aca="false">'Daily KPI Entry'!AJ479</f>
        <v>0</v>
      </c>
      <c r="AK478" s="47" t="n">
        <f aca="false">'Daily KPI Entry'!AK479</f>
        <v>0</v>
      </c>
      <c r="AL478" s="47" t="n">
        <f aca="false">'Daily KPI Entry'!AL479</f>
        <v>0</v>
      </c>
      <c r="AM478" s="47" t="n">
        <f aca="false">'Daily KPI Entry'!AM479</f>
        <v>0</v>
      </c>
      <c r="AN478" s="49" t="str">
        <f aca="false">IF(P478="","",MIN(120,P478))</f>
        <v/>
      </c>
      <c r="AO478" s="49" t="str">
        <f aca="false">IF(U478="","",MIN(120,U478))</f>
        <v/>
      </c>
      <c r="AP478" s="49" t="str">
        <f aca="false">IF(R478="","",MIN(120,IFERROR(S478/R478*100,0)))</f>
        <v/>
      </c>
      <c r="AQ478" s="49" t="str">
        <f aca="false">IF(W478="","",MIN(120,IF(W478=0,120,100*(INDEX('Standards &amp; Scoring'!$E$5:$E$13,MATCH("Quality / Rejection",'Standards &amp; Scoring'!$A$5:$A$13,0))/W478))))</f>
        <v/>
      </c>
      <c r="AR478" s="49" t="str">
        <f aca="false">IF(AG478="","",MIN(120,IF(AG478=0,120,100*(INDEX('Standards &amp; Scoring'!$E$5:$E$13,MATCH("Fault Control",'Standards &amp; Scoring'!$A$5:$A$13,0))/AG478))))</f>
        <v/>
      </c>
      <c r="AS478" s="49" t="str">
        <f aca="false">IF(O478="","",MIN(120,IF(SUMIFS('Fault &amp; Downtime Entry'!$L$6:$L$1005,'Fault &amp; Downtime Entry'!$E$6:$E$1005,G478,'Fault &amp; Downtime Entry'!$B$6:$B$1005,B478)=0,120,100*(INDEX('Standards &amp; Scoring'!$E$5:$E$13,MATCH("Downtime Control",'Standards &amp; Scoring'!$A$5:$A$13,0))/IFERROR(SUMIFS('Fault &amp; Downtime Entry'!$L$6:$L$1005,'Fault &amp; Downtime Entry'!$E$6:$E$1005,G478,'Fault &amp; Downtime Entry'!$B$6:$B$1005,B478)/O478*1000,999999)))))</f>
        <v/>
      </c>
      <c r="AT478" s="49" t="n">
        <f aca="false">IF(COUNTA(AH478,AJ478)=0,"",MIN(120,IF(AND(AH478&lt;&gt;"",AJ478&lt;&gt;""),AVERAGE(AH478,AJ478),IF(AH478&lt;&gt;"",AH478,AJ478))))</f>
        <v>0</v>
      </c>
      <c r="AU478" s="49" t="str">
        <f aca="false">IF(AI478="","",MIN(120,AI478))</f>
        <v/>
      </c>
      <c r="AV478" s="49" t="str">
        <f aca="false">IF(AJ478="","",MIN(120,AJ478))</f>
        <v/>
      </c>
      <c r="AW478" s="50" t="str">
        <f aca="false">IF(COUNT(AN478:AV478)&lt;9,"",(AN478*'Standards &amp; Scoring'!$D$5+AO478*'Standards &amp; Scoring'!$D$6+AP478*'Standards &amp; Scoring'!$D$7+AQ478*'Standards &amp; Scoring'!$D$8+AR478*'Standards &amp; Scoring'!$D$9+AS478*'Standards &amp; Scoring'!$D$10+AT478*'Standards &amp; Scoring'!$D$11+AU478*'Standards &amp; Scoring'!$D$12+AV478*'Standards &amp; Scoring'!$D$13)/10000)</f>
        <v/>
      </c>
      <c r="AX478" s="47" t="str">
        <f aca="false">IF(AW478="","",IF(AW478&gt;=1.05,"A+",IF(AW478&gt;=1,"A",IF(AW478&gt;=0.95,"B+",IF(AW478&gt;=0.9,"B","C")))))</f>
        <v/>
      </c>
      <c r="AY478" s="47" t="str">
        <f aca="false">IF(AX478="","",IF(AX478="A+",1800,IF(AX478="A",1600,IF(AX478="B+",1400,IF(AX478="B",1200,0)))))</f>
        <v/>
      </c>
      <c r="AZ478" s="49" t="str">
        <f aca="false">IF(OR(L478="",M478="",S478="",M478=0),"",IFERROR(L478*60*S478/(M478*36),0))</f>
        <v/>
      </c>
    </row>
    <row r="479" customFormat="false" ht="15" hidden="false" customHeight="true" outlineLevel="0" collapsed="false">
      <c r="A479" s="47" t="n">
        <f aca="false">'Daily KPI Entry'!A480</f>
        <v>0</v>
      </c>
      <c r="B479" s="48" t="n">
        <f aca="false">'Daily KPI Entry'!B480</f>
        <v>0</v>
      </c>
      <c r="C479" s="47" t="n">
        <f aca="false">'Daily KPI Entry'!C480</f>
        <v>0</v>
      </c>
      <c r="D479" s="47" t="n">
        <f aca="false">'Daily KPI Entry'!D480</f>
        <v>0</v>
      </c>
      <c r="E479" s="47" t="n">
        <f aca="false">'Daily KPI Entry'!E480</f>
        <v>0</v>
      </c>
      <c r="F479" s="47" t="n">
        <f aca="false">'Daily KPI Entry'!F480</f>
        <v>0</v>
      </c>
      <c r="G479" s="47" t="n">
        <f aca="false">'Daily KPI Entry'!G480</f>
        <v>0</v>
      </c>
      <c r="H479" s="47" t="str">
        <f aca="false">'Daily KPI Entry'!H480</f>
        <v/>
      </c>
      <c r="I479" s="47" t="n">
        <f aca="false">'Daily KPI Entry'!I480</f>
        <v>0</v>
      </c>
      <c r="J479" s="47" t="n">
        <f aca="false">'Daily KPI Entry'!J480</f>
        <v>0</v>
      </c>
      <c r="K479" s="47" t="n">
        <f aca="false">'Daily KPI Entry'!K480</f>
        <v>0</v>
      </c>
      <c r="L479" s="47" t="n">
        <f aca="false">'Daily KPI Entry'!L480</f>
        <v>0</v>
      </c>
      <c r="M479" s="47" t="n">
        <f aca="false">'Daily KPI Entry'!M480</f>
        <v>0</v>
      </c>
      <c r="N479" s="49" t="n">
        <f aca="false">'Daily KPI Entry'!N480</f>
        <v>0</v>
      </c>
      <c r="O479" s="49" t="n">
        <f aca="false">'Daily KPI Entry'!O480</f>
        <v>0</v>
      </c>
      <c r="P479" s="49" t="str">
        <f aca="false">IF(OR(N479="",O479=""),"",IFERROR(O479/N479*100,0))</f>
        <v/>
      </c>
      <c r="Q479" s="47" t="n">
        <f aca="false">'Daily KPI Entry'!Q480</f>
        <v>8</v>
      </c>
      <c r="R479" s="47" t="str">
        <f aca="false">IF(J479="","",Q479*J479)</f>
        <v/>
      </c>
      <c r="S479" s="49" t="n">
        <f aca="false">'Daily KPI Entry'!S480</f>
        <v>0</v>
      </c>
      <c r="T479" s="49" t="str">
        <f aca="false">IF(OR(R479="",S479=""),"",IFERROR(S479/R479*100,0))</f>
        <v/>
      </c>
      <c r="U479" s="49" t="str">
        <f aca="false">IF(OR(O479="",L479="",M479="",S479="",M479=0),"",IFERROR(O479/(L479*60*S479/(M479*36))*100,0))</f>
        <v/>
      </c>
      <c r="V479" s="49" t="n">
        <f aca="false">'Daily KPI Entry'!V480</f>
        <v>0</v>
      </c>
      <c r="W479" s="49" t="str">
        <f aca="false">IF(O479="","",IFERROR(V479/O479*100,0))</f>
        <v/>
      </c>
      <c r="X479" s="49" t="n">
        <f aca="false">'Daily KPI Entry'!X480</f>
        <v>0</v>
      </c>
      <c r="Y479" s="49" t="n">
        <f aca="false">'Daily KPI Entry'!Y480</f>
        <v>0</v>
      </c>
      <c r="Z479" s="49" t="n">
        <f aca="false">'Daily KPI Entry'!Z480</f>
        <v>0</v>
      </c>
      <c r="AA479" s="49" t="n">
        <f aca="false">'Daily KPI Entry'!AA480</f>
        <v>0</v>
      </c>
      <c r="AB479" s="49" t="n">
        <f aca="false">'Daily KPI Entry'!AB480</f>
        <v>0</v>
      </c>
      <c r="AC479" s="49" t="n">
        <f aca="false">'Daily KPI Entry'!AC480</f>
        <v>0</v>
      </c>
      <c r="AD479" s="49" t="n">
        <f aca="false">'Daily KPI Entry'!AD480</f>
        <v>0</v>
      </c>
      <c r="AE479" s="49" t="n">
        <f aca="false">'Daily KPI Entry'!AE480</f>
        <v>0</v>
      </c>
      <c r="AF479" s="47" t="str">
        <f aca="false">IF(O479="","",SUM(X479:AE479))</f>
        <v/>
      </c>
      <c r="AG479" s="49" t="str">
        <f aca="false">IF(O479="","",IFERROR(AF479/O479*1000,0))</f>
        <v/>
      </c>
      <c r="AH479" s="49" t="n">
        <f aca="false">'Daily KPI Entry'!AH480</f>
        <v>0</v>
      </c>
      <c r="AI479" s="49" t="n">
        <f aca="false">'Daily KPI Entry'!AI480</f>
        <v>0</v>
      </c>
      <c r="AJ479" s="49" t="n">
        <f aca="false">'Daily KPI Entry'!AJ480</f>
        <v>0</v>
      </c>
      <c r="AK479" s="47" t="n">
        <f aca="false">'Daily KPI Entry'!AK480</f>
        <v>0</v>
      </c>
      <c r="AL479" s="47" t="n">
        <f aca="false">'Daily KPI Entry'!AL480</f>
        <v>0</v>
      </c>
      <c r="AM479" s="47" t="n">
        <f aca="false">'Daily KPI Entry'!AM480</f>
        <v>0</v>
      </c>
      <c r="AN479" s="49" t="str">
        <f aca="false">IF(P479="","",MIN(120,P479))</f>
        <v/>
      </c>
      <c r="AO479" s="49" t="str">
        <f aca="false">IF(U479="","",MIN(120,U479))</f>
        <v/>
      </c>
      <c r="AP479" s="49" t="str">
        <f aca="false">IF(R479="","",MIN(120,IFERROR(S479/R479*100,0)))</f>
        <v/>
      </c>
      <c r="AQ479" s="49" t="str">
        <f aca="false">IF(W479="","",MIN(120,IF(W479=0,120,100*(INDEX('Standards &amp; Scoring'!$E$5:$E$13,MATCH("Quality / Rejection",'Standards &amp; Scoring'!$A$5:$A$13,0))/W479))))</f>
        <v/>
      </c>
      <c r="AR479" s="49" t="str">
        <f aca="false">IF(AG479="","",MIN(120,IF(AG479=0,120,100*(INDEX('Standards &amp; Scoring'!$E$5:$E$13,MATCH("Fault Control",'Standards &amp; Scoring'!$A$5:$A$13,0))/AG479))))</f>
        <v/>
      </c>
      <c r="AS479" s="49" t="str">
        <f aca="false">IF(O479="","",MIN(120,IF(SUMIFS('Fault &amp; Downtime Entry'!$L$6:$L$1005,'Fault &amp; Downtime Entry'!$E$6:$E$1005,G479,'Fault &amp; Downtime Entry'!$B$6:$B$1005,B479)=0,120,100*(INDEX('Standards &amp; Scoring'!$E$5:$E$13,MATCH("Downtime Control",'Standards &amp; Scoring'!$A$5:$A$13,0))/IFERROR(SUMIFS('Fault &amp; Downtime Entry'!$L$6:$L$1005,'Fault &amp; Downtime Entry'!$E$6:$E$1005,G479,'Fault &amp; Downtime Entry'!$B$6:$B$1005,B479)/O479*1000,999999)))))</f>
        <v/>
      </c>
      <c r="AT479" s="49" t="n">
        <f aca="false">IF(COUNTA(AH479,AJ479)=0,"",MIN(120,IF(AND(AH479&lt;&gt;"",AJ479&lt;&gt;""),AVERAGE(AH479,AJ479),IF(AH479&lt;&gt;"",AH479,AJ479))))</f>
        <v>0</v>
      </c>
      <c r="AU479" s="49" t="str">
        <f aca="false">IF(AI479="","",MIN(120,AI479))</f>
        <v/>
      </c>
      <c r="AV479" s="49" t="str">
        <f aca="false">IF(AJ479="","",MIN(120,AJ479))</f>
        <v/>
      </c>
      <c r="AW479" s="50" t="str">
        <f aca="false">IF(COUNT(AN479:AV479)&lt;9,"",(AN479*'Standards &amp; Scoring'!$D$5+AO479*'Standards &amp; Scoring'!$D$6+AP479*'Standards &amp; Scoring'!$D$7+AQ479*'Standards &amp; Scoring'!$D$8+AR479*'Standards &amp; Scoring'!$D$9+AS479*'Standards &amp; Scoring'!$D$10+AT479*'Standards &amp; Scoring'!$D$11+AU479*'Standards &amp; Scoring'!$D$12+AV479*'Standards &amp; Scoring'!$D$13)/10000)</f>
        <v/>
      </c>
      <c r="AX479" s="47" t="str">
        <f aca="false">IF(AW479="","",IF(AW479&gt;=1.05,"A+",IF(AW479&gt;=1,"A",IF(AW479&gt;=0.95,"B+",IF(AW479&gt;=0.9,"B","C")))))</f>
        <v/>
      </c>
      <c r="AY479" s="47" t="str">
        <f aca="false">IF(AX479="","",IF(AX479="A+",1800,IF(AX479="A",1600,IF(AX479="B+",1400,IF(AX479="B",1200,0)))))</f>
        <v/>
      </c>
      <c r="AZ479" s="49" t="str">
        <f aca="false">IF(OR(L479="",M479="",S479="",M479=0),"",IFERROR(L479*60*S479/(M479*36),0))</f>
        <v/>
      </c>
    </row>
    <row r="480" customFormat="false" ht="15" hidden="false" customHeight="true" outlineLevel="0" collapsed="false">
      <c r="A480" s="47" t="n">
        <f aca="false">'Daily KPI Entry'!A481</f>
        <v>0</v>
      </c>
      <c r="B480" s="48" t="n">
        <f aca="false">'Daily KPI Entry'!B481</f>
        <v>0</v>
      </c>
      <c r="C480" s="47" t="n">
        <f aca="false">'Daily KPI Entry'!C481</f>
        <v>0</v>
      </c>
      <c r="D480" s="47" t="n">
        <f aca="false">'Daily KPI Entry'!D481</f>
        <v>0</v>
      </c>
      <c r="E480" s="47" t="n">
        <f aca="false">'Daily KPI Entry'!E481</f>
        <v>0</v>
      </c>
      <c r="F480" s="47" t="n">
        <f aca="false">'Daily KPI Entry'!F481</f>
        <v>0</v>
      </c>
      <c r="G480" s="47" t="n">
        <f aca="false">'Daily KPI Entry'!G481</f>
        <v>0</v>
      </c>
      <c r="H480" s="47" t="str">
        <f aca="false">'Daily KPI Entry'!H481</f>
        <v/>
      </c>
      <c r="I480" s="47" t="n">
        <f aca="false">'Daily KPI Entry'!I481</f>
        <v>0</v>
      </c>
      <c r="J480" s="47" t="n">
        <f aca="false">'Daily KPI Entry'!J481</f>
        <v>0</v>
      </c>
      <c r="K480" s="47" t="n">
        <f aca="false">'Daily KPI Entry'!K481</f>
        <v>0</v>
      </c>
      <c r="L480" s="47" t="n">
        <f aca="false">'Daily KPI Entry'!L481</f>
        <v>0</v>
      </c>
      <c r="M480" s="47" t="n">
        <f aca="false">'Daily KPI Entry'!M481</f>
        <v>0</v>
      </c>
      <c r="N480" s="49" t="n">
        <f aca="false">'Daily KPI Entry'!N481</f>
        <v>0</v>
      </c>
      <c r="O480" s="49" t="n">
        <f aca="false">'Daily KPI Entry'!O481</f>
        <v>0</v>
      </c>
      <c r="P480" s="49" t="str">
        <f aca="false">IF(OR(N480="",O480=""),"",IFERROR(O480/N480*100,0))</f>
        <v/>
      </c>
      <c r="Q480" s="47" t="n">
        <f aca="false">'Daily KPI Entry'!Q481</f>
        <v>8</v>
      </c>
      <c r="R480" s="47" t="str">
        <f aca="false">IF(J480="","",Q480*J480)</f>
        <v/>
      </c>
      <c r="S480" s="49" t="n">
        <f aca="false">'Daily KPI Entry'!S481</f>
        <v>0</v>
      </c>
      <c r="T480" s="49" t="str">
        <f aca="false">IF(OR(R480="",S480=""),"",IFERROR(S480/R480*100,0))</f>
        <v/>
      </c>
      <c r="U480" s="49" t="str">
        <f aca="false">IF(OR(O480="",L480="",M480="",S480="",M480=0),"",IFERROR(O480/(L480*60*S480/(M480*36))*100,0))</f>
        <v/>
      </c>
      <c r="V480" s="49" t="n">
        <f aca="false">'Daily KPI Entry'!V481</f>
        <v>0</v>
      </c>
      <c r="W480" s="49" t="str">
        <f aca="false">IF(O480="","",IFERROR(V480/O480*100,0))</f>
        <v/>
      </c>
      <c r="X480" s="49" t="n">
        <f aca="false">'Daily KPI Entry'!X481</f>
        <v>0</v>
      </c>
      <c r="Y480" s="49" t="n">
        <f aca="false">'Daily KPI Entry'!Y481</f>
        <v>0</v>
      </c>
      <c r="Z480" s="49" t="n">
        <f aca="false">'Daily KPI Entry'!Z481</f>
        <v>0</v>
      </c>
      <c r="AA480" s="49" t="n">
        <f aca="false">'Daily KPI Entry'!AA481</f>
        <v>0</v>
      </c>
      <c r="AB480" s="49" t="n">
        <f aca="false">'Daily KPI Entry'!AB481</f>
        <v>0</v>
      </c>
      <c r="AC480" s="49" t="n">
        <f aca="false">'Daily KPI Entry'!AC481</f>
        <v>0</v>
      </c>
      <c r="AD480" s="49" t="n">
        <f aca="false">'Daily KPI Entry'!AD481</f>
        <v>0</v>
      </c>
      <c r="AE480" s="49" t="n">
        <f aca="false">'Daily KPI Entry'!AE481</f>
        <v>0</v>
      </c>
      <c r="AF480" s="47" t="str">
        <f aca="false">IF(O480="","",SUM(X480:AE480))</f>
        <v/>
      </c>
      <c r="AG480" s="49" t="str">
        <f aca="false">IF(O480="","",IFERROR(AF480/O480*1000,0))</f>
        <v/>
      </c>
      <c r="AH480" s="49" t="n">
        <f aca="false">'Daily KPI Entry'!AH481</f>
        <v>0</v>
      </c>
      <c r="AI480" s="49" t="n">
        <f aca="false">'Daily KPI Entry'!AI481</f>
        <v>0</v>
      </c>
      <c r="AJ480" s="49" t="n">
        <f aca="false">'Daily KPI Entry'!AJ481</f>
        <v>0</v>
      </c>
      <c r="AK480" s="47" t="n">
        <f aca="false">'Daily KPI Entry'!AK481</f>
        <v>0</v>
      </c>
      <c r="AL480" s="47" t="n">
        <f aca="false">'Daily KPI Entry'!AL481</f>
        <v>0</v>
      </c>
      <c r="AM480" s="47" t="n">
        <f aca="false">'Daily KPI Entry'!AM481</f>
        <v>0</v>
      </c>
      <c r="AN480" s="49" t="str">
        <f aca="false">IF(P480="","",MIN(120,P480))</f>
        <v/>
      </c>
      <c r="AO480" s="49" t="str">
        <f aca="false">IF(U480="","",MIN(120,U480))</f>
        <v/>
      </c>
      <c r="AP480" s="49" t="str">
        <f aca="false">IF(R480="","",MIN(120,IFERROR(S480/R480*100,0)))</f>
        <v/>
      </c>
      <c r="AQ480" s="49" t="str">
        <f aca="false">IF(W480="","",MIN(120,IF(W480=0,120,100*(INDEX('Standards &amp; Scoring'!$E$5:$E$13,MATCH("Quality / Rejection",'Standards &amp; Scoring'!$A$5:$A$13,0))/W480))))</f>
        <v/>
      </c>
      <c r="AR480" s="49" t="str">
        <f aca="false">IF(AG480="","",MIN(120,IF(AG480=0,120,100*(INDEX('Standards &amp; Scoring'!$E$5:$E$13,MATCH("Fault Control",'Standards &amp; Scoring'!$A$5:$A$13,0))/AG480))))</f>
        <v/>
      </c>
      <c r="AS480" s="49" t="str">
        <f aca="false">IF(O480="","",MIN(120,IF(SUMIFS('Fault &amp; Downtime Entry'!$L$6:$L$1005,'Fault &amp; Downtime Entry'!$E$6:$E$1005,G480,'Fault &amp; Downtime Entry'!$B$6:$B$1005,B480)=0,120,100*(INDEX('Standards &amp; Scoring'!$E$5:$E$13,MATCH("Downtime Control",'Standards &amp; Scoring'!$A$5:$A$13,0))/IFERROR(SUMIFS('Fault &amp; Downtime Entry'!$L$6:$L$1005,'Fault &amp; Downtime Entry'!$E$6:$E$1005,G480,'Fault &amp; Downtime Entry'!$B$6:$B$1005,B480)/O480*1000,999999)))))</f>
        <v/>
      </c>
      <c r="AT480" s="49" t="n">
        <f aca="false">IF(COUNTA(AH480,AJ480)=0,"",MIN(120,IF(AND(AH480&lt;&gt;"",AJ480&lt;&gt;""),AVERAGE(AH480,AJ480),IF(AH480&lt;&gt;"",AH480,AJ480))))</f>
        <v>0</v>
      </c>
      <c r="AU480" s="49" t="str">
        <f aca="false">IF(AI480="","",MIN(120,AI480))</f>
        <v/>
      </c>
      <c r="AV480" s="49" t="str">
        <f aca="false">IF(AJ480="","",MIN(120,AJ480))</f>
        <v/>
      </c>
      <c r="AW480" s="50" t="str">
        <f aca="false">IF(COUNT(AN480:AV480)&lt;9,"",(AN480*'Standards &amp; Scoring'!$D$5+AO480*'Standards &amp; Scoring'!$D$6+AP480*'Standards &amp; Scoring'!$D$7+AQ480*'Standards &amp; Scoring'!$D$8+AR480*'Standards &amp; Scoring'!$D$9+AS480*'Standards &amp; Scoring'!$D$10+AT480*'Standards &amp; Scoring'!$D$11+AU480*'Standards &amp; Scoring'!$D$12+AV480*'Standards &amp; Scoring'!$D$13)/10000)</f>
        <v/>
      </c>
      <c r="AX480" s="47" t="str">
        <f aca="false">IF(AW480="","",IF(AW480&gt;=1.05,"A+",IF(AW480&gt;=1,"A",IF(AW480&gt;=0.95,"B+",IF(AW480&gt;=0.9,"B","C")))))</f>
        <v/>
      </c>
      <c r="AY480" s="47" t="str">
        <f aca="false">IF(AX480="","",IF(AX480="A+",1800,IF(AX480="A",1600,IF(AX480="B+",1400,IF(AX480="B",1200,0)))))</f>
        <v/>
      </c>
      <c r="AZ480" s="49" t="str">
        <f aca="false">IF(OR(L480="",M480="",S480="",M480=0),"",IFERROR(L480*60*S480/(M480*36),0))</f>
        <v/>
      </c>
    </row>
    <row r="481" customFormat="false" ht="15" hidden="false" customHeight="true" outlineLevel="0" collapsed="false">
      <c r="A481" s="47" t="n">
        <f aca="false">'Daily KPI Entry'!A482</f>
        <v>0</v>
      </c>
      <c r="B481" s="48" t="n">
        <f aca="false">'Daily KPI Entry'!B482</f>
        <v>0</v>
      </c>
      <c r="C481" s="47" t="n">
        <f aca="false">'Daily KPI Entry'!C482</f>
        <v>0</v>
      </c>
      <c r="D481" s="47" t="n">
        <f aca="false">'Daily KPI Entry'!D482</f>
        <v>0</v>
      </c>
      <c r="E481" s="47" t="n">
        <f aca="false">'Daily KPI Entry'!E482</f>
        <v>0</v>
      </c>
      <c r="F481" s="47" t="n">
        <f aca="false">'Daily KPI Entry'!F482</f>
        <v>0</v>
      </c>
      <c r="G481" s="47" t="n">
        <f aca="false">'Daily KPI Entry'!G482</f>
        <v>0</v>
      </c>
      <c r="H481" s="47" t="str">
        <f aca="false">'Daily KPI Entry'!H482</f>
        <v/>
      </c>
      <c r="I481" s="47" t="n">
        <f aca="false">'Daily KPI Entry'!I482</f>
        <v>0</v>
      </c>
      <c r="J481" s="47" t="n">
        <f aca="false">'Daily KPI Entry'!J482</f>
        <v>0</v>
      </c>
      <c r="K481" s="47" t="n">
        <f aca="false">'Daily KPI Entry'!K482</f>
        <v>0</v>
      </c>
      <c r="L481" s="47" t="n">
        <f aca="false">'Daily KPI Entry'!L482</f>
        <v>0</v>
      </c>
      <c r="M481" s="47" t="n">
        <f aca="false">'Daily KPI Entry'!M482</f>
        <v>0</v>
      </c>
      <c r="N481" s="49" t="n">
        <f aca="false">'Daily KPI Entry'!N482</f>
        <v>0</v>
      </c>
      <c r="O481" s="49" t="n">
        <f aca="false">'Daily KPI Entry'!O482</f>
        <v>0</v>
      </c>
      <c r="P481" s="49" t="str">
        <f aca="false">IF(OR(N481="",O481=""),"",IFERROR(O481/N481*100,0))</f>
        <v/>
      </c>
      <c r="Q481" s="47" t="n">
        <f aca="false">'Daily KPI Entry'!Q482</f>
        <v>8</v>
      </c>
      <c r="R481" s="47" t="str">
        <f aca="false">IF(J481="","",Q481*J481)</f>
        <v/>
      </c>
      <c r="S481" s="49" t="n">
        <f aca="false">'Daily KPI Entry'!S482</f>
        <v>0</v>
      </c>
      <c r="T481" s="49" t="str">
        <f aca="false">IF(OR(R481="",S481=""),"",IFERROR(S481/R481*100,0))</f>
        <v/>
      </c>
      <c r="U481" s="49" t="str">
        <f aca="false">IF(OR(O481="",L481="",M481="",S481="",M481=0),"",IFERROR(O481/(L481*60*S481/(M481*36))*100,0))</f>
        <v/>
      </c>
      <c r="V481" s="49" t="n">
        <f aca="false">'Daily KPI Entry'!V482</f>
        <v>0</v>
      </c>
      <c r="W481" s="49" t="str">
        <f aca="false">IF(O481="","",IFERROR(V481/O481*100,0))</f>
        <v/>
      </c>
      <c r="X481" s="49" t="n">
        <f aca="false">'Daily KPI Entry'!X482</f>
        <v>0</v>
      </c>
      <c r="Y481" s="49" t="n">
        <f aca="false">'Daily KPI Entry'!Y482</f>
        <v>0</v>
      </c>
      <c r="Z481" s="49" t="n">
        <f aca="false">'Daily KPI Entry'!Z482</f>
        <v>0</v>
      </c>
      <c r="AA481" s="49" t="n">
        <f aca="false">'Daily KPI Entry'!AA482</f>
        <v>0</v>
      </c>
      <c r="AB481" s="49" t="n">
        <f aca="false">'Daily KPI Entry'!AB482</f>
        <v>0</v>
      </c>
      <c r="AC481" s="49" t="n">
        <f aca="false">'Daily KPI Entry'!AC482</f>
        <v>0</v>
      </c>
      <c r="AD481" s="49" t="n">
        <f aca="false">'Daily KPI Entry'!AD482</f>
        <v>0</v>
      </c>
      <c r="AE481" s="49" t="n">
        <f aca="false">'Daily KPI Entry'!AE482</f>
        <v>0</v>
      </c>
      <c r="AF481" s="47" t="str">
        <f aca="false">IF(O481="","",SUM(X481:AE481))</f>
        <v/>
      </c>
      <c r="AG481" s="49" t="str">
        <f aca="false">IF(O481="","",IFERROR(AF481/O481*1000,0))</f>
        <v/>
      </c>
      <c r="AH481" s="49" t="n">
        <f aca="false">'Daily KPI Entry'!AH482</f>
        <v>0</v>
      </c>
      <c r="AI481" s="49" t="n">
        <f aca="false">'Daily KPI Entry'!AI482</f>
        <v>0</v>
      </c>
      <c r="AJ481" s="49" t="n">
        <f aca="false">'Daily KPI Entry'!AJ482</f>
        <v>0</v>
      </c>
      <c r="AK481" s="47" t="n">
        <f aca="false">'Daily KPI Entry'!AK482</f>
        <v>0</v>
      </c>
      <c r="AL481" s="47" t="n">
        <f aca="false">'Daily KPI Entry'!AL482</f>
        <v>0</v>
      </c>
      <c r="AM481" s="47" t="n">
        <f aca="false">'Daily KPI Entry'!AM482</f>
        <v>0</v>
      </c>
      <c r="AN481" s="49" t="str">
        <f aca="false">IF(P481="","",MIN(120,P481))</f>
        <v/>
      </c>
      <c r="AO481" s="49" t="str">
        <f aca="false">IF(U481="","",MIN(120,U481))</f>
        <v/>
      </c>
      <c r="AP481" s="49" t="str">
        <f aca="false">IF(R481="","",MIN(120,IFERROR(S481/R481*100,0)))</f>
        <v/>
      </c>
      <c r="AQ481" s="49" t="str">
        <f aca="false">IF(W481="","",MIN(120,IF(W481=0,120,100*(INDEX('Standards &amp; Scoring'!$E$5:$E$13,MATCH("Quality / Rejection",'Standards &amp; Scoring'!$A$5:$A$13,0))/W481))))</f>
        <v/>
      </c>
      <c r="AR481" s="49" t="str">
        <f aca="false">IF(AG481="","",MIN(120,IF(AG481=0,120,100*(INDEX('Standards &amp; Scoring'!$E$5:$E$13,MATCH("Fault Control",'Standards &amp; Scoring'!$A$5:$A$13,0))/AG481))))</f>
        <v/>
      </c>
      <c r="AS481" s="49" t="str">
        <f aca="false">IF(O481="","",MIN(120,IF(SUMIFS('Fault &amp; Downtime Entry'!$L$6:$L$1005,'Fault &amp; Downtime Entry'!$E$6:$E$1005,G481,'Fault &amp; Downtime Entry'!$B$6:$B$1005,B481)=0,120,100*(INDEX('Standards &amp; Scoring'!$E$5:$E$13,MATCH("Downtime Control",'Standards &amp; Scoring'!$A$5:$A$13,0))/IFERROR(SUMIFS('Fault &amp; Downtime Entry'!$L$6:$L$1005,'Fault &amp; Downtime Entry'!$E$6:$E$1005,G481,'Fault &amp; Downtime Entry'!$B$6:$B$1005,B481)/O481*1000,999999)))))</f>
        <v/>
      </c>
      <c r="AT481" s="49" t="n">
        <f aca="false">IF(COUNTA(AH481,AJ481)=0,"",MIN(120,IF(AND(AH481&lt;&gt;"",AJ481&lt;&gt;""),AVERAGE(AH481,AJ481),IF(AH481&lt;&gt;"",AH481,AJ481))))</f>
        <v>0</v>
      </c>
      <c r="AU481" s="49" t="str">
        <f aca="false">IF(AI481="","",MIN(120,AI481))</f>
        <v/>
      </c>
      <c r="AV481" s="49" t="str">
        <f aca="false">IF(AJ481="","",MIN(120,AJ481))</f>
        <v/>
      </c>
      <c r="AW481" s="50" t="str">
        <f aca="false">IF(COUNT(AN481:AV481)&lt;9,"",(AN481*'Standards &amp; Scoring'!$D$5+AO481*'Standards &amp; Scoring'!$D$6+AP481*'Standards &amp; Scoring'!$D$7+AQ481*'Standards &amp; Scoring'!$D$8+AR481*'Standards &amp; Scoring'!$D$9+AS481*'Standards &amp; Scoring'!$D$10+AT481*'Standards &amp; Scoring'!$D$11+AU481*'Standards &amp; Scoring'!$D$12+AV481*'Standards &amp; Scoring'!$D$13)/10000)</f>
        <v/>
      </c>
      <c r="AX481" s="47" t="str">
        <f aca="false">IF(AW481="","",IF(AW481&gt;=1.05,"A+",IF(AW481&gt;=1,"A",IF(AW481&gt;=0.95,"B+",IF(AW481&gt;=0.9,"B","C")))))</f>
        <v/>
      </c>
      <c r="AY481" s="47" t="str">
        <f aca="false">IF(AX481="","",IF(AX481="A+",1800,IF(AX481="A",1600,IF(AX481="B+",1400,IF(AX481="B",1200,0)))))</f>
        <v/>
      </c>
      <c r="AZ481" s="49" t="str">
        <f aca="false">IF(OR(L481="",M481="",S481="",M481=0),"",IFERROR(L481*60*S481/(M481*36),0))</f>
        <v/>
      </c>
    </row>
    <row r="482" customFormat="false" ht="15" hidden="false" customHeight="true" outlineLevel="0" collapsed="false">
      <c r="A482" s="47" t="n">
        <f aca="false">'Daily KPI Entry'!A483</f>
        <v>0</v>
      </c>
      <c r="B482" s="48" t="n">
        <f aca="false">'Daily KPI Entry'!B483</f>
        <v>0</v>
      </c>
      <c r="C482" s="47" t="n">
        <f aca="false">'Daily KPI Entry'!C483</f>
        <v>0</v>
      </c>
      <c r="D482" s="47" t="n">
        <f aca="false">'Daily KPI Entry'!D483</f>
        <v>0</v>
      </c>
      <c r="E482" s="47" t="n">
        <f aca="false">'Daily KPI Entry'!E483</f>
        <v>0</v>
      </c>
      <c r="F482" s="47" t="n">
        <f aca="false">'Daily KPI Entry'!F483</f>
        <v>0</v>
      </c>
      <c r="G482" s="47" t="n">
        <f aca="false">'Daily KPI Entry'!G483</f>
        <v>0</v>
      </c>
      <c r="H482" s="47" t="str">
        <f aca="false">'Daily KPI Entry'!H483</f>
        <v/>
      </c>
      <c r="I482" s="47" t="n">
        <f aca="false">'Daily KPI Entry'!I483</f>
        <v>0</v>
      </c>
      <c r="J482" s="47" t="n">
        <f aca="false">'Daily KPI Entry'!J483</f>
        <v>0</v>
      </c>
      <c r="K482" s="47" t="n">
        <f aca="false">'Daily KPI Entry'!K483</f>
        <v>0</v>
      </c>
      <c r="L482" s="47" t="n">
        <f aca="false">'Daily KPI Entry'!L483</f>
        <v>0</v>
      </c>
      <c r="M482" s="47" t="n">
        <f aca="false">'Daily KPI Entry'!M483</f>
        <v>0</v>
      </c>
      <c r="N482" s="49" t="n">
        <f aca="false">'Daily KPI Entry'!N483</f>
        <v>0</v>
      </c>
      <c r="O482" s="49" t="n">
        <f aca="false">'Daily KPI Entry'!O483</f>
        <v>0</v>
      </c>
      <c r="P482" s="49" t="str">
        <f aca="false">IF(OR(N482="",O482=""),"",IFERROR(O482/N482*100,0))</f>
        <v/>
      </c>
      <c r="Q482" s="47" t="n">
        <f aca="false">'Daily KPI Entry'!Q483</f>
        <v>8</v>
      </c>
      <c r="R482" s="47" t="str">
        <f aca="false">IF(J482="","",Q482*J482)</f>
        <v/>
      </c>
      <c r="S482" s="49" t="n">
        <f aca="false">'Daily KPI Entry'!S483</f>
        <v>0</v>
      </c>
      <c r="T482" s="49" t="str">
        <f aca="false">IF(OR(R482="",S482=""),"",IFERROR(S482/R482*100,0))</f>
        <v/>
      </c>
      <c r="U482" s="49" t="str">
        <f aca="false">IF(OR(O482="",L482="",M482="",S482="",M482=0),"",IFERROR(O482/(L482*60*S482/(M482*36))*100,0))</f>
        <v/>
      </c>
      <c r="V482" s="49" t="n">
        <f aca="false">'Daily KPI Entry'!V483</f>
        <v>0</v>
      </c>
      <c r="W482" s="49" t="str">
        <f aca="false">IF(O482="","",IFERROR(V482/O482*100,0))</f>
        <v/>
      </c>
      <c r="X482" s="49" t="n">
        <f aca="false">'Daily KPI Entry'!X483</f>
        <v>0</v>
      </c>
      <c r="Y482" s="49" t="n">
        <f aca="false">'Daily KPI Entry'!Y483</f>
        <v>0</v>
      </c>
      <c r="Z482" s="49" t="n">
        <f aca="false">'Daily KPI Entry'!Z483</f>
        <v>0</v>
      </c>
      <c r="AA482" s="49" t="n">
        <f aca="false">'Daily KPI Entry'!AA483</f>
        <v>0</v>
      </c>
      <c r="AB482" s="49" t="n">
        <f aca="false">'Daily KPI Entry'!AB483</f>
        <v>0</v>
      </c>
      <c r="AC482" s="49" t="n">
        <f aca="false">'Daily KPI Entry'!AC483</f>
        <v>0</v>
      </c>
      <c r="AD482" s="49" t="n">
        <f aca="false">'Daily KPI Entry'!AD483</f>
        <v>0</v>
      </c>
      <c r="AE482" s="49" t="n">
        <f aca="false">'Daily KPI Entry'!AE483</f>
        <v>0</v>
      </c>
      <c r="AF482" s="47" t="str">
        <f aca="false">IF(O482="","",SUM(X482:AE482))</f>
        <v/>
      </c>
      <c r="AG482" s="49" t="str">
        <f aca="false">IF(O482="","",IFERROR(AF482/O482*1000,0))</f>
        <v/>
      </c>
      <c r="AH482" s="49" t="n">
        <f aca="false">'Daily KPI Entry'!AH483</f>
        <v>0</v>
      </c>
      <c r="AI482" s="49" t="n">
        <f aca="false">'Daily KPI Entry'!AI483</f>
        <v>0</v>
      </c>
      <c r="AJ482" s="49" t="n">
        <f aca="false">'Daily KPI Entry'!AJ483</f>
        <v>0</v>
      </c>
      <c r="AK482" s="47" t="n">
        <f aca="false">'Daily KPI Entry'!AK483</f>
        <v>0</v>
      </c>
      <c r="AL482" s="47" t="n">
        <f aca="false">'Daily KPI Entry'!AL483</f>
        <v>0</v>
      </c>
      <c r="AM482" s="47" t="n">
        <f aca="false">'Daily KPI Entry'!AM483</f>
        <v>0</v>
      </c>
      <c r="AN482" s="49" t="str">
        <f aca="false">IF(P482="","",MIN(120,P482))</f>
        <v/>
      </c>
      <c r="AO482" s="49" t="str">
        <f aca="false">IF(U482="","",MIN(120,U482))</f>
        <v/>
      </c>
      <c r="AP482" s="49" t="str">
        <f aca="false">IF(R482="","",MIN(120,IFERROR(S482/R482*100,0)))</f>
        <v/>
      </c>
      <c r="AQ482" s="49" t="str">
        <f aca="false">IF(W482="","",MIN(120,IF(W482=0,120,100*(INDEX('Standards &amp; Scoring'!$E$5:$E$13,MATCH("Quality / Rejection",'Standards &amp; Scoring'!$A$5:$A$13,0))/W482))))</f>
        <v/>
      </c>
      <c r="AR482" s="49" t="str">
        <f aca="false">IF(AG482="","",MIN(120,IF(AG482=0,120,100*(INDEX('Standards &amp; Scoring'!$E$5:$E$13,MATCH("Fault Control",'Standards &amp; Scoring'!$A$5:$A$13,0))/AG482))))</f>
        <v/>
      </c>
      <c r="AS482" s="49" t="str">
        <f aca="false">IF(O482="","",MIN(120,IF(SUMIFS('Fault &amp; Downtime Entry'!$L$6:$L$1005,'Fault &amp; Downtime Entry'!$E$6:$E$1005,G482,'Fault &amp; Downtime Entry'!$B$6:$B$1005,B482)=0,120,100*(INDEX('Standards &amp; Scoring'!$E$5:$E$13,MATCH("Downtime Control",'Standards &amp; Scoring'!$A$5:$A$13,0))/IFERROR(SUMIFS('Fault &amp; Downtime Entry'!$L$6:$L$1005,'Fault &amp; Downtime Entry'!$E$6:$E$1005,G482,'Fault &amp; Downtime Entry'!$B$6:$B$1005,B482)/O482*1000,999999)))))</f>
        <v/>
      </c>
      <c r="AT482" s="49" t="n">
        <f aca="false">IF(COUNTA(AH482,AJ482)=0,"",MIN(120,IF(AND(AH482&lt;&gt;"",AJ482&lt;&gt;""),AVERAGE(AH482,AJ482),IF(AH482&lt;&gt;"",AH482,AJ482))))</f>
        <v>0</v>
      </c>
      <c r="AU482" s="49" t="str">
        <f aca="false">IF(AI482="","",MIN(120,AI482))</f>
        <v/>
      </c>
      <c r="AV482" s="49" t="str">
        <f aca="false">IF(AJ482="","",MIN(120,AJ482))</f>
        <v/>
      </c>
      <c r="AW482" s="50" t="str">
        <f aca="false">IF(COUNT(AN482:AV482)&lt;9,"",(AN482*'Standards &amp; Scoring'!$D$5+AO482*'Standards &amp; Scoring'!$D$6+AP482*'Standards &amp; Scoring'!$D$7+AQ482*'Standards &amp; Scoring'!$D$8+AR482*'Standards &amp; Scoring'!$D$9+AS482*'Standards &amp; Scoring'!$D$10+AT482*'Standards &amp; Scoring'!$D$11+AU482*'Standards &amp; Scoring'!$D$12+AV482*'Standards &amp; Scoring'!$D$13)/10000)</f>
        <v/>
      </c>
      <c r="AX482" s="47" t="str">
        <f aca="false">IF(AW482="","",IF(AW482&gt;=1.05,"A+",IF(AW482&gt;=1,"A",IF(AW482&gt;=0.95,"B+",IF(AW482&gt;=0.9,"B","C")))))</f>
        <v/>
      </c>
      <c r="AY482" s="47" t="str">
        <f aca="false">IF(AX482="","",IF(AX482="A+",1800,IF(AX482="A",1600,IF(AX482="B+",1400,IF(AX482="B",1200,0)))))</f>
        <v/>
      </c>
      <c r="AZ482" s="49" t="str">
        <f aca="false">IF(OR(L482="",M482="",S482="",M482=0),"",IFERROR(L482*60*S482/(M482*36),0))</f>
        <v/>
      </c>
    </row>
    <row r="483" customFormat="false" ht="15" hidden="false" customHeight="true" outlineLevel="0" collapsed="false">
      <c r="A483" s="47" t="n">
        <f aca="false">'Daily KPI Entry'!A484</f>
        <v>0</v>
      </c>
      <c r="B483" s="48" t="n">
        <f aca="false">'Daily KPI Entry'!B484</f>
        <v>0</v>
      </c>
      <c r="C483" s="47" t="n">
        <f aca="false">'Daily KPI Entry'!C484</f>
        <v>0</v>
      </c>
      <c r="D483" s="47" t="n">
        <f aca="false">'Daily KPI Entry'!D484</f>
        <v>0</v>
      </c>
      <c r="E483" s="47" t="n">
        <f aca="false">'Daily KPI Entry'!E484</f>
        <v>0</v>
      </c>
      <c r="F483" s="47" t="n">
        <f aca="false">'Daily KPI Entry'!F484</f>
        <v>0</v>
      </c>
      <c r="G483" s="47" t="n">
        <f aca="false">'Daily KPI Entry'!G484</f>
        <v>0</v>
      </c>
      <c r="H483" s="47" t="str">
        <f aca="false">'Daily KPI Entry'!H484</f>
        <v/>
      </c>
      <c r="I483" s="47" t="n">
        <f aca="false">'Daily KPI Entry'!I484</f>
        <v>0</v>
      </c>
      <c r="J483" s="47" t="n">
        <f aca="false">'Daily KPI Entry'!J484</f>
        <v>0</v>
      </c>
      <c r="K483" s="47" t="n">
        <f aca="false">'Daily KPI Entry'!K484</f>
        <v>0</v>
      </c>
      <c r="L483" s="47" t="n">
        <f aca="false">'Daily KPI Entry'!L484</f>
        <v>0</v>
      </c>
      <c r="M483" s="47" t="n">
        <f aca="false">'Daily KPI Entry'!M484</f>
        <v>0</v>
      </c>
      <c r="N483" s="49" t="n">
        <f aca="false">'Daily KPI Entry'!N484</f>
        <v>0</v>
      </c>
      <c r="O483" s="49" t="n">
        <f aca="false">'Daily KPI Entry'!O484</f>
        <v>0</v>
      </c>
      <c r="P483" s="49" t="str">
        <f aca="false">IF(OR(N483="",O483=""),"",IFERROR(O483/N483*100,0))</f>
        <v/>
      </c>
      <c r="Q483" s="47" t="n">
        <f aca="false">'Daily KPI Entry'!Q484</f>
        <v>8</v>
      </c>
      <c r="R483" s="47" t="str">
        <f aca="false">IF(J483="","",Q483*J483)</f>
        <v/>
      </c>
      <c r="S483" s="49" t="n">
        <f aca="false">'Daily KPI Entry'!S484</f>
        <v>0</v>
      </c>
      <c r="T483" s="49" t="str">
        <f aca="false">IF(OR(R483="",S483=""),"",IFERROR(S483/R483*100,0))</f>
        <v/>
      </c>
      <c r="U483" s="49" t="str">
        <f aca="false">IF(OR(O483="",L483="",M483="",S483="",M483=0),"",IFERROR(O483/(L483*60*S483/(M483*36))*100,0))</f>
        <v/>
      </c>
      <c r="V483" s="49" t="n">
        <f aca="false">'Daily KPI Entry'!V484</f>
        <v>0</v>
      </c>
      <c r="W483" s="49" t="str">
        <f aca="false">IF(O483="","",IFERROR(V483/O483*100,0))</f>
        <v/>
      </c>
      <c r="X483" s="49" t="n">
        <f aca="false">'Daily KPI Entry'!X484</f>
        <v>0</v>
      </c>
      <c r="Y483" s="49" t="n">
        <f aca="false">'Daily KPI Entry'!Y484</f>
        <v>0</v>
      </c>
      <c r="Z483" s="49" t="n">
        <f aca="false">'Daily KPI Entry'!Z484</f>
        <v>0</v>
      </c>
      <c r="AA483" s="49" t="n">
        <f aca="false">'Daily KPI Entry'!AA484</f>
        <v>0</v>
      </c>
      <c r="AB483" s="49" t="n">
        <f aca="false">'Daily KPI Entry'!AB484</f>
        <v>0</v>
      </c>
      <c r="AC483" s="49" t="n">
        <f aca="false">'Daily KPI Entry'!AC484</f>
        <v>0</v>
      </c>
      <c r="AD483" s="49" t="n">
        <f aca="false">'Daily KPI Entry'!AD484</f>
        <v>0</v>
      </c>
      <c r="AE483" s="49" t="n">
        <f aca="false">'Daily KPI Entry'!AE484</f>
        <v>0</v>
      </c>
      <c r="AF483" s="47" t="str">
        <f aca="false">IF(O483="","",SUM(X483:AE483))</f>
        <v/>
      </c>
      <c r="AG483" s="49" t="str">
        <f aca="false">IF(O483="","",IFERROR(AF483/O483*1000,0))</f>
        <v/>
      </c>
      <c r="AH483" s="49" t="n">
        <f aca="false">'Daily KPI Entry'!AH484</f>
        <v>0</v>
      </c>
      <c r="AI483" s="49" t="n">
        <f aca="false">'Daily KPI Entry'!AI484</f>
        <v>0</v>
      </c>
      <c r="AJ483" s="49" t="n">
        <f aca="false">'Daily KPI Entry'!AJ484</f>
        <v>0</v>
      </c>
      <c r="AK483" s="47" t="n">
        <f aca="false">'Daily KPI Entry'!AK484</f>
        <v>0</v>
      </c>
      <c r="AL483" s="47" t="n">
        <f aca="false">'Daily KPI Entry'!AL484</f>
        <v>0</v>
      </c>
      <c r="AM483" s="47" t="n">
        <f aca="false">'Daily KPI Entry'!AM484</f>
        <v>0</v>
      </c>
      <c r="AN483" s="49" t="str">
        <f aca="false">IF(P483="","",MIN(120,P483))</f>
        <v/>
      </c>
      <c r="AO483" s="49" t="str">
        <f aca="false">IF(U483="","",MIN(120,U483))</f>
        <v/>
      </c>
      <c r="AP483" s="49" t="str">
        <f aca="false">IF(R483="","",MIN(120,IFERROR(S483/R483*100,0)))</f>
        <v/>
      </c>
      <c r="AQ483" s="49" t="str">
        <f aca="false">IF(W483="","",MIN(120,IF(W483=0,120,100*(INDEX('Standards &amp; Scoring'!$E$5:$E$13,MATCH("Quality / Rejection",'Standards &amp; Scoring'!$A$5:$A$13,0))/W483))))</f>
        <v/>
      </c>
      <c r="AR483" s="49" t="str">
        <f aca="false">IF(AG483="","",MIN(120,IF(AG483=0,120,100*(INDEX('Standards &amp; Scoring'!$E$5:$E$13,MATCH("Fault Control",'Standards &amp; Scoring'!$A$5:$A$13,0))/AG483))))</f>
        <v/>
      </c>
      <c r="AS483" s="49" t="str">
        <f aca="false">IF(O483="","",MIN(120,IF(SUMIFS('Fault &amp; Downtime Entry'!$L$6:$L$1005,'Fault &amp; Downtime Entry'!$E$6:$E$1005,G483,'Fault &amp; Downtime Entry'!$B$6:$B$1005,B483)=0,120,100*(INDEX('Standards &amp; Scoring'!$E$5:$E$13,MATCH("Downtime Control",'Standards &amp; Scoring'!$A$5:$A$13,0))/IFERROR(SUMIFS('Fault &amp; Downtime Entry'!$L$6:$L$1005,'Fault &amp; Downtime Entry'!$E$6:$E$1005,G483,'Fault &amp; Downtime Entry'!$B$6:$B$1005,B483)/O483*1000,999999)))))</f>
        <v/>
      </c>
      <c r="AT483" s="49" t="n">
        <f aca="false">IF(COUNTA(AH483,AJ483)=0,"",MIN(120,IF(AND(AH483&lt;&gt;"",AJ483&lt;&gt;""),AVERAGE(AH483,AJ483),IF(AH483&lt;&gt;"",AH483,AJ483))))</f>
        <v>0</v>
      </c>
      <c r="AU483" s="49" t="str">
        <f aca="false">IF(AI483="","",MIN(120,AI483))</f>
        <v/>
      </c>
      <c r="AV483" s="49" t="str">
        <f aca="false">IF(AJ483="","",MIN(120,AJ483))</f>
        <v/>
      </c>
      <c r="AW483" s="50" t="str">
        <f aca="false">IF(COUNT(AN483:AV483)&lt;9,"",(AN483*'Standards &amp; Scoring'!$D$5+AO483*'Standards &amp; Scoring'!$D$6+AP483*'Standards &amp; Scoring'!$D$7+AQ483*'Standards &amp; Scoring'!$D$8+AR483*'Standards &amp; Scoring'!$D$9+AS483*'Standards &amp; Scoring'!$D$10+AT483*'Standards &amp; Scoring'!$D$11+AU483*'Standards &amp; Scoring'!$D$12+AV483*'Standards &amp; Scoring'!$D$13)/10000)</f>
        <v/>
      </c>
      <c r="AX483" s="47" t="str">
        <f aca="false">IF(AW483="","",IF(AW483&gt;=1.05,"A+",IF(AW483&gt;=1,"A",IF(AW483&gt;=0.95,"B+",IF(AW483&gt;=0.9,"B","C")))))</f>
        <v/>
      </c>
      <c r="AY483" s="47" t="str">
        <f aca="false">IF(AX483="","",IF(AX483="A+",1800,IF(AX483="A",1600,IF(AX483="B+",1400,IF(AX483="B",1200,0)))))</f>
        <v/>
      </c>
      <c r="AZ483" s="49" t="str">
        <f aca="false">IF(OR(L483="",M483="",S483="",M483=0),"",IFERROR(L483*60*S483/(M483*36),0))</f>
        <v/>
      </c>
    </row>
    <row r="484" customFormat="false" ht="15" hidden="false" customHeight="true" outlineLevel="0" collapsed="false">
      <c r="A484" s="47" t="n">
        <f aca="false">'Daily KPI Entry'!A485</f>
        <v>0</v>
      </c>
      <c r="B484" s="48" t="n">
        <f aca="false">'Daily KPI Entry'!B485</f>
        <v>0</v>
      </c>
      <c r="C484" s="47" t="n">
        <f aca="false">'Daily KPI Entry'!C485</f>
        <v>0</v>
      </c>
      <c r="D484" s="47" t="n">
        <f aca="false">'Daily KPI Entry'!D485</f>
        <v>0</v>
      </c>
      <c r="E484" s="47" t="n">
        <f aca="false">'Daily KPI Entry'!E485</f>
        <v>0</v>
      </c>
      <c r="F484" s="47" t="n">
        <f aca="false">'Daily KPI Entry'!F485</f>
        <v>0</v>
      </c>
      <c r="G484" s="47" t="n">
        <f aca="false">'Daily KPI Entry'!G485</f>
        <v>0</v>
      </c>
      <c r="H484" s="47" t="str">
        <f aca="false">'Daily KPI Entry'!H485</f>
        <v/>
      </c>
      <c r="I484" s="47" t="n">
        <f aca="false">'Daily KPI Entry'!I485</f>
        <v>0</v>
      </c>
      <c r="J484" s="47" t="n">
        <f aca="false">'Daily KPI Entry'!J485</f>
        <v>0</v>
      </c>
      <c r="K484" s="47" t="n">
        <f aca="false">'Daily KPI Entry'!K485</f>
        <v>0</v>
      </c>
      <c r="L484" s="47" t="n">
        <f aca="false">'Daily KPI Entry'!L485</f>
        <v>0</v>
      </c>
      <c r="M484" s="47" t="n">
        <f aca="false">'Daily KPI Entry'!M485</f>
        <v>0</v>
      </c>
      <c r="N484" s="49" t="n">
        <f aca="false">'Daily KPI Entry'!N485</f>
        <v>0</v>
      </c>
      <c r="O484" s="49" t="n">
        <f aca="false">'Daily KPI Entry'!O485</f>
        <v>0</v>
      </c>
      <c r="P484" s="49" t="str">
        <f aca="false">IF(OR(N484="",O484=""),"",IFERROR(O484/N484*100,0))</f>
        <v/>
      </c>
      <c r="Q484" s="47" t="n">
        <f aca="false">'Daily KPI Entry'!Q485</f>
        <v>8</v>
      </c>
      <c r="R484" s="47" t="str">
        <f aca="false">IF(J484="","",Q484*J484)</f>
        <v/>
      </c>
      <c r="S484" s="49" t="n">
        <f aca="false">'Daily KPI Entry'!S485</f>
        <v>0</v>
      </c>
      <c r="T484" s="49" t="str">
        <f aca="false">IF(OR(R484="",S484=""),"",IFERROR(S484/R484*100,0))</f>
        <v/>
      </c>
      <c r="U484" s="49" t="str">
        <f aca="false">IF(OR(O484="",L484="",M484="",S484="",M484=0),"",IFERROR(O484/(L484*60*S484/(M484*36))*100,0))</f>
        <v/>
      </c>
      <c r="V484" s="49" t="n">
        <f aca="false">'Daily KPI Entry'!V485</f>
        <v>0</v>
      </c>
      <c r="W484" s="49" t="str">
        <f aca="false">IF(O484="","",IFERROR(V484/O484*100,0))</f>
        <v/>
      </c>
      <c r="X484" s="49" t="n">
        <f aca="false">'Daily KPI Entry'!X485</f>
        <v>0</v>
      </c>
      <c r="Y484" s="49" t="n">
        <f aca="false">'Daily KPI Entry'!Y485</f>
        <v>0</v>
      </c>
      <c r="Z484" s="49" t="n">
        <f aca="false">'Daily KPI Entry'!Z485</f>
        <v>0</v>
      </c>
      <c r="AA484" s="49" t="n">
        <f aca="false">'Daily KPI Entry'!AA485</f>
        <v>0</v>
      </c>
      <c r="AB484" s="49" t="n">
        <f aca="false">'Daily KPI Entry'!AB485</f>
        <v>0</v>
      </c>
      <c r="AC484" s="49" t="n">
        <f aca="false">'Daily KPI Entry'!AC485</f>
        <v>0</v>
      </c>
      <c r="AD484" s="49" t="n">
        <f aca="false">'Daily KPI Entry'!AD485</f>
        <v>0</v>
      </c>
      <c r="AE484" s="49" t="n">
        <f aca="false">'Daily KPI Entry'!AE485</f>
        <v>0</v>
      </c>
      <c r="AF484" s="47" t="str">
        <f aca="false">IF(O484="","",SUM(X484:AE484))</f>
        <v/>
      </c>
      <c r="AG484" s="49" t="str">
        <f aca="false">IF(O484="","",IFERROR(AF484/O484*1000,0))</f>
        <v/>
      </c>
      <c r="AH484" s="49" t="n">
        <f aca="false">'Daily KPI Entry'!AH485</f>
        <v>0</v>
      </c>
      <c r="AI484" s="49" t="n">
        <f aca="false">'Daily KPI Entry'!AI485</f>
        <v>0</v>
      </c>
      <c r="AJ484" s="49" t="n">
        <f aca="false">'Daily KPI Entry'!AJ485</f>
        <v>0</v>
      </c>
      <c r="AK484" s="47" t="n">
        <f aca="false">'Daily KPI Entry'!AK485</f>
        <v>0</v>
      </c>
      <c r="AL484" s="47" t="n">
        <f aca="false">'Daily KPI Entry'!AL485</f>
        <v>0</v>
      </c>
      <c r="AM484" s="47" t="n">
        <f aca="false">'Daily KPI Entry'!AM485</f>
        <v>0</v>
      </c>
      <c r="AN484" s="49" t="str">
        <f aca="false">IF(P484="","",MIN(120,P484))</f>
        <v/>
      </c>
      <c r="AO484" s="49" t="str">
        <f aca="false">IF(U484="","",MIN(120,U484))</f>
        <v/>
      </c>
      <c r="AP484" s="49" t="str">
        <f aca="false">IF(R484="","",MIN(120,IFERROR(S484/R484*100,0)))</f>
        <v/>
      </c>
      <c r="AQ484" s="49" t="str">
        <f aca="false">IF(W484="","",MIN(120,IF(W484=0,120,100*(INDEX('Standards &amp; Scoring'!$E$5:$E$13,MATCH("Quality / Rejection",'Standards &amp; Scoring'!$A$5:$A$13,0))/W484))))</f>
        <v/>
      </c>
      <c r="AR484" s="49" t="str">
        <f aca="false">IF(AG484="","",MIN(120,IF(AG484=0,120,100*(INDEX('Standards &amp; Scoring'!$E$5:$E$13,MATCH("Fault Control",'Standards &amp; Scoring'!$A$5:$A$13,0))/AG484))))</f>
        <v/>
      </c>
      <c r="AS484" s="49" t="str">
        <f aca="false">IF(O484="","",MIN(120,IF(SUMIFS('Fault &amp; Downtime Entry'!$L$6:$L$1005,'Fault &amp; Downtime Entry'!$E$6:$E$1005,G484,'Fault &amp; Downtime Entry'!$B$6:$B$1005,B484)=0,120,100*(INDEX('Standards &amp; Scoring'!$E$5:$E$13,MATCH("Downtime Control",'Standards &amp; Scoring'!$A$5:$A$13,0))/IFERROR(SUMIFS('Fault &amp; Downtime Entry'!$L$6:$L$1005,'Fault &amp; Downtime Entry'!$E$6:$E$1005,G484,'Fault &amp; Downtime Entry'!$B$6:$B$1005,B484)/O484*1000,999999)))))</f>
        <v/>
      </c>
      <c r="AT484" s="49" t="n">
        <f aca="false">IF(COUNTA(AH484,AJ484)=0,"",MIN(120,IF(AND(AH484&lt;&gt;"",AJ484&lt;&gt;""),AVERAGE(AH484,AJ484),IF(AH484&lt;&gt;"",AH484,AJ484))))</f>
        <v>0</v>
      </c>
      <c r="AU484" s="49" t="str">
        <f aca="false">IF(AI484="","",MIN(120,AI484))</f>
        <v/>
      </c>
      <c r="AV484" s="49" t="str">
        <f aca="false">IF(AJ484="","",MIN(120,AJ484))</f>
        <v/>
      </c>
      <c r="AW484" s="50" t="str">
        <f aca="false">IF(COUNT(AN484:AV484)&lt;9,"",(AN484*'Standards &amp; Scoring'!$D$5+AO484*'Standards &amp; Scoring'!$D$6+AP484*'Standards &amp; Scoring'!$D$7+AQ484*'Standards &amp; Scoring'!$D$8+AR484*'Standards &amp; Scoring'!$D$9+AS484*'Standards &amp; Scoring'!$D$10+AT484*'Standards &amp; Scoring'!$D$11+AU484*'Standards &amp; Scoring'!$D$12+AV484*'Standards &amp; Scoring'!$D$13)/10000)</f>
        <v/>
      </c>
      <c r="AX484" s="47" t="str">
        <f aca="false">IF(AW484="","",IF(AW484&gt;=1.05,"A+",IF(AW484&gt;=1,"A",IF(AW484&gt;=0.95,"B+",IF(AW484&gt;=0.9,"B","C")))))</f>
        <v/>
      </c>
      <c r="AY484" s="47" t="str">
        <f aca="false">IF(AX484="","",IF(AX484="A+",1800,IF(AX484="A",1600,IF(AX484="B+",1400,IF(AX484="B",1200,0)))))</f>
        <v/>
      </c>
      <c r="AZ484" s="49" t="str">
        <f aca="false">IF(OR(L484="",M484="",S484="",M484=0),"",IFERROR(L484*60*S484/(M484*36),0))</f>
        <v/>
      </c>
    </row>
    <row r="485" customFormat="false" ht="15" hidden="false" customHeight="true" outlineLevel="0" collapsed="false">
      <c r="A485" s="47" t="n">
        <f aca="false">'Daily KPI Entry'!A486</f>
        <v>0</v>
      </c>
      <c r="B485" s="48" t="n">
        <f aca="false">'Daily KPI Entry'!B486</f>
        <v>0</v>
      </c>
      <c r="C485" s="47" t="n">
        <f aca="false">'Daily KPI Entry'!C486</f>
        <v>0</v>
      </c>
      <c r="D485" s="47" t="n">
        <f aca="false">'Daily KPI Entry'!D486</f>
        <v>0</v>
      </c>
      <c r="E485" s="47" t="n">
        <f aca="false">'Daily KPI Entry'!E486</f>
        <v>0</v>
      </c>
      <c r="F485" s="47" t="n">
        <f aca="false">'Daily KPI Entry'!F486</f>
        <v>0</v>
      </c>
      <c r="G485" s="47" t="n">
        <f aca="false">'Daily KPI Entry'!G486</f>
        <v>0</v>
      </c>
      <c r="H485" s="47" t="str">
        <f aca="false">'Daily KPI Entry'!H486</f>
        <v/>
      </c>
      <c r="I485" s="47" t="n">
        <f aca="false">'Daily KPI Entry'!I486</f>
        <v>0</v>
      </c>
      <c r="J485" s="47" t="n">
        <f aca="false">'Daily KPI Entry'!J486</f>
        <v>0</v>
      </c>
      <c r="K485" s="47" t="n">
        <f aca="false">'Daily KPI Entry'!K486</f>
        <v>0</v>
      </c>
      <c r="L485" s="47" t="n">
        <f aca="false">'Daily KPI Entry'!L486</f>
        <v>0</v>
      </c>
      <c r="M485" s="47" t="n">
        <f aca="false">'Daily KPI Entry'!M486</f>
        <v>0</v>
      </c>
      <c r="N485" s="49" t="n">
        <f aca="false">'Daily KPI Entry'!N486</f>
        <v>0</v>
      </c>
      <c r="O485" s="49" t="n">
        <f aca="false">'Daily KPI Entry'!O486</f>
        <v>0</v>
      </c>
      <c r="P485" s="49" t="str">
        <f aca="false">IF(OR(N485="",O485=""),"",IFERROR(O485/N485*100,0))</f>
        <v/>
      </c>
      <c r="Q485" s="47" t="n">
        <f aca="false">'Daily KPI Entry'!Q486</f>
        <v>8</v>
      </c>
      <c r="R485" s="47" t="str">
        <f aca="false">IF(J485="","",Q485*J485)</f>
        <v/>
      </c>
      <c r="S485" s="49" t="n">
        <f aca="false">'Daily KPI Entry'!S486</f>
        <v>0</v>
      </c>
      <c r="T485" s="49" t="str">
        <f aca="false">IF(OR(R485="",S485=""),"",IFERROR(S485/R485*100,0))</f>
        <v/>
      </c>
      <c r="U485" s="49" t="str">
        <f aca="false">IF(OR(O485="",L485="",M485="",S485="",M485=0),"",IFERROR(O485/(L485*60*S485/(M485*36))*100,0))</f>
        <v/>
      </c>
      <c r="V485" s="49" t="n">
        <f aca="false">'Daily KPI Entry'!V486</f>
        <v>0</v>
      </c>
      <c r="W485" s="49" t="str">
        <f aca="false">IF(O485="","",IFERROR(V485/O485*100,0))</f>
        <v/>
      </c>
      <c r="X485" s="49" t="n">
        <f aca="false">'Daily KPI Entry'!X486</f>
        <v>0</v>
      </c>
      <c r="Y485" s="49" t="n">
        <f aca="false">'Daily KPI Entry'!Y486</f>
        <v>0</v>
      </c>
      <c r="Z485" s="49" t="n">
        <f aca="false">'Daily KPI Entry'!Z486</f>
        <v>0</v>
      </c>
      <c r="AA485" s="49" t="n">
        <f aca="false">'Daily KPI Entry'!AA486</f>
        <v>0</v>
      </c>
      <c r="AB485" s="49" t="n">
        <f aca="false">'Daily KPI Entry'!AB486</f>
        <v>0</v>
      </c>
      <c r="AC485" s="49" t="n">
        <f aca="false">'Daily KPI Entry'!AC486</f>
        <v>0</v>
      </c>
      <c r="AD485" s="49" t="n">
        <f aca="false">'Daily KPI Entry'!AD486</f>
        <v>0</v>
      </c>
      <c r="AE485" s="49" t="n">
        <f aca="false">'Daily KPI Entry'!AE486</f>
        <v>0</v>
      </c>
      <c r="AF485" s="47" t="str">
        <f aca="false">IF(O485="","",SUM(X485:AE485))</f>
        <v/>
      </c>
      <c r="AG485" s="49" t="str">
        <f aca="false">IF(O485="","",IFERROR(AF485/O485*1000,0))</f>
        <v/>
      </c>
      <c r="AH485" s="49" t="n">
        <f aca="false">'Daily KPI Entry'!AH486</f>
        <v>0</v>
      </c>
      <c r="AI485" s="49" t="n">
        <f aca="false">'Daily KPI Entry'!AI486</f>
        <v>0</v>
      </c>
      <c r="AJ485" s="49" t="n">
        <f aca="false">'Daily KPI Entry'!AJ486</f>
        <v>0</v>
      </c>
      <c r="AK485" s="47" t="n">
        <f aca="false">'Daily KPI Entry'!AK486</f>
        <v>0</v>
      </c>
      <c r="AL485" s="47" t="n">
        <f aca="false">'Daily KPI Entry'!AL486</f>
        <v>0</v>
      </c>
      <c r="AM485" s="47" t="n">
        <f aca="false">'Daily KPI Entry'!AM486</f>
        <v>0</v>
      </c>
      <c r="AN485" s="49" t="str">
        <f aca="false">IF(P485="","",MIN(120,P485))</f>
        <v/>
      </c>
      <c r="AO485" s="49" t="str">
        <f aca="false">IF(U485="","",MIN(120,U485))</f>
        <v/>
      </c>
      <c r="AP485" s="49" t="str">
        <f aca="false">IF(R485="","",MIN(120,IFERROR(S485/R485*100,0)))</f>
        <v/>
      </c>
      <c r="AQ485" s="49" t="str">
        <f aca="false">IF(W485="","",MIN(120,IF(W485=0,120,100*(INDEX('Standards &amp; Scoring'!$E$5:$E$13,MATCH("Quality / Rejection",'Standards &amp; Scoring'!$A$5:$A$13,0))/W485))))</f>
        <v/>
      </c>
      <c r="AR485" s="49" t="str">
        <f aca="false">IF(AG485="","",MIN(120,IF(AG485=0,120,100*(INDEX('Standards &amp; Scoring'!$E$5:$E$13,MATCH("Fault Control",'Standards &amp; Scoring'!$A$5:$A$13,0))/AG485))))</f>
        <v/>
      </c>
      <c r="AS485" s="49" t="str">
        <f aca="false">IF(O485="","",MIN(120,IF(SUMIFS('Fault &amp; Downtime Entry'!$L$6:$L$1005,'Fault &amp; Downtime Entry'!$E$6:$E$1005,G485,'Fault &amp; Downtime Entry'!$B$6:$B$1005,B485)=0,120,100*(INDEX('Standards &amp; Scoring'!$E$5:$E$13,MATCH("Downtime Control",'Standards &amp; Scoring'!$A$5:$A$13,0))/IFERROR(SUMIFS('Fault &amp; Downtime Entry'!$L$6:$L$1005,'Fault &amp; Downtime Entry'!$E$6:$E$1005,G485,'Fault &amp; Downtime Entry'!$B$6:$B$1005,B485)/O485*1000,999999)))))</f>
        <v/>
      </c>
      <c r="AT485" s="49" t="n">
        <f aca="false">IF(COUNTA(AH485,AJ485)=0,"",MIN(120,IF(AND(AH485&lt;&gt;"",AJ485&lt;&gt;""),AVERAGE(AH485,AJ485),IF(AH485&lt;&gt;"",AH485,AJ485))))</f>
        <v>0</v>
      </c>
      <c r="AU485" s="49" t="str">
        <f aca="false">IF(AI485="","",MIN(120,AI485))</f>
        <v/>
      </c>
      <c r="AV485" s="49" t="str">
        <f aca="false">IF(AJ485="","",MIN(120,AJ485))</f>
        <v/>
      </c>
      <c r="AW485" s="50" t="str">
        <f aca="false">IF(COUNT(AN485:AV485)&lt;9,"",(AN485*'Standards &amp; Scoring'!$D$5+AO485*'Standards &amp; Scoring'!$D$6+AP485*'Standards &amp; Scoring'!$D$7+AQ485*'Standards &amp; Scoring'!$D$8+AR485*'Standards &amp; Scoring'!$D$9+AS485*'Standards &amp; Scoring'!$D$10+AT485*'Standards &amp; Scoring'!$D$11+AU485*'Standards &amp; Scoring'!$D$12+AV485*'Standards &amp; Scoring'!$D$13)/10000)</f>
        <v/>
      </c>
      <c r="AX485" s="47" t="str">
        <f aca="false">IF(AW485="","",IF(AW485&gt;=1.05,"A+",IF(AW485&gt;=1,"A",IF(AW485&gt;=0.95,"B+",IF(AW485&gt;=0.9,"B","C")))))</f>
        <v/>
      </c>
      <c r="AY485" s="47" t="str">
        <f aca="false">IF(AX485="","",IF(AX485="A+",1800,IF(AX485="A",1600,IF(AX485="B+",1400,IF(AX485="B",1200,0)))))</f>
        <v/>
      </c>
      <c r="AZ485" s="49" t="str">
        <f aca="false">IF(OR(L485="",M485="",S485="",M485=0),"",IFERROR(L485*60*S485/(M485*36),0))</f>
        <v/>
      </c>
    </row>
    <row r="486" customFormat="false" ht="15" hidden="false" customHeight="true" outlineLevel="0" collapsed="false">
      <c r="A486" s="47" t="n">
        <f aca="false">'Daily KPI Entry'!A487</f>
        <v>0</v>
      </c>
      <c r="B486" s="48" t="n">
        <f aca="false">'Daily KPI Entry'!B487</f>
        <v>0</v>
      </c>
      <c r="C486" s="47" t="n">
        <f aca="false">'Daily KPI Entry'!C487</f>
        <v>0</v>
      </c>
      <c r="D486" s="47" t="n">
        <f aca="false">'Daily KPI Entry'!D487</f>
        <v>0</v>
      </c>
      <c r="E486" s="47" t="n">
        <f aca="false">'Daily KPI Entry'!E487</f>
        <v>0</v>
      </c>
      <c r="F486" s="47" t="n">
        <f aca="false">'Daily KPI Entry'!F487</f>
        <v>0</v>
      </c>
      <c r="G486" s="47" t="n">
        <f aca="false">'Daily KPI Entry'!G487</f>
        <v>0</v>
      </c>
      <c r="H486" s="47" t="str">
        <f aca="false">'Daily KPI Entry'!H487</f>
        <v/>
      </c>
      <c r="I486" s="47" t="n">
        <f aca="false">'Daily KPI Entry'!I487</f>
        <v>0</v>
      </c>
      <c r="J486" s="47" t="n">
        <f aca="false">'Daily KPI Entry'!J487</f>
        <v>0</v>
      </c>
      <c r="K486" s="47" t="n">
        <f aca="false">'Daily KPI Entry'!K487</f>
        <v>0</v>
      </c>
      <c r="L486" s="47" t="n">
        <f aca="false">'Daily KPI Entry'!L487</f>
        <v>0</v>
      </c>
      <c r="M486" s="47" t="n">
        <f aca="false">'Daily KPI Entry'!M487</f>
        <v>0</v>
      </c>
      <c r="N486" s="49" t="n">
        <f aca="false">'Daily KPI Entry'!N487</f>
        <v>0</v>
      </c>
      <c r="O486" s="49" t="n">
        <f aca="false">'Daily KPI Entry'!O487</f>
        <v>0</v>
      </c>
      <c r="P486" s="49" t="str">
        <f aca="false">IF(OR(N486="",O486=""),"",IFERROR(O486/N486*100,0))</f>
        <v/>
      </c>
      <c r="Q486" s="47" t="n">
        <f aca="false">'Daily KPI Entry'!Q487</f>
        <v>8</v>
      </c>
      <c r="R486" s="47" t="str">
        <f aca="false">IF(J486="","",Q486*J486)</f>
        <v/>
      </c>
      <c r="S486" s="49" t="n">
        <f aca="false">'Daily KPI Entry'!S487</f>
        <v>0</v>
      </c>
      <c r="T486" s="49" t="str">
        <f aca="false">IF(OR(R486="",S486=""),"",IFERROR(S486/R486*100,0))</f>
        <v/>
      </c>
      <c r="U486" s="49" t="str">
        <f aca="false">IF(OR(O486="",L486="",M486="",S486="",M486=0),"",IFERROR(O486/(L486*60*S486/(M486*36))*100,0))</f>
        <v/>
      </c>
      <c r="V486" s="49" t="n">
        <f aca="false">'Daily KPI Entry'!V487</f>
        <v>0</v>
      </c>
      <c r="W486" s="49" t="str">
        <f aca="false">IF(O486="","",IFERROR(V486/O486*100,0))</f>
        <v/>
      </c>
      <c r="X486" s="49" t="n">
        <f aca="false">'Daily KPI Entry'!X487</f>
        <v>0</v>
      </c>
      <c r="Y486" s="49" t="n">
        <f aca="false">'Daily KPI Entry'!Y487</f>
        <v>0</v>
      </c>
      <c r="Z486" s="49" t="n">
        <f aca="false">'Daily KPI Entry'!Z487</f>
        <v>0</v>
      </c>
      <c r="AA486" s="49" t="n">
        <f aca="false">'Daily KPI Entry'!AA487</f>
        <v>0</v>
      </c>
      <c r="AB486" s="49" t="n">
        <f aca="false">'Daily KPI Entry'!AB487</f>
        <v>0</v>
      </c>
      <c r="AC486" s="49" t="n">
        <f aca="false">'Daily KPI Entry'!AC487</f>
        <v>0</v>
      </c>
      <c r="AD486" s="49" t="n">
        <f aca="false">'Daily KPI Entry'!AD487</f>
        <v>0</v>
      </c>
      <c r="AE486" s="49" t="n">
        <f aca="false">'Daily KPI Entry'!AE487</f>
        <v>0</v>
      </c>
      <c r="AF486" s="47" t="str">
        <f aca="false">IF(O486="","",SUM(X486:AE486))</f>
        <v/>
      </c>
      <c r="AG486" s="49" t="str">
        <f aca="false">IF(O486="","",IFERROR(AF486/O486*1000,0))</f>
        <v/>
      </c>
      <c r="AH486" s="49" t="n">
        <f aca="false">'Daily KPI Entry'!AH487</f>
        <v>0</v>
      </c>
      <c r="AI486" s="49" t="n">
        <f aca="false">'Daily KPI Entry'!AI487</f>
        <v>0</v>
      </c>
      <c r="AJ486" s="49" t="n">
        <f aca="false">'Daily KPI Entry'!AJ487</f>
        <v>0</v>
      </c>
      <c r="AK486" s="47" t="n">
        <f aca="false">'Daily KPI Entry'!AK487</f>
        <v>0</v>
      </c>
      <c r="AL486" s="47" t="n">
        <f aca="false">'Daily KPI Entry'!AL487</f>
        <v>0</v>
      </c>
      <c r="AM486" s="47" t="n">
        <f aca="false">'Daily KPI Entry'!AM487</f>
        <v>0</v>
      </c>
      <c r="AN486" s="49" t="str">
        <f aca="false">IF(P486="","",MIN(120,P486))</f>
        <v/>
      </c>
      <c r="AO486" s="49" t="str">
        <f aca="false">IF(U486="","",MIN(120,U486))</f>
        <v/>
      </c>
      <c r="AP486" s="49" t="str">
        <f aca="false">IF(R486="","",MIN(120,IFERROR(S486/R486*100,0)))</f>
        <v/>
      </c>
      <c r="AQ486" s="49" t="str">
        <f aca="false">IF(W486="","",MIN(120,IF(W486=0,120,100*(INDEX('Standards &amp; Scoring'!$E$5:$E$13,MATCH("Quality / Rejection",'Standards &amp; Scoring'!$A$5:$A$13,0))/W486))))</f>
        <v/>
      </c>
      <c r="AR486" s="49" t="str">
        <f aca="false">IF(AG486="","",MIN(120,IF(AG486=0,120,100*(INDEX('Standards &amp; Scoring'!$E$5:$E$13,MATCH("Fault Control",'Standards &amp; Scoring'!$A$5:$A$13,0))/AG486))))</f>
        <v/>
      </c>
      <c r="AS486" s="49" t="str">
        <f aca="false">IF(O486="","",MIN(120,IF(SUMIFS('Fault &amp; Downtime Entry'!$L$6:$L$1005,'Fault &amp; Downtime Entry'!$E$6:$E$1005,G486,'Fault &amp; Downtime Entry'!$B$6:$B$1005,B486)=0,120,100*(INDEX('Standards &amp; Scoring'!$E$5:$E$13,MATCH("Downtime Control",'Standards &amp; Scoring'!$A$5:$A$13,0))/IFERROR(SUMIFS('Fault &amp; Downtime Entry'!$L$6:$L$1005,'Fault &amp; Downtime Entry'!$E$6:$E$1005,G486,'Fault &amp; Downtime Entry'!$B$6:$B$1005,B486)/O486*1000,999999)))))</f>
        <v/>
      </c>
      <c r="AT486" s="49" t="n">
        <f aca="false">IF(COUNTA(AH486,AJ486)=0,"",MIN(120,IF(AND(AH486&lt;&gt;"",AJ486&lt;&gt;""),AVERAGE(AH486,AJ486),IF(AH486&lt;&gt;"",AH486,AJ486))))</f>
        <v>0</v>
      </c>
      <c r="AU486" s="49" t="str">
        <f aca="false">IF(AI486="","",MIN(120,AI486))</f>
        <v/>
      </c>
      <c r="AV486" s="49" t="str">
        <f aca="false">IF(AJ486="","",MIN(120,AJ486))</f>
        <v/>
      </c>
      <c r="AW486" s="50" t="str">
        <f aca="false">IF(COUNT(AN486:AV486)&lt;9,"",(AN486*'Standards &amp; Scoring'!$D$5+AO486*'Standards &amp; Scoring'!$D$6+AP486*'Standards &amp; Scoring'!$D$7+AQ486*'Standards &amp; Scoring'!$D$8+AR486*'Standards &amp; Scoring'!$D$9+AS486*'Standards &amp; Scoring'!$D$10+AT486*'Standards &amp; Scoring'!$D$11+AU486*'Standards &amp; Scoring'!$D$12+AV486*'Standards &amp; Scoring'!$D$13)/10000)</f>
        <v/>
      </c>
      <c r="AX486" s="47" t="str">
        <f aca="false">IF(AW486="","",IF(AW486&gt;=1.05,"A+",IF(AW486&gt;=1,"A",IF(AW486&gt;=0.95,"B+",IF(AW486&gt;=0.9,"B","C")))))</f>
        <v/>
      </c>
      <c r="AY486" s="47" t="str">
        <f aca="false">IF(AX486="","",IF(AX486="A+",1800,IF(AX486="A",1600,IF(AX486="B+",1400,IF(AX486="B",1200,0)))))</f>
        <v/>
      </c>
      <c r="AZ486" s="49" t="str">
        <f aca="false">IF(OR(L486="",M486="",S486="",M486=0),"",IFERROR(L486*60*S486/(M486*36),0))</f>
        <v/>
      </c>
    </row>
    <row r="487" customFormat="false" ht="15" hidden="false" customHeight="true" outlineLevel="0" collapsed="false">
      <c r="A487" s="47" t="n">
        <f aca="false">'Daily KPI Entry'!A488</f>
        <v>0</v>
      </c>
      <c r="B487" s="48" t="n">
        <f aca="false">'Daily KPI Entry'!B488</f>
        <v>0</v>
      </c>
      <c r="C487" s="47" t="n">
        <f aca="false">'Daily KPI Entry'!C488</f>
        <v>0</v>
      </c>
      <c r="D487" s="47" t="n">
        <f aca="false">'Daily KPI Entry'!D488</f>
        <v>0</v>
      </c>
      <c r="E487" s="47" t="n">
        <f aca="false">'Daily KPI Entry'!E488</f>
        <v>0</v>
      </c>
      <c r="F487" s="47" t="n">
        <f aca="false">'Daily KPI Entry'!F488</f>
        <v>0</v>
      </c>
      <c r="G487" s="47" t="n">
        <f aca="false">'Daily KPI Entry'!G488</f>
        <v>0</v>
      </c>
      <c r="H487" s="47" t="str">
        <f aca="false">'Daily KPI Entry'!H488</f>
        <v/>
      </c>
      <c r="I487" s="47" t="n">
        <f aca="false">'Daily KPI Entry'!I488</f>
        <v>0</v>
      </c>
      <c r="J487" s="47" t="n">
        <f aca="false">'Daily KPI Entry'!J488</f>
        <v>0</v>
      </c>
      <c r="K487" s="47" t="n">
        <f aca="false">'Daily KPI Entry'!K488</f>
        <v>0</v>
      </c>
      <c r="L487" s="47" t="n">
        <f aca="false">'Daily KPI Entry'!L488</f>
        <v>0</v>
      </c>
      <c r="M487" s="47" t="n">
        <f aca="false">'Daily KPI Entry'!M488</f>
        <v>0</v>
      </c>
      <c r="N487" s="49" t="n">
        <f aca="false">'Daily KPI Entry'!N488</f>
        <v>0</v>
      </c>
      <c r="O487" s="49" t="n">
        <f aca="false">'Daily KPI Entry'!O488</f>
        <v>0</v>
      </c>
      <c r="P487" s="49" t="str">
        <f aca="false">IF(OR(N487="",O487=""),"",IFERROR(O487/N487*100,0))</f>
        <v/>
      </c>
      <c r="Q487" s="47" t="n">
        <f aca="false">'Daily KPI Entry'!Q488</f>
        <v>8</v>
      </c>
      <c r="R487" s="47" t="str">
        <f aca="false">IF(J487="","",Q487*J487)</f>
        <v/>
      </c>
      <c r="S487" s="49" t="n">
        <f aca="false">'Daily KPI Entry'!S488</f>
        <v>0</v>
      </c>
      <c r="T487" s="49" t="str">
        <f aca="false">IF(OR(R487="",S487=""),"",IFERROR(S487/R487*100,0))</f>
        <v/>
      </c>
      <c r="U487" s="49" t="str">
        <f aca="false">IF(OR(O487="",L487="",M487="",S487="",M487=0),"",IFERROR(O487/(L487*60*S487/(M487*36))*100,0))</f>
        <v/>
      </c>
      <c r="V487" s="49" t="n">
        <f aca="false">'Daily KPI Entry'!V488</f>
        <v>0</v>
      </c>
      <c r="W487" s="49" t="str">
        <f aca="false">IF(O487="","",IFERROR(V487/O487*100,0))</f>
        <v/>
      </c>
      <c r="X487" s="49" t="n">
        <f aca="false">'Daily KPI Entry'!X488</f>
        <v>0</v>
      </c>
      <c r="Y487" s="49" t="n">
        <f aca="false">'Daily KPI Entry'!Y488</f>
        <v>0</v>
      </c>
      <c r="Z487" s="49" t="n">
        <f aca="false">'Daily KPI Entry'!Z488</f>
        <v>0</v>
      </c>
      <c r="AA487" s="49" t="n">
        <f aca="false">'Daily KPI Entry'!AA488</f>
        <v>0</v>
      </c>
      <c r="AB487" s="49" t="n">
        <f aca="false">'Daily KPI Entry'!AB488</f>
        <v>0</v>
      </c>
      <c r="AC487" s="49" t="n">
        <f aca="false">'Daily KPI Entry'!AC488</f>
        <v>0</v>
      </c>
      <c r="AD487" s="49" t="n">
        <f aca="false">'Daily KPI Entry'!AD488</f>
        <v>0</v>
      </c>
      <c r="AE487" s="49" t="n">
        <f aca="false">'Daily KPI Entry'!AE488</f>
        <v>0</v>
      </c>
      <c r="AF487" s="47" t="str">
        <f aca="false">IF(O487="","",SUM(X487:AE487))</f>
        <v/>
      </c>
      <c r="AG487" s="49" t="str">
        <f aca="false">IF(O487="","",IFERROR(AF487/O487*1000,0))</f>
        <v/>
      </c>
      <c r="AH487" s="49" t="n">
        <f aca="false">'Daily KPI Entry'!AH488</f>
        <v>0</v>
      </c>
      <c r="AI487" s="49" t="n">
        <f aca="false">'Daily KPI Entry'!AI488</f>
        <v>0</v>
      </c>
      <c r="AJ487" s="49" t="n">
        <f aca="false">'Daily KPI Entry'!AJ488</f>
        <v>0</v>
      </c>
      <c r="AK487" s="47" t="n">
        <f aca="false">'Daily KPI Entry'!AK488</f>
        <v>0</v>
      </c>
      <c r="AL487" s="47" t="n">
        <f aca="false">'Daily KPI Entry'!AL488</f>
        <v>0</v>
      </c>
      <c r="AM487" s="47" t="n">
        <f aca="false">'Daily KPI Entry'!AM488</f>
        <v>0</v>
      </c>
      <c r="AN487" s="49" t="str">
        <f aca="false">IF(P487="","",MIN(120,P487))</f>
        <v/>
      </c>
      <c r="AO487" s="49" t="str">
        <f aca="false">IF(U487="","",MIN(120,U487))</f>
        <v/>
      </c>
      <c r="AP487" s="49" t="str">
        <f aca="false">IF(R487="","",MIN(120,IFERROR(S487/R487*100,0)))</f>
        <v/>
      </c>
      <c r="AQ487" s="49" t="str">
        <f aca="false">IF(W487="","",MIN(120,IF(W487=0,120,100*(INDEX('Standards &amp; Scoring'!$E$5:$E$13,MATCH("Quality / Rejection",'Standards &amp; Scoring'!$A$5:$A$13,0))/W487))))</f>
        <v/>
      </c>
      <c r="AR487" s="49" t="str">
        <f aca="false">IF(AG487="","",MIN(120,IF(AG487=0,120,100*(INDEX('Standards &amp; Scoring'!$E$5:$E$13,MATCH("Fault Control",'Standards &amp; Scoring'!$A$5:$A$13,0))/AG487))))</f>
        <v/>
      </c>
      <c r="AS487" s="49" t="str">
        <f aca="false">IF(O487="","",MIN(120,IF(SUMIFS('Fault &amp; Downtime Entry'!$L$6:$L$1005,'Fault &amp; Downtime Entry'!$E$6:$E$1005,G487,'Fault &amp; Downtime Entry'!$B$6:$B$1005,B487)=0,120,100*(INDEX('Standards &amp; Scoring'!$E$5:$E$13,MATCH("Downtime Control",'Standards &amp; Scoring'!$A$5:$A$13,0))/IFERROR(SUMIFS('Fault &amp; Downtime Entry'!$L$6:$L$1005,'Fault &amp; Downtime Entry'!$E$6:$E$1005,G487,'Fault &amp; Downtime Entry'!$B$6:$B$1005,B487)/O487*1000,999999)))))</f>
        <v/>
      </c>
      <c r="AT487" s="49" t="n">
        <f aca="false">IF(COUNTA(AH487,AJ487)=0,"",MIN(120,IF(AND(AH487&lt;&gt;"",AJ487&lt;&gt;""),AVERAGE(AH487,AJ487),IF(AH487&lt;&gt;"",AH487,AJ487))))</f>
        <v>0</v>
      </c>
      <c r="AU487" s="49" t="str">
        <f aca="false">IF(AI487="","",MIN(120,AI487))</f>
        <v/>
      </c>
      <c r="AV487" s="49" t="str">
        <f aca="false">IF(AJ487="","",MIN(120,AJ487))</f>
        <v/>
      </c>
      <c r="AW487" s="50" t="str">
        <f aca="false">IF(COUNT(AN487:AV487)&lt;9,"",(AN487*'Standards &amp; Scoring'!$D$5+AO487*'Standards &amp; Scoring'!$D$6+AP487*'Standards &amp; Scoring'!$D$7+AQ487*'Standards &amp; Scoring'!$D$8+AR487*'Standards &amp; Scoring'!$D$9+AS487*'Standards &amp; Scoring'!$D$10+AT487*'Standards &amp; Scoring'!$D$11+AU487*'Standards &amp; Scoring'!$D$12+AV487*'Standards &amp; Scoring'!$D$13)/10000)</f>
        <v/>
      </c>
      <c r="AX487" s="47" t="str">
        <f aca="false">IF(AW487="","",IF(AW487&gt;=1.05,"A+",IF(AW487&gt;=1,"A",IF(AW487&gt;=0.95,"B+",IF(AW487&gt;=0.9,"B","C")))))</f>
        <v/>
      </c>
      <c r="AY487" s="47" t="str">
        <f aca="false">IF(AX487="","",IF(AX487="A+",1800,IF(AX487="A",1600,IF(AX487="B+",1400,IF(AX487="B",1200,0)))))</f>
        <v/>
      </c>
      <c r="AZ487" s="49" t="str">
        <f aca="false">IF(OR(L487="",M487="",S487="",M487=0),"",IFERROR(L487*60*S487/(M487*36),0))</f>
        <v/>
      </c>
    </row>
    <row r="488" customFormat="false" ht="15" hidden="false" customHeight="true" outlineLevel="0" collapsed="false">
      <c r="A488" s="47" t="n">
        <f aca="false">'Daily KPI Entry'!A489</f>
        <v>0</v>
      </c>
      <c r="B488" s="48" t="n">
        <f aca="false">'Daily KPI Entry'!B489</f>
        <v>0</v>
      </c>
      <c r="C488" s="47" t="n">
        <f aca="false">'Daily KPI Entry'!C489</f>
        <v>0</v>
      </c>
      <c r="D488" s="47" t="n">
        <f aca="false">'Daily KPI Entry'!D489</f>
        <v>0</v>
      </c>
      <c r="E488" s="47" t="n">
        <f aca="false">'Daily KPI Entry'!E489</f>
        <v>0</v>
      </c>
      <c r="F488" s="47" t="n">
        <f aca="false">'Daily KPI Entry'!F489</f>
        <v>0</v>
      </c>
      <c r="G488" s="47" t="n">
        <f aca="false">'Daily KPI Entry'!G489</f>
        <v>0</v>
      </c>
      <c r="H488" s="47" t="str">
        <f aca="false">'Daily KPI Entry'!H489</f>
        <v/>
      </c>
      <c r="I488" s="47" t="n">
        <f aca="false">'Daily KPI Entry'!I489</f>
        <v>0</v>
      </c>
      <c r="J488" s="47" t="n">
        <f aca="false">'Daily KPI Entry'!J489</f>
        <v>0</v>
      </c>
      <c r="K488" s="47" t="n">
        <f aca="false">'Daily KPI Entry'!K489</f>
        <v>0</v>
      </c>
      <c r="L488" s="47" t="n">
        <f aca="false">'Daily KPI Entry'!L489</f>
        <v>0</v>
      </c>
      <c r="M488" s="47" t="n">
        <f aca="false">'Daily KPI Entry'!M489</f>
        <v>0</v>
      </c>
      <c r="N488" s="49" t="n">
        <f aca="false">'Daily KPI Entry'!N489</f>
        <v>0</v>
      </c>
      <c r="O488" s="49" t="n">
        <f aca="false">'Daily KPI Entry'!O489</f>
        <v>0</v>
      </c>
      <c r="P488" s="49" t="str">
        <f aca="false">IF(OR(N488="",O488=""),"",IFERROR(O488/N488*100,0))</f>
        <v/>
      </c>
      <c r="Q488" s="47" t="n">
        <f aca="false">'Daily KPI Entry'!Q489</f>
        <v>8</v>
      </c>
      <c r="R488" s="47" t="str">
        <f aca="false">IF(J488="","",Q488*J488)</f>
        <v/>
      </c>
      <c r="S488" s="49" t="n">
        <f aca="false">'Daily KPI Entry'!S489</f>
        <v>0</v>
      </c>
      <c r="T488" s="49" t="str">
        <f aca="false">IF(OR(R488="",S488=""),"",IFERROR(S488/R488*100,0))</f>
        <v/>
      </c>
      <c r="U488" s="49" t="str">
        <f aca="false">IF(OR(O488="",L488="",M488="",S488="",M488=0),"",IFERROR(O488/(L488*60*S488/(M488*36))*100,0))</f>
        <v/>
      </c>
      <c r="V488" s="49" t="n">
        <f aca="false">'Daily KPI Entry'!V489</f>
        <v>0</v>
      </c>
      <c r="W488" s="49" t="str">
        <f aca="false">IF(O488="","",IFERROR(V488/O488*100,0))</f>
        <v/>
      </c>
      <c r="X488" s="49" t="n">
        <f aca="false">'Daily KPI Entry'!X489</f>
        <v>0</v>
      </c>
      <c r="Y488" s="49" t="n">
        <f aca="false">'Daily KPI Entry'!Y489</f>
        <v>0</v>
      </c>
      <c r="Z488" s="49" t="n">
        <f aca="false">'Daily KPI Entry'!Z489</f>
        <v>0</v>
      </c>
      <c r="AA488" s="49" t="n">
        <f aca="false">'Daily KPI Entry'!AA489</f>
        <v>0</v>
      </c>
      <c r="AB488" s="49" t="n">
        <f aca="false">'Daily KPI Entry'!AB489</f>
        <v>0</v>
      </c>
      <c r="AC488" s="49" t="n">
        <f aca="false">'Daily KPI Entry'!AC489</f>
        <v>0</v>
      </c>
      <c r="AD488" s="49" t="n">
        <f aca="false">'Daily KPI Entry'!AD489</f>
        <v>0</v>
      </c>
      <c r="AE488" s="49" t="n">
        <f aca="false">'Daily KPI Entry'!AE489</f>
        <v>0</v>
      </c>
      <c r="AF488" s="47" t="str">
        <f aca="false">IF(O488="","",SUM(X488:AE488))</f>
        <v/>
      </c>
      <c r="AG488" s="49" t="str">
        <f aca="false">IF(O488="","",IFERROR(AF488/O488*1000,0))</f>
        <v/>
      </c>
      <c r="AH488" s="49" t="n">
        <f aca="false">'Daily KPI Entry'!AH489</f>
        <v>0</v>
      </c>
      <c r="AI488" s="49" t="n">
        <f aca="false">'Daily KPI Entry'!AI489</f>
        <v>0</v>
      </c>
      <c r="AJ488" s="49" t="n">
        <f aca="false">'Daily KPI Entry'!AJ489</f>
        <v>0</v>
      </c>
      <c r="AK488" s="47" t="n">
        <f aca="false">'Daily KPI Entry'!AK489</f>
        <v>0</v>
      </c>
      <c r="AL488" s="47" t="n">
        <f aca="false">'Daily KPI Entry'!AL489</f>
        <v>0</v>
      </c>
      <c r="AM488" s="47" t="n">
        <f aca="false">'Daily KPI Entry'!AM489</f>
        <v>0</v>
      </c>
      <c r="AN488" s="49" t="str">
        <f aca="false">IF(P488="","",MIN(120,P488))</f>
        <v/>
      </c>
      <c r="AO488" s="49" t="str">
        <f aca="false">IF(U488="","",MIN(120,U488))</f>
        <v/>
      </c>
      <c r="AP488" s="49" t="str">
        <f aca="false">IF(R488="","",MIN(120,IFERROR(S488/R488*100,0)))</f>
        <v/>
      </c>
      <c r="AQ488" s="49" t="str">
        <f aca="false">IF(W488="","",MIN(120,IF(W488=0,120,100*(INDEX('Standards &amp; Scoring'!$E$5:$E$13,MATCH("Quality / Rejection",'Standards &amp; Scoring'!$A$5:$A$13,0))/W488))))</f>
        <v/>
      </c>
      <c r="AR488" s="49" t="str">
        <f aca="false">IF(AG488="","",MIN(120,IF(AG488=0,120,100*(INDEX('Standards &amp; Scoring'!$E$5:$E$13,MATCH("Fault Control",'Standards &amp; Scoring'!$A$5:$A$13,0))/AG488))))</f>
        <v/>
      </c>
      <c r="AS488" s="49" t="str">
        <f aca="false">IF(O488="","",MIN(120,IF(SUMIFS('Fault &amp; Downtime Entry'!$L$6:$L$1005,'Fault &amp; Downtime Entry'!$E$6:$E$1005,G488,'Fault &amp; Downtime Entry'!$B$6:$B$1005,B488)=0,120,100*(INDEX('Standards &amp; Scoring'!$E$5:$E$13,MATCH("Downtime Control",'Standards &amp; Scoring'!$A$5:$A$13,0))/IFERROR(SUMIFS('Fault &amp; Downtime Entry'!$L$6:$L$1005,'Fault &amp; Downtime Entry'!$E$6:$E$1005,G488,'Fault &amp; Downtime Entry'!$B$6:$B$1005,B488)/O488*1000,999999)))))</f>
        <v/>
      </c>
      <c r="AT488" s="49" t="n">
        <f aca="false">IF(COUNTA(AH488,AJ488)=0,"",MIN(120,IF(AND(AH488&lt;&gt;"",AJ488&lt;&gt;""),AVERAGE(AH488,AJ488),IF(AH488&lt;&gt;"",AH488,AJ488))))</f>
        <v>0</v>
      </c>
      <c r="AU488" s="49" t="str">
        <f aca="false">IF(AI488="","",MIN(120,AI488))</f>
        <v/>
      </c>
      <c r="AV488" s="49" t="str">
        <f aca="false">IF(AJ488="","",MIN(120,AJ488))</f>
        <v/>
      </c>
      <c r="AW488" s="50" t="str">
        <f aca="false">IF(COUNT(AN488:AV488)&lt;9,"",(AN488*'Standards &amp; Scoring'!$D$5+AO488*'Standards &amp; Scoring'!$D$6+AP488*'Standards &amp; Scoring'!$D$7+AQ488*'Standards &amp; Scoring'!$D$8+AR488*'Standards &amp; Scoring'!$D$9+AS488*'Standards &amp; Scoring'!$D$10+AT488*'Standards &amp; Scoring'!$D$11+AU488*'Standards &amp; Scoring'!$D$12+AV488*'Standards &amp; Scoring'!$D$13)/10000)</f>
        <v/>
      </c>
      <c r="AX488" s="47" t="str">
        <f aca="false">IF(AW488="","",IF(AW488&gt;=1.05,"A+",IF(AW488&gt;=1,"A",IF(AW488&gt;=0.95,"B+",IF(AW488&gt;=0.9,"B","C")))))</f>
        <v/>
      </c>
      <c r="AY488" s="47" t="str">
        <f aca="false">IF(AX488="","",IF(AX488="A+",1800,IF(AX488="A",1600,IF(AX488="B+",1400,IF(AX488="B",1200,0)))))</f>
        <v/>
      </c>
      <c r="AZ488" s="49" t="str">
        <f aca="false">IF(OR(L488="",M488="",S488="",M488=0),"",IFERROR(L488*60*S488/(M488*36),0))</f>
        <v/>
      </c>
    </row>
    <row r="489" customFormat="false" ht="15" hidden="false" customHeight="true" outlineLevel="0" collapsed="false">
      <c r="A489" s="47" t="n">
        <f aca="false">'Daily KPI Entry'!A490</f>
        <v>0</v>
      </c>
      <c r="B489" s="48" t="n">
        <f aca="false">'Daily KPI Entry'!B490</f>
        <v>0</v>
      </c>
      <c r="C489" s="47" t="n">
        <f aca="false">'Daily KPI Entry'!C490</f>
        <v>0</v>
      </c>
      <c r="D489" s="47" t="n">
        <f aca="false">'Daily KPI Entry'!D490</f>
        <v>0</v>
      </c>
      <c r="E489" s="47" t="n">
        <f aca="false">'Daily KPI Entry'!E490</f>
        <v>0</v>
      </c>
      <c r="F489" s="47" t="n">
        <f aca="false">'Daily KPI Entry'!F490</f>
        <v>0</v>
      </c>
      <c r="G489" s="47" t="n">
        <f aca="false">'Daily KPI Entry'!G490</f>
        <v>0</v>
      </c>
      <c r="H489" s="47" t="str">
        <f aca="false">'Daily KPI Entry'!H490</f>
        <v/>
      </c>
      <c r="I489" s="47" t="n">
        <f aca="false">'Daily KPI Entry'!I490</f>
        <v>0</v>
      </c>
      <c r="J489" s="47" t="n">
        <f aca="false">'Daily KPI Entry'!J490</f>
        <v>0</v>
      </c>
      <c r="K489" s="47" t="n">
        <f aca="false">'Daily KPI Entry'!K490</f>
        <v>0</v>
      </c>
      <c r="L489" s="47" t="n">
        <f aca="false">'Daily KPI Entry'!L490</f>
        <v>0</v>
      </c>
      <c r="M489" s="47" t="n">
        <f aca="false">'Daily KPI Entry'!M490</f>
        <v>0</v>
      </c>
      <c r="N489" s="49" t="n">
        <f aca="false">'Daily KPI Entry'!N490</f>
        <v>0</v>
      </c>
      <c r="O489" s="49" t="n">
        <f aca="false">'Daily KPI Entry'!O490</f>
        <v>0</v>
      </c>
      <c r="P489" s="49" t="str">
        <f aca="false">IF(OR(N489="",O489=""),"",IFERROR(O489/N489*100,0))</f>
        <v/>
      </c>
      <c r="Q489" s="47" t="n">
        <f aca="false">'Daily KPI Entry'!Q490</f>
        <v>8</v>
      </c>
      <c r="R489" s="47" t="str">
        <f aca="false">IF(J489="","",Q489*J489)</f>
        <v/>
      </c>
      <c r="S489" s="49" t="n">
        <f aca="false">'Daily KPI Entry'!S490</f>
        <v>0</v>
      </c>
      <c r="T489" s="49" t="str">
        <f aca="false">IF(OR(R489="",S489=""),"",IFERROR(S489/R489*100,0))</f>
        <v/>
      </c>
      <c r="U489" s="49" t="str">
        <f aca="false">IF(OR(O489="",L489="",M489="",S489="",M489=0),"",IFERROR(O489/(L489*60*S489/(M489*36))*100,0))</f>
        <v/>
      </c>
      <c r="V489" s="49" t="n">
        <f aca="false">'Daily KPI Entry'!V490</f>
        <v>0</v>
      </c>
      <c r="W489" s="49" t="str">
        <f aca="false">IF(O489="","",IFERROR(V489/O489*100,0))</f>
        <v/>
      </c>
      <c r="X489" s="49" t="n">
        <f aca="false">'Daily KPI Entry'!X490</f>
        <v>0</v>
      </c>
      <c r="Y489" s="49" t="n">
        <f aca="false">'Daily KPI Entry'!Y490</f>
        <v>0</v>
      </c>
      <c r="Z489" s="49" t="n">
        <f aca="false">'Daily KPI Entry'!Z490</f>
        <v>0</v>
      </c>
      <c r="AA489" s="49" t="n">
        <f aca="false">'Daily KPI Entry'!AA490</f>
        <v>0</v>
      </c>
      <c r="AB489" s="49" t="n">
        <f aca="false">'Daily KPI Entry'!AB490</f>
        <v>0</v>
      </c>
      <c r="AC489" s="49" t="n">
        <f aca="false">'Daily KPI Entry'!AC490</f>
        <v>0</v>
      </c>
      <c r="AD489" s="49" t="n">
        <f aca="false">'Daily KPI Entry'!AD490</f>
        <v>0</v>
      </c>
      <c r="AE489" s="49" t="n">
        <f aca="false">'Daily KPI Entry'!AE490</f>
        <v>0</v>
      </c>
      <c r="AF489" s="47" t="str">
        <f aca="false">IF(O489="","",SUM(X489:AE489))</f>
        <v/>
      </c>
      <c r="AG489" s="49" t="str">
        <f aca="false">IF(O489="","",IFERROR(AF489/O489*1000,0))</f>
        <v/>
      </c>
      <c r="AH489" s="49" t="n">
        <f aca="false">'Daily KPI Entry'!AH490</f>
        <v>0</v>
      </c>
      <c r="AI489" s="49" t="n">
        <f aca="false">'Daily KPI Entry'!AI490</f>
        <v>0</v>
      </c>
      <c r="AJ489" s="49" t="n">
        <f aca="false">'Daily KPI Entry'!AJ490</f>
        <v>0</v>
      </c>
      <c r="AK489" s="47" t="n">
        <f aca="false">'Daily KPI Entry'!AK490</f>
        <v>0</v>
      </c>
      <c r="AL489" s="47" t="n">
        <f aca="false">'Daily KPI Entry'!AL490</f>
        <v>0</v>
      </c>
      <c r="AM489" s="47" t="n">
        <f aca="false">'Daily KPI Entry'!AM490</f>
        <v>0</v>
      </c>
      <c r="AN489" s="49" t="str">
        <f aca="false">IF(P489="","",MIN(120,P489))</f>
        <v/>
      </c>
      <c r="AO489" s="49" t="str">
        <f aca="false">IF(U489="","",MIN(120,U489))</f>
        <v/>
      </c>
      <c r="AP489" s="49" t="str">
        <f aca="false">IF(R489="","",MIN(120,IFERROR(S489/R489*100,0)))</f>
        <v/>
      </c>
      <c r="AQ489" s="49" t="str">
        <f aca="false">IF(W489="","",MIN(120,IF(W489=0,120,100*(INDEX('Standards &amp; Scoring'!$E$5:$E$13,MATCH("Quality / Rejection",'Standards &amp; Scoring'!$A$5:$A$13,0))/W489))))</f>
        <v/>
      </c>
      <c r="AR489" s="49" t="str">
        <f aca="false">IF(AG489="","",MIN(120,IF(AG489=0,120,100*(INDEX('Standards &amp; Scoring'!$E$5:$E$13,MATCH("Fault Control",'Standards &amp; Scoring'!$A$5:$A$13,0))/AG489))))</f>
        <v/>
      </c>
      <c r="AS489" s="49" t="str">
        <f aca="false">IF(O489="","",MIN(120,IF(SUMIFS('Fault &amp; Downtime Entry'!$L$6:$L$1005,'Fault &amp; Downtime Entry'!$E$6:$E$1005,G489,'Fault &amp; Downtime Entry'!$B$6:$B$1005,B489)=0,120,100*(INDEX('Standards &amp; Scoring'!$E$5:$E$13,MATCH("Downtime Control",'Standards &amp; Scoring'!$A$5:$A$13,0))/IFERROR(SUMIFS('Fault &amp; Downtime Entry'!$L$6:$L$1005,'Fault &amp; Downtime Entry'!$E$6:$E$1005,G489,'Fault &amp; Downtime Entry'!$B$6:$B$1005,B489)/O489*1000,999999)))))</f>
        <v/>
      </c>
      <c r="AT489" s="49" t="n">
        <f aca="false">IF(COUNTA(AH489,AJ489)=0,"",MIN(120,IF(AND(AH489&lt;&gt;"",AJ489&lt;&gt;""),AVERAGE(AH489,AJ489),IF(AH489&lt;&gt;"",AH489,AJ489))))</f>
        <v>0</v>
      </c>
      <c r="AU489" s="49" t="str">
        <f aca="false">IF(AI489="","",MIN(120,AI489))</f>
        <v/>
      </c>
      <c r="AV489" s="49" t="str">
        <f aca="false">IF(AJ489="","",MIN(120,AJ489))</f>
        <v/>
      </c>
      <c r="AW489" s="50" t="str">
        <f aca="false">IF(COUNT(AN489:AV489)&lt;9,"",(AN489*'Standards &amp; Scoring'!$D$5+AO489*'Standards &amp; Scoring'!$D$6+AP489*'Standards &amp; Scoring'!$D$7+AQ489*'Standards &amp; Scoring'!$D$8+AR489*'Standards &amp; Scoring'!$D$9+AS489*'Standards &amp; Scoring'!$D$10+AT489*'Standards &amp; Scoring'!$D$11+AU489*'Standards &amp; Scoring'!$D$12+AV489*'Standards &amp; Scoring'!$D$13)/10000)</f>
        <v/>
      </c>
      <c r="AX489" s="47" t="str">
        <f aca="false">IF(AW489="","",IF(AW489&gt;=1.05,"A+",IF(AW489&gt;=1,"A",IF(AW489&gt;=0.95,"B+",IF(AW489&gt;=0.9,"B","C")))))</f>
        <v/>
      </c>
      <c r="AY489" s="47" t="str">
        <f aca="false">IF(AX489="","",IF(AX489="A+",1800,IF(AX489="A",1600,IF(AX489="B+",1400,IF(AX489="B",1200,0)))))</f>
        <v/>
      </c>
      <c r="AZ489" s="49" t="str">
        <f aca="false">IF(OR(L489="",M489="",S489="",M489=0),"",IFERROR(L489*60*S489/(M489*36),0))</f>
        <v/>
      </c>
    </row>
    <row r="490" customFormat="false" ht="15" hidden="false" customHeight="true" outlineLevel="0" collapsed="false">
      <c r="A490" s="47" t="n">
        <f aca="false">'Daily KPI Entry'!A491</f>
        <v>0</v>
      </c>
      <c r="B490" s="48" t="n">
        <f aca="false">'Daily KPI Entry'!B491</f>
        <v>0</v>
      </c>
      <c r="C490" s="47" t="n">
        <f aca="false">'Daily KPI Entry'!C491</f>
        <v>0</v>
      </c>
      <c r="D490" s="47" t="n">
        <f aca="false">'Daily KPI Entry'!D491</f>
        <v>0</v>
      </c>
      <c r="E490" s="47" t="n">
        <f aca="false">'Daily KPI Entry'!E491</f>
        <v>0</v>
      </c>
      <c r="F490" s="47" t="n">
        <f aca="false">'Daily KPI Entry'!F491</f>
        <v>0</v>
      </c>
      <c r="G490" s="47" t="n">
        <f aca="false">'Daily KPI Entry'!G491</f>
        <v>0</v>
      </c>
      <c r="H490" s="47" t="str">
        <f aca="false">'Daily KPI Entry'!H491</f>
        <v/>
      </c>
      <c r="I490" s="47" t="n">
        <f aca="false">'Daily KPI Entry'!I491</f>
        <v>0</v>
      </c>
      <c r="J490" s="47" t="n">
        <f aca="false">'Daily KPI Entry'!J491</f>
        <v>0</v>
      </c>
      <c r="K490" s="47" t="n">
        <f aca="false">'Daily KPI Entry'!K491</f>
        <v>0</v>
      </c>
      <c r="L490" s="47" t="n">
        <f aca="false">'Daily KPI Entry'!L491</f>
        <v>0</v>
      </c>
      <c r="M490" s="47" t="n">
        <f aca="false">'Daily KPI Entry'!M491</f>
        <v>0</v>
      </c>
      <c r="N490" s="49" t="n">
        <f aca="false">'Daily KPI Entry'!N491</f>
        <v>0</v>
      </c>
      <c r="O490" s="49" t="n">
        <f aca="false">'Daily KPI Entry'!O491</f>
        <v>0</v>
      </c>
      <c r="P490" s="49" t="str">
        <f aca="false">IF(OR(N490="",O490=""),"",IFERROR(O490/N490*100,0))</f>
        <v/>
      </c>
      <c r="Q490" s="47" t="n">
        <f aca="false">'Daily KPI Entry'!Q491</f>
        <v>8</v>
      </c>
      <c r="R490" s="47" t="str">
        <f aca="false">IF(J490="","",Q490*J490)</f>
        <v/>
      </c>
      <c r="S490" s="49" t="n">
        <f aca="false">'Daily KPI Entry'!S491</f>
        <v>0</v>
      </c>
      <c r="T490" s="49" t="str">
        <f aca="false">IF(OR(R490="",S490=""),"",IFERROR(S490/R490*100,0))</f>
        <v/>
      </c>
      <c r="U490" s="49" t="str">
        <f aca="false">IF(OR(O490="",L490="",M490="",S490="",M490=0),"",IFERROR(O490/(L490*60*S490/(M490*36))*100,0))</f>
        <v/>
      </c>
      <c r="V490" s="49" t="n">
        <f aca="false">'Daily KPI Entry'!V491</f>
        <v>0</v>
      </c>
      <c r="W490" s="49" t="str">
        <f aca="false">IF(O490="","",IFERROR(V490/O490*100,0))</f>
        <v/>
      </c>
      <c r="X490" s="49" t="n">
        <f aca="false">'Daily KPI Entry'!X491</f>
        <v>0</v>
      </c>
      <c r="Y490" s="49" t="n">
        <f aca="false">'Daily KPI Entry'!Y491</f>
        <v>0</v>
      </c>
      <c r="Z490" s="49" t="n">
        <f aca="false">'Daily KPI Entry'!Z491</f>
        <v>0</v>
      </c>
      <c r="AA490" s="49" t="n">
        <f aca="false">'Daily KPI Entry'!AA491</f>
        <v>0</v>
      </c>
      <c r="AB490" s="49" t="n">
        <f aca="false">'Daily KPI Entry'!AB491</f>
        <v>0</v>
      </c>
      <c r="AC490" s="49" t="n">
        <f aca="false">'Daily KPI Entry'!AC491</f>
        <v>0</v>
      </c>
      <c r="AD490" s="49" t="n">
        <f aca="false">'Daily KPI Entry'!AD491</f>
        <v>0</v>
      </c>
      <c r="AE490" s="49" t="n">
        <f aca="false">'Daily KPI Entry'!AE491</f>
        <v>0</v>
      </c>
      <c r="AF490" s="47" t="str">
        <f aca="false">IF(O490="","",SUM(X490:AE490))</f>
        <v/>
      </c>
      <c r="AG490" s="49" t="str">
        <f aca="false">IF(O490="","",IFERROR(AF490/O490*1000,0))</f>
        <v/>
      </c>
      <c r="AH490" s="49" t="n">
        <f aca="false">'Daily KPI Entry'!AH491</f>
        <v>0</v>
      </c>
      <c r="AI490" s="49" t="n">
        <f aca="false">'Daily KPI Entry'!AI491</f>
        <v>0</v>
      </c>
      <c r="AJ490" s="49" t="n">
        <f aca="false">'Daily KPI Entry'!AJ491</f>
        <v>0</v>
      </c>
      <c r="AK490" s="47" t="n">
        <f aca="false">'Daily KPI Entry'!AK491</f>
        <v>0</v>
      </c>
      <c r="AL490" s="47" t="n">
        <f aca="false">'Daily KPI Entry'!AL491</f>
        <v>0</v>
      </c>
      <c r="AM490" s="47" t="n">
        <f aca="false">'Daily KPI Entry'!AM491</f>
        <v>0</v>
      </c>
      <c r="AN490" s="49" t="str">
        <f aca="false">IF(P490="","",MIN(120,P490))</f>
        <v/>
      </c>
      <c r="AO490" s="49" t="str">
        <f aca="false">IF(U490="","",MIN(120,U490))</f>
        <v/>
      </c>
      <c r="AP490" s="49" t="str">
        <f aca="false">IF(R490="","",MIN(120,IFERROR(S490/R490*100,0)))</f>
        <v/>
      </c>
      <c r="AQ490" s="49" t="str">
        <f aca="false">IF(W490="","",MIN(120,IF(W490=0,120,100*(INDEX('Standards &amp; Scoring'!$E$5:$E$13,MATCH("Quality / Rejection",'Standards &amp; Scoring'!$A$5:$A$13,0))/W490))))</f>
        <v/>
      </c>
      <c r="AR490" s="49" t="str">
        <f aca="false">IF(AG490="","",MIN(120,IF(AG490=0,120,100*(INDEX('Standards &amp; Scoring'!$E$5:$E$13,MATCH("Fault Control",'Standards &amp; Scoring'!$A$5:$A$13,0))/AG490))))</f>
        <v/>
      </c>
      <c r="AS490" s="49" t="str">
        <f aca="false">IF(O490="","",MIN(120,IF(SUMIFS('Fault &amp; Downtime Entry'!$L$6:$L$1005,'Fault &amp; Downtime Entry'!$E$6:$E$1005,G490,'Fault &amp; Downtime Entry'!$B$6:$B$1005,B490)=0,120,100*(INDEX('Standards &amp; Scoring'!$E$5:$E$13,MATCH("Downtime Control",'Standards &amp; Scoring'!$A$5:$A$13,0))/IFERROR(SUMIFS('Fault &amp; Downtime Entry'!$L$6:$L$1005,'Fault &amp; Downtime Entry'!$E$6:$E$1005,G490,'Fault &amp; Downtime Entry'!$B$6:$B$1005,B490)/O490*1000,999999)))))</f>
        <v/>
      </c>
      <c r="AT490" s="49" t="n">
        <f aca="false">IF(COUNTA(AH490,AJ490)=0,"",MIN(120,IF(AND(AH490&lt;&gt;"",AJ490&lt;&gt;""),AVERAGE(AH490,AJ490),IF(AH490&lt;&gt;"",AH490,AJ490))))</f>
        <v>0</v>
      </c>
      <c r="AU490" s="49" t="str">
        <f aca="false">IF(AI490="","",MIN(120,AI490))</f>
        <v/>
      </c>
      <c r="AV490" s="49" t="str">
        <f aca="false">IF(AJ490="","",MIN(120,AJ490))</f>
        <v/>
      </c>
      <c r="AW490" s="50" t="str">
        <f aca="false">IF(COUNT(AN490:AV490)&lt;9,"",(AN490*'Standards &amp; Scoring'!$D$5+AO490*'Standards &amp; Scoring'!$D$6+AP490*'Standards &amp; Scoring'!$D$7+AQ490*'Standards &amp; Scoring'!$D$8+AR490*'Standards &amp; Scoring'!$D$9+AS490*'Standards &amp; Scoring'!$D$10+AT490*'Standards &amp; Scoring'!$D$11+AU490*'Standards &amp; Scoring'!$D$12+AV490*'Standards &amp; Scoring'!$D$13)/10000)</f>
        <v/>
      </c>
      <c r="AX490" s="47" t="str">
        <f aca="false">IF(AW490="","",IF(AW490&gt;=1.05,"A+",IF(AW490&gt;=1,"A",IF(AW490&gt;=0.95,"B+",IF(AW490&gt;=0.9,"B","C")))))</f>
        <v/>
      </c>
      <c r="AY490" s="47" t="str">
        <f aca="false">IF(AX490="","",IF(AX490="A+",1800,IF(AX490="A",1600,IF(AX490="B+",1400,IF(AX490="B",1200,0)))))</f>
        <v/>
      </c>
      <c r="AZ490" s="49" t="str">
        <f aca="false">IF(OR(L490="",M490="",S490="",M490=0),"",IFERROR(L490*60*S490/(M490*36),0))</f>
        <v/>
      </c>
    </row>
    <row r="491" customFormat="false" ht="15" hidden="false" customHeight="true" outlineLevel="0" collapsed="false">
      <c r="A491" s="47" t="n">
        <f aca="false">'Daily KPI Entry'!A492</f>
        <v>0</v>
      </c>
      <c r="B491" s="48" t="n">
        <f aca="false">'Daily KPI Entry'!B492</f>
        <v>0</v>
      </c>
      <c r="C491" s="47" t="n">
        <f aca="false">'Daily KPI Entry'!C492</f>
        <v>0</v>
      </c>
      <c r="D491" s="47" t="n">
        <f aca="false">'Daily KPI Entry'!D492</f>
        <v>0</v>
      </c>
      <c r="E491" s="47" t="n">
        <f aca="false">'Daily KPI Entry'!E492</f>
        <v>0</v>
      </c>
      <c r="F491" s="47" t="n">
        <f aca="false">'Daily KPI Entry'!F492</f>
        <v>0</v>
      </c>
      <c r="G491" s="47" t="n">
        <f aca="false">'Daily KPI Entry'!G492</f>
        <v>0</v>
      </c>
      <c r="H491" s="47" t="str">
        <f aca="false">'Daily KPI Entry'!H492</f>
        <v/>
      </c>
      <c r="I491" s="47" t="n">
        <f aca="false">'Daily KPI Entry'!I492</f>
        <v>0</v>
      </c>
      <c r="J491" s="47" t="n">
        <f aca="false">'Daily KPI Entry'!J492</f>
        <v>0</v>
      </c>
      <c r="K491" s="47" t="n">
        <f aca="false">'Daily KPI Entry'!K492</f>
        <v>0</v>
      </c>
      <c r="L491" s="47" t="n">
        <f aca="false">'Daily KPI Entry'!L492</f>
        <v>0</v>
      </c>
      <c r="M491" s="47" t="n">
        <f aca="false">'Daily KPI Entry'!M492</f>
        <v>0</v>
      </c>
      <c r="N491" s="49" t="n">
        <f aca="false">'Daily KPI Entry'!N492</f>
        <v>0</v>
      </c>
      <c r="O491" s="49" t="n">
        <f aca="false">'Daily KPI Entry'!O492</f>
        <v>0</v>
      </c>
      <c r="P491" s="49" t="str">
        <f aca="false">IF(OR(N491="",O491=""),"",IFERROR(O491/N491*100,0))</f>
        <v/>
      </c>
      <c r="Q491" s="47" t="n">
        <f aca="false">'Daily KPI Entry'!Q492</f>
        <v>8</v>
      </c>
      <c r="R491" s="47" t="str">
        <f aca="false">IF(J491="","",Q491*J491)</f>
        <v/>
      </c>
      <c r="S491" s="49" t="n">
        <f aca="false">'Daily KPI Entry'!S492</f>
        <v>0</v>
      </c>
      <c r="T491" s="49" t="str">
        <f aca="false">IF(OR(R491="",S491=""),"",IFERROR(S491/R491*100,0))</f>
        <v/>
      </c>
      <c r="U491" s="49" t="str">
        <f aca="false">IF(OR(O491="",L491="",M491="",S491="",M491=0),"",IFERROR(O491/(L491*60*S491/(M491*36))*100,0))</f>
        <v/>
      </c>
      <c r="V491" s="49" t="n">
        <f aca="false">'Daily KPI Entry'!V492</f>
        <v>0</v>
      </c>
      <c r="W491" s="49" t="str">
        <f aca="false">IF(O491="","",IFERROR(V491/O491*100,0))</f>
        <v/>
      </c>
      <c r="X491" s="49" t="n">
        <f aca="false">'Daily KPI Entry'!X492</f>
        <v>0</v>
      </c>
      <c r="Y491" s="49" t="n">
        <f aca="false">'Daily KPI Entry'!Y492</f>
        <v>0</v>
      </c>
      <c r="Z491" s="49" t="n">
        <f aca="false">'Daily KPI Entry'!Z492</f>
        <v>0</v>
      </c>
      <c r="AA491" s="49" t="n">
        <f aca="false">'Daily KPI Entry'!AA492</f>
        <v>0</v>
      </c>
      <c r="AB491" s="49" t="n">
        <f aca="false">'Daily KPI Entry'!AB492</f>
        <v>0</v>
      </c>
      <c r="AC491" s="49" t="n">
        <f aca="false">'Daily KPI Entry'!AC492</f>
        <v>0</v>
      </c>
      <c r="AD491" s="49" t="n">
        <f aca="false">'Daily KPI Entry'!AD492</f>
        <v>0</v>
      </c>
      <c r="AE491" s="49" t="n">
        <f aca="false">'Daily KPI Entry'!AE492</f>
        <v>0</v>
      </c>
      <c r="AF491" s="47" t="str">
        <f aca="false">IF(O491="","",SUM(X491:AE491))</f>
        <v/>
      </c>
      <c r="AG491" s="49" t="str">
        <f aca="false">IF(O491="","",IFERROR(AF491/O491*1000,0))</f>
        <v/>
      </c>
      <c r="AH491" s="49" t="n">
        <f aca="false">'Daily KPI Entry'!AH492</f>
        <v>0</v>
      </c>
      <c r="AI491" s="49" t="n">
        <f aca="false">'Daily KPI Entry'!AI492</f>
        <v>0</v>
      </c>
      <c r="AJ491" s="49" t="n">
        <f aca="false">'Daily KPI Entry'!AJ492</f>
        <v>0</v>
      </c>
      <c r="AK491" s="47" t="n">
        <f aca="false">'Daily KPI Entry'!AK492</f>
        <v>0</v>
      </c>
      <c r="AL491" s="47" t="n">
        <f aca="false">'Daily KPI Entry'!AL492</f>
        <v>0</v>
      </c>
      <c r="AM491" s="47" t="n">
        <f aca="false">'Daily KPI Entry'!AM492</f>
        <v>0</v>
      </c>
      <c r="AN491" s="49" t="str">
        <f aca="false">IF(P491="","",MIN(120,P491))</f>
        <v/>
      </c>
      <c r="AO491" s="49" t="str">
        <f aca="false">IF(U491="","",MIN(120,U491))</f>
        <v/>
      </c>
      <c r="AP491" s="49" t="str">
        <f aca="false">IF(R491="","",MIN(120,IFERROR(S491/R491*100,0)))</f>
        <v/>
      </c>
      <c r="AQ491" s="49" t="str">
        <f aca="false">IF(W491="","",MIN(120,IF(W491=0,120,100*(INDEX('Standards &amp; Scoring'!$E$5:$E$13,MATCH("Quality / Rejection",'Standards &amp; Scoring'!$A$5:$A$13,0))/W491))))</f>
        <v/>
      </c>
      <c r="AR491" s="49" t="str">
        <f aca="false">IF(AG491="","",MIN(120,IF(AG491=0,120,100*(INDEX('Standards &amp; Scoring'!$E$5:$E$13,MATCH("Fault Control",'Standards &amp; Scoring'!$A$5:$A$13,0))/AG491))))</f>
        <v/>
      </c>
      <c r="AS491" s="49" t="str">
        <f aca="false">IF(O491="","",MIN(120,IF(SUMIFS('Fault &amp; Downtime Entry'!$L$6:$L$1005,'Fault &amp; Downtime Entry'!$E$6:$E$1005,G491,'Fault &amp; Downtime Entry'!$B$6:$B$1005,B491)=0,120,100*(INDEX('Standards &amp; Scoring'!$E$5:$E$13,MATCH("Downtime Control",'Standards &amp; Scoring'!$A$5:$A$13,0))/IFERROR(SUMIFS('Fault &amp; Downtime Entry'!$L$6:$L$1005,'Fault &amp; Downtime Entry'!$E$6:$E$1005,G491,'Fault &amp; Downtime Entry'!$B$6:$B$1005,B491)/O491*1000,999999)))))</f>
        <v/>
      </c>
      <c r="AT491" s="49" t="n">
        <f aca="false">IF(COUNTA(AH491,AJ491)=0,"",MIN(120,IF(AND(AH491&lt;&gt;"",AJ491&lt;&gt;""),AVERAGE(AH491,AJ491),IF(AH491&lt;&gt;"",AH491,AJ491))))</f>
        <v>0</v>
      </c>
      <c r="AU491" s="49" t="str">
        <f aca="false">IF(AI491="","",MIN(120,AI491))</f>
        <v/>
      </c>
      <c r="AV491" s="49" t="str">
        <f aca="false">IF(AJ491="","",MIN(120,AJ491))</f>
        <v/>
      </c>
      <c r="AW491" s="50" t="str">
        <f aca="false">IF(COUNT(AN491:AV491)&lt;9,"",(AN491*'Standards &amp; Scoring'!$D$5+AO491*'Standards &amp; Scoring'!$D$6+AP491*'Standards &amp; Scoring'!$D$7+AQ491*'Standards &amp; Scoring'!$D$8+AR491*'Standards &amp; Scoring'!$D$9+AS491*'Standards &amp; Scoring'!$D$10+AT491*'Standards &amp; Scoring'!$D$11+AU491*'Standards &amp; Scoring'!$D$12+AV491*'Standards &amp; Scoring'!$D$13)/10000)</f>
        <v/>
      </c>
      <c r="AX491" s="47" t="str">
        <f aca="false">IF(AW491="","",IF(AW491&gt;=1.05,"A+",IF(AW491&gt;=1,"A",IF(AW491&gt;=0.95,"B+",IF(AW491&gt;=0.9,"B","C")))))</f>
        <v/>
      </c>
      <c r="AY491" s="47" t="str">
        <f aca="false">IF(AX491="","",IF(AX491="A+",1800,IF(AX491="A",1600,IF(AX491="B+",1400,IF(AX491="B",1200,0)))))</f>
        <v/>
      </c>
      <c r="AZ491" s="49" t="str">
        <f aca="false">IF(OR(L491="",M491="",S491="",M491=0),"",IFERROR(L491*60*S491/(M491*36),0))</f>
        <v/>
      </c>
    </row>
    <row r="492" customFormat="false" ht="15" hidden="false" customHeight="true" outlineLevel="0" collapsed="false">
      <c r="A492" s="47" t="n">
        <f aca="false">'Daily KPI Entry'!A493</f>
        <v>0</v>
      </c>
      <c r="B492" s="48" t="n">
        <f aca="false">'Daily KPI Entry'!B493</f>
        <v>0</v>
      </c>
      <c r="C492" s="47" t="n">
        <f aca="false">'Daily KPI Entry'!C493</f>
        <v>0</v>
      </c>
      <c r="D492" s="47" t="n">
        <f aca="false">'Daily KPI Entry'!D493</f>
        <v>0</v>
      </c>
      <c r="E492" s="47" t="n">
        <f aca="false">'Daily KPI Entry'!E493</f>
        <v>0</v>
      </c>
      <c r="F492" s="47" t="n">
        <f aca="false">'Daily KPI Entry'!F493</f>
        <v>0</v>
      </c>
      <c r="G492" s="47" t="n">
        <f aca="false">'Daily KPI Entry'!G493</f>
        <v>0</v>
      </c>
      <c r="H492" s="47" t="str">
        <f aca="false">'Daily KPI Entry'!H493</f>
        <v/>
      </c>
      <c r="I492" s="47" t="n">
        <f aca="false">'Daily KPI Entry'!I493</f>
        <v>0</v>
      </c>
      <c r="J492" s="47" t="n">
        <f aca="false">'Daily KPI Entry'!J493</f>
        <v>0</v>
      </c>
      <c r="K492" s="47" t="n">
        <f aca="false">'Daily KPI Entry'!K493</f>
        <v>0</v>
      </c>
      <c r="L492" s="47" t="n">
        <f aca="false">'Daily KPI Entry'!L493</f>
        <v>0</v>
      </c>
      <c r="M492" s="47" t="n">
        <f aca="false">'Daily KPI Entry'!M493</f>
        <v>0</v>
      </c>
      <c r="N492" s="49" t="n">
        <f aca="false">'Daily KPI Entry'!N493</f>
        <v>0</v>
      </c>
      <c r="O492" s="49" t="n">
        <f aca="false">'Daily KPI Entry'!O493</f>
        <v>0</v>
      </c>
      <c r="P492" s="49" t="str">
        <f aca="false">IF(OR(N492="",O492=""),"",IFERROR(O492/N492*100,0))</f>
        <v/>
      </c>
      <c r="Q492" s="47" t="n">
        <f aca="false">'Daily KPI Entry'!Q493</f>
        <v>8</v>
      </c>
      <c r="R492" s="47" t="str">
        <f aca="false">IF(J492="","",Q492*J492)</f>
        <v/>
      </c>
      <c r="S492" s="49" t="n">
        <f aca="false">'Daily KPI Entry'!S493</f>
        <v>0</v>
      </c>
      <c r="T492" s="49" t="str">
        <f aca="false">IF(OR(R492="",S492=""),"",IFERROR(S492/R492*100,0))</f>
        <v/>
      </c>
      <c r="U492" s="49" t="str">
        <f aca="false">IF(OR(O492="",L492="",M492="",S492="",M492=0),"",IFERROR(O492/(L492*60*S492/(M492*36))*100,0))</f>
        <v/>
      </c>
      <c r="V492" s="49" t="n">
        <f aca="false">'Daily KPI Entry'!V493</f>
        <v>0</v>
      </c>
      <c r="W492" s="49" t="str">
        <f aca="false">IF(O492="","",IFERROR(V492/O492*100,0))</f>
        <v/>
      </c>
      <c r="X492" s="49" t="n">
        <f aca="false">'Daily KPI Entry'!X493</f>
        <v>0</v>
      </c>
      <c r="Y492" s="49" t="n">
        <f aca="false">'Daily KPI Entry'!Y493</f>
        <v>0</v>
      </c>
      <c r="Z492" s="49" t="n">
        <f aca="false">'Daily KPI Entry'!Z493</f>
        <v>0</v>
      </c>
      <c r="AA492" s="49" t="n">
        <f aca="false">'Daily KPI Entry'!AA493</f>
        <v>0</v>
      </c>
      <c r="AB492" s="49" t="n">
        <f aca="false">'Daily KPI Entry'!AB493</f>
        <v>0</v>
      </c>
      <c r="AC492" s="49" t="n">
        <f aca="false">'Daily KPI Entry'!AC493</f>
        <v>0</v>
      </c>
      <c r="AD492" s="49" t="n">
        <f aca="false">'Daily KPI Entry'!AD493</f>
        <v>0</v>
      </c>
      <c r="AE492" s="49" t="n">
        <f aca="false">'Daily KPI Entry'!AE493</f>
        <v>0</v>
      </c>
      <c r="AF492" s="47" t="str">
        <f aca="false">IF(O492="","",SUM(X492:AE492))</f>
        <v/>
      </c>
      <c r="AG492" s="49" t="str">
        <f aca="false">IF(O492="","",IFERROR(AF492/O492*1000,0))</f>
        <v/>
      </c>
      <c r="AH492" s="49" t="n">
        <f aca="false">'Daily KPI Entry'!AH493</f>
        <v>0</v>
      </c>
      <c r="AI492" s="49" t="n">
        <f aca="false">'Daily KPI Entry'!AI493</f>
        <v>0</v>
      </c>
      <c r="AJ492" s="49" t="n">
        <f aca="false">'Daily KPI Entry'!AJ493</f>
        <v>0</v>
      </c>
      <c r="AK492" s="47" t="n">
        <f aca="false">'Daily KPI Entry'!AK493</f>
        <v>0</v>
      </c>
      <c r="AL492" s="47" t="n">
        <f aca="false">'Daily KPI Entry'!AL493</f>
        <v>0</v>
      </c>
      <c r="AM492" s="47" t="n">
        <f aca="false">'Daily KPI Entry'!AM493</f>
        <v>0</v>
      </c>
      <c r="AN492" s="49" t="str">
        <f aca="false">IF(P492="","",MIN(120,P492))</f>
        <v/>
      </c>
      <c r="AO492" s="49" t="str">
        <f aca="false">IF(U492="","",MIN(120,U492))</f>
        <v/>
      </c>
      <c r="AP492" s="49" t="str">
        <f aca="false">IF(R492="","",MIN(120,IFERROR(S492/R492*100,0)))</f>
        <v/>
      </c>
      <c r="AQ492" s="49" t="str">
        <f aca="false">IF(W492="","",MIN(120,IF(W492=0,120,100*(INDEX('Standards &amp; Scoring'!$E$5:$E$13,MATCH("Quality / Rejection",'Standards &amp; Scoring'!$A$5:$A$13,0))/W492))))</f>
        <v/>
      </c>
      <c r="AR492" s="49" t="str">
        <f aca="false">IF(AG492="","",MIN(120,IF(AG492=0,120,100*(INDEX('Standards &amp; Scoring'!$E$5:$E$13,MATCH("Fault Control",'Standards &amp; Scoring'!$A$5:$A$13,0))/AG492))))</f>
        <v/>
      </c>
      <c r="AS492" s="49" t="str">
        <f aca="false">IF(O492="","",MIN(120,IF(SUMIFS('Fault &amp; Downtime Entry'!$L$6:$L$1005,'Fault &amp; Downtime Entry'!$E$6:$E$1005,G492,'Fault &amp; Downtime Entry'!$B$6:$B$1005,B492)=0,120,100*(INDEX('Standards &amp; Scoring'!$E$5:$E$13,MATCH("Downtime Control",'Standards &amp; Scoring'!$A$5:$A$13,0))/IFERROR(SUMIFS('Fault &amp; Downtime Entry'!$L$6:$L$1005,'Fault &amp; Downtime Entry'!$E$6:$E$1005,G492,'Fault &amp; Downtime Entry'!$B$6:$B$1005,B492)/O492*1000,999999)))))</f>
        <v/>
      </c>
      <c r="AT492" s="49" t="n">
        <f aca="false">IF(COUNTA(AH492,AJ492)=0,"",MIN(120,IF(AND(AH492&lt;&gt;"",AJ492&lt;&gt;""),AVERAGE(AH492,AJ492),IF(AH492&lt;&gt;"",AH492,AJ492))))</f>
        <v>0</v>
      </c>
      <c r="AU492" s="49" t="str">
        <f aca="false">IF(AI492="","",MIN(120,AI492))</f>
        <v/>
      </c>
      <c r="AV492" s="49" t="str">
        <f aca="false">IF(AJ492="","",MIN(120,AJ492))</f>
        <v/>
      </c>
      <c r="AW492" s="50" t="str">
        <f aca="false">IF(COUNT(AN492:AV492)&lt;9,"",(AN492*'Standards &amp; Scoring'!$D$5+AO492*'Standards &amp; Scoring'!$D$6+AP492*'Standards &amp; Scoring'!$D$7+AQ492*'Standards &amp; Scoring'!$D$8+AR492*'Standards &amp; Scoring'!$D$9+AS492*'Standards &amp; Scoring'!$D$10+AT492*'Standards &amp; Scoring'!$D$11+AU492*'Standards &amp; Scoring'!$D$12+AV492*'Standards &amp; Scoring'!$D$13)/10000)</f>
        <v/>
      </c>
      <c r="AX492" s="47" t="str">
        <f aca="false">IF(AW492="","",IF(AW492&gt;=1.05,"A+",IF(AW492&gt;=1,"A",IF(AW492&gt;=0.95,"B+",IF(AW492&gt;=0.9,"B","C")))))</f>
        <v/>
      </c>
      <c r="AY492" s="47" t="str">
        <f aca="false">IF(AX492="","",IF(AX492="A+",1800,IF(AX492="A",1600,IF(AX492="B+",1400,IF(AX492="B",1200,0)))))</f>
        <v/>
      </c>
      <c r="AZ492" s="49" t="str">
        <f aca="false">IF(OR(L492="",M492="",S492="",M492=0),"",IFERROR(L492*60*S492/(M492*36),0))</f>
        <v/>
      </c>
    </row>
    <row r="493" customFormat="false" ht="15" hidden="false" customHeight="true" outlineLevel="0" collapsed="false">
      <c r="A493" s="47" t="n">
        <f aca="false">'Daily KPI Entry'!A494</f>
        <v>0</v>
      </c>
      <c r="B493" s="48" t="n">
        <f aca="false">'Daily KPI Entry'!B494</f>
        <v>0</v>
      </c>
      <c r="C493" s="47" t="n">
        <f aca="false">'Daily KPI Entry'!C494</f>
        <v>0</v>
      </c>
      <c r="D493" s="47" t="n">
        <f aca="false">'Daily KPI Entry'!D494</f>
        <v>0</v>
      </c>
      <c r="E493" s="47" t="n">
        <f aca="false">'Daily KPI Entry'!E494</f>
        <v>0</v>
      </c>
      <c r="F493" s="47" t="n">
        <f aca="false">'Daily KPI Entry'!F494</f>
        <v>0</v>
      </c>
      <c r="G493" s="47" t="n">
        <f aca="false">'Daily KPI Entry'!G494</f>
        <v>0</v>
      </c>
      <c r="H493" s="47" t="str">
        <f aca="false">'Daily KPI Entry'!H494</f>
        <v/>
      </c>
      <c r="I493" s="47" t="n">
        <f aca="false">'Daily KPI Entry'!I494</f>
        <v>0</v>
      </c>
      <c r="J493" s="47" t="n">
        <f aca="false">'Daily KPI Entry'!J494</f>
        <v>0</v>
      </c>
      <c r="K493" s="47" t="n">
        <f aca="false">'Daily KPI Entry'!K494</f>
        <v>0</v>
      </c>
      <c r="L493" s="47" t="n">
        <f aca="false">'Daily KPI Entry'!L494</f>
        <v>0</v>
      </c>
      <c r="M493" s="47" t="n">
        <f aca="false">'Daily KPI Entry'!M494</f>
        <v>0</v>
      </c>
      <c r="N493" s="49" t="n">
        <f aca="false">'Daily KPI Entry'!N494</f>
        <v>0</v>
      </c>
      <c r="O493" s="49" t="n">
        <f aca="false">'Daily KPI Entry'!O494</f>
        <v>0</v>
      </c>
      <c r="P493" s="49" t="str">
        <f aca="false">IF(OR(N493="",O493=""),"",IFERROR(O493/N493*100,0))</f>
        <v/>
      </c>
      <c r="Q493" s="47" t="n">
        <f aca="false">'Daily KPI Entry'!Q494</f>
        <v>8</v>
      </c>
      <c r="R493" s="47" t="str">
        <f aca="false">IF(J493="","",Q493*J493)</f>
        <v/>
      </c>
      <c r="S493" s="49" t="n">
        <f aca="false">'Daily KPI Entry'!S494</f>
        <v>0</v>
      </c>
      <c r="T493" s="49" t="str">
        <f aca="false">IF(OR(R493="",S493=""),"",IFERROR(S493/R493*100,0))</f>
        <v/>
      </c>
      <c r="U493" s="49" t="str">
        <f aca="false">IF(OR(O493="",L493="",M493="",S493="",M493=0),"",IFERROR(O493/(L493*60*S493/(M493*36))*100,0))</f>
        <v/>
      </c>
      <c r="V493" s="49" t="n">
        <f aca="false">'Daily KPI Entry'!V494</f>
        <v>0</v>
      </c>
      <c r="W493" s="49" t="str">
        <f aca="false">IF(O493="","",IFERROR(V493/O493*100,0))</f>
        <v/>
      </c>
      <c r="X493" s="49" t="n">
        <f aca="false">'Daily KPI Entry'!X494</f>
        <v>0</v>
      </c>
      <c r="Y493" s="49" t="n">
        <f aca="false">'Daily KPI Entry'!Y494</f>
        <v>0</v>
      </c>
      <c r="Z493" s="49" t="n">
        <f aca="false">'Daily KPI Entry'!Z494</f>
        <v>0</v>
      </c>
      <c r="AA493" s="49" t="n">
        <f aca="false">'Daily KPI Entry'!AA494</f>
        <v>0</v>
      </c>
      <c r="AB493" s="49" t="n">
        <f aca="false">'Daily KPI Entry'!AB494</f>
        <v>0</v>
      </c>
      <c r="AC493" s="49" t="n">
        <f aca="false">'Daily KPI Entry'!AC494</f>
        <v>0</v>
      </c>
      <c r="AD493" s="49" t="n">
        <f aca="false">'Daily KPI Entry'!AD494</f>
        <v>0</v>
      </c>
      <c r="AE493" s="49" t="n">
        <f aca="false">'Daily KPI Entry'!AE494</f>
        <v>0</v>
      </c>
      <c r="AF493" s="47" t="str">
        <f aca="false">IF(O493="","",SUM(X493:AE493))</f>
        <v/>
      </c>
      <c r="AG493" s="49" t="str">
        <f aca="false">IF(O493="","",IFERROR(AF493/O493*1000,0))</f>
        <v/>
      </c>
      <c r="AH493" s="49" t="n">
        <f aca="false">'Daily KPI Entry'!AH494</f>
        <v>0</v>
      </c>
      <c r="AI493" s="49" t="n">
        <f aca="false">'Daily KPI Entry'!AI494</f>
        <v>0</v>
      </c>
      <c r="AJ493" s="49" t="n">
        <f aca="false">'Daily KPI Entry'!AJ494</f>
        <v>0</v>
      </c>
      <c r="AK493" s="47" t="n">
        <f aca="false">'Daily KPI Entry'!AK494</f>
        <v>0</v>
      </c>
      <c r="AL493" s="47" t="n">
        <f aca="false">'Daily KPI Entry'!AL494</f>
        <v>0</v>
      </c>
      <c r="AM493" s="47" t="n">
        <f aca="false">'Daily KPI Entry'!AM494</f>
        <v>0</v>
      </c>
      <c r="AN493" s="49" t="str">
        <f aca="false">IF(P493="","",MIN(120,P493))</f>
        <v/>
      </c>
      <c r="AO493" s="49" t="str">
        <f aca="false">IF(U493="","",MIN(120,U493))</f>
        <v/>
      </c>
      <c r="AP493" s="49" t="str">
        <f aca="false">IF(R493="","",MIN(120,IFERROR(S493/R493*100,0)))</f>
        <v/>
      </c>
      <c r="AQ493" s="49" t="str">
        <f aca="false">IF(W493="","",MIN(120,IF(W493=0,120,100*(INDEX('Standards &amp; Scoring'!$E$5:$E$13,MATCH("Quality / Rejection",'Standards &amp; Scoring'!$A$5:$A$13,0))/W493))))</f>
        <v/>
      </c>
      <c r="AR493" s="49" t="str">
        <f aca="false">IF(AG493="","",MIN(120,IF(AG493=0,120,100*(INDEX('Standards &amp; Scoring'!$E$5:$E$13,MATCH("Fault Control",'Standards &amp; Scoring'!$A$5:$A$13,0))/AG493))))</f>
        <v/>
      </c>
      <c r="AS493" s="49" t="str">
        <f aca="false">IF(O493="","",MIN(120,IF(SUMIFS('Fault &amp; Downtime Entry'!$L$6:$L$1005,'Fault &amp; Downtime Entry'!$E$6:$E$1005,G493,'Fault &amp; Downtime Entry'!$B$6:$B$1005,B493)=0,120,100*(INDEX('Standards &amp; Scoring'!$E$5:$E$13,MATCH("Downtime Control",'Standards &amp; Scoring'!$A$5:$A$13,0))/IFERROR(SUMIFS('Fault &amp; Downtime Entry'!$L$6:$L$1005,'Fault &amp; Downtime Entry'!$E$6:$E$1005,G493,'Fault &amp; Downtime Entry'!$B$6:$B$1005,B493)/O493*1000,999999)))))</f>
        <v/>
      </c>
      <c r="AT493" s="49" t="n">
        <f aca="false">IF(COUNTA(AH493,AJ493)=0,"",MIN(120,IF(AND(AH493&lt;&gt;"",AJ493&lt;&gt;""),AVERAGE(AH493,AJ493),IF(AH493&lt;&gt;"",AH493,AJ493))))</f>
        <v>0</v>
      </c>
      <c r="AU493" s="49" t="str">
        <f aca="false">IF(AI493="","",MIN(120,AI493))</f>
        <v/>
      </c>
      <c r="AV493" s="49" t="str">
        <f aca="false">IF(AJ493="","",MIN(120,AJ493))</f>
        <v/>
      </c>
      <c r="AW493" s="50" t="str">
        <f aca="false">IF(COUNT(AN493:AV493)&lt;9,"",(AN493*'Standards &amp; Scoring'!$D$5+AO493*'Standards &amp; Scoring'!$D$6+AP493*'Standards &amp; Scoring'!$D$7+AQ493*'Standards &amp; Scoring'!$D$8+AR493*'Standards &amp; Scoring'!$D$9+AS493*'Standards &amp; Scoring'!$D$10+AT493*'Standards &amp; Scoring'!$D$11+AU493*'Standards &amp; Scoring'!$D$12+AV493*'Standards &amp; Scoring'!$D$13)/10000)</f>
        <v/>
      </c>
      <c r="AX493" s="47" t="str">
        <f aca="false">IF(AW493="","",IF(AW493&gt;=1.05,"A+",IF(AW493&gt;=1,"A",IF(AW493&gt;=0.95,"B+",IF(AW493&gt;=0.9,"B","C")))))</f>
        <v/>
      </c>
      <c r="AY493" s="47" t="str">
        <f aca="false">IF(AX493="","",IF(AX493="A+",1800,IF(AX493="A",1600,IF(AX493="B+",1400,IF(AX493="B",1200,0)))))</f>
        <v/>
      </c>
      <c r="AZ493" s="49" t="str">
        <f aca="false">IF(OR(L493="",M493="",S493="",M493=0),"",IFERROR(L493*60*S493/(M493*36),0))</f>
        <v/>
      </c>
    </row>
    <row r="494" customFormat="false" ht="15" hidden="false" customHeight="true" outlineLevel="0" collapsed="false">
      <c r="A494" s="47" t="n">
        <f aca="false">'Daily KPI Entry'!A495</f>
        <v>0</v>
      </c>
      <c r="B494" s="48" t="n">
        <f aca="false">'Daily KPI Entry'!B495</f>
        <v>0</v>
      </c>
      <c r="C494" s="47" t="n">
        <f aca="false">'Daily KPI Entry'!C495</f>
        <v>0</v>
      </c>
      <c r="D494" s="47" t="n">
        <f aca="false">'Daily KPI Entry'!D495</f>
        <v>0</v>
      </c>
      <c r="E494" s="47" t="n">
        <f aca="false">'Daily KPI Entry'!E495</f>
        <v>0</v>
      </c>
      <c r="F494" s="47" t="n">
        <f aca="false">'Daily KPI Entry'!F495</f>
        <v>0</v>
      </c>
      <c r="G494" s="47" t="n">
        <f aca="false">'Daily KPI Entry'!G495</f>
        <v>0</v>
      </c>
      <c r="H494" s="47" t="str">
        <f aca="false">'Daily KPI Entry'!H495</f>
        <v/>
      </c>
      <c r="I494" s="47" t="n">
        <f aca="false">'Daily KPI Entry'!I495</f>
        <v>0</v>
      </c>
      <c r="J494" s="47" t="n">
        <f aca="false">'Daily KPI Entry'!J495</f>
        <v>0</v>
      </c>
      <c r="K494" s="47" t="n">
        <f aca="false">'Daily KPI Entry'!K495</f>
        <v>0</v>
      </c>
      <c r="L494" s="47" t="n">
        <f aca="false">'Daily KPI Entry'!L495</f>
        <v>0</v>
      </c>
      <c r="M494" s="47" t="n">
        <f aca="false">'Daily KPI Entry'!M495</f>
        <v>0</v>
      </c>
      <c r="N494" s="49" t="n">
        <f aca="false">'Daily KPI Entry'!N495</f>
        <v>0</v>
      </c>
      <c r="O494" s="49" t="n">
        <f aca="false">'Daily KPI Entry'!O495</f>
        <v>0</v>
      </c>
      <c r="P494" s="49" t="str">
        <f aca="false">IF(OR(N494="",O494=""),"",IFERROR(O494/N494*100,0))</f>
        <v/>
      </c>
      <c r="Q494" s="47" t="n">
        <f aca="false">'Daily KPI Entry'!Q495</f>
        <v>8</v>
      </c>
      <c r="R494" s="47" t="str">
        <f aca="false">IF(J494="","",Q494*J494)</f>
        <v/>
      </c>
      <c r="S494" s="49" t="n">
        <f aca="false">'Daily KPI Entry'!S495</f>
        <v>0</v>
      </c>
      <c r="T494" s="49" t="str">
        <f aca="false">IF(OR(R494="",S494=""),"",IFERROR(S494/R494*100,0))</f>
        <v/>
      </c>
      <c r="U494" s="49" t="str">
        <f aca="false">IF(OR(O494="",L494="",M494="",S494="",M494=0),"",IFERROR(O494/(L494*60*S494/(M494*36))*100,0))</f>
        <v/>
      </c>
      <c r="V494" s="49" t="n">
        <f aca="false">'Daily KPI Entry'!V495</f>
        <v>0</v>
      </c>
      <c r="W494" s="49" t="str">
        <f aca="false">IF(O494="","",IFERROR(V494/O494*100,0))</f>
        <v/>
      </c>
      <c r="X494" s="49" t="n">
        <f aca="false">'Daily KPI Entry'!X495</f>
        <v>0</v>
      </c>
      <c r="Y494" s="49" t="n">
        <f aca="false">'Daily KPI Entry'!Y495</f>
        <v>0</v>
      </c>
      <c r="Z494" s="49" t="n">
        <f aca="false">'Daily KPI Entry'!Z495</f>
        <v>0</v>
      </c>
      <c r="AA494" s="49" t="n">
        <f aca="false">'Daily KPI Entry'!AA495</f>
        <v>0</v>
      </c>
      <c r="AB494" s="49" t="n">
        <f aca="false">'Daily KPI Entry'!AB495</f>
        <v>0</v>
      </c>
      <c r="AC494" s="49" t="n">
        <f aca="false">'Daily KPI Entry'!AC495</f>
        <v>0</v>
      </c>
      <c r="AD494" s="49" t="n">
        <f aca="false">'Daily KPI Entry'!AD495</f>
        <v>0</v>
      </c>
      <c r="AE494" s="49" t="n">
        <f aca="false">'Daily KPI Entry'!AE495</f>
        <v>0</v>
      </c>
      <c r="AF494" s="47" t="str">
        <f aca="false">IF(O494="","",SUM(X494:AE494))</f>
        <v/>
      </c>
      <c r="AG494" s="49" t="str">
        <f aca="false">IF(O494="","",IFERROR(AF494/O494*1000,0))</f>
        <v/>
      </c>
      <c r="AH494" s="49" t="n">
        <f aca="false">'Daily KPI Entry'!AH495</f>
        <v>0</v>
      </c>
      <c r="AI494" s="49" t="n">
        <f aca="false">'Daily KPI Entry'!AI495</f>
        <v>0</v>
      </c>
      <c r="AJ494" s="49" t="n">
        <f aca="false">'Daily KPI Entry'!AJ495</f>
        <v>0</v>
      </c>
      <c r="AK494" s="47" t="n">
        <f aca="false">'Daily KPI Entry'!AK495</f>
        <v>0</v>
      </c>
      <c r="AL494" s="47" t="n">
        <f aca="false">'Daily KPI Entry'!AL495</f>
        <v>0</v>
      </c>
      <c r="AM494" s="47" t="n">
        <f aca="false">'Daily KPI Entry'!AM495</f>
        <v>0</v>
      </c>
      <c r="AN494" s="49" t="str">
        <f aca="false">IF(P494="","",MIN(120,P494))</f>
        <v/>
      </c>
      <c r="AO494" s="49" t="str">
        <f aca="false">IF(U494="","",MIN(120,U494))</f>
        <v/>
      </c>
      <c r="AP494" s="49" t="str">
        <f aca="false">IF(R494="","",MIN(120,IFERROR(S494/R494*100,0)))</f>
        <v/>
      </c>
      <c r="AQ494" s="49" t="str">
        <f aca="false">IF(W494="","",MIN(120,IF(W494=0,120,100*(INDEX('Standards &amp; Scoring'!$E$5:$E$13,MATCH("Quality / Rejection",'Standards &amp; Scoring'!$A$5:$A$13,0))/W494))))</f>
        <v/>
      </c>
      <c r="AR494" s="49" t="str">
        <f aca="false">IF(AG494="","",MIN(120,IF(AG494=0,120,100*(INDEX('Standards &amp; Scoring'!$E$5:$E$13,MATCH("Fault Control",'Standards &amp; Scoring'!$A$5:$A$13,0))/AG494))))</f>
        <v/>
      </c>
      <c r="AS494" s="49" t="str">
        <f aca="false">IF(O494="","",MIN(120,IF(SUMIFS('Fault &amp; Downtime Entry'!$L$6:$L$1005,'Fault &amp; Downtime Entry'!$E$6:$E$1005,G494,'Fault &amp; Downtime Entry'!$B$6:$B$1005,B494)=0,120,100*(INDEX('Standards &amp; Scoring'!$E$5:$E$13,MATCH("Downtime Control",'Standards &amp; Scoring'!$A$5:$A$13,0))/IFERROR(SUMIFS('Fault &amp; Downtime Entry'!$L$6:$L$1005,'Fault &amp; Downtime Entry'!$E$6:$E$1005,G494,'Fault &amp; Downtime Entry'!$B$6:$B$1005,B494)/O494*1000,999999)))))</f>
        <v/>
      </c>
      <c r="AT494" s="49" t="n">
        <f aca="false">IF(COUNTA(AH494,AJ494)=0,"",MIN(120,IF(AND(AH494&lt;&gt;"",AJ494&lt;&gt;""),AVERAGE(AH494,AJ494),IF(AH494&lt;&gt;"",AH494,AJ494))))</f>
        <v>0</v>
      </c>
      <c r="AU494" s="49" t="str">
        <f aca="false">IF(AI494="","",MIN(120,AI494))</f>
        <v/>
      </c>
      <c r="AV494" s="49" t="str">
        <f aca="false">IF(AJ494="","",MIN(120,AJ494))</f>
        <v/>
      </c>
      <c r="AW494" s="50" t="str">
        <f aca="false">IF(COUNT(AN494:AV494)&lt;9,"",(AN494*'Standards &amp; Scoring'!$D$5+AO494*'Standards &amp; Scoring'!$D$6+AP494*'Standards &amp; Scoring'!$D$7+AQ494*'Standards &amp; Scoring'!$D$8+AR494*'Standards &amp; Scoring'!$D$9+AS494*'Standards &amp; Scoring'!$D$10+AT494*'Standards &amp; Scoring'!$D$11+AU494*'Standards &amp; Scoring'!$D$12+AV494*'Standards &amp; Scoring'!$D$13)/10000)</f>
        <v/>
      </c>
      <c r="AX494" s="47" t="str">
        <f aca="false">IF(AW494="","",IF(AW494&gt;=1.05,"A+",IF(AW494&gt;=1,"A",IF(AW494&gt;=0.95,"B+",IF(AW494&gt;=0.9,"B","C")))))</f>
        <v/>
      </c>
      <c r="AY494" s="47" t="str">
        <f aca="false">IF(AX494="","",IF(AX494="A+",1800,IF(AX494="A",1600,IF(AX494="B+",1400,IF(AX494="B",1200,0)))))</f>
        <v/>
      </c>
      <c r="AZ494" s="49" t="str">
        <f aca="false">IF(OR(L494="",M494="",S494="",M494=0),"",IFERROR(L494*60*S494/(M494*36),0))</f>
        <v/>
      </c>
    </row>
    <row r="495" customFormat="false" ht="15" hidden="false" customHeight="true" outlineLevel="0" collapsed="false">
      <c r="A495" s="47" t="n">
        <f aca="false">'Daily KPI Entry'!A496</f>
        <v>0</v>
      </c>
      <c r="B495" s="48" t="n">
        <f aca="false">'Daily KPI Entry'!B496</f>
        <v>0</v>
      </c>
      <c r="C495" s="47" t="n">
        <f aca="false">'Daily KPI Entry'!C496</f>
        <v>0</v>
      </c>
      <c r="D495" s="47" t="n">
        <f aca="false">'Daily KPI Entry'!D496</f>
        <v>0</v>
      </c>
      <c r="E495" s="47" t="n">
        <f aca="false">'Daily KPI Entry'!E496</f>
        <v>0</v>
      </c>
      <c r="F495" s="47" t="n">
        <f aca="false">'Daily KPI Entry'!F496</f>
        <v>0</v>
      </c>
      <c r="G495" s="47" t="n">
        <f aca="false">'Daily KPI Entry'!G496</f>
        <v>0</v>
      </c>
      <c r="H495" s="47" t="str">
        <f aca="false">'Daily KPI Entry'!H496</f>
        <v/>
      </c>
      <c r="I495" s="47" t="n">
        <f aca="false">'Daily KPI Entry'!I496</f>
        <v>0</v>
      </c>
      <c r="J495" s="47" t="n">
        <f aca="false">'Daily KPI Entry'!J496</f>
        <v>0</v>
      </c>
      <c r="K495" s="47" t="n">
        <f aca="false">'Daily KPI Entry'!K496</f>
        <v>0</v>
      </c>
      <c r="L495" s="47" t="n">
        <f aca="false">'Daily KPI Entry'!L496</f>
        <v>0</v>
      </c>
      <c r="M495" s="47" t="n">
        <f aca="false">'Daily KPI Entry'!M496</f>
        <v>0</v>
      </c>
      <c r="N495" s="49" t="n">
        <f aca="false">'Daily KPI Entry'!N496</f>
        <v>0</v>
      </c>
      <c r="O495" s="49" t="n">
        <f aca="false">'Daily KPI Entry'!O496</f>
        <v>0</v>
      </c>
      <c r="P495" s="49" t="str">
        <f aca="false">IF(OR(N495="",O495=""),"",IFERROR(O495/N495*100,0))</f>
        <v/>
      </c>
      <c r="Q495" s="47" t="n">
        <f aca="false">'Daily KPI Entry'!Q496</f>
        <v>8</v>
      </c>
      <c r="R495" s="47" t="str">
        <f aca="false">IF(J495="","",Q495*J495)</f>
        <v/>
      </c>
      <c r="S495" s="49" t="n">
        <f aca="false">'Daily KPI Entry'!S496</f>
        <v>0</v>
      </c>
      <c r="T495" s="49" t="str">
        <f aca="false">IF(OR(R495="",S495=""),"",IFERROR(S495/R495*100,0))</f>
        <v/>
      </c>
      <c r="U495" s="49" t="str">
        <f aca="false">IF(OR(O495="",L495="",M495="",S495="",M495=0),"",IFERROR(O495/(L495*60*S495/(M495*36))*100,0))</f>
        <v/>
      </c>
      <c r="V495" s="49" t="n">
        <f aca="false">'Daily KPI Entry'!V496</f>
        <v>0</v>
      </c>
      <c r="W495" s="49" t="str">
        <f aca="false">IF(O495="","",IFERROR(V495/O495*100,0))</f>
        <v/>
      </c>
      <c r="X495" s="49" t="n">
        <f aca="false">'Daily KPI Entry'!X496</f>
        <v>0</v>
      </c>
      <c r="Y495" s="49" t="n">
        <f aca="false">'Daily KPI Entry'!Y496</f>
        <v>0</v>
      </c>
      <c r="Z495" s="49" t="n">
        <f aca="false">'Daily KPI Entry'!Z496</f>
        <v>0</v>
      </c>
      <c r="AA495" s="49" t="n">
        <f aca="false">'Daily KPI Entry'!AA496</f>
        <v>0</v>
      </c>
      <c r="AB495" s="49" t="n">
        <f aca="false">'Daily KPI Entry'!AB496</f>
        <v>0</v>
      </c>
      <c r="AC495" s="49" t="n">
        <f aca="false">'Daily KPI Entry'!AC496</f>
        <v>0</v>
      </c>
      <c r="AD495" s="49" t="n">
        <f aca="false">'Daily KPI Entry'!AD496</f>
        <v>0</v>
      </c>
      <c r="AE495" s="49" t="n">
        <f aca="false">'Daily KPI Entry'!AE496</f>
        <v>0</v>
      </c>
      <c r="AF495" s="47" t="str">
        <f aca="false">IF(O495="","",SUM(X495:AE495))</f>
        <v/>
      </c>
      <c r="AG495" s="49" t="str">
        <f aca="false">IF(O495="","",IFERROR(AF495/O495*1000,0))</f>
        <v/>
      </c>
      <c r="AH495" s="49" t="n">
        <f aca="false">'Daily KPI Entry'!AH496</f>
        <v>0</v>
      </c>
      <c r="AI495" s="49" t="n">
        <f aca="false">'Daily KPI Entry'!AI496</f>
        <v>0</v>
      </c>
      <c r="AJ495" s="49" t="n">
        <f aca="false">'Daily KPI Entry'!AJ496</f>
        <v>0</v>
      </c>
      <c r="AK495" s="47" t="n">
        <f aca="false">'Daily KPI Entry'!AK496</f>
        <v>0</v>
      </c>
      <c r="AL495" s="47" t="n">
        <f aca="false">'Daily KPI Entry'!AL496</f>
        <v>0</v>
      </c>
      <c r="AM495" s="47" t="n">
        <f aca="false">'Daily KPI Entry'!AM496</f>
        <v>0</v>
      </c>
      <c r="AN495" s="49" t="str">
        <f aca="false">IF(P495="","",MIN(120,P495))</f>
        <v/>
      </c>
      <c r="AO495" s="49" t="str">
        <f aca="false">IF(U495="","",MIN(120,U495))</f>
        <v/>
      </c>
      <c r="AP495" s="49" t="str">
        <f aca="false">IF(R495="","",MIN(120,IFERROR(S495/R495*100,0)))</f>
        <v/>
      </c>
      <c r="AQ495" s="49" t="str">
        <f aca="false">IF(W495="","",MIN(120,IF(W495=0,120,100*(INDEX('Standards &amp; Scoring'!$E$5:$E$13,MATCH("Quality / Rejection",'Standards &amp; Scoring'!$A$5:$A$13,0))/W495))))</f>
        <v/>
      </c>
      <c r="AR495" s="49" t="str">
        <f aca="false">IF(AG495="","",MIN(120,IF(AG495=0,120,100*(INDEX('Standards &amp; Scoring'!$E$5:$E$13,MATCH("Fault Control",'Standards &amp; Scoring'!$A$5:$A$13,0))/AG495))))</f>
        <v/>
      </c>
      <c r="AS495" s="49" t="str">
        <f aca="false">IF(O495="","",MIN(120,IF(SUMIFS('Fault &amp; Downtime Entry'!$L$6:$L$1005,'Fault &amp; Downtime Entry'!$E$6:$E$1005,G495,'Fault &amp; Downtime Entry'!$B$6:$B$1005,B495)=0,120,100*(INDEX('Standards &amp; Scoring'!$E$5:$E$13,MATCH("Downtime Control",'Standards &amp; Scoring'!$A$5:$A$13,0))/IFERROR(SUMIFS('Fault &amp; Downtime Entry'!$L$6:$L$1005,'Fault &amp; Downtime Entry'!$E$6:$E$1005,G495,'Fault &amp; Downtime Entry'!$B$6:$B$1005,B495)/O495*1000,999999)))))</f>
        <v/>
      </c>
      <c r="AT495" s="49" t="n">
        <f aca="false">IF(COUNTA(AH495,AJ495)=0,"",MIN(120,IF(AND(AH495&lt;&gt;"",AJ495&lt;&gt;""),AVERAGE(AH495,AJ495),IF(AH495&lt;&gt;"",AH495,AJ495))))</f>
        <v>0</v>
      </c>
      <c r="AU495" s="49" t="str">
        <f aca="false">IF(AI495="","",MIN(120,AI495))</f>
        <v/>
      </c>
      <c r="AV495" s="49" t="str">
        <f aca="false">IF(AJ495="","",MIN(120,AJ495))</f>
        <v/>
      </c>
      <c r="AW495" s="50" t="str">
        <f aca="false">IF(COUNT(AN495:AV495)&lt;9,"",(AN495*'Standards &amp; Scoring'!$D$5+AO495*'Standards &amp; Scoring'!$D$6+AP495*'Standards &amp; Scoring'!$D$7+AQ495*'Standards &amp; Scoring'!$D$8+AR495*'Standards &amp; Scoring'!$D$9+AS495*'Standards &amp; Scoring'!$D$10+AT495*'Standards &amp; Scoring'!$D$11+AU495*'Standards &amp; Scoring'!$D$12+AV495*'Standards &amp; Scoring'!$D$13)/10000)</f>
        <v/>
      </c>
      <c r="AX495" s="47" t="str">
        <f aca="false">IF(AW495="","",IF(AW495&gt;=1.05,"A+",IF(AW495&gt;=1,"A",IF(AW495&gt;=0.95,"B+",IF(AW495&gt;=0.9,"B","C")))))</f>
        <v/>
      </c>
      <c r="AY495" s="47" t="str">
        <f aca="false">IF(AX495="","",IF(AX495="A+",1800,IF(AX495="A",1600,IF(AX495="B+",1400,IF(AX495="B",1200,0)))))</f>
        <v/>
      </c>
      <c r="AZ495" s="49" t="str">
        <f aca="false">IF(OR(L495="",M495="",S495="",M495=0),"",IFERROR(L495*60*S495/(M495*36),0))</f>
        <v/>
      </c>
    </row>
    <row r="496" customFormat="false" ht="15" hidden="false" customHeight="true" outlineLevel="0" collapsed="false">
      <c r="A496" s="47" t="n">
        <f aca="false">'Daily KPI Entry'!A497</f>
        <v>0</v>
      </c>
      <c r="B496" s="48" t="n">
        <f aca="false">'Daily KPI Entry'!B497</f>
        <v>0</v>
      </c>
      <c r="C496" s="47" t="n">
        <f aca="false">'Daily KPI Entry'!C497</f>
        <v>0</v>
      </c>
      <c r="D496" s="47" t="n">
        <f aca="false">'Daily KPI Entry'!D497</f>
        <v>0</v>
      </c>
      <c r="E496" s="47" t="n">
        <f aca="false">'Daily KPI Entry'!E497</f>
        <v>0</v>
      </c>
      <c r="F496" s="47" t="n">
        <f aca="false">'Daily KPI Entry'!F497</f>
        <v>0</v>
      </c>
      <c r="G496" s="47" t="n">
        <f aca="false">'Daily KPI Entry'!G497</f>
        <v>0</v>
      </c>
      <c r="H496" s="47" t="str">
        <f aca="false">'Daily KPI Entry'!H497</f>
        <v/>
      </c>
      <c r="I496" s="47" t="n">
        <f aca="false">'Daily KPI Entry'!I497</f>
        <v>0</v>
      </c>
      <c r="J496" s="47" t="n">
        <f aca="false">'Daily KPI Entry'!J497</f>
        <v>0</v>
      </c>
      <c r="K496" s="47" t="n">
        <f aca="false">'Daily KPI Entry'!K497</f>
        <v>0</v>
      </c>
      <c r="L496" s="47" t="n">
        <f aca="false">'Daily KPI Entry'!L497</f>
        <v>0</v>
      </c>
      <c r="M496" s="47" t="n">
        <f aca="false">'Daily KPI Entry'!M497</f>
        <v>0</v>
      </c>
      <c r="N496" s="49" t="n">
        <f aca="false">'Daily KPI Entry'!N497</f>
        <v>0</v>
      </c>
      <c r="O496" s="49" t="n">
        <f aca="false">'Daily KPI Entry'!O497</f>
        <v>0</v>
      </c>
      <c r="P496" s="49" t="str">
        <f aca="false">IF(OR(N496="",O496=""),"",IFERROR(O496/N496*100,0))</f>
        <v/>
      </c>
      <c r="Q496" s="47" t="n">
        <f aca="false">'Daily KPI Entry'!Q497</f>
        <v>8</v>
      </c>
      <c r="R496" s="47" t="str">
        <f aca="false">IF(J496="","",Q496*J496)</f>
        <v/>
      </c>
      <c r="S496" s="49" t="n">
        <f aca="false">'Daily KPI Entry'!S497</f>
        <v>0</v>
      </c>
      <c r="T496" s="49" t="str">
        <f aca="false">IF(OR(R496="",S496=""),"",IFERROR(S496/R496*100,0))</f>
        <v/>
      </c>
      <c r="U496" s="49" t="str">
        <f aca="false">IF(OR(O496="",L496="",M496="",S496="",M496=0),"",IFERROR(O496/(L496*60*S496/(M496*36))*100,0))</f>
        <v/>
      </c>
      <c r="V496" s="49" t="n">
        <f aca="false">'Daily KPI Entry'!V497</f>
        <v>0</v>
      </c>
      <c r="W496" s="49" t="str">
        <f aca="false">IF(O496="","",IFERROR(V496/O496*100,0))</f>
        <v/>
      </c>
      <c r="X496" s="49" t="n">
        <f aca="false">'Daily KPI Entry'!X497</f>
        <v>0</v>
      </c>
      <c r="Y496" s="49" t="n">
        <f aca="false">'Daily KPI Entry'!Y497</f>
        <v>0</v>
      </c>
      <c r="Z496" s="49" t="n">
        <f aca="false">'Daily KPI Entry'!Z497</f>
        <v>0</v>
      </c>
      <c r="AA496" s="49" t="n">
        <f aca="false">'Daily KPI Entry'!AA497</f>
        <v>0</v>
      </c>
      <c r="AB496" s="49" t="n">
        <f aca="false">'Daily KPI Entry'!AB497</f>
        <v>0</v>
      </c>
      <c r="AC496" s="49" t="n">
        <f aca="false">'Daily KPI Entry'!AC497</f>
        <v>0</v>
      </c>
      <c r="AD496" s="49" t="n">
        <f aca="false">'Daily KPI Entry'!AD497</f>
        <v>0</v>
      </c>
      <c r="AE496" s="49" t="n">
        <f aca="false">'Daily KPI Entry'!AE497</f>
        <v>0</v>
      </c>
      <c r="AF496" s="47" t="str">
        <f aca="false">IF(O496="","",SUM(X496:AE496))</f>
        <v/>
      </c>
      <c r="AG496" s="49" t="str">
        <f aca="false">IF(O496="","",IFERROR(AF496/O496*1000,0))</f>
        <v/>
      </c>
      <c r="AH496" s="49" t="n">
        <f aca="false">'Daily KPI Entry'!AH497</f>
        <v>0</v>
      </c>
      <c r="AI496" s="49" t="n">
        <f aca="false">'Daily KPI Entry'!AI497</f>
        <v>0</v>
      </c>
      <c r="AJ496" s="49" t="n">
        <f aca="false">'Daily KPI Entry'!AJ497</f>
        <v>0</v>
      </c>
      <c r="AK496" s="47" t="n">
        <f aca="false">'Daily KPI Entry'!AK497</f>
        <v>0</v>
      </c>
      <c r="AL496" s="47" t="n">
        <f aca="false">'Daily KPI Entry'!AL497</f>
        <v>0</v>
      </c>
      <c r="AM496" s="47" t="n">
        <f aca="false">'Daily KPI Entry'!AM497</f>
        <v>0</v>
      </c>
      <c r="AN496" s="49" t="str">
        <f aca="false">IF(P496="","",MIN(120,P496))</f>
        <v/>
      </c>
      <c r="AO496" s="49" t="str">
        <f aca="false">IF(U496="","",MIN(120,U496))</f>
        <v/>
      </c>
      <c r="AP496" s="49" t="str">
        <f aca="false">IF(R496="","",MIN(120,IFERROR(S496/R496*100,0)))</f>
        <v/>
      </c>
      <c r="AQ496" s="49" t="str">
        <f aca="false">IF(W496="","",MIN(120,IF(W496=0,120,100*(INDEX('Standards &amp; Scoring'!$E$5:$E$13,MATCH("Quality / Rejection",'Standards &amp; Scoring'!$A$5:$A$13,0))/W496))))</f>
        <v/>
      </c>
      <c r="AR496" s="49" t="str">
        <f aca="false">IF(AG496="","",MIN(120,IF(AG496=0,120,100*(INDEX('Standards &amp; Scoring'!$E$5:$E$13,MATCH("Fault Control",'Standards &amp; Scoring'!$A$5:$A$13,0))/AG496))))</f>
        <v/>
      </c>
      <c r="AS496" s="49" t="str">
        <f aca="false">IF(O496="","",MIN(120,IF(SUMIFS('Fault &amp; Downtime Entry'!$L$6:$L$1005,'Fault &amp; Downtime Entry'!$E$6:$E$1005,G496,'Fault &amp; Downtime Entry'!$B$6:$B$1005,B496)=0,120,100*(INDEX('Standards &amp; Scoring'!$E$5:$E$13,MATCH("Downtime Control",'Standards &amp; Scoring'!$A$5:$A$13,0))/IFERROR(SUMIFS('Fault &amp; Downtime Entry'!$L$6:$L$1005,'Fault &amp; Downtime Entry'!$E$6:$E$1005,G496,'Fault &amp; Downtime Entry'!$B$6:$B$1005,B496)/O496*1000,999999)))))</f>
        <v/>
      </c>
      <c r="AT496" s="49" t="n">
        <f aca="false">IF(COUNTA(AH496,AJ496)=0,"",MIN(120,IF(AND(AH496&lt;&gt;"",AJ496&lt;&gt;""),AVERAGE(AH496,AJ496),IF(AH496&lt;&gt;"",AH496,AJ496))))</f>
        <v>0</v>
      </c>
      <c r="AU496" s="49" t="str">
        <f aca="false">IF(AI496="","",MIN(120,AI496))</f>
        <v/>
      </c>
      <c r="AV496" s="49" t="str">
        <f aca="false">IF(AJ496="","",MIN(120,AJ496))</f>
        <v/>
      </c>
      <c r="AW496" s="50" t="str">
        <f aca="false">IF(COUNT(AN496:AV496)&lt;9,"",(AN496*'Standards &amp; Scoring'!$D$5+AO496*'Standards &amp; Scoring'!$D$6+AP496*'Standards &amp; Scoring'!$D$7+AQ496*'Standards &amp; Scoring'!$D$8+AR496*'Standards &amp; Scoring'!$D$9+AS496*'Standards &amp; Scoring'!$D$10+AT496*'Standards &amp; Scoring'!$D$11+AU496*'Standards &amp; Scoring'!$D$12+AV496*'Standards &amp; Scoring'!$D$13)/10000)</f>
        <v/>
      </c>
      <c r="AX496" s="47" t="str">
        <f aca="false">IF(AW496="","",IF(AW496&gt;=1.05,"A+",IF(AW496&gt;=1,"A",IF(AW496&gt;=0.95,"B+",IF(AW496&gt;=0.9,"B","C")))))</f>
        <v/>
      </c>
      <c r="AY496" s="47" t="str">
        <f aca="false">IF(AX496="","",IF(AX496="A+",1800,IF(AX496="A",1600,IF(AX496="B+",1400,IF(AX496="B",1200,0)))))</f>
        <v/>
      </c>
      <c r="AZ496" s="49" t="str">
        <f aca="false">IF(OR(L496="",M496="",S496="",M496=0),"",IFERROR(L496*60*S496/(M496*36),0))</f>
        <v/>
      </c>
    </row>
    <row r="497" customFormat="false" ht="15" hidden="false" customHeight="true" outlineLevel="0" collapsed="false">
      <c r="A497" s="47" t="n">
        <f aca="false">'Daily KPI Entry'!A498</f>
        <v>0</v>
      </c>
      <c r="B497" s="48" t="n">
        <f aca="false">'Daily KPI Entry'!B498</f>
        <v>0</v>
      </c>
      <c r="C497" s="47" t="n">
        <f aca="false">'Daily KPI Entry'!C498</f>
        <v>0</v>
      </c>
      <c r="D497" s="47" t="n">
        <f aca="false">'Daily KPI Entry'!D498</f>
        <v>0</v>
      </c>
      <c r="E497" s="47" t="n">
        <f aca="false">'Daily KPI Entry'!E498</f>
        <v>0</v>
      </c>
      <c r="F497" s="47" t="n">
        <f aca="false">'Daily KPI Entry'!F498</f>
        <v>0</v>
      </c>
      <c r="G497" s="47" t="n">
        <f aca="false">'Daily KPI Entry'!G498</f>
        <v>0</v>
      </c>
      <c r="H497" s="47" t="str">
        <f aca="false">'Daily KPI Entry'!H498</f>
        <v/>
      </c>
      <c r="I497" s="47" t="n">
        <f aca="false">'Daily KPI Entry'!I498</f>
        <v>0</v>
      </c>
      <c r="J497" s="47" t="n">
        <f aca="false">'Daily KPI Entry'!J498</f>
        <v>0</v>
      </c>
      <c r="K497" s="47" t="n">
        <f aca="false">'Daily KPI Entry'!K498</f>
        <v>0</v>
      </c>
      <c r="L497" s="47" t="n">
        <f aca="false">'Daily KPI Entry'!L498</f>
        <v>0</v>
      </c>
      <c r="M497" s="47" t="n">
        <f aca="false">'Daily KPI Entry'!M498</f>
        <v>0</v>
      </c>
      <c r="N497" s="49" t="n">
        <f aca="false">'Daily KPI Entry'!N498</f>
        <v>0</v>
      </c>
      <c r="O497" s="49" t="n">
        <f aca="false">'Daily KPI Entry'!O498</f>
        <v>0</v>
      </c>
      <c r="P497" s="49" t="str">
        <f aca="false">IF(OR(N497="",O497=""),"",IFERROR(O497/N497*100,0))</f>
        <v/>
      </c>
      <c r="Q497" s="47" t="n">
        <f aca="false">'Daily KPI Entry'!Q498</f>
        <v>8</v>
      </c>
      <c r="R497" s="47" t="str">
        <f aca="false">IF(J497="","",Q497*J497)</f>
        <v/>
      </c>
      <c r="S497" s="49" t="n">
        <f aca="false">'Daily KPI Entry'!S498</f>
        <v>0</v>
      </c>
      <c r="T497" s="49" t="str">
        <f aca="false">IF(OR(R497="",S497=""),"",IFERROR(S497/R497*100,0))</f>
        <v/>
      </c>
      <c r="U497" s="49" t="str">
        <f aca="false">IF(OR(O497="",L497="",M497="",S497="",M497=0),"",IFERROR(O497/(L497*60*S497/(M497*36))*100,0))</f>
        <v/>
      </c>
      <c r="V497" s="49" t="n">
        <f aca="false">'Daily KPI Entry'!V498</f>
        <v>0</v>
      </c>
      <c r="W497" s="49" t="str">
        <f aca="false">IF(O497="","",IFERROR(V497/O497*100,0))</f>
        <v/>
      </c>
      <c r="X497" s="49" t="n">
        <f aca="false">'Daily KPI Entry'!X498</f>
        <v>0</v>
      </c>
      <c r="Y497" s="49" t="n">
        <f aca="false">'Daily KPI Entry'!Y498</f>
        <v>0</v>
      </c>
      <c r="Z497" s="49" t="n">
        <f aca="false">'Daily KPI Entry'!Z498</f>
        <v>0</v>
      </c>
      <c r="AA497" s="49" t="n">
        <f aca="false">'Daily KPI Entry'!AA498</f>
        <v>0</v>
      </c>
      <c r="AB497" s="49" t="n">
        <f aca="false">'Daily KPI Entry'!AB498</f>
        <v>0</v>
      </c>
      <c r="AC497" s="49" t="n">
        <f aca="false">'Daily KPI Entry'!AC498</f>
        <v>0</v>
      </c>
      <c r="AD497" s="49" t="n">
        <f aca="false">'Daily KPI Entry'!AD498</f>
        <v>0</v>
      </c>
      <c r="AE497" s="49" t="n">
        <f aca="false">'Daily KPI Entry'!AE498</f>
        <v>0</v>
      </c>
      <c r="AF497" s="47" t="str">
        <f aca="false">IF(O497="","",SUM(X497:AE497))</f>
        <v/>
      </c>
      <c r="AG497" s="49" t="str">
        <f aca="false">IF(O497="","",IFERROR(AF497/O497*1000,0))</f>
        <v/>
      </c>
      <c r="AH497" s="49" t="n">
        <f aca="false">'Daily KPI Entry'!AH498</f>
        <v>0</v>
      </c>
      <c r="AI497" s="49" t="n">
        <f aca="false">'Daily KPI Entry'!AI498</f>
        <v>0</v>
      </c>
      <c r="AJ497" s="49" t="n">
        <f aca="false">'Daily KPI Entry'!AJ498</f>
        <v>0</v>
      </c>
      <c r="AK497" s="47" t="n">
        <f aca="false">'Daily KPI Entry'!AK498</f>
        <v>0</v>
      </c>
      <c r="AL497" s="47" t="n">
        <f aca="false">'Daily KPI Entry'!AL498</f>
        <v>0</v>
      </c>
      <c r="AM497" s="47" t="n">
        <f aca="false">'Daily KPI Entry'!AM498</f>
        <v>0</v>
      </c>
      <c r="AN497" s="49" t="str">
        <f aca="false">IF(P497="","",MIN(120,P497))</f>
        <v/>
      </c>
      <c r="AO497" s="49" t="str">
        <f aca="false">IF(U497="","",MIN(120,U497))</f>
        <v/>
      </c>
      <c r="AP497" s="49" t="str">
        <f aca="false">IF(R497="","",MIN(120,IFERROR(S497/R497*100,0)))</f>
        <v/>
      </c>
      <c r="AQ497" s="49" t="str">
        <f aca="false">IF(W497="","",MIN(120,IF(W497=0,120,100*(INDEX('Standards &amp; Scoring'!$E$5:$E$13,MATCH("Quality / Rejection",'Standards &amp; Scoring'!$A$5:$A$13,0))/W497))))</f>
        <v/>
      </c>
      <c r="AR497" s="49" t="str">
        <f aca="false">IF(AG497="","",MIN(120,IF(AG497=0,120,100*(INDEX('Standards &amp; Scoring'!$E$5:$E$13,MATCH("Fault Control",'Standards &amp; Scoring'!$A$5:$A$13,0))/AG497))))</f>
        <v/>
      </c>
      <c r="AS497" s="49" t="str">
        <f aca="false">IF(O497="","",MIN(120,IF(SUMIFS('Fault &amp; Downtime Entry'!$L$6:$L$1005,'Fault &amp; Downtime Entry'!$E$6:$E$1005,G497,'Fault &amp; Downtime Entry'!$B$6:$B$1005,B497)=0,120,100*(INDEX('Standards &amp; Scoring'!$E$5:$E$13,MATCH("Downtime Control",'Standards &amp; Scoring'!$A$5:$A$13,0))/IFERROR(SUMIFS('Fault &amp; Downtime Entry'!$L$6:$L$1005,'Fault &amp; Downtime Entry'!$E$6:$E$1005,G497,'Fault &amp; Downtime Entry'!$B$6:$B$1005,B497)/O497*1000,999999)))))</f>
        <v/>
      </c>
      <c r="AT497" s="49" t="n">
        <f aca="false">IF(COUNTA(AH497,AJ497)=0,"",MIN(120,IF(AND(AH497&lt;&gt;"",AJ497&lt;&gt;""),AVERAGE(AH497,AJ497),IF(AH497&lt;&gt;"",AH497,AJ497))))</f>
        <v>0</v>
      </c>
      <c r="AU497" s="49" t="str">
        <f aca="false">IF(AI497="","",MIN(120,AI497))</f>
        <v/>
      </c>
      <c r="AV497" s="49" t="str">
        <f aca="false">IF(AJ497="","",MIN(120,AJ497))</f>
        <v/>
      </c>
      <c r="AW497" s="50" t="str">
        <f aca="false">IF(COUNT(AN497:AV497)&lt;9,"",(AN497*'Standards &amp; Scoring'!$D$5+AO497*'Standards &amp; Scoring'!$D$6+AP497*'Standards &amp; Scoring'!$D$7+AQ497*'Standards &amp; Scoring'!$D$8+AR497*'Standards &amp; Scoring'!$D$9+AS497*'Standards &amp; Scoring'!$D$10+AT497*'Standards &amp; Scoring'!$D$11+AU497*'Standards &amp; Scoring'!$D$12+AV497*'Standards &amp; Scoring'!$D$13)/10000)</f>
        <v/>
      </c>
      <c r="AX497" s="47" t="str">
        <f aca="false">IF(AW497="","",IF(AW497&gt;=1.05,"A+",IF(AW497&gt;=1,"A",IF(AW497&gt;=0.95,"B+",IF(AW497&gt;=0.9,"B","C")))))</f>
        <v/>
      </c>
      <c r="AY497" s="47" t="str">
        <f aca="false">IF(AX497="","",IF(AX497="A+",1800,IF(AX497="A",1600,IF(AX497="B+",1400,IF(AX497="B",1200,0)))))</f>
        <v/>
      </c>
      <c r="AZ497" s="49" t="str">
        <f aca="false">IF(OR(L497="",M497="",S497="",M497=0),"",IFERROR(L497*60*S497/(M497*36),0))</f>
        <v/>
      </c>
    </row>
    <row r="498" customFormat="false" ht="15" hidden="false" customHeight="true" outlineLevel="0" collapsed="false">
      <c r="A498" s="47" t="n">
        <f aca="false">'Daily KPI Entry'!A499</f>
        <v>0</v>
      </c>
      <c r="B498" s="48" t="n">
        <f aca="false">'Daily KPI Entry'!B499</f>
        <v>0</v>
      </c>
      <c r="C498" s="47" t="n">
        <f aca="false">'Daily KPI Entry'!C499</f>
        <v>0</v>
      </c>
      <c r="D498" s="47" t="n">
        <f aca="false">'Daily KPI Entry'!D499</f>
        <v>0</v>
      </c>
      <c r="E498" s="47" t="n">
        <f aca="false">'Daily KPI Entry'!E499</f>
        <v>0</v>
      </c>
      <c r="F498" s="47" t="n">
        <f aca="false">'Daily KPI Entry'!F499</f>
        <v>0</v>
      </c>
      <c r="G498" s="47" t="n">
        <f aca="false">'Daily KPI Entry'!G499</f>
        <v>0</v>
      </c>
      <c r="H498" s="47" t="str">
        <f aca="false">'Daily KPI Entry'!H499</f>
        <v/>
      </c>
      <c r="I498" s="47" t="n">
        <f aca="false">'Daily KPI Entry'!I499</f>
        <v>0</v>
      </c>
      <c r="J498" s="47" t="n">
        <f aca="false">'Daily KPI Entry'!J499</f>
        <v>0</v>
      </c>
      <c r="K498" s="47" t="n">
        <f aca="false">'Daily KPI Entry'!K499</f>
        <v>0</v>
      </c>
      <c r="L498" s="47" t="n">
        <f aca="false">'Daily KPI Entry'!L499</f>
        <v>0</v>
      </c>
      <c r="M498" s="47" t="n">
        <f aca="false">'Daily KPI Entry'!M499</f>
        <v>0</v>
      </c>
      <c r="N498" s="49" t="n">
        <f aca="false">'Daily KPI Entry'!N499</f>
        <v>0</v>
      </c>
      <c r="O498" s="49" t="n">
        <f aca="false">'Daily KPI Entry'!O499</f>
        <v>0</v>
      </c>
      <c r="P498" s="49" t="str">
        <f aca="false">IF(OR(N498="",O498=""),"",IFERROR(O498/N498*100,0))</f>
        <v/>
      </c>
      <c r="Q498" s="47" t="n">
        <f aca="false">'Daily KPI Entry'!Q499</f>
        <v>8</v>
      </c>
      <c r="R498" s="47" t="str">
        <f aca="false">IF(J498="","",Q498*J498)</f>
        <v/>
      </c>
      <c r="S498" s="49" t="n">
        <f aca="false">'Daily KPI Entry'!S499</f>
        <v>0</v>
      </c>
      <c r="T498" s="49" t="str">
        <f aca="false">IF(OR(R498="",S498=""),"",IFERROR(S498/R498*100,0))</f>
        <v/>
      </c>
      <c r="U498" s="49" t="str">
        <f aca="false">IF(OR(O498="",L498="",M498="",S498="",M498=0),"",IFERROR(O498/(L498*60*S498/(M498*36))*100,0))</f>
        <v/>
      </c>
      <c r="V498" s="49" t="n">
        <f aca="false">'Daily KPI Entry'!V499</f>
        <v>0</v>
      </c>
      <c r="W498" s="49" t="str">
        <f aca="false">IF(O498="","",IFERROR(V498/O498*100,0))</f>
        <v/>
      </c>
      <c r="X498" s="49" t="n">
        <f aca="false">'Daily KPI Entry'!X499</f>
        <v>0</v>
      </c>
      <c r="Y498" s="49" t="n">
        <f aca="false">'Daily KPI Entry'!Y499</f>
        <v>0</v>
      </c>
      <c r="Z498" s="49" t="n">
        <f aca="false">'Daily KPI Entry'!Z499</f>
        <v>0</v>
      </c>
      <c r="AA498" s="49" t="n">
        <f aca="false">'Daily KPI Entry'!AA499</f>
        <v>0</v>
      </c>
      <c r="AB498" s="49" t="n">
        <f aca="false">'Daily KPI Entry'!AB499</f>
        <v>0</v>
      </c>
      <c r="AC498" s="49" t="n">
        <f aca="false">'Daily KPI Entry'!AC499</f>
        <v>0</v>
      </c>
      <c r="AD498" s="49" t="n">
        <f aca="false">'Daily KPI Entry'!AD499</f>
        <v>0</v>
      </c>
      <c r="AE498" s="49" t="n">
        <f aca="false">'Daily KPI Entry'!AE499</f>
        <v>0</v>
      </c>
      <c r="AF498" s="47" t="str">
        <f aca="false">IF(O498="","",SUM(X498:AE498))</f>
        <v/>
      </c>
      <c r="AG498" s="49" t="str">
        <f aca="false">IF(O498="","",IFERROR(AF498/O498*1000,0))</f>
        <v/>
      </c>
      <c r="AH498" s="49" t="n">
        <f aca="false">'Daily KPI Entry'!AH499</f>
        <v>0</v>
      </c>
      <c r="AI498" s="49" t="n">
        <f aca="false">'Daily KPI Entry'!AI499</f>
        <v>0</v>
      </c>
      <c r="AJ498" s="49" t="n">
        <f aca="false">'Daily KPI Entry'!AJ499</f>
        <v>0</v>
      </c>
      <c r="AK498" s="47" t="n">
        <f aca="false">'Daily KPI Entry'!AK499</f>
        <v>0</v>
      </c>
      <c r="AL498" s="47" t="n">
        <f aca="false">'Daily KPI Entry'!AL499</f>
        <v>0</v>
      </c>
      <c r="AM498" s="47" t="n">
        <f aca="false">'Daily KPI Entry'!AM499</f>
        <v>0</v>
      </c>
      <c r="AN498" s="49" t="str">
        <f aca="false">IF(P498="","",MIN(120,P498))</f>
        <v/>
      </c>
      <c r="AO498" s="49" t="str">
        <f aca="false">IF(U498="","",MIN(120,U498))</f>
        <v/>
      </c>
      <c r="AP498" s="49" t="str">
        <f aca="false">IF(R498="","",MIN(120,IFERROR(S498/R498*100,0)))</f>
        <v/>
      </c>
      <c r="AQ498" s="49" t="str">
        <f aca="false">IF(W498="","",MIN(120,IF(W498=0,120,100*(INDEX('Standards &amp; Scoring'!$E$5:$E$13,MATCH("Quality / Rejection",'Standards &amp; Scoring'!$A$5:$A$13,0))/W498))))</f>
        <v/>
      </c>
      <c r="AR498" s="49" t="str">
        <f aca="false">IF(AG498="","",MIN(120,IF(AG498=0,120,100*(INDEX('Standards &amp; Scoring'!$E$5:$E$13,MATCH("Fault Control",'Standards &amp; Scoring'!$A$5:$A$13,0))/AG498))))</f>
        <v/>
      </c>
      <c r="AS498" s="49" t="str">
        <f aca="false">IF(O498="","",MIN(120,IF(SUMIFS('Fault &amp; Downtime Entry'!$L$6:$L$1005,'Fault &amp; Downtime Entry'!$E$6:$E$1005,G498,'Fault &amp; Downtime Entry'!$B$6:$B$1005,B498)=0,120,100*(INDEX('Standards &amp; Scoring'!$E$5:$E$13,MATCH("Downtime Control",'Standards &amp; Scoring'!$A$5:$A$13,0))/IFERROR(SUMIFS('Fault &amp; Downtime Entry'!$L$6:$L$1005,'Fault &amp; Downtime Entry'!$E$6:$E$1005,G498,'Fault &amp; Downtime Entry'!$B$6:$B$1005,B498)/O498*1000,999999)))))</f>
        <v/>
      </c>
      <c r="AT498" s="49" t="n">
        <f aca="false">IF(COUNTA(AH498,AJ498)=0,"",MIN(120,IF(AND(AH498&lt;&gt;"",AJ498&lt;&gt;""),AVERAGE(AH498,AJ498),IF(AH498&lt;&gt;"",AH498,AJ498))))</f>
        <v>0</v>
      </c>
      <c r="AU498" s="49" t="str">
        <f aca="false">IF(AI498="","",MIN(120,AI498))</f>
        <v/>
      </c>
      <c r="AV498" s="49" t="str">
        <f aca="false">IF(AJ498="","",MIN(120,AJ498))</f>
        <v/>
      </c>
      <c r="AW498" s="50" t="str">
        <f aca="false">IF(COUNT(AN498:AV498)&lt;9,"",(AN498*'Standards &amp; Scoring'!$D$5+AO498*'Standards &amp; Scoring'!$D$6+AP498*'Standards &amp; Scoring'!$D$7+AQ498*'Standards &amp; Scoring'!$D$8+AR498*'Standards &amp; Scoring'!$D$9+AS498*'Standards &amp; Scoring'!$D$10+AT498*'Standards &amp; Scoring'!$D$11+AU498*'Standards &amp; Scoring'!$D$12+AV498*'Standards &amp; Scoring'!$D$13)/10000)</f>
        <v/>
      </c>
      <c r="AX498" s="47" t="str">
        <f aca="false">IF(AW498="","",IF(AW498&gt;=1.05,"A+",IF(AW498&gt;=1,"A",IF(AW498&gt;=0.95,"B+",IF(AW498&gt;=0.9,"B","C")))))</f>
        <v/>
      </c>
      <c r="AY498" s="47" t="str">
        <f aca="false">IF(AX498="","",IF(AX498="A+",1800,IF(AX498="A",1600,IF(AX498="B+",1400,IF(AX498="B",1200,0)))))</f>
        <v/>
      </c>
      <c r="AZ498" s="49" t="str">
        <f aca="false">IF(OR(L498="",M498="",S498="",M498=0),"",IFERROR(L498*60*S498/(M498*36),0))</f>
        <v/>
      </c>
    </row>
    <row r="499" customFormat="false" ht="15" hidden="false" customHeight="true" outlineLevel="0" collapsed="false">
      <c r="A499" s="47" t="n">
        <f aca="false">'Daily KPI Entry'!A500</f>
        <v>0</v>
      </c>
      <c r="B499" s="48" t="n">
        <f aca="false">'Daily KPI Entry'!B500</f>
        <v>0</v>
      </c>
      <c r="C499" s="47" t="n">
        <f aca="false">'Daily KPI Entry'!C500</f>
        <v>0</v>
      </c>
      <c r="D499" s="47" t="n">
        <f aca="false">'Daily KPI Entry'!D500</f>
        <v>0</v>
      </c>
      <c r="E499" s="47" t="n">
        <f aca="false">'Daily KPI Entry'!E500</f>
        <v>0</v>
      </c>
      <c r="F499" s="47" t="n">
        <f aca="false">'Daily KPI Entry'!F500</f>
        <v>0</v>
      </c>
      <c r="G499" s="47" t="n">
        <f aca="false">'Daily KPI Entry'!G500</f>
        <v>0</v>
      </c>
      <c r="H499" s="47" t="str">
        <f aca="false">'Daily KPI Entry'!H500</f>
        <v/>
      </c>
      <c r="I499" s="47" t="n">
        <f aca="false">'Daily KPI Entry'!I500</f>
        <v>0</v>
      </c>
      <c r="J499" s="47" t="n">
        <f aca="false">'Daily KPI Entry'!J500</f>
        <v>0</v>
      </c>
      <c r="K499" s="47" t="n">
        <f aca="false">'Daily KPI Entry'!K500</f>
        <v>0</v>
      </c>
      <c r="L499" s="47" t="n">
        <f aca="false">'Daily KPI Entry'!L500</f>
        <v>0</v>
      </c>
      <c r="M499" s="47" t="n">
        <f aca="false">'Daily KPI Entry'!M500</f>
        <v>0</v>
      </c>
      <c r="N499" s="49" t="n">
        <f aca="false">'Daily KPI Entry'!N500</f>
        <v>0</v>
      </c>
      <c r="O499" s="49" t="n">
        <f aca="false">'Daily KPI Entry'!O500</f>
        <v>0</v>
      </c>
      <c r="P499" s="49" t="str">
        <f aca="false">IF(OR(N499="",O499=""),"",IFERROR(O499/N499*100,0))</f>
        <v/>
      </c>
      <c r="Q499" s="47" t="n">
        <f aca="false">'Daily KPI Entry'!Q500</f>
        <v>8</v>
      </c>
      <c r="R499" s="47" t="str">
        <f aca="false">IF(J499="","",Q499*J499)</f>
        <v/>
      </c>
      <c r="S499" s="49" t="n">
        <f aca="false">'Daily KPI Entry'!S500</f>
        <v>0</v>
      </c>
      <c r="T499" s="49" t="str">
        <f aca="false">IF(OR(R499="",S499=""),"",IFERROR(S499/R499*100,0))</f>
        <v/>
      </c>
      <c r="U499" s="49" t="str">
        <f aca="false">IF(OR(O499="",L499="",M499="",S499="",M499=0),"",IFERROR(O499/(L499*60*S499/(M499*36))*100,0))</f>
        <v/>
      </c>
      <c r="V499" s="49" t="n">
        <f aca="false">'Daily KPI Entry'!V500</f>
        <v>0</v>
      </c>
      <c r="W499" s="49" t="str">
        <f aca="false">IF(O499="","",IFERROR(V499/O499*100,0))</f>
        <v/>
      </c>
      <c r="X499" s="49" t="n">
        <f aca="false">'Daily KPI Entry'!X500</f>
        <v>0</v>
      </c>
      <c r="Y499" s="49" t="n">
        <f aca="false">'Daily KPI Entry'!Y500</f>
        <v>0</v>
      </c>
      <c r="Z499" s="49" t="n">
        <f aca="false">'Daily KPI Entry'!Z500</f>
        <v>0</v>
      </c>
      <c r="AA499" s="49" t="n">
        <f aca="false">'Daily KPI Entry'!AA500</f>
        <v>0</v>
      </c>
      <c r="AB499" s="49" t="n">
        <f aca="false">'Daily KPI Entry'!AB500</f>
        <v>0</v>
      </c>
      <c r="AC499" s="49" t="n">
        <f aca="false">'Daily KPI Entry'!AC500</f>
        <v>0</v>
      </c>
      <c r="AD499" s="49" t="n">
        <f aca="false">'Daily KPI Entry'!AD500</f>
        <v>0</v>
      </c>
      <c r="AE499" s="49" t="n">
        <f aca="false">'Daily KPI Entry'!AE500</f>
        <v>0</v>
      </c>
      <c r="AF499" s="47" t="str">
        <f aca="false">IF(O499="","",SUM(X499:AE499))</f>
        <v/>
      </c>
      <c r="AG499" s="49" t="str">
        <f aca="false">IF(O499="","",IFERROR(AF499/O499*1000,0))</f>
        <v/>
      </c>
      <c r="AH499" s="49" t="n">
        <f aca="false">'Daily KPI Entry'!AH500</f>
        <v>0</v>
      </c>
      <c r="AI499" s="49" t="n">
        <f aca="false">'Daily KPI Entry'!AI500</f>
        <v>0</v>
      </c>
      <c r="AJ499" s="49" t="n">
        <f aca="false">'Daily KPI Entry'!AJ500</f>
        <v>0</v>
      </c>
      <c r="AK499" s="47" t="n">
        <f aca="false">'Daily KPI Entry'!AK500</f>
        <v>0</v>
      </c>
      <c r="AL499" s="47" t="n">
        <f aca="false">'Daily KPI Entry'!AL500</f>
        <v>0</v>
      </c>
      <c r="AM499" s="47" t="n">
        <f aca="false">'Daily KPI Entry'!AM500</f>
        <v>0</v>
      </c>
      <c r="AN499" s="49" t="str">
        <f aca="false">IF(P499="","",MIN(120,P499))</f>
        <v/>
      </c>
      <c r="AO499" s="49" t="str">
        <f aca="false">IF(U499="","",MIN(120,U499))</f>
        <v/>
      </c>
      <c r="AP499" s="49" t="str">
        <f aca="false">IF(R499="","",MIN(120,IFERROR(S499/R499*100,0)))</f>
        <v/>
      </c>
      <c r="AQ499" s="49" t="str">
        <f aca="false">IF(W499="","",MIN(120,IF(W499=0,120,100*(INDEX('Standards &amp; Scoring'!$E$5:$E$13,MATCH("Quality / Rejection",'Standards &amp; Scoring'!$A$5:$A$13,0))/W499))))</f>
        <v/>
      </c>
      <c r="AR499" s="49" t="str">
        <f aca="false">IF(AG499="","",MIN(120,IF(AG499=0,120,100*(INDEX('Standards &amp; Scoring'!$E$5:$E$13,MATCH("Fault Control",'Standards &amp; Scoring'!$A$5:$A$13,0))/AG499))))</f>
        <v/>
      </c>
      <c r="AS499" s="49" t="str">
        <f aca="false">IF(O499="","",MIN(120,IF(SUMIFS('Fault &amp; Downtime Entry'!$L$6:$L$1005,'Fault &amp; Downtime Entry'!$E$6:$E$1005,G499,'Fault &amp; Downtime Entry'!$B$6:$B$1005,B499)=0,120,100*(INDEX('Standards &amp; Scoring'!$E$5:$E$13,MATCH("Downtime Control",'Standards &amp; Scoring'!$A$5:$A$13,0))/IFERROR(SUMIFS('Fault &amp; Downtime Entry'!$L$6:$L$1005,'Fault &amp; Downtime Entry'!$E$6:$E$1005,G499,'Fault &amp; Downtime Entry'!$B$6:$B$1005,B499)/O499*1000,999999)))))</f>
        <v/>
      </c>
      <c r="AT499" s="49" t="n">
        <f aca="false">IF(COUNTA(AH499,AJ499)=0,"",MIN(120,IF(AND(AH499&lt;&gt;"",AJ499&lt;&gt;""),AVERAGE(AH499,AJ499),IF(AH499&lt;&gt;"",AH499,AJ499))))</f>
        <v>0</v>
      </c>
      <c r="AU499" s="49" t="str">
        <f aca="false">IF(AI499="","",MIN(120,AI499))</f>
        <v/>
      </c>
      <c r="AV499" s="49" t="str">
        <f aca="false">IF(AJ499="","",MIN(120,AJ499))</f>
        <v/>
      </c>
      <c r="AW499" s="50" t="str">
        <f aca="false">IF(COUNT(AN499:AV499)&lt;9,"",(AN499*'Standards &amp; Scoring'!$D$5+AO499*'Standards &amp; Scoring'!$D$6+AP499*'Standards &amp; Scoring'!$D$7+AQ499*'Standards &amp; Scoring'!$D$8+AR499*'Standards &amp; Scoring'!$D$9+AS499*'Standards &amp; Scoring'!$D$10+AT499*'Standards &amp; Scoring'!$D$11+AU499*'Standards &amp; Scoring'!$D$12+AV499*'Standards &amp; Scoring'!$D$13)/10000)</f>
        <v/>
      </c>
      <c r="AX499" s="47" t="str">
        <f aca="false">IF(AW499="","",IF(AW499&gt;=1.05,"A+",IF(AW499&gt;=1,"A",IF(AW499&gt;=0.95,"B+",IF(AW499&gt;=0.9,"B","C")))))</f>
        <v/>
      </c>
      <c r="AY499" s="47" t="str">
        <f aca="false">IF(AX499="","",IF(AX499="A+",1800,IF(AX499="A",1600,IF(AX499="B+",1400,IF(AX499="B",1200,0)))))</f>
        <v/>
      </c>
      <c r="AZ499" s="49" t="str">
        <f aca="false">IF(OR(L499="",M499="",S499="",M499=0),"",IFERROR(L499*60*S499/(M499*36),0))</f>
        <v/>
      </c>
    </row>
    <row r="500" customFormat="false" ht="15" hidden="false" customHeight="true" outlineLevel="0" collapsed="false">
      <c r="A500" s="47" t="n">
        <f aca="false">'Daily KPI Entry'!A501</f>
        <v>0</v>
      </c>
      <c r="B500" s="48" t="n">
        <f aca="false">'Daily KPI Entry'!B501</f>
        <v>0</v>
      </c>
      <c r="C500" s="47" t="n">
        <f aca="false">'Daily KPI Entry'!C501</f>
        <v>0</v>
      </c>
      <c r="D500" s="47" t="n">
        <f aca="false">'Daily KPI Entry'!D501</f>
        <v>0</v>
      </c>
      <c r="E500" s="47" t="n">
        <f aca="false">'Daily KPI Entry'!E501</f>
        <v>0</v>
      </c>
      <c r="F500" s="47" t="n">
        <f aca="false">'Daily KPI Entry'!F501</f>
        <v>0</v>
      </c>
      <c r="G500" s="47" t="n">
        <f aca="false">'Daily KPI Entry'!G501</f>
        <v>0</v>
      </c>
      <c r="H500" s="47" t="str">
        <f aca="false">'Daily KPI Entry'!H501</f>
        <v/>
      </c>
      <c r="I500" s="47" t="n">
        <f aca="false">'Daily KPI Entry'!I501</f>
        <v>0</v>
      </c>
      <c r="J500" s="47" t="n">
        <f aca="false">'Daily KPI Entry'!J501</f>
        <v>0</v>
      </c>
      <c r="K500" s="47" t="n">
        <f aca="false">'Daily KPI Entry'!K501</f>
        <v>0</v>
      </c>
      <c r="L500" s="47" t="n">
        <f aca="false">'Daily KPI Entry'!L501</f>
        <v>0</v>
      </c>
      <c r="M500" s="47" t="n">
        <f aca="false">'Daily KPI Entry'!M501</f>
        <v>0</v>
      </c>
      <c r="N500" s="49" t="n">
        <f aca="false">'Daily KPI Entry'!N501</f>
        <v>0</v>
      </c>
      <c r="O500" s="49" t="n">
        <f aca="false">'Daily KPI Entry'!O501</f>
        <v>0</v>
      </c>
      <c r="P500" s="49" t="str">
        <f aca="false">IF(OR(N500="",O500=""),"",IFERROR(O500/N500*100,0))</f>
        <v/>
      </c>
      <c r="Q500" s="47" t="n">
        <f aca="false">'Daily KPI Entry'!Q501</f>
        <v>8</v>
      </c>
      <c r="R500" s="47" t="str">
        <f aca="false">IF(J500="","",Q500*J500)</f>
        <v/>
      </c>
      <c r="S500" s="49" t="n">
        <f aca="false">'Daily KPI Entry'!S501</f>
        <v>0</v>
      </c>
      <c r="T500" s="49" t="str">
        <f aca="false">IF(OR(R500="",S500=""),"",IFERROR(S500/R500*100,0))</f>
        <v/>
      </c>
      <c r="U500" s="49" t="str">
        <f aca="false">IF(OR(O500="",L500="",M500="",S500="",M500=0),"",IFERROR(O500/(L500*60*S500/(M500*36))*100,0))</f>
        <v/>
      </c>
      <c r="V500" s="49" t="n">
        <f aca="false">'Daily KPI Entry'!V501</f>
        <v>0</v>
      </c>
      <c r="W500" s="49" t="str">
        <f aca="false">IF(O500="","",IFERROR(V500/O500*100,0))</f>
        <v/>
      </c>
      <c r="X500" s="49" t="n">
        <f aca="false">'Daily KPI Entry'!X501</f>
        <v>0</v>
      </c>
      <c r="Y500" s="49" t="n">
        <f aca="false">'Daily KPI Entry'!Y501</f>
        <v>0</v>
      </c>
      <c r="Z500" s="49" t="n">
        <f aca="false">'Daily KPI Entry'!Z501</f>
        <v>0</v>
      </c>
      <c r="AA500" s="49" t="n">
        <f aca="false">'Daily KPI Entry'!AA501</f>
        <v>0</v>
      </c>
      <c r="AB500" s="49" t="n">
        <f aca="false">'Daily KPI Entry'!AB501</f>
        <v>0</v>
      </c>
      <c r="AC500" s="49" t="n">
        <f aca="false">'Daily KPI Entry'!AC501</f>
        <v>0</v>
      </c>
      <c r="AD500" s="49" t="n">
        <f aca="false">'Daily KPI Entry'!AD501</f>
        <v>0</v>
      </c>
      <c r="AE500" s="49" t="n">
        <f aca="false">'Daily KPI Entry'!AE501</f>
        <v>0</v>
      </c>
      <c r="AF500" s="47" t="str">
        <f aca="false">IF(O500="","",SUM(X500:AE500))</f>
        <v/>
      </c>
      <c r="AG500" s="49" t="str">
        <f aca="false">IF(O500="","",IFERROR(AF500/O500*1000,0))</f>
        <v/>
      </c>
      <c r="AH500" s="49" t="n">
        <f aca="false">'Daily KPI Entry'!AH501</f>
        <v>0</v>
      </c>
      <c r="AI500" s="49" t="n">
        <f aca="false">'Daily KPI Entry'!AI501</f>
        <v>0</v>
      </c>
      <c r="AJ500" s="49" t="n">
        <f aca="false">'Daily KPI Entry'!AJ501</f>
        <v>0</v>
      </c>
      <c r="AK500" s="47" t="n">
        <f aca="false">'Daily KPI Entry'!AK501</f>
        <v>0</v>
      </c>
      <c r="AL500" s="47" t="n">
        <f aca="false">'Daily KPI Entry'!AL501</f>
        <v>0</v>
      </c>
      <c r="AM500" s="47" t="n">
        <f aca="false">'Daily KPI Entry'!AM501</f>
        <v>0</v>
      </c>
      <c r="AN500" s="49" t="str">
        <f aca="false">IF(P500="","",MIN(120,P500))</f>
        <v/>
      </c>
      <c r="AO500" s="49" t="str">
        <f aca="false">IF(U500="","",MIN(120,U500))</f>
        <v/>
      </c>
      <c r="AP500" s="49" t="str">
        <f aca="false">IF(R500="","",MIN(120,IFERROR(S500/R500*100,0)))</f>
        <v/>
      </c>
      <c r="AQ500" s="49" t="str">
        <f aca="false">IF(W500="","",MIN(120,IF(W500=0,120,100*(INDEX('Standards &amp; Scoring'!$E$5:$E$13,MATCH("Quality / Rejection",'Standards &amp; Scoring'!$A$5:$A$13,0))/W500))))</f>
        <v/>
      </c>
      <c r="AR500" s="49" t="str">
        <f aca="false">IF(AG500="","",MIN(120,IF(AG500=0,120,100*(INDEX('Standards &amp; Scoring'!$E$5:$E$13,MATCH("Fault Control",'Standards &amp; Scoring'!$A$5:$A$13,0))/AG500))))</f>
        <v/>
      </c>
      <c r="AS500" s="49" t="str">
        <f aca="false">IF(O500="","",MIN(120,IF(SUMIFS('Fault &amp; Downtime Entry'!$L$6:$L$1005,'Fault &amp; Downtime Entry'!$E$6:$E$1005,G500,'Fault &amp; Downtime Entry'!$B$6:$B$1005,B500)=0,120,100*(INDEX('Standards &amp; Scoring'!$E$5:$E$13,MATCH("Downtime Control",'Standards &amp; Scoring'!$A$5:$A$13,0))/IFERROR(SUMIFS('Fault &amp; Downtime Entry'!$L$6:$L$1005,'Fault &amp; Downtime Entry'!$E$6:$E$1005,G500,'Fault &amp; Downtime Entry'!$B$6:$B$1005,B500)/O500*1000,999999)))))</f>
        <v/>
      </c>
      <c r="AT500" s="49" t="n">
        <f aca="false">IF(COUNTA(AH500,AJ500)=0,"",MIN(120,IF(AND(AH500&lt;&gt;"",AJ500&lt;&gt;""),AVERAGE(AH500,AJ500),IF(AH500&lt;&gt;"",AH500,AJ500))))</f>
        <v>0</v>
      </c>
      <c r="AU500" s="49" t="str">
        <f aca="false">IF(AI500="","",MIN(120,AI500))</f>
        <v/>
      </c>
      <c r="AV500" s="49" t="str">
        <f aca="false">IF(AJ500="","",MIN(120,AJ500))</f>
        <v/>
      </c>
      <c r="AW500" s="50" t="str">
        <f aca="false">IF(COUNT(AN500:AV500)&lt;9,"",(AN500*'Standards &amp; Scoring'!$D$5+AO500*'Standards &amp; Scoring'!$D$6+AP500*'Standards &amp; Scoring'!$D$7+AQ500*'Standards &amp; Scoring'!$D$8+AR500*'Standards &amp; Scoring'!$D$9+AS500*'Standards &amp; Scoring'!$D$10+AT500*'Standards &amp; Scoring'!$D$11+AU500*'Standards &amp; Scoring'!$D$12+AV500*'Standards &amp; Scoring'!$D$13)/10000)</f>
        <v/>
      </c>
      <c r="AX500" s="47" t="str">
        <f aca="false">IF(AW500="","",IF(AW500&gt;=1.05,"A+",IF(AW500&gt;=1,"A",IF(AW500&gt;=0.95,"B+",IF(AW500&gt;=0.9,"B","C")))))</f>
        <v/>
      </c>
      <c r="AY500" s="47" t="str">
        <f aca="false">IF(AX500="","",IF(AX500="A+",1800,IF(AX500="A",1600,IF(AX500="B+",1400,IF(AX500="B",1200,0)))))</f>
        <v/>
      </c>
      <c r="AZ500" s="49" t="str">
        <f aca="false">IF(OR(L500="",M500="",S500="",M500=0),"",IFERROR(L500*60*S500/(M500*36),0))</f>
        <v/>
      </c>
    </row>
    <row r="501" customFormat="false" ht="15" hidden="false" customHeight="true" outlineLevel="0" collapsed="false">
      <c r="A501" s="47" t="n">
        <f aca="false">'Daily KPI Entry'!A502</f>
        <v>0</v>
      </c>
      <c r="B501" s="48" t="n">
        <f aca="false">'Daily KPI Entry'!B502</f>
        <v>0</v>
      </c>
      <c r="C501" s="47" t="n">
        <f aca="false">'Daily KPI Entry'!C502</f>
        <v>0</v>
      </c>
      <c r="D501" s="47" t="n">
        <f aca="false">'Daily KPI Entry'!D502</f>
        <v>0</v>
      </c>
      <c r="E501" s="47" t="n">
        <f aca="false">'Daily KPI Entry'!E502</f>
        <v>0</v>
      </c>
      <c r="F501" s="47" t="n">
        <f aca="false">'Daily KPI Entry'!F502</f>
        <v>0</v>
      </c>
      <c r="G501" s="47" t="n">
        <f aca="false">'Daily KPI Entry'!G502</f>
        <v>0</v>
      </c>
      <c r="H501" s="47" t="str">
        <f aca="false">'Daily KPI Entry'!H502</f>
        <v/>
      </c>
      <c r="I501" s="47" t="n">
        <f aca="false">'Daily KPI Entry'!I502</f>
        <v>0</v>
      </c>
      <c r="J501" s="47" t="n">
        <f aca="false">'Daily KPI Entry'!J502</f>
        <v>0</v>
      </c>
      <c r="K501" s="47" t="n">
        <f aca="false">'Daily KPI Entry'!K502</f>
        <v>0</v>
      </c>
      <c r="L501" s="47" t="n">
        <f aca="false">'Daily KPI Entry'!L502</f>
        <v>0</v>
      </c>
      <c r="M501" s="47" t="n">
        <f aca="false">'Daily KPI Entry'!M502</f>
        <v>0</v>
      </c>
      <c r="N501" s="49" t="n">
        <f aca="false">'Daily KPI Entry'!N502</f>
        <v>0</v>
      </c>
      <c r="O501" s="49" t="n">
        <f aca="false">'Daily KPI Entry'!O502</f>
        <v>0</v>
      </c>
      <c r="P501" s="49" t="str">
        <f aca="false">IF(OR(N501="",O501=""),"",IFERROR(O501/N501*100,0))</f>
        <v/>
      </c>
      <c r="Q501" s="47" t="n">
        <f aca="false">'Daily KPI Entry'!Q502</f>
        <v>8</v>
      </c>
      <c r="R501" s="47" t="str">
        <f aca="false">IF(J501="","",Q501*J501)</f>
        <v/>
      </c>
      <c r="S501" s="49" t="n">
        <f aca="false">'Daily KPI Entry'!S502</f>
        <v>0</v>
      </c>
      <c r="T501" s="49" t="str">
        <f aca="false">IF(OR(R501="",S501=""),"",IFERROR(S501/R501*100,0))</f>
        <v/>
      </c>
      <c r="U501" s="49" t="str">
        <f aca="false">IF(OR(O501="",L501="",M501="",S501="",M501=0),"",IFERROR(O501/(L501*60*S501/(M501*36))*100,0))</f>
        <v/>
      </c>
      <c r="V501" s="49" t="n">
        <f aca="false">'Daily KPI Entry'!V502</f>
        <v>0</v>
      </c>
      <c r="W501" s="49" t="str">
        <f aca="false">IF(O501="","",IFERROR(V501/O501*100,0))</f>
        <v/>
      </c>
      <c r="X501" s="49" t="n">
        <f aca="false">'Daily KPI Entry'!X502</f>
        <v>0</v>
      </c>
      <c r="Y501" s="49" t="n">
        <f aca="false">'Daily KPI Entry'!Y502</f>
        <v>0</v>
      </c>
      <c r="Z501" s="49" t="n">
        <f aca="false">'Daily KPI Entry'!Z502</f>
        <v>0</v>
      </c>
      <c r="AA501" s="49" t="n">
        <f aca="false">'Daily KPI Entry'!AA502</f>
        <v>0</v>
      </c>
      <c r="AB501" s="49" t="n">
        <f aca="false">'Daily KPI Entry'!AB502</f>
        <v>0</v>
      </c>
      <c r="AC501" s="49" t="n">
        <f aca="false">'Daily KPI Entry'!AC502</f>
        <v>0</v>
      </c>
      <c r="AD501" s="49" t="n">
        <f aca="false">'Daily KPI Entry'!AD502</f>
        <v>0</v>
      </c>
      <c r="AE501" s="49" t="n">
        <f aca="false">'Daily KPI Entry'!AE502</f>
        <v>0</v>
      </c>
      <c r="AF501" s="47" t="str">
        <f aca="false">IF(O501="","",SUM(X501:AE501))</f>
        <v/>
      </c>
      <c r="AG501" s="49" t="str">
        <f aca="false">IF(O501="","",IFERROR(AF501/O501*1000,0))</f>
        <v/>
      </c>
      <c r="AH501" s="49" t="n">
        <f aca="false">'Daily KPI Entry'!AH502</f>
        <v>0</v>
      </c>
      <c r="AI501" s="49" t="n">
        <f aca="false">'Daily KPI Entry'!AI502</f>
        <v>0</v>
      </c>
      <c r="AJ501" s="49" t="n">
        <f aca="false">'Daily KPI Entry'!AJ502</f>
        <v>0</v>
      </c>
      <c r="AK501" s="47" t="n">
        <f aca="false">'Daily KPI Entry'!AK502</f>
        <v>0</v>
      </c>
      <c r="AL501" s="47" t="n">
        <f aca="false">'Daily KPI Entry'!AL502</f>
        <v>0</v>
      </c>
      <c r="AM501" s="47" t="n">
        <f aca="false">'Daily KPI Entry'!AM502</f>
        <v>0</v>
      </c>
      <c r="AN501" s="49" t="str">
        <f aca="false">IF(P501="","",MIN(120,P501))</f>
        <v/>
      </c>
      <c r="AO501" s="49" t="str">
        <f aca="false">IF(U501="","",MIN(120,U501))</f>
        <v/>
      </c>
      <c r="AP501" s="49" t="str">
        <f aca="false">IF(R501="","",MIN(120,IFERROR(S501/R501*100,0)))</f>
        <v/>
      </c>
      <c r="AQ501" s="49" t="str">
        <f aca="false">IF(W501="","",MIN(120,IF(W501=0,120,100*(INDEX('Standards &amp; Scoring'!$E$5:$E$13,MATCH("Quality / Rejection",'Standards &amp; Scoring'!$A$5:$A$13,0))/W501))))</f>
        <v/>
      </c>
      <c r="AR501" s="49" t="str">
        <f aca="false">IF(AG501="","",MIN(120,IF(AG501=0,120,100*(INDEX('Standards &amp; Scoring'!$E$5:$E$13,MATCH("Fault Control",'Standards &amp; Scoring'!$A$5:$A$13,0))/AG501))))</f>
        <v/>
      </c>
      <c r="AS501" s="49" t="str">
        <f aca="false">IF(O501="","",MIN(120,IF(SUMIFS('Fault &amp; Downtime Entry'!$L$6:$L$1005,'Fault &amp; Downtime Entry'!$E$6:$E$1005,G501,'Fault &amp; Downtime Entry'!$B$6:$B$1005,B501)=0,120,100*(INDEX('Standards &amp; Scoring'!$E$5:$E$13,MATCH("Downtime Control",'Standards &amp; Scoring'!$A$5:$A$13,0))/IFERROR(SUMIFS('Fault &amp; Downtime Entry'!$L$6:$L$1005,'Fault &amp; Downtime Entry'!$E$6:$E$1005,G501,'Fault &amp; Downtime Entry'!$B$6:$B$1005,B501)/O501*1000,999999)))))</f>
        <v/>
      </c>
      <c r="AT501" s="49" t="n">
        <f aca="false">IF(COUNTA(AH501,AJ501)=0,"",MIN(120,IF(AND(AH501&lt;&gt;"",AJ501&lt;&gt;""),AVERAGE(AH501,AJ501),IF(AH501&lt;&gt;"",AH501,AJ501))))</f>
        <v>0</v>
      </c>
      <c r="AU501" s="49" t="str">
        <f aca="false">IF(AI501="","",MIN(120,AI501))</f>
        <v/>
      </c>
      <c r="AV501" s="49" t="str">
        <f aca="false">IF(AJ501="","",MIN(120,AJ501))</f>
        <v/>
      </c>
      <c r="AW501" s="50" t="str">
        <f aca="false">IF(COUNT(AN501:AV501)&lt;9,"",(AN501*'Standards &amp; Scoring'!$D$5+AO501*'Standards &amp; Scoring'!$D$6+AP501*'Standards &amp; Scoring'!$D$7+AQ501*'Standards &amp; Scoring'!$D$8+AR501*'Standards &amp; Scoring'!$D$9+AS501*'Standards &amp; Scoring'!$D$10+AT501*'Standards &amp; Scoring'!$D$11+AU501*'Standards &amp; Scoring'!$D$12+AV501*'Standards &amp; Scoring'!$D$13)/10000)</f>
        <v/>
      </c>
      <c r="AX501" s="47" t="str">
        <f aca="false">IF(AW501="","",IF(AW501&gt;=1.05,"A+",IF(AW501&gt;=1,"A",IF(AW501&gt;=0.95,"B+",IF(AW501&gt;=0.9,"B","C")))))</f>
        <v/>
      </c>
      <c r="AY501" s="47" t="str">
        <f aca="false">IF(AX501="","",IF(AX501="A+",1800,IF(AX501="A",1600,IF(AX501="B+",1400,IF(AX501="B",1200,0)))))</f>
        <v/>
      </c>
      <c r="AZ501" s="49" t="str">
        <f aca="false">IF(OR(L501="",M501="",S501="",M501=0),"",IFERROR(L501*60*S501/(M501*36),0))</f>
        <v/>
      </c>
    </row>
    <row r="502" customFormat="false" ht="15" hidden="false" customHeight="true" outlineLevel="0" collapsed="false">
      <c r="A502" s="47" t="n">
        <f aca="false">'Daily KPI Entry'!A503</f>
        <v>0</v>
      </c>
      <c r="B502" s="48" t="n">
        <f aca="false">'Daily KPI Entry'!B503</f>
        <v>0</v>
      </c>
      <c r="C502" s="47" t="n">
        <f aca="false">'Daily KPI Entry'!C503</f>
        <v>0</v>
      </c>
      <c r="D502" s="47" t="n">
        <f aca="false">'Daily KPI Entry'!D503</f>
        <v>0</v>
      </c>
      <c r="E502" s="47" t="n">
        <f aca="false">'Daily KPI Entry'!E503</f>
        <v>0</v>
      </c>
      <c r="F502" s="47" t="n">
        <f aca="false">'Daily KPI Entry'!F503</f>
        <v>0</v>
      </c>
      <c r="G502" s="47" t="n">
        <f aca="false">'Daily KPI Entry'!G503</f>
        <v>0</v>
      </c>
      <c r="H502" s="47" t="str">
        <f aca="false">'Daily KPI Entry'!H503</f>
        <v/>
      </c>
      <c r="I502" s="47" t="n">
        <f aca="false">'Daily KPI Entry'!I503</f>
        <v>0</v>
      </c>
      <c r="J502" s="47" t="n">
        <f aca="false">'Daily KPI Entry'!J503</f>
        <v>0</v>
      </c>
      <c r="K502" s="47" t="n">
        <f aca="false">'Daily KPI Entry'!K503</f>
        <v>0</v>
      </c>
      <c r="L502" s="47" t="n">
        <f aca="false">'Daily KPI Entry'!L503</f>
        <v>0</v>
      </c>
      <c r="M502" s="47" t="n">
        <f aca="false">'Daily KPI Entry'!M503</f>
        <v>0</v>
      </c>
      <c r="N502" s="49" t="n">
        <f aca="false">'Daily KPI Entry'!N503</f>
        <v>0</v>
      </c>
      <c r="O502" s="49" t="n">
        <f aca="false">'Daily KPI Entry'!O503</f>
        <v>0</v>
      </c>
      <c r="P502" s="49" t="str">
        <f aca="false">IF(OR(N502="",O502=""),"",IFERROR(O502/N502*100,0))</f>
        <v/>
      </c>
      <c r="Q502" s="47" t="n">
        <f aca="false">'Daily KPI Entry'!Q503</f>
        <v>8</v>
      </c>
      <c r="R502" s="47" t="str">
        <f aca="false">IF(J502="","",Q502*J502)</f>
        <v/>
      </c>
      <c r="S502" s="49" t="n">
        <f aca="false">'Daily KPI Entry'!S503</f>
        <v>0</v>
      </c>
      <c r="T502" s="49" t="str">
        <f aca="false">IF(OR(R502="",S502=""),"",IFERROR(S502/R502*100,0))</f>
        <v/>
      </c>
      <c r="U502" s="49" t="str">
        <f aca="false">IF(OR(O502="",L502="",M502="",S502="",M502=0),"",IFERROR(O502/(L502*60*S502/(M502*36))*100,0))</f>
        <v/>
      </c>
      <c r="V502" s="49" t="n">
        <f aca="false">'Daily KPI Entry'!V503</f>
        <v>0</v>
      </c>
      <c r="W502" s="49" t="str">
        <f aca="false">IF(O502="","",IFERROR(V502/O502*100,0))</f>
        <v/>
      </c>
      <c r="X502" s="49" t="n">
        <f aca="false">'Daily KPI Entry'!X503</f>
        <v>0</v>
      </c>
      <c r="Y502" s="49" t="n">
        <f aca="false">'Daily KPI Entry'!Y503</f>
        <v>0</v>
      </c>
      <c r="Z502" s="49" t="n">
        <f aca="false">'Daily KPI Entry'!Z503</f>
        <v>0</v>
      </c>
      <c r="AA502" s="49" t="n">
        <f aca="false">'Daily KPI Entry'!AA503</f>
        <v>0</v>
      </c>
      <c r="AB502" s="49" t="n">
        <f aca="false">'Daily KPI Entry'!AB503</f>
        <v>0</v>
      </c>
      <c r="AC502" s="49" t="n">
        <f aca="false">'Daily KPI Entry'!AC503</f>
        <v>0</v>
      </c>
      <c r="AD502" s="49" t="n">
        <f aca="false">'Daily KPI Entry'!AD503</f>
        <v>0</v>
      </c>
      <c r="AE502" s="49" t="n">
        <f aca="false">'Daily KPI Entry'!AE503</f>
        <v>0</v>
      </c>
      <c r="AF502" s="47" t="str">
        <f aca="false">IF(O502="","",SUM(X502:AE502))</f>
        <v/>
      </c>
      <c r="AG502" s="49" t="str">
        <f aca="false">IF(O502="","",IFERROR(AF502/O502*1000,0))</f>
        <v/>
      </c>
      <c r="AH502" s="49" t="n">
        <f aca="false">'Daily KPI Entry'!AH503</f>
        <v>0</v>
      </c>
      <c r="AI502" s="49" t="n">
        <f aca="false">'Daily KPI Entry'!AI503</f>
        <v>0</v>
      </c>
      <c r="AJ502" s="49" t="n">
        <f aca="false">'Daily KPI Entry'!AJ503</f>
        <v>0</v>
      </c>
      <c r="AK502" s="47" t="n">
        <f aca="false">'Daily KPI Entry'!AK503</f>
        <v>0</v>
      </c>
      <c r="AL502" s="47" t="n">
        <f aca="false">'Daily KPI Entry'!AL503</f>
        <v>0</v>
      </c>
      <c r="AM502" s="47" t="n">
        <f aca="false">'Daily KPI Entry'!AM503</f>
        <v>0</v>
      </c>
      <c r="AN502" s="49" t="str">
        <f aca="false">IF(P502="","",MIN(120,P502))</f>
        <v/>
      </c>
      <c r="AO502" s="49" t="str">
        <f aca="false">IF(U502="","",MIN(120,U502))</f>
        <v/>
      </c>
      <c r="AP502" s="49" t="str">
        <f aca="false">IF(R502="","",MIN(120,IFERROR(S502/R502*100,0)))</f>
        <v/>
      </c>
      <c r="AQ502" s="49" t="str">
        <f aca="false">IF(W502="","",MIN(120,IF(W502=0,120,100*(INDEX('Standards &amp; Scoring'!$E$5:$E$13,MATCH("Quality / Rejection",'Standards &amp; Scoring'!$A$5:$A$13,0))/W502))))</f>
        <v/>
      </c>
      <c r="AR502" s="49" t="str">
        <f aca="false">IF(AG502="","",MIN(120,IF(AG502=0,120,100*(INDEX('Standards &amp; Scoring'!$E$5:$E$13,MATCH("Fault Control",'Standards &amp; Scoring'!$A$5:$A$13,0))/AG502))))</f>
        <v/>
      </c>
      <c r="AS502" s="49" t="str">
        <f aca="false">IF(O502="","",MIN(120,IF(SUMIFS('Fault &amp; Downtime Entry'!$L$6:$L$1005,'Fault &amp; Downtime Entry'!$E$6:$E$1005,G502,'Fault &amp; Downtime Entry'!$B$6:$B$1005,B502)=0,120,100*(INDEX('Standards &amp; Scoring'!$E$5:$E$13,MATCH("Downtime Control",'Standards &amp; Scoring'!$A$5:$A$13,0))/IFERROR(SUMIFS('Fault &amp; Downtime Entry'!$L$6:$L$1005,'Fault &amp; Downtime Entry'!$E$6:$E$1005,G502,'Fault &amp; Downtime Entry'!$B$6:$B$1005,B502)/O502*1000,999999)))))</f>
        <v/>
      </c>
      <c r="AT502" s="49" t="n">
        <f aca="false">IF(COUNTA(AH502,AJ502)=0,"",MIN(120,IF(AND(AH502&lt;&gt;"",AJ502&lt;&gt;""),AVERAGE(AH502,AJ502),IF(AH502&lt;&gt;"",AH502,AJ502))))</f>
        <v>0</v>
      </c>
      <c r="AU502" s="49" t="str">
        <f aca="false">IF(AI502="","",MIN(120,AI502))</f>
        <v/>
      </c>
      <c r="AV502" s="49" t="str">
        <f aca="false">IF(AJ502="","",MIN(120,AJ502))</f>
        <v/>
      </c>
      <c r="AW502" s="50" t="str">
        <f aca="false">IF(COUNT(AN502:AV502)&lt;9,"",(AN502*'Standards &amp; Scoring'!$D$5+AO502*'Standards &amp; Scoring'!$D$6+AP502*'Standards &amp; Scoring'!$D$7+AQ502*'Standards &amp; Scoring'!$D$8+AR502*'Standards &amp; Scoring'!$D$9+AS502*'Standards &amp; Scoring'!$D$10+AT502*'Standards &amp; Scoring'!$D$11+AU502*'Standards &amp; Scoring'!$D$12+AV502*'Standards &amp; Scoring'!$D$13)/10000)</f>
        <v/>
      </c>
      <c r="AX502" s="47" t="str">
        <f aca="false">IF(AW502="","",IF(AW502&gt;=1.05,"A+",IF(AW502&gt;=1,"A",IF(AW502&gt;=0.95,"B+",IF(AW502&gt;=0.9,"B","C")))))</f>
        <v/>
      </c>
      <c r="AY502" s="47" t="str">
        <f aca="false">IF(AX502="","",IF(AX502="A+",1800,IF(AX502="A",1600,IF(AX502="B+",1400,IF(AX502="B",1200,0)))))</f>
        <v/>
      </c>
      <c r="AZ502" s="49" t="str">
        <f aca="false">IF(OR(L502="",M502="",S502="",M502=0),"",IFERROR(L502*60*S502/(M502*36),0))</f>
        <v/>
      </c>
    </row>
    <row r="503" customFormat="false" ht="15" hidden="false" customHeight="true" outlineLevel="0" collapsed="false">
      <c r="A503" s="47" t="n">
        <f aca="false">'Daily KPI Entry'!A504</f>
        <v>0</v>
      </c>
      <c r="B503" s="48" t="n">
        <f aca="false">'Daily KPI Entry'!B504</f>
        <v>0</v>
      </c>
      <c r="C503" s="47" t="n">
        <f aca="false">'Daily KPI Entry'!C504</f>
        <v>0</v>
      </c>
      <c r="D503" s="47" t="n">
        <f aca="false">'Daily KPI Entry'!D504</f>
        <v>0</v>
      </c>
      <c r="E503" s="47" t="n">
        <f aca="false">'Daily KPI Entry'!E504</f>
        <v>0</v>
      </c>
      <c r="F503" s="47" t="n">
        <f aca="false">'Daily KPI Entry'!F504</f>
        <v>0</v>
      </c>
      <c r="G503" s="47" t="n">
        <f aca="false">'Daily KPI Entry'!G504</f>
        <v>0</v>
      </c>
      <c r="H503" s="47" t="str">
        <f aca="false">'Daily KPI Entry'!H504</f>
        <v/>
      </c>
      <c r="I503" s="47" t="n">
        <f aca="false">'Daily KPI Entry'!I504</f>
        <v>0</v>
      </c>
      <c r="J503" s="47" t="n">
        <f aca="false">'Daily KPI Entry'!J504</f>
        <v>0</v>
      </c>
      <c r="K503" s="47" t="n">
        <f aca="false">'Daily KPI Entry'!K504</f>
        <v>0</v>
      </c>
      <c r="L503" s="47" t="n">
        <f aca="false">'Daily KPI Entry'!L504</f>
        <v>0</v>
      </c>
      <c r="M503" s="47" t="n">
        <f aca="false">'Daily KPI Entry'!M504</f>
        <v>0</v>
      </c>
      <c r="N503" s="49" t="n">
        <f aca="false">'Daily KPI Entry'!N504</f>
        <v>0</v>
      </c>
      <c r="O503" s="49" t="n">
        <f aca="false">'Daily KPI Entry'!O504</f>
        <v>0</v>
      </c>
      <c r="P503" s="49" t="str">
        <f aca="false">IF(OR(N503="",O503=""),"",IFERROR(O503/N503*100,0))</f>
        <v/>
      </c>
      <c r="Q503" s="47" t="n">
        <f aca="false">'Daily KPI Entry'!Q504</f>
        <v>8</v>
      </c>
      <c r="R503" s="47" t="str">
        <f aca="false">IF(J503="","",Q503*J503)</f>
        <v/>
      </c>
      <c r="S503" s="49" t="n">
        <f aca="false">'Daily KPI Entry'!S504</f>
        <v>0</v>
      </c>
      <c r="T503" s="49" t="str">
        <f aca="false">IF(OR(R503="",S503=""),"",IFERROR(S503/R503*100,0))</f>
        <v/>
      </c>
      <c r="U503" s="49" t="str">
        <f aca="false">IF(OR(O503="",L503="",M503="",S503="",M503=0),"",IFERROR(O503/(L503*60*S503/(M503*36))*100,0))</f>
        <v/>
      </c>
      <c r="V503" s="49" t="n">
        <f aca="false">'Daily KPI Entry'!V504</f>
        <v>0</v>
      </c>
      <c r="W503" s="49" t="str">
        <f aca="false">IF(O503="","",IFERROR(V503/O503*100,0))</f>
        <v/>
      </c>
      <c r="X503" s="49" t="n">
        <f aca="false">'Daily KPI Entry'!X504</f>
        <v>0</v>
      </c>
      <c r="Y503" s="49" t="n">
        <f aca="false">'Daily KPI Entry'!Y504</f>
        <v>0</v>
      </c>
      <c r="Z503" s="49" t="n">
        <f aca="false">'Daily KPI Entry'!Z504</f>
        <v>0</v>
      </c>
      <c r="AA503" s="49" t="n">
        <f aca="false">'Daily KPI Entry'!AA504</f>
        <v>0</v>
      </c>
      <c r="AB503" s="49" t="n">
        <f aca="false">'Daily KPI Entry'!AB504</f>
        <v>0</v>
      </c>
      <c r="AC503" s="49" t="n">
        <f aca="false">'Daily KPI Entry'!AC504</f>
        <v>0</v>
      </c>
      <c r="AD503" s="49" t="n">
        <f aca="false">'Daily KPI Entry'!AD504</f>
        <v>0</v>
      </c>
      <c r="AE503" s="49" t="n">
        <f aca="false">'Daily KPI Entry'!AE504</f>
        <v>0</v>
      </c>
      <c r="AF503" s="47" t="str">
        <f aca="false">IF(O503="","",SUM(X503:AE503))</f>
        <v/>
      </c>
      <c r="AG503" s="49" t="str">
        <f aca="false">IF(O503="","",IFERROR(AF503/O503*1000,0))</f>
        <v/>
      </c>
      <c r="AH503" s="49" t="n">
        <f aca="false">'Daily KPI Entry'!AH504</f>
        <v>0</v>
      </c>
      <c r="AI503" s="49" t="n">
        <f aca="false">'Daily KPI Entry'!AI504</f>
        <v>0</v>
      </c>
      <c r="AJ503" s="49" t="n">
        <f aca="false">'Daily KPI Entry'!AJ504</f>
        <v>0</v>
      </c>
      <c r="AK503" s="47" t="n">
        <f aca="false">'Daily KPI Entry'!AK504</f>
        <v>0</v>
      </c>
      <c r="AL503" s="47" t="n">
        <f aca="false">'Daily KPI Entry'!AL504</f>
        <v>0</v>
      </c>
      <c r="AM503" s="47" t="n">
        <f aca="false">'Daily KPI Entry'!AM504</f>
        <v>0</v>
      </c>
      <c r="AN503" s="49" t="str">
        <f aca="false">IF(P503="","",MIN(120,P503))</f>
        <v/>
      </c>
      <c r="AO503" s="49" t="str">
        <f aca="false">IF(U503="","",MIN(120,U503))</f>
        <v/>
      </c>
      <c r="AP503" s="49" t="str">
        <f aca="false">IF(R503="","",MIN(120,IFERROR(S503/R503*100,0)))</f>
        <v/>
      </c>
      <c r="AQ503" s="49" t="str">
        <f aca="false">IF(W503="","",MIN(120,IF(W503=0,120,100*(INDEX('Standards &amp; Scoring'!$E$5:$E$13,MATCH("Quality / Rejection",'Standards &amp; Scoring'!$A$5:$A$13,0))/W503))))</f>
        <v/>
      </c>
      <c r="AR503" s="49" t="str">
        <f aca="false">IF(AG503="","",MIN(120,IF(AG503=0,120,100*(INDEX('Standards &amp; Scoring'!$E$5:$E$13,MATCH("Fault Control",'Standards &amp; Scoring'!$A$5:$A$13,0))/AG503))))</f>
        <v/>
      </c>
      <c r="AS503" s="49" t="str">
        <f aca="false">IF(O503="","",MIN(120,IF(SUMIFS('Fault &amp; Downtime Entry'!$L$6:$L$1005,'Fault &amp; Downtime Entry'!$E$6:$E$1005,G503,'Fault &amp; Downtime Entry'!$B$6:$B$1005,B503)=0,120,100*(INDEX('Standards &amp; Scoring'!$E$5:$E$13,MATCH("Downtime Control",'Standards &amp; Scoring'!$A$5:$A$13,0))/IFERROR(SUMIFS('Fault &amp; Downtime Entry'!$L$6:$L$1005,'Fault &amp; Downtime Entry'!$E$6:$E$1005,G503,'Fault &amp; Downtime Entry'!$B$6:$B$1005,B503)/O503*1000,999999)))))</f>
        <v/>
      </c>
      <c r="AT503" s="49" t="n">
        <f aca="false">IF(COUNTA(AH503,AJ503)=0,"",MIN(120,IF(AND(AH503&lt;&gt;"",AJ503&lt;&gt;""),AVERAGE(AH503,AJ503),IF(AH503&lt;&gt;"",AH503,AJ503))))</f>
        <v>0</v>
      </c>
      <c r="AU503" s="49" t="str">
        <f aca="false">IF(AI503="","",MIN(120,AI503))</f>
        <v/>
      </c>
      <c r="AV503" s="49" t="str">
        <f aca="false">IF(AJ503="","",MIN(120,AJ503))</f>
        <v/>
      </c>
      <c r="AW503" s="50" t="str">
        <f aca="false">IF(COUNT(AN503:AV503)&lt;9,"",(AN503*'Standards &amp; Scoring'!$D$5+AO503*'Standards &amp; Scoring'!$D$6+AP503*'Standards &amp; Scoring'!$D$7+AQ503*'Standards &amp; Scoring'!$D$8+AR503*'Standards &amp; Scoring'!$D$9+AS503*'Standards &amp; Scoring'!$D$10+AT503*'Standards &amp; Scoring'!$D$11+AU503*'Standards &amp; Scoring'!$D$12+AV503*'Standards &amp; Scoring'!$D$13)/10000)</f>
        <v/>
      </c>
      <c r="AX503" s="47" t="str">
        <f aca="false">IF(AW503="","",IF(AW503&gt;=1.05,"A+",IF(AW503&gt;=1,"A",IF(AW503&gt;=0.95,"B+",IF(AW503&gt;=0.9,"B","C")))))</f>
        <v/>
      </c>
      <c r="AY503" s="47" t="str">
        <f aca="false">IF(AX503="","",IF(AX503="A+",1800,IF(AX503="A",1600,IF(AX503="B+",1400,IF(AX503="B",1200,0)))))</f>
        <v/>
      </c>
      <c r="AZ503" s="49" t="str">
        <f aca="false">IF(OR(L503="",M503="",S503="",M503=0),"",IFERROR(L503*60*S503/(M503*36),0))</f>
        <v/>
      </c>
    </row>
    <row r="504" customFormat="false" ht="15" hidden="false" customHeight="true" outlineLevel="0" collapsed="false">
      <c r="A504" s="47" t="n">
        <f aca="false">'Daily KPI Entry'!A505</f>
        <v>0</v>
      </c>
      <c r="B504" s="48" t="n">
        <f aca="false">'Daily KPI Entry'!B505</f>
        <v>0</v>
      </c>
      <c r="C504" s="47" t="n">
        <f aca="false">'Daily KPI Entry'!C505</f>
        <v>0</v>
      </c>
      <c r="D504" s="47" t="n">
        <f aca="false">'Daily KPI Entry'!D505</f>
        <v>0</v>
      </c>
      <c r="E504" s="47" t="n">
        <f aca="false">'Daily KPI Entry'!E505</f>
        <v>0</v>
      </c>
      <c r="F504" s="47" t="n">
        <f aca="false">'Daily KPI Entry'!F505</f>
        <v>0</v>
      </c>
      <c r="G504" s="47" t="n">
        <f aca="false">'Daily KPI Entry'!G505</f>
        <v>0</v>
      </c>
      <c r="H504" s="47" t="str">
        <f aca="false">'Daily KPI Entry'!H505</f>
        <v/>
      </c>
      <c r="I504" s="47" t="n">
        <f aca="false">'Daily KPI Entry'!I505</f>
        <v>0</v>
      </c>
      <c r="J504" s="47" t="n">
        <f aca="false">'Daily KPI Entry'!J505</f>
        <v>0</v>
      </c>
      <c r="K504" s="47" t="n">
        <f aca="false">'Daily KPI Entry'!K505</f>
        <v>0</v>
      </c>
      <c r="L504" s="47" t="n">
        <f aca="false">'Daily KPI Entry'!L505</f>
        <v>0</v>
      </c>
      <c r="M504" s="47" t="n">
        <f aca="false">'Daily KPI Entry'!M505</f>
        <v>0</v>
      </c>
      <c r="N504" s="49" t="n">
        <f aca="false">'Daily KPI Entry'!N505</f>
        <v>0</v>
      </c>
      <c r="O504" s="49" t="n">
        <f aca="false">'Daily KPI Entry'!O505</f>
        <v>0</v>
      </c>
      <c r="P504" s="49" t="str">
        <f aca="false">IF(OR(N504="",O504=""),"",IFERROR(O504/N504*100,0))</f>
        <v/>
      </c>
      <c r="Q504" s="47" t="n">
        <f aca="false">'Daily KPI Entry'!Q505</f>
        <v>8</v>
      </c>
      <c r="R504" s="47" t="str">
        <f aca="false">IF(J504="","",Q504*J504)</f>
        <v/>
      </c>
      <c r="S504" s="49" t="n">
        <f aca="false">'Daily KPI Entry'!S505</f>
        <v>0</v>
      </c>
      <c r="T504" s="49" t="str">
        <f aca="false">IF(OR(R504="",S504=""),"",IFERROR(S504/R504*100,0))</f>
        <v/>
      </c>
      <c r="U504" s="49" t="str">
        <f aca="false">IF(OR(O504="",L504="",M504="",S504="",M504=0),"",IFERROR(O504/(L504*60*S504/(M504*36))*100,0))</f>
        <v/>
      </c>
      <c r="V504" s="49" t="n">
        <f aca="false">'Daily KPI Entry'!V505</f>
        <v>0</v>
      </c>
      <c r="W504" s="49" t="str">
        <f aca="false">IF(O504="","",IFERROR(V504/O504*100,0))</f>
        <v/>
      </c>
      <c r="X504" s="49" t="n">
        <f aca="false">'Daily KPI Entry'!X505</f>
        <v>0</v>
      </c>
      <c r="Y504" s="49" t="n">
        <f aca="false">'Daily KPI Entry'!Y505</f>
        <v>0</v>
      </c>
      <c r="Z504" s="49" t="n">
        <f aca="false">'Daily KPI Entry'!Z505</f>
        <v>0</v>
      </c>
      <c r="AA504" s="49" t="n">
        <f aca="false">'Daily KPI Entry'!AA505</f>
        <v>0</v>
      </c>
      <c r="AB504" s="49" t="n">
        <f aca="false">'Daily KPI Entry'!AB505</f>
        <v>0</v>
      </c>
      <c r="AC504" s="49" t="n">
        <f aca="false">'Daily KPI Entry'!AC505</f>
        <v>0</v>
      </c>
      <c r="AD504" s="49" t="n">
        <f aca="false">'Daily KPI Entry'!AD505</f>
        <v>0</v>
      </c>
      <c r="AE504" s="49" t="n">
        <f aca="false">'Daily KPI Entry'!AE505</f>
        <v>0</v>
      </c>
      <c r="AF504" s="47" t="str">
        <f aca="false">IF(O504="","",SUM(X504:AE504))</f>
        <v/>
      </c>
      <c r="AG504" s="49" t="str">
        <f aca="false">IF(O504="","",IFERROR(AF504/O504*1000,0))</f>
        <v/>
      </c>
      <c r="AH504" s="49" t="n">
        <f aca="false">'Daily KPI Entry'!AH505</f>
        <v>0</v>
      </c>
      <c r="AI504" s="49" t="n">
        <f aca="false">'Daily KPI Entry'!AI505</f>
        <v>0</v>
      </c>
      <c r="AJ504" s="49" t="n">
        <f aca="false">'Daily KPI Entry'!AJ505</f>
        <v>0</v>
      </c>
      <c r="AK504" s="47" t="n">
        <f aca="false">'Daily KPI Entry'!AK505</f>
        <v>0</v>
      </c>
      <c r="AL504" s="47" t="n">
        <f aca="false">'Daily KPI Entry'!AL505</f>
        <v>0</v>
      </c>
      <c r="AM504" s="47" t="n">
        <f aca="false">'Daily KPI Entry'!AM505</f>
        <v>0</v>
      </c>
      <c r="AN504" s="49" t="str">
        <f aca="false">IF(P504="","",MIN(120,P504))</f>
        <v/>
      </c>
      <c r="AO504" s="49" t="str">
        <f aca="false">IF(U504="","",MIN(120,U504))</f>
        <v/>
      </c>
      <c r="AP504" s="49" t="str">
        <f aca="false">IF(R504="","",MIN(120,IFERROR(S504/R504*100,0)))</f>
        <v/>
      </c>
      <c r="AQ504" s="49" t="str">
        <f aca="false">IF(W504="","",MIN(120,IF(W504=0,120,100*(INDEX('Standards &amp; Scoring'!$E$5:$E$13,MATCH("Quality / Rejection",'Standards &amp; Scoring'!$A$5:$A$13,0))/W504))))</f>
        <v/>
      </c>
      <c r="AR504" s="49" t="str">
        <f aca="false">IF(AG504="","",MIN(120,IF(AG504=0,120,100*(INDEX('Standards &amp; Scoring'!$E$5:$E$13,MATCH("Fault Control",'Standards &amp; Scoring'!$A$5:$A$13,0))/AG504))))</f>
        <v/>
      </c>
      <c r="AS504" s="49" t="str">
        <f aca="false">IF(O504="","",MIN(120,IF(SUMIFS('Fault &amp; Downtime Entry'!$L$6:$L$1005,'Fault &amp; Downtime Entry'!$E$6:$E$1005,G504,'Fault &amp; Downtime Entry'!$B$6:$B$1005,B504)=0,120,100*(INDEX('Standards &amp; Scoring'!$E$5:$E$13,MATCH("Downtime Control",'Standards &amp; Scoring'!$A$5:$A$13,0))/IFERROR(SUMIFS('Fault &amp; Downtime Entry'!$L$6:$L$1005,'Fault &amp; Downtime Entry'!$E$6:$E$1005,G504,'Fault &amp; Downtime Entry'!$B$6:$B$1005,B504)/O504*1000,999999)))))</f>
        <v/>
      </c>
      <c r="AT504" s="49" t="n">
        <f aca="false">IF(COUNTA(AH504,AJ504)=0,"",MIN(120,IF(AND(AH504&lt;&gt;"",AJ504&lt;&gt;""),AVERAGE(AH504,AJ504),IF(AH504&lt;&gt;"",AH504,AJ504))))</f>
        <v>0</v>
      </c>
      <c r="AU504" s="49" t="str">
        <f aca="false">IF(AI504="","",MIN(120,AI504))</f>
        <v/>
      </c>
      <c r="AV504" s="49" t="str">
        <f aca="false">IF(AJ504="","",MIN(120,AJ504))</f>
        <v/>
      </c>
      <c r="AW504" s="50" t="str">
        <f aca="false">IF(COUNT(AN504:AV504)&lt;9,"",(AN504*'Standards &amp; Scoring'!$D$5+AO504*'Standards &amp; Scoring'!$D$6+AP504*'Standards &amp; Scoring'!$D$7+AQ504*'Standards &amp; Scoring'!$D$8+AR504*'Standards &amp; Scoring'!$D$9+AS504*'Standards &amp; Scoring'!$D$10+AT504*'Standards &amp; Scoring'!$D$11+AU504*'Standards &amp; Scoring'!$D$12+AV504*'Standards &amp; Scoring'!$D$13)/10000)</f>
        <v/>
      </c>
      <c r="AX504" s="47" t="str">
        <f aca="false">IF(AW504="","",IF(AW504&gt;=1.05,"A+",IF(AW504&gt;=1,"A",IF(AW504&gt;=0.95,"B+",IF(AW504&gt;=0.9,"B","C")))))</f>
        <v/>
      </c>
      <c r="AY504" s="47" t="str">
        <f aca="false">IF(AX504="","",IF(AX504="A+",1800,IF(AX504="A",1600,IF(AX504="B+",1400,IF(AX504="B",1200,0)))))</f>
        <v/>
      </c>
      <c r="AZ504" s="49" t="str">
        <f aca="false">IF(OR(L504="",M504="",S504="",M504=0),"",IFERROR(L504*60*S504/(M504*36),0))</f>
        <v/>
      </c>
    </row>
  </sheetData>
  <autoFilter ref="A4:AZ504"/>
  <mergeCells count="1">
    <mergeCell ref="A1:A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2" min="11" style="1" width="15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40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8" min="18" style="1" width="16"/>
  </cols>
  <sheetData>
    <row r="1" customFormat="false" ht="27.75" hidden="false" customHeight="true" outlineLevel="0" collapsed="false">
      <c r="A1" s="2" t="s">
        <v>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4" t="s">
        <v>502</v>
      </c>
    </row>
    <row r="4" customFormat="false" ht="33.75" hidden="false" customHeight="true" outlineLevel="0" collapsed="false">
      <c r="A4" s="5" t="s">
        <v>130</v>
      </c>
      <c r="B4" s="5" t="s">
        <v>4</v>
      </c>
      <c r="C4" s="5" t="s">
        <v>6</v>
      </c>
      <c r="D4" s="5" t="s">
        <v>131</v>
      </c>
      <c r="E4" s="5" t="s">
        <v>9</v>
      </c>
      <c r="F4" s="5" t="s">
        <v>10</v>
      </c>
      <c r="G4" s="5" t="s">
        <v>132</v>
      </c>
      <c r="H4" s="5" t="s">
        <v>133</v>
      </c>
      <c r="I4" s="5" t="s">
        <v>134</v>
      </c>
      <c r="J4" s="5" t="s">
        <v>135</v>
      </c>
      <c r="K4" s="5" t="s">
        <v>136</v>
      </c>
      <c r="L4" s="5" t="s">
        <v>137</v>
      </c>
      <c r="M4" s="5" t="s">
        <v>138</v>
      </c>
      <c r="N4" s="5" t="s">
        <v>139</v>
      </c>
      <c r="O4" s="5" t="s">
        <v>140</v>
      </c>
      <c r="P4" s="5" t="s">
        <v>503</v>
      </c>
      <c r="Q4" s="5" t="s">
        <v>504</v>
      </c>
      <c r="R4" s="5" t="s">
        <v>505</v>
      </c>
    </row>
    <row r="5" customFormat="false" ht="15" hidden="false" customHeight="true" outlineLevel="0" collapsed="false">
      <c r="A5" s="47" t="n">
        <f aca="false">'Fault &amp; Downtime Entry'!A6</f>
        <v>1</v>
      </c>
      <c r="B5" s="48" t="n">
        <f aca="false">'Fault &amp; Downtime Entry'!B6</f>
        <v>0</v>
      </c>
      <c r="C5" s="47" t="n">
        <f aca="false">'Fault &amp; Downtime Entry'!C6</f>
        <v>0</v>
      </c>
      <c r="D5" s="47" t="n">
        <f aca="false">'Fault &amp; Downtime Entry'!D6</f>
        <v>0</v>
      </c>
      <c r="E5" s="47" t="n">
        <f aca="false">'Fault &amp; Downtime Entry'!E6</f>
        <v>0</v>
      </c>
      <c r="F5" s="47" t="str">
        <f aca="false">'Fault &amp; Downtime Entry'!F6</f>
        <v/>
      </c>
      <c r="G5" s="47" t="n">
        <f aca="false">'Fault &amp; Downtime Entry'!G6</f>
        <v>0</v>
      </c>
      <c r="H5" s="47" t="str">
        <f aca="false">'Fault &amp; Downtime Entry'!H6</f>
        <v/>
      </c>
      <c r="I5" s="47" t="str">
        <f aca="false">'Fault &amp; Downtime Entry'!I6</f>
        <v/>
      </c>
      <c r="J5" s="47" t="n">
        <f aca="false">'Fault &amp; Downtime Entry'!J6</f>
        <v>0</v>
      </c>
      <c r="K5" s="47" t="n">
        <f aca="false">'Fault &amp; Downtime Entry'!K6</f>
        <v>0</v>
      </c>
      <c r="L5" s="47" t="n">
        <f aca="false">'Fault &amp; Downtime Entry'!L6</f>
        <v>0</v>
      </c>
      <c r="M5" s="47" t="str">
        <f aca="false">'Fault &amp; Downtime Entry'!M6</f>
        <v/>
      </c>
      <c r="N5" s="47" t="n">
        <f aca="false">'Fault &amp; Downtime Entry'!N6</f>
        <v>0</v>
      </c>
      <c r="O5" s="47" t="n">
        <f aca="false">'Fault &amp; Downtime Entry'!O6</f>
        <v>0</v>
      </c>
      <c r="P5" s="47" t="str">
        <f aca="false">IF(OR(J5="",K5=""),"",IFERROR(J5/K5*1000,0))</f>
        <v/>
      </c>
      <c r="Q5" s="47" t="str">
        <f aca="false">IF(OR(L5="",K5=""),"",IFERROR(L5/K5*1000,0))</f>
        <v/>
      </c>
      <c r="R5" s="47" t="str">
        <f aca="false">IF(OR(M5="High",M5="Critical"),"YES","")</f>
        <v/>
      </c>
    </row>
    <row r="6" customFormat="false" ht="15" hidden="false" customHeight="true" outlineLevel="0" collapsed="false">
      <c r="A6" s="47" t="n">
        <f aca="false">'Fault &amp; Downtime Entry'!A7</f>
        <v>2</v>
      </c>
      <c r="B6" s="48" t="n">
        <f aca="false">'Fault &amp; Downtime Entry'!B7</f>
        <v>0</v>
      </c>
      <c r="C6" s="47" t="n">
        <f aca="false">'Fault &amp; Downtime Entry'!C7</f>
        <v>0</v>
      </c>
      <c r="D6" s="47" t="n">
        <f aca="false">'Fault &amp; Downtime Entry'!D7</f>
        <v>0</v>
      </c>
      <c r="E6" s="47" t="n">
        <f aca="false">'Fault &amp; Downtime Entry'!E7</f>
        <v>0</v>
      </c>
      <c r="F6" s="47" t="str">
        <f aca="false">'Fault &amp; Downtime Entry'!F7</f>
        <v/>
      </c>
      <c r="G6" s="47" t="n">
        <f aca="false">'Fault &amp; Downtime Entry'!G7</f>
        <v>0</v>
      </c>
      <c r="H6" s="47" t="str">
        <f aca="false">'Fault &amp; Downtime Entry'!H7</f>
        <v/>
      </c>
      <c r="I6" s="47" t="str">
        <f aca="false">'Fault &amp; Downtime Entry'!I7</f>
        <v/>
      </c>
      <c r="J6" s="47" t="n">
        <f aca="false">'Fault &amp; Downtime Entry'!J7</f>
        <v>0</v>
      </c>
      <c r="K6" s="47" t="n">
        <f aca="false">'Fault &amp; Downtime Entry'!K7</f>
        <v>0</v>
      </c>
      <c r="L6" s="47" t="n">
        <f aca="false">'Fault &amp; Downtime Entry'!L7</f>
        <v>0</v>
      </c>
      <c r="M6" s="47" t="str">
        <f aca="false">'Fault &amp; Downtime Entry'!M7</f>
        <v/>
      </c>
      <c r="N6" s="47" t="n">
        <f aca="false">'Fault &amp; Downtime Entry'!N7</f>
        <v>0</v>
      </c>
      <c r="O6" s="47" t="n">
        <f aca="false">'Fault &amp; Downtime Entry'!O7</f>
        <v>0</v>
      </c>
      <c r="P6" s="47" t="str">
        <f aca="false">IF(OR(J6="",K6=""),"",IFERROR(J6/K6*1000,0))</f>
        <v/>
      </c>
      <c r="Q6" s="47" t="str">
        <f aca="false">IF(OR(L6="",K6=""),"",IFERROR(L6/K6*1000,0))</f>
        <v/>
      </c>
      <c r="R6" s="47" t="str">
        <f aca="false">IF(OR(M6="High",M6="Critical"),"YES","")</f>
        <v/>
      </c>
    </row>
    <row r="7" customFormat="false" ht="15" hidden="false" customHeight="true" outlineLevel="0" collapsed="false">
      <c r="A7" s="47" t="n">
        <f aca="false">'Fault &amp; Downtime Entry'!A8</f>
        <v>3</v>
      </c>
      <c r="B7" s="48" t="n">
        <f aca="false">'Fault &amp; Downtime Entry'!B8</f>
        <v>0</v>
      </c>
      <c r="C7" s="47" t="n">
        <f aca="false">'Fault &amp; Downtime Entry'!C8</f>
        <v>0</v>
      </c>
      <c r="D7" s="47" t="n">
        <f aca="false">'Fault &amp; Downtime Entry'!D8</f>
        <v>0</v>
      </c>
      <c r="E7" s="47" t="n">
        <f aca="false">'Fault &amp; Downtime Entry'!E8</f>
        <v>0</v>
      </c>
      <c r="F7" s="47" t="str">
        <f aca="false">'Fault &amp; Downtime Entry'!F8</f>
        <v/>
      </c>
      <c r="G7" s="47" t="n">
        <f aca="false">'Fault &amp; Downtime Entry'!G8</f>
        <v>0</v>
      </c>
      <c r="H7" s="47" t="str">
        <f aca="false">'Fault &amp; Downtime Entry'!H8</f>
        <v/>
      </c>
      <c r="I7" s="47" t="str">
        <f aca="false">'Fault &amp; Downtime Entry'!I8</f>
        <v/>
      </c>
      <c r="J7" s="47" t="n">
        <f aca="false">'Fault &amp; Downtime Entry'!J8</f>
        <v>0</v>
      </c>
      <c r="K7" s="47" t="n">
        <f aca="false">'Fault &amp; Downtime Entry'!K8</f>
        <v>0</v>
      </c>
      <c r="L7" s="47" t="n">
        <f aca="false">'Fault &amp; Downtime Entry'!L8</f>
        <v>0</v>
      </c>
      <c r="M7" s="47" t="str">
        <f aca="false">'Fault &amp; Downtime Entry'!M8</f>
        <v/>
      </c>
      <c r="N7" s="47" t="n">
        <f aca="false">'Fault &amp; Downtime Entry'!N8</f>
        <v>0</v>
      </c>
      <c r="O7" s="47" t="n">
        <f aca="false">'Fault &amp; Downtime Entry'!O8</f>
        <v>0</v>
      </c>
      <c r="P7" s="47" t="str">
        <f aca="false">IF(OR(J7="",K7=""),"",IFERROR(J7/K7*1000,0))</f>
        <v/>
      </c>
      <c r="Q7" s="47" t="str">
        <f aca="false">IF(OR(L7="",K7=""),"",IFERROR(L7/K7*1000,0))</f>
        <v/>
      </c>
      <c r="R7" s="47" t="str">
        <f aca="false">IF(OR(M7="High",M7="Critical"),"YES","")</f>
        <v/>
      </c>
    </row>
    <row r="8" customFormat="false" ht="15" hidden="false" customHeight="true" outlineLevel="0" collapsed="false">
      <c r="A8" s="47" t="n">
        <f aca="false">'Fault &amp; Downtime Entry'!A9</f>
        <v>4</v>
      </c>
      <c r="B8" s="48" t="n">
        <f aca="false">'Fault &amp; Downtime Entry'!B9</f>
        <v>0</v>
      </c>
      <c r="C8" s="47" t="n">
        <f aca="false">'Fault &amp; Downtime Entry'!C9</f>
        <v>0</v>
      </c>
      <c r="D8" s="47" t="n">
        <f aca="false">'Fault &amp; Downtime Entry'!D9</f>
        <v>0</v>
      </c>
      <c r="E8" s="47" t="n">
        <f aca="false">'Fault &amp; Downtime Entry'!E9</f>
        <v>0</v>
      </c>
      <c r="F8" s="47" t="str">
        <f aca="false">'Fault &amp; Downtime Entry'!F9</f>
        <v/>
      </c>
      <c r="G8" s="47" t="n">
        <f aca="false">'Fault &amp; Downtime Entry'!G9</f>
        <v>0</v>
      </c>
      <c r="H8" s="47" t="str">
        <f aca="false">'Fault &amp; Downtime Entry'!H9</f>
        <v/>
      </c>
      <c r="I8" s="47" t="str">
        <f aca="false">'Fault &amp; Downtime Entry'!I9</f>
        <v/>
      </c>
      <c r="J8" s="47" t="n">
        <f aca="false">'Fault &amp; Downtime Entry'!J9</f>
        <v>0</v>
      </c>
      <c r="K8" s="47" t="n">
        <f aca="false">'Fault &amp; Downtime Entry'!K9</f>
        <v>0</v>
      </c>
      <c r="L8" s="47" t="n">
        <f aca="false">'Fault &amp; Downtime Entry'!L9</f>
        <v>0</v>
      </c>
      <c r="M8" s="47" t="str">
        <f aca="false">'Fault &amp; Downtime Entry'!M9</f>
        <v/>
      </c>
      <c r="N8" s="47" t="n">
        <f aca="false">'Fault &amp; Downtime Entry'!N9</f>
        <v>0</v>
      </c>
      <c r="O8" s="47" t="n">
        <f aca="false">'Fault &amp; Downtime Entry'!O9</f>
        <v>0</v>
      </c>
      <c r="P8" s="47" t="str">
        <f aca="false">IF(OR(J8="",K8=""),"",IFERROR(J8/K8*1000,0))</f>
        <v/>
      </c>
      <c r="Q8" s="47" t="str">
        <f aca="false">IF(OR(L8="",K8=""),"",IFERROR(L8/K8*1000,0))</f>
        <v/>
      </c>
      <c r="R8" s="47" t="str">
        <f aca="false">IF(OR(M8="High",M8="Critical"),"YES","")</f>
        <v/>
      </c>
    </row>
    <row r="9" customFormat="false" ht="15" hidden="false" customHeight="true" outlineLevel="0" collapsed="false">
      <c r="A9" s="47" t="n">
        <f aca="false">'Fault &amp; Downtime Entry'!A10</f>
        <v>5</v>
      </c>
      <c r="B9" s="48" t="n">
        <f aca="false">'Fault &amp; Downtime Entry'!B10</f>
        <v>0</v>
      </c>
      <c r="C9" s="47" t="n">
        <f aca="false">'Fault &amp; Downtime Entry'!C10</f>
        <v>0</v>
      </c>
      <c r="D9" s="47" t="n">
        <f aca="false">'Fault &amp; Downtime Entry'!D10</f>
        <v>0</v>
      </c>
      <c r="E9" s="47" t="n">
        <f aca="false">'Fault &amp; Downtime Entry'!E10</f>
        <v>0</v>
      </c>
      <c r="F9" s="47" t="str">
        <f aca="false">'Fault &amp; Downtime Entry'!F10</f>
        <v/>
      </c>
      <c r="G9" s="47" t="n">
        <f aca="false">'Fault &amp; Downtime Entry'!G10</f>
        <v>0</v>
      </c>
      <c r="H9" s="47" t="str">
        <f aca="false">'Fault &amp; Downtime Entry'!H10</f>
        <v/>
      </c>
      <c r="I9" s="47" t="str">
        <f aca="false">'Fault &amp; Downtime Entry'!I10</f>
        <v/>
      </c>
      <c r="J9" s="47" t="n">
        <f aca="false">'Fault &amp; Downtime Entry'!J10</f>
        <v>0</v>
      </c>
      <c r="K9" s="47" t="n">
        <f aca="false">'Fault &amp; Downtime Entry'!K10</f>
        <v>0</v>
      </c>
      <c r="L9" s="47" t="n">
        <f aca="false">'Fault &amp; Downtime Entry'!L10</f>
        <v>0</v>
      </c>
      <c r="M9" s="47" t="str">
        <f aca="false">'Fault &amp; Downtime Entry'!M10</f>
        <v/>
      </c>
      <c r="N9" s="47" t="n">
        <f aca="false">'Fault &amp; Downtime Entry'!N10</f>
        <v>0</v>
      </c>
      <c r="O9" s="47" t="n">
        <f aca="false">'Fault &amp; Downtime Entry'!O10</f>
        <v>0</v>
      </c>
      <c r="P9" s="47" t="str">
        <f aca="false">IF(OR(J9="",K9=""),"",IFERROR(J9/K9*1000,0))</f>
        <v/>
      </c>
      <c r="Q9" s="47" t="str">
        <f aca="false">IF(OR(L9="",K9=""),"",IFERROR(L9/K9*1000,0))</f>
        <v/>
      </c>
      <c r="R9" s="47" t="str">
        <f aca="false">IF(OR(M9="High",M9="Critical"),"YES","")</f>
        <v/>
      </c>
    </row>
    <row r="10" customFormat="false" ht="15" hidden="false" customHeight="true" outlineLevel="0" collapsed="false">
      <c r="A10" s="47" t="n">
        <f aca="false">'Fault &amp; Downtime Entry'!A11</f>
        <v>6</v>
      </c>
      <c r="B10" s="48" t="n">
        <f aca="false">'Fault &amp; Downtime Entry'!B11</f>
        <v>0</v>
      </c>
      <c r="C10" s="47" t="n">
        <f aca="false">'Fault &amp; Downtime Entry'!C11</f>
        <v>0</v>
      </c>
      <c r="D10" s="47" t="n">
        <f aca="false">'Fault &amp; Downtime Entry'!D11</f>
        <v>0</v>
      </c>
      <c r="E10" s="47" t="n">
        <f aca="false">'Fault &amp; Downtime Entry'!E11</f>
        <v>0</v>
      </c>
      <c r="F10" s="47" t="str">
        <f aca="false">'Fault &amp; Downtime Entry'!F11</f>
        <v/>
      </c>
      <c r="G10" s="47" t="n">
        <f aca="false">'Fault &amp; Downtime Entry'!G11</f>
        <v>0</v>
      </c>
      <c r="H10" s="47" t="str">
        <f aca="false">'Fault &amp; Downtime Entry'!H11</f>
        <v/>
      </c>
      <c r="I10" s="47" t="str">
        <f aca="false">'Fault &amp; Downtime Entry'!I11</f>
        <v/>
      </c>
      <c r="J10" s="47" t="n">
        <f aca="false">'Fault &amp; Downtime Entry'!J11</f>
        <v>0</v>
      </c>
      <c r="K10" s="47" t="n">
        <f aca="false">'Fault &amp; Downtime Entry'!K11</f>
        <v>0</v>
      </c>
      <c r="L10" s="47" t="n">
        <f aca="false">'Fault &amp; Downtime Entry'!L11</f>
        <v>0</v>
      </c>
      <c r="M10" s="47" t="str">
        <f aca="false">'Fault &amp; Downtime Entry'!M11</f>
        <v/>
      </c>
      <c r="N10" s="47" t="n">
        <f aca="false">'Fault &amp; Downtime Entry'!N11</f>
        <v>0</v>
      </c>
      <c r="O10" s="47" t="n">
        <f aca="false">'Fault &amp; Downtime Entry'!O11</f>
        <v>0</v>
      </c>
      <c r="P10" s="47" t="str">
        <f aca="false">IF(OR(J10="",K10=""),"",IFERROR(J10/K10*1000,0))</f>
        <v/>
      </c>
      <c r="Q10" s="47" t="str">
        <f aca="false">IF(OR(L10="",K10=""),"",IFERROR(L10/K10*1000,0))</f>
        <v/>
      </c>
      <c r="R10" s="47" t="str">
        <f aca="false">IF(OR(M10="High",M10="Critical"),"YES","")</f>
        <v/>
      </c>
    </row>
    <row r="11" customFormat="false" ht="15" hidden="false" customHeight="true" outlineLevel="0" collapsed="false">
      <c r="A11" s="47" t="n">
        <f aca="false">'Fault &amp; Downtime Entry'!A12</f>
        <v>7</v>
      </c>
      <c r="B11" s="48" t="n">
        <f aca="false">'Fault &amp; Downtime Entry'!B12</f>
        <v>0</v>
      </c>
      <c r="C11" s="47" t="n">
        <f aca="false">'Fault &amp; Downtime Entry'!C12</f>
        <v>0</v>
      </c>
      <c r="D11" s="47" t="n">
        <f aca="false">'Fault &amp; Downtime Entry'!D12</f>
        <v>0</v>
      </c>
      <c r="E11" s="47" t="n">
        <f aca="false">'Fault &amp; Downtime Entry'!E12</f>
        <v>0</v>
      </c>
      <c r="F11" s="47" t="str">
        <f aca="false">'Fault &amp; Downtime Entry'!F12</f>
        <v/>
      </c>
      <c r="G11" s="47" t="n">
        <f aca="false">'Fault &amp; Downtime Entry'!G12</f>
        <v>0</v>
      </c>
      <c r="H11" s="47" t="str">
        <f aca="false">'Fault &amp; Downtime Entry'!H12</f>
        <v/>
      </c>
      <c r="I11" s="47" t="str">
        <f aca="false">'Fault &amp; Downtime Entry'!I12</f>
        <v/>
      </c>
      <c r="J11" s="47" t="n">
        <f aca="false">'Fault &amp; Downtime Entry'!J12</f>
        <v>0</v>
      </c>
      <c r="K11" s="47" t="n">
        <f aca="false">'Fault &amp; Downtime Entry'!K12</f>
        <v>0</v>
      </c>
      <c r="L11" s="47" t="n">
        <f aca="false">'Fault &amp; Downtime Entry'!L12</f>
        <v>0</v>
      </c>
      <c r="M11" s="47" t="str">
        <f aca="false">'Fault &amp; Downtime Entry'!M12</f>
        <v/>
      </c>
      <c r="N11" s="47" t="n">
        <f aca="false">'Fault &amp; Downtime Entry'!N12</f>
        <v>0</v>
      </c>
      <c r="O11" s="47" t="n">
        <f aca="false">'Fault &amp; Downtime Entry'!O12</f>
        <v>0</v>
      </c>
      <c r="P11" s="47" t="str">
        <f aca="false">IF(OR(J11="",K11=""),"",IFERROR(J11/K11*1000,0))</f>
        <v/>
      </c>
      <c r="Q11" s="47" t="str">
        <f aca="false">IF(OR(L11="",K11=""),"",IFERROR(L11/K11*1000,0))</f>
        <v/>
      </c>
      <c r="R11" s="47" t="str">
        <f aca="false">IF(OR(M11="High",M11="Critical"),"YES","")</f>
        <v/>
      </c>
    </row>
    <row r="12" customFormat="false" ht="15" hidden="false" customHeight="true" outlineLevel="0" collapsed="false">
      <c r="A12" s="47" t="n">
        <f aca="false">'Fault &amp; Downtime Entry'!A13</f>
        <v>8</v>
      </c>
      <c r="B12" s="48" t="n">
        <f aca="false">'Fault &amp; Downtime Entry'!B13</f>
        <v>0</v>
      </c>
      <c r="C12" s="47" t="n">
        <f aca="false">'Fault &amp; Downtime Entry'!C13</f>
        <v>0</v>
      </c>
      <c r="D12" s="47" t="n">
        <f aca="false">'Fault &amp; Downtime Entry'!D13</f>
        <v>0</v>
      </c>
      <c r="E12" s="47" t="n">
        <f aca="false">'Fault &amp; Downtime Entry'!E13</f>
        <v>0</v>
      </c>
      <c r="F12" s="47" t="str">
        <f aca="false">'Fault &amp; Downtime Entry'!F13</f>
        <v/>
      </c>
      <c r="G12" s="47" t="n">
        <f aca="false">'Fault &amp; Downtime Entry'!G13</f>
        <v>0</v>
      </c>
      <c r="H12" s="47" t="str">
        <f aca="false">'Fault &amp; Downtime Entry'!H13</f>
        <v/>
      </c>
      <c r="I12" s="47" t="str">
        <f aca="false">'Fault &amp; Downtime Entry'!I13</f>
        <v/>
      </c>
      <c r="J12" s="47" t="n">
        <f aca="false">'Fault &amp; Downtime Entry'!J13</f>
        <v>0</v>
      </c>
      <c r="K12" s="47" t="n">
        <f aca="false">'Fault &amp; Downtime Entry'!K13</f>
        <v>0</v>
      </c>
      <c r="L12" s="47" t="n">
        <f aca="false">'Fault &amp; Downtime Entry'!L13</f>
        <v>0</v>
      </c>
      <c r="M12" s="47" t="str">
        <f aca="false">'Fault &amp; Downtime Entry'!M13</f>
        <v/>
      </c>
      <c r="N12" s="47" t="n">
        <f aca="false">'Fault &amp; Downtime Entry'!N13</f>
        <v>0</v>
      </c>
      <c r="O12" s="47" t="n">
        <f aca="false">'Fault &amp; Downtime Entry'!O13</f>
        <v>0</v>
      </c>
      <c r="P12" s="47" t="str">
        <f aca="false">IF(OR(J12="",K12=""),"",IFERROR(J12/K12*1000,0))</f>
        <v/>
      </c>
      <c r="Q12" s="47" t="str">
        <f aca="false">IF(OR(L12="",K12=""),"",IFERROR(L12/K12*1000,0))</f>
        <v/>
      </c>
      <c r="R12" s="47" t="str">
        <f aca="false">IF(OR(M12="High",M12="Critical"),"YES","")</f>
        <v/>
      </c>
    </row>
    <row r="13" customFormat="false" ht="15" hidden="false" customHeight="true" outlineLevel="0" collapsed="false">
      <c r="A13" s="47" t="n">
        <f aca="false">'Fault &amp; Downtime Entry'!A14</f>
        <v>9</v>
      </c>
      <c r="B13" s="48" t="n">
        <f aca="false">'Fault &amp; Downtime Entry'!B14</f>
        <v>0</v>
      </c>
      <c r="C13" s="47" t="n">
        <f aca="false">'Fault &amp; Downtime Entry'!C14</f>
        <v>0</v>
      </c>
      <c r="D13" s="47" t="n">
        <f aca="false">'Fault &amp; Downtime Entry'!D14</f>
        <v>0</v>
      </c>
      <c r="E13" s="47" t="n">
        <f aca="false">'Fault &amp; Downtime Entry'!E14</f>
        <v>0</v>
      </c>
      <c r="F13" s="47" t="str">
        <f aca="false">'Fault &amp; Downtime Entry'!F14</f>
        <v/>
      </c>
      <c r="G13" s="47" t="n">
        <f aca="false">'Fault &amp; Downtime Entry'!G14</f>
        <v>0</v>
      </c>
      <c r="H13" s="47" t="str">
        <f aca="false">'Fault &amp; Downtime Entry'!H14</f>
        <v/>
      </c>
      <c r="I13" s="47" t="str">
        <f aca="false">'Fault &amp; Downtime Entry'!I14</f>
        <v/>
      </c>
      <c r="J13" s="47" t="n">
        <f aca="false">'Fault &amp; Downtime Entry'!J14</f>
        <v>0</v>
      </c>
      <c r="K13" s="47" t="n">
        <f aca="false">'Fault &amp; Downtime Entry'!K14</f>
        <v>0</v>
      </c>
      <c r="L13" s="47" t="n">
        <f aca="false">'Fault &amp; Downtime Entry'!L14</f>
        <v>0</v>
      </c>
      <c r="M13" s="47" t="str">
        <f aca="false">'Fault &amp; Downtime Entry'!M14</f>
        <v/>
      </c>
      <c r="N13" s="47" t="n">
        <f aca="false">'Fault &amp; Downtime Entry'!N14</f>
        <v>0</v>
      </c>
      <c r="O13" s="47" t="n">
        <f aca="false">'Fault &amp; Downtime Entry'!O14</f>
        <v>0</v>
      </c>
      <c r="P13" s="47" t="str">
        <f aca="false">IF(OR(J13="",K13=""),"",IFERROR(J13/K13*1000,0))</f>
        <v/>
      </c>
      <c r="Q13" s="47" t="str">
        <f aca="false">IF(OR(L13="",K13=""),"",IFERROR(L13/K13*1000,0))</f>
        <v/>
      </c>
      <c r="R13" s="47" t="str">
        <f aca="false">IF(OR(M13="High",M13="Critical"),"YES","")</f>
        <v/>
      </c>
    </row>
    <row r="14" customFormat="false" ht="15" hidden="false" customHeight="true" outlineLevel="0" collapsed="false">
      <c r="A14" s="47" t="n">
        <f aca="false">'Fault &amp; Downtime Entry'!A15</f>
        <v>10</v>
      </c>
      <c r="B14" s="48" t="n">
        <f aca="false">'Fault &amp; Downtime Entry'!B15</f>
        <v>0</v>
      </c>
      <c r="C14" s="47" t="n">
        <f aca="false">'Fault &amp; Downtime Entry'!C15</f>
        <v>0</v>
      </c>
      <c r="D14" s="47" t="n">
        <f aca="false">'Fault &amp; Downtime Entry'!D15</f>
        <v>0</v>
      </c>
      <c r="E14" s="47" t="n">
        <f aca="false">'Fault &amp; Downtime Entry'!E15</f>
        <v>0</v>
      </c>
      <c r="F14" s="47" t="str">
        <f aca="false">'Fault &amp; Downtime Entry'!F15</f>
        <v/>
      </c>
      <c r="G14" s="47" t="n">
        <f aca="false">'Fault &amp; Downtime Entry'!G15</f>
        <v>0</v>
      </c>
      <c r="H14" s="47" t="str">
        <f aca="false">'Fault &amp; Downtime Entry'!H15</f>
        <v/>
      </c>
      <c r="I14" s="47" t="str">
        <f aca="false">'Fault &amp; Downtime Entry'!I15</f>
        <v/>
      </c>
      <c r="J14" s="47" t="n">
        <f aca="false">'Fault &amp; Downtime Entry'!J15</f>
        <v>0</v>
      </c>
      <c r="K14" s="47" t="n">
        <f aca="false">'Fault &amp; Downtime Entry'!K15</f>
        <v>0</v>
      </c>
      <c r="L14" s="47" t="n">
        <f aca="false">'Fault &amp; Downtime Entry'!L15</f>
        <v>0</v>
      </c>
      <c r="M14" s="47" t="str">
        <f aca="false">'Fault &amp; Downtime Entry'!M15</f>
        <v/>
      </c>
      <c r="N14" s="47" t="n">
        <f aca="false">'Fault &amp; Downtime Entry'!N15</f>
        <v>0</v>
      </c>
      <c r="O14" s="47" t="n">
        <f aca="false">'Fault &amp; Downtime Entry'!O15</f>
        <v>0</v>
      </c>
      <c r="P14" s="47" t="str">
        <f aca="false">IF(OR(J14="",K14=""),"",IFERROR(J14/K14*1000,0))</f>
        <v/>
      </c>
      <c r="Q14" s="47" t="str">
        <f aca="false">IF(OR(L14="",K14=""),"",IFERROR(L14/K14*1000,0))</f>
        <v/>
      </c>
      <c r="R14" s="47" t="str">
        <f aca="false">IF(OR(M14="High",M14="Critical"),"YES","")</f>
        <v/>
      </c>
    </row>
    <row r="15" customFormat="false" ht="15" hidden="false" customHeight="true" outlineLevel="0" collapsed="false">
      <c r="A15" s="47" t="n">
        <f aca="false">'Fault &amp; Downtime Entry'!A16</f>
        <v>11</v>
      </c>
      <c r="B15" s="48" t="n">
        <f aca="false">'Fault &amp; Downtime Entry'!B16</f>
        <v>0</v>
      </c>
      <c r="C15" s="47" t="n">
        <f aca="false">'Fault &amp; Downtime Entry'!C16</f>
        <v>0</v>
      </c>
      <c r="D15" s="47" t="n">
        <f aca="false">'Fault &amp; Downtime Entry'!D16</f>
        <v>0</v>
      </c>
      <c r="E15" s="47" t="n">
        <f aca="false">'Fault &amp; Downtime Entry'!E16</f>
        <v>0</v>
      </c>
      <c r="F15" s="47" t="str">
        <f aca="false">'Fault &amp; Downtime Entry'!F16</f>
        <v/>
      </c>
      <c r="G15" s="47" t="n">
        <f aca="false">'Fault &amp; Downtime Entry'!G16</f>
        <v>0</v>
      </c>
      <c r="H15" s="47" t="str">
        <f aca="false">'Fault &amp; Downtime Entry'!H16</f>
        <v/>
      </c>
      <c r="I15" s="47" t="str">
        <f aca="false">'Fault &amp; Downtime Entry'!I16</f>
        <v/>
      </c>
      <c r="J15" s="47" t="n">
        <f aca="false">'Fault &amp; Downtime Entry'!J16</f>
        <v>0</v>
      </c>
      <c r="K15" s="47" t="n">
        <f aca="false">'Fault &amp; Downtime Entry'!K16</f>
        <v>0</v>
      </c>
      <c r="L15" s="47" t="n">
        <f aca="false">'Fault &amp; Downtime Entry'!L16</f>
        <v>0</v>
      </c>
      <c r="M15" s="47" t="str">
        <f aca="false">'Fault &amp; Downtime Entry'!M16</f>
        <v/>
      </c>
      <c r="N15" s="47" t="n">
        <f aca="false">'Fault &amp; Downtime Entry'!N16</f>
        <v>0</v>
      </c>
      <c r="O15" s="47" t="n">
        <f aca="false">'Fault &amp; Downtime Entry'!O16</f>
        <v>0</v>
      </c>
      <c r="P15" s="47" t="str">
        <f aca="false">IF(OR(J15="",K15=""),"",IFERROR(J15/K15*1000,0))</f>
        <v/>
      </c>
      <c r="Q15" s="47" t="str">
        <f aca="false">IF(OR(L15="",K15=""),"",IFERROR(L15/K15*1000,0))</f>
        <v/>
      </c>
      <c r="R15" s="47" t="str">
        <f aca="false">IF(OR(M15="High",M15="Critical"),"YES","")</f>
        <v/>
      </c>
    </row>
    <row r="16" customFormat="false" ht="15" hidden="false" customHeight="true" outlineLevel="0" collapsed="false">
      <c r="A16" s="47" t="n">
        <f aca="false">'Fault &amp; Downtime Entry'!A17</f>
        <v>12</v>
      </c>
      <c r="B16" s="48" t="n">
        <f aca="false">'Fault &amp; Downtime Entry'!B17</f>
        <v>0</v>
      </c>
      <c r="C16" s="47" t="n">
        <f aca="false">'Fault &amp; Downtime Entry'!C17</f>
        <v>0</v>
      </c>
      <c r="D16" s="47" t="n">
        <f aca="false">'Fault &amp; Downtime Entry'!D17</f>
        <v>0</v>
      </c>
      <c r="E16" s="47" t="n">
        <f aca="false">'Fault &amp; Downtime Entry'!E17</f>
        <v>0</v>
      </c>
      <c r="F16" s="47" t="str">
        <f aca="false">'Fault &amp; Downtime Entry'!F17</f>
        <v/>
      </c>
      <c r="G16" s="47" t="n">
        <f aca="false">'Fault &amp; Downtime Entry'!G17</f>
        <v>0</v>
      </c>
      <c r="H16" s="47" t="str">
        <f aca="false">'Fault &amp; Downtime Entry'!H17</f>
        <v/>
      </c>
      <c r="I16" s="47" t="str">
        <f aca="false">'Fault &amp; Downtime Entry'!I17</f>
        <v/>
      </c>
      <c r="J16" s="47" t="n">
        <f aca="false">'Fault &amp; Downtime Entry'!J17</f>
        <v>0</v>
      </c>
      <c r="K16" s="47" t="n">
        <f aca="false">'Fault &amp; Downtime Entry'!K17</f>
        <v>0</v>
      </c>
      <c r="L16" s="47" t="n">
        <f aca="false">'Fault &amp; Downtime Entry'!L17</f>
        <v>0</v>
      </c>
      <c r="M16" s="47" t="str">
        <f aca="false">'Fault &amp; Downtime Entry'!M17</f>
        <v/>
      </c>
      <c r="N16" s="47" t="n">
        <f aca="false">'Fault &amp; Downtime Entry'!N17</f>
        <v>0</v>
      </c>
      <c r="O16" s="47" t="n">
        <f aca="false">'Fault &amp; Downtime Entry'!O17</f>
        <v>0</v>
      </c>
      <c r="P16" s="47" t="str">
        <f aca="false">IF(OR(J16="",K16=""),"",IFERROR(J16/K16*1000,0))</f>
        <v/>
      </c>
      <c r="Q16" s="47" t="str">
        <f aca="false">IF(OR(L16="",K16=""),"",IFERROR(L16/K16*1000,0))</f>
        <v/>
      </c>
      <c r="R16" s="47" t="str">
        <f aca="false">IF(OR(M16="High",M16="Critical"),"YES","")</f>
        <v/>
      </c>
    </row>
    <row r="17" customFormat="false" ht="15" hidden="false" customHeight="true" outlineLevel="0" collapsed="false">
      <c r="A17" s="47" t="n">
        <f aca="false">'Fault &amp; Downtime Entry'!A18</f>
        <v>13</v>
      </c>
      <c r="B17" s="48" t="n">
        <f aca="false">'Fault &amp; Downtime Entry'!B18</f>
        <v>0</v>
      </c>
      <c r="C17" s="47" t="n">
        <f aca="false">'Fault &amp; Downtime Entry'!C18</f>
        <v>0</v>
      </c>
      <c r="D17" s="47" t="n">
        <f aca="false">'Fault &amp; Downtime Entry'!D18</f>
        <v>0</v>
      </c>
      <c r="E17" s="47" t="n">
        <f aca="false">'Fault &amp; Downtime Entry'!E18</f>
        <v>0</v>
      </c>
      <c r="F17" s="47" t="str">
        <f aca="false">'Fault &amp; Downtime Entry'!F18</f>
        <v/>
      </c>
      <c r="G17" s="47" t="n">
        <f aca="false">'Fault &amp; Downtime Entry'!G18</f>
        <v>0</v>
      </c>
      <c r="H17" s="47" t="str">
        <f aca="false">'Fault &amp; Downtime Entry'!H18</f>
        <v/>
      </c>
      <c r="I17" s="47" t="str">
        <f aca="false">'Fault &amp; Downtime Entry'!I18</f>
        <v/>
      </c>
      <c r="J17" s="47" t="n">
        <f aca="false">'Fault &amp; Downtime Entry'!J18</f>
        <v>0</v>
      </c>
      <c r="K17" s="47" t="n">
        <f aca="false">'Fault &amp; Downtime Entry'!K18</f>
        <v>0</v>
      </c>
      <c r="L17" s="47" t="n">
        <f aca="false">'Fault &amp; Downtime Entry'!L18</f>
        <v>0</v>
      </c>
      <c r="M17" s="47" t="str">
        <f aca="false">'Fault &amp; Downtime Entry'!M18</f>
        <v/>
      </c>
      <c r="N17" s="47" t="n">
        <f aca="false">'Fault &amp; Downtime Entry'!N18</f>
        <v>0</v>
      </c>
      <c r="O17" s="47" t="n">
        <f aca="false">'Fault &amp; Downtime Entry'!O18</f>
        <v>0</v>
      </c>
      <c r="P17" s="47" t="str">
        <f aca="false">IF(OR(J17="",K17=""),"",IFERROR(J17/K17*1000,0))</f>
        <v/>
      </c>
      <c r="Q17" s="47" t="str">
        <f aca="false">IF(OR(L17="",K17=""),"",IFERROR(L17/K17*1000,0))</f>
        <v/>
      </c>
      <c r="R17" s="47" t="str">
        <f aca="false">IF(OR(M17="High",M17="Critical"),"YES","")</f>
        <v/>
      </c>
    </row>
    <row r="18" customFormat="false" ht="15" hidden="false" customHeight="true" outlineLevel="0" collapsed="false">
      <c r="A18" s="47" t="n">
        <f aca="false">'Fault &amp; Downtime Entry'!A19</f>
        <v>14</v>
      </c>
      <c r="B18" s="48" t="n">
        <f aca="false">'Fault &amp; Downtime Entry'!B19</f>
        <v>0</v>
      </c>
      <c r="C18" s="47" t="n">
        <f aca="false">'Fault &amp; Downtime Entry'!C19</f>
        <v>0</v>
      </c>
      <c r="D18" s="47" t="n">
        <f aca="false">'Fault &amp; Downtime Entry'!D19</f>
        <v>0</v>
      </c>
      <c r="E18" s="47" t="n">
        <f aca="false">'Fault &amp; Downtime Entry'!E19</f>
        <v>0</v>
      </c>
      <c r="F18" s="47" t="str">
        <f aca="false">'Fault &amp; Downtime Entry'!F19</f>
        <v/>
      </c>
      <c r="G18" s="47" t="n">
        <f aca="false">'Fault &amp; Downtime Entry'!G19</f>
        <v>0</v>
      </c>
      <c r="H18" s="47" t="str">
        <f aca="false">'Fault &amp; Downtime Entry'!H19</f>
        <v/>
      </c>
      <c r="I18" s="47" t="str">
        <f aca="false">'Fault &amp; Downtime Entry'!I19</f>
        <v/>
      </c>
      <c r="J18" s="47" t="n">
        <f aca="false">'Fault &amp; Downtime Entry'!J19</f>
        <v>0</v>
      </c>
      <c r="K18" s="47" t="n">
        <f aca="false">'Fault &amp; Downtime Entry'!K19</f>
        <v>0</v>
      </c>
      <c r="L18" s="47" t="n">
        <f aca="false">'Fault &amp; Downtime Entry'!L19</f>
        <v>0</v>
      </c>
      <c r="M18" s="47" t="str">
        <f aca="false">'Fault &amp; Downtime Entry'!M19</f>
        <v/>
      </c>
      <c r="N18" s="47" t="n">
        <f aca="false">'Fault &amp; Downtime Entry'!N19</f>
        <v>0</v>
      </c>
      <c r="O18" s="47" t="n">
        <f aca="false">'Fault &amp; Downtime Entry'!O19</f>
        <v>0</v>
      </c>
      <c r="P18" s="47" t="str">
        <f aca="false">IF(OR(J18="",K18=""),"",IFERROR(J18/K18*1000,0))</f>
        <v/>
      </c>
      <c r="Q18" s="47" t="str">
        <f aca="false">IF(OR(L18="",K18=""),"",IFERROR(L18/K18*1000,0))</f>
        <v/>
      </c>
      <c r="R18" s="47" t="str">
        <f aca="false">IF(OR(M18="High",M18="Critical"),"YES","")</f>
        <v/>
      </c>
    </row>
    <row r="19" customFormat="false" ht="15" hidden="false" customHeight="true" outlineLevel="0" collapsed="false">
      <c r="A19" s="47" t="n">
        <f aca="false">'Fault &amp; Downtime Entry'!A20</f>
        <v>15</v>
      </c>
      <c r="B19" s="48" t="n">
        <f aca="false">'Fault &amp; Downtime Entry'!B20</f>
        <v>0</v>
      </c>
      <c r="C19" s="47" t="n">
        <f aca="false">'Fault &amp; Downtime Entry'!C20</f>
        <v>0</v>
      </c>
      <c r="D19" s="47" t="n">
        <f aca="false">'Fault &amp; Downtime Entry'!D20</f>
        <v>0</v>
      </c>
      <c r="E19" s="47" t="n">
        <f aca="false">'Fault &amp; Downtime Entry'!E20</f>
        <v>0</v>
      </c>
      <c r="F19" s="47" t="str">
        <f aca="false">'Fault &amp; Downtime Entry'!F20</f>
        <v/>
      </c>
      <c r="G19" s="47" t="n">
        <f aca="false">'Fault &amp; Downtime Entry'!G20</f>
        <v>0</v>
      </c>
      <c r="H19" s="47" t="str">
        <f aca="false">'Fault &amp; Downtime Entry'!H20</f>
        <v/>
      </c>
      <c r="I19" s="47" t="str">
        <f aca="false">'Fault &amp; Downtime Entry'!I20</f>
        <v/>
      </c>
      <c r="J19" s="47" t="n">
        <f aca="false">'Fault &amp; Downtime Entry'!J20</f>
        <v>0</v>
      </c>
      <c r="K19" s="47" t="n">
        <f aca="false">'Fault &amp; Downtime Entry'!K20</f>
        <v>0</v>
      </c>
      <c r="L19" s="47" t="n">
        <f aca="false">'Fault &amp; Downtime Entry'!L20</f>
        <v>0</v>
      </c>
      <c r="M19" s="47" t="str">
        <f aca="false">'Fault &amp; Downtime Entry'!M20</f>
        <v/>
      </c>
      <c r="N19" s="47" t="n">
        <f aca="false">'Fault &amp; Downtime Entry'!N20</f>
        <v>0</v>
      </c>
      <c r="O19" s="47" t="n">
        <f aca="false">'Fault &amp; Downtime Entry'!O20</f>
        <v>0</v>
      </c>
      <c r="P19" s="47" t="str">
        <f aca="false">IF(OR(J19="",K19=""),"",IFERROR(J19/K19*1000,0))</f>
        <v/>
      </c>
      <c r="Q19" s="47" t="str">
        <f aca="false">IF(OR(L19="",K19=""),"",IFERROR(L19/K19*1000,0))</f>
        <v/>
      </c>
      <c r="R19" s="47" t="str">
        <f aca="false">IF(OR(M19="High",M19="Critical"),"YES","")</f>
        <v/>
      </c>
    </row>
    <row r="20" customFormat="false" ht="15" hidden="false" customHeight="true" outlineLevel="0" collapsed="false">
      <c r="A20" s="47" t="n">
        <f aca="false">'Fault &amp; Downtime Entry'!A21</f>
        <v>16</v>
      </c>
      <c r="B20" s="48" t="n">
        <f aca="false">'Fault &amp; Downtime Entry'!B21</f>
        <v>0</v>
      </c>
      <c r="C20" s="47" t="n">
        <f aca="false">'Fault &amp; Downtime Entry'!C21</f>
        <v>0</v>
      </c>
      <c r="D20" s="47" t="n">
        <f aca="false">'Fault &amp; Downtime Entry'!D21</f>
        <v>0</v>
      </c>
      <c r="E20" s="47" t="n">
        <f aca="false">'Fault &amp; Downtime Entry'!E21</f>
        <v>0</v>
      </c>
      <c r="F20" s="47" t="str">
        <f aca="false">'Fault &amp; Downtime Entry'!F21</f>
        <v/>
      </c>
      <c r="G20" s="47" t="n">
        <f aca="false">'Fault &amp; Downtime Entry'!G21</f>
        <v>0</v>
      </c>
      <c r="H20" s="47" t="str">
        <f aca="false">'Fault &amp; Downtime Entry'!H21</f>
        <v/>
      </c>
      <c r="I20" s="47" t="str">
        <f aca="false">'Fault &amp; Downtime Entry'!I21</f>
        <v/>
      </c>
      <c r="J20" s="47" t="n">
        <f aca="false">'Fault &amp; Downtime Entry'!J21</f>
        <v>0</v>
      </c>
      <c r="K20" s="47" t="n">
        <f aca="false">'Fault &amp; Downtime Entry'!K21</f>
        <v>0</v>
      </c>
      <c r="L20" s="47" t="n">
        <f aca="false">'Fault &amp; Downtime Entry'!L21</f>
        <v>0</v>
      </c>
      <c r="M20" s="47" t="str">
        <f aca="false">'Fault &amp; Downtime Entry'!M21</f>
        <v/>
      </c>
      <c r="N20" s="47" t="n">
        <f aca="false">'Fault &amp; Downtime Entry'!N21</f>
        <v>0</v>
      </c>
      <c r="O20" s="47" t="n">
        <f aca="false">'Fault &amp; Downtime Entry'!O21</f>
        <v>0</v>
      </c>
      <c r="P20" s="47" t="str">
        <f aca="false">IF(OR(J20="",K20=""),"",IFERROR(J20/K20*1000,0))</f>
        <v/>
      </c>
      <c r="Q20" s="47" t="str">
        <f aca="false">IF(OR(L20="",K20=""),"",IFERROR(L20/K20*1000,0))</f>
        <v/>
      </c>
      <c r="R20" s="47" t="str">
        <f aca="false">IF(OR(M20="High",M20="Critical"),"YES","")</f>
        <v/>
      </c>
    </row>
    <row r="21" customFormat="false" ht="15" hidden="false" customHeight="true" outlineLevel="0" collapsed="false">
      <c r="A21" s="47" t="n">
        <f aca="false">'Fault &amp; Downtime Entry'!A22</f>
        <v>17</v>
      </c>
      <c r="B21" s="48" t="n">
        <f aca="false">'Fault &amp; Downtime Entry'!B22</f>
        <v>0</v>
      </c>
      <c r="C21" s="47" t="n">
        <f aca="false">'Fault &amp; Downtime Entry'!C22</f>
        <v>0</v>
      </c>
      <c r="D21" s="47" t="n">
        <f aca="false">'Fault &amp; Downtime Entry'!D22</f>
        <v>0</v>
      </c>
      <c r="E21" s="47" t="n">
        <f aca="false">'Fault &amp; Downtime Entry'!E22</f>
        <v>0</v>
      </c>
      <c r="F21" s="47" t="str">
        <f aca="false">'Fault &amp; Downtime Entry'!F22</f>
        <v/>
      </c>
      <c r="G21" s="47" t="n">
        <f aca="false">'Fault &amp; Downtime Entry'!G22</f>
        <v>0</v>
      </c>
      <c r="H21" s="47" t="str">
        <f aca="false">'Fault &amp; Downtime Entry'!H22</f>
        <v/>
      </c>
      <c r="I21" s="47" t="str">
        <f aca="false">'Fault &amp; Downtime Entry'!I22</f>
        <v/>
      </c>
      <c r="J21" s="47" t="n">
        <f aca="false">'Fault &amp; Downtime Entry'!J22</f>
        <v>0</v>
      </c>
      <c r="K21" s="47" t="n">
        <f aca="false">'Fault &amp; Downtime Entry'!K22</f>
        <v>0</v>
      </c>
      <c r="L21" s="47" t="n">
        <f aca="false">'Fault &amp; Downtime Entry'!L22</f>
        <v>0</v>
      </c>
      <c r="M21" s="47" t="str">
        <f aca="false">'Fault &amp; Downtime Entry'!M22</f>
        <v/>
      </c>
      <c r="N21" s="47" t="n">
        <f aca="false">'Fault &amp; Downtime Entry'!N22</f>
        <v>0</v>
      </c>
      <c r="O21" s="47" t="n">
        <f aca="false">'Fault &amp; Downtime Entry'!O22</f>
        <v>0</v>
      </c>
      <c r="P21" s="47" t="str">
        <f aca="false">IF(OR(J21="",K21=""),"",IFERROR(J21/K21*1000,0))</f>
        <v/>
      </c>
      <c r="Q21" s="47" t="str">
        <f aca="false">IF(OR(L21="",K21=""),"",IFERROR(L21/K21*1000,0))</f>
        <v/>
      </c>
      <c r="R21" s="47" t="str">
        <f aca="false">IF(OR(M21="High",M21="Critical"),"YES","")</f>
        <v/>
      </c>
    </row>
    <row r="22" customFormat="false" ht="15" hidden="false" customHeight="true" outlineLevel="0" collapsed="false">
      <c r="A22" s="47" t="n">
        <f aca="false">'Fault &amp; Downtime Entry'!A23</f>
        <v>18</v>
      </c>
      <c r="B22" s="48" t="n">
        <f aca="false">'Fault &amp; Downtime Entry'!B23</f>
        <v>0</v>
      </c>
      <c r="C22" s="47" t="n">
        <f aca="false">'Fault &amp; Downtime Entry'!C23</f>
        <v>0</v>
      </c>
      <c r="D22" s="47" t="n">
        <f aca="false">'Fault &amp; Downtime Entry'!D23</f>
        <v>0</v>
      </c>
      <c r="E22" s="47" t="n">
        <f aca="false">'Fault &amp; Downtime Entry'!E23</f>
        <v>0</v>
      </c>
      <c r="F22" s="47" t="str">
        <f aca="false">'Fault &amp; Downtime Entry'!F23</f>
        <v/>
      </c>
      <c r="G22" s="47" t="n">
        <f aca="false">'Fault &amp; Downtime Entry'!G23</f>
        <v>0</v>
      </c>
      <c r="H22" s="47" t="str">
        <f aca="false">'Fault &amp; Downtime Entry'!H23</f>
        <v/>
      </c>
      <c r="I22" s="47" t="str">
        <f aca="false">'Fault &amp; Downtime Entry'!I23</f>
        <v/>
      </c>
      <c r="J22" s="47" t="n">
        <f aca="false">'Fault &amp; Downtime Entry'!J23</f>
        <v>0</v>
      </c>
      <c r="K22" s="47" t="n">
        <f aca="false">'Fault &amp; Downtime Entry'!K23</f>
        <v>0</v>
      </c>
      <c r="L22" s="47" t="n">
        <f aca="false">'Fault &amp; Downtime Entry'!L23</f>
        <v>0</v>
      </c>
      <c r="M22" s="47" t="str">
        <f aca="false">'Fault &amp; Downtime Entry'!M23</f>
        <v/>
      </c>
      <c r="N22" s="47" t="n">
        <f aca="false">'Fault &amp; Downtime Entry'!N23</f>
        <v>0</v>
      </c>
      <c r="O22" s="47" t="n">
        <f aca="false">'Fault &amp; Downtime Entry'!O23</f>
        <v>0</v>
      </c>
      <c r="P22" s="47" t="str">
        <f aca="false">IF(OR(J22="",K22=""),"",IFERROR(J22/K22*1000,0))</f>
        <v/>
      </c>
      <c r="Q22" s="47" t="str">
        <f aca="false">IF(OR(L22="",K22=""),"",IFERROR(L22/K22*1000,0))</f>
        <v/>
      </c>
      <c r="R22" s="47" t="str">
        <f aca="false">IF(OR(M22="High",M22="Critical"),"YES","")</f>
        <v/>
      </c>
    </row>
    <row r="23" customFormat="false" ht="15" hidden="false" customHeight="true" outlineLevel="0" collapsed="false">
      <c r="A23" s="47" t="n">
        <f aca="false">'Fault &amp; Downtime Entry'!A24</f>
        <v>19</v>
      </c>
      <c r="B23" s="48" t="n">
        <f aca="false">'Fault &amp; Downtime Entry'!B24</f>
        <v>0</v>
      </c>
      <c r="C23" s="47" t="n">
        <f aca="false">'Fault &amp; Downtime Entry'!C24</f>
        <v>0</v>
      </c>
      <c r="D23" s="47" t="n">
        <f aca="false">'Fault &amp; Downtime Entry'!D24</f>
        <v>0</v>
      </c>
      <c r="E23" s="47" t="n">
        <f aca="false">'Fault &amp; Downtime Entry'!E24</f>
        <v>0</v>
      </c>
      <c r="F23" s="47" t="str">
        <f aca="false">'Fault &amp; Downtime Entry'!F24</f>
        <v/>
      </c>
      <c r="G23" s="47" t="n">
        <f aca="false">'Fault &amp; Downtime Entry'!G24</f>
        <v>0</v>
      </c>
      <c r="H23" s="47" t="str">
        <f aca="false">'Fault &amp; Downtime Entry'!H24</f>
        <v/>
      </c>
      <c r="I23" s="47" t="str">
        <f aca="false">'Fault &amp; Downtime Entry'!I24</f>
        <v/>
      </c>
      <c r="J23" s="47" t="n">
        <f aca="false">'Fault &amp; Downtime Entry'!J24</f>
        <v>0</v>
      </c>
      <c r="K23" s="47" t="n">
        <f aca="false">'Fault &amp; Downtime Entry'!K24</f>
        <v>0</v>
      </c>
      <c r="L23" s="47" t="n">
        <f aca="false">'Fault &amp; Downtime Entry'!L24</f>
        <v>0</v>
      </c>
      <c r="M23" s="47" t="str">
        <f aca="false">'Fault &amp; Downtime Entry'!M24</f>
        <v/>
      </c>
      <c r="N23" s="47" t="n">
        <f aca="false">'Fault &amp; Downtime Entry'!N24</f>
        <v>0</v>
      </c>
      <c r="O23" s="47" t="n">
        <f aca="false">'Fault &amp; Downtime Entry'!O24</f>
        <v>0</v>
      </c>
      <c r="P23" s="47" t="str">
        <f aca="false">IF(OR(J23="",K23=""),"",IFERROR(J23/K23*1000,0))</f>
        <v/>
      </c>
      <c r="Q23" s="47" t="str">
        <f aca="false">IF(OR(L23="",K23=""),"",IFERROR(L23/K23*1000,0))</f>
        <v/>
      </c>
      <c r="R23" s="47" t="str">
        <f aca="false">IF(OR(M23="High",M23="Critical"),"YES","")</f>
        <v/>
      </c>
    </row>
    <row r="24" customFormat="false" ht="15" hidden="false" customHeight="true" outlineLevel="0" collapsed="false">
      <c r="A24" s="47" t="n">
        <f aca="false">'Fault &amp; Downtime Entry'!A25</f>
        <v>20</v>
      </c>
      <c r="B24" s="48" t="n">
        <f aca="false">'Fault &amp; Downtime Entry'!B25</f>
        <v>0</v>
      </c>
      <c r="C24" s="47" t="n">
        <f aca="false">'Fault &amp; Downtime Entry'!C25</f>
        <v>0</v>
      </c>
      <c r="D24" s="47" t="n">
        <f aca="false">'Fault &amp; Downtime Entry'!D25</f>
        <v>0</v>
      </c>
      <c r="E24" s="47" t="n">
        <f aca="false">'Fault &amp; Downtime Entry'!E25</f>
        <v>0</v>
      </c>
      <c r="F24" s="47" t="str">
        <f aca="false">'Fault &amp; Downtime Entry'!F25</f>
        <v/>
      </c>
      <c r="G24" s="47" t="n">
        <f aca="false">'Fault &amp; Downtime Entry'!G25</f>
        <v>0</v>
      </c>
      <c r="H24" s="47" t="str">
        <f aca="false">'Fault &amp; Downtime Entry'!H25</f>
        <v/>
      </c>
      <c r="I24" s="47" t="str">
        <f aca="false">'Fault &amp; Downtime Entry'!I25</f>
        <v/>
      </c>
      <c r="J24" s="47" t="n">
        <f aca="false">'Fault &amp; Downtime Entry'!J25</f>
        <v>0</v>
      </c>
      <c r="K24" s="47" t="n">
        <f aca="false">'Fault &amp; Downtime Entry'!K25</f>
        <v>0</v>
      </c>
      <c r="L24" s="47" t="n">
        <f aca="false">'Fault &amp; Downtime Entry'!L25</f>
        <v>0</v>
      </c>
      <c r="M24" s="47" t="str">
        <f aca="false">'Fault &amp; Downtime Entry'!M25</f>
        <v/>
      </c>
      <c r="N24" s="47" t="n">
        <f aca="false">'Fault &amp; Downtime Entry'!N25</f>
        <v>0</v>
      </c>
      <c r="O24" s="47" t="n">
        <f aca="false">'Fault &amp; Downtime Entry'!O25</f>
        <v>0</v>
      </c>
      <c r="P24" s="47" t="str">
        <f aca="false">IF(OR(J24="",K24=""),"",IFERROR(J24/K24*1000,0))</f>
        <v/>
      </c>
      <c r="Q24" s="47" t="str">
        <f aca="false">IF(OR(L24="",K24=""),"",IFERROR(L24/K24*1000,0))</f>
        <v/>
      </c>
      <c r="R24" s="47" t="str">
        <f aca="false">IF(OR(M24="High",M24="Critical"),"YES","")</f>
        <v/>
      </c>
    </row>
    <row r="25" customFormat="false" ht="15" hidden="false" customHeight="true" outlineLevel="0" collapsed="false">
      <c r="A25" s="47" t="n">
        <f aca="false">'Fault &amp; Downtime Entry'!A26</f>
        <v>21</v>
      </c>
      <c r="B25" s="48" t="n">
        <f aca="false">'Fault &amp; Downtime Entry'!B26</f>
        <v>0</v>
      </c>
      <c r="C25" s="47" t="n">
        <f aca="false">'Fault &amp; Downtime Entry'!C26</f>
        <v>0</v>
      </c>
      <c r="D25" s="47" t="n">
        <f aca="false">'Fault &amp; Downtime Entry'!D26</f>
        <v>0</v>
      </c>
      <c r="E25" s="47" t="n">
        <f aca="false">'Fault &amp; Downtime Entry'!E26</f>
        <v>0</v>
      </c>
      <c r="F25" s="47" t="str">
        <f aca="false">'Fault &amp; Downtime Entry'!F26</f>
        <v/>
      </c>
      <c r="G25" s="47" t="n">
        <f aca="false">'Fault &amp; Downtime Entry'!G26</f>
        <v>0</v>
      </c>
      <c r="H25" s="47" t="str">
        <f aca="false">'Fault &amp; Downtime Entry'!H26</f>
        <v/>
      </c>
      <c r="I25" s="47" t="str">
        <f aca="false">'Fault &amp; Downtime Entry'!I26</f>
        <v/>
      </c>
      <c r="J25" s="47" t="n">
        <f aca="false">'Fault &amp; Downtime Entry'!J26</f>
        <v>0</v>
      </c>
      <c r="K25" s="47" t="n">
        <f aca="false">'Fault &amp; Downtime Entry'!K26</f>
        <v>0</v>
      </c>
      <c r="L25" s="47" t="n">
        <f aca="false">'Fault &amp; Downtime Entry'!L26</f>
        <v>0</v>
      </c>
      <c r="M25" s="47" t="str">
        <f aca="false">'Fault &amp; Downtime Entry'!M26</f>
        <v/>
      </c>
      <c r="N25" s="47" t="n">
        <f aca="false">'Fault &amp; Downtime Entry'!N26</f>
        <v>0</v>
      </c>
      <c r="O25" s="47" t="n">
        <f aca="false">'Fault &amp; Downtime Entry'!O26</f>
        <v>0</v>
      </c>
      <c r="P25" s="47" t="str">
        <f aca="false">IF(OR(J25="",K25=""),"",IFERROR(J25/K25*1000,0))</f>
        <v/>
      </c>
      <c r="Q25" s="47" t="str">
        <f aca="false">IF(OR(L25="",K25=""),"",IFERROR(L25/K25*1000,0))</f>
        <v/>
      </c>
      <c r="R25" s="47" t="str">
        <f aca="false">IF(OR(M25="High",M25="Critical"),"YES","")</f>
        <v/>
      </c>
    </row>
    <row r="26" customFormat="false" ht="15" hidden="false" customHeight="true" outlineLevel="0" collapsed="false">
      <c r="A26" s="47" t="n">
        <f aca="false">'Fault &amp; Downtime Entry'!A27</f>
        <v>22</v>
      </c>
      <c r="B26" s="48" t="n">
        <f aca="false">'Fault &amp; Downtime Entry'!B27</f>
        <v>0</v>
      </c>
      <c r="C26" s="47" t="n">
        <f aca="false">'Fault &amp; Downtime Entry'!C27</f>
        <v>0</v>
      </c>
      <c r="D26" s="47" t="n">
        <f aca="false">'Fault &amp; Downtime Entry'!D27</f>
        <v>0</v>
      </c>
      <c r="E26" s="47" t="n">
        <f aca="false">'Fault &amp; Downtime Entry'!E27</f>
        <v>0</v>
      </c>
      <c r="F26" s="47" t="str">
        <f aca="false">'Fault &amp; Downtime Entry'!F27</f>
        <v/>
      </c>
      <c r="G26" s="47" t="n">
        <f aca="false">'Fault &amp; Downtime Entry'!G27</f>
        <v>0</v>
      </c>
      <c r="H26" s="47" t="str">
        <f aca="false">'Fault &amp; Downtime Entry'!H27</f>
        <v/>
      </c>
      <c r="I26" s="47" t="str">
        <f aca="false">'Fault &amp; Downtime Entry'!I27</f>
        <v/>
      </c>
      <c r="J26" s="47" t="n">
        <f aca="false">'Fault &amp; Downtime Entry'!J27</f>
        <v>0</v>
      </c>
      <c r="K26" s="47" t="n">
        <f aca="false">'Fault &amp; Downtime Entry'!K27</f>
        <v>0</v>
      </c>
      <c r="L26" s="47" t="n">
        <f aca="false">'Fault &amp; Downtime Entry'!L27</f>
        <v>0</v>
      </c>
      <c r="M26" s="47" t="str">
        <f aca="false">'Fault &amp; Downtime Entry'!M27</f>
        <v/>
      </c>
      <c r="N26" s="47" t="n">
        <f aca="false">'Fault &amp; Downtime Entry'!N27</f>
        <v>0</v>
      </c>
      <c r="O26" s="47" t="n">
        <f aca="false">'Fault &amp; Downtime Entry'!O27</f>
        <v>0</v>
      </c>
      <c r="P26" s="47" t="str">
        <f aca="false">IF(OR(J26="",K26=""),"",IFERROR(J26/K26*1000,0))</f>
        <v/>
      </c>
      <c r="Q26" s="47" t="str">
        <f aca="false">IF(OR(L26="",K26=""),"",IFERROR(L26/K26*1000,0))</f>
        <v/>
      </c>
      <c r="R26" s="47" t="str">
        <f aca="false">IF(OR(M26="High",M26="Critical"),"YES","")</f>
        <v/>
      </c>
    </row>
    <row r="27" customFormat="false" ht="15" hidden="false" customHeight="true" outlineLevel="0" collapsed="false">
      <c r="A27" s="47" t="n">
        <f aca="false">'Fault &amp; Downtime Entry'!A28</f>
        <v>23</v>
      </c>
      <c r="B27" s="48" t="n">
        <f aca="false">'Fault &amp; Downtime Entry'!B28</f>
        <v>0</v>
      </c>
      <c r="C27" s="47" t="n">
        <f aca="false">'Fault &amp; Downtime Entry'!C28</f>
        <v>0</v>
      </c>
      <c r="D27" s="47" t="n">
        <f aca="false">'Fault &amp; Downtime Entry'!D28</f>
        <v>0</v>
      </c>
      <c r="E27" s="47" t="n">
        <f aca="false">'Fault &amp; Downtime Entry'!E28</f>
        <v>0</v>
      </c>
      <c r="F27" s="47" t="str">
        <f aca="false">'Fault &amp; Downtime Entry'!F28</f>
        <v/>
      </c>
      <c r="G27" s="47" t="n">
        <f aca="false">'Fault &amp; Downtime Entry'!G28</f>
        <v>0</v>
      </c>
      <c r="H27" s="47" t="str">
        <f aca="false">'Fault &amp; Downtime Entry'!H28</f>
        <v/>
      </c>
      <c r="I27" s="47" t="str">
        <f aca="false">'Fault &amp; Downtime Entry'!I28</f>
        <v/>
      </c>
      <c r="J27" s="47" t="n">
        <f aca="false">'Fault &amp; Downtime Entry'!J28</f>
        <v>0</v>
      </c>
      <c r="K27" s="47" t="n">
        <f aca="false">'Fault &amp; Downtime Entry'!K28</f>
        <v>0</v>
      </c>
      <c r="L27" s="47" t="n">
        <f aca="false">'Fault &amp; Downtime Entry'!L28</f>
        <v>0</v>
      </c>
      <c r="M27" s="47" t="str">
        <f aca="false">'Fault &amp; Downtime Entry'!M28</f>
        <v/>
      </c>
      <c r="N27" s="47" t="n">
        <f aca="false">'Fault &amp; Downtime Entry'!N28</f>
        <v>0</v>
      </c>
      <c r="O27" s="47" t="n">
        <f aca="false">'Fault &amp; Downtime Entry'!O28</f>
        <v>0</v>
      </c>
      <c r="P27" s="47" t="str">
        <f aca="false">IF(OR(J27="",K27=""),"",IFERROR(J27/K27*1000,0))</f>
        <v/>
      </c>
      <c r="Q27" s="47" t="str">
        <f aca="false">IF(OR(L27="",K27=""),"",IFERROR(L27/K27*1000,0))</f>
        <v/>
      </c>
      <c r="R27" s="47" t="str">
        <f aca="false">IF(OR(M27="High",M27="Critical"),"YES","")</f>
        <v/>
      </c>
    </row>
    <row r="28" customFormat="false" ht="15" hidden="false" customHeight="true" outlineLevel="0" collapsed="false">
      <c r="A28" s="47" t="n">
        <f aca="false">'Fault &amp; Downtime Entry'!A29</f>
        <v>24</v>
      </c>
      <c r="B28" s="48" t="n">
        <f aca="false">'Fault &amp; Downtime Entry'!B29</f>
        <v>0</v>
      </c>
      <c r="C28" s="47" t="n">
        <f aca="false">'Fault &amp; Downtime Entry'!C29</f>
        <v>0</v>
      </c>
      <c r="D28" s="47" t="n">
        <f aca="false">'Fault &amp; Downtime Entry'!D29</f>
        <v>0</v>
      </c>
      <c r="E28" s="47" t="n">
        <f aca="false">'Fault &amp; Downtime Entry'!E29</f>
        <v>0</v>
      </c>
      <c r="F28" s="47" t="str">
        <f aca="false">'Fault &amp; Downtime Entry'!F29</f>
        <v/>
      </c>
      <c r="G28" s="47" t="n">
        <f aca="false">'Fault &amp; Downtime Entry'!G29</f>
        <v>0</v>
      </c>
      <c r="H28" s="47" t="str">
        <f aca="false">'Fault &amp; Downtime Entry'!H29</f>
        <v/>
      </c>
      <c r="I28" s="47" t="str">
        <f aca="false">'Fault &amp; Downtime Entry'!I29</f>
        <v/>
      </c>
      <c r="J28" s="47" t="n">
        <f aca="false">'Fault &amp; Downtime Entry'!J29</f>
        <v>0</v>
      </c>
      <c r="K28" s="47" t="n">
        <f aca="false">'Fault &amp; Downtime Entry'!K29</f>
        <v>0</v>
      </c>
      <c r="L28" s="47" t="n">
        <f aca="false">'Fault &amp; Downtime Entry'!L29</f>
        <v>0</v>
      </c>
      <c r="M28" s="47" t="str">
        <f aca="false">'Fault &amp; Downtime Entry'!M29</f>
        <v/>
      </c>
      <c r="N28" s="47" t="n">
        <f aca="false">'Fault &amp; Downtime Entry'!N29</f>
        <v>0</v>
      </c>
      <c r="O28" s="47" t="n">
        <f aca="false">'Fault &amp; Downtime Entry'!O29</f>
        <v>0</v>
      </c>
      <c r="P28" s="47" t="str">
        <f aca="false">IF(OR(J28="",K28=""),"",IFERROR(J28/K28*1000,0))</f>
        <v/>
      </c>
      <c r="Q28" s="47" t="str">
        <f aca="false">IF(OR(L28="",K28=""),"",IFERROR(L28/K28*1000,0))</f>
        <v/>
      </c>
      <c r="R28" s="47" t="str">
        <f aca="false">IF(OR(M28="High",M28="Critical"),"YES","")</f>
        <v/>
      </c>
    </row>
    <row r="29" customFormat="false" ht="15" hidden="false" customHeight="true" outlineLevel="0" collapsed="false">
      <c r="A29" s="47" t="n">
        <f aca="false">'Fault &amp; Downtime Entry'!A30</f>
        <v>25</v>
      </c>
      <c r="B29" s="48" t="n">
        <f aca="false">'Fault &amp; Downtime Entry'!B30</f>
        <v>0</v>
      </c>
      <c r="C29" s="47" t="n">
        <f aca="false">'Fault &amp; Downtime Entry'!C30</f>
        <v>0</v>
      </c>
      <c r="D29" s="47" t="n">
        <f aca="false">'Fault &amp; Downtime Entry'!D30</f>
        <v>0</v>
      </c>
      <c r="E29" s="47" t="n">
        <f aca="false">'Fault &amp; Downtime Entry'!E30</f>
        <v>0</v>
      </c>
      <c r="F29" s="47" t="str">
        <f aca="false">'Fault &amp; Downtime Entry'!F30</f>
        <v/>
      </c>
      <c r="G29" s="47" t="n">
        <f aca="false">'Fault &amp; Downtime Entry'!G30</f>
        <v>0</v>
      </c>
      <c r="H29" s="47" t="str">
        <f aca="false">'Fault &amp; Downtime Entry'!H30</f>
        <v/>
      </c>
      <c r="I29" s="47" t="str">
        <f aca="false">'Fault &amp; Downtime Entry'!I30</f>
        <v/>
      </c>
      <c r="J29" s="47" t="n">
        <f aca="false">'Fault &amp; Downtime Entry'!J30</f>
        <v>0</v>
      </c>
      <c r="K29" s="47" t="n">
        <f aca="false">'Fault &amp; Downtime Entry'!K30</f>
        <v>0</v>
      </c>
      <c r="L29" s="47" t="n">
        <f aca="false">'Fault &amp; Downtime Entry'!L30</f>
        <v>0</v>
      </c>
      <c r="M29" s="47" t="str">
        <f aca="false">'Fault &amp; Downtime Entry'!M30</f>
        <v/>
      </c>
      <c r="N29" s="47" t="n">
        <f aca="false">'Fault &amp; Downtime Entry'!N30</f>
        <v>0</v>
      </c>
      <c r="O29" s="47" t="n">
        <f aca="false">'Fault &amp; Downtime Entry'!O30</f>
        <v>0</v>
      </c>
      <c r="P29" s="47" t="str">
        <f aca="false">IF(OR(J29="",K29=""),"",IFERROR(J29/K29*1000,0))</f>
        <v/>
      </c>
      <c r="Q29" s="47" t="str">
        <f aca="false">IF(OR(L29="",K29=""),"",IFERROR(L29/K29*1000,0))</f>
        <v/>
      </c>
      <c r="R29" s="47" t="str">
        <f aca="false">IF(OR(M29="High",M29="Critical"),"YES","")</f>
        <v/>
      </c>
    </row>
    <row r="30" customFormat="false" ht="15" hidden="false" customHeight="true" outlineLevel="0" collapsed="false">
      <c r="A30" s="47" t="n">
        <f aca="false">'Fault &amp; Downtime Entry'!A31</f>
        <v>26</v>
      </c>
      <c r="B30" s="48" t="n">
        <f aca="false">'Fault &amp; Downtime Entry'!B31</f>
        <v>0</v>
      </c>
      <c r="C30" s="47" t="n">
        <f aca="false">'Fault &amp; Downtime Entry'!C31</f>
        <v>0</v>
      </c>
      <c r="D30" s="47" t="n">
        <f aca="false">'Fault &amp; Downtime Entry'!D31</f>
        <v>0</v>
      </c>
      <c r="E30" s="47" t="n">
        <f aca="false">'Fault &amp; Downtime Entry'!E31</f>
        <v>0</v>
      </c>
      <c r="F30" s="47" t="str">
        <f aca="false">'Fault &amp; Downtime Entry'!F31</f>
        <v/>
      </c>
      <c r="G30" s="47" t="n">
        <f aca="false">'Fault &amp; Downtime Entry'!G31</f>
        <v>0</v>
      </c>
      <c r="H30" s="47" t="str">
        <f aca="false">'Fault &amp; Downtime Entry'!H31</f>
        <v/>
      </c>
      <c r="I30" s="47" t="str">
        <f aca="false">'Fault &amp; Downtime Entry'!I31</f>
        <v/>
      </c>
      <c r="J30" s="47" t="n">
        <f aca="false">'Fault &amp; Downtime Entry'!J31</f>
        <v>0</v>
      </c>
      <c r="K30" s="47" t="n">
        <f aca="false">'Fault &amp; Downtime Entry'!K31</f>
        <v>0</v>
      </c>
      <c r="L30" s="47" t="n">
        <f aca="false">'Fault &amp; Downtime Entry'!L31</f>
        <v>0</v>
      </c>
      <c r="M30" s="47" t="str">
        <f aca="false">'Fault &amp; Downtime Entry'!M31</f>
        <v/>
      </c>
      <c r="N30" s="47" t="n">
        <f aca="false">'Fault &amp; Downtime Entry'!N31</f>
        <v>0</v>
      </c>
      <c r="O30" s="47" t="n">
        <f aca="false">'Fault &amp; Downtime Entry'!O31</f>
        <v>0</v>
      </c>
      <c r="P30" s="47" t="str">
        <f aca="false">IF(OR(J30="",K30=""),"",IFERROR(J30/K30*1000,0))</f>
        <v/>
      </c>
      <c r="Q30" s="47" t="str">
        <f aca="false">IF(OR(L30="",K30=""),"",IFERROR(L30/K30*1000,0))</f>
        <v/>
      </c>
      <c r="R30" s="47" t="str">
        <f aca="false">IF(OR(M30="High",M30="Critical"),"YES","")</f>
        <v/>
      </c>
    </row>
    <row r="31" customFormat="false" ht="15" hidden="false" customHeight="true" outlineLevel="0" collapsed="false">
      <c r="A31" s="47" t="n">
        <f aca="false">'Fault &amp; Downtime Entry'!A32</f>
        <v>27</v>
      </c>
      <c r="B31" s="48" t="n">
        <f aca="false">'Fault &amp; Downtime Entry'!B32</f>
        <v>0</v>
      </c>
      <c r="C31" s="47" t="n">
        <f aca="false">'Fault &amp; Downtime Entry'!C32</f>
        <v>0</v>
      </c>
      <c r="D31" s="47" t="n">
        <f aca="false">'Fault &amp; Downtime Entry'!D32</f>
        <v>0</v>
      </c>
      <c r="E31" s="47" t="n">
        <f aca="false">'Fault &amp; Downtime Entry'!E32</f>
        <v>0</v>
      </c>
      <c r="F31" s="47" t="str">
        <f aca="false">'Fault &amp; Downtime Entry'!F32</f>
        <v/>
      </c>
      <c r="G31" s="47" t="n">
        <f aca="false">'Fault &amp; Downtime Entry'!G32</f>
        <v>0</v>
      </c>
      <c r="H31" s="47" t="str">
        <f aca="false">'Fault &amp; Downtime Entry'!H32</f>
        <v/>
      </c>
      <c r="I31" s="47" t="str">
        <f aca="false">'Fault &amp; Downtime Entry'!I32</f>
        <v/>
      </c>
      <c r="J31" s="47" t="n">
        <f aca="false">'Fault &amp; Downtime Entry'!J32</f>
        <v>0</v>
      </c>
      <c r="K31" s="47" t="n">
        <f aca="false">'Fault &amp; Downtime Entry'!K32</f>
        <v>0</v>
      </c>
      <c r="L31" s="47" t="n">
        <f aca="false">'Fault &amp; Downtime Entry'!L32</f>
        <v>0</v>
      </c>
      <c r="M31" s="47" t="str">
        <f aca="false">'Fault &amp; Downtime Entry'!M32</f>
        <v/>
      </c>
      <c r="N31" s="47" t="n">
        <f aca="false">'Fault &amp; Downtime Entry'!N32</f>
        <v>0</v>
      </c>
      <c r="O31" s="47" t="n">
        <f aca="false">'Fault &amp; Downtime Entry'!O32</f>
        <v>0</v>
      </c>
      <c r="P31" s="47" t="str">
        <f aca="false">IF(OR(J31="",K31=""),"",IFERROR(J31/K31*1000,0))</f>
        <v/>
      </c>
      <c r="Q31" s="47" t="str">
        <f aca="false">IF(OR(L31="",K31=""),"",IFERROR(L31/K31*1000,0))</f>
        <v/>
      </c>
      <c r="R31" s="47" t="str">
        <f aca="false">IF(OR(M31="High",M31="Critical"),"YES","")</f>
        <v/>
      </c>
    </row>
    <row r="32" customFormat="false" ht="15" hidden="false" customHeight="true" outlineLevel="0" collapsed="false">
      <c r="A32" s="47" t="n">
        <f aca="false">'Fault &amp; Downtime Entry'!A33</f>
        <v>28</v>
      </c>
      <c r="B32" s="48" t="n">
        <f aca="false">'Fault &amp; Downtime Entry'!B33</f>
        <v>0</v>
      </c>
      <c r="C32" s="47" t="n">
        <f aca="false">'Fault &amp; Downtime Entry'!C33</f>
        <v>0</v>
      </c>
      <c r="D32" s="47" t="n">
        <f aca="false">'Fault &amp; Downtime Entry'!D33</f>
        <v>0</v>
      </c>
      <c r="E32" s="47" t="n">
        <f aca="false">'Fault &amp; Downtime Entry'!E33</f>
        <v>0</v>
      </c>
      <c r="F32" s="47" t="str">
        <f aca="false">'Fault &amp; Downtime Entry'!F33</f>
        <v/>
      </c>
      <c r="G32" s="47" t="n">
        <f aca="false">'Fault &amp; Downtime Entry'!G33</f>
        <v>0</v>
      </c>
      <c r="H32" s="47" t="str">
        <f aca="false">'Fault &amp; Downtime Entry'!H33</f>
        <v/>
      </c>
      <c r="I32" s="47" t="str">
        <f aca="false">'Fault &amp; Downtime Entry'!I33</f>
        <v/>
      </c>
      <c r="J32" s="47" t="n">
        <f aca="false">'Fault &amp; Downtime Entry'!J33</f>
        <v>0</v>
      </c>
      <c r="K32" s="47" t="n">
        <f aca="false">'Fault &amp; Downtime Entry'!K33</f>
        <v>0</v>
      </c>
      <c r="L32" s="47" t="n">
        <f aca="false">'Fault &amp; Downtime Entry'!L33</f>
        <v>0</v>
      </c>
      <c r="M32" s="47" t="str">
        <f aca="false">'Fault &amp; Downtime Entry'!M33</f>
        <v/>
      </c>
      <c r="N32" s="47" t="n">
        <f aca="false">'Fault &amp; Downtime Entry'!N33</f>
        <v>0</v>
      </c>
      <c r="O32" s="47" t="n">
        <f aca="false">'Fault &amp; Downtime Entry'!O33</f>
        <v>0</v>
      </c>
      <c r="P32" s="47" t="str">
        <f aca="false">IF(OR(J32="",K32=""),"",IFERROR(J32/K32*1000,0))</f>
        <v/>
      </c>
      <c r="Q32" s="47" t="str">
        <f aca="false">IF(OR(L32="",K32=""),"",IFERROR(L32/K32*1000,0))</f>
        <v/>
      </c>
      <c r="R32" s="47" t="str">
        <f aca="false">IF(OR(M32="High",M32="Critical"),"YES","")</f>
        <v/>
      </c>
    </row>
    <row r="33" customFormat="false" ht="15" hidden="false" customHeight="true" outlineLevel="0" collapsed="false">
      <c r="A33" s="47" t="n">
        <f aca="false">'Fault &amp; Downtime Entry'!A34</f>
        <v>29</v>
      </c>
      <c r="B33" s="48" t="n">
        <f aca="false">'Fault &amp; Downtime Entry'!B34</f>
        <v>0</v>
      </c>
      <c r="C33" s="47" t="n">
        <f aca="false">'Fault &amp; Downtime Entry'!C34</f>
        <v>0</v>
      </c>
      <c r="D33" s="47" t="n">
        <f aca="false">'Fault &amp; Downtime Entry'!D34</f>
        <v>0</v>
      </c>
      <c r="E33" s="47" t="n">
        <f aca="false">'Fault &amp; Downtime Entry'!E34</f>
        <v>0</v>
      </c>
      <c r="F33" s="47" t="str">
        <f aca="false">'Fault &amp; Downtime Entry'!F34</f>
        <v/>
      </c>
      <c r="G33" s="47" t="n">
        <f aca="false">'Fault &amp; Downtime Entry'!G34</f>
        <v>0</v>
      </c>
      <c r="H33" s="47" t="str">
        <f aca="false">'Fault &amp; Downtime Entry'!H34</f>
        <v/>
      </c>
      <c r="I33" s="47" t="str">
        <f aca="false">'Fault &amp; Downtime Entry'!I34</f>
        <v/>
      </c>
      <c r="J33" s="47" t="n">
        <f aca="false">'Fault &amp; Downtime Entry'!J34</f>
        <v>0</v>
      </c>
      <c r="K33" s="47" t="n">
        <f aca="false">'Fault &amp; Downtime Entry'!K34</f>
        <v>0</v>
      </c>
      <c r="L33" s="47" t="n">
        <f aca="false">'Fault &amp; Downtime Entry'!L34</f>
        <v>0</v>
      </c>
      <c r="M33" s="47" t="str">
        <f aca="false">'Fault &amp; Downtime Entry'!M34</f>
        <v/>
      </c>
      <c r="N33" s="47" t="n">
        <f aca="false">'Fault &amp; Downtime Entry'!N34</f>
        <v>0</v>
      </c>
      <c r="O33" s="47" t="n">
        <f aca="false">'Fault &amp; Downtime Entry'!O34</f>
        <v>0</v>
      </c>
      <c r="P33" s="47" t="str">
        <f aca="false">IF(OR(J33="",K33=""),"",IFERROR(J33/K33*1000,0))</f>
        <v/>
      </c>
      <c r="Q33" s="47" t="str">
        <f aca="false">IF(OR(L33="",K33=""),"",IFERROR(L33/K33*1000,0))</f>
        <v/>
      </c>
      <c r="R33" s="47" t="str">
        <f aca="false">IF(OR(M33="High",M33="Critical"),"YES","")</f>
        <v/>
      </c>
    </row>
    <row r="34" customFormat="false" ht="15" hidden="false" customHeight="true" outlineLevel="0" collapsed="false">
      <c r="A34" s="47" t="n">
        <f aca="false">'Fault &amp; Downtime Entry'!A35</f>
        <v>30</v>
      </c>
      <c r="B34" s="48" t="n">
        <f aca="false">'Fault &amp; Downtime Entry'!B35</f>
        <v>0</v>
      </c>
      <c r="C34" s="47" t="n">
        <f aca="false">'Fault &amp; Downtime Entry'!C35</f>
        <v>0</v>
      </c>
      <c r="D34" s="47" t="n">
        <f aca="false">'Fault &amp; Downtime Entry'!D35</f>
        <v>0</v>
      </c>
      <c r="E34" s="47" t="n">
        <f aca="false">'Fault &amp; Downtime Entry'!E35</f>
        <v>0</v>
      </c>
      <c r="F34" s="47" t="str">
        <f aca="false">'Fault &amp; Downtime Entry'!F35</f>
        <v/>
      </c>
      <c r="G34" s="47" t="n">
        <f aca="false">'Fault &amp; Downtime Entry'!G35</f>
        <v>0</v>
      </c>
      <c r="H34" s="47" t="str">
        <f aca="false">'Fault &amp; Downtime Entry'!H35</f>
        <v/>
      </c>
      <c r="I34" s="47" t="str">
        <f aca="false">'Fault &amp; Downtime Entry'!I35</f>
        <v/>
      </c>
      <c r="J34" s="47" t="n">
        <f aca="false">'Fault &amp; Downtime Entry'!J35</f>
        <v>0</v>
      </c>
      <c r="K34" s="47" t="n">
        <f aca="false">'Fault &amp; Downtime Entry'!K35</f>
        <v>0</v>
      </c>
      <c r="L34" s="47" t="n">
        <f aca="false">'Fault &amp; Downtime Entry'!L35</f>
        <v>0</v>
      </c>
      <c r="M34" s="47" t="str">
        <f aca="false">'Fault &amp; Downtime Entry'!M35</f>
        <v/>
      </c>
      <c r="N34" s="47" t="n">
        <f aca="false">'Fault &amp; Downtime Entry'!N35</f>
        <v>0</v>
      </c>
      <c r="O34" s="47" t="n">
        <f aca="false">'Fault &amp; Downtime Entry'!O35</f>
        <v>0</v>
      </c>
      <c r="P34" s="47" t="str">
        <f aca="false">IF(OR(J34="",K34=""),"",IFERROR(J34/K34*1000,0))</f>
        <v/>
      </c>
      <c r="Q34" s="47" t="str">
        <f aca="false">IF(OR(L34="",K34=""),"",IFERROR(L34/K34*1000,0))</f>
        <v/>
      </c>
      <c r="R34" s="47" t="str">
        <f aca="false">IF(OR(M34="High",M34="Critical"),"YES","")</f>
        <v/>
      </c>
    </row>
    <row r="35" customFormat="false" ht="15" hidden="false" customHeight="true" outlineLevel="0" collapsed="false">
      <c r="A35" s="47" t="n">
        <f aca="false">'Fault &amp; Downtime Entry'!A36</f>
        <v>31</v>
      </c>
      <c r="B35" s="48" t="n">
        <f aca="false">'Fault &amp; Downtime Entry'!B36</f>
        <v>0</v>
      </c>
      <c r="C35" s="47" t="n">
        <f aca="false">'Fault &amp; Downtime Entry'!C36</f>
        <v>0</v>
      </c>
      <c r="D35" s="47" t="n">
        <f aca="false">'Fault &amp; Downtime Entry'!D36</f>
        <v>0</v>
      </c>
      <c r="E35" s="47" t="n">
        <f aca="false">'Fault &amp; Downtime Entry'!E36</f>
        <v>0</v>
      </c>
      <c r="F35" s="47" t="str">
        <f aca="false">'Fault &amp; Downtime Entry'!F36</f>
        <v/>
      </c>
      <c r="G35" s="47" t="n">
        <f aca="false">'Fault &amp; Downtime Entry'!G36</f>
        <v>0</v>
      </c>
      <c r="H35" s="47" t="str">
        <f aca="false">'Fault &amp; Downtime Entry'!H36</f>
        <v/>
      </c>
      <c r="I35" s="47" t="str">
        <f aca="false">'Fault &amp; Downtime Entry'!I36</f>
        <v/>
      </c>
      <c r="J35" s="47" t="n">
        <f aca="false">'Fault &amp; Downtime Entry'!J36</f>
        <v>0</v>
      </c>
      <c r="K35" s="47" t="n">
        <f aca="false">'Fault &amp; Downtime Entry'!K36</f>
        <v>0</v>
      </c>
      <c r="L35" s="47" t="n">
        <f aca="false">'Fault &amp; Downtime Entry'!L36</f>
        <v>0</v>
      </c>
      <c r="M35" s="47" t="str">
        <f aca="false">'Fault &amp; Downtime Entry'!M36</f>
        <v/>
      </c>
      <c r="N35" s="47" t="n">
        <f aca="false">'Fault &amp; Downtime Entry'!N36</f>
        <v>0</v>
      </c>
      <c r="O35" s="47" t="n">
        <f aca="false">'Fault &amp; Downtime Entry'!O36</f>
        <v>0</v>
      </c>
      <c r="P35" s="47" t="str">
        <f aca="false">IF(OR(J35="",K35=""),"",IFERROR(J35/K35*1000,0))</f>
        <v/>
      </c>
      <c r="Q35" s="47" t="str">
        <f aca="false">IF(OR(L35="",K35=""),"",IFERROR(L35/K35*1000,0))</f>
        <v/>
      </c>
      <c r="R35" s="47" t="str">
        <f aca="false">IF(OR(M35="High",M35="Critical"),"YES","")</f>
        <v/>
      </c>
    </row>
    <row r="36" customFormat="false" ht="15" hidden="false" customHeight="true" outlineLevel="0" collapsed="false">
      <c r="A36" s="47" t="n">
        <f aca="false">'Fault &amp; Downtime Entry'!A37</f>
        <v>32</v>
      </c>
      <c r="B36" s="48" t="n">
        <f aca="false">'Fault &amp; Downtime Entry'!B37</f>
        <v>0</v>
      </c>
      <c r="C36" s="47" t="n">
        <f aca="false">'Fault &amp; Downtime Entry'!C37</f>
        <v>0</v>
      </c>
      <c r="D36" s="47" t="n">
        <f aca="false">'Fault &amp; Downtime Entry'!D37</f>
        <v>0</v>
      </c>
      <c r="E36" s="47" t="n">
        <f aca="false">'Fault &amp; Downtime Entry'!E37</f>
        <v>0</v>
      </c>
      <c r="F36" s="47" t="str">
        <f aca="false">'Fault &amp; Downtime Entry'!F37</f>
        <v/>
      </c>
      <c r="G36" s="47" t="n">
        <f aca="false">'Fault &amp; Downtime Entry'!G37</f>
        <v>0</v>
      </c>
      <c r="H36" s="47" t="str">
        <f aca="false">'Fault &amp; Downtime Entry'!H37</f>
        <v/>
      </c>
      <c r="I36" s="47" t="str">
        <f aca="false">'Fault &amp; Downtime Entry'!I37</f>
        <v/>
      </c>
      <c r="J36" s="47" t="n">
        <f aca="false">'Fault &amp; Downtime Entry'!J37</f>
        <v>0</v>
      </c>
      <c r="K36" s="47" t="n">
        <f aca="false">'Fault &amp; Downtime Entry'!K37</f>
        <v>0</v>
      </c>
      <c r="L36" s="47" t="n">
        <f aca="false">'Fault &amp; Downtime Entry'!L37</f>
        <v>0</v>
      </c>
      <c r="M36" s="47" t="str">
        <f aca="false">'Fault &amp; Downtime Entry'!M37</f>
        <v/>
      </c>
      <c r="N36" s="47" t="n">
        <f aca="false">'Fault &amp; Downtime Entry'!N37</f>
        <v>0</v>
      </c>
      <c r="O36" s="47" t="n">
        <f aca="false">'Fault &amp; Downtime Entry'!O37</f>
        <v>0</v>
      </c>
      <c r="P36" s="47" t="str">
        <f aca="false">IF(OR(J36="",K36=""),"",IFERROR(J36/K36*1000,0))</f>
        <v/>
      </c>
      <c r="Q36" s="47" t="str">
        <f aca="false">IF(OR(L36="",K36=""),"",IFERROR(L36/K36*1000,0))</f>
        <v/>
      </c>
      <c r="R36" s="47" t="str">
        <f aca="false">IF(OR(M36="High",M36="Critical"),"YES","")</f>
        <v/>
      </c>
    </row>
    <row r="37" customFormat="false" ht="15" hidden="false" customHeight="true" outlineLevel="0" collapsed="false">
      <c r="A37" s="47" t="n">
        <f aca="false">'Fault &amp; Downtime Entry'!A38</f>
        <v>33</v>
      </c>
      <c r="B37" s="48" t="n">
        <f aca="false">'Fault &amp; Downtime Entry'!B38</f>
        <v>0</v>
      </c>
      <c r="C37" s="47" t="n">
        <f aca="false">'Fault &amp; Downtime Entry'!C38</f>
        <v>0</v>
      </c>
      <c r="D37" s="47" t="n">
        <f aca="false">'Fault &amp; Downtime Entry'!D38</f>
        <v>0</v>
      </c>
      <c r="E37" s="47" t="n">
        <f aca="false">'Fault &amp; Downtime Entry'!E38</f>
        <v>0</v>
      </c>
      <c r="F37" s="47" t="str">
        <f aca="false">'Fault &amp; Downtime Entry'!F38</f>
        <v/>
      </c>
      <c r="G37" s="47" t="n">
        <f aca="false">'Fault &amp; Downtime Entry'!G38</f>
        <v>0</v>
      </c>
      <c r="H37" s="47" t="str">
        <f aca="false">'Fault &amp; Downtime Entry'!H38</f>
        <v/>
      </c>
      <c r="I37" s="47" t="str">
        <f aca="false">'Fault &amp; Downtime Entry'!I38</f>
        <v/>
      </c>
      <c r="J37" s="47" t="n">
        <f aca="false">'Fault &amp; Downtime Entry'!J38</f>
        <v>0</v>
      </c>
      <c r="K37" s="47" t="n">
        <f aca="false">'Fault &amp; Downtime Entry'!K38</f>
        <v>0</v>
      </c>
      <c r="L37" s="47" t="n">
        <f aca="false">'Fault &amp; Downtime Entry'!L38</f>
        <v>0</v>
      </c>
      <c r="M37" s="47" t="str">
        <f aca="false">'Fault &amp; Downtime Entry'!M38</f>
        <v/>
      </c>
      <c r="N37" s="47" t="n">
        <f aca="false">'Fault &amp; Downtime Entry'!N38</f>
        <v>0</v>
      </c>
      <c r="O37" s="47" t="n">
        <f aca="false">'Fault &amp; Downtime Entry'!O38</f>
        <v>0</v>
      </c>
      <c r="P37" s="47" t="str">
        <f aca="false">IF(OR(J37="",K37=""),"",IFERROR(J37/K37*1000,0))</f>
        <v/>
      </c>
      <c r="Q37" s="47" t="str">
        <f aca="false">IF(OR(L37="",K37=""),"",IFERROR(L37/K37*1000,0))</f>
        <v/>
      </c>
      <c r="R37" s="47" t="str">
        <f aca="false">IF(OR(M37="High",M37="Critical"),"YES","")</f>
        <v/>
      </c>
    </row>
    <row r="38" customFormat="false" ht="15" hidden="false" customHeight="true" outlineLevel="0" collapsed="false">
      <c r="A38" s="47" t="n">
        <f aca="false">'Fault &amp; Downtime Entry'!A39</f>
        <v>34</v>
      </c>
      <c r="B38" s="48" t="n">
        <f aca="false">'Fault &amp; Downtime Entry'!B39</f>
        <v>0</v>
      </c>
      <c r="C38" s="47" t="n">
        <f aca="false">'Fault &amp; Downtime Entry'!C39</f>
        <v>0</v>
      </c>
      <c r="D38" s="47" t="n">
        <f aca="false">'Fault &amp; Downtime Entry'!D39</f>
        <v>0</v>
      </c>
      <c r="E38" s="47" t="n">
        <f aca="false">'Fault &amp; Downtime Entry'!E39</f>
        <v>0</v>
      </c>
      <c r="F38" s="47" t="str">
        <f aca="false">'Fault &amp; Downtime Entry'!F39</f>
        <v/>
      </c>
      <c r="G38" s="47" t="n">
        <f aca="false">'Fault &amp; Downtime Entry'!G39</f>
        <v>0</v>
      </c>
      <c r="H38" s="47" t="str">
        <f aca="false">'Fault &amp; Downtime Entry'!H39</f>
        <v/>
      </c>
      <c r="I38" s="47" t="str">
        <f aca="false">'Fault &amp; Downtime Entry'!I39</f>
        <v/>
      </c>
      <c r="J38" s="47" t="n">
        <f aca="false">'Fault &amp; Downtime Entry'!J39</f>
        <v>0</v>
      </c>
      <c r="K38" s="47" t="n">
        <f aca="false">'Fault &amp; Downtime Entry'!K39</f>
        <v>0</v>
      </c>
      <c r="L38" s="47" t="n">
        <f aca="false">'Fault &amp; Downtime Entry'!L39</f>
        <v>0</v>
      </c>
      <c r="M38" s="47" t="str">
        <f aca="false">'Fault &amp; Downtime Entry'!M39</f>
        <v/>
      </c>
      <c r="N38" s="47" t="n">
        <f aca="false">'Fault &amp; Downtime Entry'!N39</f>
        <v>0</v>
      </c>
      <c r="O38" s="47" t="n">
        <f aca="false">'Fault &amp; Downtime Entry'!O39</f>
        <v>0</v>
      </c>
      <c r="P38" s="47" t="str">
        <f aca="false">IF(OR(J38="",K38=""),"",IFERROR(J38/K38*1000,0))</f>
        <v/>
      </c>
      <c r="Q38" s="47" t="str">
        <f aca="false">IF(OR(L38="",K38=""),"",IFERROR(L38/K38*1000,0))</f>
        <v/>
      </c>
      <c r="R38" s="47" t="str">
        <f aca="false">IF(OR(M38="High",M38="Critical"),"YES","")</f>
        <v/>
      </c>
    </row>
    <row r="39" customFormat="false" ht="15" hidden="false" customHeight="true" outlineLevel="0" collapsed="false">
      <c r="A39" s="47" t="n">
        <f aca="false">'Fault &amp; Downtime Entry'!A40</f>
        <v>35</v>
      </c>
      <c r="B39" s="48" t="n">
        <f aca="false">'Fault &amp; Downtime Entry'!B40</f>
        <v>0</v>
      </c>
      <c r="C39" s="47" t="n">
        <f aca="false">'Fault &amp; Downtime Entry'!C40</f>
        <v>0</v>
      </c>
      <c r="D39" s="47" t="n">
        <f aca="false">'Fault &amp; Downtime Entry'!D40</f>
        <v>0</v>
      </c>
      <c r="E39" s="47" t="n">
        <f aca="false">'Fault &amp; Downtime Entry'!E40</f>
        <v>0</v>
      </c>
      <c r="F39" s="47" t="str">
        <f aca="false">'Fault &amp; Downtime Entry'!F40</f>
        <v/>
      </c>
      <c r="G39" s="47" t="n">
        <f aca="false">'Fault &amp; Downtime Entry'!G40</f>
        <v>0</v>
      </c>
      <c r="H39" s="47" t="str">
        <f aca="false">'Fault &amp; Downtime Entry'!H40</f>
        <v/>
      </c>
      <c r="I39" s="47" t="str">
        <f aca="false">'Fault &amp; Downtime Entry'!I40</f>
        <v/>
      </c>
      <c r="J39" s="47" t="n">
        <f aca="false">'Fault &amp; Downtime Entry'!J40</f>
        <v>0</v>
      </c>
      <c r="K39" s="47" t="n">
        <f aca="false">'Fault &amp; Downtime Entry'!K40</f>
        <v>0</v>
      </c>
      <c r="L39" s="47" t="n">
        <f aca="false">'Fault &amp; Downtime Entry'!L40</f>
        <v>0</v>
      </c>
      <c r="M39" s="47" t="str">
        <f aca="false">'Fault &amp; Downtime Entry'!M40</f>
        <v/>
      </c>
      <c r="N39" s="47" t="n">
        <f aca="false">'Fault &amp; Downtime Entry'!N40</f>
        <v>0</v>
      </c>
      <c r="O39" s="47" t="n">
        <f aca="false">'Fault &amp; Downtime Entry'!O40</f>
        <v>0</v>
      </c>
      <c r="P39" s="47" t="str">
        <f aca="false">IF(OR(J39="",K39=""),"",IFERROR(J39/K39*1000,0))</f>
        <v/>
      </c>
      <c r="Q39" s="47" t="str">
        <f aca="false">IF(OR(L39="",K39=""),"",IFERROR(L39/K39*1000,0))</f>
        <v/>
      </c>
      <c r="R39" s="47" t="str">
        <f aca="false">IF(OR(M39="High",M39="Critical"),"YES","")</f>
        <v/>
      </c>
    </row>
    <row r="40" customFormat="false" ht="15" hidden="false" customHeight="true" outlineLevel="0" collapsed="false">
      <c r="A40" s="47" t="n">
        <f aca="false">'Fault &amp; Downtime Entry'!A41</f>
        <v>36</v>
      </c>
      <c r="B40" s="48" t="n">
        <f aca="false">'Fault &amp; Downtime Entry'!B41</f>
        <v>0</v>
      </c>
      <c r="C40" s="47" t="n">
        <f aca="false">'Fault &amp; Downtime Entry'!C41</f>
        <v>0</v>
      </c>
      <c r="D40" s="47" t="n">
        <f aca="false">'Fault &amp; Downtime Entry'!D41</f>
        <v>0</v>
      </c>
      <c r="E40" s="47" t="n">
        <f aca="false">'Fault &amp; Downtime Entry'!E41</f>
        <v>0</v>
      </c>
      <c r="F40" s="47" t="str">
        <f aca="false">'Fault &amp; Downtime Entry'!F41</f>
        <v/>
      </c>
      <c r="G40" s="47" t="n">
        <f aca="false">'Fault &amp; Downtime Entry'!G41</f>
        <v>0</v>
      </c>
      <c r="H40" s="47" t="str">
        <f aca="false">'Fault &amp; Downtime Entry'!H41</f>
        <v/>
      </c>
      <c r="I40" s="47" t="str">
        <f aca="false">'Fault &amp; Downtime Entry'!I41</f>
        <v/>
      </c>
      <c r="J40" s="47" t="n">
        <f aca="false">'Fault &amp; Downtime Entry'!J41</f>
        <v>0</v>
      </c>
      <c r="K40" s="47" t="n">
        <f aca="false">'Fault &amp; Downtime Entry'!K41</f>
        <v>0</v>
      </c>
      <c r="L40" s="47" t="n">
        <f aca="false">'Fault &amp; Downtime Entry'!L41</f>
        <v>0</v>
      </c>
      <c r="M40" s="47" t="str">
        <f aca="false">'Fault &amp; Downtime Entry'!M41</f>
        <v/>
      </c>
      <c r="N40" s="47" t="n">
        <f aca="false">'Fault &amp; Downtime Entry'!N41</f>
        <v>0</v>
      </c>
      <c r="O40" s="47" t="n">
        <f aca="false">'Fault &amp; Downtime Entry'!O41</f>
        <v>0</v>
      </c>
      <c r="P40" s="47" t="str">
        <f aca="false">IF(OR(J40="",K40=""),"",IFERROR(J40/K40*1000,0))</f>
        <v/>
      </c>
      <c r="Q40" s="47" t="str">
        <f aca="false">IF(OR(L40="",K40=""),"",IFERROR(L40/K40*1000,0))</f>
        <v/>
      </c>
      <c r="R40" s="47" t="str">
        <f aca="false">IF(OR(M40="High",M40="Critical"),"YES","")</f>
        <v/>
      </c>
    </row>
    <row r="41" customFormat="false" ht="15" hidden="false" customHeight="true" outlineLevel="0" collapsed="false">
      <c r="A41" s="47" t="n">
        <f aca="false">'Fault &amp; Downtime Entry'!A42</f>
        <v>37</v>
      </c>
      <c r="B41" s="48" t="n">
        <f aca="false">'Fault &amp; Downtime Entry'!B42</f>
        <v>0</v>
      </c>
      <c r="C41" s="47" t="n">
        <f aca="false">'Fault &amp; Downtime Entry'!C42</f>
        <v>0</v>
      </c>
      <c r="D41" s="47" t="n">
        <f aca="false">'Fault &amp; Downtime Entry'!D42</f>
        <v>0</v>
      </c>
      <c r="E41" s="47" t="n">
        <f aca="false">'Fault &amp; Downtime Entry'!E42</f>
        <v>0</v>
      </c>
      <c r="F41" s="47" t="str">
        <f aca="false">'Fault &amp; Downtime Entry'!F42</f>
        <v/>
      </c>
      <c r="G41" s="47" t="n">
        <f aca="false">'Fault &amp; Downtime Entry'!G42</f>
        <v>0</v>
      </c>
      <c r="H41" s="47" t="str">
        <f aca="false">'Fault &amp; Downtime Entry'!H42</f>
        <v/>
      </c>
      <c r="I41" s="47" t="str">
        <f aca="false">'Fault &amp; Downtime Entry'!I42</f>
        <v/>
      </c>
      <c r="J41" s="47" t="n">
        <f aca="false">'Fault &amp; Downtime Entry'!J42</f>
        <v>0</v>
      </c>
      <c r="K41" s="47" t="n">
        <f aca="false">'Fault &amp; Downtime Entry'!K42</f>
        <v>0</v>
      </c>
      <c r="L41" s="47" t="n">
        <f aca="false">'Fault &amp; Downtime Entry'!L42</f>
        <v>0</v>
      </c>
      <c r="M41" s="47" t="str">
        <f aca="false">'Fault &amp; Downtime Entry'!M42</f>
        <v/>
      </c>
      <c r="N41" s="47" t="n">
        <f aca="false">'Fault &amp; Downtime Entry'!N42</f>
        <v>0</v>
      </c>
      <c r="O41" s="47" t="n">
        <f aca="false">'Fault &amp; Downtime Entry'!O42</f>
        <v>0</v>
      </c>
      <c r="P41" s="47" t="str">
        <f aca="false">IF(OR(J41="",K41=""),"",IFERROR(J41/K41*1000,0))</f>
        <v/>
      </c>
      <c r="Q41" s="47" t="str">
        <f aca="false">IF(OR(L41="",K41=""),"",IFERROR(L41/K41*1000,0))</f>
        <v/>
      </c>
      <c r="R41" s="47" t="str">
        <f aca="false">IF(OR(M41="High",M41="Critical"),"YES","")</f>
        <v/>
      </c>
    </row>
    <row r="42" customFormat="false" ht="15" hidden="false" customHeight="true" outlineLevel="0" collapsed="false">
      <c r="A42" s="47" t="n">
        <f aca="false">'Fault &amp; Downtime Entry'!A43</f>
        <v>38</v>
      </c>
      <c r="B42" s="48" t="n">
        <f aca="false">'Fault &amp; Downtime Entry'!B43</f>
        <v>0</v>
      </c>
      <c r="C42" s="47" t="n">
        <f aca="false">'Fault &amp; Downtime Entry'!C43</f>
        <v>0</v>
      </c>
      <c r="D42" s="47" t="n">
        <f aca="false">'Fault &amp; Downtime Entry'!D43</f>
        <v>0</v>
      </c>
      <c r="E42" s="47" t="n">
        <f aca="false">'Fault &amp; Downtime Entry'!E43</f>
        <v>0</v>
      </c>
      <c r="F42" s="47" t="str">
        <f aca="false">'Fault &amp; Downtime Entry'!F43</f>
        <v/>
      </c>
      <c r="G42" s="47" t="n">
        <f aca="false">'Fault &amp; Downtime Entry'!G43</f>
        <v>0</v>
      </c>
      <c r="H42" s="47" t="str">
        <f aca="false">'Fault &amp; Downtime Entry'!H43</f>
        <v/>
      </c>
      <c r="I42" s="47" t="str">
        <f aca="false">'Fault &amp; Downtime Entry'!I43</f>
        <v/>
      </c>
      <c r="J42" s="47" t="n">
        <f aca="false">'Fault &amp; Downtime Entry'!J43</f>
        <v>0</v>
      </c>
      <c r="K42" s="47" t="n">
        <f aca="false">'Fault &amp; Downtime Entry'!K43</f>
        <v>0</v>
      </c>
      <c r="L42" s="47" t="n">
        <f aca="false">'Fault &amp; Downtime Entry'!L43</f>
        <v>0</v>
      </c>
      <c r="M42" s="47" t="str">
        <f aca="false">'Fault &amp; Downtime Entry'!M43</f>
        <v/>
      </c>
      <c r="N42" s="47" t="n">
        <f aca="false">'Fault &amp; Downtime Entry'!N43</f>
        <v>0</v>
      </c>
      <c r="O42" s="47" t="n">
        <f aca="false">'Fault &amp; Downtime Entry'!O43</f>
        <v>0</v>
      </c>
      <c r="P42" s="47" t="str">
        <f aca="false">IF(OR(J42="",K42=""),"",IFERROR(J42/K42*1000,0))</f>
        <v/>
      </c>
      <c r="Q42" s="47" t="str">
        <f aca="false">IF(OR(L42="",K42=""),"",IFERROR(L42/K42*1000,0))</f>
        <v/>
      </c>
      <c r="R42" s="47" t="str">
        <f aca="false">IF(OR(M42="High",M42="Critical"),"YES","")</f>
        <v/>
      </c>
    </row>
    <row r="43" customFormat="false" ht="15" hidden="false" customHeight="true" outlineLevel="0" collapsed="false">
      <c r="A43" s="47" t="n">
        <f aca="false">'Fault &amp; Downtime Entry'!A44</f>
        <v>39</v>
      </c>
      <c r="B43" s="48" t="n">
        <f aca="false">'Fault &amp; Downtime Entry'!B44</f>
        <v>0</v>
      </c>
      <c r="C43" s="47" t="n">
        <f aca="false">'Fault &amp; Downtime Entry'!C44</f>
        <v>0</v>
      </c>
      <c r="D43" s="47" t="n">
        <f aca="false">'Fault &amp; Downtime Entry'!D44</f>
        <v>0</v>
      </c>
      <c r="E43" s="47" t="n">
        <f aca="false">'Fault &amp; Downtime Entry'!E44</f>
        <v>0</v>
      </c>
      <c r="F43" s="47" t="str">
        <f aca="false">'Fault &amp; Downtime Entry'!F44</f>
        <v/>
      </c>
      <c r="G43" s="47" t="n">
        <f aca="false">'Fault &amp; Downtime Entry'!G44</f>
        <v>0</v>
      </c>
      <c r="H43" s="47" t="str">
        <f aca="false">'Fault &amp; Downtime Entry'!H44</f>
        <v/>
      </c>
      <c r="I43" s="47" t="str">
        <f aca="false">'Fault &amp; Downtime Entry'!I44</f>
        <v/>
      </c>
      <c r="J43" s="47" t="n">
        <f aca="false">'Fault &amp; Downtime Entry'!J44</f>
        <v>0</v>
      </c>
      <c r="K43" s="47" t="n">
        <f aca="false">'Fault &amp; Downtime Entry'!K44</f>
        <v>0</v>
      </c>
      <c r="L43" s="47" t="n">
        <f aca="false">'Fault &amp; Downtime Entry'!L44</f>
        <v>0</v>
      </c>
      <c r="M43" s="47" t="str">
        <f aca="false">'Fault &amp; Downtime Entry'!M44</f>
        <v/>
      </c>
      <c r="N43" s="47" t="n">
        <f aca="false">'Fault &amp; Downtime Entry'!N44</f>
        <v>0</v>
      </c>
      <c r="O43" s="47" t="n">
        <f aca="false">'Fault &amp; Downtime Entry'!O44</f>
        <v>0</v>
      </c>
      <c r="P43" s="47" t="str">
        <f aca="false">IF(OR(J43="",K43=""),"",IFERROR(J43/K43*1000,0))</f>
        <v/>
      </c>
      <c r="Q43" s="47" t="str">
        <f aca="false">IF(OR(L43="",K43=""),"",IFERROR(L43/K43*1000,0))</f>
        <v/>
      </c>
      <c r="R43" s="47" t="str">
        <f aca="false">IF(OR(M43="High",M43="Critical"),"YES","")</f>
        <v/>
      </c>
    </row>
    <row r="44" customFormat="false" ht="15" hidden="false" customHeight="true" outlineLevel="0" collapsed="false">
      <c r="A44" s="47" t="n">
        <f aca="false">'Fault &amp; Downtime Entry'!A45</f>
        <v>40</v>
      </c>
      <c r="B44" s="48" t="n">
        <f aca="false">'Fault &amp; Downtime Entry'!B45</f>
        <v>0</v>
      </c>
      <c r="C44" s="47" t="n">
        <f aca="false">'Fault &amp; Downtime Entry'!C45</f>
        <v>0</v>
      </c>
      <c r="D44" s="47" t="n">
        <f aca="false">'Fault &amp; Downtime Entry'!D45</f>
        <v>0</v>
      </c>
      <c r="E44" s="47" t="n">
        <f aca="false">'Fault &amp; Downtime Entry'!E45</f>
        <v>0</v>
      </c>
      <c r="F44" s="47" t="str">
        <f aca="false">'Fault &amp; Downtime Entry'!F45</f>
        <v/>
      </c>
      <c r="G44" s="47" t="n">
        <f aca="false">'Fault &amp; Downtime Entry'!G45</f>
        <v>0</v>
      </c>
      <c r="H44" s="47" t="str">
        <f aca="false">'Fault &amp; Downtime Entry'!H45</f>
        <v/>
      </c>
      <c r="I44" s="47" t="str">
        <f aca="false">'Fault &amp; Downtime Entry'!I45</f>
        <v/>
      </c>
      <c r="J44" s="47" t="n">
        <f aca="false">'Fault &amp; Downtime Entry'!J45</f>
        <v>0</v>
      </c>
      <c r="K44" s="47" t="n">
        <f aca="false">'Fault &amp; Downtime Entry'!K45</f>
        <v>0</v>
      </c>
      <c r="L44" s="47" t="n">
        <f aca="false">'Fault &amp; Downtime Entry'!L45</f>
        <v>0</v>
      </c>
      <c r="M44" s="47" t="str">
        <f aca="false">'Fault &amp; Downtime Entry'!M45</f>
        <v/>
      </c>
      <c r="N44" s="47" t="n">
        <f aca="false">'Fault &amp; Downtime Entry'!N45</f>
        <v>0</v>
      </c>
      <c r="O44" s="47" t="n">
        <f aca="false">'Fault &amp; Downtime Entry'!O45</f>
        <v>0</v>
      </c>
      <c r="P44" s="47" t="str">
        <f aca="false">IF(OR(J44="",K44=""),"",IFERROR(J44/K44*1000,0))</f>
        <v/>
      </c>
      <c r="Q44" s="47" t="str">
        <f aca="false">IF(OR(L44="",K44=""),"",IFERROR(L44/K44*1000,0))</f>
        <v/>
      </c>
      <c r="R44" s="47" t="str">
        <f aca="false">IF(OR(M44="High",M44="Critical"),"YES","")</f>
        <v/>
      </c>
    </row>
    <row r="45" customFormat="false" ht="15" hidden="false" customHeight="true" outlineLevel="0" collapsed="false">
      <c r="A45" s="47" t="n">
        <f aca="false">'Fault &amp; Downtime Entry'!A46</f>
        <v>41</v>
      </c>
      <c r="B45" s="48" t="n">
        <f aca="false">'Fault &amp; Downtime Entry'!B46</f>
        <v>0</v>
      </c>
      <c r="C45" s="47" t="n">
        <f aca="false">'Fault &amp; Downtime Entry'!C46</f>
        <v>0</v>
      </c>
      <c r="D45" s="47" t="n">
        <f aca="false">'Fault &amp; Downtime Entry'!D46</f>
        <v>0</v>
      </c>
      <c r="E45" s="47" t="n">
        <f aca="false">'Fault &amp; Downtime Entry'!E46</f>
        <v>0</v>
      </c>
      <c r="F45" s="47" t="str">
        <f aca="false">'Fault &amp; Downtime Entry'!F46</f>
        <v/>
      </c>
      <c r="G45" s="47" t="n">
        <f aca="false">'Fault &amp; Downtime Entry'!G46</f>
        <v>0</v>
      </c>
      <c r="H45" s="47" t="str">
        <f aca="false">'Fault &amp; Downtime Entry'!H46</f>
        <v/>
      </c>
      <c r="I45" s="47" t="str">
        <f aca="false">'Fault &amp; Downtime Entry'!I46</f>
        <v/>
      </c>
      <c r="J45" s="47" t="n">
        <f aca="false">'Fault &amp; Downtime Entry'!J46</f>
        <v>0</v>
      </c>
      <c r="K45" s="47" t="n">
        <f aca="false">'Fault &amp; Downtime Entry'!K46</f>
        <v>0</v>
      </c>
      <c r="L45" s="47" t="n">
        <f aca="false">'Fault &amp; Downtime Entry'!L46</f>
        <v>0</v>
      </c>
      <c r="M45" s="47" t="str">
        <f aca="false">'Fault &amp; Downtime Entry'!M46</f>
        <v/>
      </c>
      <c r="N45" s="47" t="n">
        <f aca="false">'Fault &amp; Downtime Entry'!N46</f>
        <v>0</v>
      </c>
      <c r="O45" s="47" t="n">
        <f aca="false">'Fault &amp; Downtime Entry'!O46</f>
        <v>0</v>
      </c>
      <c r="P45" s="47" t="str">
        <f aca="false">IF(OR(J45="",K45=""),"",IFERROR(J45/K45*1000,0))</f>
        <v/>
      </c>
      <c r="Q45" s="47" t="str">
        <f aca="false">IF(OR(L45="",K45=""),"",IFERROR(L45/K45*1000,0))</f>
        <v/>
      </c>
      <c r="R45" s="47" t="str">
        <f aca="false">IF(OR(M45="High",M45="Critical"),"YES","")</f>
        <v/>
      </c>
    </row>
    <row r="46" customFormat="false" ht="15" hidden="false" customHeight="true" outlineLevel="0" collapsed="false">
      <c r="A46" s="47" t="n">
        <f aca="false">'Fault &amp; Downtime Entry'!A47</f>
        <v>42</v>
      </c>
      <c r="B46" s="48" t="n">
        <f aca="false">'Fault &amp; Downtime Entry'!B47</f>
        <v>0</v>
      </c>
      <c r="C46" s="47" t="n">
        <f aca="false">'Fault &amp; Downtime Entry'!C47</f>
        <v>0</v>
      </c>
      <c r="D46" s="47" t="n">
        <f aca="false">'Fault &amp; Downtime Entry'!D47</f>
        <v>0</v>
      </c>
      <c r="E46" s="47" t="n">
        <f aca="false">'Fault &amp; Downtime Entry'!E47</f>
        <v>0</v>
      </c>
      <c r="F46" s="47" t="str">
        <f aca="false">'Fault &amp; Downtime Entry'!F47</f>
        <v/>
      </c>
      <c r="G46" s="47" t="n">
        <f aca="false">'Fault &amp; Downtime Entry'!G47</f>
        <v>0</v>
      </c>
      <c r="H46" s="47" t="str">
        <f aca="false">'Fault &amp; Downtime Entry'!H47</f>
        <v/>
      </c>
      <c r="I46" s="47" t="str">
        <f aca="false">'Fault &amp; Downtime Entry'!I47</f>
        <v/>
      </c>
      <c r="J46" s="47" t="n">
        <f aca="false">'Fault &amp; Downtime Entry'!J47</f>
        <v>0</v>
      </c>
      <c r="K46" s="47" t="n">
        <f aca="false">'Fault &amp; Downtime Entry'!K47</f>
        <v>0</v>
      </c>
      <c r="L46" s="47" t="n">
        <f aca="false">'Fault &amp; Downtime Entry'!L47</f>
        <v>0</v>
      </c>
      <c r="M46" s="47" t="str">
        <f aca="false">'Fault &amp; Downtime Entry'!M47</f>
        <v/>
      </c>
      <c r="N46" s="47" t="n">
        <f aca="false">'Fault &amp; Downtime Entry'!N47</f>
        <v>0</v>
      </c>
      <c r="O46" s="47" t="n">
        <f aca="false">'Fault &amp; Downtime Entry'!O47</f>
        <v>0</v>
      </c>
      <c r="P46" s="47" t="str">
        <f aca="false">IF(OR(J46="",K46=""),"",IFERROR(J46/K46*1000,0))</f>
        <v/>
      </c>
      <c r="Q46" s="47" t="str">
        <f aca="false">IF(OR(L46="",K46=""),"",IFERROR(L46/K46*1000,0))</f>
        <v/>
      </c>
      <c r="R46" s="47" t="str">
        <f aca="false">IF(OR(M46="High",M46="Critical"),"YES","")</f>
        <v/>
      </c>
    </row>
    <row r="47" customFormat="false" ht="15" hidden="false" customHeight="true" outlineLevel="0" collapsed="false">
      <c r="A47" s="47" t="n">
        <f aca="false">'Fault &amp; Downtime Entry'!A48</f>
        <v>43</v>
      </c>
      <c r="B47" s="48" t="n">
        <f aca="false">'Fault &amp; Downtime Entry'!B48</f>
        <v>0</v>
      </c>
      <c r="C47" s="47" t="n">
        <f aca="false">'Fault &amp; Downtime Entry'!C48</f>
        <v>0</v>
      </c>
      <c r="D47" s="47" t="n">
        <f aca="false">'Fault &amp; Downtime Entry'!D48</f>
        <v>0</v>
      </c>
      <c r="E47" s="47" t="n">
        <f aca="false">'Fault &amp; Downtime Entry'!E48</f>
        <v>0</v>
      </c>
      <c r="F47" s="47" t="str">
        <f aca="false">'Fault &amp; Downtime Entry'!F48</f>
        <v/>
      </c>
      <c r="G47" s="47" t="n">
        <f aca="false">'Fault &amp; Downtime Entry'!G48</f>
        <v>0</v>
      </c>
      <c r="H47" s="47" t="str">
        <f aca="false">'Fault &amp; Downtime Entry'!H48</f>
        <v/>
      </c>
      <c r="I47" s="47" t="str">
        <f aca="false">'Fault &amp; Downtime Entry'!I48</f>
        <v/>
      </c>
      <c r="J47" s="47" t="n">
        <f aca="false">'Fault &amp; Downtime Entry'!J48</f>
        <v>0</v>
      </c>
      <c r="K47" s="47" t="n">
        <f aca="false">'Fault &amp; Downtime Entry'!K48</f>
        <v>0</v>
      </c>
      <c r="L47" s="47" t="n">
        <f aca="false">'Fault &amp; Downtime Entry'!L48</f>
        <v>0</v>
      </c>
      <c r="M47" s="47" t="str">
        <f aca="false">'Fault &amp; Downtime Entry'!M48</f>
        <v/>
      </c>
      <c r="N47" s="47" t="n">
        <f aca="false">'Fault &amp; Downtime Entry'!N48</f>
        <v>0</v>
      </c>
      <c r="O47" s="47" t="n">
        <f aca="false">'Fault &amp; Downtime Entry'!O48</f>
        <v>0</v>
      </c>
      <c r="P47" s="47" t="str">
        <f aca="false">IF(OR(J47="",K47=""),"",IFERROR(J47/K47*1000,0))</f>
        <v/>
      </c>
      <c r="Q47" s="47" t="str">
        <f aca="false">IF(OR(L47="",K47=""),"",IFERROR(L47/K47*1000,0))</f>
        <v/>
      </c>
      <c r="R47" s="47" t="str">
        <f aca="false">IF(OR(M47="High",M47="Critical"),"YES","")</f>
        <v/>
      </c>
    </row>
    <row r="48" customFormat="false" ht="15" hidden="false" customHeight="true" outlineLevel="0" collapsed="false">
      <c r="A48" s="47" t="n">
        <f aca="false">'Fault &amp; Downtime Entry'!A49</f>
        <v>44</v>
      </c>
      <c r="B48" s="48" t="n">
        <f aca="false">'Fault &amp; Downtime Entry'!B49</f>
        <v>0</v>
      </c>
      <c r="C48" s="47" t="n">
        <f aca="false">'Fault &amp; Downtime Entry'!C49</f>
        <v>0</v>
      </c>
      <c r="D48" s="47" t="n">
        <f aca="false">'Fault &amp; Downtime Entry'!D49</f>
        <v>0</v>
      </c>
      <c r="E48" s="47" t="n">
        <f aca="false">'Fault &amp; Downtime Entry'!E49</f>
        <v>0</v>
      </c>
      <c r="F48" s="47" t="str">
        <f aca="false">'Fault &amp; Downtime Entry'!F49</f>
        <v/>
      </c>
      <c r="G48" s="47" t="n">
        <f aca="false">'Fault &amp; Downtime Entry'!G49</f>
        <v>0</v>
      </c>
      <c r="H48" s="47" t="str">
        <f aca="false">'Fault &amp; Downtime Entry'!H49</f>
        <v/>
      </c>
      <c r="I48" s="47" t="str">
        <f aca="false">'Fault &amp; Downtime Entry'!I49</f>
        <v/>
      </c>
      <c r="J48" s="47" t="n">
        <f aca="false">'Fault &amp; Downtime Entry'!J49</f>
        <v>0</v>
      </c>
      <c r="K48" s="47" t="n">
        <f aca="false">'Fault &amp; Downtime Entry'!K49</f>
        <v>0</v>
      </c>
      <c r="L48" s="47" t="n">
        <f aca="false">'Fault &amp; Downtime Entry'!L49</f>
        <v>0</v>
      </c>
      <c r="M48" s="47" t="str">
        <f aca="false">'Fault &amp; Downtime Entry'!M49</f>
        <v/>
      </c>
      <c r="N48" s="47" t="n">
        <f aca="false">'Fault &amp; Downtime Entry'!N49</f>
        <v>0</v>
      </c>
      <c r="O48" s="47" t="n">
        <f aca="false">'Fault &amp; Downtime Entry'!O49</f>
        <v>0</v>
      </c>
      <c r="P48" s="47" t="str">
        <f aca="false">IF(OR(J48="",K48=""),"",IFERROR(J48/K48*1000,0))</f>
        <v/>
      </c>
      <c r="Q48" s="47" t="str">
        <f aca="false">IF(OR(L48="",K48=""),"",IFERROR(L48/K48*1000,0))</f>
        <v/>
      </c>
      <c r="R48" s="47" t="str">
        <f aca="false">IF(OR(M48="High",M48="Critical"),"YES","")</f>
        <v/>
      </c>
    </row>
    <row r="49" customFormat="false" ht="15" hidden="false" customHeight="true" outlineLevel="0" collapsed="false">
      <c r="A49" s="47" t="n">
        <f aca="false">'Fault &amp; Downtime Entry'!A50</f>
        <v>45</v>
      </c>
      <c r="B49" s="48" t="n">
        <f aca="false">'Fault &amp; Downtime Entry'!B50</f>
        <v>0</v>
      </c>
      <c r="C49" s="47" t="n">
        <f aca="false">'Fault &amp; Downtime Entry'!C50</f>
        <v>0</v>
      </c>
      <c r="D49" s="47" t="n">
        <f aca="false">'Fault &amp; Downtime Entry'!D50</f>
        <v>0</v>
      </c>
      <c r="E49" s="47" t="n">
        <f aca="false">'Fault &amp; Downtime Entry'!E50</f>
        <v>0</v>
      </c>
      <c r="F49" s="47" t="str">
        <f aca="false">'Fault &amp; Downtime Entry'!F50</f>
        <v/>
      </c>
      <c r="G49" s="47" t="n">
        <f aca="false">'Fault &amp; Downtime Entry'!G50</f>
        <v>0</v>
      </c>
      <c r="H49" s="47" t="str">
        <f aca="false">'Fault &amp; Downtime Entry'!H50</f>
        <v/>
      </c>
      <c r="I49" s="47" t="str">
        <f aca="false">'Fault &amp; Downtime Entry'!I50</f>
        <v/>
      </c>
      <c r="J49" s="47" t="n">
        <f aca="false">'Fault &amp; Downtime Entry'!J50</f>
        <v>0</v>
      </c>
      <c r="K49" s="47" t="n">
        <f aca="false">'Fault &amp; Downtime Entry'!K50</f>
        <v>0</v>
      </c>
      <c r="L49" s="47" t="n">
        <f aca="false">'Fault &amp; Downtime Entry'!L50</f>
        <v>0</v>
      </c>
      <c r="M49" s="47" t="str">
        <f aca="false">'Fault &amp; Downtime Entry'!M50</f>
        <v/>
      </c>
      <c r="N49" s="47" t="n">
        <f aca="false">'Fault &amp; Downtime Entry'!N50</f>
        <v>0</v>
      </c>
      <c r="O49" s="47" t="n">
        <f aca="false">'Fault &amp; Downtime Entry'!O50</f>
        <v>0</v>
      </c>
      <c r="P49" s="47" t="str">
        <f aca="false">IF(OR(J49="",K49=""),"",IFERROR(J49/K49*1000,0))</f>
        <v/>
      </c>
      <c r="Q49" s="47" t="str">
        <f aca="false">IF(OR(L49="",K49=""),"",IFERROR(L49/K49*1000,0))</f>
        <v/>
      </c>
      <c r="R49" s="47" t="str">
        <f aca="false">IF(OR(M49="High",M49="Critical"),"YES","")</f>
        <v/>
      </c>
    </row>
    <row r="50" customFormat="false" ht="15" hidden="false" customHeight="true" outlineLevel="0" collapsed="false">
      <c r="A50" s="47" t="n">
        <f aca="false">'Fault &amp; Downtime Entry'!A51</f>
        <v>46</v>
      </c>
      <c r="B50" s="48" t="n">
        <f aca="false">'Fault &amp; Downtime Entry'!B51</f>
        <v>0</v>
      </c>
      <c r="C50" s="47" t="n">
        <f aca="false">'Fault &amp; Downtime Entry'!C51</f>
        <v>0</v>
      </c>
      <c r="D50" s="47" t="n">
        <f aca="false">'Fault &amp; Downtime Entry'!D51</f>
        <v>0</v>
      </c>
      <c r="E50" s="47" t="n">
        <f aca="false">'Fault &amp; Downtime Entry'!E51</f>
        <v>0</v>
      </c>
      <c r="F50" s="47" t="str">
        <f aca="false">'Fault &amp; Downtime Entry'!F51</f>
        <v/>
      </c>
      <c r="G50" s="47" t="n">
        <f aca="false">'Fault &amp; Downtime Entry'!G51</f>
        <v>0</v>
      </c>
      <c r="H50" s="47" t="str">
        <f aca="false">'Fault &amp; Downtime Entry'!H51</f>
        <v/>
      </c>
      <c r="I50" s="47" t="str">
        <f aca="false">'Fault &amp; Downtime Entry'!I51</f>
        <v/>
      </c>
      <c r="J50" s="47" t="n">
        <f aca="false">'Fault &amp; Downtime Entry'!J51</f>
        <v>0</v>
      </c>
      <c r="K50" s="47" t="n">
        <f aca="false">'Fault &amp; Downtime Entry'!K51</f>
        <v>0</v>
      </c>
      <c r="L50" s="47" t="n">
        <f aca="false">'Fault &amp; Downtime Entry'!L51</f>
        <v>0</v>
      </c>
      <c r="M50" s="47" t="str">
        <f aca="false">'Fault &amp; Downtime Entry'!M51</f>
        <v/>
      </c>
      <c r="N50" s="47" t="n">
        <f aca="false">'Fault &amp; Downtime Entry'!N51</f>
        <v>0</v>
      </c>
      <c r="O50" s="47" t="n">
        <f aca="false">'Fault &amp; Downtime Entry'!O51</f>
        <v>0</v>
      </c>
      <c r="P50" s="47" t="str">
        <f aca="false">IF(OR(J50="",K50=""),"",IFERROR(J50/K50*1000,0))</f>
        <v/>
      </c>
      <c r="Q50" s="47" t="str">
        <f aca="false">IF(OR(L50="",K50=""),"",IFERROR(L50/K50*1000,0))</f>
        <v/>
      </c>
      <c r="R50" s="47" t="str">
        <f aca="false">IF(OR(M50="High",M50="Critical"),"YES","")</f>
        <v/>
      </c>
    </row>
    <row r="51" customFormat="false" ht="15" hidden="false" customHeight="true" outlineLevel="0" collapsed="false">
      <c r="A51" s="47" t="n">
        <f aca="false">'Fault &amp; Downtime Entry'!A52</f>
        <v>47</v>
      </c>
      <c r="B51" s="48" t="n">
        <f aca="false">'Fault &amp; Downtime Entry'!B52</f>
        <v>0</v>
      </c>
      <c r="C51" s="47" t="n">
        <f aca="false">'Fault &amp; Downtime Entry'!C52</f>
        <v>0</v>
      </c>
      <c r="D51" s="47" t="n">
        <f aca="false">'Fault &amp; Downtime Entry'!D52</f>
        <v>0</v>
      </c>
      <c r="E51" s="47" t="n">
        <f aca="false">'Fault &amp; Downtime Entry'!E52</f>
        <v>0</v>
      </c>
      <c r="F51" s="47" t="str">
        <f aca="false">'Fault &amp; Downtime Entry'!F52</f>
        <v/>
      </c>
      <c r="G51" s="47" t="n">
        <f aca="false">'Fault &amp; Downtime Entry'!G52</f>
        <v>0</v>
      </c>
      <c r="H51" s="47" t="str">
        <f aca="false">'Fault &amp; Downtime Entry'!H52</f>
        <v/>
      </c>
      <c r="I51" s="47" t="str">
        <f aca="false">'Fault &amp; Downtime Entry'!I52</f>
        <v/>
      </c>
      <c r="J51" s="47" t="n">
        <f aca="false">'Fault &amp; Downtime Entry'!J52</f>
        <v>0</v>
      </c>
      <c r="K51" s="47" t="n">
        <f aca="false">'Fault &amp; Downtime Entry'!K52</f>
        <v>0</v>
      </c>
      <c r="L51" s="47" t="n">
        <f aca="false">'Fault &amp; Downtime Entry'!L52</f>
        <v>0</v>
      </c>
      <c r="M51" s="47" t="str">
        <f aca="false">'Fault &amp; Downtime Entry'!M52</f>
        <v/>
      </c>
      <c r="N51" s="47" t="n">
        <f aca="false">'Fault &amp; Downtime Entry'!N52</f>
        <v>0</v>
      </c>
      <c r="O51" s="47" t="n">
        <f aca="false">'Fault &amp; Downtime Entry'!O52</f>
        <v>0</v>
      </c>
      <c r="P51" s="47" t="str">
        <f aca="false">IF(OR(J51="",K51=""),"",IFERROR(J51/K51*1000,0))</f>
        <v/>
      </c>
      <c r="Q51" s="47" t="str">
        <f aca="false">IF(OR(L51="",K51=""),"",IFERROR(L51/K51*1000,0))</f>
        <v/>
      </c>
      <c r="R51" s="47" t="str">
        <f aca="false">IF(OR(M51="High",M51="Critical"),"YES","")</f>
        <v/>
      </c>
    </row>
    <row r="52" customFormat="false" ht="15" hidden="false" customHeight="true" outlineLevel="0" collapsed="false">
      <c r="A52" s="47" t="n">
        <f aca="false">'Fault &amp; Downtime Entry'!A53</f>
        <v>48</v>
      </c>
      <c r="B52" s="48" t="n">
        <f aca="false">'Fault &amp; Downtime Entry'!B53</f>
        <v>0</v>
      </c>
      <c r="C52" s="47" t="n">
        <f aca="false">'Fault &amp; Downtime Entry'!C53</f>
        <v>0</v>
      </c>
      <c r="D52" s="47" t="n">
        <f aca="false">'Fault &amp; Downtime Entry'!D53</f>
        <v>0</v>
      </c>
      <c r="E52" s="47" t="n">
        <f aca="false">'Fault &amp; Downtime Entry'!E53</f>
        <v>0</v>
      </c>
      <c r="F52" s="47" t="str">
        <f aca="false">'Fault &amp; Downtime Entry'!F53</f>
        <v/>
      </c>
      <c r="G52" s="47" t="n">
        <f aca="false">'Fault &amp; Downtime Entry'!G53</f>
        <v>0</v>
      </c>
      <c r="H52" s="47" t="str">
        <f aca="false">'Fault &amp; Downtime Entry'!H53</f>
        <v/>
      </c>
      <c r="I52" s="47" t="str">
        <f aca="false">'Fault &amp; Downtime Entry'!I53</f>
        <v/>
      </c>
      <c r="J52" s="47" t="n">
        <f aca="false">'Fault &amp; Downtime Entry'!J53</f>
        <v>0</v>
      </c>
      <c r="K52" s="47" t="n">
        <f aca="false">'Fault &amp; Downtime Entry'!K53</f>
        <v>0</v>
      </c>
      <c r="L52" s="47" t="n">
        <f aca="false">'Fault &amp; Downtime Entry'!L53</f>
        <v>0</v>
      </c>
      <c r="M52" s="47" t="str">
        <f aca="false">'Fault &amp; Downtime Entry'!M53</f>
        <v/>
      </c>
      <c r="N52" s="47" t="n">
        <f aca="false">'Fault &amp; Downtime Entry'!N53</f>
        <v>0</v>
      </c>
      <c r="O52" s="47" t="n">
        <f aca="false">'Fault &amp; Downtime Entry'!O53</f>
        <v>0</v>
      </c>
      <c r="P52" s="47" t="str">
        <f aca="false">IF(OR(J52="",K52=""),"",IFERROR(J52/K52*1000,0))</f>
        <v/>
      </c>
      <c r="Q52" s="47" t="str">
        <f aca="false">IF(OR(L52="",K52=""),"",IFERROR(L52/K52*1000,0))</f>
        <v/>
      </c>
      <c r="R52" s="47" t="str">
        <f aca="false">IF(OR(M52="High",M52="Critical"),"YES","")</f>
        <v/>
      </c>
    </row>
    <row r="53" customFormat="false" ht="15" hidden="false" customHeight="true" outlineLevel="0" collapsed="false">
      <c r="A53" s="47" t="n">
        <f aca="false">'Fault &amp; Downtime Entry'!A54</f>
        <v>49</v>
      </c>
      <c r="B53" s="48" t="n">
        <f aca="false">'Fault &amp; Downtime Entry'!B54</f>
        <v>0</v>
      </c>
      <c r="C53" s="47" t="n">
        <f aca="false">'Fault &amp; Downtime Entry'!C54</f>
        <v>0</v>
      </c>
      <c r="D53" s="47" t="n">
        <f aca="false">'Fault &amp; Downtime Entry'!D54</f>
        <v>0</v>
      </c>
      <c r="E53" s="47" t="n">
        <f aca="false">'Fault &amp; Downtime Entry'!E54</f>
        <v>0</v>
      </c>
      <c r="F53" s="47" t="str">
        <f aca="false">'Fault &amp; Downtime Entry'!F54</f>
        <v/>
      </c>
      <c r="G53" s="47" t="n">
        <f aca="false">'Fault &amp; Downtime Entry'!G54</f>
        <v>0</v>
      </c>
      <c r="H53" s="47" t="str">
        <f aca="false">'Fault &amp; Downtime Entry'!H54</f>
        <v/>
      </c>
      <c r="I53" s="47" t="str">
        <f aca="false">'Fault &amp; Downtime Entry'!I54</f>
        <v/>
      </c>
      <c r="J53" s="47" t="n">
        <f aca="false">'Fault &amp; Downtime Entry'!J54</f>
        <v>0</v>
      </c>
      <c r="K53" s="47" t="n">
        <f aca="false">'Fault &amp; Downtime Entry'!K54</f>
        <v>0</v>
      </c>
      <c r="L53" s="47" t="n">
        <f aca="false">'Fault &amp; Downtime Entry'!L54</f>
        <v>0</v>
      </c>
      <c r="M53" s="47" t="str">
        <f aca="false">'Fault &amp; Downtime Entry'!M54</f>
        <v/>
      </c>
      <c r="N53" s="47" t="n">
        <f aca="false">'Fault &amp; Downtime Entry'!N54</f>
        <v>0</v>
      </c>
      <c r="O53" s="47" t="n">
        <f aca="false">'Fault &amp; Downtime Entry'!O54</f>
        <v>0</v>
      </c>
      <c r="P53" s="47" t="str">
        <f aca="false">IF(OR(J53="",K53=""),"",IFERROR(J53/K53*1000,0))</f>
        <v/>
      </c>
      <c r="Q53" s="47" t="str">
        <f aca="false">IF(OR(L53="",K53=""),"",IFERROR(L53/K53*1000,0))</f>
        <v/>
      </c>
      <c r="R53" s="47" t="str">
        <f aca="false">IF(OR(M53="High",M53="Critical"),"YES","")</f>
        <v/>
      </c>
    </row>
    <row r="54" customFormat="false" ht="15" hidden="false" customHeight="true" outlineLevel="0" collapsed="false">
      <c r="A54" s="47" t="n">
        <f aca="false">'Fault &amp; Downtime Entry'!A55</f>
        <v>50</v>
      </c>
      <c r="B54" s="48" t="n">
        <f aca="false">'Fault &amp; Downtime Entry'!B55</f>
        <v>0</v>
      </c>
      <c r="C54" s="47" t="n">
        <f aca="false">'Fault &amp; Downtime Entry'!C55</f>
        <v>0</v>
      </c>
      <c r="D54" s="47" t="n">
        <f aca="false">'Fault &amp; Downtime Entry'!D55</f>
        <v>0</v>
      </c>
      <c r="E54" s="47" t="n">
        <f aca="false">'Fault &amp; Downtime Entry'!E55</f>
        <v>0</v>
      </c>
      <c r="F54" s="47" t="str">
        <f aca="false">'Fault &amp; Downtime Entry'!F55</f>
        <v/>
      </c>
      <c r="G54" s="47" t="n">
        <f aca="false">'Fault &amp; Downtime Entry'!G55</f>
        <v>0</v>
      </c>
      <c r="H54" s="47" t="str">
        <f aca="false">'Fault &amp; Downtime Entry'!H55</f>
        <v/>
      </c>
      <c r="I54" s="47" t="str">
        <f aca="false">'Fault &amp; Downtime Entry'!I55</f>
        <v/>
      </c>
      <c r="J54" s="47" t="n">
        <f aca="false">'Fault &amp; Downtime Entry'!J55</f>
        <v>0</v>
      </c>
      <c r="K54" s="47" t="n">
        <f aca="false">'Fault &amp; Downtime Entry'!K55</f>
        <v>0</v>
      </c>
      <c r="L54" s="47" t="n">
        <f aca="false">'Fault &amp; Downtime Entry'!L55</f>
        <v>0</v>
      </c>
      <c r="M54" s="47" t="str">
        <f aca="false">'Fault &amp; Downtime Entry'!M55</f>
        <v/>
      </c>
      <c r="N54" s="47" t="n">
        <f aca="false">'Fault &amp; Downtime Entry'!N55</f>
        <v>0</v>
      </c>
      <c r="O54" s="47" t="n">
        <f aca="false">'Fault &amp; Downtime Entry'!O55</f>
        <v>0</v>
      </c>
      <c r="P54" s="47" t="str">
        <f aca="false">IF(OR(J54="",K54=""),"",IFERROR(J54/K54*1000,0))</f>
        <v/>
      </c>
      <c r="Q54" s="47" t="str">
        <f aca="false">IF(OR(L54="",K54=""),"",IFERROR(L54/K54*1000,0))</f>
        <v/>
      </c>
      <c r="R54" s="47" t="str">
        <f aca="false">IF(OR(M54="High",M54="Critical"),"YES","")</f>
        <v/>
      </c>
    </row>
    <row r="55" customFormat="false" ht="15" hidden="false" customHeight="true" outlineLevel="0" collapsed="false">
      <c r="A55" s="47" t="n">
        <f aca="false">'Fault &amp; Downtime Entry'!A56</f>
        <v>51</v>
      </c>
      <c r="B55" s="48" t="n">
        <f aca="false">'Fault &amp; Downtime Entry'!B56</f>
        <v>0</v>
      </c>
      <c r="C55" s="47" t="n">
        <f aca="false">'Fault &amp; Downtime Entry'!C56</f>
        <v>0</v>
      </c>
      <c r="D55" s="47" t="n">
        <f aca="false">'Fault &amp; Downtime Entry'!D56</f>
        <v>0</v>
      </c>
      <c r="E55" s="47" t="n">
        <f aca="false">'Fault &amp; Downtime Entry'!E56</f>
        <v>0</v>
      </c>
      <c r="F55" s="47" t="str">
        <f aca="false">'Fault &amp; Downtime Entry'!F56</f>
        <v/>
      </c>
      <c r="G55" s="47" t="n">
        <f aca="false">'Fault &amp; Downtime Entry'!G56</f>
        <v>0</v>
      </c>
      <c r="H55" s="47" t="str">
        <f aca="false">'Fault &amp; Downtime Entry'!H56</f>
        <v/>
      </c>
      <c r="I55" s="47" t="str">
        <f aca="false">'Fault &amp; Downtime Entry'!I56</f>
        <v/>
      </c>
      <c r="J55" s="47" t="n">
        <f aca="false">'Fault &amp; Downtime Entry'!J56</f>
        <v>0</v>
      </c>
      <c r="K55" s="47" t="n">
        <f aca="false">'Fault &amp; Downtime Entry'!K56</f>
        <v>0</v>
      </c>
      <c r="L55" s="47" t="n">
        <f aca="false">'Fault &amp; Downtime Entry'!L56</f>
        <v>0</v>
      </c>
      <c r="M55" s="47" t="str">
        <f aca="false">'Fault &amp; Downtime Entry'!M56</f>
        <v/>
      </c>
      <c r="N55" s="47" t="n">
        <f aca="false">'Fault &amp; Downtime Entry'!N56</f>
        <v>0</v>
      </c>
      <c r="O55" s="47" t="n">
        <f aca="false">'Fault &amp; Downtime Entry'!O56</f>
        <v>0</v>
      </c>
      <c r="P55" s="47" t="str">
        <f aca="false">IF(OR(J55="",K55=""),"",IFERROR(J55/K55*1000,0))</f>
        <v/>
      </c>
      <c r="Q55" s="47" t="str">
        <f aca="false">IF(OR(L55="",K55=""),"",IFERROR(L55/K55*1000,0))</f>
        <v/>
      </c>
      <c r="R55" s="47" t="str">
        <f aca="false">IF(OR(M55="High",M55="Critical"),"YES","")</f>
        <v/>
      </c>
    </row>
    <row r="56" customFormat="false" ht="15" hidden="false" customHeight="true" outlineLevel="0" collapsed="false">
      <c r="A56" s="47" t="n">
        <f aca="false">'Fault &amp; Downtime Entry'!A57</f>
        <v>52</v>
      </c>
      <c r="B56" s="48" t="n">
        <f aca="false">'Fault &amp; Downtime Entry'!B57</f>
        <v>0</v>
      </c>
      <c r="C56" s="47" t="n">
        <f aca="false">'Fault &amp; Downtime Entry'!C57</f>
        <v>0</v>
      </c>
      <c r="D56" s="47" t="n">
        <f aca="false">'Fault &amp; Downtime Entry'!D57</f>
        <v>0</v>
      </c>
      <c r="E56" s="47" t="n">
        <f aca="false">'Fault &amp; Downtime Entry'!E57</f>
        <v>0</v>
      </c>
      <c r="F56" s="47" t="str">
        <f aca="false">'Fault &amp; Downtime Entry'!F57</f>
        <v/>
      </c>
      <c r="G56" s="47" t="n">
        <f aca="false">'Fault &amp; Downtime Entry'!G57</f>
        <v>0</v>
      </c>
      <c r="H56" s="47" t="str">
        <f aca="false">'Fault &amp; Downtime Entry'!H57</f>
        <v/>
      </c>
      <c r="I56" s="47" t="str">
        <f aca="false">'Fault &amp; Downtime Entry'!I57</f>
        <v/>
      </c>
      <c r="J56" s="47" t="n">
        <f aca="false">'Fault &amp; Downtime Entry'!J57</f>
        <v>0</v>
      </c>
      <c r="K56" s="47" t="n">
        <f aca="false">'Fault &amp; Downtime Entry'!K57</f>
        <v>0</v>
      </c>
      <c r="L56" s="47" t="n">
        <f aca="false">'Fault &amp; Downtime Entry'!L57</f>
        <v>0</v>
      </c>
      <c r="M56" s="47" t="str">
        <f aca="false">'Fault &amp; Downtime Entry'!M57</f>
        <v/>
      </c>
      <c r="N56" s="47" t="n">
        <f aca="false">'Fault &amp; Downtime Entry'!N57</f>
        <v>0</v>
      </c>
      <c r="O56" s="47" t="n">
        <f aca="false">'Fault &amp; Downtime Entry'!O57</f>
        <v>0</v>
      </c>
      <c r="P56" s="47" t="str">
        <f aca="false">IF(OR(J56="",K56=""),"",IFERROR(J56/K56*1000,0))</f>
        <v/>
      </c>
      <c r="Q56" s="47" t="str">
        <f aca="false">IF(OR(L56="",K56=""),"",IFERROR(L56/K56*1000,0))</f>
        <v/>
      </c>
      <c r="R56" s="47" t="str">
        <f aca="false">IF(OR(M56="High",M56="Critical"),"YES","")</f>
        <v/>
      </c>
    </row>
    <row r="57" customFormat="false" ht="15" hidden="false" customHeight="true" outlineLevel="0" collapsed="false">
      <c r="A57" s="47" t="n">
        <f aca="false">'Fault &amp; Downtime Entry'!A58</f>
        <v>53</v>
      </c>
      <c r="B57" s="48" t="n">
        <f aca="false">'Fault &amp; Downtime Entry'!B58</f>
        <v>0</v>
      </c>
      <c r="C57" s="47" t="n">
        <f aca="false">'Fault &amp; Downtime Entry'!C58</f>
        <v>0</v>
      </c>
      <c r="D57" s="47" t="n">
        <f aca="false">'Fault &amp; Downtime Entry'!D58</f>
        <v>0</v>
      </c>
      <c r="E57" s="47" t="n">
        <f aca="false">'Fault &amp; Downtime Entry'!E58</f>
        <v>0</v>
      </c>
      <c r="F57" s="47" t="str">
        <f aca="false">'Fault &amp; Downtime Entry'!F58</f>
        <v/>
      </c>
      <c r="G57" s="47" t="n">
        <f aca="false">'Fault &amp; Downtime Entry'!G58</f>
        <v>0</v>
      </c>
      <c r="H57" s="47" t="str">
        <f aca="false">'Fault &amp; Downtime Entry'!H58</f>
        <v/>
      </c>
      <c r="I57" s="47" t="str">
        <f aca="false">'Fault &amp; Downtime Entry'!I58</f>
        <v/>
      </c>
      <c r="J57" s="47" t="n">
        <f aca="false">'Fault &amp; Downtime Entry'!J58</f>
        <v>0</v>
      </c>
      <c r="K57" s="47" t="n">
        <f aca="false">'Fault &amp; Downtime Entry'!K58</f>
        <v>0</v>
      </c>
      <c r="L57" s="47" t="n">
        <f aca="false">'Fault &amp; Downtime Entry'!L58</f>
        <v>0</v>
      </c>
      <c r="M57" s="47" t="str">
        <f aca="false">'Fault &amp; Downtime Entry'!M58</f>
        <v/>
      </c>
      <c r="N57" s="47" t="n">
        <f aca="false">'Fault &amp; Downtime Entry'!N58</f>
        <v>0</v>
      </c>
      <c r="O57" s="47" t="n">
        <f aca="false">'Fault &amp; Downtime Entry'!O58</f>
        <v>0</v>
      </c>
      <c r="P57" s="47" t="str">
        <f aca="false">IF(OR(J57="",K57=""),"",IFERROR(J57/K57*1000,0))</f>
        <v/>
      </c>
      <c r="Q57" s="47" t="str">
        <f aca="false">IF(OR(L57="",K57=""),"",IFERROR(L57/K57*1000,0))</f>
        <v/>
      </c>
      <c r="R57" s="47" t="str">
        <f aca="false">IF(OR(M57="High",M57="Critical"),"YES","")</f>
        <v/>
      </c>
    </row>
    <row r="58" customFormat="false" ht="15" hidden="false" customHeight="true" outlineLevel="0" collapsed="false">
      <c r="A58" s="47" t="n">
        <f aca="false">'Fault &amp; Downtime Entry'!A59</f>
        <v>54</v>
      </c>
      <c r="B58" s="48" t="n">
        <f aca="false">'Fault &amp; Downtime Entry'!B59</f>
        <v>0</v>
      </c>
      <c r="C58" s="47" t="n">
        <f aca="false">'Fault &amp; Downtime Entry'!C59</f>
        <v>0</v>
      </c>
      <c r="D58" s="47" t="n">
        <f aca="false">'Fault &amp; Downtime Entry'!D59</f>
        <v>0</v>
      </c>
      <c r="E58" s="47" t="n">
        <f aca="false">'Fault &amp; Downtime Entry'!E59</f>
        <v>0</v>
      </c>
      <c r="F58" s="47" t="str">
        <f aca="false">'Fault &amp; Downtime Entry'!F59</f>
        <v/>
      </c>
      <c r="G58" s="47" t="n">
        <f aca="false">'Fault &amp; Downtime Entry'!G59</f>
        <v>0</v>
      </c>
      <c r="H58" s="47" t="str">
        <f aca="false">'Fault &amp; Downtime Entry'!H59</f>
        <v/>
      </c>
      <c r="I58" s="47" t="str">
        <f aca="false">'Fault &amp; Downtime Entry'!I59</f>
        <v/>
      </c>
      <c r="J58" s="47" t="n">
        <f aca="false">'Fault &amp; Downtime Entry'!J59</f>
        <v>0</v>
      </c>
      <c r="K58" s="47" t="n">
        <f aca="false">'Fault &amp; Downtime Entry'!K59</f>
        <v>0</v>
      </c>
      <c r="L58" s="47" t="n">
        <f aca="false">'Fault &amp; Downtime Entry'!L59</f>
        <v>0</v>
      </c>
      <c r="M58" s="47" t="str">
        <f aca="false">'Fault &amp; Downtime Entry'!M59</f>
        <v/>
      </c>
      <c r="N58" s="47" t="n">
        <f aca="false">'Fault &amp; Downtime Entry'!N59</f>
        <v>0</v>
      </c>
      <c r="O58" s="47" t="n">
        <f aca="false">'Fault &amp; Downtime Entry'!O59</f>
        <v>0</v>
      </c>
      <c r="P58" s="47" t="str">
        <f aca="false">IF(OR(J58="",K58=""),"",IFERROR(J58/K58*1000,0))</f>
        <v/>
      </c>
      <c r="Q58" s="47" t="str">
        <f aca="false">IF(OR(L58="",K58=""),"",IFERROR(L58/K58*1000,0))</f>
        <v/>
      </c>
      <c r="R58" s="47" t="str">
        <f aca="false">IF(OR(M58="High",M58="Critical"),"YES","")</f>
        <v/>
      </c>
    </row>
    <row r="59" customFormat="false" ht="15" hidden="false" customHeight="true" outlineLevel="0" collapsed="false">
      <c r="A59" s="47" t="n">
        <f aca="false">'Fault &amp; Downtime Entry'!A60</f>
        <v>55</v>
      </c>
      <c r="B59" s="48" t="n">
        <f aca="false">'Fault &amp; Downtime Entry'!B60</f>
        <v>0</v>
      </c>
      <c r="C59" s="47" t="n">
        <f aca="false">'Fault &amp; Downtime Entry'!C60</f>
        <v>0</v>
      </c>
      <c r="D59" s="47" t="n">
        <f aca="false">'Fault &amp; Downtime Entry'!D60</f>
        <v>0</v>
      </c>
      <c r="E59" s="47" t="n">
        <f aca="false">'Fault &amp; Downtime Entry'!E60</f>
        <v>0</v>
      </c>
      <c r="F59" s="47" t="str">
        <f aca="false">'Fault &amp; Downtime Entry'!F60</f>
        <v/>
      </c>
      <c r="G59" s="47" t="n">
        <f aca="false">'Fault &amp; Downtime Entry'!G60</f>
        <v>0</v>
      </c>
      <c r="H59" s="47" t="str">
        <f aca="false">'Fault &amp; Downtime Entry'!H60</f>
        <v/>
      </c>
      <c r="I59" s="47" t="str">
        <f aca="false">'Fault &amp; Downtime Entry'!I60</f>
        <v/>
      </c>
      <c r="J59" s="47" t="n">
        <f aca="false">'Fault &amp; Downtime Entry'!J60</f>
        <v>0</v>
      </c>
      <c r="K59" s="47" t="n">
        <f aca="false">'Fault &amp; Downtime Entry'!K60</f>
        <v>0</v>
      </c>
      <c r="L59" s="47" t="n">
        <f aca="false">'Fault &amp; Downtime Entry'!L60</f>
        <v>0</v>
      </c>
      <c r="M59" s="47" t="str">
        <f aca="false">'Fault &amp; Downtime Entry'!M60</f>
        <v/>
      </c>
      <c r="N59" s="47" t="n">
        <f aca="false">'Fault &amp; Downtime Entry'!N60</f>
        <v>0</v>
      </c>
      <c r="O59" s="47" t="n">
        <f aca="false">'Fault &amp; Downtime Entry'!O60</f>
        <v>0</v>
      </c>
      <c r="P59" s="47" t="str">
        <f aca="false">IF(OR(J59="",K59=""),"",IFERROR(J59/K59*1000,0))</f>
        <v/>
      </c>
      <c r="Q59" s="47" t="str">
        <f aca="false">IF(OR(L59="",K59=""),"",IFERROR(L59/K59*1000,0))</f>
        <v/>
      </c>
      <c r="R59" s="47" t="str">
        <f aca="false">IF(OR(M59="High",M59="Critical"),"YES","")</f>
        <v/>
      </c>
    </row>
    <row r="60" customFormat="false" ht="15" hidden="false" customHeight="true" outlineLevel="0" collapsed="false">
      <c r="A60" s="47" t="n">
        <f aca="false">'Fault &amp; Downtime Entry'!A61</f>
        <v>56</v>
      </c>
      <c r="B60" s="48" t="n">
        <f aca="false">'Fault &amp; Downtime Entry'!B61</f>
        <v>0</v>
      </c>
      <c r="C60" s="47" t="n">
        <f aca="false">'Fault &amp; Downtime Entry'!C61</f>
        <v>0</v>
      </c>
      <c r="D60" s="47" t="n">
        <f aca="false">'Fault &amp; Downtime Entry'!D61</f>
        <v>0</v>
      </c>
      <c r="E60" s="47" t="n">
        <f aca="false">'Fault &amp; Downtime Entry'!E61</f>
        <v>0</v>
      </c>
      <c r="F60" s="47" t="str">
        <f aca="false">'Fault &amp; Downtime Entry'!F61</f>
        <v/>
      </c>
      <c r="G60" s="47" t="n">
        <f aca="false">'Fault &amp; Downtime Entry'!G61</f>
        <v>0</v>
      </c>
      <c r="H60" s="47" t="str">
        <f aca="false">'Fault &amp; Downtime Entry'!H61</f>
        <v/>
      </c>
      <c r="I60" s="47" t="str">
        <f aca="false">'Fault &amp; Downtime Entry'!I61</f>
        <v/>
      </c>
      <c r="J60" s="47" t="n">
        <f aca="false">'Fault &amp; Downtime Entry'!J61</f>
        <v>0</v>
      </c>
      <c r="K60" s="47" t="n">
        <f aca="false">'Fault &amp; Downtime Entry'!K61</f>
        <v>0</v>
      </c>
      <c r="L60" s="47" t="n">
        <f aca="false">'Fault &amp; Downtime Entry'!L61</f>
        <v>0</v>
      </c>
      <c r="M60" s="47" t="str">
        <f aca="false">'Fault &amp; Downtime Entry'!M61</f>
        <v/>
      </c>
      <c r="N60" s="47" t="n">
        <f aca="false">'Fault &amp; Downtime Entry'!N61</f>
        <v>0</v>
      </c>
      <c r="O60" s="47" t="n">
        <f aca="false">'Fault &amp; Downtime Entry'!O61</f>
        <v>0</v>
      </c>
      <c r="P60" s="47" t="str">
        <f aca="false">IF(OR(J60="",K60=""),"",IFERROR(J60/K60*1000,0))</f>
        <v/>
      </c>
      <c r="Q60" s="47" t="str">
        <f aca="false">IF(OR(L60="",K60=""),"",IFERROR(L60/K60*1000,0))</f>
        <v/>
      </c>
      <c r="R60" s="47" t="str">
        <f aca="false">IF(OR(M60="High",M60="Critical"),"YES","")</f>
        <v/>
      </c>
    </row>
    <row r="61" customFormat="false" ht="15" hidden="false" customHeight="true" outlineLevel="0" collapsed="false">
      <c r="A61" s="47" t="n">
        <f aca="false">'Fault &amp; Downtime Entry'!A62</f>
        <v>57</v>
      </c>
      <c r="B61" s="48" t="n">
        <f aca="false">'Fault &amp; Downtime Entry'!B62</f>
        <v>0</v>
      </c>
      <c r="C61" s="47" t="n">
        <f aca="false">'Fault &amp; Downtime Entry'!C62</f>
        <v>0</v>
      </c>
      <c r="D61" s="47" t="n">
        <f aca="false">'Fault &amp; Downtime Entry'!D62</f>
        <v>0</v>
      </c>
      <c r="E61" s="47" t="n">
        <f aca="false">'Fault &amp; Downtime Entry'!E62</f>
        <v>0</v>
      </c>
      <c r="F61" s="47" t="str">
        <f aca="false">'Fault &amp; Downtime Entry'!F62</f>
        <v/>
      </c>
      <c r="G61" s="47" t="n">
        <f aca="false">'Fault &amp; Downtime Entry'!G62</f>
        <v>0</v>
      </c>
      <c r="H61" s="47" t="str">
        <f aca="false">'Fault &amp; Downtime Entry'!H62</f>
        <v/>
      </c>
      <c r="I61" s="47" t="str">
        <f aca="false">'Fault &amp; Downtime Entry'!I62</f>
        <v/>
      </c>
      <c r="J61" s="47" t="n">
        <f aca="false">'Fault &amp; Downtime Entry'!J62</f>
        <v>0</v>
      </c>
      <c r="K61" s="47" t="n">
        <f aca="false">'Fault &amp; Downtime Entry'!K62</f>
        <v>0</v>
      </c>
      <c r="L61" s="47" t="n">
        <f aca="false">'Fault &amp; Downtime Entry'!L62</f>
        <v>0</v>
      </c>
      <c r="M61" s="47" t="str">
        <f aca="false">'Fault &amp; Downtime Entry'!M62</f>
        <v/>
      </c>
      <c r="N61" s="47" t="n">
        <f aca="false">'Fault &amp; Downtime Entry'!N62</f>
        <v>0</v>
      </c>
      <c r="O61" s="47" t="n">
        <f aca="false">'Fault &amp; Downtime Entry'!O62</f>
        <v>0</v>
      </c>
      <c r="P61" s="47" t="str">
        <f aca="false">IF(OR(J61="",K61=""),"",IFERROR(J61/K61*1000,0))</f>
        <v/>
      </c>
      <c r="Q61" s="47" t="str">
        <f aca="false">IF(OR(L61="",K61=""),"",IFERROR(L61/K61*1000,0))</f>
        <v/>
      </c>
      <c r="R61" s="47" t="str">
        <f aca="false">IF(OR(M61="High",M61="Critical"),"YES","")</f>
        <v/>
      </c>
    </row>
    <row r="62" customFormat="false" ht="15" hidden="false" customHeight="true" outlineLevel="0" collapsed="false">
      <c r="A62" s="47" t="n">
        <f aca="false">'Fault &amp; Downtime Entry'!A63</f>
        <v>58</v>
      </c>
      <c r="B62" s="48" t="n">
        <f aca="false">'Fault &amp; Downtime Entry'!B63</f>
        <v>0</v>
      </c>
      <c r="C62" s="47" t="n">
        <f aca="false">'Fault &amp; Downtime Entry'!C63</f>
        <v>0</v>
      </c>
      <c r="D62" s="47" t="n">
        <f aca="false">'Fault &amp; Downtime Entry'!D63</f>
        <v>0</v>
      </c>
      <c r="E62" s="47" t="n">
        <f aca="false">'Fault &amp; Downtime Entry'!E63</f>
        <v>0</v>
      </c>
      <c r="F62" s="47" t="str">
        <f aca="false">'Fault &amp; Downtime Entry'!F63</f>
        <v/>
      </c>
      <c r="G62" s="47" t="n">
        <f aca="false">'Fault &amp; Downtime Entry'!G63</f>
        <v>0</v>
      </c>
      <c r="H62" s="47" t="str">
        <f aca="false">'Fault &amp; Downtime Entry'!H63</f>
        <v/>
      </c>
      <c r="I62" s="47" t="str">
        <f aca="false">'Fault &amp; Downtime Entry'!I63</f>
        <v/>
      </c>
      <c r="J62" s="47" t="n">
        <f aca="false">'Fault &amp; Downtime Entry'!J63</f>
        <v>0</v>
      </c>
      <c r="K62" s="47" t="n">
        <f aca="false">'Fault &amp; Downtime Entry'!K63</f>
        <v>0</v>
      </c>
      <c r="L62" s="47" t="n">
        <f aca="false">'Fault &amp; Downtime Entry'!L63</f>
        <v>0</v>
      </c>
      <c r="M62" s="47" t="str">
        <f aca="false">'Fault &amp; Downtime Entry'!M63</f>
        <v/>
      </c>
      <c r="N62" s="47" t="n">
        <f aca="false">'Fault &amp; Downtime Entry'!N63</f>
        <v>0</v>
      </c>
      <c r="O62" s="47" t="n">
        <f aca="false">'Fault &amp; Downtime Entry'!O63</f>
        <v>0</v>
      </c>
      <c r="P62" s="47" t="str">
        <f aca="false">IF(OR(J62="",K62=""),"",IFERROR(J62/K62*1000,0))</f>
        <v/>
      </c>
      <c r="Q62" s="47" t="str">
        <f aca="false">IF(OR(L62="",K62=""),"",IFERROR(L62/K62*1000,0))</f>
        <v/>
      </c>
      <c r="R62" s="47" t="str">
        <f aca="false">IF(OR(M62="High",M62="Critical"),"YES","")</f>
        <v/>
      </c>
    </row>
    <row r="63" customFormat="false" ht="15" hidden="false" customHeight="true" outlineLevel="0" collapsed="false">
      <c r="A63" s="47" t="n">
        <f aca="false">'Fault &amp; Downtime Entry'!A64</f>
        <v>59</v>
      </c>
      <c r="B63" s="48" t="n">
        <f aca="false">'Fault &amp; Downtime Entry'!B64</f>
        <v>0</v>
      </c>
      <c r="C63" s="47" t="n">
        <f aca="false">'Fault &amp; Downtime Entry'!C64</f>
        <v>0</v>
      </c>
      <c r="D63" s="47" t="n">
        <f aca="false">'Fault &amp; Downtime Entry'!D64</f>
        <v>0</v>
      </c>
      <c r="E63" s="47" t="n">
        <f aca="false">'Fault &amp; Downtime Entry'!E64</f>
        <v>0</v>
      </c>
      <c r="F63" s="47" t="str">
        <f aca="false">'Fault &amp; Downtime Entry'!F64</f>
        <v/>
      </c>
      <c r="G63" s="47" t="n">
        <f aca="false">'Fault &amp; Downtime Entry'!G64</f>
        <v>0</v>
      </c>
      <c r="H63" s="47" t="str">
        <f aca="false">'Fault &amp; Downtime Entry'!H64</f>
        <v/>
      </c>
      <c r="I63" s="47" t="str">
        <f aca="false">'Fault &amp; Downtime Entry'!I64</f>
        <v/>
      </c>
      <c r="J63" s="47" t="n">
        <f aca="false">'Fault &amp; Downtime Entry'!J64</f>
        <v>0</v>
      </c>
      <c r="K63" s="47" t="n">
        <f aca="false">'Fault &amp; Downtime Entry'!K64</f>
        <v>0</v>
      </c>
      <c r="L63" s="47" t="n">
        <f aca="false">'Fault &amp; Downtime Entry'!L64</f>
        <v>0</v>
      </c>
      <c r="M63" s="47" t="str">
        <f aca="false">'Fault &amp; Downtime Entry'!M64</f>
        <v/>
      </c>
      <c r="N63" s="47" t="n">
        <f aca="false">'Fault &amp; Downtime Entry'!N64</f>
        <v>0</v>
      </c>
      <c r="O63" s="47" t="n">
        <f aca="false">'Fault &amp; Downtime Entry'!O64</f>
        <v>0</v>
      </c>
      <c r="P63" s="47" t="str">
        <f aca="false">IF(OR(J63="",K63=""),"",IFERROR(J63/K63*1000,0))</f>
        <v/>
      </c>
      <c r="Q63" s="47" t="str">
        <f aca="false">IF(OR(L63="",K63=""),"",IFERROR(L63/K63*1000,0))</f>
        <v/>
      </c>
      <c r="R63" s="47" t="str">
        <f aca="false">IF(OR(M63="High",M63="Critical"),"YES","")</f>
        <v/>
      </c>
    </row>
    <row r="64" customFormat="false" ht="15" hidden="false" customHeight="true" outlineLevel="0" collapsed="false">
      <c r="A64" s="47" t="n">
        <f aca="false">'Fault &amp; Downtime Entry'!A65</f>
        <v>60</v>
      </c>
      <c r="B64" s="48" t="n">
        <f aca="false">'Fault &amp; Downtime Entry'!B65</f>
        <v>0</v>
      </c>
      <c r="C64" s="47" t="n">
        <f aca="false">'Fault &amp; Downtime Entry'!C65</f>
        <v>0</v>
      </c>
      <c r="D64" s="47" t="n">
        <f aca="false">'Fault &amp; Downtime Entry'!D65</f>
        <v>0</v>
      </c>
      <c r="E64" s="47" t="n">
        <f aca="false">'Fault &amp; Downtime Entry'!E65</f>
        <v>0</v>
      </c>
      <c r="F64" s="47" t="str">
        <f aca="false">'Fault &amp; Downtime Entry'!F65</f>
        <v/>
      </c>
      <c r="G64" s="47" t="n">
        <f aca="false">'Fault &amp; Downtime Entry'!G65</f>
        <v>0</v>
      </c>
      <c r="H64" s="47" t="str">
        <f aca="false">'Fault &amp; Downtime Entry'!H65</f>
        <v/>
      </c>
      <c r="I64" s="47" t="str">
        <f aca="false">'Fault &amp; Downtime Entry'!I65</f>
        <v/>
      </c>
      <c r="J64" s="47" t="n">
        <f aca="false">'Fault &amp; Downtime Entry'!J65</f>
        <v>0</v>
      </c>
      <c r="K64" s="47" t="n">
        <f aca="false">'Fault &amp; Downtime Entry'!K65</f>
        <v>0</v>
      </c>
      <c r="L64" s="47" t="n">
        <f aca="false">'Fault &amp; Downtime Entry'!L65</f>
        <v>0</v>
      </c>
      <c r="M64" s="47" t="str">
        <f aca="false">'Fault &amp; Downtime Entry'!M65</f>
        <v/>
      </c>
      <c r="N64" s="47" t="n">
        <f aca="false">'Fault &amp; Downtime Entry'!N65</f>
        <v>0</v>
      </c>
      <c r="O64" s="47" t="n">
        <f aca="false">'Fault &amp; Downtime Entry'!O65</f>
        <v>0</v>
      </c>
      <c r="P64" s="47" t="str">
        <f aca="false">IF(OR(J64="",K64=""),"",IFERROR(J64/K64*1000,0))</f>
        <v/>
      </c>
      <c r="Q64" s="47" t="str">
        <f aca="false">IF(OR(L64="",K64=""),"",IFERROR(L64/K64*1000,0))</f>
        <v/>
      </c>
      <c r="R64" s="47" t="str">
        <f aca="false">IF(OR(M64="High",M64="Critical"),"YES","")</f>
        <v/>
      </c>
    </row>
    <row r="65" customFormat="false" ht="15" hidden="false" customHeight="true" outlineLevel="0" collapsed="false">
      <c r="A65" s="47" t="n">
        <f aca="false">'Fault &amp; Downtime Entry'!A66</f>
        <v>61</v>
      </c>
      <c r="B65" s="48" t="n">
        <f aca="false">'Fault &amp; Downtime Entry'!B66</f>
        <v>0</v>
      </c>
      <c r="C65" s="47" t="n">
        <f aca="false">'Fault &amp; Downtime Entry'!C66</f>
        <v>0</v>
      </c>
      <c r="D65" s="47" t="n">
        <f aca="false">'Fault &amp; Downtime Entry'!D66</f>
        <v>0</v>
      </c>
      <c r="E65" s="47" t="n">
        <f aca="false">'Fault &amp; Downtime Entry'!E66</f>
        <v>0</v>
      </c>
      <c r="F65" s="47" t="str">
        <f aca="false">'Fault &amp; Downtime Entry'!F66</f>
        <v/>
      </c>
      <c r="G65" s="47" t="n">
        <f aca="false">'Fault &amp; Downtime Entry'!G66</f>
        <v>0</v>
      </c>
      <c r="H65" s="47" t="str">
        <f aca="false">'Fault &amp; Downtime Entry'!H66</f>
        <v/>
      </c>
      <c r="I65" s="47" t="str">
        <f aca="false">'Fault &amp; Downtime Entry'!I66</f>
        <v/>
      </c>
      <c r="J65" s="47" t="n">
        <f aca="false">'Fault &amp; Downtime Entry'!J66</f>
        <v>0</v>
      </c>
      <c r="K65" s="47" t="n">
        <f aca="false">'Fault &amp; Downtime Entry'!K66</f>
        <v>0</v>
      </c>
      <c r="L65" s="47" t="n">
        <f aca="false">'Fault &amp; Downtime Entry'!L66</f>
        <v>0</v>
      </c>
      <c r="M65" s="47" t="str">
        <f aca="false">'Fault &amp; Downtime Entry'!M66</f>
        <v/>
      </c>
      <c r="N65" s="47" t="n">
        <f aca="false">'Fault &amp; Downtime Entry'!N66</f>
        <v>0</v>
      </c>
      <c r="O65" s="47" t="n">
        <f aca="false">'Fault &amp; Downtime Entry'!O66</f>
        <v>0</v>
      </c>
      <c r="P65" s="47" t="str">
        <f aca="false">IF(OR(J65="",K65=""),"",IFERROR(J65/K65*1000,0))</f>
        <v/>
      </c>
      <c r="Q65" s="47" t="str">
        <f aca="false">IF(OR(L65="",K65=""),"",IFERROR(L65/K65*1000,0))</f>
        <v/>
      </c>
      <c r="R65" s="47" t="str">
        <f aca="false">IF(OR(M65="High",M65="Critical"),"YES","")</f>
        <v/>
      </c>
    </row>
    <row r="66" customFormat="false" ht="15" hidden="false" customHeight="true" outlineLevel="0" collapsed="false">
      <c r="A66" s="47" t="n">
        <f aca="false">'Fault &amp; Downtime Entry'!A67</f>
        <v>62</v>
      </c>
      <c r="B66" s="48" t="n">
        <f aca="false">'Fault &amp; Downtime Entry'!B67</f>
        <v>0</v>
      </c>
      <c r="C66" s="47" t="n">
        <f aca="false">'Fault &amp; Downtime Entry'!C67</f>
        <v>0</v>
      </c>
      <c r="D66" s="47" t="n">
        <f aca="false">'Fault &amp; Downtime Entry'!D67</f>
        <v>0</v>
      </c>
      <c r="E66" s="47" t="n">
        <f aca="false">'Fault &amp; Downtime Entry'!E67</f>
        <v>0</v>
      </c>
      <c r="F66" s="47" t="str">
        <f aca="false">'Fault &amp; Downtime Entry'!F67</f>
        <v/>
      </c>
      <c r="G66" s="47" t="n">
        <f aca="false">'Fault &amp; Downtime Entry'!G67</f>
        <v>0</v>
      </c>
      <c r="H66" s="47" t="str">
        <f aca="false">'Fault &amp; Downtime Entry'!H67</f>
        <v/>
      </c>
      <c r="I66" s="47" t="str">
        <f aca="false">'Fault &amp; Downtime Entry'!I67</f>
        <v/>
      </c>
      <c r="J66" s="47" t="n">
        <f aca="false">'Fault &amp; Downtime Entry'!J67</f>
        <v>0</v>
      </c>
      <c r="K66" s="47" t="n">
        <f aca="false">'Fault &amp; Downtime Entry'!K67</f>
        <v>0</v>
      </c>
      <c r="L66" s="47" t="n">
        <f aca="false">'Fault &amp; Downtime Entry'!L67</f>
        <v>0</v>
      </c>
      <c r="M66" s="47" t="str">
        <f aca="false">'Fault &amp; Downtime Entry'!M67</f>
        <v/>
      </c>
      <c r="N66" s="47" t="n">
        <f aca="false">'Fault &amp; Downtime Entry'!N67</f>
        <v>0</v>
      </c>
      <c r="O66" s="47" t="n">
        <f aca="false">'Fault &amp; Downtime Entry'!O67</f>
        <v>0</v>
      </c>
      <c r="P66" s="47" t="str">
        <f aca="false">IF(OR(J66="",K66=""),"",IFERROR(J66/K66*1000,0))</f>
        <v/>
      </c>
      <c r="Q66" s="47" t="str">
        <f aca="false">IF(OR(L66="",K66=""),"",IFERROR(L66/K66*1000,0))</f>
        <v/>
      </c>
      <c r="R66" s="47" t="str">
        <f aca="false">IF(OR(M66="High",M66="Critical"),"YES","")</f>
        <v/>
      </c>
    </row>
    <row r="67" customFormat="false" ht="15" hidden="false" customHeight="true" outlineLevel="0" collapsed="false">
      <c r="A67" s="47" t="n">
        <f aca="false">'Fault &amp; Downtime Entry'!A68</f>
        <v>63</v>
      </c>
      <c r="B67" s="48" t="n">
        <f aca="false">'Fault &amp; Downtime Entry'!B68</f>
        <v>0</v>
      </c>
      <c r="C67" s="47" t="n">
        <f aca="false">'Fault &amp; Downtime Entry'!C68</f>
        <v>0</v>
      </c>
      <c r="D67" s="47" t="n">
        <f aca="false">'Fault &amp; Downtime Entry'!D68</f>
        <v>0</v>
      </c>
      <c r="E67" s="47" t="n">
        <f aca="false">'Fault &amp; Downtime Entry'!E68</f>
        <v>0</v>
      </c>
      <c r="F67" s="47" t="str">
        <f aca="false">'Fault &amp; Downtime Entry'!F68</f>
        <v/>
      </c>
      <c r="G67" s="47" t="n">
        <f aca="false">'Fault &amp; Downtime Entry'!G68</f>
        <v>0</v>
      </c>
      <c r="H67" s="47" t="str">
        <f aca="false">'Fault &amp; Downtime Entry'!H68</f>
        <v/>
      </c>
      <c r="I67" s="47" t="str">
        <f aca="false">'Fault &amp; Downtime Entry'!I68</f>
        <v/>
      </c>
      <c r="J67" s="47" t="n">
        <f aca="false">'Fault &amp; Downtime Entry'!J68</f>
        <v>0</v>
      </c>
      <c r="K67" s="47" t="n">
        <f aca="false">'Fault &amp; Downtime Entry'!K68</f>
        <v>0</v>
      </c>
      <c r="L67" s="47" t="n">
        <f aca="false">'Fault &amp; Downtime Entry'!L68</f>
        <v>0</v>
      </c>
      <c r="M67" s="47" t="str">
        <f aca="false">'Fault &amp; Downtime Entry'!M68</f>
        <v/>
      </c>
      <c r="N67" s="47" t="n">
        <f aca="false">'Fault &amp; Downtime Entry'!N68</f>
        <v>0</v>
      </c>
      <c r="O67" s="47" t="n">
        <f aca="false">'Fault &amp; Downtime Entry'!O68</f>
        <v>0</v>
      </c>
      <c r="P67" s="47" t="str">
        <f aca="false">IF(OR(J67="",K67=""),"",IFERROR(J67/K67*1000,0))</f>
        <v/>
      </c>
      <c r="Q67" s="47" t="str">
        <f aca="false">IF(OR(L67="",K67=""),"",IFERROR(L67/K67*1000,0))</f>
        <v/>
      </c>
      <c r="R67" s="47" t="str">
        <f aca="false">IF(OR(M67="High",M67="Critical"),"YES","")</f>
        <v/>
      </c>
    </row>
    <row r="68" customFormat="false" ht="15" hidden="false" customHeight="true" outlineLevel="0" collapsed="false">
      <c r="A68" s="47" t="n">
        <f aca="false">'Fault &amp; Downtime Entry'!A69</f>
        <v>64</v>
      </c>
      <c r="B68" s="48" t="n">
        <f aca="false">'Fault &amp; Downtime Entry'!B69</f>
        <v>0</v>
      </c>
      <c r="C68" s="47" t="n">
        <f aca="false">'Fault &amp; Downtime Entry'!C69</f>
        <v>0</v>
      </c>
      <c r="D68" s="47" t="n">
        <f aca="false">'Fault &amp; Downtime Entry'!D69</f>
        <v>0</v>
      </c>
      <c r="E68" s="47" t="n">
        <f aca="false">'Fault &amp; Downtime Entry'!E69</f>
        <v>0</v>
      </c>
      <c r="F68" s="47" t="str">
        <f aca="false">'Fault &amp; Downtime Entry'!F69</f>
        <v/>
      </c>
      <c r="G68" s="47" t="n">
        <f aca="false">'Fault &amp; Downtime Entry'!G69</f>
        <v>0</v>
      </c>
      <c r="H68" s="47" t="str">
        <f aca="false">'Fault &amp; Downtime Entry'!H69</f>
        <v/>
      </c>
      <c r="I68" s="47" t="str">
        <f aca="false">'Fault &amp; Downtime Entry'!I69</f>
        <v/>
      </c>
      <c r="J68" s="47" t="n">
        <f aca="false">'Fault &amp; Downtime Entry'!J69</f>
        <v>0</v>
      </c>
      <c r="K68" s="47" t="n">
        <f aca="false">'Fault &amp; Downtime Entry'!K69</f>
        <v>0</v>
      </c>
      <c r="L68" s="47" t="n">
        <f aca="false">'Fault &amp; Downtime Entry'!L69</f>
        <v>0</v>
      </c>
      <c r="M68" s="47" t="str">
        <f aca="false">'Fault &amp; Downtime Entry'!M69</f>
        <v/>
      </c>
      <c r="N68" s="47" t="n">
        <f aca="false">'Fault &amp; Downtime Entry'!N69</f>
        <v>0</v>
      </c>
      <c r="O68" s="47" t="n">
        <f aca="false">'Fault &amp; Downtime Entry'!O69</f>
        <v>0</v>
      </c>
      <c r="P68" s="47" t="str">
        <f aca="false">IF(OR(J68="",K68=""),"",IFERROR(J68/K68*1000,0))</f>
        <v/>
      </c>
      <c r="Q68" s="47" t="str">
        <f aca="false">IF(OR(L68="",K68=""),"",IFERROR(L68/K68*1000,0))</f>
        <v/>
      </c>
      <c r="R68" s="47" t="str">
        <f aca="false">IF(OR(M68="High",M68="Critical"),"YES","")</f>
        <v/>
      </c>
    </row>
    <row r="69" customFormat="false" ht="15" hidden="false" customHeight="true" outlineLevel="0" collapsed="false">
      <c r="A69" s="47" t="n">
        <f aca="false">'Fault &amp; Downtime Entry'!A70</f>
        <v>65</v>
      </c>
      <c r="B69" s="48" t="n">
        <f aca="false">'Fault &amp; Downtime Entry'!B70</f>
        <v>0</v>
      </c>
      <c r="C69" s="47" t="n">
        <f aca="false">'Fault &amp; Downtime Entry'!C70</f>
        <v>0</v>
      </c>
      <c r="D69" s="47" t="n">
        <f aca="false">'Fault &amp; Downtime Entry'!D70</f>
        <v>0</v>
      </c>
      <c r="E69" s="47" t="n">
        <f aca="false">'Fault &amp; Downtime Entry'!E70</f>
        <v>0</v>
      </c>
      <c r="F69" s="47" t="str">
        <f aca="false">'Fault &amp; Downtime Entry'!F70</f>
        <v/>
      </c>
      <c r="G69" s="47" t="n">
        <f aca="false">'Fault &amp; Downtime Entry'!G70</f>
        <v>0</v>
      </c>
      <c r="H69" s="47" t="str">
        <f aca="false">'Fault &amp; Downtime Entry'!H70</f>
        <v/>
      </c>
      <c r="I69" s="47" t="str">
        <f aca="false">'Fault &amp; Downtime Entry'!I70</f>
        <v/>
      </c>
      <c r="J69" s="47" t="n">
        <f aca="false">'Fault &amp; Downtime Entry'!J70</f>
        <v>0</v>
      </c>
      <c r="K69" s="47" t="n">
        <f aca="false">'Fault &amp; Downtime Entry'!K70</f>
        <v>0</v>
      </c>
      <c r="L69" s="47" t="n">
        <f aca="false">'Fault &amp; Downtime Entry'!L70</f>
        <v>0</v>
      </c>
      <c r="M69" s="47" t="str">
        <f aca="false">'Fault &amp; Downtime Entry'!M70</f>
        <v/>
      </c>
      <c r="N69" s="47" t="n">
        <f aca="false">'Fault &amp; Downtime Entry'!N70</f>
        <v>0</v>
      </c>
      <c r="O69" s="47" t="n">
        <f aca="false">'Fault &amp; Downtime Entry'!O70</f>
        <v>0</v>
      </c>
      <c r="P69" s="47" t="str">
        <f aca="false">IF(OR(J69="",K69=""),"",IFERROR(J69/K69*1000,0))</f>
        <v/>
      </c>
      <c r="Q69" s="47" t="str">
        <f aca="false">IF(OR(L69="",K69=""),"",IFERROR(L69/K69*1000,0))</f>
        <v/>
      </c>
      <c r="R69" s="47" t="str">
        <f aca="false">IF(OR(M69="High",M69="Critical"),"YES","")</f>
        <v/>
      </c>
    </row>
    <row r="70" customFormat="false" ht="15" hidden="false" customHeight="true" outlineLevel="0" collapsed="false">
      <c r="A70" s="47" t="n">
        <f aca="false">'Fault &amp; Downtime Entry'!A71</f>
        <v>66</v>
      </c>
      <c r="B70" s="48" t="n">
        <f aca="false">'Fault &amp; Downtime Entry'!B71</f>
        <v>0</v>
      </c>
      <c r="C70" s="47" t="n">
        <f aca="false">'Fault &amp; Downtime Entry'!C71</f>
        <v>0</v>
      </c>
      <c r="D70" s="47" t="n">
        <f aca="false">'Fault &amp; Downtime Entry'!D71</f>
        <v>0</v>
      </c>
      <c r="E70" s="47" t="n">
        <f aca="false">'Fault &amp; Downtime Entry'!E71</f>
        <v>0</v>
      </c>
      <c r="F70" s="47" t="str">
        <f aca="false">'Fault &amp; Downtime Entry'!F71</f>
        <v/>
      </c>
      <c r="G70" s="47" t="n">
        <f aca="false">'Fault &amp; Downtime Entry'!G71</f>
        <v>0</v>
      </c>
      <c r="H70" s="47" t="str">
        <f aca="false">'Fault &amp; Downtime Entry'!H71</f>
        <v/>
      </c>
      <c r="I70" s="47" t="str">
        <f aca="false">'Fault &amp; Downtime Entry'!I71</f>
        <v/>
      </c>
      <c r="J70" s="47" t="n">
        <f aca="false">'Fault &amp; Downtime Entry'!J71</f>
        <v>0</v>
      </c>
      <c r="K70" s="47" t="n">
        <f aca="false">'Fault &amp; Downtime Entry'!K71</f>
        <v>0</v>
      </c>
      <c r="L70" s="47" t="n">
        <f aca="false">'Fault &amp; Downtime Entry'!L71</f>
        <v>0</v>
      </c>
      <c r="M70" s="47" t="str">
        <f aca="false">'Fault &amp; Downtime Entry'!M71</f>
        <v/>
      </c>
      <c r="N70" s="47" t="n">
        <f aca="false">'Fault &amp; Downtime Entry'!N71</f>
        <v>0</v>
      </c>
      <c r="O70" s="47" t="n">
        <f aca="false">'Fault &amp; Downtime Entry'!O71</f>
        <v>0</v>
      </c>
      <c r="P70" s="47" t="str">
        <f aca="false">IF(OR(J70="",K70=""),"",IFERROR(J70/K70*1000,0))</f>
        <v/>
      </c>
      <c r="Q70" s="47" t="str">
        <f aca="false">IF(OR(L70="",K70=""),"",IFERROR(L70/K70*1000,0))</f>
        <v/>
      </c>
      <c r="R70" s="47" t="str">
        <f aca="false">IF(OR(M70="High",M70="Critical"),"YES","")</f>
        <v/>
      </c>
    </row>
    <row r="71" customFormat="false" ht="15" hidden="false" customHeight="true" outlineLevel="0" collapsed="false">
      <c r="A71" s="47" t="n">
        <f aca="false">'Fault &amp; Downtime Entry'!A72</f>
        <v>67</v>
      </c>
      <c r="B71" s="48" t="n">
        <f aca="false">'Fault &amp; Downtime Entry'!B72</f>
        <v>0</v>
      </c>
      <c r="C71" s="47" t="n">
        <f aca="false">'Fault &amp; Downtime Entry'!C72</f>
        <v>0</v>
      </c>
      <c r="D71" s="47" t="n">
        <f aca="false">'Fault &amp; Downtime Entry'!D72</f>
        <v>0</v>
      </c>
      <c r="E71" s="47" t="n">
        <f aca="false">'Fault &amp; Downtime Entry'!E72</f>
        <v>0</v>
      </c>
      <c r="F71" s="47" t="str">
        <f aca="false">'Fault &amp; Downtime Entry'!F72</f>
        <v/>
      </c>
      <c r="G71" s="47" t="n">
        <f aca="false">'Fault &amp; Downtime Entry'!G72</f>
        <v>0</v>
      </c>
      <c r="H71" s="47" t="str">
        <f aca="false">'Fault &amp; Downtime Entry'!H72</f>
        <v/>
      </c>
      <c r="I71" s="47" t="str">
        <f aca="false">'Fault &amp; Downtime Entry'!I72</f>
        <v/>
      </c>
      <c r="J71" s="47" t="n">
        <f aca="false">'Fault &amp; Downtime Entry'!J72</f>
        <v>0</v>
      </c>
      <c r="K71" s="47" t="n">
        <f aca="false">'Fault &amp; Downtime Entry'!K72</f>
        <v>0</v>
      </c>
      <c r="L71" s="47" t="n">
        <f aca="false">'Fault &amp; Downtime Entry'!L72</f>
        <v>0</v>
      </c>
      <c r="M71" s="47" t="str">
        <f aca="false">'Fault &amp; Downtime Entry'!M72</f>
        <v/>
      </c>
      <c r="N71" s="47" t="n">
        <f aca="false">'Fault &amp; Downtime Entry'!N72</f>
        <v>0</v>
      </c>
      <c r="O71" s="47" t="n">
        <f aca="false">'Fault &amp; Downtime Entry'!O72</f>
        <v>0</v>
      </c>
      <c r="P71" s="47" t="str">
        <f aca="false">IF(OR(J71="",K71=""),"",IFERROR(J71/K71*1000,0))</f>
        <v/>
      </c>
      <c r="Q71" s="47" t="str">
        <f aca="false">IF(OR(L71="",K71=""),"",IFERROR(L71/K71*1000,0))</f>
        <v/>
      </c>
      <c r="R71" s="47" t="str">
        <f aca="false">IF(OR(M71="High",M71="Critical"),"YES","")</f>
        <v/>
      </c>
    </row>
    <row r="72" customFormat="false" ht="15" hidden="false" customHeight="true" outlineLevel="0" collapsed="false">
      <c r="A72" s="47" t="n">
        <f aca="false">'Fault &amp; Downtime Entry'!A73</f>
        <v>68</v>
      </c>
      <c r="B72" s="48" t="n">
        <f aca="false">'Fault &amp; Downtime Entry'!B73</f>
        <v>0</v>
      </c>
      <c r="C72" s="47" t="n">
        <f aca="false">'Fault &amp; Downtime Entry'!C73</f>
        <v>0</v>
      </c>
      <c r="D72" s="47" t="n">
        <f aca="false">'Fault &amp; Downtime Entry'!D73</f>
        <v>0</v>
      </c>
      <c r="E72" s="47" t="n">
        <f aca="false">'Fault &amp; Downtime Entry'!E73</f>
        <v>0</v>
      </c>
      <c r="F72" s="47" t="str">
        <f aca="false">'Fault &amp; Downtime Entry'!F73</f>
        <v/>
      </c>
      <c r="G72" s="47" t="n">
        <f aca="false">'Fault &amp; Downtime Entry'!G73</f>
        <v>0</v>
      </c>
      <c r="H72" s="47" t="str">
        <f aca="false">'Fault &amp; Downtime Entry'!H73</f>
        <v/>
      </c>
      <c r="I72" s="47" t="str">
        <f aca="false">'Fault &amp; Downtime Entry'!I73</f>
        <v/>
      </c>
      <c r="J72" s="47" t="n">
        <f aca="false">'Fault &amp; Downtime Entry'!J73</f>
        <v>0</v>
      </c>
      <c r="K72" s="47" t="n">
        <f aca="false">'Fault &amp; Downtime Entry'!K73</f>
        <v>0</v>
      </c>
      <c r="L72" s="47" t="n">
        <f aca="false">'Fault &amp; Downtime Entry'!L73</f>
        <v>0</v>
      </c>
      <c r="M72" s="47" t="str">
        <f aca="false">'Fault &amp; Downtime Entry'!M73</f>
        <v/>
      </c>
      <c r="N72" s="47" t="n">
        <f aca="false">'Fault &amp; Downtime Entry'!N73</f>
        <v>0</v>
      </c>
      <c r="O72" s="47" t="n">
        <f aca="false">'Fault &amp; Downtime Entry'!O73</f>
        <v>0</v>
      </c>
      <c r="P72" s="47" t="str">
        <f aca="false">IF(OR(J72="",K72=""),"",IFERROR(J72/K72*1000,0))</f>
        <v/>
      </c>
      <c r="Q72" s="47" t="str">
        <f aca="false">IF(OR(L72="",K72=""),"",IFERROR(L72/K72*1000,0))</f>
        <v/>
      </c>
      <c r="R72" s="47" t="str">
        <f aca="false">IF(OR(M72="High",M72="Critical"),"YES","")</f>
        <v/>
      </c>
    </row>
    <row r="73" customFormat="false" ht="15" hidden="false" customHeight="true" outlineLevel="0" collapsed="false">
      <c r="A73" s="47" t="n">
        <f aca="false">'Fault &amp; Downtime Entry'!A74</f>
        <v>69</v>
      </c>
      <c r="B73" s="48" t="n">
        <f aca="false">'Fault &amp; Downtime Entry'!B74</f>
        <v>0</v>
      </c>
      <c r="C73" s="47" t="n">
        <f aca="false">'Fault &amp; Downtime Entry'!C74</f>
        <v>0</v>
      </c>
      <c r="D73" s="47" t="n">
        <f aca="false">'Fault &amp; Downtime Entry'!D74</f>
        <v>0</v>
      </c>
      <c r="E73" s="47" t="n">
        <f aca="false">'Fault &amp; Downtime Entry'!E74</f>
        <v>0</v>
      </c>
      <c r="F73" s="47" t="str">
        <f aca="false">'Fault &amp; Downtime Entry'!F74</f>
        <v/>
      </c>
      <c r="G73" s="47" t="n">
        <f aca="false">'Fault &amp; Downtime Entry'!G74</f>
        <v>0</v>
      </c>
      <c r="H73" s="47" t="str">
        <f aca="false">'Fault &amp; Downtime Entry'!H74</f>
        <v/>
      </c>
      <c r="I73" s="47" t="str">
        <f aca="false">'Fault &amp; Downtime Entry'!I74</f>
        <v/>
      </c>
      <c r="J73" s="47" t="n">
        <f aca="false">'Fault &amp; Downtime Entry'!J74</f>
        <v>0</v>
      </c>
      <c r="K73" s="47" t="n">
        <f aca="false">'Fault &amp; Downtime Entry'!K74</f>
        <v>0</v>
      </c>
      <c r="L73" s="47" t="n">
        <f aca="false">'Fault &amp; Downtime Entry'!L74</f>
        <v>0</v>
      </c>
      <c r="M73" s="47" t="str">
        <f aca="false">'Fault &amp; Downtime Entry'!M74</f>
        <v/>
      </c>
      <c r="N73" s="47" t="n">
        <f aca="false">'Fault &amp; Downtime Entry'!N74</f>
        <v>0</v>
      </c>
      <c r="O73" s="47" t="n">
        <f aca="false">'Fault &amp; Downtime Entry'!O74</f>
        <v>0</v>
      </c>
      <c r="P73" s="47" t="str">
        <f aca="false">IF(OR(J73="",K73=""),"",IFERROR(J73/K73*1000,0))</f>
        <v/>
      </c>
      <c r="Q73" s="47" t="str">
        <f aca="false">IF(OR(L73="",K73=""),"",IFERROR(L73/K73*1000,0))</f>
        <v/>
      </c>
      <c r="R73" s="47" t="str">
        <f aca="false">IF(OR(M73="High",M73="Critical"),"YES","")</f>
        <v/>
      </c>
    </row>
    <row r="74" customFormat="false" ht="15" hidden="false" customHeight="true" outlineLevel="0" collapsed="false">
      <c r="A74" s="47" t="n">
        <f aca="false">'Fault &amp; Downtime Entry'!A75</f>
        <v>70</v>
      </c>
      <c r="B74" s="48" t="n">
        <f aca="false">'Fault &amp; Downtime Entry'!B75</f>
        <v>0</v>
      </c>
      <c r="C74" s="47" t="n">
        <f aca="false">'Fault &amp; Downtime Entry'!C75</f>
        <v>0</v>
      </c>
      <c r="D74" s="47" t="n">
        <f aca="false">'Fault &amp; Downtime Entry'!D75</f>
        <v>0</v>
      </c>
      <c r="E74" s="47" t="n">
        <f aca="false">'Fault &amp; Downtime Entry'!E75</f>
        <v>0</v>
      </c>
      <c r="F74" s="47" t="str">
        <f aca="false">'Fault &amp; Downtime Entry'!F75</f>
        <v/>
      </c>
      <c r="G74" s="47" t="n">
        <f aca="false">'Fault &amp; Downtime Entry'!G75</f>
        <v>0</v>
      </c>
      <c r="H74" s="47" t="str">
        <f aca="false">'Fault &amp; Downtime Entry'!H75</f>
        <v/>
      </c>
      <c r="I74" s="47" t="str">
        <f aca="false">'Fault &amp; Downtime Entry'!I75</f>
        <v/>
      </c>
      <c r="J74" s="47" t="n">
        <f aca="false">'Fault &amp; Downtime Entry'!J75</f>
        <v>0</v>
      </c>
      <c r="K74" s="47" t="n">
        <f aca="false">'Fault &amp; Downtime Entry'!K75</f>
        <v>0</v>
      </c>
      <c r="L74" s="47" t="n">
        <f aca="false">'Fault &amp; Downtime Entry'!L75</f>
        <v>0</v>
      </c>
      <c r="M74" s="47" t="str">
        <f aca="false">'Fault &amp; Downtime Entry'!M75</f>
        <v/>
      </c>
      <c r="N74" s="47" t="n">
        <f aca="false">'Fault &amp; Downtime Entry'!N75</f>
        <v>0</v>
      </c>
      <c r="O74" s="47" t="n">
        <f aca="false">'Fault &amp; Downtime Entry'!O75</f>
        <v>0</v>
      </c>
      <c r="P74" s="47" t="str">
        <f aca="false">IF(OR(J74="",K74=""),"",IFERROR(J74/K74*1000,0))</f>
        <v/>
      </c>
      <c r="Q74" s="47" t="str">
        <f aca="false">IF(OR(L74="",K74=""),"",IFERROR(L74/K74*1000,0))</f>
        <v/>
      </c>
      <c r="R74" s="47" t="str">
        <f aca="false">IF(OR(M74="High",M74="Critical"),"YES","")</f>
        <v/>
      </c>
    </row>
    <row r="75" customFormat="false" ht="15" hidden="false" customHeight="true" outlineLevel="0" collapsed="false">
      <c r="A75" s="47" t="n">
        <f aca="false">'Fault &amp; Downtime Entry'!A76</f>
        <v>71</v>
      </c>
      <c r="B75" s="48" t="n">
        <f aca="false">'Fault &amp; Downtime Entry'!B76</f>
        <v>0</v>
      </c>
      <c r="C75" s="47" t="n">
        <f aca="false">'Fault &amp; Downtime Entry'!C76</f>
        <v>0</v>
      </c>
      <c r="D75" s="47" t="n">
        <f aca="false">'Fault &amp; Downtime Entry'!D76</f>
        <v>0</v>
      </c>
      <c r="E75" s="47" t="n">
        <f aca="false">'Fault &amp; Downtime Entry'!E76</f>
        <v>0</v>
      </c>
      <c r="F75" s="47" t="str">
        <f aca="false">'Fault &amp; Downtime Entry'!F76</f>
        <v/>
      </c>
      <c r="G75" s="47" t="n">
        <f aca="false">'Fault &amp; Downtime Entry'!G76</f>
        <v>0</v>
      </c>
      <c r="H75" s="47" t="str">
        <f aca="false">'Fault &amp; Downtime Entry'!H76</f>
        <v/>
      </c>
      <c r="I75" s="47" t="str">
        <f aca="false">'Fault &amp; Downtime Entry'!I76</f>
        <v/>
      </c>
      <c r="J75" s="47" t="n">
        <f aca="false">'Fault &amp; Downtime Entry'!J76</f>
        <v>0</v>
      </c>
      <c r="K75" s="47" t="n">
        <f aca="false">'Fault &amp; Downtime Entry'!K76</f>
        <v>0</v>
      </c>
      <c r="L75" s="47" t="n">
        <f aca="false">'Fault &amp; Downtime Entry'!L76</f>
        <v>0</v>
      </c>
      <c r="M75" s="47" t="str">
        <f aca="false">'Fault &amp; Downtime Entry'!M76</f>
        <v/>
      </c>
      <c r="N75" s="47" t="n">
        <f aca="false">'Fault &amp; Downtime Entry'!N76</f>
        <v>0</v>
      </c>
      <c r="O75" s="47" t="n">
        <f aca="false">'Fault &amp; Downtime Entry'!O76</f>
        <v>0</v>
      </c>
      <c r="P75" s="47" t="str">
        <f aca="false">IF(OR(J75="",K75=""),"",IFERROR(J75/K75*1000,0))</f>
        <v/>
      </c>
      <c r="Q75" s="47" t="str">
        <f aca="false">IF(OR(L75="",K75=""),"",IFERROR(L75/K75*1000,0))</f>
        <v/>
      </c>
      <c r="R75" s="47" t="str">
        <f aca="false">IF(OR(M75="High",M75="Critical"),"YES","")</f>
        <v/>
      </c>
    </row>
    <row r="76" customFormat="false" ht="15" hidden="false" customHeight="true" outlineLevel="0" collapsed="false">
      <c r="A76" s="47" t="n">
        <f aca="false">'Fault &amp; Downtime Entry'!A77</f>
        <v>72</v>
      </c>
      <c r="B76" s="48" t="n">
        <f aca="false">'Fault &amp; Downtime Entry'!B77</f>
        <v>0</v>
      </c>
      <c r="C76" s="47" t="n">
        <f aca="false">'Fault &amp; Downtime Entry'!C77</f>
        <v>0</v>
      </c>
      <c r="D76" s="47" t="n">
        <f aca="false">'Fault &amp; Downtime Entry'!D77</f>
        <v>0</v>
      </c>
      <c r="E76" s="47" t="n">
        <f aca="false">'Fault &amp; Downtime Entry'!E77</f>
        <v>0</v>
      </c>
      <c r="F76" s="47" t="str">
        <f aca="false">'Fault &amp; Downtime Entry'!F77</f>
        <v/>
      </c>
      <c r="G76" s="47" t="n">
        <f aca="false">'Fault &amp; Downtime Entry'!G77</f>
        <v>0</v>
      </c>
      <c r="H76" s="47" t="str">
        <f aca="false">'Fault &amp; Downtime Entry'!H77</f>
        <v/>
      </c>
      <c r="I76" s="47" t="str">
        <f aca="false">'Fault &amp; Downtime Entry'!I77</f>
        <v/>
      </c>
      <c r="J76" s="47" t="n">
        <f aca="false">'Fault &amp; Downtime Entry'!J77</f>
        <v>0</v>
      </c>
      <c r="K76" s="47" t="n">
        <f aca="false">'Fault &amp; Downtime Entry'!K77</f>
        <v>0</v>
      </c>
      <c r="L76" s="47" t="n">
        <f aca="false">'Fault &amp; Downtime Entry'!L77</f>
        <v>0</v>
      </c>
      <c r="M76" s="47" t="str">
        <f aca="false">'Fault &amp; Downtime Entry'!M77</f>
        <v/>
      </c>
      <c r="N76" s="47" t="n">
        <f aca="false">'Fault &amp; Downtime Entry'!N77</f>
        <v>0</v>
      </c>
      <c r="O76" s="47" t="n">
        <f aca="false">'Fault &amp; Downtime Entry'!O77</f>
        <v>0</v>
      </c>
      <c r="P76" s="47" t="str">
        <f aca="false">IF(OR(J76="",K76=""),"",IFERROR(J76/K76*1000,0))</f>
        <v/>
      </c>
      <c r="Q76" s="47" t="str">
        <f aca="false">IF(OR(L76="",K76=""),"",IFERROR(L76/K76*1000,0))</f>
        <v/>
      </c>
      <c r="R76" s="47" t="str">
        <f aca="false">IF(OR(M76="High",M76="Critical"),"YES","")</f>
        <v/>
      </c>
    </row>
    <row r="77" customFormat="false" ht="15" hidden="false" customHeight="true" outlineLevel="0" collapsed="false">
      <c r="A77" s="47" t="n">
        <f aca="false">'Fault &amp; Downtime Entry'!A78</f>
        <v>73</v>
      </c>
      <c r="B77" s="48" t="n">
        <f aca="false">'Fault &amp; Downtime Entry'!B78</f>
        <v>0</v>
      </c>
      <c r="C77" s="47" t="n">
        <f aca="false">'Fault &amp; Downtime Entry'!C78</f>
        <v>0</v>
      </c>
      <c r="D77" s="47" t="n">
        <f aca="false">'Fault &amp; Downtime Entry'!D78</f>
        <v>0</v>
      </c>
      <c r="E77" s="47" t="n">
        <f aca="false">'Fault &amp; Downtime Entry'!E78</f>
        <v>0</v>
      </c>
      <c r="F77" s="47" t="str">
        <f aca="false">'Fault &amp; Downtime Entry'!F78</f>
        <v/>
      </c>
      <c r="G77" s="47" t="n">
        <f aca="false">'Fault &amp; Downtime Entry'!G78</f>
        <v>0</v>
      </c>
      <c r="H77" s="47" t="str">
        <f aca="false">'Fault &amp; Downtime Entry'!H78</f>
        <v/>
      </c>
      <c r="I77" s="47" t="str">
        <f aca="false">'Fault &amp; Downtime Entry'!I78</f>
        <v/>
      </c>
      <c r="J77" s="47" t="n">
        <f aca="false">'Fault &amp; Downtime Entry'!J78</f>
        <v>0</v>
      </c>
      <c r="K77" s="47" t="n">
        <f aca="false">'Fault &amp; Downtime Entry'!K78</f>
        <v>0</v>
      </c>
      <c r="L77" s="47" t="n">
        <f aca="false">'Fault &amp; Downtime Entry'!L78</f>
        <v>0</v>
      </c>
      <c r="M77" s="47" t="str">
        <f aca="false">'Fault &amp; Downtime Entry'!M78</f>
        <v/>
      </c>
      <c r="N77" s="47" t="n">
        <f aca="false">'Fault &amp; Downtime Entry'!N78</f>
        <v>0</v>
      </c>
      <c r="O77" s="47" t="n">
        <f aca="false">'Fault &amp; Downtime Entry'!O78</f>
        <v>0</v>
      </c>
      <c r="P77" s="47" t="str">
        <f aca="false">IF(OR(J77="",K77=""),"",IFERROR(J77/K77*1000,0))</f>
        <v/>
      </c>
      <c r="Q77" s="47" t="str">
        <f aca="false">IF(OR(L77="",K77=""),"",IFERROR(L77/K77*1000,0))</f>
        <v/>
      </c>
      <c r="R77" s="47" t="str">
        <f aca="false">IF(OR(M77="High",M77="Critical"),"YES","")</f>
        <v/>
      </c>
    </row>
    <row r="78" customFormat="false" ht="15" hidden="false" customHeight="true" outlineLevel="0" collapsed="false">
      <c r="A78" s="47" t="n">
        <f aca="false">'Fault &amp; Downtime Entry'!A79</f>
        <v>74</v>
      </c>
      <c r="B78" s="48" t="n">
        <f aca="false">'Fault &amp; Downtime Entry'!B79</f>
        <v>0</v>
      </c>
      <c r="C78" s="47" t="n">
        <f aca="false">'Fault &amp; Downtime Entry'!C79</f>
        <v>0</v>
      </c>
      <c r="D78" s="47" t="n">
        <f aca="false">'Fault &amp; Downtime Entry'!D79</f>
        <v>0</v>
      </c>
      <c r="E78" s="47" t="n">
        <f aca="false">'Fault &amp; Downtime Entry'!E79</f>
        <v>0</v>
      </c>
      <c r="F78" s="47" t="str">
        <f aca="false">'Fault &amp; Downtime Entry'!F79</f>
        <v/>
      </c>
      <c r="G78" s="47" t="n">
        <f aca="false">'Fault &amp; Downtime Entry'!G79</f>
        <v>0</v>
      </c>
      <c r="H78" s="47" t="str">
        <f aca="false">'Fault &amp; Downtime Entry'!H79</f>
        <v/>
      </c>
      <c r="I78" s="47" t="str">
        <f aca="false">'Fault &amp; Downtime Entry'!I79</f>
        <v/>
      </c>
      <c r="J78" s="47" t="n">
        <f aca="false">'Fault &amp; Downtime Entry'!J79</f>
        <v>0</v>
      </c>
      <c r="K78" s="47" t="n">
        <f aca="false">'Fault &amp; Downtime Entry'!K79</f>
        <v>0</v>
      </c>
      <c r="L78" s="47" t="n">
        <f aca="false">'Fault &amp; Downtime Entry'!L79</f>
        <v>0</v>
      </c>
      <c r="M78" s="47" t="str">
        <f aca="false">'Fault &amp; Downtime Entry'!M79</f>
        <v/>
      </c>
      <c r="N78" s="47" t="n">
        <f aca="false">'Fault &amp; Downtime Entry'!N79</f>
        <v>0</v>
      </c>
      <c r="O78" s="47" t="n">
        <f aca="false">'Fault &amp; Downtime Entry'!O79</f>
        <v>0</v>
      </c>
      <c r="P78" s="47" t="str">
        <f aca="false">IF(OR(J78="",K78=""),"",IFERROR(J78/K78*1000,0))</f>
        <v/>
      </c>
      <c r="Q78" s="47" t="str">
        <f aca="false">IF(OR(L78="",K78=""),"",IFERROR(L78/K78*1000,0))</f>
        <v/>
      </c>
      <c r="R78" s="47" t="str">
        <f aca="false">IF(OR(M78="High",M78="Critical"),"YES","")</f>
        <v/>
      </c>
    </row>
    <row r="79" customFormat="false" ht="15" hidden="false" customHeight="true" outlineLevel="0" collapsed="false">
      <c r="A79" s="47" t="n">
        <f aca="false">'Fault &amp; Downtime Entry'!A80</f>
        <v>75</v>
      </c>
      <c r="B79" s="48" t="n">
        <f aca="false">'Fault &amp; Downtime Entry'!B80</f>
        <v>0</v>
      </c>
      <c r="C79" s="47" t="n">
        <f aca="false">'Fault &amp; Downtime Entry'!C80</f>
        <v>0</v>
      </c>
      <c r="D79" s="47" t="n">
        <f aca="false">'Fault &amp; Downtime Entry'!D80</f>
        <v>0</v>
      </c>
      <c r="E79" s="47" t="n">
        <f aca="false">'Fault &amp; Downtime Entry'!E80</f>
        <v>0</v>
      </c>
      <c r="F79" s="47" t="str">
        <f aca="false">'Fault &amp; Downtime Entry'!F80</f>
        <v/>
      </c>
      <c r="G79" s="47" t="n">
        <f aca="false">'Fault &amp; Downtime Entry'!G80</f>
        <v>0</v>
      </c>
      <c r="H79" s="47" t="str">
        <f aca="false">'Fault &amp; Downtime Entry'!H80</f>
        <v/>
      </c>
      <c r="I79" s="47" t="str">
        <f aca="false">'Fault &amp; Downtime Entry'!I80</f>
        <v/>
      </c>
      <c r="J79" s="47" t="n">
        <f aca="false">'Fault &amp; Downtime Entry'!J80</f>
        <v>0</v>
      </c>
      <c r="K79" s="47" t="n">
        <f aca="false">'Fault &amp; Downtime Entry'!K80</f>
        <v>0</v>
      </c>
      <c r="L79" s="47" t="n">
        <f aca="false">'Fault &amp; Downtime Entry'!L80</f>
        <v>0</v>
      </c>
      <c r="M79" s="47" t="str">
        <f aca="false">'Fault &amp; Downtime Entry'!M80</f>
        <v/>
      </c>
      <c r="N79" s="47" t="n">
        <f aca="false">'Fault &amp; Downtime Entry'!N80</f>
        <v>0</v>
      </c>
      <c r="O79" s="47" t="n">
        <f aca="false">'Fault &amp; Downtime Entry'!O80</f>
        <v>0</v>
      </c>
      <c r="P79" s="47" t="str">
        <f aca="false">IF(OR(J79="",K79=""),"",IFERROR(J79/K79*1000,0))</f>
        <v/>
      </c>
      <c r="Q79" s="47" t="str">
        <f aca="false">IF(OR(L79="",K79=""),"",IFERROR(L79/K79*1000,0))</f>
        <v/>
      </c>
      <c r="R79" s="47" t="str">
        <f aca="false">IF(OR(M79="High",M79="Critical"),"YES","")</f>
        <v/>
      </c>
    </row>
    <row r="80" customFormat="false" ht="15" hidden="false" customHeight="true" outlineLevel="0" collapsed="false">
      <c r="A80" s="47" t="n">
        <f aca="false">'Fault &amp; Downtime Entry'!A81</f>
        <v>76</v>
      </c>
      <c r="B80" s="48" t="n">
        <f aca="false">'Fault &amp; Downtime Entry'!B81</f>
        <v>0</v>
      </c>
      <c r="C80" s="47" t="n">
        <f aca="false">'Fault &amp; Downtime Entry'!C81</f>
        <v>0</v>
      </c>
      <c r="D80" s="47" t="n">
        <f aca="false">'Fault &amp; Downtime Entry'!D81</f>
        <v>0</v>
      </c>
      <c r="E80" s="47" t="n">
        <f aca="false">'Fault &amp; Downtime Entry'!E81</f>
        <v>0</v>
      </c>
      <c r="F80" s="47" t="str">
        <f aca="false">'Fault &amp; Downtime Entry'!F81</f>
        <v/>
      </c>
      <c r="G80" s="47" t="n">
        <f aca="false">'Fault &amp; Downtime Entry'!G81</f>
        <v>0</v>
      </c>
      <c r="H80" s="47" t="str">
        <f aca="false">'Fault &amp; Downtime Entry'!H81</f>
        <v/>
      </c>
      <c r="I80" s="47" t="str">
        <f aca="false">'Fault &amp; Downtime Entry'!I81</f>
        <v/>
      </c>
      <c r="J80" s="47" t="n">
        <f aca="false">'Fault &amp; Downtime Entry'!J81</f>
        <v>0</v>
      </c>
      <c r="K80" s="47" t="n">
        <f aca="false">'Fault &amp; Downtime Entry'!K81</f>
        <v>0</v>
      </c>
      <c r="L80" s="47" t="n">
        <f aca="false">'Fault &amp; Downtime Entry'!L81</f>
        <v>0</v>
      </c>
      <c r="M80" s="47" t="str">
        <f aca="false">'Fault &amp; Downtime Entry'!M81</f>
        <v/>
      </c>
      <c r="N80" s="47" t="n">
        <f aca="false">'Fault &amp; Downtime Entry'!N81</f>
        <v>0</v>
      </c>
      <c r="O80" s="47" t="n">
        <f aca="false">'Fault &amp; Downtime Entry'!O81</f>
        <v>0</v>
      </c>
      <c r="P80" s="47" t="str">
        <f aca="false">IF(OR(J80="",K80=""),"",IFERROR(J80/K80*1000,0))</f>
        <v/>
      </c>
      <c r="Q80" s="47" t="str">
        <f aca="false">IF(OR(L80="",K80=""),"",IFERROR(L80/K80*1000,0))</f>
        <v/>
      </c>
      <c r="R80" s="47" t="str">
        <f aca="false">IF(OR(M80="High",M80="Critical"),"YES","")</f>
        <v/>
      </c>
    </row>
    <row r="81" customFormat="false" ht="15" hidden="false" customHeight="true" outlineLevel="0" collapsed="false">
      <c r="A81" s="47" t="n">
        <f aca="false">'Fault &amp; Downtime Entry'!A82</f>
        <v>77</v>
      </c>
      <c r="B81" s="48" t="n">
        <f aca="false">'Fault &amp; Downtime Entry'!B82</f>
        <v>0</v>
      </c>
      <c r="C81" s="47" t="n">
        <f aca="false">'Fault &amp; Downtime Entry'!C82</f>
        <v>0</v>
      </c>
      <c r="D81" s="47" t="n">
        <f aca="false">'Fault &amp; Downtime Entry'!D82</f>
        <v>0</v>
      </c>
      <c r="E81" s="47" t="n">
        <f aca="false">'Fault &amp; Downtime Entry'!E82</f>
        <v>0</v>
      </c>
      <c r="F81" s="47" t="str">
        <f aca="false">'Fault &amp; Downtime Entry'!F82</f>
        <v/>
      </c>
      <c r="G81" s="47" t="n">
        <f aca="false">'Fault &amp; Downtime Entry'!G82</f>
        <v>0</v>
      </c>
      <c r="H81" s="47" t="str">
        <f aca="false">'Fault &amp; Downtime Entry'!H82</f>
        <v/>
      </c>
      <c r="I81" s="47" t="str">
        <f aca="false">'Fault &amp; Downtime Entry'!I82</f>
        <v/>
      </c>
      <c r="J81" s="47" t="n">
        <f aca="false">'Fault &amp; Downtime Entry'!J82</f>
        <v>0</v>
      </c>
      <c r="K81" s="47" t="n">
        <f aca="false">'Fault &amp; Downtime Entry'!K82</f>
        <v>0</v>
      </c>
      <c r="L81" s="47" t="n">
        <f aca="false">'Fault &amp; Downtime Entry'!L82</f>
        <v>0</v>
      </c>
      <c r="M81" s="47" t="str">
        <f aca="false">'Fault &amp; Downtime Entry'!M82</f>
        <v/>
      </c>
      <c r="N81" s="47" t="n">
        <f aca="false">'Fault &amp; Downtime Entry'!N82</f>
        <v>0</v>
      </c>
      <c r="O81" s="47" t="n">
        <f aca="false">'Fault &amp; Downtime Entry'!O82</f>
        <v>0</v>
      </c>
      <c r="P81" s="47" t="str">
        <f aca="false">IF(OR(J81="",K81=""),"",IFERROR(J81/K81*1000,0))</f>
        <v/>
      </c>
      <c r="Q81" s="47" t="str">
        <f aca="false">IF(OR(L81="",K81=""),"",IFERROR(L81/K81*1000,0))</f>
        <v/>
      </c>
      <c r="R81" s="47" t="str">
        <f aca="false">IF(OR(M81="High",M81="Critical"),"YES","")</f>
        <v/>
      </c>
    </row>
    <row r="82" customFormat="false" ht="15" hidden="false" customHeight="true" outlineLevel="0" collapsed="false">
      <c r="A82" s="47" t="n">
        <f aca="false">'Fault &amp; Downtime Entry'!A83</f>
        <v>78</v>
      </c>
      <c r="B82" s="48" t="n">
        <f aca="false">'Fault &amp; Downtime Entry'!B83</f>
        <v>0</v>
      </c>
      <c r="C82" s="47" t="n">
        <f aca="false">'Fault &amp; Downtime Entry'!C83</f>
        <v>0</v>
      </c>
      <c r="D82" s="47" t="n">
        <f aca="false">'Fault &amp; Downtime Entry'!D83</f>
        <v>0</v>
      </c>
      <c r="E82" s="47" t="n">
        <f aca="false">'Fault &amp; Downtime Entry'!E83</f>
        <v>0</v>
      </c>
      <c r="F82" s="47" t="str">
        <f aca="false">'Fault &amp; Downtime Entry'!F83</f>
        <v/>
      </c>
      <c r="G82" s="47" t="n">
        <f aca="false">'Fault &amp; Downtime Entry'!G83</f>
        <v>0</v>
      </c>
      <c r="H82" s="47" t="str">
        <f aca="false">'Fault &amp; Downtime Entry'!H83</f>
        <v/>
      </c>
      <c r="I82" s="47" t="str">
        <f aca="false">'Fault &amp; Downtime Entry'!I83</f>
        <v/>
      </c>
      <c r="J82" s="47" t="n">
        <f aca="false">'Fault &amp; Downtime Entry'!J83</f>
        <v>0</v>
      </c>
      <c r="K82" s="47" t="n">
        <f aca="false">'Fault &amp; Downtime Entry'!K83</f>
        <v>0</v>
      </c>
      <c r="L82" s="47" t="n">
        <f aca="false">'Fault &amp; Downtime Entry'!L83</f>
        <v>0</v>
      </c>
      <c r="M82" s="47" t="str">
        <f aca="false">'Fault &amp; Downtime Entry'!M83</f>
        <v/>
      </c>
      <c r="N82" s="47" t="n">
        <f aca="false">'Fault &amp; Downtime Entry'!N83</f>
        <v>0</v>
      </c>
      <c r="O82" s="47" t="n">
        <f aca="false">'Fault &amp; Downtime Entry'!O83</f>
        <v>0</v>
      </c>
      <c r="P82" s="47" t="str">
        <f aca="false">IF(OR(J82="",K82=""),"",IFERROR(J82/K82*1000,0))</f>
        <v/>
      </c>
      <c r="Q82" s="47" t="str">
        <f aca="false">IF(OR(L82="",K82=""),"",IFERROR(L82/K82*1000,0))</f>
        <v/>
      </c>
      <c r="R82" s="47" t="str">
        <f aca="false">IF(OR(M82="High",M82="Critical"),"YES","")</f>
        <v/>
      </c>
    </row>
    <row r="83" customFormat="false" ht="15" hidden="false" customHeight="true" outlineLevel="0" collapsed="false">
      <c r="A83" s="47" t="n">
        <f aca="false">'Fault &amp; Downtime Entry'!A84</f>
        <v>79</v>
      </c>
      <c r="B83" s="48" t="n">
        <f aca="false">'Fault &amp; Downtime Entry'!B84</f>
        <v>0</v>
      </c>
      <c r="C83" s="47" t="n">
        <f aca="false">'Fault &amp; Downtime Entry'!C84</f>
        <v>0</v>
      </c>
      <c r="D83" s="47" t="n">
        <f aca="false">'Fault &amp; Downtime Entry'!D84</f>
        <v>0</v>
      </c>
      <c r="E83" s="47" t="n">
        <f aca="false">'Fault &amp; Downtime Entry'!E84</f>
        <v>0</v>
      </c>
      <c r="F83" s="47" t="str">
        <f aca="false">'Fault &amp; Downtime Entry'!F84</f>
        <v/>
      </c>
      <c r="G83" s="47" t="n">
        <f aca="false">'Fault &amp; Downtime Entry'!G84</f>
        <v>0</v>
      </c>
      <c r="H83" s="47" t="str">
        <f aca="false">'Fault &amp; Downtime Entry'!H84</f>
        <v/>
      </c>
      <c r="I83" s="47" t="str">
        <f aca="false">'Fault &amp; Downtime Entry'!I84</f>
        <v/>
      </c>
      <c r="J83" s="47" t="n">
        <f aca="false">'Fault &amp; Downtime Entry'!J84</f>
        <v>0</v>
      </c>
      <c r="K83" s="47" t="n">
        <f aca="false">'Fault &amp; Downtime Entry'!K84</f>
        <v>0</v>
      </c>
      <c r="L83" s="47" t="n">
        <f aca="false">'Fault &amp; Downtime Entry'!L84</f>
        <v>0</v>
      </c>
      <c r="M83" s="47" t="str">
        <f aca="false">'Fault &amp; Downtime Entry'!M84</f>
        <v/>
      </c>
      <c r="N83" s="47" t="n">
        <f aca="false">'Fault &amp; Downtime Entry'!N84</f>
        <v>0</v>
      </c>
      <c r="O83" s="47" t="n">
        <f aca="false">'Fault &amp; Downtime Entry'!O84</f>
        <v>0</v>
      </c>
      <c r="P83" s="47" t="str">
        <f aca="false">IF(OR(J83="",K83=""),"",IFERROR(J83/K83*1000,0))</f>
        <v/>
      </c>
      <c r="Q83" s="47" t="str">
        <f aca="false">IF(OR(L83="",K83=""),"",IFERROR(L83/K83*1000,0))</f>
        <v/>
      </c>
      <c r="R83" s="47" t="str">
        <f aca="false">IF(OR(M83="High",M83="Critical"),"YES","")</f>
        <v/>
      </c>
    </row>
    <row r="84" customFormat="false" ht="15" hidden="false" customHeight="true" outlineLevel="0" collapsed="false">
      <c r="A84" s="47" t="n">
        <f aca="false">'Fault &amp; Downtime Entry'!A85</f>
        <v>80</v>
      </c>
      <c r="B84" s="48" t="n">
        <f aca="false">'Fault &amp; Downtime Entry'!B85</f>
        <v>0</v>
      </c>
      <c r="C84" s="47" t="n">
        <f aca="false">'Fault &amp; Downtime Entry'!C85</f>
        <v>0</v>
      </c>
      <c r="D84" s="47" t="n">
        <f aca="false">'Fault &amp; Downtime Entry'!D85</f>
        <v>0</v>
      </c>
      <c r="E84" s="47" t="n">
        <f aca="false">'Fault &amp; Downtime Entry'!E85</f>
        <v>0</v>
      </c>
      <c r="F84" s="47" t="str">
        <f aca="false">'Fault &amp; Downtime Entry'!F85</f>
        <v/>
      </c>
      <c r="G84" s="47" t="n">
        <f aca="false">'Fault &amp; Downtime Entry'!G85</f>
        <v>0</v>
      </c>
      <c r="H84" s="47" t="str">
        <f aca="false">'Fault &amp; Downtime Entry'!H85</f>
        <v/>
      </c>
      <c r="I84" s="47" t="str">
        <f aca="false">'Fault &amp; Downtime Entry'!I85</f>
        <v/>
      </c>
      <c r="J84" s="47" t="n">
        <f aca="false">'Fault &amp; Downtime Entry'!J85</f>
        <v>0</v>
      </c>
      <c r="K84" s="47" t="n">
        <f aca="false">'Fault &amp; Downtime Entry'!K85</f>
        <v>0</v>
      </c>
      <c r="L84" s="47" t="n">
        <f aca="false">'Fault &amp; Downtime Entry'!L85</f>
        <v>0</v>
      </c>
      <c r="M84" s="47" t="str">
        <f aca="false">'Fault &amp; Downtime Entry'!M85</f>
        <v/>
      </c>
      <c r="N84" s="47" t="n">
        <f aca="false">'Fault &amp; Downtime Entry'!N85</f>
        <v>0</v>
      </c>
      <c r="O84" s="47" t="n">
        <f aca="false">'Fault &amp; Downtime Entry'!O85</f>
        <v>0</v>
      </c>
      <c r="P84" s="47" t="str">
        <f aca="false">IF(OR(J84="",K84=""),"",IFERROR(J84/K84*1000,0))</f>
        <v/>
      </c>
      <c r="Q84" s="47" t="str">
        <f aca="false">IF(OR(L84="",K84=""),"",IFERROR(L84/K84*1000,0))</f>
        <v/>
      </c>
      <c r="R84" s="47" t="str">
        <f aca="false">IF(OR(M84="High",M84="Critical"),"YES","")</f>
        <v/>
      </c>
    </row>
    <row r="85" customFormat="false" ht="15" hidden="false" customHeight="true" outlineLevel="0" collapsed="false">
      <c r="A85" s="47" t="n">
        <f aca="false">'Fault &amp; Downtime Entry'!A86</f>
        <v>81</v>
      </c>
      <c r="B85" s="48" t="n">
        <f aca="false">'Fault &amp; Downtime Entry'!B86</f>
        <v>0</v>
      </c>
      <c r="C85" s="47" t="n">
        <f aca="false">'Fault &amp; Downtime Entry'!C86</f>
        <v>0</v>
      </c>
      <c r="D85" s="47" t="n">
        <f aca="false">'Fault &amp; Downtime Entry'!D86</f>
        <v>0</v>
      </c>
      <c r="E85" s="47" t="n">
        <f aca="false">'Fault &amp; Downtime Entry'!E86</f>
        <v>0</v>
      </c>
      <c r="F85" s="47" t="str">
        <f aca="false">'Fault &amp; Downtime Entry'!F86</f>
        <v/>
      </c>
      <c r="G85" s="47" t="n">
        <f aca="false">'Fault &amp; Downtime Entry'!G86</f>
        <v>0</v>
      </c>
      <c r="H85" s="47" t="str">
        <f aca="false">'Fault &amp; Downtime Entry'!H86</f>
        <v/>
      </c>
      <c r="I85" s="47" t="str">
        <f aca="false">'Fault &amp; Downtime Entry'!I86</f>
        <v/>
      </c>
      <c r="J85" s="47" t="n">
        <f aca="false">'Fault &amp; Downtime Entry'!J86</f>
        <v>0</v>
      </c>
      <c r="K85" s="47" t="n">
        <f aca="false">'Fault &amp; Downtime Entry'!K86</f>
        <v>0</v>
      </c>
      <c r="L85" s="47" t="n">
        <f aca="false">'Fault &amp; Downtime Entry'!L86</f>
        <v>0</v>
      </c>
      <c r="M85" s="47" t="str">
        <f aca="false">'Fault &amp; Downtime Entry'!M86</f>
        <v/>
      </c>
      <c r="N85" s="47" t="n">
        <f aca="false">'Fault &amp; Downtime Entry'!N86</f>
        <v>0</v>
      </c>
      <c r="O85" s="47" t="n">
        <f aca="false">'Fault &amp; Downtime Entry'!O86</f>
        <v>0</v>
      </c>
      <c r="P85" s="47" t="str">
        <f aca="false">IF(OR(J85="",K85=""),"",IFERROR(J85/K85*1000,0))</f>
        <v/>
      </c>
      <c r="Q85" s="47" t="str">
        <f aca="false">IF(OR(L85="",K85=""),"",IFERROR(L85/K85*1000,0))</f>
        <v/>
      </c>
      <c r="R85" s="47" t="str">
        <f aca="false">IF(OR(M85="High",M85="Critical"),"YES","")</f>
        <v/>
      </c>
    </row>
    <row r="86" customFormat="false" ht="15" hidden="false" customHeight="true" outlineLevel="0" collapsed="false">
      <c r="A86" s="47" t="n">
        <f aca="false">'Fault &amp; Downtime Entry'!A87</f>
        <v>82</v>
      </c>
      <c r="B86" s="48" t="n">
        <f aca="false">'Fault &amp; Downtime Entry'!B87</f>
        <v>0</v>
      </c>
      <c r="C86" s="47" t="n">
        <f aca="false">'Fault &amp; Downtime Entry'!C87</f>
        <v>0</v>
      </c>
      <c r="D86" s="47" t="n">
        <f aca="false">'Fault &amp; Downtime Entry'!D87</f>
        <v>0</v>
      </c>
      <c r="E86" s="47" t="n">
        <f aca="false">'Fault &amp; Downtime Entry'!E87</f>
        <v>0</v>
      </c>
      <c r="F86" s="47" t="str">
        <f aca="false">'Fault &amp; Downtime Entry'!F87</f>
        <v/>
      </c>
      <c r="G86" s="47" t="n">
        <f aca="false">'Fault &amp; Downtime Entry'!G87</f>
        <v>0</v>
      </c>
      <c r="H86" s="47" t="str">
        <f aca="false">'Fault &amp; Downtime Entry'!H87</f>
        <v/>
      </c>
      <c r="I86" s="47" t="str">
        <f aca="false">'Fault &amp; Downtime Entry'!I87</f>
        <v/>
      </c>
      <c r="J86" s="47" t="n">
        <f aca="false">'Fault &amp; Downtime Entry'!J87</f>
        <v>0</v>
      </c>
      <c r="K86" s="47" t="n">
        <f aca="false">'Fault &amp; Downtime Entry'!K87</f>
        <v>0</v>
      </c>
      <c r="L86" s="47" t="n">
        <f aca="false">'Fault &amp; Downtime Entry'!L87</f>
        <v>0</v>
      </c>
      <c r="M86" s="47" t="str">
        <f aca="false">'Fault &amp; Downtime Entry'!M87</f>
        <v/>
      </c>
      <c r="N86" s="47" t="n">
        <f aca="false">'Fault &amp; Downtime Entry'!N87</f>
        <v>0</v>
      </c>
      <c r="O86" s="47" t="n">
        <f aca="false">'Fault &amp; Downtime Entry'!O87</f>
        <v>0</v>
      </c>
      <c r="P86" s="47" t="str">
        <f aca="false">IF(OR(J86="",K86=""),"",IFERROR(J86/K86*1000,0))</f>
        <v/>
      </c>
      <c r="Q86" s="47" t="str">
        <f aca="false">IF(OR(L86="",K86=""),"",IFERROR(L86/K86*1000,0))</f>
        <v/>
      </c>
      <c r="R86" s="47" t="str">
        <f aca="false">IF(OR(M86="High",M86="Critical"),"YES","")</f>
        <v/>
      </c>
    </row>
    <row r="87" customFormat="false" ht="15" hidden="false" customHeight="true" outlineLevel="0" collapsed="false">
      <c r="A87" s="47" t="n">
        <f aca="false">'Fault &amp; Downtime Entry'!A88</f>
        <v>83</v>
      </c>
      <c r="B87" s="48" t="n">
        <f aca="false">'Fault &amp; Downtime Entry'!B88</f>
        <v>0</v>
      </c>
      <c r="C87" s="47" t="n">
        <f aca="false">'Fault &amp; Downtime Entry'!C88</f>
        <v>0</v>
      </c>
      <c r="D87" s="47" t="n">
        <f aca="false">'Fault &amp; Downtime Entry'!D88</f>
        <v>0</v>
      </c>
      <c r="E87" s="47" t="n">
        <f aca="false">'Fault &amp; Downtime Entry'!E88</f>
        <v>0</v>
      </c>
      <c r="F87" s="47" t="str">
        <f aca="false">'Fault &amp; Downtime Entry'!F88</f>
        <v/>
      </c>
      <c r="G87" s="47" t="n">
        <f aca="false">'Fault &amp; Downtime Entry'!G88</f>
        <v>0</v>
      </c>
      <c r="H87" s="47" t="str">
        <f aca="false">'Fault &amp; Downtime Entry'!H88</f>
        <v/>
      </c>
      <c r="I87" s="47" t="str">
        <f aca="false">'Fault &amp; Downtime Entry'!I88</f>
        <v/>
      </c>
      <c r="J87" s="47" t="n">
        <f aca="false">'Fault &amp; Downtime Entry'!J88</f>
        <v>0</v>
      </c>
      <c r="K87" s="47" t="n">
        <f aca="false">'Fault &amp; Downtime Entry'!K88</f>
        <v>0</v>
      </c>
      <c r="L87" s="47" t="n">
        <f aca="false">'Fault &amp; Downtime Entry'!L88</f>
        <v>0</v>
      </c>
      <c r="M87" s="47" t="str">
        <f aca="false">'Fault &amp; Downtime Entry'!M88</f>
        <v/>
      </c>
      <c r="N87" s="47" t="n">
        <f aca="false">'Fault &amp; Downtime Entry'!N88</f>
        <v>0</v>
      </c>
      <c r="O87" s="47" t="n">
        <f aca="false">'Fault &amp; Downtime Entry'!O88</f>
        <v>0</v>
      </c>
      <c r="P87" s="47" t="str">
        <f aca="false">IF(OR(J87="",K87=""),"",IFERROR(J87/K87*1000,0))</f>
        <v/>
      </c>
      <c r="Q87" s="47" t="str">
        <f aca="false">IF(OR(L87="",K87=""),"",IFERROR(L87/K87*1000,0))</f>
        <v/>
      </c>
      <c r="R87" s="47" t="str">
        <f aca="false">IF(OR(M87="High",M87="Critical"),"YES","")</f>
        <v/>
      </c>
    </row>
    <row r="88" customFormat="false" ht="15" hidden="false" customHeight="true" outlineLevel="0" collapsed="false">
      <c r="A88" s="47" t="n">
        <f aca="false">'Fault &amp; Downtime Entry'!A89</f>
        <v>84</v>
      </c>
      <c r="B88" s="48" t="n">
        <f aca="false">'Fault &amp; Downtime Entry'!B89</f>
        <v>0</v>
      </c>
      <c r="C88" s="47" t="n">
        <f aca="false">'Fault &amp; Downtime Entry'!C89</f>
        <v>0</v>
      </c>
      <c r="D88" s="47" t="n">
        <f aca="false">'Fault &amp; Downtime Entry'!D89</f>
        <v>0</v>
      </c>
      <c r="E88" s="47" t="n">
        <f aca="false">'Fault &amp; Downtime Entry'!E89</f>
        <v>0</v>
      </c>
      <c r="F88" s="47" t="str">
        <f aca="false">'Fault &amp; Downtime Entry'!F89</f>
        <v/>
      </c>
      <c r="G88" s="47" t="n">
        <f aca="false">'Fault &amp; Downtime Entry'!G89</f>
        <v>0</v>
      </c>
      <c r="H88" s="47" t="str">
        <f aca="false">'Fault &amp; Downtime Entry'!H89</f>
        <v/>
      </c>
      <c r="I88" s="47" t="str">
        <f aca="false">'Fault &amp; Downtime Entry'!I89</f>
        <v/>
      </c>
      <c r="J88" s="47" t="n">
        <f aca="false">'Fault &amp; Downtime Entry'!J89</f>
        <v>0</v>
      </c>
      <c r="K88" s="47" t="n">
        <f aca="false">'Fault &amp; Downtime Entry'!K89</f>
        <v>0</v>
      </c>
      <c r="L88" s="47" t="n">
        <f aca="false">'Fault &amp; Downtime Entry'!L89</f>
        <v>0</v>
      </c>
      <c r="M88" s="47" t="str">
        <f aca="false">'Fault &amp; Downtime Entry'!M89</f>
        <v/>
      </c>
      <c r="N88" s="47" t="n">
        <f aca="false">'Fault &amp; Downtime Entry'!N89</f>
        <v>0</v>
      </c>
      <c r="O88" s="47" t="n">
        <f aca="false">'Fault &amp; Downtime Entry'!O89</f>
        <v>0</v>
      </c>
      <c r="P88" s="47" t="str">
        <f aca="false">IF(OR(J88="",K88=""),"",IFERROR(J88/K88*1000,0))</f>
        <v/>
      </c>
      <c r="Q88" s="47" t="str">
        <f aca="false">IF(OR(L88="",K88=""),"",IFERROR(L88/K88*1000,0))</f>
        <v/>
      </c>
      <c r="R88" s="47" t="str">
        <f aca="false">IF(OR(M88="High",M88="Critical"),"YES","")</f>
        <v/>
      </c>
    </row>
    <row r="89" customFormat="false" ht="15" hidden="false" customHeight="true" outlineLevel="0" collapsed="false">
      <c r="A89" s="47" t="n">
        <f aca="false">'Fault &amp; Downtime Entry'!A90</f>
        <v>85</v>
      </c>
      <c r="B89" s="48" t="n">
        <f aca="false">'Fault &amp; Downtime Entry'!B90</f>
        <v>0</v>
      </c>
      <c r="C89" s="47" t="n">
        <f aca="false">'Fault &amp; Downtime Entry'!C90</f>
        <v>0</v>
      </c>
      <c r="D89" s="47" t="n">
        <f aca="false">'Fault &amp; Downtime Entry'!D90</f>
        <v>0</v>
      </c>
      <c r="E89" s="47" t="n">
        <f aca="false">'Fault &amp; Downtime Entry'!E90</f>
        <v>0</v>
      </c>
      <c r="F89" s="47" t="str">
        <f aca="false">'Fault &amp; Downtime Entry'!F90</f>
        <v/>
      </c>
      <c r="G89" s="47" t="n">
        <f aca="false">'Fault &amp; Downtime Entry'!G90</f>
        <v>0</v>
      </c>
      <c r="H89" s="47" t="str">
        <f aca="false">'Fault &amp; Downtime Entry'!H90</f>
        <v/>
      </c>
      <c r="I89" s="47" t="str">
        <f aca="false">'Fault &amp; Downtime Entry'!I90</f>
        <v/>
      </c>
      <c r="J89" s="47" t="n">
        <f aca="false">'Fault &amp; Downtime Entry'!J90</f>
        <v>0</v>
      </c>
      <c r="K89" s="47" t="n">
        <f aca="false">'Fault &amp; Downtime Entry'!K90</f>
        <v>0</v>
      </c>
      <c r="L89" s="47" t="n">
        <f aca="false">'Fault &amp; Downtime Entry'!L90</f>
        <v>0</v>
      </c>
      <c r="M89" s="47" t="str">
        <f aca="false">'Fault &amp; Downtime Entry'!M90</f>
        <v/>
      </c>
      <c r="N89" s="47" t="n">
        <f aca="false">'Fault &amp; Downtime Entry'!N90</f>
        <v>0</v>
      </c>
      <c r="O89" s="47" t="n">
        <f aca="false">'Fault &amp; Downtime Entry'!O90</f>
        <v>0</v>
      </c>
      <c r="P89" s="47" t="str">
        <f aca="false">IF(OR(J89="",K89=""),"",IFERROR(J89/K89*1000,0))</f>
        <v/>
      </c>
      <c r="Q89" s="47" t="str">
        <f aca="false">IF(OR(L89="",K89=""),"",IFERROR(L89/K89*1000,0))</f>
        <v/>
      </c>
      <c r="R89" s="47" t="str">
        <f aca="false">IF(OR(M89="High",M89="Critical"),"YES","")</f>
        <v/>
      </c>
    </row>
    <row r="90" customFormat="false" ht="15" hidden="false" customHeight="true" outlineLevel="0" collapsed="false">
      <c r="A90" s="47" t="n">
        <f aca="false">'Fault &amp; Downtime Entry'!A91</f>
        <v>86</v>
      </c>
      <c r="B90" s="48" t="n">
        <f aca="false">'Fault &amp; Downtime Entry'!B91</f>
        <v>0</v>
      </c>
      <c r="C90" s="47" t="n">
        <f aca="false">'Fault &amp; Downtime Entry'!C91</f>
        <v>0</v>
      </c>
      <c r="D90" s="47" t="n">
        <f aca="false">'Fault &amp; Downtime Entry'!D91</f>
        <v>0</v>
      </c>
      <c r="E90" s="47" t="n">
        <f aca="false">'Fault &amp; Downtime Entry'!E91</f>
        <v>0</v>
      </c>
      <c r="F90" s="47" t="str">
        <f aca="false">'Fault &amp; Downtime Entry'!F91</f>
        <v/>
      </c>
      <c r="G90" s="47" t="n">
        <f aca="false">'Fault &amp; Downtime Entry'!G91</f>
        <v>0</v>
      </c>
      <c r="H90" s="47" t="str">
        <f aca="false">'Fault &amp; Downtime Entry'!H91</f>
        <v/>
      </c>
      <c r="I90" s="47" t="str">
        <f aca="false">'Fault &amp; Downtime Entry'!I91</f>
        <v/>
      </c>
      <c r="J90" s="47" t="n">
        <f aca="false">'Fault &amp; Downtime Entry'!J91</f>
        <v>0</v>
      </c>
      <c r="K90" s="47" t="n">
        <f aca="false">'Fault &amp; Downtime Entry'!K91</f>
        <v>0</v>
      </c>
      <c r="L90" s="47" t="n">
        <f aca="false">'Fault &amp; Downtime Entry'!L91</f>
        <v>0</v>
      </c>
      <c r="M90" s="47" t="str">
        <f aca="false">'Fault &amp; Downtime Entry'!M91</f>
        <v/>
      </c>
      <c r="N90" s="47" t="n">
        <f aca="false">'Fault &amp; Downtime Entry'!N91</f>
        <v>0</v>
      </c>
      <c r="O90" s="47" t="n">
        <f aca="false">'Fault &amp; Downtime Entry'!O91</f>
        <v>0</v>
      </c>
      <c r="P90" s="47" t="str">
        <f aca="false">IF(OR(J90="",K90=""),"",IFERROR(J90/K90*1000,0))</f>
        <v/>
      </c>
      <c r="Q90" s="47" t="str">
        <f aca="false">IF(OR(L90="",K90=""),"",IFERROR(L90/K90*1000,0))</f>
        <v/>
      </c>
      <c r="R90" s="47" t="str">
        <f aca="false">IF(OR(M90="High",M90="Critical"),"YES","")</f>
        <v/>
      </c>
    </row>
    <row r="91" customFormat="false" ht="15" hidden="false" customHeight="true" outlineLevel="0" collapsed="false">
      <c r="A91" s="47" t="n">
        <f aca="false">'Fault &amp; Downtime Entry'!A92</f>
        <v>87</v>
      </c>
      <c r="B91" s="48" t="n">
        <f aca="false">'Fault &amp; Downtime Entry'!B92</f>
        <v>0</v>
      </c>
      <c r="C91" s="47" t="n">
        <f aca="false">'Fault &amp; Downtime Entry'!C92</f>
        <v>0</v>
      </c>
      <c r="D91" s="47" t="n">
        <f aca="false">'Fault &amp; Downtime Entry'!D92</f>
        <v>0</v>
      </c>
      <c r="E91" s="47" t="n">
        <f aca="false">'Fault &amp; Downtime Entry'!E92</f>
        <v>0</v>
      </c>
      <c r="F91" s="47" t="str">
        <f aca="false">'Fault &amp; Downtime Entry'!F92</f>
        <v/>
      </c>
      <c r="G91" s="47" t="n">
        <f aca="false">'Fault &amp; Downtime Entry'!G92</f>
        <v>0</v>
      </c>
      <c r="H91" s="47" t="str">
        <f aca="false">'Fault &amp; Downtime Entry'!H92</f>
        <v/>
      </c>
      <c r="I91" s="47" t="str">
        <f aca="false">'Fault &amp; Downtime Entry'!I92</f>
        <v/>
      </c>
      <c r="J91" s="47" t="n">
        <f aca="false">'Fault &amp; Downtime Entry'!J92</f>
        <v>0</v>
      </c>
      <c r="K91" s="47" t="n">
        <f aca="false">'Fault &amp; Downtime Entry'!K92</f>
        <v>0</v>
      </c>
      <c r="L91" s="47" t="n">
        <f aca="false">'Fault &amp; Downtime Entry'!L92</f>
        <v>0</v>
      </c>
      <c r="M91" s="47" t="str">
        <f aca="false">'Fault &amp; Downtime Entry'!M92</f>
        <v/>
      </c>
      <c r="N91" s="47" t="n">
        <f aca="false">'Fault &amp; Downtime Entry'!N92</f>
        <v>0</v>
      </c>
      <c r="O91" s="47" t="n">
        <f aca="false">'Fault &amp; Downtime Entry'!O92</f>
        <v>0</v>
      </c>
      <c r="P91" s="47" t="str">
        <f aca="false">IF(OR(J91="",K91=""),"",IFERROR(J91/K91*1000,0))</f>
        <v/>
      </c>
      <c r="Q91" s="47" t="str">
        <f aca="false">IF(OR(L91="",K91=""),"",IFERROR(L91/K91*1000,0))</f>
        <v/>
      </c>
      <c r="R91" s="47" t="str">
        <f aca="false">IF(OR(M91="High",M91="Critical"),"YES","")</f>
        <v/>
      </c>
    </row>
    <row r="92" customFormat="false" ht="15" hidden="false" customHeight="true" outlineLevel="0" collapsed="false">
      <c r="A92" s="47" t="n">
        <f aca="false">'Fault &amp; Downtime Entry'!A93</f>
        <v>88</v>
      </c>
      <c r="B92" s="48" t="n">
        <f aca="false">'Fault &amp; Downtime Entry'!B93</f>
        <v>0</v>
      </c>
      <c r="C92" s="47" t="n">
        <f aca="false">'Fault &amp; Downtime Entry'!C93</f>
        <v>0</v>
      </c>
      <c r="D92" s="47" t="n">
        <f aca="false">'Fault &amp; Downtime Entry'!D93</f>
        <v>0</v>
      </c>
      <c r="E92" s="47" t="n">
        <f aca="false">'Fault &amp; Downtime Entry'!E93</f>
        <v>0</v>
      </c>
      <c r="F92" s="47" t="str">
        <f aca="false">'Fault &amp; Downtime Entry'!F93</f>
        <v/>
      </c>
      <c r="G92" s="47" t="n">
        <f aca="false">'Fault &amp; Downtime Entry'!G93</f>
        <v>0</v>
      </c>
      <c r="H92" s="47" t="str">
        <f aca="false">'Fault &amp; Downtime Entry'!H93</f>
        <v/>
      </c>
      <c r="I92" s="47" t="str">
        <f aca="false">'Fault &amp; Downtime Entry'!I93</f>
        <v/>
      </c>
      <c r="J92" s="47" t="n">
        <f aca="false">'Fault &amp; Downtime Entry'!J93</f>
        <v>0</v>
      </c>
      <c r="K92" s="47" t="n">
        <f aca="false">'Fault &amp; Downtime Entry'!K93</f>
        <v>0</v>
      </c>
      <c r="L92" s="47" t="n">
        <f aca="false">'Fault &amp; Downtime Entry'!L93</f>
        <v>0</v>
      </c>
      <c r="M92" s="47" t="str">
        <f aca="false">'Fault &amp; Downtime Entry'!M93</f>
        <v/>
      </c>
      <c r="N92" s="47" t="n">
        <f aca="false">'Fault &amp; Downtime Entry'!N93</f>
        <v>0</v>
      </c>
      <c r="O92" s="47" t="n">
        <f aca="false">'Fault &amp; Downtime Entry'!O93</f>
        <v>0</v>
      </c>
      <c r="P92" s="47" t="str">
        <f aca="false">IF(OR(J92="",K92=""),"",IFERROR(J92/K92*1000,0))</f>
        <v/>
      </c>
      <c r="Q92" s="47" t="str">
        <f aca="false">IF(OR(L92="",K92=""),"",IFERROR(L92/K92*1000,0))</f>
        <v/>
      </c>
      <c r="R92" s="47" t="str">
        <f aca="false">IF(OR(M92="High",M92="Critical"),"YES","")</f>
        <v/>
      </c>
    </row>
    <row r="93" customFormat="false" ht="15" hidden="false" customHeight="true" outlineLevel="0" collapsed="false">
      <c r="A93" s="47" t="n">
        <f aca="false">'Fault &amp; Downtime Entry'!A94</f>
        <v>89</v>
      </c>
      <c r="B93" s="48" t="n">
        <f aca="false">'Fault &amp; Downtime Entry'!B94</f>
        <v>0</v>
      </c>
      <c r="C93" s="47" t="n">
        <f aca="false">'Fault &amp; Downtime Entry'!C94</f>
        <v>0</v>
      </c>
      <c r="D93" s="47" t="n">
        <f aca="false">'Fault &amp; Downtime Entry'!D94</f>
        <v>0</v>
      </c>
      <c r="E93" s="47" t="n">
        <f aca="false">'Fault &amp; Downtime Entry'!E94</f>
        <v>0</v>
      </c>
      <c r="F93" s="47" t="str">
        <f aca="false">'Fault &amp; Downtime Entry'!F94</f>
        <v/>
      </c>
      <c r="G93" s="47" t="n">
        <f aca="false">'Fault &amp; Downtime Entry'!G94</f>
        <v>0</v>
      </c>
      <c r="H93" s="47" t="str">
        <f aca="false">'Fault &amp; Downtime Entry'!H94</f>
        <v/>
      </c>
      <c r="I93" s="47" t="str">
        <f aca="false">'Fault &amp; Downtime Entry'!I94</f>
        <v/>
      </c>
      <c r="J93" s="47" t="n">
        <f aca="false">'Fault &amp; Downtime Entry'!J94</f>
        <v>0</v>
      </c>
      <c r="K93" s="47" t="n">
        <f aca="false">'Fault &amp; Downtime Entry'!K94</f>
        <v>0</v>
      </c>
      <c r="L93" s="47" t="n">
        <f aca="false">'Fault &amp; Downtime Entry'!L94</f>
        <v>0</v>
      </c>
      <c r="M93" s="47" t="str">
        <f aca="false">'Fault &amp; Downtime Entry'!M94</f>
        <v/>
      </c>
      <c r="N93" s="47" t="n">
        <f aca="false">'Fault &amp; Downtime Entry'!N94</f>
        <v>0</v>
      </c>
      <c r="O93" s="47" t="n">
        <f aca="false">'Fault &amp; Downtime Entry'!O94</f>
        <v>0</v>
      </c>
      <c r="P93" s="47" t="str">
        <f aca="false">IF(OR(J93="",K93=""),"",IFERROR(J93/K93*1000,0))</f>
        <v/>
      </c>
      <c r="Q93" s="47" t="str">
        <f aca="false">IF(OR(L93="",K93=""),"",IFERROR(L93/K93*1000,0))</f>
        <v/>
      </c>
      <c r="R93" s="47" t="str">
        <f aca="false">IF(OR(M93="High",M93="Critical"),"YES","")</f>
        <v/>
      </c>
    </row>
    <row r="94" customFormat="false" ht="15" hidden="false" customHeight="true" outlineLevel="0" collapsed="false">
      <c r="A94" s="47" t="n">
        <f aca="false">'Fault &amp; Downtime Entry'!A95</f>
        <v>90</v>
      </c>
      <c r="B94" s="48" t="n">
        <f aca="false">'Fault &amp; Downtime Entry'!B95</f>
        <v>0</v>
      </c>
      <c r="C94" s="47" t="n">
        <f aca="false">'Fault &amp; Downtime Entry'!C95</f>
        <v>0</v>
      </c>
      <c r="D94" s="47" t="n">
        <f aca="false">'Fault &amp; Downtime Entry'!D95</f>
        <v>0</v>
      </c>
      <c r="E94" s="47" t="n">
        <f aca="false">'Fault &amp; Downtime Entry'!E95</f>
        <v>0</v>
      </c>
      <c r="F94" s="47" t="str">
        <f aca="false">'Fault &amp; Downtime Entry'!F95</f>
        <v/>
      </c>
      <c r="G94" s="47" t="n">
        <f aca="false">'Fault &amp; Downtime Entry'!G95</f>
        <v>0</v>
      </c>
      <c r="H94" s="47" t="str">
        <f aca="false">'Fault &amp; Downtime Entry'!H95</f>
        <v/>
      </c>
      <c r="I94" s="47" t="str">
        <f aca="false">'Fault &amp; Downtime Entry'!I95</f>
        <v/>
      </c>
      <c r="J94" s="47" t="n">
        <f aca="false">'Fault &amp; Downtime Entry'!J95</f>
        <v>0</v>
      </c>
      <c r="K94" s="47" t="n">
        <f aca="false">'Fault &amp; Downtime Entry'!K95</f>
        <v>0</v>
      </c>
      <c r="L94" s="47" t="n">
        <f aca="false">'Fault &amp; Downtime Entry'!L95</f>
        <v>0</v>
      </c>
      <c r="M94" s="47" t="str">
        <f aca="false">'Fault &amp; Downtime Entry'!M95</f>
        <v/>
      </c>
      <c r="N94" s="47" t="n">
        <f aca="false">'Fault &amp; Downtime Entry'!N95</f>
        <v>0</v>
      </c>
      <c r="O94" s="47" t="n">
        <f aca="false">'Fault &amp; Downtime Entry'!O95</f>
        <v>0</v>
      </c>
      <c r="P94" s="47" t="str">
        <f aca="false">IF(OR(J94="",K94=""),"",IFERROR(J94/K94*1000,0))</f>
        <v/>
      </c>
      <c r="Q94" s="47" t="str">
        <f aca="false">IF(OR(L94="",K94=""),"",IFERROR(L94/K94*1000,0))</f>
        <v/>
      </c>
      <c r="R94" s="47" t="str">
        <f aca="false">IF(OR(M94="High",M94="Critical"),"YES","")</f>
        <v/>
      </c>
    </row>
    <row r="95" customFormat="false" ht="15" hidden="false" customHeight="true" outlineLevel="0" collapsed="false">
      <c r="A95" s="47" t="n">
        <f aca="false">'Fault &amp; Downtime Entry'!A96</f>
        <v>91</v>
      </c>
      <c r="B95" s="48" t="n">
        <f aca="false">'Fault &amp; Downtime Entry'!B96</f>
        <v>0</v>
      </c>
      <c r="C95" s="47" t="n">
        <f aca="false">'Fault &amp; Downtime Entry'!C96</f>
        <v>0</v>
      </c>
      <c r="D95" s="47" t="n">
        <f aca="false">'Fault &amp; Downtime Entry'!D96</f>
        <v>0</v>
      </c>
      <c r="E95" s="47" t="n">
        <f aca="false">'Fault &amp; Downtime Entry'!E96</f>
        <v>0</v>
      </c>
      <c r="F95" s="47" t="str">
        <f aca="false">'Fault &amp; Downtime Entry'!F96</f>
        <v/>
      </c>
      <c r="G95" s="47" t="n">
        <f aca="false">'Fault &amp; Downtime Entry'!G96</f>
        <v>0</v>
      </c>
      <c r="H95" s="47" t="str">
        <f aca="false">'Fault &amp; Downtime Entry'!H96</f>
        <v/>
      </c>
      <c r="I95" s="47" t="str">
        <f aca="false">'Fault &amp; Downtime Entry'!I96</f>
        <v/>
      </c>
      <c r="J95" s="47" t="n">
        <f aca="false">'Fault &amp; Downtime Entry'!J96</f>
        <v>0</v>
      </c>
      <c r="K95" s="47" t="n">
        <f aca="false">'Fault &amp; Downtime Entry'!K96</f>
        <v>0</v>
      </c>
      <c r="L95" s="47" t="n">
        <f aca="false">'Fault &amp; Downtime Entry'!L96</f>
        <v>0</v>
      </c>
      <c r="M95" s="47" t="str">
        <f aca="false">'Fault &amp; Downtime Entry'!M96</f>
        <v/>
      </c>
      <c r="N95" s="47" t="n">
        <f aca="false">'Fault &amp; Downtime Entry'!N96</f>
        <v>0</v>
      </c>
      <c r="O95" s="47" t="n">
        <f aca="false">'Fault &amp; Downtime Entry'!O96</f>
        <v>0</v>
      </c>
      <c r="P95" s="47" t="str">
        <f aca="false">IF(OR(J95="",K95=""),"",IFERROR(J95/K95*1000,0))</f>
        <v/>
      </c>
      <c r="Q95" s="47" t="str">
        <f aca="false">IF(OR(L95="",K95=""),"",IFERROR(L95/K95*1000,0))</f>
        <v/>
      </c>
      <c r="R95" s="47" t="str">
        <f aca="false">IF(OR(M95="High",M95="Critical"),"YES","")</f>
        <v/>
      </c>
    </row>
    <row r="96" customFormat="false" ht="15" hidden="false" customHeight="true" outlineLevel="0" collapsed="false">
      <c r="A96" s="47" t="n">
        <f aca="false">'Fault &amp; Downtime Entry'!A97</f>
        <v>92</v>
      </c>
      <c r="B96" s="48" t="n">
        <f aca="false">'Fault &amp; Downtime Entry'!B97</f>
        <v>0</v>
      </c>
      <c r="C96" s="47" t="n">
        <f aca="false">'Fault &amp; Downtime Entry'!C97</f>
        <v>0</v>
      </c>
      <c r="D96" s="47" t="n">
        <f aca="false">'Fault &amp; Downtime Entry'!D97</f>
        <v>0</v>
      </c>
      <c r="E96" s="47" t="n">
        <f aca="false">'Fault &amp; Downtime Entry'!E97</f>
        <v>0</v>
      </c>
      <c r="F96" s="47" t="str">
        <f aca="false">'Fault &amp; Downtime Entry'!F97</f>
        <v/>
      </c>
      <c r="G96" s="47" t="n">
        <f aca="false">'Fault &amp; Downtime Entry'!G97</f>
        <v>0</v>
      </c>
      <c r="H96" s="47" t="str">
        <f aca="false">'Fault &amp; Downtime Entry'!H97</f>
        <v/>
      </c>
      <c r="I96" s="47" t="str">
        <f aca="false">'Fault &amp; Downtime Entry'!I97</f>
        <v/>
      </c>
      <c r="J96" s="47" t="n">
        <f aca="false">'Fault &amp; Downtime Entry'!J97</f>
        <v>0</v>
      </c>
      <c r="K96" s="47" t="n">
        <f aca="false">'Fault &amp; Downtime Entry'!K97</f>
        <v>0</v>
      </c>
      <c r="L96" s="47" t="n">
        <f aca="false">'Fault &amp; Downtime Entry'!L97</f>
        <v>0</v>
      </c>
      <c r="M96" s="47" t="str">
        <f aca="false">'Fault &amp; Downtime Entry'!M97</f>
        <v/>
      </c>
      <c r="N96" s="47" t="n">
        <f aca="false">'Fault &amp; Downtime Entry'!N97</f>
        <v>0</v>
      </c>
      <c r="O96" s="47" t="n">
        <f aca="false">'Fault &amp; Downtime Entry'!O97</f>
        <v>0</v>
      </c>
      <c r="P96" s="47" t="str">
        <f aca="false">IF(OR(J96="",K96=""),"",IFERROR(J96/K96*1000,0))</f>
        <v/>
      </c>
      <c r="Q96" s="47" t="str">
        <f aca="false">IF(OR(L96="",K96=""),"",IFERROR(L96/K96*1000,0))</f>
        <v/>
      </c>
      <c r="R96" s="47" t="str">
        <f aca="false">IF(OR(M96="High",M96="Critical"),"YES","")</f>
        <v/>
      </c>
    </row>
    <row r="97" customFormat="false" ht="15" hidden="false" customHeight="true" outlineLevel="0" collapsed="false">
      <c r="A97" s="47" t="n">
        <f aca="false">'Fault &amp; Downtime Entry'!A98</f>
        <v>93</v>
      </c>
      <c r="B97" s="48" t="n">
        <f aca="false">'Fault &amp; Downtime Entry'!B98</f>
        <v>0</v>
      </c>
      <c r="C97" s="47" t="n">
        <f aca="false">'Fault &amp; Downtime Entry'!C98</f>
        <v>0</v>
      </c>
      <c r="D97" s="47" t="n">
        <f aca="false">'Fault &amp; Downtime Entry'!D98</f>
        <v>0</v>
      </c>
      <c r="E97" s="47" t="n">
        <f aca="false">'Fault &amp; Downtime Entry'!E98</f>
        <v>0</v>
      </c>
      <c r="F97" s="47" t="str">
        <f aca="false">'Fault &amp; Downtime Entry'!F98</f>
        <v/>
      </c>
      <c r="G97" s="47" t="n">
        <f aca="false">'Fault &amp; Downtime Entry'!G98</f>
        <v>0</v>
      </c>
      <c r="H97" s="47" t="str">
        <f aca="false">'Fault &amp; Downtime Entry'!H98</f>
        <v/>
      </c>
      <c r="I97" s="47" t="str">
        <f aca="false">'Fault &amp; Downtime Entry'!I98</f>
        <v/>
      </c>
      <c r="J97" s="47" t="n">
        <f aca="false">'Fault &amp; Downtime Entry'!J98</f>
        <v>0</v>
      </c>
      <c r="K97" s="47" t="n">
        <f aca="false">'Fault &amp; Downtime Entry'!K98</f>
        <v>0</v>
      </c>
      <c r="L97" s="47" t="n">
        <f aca="false">'Fault &amp; Downtime Entry'!L98</f>
        <v>0</v>
      </c>
      <c r="M97" s="47" t="str">
        <f aca="false">'Fault &amp; Downtime Entry'!M98</f>
        <v/>
      </c>
      <c r="N97" s="47" t="n">
        <f aca="false">'Fault &amp; Downtime Entry'!N98</f>
        <v>0</v>
      </c>
      <c r="O97" s="47" t="n">
        <f aca="false">'Fault &amp; Downtime Entry'!O98</f>
        <v>0</v>
      </c>
      <c r="P97" s="47" t="str">
        <f aca="false">IF(OR(J97="",K97=""),"",IFERROR(J97/K97*1000,0))</f>
        <v/>
      </c>
      <c r="Q97" s="47" t="str">
        <f aca="false">IF(OR(L97="",K97=""),"",IFERROR(L97/K97*1000,0))</f>
        <v/>
      </c>
      <c r="R97" s="47" t="str">
        <f aca="false">IF(OR(M97="High",M97="Critical"),"YES","")</f>
        <v/>
      </c>
    </row>
    <row r="98" customFormat="false" ht="15" hidden="false" customHeight="true" outlineLevel="0" collapsed="false">
      <c r="A98" s="47" t="n">
        <f aca="false">'Fault &amp; Downtime Entry'!A99</f>
        <v>94</v>
      </c>
      <c r="B98" s="48" t="n">
        <f aca="false">'Fault &amp; Downtime Entry'!B99</f>
        <v>0</v>
      </c>
      <c r="C98" s="47" t="n">
        <f aca="false">'Fault &amp; Downtime Entry'!C99</f>
        <v>0</v>
      </c>
      <c r="D98" s="47" t="n">
        <f aca="false">'Fault &amp; Downtime Entry'!D99</f>
        <v>0</v>
      </c>
      <c r="E98" s="47" t="n">
        <f aca="false">'Fault &amp; Downtime Entry'!E99</f>
        <v>0</v>
      </c>
      <c r="F98" s="47" t="str">
        <f aca="false">'Fault &amp; Downtime Entry'!F99</f>
        <v/>
      </c>
      <c r="G98" s="47" t="n">
        <f aca="false">'Fault &amp; Downtime Entry'!G99</f>
        <v>0</v>
      </c>
      <c r="H98" s="47" t="str">
        <f aca="false">'Fault &amp; Downtime Entry'!H99</f>
        <v/>
      </c>
      <c r="I98" s="47" t="str">
        <f aca="false">'Fault &amp; Downtime Entry'!I99</f>
        <v/>
      </c>
      <c r="J98" s="47" t="n">
        <f aca="false">'Fault &amp; Downtime Entry'!J99</f>
        <v>0</v>
      </c>
      <c r="K98" s="47" t="n">
        <f aca="false">'Fault &amp; Downtime Entry'!K99</f>
        <v>0</v>
      </c>
      <c r="L98" s="47" t="n">
        <f aca="false">'Fault &amp; Downtime Entry'!L99</f>
        <v>0</v>
      </c>
      <c r="M98" s="47" t="str">
        <f aca="false">'Fault &amp; Downtime Entry'!M99</f>
        <v/>
      </c>
      <c r="N98" s="47" t="n">
        <f aca="false">'Fault &amp; Downtime Entry'!N99</f>
        <v>0</v>
      </c>
      <c r="O98" s="47" t="n">
        <f aca="false">'Fault &amp; Downtime Entry'!O99</f>
        <v>0</v>
      </c>
      <c r="P98" s="47" t="str">
        <f aca="false">IF(OR(J98="",K98=""),"",IFERROR(J98/K98*1000,0))</f>
        <v/>
      </c>
      <c r="Q98" s="47" t="str">
        <f aca="false">IF(OR(L98="",K98=""),"",IFERROR(L98/K98*1000,0))</f>
        <v/>
      </c>
      <c r="R98" s="47" t="str">
        <f aca="false">IF(OR(M98="High",M98="Critical"),"YES","")</f>
        <v/>
      </c>
    </row>
    <row r="99" customFormat="false" ht="15" hidden="false" customHeight="true" outlineLevel="0" collapsed="false">
      <c r="A99" s="47" t="n">
        <f aca="false">'Fault &amp; Downtime Entry'!A100</f>
        <v>95</v>
      </c>
      <c r="B99" s="48" t="n">
        <f aca="false">'Fault &amp; Downtime Entry'!B100</f>
        <v>0</v>
      </c>
      <c r="C99" s="47" t="n">
        <f aca="false">'Fault &amp; Downtime Entry'!C100</f>
        <v>0</v>
      </c>
      <c r="D99" s="47" t="n">
        <f aca="false">'Fault &amp; Downtime Entry'!D100</f>
        <v>0</v>
      </c>
      <c r="E99" s="47" t="n">
        <f aca="false">'Fault &amp; Downtime Entry'!E100</f>
        <v>0</v>
      </c>
      <c r="F99" s="47" t="str">
        <f aca="false">'Fault &amp; Downtime Entry'!F100</f>
        <v/>
      </c>
      <c r="G99" s="47" t="n">
        <f aca="false">'Fault &amp; Downtime Entry'!G100</f>
        <v>0</v>
      </c>
      <c r="H99" s="47" t="str">
        <f aca="false">'Fault &amp; Downtime Entry'!H100</f>
        <v/>
      </c>
      <c r="I99" s="47" t="str">
        <f aca="false">'Fault &amp; Downtime Entry'!I100</f>
        <v/>
      </c>
      <c r="J99" s="47" t="n">
        <f aca="false">'Fault &amp; Downtime Entry'!J100</f>
        <v>0</v>
      </c>
      <c r="K99" s="47" t="n">
        <f aca="false">'Fault &amp; Downtime Entry'!K100</f>
        <v>0</v>
      </c>
      <c r="L99" s="47" t="n">
        <f aca="false">'Fault &amp; Downtime Entry'!L100</f>
        <v>0</v>
      </c>
      <c r="M99" s="47" t="str">
        <f aca="false">'Fault &amp; Downtime Entry'!M100</f>
        <v/>
      </c>
      <c r="N99" s="47" t="n">
        <f aca="false">'Fault &amp; Downtime Entry'!N100</f>
        <v>0</v>
      </c>
      <c r="O99" s="47" t="n">
        <f aca="false">'Fault &amp; Downtime Entry'!O100</f>
        <v>0</v>
      </c>
      <c r="P99" s="47" t="str">
        <f aca="false">IF(OR(J99="",K99=""),"",IFERROR(J99/K99*1000,0))</f>
        <v/>
      </c>
      <c r="Q99" s="47" t="str">
        <f aca="false">IF(OR(L99="",K99=""),"",IFERROR(L99/K99*1000,0))</f>
        <v/>
      </c>
      <c r="R99" s="47" t="str">
        <f aca="false">IF(OR(M99="High",M99="Critical"),"YES","")</f>
        <v/>
      </c>
    </row>
    <row r="100" customFormat="false" ht="15" hidden="false" customHeight="true" outlineLevel="0" collapsed="false">
      <c r="A100" s="47" t="n">
        <f aca="false">'Fault &amp; Downtime Entry'!A101</f>
        <v>96</v>
      </c>
      <c r="B100" s="48" t="n">
        <f aca="false">'Fault &amp; Downtime Entry'!B101</f>
        <v>0</v>
      </c>
      <c r="C100" s="47" t="n">
        <f aca="false">'Fault &amp; Downtime Entry'!C101</f>
        <v>0</v>
      </c>
      <c r="D100" s="47" t="n">
        <f aca="false">'Fault &amp; Downtime Entry'!D101</f>
        <v>0</v>
      </c>
      <c r="E100" s="47" t="n">
        <f aca="false">'Fault &amp; Downtime Entry'!E101</f>
        <v>0</v>
      </c>
      <c r="F100" s="47" t="str">
        <f aca="false">'Fault &amp; Downtime Entry'!F101</f>
        <v/>
      </c>
      <c r="G100" s="47" t="n">
        <f aca="false">'Fault &amp; Downtime Entry'!G101</f>
        <v>0</v>
      </c>
      <c r="H100" s="47" t="str">
        <f aca="false">'Fault &amp; Downtime Entry'!H101</f>
        <v/>
      </c>
      <c r="I100" s="47" t="str">
        <f aca="false">'Fault &amp; Downtime Entry'!I101</f>
        <v/>
      </c>
      <c r="J100" s="47" t="n">
        <f aca="false">'Fault &amp; Downtime Entry'!J101</f>
        <v>0</v>
      </c>
      <c r="K100" s="47" t="n">
        <f aca="false">'Fault &amp; Downtime Entry'!K101</f>
        <v>0</v>
      </c>
      <c r="L100" s="47" t="n">
        <f aca="false">'Fault &amp; Downtime Entry'!L101</f>
        <v>0</v>
      </c>
      <c r="M100" s="47" t="str">
        <f aca="false">'Fault &amp; Downtime Entry'!M101</f>
        <v/>
      </c>
      <c r="N100" s="47" t="n">
        <f aca="false">'Fault &amp; Downtime Entry'!N101</f>
        <v>0</v>
      </c>
      <c r="O100" s="47" t="n">
        <f aca="false">'Fault &amp; Downtime Entry'!O101</f>
        <v>0</v>
      </c>
      <c r="P100" s="47" t="str">
        <f aca="false">IF(OR(J100="",K100=""),"",IFERROR(J100/K100*1000,0))</f>
        <v/>
      </c>
      <c r="Q100" s="47" t="str">
        <f aca="false">IF(OR(L100="",K100=""),"",IFERROR(L100/K100*1000,0))</f>
        <v/>
      </c>
      <c r="R100" s="47" t="str">
        <f aca="false">IF(OR(M100="High",M100="Critical"),"YES","")</f>
        <v/>
      </c>
    </row>
    <row r="101" customFormat="false" ht="15" hidden="false" customHeight="true" outlineLevel="0" collapsed="false">
      <c r="A101" s="47" t="n">
        <f aca="false">'Fault &amp; Downtime Entry'!A102</f>
        <v>97</v>
      </c>
      <c r="B101" s="48" t="n">
        <f aca="false">'Fault &amp; Downtime Entry'!B102</f>
        <v>0</v>
      </c>
      <c r="C101" s="47" t="n">
        <f aca="false">'Fault &amp; Downtime Entry'!C102</f>
        <v>0</v>
      </c>
      <c r="D101" s="47" t="n">
        <f aca="false">'Fault &amp; Downtime Entry'!D102</f>
        <v>0</v>
      </c>
      <c r="E101" s="47" t="n">
        <f aca="false">'Fault &amp; Downtime Entry'!E102</f>
        <v>0</v>
      </c>
      <c r="F101" s="47" t="str">
        <f aca="false">'Fault &amp; Downtime Entry'!F102</f>
        <v/>
      </c>
      <c r="G101" s="47" t="n">
        <f aca="false">'Fault &amp; Downtime Entry'!G102</f>
        <v>0</v>
      </c>
      <c r="H101" s="47" t="str">
        <f aca="false">'Fault &amp; Downtime Entry'!H102</f>
        <v/>
      </c>
      <c r="I101" s="47" t="str">
        <f aca="false">'Fault &amp; Downtime Entry'!I102</f>
        <v/>
      </c>
      <c r="J101" s="47" t="n">
        <f aca="false">'Fault &amp; Downtime Entry'!J102</f>
        <v>0</v>
      </c>
      <c r="K101" s="47" t="n">
        <f aca="false">'Fault &amp; Downtime Entry'!K102</f>
        <v>0</v>
      </c>
      <c r="L101" s="47" t="n">
        <f aca="false">'Fault &amp; Downtime Entry'!L102</f>
        <v>0</v>
      </c>
      <c r="M101" s="47" t="str">
        <f aca="false">'Fault &amp; Downtime Entry'!M102</f>
        <v/>
      </c>
      <c r="N101" s="47" t="n">
        <f aca="false">'Fault &amp; Downtime Entry'!N102</f>
        <v>0</v>
      </c>
      <c r="O101" s="47" t="n">
        <f aca="false">'Fault &amp; Downtime Entry'!O102</f>
        <v>0</v>
      </c>
      <c r="P101" s="47" t="str">
        <f aca="false">IF(OR(J101="",K101=""),"",IFERROR(J101/K101*1000,0))</f>
        <v/>
      </c>
      <c r="Q101" s="47" t="str">
        <f aca="false">IF(OR(L101="",K101=""),"",IFERROR(L101/K101*1000,0))</f>
        <v/>
      </c>
      <c r="R101" s="47" t="str">
        <f aca="false">IF(OR(M101="High",M101="Critical"),"YES","")</f>
        <v/>
      </c>
    </row>
    <row r="102" customFormat="false" ht="15" hidden="false" customHeight="true" outlineLevel="0" collapsed="false">
      <c r="A102" s="47" t="n">
        <f aca="false">'Fault &amp; Downtime Entry'!A103</f>
        <v>98</v>
      </c>
      <c r="B102" s="48" t="n">
        <f aca="false">'Fault &amp; Downtime Entry'!B103</f>
        <v>0</v>
      </c>
      <c r="C102" s="47" t="n">
        <f aca="false">'Fault &amp; Downtime Entry'!C103</f>
        <v>0</v>
      </c>
      <c r="D102" s="47" t="n">
        <f aca="false">'Fault &amp; Downtime Entry'!D103</f>
        <v>0</v>
      </c>
      <c r="E102" s="47" t="n">
        <f aca="false">'Fault &amp; Downtime Entry'!E103</f>
        <v>0</v>
      </c>
      <c r="F102" s="47" t="str">
        <f aca="false">'Fault &amp; Downtime Entry'!F103</f>
        <v/>
      </c>
      <c r="G102" s="47" t="n">
        <f aca="false">'Fault &amp; Downtime Entry'!G103</f>
        <v>0</v>
      </c>
      <c r="H102" s="47" t="str">
        <f aca="false">'Fault &amp; Downtime Entry'!H103</f>
        <v/>
      </c>
      <c r="I102" s="47" t="str">
        <f aca="false">'Fault &amp; Downtime Entry'!I103</f>
        <v/>
      </c>
      <c r="J102" s="47" t="n">
        <f aca="false">'Fault &amp; Downtime Entry'!J103</f>
        <v>0</v>
      </c>
      <c r="K102" s="47" t="n">
        <f aca="false">'Fault &amp; Downtime Entry'!K103</f>
        <v>0</v>
      </c>
      <c r="L102" s="47" t="n">
        <f aca="false">'Fault &amp; Downtime Entry'!L103</f>
        <v>0</v>
      </c>
      <c r="M102" s="47" t="str">
        <f aca="false">'Fault &amp; Downtime Entry'!M103</f>
        <v/>
      </c>
      <c r="N102" s="47" t="n">
        <f aca="false">'Fault &amp; Downtime Entry'!N103</f>
        <v>0</v>
      </c>
      <c r="O102" s="47" t="n">
        <f aca="false">'Fault &amp; Downtime Entry'!O103</f>
        <v>0</v>
      </c>
      <c r="P102" s="47" t="str">
        <f aca="false">IF(OR(J102="",K102=""),"",IFERROR(J102/K102*1000,0))</f>
        <v/>
      </c>
      <c r="Q102" s="47" t="str">
        <f aca="false">IF(OR(L102="",K102=""),"",IFERROR(L102/K102*1000,0))</f>
        <v/>
      </c>
      <c r="R102" s="47" t="str">
        <f aca="false">IF(OR(M102="High",M102="Critical"),"YES","")</f>
        <v/>
      </c>
    </row>
    <row r="103" customFormat="false" ht="15" hidden="false" customHeight="true" outlineLevel="0" collapsed="false">
      <c r="A103" s="47" t="n">
        <f aca="false">'Fault &amp; Downtime Entry'!A104</f>
        <v>99</v>
      </c>
      <c r="B103" s="48" t="n">
        <f aca="false">'Fault &amp; Downtime Entry'!B104</f>
        <v>0</v>
      </c>
      <c r="C103" s="47" t="n">
        <f aca="false">'Fault &amp; Downtime Entry'!C104</f>
        <v>0</v>
      </c>
      <c r="D103" s="47" t="n">
        <f aca="false">'Fault &amp; Downtime Entry'!D104</f>
        <v>0</v>
      </c>
      <c r="E103" s="47" t="n">
        <f aca="false">'Fault &amp; Downtime Entry'!E104</f>
        <v>0</v>
      </c>
      <c r="F103" s="47" t="str">
        <f aca="false">'Fault &amp; Downtime Entry'!F104</f>
        <v/>
      </c>
      <c r="G103" s="47" t="n">
        <f aca="false">'Fault &amp; Downtime Entry'!G104</f>
        <v>0</v>
      </c>
      <c r="H103" s="47" t="str">
        <f aca="false">'Fault &amp; Downtime Entry'!H104</f>
        <v/>
      </c>
      <c r="I103" s="47" t="str">
        <f aca="false">'Fault &amp; Downtime Entry'!I104</f>
        <v/>
      </c>
      <c r="J103" s="47" t="n">
        <f aca="false">'Fault &amp; Downtime Entry'!J104</f>
        <v>0</v>
      </c>
      <c r="K103" s="47" t="n">
        <f aca="false">'Fault &amp; Downtime Entry'!K104</f>
        <v>0</v>
      </c>
      <c r="L103" s="47" t="n">
        <f aca="false">'Fault &amp; Downtime Entry'!L104</f>
        <v>0</v>
      </c>
      <c r="M103" s="47" t="str">
        <f aca="false">'Fault &amp; Downtime Entry'!M104</f>
        <v/>
      </c>
      <c r="N103" s="47" t="n">
        <f aca="false">'Fault &amp; Downtime Entry'!N104</f>
        <v>0</v>
      </c>
      <c r="O103" s="47" t="n">
        <f aca="false">'Fault &amp; Downtime Entry'!O104</f>
        <v>0</v>
      </c>
      <c r="P103" s="47" t="str">
        <f aca="false">IF(OR(J103="",K103=""),"",IFERROR(J103/K103*1000,0))</f>
        <v/>
      </c>
      <c r="Q103" s="47" t="str">
        <f aca="false">IF(OR(L103="",K103=""),"",IFERROR(L103/K103*1000,0))</f>
        <v/>
      </c>
      <c r="R103" s="47" t="str">
        <f aca="false">IF(OR(M103="High",M103="Critical"),"YES","")</f>
        <v/>
      </c>
    </row>
    <row r="104" customFormat="false" ht="15" hidden="false" customHeight="true" outlineLevel="0" collapsed="false">
      <c r="A104" s="47" t="n">
        <f aca="false">'Fault &amp; Downtime Entry'!A105</f>
        <v>100</v>
      </c>
      <c r="B104" s="48" t="n">
        <f aca="false">'Fault &amp; Downtime Entry'!B105</f>
        <v>0</v>
      </c>
      <c r="C104" s="47" t="n">
        <f aca="false">'Fault &amp; Downtime Entry'!C105</f>
        <v>0</v>
      </c>
      <c r="D104" s="47" t="n">
        <f aca="false">'Fault &amp; Downtime Entry'!D105</f>
        <v>0</v>
      </c>
      <c r="E104" s="47" t="n">
        <f aca="false">'Fault &amp; Downtime Entry'!E105</f>
        <v>0</v>
      </c>
      <c r="F104" s="47" t="str">
        <f aca="false">'Fault &amp; Downtime Entry'!F105</f>
        <v/>
      </c>
      <c r="G104" s="47" t="n">
        <f aca="false">'Fault &amp; Downtime Entry'!G105</f>
        <v>0</v>
      </c>
      <c r="H104" s="47" t="str">
        <f aca="false">'Fault &amp; Downtime Entry'!H105</f>
        <v/>
      </c>
      <c r="I104" s="47" t="str">
        <f aca="false">'Fault &amp; Downtime Entry'!I105</f>
        <v/>
      </c>
      <c r="J104" s="47" t="n">
        <f aca="false">'Fault &amp; Downtime Entry'!J105</f>
        <v>0</v>
      </c>
      <c r="K104" s="47" t="n">
        <f aca="false">'Fault &amp; Downtime Entry'!K105</f>
        <v>0</v>
      </c>
      <c r="L104" s="47" t="n">
        <f aca="false">'Fault &amp; Downtime Entry'!L105</f>
        <v>0</v>
      </c>
      <c r="M104" s="47" t="str">
        <f aca="false">'Fault &amp; Downtime Entry'!M105</f>
        <v/>
      </c>
      <c r="N104" s="47" t="n">
        <f aca="false">'Fault &amp; Downtime Entry'!N105</f>
        <v>0</v>
      </c>
      <c r="O104" s="47" t="n">
        <f aca="false">'Fault &amp; Downtime Entry'!O105</f>
        <v>0</v>
      </c>
      <c r="P104" s="47" t="str">
        <f aca="false">IF(OR(J104="",K104=""),"",IFERROR(J104/K104*1000,0))</f>
        <v/>
      </c>
      <c r="Q104" s="47" t="str">
        <f aca="false">IF(OR(L104="",K104=""),"",IFERROR(L104/K104*1000,0))</f>
        <v/>
      </c>
      <c r="R104" s="47" t="str">
        <f aca="false">IF(OR(M104="High",M104="Critical"),"YES","")</f>
        <v/>
      </c>
    </row>
    <row r="105" customFormat="false" ht="15" hidden="false" customHeight="true" outlineLevel="0" collapsed="false">
      <c r="A105" s="47" t="n">
        <f aca="false">'Fault &amp; Downtime Entry'!A106</f>
        <v>101</v>
      </c>
      <c r="B105" s="48" t="n">
        <f aca="false">'Fault &amp; Downtime Entry'!B106</f>
        <v>0</v>
      </c>
      <c r="C105" s="47" t="n">
        <f aca="false">'Fault &amp; Downtime Entry'!C106</f>
        <v>0</v>
      </c>
      <c r="D105" s="47" t="n">
        <f aca="false">'Fault &amp; Downtime Entry'!D106</f>
        <v>0</v>
      </c>
      <c r="E105" s="47" t="n">
        <f aca="false">'Fault &amp; Downtime Entry'!E106</f>
        <v>0</v>
      </c>
      <c r="F105" s="47" t="str">
        <f aca="false">'Fault &amp; Downtime Entry'!F106</f>
        <v/>
      </c>
      <c r="G105" s="47" t="n">
        <f aca="false">'Fault &amp; Downtime Entry'!G106</f>
        <v>0</v>
      </c>
      <c r="H105" s="47" t="str">
        <f aca="false">'Fault &amp; Downtime Entry'!H106</f>
        <v/>
      </c>
      <c r="I105" s="47" t="str">
        <f aca="false">'Fault &amp; Downtime Entry'!I106</f>
        <v/>
      </c>
      <c r="J105" s="47" t="n">
        <f aca="false">'Fault &amp; Downtime Entry'!J106</f>
        <v>0</v>
      </c>
      <c r="K105" s="47" t="n">
        <f aca="false">'Fault &amp; Downtime Entry'!K106</f>
        <v>0</v>
      </c>
      <c r="L105" s="47" t="n">
        <f aca="false">'Fault &amp; Downtime Entry'!L106</f>
        <v>0</v>
      </c>
      <c r="M105" s="47" t="str">
        <f aca="false">'Fault &amp; Downtime Entry'!M106</f>
        <v/>
      </c>
      <c r="N105" s="47" t="n">
        <f aca="false">'Fault &amp; Downtime Entry'!N106</f>
        <v>0</v>
      </c>
      <c r="O105" s="47" t="n">
        <f aca="false">'Fault &amp; Downtime Entry'!O106</f>
        <v>0</v>
      </c>
      <c r="P105" s="47" t="str">
        <f aca="false">IF(OR(J105="",K105=""),"",IFERROR(J105/K105*1000,0))</f>
        <v/>
      </c>
      <c r="Q105" s="47" t="str">
        <f aca="false">IF(OR(L105="",K105=""),"",IFERROR(L105/K105*1000,0))</f>
        <v/>
      </c>
      <c r="R105" s="47" t="str">
        <f aca="false">IF(OR(M105="High",M105="Critical"),"YES","")</f>
        <v/>
      </c>
    </row>
    <row r="106" customFormat="false" ht="15" hidden="false" customHeight="true" outlineLevel="0" collapsed="false">
      <c r="A106" s="47" t="n">
        <f aca="false">'Fault &amp; Downtime Entry'!A107</f>
        <v>102</v>
      </c>
      <c r="B106" s="48" t="n">
        <f aca="false">'Fault &amp; Downtime Entry'!B107</f>
        <v>0</v>
      </c>
      <c r="C106" s="47" t="n">
        <f aca="false">'Fault &amp; Downtime Entry'!C107</f>
        <v>0</v>
      </c>
      <c r="D106" s="47" t="n">
        <f aca="false">'Fault &amp; Downtime Entry'!D107</f>
        <v>0</v>
      </c>
      <c r="E106" s="47" t="n">
        <f aca="false">'Fault &amp; Downtime Entry'!E107</f>
        <v>0</v>
      </c>
      <c r="F106" s="47" t="str">
        <f aca="false">'Fault &amp; Downtime Entry'!F107</f>
        <v/>
      </c>
      <c r="G106" s="47" t="n">
        <f aca="false">'Fault &amp; Downtime Entry'!G107</f>
        <v>0</v>
      </c>
      <c r="H106" s="47" t="str">
        <f aca="false">'Fault &amp; Downtime Entry'!H107</f>
        <v/>
      </c>
      <c r="I106" s="47" t="str">
        <f aca="false">'Fault &amp; Downtime Entry'!I107</f>
        <v/>
      </c>
      <c r="J106" s="47" t="n">
        <f aca="false">'Fault &amp; Downtime Entry'!J107</f>
        <v>0</v>
      </c>
      <c r="K106" s="47" t="n">
        <f aca="false">'Fault &amp; Downtime Entry'!K107</f>
        <v>0</v>
      </c>
      <c r="L106" s="47" t="n">
        <f aca="false">'Fault &amp; Downtime Entry'!L107</f>
        <v>0</v>
      </c>
      <c r="M106" s="47" t="str">
        <f aca="false">'Fault &amp; Downtime Entry'!M107</f>
        <v/>
      </c>
      <c r="N106" s="47" t="n">
        <f aca="false">'Fault &amp; Downtime Entry'!N107</f>
        <v>0</v>
      </c>
      <c r="O106" s="47" t="n">
        <f aca="false">'Fault &amp; Downtime Entry'!O107</f>
        <v>0</v>
      </c>
      <c r="P106" s="47" t="str">
        <f aca="false">IF(OR(J106="",K106=""),"",IFERROR(J106/K106*1000,0))</f>
        <v/>
      </c>
      <c r="Q106" s="47" t="str">
        <f aca="false">IF(OR(L106="",K106=""),"",IFERROR(L106/K106*1000,0))</f>
        <v/>
      </c>
      <c r="R106" s="47" t="str">
        <f aca="false">IF(OR(M106="High",M106="Critical"),"YES","")</f>
        <v/>
      </c>
    </row>
    <row r="107" customFormat="false" ht="15" hidden="false" customHeight="true" outlineLevel="0" collapsed="false">
      <c r="A107" s="47" t="n">
        <f aca="false">'Fault &amp; Downtime Entry'!A108</f>
        <v>103</v>
      </c>
      <c r="B107" s="48" t="n">
        <f aca="false">'Fault &amp; Downtime Entry'!B108</f>
        <v>0</v>
      </c>
      <c r="C107" s="47" t="n">
        <f aca="false">'Fault &amp; Downtime Entry'!C108</f>
        <v>0</v>
      </c>
      <c r="D107" s="47" t="n">
        <f aca="false">'Fault &amp; Downtime Entry'!D108</f>
        <v>0</v>
      </c>
      <c r="E107" s="47" t="n">
        <f aca="false">'Fault &amp; Downtime Entry'!E108</f>
        <v>0</v>
      </c>
      <c r="F107" s="47" t="str">
        <f aca="false">'Fault &amp; Downtime Entry'!F108</f>
        <v/>
      </c>
      <c r="G107" s="47" t="n">
        <f aca="false">'Fault &amp; Downtime Entry'!G108</f>
        <v>0</v>
      </c>
      <c r="H107" s="47" t="str">
        <f aca="false">'Fault &amp; Downtime Entry'!H108</f>
        <v/>
      </c>
      <c r="I107" s="47" t="str">
        <f aca="false">'Fault &amp; Downtime Entry'!I108</f>
        <v/>
      </c>
      <c r="J107" s="47" t="n">
        <f aca="false">'Fault &amp; Downtime Entry'!J108</f>
        <v>0</v>
      </c>
      <c r="K107" s="47" t="n">
        <f aca="false">'Fault &amp; Downtime Entry'!K108</f>
        <v>0</v>
      </c>
      <c r="L107" s="47" t="n">
        <f aca="false">'Fault &amp; Downtime Entry'!L108</f>
        <v>0</v>
      </c>
      <c r="M107" s="47" t="str">
        <f aca="false">'Fault &amp; Downtime Entry'!M108</f>
        <v/>
      </c>
      <c r="N107" s="47" t="n">
        <f aca="false">'Fault &amp; Downtime Entry'!N108</f>
        <v>0</v>
      </c>
      <c r="O107" s="47" t="n">
        <f aca="false">'Fault &amp; Downtime Entry'!O108</f>
        <v>0</v>
      </c>
      <c r="P107" s="47" t="str">
        <f aca="false">IF(OR(J107="",K107=""),"",IFERROR(J107/K107*1000,0))</f>
        <v/>
      </c>
      <c r="Q107" s="47" t="str">
        <f aca="false">IF(OR(L107="",K107=""),"",IFERROR(L107/K107*1000,0))</f>
        <v/>
      </c>
      <c r="R107" s="47" t="str">
        <f aca="false">IF(OR(M107="High",M107="Critical"),"YES","")</f>
        <v/>
      </c>
    </row>
    <row r="108" customFormat="false" ht="15" hidden="false" customHeight="true" outlineLevel="0" collapsed="false">
      <c r="A108" s="47" t="n">
        <f aca="false">'Fault &amp; Downtime Entry'!A109</f>
        <v>104</v>
      </c>
      <c r="B108" s="48" t="n">
        <f aca="false">'Fault &amp; Downtime Entry'!B109</f>
        <v>0</v>
      </c>
      <c r="C108" s="47" t="n">
        <f aca="false">'Fault &amp; Downtime Entry'!C109</f>
        <v>0</v>
      </c>
      <c r="D108" s="47" t="n">
        <f aca="false">'Fault &amp; Downtime Entry'!D109</f>
        <v>0</v>
      </c>
      <c r="E108" s="47" t="n">
        <f aca="false">'Fault &amp; Downtime Entry'!E109</f>
        <v>0</v>
      </c>
      <c r="F108" s="47" t="str">
        <f aca="false">'Fault &amp; Downtime Entry'!F109</f>
        <v/>
      </c>
      <c r="G108" s="47" t="n">
        <f aca="false">'Fault &amp; Downtime Entry'!G109</f>
        <v>0</v>
      </c>
      <c r="H108" s="47" t="str">
        <f aca="false">'Fault &amp; Downtime Entry'!H109</f>
        <v/>
      </c>
      <c r="I108" s="47" t="str">
        <f aca="false">'Fault &amp; Downtime Entry'!I109</f>
        <v/>
      </c>
      <c r="J108" s="47" t="n">
        <f aca="false">'Fault &amp; Downtime Entry'!J109</f>
        <v>0</v>
      </c>
      <c r="K108" s="47" t="n">
        <f aca="false">'Fault &amp; Downtime Entry'!K109</f>
        <v>0</v>
      </c>
      <c r="L108" s="47" t="n">
        <f aca="false">'Fault &amp; Downtime Entry'!L109</f>
        <v>0</v>
      </c>
      <c r="M108" s="47" t="str">
        <f aca="false">'Fault &amp; Downtime Entry'!M109</f>
        <v/>
      </c>
      <c r="N108" s="47" t="n">
        <f aca="false">'Fault &amp; Downtime Entry'!N109</f>
        <v>0</v>
      </c>
      <c r="O108" s="47" t="n">
        <f aca="false">'Fault &amp; Downtime Entry'!O109</f>
        <v>0</v>
      </c>
      <c r="P108" s="47" t="str">
        <f aca="false">IF(OR(J108="",K108=""),"",IFERROR(J108/K108*1000,0))</f>
        <v/>
      </c>
      <c r="Q108" s="47" t="str">
        <f aca="false">IF(OR(L108="",K108=""),"",IFERROR(L108/K108*1000,0))</f>
        <v/>
      </c>
      <c r="R108" s="47" t="str">
        <f aca="false">IF(OR(M108="High",M108="Critical"),"YES","")</f>
        <v/>
      </c>
    </row>
    <row r="109" customFormat="false" ht="15" hidden="false" customHeight="true" outlineLevel="0" collapsed="false">
      <c r="A109" s="47" t="n">
        <f aca="false">'Fault &amp; Downtime Entry'!A110</f>
        <v>105</v>
      </c>
      <c r="B109" s="48" t="n">
        <f aca="false">'Fault &amp; Downtime Entry'!B110</f>
        <v>0</v>
      </c>
      <c r="C109" s="47" t="n">
        <f aca="false">'Fault &amp; Downtime Entry'!C110</f>
        <v>0</v>
      </c>
      <c r="D109" s="47" t="n">
        <f aca="false">'Fault &amp; Downtime Entry'!D110</f>
        <v>0</v>
      </c>
      <c r="E109" s="47" t="n">
        <f aca="false">'Fault &amp; Downtime Entry'!E110</f>
        <v>0</v>
      </c>
      <c r="F109" s="47" t="str">
        <f aca="false">'Fault &amp; Downtime Entry'!F110</f>
        <v/>
      </c>
      <c r="G109" s="47" t="n">
        <f aca="false">'Fault &amp; Downtime Entry'!G110</f>
        <v>0</v>
      </c>
      <c r="H109" s="47" t="str">
        <f aca="false">'Fault &amp; Downtime Entry'!H110</f>
        <v/>
      </c>
      <c r="I109" s="47" t="str">
        <f aca="false">'Fault &amp; Downtime Entry'!I110</f>
        <v/>
      </c>
      <c r="J109" s="47" t="n">
        <f aca="false">'Fault &amp; Downtime Entry'!J110</f>
        <v>0</v>
      </c>
      <c r="K109" s="47" t="n">
        <f aca="false">'Fault &amp; Downtime Entry'!K110</f>
        <v>0</v>
      </c>
      <c r="L109" s="47" t="n">
        <f aca="false">'Fault &amp; Downtime Entry'!L110</f>
        <v>0</v>
      </c>
      <c r="M109" s="47" t="str">
        <f aca="false">'Fault &amp; Downtime Entry'!M110</f>
        <v/>
      </c>
      <c r="N109" s="47" t="n">
        <f aca="false">'Fault &amp; Downtime Entry'!N110</f>
        <v>0</v>
      </c>
      <c r="O109" s="47" t="n">
        <f aca="false">'Fault &amp; Downtime Entry'!O110</f>
        <v>0</v>
      </c>
      <c r="P109" s="47" t="str">
        <f aca="false">IF(OR(J109="",K109=""),"",IFERROR(J109/K109*1000,0))</f>
        <v/>
      </c>
      <c r="Q109" s="47" t="str">
        <f aca="false">IF(OR(L109="",K109=""),"",IFERROR(L109/K109*1000,0))</f>
        <v/>
      </c>
      <c r="R109" s="47" t="str">
        <f aca="false">IF(OR(M109="High",M109="Critical"),"YES","")</f>
        <v/>
      </c>
    </row>
    <row r="110" customFormat="false" ht="15" hidden="false" customHeight="true" outlineLevel="0" collapsed="false">
      <c r="A110" s="47" t="n">
        <f aca="false">'Fault &amp; Downtime Entry'!A111</f>
        <v>106</v>
      </c>
      <c r="B110" s="48" t="n">
        <f aca="false">'Fault &amp; Downtime Entry'!B111</f>
        <v>0</v>
      </c>
      <c r="C110" s="47" t="n">
        <f aca="false">'Fault &amp; Downtime Entry'!C111</f>
        <v>0</v>
      </c>
      <c r="D110" s="47" t="n">
        <f aca="false">'Fault &amp; Downtime Entry'!D111</f>
        <v>0</v>
      </c>
      <c r="E110" s="47" t="n">
        <f aca="false">'Fault &amp; Downtime Entry'!E111</f>
        <v>0</v>
      </c>
      <c r="F110" s="47" t="str">
        <f aca="false">'Fault &amp; Downtime Entry'!F111</f>
        <v/>
      </c>
      <c r="G110" s="47" t="n">
        <f aca="false">'Fault &amp; Downtime Entry'!G111</f>
        <v>0</v>
      </c>
      <c r="H110" s="47" t="str">
        <f aca="false">'Fault &amp; Downtime Entry'!H111</f>
        <v/>
      </c>
      <c r="I110" s="47" t="str">
        <f aca="false">'Fault &amp; Downtime Entry'!I111</f>
        <v/>
      </c>
      <c r="J110" s="47" t="n">
        <f aca="false">'Fault &amp; Downtime Entry'!J111</f>
        <v>0</v>
      </c>
      <c r="K110" s="47" t="n">
        <f aca="false">'Fault &amp; Downtime Entry'!K111</f>
        <v>0</v>
      </c>
      <c r="L110" s="47" t="n">
        <f aca="false">'Fault &amp; Downtime Entry'!L111</f>
        <v>0</v>
      </c>
      <c r="M110" s="47" t="str">
        <f aca="false">'Fault &amp; Downtime Entry'!M111</f>
        <v/>
      </c>
      <c r="N110" s="47" t="n">
        <f aca="false">'Fault &amp; Downtime Entry'!N111</f>
        <v>0</v>
      </c>
      <c r="O110" s="47" t="n">
        <f aca="false">'Fault &amp; Downtime Entry'!O111</f>
        <v>0</v>
      </c>
      <c r="P110" s="47" t="str">
        <f aca="false">IF(OR(J110="",K110=""),"",IFERROR(J110/K110*1000,0))</f>
        <v/>
      </c>
      <c r="Q110" s="47" t="str">
        <f aca="false">IF(OR(L110="",K110=""),"",IFERROR(L110/K110*1000,0))</f>
        <v/>
      </c>
      <c r="R110" s="47" t="str">
        <f aca="false">IF(OR(M110="High",M110="Critical"),"YES","")</f>
        <v/>
      </c>
    </row>
    <row r="111" customFormat="false" ht="15" hidden="false" customHeight="true" outlineLevel="0" collapsed="false">
      <c r="A111" s="47" t="n">
        <f aca="false">'Fault &amp; Downtime Entry'!A112</f>
        <v>107</v>
      </c>
      <c r="B111" s="48" t="n">
        <f aca="false">'Fault &amp; Downtime Entry'!B112</f>
        <v>0</v>
      </c>
      <c r="C111" s="47" t="n">
        <f aca="false">'Fault &amp; Downtime Entry'!C112</f>
        <v>0</v>
      </c>
      <c r="D111" s="47" t="n">
        <f aca="false">'Fault &amp; Downtime Entry'!D112</f>
        <v>0</v>
      </c>
      <c r="E111" s="47" t="n">
        <f aca="false">'Fault &amp; Downtime Entry'!E112</f>
        <v>0</v>
      </c>
      <c r="F111" s="47" t="str">
        <f aca="false">'Fault &amp; Downtime Entry'!F112</f>
        <v/>
      </c>
      <c r="G111" s="47" t="n">
        <f aca="false">'Fault &amp; Downtime Entry'!G112</f>
        <v>0</v>
      </c>
      <c r="H111" s="47" t="str">
        <f aca="false">'Fault &amp; Downtime Entry'!H112</f>
        <v/>
      </c>
      <c r="I111" s="47" t="str">
        <f aca="false">'Fault &amp; Downtime Entry'!I112</f>
        <v/>
      </c>
      <c r="J111" s="47" t="n">
        <f aca="false">'Fault &amp; Downtime Entry'!J112</f>
        <v>0</v>
      </c>
      <c r="K111" s="47" t="n">
        <f aca="false">'Fault &amp; Downtime Entry'!K112</f>
        <v>0</v>
      </c>
      <c r="L111" s="47" t="n">
        <f aca="false">'Fault &amp; Downtime Entry'!L112</f>
        <v>0</v>
      </c>
      <c r="M111" s="47" t="str">
        <f aca="false">'Fault &amp; Downtime Entry'!M112</f>
        <v/>
      </c>
      <c r="N111" s="47" t="n">
        <f aca="false">'Fault &amp; Downtime Entry'!N112</f>
        <v>0</v>
      </c>
      <c r="O111" s="47" t="n">
        <f aca="false">'Fault &amp; Downtime Entry'!O112</f>
        <v>0</v>
      </c>
      <c r="P111" s="47" t="str">
        <f aca="false">IF(OR(J111="",K111=""),"",IFERROR(J111/K111*1000,0))</f>
        <v/>
      </c>
      <c r="Q111" s="47" t="str">
        <f aca="false">IF(OR(L111="",K111=""),"",IFERROR(L111/K111*1000,0))</f>
        <v/>
      </c>
      <c r="R111" s="47" t="str">
        <f aca="false">IF(OR(M111="High",M111="Critical"),"YES","")</f>
        <v/>
      </c>
    </row>
    <row r="112" customFormat="false" ht="15" hidden="false" customHeight="true" outlineLevel="0" collapsed="false">
      <c r="A112" s="47" t="n">
        <f aca="false">'Fault &amp; Downtime Entry'!A113</f>
        <v>108</v>
      </c>
      <c r="B112" s="48" t="n">
        <f aca="false">'Fault &amp; Downtime Entry'!B113</f>
        <v>0</v>
      </c>
      <c r="C112" s="47" t="n">
        <f aca="false">'Fault &amp; Downtime Entry'!C113</f>
        <v>0</v>
      </c>
      <c r="D112" s="47" t="n">
        <f aca="false">'Fault &amp; Downtime Entry'!D113</f>
        <v>0</v>
      </c>
      <c r="E112" s="47" t="n">
        <f aca="false">'Fault &amp; Downtime Entry'!E113</f>
        <v>0</v>
      </c>
      <c r="F112" s="47" t="str">
        <f aca="false">'Fault &amp; Downtime Entry'!F113</f>
        <v/>
      </c>
      <c r="G112" s="47" t="n">
        <f aca="false">'Fault &amp; Downtime Entry'!G113</f>
        <v>0</v>
      </c>
      <c r="H112" s="47" t="str">
        <f aca="false">'Fault &amp; Downtime Entry'!H113</f>
        <v/>
      </c>
      <c r="I112" s="47" t="str">
        <f aca="false">'Fault &amp; Downtime Entry'!I113</f>
        <v/>
      </c>
      <c r="J112" s="47" t="n">
        <f aca="false">'Fault &amp; Downtime Entry'!J113</f>
        <v>0</v>
      </c>
      <c r="K112" s="47" t="n">
        <f aca="false">'Fault &amp; Downtime Entry'!K113</f>
        <v>0</v>
      </c>
      <c r="L112" s="47" t="n">
        <f aca="false">'Fault &amp; Downtime Entry'!L113</f>
        <v>0</v>
      </c>
      <c r="M112" s="47" t="str">
        <f aca="false">'Fault &amp; Downtime Entry'!M113</f>
        <v/>
      </c>
      <c r="N112" s="47" t="n">
        <f aca="false">'Fault &amp; Downtime Entry'!N113</f>
        <v>0</v>
      </c>
      <c r="O112" s="47" t="n">
        <f aca="false">'Fault &amp; Downtime Entry'!O113</f>
        <v>0</v>
      </c>
      <c r="P112" s="47" t="str">
        <f aca="false">IF(OR(J112="",K112=""),"",IFERROR(J112/K112*1000,0))</f>
        <v/>
      </c>
      <c r="Q112" s="47" t="str">
        <f aca="false">IF(OR(L112="",K112=""),"",IFERROR(L112/K112*1000,0))</f>
        <v/>
      </c>
      <c r="R112" s="47" t="str">
        <f aca="false">IF(OR(M112="High",M112="Critical"),"YES","")</f>
        <v/>
      </c>
    </row>
    <row r="113" customFormat="false" ht="15" hidden="false" customHeight="true" outlineLevel="0" collapsed="false">
      <c r="A113" s="47" t="n">
        <f aca="false">'Fault &amp; Downtime Entry'!A114</f>
        <v>109</v>
      </c>
      <c r="B113" s="48" t="n">
        <f aca="false">'Fault &amp; Downtime Entry'!B114</f>
        <v>0</v>
      </c>
      <c r="C113" s="47" t="n">
        <f aca="false">'Fault &amp; Downtime Entry'!C114</f>
        <v>0</v>
      </c>
      <c r="D113" s="47" t="n">
        <f aca="false">'Fault &amp; Downtime Entry'!D114</f>
        <v>0</v>
      </c>
      <c r="E113" s="47" t="n">
        <f aca="false">'Fault &amp; Downtime Entry'!E114</f>
        <v>0</v>
      </c>
      <c r="F113" s="47" t="str">
        <f aca="false">'Fault &amp; Downtime Entry'!F114</f>
        <v/>
      </c>
      <c r="G113" s="47" t="n">
        <f aca="false">'Fault &amp; Downtime Entry'!G114</f>
        <v>0</v>
      </c>
      <c r="H113" s="47" t="str">
        <f aca="false">'Fault &amp; Downtime Entry'!H114</f>
        <v/>
      </c>
      <c r="I113" s="47" t="str">
        <f aca="false">'Fault &amp; Downtime Entry'!I114</f>
        <v/>
      </c>
      <c r="J113" s="47" t="n">
        <f aca="false">'Fault &amp; Downtime Entry'!J114</f>
        <v>0</v>
      </c>
      <c r="K113" s="47" t="n">
        <f aca="false">'Fault &amp; Downtime Entry'!K114</f>
        <v>0</v>
      </c>
      <c r="L113" s="47" t="n">
        <f aca="false">'Fault &amp; Downtime Entry'!L114</f>
        <v>0</v>
      </c>
      <c r="M113" s="47" t="str">
        <f aca="false">'Fault &amp; Downtime Entry'!M114</f>
        <v/>
      </c>
      <c r="N113" s="47" t="n">
        <f aca="false">'Fault &amp; Downtime Entry'!N114</f>
        <v>0</v>
      </c>
      <c r="O113" s="47" t="n">
        <f aca="false">'Fault &amp; Downtime Entry'!O114</f>
        <v>0</v>
      </c>
      <c r="P113" s="47" t="str">
        <f aca="false">IF(OR(J113="",K113=""),"",IFERROR(J113/K113*1000,0))</f>
        <v/>
      </c>
      <c r="Q113" s="47" t="str">
        <f aca="false">IF(OR(L113="",K113=""),"",IFERROR(L113/K113*1000,0))</f>
        <v/>
      </c>
      <c r="R113" s="47" t="str">
        <f aca="false">IF(OR(M113="High",M113="Critical"),"YES","")</f>
        <v/>
      </c>
    </row>
    <row r="114" customFormat="false" ht="15" hidden="false" customHeight="true" outlineLevel="0" collapsed="false">
      <c r="A114" s="47" t="n">
        <f aca="false">'Fault &amp; Downtime Entry'!A115</f>
        <v>110</v>
      </c>
      <c r="B114" s="48" t="n">
        <f aca="false">'Fault &amp; Downtime Entry'!B115</f>
        <v>0</v>
      </c>
      <c r="C114" s="47" t="n">
        <f aca="false">'Fault &amp; Downtime Entry'!C115</f>
        <v>0</v>
      </c>
      <c r="D114" s="47" t="n">
        <f aca="false">'Fault &amp; Downtime Entry'!D115</f>
        <v>0</v>
      </c>
      <c r="E114" s="47" t="n">
        <f aca="false">'Fault &amp; Downtime Entry'!E115</f>
        <v>0</v>
      </c>
      <c r="F114" s="47" t="str">
        <f aca="false">'Fault &amp; Downtime Entry'!F115</f>
        <v/>
      </c>
      <c r="G114" s="47" t="n">
        <f aca="false">'Fault &amp; Downtime Entry'!G115</f>
        <v>0</v>
      </c>
      <c r="H114" s="47" t="str">
        <f aca="false">'Fault &amp; Downtime Entry'!H115</f>
        <v/>
      </c>
      <c r="I114" s="47" t="str">
        <f aca="false">'Fault &amp; Downtime Entry'!I115</f>
        <v/>
      </c>
      <c r="J114" s="47" t="n">
        <f aca="false">'Fault &amp; Downtime Entry'!J115</f>
        <v>0</v>
      </c>
      <c r="K114" s="47" t="n">
        <f aca="false">'Fault &amp; Downtime Entry'!K115</f>
        <v>0</v>
      </c>
      <c r="L114" s="47" t="n">
        <f aca="false">'Fault &amp; Downtime Entry'!L115</f>
        <v>0</v>
      </c>
      <c r="M114" s="47" t="str">
        <f aca="false">'Fault &amp; Downtime Entry'!M115</f>
        <v/>
      </c>
      <c r="N114" s="47" t="n">
        <f aca="false">'Fault &amp; Downtime Entry'!N115</f>
        <v>0</v>
      </c>
      <c r="O114" s="47" t="n">
        <f aca="false">'Fault &amp; Downtime Entry'!O115</f>
        <v>0</v>
      </c>
      <c r="P114" s="47" t="str">
        <f aca="false">IF(OR(J114="",K114=""),"",IFERROR(J114/K114*1000,0))</f>
        <v/>
      </c>
      <c r="Q114" s="47" t="str">
        <f aca="false">IF(OR(L114="",K114=""),"",IFERROR(L114/K114*1000,0))</f>
        <v/>
      </c>
      <c r="R114" s="47" t="str">
        <f aca="false">IF(OR(M114="High",M114="Critical"),"YES","")</f>
        <v/>
      </c>
    </row>
    <row r="115" customFormat="false" ht="15" hidden="false" customHeight="true" outlineLevel="0" collapsed="false">
      <c r="A115" s="47" t="n">
        <f aca="false">'Fault &amp; Downtime Entry'!A116</f>
        <v>111</v>
      </c>
      <c r="B115" s="48" t="n">
        <f aca="false">'Fault &amp; Downtime Entry'!B116</f>
        <v>0</v>
      </c>
      <c r="C115" s="47" t="n">
        <f aca="false">'Fault &amp; Downtime Entry'!C116</f>
        <v>0</v>
      </c>
      <c r="D115" s="47" t="n">
        <f aca="false">'Fault &amp; Downtime Entry'!D116</f>
        <v>0</v>
      </c>
      <c r="E115" s="47" t="n">
        <f aca="false">'Fault &amp; Downtime Entry'!E116</f>
        <v>0</v>
      </c>
      <c r="F115" s="47" t="str">
        <f aca="false">'Fault &amp; Downtime Entry'!F116</f>
        <v/>
      </c>
      <c r="G115" s="47" t="n">
        <f aca="false">'Fault &amp; Downtime Entry'!G116</f>
        <v>0</v>
      </c>
      <c r="H115" s="47" t="str">
        <f aca="false">'Fault &amp; Downtime Entry'!H116</f>
        <v/>
      </c>
      <c r="I115" s="47" t="str">
        <f aca="false">'Fault &amp; Downtime Entry'!I116</f>
        <v/>
      </c>
      <c r="J115" s="47" t="n">
        <f aca="false">'Fault &amp; Downtime Entry'!J116</f>
        <v>0</v>
      </c>
      <c r="K115" s="47" t="n">
        <f aca="false">'Fault &amp; Downtime Entry'!K116</f>
        <v>0</v>
      </c>
      <c r="L115" s="47" t="n">
        <f aca="false">'Fault &amp; Downtime Entry'!L116</f>
        <v>0</v>
      </c>
      <c r="M115" s="47" t="str">
        <f aca="false">'Fault &amp; Downtime Entry'!M116</f>
        <v/>
      </c>
      <c r="N115" s="47" t="n">
        <f aca="false">'Fault &amp; Downtime Entry'!N116</f>
        <v>0</v>
      </c>
      <c r="O115" s="47" t="n">
        <f aca="false">'Fault &amp; Downtime Entry'!O116</f>
        <v>0</v>
      </c>
      <c r="P115" s="47" t="str">
        <f aca="false">IF(OR(J115="",K115=""),"",IFERROR(J115/K115*1000,0))</f>
        <v/>
      </c>
      <c r="Q115" s="47" t="str">
        <f aca="false">IF(OR(L115="",K115=""),"",IFERROR(L115/K115*1000,0))</f>
        <v/>
      </c>
      <c r="R115" s="47" t="str">
        <f aca="false">IF(OR(M115="High",M115="Critical"),"YES","")</f>
        <v/>
      </c>
    </row>
    <row r="116" customFormat="false" ht="15" hidden="false" customHeight="true" outlineLevel="0" collapsed="false">
      <c r="A116" s="47" t="n">
        <f aca="false">'Fault &amp; Downtime Entry'!A117</f>
        <v>112</v>
      </c>
      <c r="B116" s="48" t="n">
        <f aca="false">'Fault &amp; Downtime Entry'!B117</f>
        <v>0</v>
      </c>
      <c r="C116" s="47" t="n">
        <f aca="false">'Fault &amp; Downtime Entry'!C117</f>
        <v>0</v>
      </c>
      <c r="D116" s="47" t="n">
        <f aca="false">'Fault &amp; Downtime Entry'!D117</f>
        <v>0</v>
      </c>
      <c r="E116" s="47" t="n">
        <f aca="false">'Fault &amp; Downtime Entry'!E117</f>
        <v>0</v>
      </c>
      <c r="F116" s="47" t="str">
        <f aca="false">'Fault &amp; Downtime Entry'!F117</f>
        <v/>
      </c>
      <c r="G116" s="47" t="n">
        <f aca="false">'Fault &amp; Downtime Entry'!G117</f>
        <v>0</v>
      </c>
      <c r="H116" s="47" t="str">
        <f aca="false">'Fault &amp; Downtime Entry'!H117</f>
        <v/>
      </c>
      <c r="I116" s="47" t="str">
        <f aca="false">'Fault &amp; Downtime Entry'!I117</f>
        <v/>
      </c>
      <c r="J116" s="47" t="n">
        <f aca="false">'Fault &amp; Downtime Entry'!J117</f>
        <v>0</v>
      </c>
      <c r="K116" s="47" t="n">
        <f aca="false">'Fault &amp; Downtime Entry'!K117</f>
        <v>0</v>
      </c>
      <c r="L116" s="47" t="n">
        <f aca="false">'Fault &amp; Downtime Entry'!L117</f>
        <v>0</v>
      </c>
      <c r="M116" s="47" t="str">
        <f aca="false">'Fault &amp; Downtime Entry'!M117</f>
        <v/>
      </c>
      <c r="N116" s="47" t="n">
        <f aca="false">'Fault &amp; Downtime Entry'!N117</f>
        <v>0</v>
      </c>
      <c r="O116" s="47" t="n">
        <f aca="false">'Fault &amp; Downtime Entry'!O117</f>
        <v>0</v>
      </c>
      <c r="P116" s="47" t="str">
        <f aca="false">IF(OR(J116="",K116=""),"",IFERROR(J116/K116*1000,0))</f>
        <v/>
      </c>
      <c r="Q116" s="47" t="str">
        <f aca="false">IF(OR(L116="",K116=""),"",IFERROR(L116/K116*1000,0))</f>
        <v/>
      </c>
      <c r="R116" s="47" t="str">
        <f aca="false">IF(OR(M116="High",M116="Critical"),"YES","")</f>
        <v/>
      </c>
    </row>
    <row r="117" customFormat="false" ht="15" hidden="false" customHeight="true" outlineLevel="0" collapsed="false">
      <c r="A117" s="47" t="n">
        <f aca="false">'Fault &amp; Downtime Entry'!A118</f>
        <v>113</v>
      </c>
      <c r="B117" s="48" t="n">
        <f aca="false">'Fault &amp; Downtime Entry'!B118</f>
        <v>0</v>
      </c>
      <c r="C117" s="47" t="n">
        <f aca="false">'Fault &amp; Downtime Entry'!C118</f>
        <v>0</v>
      </c>
      <c r="D117" s="47" t="n">
        <f aca="false">'Fault &amp; Downtime Entry'!D118</f>
        <v>0</v>
      </c>
      <c r="E117" s="47" t="n">
        <f aca="false">'Fault &amp; Downtime Entry'!E118</f>
        <v>0</v>
      </c>
      <c r="F117" s="47" t="str">
        <f aca="false">'Fault &amp; Downtime Entry'!F118</f>
        <v/>
      </c>
      <c r="G117" s="47" t="n">
        <f aca="false">'Fault &amp; Downtime Entry'!G118</f>
        <v>0</v>
      </c>
      <c r="H117" s="47" t="str">
        <f aca="false">'Fault &amp; Downtime Entry'!H118</f>
        <v/>
      </c>
      <c r="I117" s="47" t="str">
        <f aca="false">'Fault &amp; Downtime Entry'!I118</f>
        <v/>
      </c>
      <c r="J117" s="47" t="n">
        <f aca="false">'Fault &amp; Downtime Entry'!J118</f>
        <v>0</v>
      </c>
      <c r="K117" s="47" t="n">
        <f aca="false">'Fault &amp; Downtime Entry'!K118</f>
        <v>0</v>
      </c>
      <c r="L117" s="47" t="n">
        <f aca="false">'Fault &amp; Downtime Entry'!L118</f>
        <v>0</v>
      </c>
      <c r="M117" s="47" t="str">
        <f aca="false">'Fault &amp; Downtime Entry'!M118</f>
        <v/>
      </c>
      <c r="N117" s="47" t="n">
        <f aca="false">'Fault &amp; Downtime Entry'!N118</f>
        <v>0</v>
      </c>
      <c r="O117" s="47" t="n">
        <f aca="false">'Fault &amp; Downtime Entry'!O118</f>
        <v>0</v>
      </c>
      <c r="P117" s="47" t="str">
        <f aca="false">IF(OR(J117="",K117=""),"",IFERROR(J117/K117*1000,0))</f>
        <v/>
      </c>
      <c r="Q117" s="47" t="str">
        <f aca="false">IF(OR(L117="",K117=""),"",IFERROR(L117/K117*1000,0))</f>
        <v/>
      </c>
      <c r="R117" s="47" t="str">
        <f aca="false">IF(OR(M117="High",M117="Critical"),"YES","")</f>
        <v/>
      </c>
    </row>
    <row r="118" customFormat="false" ht="15" hidden="false" customHeight="true" outlineLevel="0" collapsed="false">
      <c r="A118" s="47" t="n">
        <f aca="false">'Fault &amp; Downtime Entry'!A119</f>
        <v>114</v>
      </c>
      <c r="B118" s="48" t="n">
        <f aca="false">'Fault &amp; Downtime Entry'!B119</f>
        <v>0</v>
      </c>
      <c r="C118" s="47" t="n">
        <f aca="false">'Fault &amp; Downtime Entry'!C119</f>
        <v>0</v>
      </c>
      <c r="D118" s="47" t="n">
        <f aca="false">'Fault &amp; Downtime Entry'!D119</f>
        <v>0</v>
      </c>
      <c r="E118" s="47" t="n">
        <f aca="false">'Fault &amp; Downtime Entry'!E119</f>
        <v>0</v>
      </c>
      <c r="F118" s="47" t="str">
        <f aca="false">'Fault &amp; Downtime Entry'!F119</f>
        <v/>
      </c>
      <c r="G118" s="47" t="n">
        <f aca="false">'Fault &amp; Downtime Entry'!G119</f>
        <v>0</v>
      </c>
      <c r="H118" s="47" t="str">
        <f aca="false">'Fault &amp; Downtime Entry'!H119</f>
        <v/>
      </c>
      <c r="I118" s="47" t="str">
        <f aca="false">'Fault &amp; Downtime Entry'!I119</f>
        <v/>
      </c>
      <c r="J118" s="47" t="n">
        <f aca="false">'Fault &amp; Downtime Entry'!J119</f>
        <v>0</v>
      </c>
      <c r="K118" s="47" t="n">
        <f aca="false">'Fault &amp; Downtime Entry'!K119</f>
        <v>0</v>
      </c>
      <c r="L118" s="47" t="n">
        <f aca="false">'Fault &amp; Downtime Entry'!L119</f>
        <v>0</v>
      </c>
      <c r="M118" s="47" t="str">
        <f aca="false">'Fault &amp; Downtime Entry'!M119</f>
        <v/>
      </c>
      <c r="N118" s="47" t="n">
        <f aca="false">'Fault &amp; Downtime Entry'!N119</f>
        <v>0</v>
      </c>
      <c r="O118" s="47" t="n">
        <f aca="false">'Fault &amp; Downtime Entry'!O119</f>
        <v>0</v>
      </c>
      <c r="P118" s="47" t="str">
        <f aca="false">IF(OR(J118="",K118=""),"",IFERROR(J118/K118*1000,0))</f>
        <v/>
      </c>
      <c r="Q118" s="47" t="str">
        <f aca="false">IF(OR(L118="",K118=""),"",IFERROR(L118/K118*1000,0))</f>
        <v/>
      </c>
      <c r="R118" s="47" t="str">
        <f aca="false">IF(OR(M118="High",M118="Critical"),"YES","")</f>
        <v/>
      </c>
    </row>
    <row r="119" customFormat="false" ht="15" hidden="false" customHeight="true" outlineLevel="0" collapsed="false">
      <c r="A119" s="47" t="n">
        <f aca="false">'Fault &amp; Downtime Entry'!A120</f>
        <v>115</v>
      </c>
      <c r="B119" s="48" t="n">
        <f aca="false">'Fault &amp; Downtime Entry'!B120</f>
        <v>0</v>
      </c>
      <c r="C119" s="47" t="n">
        <f aca="false">'Fault &amp; Downtime Entry'!C120</f>
        <v>0</v>
      </c>
      <c r="D119" s="47" t="n">
        <f aca="false">'Fault &amp; Downtime Entry'!D120</f>
        <v>0</v>
      </c>
      <c r="E119" s="47" t="n">
        <f aca="false">'Fault &amp; Downtime Entry'!E120</f>
        <v>0</v>
      </c>
      <c r="F119" s="47" t="str">
        <f aca="false">'Fault &amp; Downtime Entry'!F120</f>
        <v/>
      </c>
      <c r="G119" s="47" t="n">
        <f aca="false">'Fault &amp; Downtime Entry'!G120</f>
        <v>0</v>
      </c>
      <c r="H119" s="47" t="str">
        <f aca="false">'Fault &amp; Downtime Entry'!H120</f>
        <v/>
      </c>
      <c r="I119" s="47" t="str">
        <f aca="false">'Fault &amp; Downtime Entry'!I120</f>
        <v/>
      </c>
      <c r="J119" s="47" t="n">
        <f aca="false">'Fault &amp; Downtime Entry'!J120</f>
        <v>0</v>
      </c>
      <c r="K119" s="47" t="n">
        <f aca="false">'Fault &amp; Downtime Entry'!K120</f>
        <v>0</v>
      </c>
      <c r="L119" s="47" t="n">
        <f aca="false">'Fault &amp; Downtime Entry'!L120</f>
        <v>0</v>
      </c>
      <c r="M119" s="47" t="str">
        <f aca="false">'Fault &amp; Downtime Entry'!M120</f>
        <v/>
      </c>
      <c r="N119" s="47" t="n">
        <f aca="false">'Fault &amp; Downtime Entry'!N120</f>
        <v>0</v>
      </c>
      <c r="O119" s="47" t="n">
        <f aca="false">'Fault &amp; Downtime Entry'!O120</f>
        <v>0</v>
      </c>
      <c r="P119" s="47" t="str">
        <f aca="false">IF(OR(J119="",K119=""),"",IFERROR(J119/K119*1000,0))</f>
        <v/>
      </c>
      <c r="Q119" s="47" t="str">
        <f aca="false">IF(OR(L119="",K119=""),"",IFERROR(L119/K119*1000,0))</f>
        <v/>
      </c>
      <c r="R119" s="47" t="str">
        <f aca="false">IF(OR(M119="High",M119="Critical"),"YES","")</f>
        <v/>
      </c>
    </row>
    <row r="120" customFormat="false" ht="15" hidden="false" customHeight="true" outlineLevel="0" collapsed="false">
      <c r="A120" s="47" t="n">
        <f aca="false">'Fault &amp; Downtime Entry'!A121</f>
        <v>116</v>
      </c>
      <c r="B120" s="48" t="n">
        <f aca="false">'Fault &amp; Downtime Entry'!B121</f>
        <v>0</v>
      </c>
      <c r="C120" s="47" t="n">
        <f aca="false">'Fault &amp; Downtime Entry'!C121</f>
        <v>0</v>
      </c>
      <c r="D120" s="47" t="n">
        <f aca="false">'Fault &amp; Downtime Entry'!D121</f>
        <v>0</v>
      </c>
      <c r="E120" s="47" t="n">
        <f aca="false">'Fault &amp; Downtime Entry'!E121</f>
        <v>0</v>
      </c>
      <c r="F120" s="47" t="str">
        <f aca="false">'Fault &amp; Downtime Entry'!F121</f>
        <v/>
      </c>
      <c r="G120" s="47" t="n">
        <f aca="false">'Fault &amp; Downtime Entry'!G121</f>
        <v>0</v>
      </c>
      <c r="H120" s="47" t="str">
        <f aca="false">'Fault &amp; Downtime Entry'!H121</f>
        <v/>
      </c>
      <c r="I120" s="47" t="str">
        <f aca="false">'Fault &amp; Downtime Entry'!I121</f>
        <v/>
      </c>
      <c r="J120" s="47" t="n">
        <f aca="false">'Fault &amp; Downtime Entry'!J121</f>
        <v>0</v>
      </c>
      <c r="K120" s="47" t="n">
        <f aca="false">'Fault &amp; Downtime Entry'!K121</f>
        <v>0</v>
      </c>
      <c r="L120" s="47" t="n">
        <f aca="false">'Fault &amp; Downtime Entry'!L121</f>
        <v>0</v>
      </c>
      <c r="M120" s="47" t="str">
        <f aca="false">'Fault &amp; Downtime Entry'!M121</f>
        <v/>
      </c>
      <c r="N120" s="47" t="n">
        <f aca="false">'Fault &amp; Downtime Entry'!N121</f>
        <v>0</v>
      </c>
      <c r="O120" s="47" t="n">
        <f aca="false">'Fault &amp; Downtime Entry'!O121</f>
        <v>0</v>
      </c>
      <c r="P120" s="47" t="str">
        <f aca="false">IF(OR(J120="",K120=""),"",IFERROR(J120/K120*1000,0))</f>
        <v/>
      </c>
      <c r="Q120" s="47" t="str">
        <f aca="false">IF(OR(L120="",K120=""),"",IFERROR(L120/K120*1000,0))</f>
        <v/>
      </c>
      <c r="R120" s="47" t="str">
        <f aca="false">IF(OR(M120="High",M120="Critical"),"YES","")</f>
        <v/>
      </c>
    </row>
    <row r="121" customFormat="false" ht="15" hidden="false" customHeight="true" outlineLevel="0" collapsed="false">
      <c r="A121" s="47" t="n">
        <f aca="false">'Fault &amp; Downtime Entry'!A122</f>
        <v>117</v>
      </c>
      <c r="B121" s="48" t="n">
        <f aca="false">'Fault &amp; Downtime Entry'!B122</f>
        <v>0</v>
      </c>
      <c r="C121" s="47" t="n">
        <f aca="false">'Fault &amp; Downtime Entry'!C122</f>
        <v>0</v>
      </c>
      <c r="D121" s="47" t="n">
        <f aca="false">'Fault &amp; Downtime Entry'!D122</f>
        <v>0</v>
      </c>
      <c r="E121" s="47" t="n">
        <f aca="false">'Fault &amp; Downtime Entry'!E122</f>
        <v>0</v>
      </c>
      <c r="F121" s="47" t="str">
        <f aca="false">'Fault &amp; Downtime Entry'!F122</f>
        <v/>
      </c>
      <c r="G121" s="47" t="n">
        <f aca="false">'Fault &amp; Downtime Entry'!G122</f>
        <v>0</v>
      </c>
      <c r="H121" s="47" t="str">
        <f aca="false">'Fault &amp; Downtime Entry'!H122</f>
        <v/>
      </c>
      <c r="I121" s="47" t="str">
        <f aca="false">'Fault &amp; Downtime Entry'!I122</f>
        <v/>
      </c>
      <c r="J121" s="47" t="n">
        <f aca="false">'Fault &amp; Downtime Entry'!J122</f>
        <v>0</v>
      </c>
      <c r="K121" s="47" t="n">
        <f aca="false">'Fault &amp; Downtime Entry'!K122</f>
        <v>0</v>
      </c>
      <c r="L121" s="47" t="n">
        <f aca="false">'Fault &amp; Downtime Entry'!L122</f>
        <v>0</v>
      </c>
      <c r="M121" s="47" t="str">
        <f aca="false">'Fault &amp; Downtime Entry'!M122</f>
        <v/>
      </c>
      <c r="N121" s="47" t="n">
        <f aca="false">'Fault &amp; Downtime Entry'!N122</f>
        <v>0</v>
      </c>
      <c r="O121" s="47" t="n">
        <f aca="false">'Fault &amp; Downtime Entry'!O122</f>
        <v>0</v>
      </c>
      <c r="P121" s="47" t="str">
        <f aca="false">IF(OR(J121="",K121=""),"",IFERROR(J121/K121*1000,0))</f>
        <v/>
      </c>
      <c r="Q121" s="47" t="str">
        <f aca="false">IF(OR(L121="",K121=""),"",IFERROR(L121/K121*1000,0))</f>
        <v/>
      </c>
      <c r="R121" s="47" t="str">
        <f aca="false">IF(OR(M121="High",M121="Critical"),"YES","")</f>
        <v/>
      </c>
    </row>
    <row r="122" customFormat="false" ht="15" hidden="false" customHeight="true" outlineLevel="0" collapsed="false">
      <c r="A122" s="47" t="n">
        <f aca="false">'Fault &amp; Downtime Entry'!A123</f>
        <v>118</v>
      </c>
      <c r="B122" s="48" t="n">
        <f aca="false">'Fault &amp; Downtime Entry'!B123</f>
        <v>0</v>
      </c>
      <c r="C122" s="47" t="n">
        <f aca="false">'Fault &amp; Downtime Entry'!C123</f>
        <v>0</v>
      </c>
      <c r="D122" s="47" t="n">
        <f aca="false">'Fault &amp; Downtime Entry'!D123</f>
        <v>0</v>
      </c>
      <c r="E122" s="47" t="n">
        <f aca="false">'Fault &amp; Downtime Entry'!E123</f>
        <v>0</v>
      </c>
      <c r="F122" s="47" t="str">
        <f aca="false">'Fault &amp; Downtime Entry'!F123</f>
        <v/>
      </c>
      <c r="G122" s="47" t="n">
        <f aca="false">'Fault &amp; Downtime Entry'!G123</f>
        <v>0</v>
      </c>
      <c r="H122" s="47" t="str">
        <f aca="false">'Fault &amp; Downtime Entry'!H123</f>
        <v/>
      </c>
      <c r="I122" s="47" t="str">
        <f aca="false">'Fault &amp; Downtime Entry'!I123</f>
        <v/>
      </c>
      <c r="J122" s="47" t="n">
        <f aca="false">'Fault &amp; Downtime Entry'!J123</f>
        <v>0</v>
      </c>
      <c r="K122" s="47" t="n">
        <f aca="false">'Fault &amp; Downtime Entry'!K123</f>
        <v>0</v>
      </c>
      <c r="L122" s="47" t="n">
        <f aca="false">'Fault &amp; Downtime Entry'!L123</f>
        <v>0</v>
      </c>
      <c r="M122" s="47" t="str">
        <f aca="false">'Fault &amp; Downtime Entry'!M123</f>
        <v/>
      </c>
      <c r="N122" s="47" t="n">
        <f aca="false">'Fault &amp; Downtime Entry'!N123</f>
        <v>0</v>
      </c>
      <c r="O122" s="47" t="n">
        <f aca="false">'Fault &amp; Downtime Entry'!O123</f>
        <v>0</v>
      </c>
      <c r="P122" s="47" t="str">
        <f aca="false">IF(OR(J122="",K122=""),"",IFERROR(J122/K122*1000,0))</f>
        <v/>
      </c>
      <c r="Q122" s="47" t="str">
        <f aca="false">IF(OR(L122="",K122=""),"",IFERROR(L122/K122*1000,0))</f>
        <v/>
      </c>
      <c r="R122" s="47" t="str">
        <f aca="false">IF(OR(M122="High",M122="Critical"),"YES","")</f>
        <v/>
      </c>
    </row>
    <row r="123" customFormat="false" ht="15" hidden="false" customHeight="true" outlineLevel="0" collapsed="false">
      <c r="A123" s="47" t="n">
        <f aca="false">'Fault &amp; Downtime Entry'!A124</f>
        <v>119</v>
      </c>
      <c r="B123" s="48" t="n">
        <f aca="false">'Fault &amp; Downtime Entry'!B124</f>
        <v>0</v>
      </c>
      <c r="C123" s="47" t="n">
        <f aca="false">'Fault &amp; Downtime Entry'!C124</f>
        <v>0</v>
      </c>
      <c r="D123" s="47" t="n">
        <f aca="false">'Fault &amp; Downtime Entry'!D124</f>
        <v>0</v>
      </c>
      <c r="E123" s="47" t="n">
        <f aca="false">'Fault &amp; Downtime Entry'!E124</f>
        <v>0</v>
      </c>
      <c r="F123" s="47" t="str">
        <f aca="false">'Fault &amp; Downtime Entry'!F124</f>
        <v/>
      </c>
      <c r="G123" s="47" t="n">
        <f aca="false">'Fault &amp; Downtime Entry'!G124</f>
        <v>0</v>
      </c>
      <c r="H123" s="47" t="str">
        <f aca="false">'Fault &amp; Downtime Entry'!H124</f>
        <v/>
      </c>
      <c r="I123" s="47" t="str">
        <f aca="false">'Fault &amp; Downtime Entry'!I124</f>
        <v/>
      </c>
      <c r="J123" s="47" t="n">
        <f aca="false">'Fault &amp; Downtime Entry'!J124</f>
        <v>0</v>
      </c>
      <c r="K123" s="47" t="n">
        <f aca="false">'Fault &amp; Downtime Entry'!K124</f>
        <v>0</v>
      </c>
      <c r="L123" s="47" t="n">
        <f aca="false">'Fault &amp; Downtime Entry'!L124</f>
        <v>0</v>
      </c>
      <c r="M123" s="47" t="str">
        <f aca="false">'Fault &amp; Downtime Entry'!M124</f>
        <v/>
      </c>
      <c r="N123" s="47" t="n">
        <f aca="false">'Fault &amp; Downtime Entry'!N124</f>
        <v>0</v>
      </c>
      <c r="O123" s="47" t="n">
        <f aca="false">'Fault &amp; Downtime Entry'!O124</f>
        <v>0</v>
      </c>
      <c r="P123" s="47" t="str">
        <f aca="false">IF(OR(J123="",K123=""),"",IFERROR(J123/K123*1000,0))</f>
        <v/>
      </c>
      <c r="Q123" s="47" t="str">
        <f aca="false">IF(OR(L123="",K123=""),"",IFERROR(L123/K123*1000,0))</f>
        <v/>
      </c>
      <c r="R123" s="47" t="str">
        <f aca="false">IF(OR(M123="High",M123="Critical"),"YES","")</f>
        <v/>
      </c>
    </row>
    <row r="124" customFormat="false" ht="15" hidden="false" customHeight="true" outlineLevel="0" collapsed="false">
      <c r="A124" s="47" t="n">
        <f aca="false">'Fault &amp; Downtime Entry'!A125</f>
        <v>120</v>
      </c>
      <c r="B124" s="48" t="n">
        <f aca="false">'Fault &amp; Downtime Entry'!B125</f>
        <v>0</v>
      </c>
      <c r="C124" s="47" t="n">
        <f aca="false">'Fault &amp; Downtime Entry'!C125</f>
        <v>0</v>
      </c>
      <c r="D124" s="47" t="n">
        <f aca="false">'Fault &amp; Downtime Entry'!D125</f>
        <v>0</v>
      </c>
      <c r="E124" s="47" t="n">
        <f aca="false">'Fault &amp; Downtime Entry'!E125</f>
        <v>0</v>
      </c>
      <c r="F124" s="47" t="str">
        <f aca="false">'Fault &amp; Downtime Entry'!F125</f>
        <v/>
      </c>
      <c r="G124" s="47" t="n">
        <f aca="false">'Fault &amp; Downtime Entry'!G125</f>
        <v>0</v>
      </c>
      <c r="H124" s="47" t="str">
        <f aca="false">'Fault &amp; Downtime Entry'!H125</f>
        <v/>
      </c>
      <c r="I124" s="47" t="str">
        <f aca="false">'Fault &amp; Downtime Entry'!I125</f>
        <v/>
      </c>
      <c r="J124" s="47" t="n">
        <f aca="false">'Fault &amp; Downtime Entry'!J125</f>
        <v>0</v>
      </c>
      <c r="K124" s="47" t="n">
        <f aca="false">'Fault &amp; Downtime Entry'!K125</f>
        <v>0</v>
      </c>
      <c r="L124" s="47" t="n">
        <f aca="false">'Fault &amp; Downtime Entry'!L125</f>
        <v>0</v>
      </c>
      <c r="M124" s="47" t="str">
        <f aca="false">'Fault &amp; Downtime Entry'!M125</f>
        <v/>
      </c>
      <c r="N124" s="47" t="n">
        <f aca="false">'Fault &amp; Downtime Entry'!N125</f>
        <v>0</v>
      </c>
      <c r="O124" s="47" t="n">
        <f aca="false">'Fault &amp; Downtime Entry'!O125</f>
        <v>0</v>
      </c>
      <c r="P124" s="47" t="str">
        <f aca="false">IF(OR(J124="",K124=""),"",IFERROR(J124/K124*1000,0))</f>
        <v/>
      </c>
      <c r="Q124" s="47" t="str">
        <f aca="false">IF(OR(L124="",K124=""),"",IFERROR(L124/K124*1000,0))</f>
        <v/>
      </c>
      <c r="R124" s="47" t="str">
        <f aca="false">IF(OR(M124="High",M124="Critical"),"YES","")</f>
        <v/>
      </c>
    </row>
    <row r="125" customFormat="false" ht="15" hidden="false" customHeight="true" outlineLevel="0" collapsed="false">
      <c r="A125" s="47" t="n">
        <f aca="false">'Fault &amp; Downtime Entry'!A126</f>
        <v>121</v>
      </c>
      <c r="B125" s="48" t="n">
        <f aca="false">'Fault &amp; Downtime Entry'!B126</f>
        <v>0</v>
      </c>
      <c r="C125" s="47" t="n">
        <f aca="false">'Fault &amp; Downtime Entry'!C126</f>
        <v>0</v>
      </c>
      <c r="D125" s="47" t="n">
        <f aca="false">'Fault &amp; Downtime Entry'!D126</f>
        <v>0</v>
      </c>
      <c r="E125" s="47" t="n">
        <f aca="false">'Fault &amp; Downtime Entry'!E126</f>
        <v>0</v>
      </c>
      <c r="F125" s="47" t="str">
        <f aca="false">'Fault &amp; Downtime Entry'!F126</f>
        <v/>
      </c>
      <c r="G125" s="47" t="n">
        <f aca="false">'Fault &amp; Downtime Entry'!G126</f>
        <v>0</v>
      </c>
      <c r="H125" s="47" t="str">
        <f aca="false">'Fault &amp; Downtime Entry'!H126</f>
        <v/>
      </c>
      <c r="I125" s="47" t="str">
        <f aca="false">'Fault &amp; Downtime Entry'!I126</f>
        <v/>
      </c>
      <c r="J125" s="47" t="n">
        <f aca="false">'Fault &amp; Downtime Entry'!J126</f>
        <v>0</v>
      </c>
      <c r="K125" s="47" t="n">
        <f aca="false">'Fault &amp; Downtime Entry'!K126</f>
        <v>0</v>
      </c>
      <c r="L125" s="47" t="n">
        <f aca="false">'Fault &amp; Downtime Entry'!L126</f>
        <v>0</v>
      </c>
      <c r="M125" s="47" t="str">
        <f aca="false">'Fault &amp; Downtime Entry'!M126</f>
        <v/>
      </c>
      <c r="N125" s="47" t="n">
        <f aca="false">'Fault &amp; Downtime Entry'!N126</f>
        <v>0</v>
      </c>
      <c r="O125" s="47" t="n">
        <f aca="false">'Fault &amp; Downtime Entry'!O126</f>
        <v>0</v>
      </c>
      <c r="P125" s="47" t="str">
        <f aca="false">IF(OR(J125="",K125=""),"",IFERROR(J125/K125*1000,0))</f>
        <v/>
      </c>
      <c r="Q125" s="47" t="str">
        <f aca="false">IF(OR(L125="",K125=""),"",IFERROR(L125/K125*1000,0))</f>
        <v/>
      </c>
      <c r="R125" s="47" t="str">
        <f aca="false">IF(OR(M125="High",M125="Critical"),"YES","")</f>
        <v/>
      </c>
    </row>
    <row r="126" customFormat="false" ht="15" hidden="false" customHeight="true" outlineLevel="0" collapsed="false">
      <c r="A126" s="47" t="n">
        <f aca="false">'Fault &amp; Downtime Entry'!A127</f>
        <v>122</v>
      </c>
      <c r="B126" s="48" t="n">
        <f aca="false">'Fault &amp; Downtime Entry'!B127</f>
        <v>0</v>
      </c>
      <c r="C126" s="47" t="n">
        <f aca="false">'Fault &amp; Downtime Entry'!C127</f>
        <v>0</v>
      </c>
      <c r="D126" s="47" t="n">
        <f aca="false">'Fault &amp; Downtime Entry'!D127</f>
        <v>0</v>
      </c>
      <c r="E126" s="47" t="n">
        <f aca="false">'Fault &amp; Downtime Entry'!E127</f>
        <v>0</v>
      </c>
      <c r="F126" s="47" t="str">
        <f aca="false">'Fault &amp; Downtime Entry'!F127</f>
        <v/>
      </c>
      <c r="G126" s="47" t="n">
        <f aca="false">'Fault &amp; Downtime Entry'!G127</f>
        <v>0</v>
      </c>
      <c r="H126" s="47" t="str">
        <f aca="false">'Fault &amp; Downtime Entry'!H127</f>
        <v/>
      </c>
      <c r="I126" s="47" t="str">
        <f aca="false">'Fault &amp; Downtime Entry'!I127</f>
        <v/>
      </c>
      <c r="J126" s="47" t="n">
        <f aca="false">'Fault &amp; Downtime Entry'!J127</f>
        <v>0</v>
      </c>
      <c r="K126" s="47" t="n">
        <f aca="false">'Fault &amp; Downtime Entry'!K127</f>
        <v>0</v>
      </c>
      <c r="L126" s="47" t="n">
        <f aca="false">'Fault &amp; Downtime Entry'!L127</f>
        <v>0</v>
      </c>
      <c r="M126" s="47" t="str">
        <f aca="false">'Fault &amp; Downtime Entry'!M127</f>
        <v/>
      </c>
      <c r="N126" s="47" t="n">
        <f aca="false">'Fault &amp; Downtime Entry'!N127</f>
        <v>0</v>
      </c>
      <c r="O126" s="47" t="n">
        <f aca="false">'Fault &amp; Downtime Entry'!O127</f>
        <v>0</v>
      </c>
      <c r="P126" s="47" t="str">
        <f aca="false">IF(OR(J126="",K126=""),"",IFERROR(J126/K126*1000,0))</f>
        <v/>
      </c>
      <c r="Q126" s="47" t="str">
        <f aca="false">IF(OR(L126="",K126=""),"",IFERROR(L126/K126*1000,0))</f>
        <v/>
      </c>
      <c r="R126" s="47" t="str">
        <f aca="false">IF(OR(M126="High",M126="Critical"),"YES","")</f>
        <v/>
      </c>
    </row>
    <row r="127" customFormat="false" ht="15" hidden="false" customHeight="true" outlineLevel="0" collapsed="false">
      <c r="A127" s="47" t="n">
        <f aca="false">'Fault &amp; Downtime Entry'!A128</f>
        <v>123</v>
      </c>
      <c r="B127" s="48" t="n">
        <f aca="false">'Fault &amp; Downtime Entry'!B128</f>
        <v>0</v>
      </c>
      <c r="C127" s="47" t="n">
        <f aca="false">'Fault &amp; Downtime Entry'!C128</f>
        <v>0</v>
      </c>
      <c r="D127" s="47" t="n">
        <f aca="false">'Fault &amp; Downtime Entry'!D128</f>
        <v>0</v>
      </c>
      <c r="E127" s="47" t="n">
        <f aca="false">'Fault &amp; Downtime Entry'!E128</f>
        <v>0</v>
      </c>
      <c r="F127" s="47" t="str">
        <f aca="false">'Fault &amp; Downtime Entry'!F128</f>
        <v/>
      </c>
      <c r="G127" s="47" t="n">
        <f aca="false">'Fault &amp; Downtime Entry'!G128</f>
        <v>0</v>
      </c>
      <c r="H127" s="47" t="str">
        <f aca="false">'Fault &amp; Downtime Entry'!H128</f>
        <v/>
      </c>
      <c r="I127" s="47" t="str">
        <f aca="false">'Fault &amp; Downtime Entry'!I128</f>
        <v/>
      </c>
      <c r="J127" s="47" t="n">
        <f aca="false">'Fault &amp; Downtime Entry'!J128</f>
        <v>0</v>
      </c>
      <c r="K127" s="47" t="n">
        <f aca="false">'Fault &amp; Downtime Entry'!K128</f>
        <v>0</v>
      </c>
      <c r="L127" s="47" t="n">
        <f aca="false">'Fault &amp; Downtime Entry'!L128</f>
        <v>0</v>
      </c>
      <c r="M127" s="47" t="str">
        <f aca="false">'Fault &amp; Downtime Entry'!M128</f>
        <v/>
      </c>
      <c r="N127" s="47" t="n">
        <f aca="false">'Fault &amp; Downtime Entry'!N128</f>
        <v>0</v>
      </c>
      <c r="O127" s="47" t="n">
        <f aca="false">'Fault &amp; Downtime Entry'!O128</f>
        <v>0</v>
      </c>
      <c r="P127" s="47" t="str">
        <f aca="false">IF(OR(J127="",K127=""),"",IFERROR(J127/K127*1000,0))</f>
        <v/>
      </c>
      <c r="Q127" s="47" t="str">
        <f aca="false">IF(OR(L127="",K127=""),"",IFERROR(L127/K127*1000,0))</f>
        <v/>
      </c>
      <c r="R127" s="47" t="str">
        <f aca="false">IF(OR(M127="High",M127="Critical"),"YES","")</f>
        <v/>
      </c>
    </row>
    <row r="128" customFormat="false" ht="15" hidden="false" customHeight="true" outlineLevel="0" collapsed="false">
      <c r="A128" s="47" t="n">
        <f aca="false">'Fault &amp; Downtime Entry'!A129</f>
        <v>124</v>
      </c>
      <c r="B128" s="48" t="n">
        <f aca="false">'Fault &amp; Downtime Entry'!B129</f>
        <v>0</v>
      </c>
      <c r="C128" s="47" t="n">
        <f aca="false">'Fault &amp; Downtime Entry'!C129</f>
        <v>0</v>
      </c>
      <c r="D128" s="47" t="n">
        <f aca="false">'Fault &amp; Downtime Entry'!D129</f>
        <v>0</v>
      </c>
      <c r="E128" s="47" t="n">
        <f aca="false">'Fault &amp; Downtime Entry'!E129</f>
        <v>0</v>
      </c>
      <c r="F128" s="47" t="str">
        <f aca="false">'Fault &amp; Downtime Entry'!F129</f>
        <v/>
      </c>
      <c r="G128" s="47" t="n">
        <f aca="false">'Fault &amp; Downtime Entry'!G129</f>
        <v>0</v>
      </c>
      <c r="H128" s="47" t="str">
        <f aca="false">'Fault &amp; Downtime Entry'!H129</f>
        <v/>
      </c>
      <c r="I128" s="47" t="str">
        <f aca="false">'Fault &amp; Downtime Entry'!I129</f>
        <v/>
      </c>
      <c r="J128" s="47" t="n">
        <f aca="false">'Fault &amp; Downtime Entry'!J129</f>
        <v>0</v>
      </c>
      <c r="K128" s="47" t="n">
        <f aca="false">'Fault &amp; Downtime Entry'!K129</f>
        <v>0</v>
      </c>
      <c r="L128" s="47" t="n">
        <f aca="false">'Fault &amp; Downtime Entry'!L129</f>
        <v>0</v>
      </c>
      <c r="M128" s="47" t="str">
        <f aca="false">'Fault &amp; Downtime Entry'!M129</f>
        <v/>
      </c>
      <c r="N128" s="47" t="n">
        <f aca="false">'Fault &amp; Downtime Entry'!N129</f>
        <v>0</v>
      </c>
      <c r="O128" s="47" t="n">
        <f aca="false">'Fault &amp; Downtime Entry'!O129</f>
        <v>0</v>
      </c>
      <c r="P128" s="47" t="str">
        <f aca="false">IF(OR(J128="",K128=""),"",IFERROR(J128/K128*1000,0))</f>
        <v/>
      </c>
      <c r="Q128" s="47" t="str">
        <f aca="false">IF(OR(L128="",K128=""),"",IFERROR(L128/K128*1000,0))</f>
        <v/>
      </c>
      <c r="R128" s="47" t="str">
        <f aca="false">IF(OR(M128="High",M128="Critical"),"YES","")</f>
        <v/>
      </c>
    </row>
    <row r="129" customFormat="false" ht="15" hidden="false" customHeight="true" outlineLevel="0" collapsed="false">
      <c r="A129" s="47" t="n">
        <f aca="false">'Fault &amp; Downtime Entry'!A130</f>
        <v>125</v>
      </c>
      <c r="B129" s="48" t="n">
        <f aca="false">'Fault &amp; Downtime Entry'!B130</f>
        <v>0</v>
      </c>
      <c r="C129" s="47" t="n">
        <f aca="false">'Fault &amp; Downtime Entry'!C130</f>
        <v>0</v>
      </c>
      <c r="D129" s="47" t="n">
        <f aca="false">'Fault &amp; Downtime Entry'!D130</f>
        <v>0</v>
      </c>
      <c r="E129" s="47" t="n">
        <f aca="false">'Fault &amp; Downtime Entry'!E130</f>
        <v>0</v>
      </c>
      <c r="F129" s="47" t="str">
        <f aca="false">'Fault &amp; Downtime Entry'!F130</f>
        <v/>
      </c>
      <c r="G129" s="47" t="n">
        <f aca="false">'Fault &amp; Downtime Entry'!G130</f>
        <v>0</v>
      </c>
      <c r="H129" s="47" t="str">
        <f aca="false">'Fault &amp; Downtime Entry'!H130</f>
        <v/>
      </c>
      <c r="I129" s="47" t="str">
        <f aca="false">'Fault &amp; Downtime Entry'!I130</f>
        <v/>
      </c>
      <c r="J129" s="47" t="n">
        <f aca="false">'Fault &amp; Downtime Entry'!J130</f>
        <v>0</v>
      </c>
      <c r="K129" s="47" t="n">
        <f aca="false">'Fault &amp; Downtime Entry'!K130</f>
        <v>0</v>
      </c>
      <c r="L129" s="47" t="n">
        <f aca="false">'Fault &amp; Downtime Entry'!L130</f>
        <v>0</v>
      </c>
      <c r="M129" s="47" t="str">
        <f aca="false">'Fault &amp; Downtime Entry'!M130</f>
        <v/>
      </c>
      <c r="N129" s="47" t="n">
        <f aca="false">'Fault &amp; Downtime Entry'!N130</f>
        <v>0</v>
      </c>
      <c r="O129" s="47" t="n">
        <f aca="false">'Fault &amp; Downtime Entry'!O130</f>
        <v>0</v>
      </c>
      <c r="P129" s="47" t="str">
        <f aca="false">IF(OR(J129="",K129=""),"",IFERROR(J129/K129*1000,0))</f>
        <v/>
      </c>
      <c r="Q129" s="47" t="str">
        <f aca="false">IF(OR(L129="",K129=""),"",IFERROR(L129/K129*1000,0))</f>
        <v/>
      </c>
      <c r="R129" s="47" t="str">
        <f aca="false">IF(OR(M129="High",M129="Critical"),"YES","")</f>
        <v/>
      </c>
    </row>
    <row r="130" customFormat="false" ht="15" hidden="false" customHeight="true" outlineLevel="0" collapsed="false">
      <c r="A130" s="47" t="n">
        <f aca="false">'Fault &amp; Downtime Entry'!A131</f>
        <v>126</v>
      </c>
      <c r="B130" s="48" t="n">
        <f aca="false">'Fault &amp; Downtime Entry'!B131</f>
        <v>0</v>
      </c>
      <c r="C130" s="47" t="n">
        <f aca="false">'Fault &amp; Downtime Entry'!C131</f>
        <v>0</v>
      </c>
      <c r="D130" s="47" t="n">
        <f aca="false">'Fault &amp; Downtime Entry'!D131</f>
        <v>0</v>
      </c>
      <c r="E130" s="47" t="n">
        <f aca="false">'Fault &amp; Downtime Entry'!E131</f>
        <v>0</v>
      </c>
      <c r="F130" s="47" t="str">
        <f aca="false">'Fault &amp; Downtime Entry'!F131</f>
        <v/>
      </c>
      <c r="G130" s="47" t="n">
        <f aca="false">'Fault &amp; Downtime Entry'!G131</f>
        <v>0</v>
      </c>
      <c r="H130" s="47" t="str">
        <f aca="false">'Fault &amp; Downtime Entry'!H131</f>
        <v/>
      </c>
      <c r="I130" s="47" t="str">
        <f aca="false">'Fault &amp; Downtime Entry'!I131</f>
        <v/>
      </c>
      <c r="J130" s="47" t="n">
        <f aca="false">'Fault &amp; Downtime Entry'!J131</f>
        <v>0</v>
      </c>
      <c r="K130" s="47" t="n">
        <f aca="false">'Fault &amp; Downtime Entry'!K131</f>
        <v>0</v>
      </c>
      <c r="L130" s="47" t="n">
        <f aca="false">'Fault &amp; Downtime Entry'!L131</f>
        <v>0</v>
      </c>
      <c r="M130" s="47" t="str">
        <f aca="false">'Fault &amp; Downtime Entry'!M131</f>
        <v/>
      </c>
      <c r="N130" s="47" t="n">
        <f aca="false">'Fault &amp; Downtime Entry'!N131</f>
        <v>0</v>
      </c>
      <c r="O130" s="47" t="n">
        <f aca="false">'Fault &amp; Downtime Entry'!O131</f>
        <v>0</v>
      </c>
      <c r="P130" s="47" t="str">
        <f aca="false">IF(OR(J130="",K130=""),"",IFERROR(J130/K130*1000,0))</f>
        <v/>
      </c>
      <c r="Q130" s="47" t="str">
        <f aca="false">IF(OR(L130="",K130=""),"",IFERROR(L130/K130*1000,0))</f>
        <v/>
      </c>
      <c r="R130" s="47" t="str">
        <f aca="false">IF(OR(M130="High",M130="Critical"),"YES","")</f>
        <v/>
      </c>
    </row>
    <row r="131" customFormat="false" ht="15" hidden="false" customHeight="true" outlineLevel="0" collapsed="false">
      <c r="A131" s="47" t="n">
        <f aca="false">'Fault &amp; Downtime Entry'!A132</f>
        <v>127</v>
      </c>
      <c r="B131" s="48" t="n">
        <f aca="false">'Fault &amp; Downtime Entry'!B132</f>
        <v>0</v>
      </c>
      <c r="C131" s="47" t="n">
        <f aca="false">'Fault &amp; Downtime Entry'!C132</f>
        <v>0</v>
      </c>
      <c r="D131" s="47" t="n">
        <f aca="false">'Fault &amp; Downtime Entry'!D132</f>
        <v>0</v>
      </c>
      <c r="E131" s="47" t="n">
        <f aca="false">'Fault &amp; Downtime Entry'!E132</f>
        <v>0</v>
      </c>
      <c r="F131" s="47" t="str">
        <f aca="false">'Fault &amp; Downtime Entry'!F132</f>
        <v/>
      </c>
      <c r="G131" s="47" t="n">
        <f aca="false">'Fault &amp; Downtime Entry'!G132</f>
        <v>0</v>
      </c>
      <c r="H131" s="47" t="str">
        <f aca="false">'Fault &amp; Downtime Entry'!H132</f>
        <v/>
      </c>
      <c r="I131" s="47" t="str">
        <f aca="false">'Fault &amp; Downtime Entry'!I132</f>
        <v/>
      </c>
      <c r="J131" s="47" t="n">
        <f aca="false">'Fault &amp; Downtime Entry'!J132</f>
        <v>0</v>
      </c>
      <c r="K131" s="47" t="n">
        <f aca="false">'Fault &amp; Downtime Entry'!K132</f>
        <v>0</v>
      </c>
      <c r="L131" s="47" t="n">
        <f aca="false">'Fault &amp; Downtime Entry'!L132</f>
        <v>0</v>
      </c>
      <c r="M131" s="47" t="str">
        <f aca="false">'Fault &amp; Downtime Entry'!M132</f>
        <v/>
      </c>
      <c r="N131" s="47" t="n">
        <f aca="false">'Fault &amp; Downtime Entry'!N132</f>
        <v>0</v>
      </c>
      <c r="O131" s="47" t="n">
        <f aca="false">'Fault &amp; Downtime Entry'!O132</f>
        <v>0</v>
      </c>
      <c r="P131" s="47" t="str">
        <f aca="false">IF(OR(J131="",K131=""),"",IFERROR(J131/K131*1000,0))</f>
        <v/>
      </c>
      <c r="Q131" s="47" t="str">
        <f aca="false">IF(OR(L131="",K131=""),"",IFERROR(L131/K131*1000,0))</f>
        <v/>
      </c>
      <c r="R131" s="47" t="str">
        <f aca="false">IF(OR(M131="High",M131="Critical"),"YES","")</f>
        <v/>
      </c>
    </row>
    <row r="132" customFormat="false" ht="15" hidden="false" customHeight="true" outlineLevel="0" collapsed="false">
      <c r="A132" s="47" t="n">
        <f aca="false">'Fault &amp; Downtime Entry'!A133</f>
        <v>128</v>
      </c>
      <c r="B132" s="48" t="n">
        <f aca="false">'Fault &amp; Downtime Entry'!B133</f>
        <v>0</v>
      </c>
      <c r="C132" s="47" t="n">
        <f aca="false">'Fault &amp; Downtime Entry'!C133</f>
        <v>0</v>
      </c>
      <c r="D132" s="47" t="n">
        <f aca="false">'Fault &amp; Downtime Entry'!D133</f>
        <v>0</v>
      </c>
      <c r="E132" s="47" t="n">
        <f aca="false">'Fault &amp; Downtime Entry'!E133</f>
        <v>0</v>
      </c>
      <c r="F132" s="47" t="str">
        <f aca="false">'Fault &amp; Downtime Entry'!F133</f>
        <v/>
      </c>
      <c r="G132" s="47" t="n">
        <f aca="false">'Fault &amp; Downtime Entry'!G133</f>
        <v>0</v>
      </c>
      <c r="H132" s="47" t="str">
        <f aca="false">'Fault &amp; Downtime Entry'!H133</f>
        <v/>
      </c>
      <c r="I132" s="47" t="str">
        <f aca="false">'Fault &amp; Downtime Entry'!I133</f>
        <v/>
      </c>
      <c r="J132" s="47" t="n">
        <f aca="false">'Fault &amp; Downtime Entry'!J133</f>
        <v>0</v>
      </c>
      <c r="K132" s="47" t="n">
        <f aca="false">'Fault &amp; Downtime Entry'!K133</f>
        <v>0</v>
      </c>
      <c r="L132" s="47" t="n">
        <f aca="false">'Fault &amp; Downtime Entry'!L133</f>
        <v>0</v>
      </c>
      <c r="M132" s="47" t="str">
        <f aca="false">'Fault &amp; Downtime Entry'!M133</f>
        <v/>
      </c>
      <c r="N132" s="47" t="n">
        <f aca="false">'Fault &amp; Downtime Entry'!N133</f>
        <v>0</v>
      </c>
      <c r="O132" s="47" t="n">
        <f aca="false">'Fault &amp; Downtime Entry'!O133</f>
        <v>0</v>
      </c>
      <c r="P132" s="47" t="str">
        <f aca="false">IF(OR(J132="",K132=""),"",IFERROR(J132/K132*1000,0))</f>
        <v/>
      </c>
      <c r="Q132" s="47" t="str">
        <f aca="false">IF(OR(L132="",K132=""),"",IFERROR(L132/K132*1000,0))</f>
        <v/>
      </c>
      <c r="R132" s="47" t="str">
        <f aca="false">IF(OR(M132="High",M132="Critical"),"YES","")</f>
        <v/>
      </c>
    </row>
    <row r="133" customFormat="false" ht="15" hidden="false" customHeight="true" outlineLevel="0" collapsed="false">
      <c r="A133" s="47" t="n">
        <f aca="false">'Fault &amp; Downtime Entry'!A134</f>
        <v>129</v>
      </c>
      <c r="B133" s="48" t="n">
        <f aca="false">'Fault &amp; Downtime Entry'!B134</f>
        <v>0</v>
      </c>
      <c r="C133" s="47" t="n">
        <f aca="false">'Fault &amp; Downtime Entry'!C134</f>
        <v>0</v>
      </c>
      <c r="D133" s="47" t="n">
        <f aca="false">'Fault &amp; Downtime Entry'!D134</f>
        <v>0</v>
      </c>
      <c r="E133" s="47" t="n">
        <f aca="false">'Fault &amp; Downtime Entry'!E134</f>
        <v>0</v>
      </c>
      <c r="F133" s="47" t="str">
        <f aca="false">'Fault &amp; Downtime Entry'!F134</f>
        <v/>
      </c>
      <c r="G133" s="47" t="n">
        <f aca="false">'Fault &amp; Downtime Entry'!G134</f>
        <v>0</v>
      </c>
      <c r="H133" s="47" t="str">
        <f aca="false">'Fault &amp; Downtime Entry'!H134</f>
        <v/>
      </c>
      <c r="I133" s="47" t="str">
        <f aca="false">'Fault &amp; Downtime Entry'!I134</f>
        <v/>
      </c>
      <c r="J133" s="47" t="n">
        <f aca="false">'Fault &amp; Downtime Entry'!J134</f>
        <v>0</v>
      </c>
      <c r="K133" s="47" t="n">
        <f aca="false">'Fault &amp; Downtime Entry'!K134</f>
        <v>0</v>
      </c>
      <c r="L133" s="47" t="n">
        <f aca="false">'Fault &amp; Downtime Entry'!L134</f>
        <v>0</v>
      </c>
      <c r="M133" s="47" t="str">
        <f aca="false">'Fault &amp; Downtime Entry'!M134</f>
        <v/>
      </c>
      <c r="N133" s="47" t="n">
        <f aca="false">'Fault &amp; Downtime Entry'!N134</f>
        <v>0</v>
      </c>
      <c r="O133" s="47" t="n">
        <f aca="false">'Fault &amp; Downtime Entry'!O134</f>
        <v>0</v>
      </c>
      <c r="P133" s="47" t="str">
        <f aca="false">IF(OR(J133="",K133=""),"",IFERROR(J133/K133*1000,0))</f>
        <v/>
      </c>
      <c r="Q133" s="47" t="str">
        <f aca="false">IF(OR(L133="",K133=""),"",IFERROR(L133/K133*1000,0))</f>
        <v/>
      </c>
      <c r="R133" s="47" t="str">
        <f aca="false">IF(OR(M133="High",M133="Critical"),"YES","")</f>
        <v/>
      </c>
    </row>
    <row r="134" customFormat="false" ht="15" hidden="false" customHeight="true" outlineLevel="0" collapsed="false">
      <c r="A134" s="47" t="n">
        <f aca="false">'Fault &amp; Downtime Entry'!A135</f>
        <v>130</v>
      </c>
      <c r="B134" s="48" t="n">
        <f aca="false">'Fault &amp; Downtime Entry'!B135</f>
        <v>0</v>
      </c>
      <c r="C134" s="47" t="n">
        <f aca="false">'Fault &amp; Downtime Entry'!C135</f>
        <v>0</v>
      </c>
      <c r="D134" s="47" t="n">
        <f aca="false">'Fault &amp; Downtime Entry'!D135</f>
        <v>0</v>
      </c>
      <c r="E134" s="47" t="n">
        <f aca="false">'Fault &amp; Downtime Entry'!E135</f>
        <v>0</v>
      </c>
      <c r="F134" s="47" t="str">
        <f aca="false">'Fault &amp; Downtime Entry'!F135</f>
        <v/>
      </c>
      <c r="G134" s="47" t="n">
        <f aca="false">'Fault &amp; Downtime Entry'!G135</f>
        <v>0</v>
      </c>
      <c r="H134" s="47" t="str">
        <f aca="false">'Fault &amp; Downtime Entry'!H135</f>
        <v/>
      </c>
      <c r="I134" s="47" t="str">
        <f aca="false">'Fault &amp; Downtime Entry'!I135</f>
        <v/>
      </c>
      <c r="J134" s="47" t="n">
        <f aca="false">'Fault &amp; Downtime Entry'!J135</f>
        <v>0</v>
      </c>
      <c r="K134" s="47" t="n">
        <f aca="false">'Fault &amp; Downtime Entry'!K135</f>
        <v>0</v>
      </c>
      <c r="L134" s="47" t="n">
        <f aca="false">'Fault &amp; Downtime Entry'!L135</f>
        <v>0</v>
      </c>
      <c r="M134" s="47" t="str">
        <f aca="false">'Fault &amp; Downtime Entry'!M135</f>
        <v/>
      </c>
      <c r="N134" s="47" t="n">
        <f aca="false">'Fault &amp; Downtime Entry'!N135</f>
        <v>0</v>
      </c>
      <c r="O134" s="47" t="n">
        <f aca="false">'Fault &amp; Downtime Entry'!O135</f>
        <v>0</v>
      </c>
      <c r="P134" s="47" t="str">
        <f aca="false">IF(OR(J134="",K134=""),"",IFERROR(J134/K134*1000,0))</f>
        <v/>
      </c>
      <c r="Q134" s="47" t="str">
        <f aca="false">IF(OR(L134="",K134=""),"",IFERROR(L134/K134*1000,0))</f>
        <v/>
      </c>
      <c r="R134" s="47" t="str">
        <f aca="false">IF(OR(M134="High",M134="Critical"),"YES","")</f>
        <v/>
      </c>
    </row>
    <row r="135" customFormat="false" ht="15" hidden="false" customHeight="true" outlineLevel="0" collapsed="false">
      <c r="A135" s="47" t="n">
        <f aca="false">'Fault &amp; Downtime Entry'!A136</f>
        <v>131</v>
      </c>
      <c r="B135" s="48" t="n">
        <f aca="false">'Fault &amp; Downtime Entry'!B136</f>
        <v>0</v>
      </c>
      <c r="C135" s="47" t="n">
        <f aca="false">'Fault &amp; Downtime Entry'!C136</f>
        <v>0</v>
      </c>
      <c r="D135" s="47" t="n">
        <f aca="false">'Fault &amp; Downtime Entry'!D136</f>
        <v>0</v>
      </c>
      <c r="E135" s="47" t="n">
        <f aca="false">'Fault &amp; Downtime Entry'!E136</f>
        <v>0</v>
      </c>
      <c r="F135" s="47" t="str">
        <f aca="false">'Fault &amp; Downtime Entry'!F136</f>
        <v/>
      </c>
      <c r="G135" s="47" t="n">
        <f aca="false">'Fault &amp; Downtime Entry'!G136</f>
        <v>0</v>
      </c>
      <c r="H135" s="47" t="str">
        <f aca="false">'Fault &amp; Downtime Entry'!H136</f>
        <v/>
      </c>
      <c r="I135" s="47" t="str">
        <f aca="false">'Fault &amp; Downtime Entry'!I136</f>
        <v/>
      </c>
      <c r="J135" s="47" t="n">
        <f aca="false">'Fault &amp; Downtime Entry'!J136</f>
        <v>0</v>
      </c>
      <c r="K135" s="47" t="n">
        <f aca="false">'Fault &amp; Downtime Entry'!K136</f>
        <v>0</v>
      </c>
      <c r="L135" s="47" t="n">
        <f aca="false">'Fault &amp; Downtime Entry'!L136</f>
        <v>0</v>
      </c>
      <c r="M135" s="47" t="str">
        <f aca="false">'Fault &amp; Downtime Entry'!M136</f>
        <v/>
      </c>
      <c r="N135" s="47" t="n">
        <f aca="false">'Fault &amp; Downtime Entry'!N136</f>
        <v>0</v>
      </c>
      <c r="O135" s="47" t="n">
        <f aca="false">'Fault &amp; Downtime Entry'!O136</f>
        <v>0</v>
      </c>
      <c r="P135" s="47" t="str">
        <f aca="false">IF(OR(J135="",K135=""),"",IFERROR(J135/K135*1000,0))</f>
        <v/>
      </c>
      <c r="Q135" s="47" t="str">
        <f aca="false">IF(OR(L135="",K135=""),"",IFERROR(L135/K135*1000,0))</f>
        <v/>
      </c>
      <c r="R135" s="47" t="str">
        <f aca="false">IF(OR(M135="High",M135="Critical"),"YES","")</f>
        <v/>
      </c>
    </row>
    <row r="136" customFormat="false" ht="15" hidden="false" customHeight="true" outlineLevel="0" collapsed="false">
      <c r="A136" s="47" t="n">
        <f aca="false">'Fault &amp; Downtime Entry'!A137</f>
        <v>132</v>
      </c>
      <c r="B136" s="48" t="n">
        <f aca="false">'Fault &amp; Downtime Entry'!B137</f>
        <v>0</v>
      </c>
      <c r="C136" s="47" t="n">
        <f aca="false">'Fault &amp; Downtime Entry'!C137</f>
        <v>0</v>
      </c>
      <c r="D136" s="47" t="n">
        <f aca="false">'Fault &amp; Downtime Entry'!D137</f>
        <v>0</v>
      </c>
      <c r="E136" s="47" t="n">
        <f aca="false">'Fault &amp; Downtime Entry'!E137</f>
        <v>0</v>
      </c>
      <c r="F136" s="47" t="str">
        <f aca="false">'Fault &amp; Downtime Entry'!F137</f>
        <v/>
      </c>
      <c r="G136" s="47" t="n">
        <f aca="false">'Fault &amp; Downtime Entry'!G137</f>
        <v>0</v>
      </c>
      <c r="H136" s="47" t="str">
        <f aca="false">'Fault &amp; Downtime Entry'!H137</f>
        <v/>
      </c>
      <c r="I136" s="47" t="str">
        <f aca="false">'Fault &amp; Downtime Entry'!I137</f>
        <v/>
      </c>
      <c r="J136" s="47" t="n">
        <f aca="false">'Fault &amp; Downtime Entry'!J137</f>
        <v>0</v>
      </c>
      <c r="K136" s="47" t="n">
        <f aca="false">'Fault &amp; Downtime Entry'!K137</f>
        <v>0</v>
      </c>
      <c r="L136" s="47" t="n">
        <f aca="false">'Fault &amp; Downtime Entry'!L137</f>
        <v>0</v>
      </c>
      <c r="M136" s="47" t="str">
        <f aca="false">'Fault &amp; Downtime Entry'!M137</f>
        <v/>
      </c>
      <c r="N136" s="47" t="n">
        <f aca="false">'Fault &amp; Downtime Entry'!N137</f>
        <v>0</v>
      </c>
      <c r="O136" s="47" t="n">
        <f aca="false">'Fault &amp; Downtime Entry'!O137</f>
        <v>0</v>
      </c>
      <c r="P136" s="47" t="str">
        <f aca="false">IF(OR(J136="",K136=""),"",IFERROR(J136/K136*1000,0))</f>
        <v/>
      </c>
      <c r="Q136" s="47" t="str">
        <f aca="false">IF(OR(L136="",K136=""),"",IFERROR(L136/K136*1000,0))</f>
        <v/>
      </c>
      <c r="R136" s="47" t="str">
        <f aca="false">IF(OR(M136="High",M136="Critical"),"YES","")</f>
        <v/>
      </c>
    </row>
    <row r="137" customFormat="false" ht="15" hidden="false" customHeight="true" outlineLevel="0" collapsed="false">
      <c r="A137" s="47" t="n">
        <f aca="false">'Fault &amp; Downtime Entry'!A138</f>
        <v>133</v>
      </c>
      <c r="B137" s="48" t="n">
        <f aca="false">'Fault &amp; Downtime Entry'!B138</f>
        <v>0</v>
      </c>
      <c r="C137" s="47" t="n">
        <f aca="false">'Fault &amp; Downtime Entry'!C138</f>
        <v>0</v>
      </c>
      <c r="D137" s="47" t="n">
        <f aca="false">'Fault &amp; Downtime Entry'!D138</f>
        <v>0</v>
      </c>
      <c r="E137" s="47" t="n">
        <f aca="false">'Fault &amp; Downtime Entry'!E138</f>
        <v>0</v>
      </c>
      <c r="F137" s="47" t="str">
        <f aca="false">'Fault &amp; Downtime Entry'!F138</f>
        <v/>
      </c>
      <c r="G137" s="47" t="n">
        <f aca="false">'Fault &amp; Downtime Entry'!G138</f>
        <v>0</v>
      </c>
      <c r="H137" s="47" t="str">
        <f aca="false">'Fault &amp; Downtime Entry'!H138</f>
        <v/>
      </c>
      <c r="I137" s="47" t="str">
        <f aca="false">'Fault &amp; Downtime Entry'!I138</f>
        <v/>
      </c>
      <c r="J137" s="47" t="n">
        <f aca="false">'Fault &amp; Downtime Entry'!J138</f>
        <v>0</v>
      </c>
      <c r="K137" s="47" t="n">
        <f aca="false">'Fault &amp; Downtime Entry'!K138</f>
        <v>0</v>
      </c>
      <c r="L137" s="47" t="n">
        <f aca="false">'Fault &amp; Downtime Entry'!L138</f>
        <v>0</v>
      </c>
      <c r="M137" s="47" t="str">
        <f aca="false">'Fault &amp; Downtime Entry'!M138</f>
        <v/>
      </c>
      <c r="N137" s="47" t="n">
        <f aca="false">'Fault &amp; Downtime Entry'!N138</f>
        <v>0</v>
      </c>
      <c r="O137" s="47" t="n">
        <f aca="false">'Fault &amp; Downtime Entry'!O138</f>
        <v>0</v>
      </c>
      <c r="P137" s="47" t="str">
        <f aca="false">IF(OR(J137="",K137=""),"",IFERROR(J137/K137*1000,0))</f>
        <v/>
      </c>
      <c r="Q137" s="47" t="str">
        <f aca="false">IF(OR(L137="",K137=""),"",IFERROR(L137/K137*1000,0))</f>
        <v/>
      </c>
      <c r="R137" s="47" t="str">
        <f aca="false">IF(OR(M137="High",M137="Critical"),"YES","")</f>
        <v/>
      </c>
    </row>
    <row r="138" customFormat="false" ht="15" hidden="false" customHeight="true" outlineLevel="0" collapsed="false">
      <c r="A138" s="47" t="n">
        <f aca="false">'Fault &amp; Downtime Entry'!A139</f>
        <v>134</v>
      </c>
      <c r="B138" s="48" t="n">
        <f aca="false">'Fault &amp; Downtime Entry'!B139</f>
        <v>0</v>
      </c>
      <c r="C138" s="47" t="n">
        <f aca="false">'Fault &amp; Downtime Entry'!C139</f>
        <v>0</v>
      </c>
      <c r="D138" s="47" t="n">
        <f aca="false">'Fault &amp; Downtime Entry'!D139</f>
        <v>0</v>
      </c>
      <c r="E138" s="47" t="n">
        <f aca="false">'Fault &amp; Downtime Entry'!E139</f>
        <v>0</v>
      </c>
      <c r="F138" s="47" t="str">
        <f aca="false">'Fault &amp; Downtime Entry'!F139</f>
        <v/>
      </c>
      <c r="G138" s="47" t="n">
        <f aca="false">'Fault &amp; Downtime Entry'!G139</f>
        <v>0</v>
      </c>
      <c r="H138" s="47" t="str">
        <f aca="false">'Fault &amp; Downtime Entry'!H139</f>
        <v/>
      </c>
      <c r="I138" s="47" t="str">
        <f aca="false">'Fault &amp; Downtime Entry'!I139</f>
        <v/>
      </c>
      <c r="J138" s="47" t="n">
        <f aca="false">'Fault &amp; Downtime Entry'!J139</f>
        <v>0</v>
      </c>
      <c r="K138" s="47" t="n">
        <f aca="false">'Fault &amp; Downtime Entry'!K139</f>
        <v>0</v>
      </c>
      <c r="L138" s="47" t="n">
        <f aca="false">'Fault &amp; Downtime Entry'!L139</f>
        <v>0</v>
      </c>
      <c r="M138" s="47" t="str">
        <f aca="false">'Fault &amp; Downtime Entry'!M139</f>
        <v/>
      </c>
      <c r="N138" s="47" t="n">
        <f aca="false">'Fault &amp; Downtime Entry'!N139</f>
        <v>0</v>
      </c>
      <c r="O138" s="47" t="n">
        <f aca="false">'Fault &amp; Downtime Entry'!O139</f>
        <v>0</v>
      </c>
      <c r="P138" s="47" t="str">
        <f aca="false">IF(OR(J138="",K138=""),"",IFERROR(J138/K138*1000,0))</f>
        <v/>
      </c>
      <c r="Q138" s="47" t="str">
        <f aca="false">IF(OR(L138="",K138=""),"",IFERROR(L138/K138*1000,0))</f>
        <v/>
      </c>
      <c r="R138" s="47" t="str">
        <f aca="false">IF(OR(M138="High",M138="Critical"),"YES","")</f>
        <v/>
      </c>
    </row>
    <row r="139" customFormat="false" ht="15" hidden="false" customHeight="true" outlineLevel="0" collapsed="false">
      <c r="A139" s="47" t="n">
        <f aca="false">'Fault &amp; Downtime Entry'!A140</f>
        <v>135</v>
      </c>
      <c r="B139" s="48" t="n">
        <f aca="false">'Fault &amp; Downtime Entry'!B140</f>
        <v>0</v>
      </c>
      <c r="C139" s="47" t="n">
        <f aca="false">'Fault &amp; Downtime Entry'!C140</f>
        <v>0</v>
      </c>
      <c r="D139" s="47" t="n">
        <f aca="false">'Fault &amp; Downtime Entry'!D140</f>
        <v>0</v>
      </c>
      <c r="E139" s="47" t="n">
        <f aca="false">'Fault &amp; Downtime Entry'!E140</f>
        <v>0</v>
      </c>
      <c r="F139" s="47" t="str">
        <f aca="false">'Fault &amp; Downtime Entry'!F140</f>
        <v/>
      </c>
      <c r="G139" s="47" t="n">
        <f aca="false">'Fault &amp; Downtime Entry'!G140</f>
        <v>0</v>
      </c>
      <c r="H139" s="47" t="str">
        <f aca="false">'Fault &amp; Downtime Entry'!H140</f>
        <v/>
      </c>
      <c r="I139" s="47" t="str">
        <f aca="false">'Fault &amp; Downtime Entry'!I140</f>
        <v/>
      </c>
      <c r="J139" s="47" t="n">
        <f aca="false">'Fault &amp; Downtime Entry'!J140</f>
        <v>0</v>
      </c>
      <c r="K139" s="47" t="n">
        <f aca="false">'Fault &amp; Downtime Entry'!K140</f>
        <v>0</v>
      </c>
      <c r="L139" s="47" t="n">
        <f aca="false">'Fault &amp; Downtime Entry'!L140</f>
        <v>0</v>
      </c>
      <c r="M139" s="47" t="str">
        <f aca="false">'Fault &amp; Downtime Entry'!M140</f>
        <v/>
      </c>
      <c r="N139" s="47" t="n">
        <f aca="false">'Fault &amp; Downtime Entry'!N140</f>
        <v>0</v>
      </c>
      <c r="O139" s="47" t="n">
        <f aca="false">'Fault &amp; Downtime Entry'!O140</f>
        <v>0</v>
      </c>
      <c r="P139" s="47" t="str">
        <f aca="false">IF(OR(J139="",K139=""),"",IFERROR(J139/K139*1000,0))</f>
        <v/>
      </c>
      <c r="Q139" s="47" t="str">
        <f aca="false">IF(OR(L139="",K139=""),"",IFERROR(L139/K139*1000,0))</f>
        <v/>
      </c>
      <c r="R139" s="47" t="str">
        <f aca="false">IF(OR(M139="High",M139="Critical"),"YES","")</f>
        <v/>
      </c>
    </row>
    <row r="140" customFormat="false" ht="15" hidden="false" customHeight="true" outlineLevel="0" collapsed="false">
      <c r="A140" s="47" t="n">
        <f aca="false">'Fault &amp; Downtime Entry'!A141</f>
        <v>136</v>
      </c>
      <c r="B140" s="48" t="n">
        <f aca="false">'Fault &amp; Downtime Entry'!B141</f>
        <v>0</v>
      </c>
      <c r="C140" s="47" t="n">
        <f aca="false">'Fault &amp; Downtime Entry'!C141</f>
        <v>0</v>
      </c>
      <c r="D140" s="47" t="n">
        <f aca="false">'Fault &amp; Downtime Entry'!D141</f>
        <v>0</v>
      </c>
      <c r="E140" s="47" t="n">
        <f aca="false">'Fault &amp; Downtime Entry'!E141</f>
        <v>0</v>
      </c>
      <c r="F140" s="47" t="str">
        <f aca="false">'Fault &amp; Downtime Entry'!F141</f>
        <v/>
      </c>
      <c r="G140" s="47" t="n">
        <f aca="false">'Fault &amp; Downtime Entry'!G141</f>
        <v>0</v>
      </c>
      <c r="H140" s="47" t="str">
        <f aca="false">'Fault &amp; Downtime Entry'!H141</f>
        <v/>
      </c>
      <c r="I140" s="47" t="str">
        <f aca="false">'Fault &amp; Downtime Entry'!I141</f>
        <v/>
      </c>
      <c r="J140" s="47" t="n">
        <f aca="false">'Fault &amp; Downtime Entry'!J141</f>
        <v>0</v>
      </c>
      <c r="K140" s="47" t="n">
        <f aca="false">'Fault &amp; Downtime Entry'!K141</f>
        <v>0</v>
      </c>
      <c r="L140" s="47" t="n">
        <f aca="false">'Fault &amp; Downtime Entry'!L141</f>
        <v>0</v>
      </c>
      <c r="M140" s="47" t="str">
        <f aca="false">'Fault &amp; Downtime Entry'!M141</f>
        <v/>
      </c>
      <c r="N140" s="47" t="n">
        <f aca="false">'Fault &amp; Downtime Entry'!N141</f>
        <v>0</v>
      </c>
      <c r="O140" s="47" t="n">
        <f aca="false">'Fault &amp; Downtime Entry'!O141</f>
        <v>0</v>
      </c>
      <c r="P140" s="47" t="str">
        <f aca="false">IF(OR(J140="",K140=""),"",IFERROR(J140/K140*1000,0))</f>
        <v/>
      </c>
      <c r="Q140" s="47" t="str">
        <f aca="false">IF(OR(L140="",K140=""),"",IFERROR(L140/K140*1000,0))</f>
        <v/>
      </c>
      <c r="R140" s="47" t="str">
        <f aca="false">IF(OR(M140="High",M140="Critical"),"YES","")</f>
        <v/>
      </c>
    </row>
    <row r="141" customFormat="false" ht="15" hidden="false" customHeight="true" outlineLevel="0" collapsed="false">
      <c r="A141" s="47" t="n">
        <f aca="false">'Fault &amp; Downtime Entry'!A142</f>
        <v>137</v>
      </c>
      <c r="B141" s="48" t="n">
        <f aca="false">'Fault &amp; Downtime Entry'!B142</f>
        <v>0</v>
      </c>
      <c r="C141" s="47" t="n">
        <f aca="false">'Fault &amp; Downtime Entry'!C142</f>
        <v>0</v>
      </c>
      <c r="D141" s="47" t="n">
        <f aca="false">'Fault &amp; Downtime Entry'!D142</f>
        <v>0</v>
      </c>
      <c r="E141" s="47" t="n">
        <f aca="false">'Fault &amp; Downtime Entry'!E142</f>
        <v>0</v>
      </c>
      <c r="F141" s="47" t="str">
        <f aca="false">'Fault &amp; Downtime Entry'!F142</f>
        <v/>
      </c>
      <c r="G141" s="47" t="n">
        <f aca="false">'Fault &amp; Downtime Entry'!G142</f>
        <v>0</v>
      </c>
      <c r="H141" s="47" t="str">
        <f aca="false">'Fault &amp; Downtime Entry'!H142</f>
        <v/>
      </c>
      <c r="I141" s="47" t="str">
        <f aca="false">'Fault &amp; Downtime Entry'!I142</f>
        <v/>
      </c>
      <c r="J141" s="47" t="n">
        <f aca="false">'Fault &amp; Downtime Entry'!J142</f>
        <v>0</v>
      </c>
      <c r="K141" s="47" t="n">
        <f aca="false">'Fault &amp; Downtime Entry'!K142</f>
        <v>0</v>
      </c>
      <c r="L141" s="47" t="n">
        <f aca="false">'Fault &amp; Downtime Entry'!L142</f>
        <v>0</v>
      </c>
      <c r="M141" s="47" t="str">
        <f aca="false">'Fault &amp; Downtime Entry'!M142</f>
        <v/>
      </c>
      <c r="N141" s="47" t="n">
        <f aca="false">'Fault &amp; Downtime Entry'!N142</f>
        <v>0</v>
      </c>
      <c r="O141" s="47" t="n">
        <f aca="false">'Fault &amp; Downtime Entry'!O142</f>
        <v>0</v>
      </c>
      <c r="P141" s="47" t="str">
        <f aca="false">IF(OR(J141="",K141=""),"",IFERROR(J141/K141*1000,0))</f>
        <v/>
      </c>
      <c r="Q141" s="47" t="str">
        <f aca="false">IF(OR(L141="",K141=""),"",IFERROR(L141/K141*1000,0))</f>
        <v/>
      </c>
      <c r="R141" s="47" t="str">
        <f aca="false">IF(OR(M141="High",M141="Critical"),"YES","")</f>
        <v/>
      </c>
    </row>
    <row r="142" customFormat="false" ht="15" hidden="false" customHeight="true" outlineLevel="0" collapsed="false">
      <c r="A142" s="47" t="n">
        <f aca="false">'Fault &amp; Downtime Entry'!A143</f>
        <v>138</v>
      </c>
      <c r="B142" s="48" t="n">
        <f aca="false">'Fault &amp; Downtime Entry'!B143</f>
        <v>0</v>
      </c>
      <c r="C142" s="47" t="n">
        <f aca="false">'Fault &amp; Downtime Entry'!C143</f>
        <v>0</v>
      </c>
      <c r="D142" s="47" t="n">
        <f aca="false">'Fault &amp; Downtime Entry'!D143</f>
        <v>0</v>
      </c>
      <c r="E142" s="47" t="n">
        <f aca="false">'Fault &amp; Downtime Entry'!E143</f>
        <v>0</v>
      </c>
      <c r="F142" s="47" t="str">
        <f aca="false">'Fault &amp; Downtime Entry'!F143</f>
        <v/>
      </c>
      <c r="G142" s="47" t="n">
        <f aca="false">'Fault &amp; Downtime Entry'!G143</f>
        <v>0</v>
      </c>
      <c r="H142" s="47" t="str">
        <f aca="false">'Fault &amp; Downtime Entry'!H143</f>
        <v/>
      </c>
      <c r="I142" s="47" t="str">
        <f aca="false">'Fault &amp; Downtime Entry'!I143</f>
        <v/>
      </c>
      <c r="J142" s="47" t="n">
        <f aca="false">'Fault &amp; Downtime Entry'!J143</f>
        <v>0</v>
      </c>
      <c r="K142" s="47" t="n">
        <f aca="false">'Fault &amp; Downtime Entry'!K143</f>
        <v>0</v>
      </c>
      <c r="L142" s="47" t="n">
        <f aca="false">'Fault &amp; Downtime Entry'!L143</f>
        <v>0</v>
      </c>
      <c r="M142" s="47" t="str">
        <f aca="false">'Fault &amp; Downtime Entry'!M143</f>
        <v/>
      </c>
      <c r="N142" s="47" t="n">
        <f aca="false">'Fault &amp; Downtime Entry'!N143</f>
        <v>0</v>
      </c>
      <c r="O142" s="47" t="n">
        <f aca="false">'Fault &amp; Downtime Entry'!O143</f>
        <v>0</v>
      </c>
      <c r="P142" s="47" t="str">
        <f aca="false">IF(OR(J142="",K142=""),"",IFERROR(J142/K142*1000,0))</f>
        <v/>
      </c>
      <c r="Q142" s="47" t="str">
        <f aca="false">IF(OR(L142="",K142=""),"",IFERROR(L142/K142*1000,0))</f>
        <v/>
      </c>
      <c r="R142" s="47" t="str">
        <f aca="false">IF(OR(M142="High",M142="Critical"),"YES","")</f>
        <v/>
      </c>
    </row>
    <row r="143" customFormat="false" ht="15" hidden="false" customHeight="true" outlineLevel="0" collapsed="false">
      <c r="A143" s="47" t="n">
        <f aca="false">'Fault &amp; Downtime Entry'!A144</f>
        <v>139</v>
      </c>
      <c r="B143" s="48" t="n">
        <f aca="false">'Fault &amp; Downtime Entry'!B144</f>
        <v>0</v>
      </c>
      <c r="C143" s="47" t="n">
        <f aca="false">'Fault &amp; Downtime Entry'!C144</f>
        <v>0</v>
      </c>
      <c r="D143" s="47" t="n">
        <f aca="false">'Fault &amp; Downtime Entry'!D144</f>
        <v>0</v>
      </c>
      <c r="E143" s="47" t="n">
        <f aca="false">'Fault &amp; Downtime Entry'!E144</f>
        <v>0</v>
      </c>
      <c r="F143" s="47" t="str">
        <f aca="false">'Fault &amp; Downtime Entry'!F144</f>
        <v/>
      </c>
      <c r="G143" s="47" t="n">
        <f aca="false">'Fault &amp; Downtime Entry'!G144</f>
        <v>0</v>
      </c>
      <c r="H143" s="47" t="str">
        <f aca="false">'Fault &amp; Downtime Entry'!H144</f>
        <v/>
      </c>
      <c r="I143" s="47" t="str">
        <f aca="false">'Fault &amp; Downtime Entry'!I144</f>
        <v/>
      </c>
      <c r="J143" s="47" t="n">
        <f aca="false">'Fault &amp; Downtime Entry'!J144</f>
        <v>0</v>
      </c>
      <c r="K143" s="47" t="n">
        <f aca="false">'Fault &amp; Downtime Entry'!K144</f>
        <v>0</v>
      </c>
      <c r="L143" s="47" t="n">
        <f aca="false">'Fault &amp; Downtime Entry'!L144</f>
        <v>0</v>
      </c>
      <c r="M143" s="47" t="str">
        <f aca="false">'Fault &amp; Downtime Entry'!M144</f>
        <v/>
      </c>
      <c r="N143" s="47" t="n">
        <f aca="false">'Fault &amp; Downtime Entry'!N144</f>
        <v>0</v>
      </c>
      <c r="O143" s="47" t="n">
        <f aca="false">'Fault &amp; Downtime Entry'!O144</f>
        <v>0</v>
      </c>
      <c r="P143" s="47" t="str">
        <f aca="false">IF(OR(J143="",K143=""),"",IFERROR(J143/K143*1000,0))</f>
        <v/>
      </c>
      <c r="Q143" s="47" t="str">
        <f aca="false">IF(OR(L143="",K143=""),"",IFERROR(L143/K143*1000,0))</f>
        <v/>
      </c>
      <c r="R143" s="47" t="str">
        <f aca="false">IF(OR(M143="High",M143="Critical"),"YES","")</f>
        <v/>
      </c>
    </row>
    <row r="144" customFormat="false" ht="15" hidden="false" customHeight="true" outlineLevel="0" collapsed="false">
      <c r="A144" s="47" t="n">
        <f aca="false">'Fault &amp; Downtime Entry'!A145</f>
        <v>140</v>
      </c>
      <c r="B144" s="48" t="n">
        <f aca="false">'Fault &amp; Downtime Entry'!B145</f>
        <v>0</v>
      </c>
      <c r="C144" s="47" t="n">
        <f aca="false">'Fault &amp; Downtime Entry'!C145</f>
        <v>0</v>
      </c>
      <c r="D144" s="47" t="n">
        <f aca="false">'Fault &amp; Downtime Entry'!D145</f>
        <v>0</v>
      </c>
      <c r="E144" s="47" t="n">
        <f aca="false">'Fault &amp; Downtime Entry'!E145</f>
        <v>0</v>
      </c>
      <c r="F144" s="47" t="str">
        <f aca="false">'Fault &amp; Downtime Entry'!F145</f>
        <v/>
      </c>
      <c r="G144" s="47" t="n">
        <f aca="false">'Fault &amp; Downtime Entry'!G145</f>
        <v>0</v>
      </c>
      <c r="H144" s="47" t="str">
        <f aca="false">'Fault &amp; Downtime Entry'!H145</f>
        <v/>
      </c>
      <c r="I144" s="47" t="str">
        <f aca="false">'Fault &amp; Downtime Entry'!I145</f>
        <v/>
      </c>
      <c r="J144" s="47" t="n">
        <f aca="false">'Fault &amp; Downtime Entry'!J145</f>
        <v>0</v>
      </c>
      <c r="K144" s="47" t="n">
        <f aca="false">'Fault &amp; Downtime Entry'!K145</f>
        <v>0</v>
      </c>
      <c r="L144" s="47" t="n">
        <f aca="false">'Fault &amp; Downtime Entry'!L145</f>
        <v>0</v>
      </c>
      <c r="M144" s="47" t="str">
        <f aca="false">'Fault &amp; Downtime Entry'!M145</f>
        <v/>
      </c>
      <c r="N144" s="47" t="n">
        <f aca="false">'Fault &amp; Downtime Entry'!N145</f>
        <v>0</v>
      </c>
      <c r="O144" s="47" t="n">
        <f aca="false">'Fault &amp; Downtime Entry'!O145</f>
        <v>0</v>
      </c>
      <c r="P144" s="47" t="str">
        <f aca="false">IF(OR(J144="",K144=""),"",IFERROR(J144/K144*1000,0))</f>
        <v/>
      </c>
      <c r="Q144" s="47" t="str">
        <f aca="false">IF(OR(L144="",K144=""),"",IFERROR(L144/K144*1000,0))</f>
        <v/>
      </c>
      <c r="R144" s="47" t="str">
        <f aca="false">IF(OR(M144="High",M144="Critical"),"YES","")</f>
        <v/>
      </c>
    </row>
    <row r="145" customFormat="false" ht="15" hidden="false" customHeight="true" outlineLevel="0" collapsed="false">
      <c r="A145" s="47" t="n">
        <f aca="false">'Fault &amp; Downtime Entry'!A146</f>
        <v>141</v>
      </c>
      <c r="B145" s="48" t="n">
        <f aca="false">'Fault &amp; Downtime Entry'!B146</f>
        <v>0</v>
      </c>
      <c r="C145" s="47" t="n">
        <f aca="false">'Fault &amp; Downtime Entry'!C146</f>
        <v>0</v>
      </c>
      <c r="D145" s="47" t="n">
        <f aca="false">'Fault &amp; Downtime Entry'!D146</f>
        <v>0</v>
      </c>
      <c r="E145" s="47" t="n">
        <f aca="false">'Fault &amp; Downtime Entry'!E146</f>
        <v>0</v>
      </c>
      <c r="F145" s="47" t="str">
        <f aca="false">'Fault &amp; Downtime Entry'!F146</f>
        <v/>
      </c>
      <c r="G145" s="47" t="n">
        <f aca="false">'Fault &amp; Downtime Entry'!G146</f>
        <v>0</v>
      </c>
      <c r="H145" s="47" t="str">
        <f aca="false">'Fault &amp; Downtime Entry'!H146</f>
        <v/>
      </c>
      <c r="I145" s="47" t="str">
        <f aca="false">'Fault &amp; Downtime Entry'!I146</f>
        <v/>
      </c>
      <c r="J145" s="47" t="n">
        <f aca="false">'Fault &amp; Downtime Entry'!J146</f>
        <v>0</v>
      </c>
      <c r="K145" s="47" t="n">
        <f aca="false">'Fault &amp; Downtime Entry'!K146</f>
        <v>0</v>
      </c>
      <c r="L145" s="47" t="n">
        <f aca="false">'Fault &amp; Downtime Entry'!L146</f>
        <v>0</v>
      </c>
      <c r="M145" s="47" t="str">
        <f aca="false">'Fault &amp; Downtime Entry'!M146</f>
        <v/>
      </c>
      <c r="N145" s="47" t="n">
        <f aca="false">'Fault &amp; Downtime Entry'!N146</f>
        <v>0</v>
      </c>
      <c r="O145" s="47" t="n">
        <f aca="false">'Fault &amp; Downtime Entry'!O146</f>
        <v>0</v>
      </c>
      <c r="P145" s="47" t="str">
        <f aca="false">IF(OR(J145="",K145=""),"",IFERROR(J145/K145*1000,0))</f>
        <v/>
      </c>
      <c r="Q145" s="47" t="str">
        <f aca="false">IF(OR(L145="",K145=""),"",IFERROR(L145/K145*1000,0))</f>
        <v/>
      </c>
      <c r="R145" s="47" t="str">
        <f aca="false">IF(OR(M145="High",M145="Critical"),"YES","")</f>
        <v/>
      </c>
    </row>
    <row r="146" customFormat="false" ht="15" hidden="false" customHeight="true" outlineLevel="0" collapsed="false">
      <c r="A146" s="47" t="n">
        <f aca="false">'Fault &amp; Downtime Entry'!A147</f>
        <v>142</v>
      </c>
      <c r="B146" s="48" t="n">
        <f aca="false">'Fault &amp; Downtime Entry'!B147</f>
        <v>0</v>
      </c>
      <c r="C146" s="47" t="n">
        <f aca="false">'Fault &amp; Downtime Entry'!C147</f>
        <v>0</v>
      </c>
      <c r="D146" s="47" t="n">
        <f aca="false">'Fault &amp; Downtime Entry'!D147</f>
        <v>0</v>
      </c>
      <c r="E146" s="47" t="n">
        <f aca="false">'Fault &amp; Downtime Entry'!E147</f>
        <v>0</v>
      </c>
      <c r="F146" s="47" t="str">
        <f aca="false">'Fault &amp; Downtime Entry'!F147</f>
        <v/>
      </c>
      <c r="G146" s="47" t="n">
        <f aca="false">'Fault &amp; Downtime Entry'!G147</f>
        <v>0</v>
      </c>
      <c r="H146" s="47" t="str">
        <f aca="false">'Fault &amp; Downtime Entry'!H147</f>
        <v/>
      </c>
      <c r="I146" s="47" t="str">
        <f aca="false">'Fault &amp; Downtime Entry'!I147</f>
        <v/>
      </c>
      <c r="J146" s="47" t="n">
        <f aca="false">'Fault &amp; Downtime Entry'!J147</f>
        <v>0</v>
      </c>
      <c r="K146" s="47" t="n">
        <f aca="false">'Fault &amp; Downtime Entry'!K147</f>
        <v>0</v>
      </c>
      <c r="L146" s="47" t="n">
        <f aca="false">'Fault &amp; Downtime Entry'!L147</f>
        <v>0</v>
      </c>
      <c r="M146" s="47" t="str">
        <f aca="false">'Fault &amp; Downtime Entry'!M147</f>
        <v/>
      </c>
      <c r="N146" s="47" t="n">
        <f aca="false">'Fault &amp; Downtime Entry'!N147</f>
        <v>0</v>
      </c>
      <c r="O146" s="47" t="n">
        <f aca="false">'Fault &amp; Downtime Entry'!O147</f>
        <v>0</v>
      </c>
      <c r="P146" s="47" t="str">
        <f aca="false">IF(OR(J146="",K146=""),"",IFERROR(J146/K146*1000,0))</f>
        <v/>
      </c>
      <c r="Q146" s="47" t="str">
        <f aca="false">IF(OR(L146="",K146=""),"",IFERROR(L146/K146*1000,0))</f>
        <v/>
      </c>
      <c r="R146" s="47" t="str">
        <f aca="false">IF(OR(M146="High",M146="Critical"),"YES","")</f>
        <v/>
      </c>
    </row>
    <row r="147" customFormat="false" ht="15" hidden="false" customHeight="true" outlineLevel="0" collapsed="false">
      <c r="A147" s="47" t="n">
        <f aca="false">'Fault &amp; Downtime Entry'!A148</f>
        <v>143</v>
      </c>
      <c r="B147" s="48" t="n">
        <f aca="false">'Fault &amp; Downtime Entry'!B148</f>
        <v>0</v>
      </c>
      <c r="C147" s="47" t="n">
        <f aca="false">'Fault &amp; Downtime Entry'!C148</f>
        <v>0</v>
      </c>
      <c r="D147" s="47" t="n">
        <f aca="false">'Fault &amp; Downtime Entry'!D148</f>
        <v>0</v>
      </c>
      <c r="E147" s="47" t="n">
        <f aca="false">'Fault &amp; Downtime Entry'!E148</f>
        <v>0</v>
      </c>
      <c r="F147" s="47" t="str">
        <f aca="false">'Fault &amp; Downtime Entry'!F148</f>
        <v/>
      </c>
      <c r="G147" s="47" t="n">
        <f aca="false">'Fault &amp; Downtime Entry'!G148</f>
        <v>0</v>
      </c>
      <c r="H147" s="47" t="str">
        <f aca="false">'Fault &amp; Downtime Entry'!H148</f>
        <v/>
      </c>
      <c r="I147" s="47" t="str">
        <f aca="false">'Fault &amp; Downtime Entry'!I148</f>
        <v/>
      </c>
      <c r="J147" s="47" t="n">
        <f aca="false">'Fault &amp; Downtime Entry'!J148</f>
        <v>0</v>
      </c>
      <c r="K147" s="47" t="n">
        <f aca="false">'Fault &amp; Downtime Entry'!K148</f>
        <v>0</v>
      </c>
      <c r="L147" s="47" t="n">
        <f aca="false">'Fault &amp; Downtime Entry'!L148</f>
        <v>0</v>
      </c>
      <c r="M147" s="47" t="str">
        <f aca="false">'Fault &amp; Downtime Entry'!M148</f>
        <v/>
      </c>
      <c r="N147" s="47" t="n">
        <f aca="false">'Fault &amp; Downtime Entry'!N148</f>
        <v>0</v>
      </c>
      <c r="O147" s="47" t="n">
        <f aca="false">'Fault &amp; Downtime Entry'!O148</f>
        <v>0</v>
      </c>
      <c r="P147" s="47" t="str">
        <f aca="false">IF(OR(J147="",K147=""),"",IFERROR(J147/K147*1000,0))</f>
        <v/>
      </c>
      <c r="Q147" s="47" t="str">
        <f aca="false">IF(OR(L147="",K147=""),"",IFERROR(L147/K147*1000,0))</f>
        <v/>
      </c>
      <c r="R147" s="47" t="str">
        <f aca="false">IF(OR(M147="High",M147="Critical"),"YES","")</f>
        <v/>
      </c>
    </row>
    <row r="148" customFormat="false" ht="15" hidden="false" customHeight="true" outlineLevel="0" collapsed="false">
      <c r="A148" s="47" t="n">
        <f aca="false">'Fault &amp; Downtime Entry'!A149</f>
        <v>144</v>
      </c>
      <c r="B148" s="48" t="n">
        <f aca="false">'Fault &amp; Downtime Entry'!B149</f>
        <v>0</v>
      </c>
      <c r="C148" s="47" t="n">
        <f aca="false">'Fault &amp; Downtime Entry'!C149</f>
        <v>0</v>
      </c>
      <c r="D148" s="47" t="n">
        <f aca="false">'Fault &amp; Downtime Entry'!D149</f>
        <v>0</v>
      </c>
      <c r="E148" s="47" t="n">
        <f aca="false">'Fault &amp; Downtime Entry'!E149</f>
        <v>0</v>
      </c>
      <c r="F148" s="47" t="str">
        <f aca="false">'Fault &amp; Downtime Entry'!F149</f>
        <v/>
      </c>
      <c r="G148" s="47" t="n">
        <f aca="false">'Fault &amp; Downtime Entry'!G149</f>
        <v>0</v>
      </c>
      <c r="H148" s="47" t="str">
        <f aca="false">'Fault &amp; Downtime Entry'!H149</f>
        <v/>
      </c>
      <c r="I148" s="47" t="str">
        <f aca="false">'Fault &amp; Downtime Entry'!I149</f>
        <v/>
      </c>
      <c r="J148" s="47" t="n">
        <f aca="false">'Fault &amp; Downtime Entry'!J149</f>
        <v>0</v>
      </c>
      <c r="K148" s="47" t="n">
        <f aca="false">'Fault &amp; Downtime Entry'!K149</f>
        <v>0</v>
      </c>
      <c r="L148" s="47" t="n">
        <f aca="false">'Fault &amp; Downtime Entry'!L149</f>
        <v>0</v>
      </c>
      <c r="M148" s="47" t="str">
        <f aca="false">'Fault &amp; Downtime Entry'!M149</f>
        <v/>
      </c>
      <c r="N148" s="47" t="n">
        <f aca="false">'Fault &amp; Downtime Entry'!N149</f>
        <v>0</v>
      </c>
      <c r="O148" s="47" t="n">
        <f aca="false">'Fault &amp; Downtime Entry'!O149</f>
        <v>0</v>
      </c>
      <c r="P148" s="47" t="str">
        <f aca="false">IF(OR(J148="",K148=""),"",IFERROR(J148/K148*1000,0))</f>
        <v/>
      </c>
      <c r="Q148" s="47" t="str">
        <f aca="false">IF(OR(L148="",K148=""),"",IFERROR(L148/K148*1000,0))</f>
        <v/>
      </c>
      <c r="R148" s="47" t="str">
        <f aca="false">IF(OR(M148="High",M148="Critical"),"YES","")</f>
        <v/>
      </c>
    </row>
    <row r="149" customFormat="false" ht="15" hidden="false" customHeight="true" outlineLevel="0" collapsed="false">
      <c r="A149" s="47" t="n">
        <f aca="false">'Fault &amp; Downtime Entry'!A150</f>
        <v>145</v>
      </c>
      <c r="B149" s="48" t="n">
        <f aca="false">'Fault &amp; Downtime Entry'!B150</f>
        <v>0</v>
      </c>
      <c r="C149" s="47" t="n">
        <f aca="false">'Fault &amp; Downtime Entry'!C150</f>
        <v>0</v>
      </c>
      <c r="D149" s="47" t="n">
        <f aca="false">'Fault &amp; Downtime Entry'!D150</f>
        <v>0</v>
      </c>
      <c r="E149" s="47" t="n">
        <f aca="false">'Fault &amp; Downtime Entry'!E150</f>
        <v>0</v>
      </c>
      <c r="F149" s="47" t="str">
        <f aca="false">'Fault &amp; Downtime Entry'!F150</f>
        <v/>
      </c>
      <c r="G149" s="47" t="n">
        <f aca="false">'Fault &amp; Downtime Entry'!G150</f>
        <v>0</v>
      </c>
      <c r="H149" s="47" t="str">
        <f aca="false">'Fault &amp; Downtime Entry'!H150</f>
        <v/>
      </c>
      <c r="I149" s="47" t="str">
        <f aca="false">'Fault &amp; Downtime Entry'!I150</f>
        <v/>
      </c>
      <c r="J149" s="47" t="n">
        <f aca="false">'Fault &amp; Downtime Entry'!J150</f>
        <v>0</v>
      </c>
      <c r="K149" s="47" t="n">
        <f aca="false">'Fault &amp; Downtime Entry'!K150</f>
        <v>0</v>
      </c>
      <c r="L149" s="47" t="n">
        <f aca="false">'Fault &amp; Downtime Entry'!L150</f>
        <v>0</v>
      </c>
      <c r="M149" s="47" t="str">
        <f aca="false">'Fault &amp; Downtime Entry'!M150</f>
        <v/>
      </c>
      <c r="N149" s="47" t="n">
        <f aca="false">'Fault &amp; Downtime Entry'!N150</f>
        <v>0</v>
      </c>
      <c r="O149" s="47" t="n">
        <f aca="false">'Fault &amp; Downtime Entry'!O150</f>
        <v>0</v>
      </c>
      <c r="P149" s="47" t="str">
        <f aca="false">IF(OR(J149="",K149=""),"",IFERROR(J149/K149*1000,0))</f>
        <v/>
      </c>
      <c r="Q149" s="47" t="str">
        <f aca="false">IF(OR(L149="",K149=""),"",IFERROR(L149/K149*1000,0))</f>
        <v/>
      </c>
      <c r="R149" s="47" t="str">
        <f aca="false">IF(OR(M149="High",M149="Critical"),"YES","")</f>
        <v/>
      </c>
    </row>
    <row r="150" customFormat="false" ht="15" hidden="false" customHeight="true" outlineLevel="0" collapsed="false">
      <c r="A150" s="47" t="n">
        <f aca="false">'Fault &amp; Downtime Entry'!A151</f>
        <v>146</v>
      </c>
      <c r="B150" s="48" t="n">
        <f aca="false">'Fault &amp; Downtime Entry'!B151</f>
        <v>0</v>
      </c>
      <c r="C150" s="47" t="n">
        <f aca="false">'Fault &amp; Downtime Entry'!C151</f>
        <v>0</v>
      </c>
      <c r="D150" s="47" t="n">
        <f aca="false">'Fault &amp; Downtime Entry'!D151</f>
        <v>0</v>
      </c>
      <c r="E150" s="47" t="n">
        <f aca="false">'Fault &amp; Downtime Entry'!E151</f>
        <v>0</v>
      </c>
      <c r="F150" s="47" t="str">
        <f aca="false">'Fault &amp; Downtime Entry'!F151</f>
        <v/>
      </c>
      <c r="G150" s="47" t="n">
        <f aca="false">'Fault &amp; Downtime Entry'!G151</f>
        <v>0</v>
      </c>
      <c r="H150" s="47" t="str">
        <f aca="false">'Fault &amp; Downtime Entry'!H151</f>
        <v/>
      </c>
      <c r="I150" s="47" t="str">
        <f aca="false">'Fault &amp; Downtime Entry'!I151</f>
        <v/>
      </c>
      <c r="J150" s="47" t="n">
        <f aca="false">'Fault &amp; Downtime Entry'!J151</f>
        <v>0</v>
      </c>
      <c r="K150" s="47" t="n">
        <f aca="false">'Fault &amp; Downtime Entry'!K151</f>
        <v>0</v>
      </c>
      <c r="L150" s="47" t="n">
        <f aca="false">'Fault &amp; Downtime Entry'!L151</f>
        <v>0</v>
      </c>
      <c r="M150" s="47" t="str">
        <f aca="false">'Fault &amp; Downtime Entry'!M151</f>
        <v/>
      </c>
      <c r="N150" s="47" t="n">
        <f aca="false">'Fault &amp; Downtime Entry'!N151</f>
        <v>0</v>
      </c>
      <c r="O150" s="47" t="n">
        <f aca="false">'Fault &amp; Downtime Entry'!O151</f>
        <v>0</v>
      </c>
      <c r="P150" s="47" t="str">
        <f aca="false">IF(OR(J150="",K150=""),"",IFERROR(J150/K150*1000,0))</f>
        <v/>
      </c>
      <c r="Q150" s="47" t="str">
        <f aca="false">IF(OR(L150="",K150=""),"",IFERROR(L150/K150*1000,0))</f>
        <v/>
      </c>
      <c r="R150" s="47" t="str">
        <f aca="false">IF(OR(M150="High",M150="Critical"),"YES","")</f>
        <v/>
      </c>
    </row>
    <row r="151" customFormat="false" ht="15" hidden="false" customHeight="true" outlineLevel="0" collapsed="false">
      <c r="A151" s="47" t="n">
        <f aca="false">'Fault &amp; Downtime Entry'!A152</f>
        <v>147</v>
      </c>
      <c r="B151" s="48" t="n">
        <f aca="false">'Fault &amp; Downtime Entry'!B152</f>
        <v>0</v>
      </c>
      <c r="C151" s="47" t="n">
        <f aca="false">'Fault &amp; Downtime Entry'!C152</f>
        <v>0</v>
      </c>
      <c r="D151" s="47" t="n">
        <f aca="false">'Fault &amp; Downtime Entry'!D152</f>
        <v>0</v>
      </c>
      <c r="E151" s="47" t="n">
        <f aca="false">'Fault &amp; Downtime Entry'!E152</f>
        <v>0</v>
      </c>
      <c r="F151" s="47" t="str">
        <f aca="false">'Fault &amp; Downtime Entry'!F152</f>
        <v/>
      </c>
      <c r="G151" s="47" t="n">
        <f aca="false">'Fault &amp; Downtime Entry'!G152</f>
        <v>0</v>
      </c>
      <c r="H151" s="47" t="str">
        <f aca="false">'Fault &amp; Downtime Entry'!H152</f>
        <v/>
      </c>
      <c r="I151" s="47" t="str">
        <f aca="false">'Fault &amp; Downtime Entry'!I152</f>
        <v/>
      </c>
      <c r="J151" s="47" t="n">
        <f aca="false">'Fault &amp; Downtime Entry'!J152</f>
        <v>0</v>
      </c>
      <c r="K151" s="47" t="n">
        <f aca="false">'Fault &amp; Downtime Entry'!K152</f>
        <v>0</v>
      </c>
      <c r="L151" s="47" t="n">
        <f aca="false">'Fault &amp; Downtime Entry'!L152</f>
        <v>0</v>
      </c>
      <c r="M151" s="47" t="str">
        <f aca="false">'Fault &amp; Downtime Entry'!M152</f>
        <v/>
      </c>
      <c r="N151" s="47" t="n">
        <f aca="false">'Fault &amp; Downtime Entry'!N152</f>
        <v>0</v>
      </c>
      <c r="O151" s="47" t="n">
        <f aca="false">'Fault &amp; Downtime Entry'!O152</f>
        <v>0</v>
      </c>
      <c r="P151" s="47" t="str">
        <f aca="false">IF(OR(J151="",K151=""),"",IFERROR(J151/K151*1000,0))</f>
        <v/>
      </c>
      <c r="Q151" s="47" t="str">
        <f aca="false">IF(OR(L151="",K151=""),"",IFERROR(L151/K151*1000,0))</f>
        <v/>
      </c>
      <c r="R151" s="47" t="str">
        <f aca="false">IF(OR(M151="High",M151="Critical"),"YES","")</f>
        <v/>
      </c>
    </row>
    <row r="152" customFormat="false" ht="15" hidden="false" customHeight="true" outlineLevel="0" collapsed="false">
      <c r="A152" s="47" t="n">
        <f aca="false">'Fault &amp; Downtime Entry'!A153</f>
        <v>148</v>
      </c>
      <c r="B152" s="48" t="n">
        <f aca="false">'Fault &amp; Downtime Entry'!B153</f>
        <v>0</v>
      </c>
      <c r="C152" s="47" t="n">
        <f aca="false">'Fault &amp; Downtime Entry'!C153</f>
        <v>0</v>
      </c>
      <c r="D152" s="47" t="n">
        <f aca="false">'Fault &amp; Downtime Entry'!D153</f>
        <v>0</v>
      </c>
      <c r="E152" s="47" t="n">
        <f aca="false">'Fault &amp; Downtime Entry'!E153</f>
        <v>0</v>
      </c>
      <c r="F152" s="47" t="str">
        <f aca="false">'Fault &amp; Downtime Entry'!F153</f>
        <v/>
      </c>
      <c r="G152" s="47" t="n">
        <f aca="false">'Fault &amp; Downtime Entry'!G153</f>
        <v>0</v>
      </c>
      <c r="H152" s="47" t="str">
        <f aca="false">'Fault &amp; Downtime Entry'!H153</f>
        <v/>
      </c>
      <c r="I152" s="47" t="str">
        <f aca="false">'Fault &amp; Downtime Entry'!I153</f>
        <v/>
      </c>
      <c r="J152" s="47" t="n">
        <f aca="false">'Fault &amp; Downtime Entry'!J153</f>
        <v>0</v>
      </c>
      <c r="K152" s="47" t="n">
        <f aca="false">'Fault &amp; Downtime Entry'!K153</f>
        <v>0</v>
      </c>
      <c r="L152" s="47" t="n">
        <f aca="false">'Fault &amp; Downtime Entry'!L153</f>
        <v>0</v>
      </c>
      <c r="M152" s="47" t="str">
        <f aca="false">'Fault &amp; Downtime Entry'!M153</f>
        <v/>
      </c>
      <c r="N152" s="47" t="n">
        <f aca="false">'Fault &amp; Downtime Entry'!N153</f>
        <v>0</v>
      </c>
      <c r="O152" s="47" t="n">
        <f aca="false">'Fault &amp; Downtime Entry'!O153</f>
        <v>0</v>
      </c>
      <c r="P152" s="47" t="str">
        <f aca="false">IF(OR(J152="",K152=""),"",IFERROR(J152/K152*1000,0))</f>
        <v/>
      </c>
      <c r="Q152" s="47" t="str">
        <f aca="false">IF(OR(L152="",K152=""),"",IFERROR(L152/K152*1000,0))</f>
        <v/>
      </c>
      <c r="R152" s="47" t="str">
        <f aca="false">IF(OR(M152="High",M152="Critical"),"YES","")</f>
        <v/>
      </c>
    </row>
    <row r="153" customFormat="false" ht="15" hidden="false" customHeight="true" outlineLevel="0" collapsed="false">
      <c r="A153" s="47" t="n">
        <f aca="false">'Fault &amp; Downtime Entry'!A154</f>
        <v>149</v>
      </c>
      <c r="B153" s="48" t="n">
        <f aca="false">'Fault &amp; Downtime Entry'!B154</f>
        <v>0</v>
      </c>
      <c r="C153" s="47" t="n">
        <f aca="false">'Fault &amp; Downtime Entry'!C154</f>
        <v>0</v>
      </c>
      <c r="D153" s="47" t="n">
        <f aca="false">'Fault &amp; Downtime Entry'!D154</f>
        <v>0</v>
      </c>
      <c r="E153" s="47" t="n">
        <f aca="false">'Fault &amp; Downtime Entry'!E154</f>
        <v>0</v>
      </c>
      <c r="F153" s="47" t="str">
        <f aca="false">'Fault &amp; Downtime Entry'!F154</f>
        <v/>
      </c>
      <c r="G153" s="47" t="n">
        <f aca="false">'Fault &amp; Downtime Entry'!G154</f>
        <v>0</v>
      </c>
      <c r="H153" s="47" t="str">
        <f aca="false">'Fault &amp; Downtime Entry'!H154</f>
        <v/>
      </c>
      <c r="I153" s="47" t="str">
        <f aca="false">'Fault &amp; Downtime Entry'!I154</f>
        <v/>
      </c>
      <c r="J153" s="47" t="n">
        <f aca="false">'Fault &amp; Downtime Entry'!J154</f>
        <v>0</v>
      </c>
      <c r="K153" s="47" t="n">
        <f aca="false">'Fault &amp; Downtime Entry'!K154</f>
        <v>0</v>
      </c>
      <c r="L153" s="47" t="n">
        <f aca="false">'Fault &amp; Downtime Entry'!L154</f>
        <v>0</v>
      </c>
      <c r="M153" s="47" t="str">
        <f aca="false">'Fault &amp; Downtime Entry'!M154</f>
        <v/>
      </c>
      <c r="N153" s="47" t="n">
        <f aca="false">'Fault &amp; Downtime Entry'!N154</f>
        <v>0</v>
      </c>
      <c r="O153" s="47" t="n">
        <f aca="false">'Fault &amp; Downtime Entry'!O154</f>
        <v>0</v>
      </c>
      <c r="P153" s="47" t="str">
        <f aca="false">IF(OR(J153="",K153=""),"",IFERROR(J153/K153*1000,0))</f>
        <v/>
      </c>
      <c r="Q153" s="47" t="str">
        <f aca="false">IF(OR(L153="",K153=""),"",IFERROR(L153/K153*1000,0))</f>
        <v/>
      </c>
      <c r="R153" s="47" t="str">
        <f aca="false">IF(OR(M153="High",M153="Critical"),"YES","")</f>
        <v/>
      </c>
    </row>
    <row r="154" customFormat="false" ht="15" hidden="false" customHeight="true" outlineLevel="0" collapsed="false">
      <c r="A154" s="47" t="n">
        <f aca="false">'Fault &amp; Downtime Entry'!A155</f>
        <v>150</v>
      </c>
      <c r="B154" s="48" t="n">
        <f aca="false">'Fault &amp; Downtime Entry'!B155</f>
        <v>0</v>
      </c>
      <c r="C154" s="47" t="n">
        <f aca="false">'Fault &amp; Downtime Entry'!C155</f>
        <v>0</v>
      </c>
      <c r="D154" s="47" t="n">
        <f aca="false">'Fault &amp; Downtime Entry'!D155</f>
        <v>0</v>
      </c>
      <c r="E154" s="47" t="n">
        <f aca="false">'Fault &amp; Downtime Entry'!E155</f>
        <v>0</v>
      </c>
      <c r="F154" s="47" t="str">
        <f aca="false">'Fault &amp; Downtime Entry'!F155</f>
        <v/>
      </c>
      <c r="G154" s="47" t="n">
        <f aca="false">'Fault &amp; Downtime Entry'!G155</f>
        <v>0</v>
      </c>
      <c r="H154" s="47" t="str">
        <f aca="false">'Fault &amp; Downtime Entry'!H155</f>
        <v/>
      </c>
      <c r="I154" s="47" t="str">
        <f aca="false">'Fault &amp; Downtime Entry'!I155</f>
        <v/>
      </c>
      <c r="J154" s="47" t="n">
        <f aca="false">'Fault &amp; Downtime Entry'!J155</f>
        <v>0</v>
      </c>
      <c r="K154" s="47" t="n">
        <f aca="false">'Fault &amp; Downtime Entry'!K155</f>
        <v>0</v>
      </c>
      <c r="L154" s="47" t="n">
        <f aca="false">'Fault &amp; Downtime Entry'!L155</f>
        <v>0</v>
      </c>
      <c r="M154" s="47" t="str">
        <f aca="false">'Fault &amp; Downtime Entry'!M155</f>
        <v/>
      </c>
      <c r="N154" s="47" t="n">
        <f aca="false">'Fault &amp; Downtime Entry'!N155</f>
        <v>0</v>
      </c>
      <c r="O154" s="47" t="n">
        <f aca="false">'Fault &amp; Downtime Entry'!O155</f>
        <v>0</v>
      </c>
      <c r="P154" s="47" t="str">
        <f aca="false">IF(OR(J154="",K154=""),"",IFERROR(J154/K154*1000,0))</f>
        <v/>
      </c>
      <c r="Q154" s="47" t="str">
        <f aca="false">IF(OR(L154="",K154=""),"",IFERROR(L154/K154*1000,0))</f>
        <v/>
      </c>
      <c r="R154" s="47" t="str">
        <f aca="false">IF(OR(M154="High",M154="Critical"),"YES","")</f>
        <v/>
      </c>
    </row>
    <row r="155" customFormat="false" ht="15" hidden="false" customHeight="true" outlineLevel="0" collapsed="false">
      <c r="A155" s="47" t="n">
        <f aca="false">'Fault &amp; Downtime Entry'!A156</f>
        <v>151</v>
      </c>
      <c r="B155" s="48" t="n">
        <f aca="false">'Fault &amp; Downtime Entry'!B156</f>
        <v>0</v>
      </c>
      <c r="C155" s="47" t="n">
        <f aca="false">'Fault &amp; Downtime Entry'!C156</f>
        <v>0</v>
      </c>
      <c r="D155" s="47" t="n">
        <f aca="false">'Fault &amp; Downtime Entry'!D156</f>
        <v>0</v>
      </c>
      <c r="E155" s="47" t="n">
        <f aca="false">'Fault &amp; Downtime Entry'!E156</f>
        <v>0</v>
      </c>
      <c r="F155" s="47" t="str">
        <f aca="false">'Fault &amp; Downtime Entry'!F156</f>
        <v/>
      </c>
      <c r="G155" s="47" t="n">
        <f aca="false">'Fault &amp; Downtime Entry'!G156</f>
        <v>0</v>
      </c>
      <c r="H155" s="47" t="str">
        <f aca="false">'Fault &amp; Downtime Entry'!H156</f>
        <v/>
      </c>
      <c r="I155" s="47" t="str">
        <f aca="false">'Fault &amp; Downtime Entry'!I156</f>
        <v/>
      </c>
      <c r="J155" s="47" t="n">
        <f aca="false">'Fault &amp; Downtime Entry'!J156</f>
        <v>0</v>
      </c>
      <c r="K155" s="47" t="n">
        <f aca="false">'Fault &amp; Downtime Entry'!K156</f>
        <v>0</v>
      </c>
      <c r="L155" s="47" t="n">
        <f aca="false">'Fault &amp; Downtime Entry'!L156</f>
        <v>0</v>
      </c>
      <c r="M155" s="47" t="str">
        <f aca="false">'Fault &amp; Downtime Entry'!M156</f>
        <v/>
      </c>
      <c r="N155" s="47" t="n">
        <f aca="false">'Fault &amp; Downtime Entry'!N156</f>
        <v>0</v>
      </c>
      <c r="O155" s="47" t="n">
        <f aca="false">'Fault &amp; Downtime Entry'!O156</f>
        <v>0</v>
      </c>
      <c r="P155" s="47" t="str">
        <f aca="false">IF(OR(J155="",K155=""),"",IFERROR(J155/K155*1000,0))</f>
        <v/>
      </c>
      <c r="Q155" s="47" t="str">
        <f aca="false">IF(OR(L155="",K155=""),"",IFERROR(L155/K155*1000,0))</f>
        <v/>
      </c>
      <c r="R155" s="47" t="str">
        <f aca="false">IF(OR(M155="High",M155="Critical"),"YES","")</f>
        <v/>
      </c>
    </row>
    <row r="156" customFormat="false" ht="15" hidden="false" customHeight="true" outlineLevel="0" collapsed="false">
      <c r="A156" s="47" t="n">
        <f aca="false">'Fault &amp; Downtime Entry'!A157</f>
        <v>152</v>
      </c>
      <c r="B156" s="48" t="n">
        <f aca="false">'Fault &amp; Downtime Entry'!B157</f>
        <v>0</v>
      </c>
      <c r="C156" s="47" t="n">
        <f aca="false">'Fault &amp; Downtime Entry'!C157</f>
        <v>0</v>
      </c>
      <c r="D156" s="47" t="n">
        <f aca="false">'Fault &amp; Downtime Entry'!D157</f>
        <v>0</v>
      </c>
      <c r="E156" s="47" t="n">
        <f aca="false">'Fault &amp; Downtime Entry'!E157</f>
        <v>0</v>
      </c>
      <c r="F156" s="47" t="str">
        <f aca="false">'Fault &amp; Downtime Entry'!F157</f>
        <v/>
      </c>
      <c r="G156" s="47" t="n">
        <f aca="false">'Fault &amp; Downtime Entry'!G157</f>
        <v>0</v>
      </c>
      <c r="H156" s="47" t="str">
        <f aca="false">'Fault &amp; Downtime Entry'!H157</f>
        <v/>
      </c>
      <c r="I156" s="47" t="str">
        <f aca="false">'Fault &amp; Downtime Entry'!I157</f>
        <v/>
      </c>
      <c r="J156" s="47" t="n">
        <f aca="false">'Fault &amp; Downtime Entry'!J157</f>
        <v>0</v>
      </c>
      <c r="K156" s="47" t="n">
        <f aca="false">'Fault &amp; Downtime Entry'!K157</f>
        <v>0</v>
      </c>
      <c r="L156" s="47" t="n">
        <f aca="false">'Fault &amp; Downtime Entry'!L157</f>
        <v>0</v>
      </c>
      <c r="M156" s="47" t="str">
        <f aca="false">'Fault &amp; Downtime Entry'!M157</f>
        <v/>
      </c>
      <c r="N156" s="47" t="n">
        <f aca="false">'Fault &amp; Downtime Entry'!N157</f>
        <v>0</v>
      </c>
      <c r="O156" s="47" t="n">
        <f aca="false">'Fault &amp; Downtime Entry'!O157</f>
        <v>0</v>
      </c>
      <c r="P156" s="47" t="str">
        <f aca="false">IF(OR(J156="",K156=""),"",IFERROR(J156/K156*1000,0))</f>
        <v/>
      </c>
      <c r="Q156" s="47" t="str">
        <f aca="false">IF(OR(L156="",K156=""),"",IFERROR(L156/K156*1000,0))</f>
        <v/>
      </c>
      <c r="R156" s="47" t="str">
        <f aca="false">IF(OR(M156="High",M156="Critical"),"YES","")</f>
        <v/>
      </c>
    </row>
    <row r="157" customFormat="false" ht="15" hidden="false" customHeight="true" outlineLevel="0" collapsed="false">
      <c r="A157" s="47" t="n">
        <f aca="false">'Fault &amp; Downtime Entry'!A158</f>
        <v>153</v>
      </c>
      <c r="B157" s="48" t="n">
        <f aca="false">'Fault &amp; Downtime Entry'!B158</f>
        <v>0</v>
      </c>
      <c r="C157" s="47" t="n">
        <f aca="false">'Fault &amp; Downtime Entry'!C158</f>
        <v>0</v>
      </c>
      <c r="D157" s="47" t="n">
        <f aca="false">'Fault &amp; Downtime Entry'!D158</f>
        <v>0</v>
      </c>
      <c r="E157" s="47" t="n">
        <f aca="false">'Fault &amp; Downtime Entry'!E158</f>
        <v>0</v>
      </c>
      <c r="F157" s="47" t="str">
        <f aca="false">'Fault &amp; Downtime Entry'!F158</f>
        <v/>
      </c>
      <c r="G157" s="47" t="n">
        <f aca="false">'Fault &amp; Downtime Entry'!G158</f>
        <v>0</v>
      </c>
      <c r="H157" s="47" t="str">
        <f aca="false">'Fault &amp; Downtime Entry'!H158</f>
        <v/>
      </c>
      <c r="I157" s="47" t="str">
        <f aca="false">'Fault &amp; Downtime Entry'!I158</f>
        <v/>
      </c>
      <c r="J157" s="47" t="n">
        <f aca="false">'Fault &amp; Downtime Entry'!J158</f>
        <v>0</v>
      </c>
      <c r="K157" s="47" t="n">
        <f aca="false">'Fault &amp; Downtime Entry'!K158</f>
        <v>0</v>
      </c>
      <c r="L157" s="47" t="n">
        <f aca="false">'Fault &amp; Downtime Entry'!L158</f>
        <v>0</v>
      </c>
      <c r="M157" s="47" t="str">
        <f aca="false">'Fault &amp; Downtime Entry'!M158</f>
        <v/>
      </c>
      <c r="N157" s="47" t="n">
        <f aca="false">'Fault &amp; Downtime Entry'!N158</f>
        <v>0</v>
      </c>
      <c r="O157" s="47" t="n">
        <f aca="false">'Fault &amp; Downtime Entry'!O158</f>
        <v>0</v>
      </c>
      <c r="P157" s="47" t="str">
        <f aca="false">IF(OR(J157="",K157=""),"",IFERROR(J157/K157*1000,0))</f>
        <v/>
      </c>
      <c r="Q157" s="47" t="str">
        <f aca="false">IF(OR(L157="",K157=""),"",IFERROR(L157/K157*1000,0))</f>
        <v/>
      </c>
      <c r="R157" s="47" t="str">
        <f aca="false">IF(OR(M157="High",M157="Critical"),"YES","")</f>
        <v/>
      </c>
    </row>
    <row r="158" customFormat="false" ht="15" hidden="false" customHeight="true" outlineLevel="0" collapsed="false">
      <c r="A158" s="47" t="n">
        <f aca="false">'Fault &amp; Downtime Entry'!A159</f>
        <v>154</v>
      </c>
      <c r="B158" s="48" t="n">
        <f aca="false">'Fault &amp; Downtime Entry'!B159</f>
        <v>0</v>
      </c>
      <c r="C158" s="47" t="n">
        <f aca="false">'Fault &amp; Downtime Entry'!C159</f>
        <v>0</v>
      </c>
      <c r="D158" s="47" t="n">
        <f aca="false">'Fault &amp; Downtime Entry'!D159</f>
        <v>0</v>
      </c>
      <c r="E158" s="47" t="n">
        <f aca="false">'Fault &amp; Downtime Entry'!E159</f>
        <v>0</v>
      </c>
      <c r="F158" s="47" t="str">
        <f aca="false">'Fault &amp; Downtime Entry'!F159</f>
        <v/>
      </c>
      <c r="G158" s="47" t="n">
        <f aca="false">'Fault &amp; Downtime Entry'!G159</f>
        <v>0</v>
      </c>
      <c r="H158" s="47" t="str">
        <f aca="false">'Fault &amp; Downtime Entry'!H159</f>
        <v/>
      </c>
      <c r="I158" s="47" t="str">
        <f aca="false">'Fault &amp; Downtime Entry'!I159</f>
        <v/>
      </c>
      <c r="J158" s="47" t="n">
        <f aca="false">'Fault &amp; Downtime Entry'!J159</f>
        <v>0</v>
      </c>
      <c r="K158" s="47" t="n">
        <f aca="false">'Fault &amp; Downtime Entry'!K159</f>
        <v>0</v>
      </c>
      <c r="L158" s="47" t="n">
        <f aca="false">'Fault &amp; Downtime Entry'!L159</f>
        <v>0</v>
      </c>
      <c r="M158" s="47" t="str">
        <f aca="false">'Fault &amp; Downtime Entry'!M159</f>
        <v/>
      </c>
      <c r="N158" s="47" t="n">
        <f aca="false">'Fault &amp; Downtime Entry'!N159</f>
        <v>0</v>
      </c>
      <c r="O158" s="47" t="n">
        <f aca="false">'Fault &amp; Downtime Entry'!O159</f>
        <v>0</v>
      </c>
      <c r="P158" s="47" t="str">
        <f aca="false">IF(OR(J158="",K158=""),"",IFERROR(J158/K158*1000,0))</f>
        <v/>
      </c>
      <c r="Q158" s="47" t="str">
        <f aca="false">IF(OR(L158="",K158=""),"",IFERROR(L158/K158*1000,0))</f>
        <v/>
      </c>
      <c r="R158" s="47" t="str">
        <f aca="false">IF(OR(M158="High",M158="Critical"),"YES","")</f>
        <v/>
      </c>
    </row>
    <row r="159" customFormat="false" ht="15" hidden="false" customHeight="true" outlineLevel="0" collapsed="false">
      <c r="A159" s="47" t="n">
        <f aca="false">'Fault &amp; Downtime Entry'!A160</f>
        <v>155</v>
      </c>
      <c r="B159" s="48" t="n">
        <f aca="false">'Fault &amp; Downtime Entry'!B160</f>
        <v>0</v>
      </c>
      <c r="C159" s="47" t="n">
        <f aca="false">'Fault &amp; Downtime Entry'!C160</f>
        <v>0</v>
      </c>
      <c r="D159" s="47" t="n">
        <f aca="false">'Fault &amp; Downtime Entry'!D160</f>
        <v>0</v>
      </c>
      <c r="E159" s="47" t="n">
        <f aca="false">'Fault &amp; Downtime Entry'!E160</f>
        <v>0</v>
      </c>
      <c r="F159" s="47" t="str">
        <f aca="false">'Fault &amp; Downtime Entry'!F160</f>
        <v/>
      </c>
      <c r="G159" s="47" t="n">
        <f aca="false">'Fault &amp; Downtime Entry'!G160</f>
        <v>0</v>
      </c>
      <c r="H159" s="47" t="str">
        <f aca="false">'Fault &amp; Downtime Entry'!H160</f>
        <v/>
      </c>
      <c r="I159" s="47" t="str">
        <f aca="false">'Fault &amp; Downtime Entry'!I160</f>
        <v/>
      </c>
      <c r="J159" s="47" t="n">
        <f aca="false">'Fault &amp; Downtime Entry'!J160</f>
        <v>0</v>
      </c>
      <c r="K159" s="47" t="n">
        <f aca="false">'Fault &amp; Downtime Entry'!K160</f>
        <v>0</v>
      </c>
      <c r="L159" s="47" t="n">
        <f aca="false">'Fault &amp; Downtime Entry'!L160</f>
        <v>0</v>
      </c>
      <c r="M159" s="47" t="str">
        <f aca="false">'Fault &amp; Downtime Entry'!M160</f>
        <v/>
      </c>
      <c r="N159" s="47" t="n">
        <f aca="false">'Fault &amp; Downtime Entry'!N160</f>
        <v>0</v>
      </c>
      <c r="O159" s="47" t="n">
        <f aca="false">'Fault &amp; Downtime Entry'!O160</f>
        <v>0</v>
      </c>
      <c r="P159" s="47" t="str">
        <f aca="false">IF(OR(J159="",K159=""),"",IFERROR(J159/K159*1000,0))</f>
        <v/>
      </c>
      <c r="Q159" s="47" t="str">
        <f aca="false">IF(OR(L159="",K159=""),"",IFERROR(L159/K159*1000,0))</f>
        <v/>
      </c>
      <c r="R159" s="47" t="str">
        <f aca="false">IF(OR(M159="High",M159="Critical"),"YES","")</f>
        <v/>
      </c>
    </row>
    <row r="160" customFormat="false" ht="15" hidden="false" customHeight="true" outlineLevel="0" collapsed="false">
      <c r="A160" s="47" t="n">
        <f aca="false">'Fault &amp; Downtime Entry'!A161</f>
        <v>156</v>
      </c>
      <c r="B160" s="48" t="n">
        <f aca="false">'Fault &amp; Downtime Entry'!B161</f>
        <v>0</v>
      </c>
      <c r="C160" s="47" t="n">
        <f aca="false">'Fault &amp; Downtime Entry'!C161</f>
        <v>0</v>
      </c>
      <c r="D160" s="47" t="n">
        <f aca="false">'Fault &amp; Downtime Entry'!D161</f>
        <v>0</v>
      </c>
      <c r="E160" s="47" t="n">
        <f aca="false">'Fault &amp; Downtime Entry'!E161</f>
        <v>0</v>
      </c>
      <c r="F160" s="47" t="str">
        <f aca="false">'Fault &amp; Downtime Entry'!F161</f>
        <v/>
      </c>
      <c r="G160" s="47" t="n">
        <f aca="false">'Fault &amp; Downtime Entry'!G161</f>
        <v>0</v>
      </c>
      <c r="H160" s="47" t="str">
        <f aca="false">'Fault &amp; Downtime Entry'!H161</f>
        <v/>
      </c>
      <c r="I160" s="47" t="str">
        <f aca="false">'Fault &amp; Downtime Entry'!I161</f>
        <v/>
      </c>
      <c r="J160" s="47" t="n">
        <f aca="false">'Fault &amp; Downtime Entry'!J161</f>
        <v>0</v>
      </c>
      <c r="K160" s="47" t="n">
        <f aca="false">'Fault &amp; Downtime Entry'!K161</f>
        <v>0</v>
      </c>
      <c r="L160" s="47" t="n">
        <f aca="false">'Fault &amp; Downtime Entry'!L161</f>
        <v>0</v>
      </c>
      <c r="M160" s="47" t="str">
        <f aca="false">'Fault &amp; Downtime Entry'!M161</f>
        <v/>
      </c>
      <c r="N160" s="47" t="n">
        <f aca="false">'Fault &amp; Downtime Entry'!N161</f>
        <v>0</v>
      </c>
      <c r="O160" s="47" t="n">
        <f aca="false">'Fault &amp; Downtime Entry'!O161</f>
        <v>0</v>
      </c>
      <c r="P160" s="47" t="str">
        <f aca="false">IF(OR(J160="",K160=""),"",IFERROR(J160/K160*1000,0))</f>
        <v/>
      </c>
      <c r="Q160" s="47" t="str">
        <f aca="false">IF(OR(L160="",K160=""),"",IFERROR(L160/K160*1000,0))</f>
        <v/>
      </c>
      <c r="R160" s="47" t="str">
        <f aca="false">IF(OR(M160="High",M160="Critical"),"YES","")</f>
        <v/>
      </c>
    </row>
    <row r="161" customFormat="false" ht="15" hidden="false" customHeight="true" outlineLevel="0" collapsed="false">
      <c r="A161" s="47" t="n">
        <f aca="false">'Fault &amp; Downtime Entry'!A162</f>
        <v>157</v>
      </c>
      <c r="B161" s="48" t="n">
        <f aca="false">'Fault &amp; Downtime Entry'!B162</f>
        <v>0</v>
      </c>
      <c r="C161" s="47" t="n">
        <f aca="false">'Fault &amp; Downtime Entry'!C162</f>
        <v>0</v>
      </c>
      <c r="D161" s="47" t="n">
        <f aca="false">'Fault &amp; Downtime Entry'!D162</f>
        <v>0</v>
      </c>
      <c r="E161" s="47" t="n">
        <f aca="false">'Fault &amp; Downtime Entry'!E162</f>
        <v>0</v>
      </c>
      <c r="F161" s="47" t="str">
        <f aca="false">'Fault &amp; Downtime Entry'!F162</f>
        <v/>
      </c>
      <c r="G161" s="47" t="n">
        <f aca="false">'Fault &amp; Downtime Entry'!G162</f>
        <v>0</v>
      </c>
      <c r="H161" s="47" t="str">
        <f aca="false">'Fault &amp; Downtime Entry'!H162</f>
        <v/>
      </c>
      <c r="I161" s="47" t="str">
        <f aca="false">'Fault &amp; Downtime Entry'!I162</f>
        <v/>
      </c>
      <c r="J161" s="47" t="n">
        <f aca="false">'Fault &amp; Downtime Entry'!J162</f>
        <v>0</v>
      </c>
      <c r="K161" s="47" t="n">
        <f aca="false">'Fault &amp; Downtime Entry'!K162</f>
        <v>0</v>
      </c>
      <c r="L161" s="47" t="n">
        <f aca="false">'Fault &amp; Downtime Entry'!L162</f>
        <v>0</v>
      </c>
      <c r="M161" s="47" t="str">
        <f aca="false">'Fault &amp; Downtime Entry'!M162</f>
        <v/>
      </c>
      <c r="N161" s="47" t="n">
        <f aca="false">'Fault &amp; Downtime Entry'!N162</f>
        <v>0</v>
      </c>
      <c r="O161" s="47" t="n">
        <f aca="false">'Fault &amp; Downtime Entry'!O162</f>
        <v>0</v>
      </c>
      <c r="P161" s="47" t="str">
        <f aca="false">IF(OR(J161="",K161=""),"",IFERROR(J161/K161*1000,0))</f>
        <v/>
      </c>
      <c r="Q161" s="47" t="str">
        <f aca="false">IF(OR(L161="",K161=""),"",IFERROR(L161/K161*1000,0))</f>
        <v/>
      </c>
      <c r="R161" s="47" t="str">
        <f aca="false">IF(OR(M161="High",M161="Critical"),"YES","")</f>
        <v/>
      </c>
    </row>
    <row r="162" customFormat="false" ht="15" hidden="false" customHeight="true" outlineLevel="0" collapsed="false">
      <c r="A162" s="47" t="n">
        <f aca="false">'Fault &amp; Downtime Entry'!A163</f>
        <v>158</v>
      </c>
      <c r="B162" s="48" t="n">
        <f aca="false">'Fault &amp; Downtime Entry'!B163</f>
        <v>0</v>
      </c>
      <c r="C162" s="47" t="n">
        <f aca="false">'Fault &amp; Downtime Entry'!C163</f>
        <v>0</v>
      </c>
      <c r="D162" s="47" t="n">
        <f aca="false">'Fault &amp; Downtime Entry'!D163</f>
        <v>0</v>
      </c>
      <c r="E162" s="47" t="n">
        <f aca="false">'Fault &amp; Downtime Entry'!E163</f>
        <v>0</v>
      </c>
      <c r="F162" s="47" t="str">
        <f aca="false">'Fault &amp; Downtime Entry'!F163</f>
        <v/>
      </c>
      <c r="G162" s="47" t="n">
        <f aca="false">'Fault &amp; Downtime Entry'!G163</f>
        <v>0</v>
      </c>
      <c r="H162" s="47" t="str">
        <f aca="false">'Fault &amp; Downtime Entry'!H163</f>
        <v/>
      </c>
      <c r="I162" s="47" t="str">
        <f aca="false">'Fault &amp; Downtime Entry'!I163</f>
        <v/>
      </c>
      <c r="J162" s="47" t="n">
        <f aca="false">'Fault &amp; Downtime Entry'!J163</f>
        <v>0</v>
      </c>
      <c r="K162" s="47" t="n">
        <f aca="false">'Fault &amp; Downtime Entry'!K163</f>
        <v>0</v>
      </c>
      <c r="L162" s="47" t="n">
        <f aca="false">'Fault &amp; Downtime Entry'!L163</f>
        <v>0</v>
      </c>
      <c r="M162" s="47" t="str">
        <f aca="false">'Fault &amp; Downtime Entry'!M163</f>
        <v/>
      </c>
      <c r="N162" s="47" t="n">
        <f aca="false">'Fault &amp; Downtime Entry'!N163</f>
        <v>0</v>
      </c>
      <c r="O162" s="47" t="n">
        <f aca="false">'Fault &amp; Downtime Entry'!O163</f>
        <v>0</v>
      </c>
      <c r="P162" s="47" t="str">
        <f aca="false">IF(OR(J162="",K162=""),"",IFERROR(J162/K162*1000,0))</f>
        <v/>
      </c>
      <c r="Q162" s="47" t="str">
        <f aca="false">IF(OR(L162="",K162=""),"",IFERROR(L162/K162*1000,0))</f>
        <v/>
      </c>
      <c r="R162" s="47" t="str">
        <f aca="false">IF(OR(M162="High",M162="Critical"),"YES","")</f>
        <v/>
      </c>
    </row>
    <row r="163" customFormat="false" ht="15" hidden="false" customHeight="true" outlineLevel="0" collapsed="false">
      <c r="A163" s="47" t="n">
        <f aca="false">'Fault &amp; Downtime Entry'!A164</f>
        <v>159</v>
      </c>
      <c r="B163" s="48" t="n">
        <f aca="false">'Fault &amp; Downtime Entry'!B164</f>
        <v>0</v>
      </c>
      <c r="C163" s="47" t="n">
        <f aca="false">'Fault &amp; Downtime Entry'!C164</f>
        <v>0</v>
      </c>
      <c r="D163" s="47" t="n">
        <f aca="false">'Fault &amp; Downtime Entry'!D164</f>
        <v>0</v>
      </c>
      <c r="E163" s="47" t="n">
        <f aca="false">'Fault &amp; Downtime Entry'!E164</f>
        <v>0</v>
      </c>
      <c r="F163" s="47" t="str">
        <f aca="false">'Fault &amp; Downtime Entry'!F164</f>
        <v/>
      </c>
      <c r="G163" s="47" t="n">
        <f aca="false">'Fault &amp; Downtime Entry'!G164</f>
        <v>0</v>
      </c>
      <c r="H163" s="47" t="str">
        <f aca="false">'Fault &amp; Downtime Entry'!H164</f>
        <v/>
      </c>
      <c r="I163" s="47" t="str">
        <f aca="false">'Fault &amp; Downtime Entry'!I164</f>
        <v/>
      </c>
      <c r="J163" s="47" t="n">
        <f aca="false">'Fault &amp; Downtime Entry'!J164</f>
        <v>0</v>
      </c>
      <c r="K163" s="47" t="n">
        <f aca="false">'Fault &amp; Downtime Entry'!K164</f>
        <v>0</v>
      </c>
      <c r="L163" s="47" t="n">
        <f aca="false">'Fault &amp; Downtime Entry'!L164</f>
        <v>0</v>
      </c>
      <c r="M163" s="47" t="str">
        <f aca="false">'Fault &amp; Downtime Entry'!M164</f>
        <v/>
      </c>
      <c r="N163" s="47" t="n">
        <f aca="false">'Fault &amp; Downtime Entry'!N164</f>
        <v>0</v>
      </c>
      <c r="O163" s="47" t="n">
        <f aca="false">'Fault &amp; Downtime Entry'!O164</f>
        <v>0</v>
      </c>
      <c r="P163" s="47" t="str">
        <f aca="false">IF(OR(J163="",K163=""),"",IFERROR(J163/K163*1000,0))</f>
        <v/>
      </c>
      <c r="Q163" s="47" t="str">
        <f aca="false">IF(OR(L163="",K163=""),"",IFERROR(L163/K163*1000,0))</f>
        <v/>
      </c>
      <c r="R163" s="47" t="str">
        <f aca="false">IF(OR(M163="High",M163="Critical"),"YES","")</f>
        <v/>
      </c>
    </row>
    <row r="164" customFormat="false" ht="15" hidden="false" customHeight="true" outlineLevel="0" collapsed="false">
      <c r="A164" s="47" t="n">
        <f aca="false">'Fault &amp; Downtime Entry'!A165</f>
        <v>160</v>
      </c>
      <c r="B164" s="48" t="n">
        <f aca="false">'Fault &amp; Downtime Entry'!B165</f>
        <v>0</v>
      </c>
      <c r="C164" s="47" t="n">
        <f aca="false">'Fault &amp; Downtime Entry'!C165</f>
        <v>0</v>
      </c>
      <c r="D164" s="47" t="n">
        <f aca="false">'Fault &amp; Downtime Entry'!D165</f>
        <v>0</v>
      </c>
      <c r="E164" s="47" t="n">
        <f aca="false">'Fault &amp; Downtime Entry'!E165</f>
        <v>0</v>
      </c>
      <c r="F164" s="47" t="str">
        <f aca="false">'Fault &amp; Downtime Entry'!F165</f>
        <v/>
      </c>
      <c r="G164" s="47" t="n">
        <f aca="false">'Fault &amp; Downtime Entry'!G165</f>
        <v>0</v>
      </c>
      <c r="H164" s="47" t="str">
        <f aca="false">'Fault &amp; Downtime Entry'!H165</f>
        <v/>
      </c>
      <c r="I164" s="47" t="str">
        <f aca="false">'Fault &amp; Downtime Entry'!I165</f>
        <v/>
      </c>
      <c r="J164" s="47" t="n">
        <f aca="false">'Fault &amp; Downtime Entry'!J165</f>
        <v>0</v>
      </c>
      <c r="K164" s="47" t="n">
        <f aca="false">'Fault &amp; Downtime Entry'!K165</f>
        <v>0</v>
      </c>
      <c r="L164" s="47" t="n">
        <f aca="false">'Fault &amp; Downtime Entry'!L165</f>
        <v>0</v>
      </c>
      <c r="M164" s="47" t="str">
        <f aca="false">'Fault &amp; Downtime Entry'!M165</f>
        <v/>
      </c>
      <c r="N164" s="47" t="n">
        <f aca="false">'Fault &amp; Downtime Entry'!N165</f>
        <v>0</v>
      </c>
      <c r="O164" s="47" t="n">
        <f aca="false">'Fault &amp; Downtime Entry'!O165</f>
        <v>0</v>
      </c>
      <c r="P164" s="47" t="str">
        <f aca="false">IF(OR(J164="",K164=""),"",IFERROR(J164/K164*1000,0))</f>
        <v/>
      </c>
      <c r="Q164" s="47" t="str">
        <f aca="false">IF(OR(L164="",K164=""),"",IFERROR(L164/K164*1000,0))</f>
        <v/>
      </c>
      <c r="R164" s="47" t="str">
        <f aca="false">IF(OR(M164="High",M164="Critical"),"YES","")</f>
        <v/>
      </c>
    </row>
    <row r="165" customFormat="false" ht="15" hidden="false" customHeight="true" outlineLevel="0" collapsed="false">
      <c r="A165" s="47" t="n">
        <f aca="false">'Fault &amp; Downtime Entry'!A166</f>
        <v>161</v>
      </c>
      <c r="B165" s="48" t="n">
        <f aca="false">'Fault &amp; Downtime Entry'!B166</f>
        <v>0</v>
      </c>
      <c r="C165" s="47" t="n">
        <f aca="false">'Fault &amp; Downtime Entry'!C166</f>
        <v>0</v>
      </c>
      <c r="D165" s="47" t="n">
        <f aca="false">'Fault &amp; Downtime Entry'!D166</f>
        <v>0</v>
      </c>
      <c r="E165" s="47" t="n">
        <f aca="false">'Fault &amp; Downtime Entry'!E166</f>
        <v>0</v>
      </c>
      <c r="F165" s="47" t="str">
        <f aca="false">'Fault &amp; Downtime Entry'!F166</f>
        <v/>
      </c>
      <c r="G165" s="47" t="n">
        <f aca="false">'Fault &amp; Downtime Entry'!G166</f>
        <v>0</v>
      </c>
      <c r="H165" s="47" t="str">
        <f aca="false">'Fault &amp; Downtime Entry'!H166</f>
        <v/>
      </c>
      <c r="I165" s="47" t="str">
        <f aca="false">'Fault &amp; Downtime Entry'!I166</f>
        <v/>
      </c>
      <c r="J165" s="47" t="n">
        <f aca="false">'Fault &amp; Downtime Entry'!J166</f>
        <v>0</v>
      </c>
      <c r="K165" s="47" t="n">
        <f aca="false">'Fault &amp; Downtime Entry'!K166</f>
        <v>0</v>
      </c>
      <c r="L165" s="47" t="n">
        <f aca="false">'Fault &amp; Downtime Entry'!L166</f>
        <v>0</v>
      </c>
      <c r="M165" s="47" t="str">
        <f aca="false">'Fault &amp; Downtime Entry'!M166</f>
        <v/>
      </c>
      <c r="N165" s="47" t="n">
        <f aca="false">'Fault &amp; Downtime Entry'!N166</f>
        <v>0</v>
      </c>
      <c r="O165" s="47" t="n">
        <f aca="false">'Fault &amp; Downtime Entry'!O166</f>
        <v>0</v>
      </c>
      <c r="P165" s="47" t="str">
        <f aca="false">IF(OR(J165="",K165=""),"",IFERROR(J165/K165*1000,0))</f>
        <v/>
      </c>
      <c r="Q165" s="47" t="str">
        <f aca="false">IF(OR(L165="",K165=""),"",IFERROR(L165/K165*1000,0))</f>
        <v/>
      </c>
      <c r="R165" s="47" t="str">
        <f aca="false">IF(OR(M165="High",M165="Critical"),"YES","")</f>
        <v/>
      </c>
    </row>
    <row r="166" customFormat="false" ht="15" hidden="false" customHeight="true" outlineLevel="0" collapsed="false">
      <c r="A166" s="47" t="n">
        <f aca="false">'Fault &amp; Downtime Entry'!A167</f>
        <v>162</v>
      </c>
      <c r="B166" s="48" t="n">
        <f aca="false">'Fault &amp; Downtime Entry'!B167</f>
        <v>0</v>
      </c>
      <c r="C166" s="47" t="n">
        <f aca="false">'Fault &amp; Downtime Entry'!C167</f>
        <v>0</v>
      </c>
      <c r="D166" s="47" t="n">
        <f aca="false">'Fault &amp; Downtime Entry'!D167</f>
        <v>0</v>
      </c>
      <c r="E166" s="47" t="n">
        <f aca="false">'Fault &amp; Downtime Entry'!E167</f>
        <v>0</v>
      </c>
      <c r="F166" s="47" t="str">
        <f aca="false">'Fault &amp; Downtime Entry'!F167</f>
        <v/>
      </c>
      <c r="G166" s="47" t="n">
        <f aca="false">'Fault &amp; Downtime Entry'!G167</f>
        <v>0</v>
      </c>
      <c r="H166" s="47" t="str">
        <f aca="false">'Fault &amp; Downtime Entry'!H167</f>
        <v/>
      </c>
      <c r="I166" s="47" t="str">
        <f aca="false">'Fault &amp; Downtime Entry'!I167</f>
        <v/>
      </c>
      <c r="J166" s="47" t="n">
        <f aca="false">'Fault &amp; Downtime Entry'!J167</f>
        <v>0</v>
      </c>
      <c r="K166" s="47" t="n">
        <f aca="false">'Fault &amp; Downtime Entry'!K167</f>
        <v>0</v>
      </c>
      <c r="L166" s="47" t="n">
        <f aca="false">'Fault &amp; Downtime Entry'!L167</f>
        <v>0</v>
      </c>
      <c r="M166" s="47" t="str">
        <f aca="false">'Fault &amp; Downtime Entry'!M167</f>
        <v/>
      </c>
      <c r="N166" s="47" t="n">
        <f aca="false">'Fault &amp; Downtime Entry'!N167</f>
        <v>0</v>
      </c>
      <c r="O166" s="47" t="n">
        <f aca="false">'Fault &amp; Downtime Entry'!O167</f>
        <v>0</v>
      </c>
      <c r="P166" s="47" t="str">
        <f aca="false">IF(OR(J166="",K166=""),"",IFERROR(J166/K166*1000,0))</f>
        <v/>
      </c>
      <c r="Q166" s="47" t="str">
        <f aca="false">IF(OR(L166="",K166=""),"",IFERROR(L166/K166*1000,0))</f>
        <v/>
      </c>
      <c r="R166" s="47" t="str">
        <f aca="false">IF(OR(M166="High",M166="Critical"),"YES","")</f>
        <v/>
      </c>
    </row>
    <row r="167" customFormat="false" ht="15" hidden="false" customHeight="true" outlineLevel="0" collapsed="false">
      <c r="A167" s="47" t="n">
        <f aca="false">'Fault &amp; Downtime Entry'!A168</f>
        <v>163</v>
      </c>
      <c r="B167" s="48" t="n">
        <f aca="false">'Fault &amp; Downtime Entry'!B168</f>
        <v>0</v>
      </c>
      <c r="C167" s="47" t="n">
        <f aca="false">'Fault &amp; Downtime Entry'!C168</f>
        <v>0</v>
      </c>
      <c r="D167" s="47" t="n">
        <f aca="false">'Fault &amp; Downtime Entry'!D168</f>
        <v>0</v>
      </c>
      <c r="E167" s="47" t="n">
        <f aca="false">'Fault &amp; Downtime Entry'!E168</f>
        <v>0</v>
      </c>
      <c r="F167" s="47" t="str">
        <f aca="false">'Fault &amp; Downtime Entry'!F168</f>
        <v/>
      </c>
      <c r="G167" s="47" t="n">
        <f aca="false">'Fault &amp; Downtime Entry'!G168</f>
        <v>0</v>
      </c>
      <c r="H167" s="47" t="str">
        <f aca="false">'Fault &amp; Downtime Entry'!H168</f>
        <v/>
      </c>
      <c r="I167" s="47" t="str">
        <f aca="false">'Fault &amp; Downtime Entry'!I168</f>
        <v/>
      </c>
      <c r="J167" s="47" t="n">
        <f aca="false">'Fault &amp; Downtime Entry'!J168</f>
        <v>0</v>
      </c>
      <c r="K167" s="47" t="n">
        <f aca="false">'Fault &amp; Downtime Entry'!K168</f>
        <v>0</v>
      </c>
      <c r="L167" s="47" t="n">
        <f aca="false">'Fault &amp; Downtime Entry'!L168</f>
        <v>0</v>
      </c>
      <c r="M167" s="47" t="str">
        <f aca="false">'Fault &amp; Downtime Entry'!M168</f>
        <v/>
      </c>
      <c r="N167" s="47" t="n">
        <f aca="false">'Fault &amp; Downtime Entry'!N168</f>
        <v>0</v>
      </c>
      <c r="O167" s="47" t="n">
        <f aca="false">'Fault &amp; Downtime Entry'!O168</f>
        <v>0</v>
      </c>
      <c r="P167" s="47" t="str">
        <f aca="false">IF(OR(J167="",K167=""),"",IFERROR(J167/K167*1000,0))</f>
        <v/>
      </c>
      <c r="Q167" s="47" t="str">
        <f aca="false">IF(OR(L167="",K167=""),"",IFERROR(L167/K167*1000,0))</f>
        <v/>
      </c>
      <c r="R167" s="47" t="str">
        <f aca="false">IF(OR(M167="High",M167="Critical"),"YES","")</f>
        <v/>
      </c>
    </row>
    <row r="168" customFormat="false" ht="15" hidden="false" customHeight="true" outlineLevel="0" collapsed="false">
      <c r="A168" s="47" t="n">
        <f aca="false">'Fault &amp; Downtime Entry'!A169</f>
        <v>164</v>
      </c>
      <c r="B168" s="48" t="n">
        <f aca="false">'Fault &amp; Downtime Entry'!B169</f>
        <v>0</v>
      </c>
      <c r="C168" s="47" t="n">
        <f aca="false">'Fault &amp; Downtime Entry'!C169</f>
        <v>0</v>
      </c>
      <c r="D168" s="47" t="n">
        <f aca="false">'Fault &amp; Downtime Entry'!D169</f>
        <v>0</v>
      </c>
      <c r="E168" s="47" t="n">
        <f aca="false">'Fault &amp; Downtime Entry'!E169</f>
        <v>0</v>
      </c>
      <c r="F168" s="47" t="str">
        <f aca="false">'Fault &amp; Downtime Entry'!F169</f>
        <v/>
      </c>
      <c r="G168" s="47" t="n">
        <f aca="false">'Fault &amp; Downtime Entry'!G169</f>
        <v>0</v>
      </c>
      <c r="H168" s="47" t="str">
        <f aca="false">'Fault &amp; Downtime Entry'!H169</f>
        <v/>
      </c>
      <c r="I168" s="47" t="str">
        <f aca="false">'Fault &amp; Downtime Entry'!I169</f>
        <v/>
      </c>
      <c r="J168" s="47" t="n">
        <f aca="false">'Fault &amp; Downtime Entry'!J169</f>
        <v>0</v>
      </c>
      <c r="K168" s="47" t="n">
        <f aca="false">'Fault &amp; Downtime Entry'!K169</f>
        <v>0</v>
      </c>
      <c r="L168" s="47" t="n">
        <f aca="false">'Fault &amp; Downtime Entry'!L169</f>
        <v>0</v>
      </c>
      <c r="M168" s="47" t="str">
        <f aca="false">'Fault &amp; Downtime Entry'!M169</f>
        <v/>
      </c>
      <c r="N168" s="47" t="n">
        <f aca="false">'Fault &amp; Downtime Entry'!N169</f>
        <v>0</v>
      </c>
      <c r="O168" s="47" t="n">
        <f aca="false">'Fault &amp; Downtime Entry'!O169</f>
        <v>0</v>
      </c>
      <c r="P168" s="47" t="str">
        <f aca="false">IF(OR(J168="",K168=""),"",IFERROR(J168/K168*1000,0))</f>
        <v/>
      </c>
      <c r="Q168" s="47" t="str">
        <f aca="false">IF(OR(L168="",K168=""),"",IFERROR(L168/K168*1000,0))</f>
        <v/>
      </c>
      <c r="R168" s="47" t="str">
        <f aca="false">IF(OR(M168="High",M168="Critical"),"YES","")</f>
        <v/>
      </c>
    </row>
    <row r="169" customFormat="false" ht="15" hidden="false" customHeight="true" outlineLevel="0" collapsed="false">
      <c r="A169" s="47" t="n">
        <f aca="false">'Fault &amp; Downtime Entry'!A170</f>
        <v>165</v>
      </c>
      <c r="B169" s="48" t="n">
        <f aca="false">'Fault &amp; Downtime Entry'!B170</f>
        <v>0</v>
      </c>
      <c r="C169" s="47" t="n">
        <f aca="false">'Fault &amp; Downtime Entry'!C170</f>
        <v>0</v>
      </c>
      <c r="D169" s="47" t="n">
        <f aca="false">'Fault &amp; Downtime Entry'!D170</f>
        <v>0</v>
      </c>
      <c r="E169" s="47" t="n">
        <f aca="false">'Fault &amp; Downtime Entry'!E170</f>
        <v>0</v>
      </c>
      <c r="F169" s="47" t="str">
        <f aca="false">'Fault &amp; Downtime Entry'!F170</f>
        <v/>
      </c>
      <c r="G169" s="47" t="n">
        <f aca="false">'Fault &amp; Downtime Entry'!G170</f>
        <v>0</v>
      </c>
      <c r="H169" s="47" t="str">
        <f aca="false">'Fault &amp; Downtime Entry'!H170</f>
        <v/>
      </c>
      <c r="I169" s="47" t="str">
        <f aca="false">'Fault &amp; Downtime Entry'!I170</f>
        <v/>
      </c>
      <c r="J169" s="47" t="n">
        <f aca="false">'Fault &amp; Downtime Entry'!J170</f>
        <v>0</v>
      </c>
      <c r="K169" s="47" t="n">
        <f aca="false">'Fault &amp; Downtime Entry'!K170</f>
        <v>0</v>
      </c>
      <c r="L169" s="47" t="n">
        <f aca="false">'Fault &amp; Downtime Entry'!L170</f>
        <v>0</v>
      </c>
      <c r="M169" s="47" t="str">
        <f aca="false">'Fault &amp; Downtime Entry'!M170</f>
        <v/>
      </c>
      <c r="N169" s="47" t="n">
        <f aca="false">'Fault &amp; Downtime Entry'!N170</f>
        <v>0</v>
      </c>
      <c r="O169" s="47" t="n">
        <f aca="false">'Fault &amp; Downtime Entry'!O170</f>
        <v>0</v>
      </c>
      <c r="P169" s="47" t="str">
        <f aca="false">IF(OR(J169="",K169=""),"",IFERROR(J169/K169*1000,0))</f>
        <v/>
      </c>
      <c r="Q169" s="47" t="str">
        <f aca="false">IF(OR(L169="",K169=""),"",IFERROR(L169/K169*1000,0))</f>
        <v/>
      </c>
      <c r="R169" s="47" t="str">
        <f aca="false">IF(OR(M169="High",M169="Critical"),"YES","")</f>
        <v/>
      </c>
    </row>
    <row r="170" customFormat="false" ht="15" hidden="false" customHeight="true" outlineLevel="0" collapsed="false">
      <c r="A170" s="47" t="n">
        <f aca="false">'Fault &amp; Downtime Entry'!A171</f>
        <v>166</v>
      </c>
      <c r="B170" s="48" t="n">
        <f aca="false">'Fault &amp; Downtime Entry'!B171</f>
        <v>0</v>
      </c>
      <c r="C170" s="47" t="n">
        <f aca="false">'Fault &amp; Downtime Entry'!C171</f>
        <v>0</v>
      </c>
      <c r="D170" s="47" t="n">
        <f aca="false">'Fault &amp; Downtime Entry'!D171</f>
        <v>0</v>
      </c>
      <c r="E170" s="47" t="n">
        <f aca="false">'Fault &amp; Downtime Entry'!E171</f>
        <v>0</v>
      </c>
      <c r="F170" s="47" t="str">
        <f aca="false">'Fault &amp; Downtime Entry'!F171</f>
        <v/>
      </c>
      <c r="G170" s="47" t="n">
        <f aca="false">'Fault &amp; Downtime Entry'!G171</f>
        <v>0</v>
      </c>
      <c r="H170" s="47" t="str">
        <f aca="false">'Fault &amp; Downtime Entry'!H171</f>
        <v/>
      </c>
      <c r="I170" s="47" t="str">
        <f aca="false">'Fault &amp; Downtime Entry'!I171</f>
        <v/>
      </c>
      <c r="J170" s="47" t="n">
        <f aca="false">'Fault &amp; Downtime Entry'!J171</f>
        <v>0</v>
      </c>
      <c r="K170" s="47" t="n">
        <f aca="false">'Fault &amp; Downtime Entry'!K171</f>
        <v>0</v>
      </c>
      <c r="L170" s="47" t="n">
        <f aca="false">'Fault &amp; Downtime Entry'!L171</f>
        <v>0</v>
      </c>
      <c r="M170" s="47" t="str">
        <f aca="false">'Fault &amp; Downtime Entry'!M171</f>
        <v/>
      </c>
      <c r="N170" s="47" t="n">
        <f aca="false">'Fault &amp; Downtime Entry'!N171</f>
        <v>0</v>
      </c>
      <c r="O170" s="47" t="n">
        <f aca="false">'Fault &amp; Downtime Entry'!O171</f>
        <v>0</v>
      </c>
      <c r="P170" s="47" t="str">
        <f aca="false">IF(OR(J170="",K170=""),"",IFERROR(J170/K170*1000,0))</f>
        <v/>
      </c>
      <c r="Q170" s="47" t="str">
        <f aca="false">IF(OR(L170="",K170=""),"",IFERROR(L170/K170*1000,0))</f>
        <v/>
      </c>
      <c r="R170" s="47" t="str">
        <f aca="false">IF(OR(M170="High",M170="Critical"),"YES","")</f>
        <v/>
      </c>
    </row>
    <row r="171" customFormat="false" ht="15" hidden="false" customHeight="true" outlineLevel="0" collapsed="false">
      <c r="A171" s="47" t="n">
        <f aca="false">'Fault &amp; Downtime Entry'!A172</f>
        <v>167</v>
      </c>
      <c r="B171" s="48" t="n">
        <f aca="false">'Fault &amp; Downtime Entry'!B172</f>
        <v>0</v>
      </c>
      <c r="C171" s="47" t="n">
        <f aca="false">'Fault &amp; Downtime Entry'!C172</f>
        <v>0</v>
      </c>
      <c r="D171" s="47" t="n">
        <f aca="false">'Fault &amp; Downtime Entry'!D172</f>
        <v>0</v>
      </c>
      <c r="E171" s="47" t="n">
        <f aca="false">'Fault &amp; Downtime Entry'!E172</f>
        <v>0</v>
      </c>
      <c r="F171" s="47" t="str">
        <f aca="false">'Fault &amp; Downtime Entry'!F172</f>
        <v/>
      </c>
      <c r="G171" s="47" t="n">
        <f aca="false">'Fault &amp; Downtime Entry'!G172</f>
        <v>0</v>
      </c>
      <c r="H171" s="47" t="str">
        <f aca="false">'Fault &amp; Downtime Entry'!H172</f>
        <v/>
      </c>
      <c r="I171" s="47" t="str">
        <f aca="false">'Fault &amp; Downtime Entry'!I172</f>
        <v/>
      </c>
      <c r="J171" s="47" t="n">
        <f aca="false">'Fault &amp; Downtime Entry'!J172</f>
        <v>0</v>
      </c>
      <c r="K171" s="47" t="n">
        <f aca="false">'Fault &amp; Downtime Entry'!K172</f>
        <v>0</v>
      </c>
      <c r="L171" s="47" t="n">
        <f aca="false">'Fault &amp; Downtime Entry'!L172</f>
        <v>0</v>
      </c>
      <c r="M171" s="47" t="str">
        <f aca="false">'Fault &amp; Downtime Entry'!M172</f>
        <v/>
      </c>
      <c r="N171" s="47" t="n">
        <f aca="false">'Fault &amp; Downtime Entry'!N172</f>
        <v>0</v>
      </c>
      <c r="O171" s="47" t="n">
        <f aca="false">'Fault &amp; Downtime Entry'!O172</f>
        <v>0</v>
      </c>
      <c r="P171" s="47" t="str">
        <f aca="false">IF(OR(J171="",K171=""),"",IFERROR(J171/K171*1000,0))</f>
        <v/>
      </c>
      <c r="Q171" s="47" t="str">
        <f aca="false">IF(OR(L171="",K171=""),"",IFERROR(L171/K171*1000,0))</f>
        <v/>
      </c>
      <c r="R171" s="47" t="str">
        <f aca="false">IF(OR(M171="High",M171="Critical"),"YES","")</f>
        <v/>
      </c>
    </row>
    <row r="172" customFormat="false" ht="15" hidden="false" customHeight="true" outlineLevel="0" collapsed="false">
      <c r="A172" s="47" t="n">
        <f aca="false">'Fault &amp; Downtime Entry'!A173</f>
        <v>168</v>
      </c>
      <c r="B172" s="48" t="n">
        <f aca="false">'Fault &amp; Downtime Entry'!B173</f>
        <v>0</v>
      </c>
      <c r="C172" s="47" t="n">
        <f aca="false">'Fault &amp; Downtime Entry'!C173</f>
        <v>0</v>
      </c>
      <c r="D172" s="47" t="n">
        <f aca="false">'Fault &amp; Downtime Entry'!D173</f>
        <v>0</v>
      </c>
      <c r="E172" s="47" t="n">
        <f aca="false">'Fault &amp; Downtime Entry'!E173</f>
        <v>0</v>
      </c>
      <c r="F172" s="47" t="str">
        <f aca="false">'Fault &amp; Downtime Entry'!F173</f>
        <v/>
      </c>
      <c r="G172" s="47" t="n">
        <f aca="false">'Fault &amp; Downtime Entry'!G173</f>
        <v>0</v>
      </c>
      <c r="H172" s="47" t="str">
        <f aca="false">'Fault &amp; Downtime Entry'!H173</f>
        <v/>
      </c>
      <c r="I172" s="47" t="str">
        <f aca="false">'Fault &amp; Downtime Entry'!I173</f>
        <v/>
      </c>
      <c r="J172" s="47" t="n">
        <f aca="false">'Fault &amp; Downtime Entry'!J173</f>
        <v>0</v>
      </c>
      <c r="K172" s="47" t="n">
        <f aca="false">'Fault &amp; Downtime Entry'!K173</f>
        <v>0</v>
      </c>
      <c r="L172" s="47" t="n">
        <f aca="false">'Fault &amp; Downtime Entry'!L173</f>
        <v>0</v>
      </c>
      <c r="M172" s="47" t="str">
        <f aca="false">'Fault &amp; Downtime Entry'!M173</f>
        <v/>
      </c>
      <c r="N172" s="47" t="n">
        <f aca="false">'Fault &amp; Downtime Entry'!N173</f>
        <v>0</v>
      </c>
      <c r="O172" s="47" t="n">
        <f aca="false">'Fault &amp; Downtime Entry'!O173</f>
        <v>0</v>
      </c>
      <c r="P172" s="47" t="str">
        <f aca="false">IF(OR(J172="",K172=""),"",IFERROR(J172/K172*1000,0))</f>
        <v/>
      </c>
      <c r="Q172" s="47" t="str">
        <f aca="false">IF(OR(L172="",K172=""),"",IFERROR(L172/K172*1000,0))</f>
        <v/>
      </c>
      <c r="R172" s="47" t="str">
        <f aca="false">IF(OR(M172="High",M172="Critical"),"YES","")</f>
        <v/>
      </c>
    </row>
    <row r="173" customFormat="false" ht="15" hidden="false" customHeight="true" outlineLevel="0" collapsed="false">
      <c r="A173" s="47" t="n">
        <f aca="false">'Fault &amp; Downtime Entry'!A174</f>
        <v>169</v>
      </c>
      <c r="B173" s="48" t="n">
        <f aca="false">'Fault &amp; Downtime Entry'!B174</f>
        <v>0</v>
      </c>
      <c r="C173" s="47" t="n">
        <f aca="false">'Fault &amp; Downtime Entry'!C174</f>
        <v>0</v>
      </c>
      <c r="D173" s="47" t="n">
        <f aca="false">'Fault &amp; Downtime Entry'!D174</f>
        <v>0</v>
      </c>
      <c r="E173" s="47" t="n">
        <f aca="false">'Fault &amp; Downtime Entry'!E174</f>
        <v>0</v>
      </c>
      <c r="F173" s="47" t="str">
        <f aca="false">'Fault &amp; Downtime Entry'!F174</f>
        <v/>
      </c>
      <c r="G173" s="47" t="n">
        <f aca="false">'Fault &amp; Downtime Entry'!G174</f>
        <v>0</v>
      </c>
      <c r="H173" s="47" t="str">
        <f aca="false">'Fault &amp; Downtime Entry'!H174</f>
        <v/>
      </c>
      <c r="I173" s="47" t="str">
        <f aca="false">'Fault &amp; Downtime Entry'!I174</f>
        <v/>
      </c>
      <c r="J173" s="47" t="n">
        <f aca="false">'Fault &amp; Downtime Entry'!J174</f>
        <v>0</v>
      </c>
      <c r="K173" s="47" t="n">
        <f aca="false">'Fault &amp; Downtime Entry'!K174</f>
        <v>0</v>
      </c>
      <c r="L173" s="47" t="n">
        <f aca="false">'Fault &amp; Downtime Entry'!L174</f>
        <v>0</v>
      </c>
      <c r="M173" s="47" t="str">
        <f aca="false">'Fault &amp; Downtime Entry'!M174</f>
        <v/>
      </c>
      <c r="N173" s="47" t="n">
        <f aca="false">'Fault &amp; Downtime Entry'!N174</f>
        <v>0</v>
      </c>
      <c r="O173" s="47" t="n">
        <f aca="false">'Fault &amp; Downtime Entry'!O174</f>
        <v>0</v>
      </c>
      <c r="P173" s="47" t="str">
        <f aca="false">IF(OR(J173="",K173=""),"",IFERROR(J173/K173*1000,0))</f>
        <v/>
      </c>
      <c r="Q173" s="47" t="str">
        <f aca="false">IF(OR(L173="",K173=""),"",IFERROR(L173/K173*1000,0))</f>
        <v/>
      </c>
      <c r="R173" s="47" t="str">
        <f aca="false">IF(OR(M173="High",M173="Critical"),"YES","")</f>
        <v/>
      </c>
    </row>
    <row r="174" customFormat="false" ht="15" hidden="false" customHeight="true" outlineLevel="0" collapsed="false">
      <c r="A174" s="47" t="n">
        <f aca="false">'Fault &amp; Downtime Entry'!A175</f>
        <v>170</v>
      </c>
      <c r="B174" s="48" t="n">
        <f aca="false">'Fault &amp; Downtime Entry'!B175</f>
        <v>0</v>
      </c>
      <c r="C174" s="47" t="n">
        <f aca="false">'Fault &amp; Downtime Entry'!C175</f>
        <v>0</v>
      </c>
      <c r="D174" s="47" t="n">
        <f aca="false">'Fault &amp; Downtime Entry'!D175</f>
        <v>0</v>
      </c>
      <c r="E174" s="47" t="n">
        <f aca="false">'Fault &amp; Downtime Entry'!E175</f>
        <v>0</v>
      </c>
      <c r="F174" s="47" t="str">
        <f aca="false">'Fault &amp; Downtime Entry'!F175</f>
        <v/>
      </c>
      <c r="G174" s="47" t="n">
        <f aca="false">'Fault &amp; Downtime Entry'!G175</f>
        <v>0</v>
      </c>
      <c r="H174" s="47" t="str">
        <f aca="false">'Fault &amp; Downtime Entry'!H175</f>
        <v/>
      </c>
      <c r="I174" s="47" t="str">
        <f aca="false">'Fault &amp; Downtime Entry'!I175</f>
        <v/>
      </c>
      <c r="J174" s="47" t="n">
        <f aca="false">'Fault &amp; Downtime Entry'!J175</f>
        <v>0</v>
      </c>
      <c r="K174" s="47" t="n">
        <f aca="false">'Fault &amp; Downtime Entry'!K175</f>
        <v>0</v>
      </c>
      <c r="L174" s="47" t="n">
        <f aca="false">'Fault &amp; Downtime Entry'!L175</f>
        <v>0</v>
      </c>
      <c r="M174" s="47" t="str">
        <f aca="false">'Fault &amp; Downtime Entry'!M175</f>
        <v/>
      </c>
      <c r="N174" s="47" t="n">
        <f aca="false">'Fault &amp; Downtime Entry'!N175</f>
        <v>0</v>
      </c>
      <c r="O174" s="47" t="n">
        <f aca="false">'Fault &amp; Downtime Entry'!O175</f>
        <v>0</v>
      </c>
      <c r="P174" s="47" t="str">
        <f aca="false">IF(OR(J174="",K174=""),"",IFERROR(J174/K174*1000,0))</f>
        <v/>
      </c>
      <c r="Q174" s="47" t="str">
        <f aca="false">IF(OR(L174="",K174=""),"",IFERROR(L174/K174*1000,0))</f>
        <v/>
      </c>
      <c r="R174" s="47" t="str">
        <f aca="false">IF(OR(M174="High",M174="Critical"),"YES","")</f>
        <v/>
      </c>
    </row>
    <row r="175" customFormat="false" ht="15" hidden="false" customHeight="true" outlineLevel="0" collapsed="false">
      <c r="A175" s="47" t="n">
        <f aca="false">'Fault &amp; Downtime Entry'!A176</f>
        <v>171</v>
      </c>
      <c r="B175" s="48" t="n">
        <f aca="false">'Fault &amp; Downtime Entry'!B176</f>
        <v>0</v>
      </c>
      <c r="C175" s="47" t="n">
        <f aca="false">'Fault &amp; Downtime Entry'!C176</f>
        <v>0</v>
      </c>
      <c r="D175" s="47" t="n">
        <f aca="false">'Fault &amp; Downtime Entry'!D176</f>
        <v>0</v>
      </c>
      <c r="E175" s="47" t="n">
        <f aca="false">'Fault &amp; Downtime Entry'!E176</f>
        <v>0</v>
      </c>
      <c r="F175" s="47" t="str">
        <f aca="false">'Fault &amp; Downtime Entry'!F176</f>
        <v/>
      </c>
      <c r="G175" s="47" t="n">
        <f aca="false">'Fault &amp; Downtime Entry'!G176</f>
        <v>0</v>
      </c>
      <c r="H175" s="47" t="str">
        <f aca="false">'Fault &amp; Downtime Entry'!H176</f>
        <v/>
      </c>
      <c r="I175" s="47" t="str">
        <f aca="false">'Fault &amp; Downtime Entry'!I176</f>
        <v/>
      </c>
      <c r="J175" s="47" t="n">
        <f aca="false">'Fault &amp; Downtime Entry'!J176</f>
        <v>0</v>
      </c>
      <c r="K175" s="47" t="n">
        <f aca="false">'Fault &amp; Downtime Entry'!K176</f>
        <v>0</v>
      </c>
      <c r="L175" s="47" t="n">
        <f aca="false">'Fault &amp; Downtime Entry'!L176</f>
        <v>0</v>
      </c>
      <c r="M175" s="47" t="str">
        <f aca="false">'Fault &amp; Downtime Entry'!M176</f>
        <v/>
      </c>
      <c r="N175" s="47" t="n">
        <f aca="false">'Fault &amp; Downtime Entry'!N176</f>
        <v>0</v>
      </c>
      <c r="O175" s="47" t="n">
        <f aca="false">'Fault &amp; Downtime Entry'!O176</f>
        <v>0</v>
      </c>
      <c r="P175" s="47" t="str">
        <f aca="false">IF(OR(J175="",K175=""),"",IFERROR(J175/K175*1000,0))</f>
        <v/>
      </c>
      <c r="Q175" s="47" t="str">
        <f aca="false">IF(OR(L175="",K175=""),"",IFERROR(L175/K175*1000,0))</f>
        <v/>
      </c>
      <c r="R175" s="47" t="str">
        <f aca="false">IF(OR(M175="High",M175="Critical"),"YES","")</f>
        <v/>
      </c>
    </row>
    <row r="176" customFormat="false" ht="15" hidden="false" customHeight="true" outlineLevel="0" collapsed="false">
      <c r="A176" s="47" t="n">
        <f aca="false">'Fault &amp; Downtime Entry'!A177</f>
        <v>172</v>
      </c>
      <c r="B176" s="48" t="n">
        <f aca="false">'Fault &amp; Downtime Entry'!B177</f>
        <v>0</v>
      </c>
      <c r="C176" s="47" t="n">
        <f aca="false">'Fault &amp; Downtime Entry'!C177</f>
        <v>0</v>
      </c>
      <c r="D176" s="47" t="n">
        <f aca="false">'Fault &amp; Downtime Entry'!D177</f>
        <v>0</v>
      </c>
      <c r="E176" s="47" t="n">
        <f aca="false">'Fault &amp; Downtime Entry'!E177</f>
        <v>0</v>
      </c>
      <c r="F176" s="47" t="str">
        <f aca="false">'Fault &amp; Downtime Entry'!F177</f>
        <v/>
      </c>
      <c r="G176" s="47" t="n">
        <f aca="false">'Fault &amp; Downtime Entry'!G177</f>
        <v>0</v>
      </c>
      <c r="H176" s="47" t="str">
        <f aca="false">'Fault &amp; Downtime Entry'!H177</f>
        <v/>
      </c>
      <c r="I176" s="47" t="str">
        <f aca="false">'Fault &amp; Downtime Entry'!I177</f>
        <v/>
      </c>
      <c r="J176" s="47" t="n">
        <f aca="false">'Fault &amp; Downtime Entry'!J177</f>
        <v>0</v>
      </c>
      <c r="K176" s="47" t="n">
        <f aca="false">'Fault &amp; Downtime Entry'!K177</f>
        <v>0</v>
      </c>
      <c r="L176" s="47" t="n">
        <f aca="false">'Fault &amp; Downtime Entry'!L177</f>
        <v>0</v>
      </c>
      <c r="M176" s="47" t="str">
        <f aca="false">'Fault &amp; Downtime Entry'!M177</f>
        <v/>
      </c>
      <c r="N176" s="47" t="n">
        <f aca="false">'Fault &amp; Downtime Entry'!N177</f>
        <v>0</v>
      </c>
      <c r="O176" s="47" t="n">
        <f aca="false">'Fault &amp; Downtime Entry'!O177</f>
        <v>0</v>
      </c>
      <c r="P176" s="47" t="str">
        <f aca="false">IF(OR(J176="",K176=""),"",IFERROR(J176/K176*1000,0))</f>
        <v/>
      </c>
      <c r="Q176" s="47" t="str">
        <f aca="false">IF(OR(L176="",K176=""),"",IFERROR(L176/K176*1000,0))</f>
        <v/>
      </c>
      <c r="R176" s="47" t="str">
        <f aca="false">IF(OR(M176="High",M176="Critical"),"YES","")</f>
        <v/>
      </c>
    </row>
    <row r="177" customFormat="false" ht="15" hidden="false" customHeight="true" outlineLevel="0" collapsed="false">
      <c r="A177" s="47" t="n">
        <f aca="false">'Fault &amp; Downtime Entry'!A178</f>
        <v>173</v>
      </c>
      <c r="B177" s="48" t="n">
        <f aca="false">'Fault &amp; Downtime Entry'!B178</f>
        <v>0</v>
      </c>
      <c r="C177" s="47" t="n">
        <f aca="false">'Fault &amp; Downtime Entry'!C178</f>
        <v>0</v>
      </c>
      <c r="D177" s="47" t="n">
        <f aca="false">'Fault &amp; Downtime Entry'!D178</f>
        <v>0</v>
      </c>
      <c r="E177" s="47" t="n">
        <f aca="false">'Fault &amp; Downtime Entry'!E178</f>
        <v>0</v>
      </c>
      <c r="F177" s="47" t="str">
        <f aca="false">'Fault &amp; Downtime Entry'!F178</f>
        <v/>
      </c>
      <c r="G177" s="47" t="n">
        <f aca="false">'Fault &amp; Downtime Entry'!G178</f>
        <v>0</v>
      </c>
      <c r="H177" s="47" t="str">
        <f aca="false">'Fault &amp; Downtime Entry'!H178</f>
        <v/>
      </c>
      <c r="I177" s="47" t="str">
        <f aca="false">'Fault &amp; Downtime Entry'!I178</f>
        <v/>
      </c>
      <c r="J177" s="47" t="n">
        <f aca="false">'Fault &amp; Downtime Entry'!J178</f>
        <v>0</v>
      </c>
      <c r="K177" s="47" t="n">
        <f aca="false">'Fault &amp; Downtime Entry'!K178</f>
        <v>0</v>
      </c>
      <c r="L177" s="47" t="n">
        <f aca="false">'Fault &amp; Downtime Entry'!L178</f>
        <v>0</v>
      </c>
      <c r="M177" s="47" t="str">
        <f aca="false">'Fault &amp; Downtime Entry'!M178</f>
        <v/>
      </c>
      <c r="N177" s="47" t="n">
        <f aca="false">'Fault &amp; Downtime Entry'!N178</f>
        <v>0</v>
      </c>
      <c r="O177" s="47" t="n">
        <f aca="false">'Fault &amp; Downtime Entry'!O178</f>
        <v>0</v>
      </c>
      <c r="P177" s="47" t="str">
        <f aca="false">IF(OR(J177="",K177=""),"",IFERROR(J177/K177*1000,0))</f>
        <v/>
      </c>
      <c r="Q177" s="47" t="str">
        <f aca="false">IF(OR(L177="",K177=""),"",IFERROR(L177/K177*1000,0))</f>
        <v/>
      </c>
      <c r="R177" s="47" t="str">
        <f aca="false">IF(OR(M177="High",M177="Critical"),"YES","")</f>
        <v/>
      </c>
    </row>
    <row r="178" customFormat="false" ht="15" hidden="false" customHeight="true" outlineLevel="0" collapsed="false">
      <c r="A178" s="47" t="n">
        <f aca="false">'Fault &amp; Downtime Entry'!A179</f>
        <v>174</v>
      </c>
      <c r="B178" s="48" t="n">
        <f aca="false">'Fault &amp; Downtime Entry'!B179</f>
        <v>0</v>
      </c>
      <c r="C178" s="47" t="n">
        <f aca="false">'Fault &amp; Downtime Entry'!C179</f>
        <v>0</v>
      </c>
      <c r="D178" s="47" t="n">
        <f aca="false">'Fault &amp; Downtime Entry'!D179</f>
        <v>0</v>
      </c>
      <c r="E178" s="47" t="n">
        <f aca="false">'Fault &amp; Downtime Entry'!E179</f>
        <v>0</v>
      </c>
      <c r="F178" s="47" t="str">
        <f aca="false">'Fault &amp; Downtime Entry'!F179</f>
        <v/>
      </c>
      <c r="G178" s="47" t="n">
        <f aca="false">'Fault &amp; Downtime Entry'!G179</f>
        <v>0</v>
      </c>
      <c r="H178" s="47" t="str">
        <f aca="false">'Fault &amp; Downtime Entry'!H179</f>
        <v/>
      </c>
      <c r="I178" s="47" t="str">
        <f aca="false">'Fault &amp; Downtime Entry'!I179</f>
        <v/>
      </c>
      <c r="J178" s="47" t="n">
        <f aca="false">'Fault &amp; Downtime Entry'!J179</f>
        <v>0</v>
      </c>
      <c r="K178" s="47" t="n">
        <f aca="false">'Fault &amp; Downtime Entry'!K179</f>
        <v>0</v>
      </c>
      <c r="L178" s="47" t="n">
        <f aca="false">'Fault &amp; Downtime Entry'!L179</f>
        <v>0</v>
      </c>
      <c r="M178" s="47" t="str">
        <f aca="false">'Fault &amp; Downtime Entry'!M179</f>
        <v/>
      </c>
      <c r="N178" s="47" t="n">
        <f aca="false">'Fault &amp; Downtime Entry'!N179</f>
        <v>0</v>
      </c>
      <c r="O178" s="47" t="n">
        <f aca="false">'Fault &amp; Downtime Entry'!O179</f>
        <v>0</v>
      </c>
      <c r="P178" s="47" t="str">
        <f aca="false">IF(OR(J178="",K178=""),"",IFERROR(J178/K178*1000,0))</f>
        <v/>
      </c>
      <c r="Q178" s="47" t="str">
        <f aca="false">IF(OR(L178="",K178=""),"",IFERROR(L178/K178*1000,0))</f>
        <v/>
      </c>
      <c r="R178" s="47" t="str">
        <f aca="false">IF(OR(M178="High",M178="Critical"),"YES","")</f>
        <v/>
      </c>
    </row>
    <row r="179" customFormat="false" ht="15" hidden="false" customHeight="true" outlineLevel="0" collapsed="false">
      <c r="A179" s="47" t="n">
        <f aca="false">'Fault &amp; Downtime Entry'!A180</f>
        <v>175</v>
      </c>
      <c r="B179" s="48" t="n">
        <f aca="false">'Fault &amp; Downtime Entry'!B180</f>
        <v>0</v>
      </c>
      <c r="C179" s="47" t="n">
        <f aca="false">'Fault &amp; Downtime Entry'!C180</f>
        <v>0</v>
      </c>
      <c r="D179" s="47" t="n">
        <f aca="false">'Fault &amp; Downtime Entry'!D180</f>
        <v>0</v>
      </c>
      <c r="E179" s="47" t="n">
        <f aca="false">'Fault &amp; Downtime Entry'!E180</f>
        <v>0</v>
      </c>
      <c r="F179" s="47" t="str">
        <f aca="false">'Fault &amp; Downtime Entry'!F180</f>
        <v/>
      </c>
      <c r="G179" s="47" t="n">
        <f aca="false">'Fault &amp; Downtime Entry'!G180</f>
        <v>0</v>
      </c>
      <c r="H179" s="47" t="str">
        <f aca="false">'Fault &amp; Downtime Entry'!H180</f>
        <v/>
      </c>
      <c r="I179" s="47" t="str">
        <f aca="false">'Fault &amp; Downtime Entry'!I180</f>
        <v/>
      </c>
      <c r="J179" s="47" t="n">
        <f aca="false">'Fault &amp; Downtime Entry'!J180</f>
        <v>0</v>
      </c>
      <c r="K179" s="47" t="n">
        <f aca="false">'Fault &amp; Downtime Entry'!K180</f>
        <v>0</v>
      </c>
      <c r="L179" s="47" t="n">
        <f aca="false">'Fault &amp; Downtime Entry'!L180</f>
        <v>0</v>
      </c>
      <c r="M179" s="47" t="str">
        <f aca="false">'Fault &amp; Downtime Entry'!M180</f>
        <v/>
      </c>
      <c r="N179" s="47" t="n">
        <f aca="false">'Fault &amp; Downtime Entry'!N180</f>
        <v>0</v>
      </c>
      <c r="O179" s="47" t="n">
        <f aca="false">'Fault &amp; Downtime Entry'!O180</f>
        <v>0</v>
      </c>
      <c r="P179" s="47" t="str">
        <f aca="false">IF(OR(J179="",K179=""),"",IFERROR(J179/K179*1000,0))</f>
        <v/>
      </c>
      <c r="Q179" s="47" t="str">
        <f aca="false">IF(OR(L179="",K179=""),"",IFERROR(L179/K179*1000,0))</f>
        <v/>
      </c>
      <c r="R179" s="47" t="str">
        <f aca="false">IF(OR(M179="High",M179="Critical"),"YES","")</f>
        <v/>
      </c>
    </row>
    <row r="180" customFormat="false" ht="15" hidden="false" customHeight="true" outlineLevel="0" collapsed="false">
      <c r="A180" s="47" t="n">
        <f aca="false">'Fault &amp; Downtime Entry'!A181</f>
        <v>176</v>
      </c>
      <c r="B180" s="48" t="n">
        <f aca="false">'Fault &amp; Downtime Entry'!B181</f>
        <v>0</v>
      </c>
      <c r="C180" s="47" t="n">
        <f aca="false">'Fault &amp; Downtime Entry'!C181</f>
        <v>0</v>
      </c>
      <c r="D180" s="47" t="n">
        <f aca="false">'Fault &amp; Downtime Entry'!D181</f>
        <v>0</v>
      </c>
      <c r="E180" s="47" t="n">
        <f aca="false">'Fault &amp; Downtime Entry'!E181</f>
        <v>0</v>
      </c>
      <c r="F180" s="47" t="str">
        <f aca="false">'Fault &amp; Downtime Entry'!F181</f>
        <v/>
      </c>
      <c r="G180" s="47" t="n">
        <f aca="false">'Fault &amp; Downtime Entry'!G181</f>
        <v>0</v>
      </c>
      <c r="H180" s="47" t="str">
        <f aca="false">'Fault &amp; Downtime Entry'!H181</f>
        <v/>
      </c>
      <c r="I180" s="47" t="str">
        <f aca="false">'Fault &amp; Downtime Entry'!I181</f>
        <v/>
      </c>
      <c r="J180" s="47" t="n">
        <f aca="false">'Fault &amp; Downtime Entry'!J181</f>
        <v>0</v>
      </c>
      <c r="K180" s="47" t="n">
        <f aca="false">'Fault &amp; Downtime Entry'!K181</f>
        <v>0</v>
      </c>
      <c r="L180" s="47" t="n">
        <f aca="false">'Fault &amp; Downtime Entry'!L181</f>
        <v>0</v>
      </c>
      <c r="M180" s="47" t="str">
        <f aca="false">'Fault &amp; Downtime Entry'!M181</f>
        <v/>
      </c>
      <c r="N180" s="47" t="n">
        <f aca="false">'Fault &amp; Downtime Entry'!N181</f>
        <v>0</v>
      </c>
      <c r="O180" s="47" t="n">
        <f aca="false">'Fault &amp; Downtime Entry'!O181</f>
        <v>0</v>
      </c>
      <c r="P180" s="47" t="str">
        <f aca="false">IF(OR(J180="",K180=""),"",IFERROR(J180/K180*1000,0))</f>
        <v/>
      </c>
      <c r="Q180" s="47" t="str">
        <f aca="false">IF(OR(L180="",K180=""),"",IFERROR(L180/K180*1000,0))</f>
        <v/>
      </c>
      <c r="R180" s="47" t="str">
        <f aca="false">IF(OR(M180="High",M180="Critical"),"YES","")</f>
        <v/>
      </c>
    </row>
    <row r="181" customFormat="false" ht="15" hidden="false" customHeight="true" outlineLevel="0" collapsed="false">
      <c r="A181" s="47" t="n">
        <f aca="false">'Fault &amp; Downtime Entry'!A182</f>
        <v>177</v>
      </c>
      <c r="B181" s="48" t="n">
        <f aca="false">'Fault &amp; Downtime Entry'!B182</f>
        <v>0</v>
      </c>
      <c r="C181" s="47" t="n">
        <f aca="false">'Fault &amp; Downtime Entry'!C182</f>
        <v>0</v>
      </c>
      <c r="D181" s="47" t="n">
        <f aca="false">'Fault &amp; Downtime Entry'!D182</f>
        <v>0</v>
      </c>
      <c r="E181" s="47" t="n">
        <f aca="false">'Fault &amp; Downtime Entry'!E182</f>
        <v>0</v>
      </c>
      <c r="F181" s="47" t="str">
        <f aca="false">'Fault &amp; Downtime Entry'!F182</f>
        <v/>
      </c>
      <c r="G181" s="47" t="n">
        <f aca="false">'Fault &amp; Downtime Entry'!G182</f>
        <v>0</v>
      </c>
      <c r="H181" s="47" t="str">
        <f aca="false">'Fault &amp; Downtime Entry'!H182</f>
        <v/>
      </c>
      <c r="I181" s="47" t="str">
        <f aca="false">'Fault &amp; Downtime Entry'!I182</f>
        <v/>
      </c>
      <c r="J181" s="47" t="n">
        <f aca="false">'Fault &amp; Downtime Entry'!J182</f>
        <v>0</v>
      </c>
      <c r="K181" s="47" t="n">
        <f aca="false">'Fault &amp; Downtime Entry'!K182</f>
        <v>0</v>
      </c>
      <c r="L181" s="47" t="n">
        <f aca="false">'Fault &amp; Downtime Entry'!L182</f>
        <v>0</v>
      </c>
      <c r="M181" s="47" t="str">
        <f aca="false">'Fault &amp; Downtime Entry'!M182</f>
        <v/>
      </c>
      <c r="N181" s="47" t="n">
        <f aca="false">'Fault &amp; Downtime Entry'!N182</f>
        <v>0</v>
      </c>
      <c r="O181" s="47" t="n">
        <f aca="false">'Fault &amp; Downtime Entry'!O182</f>
        <v>0</v>
      </c>
      <c r="P181" s="47" t="str">
        <f aca="false">IF(OR(J181="",K181=""),"",IFERROR(J181/K181*1000,0))</f>
        <v/>
      </c>
      <c r="Q181" s="47" t="str">
        <f aca="false">IF(OR(L181="",K181=""),"",IFERROR(L181/K181*1000,0))</f>
        <v/>
      </c>
      <c r="R181" s="47" t="str">
        <f aca="false">IF(OR(M181="High",M181="Critical"),"YES","")</f>
        <v/>
      </c>
    </row>
    <row r="182" customFormat="false" ht="15" hidden="false" customHeight="true" outlineLevel="0" collapsed="false">
      <c r="A182" s="47" t="n">
        <f aca="false">'Fault &amp; Downtime Entry'!A183</f>
        <v>178</v>
      </c>
      <c r="B182" s="48" t="n">
        <f aca="false">'Fault &amp; Downtime Entry'!B183</f>
        <v>0</v>
      </c>
      <c r="C182" s="47" t="n">
        <f aca="false">'Fault &amp; Downtime Entry'!C183</f>
        <v>0</v>
      </c>
      <c r="D182" s="47" t="n">
        <f aca="false">'Fault &amp; Downtime Entry'!D183</f>
        <v>0</v>
      </c>
      <c r="E182" s="47" t="n">
        <f aca="false">'Fault &amp; Downtime Entry'!E183</f>
        <v>0</v>
      </c>
      <c r="F182" s="47" t="str">
        <f aca="false">'Fault &amp; Downtime Entry'!F183</f>
        <v/>
      </c>
      <c r="G182" s="47" t="n">
        <f aca="false">'Fault &amp; Downtime Entry'!G183</f>
        <v>0</v>
      </c>
      <c r="H182" s="47" t="str">
        <f aca="false">'Fault &amp; Downtime Entry'!H183</f>
        <v/>
      </c>
      <c r="I182" s="47" t="str">
        <f aca="false">'Fault &amp; Downtime Entry'!I183</f>
        <v/>
      </c>
      <c r="J182" s="47" t="n">
        <f aca="false">'Fault &amp; Downtime Entry'!J183</f>
        <v>0</v>
      </c>
      <c r="K182" s="47" t="n">
        <f aca="false">'Fault &amp; Downtime Entry'!K183</f>
        <v>0</v>
      </c>
      <c r="L182" s="47" t="n">
        <f aca="false">'Fault &amp; Downtime Entry'!L183</f>
        <v>0</v>
      </c>
      <c r="M182" s="47" t="str">
        <f aca="false">'Fault &amp; Downtime Entry'!M183</f>
        <v/>
      </c>
      <c r="N182" s="47" t="n">
        <f aca="false">'Fault &amp; Downtime Entry'!N183</f>
        <v>0</v>
      </c>
      <c r="O182" s="47" t="n">
        <f aca="false">'Fault &amp; Downtime Entry'!O183</f>
        <v>0</v>
      </c>
      <c r="P182" s="47" t="str">
        <f aca="false">IF(OR(J182="",K182=""),"",IFERROR(J182/K182*1000,0))</f>
        <v/>
      </c>
      <c r="Q182" s="47" t="str">
        <f aca="false">IF(OR(L182="",K182=""),"",IFERROR(L182/K182*1000,0))</f>
        <v/>
      </c>
      <c r="R182" s="47" t="str">
        <f aca="false">IF(OR(M182="High",M182="Critical"),"YES","")</f>
        <v/>
      </c>
    </row>
    <row r="183" customFormat="false" ht="15" hidden="false" customHeight="true" outlineLevel="0" collapsed="false">
      <c r="A183" s="47" t="n">
        <f aca="false">'Fault &amp; Downtime Entry'!A184</f>
        <v>179</v>
      </c>
      <c r="B183" s="48" t="n">
        <f aca="false">'Fault &amp; Downtime Entry'!B184</f>
        <v>0</v>
      </c>
      <c r="C183" s="47" t="n">
        <f aca="false">'Fault &amp; Downtime Entry'!C184</f>
        <v>0</v>
      </c>
      <c r="D183" s="47" t="n">
        <f aca="false">'Fault &amp; Downtime Entry'!D184</f>
        <v>0</v>
      </c>
      <c r="E183" s="47" t="n">
        <f aca="false">'Fault &amp; Downtime Entry'!E184</f>
        <v>0</v>
      </c>
      <c r="F183" s="47" t="str">
        <f aca="false">'Fault &amp; Downtime Entry'!F184</f>
        <v/>
      </c>
      <c r="G183" s="47" t="n">
        <f aca="false">'Fault &amp; Downtime Entry'!G184</f>
        <v>0</v>
      </c>
      <c r="H183" s="47" t="str">
        <f aca="false">'Fault &amp; Downtime Entry'!H184</f>
        <v/>
      </c>
      <c r="I183" s="47" t="str">
        <f aca="false">'Fault &amp; Downtime Entry'!I184</f>
        <v/>
      </c>
      <c r="J183" s="47" t="n">
        <f aca="false">'Fault &amp; Downtime Entry'!J184</f>
        <v>0</v>
      </c>
      <c r="K183" s="47" t="n">
        <f aca="false">'Fault &amp; Downtime Entry'!K184</f>
        <v>0</v>
      </c>
      <c r="L183" s="47" t="n">
        <f aca="false">'Fault &amp; Downtime Entry'!L184</f>
        <v>0</v>
      </c>
      <c r="M183" s="47" t="str">
        <f aca="false">'Fault &amp; Downtime Entry'!M184</f>
        <v/>
      </c>
      <c r="N183" s="47" t="n">
        <f aca="false">'Fault &amp; Downtime Entry'!N184</f>
        <v>0</v>
      </c>
      <c r="O183" s="47" t="n">
        <f aca="false">'Fault &amp; Downtime Entry'!O184</f>
        <v>0</v>
      </c>
      <c r="P183" s="47" t="str">
        <f aca="false">IF(OR(J183="",K183=""),"",IFERROR(J183/K183*1000,0))</f>
        <v/>
      </c>
      <c r="Q183" s="47" t="str">
        <f aca="false">IF(OR(L183="",K183=""),"",IFERROR(L183/K183*1000,0))</f>
        <v/>
      </c>
      <c r="R183" s="47" t="str">
        <f aca="false">IF(OR(M183="High",M183="Critical"),"YES","")</f>
        <v/>
      </c>
    </row>
    <row r="184" customFormat="false" ht="15" hidden="false" customHeight="true" outlineLevel="0" collapsed="false">
      <c r="A184" s="47" t="n">
        <f aca="false">'Fault &amp; Downtime Entry'!A185</f>
        <v>180</v>
      </c>
      <c r="B184" s="48" t="n">
        <f aca="false">'Fault &amp; Downtime Entry'!B185</f>
        <v>0</v>
      </c>
      <c r="C184" s="47" t="n">
        <f aca="false">'Fault &amp; Downtime Entry'!C185</f>
        <v>0</v>
      </c>
      <c r="D184" s="47" t="n">
        <f aca="false">'Fault &amp; Downtime Entry'!D185</f>
        <v>0</v>
      </c>
      <c r="E184" s="47" t="n">
        <f aca="false">'Fault &amp; Downtime Entry'!E185</f>
        <v>0</v>
      </c>
      <c r="F184" s="47" t="str">
        <f aca="false">'Fault &amp; Downtime Entry'!F185</f>
        <v/>
      </c>
      <c r="G184" s="47" t="n">
        <f aca="false">'Fault &amp; Downtime Entry'!G185</f>
        <v>0</v>
      </c>
      <c r="H184" s="47" t="str">
        <f aca="false">'Fault &amp; Downtime Entry'!H185</f>
        <v/>
      </c>
      <c r="I184" s="47" t="str">
        <f aca="false">'Fault &amp; Downtime Entry'!I185</f>
        <v/>
      </c>
      <c r="J184" s="47" t="n">
        <f aca="false">'Fault &amp; Downtime Entry'!J185</f>
        <v>0</v>
      </c>
      <c r="K184" s="47" t="n">
        <f aca="false">'Fault &amp; Downtime Entry'!K185</f>
        <v>0</v>
      </c>
      <c r="L184" s="47" t="n">
        <f aca="false">'Fault &amp; Downtime Entry'!L185</f>
        <v>0</v>
      </c>
      <c r="M184" s="47" t="str">
        <f aca="false">'Fault &amp; Downtime Entry'!M185</f>
        <v/>
      </c>
      <c r="N184" s="47" t="n">
        <f aca="false">'Fault &amp; Downtime Entry'!N185</f>
        <v>0</v>
      </c>
      <c r="O184" s="47" t="n">
        <f aca="false">'Fault &amp; Downtime Entry'!O185</f>
        <v>0</v>
      </c>
      <c r="P184" s="47" t="str">
        <f aca="false">IF(OR(J184="",K184=""),"",IFERROR(J184/K184*1000,0))</f>
        <v/>
      </c>
      <c r="Q184" s="47" t="str">
        <f aca="false">IF(OR(L184="",K184=""),"",IFERROR(L184/K184*1000,0))</f>
        <v/>
      </c>
      <c r="R184" s="47" t="str">
        <f aca="false">IF(OR(M184="High",M184="Critical"),"YES","")</f>
        <v/>
      </c>
    </row>
    <row r="185" customFormat="false" ht="15" hidden="false" customHeight="true" outlineLevel="0" collapsed="false">
      <c r="A185" s="47" t="n">
        <f aca="false">'Fault &amp; Downtime Entry'!A186</f>
        <v>181</v>
      </c>
      <c r="B185" s="48" t="n">
        <f aca="false">'Fault &amp; Downtime Entry'!B186</f>
        <v>0</v>
      </c>
      <c r="C185" s="47" t="n">
        <f aca="false">'Fault &amp; Downtime Entry'!C186</f>
        <v>0</v>
      </c>
      <c r="D185" s="47" t="n">
        <f aca="false">'Fault &amp; Downtime Entry'!D186</f>
        <v>0</v>
      </c>
      <c r="E185" s="47" t="n">
        <f aca="false">'Fault &amp; Downtime Entry'!E186</f>
        <v>0</v>
      </c>
      <c r="F185" s="47" t="str">
        <f aca="false">'Fault &amp; Downtime Entry'!F186</f>
        <v/>
      </c>
      <c r="G185" s="47" t="n">
        <f aca="false">'Fault &amp; Downtime Entry'!G186</f>
        <v>0</v>
      </c>
      <c r="H185" s="47" t="str">
        <f aca="false">'Fault &amp; Downtime Entry'!H186</f>
        <v/>
      </c>
      <c r="I185" s="47" t="str">
        <f aca="false">'Fault &amp; Downtime Entry'!I186</f>
        <v/>
      </c>
      <c r="J185" s="47" t="n">
        <f aca="false">'Fault &amp; Downtime Entry'!J186</f>
        <v>0</v>
      </c>
      <c r="K185" s="47" t="n">
        <f aca="false">'Fault &amp; Downtime Entry'!K186</f>
        <v>0</v>
      </c>
      <c r="L185" s="47" t="n">
        <f aca="false">'Fault &amp; Downtime Entry'!L186</f>
        <v>0</v>
      </c>
      <c r="M185" s="47" t="str">
        <f aca="false">'Fault &amp; Downtime Entry'!M186</f>
        <v/>
      </c>
      <c r="N185" s="47" t="n">
        <f aca="false">'Fault &amp; Downtime Entry'!N186</f>
        <v>0</v>
      </c>
      <c r="O185" s="47" t="n">
        <f aca="false">'Fault &amp; Downtime Entry'!O186</f>
        <v>0</v>
      </c>
      <c r="P185" s="47" t="str">
        <f aca="false">IF(OR(J185="",K185=""),"",IFERROR(J185/K185*1000,0))</f>
        <v/>
      </c>
      <c r="Q185" s="47" t="str">
        <f aca="false">IF(OR(L185="",K185=""),"",IFERROR(L185/K185*1000,0))</f>
        <v/>
      </c>
      <c r="R185" s="47" t="str">
        <f aca="false">IF(OR(M185="High",M185="Critical"),"YES","")</f>
        <v/>
      </c>
    </row>
    <row r="186" customFormat="false" ht="15" hidden="false" customHeight="true" outlineLevel="0" collapsed="false">
      <c r="A186" s="47" t="n">
        <f aca="false">'Fault &amp; Downtime Entry'!A187</f>
        <v>182</v>
      </c>
      <c r="B186" s="48" t="n">
        <f aca="false">'Fault &amp; Downtime Entry'!B187</f>
        <v>0</v>
      </c>
      <c r="C186" s="47" t="n">
        <f aca="false">'Fault &amp; Downtime Entry'!C187</f>
        <v>0</v>
      </c>
      <c r="D186" s="47" t="n">
        <f aca="false">'Fault &amp; Downtime Entry'!D187</f>
        <v>0</v>
      </c>
      <c r="E186" s="47" t="n">
        <f aca="false">'Fault &amp; Downtime Entry'!E187</f>
        <v>0</v>
      </c>
      <c r="F186" s="47" t="str">
        <f aca="false">'Fault &amp; Downtime Entry'!F187</f>
        <v/>
      </c>
      <c r="G186" s="47" t="n">
        <f aca="false">'Fault &amp; Downtime Entry'!G187</f>
        <v>0</v>
      </c>
      <c r="H186" s="47" t="str">
        <f aca="false">'Fault &amp; Downtime Entry'!H187</f>
        <v/>
      </c>
      <c r="I186" s="47" t="str">
        <f aca="false">'Fault &amp; Downtime Entry'!I187</f>
        <v/>
      </c>
      <c r="J186" s="47" t="n">
        <f aca="false">'Fault &amp; Downtime Entry'!J187</f>
        <v>0</v>
      </c>
      <c r="K186" s="47" t="n">
        <f aca="false">'Fault &amp; Downtime Entry'!K187</f>
        <v>0</v>
      </c>
      <c r="L186" s="47" t="n">
        <f aca="false">'Fault &amp; Downtime Entry'!L187</f>
        <v>0</v>
      </c>
      <c r="M186" s="47" t="str">
        <f aca="false">'Fault &amp; Downtime Entry'!M187</f>
        <v/>
      </c>
      <c r="N186" s="47" t="n">
        <f aca="false">'Fault &amp; Downtime Entry'!N187</f>
        <v>0</v>
      </c>
      <c r="O186" s="47" t="n">
        <f aca="false">'Fault &amp; Downtime Entry'!O187</f>
        <v>0</v>
      </c>
      <c r="P186" s="47" t="str">
        <f aca="false">IF(OR(J186="",K186=""),"",IFERROR(J186/K186*1000,0))</f>
        <v/>
      </c>
      <c r="Q186" s="47" t="str">
        <f aca="false">IF(OR(L186="",K186=""),"",IFERROR(L186/K186*1000,0))</f>
        <v/>
      </c>
      <c r="R186" s="47" t="str">
        <f aca="false">IF(OR(M186="High",M186="Critical"),"YES","")</f>
        <v/>
      </c>
    </row>
    <row r="187" customFormat="false" ht="15" hidden="false" customHeight="true" outlineLevel="0" collapsed="false">
      <c r="A187" s="47" t="n">
        <f aca="false">'Fault &amp; Downtime Entry'!A188</f>
        <v>183</v>
      </c>
      <c r="B187" s="48" t="n">
        <f aca="false">'Fault &amp; Downtime Entry'!B188</f>
        <v>0</v>
      </c>
      <c r="C187" s="47" t="n">
        <f aca="false">'Fault &amp; Downtime Entry'!C188</f>
        <v>0</v>
      </c>
      <c r="D187" s="47" t="n">
        <f aca="false">'Fault &amp; Downtime Entry'!D188</f>
        <v>0</v>
      </c>
      <c r="E187" s="47" t="n">
        <f aca="false">'Fault &amp; Downtime Entry'!E188</f>
        <v>0</v>
      </c>
      <c r="F187" s="47" t="str">
        <f aca="false">'Fault &amp; Downtime Entry'!F188</f>
        <v/>
      </c>
      <c r="G187" s="47" t="n">
        <f aca="false">'Fault &amp; Downtime Entry'!G188</f>
        <v>0</v>
      </c>
      <c r="H187" s="47" t="str">
        <f aca="false">'Fault &amp; Downtime Entry'!H188</f>
        <v/>
      </c>
      <c r="I187" s="47" t="str">
        <f aca="false">'Fault &amp; Downtime Entry'!I188</f>
        <v/>
      </c>
      <c r="J187" s="47" t="n">
        <f aca="false">'Fault &amp; Downtime Entry'!J188</f>
        <v>0</v>
      </c>
      <c r="K187" s="47" t="n">
        <f aca="false">'Fault &amp; Downtime Entry'!K188</f>
        <v>0</v>
      </c>
      <c r="L187" s="47" t="n">
        <f aca="false">'Fault &amp; Downtime Entry'!L188</f>
        <v>0</v>
      </c>
      <c r="M187" s="47" t="str">
        <f aca="false">'Fault &amp; Downtime Entry'!M188</f>
        <v/>
      </c>
      <c r="N187" s="47" t="n">
        <f aca="false">'Fault &amp; Downtime Entry'!N188</f>
        <v>0</v>
      </c>
      <c r="O187" s="47" t="n">
        <f aca="false">'Fault &amp; Downtime Entry'!O188</f>
        <v>0</v>
      </c>
      <c r="P187" s="47" t="str">
        <f aca="false">IF(OR(J187="",K187=""),"",IFERROR(J187/K187*1000,0))</f>
        <v/>
      </c>
      <c r="Q187" s="47" t="str">
        <f aca="false">IF(OR(L187="",K187=""),"",IFERROR(L187/K187*1000,0))</f>
        <v/>
      </c>
      <c r="R187" s="47" t="str">
        <f aca="false">IF(OR(M187="High",M187="Critical"),"YES","")</f>
        <v/>
      </c>
    </row>
    <row r="188" customFormat="false" ht="15" hidden="false" customHeight="true" outlineLevel="0" collapsed="false">
      <c r="A188" s="47" t="n">
        <f aca="false">'Fault &amp; Downtime Entry'!A189</f>
        <v>184</v>
      </c>
      <c r="B188" s="48" t="n">
        <f aca="false">'Fault &amp; Downtime Entry'!B189</f>
        <v>0</v>
      </c>
      <c r="C188" s="47" t="n">
        <f aca="false">'Fault &amp; Downtime Entry'!C189</f>
        <v>0</v>
      </c>
      <c r="D188" s="47" t="n">
        <f aca="false">'Fault &amp; Downtime Entry'!D189</f>
        <v>0</v>
      </c>
      <c r="E188" s="47" t="n">
        <f aca="false">'Fault &amp; Downtime Entry'!E189</f>
        <v>0</v>
      </c>
      <c r="F188" s="47" t="str">
        <f aca="false">'Fault &amp; Downtime Entry'!F189</f>
        <v/>
      </c>
      <c r="G188" s="47" t="n">
        <f aca="false">'Fault &amp; Downtime Entry'!G189</f>
        <v>0</v>
      </c>
      <c r="H188" s="47" t="str">
        <f aca="false">'Fault &amp; Downtime Entry'!H189</f>
        <v/>
      </c>
      <c r="I188" s="47" t="str">
        <f aca="false">'Fault &amp; Downtime Entry'!I189</f>
        <v/>
      </c>
      <c r="J188" s="47" t="n">
        <f aca="false">'Fault &amp; Downtime Entry'!J189</f>
        <v>0</v>
      </c>
      <c r="K188" s="47" t="n">
        <f aca="false">'Fault &amp; Downtime Entry'!K189</f>
        <v>0</v>
      </c>
      <c r="L188" s="47" t="n">
        <f aca="false">'Fault &amp; Downtime Entry'!L189</f>
        <v>0</v>
      </c>
      <c r="M188" s="47" t="str">
        <f aca="false">'Fault &amp; Downtime Entry'!M189</f>
        <v/>
      </c>
      <c r="N188" s="47" t="n">
        <f aca="false">'Fault &amp; Downtime Entry'!N189</f>
        <v>0</v>
      </c>
      <c r="O188" s="47" t="n">
        <f aca="false">'Fault &amp; Downtime Entry'!O189</f>
        <v>0</v>
      </c>
      <c r="P188" s="47" t="str">
        <f aca="false">IF(OR(J188="",K188=""),"",IFERROR(J188/K188*1000,0))</f>
        <v/>
      </c>
      <c r="Q188" s="47" t="str">
        <f aca="false">IF(OR(L188="",K188=""),"",IFERROR(L188/K188*1000,0))</f>
        <v/>
      </c>
      <c r="R188" s="47" t="str">
        <f aca="false">IF(OR(M188="High",M188="Critical"),"YES","")</f>
        <v/>
      </c>
    </row>
    <row r="189" customFormat="false" ht="15" hidden="false" customHeight="true" outlineLevel="0" collapsed="false">
      <c r="A189" s="47" t="n">
        <f aca="false">'Fault &amp; Downtime Entry'!A190</f>
        <v>185</v>
      </c>
      <c r="B189" s="48" t="n">
        <f aca="false">'Fault &amp; Downtime Entry'!B190</f>
        <v>0</v>
      </c>
      <c r="C189" s="47" t="n">
        <f aca="false">'Fault &amp; Downtime Entry'!C190</f>
        <v>0</v>
      </c>
      <c r="D189" s="47" t="n">
        <f aca="false">'Fault &amp; Downtime Entry'!D190</f>
        <v>0</v>
      </c>
      <c r="E189" s="47" t="n">
        <f aca="false">'Fault &amp; Downtime Entry'!E190</f>
        <v>0</v>
      </c>
      <c r="F189" s="47" t="str">
        <f aca="false">'Fault &amp; Downtime Entry'!F190</f>
        <v/>
      </c>
      <c r="G189" s="47" t="n">
        <f aca="false">'Fault &amp; Downtime Entry'!G190</f>
        <v>0</v>
      </c>
      <c r="H189" s="47" t="str">
        <f aca="false">'Fault &amp; Downtime Entry'!H190</f>
        <v/>
      </c>
      <c r="I189" s="47" t="str">
        <f aca="false">'Fault &amp; Downtime Entry'!I190</f>
        <v/>
      </c>
      <c r="J189" s="47" t="n">
        <f aca="false">'Fault &amp; Downtime Entry'!J190</f>
        <v>0</v>
      </c>
      <c r="K189" s="47" t="n">
        <f aca="false">'Fault &amp; Downtime Entry'!K190</f>
        <v>0</v>
      </c>
      <c r="L189" s="47" t="n">
        <f aca="false">'Fault &amp; Downtime Entry'!L190</f>
        <v>0</v>
      </c>
      <c r="M189" s="47" t="str">
        <f aca="false">'Fault &amp; Downtime Entry'!M190</f>
        <v/>
      </c>
      <c r="N189" s="47" t="n">
        <f aca="false">'Fault &amp; Downtime Entry'!N190</f>
        <v>0</v>
      </c>
      <c r="O189" s="47" t="n">
        <f aca="false">'Fault &amp; Downtime Entry'!O190</f>
        <v>0</v>
      </c>
      <c r="P189" s="47" t="str">
        <f aca="false">IF(OR(J189="",K189=""),"",IFERROR(J189/K189*1000,0))</f>
        <v/>
      </c>
      <c r="Q189" s="47" t="str">
        <f aca="false">IF(OR(L189="",K189=""),"",IFERROR(L189/K189*1000,0))</f>
        <v/>
      </c>
      <c r="R189" s="47" t="str">
        <f aca="false">IF(OR(M189="High",M189="Critical"),"YES","")</f>
        <v/>
      </c>
    </row>
    <row r="190" customFormat="false" ht="15" hidden="false" customHeight="true" outlineLevel="0" collapsed="false">
      <c r="A190" s="47" t="n">
        <f aca="false">'Fault &amp; Downtime Entry'!A191</f>
        <v>186</v>
      </c>
      <c r="B190" s="48" t="n">
        <f aca="false">'Fault &amp; Downtime Entry'!B191</f>
        <v>0</v>
      </c>
      <c r="C190" s="47" t="n">
        <f aca="false">'Fault &amp; Downtime Entry'!C191</f>
        <v>0</v>
      </c>
      <c r="D190" s="47" t="n">
        <f aca="false">'Fault &amp; Downtime Entry'!D191</f>
        <v>0</v>
      </c>
      <c r="E190" s="47" t="n">
        <f aca="false">'Fault &amp; Downtime Entry'!E191</f>
        <v>0</v>
      </c>
      <c r="F190" s="47" t="str">
        <f aca="false">'Fault &amp; Downtime Entry'!F191</f>
        <v/>
      </c>
      <c r="G190" s="47" t="n">
        <f aca="false">'Fault &amp; Downtime Entry'!G191</f>
        <v>0</v>
      </c>
      <c r="H190" s="47" t="str">
        <f aca="false">'Fault &amp; Downtime Entry'!H191</f>
        <v/>
      </c>
      <c r="I190" s="47" t="str">
        <f aca="false">'Fault &amp; Downtime Entry'!I191</f>
        <v/>
      </c>
      <c r="J190" s="47" t="n">
        <f aca="false">'Fault &amp; Downtime Entry'!J191</f>
        <v>0</v>
      </c>
      <c r="K190" s="47" t="n">
        <f aca="false">'Fault &amp; Downtime Entry'!K191</f>
        <v>0</v>
      </c>
      <c r="L190" s="47" t="n">
        <f aca="false">'Fault &amp; Downtime Entry'!L191</f>
        <v>0</v>
      </c>
      <c r="M190" s="47" t="str">
        <f aca="false">'Fault &amp; Downtime Entry'!M191</f>
        <v/>
      </c>
      <c r="N190" s="47" t="n">
        <f aca="false">'Fault &amp; Downtime Entry'!N191</f>
        <v>0</v>
      </c>
      <c r="O190" s="47" t="n">
        <f aca="false">'Fault &amp; Downtime Entry'!O191</f>
        <v>0</v>
      </c>
      <c r="P190" s="47" t="str">
        <f aca="false">IF(OR(J190="",K190=""),"",IFERROR(J190/K190*1000,0))</f>
        <v/>
      </c>
      <c r="Q190" s="47" t="str">
        <f aca="false">IF(OR(L190="",K190=""),"",IFERROR(L190/K190*1000,0))</f>
        <v/>
      </c>
      <c r="R190" s="47" t="str">
        <f aca="false">IF(OR(M190="High",M190="Critical"),"YES","")</f>
        <v/>
      </c>
    </row>
    <row r="191" customFormat="false" ht="15" hidden="false" customHeight="true" outlineLevel="0" collapsed="false">
      <c r="A191" s="47" t="n">
        <f aca="false">'Fault &amp; Downtime Entry'!A192</f>
        <v>187</v>
      </c>
      <c r="B191" s="48" t="n">
        <f aca="false">'Fault &amp; Downtime Entry'!B192</f>
        <v>0</v>
      </c>
      <c r="C191" s="47" t="n">
        <f aca="false">'Fault &amp; Downtime Entry'!C192</f>
        <v>0</v>
      </c>
      <c r="D191" s="47" t="n">
        <f aca="false">'Fault &amp; Downtime Entry'!D192</f>
        <v>0</v>
      </c>
      <c r="E191" s="47" t="n">
        <f aca="false">'Fault &amp; Downtime Entry'!E192</f>
        <v>0</v>
      </c>
      <c r="F191" s="47" t="str">
        <f aca="false">'Fault &amp; Downtime Entry'!F192</f>
        <v/>
      </c>
      <c r="G191" s="47" t="n">
        <f aca="false">'Fault &amp; Downtime Entry'!G192</f>
        <v>0</v>
      </c>
      <c r="H191" s="47" t="str">
        <f aca="false">'Fault &amp; Downtime Entry'!H192</f>
        <v/>
      </c>
      <c r="I191" s="47" t="str">
        <f aca="false">'Fault &amp; Downtime Entry'!I192</f>
        <v/>
      </c>
      <c r="J191" s="47" t="n">
        <f aca="false">'Fault &amp; Downtime Entry'!J192</f>
        <v>0</v>
      </c>
      <c r="K191" s="47" t="n">
        <f aca="false">'Fault &amp; Downtime Entry'!K192</f>
        <v>0</v>
      </c>
      <c r="L191" s="47" t="n">
        <f aca="false">'Fault &amp; Downtime Entry'!L192</f>
        <v>0</v>
      </c>
      <c r="M191" s="47" t="str">
        <f aca="false">'Fault &amp; Downtime Entry'!M192</f>
        <v/>
      </c>
      <c r="N191" s="47" t="n">
        <f aca="false">'Fault &amp; Downtime Entry'!N192</f>
        <v>0</v>
      </c>
      <c r="O191" s="47" t="n">
        <f aca="false">'Fault &amp; Downtime Entry'!O192</f>
        <v>0</v>
      </c>
      <c r="P191" s="47" t="str">
        <f aca="false">IF(OR(J191="",K191=""),"",IFERROR(J191/K191*1000,0))</f>
        <v/>
      </c>
      <c r="Q191" s="47" t="str">
        <f aca="false">IF(OR(L191="",K191=""),"",IFERROR(L191/K191*1000,0))</f>
        <v/>
      </c>
      <c r="R191" s="47" t="str">
        <f aca="false">IF(OR(M191="High",M191="Critical"),"YES","")</f>
        <v/>
      </c>
    </row>
    <row r="192" customFormat="false" ht="15" hidden="false" customHeight="true" outlineLevel="0" collapsed="false">
      <c r="A192" s="47" t="n">
        <f aca="false">'Fault &amp; Downtime Entry'!A193</f>
        <v>188</v>
      </c>
      <c r="B192" s="48" t="n">
        <f aca="false">'Fault &amp; Downtime Entry'!B193</f>
        <v>0</v>
      </c>
      <c r="C192" s="47" t="n">
        <f aca="false">'Fault &amp; Downtime Entry'!C193</f>
        <v>0</v>
      </c>
      <c r="D192" s="47" t="n">
        <f aca="false">'Fault &amp; Downtime Entry'!D193</f>
        <v>0</v>
      </c>
      <c r="E192" s="47" t="n">
        <f aca="false">'Fault &amp; Downtime Entry'!E193</f>
        <v>0</v>
      </c>
      <c r="F192" s="47" t="str">
        <f aca="false">'Fault &amp; Downtime Entry'!F193</f>
        <v/>
      </c>
      <c r="G192" s="47" t="n">
        <f aca="false">'Fault &amp; Downtime Entry'!G193</f>
        <v>0</v>
      </c>
      <c r="H192" s="47" t="str">
        <f aca="false">'Fault &amp; Downtime Entry'!H193</f>
        <v/>
      </c>
      <c r="I192" s="47" t="str">
        <f aca="false">'Fault &amp; Downtime Entry'!I193</f>
        <v/>
      </c>
      <c r="J192" s="47" t="n">
        <f aca="false">'Fault &amp; Downtime Entry'!J193</f>
        <v>0</v>
      </c>
      <c r="K192" s="47" t="n">
        <f aca="false">'Fault &amp; Downtime Entry'!K193</f>
        <v>0</v>
      </c>
      <c r="L192" s="47" t="n">
        <f aca="false">'Fault &amp; Downtime Entry'!L193</f>
        <v>0</v>
      </c>
      <c r="M192" s="47" t="str">
        <f aca="false">'Fault &amp; Downtime Entry'!M193</f>
        <v/>
      </c>
      <c r="N192" s="47" t="n">
        <f aca="false">'Fault &amp; Downtime Entry'!N193</f>
        <v>0</v>
      </c>
      <c r="O192" s="47" t="n">
        <f aca="false">'Fault &amp; Downtime Entry'!O193</f>
        <v>0</v>
      </c>
      <c r="P192" s="47" t="str">
        <f aca="false">IF(OR(J192="",K192=""),"",IFERROR(J192/K192*1000,0))</f>
        <v/>
      </c>
      <c r="Q192" s="47" t="str">
        <f aca="false">IF(OR(L192="",K192=""),"",IFERROR(L192/K192*1000,0))</f>
        <v/>
      </c>
      <c r="R192" s="47" t="str">
        <f aca="false">IF(OR(M192="High",M192="Critical"),"YES","")</f>
        <v/>
      </c>
    </row>
    <row r="193" customFormat="false" ht="15" hidden="false" customHeight="true" outlineLevel="0" collapsed="false">
      <c r="A193" s="47" t="n">
        <f aca="false">'Fault &amp; Downtime Entry'!A194</f>
        <v>189</v>
      </c>
      <c r="B193" s="48" t="n">
        <f aca="false">'Fault &amp; Downtime Entry'!B194</f>
        <v>0</v>
      </c>
      <c r="C193" s="47" t="n">
        <f aca="false">'Fault &amp; Downtime Entry'!C194</f>
        <v>0</v>
      </c>
      <c r="D193" s="47" t="n">
        <f aca="false">'Fault &amp; Downtime Entry'!D194</f>
        <v>0</v>
      </c>
      <c r="E193" s="47" t="n">
        <f aca="false">'Fault &amp; Downtime Entry'!E194</f>
        <v>0</v>
      </c>
      <c r="F193" s="47" t="str">
        <f aca="false">'Fault &amp; Downtime Entry'!F194</f>
        <v/>
      </c>
      <c r="G193" s="47" t="n">
        <f aca="false">'Fault &amp; Downtime Entry'!G194</f>
        <v>0</v>
      </c>
      <c r="H193" s="47" t="str">
        <f aca="false">'Fault &amp; Downtime Entry'!H194</f>
        <v/>
      </c>
      <c r="I193" s="47" t="str">
        <f aca="false">'Fault &amp; Downtime Entry'!I194</f>
        <v/>
      </c>
      <c r="J193" s="47" t="n">
        <f aca="false">'Fault &amp; Downtime Entry'!J194</f>
        <v>0</v>
      </c>
      <c r="K193" s="47" t="n">
        <f aca="false">'Fault &amp; Downtime Entry'!K194</f>
        <v>0</v>
      </c>
      <c r="L193" s="47" t="n">
        <f aca="false">'Fault &amp; Downtime Entry'!L194</f>
        <v>0</v>
      </c>
      <c r="M193" s="47" t="str">
        <f aca="false">'Fault &amp; Downtime Entry'!M194</f>
        <v/>
      </c>
      <c r="N193" s="47" t="n">
        <f aca="false">'Fault &amp; Downtime Entry'!N194</f>
        <v>0</v>
      </c>
      <c r="O193" s="47" t="n">
        <f aca="false">'Fault &amp; Downtime Entry'!O194</f>
        <v>0</v>
      </c>
      <c r="P193" s="47" t="str">
        <f aca="false">IF(OR(J193="",K193=""),"",IFERROR(J193/K193*1000,0))</f>
        <v/>
      </c>
      <c r="Q193" s="47" t="str">
        <f aca="false">IF(OR(L193="",K193=""),"",IFERROR(L193/K193*1000,0))</f>
        <v/>
      </c>
      <c r="R193" s="47" t="str">
        <f aca="false">IF(OR(M193="High",M193="Critical"),"YES","")</f>
        <v/>
      </c>
    </row>
    <row r="194" customFormat="false" ht="15" hidden="false" customHeight="true" outlineLevel="0" collapsed="false">
      <c r="A194" s="47" t="n">
        <f aca="false">'Fault &amp; Downtime Entry'!A195</f>
        <v>190</v>
      </c>
      <c r="B194" s="48" t="n">
        <f aca="false">'Fault &amp; Downtime Entry'!B195</f>
        <v>0</v>
      </c>
      <c r="C194" s="47" t="n">
        <f aca="false">'Fault &amp; Downtime Entry'!C195</f>
        <v>0</v>
      </c>
      <c r="D194" s="47" t="n">
        <f aca="false">'Fault &amp; Downtime Entry'!D195</f>
        <v>0</v>
      </c>
      <c r="E194" s="47" t="n">
        <f aca="false">'Fault &amp; Downtime Entry'!E195</f>
        <v>0</v>
      </c>
      <c r="F194" s="47" t="str">
        <f aca="false">'Fault &amp; Downtime Entry'!F195</f>
        <v/>
      </c>
      <c r="G194" s="47" t="n">
        <f aca="false">'Fault &amp; Downtime Entry'!G195</f>
        <v>0</v>
      </c>
      <c r="H194" s="47" t="str">
        <f aca="false">'Fault &amp; Downtime Entry'!H195</f>
        <v/>
      </c>
      <c r="I194" s="47" t="str">
        <f aca="false">'Fault &amp; Downtime Entry'!I195</f>
        <v/>
      </c>
      <c r="J194" s="47" t="n">
        <f aca="false">'Fault &amp; Downtime Entry'!J195</f>
        <v>0</v>
      </c>
      <c r="K194" s="47" t="n">
        <f aca="false">'Fault &amp; Downtime Entry'!K195</f>
        <v>0</v>
      </c>
      <c r="L194" s="47" t="n">
        <f aca="false">'Fault &amp; Downtime Entry'!L195</f>
        <v>0</v>
      </c>
      <c r="M194" s="47" t="str">
        <f aca="false">'Fault &amp; Downtime Entry'!M195</f>
        <v/>
      </c>
      <c r="N194" s="47" t="n">
        <f aca="false">'Fault &amp; Downtime Entry'!N195</f>
        <v>0</v>
      </c>
      <c r="O194" s="47" t="n">
        <f aca="false">'Fault &amp; Downtime Entry'!O195</f>
        <v>0</v>
      </c>
      <c r="P194" s="47" t="str">
        <f aca="false">IF(OR(J194="",K194=""),"",IFERROR(J194/K194*1000,0))</f>
        <v/>
      </c>
      <c r="Q194" s="47" t="str">
        <f aca="false">IF(OR(L194="",K194=""),"",IFERROR(L194/K194*1000,0))</f>
        <v/>
      </c>
      <c r="R194" s="47" t="str">
        <f aca="false">IF(OR(M194="High",M194="Critical"),"YES","")</f>
        <v/>
      </c>
    </row>
    <row r="195" customFormat="false" ht="15" hidden="false" customHeight="true" outlineLevel="0" collapsed="false">
      <c r="A195" s="47" t="n">
        <f aca="false">'Fault &amp; Downtime Entry'!A196</f>
        <v>191</v>
      </c>
      <c r="B195" s="48" t="n">
        <f aca="false">'Fault &amp; Downtime Entry'!B196</f>
        <v>0</v>
      </c>
      <c r="C195" s="47" t="n">
        <f aca="false">'Fault &amp; Downtime Entry'!C196</f>
        <v>0</v>
      </c>
      <c r="D195" s="47" t="n">
        <f aca="false">'Fault &amp; Downtime Entry'!D196</f>
        <v>0</v>
      </c>
      <c r="E195" s="47" t="n">
        <f aca="false">'Fault &amp; Downtime Entry'!E196</f>
        <v>0</v>
      </c>
      <c r="F195" s="47" t="str">
        <f aca="false">'Fault &amp; Downtime Entry'!F196</f>
        <v/>
      </c>
      <c r="G195" s="47" t="n">
        <f aca="false">'Fault &amp; Downtime Entry'!G196</f>
        <v>0</v>
      </c>
      <c r="H195" s="47" t="str">
        <f aca="false">'Fault &amp; Downtime Entry'!H196</f>
        <v/>
      </c>
      <c r="I195" s="47" t="str">
        <f aca="false">'Fault &amp; Downtime Entry'!I196</f>
        <v/>
      </c>
      <c r="J195" s="47" t="n">
        <f aca="false">'Fault &amp; Downtime Entry'!J196</f>
        <v>0</v>
      </c>
      <c r="K195" s="47" t="n">
        <f aca="false">'Fault &amp; Downtime Entry'!K196</f>
        <v>0</v>
      </c>
      <c r="L195" s="47" t="n">
        <f aca="false">'Fault &amp; Downtime Entry'!L196</f>
        <v>0</v>
      </c>
      <c r="M195" s="47" t="str">
        <f aca="false">'Fault &amp; Downtime Entry'!M196</f>
        <v/>
      </c>
      <c r="N195" s="47" t="n">
        <f aca="false">'Fault &amp; Downtime Entry'!N196</f>
        <v>0</v>
      </c>
      <c r="O195" s="47" t="n">
        <f aca="false">'Fault &amp; Downtime Entry'!O196</f>
        <v>0</v>
      </c>
      <c r="P195" s="47" t="str">
        <f aca="false">IF(OR(J195="",K195=""),"",IFERROR(J195/K195*1000,0))</f>
        <v/>
      </c>
      <c r="Q195" s="47" t="str">
        <f aca="false">IF(OR(L195="",K195=""),"",IFERROR(L195/K195*1000,0))</f>
        <v/>
      </c>
      <c r="R195" s="47" t="str">
        <f aca="false">IF(OR(M195="High",M195="Critical"),"YES","")</f>
        <v/>
      </c>
    </row>
    <row r="196" customFormat="false" ht="15" hidden="false" customHeight="true" outlineLevel="0" collapsed="false">
      <c r="A196" s="47" t="n">
        <f aca="false">'Fault &amp; Downtime Entry'!A197</f>
        <v>192</v>
      </c>
      <c r="B196" s="48" t="n">
        <f aca="false">'Fault &amp; Downtime Entry'!B197</f>
        <v>0</v>
      </c>
      <c r="C196" s="47" t="n">
        <f aca="false">'Fault &amp; Downtime Entry'!C197</f>
        <v>0</v>
      </c>
      <c r="D196" s="47" t="n">
        <f aca="false">'Fault &amp; Downtime Entry'!D197</f>
        <v>0</v>
      </c>
      <c r="E196" s="47" t="n">
        <f aca="false">'Fault &amp; Downtime Entry'!E197</f>
        <v>0</v>
      </c>
      <c r="F196" s="47" t="str">
        <f aca="false">'Fault &amp; Downtime Entry'!F197</f>
        <v/>
      </c>
      <c r="G196" s="47" t="n">
        <f aca="false">'Fault &amp; Downtime Entry'!G197</f>
        <v>0</v>
      </c>
      <c r="H196" s="47" t="str">
        <f aca="false">'Fault &amp; Downtime Entry'!H197</f>
        <v/>
      </c>
      <c r="I196" s="47" t="str">
        <f aca="false">'Fault &amp; Downtime Entry'!I197</f>
        <v/>
      </c>
      <c r="J196" s="47" t="n">
        <f aca="false">'Fault &amp; Downtime Entry'!J197</f>
        <v>0</v>
      </c>
      <c r="K196" s="47" t="n">
        <f aca="false">'Fault &amp; Downtime Entry'!K197</f>
        <v>0</v>
      </c>
      <c r="L196" s="47" t="n">
        <f aca="false">'Fault &amp; Downtime Entry'!L197</f>
        <v>0</v>
      </c>
      <c r="M196" s="47" t="str">
        <f aca="false">'Fault &amp; Downtime Entry'!M197</f>
        <v/>
      </c>
      <c r="N196" s="47" t="n">
        <f aca="false">'Fault &amp; Downtime Entry'!N197</f>
        <v>0</v>
      </c>
      <c r="O196" s="47" t="n">
        <f aca="false">'Fault &amp; Downtime Entry'!O197</f>
        <v>0</v>
      </c>
      <c r="P196" s="47" t="str">
        <f aca="false">IF(OR(J196="",K196=""),"",IFERROR(J196/K196*1000,0))</f>
        <v/>
      </c>
      <c r="Q196" s="47" t="str">
        <f aca="false">IF(OR(L196="",K196=""),"",IFERROR(L196/K196*1000,0))</f>
        <v/>
      </c>
      <c r="R196" s="47" t="str">
        <f aca="false">IF(OR(M196="High",M196="Critical"),"YES","")</f>
        <v/>
      </c>
    </row>
    <row r="197" customFormat="false" ht="15" hidden="false" customHeight="true" outlineLevel="0" collapsed="false">
      <c r="A197" s="47" t="n">
        <f aca="false">'Fault &amp; Downtime Entry'!A198</f>
        <v>193</v>
      </c>
      <c r="B197" s="48" t="n">
        <f aca="false">'Fault &amp; Downtime Entry'!B198</f>
        <v>0</v>
      </c>
      <c r="C197" s="47" t="n">
        <f aca="false">'Fault &amp; Downtime Entry'!C198</f>
        <v>0</v>
      </c>
      <c r="D197" s="47" t="n">
        <f aca="false">'Fault &amp; Downtime Entry'!D198</f>
        <v>0</v>
      </c>
      <c r="E197" s="47" t="n">
        <f aca="false">'Fault &amp; Downtime Entry'!E198</f>
        <v>0</v>
      </c>
      <c r="F197" s="47" t="str">
        <f aca="false">'Fault &amp; Downtime Entry'!F198</f>
        <v/>
      </c>
      <c r="G197" s="47" t="n">
        <f aca="false">'Fault &amp; Downtime Entry'!G198</f>
        <v>0</v>
      </c>
      <c r="H197" s="47" t="str">
        <f aca="false">'Fault &amp; Downtime Entry'!H198</f>
        <v/>
      </c>
      <c r="I197" s="47" t="str">
        <f aca="false">'Fault &amp; Downtime Entry'!I198</f>
        <v/>
      </c>
      <c r="J197" s="47" t="n">
        <f aca="false">'Fault &amp; Downtime Entry'!J198</f>
        <v>0</v>
      </c>
      <c r="K197" s="47" t="n">
        <f aca="false">'Fault &amp; Downtime Entry'!K198</f>
        <v>0</v>
      </c>
      <c r="L197" s="47" t="n">
        <f aca="false">'Fault &amp; Downtime Entry'!L198</f>
        <v>0</v>
      </c>
      <c r="M197" s="47" t="str">
        <f aca="false">'Fault &amp; Downtime Entry'!M198</f>
        <v/>
      </c>
      <c r="N197" s="47" t="n">
        <f aca="false">'Fault &amp; Downtime Entry'!N198</f>
        <v>0</v>
      </c>
      <c r="O197" s="47" t="n">
        <f aca="false">'Fault &amp; Downtime Entry'!O198</f>
        <v>0</v>
      </c>
      <c r="P197" s="47" t="str">
        <f aca="false">IF(OR(J197="",K197=""),"",IFERROR(J197/K197*1000,0))</f>
        <v/>
      </c>
      <c r="Q197" s="47" t="str">
        <f aca="false">IF(OR(L197="",K197=""),"",IFERROR(L197/K197*1000,0))</f>
        <v/>
      </c>
      <c r="R197" s="47" t="str">
        <f aca="false">IF(OR(M197="High",M197="Critical"),"YES","")</f>
        <v/>
      </c>
    </row>
    <row r="198" customFormat="false" ht="15" hidden="false" customHeight="true" outlineLevel="0" collapsed="false">
      <c r="A198" s="47" t="n">
        <f aca="false">'Fault &amp; Downtime Entry'!A199</f>
        <v>194</v>
      </c>
      <c r="B198" s="48" t="n">
        <f aca="false">'Fault &amp; Downtime Entry'!B199</f>
        <v>0</v>
      </c>
      <c r="C198" s="47" t="n">
        <f aca="false">'Fault &amp; Downtime Entry'!C199</f>
        <v>0</v>
      </c>
      <c r="D198" s="47" t="n">
        <f aca="false">'Fault &amp; Downtime Entry'!D199</f>
        <v>0</v>
      </c>
      <c r="E198" s="47" t="n">
        <f aca="false">'Fault &amp; Downtime Entry'!E199</f>
        <v>0</v>
      </c>
      <c r="F198" s="47" t="str">
        <f aca="false">'Fault &amp; Downtime Entry'!F199</f>
        <v/>
      </c>
      <c r="G198" s="47" t="n">
        <f aca="false">'Fault &amp; Downtime Entry'!G199</f>
        <v>0</v>
      </c>
      <c r="H198" s="47" t="str">
        <f aca="false">'Fault &amp; Downtime Entry'!H199</f>
        <v/>
      </c>
      <c r="I198" s="47" t="str">
        <f aca="false">'Fault &amp; Downtime Entry'!I199</f>
        <v/>
      </c>
      <c r="J198" s="47" t="n">
        <f aca="false">'Fault &amp; Downtime Entry'!J199</f>
        <v>0</v>
      </c>
      <c r="K198" s="47" t="n">
        <f aca="false">'Fault &amp; Downtime Entry'!K199</f>
        <v>0</v>
      </c>
      <c r="L198" s="47" t="n">
        <f aca="false">'Fault &amp; Downtime Entry'!L199</f>
        <v>0</v>
      </c>
      <c r="M198" s="47" t="str">
        <f aca="false">'Fault &amp; Downtime Entry'!M199</f>
        <v/>
      </c>
      <c r="N198" s="47" t="n">
        <f aca="false">'Fault &amp; Downtime Entry'!N199</f>
        <v>0</v>
      </c>
      <c r="O198" s="47" t="n">
        <f aca="false">'Fault &amp; Downtime Entry'!O199</f>
        <v>0</v>
      </c>
      <c r="P198" s="47" t="str">
        <f aca="false">IF(OR(J198="",K198=""),"",IFERROR(J198/K198*1000,0))</f>
        <v/>
      </c>
      <c r="Q198" s="47" t="str">
        <f aca="false">IF(OR(L198="",K198=""),"",IFERROR(L198/K198*1000,0))</f>
        <v/>
      </c>
      <c r="R198" s="47" t="str">
        <f aca="false">IF(OR(M198="High",M198="Critical"),"YES","")</f>
        <v/>
      </c>
    </row>
    <row r="199" customFormat="false" ht="15" hidden="false" customHeight="true" outlineLevel="0" collapsed="false">
      <c r="A199" s="47" t="n">
        <f aca="false">'Fault &amp; Downtime Entry'!A200</f>
        <v>195</v>
      </c>
      <c r="B199" s="48" t="n">
        <f aca="false">'Fault &amp; Downtime Entry'!B200</f>
        <v>0</v>
      </c>
      <c r="C199" s="47" t="n">
        <f aca="false">'Fault &amp; Downtime Entry'!C200</f>
        <v>0</v>
      </c>
      <c r="D199" s="47" t="n">
        <f aca="false">'Fault &amp; Downtime Entry'!D200</f>
        <v>0</v>
      </c>
      <c r="E199" s="47" t="n">
        <f aca="false">'Fault &amp; Downtime Entry'!E200</f>
        <v>0</v>
      </c>
      <c r="F199" s="47" t="str">
        <f aca="false">'Fault &amp; Downtime Entry'!F200</f>
        <v/>
      </c>
      <c r="G199" s="47" t="n">
        <f aca="false">'Fault &amp; Downtime Entry'!G200</f>
        <v>0</v>
      </c>
      <c r="H199" s="47" t="str">
        <f aca="false">'Fault &amp; Downtime Entry'!H200</f>
        <v/>
      </c>
      <c r="I199" s="47" t="str">
        <f aca="false">'Fault &amp; Downtime Entry'!I200</f>
        <v/>
      </c>
      <c r="J199" s="47" t="n">
        <f aca="false">'Fault &amp; Downtime Entry'!J200</f>
        <v>0</v>
      </c>
      <c r="K199" s="47" t="n">
        <f aca="false">'Fault &amp; Downtime Entry'!K200</f>
        <v>0</v>
      </c>
      <c r="L199" s="47" t="n">
        <f aca="false">'Fault &amp; Downtime Entry'!L200</f>
        <v>0</v>
      </c>
      <c r="M199" s="47" t="str">
        <f aca="false">'Fault &amp; Downtime Entry'!M200</f>
        <v/>
      </c>
      <c r="N199" s="47" t="n">
        <f aca="false">'Fault &amp; Downtime Entry'!N200</f>
        <v>0</v>
      </c>
      <c r="O199" s="47" t="n">
        <f aca="false">'Fault &amp; Downtime Entry'!O200</f>
        <v>0</v>
      </c>
      <c r="P199" s="47" t="str">
        <f aca="false">IF(OR(J199="",K199=""),"",IFERROR(J199/K199*1000,0))</f>
        <v/>
      </c>
      <c r="Q199" s="47" t="str">
        <f aca="false">IF(OR(L199="",K199=""),"",IFERROR(L199/K199*1000,0))</f>
        <v/>
      </c>
      <c r="R199" s="47" t="str">
        <f aca="false">IF(OR(M199="High",M199="Critical"),"YES","")</f>
        <v/>
      </c>
    </row>
    <row r="200" customFormat="false" ht="15" hidden="false" customHeight="true" outlineLevel="0" collapsed="false">
      <c r="A200" s="47" t="n">
        <f aca="false">'Fault &amp; Downtime Entry'!A201</f>
        <v>196</v>
      </c>
      <c r="B200" s="48" t="n">
        <f aca="false">'Fault &amp; Downtime Entry'!B201</f>
        <v>0</v>
      </c>
      <c r="C200" s="47" t="n">
        <f aca="false">'Fault &amp; Downtime Entry'!C201</f>
        <v>0</v>
      </c>
      <c r="D200" s="47" t="n">
        <f aca="false">'Fault &amp; Downtime Entry'!D201</f>
        <v>0</v>
      </c>
      <c r="E200" s="47" t="n">
        <f aca="false">'Fault &amp; Downtime Entry'!E201</f>
        <v>0</v>
      </c>
      <c r="F200" s="47" t="str">
        <f aca="false">'Fault &amp; Downtime Entry'!F201</f>
        <v/>
      </c>
      <c r="G200" s="47" t="n">
        <f aca="false">'Fault &amp; Downtime Entry'!G201</f>
        <v>0</v>
      </c>
      <c r="H200" s="47" t="str">
        <f aca="false">'Fault &amp; Downtime Entry'!H201</f>
        <v/>
      </c>
      <c r="I200" s="47" t="str">
        <f aca="false">'Fault &amp; Downtime Entry'!I201</f>
        <v/>
      </c>
      <c r="J200" s="47" t="n">
        <f aca="false">'Fault &amp; Downtime Entry'!J201</f>
        <v>0</v>
      </c>
      <c r="K200" s="47" t="n">
        <f aca="false">'Fault &amp; Downtime Entry'!K201</f>
        <v>0</v>
      </c>
      <c r="L200" s="47" t="n">
        <f aca="false">'Fault &amp; Downtime Entry'!L201</f>
        <v>0</v>
      </c>
      <c r="M200" s="47" t="str">
        <f aca="false">'Fault &amp; Downtime Entry'!M201</f>
        <v/>
      </c>
      <c r="N200" s="47" t="n">
        <f aca="false">'Fault &amp; Downtime Entry'!N201</f>
        <v>0</v>
      </c>
      <c r="O200" s="47" t="n">
        <f aca="false">'Fault &amp; Downtime Entry'!O201</f>
        <v>0</v>
      </c>
      <c r="P200" s="47" t="str">
        <f aca="false">IF(OR(J200="",K200=""),"",IFERROR(J200/K200*1000,0))</f>
        <v/>
      </c>
      <c r="Q200" s="47" t="str">
        <f aca="false">IF(OR(L200="",K200=""),"",IFERROR(L200/K200*1000,0))</f>
        <v/>
      </c>
      <c r="R200" s="47" t="str">
        <f aca="false">IF(OR(M200="High",M200="Critical"),"YES","")</f>
        <v/>
      </c>
    </row>
    <row r="201" customFormat="false" ht="15" hidden="false" customHeight="true" outlineLevel="0" collapsed="false">
      <c r="A201" s="47" t="n">
        <f aca="false">'Fault &amp; Downtime Entry'!A202</f>
        <v>197</v>
      </c>
      <c r="B201" s="48" t="n">
        <f aca="false">'Fault &amp; Downtime Entry'!B202</f>
        <v>0</v>
      </c>
      <c r="C201" s="47" t="n">
        <f aca="false">'Fault &amp; Downtime Entry'!C202</f>
        <v>0</v>
      </c>
      <c r="D201" s="47" t="n">
        <f aca="false">'Fault &amp; Downtime Entry'!D202</f>
        <v>0</v>
      </c>
      <c r="E201" s="47" t="n">
        <f aca="false">'Fault &amp; Downtime Entry'!E202</f>
        <v>0</v>
      </c>
      <c r="F201" s="47" t="str">
        <f aca="false">'Fault &amp; Downtime Entry'!F202</f>
        <v/>
      </c>
      <c r="G201" s="47" t="n">
        <f aca="false">'Fault &amp; Downtime Entry'!G202</f>
        <v>0</v>
      </c>
      <c r="H201" s="47" t="str">
        <f aca="false">'Fault &amp; Downtime Entry'!H202</f>
        <v/>
      </c>
      <c r="I201" s="47" t="str">
        <f aca="false">'Fault &amp; Downtime Entry'!I202</f>
        <v/>
      </c>
      <c r="J201" s="47" t="n">
        <f aca="false">'Fault &amp; Downtime Entry'!J202</f>
        <v>0</v>
      </c>
      <c r="K201" s="47" t="n">
        <f aca="false">'Fault &amp; Downtime Entry'!K202</f>
        <v>0</v>
      </c>
      <c r="L201" s="47" t="n">
        <f aca="false">'Fault &amp; Downtime Entry'!L202</f>
        <v>0</v>
      </c>
      <c r="M201" s="47" t="str">
        <f aca="false">'Fault &amp; Downtime Entry'!M202</f>
        <v/>
      </c>
      <c r="N201" s="47" t="n">
        <f aca="false">'Fault &amp; Downtime Entry'!N202</f>
        <v>0</v>
      </c>
      <c r="O201" s="47" t="n">
        <f aca="false">'Fault &amp; Downtime Entry'!O202</f>
        <v>0</v>
      </c>
      <c r="P201" s="47" t="str">
        <f aca="false">IF(OR(J201="",K201=""),"",IFERROR(J201/K201*1000,0))</f>
        <v/>
      </c>
      <c r="Q201" s="47" t="str">
        <f aca="false">IF(OR(L201="",K201=""),"",IFERROR(L201/K201*1000,0))</f>
        <v/>
      </c>
      <c r="R201" s="47" t="str">
        <f aca="false">IF(OR(M201="High",M201="Critical"),"YES","")</f>
        <v/>
      </c>
    </row>
    <row r="202" customFormat="false" ht="15" hidden="false" customHeight="true" outlineLevel="0" collapsed="false">
      <c r="A202" s="47" t="n">
        <f aca="false">'Fault &amp; Downtime Entry'!A203</f>
        <v>198</v>
      </c>
      <c r="B202" s="48" t="n">
        <f aca="false">'Fault &amp; Downtime Entry'!B203</f>
        <v>0</v>
      </c>
      <c r="C202" s="47" t="n">
        <f aca="false">'Fault &amp; Downtime Entry'!C203</f>
        <v>0</v>
      </c>
      <c r="D202" s="47" t="n">
        <f aca="false">'Fault &amp; Downtime Entry'!D203</f>
        <v>0</v>
      </c>
      <c r="E202" s="47" t="n">
        <f aca="false">'Fault &amp; Downtime Entry'!E203</f>
        <v>0</v>
      </c>
      <c r="F202" s="47" t="str">
        <f aca="false">'Fault &amp; Downtime Entry'!F203</f>
        <v/>
      </c>
      <c r="G202" s="47" t="n">
        <f aca="false">'Fault &amp; Downtime Entry'!G203</f>
        <v>0</v>
      </c>
      <c r="H202" s="47" t="str">
        <f aca="false">'Fault &amp; Downtime Entry'!H203</f>
        <v/>
      </c>
      <c r="I202" s="47" t="str">
        <f aca="false">'Fault &amp; Downtime Entry'!I203</f>
        <v/>
      </c>
      <c r="J202" s="47" t="n">
        <f aca="false">'Fault &amp; Downtime Entry'!J203</f>
        <v>0</v>
      </c>
      <c r="K202" s="47" t="n">
        <f aca="false">'Fault &amp; Downtime Entry'!K203</f>
        <v>0</v>
      </c>
      <c r="L202" s="47" t="n">
        <f aca="false">'Fault &amp; Downtime Entry'!L203</f>
        <v>0</v>
      </c>
      <c r="M202" s="47" t="str">
        <f aca="false">'Fault &amp; Downtime Entry'!M203</f>
        <v/>
      </c>
      <c r="N202" s="47" t="n">
        <f aca="false">'Fault &amp; Downtime Entry'!N203</f>
        <v>0</v>
      </c>
      <c r="O202" s="47" t="n">
        <f aca="false">'Fault &amp; Downtime Entry'!O203</f>
        <v>0</v>
      </c>
      <c r="P202" s="47" t="str">
        <f aca="false">IF(OR(J202="",K202=""),"",IFERROR(J202/K202*1000,0))</f>
        <v/>
      </c>
      <c r="Q202" s="47" t="str">
        <f aca="false">IF(OR(L202="",K202=""),"",IFERROR(L202/K202*1000,0))</f>
        <v/>
      </c>
      <c r="R202" s="47" t="str">
        <f aca="false">IF(OR(M202="High",M202="Critical"),"YES","")</f>
        <v/>
      </c>
    </row>
    <row r="203" customFormat="false" ht="15" hidden="false" customHeight="true" outlineLevel="0" collapsed="false">
      <c r="A203" s="47" t="n">
        <f aca="false">'Fault &amp; Downtime Entry'!A204</f>
        <v>199</v>
      </c>
      <c r="B203" s="48" t="n">
        <f aca="false">'Fault &amp; Downtime Entry'!B204</f>
        <v>0</v>
      </c>
      <c r="C203" s="47" t="n">
        <f aca="false">'Fault &amp; Downtime Entry'!C204</f>
        <v>0</v>
      </c>
      <c r="D203" s="47" t="n">
        <f aca="false">'Fault &amp; Downtime Entry'!D204</f>
        <v>0</v>
      </c>
      <c r="E203" s="47" t="n">
        <f aca="false">'Fault &amp; Downtime Entry'!E204</f>
        <v>0</v>
      </c>
      <c r="F203" s="47" t="str">
        <f aca="false">'Fault &amp; Downtime Entry'!F204</f>
        <v/>
      </c>
      <c r="G203" s="47" t="n">
        <f aca="false">'Fault &amp; Downtime Entry'!G204</f>
        <v>0</v>
      </c>
      <c r="H203" s="47" t="str">
        <f aca="false">'Fault &amp; Downtime Entry'!H204</f>
        <v/>
      </c>
      <c r="I203" s="47" t="str">
        <f aca="false">'Fault &amp; Downtime Entry'!I204</f>
        <v/>
      </c>
      <c r="J203" s="47" t="n">
        <f aca="false">'Fault &amp; Downtime Entry'!J204</f>
        <v>0</v>
      </c>
      <c r="K203" s="47" t="n">
        <f aca="false">'Fault &amp; Downtime Entry'!K204</f>
        <v>0</v>
      </c>
      <c r="L203" s="47" t="n">
        <f aca="false">'Fault &amp; Downtime Entry'!L204</f>
        <v>0</v>
      </c>
      <c r="M203" s="47" t="str">
        <f aca="false">'Fault &amp; Downtime Entry'!M204</f>
        <v/>
      </c>
      <c r="N203" s="47" t="n">
        <f aca="false">'Fault &amp; Downtime Entry'!N204</f>
        <v>0</v>
      </c>
      <c r="O203" s="47" t="n">
        <f aca="false">'Fault &amp; Downtime Entry'!O204</f>
        <v>0</v>
      </c>
      <c r="P203" s="47" t="str">
        <f aca="false">IF(OR(J203="",K203=""),"",IFERROR(J203/K203*1000,0))</f>
        <v/>
      </c>
      <c r="Q203" s="47" t="str">
        <f aca="false">IF(OR(L203="",K203=""),"",IFERROR(L203/K203*1000,0))</f>
        <v/>
      </c>
      <c r="R203" s="47" t="str">
        <f aca="false">IF(OR(M203="High",M203="Critical"),"YES","")</f>
        <v/>
      </c>
    </row>
    <row r="204" customFormat="false" ht="15" hidden="false" customHeight="true" outlineLevel="0" collapsed="false">
      <c r="A204" s="47" t="n">
        <f aca="false">'Fault &amp; Downtime Entry'!A205</f>
        <v>200</v>
      </c>
      <c r="B204" s="48" t="n">
        <f aca="false">'Fault &amp; Downtime Entry'!B205</f>
        <v>0</v>
      </c>
      <c r="C204" s="47" t="n">
        <f aca="false">'Fault &amp; Downtime Entry'!C205</f>
        <v>0</v>
      </c>
      <c r="D204" s="47" t="n">
        <f aca="false">'Fault &amp; Downtime Entry'!D205</f>
        <v>0</v>
      </c>
      <c r="E204" s="47" t="n">
        <f aca="false">'Fault &amp; Downtime Entry'!E205</f>
        <v>0</v>
      </c>
      <c r="F204" s="47" t="str">
        <f aca="false">'Fault &amp; Downtime Entry'!F205</f>
        <v/>
      </c>
      <c r="G204" s="47" t="n">
        <f aca="false">'Fault &amp; Downtime Entry'!G205</f>
        <v>0</v>
      </c>
      <c r="H204" s="47" t="str">
        <f aca="false">'Fault &amp; Downtime Entry'!H205</f>
        <v/>
      </c>
      <c r="I204" s="47" t="str">
        <f aca="false">'Fault &amp; Downtime Entry'!I205</f>
        <v/>
      </c>
      <c r="J204" s="47" t="n">
        <f aca="false">'Fault &amp; Downtime Entry'!J205</f>
        <v>0</v>
      </c>
      <c r="K204" s="47" t="n">
        <f aca="false">'Fault &amp; Downtime Entry'!K205</f>
        <v>0</v>
      </c>
      <c r="L204" s="47" t="n">
        <f aca="false">'Fault &amp; Downtime Entry'!L205</f>
        <v>0</v>
      </c>
      <c r="M204" s="47" t="str">
        <f aca="false">'Fault &amp; Downtime Entry'!M205</f>
        <v/>
      </c>
      <c r="N204" s="47" t="n">
        <f aca="false">'Fault &amp; Downtime Entry'!N205</f>
        <v>0</v>
      </c>
      <c r="O204" s="47" t="n">
        <f aca="false">'Fault &amp; Downtime Entry'!O205</f>
        <v>0</v>
      </c>
      <c r="P204" s="47" t="str">
        <f aca="false">IF(OR(J204="",K204=""),"",IFERROR(J204/K204*1000,0))</f>
        <v/>
      </c>
      <c r="Q204" s="47" t="str">
        <f aca="false">IF(OR(L204="",K204=""),"",IFERROR(L204/K204*1000,0))</f>
        <v/>
      </c>
      <c r="R204" s="47" t="str">
        <f aca="false">IF(OR(M204="High",M204="Critical"),"YES","")</f>
        <v/>
      </c>
    </row>
    <row r="205" customFormat="false" ht="15" hidden="false" customHeight="true" outlineLevel="0" collapsed="false">
      <c r="A205" s="47" t="n">
        <f aca="false">'Fault &amp; Downtime Entry'!A206</f>
        <v>201</v>
      </c>
      <c r="B205" s="48" t="n">
        <f aca="false">'Fault &amp; Downtime Entry'!B206</f>
        <v>0</v>
      </c>
      <c r="C205" s="47" t="n">
        <f aca="false">'Fault &amp; Downtime Entry'!C206</f>
        <v>0</v>
      </c>
      <c r="D205" s="47" t="n">
        <f aca="false">'Fault &amp; Downtime Entry'!D206</f>
        <v>0</v>
      </c>
      <c r="E205" s="47" t="n">
        <f aca="false">'Fault &amp; Downtime Entry'!E206</f>
        <v>0</v>
      </c>
      <c r="F205" s="47" t="str">
        <f aca="false">'Fault &amp; Downtime Entry'!F206</f>
        <v/>
      </c>
      <c r="G205" s="47" t="n">
        <f aca="false">'Fault &amp; Downtime Entry'!G206</f>
        <v>0</v>
      </c>
      <c r="H205" s="47" t="str">
        <f aca="false">'Fault &amp; Downtime Entry'!H206</f>
        <v/>
      </c>
      <c r="I205" s="47" t="str">
        <f aca="false">'Fault &amp; Downtime Entry'!I206</f>
        <v/>
      </c>
      <c r="J205" s="47" t="n">
        <f aca="false">'Fault &amp; Downtime Entry'!J206</f>
        <v>0</v>
      </c>
      <c r="K205" s="47" t="n">
        <f aca="false">'Fault &amp; Downtime Entry'!K206</f>
        <v>0</v>
      </c>
      <c r="L205" s="47" t="n">
        <f aca="false">'Fault &amp; Downtime Entry'!L206</f>
        <v>0</v>
      </c>
      <c r="M205" s="47" t="str">
        <f aca="false">'Fault &amp; Downtime Entry'!M206</f>
        <v/>
      </c>
      <c r="N205" s="47" t="n">
        <f aca="false">'Fault &amp; Downtime Entry'!N206</f>
        <v>0</v>
      </c>
      <c r="O205" s="47" t="n">
        <f aca="false">'Fault &amp; Downtime Entry'!O206</f>
        <v>0</v>
      </c>
      <c r="P205" s="47" t="str">
        <f aca="false">IF(OR(J205="",K205=""),"",IFERROR(J205/K205*1000,0))</f>
        <v/>
      </c>
      <c r="Q205" s="47" t="str">
        <f aca="false">IF(OR(L205="",K205=""),"",IFERROR(L205/K205*1000,0))</f>
        <v/>
      </c>
      <c r="R205" s="47" t="str">
        <f aca="false">IF(OR(M205="High",M205="Critical"),"YES","")</f>
        <v/>
      </c>
    </row>
    <row r="206" customFormat="false" ht="15" hidden="false" customHeight="true" outlineLevel="0" collapsed="false">
      <c r="A206" s="47" t="n">
        <f aca="false">'Fault &amp; Downtime Entry'!A207</f>
        <v>202</v>
      </c>
      <c r="B206" s="48" t="n">
        <f aca="false">'Fault &amp; Downtime Entry'!B207</f>
        <v>0</v>
      </c>
      <c r="C206" s="47" t="n">
        <f aca="false">'Fault &amp; Downtime Entry'!C207</f>
        <v>0</v>
      </c>
      <c r="D206" s="47" t="n">
        <f aca="false">'Fault &amp; Downtime Entry'!D207</f>
        <v>0</v>
      </c>
      <c r="E206" s="47" t="n">
        <f aca="false">'Fault &amp; Downtime Entry'!E207</f>
        <v>0</v>
      </c>
      <c r="F206" s="47" t="str">
        <f aca="false">'Fault &amp; Downtime Entry'!F207</f>
        <v/>
      </c>
      <c r="G206" s="47" t="n">
        <f aca="false">'Fault &amp; Downtime Entry'!G207</f>
        <v>0</v>
      </c>
      <c r="H206" s="47" t="str">
        <f aca="false">'Fault &amp; Downtime Entry'!H207</f>
        <v/>
      </c>
      <c r="I206" s="47" t="str">
        <f aca="false">'Fault &amp; Downtime Entry'!I207</f>
        <v/>
      </c>
      <c r="J206" s="47" t="n">
        <f aca="false">'Fault &amp; Downtime Entry'!J207</f>
        <v>0</v>
      </c>
      <c r="K206" s="47" t="n">
        <f aca="false">'Fault &amp; Downtime Entry'!K207</f>
        <v>0</v>
      </c>
      <c r="L206" s="47" t="n">
        <f aca="false">'Fault &amp; Downtime Entry'!L207</f>
        <v>0</v>
      </c>
      <c r="M206" s="47" t="str">
        <f aca="false">'Fault &amp; Downtime Entry'!M207</f>
        <v/>
      </c>
      <c r="N206" s="47" t="n">
        <f aca="false">'Fault &amp; Downtime Entry'!N207</f>
        <v>0</v>
      </c>
      <c r="O206" s="47" t="n">
        <f aca="false">'Fault &amp; Downtime Entry'!O207</f>
        <v>0</v>
      </c>
      <c r="P206" s="47" t="str">
        <f aca="false">IF(OR(J206="",K206=""),"",IFERROR(J206/K206*1000,0))</f>
        <v/>
      </c>
      <c r="Q206" s="47" t="str">
        <f aca="false">IF(OR(L206="",K206=""),"",IFERROR(L206/K206*1000,0))</f>
        <v/>
      </c>
      <c r="R206" s="47" t="str">
        <f aca="false">IF(OR(M206="High",M206="Critical"),"YES","")</f>
        <v/>
      </c>
    </row>
    <row r="207" customFormat="false" ht="15" hidden="false" customHeight="true" outlineLevel="0" collapsed="false">
      <c r="A207" s="47" t="n">
        <f aca="false">'Fault &amp; Downtime Entry'!A208</f>
        <v>203</v>
      </c>
      <c r="B207" s="48" t="n">
        <f aca="false">'Fault &amp; Downtime Entry'!B208</f>
        <v>0</v>
      </c>
      <c r="C207" s="47" t="n">
        <f aca="false">'Fault &amp; Downtime Entry'!C208</f>
        <v>0</v>
      </c>
      <c r="D207" s="47" t="n">
        <f aca="false">'Fault &amp; Downtime Entry'!D208</f>
        <v>0</v>
      </c>
      <c r="E207" s="47" t="n">
        <f aca="false">'Fault &amp; Downtime Entry'!E208</f>
        <v>0</v>
      </c>
      <c r="F207" s="47" t="str">
        <f aca="false">'Fault &amp; Downtime Entry'!F208</f>
        <v/>
      </c>
      <c r="G207" s="47" t="n">
        <f aca="false">'Fault &amp; Downtime Entry'!G208</f>
        <v>0</v>
      </c>
      <c r="H207" s="47" t="str">
        <f aca="false">'Fault &amp; Downtime Entry'!H208</f>
        <v/>
      </c>
      <c r="I207" s="47" t="str">
        <f aca="false">'Fault &amp; Downtime Entry'!I208</f>
        <v/>
      </c>
      <c r="J207" s="47" t="n">
        <f aca="false">'Fault &amp; Downtime Entry'!J208</f>
        <v>0</v>
      </c>
      <c r="K207" s="47" t="n">
        <f aca="false">'Fault &amp; Downtime Entry'!K208</f>
        <v>0</v>
      </c>
      <c r="L207" s="47" t="n">
        <f aca="false">'Fault &amp; Downtime Entry'!L208</f>
        <v>0</v>
      </c>
      <c r="M207" s="47" t="str">
        <f aca="false">'Fault &amp; Downtime Entry'!M208</f>
        <v/>
      </c>
      <c r="N207" s="47" t="n">
        <f aca="false">'Fault &amp; Downtime Entry'!N208</f>
        <v>0</v>
      </c>
      <c r="O207" s="47" t="n">
        <f aca="false">'Fault &amp; Downtime Entry'!O208</f>
        <v>0</v>
      </c>
      <c r="P207" s="47" t="str">
        <f aca="false">IF(OR(J207="",K207=""),"",IFERROR(J207/K207*1000,0))</f>
        <v/>
      </c>
      <c r="Q207" s="47" t="str">
        <f aca="false">IF(OR(L207="",K207=""),"",IFERROR(L207/K207*1000,0))</f>
        <v/>
      </c>
      <c r="R207" s="47" t="str">
        <f aca="false">IF(OR(M207="High",M207="Critical"),"YES","")</f>
        <v/>
      </c>
    </row>
    <row r="208" customFormat="false" ht="15" hidden="false" customHeight="true" outlineLevel="0" collapsed="false">
      <c r="A208" s="47" t="n">
        <f aca="false">'Fault &amp; Downtime Entry'!A209</f>
        <v>204</v>
      </c>
      <c r="B208" s="48" t="n">
        <f aca="false">'Fault &amp; Downtime Entry'!B209</f>
        <v>0</v>
      </c>
      <c r="C208" s="47" t="n">
        <f aca="false">'Fault &amp; Downtime Entry'!C209</f>
        <v>0</v>
      </c>
      <c r="D208" s="47" t="n">
        <f aca="false">'Fault &amp; Downtime Entry'!D209</f>
        <v>0</v>
      </c>
      <c r="E208" s="47" t="n">
        <f aca="false">'Fault &amp; Downtime Entry'!E209</f>
        <v>0</v>
      </c>
      <c r="F208" s="47" t="str">
        <f aca="false">'Fault &amp; Downtime Entry'!F209</f>
        <v/>
      </c>
      <c r="G208" s="47" t="n">
        <f aca="false">'Fault &amp; Downtime Entry'!G209</f>
        <v>0</v>
      </c>
      <c r="H208" s="47" t="str">
        <f aca="false">'Fault &amp; Downtime Entry'!H209</f>
        <v/>
      </c>
      <c r="I208" s="47" t="str">
        <f aca="false">'Fault &amp; Downtime Entry'!I209</f>
        <v/>
      </c>
      <c r="J208" s="47" t="n">
        <f aca="false">'Fault &amp; Downtime Entry'!J209</f>
        <v>0</v>
      </c>
      <c r="K208" s="47" t="n">
        <f aca="false">'Fault &amp; Downtime Entry'!K209</f>
        <v>0</v>
      </c>
      <c r="L208" s="47" t="n">
        <f aca="false">'Fault &amp; Downtime Entry'!L209</f>
        <v>0</v>
      </c>
      <c r="M208" s="47" t="str">
        <f aca="false">'Fault &amp; Downtime Entry'!M209</f>
        <v/>
      </c>
      <c r="N208" s="47" t="n">
        <f aca="false">'Fault &amp; Downtime Entry'!N209</f>
        <v>0</v>
      </c>
      <c r="O208" s="47" t="n">
        <f aca="false">'Fault &amp; Downtime Entry'!O209</f>
        <v>0</v>
      </c>
      <c r="P208" s="47" t="str">
        <f aca="false">IF(OR(J208="",K208=""),"",IFERROR(J208/K208*1000,0))</f>
        <v/>
      </c>
      <c r="Q208" s="47" t="str">
        <f aca="false">IF(OR(L208="",K208=""),"",IFERROR(L208/K208*1000,0))</f>
        <v/>
      </c>
      <c r="R208" s="47" t="str">
        <f aca="false">IF(OR(M208="High",M208="Critical"),"YES","")</f>
        <v/>
      </c>
    </row>
    <row r="209" customFormat="false" ht="15" hidden="false" customHeight="true" outlineLevel="0" collapsed="false">
      <c r="A209" s="47" t="n">
        <f aca="false">'Fault &amp; Downtime Entry'!A210</f>
        <v>205</v>
      </c>
      <c r="B209" s="48" t="n">
        <f aca="false">'Fault &amp; Downtime Entry'!B210</f>
        <v>0</v>
      </c>
      <c r="C209" s="47" t="n">
        <f aca="false">'Fault &amp; Downtime Entry'!C210</f>
        <v>0</v>
      </c>
      <c r="D209" s="47" t="n">
        <f aca="false">'Fault &amp; Downtime Entry'!D210</f>
        <v>0</v>
      </c>
      <c r="E209" s="47" t="n">
        <f aca="false">'Fault &amp; Downtime Entry'!E210</f>
        <v>0</v>
      </c>
      <c r="F209" s="47" t="str">
        <f aca="false">'Fault &amp; Downtime Entry'!F210</f>
        <v/>
      </c>
      <c r="G209" s="47" t="n">
        <f aca="false">'Fault &amp; Downtime Entry'!G210</f>
        <v>0</v>
      </c>
      <c r="H209" s="47" t="str">
        <f aca="false">'Fault &amp; Downtime Entry'!H210</f>
        <v/>
      </c>
      <c r="I209" s="47" t="str">
        <f aca="false">'Fault &amp; Downtime Entry'!I210</f>
        <v/>
      </c>
      <c r="J209" s="47" t="n">
        <f aca="false">'Fault &amp; Downtime Entry'!J210</f>
        <v>0</v>
      </c>
      <c r="K209" s="47" t="n">
        <f aca="false">'Fault &amp; Downtime Entry'!K210</f>
        <v>0</v>
      </c>
      <c r="L209" s="47" t="n">
        <f aca="false">'Fault &amp; Downtime Entry'!L210</f>
        <v>0</v>
      </c>
      <c r="M209" s="47" t="str">
        <f aca="false">'Fault &amp; Downtime Entry'!M210</f>
        <v/>
      </c>
      <c r="N209" s="47" t="n">
        <f aca="false">'Fault &amp; Downtime Entry'!N210</f>
        <v>0</v>
      </c>
      <c r="O209" s="47" t="n">
        <f aca="false">'Fault &amp; Downtime Entry'!O210</f>
        <v>0</v>
      </c>
      <c r="P209" s="47" t="str">
        <f aca="false">IF(OR(J209="",K209=""),"",IFERROR(J209/K209*1000,0))</f>
        <v/>
      </c>
      <c r="Q209" s="47" t="str">
        <f aca="false">IF(OR(L209="",K209=""),"",IFERROR(L209/K209*1000,0))</f>
        <v/>
      </c>
      <c r="R209" s="47" t="str">
        <f aca="false">IF(OR(M209="High",M209="Critical"),"YES","")</f>
        <v/>
      </c>
    </row>
    <row r="210" customFormat="false" ht="15" hidden="false" customHeight="true" outlineLevel="0" collapsed="false">
      <c r="A210" s="47" t="n">
        <f aca="false">'Fault &amp; Downtime Entry'!A211</f>
        <v>206</v>
      </c>
      <c r="B210" s="48" t="n">
        <f aca="false">'Fault &amp; Downtime Entry'!B211</f>
        <v>0</v>
      </c>
      <c r="C210" s="47" t="n">
        <f aca="false">'Fault &amp; Downtime Entry'!C211</f>
        <v>0</v>
      </c>
      <c r="D210" s="47" t="n">
        <f aca="false">'Fault &amp; Downtime Entry'!D211</f>
        <v>0</v>
      </c>
      <c r="E210" s="47" t="n">
        <f aca="false">'Fault &amp; Downtime Entry'!E211</f>
        <v>0</v>
      </c>
      <c r="F210" s="47" t="str">
        <f aca="false">'Fault &amp; Downtime Entry'!F211</f>
        <v/>
      </c>
      <c r="G210" s="47" t="n">
        <f aca="false">'Fault &amp; Downtime Entry'!G211</f>
        <v>0</v>
      </c>
      <c r="H210" s="47" t="str">
        <f aca="false">'Fault &amp; Downtime Entry'!H211</f>
        <v/>
      </c>
      <c r="I210" s="47" t="str">
        <f aca="false">'Fault &amp; Downtime Entry'!I211</f>
        <v/>
      </c>
      <c r="J210" s="47" t="n">
        <f aca="false">'Fault &amp; Downtime Entry'!J211</f>
        <v>0</v>
      </c>
      <c r="K210" s="47" t="n">
        <f aca="false">'Fault &amp; Downtime Entry'!K211</f>
        <v>0</v>
      </c>
      <c r="L210" s="47" t="n">
        <f aca="false">'Fault &amp; Downtime Entry'!L211</f>
        <v>0</v>
      </c>
      <c r="M210" s="47" t="str">
        <f aca="false">'Fault &amp; Downtime Entry'!M211</f>
        <v/>
      </c>
      <c r="N210" s="47" t="n">
        <f aca="false">'Fault &amp; Downtime Entry'!N211</f>
        <v>0</v>
      </c>
      <c r="O210" s="47" t="n">
        <f aca="false">'Fault &amp; Downtime Entry'!O211</f>
        <v>0</v>
      </c>
      <c r="P210" s="47" t="str">
        <f aca="false">IF(OR(J210="",K210=""),"",IFERROR(J210/K210*1000,0))</f>
        <v/>
      </c>
      <c r="Q210" s="47" t="str">
        <f aca="false">IF(OR(L210="",K210=""),"",IFERROR(L210/K210*1000,0))</f>
        <v/>
      </c>
      <c r="R210" s="47" t="str">
        <f aca="false">IF(OR(M210="High",M210="Critical"),"YES","")</f>
        <v/>
      </c>
    </row>
    <row r="211" customFormat="false" ht="15" hidden="false" customHeight="true" outlineLevel="0" collapsed="false">
      <c r="A211" s="47" t="n">
        <f aca="false">'Fault &amp; Downtime Entry'!A212</f>
        <v>207</v>
      </c>
      <c r="B211" s="48" t="n">
        <f aca="false">'Fault &amp; Downtime Entry'!B212</f>
        <v>0</v>
      </c>
      <c r="C211" s="47" t="n">
        <f aca="false">'Fault &amp; Downtime Entry'!C212</f>
        <v>0</v>
      </c>
      <c r="D211" s="47" t="n">
        <f aca="false">'Fault &amp; Downtime Entry'!D212</f>
        <v>0</v>
      </c>
      <c r="E211" s="47" t="n">
        <f aca="false">'Fault &amp; Downtime Entry'!E212</f>
        <v>0</v>
      </c>
      <c r="F211" s="47" t="str">
        <f aca="false">'Fault &amp; Downtime Entry'!F212</f>
        <v/>
      </c>
      <c r="G211" s="47" t="n">
        <f aca="false">'Fault &amp; Downtime Entry'!G212</f>
        <v>0</v>
      </c>
      <c r="H211" s="47" t="str">
        <f aca="false">'Fault &amp; Downtime Entry'!H212</f>
        <v/>
      </c>
      <c r="I211" s="47" t="str">
        <f aca="false">'Fault &amp; Downtime Entry'!I212</f>
        <v/>
      </c>
      <c r="J211" s="47" t="n">
        <f aca="false">'Fault &amp; Downtime Entry'!J212</f>
        <v>0</v>
      </c>
      <c r="K211" s="47" t="n">
        <f aca="false">'Fault &amp; Downtime Entry'!K212</f>
        <v>0</v>
      </c>
      <c r="L211" s="47" t="n">
        <f aca="false">'Fault &amp; Downtime Entry'!L212</f>
        <v>0</v>
      </c>
      <c r="M211" s="47" t="str">
        <f aca="false">'Fault &amp; Downtime Entry'!M212</f>
        <v/>
      </c>
      <c r="N211" s="47" t="n">
        <f aca="false">'Fault &amp; Downtime Entry'!N212</f>
        <v>0</v>
      </c>
      <c r="O211" s="47" t="n">
        <f aca="false">'Fault &amp; Downtime Entry'!O212</f>
        <v>0</v>
      </c>
      <c r="P211" s="47" t="str">
        <f aca="false">IF(OR(J211="",K211=""),"",IFERROR(J211/K211*1000,0))</f>
        <v/>
      </c>
      <c r="Q211" s="47" t="str">
        <f aca="false">IF(OR(L211="",K211=""),"",IFERROR(L211/K211*1000,0))</f>
        <v/>
      </c>
      <c r="R211" s="47" t="str">
        <f aca="false">IF(OR(M211="High",M211="Critical"),"YES","")</f>
        <v/>
      </c>
    </row>
    <row r="212" customFormat="false" ht="15" hidden="false" customHeight="true" outlineLevel="0" collapsed="false">
      <c r="A212" s="47" t="n">
        <f aca="false">'Fault &amp; Downtime Entry'!A213</f>
        <v>208</v>
      </c>
      <c r="B212" s="48" t="n">
        <f aca="false">'Fault &amp; Downtime Entry'!B213</f>
        <v>0</v>
      </c>
      <c r="C212" s="47" t="n">
        <f aca="false">'Fault &amp; Downtime Entry'!C213</f>
        <v>0</v>
      </c>
      <c r="D212" s="47" t="n">
        <f aca="false">'Fault &amp; Downtime Entry'!D213</f>
        <v>0</v>
      </c>
      <c r="E212" s="47" t="n">
        <f aca="false">'Fault &amp; Downtime Entry'!E213</f>
        <v>0</v>
      </c>
      <c r="F212" s="47" t="str">
        <f aca="false">'Fault &amp; Downtime Entry'!F213</f>
        <v/>
      </c>
      <c r="G212" s="47" t="n">
        <f aca="false">'Fault &amp; Downtime Entry'!G213</f>
        <v>0</v>
      </c>
      <c r="H212" s="47" t="str">
        <f aca="false">'Fault &amp; Downtime Entry'!H213</f>
        <v/>
      </c>
      <c r="I212" s="47" t="str">
        <f aca="false">'Fault &amp; Downtime Entry'!I213</f>
        <v/>
      </c>
      <c r="J212" s="47" t="n">
        <f aca="false">'Fault &amp; Downtime Entry'!J213</f>
        <v>0</v>
      </c>
      <c r="K212" s="47" t="n">
        <f aca="false">'Fault &amp; Downtime Entry'!K213</f>
        <v>0</v>
      </c>
      <c r="L212" s="47" t="n">
        <f aca="false">'Fault &amp; Downtime Entry'!L213</f>
        <v>0</v>
      </c>
      <c r="M212" s="47" t="str">
        <f aca="false">'Fault &amp; Downtime Entry'!M213</f>
        <v/>
      </c>
      <c r="N212" s="47" t="n">
        <f aca="false">'Fault &amp; Downtime Entry'!N213</f>
        <v>0</v>
      </c>
      <c r="O212" s="47" t="n">
        <f aca="false">'Fault &amp; Downtime Entry'!O213</f>
        <v>0</v>
      </c>
      <c r="P212" s="47" t="str">
        <f aca="false">IF(OR(J212="",K212=""),"",IFERROR(J212/K212*1000,0))</f>
        <v/>
      </c>
      <c r="Q212" s="47" t="str">
        <f aca="false">IF(OR(L212="",K212=""),"",IFERROR(L212/K212*1000,0))</f>
        <v/>
      </c>
      <c r="R212" s="47" t="str">
        <f aca="false">IF(OR(M212="High",M212="Critical"),"YES","")</f>
        <v/>
      </c>
    </row>
    <row r="213" customFormat="false" ht="15" hidden="false" customHeight="true" outlineLevel="0" collapsed="false">
      <c r="A213" s="47" t="n">
        <f aca="false">'Fault &amp; Downtime Entry'!A214</f>
        <v>209</v>
      </c>
      <c r="B213" s="48" t="n">
        <f aca="false">'Fault &amp; Downtime Entry'!B214</f>
        <v>0</v>
      </c>
      <c r="C213" s="47" t="n">
        <f aca="false">'Fault &amp; Downtime Entry'!C214</f>
        <v>0</v>
      </c>
      <c r="D213" s="47" t="n">
        <f aca="false">'Fault &amp; Downtime Entry'!D214</f>
        <v>0</v>
      </c>
      <c r="E213" s="47" t="n">
        <f aca="false">'Fault &amp; Downtime Entry'!E214</f>
        <v>0</v>
      </c>
      <c r="F213" s="47" t="str">
        <f aca="false">'Fault &amp; Downtime Entry'!F214</f>
        <v/>
      </c>
      <c r="G213" s="47" t="n">
        <f aca="false">'Fault &amp; Downtime Entry'!G214</f>
        <v>0</v>
      </c>
      <c r="H213" s="47" t="str">
        <f aca="false">'Fault &amp; Downtime Entry'!H214</f>
        <v/>
      </c>
      <c r="I213" s="47" t="str">
        <f aca="false">'Fault &amp; Downtime Entry'!I214</f>
        <v/>
      </c>
      <c r="J213" s="47" t="n">
        <f aca="false">'Fault &amp; Downtime Entry'!J214</f>
        <v>0</v>
      </c>
      <c r="K213" s="47" t="n">
        <f aca="false">'Fault &amp; Downtime Entry'!K214</f>
        <v>0</v>
      </c>
      <c r="L213" s="47" t="n">
        <f aca="false">'Fault &amp; Downtime Entry'!L214</f>
        <v>0</v>
      </c>
      <c r="M213" s="47" t="str">
        <f aca="false">'Fault &amp; Downtime Entry'!M214</f>
        <v/>
      </c>
      <c r="N213" s="47" t="n">
        <f aca="false">'Fault &amp; Downtime Entry'!N214</f>
        <v>0</v>
      </c>
      <c r="O213" s="47" t="n">
        <f aca="false">'Fault &amp; Downtime Entry'!O214</f>
        <v>0</v>
      </c>
      <c r="P213" s="47" t="str">
        <f aca="false">IF(OR(J213="",K213=""),"",IFERROR(J213/K213*1000,0))</f>
        <v/>
      </c>
      <c r="Q213" s="47" t="str">
        <f aca="false">IF(OR(L213="",K213=""),"",IFERROR(L213/K213*1000,0))</f>
        <v/>
      </c>
      <c r="R213" s="47" t="str">
        <f aca="false">IF(OR(M213="High",M213="Critical"),"YES","")</f>
        <v/>
      </c>
    </row>
    <row r="214" customFormat="false" ht="15" hidden="false" customHeight="true" outlineLevel="0" collapsed="false">
      <c r="A214" s="47" t="n">
        <f aca="false">'Fault &amp; Downtime Entry'!A215</f>
        <v>210</v>
      </c>
      <c r="B214" s="48" t="n">
        <f aca="false">'Fault &amp; Downtime Entry'!B215</f>
        <v>0</v>
      </c>
      <c r="C214" s="47" t="n">
        <f aca="false">'Fault &amp; Downtime Entry'!C215</f>
        <v>0</v>
      </c>
      <c r="D214" s="47" t="n">
        <f aca="false">'Fault &amp; Downtime Entry'!D215</f>
        <v>0</v>
      </c>
      <c r="E214" s="47" t="n">
        <f aca="false">'Fault &amp; Downtime Entry'!E215</f>
        <v>0</v>
      </c>
      <c r="F214" s="47" t="str">
        <f aca="false">'Fault &amp; Downtime Entry'!F215</f>
        <v/>
      </c>
      <c r="G214" s="47" t="n">
        <f aca="false">'Fault &amp; Downtime Entry'!G215</f>
        <v>0</v>
      </c>
      <c r="H214" s="47" t="str">
        <f aca="false">'Fault &amp; Downtime Entry'!H215</f>
        <v/>
      </c>
      <c r="I214" s="47" t="str">
        <f aca="false">'Fault &amp; Downtime Entry'!I215</f>
        <v/>
      </c>
      <c r="J214" s="47" t="n">
        <f aca="false">'Fault &amp; Downtime Entry'!J215</f>
        <v>0</v>
      </c>
      <c r="K214" s="47" t="n">
        <f aca="false">'Fault &amp; Downtime Entry'!K215</f>
        <v>0</v>
      </c>
      <c r="L214" s="47" t="n">
        <f aca="false">'Fault &amp; Downtime Entry'!L215</f>
        <v>0</v>
      </c>
      <c r="M214" s="47" t="str">
        <f aca="false">'Fault &amp; Downtime Entry'!M215</f>
        <v/>
      </c>
      <c r="N214" s="47" t="n">
        <f aca="false">'Fault &amp; Downtime Entry'!N215</f>
        <v>0</v>
      </c>
      <c r="O214" s="47" t="n">
        <f aca="false">'Fault &amp; Downtime Entry'!O215</f>
        <v>0</v>
      </c>
      <c r="P214" s="47" t="str">
        <f aca="false">IF(OR(J214="",K214=""),"",IFERROR(J214/K214*1000,0))</f>
        <v/>
      </c>
      <c r="Q214" s="47" t="str">
        <f aca="false">IF(OR(L214="",K214=""),"",IFERROR(L214/K214*1000,0))</f>
        <v/>
      </c>
      <c r="R214" s="47" t="str">
        <f aca="false">IF(OR(M214="High",M214="Critical"),"YES","")</f>
        <v/>
      </c>
    </row>
    <row r="215" customFormat="false" ht="15" hidden="false" customHeight="true" outlineLevel="0" collapsed="false">
      <c r="A215" s="47" t="n">
        <f aca="false">'Fault &amp; Downtime Entry'!A216</f>
        <v>211</v>
      </c>
      <c r="B215" s="48" t="n">
        <f aca="false">'Fault &amp; Downtime Entry'!B216</f>
        <v>0</v>
      </c>
      <c r="C215" s="47" t="n">
        <f aca="false">'Fault &amp; Downtime Entry'!C216</f>
        <v>0</v>
      </c>
      <c r="D215" s="47" t="n">
        <f aca="false">'Fault &amp; Downtime Entry'!D216</f>
        <v>0</v>
      </c>
      <c r="E215" s="47" t="n">
        <f aca="false">'Fault &amp; Downtime Entry'!E216</f>
        <v>0</v>
      </c>
      <c r="F215" s="47" t="str">
        <f aca="false">'Fault &amp; Downtime Entry'!F216</f>
        <v/>
      </c>
      <c r="G215" s="47" t="n">
        <f aca="false">'Fault &amp; Downtime Entry'!G216</f>
        <v>0</v>
      </c>
      <c r="H215" s="47" t="str">
        <f aca="false">'Fault &amp; Downtime Entry'!H216</f>
        <v/>
      </c>
      <c r="I215" s="47" t="str">
        <f aca="false">'Fault &amp; Downtime Entry'!I216</f>
        <v/>
      </c>
      <c r="J215" s="47" t="n">
        <f aca="false">'Fault &amp; Downtime Entry'!J216</f>
        <v>0</v>
      </c>
      <c r="K215" s="47" t="n">
        <f aca="false">'Fault &amp; Downtime Entry'!K216</f>
        <v>0</v>
      </c>
      <c r="L215" s="47" t="n">
        <f aca="false">'Fault &amp; Downtime Entry'!L216</f>
        <v>0</v>
      </c>
      <c r="M215" s="47" t="str">
        <f aca="false">'Fault &amp; Downtime Entry'!M216</f>
        <v/>
      </c>
      <c r="N215" s="47" t="n">
        <f aca="false">'Fault &amp; Downtime Entry'!N216</f>
        <v>0</v>
      </c>
      <c r="O215" s="47" t="n">
        <f aca="false">'Fault &amp; Downtime Entry'!O216</f>
        <v>0</v>
      </c>
      <c r="P215" s="47" t="str">
        <f aca="false">IF(OR(J215="",K215=""),"",IFERROR(J215/K215*1000,0))</f>
        <v/>
      </c>
      <c r="Q215" s="47" t="str">
        <f aca="false">IF(OR(L215="",K215=""),"",IFERROR(L215/K215*1000,0))</f>
        <v/>
      </c>
      <c r="R215" s="47" t="str">
        <f aca="false">IF(OR(M215="High",M215="Critical"),"YES","")</f>
        <v/>
      </c>
    </row>
    <row r="216" customFormat="false" ht="15" hidden="false" customHeight="true" outlineLevel="0" collapsed="false">
      <c r="A216" s="47" t="n">
        <f aca="false">'Fault &amp; Downtime Entry'!A217</f>
        <v>212</v>
      </c>
      <c r="B216" s="48" t="n">
        <f aca="false">'Fault &amp; Downtime Entry'!B217</f>
        <v>0</v>
      </c>
      <c r="C216" s="47" t="n">
        <f aca="false">'Fault &amp; Downtime Entry'!C217</f>
        <v>0</v>
      </c>
      <c r="D216" s="47" t="n">
        <f aca="false">'Fault &amp; Downtime Entry'!D217</f>
        <v>0</v>
      </c>
      <c r="E216" s="47" t="n">
        <f aca="false">'Fault &amp; Downtime Entry'!E217</f>
        <v>0</v>
      </c>
      <c r="F216" s="47" t="str">
        <f aca="false">'Fault &amp; Downtime Entry'!F217</f>
        <v/>
      </c>
      <c r="G216" s="47" t="n">
        <f aca="false">'Fault &amp; Downtime Entry'!G217</f>
        <v>0</v>
      </c>
      <c r="H216" s="47" t="str">
        <f aca="false">'Fault &amp; Downtime Entry'!H217</f>
        <v/>
      </c>
      <c r="I216" s="47" t="str">
        <f aca="false">'Fault &amp; Downtime Entry'!I217</f>
        <v/>
      </c>
      <c r="J216" s="47" t="n">
        <f aca="false">'Fault &amp; Downtime Entry'!J217</f>
        <v>0</v>
      </c>
      <c r="K216" s="47" t="n">
        <f aca="false">'Fault &amp; Downtime Entry'!K217</f>
        <v>0</v>
      </c>
      <c r="L216" s="47" t="n">
        <f aca="false">'Fault &amp; Downtime Entry'!L217</f>
        <v>0</v>
      </c>
      <c r="M216" s="47" t="str">
        <f aca="false">'Fault &amp; Downtime Entry'!M217</f>
        <v/>
      </c>
      <c r="N216" s="47" t="n">
        <f aca="false">'Fault &amp; Downtime Entry'!N217</f>
        <v>0</v>
      </c>
      <c r="O216" s="47" t="n">
        <f aca="false">'Fault &amp; Downtime Entry'!O217</f>
        <v>0</v>
      </c>
      <c r="P216" s="47" t="str">
        <f aca="false">IF(OR(J216="",K216=""),"",IFERROR(J216/K216*1000,0))</f>
        <v/>
      </c>
      <c r="Q216" s="47" t="str">
        <f aca="false">IF(OR(L216="",K216=""),"",IFERROR(L216/K216*1000,0))</f>
        <v/>
      </c>
      <c r="R216" s="47" t="str">
        <f aca="false">IF(OR(M216="High",M216="Critical"),"YES","")</f>
        <v/>
      </c>
    </row>
    <row r="217" customFormat="false" ht="15" hidden="false" customHeight="true" outlineLevel="0" collapsed="false">
      <c r="A217" s="47" t="n">
        <f aca="false">'Fault &amp; Downtime Entry'!A218</f>
        <v>213</v>
      </c>
      <c r="B217" s="48" t="n">
        <f aca="false">'Fault &amp; Downtime Entry'!B218</f>
        <v>0</v>
      </c>
      <c r="C217" s="47" t="n">
        <f aca="false">'Fault &amp; Downtime Entry'!C218</f>
        <v>0</v>
      </c>
      <c r="D217" s="47" t="n">
        <f aca="false">'Fault &amp; Downtime Entry'!D218</f>
        <v>0</v>
      </c>
      <c r="E217" s="47" t="n">
        <f aca="false">'Fault &amp; Downtime Entry'!E218</f>
        <v>0</v>
      </c>
      <c r="F217" s="47" t="str">
        <f aca="false">'Fault &amp; Downtime Entry'!F218</f>
        <v/>
      </c>
      <c r="G217" s="47" t="n">
        <f aca="false">'Fault &amp; Downtime Entry'!G218</f>
        <v>0</v>
      </c>
      <c r="H217" s="47" t="str">
        <f aca="false">'Fault &amp; Downtime Entry'!H218</f>
        <v/>
      </c>
      <c r="I217" s="47" t="str">
        <f aca="false">'Fault &amp; Downtime Entry'!I218</f>
        <v/>
      </c>
      <c r="J217" s="47" t="n">
        <f aca="false">'Fault &amp; Downtime Entry'!J218</f>
        <v>0</v>
      </c>
      <c r="K217" s="47" t="n">
        <f aca="false">'Fault &amp; Downtime Entry'!K218</f>
        <v>0</v>
      </c>
      <c r="L217" s="47" t="n">
        <f aca="false">'Fault &amp; Downtime Entry'!L218</f>
        <v>0</v>
      </c>
      <c r="M217" s="47" t="str">
        <f aca="false">'Fault &amp; Downtime Entry'!M218</f>
        <v/>
      </c>
      <c r="N217" s="47" t="n">
        <f aca="false">'Fault &amp; Downtime Entry'!N218</f>
        <v>0</v>
      </c>
      <c r="O217" s="47" t="n">
        <f aca="false">'Fault &amp; Downtime Entry'!O218</f>
        <v>0</v>
      </c>
      <c r="P217" s="47" t="str">
        <f aca="false">IF(OR(J217="",K217=""),"",IFERROR(J217/K217*1000,0))</f>
        <v/>
      </c>
      <c r="Q217" s="47" t="str">
        <f aca="false">IF(OR(L217="",K217=""),"",IFERROR(L217/K217*1000,0))</f>
        <v/>
      </c>
      <c r="R217" s="47" t="str">
        <f aca="false">IF(OR(M217="High",M217="Critical"),"YES","")</f>
        <v/>
      </c>
    </row>
    <row r="218" customFormat="false" ht="15" hidden="false" customHeight="true" outlineLevel="0" collapsed="false">
      <c r="A218" s="47" t="n">
        <f aca="false">'Fault &amp; Downtime Entry'!A219</f>
        <v>214</v>
      </c>
      <c r="B218" s="48" t="n">
        <f aca="false">'Fault &amp; Downtime Entry'!B219</f>
        <v>0</v>
      </c>
      <c r="C218" s="47" t="n">
        <f aca="false">'Fault &amp; Downtime Entry'!C219</f>
        <v>0</v>
      </c>
      <c r="D218" s="47" t="n">
        <f aca="false">'Fault &amp; Downtime Entry'!D219</f>
        <v>0</v>
      </c>
      <c r="E218" s="47" t="n">
        <f aca="false">'Fault &amp; Downtime Entry'!E219</f>
        <v>0</v>
      </c>
      <c r="F218" s="47" t="str">
        <f aca="false">'Fault &amp; Downtime Entry'!F219</f>
        <v/>
      </c>
      <c r="G218" s="47" t="n">
        <f aca="false">'Fault &amp; Downtime Entry'!G219</f>
        <v>0</v>
      </c>
      <c r="H218" s="47" t="str">
        <f aca="false">'Fault &amp; Downtime Entry'!H219</f>
        <v/>
      </c>
      <c r="I218" s="47" t="str">
        <f aca="false">'Fault &amp; Downtime Entry'!I219</f>
        <v/>
      </c>
      <c r="J218" s="47" t="n">
        <f aca="false">'Fault &amp; Downtime Entry'!J219</f>
        <v>0</v>
      </c>
      <c r="K218" s="47" t="n">
        <f aca="false">'Fault &amp; Downtime Entry'!K219</f>
        <v>0</v>
      </c>
      <c r="L218" s="47" t="n">
        <f aca="false">'Fault &amp; Downtime Entry'!L219</f>
        <v>0</v>
      </c>
      <c r="M218" s="47" t="str">
        <f aca="false">'Fault &amp; Downtime Entry'!M219</f>
        <v/>
      </c>
      <c r="N218" s="47" t="n">
        <f aca="false">'Fault &amp; Downtime Entry'!N219</f>
        <v>0</v>
      </c>
      <c r="O218" s="47" t="n">
        <f aca="false">'Fault &amp; Downtime Entry'!O219</f>
        <v>0</v>
      </c>
      <c r="P218" s="47" t="str">
        <f aca="false">IF(OR(J218="",K218=""),"",IFERROR(J218/K218*1000,0))</f>
        <v/>
      </c>
      <c r="Q218" s="47" t="str">
        <f aca="false">IF(OR(L218="",K218=""),"",IFERROR(L218/K218*1000,0))</f>
        <v/>
      </c>
      <c r="R218" s="47" t="str">
        <f aca="false">IF(OR(M218="High",M218="Critical"),"YES","")</f>
        <v/>
      </c>
    </row>
    <row r="219" customFormat="false" ht="15" hidden="false" customHeight="true" outlineLevel="0" collapsed="false">
      <c r="A219" s="47" t="n">
        <f aca="false">'Fault &amp; Downtime Entry'!A220</f>
        <v>215</v>
      </c>
      <c r="B219" s="48" t="n">
        <f aca="false">'Fault &amp; Downtime Entry'!B220</f>
        <v>0</v>
      </c>
      <c r="C219" s="47" t="n">
        <f aca="false">'Fault &amp; Downtime Entry'!C220</f>
        <v>0</v>
      </c>
      <c r="D219" s="47" t="n">
        <f aca="false">'Fault &amp; Downtime Entry'!D220</f>
        <v>0</v>
      </c>
      <c r="E219" s="47" t="n">
        <f aca="false">'Fault &amp; Downtime Entry'!E220</f>
        <v>0</v>
      </c>
      <c r="F219" s="47" t="str">
        <f aca="false">'Fault &amp; Downtime Entry'!F220</f>
        <v/>
      </c>
      <c r="G219" s="47" t="n">
        <f aca="false">'Fault &amp; Downtime Entry'!G220</f>
        <v>0</v>
      </c>
      <c r="H219" s="47" t="str">
        <f aca="false">'Fault &amp; Downtime Entry'!H220</f>
        <v/>
      </c>
      <c r="I219" s="47" t="str">
        <f aca="false">'Fault &amp; Downtime Entry'!I220</f>
        <v/>
      </c>
      <c r="J219" s="47" t="n">
        <f aca="false">'Fault &amp; Downtime Entry'!J220</f>
        <v>0</v>
      </c>
      <c r="K219" s="47" t="n">
        <f aca="false">'Fault &amp; Downtime Entry'!K220</f>
        <v>0</v>
      </c>
      <c r="L219" s="47" t="n">
        <f aca="false">'Fault &amp; Downtime Entry'!L220</f>
        <v>0</v>
      </c>
      <c r="M219" s="47" t="str">
        <f aca="false">'Fault &amp; Downtime Entry'!M220</f>
        <v/>
      </c>
      <c r="N219" s="47" t="n">
        <f aca="false">'Fault &amp; Downtime Entry'!N220</f>
        <v>0</v>
      </c>
      <c r="O219" s="47" t="n">
        <f aca="false">'Fault &amp; Downtime Entry'!O220</f>
        <v>0</v>
      </c>
      <c r="P219" s="47" t="str">
        <f aca="false">IF(OR(J219="",K219=""),"",IFERROR(J219/K219*1000,0))</f>
        <v/>
      </c>
      <c r="Q219" s="47" t="str">
        <f aca="false">IF(OR(L219="",K219=""),"",IFERROR(L219/K219*1000,0))</f>
        <v/>
      </c>
      <c r="R219" s="47" t="str">
        <f aca="false">IF(OR(M219="High",M219="Critical"),"YES","")</f>
        <v/>
      </c>
    </row>
    <row r="220" customFormat="false" ht="15" hidden="false" customHeight="true" outlineLevel="0" collapsed="false">
      <c r="A220" s="47" t="n">
        <f aca="false">'Fault &amp; Downtime Entry'!A221</f>
        <v>216</v>
      </c>
      <c r="B220" s="48" t="n">
        <f aca="false">'Fault &amp; Downtime Entry'!B221</f>
        <v>0</v>
      </c>
      <c r="C220" s="47" t="n">
        <f aca="false">'Fault &amp; Downtime Entry'!C221</f>
        <v>0</v>
      </c>
      <c r="D220" s="47" t="n">
        <f aca="false">'Fault &amp; Downtime Entry'!D221</f>
        <v>0</v>
      </c>
      <c r="E220" s="47" t="n">
        <f aca="false">'Fault &amp; Downtime Entry'!E221</f>
        <v>0</v>
      </c>
      <c r="F220" s="47" t="str">
        <f aca="false">'Fault &amp; Downtime Entry'!F221</f>
        <v/>
      </c>
      <c r="G220" s="47" t="n">
        <f aca="false">'Fault &amp; Downtime Entry'!G221</f>
        <v>0</v>
      </c>
      <c r="H220" s="47" t="str">
        <f aca="false">'Fault &amp; Downtime Entry'!H221</f>
        <v/>
      </c>
      <c r="I220" s="47" t="str">
        <f aca="false">'Fault &amp; Downtime Entry'!I221</f>
        <v/>
      </c>
      <c r="J220" s="47" t="n">
        <f aca="false">'Fault &amp; Downtime Entry'!J221</f>
        <v>0</v>
      </c>
      <c r="K220" s="47" t="n">
        <f aca="false">'Fault &amp; Downtime Entry'!K221</f>
        <v>0</v>
      </c>
      <c r="L220" s="47" t="n">
        <f aca="false">'Fault &amp; Downtime Entry'!L221</f>
        <v>0</v>
      </c>
      <c r="M220" s="47" t="str">
        <f aca="false">'Fault &amp; Downtime Entry'!M221</f>
        <v/>
      </c>
      <c r="N220" s="47" t="n">
        <f aca="false">'Fault &amp; Downtime Entry'!N221</f>
        <v>0</v>
      </c>
      <c r="O220" s="47" t="n">
        <f aca="false">'Fault &amp; Downtime Entry'!O221</f>
        <v>0</v>
      </c>
      <c r="P220" s="47" t="str">
        <f aca="false">IF(OR(J220="",K220=""),"",IFERROR(J220/K220*1000,0))</f>
        <v/>
      </c>
      <c r="Q220" s="47" t="str">
        <f aca="false">IF(OR(L220="",K220=""),"",IFERROR(L220/K220*1000,0))</f>
        <v/>
      </c>
      <c r="R220" s="47" t="str">
        <f aca="false">IF(OR(M220="High",M220="Critical"),"YES","")</f>
        <v/>
      </c>
    </row>
    <row r="221" customFormat="false" ht="15" hidden="false" customHeight="true" outlineLevel="0" collapsed="false">
      <c r="A221" s="47" t="n">
        <f aca="false">'Fault &amp; Downtime Entry'!A222</f>
        <v>217</v>
      </c>
      <c r="B221" s="48" t="n">
        <f aca="false">'Fault &amp; Downtime Entry'!B222</f>
        <v>0</v>
      </c>
      <c r="C221" s="47" t="n">
        <f aca="false">'Fault &amp; Downtime Entry'!C222</f>
        <v>0</v>
      </c>
      <c r="D221" s="47" t="n">
        <f aca="false">'Fault &amp; Downtime Entry'!D222</f>
        <v>0</v>
      </c>
      <c r="E221" s="47" t="n">
        <f aca="false">'Fault &amp; Downtime Entry'!E222</f>
        <v>0</v>
      </c>
      <c r="F221" s="47" t="str">
        <f aca="false">'Fault &amp; Downtime Entry'!F222</f>
        <v/>
      </c>
      <c r="G221" s="47" t="n">
        <f aca="false">'Fault &amp; Downtime Entry'!G222</f>
        <v>0</v>
      </c>
      <c r="H221" s="47" t="str">
        <f aca="false">'Fault &amp; Downtime Entry'!H222</f>
        <v/>
      </c>
      <c r="I221" s="47" t="str">
        <f aca="false">'Fault &amp; Downtime Entry'!I222</f>
        <v/>
      </c>
      <c r="J221" s="47" t="n">
        <f aca="false">'Fault &amp; Downtime Entry'!J222</f>
        <v>0</v>
      </c>
      <c r="K221" s="47" t="n">
        <f aca="false">'Fault &amp; Downtime Entry'!K222</f>
        <v>0</v>
      </c>
      <c r="L221" s="47" t="n">
        <f aca="false">'Fault &amp; Downtime Entry'!L222</f>
        <v>0</v>
      </c>
      <c r="M221" s="47" t="str">
        <f aca="false">'Fault &amp; Downtime Entry'!M222</f>
        <v/>
      </c>
      <c r="N221" s="47" t="n">
        <f aca="false">'Fault &amp; Downtime Entry'!N222</f>
        <v>0</v>
      </c>
      <c r="O221" s="47" t="n">
        <f aca="false">'Fault &amp; Downtime Entry'!O222</f>
        <v>0</v>
      </c>
      <c r="P221" s="47" t="str">
        <f aca="false">IF(OR(J221="",K221=""),"",IFERROR(J221/K221*1000,0))</f>
        <v/>
      </c>
      <c r="Q221" s="47" t="str">
        <f aca="false">IF(OR(L221="",K221=""),"",IFERROR(L221/K221*1000,0))</f>
        <v/>
      </c>
      <c r="R221" s="47" t="str">
        <f aca="false">IF(OR(M221="High",M221="Critical"),"YES","")</f>
        <v/>
      </c>
    </row>
    <row r="222" customFormat="false" ht="15" hidden="false" customHeight="true" outlineLevel="0" collapsed="false">
      <c r="A222" s="47" t="n">
        <f aca="false">'Fault &amp; Downtime Entry'!A223</f>
        <v>218</v>
      </c>
      <c r="B222" s="48" t="n">
        <f aca="false">'Fault &amp; Downtime Entry'!B223</f>
        <v>0</v>
      </c>
      <c r="C222" s="47" t="n">
        <f aca="false">'Fault &amp; Downtime Entry'!C223</f>
        <v>0</v>
      </c>
      <c r="D222" s="47" t="n">
        <f aca="false">'Fault &amp; Downtime Entry'!D223</f>
        <v>0</v>
      </c>
      <c r="E222" s="47" t="n">
        <f aca="false">'Fault &amp; Downtime Entry'!E223</f>
        <v>0</v>
      </c>
      <c r="F222" s="47" t="str">
        <f aca="false">'Fault &amp; Downtime Entry'!F223</f>
        <v/>
      </c>
      <c r="G222" s="47" t="n">
        <f aca="false">'Fault &amp; Downtime Entry'!G223</f>
        <v>0</v>
      </c>
      <c r="H222" s="47" t="str">
        <f aca="false">'Fault &amp; Downtime Entry'!H223</f>
        <v/>
      </c>
      <c r="I222" s="47" t="str">
        <f aca="false">'Fault &amp; Downtime Entry'!I223</f>
        <v/>
      </c>
      <c r="J222" s="47" t="n">
        <f aca="false">'Fault &amp; Downtime Entry'!J223</f>
        <v>0</v>
      </c>
      <c r="K222" s="47" t="n">
        <f aca="false">'Fault &amp; Downtime Entry'!K223</f>
        <v>0</v>
      </c>
      <c r="L222" s="47" t="n">
        <f aca="false">'Fault &amp; Downtime Entry'!L223</f>
        <v>0</v>
      </c>
      <c r="M222" s="47" t="str">
        <f aca="false">'Fault &amp; Downtime Entry'!M223</f>
        <v/>
      </c>
      <c r="N222" s="47" t="n">
        <f aca="false">'Fault &amp; Downtime Entry'!N223</f>
        <v>0</v>
      </c>
      <c r="O222" s="47" t="n">
        <f aca="false">'Fault &amp; Downtime Entry'!O223</f>
        <v>0</v>
      </c>
      <c r="P222" s="47" t="str">
        <f aca="false">IF(OR(J222="",K222=""),"",IFERROR(J222/K222*1000,0))</f>
        <v/>
      </c>
      <c r="Q222" s="47" t="str">
        <f aca="false">IF(OR(L222="",K222=""),"",IFERROR(L222/K222*1000,0))</f>
        <v/>
      </c>
      <c r="R222" s="47" t="str">
        <f aca="false">IF(OR(M222="High",M222="Critical"),"YES","")</f>
        <v/>
      </c>
    </row>
    <row r="223" customFormat="false" ht="15" hidden="false" customHeight="true" outlineLevel="0" collapsed="false">
      <c r="A223" s="47" t="n">
        <f aca="false">'Fault &amp; Downtime Entry'!A224</f>
        <v>219</v>
      </c>
      <c r="B223" s="48" t="n">
        <f aca="false">'Fault &amp; Downtime Entry'!B224</f>
        <v>0</v>
      </c>
      <c r="C223" s="47" t="n">
        <f aca="false">'Fault &amp; Downtime Entry'!C224</f>
        <v>0</v>
      </c>
      <c r="D223" s="47" t="n">
        <f aca="false">'Fault &amp; Downtime Entry'!D224</f>
        <v>0</v>
      </c>
      <c r="E223" s="47" t="n">
        <f aca="false">'Fault &amp; Downtime Entry'!E224</f>
        <v>0</v>
      </c>
      <c r="F223" s="47" t="str">
        <f aca="false">'Fault &amp; Downtime Entry'!F224</f>
        <v/>
      </c>
      <c r="G223" s="47" t="n">
        <f aca="false">'Fault &amp; Downtime Entry'!G224</f>
        <v>0</v>
      </c>
      <c r="H223" s="47" t="str">
        <f aca="false">'Fault &amp; Downtime Entry'!H224</f>
        <v/>
      </c>
      <c r="I223" s="47" t="str">
        <f aca="false">'Fault &amp; Downtime Entry'!I224</f>
        <v/>
      </c>
      <c r="J223" s="47" t="n">
        <f aca="false">'Fault &amp; Downtime Entry'!J224</f>
        <v>0</v>
      </c>
      <c r="K223" s="47" t="n">
        <f aca="false">'Fault &amp; Downtime Entry'!K224</f>
        <v>0</v>
      </c>
      <c r="L223" s="47" t="n">
        <f aca="false">'Fault &amp; Downtime Entry'!L224</f>
        <v>0</v>
      </c>
      <c r="M223" s="47" t="str">
        <f aca="false">'Fault &amp; Downtime Entry'!M224</f>
        <v/>
      </c>
      <c r="N223" s="47" t="n">
        <f aca="false">'Fault &amp; Downtime Entry'!N224</f>
        <v>0</v>
      </c>
      <c r="O223" s="47" t="n">
        <f aca="false">'Fault &amp; Downtime Entry'!O224</f>
        <v>0</v>
      </c>
      <c r="P223" s="47" t="str">
        <f aca="false">IF(OR(J223="",K223=""),"",IFERROR(J223/K223*1000,0))</f>
        <v/>
      </c>
      <c r="Q223" s="47" t="str">
        <f aca="false">IF(OR(L223="",K223=""),"",IFERROR(L223/K223*1000,0))</f>
        <v/>
      </c>
      <c r="R223" s="47" t="str">
        <f aca="false">IF(OR(M223="High",M223="Critical"),"YES","")</f>
        <v/>
      </c>
    </row>
    <row r="224" customFormat="false" ht="15" hidden="false" customHeight="true" outlineLevel="0" collapsed="false">
      <c r="A224" s="47" t="n">
        <f aca="false">'Fault &amp; Downtime Entry'!A225</f>
        <v>220</v>
      </c>
      <c r="B224" s="48" t="n">
        <f aca="false">'Fault &amp; Downtime Entry'!B225</f>
        <v>0</v>
      </c>
      <c r="C224" s="47" t="n">
        <f aca="false">'Fault &amp; Downtime Entry'!C225</f>
        <v>0</v>
      </c>
      <c r="D224" s="47" t="n">
        <f aca="false">'Fault &amp; Downtime Entry'!D225</f>
        <v>0</v>
      </c>
      <c r="E224" s="47" t="n">
        <f aca="false">'Fault &amp; Downtime Entry'!E225</f>
        <v>0</v>
      </c>
      <c r="F224" s="47" t="str">
        <f aca="false">'Fault &amp; Downtime Entry'!F225</f>
        <v/>
      </c>
      <c r="G224" s="47" t="n">
        <f aca="false">'Fault &amp; Downtime Entry'!G225</f>
        <v>0</v>
      </c>
      <c r="H224" s="47" t="str">
        <f aca="false">'Fault &amp; Downtime Entry'!H225</f>
        <v/>
      </c>
      <c r="I224" s="47" t="str">
        <f aca="false">'Fault &amp; Downtime Entry'!I225</f>
        <v/>
      </c>
      <c r="J224" s="47" t="n">
        <f aca="false">'Fault &amp; Downtime Entry'!J225</f>
        <v>0</v>
      </c>
      <c r="K224" s="47" t="n">
        <f aca="false">'Fault &amp; Downtime Entry'!K225</f>
        <v>0</v>
      </c>
      <c r="L224" s="47" t="n">
        <f aca="false">'Fault &amp; Downtime Entry'!L225</f>
        <v>0</v>
      </c>
      <c r="M224" s="47" t="str">
        <f aca="false">'Fault &amp; Downtime Entry'!M225</f>
        <v/>
      </c>
      <c r="N224" s="47" t="n">
        <f aca="false">'Fault &amp; Downtime Entry'!N225</f>
        <v>0</v>
      </c>
      <c r="O224" s="47" t="n">
        <f aca="false">'Fault &amp; Downtime Entry'!O225</f>
        <v>0</v>
      </c>
      <c r="P224" s="47" t="str">
        <f aca="false">IF(OR(J224="",K224=""),"",IFERROR(J224/K224*1000,0))</f>
        <v/>
      </c>
      <c r="Q224" s="47" t="str">
        <f aca="false">IF(OR(L224="",K224=""),"",IFERROR(L224/K224*1000,0))</f>
        <v/>
      </c>
      <c r="R224" s="47" t="str">
        <f aca="false">IF(OR(M224="High",M224="Critical"),"YES","")</f>
        <v/>
      </c>
    </row>
    <row r="225" customFormat="false" ht="15" hidden="false" customHeight="true" outlineLevel="0" collapsed="false">
      <c r="A225" s="47" t="n">
        <f aca="false">'Fault &amp; Downtime Entry'!A226</f>
        <v>221</v>
      </c>
      <c r="B225" s="48" t="n">
        <f aca="false">'Fault &amp; Downtime Entry'!B226</f>
        <v>0</v>
      </c>
      <c r="C225" s="47" t="n">
        <f aca="false">'Fault &amp; Downtime Entry'!C226</f>
        <v>0</v>
      </c>
      <c r="D225" s="47" t="n">
        <f aca="false">'Fault &amp; Downtime Entry'!D226</f>
        <v>0</v>
      </c>
      <c r="E225" s="47" t="n">
        <f aca="false">'Fault &amp; Downtime Entry'!E226</f>
        <v>0</v>
      </c>
      <c r="F225" s="47" t="str">
        <f aca="false">'Fault &amp; Downtime Entry'!F226</f>
        <v/>
      </c>
      <c r="G225" s="47" t="n">
        <f aca="false">'Fault &amp; Downtime Entry'!G226</f>
        <v>0</v>
      </c>
      <c r="H225" s="47" t="str">
        <f aca="false">'Fault &amp; Downtime Entry'!H226</f>
        <v/>
      </c>
      <c r="I225" s="47" t="str">
        <f aca="false">'Fault &amp; Downtime Entry'!I226</f>
        <v/>
      </c>
      <c r="J225" s="47" t="n">
        <f aca="false">'Fault &amp; Downtime Entry'!J226</f>
        <v>0</v>
      </c>
      <c r="K225" s="47" t="n">
        <f aca="false">'Fault &amp; Downtime Entry'!K226</f>
        <v>0</v>
      </c>
      <c r="L225" s="47" t="n">
        <f aca="false">'Fault &amp; Downtime Entry'!L226</f>
        <v>0</v>
      </c>
      <c r="M225" s="47" t="str">
        <f aca="false">'Fault &amp; Downtime Entry'!M226</f>
        <v/>
      </c>
      <c r="N225" s="47" t="n">
        <f aca="false">'Fault &amp; Downtime Entry'!N226</f>
        <v>0</v>
      </c>
      <c r="O225" s="47" t="n">
        <f aca="false">'Fault &amp; Downtime Entry'!O226</f>
        <v>0</v>
      </c>
      <c r="P225" s="47" t="str">
        <f aca="false">IF(OR(J225="",K225=""),"",IFERROR(J225/K225*1000,0))</f>
        <v/>
      </c>
      <c r="Q225" s="47" t="str">
        <f aca="false">IF(OR(L225="",K225=""),"",IFERROR(L225/K225*1000,0))</f>
        <v/>
      </c>
      <c r="R225" s="47" t="str">
        <f aca="false">IF(OR(M225="High",M225="Critical"),"YES","")</f>
        <v/>
      </c>
    </row>
    <row r="226" customFormat="false" ht="15" hidden="false" customHeight="true" outlineLevel="0" collapsed="false">
      <c r="A226" s="47" t="n">
        <f aca="false">'Fault &amp; Downtime Entry'!A227</f>
        <v>222</v>
      </c>
      <c r="B226" s="48" t="n">
        <f aca="false">'Fault &amp; Downtime Entry'!B227</f>
        <v>0</v>
      </c>
      <c r="C226" s="47" t="n">
        <f aca="false">'Fault &amp; Downtime Entry'!C227</f>
        <v>0</v>
      </c>
      <c r="D226" s="47" t="n">
        <f aca="false">'Fault &amp; Downtime Entry'!D227</f>
        <v>0</v>
      </c>
      <c r="E226" s="47" t="n">
        <f aca="false">'Fault &amp; Downtime Entry'!E227</f>
        <v>0</v>
      </c>
      <c r="F226" s="47" t="str">
        <f aca="false">'Fault &amp; Downtime Entry'!F227</f>
        <v/>
      </c>
      <c r="G226" s="47" t="n">
        <f aca="false">'Fault &amp; Downtime Entry'!G227</f>
        <v>0</v>
      </c>
      <c r="H226" s="47" t="str">
        <f aca="false">'Fault &amp; Downtime Entry'!H227</f>
        <v/>
      </c>
      <c r="I226" s="47" t="str">
        <f aca="false">'Fault &amp; Downtime Entry'!I227</f>
        <v/>
      </c>
      <c r="J226" s="47" t="n">
        <f aca="false">'Fault &amp; Downtime Entry'!J227</f>
        <v>0</v>
      </c>
      <c r="K226" s="47" t="n">
        <f aca="false">'Fault &amp; Downtime Entry'!K227</f>
        <v>0</v>
      </c>
      <c r="L226" s="47" t="n">
        <f aca="false">'Fault &amp; Downtime Entry'!L227</f>
        <v>0</v>
      </c>
      <c r="M226" s="47" t="str">
        <f aca="false">'Fault &amp; Downtime Entry'!M227</f>
        <v/>
      </c>
      <c r="N226" s="47" t="n">
        <f aca="false">'Fault &amp; Downtime Entry'!N227</f>
        <v>0</v>
      </c>
      <c r="O226" s="47" t="n">
        <f aca="false">'Fault &amp; Downtime Entry'!O227</f>
        <v>0</v>
      </c>
      <c r="P226" s="47" t="str">
        <f aca="false">IF(OR(J226="",K226=""),"",IFERROR(J226/K226*1000,0))</f>
        <v/>
      </c>
      <c r="Q226" s="47" t="str">
        <f aca="false">IF(OR(L226="",K226=""),"",IFERROR(L226/K226*1000,0))</f>
        <v/>
      </c>
      <c r="R226" s="47" t="str">
        <f aca="false">IF(OR(M226="High",M226="Critical"),"YES","")</f>
        <v/>
      </c>
    </row>
    <row r="227" customFormat="false" ht="15" hidden="false" customHeight="true" outlineLevel="0" collapsed="false">
      <c r="A227" s="47" t="n">
        <f aca="false">'Fault &amp; Downtime Entry'!A228</f>
        <v>223</v>
      </c>
      <c r="B227" s="48" t="n">
        <f aca="false">'Fault &amp; Downtime Entry'!B228</f>
        <v>0</v>
      </c>
      <c r="C227" s="47" t="n">
        <f aca="false">'Fault &amp; Downtime Entry'!C228</f>
        <v>0</v>
      </c>
      <c r="D227" s="47" t="n">
        <f aca="false">'Fault &amp; Downtime Entry'!D228</f>
        <v>0</v>
      </c>
      <c r="E227" s="47" t="n">
        <f aca="false">'Fault &amp; Downtime Entry'!E228</f>
        <v>0</v>
      </c>
      <c r="F227" s="47" t="str">
        <f aca="false">'Fault &amp; Downtime Entry'!F228</f>
        <v/>
      </c>
      <c r="G227" s="47" t="n">
        <f aca="false">'Fault &amp; Downtime Entry'!G228</f>
        <v>0</v>
      </c>
      <c r="H227" s="47" t="str">
        <f aca="false">'Fault &amp; Downtime Entry'!H228</f>
        <v/>
      </c>
      <c r="I227" s="47" t="str">
        <f aca="false">'Fault &amp; Downtime Entry'!I228</f>
        <v/>
      </c>
      <c r="J227" s="47" t="n">
        <f aca="false">'Fault &amp; Downtime Entry'!J228</f>
        <v>0</v>
      </c>
      <c r="K227" s="47" t="n">
        <f aca="false">'Fault &amp; Downtime Entry'!K228</f>
        <v>0</v>
      </c>
      <c r="L227" s="47" t="n">
        <f aca="false">'Fault &amp; Downtime Entry'!L228</f>
        <v>0</v>
      </c>
      <c r="M227" s="47" t="str">
        <f aca="false">'Fault &amp; Downtime Entry'!M228</f>
        <v/>
      </c>
      <c r="N227" s="47" t="n">
        <f aca="false">'Fault &amp; Downtime Entry'!N228</f>
        <v>0</v>
      </c>
      <c r="O227" s="47" t="n">
        <f aca="false">'Fault &amp; Downtime Entry'!O228</f>
        <v>0</v>
      </c>
      <c r="P227" s="47" t="str">
        <f aca="false">IF(OR(J227="",K227=""),"",IFERROR(J227/K227*1000,0))</f>
        <v/>
      </c>
      <c r="Q227" s="47" t="str">
        <f aca="false">IF(OR(L227="",K227=""),"",IFERROR(L227/K227*1000,0))</f>
        <v/>
      </c>
      <c r="R227" s="47" t="str">
        <f aca="false">IF(OR(M227="High",M227="Critical"),"YES","")</f>
        <v/>
      </c>
    </row>
    <row r="228" customFormat="false" ht="15" hidden="false" customHeight="true" outlineLevel="0" collapsed="false">
      <c r="A228" s="47" t="n">
        <f aca="false">'Fault &amp; Downtime Entry'!A229</f>
        <v>224</v>
      </c>
      <c r="B228" s="48" t="n">
        <f aca="false">'Fault &amp; Downtime Entry'!B229</f>
        <v>0</v>
      </c>
      <c r="C228" s="47" t="n">
        <f aca="false">'Fault &amp; Downtime Entry'!C229</f>
        <v>0</v>
      </c>
      <c r="D228" s="47" t="n">
        <f aca="false">'Fault &amp; Downtime Entry'!D229</f>
        <v>0</v>
      </c>
      <c r="E228" s="47" t="n">
        <f aca="false">'Fault &amp; Downtime Entry'!E229</f>
        <v>0</v>
      </c>
      <c r="F228" s="47" t="str">
        <f aca="false">'Fault &amp; Downtime Entry'!F229</f>
        <v/>
      </c>
      <c r="G228" s="47" t="n">
        <f aca="false">'Fault &amp; Downtime Entry'!G229</f>
        <v>0</v>
      </c>
      <c r="H228" s="47" t="str">
        <f aca="false">'Fault &amp; Downtime Entry'!H229</f>
        <v/>
      </c>
      <c r="I228" s="47" t="str">
        <f aca="false">'Fault &amp; Downtime Entry'!I229</f>
        <v/>
      </c>
      <c r="J228" s="47" t="n">
        <f aca="false">'Fault &amp; Downtime Entry'!J229</f>
        <v>0</v>
      </c>
      <c r="K228" s="47" t="n">
        <f aca="false">'Fault &amp; Downtime Entry'!K229</f>
        <v>0</v>
      </c>
      <c r="L228" s="47" t="n">
        <f aca="false">'Fault &amp; Downtime Entry'!L229</f>
        <v>0</v>
      </c>
      <c r="M228" s="47" t="str">
        <f aca="false">'Fault &amp; Downtime Entry'!M229</f>
        <v/>
      </c>
      <c r="N228" s="47" t="n">
        <f aca="false">'Fault &amp; Downtime Entry'!N229</f>
        <v>0</v>
      </c>
      <c r="O228" s="47" t="n">
        <f aca="false">'Fault &amp; Downtime Entry'!O229</f>
        <v>0</v>
      </c>
      <c r="P228" s="47" t="str">
        <f aca="false">IF(OR(J228="",K228=""),"",IFERROR(J228/K228*1000,0))</f>
        <v/>
      </c>
      <c r="Q228" s="47" t="str">
        <f aca="false">IF(OR(L228="",K228=""),"",IFERROR(L228/K228*1000,0))</f>
        <v/>
      </c>
      <c r="R228" s="47" t="str">
        <f aca="false">IF(OR(M228="High",M228="Critical"),"YES","")</f>
        <v/>
      </c>
    </row>
    <row r="229" customFormat="false" ht="15" hidden="false" customHeight="true" outlineLevel="0" collapsed="false">
      <c r="A229" s="47" t="n">
        <f aca="false">'Fault &amp; Downtime Entry'!A230</f>
        <v>225</v>
      </c>
      <c r="B229" s="48" t="n">
        <f aca="false">'Fault &amp; Downtime Entry'!B230</f>
        <v>0</v>
      </c>
      <c r="C229" s="47" t="n">
        <f aca="false">'Fault &amp; Downtime Entry'!C230</f>
        <v>0</v>
      </c>
      <c r="D229" s="47" t="n">
        <f aca="false">'Fault &amp; Downtime Entry'!D230</f>
        <v>0</v>
      </c>
      <c r="E229" s="47" t="n">
        <f aca="false">'Fault &amp; Downtime Entry'!E230</f>
        <v>0</v>
      </c>
      <c r="F229" s="47" t="str">
        <f aca="false">'Fault &amp; Downtime Entry'!F230</f>
        <v/>
      </c>
      <c r="G229" s="47" t="n">
        <f aca="false">'Fault &amp; Downtime Entry'!G230</f>
        <v>0</v>
      </c>
      <c r="H229" s="47" t="str">
        <f aca="false">'Fault &amp; Downtime Entry'!H230</f>
        <v/>
      </c>
      <c r="I229" s="47" t="str">
        <f aca="false">'Fault &amp; Downtime Entry'!I230</f>
        <v/>
      </c>
      <c r="J229" s="47" t="n">
        <f aca="false">'Fault &amp; Downtime Entry'!J230</f>
        <v>0</v>
      </c>
      <c r="K229" s="47" t="n">
        <f aca="false">'Fault &amp; Downtime Entry'!K230</f>
        <v>0</v>
      </c>
      <c r="L229" s="47" t="n">
        <f aca="false">'Fault &amp; Downtime Entry'!L230</f>
        <v>0</v>
      </c>
      <c r="M229" s="47" t="str">
        <f aca="false">'Fault &amp; Downtime Entry'!M230</f>
        <v/>
      </c>
      <c r="N229" s="47" t="n">
        <f aca="false">'Fault &amp; Downtime Entry'!N230</f>
        <v>0</v>
      </c>
      <c r="O229" s="47" t="n">
        <f aca="false">'Fault &amp; Downtime Entry'!O230</f>
        <v>0</v>
      </c>
      <c r="P229" s="47" t="str">
        <f aca="false">IF(OR(J229="",K229=""),"",IFERROR(J229/K229*1000,0))</f>
        <v/>
      </c>
      <c r="Q229" s="47" t="str">
        <f aca="false">IF(OR(L229="",K229=""),"",IFERROR(L229/K229*1000,0))</f>
        <v/>
      </c>
      <c r="R229" s="47" t="str">
        <f aca="false">IF(OR(M229="High",M229="Critical"),"YES","")</f>
        <v/>
      </c>
    </row>
    <row r="230" customFormat="false" ht="15" hidden="false" customHeight="true" outlineLevel="0" collapsed="false">
      <c r="A230" s="47" t="n">
        <f aca="false">'Fault &amp; Downtime Entry'!A231</f>
        <v>226</v>
      </c>
      <c r="B230" s="48" t="n">
        <f aca="false">'Fault &amp; Downtime Entry'!B231</f>
        <v>0</v>
      </c>
      <c r="C230" s="47" t="n">
        <f aca="false">'Fault &amp; Downtime Entry'!C231</f>
        <v>0</v>
      </c>
      <c r="D230" s="47" t="n">
        <f aca="false">'Fault &amp; Downtime Entry'!D231</f>
        <v>0</v>
      </c>
      <c r="E230" s="47" t="n">
        <f aca="false">'Fault &amp; Downtime Entry'!E231</f>
        <v>0</v>
      </c>
      <c r="F230" s="47" t="str">
        <f aca="false">'Fault &amp; Downtime Entry'!F231</f>
        <v/>
      </c>
      <c r="G230" s="47" t="n">
        <f aca="false">'Fault &amp; Downtime Entry'!G231</f>
        <v>0</v>
      </c>
      <c r="H230" s="47" t="str">
        <f aca="false">'Fault &amp; Downtime Entry'!H231</f>
        <v/>
      </c>
      <c r="I230" s="47" t="str">
        <f aca="false">'Fault &amp; Downtime Entry'!I231</f>
        <v/>
      </c>
      <c r="J230" s="47" t="n">
        <f aca="false">'Fault &amp; Downtime Entry'!J231</f>
        <v>0</v>
      </c>
      <c r="K230" s="47" t="n">
        <f aca="false">'Fault &amp; Downtime Entry'!K231</f>
        <v>0</v>
      </c>
      <c r="L230" s="47" t="n">
        <f aca="false">'Fault &amp; Downtime Entry'!L231</f>
        <v>0</v>
      </c>
      <c r="M230" s="47" t="str">
        <f aca="false">'Fault &amp; Downtime Entry'!M231</f>
        <v/>
      </c>
      <c r="N230" s="47" t="n">
        <f aca="false">'Fault &amp; Downtime Entry'!N231</f>
        <v>0</v>
      </c>
      <c r="O230" s="47" t="n">
        <f aca="false">'Fault &amp; Downtime Entry'!O231</f>
        <v>0</v>
      </c>
      <c r="P230" s="47" t="str">
        <f aca="false">IF(OR(J230="",K230=""),"",IFERROR(J230/K230*1000,0))</f>
        <v/>
      </c>
      <c r="Q230" s="47" t="str">
        <f aca="false">IF(OR(L230="",K230=""),"",IFERROR(L230/K230*1000,0))</f>
        <v/>
      </c>
      <c r="R230" s="47" t="str">
        <f aca="false">IF(OR(M230="High",M230="Critical"),"YES","")</f>
        <v/>
      </c>
    </row>
    <row r="231" customFormat="false" ht="15" hidden="false" customHeight="true" outlineLevel="0" collapsed="false">
      <c r="A231" s="47" t="n">
        <f aca="false">'Fault &amp; Downtime Entry'!A232</f>
        <v>227</v>
      </c>
      <c r="B231" s="48" t="n">
        <f aca="false">'Fault &amp; Downtime Entry'!B232</f>
        <v>0</v>
      </c>
      <c r="C231" s="47" t="n">
        <f aca="false">'Fault &amp; Downtime Entry'!C232</f>
        <v>0</v>
      </c>
      <c r="D231" s="47" t="n">
        <f aca="false">'Fault &amp; Downtime Entry'!D232</f>
        <v>0</v>
      </c>
      <c r="E231" s="47" t="n">
        <f aca="false">'Fault &amp; Downtime Entry'!E232</f>
        <v>0</v>
      </c>
      <c r="F231" s="47" t="str">
        <f aca="false">'Fault &amp; Downtime Entry'!F232</f>
        <v/>
      </c>
      <c r="G231" s="47" t="n">
        <f aca="false">'Fault &amp; Downtime Entry'!G232</f>
        <v>0</v>
      </c>
      <c r="H231" s="47" t="str">
        <f aca="false">'Fault &amp; Downtime Entry'!H232</f>
        <v/>
      </c>
      <c r="I231" s="47" t="str">
        <f aca="false">'Fault &amp; Downtime Entry'!I232</f>
        <v/>
      </c>
      <c r="J231" s="47" t="n">
        <f aca="false">'Fault &amp; Downtime Entry'!J232</f>
        <v>0</v>
      </c>
      <c r="K231" s="47" t="n">
        <f aca="false">'Fault &amp; Downtime Entry'!K232</f>
        <v>0</v>
      </c>
      <c r="L231" s="47" t="n">
        <f aca="false">'Fault &amp; Downtime Entry'!L232</f>
        <v>0</v>
      </c>
      <c r="M231" s="47" t="str">
        <f aca="false">'Fault &amp; Downtime Entry'!M232</f>
        <v/>
      </c>
      <c r="N231" s="47" t="n">
        <f aca="false">'Fault &amp; Downtime Entry'!N232</f>
        <v>0</v>
      </c>
      <c r="O231" s="47" t="n">
        <f aca="false">'Fault &amp; Downtime Entry'!O232</f>
        <v>0</v>
      </c>
      <c r="P231" s="47" t="str">
        <f aca="false">IF(OR(J231="",K231=""),"",IFERROR(J231/K231*1000,0))</f>
        <v/>
      </c>
      <c r="Q231" s="47" t="str">
        <f aca="false">IF(OR(L231="",K231=""),"",IFERROR(L231/K231*1000,0))</f>
        <v/>
      </c>
      <c r="R231" s="47" t="str">
        <f aca="false">IF(OR(M231="High",M231="Critical"),"YES","")</f>
        <v/>
      </c>
    </row>
    <row r="232" customFormat="false" ht="15" hidden="false" customHeight="true" outlineLevel="0" collapsed="false">
      <c r="A232" s="47" t="n">
        <f aca="false">'Fault &amp; Downtime Entry'!A233</f>
        <v>228</v>
      </c>
      <c r="B232" s="48" t="n">
        <f aca="false">'Fault &amp; Downtime Entry'!B233</f>
        <v>0</v>
      </c>
      <c r="C232" s="47" t="n">
        <f aca="false">'Fault &amp; Downtime Entry'!C233</f>
        <v>0</v>
      </c>
      <c r="D232" s="47" t="n">
        <f aca="false">'Fault &amp; Downtime Entry'!D233</f>
        <v>0</v>
      </c>
      <c r="E232" s="47" t="n">
        <f aca="false">'Fault &amp; Downtime Entry'!E233</f>
        <v>0</v>
      </c>
      <c r="F232" s="47" t="str">
        <f aca="false">'Fault &amp; Downtime Entry'!F233</f>
        <v/>
      </c>
      <c r="G232" s="47" t="n">
        <f aca="false">'Fault &amp; Downtime Entry'!G233</f>
        <v>0</v>
      </c>
      <c r="H232" s="47" t="str">
        <f aca="false">'Fault &amp; Downtime Entry'!H233</f>
        <v/>
      </c>
      <c r="I232" s="47" t="str">
        <f aca="false">'Fault &amp; Downtime Entry'!I233</f>
        <v/>
      </c>
      <c r="J232" s="47" t="n">
        <f aca="false">'Fault &amp; Downtime Entry'!J233</f>
        <v>0</v>
      </c>
      <c r="K232" s="47" t="n">
        <f aca="false">'Fault &amp; Downtime Entry'!K233</f>
        <v>0</v>
      </c>
      <c r="L232" s="47" t="n">
        <f aca="false">'Fault &amp; Downtime Entry'!L233</f>
        <v>0</v>
      </c>
      <c r="M232" s="47" t="str">
        <f aca="false">'Fault &amp; Downtime Entry'!M233</f>
        <v/>
      </c>
      <c r="N232" s="47" t="n">
        <f aca="false">'Fault &amp; Downtime Entry'!N233</f>
        <v>0</v>
      </c>
      <c r="O232" s="47" t="n">
        <f aca="false">'Fault &amp; Downtime Entry'!O233</f>
        <v>0</v>
      </c>
      <c r="P232" s="47" t="str">
        <f aca="false">IF(OR(J232="",K232=""),"",IFERROR(J232/K232*1000,0))</f>
        <v/>
      </c>
      <c r="Q232" s="47" t="str">
        <f aca="false">IF(OR(L232="",K232=""),"",IFERROR(L232/K232*1000,0))</f>
        <v/>
      </c>
      <c r="R232" s="47" t="str">
        <f aca="false">IF(OR(M232="High",M232="Critical"),"YES","")</f>
        <v/>
      </c>
    </row>
    <row r="233" customFormat="false" ht="15" hidden="false" customHeight="true" outlineLevel="0" collapsed="false">
      <c r="A233" s="47" t="n">
        <f aca="false">'Fault &amp; Downtime Entry'!A234</f>
        <v>229</v>
      </c>
      <c r="B233" s="48" t="n">
        <f aca="false">'Fault &amp; Downtime Entry'!B234</f>
        <v>0</v>
      </c>
      <c r="C233" s="47" t="n">
        <f aca="false">'Fault &amp; Downtime Entry'!C234</f>
        <v>0</v>
      </c>
      <c r="D233" s="47" t="n">
        <f aca="false">'Fault &amp; Downtime Entry'!D234</f>
        <v>0</v>
      </c>
      <c r="E233" s="47" t="n">
        <f aca="false">'Fault &amp; Downtime Entry'!E234</f>
        <v>0</v>
      </c>
      <c r="F233" s="47" t="str">
        <f aca="false">'Fault &amp; Downtime Entry'!F234</f>
        <v/>
      </c>
      <c r="G233" s="47" t="n">
        <f aca="false">'Fault &amp; Downtime Entry'!G234</f>
        <v>0</v>
      </c>
      <c r="H233" s="47" t="str">
        <f aca="false">'Fault &amp; Downtime Entry'!H234</f>
        <v/>
      </c>
      <c r="I233" s="47" t="str">
        <f aca="false">'Fault &amp; Downtime Entry'!I234</f>
        <v/>
      </c>
      <c r="J233" s="47" t="n">
        <f aca="false">'Fault &amp; Downtime Entry'!J234</f>
        <v>0</v>
      </c>
      <c r="K233" s="47" t="n">
        <f aca="false">'Fault &amp; Downtime Entry'!K234</f>
        <v>0</v>
      </c>
      <c r="L233" s="47" t="n">
        <f aca="false">'Fault &amp; Downtime Entry'!L234</f>
        <v>0</v>
      </c>
      <c r="M233" s="47" t="str">
        <f aca="false">'Fault &amp; Downtime Entry'!M234</f>
        <v/>
      </c>
      <c r="N233" s="47" t="n">
        <f aca="false">'Fault &amp; Downtime Entry'!N234</f>
        <v>0</v>
      </c>
      <c r="O233" s="47" t="n">
        <f aca="false">'Fault &amp; Downtime Entry'!O234</f>
        <v>0</v>
      </c>
      <c r="P233" s="47" t="str">
        <f aca="false">IF(OR(J233="",K233=""),"",IFERROR(J233/K233*1000,0))</f>
        <v/>
      </c>
      <c r="Q233" s="47" t="str">
        <f aca="false">IF(OR(L233="",K233=""),"",IFERROR(L233/K233*1000,0))</f>
        <v/>
      </c>
      <c r="R233" s="47" t="str">
        <f aca="false">IF(OR(M233="High",M233="Critical"),"YES","")</f>
        <v/>
      </c>
    </row>
    <row r="234" customFormat="false" ht="15" hidden="false" customHeight="true" outlineLevel="0" collapsed="false">
      <c r="A234" s="47" t="n">
        <f aca="false">'Fault &amp; Downtime Entry'!A235</f>
        <v>230</v>
      </c>
      <c r="B234" s="48" t="n">
        <f aca="false">'Fault &amp; Downtime Entry'!B235</f>
        <v>0</v>
      </c>
      <c r="C234" s="47" t="n">
        <f aca="false">'Fault &amp; Downtime Entry'!C235</f>
        <v>0</v>
      </c>
      <c r="D234" s="47" t="n">
        <f aca="false">'Fault &amp; Downtime Entry'!D235</f>
        <v>0</v>
      </c>
      <c r="E234" s="47" t="n">
        <f aca="false">'Fault &amp; Downtime Entry'!E235</f>
        <v>0</v>
      </c>
      <c r="F234" s="47" t="str">
        <f aca="false">'Fault &amp; Downtime Entry'!F235</f>
        <v/>
      </c>
      <c r="G234" s="47" t="n">
        <f aca="false">'Fault &amp; Downtime Entry'!G235</f>
        <v>0</v>
      </c>
      <c r="H234" s="47" t="str">
        <f aca="false">'Fault &amp; Downtime Entry'!H235</f>
        <v/>
      </c>
      <c r="I234" s="47" t="str">
        <f aca="false">'Fault &amp; Downtime Entry'!I235</f>
        <v/>
      </c>
      <c r="J234" s="47" t="n">
        <f aca="false">'Fault &amp; Downtime Entry'!J235</f>
        <v>0</v>
      </c>
      <c r="K234" s="47" t="n">
        <f aca="false">'Fault &amp; Downtime Entry'!K235</f>
        <v>0</v>
      </c>
      <c r="L234" s="47" t="n">
        <f aca="false">'Fault &amp; Downtime Entry'!L235</f>
        <v>0</v>
      </c>
      <c r="M234" s="47" t="str">
        <f aca="false">'Fault &amp; Downtime Entry'!M235</f>
        <v/>
      </c>
      <c r="N234" s="47" t="n">
        <f aca="false">'Fault &amp; Downtime Entry'!N235</f>
        <v>0</v>
      </c>
      <c r="O234" s="47" t="n">
        <f aca="false">'Fault &amp; Downtime Entry'!O235</f>
        <v>0</v>
      </c>
      <c r="P234" s="47" t="str">
        <f aca="false">IF(OR(J234="",K234=""),"",IFERROR(J234/K234*1000,0))</f>
        <v/>
      </c>
      <c r="Q234" s="47" t="str">
        <f aca="false">IF(OR(L234="",K234=""),"",IFERROR(L234/K234*1000,0))</f>
        <v/>
      </c>
      <c r="R234" s="47" t="str">
        <f aca="false">IF(OR(M234="High",M234="Critical"),"YES","")</f>
        <v/>
      </c>
    </row>
    <row r="235" customFormat="false" ht="15" hidden="false" customHeight="true" outlineLevel="0" collapsed="false">
      <c r="A235" s="47" t="n">
        <f aca="false">'Fault &amp; Downtime Entry'!A236</f>
        <v>231</v>
      </c>
      <c r="B235" s="48" t="n">
        <f aca="false">'Fault &amp; Downtime Entry'!B236</f>
        <v>0</v>
      </c>
      <c r="C235" s="47" t="n">
        <f aca="false">'Fault &amp; Downtime Entry'!C236</f>
        <v>0</v>
      </c>
      <c r="D235" s="47" t="n">
        <f aca="false">'Fault &amp; Downtime Entry'!D236</f>
        <v>0</v>
      </c>
      <c r="E235" s="47" t="n">
        <f aca="false">'Fault &amp; Downtime Entry'!E236</f>
        <v>0</v>
      </c>
      <c r="F235" s="47" t="str">
        <f aca="false">'Fault &amp; Downtime Entry'!F236</f>
        <v/>
      </c>
      <c r="G235" s="47" t="n">
        <f aca="false">'Fault &amp; Downtime Entry'!G236</f>
        <v>0</v>
      </c>
      <c r="H235" s="47" t="str">
        <f aca="false">'Fault &amp; Downtime Entry'!H236</f>
        <v/>
      </c>
      <c r="I235" s="47" t="str">
        <f aca="false">'Fault &amp; Downtime Entry'!I236</f>
        <v/>
      </c>
      <c r="J235" s="47" t="n">
        <f aca="false">'Fault &amp; Downtime Entry'!J236</f>
        <v>0</v>
      </c>
      <c r="K235" s="47" t="n">
        <f aca="false">'Fault &amp; Downtime Entry'!K236</f>
        <v>0</v>
      </c>
      <c r="L235" s="47" t="n">
        <f aca="false">'Fault &amp; Downtime Entry'!L236</f>
        <v>0</v>
      </c>
      <c r="M235" s="47" t="str">
        <f aca="false">'Fault &amp; Downtime Entry'!M236</f>
        <v/>
      </c>
      <c r="N235" s="47" t="n">
        <f aca="false">'Fault &amp; Downtime Entry'!N236</f>
        <v>0</v>
      </c>
      <c r="O235" s="47" t="n">
        <f aca="false">'Fault &amp; Downtime Entry'!O236</f>
        <v>0</v>
      </c>
      <c r="P235" s="47" t="str">
        <f aca="false">IF(OR(J235="",K235=""),"",IFERROR(J235/K235*1000,0))</f>
        <v/>
      </c>
      <c r="Q235" s="47" t="str">
        <f aca="false">IF(OR(L235="",K235=""),"",IFERROR(L235/K235*1000,0))</f>
        <v/>
      </c>
      <c r="R235" s="47" t="str">
        <f aca="false">IF(OR(M235="High",M235="Critical"),"YES","")</f>
        <v/>
      </c>
    </row>
    <row r="236" customFormat="false" ht="15" hidden="false" customHeight="true" outlineLevel="0" collapsed="false">
      <c r="A236" s="47" t="n">
        <f aca="false">'Fault &amp; Downtime Entry'!A237</f>
        <v>232</v>
      </c>
      <c r="B236" s="48" t="n">
        <f aca="false">'Fault &amp; Downtime Entry'!B237</f>
        <v>0</v>
      </c>
      <c r="C236" s="47" t="n">
        <f aca="false">'Fault &amp; Downtime Entry'!C237</f>
        <v>0</v>
      </c>
      <c r="D236" s="47" t="n">
        <f aca="false">'Fault &amp; Downtime Entry'!D237</f>
        <v>0</v>
      </c>
      <c r="E236" s="47" t="n">
        <f aca="false">'Fault &amp; Downtime Entry'!E237</f>
        <v>0</v>
      </c>
      <c r="F236" s="47" t="str">
        <f aca="false">'Fault &amp; Downtime Entry'!F237</f>
        <v/>
      </c>
      <c r="G236" s="47" t="n">
        <f aca="false">'Fault &amp; Downtime Entry'!G237</f>
        <v>0</v>
      </c>
      <c r="H236" s="47" t="str">
        <f aca="false">'Fault &amp; Downtime Entry'!H237</f>
        <v/>
      </c>
      <c r="I236" s="47" t="str">
        <f aca="false">'Fault &amp; Downtime Entry'!I237</f>
        <v/>
      </c>
      <c r="J236" s="47" t="n">
        <f aca="false">'Fault &amp; Downtime Entry'!J237</f>
        <v>0</v>
      </c>
      <c r="K236" s="47" t="n">
        <f aca="false">'Fault &amp; Downtime Entry'!K237</f>
        <v>0</v>
      </c>
      <c r="L236" s="47" t="n">
        <f aca="false">'Fault &amp; Downtime Entry'!L237</f>
        <v>0</v>
      </c>
      <c r="M236" s="47" t="str">
        <f aca="false">'Fault &amp; Downtime Entry'!M237</f>
        <v/>
      </c>
      <c r="N236" s="47" t="n">
        <f aca="false">'Fault &amp; Downtime Entry'!N237</f>
        <v>0</v>
      </c>
      <c r="O236" s="47" t="n">
        <f aca="false">'Fault &amp; Downtime Entry'!O237</f>
        <v>0</v>
      </c>
      <c r="P236" s="47" t="str">
        <f aca="false">IF(OR(J236="",K236=""),"",IFERROR(J236/K236*1000,0))</f>
        <v/>
      </c>
      <c r="Q236" s="47" t="str">
        <f aca="false">IF(OR(L236="",K236=""),"",IFERROR(L236/K236*1000,0))</f>
        <v/>
      </c>
      <c r="R236" s="47" t="str">
        <f aca="false">IF(OR(M236="High",M236="Critical"),"YES","")</f>
        <v/>
      </c>
    </row>
    <row r="237" customFormat="false" ht="15" hidden="false" customHeight="true" outlineLevel="0" collapsed="false">
      <c r="A237" s="47" t="n">
        <f aca="false">'Fault &amp; Downtime Entry'!A238</f>
        <v>233</v>
      </c>
      <c r="B237" s="48" t="n">
        <f aca="false">'Fault &amp; Downtime Entry'!B238</f>
        <v>0</v>
      </c>
      <c r="C237" s="47" t="n">
        <f aca="false">'Fault &amp; Downtime Entry'!C238</f>
        <v>0</v>
      </c>
      <c r="D237" s="47" t="n">
        <f aca="false">'Fault &amp; Downtime Entry'!D238</f>
        <v>0</v>
      </c>
      <c r="E237" s="47" t="n">
        <f aca="false">'Fault &amp; Downtime Entry'!E238</f>
        <v>0</v>
      </c>
      <c r="F237" s="47" t="str">
        <f aca="false">'Fault &amp; Downtime Entry'!F238</f>
        <v/>
      </c>
      <c r="G237" s="47" t="n">
        <f aca="false">'Fault &amp; Downtime Entry'!G238</f>
        <v>0</v>
      </c>
      <c r="H237" s="47" t="str">
        <f aca="false">'Fault &amp; Downtime Entry'!H238</f>
        <v/>
      </c>
      <c r="I237" s="47" t="str">
        <f aca="false">'Fault &amp; Downtime Entry'!I238</f>
        <v/>
      </c>
      <c r="J237" s="47" t="n">
        <f aca="false">'Fault &amp; Downtime Entry'!J238</f>
        <v>0</v>
      </c>
      <c r="K237" s="47" t="n">
        <f aca="false">'Fault &amp; Downtime Entry'!K238</f>
        <v>0</v>
      </c>
      <c r="L237" s="47" t="n">
        <f aca="false">'Fault &amp; Downtime Entry'!L238</f>
        <v>0</v>
      </c>
      <c r="M237" s="47" t="str">
        <f aca="false">'Fault &amp; Downtime Entry'!M238</f>
        <v/>
      </c>
      <c r="N237" s="47" t="n">
        <f aca="false">'Fault &amp; Downtime Entry'!N238</f>
        <v>0</v>
      </c>
      <c r="O237" s="47" t="n">
        <f aca="false">'Fault &amp; Downtime Entry'!O238</f>
        <v>0</v>
      </c>
      <c r="P237" s="47" t="str">
        <f aca="false">IF(OR(J237="",K237=""),"",IFERROR(J237/K237*1000,0))</f>
        <v/>
      </c>
      <c r="Q237" s="47" t="str">
        <f aca="false">IF(OR(L237="",K237=""),"",IFERROR(L237/K237*1000,0))</f>
        <v/>
      </c>
      <c r="R237" s="47" t="str">
        <f aca="false">IF(OR(M237="High",M237="Critical"),"YES","")</f>
        <v/>
      </c>
    </row>
    <row r="238" customFormat="false" ht="15" hidden="false" customHeight="true" outlineLevel="0" collapsed="false">
      <c r="A238" s="47" t="n">
        <f aca="false">'Fault &amp; Downtime Entry'!A239</f>
        <v>234</v>
      </c>
      <c r="B238" s="48" t="n">
        <f aca="false">'Fault &amp; Downtime Entry'!B239</f>
        <v>0</v>
      </c>
      <c r="C238" s="47" t="n">
        <f aca="false">'Fault &amp; Downtime Entry'!C239</f>
        <v>0</v>
      </c>
      <c r="D238" s="47" t="n">
        <f aca="false">'Fault &amp; Downtime Entry'!D239</f>
        <v>0</v>
      </c>
      <c r="E238" s="47" t="n">
        <f aca="false">'Fault &amp; Downtime Entry'!E239</f>
        <v>0</v>
      </c>
      <c r="F238" s="47" t="str">
        <f aca="false">'Fault &amp; Downtime Entry'!F239</f>
        <v/>
      </c>
      <c r="G238" s="47" t="n">
        <f aca="false">'Fault &amp; Downtime Entry'!G239</f>
        <v>0</v>
      </c>
      <c r="H238" s="47" t="str">
        <f aca="false">'Fault &amp; Downtime Entry'!H239</f>
        <v/>
      </c>
      <c r="I238" s="47" t="str">
        <f aca="false">'Fault &amp; Downtime Entry'!I239</f>
        <v/>
      </c>
      <c r="J238" s="47" t="n">
        <f aca="false">'Fault &amp; Downtime Entry'!J239</f>
        <v>0</v>
      </c>
      <c r="K238" s="47" t="n">
        <f aca="false">'Fault &amp; Downtime Entry'!K239</f>
        <v>0</v>
      </c>
      <c r="L238" s="47" t="n">
        <f aca="false">'Fault &amp; Downtime Entry'!L239</f>
        <v>0</v>
      </c>
      <c r="M238" s="47" t="str">
        <f aca="false">'Fault &amp; Downtime Entry'!M239</f>
        <v/>
      </c>
      <c r="N238" s="47" t="n">
        <f aca="false">'Fault &amp; Downtime Entry'!N239</f>
        <v>0</v>
      </c>
      <c r="O238" s="47" t="n">
        <f aca="false">'Fault &amp; Downtime Entry'!O239</f>
        <v>0</v>
      </c>
      <c r="P238" s="47" t="str">
        <f aca="false">IF(OR(J238="",K238=""),"",IFERROR(J238/K238*1000,0))</f>
        <v/>
      </c>
      <c r="Q238" s="47" t="str">
        <f aca="false">IF(OR(L238="",K238=""),"",IFERROR(L238/K238*1000,0))</f>
        <v/>
      </c>
      <c r="R238" s="47" t="str">
        <f aca="false">IF(OR(M238="High",M238="Critical"),"YES","")</f>
        <v/>
      </c>
    </row>
    <row r="239" customFormat="false" ht="15" hidden="false" customHeight="true" outlineLevel="0" collapsed="false">
      <c r="A239" s="47" t="n">
        <f aca="false">'Fault &amp; Downtime Entry'!A240</f>
        <v>235</v>
      </c>
      <c r="B239" s="48" t="n">
        <f aca="false">'Fault &amp; Downtime Entry'!B240</f>
        <v>0</v>
      </c>
      <c r="C239" s="47" t="n">
        <f aca="false">'Fault &amp; Downtime Entry'!C240</f>
        <v>0</v>
      </c>
      <c r="D239" s="47" t="n">
        <f aca="false">'Fault &amp; Downtime Entry'!D240</f>
        <v>0</v>
      </c>
      <c r="E239" s="47" t="n">
        <f aca="false">'Fault &amp; Downtime Entry'!E240</f>
        <v>0</v>
      </c>
      <c r="F239" s="47" t="str">
        <f aca="false">'Fault &amp; Downtime Entry'!F240</f>
        <v/>
      </c>
      <c r="G239" s="47" t="n">
        <f aca="false">'Fault &amp; Downtime Entry'!G240</f>
        <v>0</v>
      </c>
      <c r="H239" s="47" t="str">
        <f aca="false">'Fault &amp; Downtime Entry'!H240</f>
        <v/>
      </c>
      <c r="I239" s="47" t="str">
        <f aca="false">'Fault &amp; Downtime Entry'!I240</f>
        <v/>
      </c>
      <c r="J239" s="47" t="n">
        <f aca="false">'Fault &amp; Downtime Entry'!J240</f>
        <v>0</v>
      </c>
      <c r="K239" s="47" t="n">
        <f aca="false">'Fault &amp; Downtime Entry'!K240</f>
        <v>0</v>
      </c>
      <c r="L239" s="47" t="n">
        <f aca="false">'Fault &amp; Downtime Entry'!L240</f>
        <v>0</v>
      </c>
      <c r="M239" s="47" t="str">
        <f aca="false">'Fault &amp; Downtime Entry'!M240</f>
        <v/>
      </c>
      <c r="N239" s="47" t="n">
        <f aca="false">'Fault &amp; Downtime Entry'!N240</f>
        <v>0</v>
      </c>
      <c r="O239" s="47" t="n">
        <f aca="false">'Fault &amp; Downtime Entry'!O240</f>
        <v>0</v>
      </c>
      <c r="P239" s="47" t="str">
        <f aca="false">IF(OR(J239="",K239=""),"",IFERROR(J239/K239*1000,0))</f>
        <v/>
      </c>
      <c r="Q239" s="47" t="str">
        <f aca="false">IF(OR(L239="",K239=""),"",IFERROR(L239/K239*1000,0))</f>
        <v/>
      </c>
      <c r="R239" s="47" t="str">
        <f aca="false">IF(OR(M239="High",M239="Critical"),"YES","")</f>
        <v/>
      </c>
    </row>
    <row r="240" customFormat="false" ht="15" hidden="false" customHeight="true" outlineLevel="0" collapsed="false">
      <c r="A240" s="47" t="n">
        <f aca="false">'Fault &amp; Downtime Entry'!A241</f>
        <v>236</v>
      </c>
      <c r="B240" s="48" t="n">
        <f aca="false">'Fault &amp; Downtime Entry'!B241</f>
        <v>0</v>
      </c>
      <c r="C240" s="47" t="n">
        <f aca="false">'Fault &amp; Downtime Entry'!C241</f>
        <v>0</v>
      </c>
      <c r="D240" s="47" t="n">
        <f aca="false">'Fault &amp; Downtime Entry'!D241</f>
        <v>0</v>
      </c>
      <c r="E240" s="47" t="n">
        <f aca="false">'Fault &amp; Downtime Entry'!E241</f>
        <v>0</v>
      </c>
      <c r="F240" s="47" t="str">
        <f aca="false">'Fault &amp; Downtime Entry'!F241</f>
        <v/>
      </c>
      <c r="G240" s="47" t="n">
        <f aca="false">'Fault &amp; Downtime Entry'!G241</f>
        <v>0</v>
      </c>
      <c r="H240" s="47" t="str">
        <f aca="false">'Fault &amp; Downtime Entry'!H241</f>
        <v/>
      </c>
      <c r="I240" s="47" t="str">
        <f aca="false">'Fault &amp; Downtime Entry'!I241</f>
        <v/>
      </c>
      <c r="J240" s="47" t="n">
        <f aca="false">'Fault &amp; Downtime Entry'!J241</f>
        <v>0</v>
      </c>
      <c r="K240" s="47" t="n">
        <f aca="false">'Fault &amp; Downtime Entry'!K241</f>
        <v>0</v>
      </c>
      <c r="L240" s="47" t="n">
        <f aca="false">'Fault &amp; Downtime Entry'!L241</f>
        <v>0</v>
      </c>
      <c r="M240" s="47" t="str">
        <f aca="false">'Fault &amp; Downtime Entry'!M241</f>
        <v/>
      </c>
      <c r="N240" s="47" t="n">
        <f aca="false">'Fault &amp; Downtime Entry'!N241</f>
        <v>0</v>
      </c>
      <c r="O240" s="47" t="n">
        <f aca="false">'Fault &amp; Downtime Entry'!O241</f>
        <v>0</v>
      </c>
      <c r="P240" s="47" t="str">
        <f aca="false">IF(OR(J240="",K240=""),"",IFERROR(J240/K240*1000,0))</f>
        <v/>
      </c>
      <c r="Q240" s="47" t="str">
        <f aca="false">IF(OR(L240="",K240=""),"",IFERROR(L240/K240*1000,0))</f>
        <v/>
      </c>
      <c r="R240" s="47" t="str">
        <f aca="false">IF(OR(M240="High",M240="Critical"),"YES","")</f>
        <v/>
      </c>
    </row>
    <row r="241" customFormat="false" ht="15" hidden="false" customHeight="true" outlineLevel="0" collapsed="false">
      <c r="A241" s="47" t="n">
        <f aca="false">'Fault &amp; Downtime Entry'!A242</f>
        <v>237</v>
      </c>
      <c r="B241" s="48" t="n">
        <f aca="false">'Fault &amp; Downtime Entry'!B242</f>
        <v>0</v>
      </c>
      <c r="C241" s="47" t="n">
        <f aca="false">'Fault &amp; Downtime Entry'!C242</f>
        <v>0</v>
      </c>
      <c r="D241" s="47" t="n">
        <f aca="false">'Fault &amp; Downtime Entry'!D242</f>
        <v>0</v>
      </c>
      <c r="E241" s="47" t="n">
        <f aca="false">'Fault &amp; Downtime Entry'!E242</f>
        <v>0</v>
      </c>
      <c r="F241" s="47" t="str">
        <f aca="false">'Fault &amp; Downtime Entry'!F242</f>
        <v/>
      </c>
      <c r="G241" s="47" t="n">
        <f aca="false">'Fault &amp; Downtime Entry'!G242</f>
        <v>0</v>
      </c>
      <c r="H241" s="47" t="str">
        <f aca="false">'Fault &amp; Downtime Entry'!H242</f>
        <v/>
      </c>
      <c r="I241" s="47" t="str">
        <f aca="false">'Fault &amp; Downtime Entry'!I242</f>
        <v/>
      </c>
      <c r="J241" s="47" t="n">
        <f aca="false">'Fault &amp; Downtime Entry'!J242</f>
        <v>0</v>
      </c>
      <c r="K241" s="47" t="n">
        <f aca="false">'Fault &amp; Downtime Entry'!K242</f>
        <v>0</v>
      </c>
      <c r="L241" s="47" t="n">
        <f aca="false">'Fault &amp; Downtime Entry'!L242</f>
        <v>0</v>
      </c>
      <c r="M241" s="47" t="str">
        <f aca="false">'Fault &amp; Downtime Entry'!M242</f>
        <v/>
      </c>
      <c r="N241" s="47" t="n">
        <f aca="false">'Fault &amp; Downtime Entry'!N242</f>
        <v>0</v>
      </c>
      <c r="O241" s="47" t="n">
        <f aca="false">'Fault &amp; Downtime Entry'!O242</f>
        <v>0</v>
      </c>
      <c r="P241" s="47" t="str">
        <f aca="false">IF(OR(J241="",K241=""),"",IFERROR(J241/K241*1000,0))</f>
        <v/>
      </c>
      <c r="Q241" s="47" t="str">
        <f aca="false">IF(OR(L241="",K241=""),"",IFERROR(L241/K241*1000,0))</f>
        <v/>
      </c>
      <c r="R241" s="47" t="str">
        <f aca="false">IF(OR(M241="High",M241="Critical"),"YES","")</f>
        <v/>
      </c>
    </row>
    <row r="242" customFormat="false" ht="15" hidden="false" customHeight="true" outlineLevel="0" collapsed="false">
      <c r="A242" s="47" t="n">
        <f aca="false">'Fault &amp; Downtime Entry'!A243</f>
        <v>238</v>
      </c>
      <c r="B242" s="48" t="n">
        <f aca="false">'Fault &amp; Downtime Entry'!B243</f>
        <v>0</v>
      </c>
      <c r="C242" s="47" t="n">
        <f aca="false">'Fault &amp; Downtime Entry'!C243</f>
        <v>0</v>
      </c>
      <c r="D242" s="47" t="n">
        <f aca="false">'Fault &amp; Downtime Entry'!D243</f>
        <v>0</v>
      </c>
      <c r="E242" s="47" t="n">
        <f aca="false">'Fault &amp; Downtime Entry'!E243</f>
        <v>0</v>
      </c>
      <c r="F242" s="47" t="str">
        <f aca="false">'Fault &amp; Downtime Entry'!F243</f>
        <v/>
      </c>
      <c r="G242" s="47" t="n">
        <f aca="false">'Fault &amp; Downtime Entry'!G243</f>
        <v>0</v>
      </c>
      <c r="H242" s="47" t="str">
        <f aca="false">'Fault &amp; Downtime Entry'!H243</f>
        <v/>
      </c>
      <c r="I242" s="47" t="str">
        <f aca="false">'Fault &amp; Downtime Entry'!I243</f>
        <v/>
      </c>
      <c r="J242" s="47" t="n">
        <f aca="false">'Fault &amp; Downtime Entry'!J243</f>
        <v>0</v>
      </c>
      <c r="K242" s="47" t="n">
        <f aca="false">'Fault &amp; Downtime Entry'!K243</f>
        <v>0</v>
      </c>
      <c r="L242" s="47" t="n">
        <f aca="false">'Fault &amp; Downtime Entry'!L243</f>
        <v>0</v>
      </c>
      <c r="M242" s="47" t="str">
        <f aca="false">'Fault &amp; Downtime Entry'!M243</f>
        <v/>
      </c>
      <c r="N242" s="47" t="n">
        <f aca="false">'Fault &amp; Downtime Entry'!N243</f>
        <v>0</v>
      </c>
      <c r="O242" s="47" t="n">
        <f aca="false">'Fault &amp; Downtime Entry'!O243</f>
        <v>0</v>
      </c>
      <c r="P242" s="47" t="str">
        <f aca="false">IF(OR(J242="",K242=""),"",IFERROR(J242/K242*1000,0))</f>
        <v/>
      </c>
      <c r="Q242" s="47" t="str">
        <f aca="false">IF(OR(L242="",K242=""),"",IFERROR(L242/K242*1000,0))</f>
        <v/>
      </c>
      <c r="R242" s="47" t="str">
        <f aca="false">IF(OR(M242="High",M242="Critical"),"YES","")</f>
        <v/>
      </c>
    </row>
    <row r="243" customFormat="false" ht="15" hidden="false" customHeight="true" outlineLevel="0" collapsed="false">
      <c r="A243" s="47" t="n">
        <f aca="false">'Fault &amp; Downtime Entry'!A244</f>
        <v>239</v>
      </c>
      <c r="B243" s="48" t="n">
        <f aca="false">'Fault &amp; Downtime Entry'!B244</f>
        <v>0</v>
      </c>
      <c r="C243" s="47" t="n">
        <f aca="false">'Fault &amp; Downtime Entry'!C244</f>
        <v>0</v>
      </c>
      <c r="D243" s="47" t="n">
        <f aca="false">'Fault &amp; Downtime Entry'!D244</f>
        <v>0</v>
      </c>
      <c r="E243" s="47" t="n">
        <f aca="false">'Fault &amp; Downtime Entry'!E244</f>
        <v>0</v>
      </c>
      <c r="F243" s="47" t="str">
        <f aca="false">'Fault &amp; Downtime Entry'!F244</f>
        <v/>
      </c>
      <c r="G243" s="47" t="n">
        <f aca="false">'Fault &amp; Downtime Entry'!G244</f>
        <v>0</v>
      </c>
      <c r="H243" s="47" t="str">
        <f aca="false">'Fault &amp; Downtime Entry'!H244</f>
        <v/>
      </c>
      <c r="I243" s="47" t="str">
        <f aca="false">'Fault &amp; Downtime Entry'!I244</f>
        <v/>
      </c>
      <c r="J243" s="47" t="n">
        <f aca="false">'Fault &amp; Downtime Entry'!J244</f>
        <v>0</v>
      </c>
      <c r="K243" s="47" t="n">
        <f aca="false">'Fault &amp; Downtime Entry'!K244</f>
        <v>0</v>
      </c>
      <c r="L243" s="47" t="n">
        <f aca="false">'Fault &amp; Downtime Entry'!L244</f>
        <v>0</v>
      </c>
      <c r="M243" s="47" t="str">
        <f aca="false">'Fault &amp; Downtime Entry'!M244</f>
        <v/>
      </c>
      <c r="N243" s="47" t="n">
        <f aca="false">'Fault &amp; Downtime Entry'!N244</f>
        <v>0</v>
      </c>
      <c r="O243" s="47" t="n">
        <f aca="false">'Fault &amp; Downtime Entry'!O244</f>
        <v>0</v>
      </c>
      <c r="P243" s="47" t="str">
        <f aca="false">IF(OR(J243="",K243=""),"",IFERROR(J243/K243*1000,0))</f>
        <v/>
      </c>
      <c r="Q243" s="47" t="str">
        <f aca="false">IF(OR(L243="",K243=""),"",IFERROR(L243/K243*1000,0))</f>
        <v/>
      </c>
      <c r="R243" s="47" t="str">
        <f aca="false">IF(OR(M243="High",M243="Critical"),"YES","")</f>
        <v/>
      </c>
    </row>
    <row r="244" customFormat="false" ht="15" hidden="false" customHeight="true" outlineLevel="0" collapsed="false">
      <c r="A244" s="47" t="n">
        <f aca="false">'Fault &amp; Downtime Entry'!A245</f>
        <v>240</v>
      </c>
      <c r="B244" s="48" t="n">
        <f aca="false">'Fault &amp; Downtime Entry'!B245</f>
        <v>0</v>
      </c>
      <c r="C244" s="47" t="n">
        <f aca="false">'Fault &amp; Downtime Entry'!C245</f>
        <v>0</v>
      </c>
      <c r="D244" s="47" t="n">
        <f aca="false">'Fault &amp; Downtime Entry'!D245</f>
        <v>0</v>
      </c>
      <c r="E244" s="47" t="n">
        <f aca="false">'Fault &amp; Downtime Entry'!E245</f>
        <v>0</v>
      </c>
      <c r="F244" s="47" t="str">
        <f aca="false">'Fault &amp; Downtime Entry'!F245</f>
        <v/>
      </c>
      <c r="G244" s="47" t="n">
        <f aca="false">'Fault &amp; Downtime Entry'!G245</f>
        <v>0</v>
      </c>
      <c r="H244" s="47" t="str">
        <f aca="false">'Fault &amp; Downtime Entry'!H245</f>
        <v/>
      </c>
      <c r="I244" s="47" t="str">
        <f aca="false">'Fault &amp; Downtime Entry'!I245</f>
        <v/>
      </c>
      <c r="J244" s="47" t="n">
        <f aca="false">'Fault &amp; Downtime Entry'!J245</f>
        <v>0</v>
      </c>
      <c r="K244" s="47" t="n">
        <f aca="false">'Fault &amp; Downtime Entry'!K245</f>
        <v>0</v>
      </c>
      <c r="L244" s="47" t="n">
        <f aca="false">'Fault &amp; Downtime Entry'!L245</f>
        <v>0</v>
      </c>
      <c r="M244" s="47" t="str">
        <f aca="false">'Fault &amp; Downtime Entry'!M245</f>
        <v/>
      </c>
      <c r="N244" s="47" t="n">
        <f aca="false">'Fault &amp; Downtime Entry'!N245</f>
        <v>0</v>
      </c>
      <c r="O244" s="47" t="n">
        <f aca="false">'Fault &amp; Downtime Entry'!O245</f>
        <v>0</v>
      </c>
      <c r="P244" s="47" t="str">
        <f aca="false">IF(OR(J244="",K244=""),"",IFERROR(J244/K244*1000,0))</f>
        <v/>
      </c>
      <c r="Q244" s="47" t="str">
        <f aca="false">IF(OR(L244="",K244=""),"",IFERROR(L244/K244*1000,0))</f>
        <v/>
      </c>
      <c r="R244" s="47" t="str">
        <f aca="false">IF(OR(M244="High",M244="Critical"),"YES","")</f>
        <v/>
      </c>
    </row>
    <row r="245" customFormat="false" ht="15" hidden="false" customHeight="true" outlineLevel="0" collapsed="false">
      <c r="A245" s="47" t="n">
        <f aca="false">'Fault &amp; Downtime Entry'!A246</f>
        <v>241</v>
      </c>
      <c r="B245" s="48" t="n">
        <f aca="false">'Fault &amp; Downtime Entry'!B246</f>
        <v>0</v>
      </c>
      <c r="C245" s="47" t="n">
        <f aca="false">'Fault &amp; Downtime Entry'!C246</f>
        <v>0</v>
      </c>
      <c r="D245" s="47" t="n">
        <f aca="false">'Fault &amp; Downtime Entry'!D246</f>
        <v>0</v>
      </c>
      <c r="E245" s="47" t="n">
        <f aca="false">'Fault &amp; Downtime Entry'!E246</f>
        <v>0</v>
      </c>
      <c r="F245" s="47" t="str">
        <f aca="false">'Fault &amp; Downtime Entry'!F246</f>
        <v/>
      </c>
      <c r="G245" s="47" t="n">
        <f aca="false">'Fault &amp; Downtime Entry'!G246</f>
        <v>0</v>
      </c>
      <c r="H245" s="47" t="str">
        <f aca="false">'Fault &amp; Downtime Entry'!H246</f>
        <v/>
      </c>
      <c r="I245" s="47" t="str">
        <f aca="false">'Fault &amp; Downtime Entry'!I246</f>
        <v/>
      </c>
      <c r="J245" s="47" t="n">
        <f aca="false">'Fault &amp; Downtime Entry'!J246</f>
        <v>0</v>
      </c>
      <c r="K245" s="47" t="n">
        <f aca="false">'Fault &amp; Downtime Entry'!K246</f>
        <v>0</v>
      </c>
      <c r="L245" s="47" t="n">
        <f aca="false">'Fault &amp; Downtime Entry'!L246</f>
        <v>0</v>
      </c>
      <c r="M245" s="47" t="str">
        <f aca="false">'Fault &amp; Downtime Entry'!M246</f>
        <v/>
      </c>
      <c r="N245" s="47" t="n">
        <f aca="false">'Fault &amp; Downtime Entry'!N246</f>
        <v>0</v>
      </c>
      <c r="O245" s="47" t="n">
        <f aca="false">'Fault &amp; Downtime Entry'!O246</f>
        <v>0</v>
      </c>
      <c r="P245" s="47" t="str">
        <f aca="false">IF(OR(J245="",K245=""),"",IFERROR(J245/K245*1000,0))</f>
        <v/>
      </c>
      <c r="Q245" s="47" t="str">
        <f aca="false">IF(OR(L245="",K245=""),"",IFERROR(L245/K245*1000,0))</f>
        <v/>
      </c>
      <c r="R245" s="47" t="str">
        <f aca="false">IF(OR(M245="High",M245="Critical"),"YES","")</f>
        <v/>
      </c>
    </row>
    <row r="246" customFormat="false" ht="15" hidden="false" customHeight="true" outlineLevel="0" collapsed="false">
      <c r="A246" s="47" t="n">
        <f aca="false">'Fault &amp; Downtime Entry'!A247</f>
        <v>242</v>
      </c>
      <c r="B246" s="48" t="n">
        <f aca="false">'Fault &amp; Downtime Entry'!B247</f>
        <v>0</v>
      </c>
      <c r="C246" s="47" t="n">
        <f aca="false">'Fault &amp; Downtime Entry'!C247</f>
        <v>0</v>
      </c>
      <c r="D246" s="47" t="n">
        <f aca="false">'Fault &amp; Downtime Entry'!D247</f>
        <v>0</v>
      </c>
      <c r="E246" s="47" t="n">
        <f aca="false">'Fault &amp; Downtime Entry'!E247</f>
        <v>0</v>
      </c>
      <c r="F246" s="47" t="str">
        <f aca="false">'Fault &amp; Downtime Entry'!F247</f>
        <v/>
      </c>
      <c r="G246" s="47" t="n">
        <f aca="false">'Fault &amp; Downtime Entry'!G247</f>
        <v>0</v>
      </c>
      <c r="H246" s="47" t="str">
        <f aca="false">'Fault &amp; Downtime Entry'!H247</f>
        <v/>
      </c>
      <c r="I246" s="47" t="str">
        <f aca="false">'Fault &amp; Downtime Entry'!I247</f>
        <v/>
      </c>
      <c r="J246" s="47" t="n">
        <f aca="false">'Fault &amp; Downtime Entry'!J247</f>
        <v>0</v>
      </c>
      <c r="K246" s="47" t="n">
        <f aca="false">'Fault &amp; Downtime Entry'!K247</f>
        <v>0</v>
      </c>
      <c r="L246" s="47" t="n">
        <f aca="false">'Fault &amp; Downtime Entry'!L247</f>
        <v>0</v>
      </c>
      <c r="M246" s="47" t="str">
        <f aca="false">'Fault &amp; Downtime Entry'!M247</f>
        <v/>
      </c>
      <c r="N246" s="47" t="n">
        <f aca="false">'Fault &amp; Downtime Entry'!N247</f>
        <v>0</v>
      </c>
      <c r="O246" s="47" t="n">
        <f aca="false">'Fault &amp; Downtime Entry'!O247</f>
        <v>0</v>
      </c>
      <c r="P246" s="47" t="str">
        <f aca="false">IF(OR(J246="",K246=""),"",IFERROR(J246/K246*1000,0))</f>
        <v/>
      </c>
      <c r="Q246" s="47" t="str">
        <f aca="false">IF(OR(L246="",K246=""),"",IFERROR(L246/K246*1000,0))</f>
        <v/>
      </c>
      <c r="R246" s="47" t="str">
        <f aca="false">IF(OR(M246="High",M246="Critical"),"YES","")</f>
        <v/>
      </c>
    </row>
    <row r="247" customFormat="false" ht="15" hidden="false" customHeight="true" outlineLevel="0" collapsed="false">
      <c r="A247" s="47" t="n">
        <f aca="false">'Fault &amp; Downtime Entry'!A248</f>
        <v>243</v>
      </c>
      <c r="B247" s="48" t="n">
        <f aca="false">'Fault &amp; Downtime Entry'!B248</f>
        <v>0</v>
      </c>
      <c r="C247" s="47" t="n">
        <f aca="false">'Fault &amp; Downtime Entry'!C248</f>
        <v>0</v>
      </c>
      <c r="D247" s="47" t="n">
        <f aca="false">'Fault &amp; Downtime Entry'!D248</f>
        <v>0</v>
      </c>
      <c r="E247" s="47" t="n">
        <f aca="false">'Fault &amp; Downtime Entry'!E248</f>
        <v>0</v>
      </c>
      <c r="F247" s="47" t="str">
        <f aca="false">'Fault &amp; Downtime Entry'!F248</f>
        <v/>
      </c>
      <c r="G247" s="47" t="n">
        <f aca="false">'Fault &amp; Downtime Entry'!G248</f>
        <v>0</v>
      </c>
      <c r="H247" s="47" t="str">
        <f aca="false">'Fault &amp; Downtime Entry'!H248</f>
        <v/>
      </c>
      <c r="I247" s="47" t="str">
        <f aca="false">'Fault &amp; Downtime Entry'!I248</f>
        <v/>
      </c>
      <c r="J247" s="47" t="n">
        <f aca="false">'Fault &amp; Downtime Entry'!J248</f>
        <v>0</v>
      </c>
      <c r="K247" s="47" t="n">
        <f aca="false">'Fault &amp; Downtime Entry'!K248</f>
        <v>0</v>
      </c>
      <c r="L247" s="47" t="n">
        <f aca="false">'Fault &amp; Downtime Entry'!L248</f>
        <v>0</v>
      </c>
      <c r="M247" s="47" t="str">
        <f aca="false">'Fault &amp; Downtime Entry'!M248</f>
        <v/>
      </c>
      <c r="N247" s="47" t="n">
        <f aca="false">'Fault &amp; Downtime Entry'!N248</f>
        <v>0</v>
      </c>
      <c r="O247" s="47" t="n">
        <f aca="false">'Fault &amp; Downtime Entry'!O248</f>
        <v>0</v>
      </c>
      <c r="P247" s="47" t="str">
        <f aca="false">IF(OR(J247="",K247=""),"",IFERROR(J247/K247*1000,0))</f>
        <v/>
      </c>
      <c r="Q247" s="47" t="str">
        <f aca="false">IF(OR(L247="",K247=""),"",IFERROR(L247/K247*1000,0))</f>
        <v/>
      </c>
      <c r="R247" s="47" t="str">
        <f aca="false">IF(OR(M247="High",M247="Critical"),"YES","")</f>
        <v/>
      </c>
    </row>
    <row r="248" customFormat="false" ht="15" hidden="false" customHeight="true" outlineLevel="0" collapsed="false">
      <c r="A248" s="47" t="n">
        <f aca="false">'Fault &amp; Downtime Entry'!A249</f>
        <v>244</v>
      </c>
      <c r="B248" s="48" t="n">
        <f aca="false">'Fault &amp; Downtime Entry'!B249</f>
        <v>0</v>
      </c>
      <c r="C248" s="47" t="n">
        <f aca="false">'Fault &amp; Downtime Entry'!C249</f>
        <v>0</v>
      </c>
      <c r="D248" s="47" t="n">
        <f aca="false">'Fault &amp; Downtime Entry'!D249</f>
        <v>0</v>
      </c>
      <c r="E248" s="47" t="n">
        <f aca="false">'Fault &amp; Downtime Entry'!E249</f>
        <v>0</v>
      </c>
      <c r="F248" s="47" t="str">
        <f aca="false">'Fault &amp; Downtime Entry'!F249</f>
        <v/>
      </c>
      <c r="G248" s="47" t="n">
        <f aca="false">'Fault &amp; Downtime Entry'!G249</f>
        <v>0</v>
      </c>
      <c r="H248" s="47" t="str">
        <f aca="false">'Fault &amp; Downtime Entry'!H249</f>
        <v/>
      </c>
      <c r="I248" s="47" t="str">
        <f aca="false">'Fault &amp; Downtime Entry'!I249</f>
        <v/>
      </c>
      <c r="J248" s="47" t="n">
        <f aca="false">'Fault &amp; Downtime Entry'!J249</f>
        <v>0</v>
      </c>
      <c r="K248" s="47" t="n">
        <f aca="false">'Fault &amp; Downtime Entry'!K249</f>
        <v>0</v>
      </c>
      <c r="L248" s="47" t="n">
        <f aca="false">'Fault &amp; Downtime Entry'!L249</f>
        <v>0</v>
      </c>
      <c r="M248" s="47" t="str">
        <f aca="false">'Fault &amp; Downtime Entry'!M249</f>
        <v/>
      </c>
      <c r="N248" s="47" t="n">
        <f aca="false">'Fault &amp; Downtime Entry'!N249</f>
        <v>0</v>
      </c>
      <c r="O248" s="47" t="n">
        <f aca="false">'Fault &amp; Downtime Entry'!O249</f>
        <v>0</v>
      </c>
      <c r="P248" s="47" t="str">
        <f aca="false">IF(OR(J248="",K248=""),"",IFERROR(J248/K248*1000,0))</f>
        <v/>
      </c>
      <c r="Q248" s="47" t="str">
        <f aca="false">IF(OR(L248="",K248=""),"",IFERROR(L248/K248*1000,0))</f>
        <v/>
      </c>
      <c r="R248" s="47" t="str">
        <f aca="false">IF(OR(M248="High",M248="Critical"),"YES","")</f>
        <v/>
      </c>
    </row>
    <row r="249" customFormat="false" ht="15" hidden="false" customHeight="true" outlineLevel="0" collapsed="false">
      <c r="A249" s="47" t="n">
        <f aca="false">'Fault &amp; Downtime Entry'!A250</f>
        <v>245</v>
      </c>
      <c r="B249" s="48" t="n">
        <f aca="false">'Fault &amp; Downtime Entry'!B250</f>
        <v>0</v>
      </c>
      <c r="C249" s="47" t="n">
        <f aca="false">'Fault &amp; Downtime Entry'!C250</f>
        <v>0</v>
      </c>
      <c r="D249" s="47" t="n">
        <f aca="false">'Fault &amp; Downtime Entry'!D250</f>
        <v>0</v>
      </c>
      <c r="E249" s="47" t="n">
        <f aca="false">'Fault &amp; Downtime Entry'!E250</f>
        <v>0</v>
      </c>
      <c r="F249" s="47" t="str">
        <f aca="false">'Fault &amp; Downtime Entry'!F250</f>
        <v/>
      </c>
      <c r="G249" s="47" t="n">
        <f aca="false">'Fault &amp; Downtime Entry'!G250</f>
        <v>0</v>
      </c>
      <c r="H249" s="47" t="str">
        <f aca="false">'Fault &amp; Downtime Entry'!H250</f>
        <v/>
      </c>
      <c r="I249" s="47" t="str">
        <f aca="false">'Fault &amp; Downtime Entry'!I250</f>
        <v/>
      </c>
      <c r="J249" s="47" t="n">
        <f aca="false">'Fault &amp; Downtime Entry'!J250</f>
        <v>0</v>
      </c>
      <c r="K249" s="47" t="n">
        <f aca="false">'Fault &amp; Downtime Entry'!K250</f>
        <v>0</v>
      </c>
      <c r="L249" s="47" t="n">
        <f aca="false">'Fault &amp; Downtime Entry'!L250</f>
        <v>0</v>
      </c>
      <c r="M249" s="47" t="str">
        <f aca="false">'Fault &amp; Downtime Entry'!M250</f>
        <v/>
      </c>
      <c r="N249" s="47" t="n">
        <f aca="false">'Fault &amp; Downtime Entry'!N250</f>
        <v>0</v>
      </c>
      <c r="O249" s="47" t="n">
        <f aca="false">'Fault &amp; Downtime Entry'!O250</f>
        <v>0</v>
      </c>
      <c r="P249" s="47" t="str">
        <f aca="false">IF(OR(J249="",K249=""),"",IFERROR(J249/K249*1000,0))</f>
        <v/>
      </c>
      <c r="Q249" s="47" t="str">
        <f aca="false">IF(OR(L249="",K249=""),"",IFERROR(L249/K249*1000,0))</f>
        <v/>
      </c>
      <c r="R249" s="47" t="str">
        <f aca="false">IF(OR(M249="High",M249="Critical"),"YES","")</f>
        <v/>
      </c>
    </row>
    <row r="250" customFormat="false" ht="15" hidden="false" customHeight="true" outlineLevel="0" collapsed="false">
      <c r="A250" s="47" t="n">
        <f aca="false">'Fault &amp; Downtime Entry'!A251</f>
        <v>246</v>
      </c>
      <c r="B250" s="48" t="n">
        <f aca="false">'Fault &amp; Downtime Entry'!B251</f>
        <v>0</v>
      </c>
      <c r="C250" s="47" t="n">
        <f aca="false">'Fault &amp; Downtime Entry'!C251</f>
        <v>0</v>
      </c>
      <c r="D250" s="47" t="n">
        <f aca="false">'Fault &amp; Downtime Entry'!D251</f>
        <v>0</v>
      </c>
      <c r="E250" s="47" t="n">
        <f aca="false">'Fault &amp; Downtime Entry'!E251</f>
        <v>0</v>
      </c>
      <c r="F250" s="47" t="str">
        <f aca="false">'Fault &amp; Downtime Entry'!F251</f>
        <v/>
      </c>
      <c r="G250" s="47" t="n">
        <f aca="false">'Fault &amp; Downtime Entry'!G251</f>
        <v>0</v>
      </c>
      <c r="H250" s="47" t="str">
        <f aca="false">'Fault &amp; Downtime Entry'!H251</f>
        <v/>
      </c>
      <c r="I250" s="47" t="str">
        <f aca="false">'Fault &amp; Downtime Entry'!I251</f>
        <v/>
      </c>
      <c r="J250" s="47" t="n">
        <f aca="false">'Fault &amp; Downtime Entry'!J251</f>
        <v>0</v>
      </c>
      <c r="K250" s="47" t="n">
        <f aca="false">'Fault &amp; Downtime Entry'!K251</f>
        <v>0</v>
      </c>
      <c r="L250" s="47" t="n">
        <f aca="false">'Fault &amp; Downtime Entry'!L251</f>
        <v>0</v>
      </c>
      <c r="M250" s="47" t="str">
        <f aca="false">'Fault &amp; Downtime Entry'!M251</f>
        <v/>
      </c>
      <c r="N250" s="47" t="n">
        <f aca="false">'Fault &amp; Downtime Entry'!N251</f>
        <v>0</v>
      </c>
      <c r="O250" s="47" t="n">
        <f aca="false">'Fault &amp; Downtime Entry'!O251</f>
        <v>0</v>
      </c>
      <c r="P250" s="47" t="str">
        <f aca="false">IF(OR(J250="",K250=""),"",IFERROR(J250/K250*1000,0))</f>
        <v/>
      </c>
      <c r="Q250" s="47" t="str">
        <f aca="false">IF(OR(L250="",K250=""),"",IFERROR(L250/K250*1000,0))</f>
        <v/>
      </c>
      <c r="R250" s="47" t="str">
        <f aca="false">IF(OR(M250="High",M250="Critical"),"YES","")</f>
        <v/>
      </c>
    </row>
    <row r="251" customFormat="false" ht="15" hidden="false" customHeight="true" outlineLevel="0" collapsed="false">
      <c r="A251" s="47" t="n">
        <f aca="false">'Fault &amp; Downtime Entry'!A252</f>
        <v>247</v>
      </c>
      <c r="B251" s="48" t="n">
        <f aca="false">'Fault &amp; Downtime Entry'!B252</f>
        <v>0</v>
      </c>
      <c r="C251" s="47" t="n">
        <f aca="false">'Fault &amp; Downtime Entry'!C252</f>
        <v>0</v>
      </c>
      <c r="D251" s="47" t="n">
        <f aca="false">'Fault &amp; Downtime Entry'!D252</f>
        <v>0</v>
      </c>
      <c r="E251" s="47" t="n">
        <f aca="false">'Fault &amp; Downtime Entry'!E252</f>
        <v>0</v>
      </c>
      <c r="F251" s="47" t="str">
        <f aca="false">'Fault &amp; Downtime Entry'!F252</f>
        <v/>
      </c>
      <c r="G251" s="47" t="n">
        <f aca="false">'Fault &amp; Downtime Entry'!G252</f>
        <v>0</v>
      </c>
      <c r="H251" s="47" t="str">
        <f aca="false">'Fault &amp; Downtime Entry'!H252</f>
        <v/>
      </c>
      <c r="I251" s="47" t="str">
        <f aca="false">'Fault &amp; Downtime Entry'!I252</f>
        <v/>
      </c>
      <c r="J251" s="47" t="n">
        <f aca="false">'Fault &amp; Downtime Entry'!J252</f>
        <v>0</v>
      </c>
      <c r="K251" s="47" t="n">
        <f aca="false">'Fault &amp; Downtime Entry'!K252</f>
        <v>0</v>
      </c>
      <c r="L251" s="47" t="n">
        <f aca="false">'Fault &amp; Downtime Entry'!L252</f>
        <v>0</v>
      </c>
      <c r="M251" s="47" t="str">
        <f aca="false">'Fault &amp; Downtime Entry'!M252</f>
        <v/>
      </c>
      <c r="N251" s="47" t="n">
        <f aca="false">'Fault &amp; Downtime Entry'!N252</f>
        <v>0</v>
      </c>
      <c r="O251" s="47" t="n">
        <f aca="false">'Fault &amp; Downtime Entry'!O252</f>
        <v>0</v>
      </c>
      <c r="P251" s="47" t="str">
        <f aca="false">IF(OR(J251="",K251=""),"",IFERROR(J251/K251*1000,0))</f>
        <v/>
      </c>
      <c r="Q251" s="47" t="str">
        <f aca="false">IF(OR(L251="",K251=""),"",IFERROR(L251/K251*1000,0))</f>
        <v/>
      </c>
      <c r="R251" s="47" t="str">
        <f aca="false">IF(OR(M251="High",M251="Critical"),"YES","")</f>
        <v/>
      </c>
    </row>
    <row r="252" customFormat="false" ht="15" hidden="false" customHeight="true" outlineLevel="0" collapsed="false">
      <c r="A252" s="47" t="n">
        <f aca="false">'Fault &amp; Downtime Entry'!A253</f>
        <v>248</v>
      </c>
      <c r="B252" s="48" t="n">
        <f aca="false">'Fault &amp; Downtime Entry'!B253</f>
        <v>0</v>
      </c>
      <c r="C252" s="47" t="n">
        <f aca="false">'Fault &amp; Downtime Entry'!C253</f>
        <v>0</v>
      </c>
      <c r="D252" s="47" t="n">
        <f aca="false">'Fault &amp; Downtime Entry'!D253</f>
        <v>0</v>
      </c>
      <c r="E252" s="47" t="n">
        <f aca="false">'Fault &amp; Downtime Entry'!E253</f>
        <v>0</v>
      </c>
      <c r="F252" s="47" t="str">
        <f aca="false">'Fault &amp; Downtime Entry'!F253</f>
        <v/>
      </c>
      <c r="G252" s="47" t="n">
        <f aca="false">'Fault &amp; Downtime Entry'!G253</f>
        <v>0</v>
      </c>
      <c r="H252" s="47" t="str">
        <f aca="false">'Fault &amp; Downtime Entry'!H253</f>
        <v/>
      </c>
      <c r="I252" s="47" t="str">
        <f aca="false">'Fault &amp; Downtime Entry'!I253</f>
        <v/>
      </c>
      <c r="J252" s="47" t="n">
        <f aca="false">'Fault &amp; Downtime Entry'!J253</f>
        <v>0</v>
      </c>
      <c r="K252" s="47" t="n">
        <f aca="false">'Fault &amp; Downtime Entry'!K253</f>
        <v>0</v>
      </c>
      <c r="L252" s="47" t="n">
        <f aca="false">'Fault &amp; Downtime Entry'!L253</f>
        <v>0</v>
      </c>
      <c r="M252" s="47" t="str">
        <f aca="false">'Fault &amp; Downtime Entry'!M253</f>
        <v/>
      </c>
      <c r="N252" s="47" t="n">
        <f aca="false">'Fault &amp; Downtime Entry'!N253</f>
        <v>0</v>
      </c>
      <c r="O252" s="47" t="n">
        <f aca="false">'Fault &amp; Downtime Entry'!O253</f>
        <v>0</v>
      </c>
      <c r="P252" s="47" t="str">
        <f aca="false">IF(OR(J252="",K252=""),"",IFERROR(J252/K252*1000,0))</f>
        <v/>
      </c>
      <c r="Q252" s="47" t="str">
        <f aca="false">IF(OR(L252="",K252=""),"",IFERROR(L252/K252*1000,0))</f>
        <v/>
      </c>
      <c r="R252" s="47" t="str">
        <f aca="false">IF(OR(M252="High",M252="Critical"),"YES","")</f>
        <v/>
      </c>
    </row>
    <row r="253" customFormat="false" ht="15" hidden="false" customHeight="true" outlineLevel="0" collapsed="false">
      <c r="A253" s="47" t="n">
        <f aca="false">'Fault &amp; Downtime Entry'!A254</f>
        <v>249</v>
      </c>
      <c r="B253" s="48" t="n">
        <f aca="false">'Fault &amp; Downtime Entry'!B254</f>
        <v>0</v>
      </c>
      <c r="C253" s="47" t="n">
        <f aca="false">'Fault &amp; Downtime Entry'!C254</f>
        <v>0</v>
      </c>
      <c r="D253" s="47" t="n">
        <f aca="false">'Fault &amp; Downtime Entry'!D254</f>
        <v>0</v>
      </c>
      <c r="E253" s="47" t="n">
        <f aca="false">'Fault &amp; Downtime Entry'!E254</f>
        <v>0</v>
      </c>
      <c r="F253" s="47" t="str">
        <f aca="false">'Fault &amp; Downtime Entry'!F254</f>
        <v/>
      </c>
      <c r="G253" s="47" t="n">
        <f aca="false">'Fault &amp; Downtime Entry'!G254</f>
        <v>0</v>
      </c>
      <c r="H253" s="47" t="str">
        <f aca="false">'Fault &amp; Downtime Entry'!H254</f>
        <v/>
      </c>
      <c r="I253" s="47" t="str">
        <f aca="false">'Fault &amp; Downtime Entry'!I254</f>
        <v/>
      </c>
      <c r="J253" s="47" t="n">
        <f aca="false">'Fault &amp; Downtime Entry'!J254</f>
        <v>0</v>
      </c>
      <c r="K253" s="47" t="n">
        <f aca="false">'Fault &amp; Downtime Entry'!K254</f>
        <v>0</v>
      </c>
      <c r="L253" s="47" t="n">
        <f aca="false">'Fault &amp; Downtime Entry'!L254</f>
        <v>0</v>
      </c>
      <c r="M253" s="47" t="str">
        <f aca="false">'Fault &amp; Downtime Entry'!M254</f>
        <v/>
      </c>
      <c r="N253" s="47" t="n">
        <f aca="false">'Fault &amp; Downtime Entry'!N254</f>
        <v>0</v>
      </c>
      <c r="O253" s="47" t="n">
        <f aca="false">'Fault &amp; Downtime Entry'!O254</f>
        <v>0</v>
      </c>
      <c r="P253" s="47" t="str">
        <f aca="false">IF(OR(J253="",K253=""),"",IFERROR(J253/K253*1000,0))</f>
        <v/>
      </c>
      <c r="Q253" s="47" t="str">
        <f aca="false">IF(OR(L253="",K253=""),"",IFERROR(L253/K253*1000,0))</f>
        <v/>
      </c>
      <c r="R253" s="47" t="str">
        <f aca="false">IF(OR(M253="High",M253="Critical"),"YES","")</f>
        <v/>
      </c>
    </row>
    <row r="254" customFormat="false" ht="15" hidden="false" customHeight="true" outlineLevel="0" collapsed="false">
      <c r="A254" s="47" t="n">
        <f aca="false">'Fault &amp; Downtime Entry'!A255</f>
        <v>250</v>
      </c>
      <c r="B254" s="48" t="n">
        <f aca="false">'Fault &amp; Downtime Entry'!B255</f>
        <v>0</v>
      </c>
      <c r="C254" s="47" t="n">
        <f aca="false">'Fault &amp; Downtime Entry'!C255</f>
        <v>0</v>
      </c>
      <c r="D254" s="47" t="n">
        <f aca="false">'Fault &amp; Downtime Entry'!D255</f>
        <v>0</v>
      </c>
      <c r="E254" s="47" t="n">
        <f aca="false">'Fault &amp; Downtime Entry'!E255</f>
        <v>0</v>
      </c>
      <c r="F254" s="47" t="str">
        <f aca="false">'Fault &amp; Downtime Entry'!F255</f>
        <v/>
      </c>
      <c r="G254" s="47" t="n">
        <f aca="false">'Fault &amp; Downtime Entry'!G255</f>
        <v>0</v>
      </c>
      <c r="H254" s="47" t="str">
        <f aca="false">'Fault &amp; Downtime Entry'!H255</f>
        <v/>
      </c>
      <c r="I254" s="47" t="str">
        <f aca="false">'Fault &amp; Downtime Entry'!I255</f>
        <v/>
      </c>
      <c r="J254" s="47" t="n">
        <f aca="false">'Fault &amp; Downtime Entry'!J255</f>
        <v>0</v>
      </c>
      <c r="K254" s="47" t="n">
        <f aca="false">'Fault &amp; Downtime Entry'!K255</f>
        <v>0</v>
      </c>
      <c r="L254" s="47" t="n">
        <f aca="false">'Fault &amp; Downtime Entry'!L255</f>
        <v>0</v>
      </c>
      <c r="M254" s="47" t="str">
        <f aca="false">'Fault &amp; Downtime Entry'!M255</f>
        <v/>
      </c>
      <c r="N254" s="47" t="n">
        <f aca="false">'Fault &amp; Downtime Entry'!N255</f>
        <v>0</v>
      </c>
      <c r="O254" s="47" t="n">
        <f aca="false">'Fault &amp; Downtime Entry'!O255</f>
        <v>0</v>
      </c>
      <c r="P254" s="47" t="str">
        <f aca="false">IF(OR(J254="",K254=""),"",IFERROR(J254/K254*1000,0))</f>
        <v/>
      </c>
      <c r="Q254" s="47" t="str">
        <f aca="false">IF(OR(L254="",K254=""),"",IFERROR(L254/K254*1000,0))</f>
        <v/>
      </c>
      <c r="R254" s="47" t="str">
        <f aca="false">IF(OR(M254="High",M254="Critical"),"YES","")</f>
        <v/>
      </c>
    </row>
    <row r="255" customFormat="false" ht="15" hidden="false" customHeight="true" outlineLevel="0" collapsed="false">
      <c r="A255" s="47" t="n">
        <f aca="false">'Fault &amp; Downtime Entry'!A256</f>
        <v>251</v>
      </c>
      <c r="B255" s="48" t="n">
        <f aca="false">'Fault &amp; Downtime Entry'!B256</f>
        <v>0</v>
      </c>
      <c r="C255" s="47" t="n">
        <f aca="false">'Fault &amp; Downtime Entry'!C256</f>
        <v>0</v>
      </c>
      <c r="D255" s="47" t="n">
        <f aca="false">'Fault &amp; Downtime Entry'!D256</f>
        <v>0</v>
      </c>
      <c r="E255" s="47" t="n">
        <f aca="false">'Fault &amp; Downtime Entry'!E256</f>
        <v>0</v>
      </c>
      <c r="F255" s="47" t="str">
        <f aca="false">'Fault &amp; Downtime Entry'!F256</f>
        <v/>
      </c>
      <c r="G255" s="47" t="n">
        <f aca="false">'Fault &amp; Downtime Entry'!G256</f>
        <v>0</v>
      </c>
      <c r="H255" s="47" t="str">
        <f aca="false">'Fault &amp; Downtime Entry'!H256</f>
        <v/>
      </c>
      <c r="I255" s="47" t="str">
        <f aca="false">'Fault &amp; Downtime Entry'!I256</f>
        <v/>
      </c>
      <c r="J255" s="47" t="n">
        <f aca="false">'Fault &amp; Downtime Entry'!J256</f>
        <v>0</v>
      </c>
      <c r="K255" s="47" t="n">
        <f aca="false">'Fault &amp; Downtime Entry'!K256</f>
        <v>0</v>
      </c>
      <c r="L255" s="47" t="n">
        <f aca="false">'Fault &amp; Downtime Entry'!L256</f>
        <v>0</v>
      </c>
      <c r="M255" s="47" t="str">
        <f aca="false">'Fault &amp; Downtime Entry'!M256</f>
        <v/>
      </c>
      <c r="N255" s="47" t="n">
        <f aca="false">'Fault &amp; Downtime Entry'!N256</f>
        <v>0</v>
      </c>
      <c r="O255" s="47" t="n">
        <f aca="false">'Fault &amp; Downtime Entry'!O256</f>
        <v>0</v>
      </c>
      <c r="P255" s="47" t="str">
        <f aca="false">IF(OR(J255="",K255=""),"",IFERROR(J255/K255*1000,0))</f>
        <v/>
      </c>
      <c r="Q255" s="47" t="str">
        <f aca="false">IF(OR(L255="",K255=""),"",IFERROR(L255/K255*1000,0))</f>
        <v/>
      </c>
      <c r="R255" s="47" t="str">
        <f aca="false">IF(OR(M255="High",M255="Critical"),"YES","")</f>
        <v/>
      </c>
    </row>
    <row r="256" customFormat="false" ht="15" hidden="false" customHeight="true" outlineLevel="0" collapsed="false">
      <c r="A256" s="47" t="n">
        <f aca="false">'Fault &amp; Downtime Entry'!A257</f>
        <v>252</v>
      </c>
      <c r="B256" s="48" t="n">
        <f aca="false">'Fault &amp; Downtime Entry'!B257</f>
        <v>0</v>
      </c>
      <c r="C256" s="47" t="n">
        <f aca="false">'Fault &amp; Downtime Entry'!C257</f>
        <v>0</v>
      </c>
      <c r="D256" s="47" t="n">
        <f aca="false">'Fault &amp; Downtime Entry'!D257</f>
        <v>0</v>
      </c>
      <c r="E256" s="47" t="n">
        <f aca="false">'Fault &amp; Downtime Entry'!E257</f>
        <v>0</v>
      </c>
      <c r="F256" s="47" t="str">
        <f aca="false">'Fault &amp; Downtime Entry'!F257</f>
        <v/>
      </c>
      <c r="G256" s="47" t="n">
        <f aca="false">'Fault &amp; Downtime Entry'!G257</f>
        <v>0</v>
      </c>
      <c r="H256" s="47" t="str">
        <f aca="false">'Fault &amp; Downtime Entry'!H257</f>
        <v/>
      </c>
      <c r="I256" s="47" t="str">
        <f aca="false">'Fault &amp; Downtime Entry'!I257</f>
        <v/>
      </c>
      <c r="J256" s="47" t="n">
        <f aca="false">'Fault &amp; Downtime Entry'!J257</f>
        <v>0</v>
      </c>
      <c r="K256" s="47" t="n">
        <f aca="false">'Fault &amp; Downtime Entry'!K257</f>
        <v>0</v>
      </c>
      <c r="L256" s="47" t="n">
        <f aca="false">'Fault &amp; Downtime Entry'!L257</f>
        <v>0</v>
      </c>
      <c r="M256" s="47" t="str">
        <f aca="false">'Fault &amp; Downtime Entry'!M257</f>
        <v/>
      </c>
      <c r="N256" s="47" t="n">
        <f aca="false">'Fault &amp; Downtime Entry'!N257</f>
        <v>0</v>
      </c>
      <c r="O256" s="47" t="n">
        <f aca="false">'Fault &amp; Downtime Entry'!O257</f>
        <v>0</v>
      </c>
      <c r="P256" s="47" t="str">
        <f aca="false">IF(OR(J256="",K256=""),"",IFERROR(J256/K256*1000,0))</f>
        <v/>
      </c>
      <c r="Q256" s="47" t="str">
        <f aca="false">IF(OR(L256="",K256=""),"",IFERROR(L256/K256*1000,0))</f>
        <v/>
      </c>
      <c r="R256" s="47" t="str">
        <f aca="false">IF(OR(M256="High",M256="Critical"),"YES","")</f>
        <v/>
      </c>
    </row>
    <row r="257" customFormat="false" ht="15" hidden="false" customHeight="true" outlineLevel="0" collapsed="false">
      <c r="A257" s="47" t="n">
        <f aca="false">'Fault &amp; Downtime Entry'!A258</f>
        <v>253</v>
      </c>
      <c r="B257" s="48" t="n">
        <f aca="false">'Fault &amp; Downtime Entry'!B258</f>
        <v>0</v>
      </c>
      <c r="C257" s="47" t="n">
        <f aca="false">'Fault &amp; Downtime Entry'!C258</f>
        <v>0</v>
      </c>
      <c r="D257" s="47" t="n">
        <f aca="false">'Fault &amp; Downtime Entry'!D258</f>
        <v>0</v>
      </c>
      <c r="E257" s="47" t="n">
        <f aca="false">'Fault &amp; Downtime Entry'!E258</f>
        <v>0</v>
      </c>
      <c r="F257" s="47" t="str">
        <f aca="false">'Fault &amp; Downtime Entry'!F258</f>
        <v/>
      </c>
      <c r="G257" s="47" t="n">
        <f aca="false">'Fault &amp; Downtime Entry'!G258</f>
        <v>0</v>
      </c>
      <c r="H257" s="47" t="str">
        <f aca="false">'Fault &amp; Downtime Entry'!H258</f>
        <v/>
      </c>
      <c r="I257" s="47" t="str">
        <f aca="false">'Fault &amp; Downtime Entry'!I258</f>
        <v/>
      </c>
      <c r="J257" s="47" t="n">
        <f aca="false">'Fault &amp; Downtime Entry'!J258</f>
        <v>0</v>
      </c>
      <c r="K257" s="47" t="n">
        <f aca="false">'Fault &amp; Downtime Entry'!K258</f>
        <v>0</v>
      </c>
      <c r="L257" s="47" t="n">
        <f aca="false">'Fault &amp; Downtime Entry'!L258</f>
        <v>0</v>
      </c>
      <c r="M257" s="47" t="str">
        <f aca="false">'Fault &amp; Downtime Entry'!M258</f>
        <v/>
      </c>
      <c r="N257" s="47" t="n">
        <f aca="false">'Fault &amp; Downtime Entry'!N258</f>
        <v>0</v>
      </c>
      <c r="O257" s="47" t="n">
        <f aca="false">'Fault &amp; Downtime Entry'!O258</f>
        <v>0</v>
      </c>
      <c r="P257" s="47" t="str">
        <f aca="false">IF(OR(J257="",K257=""),"",IFERROR(J257/K257*1000,0))</f>
        <v/>
      </c>
      <c r="Q257" s="47" t="str">
        <f aca="false">IF(OR(L257="",K257=""),"",IFERROR(L257/K257*1000,0))</f>
        <v/>
      </c>
      <c r="R257" s="47" t="str">
        <f aca="false">IF(OR(M257="High",M257="Critical"),"YES","")</f>
        <v/>
      </c>
    </row>
    <row r="258" customFormat="false" ht="15" hidden="false" customHeight="true" outlineLevel="0" collapsed="false">
      <c r="A258" s="47" t="n">
        <f aca="false">'Fault &amp; Downtime Entry'!A259</f>
        <v>254</v>
      </c>
      <c r="B258" s="48" t="n">
        <f aca="false">'Fault &amp; Downtime Entry'!B259</f>
        <v>0</v>
      </c>
      <c r="C258" s="47" t="n">
        <f aca="false">'Fault &amp; Downtime Entry'!C259</f>
        <v>0</v>
      </c>
      <c r="D258" s="47" t="n">
        <f aca="false">'Fault &amp; Downtime Entry'!D259</f>
        <v>0</v>
      </c>
      <c r="E258" s="47" t="n">
        <f aca="false">'Fault &amp; Downtime Entry'!E259</f>
        <v>0</v>
      </c>
      <c r="F258" s="47" t="str">
        <f aca="false">'Fault &amp; Downtime Entry'!F259</f>
        <v/>
      </c>
      <c r="G258" s="47" t="n">
        <f aca="false">'Fault &amp; Downtime Entry'!G259</f>
        <v>0</v>
      </c>
      <c r="H258" s="47" t="str">
        <f aca="false">'Fault &amp; Downtime Entry'!H259</f>
        <v/>
      </c>
      <c r="I258" s="47" t="str">
        <f aca="false">'Fault &amp; Downtime Entry'!I259</f>
        <v/>
      </c>
      <c r="J258" s="47" t="n">
        <f aca="false">'Fault &amp; Downtime Entry'!J259</f>
        <v>0</v>
      </c>
      <c r="K258" s="47" t="n">
        <f aca="false">'Fault &amp; Downtime Entry'!K259</f>
        <v>0</v>
      </c>
      <c r="L258" s="47" t="n">
        <f aca="false">'Fault &amp; Downtime Entry'!L259</f>
        <v>0</v>
      </c>
      <c r="M258" s="47" t="str">
        <f aca="false">'Fault &amp; Downtime Entry'!M259</f>
        <v/>
      </c>
      <c r="N258" s="47" t="n">
        <f aca="false">'Fault &amp; Downtime Entry'!N259</f>
        <v>0</v>
      </c>
      <c r="O258" s="47" t="n">
        <f aca="false">'Fault &amp; Downtime Entry'!O259</f>
        <v>0</v>
      </c>
      <c r="P258" s="47" t="str">
        <f aca="false">IF(OR(J258="",K258=""),"",IFERROR(J258/K258*1000,0))</f>
        <v/>
      </c>
      <c r="Q258" s="47" t="str">
        <f aca="false">IF(OR(L258="",K258=""),"",IFERROR(L258/K258*1000,0))</f>
        <v/>
      </c>
      <c r="R258" s="47" t="str">
        <f aca="false">IF(OR(M258="High",M258="Critical"),"YES","")</f>
        <v/>
      </c>
    </row>
    <row r="259" customFormat="false" ht="15" hidden="false" customHeight="true" outlineLevel="0" collapsed="false">
      <c r="A259" s="47" t="n">
        <f aca="false">'Fault &amp; Downtime Entry'!A260</f>
        <v>255</v>
      </c>
      <c r="B259" s="48" t="n">
        <f aca="false">'Fault &amp; Downtime Entry'!B260</f>
        <v>0</v>
      </c>
      <c r="C259" s="47" t="n">
        <f aca="false">'Fault &amp; Downtime Entry'!C260</f>
        <v>0</v>
      </c>
      <c r="D259" s="47" t="n">
        <f aca="false">'Fault &amp; Downtime Entry'!D260</f>
        <v>0</v>
      </c>
      <c r="E259" s="47" t="n">
        <f aca="false">'Fault &amp; Downtime Entry'!E260</f>
        <v>0</v>
      </c>
      <c r="F259" s="47" t="str">
        <f aca="false">'Fault &amp; Downtime Entry'!F260</f>
        <v/>
      </c>
      <c r="G259" s="47" t="n">
        <f aca="false">'Fault &amp; Downtime Entry'!G260</f>
        <v>0</v>
      </c>
      <c r="H259" s="47" t="str">
        <f aca="false">'Fault &amp; Downtime Entry'!H260</f>
        <v/>
      </c>
      <c r="I259" s="47" t="str">
        <f aca="false">'Fault &amp; Downtime Entry'!I260</f>
        <v/>
      </c>
      <c r="J259" s="47" t="n">
        <f aca="false">'Fault &amp; Downtime Entry'!J260</f>
        <v>0</v>
      </c>
      <c r="K259" s="47" t="n">
        <f aca="false">'Fault &amp; Downtime Entry'!K260</f>
        <v>0</v>
      </c>
      <c r="L259" s="47" t="n">
        <f aca="false">'Fault &amp; Downtime Entry'!L260</f>
        <v>0</v>
      </c>
      <c r="M259" s="47" t="str">
        <f aca="false">'Fault &amp; Downtime Entry'!M260</f>
        <v/>
      </c>
      <c r="N259" s="47" t="n">
        <f aca="false">'Fault &amp; Downtime Entry'!N260</f>
        <v>0</v>
      </c>
      <c r="O259" s="47" t="n">
        <f aca="false">'Fault &amp; Downtime Entry'!O260</f>
        <v>0</v>
      </c>
      <c r="P259" s="47" t="str">
        <f aca="false">IF(OR(J259="",K259=""),"",IFERROR(J259/K259*1000,0))</f>
        <v/>
      </c>
      <c r="Q259" s="47" t="str">
        <f aca="false">IF(OR(L259="",K259=""),"",IFERROR(L259/K259*1000,0))</f>
        <v/>
      </c>
      <c r="R259" s="47" t="str">
        <f aca="false">IF(OR(M259="High",M259="Critical"),"YES","")</f>
        <v/>
      </c>
    </row>
    <row r="260" customFormat="false" ht="15" hidden="false" customHeight="true" outlineLevel="0" collapsed="false">
      <c r="A260" s="47" t="n">
        <f aca="false">'Fault &amp; Downtime Entry'!A261</f>
        <v>256</v>
      </c>
      <c r="B260" s="48" t="n">
        <f aca="false">'Fault &amp; Downtime Entry'!B261</f>
        <v>0</v>
      </c>
      <c r="C260" s="47" t="n">
        <f aca="false">'Fault &amp; Downtime Entry'!C261</f>
        <v>0</v>
      </c>
      <c r="D260" s="47" t="n">
        <f aca="false">'Fault &amp; Downtime Entry'!D261</f>
        <v>0</v>
      </c>
      <c r="E260" s="47" t="n">
        <f aca="false">'Fault &amp; Downtime Entry'!E261</f>
        <v>0</v>
      </c>
      <c r="F260" s="47" t="str">
        <f aca="false">'Fault &amp; Downtime Entry'!F261</f>
        <v/>
      </c>
      <c r="G260" s="47" t="n">
        <f aca="false">'Fault &amp; Downtime Entry'!G261</f>
        <v>0</v>
      </c>
      <c r="H260" s="47" t="str">
        <f aca="false">'Fault &amp; Downtime Entry'!H261</f>
        <v/>
      </c>
      <c r="I260" s="47" t="str">
        <f aca="false">'Fault &amp; Downtime Entry'!I261</f>
        <v/>
      </c>
      <c r="J260" s="47" t="n">
        <f aca="false">'Fault &amp; Downtime Entry'!J261</f>
        <v>0</v>
      </c>
      <c r="K260" s="47" t="n">
        <f aca="false">'Fault &amp; Downtime Entry'!K261</f>
        <v>0</v>
      </c>
      <c r="L260" s="47" t="n">
        <f aca="false">'Fault &amp; Downtime Entry'!L261</f>
        <v>0</v>
      </c>
      <c r="M260" s="47" t="str">
        <f aca="false">'Fault &amp; Downtime Entry'!M261</f>
        <v/>
      </c>
      <c r="N260" s="47" t="n">
        <f aca="false">'Fault &amp; Downtime Entry'!N261</f>
        <v>0</v>
      </c>
      <c r="O260" s="47" t="n">
        <f aca="false">'Fault &amp; Downtime Entry'!O261</f>
        <v>0</v>
      </c>
      <c r="P260" s="47" t="str">
        <f aca="false">IF(OR(J260="",K260=""),"",IFERROR(J260/K260*1000,0))</f>
        <v/>
      </c>
      <c r="Q260" s="47" t="str">
        <f aca="false">IF(OR(L260="",K260=""),"",IFERROR(L260/K260*1000,0))</f>
        <v/>
      </c>
      <c r="R260" s="47" t="str">
        <f aca="false">IF(OR(M260="High",M260="Critical"),"YES","")</f>
        <v/>
      </c>
    </row>
    <row r="261" customFormat="false" ht="15" hidden="false" customHeight="true" outlineLevel="0" collapsed="false">
      <c r="A261" s="47" t="n">
        <f aca="false">'Fault &amp; Downtime Entry'!A262</f>
        <v>257</v>
      </c>
      <c r="B261" s="48" t="n">
        <f aca="false">'Fault &amp; Downtime Entry'!B262</f>
        <v>0</v>
      </c>
      <c r="C261" s="47" t="n">
        <f aca="false">'Fault &amp; Downtime Entry'!C262</f>
        <v>0</v>
      </c>
      <c r="D261" s="47" t="n">
        <f aca="false">'Fault &amp; Downtime Entry'!D262</f>
        <v>0</v>
      </c>
      <c r="E261" s="47" t="n">
        <f aca="false">'Fault &amp; Downtime Entry'!E262</f>
        <v>0</v>
      </c>
      <c r="F261" s="47" t="str">
        <f aca="false">'Fault &amp; Downtime Entry'!F262</f>
        <v/>
      </c>
      <c r="G261" s="47" t="n">
        <f aca="false">'Fault &amp; Downtime Entry'!G262</f>
        <v>0</v>
      </c>
      <c r="H261" s="47" t="str">
        <f aca="false">'Fault &amp; Downtime Entry'!H262</f>
        <v/>
      </c>
      <c r="I261" s="47" t="str">
        <f aca="false">'Fault &amp; Downtime Entry'!I262</f>
        <v/>
      </c>
      <c r="J261" s="47" t="n">
        <f aca="false">'Fault &amp; Downtime Entry'!J262</f>
        <v>0</v>
      </c>
      <c r="K261" s="47" t="n">
        <f aca="false">'Fault &amp; Downtime Entry'!K262</f>
        <v>0</v>
      </c>
      <c r="L261" s="47" t="n">
        <f aca="false">'Fault &amp; Downtime Entry'!L262</f>
        <v>0</v>
      </c>
      <c r="M261" s="47" t="str">
        <f aca="false">'Fault &amp; Downtime Entry'!M262</f>
        <v/>
      </c>
      <c r="N261" s="47" t="n">
        <f aca="false">'Fault &amp; Downtime Entry'!N262</f>
        <v>0</v>
      </c>
      <c r="O261" s="47" t="n">
        <f aca="false">'Fault &amp; Downtime Entry'!O262</f>
        <v>0</v>
      </c>
      <c r="P261" s="47" t="str">
        <f aca="false">IF(OR(J261="",K261=""),"",IFERROR(J261/K261*1000,0))</f>
        <v/>
      </c>
      <c r="Q261" s="47" t="str">
        <f aca="false">IF(OR(L261="",K261=""),"",IFERROR(L261/K261*1000,0))</f>
        <v/>
      </c>
      <c r="R261" s="47" t="str">
        <f aca="false">IF(OR(M261="High",M261="Critical"),"YES","")</f>
        <v/>
      </c>
    </row>
    <row r="262" customFormat="false" ht="15" hidden="false" customHeight="true" outlineLevel="0" collapsed="false">
      <c r="A262" s="47" t="n">
        <f aca="false">'Fault &amp; Downtime Entry'!A263</f>
        <v>258</v>
      </c>
      <c r="B262" s="48" t="n">
        <f aca="false">'Fault &amp; Downtime Entry'!B263</f>
        <v>0</v>
      </c>
      <c r="C262" s="47" t="n">
        <f aca="false">'Fault &amp; Downtime Entry'!C263</f>
        <v>0</v>
      </c>
      <c r="D262" s="47" t="n">
        <f aca="false">'Fault &amp; Downtime Entry'!D263</f>
        <v>0</v>
      </c>
      <c r="E262" s="47" t="n">
        <f aca="false">'Fault &amp; Downtime Entry'!E263</f>
        <v>0</v>
      </c>
      <c r="F262" s="47" t="str">
        <f aca="false">'Fault &amp; Downtime Entry'!F263</f>
        <v/>
      </c>
      <c r="G262" s="47" t="n">
        <f aca="false">'Fault &amp; Downtime Entry'!G263</f>
        <v>0</v>
      </c>
      <c r="H262" s="47" t="str">
        <f aca="false">'Fault &amp; Downtime Entry'!H263</f>
        <v/>
      </c>
      <c r="I262" s="47" t="str">
        <f aca="false">'Fault &amp; Downtime Entry'!I263</f>
        <v/>
      </c>
      <c r="J262" s="47" t="n">
        <f aca="false">'Fault &amp; Downtime Entry'!J263</f>
        <v>0</v>
      </c>
      <c r="K262" s="47" t="n">
        <f aca="false">'Fault &amp; Downtime Entry'!K263</f>
        <v>0</v>
      </c>
      <c r="L262" s="47" t="n">
        <f aca="false">'Fault &amp; Downtime Entry'!L263</f>
        <v>0</v>
      </c>
      <c r="M262" s="47" t="str">
        <f aca="false">'Fault &amp; Downtime Entry'!M263</f>
        <v/>
      </c>
      <c r="N262" s="47" t="n">
        <f aca="false">'Fault &amp; Downtime Entry'!N263</f>
        <v>0</v>
      </c>
      <c r="O262" s="47" t="n">
        <f aca="false">'Fault &amp; Downtime Entry'!O263</f>
        <v>0</v>
      </c>
      <c r="P262" s="47" t="str">
        <f aca="false">IF(OR(J262="",K262=""),"",IFERROR(J262/K262*1000,0))</f>
        <v/>
      </c>
      <c r="Q262" s="47" t="str">
        <f aca="false">IF(OR(L262="",K262=""),"",IFERROR(L262/K262*1000,0))</f>
        <v/>
      </c>
      <c r="R262" s="47" t="str">
        <f aca="false">IF(OR(M262="High",M262="Critical"),"YES","")</f>
        <v/>
      </c>
    </row>
    <row r="263" customFormat="false" ht="15" hidden="false" customHeight="true" outlineLevel="0" collapsed="false">
      <c r="A263" s="47" t="n">
        <f aca="false">'Fault &amp; Downtime Entry'!A264</f>
        <v>259</v>
      </c>
      <c r="B263" s="48" t="n">
        <f aca="false">'Fault &amp; Downtime Entry'!B264</f>
        <v>0</v>
      </c>
      <c r="C263" s="47" t="n">
        <f aca="false">'Fault &amp; Downtime Entry'!C264</f>
        <v>0</v>
      </c>
      <c r="D263" s="47" t="n">
        <f aca="false">'Fault &amp; Downtime Entry'!D264</f>
        <v>0</v>
      </c>
      <c r="E263" s="47" t="n">
        <f aca="false">'Fault &amp; Downtime Entry'!E264</f>
        <v>0</v>
      </c>
      <c r="F263" s="47" t="str">
        <f aca="false">'Fault &amp; Downtime Entry'!F264</f>
        <v/>
      </c>
      <c r="G263" s="47" t="n">
        <f aca="false">'Fault &amp; Downtime Entry'!G264</f>
        <v>0</v>
      </c>
      <c r="H263" s="47" t="str">
        <f aca="false">'Fault &amp; Downtime Entry'!H264</f>
        <v/>
      </c>
      <c r="I263" s="47" t="str">
        <f aca="false">'Fault &amp; Downtime Entry'!I264</f>
        <v/>
      </c>
      <c r="J263" s="47" t="n">
        <f aca="false">'Fault &amp; Downtime Entry'!J264</f>
        <v>0</v>
      </c>
      <c r="K263" s="47" t="n">
        <f aca="false">'Fault &amp; Downtime Entry'!K264</f>
        <v>0</v>
      </c>
      <c r="L263" s="47" t="n">
        <f aca="false">'Fault &amp; Downtime Entry'!L264</f>
        <v>0</v>
      </c>
      <c r="M263" s="47" t="str">
        <f aca="false">'Fault &amp; Downtime Entry'!M264</f>
        <v/>
      </c>
      <c r="N263" s="47" t="n">
        <f aca="false">'Fault &amp; Downtime Entry'!N264</f>
        <v>0</v>
      </c>
      <c r="O263" s="47" t="n">
        <f aca="false">'Fault &amp; Downtime Entry'!O264</f>
        <v>0</v>
      </c>
      <c r="P263" s="47" t="str">
        <f aca="false">IF(OR(J263="",K263=""),"",IFERROR(J263/K263*1000,0))</f>
        <v/>
      </c>
      <c r="Q263" s="47" t="str">
        <f aca="false">IF(OR(L263="",K263=""),"",IFERROR(L263/K263*1000,0))</f>
        <v/>
      </c>
      <c r="R263" s="47" t="str">
        <f aca="false">IF(OR(M263="High",M263="Critical"),"YES","")</f>
        <v/>
      </c>
    </row>
    <row r="264" customFormat="false" ht="15" hidden="false" customHeight="true" outlineLevel="0" collapsed="false">
      <c r="A264" s="47" t="n">
        <f aca="false">'Fault &amp; Downtime Entry'!A265</f>
        <v>260</v>
      </c>
      <c r="B264" s="48" t="n">
        <f aca="false">'Fault &amp; Downtime Entry'!B265</f>
        <v>0</v>
      </c>
      <c r="C264" s="47" t="n">
        <f aca="false">'Fault &amp; Downtime Entry'!C265</f>
        <v>0</v>
      </c>
      <c r="D264" s="47" t="n">
        <f aca="false">'Fault &amp; Downtime Entry'!D265</f>
        <v>0</v>
      </c>
      <c r="E264" s="47" t="n">
        <f aca="false">'Fault &amp; Downtime Entry'!E265</f>
        <v>0</v>
      </c>
      <c r="F264" s="47" t="str">
        <f aca="false">'Fault &amp; Downtime Entry'!F265</f>
        <v/>
      </c>
      <c r="G264" s="47" t="n">
        <f aca="false">'Fault &amp; Downtime Entry'!G265</f>
        <v>0</v>
      </c>
      <c r="H264" s="47" t="str">
        <f aca="false">'Fault &amp; Downtime Entry'!H265</f>
        <v/>
      </c>
      <c r="I264" s="47" t="str">
        <f aca="false">'Fault &amp; Downtime Entry'!I265</f>
        <v/>
      </c>
      <c r="J264" s="47" t="n">
        <f aca="false">'Fault &amp; Downtime Entry'!J265</f>
        <v>0</v>
      </c>
      <c r="K264" s="47" t="n">
        <f aca="false">'Fault &amp; Downtime Entry'!K265</f>
        <v>0</v>
      </c>
      <c r="L264" s="47" t="n">
        <f aca="false">'Fault &amp; Downtime Entry'!L265</f>
        <v>0</v>
      </c>
      <c r="M264" s="47" t="str">
        <f aca="false">'Fault &amp; Downtime Entry'!M265</f>
        <v/>
      </c>
      <c r="N264" s="47" t="n">
        <f aca="false">'Fault &amp; Downtime Entry'!N265</f>
        <v>0</v>
      </c>
      <c r="O264" s="47" t="n">
        <f aca="false">'Fault &amp; Downtime Entry'!O265</f>
        <v>0</v>
      </c>
      <c r="P264" s="47" t="str">
        <f aca="false">IF(OR(J264="",K264=""),"",IFERROR(J264/K264*1000,0))</f>
        <v/>
      </c>
      <c r="Q264" s="47" t="str">
        <f aca="false">IF(OR(L264="",K264=""),"",IFERROR(L264/K264*1000,0))</f>
        <v/>
      </c>
      <c r="R264" s="47" t="str">
        <f aca="false">IF(OR(M264="High",M264="Critical"),"YES","")</f>
        <v/>
      </c>
    </row>
    <row r="265" customFormat="false" ht="15" hidden="false" customHeight="true" outlineLevel="0" collapsed="false">
      <c r="A265" s="47" t="n">
        <f aca="false">'Fault &amp; Downtime Entry'!A266</f>
        <v>261</v>
      </c>
      <c r="B265" s="48" t="n">
        <f aca="false">'Fault &amp; Downtime Entry'!B266</f>
        <v>0</v>
      </c>
      <c r="C265" s="47" t="n">
        <f aca="false">'Fault &amp; Downtime Entry'!C266</f>
        <v>0</v>
      </c>
      <c r="D265" s="47" t="n">
        <f aca="false">'Fault &amp; Downtime Entry'!D266</f>
        <v>0</v>
      </c>
      <c r="E265" s="47" t="n">
        <f aca="false">'Fault &amp; Downtime Entry'!E266</f>
        <v>0</v>
      </c>
      <c r="F265" s="47" t="str">
        <f aca="false">'Fault &amp; Downtime Entry'!F266</f>
        <v/>
      </c>
      <c r="G265" s="47" t="n">
        <f aca="false">'Fault &amp; Downtime Entry'!G266</f>
        <v>0</v>
      </c>
      <c r="H265" s="47" t="str">
        <f aca="false">'Fault &amp; Downtime Entry'!H266</f>
        <v/>
      </c>
      <c r="I265" s="47" t="str">
        <f aca="false">'Fault &amp; Downtime Entry'!I266</f>
        <v/>
      </c>
      <c r="J265" s="47" t="n">
        <f aca="false">'Fault &amp; Downtime Entry'!J266</f>
        <v>0</v>
      </c>
      <c r="K265" s="47" t="n">
        <f aca="false">'Fault &amp; Downtime Entry'!K266</f>
        <v>0</v>
      </c>
      <c r="L265" s="47" t="n">
        <f aca="false">'Fault &amp; Downtime Entry'!L266</f>
        <v>0</v>
      </c>
      <c r="M265" s="47" t="str">
        <f aca="false">'Fault &amp; Downtime Entry'!M266</f>
        <v/>
      </c>
      <c r="N265" s="47" t="n">
        <f aca="false">'Fault &amp; Downtime Entry'!N266</f>
        <v>0</v>
      </c>
      <c r="O265" s="47" t="n">
        <f aca="false">'Fault &amp; Downtime Entry'!O266</f>
        <v>0</v>
      </c>
      <c r="P265" s="47" t="str">
        <f aca="false">IF(OR(J265="",K265=""),"",IFERROR(J265/K265*1000,0))</f>
        <v/>
      </c>
      <c r="Q265" s="47" t="str">
        <f aca="false">IF(OR(L265="",K265=""),"",IFERROR(L265/K265*1000,0))</f>
        <v/>
      </c>
      <c r="R265" s="47" t="str">
        <f aca="false">IF(OR(M265="High",M265="Critical"),"YES","")</f>
        <v/>
      </c>
    </row>
    <row r="266" customFormat="false" ht="15" hidden="false" customHeight="true" outlineLevel="0" collapsed="false">
      <c r="A266" s="47" t="n">
        <f aca="false">'Fault &amp; Downtime Entry'!A267</f>
        <v>262</v>
      </c>
      <c r="B266" s="48" t="n">
        <f aca="false">'Fault &amp; Downtime Entry'!B267</f>
        <v>0</v>
      </c>
      <c r="C266" s="47" t="n">
        <f aca="false">'Fault &amp; Downtime Entry'!C267</f>
        <v>0</v>
      </c>
      <c r="D266" s="47" t="n">
        <f aca="false">'Fault &amp; Downtime Entry'!D267</f>
        <v>0</v>
      </c>
      <c r="E266" s="47" t="n">
        <f aca="false">'Fault &amp; Downtime Entry'!E267</f>
        <v>0</v>
      </c>
      <c r="F266" s="47" t="str">
        <f aca="false">'Fault &amp; Downtime Entry'!F267</f>
        <v/>
      </c>
      <c r="G266" s="47" t="n">
        <f aca="false">'Fault &amp; Downtime Entry'!G267</f>
        <v>0</v>
      </c>
      <c r="H266" s="47" t="str">
        <f aca="false">'Fault &amp; Downtime Entry'!H267</f>
        <v/>
      </c>
      <c r="I266" s="47" t="str">
        <f aca="false">'Fault &amp; Downtime Entry'!I267</f>
        <v/>
      </c>
      <c r="J266" s="47" t="n">
        <f aca="false">'Fault &amp; Downtime Entry'!J267</f>
        <v>0</v>
      </c>
      <c r="K266" s="47" t="n">
        <f aca="false">'Fault &amp; Downtime Entry'!K267</f>
        <v>0</v>
      </c>
      <c r="L266" s="47" t="n">
        <f aca="false">'Fault &amp; Downtime Entry'!L267</f>
        <v>0</v>
      </c>
      <c r="M266" s="47" t="str">
        <f aca="false">'Fault &amp; Downtime Entry'!M267</f>
        <v/>
      </c>
      <c r="N266" s="47" t="n">
        <f aca="false">'Fault &amp; Downtime Entry'!N267</f>
        <v>0</v>
      </c>
      <c r="O266" s="47" t="n">
        <f aca="false">'Fault &amp; Downtime Entry'!O267</f>
        <v>0</v>
      </c>
      <c r="P266" s="47" t="str">
        <f aca="false">IF(OR(J266="",K266=""),"",IFERROR(J266/K266*1000,0))</f>
        <v/>
      </c>
      <c r="Q266" s="47" t="str">
        <f aca="false">IF(OR(L266="",K266=""),"",IFERROR(L266/K266*1000,0))</f>
        <v/>
      </c>
      <c r="R266" s="47" t="str">
        <f aca="false">IF(OR(M266="High",M266="Critical"),"YES","")</f>
        <v/>
      </c>
    </row>
    <row r="267" customFormat="false" ht="15" hidden="false" customHeight="true" outlineLevel="0" collapsed="false">
      <c r="A267" s="47" t="n">
        <f aca="false">'Fault &amp; Downtime Entry'!A268</f>
        <v>263</v>
      </c>
      <c r="B267" s="48" t="n">
        <f aca="false">'Fault &amp; Downtime Entry'!B268</f>
        <v>0</v>
      </c>
      <c r="C267" s="47" t="n">
        <f aca="false">'Fault &amp; Downtime Entry'!C268</f>
        <v>0</v>
      </c>
      <c r="D267" s="47" t="n">
        <f aca="false">'Fault &amp; Downtime Entry'!D268</f>
        <v>0</v>
      </c>
      <c r="E267" s="47" t="n">
        <f aca="false">'Fault &amp; Downtime Entry'!E268</f>
        <v>0</v>
      </c>
      <c r="F267" s="47" t="str">
        <f aca="false">'Fault &amp; Downtime Entry'!F268</f>
        <v/>
      </c>
      <c r="G267" s="47" t="n">
        <f aca="false">'Fault &amp; Downtime Entry'!G268</f>
        <v>0</v>
      </c>
      <c r="H267" s="47" t="str">
        <f aca="false">'Fault &amp; Downtime Entry'!H268</f>
        <v/>
      </c>
      <c r="I267" s="47" t="str">
        <f aca="false">'Fault &amp; Downtime Entry'!I268</f>
        <v/>
      </c>
      <c r="J267" s="47" t="n">
        <f aca="false">'Fault &amp; Downtime Entry'!J268</f>
        <v>0</v>
      </c>
      <c r="K267" s="47" t="n">
        <f aca="false">'Fault &amp; Downtime Entry'!K268</f>
        <v>0</v>
      </c>
      <c r="L267" s="47" t="n">
        <f aca="false">'Fault &amp; Downtime Entry'!L268</f>
        <v>0</v>
      </c>
      <c r="M267" s="47" t="str">
        <f aca="false">'Fault &amp; Downtime Entry'!M268</f>
        <v/>
      </c>
      <c r="N267" s="47" t="n">
        <f aca="false">'Fault &amp; Downtime Entry'!N268</f>
        <v>0</v>
      </c>
      <c r="O267" s="47" t="n">
        <f aca="false">'Fault &amp; Downtime Entry'!O268</f>
        <v>0</v>
      </c>
      <c r="P267" s="47" t="str">
        <f aca="false">IF(OR(J267="",K267=""),"",IFERROR(J267/K267*1000,0))</f>
        <v/>
      </c>
      <c r="Q267" s="47" t="str">
        <f aca="false">IF(OR(L267="",K267=""),"",IFERROR(L267/K267*1000,0))</f>
        <v/>
      </c>
      <c r="R267" s="47" t="str">
        <f aca="false">IF(OR(M267="High",M267="Critical"),"YES","")</f>
        <v/>
      </c>
    </row>
    <row r="268" customFormat="false" ht="15" hidden="false" customHeight="true" outlineLevel="0" collapsed="false">
      <c r="A268" s="47" t="n">
        <f aca="false">'Fault &amp; Downtime Entry'!A269</f>
        <v>264</v>
      </c>
      <c r="B268" s="48" t="n">
        <f aca="false">'Fault &amp; Downtime Entry'!B269</f>
        <v>0</v>
      </c>
      <c r="C268" s="47" t="n">
        <f aca="false">'Fault &amp; Downtime Entry'!C269</f>
        <v>0</v>
      </c>
      <c r="D268" s="47" t="n">
        <f aca="false">'Fault &amp; Downtime Entry'!D269</f>
        <v>0</v>
      </c>
      <c r="E268" s="47" t="n">
        <f aca="false">'Fault &amp; Downtime Entry'!E269</f>
        <v>0</v>
      </c>
      <c r="F268" s="47" t="str">
        <f aca="false">'Fault &amp; Downtime Entry'!F269</f>
        <v/>
      </c>
      <c r="G268" s="47" t="n">
        <f aca="false">'Fault &amp; Downtime Entry'!G269</f>
        <v>0</v>
      </c>
      <c r="H268" s="47" t="str">
        <f aca="false">'Fault &amp; Downtime Entry'!H269</f>
        <v/>
      </c>
      <c r="I268" s="47" t="str">
        <f aca="false">'Fault &amp; Downtime Entry'!I269</f>
        <v/>
      </c>
      <c r="J268" s="47" t="n">
        <f aca="false">'Fault &amp; Downtime Entry'!J269</f>
        <v>0</v>
      </c>
      <c r="K268" s="47" t="n">
        <f aca="false">'Fault &amp; Downtime Entry'!K269</f>
        <v>0</v>
      </c>
      <c r="L268" s="47" t="n">
        <f aca="false">'Fault &amp; Downtime Entry'!L269</f>
        <v>0</v>
      </c>
      <c r="M268" s="47" t="str">
        <f aca="false">'Fault &amp; Downtime Entry'!M269</f>
        <v/>
      </c>
      <c r="N268" s="47" t="n">
        <f aca="false">'Fault &amp; Downtime Entry'!N269</f>
        <v>0</v>
      </c>
      <c r="O268" s="47" t="n">
        <f aca="false">'Fault &amp; Downtime Entry'!O269</f>
        <v>0</v>
      </c>
      <c r="P268" s="47" t="str">
        <f aca="false">IF(OR(J268="",K268=""),"",IFERROR(J268/K268*1000,0))</f>
        <v/>
      </c>
      <c r="Q268" s="47" t="str">
        <f aca="false">IF(OR(L268="",K268=""),"",IFERROR(L268/K268*1000,0))</f>
        <v/>
      </c>
      <c r="R268" s="47" t="str">
        <f aca="false">IF(OR(M268="High",M268="Critical"),"YES","")</f>
        <v/>
      </c>
    </row>
    <row r="269" customFormat="false" ht="15" hidden="false" customHeight="true" outlineLevel="0" collapsed="false">
      <c r="A269" s="47" t="n">
        <f aca="false">'Fault &amp; Downtime Entry'!A270</f>
        <v>265</v>
      </c>
      <c r="B269" s="48" t="n">
        <f aca="false">'Fault &amp; Downtime Entry'!B270</f>
        <v>0</v>
      </c>
      <c r="C269" s="47" t="n">
        <f aca="false">'Fault &amp; Downtime Entry'!C270</f>
        <v>0</v>
      </c>
      <c r="D269" s="47" t="n">
        <f aca="false">'Fault &amp; Downtime Entry'!D270</f>
        <v>0</v>
      </c>
      <c r="E269" s="47" t="n">
        <f aca="false">'Fault &amp; Downtime Entry'!E270</f>
        <v>0</v>
      </c>
      <c r="F269" s="47" t="str">
        <f aca="false">'Fault &amp; Downtime Entry'!F270</f>
        <v/>
      </c>
      <c r="G269" s="47" t="n">
        <f aca="false">'Fault &amp; Downtime Entry'!G270</f>
        <v>0</v>
      </c>
      <c r="H269" s="47" t="str">
        <f aca="false">'Fault &amp; Downtime Entry'!H270</f>
        <v/>
      </c>
      <c r="I269" s="47" t="str">
        <f aca="false">'Fault &amp; Downtime Entry'!I270</f>
        <v/>
      </c>
      <c r="J269" s="47" t="n">
        <f aca="false">'Fault &amp; Downtime Entry'!J270</f>
        <v>0</v>
      </c>
      <c r="K269" s="47" t="n">
        <f aca="false">'Fault &amp; Downtime Entry'!K270</f>
        <v>0</v>
      </c>
      <c r="L269" s="47" t="n">
        <f aca="false">'Fault &amp; Downtime Entry'!L270</f>
        <v>0</v>
      </c>
      <c r="M269" s="47" t="str">
        <f aca="false">'Fault &amp; Downtime Entry'!M270</f>
        <v/>
      </c>
      <c r="N269" s="47" t="n">
        <f aca="false">'Fault &amp; Downtime Entry'!N270</f>
        <v>0</v>
      </c>
      <c r="O269" s="47" t="n">
        <f aca="false">'Fault &amp; Downtime Entry'!O270</f>
        <v>0</v>
      </c>
      <c r="P269" s="47" t="str">
        <f aca="false">IF(OR(J269="",K269=""),"",IFERROR(J269/K269*1000,0))</f>
        <v/>
      </c>
      <c r="Q269" s="47" t="str">
        <f aca="false">IF(OR(L269="",K269=""),"",IFERROR(L269/K269*1000,0))</f>
        <v/>
      </c>
      <c r="R269" s="47" t="str">
        <f aca="false">IF(OR(M269="High",M269="Critical"),"YES","")</f>
        <v/>
      </c>
    </row>
    <row r="270" customFormat="false" ht="15" hidden="false" customHeight="true" outlineLevel="0" collapsed="false">
      <c r="A270" s="47" t="n">
        <f aca="false">'Fault &amp; Downtime Entry'!A271</f>
        <v>266</v>
      </c>
      <c r="B270" s="48" t="n">
        <f aca="false">'Fault &amp; Downtime Entry'!B271</f>
        <v>0</v>
      </c>
      <c r="C270" s="47" t="n">
        <f aca="false">'Fault &amp; Downtime Entry'!C271</f>
        <v>0</v>
      </c>
      <c r="D270" s="47" t="n">
        <f aca="false">'Fault &amp; Downtime Entry'!D271</f>
        <v>0</v>
      </c>
      <c r="E270" s="47" t="n">
        <f aca="false">'Fault &amp; Downtime Entry'!E271</f>
        <v>0</v>
      </c>
      <c r="F270" s="47" t="str">
        <f aca="false">'Fault &amp; Downtime Entry'!F271</f>
        <v/>
      </c>
      <c r="G270" s="47" t="n">
        <f aca="false">'Fault &amp; Downtime Entry'!G271</f>
        <v>0</v>
      </c>
      <c r="H270" s="47" t="str">
        <f aca="false">'Fault &amp; Downtime Entry'!H271</f>
        <v/>
      </c>
      <c r="I270" s="47" t="str">
        <f aca="false">'Fault &amp; Downtime Entry'!I271</f>
        <v/>
      </c>
      <c r="J270" s="47" t="n">
        <f aca="false">'Fault &amp; Downtime Entry'!J271</f>
        <v>0</v>
      </c>
      <c r="K270" s="47" t="n">
        <f aca="false">'Fault &amp; Downtime Entry'!K271</f>
        <v>0</v>
      </c>
      <c r="L270" s="47" t="n">
        <f aca="false">'Fault &amp; Downtime Entry'!L271</f>
        <v>0</v>
      </c>
      <c r="M270" s="47" t="str">
        <f aca="false">'Fault &amp; Downtime Entry'!M271</f>
        <v/>
      </c>
      <c r="N270" s="47" t="n">
        <f aca="false">'Fault &amp; Downtime Entry'!N271</f>
        <v>0</v>
      </c>
      <c r="O270" s="47" t="n">
        <f aca="false">'Fault &amp; Downtime Entry'!O271</f>
        <v>0</v>
      </c>
      <c r="P270" s="47" t="str">
        <f aca="false">IF(OR(J270="",K270=""),"",IFERROR(J270/K270*1000,0))</f>
        <v/>
      </c>
      <c r="Q270" s="47" t="str">
        <f aca="false">IF(OR(L270="",K270=""),"",IFERROR(L270/K270*1000,0))</f>
        <v/>
      </c>
      <c r="R270" s="47" t="str">
        <f aca="false">IF(OR(M270="High",M270="Critical"),"YES","")</f>
        <v/>
      </c>
    </row>
    <row r="271" customFormat="false" ht="15" hidden="false" customHeight="true" outlineLevel="0" collapsed="false">
      <c r="A271" s="47" t="n">
        <f aca="false">'Fault &amp; Downtime Entry'!A272</f>
        <v>267</v>
      </c>
      <c r="B271" s="48" t="n">
        <f aca="false">'Fault &amp; Downtime Entry'!B272</f>
        <v>0</v>
      </c>
      <c r="C271" s="47" t="n">
        <f aca="false">'Fault &amp; Downtime Entry'!C272</f>
        <v>0</v>
      </c>
      <c r="D271" s="47" t="n">
        <f aca="false">'Fault &amp; Downtime Entry'!D272</f>
        <v>0</v>
      </c>
      <c r="E271" s="47" t="n">
        <f aca="false">'Fault &amp; Downtime Entry'!E272</f>
        <v>0</v>
      </c>
      <c r="F271" s="47" t="str">
        <f aca="false">'Fault &amp; Downtime Entry'!F272</f>
        <v/>
      </c>
      <c r="G271" s="47" t="n">
        <f aca="false">'Fault &amp; Downtime Entry'!G272</f>
        <v>0</v>
      </c>
      <c r="H271" s="47" t="str">
        <f aca="false">'Fault &amp; Downtime Entry'!H272</f>
        <v/>
      </c>
      <c r="I271" s="47" t="str">
        <f aca="false">'Fault &amp; Downtime Entry'!I272</f>
        <v/>
      </c>
      <c r="J271" s="47" t="n">
        <f aca="false">'Fault &amp; Downtime Entry'!J272</f>
        <v>0</v>
      </c>
      <c r="K271" s="47" t="n">
        <f aca="false">'Fault &amp; Downtime Entry'!K272</f>
        <v>0</v>
      </c>
      <c r="L271" s="47" t="n">
        <f aca="false">'Fault &amp; Downtime Entry'!L272</f>
        <v>0</v>
      </c>
      <c r="M271" s="47" t="str">
        <f aca="false">'Fault &amp; Downtime Entry'!M272</f>
        <v/>
      </c>
      <c r="N271" s="47" t="n">
        <f aca="false">'Fault &amp; Downtime Entry'!N272</f>
        <v>0</v>
      </c>
      <c r="O271" s="47" t="n">
        <f aca="false">'Fault &amp; Downtime Entry'!O272</f>
        <v>0</v>
      </c>
      <c r="P271" s="47" t="str">
        <f aca="false">IF(OR(J271="",K271=""),"",IFERROR(J271/K271*1000,0))</f>
        <v/>
      </c>
      <c r="Q271" s="47" t="str">
        <f aca="false">IF(OR(L271="",K271=""),"",IFERROR(L271/K271*1000,0))</f>
        <v/>
      </c>
      <c r="R271" s="47" t="str">
        <f aca="false">IF(OR(M271="High",M271="Critical"),"YES","")</f>
        <v/>
      </c>
    </row>
    <row r="272" customFormat="false" ht="15" hidden="false" customHeight="true" outlineLevel="0" collapsed="false">
      <c r="A272" s="47" t="n">
        <f aca="false">'Fault &amp; Downtime Entry'!A273</f>
        <v>268</v>
      </c>
      <c r="B272" s="48" t="n">
        <f aca="false">'Fault &amp; Downtime Entry'!B273</f>
        <v>0</v>
      </c>
      <c r="C272" s="47" t="n">
        <f aca="false">'Fault &amp; Downtime Entry'!C273</f>
        <v>0</v>
      </c>
      <c r="D272" s="47" t="n">
        <f aca="false">'Fault &amp; Downtime Entry'!D273</f>
        <v>0</v>
      </c>
      <c r="E272" s="47" t="n">
        <f aca="false">'Fault &amp; Downtime Entry'!E273</f>
        <v>0</v>
      </c>
      <c r="F272" s="47" t="str">
        <f aca="false">'Fault &amp; Downtime Entry'!F273</f>
        <v/>
      </c>
      <c r="G272" s="47" t="n">
        <f aca="false">'Fault &amp; Downtime Entry'!G273</f>
        <v>0</v>
      </c>
      <c r="H272" s="47" t="str">
        <f aca="false">'Fault &amp; Downtime Entry'!H273</f>
        <v/>
      </c>
      <c r="I272" s="47" t="str">
        <f aca="false">'Fault &amp; Downtime Entry'!I273</f>
        <v/>
      </c>
      <c r="J272" s="47" t="n">
        <f aca="false">'Fault &amp; Downtime Entry'!J273</f>
        <v>0</v>
      </c>
      <c r="K272" s="47" t="n">
        <f aca="false">'Fault &amp; Downtime Entry'!K273</f>
        <v>0</v>
      </c>
      <c r="L272" s="47" t="n">
        <f aca="false">'Fault &amp; Downtime Entry'!L273</f>
        <v>0</v>
      </c>
      <c r="M272" s="47" t="str">
        <f aca="false">'Fault &amp; Downtime Entry'!M273</f>
        <v/>
      </c>
      <c r="N272" s="47" t="n">
        <f aca="false">'Fault &amp; Downtime Entry'!N273</f>
        <v>0</v>
      </c>
      <c r="O272" s="47" t="n">
        <f aca="false">'Fault &amp; Downtime Entry'!O273</f>
        <v>0</v>
      </c>
      <c r="P272" s="47" t="str">
        <f aca="false">IF(OR(J272="",K272=""),"",IFERROR(J272/K272*1000,0))</f>
        <v/>
      </c>
      <c r="Q272" s="47" t="str">
        <f aca="false">IF(OR(L272="",K272=""),"",IFERROR(L272/K272*1000,0))</f>
        <v/>
      </c>
      <c r="R272" s="47" t="str">
        <f aca="false">IF(OR(M272="High",M272="Critical"),"YES","")</f>
        <v/>
      </c>
    </row>
    <row r="273" customFormat="false" ht="15" hidden="false" customHeight="true" outlineLevel="0" collapsed="false">
      <c r="A273" s="47" t="n">
        <f aca="false">'Fault &amp; Downtime Entry'!A274</f>
        <v>269</v>
      </c>
      <c r="B273" s="48" t="n">
        <f aca="false">'Fault &amp; Downtime Entry'!B274</f>
        <v>0</v>
      </c>
      <c r="C273" s="47" t="n">
        <f aca="false">'Fault &amp; Downtime Entry'!C274</f>
        <v>0</v>
      </c>
      <c r="D273" s="47" t="n">
        <f aca="false">'Fault &amp; Downtime Entry'!D274</f>
        <v>0</v>
      </c>
      <c r="E273" s="47" t="n">
        <f aca="false">'Fault &amp; Downtime Entry'!E274</f>
        <v>0</v>
      </c>
      <c r="F273" s="47" t="str">
        <f aca="false">'Fault &amp; Downtime Entry'!F274</f>
        <v/>
      </c>
      <c r="G273" s="47" t="n">
        <f aca="false">'Fault &amp; Downtime Entry'!G274</f>
        <v>0</v>
      </c>
      <c r="H273" s="47" t="str">
        <f aca="false">'Fault &amp; Downtime Entry'!H274</f>
        <v/>
      </c>
      <c r="I273" s="47" t="str">
        <f aca="false">'Fault &amp; Downtime Entry'!I274</f>
        <v/>
      </c>
      <c r="J273" s="47" t="n">
        <f aca="false">'Fault &amp; Downtime Entry'!J274</f>
        <v>0</v>
      </c>
      <c r="K273" s="47" t="n">
        <f aca="false">'Fault &amp; Downtime Entry'!K274</f>
        <v>0</v>
      </c>
      <c r="L273" s="47" t="n">
        <f aca="false">'Fault &amp; Downtime Entry'!L274</f>
        <v>0</v>
      </c>
      <c r="M273" s="47" t="str">
        <f aca="false">'Fault &amp; Downtime Entry'!M274</f>
        <v/>
      </c>
      <c r="N273" s="47" t="n">
        <f aca="false">'Fault &amp; Downtime Entry'!N274</f>
        <v>0</v>
      </c>
      <c r="O273" s="47" t="n">
        <f aca="false">'Fault &amp; Downtime Entry'!O274</f>
        <v>0</v>
      </c>
      <c r="P273" s="47" t="str">
        <f aca="false">IF(OR(J273="",K273=""),"",IFERROR(J273/K273*1000,0))</f>
        <v/>
      </c>
      <c r="Q273" s="47" t="str">
        <f aca="false">IF(OR(L273="",K273=""),"",IFERROR(L273/K273*1000,0))</f>
        <v/>
      </c>
      <c r="R273" s="47" t="str">
        <f aca="false">IF(OR(M273="High",M273="Critical"),"YES","")</f>
        <v/>
      </c>
    </row>
    <row r="274" customFormat="false" ht="15" hidden="false" customHeight="true" outlineLevel="0" collapsed="false">
      <c r="A274" s="47" t="n">
        <f aca="false">'Fault &amp; Downtime Entry'!A275</f>
        <v>270</v>
      </c>
      <c r="B274" s="48" t="n">
        <f aca="false">'Fault &amp; Downtime Entry'!B275</f>
        <v>0</v>
      </c>
      <c r="C274" s="47" t="n">
        <f aca="false">'Fault &amp; Downtime Entry'!C275</f>
        <v>0</v>
      </c>
      <c r="D274" s="47" t="n">
        <f aca="false">'Fault &amp; Downtime Entry'!D275</f>
        <v>0</v>
      </c>
      <c r="E274" s="47" t="n">
        <f aca="false">'Fault &amp; Downtime Entry'!E275</f>
        <v>0</v>
      </c>
      <c r="F274" s="47" t="str">
        <f aca="false">'Fault &amp; Downtime Entry'!F275</f>
        <v/>
      </c>
      <c r="G274" s="47" t="n">
        <f aca="false">'Fault &amp; Downtime Entry'!G275</f>
        <v>0</v>
      </c>
      <c r="H274" s="47" t="str">
        <f aca="false">'Fault &amp; Downtime Entry'!H275</f>
        <v/>
      </c>
      <c r="I274" s="47" t="str">
        <f aca="false">'Fault &amp; Downtime Entry'!I275</f>
        <v/>
      </c>
      <c r="J274" s="47" t="n">
        <f aca="false">'Fault &amp; Downtime Entry'!J275</f>
        <v>0</v>
      </c>
      <c r="K274" s="47" t="n">
        <f aca="false">'Fault &amp; Downtime Entry'!K275</f>
        <v>0</v>
      </c>
      <c r="L274" s="47" t="n">
        <f aca="false">'Fault &amp; Downtime Entry'!L275</f>
        <v>0</v>
      </c>
      <c r="M274" s="47" t="str">
        <f aca="false">'Fault &amp; Downtime Entry'!M275</f>
        <v/>
      </c>
      <c r="N274" s="47" t="n">
        <f aca="false">'Fault &amp; Downtime Entry'!N275</f>
        <v>0</v>
      </c>
      <c r="O274" s="47" t="n">
        <f aca="false">'Fault &amp; Downtime Entry'!O275</f>
        <v>0</v>
      </c>
      <c r="P274" s="47" t="str">
        <f aca="false">IF(OR(J274="",K274=""),"",IFERROR(J274/K274*1000,0))</f>
        <v/>
      </c>
      <c r="Q274" s="47" t="str">
        <f aca="false">IF(OR(L274="",K274=""),"",IFERROR(L274/K274*1000,0))</f>
        <v/>
      </c>
      <c r="R274" s="47" t="str">
        <f aca="false">IF(OR(M274="High",M274="Critical"),"YES","")</f>
        <v/>
      </c>
    </row>
    <row r="275" customFormat="false" ht="15" hidden="false" customHeight="true" outlineLevel="0" collapsed="false">
      <c r="A275" s="47" t="n">
        <f aca="false">'Fault &amp; Downtime Entry'!A276</f>
        <v>271</v>
      </c>
      <c r="B275" s="48" t="n">
        <f aca="false">'Fault &amp; Downtime Entry'!B276</f>
        <v>0</v>
      </c>
      <c r="C275" s="47" t="n">
        <f aca="false">'Fault &amp; Downtime Entry'!C276</f>
        <v>0</v>
      </c>
      <c r="D275" s="47" t="n">
        <f aca="false">'Fault &amp; Downtime Entry'!D276</f>
        <v>0</v>
      </c>
      <c r="E275" s="47" t="n">
        <f aca="false">'Fault &amp; Downtime Entry'!E276</f>
        <v>0</v>
      </c>
      <c r="F275" s="47" t="str">
        <f aca="false">'Fault &amp; Downtime Entry'!F276</f>
        <v/>
      </c>
      <c r="G275" s="47" t="n">
        <f aca="false">'Fault &amp; Downtime Entry'!G276</f>
        <v>0</v>
      </c>
      <c r="H275" s="47" t="str">
        <f aca="false">'Fault &amp; Downtime Entry'!H276</f>
        <v/>
      </c>
      <c r="I275" s="47" t="str">
        <f aca="false">'Fault &amp; Downtime Entry'!I276</f>
        <v/>
      </c>
      <c r="J275" s="47" t="n">
        <f aca="false">'Fault &amp; Downtime Entry'!J276</f>
        <v>0</v>
      </c>
      <c r="K275" s="47" t="n">
        <f aca="false">'Fault &amp; Downtime Entry'!K276</f>
        <v>0</v>
      </c>
      <c r="L275" s="47" t="n">
        <f aca="false">'Fault &amp; Downtime Entry'!L276</f>
        <v>0</v>
      </c>
      <c r="M275" s="47" t="str">
        <f aca="false">'Fault &amp; Downtime Entry'!M276</f>
        <v/>
      </c>
      <c r="N275" s="47" t="n">
        <f aca="false">'Fault &amp; Downtime Entry'!N276</f>
        <v>0</v>
      </c>
      <c r="O275" s="47" t="n">
        <f aca="false">'Fault &amp; Downtime Entry'!O276</f>
        <v>0</v>
      </c>
      <c r="P275" s="47" t="str">
        <f aca="false">IF(OR(J275="",K275=""),"",IFERROR(J275/K275*1000,0))</f>
        <v/>
      </c>
      <c r="Q275" s="47" t="str">
        <f aca="false">IF(OR(L275="",K275=""),"",IFERROR(L275/K275*1000,0))</f>
        <v/>
      </c>
      <c r="R275" s="47" t="str">
        <f aca="false">IF(OR(M275="High",M275="Critical"),"YES","")</f>
        <v/>
      </c>
    </row>
    <row r="276" customFormat="false" ht="15" hidden="false" customHeight="true" outlineLevel="0" collapsed="false">
      <c r="A276" s="47" t="n">
        <f aca="false">'Fault &amp; Downtime Entry'!A277</f>
        <v>272</v>
      </c>
      <c r="B276" s="48" t="n">
        <f aca="false">'Fault &amp; Downtime Entry'!B277</f>
        <v>0</v>
      </c>
      <c r="C276" s="47" t="n">
        <f aca="false">'Fault &amp; Downtime Entry'!C277</f>
        <v>0</v>
      </c>
      <c r="D276" s="47" t="n">
        <f aca="false">'Fault &amp; Downtime Entry'!D277</f>
        <v>0</v>
      </c>
      <c r="E276" s="47" t="n">
        <f aca="false">'Fault &amp; Downtime Entry'!E277</f>
        <v>0</v>
      </c>
      <c r="F276" s="47" t="str">
        <f aca="false">'Fault &amp; Downtime Entry'!F277</f>
        <v/>
      </c>
      <c r="G276" s="47" t="n">
        <f aca="false">'Fault &amp; Downtime Entry'!G277</f>
        <v>0</v>
      </c>
      <c r="H276" s="47" t="str">
        <f aca="false">'Fault &amp; Downtime Entry'!H277</f>
        <v/>
      </c>
      <c r="I276" s="47" t="str">
        <f aca="false">'Fault &amp; Downtime Entry'!I277</f>
        <v/>
      </c>
      <c r="J276" s="47" t="n">
        <f aca="false">'Fault &amp; Downtime Entry'!J277</f>
        <v>0</v>
      </c>
      <c r="K276" s="47" t="n">
        <f aca="false">'Fault &amp; Downtime Entry'!K277</f>
        <v>0</v>
      </c>
      <c r="L276" s="47" t="n">
        <f aca="false">'Fault &amp; Downtime Entry'!L277</f>
        <v>0</v>
      </c>
      <c r="M276" s="47" t="str">
        <f aca="false">'Fault &amp; Downtime Entry'!M277</f>
        <v/>
      </c>
      <c r="N276" s="47" t="n">
        <f aca="false">'Fault &amp; Downtime Entry'!N277</f>
        <v>0</v>
      </c>
      <c r="O276" s="47" t="n">
        <f aca="false">'Fault &amp; Downtime Entry'!O277</f>
        <v>0</v>
      </c>
      <c r="P276" s="47" t="str">
        <f aca="false">IF(OR(J276="",K276=""),"",IFERROR(J276/K276*1000,0))</f>
        <v/>
      </c>
      <c r="Q276" s="47" t="str">
        <f aca="false">IF(OR(L276="",K276=""),"",IFERROR(L276/K276*1000,0))</f>
        <v/>
      </c>
      <c r="R276" s="47" t="str">
        <f aca="false">IF(OR(M276="High",M276="Critical"),"YES","")</f>
        <v/>
      </c>
    </row>
    <row r="277" customFormat="false" ht="15" hidden="false" customHeight="true" outlineLevel="0" collapsed="false">
      <c r="A277" s="47" t="n">
        <f aca="false">'Fault &amp; Downtime Entry'!A278</f>
        <v>273</v>
      </c>
      <c r="B277" s="48" t="n">
        <f aca="false">'Fault &amp; Downtime Entry'!B278</f>
        <v>0</v>
      </c>
      <c r="C277" s="47" t="n">
        <f aca="false">'Fault &amp; Downtime Entry'!C278</f>
        <v>0</v>
      </c>
      <c r="D277" s="47" t="n">
        <f aca="false">'Fault &amp; Downtime Entry'!D278</f>
        <v>0</v>
      </c>
      <c r="E277" s="47" t="n">
        <f aca="false">'Fault &amp; Downtime Entry'!E278</f>
        <v>0</v>
      </c>
      <c r="F277" s="47" t="str">
        <f aca="false">'Fault &amp; Downtime Entry'!F278</f>
        <v/>
      </c>
      <c r="G277" s="47" t="n">
        <f aca="false">'Fault &amp; Downtime Entry'!G278</f>
        <v>0</v>
      </c>
      <c r="H277" s="47" t="str">
        <f aca="false">'Fault &amp; Downtime Entry'!H278</f>
        <v/>
      </c>
      <c r="I277" s="47" t="str">
        <f aca="false">'Fault &amp; Downtime Entry'!I278</f>
        <v/>
      </c>
      <c r="J277" s="47" t="n">
        <f aca="false">'Fault &amp; Downtime Entry'!J278</f>
        <v>0</v>
      </c>
      <c r="K277" s="47" t="n">
        <f aca="false">'Fault &amp; Downtime Entry'!K278</f>
        <v>0</v>
      </c>
      <c r="L277" s="47" t="n">
        <f aca="false">'Fault &amp; Downtime Entry'!L278</f>
        <v>0</v>
      </c>
      <c r="M277" s="47" t="str">
        <f aca="false">'Fault &amp; Downtime Entry'!M278</f>
        <v/>
      </c>
      <c r="N277" s="47" t="n">
        <f aca="false">'Fault &amp; Downtime Entry'!N278</f>
        <v>0</v>
      </c>
      <c r="O277" s="47" t="n">
        <f aca="false">'Fault &amp; Downtime Entry'!O278</f>
        <v>0</v>
      </c>
      <c r="P277" s="47" t="str">
        <f aca="false">IF(OR(J277="",K277=""),"",IFERROR(J277/K277*1000,0))</f>
        <v/>
      </c>
      <c r="Q277" s="47" t="str">
        <f aca="false">IF(OR(L277="",K277=""),"",IFERROR(L277/K277*1000,0))</f>
        <v/>
      </c>
      <c r="R277" s="47" t="str">
        <f aca="false">IF(OR(M277="High",M277="Critical"),"YES","")</f>
        <v/>
      </c>
    </row>
    <row r="278" customFormat="false" ht="15" hidden="false" customHeight="true" outlineLevel="0" collapsed="false">
      <c r="A278" s="47" t="n">
        <f aca="false">'Fault &amp; Downtime Entry'!A279</f>
        <v>274</v>
      </c>
      <c r="B278" s="48" t="n">
        <f aca="false">'Fault &amp; Downtime Entry'!B279</f>
        <v>0</v>
      </c>
      <c r="C278" s="47" t="n">
        <f aca="false">'Fault &amp; Downtime Entry'!C279</f>
        <v>0</v>
      </c>
      <c r="D278" s="47" t="n">
        <f aca="false">'Fault &amp; Downtime Entry'!D279</f>
        <v>0</v>
      </c>
      <c r="E278" s="47" t="n">
        <f aca="false">'Fault &amp; Downtime Entry'!E279</f>
        <v>0</v>
      </c>
      <c r="F278" s="47" t="str">
        <f aca="false">'Fault &amp; Downtime Entry'!F279</f>
        <v/>
      </c>
      <c r="G278" s="47" t="n">
        <f aca="false">'Fault &amp; Downtime Entry'!G279</f>
        <v>0</v>
      </c>
      <c r="H278" s="47" t="str">
        <f aca="false">'Fault &amp; Downtime Entry'!H279</f>
        <v/>
      </c>
      <c r="I278" s="47" t="str">
        <f aca="false">'Fault &amp; Downtime Entry'!I279</f>
        <v/>
      </c>
      <c r="J278" s="47" t="n">
        <f aca="false">'Fault &amp; Downtime Entry'!J279</f>
        <v>0</v>
      </c>
      <c r="K278" s="47" t="n">
        <f aca="false">'Fault &amp; Downtime Entry'!K279</f>
        <v>0</v>
      </c>
      <c r="L278" s="47" t="n">
        <f aca="false">'Fault &amp; Downtime Entry'!L279</f>
        <v>0</v>
      </c>
      <c r="M278" s="47" t="str">
        <f aca="false">'Fault &amp; Downtime Entry'!M279</f>
        <v/>
      </c>
      <c r="N278" s="47" t="n">
        <f aca="false">'Fault &amp; Downtime Entry'!N279</f>
        <v>0</v>
      </c>
      <c r="O278" s="47" t="n">
        <f aca="false">'Fault &amp; Downtime Entry'!O279</f>
        <v>0</v>
      </c>
      <c r="P278" s="47" t="str">
        <f aca="false">IF(OR(J278="",K278=""),"",IFERROR(J278/K278*1000,0))</f>
        <v/>
      </c>
      <c r="Q278" s="47" t="str">
        <f aca="false">IF(OR(L278="",K278=""),"",IFERROR(L278/K278*1000,0))</f>
        <v/>
      </c>
      <c r="R278" s="47" t="str">
        <f aca="false">IF(OR(M278="High",M278="Critical"),"YES","")</f>
        <v/>
      </c>
    </row>
    <row r="279" customFormat="false" ht="15" hidden="false" customHeight="true" outlineLevel="0" collapsed="false">
      <c r="A279" s="47" t="n">
        <f aca="false">'Fault &amp; Downtime Entry'!A280</f>
        <v>275</v>
      </c>
      <c r="B279" s="48" t="n">
        <f aca="false">'Fault &amp; Downtime Entry'!B280</f>
        <v>0</v>
      </c>
      <c r="C279" s="47" t="n">
        <f aca="false">'Fault &amp; Downtime Entry'!C280</f>
        <v>0</v>
      </c>
      <c r="D279" s="47" t="n">
        <f aca="false">'Fault &amp; Downtime Entry'!D280</f>
        <v>0</v>
      </c>
      <c r="E279" s="47" t="n">
        <f aca="false">'Fault &amp; Downtime Entry'!E280</f>
        <v>0</v>
      </c>
      <c r="F279" s="47" t="str">
        <f aca="false">'Fault &amp; Downtime Entry'!F280</f>
        <v/>
      </c>
      <c r="G279" s="47" t="n">
        <f aca="false">'Fault &amp; Downtime Entry'!G280</f>
        <v>0</v>
      </c>
      <c r="H279" s="47" t="str">
        <f aca="false">'Fault &amp; Downtime Entry'!H280</f>
        <v/>
      </c>
      <c r="I279" s="47" t="str">
        <f aca="false">'Fault &amp; Downtime Entry'!I280</f>
        <v/>
      </c>
      <c r="J279" s="47" t="n">
        <f aca="false">'Fault &amp; Downtime Entry'!J280</f>
        <v>0</v>
      </c>
      <c r="K279" s="47" t="n">
        <f aca="false">'Fault &amp; Downtime Entry'!K280</f>
        <v>0</v>
      </c>
      <c r="L279" s="47" t="n">
        <f aca="false">'Fault &amp; Downtime Entry'!L280</f>
        <v>0</v>
      </c>
      <c r="M279" s="47" t="str">
        <f aca="false">'Fault &amp; Downtime Entry'!M280</f>
        <v/>
      </c>
      <c r="N279" s="47" t="n">
        <f aca="false">'Fault &amp; Downtime Entry'!N280</f>
        <v>0</v>
      </c>
      <c r="O279" s="47" t="n">
        <f aca="false">'Fault &amp; Downtime Entry'!O280</f>
        <v>0</v>
      </c>
      <c r="P279" s="47" t="str">
        <f aca="false">IF(OR(J279="",K279=""),"",IFERROR(J279/K279*1000,0))</f>
        <v/>
      </c>
      <c r="Q279" s="47" t="str">
        <f aca="false">IF(OR(L279="",K279=""),"",IFERROR(L279/K279*1000,0))</f>
        <v/>
      </c>
      <c r="R279" s="47" t="str">
        <f aca="false">IF(OR(M279="High",M279="Critical"),"YES","")</f>
        <v/>
      </c>
    </row>
    <row r="280" customFormat="false" ht="15" hidden="false" customHeight="true" outlineLevel="0" collapsed="false">
      <c r="A280" s="47" t="n">
        <f aca="false">'Fault &amp; Downtime Entry'!A281</f>
        <v>276</v>
      </c>
      <c r="B280" s="48" t="n">
        <f aca="false">'Fault &amp; Downtime Entry'!B281</f>
        <v>0</v>
      </c>
      <c r="C280" s="47" t="n">
        <f aca="false">'Fault &amp; Downtime Entry'!C281</f>
        <v>0</v>
      </c>
      <c r="D280" s="47" t="n">
        <f aca="false">'Fault &amp; Downtime Entry'!D281</f>
        <v>0</v>
      </c>
      <c r="E280" s="47" t="n">
        <f aca="false">'Fault &amp; Downtime Entry'!E281</f>
        <v>0</v>
      </c>
      <c r="F280" s="47" t="str">
        <f aca="false">'Fault &amp; Downtime Entry'!F281</f>
        <v/>
      </c>
      <c r="G280" s="47" t="n">
        <f aca="false">'Fault &amp; Downtime Entry'!G281</f>
        <v>0</v>
      </c>
      <c r="H280" s="47" t="str">
        <f aca="false">'Fault &amp; Downtime Entry'!H281</f>
        <v/>
      </c>
      <c r="I280" s="47" t="str">
        <f aca="false">'Fault &amp; Downtime Entry'!I281</f>
        <v/>
      </c>
      <c r="J280" s="47" t="n">
        <f aca="false">'Fault &amp; Downtime Entry'!J281</f>
        <v>0</v>
      </c>
      <c r="K280" s="47" t="n">
        <f aca="false">'Fault &amp; Downtime Entry'!K281</f>
        <v>0</v>
      </c>
      <c r="L280" s="47" t="n">
        <f aca="false">'Fault &amp; Downtime Entry'!L281</f>
        <v>0</v>
      </c>
      <c r="M280" s="47" t="str">
        <f aca="false">'Fault &amp; Downtime Entry'!M281</f>
        <v/>
      </c>
      <c r="N280" s="47" t="n">
        <f aca="false">'Fault &amp; Downtime Entry'!N281</f>
        <v>0</v>
      </c>
      <c r="O280" s="47" t="n">
        <f aca="false">'Fault &amp; Downtime Entry'!O281</f>
        <v>0</v>
      </c>
      <c r="P280" s="47" t="str">
        <f aca="false">IF(OR(J280="",K280=""),"",IFERROR(J280/K280*1000,0))</f>
        <v/>
      </c>
      <c r="Q280" s="47" t="str">
        <f aca="false">IF(OR(L280="",K280=""),"",IFERROR(L280/K280*1000,0))</f>
        <v/>
      </c>
      <c r="R280" s="47" t="str">
        <f aca="false">IF(OR(M280="High",M280="Critical"),"YES","")</f>
        <v/>
      </c>
    </row>
    <row r="281" customFormat="false" ht="15" hidden="false" customHeight="true" outlineLevel="0" collapsed="false">
      <c r="A281" s="47" t="n">
        <f aca="false">'Fault &amp; Downtime Entry'!A282</f>
        <v>277</v>
      </c>
      <c r="B281" s="48" t="n">
        <f aca="false">'Fault &amp; Downtime Entry'!B282</f>
        <v>0</v>
      </c>
      <c r="C281" s="47" t="n">
        <f aca="false">'Fault &amp; Downtime Entry'!C282</f>
        <v>0</v>
      </c>
      <c r="D281" s="47" t="n">
        <f aca="false">'Fault &amp; Downtime Entry'!D282</f>
        <v>0</v>
      </c>
      <c r="E281" s="47" t="n">
        <f aca="false">'Fault &amp; Downtime Entry'!E282</f>
        <v>0</v>
      </c>
      <c r="F281" s="47" t="str">
        <f aca="false">'Fault &amp; Downtime Entry'!F282</f>
        <v/>
      </c>
      <c r="G281" s="47" t="n">
        <f aca="false">'Fault &amp; Downtime Entry'!G282</f>
        <v>0</v>
      </c>
      <c r="H281" s="47" t="str">
        <f aca="false">'Fault &amp; Downtime Entry'!H282</f>
        <v/>
      </c>
      <c r="I281" s="47" t="str">
        <f aca="false">'Fault &amp; Downtime Entry'!I282</f>
        <v/>
      </c>
      <c r="J281" s="47" t="n">
        <f aca="false">'Fault &amp; Downtime Entry'!J282</f>
        <v>0</v>
      </c>
      <c r="K281" s="47" t="n">
        <f aca="false">'Fault &amp; Downtime Entry'!K282</f>
        <v>0</v>
      </c>
      <c r="L281" s="47" t="n">
        <f aca="false">'Fault &amp; Downtime Entry'!L282</f>
        <v>0</v>
      </c>
      <c r="M281" s="47" t="str">
        <f aca="false">'Fault &amp; Downtime Entry'!M282</f>
        <v/>
      </c>
      <c r="N281" s="47" t="n">
        <f aca="false">'Fault &amp; Downtime Entry'!N282</f>
        <v>0</v>
      </c>
      <c r="O281" s="47" t="n">
        <f aca="false">'Fault &amp; Downtime Entry'!O282</f>
        <v>0</v>
      </c>
      <c r="P281" s="47" t="str">
        <f aca="false">IF(OR(J281="",K281=""),"",IFERROR(J281/K281*1000,0))</f>
        <v/>
      </c>
      <c r="Q281" s="47" t="str">
        <f aca="false">IF(OR(L281="",K281=""),"",IFERROR(L281/K281*1000,0))</f>
        <v/>
      </c>
      <c r="R281" s="47" t="str">
        <f aca="false">IF(OR(M281="High",M281="Critical"),"YES","")</f>
        <v/>
      </c>
    </row>
    <row r="282" customFormat="false" ht="15" hidden="false" customHeight="true" outlineLevel="0" collapsed="false">
      <c r="A282" s="47" t="n">
        <f aca="false">'Fault &amp; Downtime Entry'!A283</f>
        <v>278</v>
      </c>
      <c r="B282" s="48" t="n">
        <f aca="false">'Fault &amp; Downtime Entry'!B283</f>
        <v>0</v>
      </c>
      <c r="C282" s="47" t="n">
        <f aca="false">'Fault &amp; Downtime Entry'!C283</f>
        <v>0</v>
      </c>
      <c r="D282" s="47" t="n">
        <f aca="false">'Fault &amp; Downtime Entry'!D283</f>
        <v>0</v>
      </c>
      <c r="E282" s="47" t="n">
        <f aca="false">'Fault &amp; Downtime Entry'!E283</f>
        <v>0</v>
      </c>
      <c r="F282" s="47" t="str">
        <f aca="false">'Fault &amp; Downtime Entry'!F283</f>
        <v/>
      </c>
      <c r="G282" s="47" t="n">
        <f aca="false">'Fault &amp; Downtime Entry'!G283</f>
        <v>0</v>
      </c>
      <c r="H282" s="47" t="str">
        <f aca="false">'Fault &amp; Downtime Entry'!H283</f>
        <v/>
      </c>
      <c r="I282" s="47" t="str">
        <f aca="false">'Fault &amp; Downtime Entry'!I283</f>
        <v/>
      </c>
      <c r="J282" s="47" t="n">
        <f aca="false">'Fault &amp; Downtime Entry'!J283</f>
        <v>0</v>
      </c>
      <c r="K282" s="47" t="n">
        <f aca="false">'Fault &amp; Downtime Entry'!K283</f>
        <v>0</v>
      </c>
      <c r="L282" s="47" t="n">
        <f aca="false">'Fault &amp; Downtime Entry'!L283</f>
        <v>0</v>
      </c>
      <c r="M282" s="47" t="str">
        <f aca="false">'Fault &amp; Downtime Entry'!M283</f>
        <v/>
      </c>
      <c r="N282" s="47" t="n">
        <f aca="false">'Fault &amp; Downtime Entry'!N283</f>
        <v>0</v>
      </c>
      <c r="O282" s="47" t="n">
        <f aca="false">'Fault &amp; Downtime Entry'!O283</f>
        <v>0</v>
      </c>
      <c r="P282" s="47" t="str">
        <f aca="false">IF(OR(J282="",K282=""),"",IFERROR(J282/K282*1000,0))</f>
        <v/>
      </c>
      <c r="Q282" s="47" t="str">
        <f aca="false">IF(OR(L282="",K282=""),"",IFERROR(L282/K282*1000,0))</f>
        <v/>
      </c>
      <c r="R282" s="47" t="str">
        <f aca="false">IF(OR(M282="High",M282="Critical"),"YES","")</f>
        <v/>
      </c>
    </row>
    <row r="283" customFormat="false" ht="15" hidden="false" customHeight="true" outlineLevel="0" collapsed="false">
      <c r="A283" s="47" t="n">
        <f aca="false">'Fault &amp; Downtime Entry'!A284</f>
        <v>279</v>
      </c>
      <c r="B283" s="48" t="n">
        <f aca="false">'Fault &amp; Downtime Entry'!B284</f>
        <v>0</v>
      </c>
      <c r="C283" s="47" t="n">
        <f aca="false">'Fault &amp; Downtime Entry'!C284</f>
        <v>0</v>
      </c>
      <c r="D283" s="47" t="n">
        <f aca="false">'Fault &amp; Downtime Entry'!D284</f>
        <v>0</v>
      </c>
      <c r="E283" s="47" t="n">
        <f aca="false">'Fault &amp; Downtime Entry'!E284</f>
        <v>0</v>
      </c>
      <c r="F283" s="47" t="str">
        <f aca="false">'Fault &amp; Downtime Entry'!F284</f>
        <v/>
      </c>
      <c r="G283" s="47" t="n">
        <f aca="false">'Fault &amp; Downtime Entry'!G284</f>
        <v>0</v>
      </c>
      <c r="H283" s="47" t="str">
        <f aca="false">'Fault &amp; Downtime Entry'!H284</f>
        <v/>
      </c>
      <c r="I283" s="47" t="str">
        <f aca="false">'Fault &amp; Downtime Entry'!I284</f>
        <v/>
      </c>
      <c r="J283" s="47" t="n">
        <f aca="false">'Fault &amp; Downtime Entry'!J284</f>
        <v>0</v>
      </c>
      <c r="K283" s="47" t="n">
        <f aca="false">'Fault &amp; Downtime Entry'!K284</f>
        <v>0</v>
      </c>
      <c r="L283" s="47" t="n">
        <f aca="false">'Fault &amp; Downtime Entry'!L284</f>
        <v>0</v>
      </c>
      <c r="M283" s="47" t="str">
        <f aca="false">'Fault &amp; Downtime Entry'!M284</f>
        <v/>
      </c>
      <c r="N283" s="47" t="n">
        <f aca="false">'Fault &amp; Downtime Entry'!N284</f>
        <v>0</v>
      </c>
      <c r="O283" s="47" t="n">
        <f aca="false">'Fault &amp; Downtime Entry'!O284</f>
        <v>0</v>
      </c>
      <c r="P283" s="47" t="str">
        <f aca="false">IF(OR(J283="",K283=""),"",IFERROR(J283/K283*1000,0))</f>
        <v/>
      </c>
      <c r="Q283" s="47" t="str">
        <f aca="false">IF(OR(L283="",K283=""),"",IFERROR(L283/K283*1000,0))</f>
        <v/>
      </c>
      <c r="R283" s="47" t="str">
        <f aca="false">IF(OR(M283="High",M283="Critical"),"YES","")</f>
        <v/>
      </c>
    </row>
    <row r="284" customFormat="false" ht="15" hidden="false" customHeight="true" outlineLevel="0" collapsed="false">
      <c r="A284" s="47" t="n">
        <f aca="false">'Fault &amp; Downtime Entry'!A285</f>
        <v>280</v>
      </c>
      <c r="B284" s="48" t="n">
        <f aca="false">'Fault &amp; Downtime Entry'!B285</f>
        <v>0</v>
      </c>
      <c r="C284" s="47" t="n">
        <f aca="false">'Fault &amp; Downtime Entry'!C285</f>
        <v>0</v>
      </c>
      <c r="D284" s="47" t="n">
        <f aca="false">'Fault &amp; Downtime Entry'!D285</f>
        <v>0</v>
      </c>
      <c r="E284" s="47" t="n">
        <f aca="false">'Fault &amp; Downtime Entry'!E285</f>
        <v>0</v>
      </c>
      <c r="F284" s="47" t="str">
        <f aca="false">'Fault &amp; Downtime Entry'!F285</f>
        <v/>
      </c>
      <c r="G284" s="47" t="n">
        <f aca="false">'Fault &amp; Downtime Entry'!G285</f>
        <v>0</v>
      </c>
      <c r="H284" s="47" t="str">
        <f aca="false">'Fault &amp; Downtime Entry'!H285</f>
        <v/>
      </c>
      <c r="I284" s="47" t="str">
        <f aca="false">'Fault &amp; Downtime Entry'!I285</f>
        <v/>
      </c>
      <c r="J284" s="47" t="n">
        <f aca="false">'Fault &amp; Downtime Entry'!J285</f>
        <v>0</v>
      </c>
      <c r="K284" s="47" t="n">
        <f aca="false">'Fault &amp; Downtime Entry'!K285</f>
        <v>0</v>
      </c>
      <c r="L284" s="47" t="n">
        <f aca="false">'Fault &amp; Downtime Entry'!L285</f>
        <v>0</v>
      </c>
      <c r="M284" s="47" t="str">
        <f aca="false">'Fault &amp; Downtime Entry'!M285</f>
        <v/>
      </c>
      <c r="N284" s="47" t="n">
        <f aca="false">'Fault &amp; Downtime Entry'!N285</f>
        <v>0</v>
      </c>
      <c r="O284" s="47" t="n">
        <f aca="false">'Fault &amp; Downtime Entry'!O285</f>
        <v>0</v>
      </c>
      <c r="P284" s="47" t="str">
        <f aca="false">IF(OR(J284="",K284=""),"",IFERROR(J284/K284*1000,0))</f>
        <v/>
      </c>
      <c r="Q284" s="47" t="str">
        <f aca="false">IF(OR(L284="",K284=""),"",IFERROR(L284/K284*1000,0))</f>
        <v/>
      </c>
      <c r="R284" s="47" t="str">
        <f aca="false">IF(OR(M284="High",M284="Critical"),"YES","")</f>
        <v/>
      </c>
    </row>
    <row r="285" customFormat="false" ht="15" hidden="false" customHeight="true" outlineLevel="0" collapsed="false">
      <c r="A285" s="47" t="n">
        <f aca="false">'Fault &amp; Downtime Entry'!A286</f>
        <v>281</v>
      </c>
      <c r="B285" s="48" t="n">
        <f aca="false">'Fault &amp; Downtime Entry'!B286</f>
        <v>0</v>
      </c>
      <c r="C285" s="47" t="n">
        <f aca="false">'Fault &amp; Downtime Entry'!C286</f>
        <v>0</v>
      </c>
      <c r="D285" s="47" t="n">
        <f aca="false">'Fault &amp; Downtime Entry'!D286</f>
        <v>0</v>
      </c>
      <c r="E285" s="47" t="n">
        <f aca="false">'Fault &amp; Downtime Entry'!E286</f>
        <v>0</v>
      </c>
      <c r="F285" s="47" t="str">
        <f aca="false">'Fault &amp; Downtime Entry'!F286</f>
        <v/>
      </c>
      <c r="G285" s="47" t="n">
        <f aca="false">'Fault &amp; Downtime Entry'!G286</f>
        <v>0</v>
      </c>
      <c r="H285" s="47" t="str">
        <f aca="false">'Fault &amp; Downtime Entry'!H286</f>
        <v/>
      </c>
      <c r="I285" s="47" t="str">
        <f aca="false">'Fault &amp; Downtime Entry'!I286</f>
        <v/>
      </c>
      <c r="J285" s="47" t="n">
        <f aca="false">'Fault &amp; Downtime Entry'!J286</f>
        <v>0</v>
      </c>
      <c r="K285" s="47" t="n">
        <f aca="false">'Fault &amp; Downtime Entry'!K286</f>
        <v>0</v>
      </c>
      <c r="L285" s="47" t="n">
        <f aca="false">'Fault &amp; Downtime Entry'!L286</f>
        <v>0</v>
      </c>
      <c r="M285" s="47" t="str">
        <f aca="false">'Fault &amp; Downtime Entry'!M286</f>
        <v/>
      </c>
      <c r="N285" s="47" t="n">
        <f aca="false">'Fault &amp; Downtime Entry'!N286</f>
        <v>0</v>
      </c>
      <c r="O285" s="47" t="n">
        <f aca="false">'Fault &amp; Downtime Entry'!O286</f>
        <v>0</v>
      </c>
      <c r="P285" s="47" t="str">
        <f aca="false">IF(OR(J285="",K285=""),"",IFERROR(J285/K285*1000,0))</f>
        <v/>
      </c>
      <c r="Q285" s="47" t="str">
        <f aca="false">IF(OR(L285="",K285=""),"",IFERROR(L285/K285*1000,0))</f>
        <v/>
      </c>
      <c r="R285" s="47" t="str">
        <f aca="false">IF(OR(M285="High",M285="Critical"),"YES","")</f>
        <v/>
      </c>
    </row>
    <row r="286" customFormat="false" ht="15" hidden="false" customHeight="true" outlineLevel="0" collapsed="false">
      <c r="A286" s="47" t="n">
        <f aca="false">'Fault &amp; Downtime Entry'!A287</f>
        <v>282</v>
      </c>
      <c r="B286" s="48" t="n">
        <f aca="false">'Fault &amp; Downtime Entry'!B287</f>
        <v>0</v>
      </c>
      <c r="C286" s="47" t="n">
        <f aca="false">'Fault &amp; Downtime Entry'!C287</f>
        <v>0</v>
      </c>
      <c r="D286" s="47" t="n">
        <f aca="false">'Fault &amp; Downtime Entry'!D287</f>
        <v>0</v>
      </c>
      <c r="E286" s="47" t="n">
        <f aca="false">'Fault &amp; Downtime Entry'!E287</f>
        <v>0</v>
      </c>
      <c r="F286" s="47" t="str">
        <f aca="false">'Fault &amp; Downtime Entry'!F287</f>
        <v/>
      </c>
      <c r="G286" s="47" t="n">
        <f aca="false">'Fault &amp; Downtime Entry'!G287</f>
        <v>0</v>
      </c>
      <c r="H286" s="47" t="str">
        <f aca="false">'Fault &amp; Downtime Entry'!H287</f>
        <v/>
      </c>
      <c r="I286" s="47" t="str">
        <f aca="false">'Fault &amp; Downtime Entry'!I287</f>
        <v/>
      </c>
      <c r="J286" s="47" t="n">
        <f aca="false">'Fault &amp; Downtime Entry'!J287</f>
        <v>0</v>
      </c>
      <c r="K286" s="47" t="n">
        <f aca="false">'Fault &amp; Downtime Entry'!K287</f>
        <v>0</v>
      </c>
      <c r="L286" s="47" t="n">
        <f aca="false">'Fault &amp; Downtime Entry'!L287</f>
        <v>0</v>
      </c>
      <c r="M286" s="47" t="str">
        <f aca="false">'Fault &amp; Downtime Entry'!M287</f>
        <v/>
      </c>
      <c r="N286" s="47" t="n">
        <f aca="false">'Fault &amp; Downtime Entry'!N287</f>
        <v>0</v>
      </c>
      <c r="O286" s="47" t="n">
        <f aca="false">'Fault &amp; Downtime Entry'!O287</f>
        <v>0</v>
      </c>
      <c r="P286" s="47" t="str">
        <f aca="false">IF(OR(J286="",K286=""),"",IFERROR(J286/K286*1000,0))</f>
        <v/>
      </c>
      <c r="Q286" s="47" t="str">
        <f aca="false">IF(OR(L286="",K286=""),"",IFERROR(L286/K286*1000,0))</f>
        <v/>
      </c>
      <c r="R286" s="47" t="str">
        <f aca="false">IF(OR(M286="High",M286="Critical"),"YES","")</f>
        <v/>
      </c>
    </row>
    <row r="287" customFormat="false" ht="15" hidden="false" customHeight="true" outlineLevel="0" collapsed="false">
      <c r="A287" s="47" t="n">
        <f aca="false">'Fault &amp; Downtime Entry'!A288</f>
        <v>283</v>
      </c>
      <c r="B287" s="48" t="n">
        <f aca="false">'Fault &amp; Downtime Entry'!B288</f>
        <v>0</v>
      </c>
      <c r="C287" s="47" t="n">
        <f aca="false">'Fault &amp; Downtime Entry'!C288</f>
        <v>0</v>
      </c>
      <c r="D287" s="47" t="n">
        <f aca="false">'Fault &amp; Downtime Entry'!D288</f>
        <v>0</v>
      </c>
      <c r="E287" s="47" t="n">
        <f aca="false">'Fault &amp; Downtime Entry'!E288</f>
        <v>0</v>
      </c>
      <c r="F287" s="47" t="str">
        <f aca="false">'Fault &amp; Downtime Entry'!F288</f>
        <v/>
      </c>
      <c r="G287" s="47" t="n">
        <f aca="false">'Fault &amp; Downtime Entry'!G288</f>
        <v>0</v>
      </c>
      <c r="H287" s="47" t="str">
        <f aca="false">'Fault &amp; Downtime Entry'!H288</f>
        <v/>
      </c>
      <c r="I287" s="47" t="str">
        <f aca="false">'Fault &amp; Downtime Entry'!I288</f>
        <v/>
      </c>
      <c r="J287" s="47" t="n">
        <f aca="false">'Fault &amp; Downtime Entry'!J288</f>
        <v>0</v>
      </c>
      <c r="K287" s="47" t="n">
        <f aca="false">'Fault &amp; Downtime Entry'!K288</f>
        <v>0</v>
      </c>
      <c r="L287" s="47" t="n">
        <f aca="false">'Fault &amp; Downtime Entry'!L288</f>
        <v>0</v>
      </c>
      <c r="M287" s="47" t="str">
        <f aca="false">'Fault &amp; Downtime Entry'!M288</f>
        <v/>
      </c>
      <c r="N287" s="47" t="n">
        <f aca="false">'Fault &amp; Downtime Entry'!N288</f>
        <v>0</v>
      </c>
      <c r="O287" s="47" t="n">
        <f aca="false">'Fault &amp; Downtime Entry'!O288</f>
        <v>0</v>
      </c>
      <c r="P287" s="47" t="str">
        <f aca="false">IF(OR(J287="",K287=""),"",IFERROR(J287/K287*1000,0))</f>
        <v/>
      </c>
      <c r="Q287" s="47" t="str">
        <f aca="false">IF(OR(L287="",K287=""),"",IFERROR(L287/K287*1000,0))</f>
        <v/>
      </c>
      <c r="R287" s="47" t="str">
        <f aca="false">IF(OR(M287="High",M287="Critical"),"YES","")</f>
        <v/>
      </c>
    </row>
    <row r="288" customFormat="false" ht="15" hidden="false" customHeight="true" outlineLevel="0" collapsed="false">
      <c r="A288" s="47" t="n">
        <f aca="false">'Fault &amp; Downtime Entry'!A289</f>
        <v>284</v>
      </c>
      <c r="B288" s="48" t="n">
        <f aca="false">'Fault &amp; Downtime Entry'!B289</f>
        <v>0</v>
      </c>
      <c r="C288" s="47" t="n">
        <f aca="false">'Fault &amp; Downtime Entry'!C289</f>
        <v>0</v>
      </c>
      <c r="D288" s="47" t="n">
        <f aca="false">'Fault &amp; Downtime Entry'!D289</f>
        <v>0</v>
      </c>
      <c r="E288" s="47" t="n">
        <f aca="false">'Fault &amp; Downtime Entry'!E289</f>
        <v>0</v>
      </c>
      <c r="F288" s="47" t="str">
        <f aca="false">'Fault &amp; Downtime Entry'!F289</f>
        <v/>
      </c>
      <c r="G288" s="47" t="n">
        <f aca="false">'Fault &amp; Downtime Entry'!G289</f>
        <v>0</v>
      </c>
      <c r="H288" s="47" t="str">
        <f aca="false">'Fault &amp; Downtime Entry'!H289</f>
        <v/>
      </c>
      <c r="I288" s="47" t="str">
        <f aca="false">'Fault &amp; Downtime Entry'!I289</f>
        <v/>
      </c>
      <c r="J288" s="47" t="n">
        <f aca="false">'Fault &amp; Downtime Entry'!J289</f>
        <v>0</v>
      </c>
      <c r="K288" s="47" t="n">
        <f aca="false">'Fault &amp; Downtime Entry'!K289</f>
        <v>0</v>
      </c>
      <c r="L288" s="47" t="n">
        <f aca="false">'Fault &amp; Downtime Entry'!L289</f>
        <v>0</v>
      </c>
      <c r="M288" s="47" t="str">
        <f aca="false">'Fault &amp; Downtime Entry'!M289</f>
        <v/>
      </c>
      <c r="N288" s="47" t="n">
        <f aca="false">'Fault &amp; Downtime Entry'!N289</f>
        <v>0</v>
      </c>
      <c r="O288" s="47" t="n">
        <f aca="false">'Fault &amp; Downtime Entry'!O289</f>
        <v>0</v>
      </c>
      <c r="P288" s="47" t="str">
        <f aca="false">IF(OR(J288="",K288=""),"",IFERROR(J288/K288*1000,0))</f>
        <v/>
      </c>
      <c r="Q288" s="47" t="str">
        <f aca="false">IF(OR(L288="",K288=""),"",IFERROR(L288/K288*1000,0))</f>
        <v/>
      </c>
      <c r="R288" s="47" t="str">
        <f aca="false">IF(OR(M288="High",M288="Critical"),"YES","")</f>
        <v/>
      </c>
    </row>
    <row r="289" customFormat="false" ht="15" hidden="false" customHeight="true" outlineLevel="0" collapsed="false">
      <c r="A289" s="47" t="n">
        <f aca="false">'Fault &amp; Downtime Entry'!A290</f>
        <v>285</v>
      </c>
      <c r="B289" s="48" t="n">
        <f aca="false">'Fault &amp; Downtime Entry'!B290</f>
        <v>0</v>
      </c>
      <c r="C289" s="47" t="n">
        <f aca="false">'Fault &amp; Downtime Entry'!C290</f>
        <v>0</v>
      </c>
      <c r="D289" s="47" t="n">
        <f aca="false">'Fault &amp; Downtime Entry'!D290</f>
        <v>0</v>
      </c>
      <c r="E289" s="47" t="n">
        <f aca="false">'Fault &amp; Downtime Entry'!E290</f>
        <v>0</v>
      </c>
      <c r="F289" s="47" t="str">
        <f aca="false">'Fault &amp; Downtime Entry'!F290</f>
        <v/>
      </c>
      <c r="G289" s="47" t="n">
        <f aca="false">'Fault &amp; Downtime Entry'!G290</f>
        <v>0</v>
      </c>
      <c r="H289" s="47" t="str">
        <f aca="false">'Fault &amp; Downtime Entry'!H290</f>
        <v/>
      </c>
      <c r="I289" s="47" t="str">
        <f aca="false">'Fault &amp; Downtime Entry'!I290</f>
        <v/>
      </c>
      <c r="J289" s="47" t="n">
        <f aca="false">'Fault &amp; Downtime Entry'!J290</f>
        <v>0</v>
      </c>
      <c r="K289" s="47" t="n">
        <f aca="false">'Fault &amp; Downtime Entry'!K290</f>
        <v>0</v>
      </c>
      <c r="L289" s="47" t="n">
        <f aca="false">'Fault &amp; Downtime Entry'!L290</f>
        <v>0</v>
      </c>
      <c r="M289" s="47" t="str">
        <f aca="false">'Fault &amp; Downtime Entry'!M290</f>
        <v/>
      </c>
      <c r="N289" s="47" t="n">
        <f aca="false">'Fault &amp; Downtime Entry'!N290</f>
        <v>0</v>
      </c>
      <c r="O289" s="47" t="n">
        <f aca="false">'Fault &amp; Downtime Entry'!O290</f>
        <v>0</v>
      </c>
      <c r="P289" s="47" t="str">
        <f aca="false">IF(OR(J289="",K289=""),"",IFERROR(J289/K289*1000,0))</f>
        <v/>
      </c>
      <c r="Q289" s="47" t="str">
        <f aca="false">IF(OR(L289="",K289=""),"",IFERROR(L289/K289*1000,0))</f>
        <v/>
      </c>
      <c r="R289" s="47" t="str">
        <f aca="false">IF(OR(M289="High",M289="Critical"),"YES","")</f>
        <v/>
      </c>
    </row>
    <row r="290" customFormat="false" ht="15" hidden="false" customHeight="true" outlineLevel="0" collapsed="false">
      <c r="A290" s="47" t="n">
        <f aca="false">'Fault &amp; Downtime Entry'!A291</f>
        <v>286</v>
      </c>
      <c r="B290" s="48" t="n">
        <f aca="false">'Fault &amp; Downtime Entry'!B291</f>
        <v>0</v>
      </c>
      <c r="C290" s="47" t="n">
        <f aca="false">'Fault &amp; Downtime Entry'!C291</f>
        <v>0</v>
      </c>
      <c r="D290" s="47" t="n">
        <f aca="false">'Fault &amp; Downtime Entry'!D291</f>
        <v>0</v>
      </c>
      <c r="E290" s="47" t="n">
        <f aca="false">'Fault &amp; Downtime Entry'!E291</f>
        <v>0</v>
      </c>
      <c r="F290" s="47" t="str">
        <f aca="false">'Fault &amp; Downtime Entry'!F291</f>
        <v/>
      </c>
      <c r="G290" s="47" t="n">
        <f aca="false">'Fault &amp; Downtime Entry'!G291</f>
        <v>0</v>
      </c>
      <c r="H290" s="47" t="str">
        <f aca="false">'Fault &amp; Downtime Entry'!H291</f>
        <v/>
      </c>
      <c r="I290" s="47" t="str">
        <f aca="false">'Fault &amp; Downtime Entry'!I291</f>
        <v/>
      </c>
      <c r="J290" s="47" t="n">
        <f aca="false">'Fault &amp; Downtime Entry'!J291</f>
        <v>0</v>
      </c>
      <c r="K290" s="47" t="n">
        <f aca="false">'Fault &amp; Downtime Entry'!K291</f>
        <v>0</v>
      </c>
      <c r="L290" s="47" t="n">
        <f aca="false">'Fault &amp; Downtime Entry'!L291</f>
        <v>0</v>
      </c>
      <c r="M290" s="47" t="str">
        <f aca="false">'Fault &amp; Downtime Entry'!M291</f>
        <v/>
      </c>
      <c r="N290" s="47" t="n">
        <f aca="false">'Fault &amp; Downtime Entry'!N291</f>
        <v>0</v>
      </c>
      <c r="O290" s="47" t="n">
        <f aca="false">'Fault &amp; Downtime Entry'!O291</f>
        <v>0</v>
      </c>
      <c r="P290" s="47" t="str">
        <f aca="false">IF(OR(J290="",K290=""),"",IFERROR(J290/K290*1000,0))</f>
        <v/>
      </c>
      <c r="Q290" s="47" t="str">
        <f aca="false">IF(OR(L290="",K290=""),"",IFERROR(L290/K290*1000,0))</f>
        <v/>
      </c>
      <c r="R290" s="47" t="str">
        <f aca="false">IF(OR(M290="High",M290="Critical"),"YES","")</f>
        <v/>
      </c>
    </row>
    <row r="291" customFormat="false" ht="15" hidden="false" customHeight="true" outlineLevel="0" collapsed="false">
      <c r="A291" s="47" t="n">
        <f aca="false">'Fault &amp; Downtime Entry'!A292</f>
        <v>287</v>
      </c>
      <c r="B291" s="48" t="n">
        <f aca="false">'Fault &amp; Downtime Entry'!B292</f>
        <v>0</v>
      </c>
      <c r="C291" s="47" t="n">
        <f aca="false">'Fault &amp; Downtime Entry'!C292</f>
        <v>0</v>
      </c>
      <c r="D291" s="47" t="n">
        <f aca="false">'Fault &amp; Downtime Entry'!D292</f>
        <v>0</v>
      </c>
      <c r="E291" s="47" t="n">
        <f aca="false">'Fault &amp; Downtime Entry'!E292</f>
        <v>0</v>
      </c>
      <c r="F291" s="47" t="str">
        <f aca="false">'Fault &amp; Downtime Entry'!F292</f>
        <v/>
      </c>
      <c r="G291" s="47" t="n">
        <f aca="false">'Fault &amp; Downtime Entry'!G292</f>
        <v>0</v>
      </c>
      <c r="H291" s="47" t="str">
        <f aca="false">'Fault &amp; Downtime Entry'!H292</f>
        <v/>
      </c>
      <c r="I291" s="47" t="str">
        <f aca="false">'Fault &amp; Downtime Entry'!I292</f>
        <v/>
      </c>
      <c r="J291" s="47" t="n">
        <f aca="false">'Fault &amp; Downtime Entry'!J292</f>
        <v>0</v>
      </c>
      <c r="K291" s="47" t="n">
        <f aca="false">'Fault &amp; Downtime Entry'!K292</f>
        <v>0</v>
      </c>
      <c r="L291" s="47" t="n">
        <f aca="false">'Fault &amp; Downtime Entry'!L292</f>
        <v>0</v>
      </c>
      <c r="M291" s="47" t="str">
        <f aca="false">'Fault &amp; Downtime Entry'!M292</f>
        <v/>
      </c>
      <c r="N291" s="47" t="n">
        <f aca="false">'Fault &amp; Downtime Entry'!N292</f>
        <v>0</v>
      </c>
      <c r="O291" s="47" t="n">
        <f aca="false">'Fault &amp; Downtime Entry'!O292</f>
        <v>0</v>
      </c>
      <c r="P291" s="47" t="str">
        <f aca="false">IF(OR(J291="",K291=""),"",IFERROR(J291/K291*1000,0))</f>
        <v/>
      </c>
      <c r="Q291" s="47" t="str">
        <f aca="false">IF(OR(L291="",K291=""),"",IFERROR(L291/K291*1000,0))</f>
        <v/>
      </c>
      <c r="R291" s="47" t="str">
        <f aca="false">IF(OR(M291="High",M291="Critical"),"YES","")</f>
        <v/>
      </c>
    </row>
    <row r="292" customFormat="false" ht="15" hidden="false" customHeight="true" outlineLevel="0" collapsed="false">
      <c r="A292" s="47" t="n">
        <f aca="false">'Fault &amp; Downtime Entry'!A293</f>
        <v>288</v>
      </c>
      <c r="B292" s="48" t="n">
        <f aca="false">'Fault &amp; Downtime Entry'!B293</f>
        <v>0</v>
      </c>
      <c r="C292" s="47" t="n">
        <f aca="false">'Fault &amp; Downtime Entry'!C293</f>
        <v>0</v>
      </c>
      <c r="D292" s="47" t="n">
        <f aca="false">'Fault &amp; Downtime Entry'!D293</f>
        <v>0</v>
      </c>
      <c r="E292" s="47" t="n">
        <f aca="false">'Fault &amp; Downtime Entry'!E293</f>
        <v>0</v>
      </c>
      <c r="F292" s="47" t="str">
        <f aca="false">'Fault &amp; Downtime Entry'!F293</f>
        <v/>
      </c>
      <c r="G292" s="47" t="n">
        <f aca="false">'Fault &amp; Downtime Entry'!G293</f>
        <v>0</v>
      </c>
      <c r="H292" s="47" t="str">
        <f aca="false">'Fault &amp; Downtime Entry'!H293</f>
        <v/>
      </c>
      <c r="I292" s="47" t="str">
        <f aca="false">'Fault &amp; Downtime Entry'!I293</f>
        <v/>
      </c>
      <c r="J292" s="47" t="n">
        <f aca="false">'Fault &amp; Downtime Entry'!J293</f>
        <v>0</v>
      </c>
      <c r="K292" s="47" t="n">
        <f aca="false">'Fault &amp; Downtime Entry'!K293</f>
        <v>0</v>
      </c>
      <c r="L292" s="47" t="n">
        <f aca="false">'Fault &amp; Downtime Entry'!L293</f>
        <v>0</v>
      </c>
      <c r="M292" s="47" t="str">
        <f aca="false">'Fault &amp; Downtime Entry'!M293</f>
        <v/>
      </c>
      <c r="N292" s="47" t="n">
        <f aca="false">'Fault &amp; Downtime Entry'!N293</f>
        <v>0</v>
      </c>
      <c r="O292" s="47" t="n">
        <f aca="false">'Fault &amp; Downtime Entry'!O293</f>
        <v>0</v>
      </c>
      <c r="P292" s="47" t="str">
        <f aca="false">IF(OR(J292="",K292=""),"",IFERROR(J292/K292*1000,0))</f>
        <v/>
      </c>
      <c r="Q292" s="47" t="str">
        <f aca="false">IF(OR(L292="",K292=""),"",IFERROR(L292/K292*1000,0))</f>
        <v/>
      </c>
      <c r="R292" s="47" t="str">
        <f aca="false">IF(OR(M292="High",M292="Critical"),"YES","")</f>
        <v/>
      </c>
    </row>
    <row r="293" customFormat="false" ht="15" hidden="false" customHeight="true" outlineLevel="0" collapsed="false">
      <c r="A293" s="47" t="n">
        <f aca="false">'Fault &amp; Downtime Entry'!A294</f>
        <v>289</v>
      </c>
      <c r="B293" s="48" t="n">
        <f aca="false">'Fault &amp; Downtime Entry'!B294</f>
        <v>0</v>
      </c>
      <c r="C293" s="47" t="n">
        <f aca="false">'Fault &amp; Downtime Entry'!C294</f>
        <v>0</v>
      </c>
      <c r="D293" s="47" t="n">
        <f aca="false">'Fault &amp; Downtime Entry'!D294</f>
        <v>0</v>
      </c>
      <c r="E293" s="47" t="n">
        <f aca="false">'Fault &amp; Downtime Entry'!E294</f>
        <v>0</v>
      </c>
      <c r="F293" s="47" t="str">
        <f aca="false">'Fault &amp; Downtime Entry'!F294</f>
        <v/>
      </c>
      <c r="G293" s="47" t="n">
        <f aca="false">'Fault &amp; Downtime Entry'!G294</f>
        <v>0</v>
      </c>
      <c r="H293" s="47" t="str">
        <f aca="false">'Fault &amp; Downtime Entry'!H294</f>
        <v/>
      </c>
      <c r="I293" s="47" t="str">
        <f aca="false">'Fault &amp; Downtime Entry'!I294</f>
        <v/>
      </c>
      <c r="J293" s="47" t="n">
        <f aca="false">'Fault &amp; Downtime Entry'!J294</f>
        <v>0</v>
      </c>
      <c r="K293" s="47" t="n">
        <f aca="false">'Fault &amp; Downtime Entry'!K294</f>
        <v>0</v>
      </c>
      <c r="L293" s="47" t="n">
        <f aca="false">'Fault &amp; Downtime Entry'!L294</f>
        <v>0</v>
      </c>
      <c r="M293" s="47" t="str">
        <f aca="false">'Fault &amp; Downtime Entry'!M294</f>
        <v/>
      </c>
      <c r="N293" s="47" t="n">
        <f aca="false">'Fault &amp; Downtime Entry'!N294</f>
        <v>0</v>
      </c>
      <c r="O293" s="47" t="n">
        <f aca="false">'Fault &amp; Downtime Entry'!O294</f>
        <v>0</v>
      </c>
      <c r="P293" s="47" t="str">
        <f aca="false">IF(OR(J293="",K293=""),"",IFERROR(J293/K293*1000,0))</f>
        <v/>
      </c>
      <c r="Q293" s="47" t="str">
        <f aca="false">IF(OR(L293="",K293=""),"",IFERROR(L293/K293*1000,0))</f>
        <v/>
      </c>
      <c r="R293" s="47" t="str">
        <f aca="false">IF(OR(M293="High",M293="Critical"),"YES","")</f>
        <v/>
      </c>
    </row>
    <row r="294" customFormat="false" ht="15" hidden="false" customHeight="true" outlineLevel="0" collapsed="false">
      <c r="A294" s="47" t="n">
        <f aca="false">'Fault &amp; Downtime Entry'!A295</f>
        <v>290</v>
      </c>
      <c r="B294" s="48" t="n">
        <f aca="false">'Fault &amp; Downtime Entry'!B295</f>
        <v>0</v>
      </c>
      <c r="C294" s="47" t="n">
        <f aca="false">'Fault &amp; Downtime Entry'!C295</f>
        <v>0</v>
      </c>
      <c r="D294" s="47" t="n">
        <f aca="false">'Fault &amp; Downtime Entry'!D295</f>
        <v>0</v>
      </c>
      <c r="E294" s="47" t="n">
        <f aca="false">'Fault &amp; Downtime Entry'!E295</f>
        <v>0</v>
      </c>
      <c r="F294" s="47" t="str">
        <f aca="false">'Fault &amp; Downtime Entry'!F295</f>
        <v/>
      </c>
      <c r="G294" s="47" t="n">
        <f aca="false">'Fault &amp; Downtime Entry'!G295</f>
        <v>0</v>
      </c>
      <c r="H294" s="47" t="str">
        <f aca="false">'Fault &amp; Downtime Entry'!H295</f>
        <v/>
      </c>
      <c r="I294" s="47" t="str">
        <f aca="false">'Fault &amp; Downtime Entry'!I295</f>
        <v/>
      </c>
      <c r="J294" s="47" t="n">
        <f aca="false">'Fault &amp; Downtime Entry'!J295</f>
        <v>0</v>
      </c>
      <c r="K294" s="47" t="n">
        <f aca="false">'Fault &amp; Downtime Entry'!K295</f>
        <v>0</v>
      </c>
      <c r="L294" s="47" t="n">
        <f aca="false">'Fault &amp; Downtime Entry'!L295</f>
        <v>0</v>
      </c>
      <c r="M294" s="47" t="str">
        <f aca="false">'Fault &amp; Downtime Entry'!M295</f>
        <v/>
      </c>
      <c r="N294" s="47" t="n">
        <f aca="false">'Fault &amp; Downtime Entry'!N295</f>
        <v>0</v>
      </c>
      <c r="O294" s="47" t="n">
        <f aca="false">'Fault &amp; Downtime Entry'!O295</f>
        <v>0</v>
      </c>
      <c r="P294" s="47" t="str">
        <f aca="false">IF(OR(J294="",K294=""),"",IFERROR(J294/K294*1000,0))</f>
        <v/>
      </c>
      <c r="Q294" s="47" t="str">
        <f aca="false">IF(OR(L294="",K294=""),"",IFERROR(L294/K294*1000,0))</f>
        <v/>
      </c>
      <c r="R294" s="47" t="str">
        <f aca="false">IF(OR(M294="High",M294="Critical"),"YES","")</f>
        <v/>
      </c>
    </row>
    <row r="295" customFormat="false" ht="15" hidden="false" customHeight="true" outlineLevel="0" collapsed="false">
      <c r="A295" s="47" t="n">
        <f aca="false">'Fault &amp; Downtime Entry'!A296</f>
        <v>291</v>
      </c>
      <c r="B295" s="48" t="n">
        <f aca="false">'Fault &amp; Downtime Entry'!B296</f>
        <v>0</v>
      </c>
      <c r="C295" s="47" t="n">
        <f aca="false">'Fault &amp; Downtime Entry'!C296</f>
        <v>0</v>
      </c>
      <c r="D295" s="47" t="n">
        <f aca="false">'Fault &amp; Downtime Entry'!D296</f>
        <v>0</v>
      </c>
      <c r="E295" s="47" t="n">
        <f aca="false">'Fault &amp; Downtime Entry'!E296</f>
        <v>0</v>
      </c>
      <c r="F295" s="47" t="str">
        <f aca="false">'Fault &amp; Downtime Entry'!F296</f>
        <v/>
      </c>
      <c r="G295" s="47" t="n">
        <f aca="false">'Fault &amp; Downtime Entry'!G296</f>
        <v>0</v>
      </c>
      <c r="H295" s="47" t="str">
        <f aca="false">'Fault &amp; Downtime Entry'!H296</f>
        <v/>
      </c>
      <c r="I295" s="47" t="str">
        <f aca="false">'Fault &amp; Downtime Entry'!I296</f>
        <v/>
      </c>
      <c r="J295" s="47" t="n">
        <f aca="false">'Fault &amp; Downtime Entry'!J296</f>
        <v>0</v>
      </c>
      <c r="K295" s="47" t="n">
        <f aca="false">'Fault &amp; Downtime Entry'!K296</f>
        <v>0</v>
      </c>
      <c r="L295" s="47" t="n">
        <f aca="false">'Fault &amp; Downtime Entry'!L296</f>
        <v>0</v>
      </c>
      <c r="M295" s="47" t="str">
        <f aca="false">'Fault &amp; Downtime Entry'!M296</f>
        <v/>
      </c>
      <c r="N295" s="47" t="n">
        <f aca="false">'Fault &amp; Downtime Entry'!N296</f>
        <v>0</v>
      </c>
      <c r="O295" s="47" t="n">
        <f aca="false">'Fault &amp; Downtime Entry'!O296</f>
        <v>0</v>
      </c>
      <c r="P295" s="47" t="str">
        <f aca="false">IF(OR(J295="",K295=""),"",IFERROR(J295/K295*1000,0))</f>
        <v/>
      </c>
      <c r="Q295" s="47" t="str">
        <f aca="false">IF(OR(L295="",K295=""),"",IFERROR(L295/K295*1000,0))</f>
        <v/>
      </c>
      <c r="R295" s="47" t="str">
        <f aca="false">IF(OR(M295="High",M295="Critical"),"YES","")</f>
        <v/>
      </c>
    </row>
    <row r="296" customFormat="false" ht="15" hidden="false" customHeight="true" outlineLevel="0" collapsed="false">
      <c r="A296" s="47" t="n">
        <f aca="false">'Fault &amp; Downtime Entry'!A297</f>
        <v>292</v>
      </c>
      <c r="B296" s="48" t="n">
        <f aca="false">'Fault &amp; Downtime Entry'!B297</f>
        <v>0</v>
      </c>
      <c r="C296" s="47" t="n">
        <f aca="false">'Fault &amp; Downtime Entry'!C297</f>
        <v>0</v>
      </c>
      <c r="D296" s="47" t="n">
        <f aca="false">'Fault &amp; Downtime Entry'!D297</f>
        <v>0</v>
      </c>
      <c r="E296" s="47" t="n">
        <f aca="false">'Fault &amp; Downtime Entry'!E297</f>
        <v>0</v>
      </c>
      <c r="F296" s="47" t="str">
        <f aca="false">'Fault &amp; Downtime Entry'!F297</f>
        <v/>
      </c>
      <c r="G296" s="47" t="n">
        <f aca="false">'Fault &amp; Downtime Entry'!G297</f>
        <v>0</v>
      </c>
      <c r="H296" s="47" t="str">
        <f aca="false">'Fault &amp; Downtime Entry'!H297</f>
        <v/>
      </c>
      <c r="I296" s="47" t="str">
        <f aca="false">'Fault &amp; Downtime Entry'!I297</f>
        <v/>
      </c>
      <c r="J296" s="47" t="n">
        <f aca="false">'Fault &amp; Downtime Entry'!J297</f>
        <v>0</v>
      </c>
      <c r="K296" s="47" t="n">
        <f aca="false">'Fault &amp; Downtime Entry'!K297</f>
        <v>0</v>
      </c>
      <c r="L296" s="47" t="n">
        <f aca="false">'Fault &amp; Downtime Entry'!L297</f>
        <v>0</v>
      </c>
      <c r="M296" s="47" t="str">
        <f aca="false">'Fault &amp; Downtime Entry'!M297</f>
        <v/>
      </c>
      <c r="N296" s="47" t="n">
        <f aca="false">'Fault &amp; Downtime Entry'!N297</f>
        <v>0</v>
      </c>
      <c r="O296" s="47" t="n">
        <f aca="false">'Fault &amp; Downtime Entry'!O297</f>
        <v>0</v>
      </c>
      <c r="P296" s="47" t="str">
        <f aca="false">IF(OR(J296="",K296=""),"",IFERROR(J296/K296*1000,0))</f>
        <v/>
      </c>
      <c r="Q296" s="47" t="str">
        <f aca="false">IF(OR(L296="",K296=""),"",IFERROR(L296/K296*1000,0))</f>
        <v/>
      </c>
      <c r="R296" s="47" t="str">
        <f aca="false">IF(OR(M296="High",M296="Critical"),"YES","")</f>
        <v/>
      </c>
    </row>
    <row r="297" customFormat="false" ht="15" hidden="false" customHeight="true" outlineLevel="0" collapsed="false">
      <c r="A297" s="47" t="n">
        <f aca="false">'Fault &amp; Downtime Entry'!A298</f>
        <v>293</v>
      </c>
      <c r="B297" s="48" t="n">
        <f aca="false">'Fault &amp; Downtime Entry'!B298</f>
        <v>0</v>
      </c>
      <c r="C297" s="47" t="n">
        <f aca="false">'Fault &amp; Downtime Entry'!C298</f>
        <v>0</v>
      </c>
      <c r="D297" s="47" t="n">
        <f aca="false">'Fault &amp; Downtime Entry'!D298</f>
        <v>0</v>
      </c>
      <c r="E297" s="47" t="n">
        <f aca="false">'Fault &amp; Downtime Entry'!E298</f>
        <v>0</v>
      </c>
      <c r="F297" s="47" t="str">
        <f aca="false">'Fault &amp; Downtime Entry'!F298</f>
        <v/>
      </c>
      <c r="G297" s="47" t="n">
        <f aca="false">'Fault &amp; Downtime Entry'!G298</f>
        <v>0</v>
      </c>
      <c r="H297" s="47" t="str">
        <f aca="false">'Fault &amp; Downtime Entry'!H298</f>
        <v/>
      </c>
      <c r="I297" s="47" t="str">
        <f aca="false">'Fault &amp; Downtime Entry'!I298</f>
        <v/>
      </c>
      <c r="J297" s="47" t="n">
        <f aca="false">'Fault &amp; Downtime Entry'!J298</f>
        <v>0</v>
      </c>
      <c r="K297" s="47" t="n">
        <f aca="false">'Fault &amp; Downtime Entry'!K298</f>
        <v>0</v>
      </c>
      <c r="L297" s="47" t="n">
        <f aca="false">'Fault &amp; Downtime Entry'!L298</f>
        <v>0</v>
      </c>
      <c r="M297" s="47" t="str">
        <f aca="false">'Fault &amp; Downtime Entry'!M298</f>
        <v/>
      </c>
      <c r="N297" s="47" t="n">
        <f aca="false">'Fault &amp; Downtime Entry'!N298</f>
        <v>0</v>
      </c>
      <c r="O297" s="47" t="n">
        <f aca="false">'Fault &amp; Downtime Entry'!O298</f>
        <v>0</v>
      </c>
      <c r="P297" s="47" t="str">
        <f aca="false">IF(OR(J297="",K297=""),"",IFERROR(J297/K297*1000,0))</f>
        <v/>
      </c>
      <c r="Q297" s="47" t="str">
        <f aca="false">IF(OR(L297="",K297=""),"",IFERROR(L297/K297*1000,0))</f>
        <v/>
      </c>
      <c r="R297" s="47" t="str">
        <f aca="false">IF(OR(M297="High",M297="Critical"),"YES","")</f>
        <v/>
      </c>
    </row>
    <row r="298" customFormat="false" ht="15" hidden="false" customHeight="true" outlineLevel="0" collapsed="false">
      <c r="A298" s="47" t="n">
        <f aca="false">'Fault &amp; Downtime Entry'!A299</f>
        <v>294</v>
      </c>
      <c r="B298" s="48" t="n">
        <f aca="false">'Fault &amp; Downtime Entry'!B299</f>
        <v>0</v>
      </c>
      <c r="C298" s="47" t="n">
        <f aca="false">'Fault &amp; Downtime Entry'!C299</f>
        <v>0</v>
      </c>
      <c r="D298" s="47" t="n">
        <f aca="false">'Fault &amp; Downtime Entry'!D299</f>
        <v>0</v>
      </c>
      <c r="E298" s="47" t="n">
        <f aca="false">'Fault &amp; Downtime Entry'!E299</f>
        <v>0</v>
      </c>
      <c r="F298" s="47" t="str">
        <f aca="false">'Fault &amp; Downtime Entry'!F299</f>
        <v/>
      </c>
      <c r="G298" s="47" t="n">
        <f aca="false">'Fault &amp; Downtime Entry'!G299</f>
        <v>0</v>
      </c>
      <c r="H298" s="47" t="str">
        <f aca="false">'Fault &amp; Downtime Entry'!H299</f>
        <v/>
      </c>
      <c r="I298" s="47" t="str">
        <f aca="false">'Fault &amp; Downtime Entry'!I299</f>
        <v/>
      </c>
      <c r="J298" s="47" t="n">
        <f aca="false">'Fault &amp; Downtime Entry'!J299</f>
        <v>0</v>
      </c>
      <c r="K298" s="47" t="n">
        <f aca="false">'Fault &amp; Downtime Entry'!K299</f>
        <v>0</v>
      </c>
      <c r="L298" s="47" t="n">
        <f aca="false">'Fault &amp; Downtime Entry'!L299</f>
        <v>0</v>
      </c>
      <c r="M298" s="47" t="str">
        <f aca="false">'Fault &amp; Downtime Entry'!M299</f>
        <v/>
      </c>
      <c r="N298" s="47" t="n">
        <f aca="false">'Fault &amp; Downtime Entry'!N299</f>
        <v>0</v>
      </c>
      <c r="O298" s="47" t="n">
        <f aca="false">'Fault &amp; Downtime Entry'!O299</f>
        <v>0</v>
      </c>
      <c r="P298" s="47" t="str">
        <f aca="false">IF(OR(J298="",K298=""),"",IFERROR(J298/K298*1000,0))</f>
        <v/>
      </c>
      <c r="Q298" s="47" t="str">
        <f aca="false">IF(OR(L298="",K298=""),"",IFERROR(L298/K298*1000,0))</f>
        <v/>
      </c>
      <c r="R298" s="47" t="str">
        <f aca="false">IF(OR(M298="High",M298="Critical"),"YES","")</f>
        <v/>
      </c>
    </row>
    <row r="299" customFormat="false" ht="15" hidden="false" customHeight="true" outlineLevel="0" collapsed="false">
      <c r="A299" s="47" t="n">
        <f aca="false">'Fault &amp; Downtime Entry'!A300</f>
        <v>295</v>
      </c>
      <c r="B299" s="48" t="n">
        <f aca="false">'Fault &amp; Downtime Entry'!B300</f>
        <v>0</v>
      </c>
      <c r="C299" s="47" t="n">
        <f aca="false">'Fault &amp; Downtime Entry'!C300</f>
        <v>0</v>
      </c>
      <c r="D299" s="47" t="n">
        <f aca="false">'Fault &amp; Downtime Entry'!D300</f>
        <v>0</v>
      </c>
      <c r="E299" s="47" t="n">
        <f aca="false">'Fault &amp; Downtime Entry'!E300</f>
        <v>0</v>
      </c>
      <c r="F299" s="47" t="str">
        <f aca="false">'Fault &amp; Downtime Entry'!F300</f>
        <v/>
      </c>
      <c r="G299" s="47" t="n">
        <f aca="false">'Fault &amp; Downtime Entry'!G300</f>
        <v>0</v>
      </c>
      <c r="H299" s="47" t="str">
        <f aca="false">'Fault &amp; Downtime Entry'!H300</f>
        <v/>
      </c>
      <c r="I299" s="47" t="str">
        <f aca="false">'Fault &amp; Downtime Entry'!I300</f>
        <v/>
      </c>
      <c r="J299" s="47" t="n">
        <f aca="false">'Fault &amp; Downtime Entry'!J300</f>
        <v>0</v>
      </c>
      <c r="K299" s="47" t="n">
        <f aca="false">'Fault &amp; Downtime Entry'!K300</f>
        <v>0</v>
      </c>
      <c r="L299" s="47" t="n">
        <f aca="false">'Fault &amp; Downtime Entry'!L300</f>
        <v>0</v>
      </c>
      <c r="M299" s="47" t="str">
        <f aca="false">'Fault &amp; Downtime Entry'!M300</f>
        <v/>
      </c>
      <c r="N299" s="47" t="n">
        <f aca="false">'Fault &amp; Downtime Entry'!N300</f>
        <v>0</v>
      </c>
      <c r="O299" s="47" t="n">
        <f aca="false">'Fault &amp; Downtime Entry'!O300</f>
        <v>0</v>
      </c>
      <c r="P299" s="47" t="str">
        <f aca="false">IF(OR(J299="",K299=""),"",IFERROR(J299/K299*1000,0))</f>
        <v/>
      </c>
      <c r="Q299" s="47" t="str">
        <f aca="false">IF(OR(L299="",K299=""),"",IFERROR(L299/K299*1000,0))</f>
        <v/>
      </c>
      <c r="R299" s="47" t="str">
        <f aca="false">IF(OR(M299="High",M299="Critical"),"YES","")</f>
        <v/>
      </c>
    </row>
    <row r="300" customFormat="false" ht="15" hidden="false" customHeight="true" outlineLevel="0" collapsed="false">
      <c r="A300" s="47" t="n">
        <f aca="false">'Fault &amp; Downtime Entry'!A301</f>
        <v>296</v>
      </c>
      <c r="B300" s="48" t="n">
        <f aca="false">'Fault &amp; Downtime Entry'!B301</f>
        <v>0</v>
      </c>
      <c r="C300" s="47" t="n">
        <f aca="false">'Fault &amp; Downtime Entry'!C301</f>
        <v>0</v>
      </c>
      <c r="D300" s="47" t="n">
        <f aca="false">'Fault &amp; Downtime Entry'!D301</f>
        <v>0</v>
      </c>
      <c r="E300" s="47" t="n">
        <f aca="false">'Fault &amp; Downtime Entry'!E301</f>
        <v>0</v>
      </c>
      <c r="F300" s="47" t="str">
        <f aca="false">'Fault &amp; Downtime Entry'!F301</f>
        <v/>
      </c>
      <c r="G300" s="47" t="n">
        <f aca="false">'Fault &amp; Downtime Entry'!G301</f>
        <v>0</v>
      </c>
      <c r="H300" s="47" t="str">
        <f aca="false">'Fault &amp; Downtime Entry'!H301</f>
        <v/>
      </c>
      <c r="I300" s="47" t="str">
        <f aca="false">'Fault &amp; Downtime Entry'!I301</f>
        <v/>
      </c>
      <c r="J300" s="47" t="n">
        <f aca="false">'Fault &amp; Downtime Entry'!J301</f>
        <v>0</v>
      </c>
      <c r="K300" s="47" t="n">
        <f aca="false">'Fault &amp; Downtime Entry'!K301</f>
        <v>0</v>
      </c>
      <c r="L300" s="47" t="n">
        <f aca="false">'Fault &amp; Downtime Entry'!L301</f>
        <v>0</v>
      </c>
      <c r="M300" s="47" t="str">
        <f aca="false">'Fault &amp; Downtime Entry'!M301</f>
        <v/>
      </c>
      <c r="N300" s="47" t="n">
        <f aca="false">'Fault &amp; Downtime Entry'!N301</f>
        <v>0</v>
      </c>
      <c r="O300" s="47" t="n">
        <f aca="false">'Fault &amp; Downtime Entry'!O301</f>
        <v>0</v>
      </c>
      <c r="P300" s="47" t="str">
        <f aca="false">IF(OR(J300="",K300=""),"",IFERROR(J300/K300*1000,0))</f>
        <v/>
      </c>
      <c r="Q300" s="47" t="str">
        <f aca="false">IF(OR(L300="",K300=""),"",IFERROR(L300/K300*1000,0))</f>
        <v/>
      </c>
      <c r="R300" s="47" t="str">
        <f aca="false">IF(OR(M300="High",M300="Critical"),"YES","")</f>
        <v/>
      </c>
    </row>
    <row r="301" customFormat="false" ht="15" hidden="false" customHeight="true" outlineLevel="0" collapsed="false">
      <c r="A301" s="47" t="n">
        <f aca="false">'Fault &amp; Downtime Entry'!A302</f>
        <v>297</v>
      </c>
      <c r="B301" s="48" t="n">
        <f aca="false">'Fault &amp; Downtime Entry'!B302</f>
        <v>0</v>
      </c>
      <c r="C301" s="47" t="n">
        <f aca="false">'Fault &amp; Downtime Entry'!C302</f>
        <v>0</v>
      </c>
      <c r="D301" s="47" t="n">
        <f aca="false">'Fault &amp; Downtime Entry'!D302</f>
        <v>0</v>
      </c>
      <c r="E301" s="47" t="n">
        <f aca="false">'Fault &amp; Downtime Entry'!E302</f>
        <v>0</v>
      </c>
      <c r="F301" s="47" t="str">
        <f aca="false">'Fault &amp; Downtime Entry'!F302</f>
        <v/>
      </c>
      <c r="G301" s="47" t="n">
        <f aca="false">'Fault &amp; Downtime Entry'!G302</f>
        <v>0</v>
      </c>
      <c r="H301" s="47" t="str">
        <f aca="false">'Fault &amp; Downtime Entry'!H302</f>
        <v/>
      </c>
      <c r="I301" s="47" t="str">
        <f aca="false">'Fault &amp; Downtime Entry'!I302</f>
        <v/>
      </c>
      <c r="J301" s="47" t="n">
        <f aca="false">'Fault &amp; Downtime Entry'!J302</f>
        <v>0</v>
      </c>
      <c r="K301" s="47" t="n">
        <f aca="false">'Fault &amp; Downtime Entry'!K302</f>
        <v>0</v>
      </c>
      <c r="L301" s="47" t="n">
        <f aca="false">'Fault &amp; Downtime Entry'!L302</f>
        <v>0</v>
      </c>
      <c r="M301" s="47" t="str">
        <f aca="false">'Fault &amp; Downtime Entry'!M302</f>
        <v/>
      </c>
      <c r="N301" s="47" t="n">
        <f aca="false">'Fault &amp; Downtime Entry'!N302</f>
        <v>0</v>
      </c>
      <c r="O301" s="47" t="n">
        <f aca="false">'Fault &amp; Downtime Entry'!O302</f>
        <v>0</v>
      </c>
      <c r="P301" s="47" t="str">
        <f aca="false">IF(OR(J301="",K301=""),"",IFERROR(J301/K301*1000,0))</f>
        <v/>
      </c>
      <c r="Q301" s="47" t="str">
        <f aca="false">IF(OR(L301="",K301=""),"",IFERROR(L301/K301*1000,0))</f>
        <v/>
      </c>
      <c r="R301" s="47" t="str">
        <f aca="false">IF(OR(M301="High",M301="Critical"),"YES","")</f>
        <v/>
      </c>
    </row>
    <row r="302" customFormat="false" ht="15" hidden="false" customHeight="true" outlineLevel="0" collapsed="false">
      <c r="A302" s="47" t="n">
        <f aca="false">'Fault &amp; Downtime Entry'!A303</f>
        <v>298</v>
      </c>
      <c r="B302" s="48" t="n">
        <f aca="false">'Fault &amp; Downtime Entry'!B303</f>
        <v>0</v>
      </c>
      <c r="C302" s="47" t="n">
        <f aca="false">'Fault &amp; Downtime Entry'!C303</f>
        <v>0</v>
      </c>
      <c r="D302" s="47" t="n">
        <f aca="false">'Fault &amp; Downtime Entry'!D303</f>
        <v>0</v>
      </c>
      <c r="E302" s="47" t="n">
        <f aca="false">'Fault &amp; Downtime Entry'!E303</f>
        <v>0</v>
      </c>
      <c r="F302" s="47" t="str">
        <f aca="false">'Fault &amp; Downtime Entry'!F303</f>
        <v/>
      </c>
      <c r="G302" s="47" t="n">
        <f aca="false">'Fault &amp; Downtime Entry'!G303</f>
        <v>0</v>
      </c>
      <c r="H302" s="47" t="str">
        <f aca="false">'Fault &amp; Downtime Entry'!H303</f>
        <v/>
      </c>
      <c r="I302" s="47" t="str">
        <f aca="false">'Fault &amp; Downtime Entry'!I303</f>
        <v/>
      </c>
      <c r="J302" s="47" t="n">
        <f aca="false">'Fault &amp; Downtime Entry'!J303</f>
        <v>0</v>
      </c>
      <c r="K302" s="47" t="n">
        <f aca="false">'Fault &amp; Downtime Entry'!K303</f>
        <v>0</v>
      </c>
      <c r="L302" s="47" t="n">
        <f aca="false">'Fault &amp; Downtime Entry'!L303</f>
        <v>0</v>
      </c>
      <c r="M302" s="47" t="str">
        <f aca="false">'Fault &amp; Downtime Entry'!M303</f>
        <v/>
      </c>
      <c r="N302" s="47" t="n">
        <f aca="false">'Fault &amp; Downtime Entry'!N303</f>
        <v>0</v>
      </c>
      <c r="O302" s="47" t="n">
        <f aca="false">'Fault &amp; Downtime Entry'!O303</f>
        <v>0</v>
      </c>
      <c r="P302" s="47" t="str">
        <f aca="false">IF(OR(J302="",K302=""),"",IFERROR(J302/K302*1000,0))</f>
        <v/>
      </c>
      <c r="Q302" s="47" t="str">
        <f aca="false">IF(OR(L302="",K302=""),"",IFERROR(L302/K302*1000,0))</f>
        <v/>
      </c>
      <c r="R302" s="47" t="str">
        <f aca="false">IF(OR(M302="High",M302="Critical"),"YES","")</f>
        <v/>
      </c>
    </row>
    <row r="303" customFormat="false" ht="15" hidden="false" customHeight="true" outlineLevel="0" collapsed="false">
      <c r="A303" s="47" t="n">
        <f aca="false">'Fault &amp; Downtime Entry'!A304</f>
        <v>299</v>
      </c>
      <c r="B303" s="48" t="n">
        <f aca="false">'Fault &amp; Downtime Entry'!B304</f>
        <v>0</v>
      </c>
      <c r="C303" s="47" t="n">
        <f aca="false">'Fault &amp; Downtime Entry'!C304</f>
        <v>0</v>
      </c>
      <c r="D303" s="47" t="n">
        <f aca="false">'Fault &amp; Downtime Entry'!D304</f>
        <v>0</v>
      </c>
      <c r="E303" s="47" t="n">
        <f aca="false">'Fault &amp; Downtime Entry'!E304</f>
        <v>0</v>
      </c>
      <c r="F303" s="47" t="str">
        <f aca="false">'Fault &amp; Downtime Entry'!F304</f>
        <v/>
      </c>
      <c r="G303" s="47" t="n">
        <f aca="false">'Fault &amp; Downtime Entry'!G304</f>
        <v>0</v>
      </c>
      <c r="H303" s="47" t="str">
        <f aca="false">'Fault &amp; Downtime Entry'!H304</f>
        <v/>
      </c>
      <c r="I303" s="47" t="str">
        <f aca="false">'Fault &amp; Downtime Entry'!I304</f>
        <v/>
      </c>
      <c r="J303" s="47" t="n">
        <f aca="false">'Fault &amp; Downtime Entry'!J304</f>
        <v>0</v>
      </c>
      <c r="K303" s="47" t="n">
        <f aca="false">'Fault &amp; Downtime Entry'!K304</f>
        <v>0</v>
      </c>
      <c r="L303" s="47" t="n">
        <f aca="false">'Fault &amp; Downtime Entry'!L304</f>
        <v>0</v>
      </c>
      <c r="M303" s="47" t="str">
        <f aca="false">'Fault &amp; Downtime Entry'!M304</f>
        <v/>
      </c>
      <c r="N303" s="47" t="n">
        <f aca="false">'Fault &amp; Downtime Entry'!N304</f>
        <v>0</v>
      </c>
      <c r="O303" s="47" t="n">
        <f aca="false">'Fault &amp; Downtime Entry'!O304</f>
        <v>0</v>
      </c>
      <c r="P303" s="47" t="str">
        <f aca="false">IF(OR(J303="",K303=""),"",IFERROR(J303/K303*1000,0))</f>
        <v/>
      </c>
      <c r="Q303" s="47" t="str">
        <f aca="false">IF(OR(L303="",K303=""),"",IFERROR(L303/K303*1000,0))</f>
        <v/>
      </c>
      <c r="R303" s="47" t="str">
        <f aca="false">IF(OR(M303="High",M303="Critical"),"YES","")</f>
        <v/>
      </c>
    </row>
    <row r="304" customFormat="false" ht="15" hidden="false" customHeight="true" outlineLevel="0" collapsed="false">
      <c r="A304" s="47" t="n">
        <f aca="false">'Fault &amp; Downtime Entry'!A305</f>
        <v>300</v>
      </c>
      <c r="B304" s="48" t="n">
        <f aca="false">'Fault &amp; Downtime Entry'!B305</f>
        <v>0</v>
      </c>
      <c r="C304" s="47" t="n">
        <f aca="false">'Fault &amp; Downtime Entry'!C305</f>
        <v>0</v>
      </c>
      <c r="D304" s="47" t="n">
        <f aca="false">'Fault &amp; Downtime Entry'!D305</f>
        <v>0</v>
      </c>
      <c r="E304" s="47" t="n">
        <f aca="false">'Fault &amp; Downtime Entry'!E305</f>
        <v>0</v>
      </c>
      <c r="F304" s="47" t="str">
        <f aca="false">'Fault &amp; Downtime Entry'!F305</f>
        <v/>
      </c>
      <c r="G304" s="47" t="n">
        <f aca="false">'Fault &amp; Downtime Entry'!G305</f>
        <v>0</v>
      </c>
      <c r="H304" s="47" t="str">
        <f aca="false">'Fault &amp; Downtime Entry'!H305</f>
        <v/>
      </c>
      <c r="I304" s="47" t="str">
        <f aca="false">'Fault &amp; Downtime Entry'!I305</f>
        <v/>
      </c>
      <c r="J304" s="47" t="n">
        <f aca="false">'Fault &amp; Downtime Entry'!J305</f>
        <v>0</v>
      </c>
      <c r="K304" s="47" t="n">
        <f aca="false">'Fault &amp; Downtime Entry'!K305</f>
        <v>0</v>
      </c>
      <c r="L304" s="47" t="n">
        <f aca="false">'Fault &amp; Downtime Entry'!L305</f>
        <v>0</v>
      </c>
      <c r="M304" s="47" t="str">
        <f aca="false">'Fault &amp; Downtime Entry'!M305</f>
        <v/>
      </c>
      <c r="N304" s="47" t="n">
        <f aca="false">'Fault &amp; Downtime Entry'!N305</f>
        <v>0</v>
      </c>
      <c r="O304" s="47" t="n">
        <f aca="false">'Fault &amp; Downtime Entry'!O305</f>
        <v>0</v>
      </c>
      <c r="P304" s="47" t="str">
        <f aca="false">IF(OR(J304="",K304=""),"",IFERROR(J304/K304*1000,0))</f>
        <v/>
      </c>
      <c r="Q304" s="47" t="str">
        <f aca="false">IF(OR(L304="",K304=""),"",IFERROR(L304/K304*1000,0))</f>
        <v/>
      </c>
      <c r="R304" s="47" t="str">
        <f aca="false">IF(OR(M304="High",M304="Critical"),"YES","")</f>
        <v/>
      </c>
    </row>
    <row r="305" customFormat="false" ht="15" hidden="false" customHeight="true" outlineLevel="0" collapsed="false">
      <c r="A305" s="47" t="n">
        <f aca="false">'Fault &amp; Downtime Entry'!A306</f>
        <v>301</v>
      </c>
      <c r="B305" s="48" t="n">
        <f aca="false">'Fault &amp; Downtime Entry'!B306</f>
        <v>0</v>
      </c>
      <c r="C305" s="47" t="n">
        <f aca="false">'Fault &amp; Downtime Entry'!C306</f>
        <v>0</v>
      </c>
      <c r="D305" s="47" t="n">
        <f aca="false">'Fault &amp; Downtime Entry'!D306</f>
        <v>0</v>
      </c>
      <c r="E305" s="47" t="n">
        <f aca="false">'Fault &amp; Downtime Entry'!E306</f>
        <v>0</v>
      </c>
      <c r="F305" s="47" t="str">
        <f aca="false">'Fault &amp; Downtime Entry'!F306</f>
        <v/>
      </c>
      <c r="G305" s="47" t="n">
        <f aca="false">'Fault &amp; Downtime Entry'!G306</f>
        <v>0</v>
      </c>
      <c r="H305" s="47" t="str">
        <f aca="false">'Fault &amp; Downtime Entry'!H306</f>
        <v/>
      </c>
      <c r="I305" s="47" t="str">
        <f aca="false">'Fault &amp; Downtime Entry'!I306</f>
        <v/>
      </c>
      <c r="J305" s="47" t="n">
        <f aca="false">'Fault &amp; Downtime Entry'!J306</f>
        <v>0</v>
      </c>
      <c r="K305" s="47" t="n">
        <f aca="false">'Fault &amp; Downtime Entry'!K306</f>
        <v>0</v>
      </c>
      <c r="L305" s="47" t="n">
        <f aca="false">'Fault &amp; Downtime Entry'!L306</f>
        <v>0</v>
      </c>
      <c r="M305" s="47" t="str">
        <f aca="false">'Fault &amp; Downtime Entry'!M306</f>
        <v/>
      </c>
      <c r="N305" s="47" t="n">
        <f aca="false">'Fault &amp; Downtime Entry'!N306</f>
        <v>0</v>
      </c>
      <c r="O305" s="47" t="n">
        <f aca="false">'Fault &amp; Downtime Entry'!O306</f>
        <v>0</v>
      </c>
      <c r="P305" s="47" t="str">
        <f aca="false">IF(OR(J305="",K305=""),"",IFERROR(J305/K305*1000,0))</f>
        <v/>
      </c>
      <c r="Q305" s="47" t="str">
        <f aca="false">IF(OR(L305="",K305=""),"",IFERROR(L305/K305*1000,0))</f>
        <v/>
      </c>
      <c r="R305" s="47" t="str">
        <f aca="false">IF(OR(M305="High",M305="Critical"),"YES","")</f>
        <v/>
      </c>
    </row>
    <row r="306" customFormat="false" ht="15" hidden="false" customHeight="true" outlineLevel="0" collapsed="false">
      <c r="A306" s="47" t="n">
        <f aca="false">'Fault &amp; Downtime Entry'!A307</f>
        <v>302</v>
      </c>
      <c r="B306" s="48" t="n">
        <f aca="false">'Fault &amp; Downtime Entry'!B307</f>
        <v>0</v>
      </c>
      <c r="C306" s="47" t="n">
        <f aca="false">'Fault &amp; Downtime Entry'!C307</f>
        <v>0</v>
      </c>
      <c r="D306" s="47" t="n">
        <f aca="false">'Fault &amp; Downtime Entry'!D307</f>
        <v>0</v>
      </c>
      <c r="E306" s="47" t="n">
        <f aca="false">'Fault &amp; Downtime Entry'!E307</f>
        <v>0</v>
      </c>
      <c r="F306" s="47" t="str">
        <f aca="false">'Fault &amp; Downtime Entry'!F307</f>
        <v/>
      </c>
      <c r="G306" s="47" t="n">
        <f aca="false">'Fault &amp; Downtime Entry'!G307</f>
        <v>0</v>
      </c>
      <c r="H306" s="47" t="str">
        <f aca="false">'Fault &amp; Downtime Entry'!H307</f>
        <v/>
      </c>
      <c r="I306" s="47" t="str">
        <f aca="false">'Fault &amp; Downtime Entry'!I307</f>
        <v/>
      </c>
      <c r="J306" s="47" t="n">
        <f aca="false">'Fault &amp; Downtime Entry'!J307</f>
        <v>0</v>
      </c>
      <c r="K306" s="47" t="n">
        <f aca="false">'Fault &amp; Downtime Entry'!K307</f>
        <v>0</v>
      </c>
      <c r="L306" s="47" t="n">
        <f aca="false">'Fault &amp; Downtime Entry'!L307</f>
        <v>0</v>
      </c>
      <c r="M306" s="47" t="str">
        <f aca="false">'Fault &amp; Downtime Entry'!M307</f>
        <v/>
      </c>
      <c r="N306" s="47" t="n">
        <f aca="false">'Fault &amp; Downtime Entry'!N307</f>
        <v>0</v>
      </c>
      <c r="O306" s="47" t="n">
        <f aca="false">'Fault &amp; Downtime Entry'!O307</f>
        <v>0</v>
      </c>
      <c r="P306" s="47" t="str">
        <f aca="false">IF(OR(J306="",K306=""),"",IFERROR(J306/K306*1000,0))</f>
        <v/>
      </c>
      <c r="Q306" s="47" t="str">
        <f aca="false">IF(OR(L306="",K306=""),"",IFERROR(L306/K306*1000,0))</f>
        <v/>
      </c>
      <c r="R306" s="47" t="str">
        <f aca="false">IF(OR(M306="High",M306="Critical"),"YES","")</f>
        <v/>
      </c>
    </row>
    <row r="307" customFormat="false" ht="15" hidden="false" customHeight="true" outlineLevel="0" collapsed="false">
      <c r="A307" s="47" t="n">
        <f aca="false">'Fault &amp; Downtime Entry'!A308</f>
        <v>303</v>
      </c>
      <c r="B307" s="48" t="n">
        <f aca="false">'Fault &amp; Downtime Entry'!B308</f>
        <v>0</v>
      </c>
      <c r="C307" s="47" t="n">
        <f aca="false">'Fault &amp; Downtime Entry'!C308</f>
        <v>0</v>
      </c>
      <c r="D307" s="47" t="n">
        <f aca="false">'Fault &amp; Downtime Entry'!D308</f>
        <v>0</v>
      </c>
      <c r="E307" s="47" t="n">
        <f aca="false">'Fault &amp; Downtime Entry'!E308</f>
        <v>0</v>
      </c>
      <c r="F307" s="47" t="str">
        <f aca="false">'Fault &amp; Downtime Entry'!F308</f>
        <v/>
      </c>
      <c r="G307" s="47" t="n">
        <f aca="false">'Fault &amp; Downtime Entry'!G308</f>
        <v>0</v>
      </c>
      <c r="H307" s="47" t="str">
        <f aca="false">'Fault &amp; Downtime Entry'!H308</f>
        <v/>
      </c>
      <c r="I307" s="47" t="str">
        <f aca="false">'Fault &amp; Downtime Entry'!I308</f>
        <v/>
      </c>
      <c r="J307" s="47" t="n">
        <f aca="false">'Fault &amp; Downtime Entry'!J308</f>
        <v>0</v>
      </c>
      <c r="K307" s="47" t="n">
        <f aca="false">'Fault &amp; Downtime Entry'!K308</f>
        <v>0</v>
      </c>
      <c r="L307" s="47" t="n">
        <f aca="false">'Fault &amp; Downtime Entry'!L308</f>
        <v>0</v>
      </c>
      <c r="M307" s="47" t="str">
        <f aca="false">'Fault &amp; Downtime Entry'!M308</f>
        <v/>
      </c>
      <c r="N307" s="47" t="n">
        <f aca="false">'Fault &amp; Downtime Entry'!N308</f>
        <v>0</v>
      </c>
      <c r="O307" s="47" t="n">
        <f aca="false">'Fault &amp; Downtime Entry'!O308</f>
        <v>0</v>
      </c>
      <c r="P307" s="47" t="str">
        <f aca="false">IF(OR(J307="",K307=""),"",IFERROR(J307/K307*1000,0))</f>
        <v/>
      </c>
      <c r="Q307" s="47" t="str">
        <f aca="false">IF(OR(L307="",K307=""),"",IFERROR(L307/K307*1000,0))</f>
        <v/>
      </c>
      <c r="R307" s="47" t="str">
        <f aca="false">IF(OR(M307="High",M307="Critical"),"YES","")</f>
        <v/>
      </c>
    </row>
    <row r="308" customFormat="false" ht="15" hidden="false" customHeight="true" outlineLevel="0" collapsed="false">
      <c r="A308" s="47" t="n">
        <f aca="false">'Fault &amp; Downtime Entry'!A309</f>
        <v>304</v>
      </c>
      <c r="B308" s="48" t="n">
        <f aca="false">'Fault &amp; Downtime Entry'!B309</f>
        <v>0</v>
      </c>
      <c r="C308" s="47" t="n">
        <f aca="false">'Fault &amp; Downtime Entry'!C309</f>
        <v>0</v>
      </c>
      <c r="D308" s="47" t="n">
        <f aca="false">'Fault &amp; Downtime Entry'!D309</f>
        <v>0</v>
      </c>
      <c r="E308" s="47" t="n">
        <f aca="false">'Fault &amp; Downtime Entry'!E309</f>
        <v>0</v>
      </c>
      <c r="F308" s="47" t="str">
        <f aca="false">'Fault &amp; Downtime Entry'!F309</f>
        <v/>
      </c>
      <c r="G308" s="47" t="n">
        <f aca="false">'Fault &amp; Downtime Entry'!G309</f>
        <v>0</v>
      </c>
      <c r="H308" s="47" t="str">
        <f aca="false">'Fault &amp; Downtime Entry'!H309</f>
        <v/>
      </c>
      <c r="I308" s="47" t="str">
        <f aca="false">'Fault &amp; Downtime Entry'!I309</f>
        <v/>
      </c>
      <c r="J308" s="47" t="n">
        <f aca="false">'Fault &amp; Downtime Entry'!J309</f>
        <v>0</v>
      </c>
      <c r="K308" s="47" t="n">
        <f aca="false">'Fault &amp; Downtime Entry'!K309</f>
        <v>0</v>
      </c>
      <c r="L308" s="47" t="n">
        <f aca="false">'Fault &amp; Downtime Entry'!L309</f>
        <v>0</v>
      </c>
      <c r="M308" s="47" t="str">
        <f aca="false">'Fault &amp; Downtime Entry'!M309</f>
        <v/>
      </c>
      <c r="N308" s="47" t="n">
        <f aca="false">'Fault &amp; Downtime Entry'!N309</f>
        <v>0</v>
      </c>
      <c r="O308" s="47" t="n">
        <f aca="false">'Fault &amp; Downtime Entry'!O309</f>
        <v>0</v>
      </c>
      <c r="P308" s="47" t="str">
        <f aca="false">IF(OR(J308="",K308=""),"",IFERROR(J308/K308*1000,0))</f>
        <v/>
      </c>
      <c r="Q308" s="47" t="str">
        <f aca="false">IF(OR(L308="",K308=""),"",IFERROR(L308/K308*1000,0))</f>
        <v/>
      </c>
      <c r="R308" s="47" t="str">
        <f aca="false">IF(OR(M308="High",M308="Critical"),"YES","")</f>
        <v/>
      </c>
    </row>
    <row r="309" customFormat="false" ht="15" hidden="false" customHeight="true" outlineLevel="0" collapsed="false">
      <c r="A309" s="47" t="n">
        <f aca="false">'Fault &amp; Downtime Entry'!A310</f>
        <v>305</v>
      </c>
      <c r="B309" s="48" t="n">
        <f aca="false">'Fault &amp; Downtime Entry'!B310</f>
        <v>0</v>
      </c>
      <c r="C309" s="47" t="n">
        <f aca="false">'Fault &amp; Downtime Entry'!C310</f>
        <v>0</v>
      </c>
      <c r="D309" s="47" t="n">
        <f aca="false">'Fault &amp; Downtime Entry'!D310</f>
        <v>0</v>
      </c>
      <c r="E309" s="47" t="n">
        <f aca="false">'Fault &amp; Downtime Entry'!E310</f>
        <v>0</v>
      </c>
      <c r="F309" s="47" t="str">
        <f aca="false">'Fault &amp; Downtime Entry'!F310</f>
        <v/>
      </c>
      <c r="G309" s="47" t="n">
        <f aca="false">'Fault &amp; Downtime Entry'!G310</f>
        <v>0</v>
      </c>
      <c r="H309" s="47" t="str">
        <f aca="false">'Fault &amp; Downtime Entry'!H310</f>
        <v/>
      </c>
      <c r="I309" s="47" t="str">
        <f aca="false">'Fault &amp; Downtime Entry'!I310</f>
        <v/>
      </c>
      <c r="J309" s="47" t="n">
        <f aca="false">'Fault &amp; Downtime Entry'!J310</f>
        <v>0</v>
      </c>
      <c r="K309" s="47" t="n">
        <f aca="false">'Fault &amp; Downtime Entry'!K310</f>
        <v>0</v>
      </c>
      <c r="L309" s="47" t="n">
        <f aca="false">'Fault &amp; Downtime Entry'!L310</f>
        <v>0</v>
      </c>
      <c r="M309" s="47" t="str">
        <f aca="false">'Fault &amp; Downtime Entry'!M310</f>
        <v/>
      </c>
      <c r="N309" s="47" t="n">
        <f aca="false">'Fault &amp; Downtime Entry'!N310</f>
        <v>0</v>
      </c>
      <c r="O309" s="47" t="n">
        <f aca="false">'Fault &amp; Downtime Entry'!O310</f>
        <v>0</v>
      </c>
      <c r="P309" s="47" t="str">
        <f aca="false">IF(OR(J309="",K309=""),"",IFERROR(J309/K309*1000,0))</f>
        <v/>
      </c>
      <c r="Q309" s="47" t="str">
        <f aca="false">IF(OR(L309="",K309=""),"",IFERROR(L309/K309*1000,0))</f>
        <v/>
      </c>
      <c r="R309" s="47" t="str">
        <f aca="false">IF(OR(M309="High",M309="Critical"),"YES","")</f>
        <v/>
      </c>
    </row>
    <row r="310" customFormat="false" ht="15" hidden="false" customHeight="true" outlineLevel="0" collapsed="false">
      <c r="A310" s="47" t="n">
        <f aca="false">'Fault &amp; Downtime Entry'!A311</f>
        <v>306</v>
      </c>
      <c r="B310" s="48" t="n">
        <f aca="false">'Fault &amp; Downtime Entry'!B311</f>
        <v>0</v>
      </c>
      <c r="C310" s="47" t="n">
        <f aca="false">'Fault &amp; Downtime Entry'!C311</f>
        <v>0</v>
      </c>
      <c r="D310" s="47" t="n">
        <f aca="false">'Fault &amp; Downtime Entry'!D311</f>
        <v>0</v>
      </c>
      <c r="E310" s="47" t="n">
        <f aca="false">'Fault &amp; Downtime Entry'!E311</f>
        <v>0</v>
      </c>
      <c r="F310" s="47" t="str">
        <f aca="false">'Fault &amp; Downtime Entry'!F311</f>
        <v/>
      </c>
      <c r="G310" s="47" t="n">
        <f aca="false">'Fault &amp; Downtime Entry'!G311</f>
        <v>0</v>
      </c>
      <c r="H310" s="47" t="str">
        <f aca="false">'Fault &amp; Downtime Entry'!H311</f>
        <v/>
      </c>
      <c r="I310" s="47" t="str">
        <f aca="false">'Fault &amp; Downtime Entry'!I311</f>
        <v/>
      </c>
      <c r="J310" s="47" t="n">
        <f aca="false">'Fault &amp; Downtime Entry'!J311</f>
        <v>0</v>
      </c>
      <c r="K310" s="47" t="n">
        <f aca="false">'Fault &amp; Downtime Entry'!K311</f>
        <v>0</v>
      </c>
      <c r="L310" s="47" t="n">
        <f aca="false">'Fault &amp; Downtime Entry'!L311</f>
        <v>0</v>
      </c>
      <c r="M310" s="47" t="str">
        <f aca="false">'Fault &amp; Downtime Entry'!M311</f>
        <v/>
      </c>
      <c r="N310" s="47" t="n">
        <f aca="false">'Fault &amp; Downtime Entry'!N311</f>
        <v>0</v>
      </c>
      <c r="O310" s="47" t="n">
        <f aca="false">'Fault &amp; Downtime Entry'!O311</f>
        <v>0</v>
      </c>
      <c r="P310" s="47" t="str">
        <f aca="false">IF(OR(J310="",K310=""),"",IFERROR(J310/K310*1000,0))</f>
        <v/>
      </c>
      <c r="Q310" s="47" t="str">
        <f aca="false">IF(OR(L310="",K310=""),"",IFERROR(L310/K310*1000,0))</f>
        <v/>
      </c>
      <c r="R310" s="47" t="str">
        <f aca="false">IF(OR(M310="High",M310="Critical"),"YES","")</f>
        <v/>
      </c>
    </row>
    <row r="311" customFormat="false" ht="15" hidden="false" customHeight="true" outlineLevel="0" collapsed="false">
      <c r="A311" s="47" t="n">
        <f aca="false">'Fault &amp; Downtime Entry'!A312</f>
        <v>307</v>
      </c>
      <c r="B311" s="48" t="n">
        <f aca="false">'Fault &amp; Downtime Entry'!B312</f>
        <v>0</v>
      </c>
      <c r="C311" s="47" t="n">
        <f aca="false">'Fault &amp; Downtime Entry'!C312</f>
        <v>0</v>
      </c>
      <c r="D311" s="47" t="n">
        <f aca="false">'Fault &amp; Downtime Entry'!D312</f>
        <v>0</v>
      </c>
      <c r="E311" s="47" t="n">
        <f aca="false">'Fault &amp; Downtime Entry'!E312</f>
        <v>0</v>
      </c>
      <c r="F311" s="47" t="str">
        <f aca="false">'Fault &amp; Downtime Entry'!F312</f>
        <v/>
      </c>
      <c r="G311" s="47" t="n">
        <f aca="false">'Fault &amp; Downtime Entry'!G312</f>
        <v>0</v>
      </c>
      <c r="H311" s="47" t="str">
        <f aca="false">'Fault &amp; Downtime Entry'!H312</f>
        <v/>
      </c>
      <c r="I311" s="47" t="str">
        <f aca="false">'Fault &amp; Downtime Entry'!I312</f>
        <v/>
      </c>
      <c r="J311" s="47" t="n">
        <f aca="false">'Fault &amp; Downtime Entry'!J312</f>
        <v>0</v>
      </c>
      <c r="K311" s="47" t="n">
        <f aca="false">'Fault &amp; Downtime Entry'!K312</f>
        <v>0</v>
      </c>
      <c r="L311" s="47" t="n">
        <f aca="false">'Fault &amp; Downtime Entry'!L312</f>
        <v>0</v>
      </c>
      <c r="M311" s="47" t="str">
        <f aca="false">'Fault &amp; Downtime Entry'!M312</f>
        <v/>
      </c>
      <c r="N311" s="47" t="n">
        <f aca="false">'Fault &amp; Downtime Entry'!N312</f>
        <v>0</v>
      </c>
      <c r="O311" s="47" t="n">
        <f aca="false">'Fault &amp; Downtime Entry'!O312</f>
        <v>0</v>
      </c>
      <c r="P311" s="47" t="str">
        <f aca="false">IF(OR(J311="",K311=""),"",IFERROR(J311/K311*1000,0))</f>
        <v/>
      </c>
      <c r="Q311" s="47" t="str">
        <f aca="false">IF(OR(L311="",K311=""),"",IFERROR(L311/K311*1000,0))</f>
        <v/>
      </c>
      <c r="R311" s="47" t="str">
        <f aca="false">IF(OR(M311="High",M311="Critical"),"YES","")</f>
        <v/>
      </c>
    </row>
    <row r="312" customFormat="false" ht="15" hidden="false" customHeight="true" outlineLevel="0" collapsed="false">
      <c r="A312" s="47" t="n">
        <f aca="false">'Fault &amp; Downtime Entry'!A313</f>
        <v>308</v>
      </c>
      <c r="B312" s="48" t="n">
        <f aca="false">'Fault &amp; Downtime Entry'!B313</f>
        <v>0</v>
      </c>
      <c r="C312" s="47" t="n">
        <f aca="false">'Fault &amp; Downtime Entry'!C313</f>
        <v>0</v>
      </c>
      <c r="D312" s="47" t="n">
        <f aca="false">'Fault &amp; Downtime Entry'!D313</f>
        <v>0</v>
      </c>
      <c r="E312" s="47" t="n">
        <f aca="false">'Fault &amp; Downtime Entry'!E313</f>
        <v>0</v>
      </c>
      <c r="F312" s="47" t="str">
        <f aca="false">'Fault &amp; Downtime Entry'!F313</f>
        <v/>
      </c>
      <c r="G312" s="47" t="n">
        <f aca="false">'Fault &amp; Downtime Entry'!G313</f>
        <v>0</v>
      </c>
      <c r="H312" s="47" t="str">
        <f aca="false">'Fault &amp; Downtime Entry'!H313</f>
        <v/>
      </c>
      <c r="I312" s="47" t="str">
        <f aca="false">'Fault &amp; Downtime Entry'!I313</f>
        <v/>
      </c>
      <c r="J312" s="47" t="n">
        <f aca="false">'Fault &amp; Downtime Entry'!J313</f>
        <v>0</v>
      </c>
      <c r="K312" s="47" t="n">
        <f aca="false">'Fault &amp; Downtime Entry'!K313</f>
        <v>0</v>
      </c>
      <c r="L312" s="47" t="n">
        <f aca="false">'Fault &amp; Downtime Entry'!L313</f>
        <v>0</v>
      </c>
      <c r="M312" s="47" t="str">
        <f aca="false">'Fault &amp; Downtime Entry'!M313</f>
        <v/>
      </c>
      <c r="N312" s="47" t="n">
        <f aca="false">'Fault &amp; Downtime Entry'!N313</f>
        <v>0</v>
      </c>
      <c r="O312" s="47" t="n">
        <f aca="false">'Fault &amp; Downtime Entry'!O313</f>
        <v>0</v>
      </c>
      <c r="P312" s="47" t="str">
        <f aca="false">IF(OR(J312="",K312=""),"",IFERROR(J312/K312*1000,0))</f>
        <v/>
      </c>
      <c r="Q312" s="47" t="str">
        <f aca="false">IF(OR(L312="",K312=""),"",IFERROR(L312/K312*1000,0))</f>
        <v/>
      </c>
      <c r="R312" s="47" t="str">
        <f aca="false">IF(OR(M312="High",M312="Critical"),"YES","")</f>
        <v/>
      </c>
    </row>
    <row r="313" customFormat="false" ht="15" hidden="false" customHeight="true" outlineLevel="0" collapsed="false">
      <c r="A313" s="47" t="n">
        <f aca="false">'Fault &amp; Downtime Entry'!A314</f>
        <v>309</v>
      </c>
      <c r="B313" s="48" t="n">
        <f aca="false">'Fault &amp; Downtime Entry'!B314</f>
        <v>0</v>
      </c>
      <c r="C313" s="47" t="n">
        <f aca="false">'Fault &amp; Downtime Entry'!C314</f>
        <v>0</v>
      </c>
      <c r="D313" s="47" t="n">
        <f aca="false">'Fault &amp; Downtime Entry'!D314</f>
        <v>0</v>
      </c>
      <c r="E313" s="47" t="n">
        <f aca="false">'Fault &amp; Downtime Entry'!E314</f>
        <v>0</v>
      </c>
      <c r="F313" s="47" t="str">
        <f aca="false">'Fault &amp; Downtime Entry'!F314</f>
        <v/>
      </c>
      <c r="G313" s="47" t="n">
        <f aca="false">'Fault &amp; Downtime Entry'!G314</f>
        <v>0</v>
      </c>
      <c r="H313" s="47" t="str">
        <f aca="false">'Fault &amp; Downtime Entry'!H314</f>
        <v/>
      </c>
      <c r="I313" s="47" t="str">
        <f aca="false">'Fault &amp; Downtime Entry'!I314</f>
        <v/>
      </c>
      <c r="J313" s="47" t="n">
        <f aca="false">'Fault &amp; Downtime Entry'!J314</f>
        <v>0</v>
      </c>
      <c r="K313" s="47" t="n">
        <f aca="false">'Fault &amp; Downtime Entry'!K314</f>
        <v>0</v>
      </c>
      <c r="L313" s="47" t="n">
        <f aca="false">'Fault &amp; Downtime Entry'!L314</f>
        <v>0</v>
      </c>
      <c r="M313" s="47" t="str">
        <f aca="false">'Fault &amp; Downtime Entry'!M314</f>
        <v/>
      </c>
      <c r="N313" s="47" t="n">
        <f aca="false">'Fault &amp; Downtime Entry'!N314</f>
        <v>0</v>
      </c>
      <c r="O313" s="47" t="n">
        <f aca="false">'Fault &amp; Downtime Entry'!O314</f>
        <v>0</v>
      </c>
      <c r="P313" s="47" t="str">
        <f aca="false">IF(OR(J313="",K313=""),"",IFERROR(J313/K313*1000,0))</f>
        <v/>
      </c>
      <c r="Q313" s="47" t="str">
        <f aca="false">IF(OR(L313="",K313=""),"",IFERROR(L313/K313*1000,0))</f>
        <v/>
      </c>
      <c r="R313" s="47" t="str">
        <f aca="false">IF(OR(M313="High",M313="Critical"),"YES","")</f>
        <v/>
      </c>
    </row>
    <row r="314" customFormat="false" ht="15" hidden="false" customHeight="true" outlineLevel="0" collapsed="false">
      <c r="A314" s="47" t="n">
        <f aca="false">'Fault &amp; Downtime Entry'!A315</f>
        <v>310</v>
      </c>
      <c r="B314" s="48" t="n">
        <f aca="false">'Fault &amp; Downtime Entry'!B315</f>
        <v>0</v>
      </c>
      <c r="C314" s="47" t="n">
        <f aca="false">'Fault &amp; Downtime Entry'!C315</f>
        <v>0</v>
      </c>
      <c r="D314" s="47" t="n">
        <f aca="false">'Fault &amp; Downtime Entry'!D315</f>
        <v>0</v>
      </c>
      <c r="E314" s="47" t="n">
        <f aca="false">'Fault &amp; Downtime Entry'!E315</f>
        <v>0</v>
      </c>
      <c r="F314" s="47" t="str">
        <f aca="false">'Fault &amp; Downtime Entry'!F315</f>
        <v/>
      </c>
      <c r="G314" s="47" t="n">
        <f aca="false">'Fault &amp; Downtime Entry'!G315</f>
        <v>0</v>
      </c>
      <c r="H314" s="47" t="str">
        <f aca="false">'Fault &amp; Downtime Entry'!H315</f>
        <v/>
      </c>
      <c r="I314" s="47" t="str">
        <f aca="false">'Fault &amp; Downtime Entry'!I315</f>
        <v/>
      </c>
      <c r="J314" s="47" t="n">
        <f aca="false">'Fault &amp; Downtime Entry'!J315</f>
        <v>0</v>
      </c>
      <c r="K314" s="47" t="n">
        <f aca="false">'Fault &amp; Downtime Entry'!K315</f>
        <v>0</v>
      </c>
      <c r="L314" s="47" t="n">
        <f aca="false">'Fault &amp; Downtime Entry'!L315</f>
        <v>0</v>
      </c>
      <c r="M314" s="47" t="str">
        <f aca="false">'Fault &amp; Downtime Entry'!M315</f>
        <v/>
      </c>
      <c r="N314" s="47" t="n">
        <f aca="false">'Fault &amp; Downtime Entry'!N315</f>
        <v>0</v>
      </c>
      <c r="O314" s="47" t="n">
        <f aca="false">'Fault &amp; Downtime Entry'!O315</f>
        <v>0</v>
      </c>
      <c r="P314" s="47" t="str">
        <f aca="false">IF(OR(J314="",K314=""),"",IFERROR(J314/K314*1000,0))</f>
        <v/>
      </c>
      <c r="Q314" s="47" t="str">
        <f aca="false">IF(OR(L314="",K314=""),"",IFERROR(L314/K314*1000,0))</f>
        <v/>
      </c>
      <c r="R314" s="47" t="str">
        <f aca="false">IF(OR(M314="High",M314="Critical"),"YES","")</f>
        <v/>
      </c>
    </row>
    <row r="315" customFormat="false" ht="15" hidden="false" customHeight="true" outlineLevel="0" collapsed="false">
      <c r="A315" s="47" t="n">
        <f aca="false">'Fault &amp; Downtime Entry'!A316</f>
        <v>311</v>
      </c>
      <c r="B315" s="48" t="n">
        <f aca="false">'Fault &amp; Downtime Entry'!B316</f>
        <v>0</v>
      </c>
      <c r="C315" s="47" t="n">
        <f aca="false">'Fault &amp; Downtime Entry'!C316</f>
        <v>0</v>
      </c>
      <c r="D315" s="47" t="n">
        <f aca="false">'Fault &amp; Downtime Entry'!D316</f>
        <v>0</v>
      </c>
      <c r="E315" s="47" t="n">
        <f aca="false">'Fault &amp; Downtime Entry'!E316</f>
        <v>0</v>
      </c>
      <c r="F315" s="47" t="str">
        <f aca="false">'Fault &amp; Downtime Entry'!F316</f>
        <v/>
      </c>
      <c r="G315" s="47" t="n">
        <f aca="false">'Fault &amp; Downtime Entry'!G316</f>
        <v>0</v>
      </c>
      <c r="H315" s="47" t="str">
        <f aca="false">'Fault &amp; Downtime Entry'!H316</f>
        <v/>
      </c>
      <c r="I315" s="47" t="str">
        <f aca="false">'Fault &amp; Downtime Entry'!I316</f>
        <v/>
      </c>
      <c r="J315" s="47" t="n">
        <f aca="false">'Fault &amp; Downtime Entry'!J316</f>
        <v>0</v>
      </c>
      <c r="K315" s="47" t="n">
        <f aca="false">'Fault &amp; Downtime Entry'!K316</f>
        <v>0</v>
      </c>
      <c r="L315" s="47" t="n">
        <f aca="false">'Fault &amp; Downtime Entry'!L316</f>
        <v>0</v>
      </c>
      <c r="M315" s="47" t="str">
        <f aca="false">'Fault &amp; Downtime Entry'!M316</f>
        <v/>
      </c>
      <c r="N315" s="47" t="n">
        <f aca="false">'Fault &amp; Downtime Entry'!N316</f>
        <v>0</v>
      </c>
      <c r="O315" s="47" t="n">
        <f aca="false">'Fault &amp; Downtime Entry'!O316</f>
        <v>0</v>
      </c>
      <c r="P315" s="47" t="str">
        <f aca="false">IF(OR(J315="",K315=""),"",IFERROR(J315/K315*1000,0))</f>
        <v/>
      </c>
      <c r="Q315" s="47" t="str">
        <f aca="false">IF(OR(L315="",K315=""),"",IFERROR(L315/K315*1000,0))</f>
        <v/>
      </c>
      <c r="R315" s="47" t="str">
        <f aca="false">IF(OR(M315="High",M315="Critical"),"YES","")</f>
        <v/>
      </c>
    </row>
    <row r="316" customFormat="false" ht="15" hidden="false" customHeight="true" outlineLevel="0" collapsed="false">
      <c r="A316" s="47" t="n">
        <f aca="false">'Fault &amp; Downtime Entry'!A317</f>
        <v>312</v>
      </c>
      <c r="B316" s="48" t="n">
        <f aca="false">'Fault &amp; Downtime Entry'!B317</f>
        <v>0</v>
      </c>
      <c r="C316" s="47" t="n">
        <f aca="false">'Fault &amp; Downtime Entry'!C317</f>
        <v>0</v>
      </c>
      <c r="D316" s="47" t="n">
        <f aca="false">'Fault &amp; Downtime Entry'!D317</f>
        <v>0</v>
      </c>
      <c r="E316" s="47" t="n">
        <f aca="false">'Fault &amp; Downtime Entry'!E317</f>
        <v>0</v>
      </c>
      <c r="F316" s="47" t="str">
        <f aca="false">'Fault &amp; Downtime Entry'!F317</f>
        <v/>
      </c>
      <c r="G316" s="47" t="n">
        <f aca="false">'Fault &amp; Downtime Entry'!G317</f>
        <v>0</v>
      </c>
      <c r="H316" s="47" t="str">
        <f aca="false">'Fault &amp; Downtime Entry'!H317</f>
        <v/>
      </c>
      <c r="I316" s="47" t="str">
        <f aca="false">'Fault &amp; Downtime Entry'!I317</f>
        <v/>
      </c>
      <c r="J316" s="47" t="n">
        <f aca="false">'Fault &amp; Downtime Entry'!J317</f>
        <v>0</v>
      </c>
      <c r="K316" s="47" t="n">
        <f aca="false">'Fault &amp; Downtime Entry'!K317</f>
        <v>0</v>
      </c>
      <c r="L316" s="47" t="n">
        <f aca="false">'Fault &amp; Downtime Entry'!L317</f>
        <v>0</v>
      </c>
      <c r="M316" s="47" t="str">
        <f aca="false">'Fault &amp; Downtime Entry'!M317</f>
        <v/>
      </c>
      <c r="N316" s="47" t="n">
        <f aca="false">'Fault &amp; Downtime Entry'!N317</f>
        <v>0</v>
      </c>
      <c r="O316" s="47" t="n">
        <f aca="false">'Fault &amp; Downtime Entry'!O317</f>
        <v>0</v>
      </c>
      <c r="P316" s="47" t="str">
        <f aca="false">IF(OR(J316="",K316=""),"",IFERROR(J316/K316*1000,0))</f>
        <v/>
      </c>
      <c r="Q316" s="47" t="str">
        <f aca="false">IF(OR(L316="",K316=""),"",IFERROR(L316/K316*1000,0))</f>
        <v/>
      </c>
      <c r="R316" s="47" t="str">
        <f aca="false">IF(OR(M316="High",M316="Critical"),"YES","")</f>
        <v/>
      </c>
    </row>
    <row r="317" customFormat="false" ht="15" hidden="false" customHeight="true" outlineLevel="0" collapsed="false">
      <c r="A317" s="47" t="n">
        <f aca="false">'Fault &amp; Downtime Entry'!A318</f>
        <v>313</v>
      </c>
      <c r="B317" s="48" t="n">
        <f aca="false">'Fault &amp; Downtime Entry'!B318</f>
        <v>0</v>
      </c>
      <c r="C317" s="47" t="n">
        <f aca="false">'Fault &amp; Downtime Entry'!C318</f>
        <v>0</v>
      </c>
      <c r="D317" s="47" t="n">
        <f aca="false">'Fault &amp; Downtime Entry'!D318</f>
        <v>0</v>
      </c>
      <c r="E317" s="47" t="n">
        <f aca="false">'Fault &amp; Downtime Entry'!E318</f>
        <v>0</v>
      </c>
      <c r="F317" s="47" t="str">
        <f aca="false">'Fault &amp; Downtime Entry'!F318</f>
        <v/>
      </c>
      <c r="G317" s="47" t="n">
        <f aca="false">'Fault &amp; Downtime Entry'!G318</f>
        <v>0</v>
      </c>
      <c r="H317" s="47" t="str">
        <f aca="false">'Fault &amp; Downtime Entry'!H318</f>
        <v/>
      </c>
      <c r="I317" s="47" t="str">
        <f aca="false">'Fault &amp; Downtime Entry'!I318</f>
        <v/>
      </c>
      <c r="J317" s="47" t="n">
        <f aca="false">'Fault &amp; Downtime Entry'!J318</f>
        <v>0</v>
      </c>
      <c r="K317" s="47" t="n">
        <f aca="false">'Fault &amp; Downtime Entry'!K318</f>
        <v>0</v>
      </c>
      <c r="L317" s="47" t="n">
        <f aca="false">'Fault &amp; Downtime Entry'!L318</f>
        <v>0</v>
      </c>
      <c r="M317" s="47" t="str">
        <f aca="false">'Fault &amp; Downtime Entry'!M318</f>
        <v/>
      </c>
      <c r="N317" s="47" t="n">
        <f aca="false">'Fault &amp; Downtime Entry'!N318</f>
        <v>0</v>
      </c>
      <c r="O317" s="47" t="n">
        <f aca="false">'Fault &amp; Downtime Entry'!O318</f>
        <v>0</v>
      </c>
      <c r="P317" s="47" t="str">
        <f aca="false">IF(OR(J317="",K317=""),"",IFERROR(J317/K317*1000,0))</f>
        <v/>
      </c>
      <c r="Q317" s="47" t="str">
        <f aca="false">IF(OR(L317="",K317=""),"",IFERROR(L317/K317*1000,0))</f>
        <v/>
      </c>
      <c r="R317" s="47" t="str">
        <f aca="false">IF(OR(M317="High",M317="Critical"),"YES","")</f>
        <v/>
      </c>
    </row>
    <row r="318" customFormat="false" ht="15" hidden="false" customHeight="true" outlineLevel="0" collapsed="false">
      <c r="A318" s="47" t="n">
        <f aca="false">'Fault &amp; Downtime Entry'!A319</f>
        <v>314</v>
      </c>
      <c r="B318" s="48" t="n">
        <f aca="false">'Fault &amp; Downtime Entry'!B319</f>
        <v>0</v>
      </c>
      <c r="C318" s="47" t="n">
        <f aca="false">'Fault &amp; Downtime Entry'!C319</f>
        <v>0</v>
      </c>
      <c r="D318" s="47" t="n">
        <f aca="false">'Fault &amp; Downtime Entry'!D319</f>
        <v>0</v>
      </c>
      <c r="E318" s="47" t="n">
        <f aca="false">'Fault &amp; Downtime Entry'!E319</f>
        <v>0</v>
      </c>
      <c r="F318" s="47" t="str">
        <f aca="false">'Fault &amp; Downtime Entry'!F319</f>
        <v/>
      </c>
      <c r="G318" s="47" t="n">
        <f aca="false">'Fault &amp; Downtime Entry'!G319</f>
        <v>0</v>
      </c>
      <c r="H318" s="47" t="str">
        <f aca="false">'Fault &amp; Downtime Entry'!H319</f>
        <v/>
      </c>
      <c r="I318" s="47" t="str">
        <f aca="false">'Fault &amp; Downtime Entry'!I319</f>
        <v/>
      </c>
      <c r="J318" s="47" t="n">
        <f aca="false">'Fault &amp; Downtime Entry'!J319</f>
        <v>0</v>
      </c>
      <c r="K318" s="47" t="n">
        <f aca="false">'Fault &amp; Downtime Entry'!K319</f>
        <v>0</v>
      </c>
      <c r="L318" s="47" t="n">
        <f aca="false">'Fault &amp; Downtime Entry'!L319</f>
        <v>0</v>
      </c>
      <c r="M318" s="47" t="str">
        <f aca="false">'Fault &amp; Downtime Entry'!M319</f>
        <v/>
      </c>
      <c r="N318" s="47" t="n">
        <f aca="false">'Fault &amp; Downtime Entry'!N319</f>
        <v>0</v>
      </c>
      <c r="O318" s="47" t="n">
        <f aca="false">'Fault &amp; Downtime Entry'!O319</f>
        <v>0</v>
      </c>
      <c r="P318" s="47" t="str">
        <f aca="false">IF(OR(J318="",K318=""),"",IFERROR(J318/K318*1000,0))</f>
        <v/>
      </c>
      <c r="Q318" s="47" t="str">
        <f aca="false">IF(OR(L318="",K318=""),"",IFERROR(L318/K318*1000,0))</f>
        <v/>
      </c>
      <c r="R318" s="47" t="str">
        <f aca="false">IF(OR(M318="High",M318="Critical"),"YES","")</f>
        <v/>
      </c>
    </row>
    <row r="319" customFormat="false" ht="15" hidden="false" customHeight="true" outlineLevel="0" collapsed="false">
      <c r="A319" s="47" t="n">
        <f aca="false">'Fault &amp; Downtime Entry'!A320</f>
        <v>315</v>
      </c>
      <c r="B319" s="48" t="n">
        <f aca="false">'Fault &amp; Downtime Entry'!B320</f>
        <v>0</v>
      </c>
      <c r="C319" s="47" t="n">
        <f aca="false">'Fault &amp; Downtime Entry'!C320</f>
        <v>0</v>
      </c>
      <c r="D319" s="47" t="n">
        <f aca="false">'Fault &amp; Downtime Entry'!D320</f>
        <v>0</v>
      </c>
      <c r="E319" s="47" t="n">
        <f aca="false">'Fault &amp; Downtime Entry'!E320</f>
        <v>0</v>
      </c>
      <c r="F319" s="47" t="str">
        <f aca="false">'Fault &amp; Downtime Entry'!F320</f>
        <v/>
      </c>
      <c r="G319" s="47" t="n">
        <f aca="false">'Fault &amp; Downtime Entry'!G320</f>
        <v>0</v>
      </c>
      <c r="H319" s="47" t="str">
        <f aca="false">'Fault &amp; Downtime Entry'!H320</f>
        <v/>
      </c>
      <c r="I319" s="47" t="str">
        <f aca="false">'Fault &amp; Downtime Entry'!I320</f>
        <v/>
      </c>
      <c r="J319" s="47" t="n">
        <f aca="false">'Fault &amp; Downtime Entry'!J320</f>
        <v>0</v>
      </c>
      <c r="K319" s="47" t="n">
        <f aca="false">'Fault &amp; Downtime Entry'!K320</f>
        <v>0</v>
      </c>
      <c r="L319" s="47" t="n">
        <f aca="false">'Fault &amp; Downtime Entry'!L320</f>
        <v>0</v>
      </c>
      <c r="M319" s="47" t="str">
        <f aca="false">'Fault &amp; Downtime Entry'!M320</f>
        <v/>
      </c>
      <c r="N319" s="47" t="n">
        <f aca="false">'Fault &amp; Downtime Entry'!N320</f>
        <v>0</v>
      </c>
      <c r="O319" s="47" t="n">
        <f aca="false">'Fault &amp; Downtime Entry'!O320</f>
        <v>0</v>
      </c>
      <c r="P319" s="47" t="str">
        <f aca="false">IF(OR(J319="",K319=""),"",IFERROR(J319/K319*1000,0))</f>
        <v/>
      </c>
      <c r="Q319" s="47" t="str">
        <f aca="false">IF(OR(L319="",K319=""),"",IFERROR(L319/K319*1000,0))</f>
        <v/>
      </c>
      <c r="R319" s="47" t="str">
        <f aca="false">IF(OR(M319="High",M319="Critical"),"YES","")</f>
        <v/>
      </c>
    </row>
    <row r="320" customFormat="false" ht="15" hidden="false" customHeight="true" outlineLevel="0" collapsed="false">
      <c r="A320" s="47" t="n">
        <f aca="false">'Fault &amp; Downtime Entry'!A321</f>
        <v>316</v>
      </c>
      <c r="B320" s="48" t="n">
        <f aca="false">'Fault &amp; Downtime Entry'!B321</f>
        <v>0</v>
      </c>
      <c r="C320" s="47" t="n">
        <f aca="false">'Fault &amp; Downtime Entry'!C321</f>
        <v>0</v>
      </c>
      <c r="D320" s="47" t="n">
        <f aca="false">'Fault &amp; Downtime Entry'!D321</f>
        <v>0</v>
      </c>
      <c r="E320" s="47" t="n">
        <f aca="false">'Fault &amp; Downtime Entry'!E321</f>
        <v>0</v>
      </c>
      <c r="F320" s="47" t="str">
        <f aca="false">'Fault &amp; Downtime Entry'!F321</f>
        <v/>
      </c>
      <c r="G320" s="47" t="n">
        <f aca="false">'Fault &amp; Downtime Entry'!G321</f>
        <v>0</v>
      </c>
      <c r="H320" s="47" t="str">
        <f aca="false">'Fault &amp; Downtime Entry'!H321</f>
        <v/>
      </c>
      <c r="I320" s="47" t="str">
        <f aca="false">'Fault &amp; Downtime Entry'!I321</f>
        <v/>
      </c>
      <c r="J320" s="47" t="n">
        <f aca="false">'Fault &amp; Downtime Entry'!J321</f>
        <v>0</v>
      </c>
      <c r="K320" s="47" t="n">
        <f aca="false">'Fault &amp; Downtime Entry'!K321</f>
        <v>0</v>
      </c>
      <c r="L320" s="47" t="n">
        <f aca="false">'Fault &amp; Downtime Entry'!L321</f>
        <v>0</v>
      </c>
      <c r="M320" s="47" t="str">
        <f aca="false">'Fault &amp; Downtime Entry'!M321</f>
        <v/>
      </c>
      <c r="N320" s="47" t="n">
        <f aca="false">'Fault &amp; Downtime Entry'!N321</f>
        <v>0</v>
      </c>
      <c r="O320" s="47" t="n">
        <f aca="false">'Fault &amp; Downtime Entry'!O321</f>
        <v>0</v>
      </c>
      <c r="P320" s="47" t="str">
        <f aca="false">IF(OR(J320="",K320=""),"",IFERROR(J320/K320*1000,0))</f>
        <v/>
      </c>
      <c r="Q320" s="47" t="str">
        <f aca="false">IF(OR(L320="",K320=""),"",IFERROR(L320/K320*1000,0))</f>
        <v/>
      </c>
      <c r="R320" s="47" t="str">
        <f aca="false">IF(OR(M320="High",M320="Critical"),"YES","")</f>
        <v/>
      </c>
    </row>
    <row r="321" customFormat="false" ht="15" hidden="false" customHeight="true" outlineLevel="0" collapsed="false">
      <c r="A321" s="47" t="n">
        <f aca="false">'Fault &amp; Downtime Entry'!A322</f>
        <v>317</v>
      </c>
      <c r="B321" s="48" t="n">
        <f aca="false">'Fault &amp; Downtime Entry'!B322</f>
        <v>0</v>
      </c>
      <c r="C321" s="47" t="n">
        <f aca="false">'Fault &amp; Downtime Entry'!C322</f>
        <v>0</v>
      </c>
      <c r="D321" s="47" t="n">
        <f aca="false">'Fault &amp; Downtime Entry'!D322</f>
        <v>0</v>
      </c>
      <c r="E321" s="47" t="n">
        <f aca="false">'Fault &amp; Downtime Entry'!E322</f>
        <v>0</v>
      </c>
      <c r="F321" s="47" t="str">
        <f aca="false">'Fault &amp; Downtime Entry'!F322</f>
        <v/>
      </c>
      <c r="G321" s="47" t="n">
        <f aca="false">'Fault &amp; Downtime Entry'!G322</f>
        <v>0</v>
      </c>
      <c r="H321" s="47" t="str">
        <f aca="false">'Fault &amp; Downtime Entry'!H322</f>
        <v/>
      </c>
      <c r="I321" s="47" t="str">
        <f aca="false">'Fault &amp; Downtime Entry'!I322</f>
        <v/>
      </c>
      <c r="J321" s="47" t="n">
        <f aca="false">'Fault &amp; Downtime Entry'!J322</f>
        <v>0</v>
      </c>
      <c r="K321" s="47" t="n">
        <f aca="false">'Fault &amp; Downtime Entry'!K322</f>
        <v>0</v>
      </c>
      <c r="L321" s="47" t="n">
        <f aca="false">'Fault &amp; Downtime Entry'!L322</f>
        <v>0</v>
      </c>
      <c r="M321" s="47" t="str">
        <f aca="false">'Fault &amp; Downtime Entry'!M322</f>
        <v/>
      </c>
      <c r="N321" s="47" t="n">
        <f aca="false">'Fault &amp; Downtime Entry'!N322</f>
        <v>0</v>
      </c>
      <c r="O321" s="47" t="n">
        <f aca="false">'Fault &amp; Downtime Entry'!O322</f>
        <v>0</v>
      </c>
      <c r="P321" s="47" t="str">
        <f aca="false">IF(OR(J321="",K321=""),"",IFERROR(J321/K321*1000,0))</f>
        <v/>
      </c>
      <c r="Q321" s="47" t="str">
        <f aca="false">IF(OR(L321="",K321=""),"",IFERROR(L321/K321*1000,0))</f>
        <v/>
      </c>
      <c r="R321" s="47" t="str">
        <f aca="false">IF(OR(M321="High",M321="Critical"),"YES","")</f>
        <v/>
      </c>
    </row>
    <row r="322" customFormat="false" ht="15" hidden="false" customHeight="true" outlineLevel="0" collapsed="false">
      <c r="A322" s="47" t="n">
        <f aca="false">'Fault &amp; Downtime Entry'!A323</f>
        <v>318</v>
      </c>
      <c r="B322" s="48" t="n">
        <f aca="false">'Fault &amp; Downtime Entry'!B323</f>
        <v>0</v>
      </c>
      <c r="C322" s="47" t="n">
        <f aca="false">'Fault &amp; Downtime Entry'!C323</f>
        <v>0</v>
      </c>
      <c r="D322" s="47" t="n">
        <f aca="false">'Fault &amp; Downtime Entry'!D323</f>
        <v>0</v>
      </c>
      <c r="E322" s="47" t="n">
        <f aca="false">'Fault &amp; Downtime Entry'!E323</f>
        <v>0</v>
      </c>
      <c r="F322" s="47" t="str">
        <f aca="false">'Fault &amp; Downtime Entry'!F323</f>
        <v/>
      </c>
      <c r="G322" s="47" t="n">
        <f aca="false">'Fault &amp; Downtime Entry'!G323</f>
        <v>0</v>
      </c>
      <c r="H322" s="47" t="str">
        <f aca="false">'Fault &amp; Downtime Entry'!H323</f>
        <v/>
      </c>
      <c r="I322" s="47" t="str">
        <f aca="false">'Fault &amp; Downtime Entry'!I323</f>
        <v/>
      </c>
      <c r="J322" s="47" t="n">
        <f aca="false">'Fault &amp; Downtime Entry'!J323</f>
        <v>0</v>
      </c>
      <c r="K322" s="47" t="n">
        <f aca="false">'Fault &amp; Downtime Entry'!K323</f>
        <v>0</v>
      </c>
      <c r="L322" s="47" t="n">
        <f aca="false">'Fault &amp; Downtime Entry'!L323</f>
        <v>0</v>
      </c>
      <c r="M322" s="47" t="str">
        <f aca="false">'Fault &amp; Downtime Entry'!M323</f>
        <v/>
      </c>
      <c r="N322" s="47" t="n">
        <f aca="false">'Fault &amp; Downtime Entry'!N323</f>
        <v>0</v>
      </c>
      <c r="O322" s="47" t="n">
        <f aca="false">'Fault &amp; Downtime Entry'!O323</f>
        <v>0</v>
      </c>
      <c r="P322" s="47" t="str">
        <f aca="false">IF(OR(J322="",K322=""),"",IFERROR(J322/K322*1000,0))</f>
        <v/>
      </c>
      <c r="Q322" s="47" t="str">
        <f aca="false">IF(OR(L322="",K322=""),"",IFERROR(L322/K322*1000,0))</f>
        <v/>
      </c>
      <c r="R322" s="47" t="str">
        <f aca="false">IF(OR(M322="High",M322="Critical"),"YES","")</f>
        <v/>
      </c>
    </row>
    <row r="323" customFormat="false" ht="15" hidden="false" customHeight="true" outlineLevel="0" collapsed="false">
      <c r="A323" s="47" t="n">
        <f aca="false">'Fault &amp; Downtime Entry'!A324</f>
        <v>319</v>
      </c>
      <c r="B323" s="48" t="n">
        <f aca="false">'Fault &amp; Downtime Entry'!B324</f>
        <v>0</v>
      </c>
      <c r="C323" s="47" t="n">
        <f aca="false">'Fault &amp; Downtime Entry'!C324</f>
        <v>0</v>
      </c>
      <c r="D323" s="47" t="n">
        <f aca="false">'Fault &amp; Downtime Entry'!D324</f>
        <v>0</v>
      </c>
      <c r="E323" s="47" t="n">
        <f aca="false">'Fault &amp; Downtime Entry'!E324</f>
        <v>0</v>
      </c>
      <c r="F323" s="47" t="str">
        <f aca="false">'Fault &amp; Downtime Entry'!F324</f>
        <v/>
      </c>
      <c r="G323" s="47" t="n">
        <f aca="false">'Fault &amp; Downtime Entry'!G324</f>
        <v>0</v>
      </c>
      <c r="H323" s="47" t="str">
        <f aca="false">'Fault &amp; Downtime Entry'!H324</f>
        <v/>
      </c>
      <c r="I323" s="47" t="str">
        <f aca="false">'Fault &amp; Downtime Entry'!I324</f>
        <v/>
      </c>
      <c r="J323" s="47" t="n">
        <f aca="false">'Fault &amp; Downtime Entry'!J324</f>
        <v>0</v>
      </c>
      <c r="K323" s="47" t="n">
        <f aca="false">'Fault &amp; Downtime Entry'!K324</f>
        <v>0</v>
      </c>
      <c r="L323" s="47" t="n">
        <f aca="false">'Fault &amp; Downtime Entry'!L324</f>
        <v>0</v>
      </c>
      <c r="M323" s="47" t="str">
        <f aca="false">'Fault &amp; Downtime Entry'!M324</f>
        <v/>
      </c>
      <c r="N323" s="47" t="n">
        <f aca="false">'Fault &amp; Downtime Entry'!N324</f>
        <v>0</v>
      </c>
      <c r="O323" s="47" t="n">
        <f aca="false">'Fault &amp; Downtime Entry'!O324</f>
        <v>0</v>
      </c>
      <c r="P323" s="47" t="str">
        <f aca="false">IF(OR(J323="",K323=""),"",IFERROR(J323/K323*1000,0))</f>
        <v/>
      </c>
      <c r="Q323" s="47" t="str">
        <f aca="false">IF(OR(L323="",K323=""),"",IFERROR(L323/K323*1000,0))</f>
        <v/>
      </c>
      <c r="R323" s="47" t="str">
        <f aca="false">IF(OR(M323="High",M323="Critical"),"YES","")</f>
        <v/>
      </c>
    </row>
    <row r="324" customFormat="false" ht="15" hidden="false" customHeight="true" outlineLevel="0" collapsed="false">
      <c r="A324" s="47" t="n">
        <f aca="false">'Fault &amp; Downtime Entry'!A325</f>
        <v>320</v>
      </c>
      <c r="B324" s="48" t="n">
        <f aca="false">'Fault &amp; Downtime Entry'!B325</f>
        <v>0</v>
      </c>
      <c r="C324" s="47" t="n">
        <f aca="false">'Fault &amp; Downtime Entry'!C325</f>
        <v>0</v>
      </c>
      <c r="D324" s="47" t="n">
        <f aca="false">'Fault &amp; Downtime Entry'!D325</f>
        <v>0</v>
      </c>
      <c r="E324" s="47" t="n">
        <f aca="false">'Fault &amp; Downtime Entry'!E325</f>
        <v>0</v>
      </c>
      <c r="F324" s="47" t="str">
        <f aca="false">'Fault &amp; Downtime Entry'!F325</f>
        <v/>
      </c>
      <c r="G324" s="47" t="n">
        <f aca="false">'Fault &amp; Downtime Entry'!G325</f>
        <v>0</v>
      </c>
      <c r="H324" s="47" t="str">
        <f aca="false">'Fault &amp; Downtime Entry'!H325</f>
        <v/>
      </c>
      <c r="I324" s="47" t="str">
        <f aca="false">'Fault &amp; Downtime Entry'!I325</f>
        <v/>
      </c>
      <c r="J324" s="47" t="n">
        <f aca="false">'Fault &amp; Downtime Entry'!J325</f>
        <v>0</v>
      </c>
      <c r="K324" s="47" t="n">
        <f aca="false">'Fault &amp; Downtime Entry'!K325</f>
        <v>0</v>
      </c>
      <c r="L324" s="47" t="n">
        <f aca="false">'Fault &amp; Downtime Entry'!L325</f>
        <v>0</v>
      </c>
      <c r="M324" s="47" t="str">
        <f aca="false">'Fault &amp; Downtime Entry'!M325</f>
        <v/>
      </c>
      <c r="N324" s="47" t="n">
        <f aca="false">'Fault &amp; Downtime Entry'!N325</f>
        <v>0</v>
      </c>
      <c r="O324" s="47" t="n">
        <f aca="false">'Fault &amp; Downtime Entry'!O325</f>
        <v>0</v>
      </c>
      <c r="P324" s="47" t="str">
        <f aca="false">IF(OR(J324="",K324=""),"",IFERROR(J324/K324*1000,0))</f>
        <v/>
      </c>
      <c r="Q324" s="47" t="str">
        <f aca="false">IF(OR(L324="",K324=""),"",IFERROR(L324/K324*1000,0))</f>
        <v/>
      </c>
      <c r="R324" s="47" t="str">
        <f aca="false">IF(OR(M324="High",M324="Critical"),"YES","")</f>
        <v/>
      </c>
    </row>
    <row r="325" customFormat="false" ht="15" hidden="false" customHeight="true" outlineLevel="0" collapsed="false">
      <c r="A325" s="47" t="n">
        <f aca="false">'Fault &amp; Downtime Entry'!A326</f>
        <v>321</v>
      </c>
      <c r="B325" s="48" t="n">
        <f aca="false">'Fault &amp; Downtime Entry'!B326</f>
        <v>0</v>
      </c>
      <c r="C325" s="47" t="n">
        <f aca="false">'Fault &amp; Downtime Entry'!C326</f>
        <v>0</v>
      </c>
      <c r="D325" s="47" t="n">
        <f aca="false">'Fault &amp; Downtime Entry'!D326</f>
        <v>0</v>
      </c>
      <c r="E325" s="47" t="n">
        <f aca="false">'Fault &amp; Downtime Entry'!E326</f>
        <v>0</v>
      </c>
      <c r="F325" s="47" t="str">
        <f aca="false">'Fault &amp; Downtime Entry'!F326</f>
        <v/>
      </c>
      <c r="G325" s="47" t="n">
        <f aca="false">'Fault &amp; Downtime Entry'!G326</f>
        <v>0</v>
      </c>
      <c r="H325" s="47" t="str">
        <f aca="false">'Fault &amp; Downtime Entry'!H326</f>
        <v/>
      </c>
      <c r="I325" s="47" t="str">
        <f aca="false">'Fault &amp; Downtime Entry'!I326</f>
        <v/>
      </c>
      <c r="J325" s="47" t="n">
        <f aca="false">'Fault &amp; Downtime Entry'!J326</f>
        <v>0</v>
      </c>
      <c r="K325" s="47" t="n">
        <f aca="false">'Fault &amp; Downtime Entry'!K326</f>
        <v>0</v>
      </c>
      <c r="L325" s="47" t="n">
        <f aca="false">'Fault &amp; Downtime Entry'!L326</f>
        <v>0</v>
      </c>
      <c r="M325" s="47" t="str">
        <f aca="false">'Fault &amp; Downtime Entry'!M326</f>
        <v/>
      </c>
      <c r="N325" s="47" t="n">
        <f aca="false">'Fault &amp; Downtime Entry'!N326</f>
        <v>0</v>
      </c>
      <c r="O325" s="47" t="n">
        <f aca="false">'Fault &amp; Downtime Entry'!O326</f>
        <v>0</v>
      </c>
      <c r="P325" s="47" t="str">
        <f aca="false">IF(OR(J325="",K325=""),"",IFERROR(J325/K325*1000,0))</f>
        <v/>
      </c>
      <c r="Q325" s="47" t="str">
        <f aca="false">IF(OR(L325="",K325=""),"",IFERROR(L325/K325*1000,0))</f>
        <v/>
      </c>
      <c r="R325" s="47" t="str">
        <f aca="false">IF(OR(M325="High",M325="Critical"),"YES","")</f>
        <v/>
      </c>
    </row>
    <row r="326" customFormat="false" ht="15" hidden="false" customHeight="true" outlineLevel="0" collapsed="false">
      <c r="A326" s="47" t="n">
        <f aca="false">'Fault &amp; Downtime Entry'!A327</f>
        <v>322</v>
      </c>
      <c r="B326" s="48" t="n">
        <f aca="false">'Fault &amp; Downtime Entry'!B327</f>
        <v>0</v>
      </c>
      <c r="C326" s="47" t="n">
        <f aca="false">'Fault &amp; Downtime Entry'!C327</f>
        <v>0</v>
      </c>
      <c r="D326" s="47" t="n">
        <f aca="false">'Fault &amp; Downtime Entry'!D327</f>
        <v>0</v>
      </c>
      <c r="E326" s="47" t="n">
        <f aca="false">'Fault &amp; Downtime Entry'!E327</f>
        <v>0</v>
      </c>
      <c r="F326" s="47" t="str">
        <f aca="false">'Fault &amp; Downtime Entry'!F327</f>
        <v/>
      </c>
      <c r="G326" s="47" t="n">
        <f aca="false">'Fault &amp; Downtime Entry'!G327</f>
        <v>0</v>
      </c>
      <c r="H326" s="47" t="str">
        <f aca="false">'Fault &amp; Downtime Entry'!H327</f>
        <v/>
      </c>
      <c r="I326" s="47" t="str">
        <f aca="false">'Fault &amp; Downtime Entry'!I327</f>
        <v/>
      </c>
      <c r="J326" s="47" t="n">
        <f aca="false">'Fault &amp; Downtime Entry'!J327</f>
        <v>0</v>
      </c>
      <c r="K326" s="47" t="n">
        <f aca="false">'Fault &amp; Downtime Entry'!K327</f>
        <v>0</v>
      </c>
      <c r="L326" s="47" t="n">
        <f aca="false">'Fault &amp; Downtime Entry'!L327</f>
        <v>0</v>
      </c>
      <c r="M326" s="47" t="str">
        <f aca="false">'Fault &amp; Downtime Entry'!M327</f>
        <v/>
      </c>
      <c r="N326" s="47" t="n">
        <f aca="false">'Fault &amp; Downtime Entry'!N327</f>
        <v>0</v>
      </c>
      <c r="O326" s="47" t="n">
        <f aca="false">'Fault &amp; Downtime Entry'!O327</f>
        <v>0</v>
      </c>
      <c r="P326" s="47" t="str">
        <f aca="false">IF(OR(J326="",K326=""),"",IFERROR(J326/K326*1000,0))</f>
        <v/>
      </c>
      <c r="Q326" s="47" t="str">
        <f aca="false">IF(OR(L326="",K326=""),"",IFERROR(L326/K326*1000,0))</f>
        <v/>
      </c>
      <c r="R326" s="47" t="str">
        <f aca="false">IF(OR(M326="High",M326="Critical"),"YES","")</f>
        <v/>
      </c>
    </row>
    <row r="327" customFormat="false" ht="15" hidden="false" customHeight="true" outlineLevel="0" collapsed="false">
      <c r="A327" s="47" t="n">
        <f aca="false">'Fault &amp; Downtime Entry'!A328</f>
        <v>323</v>
      </c>
      <c r="B327" s="48" t="n">
        <f aca="false">'Fault &amp; Downtime Entry'!B328</f>
        <v>0</v>
      </c>
      <c r="C327" s="47" t="n">
        <f aca="false">'Fault &amp; Downtime Entry'!C328</f>
        <v>0</v>
      </c>
      <c r="D327" s="47" t="n">
        <f aca="false">'Fault &amp; Downtime Entry'!D328</f>
        <v>0</v>
      </c>
      <c r="E327" s="47" t="n">
        <f aca="false">'Fault &amp; Downtime Entry'!E328</f>
        <v>0</v>
      </c>
      <c r="F327" s="47" t="str">
        <f aca="false">'Fault &amp; Downtime Entry'!F328</f>
        <v/>
      </c>
      <c r="G327" s="47" t="n">
        <f aca="false">'Fault &amp; Downtime Entry'!G328</f>
        <v>0</v>
      </c>
      <c r="H327" s="47" t="str">
        <f aca="false">'Fault &amp; Downtime Entry'!H328</f>
        <v/>
      </c>
      <c r="I327" s="47" t="str">
        <f aca="false">'Fault &amp; Downtime Entry'!I328</f>
        <v/>
      </c>
      <c r="J327" s="47" t="n">
        <f aca="false">'Fault &amp; Downtime Entry'!J328</f>
        <v>0</v>
      </c>
      <c r="K327" s="47" t="n">
        <f aca="false">'Fault &amp; Downtime Entry'!K328</f>
        <v>0</v>
      </c>
      <c r="L327" s="47" t="n">
        <f aca="false">'Fault &amp; Downtime Entry'!L328</f>
        <v>0</v>
      </c>
      <c r="M327" s="47" t="str">
        <f aca="false">'Fault &amp; Downtime Entry'!M328</f>
        <v/>
      </c>
      <c r="N327" s="47" t="n">
        <f aca="false">'Fault &amp; Downtime Entry'!N328</f>
        <v>0</v>
      </c>
      <c r="O327" s="47" t="n">
        <f aca="false">'Fault &amp; Downtime Entry'!O328</f>
        <v>0</v>
      </c>
      <c r="P327" s="47" t="str">
        <f aca="false">IF(OR(J327="",K327=""),"",IFERROR(J327/K327*1000,0))</f>
        <v/>
      </c>
      <c r="Q327" s="47" t="str">
        <f aca="false">IF(OR(L327="",K327=""),"",IFERROR(L327/K327*1000,0))</f>
        <v/>
      </c>
      <c r="R327" s="47" t="str">
        <f aca="false">IF(OR(M327="High",M327="Critical"),"YES","")</f>
        <v/>
      </c>
    </row>
    <row r="328" customFormat="false" ht="15" hidden="false" customHeight="true" outlineLevel="0" collapsed="false">
      <c r="A328" s="47" t="n">
        <f aca="false">'Fault &amp; Downtime Entry'!A329</f>
        <v>324</v>
      </c>
      <c r="B328" s="48" t="n">
        <f aca="false">'Fault &amp; Downtime Entry'!B329</f>
        <v>0</v>
      </c>
      <c r="C328" s="47" t="n">
        <f aca="false">'Fault &amp; Downtime Entry'!C329</f>
        <v>0</v>
      </c>
      <c r="D328" s="47" t="n">
        <f aca="false">'Fault &amp; Downtime Entry'!D329</f>
        <v>0</v>
      </c>
      <c r="E328" s="47" t="n">
        <f aca="false">'Fault &amp; Downtime Entry'!E329</f>
        <v>0</v>
      </c>
      <c r="F328" s="47" t="str">
        <f aca="false">'Fault &amp; Downtime Entry'!F329</f>
        <v/>
      </c>
      <c r="G328" s="47" t="n">
        <f aca="false">'Fault &amp; Downtime Entry'!G329</f>
        <v>0</v>
      </c>
      <c r="H328" s="47" t="str">
        <f aca="false">'Fault &amp; Downtime Entry'!H329</f>
        <v/>
      </c>
      <c r="I328" s="47" t="str">
        <f aca="false">'Fault &amp; Downtime Entry'!I329</f>
        <v/>
      </c>
      <c r="J328" s="47" t="n">
        <f aca="false">'Fault &amp; Downtime Entry'!J329</f>
        <v>0</v>
      </c>
      <c r="K328" s="47" t="n">
        <f aca="false">'Fault &amp; Downtime Entry'!K329</f>
        <v>0</v>
      </c>
      <c r="L328" s="47" t="n">
        <f aca="false">'Fault &amp; Downtime Entry'!L329</f>
        <v>0</v>
      </c>
      <c r="M328" s="47" t="str">
        <f aca="false">'Fault &amp; Downtime Entry'!M329</f>
        <v/>
      </c>
      <c r="N328" s="47" t="n">
        <f aca="false">'Fault &amp; Downtime Entry'!N329</f>
        <v>0</v>
      </c>
      <c r="O328" s="47" t="n">
        <f aca="false">'Fault &amp; Downtime Entry'!O329</f>
        <v>0</v>
      </c>
      <c r="P328" s="47" t="str">
        <f aca="false">IF(OR(J328="",K328=""),"",IFERROR(J328/K328*1000,0))</f>
        <v/>
      </c>
      <c r="Q328" s="47" t="str">
        <f aca="false">IF(OR(L328="",K328=""),"",IFERROR(L328/K328*1000,0))</f>
        <v/>
      </c>
      <c r="R328" s="47" t="str">
        <f aca="false">IF(OR(M328="High",M328="Critical"),"YES","")</f>
        <v/>
      </c>
    </row>
    <row r="329" customFormat="false" ht="15" hidden="false" customHeight="true" outlineLevel="0" collapsed="false">
      <c r="A329" s="47" t="n">
        <f aca="false">'Fault &amp; Downtime Entry'!A330</f>
        <v>325</v>
      </c>
      <c r="B329" s="48" t="n">
        <f aca="false">'Fault &amp; Downtime Entry'!B330</f>
        <v>0</v>
      </c>
      <c r="C329" s="47" t="n">
        <f aca="false">'Fault &amp; Downtime Entry'!C330</f>
        <v>0</v>
      </c>
      <c r="D329" s="47" t="n">
        <f aca="false">'Fault &amp; Downtime Entry'!D330</f>
        <v>0</v>
      </c>
      <c r="E329" s="47" t="n">
        <f aca="false">'Fault &amp; Downtime Entry'!E330</f>
        <v>0</v>
      </c>
      <c r="F329" s="47" t="str">
        <f aca="false">'Fault &amp; Downtime Entry'!F330</f>
        <v/>
      </c>
      <c r="G329" s="47" t="n">
        <f aca="false">'Fault &amp; Downtime Entry'!G330</f>
        <v>0</v>
      </c>
      <c r="H329" s="47" t="str">
        <f aca="false">'Fault &amp; Downtime Entry'!H330</f>
        <v/>
      </c>
      <c r="I329" s="47" t="str">
        <f aca="false">'Fault &amp; Downtime Entry'!I330</f>
        <v/>
      </c>
      <c r="J329" s="47" t="n">
        <f aca="false">'Fault &amp; Downtime Entry'!J330</f>
        <v>0</v>
      </c>
      <c r="K329" s="47" t="n">
        <f aca="false">'Fault &amp; Downtime Entry'!K330</f>
        <v>0</v>
      </c>
      <c r="L329" s="47" t="n">
        <f aca="false">'Fault &amp; Downtime Entry'!L330</f>
        <v>0</v>
      </c>
      <c r="M329" s="47" t="str">
        <f aca="false">'Fault &amp; Downtime Entry'!M330</f>
        <v/>
      </c>
      <c r="N329" s="47" t="n">
        <f aca="false">'Fault &amp; Downtime Entry'!N330</f>
        <v>0</v>
      </c>
      <c r="O329" s="47" t="n">
        <f aca="false">'Fault &amp; Downtime Entry'!O330</f>
        <v>0</v>
      </c>
      <c r="P329" s="47" t="str">
        <f aca="false">IF(OR(J329="",K329=""),"",IFERROR(J329/K329*1000,0))</f>
        <v/>
      </c>
      <c r="Q329" s="47" t="str">
        <f aca="false">IF(OR(L329="",K329=""),"",IFERROR(L329/K329*1000,0))</f>
        <v/>
      </c>
      <c r="R329" s="47" t="str">
        <f aca="false">IF(OR(M329="High",M329="Critical"),"YES","")</f>
        <v/>
      </c>
    </row>
    <row r="330" customFormat="false" ht="15" hidden="false" customHeight="true" outlineLevel="0" collapsed="false">
      <c r="A330" s="47" t="n">
        <f aca="false">'Fault &amp; Downtime Entry'!A331</f>
        <v>326</v>
      </c>
      <c r="B330" s="48" t="n">
        <f aca="false">'Fault &amp; Downtime Entry'!B331</f>
        <v>0</v>
      </c>
      <c r="C330" s="47" t="n">
        <f aca="false">'Fault &amp; Downtime Entry'!C331</f>
        <v>0</v>
      </c>
      <c r="D330" s="47" t="n">
        <f aca="false">'Fault &amp; Downtime Entry'!D331</f>
        <v>0</v>
      </c>
      <c r="E330" s="47" t="n">
        <f aca="false">'Fault &amp; Downtime Entry'!E331</f>
        <v>0</v>
      </c>
      <c r="F330" s="47" t="str">
        <f aca="false">'Fault &amp; Downtime Entry'!F331</f>
        <v/>
      </c>
      <c r="G330" s="47" t="n">
        <f aca="false">'Fault &amp; Downtime Entry'!G331</f>
        <v>0</v>
      </c>
      <c r="H330" s="47" t="str">
        <f aca="false">'Fault &amp; Downtime Entry'!H331</f>
        <v/>
      </c>
      <c r="I330" s="47" t="str">
        <f aca="false">'Fault &amp; Downtime Entry'!I331</f>
        <v/>
      </c>
      <c r="J330" s="47" t="n">
        <f aca="false">'Fault &amp; Downtime Entry'!J331</f>
        <v>0</v>
      </c>
      <c r="K330" s="47" t="n">
        <f aca="false">'Fault &amp; Downtime Entry'!K331</f>
        <v>0</v>
      </c>
      <c r="L330" s="47" t="n">
        <f aca="false">'Fault &amp; Downtime Entry'!L331</f>
        <v>0</v>
      </c>
      <c r="M330" s="47" t="str">
        <f aca="false">'Fault &amp; Downtime Entry'!M331</f>
        <v/>
      </c>
      <c r="N330" s="47" t="n">
        <f aca="false">'Fault &amp; Downtime Entry'!N331</f>
        <v>0</v>
      </c>
      <c r="O330" s="47" t="n">
        <f aca="false">'Fault &amp; Downtime Entry'!O331</f>
        <v>0</v>
      </c>
      <c r="P330" s="47" t="str">
        <f aca="false">IF(OR(J330="",K330=""),"",IFERROR(J330/K330*1000,0))</f>
        <v/>
      </c>
      <c r="Q330" s="47" t="str">
        <f aca="false">IF(OR(L330="",K330=""),"",IFERROR(L330/K330*1000,0))</f>
        <v/>
      </c>
      <c r="R330" s="47" t="str">
        <f aca="false">IF(OR(M330="High",M330="Critical"),"YES","")</f>
        <v/>
      </c>
    </row>
    <row r="331" customFormat="false" ht="15" hidden="false" customHeight="true" outlineLevel="0" collapsed="false">
      <c r="A331" s="47" t="n">
        <f aca="false">'Fault &amp; Downtime Entry'!A332</f>
        <v>327</v>
      </c>
      <c r="B331" s="48" t="n">
        <f aca="false">'Fault &amp; Downtime Entry'!B332</f>
        <v>0</v>
      </c>
      <c r="C331" s="47" t="n">
        <f aca="false">'Fault &amp; Downtime Entry'!C332</f>
        <v>0</v>
      </c>
      <c r="D331" s="47" t="n">
        <f aca="false">'Fault &amp; Downtime Entry'!D332</f>
        <v>0</v>
      </c>
      <c r="E331" s="47" t="n">
        <f aca="false">'Fault &amp; Downtime Entry'!E332</f>
        <v>0</v>
      </c>
      <c r="F331" s="47" t="str">
        <f aca="false">'Fault &amp; Downtime Entry'!F332</f>
        <v/>
      </c>
      <c r="G331" s="47" t="n">
        <f aca="false">'Fault &amp; Downtime Entry'!G332</f>
        <v>0</v>
      </c>
      <c r="H331" s="47" t="str">
        <f aca="false">'Fault &amp; Downtime Entry'!H332</f>
        <v/>
      </c>
      <c r="I331" s="47" t="str">
        <f aca="false">'Fault &amp; Downtime Entry'!I332</f>
        <v/>
      </c>
      <c r="J331" s="47" t="n">
        <f aca="false">'Fault &amp; Downtime Entry'!J332</f>
        <v>0</v>
      </c>
      <c r="K331" s="47" t="n">
        <f aca="false">'Fault &amp; Downtime Entry'!K332</f>
        <v>0</v>
      </c>
      <c r="L331" s="47" t="n">
        <f aca="false">'Fault &amp; Downtime Entry'!L332</f>
        <v>0</v>
      </c>
      <c r="M331" s="47" t="str">
        <f aca="false">'Fault &amp; Downtime Entry'!M332</f>
        <v/>
      </c>
      <c r="N331" s="47" t="n">
        <f aca="false">'Fault &amp; Downtime Entry'!N332</f>
        <v>0</v>
      </c>
      <c r="O331" s="47" t="n">
        <f aca="false">'Fault &amp; Downtime Entry'!O332</f>
        <v>0</v>
      </c>
      <c r="P331" s="47" t="str">
        <f aca="false">IF(OR(J331="",K331=""),"",IFERROR(J331/K331*1000,0))</f>
        <v/>
      </c>
      <c r="Q331" s="47" t="str">
        <f aca="false">IF(OR(L331="",K331=""),"",IFERROR(L331/K331*1000,0))</f>
        <v/>
      </c>
      <c r="R331" s="47" t="str">
        <f aca="false">IF(OR(M331="High",M331="Critical"),"YES","")</f>
        <v/>
      </c>
    </row>
    <row r="332" customFormat="false" ht="15" hidden="false" customHeight="true" outlineLevel="0" collapsed="false">
      <c r="A332" s="47" t="n">
        <f aca="false">'Fault &amp; Downtime Entry'!A333</f>
        <v>328</v>
      </c>
      <c r="B332" s="48" t="n">
        <f aca="false">'Fault &amp; Downtime Entry'!B333</f>
        <v>0</v>
      </c>
      <c r="C332" s="47" t="n">
        <f aca="false">'Fault &amp; Downtime Entry'!C333</f>
        <v>0</v>
      </c>
      <c r="D332" s="47" t="n">
        <f aca="false">'Fault &amp; Downtime Entry'!D333</f>
        <v>0</v>
      </c>
      <c r="E332" s="47" t="n">
        <f aca="false">'Fault &amp; Downtime Entry'!E333</f>
        <v>0</v>
      </c>
      <c r="F332" s="47" t="str">
        <f aca="false">'Fault &amp; Downtime Entry'!F333</f>
        <v/>
      </c>
      <c r="G332" s="47" t="n">
        <f aca="false">'Fault &amp; Downtime Entry'!G333</f>
        <v>0</v>
      </c>
      <c r="H332" s="47" t="str">
        <f aca="false">'Fault &amp; Downtime Entry'!H333</f>
        <v/>
      </c>
      <c r="I332" s="47" t="str">
        <f aca="false">'Fault &amp; Downtime Entry'!I333</f>
        <v/>
      </c>
      <c r="J332" s="47" t="n">
        <f aca="false">'Fault &amp; Downtime Entry'!J333</f>
        <v>0</v>
      </c>
      <c r="K332" s="47" t="n">
        <f aca="false">'Fault &amp; Downtime Entry'!K333</f>
        <v>0</v>
      </c>
      <c r="L332" s="47" t="n">
        <f aca="false">'Fault &amp; Downtime Entry'!L333</f>
        <v>0</v>
      </c>
      <c r="M332" s="47" t="str">
        <f aca="false">'Fault &amp; Downtime Entry'!M333</f>
        <v/>
      </c>
      <c r="N332" s="47" t="n">
        <f aca="false">'Fault &amp; Downtime Entry'!N333</f>
        <v>0</v>
      </c>
      <c r="O332" s="47" t="n">
        <f aca="false">'Fault &amp; Downtime Entry'!O333</f>
        <v>0</v>
      </c>
      <c r="P332" s="47" t="str">
        <f aca="false">IF(OR(J332="",K332=""),"",IFERROR(J332/K332*1000,0))</f>
        <v/>
      </c>
      <c r="Q332" s="47" t="str">
        <f aca="false">IF(OR(L332="",K332=""),"",IFERROR(L332/K332*1000,0))</f>
        <v/>
      </c>
      <c r="R332" s="47" t="str">
        <f aca="false">IF(OR(M332="High",M332="Critical"),"YES","")</f>
        <v/>
      </c>
    </row>
    <row r="333" customFormat="false" ht="15" hidden="false" customHeight="true" outlineLevel="0" collapsed="false">
      <c r="A333" s="47" t="n">
        <f aca="false">'Fault &amp; Downtime Entry'!A334</f>
        <v>329</v>
      </c>
      <c r="B333" s="48" t="n">
        <f aca="false">'Fault &amp; Downtime Entry'!B334</f>
        <v>0</v>
      </c>
      <c r="C333" s="47" t="n">
        <f aca="false">'Fault &amp; Downtime Entry'!C334</f>
        <v>0</v>
      </c>
      <c r="D333" s="47" t="n">
        <f aca="false">'Fault &amp; Downtime Entry'!D334</f>
        <v>0</v>
      </c>
      <c r="E333" s="47" t="n">
        <f aca="false">'Fault &amp; Downtime Entry'!E334</f>
        <v>0</v>
      </c>
      <c r="F333" s="47" t="str">
        <f aca="false">'Fault &amp; Downtime Entry'!F334</f>
        <v/>
      </c>
      <c r="G333" s="47" t="n">
        <f aca="false">'Fault &amp; Downtime Entry'!G334</f>
        <v>0</v>
      </c>
      <c r="H333" s="47" t="str">
        <f aca="false">'Fault &amp; Downtime Entry'!H334</f>
        <v/>
      </c>
      <c r="I333" s="47" t="str">
        <f aca="false">'Fault &amp; Downtime Entry'!I334</f>
        <v/>
      </c>
      <c r="J333" s="47" t="n">
        <f aca="false">'Fault &amp; Downtime Entry'!J334</f>
        <v>0</v>
      </c>
      <c r="K333" s="47" t="n">
        <f aca="false">'Fault &amp; Downtime Entry'!K334</f>
        <v>0</v>
      </c>
      <c r="L333" s="47" t="n">
        <f aca="false">'Fault &amp; Downtime Entry'!L334</f>
        <v>0</v>
      </c>
      <c r="M333" s="47" t="str">
        <f aca="false">'Fault &amp; Downtime Entry'!M334</f>
        <v/>
      </c>
      <c r="N333" s="47" t="n">
        <f aca="false">'Fault &amp; Downtime Entry'!N334</f>
        <v>0</v>
      </c>
      <c r="O333" s="47" t="n">
        <f aca="false">'Fault &amp; Downtime Entry'!O334</f>
        <v>0</v>
      </c>
      <c r="P333" s="47" t="str">
        <f aca="false">IF(OR(J333="",K333=""),"",IFERROR(J333/K333*1000,0))</f>
        <v/>
      </c>
      <c r="Q333" s="47" t="str">
        <f aca="false">IF(OR(L333="",K333=""),"",IFERROR(L333/K333*1000,0))</f>
        <v/>
      </c>
      <c r="R333" s="47" t="str">
        <f aca="false">IF(OR(M333="High",M333="Critical"),"YES","")</f>
        <v/>
      </c>
    </row>
    <row r="334" customFormat="false" ht="15" hidden="false" customHeight="true" outlineLevel="0" collapsed="false">
      <c r="A334" s="47" t="n">
        <f aca="false">'Fault &amp; Downtime Entry'!A335</f>
        <v>330</v>
      </c>
      <c r="B334" s="48" t="n">
        <f aca="false">'Fault &amp; Downtime Entry'!B335</f>
        <v>0</v>
      </c>
      <c r="C334" s="47" t="n">
        <f aca="false">'Fault &amp; Downtime Entry'!C335</f>
        <v>0</v>
      </c>
      <c r="D334" s="47" t="n">
        <f aca="false">'Fault &amp; Downtime Entry'!D335</f>
        <v>0</v>
      </c>
      <c r="E334" s="47" t="n">
        <f aca="false">'Fault &amp; Downtime Entry'!E335</f>
        <v>0</v>
      </c>
      <c r="F334" s="47" t="str">
        <f aca="false">'Fault &amp; Downtime Entry'!F335</f>
        <v/>
      </c>
      <c r="G334" s="47" t="n">
        <f aca="false">'Fault &amp; Downtime Entry'!G335</f>
        <v>0</v>
      </c>
      <c r="H334" s="47" t="str">
        <f aca="false">'Fault &amp; Downtime Entry'!H335</f>
        <v/>
      </c>
      <c r="I334" s="47" t="str">
        <f aca="false">'Fault &amp; Downtime Entry'!I335</f>
        <v/>
      </c>
      <c r="J334" s="47" t="n">
        <f aca="false">'Fault &amp; Downtime Entry'!J335</f>
        <v>0</v>
      </c>
      <c r="K334" s="47" t="n">
        <f aca="false">'Fault &amp; Downtime Entry'!K335</f>
        <v>0</v>
      </c>
      <c r="L334" s="47" t="n">
        <f aca="false">'Fault &amp; Downtime Entry'!L335</f>
        <v>0</v>
      </c>
      <c r="M334" s="47" t="str">
        <f aca="false">'Fault &amp; Downtime Entry'!M335</f>
        <v/>
      </c>
      <c r="N334" s="47" t="n">
        <f aca="false">'Fault &amp; Downtime Entry'!N335</f>
        <v>0</v>
      </c>
      <c r="O334" s="47" t="n">
        <f aca="false">'Fault &amp; Downtime Entry'!O335</f>
        <v>0</v>
      </c>
      <c r="P334" s="47" t="str">
        <f aca="false">IF(OR(J334="",K334=""),"",IFERROR(J334/K334*1000,0))</f>
        <v/>
      </c>
      <c r="Q334" s="47" t="str">
        <f aca="false">IF(OR(L334="",K334=""),"",IFERROR(L334/K334*1000,0))</f>
        <v/>
      </c>
      <c r="R334" s="47" t="str">
        <f aca="false">IF(OR(M334="High",M334="Critical"),"YES","")</f>
        <v/>
      </c>
    </row>
    <row r="335" customFormat="false" ht="15" hidden="false" customHeight="true" outlineLevel="0" collapsed="false">
      <c r="A335" s="47" t="n">
        <f aca="false">'Fault &amp; Downtime Entry'!A336</f>
        <v>331</v>
      </c>
      <c r="B335" s="48" t="n">
        <f aca="false">'Fault &amp; Downtime Entry'!B336</f>
        <v>0</v>
      </c>
      <c r="C335" s="47" t="n">
        <f aca="false">'Fault &amp; Downtime Entry'!C336</f>
        <v>0</v>
      </c>
      <c r="D335" s="47" t="n">
        <f aca="false">'Fault &amp; Downtime Entry'!D336</f>
        <v>0</v>
      </c>
      <c r="E335" s="47" t="n">
        <f aca="false">'Fault &amp; Downtime Entry'!E336</f>
        <v>0</v>
      </c>
      <c r="F335" s="47" t="str">
        <f aca="false">'Fault &amp; Downtime Entry'!F336</f>
        <v/>
      </c>
      <c r="G335" s="47" t="n">
        <f aca="false">'Fault &amp; Downtime Entry'!G336</f>
        <v>0</v>
      </c>
      <c r="H335" s="47" t="str">
        <f aca="false">'Fault &amp; Downtime Entry'!H336</f>
        <v/>
      </c>
      <c r="I335" s="47" t="str">
        <f aca="false">'Fault &amp; Downtime Entry'!I336</f>
        <v/>
      </c>
      <c r="J335" s="47" t="n">
        <f aca="false">'Fault &amp; Downtime Entry'!J336</f>
        <v>0</v>
      </c>
      <c r="K335" s="47" t="n">
        <f aca="false">'Fault &amp; Downtime Entry'!K336</f>
        <v>0</v>
      </c>
      <c r="L335" s="47" t="n">
        <f aca="false">'Fault &amp; Downtime Entry'!L336</f>
        <v>0</v>
      </c>
      <c r="M335" s="47" t="str">
        <f aca="false">'Fault &amp; Downtime Entry'!M336</f>
        <v/>
      </c>
      <c r="N335" s="47" t="n">
        <f aca="false">'Fault &amp; Downtime Entry'!N336</f>
        <v>0</v>
      </c>
      <c r="O335" s="47" t="n">
        <f aca="false">'Fault &amp; Downtime Entry'!O336</f>
        <v>0</v>
      </c>
      <c r="P335" s="47" t="str">
        <f aca="false">IF(OR(J335="",K335=""),"",IFERROR(J335/K335*1000,0))</f>
        <v/>
      </c>
      <c r="Q335" s="47" t="str">
        <f aca="false">IF(OR(L335="",K335=""),"",IFERROR(L335/K335*1000,0))</f>
        <v/>
      </c>
      <c r="R335" s="47" t="str">
        <f aca="false">IF(OR(M335="High",M335="Critical"),"YES","")</f>
        <v/>
      </c>
    </row>
    <row r="336" customFormat="false" ht="15" hidden="false" customHeight="true" outlineLevel="0" collapsed="false">
      <c r="A336" s="47" t="n">
        <f aca="false">'Fault &amp; Downtime Entry'!A337</f>
        <v>332</v>
      </c>
      <c r="B336" s="48" t="n">
        <f aca="false">'Fault &amp; Downtime Entry'!B337</f>
        <v>0</v>
      </c>
      <c r="C336" s="47" t="n">
        <f aca="false">'Fault &amp; Downtime Entry'!C337</f>
        <v>0</v>
      </c>
      <c r="D336" s="47" t="n">
        <f aca="false">'Fault &amp; Downtime Entry'!D337</f>
        <v>0</v>
      </c>
      <c r="E336" s="47" t="n">
        <f aca="false">'Fault &amp; Downtime Entry'!E337</f>
        <v>0</v>
      </c>
      <c r="F336" s="47" t="str">
        <f aca="false">'Fault &amp; Downtime Entry'!F337</f>
        <v/>
      </c>
      <c r="G336" s="47" t="n">
        <f aca="false">'Fault &amp; Downtime Entry'!G337</f>
        <v>0</v>
      </c>
      <c r="H336" s="47" t="str">
        <f aca="false">'Fault &amp; Downtime Entry'!H337</f>
        <v/>
      </c>
      <c r="I336" s="47" t="str">
        <f aca="false">'Fault &amp; Downtime Entry'!I337</f>
        <v/>
      </c>
      <c r="J336" s="47" t="n">
        <f aca="false">'Fault &amp; Downtime Entry'!J337</f>
        <v>0</v>
      </c>
      <c r="K336" s="47" t="n">
        <f aca="false">'Fault &amp; Downtime Entry'!K337</f>
        <v>0</v>
      </c>
      <c r="L336" s="47" t="n">
        <f aca="false">'Fault &amp; Downtime Entry'!L337</f>
        <v>0</v>
      </c>
      <c r="M336" s="47" t="str">
        <f aca="false">'Fault &amp; Downtime Entry'!M337</f>
        <v/>
      </c>
      <c r="N336" s="47" t="n">
        <f aca="false">'Fault &amp; Downtime Entry'!N337</f>
        <v>0</v>
      </c>
      <c r="O336" s="47" t="n">
        <f aca="false">'Fault &amp; Downtime Entry'!O337</f>
        <v>0</v>
      </c>
      <c r="P336" s="47" t="str">
        <f aca="false">IF(OR(J336="",K336=""),"",IFERROR(J336/K336*1000,0))</f>
        <v/>
      </c>
      <c r="Q336" s="47" t="str">
        <f aca="false">IF(OR(L336="",K336=""),"",IFERROR(L336/K336*1000,0))</f>
        <v/>
      </c>
      <c r="R336" s="47" t="str">
        <f aca="false">IF(OR(M336="High",M336="Critical"),"YES","")</f>
        <v/>
      </c>
    </row>
    <row r="337" customFormat="false" ht="15" hidden="false" customHeight="true" outlineLevel="0" collapsed="false">
      <c r="A337" s="47" t="n">
        <f aca="false">'Fault &amp; Downtime Entry'!A338</f>
        <v>333</v>
      </c>
      <c r="B337" s="48" t="n">
        <f aca="false">'Fault &amp; Downtime Entry'!B338</f>
        <v>0</v>
      </c>
      <c r="C337" s="47" t="n">
        <f aca="false">'Fault &amp; Downtime Entry'!C338</f>
        <v>0</v>
      </c>
      <c r="D337" s="47" t="n">
        <f aca="false">'Fault &amp; Downtime Entry'!D338</f>
        <v>0</v>
      </c>
      <c r="E337" s="47" t="n">
        <f aca="false">'Fault &amp; Downtime Entry'!E338</f>
        <v>0</v>
      </c>
      <c r="F337" s="47" t="str">
        <f aca="false">'Fault &amp; Downtime Entry'!F338</f>
        <v/>
      </c>
      <c r="G337" s="47" t="n">
        <f aca="false">'Fault &amp; Downtime Entry'!G338</f>
        <v>0</v>
      </c>
      <c r="H337" s="47" t="str">
        <f aca="false">'Fault &amp; Downtime Entry'!H338</f>
        <v/>
      </c>
      <c r="I337" s="47" t="str">
        <f aca="false">'Fault &amp; Downtime Entry'!I338</f>
        <v/>
      </c>
      <c r="J337" s="47" t="n">
        <f aca="false">'Fault &amp; Downtime Entry'!J338</f>
        <v>0</v>
      </c>
      <c r="K337" s="47" t="n">
        <f aca="false">'Fault &amp; Downtime Entry'!K338</f>
        <v>0</v>
      </c>
      <c r="L337" s="47" t="n">
        <f aca="false">'Fault &amp; Downtime Entry'!L338</f>
        <v>0</v>
      </c>
      <c r="M337" s="47" t="str">
        <f aca="false">'Fault &amp; Downtime Entry'!M338</f>
        <v/>
      </c>
      <c r="N337" s="47" t="n">
        <f aca="false">'Fault &amp; Downtime Entry'!N338</f>
        <v>0</v>
      </c>
      <c r="O337" s="47" t="n">
        <f aca="false">'Fault &amp; Downtime Entry'!O338</f>
        <v>0</v>
      </c>
      <c r="P337" s="47" t="str">
        <f aca="false">IF(OR(J337="",K337=""),"",IFERROR(J337/K337*1000,0))</f>
        <v/>
      </c>
      <c r="Q337" s="47" t="str">
        <f aca="false">IF(OR(L337="",K337=""),"",IFERROR(L337/K337*1000,0))</f>
        <v/>
      </c>
      <c r="R337" s="47" t="str">
        <f aca="false">IF(OR(M337="High",M337="Critical"),"YES","")</f>
        <v/>
      </c>
    </row>
    <row r="338" customFormat="false" ht="15" hidden="false" customHeight="true" outlineLevel="0" collapsed="false">
      <c r="A338" s="47" t="n">
        <f aca="false">'Fault &amp; Downtime Entry'!A339</f>
        <v>334</v>
      </c>
      <c r="B338" s="48" t="n">
        <f aca="false">'Fault &amp; Downtime Entry'!B339</f>
        <v>0</v>
      </c>
      <c r="C338" s="47" t="n">
        <f aca="false">'Fault &amp; Downtime Entry'!C339</f>
        <v>0</v>
      </c>
      <c r="D338" s="47" t="n">
        <f aca="false">'Fault &amp; Downtime Entry'!D339</f>
        <v>0</v>
      </c>
      <c r="E338" s="47" t="n">
        <f aca="false">'Fault &amp; Downtime Entry'!E339</f>
        <v>0</v>
      </c>
      <c r="F338" s="47" t="str">
        <f aca="false">'Fault &amp; Downtime Entry'!F339</f>
        <v/>
      </c>
      <c r="G338" s="47" t="n">
        <f aca="false">'Fault &amp; Downtime Entry'!G339</f>
        <v>0</v>
      </c>
      <c r="H338" s="47" t="str">
        <f aca="false">'Fault &amp; Downtime Entry'!H339</f>
        <v/>
      </c>
      <c r="I338" s="47" t="str">
        <f aca="false">'Fault &amp; Downtime Entry'!I339</f>
        <v/>
      </c>
      <c r="J338" s="47" t="n">
        <f aca="false">'Fault &amp; Downtime Entry'!J339</f>
        <v>0</v>
      </c>
      <c r="K338" s="47" t="n">
        <f aca="false">'Fault &amp; Downtime Entry'!K339</f>
        <v>0</v>
      </c>
      <c r="L338" s="47" t="n">
        <f aca="false">'Fault &amp; Downtime Entry'!L339</f>
        <v>0</v>
      </c>
      <c r="M338" s="47" t="str">
        <f aca="false">'Fault &amp; Downtime Entry'!M339</f>
        <v/>
      </c>
      <c r="N338" s="47" t="n">
        <f aca="false">'Fault &amp; Downtime Entry'!N339</f>
        <v>0</v>
      </c>
      <c r="O338" s="47" t="n">
        <f aca="false">'Fault &amp; Downtime Entry'!O339</f>
        <v>0</v>
      </c>
      <c r="P338" s="47" t="str">
        <f aca="false">IF(OR(J338="",K338=""),"",IFERROR(J338/K338*1000,0))</f>
        <v/>
      </c>
      <c r="Q338" s="47" t="str">
        <f aca="false">IF(OR(L338="",K338=""),"",IFERROR(L338/K338*1000,0))</f>
        <v/>
      </c>
      <c r="R338" s="47" t="str">
        <f aca="false">IF(OR(M338="High",M338="Critical"),"YES","")</f>
        <v/>
      </c>
    </row>
    <row r="339" customFormat="false" ht="15" hidden="false" customHeight="true" outlineLevel="0" collapsed="false">
      <c r="A339" s="47" t="n">
        <f aca="false">'Fault &amp; Downtime Entry'!A340</f>
        <v>335</v>
      </c>
      <c r="B339" s="48" t="n">
        <f aca="false">'Fault &amp; Downtime Entry'!B340</f>
        <v>0</v>
      </c>
      <c r="C339" s="47" t="n">
        <f aca="false">'Fault &amp; Downtime Entry'!C340</f>
        <v>0</v>
      </c>
      <c r="D339" s="47" t="n">
        <f aca="false">'Fault &amp; Downtime Entry'!D340</f>
        <v>0</v>
      </c>
      <c r="E339" s="47" t="n">
        <f aca="false">'Fault &amp; Downtime Entry'!E340</f>
        <v>0</v>
      </c>
      <c r="F339" s="47" t="str">
        <f aca="false">'Fault &amp; Downtime Entry'!F340</f>
        <v/>
      </c>
      <c r="G339" s="47" t="n">
        <f aca="false">'Fault &amp; Downtime Entry'!G340</f>
        <v>0</v>
      </c>
      <c r="H339" s="47" t="str">
        <f aca="false">'Fault &amp; Downtime Entry'!H340</f>
        <v/>
      </c>
      <c r="I339" s="47" t="str">
        <f aca="false">'Fault &amp; Downtime Entry'!I340</f>
        <v/>
      </c>
      <c r="J339" s="47" t="n">
        <f aca="false">'Fault &amp; Downtime Entry'!J340</f>
        <v>0</v>
      </c>
      <c r="K339" s="47" t="n">
        <f aca="false">'Fault &amp; Downtime Entry'!K340</f>
        <v>0</v>
      </c>
      <c r="L339" s="47" t="n">
        <f aca="false">'Fault &amp; Downtime Entry'!L340</f>
        <v>0</v>
      </c>
      <c r="M339" s="47" t="str">
        <f aca="false">'Fault &amp; Downtime Entry'!M340</f>
        <v/>
      </c>
      <c r="N339" s="47" t="n">
        <f aca="false">'Fault &amp; Downtime Entry'!N340</f>
        <v>0</v>
      </c>
      <c r="O339" s="47" t="n">
        <f aca="false">'Fault &amp; Downtime Entry'!O340</f>
        <v>0</v>
      </c>
      <c r="P339" s="47" t="str">
        <f aca="false">IF(OR(J339="",K339=""),"",IFERROR(J339/K339*1000,0))</f>
        <v/>
      </c>
      <c r="Q339" s="47" t="str">
        <f aca="false">IF(OR(L339="",K339=""),"",IFERROR(L339/K339*1000,0))</f>
        <v/>
      </c>
      <c r="R339" s="47" t="str">
        <f aca="false">IF(OR(M339="High",M339="Critical"),"YES","")</f>
        <v/>
      </c>
    </row>
    <row r="340" customFormat="false" ht="15" hidden="false" customHeight="true" outlineLevel="0" collapsed="false">
      <c r="A340" s="47" t="n">
        <f aca="false">'Fault &amp; Downtime Entry'!A341</f>
        <v>336</v>
      </c>
      <c r="B340" s="48" t="n">
        <f aca="false">'Fault &amp; Downtime Entry'!B341</f>
        <v>0</v>
      </c>
      <c r="C340" s="47" t="n">
        <f aca="false">'Fault &amp; Downtime Entry'!C341</f>
        <v>0</v>
      </c>
      <c r="D340" s="47" t="n">
        <f aca="false">'Fault &amp; Downtime Entry'!D341</f>
        <v>0</v>
      </c>
      <c r="E340" s="47" t="n">
        <f aca="false">'Fault &amp; Downtime Entry'!E341</f>
        <v>0</v>
      </c>
      <c r="F340" s="47" t="str">
        <f aca="false">'Fault &amp; Downtime Entry'!F341</f>
        <v/>
      </c>
      <c r="G340" s="47" t="n">
        <f aca="false">'Fault &amp; Downtime Entry'!G341</f>
        <v>0</v>
      </c>
      <c r="H340" s="47" t="str">
        <f aca="false">'Fault &amp; Downtime Entry'!H341</f>
        <v/>
      </c>
      <c r="I340" s="47" t="str">
        <f aca="false">'Fault &amp; Downtime Entry'!I341</f>
        <v/>
      </c>
      <c r="J340" s="47" t="n">
        <f aca="false">'Fault &amp; Downtime Entry'!J341</f>
        <v>0</v>
      </c>
      <c r="K340" s="47" t="n">
        <f aca="false">'Fault &amp; Downtime Entry'!K341</f>
        <v>0</v>
      </c>
      <c r="L340" s="47" t="n">
        <f aca="false">'Fault &amp; Downtime Entry'!L341</f>
        <v>0</v>
      </c>
      <c r="M340" s="47" t="str">
        <f aca="false">'Fault &amp; Downtime Entry'!M341</f>
        <v/>
      </c>
      <c r="N340" s="47" t="n">
        <f aca="false">'Fault &amp; Downtime Entry'!N341</f>
        <v>0</v>
      </c>
      <c r="O340" s="47" t="n">
        <f aca="false">'Fault &amp; Downtime Entry'!O341</f>
        <v>0</v>
      </c>
      <c r="P340" s="47" t="str">
        <f aca="false">IF(OR(J340="",K340=""),"",IFERROR(J340/K340*1000,0))</f>
        <v/>
      </c>
      <c r="Q340" s="47" t="str">
        <f aca="false">IF(OR(L340="",K340=""),"",IFERROR(L340/K340*1000,0))</f>
        <v/>
      </c>
      <c r="R340" s="47" t="str">
        <f aca="false">IF(OR(M340="High",M340="Critical"),"YES","")</f>
        <v/>
      </c>
    </row>
    <row r="341" customFormat="false" ht="15" hidden="false" customHeight="true" outlineLevel="0" collapsed="false">
      <c r="A341" s="47" t="n">
        <f aca="false">'Fault &amp; Downtime Entry'!A342</f>
        <v>337</v>
      </c>
      <c r="B341" s="48" t="n">
        <f aca="false">'Fault &amp; Downtime Entry'!B342</f>
        <v>0</v>
      </c>
      <c r="C341" s="47" t="n">
        <f aca="false">'Fault &amp; Downtime Entry'!C342</f>
        <v>0</v>
      </c>
      <c r="D341" s="47" t="n">
        <f aca="false">'Fault &amp; Downtime Entry'!D342</f>
        <v>0</v>
      </c>
      <c r="E341" s="47" t="n">
        <f aca="false">'Fault &amp; Downtime Entry'!E342</f>
        <v>0</v>
      </c>
      <c r="F341" s="47" t="str">
        <f aca="false">'Fault &amp; Downtime Entry'!F342</f>
        <v/>
      </c>
      <c r="G341" s="47" t="n">
        <f aca="false">'Fault &amp; Downtime Entry'!G342</f>
        <v>0</v>
      </c>
      <c r="H341" s="47" t="str">
        <f aca="false">'Fault &amp; Downtime Entry'!H342</f>
        <v/>
      </c>
      <c r="I341" s="47" t="str">
        <f aca="false">'Fault &amp; Downtime Entry'!I342</f>
        <v/>
      </c>
      <c r="J341" s="47" t="n">
        <f aca="false">'Fault &amp; Downtime Entry'!J342</f>
        <v>0</v>
      </c>
      <c r="K341" s="47" t="n">
        <f aca="false">'Fault &amp; Downtime Entry'!K342</f>
        <v>0</v>
      </c>
      <c r="L341" s="47" t="n">
        <f aca="false">'Fault &amp; Downtime Entry'!L342</f>
        <v>0</v>
      </c>
      <c r="M341" s="47" t="str">
        <f aca="false">'Fault &amp; Downtime Entry'!M342</f>
        <v/>
      </c>
      <c r="N341" s="47" t="n">
        <f aca="false">'Fault &amp; Downtime Entry'!N342</f>
        <v>0</v>
      </c>
      <c r="O341" s="47" t="n">
        <f aca="false">'Fault &amp; Downtime Entry'!O342</f>
        <v>0</v>
      </c>
      <c r="P341" s="47" t="str">
        <f aca="false">IF(OR(J341="",K341=""),"",IFERROR(J341/K341*1000,0))</f>
        <v/>
      </c>
      <c r="Q341" s="47" t="str">
        <f aca="false">IF(OR(L341="",K341=""),"",IFERROR(L341/K341*1000,0))</f>
        <v/>
      </c>
      <c r="R341" s="47" t="str">
        <f aca="false">IF(OR(M341="High",M341="Critical"),"YES","")</f>
        <v/>
      </c>
    </row>
    <row r="342" customFormat="false" ht="15" hidden="false" customHeight="true" outlineLevel="0" collapsed="false">
      <c r="A342" s="47" t="n">
        <f aca="false">'Fault &amp; Downtime Entry'!A343</f>
        <v>338</v>
      </c>
      <c r="B342" s="48" t="n">
        <f aca="false">'Fault &amp; Downtime Entry'!B343</f>
        <v>0</v>
      </c>
      <c r="C342" s="47" t="n">
        <f aca="false">'Fault &amp; Downtime Entry'!C343</f>
        <v>0</v>
      </c>
      <c r="D342" s="47" t="n">
        <f aca="false">'Fault &amp; Downtime Entry'!D343</f>
        <v>0</v>
      </c>
      <c r="E342" s="47" t="n">
        <f aca="false">'Fault &amp; Downtime Entry'!E343</f>
        <v>0</v>
      </c>
      <c r="F342" s="47" t="str">
        <f aca="false">'Fault &amp; Downtime Entry'!F343</f>
        <v/>
      </c>
      <c r="G342" s="47" t="n">
        <f aca="false">'Fault &amp; Downtime Entry'!G343</f>
        <v>0</v>
      </c>
      <c r="H342" s="47" t="str">
        <f aca="false">'Fault &amp; Downtime Entry'!H343</f>
        <v/>
      </c>
      <c r="I342" s="47" t="str">
        <f aca="false">'Fault &amp; Downtime Entry'!I343</f>
        <v/>
      </c>
      <c r="J342" s="47" t="n">
        <f aca="false">'Fault &amp; Downtime Entry'!J343</f>
        <v>0</v>
      </c>
      <c r="K342" s="47" t="n">
        <f aca="false">'Fault &amp; Downtime Entry'!K343</f>
        <v>0</v>
      </c>
      <c r="L342" s="47" t="n">
        <f aca="false">'Fault &amp; Downtime Entry'!L343</f>
        <v>0</v>
      </c>
      <c r="M342" s="47" t="str">
        <f aca="false">'Fault &amp; Downtime Entry'!M343</f>
        <v/>
      </c>
      <c r="N342" s="47" t="n">
        <f aca="false">'Fault &amp; Downtime Entry'!N343</f>
        <v>0</v>
      </c>
      <c r="O342" s="47" t="n">
        <f aca="false">'Fault &amp; Downtime Entry'!O343</f>
        <v>0</v>
      </c>
      <c r="P342" s="47" t="str">
        <f aca="false">IF(OR(J342="",K342=""),"",IFERROR(J342/K342*1000,0))</f>
        <v/>
      </c>
      <c r="Q342" s="47" t="str">
        <f aca="false">IF(OR(L342="",K342=""),"",IFERROR(L342/K342*1000,0))</f>
        <v/>
      </c>
      <c r="R342" s="47" t="str">
        <f aca="false">IF(OR(M342="High",M342="Critical"),"YES","")</f>
        <v/>
      </c>
    </row>
    <row r="343" customFormat="false" ht="15" hidden="false" customHeight="true" outlineLevel="0" collapsed="false">
      <c r="A343" s="47" t="n">
        <f aca="false">'Fault &amp; Downtime Entry'!A344</f>
        <v>339</v>
      </c>
      <c r="B343" s="48" t="n">
        <f aca="false">'Fault &amp; Downtime Entry'!B344</f>
        <v>0</v>
      </c>
      <c r="C343" s="47" t="n">
        <f aca="false">'Fault &amp; Downtime Entry'!C344</f>
        <v>0</v>
      </c>
      <c r="D343" s="47" t="n">
        <f aca="false">'Fault &amp; Downtime Entry'!D344</f>
        <v>0</v>
      </c>
      <c r="E343" s="47" t="n">
        <f aca="false">'Fault &amp; Downtime Entry'!E344</f>
        <v>0</v>
      </c>
      <c r="F343" s="47" t="str">
        <f aca="false">'Fault &amp; Downtime Entry'!F344</f>
        <v/>
      </c>
      <c r="G343" s="47" t="n">
        <f aca="false">'Fault &amp; Downtime Entry'!G344</f>
        <v>0</v>
      </c>
      <c r="H343" s="47" t="str">
        <f aca="false">'Fault &amp; Downtime Entry'!H344</f>
        <v/>
      </c>
      <c r="I343" s="47" t="str">
        <f aca="false">'Fault &amp; Downtime Entry'!I344</f>
        <v/>
      </c>
      <c r="J343" s="47" t="n">
        <f aca="false">'Fault &amp; Downtime Entry'!J344</f>
        <v>0</v>
      </c>
      <c r="K343" s="47" t="n">
        <f aca="false">'Fault &amp; Downtime Entry'!K344</f>
        <v>0</v>
      </c>
      <c r="L343" s="47" t="n">
        <f aca="false">'Fault &amp; Downtime Entry'!L344</f>
        <v>0</v>
      </c>
      <c r="M343" s="47" t="str">
        <f aca="false">'Fault &amp; Downtime Entry'!M344</f>
        <v/>
      </c>
      <c r="N343" s="47" t="n">
        <f aca="false">'Fault &amp; Downtime Entry'!N344</f>
        <v>0</v>
      </c>
      <c r="O343" s="47" t="n">
        <f aca="false">'Fault &amp; Downtime Entry'!O344</f>
        <v>0</v>
      </c>
      <c r="P343" s="47" t="str">
        <f aca="false">IF(OR(J343="",K343=""),"",IFERROR(J343/K343*1000,0))</f>
        <v/>
      </c>
      <c r="Q343" s="47" t="str">
        <f aca="false">IF(OR(L343="",K343=""),"",IFERROR(L343/K343*1000,0))</f>
        <v/>
      </c>
      <c r="R343" s="47" t="str">
        <f aca="false">IF(OR(M343="High",M343="Critical"),"YES","")</f>
        <v/>
      </c>
    </row>
    <row r="344" customFormat="false" ht="15" hidden="false" customHeight="true" outlineLevel="0" collapsed="false">
      <c r="A344" s="47" t="n">
        <f aca="false">'Fault &amp; Downtime Entry'!A345</f>
        <v>340</v>
      </c>
      <c r="B344" s="48" t="n">
        <f aca="false">'Fault &amp; Downtime Entry'!B345</f>
        <v>0</v>
      </c>
      <c r="C344" s="47" t="n">
        <f aca="false">'Fault &amp; Downtime Entry'!C345</f>
        <v>0</v>
      </c>
      <c r="D344" s="47" t="n">
        <f aca="false">'Fault &amp; Downtime Entry'!D345</f>
        <v>0</v>
      </c>
      <c r="E344" s="47" t="n">
        <f aca="false">'Fault &amp; Downtime Entry'!E345</f>
        <v>0</v>
      </c>
      <c r="F344" s="47" t="str">
        <f aca="false">'Fault &amp; Downtime Entry'!F345</f>
        <v/>
      </c>
      <c r="G344" s="47" t="n">
        <f aca="false">'Fault &amp; Downtime Entry'!G345</f>
        <v>0</v>
      </c>
      <c r="H344" s="47" t="str">
        <f aca="false">'Fault &amp; Downtime Entry'!H345</f>
        <v/>
      </c>
      <c r="I344" s="47" t="str">
        <f aca="false">'Fault &amp; Downtime Entry'!I345</f>
        <v/>
      </c>
      <c r="J344" s="47" t="n">
        <f aca="false">'Fault &amp; Downtime Entry'!J345</f>
        <v>0</v>
      </c>
      <c r="K344" s="47" t="n">
        <f aca="false">'Fault &amp; Downtime Entry'!K345</f>
        <v>0</v>
      </c>
      <c r="L344" s="47" t="n">
        <f aca="false">'Fault &amp; Downtime Entry'!L345</f>
        <v>0</v>
      </c>
      <c r="M344" s="47" t="str">
        <f aca="false">'Fault &amp; Downtime Entry'!M345</f>
        <v/>
      </c>
      <c r="N344" s="47" t="n">
        <f aca="false">'Fault &amp; Downtime Entry'!N345</f>
        <v>0</v>
      </c>
      <c r="O344" s="47" t="n">
        <f aca="false">'Fault &amp; Downtime Entry'!O345</f>
        <v>0</v>
      </c>
      <c r="P344" s="47" t="str">
        <f aca="false">IF(OR(J344="",K344=""),"",IFERROR(J344/K344*1000,0))</f>
        <v/>
      </c>
      <c r="Q344" s="47" t="str">
        <f aca="false">IF(OR(L344="",K344=""),"",IFERROR(L344/K344*1000,0))</f>
        <v/>
      </c>
      <c r="R344" s="47" t="str">
        <f aca="false">IF(OR(M344="High",M344="Critical"),"YES","")</f>
        <v/>
      </c>
    </row>
    <row r="345" customFormat="false" ht="15" hidden="false" customHeight="true" outlineLevel="0" collapsed="false">
      <c r="A345" s="47" t="n">
        <f aca="false">'Fault &amp; Downtime Entry'!A346</f>
        <v>341</v>
      </c>
      <c r="B345" s="48" t="n">
        <f aca="false">'Fault &amp; Downtime Entry'!B346</f>
        <v>0</v>
      </c>
      <c r="C345" s="47" t="n">
        <f aca="false">'Fault &amp; Downtime Entry'!C346</f>
        <v>0</v>
      </c>
      <c r="D345" s="47" t="n">
        <f aca="false">'Fault &amp; Downtime Entry'!D346</f>
        <v>0</v>
      </c>
      <c r="E345" s="47" t="n">
        <f aca="false">'Fault &amp; Downtime Entry'!E346</f>
        <v>0</v>
      </c>
      <c r="F345" s="47" t="str">
        <f aca="false">'Fault &amp; Downtime Entry'!F346</f>
        <v/>
      </c>
      <c r="G345" s="47" t="n">
        <f aca="false">'Fault &amp; Downtime Entry'!G346</f>
        <v>0</v>
      </c>
      <c r="H345" s="47" t="str">
        <f aca="false">'Fault &amp; Downtime Entry'!H346</f>
        <v/>
      </c>
      <c r="I345" s="47" t="str">
        <f aca="false">'Fault &amp; Downtime Entry'!I346</f>
        <v/>
      </c>
      <c r="J345" s="47" t="n">
        <f aca="false">'Fault &amp; Downtime Entry'!J346</f>
        <v>0</v>
      </c>
      <c r="K345" s="47" t="n">
        <f aca="false">'Fault &amp; Downtime Entry'!K346</f>
        <v>0</v>
      </c>
      <c r="L345" s="47" t="n">
        <f aca="false">'Fault &amp; Downtime Entry'!L346</f>
        <v>0</v>
      </c>
      <c r="M345" s="47" t="str">
        <f aca="false">'Fault &amp; Downtime Entry'!M346</f>
        <v/>
      </c>
      <c r="N345" s="47" t="n">
        <f aca="false">'Fault &amp; Downtime Entry'!N346</f>
        <v>0</v>
      </c>
      <c r="O345" s="47" t="n">
        <f aca="false">'Fault &amp; Downtime Entry'!O346</f>
        <v>0</v>
      </c>
      <c r="P345" s="47" t="str">
        <f aca="false">IF(OR(J345="",K345=""),"",IFERROR(J345/K345*1000,0))</f>
        <v/>
      </c>
      <c r="Q345" s="47" t="str">
        <f aca="false">IF(OR(L345="",K345=""),"",IFERROR(L345/K345*1000,0))</f>
        <v/>
      </c>
      <c r="R345" s="47" t="str">
        <f aca="false">IF(OR(M345="High",M345="Critical"),"YES","")</f>
        <v/>
      </c>
    </row>
    <row r="346" customFormat="false" ht="15" hidden="false" customHeight="true" outlineLevel="0" collapsed="false">
      <c r="A346" s="47" t="n">
        <f aca="false">'Fault &amp; Downtime Entry'!A347</f>
        <v>342</v>
      </c>
      <c r="B346" s="48" t="n">
        <f aca="false">'Fault &amp; Downtime Entry'!B347</f>
        <v>0</v>
      </c>
      <c r="C346" s="47" t="n">
        <f aca="false">'Fault &amp; Downtime Entry'!C347</f>
        <v>0</v>
      </c>
      <c r="D346" s="47" t="n">
        <f aca="false">'Fault &amp; Downtime Entry'!D347</f>
        <v>0</v>
      </c>
      <c r="E346" s="47" t="n">
        <f aca="false">'Fault &amp; Downtime Entry'!E347</f>
        <v>0</v>
      </c>
      <c r="F346" s="47" t="str">
        <f aca="false">'Fault &amp; Downtime Entry'!F347</f>
        <v/>
      </c>
      <c r="G346" s="47" t="n">
        <f aca="false">'Fault &amp; Downtime Entry'!G347</f>
        <v>0</v>
      </c>
      <c r="H346" s="47" t="str">
        <f aca="false">'Fault &amp; Downtime Entry'!H347</f>
        <v/>
      </c>
      <c r="I346" s="47" t="str">
        <f aca="false">'Fault &amp; Downtime Entry'!I347</f>
        <v/>
      </c>
      <c r="J346" s="47" t="n">
        <f aca="false">'Fault &amp; Downtime Entry'!J347</f>
        <v>0</v>
      </c>
      <c r="K346" s="47" t="n">
        <f aca="false">'Fault &amp; Downtime Entry'!K347</f>
        <v>0</v>
      </c>
      <c r="L346" s="47" t="n">
        <f aca="false">'Fault &amp; Downtime Entry'!L347</f>
        <v>0</v>
      </c>
      <c r="M346" s="47" t="str">
        <f aca="false">'Fault &amp; Downtime Entry'!M347</f>
        <v/>
      </c>
      <c r="N346" s="47" t="n">
        <f aca="false">'Fault &amp; Downtime Entry'!N347</f>
        <v>0</v>
      </c>
      <c r="O346" s="47" t="n">
        <f aca="false">'Fault &amp; Downtime Entry'!O347</f>
        <v>0</v>
      </c>
      <c r="P346" s="47" t="str">
        <f aca="false">IF(OR(J346="",K346=""),"",IFERROR(J346/K346*1000,0))</f>
        <v/>
      </c>
      <c r="Q346" s="47" t="str">
        <f aca="false">IF(OR(L346="",K346=""),"",IFERROR(L346/K346*1000,0))</f>
        <v/>
      </c>
      <c r="R346" s="47" t="str">
        <f aca="false">IF(OR(M346="High",M346="Critical"),"YES","")</f>
        <v/>
      </c>
    </row>
    <row r="347" customFormat="false" ht="15" hidden="false" customHeight="true" outlineLevel="0" collapsed="false">
      <c r="A347" s="47" t="n">
        <f aca="false">'Fault &amp; Downtime Entry'!A348</f>
        <v>343</v>
      </c>
      <c r="B347" s="48" t="n">
        <f aca="false">'Fault &amp; Downtime Entry'!B348</f>
        <v>0</v>
      </c>
      <c r="C347" s="47" t="n">
        <f aca="false">'Fault &amp; Downtime Entry'!C348</f>
        <v>0</v>
      </c>
      <c r="D347" s="47" t="n">
        <f aca="false">'Fault &amp; Downtime Entry'!D348</f>
        <v>0</v>
      </c>
      <c r="E347" s="47" t="n">
        <f aca="false">'Fault &amp; Downtime Entry'!E348</f>
        <v>0</v>
      </c>
      <c r="F347" s="47" t="str">
        <f aca="false">'Fault &amp; Downtime Entry'!F348</f>
        <v/>
      </c>
      <c r="G347" s="47" t="n">
        <f aca="false">'Fault &amp; Downtime Entry'!G348</f>
        <v>0</v>
      </c>
      <c r="H347" s="47" t="str">
        <f aca="false">'Fault &amp; Downtime Entry'!H348</f>
        <v/>
      </c>
      <c r="I347" s="47" t="str">
        <f aca="false">'Fault &amp; Downtime Entry'!I348</f>
        <v/>
      </c>
      <c r="J347" s="47" t="n">
        <f aca="false">'Fault &amp; Downtime Entry'!J348</f>
        <v>0</v>
      </c>
      <c r="K347" s="47" t="n">
        <f aca="false">'Fault &amp; Downtime Entry'!K348</f>
        <v>0</v>
      </c>
      <c r="L347" s="47" t="n">
        <f aca="false">'Fault &amp; Downtime Entry'!L348</f>
        <v>0</v>
      </c>
      <c r="M347" s="47" t="str">
        <f aca="false">'Fault &amp; Downtime Entry'!M348</f>
        <v/>
      </c>
      <c r="N347" s="47" t="n">
        <f aca="false">'Fault &amp; Downtime Entry'!N348</f>
        <v>0</v>
      </c>
      <c r="O347" s="47" t="n">
        <f aca="false">'Fault &amp; Downtime Entry'!O348</f>
        <v>0</v>
      </c>
      <c r="P347" s="47" t="str">
        <f aca="false">IF(OR(J347="",K347=""),"",IFERROR(J347/K347*1000,0))</f>
        <v/>
      </c>
      <c r="Q347" s="47" t="str">
        <f aca="false">IF(OR(L347="",K347=""),"",IFERROR(L347/K347*1000,0))</f>
        <v/>
      </c>
      <c r="R347" s="47" t="str">
        <f aca="false">IF(OR(M347="High",M347="Critical"),"YES","")</f>
        <v/>
      </c>
    </row>
    <row r="348" customFormat="false" ht="15" hidden="false" customHeight="true" outlineLevel="0" collapsed="false">
      <c r="A348" s="47" t="n">
        <f aca="false">'Fault &amp; Downtime Entry'!A349</f>
        <v>344</v>
      </c>
      <c r="B348" s="48" t="n">
        <f aca="false">'Fault &amp; Downtime Entry'!B349</f>
        <v>0</v>
      </c>
      <c r="C348" s="47" t="n">
        <f aca="false">'Fault &amp; Downtime Entry'!C349</f>
        <v>0</v>
      </c>
      <c r="D348" s="47" t="n">
        <f aca="false">'Fault &amp; Downtime Entry'!D349</f>
        <v>0</v>
      </c>
      <c r="E348" s="47" t="n">
        <f aca="false">'Fault &amp; Downtime Entry'!E349</f>
        <v>0</v>
      </c>
      <c r="F348" s="47" t="str">
        <f aca="false">'Fault &amp; Downtime Entry'!F349</f>
        <v/>
      </c>
      <c r="G348" s="47" t="n">
        <f aca="false">'Fault &amp; Downtime Entry'!G349</f>
        <v>0</v>
      </c>
      <c r="H348" s="47" t="str">
        <f aca="false">'Fault &amp; Downtime Entry'!H349</f>
        <v/>
      </c>
      <c r="I348" s="47" t="str">
        <f aca="false">'Fault &amp; Downtime Entry'!I349</f>
        <v/>
      </c>
      <c r="J348" s="47" t="n">
        <f aca="false">'Fault &amp; Downtime Entry'!J349</f>
        <v>0</v>
      </c>
      <c r="K348" s="47" t="n">
        <f aca="false">'Fault &amp; Downtime Entry'!K349</f>
        <v>0</v>
      </c>
      <c r="L348" s="47" t="n">
        <f aca="false">'Fault &amp; Downtime Entry'!L349</f>
        <v>0</v>
      </c>
      <c r="M348" s="47" t="str">
        <f aca="false">'Fault &amp; Downtime Entry'!M349</f>
        <v/>
      </c>
      <c r="N348" s="47" t="n">
        <f aca="false">'Fault &amp; Downtime Entry'!N349</f>
        <v>0</v>
      </c>
      <c r="O348" s="47" t="n">
        <f aca="false">'Fault &amp; Downtime Entry'!O349</f>
        <v>0</v>
      </c>
      <c r="P348" s="47" t="str">
        <f aca="false">IF(OR(J348="",K348=""),"",IFERROR(J348/K348*1000,0))</f>
        <v/>
      </c>
      <c r="Q348" s="47" t="str">
        <f aca="false">IF(OR(L348="",K348=""),"",IFERROR(L348/K348*1000,0))</f>
        <v/>
      </c>
      <c r="R348" s="47" t="str">
        <f aca="false">IF(OR(M348="High",M348="Critical"),"YES","")</f>
        <v/>
      </c>
    </row>
    <row r="349" customFormat="false" ht="15" hidden="false" customHeight="true" outlineLevel="0" collapsed="false">
      <c r="A349" s="47" t="n">
        <f aca="false">'Fault &amp; Downtime Entry'!A350</f>
        <v>345</v>
      </c>
      <c r="B349" s="48" t="n">
        <f aca="false">'Fault &amp; Downtime Entry'!B350</f>
        <v>0</v>
      </c>
      <c r="C349" s="47" t="n">
        <f aca="false">'Fault &amp; Downtime Entry'!C350</f>
        <v>0</v>
      </c>
      <c r="D349" s="47" t="n">
        <f aca="false">'Fault &amp; Downtime Entry'!D350</f>
        <v>0</v>
      </c>
      <c r="E349" s="47" t="n">
        <f aca="false">'Fault &amp; Downtime Entry'!E350</f>
        <v>0</v>
      </c>
      <c r="F349" s="47" t="str">
        <f aca="false">'Fault &amp; Downtime Entry'!F350</f>
        <v/>
      </c>
      <c r="G349" s="47" t="n">
        <f aca="false">'Fault &amp; Downtime Entry'!G350</f>
        <v>0</v>
      </c>
      <c r="H349" s="47" t="str">
        <f aca="false">'Fault &amp; Downtime Entry'!H350</f>
        <v/>
      </c>
      <c r="I349" s="47" t="str">
        <f aca="false">'Fault &amp; Downtime Entry'!I350</f>
        <v/>
      </c>
      <c r="J349" s="47" t="n">
        <f aca="false">'Fault &amp; Downtime Entry'!J350</f>
        <v>0</v>
      </c>
      <c r="K349" s="47" t="n">
        <f aca="false">'Fault &amp; Downtime Entry'!K350</f>
        <v>0</v>
      </c>
      <c r="L349" s="47" t="n">
        <f aca="false">'Fault &amp; Downtime Entry'!L350</f>
        <v>0</v>
      </c>
      <c r="M349" s="47" t="str">
        <f aca="false">'Fault &amp; Downtime Entry'!M350</f>
        <v/>
      </c>
      <c r="N349" s="47" t="n">
        <f aca="false">'Fault &amp; Downtime Entry'!N350</f>
        <v>0</v>
      </c>
      <c r="O349" s="47" t="n">
        <f aca="false">'Fault &amp; Downtime Entry'!O350</f>
        <v>0</v>
      </c>
      <c r="P349" s="47" t="str">
        <f aca="false">IF(OR(J349="",K349=""),"",IFERROR(J349/K349*1000,0))</f>
        <v/>
      </c>
      <c r="Q349" s="47" t="str">
        <f aca="false">IF(OR(L349="",K349=""),"",IFERROR(L349/K349*1000,0))</f>
        <v/>
      </c>
      <c r="R349" s="47" t="str">
        <f aca="false">IF(OR(M349="High",M349="Critical"),"YES","")</f>
        <v/>
      </c>
    </row>
    <row r="350" customFormat="false" ht="15" hidden="false" customHeight="true" outlineLevel="0" collapsed="false">
      <c r="A350" s="47" t="n">
        <f aca="false">'Fault &amp; Downtime Entry'!A351</f>
        <v>346</v>
      </c>
      <c r="B350" s="48" t="n">
        <f aca="false">'Fault &amp; Downtime Entry'!B351</f>
        <v>0</v>
      </c>
      <c r="C350" s="47" t="n">
        <f aca="false">'Fault &amp; Downtime Entry'!C351</f>
        <v>0</v>
      </c>
      <c r="D350" s="47" t="n">
        <f aca="false">'Fault &amp; Downtime Entry'!D351</f>
        <v>0</v>
      </c>
      <c r="E350" s="47" t="n">
        <f aca="false">'Fault &amp; Downtime Entry'!E351</f>
        <v>0</v>
      </c>
      <c r="F350" s="47" t="str">
        <f aca="false">'Fault &amp; Downtime Entry'!F351</f>
        <v/>
      </c>
      <c r="G350" s="47" t="n">
        <f aca="false">'Fault &amp; Downtime Entry'!G351</f>
        <v>0</v>
      </c>
      <c r="H350" s="47" t="str">
        <f aca="false">'Fault &amp; Downtime Entry'!H351</f>
        <v/>
      </c>
      <c r="I350" s="47" t="str">
        <f aca="false">'Fault &amp; Downtime Entry'!I351</f>
        <v/>
      </c>
      <c r="J350" s="47" t="n">
        <f aca="false">'Fault &amp; Downtime Entry'!J351</f>
        <v>0</v>
      </c>
      <c r="K350" s="47" t="n">
        <f aca="false">'Fault &amp; Downtime Entry'!K351</f>
        <v>0</v>
      </c>
      <c r="L350" s="47" t="n">
        <f aca="false">'Fault &amp; Downtime Entry'!L351</f>
        <v>0</v>
      </c>
      <c r="M350" s="47" t="str">
        <f aca="false">'Fault &amp; Downtime Entry'!M351</f>
        <v/>
      </c>
      <c r="N350" s="47" t="n">
        <f aca="false">'Fault &amp; Downtime Entry'!N351</f>
        <v>0</v>
      </c>
      <c r="O350" s="47" t="n">
        <f aca="false">'Fault &amp; Downtime Entry'!O351</f>
        <v>0</v>
      </c>
      <c r="P350" s="47" t="str">
        <f aca="false">IF(OR(J350="",K350=""),"",IFERROR(J350/K350*1000,0))</f>
        <v/>
      </c>
      <c r="Q350" s="47" t="str">
        <f aca="false">IF(OR(L350="",K350=""),"",IFERROR(L350/K350*1000,0))</f>
        <v/>
      </c>
      <c r="R350" s="47" t="str">
        <f aca="false">IF(OR(M350="High",M350="Critical"),"YES","")</f>
        <v/>
      </c>
    </row>
    <row r="351" customFormat="false" ht="15" hidden="false" customHeight="true" outlineLevel="0" collapsed="false">
      <c r="A351" s="47" t="n">
        <f aca="false">'Fault &amp; Downtime Entry'!A352</f>
        <v>347</v>
      </c>
      <c r="B351" s="48" t="n">
        <f aca="false">'Fault &amp; Downtime Entry'!B352</f>
        <v>0</v>
      </c>
      <c r="C351" s="47" t="n">
        <f aca="false">'Fault &amp; Downtime Entry'!C352</f>
        <v>0</v>
      </c>
      <c r="D351" s="47" t="n">
        <f aca="false">'Fault &amp; Downtime Entry'!D352</f>
        <v>0</v>
      </c>
      <c r="E351" s="47" t="n">
        <f aca="false">'Fault &amp; Downtime Entry'!E352</f>
        <v>0</v>
      </c>
      <c r="F351" s="47" t="str">
        <f aca="false">'Fault &amp; Downtime Entry'!F352</f>
        <v/>
      </c>
      <c r="G351" s="47" t="n">
        <f aca="false">'Fault &amp; Downtime Entry'!G352</f>
        <v>0</v>
      </c>
      <c r="H351" s="47" t="str">
        <f aca="false">'Fault &amp; Downtime Entry'!H352</f>
        <v/>
      </c>
      <c r="I351" s="47" t="str">
        <f aca="false">'Fault &amp; Downtime Entry'!I352</f>
        <v/>
      </c>
      <c r="J351" s="47" t="n">
        <f aca="false">'Fault &amp; Downtime Entry'!J352</f>
        <v>0</v>
      </c>
      <c r="K351" s="47" t="n">
        <f aca="false">'Fault &amp; Downtime Entry'!K352</f>
        <v>0</v>
      </c>
      <c r="L351" s="47" t="n">
        <f aca="false">'Fault &amp; Downtime Entry'!L352</f>
        <v>0</v>
      </c>
      <c r="M351" s="47" t="str">
        <f aca="false">'Fault &amp; Downtime Entry'!M352</f>
        <v/>
      </c>
      <c r="N351" s="47" t="n">
        <f aca="false">'Fault &amp; Downtime Entry'!N352</f>
        <v>0</v>
      </c>
      <c r="O351" s="47" t="n">
        <f aca="false">'Fault &amp; Downtime Entry'!O352</f>
        <v>0</v>
      </c>
      <c r="P351" s="47" t="str">
        <f aca="false">IF(OR(J351="",K351=""),"",IFERROR(J351/K351*1000,0))</f>
        <v/>
      </c>
      <c r="Q351" s="47" t="str">
        <f aca="false">IF(OR(L351="",K351=""),"",IFERROR(L351/K351*1000,0))</f>
        <v/>
      </c>
      <c r="R351" s="47" t="str">
        <f aca="false">IF(OR(M351="High",M351="Critical"),"YES","")</f>
        <v/>
      </c>
    </row>
    <row r="352" customFormat="false" ht="15" hidden="false" customHeight="true" outlineLevel="0" collapsed="false">
      <c r="A352" s="47" t="n">
        <f aca="false">'Fault &amp; Downtime Entry'!A353</f>
        <v>348</v>
      </c>
      <c r="B352" s="48" t="n">
        <f aca="false">'Fault &amp; Downtime Entry'!B353</f>
        <v>0</v>
      </c>
      <c r="C352" s="47" t="n">
        <f aca="false">'Fault &amp; Downtime Entry'!C353</f>
        <v>0</v>
      </c>
      <c r="D352" s="47" t="n">
        <f aca="false">'Fault &amp; Downtime Entry'!D353</f>
        <v>0</v>
      </c>
      <c r="E352" s="47" t="n">
        <f aca="false">'Fault &amp; Downtime Entry'!E353</f>
        <v>0</v>
      </c>
      <c r="F352" s="47" t="str">
        <f aca="false">'Fault &amp; Downtime Entry'!F353</f>
        <v/>
      </c>
      <c r="G352" s="47" t="n">
        <f aca="false">'Fault &amp; Downtime Entry'!G353</f>
        <v>0</v>
      </c>
      <c r="H352" s="47" t="str">
        <f aca="false">'Fault &amp; Downtime Entry'!H353</f>
        <v/>
      </c>
      <c r="I352" s="47" t="str">
        <f aca="false">'Fault &amp; Downtime Entry'!I353</f>
        <v/>
      </c>
      <c r="J352" s="47" t="n">
        <f aca="false">'Fault &amp; Downtime Entry'!J353</f>
        <v>0</v>
      </c>
      <c r="K352" s="47" t="n">
        <f aca="false">'Fault &amp; Downtime Entry'!K353</f>
        <v>0</v>
      </c>
      <c r="L352" s="47" t="n">
        <f aca="false">'Fault &amp; Downtime Entry'!L353</f>
        <v>0</v>
      </c>
      <c r="M352" s="47" t="str">
        <f aca="false">'Fault &amp; Downtime Entry'!M353</f>
        <v/>
      </c>
      <c r="N352" s="47" t="n">
        <f aca="false">'Fault &amp; Downtime Entry'!N353</f>
        <v>0</v>
      </c>
      <c r="O352" s="47" t="n">
        <f aca="false">'Fault &amp; Downtime Entry'!O353</f>
        <v>0</v>
      </c>
      <c r="P352" s="47" t="str">
        <f aca="false">IF(OR(J352="",K352=""),"",IFERROR(J352/K352*1000,0))</f>
        <v/>
      </c>
      <c r="Q352" s="47" t="str">
        <f aca="false">IF(OR(L352="",K352=""),"",IFERROR(L352/K352*1000,0))</f>
        <v/>
      </c>
      <c r="R352" s="47" t="str">
        <f aca="false">IF(OR(M352="High",M352="Critical"),"YES","")</f>
        <v/>
      </c>
    </row>
    <row r="353" customFormat="false" ht="15" hidden="false" customHeight="true" outlineLevel="0" collapsed="false">
      <c r="A353" s="47" t="n">
        <f aca="false">'Fault &amp; Downtime Entry'!A354</f>
        <v>349</v>
      </c>
      <c r="B353" s="48" t="n">
        <f aca="false">'Fault &amp; Downtime Entry'!B354</f>
        <v>0</v>
      </c>
      <c r="C353" s="47" t="n">
        <f aca="false">'Fault &amp; Downtime Entry'!C354</f>
        <v>0</v>
      </c>
      <c r="D353" s="47" t="n">
        <f aca="false">'Fault &amp; Downtime Entry'!D354</f>
        <v>0</v>
      </c>
      <c r="E353" s="47" t="n">
        <f aca="false">'Fault &amp; Downtime Entry'!E354</f>
        <v>0</v>
      </c>
      <c r="F353" s="47" t="str">
        <f aca="false">'Fault &amp; Downtime Entry'!F354</f>
        <v/>
      </c>
      <c r="G353" s="47" t="n">
        <f aca="false">'Fault &amp; Downtime Entry'!G354</f>
        <v>0</v>
      </c>
      <c r="H353" s="47" t="str">
        <f aca="false">'Fault &amp; Downtime Entry'!H354</f>
        <v/>
      </c>
      <c r="I353" s="47" t="str">
        <f aca="false">'Fault &amp; Downtime Entry'!I354</f>
        <v/>
      </c>
      <c r="J353" s="47" t="n">
        <f aca="false">'Fault &amp; Downtime Entry'!J354</f>
        <v>0</v>
      </c>
      <c r="K353" s="47" t="n">
        <f aca="false">'Fault &amp; Downtime Entry'!K354</f>
        <v>0</v>
      </c>
      <c r="L353" s="47" t="n">
        <f aca="false">'Fault &amp; Downtime Entry'!L354</f>
        <v>0</v>
      </c>
      <c r="M353" s="47" t="str">
        <f aca="false">'Fault &amp; Downtime Entry'!M354</f>
        <v/>
      </c>
      <c r="N353" s="47" t="n">
        <f aca="false">'Fault &amp; Downtime Entry'!N354</f>
        <v>0</v>
      </c>
      <c r="O353" s="47" t="n">
        <f aca="false">'Fault &amp; Downtime Entry'!O354</f>
        <v>0</v>
      </c>
      <c r="P353" s="47" t="str">
        <f aca="false">IF(OR(J353="",K353=""),"",IFERROR(J353/K353*1000,0))</f>
        <v/>
      </c>
      <c r="Q353" s="47" t="str">
        <f aca="false">IF(OR(L353="",K353=""),"",IFERROR(L353/K353*1000,0))</f>
        <v/>
      </c>
      <c r="R353" s="47" t="str">
        <f aca="false">IF(OR(M353="High",M353="Critical"),"YES","")</f>
        <v/>
      </c>
    </row>
    <row r="354" customFormat="false" ht="15" hidden="false" customHeight="true" outlineLevel="0" collapsed="false">
      <c r="A354" s="47" t="n">
        <f aca="false">'Fault &amp; Downtime Entry'!A355</f>
        <v>350</v>
      </c>
      <c r="B354" s="48" t="n">
        <f aca="false">'Fault &amp; Downtime Entry'!B355</f>
        <v>0</v>
      </c>
      <c r="C354" s="47" t="n">
        <f aca="false">'Fault &amp; Downtime Entry'!C355</f>
        <v>0</v>
      </c>
      <c r="D354" s="47" t="n">
        <f aca="false">'Fault &amp; Downtime Entry'!D355</f>
        <v>0</v>
      </c>
      <c r="E354" s="47" t="n">
        <f aca="false">'Fault &amp; Downtime Entry'!E355</f>
        <v>0</v>
      </c>
      <c r="F354" s="47" t="str">
        <f aca="false">'Fault &amp; Downtime Entry'!F355</f>
        <v/>
      </c>
      <c r="G354" s="47" t="n">
        <f aca="false">'Fault &amp; Downtime Entry'!G355</f>
        <v>0</v>
      </c>
      <c r="H354" s="47" t="str">
        <f aca="false">'Fault &amp; Downtime Entry'!H355</f>
        <v/>
      </c>
      <c r="I354" s="47" t="str">
        <f aca="false">'Fault &amp; Downtime Entry'!I355</f>
        <v/>
      </c>
      <c r="J354" s="47" t="n">
        <f aca="false">'Fault &amp; Downtime Entry'!J355</f>
        <v>0</v>
      </c>
      <c r="K354" s="47" t="n">
        <f aca="false">'Fault &amp; Downtime Entry'!K355</f>
        <v>0</v>
      </c>
      <c r="L354" s="47" t="n">
        <f aca="false">'Fault &amp; Downtime Entry'!L355</f>
        <v>0</v>
      </c>
      <c r="M354" s="47" t="str">
        <f aca="false">'Fault &amp; Downtime Entry'!M355</f>
        <v/>
      </c>
      <c r="N354" s="47" t="n">
        <f aca="false">'Fault &amp; Downtime Entry'!N355</f>
        <v>0</v>
      </c>
      <c r="O354" s="47" t="n">
        <f aca="false">'Fault &amp; Downtime Entry'!O355</f>
        <v>0</v>
      </c>
      <c r="P354" s="47" t="str">
        <f aca="false">IF(OR(J354="",K354=""),"",IFERROR(J354/K354*1000,0))</f>
        <v/>
      </c>
      <c r="Q354" s="47" t="str">
        <f aca="false">IF(OR(L354="",K354=""),"",IFERROR(L354/K354*1000,0))</f>
        <v/>
      </c>
      <c r="R354" s="47" t="str">
        <f aca="false">IF(OR(M354="High",M354="Critical"),"YES","")</f>
        <v/>
      </c>
    </row>
    <row r="355" customFormat="false" ht="15" hidden="false" customHeight="true" outlineLevel="0" collapsed="false">
      <c r="A355" s="47" t="n">
        <f aca="false">'Fault &amp; Downtime Entry'!A356</f>
        <v>351</v>
      </c>
      <c r="B355" s="48" t="n">
        <f aca="false">'Fault &amp; Downtime Entry'!B356</f>
        <v>0</v>
      </c>
      <c r="C355" s="47" t="n">
        <f aca="false">'Fault &amp; Downtime Entry'!C356</f>
        <v>0</v>
      </c>
      <c r="D355" s="47" t="n">
        <f aca="false">'Fault &amp; Downtime Entry'!D356</f>
        <v>0</v>
      </c>
      <c r="E355" s="47" t="n">
        <f aca="false">'Fault &amp; Downtime Entry'!E356</f>
        <v>0</v>
      </c>
      <c r="F355" s="47" t="str">
        <f aca="false">'Fault &amp; Downtime Entry'!F356</f>
        <v/>
      </c>
      <c r="G355" s="47" t="n">
        <f aca="false">'Fault &amp; Downtime Entry'!G356</f>
        <v>0</v>
      </c>
      <c r="H355" s="47" t="str">
        <f aca="false">'Fault &amp; Downtime Entry'!H356</f>
        <v/>
      </c>
      <c r="I355" s="47" t="str">
        <f aca="false">'Fault &amp; Downtime Entry'!I356</f>
        <v/>
      </c>
      <c r="J355" s="47" t="n">
        <f aca="false">'Fault &amp; Downtime Entry'!J356</f>
        <v>0</v>
      </c>
      <c r="K355" s="47" t="n">
        <f aca="false">'Fault &amp; Downtime Entry'!K356</f>
        <v>0</v>
      </c>
      <c r="L355" s="47" t="n">
        <f aca="false">'Fault &amp; Downtime Entry'!L356</f>
        <v>0</v>
      </c>
      <c r="M355" s="47" t="str">
        <f aca="false">'Fault &amp; Downtime Entry'!M356</f>
        <v/>
      </c>
      <c r="N355" s="47" t="n">
        <f aca="false">'Fault &amp; Downtime Entry'!N356</f>
        <v>0</v>
      </c>
      <c r="O355" s="47" t="n">
        <f aca="false">'Fault &amp; Downtime Entry'!O356</f>
        <v>0</v>
      </c>
      <c r="P355" s="47" t="str">
        <f aca="false">IF(OR(J355="",K355=""),"",IFERROR(J355/K355*1000,0))</f>
        <v/>
      </c>
      <c r="Q355" s="47" t="str">
        <f aca="false">IF(OR(L355="",K355=""),"",IFERROR(L355/K355*1000,0))</f>
        <v/>
      </c>
      <c r="R355" s="47" t="str">
        <f aca="false">IF(OR(M355="High",M355="Critical"),"YES","")</f>
        <v/>
      </c>
    </row>
    <row r="356" customFormat="false" ht="15" hidden="false" customHeight="true" outlineLevel="0" collapsed="false">
      <c r="A356" s="47" t="n">
        <f aca="false">'Fault &amp; Downtime Entry'!A357</f>
        <v>352</v>
      </c>
      <c r="B356" s="48" t="n">
        <f aca="false">'Fault &amp; Downtime Entry'!B357</f>
        <v>0</v>
      </c>
      <c r="C356" s="47" t="n">
        <f aca="false">'Fault &amp; Downtime Entry'!C357</f>
        <v>0</v>
      </c>
      <c r="D356" s="47" t="n">
        <f aca="false">'Fault &amp; Downtime Entry'!D357</f>
        <v>0</v>
      </c>
      <c r="E356" s="47" t="n">
        <f aca="false">'Fault &amp; Downtime Entry'!E357</f>
        <v>0</v>
      </c>
      <c r="F356" s="47" t="str">
        <f aca="false">'Fault &amp; Downtime Entry'!F357</f>
        <v/>
      </c>
      <c r="G356" s="47" t="n">
        <f aca="false">'Fault &amp; Downtime Entry'!G357</f>
        <v>0</v>
      </c>
      <c r="H356" s="47" t="str">
        <f aca="false">'Fault &amp; Downtime Entry'!H357</f>
        <v/>
      </c>
      <c r="I356" s="47" t="str">
        <f aca="false">'Fault &amp; Downtime Entry'!I357</f>
        <v/>
      </c>
      <c r="J356" s="47" t="n">
        <f aca="false">'Fault &amp; Downtime Entry'!J357</f>
        <v>0</v>
      </c>
      <c r="K356" s="47" t="n">
        <f aca="false">'Fault &amp; Downtime Entry'!K357</f>
        <v>0</v>
      </c>
      <c r="L356" s="47" t="n">
        <f aca="false">'Fault &amp; Downtime Entry'!L357</f>
        <v>0</v>
      </c>
      <c r="M356" s="47" t="str">
        <f aca="false">'Fault &amp; Downtime Entry'!M357</f>
        <v/>
      </c>
      <c r="N356" s="47" t="n">
        <f aca="false">'Fault &amp; Downtime Entry'!N357</f>
        <v>0</v>
      </c>
      <c r="O356" s="47" t="n">
        <f aca="false">'Fault &amp; Downtime Entry'!O357</f>
        <v>0</v>
      </c>
      <c r="P356" s="47" t="str">
        <f aca="false">IF(OR(J356="",K356=""),"",IFERROR(J356/K356*1000,0))</f>
        <v/>
      </c>
      <c r="Q356" s="47" t="str">
        <f aca="false">IF(OR(L356="",K356=""),"",IFERROR(L356/K356*1000,0))</f>
        <v/>
      </c>
      <c r="R356" s="47" t="str">
        <f aca="false">IF(OR(M356="High",M356="Critical"),"YES","")</f>
        <v/>
      </c>
    </row>
    <row r="357" customFormat="false" ht="15" hidden="false" customHeight="true" outlineLevel="0" collapsed="false">
      <c r="A357" s="47" t="n">
        <f aca="false">'Fault &amp; Downtime Entry'!A358</f>
        <v>353</v>
      </c>
      <c r="B357" s="48" t="n">
        <f aca="false">'Fault &amp; Downtime Entry'!B358</f>
        <v>0</v>
      </c>
      <c r="C357" s="47" t="n">
        <f aca="false">'Fault &amp; Downtime Entry'!C358</f>
        <v>0</v>
      </c>
      <c r="D357" s="47" t="n">
        <f aca="false">'Fault &amp; Downtime Entry'!D358</f>
        <v>0</v>
      </c>
      <c r="E357" s="47" t="n">
        <f aca="false">'Fault &amp; Downtime Entry'!E358</f>
        <v>0</v>
      </c>
      <c r="F357" s="47" t="str">
        <f aca="false">'Fault &amp; Downtime Entry'!F358</f>
        <v/>
      </c>
      <c r="G357" s="47" t="n">
        <f aca="false">'Fault &amp; Downtime Entry'!G358</f>
        <v>0</v>
      </c>
      <c r="H357" s="47" t="str">
        <f aca="false">'Fault &amp; Downtime Entry'!H358</f>
        <v/>
      </c>
      <c r="I357" s="47" t="str">
        <f aca="false">'Fault &amp; Downtime Entry'!I358</f>
        <v/>
      </c>
      <c r="J357" s="47" t="n">
        <f aca="false">'Fault &amp; Downtime Entry'!J358</f>
        <v>0</v>
      </c>
      <c r="K357" s="47" t="n">
        <f aca="false">'Fault &amp; Downtime Entry'!K358</f>
        <v>0</v>
      </c>
      <c r="L357" s="47" t="n">
        <f aca="false">'Fault &amp; Downtime Entry'!L358</f>
        <v>0</v>
      </c>
      <c r="M357" s="47" t="str">
        <f aca="false">'Fault &amp; Downtime Entry'!M358</f>
        <v/>
      </c>
      <c r="N357" s="47" t="n">
        <f aca="false">'Fault &amp; Downtime Entry'!N358</f>
        <v>0</v>
      </c>
      <c r="O357" s="47" t="n">
        <f aca="false">'Fault &amp; Downtime Entry'!O358</f>
        <v>0</v>
      </c>
      <c r="P357" s="47" t="str">
        <f aca="false">IF(OR(J357="",K357=""),"",IFERROR(J357/K357*1000,0))</f>
        <v/>
      </c>
      <c r="Q357" s="47" t="str">
        <f aca="false">IF(OR(L357="",K357=""),"",IFERROR(L357/K357*1000,0))</f>
        <v/>
      </c>
      <c r="R357" s="47" t="str">
        <f aca="false">IF(OR(M357="High",M357="Critical"),"YES","")</f>
        <v/>
      </c>
    </row>
    <row r="358" customFormat="false" ht="15" hidden="false" customHeight="true" outlineLevel="0" collapsed="false">
      <c r="A358" s="47" t="n">
        <f aca="false">'Fault &amp; Downtime Entry'!A359</f>
        <v>354</v>
      </c>
      <c r="B358" s="48" t="n">
        <f aca="false">'Fault &amp; Downtime Entry'!B359</f>
        <v>0</v>
      </c>
      <c r="C358" s="47" t="n">
        <f aca="false">'Fault &amp; Downtime Entry'!C359</f>
        <v>0</v>
      </c>
      <c r="D358" s="47" t="n">
        <f aca="false">'Fault &amp; Downtime Entry'!D359</f>
        <v>0</v>
      </c>
      <c r="E358" s="47" t="n">
        <f aca="false">'Fault &amp; Downtime Entry'!E359</f>
        <v>0</v>
      </c>
      <c r="F358" s="47" t="str">
        <f aca="false">'Fault &amp; Downtime Entry'!F359</f>
        <v/>
      </c>
      <c r="G358" s="47" t="n">
        <f aca="false">'Fault &amp; Downtime Entry'!G359</f>
        <v>0</v>
      </c>
      <c r="H358" s="47" t="str">
        <f aca="false">'Fault &amp; Downtime Entry'!H359</f>
        <v/>
      </c>
      <c r="I358" s="47" t="str">
        <f aca="false">'Fault &amp; Downtime Entry'!I359</f>
        <v/>
      </c>
      <c r="J358" s="47" t="n">
        <f aca="false">'Fault &amp; Downtime Entry'!J359</f>
        <v>0</v>
      </c>
      <c r="K358" s="47" t="n">
        <f aca="false">'Fault &amp; Downtime Entry'!K359</f>
        <v>0</v>
      </c>
      <c r="L358" s="47" t="n">
        <f aca="false">'Fault &amp; Downtime Entry'!L359</f>
        <v>0</v>
      </c>
      <c r="M358" s="47" t="str">
        <f aca="false">'Fault &amp; Downtime Entry'!M359</f>
        <v/>
      </c>
      <c r="N358" s="47" t="n">
        <f aca="false">'Fault &amp; Downtime Entry'!N359</f>
        <v>0</v>
      </c>
      <c r="O358" s="47" t="n">
        <f aca="false">'Fault &amp; Downtime Entry'!O359</f>
        <v>0</v>
      </c>
      <c r="P358" s="47" t="str">
        <f aca="false">IF(OR(J358="",K358=""),"",IFERROR(J358/K358*1000,0))</f>
        <v/>
      </c>
      <c r="Q358" s="47" t="str">
        <f aca="false">IF(OR(L358="",K358=""),"",IFERROR(L358/K358*1000,0))</f>
        <v/>
      </c>
      <c r="R358" s="47" t="str">
        <f aca="false">IF(OR(M358="High",M358="Critical"),"YES","")</f>
        <v/>
      </c>
    </row>
    <row r="359" customFormat="false" ht="15" hidden="false" customHeight="true" outlineLevel="0" collapsed="false">
      <c r="A359" s="47" t="n">
        <f aca="false">'Fault &amp; Downtime Entry'!A360</f>
        <v>355</v>
      </c>
      <c r="B359" s="48" t="n">
        <f aca="false">'Fault &amp; Downtime Entry'!B360</f>
        <v>0</v>
      </c>
      <c r="C359" s="47" t="n">
        <f aca="false">'Fault &amp; Downtime Entry'!C360</f>
        <v>0</v>
      </c>
      <c r="D359" s="47" t="n">
        <f aca="false">'Fault &amp; Downtime Entry'!D360</f>
        <v>0</v>
      </c>
      <c r="E359" s="47" t="n">
        <f aca="false">'Fault &amp; Downtime Entry'!E360</f>
        <v>0</v>
      </c>
      <c r="F359" s="47" t="str">
        <f aca="false">'Fault &amp; Downtime Entry'!F360</f>
        <v/>
      </c>
      <c r="G359" s="47" t="n">
        <f aca="false">'Fault &amp; Downtime Entry'!G360</f>
        <v>0</v>
      </c>
      <c r="H359" s="47" t="str">
        <f aca="false">'Fault &amp; Downtime Entry'!H360</f>
        <v/>
      </c>
      <c r="I359" s="47" t="str">
        <f aca="false">'Fault &amp; Downtime Entry'!I360</f>
        <v/>
      </c>
      <c r="J359" s="47" t="n">
        <f aca="false">'Fault &amp; Downtime Entry'!J360</f>
        <v>0</v>
      </c>
      <c r="K359" s="47" t="n">
        <f aca="false">'Fault &amp; Downtime Entry'!K360</f>
        <v>0</v>
      </c>
      <c r="L359" s="47" t="n">
        <f aca="false">'Fault &amp; Downtime Entry'!L360</f>
        <v>0</v>
      </c>
      <c r="M359" s="47" t="str">
        <f aca="false">'Fault &amp; Downtime Entry'!M360</f>
        <v/>
      </c>
      <c r="N359" s="47" t="n">
        <f aca="false">'Fault &amp; Downtime Entry'!N360</f>
        <v>0</v>
      </c>
      <c r="O359" s="47" t="n">
        <f aca="false">'Fault &amp; Downtime Entry'!O360</f>
        <v>0</v>
      </c>
      <c r="P359" s="47" t="str">
        <f aca="false">IF(OR(J359="",K359=""),"",IFERROR(J359/K359*1000,0))</f>
        <v/>
      </c>
      <c r="Q359" s="47" t="str">
        <f aca="false">IF(OR(L359="",K359=""),"",IFERROR(L359/K359*1000,0))</f>
        <v/>
      </c>
      <c r="R359" s="47" t="str">
        <f aca="false">IF(OR(M359="High",M359="Critical"),"YES","")</f>
        <v/>
      </c>
    </row>
    <row r="360" customFormat="false" ht="15" hidden="false" customHeight="true" outlineLevel="0" collapsed="false">
      <c r="A360" s="47" t="n">
        <f aca="false">'Fault &amp; Downtime Entry'!A361</f>
        <v>356</v>
      </c>
      <c r="B360" s="48" t="n">
        <f aca="false">'Fault &amp; Downtime Entry'!B361</f>
        <v>0</v>
      </c>
      <c r="C360" s="47" t="n">
        <f aca="false">'Fault &amp; Downtime Entry'!C361</f>
        <v>0</v>
      </c>
      <c r="D360" s="47" t="n">
        <f aca="false">'Fault &amp; Downtime Entry'!D361</f>
        <v>0</v>
      </c>
      <c r="E360" s="47" t="n">
        <f aca="false">'Fault &amp; Downtime Entry'!E361</f>
        <v>0</v>
      </c>
      <c r="F360" s="47" t="str">
        <f aca="false">'Fault &amp; Downtime Entry'!F361</f>
        <v/>
      </c>
      <c r="G360" s="47" t="n">
        <f aca="false">'Fault &amp; Downtime Entry'!G361</f>
        <v>0</v>
      </c>
      <c r="H360" s="47" t="str">
        <f aca="false">'Fault &amp; Downtime Entry'!H361</f>
        <v/>
      </c>
      <c r="I360" s="47" t="str">
        <f aca="false">'Fault &amp; Downtime Entry'!I361</f>
        <v/>
      </c>
      <c r="J360" s="47" t="n">
        <f aca="false">'Fault &amp; Downtime Entry'!J361</f>
        <v>0</v>
      </c>
      <c r="K360" s="47" t="n">
        <f aca="false">'Fault &amp; Downtime Entry'!K361</f>
        <v>0</v>
      </c>
      <c r="L360" s="47" t="n">
        <f aca="false">'Fault &amp; Downtime Entry'!L361</f>
        <v>0</v>
      </c>
      <c r="M360" s="47" t="str">
        <f aca="false">'Fault &amp; Downtime Entry'!M361</f>
        <v/>
      </c>
      <c r="N360" s="47" t="n">
        <f aca="false">'Fault &amp; Downtime Entry'!N361</f>
        <v>0</v>
      </c>
      <c r="O360" s="47" t="n">
        <f aca="false">'Fault &amp; Downtime Entry'!O361</f>
        <v>0</v>
      </c>
      <c r="P360" s="47" t="str">
        <f aca="false">IF(OR(J360="",K360=""),"",IFERROR(J360/K360*1000,0))</f>
        <v/>
      </c>
      <c r="Q360" s="47" t="str">
        <f aca="false">IF(OR(L360="",K360=""),"",IFERROR(L360/K360*1000,0))</f>
        <v/>
      </c>
      <c r="R360" s="47" t="str">
        <f aca="false">IF(OR(M360="High",M360="Critical"),"YES","")</f>
        <v/>
      </c>
    </row>
    <row r="361" customFormat="false" ht="15" hidden="false" customHeight="true" outlineLevel="0" collapsed="false">
      <c r="A361" s="47" t="n">
        <f aca="false">'Fault &amp; Downtime Entry'!A362</f>
        <v>357</v>
      </c>
      <c r="B361" s="48" t="n">
        <f aca="false">'Fault &amp; Downtime Entry'!B362</f>
        <v>0</v>
      </c>
      <c r="C361" s="47" t="n">
        <f aca="false">'Fault &amp; Downtime Entry'!C362</f>
        <v>0</v>
      </c>
      <c r="D361" s="47" t="n">
        <f aca="false">'Fault &amp; Downtime Entry'!D362</f>
        <v>0</v>
      </c>
      <c r="E361" s="47" t="n">
        <f aca="false">'Fault &amp; Downtime Entry'!E362</f>
        <v>0</v>
      </c>
      <c r="F361" s="47" t="str">
        <f aca="false">'Fault &amp; Downtime Entry'!F362</f>
        <v/>
      </c>
      <c r="G361" s="47" t="n">
        <f aca="false">'Fault &amp; Downtime Entry'!G362</f>
        <v>0</v>
      </c>
      <c r="H361" s="47" t="str">
        <f aca="false">'Fault &amp; Downtime Entry'!H362</f>
        <v/>
      </c>
      <c r="I361" s="47" t="str">
        <f aca="false">'Fault &amp; Downtime Entry'!I362</f>
        <v/>
      </c>
      <c r="J361" s="47" t="n">
        <f aca="false">'Fault &amp; Downtime Entry'!J362</f>
        <v>0</v>
      </c>
      <c r="K361" s="47" t="n">
        <f aca="false">'Fault &amp; Downtime Entry'!K362</f>
        <v>0</v>
      </c>
      <c r="L361" s="47" t="n">
        <f aca="false">'Fault &amp; Downtime Entry'!L362</f>
        <v>0</v>
      </c>
      <c r="M361" s="47" t="str">
        <f aca="false">'Fault &amp; Downtime Entry'!M362</f>
        <v/>
      </c>
      <c r="N361" s="47" t="n">
        <f aca="false">'Fault &amp; Downtime Entry'!N362</f>
        <v>0</v>
      </c>
      <c r="O361" s="47" t="n">
        <f aca="false">'Fault &amp; Downtime Entry'!O362</f>
        <v>0</v>
      </c>
      <c r="P361" s="47" t="str">
        <f aca="false">IF(OR(J361="",K361=""),"",IFERROR(J361/K361*1000,0))</f>
        <v/>
      </c>
      <c r="Q361" s="47" t="str">
        <f aca="false">IF(OR(L361="",K361=""),"",IFERROR(L361/K361*1000,0))</f>
        <v/>
      </c>
      <c r="R361" s="47" t="str">
        <f aca="false">IF(OR(M361="High",M361="Critical"),"YES","")</f>
        <v/>
      </c>
    </row>
    <row r="362" customFormat="false" ht="15" hidden="false" customHeight="true" outlineLevel="0" collapsed="false">
      <c r="A362" s="47" t="n">
        <f aca="false">'Fault &amp; Downtime Entry'!A363</f>
        <v>358</v>
      </c>
      <c r="B362" s="48" t="n">
        <f aca="false">'Fault &amp; Downtime Entry'!B363</f>
        <v>0</v>
      </c>
      <c r="C362" s="47" t="n">
        <f aca="false">'Fault &amp; Downtime Entry'!C363</f>
        <v>0</v>
      </c>
      <c r="D362" s="47" t="n">
        <f aca="false">'Fault &amp; Downtime Entry'!D363</f>
        <v>0</v>
      </c>
      <c r="E362" s="47" t="n">
        <f aca="false">'Fault &amp; Downtime Entry'!E363</f>
        <v>0</v>
      </c>
      <c r="F362" s="47" t="str">
        <f aca="false">'Fault &amp; Downtime Entry'!F363</f>
        <v/>
      </c>
      <c r="G362" s="47" t="n">
        <f aca="false">'Fault &amp; Downtime Entry'!G363</f>
        <v>0</v>
      </c>
      <c r="H362" s="47" t="str">
        <f aca="false">'Fault &amp; Downtime Entry'!H363</f>
        <v/>
      </c>
      <c r="I362" s="47" t="str">
        <f aca="false">'Fault &amp; Downtime Entry'!I363</f>
        <v/>
      </c>
      <c r="J362" s="47" t="n">
        <f aca="false">'Fault &amp; Downtime Entry'!J363</f>
        <v>0</v>
      </c>
      <c r="K362" s="47" t="n">
        <f aca="false">'Fault &amp; Downtime Entry'!K363</f>
        <v>0</v>
      </c>
      <c r="L362" s="47" t="n">
        <f aca="false">'Fault &amp; Downtime Entry'!L363</f>
        <v>0</v>
      </c>
      <c r="M362" s="47" t="str">
        <f aca="false">'Fault &amp; Downtime Entry'!M363</f>
        <v/>
      </c>
      <c r="N362" s="47" t="n">
        <f aca="false">'Fault &amp; Downtime Entry'!N363</f>
        <v>0</v>
      </c>
      <c r="O362" s="47" t="n">
        <f aca="false">'Fault &amp; Downtime Entry'!O363</f>
        <v>0</v>
      </c>
      <c r="P362" s="47" t="str">
        <f aca="false">IF(OR(J362="",K362=""),"",IFERROR(J362/K362*1000,0))</f>
        <v/>
      </c>
      <c r="Q362" s="47" t="str">
        <f aca="false">IF(OR(L362="",K362=""),"",IFERROR(L362/K362*1000,0))</f>
        <v/>
      </c>
      <c r="R362" s="47" t="str">
        <f aca="false">IF(OR(M362="High",M362="Critical"),"YES","")</f>
        <v/>
      </c>
    </row>
    <row r="363" customFormat="false" ht="15" hidden="false" customHeight="true" outlineLevel="0" collapsed="false">
      <c r="A363" s="47" t="n">
        <f aca="false">'Fault &amp; Downtime Entry'!A364</f>
        <v>359</v>
      </c>
      <c r="B363" s="48" t="n">
        <f aca="false">'Fault &amp; Downtime Entry'!B364</f>
        <v>0</v>
      </c>
      <c r="C363" s="47" t="n">
        <f aca="false">'Fault &amp; Downtime Entry'!C364</f>
        <v>0</v>
      </c>
      <c r="D363" s="47" t="n">
        <f aca="false">'Fault &amp; Downtime Entry'!D364</f>
        <v>0</v>
      </c>
      <c r="E363" s="47" t="n">
        <f aca="false">'Fault &amp; Downtime Entry'!E364</f>
        <v>0</v>
      </c>
      <c r="F363" s="47" t="str">
        <f aca="false">'Fault &amp; Downtime Entry'!F364</f>
        <v/>
      </c>
      <c r="G363" s="47" t="n">
        <f aca="false">'Fault &amp; Downtime Entry'!G364</f>
        <v>0</v>
      </c>
      <c r="H363" s="47" t="str">
        <f aca="false">'Fault &amp; Downtime Entry'!H364</f>
        <v/>
      </c>
      <c r="I363" s="47" t="str">
        <f aca="false">'Fault &amp; Downtime Entry'!I364</f>
        <v/>
      </c>
      <c r="J363" s="47" t="n">
        <f aca="false">'Fault &amp; Downtime Entry'!J364</f>
        <v>0</v>
      </c>
      <c r="K363" s="47" t="n">
        <f aca="false">'Fault &amp; Downtime Entry'!K364</f>
        <v>0</v>
      </c>
      <c r="L363" s="47" t="n">
        <f aca="false">'Fault &amp; Downtime Entry'!L364</f>
        <v>0</v>
      </c>
      <c r="M363" s="47" t="str">
        <f aca="false">'Fault &amp; Downtime Entry'!M364</f>
        <v/>
      </c>
      <c r="N363" s="47" t="n">
        <f aca="false">'Fault &amp; Downtime Entry'!N364</f>
        <v>0</v>
      </c>
      <c r="O363" s="47" t="n">
        <f aca="false">'Fault &amp; Downtime Entry'!O364</f>
        <v>0</v>
      </c>
      <c r="P363" s="47" t="str">
        <f aca="false">IF(OR(J363="",K363=""),"",IFERROR(J363/K363*1000,0))</f>
        <v/>
      </c>
      <c r="Q363" s="47" t="str">
        <f aca="false">IF(OR(L363="",K363=""),"",IFERROR(L363/K363*1000,0))</f>
        <v/>
      </c>
      <c r="R363" s="47" t="str">
        <f aca="false">IF(OR(M363="High",M363="Critical"),"YES","")</f>
        <v/>
      </c>
    </row>
    <row r="364" customFormat="false" ht="15" hidden="false" customHeight="true" outlineLevel="0" collapsed="false">
      <c r="A364" s="47" t="n">
        <f aca="false">'Fault &amp; Downtime Entry'!A365</f>
        <v>360</v>
      </c>
      <c r="B364" s="48" t="n">
        <f aca="false">'Fault &amp; Downtime Entry'!B365</f>
        <v>0</v>
      </c>
      <c r="C364" s="47" t="n">
        <f aca="false">'Fault &amp; Downtime Entry'!C365</f>
        <v>0</v>
      </c>
      <c r="D364" s="47" t="n">
        <f aca="false">'Fault &amp; Downtime Entry'!D365</f>
        <v>0</v>
      </c>
      <c r="E364" s="47" t="n">
        <f aca="false">'Fault &amp; Downtime Entry'!E365</f>
        <v>0</v>
      </c>
      <c r="F364" s="47" t="str">
        <f aca="false">'Fault &amp; Downtime Entry'!F365</f>
        <v/>
      </c>
      <c r="G364" s="47" t="n">
        <f aca="false">'Fault &amp; Downtime Entry'!G365</f>
        <v>0</v>
      </c>
      <c r="H364" s="47" t="str">
        <f aca="false">'Fault &amp; Downtime Entry'!H365</f>
        <v/>
      </c>
      <c r="I364" s="47" t="str">
        <f aca="false">'Fault &amp; Downtime Entry'!I365</f>
        <v/>
      </c>
      <c r="J364" s="47" t="n">
        <f aca="false">'Fault &amp; Downtime Entry'!J365</f>
        <v>0</v>
      </c>
      <c r="K364" s="47" t="n">
        <f aca="false">'Fault &amp; Downtime Entry'!K365</f>
        <v>0</v>
      </c>
      <c r="L364" s="47" t="n">
        <f aca="false">'Fault &amp; Downtime Entry'!L365</f>
        <v>0</v>
      </c>
      <c r="M364" s="47" t="str">
        <f aca="false">'Fault &amp; Downtime Entry'!M365</f>
        <v/>
      </c>
      <c r="N364" s="47" t="n">
        <f aca="false">'Fault &amp; Downtime Entry'!N365</f>
        <v>0</v>
      </c>
      <c r="O364" s="47" t="n">
        <f aca="false">'Fault &amp; Downtime Entry'!O365</f>
        <v>0</v>
      </c>
      <c r="P364" s="47" t="str">
        <f aca="false">IF(OR(J364="",K364=""),"",IFERROR(J364/K364*1000,0))</f>
        <v/>
      </c>
      <c r="Q364" s="47" t="str">
        <f aca="false">IF(OR(L364="",K364=""),"",IFERROR(L364/K364*1000,0))</f>
        <v/>
      </c>
      <c r="R364" s="47" t="str">
        <f aca="false">IF(OR(M364="High",M364="Critical"),"YES","")</f>
        <v/>
      </c>
    </row>
    <row r="365" customFormat="false" ht="15" hidden="false" customHeight="true" outlineLevel="0" collapsed="false">
      <c r="A365" s="47" t="n">
        <f aca="false">'Fault &amp; Downtime Entry'!A366</f>
        <v>361</v>
      </c>
      <c r="B365" s="48" t="n">
        <f aca="false">'Fault &amp; Downtime Entry'!B366</f>
        <v>0</v>
      </c>
      <c r="C365" s="47" t="n">
        <f aca="false">'Fault &amp; Downtime Entry'!C366</f>
        <v>0</v>
      </c>
      <c r="D365" s="47" t="n">
        <f aca="false">'Fault &amp; Downtime Entry'!D366</f>
        <v>0</v>
      </c>
      <c r="E365" s="47" t="n">
        <f aca="false">'Fault &amp; Downtime Entry'!E366</f>
        <v>0</v>
      </c>
      <c r="F365" s="47" t="str">
        <f aca="false">'Fault &amp; Downtime Entry'!F366</f>
        <v/>
      </c>
      <c r="G365" s="47" t="n">
        <f aca="false">'Fault &amp; Downtime Entry'!G366</f>
        <v>0</v>
      </c>
      <c r="H365" s="47" t="str">
        <f aca="false">'Fault &amp; Downtime Entry'!H366</f>
        <v/>
      </c>
      <c r="I365" s="47" t="str">
        <f aca="false">'Fault &amp; Downtime Entry'!I366</f>
        <v/>
      </c>
      <c r="J365" s="47" t="n">
        <f aca="false">'Fault &amp; Downtime Entry'!J366</f>
        <v>0</v>
      </c>
      <c r="K365" s="47" t="n">
        <f aca="false">'Fault &amp; Downtime Entry'!K366</f>
        <v>0</v>
      </c>
      <c r="L365" s="47" t="n">
        <f aca="false">'Fault &amp; Downtime Entry'!L366</f>
        <v>0</v>
      </c>
      <c r="M365" s="47" t="str">
        <f aca="false">'Fault &amp; Downtime Entry'!M366</f>
        <v/>
      </c>
      <c r="N365" s="47" t="n">
        <f aca="false">'Fault &amp; Downtime Entry'!N366</f>
        <v>0</v>
      </c>
      <c r="O365" s="47" t="n">
        <f aca="false">'Fault &amp; Downtime Entry'!O366</f>
        <v>0</v>
      </c>
      <c r="P365" s="47" t="str">
        <f aca="false">IF(OR(J365="",K365=""),"",IFERROR(J365/K365*1000,0))</f>
        <v/>
      </c>
      <c r="Q365" s="47" t="str">
        <f aca="false">IF(OR(L365="",K365=""),"",IFERROR(L365/K365*1000,0))</f>
        <v/>
      </c>
      <c r="R365" s="47" t="str">
        <f aca="false">IF(OR(M365="High",M365="Critical"),"YES","")</f>
        <v/>
      </c>
    </row>
    <row r="366" customFormat="false" ht="15" hidden="false" customHeight="true" outlineLevel="0" collapsed="false">
      <c r="A366" s="47" t="n">
        <f aca="false">'Fault &amp; Downtime Entry'!A367</f>
        <v>362</v>
      </c>
      <c r="B366" s="48" t="n">
        <f aca="false">'Fault &amp; Downtime Entry'!B367</f>
        <v>0</v>
      </c>
      <c r="C366" s="47" t="n">
        <f aca="false">'Fault &amp; Downtime Entry'!C367</f>
        <v>0</v>
      </c>
      <c r="D366" s="47" t="n">
        <f aca="false">'Fault &amp; Downtime Entry'!D367</f>
        <v>0</v>
      </c>
      <c r="E366" s="47" t="n">
        <f aca="false">'Fault &amp; Downtime Entry'!E367</f>
        <v>0</v>
      </c>
      <c r="F366" s="47" t="str">
        <f aca="false">'Fault &amp; Downtime Entry'!F367</f>
        <v/>
      </c>
      <c r="G366" s="47" t="n">
        <f aca="false">'Fault &amp; Downtime Entry'!G367</f>
        <v>0</v>
      </c>
      <c r="H366" s="47" t="str">
        <f aca="false">'Fault &amp; Downtime Entry'!H367</f>
        <v/>
      </c>
      <c r="I366" s="47" t="str">
        <f aca="false">'Fault &amp; Downtime Entry'!I367</f>
        <v/>
      </c>
      <c r="J366" s="47" t="n">
        <f aca="false">'Fault &amp; Downtime Entry'!J367</f>
        <v>0</v>
      </c>
      <c r="K366" s="47" t="n">
        <f aca="false">'Fault &amp; Downtime Entry'!K367</f>
        <v>0</v>
      </c>
      <c r="L366" s="47" t="n">
        <f aca="false">'Fault &amp; Downtime Entry'!L367</f>
        <v>0</v>
      </c>
      <c r="M366" s="47" t="str">
        <f aca="false">'Fault &amp; Downtime Entry'!M367</f>
        <v/>
      </c>
      <c r="N366" s="47" t="n">
        <f aca="false">'Fault &amp; Downtime Entry'!N367</f>
        <v>0</v>
      </c>
      <c r="O366" s="47" t="n">
        <f aca="false">'Fault &amp; Downtime Entry'!O367</f>
        <v>0</v>
      </c>
      <c r="P366" s="47" t="str">
        <f aca="false">IF(OR(J366="",K366=""),"",IFERROR(J366/K366*1000,0))</f>
        <v/>
      </c>
      <c r="Q366" s="47" t="str">
        <f aca="false">IF(OR(L366="",K366=""),"",IFERROR(L366/K366*1000,0))</f>
        <v/>
      </c>
      <c r="R366" s="47" t="str">
        <f aca="false">IF(OR(M366="High",M366="Critical"),"YES","")</f>
        <v/>
      </c>
    </row>
    <row r="367" customFormat="false" ht="15" hidden="false" customHeight="true" outlineLevel="0" collapsed="false">
      <c r="A367" s="47" t="n">
        <f aca="false">'Fault &amp; Downtime Entry'!A368</f>
        <v>363</v>
      </c>
      <c r="B367" s="48" t="n">
        <f aca="false">'Fault &amp; Downtime Entry'!B368</f>
        <v>0</v>
      </c>
      <c r="C367" s="47" t="n">
        <f aca="false">'Fault &amp; Downtime Entry'!C368</f>
        <v>0</v>
      </c>
      <c r="D367" s="47" t="n">
        <f aca="false">'Fault &amp; Downtime Entry'!D368</f>
        <v>0</v>
      </c>
      <c r="E367" s="47" t="n">
        <f aca="false">'Fault &amp; Downtime Entry'!E368</f>
        <v>0</v>
      </c>
      <c r="F367" s="47" t="str">
        <f aca="false">'Fault &amp; Downtime Entry'!F368</f>
        <v/>
      </c>
      <c r="G367" s="47" t="n">
        <f aca="false">'Fault &amp; Downtime Entry'!G368</f>
        <v>0</v>
      </c>
      <c r="H367" s="47" t="str">
        <f aca="false">'Fault &amp; Downtime Entry'!H368</f>
        <v/>
      </c>
      <c r="I367" s="47" t="str">
        <f aca="false">'Fault &amp; Downtime Entry'!I368</f>
        <v/>
      </c>
      <c r="J367" s="47" t="n">
        <f aca="false">'Fault &amp; Downtime Entry'!J368</f>
        <v>0</v>
      </c>
      <c r="K367" s="47" t="n">
        <f aca="false">'Fault &amp; Downtime Entry'!K368</f>
        <v>0</v>
      </c>
      <c r="L367" s="47" t="n">
        <f aca="false">'Fault &amp; Downtime Entry'!L368</f>
        <v>0</v>
      </c>
      <c r="M367" s="47" t="str">
        <f aca="false">'Fault &amp; Downtime Entry'!M368</f>
        <v/>
      </c>
      <c r="N367" s="47" t="n">
        <f aca="false">'Fault &amp; Downtime Entry'!N368</f>
        <v>0</v>
      </c>
      <c r="O367" s="47" t="n">
        <f aca="false">'Fault &amp; Downtime Entry'!O368</f>
        <v>0</v>
      </c>
      <c r="P367" s="47" t="str">
        <f aca="false">IF(OR(J367="",K367=""),"",IFERROR(J367/K367*1000,0))</f>
        <v/>
      </c>
      <c r="Q367" s="47" t="str">
        <f aca="false">IF(OR(L367="",K367=""),"",IFERROR(L367/K367*1000,0))</f>
        <v/>
      </c>
      <c r="R367" s="47" t="str">
        <f aca="false">IF(OR(M367="High",M367="Critical"),"YES","")</f>
        <v/>
      </c>
    </row>
    <row r="368" customFormat="false" ht="15" hidden="false" customHeight="true" outlineLevel="0" collapsed="false">
      <c r="A368" s="47" t="n">
        <f aca="false">'Fault &amp; Downtime Entry'!A369</f>
        <v>364</v>
      </c>
      <c r="B368" s="48" t="n">
        <f aca="false">'Fault &amp; Downtime Entry'!B369</f>
        <v>0</v>
      </c>
      <c r="C368" s="47" t="n">
        <f aca="false">'Fault &amp; Downtime Entry'!C369</f>
        <v>0</v>
      </c>
      <c r="D368" s="47" t="n">
        <f aca="false">'Fault &amp; Downtime Entry'!D369</f>
        <v>0</v>
      </c>
      <c r="E368" s="47" t="n">
        <f aca="false">'Fault &amp; Downtime Entry'!E369</f>
        <v>0</v>
      </c>
      <c r="F368" s="47" t="str">
        <f aca="false">'Fault &amp; Downtime Entry'!F369</f>
        <v/>
      </c>
      <c r="G368" s="47" t="n">
        <f aca="false">'Fault &amp; Downtime Entry'!G369</f>
        <v>0</v>
      </c>
      <c r="H368" s="47" t="str">
        <f aca="false">'Fault &amp; Downtime Entry'!H369</f>
        <v/>
      </c>
      <c r="I368" s="47" t="str">
        <f aca="false">'Fault &amp; Downtime Entry'!I369</f>
        <v/>
      </c>
      <c r="J368" s="47" t="n">
        <f aca="false">'Fault &amp; Downtime Entry'!J369</f>
        <v>0</v>
      </c>
      <c r="K368" s="47" t="n">
        <f aca="false">'Fault &amp; Downtime Entry'!K369</f>
        <v>0</v>
      </c>
      <c r="L368" s="47" t="n">
        <f aca="false">'Fault &amp; Downtime Entry'!L369</f>
        <v>0</v>
      </c>
      <c r="M368" s="47" t="str">
        <f aca="false">'Fault &amp; Downtime Entry'!M369</f>
        <v/>
      </c>
      <c r="N368" s="47" t="n">
        <f aca="false">'Fault &amp; Downtime Entry'!N369</f>
        <v>0</v>
      </c>
      <c r="O368" s="47" t="n">
        <f aca="false">'Fault &amp; Downtime Entry'!O369</f>
        <v>0</v>
      </c>
      <c r="P368" s="47" t="str">
        <f aca="false">IF(OR(J368="",K368=""),"",IFERROR(J368/K368*1000,0))</f>
        <v/>
      </c>
      <c r="Q368" s="47" t="str">
        <f aca="false">IF(OR(L368="",K368=""),"",IFERROR(L368/K368*1000,0))</f>
        <v/>
      </c>
      <c r="R368" s="47" t="str">
        <f aca="false">IF(OR(M368="High",M368="Critical"),"YES","")</f>
        <v/>
      </c>
    </row>
    <row r="369" customFormat="false" ht="15" hidden="false" customHeight="true" outlineLevel="0" collapsed="false">
      <c r="A369" s="47" t="n">
        <f aca="false">'Fault &amp; Downtime Entry'!A370</f>
        <v>365</v>
      </c>
      <c r="B369" s="48" t="n">
        <f aca="false">'Fault &amp; Downtime Entry'!B370</f>
        <v>0</v>
      </c>
      <c r="C369" s="47" t="n">
        <f aca="false">'Fault &amp; Downtime Entry'!C370</f>
        <v>0</v>
      </c>
      <c r="D369" s="47" t="n">
        <f aca="false">'Fault &amp; Downtime Entry'!D370</f>
        <v>0</v>
      </c>
      <c r="E369" s="47" t="n">
        <f aca="false">'Fault &amp; Downtime Entry'!E370</f>
        <v>0</v>
      </c>
      <c r="F369" s="47" t="str">
        <f aca="false">'Fault &amp; Downtime Entry'!F370</f>
        <v/>
      </c>
      <c r="G369" s="47" t="n">
        <f aca="false">'Fault &amp; Downtime Entry'!G370</f>
        <v>0</v>
      </c>
      <c r="H369" s="47" t="str">
        <f aca="false">'Fault &amp; Downtime Entry'!H370</f>
        <v/>
      </c>
      <c r="I369" s="47" t="str">
        <f aca="false">'Fault &amp; Downtime Entry'!I370</f>
        <v/>
      </c>
      <c r="J369" s="47" t="n">
        <f aca="false">'Fault &amp; Downtime Entry'!J370</f>
        <v>0</v>
      </c>
      <c r="K369" s="47" t="n">
        <f aca="false">'Fault &amp; Downtime Entry'!K370</f>
        <v>0</v>
      </c>
      <c r="L369" s="47" t="n">
        <f aca="false">'Fault &amp; Downtime Entry'!L370</f>
        <v>0</v>
      </c>
      <c r="M369" s="47" t="str">
        <f aca="false">'Fault &amp; Downtime Entry'!M370</f>
        <v/>
      </c>
      <c r="N369" s="47" t="n">
        <f aca="false">'Fault &amp; Downtime Entry'!N370</f>
        <v>0</v>
      </c>
      <c r="O369" s="47" t="n">
        <f aca="false">'Fault &amp; Downtime Entry'!O370</f>
        <v>0</v>
      </c>
      <c r="P369" s="47" t="str">
        <f aca="false">IF(OR(J369="",K369=""),"",IFERROR(J369/K369*1000,0))</f>
        <v/>
      </c>
      <c r="Q369" s="47" t="str">
        <f aca="false">IF(OR(L369="",K369=""),"",IFERROR(L369/K369*1000,0))</f>
        <v/>
      </c>
      <c r="R369" s="47" t="str">
        <f aca="false">IF(OR(M369="High",M369="Critical"),"YES","")</f>
        <v/>
      </c>
    </row>
    <row r="370" customFormat="false" ht="15" hidden="false" customHeight="true" outlineLevel="0" collapsed="false">
      <c r="A370" s="47" t="n">
        <f aca="false">'Fault &amp; Downtime Entry'!A371</f>
        <v>366</v>
      </c>
      <c r="B370" s="48" t="n">
        <f aca="false">'Fault &amp; Downtime Entry'!B371</f>
        <v>0</v>
      </c>
      <c r="C370" s="47" t="n">
        <f aca="false">'Fault &amp; Downtime Entry'!C371</f>
        <v>0</v>
      </c>
      <c r="D370" s="47" t="n">
        <f aca="false">'Fault &amp; Downtime Entry'!D371</f>
        <v>0</v>
      </c>
      <c r="E370" s="47" t="n">
        <f aca="false">'Fault &amp; Downtime Entry'!E371</f>
        <v>0</v>
      </c>
      <c r="F370" s="47" t="str">
        <f aca="false">'Fault &amp; Downtime Entry'!F371</f>
        <v/>
      </c>
      <c r="G370" s="47" t="n">
        <f aca="false">'Fault &amp; Downtime Entry'!G371</f>
        <v>0</v>
      </c>
      <c r="H370" s="47" t="str">
        <f aca="false">'Fault &amp; Downtime Entry'!H371</f>
        <v/>
      </c>
      <c r="I370" s="47" t="str">
        <f aca="false">'Fault &amp; Downtime Entry'!I371</f>
        <v/>
      </c>
      <c r="J370" s="47" t="n">
        <f aca="false">'Fault &amp; Downtime Entry'!J371</f>
        <v>0</v>
      </c>
      <c r="K370" s="47" t="n">
        <f aca="false">'Fault &amp; Downtime Entry'!K371</f>
        <v>0</v>
      </c>
      <c r="L370" s="47" t="n">
        <f aca="false">'Fault &amp; Downtime Entry'!L371</f>
        <v>0</v>
      </c>
      <c r="M370" s="47" t="str">
        <f aca="false">'Fault &amp; Downtime Entry'!M371</f>
        <v/>
      </c>
      <c r="N370" s="47" t="n">
        <f aca="false">'Fault &amp; Downtime Entry'!N371</f>
        <v>0</v>
      </c>
      <c r="O370" s="47" t="n">
        <f aca="false">'Fault &amp; Downtime Entry'!O371</f>
        <v>0</v>
      </c>
      <c r="P370" s="47" t="str">
        <f aca="false">IF(OR(J370="",K370=""),"",IFERROR(J370/K370*1000,0))</f>
        <v/>
      </c>
      <c r="Q370" s="47" t="str">
        <f aca="false">IF(OR(L370="",K370=""),"",IFERROR(L370/K370*1000,0))</f>
        <v/>
      </c>
      <c r="R370" s="47" t="str">
        <f aca="false">IF(OR(M370="High",M370="Critical"),"YES","")</f>
        <v/>
      </c>
    </row>
    <row r="371" customFormat="false" ht="15" hidden="false" customHeight="true" outlineLevel="0" collapsed="false">
      <c r="A371" s="47" t="n">
        <f aca="false">'Fault &amp; Downtime Entry'!A372</f>
        <v>367</v>
      </c>
      <c r="B371" s="48" t="n">
        <f aca="false">'Fault &amp; Downtime Entry'!B372</f>
        <v>0</v>
      </c>
      <c r="C371" s="47" t="n">
        <f aca="false">'Fault &amp; Downtime Entry'!C372</f>
        <v>0</v>
      </c>
      <c r="D371" s="47" t="n">
        <f aca="false">'Fault &amp; Downtime Entry'!D372</f>
        <v>0</v>
      </c>
      <c r="E371" s="47" t="n">
        <f aca="false">'Fault &amp; Downtime Entry'!E372</f>
        <v>0</v>
      </c>
      <c r="F371" s="47" t="str">
        <f aca="false">'Fault &amp; Downtime Entry'!F372</f>
        <v/>
      </c>
      <c r="G371" s="47" t="n">
        <f aca="false">'Fault &amp; Downtime Entry'!G372</f>
        <v>0</v>
      </c>
      <c r="H371" s="47" t="str">
        <f aca="false">'Fault &amp; Downtime Entry'!H372</f>
        <v/>
      </c>
      <c r="I371" s="47" t="str">
        <f aca="false">'Fault &amp; Downtime Entry'!I372</f>
        <v/>
      </c>
      <c r="J371" s="47" t="n">
        <f aca="false">'Fault &amp; Downtime Entry'!J372</f>
        <v>0</v>
      </c>
      <c r="K371" s="47" t="n">
        <f aca="false">'Fault &amp; Downtime Entry'!K372</f>
        <v>0</v>
      </c>
      <c r="L371" s="47" t="n">
        <f aca="false">'Fault &amp; Downtime Entry'!L372</f>
        <v>0</v>
      </c>
      <c r="M371" s="47" t="str">
        <f aca="false">'Fault &amp; Downtime Entry'!M372</f>
        <v/>
      </c>
      <c r="N371" s="47" t="n">
        <f aca="false">'Fault &amp; Downtime Entry'!N372</f>
        <v>0</v>
      </c>
      <c r="O371" s="47" t="n">
        <f aca="false">'Fault &amp; Downtime Entry'!O372</f>
        <v>0</v>
      </c>
      <c r="P371" s="47" t="str">
        <f aca="false">IF(OR(J371="",K371=""),"",IFERROR(J371/K371*1000,0))</f>
        <v/>
      </c>
      <c r="Q371" s="47" t="str">
        <f aca="false">IF(OR(L371="",K371=""),"",IFERROR(L371/K371*1000,0))</f>
        <v/>
      </c>
      <c r="R371" s="47" t="str">
        <f aca="false">IF(OR(M371="High",M371="Critical"),"YES","")</f>
        <v/>
      </c>
    </row>
    <row r="372" customFormat="false" ht="15" hidden="false" customHeight="true" outlineLevel="0" collapsed="false">
      <c r="A372" s="47" t="n">
        <f aca="false">'Fault &amp; Downtime Entry'!A373</f>
        <v>368</v>
      </c>
      <c r="B372" s="48" t="n">
        <f aca="false">'Fault &amp; Downtime Entry'!B373</f>
        <v>0</v>
      </c>
      <c r="C372" s="47" t="n">
        <f aca="false">'Fault &amp; Downtime Entry'!C373</f>
        <v>0</v>
      </c>
      <c r="D372" s="47" t="n">
        <f aca="false">'Fault &amp; Downtime Entry'!D373</f>
        <v>0</v>
      </c>
      <c r="E372" s="47" t="n">
        <f aca="false">'Fault &amp; Downtime Entry'!E373</f>
        <v>0</v>
      </c>
      <c r="F372" s="47" t="str">
        <f aca="false">'Fault &amp; Downtime Entry'!F373</f>
        <v/>
      </c>
      <c r="G372" s="47" t="n">
        <f aca="false">'Fault &amp; Downtime Entry'!G373</f>
        <v>0</v>
      </c>
      <c r="H372" s="47" t="str">
        <f aca="false">'Fault &amp; Downtime Entry'!H373</f>
        <v/>
      </c>
      <c r="I372" s="47" t="str">
        <f aca="false">'Fault &amp; Downtime Entry'!I373</f>
        <v/>
      </c>
      <c r="J372" s="47" t="n">
        <f aca="false">'Fault &amp; Downtime Entry'!J373</f>
        <v>0</v>
      </c>
      <c r="K372" s="47" t="n">
        <f aca="false">'Fault &amp; Downtime Entry'!K373</f>
        <v>0</v>
      </c>
      <c r="L372" s="47" t="n">
        <f aca="false">'Fault &amp; Downtime Entry'!L373</f>
        <v>0</v>
      </c>
      <c r="M372" s="47" t="str">
        <f aca="false">'Fault &amp; Downtime Entry'!M373</f>
        <v/>
      </c>
      <c r="N372" s="47" t="n">
        <f aca="false">'Fault &amp; Downtime Entry'!N373</f>
        <v>0</v>
      </c>
      <c r="O372" s="47" t="n">
        <f aca="false">'Fault &amp; Downtime Entry'!O373</f>
        <v>0</v>
      </c>
      <c r="P372" s="47" t="str">
        <f aca="false">IF(OR(J372="",K372=""),"",IFERROR(J372/K372*1000,0))</f>
        <v/>
      </c>
      <c r="Q372" s="47" t="str">
        <f aca="false">IF(OR(L372="",K372=""),"",IFERROR(L372/K372*1000,0))</f>
        <v/>
      </c>
      <c r="R372" s="47" t="str">
        <f aca="false">IF(OR(M372="High",M372="Critical"),"YES","")</f>
        <v/>
      </c>
    </row>
    <row r="373" customFormat="false" ht="15" hidden="false" customHeight="true" outlineLevel="0" collapsed="false">
      <c r="A373" s="47" t="n">
        <f aca="false">'Fault &amp; Downtime Entry'!A374</f>
        <v>369</v>
      </c>
      <c r="B373" s="48" t="n">
        <f aca="false">'Fault &amp; Downtime Entry'!B374</f>
        <v>0</v>
      </c>
      <c r="C373" s="47" t="n">
        <f aca="false">'Fault &amp; Downtime Entry'!C374</f>
        <v>0</v>
      </c>
      <c r="D373" s="47" t="n">
        <f aca="false">'Fault &amp; Downtime Entry'!D374</f>
        <v>0</v>
      </c>
      <c r="E373" s="47" t="n">
        <f aca="false">'Fault &amp; Downtime Entry'!E374</f>
        <v>0</v>
      </c>
      <c r="F373" s="47" t="str">
        <f aca="false">'Fault &amp; Downtime Entry'!F374</f>
        <v/>
      </c>
      <c r="G373" s="47" t="n">
        <f aca="false">'Fault &amp; Downtime Entry'!G374</f>
        <v>0</v>
      </c>
      <c r="H373" s="47" t="str">
        <f aca="false">'Fault &amp; Downtime Entry'!H374</f>
        <v/>
      </c>
      <c r="I373" s="47" t="str">
        <f aca="false">'Fault &amp; Downtime Entry'!I374</f>
        <v/>
      </c>
      <c r="J373" s="47" t="n">
        <f aca="false">'Fault &amp; Downtime Entry'!J374</f>
        <v>0</v>
      </c>
      <c r="K373" s="47" t="n">
        <f aca="false">'Fault &amp; Downtime Entry'!K374</f>
        <v>0</v>
      </c>
      <c r="L373" s="47" t="n">
        <f aca="false">'Fault &amp; Downtime Entry'!L374</f>
        <v>0</v>
      </c>
      <c r="M373" s="47" t="str">
        <f aca="false">'Fault &amp; Downtime Entry'!M374</f>
        <v/>
      </c>
      <c r="N373" s="47" t="n">
        <f aca="false">'Fault &amp; Downtime Entry'!N374</f>
        <v>0</v>
      </c>
      <c r="O373" s="47" t="n">
        <f aca="false">'Fault &amp; Downtime Entry'!O374</f>
        <v>0</v>
      </c>
      <c r="P373" s="47" t="str">
        <f aca="false">IF(OR(J373="",K373=""),"",IFERROR(J373/K373*1000,0))</f>
        <v/>
      </c>
      <c r="Q373" s="47" t="str">
        <f aca="false">IF(OR(L373="",K373=""),"",IFERROR(L373/K373*1000,0))</f>
        <v/>
      </c>
      <c r="R373" s="47" t="str">
        <f aca="false">IF(OR(M373="High",M373="Critical"),"YES","")</f>
        <v/>
      </c>
    </row>
    <row r="374" customFormat="false" ht="15" hidden="false" customHeight="true" outlineLevel="0" collapsed="false">
      <c r="A374" s="47" t="n">
        <f aca="false">'Fault &amp; Downtime Entry'!A375</f>
        <v>370</v>
      </c>
      <c r="B374" s="48" t="n">
        <f aca="false">'Fault &amp; Downtime Entry'!B375</f>
        <v>0</v>
      </c>
      <c r="C374" s="47" t="n">
        <f aca="false">'Fault &amp; Downtime Entry'!C375</f>
        <v>0</v>
      </c>
      <c r="D374" s="47" t="n">
        <f aca="false">'Fault &amp; Downtime Entry'!D375</f>
        <v>0</v>
      </c>
      <c r="E374" s="47" t="n">
        <f aca="false">'Fault &amp; Downtime Entry'!E375</f>
        <v>0</v>
      </c>
      <c r="F374" s="47" t="str">
        <f aca="false">'Fault &amp; Downtime Entry'!F375</f>
        <v/>
      </c>
      <c r="G374" s="47" t="n">
        <f aca="false">'Fault &amp; Downtime Entry'!G375</f>
        <v>0</v>
      </c>
      <c r="H374" s="47" t="str">
        <f aca="false">'Fault &amp; Downtime Entry'!H375</f>
        <v/>
      </c>
      <c r="I374" s="47" t="str">
        <f aca="false">'Fault &amp; Downtime Entry'!I375</f>
        <v/>
      </c>
      <c r="J374" s="47" t="n">
        <f aca="false">'Fault &amp; Downtime Entry'!J375</f>
        <v>0</v>
      </c>
      <c r="K374" s="47" t="n">
        <f aca="false">'Fault &amp; Downtime Entry'!K375</f>
        <v>0</v>
      </c>
      <c r="L374" s="47" t="n">
        <f aca="false">'Fault &amp; Downtime Entry'!L375</f>
        <v>0</v>
      </c>
      <c r="M374" s="47" t="str">
        <f aca="false">'Fault &amp; Downtime Entry'!M375</f>
        <v/>
      </c>
      <c r="N374" s="47" t="n">
        <f aca="false">'Fault &amp; Downtime Entry'!N375</f>
        <v>0</v>
      </c>
      <c r="O374" s="47" t="n">
        <f aca="false">'Fault &amp; Downtime Entry'!O375</f>
        <v>0</v>
      </c>
      <c r="P374" s="47" t="str">
        <f aca="false">IF(OR(J374="",K374=""),"",IFERROR(J374/K374*1000,0))</f>
        <v/>
      </c>
      <c r="Q374" s="47" t="str">
        <f aca="false">IF(OR(L374="",K374=""),"",IFERROR(L374/K374*1000,0))</f>
        <v/>
      </c>
      <c r="R374" s="47" t="str">
        <f aca="false">IF(OR(M374="High",M374="Critical"),"YES","")</f>
        <v/>
      </c>
    </row>
    <row r="375" customFormat="false" ht="15" hidden="false" customHeight="true" outlineLevel="0" collapsed="false">
      <c r="A375" s="47" t="n">
        <f aca="false">'Fault &amp; Downtime Entry'!A376</f>
        <v>371</v>
      </c>
      <c r="B375" s="48" t="n">
        <f aca="false">'Fault &amp; Downtime Entry'!B376</f>
        <v>0</v>
      </c>
      <c r="C375" s="47" t="n">
        <f aca="false">'Fault &amp; Downtime Entry'!C376</f>
        <v>0</v>
      </c>
      <c r="D375" s="47" t="n">
        <f aca="false">'Fault &amp; Downtime Entry'!D376</f>
        <v>0</v>
      </c>
      <c r="E375" s="47" t="n">
        <f aca="false">'Fault &amp; Downtime Entry'!E376</f>
        <v>0</v>
      </c>
      <c r="F375" s="47" t="str">
        <f aca="false">'Fault &amp; Downtime Entry'!F376</f>
        <v/>
      </c>
      <c r="G375" s="47" t="n">
        <f aca="false">'Fault &amp; Downtime Entry'!G376</f>
        <v>0</v>
      </c>
      <c r="H375" s="47" t="str">
        <f aca="false">'Fault &amp; Downtime Entry'!H376</f>
        <v/>
      </c>
      <c r="I375" s="47" t="str">
        <f aca="false">'Fault &amp; Downtime Entry'!I376</f>
        <v/>
      </c>
      <c r="J375" s="47" t="n">
        <f aca="false">'Fault &amp; Downtime Entry'!J376</f>
        <v>0</v>
      </c>
      <c r="K375" s="47" t="n">
        <f aca="false">'Fault &amp; Downtime Entry'!K376</f>
        <v>0</v>
      </c>
      <c r="L375" s="47" t="n">
        <f aca="false">'Fault &amp; Downtime Entry'!L376</f>
        <v>0</v>
      </c>
      <c r="M375" s="47" t="str">
        <f aca="false">'Fault &amp; Downtime Entry'!M376</f>
        <v/>
      </c>
      <c r="N375" s="47" t="n">
        <f aca="false">'Fault &amp; Downtime Entry'!N376</f>
        <v>0</v>
      </c>
      <c r="O375" s="47" t="n">
        <f aca="false">'Fault &amp; Downtime Entry'!O376</f>
        <v>0</v>
      </c>
      <c r="P375" s="47" t="str">
        <f aca="false">IF(OR(J375="",K375=""),"",IFERROR(J375/K375*1000,0))</f>
        <v/>
      </c>
      <c r="Q375" s="47" t="str">
        <f aca="false">IF(OR(L375="",K375=""),"",IFERROR(L375/K375*1000,0))</f>
        <v/>
      </c>
      <c r="R375" s="47" t="str">
        <f aca="false">IF(OR(M375="High",M375="Critical"),"YES","")</f>
        <v/>
      </c>
    </row>
    <row r="376" customFormat="false" ht="15" hidden="false" customHeight="true" outlineLevel="0" collapsed="false">
      <c r="A376" s="47" t="n">
        <f aca="false">'Fault &amp; Downtime Entry'!A377</f>
        <v>372</v>
      </c>
      <c r="B376" s="48" t="n">
        <f aca="false">'Fault &amp; Downtime Entry'!B377</f>
        <v>0</v>
      </c>
      <c r="C376" s="47" t="n">
        <f aca="false">'Fault &amp; Downtime Entry'!C377</f>
        <v>0</v>
      </c>
      <c r="D376" s="47" t="n">
        <f aca="false">'Fault &amp; Downtime Entry'!D377</f>
        <v>0</v>
      </c>
      <c r="E376" s="47" t="n">
        <f aca="false">'Fault &amp; Downtime Entry'!E377</f>
        <v>0</v>
      </c>
      <c r="F376" s="47" t="str">
        <f aca="false">'Fault &amp; Downtime Entry'!F377</f>
        <v/>
      </c>
      <c r="G376" s="47" t="n">
        <f aca="false">'Fault &amp; Downtime Entry'!G377</f>
        <v>0</v>
      </c>
      <c r="H376" s="47" t="str">
        <f aca="false">'Fault &amp; Downtime Entry'!H377</f>
        <v/>
      </c>
      <c r="I376" s="47" t="str">
        <f aca="false">'Fault &amp; Downtime Entry'!I377</f>
        <v/>
      </c>
      <c r="J376" s="47" t="n">
        <f aca="false">'Fault &amp; Downtime Entry'!J377</f>
        <v>0</v>
      </c>
      <c r="K376" s="47" t="n">
        <f aca="false">'Fault &amp; Downtime Entry'!K377</f>
        <v>0</v>
      </c>
      <c r="L376" s="47" t="n">
        <f aca="false">'Fault &amp; Downtime Entry'!L377</f>
        <v>0</v>
      </c>
      <c r="M376" s="47" t="str">
        <f aca="false">'Fault &amp; Downtime Entry'!M377</f>
        <v/>
      </c>
      <c r="N376" s="47" t="n">
        <f aca="false">'Fault &amp; Downtime Entry'!N377</f>
        <v>0</v>
      </c>
      <c r="O376" s="47" t="n">
        <f aca="false">'Fault &amp; Downtime Entry'!O377</f>
        <v>0</v>
      </c>
      <c r="P376" s="47" t="str">
        <f aca="false">IF(OR(J376="",K376=""),"",IFERROR(J376/K376*1000,0))</f>
        <v/>
      </c>
      <c r="Q376" s="47" t="str">
        <f aca="false">IF(OR(L376="",K376=""),"",IFERROR(L376/K376*1000,0))</f>
        <v/>
      </c>
      <c r="R376" s="47" t="str">
        <f aca="false">IF(OR(M376="High",M376="Critical"),"YES","")</f>
        <v/>
      </c>
    </row>
    <row r="377" customFormat="false" ht="15" hidden="false" customHeight="true" outlineLevel="0" collapsed="false">
      <c r="A377" s="47" t="n">
        <f aca="false">'Fault &amp; Downtime Entry'!A378</f>
        <v>373</v>
      </c>
      <c r="B377" s="48" t="n">
        <f aca="false">'Fault &amp; Downtime Entry'!B378</f>
        <v>0</v>
      </c>
      <c r="C377" s="47" t="n">
        <f aca="false">'Fault &amp; Downtime Entry'!C378</f>
        <v>0</v>
      </c>
      <c r="D377" s="47" t="n">
        <f aca="false">'Fault &amp; Downtime Entry'!D378</f>
        <v>0</v>
      </c>
      <c r="E377" s="47" t="n">
        <f aca="false">'Fault &amp; Downtime Entry'!E378</f>
        <v>0</v>
      </c>
      <c r="F377" s="47" t="str">
        <f aca="false">'Fault &amp; Downtime Entry'!F378</f>
        <v/>
      </c>
      <c r="G377" s="47" t="n">
        <f aca="false">'Fault &amp; Downtime Entry'!G378</f>
        <v>0</v>
      </c>
      <c r="H377" s="47" t="str">
        <f aca="false">'Fault &amp; Downtime Entry'!H378</f>
        <v/>
      </c>
      <c r="I377" s="47" t="str">
        <f aca="false">'Fault &amp; Downtime Entry'!I378</f>
        <v/>
      </c>
      <c r="J377" s="47" t="n">
        <f aca="false">'Fault &amp; Downtime Entry'!J378</f>
        <v>0</v>
      </c>
      <c r="K377" s="47" t="n">
        <f aca="false">'Fault &amp; Downtime Entry'!K378</f>
        <v>0</v>
      </c>
      <c r="L377" s="47" t="n">
        <f aca="false">'Fault &amp; Downtime Entry'!L378</f>
        <v>0</v>
      </c>
      <c r="M377" s="47" t="str">
        <f aca="false">'Fault &amp; Downtime Entry'!M378</f>
        <v/>
      </c>
      <c r="N377" s="47" t="n">
        <f aca="false">'Fault &amp; Downtime Entry'!N378</f>
        <v>0</v>
      </c>
      <c r="O377" s="47" t="n">
        <f aca="false">'Fault &amp; Downtime Entry'!O378</f>
        <v>0</v>
      </c>
      <c r="P377" s="47" t="str">
        <f aca="false">IF(OR(J377="",K377=""),"",IFERROR(J377/K377*1000,0))</f>
        <v/>
      </c>
      <c r="Q377" s="47" t="str">
        <f aca="false">IF(OR(L377="",K377=""),"",IFERROR(L377/K377*1000,0))</f>
        <v/>
      </c>
      <c r="R377" s="47" t="str">
        <f aca="false">IF(OR(M377="High",M377="Critical"),"YES","")</f>
        <v/>
      </c>
    </row>
    <row r="378" customFormat="false" ht="15" hidden="false" customHeight="true" outlineLevel="0" collapsed="false">
      <c r="A378" s="47" t="n">
        <f aca="false">'Fault &amp; Downtime Entry'!A379</f>
        <v>374</v>
      </c>
      <c r="B378" s="48" t="n">
        <f aca="false">'Fault &amp; Downtime Entry'!B379</f>
        <v>0</v>
      </c>
      <c r="C378" s="47" t="n">
        <f aca="false">'Fault &amp; Downtime Entry'!C379</f>
        <v>0</v>
      </c>
      <c r="D378" s="47" t="n">
        <f aca="false">'Fault &amp; Downtime Entry'!D379</f>
        <v>0</v>
      </c>
      <c r="E378" s="47" t="n">
        <f aca="false">'Fault &amp; Downtime Entry'!E379</f>
        <v>0</v>
      </c>
      <c r="F378" s="47" t="str">
        <f aca="false">'Fault &amp; Downtime Entry'!F379</f>
        <v/>
      </c>
      <c r="G378" s="47" t="n">
        <f aca="false">'Fault &amp; Downtime Entry'!G379</f>
        <v>0</v>
      </c>
      <c r="H378" s="47" t="str">
        <f aca="false">'Fault &amp; Downtime Entry'!H379</f>
        <v/>
      </c>
      <c r="I378" s="47" t="str">
        <f aca="false">'Fault &amp; Downtime Entry'!I379</f>
        <v/>
      </c>
      <c r="J378" s="47" t="n">
        <f aca="false">'Fault &amp; Downtime Entry'!J379</f>
        <v>0</v>
      </c>
      <c r="K378" s="47" t="n">
        <f aca="false">'Fault &amp; Downtime Entry'!K379</f>
        <v>0</v>
      </c>
      <c r="L378" s="47" t="n">
        <f aca="false">'Fault &amp; Downtime Entry'!L379</f>
        <v>0</v>
      </c>
      <c r="M378" s="47" t="str">
        <f aca="false">'Fault &amp; Downtime Entry'!M379</f>
        <v/>
      </c>
      <c r="N378" s="47" t="n">
        <f aca="false">'Fault &amp; Downtime Entry'!N379</f>
        <v>0</v>
      </c>
      <c r="O378" s="47" t="n">
        <f aca="false">'Fault &amp; Downtime Entry'!O379</f>
        <v>0</v>
      </c>
      <c r="P378" s="47" t="str">
        <f aca="false">IF(OR(J378="",K378=""),"",IFERROR(J378/K378*1000,0))</f>
        <v/>
      </c>
      <c r="Q378" s="47" t="str">
        <f aca="false">IF(OR(L378="",K378=""),"",IFERROR(L378/K378*1000,0))</f>
        <v/>
      </c>
      <c r="R378" s="47" t="str">
        <f aca="false">IF(OR(M378="High",M378="Critical"),"YES","")</f>
        <v/>
      </c>
    </row>
    <row r="379" customFormat="false" ht="15" hidden="false" customHeight="true" outlineLevel="0" collapsed="false">
      <c r="A379" s="47" t="n">
        <f aca="false">'Fault &amp; Downtime Entry'!A380</f>
        <v>375</v>
      </c>
      <c r="B379" s="48" t="n">
        <f aca="false">'Fault &amp; Downtime Entry'!B380</f>
        <v>0</v>
      </c>
      <c r="C379" s="47" t="n">
        <f aca="false">'Fault &amp; Downtime Entry'!C380</f>
        <v>0</v>
      </c>
      <c r="D379" s="47" t="n">
        <f aca="false">'Fault &amp; Downtime Entry'!D380</f>
        <v>0</v>
      </c>
      <c r="E379" s="47" t="n">
        <f aca="false">'Fault &amp; Downtime Entry'!E380</f>
        <v>0</v>
      </c>
      <c r="F379" s="47" t="str">
        <f aca="false">'Fault &amp; Downtime Entry'!F380</f>
        <v/>
      </c>
      <c r="G379" s="47" t="n">
        <f aca="false">'Fault &amp; Downtime Entry'!G380</f>
        <v>0</v>
      </c>
      <c r="H379" s="47" t="str">
        <f aca="false">'Fault &amp; Downtime Entry'!H380</f>
        <v/>
      </c>
      <c r="I379" s="47" t="str">
        <f aca="false">'Fault &amp; Downtime Entry'!I380</f>
        <v/>
      </c>
      <c r="J379" s="47" t="n">
        <f aca="false">'Fault &amp; Downtime Entry'!J380</f>
        <v>0</v>
      </c>
      <c r="K379" s="47" t="n">
        <f aca="false">'Fault &amp; Downtime Entry'!K380</f>
        <v>0</v>
      </c>
      <c r="L379" s="47" t="n">
        <f aca="false">'Fault &amp; Downtime Entry'!L380</f>
        <v>0</v>
      </c>
      <c r="M379" s="47" t="str">
        <f aca="false">'Fault &amp; Downtime Entry'!M380</f>
        <v/>
      </c>
      <c r="N379" s="47" t="n">
        <f aca="false">'Fault &amp; Downtime Entry'!N380</f>
        <v>0</v>
      </c>
      <c r="O379" s="47" t="n">
        <f aca="false">'Fault &amp; Downtime Entry'!O380</f>
        <v>0</v>
      </c>
      <c r="P379" s="47" t="str">
        <f aca="false">IF(OR(J379="",K379=""),"",IFERROR(J379/K379*1000,0))</f>
        <v/>
      </c>
      <c r="Q379" s="47" t="str">
        <f aca="false">IF(OR(L379="",K379=""),"",IFERROR(L379/K379*1000,0))</f>
        <v/>
      </c>
      <c r="R379" s="47" t="str">
        <f aca="false">IF(OR(M379="High",M379="Critical"),"YES","")</f>
        <v/>
      </c>
    </row>
    <row r="380" customFormat="false" ht="15" hidden="false" customHeight="true" outlineLevel="0" collapsed="false">
      <c r="A380" s="47" t="n">
        <f aca="false">'Fault &amp; Downtime Entry'!A381</f>
        <v>376</v>
      </c>
      <c r="B380" s="48" t="n">
        <f aca="false">'Fault &amp; Downtime Entry'!B381</f>
        <v>0</v>
      </c>
      <c r="C380" s="47" t="n">
        <f aca="false">'Fault &amp; Downtime Entry'!C381</f>
        <v>0</v>
      </c>
      <c r="D380" s="47" t="n">
        <f aca="false">'Fault &amp; Downtime Entry'!D381</f>
        <v>0</v>
      </c>
      <c r="E380" s="47" t="n">
        <f aca="false">'Fault &amp; Downtime Entry'!E381</f>
        <v>0</v>
      </c>
      <c r="F380" s="47" t="str">
        <f aca="false">'Fault &amp; Downtime Entry'!F381</f>
        <v/>
      </c>
      <c r="G380" s="47" t="n">
        <f aca="false">'Fault &amp; Downtime Entry'!G381</f>
        <v>0</v>
      </c>
      <c r="H380" s="47" t="str">
        <f aca="false">'Fault &amp; Downtime Entry'!H381</f>
        <v/>
      </c>
      <c r="I380" s="47" t="str">
        <f aca="false">'Fault &amp; Downtime Entry'!I381</f>
        <v/>
      </c>
      <c r="J380" s="47" t="n">
        <f aca="false">'Fault &amp; Downtime Entry'!J381</f>
        <v>0</v>
      </c>
      <c r="K380" s="47" t="n">
        <f aca="false">'Fault &amp; Downtime Entry'!K381</f>
        <v>0</v>
      </c>
      <c r="L380" s="47" t="n">
        <f aca="false">'Fault &amp; Downtime Entry'!L381</f>
        <v>0</v>
      </c>
      <c r="M380" s="47" t="str">
        <f aca="false">'Fault &amp; Downtime Entry'!M381</f>
        <v/>
      </c>
      <c r="N380" s="47" t="n">
        <f aca="false">'Fault &amp; Downtime Entry'!N381</f>
        <v>0</v>
      </c>
      <c r="O380" s="47" t="n">
        <f aca="false">'Fault &amp; Downtime Entry'!O381</f>
        <v>0</v>
      </c>
      <c r="P380" s="47" t="str">
        <f aca="false">IF(OR(J380="",K380=""),"",IFERROR(J380/K380*1000,0))</f>
        <v/>
      </c>
      <c r="Q380" s="47" t="str">
        <f aca="false">IF(OR(L380="",K380=""),"",IFERROR(L380/K380*1000,0))</f>
        <v/>
      </c>
      <c r="R380" s="47" t="str">
        <f aca="false">IF(OR(M380="High",M380="Critical"),"YES","")</f>
        <v/>
      </c>
    </row>
    <row r="381" customFormat="false" ht="15" hidden="false" customHeight="true" outlineLevel="0" collapsed="false">
      <c r="A381" s="47" t="n">
        <f aca="false">'Fault &amp; Downtime Entry'!A382</f>
        <v>377</v>
      </c>
      <c r="B381" s="48" t="n">
        <f aca="false">'Fault &amp; Downtime Entry'!B382</f>
        <v>0</v>
      </c>
      <c r="C381" s="47" t="n">
        <f aca="false">'Fault &amp; Downtime Entry'!C382</f>
        <v>0</v>
      </c>
      <c r="D381" s="47" t="n">
        <f aca="false">'Fault &amp; Downtime Entry'!D382</f>
        <v>0</v>
      </c>
      <c r="E381" s="47" t="n">
        <f aca="false">'Fault &amp; Downtime Entry'!E382</f>
        <v>0</v>
      </c>
      <c r="F381" s="47" t="str">
        <f aca="false">'Fault &amp; Downtime Entry'!F382</f>
        <v/>
      </c>
      <c r="G381" s="47" t="n">
        <f aca="false">'Fault &amp; Downtime Entry'!G382</f>
        <v>0</v>
      </c>
      <c r="H381" s="47" t="str">
        <f aca="false">'Fault &amp; Downtime Entry'!H382</f>
        <v/>
      </c>
      <c r="I381" s="47" t="str">
        <f aca="false">'Fault &amp; Downtime Entry'!I382</f>
        <v/>
      </c>
      <c r="J381" s="47" t="n">
        <f aca="false">'Fault &amp; Downtime Entry'!J382</f>
        <v>0</v>
      </c>
      <c r="K381" s="47" t="n">
        <f aca="false">'Fault &amp; Downtime Entry'!K382</f>
        <v>0</v>
      </c>
      <c r="L381" s="47" t="n">
        <f aca="false">'Fault &amp; Downtime Entry'!L382</f>
        <v>0</v>
      </c>
      <c r="M381" s="47" t="str">
        <f aca="false">'Fault &amp; Downtime Entry'!M382</f>
        <v/>
      </c>
      <c r="N381" s="47" t="n">
        <f aca="false">'Fault &amp; Downtime Entry'!N382</f>
        <v>0</v>
      </c>
      <c r="O381" s="47" t="n">
        <f aca="false">'Fault &amp; Downtime Entry'!O382</f>
        <v>0</v>
      </c>
      <c r="P381" s="47" t="str">
        <f aca="false">IF(OR(J381="",K381=""),"",IFERROR(J381/K381*1000,0))</f>
        <v/>
      </c>
      <c r="Q381" s="47" t="str">
        <f aca="false">IF(OR(L381="",K381=""),"",IFERROR(L381/K381*1000,0))</f>
        <v/>
      </c>
      <c r="R381" s="47" t="str">
        <f aca="false">IF(OR(M381="High",M381="Critical"),"YES","")</f>
        <v/>
      </c>
    </row>
    <row r="382" customFormat="false" ht="15" hidden="false" customHeight="true" outlineLevel="0" collapsed="false">
      <c r="A382" s="47" t="n">
        <f aca="false">'Fault &amp; Downtime Entry'!A383</f>
        <v>378</v>
      </c>
      <c r="B382" s="48" t="n">
        <f aca="false">'Fault &amp; Downtime Entry'!B383</f>
        <v>0</v>
      </c>
      <c r="C382" s="47" t="n">
        <f aca="false">'Fault &amp; Downtime Entry'!C383</f>
        <v>0</v>
      </c>
      <c r="D382" s="47" t="n">
        <f aca="false">'Fault &amp; Downtime Entry'!D383</f>
        <v>0</v>
      </c>
      <c r="E382" s="47" t="n">
        <f aca="false">'Fault &amp; Downtime Entry'!E383</f>
        <v>0</v>
      </c>
      <c r="F382" s="47" t="str">
        <f aca="false">'Fault &amp; Downtime Entry'!F383</f>
        <v/>
      </c>
      <c r="G382" s="47" t="n">
        <f aca="false">'Fault &amp; Downtime Entry'!G383</f>
        <v>0</v>
      </c>
      <c r="H382" s="47" t="str">
        <f aca="false">'Fault &amp; Downtime Entry'!H383</f>
        <v/>
      </c>
      <c r="I382" s="47" t="str">
        <f aca="false">'Fault &amp; Downtime Entry'!I383</f>
        <v/>
      </c>
      <c r="J382" s="47" t="n">
        <f aca="false">'Fault &amp; Downtime Entry'!J383</f>
        <v>0</v>
      </c>
      <c r="K382" s="47" t="n">
        <f aca="false">'Fault &amp; Downtime Entry'!K383</f>
        <v>0</v>
      </c>
      <c r="L382" s="47" t="n">
        <f aca="false">'Fault &amp; Downtime Entry'!L383</f>
        <v>0</v>
      </c>
      <c r="M382" s="47" t="str">
        <f aca="false">'Fault &amp; Downtime Entry'!M383</f>
        <v/>
      </c>
      <c r="N382" s="47" t="n">
        <f aca="false">'Fault &amp; Downtime Entry'!N383</f>
        <v>0</v>
      </c>
      <c r="O382" s="47" t="n">
        <f aca="false">'Fault &amp; Downtime Entry'!O383</f>
        <v>0</v>
      </c>
      <c r="P382" s="47" t="str">
        <f aca="false">IF(OR(J382="",K382=""),"",IFERROR(J382/K382*1000,0))</f>
        <v/>
      </c>
      <c r="Q382" s="47" t="str">
        <f aca="false">IF(OR(L382="",K382=""),"",IFERROR(L382/K382*1000,0))</f>
        <v/>
      </c>
      <c r="R382" s="47" t="str">
        <f aca="false">IF(OR(M382="High",M382="Critical"),"YES","")</f>
        <v/>
      </c>
    </row>
    <row r="383" customFormat="false" ht="15" hidden="false" customHeight="true" outlineLevel="0" collapsed="false">
      <c r="A383" s="47" t="n">
        <f aca="false">'Fault &amp; Downtime Entry'!A384</f>
        <v>379</v>
      </c>
      <c r="B383" s="48" t="n">
        <f aca="false">'Fault &amp; Downtime Entry'!B384</f>
        <v>0</v>
      </c>
      <c r="C383" s="47" t="n">
        <f aca="false">'Fault &amp; Downtime Entry'!C384</f>
        <v>0</v>
      </c>
      <c r="D383" s="47" t="n">
        <f aca="false">'Fault &amp; Downtime Entry'!D384</f>
        <v>0</v>
      </c>
      <c r="E383" s="47" t="n">
        <f aca="false">'Fault &amp; Downtime Entry'!E384</f>
        <v>0</v>
      </c>
      <c r="F383" s="47" t="str">
        <f aca="false">'Fault &amp; Downtime Entry'!F384</f>
        <v/>
      </c>
      <c r="G383" s="47" t="n">
        <f aca="false">'Fault &amp; Downtime Entry'!G384</f>
        <v>0</v>
      </c>
      <c r="H383" s="47" t="str">
        <f aca="false">'Fault &amp; Downtime Entry'!H384</f>
        <v/>
      </c>
      <c r="I383" s="47" t="str">
        <f aca="false">'Fault &amp; Downtime Entry'!I384</f>
        <v/>
      </c>
      <c r="J383" s="47" t="n">
        <f aca="false">'Fault &amp; Downtime Entry'!J384</f>
        <v>0</v>
      </c>
      <c r="K383" s="47" t="n">
        <f aca="false">'Fault &amp; Downtime Entry'!K384</f>
        <v>0</v>
      </c>
      <c r="L383" s="47" t="n">
        <f aca="false">'Fault &amp; Downtime Entry'!L384</f>
        <v>0</v>
      </c>
      <c r="M383" s="47" t="str">
        <f aca="false">'Fault &amp; Downtime Entry'!M384</f>
        <v/>
      </c>
      <c r="N383" s="47" t="n">
        <f aca="false">'Fault &amp; Downtime Entry'!N384</f>
        <v>0</v>
      </c>
      <c r="O383" s="47" t="n">
        <f aca="false">'Fault &amp; Downtime Entry'!O384</f>
        <v>0</v>
      </c>
      <c r="P383" s="47" t="str">
        <f aca="false">IF(OR(J383="",K383=""),"",IFERROR(J383/K383*1000,0))</f>
        <v/>
      </c>
      <c r="Q383" s="47" t="str">
        <f aca="false">IF(OR(L383="",K383=""),"",IFERROR(L383/K383*1000,0))</f>
        <v/>
      </c>
      <c r="R383" s="47" t="str">
        <f aca="false">IF(OR(M383="High",M383="Critical"),"YES","")</f>
        <v/>
      </c>
    </row>
    <row r="384" customFormat="false" ht="15" hidden="false" customHeight="true" outlineLevel="0" collapsed="false">
      <c r="A384" s="47" t="n">
        <f aca="false">'Fault &amp; Downtime Entry'!A385</f>
        <v>380</v>
      </c>
      <c r="B384" s="48" t="n">
        <f aca="false">'Fault &amp; Downtime Entry'!B385</f>
        <v>0</v>
      </c>
      <c r="C384" s="47" t="n">
        <f aca="false">'Fault &amp; Downtime Entry'!C385</f>
        <v>0</v>
      </c>
      <c r="D384" s="47" t="n">
        <f aca="false">'Fault &amp; Downtime Entry'!D385</f>
        <v>0</v>
      </c>
      <c r="E384" s="47" t="n">
        <f aca="false">'Fault &amp; Downtime Entry'!E385</f>
        <v>0</v>
      </c>
      <c r="F384" s="47" t="str">
        <f aca="false">'Fault &amp; Downtime Entry'!F385</f>
        <v/>
      </c>
      <c r="G384" s="47" t="n">
        <f aca="false">'Fault &amp; Downtime Entry'!G385</f>
        <v>0</v>
      </c>
      <c r="H384" s="47" t="str">
        <f aca="false">'Fault &amp; Downtime Entry'!H385</f>
        <v/>
      </c>
      <c r="I384" s="47" t="str">
        <f aca="false">'Fault &amp; Downtime Entry'!I385</f>
        <v/>
      </c>
      <c r="J384" s="47" t="n">
        <f aca="false">'Fault &amp; Downtime Entry'!J385</f>
        <v>0</v>
      </c>
      <c r="K384" s="47" t="n">
        <f aca="false">'Fault &amp; Downtime Entry'!K385</f>
        <v>0</v>
      </c>
      <c r="L384" s="47" t="n">
        <f aca="false">'Fault &amp; Downtime Entry'!L385</f>
        <v>0</v>
      </c>
      <c r="M384" s="47" t="str">
        <f aca="false">'Fault &amp; Downtime Entry'!M385</f>
        <v/>
      </c>
      <c r="N384" s="47" t="n">
        <f aca="false">'Fault &amp; Downtime Entry'!N385</f>
        <v>0</v>
      </c>
      <c r="O384" s="47" t="n">
        <f aca="false">'Fault &amp; Downtime Entry'!O385</f>
        <v>0</v>
      </c>
      <c r="P384" s="47" t="str">
        <f aca="false">IF(OR(J384="",K384=""),"",IFERROR(J384/K384*1000,0))</f>
        <v/>
      </c>
      <c r="Q384" s="47" t="str">
        <f aca="false">IF(OR(L384="",K384=""),"",IFERROR(L384/K384*1000,0))</f>
        <v/>
      </c>
      <c r="R384" s="47" t="str">
        <f aca="false">IF(OR(M384="High",M384="Critical"),"YES","")</f>
        <v/>
      </c>
    </row>
    <row r="385" customFormat="false" ht="15" hidden="false" customHeight="true" outlineLevel="0" collapsed="false">
      <c r="A385" s="47" t="n">
        <f aca="false">'Fault &amp; Downtime Entry'!A386</f>
        <v>381</v>
      </c>
      <c r="B385" s="48" t="n">
        <f aca="false">'Fault &amp; Downtime Entry'!B386</f>
        <v>0</v>
      </c>
      <c r="C385" s="47" t="n">
        <f aca="false">'Fault &amp; Downtime Entry'!C386</f>
        <v>0</v>
      </c>
      <c r="D385" s="47" t="n">
        <f aca="false">'Fault &amp; Downtime Entry'!D386</f>
        <v>0</v>
      </c>
      <c r="E385" s="47" t="n">
        <f aca="false">'Fault &amp; Downtime Entry'!E386</f>
        <v>0</v>
      </c>
      <c r="F385" s="47" t="str">
        <f aca="false">'Fault &amp; Downtime Entry'!F386</f>
        <v/>
      </c>
      <c r="G385" s="47" t="n">
        <f aca="false">'Fault &amp; Downtime Entry'!G386</f>
        <v>0</v>
      </c>
      <c r="H385" s="47" t="str">
        <f aca="false">'Fault &amp; Downtime Entry'!H386</f>
        <v/>
      </c>
      <c r="I385" s="47" t="str">
        <f aca="false">'Fault &amp; Downtime Entry'!I386</f>
        <v/>
      </c>
      <c r="J385" s="47" t="n">
        <f aca="false">'Fault &amp; Downtime Entry'!J386</f>
        <v>0</v>
      </c>
      <c r="K385" s="47" t="n">
        <f aca="false">'Fault &amp; Downtime Entry'!K386</f>
        <v>0</v>
      </c>
      <c r="L385" s="47" t="n">
        <f aca="false">'Fault &amp; Downtime Entry'!L386</f>
        <v>0</v>
      </c>
      <c r="M385" s="47" t="str">
        <f aca="false">'Fault &amp; Downtime Entry'!M386</f>
        <v/>
      </c>
      <c r="N385" s="47" t="n">
        <f aca="false">'Fault &amp; Downtime Entry'!N386</f>
        <v>0</v>
      </c>
      <c r="O385" s="47" t="n">
        <f aca="false">'Fault &amp; Downtime Entry'!O386</f>
        <v>0</v>
      </c>
      <c r="P385" s="47" t="str">
        <f aca="false">IF(OR(J385="",K385=""),"",IFERROR(J385/K385*1000,0))</f>
        <v/>
      </c>
      <c r="Q385" s="47" t="str">
        <f aca="false">IF(OR(L385="",K385=""),"",IFERROR(L385/K385*1000,0))</f>
        <v/>
      </c>
      <c r="R385" s="47" t="str">
        <f aca="false">IF(OR(M385="High",M385="Critical"),"YES","")</f>
        <v/>
      </c>
    </row>
    <row r="386" customFormat="false" ht="15" hidden="false" customHeight="true" outlineLevel="0" collapsed="false">
      <c r="A386" s="47" t="n">
        <f aca="false">'Fault &amp; Downtime Entry'!A387</f>
        <v>382</v>
      </c>
      <c r="B386" s="48" t="n">
        <f aca="false">'Fault &amp; Downtime Entry'!B387</f>
        <v>0</v>
      </c>
      <c r="C386" s="47" t="n">
        <f aca="false">'Fault &amp; Downtime Entry'!C387</f>
        <v>0</v>
      </c>
      <c r="D386" s="47" t="n">
        <f aca="false">'Fault &amp; Downtime Entry'!D387</f>
        <v>0</v>
      </c>
      <c r="E386" s="47" t="n">
        <f aca="false">'Fault &amp; Downtime Entry'!E387</f>
        <v>0</v>
      </c>
      <c r="F386" s="47" t="str">
        <f aca="false">'Fault &amp; Downtime Entry'!F387</f>
        <v/>
      </c>
      <c r="G386" s="47" t="n">
        <f aca="false">'Fault &amp; Downtime Entry'!G387</f>
        <v>0</v>
      </c>
      <c r="H386" s="47" t="str">
        <f aca="false">'Fault &amp; Downtime Entry'!H387</f>
        <v/>
      </c>
      <c r="I386" s="47" t="str">
        <f aca="false">'Fault &amp; Downtime Entry'!I387</f>
        <v/>
      </c>
      <c r="J386" s="47" t="n">
        <f aca="false">'Fault &amp; Downtime Entry'!J387</f>
        <v>0</v>
      </c>
      <c r="K386" s="47" t="n">
        <f aca="false">'Fault &amp; Downtime Entry'!K387</f>
        <v>0</v>
      </c>
      <c r="L386" s="47" t="n">
        <f aca="false">'Fault &amp; Downtime Entry'!L387</f>
        <v>0</v>
      </c>
      <c r="M386" s="47" t="str">
        <f aca="false">'Fault &amp; Downtime Entry'!M387</f>
        <v/>
      </c>
      <c r="N386" s="47" t="n">
        <f aca="false">'Fault &amp; Downtime Entry'!N387</f>
        <v>0</v>
      </c>
      <c r="O386" s="47" t="n">
        <f aca="false">'Fault &amp; Downtime Entry'!O387</f>
        <v>0</v>
      </c>
      <c r="P386" s="47" t="str">
        <f aca="false">IF(OR(J386="",K386=""),"",IFERROR(J386/K386*1000,0))</f>
        <v/>
      </c>
      <c r="Q386" s="47" t="str">
        <f aca="false">IF(OR(L386="",K386=""),"",IFERROR(L386/K386*1000,0))</f>
        <v/>
      </c>
      <c r="R386" s="47" t="str">
        <f aca="false">IF(OR(M386="High",M386="Critical"),"YES","")</f>
        <v/>
      </c>
    </row>
    <row r="387" customFormat="false" ht="15" hidden="false" customHeight="true" outlineLevel="0" collapsed="false">
      <c r="A387" s="47" t="n">
        <f aca="false">'Fault &amp; Downtime Entry'!A388</f>
        <v>383</v>
      </c>
      <c r="B387" s="48" t="n">
        <f aca="false">'Fault &amp; Downtime Entry'!B388</f>
        <v>0</v>
      </c>
      <c r="C387" s="47" t="n">
        <f aca="false">'Fault &amp; Downtime Entry'!C388</f>
        <v>0</v>
      </c>
      <c r="D387" s="47" t="n">
        <f aca="false">'Fault &amp; Downtime Entry'!D388</f>
        <v>0</v>
      </c>
      <c r="E387" s="47" t="n">
        <f aca="false">'Fault &amp; Downtime Entry'!E388</f>
        <v>0</v>
      </c>
      <c r="F387" s="47" t="str">
        <f aca="false">'Fault &amp; Downtime Entry'!F388</f>
        <v/>
      </c>
      <c r="G387" s="47" t="n">
        <f aca="false">'Fault &amp; Downtime Entry'!G388</f>
        <v>0</v>
      </c>
      <c r="H387" s="47" t="str">
        <f aca="false">'Fault &amp; Downtime Entry'!H388</f>
        <v/>
      </c>
      <c r="I387" s="47" t="str">
        <f aca="false">'Fault &amp; Downtime Entry'!I388</f>
        <v/>
      </c>
      <c r="J387" s="47" t="n">
        <f aca="false">'Fault &amp; Downtime Entry'!J388</f>
        <v>0</v>
      </c>
      <c r="K387" s="47" t="n">
        <f aca="false">'Fault &amp; Downtime Entry'!K388</f>
        <v>0</v>
      </c>
      <c r="L387" s="47" t="n">
        <f aca="false">'Fault &amp; Downtime Entry'!L388</f>
        <v>0</v>
      </c>
      <c r="M387" s="47" t="str">
        <f aca="false">'Fault &amp; Downtime Entry'!M388</f>
        <v/>
      </c>
      <c r="N387" s="47" t="n">
        <f aca="false">'Fault &amp; Downtime Entry'!N388</f>
        <v>0</v>
      </c>
      <c r="O387" s="47" t="n">
        <f aca="false">'Fault &amp; Downtime Entry'!O388</f>
        <v>0</v>
      </c>
      <c r="P387" s="47" t="str">
        <f aca="false">IF(OR(J387="",K387=""),"",IFERROR(J387/K387*1000,0))</f>
        <v/>
      </c>
      <c r="Q387" s="47" t="str">
        <f aca="false">IF(OR(L387="",K387=""),"",IFERROR(L387/K387*1000,0))</f>
        <v/>
      </c>
      <c r="R387" s="47" t="str">
        <f aca="false">IF(OR(M387="High",M387="Critical"),"YES","")</f>
        <v/>
      </c>
    </row>
    <row r="388" customFormat="false" ht="15" hidden="false" customHeight="true" outlineLevel="0" collapsed="false">
      <c r="A388" s="47" t="n">
        <f aca="false">'Fault &amp; Downtime Entry'!A389</f>
        <v>384</v>
      </c>
      <c r="B388" s="48" t="n">
        <f aca="false">'Fault &amp; Downtime Entry'!B389</f>
        <v>0</v>
      </c>
      <c r="C388" s="47" t="n">
        <f aca="false">'Fault &amp; Downtime Entry'!C389</f>
        <v>0</v>
      </c>
      <c r="D388" s="47" t="n">
        <f aca="false">'Fault &amp; Downtime Entry'!D389</f>
        <v>0</v>
      </c>
      <c r="E388" s="47" t="n">
        <f aca="false">'Fault &amp; Downtime Entry'!E389</f>
        <v>0</v>
      </c>
      <c r="F388" s="47" t="str">
        <f aca="false">'Fault &amp; Downtime Entry'!F389</f>
        <v/>
      </c>
      <c r="G388" s="47" t="n">
        <f aca="false">'Fault &amp; Downtime Entry'!G389</f>
        <v>0</v>
      </c>
      <c r="H388" s="47" t="str">
        <f aca="false">'Fault &amp; Downtime Entry'!H389</f>
        <v/>
      </c>
      <c r="I388" s="47" t="str">
        <f aca="false">'Fault &amp; Downtime Entry'!I389</f>
        <v/>
      </c>
      <c r="J388" s="47" t="n">
        <f aca="false">'Fault &amp; Downtime Entry'!J389</f>
        <v>0</v>
      </c>
      <c r="K388" s="47" t="n">
        <f aca="false">'Fault &amp; Downtime Entry'!K389</f>
        <v>0</v>
      </c>
      <c r="L388" s="47" t="n">
        <f aca="false">'Fault &amp; Downtime Entry'!L389</f>
        <v>0</v>
      </c>
      <c r="M388" s="47" t="str">
        <f aca="false">'Fault &amp; Downtime Entry'!M389</f>
        <v/>
      </c>
      <c r="N388" s="47" t="n">
        <f aca="false">'Fault &amp; Downtime Entry'!N389</f>
        <v>0</v>
      </c>
      <c r="O388" s="47" t="n">
        <f aca="false">'Fault &amp; Downtime Entry'!O389</f>
        <v>0</v>
      </c>
      <c r="P388" s="47" t="str">
        <f aca="false">IF(OR(J388="",K388=""),"",IFERROR(J388/K388*1000,0))</f>
        <v/>
      </c>
      <c r="Q388" s="47" t="str">
        <f aca="false">IF(OR(L388="",K388=""),"",IFERROR(L388/K388*1000,0))</f>
        <v/>
      </c>
      <c r="R388" s="47" t="str">
        <f aca="false">IF(OR(M388="High",M388="Critical"),"YES","")</f>
        <v/>
      </c>
    </row>
    <row r="389" customFormat="false" ht="15" hidden="false" customHeight="true" outlineLevel="0" collapsed="false">
      <c r="A389" s="47" t="n">
        <f aca="false">'Fault &amp; Downtime Entry'!A390</f>
        <v>385</v>
      </c>
      <c r="B389" s="48" t="n">
        <f aca="false">'Fault &amp; Downtime Entry'!B390</f>
        <v>0</v>
      </c>
      <c r="C389" s="47" t="n">
        <f aca="false">'Fault &amp; Downtime Entry'!C390</f>
        <v>0</v>
      </c>
      <c r="D389" s="47" t="n">
        <f aca="false">'Fault &amp; Downtime Entry'!D390</f>
        <v>0</v>
      </c>
      <c r="E389" s="47" t="n">
        <f aca="false">'Fault &amp; Downtime Entry'!E390</f>
        <v>0</v>
      </c>
      <c r="F389" s="47" t="str">
        <f aca="false">'Fault &amp; Downtime Entry'!F390</f>
        <v/>
      </c>
      <c r="G389" s="47" t="n">
        <f aca="false">'Fault &amp; Downtime Entry'!G390</f>
        <v>0</v>
      </c>
      <c r="H389" s="47" t="str">
        <f aca="false">'Fault &amp; Downtime Entry'!H390</f>
        <v/>
      </c>
      <c r="I389" s="47" t="str">
        <f aca="false">'Fault &amp; Downtime Entry'!I390</f>
        <v/>
      </c>
      <c r="J389" s="47" t="n">
        <f aca="false">'Fault &amp; Downtime Entry'!J390</f>
        <v>0</v>
      </c>
      <c r="K389" s="47" t="n">
        <f aca="false">'Fault &amp; Downtime Entry'!K390</f>
        <v>0</v>
      </c>
      <c r="L389" s="47" t="n">
        <f aca="false">'Fault &amp; Downtime Entry'!L390</f>
        <v>0</v>
      </c>
      <c r="M389" s="47" t="str">
        <f aca="false">'Fault &amp; Downtime Entry'!M390</f>
        <v/>
      </c>
      <c r="N389" s="47" t="n">
        <f aca="false">'Fault &amp; Downtime Entry'!N390</f>
        <v>0</v>
      </c>
      <c r="O389" s="47" t="n">
        <f aca="false">'Fault &amp; Downtime Entry'!O390</f>
        <v>0</v>
      </c>
      <c r="P389" s="47" t="str">
        <f aca="false">IF(OR(J389="",K389=""),"",IFERROR(J389/K389*1000,0))</f>
        <v/>
      </c>
      <c r="Q389" s="47" t="str">
        <f aca="false">IF(OR(L389="",K389=""),"",IFERROR(L389/K389*1000,0))</f>
        <v/>
      </c>
      <c r="R389" s="47" t="str">
        <f aca="false">IF(OR(M389="High",M389="Critical"),"YES","")</f>
        <v/>
      </c>
    </row>
    <row r="390" customFormat="false" ht="15" hidden="false" customHeight="true" outlineLevel="0" collapsed="false">
      <c r="A390" s="47" t="n">
        <f aca="false">'Fault &amp; Downtime Entry'!A391</f>
        <v>386</v>
      </c>
      <c r="B390" s="48" t="n">
        <f aca="false">'Fault &amp; Downtime Entry'!B391</f>
        <v>0</v>
      </c>
      <c r="C390" s="47" t="n">
        <f aca="false">'Fault &amp; Downtime Entry'!C391</f>
        <v>0</v>
      </c>
      <c r="D390" s="47" t="n">
        <f aca="false">'Fault &amp; Downtime Entry'!D391</f>
        <v>0</v>
      </c>
      <c r="E390" s="47" t="n">
        <f aca="false">'Fault &amp; Downtime Entry'!E391</f>
        <v>0</v>
      </c>
      <c r="F390" s="47" t="str">
        <f aca="false">'Fault &amp; Downtime Entry'!F391</f>
        <v/>
      </c>
      <c r="G390" s="47" t="n">
        <f aca="false">'Fault &amp; Downtime Entry'!G391</f>
        <v>0</v>
      </c>
      <c r="H390" s="47" t="str">
        <f aca="false">'Fault &amp; Downtime Entry'!H391</f>
        <v/>
      </c>
      <c r="I390" s="47" t="str">
        <f aca="false">'Fault &amp; Downtime Entry'!I391</f>
        <v/>
      </c>
      <c r="J390" s="47" t="n">
        <f aca="false">'Fault &amp; Downtime Entry'!J391</f>
        <v>0</v>
      </c>
      <c r="K390" s="47" t="n">
        <f aca="false">'Fault &amp; Downtime Entry'!K391</f>
        <v>0</v>
      </c>
      <c r="L390" s="47" t="n">
        <f aca="false">'Fault &amp; Downtime Entry'!L391</f>
        <v>0</v>
      </c>
      <c r="M390" s="47" t="str">
        <f aca="false">'Fault &amp; Downtime Entry'!M391</f>
        <v/>
      </c>
      <c r="N390" s="47" t="n">
        <f aca="false">'Fault &amp; Downtime Entry'!N391</f>
        <v>0</v>
      </c>
      <c r="O390" s="47" t="n">
        <f aca="false">'Fault &amp; Downtime Entry'!O391</f>
        <v>0</v>
      </c>
      <c r="P390" s="47" t="str">
        <f aca="false">IF(OR(J390="",K390=""),"",IFERROR(J390/K390*1000,0))</f>
        <v/>
      </c>
      <c r="Q390" s="47" t="str">
        <f aca="false">IF(OR(L390="",K390=""),"",IFERROR(L390/K390*1000,0))</f>
        <v/>
      </c>
      <c r="R390" s="47" t="str">
        <f aca="false">IF(OR(M390="High",M390="Critical"),"YES","")</f>
        <v/>
      </c>
    </row>
    <row r="391" customFormat="false" ht="15" hidden="false" customHeight="true" outlineLevel="0" collapsed="false">
      <c r="A391" s="47" t="n">
        <f aca="false">'Fault &amp; Downtime Entry'!A392</f>
        <v>387</v>
      </c>
      <c r="B391" s="48" t="n">
        <f aca="false">'Fault &amp; Downtime Entry'!B392</f>
        <v>0</v>
      </c>
      <c r="C391" s="47" t="n">
        <f aca="false">'Fault &amp; Downtime Entry'!C392</f>
        <v>0</v>
      </c>
      <c r="D391" s="47" t="n">
        <f aca="false">'Fault &amp; Downtime Entry'!D392</f>
        <v>0</v>
      </c>
      <c r="E391" s="47" t="n">
        <f aca="false">'Fault &amp; Downtime Entry'!E392</f>
        <v>0</v>
      </c>
      <c r="F391" s="47" t="str">
        <f aca="false">'Fault &amp; Downtime Entry'!F392</f>
        <v/>
      </c>
      <c r="G391" s="47" t="n">
        <f aca="false">'Fault &amp; Downtime Entry'!G392</f>
        <v>0</v>
      </c>
      <c r="H391" s="47" t="str">
        <f aca="false">'Fault &amp; Downtime Entry'!H392</f>
        <v/>
      </c>
      <c r="I391" s="47" t="str">
        <f aca="false">'Fault &amp; Downtime Entry'!I392</f>
        <v/>
      </c>
      <c r="J391" s="47" t="n">
        <f aca="false">'Fault &amp; Downtime Entry'!J392</f>
        <v>0</v>
      </c>
      <c r="K391" s="47" t="n">
        <f aca="false">'Fault &amp; Downtime Entry'!K392</f>
        <v>0</v>
      </c>
      <c r="L391" s="47" t="n">
        <f aca="false">'Fault &amp; Downtime Entry'!L392</f>
        <v>0</v>
      </c>
      <c r="M391" s="47" t="str">
        <f aca="false">'Fault &amp; Downtime Entry'!M392</f>
        <v/>
      </c>
      <c r="N391" s="47" t="n">
        <f aca="false">'Fault &amp; Downtime Entry'!N392</f>
        <v>0</v>
      </c>
      <c r="O391" s="47" t="n">
        <f aca="false">'Fault &amp; Downtime Entry'!O392</f>
        <v>0</v>
      </c>
      <c r="P391" s="47" t="str">
        <f aca="false">IF(OR(J391="",K391=""),"",IFERROR(J391/K391*1000,0))</f>
        <v/>
      </c>
      <c r="Q391" s="47" t="str">
        <f aca="false">IF(OR(L391="",K391=""),"",IFERROR(L391/K391*1000,0))</f>
        <v/>
      </c>
      <c r="R391" s="47" t="str">
        <f aca="false">IF(OR(M391="High",M391="Critical"),"YES","")</f>
        <v/>
      </c>
    </row>
    <row r="392" customFormat="false" ht="15" hidden="false" customHeight="true" outlineLevel="0" collapsed="false">
      <c r="A392" s="47" t="n">
        <f aca="false">'Fault &amp; Downtime Entry'!A393</f>
        <v>388</v>
      </c>
      <c r="B392" s="48" t="n">
        <f aca="false">'Fault &amp; Downtime Entry'!B393</f>
        <v>0</v>
      </c>
      <c r="C392" s="47" t="n">
        <f aca="false">'Fault &amp; Downtime Entry'!C393</f>
        <v>0</v>
      </c>
      <c r="D392" s="47" t="n">
        <f aca="false">'Fault &amp; Downtime Entry'!D393</f>
        <v>0</v>
      </c>
      <c r="E392" s="47" t="n">
        <f aca="false">'Fault &amp; Downtime Entry'!E393</f>
        <v>0</v>
      </c>
      <c r="F392" s="47" t="str">
        <f aca="false">'Fault &amp; Downtime Entry'!F393</f>
        <v/>
      </c>
      <c r="G392" s="47" t="n">
        <f aca="false">'Fault &amp; Downtime Entry'!G393</f>
        <v>0</v>
      </c>
      <c r="H392" s="47" t="str">
        <f aca="false">'Fault &amp; Downtime Entry'!H393</f>
        <v/>
      </c>
      <c r="I392" s="47" t="str">
        <f aca="false">'Fault &amp; Downtime Entry'!I393</f>
        <v/>
      </c>
      <c r="J392" s="47" t="n">
        <f aca="false">'Fault &amp; Downtime Entry'!J393</f>
        <v>0</v>
      </c>
      <c r="K392" s="47" t="n">
        <f aca="false">'Fault &amp; Downtime Entry'!K393</f>
        <v>0</v>
      </c>
      <c r="L392" s="47" t="n">
        <f aca="false">'Fault &amp; Downtime Entry'!L393</f>
        <v>0</v>
      </c>
      <c r="M392" s="47" t="str">
        <f aca="false">'Fault &amp; Downtime Entry'!M393</f>
        <v/>
      </c>
      <c r="N392" s="47" t="n">
        <f aca="false">'Fault &amp; Downtime Entry'!N393</f>
        <v>0</v>
      </c>
      <c r="O392" s="47" t="n">
        <f aca="false">'Fault &amp; Downtime Entry'!O393</f>
        <v>0</v>
      </c>
      <c r="P392" s="47" t="str">
        <f aca="false">IF(OR(J392="",K392=""),"",IFERROR(J392/K392*1000,0))</f>
        <v/>
      </c>
      <c r="Q392" s="47" t="str">
        <f aca="false">IF(OR(L392="",K392=""),"",IFERROR(L392/K392*1000,0))</f>
        <v/>
      </c>
      <c r="R392" s="47" t="str">
        <f aca="false">IF(OR(M392="High",M392="Critical"),"YES","")</f>
        <v/>
      </c>
    </row>
    <row r="393" customFormat="false" ht="15" hidden="false" customHeight="true" outlineLevel="0" collapsed="false">
      <c r="A393" s="47" t="n">
        <f aca="false">'Fault &amp; Downtime Entry'!A394</f>
        <v>389</v>
      </c>
      <c r="B393" s="48" t="n">
        <f aca="false">'Fault &amp; Downtime Entry'!B394</f>
        <v>0</v>
      </c>
      <c r="C393" s="47" t="n">
        <f aca="false">'Fault &amp; Downtime Entry'!C394</f>
        <v>0</v>
      </c>
      <c r="D393" s="47" t="n">
        <f aca="false">'Fault &amp; Downtime Entry'!D394</f>
        <v>0</v>
      </c>
      <c r="E393" s="47" t="n">
        <f aca="false">'Fault &amp; Downtime Entry'!E394</f>
        <v>0</v>
      </c>
      <c r="F393" s="47" t="str">
        <f aca="false">'Fault &amp; Downtime Entry'!F394</f>
        <v/>
      </c>
      <c r="G393" s="47" t="n">
        <f aca="false">'Fault &amp; Downtime Entry'!G394</f>
        <v>0</v>
      </c>
      <c r="H393" s="47" t="str">
        <f aca="false">'Fault &amp; Downtime Entry'!H394</f>
        <v/>
      </c>
      <c r="I393" s="47" t="str">
        <f aca="false">'Fault &amp; Downtime Entry'!I394</f>
        <v/>
      </c>
      <c r="J393" s="47" t="n">
        <f aca="false">'Fault &amp; Downtime Entry'!J394</f>
        <v>0</v>
      </c>
      <c r="K393" s="47" t="n">
        <f aca="false">'Fault &amp; Downtime Entry'!K394</f>
        <v>0</v>
      </c>
      <c r="L393" s="47" t="n">
        <f aca="false">'Fault &amp; Downtime Entry'!L394</f>
        <v>0</v>
      </c>
      <c r="M393" s="47" t="str">
        <f aca="false">'Fault &amp; Downtime Entry'!M394</f>
        <v/>
      </c>
      <c r="N393" s="47" t="n">
        <f aca="false">'Fault &amp; Downtime Entry'!N394</f>
        <v>0</v>
      </c>
      <c r="O393" s="47" t="n">
        <f aca="false">'Fault &amp; Downtime Entry'!O394</f>
        <v>0</v>
      </c>
      <c r="P393" s="47" t="str">
        <f aca="false">IF(OR(J393="",K393=""),"",IFERROR(J393/K393*1000,0))</f>
        <v/>
      </c>
      <c r="Q393" s="47" t="str">
        <f aca="false">IF(OR(L393="",K393=""),"",IFERROR(L393/K393*1000,0))</f>
        <v/>
      </c>
      <c r="R393" s="47" t="str">
        <f aca="false">IF(OR(M393="High",M393="Critical"),"YES","")</f>
        <v/>
      </c>
    </row>
    <row r="394" customFormat="false" ht="15" hidden="false" customHeight="true" outlineLevel="0" collapsed="false">
      <c r="A394" s="47" t="n">
        <f aca="false">'Fault &amp; Downtime Entry'!A395</f>
        <v>390</v>
      </c>
      <c r="B394" s="48" t="n">
        <f aca="false">'Fault &amp; Downtime Entry'!B395</f>
        <v>0</v>
      </c>
      <c r="C394" s="47" t="n">
        <f aca="false">'Fault &amp; Downtime Entry'!C395</f>
        <v>0</v>
      </c>
      <c r="D394" s="47" t="n">
        <f aca="false">'Fault &amp; Downtime Entry'!D395</f>
        <v>0</v>
      </c>
      <c r="E394" s="47" t="n">
        <f aca="false">'Fault &amp; Downtime Entry'!E395</f>
        <v>0</v>
      </c>
      <c r="F394" s="47" t="str">
        <f aca="false">'Fault &amp; Downtime Entry'!F395</f>
        <v/>
      </c>
      <c r="G394" s="47" t="n">
        <f aca="false">'Fault &amp; Downtime Entry'!G395</f>
        <v>0</v>
      </c>
      <c r="H394" s="47" t="str">
        <f aca="false">'Fault &amp; Downtime Entry'!H395</f>
        <v/>
      </c>
      <c r="I394" s="47" t="str">
        <f aca="false">'Fault &amp; Downtime Entry'!I395</f>
        <v/>
      </c>
      <c r="J394" s="47" t="n">
        <f aca="false">'Fault &amp; Downtime Entry'!J395</f>
        <v>0</v>
      </c>
      <c r="K394" s="47" t="n">
        <f aca="false">'Fault &amp; Downtime Entry'!K395</f>
        <v>0</v>
      </c>
      <c r="L394" s="47" t="n">
        <f aca="false">'Fault &amp; Downtime Entry'!L395</f>
        <v>0</v>
      </c>
      <c r="M394" s="47" t="str">
        <f aca="false">'Fault &amp; Downtime Entry'!M395</f>
        <v/>
      </c>
      <c r="N394" s="47" t="n">
        <f aca="false">'Fault &amp; Downtime Entry'!N395</f>
        <v>0</v>
      </c>
      <c r="O394" s="47" t="n">
        <f aca="false">'Fault &amp; Downtime Entry'!O395</f>
        <v>0</v>
      </c>
      <c r="P394" s="47" t="str">
        <f aca="false">IF(OR(J394="",K394=""),"",IFERROR(J394/K394*1000,0))</f>
        <v/>
      </c>
      <c r="Q394" s="47" t="str">
        <f aca="false">IF(OR(L394="",K394=""),"",IFERROR(L394/K394*1000,0))</f>
        <v/>
      </c>
      <c r="R394" s="47" t="str">
        <f aca="false">IF(OR(M394="High",M394="Critical"),"YES","")</f>
        <v/>
      </c>
    </row>
    <row r="395" customFormat="false" ht="15" hidden="false" customHeight="true" outlineLevel="0" collapsed="false">
      <c r="A395" s="47" t="n">
        <f aca="false">'Fault &amp; Downtime Entry'!A396</f>
        <v>391</v>
      </c>
      <c r="B395" s="48" t="n">
        <f aca="false">'Fault &amp; Downtime Entry'!B396</f>
        <v>0</v>
      </c>
      <c r="C395" s="47" t="n">
        <f aca="false">'Fault &amp; Downtime Entry'!C396</f>
        <v>0</v>
      </c>
      <c r="D395" s="47" t="n">
        <f aca="false">'Fault &amp; Downtime Entry'!D396</f>
        <v>0</v>
      </c>
      <c r="E395" s="47" t="n">
        <f aca="false">'Fault &amp; Downtime Entry'!E396</f>
        <v>0</v>
      </c>
      <c r="F395" s="47" t="str">
        <f aca="false">'Fault &amp; Downtime Entry'!F396</f>
        <v/>
      </c>
      <c r="G395" s="47" t="n">
        <f aca="false">'Fault &amp; Downtime Entry'!G396</f>
        <v>0</v>
      </c>
      <c r="H395" s="47" t="str">
        <f aca="false">'Fault &amp; Downtime Entry'!H396</f>
        <v/>
      </c>
      <c r="I395" s="47" t="str">
        <f aca="false">'Fault &amp; Downtime Entry'!I396</f>
        <v/>
      </c>
      <c r="J395" s="47" t="n">
        <f aca="false">'Fault &amp; Downtime Entry'!J396</f>
        <v>0</v>
      </c>
      <c r="K395" s="47" t="n">
        <f aca="false">'Fault &amp; Downtime Entry'!K396</f>
        <v>0</v>
      </c>
      <c r="L395" s="47" t="n">
        <f aca="false">'Fault &amp; Downtime Entry'!L396</f>
        <v>0</v>
      </c>
      <c r="M395" s="47" t="str">
        <f aca="false">'Fault &amp; Downtime Entry'!M396</f>
        <v/>
      </c>
      <c r="N395" s="47" t="n">
        <f aca="false">'Fault &amp; Downtime Entry'!N396</f>
        <v>0</v>
      </c>
      <c r="O395" s="47" t="n">
        <f aca="false">'Fault &amp; Downtime Entry'!O396</f>
        <v>0</v>
      </c>
      <c r="P395" s="47" t="str">
        <f aca="false">IF(OR(J395="",K395=""),"",IFERROR(J395/K395*1000,0))</f>
        <v/>
      </c>
      <c r="Q395" s="47" t="str">
        <f aca="false">IF(OR(L395="",K395=""),"",IFERROR(L395/K395*1000,0))</f>
        <v/>
      </c>
      <c r="R395" s="47" t="str">
        <f aca="false">IF(OR(M395="High",M395="Critical"),"YES","")</f>
        <v/>
      </c>
    </row>
    <row r="396" customFormat="false" ht="15" hidden="false" customHeight="true" outlineLevel="0" collapsed="false">
      <c r="A396" s="47" t="n">
        <f aca="false">'Fault &amp; Downtime Entry'!A397</f>
        <v>392</v>
      </c>
      <c r="B396" s="48" t="n">
        <f aca="false">'Fault &amp; Downtime Entry'!B397</f>
        <v>0</v>
      </c>
      <c r="C396" s="47" t="n">
        <f aca="false">'Fault &amp; Downtime Entry'!C397</f>
        <v>0</v>
      </c>
      <c r="D396" s="47" t="n">
        <f aca="false">'Fault &amp; Downtime Entry'!D397</f>
        <v>0</v>
      </c>
      <c r="E396" s="47" t="n">
        <f aca="false">'Fault &amp; Downtime Entry'!E397</f>
        <v>0</v>
      </c>
      <c r="F396" s="47" t="str">
        <f aca="false">'Fault &amp; Downtime Entry'!F397</f>
        <v/>
      </c>
      <c r="G396" s="47" t="n">
        <f aca="false">'Fault &amp; Downtime Entry'!G397</f>
        <v>0</v>
      </c>
      <c r="H396" s="47" t="str">
        <f aca="false">'Fault &amp; Downtime Entry'!H397</f>
        <v/>
      </c>
      <c r="I396" s="47" t="str">
        <f aca="false">'Fault &amp; Downtime Entry'!I397</f>
        <v/>
      </c>
      <c r="J396" s="47" t="n">
        <f aca="false">'Fault &amp; Downtime Entry'!J397</f>
        <v>0</v>
      </c>
      <c r="K396" s="47" t="n">
        <f aca="false">'Fault &amp; Downtime Entry'!K397</f>
        <v>0</v>
      </c>
      <c r="L396" s="47" t="n">
        <f aca="false">'Fault &amp; Downtime Entry'!L397</f>
        <v>0</v>
      </c>
      <c r="M396" s="47" t="str">
        <f aca="false">'Fault &amp; Downtime Entry'!M397</f>
        <v/>
      </c>
      <c r="N396" s="47" t="n">
        <f aca="false">'Fault &amp; Downtime Entry'!N397</f>
        <v>0</v>
      </c>
      <c r="O396" s="47" t="n">
        <f aca="false">'Fault &amp; Downtime Entry'!O397</f>
        <v>0</v>
      </c>
      <c r="P396" s="47" t="str">
        <f aca="false">IF(OR(J396="",K396=""),"",IFERROR(J396/K396*1000,0))</f>
        <v/>
      </c>
      <c r="Q396" s="47" t="str">
        <f aca="false">IF(OR(L396="",K396=""),"",IFERROR(L396/K396*1000,0))</f>
        <v/>
      </c>
      <c r="R396" s="47" t="str">
        <f aca="false">IF(OR(M396="High",M396="Critical"),"YES","")</f>
        <v/>
      </c>
    </row>
    <row r="397" customFormat="false" ht="15" hidden="false" customHeight="true" outlineLevel="0" collapsed="false">
      <c r="A397" s="47" t="n">
        <f aca="false">'Fault &amp; Downtime Entry'!A398</f>
        <v>393</v>
      </c>
      <c r="B397" s="48" t="n">
        <f aca="false">'Fault &amp; Downtime Entry'!B398</f>
        <v>0</v>
      </c>
      <c r="C397" s="47" t="n">
        <f aca="false">'Fault &amp; Downtime Entry'!C398</f>
        <v>0</v>
      </c>
      <c r="D397" s="47" t="n">
        <f aca="false">'Fault &amp; Downtime Entry'!D398</f>
        <v>0</v>
      </c>
      <c r="E397" s="47" t="n">
        <f aca="false">'Fault &amp; Downtime Entry'!E398</f>
        <v>0</v>
      </c>
      <c r="F397" s="47" t="str">
        <f aca="false">'Fault &amp; Downtime Entry'!F398</f>
        <v/>
      </c>
      <c r="G397" s="47" t="n">
        <f aca="false">'Fault &amp; Downtime Entry'!G398</f>
        <v>0</v>
      </c>
      <c r="H397" s="47" t="str">
        <f aca="false">'Fault &amp; Downtime Entry'!H398</f>
        <v/>
      </c>
      <c r="I397" s="47" t="str">
        <f aca="false">'Fault &amp; Downtime Entry'!I398</f>
        <v/>
      </c>
      <c r="J397" s="47" t="n">
        <f aca="false">'Fault &amp; Downtime Entry'!J398</f>
        <v>0</v>
      </c>
      <c r="K397" s="47" t="n">
        <f aca="false">'Fault &amp; Downtime Entry'!K398</f>
        <v>0</v>
      </c>
      <c r="L397" s="47" t="n">
        <f aca="false">'Fault &amp; Downtime Entry'!L398</f>
        <v>0</v>
      </c>
      <c r="M397" s="47" t="str">
        <f aca="false">'Fault &amp; Downtime Entry'!M398</f>
        <v/>
      </c>
      <c r="N397" s="47" t="n">
        <f aca="false">'Fault &amp; Downtime Entry'!N398</f>
        <v>0</v>
      </c>
      <c r="O397" s="47" t="n">
        <f aca="false">'Fault &amp; Downtime Entry'!O398</f>
        <v>0</v>
      </c>
      <c r="P397" s="47" t="str">
        <f aca="false">IF(OR(J397="",K397=""),"",IFERROR(J397/K397*1000,0))</f>
        <v/>
      </c>
      <c r="Q397" s="47" t="str">
        <f aca="false">IF(OR(L397="",K397=""),"",IFERROR(L397/K397*1000,0))</f>
        <v/>
      </c>
      <c r="R397" s="47" t="str">
        <f aca="false">IF(OR(M397="High",M397="Critical"),"YES","")</f>
        <v/>
      </c>
    </row>
    <row r="398" customFormat="false" ht="15" hidden="false" customHeight="true" outlineLevel="0" collapsed="false">
      <c r="A398" s="47" t="n">
        <f aca="false">'Fault &amp; Downtime Entry'!A399</f>
        <v>394</v>
      </c>
      <c r="B398" s="48" t="n">
        <f aca="false">'Fault &amp; Downtime Entry'!B399</f>
        <v>0</v>
      </c>
      <c r="C398" s="47" t="n">
        <f aca="false">'Fault &amp; Downtime Entry'!C399</f>
        <v>0</v>
      </c>
      <c r="D398" s="47" t="n">
        <f aca="false">'Fault &amp; Downtime Entry'!D399</f>
        <v>0</v>
      </c>
      <c r="E398" s="47" t="n">
        <f aca="false">'Fault &amp; Downtime Entry'!E399</f>
        <v>0</v>
      </c>
      <c r="F398" s="47" t="str">
        <f aca="false">'Fault &amp; Downtime Entry'!F399</f>
        <v/>
      </c>
      <c r="G398" s="47" t="n">
        <f aca="false">'Fault &amp; Downtime Entry'!G399</f>
        <v>0</v>
      </c>
      <c r="H398" s="47" t="str">
        <f aca="false">'Fault &amp; Downtime Entry'!H399</f>
        <v/>
      </c>
      <c r="I398" s="47" t="str">
        <f aca="false">'Fault &amp; Downtime Entry'!I399</f>
        <v/>
      </c>
      <c r="J398" s="47" t="n">
        <f aca="false">'Fault &amp; Downtime Entry'!J399</f>
        <v>0</v>
      </c>
      <c r="K398" s="47" t="n">
        <f aca="false">'Fault &amp; Downtime Entry'!K399</f>
        <v>0</v>
      </c>
      <c r="L398" s="47" t="n">
        <f aca="false">'Fault &amp; Downtime Entry'!L399</f>
        <v>0</v>
      </c>
      <c r="M398" s="47" t="str">
        <f aca="false">'Fault &amp; Downtime Entry'!M399</f>
        <v/>
      </c>
      <c r="N398" s="47" t="n">
        <f aca="false">'Fault &amp; Downtime Entry'!N399</f>
        <v>0</v>
      </c>
      <c r="O398" s="47" t="n">
        <f aca="false">'Fault &amp; Downtime Entry'!O399</f>
        <v>0</v>
      </c>
      <c r="P398" s="47" t="str">
        <f aca="false">IF(OR(J398="",K398=""),"",IFERROR(J398/K398*1000,0))</f>
        <v/>
      </c>
      <c r="Q398" s="47" t="str">
        <f aca="false">IF(OR(L398="",K398=""),"",IFERROR(L398/K398*1000,0))</f>
        <v/>
      </c>
      <c r="R398" s="47" t="str">
        <f aca="false">IF(OR(M398="High",M398="Critical"),"YES","")</f>
        <v/>
      </c>
    </row>
    <row r="399" customFormat="false" ht="15" hidden="false" customHeight="true" outlineLevel="0" collapsed="false">
      <c r="A399" s="47" t="n">
        <f aca="false">'Fault &amp; Downtime Entry'!A400</f>
        <v>395</v>
      </c>
      <c r="B399" s="48" t="n">
        <f aca="false">'Fault &amp; Downtime Entry'!B400</f>
        <v>0</v>
      </c>
      <c r="C399" s="47" t="n">
        <f aca="false">'Fault &amp; Downtime Entry'!C400</f>
        <v>0</v>
      </c>
      <c r="D399" s="47" t="n">
        <f aca="false">'Fault &amp; Downtime Entry'!D400</f>
        <v>0</v>
      </c>
      <c r="E399" s="47" t="n">
        <f aca="false">'Fault &amp; Downtime Entry'!E400</f>
        <v>0</v>
      </c>
      <c r="F399" s="47" t="str">
        <f aca="false">'Fault &amp; Downtime Entry'!F400</f>
        <v/>
      </c>
      <c r="G399" s="47" t="n">
        <f aca="false">'Fault &amp; Downtime Entry'!G400</f>
        <v>0</v>
      </c>
      <c r="H399" s="47" t="str">
        <f aca="false">'Fault &amp; Downtime Entry'!H400</f>
        <v/>
      </c>
      <c r="I399" s="47" t="str">
        <f aca="false">'Fault &amp; Downtime Entry'!I400</f>
        <v/>
      </c>
      <c r="J399" s="47" t="n">
        <f aca="false">'Fault &amp; Downtime Entry'!J400</f>
        <v>0</v>
      </c>
      <c r="K399" s="47" t="n">
        <f aca="false">'Fault &amp; Downtime Entry'!K400</f>
        <v>0</v>
      </c>
      <c r="L399" s="47" t="n">
        <f aca="false">'Fault &amp; Downtime Entry'!L400</f>
        <v>0</v>
      </c>
      <c r="M399" s="47" t="str">
        <f aca="false">'Fault &amp; Downtime Entry'!M400</f>
        <v/>
      </c>
      <c r="N399" s="47" t="n">
        <f aca="false">'Fault &amp; Downtime Entry'!N400</f>
        <v>0</v>
      </c>
      <c r="O399" s="47" t="n">
        <f aca="false">'Fault &amp; Downtime Entry'!O400</f>
        <v>0</v>
      </c>
      <c r="P399" s="47" t="str">
        <f aca="false">IF(OR(J399="",K399=""),"",IFERROR(J399/K399*1000,0))</f>
        <v/>
      </c>
      <c r="Q399" s="47" t="str">
        <f aca="false">IF(OR(L399="",K399=""),"",IFERROR(L399/K399*1000,0))</f>
        <v/>
      </c>
      <c r="R399" s="47" t="str">
        <f aca="false">IF(OR(M399="High",M399="Critical"),"YES","")</f>
        <v/>
      </c>
    </row>
    <row r="400" customFormat="false" ht="15" hidden="false" customHeight="true" outlineLevel="0" collapsed="false">
      <c r="A400" s="47" t="n">
        <f aca="false">'Fault &amp; Downtime Entry'!A401</f>
        <v>396</v>
      </c>
      <c r="B400" s="48" t="n">
        <f aca="false">'Fault &amp; Downtime Entry'!B401</f>
        <v>0</v>
      </c>
      <c r="C400" s="47" t="n">
        <f aca="false">'Fault &amp; Downtime Entry'!C401</f>
        <v>0</v>
      </c>
      <c r="D400" s="47" t="n">
        <f aca="false">'Fault &amp; Downtime Entry'!D401</f>
        <v>0</v>
      </c>
      <c r="E400" s="47" t="n">
        <f aca="false">'Fault &amp; Downtime Entry'!E401</f>
        <v>0</v>
      </c>
      <c r="F400" s="47" t="str">
        <f aca="false">'Fault &amp; Downtime Entry'!F401</f>
        <v/>
      </c>
      <c r="G400" s="47" t="n">
        <f aca="false">'Fault &amp; Downtime Entry'!G401</f>
        <v>0</v>
      </c>
      <c r="H400" s="47" t="str">
        <f aca="false">'Fault &amp; Downtime Entry'!H401</f>
        <v/>
      </c>
      <c r="I400" s="47" t="str">
        <f aca="false">'Fault &amp; Downtime Entry'!I401</f>
        <v/>
      </c>
      <c r="J400" s="47" t="n">
        <f aca="false">'Fault &amp; Downtime Entry'!J401</f>
        <v>0</v>
      </c>
      <c r="K400" s="47" t="n">
        <f aca="false">'Fault &amp; Downtime Entry'!K401</f>
        <v>0</v>
      </c>
      <c r="L400" s="47" t="n">
        <f aca="false">'Fault &amp; Downtime Entry'!L401</f>
        <v>0</v>
      </c>
      <c r="M400" s="47" t="str">
        <f aca="false">'Fault &amp; Downtime Entry'!M401</f>
        <v/>
      </c>
      <c r="N400" s="47" t="n">
        <f aca="false">'Fault &amp; Downtime Entry'!N401</f>
        <v>0</v>
      </c>
      <c r="O400" s="47" t="n">
        <f aca="false">'Fault &amp; Downtime Entry'!O401</f>
        <v>0</v>
      </c>
      <c r="P400" s="47" t="str">
        <f aca="false">IF(OR(J400="",K400=""),"",IFERROR(J400/K400*1000,0))</f>
        <v/>
      </c>
      <c r="Q400" s="47" t="str">
        <f aca="false">IF(OR(L400="",K400=""),"",IFERROR(L400/K400*1000,0))</f>
        <v/>
      </c>
      <c r="R400" s="47" t="str">
        <f aca="false">IF(OR(M400="High",M400="Critical"),"YES","")</f>
        <v/>
      </c>
    </row>
    <row r="401" customFormat="false" ht="15" hidden="false" customHeight="true" outlineLevel="0" collapsed="false">
      <c r="A401" s="47" t="n">
        <f aca="false">'Fault &amp; Downtime Entry'!A402</f>
        <v>397</v>
      </c>
      <c r="B401" s="48" t="n">
        <f aca="false">'Fault &amp; Downtime Entry'!B402</f>
        <v>0</v>
      </c>
      <c r="C401" s="47" t="n">
        <f aca="false">'Fault &amp; Downtime Entry'!C402</f>
        <v>0</v>
      </c>
      <c r="D401" s="47" t="n">
        <f aca="false">'Fault &amp; Downtime Entry'!D402</f>
        <v>0</v>
      </c>
      <c r="E401" s="47" t="n">
        <f aca="false">'Fault &amp; Downtime Entry'!E402</f>
        <v>0</v>
      </c>
      <c r="F401" s="47" t="str">
        <f aca="false">'Fault &amp; Downtime Entry'!F402</f>
        <v/>
      </c>
      <c r="G401" s="47" t="n">
        <f aca="false">'Fault &amp; Downtime Entry'!G402</f>
        <v>0</v>
      </c>
      <c r="H401" s="47" t="str">
        <f aca="false">'Fault &amp; Downtime Entry'!H402</f>
        <v/>
      </c>
      <c r="I401" s="47" t="str">
        <f aca="false">'Fault &amp; Downtime Entry'!I402</f>
        <v/>
      </c>
      <c r="J401" s="47" t="n">
        <f aca="false">'Fault &amp; Downtime Entry'!J402</f>
        <v>0</v>
      </c>
      <c r="K401" s="47" t="n">
        <f aca="false">'Fault &amp; Downtime Entry'!K402</f>
        <v>0</v>
      </c>
      <c r="L401" s="47" t="n">
        <f aca="false">'Fault &amp; Downtime Entry'!L402</f>
        <v>0</v>
      </c>
      <c r="M401" s="47" t="str">
        <f aca="false">'Fault &amp; Downtime Entry'!M402</f>
        <v/>
      </c>
      <c r="N401" s="47" t="n">
        <f aca="false">'Fault &amp; Downtime Entry'!N402</f>
        <v>0</v>
      </c>
      <c r="O401" s="47" t="n">
        <f aca="false">'Fault &amp; Downtime Entry'!O402</f>
        <v>0</v>
      </c>
      <c r="P401" s="47" t="str">
        <f aca="false">IF(OR(J401="",K401=""),"",IFERROR(J401/K401*1000,0))</f>
        <v/>
      </c>
      <c r="Q401" s="47" t="str">
        <f aca="false">IF(OR(L401="",K401=""),"",IFERROR(L401/K401*1000,0))</f>
        <v/>
      </c>
      <c r="R401" s="47" t="str">
        <f aca="false">IF(OR(M401="High",M401="Critical"),"YES","")</f>
        <v/>
      </c>
    </row>
    <row r="402" customFormat="false" ht="15" hidden="false" customHeight="true" outlineLevel="0" collapsed="false">
      <c r="A402" s="47" t="n">
        <f aca="false">'Fault &amp; Downtime Entry'!A403</f>
        <v>398</v>
      </c>
      <c r="B402" s="48" t="n">
        <f aca="false">'Fault &amp; Downtime Entry'!B403</f>
        <v>0</v>
      </c>
      <c r="C402" s="47" t="n">
        <f aca="false">'Fault &amp; Downtime Entry'!C403</f>
        <v>0</v>
      </c>
      <c r="D402" s="47" t="n">
        <f aca="false">'Fault &amp; Downtime Entry'!D403</f>
        <v>0</v>
      </c>
      <c r="E402" s="47" t="n">
        <f aca="false">'Fault &amp; Downtime Entry'!E403</f>
        <v>0</v>
      </c>
      <c r="F402" s="47" t="str">
        <f aca="false">'Fault &amp; Downtime Entry'!F403</f>
        <v/>
      </c>
      <c r="G402" s="47" t="n">
        <f aca="false">'Fault &amp; Downtime Entry'!G403</f>
        <v>0</v>
      </c>
      <c r="H402" s="47" t="str">
        <f aca="false">'Fault &amp; Downtime Entry'!H403</f>
        <v/>
      </c>
      <c r="I402" s="47" t="str">
        <f aca="false">'Fault &amp; Downtime Entry'!I403</f>
        <v/>
      </c>
      <c r="J402" s="47" t="n">
        <f aca="false">'Fault &amp; Downtime Entry'!J403</f>
        <v>0</v>
      </c>
      <c r="K402" s="47" t="n">
        <f aca="false">'Fault &amp; Downtime Entry'!K403</f>
        <v>0</v>
      </c>
      <c r="L402" s="47" t="n">
        <f aca="false">'Fault &amp; Downtime Entry'!L403</f>
        <v>0</v>
      </c>
      <c r="M402" s="47" t="str">
        <f aca="false">'Fault &amp; Downtime Entry'!M403</f>
        <v/>
      </c>
      <c r="N402" s="47" t="n">
        <f aca="false">'Fault &amp; Downtime Entry'!N403</f>
        <v>0</v>
      </c>
      <c r="O402" s="47" t="n">
        <f aca="false">'Fault &amp; Downtime Entry'!O403</f>
        <v>0</v>
      </c>
      <c r="P402" s="47" t="str">
        <f aca="false">IF(OR(J402="",K402=""),"",IFERROR(J402/K402*1000,0))</f>
        <v/>
      </c>
      <c r="Q402" s="47" t="str">
        <f aca="false">IF(OR(L402="",K402=""),"",IFERROR(L402/K402*1000,0))</f>
        <v/>
      </c>
      <c r="R402" s="47" t="str">
        <f aca="false">IF(OR(M402="High",M402="Critical"),"YES","")</f>
        <v/>
      </c>
    </row>
    <row r="403" customFormat="false" ht="15" hidden="false" customHeight="true" outlineLevel="0" collapsed="false">
      <c r="A403" s="47" t="n">
        <f aca="false">'Fault &amp; Downtime Entry'!A404</f>
        <v>399</v>
      </c>
      <c r="B403" s="48" t="n">
        <f aca="false">'Fault &amp; Downtime Entry'!B404</f>
        <v>0</v>
      </c>
      <c r="C403" s="47" t="n">
        <f aca="false">'Fault &amp; Downtime Entry'!C404</f>
        <v>0</v>
      </c>
      <c r="D403" s="47" t="n">
        <f aca="false">'Fault &amp; Downtime Entry'!D404</f>
        <v>0</v>
      </c>
      <c r="E403" s="47" t="n">
        <f aca="false">'Fault &amp; Downtime Entry'!E404</f>
        <v>0</v>
      </c>
      <c r="F403" s="47" t="str">
        <f aca="false">'Fault &amp; Downtime Entry'!F404</f>
        <v/>
      </c>
      <c r="G403" s="47" t="n">
        <f aca="false">'Fault &amp; Downtime Entry'!G404</f>
        <v>0</v>
      </c>
      <c r="H403" s="47" t="str">
        <f aca="false">'Fault &amp; Downtime Entry'!H404</f>
        <v/>
      </c>
      <c r="I403" s="47" t="str">
        <f aca="false">'Fault &amp; Downtime Entry'!I404</f>
        <v/>
      </c>
      <c r="J403" s="47" t="n">
        <f aca="false">'Fault &amp; Downtime Entry'!J404</f>
        <v>0</v>
      </c>
      <c r="K403" s="47" t="n">
        <f aca="false">'Fault &amp; Downtime Entry'!K404</f>
        <v>0</v>
      </c>
      <c r="L403" s="47" t="n">
        <f aca="false">'Fault &amp; Downtime Entry'!L404</f>
        <v>0</v>
      </c>
      <c r="M403" s="47" t="str">
        <f aca="false">'Fault &amp; Downtime Entry'!M404</f>
        <v/>
      </c>
      <c r="N403" s="47" t="n">
        <f aca="false">'Fault &amp; Downtime Entry'!N404</f>
        <v>0</v>
      </c>
      <c r="O403" s="47" t="n">
        <f aca="false">'Fault &amp; Downtime Entry'!O404</f>
        <v>0</v>
      </c>
      <c r="P403" s="47" t="str">
        <f aca="false">IF(OR(J403="",K403=""),"",IFERROR(J403/K403*1000,0))</f>
        <v/>
      </c>
      <c r="Q403" s="47" t="str">
        <f aca="false">IF(OR(L403="",K403=""),"",IFERROR(L403/K403*1000,0))</f>
        <v/>
      </c>
      <c r="R403" s="47" t="str">
        <f aca="false">IF(OR(M403="High",M403="Critical"),"YES","")</f>
        <v/>
      </c>
    </row>
    <row r="404" customFormat="false" ht="15" hidden="false" customHeight="true" outlineLevel="0" collapsed="false">
      <c r="A404" s="47" t="n">
        <f aca="false">'Fault &amp; Downtime Entry'!A405</f>
        <v>400</v>
      </c>
      <c r="B404" s="48" t="n">
        <f aca="false">'Fault &amp; Downtime Entry'!B405</f>
        <v>0</v>
      </c>
      <c r="C404" s="47" t="n">
        <f aca="false">'Fault &amp; Downtime Entry'!C405</f>
        <v>0</v>
      </c>
      <c r="D404" s="47" t="n">
        <f aca="false">'Fault &amp; Downtime Entry'!D405</f>
        <v>0</v>
      </c>
      <c r="E404" s="47" t="n">
        <f aca="false">'Fault &amp; Downtime Entry'!E405</f>
        <v>0</v>
      </c>
      <c r="F404" s="47" t="str">
        <f aca="false">'Fault &amp; Downtime Entry'!F405</f>
        <v/>
      </c>
      <c r="G404" s="47" t="n">
        <f aca="false">'Fault &amp; Downtime Entry'!G405</f>
        <v>0</v>
      </c>
      <c r="H404" s="47" t="str">
        <f aca="false">'Fault &amp; Downtime Entry'!H405</f>
        <v/>
      </c>
      <c r="I404" s="47" t="str">
        <f aca="false">'Fault &amp; Downtime Entry'!I405</f>
        <v/>
      </c>
      <c r="J404" s="47" t="n">
        <f aca="false">'Fault &amp; Downtime Entry'!J405</f>
        <v>0</v>
      </c>
      <c r="K404" s="47" t="n">
        <f aca="false">'Fault &amp; Downtime Entry'!K405</f>
        <v>0</v>
      </c>
      <c r="L404" s="47" t="n">
        <f aca="false">'Fault &amp; Downtime Entry'!L405</f>
        <v>0</v>
      </c>
      <c r="M404" s="47" t="str">
        <f aca="false">'Fault &amp; Downtime Entry'!M405</f>
        <v/>
      </c>
      <c r="N404" s="47" t="n">
        <f aca="false">'Fault &amp; Downtime Entry'!N405</f>
        <v>0</v>
      </c>
      <c r="O404" s="47" t="n">
        <f aca="false">'Fault &amp; Downtime Entry'!O405</f>
        <v>0</v>
      </c>
      <c r="P404" s="47" t="str">
        <f aca="false">IF(OR(J404="",K404=""),"",IFERROR(J404/K404*1000,0))</f>
        <v/>
      </c>
      <c r="Q404" s="47" t="str">
        <f aca="false">IF(OR(L404="",K404=""),"",IFERROR(L404/K404*1000,0))</f>
        <v/>
      </c>
      <c r="R404" s="47" t="str">
        <f aca="false">IF(OR(M404="High",M404="Critical"),"YES","")</f>
        <v/>
      </c>
    </row>
    <row r="405" customFormat="false" ht="15" hidden="false" customHeight="true" outlineLevel="0" collapsed="false">
      <c r="A405" s="47" t="n">
        <f aca="false">'Fault &amp; Downtime Entry'!A406</f>
        <v>401</v>
      </c>
      <c r="B405" s="48" t="n">
        <f aca="false">'Fault &amp; Downtime Entry'!B406</f>
        <v>0</v>
      </c>
      <c r="C405" s="47" t="n">
        <f aca="false">'Fault &amp; Downtime Entry'!C406</f>
        <v>0</v>
      </c>
      <c r="D405" s="47" t="n">
        <f aca="false">'Fault &amp; Downtime Entry'!D406</f>
        <v>0</v>
      </c>
      <c r="E405" s="47" t="n">
        <f aca="false">'Fault &amp; Downtime Entry'!E406</f>
        <v>0</v>
      </c>
      <c r="F405" s="47" t="str">
        <f aca="false">'Fault &amp; Downtime Entry'!F406</f>
        <v/>
      </c>
      <c r="G405" s="47" t="n">
        <f aca="false">'Fault &amp; Downtime Entry'!G406</f>
        <v>0</v>
      </c>
      <c r="H405" s="47" t="str">
        <f aca="false">'Fault &amp; Downtime Entry'!H406</f>
        <v/>
      </c>
      <c r="I405" s="47" t="str">
        <f aca="false">'Fault &amp; Downtime Entry'!I406</f>
        <v/>
      </c>
      <c r="J405" s="47" t="n">
        <f aca="false">'Fault &amp; Downtime Entry'!J406</f>
        <v>0</v>
      </c>
      <c r="K405" s="47" t="n">
        <f aca="false">'Fault &amp; Downtime Entry'!K406</f>
        <v>0</v>
      </c>
      <c r="L405" s="47" t="n">
        <f aca="false">'Fault &amp; Downtime Entry'!L406</f>
        <v>0</v>
      </c>
      <c r="M405" s="47" t="str">
        <f aca="false">'Fault &amp; Downtime Entry'!M406</f>
        <v/>
      </c>
      <c r="N405" s="47" t="n">
        <f aca="false">'Fault &amp; Downtime Entry'!N406</f>
        <v>0</v>
      </c>
      <c r="O405" s="47" t="n">
        <f aca="false">'Fault &amp; Downtime Entry'!O406</f>
        <v>0</v>
      </c>
      <c r="P405" s="47" t="str">
        <f aca="false">IF(OR(J405="",K405=""),"",IFERROR(J405/K405*1000,0))</f>
        <v/>
      </c>
      <c r="Q405" s="47" t="str">
        <f aca="false">IF(OR(L405="",K405=""),"",IFERROR(L405/K405*1000,0))</f>
        <v/>
      </c>
      <c r="R405" s="47" t="str">
        <f aca="false">IF(OR(M405="High",M405="Critical"),"YES","")</f>
        <v/>
      </c>
    </row>
    <row r="406" customFormat="false" ht="15" hidden="false" customHeight="true" outlineLevel="0" collapsed="false">
      <c r="A406" s="47" t="n">
        <f aca="false">'Fault &amp; Downtime Entry'!A407</f>
        <v>402</v>
      </c>
      <c r="B406" s="48" t="n">
        <f aca="false">'Fault &amp; Downtime Entry'!B407</f>
        <v>0</v>
      </c>
      <c r="C406" s="47" t="n">
        <f aca="false">'Fault &amp; Downtime Entry'!C407</f>
        <v>0</v>
      </c>
      <c r="D406" s="47" t="n">
        <f aca="false">'Fault &amp; Downtime Entry'!D407</f>
        <v>0</v>
      </c>
      <c r="E406" s="47" t="n">
        <f aca="false">'Fault &amp; Downtime Entry'!E407</f>
        <v>0</v>
      </c>
      <c r="F406" s="47" t="str">
        <f aca="false">'Fault &amp; Downtime Entry'!F407</f>
        <v/>
      </c>
      <c r="G406" s="47" t="n">
        <f aca="false">'Fault &amp; Downtime Entry'!G407</f>
        <v>0</v>
      </c>
      <c r="H406" s="47" t="str">
        <f aca="false">'Fault &amp; Downtime Entry'!H407</f>
        <v/>
      </c>
      <c r="I406" s="47" t="str">
        <f aca="false">'Fault &amp; Downtime Entry'!I407</f>
        <v/>
      </c>
      <c r="J406" s="47" t="n">
        <f aca="false">'Fault &amp; Downtime Entry'!J407</f>
        <v>0</v>
      </c>
      <c r="K406" s="47" t="n">
        <f aca="false">'Fault &amp; Downtime Entry'!K407</f>
        <v>0</v>
      </c>
      <c r="L406" s="47" t="n">
        <f aca="false">'Fault &amp; Downtime Entry'!L407</f>
        <v>0</v>
      </c>
      <c r="M406" s="47" t="str">
        <f aca="false">'Fault &amp; Downtime Entry'!M407</f>
        <v/>
      </c>
      <c r="N406" s="47" t="n">
        <f aca="false">'Fault &amp; Downtime Entry'!N407</f>
        <v>0</v>
      </c>
      <c r="O406" s="47" t="n">
        <f aca="false">'Fault &amp; Downtime Entry'!O407</f>
        <v>0</v>
      </c>
      <c r="P406" s="47" t="str">
        <f aca="false">IF(OR(J406="",K406=""),"",IFERROR(J406/K406*1000,0))</f>
        <v/>
      </c>
      <c r="Q406" s="47" t="str">
        <f aca="false">IF(OR(L406="",K406=""),"",IFERROR(L406/K406*1000,0))</f>
        <v/>
      </c>
      <c r="R406" s="47" t="str">
        <f aca="false">IF(OR(M406="High",M406="Critical"),"YES","")</f>
        <v/>
      </c>
    </row>
    <row r="407" customFormat="false" ht="15" hidden="false" customHeight="true" outlineLevel="0" collapsed="false">
      <c r="A407" s="47" t="n">
        <f aca="false">'Fault &amp; Downtime Entry'!A408</f>
        <v>403</v>
      </c>
      <c r="B407" s="48" t="n">
        <f aca="false">'Fault &amp; Downtime Entry'!B408</f>
        <v>0</v>
      </c>
      <c r="C407" s="47" t="n">
        <f aca="false">'Fault &amp; Downtime Entry'!C408</f>
        <v>0</v>
      </c>
      <c r="D407" s="47" t="n">
        <f aca="false">'Fault &amp; Downtime Entry'!D408</f>
        <v>0</v>
      </c>
      <c r="E407" s="47" t="n">
        <f aca="false">'Fault &amp; Downtime Entry'!E408</f>
        <v>0</v>
      </c>
      <c r="F407" s="47" t="str">
        <f aca="false">'Fault &amp; Downtime Entry'!F408</f>
        <v/>
      </c>
      <c r="G407" s="47" t="n">
        <f aca="false">'Fault &amp; Downtime Entry'!G408</f>
        <v>0</v>
      </c>
      <c r="H407" s="47" t="str">
        <f aca="false">'Fault &amp; Downtime Entry'!H408</f>
        <v/>
      </c>
      <c r="I407" s="47" t="str">
        <f aca="false">'Fault &amp; Downtime Entry'!I408</f>
        <v/>
      </c>
      <c r="J407" s="47" t="n">
        <f aca="false">'Fault &amp; Downtime Entry'!J408</f>
        <v>0</v>
      </c>
      <c r="K407" s="47" t="n">
        <f aca="false">'Fault &amp; Downtime Entry'!K408</f>
        <v>0</v>
      </c>
      <c r="L407" s="47" t="n">
        <f aca="false">'Fault &amp; Downtime Entry'!L408</f>
        <v>0</v>
      </c>
      <c r="M407" s="47" t="str">
        <f aca="false">'Fault &amp; Downtime Entry'!M408</f>
        <v/>
      </c>
      <c r="N407" s="47" t="n">
        <f aca="false">'Fault &amp; Downtime Entry'!N408</f>
        <v>0</v>
      </c>
      <c r="O407" s="47" t="n">
        <f aca="false">'Fault &amp; Downtime Entry'!O408</f>
        <v>0</v>
      </c>
      <c r="P407" s="47" t="str">
        <f aca="false">IF(OR(J407="",K407=""),"",IFERROR(J407/K407*1000,0))</f>
        <v/>
      </c>
      <c r="Q407" s="47" t="str">
        <f aca="false">IF(OR(L407="",K407=""),"",IFERROR(L407/K407*1000,0))</f>
        <v/>
      </c>
      <c r="R407" s="47" t="str">
        <f aca="false">IF(OR(M407="High",M407="Critical"),"YES","")</f>
        <v/>
      </c>
    </row>
    <row r="408" customFormat="false" ht="15" hidden="false" customHeight="true" outlineLevel="0" collapsed="false">
      <c r="A408" s="47" t="n">
        <f aca="false">'Fault &amp; Downtime Entry'!A409</f>
        <v>404</v>
      </c>
      <c r="B408" s="48" t="n">
        <f aca="false">'Fault &amp; Downtime Entry'!B409</f>
        <v>0</v>
      </c>
      <c r="C408" s="47" t="n">
        <f aca="false">'Fault &amp; Downtime Entry'!C409</f>
        <v>0</v>
      </c>
      <c r="D408" s="47" t="n">
        <f aca="false">'Fault &amp; Downtime Entry'!D409</f>
        <v>0</v>
      </c>
      <c r="E408" s="47" t="n">
        <f aca="false">'Fault &amp; Downtime Entry'!E409</f>
        <v>0</v>
      </c>
      <c r="F408" s="47" t="str">
        <f aca="false">'Fault &amp; Downtime Entry'!F409</f>
        <v/>
      </c>
      <c r="G408" s="47" t="n">
        <f aca="false">'Fault &amp; Downtime Entry'!G409</f>
        <v>0</v>
      </c>
      <c r="H408" s="47" t="str">
        <f aca="false">'Fault &amp; Downtime Entry'!H409</f>
        <v/>
      </c>
      <c r="I408" s="47" t="str">
        <f aca="false">'Fault &amp; Downtime Entry'!I409</f>
        <v/>
      </c>
      <c r="J408" s="47" t="n">
        <f aca="false">'Fault &amp; Downtime Entry'!J409</f>
        <v>0</v>
      </c>
      <c r="K408" s="47" t="n">
        <f aca="false">'Fault &amp; Downtime Entry'!K409</f>
        <v>0</v>
      </c>
      <c r="L408" s="47" t="n">
        <f aca="false">'Fault &amp; Downtime Entry'!L409</f>
        <v>0</v>
      </c>
      <c r="M408" s="47" t="str">
        <f aca="false">'Fault &amp; Downtime Entry'!M409</f>
        <v/>
      </c>
      <c r="N408" s="47" t="n">
        <f aca="false">'Fault &amp; Downtime Entry'!N409</f>
        <v>0</v>
      </c>
      <c r="O408" s="47" t="n">
        <f aca="false">'Fault &amp; Downtime Entry'!O409</f>
        <v>0</v>
      </c>
      <c r="P408" s="47" t="str">
        <f aca="false">IF(OR(J408="",K408=""),"",IFERROR(J408/K408*1000,0))</f>
        <v/>
      </c>
      <c r="Q408" s="47" t="str">
        <f aca="false">IF(OR(L408="",K408=""),"",IFERROR(L408/K408*1000,0))</f>
        <v/>
      </c>
      <c r="R408" s="47" t="str">
        <f aca="false">IF(OR(M408="High",M408="Critical"),"YES","")</f>
        <v/>
      </c>
    </row>
    <row r="409" customFormat="false" ht="15" hidden="false" customHeight="true" outlineLevel="0" collapsed="false">
      <c r="A409" s="47" t="n">
        <f aca="false">'Fault &amp; Downtime Entry'!A410</f>
        <v>405</v>
      </c>
      <c r="B409" s="48" t="n">
        <f aca="false">'Fault &amp; Downtime Entry'!B410</f>
        <v>0</v>
      </c>
      <c r="C409" s="47" t="n">
        <f aca="false">'Fault &amp; Downtime Entry'!C410</f>
        <v>0</v>
      </c>
      <c r="D409" s="47" t="n">
        <f aca="false">'Fault &amp; Downtime Entry'!D410</f>
        <v>0</v>
      </c>
      <c r="E409" s="47" t="n">
        <f aca="false">'Fault &amp; Downtime Entry'!E410</f>
        <v>0</v>
      </c>
      <c r="F409" s="47" t="str">
        <f aca="false">'Fault &amp; Downtime Entry'!F410</f>
        <v/>
      </c>
      <c r="G409" s="47" t="n">
        <f aca="false">'Fault &amp; Downtime Entry'!G410</f>
        <v>0</v>
      </c>
      <c r="H409" s="47" t="str">
        <f aca="false">'Fault &amp; Downtime Entry'!H410</f>
        <v/>
      </c>
      <c r="I409" s="47" t="str">
        <f aca="false">'Fault &amp; Downtime Entry'!I410</f>
        <v/>
      </c>
      <c r="J409" s="47" t="n">
        <f aca="false">'Fault &amp; Downtime Entry'!J410</f>
        <v>0</v>
      </c>
      <c r="K409" s="47" t="n">
        <f aca="false">'Fault &amp; Downtime Entry'!K410</f>
        <v>0</v>
      </c>
      <c r="L409" s="47" t="n">
        <f aca="false">'Fault &amp; Downtime Entry'!L410</f>
        <v>0</v>
      </c>
      <c r="M409" s="47" t="str">
        <f aca="false">'Fault &amp; Downtime Entry'!M410</f>
        <v/>
      </c>
      <c r="N409" s="47" t="n">
        <f aca="false">'Fault &amp; Downtime Entry'!N410</f>
        <v>0</v>
      </c>
      <c r="O409" s="47" t="n">
        <f aca="false">'Fault &amp; Downtime Entry'!O410</f>
        <v>0</v>
      </c>
      <c r="P409" s="47" t="str">
        <f aca="false">IF(OR(J409="",K409=""),"",IFERROR(J409/K409*1000,0))</f>
        <v/>
      </c>
      <c r="Q409" s="47" t="str">
        <f aca="false">IF(OR(L409="",K409=""),"",IFERROR(L409/K409*1000,0))</f>
        <v/>
      </c>
      <c r="R409" s="47" t="str">
        <f aca="false">IF(OR(M409="High",M409="Critical"),"YES","")</f>
        <v/>
      </c>
    </row>
    <row r="410" customFormat="false" ht="15" hidden="false" customHeight="true" outlineLevel="0" collapsed="false">
      <c r="A410" s="47" t="n">
        <f aca="false">'Fault &amp; Downtime Entry'!A411</f>
        <v>406</v>
      </c>
      <c r="B410" s="48" t="n">
        <f aca="false">'Fault &amp; Downtime Entry'!B411</f>
        <v>0</v>
      </c>
      <c r="C410" s="47" t="n">
        <f aca="false">'Fault &amp; Downtime Entry'!C411</f>
        <v>0</v>
      </c>
      <c r="D410" s="47" t="n">
        <f aca="false">'Fault &amp; Downtime Entry'!D411</f>
        <v>0</v>
      </c>
      <c r="E410" s="47" t="n">
        <f aca="false">'Fault &amp; Downtime Entry'!E411</f>
        <v>0</v>
      </c>
      <c r="F410" s="47" t="str">
        <f aca="false">'Fault &amp; Downtime Entry'!F411</f>
        <v/>
      </c>
      <c r="G410" s="47" t="n">
        <f aca="false">'Fault &amp; Downtime Entry'!G411</f>
        <v>0</v>
      </c>
      <c r="H410" s="47" t="str">
        <f aca="false">'Fault &amp; Downtime Entry'!H411</f>
        <v/>
      </c>
      <c r="I410" s="47" t="str">
        <f aca="false">'Fault &amp; Downtime Entry'!I411</f>
        <v/>
      </c>
      <c r="J410" s="47" t="n">
        <f aca="false">'Fault &amp; Downtime Entry'!J411</f>
        <v>0</v>
      </c>
      <c r="K410" s="47" t="n">
        <f aca="false">'Fault &amp; Downtime Entry'!K411</f>
        <v>0</v>
      </c>
      <c r="L410" s="47" t="n">
        <f aca="false">'Fault &amp; Downtime Entry'!L411</f>
        <v>0</v>
      </c>
      <c r="M410" s="47" t="str">
        <f aca="false">'Fault &amp; Downtime Entry'!M411</f>
        <v/>
      </c>
      <c r="N410" s="47" t="n">
        <f aca="false">'Fault &amp; Downtime Entry'!N411</f>
        <v>0</v>
      </c>
      <c r="O410" s="47" t="n">
        <f aca="false">'Fault &amp; Downtime Entry'!O411</f>
        <v>0</v>
      </c>
      <c r="P410" s="47" t="str">
        <f aca="false">IF(OR(J410="",K410=""),"",IFERROR(J410/K410*1000,0))</f>
        <v/>
      </c>
      <c r="Q410" s="47" t="str">
        <f aca="false">IF(OR(L410="",K410=""),"",IFERROR(L410/K410*1000,0))</f>
        <v/>
      </c>
      <c r="R410" s="47" t="str">
        <f aca="false">IF(OR(M410="High",M410="Critical"),"YES","")</f>
        <v/>
      </c>
    </row>
    <row r="411" customFormat="false" ht="15" hidden="false" customHeight="true" outlineLevel="0" collapsed="false">
      <c r="A411" s="47" t="n">
        <f aca="false">'Fault &amp; Downtime Entry'!A412</f>
        <v>407</v>
      </c>
      <c r="B411" s="48" t="n">
        <f aca="false">'Fault &amp; Downtime Entry'!B412</f>
        <v>0</v>
      </c>
      <c r="C411" s="47" t="n">
        <f aca="false">'Fault &amp; Downtime Entry'!C412</f>
        <v>0</v>
      </c>
      <c r="D411" s="47" t="n">
        <f aca="false">'Fault &amp; Downtime Entry'!D412</f>
        <v>0</v>
      </c>
      <c r="E411" s="47" t="n">
        <f aca="false">'Fault &amp; Downtime Entry'!E412</f>
        <v>0</v>
      </c>
      <c r="F411" s="47" t="str">
        <f aca="false">'Fault &amp; Downtime Entry'!F412</f>
        <v/>
      </c>
      <c r="G411" s="47" t="n">
        <f aca="false">'Fault &amp; Downtime Entry'!G412</f>
        <v>0</v>
      </c>
      <c r="H411" s="47" t="str">
        <f aca="false">'Fault &amp; Downtime Entry'!H412</f>
        <v/>
      </c>
      <c r="I411" s="47" t="str">
        <f aca="false">'Fault &amp; Downtime Entry'!I412</f>
        <v/>
      </c>
      <c r="J411" s="47" t="n">
        <f aca="false">'Fault &amp; Downtime Entry'!J412</f>
        <v>0</v>
      </c>
      <c r="K411" s="47" t="n">
        <f aca="false">'Fault &amp; Downtime Entry'!K412</f>
        <v>0</v>
      </c>
      <c r="L411" s="47" t="n">
        <f aca="false">'Fault &amp; Downtime Entry'!L412</f>
        <v>0</v>
      </c>
      <c r="M411" s="47" t="str">
        <f aca="false">'Fault &amp; Downtime Entry'!M412</f>
        <v/>
      </c>
      <c r="N411" s="47" t="n">
        <f aca="false">'Fault &amp; Downtime Entry'!N412</f>
        <v>0</v>
      </c>
      <c r="O411" s="47" t="n">
        <f aca="false">'Fault &amp; Downtime Entry'!O412</f>
        <v>0</v>
      </c>
      <c r="P411" s="47" t="str">
        <f aca="false">IF(OR(J411="",K411=""),"",IFERROR(J411/K411*1000,0))</f>
        <v/>
      </c>
      <c r="Q411" s="47" t="str">
        <f aca="false">IF(OR(L411="",K411=""),"",IFERROR(L411/K411*1000,0))</f>
        <v/>
      </c>
      <c r="R411" s="47" t="str">
        <f aca="false">IF(OR(M411="High",M411="Critical"),"YES","")</f>
        <v/>
      </c>
    </row>
    <row r="412" customFormat="false" ht="15" hidden="false" customHeight="true" outlineLevel="0" collapsed="false">
      <c r="A412" s="47" t="n">
        <f aca="false">'Fault &amp; Downtime Entry'!A413</f>
        <v>408</v>
      </c>
      <c r="B412" s="48" t="n">
        <f aca="false">'Fault &amp; Downtime Entry'!B413</f>
        <v>0</v>
      </c>
      <c r="C412" s="47" t="n">
        <f aca="false">'Fault &amp; Downtime Entry'!C413</f>
        <v>0</v>
      </c>
      <c r="D412" s="47" t="n">
        <f aca="false">'Fault &amp; Downtime Entry'!D413</f>
        <v>0</v>
      </c>
      <c r="E412" s="47" t="n">
        <f aca="false">'Fault &amp; Downtime Entry'!E413</f>
        <v>0</v>
      </c>
      <c r="F412" s="47" t="str">
        <f aca="false">'Fault &amp; Downtime Entry'!F413</f>
        <v/>
      </c>
      <c r="G412" s="47" t="n">
        <f aca="false">'Fault &amp; Downtime Entry'!G413</f>
        <v>0</v>
      </c>
      <c r="H412" s="47" t="str">
        <f aca="false">'Fault &amp; Downtime Entry'!H413</f>
        <v/>
      </c>
      <c r="I412" s="47" t="str">
        <f aca="false">'Fault &amp; Downtime Entry'!I413</f>
        <v/>
      </c>
      <c r="J412" s="47" t="n">
        <f aca="false">'Fault &amp; Downtime Entry'!J413</f>
        <v>0</v>
      </c>
      <c r="K412" s="47" t="n">
        <f aca="false">'Fault &amp; Downtime Entry'!K413</f>
        <v>0</v>
      </c>
      <c r="L412" s="47" t="n">
        <f aca="false">'Fault &amp; Downtime Entry'!L413</f>
        <v>0</v>
      </c>
      <c r="M412" s="47" t="str">
        <f aca="false">'Fault &amp; Downtime Entry'!M413</f>
        <v/>
      </c>
      <c r="N412" s="47" t="n">
        <f aca="false">'Fault &amp; Downtime Entry'!N413</f>
        <v>0</v>
      </c>
      <c r="O412" s="47" t="n">
        <f aca="false">'Fault &amp; Downtime Entry'!O413</f>
        <v>0</v>
      </c>
      <c r="P412" s="47" t="str">
        <f aca="false">IF(OR(J412="",K412=""),"",IFERROR(J412/K412*1000,0))</f>
        <v/>
      </c>
      <c r="Q412" s="47" t="str">
        <f aca="false">IF(OR(L412="",K412=""),"",IFERROR(L412/K412*1000,0))</f>
        <v/>
      </c>
      <c r="R412" s="47" t="str">
        <f aca="false">IF(OR(M412="High",M412="Critical"),"YES","")</f>
        <v/>
      </c>
    </row>
    <row r="413" customFormat="false" ht="15" hidden="false" customHeight="true" outlineLevel="0" collapsed="false">
      <c r="A413" s="47" t="n">
        <f aca="false">'Fault &amp; Downtime Entry'!A414</f>
        <v>409</v>
      </c>
      <c r="B413" s="48" t="n">
        <f aca="false">'Fault &amp; Downtime Entry'!B414</f>
        <v>0</v>
      </c>
      <c r="C413" s="47" t="n">
        <f aca="false">'Fault &amp; Downtime Entry'!C414</f>
        <v>0</v>
      </c>
      <c r="D413" s="47" t="n">
        <f aca="false">'Fault &amp; Downtime Entry'!D414</f>
        <v>0</v>
      </c>
      <c r="E413" s="47" t="n">
        <f aca="false">'Fault &amp; Downtime Entry'!E414</f>
        <v>0</v>
      </c>
      <c r="F413" s="47" t="str">
        <f aca="false">'Fault &amp; Downtime Entry'!F414</f>
        <v/>
      </c>
      <c r="G413" s="47" t="n">
        <f aca="false">'Fault &amp; Downtime Entry'!G414</f>
        <v>0</v>
      </c>
      <c r="H413" s="47" t="str">
        <f aca="false">'Fault &amp; Downtime Entry'!H414</f>
        <v/>
      </c>
      <c r="I413" s="47" t="str">
        <f aca="false">'Fault &amp; Downtime Entry'!I414</f>
        <v/>
      </c>
      <c r="J413" s="47" t="n">
        <f aca="false">'Fault &amp; Downtime Entry'!J414</f>
        <v>0</v>
      </c>
      <c r="K413" s="47" t="n">
        <f aca="false">'Fault &amp; Downtime Entry'!K414</f>
        <v>0</v>
      </c>
      <c r="L413" s="47" t="n">
        <f aca="false">'Fault &amp; Downtime Entry'!L414</f>
        <v>0</v>
      </c>
      <c r="M413" s="47" t="str">
        <f aca="false">'Fault &amp; Downtime Entry'!M414</f>
        <v/>
      </c>
      <c r="N413" s="47" t="n">
        <f aca="false">'Fault &amp; Downtime Entry'!N414</f>
        <v>0</v>
      </c>
      <c r="O413" s="47" t="n">
        <f aca="false">'Fault &amp; Downtime Entry'!O414</f>
        <v>0</v>
      </c>
      <c r="P413" s="47" t="str">
        <f aca="false">IF(OR(J413="",K413=""),"",IFERROR(J413/K413*1000,0))</f>
        <v/>
      </c>
      <c r="Q413" s="47" t="str">
        <f aca="false">IF(OR(L413="",K413=""),"",IFERROR(L413/K413*1000,0))</f>
        <v/>
      </c>
      <c r="R413" s="47" t="str">
        <f aca="false">IF(OR(M413="High",M413="Critical"),"YES","")</f>
        <v/>
      </c>
    </row>
    <row r="414" customFormat="false" ht="15" hidden="false" customHeight="true" outlineLevel="0" collapsed="false">
      <c r="A414" s="47" t="n">
        <f aca="false">'Fault &amp; Downtime Entry'!A415</f>
        <v>410</v>
      </c>
      <c r="B414" s="48" t="n">
        <f aca="false">'Fault &amp; Downtime Entry'!B415</f>
        <v>0</v>
      </c>
      <c r="C414" s="47" t="n">
        <f aca="false">'Fault &amp; Downtime Entry'!C415</f>
        <v>0</v>
      </c>
      <c r="D414" s="47" t="n">
        <f aca="false">'Fault &amp; Downtime Entry'!D415</f>
        <v>0</v>
      </c>
      <c r="E414" s="47" t="n">
        <f aca="false">'Fault &amp; Downtime Entry'!E415</f>
        <v>0</v>
      </c>
      <c r="F414" s="47" t="str">
        <f aca="false">'Fault &amp; Downtime Entry'!F415</f>
        <v/>
      </c>
      <c r="G414" s="47" t="n">
        <f aca="false">'Fault &amp; Downtime Entry'!G415</f>
        <v>0</v>
      </c>
      <c r="H414" s="47" t="str">
        <f aca="false">'Fault &amp; Downtime Entry'!H415</f>
        <v/>
      </c>
      <c r="I414" s="47" t="str">
        <f aca="false">'Fault &amp; Downtime Entry'!I415</f>
        <v/>
      </c>
      <c r="J414" s="47" t="n">
        <f aca="false">'Fault &amp; Downtime Entry'!J415</f>
        <v>0</v>
      </c>
      <c r="K414" s="47" t="n">
        <f aca="false">'Fault &amp; Downtime Entry'!K415</f>
        <v>0</v>
      </c>
      <c r="L414" s="47" t="n">
        <f aca="false">'Fault &amp; Downtime Entry'!L415</f>
        <v>0</v>
      </c>
      <c r="M414" s="47" t="str">
        <f aca="false">'Fault &amp; Downtime Entry'!M415</f>
        <v/>
      </c>
      <c r="N414" s="47" t="n">
        <f aca="false">'Fault &amp; Downtime Entry'!N415</f>
        <v>0</v>
      </c>
      <c r="O414" s="47" t="n">
        <f aca="false">'Fault &amp; Downtime Entry'!O415</f>
        <v>0</v>
      </c>
      <c r="P414" s="47" t="str">
        <f aca="false">IF(OR(J414="",K414=""),"",IFERROR(J414/K414*1000,0))</f>
        <v/>
      </c>
      <c r="Q414" s="47" t="str">
        <f aca="false">IF(OR(L414="",K414=""),"",IFERROR(L414/K414*1000,0))</f>
        <v/>
      </c>
      <c r="R414" s="47" t="str">
        <f aca="false">IF(OR(M414="High",M414="Critical"),"YES","")</f>
        <v/>
      </c>
    </row>
    <row r="415" customFormat="false" ht="15" hidden="false" customHeight="true" outlineLevel="0" collapsed="false">
      <c r="A415" s="47" t="n">
        <f aca="false">'Fault &amp; Downtime Entry'!A416</f>
        <v>411</v>
      </c>
      <c r="B415" s="48" t="n">
        <f aca="false">'Fault &amp; Downtime Entry'!B416</f>
        <v>0</v>
      </c>
      <c r="C415" s="47" t="n">
        <f aca="false">'Fault &amp; Downtime Entry'!C416</f>
        <v>0</v>
      </c>
      <c r="D415" s="47" t="n">
        <f aca="false">'Fault &amp; Downtime Entry'!D416</f>
        <v>0</v>
      </c>
      <c r="E415" s="47" t="n">
        <f aca="false">'Fault &amp; Downtime Entry'!E416</f>
        <v>0</v>
      </c>
      <c r="F415" s="47" t="str">
        <f aca="false">'Fault &amp; Downtime Entry'!F416</f>
        <v/>
      </c>
      <c r="G415" s="47" t="n">
        <f aca="false">'Fault &amp; Downtime Entry'!G416</f>
        <v>0</v>
      </c>
      <c r="H415" s="47" t="str">
        <f aca="false">'Fault &amp; Downtime Entry'!H416</f>
        <v/>
      </c>
      <c r="I415" s="47" t="str">
        <f aca="false">'Fault &amp; Downtime Entry'!I416</f>
        <v/>
      </c>
      <c r="J415" s="47" t="n">
        <f aca="false">'Fault &amp; Downtime Entry'!J416</f>
        <v>0</v>
      </c>
      <c r="K415" s="47" t="n">
        <f aca="false">'Fault &amp; Downtime Entry'!K416</f>
        <v>0</v>
      </c>
      <c r="L415" s="47" t="n">
        <f aca="false">'Fault &amp; Downtime Entry'!L416</f>
        <v>0</v>
      </c>
      <c r="M415" s="47" t="str">
        <f aca="false">'Fault &amp; Downtime Entry'!M416</f>
        <v/>
      </c>
      <c r="N415" s="47" t="n">
        <f aca="false">'Fault &amp; Downtime Entry'!N416</f>
        <v>0</v>
      </c>
      <c r="O415" s="47" t="n">
        <f aca="false">'Fault &amp; Downtime Entry'!O416</f>
        <v>0</v>
      </c>
      <c r="P415" s="47" t="str">
        <f aca="false">IF(OR(J415="",K415=""),"",IFERROR(J415/K415*1000,0))</f>
        <v/>
      </c>
      <c r="Q415" s="47" t="str">
        <f aca="false">IF(OR(L415="",K415=""),"",IFERROR(L415/K415*1000,0))</f>
        <v/>
      </c>
      <c r="R415" s="47" t="str">
        <f aca="false">IF(OR(M415="High",M415="Critical"),"YES","")</f>
        <v/>
      </c>
    </row>
    <row r="416" customFormat="false" ht="15" hidden="false" customHeight="true" outlineLevel="0" collapsed="false">
      <c r="A416" s="47" t="n">
        <f aca="false">'Fault &amp; Downtime Entry'!A417</f>
        <v>412</v>
      </c>
      <c r="B416" s="48" t="n">
        <f aca="false">'Fault &amp; Downtime Entry'!B417</f>
        <v>0</v>
      </c>
      <c r="C416" s="47" t="n">
        <f aca="false">'Fault &amp; Downtime Entry'!C417</f>
        <v>0</v>
      </c>
      <c r="D416" s="47" t="n">
        <f aca="false">'Fault &amp; Downtime Entry'!D417</f>
        <v>0</v>
      </c>
      <c r="E416" s="47" t="n">
        <f aca="false">'Fault &amp; Downtime Entry'!E417</f>
        <v>0</v>
      </c>
      <c r="F416" s="47" t="str">
        <f aca="false">'Fault &amp; Downtime Entry'!F417</f>
        <v/>
      </c>
      <c r="G416" s="47" t="n">
        <f aca="false">'Fault &amp; Downtime Entry'!G417</f>
        <v>0</v>
      </c>
      <c r="H416" s="47" t="str">
        <f aca="false">'Fault &amp; Downtime Entry'!H417</f>
        <v/>
      </c>
      <c r="I416" s="47" t="str">
        <f aca="false">'Fault &amp; Downtime Entry'!I417</f>
        <v/>
      </c>
      <c r="J416" s="47" t="n">
        <f aca="false">'Fault &amp; Downtime Entry'!J417</f>
        <v>0</v>
      </c>
      <c r="K416" s="47" t="n">
        <f aca="false">'Fault &amp; Downtime Entry'!K417</f>
        <v>0</v>
      </c>
      <c r="L416" s="47" t="n">
        <f aca="false">'Fault &amp; Downtime Entry'!L417</f>
        <v>0</v>
      </c>
      <c r="M416" s="47" t="str">
        <f aca="false">'Fault &amp; Downtime Entry'!M417</f>
        <v/>
      </c>
      <c r="N416" s="47" t="n">
        <f aca="false">'Fault &amp; Downtime Entry'!N417</f>
        <v>0</v>
      </c>
      <c r="O416" s="47" t="n">
        <f aca="false">'Fault &amp; Downtime Entry'!O417</f>
        <v>0</v>
      </c>
      <c r="P416" s="47" t="str">
        <f aca="false">IF(OR(J416="",K416=""),"",IFERROR(J416/K416*1000,0))</f>
        <v/>
      </c>
      <c r="Q416" s="47" t="str">
        <f aca="false">IF(OR(L416="",K416=""),"",IFERROR(L416/K416*1000,0))</f>
        <v/>
      </c>
      <c r="R416" s="47" t="str">
        <f aca="false">IF(OR(M416="High",M416="Critical"),"YES","")</f>
        <v/>
      </c>
    </row>
    <row r="417" customFormat="false" ht="15" hidden="false" customHeight="true" outlineLevel="0" collapsed="false">
      <c r="A417" s="47" t="n">
        <f aca="false">'Fault &amp; Downtime Entry'!A418</f>
        <v>413</v>
      </c>
      <c r="B417" s="48" t="n">
        <f aca="false">'Fault &amp; Downtime Entry'!B418</f>
        <v>0</v>
      </c>
      <c r="C417" s="47" t="n">
        <f aca="false">'Fault &amp; Downtime Entry'!C418</f>
        <v>0</v>
      </c>
      <c r="D417" s="47" t="n">
        <f aca="false">'Fault &amp; Downtime Entry'!D418</f>
        <v>0</v>
      </c>
      <c r="E417" s="47" t="n">
        <f aca="false">'Fault &amp; Downtime Entry'!E418</f>
        <v>0</v>
      </c>
      <c r="F417" s="47" t="str">
        <f aca="false">'Fault &amp; Downtime Entry'!F418</f>
        <v/>
      </c>
      <c r="G417" s="47" t="n">
        <f aca="false">'Fault &amp; Downtime Entry'!G418</f>
        <v>0</v>
      </c>
      <c r="H417" s="47" t="str">
        <f aca="false">'Fault &amp; Downtime Entry'!H418</f>
        <v/>
      </c>
      <c r="I417" s="47" t="str">
        <f aca="false">'Fault &amp; Downtime Entry'!I418</f>
        <v/>
      </c>
      <c r="J417" s="47" t="n">
        <f aca="false">'Fault &amp; Downtime Entry'!J418</f>
        <v>0</v>
      </c>
      <c r="K417" s="47" t="n">
        <f aca="false">'Fault &amp; Downtime Entry'!K418</f>
        <v>0</v>
      </c>
      <c r="L417" s="47" t="n">
        <f aca="false">'Fault &amp; Downtime Entry'!L418</f>
        <v>0</v>
      </c>
      <c r="M417" s="47" t="str">
        <f aca="false">'Fault &amp; Downtime Entry'!M418</f>
        <v/>
      </c>
      <c r="N417" s="47" t="n">
        <f aca="false">'Fault &amp; Downtime Entry'!N418</f>
        <v>0</v>
      </c>
      <c r="O417" s="47" t="n">
        <f aca="false">'Fault &amp; Downtime Entry'!O418</f>
        <v>0</v>
      </c>
      <c r="P417" s="47" t="str">
        <f aca="false">IF(OR(J417="",K417=""),"",IFERROR(J417/K417*1000,0))</f>
        <v/>
      </c>
      <c r="Q417" s="47" t="str">
        <f aca="false">IF(OR(L417="",K417=""),"",IFERROR(L417/K417*1000,0))</f>
        <v/>
      </c>
      <c r="R417" s="47" t="str">
        <f aca="false">IF(OR(M417="High",M417="Critical"),"YES","")</f>
        <v/>
      </c>
    </row>
    <row r="418" customFormat="false" ht="15" hidden="false" customHeight="true" outlineLevel="0" collapsed="false">
      <c r="A418" s="47" t="n">
        <f aca="false">'Fault &amp; Downtime Entry'!A419</f>
        <v>414</v>
      </c>
      <c r="B418" s="48" t="n">
        <f aca="false">'Fault &amp; Downtime Entry'!B419</f>
        <v>0</v>
      </c>
      <c r="C418" s="47" t="n">
        <f aca="false">'Fault &amp; Downtime Entry'!C419</f>
        <v>0</v>
      </c>
      <c r="D418" s="47" t="n">
        <f aca="false">'Fault &amp; Downtime Entry'!D419</f>
        <v>0</v>
      </c>
      <c r="E418" s="47" t="n">
        <f aca="false">'Fault &amp; Downtime Entry'!E419</f>
        <v>0</v>
      </c>
      <c r="F418" s="47" t="str">
        <f aca="false">'Fault &amp; Downtime Entry'!F419</f>
        <v/>
      </c>
      <c r="G418" s="47" t="n">
        <f aca="false">'Fault &amp; Downtime Entry'!G419</f>
        <v>0</v>
      </c>
      <c r="H418" s="47" t="str">
        <f aca="false">'Fault &amp; Downtime Entry'!H419</f>
        <v/>
      </c>
      <c r="I418" s="47" t="str">
        <f aca="false">'Fault &amp; Downtime Entry'!I419</f>
        <v/>
      </c>
      <c r="J418" s="47" t="n">
        <f aca="false">'Fault &amp; Downtime Entry'!J419</f>
        <v>0</v>
      </c>
      <c r="K418" s="47" t="n">
        <f aca="false">'Fault &amp; Downtime Entry'!K419</f>
        <v>0</v>
      </c>
      <c r="L418" s="47" t="n">
        <f aca="false">'Fault &amp; Downtime Entry'!L419</f>
        <v>0</v>
      </c>
      <c r="M418" s="47" t="str">
        <f aca="false">'Fault &amp; Downtime Entry'!M419</f>
        <v/>
      </c>
      <c r="N418" s="47" t="n">
        <f aca="false">'Fault &amp; Downtime Entry'!N419</f>
        <v>0</v>
      </c>
      <c r="O418" s="47" t="n">
        <f aca="false">'Fault &amp; Downtime Entry'!O419</f>
        <v>0</v>
      </c>
      <c r="P418" s="47" t="str">
        <f aca="false">IF(OR(J418="",K418=""),"",IFERROR(J418/K418*1000,0))</f>
        <v/>
      </c>
      <c r="Q418" s="47" t="str">
        <f aca="false">IF(OR(L418="",K418=""),"",IFERROR(L418/K418*1000,0))</f>
        <v/>
      </c>
      <c r="R418" s="47" t="str">
        <f aca="false">IF(OR(M418="High",M418="Critical"),"YES","")</f>
        <v/>
      </c>
    </row>
    <row r="419" customFormat="false" ht="15" hidden="false" customHeight="true" outlineLevel="0" collapsed="false">
      <c r="A419" s="47" t="n">
        <f aca="false">'Fault &amp; Downtime Entry'!A420</f>
        <v>415</v>
      </c>
      <c r="B419" s="48" t="n">
        <f aca="false">'Fault &amp; Downtime Entry'!B420</f>
        <v>0</v>
      </c>
      <c r="C419" s="47" t="n">
        <f aca="false">'Fault &amp; Downtime Entry'!C420</f>
        <v>0</v>
      </c>
      <c r="D419" s="47" t="n">
        <f aca="false">'Fault &amp; Downtime Entry'!D420</f>
        <v>0</v>
      </c>
      <c r="E419" s="47" t="n">
        <f aca="false">'Fault &amp; Downtime Entry'!E420</f>
        <v>0</v>
      </c>
      <c r="F419" s="47" t="str">
        <f aca="false">'Fault &amp; Downtime Entry'!F420</f>
        <v/>
      </c>
      <c r="G419" s="47" t="n">
        <f aca="false">'Fault &amp; Downtime Entry'!G420</f>
        <v>0</v>
      </c>
      <c r="H419" s="47" t="str">
        <f aca="false">'Fault &amp; Downtime Entry'!H420</f>
        <v/>
      </c>
      <c r="I419" s="47" t="str">
        <f aca="false">'Fault &amp; Downtime Entry'!I420</f>
        <v/>
      </c>
      <c r="J419" s="47" t="n">
        <f aca="false">'Fault &amp; Downtime Entry'!J420</f>
        <v>0</v>
      </c>
      <c r="K419" s="47" t="n">
        <f aca="false">'Fault &amp; Downtime Entry'!K420</f>
        <v>0</v>
      </c>
      <c r="L419" s="47" t="n">
        <f aca="false">'Fault &amp; Downtime Entry'!L420</f>
        <v>0</v>
      </c>
      <c r="M419" s="47" t="str">
        <f aca="false">'Fault &amp; Downtime Entry'!M420</f>
        <v/>
      </c>
      <c r="N419" s="47" t="n">
        <f aca="false">'Fault &amp; Downtime Entry'!N420</f>
        <v>0</v>
      </c>
      <c r="O419" s="47" t="n">
        <f aca="false">'Fault &amp; Downtime Entry'!O420</f>
        <v>0</v>
      </c>
      <c r="P419" s="47" t="str">
        <f aca="false">IF(OR(J419="",K419=""),"",IFERROR(J419/K419*1000,0))</f>
        <v/>
      </c>
      <c r="Q419" s="47" t="str">
        <f aca="false">IF(OR(L419="",K419=""),"",IFERROR(L419/K419*1000,0))</f>
        <v/>
      </c>
      <c r="R419" s="47" t="str">
        <f aca="false">IF(OR(M419="High",M419="Critical"),"YES","")</f>
        <v/>
      </c>
    </row>
    <row r="420" customFormat="false" ht="15" hidden="false" customHeight="true" outlineLevel="0" collapsed="false">
      <c r="A420" s="47" t="n">
        <f aca="false">'Fault &amp; Downtime Entry'!A421</f>
        <v>416</v>
      </c>
      <c r="B420" s="48" t="n">
        <f aca="false">'Fault &amp; Downtime Entry'!B421</f>
        <v>0</v>
      </c>
      <c r="C420" s="47" t="n">
        <f aca="false">'Fault &amp; Downtime Entry'!C421</f>
        <v>0</v>
      </c>
      <c r="D420" s="47" t="n">
        <f aca="false">'Fault &amp; Downtime Entry'!D421</f>
        <v>0</v>
      </c>
      <c r="E420" s="47" t="n">
        <f aca="false">'Fault &amp; Downtime Entry'!E421</f>
        <v>0</v>
      </c>
      <c r="F420" s="47" t="str">
        <f aca="false">'Fault &amp; Downtime Entry'!F421</f>
        <v/>
      </c>
      <c r="G420" s="47" t="n">
        <f aca="false">'Fault &amp; Downtime Entry'!G421</f>
        <v>0</v>
      </c>
      <c r="H420" s="47" t="str">
        <f aca="false">'Fault &amp; Downtime Entry'!H421</f>
        <v/>
      </c>
      <c r="I420" s="47" t="str">
        <f aca="false">'Fault &amp; Downtime Entry'!I421</f>
        <v/>
      </c>
      <c r="J420" s="47" t="n">
        <f aca="false">'Fault &amp; Downtime Entry'!J421</f>
        <v>0</v>
      </c>
      <c r="K420" s="47" t="n">
        <f aca="false">'Fault &amp; Downtime Entry'!K421</f>
        <v>0</v>
      </c>
      <c r="L420" s="47" t="n">
        <f aca="false">'Fault &amp; Downtime Entry'!L421</f>
        <v>0</v>
      </c>
      <c r="M420" s="47" t="str">
        <f aca="false">'Fault &amp; Downtime Entry'!M421</f>
        <v/>
      </c>
      <c r="N420" s="47" t="n">
        <f aca="false">'Fault &amp; Downtime Entry'!N421</f>
        <v>0</v>
      </c>
      <c r="O420" s="47" t="n">
        <f aca="false">'Fault &amp; Downtime Entry'!O421</f>
        <v>0</v>
      </c>
      <c r="P420" s="47" t="str">
        <f aca="false">IF(OR(J420="",K420=""),"",IFERROR(J420/K420*1000,0))</f>
        <v/>
      </c>
      <c r="Q420" s="47" t="str">
        <f aca="false">IF(OR(L420="",K420=""),"",IFERROR(L420/K420*1000,0))</f>
        <v/>
      </c>
      <c r="R420" s="47" t="str">
        <f aca="false">IF(OR(M420="High",M420="Critical"),"YES","")</f>
        <v/>
      </c>
    </row>
    <row r="421" customFormat="false" ht="15" hidden="false" customHeight="true" outlineLevel="0" collapsed="false">
      <c r="A421" s="47" t="n">
        <f aca="false">'Fault &amp; Downtime Entry'!A422</f>
        <v>417</v>
      </c>
      <c r="B421" s="48" t="n">
        <f aca="false">'Fault &amp; Downtime Entry'!B422</f>
        <v>0</v>
      </c>
      <c r="C421" s="47" t="n">
        <f aca="false">'Fault &amp; Downtime Entry'!C422</f>
        <v>0</v>
      </c>
      <c r="D421" s="47" t="n">
        <f aca="false">'Fault &amp; Downtime Entry'!D422</f>
        <v>0</v>
      </c>
      <c r="E421" s="47" t="n">
        <f aca="false">'Fault &amp; Downtime Entry'!E422</f>
        <v>0</v>
      </c>
      <c r="F421" s="47" t="str">
        <f aca="false">'Fault &amp; Downtime Entry'!F422</f>
        <v/>
      </c>
      <c r="G421" s="47" t="n">
        <f aca="false">'Fault &amp; Downtime Entry'!G422</f>
        <v>0</v>
      </c>
      <c r="H421" s="47" t="str">
        <f aca="false">'Fault &amp; Downtime Entry'!H422</f>
        <v/>
      </c>
      <c r="I421" s="47" t="str">
        <f aca="false">'Fault &amp; Downtime Entry'!I422</f>
        <v/>
      </c>
      <c r="J421" s="47" t="n">
        <f aca="false">'Fault &amp; Downtime Entry'!J422</f>
        <v>0</v>
      </c>
      <c r="K421" s="47" t="n">
        <f aca="false">'Fault &amp; Downtime Entry'!K422</f>
        <v>0</v>
      </c>
      <c r="L421" s="47" t="n">
        <f aca="false">'Fault &amp; Downtime Entry'!L422</f>
        <v>0</v>
      </c>
      <c r="M421" s="47" t="str">
        <f aca="false">'Fault &amp; Downtime Entry'!M422</f>
        <v/>
      </c>
      <c r="N421" s="47" t="n">
        <f aca="false">'Fault &amp; Downtime Entry'!N422</f>
        <v>0</v>
      </c>
      <c r="O421" s="47" t="n">
        <f aca="false">'Fault &amp; Downtime Entry'!O422</f>
        <v>0</v>
      </c>
      <c r="P421" s="47" t="str">
        <f aca="false">IF(OR(J421="",K421=""),"",IFERROR(J421/K421*1000,0))</f>
        <v/>
      </c>
      <c r="Q421" s="47" t="str">
        <f aca="false">IF(OR(L421="",K421=""),"",IFERROR(L421/K421*1000,0))</f>
        <v/>
      </c>
      <c r="R421" s="47" t="str">
        <f aca="false">IF(OR(M421="High",M421="Critical"),"YES","")</f>
        <v/>
      </c>
    </row>
    <row r="422" customFormat="false" ht="15" hidden="false" customHeight="true" outlineLevel="0" collapsed="false">
      <c r="A422" s="47" t="n">
        <f aca="false">'Fault &amp; Downtime Entry'!A423</f>
        <v>418</v>
      </c>
      <c r="B422" s="48" t="n">
        <f aca="false">'Fault &amp; Downtime Entry'!B423</f>
        <v>0</v>
      </c>
      <c r="C422" s="47" t="n">
        <f aca="false">'Fault &amp; Downtime Entry'!C423</f>
        <v>0</v>
      </c>
      <c r="D422" s="47" t="n">
        <f aca="false">'Fault &amp; Downtime Entry'!D423</f>
        <v>0</v>
      </c>
      <c r="E422" s="47" t="n">
        <f aca="false">'Fault &amp; Downtime Entry'!E423</f>
        <v>0</v>
      </c>
      <c r="F422" s="47" t="str">
        <f aca="false">'Fault &amp; Downtime Entry'!F423</f>
        <v/>
      </c>
      <c r="G422" s="47" t="n">
        <f aca="false">'Fault &amp; Downtime Entry'!G423</f>
        <v>0</v>
      </c>
      <c r="H422" s="47" t="str">
        <f aca="false">'Fault &amp; Downtime Entry'!H423</f>
        <v/>
      </c>
      <c r="I422" s="47" t="str">
        <f aca="false">'Fault &amp; Downtime Entry'!I423</f>
        <v/>
      </c>
      <c r="J422" s="47" t="n">
        <f aca="false">'Fault &amp; Downtime Entry'!J423</f>
        <v>0</v>
      </c>
      <c r="K422" s="47" t="n">
        <f aca="false">'Fault &amp; Downtime Entry'!K423</f>
        <v>0</v>
      </c>
      <c r="L422" s="47" t="n">
        <f aca="false">'Fault &amp; Downtime Entry'!L423</f>
        <v>0</v>
      </c>
      <c r="M422" s="47" t="str">
        <f aca="false">'Fault &amp; Downtime Entry'!M423</f>
        <v/>
      </c>
      <c r="N422" s="47" t="n">
        <f aca="false">'Fault &amp; Downtime Entry'!N423</f>
        <v>0</v>
      </c>
      <c r="O422" s="47" t="n">
        <f aca="false">'Fault &amp; Downtime Entry'!O423</f>
        <v>0</v>
      </c>
      <c r="P422" s="47" t="str">
        <f aca="false">IF(OR(J422="",K422=""),"",IFERROR(J422/K422*1000,0))</f>
        <v/>
      </c>
      <c r="Q422" s="47" t="str">
        <f aca="false">IF(OR(L422="",K422=""),"",IFERROR(L422/K422*1000,0))</f>
        <v/>
      </c>
      <c r="R422" s="47" t="str">
        <f aca="false">IF(OR(M422="High",M422="Critical"),"YES","")</f>
        <v/>
      </c>
    </row>
    <row r="423" customFormat="false" ht="15" hidden="false" customHeight="true" outlineLevel="0" collapsed="false">
      <c r="A423" s="47" t="n">
        <f aca="false">'Fault &amp; Downtime Entry'!A424</f>
        <v>419</v>
      </c>
      <c r="B423" s="48" t="n">
        <f aca="false">'Fault &amp; Downtime Entry'!B424</f>
        <v>0</v>
      </c>
      <c r="C423" s="47" t="n">
        <f aca="false">'Fault &amp; Downtime Entry'!C424</f>
        <v>0</v>
      </c>
      <c r="D423" s="47" t="n">
        <f aca="false">'Fault &amp; Downtime Entry'!D424</f>
        <v>0</v>
      </c>
      <c r="E423" s="47" t="n">
        <f aca="false">'Fault &amp; Downtime Entry'!E424</f>
        <v>0</v>
      </c>
      <c r="F423" s="47" t="str">
        <f aca="false">'Fault &amp; Downtime Entry'!F424</f>
        <v/>
      </c>
      <c r="G423" s="47" t="n">
        <f aca="false">'Fault &amp; Downtime Entry'!G424</f>
        <v>0</v>
      </c>
      <c r="H423" s="47" t="str">
        <f aca="false">'Fault &amp; Downtime Entry'!H424</f>
        <v/>
      </c>
      <c r="I423" s="47" t="str">
        <f aca="false">'Fault &amp; Downtime Entry'!I424</f>
        <v/>
      </c>
      <c r="J423" s="47" t="n">
        <f aca="false">'Fault &amp; Downtime Entry'!J424</f>
        <v>0</v>
      </c>
      <c r="K423" s="47" t="n">
        <f aca="false">'Fault &amp; Downtime Entry'!K424</f>
        <v>0</v>
      </c>
      <c r="L423" s="47" t="n">
        <f aca="false">'Fault &amp; Downtime Entry'!L424</f>
        <v>0</v>
      </c>
      <c r="M423" s="47" t="str">
        <f aca="false">'Fault &amp; Downtime Entry'!M424</f>
        <v/>
      </c>
      <c r="N423" s="47" t="n">
        <f aca="false">'Fault &amp; Downtime Entry'!N424</f>
        <v>0</v>
      </c>
      <c r="O423" s="47" t="n">
        <f aca="false">'Fault &amp; Downtime Entry'!O424</f>
        <v>0</v>
      </c>
      <c r="P423" s="47" t="str">
        <f aca="false">IF(OR(J423="",K423=""),"",IFERROR(J423/K423*1000,0))</f>
        <v/>
      </c>
      <c r="Q423" s="47" t="str">
        <f aca="false">IF(OR(L423="",K423=""),"",IFERROR(L423/K423*1000,0))</f>
        <v/>
      </c>
      <c r="R423" s="47" t="str">
        <f aca="false">IF(OR(M423="High",M423="Critical"),"YES","")</f>
        <v/>
      </c>
    </row>
    <row r="424" customFormat="false" ht="15" hidden="false" customHeight="true" outlineLevel="0" collapsed="false">
      <c r="A424" s="47" t="n">
        <f aca="false">'Fault &amp; Downtime Entry'!A425</f>
        <v>420</v>
      </c>
      <c r="B424" s="48" t="n">
        <f aca="false">'Fault &amp; Downtime Entry'!B425</f>
        <v>0</v>
      </c>
      <c r="C424" s="47" t="n">
        <f aca="false">'Fault &amp; Downtime Entry'!C425</f>
        <v>0</v>
      </c>
      <c r="D424" s="47" t="n">
        <f aca="false">'Fault &amp; Downtime Entry'!D425</f>
        <v>0</v>
      </c>
      <c r="E424" s="47" t="n">
        <f aca="false">'Fault &amp; Downtime Entry'!E425</f>
        <v>0</v>
      </c>
      <c r="F424" s="47" t="str">
        <f aca="false">'Fault &amp; Downtime Entry'!F425</f>
        <v/>
      </c>
      <c r="G424" s="47" t="n">
        <f aca="false">'Fault &amp; Downtime Entry'!G425</f>
        <v>0</v>
      </c>
      <c r="H424" s="47" t="str">
        <f aca="false">'Fault &amp; Downtime Entry'!H425</f>
        <v/>
      </c>
      <c r="I424" s="47" t="str">
        <f aca="false">'Fault &amp; Downtime Entry'!I425</f>
        <v/>
      </c>
      <c r="J424" s="47" t="n">
        <f aca="false">'Fault &amp; Downtime Entry'!J425</f>
        <v>0</v>
      </c>
      <c r="K424" s="47" t="n">
        <f aca="false">'Fault &amp; Downtime Entry'!K425</f>
        <v>0</v>
      </c>
      <c r="L424" s="47" t="n">
        <f aca="false">'Fault &amp; Downtime Entry'!L425</f>
        <v>0</v>
      </c>
      <c r="M424" s="47" t="str">
        <f aca="false">'Fault &amp; Downtime Entry'!M425</f>
        <v/>
      </c>
      <c r="N424" s="47" t="n">
        <f aca="false">'Fault &amp; Downtime Entry'!N425</f>
        <v>0</v>
      </c>
      <c r="O424" s="47" t="n">
        <f aca="false">'Fault &amp; Downtime Entry'!O425</f>
        <v>0</v>
      </c>
      <c r="P424" s="47" t="str">
        <f aca="false">IF(OR(J424="",K424=""),"",IFERROR(J424/K424*1000,0))</f>
        <v/>
      </c>
      <c r="Q424" s="47" t="str">
        <f aca="false">IF(OR(L424="",K424=""),"",IFERROR(L424/K424*1000,0))</f>
        <v/>
      </c>
      <c r="R424" s="47" t="str">
        <f aca="false">IF(OR(M424="High",M424="Critical"),"YES","")</f>
        <v/>
      </c>
    </row>
    <row r="425" customFormat="false" ht="15" hidden="false" customHeight="true" outlineLevel="0" collapsed="false">
      <c r="A425" s="47" t="n">
        <f aca="false">'Fault &amp; Downtime Entry'!A426</f>
        <v>421</v>
      </c>
      <c r="B425" s="48" t="n">
        <f aca="false">'Fault &amp; Downtime Entry'!B426</f>
        <v>0</v>
      </c>
      <c r="C425" s="47" t="n">
        <f aca="false">'Fault &amp; Downtime Entry'!C426</f>
        <v>0</v>
      </c>
      <c r="D425" s="47" t="n">
        <f aca="false">'Fault &amp; Downtime Entry'!D426</f>
        <v>0</v>
      </c>
      <c r="E425" s="47" t="n">
        <f aca="false">'Fault &amp; Downtime Entry'!E426</f>
        <v>0</v>
      </c>
      <c r="F425" s="47" t="str">
        <f aca="false">'Fault &amp; Downtime Entry'!F426</f>
        <v/>
      </c>
      <c r="G425" s="47" t="n">
        <f aca="false">'Fault &amp; Downtime Entry'!G426</f>
        <v>0</v>
      </c>
      <c r="H425" s="47" t="str">
        <f aca="false">'Fault &amp; Downtime Entry'!H426</f>
        <v/>
      </c>
      <c r="I425" s="47" t="str">
        <f aca="false">'Fault &amp; Downtime Entry'!I426</f>
        <v/>
      </c>
      <c r="J425" s="47" t="n">
        <f aca="false">'Fault &amp; Downtime Entry'!J426</f>
        <v>0</v>
      </c>
      <c r="K425" s="47" t="n">
        <f aca="false">'Fault &amp; Downtime Entry'!K426</f>
        <v>0</v>
      </c>
      <c r="L425" s="47" t="n">
        <f aca="false">'Fault &amp; Downtime Entry'!L426</f>
        <v>0</v>
      </c>
      <c r="M425" s="47" t="str">
        <f aca="false">'Fault &amp; Downtime Entry'!M426</f>
        <v/>
      </c>
      <c r="N425" s="47" t="n">
        <f aca="false">'Fault &amp; Downtime Entry'!N426</f>
        <v>0</v>
      </c>
      <c r="O425" s="47" t="n">
        <f aca="false">'Fault &amp; Downtime Entry'!O426</f>
        <v>0</v>
      </c>
      <c r="P425" s="47" t="str">
        <f aca="false">IF(OR(J425="",K425=""),"",IFERROR(J425/K425*1000,0))</f>
        <v/>
      </c>
      <c r="Q425" s="47" t="str">
        <f aca="false">IF(OR(L425="",K425=""),"",IFERROR(L425/K425*1000,0))</f>
        <v/>
      </c>
      <c r="R425" s="47" t="str">
        <f aca="false">IF(OR(M425="High",M425="Critical"),"YES","")</f>
        <v/>
      </c>
    </row>
    <row r="426" customFormat="false" ht="15" hidden="false" customHeight="true" outlineLevel="0" collapsed="false">
      <c r="A426" s="47" t="n">
        <f aca="false">'Fault &amp; Downtime Entry'!A427</f>
        <v>422</v>
      </c>
      <c r="B426" s="48" t="n">
        <f aca="false">'Fault &amp; Downtime Entry'!B427</f>
        <v>0</v>
      </c>
      <c r="C426" s="47" t="n">
        <f aca="false">'Fault &amp; Downtime Entry'!C427</f>
        <v>0</v>
      </c>
      <c r="D426" s="47" t="n">
        <f aca="false">'Fault &amp; Downtime Entry'!D427</f>
        <v>0</v>
      </c>
      <c r="E426" s="47" t="n">
        <f aca="false">'Fault &amp; Downtime Entry'!E427</f>
        <v>0</v>
      </c>
      <c r="F426" s="47" t="str">
        <f aca="false">'Fault &amp; Downtime Entry'!F427</f>
        <v/>
      </c>
      <c r="G426" s="47" t="n">
        <f aca="false">'Fault &amp; Downtime Entry'!G427</f>
        <v>0</v>
      </c>
      <c r="H426" s="47" t="str">
        <f aca="false">'Fault &amp; Downtime Entry'!H427</f>
        <v/>
      </c>
      <c r="I426" s="47" t="str">
        <f aca="false">'Fault &amp; Downtime Entry'!I427</f>
        <v/>
      </c>
      <c r="J426" s="47" t="n">
        <f aca="false">'Fault &amp; Downtime Entry'!J427</f>
        <v>0</v>
      </c>
      <c r="K426" s="47" t="n">
        <f aca="false">'Fault &amp; Downtime Entry'!K427</f>
        <v>0</v>
      </c>
      <c r="L426" s="47" t="n">
        <f aca="false">'Fault &amp; Downtime Entry'!L427</f>
        <v>0</v>
      </c>
      <c r="M426" s="47" t="str">
        <f aca="false">'Fault &amp; Downtime Entry'!M427</f>
        <v/>
      </c>
      <c r="N426" s="47" t="n">
        <f aca="false">'Fault &amp; Downtime Entry'!N427</f>
        <v>0</v>
      </c>
      <c r="O426" s="47" t="n">
        <f aca="false">'Fault &amp; Downtime Entry'!O427</f>
        <v>0</v>
      </c>
      <c r="P426" s="47" t="str">
        <f aca="false">IF(OR(J426="",K426=""),"",IFERROR(J426/K426*1000,0))</f>
        <v/>
      </c>
      <c r="Q426" s="47" t="str">
        <f aca="false">IF(OR(L426="",K426=""),"",IFERROR(L426/K426*1000,0))</f>
        <v/>
      </c>
      <c r="R426" s="47" t="str">
        <f aca="false">IF(OR(M426="High",M426="Critical"),"YES","")</f>
        <v/>
      </c>
    </row>
    <row r="427" customFormat="false" ht="15" hidden="false" customHeight="true" outlineLevel="0" collapsed="false">
      <c r="A427" s="47" t="n">
        <f aca="false">'Fault &amp; Downtime Entry'!A428</f>
        <v>423</v>
      </c>
      <c r="B427" s="48" t="n">
        <f aca="false">'Fault &amp; Downtime Entry'!B428</f>
        <v>0</v>
      </c>
      <c r="C427" s="47" t="n">
        <f aca="false">'Fault &amp; Downtime Entry'!C428</f>
        <v>0</v>
      </c>
      <c r="D427" s="47" t="n">
        <f aca="false">'Fault &amp; Downtime Entry'!D428</f>
        <v>0</v>
      </c>
      <c r="E427" s="47" t="n">
        <f aca="false">'Fault &amp; Downtime Entry'!E428</f>
        <v>0</v>
      </c>
      <c r="F427" s="47" t="str">
        <f aca="false">'Fault &amp; Downtime Entry'!F428</f>
        <v/>
      </c>
      <c r="G427" s="47" t="n">
        <f aca="false">'Fault &amp; Downtime Entry'!G428</f>
        <v>0</v>
      </c>
      <c r="H427" s="47" t="str">
        <f aca="false">'Fault &amp; Downtime Entry'!H428</f>
        <v/>
      </c>
      <c r="I427" s="47" t="str">
        <f aca="false">'Fault &amp; Downtime Entry'!I428</f>
        <v/>
      </c>
      <c r="J427" s="47" t="n">
        <f aca="false">'Fault &amp; Downtime Entry'!J428</f>
        <v>0</v>
      </c>
      <c r="K427" s="47" t="n">
        <f aca="false">'Fault &amp; Downtime Entry'!K428</f>
        <v>0</v>
      </c>
      <c r="L427" s="47" t="n">
        <f aca="false">'Fault &amp; Downtime Entry'!L428</f>
        <v>0</v>
      </c>
      <c r="M427" s="47" t="str">
        <f aca="false">'Fault &amp; Downtime Entry'!M428</f>
        <v/>
      </c>
      <c r="N427" s="47" t="n">
        <f aca="false">'Fault &amp; Downtime Entry'!N428</f>
        <v>0</v>
      </c>
      <c r="O427" s="47" t="n">
        <f aca="false">'Fault &amp; Downtime Entry'!O428</f>
        <v>0</v>
      </c>
      <c r="P427" s="47" t="str">
        <f aca="false">IF(OR(J427="",K427=""),"",IFERROR(J427/K427*1000,0))</f>
        <v/>
      </c>
      <c r="Q427" s="47" t="str">
        <f aca="false">IF(OR(L427="",K427=""),"",IFERROR(L427/K427*1000,0))</f>
        <v/>
      </c>
      <c r="R427" s="47" t="str">
        <f aca="false">IF(OR(M427="High",M427="Critical"),"YES","")</f>
        <v/>
      </c>
    </row>
    <row r="428" customFormat="false" ht="15" hidden="false" customHeight="true" outlineLevel="0" collapsed="false">
      <c r="A428" s="47" t="n">
        <f aca="false">'Fault &amp; Downtime Entry'!A429</f>
        <v>424</v>
      </c>
      <c r="B428" s="48" t="n">
        <f aca="false">'Fault &amp; Downtime Entry'!B429</f>
        <v>0</v>
      </c>
      <c r="C428" s="47" t="n">
        <f aca="false">'Fault &amp; Downtime Entry'!C429</f>
        <v>0</v>
      </c>
      <c r="D428" s="47" t="n">
        <f aca="false">'Fault &amp; Downtime Entry'!D429</f>
        <v>0</v>
      </c>
      <c r="E428" s="47" t="n">
        <f aca="false">'Fault &amp; Downtime Entry'!E429</f>
        <v>0</v>
      </c>
      <c r="F428" s="47" t="str">
        <f aca="false">'Fault &amp; Downtime Entry'!F429</f>
        <v/>
      </c>
      <c r="G428" s="47" t="n">
        <f aca="false">'Fault &amp; Downtime Entry'!G429</f>
        <v>0</v>
      </c>
      <c r="H428" s="47" t="str">
        <f aca="false">'Fault &amp; Downtime Entry'!H429</f>
        <v/>
      </c>
      <c r="I428" s="47" t="str">
        <f aca="false">'Fault &amp; Downtime Entry'!I429</f>
        <v/>
      </c>
      <c r="J428" s="47" t="n">
        <f aca="false">'Fault &amp; Downtime Entry'!J429</f>
        <v>0</v>
      </c>
      <c r="K428" s="47" t="n">
        <f aca="false">'Fault &amp; Downtime Entry'!K429</f>
        <v>0</v>
      </c>
      <c r="L428" s="47" t="n">
        <f aca="false">'Fault &amp; Downtime Entry'!L429</f>
        <v>0</v>
      </c>
      <c r="M428" s="47" t="str">
        <f aca="false">'Fault &amp; Downtime Entry'!M429</f>
        <v/>
      </c>
      <c r="N428" s="47" t="n">
        <f aca="false">'Fault &amp; Downtime Entry'!N429</f>
        <v>0</v>
      </c>
      <c r="O428" s="47" t="n">
        <f aca="false">'Fault &amp; Downtime Entry'!O429</f>
        <v>0</v>
      </c>
      <c r="P428" s="47" t="str">
        <f aca="false">IF(OR(J428="",K428=""),"",IFERROR(J428/K428*1000,0))</f>
        <v/>
      </c>
      <c r="Q428" s="47" t="str">
        <f aca="false">IF(OR(L428="",K428=""),"",IFERROR(L428/K428*1000,0))</f>
        <v/>
      </c>
      <c r="R428" s="47" t="str">
        <f aca="false">IF(OR(M428="High",M428="Critical"),"YES","")</f>
        <v/>
      </c>
    </row>
    <row r="429" customFormat="false" ht="15" hidden="false" customHeight="true" outlineLevel="0" collapsed="false">
      <c r="A429" s="47" t="n">
        <f aca="false">'Fault &amp; Downtime Entry'!A430</f>
        <v>425</v>
      </c>
      <c r="B429" s="48" t="n">
        <f aca="false">'Fault &amp; Downtime Entry'!B430</f>
        <v>0</v>
      </c>
      <c r="C429" s="47" t="n">
        <f aca="false">'Fault &amp; Downtime Entry'!C430</f>
        <v>0</v>
      </c>
      <c r="D429" s="47" t="n">
        <f aca="false">'Fault &amp; Downtime Entry'!D430</f>
        <v>0</v>
      </c>
      <c r="E429" s="47" t="n">
        <f aca="false">'Fault &amp; Downtime Entry'!E430</f>
        <v>0</v>
      </c>
      <c r="F429" s="47" t="str">
        <f aca="false">'Fault &amp; Downtime Entry'!F430</f>
        <v/>
      </c>
      <c r="G429" s="47" t="n">
        <f aca="false">'Fault &amp; Downtime Entry'!G430</f>
        <v>0</v>
      </c>
      <c r="H429" s="47" t="str">
        <f aca="false">'Fault &amp; Downtime Entry'!H430</f>
        <v/>
      </c>
      <c r="I429" s="47" t="str">
        <f aca="false">'Fault &amp; Downtime Entry'!I430</f>
        <v/>
      </c>
      <c r="J429" s="47" t="n">
        <f aca="false">'Fault &amp; Downtime Entry'!J430</f>
        <v>0</v>
      </c>
      <c r="K429" s="47" t="n">
        <f aca="false">'Fault &amp; Downtime Entry'!K430</f>
        <v>0</v>
      </c>
      <c r="L429" s="47" t="n">
        <f aca="false">'Fault &amp; Downtime Entry'!L430</f>
        <v>0</v>
      </c>
      <c r="M429" s="47" t="str">
        <f aca="false">'Fault &amp; Downtime Entry'!M430</f>
        <v/>
      </c>
      <c r="N429" s="47" t="n">
        <f aca="false">'Fault &amp; Downtime Entry'!N430</f>
        <v>0</v>
      </c>
      <c r="O429" s="47" t="n">
        <f aca="false">'Fault &amp; Downtime Entry'!O430</f>
        <v>0</v>
      </c>
      <c r="P429" s="47" t="str">
        <f aca="false">IF(OR(J429="",K429=""),"",IFERROR(J429/K429*1000,0))</f>
        <v/>
      </c>
      <c r="Q429" s="47" t="str">
        <f aca="false">IF(OR(L429="",K429=""),"",IFERROR(L429/K429*1000,0))</f>
        <v/>
      </c>
      <c r="R429" s="47" t="str">
        <f aca="false">IF(OR(M429="High",M429="Critical"),"YES","")</f>
        <v/>
      </c>
    </row>
    <row r="430" customFormat="false" ht="15" hidden="false" customHeight="true" outlineLevel="0" collapsed="false">
      <c r="A430" s="47" t="n">
        <f aca="false">'Fault &amp; Downtime Entry'!A431</f>
        <v>426</v>
      </c>
      <c r="B430" s="48" t="n">
        <f aca="false">'Fault &amp; Downtime Entry'!B431</f>
        <v>0</v>
      </c>
      <c r="C430" s="47" t="n">
        <f aca="false">'Fault &amp; Downtime Entry'!C431</f>
        <v>0</v>
      </c>
      <c r="D430" s="47" t="n">
        <f aca="false">'Fault &amp; Downtime Entry'!D431</f>
        <v>0</v>
      </c>
      <c r="E430" s="47" t="n">
        <f aca="false">'Fault &amp; Downtime Entry'!E431</f>
        <v>0</v>
      </c>
      <c r="F430" s="47" t="str">
        <f aca="false">'Fault &amp; Downtime Entry'!F431</f>
        <v/>
      </c>
      <c r="G430" s="47" t="n">
        <f aca="false">'Fault &amp; Downtime Entry'!G431</f>
        <v>0</v>
      </c>
      <c r="H430" s="47" t="str">
        <f aca="false">'Fault &amp; Downtime Entry'!H431</f>
        <v/>
      </c>
      <c r="I430" s="47" t="str">
        <f aca="false">'Fault &amp; Downtime Entry'!I431</f>
        <v/>
      </c>
      <c r="J430" s="47" t="n">
        <f aca="false">'Fault &amp; Downtime Entry'!J431</f>
        <v>0</v>
      </c>
      <c r="K430" s="47" t="n">
        <f aca="false">'Fault &amp; Downtime Entry'!K431</f>
        <v>0</v>
      </c>
      <c r="L430" s="47" t="n">
        <f aca="false">'Fault &amp; Downtime Entry'!L431</f>
        <v>0</v>
      </c>
      <c r="M430" s="47" t="str">
        <f aca="false">'Fault &amp; Downtime Entry'!M431</f>
        <v/>
      </c>
      <c r="N430" s="47" t="n">
        <f aca="false">'Fault &amp; Downtime Entry'!N431</f>
        <v>0</v>
      </c>
      <c r="O430" s="47" t="n">
        <f aca="false">'Fault &amp; Downtime Entry'!O431</f>
        <v>0</v>
      </c>
      <c r="P430" s="47" t="str">
        <f aca="false">IF(OR(J430="",K430=""),"",IFERROR(J430/K430*1000,0))</f>
        <v/>
      </c>
      <c r="Q430" s="47" t="str">
        <f aca="false">IF(OR(L430="",K430=""),"",IFERROR(L430/K430*1000,0))</f>
        <v/>
      </c>
      <c r="R430" s="47" t="str">
        <f aca="false">IF(OR(M430="High",M430="Critical"),"YES","")</f>
        <v/>
      </c>
    </row>
    <row r="431" customFormat="false" ht="15" hidden="false" customHeight="true" outlineLevel="0" collapsed="false">
      <c r="A431" s="47" t="n">
        <f aca="false">'Fault &amp; Downtime Entry'!A432</f>
        <v>427</v>
      </c>
      <c r="B431" s="48" t="n">
        <f aca="false">'Fault &amp; Downtime Entry'!B432</f>
        <v>0</v>
      </c>
      <c r="C431" s="47" t="n">
        <f aca="false">'Fault &amp; Downtime Entry'!C432</f>
        <v>0</v>
      </c>
      <c r="D431" s="47" t="n">
        <f aca="false">'Fault &amp; Downtime Entry'!D432</f>
        <v>0</v>
      </c>
      <c r="E431" s="47" t="n">
        <f aca="false">'Fault &amp; Downtime Entry'!E432</f>
        <v>0</v>
      </c>
      <c r="F431" s="47" t="str">
        <f aca="false">'Fault &amp; Downtime Entry'!F432</f>
        <v/>
      </c>
      <c r="G431" s="47" t="n">
        <f aca="false">'Fault &amp; Downtime Entry'!G432</f>
        <v>0</v>
      </c>
      <c r="H431" s="47" t="str">
        <f aca="false">'Fault &amp; Downtime Entry'!H432</f>
        <v/>
      </c>
      <c r="I431" s="47" t="str">
        <f aca="false">'Fault &amp; Downtime Entry'!I432</f>
        <v/>
      </c>
      <c r="J431" s="47" t="n">
        <f aca="false">'Fault &amp; Downtime Entry'!J432</f>
        <v>0</v>
      </c>
      <c r="K431" s="47" t="n">
        <f aca="false">'Fault &amp; Downtime Entry'!K432</f>
        <v>0</v>
      </c>
      <c r="L431" s="47" t="n">
        <f aca="false">'Fault &amp; Downtime Entry'!L432</f>
        <v>0</v>
      </c>
      <c r="M431" s="47" t="str">
        <f aca="false">'Fault &amp; Downtime Entry'!M432</f>
        <v/>
      </c>
      <c r="N431" s="47" t="n">
        <f aca="false">'Fault &amp; Downtime Entry'!N432</f>
        <v>0</v>
      </c>
      <c r="O431" s="47" t="n">
        <f aca="false">'Fault &amp; Downtime Entry'!O432</f>
        <v>0</v>
      </c>
      <c r="P431" s="47" t="str">
        <f aca="false">IF(OR(J431="",K431=""),"",IFERROR(J431/K431*1000,0))</f>
        <v/>
      </c>
      <c r="Q431" s="47" t="str">
        <f aca="false">IF(OR(L431="",K431=""),"",IFERROR(L431/K431*1000,0))</f>
        <v/>
      </c>
      <c r="R431" s="47" t="str">
        <f aca="false">IF(OR(M431="High",M431="Critical"),"YES","")</f>
        <v/>
      </c>
    </row>
    <row r="432" customFormat="false" ht="15" hidden="false" customHeight="true" outlineLevel="0" collapsed="false">
      <c r="A432" s="47" t="n">
        <f aca="false">'Fault &amp; Downtime Entry'!A433</f>
        <v>428</v>
      </c>
      <c r="B432" s="48" t="n">
        <f aca="false">'Fault &amp; Downtime Entry'!B433</f>
        <v>0</v>
      </c>
      <c r="C432" s="47" t="n">
        <f aca="false">'Fault &amp; Downtime Entry'!C433</f>
        <v>0</v>
      </c>
      <c r="D432" s="47" t="n">
        <f aca="false">'Fault &amp; Downtime Entry'!D433</f>
        <v>0</v>
      </c>
      <c r="E432" s="47" t="n">
        <f aca="false">'Fault &amp; Downtime Entry'!E433</f>
        <v>0</v>
      </c>
      <c r="F432" s="47" t="str">
        <f aca="false">'Fault &amp; Downtime Entry'!F433</f>
        <v/>
      </c>
      <c r="G432" s="47" t="n">
        <f aca="false">'Fault &amp; Downtime Entry'!G433</f>
        <v>0</v>
      </c>
      <c r="H432" s="47" t="str">
        <f aca="false">'Fault &amp; Downtime Entry'!H433</f>
        <v/>
      </c>
      <c r="I432" s="47" t="str">
        <f aca="false">'Fault &amp; Downtime Entry'!I433</f>
        <v/>
      </c>
      <c r="J432" s="47" t="n">
        <f aca="false">'Fault &amp; Downtime Entry'!J433</f>
        <v>0</v>
      </c>
      <c r="K432" s="47" t="n">
        <f aca="false">'Fault &amp; Downtime Entry'!K433</f>
        <v>0</v>
      </c>
      <c r="L432" s="47" t="n">
        <f aca="false">'Fault &amp; Downtime Entry'!L433</f>
        <v>0</v>
      </c>
      <c r="M432" s="47" t="str">
        <f aca="false">'Fault &amp; Downtime Entry'!M433</f>
        <v/>
      </c>
      <c r="N432" s="47" t="n">
        <f aca="false">'Fault &amp; Downtime Entry'!N433</f>
        <v>0</v>
      </c>
      <c r="O432" s="47" t="n">
        <f aca="false">'Fault &amp; Downtime Entry'!O433</f>
        <v>0</v>
      </c>
      <c r="P432" s="47" t="str">
        <f aca="false">IF(OR(J432="",K432=""),"",IFERROR(J432/K432*1000,0))</f>
        <v/>
      </c>
      <c r="Q432" s="47" t="str">
        <f aca="false">IF(OR(L432="",K432=""),"",IFERROR(L432/K432*1000,0))</f>
        <v/>
      </c>
      <c r="R432" s="47" t="str">
        <f aca="false">IF(OR(M432="High",M432="Critical"),"YES","")</f>
        <v/>
      </c>
    </row>
    <row r="433" customFormat="false" ht="15" hidden="false" customHeight="true" outlineLevel="0" collapsed="false">
      <c r="A433" s="47" t="n">
        <f aca="false">'Fault &amp; Downtime Entry'!A434</f>
        <v>429</v>
      </c>
      <c r="B433" s="48" t="n">
        <f aca="false">'Fault &amp; Downtime Entry'!B434</f>
        <v>0</v>
      </c>
      <c r="C433" s="47" t="n">
        <f aca="false">'Fault &amp; Downtime Entry'!C434</f>
        <v>0</v>
      </c>
      <c r="D433" s="47" t="n">
        <f aca="false">'Fault &amp; Downtime Entry'!D434</f>
        <v>0</v>
      </c>
      <c r="E433" s="47" t="n">
        <f aca="false">'Fault &amp; Downtime Entry'!E434</f>
        <v>0</v>
      </c>
      <c r="F433" s="47" t="str">
        <f aca="false">'Fault &amp; Downtime Entry'!F434</f>
        <v/>
      </c>
      <c r="G433" s="47" t="n">
        <f aca="false">'Fault &amp; Downtime Entry'!G434</f>
        <v>0</v>
      </c>
      <c r="H433" s="47" t="str">
        <f aca="false">'Fault &amp; Downtime Entry'!H434</f>
        <v/>
      </c>
      <c r="I433" s="47" t="str">
        <f aca="false">'Fault &amp; Downtime Entry'!I434</f>
        <v/>
      </c>
      <c r="J433" s="47" t="n">
        <f aca="false">'Fault &amp; Downtime Entry'!J434</f>
        <v>0</v>
      </c>
      <c r="K433" s="47" t="n">
        <f aca="false">'Fault &amp; Downtime Entry'!K434</f>
        <v>0</v>
      </c>
      <c r="L433" s="47" t="n">
        <f aca="false">'Fault &amp; Downtime Entry'!L434</f>
        <v>0</v>
      </c>
      <c r="M433" s="47" t="str">
        <f aca="false">'Fault &amp; Downtime Entry'!M434</f>
        <v/>
      </c>
      <c r="N433" s="47" t="n">
        <f aca="false">'Fault &amp; Downtime Entry'!N434</f>
        <v>0</v>
      </c>
      <c r="O433" s="47" t="n">
        <f aca="false">'Fault &amp; Downtime Entry'!O434</f>
        <v>0</v>
      </c>
      <c r="P433" s="47" t="str">
        <f aca="false">IF(OR(J433="",K433=""),"",IFERROR(J433/K433*1000,0))</f>
        <v/>
      </c>
      <c r="Q433" s="47" t="str">
        <f aca="false">IF(OR(L433="",K433=""),"",IFERROR(L433/K433*1000,0))</f>
        <v/>
      </c>
      <c r="R433" s="47" t="str">
        <f aca="false">IF(OR(M433="High",M433="Critical"),"YES","")</f>
        <v/>
      </c>
    </row>
    <row r="434" customFormat="false" ht="15" hidden="false" customHeight="true" outlineLevel="0" collapsed="false">
      <c r="A434" s="47" t="n">
        <f aca="false">'Fault &amp; Downtime Entry'!A435</f>
        <v>430</v>
      </c>
      <c r="B434" s="48" t="n">
        <f aca="false">'Fault &amp; Downtime Entry'!B435</f>
        <v>0</v>
      </c>
      <c r="C434" s="47" t="n">
        <f aca="false">'Fault &amp; Downtime Entry'!C435</f>
        <v>0</v>
      </c>
      <c r="D434" s="47" t="n">
        <f aca="false">'Fault &amp; Downtime Entry'!D435</f>
        <v>0</v>
      </c>
      <c r="E434" s="47" t="n">
        <f aca="false">'Fault &amp; Downtime Entry'!E435</f>
        <v>0</v>
      </c>
      <c r="F434" s="47" t="str">
        <f aca="false">'Fault &amp; Downtime Entry'!F435</f>
        <v/>
      </c>
      <c r="G434" s="47" t="n">
        <f aca="false">'Fault &amp; Downtime Entry'!G435</f>
        <v>0</v>
      </c>
      <c r="H434" s="47" t="str">
        <f aca="false">'Fault &amp; Downtime Entry'!H435</f>
        <v/>
      </c>
      <c r="I434" s="47" t="str">
        <f aca="false">'Fault &amp; Downtime Entry'!I435</f>
        <v/>
      </c>
      <c r="J434" s="47" t="n">
        <f aca="false">'Fault &amp; Downtime Entry'!J435</f>
        <v>0</v>
      </c>
      <c r="K434" s="47" t="n">
        <f aca="false">'Fault &amp; Downtime Entry'!K435</f>
        <v>0</v>
      </c>
      <c r="L434" s="47" t="n">
        <f aca="false">'Fault &amp; Downtime Entry'!L435</f>
        <v>0</v>
      </c>
      <c r="M434" s="47" t="str">
        <f aca="false">'Fault &amp; Downtime Entry'!M435</f>
        <v/>
      </c>
      <c r="N434" s="47" t="n">
        <f aca="false">'Fault &amp; Downtime Entry'!N435</f>
        <v>0</v>
      </c>
      <c r="O434" s="47" t="n">
        <f aca="false">'Fault &amp; Downtime Entry'!O435</f>
        <v>0</v>
      </c>
      <c r="P434" s="47" t="str">
        <f aca="false">IF(OR(J434="",K434=""),"",IFERROR(J434/K434*1000,0))</f>
        <v/>
      </c>
      <c r="Q434" s="47" t="str">
        <f aca="false">IF(OR(L434="",K434=""),"",IFERROR(L434/K434*1000,0))</f>
        <v/>
      </c>
      <c r="R434" s="47" t="str">
        <f aca="false">IF(OR(M434="High",M434="Critical"),"YES","")</f>
        <v/>
      </c>
    </row>
    <row r="435" customFormat="false" ht="15" hidden="false" customHeight="true" outlineLevel="0" collapsed="false">
      <c r="A435" s="47" t="n">
        <f aca="false">'Fault &amp; Downtime Entry'!A436</f>
        <v>431</v>
      </c>
      <c r="B435" s="48" t="n">
        <f aca="false">'Fault &amp; Downtime Entry'!B436</f>
        <v>0</v>
      </c>
      <c r="C435" s="47" t="n">
        <f aca="false">'Fault &amp; Downtime Entry'!C436</f>
        <v>0</v>
      </c>
      <c r="D435" s="47" t="n">
        <f aca="false">'Fault &amp; Downtime Entry'!D436</f>
        <v>0</v>
      </c>
      <c r="E435" s="47" t="n">
        <f aca="false">'Fault &amp; Downtime Entry'!E436</f>
        <v>0</v>
      </c>
      <c r="F435" s="47" t="str">
        <f aca="false">'Fault &amp; Downtime Entry'!F436</f>
        <v/>
      </c>
      <c r="G435" s="47" t="n">
        <f aca="false">'Fault &amp; Downtime Entry'!G436</f>
        <v>0</v>
      </c>
      <c r="H435" s="47" t="str">
        <f aca="false">'Fault &amp; Downtime Entry'!H436</f>
        <v/>
      </c>
      <c r="I435" s="47" t="str">
        <f aca="false">'Fault &amp; Downtime Entry'!I436</f>
        <v/>
      </c>
      <c r="J435" s="47" t="n">
        <f aca="false">'Fault &amp; Downtime Entry'!J436</f>
        <v>0</v>
      </c>
      <c r="K435" s="47" t="n">
        <f aca="false">'Fault &amp; Downtime Entry'!K436</f>
        <v>0</v>
      </c>
      <c r="L435" s="47" t="n">
        <f aca="false">'Fault &amp; Downtime Entry'!L436</f>
        <v>0</v>
      </c>
      <c r="M435" s="47" t="str">
        <f aca="false">'Fault &amp; Downtime Entry'!M436</f>
        <v/>
      </c>
      <c r="N435" s="47" t="n">
        <f aca="false">'Fault &amp; Downtime Entry'!N436</f>
        <v>0</v>
      </c>
      <c r="O435" s="47" t="n">
        <f aca="false">'Fault &amp; Downtime Entry'!O436</f>
        <v>0</v>
      </c>
      <c r="P435" s="47" t="str">
        <f aca="false">IF(OR(J435="",K435=""),"",IFERROR(J435/K435*1000,0))</f>
        <v/>
      </c>
      <c r="Q435" s="47" t="str">
        <f aca="false">IF(OR(L435="",K435=""),"",IFERROR(L435/K435*1000,0))</f>
        <v/>
      </c>
      <c r="R435" s="47" t="str">
        <f aca="false">IF(OR(M435="High",M435="Critical"),"YES","")</f>
        <v/>
      </c>
    </row>
    <row r="436" customFormat="false" ht="15" hidden="false" customHeight="true" outlineLevel="0" collapsed="false">
      <c r="A436" s="47" t="n">
        <f aca="false">'Fault &amp; Downtime Entry'!A437</f>
        <v>432</v>
      </c>
      <c r="B436" s="48" t="n">
        <f aca="false">'Fault &amp; Downtime Entry'!B437</f>
        <v>0</v>
      </c>
      <c r="C436" s="47" t="n">
        <f aca="false">'Fault &amp; Downtime Entry'!C437</f>
        <v>0</v>
      </c>
      <c r="D436" s="47" t="n">
        <f aca="false">'Fault &amp; Downtime Entry'!D437</f>
        <v>0</v>
      </c>
      <c r="E436" s="47" t="n">
        <f aca="false">'Fault &amp; Downtime Entry'!E437</f>
        <v>0</v>
      </c>
      <c r="F436" s="47" t="str">
        <f aca="false">'Fault &amp; Downtime Entry'!F437</f>
        <v/>
      </c>
      <c r="G436" s="47" t="n">
        <f aca="false">'Fault &amp; Downtime Entry'!G437</f>
        <v>0</v>
      </c>
      <c r="H436" s="47" t="str">
        <f aca="false">'Fault &amp; Downtime Entry'!H437</f>
        <v/>
      </c>
      <c r="I436" s="47" t="str">
        <f aca="false">'Fault &amp; Downtime Entry'!I437</f>
        <v/>
      </c>
      <c r="J436" s="47" t="n">
        <f aca="false">'Fault &amp; Downtime Entry'!J437</f>
        <v>0</v>
      </c>
      <c r="K436" s="47" t="n">
        <f aca="false">'Fault &amp; Downtime Entry'!K437</f>
        <v>0</v>
      </c>
      <c r="L436" s="47" t="n">
        <f aca="false">'Fault &amp; Downtime Entry'!L437</f>
        <v>0</v>
      </c>
      <c r="M436" s="47" t="str">
        <f aca="false">'Fault &amp; Downtime Entry'!M437</f>
        <v/>
      </c>
      <c r="N436" s="47" t="n">
        <f aca="false">'Fault &amp; Downtime Entry'!N437</f>
        <v>0</v>
      </c>
      <c r="O436" s="47" t="n">
        <f aca="false">'Fault &amp; Downtime Entry'!O437</f>
        <v>0</v>
      </c>
      <c r="P436" s="47" t="str">
        <f aca="false">IF(OR(J436="",K436=""),"",IFERROR(J436/K436*1000,0))</f>
        <v/>
      </c>
      <c r="Q436" s="47" t="str">
        <f aca="false">IF(OR(L436="",K436=""),"",IFERROR(L436/K436*1000,0))</f>
        <v/>
      </c>
      <c r="R436" s="47" t="str">
        <f aca="false">IF(OR(M436="High",M436="Critical"),"YES","")</f>
        <v/>
      </c>
    </row>
    <row r="437" customFormat="false" ht="15" hidden="false" customHeight="true" outlineLevel="0" collapsed="false">
      <c r="A437" s="47" t="n">
        <f aca="false">'Fault &amp; Downtime Entry'!A438</f>
        <v>433</v>
      </c>
      <c r="B437" s="48" t="n">
        <f aca="false">'Fault &amp; Downtime Entry'!B438</f>
        <v>0</v>
      </c>
      <c r="C437" s="47" t="n">
        <f aca="false">'Fault &amp; Downtime Entry'!C438</f>
        <v>0</v>
      </c>
      <c r="D437" s="47" t="n">
        <f aca="false">'Fault &amp; Downtime Entry'!D438</f>
        <v>0</v>
      </c>
      <c r="E437" s="47" t="n">
        <f aca="false">'Fault &amp; Downtime Entry'!E438</f>
        <v>0</v>
      </c>
      <c r="F437" s="47" t="str">
        <f aca="false">'Fault &amp; Downtime Entry'!F438</f>
        <v/>
      </c>
      <c r="G437" s="47" t="n">
        <f aca="false">'Fault &amp; Downtime Entry'!G438</f>
        <v>0</v>
      </c>
      <c r="H437" s="47" t="str">
        <f aca="false">'Fault &amp; Downtime Entry'!H438</f>
        <v/>
      </c>
      <c r="I437" s="47" t="str">
        <f aca="false">'Fault &amp; Downtime Entry'!I438</f>
        <v/>
      </c>
      <c r="J437" s="47" t="n">
        <f aca="false">'Fault &amp; Downtime Entry'!J438</f>
        <v>0</v>
      </c>
      <c r="K437" s="47" t="n">
        <f aca="false">'Fault &amp; Downtime Entry'!K438</f>
        <v>0</v>
      </c>
      <c r="L437" s="47" t="n">
        <f aca="false">'Fault &amp; Downtime Entry'!L438</f>
        <v>0</v>
      </c>
      <c r="M437" s="47" t="str">
        <f aca="false">'Fault &amp; Downtime Entry'!M438</f>
        <v/>
      </c>
      <c r="N437" s="47" t="n">
        <f aca="false">'Fault &amp; Downtime Entry'!N438</f>
        <v>0</v>
      </c>
      <c r="O437" s="47" t="n">
        <f aca="false">'Fault &amp; Downtime Entry'!O438</f>
        <v>0</v>
      </c>
      <c r="P437" s="47" t="str">
        <f aca="false">IF(OR(J437="",K437=""),"",IFERROR(J437/K437*1000,0))</f>
        <v/>
      </c>
      <c r="Q437" s="47" t="str">
        <f aca="false">IF(OR(L437="",K437=""),"",IFERROR(L437/K437*1000,0))</f>
        <v/>
      </c>
      <c r="R437" s="47" t="str">
        <f aca="false">IF(OR(M437="High",M437="Critical"),"YES","")</f>
        <v/>
      </c>
    </row>
    <row r="438" customFormat="false" ht="15" hidden="false" customHeight="true" outlineLevel="0" collapsed="false">
      <c r="A438" s="47" t="n">
        <f aca="false">'Fault &amp; Downtime Entry'!A439</f>
        <v>434</v>
      </c>
      <c r="B438" s="48" t="n">
        <f aca="false">'Fault &amp; Downtime Entry'!B439</f>
        <v>0</v>
      </c>
      <c r="C438" s="47" t="n">
        <f aca="false">'Fault &amp; Downtime Entry'!C439</f>
        <v>0</v>
      </c>
      <c r="D438" s="47" t="n">
        <f aca="false">'Fault &amp; Downtime Entry'!D439</f>
        <v>0</v>
      </c>
      <c r="E438" s="47" t="n">
        <f aca="false">'Fault &amp; Downtime Entry'!E439</f>
        <v>0</v>
      </c>
      <c r="F438" s="47" t="str">
        <f aca="false">'Fault &amp; Downtime Entry'!F439</f>
        <v/>
      </c>
      <c r="G438" s="47" t="n">
        <f aca="false">'Fault &amp; Downtime Entry'!G439</f>
        <v>0</v>
      </c>
      <c r="H438" s="47" t="str">
        <f aca="false">'Fault &amp; Downtime Entry'!H439</f>
        <v/>
      </c>
      <c r="I438" s="47" t="str">
        <f aca="false">'Fault &amp; Downtime Entry'!I439</f>
        <v/>
      </c>
      <c r="J438" s="47" t="n">
        <f aca="false">'Fault &amp; Downtime Entry'!J439</f>
        <v>0</v>
      </c>
      <c r="K438" s="47" t="n">
        <f aca="false">'Fault &amp; Downtime Entry'!K439</f>
        <v>0</v>
      </c>
      <c r="L438" s="47" t="n">
        <f aca="false">'Fault &amp; Downtime Entry'!L439</f>
        <v>0</v>
      </c>
      <c r="M438" s="47" t="str">
        <f aca="false">'Fault &amp; Downtime Entry'!M439</f>
        <v/>
      </c>
      <c r="N438" s="47" t="n">
        <f aca="false">'Fault &amp; Downtime Entry'!N439</f>
        <v>0</v>
      </c>
      <c r="O438" s="47" t="n">
        <f aca="false">'Fault &amp; Downtime Entry'!O439</f>
        <v>0</v>
      </c>
      <c r="P438" s="47" t="str">
        <f aca="false">IF(OR(J438="",K438=""),"",IFERROR(J438/K438*1000,0))</f>
        <v/>
      </c>
      <c r="Q438" s="47" t="str">
        <f aca="false">IF(OR(L438="",K438=""),"",IFERROR(L438/K438*1000,0))</f>
        <v/>
      </c>
      <c r="R438" s="47" t="str">
        <f aca="false">IF(OR(M438="High",M438="Critical"),"YES","")</f>
        <v/>
      </c>
    </row>
    <row r="439" customFormat="false" ht="15" hidden="false" customHeight="true" outlineLevel="0" collapsed="false">
      <c r="A439" s="47" t="n">
        <f aca="false">'Fault &amp; Downtime Entry'!A440</f>
        <v>435</v>
      </c>
      <c r="B439" s="48" t="n">
        <f aca="false">'Fault &amp; Downtime Entry'!B440</f>
        <v>0</v>
      </c>
      <c r="C439" s="47" t="n">
        <f aca="false">'Fault &amp; Downtime Entry'!C440</f>
        <v>0</v>
      </c>
      <c r="D439" s="47" t="n">
        <f aca="false">'Fault &amp; Downtime Entry'!D440</f>
        <v>0</v>
      </c>
      <c r="E439" s="47" t="n">
        <f aca="false">'Fault &amp; Downtime Entry'!E440</f>
        <v>0</v>
      </c>
      <c r="F439" s="47" t="str">
        <f aca="false">'Fault &amp; Downtime Entry'!F440</f>
        <v/>
      </c>
      <c r="G439" s="47" t="n">
        <f aca="false">'Fault &amp; Downtime Entry'!G440</f>
        <v>0</v>
      </c>
      <c r="H439" s="47" t="str">
        <f aca="false">'Fault &amp; Downtime Entry'!H440</f>
        <v/>
      </c>
      <c r="I439" s="47" t="str">
        <f aca="false">'Fault &amp; Downtime Entry'!I440</f>
        <v/>
      </c>
      <c r="J439" s="47" t="n">
        <f aca="false">'Fault &amp; Downtime Entry'!J440</f>
        <v>0</v>
      </c>
      <c r="K439" s="47" t="n">
        <f aca="false">'Fault &amp; Downtime Entry'!K440</f>
        <v>0</v>
      </c>
      <c r="L439" s="47" t="n">
        <f aca="false">'Fault &amp; Downtime Entry'!L440</f>
        <v>0</v>
      </c>
      <c r="M439" s="47" t="str">
        <f aca="false">'Fault &amp; Downtime Entry'!M440</f>
        <v/>
      </c>
      <c r="N439" s="47" t="n">
        <f aca="false">'Fault &amp; Downtime Entry'!N440</f>
        <v>0</v>
      </c>
      <c r="O439" s="47" t="n">
        <f aca="false">'Fault &amp; Downtime Entry'!O440</f>
        <v>0</v>
      </c>
      <c r="P439" s="47" t="str">
        <f aca="false">IF(OR(J439="",K439=""),"",IFERROR(J439/K439*1000,0))</f>
        <v/>
      </c>
      <c r="Q439" s="47" t="str">
        <f aca="false">IF(OR(L439="",K439=""),"",IFERROR(L439/K439*1000,0))</f>
        <v/>
      </c>
      <c r="R439" s="47" t="str">
        <f aca="false">IF(OR(M439="High",M439="Critical"),"YES","")</f>
        <v/>
      </c>
    </row>
    <row r="440" customFormat="false" ht="15" hidden="false" customHeight="true" outlineLevel="0" collapsed="false">
      <c r="A440" s="47" t="n">
        <f aca="false">'Fault &amp; Downtime Entry'!A441</f>
        <v>436</v>
      </c>
      <c r="B440" s="48" t="n">
        <f aca="false">'Fault &amp; Downtime Entry'!B441</f>
        <v>0</v>
      </c>
      <c r="C440" s="47" t="n">
        <f aca="false">'Fault &amp; Downtime Entry'!C441</f>
        <v>0</v>
      </c>
      <c r="D440" s="47" t="n">
        <f aca="false">'Fault &amp; Downtime Entry'!D441</f>
        <v>0</v>
      </c>
      <c r="E440" s="47" t="n">
        <f aca="false">'Fault &amp; Downtime Entry'!E441</f>
        <v>0</v>
      </c>
      <c r="F440" s="47" t="str">
        <f aca="false">'Fault &amp; Downtime Entry'!F441</f>
        <v/>
      </c>
      <c r="G440" s="47" t="n">
        <f aca="false">'Fault &amp; Downtime Entry'!G441</f>
        <v>0</v>
      </c>
      <c r="H440" s="47" t="str">
        <f aca="false">'Fault &amp; Downtime Entry'!H441</f>
        <v/>
      </c>
      <c r="I440" s="47" t="str">
        <f aca="false">'Fault &amp; Downtime Entry'!I441</f>
        <v/>
      </c>
      <c r="J440" s="47" t="n">
        <f aca="false">'Fault &amp; Downtime Entry'!J441</f>
        <v>0</v>
      </c>
      <c r="K440" s="47" t="n">
        <f aca="false">'Fault &amp; Downtime Entry'!K441</f>
        <v>0</v>
      </c>
      <c r="L440" s="47" t="n">
        <f aca="false">'Fault &amp; Downtime Entry'!L441</f>
        <v>0</v>
      </c>
      <c r="M440" s="47" t="str">
        <f aca="false">'Fault &amp; Downtime Entry'!M441</f>
        <v/>
      </c>
      <c r="N440" s="47" t="n">
        <f aca="false">'Fault &amp; Downtime Entry'!N441</f>
        <v>0</v>
      </c>
      <c r="O440" s="47" t="n">
        <f aca="false">'Fault &amp; Downtime Entry'!O441</f>
        <v>0</v>
      </c>
      <c r="P440" s="47" t="str">
        <f aca="false">IF(OR(J440="",K440=""),"",IFERROR(J440/K440*1000,0))</f>
        <v/>
      </c>
      <c r="Q440" s="47" t="str">
        <f aca="false">IF(OR(L440="",K440=""),"",IFERROR(L440/K440*1000,0))</f>
        <v/>
      </c>
      <c r="R440" s="47" t="str">
        <f aca="false">IF(OR(M440="High",M440="Critical"),"YES","")</f>
        <v/>
      </c>
    </row>
    <row r="441" customFormat="false" ht="15" hidden="false" customHeight="true" outlineLevel="0" collapsed="false">
      <c r="A441" s="47" t="n">
        <f aca="false">'Fault &amp; Downtime Entry'!A442</f>
        <v>437</v>
      </c>
      <c r="B441" s="48" t="n">
        <f aca="false">'Fault &amp; Downtime Entry'!B442</f>
        <v>0</v>
      </c>
      <c r="C441" s="47" t="n">
        <f aca="false">'Fault &amp; Downtime Entry'!C442</f>
        <v>0</v>
      </c>
      <c r="D441" s="47" t="n">
        <f aca="false">'Fault &amp; Downtime Entry'!D442</f>
        <v>0</v>
      </c>
      <c r="E441" s="47" t="n">
        <f aca="false">'Fault &amp; Downtime Entry'!E442</f>
        <v>0</v>
      </c>
      <c r="F441" s="47" t="str">
        <f aca="false">'Fault &amp; Downtime Entry'!F442</f>
        <v/>
      </c>
      <c r="G441" s="47" t="n">
        <f aca="false">'Fault &amp; Downtime Entry'!G442</f>
        <v>0</v>
      </c>
      <c r="H441" s="47" t="str">
        <f aca="false">'Fault &amp; Downtime Entry'!H442</f>
        <v/>
      </c>
      <c r="I441" s="47" t="str">
        <f aca="false">'Fault &amp; Downtime Entry'!I442</f>
        <v/>
      </c>
      <c r="J441" s="47" t="n">
        <f aca="false">'Fault &amp; Downtime Entry'!J442</f>
        <v>0</v>
      </c>
      <c r="K441" s="47" t="n">
        <f aca="false">'Fault &amp; Downtime Entry'!K442</f>
        <v>0</v>
      </c>
      <c r="L441" s="47" t="n">
        <f aca="false">'Fault &amp; Downtime Entry'!L442</f>
        <v>0</v>
      </c>
      <c r="M441" s="47" t="str">
        <f aca="false">'Fault &amp; Downtime Entry'!M442</f>
        <v/>
      </c>
      <c r="N441" s="47" t="n">
        <f aca="false">'Fault &amp; Downtime Entry'!N442</f>
        <v>0</v>
      </c>
      <c r="O441" s="47" t="n">
        <f aca="false">'Fault &amp; Downtime Entry'!O442</f>
        <v>0</v>
      </c>
      <c r="P441" s="47" t="str">
        <f aca="false">IF(OR(J441="",K441=""),"",IFERROR(J441/K441*1000,0))</f>
        <v/>
      </c>
      <c r="Q441" s="47" t="str">
        <f aca="false">IF(OR(L441="",K441=""),"",IFERROR(L441/K441*1000,0))</f>
        <v/>
      </c>
      <c r="R441" s="47" t="str">
        <f aca="false">IF(OR(M441="High",M441="Critical"),"YES","")</f>
        <v/>
      </c>
    </row>
    <row r="442" customFormat="false" ht="15" hidden="false" customHeight="true" outlineLevel="0" collapsed="false">
      <c r="A442" s="47" t="n">
        <f aca="false">'Fault &amp; Downtime Entry'!A443</f>
        <v>438</v>
      </c>
      <c r="B442" s="48" t="n">
        <f aca="false">'Fault &amp; Downtime Entry'!B443</f>
        <v>0</v>
      </c>
      <c r="C442" s="47" t="n">
        <f aca="false">'Fault &amp; Downtime Entry'!C443</f>
        <v>0</v>
      </c>
      <c r="D442" s="47" t="n">
        <f aca="false">'Fault &amp; Downtime Entry'!D443</f>
        <v>0</v>
      </c>
      <c r="E442" s="47" t="n">
        <f aca="false">'Fault &amp; Downtime Entry'!E443</f>
        <v>0</v>
      </c>
      <c r="F442" s="47" t="str">
        <f aca="false">'Fault &amp; Downtime Entry'!F443</f>
        <v/>
      </c>
      <c r="G442" s="47" t="n">
        <f aca="false">'Fault &amp; Downtime Entry'!G443</f>
        <v>0</v>
      </c>
      <c r="H442" s="47" t="str">
        <f aca="false">'Fault &amp; Downtime Entry'!H443</f>
        <v/>
      </c>
      <c r="I442" s="47" t="str">
        <f aca="false">'Fault &amp; Downtime Entry'!I443</f>
        <v/>
      </c>
      <c r="J442" s="47" t="n">
        <f aca="false">'Fault &amp; Downtime Entry'!J443</f>
        <v>0</v>
      </c>
      <c r="K442" s="47" t="n">
        <f aca="false">'Fault &amp; Downtime Entry'!K443</f>
        <v>0</v>
      </c>
      <c r="L442" s="47" t="n">
        <f aca="false">'Fault &amp; Downtime Entry'!L443</f>
        <v>0</v>
      </c>
      <c r="M442" s="47" t="str">
        <f aca="false">'Fault &amp; Downtime Entry'!M443</f>
        <v/>
      </c>
      <c r="N442" s="47" t="n">
        <f aca="false">'Fault &amp; Downtime Entry'!N443</f>
        <v>0</v>
      </c>
      <c r="O442" s="47" t="n">
        <f aca="false">'Fault &amp; Downtime Entry'!O443</f>
        <v>0</v>
      </c>
      <c r="P442" s="47" t="str">
        <f aca="false">IF(OR(J442="",K442=""),"",IFERROR(J442/K442*1000,0))</f>
        <v/>
      </c>
      <c r="Q442" s="47" t="str">
        <f aca="false">IF(OR(L442="",K442=""),"",IFERROR(L442/K442*1000,0))</f>
        <v/>
      </c>
      <c r="R442" s="47" t="str">
        <f aca="false">IF(OR(M442="High",M442="Critical"),"YES","")</f>
        <v/>
      </c>
    </row>
    <row r="443" customFormat="false" ht="15" hidden="false" customHeight="true" outlineLevel="0" collapsed="false">
      <c r="A443" s="47" t="n">
        <f aca="false">'Fault &amp; Downtime Entry'!A444</f>
        <v>439</v>
      </c>
      <c r="B443" s="48" t="n">
        <f aca="false">'Fault &amp; Downtime Entry'!B444</f>
        <v>0</v>
      </c>
      <c r="C443" s="47" t="n">
        <f aca="false">'Fault &amp; Downtime Entry'!C444</f>
        <v>0</v>
      </c>
      <c r="D443" s="47" t="n">
        <f aca="false">'Fault &amp; Downtime Entry'!D444</f>
        <v>0</v>
      </c>
      <c r="E443" s="47" t="n">
        <f aca="false">'Fault &amp; Downtime Entry'!E444</f>
        <v>0</v>
      </c>
      <c r="F443" s="47" t="str">
        <f aca="false">'Fault &amp; Downtime Entry'!F444</f>
        <v/>
      </c>
      <c r="G443" s="47" t="n">
        <f aca="false">'Fault &amp; Downtime Entry'!G444</f>
        <v>0</v>
      </c>
      <c r="H443" s="47" t="str">
        <f aca="false">'Fault &amp; Downtime Entry'!H444</f>
        <v/>
      </c>
      <c r="I443" s="47" t="str">
        <f aca="false">'Fault &amp; Downtime Entry'!I444</f>
        <v/>
      </c>
      <c r="J443" s="47" t="n">
        <f aca="false">'Fault &amp; Downtime Entry'!J444</f>
        <v>0</v>
      </c>
      <c r="K443" s="47" t="n">
        <f aca="false">'Fault &amp; Downtime Entry'!K444</f>
        <v>0</v>
      </c>
      <c r="L443" s="47" t="n">
        <f aca="false">'Fault &amp; Downtime Entry'!L444</f>
        <v>0</v>
      </c>
      <c r="M443" s="47" t="str">
        <f aca="false">'Fault &amp; Downtime Entry'!M444</f>
        <v/>
      </c>
      <c r="N443" s="47" t="n">
        <f aca="false">'Fault &amp; Downtime Entry'!N444</f>
        <v>0</v>
      </c>
      <c r="O443" s="47" t="n">
        <f aca="false">'Fault &amp; Downtime Entry'!O444</f>
        <v>0</v>
      </c>
      <c r="P443" s="47" t="str">
        <f aca="false">IF(OR(J443="",K443=""),"",IFERROR(J443/K443*1000,0))</f>
        <v/>
      </c>
      <c r="Q443" s="47" t="str">
        <f aca="false">IF(OR(L443="",K443=""),"",IFERROR(L443/K443*1000,0))</f>
        <v/>
      </c>
      <c r="R443" s="47" t="str">
        <f aca="false">IF(OR(M443="High",M443="Critical"),"YES","")</f>
        <v/>
      </c>
    </row>
    <row r="444" customFormat="false" ht="15" hidden="false" customHeight="true" outlineLevel="0" collapsed="false">
      <c r="A444" s="47" t="n">
        <f aca="false">'Fault &amp; Downtime Entry'!A445</f>
        <v>440</v>
      </c>
      <c r="B444" s="48" t="n">
        <f aca="false">'Fault &amp; Downtime Entry'!B445</f>
        <v>0</v>
      </c>
      <c r="C444" s="47" t="n">
        <f aca="false">'Fault &amp; Downtime Entry'!C445</f>
        <v>0</v>
      </c>
      <c r="D444" s="47" t="n">
        <f aca="false">'Fault &amp; Downtime Entry'!D445</f>
        <v>0</v>
      </c>
      <c r="E444" s="47" t="n">
        <f aca="false">'Fault &amp; Downtime Entry'!E445</f>
        <v>0</v>
      </c>
      <c r="F444" s="47" t="str">
        <f aca="false">'Fault &amp; Downtime Entry'!F445</f>
        <v/>
      </c>
      <c r="G444" s="47" t="n">
        <f aca="false">'Fault &amp; Downtime Entry'!G445</f>
        <v>0</v>
      </c>
      <c r="H444" s="47" t="str">
        <f aca="false">'Fault &amp; Downtime Entry'!H445</f>
        <v/>
      </c>
      <c r="I444" s="47" t="str">
        <f aca="false">'Fault &amp; Downtime Entry'!I445</f>
        <v/>
      </c>
      <c r="J444" s="47" t="n">
        <f aca="false">'Fault &amp; Downtime Entry'!J445</f>
        <v>0</v>
      </c>
      <c r="K444" s="47" t="n">
        <f aca="false">'Fault &amp; Downtime Entry'!K445</f>
        <v>0</v>
      </c>
      <c r="L444" s="47" t="n">
        <f aca="false">'Fault &amp; Downtime Entry'!L445</f>
        <v>0</v>
      </c>
      <c r="M444" s="47" t="str">
        <f aca="false">'Fault &amp; Downtime Entry'!M445</f>
        <v/>
      </c>
      <c r="N444" s="47" t="n">
        <f aca="false">'Fault &amp; Downtime Entry'!N445</f>
        <v>0</v>
      </c>
      <c r="O444" s="47" t="n">
        <f aca="false">'Fault &amp; Downtime Entry'!O445</f>
        <v>0</v>
      </c>
      <c r="P444" s="47" t="str">
        <f aca="false">IF(OR(J444="",K444=""),"",IFERROR(J444/K444*1000,0))</f>
        <v/>
      </c>
      <c r="Q444" s="47" t="str">
        <f aca="false">IF(OR(L444="",K444=""),"",IFERROR(L444/K444*1000,0))</f>
        <v/>
      </c>
      <c r="R444" s="47" t="str">
        <f aca="false">IF(OR(M444="High",M444="Critical"),"YES","")</f>
        <v/>
      </c>
    </row>
    <row r="445" customFormat="false" ht="15" hidden="false" customHeight="true" outlineLevel="0" collapsed="false">
      <c r="A445" s="47" t="n">
        <f aca="false">'Fault &amp; Downtime Entry'!A446</f>
        <v>441</v>
      </c>
      <c r="B445" s="48" t="n">
        <f aca="false">'Fault &amp; Downtime Entry'!B446</f>
        <v>0</v>
      </c>
      <c r="C445" s="47" t="n">
        <f aca="false">'Fault &amp; Downtime Entry'!C446</f>
        <v>0</v>
      </c>
      <c r="D445" s="47" t="n">
        <f aca="false">'Fault &amp; Downtime Entry'!D446</f>
        <v>0</v>
      </c>
      <c r="E445" s="47" t="n">
        <f aca="false">'Fault &amp; Downtime Entry'!E446</f>
        <v>0</v>
      </c>
      <c r="F445" s="47" t="str">
        <f aca="false">'Fault &amp; Downtime Entry'!F446</f>
        <v/>
      </c>
      <c r="G445" s="47" t="n">
        <f aca="false">'Fault &amp; Downtime Entry'!G446</f>
        <v>0</v>
      </c>
      <c r="H445" s="47" t="str">
        <f aca="false">'Fault &amp; Downtime Entry'!H446</f>
        <v/>
      </c>
      <c r="I445" s="47" t="str">
        <f aca="false">'Fault &amp; Downtime Entry'!I446</f>
        <v/>
      </c>
      <c r="J445" s="47" t="n">
        <f aca="false">'Fault &amp; Downtime Entry'!J446</f>
        <v>0</v>
      </c>
      <c r="K445" s="47" t="n">
        <f aca="false">'Fault &amp; Downtime Entry'!K446</f>
        <v>0</v>
      </c>
      <c r="L445" s="47" t="n">
        <f aca="false">'Fault &amp; Downtime Entry'!L446</f>
        <v>0</v>
      </c>
      <c r="M445" s="47" t="str">
        <f aca="false">'Fault &amp; Downtime Entry'!M446</f>
        <v/>
      </c>
      <c r="N445" s="47" t="n">
        <f aca="false">'Fault &amp; Downtime Entry'!N446</f>
        <v>0</v>
      </c>
      <c r="O445" s="47" t="n">
        <f aca="false">'Fault &amp; Downtime Entry'!O446</f>
        <v>0</v>
      </c>
      <c r="P445" s="47" t="str">
        <f aca="false">IF(OR(J445="",K445=""),"",IFERROR(J445/K445*1000,0))</f>
        <v/>
      </c>
      <c r="Q445" s="47" t="str">
        <f aca="false">IF(OR(L445="",K445=""),"",IFERROR(L445/K445*1000,0))</f>
        <v/>
      </c>
      <c r="R445" s="47" t="str">
        <f aca="false">IF(OR(M445="High",M445="Critical"),"YES","")</f>
        <v/>
      </c>
    </row>
    <row r="446" customFormat="false" ht="15" hidden="false" customHeight="true" outlineLevel="0" collapsed="false">
      <c r="A446" s="47" t="n">
        <f aca="false">'Fault &amp; Downtime Entry'!A447</f>
        <v>442</v>
      </c>
      <c r="B446" s="48" t="n">
        <f aca="false">'Fault &amp; Downtime Entry'!B447</f>
        <v>0</v>
      </c>
      <c r="C446" s="47" t="n">
        <f aca="false">'Fault &amp; Downtime Entry'!C447</f>
        <v>0</v>
      </c>
      <c r="D446" s="47" t="n">
        <f aca="false">'Fault &amp; Downtime Entry'!D447</f>
        <v>0</v>
      </c>
      <c r="E446" s="47" t="n">
        <f aca="false">'Fault &amp; Downtime Entry'!E447</f>
        <v>0</v>
      </c>
      <c r="F446" s="47" t="str">
        <f aca="false">'Fault &amp; Downtime Entry'!F447</f>
        <v/>
      </c>
      <c r="G446" s="47" t="n">
        <f aca="false">'Fault &amp; Downtime Entry'!G447</f>
        <v>0</v>
      </c>
      <c r="H446" s="47" t="str">
        <f aca="false">'Fault &amp; Downtime Entry'!H447</f>
        <v/>
      </c>
      <c r="I446" s="47" t="str">
        <f aca="false">'Fault &amp; Downtime Entry'!I447</f>
        <v/>
      </c>
      <c r="J446" s="47" t="n">
        <f aca="false">'Fault &amp; Downtime Entry'!J447</f>
        <v>0</v>
      </c>
      <c r="K446" s="47" t="n">
        <f aca="false">'Fault &amp; Downtime Entry'!K447</f>
        <v>0</v>
      </c>
      <c r="L446" s="47" t="n">
        <f aca="false">'Fault &amp; Downtime Entry'!L447</f>
        <v>0</v>
      </c>
      <c r="M446" s="47" t="str">
        <f aca="false">'Fault &amp; Downtime Entry'!M447</f>
        <v/>
      </c>
      <c r="N446" s="47" t="n">
        <f aca="false">'Fault &amp; Downtime Entry'!N447</f>
        <v>0</v>
      </c>
      <c r="O446" s="47" t="n">
        <f aca="false">'Fault &amp; Downtime Entry'!O447</f>
        <v>0</v>
      </c>
      <c r="P446" s="47" t="str">
        <f aca="false">IF(OR(J446="",K446=""),"",IFERROR(J446/K446*1000,0))</f>
        <v/>
      </c>
      <c r="Q446" s="47" t="str">
        <f aca="false">IF(OR(L446="",K446=""),"",IFERROR(L446/K446*1000,0))</f>
        <v/>
      </c>
      <c r="R446" s="47" t="str">
        <f aca="false">IF(OR(M446="High",M446="Critical"),"YES","")</f>
        <v/>
      </c>
    </row>
    <row r="447" customFormat="false" ht="15" hidden="false" customHeight="true" outlineLevel="0" collapsed="false">
      <c r="A447" s="47" t="n">
        <f aca="false">'Fault &amp; Downtime Entry'!A448</f>
        <v>443</v>
      </c>
      <c r="B447" s="48" t="n">
        <f aca="false">'Fault &amp; Downtime Entry'!B448</f>
        <v>0</v>
      </c>
      <c r="C447" s="47" t="n">
        <f aca="false">'Fault &amp; Downtime Entry'!C448</f>
        <v>0</v>
      </c>
      <c r="D447" s="47" t="n">
        <f aca="false">'Fault &amp; Downtime Entry'!D448</f>
        <v>0</v>
      </c>
      <c r="E447" s="47" t="n">
        <f aca="false">'Fault &amp; Downtime Entry'!E448</f>
        <v>0</v>
      </c>
      <c r="F447" s="47" t="str">
        <f aca="false">'Fault &amp; Downtime Entry'!F448</f>
        <v/>
      </c>
      <c r="G447" s="47" t="n">
        <f aca="false">'Fault &amp; Downtime Entry'!G448</f>
        <v>0</v>
      </c>
      <c r="H447" s="47" t="str">
        <f aca="false">'Fault &amp; Downtime Entry'!H448</f>
        <v/>
      </c>
      <c r="I447" s="47" t="str">
        <f aca="false">'Fault &amp; Downtime Entry'!I448</f>
        <v/>
      </c>
      <c r="J447" s="47" t="n">
        <f aca="false">'Fault &amp; Downtime Entry'!J448</f>
        <v>0</v>
      </c>
      <c r="K447" s="47" t="n">
        <f aca="false">'Fault &amp; Downtime Entry'!K448</f>
        <v>0</v>
      </c>
      <c r="L447" s="47" t="n">
        <f aca="false">'Fault &amp; Downtime Entry'!L448</f>
        <v>0</v>
      </c>
      <c r="M447" s="47" t="str">
        <f aca="false">'Fault &amp; Downtime Entry'!M448</f>
        <v/>
      </c>
      <c r="N447" s="47" t="n">
        <f aca="false">'Fault &amp; Downtime Entry'!N448</f>
        <v>0</v>
      </c>
      <c r="O447" s="47" t="n">
        <f aca="false">'Fault &amp; Downtime Entry'!O448</f>
        <v>0</v>
      </c>
      <c r="P447" s="47" t="str">
        <f aca="false">IF(OR(J447="",K447=""),"",IFERROR(J447/K447*1000,0))</f>
        <v/>
      </c>
      <c r="Q447" s="47" t="str">
        <f aca="false">IF(OR(L447="",K447=""),"",IFERROR(L447/K447*1000,0))</f>
        <v/>
      </c>
      <c r="R447" s="47" t="str">
        <f aca="false">IF(OR(M447="High",M447="Critical"),"YES","")</f>
        <v/>
      </c>
    </row>
    <row r="448" customFormat="false" ht="15" hidden="false" customHeight="true" outlineLevel="0" collapsed="false">
      <c r="A448" s="47" t="n">
        <f aca="false">'Fault &amp; Downtime Entry'!A449</f>
        <v>444</v>
      </c>
      <c r="B448" s="48" t="n">
        <f aca="false">'Fault &amp; Downtime Entry'!B449</f>
        <v>0</v>
      </c>
      <c r="C448" s="47" t="n">
        <f aca="false">'Fault &amp; Downtime Entry'!C449</f>
        <v>0</v>
      </c>
      <c r="D448" s="47" t="n">
        <f aca="false">'Fault &amp; Downtime Entry'!D449</f>
        <v>0</v>
      </c>
      <c r="E448" s="47" t="n">
        <f aca="false">'Fault &amp; Downtime Entry'!E449</f>
        <v>0</v>
      </c>
      <c r="F448" s="47" t="str">
        <f aca="false">'Fault &amp; Downtime Entry'!F449</f>
        <v/>
      </c>
      <c r="G448" s="47" t="n">
        <f aca="false">'Fault &amp; Downtime Entry'!G449</f>
        <v>0</v>
      </c>
      <c r="H448" s="47" t="str">
        <f aca="false">'Fault &amp; Downtime Entry'!H449</f>
        <v/>
      </c>
      <c r="I448" s="47" t="str">
        <f aca="false">'Fault &amp; Downtime Entry'!I449</f>
        <v/>
      </c>
      <c r="J448" s="47" t="n">
        <f aca="false">'Fault &amp; Downtime Entry'!J449</f>
        <v>0</v>
      </c>
      <c r="K448" s="47" t="n">
        <f aca="false">'Fault &amp; Downtime Entry'!K449</f>
        <v>0</v>
      </c>
      <c r="L448" s="47" t="n">
        <f aca="false">'Fault &amp; Downtime Entry'!L449</f>
        <v>0</v>
      </c>
      <c r="M448" s="47" t="str">
        <f aca="false">'Fault &amp; Downtime Entry'!M449</f>
        <v/>
      </c>
      <c r="N448" s="47" t="n">
        <f aca="false">'Fault &amp; Downtime Entry'!N449</f>
        <v>0</v>
      </c>
      <c r="O448" s="47" t="n">
        <f aca="false">'Fault &amp; Downtime Entry'!O449</f>
        <v>0</v>
      </c>
      <c r="P448" s="47" t="str">
        <f aca="false">IF(OR(J448="",K448=""),"",IFERROR(J448/K448*1000,0))</f>
        <v/>
      </c>
      <c r="Q448" s="47" t="str">
        <f aca="false">IF(OR(L448="",K448=""),"",IFERROR(L448/K448*1000,0))</f>
        <v/>
      </c>
      <c r="R448" s="47" t="str">
        <f aca="false">IF(OR(M448="High",M448="Critical"),"YES","")</f>
        <v/>
      </c>
    </row>
    <row r="449" customFormat="false" ht="15" hidden="false" customHeight="true" outlineLevel="0" collapsed="false">
      <c r="A449" s="47" t="n">
        <f aca="false">'Fault &amp; Downtime Entry'!A450</f>
        <v>445</v>
      </c>
      <c r="B449" s="48" t="n">
        <f aca="false">'Fault &amp; Downtime Entry'!B450</f>
        <v>0</v>
      </c>
      <c r="C449" s="47" t="n">
        <f aca="false">'Fault &amp; Downtime Entry'!C450</f>
        <v>0</v>
      </c>
      <c r="D449" s="47" t="n">
        <f aca="false">'Fault &amp; Downtime Entry'!D450</f>
        <v>0</v>
      </c>
      <c r="E449" s="47" t="n">
        <f aca="false">'Fault &amp; Downtime Entry'!E450</f>
        <v>0</v>
      </c>
      <c r="F449" s="47" t="str">
        <f aca="false">'Fault &amp; Downtime Entry'!F450</f>
        <v/>
      </c>
      <c r="G449" s="47" t="n">
        <f aca="false">'Fault &amp; Downtime Entry'!G450</f>
        <v>0</v>
      </c>
      <c r="H449" s="47" t="str">
        <f aca="false">'Fault &amp; Downtime Entry'!H450</f>
        <v/>
      </c>
      <c r="I449" s="47" t="str">
        <f aca="false">'Fault &amp; Downtime Entry'!I450</f>
        <v/>
      </c>
      <c r="J449" s="47" t="n">
        <f aca="false">'Fault &amp; Downtime Entry'!J450</f>
        <v>0</v>
      </c>
      <c r="K449" s="47" t="n">
        <f aca="false">'Fault &amp; Downtime Entry'!K450</f>
        <v>0</v>
      </c>
      <c r="L449" s="47" t="n">
        <f aca="false">'Fault &amp; Downtime Entry'!L450</f>
        <v>0</v>
      </c>
      <c r="M449" s="47" t="str">
        <f aca="false">'Fault &amp; Downtime Entry'!M450</f>
        <v/>
      </c>
      <c r="N449" s="47" t="n">
        <f aca="false">'Fault &amp; Downtime Entry'!N450</f>
        <v>0</v>
      </c>
      <c r="O449" s="47" t="n">
        <f aca="false">'Fault &amp; Downtime Entry'!O450</f>
        <v>0</v>
      </c>
      <c r="P449" s="47" t="str">
        <f aca="false">IF(OR(J449="",K449=""),"",IFERROR(J449/K449*1000,0))</f>
        <v/>
      </c>
      <c r="Q449" s="47" t="str">
        <f aca="false">IF(OR(L449="",K449=""),"",IFERROR(L449/K449*1000,0))</f>
        <v/>
      </c>
      <c r="R449" s="47" t="str">
        <f aca="false">IF(OR(M449="High",M449="Critical"),"YES","")</f>
        <v/>
      </c>
    </row>
    <row r="450" customFormat="false" ht="15" hidden="false" customHeight="true" outlineLevel="0" collapsed="false">
      <c r="A450" s="47" t="n">
        <f aca="false">'Fault &amp; Downtime Entry'!A451</f>
        <v>446</v>
      </c>
      <c r="B450" s="48" t="n">
        <f aca="false">'Fault &amp; Downtime Entry'!B451</f>
        <v>0</v>
      </c>
      <c r="C450" s="47" t="n">
        <f aca="false">'Fault &amp; Downtime Entry'!C451</f>
        <v>0</v>
      </c>
      <c r="D450" s="47" t="n">
        <f aca="false">'Fault &amp; Downtime Entry'!D451</f>
        <v>0</v>
      </c>
      <c r="E450" s="47" t="n">
        <f aca="false">'Fault &amp; Downtime Entry'!E451</f>
        <v>0</v>
      </c>
      <c r="F450" s="47" t="str">
        <f aca="false">'Fault &amp; Downtime Entry'!F451</f>
        <v/>
      </c>
      <c r="G450" s="47" t="n">
        <f aca="false">'Fault &amp; Downtime Entry'!G451</f>
        <v>0</v>
      </c>
      <c r="H450" s="47" t="str">
        <f aca="false">'Fault &amp; Downtime Entry'!H451</f>
        <v/>
      </c>
      <c r="I450" s="47" t="str">
        <f aca="false">'Fault &amp; Downtime Entry'!I451</f>
        <v/>
      </c>
      <c r="J450" s="47" t="n">
        <f aca="false">'Fault &amp; Downtime Entry'!J451</f>
        <v>0</v>
      </c>
      <c r="K450" s="47" t="n">
        <f aca="false">'Fault &amp; Downtime Entry'!K451</f>
        <v>0</v>
      </c>
      <c r="L450" s="47" t="n">
        <f aca="false">'Fault &amp; Downtime Entry'!L451</f>
        <v>0</v>
      </c>
      <c r="M450" s="47" t="str">
        <f aca="false">'Fault &amp; Downtime Entry'!M451</f>
        <v/>
      </c>
      <c r="N450" s="47" t="n">
        <f aca="false">'Fault &amp; Downtime Entry'!N451</f>
        <v>0</v>
      </c>
      <c r="O450" s="47" t="n">
        <f aca="false">'Fault &amp; Downtime Entry'!O451</f>
        <v>0</v>
      </c>
      <c r="P450" s="47" t="str">
        <f aca="false">IF(OR(J450="",K450=""),"",IFERROR(J450/K450*1000,0))</f>
        <v/>
      </c>
      <c r="Q450" s="47" t="str">
        <f aca="false">IF(OR(L450="",K450=""),"",IFERROR(L450/K450*1000,0))</f>
        <v/>
      </c>
      <c r="R450" s="47" t="str">
        <f aca="false">IF(OR(M450="High",M450="Critical"),"YES","")</f>
        <v/>
      </c>
    </row>
    <row r="451" customFormat="false" ht="15" hidden="false" customHeight="true" outlineLevel="0" collapsed="false">
      <c r="A451" s="47" t="n">
        <f aca="false">'Fault &amp; Downtime Entry'!A452</f>
        <v>447</v>
      </c>
      <c r="B451" s="48" t="n">
        <f aca="false">'Fault &amp; Downtime Entry'!B452</f>
        <v>0</v>
      </c>
      <c r="C451" s="47" t="n">
        <f aca="false">'Fault &amp; Downtime Entry'!C452</f>
        <v>0</v>
      </c>
      <c r="D451" s="47" t="n">
        <f aca="false">'Fault &amp; Downtime Entry'!D452</f>
        <v>0</v>
      </c>
      <c r="E451" s="47" t="n">
        <f aca="false">'Fault &amp; Downtime Entry'!E452</f>
        <v>0</v>
      </c>
      <c r="F451" s="47" t="str">
        <f aca="false">'Fault &amp; Downtime Entry'!F452</f>
        <v/>
      </c>
      <c r="G451" s="47" t="n">
        <f aca="false">'Fault &amp; Downtime Entry'!G452</f>
        <v>0</v>
      </c>
      <c r="H451" s="47" t="str">
        <f aca="false">'Fault &amp; Downtime Entry'!H452</f>
        <v/>
      </c>
      <c r="I451" s="47" t="str">
        <f aca="false">'Fault &amp; Downtime Entry'!I452</f>
        <v/>
      </c>
      <c r="J451" s="47" t="n">
        <f aca="false">'Fault &amp; Downtime Entry'!J452</f>
        <v>0</v>
      </c>
      <c r="K451" s="47" t="n">
        <f aca="false">'Fault &amp; Downtime Entry'!K452</f>
        <v>0</v>
      </c>
      <c r="L451" s="47" t="n">
        <f aca="false">'Fault &amp; Downtime Entry'!L452</f>
        <v>0</v>
      </c>
      <c r="M451" s="47" t="str">
        <f aca="false">'Fault &amp; Downtime Entry'!M452</f>
        <v/>
      </c>
      <c r="N451" s="47" t="n">
        <f aca="false">'Fault &amp; Downtime Entry'!N452</f>
        <v>0</v>
      </c>
      <c r="O451" s="47" t="n">
        <f aca="false">'Fault &amp; Downtime Entry'!O452</f>
        <v>0</v>
      </c>
      <c r="P451" s="47" t="str">
        <f aca="false">IF(OR(J451="",K451=""),"",IFERROR(J451/K451*1000,0))</f>
        <v/>
      </c>
      <c r="Q451" s="47" t="str">
        <f aca="false">IF(OR(L451="",K451=""),"",IFERROR(L451/K451*1000,0))</f>
        <v/>
      </c>
      <c r="R451" s="47" t="str">
        <f aca="false">IF(OR(M451="High",M451="Critical"),"YES","")</f>
        <v/>
      </c>
    </row>
    <row r="452" customFormat="false" ht="15" hidden="false" customHeight="true" outlineLevel="0" collapsed="false">
      <c r="A452" s="47" t="n">
        <f aca="false">'Fault &amp; Downtime Entry'!A453</f>
        <v>448</v>
      </c>
      <c r="B452" s="48" t="n">
        <f aca="false">'Fault &amp; Downtime Entry'!B453</f>
        <v>0</v>
      </c>
      <c r="C452" s="47" t="n">
        <f aca="false">'Fault &amp; Downtime Entry'!C453</f>
        <v>0</v>
      </c>
      <c r="D452" s="47" t="n">
        <f aca="false">'Fault &amp; Downtime Entry'!D453</f>
        <v>0</v>
      </c>
      <c r="E452" s="47" t="n">
        <f aca="false">'Fault &amp; Downtime Entry'!E453</f>
        <v>0</v>
      </c>
      <c r="F452" s="47" t="str">
        <f aca="false">'Fault &amp; Downtime Entry'!F453</f>
        <v/>
      </c>
      <c r="G452" s="47" t="n">
        <f aca="false">'Fault &amp; Downtime Entry'!G453</f>
        <v>0</v>
      </c>
      <c r="H452" s="47" t="str">
        <f aca="false">'Fault &amp; Downtime Entry'!H453</f>
        <v/>
      </c>
      <c r="I452" s="47" t="str">
        <f aca="false">'Fault &amp; Downtime Entry'!I453</f>
        <v/>
      </c>
      <c r="J452" s="47" t="n">
        <f aca="false">'Fault &amp; Downtime Entry'!J453</f>
        <v>0</v>
      </c>
      <c r="K452" s="47" t="n">
        <f aca="false">'Fault &amp; Downtime Entry'!K453</f>
        <v>0</v>
      </c>
      <c r="L452" s="47" t="n">
        <f aca="false">'Fault &amp; Downtime Entry'!L453</f>
        <v>0</v>
      </c>
      <c r="M452" s="47" t="str">
        <f aca="false">'Fault &amp; Downtime Entry'!M453</f>
        <v/>
      </c>
      <c r="N452" s="47" t="n">
        <f aca="false">'Fault &amp; Downtime Entry'!N453</f>
        <v>0</v>
      </c>
      <c r="O452" s="47" t="n">
        <f aca="false">'Fault &amp; Downtime Entry'!O453</f>
        <v>0</v>
      </c>
      <c r="P452" s="47" t="str">
        <f aca="false">IF(OR(J452="",K452=""),"",IFERROR(J452/K452*1000,0))</f>
        <v/>
      </c>
      <c r="Q452" s="47" t="str">
        <f aca="false">IF(OR(L452="",K452=""),"",IFERROR(L452/K452*1000,0))</f>
        <v/>
      </c>
      <c r="R452" s="47" t="str">
        <f aca="false">IF(OR(M452="High",M452="Critical"),"YES","")</f>
        <v/>
      </c>
    </row>
    <row r="453" customFormat="false" ht="15" hidden="false" customHeight="true" outlineLevel="0" collapsed="false">
      <c r="A453" s="47" t="n">
        <f aca="false">'Fault &amp; Downtime Entry'!A454</f>
        <v>449</v>
      </c>
      <c r="B453" s="48" t="n">
        <f aca="false">'Fault &amp; Downtime Entry'!B454</f>
        <v>0</v>
      </c>
      <c r="C453" s="47" t="n">
        <f aca="false">'Fault &amp; Downtime Entry'!C454</f>
        <v>0</v>
      </c>
      <c r="D453" s="47" t="n">
        <f aca="false">'Fault &amp; Downtime Entry'!D454</f>
        <v>0</v>
      </c>
      <c r="E453" s="47" t="n">
        <f aca="false">'Fault &amp; Downtime Entry'!E454</f>
        <v>0</v>
      </c>
      <c r="F453" s="47" t="str">
        <f aca="false">'Fault &amp; Downtime Entry'!F454</f>
        <v/>
      </c>
      <c r="G453" s="47" t="n">
        <f aca="false">'Fault &amp; Downtime Entry'!G454</f>
        <v>0</v>
      </c>
      <c r="H453" s="47" t="str">
        <f aca="false">'Fault &amp; Downtime Entry'!H454</f>
        <v/>
      </c>
      <c r="I453" s="47" t="str">
        <f aca="false">'Fault &amp; Downtime Entry'!I454</f>
        <v/>
      </c>
      <c r="J453" s="47" t="n">
        <f aca="false">'Fault &amp; Downtime Entry'!J454</f>
        <v>0</v>
      </c>
      <c r="K453" s="47" t="n">
        <f aca="false">'Fault &amp; Downtime Entry'!K454</f>
        <v>0</v>
      </c>
      <c r="L453" s="47" t="n">
        <f aca="false">'Fault &amp; Downtime Entry'!L454</f>
        <v>0</v>
      </c>
      <c r="M453" s="47" t="str">
        <f aca="false">'Fault &amp; Downtime Entry'!M454</f>
        <v/>
      </c>
      <c r="N453" s="47" t="n">
        <f aca="false">'Fault &amp; Downtime Entry'!N454</f>
        <v>0</v>
      </c>
      <c r="O453" s="47" t="n">
        <f aca="false">'Fault &amp; Downtime Entry'!O454</f>
        <v>0</v>
      </c>
      <c r="P453" s="47" t="str">
        <f aca="false">IF(OR(J453="",K453=""),"",IFERROR(J453/K453*1000,0))</f>
        <v/>
      </c>
      <c r="Q453" s="47" t="str">
        <f aca="false">IF(OR(L453="",K453=""),"",IFERROR(L453/K453*1000,0))</f>
        <v/>
      </c>
      <c r="R453" s="47" t="str">
        <f aca="false">IF(OR(M453="High",M453="Critical"),"YES","")</f>
        <v/>
      </c>
    </row>
    <row r="454" customFormat="false" ht="15" hidden="false" customHeight="true" outlineLevel="0" collapsed="false">
      <c r="A454" s="47" t="n">
        <f aca="false">'Fault &amp; Downtime Entry'!A455</f>
        <v>450</v>
      </c>
      <c r="B454" s="48" t="n">
        <f aca="false">'Fault &amp; Downtime Entry'!B455</f>
        <v>0</v>
      </c>
      <c r="C454" s="47" t="n">
        <f aca="false">'Fault &amp; Downtime Entry'!C455</f>
        <v>0</v>
      </c>
      <c r="D454" s="47" t="n">
        <f aca="false">'Fault &amp; Downtime Entry'!D455</f>
        <v>0</v>
      </c>
      <c r="E454" s="47" t="n">
        <f aca="false">'Fault &amp; Downtime Entry'!E455</f>
        <v>0</v>
      </c>
      <c r="F454" s="47" t="str">
        <f aca="false">'Fault &amp; Downtime Entry'!F455</f>
        <v/>
      </c>
      <c r="G454" s="47" t="n">
        <f aca="false">'Fault &amp; Downtime Entry'!G455</f>
        <v>0</v>
      </c>
      <c r="H454" s="47" t="str">
        <f aca="false">'Fault &amp; Downtime Entry'!H455</f>
        <v/>
      </c>
      <c r="I454" s="47" t="str">
        <f aca="false">'Fault &amp; Downtime Entry'!I455</f>
        <v/>
      </c>
      <c r="J454" s="47" t="n">
        <f aca="false">'Fault &amp; Downtime Entry'!J455</f>
        <v>0</v>
      </c>
      <c r="K454" s="47" t="n">
        <f aca="false">'Fault &amp; Downtime Entry'!K455</f>
        <v>0</v>
      </c>
      <c r="L454" s="47" t="n">
        <f aca="false">'Fault &amp; Downtime Entry'!L455</f>
        <v>0</v>
      </c>
      <c r="M454" s="47" t="str">
        <f aca="false">'Fault &amp; Downtime Entry'!M455</f>
        <v/>
      </c>
      <c r="N454" s="47" t="n">
        <f aca="false">'Fault &amp; Downtime Entry'!N455</f>
        <v>0</v>
      </c>
      <c r="O454" s="47" t="n">
        <f aca="false">'Fault &amp; Downtime Entry'!O455</f>
        <v>0</v>
      </c>
      <c r="P454" s="47" t="str">
        <f aca="false">IF(OR(J454="",K454=""),"",IFERROR(J454/K454*1000,0))</f>
        <v/>
      </c>
      <c r="Q454" s="47" t="str">
        <f aca="false">IF(OR(L454="",K454=""),"",IFERROR(L454/K454*1000,0))</f>
        <v/>
      </c>
      <c r="R454" s="47" t="str">
        <f aca="false">IF(OR(M454="High",M454="Critical"),"YES","")</f>
        <v/>
      </c>
    </row>
    <row r="455" customFormat="false" ht="15" hidden="false" customHeight="true" outlineLevel="0" collapsed="false">
      <c r="A455" s="47" t="n">
        <f aca="false">'Fault &amp; Downtime Entry'!A456</f>
        <v>451</v>
      </c>
      <c r="B455" s="48" t="n">
        <f aca="false">'Fault &amp; Downtime Entry'!B456</f>
        <v>0</v>
      </c>
      <c r="C455" s="47" t="n">
        <f aca="false">'Fault &amp; Downtime Entry'!C456</f>
        <v>0</v>
      </c>
      <c r="D455" s="47" t="n">
        <f aca="false">'Fault &amp; Downtime Entry'!D456</f>
        <v>0</v>
      </c>
      <c r="E455" s="47" t="n">
        <f aca="false">'Fault &amp; Downtime Entry'!E456</f>
        <v>0</v>
      </c>
      <c r="F455" s="47" t="str">
        <f aca="false">'Fault &amp; Downtime Entry'!F456</f>
        <v/>
      </c>
      <c r="G455" s="47" t="n">
        <f aca="false">'Fault &amp; Downtime Entry'!G456</f>
        <v>0</v>
      </c>
      <c r="H455" s="47" t="str">
        <f aca="false">'Fault &amp; Downtime Entry'!H456</f>
        <v/>
      </c>
      <c r="I455" s="47" t="str">
        <f aca="false">'Fault &amp; Downtime Entry'!I456</f>
        <v/>
      </c>
      <c r="J455" s="47" t="n">
        <f aca="false">'Fault &amp; Downtime Entry'!J456</f>
        <v>0</v>
      </c>
      <c r="K455" s="47" t="n">
        <f aca="false">'Fault &amp; Downtime Entry'!K456</f>
        <v>0</v>
      </c>
      <c r="L455" s="47" t="n">
        <f aca="false">'Fault &amp; Downtime Entry'!L456</f>
        <v>0</v>
      </c>
      <c r="M455" s="47" t="str">
        <f aca="false">'Fault &amp; Downtime Entry'!M456</f>
        <v/>
      </c>
      <c r="N455" s="47" t="n">
        <f aca="false">'Fault &amp; Downtime Entry'!N456</f>
        <v>0</v>
      </c>
      <c r="O455" s="47" t="n">
        <f aca="false">'Fault &amp; Downtime Entry'!O456</f>
        <v>0</v>
      </c>
      <c r="P455" s="47" t="str">
        <f aca="false">IF(OR(J455="",K455=""),"",IFERROR(J455/K455*1000,0))</f>
        <v/>
      </c>
      <c r="Q455" s="47" t="str">
        <f aca="false">IF(OR(L455="",K455=""),"",IFERROR(L455/K455*1000,0))</f>
        <v/>
      </c>
      <c r="R455" s="47" t="str">
        <f aca="false">IF(OR(M455="High",M455="Critical"),"YES","")</f>
        <v/>
      </c>
    </row>
    <row r="456" customFormat="false" ht="15" hidden="false" customHeight="true" outlineLevel="0" collapsed="false">
      <c r="A456" s="47" t="n">
        <f aca="false">'Fault &amp; Downtime Entry'!A457</f>
        <v>452</v>
      </c>
      <c r="B456" s="48" t="n">
        <f aca="false">'Fault &amp; Downtime Entry'!B457</f>
        <v>0</v>
      </c>
      <c r="C456" s="47" t="n">
        <f aca="false">'Fault &amp; Downtime Entry'!C457</f>
        <v>0</v>
      </c>
      <c r="D456" s="47" t="n">
        <f aca="false">'Fault &amp; Downtime Entry'!D457</f>
        <v>0</v>
      </c>
      <c r="E456" s="47" t="n">
        <f aca="false">'Fault &amp; Downtime Entry'!E457</f>
        <v>0</v>
      </c>
      <c r="F456" s="47" t="str">
        <f aca="false">'Fault &amp; Downtime Entry'!F457</f>
        <v/>
      </c>
      <c r="G456" s="47" t="n">
        <f aca="false">'Fault &amp; Downtime Entry'!G457</f>
        <v>0</v>
      </c>
      <c r="H456" s="47" t="str">
        <f aca="false">'Fault &amp; Downtime Entry'!H457</f>
        <v/>
      </c>
      <c r="I456" s="47" t="str">
        <f aca="false">'Fault &amp; Downtime Entry'!I457</f>
        <v/>
      </c>
      <c r="J456" s="47" t="n">
        <f aca="false">'Fault &amp; Downtime Entry'!J457</f>
        <v>0</v>
      </c>
      <c r="K456" s="47" t="n">
        <f aca="false">'Fault &amp; Downtime Entry'!K457</f>
        <v>0</v>
      </c>
      <c r="L456" s="47" t="n">
        <f aca="false">'Fault &amp; Downtime Entry'!L457</f>
        <v>0</v>
      </c>
      <c r="M456" s="47" t="str">
        <f aca="false">'Fault &amp; Downtime Entry'!M457</f>
        <v/>
      </c>
      <c r="N456" s="47" t="n">
        <f aca="false">'Fault &amp; Downtime Entry'!N457</f>
        <v>0</v>
      </c>
      <c r="O456" s="47" t="n">
        <f aca="false">'Fault &amp; Downtime Entry'!O457</f>
        <v>0</v>
      </c>
      <c r="P456" s="47" t="str">
        <f aca="false">IF(OR(J456="",K456=""),"",IFERROR(J456/K456*1000,0))</f>
        <v/>
      </c>
      <c r="Q456" s="47" t="str">
        <f aca="false">IF(OR(L456="",K456=""),"",IFERROR(L456/K456*1000,0))</f>
        <v/>
      </c>
      <c r="R456" s="47" t="str">
        <f aca="false">IF(OR(M456="High",M456="Critical"),"YES","")</f>
        <v/>
      </c>
    </row>
    <row r="457" customFormat="false" ht="15" hidden="false" customHeight="true" outlineLevel="0" collapsed="false">
      <c r="A457" s="47" t="n">
        <f aca="false">'Fault &amp; Downtime Entry'!A458</f>
        <v>453</v>
      </c>
      <c r="B457" s="48" t="n">
        <f aca="false">'Fault &amp; Downtime Entry'!B458</f>
        <v>0</v>
      </c>
      <c r="C457" s="47" t="n">
        <f aca="false">'Fault &amp; Downtime Entry'!C458</f>
        <v>0</v>
      </c>
      <c r="D457" s="47" t="n">
        <f aca="false">'Fault &amp; Downtime Entry'!D458</f>
        <v>0</v>
      </c>
      <c r="E457" s="47" t="n">
        <f aca="false">'Fault &amp; Downtime Entry'!E458</f>
        <v>0</v>
      </c>
      <c r="F457" s="47" t="str">
        <f aca="false">'Fault &amp; Downtime Entry'!F458</f>
        <v/>
      </c>
      <c r="G457" s="47" t="n">
        <f aca="false">'Fault &amp; Downtime Entry'!G458</f>
        <v>0</v>
      </c>
      <c r="H457" s="47" t="str">
        <f aca="false">'Fault &amp; Downtime Entry'!H458</f>
        <v/>
      </c>
      <c r="I457" s="47" t="str">
        <f aca="false">'Fault &amp; Downtime Entry'!I458</f>
        <v/>
      </c>
      <c r="J457" s="47" t="n">
        <f aca="false">'Fault &amp; Downtime Entry'!J458</f>
        <v>0</v>
      </c>
      <c r="K457" s="47" t="n">
        <f aca="false">'Fault &amp; Downtime Entry'!K458</f>
        <v>0</v>
      </c>
      <c r="L457" s="47" t="n">
        <f aca="false">'Fault &amp; Downtime Entry'!L458</f>
        <v>0</v>
      </c>
      <c r="M457" s="47" t="str">
        <f aca="false">'Fault &amp; Downtime Entry'!M458</f>
        <v/>
      </c>
      <c r="N457" s="47" t="n">
        <f aca="false">'Fault &amp; Downtime Entry'!N458</f>
        <v>0</v>
      </c>
      <c r="O457" s="47" t="n">
        <f aca="false">'Fault &amp; Downtime Entry'!O458</f>
        <v>0</v>
      </c>
      <c r="P457" s="47" t="str">
        <f aca="false">IF(OR(J457="",K457=""),"",IFERROR(J457/K457*1000,0))</f>
        <v/>
      </c>
      <c r="Q457" s="47" t="str">
        <f aca="false">IF(OR(L457="",K457=""),"",IFERROR(L457/K457*1000,0))</f>
        <v/>
      </c>
      <c r="R457" s="47" t="str">
        <f aca="false">IF(OR(M457="High",M457="Critical"),"YES","")</f>
        <v/>
      </c>
    </row>
    <row r="458" customFormat="false" ht="15" hidden="false" customHeight="true" outlineLevel="0" collapsed="false">
      <c r="A458" s="47" t="n">
        <f aca="false">'Fault &amp; Downtime Entry'!A459</f>
        <v>454</v>
      </c>
      <c r="B458" s="48" t="n">
        <f aca="false">'Fault &amp; Downtime Entry'!B459</f>
        <v>0</v>
      </c>
      <c r="C458" s="47" t="n">
        <f aca="false">'Fault &amp; Downtime Entry'!C459</f>
        <v>0</v>
      </c>
      <c r="D458" s="47" t="n">
        <f aca="false">'Fault &amp; Downtime Entry'!D459</f>
        <v>0</v>
      </c>
      <c r="E458" s="47" t="n">
        <f aca="false">'Fault &amp; Downtime Entry'!E459</f>
        <v>0</v>
      </c>
      <c r="F458" s="47" t="str">
        <f aca="false">'Fault &amp; Downtime Entry'!F459</f>
        <v/>
      </c>
      <c r="G458" s="47" t="n">
        <f aca="false">'Fault &amp; Downtime Entry'!G459</f>
        <v>0</v>
      </c>
      <c r="H458" s="47" t="str">
        <f aca="false">'Fault &amp; Downtime Entry'!H459</f>
        <v/>
      </c>
      <c r="I458" s="47" t="str">
        <f aca="false">'Fault &amp; Downtime Entry'!I459</f>
        <v/>
      </c>
      <c r="J458" s="47" t="n">
        <f aca="false">'Fault &amp; Downtime Entry'!J459</f>
        <v>0</v>
      </c>
      <c r="K458" s="47" t="n">
        <f aca="false">'Fault &amp; Downtime Entry'!K459</f>
        <v>0</v>
      </c>
      <c r="L458" s="47" t="n">
        <f aca="false">'Fault &amp; Downtime Entry'!L459</f>
        <v>0</v>
      </c>
      <c r="M458" s="47" t="str">
        <f aca="false">'Fault &amp; Downtime Entry'!M459</f>
        <v/>
      </c>
      <c r="N458" s="47" t="n">
        <f aca="false">'Fault &amp; Downtime Entry'!N459</f>
        <v>0</v>
      </c>
      <c r="O458" s="47" t="n">
        <f aca="false">'Fault &amp; Downtime Entry'!O459</f>
        <v>0</v>
      </c>
      <c r="P458" s="47" t="str">
        <f aca="false">IF(OR(J458="",K458=""),"",IFERROR(J458/K458*1000,0))</f>
        <v/>
      </c>
      <c r="Q458" s="47" t="str">
        <f aca="false">IF(OR(L458="",K458=""),"",IFERROR(L458/K458*1000,0))</f>
        <v/>
      </c>
      <c r="R458" s="47" t="str">
        <f aca="false">IF(OR(M458="High",M458="Critical"),"YES","")</f>
        <v/>
      </c>
    </row>
    <row r="459" customFormat="false" ht="15" hidden="false" customHeight="true" outlineLevel="0" collapsed="false">
      <c r="A459" s="47" t="n">
        <f aca="false">'Fault &amp; Downtime Entry'!A460</f>
        <v>455</v>
      </c>
      <c r="B459" s="48" t="n">
        <f aca="false">'Fault &amp; Downtime Entry'!B460</f>
        <v>0</v>
      </c>
      <c r="C459" s="47" t="n">
        <f aca="false">'Fault &amp; Downtime Entry'!C460</f>
        <v>0</v>
      </c>
      <c r="D459" s="47" t="n">
        <f aca="false">'Fault &amp; Downtime Entry'!D460</f>
        <v>0</v>
      </c>
      <c r="E459" s="47" t="n">
        <f aca="false">'Fault &amp; Downtime Entry'!E460</f>
        <v>0</v>
      </c>
      <c r="F459" s="47" t="str">
        <f aca="false">'Fault &amp; Downtime Entry'!F460</f>
        <v/>
      </c>
      <c r="G459" s="47" t="n">
        <f aca="false">'Fault &amp; Downtime Entry'!G460</f>
        <v>0</v>
      </c>
      <c r="H459" s="47" t="str">
        <f aca="false">'Fault &amp; Downtime Entry'!H460</f>
        <v/>
      </c>
      <c r="I459" s="47" t="str">
        <f aca="false">'Fault &amp; Downtime Entry'!I460</f>
        <v/>
      </c>
      <c r="J459" s="47" t="n">
        <f aca="false">'Fault &amp; Downtime Entry'!J460</f>
        <v>0</v>
      </c>
      <c r="K459" s="47" t="n">
        <f aca="false">'Fault &amp; Downtime Entry'!K460</f>
        <v>0</v>
      </c>
      <c r="L459" s="47" t="n">
        <f aca="false">'Fault &amp; Downtime Entry'!L460</f>
        <v>0</v>
      </c>
      <c r="M459" s="47" t="str">
        <f aca="false">'Fault &amp; Downtime Entry'!M460</f>
        <v/>
      </c>
      <c r="N459" s="47" t="n">
        <f aca="false">'Fault &amp; Downtime Entry'!N460</f>
        <v>0</v>
      </c>
      <c r="O459" s="47" t="n">
        <f aca="false">'Fault &amp; Downtime Entry'!O460</f>
        <v>0</v>
      </c>
      <c r="P459" s="47" t="str">
        <f aca="false">IF(OR(J459="",K459=""),"",IFERROR(J459/K459*1000,0))</f>
        <v/>
      </c>
      <c r="Q459" s="47" t="str">
        <f aca="false">IF(OR(L459="",K459=""),"",IFERROR(L459/K459*1000,0))</f>
        <v/>
      </c>
      <c r="R459" s="47" t="str">
        <f aca="false">IF(OR(M459="High",M459="Critical"),"YES","")</f>
        <v/>
      </c>
    </row>
    <row r="460" customFormat="false" ht="15" hidden="false" customHeight="true" outlineLevel="0" collapsed="false">
      <c r="A460" s="47" t="n">
        <f aca="false">'Fault &amp; Downtime Entry'!A461</f>
        <v>456</v>
      </c>
      <c r="B460" s="48" t="n">
        <f aca="false">'Fault &amp; Downtime Entry'!B461</f>
        <v>0</v>
      </c>
      <c r="C460" s="47" t="n">
        <f aca="false">'Fault &amp; Downtime Entry'!C461</f>
        <v>0</v>
      </c>
      <c r="D460" s="47" t="n">
        <f aca="false">'Fault &amp; Downtime Entry'!D461</f>
        <v>0</v>
      </c>
      <c r="E460" s="47" t="n">
        <f aca="false">'Fault &amp; Downtime Entry'!E461</f>
        <v>0</v>
      </c>
      <c r="F460" s="47" t="str">
        <f aca="false">'Fault &amp; Downtime Entry'!F461</f>
        <v/>
      </c>
      <c r="G460" s="47" t="n">
        <f aca="false">'Fault &amp; Downtime Entry'!G461</f>
        <v>0</v>
      </c>
      <c r="H460" s="47" t="str">
        <f aca="false">'Fault &amp; Downtime Entry'!H461</f>
        <v/>
      </c>
      <c r="I460" s="47" t="str">
        <f aca="false">'Fault &amp; Downtime Entry'!I461</f>
        <v/>
      </c>
      <c r="J460" s="47" t="n">
        <f aca="false">'Fault &amp; Downtime Entry'!J461</f>
        <v>0</v>
      </c>
      <c r="K460" s="47" t="n">
        <f aca="false">'Fault &amp; Downtime Entry'!K461</f>
        <v>0</v>
      </c>
      <c r="L460" s="47" t="n">
        <f aca="false">'Fault &amp; Downtime Entry'!L461</f>
        <v>0</v>
      </c>
      <c r="M460" s="47" t="str">
        <f aca="false">'Fault &amp; Downtime Entry'!M461</f>
        <v/>
      </c>
      <c r="N460" s="47" t="n">
        <f aca="false">'Fault &amp; Downtime Entry'!N461</f>
        <v>0</v>
      </c>
      <c r="O460" s="47" t="n">
        <f aca="false">'Fault &amp; Downtime Entry'!O461</f>
        <v>0</v>
      </c>
      <c r="P460" s="47" t="str">
        <f aca="false">IF(OR(J460="",K460=""),"",IFERROR(J460/K460*1000,0))</f>
        <v/>
      </c>
      <c r="Q460" s="47" t="str">
        <f aca="false">IF(OR(L460="",K460=""),"",IFERROR(L460/K460*1000,0))</f>
        <v/>
      </c>
      <c r="R460" s="47" t="str">
        <f aca="false">IF(OR(M460="High",M460="Critical"),"YES","")</f>
        <v/>
      </c>
    </row>
    <row r="461" customFormat="false" ht="15" hidden="false" customHeight="true" outlineLevel="0" collapsed="false">
      <c r="A461" s="47" t="n">
        <f aca="false">'Fault &amp; Downtime Entry'!A462</f>
        <v>457</v>
      </c>
      <c r="B461" s="48" t="n">
        <f aca="false">'Fault &amp; Downtime Entry'!B462</f>
        <v>0</v>
      </c>
      <c r="C461" s="47" t="n">
        <f aca="false">'Fault &amp; Downtime Entry'!C462</f>
        <v>0</v>
      </c>
      <c r="D461" s="47" t="n">
        <f aca="false">'Fault &amp; Downtime Entry'!D462</f>
        <v>0</v>
      </c>
      <c r="E461" s="47" t="n">
        <f aca="false">'Fault &amp; Downtime Entry'!E462</f>
        <v>0</v>
      </c>
      <c r="F461" s="47" t="str">
        <f aca="false">'Fault &amp; Downtime Entry'!F462</f>
        <v/>
      </c>
      <c r="G461" s="47" t="n">
        <f aca="false">'Fault &amp; Downtime Entry'!G462</f>
        <v>0</v>
      </c>
      <c r="H461" s="47" t="str">
        <f aca="false">'Fault &amp; Downtime Entry'!H462</f>
        <v/>
      </c>
      <c r="I461" s="47" t="str">
        <f aca="false">'Fault &amp; Downtime Entry'!I462</f>
        <v/>
      </c>
      <c r="J461" s="47" t="n">
        <f aca="false">'Fault &amp; Downtime Entry'!J462</f>
        <v>0</v>
      </c>
      <c r="K461" s="47" t="n">
        <f aca="false">'Fault &amp; Downtime Entry'!K462</f>
        <v>0</v>
      </c>
      <c r="L461" s="47" t="n">
        <f aca="false">'Fault &amp; Downtime Entry'!L462</f>
        <v>0</v>
      </c>
      <c r="M461" s="47" t="str">
        <f aca="false">'Fault &amp; Downtime Entry'!M462</f>
        <v/>
      </c>
      <c r="N461" s="47" t="n">
        <f aca="false">'Fault &amp; Downtime Entry'!N462</f>
        <v>0</v>
      </c>
      <c r="O461" s="47" t="n">
        <f aca="false">'Fault &amp; Downtime Entry'!O462</f>
        <v>0</v>
      </c>
      <c r="P461" s="47" t="str">
        <f aca="false">IF(OR(J461="",K461=""),"",IFERROR(J461/K461*1000,0))</f>
        <v/>
      </c>
      <c r="Q461" s="47" t="str">
        <f aca="false">IF(OR(L461="",K461=""),"",IFERROR(L461/K461*1000,0))</f>
        <v/>
      </c>
      <c r="R461" s="47" t="str">
        <f aca="false">IF(OR(M461="High",M461="Critical"),"YES","")</f>
        <v/>
      </c>
    </row>
    <row r="462" customFormat="false" ht="15" hidden="false" customHeight="true" outlineLevel="0" collapsed="false">
      <c r="A462" s="47" t="n">
        <f aca="false">'Fault &amp; Downtime Entry'!A463</f>
        <v>458</v>
      </c>
      <c r="B462" s="48" t="n">
        <f aca="false">'Fault &amp; Downtime Entry'!B463</f>
        <v>0</v>
      </c>
      <c r="C462" s="47" t="n">
        <f aca="false">'Fault &amp; Downtime Entry'!C463</f>
        <v>0</v>
      </c>
      <c r="D462" s="47" t="n">
        <f aca="false">'Fault &amp; Downtime Entry'!D463</f>
        <v>0</v>
      </c>
      <c r="E462" s="47" t="n">
        <f aca="false">'Fault &amp; Downtime Entry'!E463</f>
        <v>0</v>
      </c>
      <c r="F462" s="47" t="str">
        <f aca="false">'Fault &amp; Downtime Entry'!F463</f>
        <v/>
      </c>
      <c r="G462" s="47" t="n">
        <f aca="false">'Fault &amp; Downtime Entry'!G463</f>
        <v>0</v>
      </c>
      <c r="H462" s="47" t="str">
        <f aca="false">'Fault &amp; Downtime Entry'!H463</f>
        <v/>
      </c>
      <c r="I462" s="47" t="str">
        <f aca="false">'Fault &amp; Downtime Entry'!I463</f>
        <v/>
      </c>
      <c r="J462" s="47" t="n">
        <f aca="false">'Fault &amp; Downtime Entry'!J463</f>
        <v>0</v>
      </c>
      <c r="K462" s="47" t="n">
        <f aca="false">'Fault &amp; Downtime Entry'!K463</f>
        <v>0</v>
      </c>
      <c r="L462" s="47" t="n">
        <f aca="false">'Fault &amp; Downtime Entry'!L463</f>
        <v>0</v>
      </c>
      <c r="M462" s="47" t="str">
        <f aca="false">'Fault &amp; Downtime Entry'!M463</f>
        <v/>
      </c>
      <c r="N462" s="47" t="n">
        <f aca="false">'Fault &amp; Downtime Entry'!N463</f>
        <v>0</v>
      </c>
      <c r="O462" s="47" t="n">
        <f aca="false">'Fault &amp; Downtime Entry'!O463</f>
        <v>0</v>
      </c>
      <c r="P462" s="47" t="str">
        <f aca="false">IF(OR(J462="",K462=""),"",IFERROR(J462/K462*1000,0))</f>
        <v/>
      </c>
      <c r="Q462" s="47" t="str">
        <f aca="false">IF(OR(L462="",K462=""),"",IFERROR(L462/K462*1000,0))</f>
        <v/>
      </c>
      <c r="R462" s="47" t="str">
        <f aca="false">IF(OR(M462="High",M462="Critical"),"YES","")</f>
        <v/>
      </c>
    </row>
    <row r="463" customFormat="false" ht="15" hidden="false" customHeight="true" outlineLevel="0" collapsed="false">
      <c r="A463" s="47" t="n">
        <f aca="false">'Fault &amp; Downtime Entry'!A464</f>
        <v>459</v>
      </c>
      <c r="B463" s="48" t="n">
        <f aca="false">'Fault &amp; Downtime Entry'!B464</f>
        <v>0</v>
      </c>
      <c r="C463" s="47" t="n">
        <f aca="false">'Fault &amp; Downtime Entry'!C464</f>
        <v>0</v>
      </c>
      <c r="D463" s="47" t="n">
        <f aca="false">'Fault &amp; Downtime Entry'!D464</f>
        <v>0</v>
      </c>
      <c r="E463" s="47" t="n">
        <f aca="false">'Fault &amp; Downtime Entry'!E464</f>
        <v>0</v>
      </c>
      <c r="F463" s="47" t="str">
        <f aca="false">'Fault &amp; Downtime Entry'!F464</f>
        <v/>
      </c>
      <c r="G463" s="47" t="n">
        <f aca="false">'Fault &amp; Downtime Entry'!G464</f>
        <v>0</v>
      </c>
      <c r="H463" s="47" t="str">
        <f aca="false">'Fault &amp; Downtime Entry'!H464</f>
        <v/>
      </c>
      <c r="I463" s="47" t="str">
        <f aca="false">'Fault &amp; Downtime Entry'!I464</f>
        <v/>
      </c>
      <c r="J463" s="47" t="n">
        <f aca="false">'Fault &amp; Downtime Entry'!J464</f>
        <v>0</v>
      </c>
      <c r="K463" s="47" t="n">
        <f aca="false">'Fault &amp; Downtime Entry'!K464</f>
        <v>0</v>
      </c>
      <c r="L463" s="47" t="n">
        <f aca="false">'Fault &amp; Downtime Entry'!L464</f>
        <v>0</v>
      </c>
      <c r="M463" s="47" t="str">
        <f aca="false">'Fault &amp; Downtime Entry'!M464</f>
        <v/>
      </c>
      <c r="N463" s="47" t="n">
        <f aca="false">'Fault &amp; Downtime Entry'!N464</f>
        <v>0</v>
      </c>
      <c r="O463" s="47" t="n">
        <f aca="false">'Fault &amp; Downtime Entry'!O464</f>
        <v>0</v>
      </c>
      <c r="P463" s="47" t="str">
        <f aca="false">IF(OR(J463="",K463=""),"",IFERROR(J463/K463*1000,0))</f>
        <v/>
      </c>
      <c r="Q463" s="47" t="str">
        <f aca="false">IF(OR(L463="",K463=""),"",IFERROR(L463/K463*1000,0))</f>
        <v/>
      </c>
      <c r="R463" s="47" t="str">
        <f aca="false">IF(OR(M463="High",M463="Critical"),"YES","")</f>
        <v/>
      </c>
    </row>
    <row r="464" customFormat="false" ht="15" hidden="false" customHeight="true" outlineLevel="0" collapsed="false">
      <c r="A464" s="47" t="n">
        <f aca="false">'Fault &amp; Downtime Entry'!A465</f>
        <v>460</v>
      </c>
      <c r="B464" s="48" t="n">
        <f aca="false">'Fault &amp; Downtime Entry'!B465</f>
        <v>0</v>
      </c>
      <c r="C464" s="47" t="n">
        <f aca="false">'Fault &amp; Downtime Entry'!C465</f>
        <v>0</v>
      </c>
      <c r="D464" s="47" t="n">
        <f aca="false">'Fault &amp; Downtime Entry'!D465</f>
        <v>0</v>
      </c>
      <c r="E464" s="47" t="n">
        <f aca="false">'Fault &amp; Downtime Entry'!E465</f>
        <v>0</v>
      </c>
      <c r="F464" s="47" t="str">
        <f aca="false">'Fault &amp; Downtime Entry'!F465</f>
        <v/>
      </c>
      <c r="G464" s="47" t="n">
        <f aca="false">'Fault &amp; Downtime Entry'!G465</f>
        <v>0</v>
      </c>
      <c r="H464" s="47" t="str">
        <f aca="false">'Fault &amp; Downtime Entry'!H465</f>
        <v/>
      </c>
      <c r="I464" s="47" t="str">
        <f aca="false">'Fault &amp; Downtime Entry'!I465</f>
        <v/>
      </c>
      <c r="J464" s="47" t="n">
        <f aca="false">'Fault &amp; Downtime Entry'!J465</f>
        <v>0</v>
      </c>
      <c r="K464" s="47" t="n">
        <f aca="false">'Fault &amp; Downtime Entry'!K465</f>
        <v>0</v>
      </c>
      <c r="L464" s="47" t="n">
        <f aca="false">'Fault &amp; Downtime Entry'!L465</f>
        <v>0</v>
      </c>
      <c r="M464" s="47" t="str">
        <f aca="false">'Fault &amp; Downtime Entry'!M465</f>
        <v/>
      </c>
      <c r="N464" s="47" t="n">
        <f aca="false">'Fault &amp; Downtime Entry'!N465</f>
        <v>0</v>
      </c>
      <c r="O464" s="47" t="n">
        <f aca="false">'Fault &amp; Downtime Entry'!O465</f>
        <v>0</v>
      </c>
      <c r="P464" s="47" t="str">
        <f aca="false">IF(OR(J464="",K464=""),"",IFERROR(J464/K464*1000,0))</f>
        <v/>
      </c>
      <c r="Q464" s="47" t="str">
        <f aca="false">IF(OR(L464="",K464=""),"",IFERROR(L464/K464*1000,0))</f>
        <v/>
      </c>
      <c r="R464" s="47" t="str">
        <f aca="false">IF(OR(M464="High",M464="Critical"),"YES","")</f>
        <v/>
      </c>
    </row>
    <row r="465" customFormat="false" ht="15" hidden="false" customHeight="true" outlineLevel="0" collapsed="false">
      <c r="A465" s="47" t="n">
        <f aca="false">'Fault &amp; Downtime Entry'!A466</f>
        <v>461</v>
      </c>
      <c r="B465" s="48" t="n">
        <f aca="false">'Fault &amp; Downtime Entry'!B466</f>
        <v>0</v>
      </c>
      <c r="C465" s="47" t="n">
        <f aca="false">'Fault &amp; Downtime Entry'!C466</f>
        <v>0</v>
      </c>
      <c r="D465" s="47" t="n">
        <f aca="false">'Fault &amp; Downtime Entry'!D466</f>
        <v>0</v>
      </c>
      <c r="E465" s="47" t="n">
        <f aca="false">'Fault &amp; Downtime Entry'!E466</f>
        <v>0</v>
      </c>
      <c r="F465" s="47" t="str">
        <f aca="false">'Fault &amp; Downtime Entry'!F466</f>
        <v/>
      </c>
      <c r="G465" s="47" t="n">
        <f aca="false">'Fault &amp; Downtime Entry'!G466</f>
        <v>0</v>
      </c>
      <c r="H465" s="47" t="str">
        <f aca="false">'Fault &amp; Downtime Entry'!H466</f>
        <v/>
      </c>
      <c r="I465" s="47" t="str">
        <f aca="false">'Fault &amp; Downtime Entry'!I466</f>
        <v/>
      </c>
      <c r="J465" s="47" t="n">
        <f aca="false">'Fault &amp; Downtime Entry'!J466</f>
        <v>0</v>
      </c>
      <c r="K465" s="47" t="n">
        <f aca="false">'Fault &amp; Downtime Entry'!K466</f>
        <v>0</v>
      </c>
      <c r="L465" s="47" t="n">
        <f aca="false">'Fault &amp; Downtime Entry'!L466</f>
        <v>0</v>
      </c>
      <c r="M465" s="47" t="str">
        <f aca="false">'Fault &amp; Downtime Entry'!M466</f>
        <v/>
      </c>
      <c r="N465" s="47" t="n">
        <f aca="false">'Fault &amp; Downtime Entry'!N466</f>
        <v>0</v>
      </c>
      <c r="O465" s="47" t="n">
        <f aca="false">'Fault &amp; Downtime Entry'!O466</f>
        <v>0</v>
      </c>
      <c r="P465" s="47" t="str">
        <f aca="false">IF(OR(J465="",K465=""),"",IFERROR(J465/K465*1000,0))</f>
        <v/>
      </c>
      <c r="Q465" s="47" t="str">
        <f aca="false">IF(OR(L465="",K465=""),"",IFERROR(L465/K465*1000,0))</f>
        <v/>
      </c>
      <c r="R465" s="47" t="str">
        <f aca="false">IF(OR(M465="High",M465="Critical"),"YES","")</f>
        <v/>
      </c>
    </row>
    <row r="466" customFormat="false" ht="15" hidden="false" customHeight="true" outlineLevel="0" collapsed="false">
      <c r="A466" s="47" t="n">
        <f aca="false">'Fault &amp; Downtime Entry'!A467</f>
        <v>462</v>
      </c>
      <c r="B466" s="48" t="n">
        <f aca="false">'Fault &amp; Downtime Entry'!B467</f>
        <v>0</v>
      </c>
      <c r="C466" s="47" t="n">
        <f aca="false">'Fault &amp; Downtime Entry'!C467</f>
        <v>0</v>
      </c>
      <c r="D466" s="47" t="n">
        <f aca="false">'Fault &amp; Downtime Entry'!D467</f>
        <v>0</v>
      </c>
      <c r="E466" s="47" t="n">
        <f aca="false">'Fault &amp; Downtime Entry'!E467</f>
        <v>0</v>
      </c>
      <c r="F466" s="47" t="str">
        <f aca="false">'Fault &amp; Downtime Entry'!F467</f>
        <v/>
      </c>
      <c r="G466" s="47" t="n">
        <f aca="false">'Fault &amp; Downtime Entry'!G467</f>
        <v>0</v>
      </c>
      <c r="H466" s="47" t="str">
        <f aca="false">'Fault &amp; Downtime Entry'!H467</f>
        <v/>
      </c>
      <c r="I466" s="47" t="str">
        <f aca="false">'Fault &amp; Downtime Entry'!I467</f>
        <v/>
      </c>
      <c r="J466" s="47" t="n">
        <f aca="false">'Fault &amp; Downtime Entry'!J467</f>
        <v>0</v>
      </c>
      <c r="K466" s="47" t="n">
        <f aca="false">'Fault &amp; Downtime Entry'!K467</f>
        <v>0</v>
      </c>
      <c r="L466" s="47" t="n">
        <f aca="false">'Fault &amp; Downtime Entry'!L467</f>
        <v>0</v>
      </c>
      <c r="M466" s="47" t="str">
        <f aca="false">'Fault &amp; Downtime Entry'!M467</f>
        <v/>
      </c>
      <c r="N466" s="47" t="n">
        <f aca="false">'Fault &amp; Downtime Entry'!N467</f>
        <v>0</v>
      </c>
      <c r="O466" s="47" t="n">
        <f aca="false">'Fault &amp; Downtime Entry'!O467</f>
        <v>0</v>
      </c>
      <c r="P466" s="47" t="str">
        <f aca="false">IF(OR(J466="",K466=""),"",IFERROR(J466/K466*1000,0))</f>
        <v/>
      </c>
      <c r="Q466" s="47" t="str">
        <f aca="false">IF(OR(L466="",K466=""),"",IFERROR(L466/K466*1000,0))</f>
        <v/>
      </c>
      <c r="R466" s="47" t="str">
        <f aca="false">IF(OR(M466="High",M466="Critical"),"YES","")</f>
        <v/>
      </c>
    </row>
    <row r="467" customFormat="false" ht="15" hidden="false" customHeight="true" outlineLevel="0" collapsed="false">
      <c r="A467" s="47" t="n">
        <f aca="false">'Fault &amp; Downtime Entry'!A468</f>
        <v>463</v>
      </c>
      <c r="B467" s="48" t="n">
        <f aca="false">'Fault &amp; Downtime Entry'!B468</f>
        <v>0</v>
      </c>
      <c r="C467" s="47" t="n">
        <f aca="false">'Fault &amp; Downtime Entry'!C468</f>
        <v>0</v>
      </c>
      <c r="D467" s="47" t="n">
        <f aca="false">'Fault &amp; Downtime Entry'!D468</f>
        <v>0</v>
      </c>
      <c r="E467" s="47" t="n">
        <f aca="false">'Fault &amp; Downtime Entry'!E468</f>
        <v>0</v>
      </c>
      <c r="F467" s="47" t="str">
        <f aca="false">'Fault &amp; Downtime Entry'!F468</f>
        <v/>
      </c>
      <c r="G467" s="47" t="n">
        <f aca="false">'Fault &amp; Downtime Entry'!G468</f>
        <v>0</v>
      </c>
      <c r="H467" s="47" t="str">
        <f aca="false">'Fault &amp; Downtime Entry'!H468</f>
        <v/>
      </c>
      <c r="I467" s="47" t="str">
        <f aca="false">'Fault &amp; Downtime Entry'!I468</f>
        <v/>
      </c>
      <c r="J467" s="47" t="n">
        <f aca="false">'Fault &amp; Downtime Entry'!J468</f>
        <v>0</v>
      </c>
      <c r="K467" s="47" t="n">
        <f aca="false">'Fault &amp; Downtime Entry'!K468</f>
        <v>0</v>
      </c>
      <c r="L467" s="47" t="n">
        <f aca="false">'Fault &amp; Downtime Entry'!L468</f>
        <v>0</v>
      </c>
      <c r="M467" s="47" t="str">
        <f aca="false">'Fault &amp; Downtime Entry'!M468</f>
        <v/>
      </c>
      <c r="N467" s="47" t="n">
        <f aca="false">'Fault &amp; Downtime Entry'!N468</f>
        <v>0</v>
      </c>
      <c r="O467" s="47" t="n">
        <f aca="false">'Fault &amp; Downtime Entry'!O468</f>
        <v>0</v>
      </c>
      <c r="P467" s="47" t="str">
        <f aca="false">IF(OR(J467="",K467=""),"",IFERROR(J467/K467*1000,0))</f>
        <v/>
      </c>
      <c r="Q467" s="47" t="str">
        <f aca="false">IF(OR(L467="",K467=""),"",IFERROR(L467/K467*1000,0))</f>
        <v/>
      </c>
      <c r="R467" s="47" t="str">
        <f aca="false">IF(OR(M467="High",M467="Critical"),"YES","")</f>
        <v/>
      </c>
    </row>
    <row r="468" customFormat="false" ht="15" hidden="false" customHeight="true" outlineLevel="0" collapsed="false">
      <c r="A468" s="47" t="n">
        <f aca="false">'Fault &amp; Downtime Entry'!A469</f>
        <v>464</v>
      </c>
      <c r="B468" s="48" t="n">
        <f aca="false">'Fault &amp; Downtime Entry'!B469</f>
        <v>0</v>
      </c>
      <c r="C468" s="47" t="n">
        <f aca="false">'Fault &amp; Downtime Entry'!C469</f>
        <v>0</v>
      </c>
      <c r="D468" s="47" t="n">
        <f aca="false">'Fault &amp; Downtime Entry'!D469</f>
        <v>0</v>
      </c>
      <c r="E468" s="47" t="n">
        <f aca="false">'Fault &amp; Downtime Entry'!E469</f>
        <v>0</v>
      </c>
      <c r="F468" s="47" t="str">
        <f aca="false">'Fault &amp; Downtime Entry'!F469</f>
        <v/>
      </c>
      <c r="G468" s="47" t="n">
        <f aca="false">'Fault &amp; Downtime Entry'!G469</f>
        <v>0</v>
      </c>
      <c r="H468" s="47" t="str">
        <f aca="false">'Fault &amp; Downtime Entry'!H469</f>
        <v/>
      </c>
      <c r="I468" s="47" t="str">
        <f aca="false">'Fault &amp; Downtime Entry'!I469</f>
        <v/>
      </c>
      <c r="J468" s="47" t="n">
        <f aca="false">'Fault &amp; Downtime Entry'!J469</f>
        <v>0</v>
      </c>
      <c r="K468" s="47" t="n">
        <f aca="false">'Fault &amp; Downtime Entry'!K469</f>
        <v>0</v>
      </c>
      <c r="L468" s="47" t="n">
        <f aca="false">'Fault &amp; Downtime Entry'!L469</f>
        <v>0</v>
      </c>
      <c r="M468" s="47" t="str">
        <f aca="false">'Fault &amp; Downtime Entry'!M469</f>
        <v/>
      </c>
      <c r="N468" s="47" t="n">
        <f aca="false">'Fault &amp; Downtime Entry'!N469</f>
        <v>0</v>
      </c>
      <c r="O468" s="47" t="n">
        <f aca="false">'Fault &amp; Downtime Entry'!O469</f>
        <v>0</v>
      </c>
      <c r="P468" s="47" t="str">
        <f aca="false">IF(OR(J468="",K468=""),"",IFERROR(J468/K468*1000,0))</f>
        <v/>
      </c>
      <c r="Q468" s="47" t="str">
        <f aca="false">IF(OR(L468="",K468=""),"",IFERROR(L468/K468*1000,0))</f>
        <v/>
      </c>
      <c r="R468" s="47" t="str">
        <f aca="false">IF(OR(M468="High",M468="Critical"),"YES","")</f>
        <v/>
      </c>
    </row>
    <row r="469" customFormat="false" ht="15" hidden="false" customHeight="true" outlineLevel="0" collapsed="false">
      <c r="A469" s="47" t="n">
        <f aca="false">'Fault &amp; Downtime Entry'!A470</f>
        <v>465</v>
      </c>
      <c r="B469" s="48" t="n">
        <f aca="false">'Fault &amp; Downtime Entry'!B470</f>
        <v>0</v>
      </c>
      <c r="C469" s="47" t="n">
        <f aca="false">'Fault &amp; Downtime Entry'!C470</f>
        <v>0</v>
      </c>
      <c r="D469" s="47" t="n">
        <f aca="false">'Fault &amp; Downtime Entry'!D470</f>
        <v>0</v>
      </c>
      <c r="E469" s="47" t="n">
        <f aca="false">'Fault &amp; Downtime Entry'!E470</f>
        <v>0</v>
      </c>
      <c r="F469" s="47" t="str">
        <f aca="false">'Fault &amp; Downtime Entry'!F470</f>
        <v/>
      </c>
      <c r="G469" s="47" t="n">
        <f aca="false">'Fault &amp; Downtime Entry'!G470</f>
        <v>0</v>
      </c>
      <c r="H469" s="47" t="str">
        <f aca="false">'Fault &amp; Downtime Entry'!H470</f>
        <v/>
      </c>
      <c r="I469" s="47" t="str">
        <f aca="false">'Fault &amp; Downtime Entry'!I470</f>
        <v/>
      </c>
      <c r="J469" s="47" t="n">
        <f aca="false">'Fault &amp; Downtime Entry'!J470</f>
        <v>0</v>
      </c>
      <c r="K469" s="47" t="n">
        <f aca="false">'Fault &amp; Downtime Entry'!K470</f>
        <v>0</v>
      </c>
      <c r="L469" s="47" t="n">
        <f aca="false">'Fault &amp; Downtime Entry'!L470</f>
        <v>0</v>
      </c>
      <c r="M469" s="47" t="str">
        <f aca="false">'Fault &amp; Downtime Entry'!M470</f>
        <v/>
      </c>
      <c r="N469" s="47" t="n">
        <f aca="false">'Fault &amp; Downtime Entry'!N470</f>
        <v>0</v>
      </c>
      <c r="O469" s="47" t="n">
        <f aca="false">'Fault &amp; Downtime Entry'!O470</f>
        <v>0</v>
      </c>
      <c r="P469" s="47" t="str">
        <f aca="false">IF(OR(J469="",K469=""),"",IFERROR(J469/K469*1000,0))</f>
        <v/>
      </c>
      <c r="Q469" s="47" t="str">
        <f aca="false">IF(OR(L469="",K469=""),"",IFERROR(L469/K469*1000,0))</f>
        <v/>
      </c>
      <c r="R469" s="47" t="str">
        <f aca="false">IF(OR(M469="High",M469="Critical"),"YES","")</f>
        <v/>
      </c>
    </row>
    <row r="470" customFormat="false" ht="15" hidden="false" customHeight="true" outlineLevel="0" collapsed="false">
      <c r="A470" s="47" t="n">
        <f aca="false">'Fault &amp; Downtime Entry'!A471</f>
        <v>466</v>
      </c>
      <c r="B470" s="48" t="n">
        <f aca="false">'Fault &amp; Downtime Entry'!B471</f>
        <v>0</v>
      </c>
      <c r="C470" s="47" t="n">
        <f aca="false">'Fault &amp; Downtime Entry'!C471</f>
        <v>0</v>
      </c>
      <c r="D470" s="47" t="n">
        <f aca="false">'Fault &amp; Downtime Entry'!D471</f>
        <v>0</v>
      </c>
      <c r="E470" s="47" t="n">
        <f aca="false">'Fault &amp; Downtime Entry'!E471</f>
        <v>0</v>
      </c>
      <c r="F470" s="47" t="str">
        <f aca="false">'Fault &amp; Downtime Entry'!F471</f>
        <v/>
      </c>
      <c r="G470" s="47" t="n">
        <f aca="false">'Fault &amp; Downtime Entry'!G471</f>
        <v>0</v>
      </c>
      <c r="H470" s="47" t="str">
        <f aca="false">'Fault &amp; Downtime Entry'!H471</f>
        <v/>
      </c>
      <c r="I470" s="47" t="str">
        <f aca="false">'Fault &amp; Downtime Entry'!I471</f>
        <v/>
      </c>
      <c r="J470" s="47" t="n">
        <f aca="false">'Fault &amp; Downtime Entry'!J471</f>
        <v>0</v>
      </c>
      <c r="K470" s="47" t="n">
        <f aca="false">'Fault &amp; Downtime Entry'!K471</f>
        <v>0</v>
      </c>
      <c r="L470" s="47" t="n">
        <f aca="false">'Fault &amp; Downtime Entry'!L471</f>
        <v>0</v>
      </c>
      <c r="M470" s="47" t="str">
        <f aca="false">'Fault &amp; Downtime Entry'!M471</f>
        <v/>
      </c>
      <c r="N470" s="47" t="n">
        <f aca="false">'Fault &amp; Downtime Entry'!N471</f>
        <v>0</v>
      </c>
      <c r="O470" s="47" t="n">
        <f aca="false">'Fault &amp; Downtime Entry'!O471</f>
        <v>0</v>
      </c>
      <c r="P470" s="47" t="str">
        <f aca="false">IF(OR(J470="",K470=""),"",IFERROR(J470/K470*1000,0))</f>
        <v/>
      </c>
      <c r="Q470" s="47" t="str">
        <f aca="false">IF(OR(L470="",K470=""),"",IFERROR(L470/K470*1000,0))</f>
        <v/>
      </c>
      <c r="R470" s="47" t="str">
        <f aca="false">IF(OR(M470="High",M470="Critical"),"YES","")</f>
        <v/>
      </c>
    </row>
    <row r="471" customFormat="false" ht="15" hidden="false" customHeight="true" outlineLevel="0" collapsed="false">
      <c r="A471" s="47" t="n">
        <f aca="false">'Fault &amp; Downtime Entry'!A472</f>
        <v>467</v>
      </c>
      <c r="B471" s="48" t="n">
        <f aca="false">'Fault &amp; Downtime Entry'!B472</f>
        <v>0</v>
      </c>
      <c r="C471" s="47" t="n">
        <f aca="false">'Fault &amp; Downtime Entry'!C472</f>
        <v>0</v>
      </c>
      <c r="D471" s="47" t="n">
        <f aca="false">'Fault &amp; Downtime Entry'!D472</f>
        <v>0</v>
      </c>
      <c r="E471" s="47" t="n">
        <f aca="false">'Fault &amp; Downtime Entry'!E472</f>
        <v>0</v>
      </c>
      <c r="F471" s="47" t="str">
        <f aca="false">'Fault &amp; Downtime Entry'!F472</f>
        <v/>
      </c>
      <c r="G471" s="47" t="n">
        <f aca="false">'Fault &amp; Downtime Entry'!G472</f>
        <v>0</v>
      </c>
      <c r="H471" s="47" t="str">
        <f aca="false">'Fault &amp; Downtime Entry'!H472</f>
        <v/>
      </c>
      <c r="I471" s="47" t="str">
        <f aca="false">'Fault &amp; Downtime Entry'!I472</f>
        <v/>
      </c>
      <c r="J471" s="47" t="n">
        <f aca="false">'Fault &amp; Downtime Entry'!J472</f>
        <v>0</v>
      </c>
      <c r="K471" s="47" t="n">
        <f aca="false">'Fault &amp; Downtime Entry'!K472</f>
        <v>0</v>
      </c>
      <c r="L471" s="47" t="n">
        <f aca="false">'Fault &amp; Downtime Entry'!L472</f>
        <v>0</v>
      </c>
      <c r="M471" s="47" t="str">
        <f aca="false">'Fault &amp; Downtime Entry'!M472</f>
        <v/>
      </c>
      <c r="N471" s="47" t="n">
        <f aca="false">'Fault &amp; Downtime Entry'!N472</f>
        <v>0</v>
      </c>
      <c r="O471" s="47" t="n">
        <f aca="false">'Fault &amp; Downtime Entry'!O472</f>
        <v>0</v>
      </c>
      <c r="P471" s="47" t="str">
        <f aca="false">IF(OR(J471="",K471=""),"",IFERROR(J471/K471*1000,0))</f>
        <v/>
      </c>
      <c r="Q471" s="47" t="str">
        <f aca="false">IF(OR(L471="",K471=""),"",IFERROR(L471/K471*1000,0))</f>
        <v/>
      </c>
      <c r="R471" s="47" t="str">
        <f aca="false">IF(OR(M471="High",M471="Critical"),"YES","")</f>
        <v/>
      </c>
    </row>
    <row r="472" customFormat="false" ht="15" hidden="false" customHeight="true" outlineLevel="0" collapsed="false">
      <c r="A472" s="47" t="n">
        <f aca="false">'Fault &amp; Downtime Entry'!A473</f>
        <v>468</v>
      </c>
      <c r="B472" s="48" t="n">
        <f aca="false">'Fault &amp; Downtime Entry'!B473</f>
        <v>0</v>
      </c>
      <c r="C472" s="47" t="n">
        <f aca="false">'Fault &amp; Downtime Entry'!C473</f>
        <v>0</v>
      </c>
      <c r="D472" s="47" t="n">
        <f aca="false">'Fault &amp; Downtime Entry'!D473</f>
        <v>0</v>
      </c>
      <c r="E472" s="47" t="n">
        <f aca="false">'Fault &amp; Downtime Entry'!E473</f>
        <v>0</v>
      </c>
      <c r="F472" s="47" t="str">
        <f aca="false">'Fault &amp; Downtime Entry'!F473</f>
        <v/>
      </c>
      <c r="G472" s="47" t="n">
        <f aca="false">'Fault &amp; Downtime Entry'!G473</f>
        <v>0</v>
      </c>
      <c r="H472" s="47" t="str">
        <f aca="false">'Fault &amp; Downtime Entry'!H473</f>
        <v/>
      </c>
      <c r="I472" s="47" t="str">
        <f aca="false">'Fault &amp; Downtime Entry'!I473</f>
        <v/>
      </c>
      <c r="J472" s="47" t="n">
        <f aca="false">'Fault &amp; Downtime Entry'!J473</f>
        <v>0</v>
      </c>
      <c r="K472" s="47" t="n">
        <f aca="false">'Fault &amp; Downtime Entry'!K473</f>
        <v>0</v>
      </c>
      <c r="L472" s="47" t="n">
        <f aca="false">'Fault &amp; Downtime Entry'!L473</f>
        <v>0</v>
      </c>
      <c r="M472" s="47" t="str">
        <f aca="false">'Fault &amp; Downtime Entry'!M473</f>
        <v/>
      </c>
      <c r="N472" s="47" t="n">
        <f aca="false">'Fault &amp; Downtime Entry'!N473</f>
        <v>0</v>
      </c>
      <c r="O472" s="47" t="n">
        <f aca="false">'Fault &amp; Downtime Entry'!O473</f>
        <v>0</v>
      </c>
      <c r="P472" s="47" t="str">
        <f aca="false">IF(OR(J472="",K472=""),"",IFERROR(J472/K472*1000,0))</f>
        <v/>
      </c>
      <c r="Q472" s="47" t="str">
        <f aca="false">IF(OR(L472="",K472=""),"",IFERROR(L472/K472*1000,0))</f>
        <v/>
      </c>
      <c r="R472" s="47" t="str">
        <f aca="false">IF(OR(M472="High",M472="Critical"),"YES","")</f>
        <v/>
      </c>
    </row>
    <row r="473" customFormat="false" ht="15" hidden="false" customHeight="true" outlineLevel="0" collapsed="false">
      <c r="A473" s="47" t="n">
        <f aca="false">'Fault &amp; Downtime Entry'!A474</f>
        <v>469</v>
      </c>
      <c r="B473" s="48" t="n">
        <f aca="false">'Fault &amp; Downtime Entry'!B474</f>
        <v>0</v>
      </c>
      <c r="C473" s="47" t="n">
        <f aca="false">'Fault &amp; Downtime Entry'!C474</f>
        <v>0</v>
      </c>
      <c r="D473" s="47" t="n">
        <f aca="false">'Fault &amp; Downtime Entry'!D474</f>
        <v>0</v>
      </c>
      <c r="E473" s="47" t="n">
        <f aca="false">'Fault &amp; Downtime Entry'!E474</f>
        <v>0</v>
      </c>
      <c r="F473" s="47" t="str">
        <f aca="false">'Fault &amp; Downtime Entry'!F474</f>
        <v/>
      </c>
      <c r="G473" s="47" t="n">
        <f aca="false">'Fault &amp; Downtime Entry'!G474</f>
        <v>0</v>
      </c>
      <c r="H473" s="47" t="str">
        <f aca="false">'Fault &amp; Downtime Entry'!H474</f>
        <v/>
      </c>
      <c r="I473" s="47" t="str">
        <f aca="false">'Fault &amp; Downtime Entry'!I474</f>
        <v/>
      </c>
      <c r="J473" s="47" t="n">
        <f aca="false">'Fault &amp; Downtime Entry'!J474</f>
        <v>0</v>
      </c>
      <c r="K473" s="47" t="n">
        <f aca="false">'Fault &amp; Downtime Entry'!K474</f>
        <v>0</v>
      </c>
      <c r="L473" s="47" t="n">
        <f aca="false">'Fault &amp; Downtime Entry'!L474</f>
        <v>0</v>
      </c>
      <c r="M473" s="47" t="str">
        <f aca="false">'Fault &amp; Downtime Entry'!M474</f>
        <v/>
      </c>
      <c r="N473" s="47" t="n">
        <f aca="false">'Fault &amp; Downtime Entry'!N474</f>
        <v>0</v>
      </c>
      <c r="O473" s="47" t="n">
        <f aca="false">'Fault &amp; Downtime Entry'!O474</f>
        <v>0</v>
      </c>
      <c r="P473" s="47" t="str">
        <f aca="false">IF(OR(J473="",K473=""),"",IFERROR(J473/K473*1000,0))</f>
        <v/>
      </c>
      <c r="Q473" s="47" t="str">
        <f aca="false">IF(OR(L473="",K473=""),"",IFERROR(L473/K473*1000,0))</f>
        <v/>
      </c>
      <c r="R473" s="47" t="str">
        <f aca="false">IF(OR(M473="High",M473="Critical"),"YES","")</f>
        <v/>
      </c>
    </row>
    <row r="474" customFormat="false" ht="15" hidden="false" customHeight="true" outlineLevel="0" collapsed="false">
      <c r="A474" s="47" t="n">
        <f aca="false">'Fault &amp; Downtime Entry'!A475</f>
        <v>470</v>
      </c>
      <c r="B474" s="48" t="n">
        <f aca="false">'Fault &amp; Downtime Entry'!B475</f>
        <v>0</v>
      </c>
      <c r="C474" s="47" t="n">
        <f aca="false">'Fault &amp; Downtime Entry'!C475</f>
        <v>0</v>
      </c>
      <c r="D474" s="47" t="n">
        <f aca="false">'Fault &amp; Downtime Entry'!D475</f>
        <v>0</v>
      </c>
      <c r="E474" s="47" t="n">
        <f aca="false">'Fault &amp; Downtime Entry'!E475</f>
        <v>0</v>
      </c>
      <c r="F474" s="47" t="str">
        <f aca="false">'Fault &amp; Downtime Entry'!F475</f>
        <v/>
      </c>
      <c r="G474" s="47" t="n">
        <f aca="false">'Fault &amp; Downtime Entry'!G475</f>
        <v>0</v>
      </c>
      <c r="H474" s="47" t="str">
        <f aca="false">'Fault &amp; Downtime Entry'!H475</f>
        <v/>
      </c>
      <c r="I474" s="47" t="str">
        <f aca="false">'Fault &amp; Downtime Entry'!I475</f>
        <v/>
      </c>
      <c r="J474" s="47" t="n">
        <f aca="false">'Fault &amp; Downtime Entry'!J475</f>
        <v>0</v>
      </c>
      <c r="K474" s="47" t="n">
        <f aca="false">'Fault &amp; Downtime Entry'!K475</f>
        <v>0</v>
      </c>
      <c r="L474" s="47" t="n">
        <f aca="false">'Fault &amp; Downtime Entry'!L475</f>
        <v>0</v>
      </c>
      <c r="M474" s="47" t="str">
        <f aca="false">'Fault &amp; Downtime Entry'!M475</f>
        <v/>
      </c>
      <c r="N474" s="47" t="n">
        <f aca="false">'Fault &amp; Downtime Entry'!N475</f>
        <v>0</v>
      </c>
      <c r="O474" s="47" t="n">
        <f aca="false">'Fault &amp; Downtime Entry'!O475</f>
        <v>0</v>
      </c>
      <c r="P474" s="47" t="str">
        <f aca="false">IF(OR(J474="",K474=""),"",IFERROR(J474/K474*1000,0))</f>
        <v/>
      </c>
      <c r="Q474" s="47" t="str">
        <f aca="false">IF(OR(L474="",K474=""),"",IFERROR(L474/K474*1000,0))</f>
        <v/>
      </c>
      <c r="R474" s="47" t="str">
        <f aca="false">IF(OR(M474="High",M474="Critical"),"YES","")</f>
        <v/>
      </c>
    </row>
    <row r="475" customFormat="false" ht="15" hidden="false" customHeight="true" outlineLevel="0" collapsed="false">
      <c r="A475" s="47" t="n">
        <f aca="false">'Fault &amp; Downtime Entry'!A476</f>
        <v>471</v>
      </c>
      <c r="B475" s="48" t="n">
        <f aca="false">'Fault &amp; Downtime Entry'!B476</f>
        <v>0</v>
      </c>
      <c r="C475" s="47" t="n">
        <f aca="false">'Fault &amp; Downtime Entry'!C476</f>
        <v>0</v>
      </c>
      <c r="D475" s="47" t="n">
        <f aca="false">'Fault &amp; Downtime Entry'!D476</f>
        <v>0</v>
      </c>
      <c r="E475" s="47" t="n">
        <f aca="false">'Fault &amp; Downtime Entry'!E476</f>
        <v>0</v>
      </c>
      <c r="F475" s="47" t="str">
        <f aca="false">'Fault &amp; Downtime Entry'!F476</f>
        <v/>
      </c>
      <c r="G475" s="47" t="n">
        <f aca="false">'Fault &amp; Downtime Entry'!G476</f>
        <v>0</v>
      </c>
      <c r="H475" s="47" t="str">
        <f aca="false">'Fault &amp; Downtime Entry'!H476</f>
        <v/>
      </c>
      <c r="I475" s="47" t="str">
        <f aca="false">'Fault &amp; Downtime Entry'!I476</f>
        <v/>
      </c>
      <c r="J475" s="47" t="n">
        <f aca="false">'Fault &amp; Downtime Entry'!J476</f>
        <v>0</v>
      </c>
      <c r="K475" s="47" t="n">
        <f aca="false">'Fault &amp; Downtime Entry'!K476</f>
        <v>0</v>
      </c>
      <c r="L475" s="47" t="n">
        <f aca="false">'Fault &amp; Downtime Entry'!L476</f>
        <v>0</v>
      </c>
      <c r="M475" s="47" t="str">
        <f aca="false">'Fault &amp; Downtime Entry'!M476</f>
        <v/>
      </c>
      <c r="N475" s="47" t="n">
        <f aca="false">'Fault &amp; Downtime Entry'!N476</f>
        <v>0</v>
      </c>
      <c r="O475" s="47" t="n">
        <f aca="false">'Fault &amp; Downtime Entry'!O476</f>
        <v>0</v>
      </c>
      <c r="P475" s="47" t="str">
        <f aca="false">IF(OR(J475="",K475=""),"",IFERROR(J475/K475*1000,0))</f>
        <v/>
      </c>
      <c r="Q475" s="47" t="str">
        <f aca="false">IF(OR(L475="",K475=""),"",IFERROR(L475/K475*1000,0))</f>
        <v/>
      </c>
      <c r="R475" s="47" t="str">
        <f aca="false">IF(OR(M475="High",M475="Critical"),"YES","")</f>
        <v/>
      </c>
    </row>
    <row r="476" customFormat="false" ht="15" hidden="false" customHeight="true" outlineLevel="0" collapsed="false">
      <c r="A476" s="47" t="n">
        <f aca="false">'Fault &amp; Downtime Entry'!A477</f>
        <v>472</v>
      </c>
      <c r="B476" s="48" t="n">
        <f aca="false">'Fault &amp; Downtime Entry'!B477</f>
        <v>0</v>
      </c>
      <c r="C476" s="47" t="n">
        <f aca="false">'Fault &amp; Downtime Entry'!C477</f>
        <v>0</v>
      </c>
      <c r="D476" s="47" t="n">
        <f aca="false">'Fault &amp; Downtime Entry'!D477</f>
        <v>0</v>
      </c>
      <c r="E476" s="47" t="n">
        <f aca="false">'Fault &amp; Downtime Entry'!E477</f>
        <v>0</v>
      </c>
      <c r="F476" s="47" t="str">
        <f aca="false">'Fault &amp; Downtime Entry'!F477</f>
        <v/>
      </c>
      <c r="G476" s="47" t="n">
        <f aca="false">'Fault &amp; Downtime Entry'!G477</f>
        <v>0</v>
      </c>
      <c r="H476" s="47" t="str">
        <f aca="false">'Fault &amp; Downtime Entry'!H477</f>
        <v/>
      </c>
      <c r="I476" s="47" t="str">
        <f aca="false">'Fault &amp; Downtime Entry'!I477</f>
        <v/>
      </c>
      <c r="J476" s="47" t="n">
        <f aca="false">'Fault &amp; Downtime Entry'!J477</f>
        <v>0</v>
      </c>
      <c r="K476" s="47" t="n">
        <f aca="false">'Fault &amp; Downtime Entry'!K477</f>
        <v>0</v>
      </c>
      <c r="L476" s="47" t="n">
        <f aca="false">'Fault &amp; Downtime Entry'!L477</f>
        <v>0</v>
      </c>
      <c r="M476" s="47" t="str">
        <f aca="false">'Fault &amp; Downtime Entry'!M477</f>
        <v/>
      </c>
      <c r="N476" s="47" t="n">
        <f aca="false">'Fault &amp; Downtime Entry'!N477</f>
        <v>0</v>
      </c>
      <c r="O476" s="47" t="n">
        <f aca="false">'Fault &amp; Downtime Entry'!O477</f>
        <v>0</v>
      </c>
      <c r="P476" s="47" t="str">
        <f aca="false">IF(OR(J476="",K476=""),"",IFERROR(J476/K476*1000,0))</f>
        <v/>
      </c>
      <c r="Q476" s="47" t="str">
        <f aca="false">IF(OR(L476="",K476=""),"",IFERROR(L476/K476*1000,0))</f>
        <v/>
      </c>
      <c r="R476" s="47" t="str">
        <f aca="false">IF(OR(M476="High",M476="Critical"),"YES","")</f>
        <v/>
      </c>
    </row>
    <row r="477" customFormat="false" ht="15" hidden="false" customHeight="true" outlineLevel="0" collapsed="false">
      <c r="A477" s="47" t="n">
        <f aca="false">'Fault &amp; Downtime Entry'!A478</f>
        <v>473</v>
      </c>
      <c r="B477" s="48" t="n">
        <f aca="false">'Fault &amp; Downtime Entry'!B478</f>
        <v>0</v>
      </c>
      <c r="C477" s="47" t="n">
        <f aca="false">'Fault &amp; Downtime Entry'!C478</f>
        <v>0</v>
      </c>
      <c r="D477" s="47" t="n">
        <f aca="false">'Fault &amp; Downtime Entry'!D478</f>
        <v>0</v>
      </c>
      <c r="E477" s="47" t="n">
        <f aca="false">'Fault &amp; Downtime Entry'!E478</f>
        <v>0</v>
      </c>
      <c r="F477" s="47" t="str">
        <f aca="false">'Fault &amp; Downtime Entry'!F478</f>
        <v/>
      </c>
      <c r="G477" s="47" t="n">
        <f aca="false">'Fault &amp; Downtime Entry'!G478</f>
        <v>0</v>
      </c>
      <c r="H477" s="47" t="str">
        <f aca="false">'Fault &amp; Downtime Entry'!H478</f>
        <v/>
      </c>
      <c r="I477" s="47" t="str">
        <f aca="false">'Fault &amp; Downtime Entry'!I478</f>
        <v/>
      </c>
      <c r="J477" s="47" t="n">
        <f aca="false">'Fault &amp; Downtime Entry'!J478</f>
        <v>0</v>
      </c>
      <c r="K477" s="47" t="n">
        <f aca="false">'Fault &amp; Downtime Entry'!K478</f>
        <v>0</v>
      </c>
      <c r="L477" s="47" t="n">
        <f aca="false">'Fault &amp; Downtime Entry'!L478</f>
        <v>0</v>
      </c>
      <c r="M477" s="47" t="str">
        <f aca="false">'Fault &amp; Downtime Entry'!M478</f>
        <v/>
      </c>
      <c r="N477" s="47" t="n">
        <f aca="false">'Fault &amp; Downtime Entry'!N478</f>
        <v>0</v>
      </c>
      <c r="O477" s="47" t="n">
        <f aca="false">'Fault &amp; Downtime Entry'!O478</f>
        <v>0</v>
      </c>
      <c r="P477" s="47" t="str">
        <f aca="false">IF(OR(J477="",K477=""),"",IFERROR(J477/K477*1000,0))</f>
        <v/>
      </c>
      <c r="Q477" s="47" t="str">
        <f aca="false">IF(OR(L477="",K477=""),"",IFERROR(L477/K477*1000,0))</f>
        <v/>
      </c>
      <c r="R477" s="47" t="str">
        <f aca="false">IF(OR(M477="High",M477="Critical"),"YES","")</f>
        <v/>
      </c>
    </row>
    <row r="478" customFormat="false" ht="15" hidden="false" customHeight="true" outlineLevel="0" collapsed="false">
      <c r="A478" s="47" t="n">
        <f aca="false">'Fault &amp; Downtime Entry'!A479</f>
        <v>474</v>
      </c>
      <c r="B478" s="48" t="n">
        <f aca="false">'Fault &amp; Downtime Entry'!B479</f>
        <v>0</v>
      </c>
      <c r="C478" s="47" t="n">
        <f aca="false">'Fault &amp; Downtime Entry'!C479</f>
        <v>0</v>
      </c>
      <c r="D478" s="47" t="n">
        <f aca="false">'Fault &amp; Downtime Entry'!D479</f>
        <v>0</v>
      </c>
      <c r="E478" s="47" t="n">
        <f aca="false">'Fault &amp; Downtime Entry'!E479</f>
        <v>0</v>
      </c>
      <c r="F478" s="47" t="str">
        <f aca="false">'Fault &amp; Downtime Entry'!F479</f>
        <v/>
      </c>
      <c r="G478" s="47" t="n">
        <f aca="false">'Fault &amp; Downtime Entry'!G479</f>
        <v>0</v>
      </c>
      <c r="H478" s="47" t="str">
        <f aca="false">'Fault &amp; Downtime Entry'!H479</f>
        <v/>
      </c>
      <c r="I478" s="47" t="str">
        <f aca="false">'Fault &amp; Downtime Entry'!I479</f>
        <v/>
      </c>
      <c r="J478" s="47" t="n">
        <f aca="false">'Fault &amp; Downtime Entry'!J479</f>
        <v>0</v>
      </c>
      <c r="K478" s="47" t="n">
        <f aca="false">'Fault &amp; Downtime Entry'!K479</f>
        <v>0</v>
      </c>
      <c r="L478" s="47" t="n">
        <f aca="false">'Fault &amp; Downtime Entry'!L479</f>
        <v>0</v>
      </c>
      <c r="M478" s="47" t="str">
        <f aca="false">'Fault &amp; Downtime Entry'!M479</f>
        <v/>
      </c>
      <c r="N478" s="47" t="n">
        <f aca="false">'Fault &amp; Downtime Entry'!N479</f>
        <v>0</v>
      </c>
      <c r="O478" s="47" t="n">
        <f aca="false">'Fault &amp; Downtime Entry'!O479</f>
        <v>0</v>
      </c>
      <c r="P478" s="47" t="str">
        <f aca="false">IF(OR(J478="",K478=""),"",IFERROR(J478/K478*1000,0))</f>
        <v/>
      </c>
      <c r="Q478" s="47" t="str">
        <f aca="false">IF(OR(L478="",K478=""),"",IFERROR(L478/K478*1000,0))</f>
        <v/>
      </c>
      <c r="R478" s="47" t="str">
        <f aca="false">IF(OR(M478="High",M478="Critical"),"YES","")</f>
        <v/>
      </c>
    </row>
    <row r="479" customFormat="false" ht="15" hidden="false" customHeight="true" outlineLevel="0" collapsed="false">
      <c r="A479" s="47" t="n">
        <f aca="false">'Fault &amp; Downtime Entry'!A480</f>
        <v>475</v>
      </c>
      <c r="B479" s="48" t="n">
        <f aca="false">'Fault &amp; Downtime Entry'!B480</f>
        <v>0</v>
      </c>
      <c r="C479" s="47" t="n">
        <f aca="false">'Fault &amp; Downtime Entry'!C480</f>
        <v>0</v>
      </c>
      <c r="D479" s="47" t="n">
        <f aca="false">'Fault &amp; Downtime Entry'!D480</f>
        <v>0</v>
      </c>
      <c r="E479" s="47" t="n">
        <f aca="false">'Fault &amp; Downtime Entry'!E480</f>
        <v>0</v>
      </c>
      <c r="F479" s="47" t="str">
        <f aca="false">'Fault &amp; Downtime Entry'!F480</f>
        <v/>
      </c>
      <c r="G479" s="47" t="n">
        <f aca="false">'Fault &amp; Downtime Entry'!G480</f>
        <v>0</v>
      </c>
      <c r="H479" s="47" t="str">
        <f aca="false">'Fault &amp; Downtime Entry'!H480</f>
        <v/>
      </c>
      <c r="I479" s="47" t="str">
        <f aca="false">'Fault &amp; Downtime Entry'!I480</f>
        <v/>
      </c>
      <c r="J479" s="47" t="n">
        <f aca="false">'Fault &amp; Downtime Entry'!J480</f>
        <v>0</v>
      </c>
      <c r="K479" s="47" t="n">
        <f aca="false">'Fault &amp; Downtime Entry'!K480</f>
        <v>0</v>
      </c>
      <c r="L479" s="47" t="n">
        <f aca="false">'Fault &amp; Downtime Entry'!L480</f>
        <v>0</v>
      </c>
      <c r="M479" s="47" t="str">
        <f aca="false">'Fault &amp; Downtime Entry'!M480</f>
        <v/>
      </c>
      <c r="N479" s="47" t="n">
        <f aca="false">'Fault &amp; Downtime Entry'!N480</f>
        <v>0</v>
      </c>
      <c r="O479" s="47" t="n">
        <f aca="false">'Fault &amp; Downtime Entry'!O480</f>
        <v>0</v>
      </c>
      <c r="P479" s="47" t="str">
        <f aca="false">IF(OR(J479="",K479=""),"",IFERROR(J479/K479*1000,0))</f>
        <v/>
      </c>
      <c r="Q479" s="47" t="str">
        <f aca="false">IF(OR(L479="",K479=""),"",IFERROR(L479/K479*1000,0))</f>
        <v/>
      </c>
      <c r="R479" s="47" t="str">
        <f aca="false">IF(OR(M479="High",M479="Critical"),"YES","")</f>
        <v/>
      </c>
    </row>
    <row r="480" customFormat="false" ht="15" hidden="false" customHeight="true" outlineLevel="0" collapsed="false">
      <c r="A480" s="47" t="n">
        <f aca="false">'Fault &amp; Downtime Entry'!A481</f>
        <v>476</v>
      </c>
      <c r="B480" s="48" t="n">
        <f aca="false">'Fault &amp; Downtime Entry'!B481</f>
        <v>0</v>
      </c>
      <c r="C480" s="47" t="n">
        <f aca="false">'Fault &amp; Downtime Entry'!C481</f>
        <v>0</v>
      </c>
      <c r="D480" s="47" t="n">
        <f aca="false">'Fault &amp; Downtime Entry'!D481</f>
        <v>0</v>
      </c>
      <c r="E480" s="47" t="n">
        <f aca="false">'Fault &amp; Downtime Entry'!E481</f>
        <v>0</v>
      </c>
      <c r="F480" s="47" t="str">
        <f aca="false">'Fault &amp; Downtime Entry'!F481</f>
        <v/>
      </c>
      <c r="G480" s="47" t="n">
        <f aca="false">'Fault &amp; Downtime Entry'!G481</f>
        <v>0</v>
      </c>
      <c r="H480" s="47" t="str">
        <f aca="false">'Fault &amp; Downtime Entry'!H481</f>
        <v/>
      </c>
      <c r="I480" s="47" t="str">
        <f aca="false">'Fault &amp; Downtime Entry'!I481</f>
        <v/>
      </c>
      <c r="J480" s="47" t="n">
        <f aca="false">'Fault &amp; Downtime Entry'!J481</f>
        <v>0</v>
      </c>
      <c r="K480" s="47" t="n">
        <f aca="false">'Fault &amp; Downtime Entry'!K481</f>
        <v>0</v>
      </c>
      <c r="L480" s="47" t="n">
        <f aca="false">'Fault &amp; Downtime Entry'!L481</f>
        <v>0</v>
      </c>
      <c r="M480" s="47" t="str">
        <f aca="false">'Fault &amp; Downtime Entry'!M481</f>
        <v/>
      </c>
      <c r="N480" s="47" t="n">
        <f aca="false">'Fault &amp; Downtime Entry'!N481</f>
        <v>0</v>
      </c>
      <c r="O480" s="47" t="n">
        <f aca="false">'Fault &amp; Downtime Entry'!O481</f>
        <v>0</v>
      </c>
      <c r="P480" s="47" t="str">
        <f aca="false">IF(OR(J480="",K480=""),"",IFERROR(J480/K480*1000,0))</f>
        <v/>
      </c>
      <c r="Q480" s="47" t="str">
        <f aca="false">IF(OR(L480="",K480=""),"",IFERROR(L480/K480*1000,0))</f>
        <v/>
      </c>
      <c r="R480" s="47" t="str">
        <f aca="false">IF(OR(M480="High",M480="Critical"),"YES","")</f>
        <v/>
      </c>
    </row>
    <row r="481" customFormat="false" ht="15" hidden="false" customHeight="true" outlineLevel="0" collapsed="false">
      <c r="A481" s="47" t="n">
        <f aca="false">'Fault &amp; Downtime Entry'!A482</f>
        <v>477</v>
      </c>
      <c r="B481" s="48" t="n">
        <f aca="false">'Fault &amp; Downtime Entry'!B482</f>
        <v>0</v>
      </c>
      <c r="C481" s="47" t="n">
        <f aca="false">'Fault &amp; Downtime Entry'!C482</f>
        <v>0</v>
      </c>
      <c r="D481" s="47" t="n">
        <f aca="false">'Fault &amp; Downtime Entry'!D482</f>
        <v>0</v>
      </c>
      <c r="E481" s="47" t="n">
        <f aca="false">'Fault &amp; Downtime Entry'!E482</f>
        <v>0</v>
      </c>
      <c r="F481" s="47" t="str">
        <f aca="false">'Fault &amp; Downtime Entry'!F482</f>
        <v/>
      </c>
      <c r="G481" s="47" t="n">
        <f aca="false">'Fault &amp; Downtime Entry'!G482</f>
        <v>0</v>
      </c>
      <c r="H481" s="47" t="str">
        <f aca="false">'Fault &amp; Downtime Entry'!H482</f>
        <v/>
      </c>
      <c r="I481" s="47" t="str">
        <f aca="false">'Fault &amp; Downtime Entry'!I482</f>
        <v/>
      </c>
      <c r="J481" s="47" t="n">
        <f aca="false">'Fault &amp; Downtime Entry'!J482</f>
        <v>0</v>
      </c>
      <c r="K481" s="47" t="n">
        <f aca="false">'Fault &amp; Downtime Entry'!K482</f>
        <v>0</v>
      </c>
      <c r="L481" s="47" t="n">
        <f aca="false">'Fault &amp; Downtime Entry'!L482</f>
        <v>0</v>
      </c>
      <c r="M481" s="47" t="str">
        <f aca="false">'Fault &amp; Downtime Entry'!M482</f>
        <v/>
      </c>
      <c r="N481" s="47" t="n">
        <f aca="false">'Fault &amp; Downtime Entry'!N482</f>
        <v>0</v>
      </c>
      <c r="O481" s="47" t="n">
        <f aca="false">'Fault &amp; Downtime Entry'!O482</f>
        <v>0</v>
      </c>
      <c r="P481" s="47" t="str">
        <f aca="false">IF(OR(J481="",K481=""),"",IFERROR(J481/K481*1000,0))</f>
        <v/>
      </c>
      <c r="Q481" s="47" t="str">
        <f aca="false">IF(OR(L481="",K481=""),"",IFERROR(L481/K481*1000,0))</f>
        <v/>
      </c>
      <c r="R481" s="47" t="str">
        <f aca="false">IF(OR(M481="High",M481="Critical"),"YES","")</f>
        <v/>
      </c>
    </row>
    <row r="482" customFormat="false" ht="15" hidden="false" customHeight="true" outlineLevel="0" collapsed="false">
      <c r="A482" s="47" t="n">
        <f aca="false">'Fault &amp; Downtime Entry'!A483</f>
        <v>478</v>
      </c>
      <c r="B482" s="48" t="n">
        <f aca="false">'Fault &amp; Downtime Entry'!B483</f>
        <v>0</v>
      </c>
      <c r="C482" s="47" t="n">
        <f aca="false">'Fault &amp; Downtime Entry'!C483</f>
        <v>0</v>
      </c>
      <c r="D482" s="47" t="n">
        <f aca="false">'Fault &amp; Downtime Entry'!D483</f>
        <v>0</v>
      </c>
      <c r="E482" s="47" t="n">
        <f aca="false">'Fault &amp; Downtime Entry'!E483</f>
        <v>0</v>
      </c>
      <c r="F482" s="47" t="str">
        <f aca="false">'Fault &amp; Downtime Entry'!F483</f>
        <v/>
      </c>
      <c r="G482" s="47" t="n">
        <f aca="false">'Fault &amp; Downtime Entry'!G483</f>
        <v>0</v>
      </c>
      <c r="H482" s="47" t="str">
        <f aca="false">'Fault &amp; Downtime Entry'!H483</f>
        <v/>
      </c>
      <c r="I482" s="47" t="str">
        <f aca="false">'Fault &amp; Downtime Entry'!I483</f>
        <v/>
      </c>
      <c r="J482" s="47" t="n">
        <f aca="false">'Fault &amp; Downtime Entry'!J483</f>
        <v>0</v>
      </c>
      <c r="K482" s="47" t="n">
        <f aca="false">'Fault &amp; Downtime Entry'!K483</f>
        <v>0</v>
      </c>
      <c r="L482" s="47" t="n">
        <f aca="false">'Fault &amp; Downtime Entry'!L483</f>
        <v>0</v>
      </c>
      <c r="M482" s="47" t="str">
        <f aca="false">'Fault &amp; Downtime Entry'!M483</f>
        <v/>
      </c>
      <c r="N482" s="47" t="n">
        <f aca="false">'Fault &amp; Downtime Entry'!N483</f>
        <v>0</v>
      </c>
      <c r="O482" s="47" t="n">
        <f aca="false">'Fault &amp; Downtime Entry'!O483</f>
        <v>0</v>
      </c>
      <c r="P482" s="47" t="str">
        <f aca="false">IF(OR(J482="",K482=""),"",IFERROR(J482/K482*1000,0))</f>
        <v/>
      </c>
      <c r="Q482" s="47" t="str">
        <f aca="false">IF(OR(L482="",K482=""),"",IFERROR(L482/K482*1000,0))</f>
        <v/>
      </c>
      <c r="R482" s="47" t="str">
        <f aca="false">IF(OR(M482="High",M482="Critical"),"YES","")</f>
        <v/>
      </c>
    </row>
    <row r="483" customFormat="false" ht="15" hidden="false" customHeight="true" outlineLevel="0" collapsed="false">
      <c r="A483" s="47" t="n">
        <f aca="false">'Fault &amp; Downtime Entry'!A484</f>
        <v>479</v>
      </c>
      <c r="B483" s="48" t="n">
        <f aca="false">'Fault &amp; Downtime Entry'!B484</f>
        <v>0</v>
      </c>
      <c r="C483" s="47" t="n">
        <f aca="false">'Fault &amp; Downtime Entry'!C484</f>
        <v>0</v>
      </c>
      <c r="D483" s="47" t="n">
        <f aca="false">'Fault &amp; Downtime Entry'!D484</f>
        <v>0</v>
      </c>
      <c r="E483" s="47" t="n">
        <f aca="false">'Fault &amp; Downtime Entry'!E484</f>
        <v>0</v>
      </c>
      <c r="F483" s="47" t="str">
        <f aca="false">'Fault &amp; Downtime Entry'!F484</f>
        <v/>
      </c>
      <c r="G483" s="47" t="n">
        <f aca="false">'Fault &amp; Downtime Entry'!G484</f>
        <v>0</v>
      </c>
      <c r="H483" s="47" t="str">
        <f aca="false">'Fault &amp; Downtime Entry'!H484</f>
        <v/>
      </c>
      <c r="I483" s="47" t="str">
        <f aca="false">'Fault &amp; Downtime Entry'!I484</f>
        <v/>
      </c>
      <c r="J483" s="47" t="n">
        <f aca="false">'Fault &amp; Downtime Entry'!J484</f>
        <v>0</v>
      </c>
      <c r="K483" s="47" t="n">
        <f aca="false">'Fault &amp; Downtime Entry'!K484</f>
        <v>0</v>
      </c>
      <c r="L483" s="47" t="n">
        <f aca="false">'Fault &amp; Downtime Entry'!L484</f>
        <v>0</v>
      </c>
      <c r="M483" s="47" t="str">
        <f aca="false">'Fault &amp; Downtime Entry'!M484</f>
        <v/>
      </c>
      <c r="N483" s="47" t="n">
        <f aca="false">'Fault &amp; Downtime Entry'!N484</f>
        <v>0</v>
      </c>
      <c r="O483" s="47" t="n">
        <f aca="false">'Fault &amp; Downtime Entry'!O484</f>
        <v>0</v>
      </c>
      <c r="P483" s="47" t="str">
        <f aca="false">IF(OR(J483="",K483=""),"",IFERROR(J483/K483*1000,0))</f>
        <v/>
      </c>
      <c r="Q483" s="47" t="str">
        <f aca="false">IF(OR(L483="",K483=""),"",IFERROR(L483/K483*1000,0))</f>
        <v/>
      </c>
      <c r="R483" s="47" t="str">
        <f aca="false">IF(OR(M483="High",M483="Critical"),"YES","")</f>
        <v/>
      </c>
    </row>
    <row r="484" customFormat="false" ht="15" hidden="false" customHeight="true" outlineLevel="0" collapsed="false">
      <c r="A484" s="47" t="n">
        <f aca="false">'Fault &amp; Downtime Entry'!A485</f>
        <v>480</v>
      </c>
      <c r="B484" s="48" t="n">
        <f aca="false">'Fault &amp; Downtime Entry'!B485</f>
        <v>0</v>
      </c>
      <c r="C484" s="47" t="n">
        <f aca="false">'Fault &amp; Downtime Entry'!C485</f>
        <v>0</v>
      </c>
      <c r="D484" s="47" t="n">
        <f aca="false">'Fault &amp; Downtime Entry'!D485</f>
        <v>0</v>
      </c>
      <c r="E484" s="47" t="n">
        <f aca="false">'Fault &amp; Downtime Entry'!E485</f>
        <v>0</v>
      </c>
      <c r="F484" s="47" t="str">
        <f aca="false">'Fault &amp; Downtime Entry'!F485</f>
        <v/>
      </c>
      <c r="G484" s="47" t="n">
        <f aca="false">'Fault &amp; Downtime Entry'!G485</f>
        <v>0</v>
      </c>
      <c r="H484" s="47" t="str">
        <f aca="false">'Fault &amp; Downtime Entry'!H485</f>
        <v/>
      </c>
      <c r="I484" s="47" t="str">
        <f aca="false">'Fault &amp; Downtime Entry'!I485</f>
        <v/>
      </c>
      <c r="J484" s="47" t="n">
        <f aca="false">'Fault &amp; Downtime Entry'!J485</f>
        <v>0</v>
      </c>
      <c r="K484" s="47" t="n">
        <f aca="false">'Fault &amp; Downtime Entry'!K485</f>
        <v>0</v>
      </c>
      <c r="L484" s="47" t="n">
        <f aca="false">'Fault &amp; Downtime Entry'!L485</f>
        <v>0</v>
      </c>
      <c r="M484" s="47" t="str">
        <f aca="false">'Fault &amp; Downtime Entry'!M485</f>
        <v/>
      </c>
      <c r="N484" s="47" t="n">
        <f aca="false">'Fault &amp; Downtime Entry'!N485</f>
        <v>0</v>
      </c>
      <c r="O484" s="47" t="n">
        <f aca="false">'Fault &amp; Downtime Entry'!O485</f>
        <v>0</v>
      </c>
      <c r="P484" s="47" t="str">
        <f aca="false">IF(OR(J484="",K484=""),"",IFERROR(J484/K484*1000,0))</f>
        <v/>
      </c>
      <c r="Q484" s="47" t="str">
        <f aca="false">IF(OR(L484="",K484=""),"",IFERROR(L484/K484*1000,0))</f>
        <v/>
      </c>
      <c r="R484" s="47" t="str">
        <f aca="false">IF(OR(M484="High",M484="Critical"),"YES","")</f>
        <v/>
      </c>
    </row>
    <row r="485" customFormat="false" ht="15" hidden="false" customHeight="true" outlineLevel="0" collapsed="false">
      <c r="A485" s="47" t="n">
        <f aca="false">'Fault &amp; Downtime Entry'!A486</f>
        <v>481</v>
      </c>
      <c r="B485" s="48" t="n">
        <f aca="false">'Fault &amp; Downtime Entry'!B486</f>
        <v>0</v>
      </c>
      <c r="C485" s="47" t="n">
        <f aca="false">'Fault &amp; Downtime Entry'!C486</f>
        <v>0</v>
      </c>
      <c r="D485" s="47" t="n">
        <f aca="false">'Fault &amp; Downtime Entry'!D486</f>
        <v>0</v>
      </c>
      <c r="E485" s="47" t="n">
        <f aca="false">'Fault &amp; Downtime Entry'!E486</f>
        <v>0</v>
      </c>
      <c r="F485" s="47" t="str">
        <f aca="false">'Fault &amp; Downtime Entry'!F486</f>
        <v/>
      </c>
      <c r="G485" s="47" t="n">
        <f aca="false">'Fault &amp; Downtime Entry'!G486</f>
        <v>0</v>
      </c>
      <c r="H485" s="47" t="str">
        <f aca="false">'Fault &amp; Downtime Entry'!H486</f>
        <v/>
      </c>
      <c r="I485" s="47" t="str">
        <f aca="false">'Fault &amp; Downtime Entry'!I486</f>
        <v/>
      </c>
      <c r="J485" s="47" t="n">
        <f aca="false">'Fault &amp; Downtime Entry'!J486</f>
        <v>0</v>
      </c>
      <c r="K485" s="47" t="n">
        <f aca="false">'Fault &amp; Downtime Entry'!K486</f>
        <v>0</v>
      </c>
      <c r="L485" s="47" t="n">
        <f aca="false">'Fault &amp; Downtime Entry'!L486</f>
        <v>0</v>
      </c>
      <c r="M485" s="47" t="str">
        <f aca="false">'Fault &amp; Downtime Entry'!M486</f>
        <v/>
      </c>
      <c r="N485" s="47" t="n">
        <f aca="false">'Fault &amp; Downtime Entry'!N486</f>
        <v>0</v>
      </c>
      <c r="O485" s="47" t="n">
        <f aca="false">'Fault &amp; Downtime Entry'!O486</f>
        <v>0</v>
      </c>
      <c r="P485" s="47" t="str">
        <f aca="false">IF(OR(J485="",K485=""),"",IFERROR(J485/K485*1000,0))</f>
        <v/>
      </c>
      <c r="Q485" s="47" t="str">
        <f aca="false">IF(OR(L485="",K485=""),"",IFERROR(L485/K485*1000,0))</f>
        <v/>
      </c>
      <c r="R485" s="47" t="str">
        <f aca="false">IF(OR(M485="High",M485="Critical"),"YES","")</f>
        <v/>
      </c>
    </row>
    <row r="486" customFormat="false" ht="15" hidden="false" customHeight="true" outlineLevel="0" collapsed="false">
      <c r="A486" s="47" t="n">
        <f aca="false">'Fault &amp; Downtime Entry'!A487</f>
        <v>482</v>
      </c>
      <c r="B486" s="48" t="n">
        <f aca="false">'Fault &amp; Downtime Entry'!B487</f>
        <v>0</v>
      </c>
      <c r="C486" s="47" t="n">
        <f aca="false">'Fault &amp; Downtime Entry'!C487</f>
        <v>0</v>
      </c>
      <c r="D486" s="47" t="n">
        <f aca="false">'Fault &amp; Downtime Entry'!D487</f>
        <v>0</v>
      </c>
      <c r="E486" s="47" t="n">
        <f aca="false">'Fault &amp; Downtime Entry'!E487</f>
        <v>0</v>
      </c>
      <c r="F486" s="47" t="str">
        <f aca="false">'Fault &amp; Downtime Entry'!F487</f>
        <v/>
      </c>
      <c r="G486" s="47" t="n">
        <f aca="false">'Fault &amp; Downtime Entry'!G487</f>
        <v>0</v>
      </c>
      <c r="H486" s="47" t="str">
        <f aca="false">'Fault &amp; Downtime Entry'!H487</f>
        <v/>
      </c>
      <c r="I486" s="47" t="str">
        <f aca="false">'Fault &amp; Downtime Entry'!I487</f>
        <v/>
      </c>
      <c r="J486" s="47" t="n">
        <f aca="false">'Fault &amp; Downtime Entry'!J487</f>
        <v>0</v>
      </c>
      <c r="K486" s="47" t="n">
        <f aca="false">'Fault &amp; Downtime Entry'!K487</f>
        <v>0</v>
      </c>
      <c r="L486" s="47" t="n">
        <f aca="false">'Fault &amp; Downtime Entry'!L487</f>
        <v>0</v>
      </c>
      <c r="M486" s="47" t="str">
        <f aca="false">'Fault &amp; Downtime Entry'!M487</f>
        <v/>
      </c>
      <c r="N486" s="47" t="n">
        <f aca="false">'Fault &amp; Downtime Entry'!N487</f>
        <v>0</v>
      </c>
      <c r="O486" s="47" t="n">
        <f aca="false">'Fault &amp; Downtime Entry'!O487</f>
        <v>0</v>
      </c>
      <c r="P486" s="47" t="str">
        <f aca="false">IF(OR(J486="",K486=""),"",IFERROR(J486/K486*1000,0))</f>
        <v/>
      </c>
      <c r="Q486" s="47" t="str">
        <f aca="false">IF(OR(L486="",K486=""),"",IFERROR(L486/K486*1000,0))</f>
        <v/>
      </c>
      <c r="R486" s="47" t="str">
        <f aca="false">IF(OR(M486="High",M486="Critical"),"YES","")</f>
        <v/>
      </c>
    </row>
    <row r="487" customFormat="false" ht="15" hidden="false" customHeight="true" outlineLevel="0" collapsed="false">
      <c r="A487" s="47" t="n">
        <f aca="false">'Fault &amp; Downtime Entry'!A488</f>
        <v>483</v>
      </c>
      <c r="B487" s="48" t="n">
        <f aca="false">'Fault &amp; Downtime Entry'!B488</f>
        <v>0</v>
      </c>
      <c r="C487" s="47" t="n">
        <f aca="false">'Fault &amp; Downtime Entry'!C488</f>
        <v>0</v>
      </c>
      <c r="D487" s="47" t="n">
        <f aca="false">'Fault &amp; Downtime Entry'!D488</f>
        <v>0</v>
      </c>
      <c r="E487" s="47" t="n">
        <f aca="false">'Fault &amp; Downtime Entry'!E488</f>
        <v>0</v>
      </c>
      <c r="F487" s="47" t="str">
        <f aca="false">'Fault &amp; Downtime Entry'!F488</f>
        <v/>
      </c>
      <c r="G487" s="47" t="n">
        <f aca="false">'Fault &amp; Downtime Entry'!G488</f>
        <v>0</v>
      </c>
      <c r="H487" s="47" t="str">
        <f aca="false">'Fault &amp; Downtime Entry'!H488</f>
        <v/>
      </c>
      <c r="I487" s="47" t="str">
        <f aca="false">'Fault &amp; Downtime Entry'!I488</f>
        <v/>
      </c>
      <c r="J487" s="47" t="n">
        <f aca="false">'Fault &amp; Downtime Entry'!J488</f>
        <v>0</v>
      </c>
      <c r="K487" s="47" t="n">
        <f aca="false">'Fault &amp; Downtime Entry'!K488</f>
        <v>0</v>
      </c>
      <c r="L487" s="47" t="n">
        <f aca="false">'Fault &amp; Downtime Entry'!L488</f>
        <v>0</v>
      </c>
      <c r="M487" s="47" t="str">
        <f aca="false">'Fault &amp; Downtime Entry'!M488</f>
        <v/>
      </c>
      <c r="N487" s="47" t="n">
        <f aca="false">'Fault &amp; Downtime Entry'!N488</f>
        <v>0</v>
      </c>
      <c r="O487" s="47" t="n">
        <f aca="false">'Fault &amp; Downtime Entry'!O488</f>
        <v>0</v>
      </c>
      <c r="P487" s="47" t="str">
        <f aca="false">IF(OR(J487="",K487=""),"",IFERROR(J487/K487*1000,0))</f>
        <v/>
      </c>
      <c r="Q487" s="47" t="str">
        <f aca="false">IF(OR(L487="",K487=""),"",IFERROR(L487/K487*1000,0))</f>
        <v/>
      </c>
      <c r="R487" s="47" t="str">
        <f aca="false">IF(OR(M487="High",M487="Critical"),"YES","")</f>
        <v/>
      </c>
    </row>
    <row r="488" customFormat="false" ht="15" hidden="false" customHeight="true" outlineLevel="0" collapsed="false">
      <c r="A488" s="47" t="n">
        <f aca="false">'Fault &amp; Downtime Entry'!A489</f>
        <v>484</v>
      </c>
      <c r="B488" s="48" t="n">
        <f aca="false">'Fault &amp; Downtime Entry'!B489</f>
        <v>0</v>
      </c>
      <c r="C488" s="47" t="n">
        <f aca="false">'Fault &amp; Downtime Entry'!C489</f>
        <v>0</v>
      </c>
      <c r="D488" s="47" t="n">
        <f aca="false">'Fault &amp; Downtime Entry'!D489</f>
        <v>0</v>
      </c>
      <c r="E488" s="47" t="n">
        <f aca="false">'Fault &amp; Downtime Entry'!E489</f>
        <v>0</v>
      </c>
      <c r="F488" s="47" t="str">
        <f aca="false">'Fault &amp; Downtime Entry'!F489</f>
        <v/>
      </c>
      <c r="G488" s="47" t="n">
        <f aca="false">'Fault &amp; Downtime Entry'!G489</f>
        <v>0</v>
      </c>
      <c r="H488" s="47" t="str">
        <f aca="false">'Fault &amp; Downtime Entry'!H489</f>
        <v/>
      </c>
      <c r="I488" s="47" t="str">
        <f aca="false">'Fault &amp; Downtime Entry'!I489</f>
        <v/>
      </c>
      <c r="J488" s="47" t="n">
        <f aca="false">'Fault &amp; Downtime Entry'!J489</f>
        <v>0</v>
      </c>
      <c r="K488" s="47" t="n">
        <f aca="false">'Fault &amp; Downtime Entry'!K489</f>
        <v>0</v>
      </c>
      <c r="L488" s="47" t="n">
        <f aca="false">'Fault &amp; Downtime Entry'!L489</f>
        <v>0</v>
      </c>
      <c r="M488" s="47" t="str">
        <f aca="false">'Fault &amp; Downtime Entry'!M489</f>
        <v/>
      </c>
      <c r="N488" s="47" t="n">
        <f aca="false">'Fault &amp; Downtime Entry'!N489</f>
        <v>0</v>
      </c>
      <c r="O488" s="47" t="n">
        <f aca="false">'Fault &amp; Downtime Entry'!O489</f>
        <v>0</v>
      </c>
      <c r="P488" s="47" t="str">
        <f aca="false">IF(OR(J488="",K488=""),"",IFERROR(J488/K488*1000,0))</f>
        <v/>
      </c>
      <c r="Q488" s="47" t="str">
        <f aca="false">IF(OR(L488="",K488=""),"",IFERROR(L488/K488*1000,0))</f>
        <v/>
      </c>
      <c r="R488" s="47" t="str">
        <f aca="false">IF(OR(M488="High",M488="Critical"),"YES","")</f>
        <v/>
      </c>
    </row>
    <row r="489" customFormat="false" ht="15" hidden="false" customHeight="true" outlineLevel="0" collapsed="false">
      <c r="A489" s="47" t="n">
        <f aca="false">'Fault &amp; Downtime Entry'!A490</f>
        <v>485</v>
      </c>
      <c r="B489" s="48" t="n">
        <f aca="false">'Fault &amp; Downtime Entry'!B490</f>
        <v>0</v>
      </c>
      <c r="C489" s="47" t="n">
        <f aca="false">'Fault &amp; Downtime Entry'!C490</f>
        <v>0</v>
      </c>
      <c r="D489" s="47" t="n">
        <f aca="false">'Fault &amp; Downtime Entry'!D490</f>
        <v>0</v>
      </c>
      <c r="E489" s="47" t="n">
        <f aca="false">'Fault &amp; Downtime Entry'!E490</f>
        <v>0</v>
      </c>
      <c r="F489" s="47" t="str">
        <f aca="false">'Fault &amp; Downtime Entry'!F490</f>
        <v/>
      </c>
      <c r="G489" s="47" t="n">
        <f aca="false">'Fault &amp; Downtime Entry'!G490</f>
        <v>0</v>
      </c>
      <c r="H489" s="47" t="str">
        <f aca="false">'Fault &amp; Downtime Entry'!H490</f>
        <v/>
      </c>
      <c r="I489" s="47" t="str">
        <f aca="false">'Fault &amp; Downtime Entry'!I490</f>
        <v/>
      </c>
      <c r="J489" s="47" t="n">
        <f aca="false">'Fault &amp; Downtime Entry'!J490</f>
        <v>0</v>
      </c>
      <c r="K489" s="47" t="n">
        <f aca="false">'Fault &amp; Downtime Entry'!K490</f>
        <v>0</v>
      </c>
      <c r="L489" s="47" t="n">
        <f aca="false">'Fault &amp; Downtime Entry'!L490</f>
        <v>0</v>
      </c>
      <c r="M489" s="47" t="str">
        <f aca="false">'Fault &amp; Downtime Entry'!M490</f>
        <v/>
      </c>
      <c r="N489" s="47" t="n">
        <f aca="false">'Fault &amp; Downtime Entry'!N490</f>
        <v>0</v>
      </c>
      <c r="O489" s="47" t="n">
        <f aca="false">'Fault &amp; Downtime Entry'!O490</f>
        <v>0</v>
      </c>
      <c r="P489" s="47" t="str">
        <f aca="false">IF(OR(J489="",K489=""),"",IFERROR(J489/K489*1000,0))</f>
        <v/>
      </c>
      <c r="Q489" s="47" t="str">
        <f aca="false">IF(OR(L489="",K489=""),"",IFERROR(L489/K489*1000,0))</f>
        <v/>
      </c>
      <c r="R489" s="47" t="str">
        <f aca="false">IF(OR(M489="High",M489="Critical"),"YES","")</f>
        <v/>
      </c>
    </row>
    <row r="490" customFormat="false" ht="15" hidden="false" customHeight="true" outlineLevel="0" collapsed="false">
      <c r="A490" s="47" t="n">
        <f aca="false">'Fault &amp; Downtime Entry'!A491</f>
        <v>486</v>
      </c>
      <c r="B490" s="48" t="n">
        <f aca="false">'Fault &amp; Downtime Entry'!B491</f>
        <v>0</v>
      </c>
      <c r="C490" s="47" t="n">
        <f aca="false">'Fault &amp; Downtime Entry'!C491</f>
        <v>0</v>
      </c>
      <c r="D490" s="47" t="n">
        <f aca="false">'Fault &amp; Downtime Entry'!D491</f>
        <v>0</v>
      </c>
      <c r="E490" s="47" t="n">
        <f aca="false">'Fault &amp; Downtime Entry'!E491</f>
        <v>0</v>
      </c>
      <c r="F490" s="47" t="str">
        <f aca="false">'Fault &amp; Downtime Entry'!F491</f>
        <v/>
      </c>
      <c r="G490" s="47" t="n">
        <f aca="false">'Fault &amp; Downtime Entry'!G491</f>
        <v>0</v>
      </c>
      <c r="H490" s="47" t="str">
        <f aca="false">'Fault &amp; Downtime Entry'!H491</f>
        <v/>
      </c>
      <c r="I490" s="47" t="str">
        <f aca="false">'Fault &amp; Downtime Entry'!I491</f>
        <v/>
      </c>
      <c r="J490" s="47" t="n">
        <f aca="false">'Fault &amp; Downtime Entry'!J491</f>
        <v>0</v>
      </c>
      <c r="K490" s="47" t="n">
        <f aca="false">'Fault &amp; Downtime Entry'!K491</f>
        <v>0</v>
      </c>
      <c r="L490" s="47" t="n">
        <f aca="false">'Fault &amp; Downtime Entry'!L491</f>
        <v>0</v>
      </c>
      <c r="M490" s="47" t="str">
        <f aca="false">'Fault &amp; Downtime Entry'!M491</f>
        <v/>
      </c>
      <c r="N490" s="47" t="n">
        <f aca="false">'Fault &amp; Downtime Entry'!N491</f>
        <v>0</v>
      </c>
      <c r="O490" s="47" t="n">
        <f aca="false">'Fault &amp; Downtime Entry'!O491</f>
        <v>0</v>
      </c>
      <c r="P490" s="47" t="str">
        <f aca="false">IF(OR(J490="",K490=""),"",IFERROR(J490/K490*1000,0))</f>
        <v/>
      </c>
      <c r="Q490" s="47" t="str">
        <f aca="false">IF(OR(L490="",K490=""),"",IFERROR(L490/K490*1000,0))</f>
        <v/>
      </c>
      <c r="R490" s="47" t="str">
        <f aca="false">IF(OR(M490="High",M490="Critical"),"YES","")</f>
        <v/>
      </c>
    </row>
    <row r="491" customFormat="false" ht="15" hidden="false" customHeight="true" outlineLevel="0" collapsed="false">
      <c r="A491" s="47" t="n">
        <f aca="false">'Fault &amp; Downtime Entry'!A492</f>
        <v>487</v>
      </c>
      <c r="B491" s="48" t="n">
        <f aca="false">'Fault &amp; Downtime Entry'!B492</f>
        <v>0</v>
      </c>
      <c r="C491" s="47" t="n">
        <f aca="false">'Fault &amp; Downtime Entry'!C492</f>
        <v>0</v>
      </c>
      <c r="D491" s="47" t="n">
        <f aca="false">'Fault &amp; Downtime Entry'!D492</f>
        <v>0</v>
      </c>
      <c r="E491" s="47" t="n">
        <f aca="false">'Fault &amp; Downtime Entry'!E492</f>
        <v>0</v>
      </c>
      <c r="F491" s="47" t="str">
        <f aca="false">'Fault &amp; Downtime Entry'!F492</f>
        <v/>
      </c>
      <c r="G491" s="47" t="n">
        <f aca="false">'Fault &amp; Downtime Entry'!G492</f>
        <v>0</v>
      </c>
      <c r="H491" s="47" t="str">
        <f aca="false">'Fault &amp; Downtime Entry'!H492</f>
        <v/>
      </c>
      <c r="I491" s="47" t="str">
        <f aca="false">'Fault &amp; Downtime Entry'!I492</f>
        <v/>
      </c>
      <c r="J491" s="47" t="n">
        <f aca="false">'Fault &amp; Downtime Entry'!J492</f>
        <v>0</v>
      </c>
      <c r="K491" s="47" t="n">
        <f aca="false">'Fault &amp; Downtime Entry'!K492</f>
        <v>0</v>
      </c>
      <c r="L491" s="47" t="n">
        <f aca="false">'Fault &amp; Downtime Entry'!L492</f>
        <v>0</v>
      </c>
      <c r="M491" s="47" t="str">
        <f aca="false">'Fault &amp; Downtime Entry'!M492</f>
        <v/>
      </c>
      <c r="N491" s="47" t="n">
        <f aca="false">'Fault &amp; Downtime Entry'!N492</f>
        <v>0</v>
      </c>
      <c r="O491" s="47" t="n">
        <f aca="false">'Fault &amp; Downtime Entry'!O492</f>
        <v>0</v>
      </c>
      <c r="P491" s="47" t="str">
        <f aca="false">IF(OR(J491="",K491=""),"",IFERROR(J491/K491*1000,0))</f>
        <v/>
      </c>
      <c r="Q491" s="47" t="str">
        <f aca="false">IF(OR(L491="",K491=""),"",IFERROR(L491/K491*1000,0))</f>
        <v/>
      </c>
      <c r="R491" s="47" t="str">
        <f aca="false">IF(OR(M491="High",M491="Critical"),"YES","")</f>
        <v/>
      </c>
    </row>
    <row r="492" customFormat="false" ht="15" hidden="false" customHeight="true" outlineLevel="0" collapsed="false">
      <c r="A492" s="47" t="n">
        <f aca="false">'Fault &amp; Downtime Entry'!A493</f>
        <v>488</v>
      </c>
      <c r="B492" s="48" t="n">
        <f aca="false">'Fault &amp; Downtime Entry'!B493</f>
        <v>0</v>
      </c>
      <c r="C492" s="47" t="n">
        <f aca="false">'Fault &amp; Downtime Entry'!C493</f>
        <v>0</v>
      </c>
      <c r="D492" s="47" t="n">
        <f aca="false">'Fault &amp; Downtime Entry'!D493</f>
        <v>0</v>
      </c>
      <c r="E492" s="47" t="n">
        <f aca="false">'Fault &amp; Downtime Entry'!E493</f>
        <v>0</v>
      </c>
      <c r="F492" s="47" t="str">
        <f aca="false">'Fault &amp; Downtime Entry'!F493</f>
        <v/>
      </c>
      <c r="G492" s="47" t="n">
        <f aca="false">'Fault &amp; Downtime Entry'!G493</f>
        <v>0</v>
      </c>
      <c r="H492" s="47" t="str">
        <f aca="false">'Fault &amp; Downtime Entry'!H493</f>
        <v/>
      </c>
      <c r="I492" s="47" t="str">
        <f aca="false">'Fault &amp; Downtime Entry'!I493</f>
        <v/>
      </c>
      <c r="J492" s="47" t="n">
        <f aca="false">'Fault &amp; Downtime Entry'!J493</f>
        <v>0</v>
      </c>
      <c r="K492" s="47" t="n">
        <f aca="false">'Fault &amp; Downtime Entry'!K493</f>
        <v>0</v>
      </c>
      <c r="L492" s="47" t="n">
        <f aca="false">'Fault &amp; Downtime Entry'!L493</f>
        <v>0</v>
      </c>
      <c r="M492" s="47" t="str">
        <f aca="false">'Fault &amp; Downtime Entry'!M493</f>
        <v/>
      </c>
      <c r="N492" s="47" t="n">
        <f aca="false">'Fault &amp; Downtime Entry'!N493</f>
        <v>0</v>
      </c>
      <c r="O492" s="47" t="n">
        <f aca="false">'Fault &amp; Downtime Entry'!O493</f>
        <v>0</v>
      </c>
      <c r="P492" s="47" t="str">
        <f aca="false">IF(OR(J492="",K492=""),"",IFERROR(J492/K492*1000,0))</f>
        <v/>
      </c>
      <c r="Q492" s="47" t="str">
        <f aca="false">IF(OR(L492="",K492=""),"",IFERROR(L492/K492*1000,0))</f>
        <v/>
      </c>
      <c r="R492" s="47" t="str">
        <f aca="false">IF(OR(M492="High",M492="Critical"),"YES","")</f>
        <v/>
      </c>
    </row>
    <row r="493" customFormat="false" ht="15" hidden="false" customHeight="true" outlineLevel="0" collapsed="false">
      <c r="A493" s="47" t="n">
        <f aca="false">'Fault &amp; Downtime Entry'!A494</f>
        <v>489</v>
      </c>
      <c r="B493" s="48" t="n">
        <f aca="false">'Fault &amp; Downtime Entry'!B494</f>
        <v>0</v>
      </c>
      <c r="C493" s="47" t="n">
        <f aca="false">'Fault &amp; Downtime Entry'!C494</f>
        <v>0</v>
      </c>
      <c r="D493" s="47" t="n">
        <f aca="false">'Fault &amp; Downtime Entry'!D494</f>
        <v>0</v>
      </c>
      <c r="E493" s="47" t="n">
        <f aca="false">'Fault &amp; Downtime Entry'!E494</f>
        <v>0</v>
      </c>
      <c r="F493" s="47" t="str">
        <f aca="false">'Fault &amp; Downtime Entry'!F494</f>
        <v/>
      </c>
      <c r="G493" s="47" t="n">
        <f aca="false">'Fault &amp; Downtime Entry'!G494</f>
        <v>0</v>
      </c>
      <c r="H493" s="47" t="str">
        <f aca="false">'Fault &amp; Downtime Entry'!H494</f>
        <v/>
      </c>
      <c r="I493" s="47" t="str">
        <f aca="false">'Fault &amp; Downtime Entry'!I494</f>
        <v/>
      </c>
      <c r="J493" s="47" t="n">
        <f aca="false">'Fault &amp; Downtime Entry'!J494</f>
        <v>0</v>
      </c>
      <c r="K493" s="47" t="n">
        <f aca="false">'Fault &amp; Downtime Entry'!K494</f>
        <v>0</v>
      </c>
      <c r="L493" s="47" t="n">
        <f aca="false">'Fault &amp; Downtime Entry'!L494</f>
        <v>0</v>
      </c>
      <c r="M493" s="47" t="str">
        <f aca="false">'Fault &amp; Downtime Entry'!M494</f>
        <v/>
      </c>
      <c r="N493" s="47" t="n">
        <f aca="false">'Fault &amp; Downtime Entry'!N494</f>
        <v>0</v>
      </c>
      <c r="O493" s="47" t="n">
        <f aca="false">'Fault &amp; Downtime Entry'!O494</f>
        <v>0</v>
      </c>
      <c r="P493" s="47" t="str">
        <f aca="false">IF(OR(J493="",K493=""),"",IFERROR(J493/K493*1000,0))</f>
        <v/>
      </c>
      <c r="Q493" s="47" t="str">
        <f aca="false">IF(OR(L493="",K493=""),"",IFERROR(L493/K493*1000,0))</f>
        <v/>
      </c>
      <c r="R493" s="47" t="str">
        <f aca="false">IF(OR(M493="High",M493="Critical"),"YES","")</f>
        <v/>
      </c>
    </row>
    <row r="494" customFormat="false" ht="15" hidden="false" customHeight="true" outlineLevel="0" collapsed="false">
      <c r="A494" s="47" t="n">
        <f aca="false">'Fault &amp; Downtime Entry'!A495</f>
        <v>490</v>
      </c>
      <c r="B494" s="48" t="n">
        <f aca="false">'Fault &amp; Downtime Entry'!B495</f>
        <v>0</v>
      </c>
      <c r="C494" s="47" t="n">
        <f aca="false">'Fault &amp; Downtime Entry'!C495</f>
        <v>0</v>
      </c>
      <c r="D494" s="47" t="n">
        <f aca="false">'Fault &amp; Downtime Entry'!D495</f>
        <v>0</v>
      </c>
      <c r="E494" s="47" t="n">
        <f aca="false">'Fault &amp; Downtime Entry'!E495</f>
        <v>0</v>
      </c>
      <c r="F494" s="47" t="str">
        <f aca="false">'Fault &amp; Downtime Entry'!F495</f>
        <v/>
      </c>
      <c r="G494" s="47" t="n">
        <f aca="false">'Fault &amp; Downtime Entry'!G495</f>
        <v>0</v>
      </c>
      <c r="H494" s="47" t="str">
        <f aca="false">'Fault &amp; Downtime Entry'!H495</f>
        <v/>
      </c>
      <c r="I494" s="47" t="str">
        <f aca="false">'Fault &amp; Downtime Entry'!I495</f>
        <v/>
      </c>
      <c r="J494" s="47" t="n">
        <f aca="false">'Fault &amp; Downtime Entry'!J495</f>
        <v>0</v>
      </c>
      <c r="K494" s="47" t="n">
        <f aca="false">'Fault &amp; Downtime Entry'!K495</f>
        <v>0</v>
      </c>
      <c r="L494" s="47" t="n">
        <f aca="false">'Fault &amp; Downtime Entry'!L495</f>
        <v>0</v>
      </c>
      <c r="M494" s="47" t="str">
        <f aca="false">'Fault &amp; Downtime Entry'!M495</f>
        <v/>
      </c>
      <c r="N494" s="47" t="n">
        <f aca="false">'Fault &amp; Downtime Entry'!N495</f>
        <v>0</v>
      </c>
      <c r="O494" s="47" t="n">
        <f aca="false">'Fault &amp; Downtime Entry'!O495</f>
        <v>0</v>
      </c>
      <c r="P494" s="47" t="str">
        <f aca="false">IF(OR(J494="",K494=""),"",IFERROR(J494/K494*1000,0))</f>
        <v/>
      </c>
      <c r="Q494" s="47" t="str">
        <f aca="false">IF(OR(L494="",K494=""),"",IFERROR(L494/K494*1000,0))</f>
        <v/>
      </c>
      <c r="R494" s="47" t="str">
        <f aca="false">IF(OR(M494="High",M494="Critical"),"YES","")</f>
        <v/>
      </c>
    </row>
    <row r="495" customFormat="false" ht="15" hidden="false" customHeight="true" outlineLevel="0" collapsed="false">
      <c r="A495" s="47" t="n">
        <f aca="false">'Fault &amp; Downtime Entry'!A496</f>
        <v>491</v>
      </c>
      <c r="B495" s="48" t="n">
        <f aca="false">'Fault &amp; Downtime Entry'!B496</f>
        <v>0</v>
      </c>
      <c r="C495" s="47" t="n">
        <f aca="false">'Fault &amp; Downtime Entry'!C496</f>
        <v>0</v>
      </c>
      <c r="D495" s="47" t="n">
        <f aca="false">'Fault &amp; Downtime Entry'!D496</f>
        <v>0</v>
      </c>
      <c r="E495" s="47" t="n">
        <f aca="false">'Fault &amp; Downtime Entry'!E496</f>
        <v>0</v>
      </c>
      <c r="F495" s="47" t="str">
        <f aca="false">'Fault &amp; Downtime Entry'!F496</f>
        <v/>
      </c>
      <c r="G495" s="47" t="n">
        <f aca="false">'Fault &amp; Downtime Entry'!G496</f>
        <v>0</v>
      </c>
      <c r="H495" s="47" t="str">
        <f aca="false">'Fault &amp; Downtime Entry'!H496</f>
        <v/>
      </c>
      <c r="I495" s="47" t="str">
        <f aca="false">'Fault &amp; Downtime Entry'!I496</f>
        <v/>
      </c>
      <c r="J495" s="47" t="n">
        <f aca="false">'Fault &amp; Downtime Entry'!J496</f>
        <v>0</v>
      </c>
      <c r="K495" s="47" t="n">
        <f aca="false">'Fault &amp; Downtime Entry'!K496</f>
        <v>0</v>
      </c>
      <c r="L495" s="47" t="n">
        <f aca="false">'Fault &amp; Downtime Entry'!L496</f>
        <v>0</v>
      </c>
      <c r="M495" s="47" t="str">
        <f aca="false">'Fault &amp; Downtime Entry'!M496</f>
        <v/>
      </c>
      <c r="N495" s="47" t="n">
        <f aca="false">'Fault &amp; Downtime Entry'!N496</f>
        <v>0</v>
      </c>
      <c r="O495" s="47" t="n">
        <f aca="false">'Fault &amp; Downtime Entry'!O496</f>
        <v>0</v>
      </c>
      <c r="P495" s="47" t="str">
        <f aca="false">IF(OR(J495="",K495=""),"",IFERROR(J495/K495*1000,0))</f>
        <v/>
      </c>
      <c r="Q495" s="47" t="str">
        <f aca="false">IF(OR(L495="",K495=""),"",IFERROR(L495/K495*1000,0))</f>
        <v/>
      </c>
      <c r="R495" s="47" t="str">
        <f aca="false">IF(OR(M495="High",M495="Critical"),"YES","")</f>
        <v/>
      </c>
    </row>
    <row r="496" customFormat="false" ht="15" hidden="false" customHeight="true" outlineLevel="0" collapsed="false">
      <c r="A496" s="47" t="n">
        <f aca="false">'Fault &amp; Downtime Entry'!A497</f>
        <v>492</v>
      </c>
      <c r="B496" s="48" t="n">
        <f aca="false">'Fault &amp; Downtime Entry'!B497</f>
        <v>0</v>
      </c>
      <c r="C496" s="47" t="n">
        <f aca="false">'Fault &amp; Downtime Entry'!C497</f>
        <v>0</v>
      </c>
      <c r="D496" s="47" t="n">
        <f aca="false">'Fault &amp; Downtime Entry'!D497</f>
        <v>0</v>
      </c>
      <c r="E496" s="47" t="n">
        <f aca="false">'Fault &amp; Downtime Entry'!E497</f>
        <v>0</v>
      </c>
      <c r="F496" s="47" t="str">
        <f aca="false">'Fault &amp; Downtime Entry'!F497</f>
        <v/>
      </c>
      <c r="G496" s="47" t="n">
        <f aca="false">'Fault &amp; Downtime Entry'!G497</f>
        <v>0</v>
      </c>
      <c r="H496" s="47" t="str">
        <f aca="false">'Fault &amp; Downtime Entry'!H497</f>
        <v/>
      </c>
      <c r="I496" s="47" t="str">
        <f aca="false">'Fault &amp; Downtime Entry'!I497</f>
        <v/>
      </c>
      <c r="J496" s="47" t="n">
        <f aca="false">'Fault &amp; Downtime Entry'!J497</f>
        <v>0</v>
      </c>
      <c r="K496" s="47" t="n">
        <f aca="false">'Fault &amp; Downtime Entry'!K497</f>
        <v>0</v>
      </c>
      <c r="L496" s="47" t="n">
        <f aca="false">'Fault &amp; Downtime Entry'!L497</f>
        <v>0</v>
      </c>
      <c r="M496" s="47" t="str">
        <f aca="false">'Fault &amp; Downtime Entry'!M497</f>
        <v/>
      </c>
      <c r="N496" s="47" t="n">
        <f aca="false">'Fault &amp; Downtime Entry'!N497</f>
        <v>0</v>
      </c>
      <c r="O496" s="47" t="n">
        <f aca="false">'Fault &amp; Downtime Entry'!O497</f>
        <v>0</v>
      </c>
      <c r="P496" s="47" t="str">
        <f aca="false">IF(OR(J496="",K496=""),"",IFERROR(J496/K496*1000,0))</f>
        <v/>
      </c>
      <c r="Q496" s="47" t="str">
        <f aca="false">IF(OR(L496="",K496=""),"",IFERROR(L496/K496*1000,0))</f>
        <v/>
      </c>
      <c r="R496" s="47" t="str">
        <f aca="false">IF(OR(M496="High",M496="Critical"),"YES","")</f>
        <v/>
      </c>
    </row>
    <row r="497" customFormat="false" ht="15" hidden="false" customHeight="true" outlineLevel="0" collapsed="false">
      <c r="A497" s="47" t="n">
        <f aca="false">'Fault &amp; Downtime Entry'!A498</f>
        <v>493</v>
      </c>
      <c r="B497" s="48" t="n">
        <f aca="false">'Fault &amp; Downtime Entry'!B498</f>
        <v>0</v>
      </c>
      <c r="C497" s="47" t="n">
        <f aca="false">'Fault &amp; Downtime Entry'!C498</f>
        <v>0</v>
      </c>
      <c r="D497" s="47" t="n">
        <f aca="false">'Fault &amp; Downtime Entry'!D498</f>
        <v>0</v>
      </c>
      <c r="E497" s="47" t="n">
        <f aca="false">'Fault &amp; Downtime Entry'!E498</f>
        <v>0</v>
      </c>
      <c r="F497" s="47" t="str">
        <f aca="false">'Fault &amp; Downtime Entry'!F498</f>
        <v/>
      </c>
      <c r="G497" s="47" t="n">
        <f aca="false">'Fault &amp; Downtime Entry'!G498</f>
        <v>0</v>
      </c>
      <c r="H497" s="47" t="str">
        <f aca="false">'Fault &amp; Downtime Entry'!H498</f>
        <v/>
      </c>
      <c r="I497" s="47" t="str">
        <f aca="false">'Fault &amp; Downtime Entry'!I498</f>
        <v/>
      </c>
      <c r="J497" s="47" t="n">
        <f aca="false">'Fault &amp; Downtime Entry'!J498</f>
        <v>0</v>
      </c>
      <c r="K497" s="47" t="n">
        <f aca="false">'Fault &amp; Downtime Entry'!K498</f>
        <v>0</v>
      </c>
      <c r="L497" s="47" t="n">
        <f aca="false">'Fault &amp; Downtime Entry'!L498</f>
        <v>0</v>
      </c>
      <c r="M497" s="47" t="str">
        <f aca="false">'Fault &amp; Downtime Entry'!M498</f>
        <v/>
      </c>
      <c r="N497" s="47" t="n">
        <f aca="false">'Fault &amp; Downtime Entry'!N498</f>
        <v>0</v>
      </c>
      <c r="O497" s="47" t="n">
        <f aca="false">'Fault &amp; Downtime Entry'!O498</f>
        <v>0</v>
      </c>
      <c r="P497" s="47" t="str">
        <f aca="false">IF(OR(J497="",K497=""),"",IFERROR(J497/K497*1000,0))</f>
        <v/>
      </c>
      <c r="Q497" s="47" t="str">
        <f aca="false">IF(OR(L497="",K497=""),"",IFERROR(L497/K497*1000,0))</f>
        <v/>
      </c>
      <c r="R497" s="47" t="str">
        <f aca="false">IF(OR(M497="High",M497="Critical"),"YES","")</f>
        <v/>
      </c>
    </row>
    <row r="498" customFormat="false" ht="15" hidden="false" customHeight="true" outlineLevel="0" collapsed="false">
      <c r="A498" s="47" t="n">
        <f aca="false">'Fault &amp; Downtime Entry'!A499</f>
        <v>494</v>
      </c>
      <c r="B498" s="48" t="n">
        <f aca="false">'Fault &amp; Downtime Entry'!B499</f>
        <v>0</v>
      </c>
      <c r="C498" s="47" t="n">
        <f aca="false">'Fault &amp; Downtime Entry'!C499</f>
        <v>0</v>
      </c>
      <c r="D498" s="47" t="n">
        <f aca="false">'Fault &amp; Downtime Entry'!D499</f>
        <v>0</v>
      </c>
      <c r="E498" s="47" t="n">
        <f aca="false">'Fault &amp; Downtime Entry'!E499</f>
        <v>0</v>
      </c>
      <c r="F498" s="47" t="str">
        <f aca="false">'Fault &amp; Downtime Entry'!F499</f>
        <v/>
      </c>
      <c r="G498" s="47" t="n">
        <f aca="false">'Fault &amp; Downtime Entry'!G499</f>
        <v>0</v>
      </c>
      <c r="H498" s="47" t="str">
        <f aca="false">'Fault &amp; Downtime Entry'!H499</f>
        <v/>
      </c>
      <c r="I498" s="47" t="str">
        <f aca="false">'Fault &amp; Downtime Entry'!I499</f>
        <v/>
      </c>
      <c r="J498" s="47" t="n">
        <f aca="false">'Fault &amp; Downtime Entry'!J499</f>
        <v>0</v>
      </c>
      <c r="K498" s="47" t="n">
        <f aca="false">'Fault &amp; Downtime Entry'!K499</f>
        <v>0</v>
      </c>
      <c r="L498" s="47" t="n">
        <f aca="false">'Fault &amp; Downtime Entry'!L499</f>
        <v>0</v>
      </c>
      <c r="M498" s="47" t="str">
        <f aca="false">'Fault &amp; Downtime Entry'!M499</f>
        <v/>
      </c>
      <c r="N498" s="47" t="n">
        <f aca="false">'Fault &amp; Downtime Entry'!N499</f>
        <v>0</v>
      </c>
      <c r="O498" s="47" t="n">
        <f aca="false">'Fault &amp; Downtime Entry'!O499</f>
        <v>0</v>
      </c>
      <c r="P498" s="47" t="str">
        <f aca="false">IF(OR(J498="",K498=""),"",IFERROR(J498/K498*1000,0))</f>
        <v/>
      </c>
      <c r="Q498" s="47" t="str">
        <f aca="false">IF(OR(L498="",K498=""),"",IFERROR(L498/K498*1000,0))</f>
        <v/>
      </c>
      <c r="R498" s="47" t="str">
        <f aca="false">IF(OR(M498="High",M498="Critical"),"YES","")</f>
        <v/>
      </c>
    </row>
    <row r="499" customFormat="false" ht="15" hidden="false" customHeight="true" outlineLevel="0" collapsed="false">
      <c r="A499" s="47" t="n">
        <f aca="false">'Fault &amp; Downtime Entry'!A500</f>
        <v>495</v>
      </c>
      <c r="B499" s="48" t="n">
        <f aca="false">'Fault &amp; Downtime Entry'!B500</f>
        <v>0</v>
      </c>
      <c r="C499" s="47" t="n">
        <f aca="false">'Fault &amp; Downtime Entry'!C500</f>
        <v>0</v>
      </c>
      <c r="D499" s="47" t="n">
        <f aca="false">'Fault &amp; Downtime Entry'!D500</f>
        <v>0</v>
      </c>
      <c r="E499" s="47" t="n">
        <f aca="false">'Fault &amp; Downtime Entry'!E500</f>
        <v>0</v>
      </c>
      <c r="F499" s="47" t="str">
        <f aca="false">'Fault &amp; Downtime Entry'!F500</f>
        <v/>
      </c>
      <c r="G499" s="47" t="n">
        <f aca="false">'Fault &amp; Downtime Entry'!G500</f>
        <v>0</v>
      </c>
      <c r="H499" s="47" t="str">
        <f aca="false">'Fault &amp; Downtime Entry'!H500</f>
        <v/>
      </c>
      <c r="I499" s="47" t="str">
        <f aca="false">'Fault &amp; Downtime Entry'!I500</f>
        <v/>
      </c>
      <c r="J499" s="47" t="n">
        <f aca="false">'Fault &amp; Downtime Entry'!J500</f>
        <v>0</v>
      </c>
      <c r="K499" s="47" t="n">
        <f aca="false">'Fault &amp; Downtime Entry'!K500</f>
        <v>0</v>
      </c>
      <c r="L499" s="47" t="n">
        <f aca="false">'Fault &amp; Downtime Entry'!L500</f>
        <v>0</v>
      </c>
      <c r="M499" s="47" t="str">
        <f aca="false">'Fault &amp; Downtime Entry'!M500</f>
        <v/>
      </c>
      <c r="N499" s="47" t="n">
        <f aca="false">'Fault &amp; Downtime Entry'!N500</f>
        <v>0</v>
      </c>
      <c r="O499" s="47" t="n">
        <f aca="false">'Fault &amp; Downtime Entry'!O500</f>
        <v>0</v>
      </c>
      <c r="P499" s="47" t="str">
        <f aca="false">IF(OR(J499="",K499=""),"",IFERROR(J499/K499*1000,0))</f>
        <v/>
      </c>
      <c r="Q499" s="47" t="str">
        <f aca="false">IF(OR(L499="",K499=""),"",IFERROR(L499/K499*1000,0))</f>
        <v/>
      </c>
      <c r="R499" s="47" t="str">
        <f aca="false">IF(OR(M499="High",M499="Critical"),"YES","")</f>
        <v/>
      </c>
    </row>
    <row r="500" customFormat="false" ht="15" hidden="false" customHeight="true" outlineLevel="0" collapsed="false">
      <c r="A500" s="47" t="n">
        <f aca="false">'Fault &amp; Downtime Entry'!A501</f>
        <v>496</v>
      </c>
      <c r="B500" s="48" t="n">
        <f aca="false">'Fault &amp; Downtime Entry'!B501</f>
        <v>0</v>
      </c>
      <c r="C500" s="47" t="n">
        <f aca="false">'Fault &amp; Downtime Entry'!C501</f>
        <v>0</v>
      </c>
      <c r="D500" s="47" t="n">
        <f aca="false">'Fault &amp; Downtime Entry'!D501</f>
        <v>0</v>
      </c>
      <c r="E500" s="47" t="n">
        <f aca="false">'Fault &amp; Downtime Entry'!E501</f>
        <v>0</v>
      </c>
      <c r="F500" s="47" t="str">
        <f aca="false">'Fault &amp; Downtime Entry'!F501</f>
        <v/>
      </c>
      <c r="G500" s="47" t="n">
        <f aca="false">'Fault &amp; Downtime Entry'!G501</f>
        <v>0</v>
      </c>
      <c r="H500" s="47" t="str">
        <f aca="false">'Fault &amp; Downtime Entry'!H501</f>
        <v/>
      </c>
      <c r="I500" s="47" t="str">
        <f aca="false">'Fault &amp; Downtime Entry'!I501</f>
        <v/>
      </c>
      <c r="J500" s="47" t="n">
        <f aca="false">'Fault &amp; Downtime Entry'!J501</f>
        <v>0</v>
      </c>
      <c r="K500" s="47" t="n">
        <f aca="false">'Fault &amp; Downtime Entry'!K501</f>
        <v>0</v>
      </c>
      <c r="L500" s="47" t="n">
        <f aca="false">'Fault &amp; Downtime Entry'!L501</f>
        <v>0</v>
      </c>
      <c r="M500" s="47" t="str">
        <f aca="false">'Fault &amp; Downtime Entry'!M501</f>
        <v/>
      </c>
      <c r="N500" s="47" t="n">
        <f aca="false">'Fault &amp; Downtime Entry'!N501</f>
        <v>0</v>
      </c>
      <c r="O500" s="47" t="n">
        <f aca="false">'Fault &amp; Downtime Entry'!O501</f>
        <v>0</v>
      </c>
      <c r="P500" s="47" t="str">
        <f aca="false">IF(OR(J500="",K500=""),"",IFERROR(J500/K500*1000,0))</f>
        <v/>
      </c>
      <c r="Q500" s="47" t="str">
        <f aca="false">IF(OR(L500="",K500=""),"",IFERROR(L500/K500*1000,0))</f>
        <v/>
      </c>
      <c r="R500" s="47" t="str">
        <f aca="false">IF(OR(M500="High",M500="Critical"),"YES","")</f>
        <v/>
      </c>
    </row>
    <row r="501" customFormat="false" ht="15" hidden="false" customHeight="true" outlineLevel="0" collapsed="false">
      <c r="A501" s="47" t="n">
        <f aca="false">'Fault &amp; Downtime Entry'!A502</f>
        <v>497</v>
      </c>
      <c r="B501" s="48" t="n">
        <f aca="false">'Fault &amp; Downtime Entry'!B502</f>
        <v>0</v>
      </c>
      <c r="C501" s="47" t="n">
        <f aca="false">'Fault &amp; Downtime Entry'!C502</f>
        <v>0</v>
      </c>
      <c r="D501" s="47" t="n">
        <f aca="false">'Fault &amp; Downtime Entry'!D502</f>
        <v>0</v>
      </c>
      <c r="E501" s="47" t="n">
        <f aca="false">'Fault &amp; Downtime Entry'!E502</f>
        <v>0</v>
      </c>
      <c r="F501" s="47" t="str">
        <f aca="false">'Fault &amp; Downtime Entry'!F502</f>
        <v/>
      </c>
      <c r="G501" s="47" t="n">
        <f aca="false">'Fault &amp; Downtime Entry'!G502</f>
        <v>0</v>
      </c>
      <c r="H501" s="47" t="str">
        <f aca="false">'Fault &amp; Downtime Entry'!H502</f>
        <v/>
      </c>
      <c r="I501" s="47" t="str">
        <f aca="false">'Fault &amp; Downtime Entry'!I502</f>
        <v/>
      </c>
      <c r="J501" s="47" t="n">
        <f aca="false">'Fault &amp; Downtime Entry'!J502</f>
        <v>0</v>
      </c>
      <c r="K501" s="47" t="n">
        <f aca="false">'Fault &amp; Downtime Entry'!K502</f>
        <v>0</v>
      </c>
      <c r="L501" s="47" t="n">
        <f aca="false">'Fault &amp; Downtime Entry'!L502</f>
        <v>0</v>
      </c>
      <c r="M501" s="47" t="str">
        <f aca="false">'Fault &amp; Downtime Entry'!M502</f>
        <v/>
      </c>
      <c r="N501" s="47" t="n">
        <f aca="false">'Fault &amp; Downtime Entry'!N502</f>
        <v>0</v>
      </c>
      <c r="O501" s="47" t="n">
        <f aca="false">'Fault &amp; Downtime Entry'!O502</f>
        <v>0</v>
      </c>
      <c r="P501" s="47" t="str">
        <f aca="false">IF(OR(J501="",K501=""),"",IFERROR(J501/K501*1000,0))</f>
        <v/>
      </c>
      <c r="Q501" s="47" t="str">
        <f aca="false">IF(OR(L501="",K501=""),"",IFERROR(L501/K501*1000,0))</f>
        <v/>
      </c>
      <c r="R501" s="47" t="str">
        <f aca="false">IF(OR(M501="High",M501="Critical"),"YES","")</f>
        <v/>
      </c>
    </row>
    <row r="502" customFormat="false" ht="15" hidden="false" customHeight="true" outlineLevel="0" collapsed="false">
      <c r="A502" s="47" t="n">
        <f aca="false">'Fault &amp; Downtime Entry'!A503</f>
        <v>498</v>
      </c>
      <c r="B502" s="48" t="n">
        <f aca="false">'Fault &amp; Downtime Entry'!B503</f>
        <v>0</v>
      </c>
      <c r="C502" s="47" t="n">
        <f aca="false">'Fault &amp; Downtime Entry'!C503</f>
        <v>0</v>
      </c>
      <c r="D502" s="47" t="n">
        <f aca="false">'Fault &amp; Downtime Entry'!D503</f>
        <v>0</v>
      </c>
      <c r="E502" s="47" t="n">
        <f aca="false">'Fault &amp; Downtime Entry'!E503</f>
        <v>0</v>
      </c>
      <c r="F502" s="47" t="str">
        <f aca="false">'Fault &amp; Downtime Entry'!F503</f>
        <v/>
      </c>
      <c r="G502" s="47" t="n">
        <f aca="false">'Fault &amp; Downtime Entry'!G503</f>
        <v>0</v>
      </c>
      <c r="H502" s="47" t="str">
        <f aca="false">'Fault &amp; Downtime Entry'!H503</f>
        <v/>
      </c>
      <c r="I502" s="47" t="str">
        <f aca="false">'Fault &amp; Downtime Entry'!I503</f>
        <v/>
      </c>
      <c r="J502" s="47" t="n">
        <f aca="false">'Fault &amp; Downtime Entry'!J503</f>
        <v>0</v>
      </c>
      <c r="K502" s="47" t="n">
        <f aca="false">'Fault &amp; Downtime Entry'!K503</f>
        <v>0</v>
      </c>
      <c r="L502" s="47" t="n">
        <f aca="false">'Fault &amp; Downtime Entry'!L503</f>
        <v>0</v>
      </c>
      <c r="M502" s="47" t="str">
        <f aca="false">'Fault &amp; Downtime Entry'!M503</f>
        <v/>
      </c>
      <c r="N502" s="47" t="n">
        <f aca="false">'Fault &amp; Downtime Entry'!N503</f>
        <v>0</v>
      </c>
      <c r="O502" s="47" t="n">
        <f aca="false">'Fault &amp; Downtime Entry'!O503</f>
        <v>0</v>
      </c>
      <c r="P502" s="47" t="str">
        <f aca="false">IF(OR(J502="",K502=""),"",IFERROR(J502/K502*1000,0))</f>
        <v/>
      </c>
      <c r="Q502" s="47" t="str">
        <f aca="false">IF(OR(L502="",K502=""),"",IFERROR(L502/K502*1000,0))</f>
        <v/>
      </c>
      <c r="R502" s="47" t="str">
        <f aca="false">IF(OR(M502="High",M502="Critical"),"YES","")</f>
        <v/>
      </c>
    </row>
    <row r="503" customFormat="false" ht="15" hidden="false" customHeight="true" outlineLevel="0" collapsed="false">
      <c r="A503" s="47" t="n">
        <f aca="false">'Fault &amp; Downtime Entry'!A504</f>
        <v>499</v>
      </c>
      <c r="B503" s="48" t="n">
        <f aca="false">'Fault &amp; Downtime Entry'!B504</f>
        <v>0</v>
      </c>
      <c r="C503" s="47" t="n">
        <f aca="false">'Fault &amp; Downtime Entry'!C504</f>
        <v>0</v>
      </c>
      <c r="D503" s="47" t="n">
        <f aca="false">'Fault &amp; Downtime Entry'!D504</f>
        <v>0</v>
      </c>
      <c r="E503" s="47" t="n">
        <f aca="false">'Fault &amp; Downtime Entry'!E504</f>
        <v>0</v>
      </c>
      <c r="F503" s="47" t="str">
        <f aca="false">'Fault &amp; Downtime Entry'!F504</f>
        <v/>
      </c>
      <c r="G503" s="47" t="n">
        <f aca="false">'Fault &amp; Downtime Entry'!G504</f>
        <v>0</v>
      </c>
      <c r="H503" s="47" t="str">
        <f aca="false">'Fault &amp; Downtime Entry'!H504</f>
        <v/>
      </c>
      <c r="I503" s="47" t="str">
        <f aca="false">'Fault &amp; Downtime Entry'!I504</f>
        <v/>
      </c>
      <c r="J503" s="47" t="n">
        <f aca="false">'Fault &amp; Downtime Entry'!J504</f>
        <v>0</v>
      </c>
      <c r="K503" s="47" t="n">
        <f aca="false">'Fault &amp; Downtime Entry'!K504</f>
        <v>0</v>
      </c>
      <c r="L503" s="47" t="n">
        <f aca="false">'Fault &amp; Downtime Entry'!L504</f>
        <v>0</v>
      </c>
      <c r="M503" s="47" t="str">
        <f aca="false">'Fault &amp; Downtime Entry'!M504</f>
        <v/>
      </c>
      <c r="N503" s="47" t="n">
        <f aca="false">'Fault &amp; Downtime Entry'!N504</f>
        <v>0</v>
      </c>
      <c r="O503" s="47" t="n">
        <f aca="false">'Fault &amp; Downtime Entry'!O504</f>
        <v>0</v>
      </c>
      <c r="P503" s="47" t="str">
        <f aca="false">IF(OR(J503="",K503=""),"",IFERROR(J503/K503*1000,0))</f>
        <v/>
      </c>
      <c r="Q503" s="47" t="str">
        <f aca="false">IF(OR(L503="",K503=""),"",IFERROR(L503/K503*1000,0))</f>
        <v/>
      </c>
      <c r="R503" s="47" t="str">
        <f aca="false">IF(OR(M503="High",M503="Critical"),"YES","")</f>
        <v/>
      </c>
    </row>
    <row r="504" customFormat="false" ht="15" hidden="false" customHeight="true" outlineLevel="0" collapsed="false">
      <c r="A504" s="47" t="n">
        <f aca="false">'Fault &amp; Downtime Entry'!A505</f>
        <v>500</v>
      </c>
      <c r="B504" s="48" t="n">
        <f aca="false">'Fault &amp; Downtime Entry'!B505</f>
        <v>0</v>
      </c>
      <c r="C504" s="47" t="n">
        <f aca="false">'Fault &amp; Downtime Entry'!C505</f>
        <v>0</v>
      </c>
      <c r="D504" s="47" t="n">
        <f aca="false">'Fault &amp; Downtime Entry'!D505</f>
        <v>0</v>
      </c>
      <c r="E504" s="47" t="n">
        <f aca="false">'Fault &amp; Downtime Entry'!E505</f>
        <v>0</v>
      </c>
      <c r="F504" s="47" t="str">
        <f aca="false">'Fault &amp; Downtime Entry'!F505</f>
        <v/>
      </c>
      <c r="G504" s="47" t="n">
        <f aca="false">'Fault &amp; Downtime Entry'!G505</f>
        <v>0</v>
      </c>
      <c r="H504" s="47" t="str">
        <f aca="false">'Fault &amp; Downtime Entry'!H505</f>
        <v/>
      </c>
      <c r="I504" s="47" t="str">
        <f aca="false">'Fault &amp; Downtime Entry'!I505</f>
        <v/>
      </c>
      <c r="J504" s="47" t="n">
        <f aca="false">'Fault &amp; Downtime Entry'!J505</f>
        <v>0</v>
      </c>
      <c r="K504" s="47" t="n">
        <f aca="false">'Fault &amp; Downtime Entry'!K505</f>
        <v>0</v>
      </c>
      <c r="L504" s="47" t="n">
        <f aca="false">'Fault &amp; Downtime Entry'!L505</f>
        <v>0</v>
      </c>
      <c r="M504" s="47" t="str">
        <f aca="false">'Fault &amp; Downtime Entry'!M505</f>
        <v/>
      </c>
      <c r="N504" s="47" t="n">
        <f aca="false">'Fault &amp; Downtime Entry'!N505</f>
        <v>0</v>
      </c>
      <c r="O504" s="47" t="n">
        <f aca="false">'Fault &amp; Downtime Entry'!O505</f>
        <v>0</v>
      </c>
      <c r="P504" s="47" t="str">
        <f aca="false">IF(OR(J504="",K504=""),"",IFERROR(J504/K504*1000,0))</f>
        <v/>
      </c>
      <c r="Q504" s="47" t="str">
        <f aca="false">IF(OR(L504="",K504=""),"",IFERROR(L504/K504*1000,0))</f>
        <v/>
      </c>
      <c r="R504" s="47" t="str">
        <f aca="false">IF(OR(M504="High",M504="Critical"),"YES","")</f>
        <v/>
      </c>
    </row>
    <row r="505" customFormat="false" ht="15" hidden="false" customHeight="true" outlineLevel="0" collapsed="false">
      <c r="A505" s="47" t="n">
        <f aca="false">'Fault &amp; Downtime Entry'!A506</f>
        <v>501</v>
      </c>
      <c r="B505" s="48" t="n">
        <f aca="false">'Fault &amp; Downtime Entry'!B506</f>
        <v>0</v>
      </c>
      <c r="C505" s="47" t="n">
        <f aca="false">'Fault &amp; Downtime Entry'!C506</f>
        <v>0</v>
      </c>
      <c r="D505" s="47" t="n">
        <f aca="false">'Fault &amp; Downtime Entry'!D506</f>
        <v>0</v>
      </c>
      <c r="E505" s="47" t="n">
        <f aca="false">'Fault &amp; Downtime Entry'!E506</f>
        <v>0</v>
      </c>
      <c r="F505" s="47" t="str">
        <f aca="false">'Fault &amp; Downtime Entry'!F506</f>
        <v/>
      </c>
      <c r="G505" s="47" t="n">
        <f aca="false">'Fault &amp; Downtime Entry'!G506</f>
        <v>0</v>
      </c>
      <c r="H505" s="47" t="str">
        <f aca="false">'Fault &amp; Downtime Entry'!H506</f>
        <v/>
      </c>
      <c r="I505" s="47" t="str">
        <f aca="false">'Fault &amp; Downtime Entry'!I506</f>
        <v/>
      </c>
      <c r="J505" s="47" t="n">
        <f aca="false">'Fault &amp; Downtime Entry'!J506</f>
        <v>0</v>
      </c>
      <c r="K505" s="47" t="n">
        <f aca="false">'Fault &amp; Downtime Entry'!K506</f>
        <v>0</v>
      </c>
      <c r="L505" s="47" t="n">
        <f aca="false">'Fault &amp; Downtime Entry'!L506</f>
        <v>0</v>
      </c>
      <c r="M505" s="47" t="str">
        <f aca="false">'Fault &amp; Downtime Entry'!M506</f>
        <v/>
      </c>
      <c r="N505" s="47" t="n">
        <f aca="false">'Fault &amp; Downtime Entry'!N506</f>
        <v>0</v>
      </c>
      <c r="O505" s="47" t="n">
        <f aca="false">'Fault &amp; Downtime Entry'!O506</f>
        <v>0</v>
      </c>
      <c r="P505" s="47" t="str">
        <f aca="false">IF(OR(J505="",K505=""),"",IFERROR(J505/K505*1000,0))</f>
        <v/>
      </c>
      <c r="Q505" s="47" t="str">
        <f aca="false">IF(OR(L505="",K505=""),"",IFERROR(L505/K505*1000,0))</f>
        <v/>
      </c>
      <c r="R505" s="47" t="str">
        <f aca="false">IF(OR(M505="High",M505="Critical"),"YES","")</f>
        <v/>
      </c>
    </row>
    <row r="506" customFormat="false" ht="15" hidden="false" customHeight="true" outlineLevel="0" collapsed="false">
      <c r="A506" s="47" t="n">
        <f aca="false">'Fault &amp; Downtime Entry'!A507</f>
        <v>502</v>
      </c>
      <c r="B506" s="48" t="n">
        <f aca="false">'Fault &amp; Downtime Entry'!B507</f>
        <v>0</v>
      </c>
      <c r="C506" s="47" t="n">
        <f aca="false">'Fault &amp; Downtime Entry'!C507</f>
        <v>0</v>
      </c>
      <c r="D506" s="47" t="n">
        <f aca="false">'Fault &amp; Downtime Entry'!D507</f>
        <v>0</v>
      </c>
      <c r="E506" s="47" t="n">
        <f aca="false">'Fault &amp; Downtime Entry'!E507</f>
        <v>0</v>
      </c>
      <c r="F506" s="47" t="str">
        <f aca="false">'Fault &amp; Downtime Entry'!F507</f>
        <v/>
      </c>
      <c r="G506" s="47" t="n">
        <f aca="false">'Fault &amp; Downtime Entry'!G507</f>
        <v>0</v>
      </c>
      <c r="H506" s="47" t="str">
        <f aca="false">'Fault &amp; Downtime Entry'!H507</f>
        <v/>
      </c>
      <c r="I506" s="47" t="str">
        <f aca="false">'Fault &amp; Downtime Entry'!I507</f>
        <v/>
      </c>
      <c r="J506" s="47" t="n">
        <f aca="false">'Fault &amp; Downtime Entry'!J507</f>
        <v>0</v>
      </c>
      <c r="K506" s="47" t="n">
        <f aca="false">'Fault &amp; Downtime Entry'!K507</f>
        <v>0</v>
      </c>
      <c r="L506" s="47" t="n">
        <f aca="false">'Fault &amp; Downtime Entry'!L507</f>
        <v>0</v>
      </c>
      <c r="M506" s="47" t="str">
        <f aca="false">'Fault &amp; Downtime Entry'!M507</f>
        <v/>
      </c>
      <c r="N506" s="47" t="n">
        <f aca="false">'Fault &amp; Downtime Entry'!N507</f>
        <v>0</v>
      </c>
      <c r="O506" s="47" t="n">
        <f aca="false">'Fault &amp; Downtime Entry'!O507</f>
        <v>0</v>
      </c>
      <c r="P506" s="47" t="str">
        <f aca="false">IF(OR(J506="",K506=""),"",IFERROR(J506/K506*1000,0))</f>
        <v/>
      </c>
      <c r="Q506" s="47" t="str">
        <f aca="false">IF(OR(L506="",K506=""),"",IFERROR(L506/K506*1000,0))</f>
        <v/>
      </c>
      <c r="R506" s="47" t="str">
        <f aca="false">IF(OR(M506="High",M506="Critical"),"YES","")</f>
        <v/>
      </c>
    </row>
    <row r="507" customFormat="false" ht="15" hidden="false" customHeight="true" outlineLevel="0" collapsed="false">
      <c r="A507" s="47" t="n">
        <f aca="false">'Fault &amp; Downtime Entry'!A508</f>
        <v>503</v>
      </c>
      <c r="B507" s="48" t="n">
        <f aca="false">'Fault &amp; Downtime Entry'!B508</f>
        <v>0</v>
      </c>
      <c r="C507" s="47" t="n">
        <f aca="false">'Fault &amp; Downtime Entry'!C508</f>
        <v>0</v>
      </c>
      <c r="D507" s="47" t="n">
        <f aca="false">'Fault &amp; Downtime Entry'!D508</f>
        <v>0</v>
      </c>
      <c r="E507" s="47" t="n">
        <f aca="false">'Fault &amp; Downtime Entry'!E508</f>
        <v>0</v>
      </c>
      <c r="F507" s="47" t="str">
        <f aca="false">'Fault &amp; Downtime Entry'!F508</f>
        <v/>
      </c>
      <c r="G507" s="47" t="n">
        <f aca="false">'Fault &amp; Downtime Entry'!G508</f>
        <v>0</v>
      </c>
      <c r="H507" s="47" t="str">
        <f aca="false">'Fault &amp; Downtime Entry'!H508</f>
        <v/>
      </c>
      <c r="I507" s="47" t="str">
        <f aca="false">'Fault &amp; Downtime Entry'!I508</f>
        <v/>
      </c>
      <c r="J507" s="47" t="n">
        <f aca="false">'Fault &amp; Downtime Entry'!J508</f>
        <v>0</v>
      </c>
      <c r="K507" s="47" t="n">
        <f aca="false">'Fault &amp; Downtime Entry'!K508</f>
        <v>0</v>
      </c>
      <c r="L507" s="47" t="n">
        <f aca="false">'Fault &amp; Downtime Entry'!L508</f>
        <v>0</v>
      </c>
      <c r="M507" s="47" t="str">
        <f aca="false">'Fault &amp; Downtime Entry'!M508</f>
        <v/>
      </c>
      <c r="N507" s="47" t="n">
        <f aca="false">'Fault &amp; Downtime Entry'!N508</f>
        <v>0</v>
      </c>
      <c r="O507" s="47" t="n">
        <f aca="false">'Fault &amp; Downtime Entry'!O508</f>
        <v>0</v>
      </c>
      <c r="P507" s="47" t="str">
        <f aca="false">IF(OR(J507="",K507=""),"",IFERROR(J507/K507*1000,0))</f>
        <v/>
      </c>
      <c r="Q507" s="47" t="str">
        <f aca="false">IF(OR(L507="",K507=""),"",IFERROR(L507/K507*1000,0))</f>
        <v/>
      </c>
      <c r="R507" s="47" t="str">
        <f aca="false">IF(OR(M507="High",M507="Critical"),"YES","")</f>
        <v/>
      </c>
    </row>
    <row r="508" customFormat="false" ht="15" hidden="false" customHeight="true" outlineLevel="0" collapsed="false">
      <c r="A508" s="47" t="n">
        <f aca="false">'Fault &amp; Downtime Entry'!A509</f>
        <v>504</v>
      </c>
      <c r="B508" s="48" t="n">
        <f aca="false">'Fault &amp; Downtime Entry'!B509</f>
        <v>0</v>
      </c>
      <c r="C508" s="47" t="n">
        <f aca="false">'Fault &amp; Downtime Entry'!C509</f>
        <v>0</v>
      </c>
      <c r="D508" s="47" t="n">
        <f aca="false">'Fault &amp; Downtime Entry'!D509</f>
        <v>0</v>
      </c>
      <c r="E508" s="47" t="n">
        <f aca="false">'Fault &amp; Downtime Entry'!E509</f>
        <v>0</v>
      </c>
      <c r="F508" s="47" t="str">
        <f aca="false">'Fault &amp; Downtime Entry'!F509</f>
        <v/>
      </c>
      <c r="G508" s="47" t="n">
        <f aca="false">'Fault &amp; Downtime Entry'!G509</f>
        <v>0</v>
      </c>
      <c r="H508" s="47" t="str">
        <f aca="false">'Fault &amp; Downtime Entry'!H509</f>
        <v/>
      </c>
      <c r="I508" s="47" t="str">
        <f aca="false">'Fault &amp; Downtime Entry'!I509</f>
        <v/>
      </c>
      <c r="J508" s="47" t="n">
        <f aca="false">'Fault &amp; Downtime Entry'!J509</f>
        <v>0</v>
      </c>
      <c r="K508" s="47" t="n">
        <f aca="false">'Fault &amp; Downtime Entry'!K509</f>
        <v>0</v>
      </c>
      <c r="L508" s="47" t="n">
        <f aca="false">'Fault &amp; Downtime Entry'!L509</f>
        <v>0</v>
      </c>
      <c r="M508" s="47" t="str">
        <f aca="false">'Fault &amp; Downtime Entry'!M509</f>
        <v/>
      </c>
      <c r="N508" s="47" t="n">
        <f aca="false">'Fault &amp; Downtime Entry'!N509</f>
        <v>0</v>
      </c>
      <c r="O508" s="47" t="n">
        <f aca="false">'Fault &amp; Downtime Entry'!O509</f>
        <v>0</v>
      </c>
      <c r="P508" s="47" t="str">
        <f aca="false">IF(OR(J508="",K508=""),"",IFERROR(J508/K508*1000,0))</f>
        <v/>
      </c>
      <c r="Q508" s="47" t="str">
        <f aca="false">IF(OR(L508="",K508=""),"",IFERROR(L508/K508*1000,0))</f>
        <v/>
      </c>
      <c r="R508" s="47" t="str">
        <f aca="false">IF(OR(M508="High",M508="Critical"),"YES","")</f>
        <v/>
      </c>
    </row>
    <row r="509" customFormat="false" ht="15" hidden="false" customHeight="true" outlineLevel="0" collapsed="false">
      <c r="A509" s="47" t="n">
        <f aca="false">'Fault &amp; Downtime Entry'!A510</f>
        <v>505</v>
      </c>
      <c r="B509" s="48" t="n">
        <f aca="false">'Fault &amp; Downtime Entry'!B510</f>
        <v>0</v>
      </c>
      <c r="C509" s="47" t="n">
        <f aca="false">'Fault &amp; Downtime Entry'!C510</f>
        <v>0</v>
      </c>
      <c r="D509" s="47" t="n">
        <f aca="false">'Fault &amp; Downtime Entry'!D510</f>
        <v>0</v>
      </c>
      <c r="E509" s="47" t="n">
        <f aca="false">'Fault &amp; Downtime Entry'!E510</f>
        <v>0</v>
      </c>
      <c r="F509" s="47" t="str">
        <f aca="false">'Fault &amp; Downtime Entry'!F510</f>
        <v/>
      </c>
      <c r="G509" s="47" t="n">
        <f aca="false">'Fault &amp; Downtime Entry'!G510</f>
        <v>0</v>
      </c>
      <c r="H509" s="47" t="str">
        <f aca="false">'Fault &amp; Downtime Entry'!H510</f>
        <v/>
      </c>
      <c r="I509" s="47" t="str">
        <f aca="false">'Fault &amp; Downtime Entry'!I510</f>
        <v/>
      </c>
      <c r="J509" s="47" t="n">
        <f aca="false">'Fault &amp; Downtime Entry'!J510</f>
        <v>0</v>
      </c>
      <c r="K509" s="47" t="n">
        <f aca="false">'Fault &amp; Downtime Entry'!K510</f>
        <v>0</v>
      </c>
      <c r="L509" s="47" t="n">
        <f aca="false">'Fault &amp; Downtime Entry'!L510</f>
        <v>0</v>
      </c>
      <c r="M509" s="47" t="str">
        <f aca="false">'Fault &amp; Downtime Entry'!M510</f>
        <v/>
      </c>
      <c r="N509" s="47" t="n">
        <f aca="false">'Fault &amp; Downtime Entry'!N510</f>
        <v>0</v>
      </c>
      <c r="O509" s="47" t="n">
        <f aca="false">'Fault &amp; Downtime Entry'!O510</f>
        <v>0</v>
      </c>
      <c r="P509" s="47" t="str">
        <f aca="false">IF(OR(J509="",K509=""),"",IFERROR(J509/K509*1000,0))</f>
        <v/>
      </c>
      <c r="Q509" s="47" t="str">
        <f aca="false">IF(OR(L509="",K509=""),"",IFERROR(L509/K509*1000,0))</f>
        <v/>
      </c>
      <c r="R509" s="47" t="str">
        <f aca="false">IF(OR(M509="High",M509="Critical"),"YES","")</f>
        <v/>
      </c>
    </row>
    <row r="510" customFormat="false" ht="15" hidden="false" customHeight="true" outlineLevel="0" collapsed="false">
      <c r="A510" s="47" t="n">
        <f aca="false">'Fault &amp; Downtime Entry'!A511</f>
        <v>506</v>
      </c>
      <c r="B510" s="48" t="n">
        <f aca="false">'Fault &amp; Downtime Entry'!B511</f>
        <v>0</v>
      </c>
      <c r="C510" s="47" t="n">
        <f aca="false">'Fault &amp; Downtime Entry'!C511</f>
        <v>0</v>
      </c>
      <c r="D510" s="47" t="n">
        <f aca="false">'Fault &amp; Downtime Entry'!D511</f>
        <v>0</v>
      </c>
      <c r="E510" s="47" t="n">
        <f aca="false">'Fault &amp; Downtime Entry'!E511</f>
        <v>0</v>
      </c>
      <c r="F510" s="47" t="str">
        <f aca="false">'Fault &amp; Downtime Entry'!F511</f>
        <v/>
      </c>
      <c r="G510" s="47" t="n">
        <f aca="false">'Fault &amp; Downtime Entry'!G511</f>
        <v>0</v>
      </c>
      <c r="H510" s="47" t="str">
        <f aca="false">'Fault &amp; Downtime Entry'!H511</f>
        <v/>
      </c>
      <c r="I510" s="47" t="str">
        <f aca="false">'Fault &amp; Downtime Entry'!I511</f>
        <v/>
      </c>
      <c r="J510" s="47" t="n">
        <f aca="false">'Fault &amp; Downtime Entry'!J511</f>
        <v>0</v>
      </c>
      <c r="K510" s="47" t="n">
        <f aca="false">'Fault &amp; Downtime Entry'!K511</f>
        <v>0</v>
      </c>
      <c r="L510" s="47" t="n">
        <f aca="false">'Fault &amp; Downtime Entry'!L511</f>
        <v>0</v>
      </c>
      <c r="M510" s="47" t="str">
        <f aca="false">'Fault &amp; Downtime Entry'!M511</f>
        <v/>
      </c>
      <c r="N510" s="47" t="n">
        <f aca="false">'Fault &amp; Downtime Entry'!N511</f>
        <v>0</v>
      </c>
      <c r="O510" s="47" t="n">
        <f aca="false">'Fault &amp; Downtime Entry'!O511</f>
        <v>0</v>
      </c>
      <c r="P510" s="47" t="str">
        <f aca="false">IF(OR(J510="",K510=""),"",IFERROR(J510/K510*1000,0))</f>
        <v/>
      </c>
      <c r="Q510" s="47" t="str">
        <f aca="false">IF(OR(L510="",K510=""),"",IFERROR(L510/K510*1000,0))</f>
        <v/>
      </c>
      <c r="R510" s="47" t="str">
        <f aca="false">IF(OR(M510="High",M510="Critical"),"YES","")</f>
        <v/>
      </c>
    </row>
    <row r="511" customFormat="false" ht="15" hidden="false" customHeight="true" outlineLevel="0" collapsed="false">
      <c r="A511" s="47" t="n">
        <f aca="false">'Fault &amp; Downtime Entry'!A512</f>
        <v>507</v>
      </c>
      <c r="B511" s="48" t="n">
        <f aca="false">'Fault &amp; Downtime Entry'!B512</f>
        <v>0</v>
      </c>
      <c r="C511" s="47" t="n">
        <f aca="false">'Fault &amp; Downtime Entry'!C512</f>
        <v>0</v>
      </c>
      <c r="D511" s="47" t="n">
        <f aca="false">'Fault &amp; Downtime Entry'!D512</f>
        <v>0</v>
      </c>
      <c r="E511" s="47" t="n">
        <f aca="false">'Fault &amp; Downtime Entry'!E512</f>
        <v>0</v>
      </c>
      <c r="F511" s="47" t="str">
        <f aca="false">'Fault &amp; Downtime Entry'!F512</f>
        <v/>
      </c>
      <c r="G511" s="47" t="n">
        <f aca="false">'Fault &amp; Downtime Entry'!G512</f>
        <v>0</v>
      </c>
      <c r="H511" s="47" t="str">
        <f aca="false">'Fault &amp; Downtime Entry'!H512</f>
        <v/>
      </c>
      <c r="I511" s="47" t="str">
        <f aca="false">'Fault &amp; Downtime Entry'!I512</f>
        <v/>
      </c>
      <c r="J511" s="47" t="n">
        <f aca="false">'Fault &amp; Downtime Entry'!J512</f>
        <v>0</v>
      </c>
      <c r="K511" s="47" t="n">
        <f aca="false">'Fault &amp; Downtime Entry'!K512</f>
        <v>0</v>
      </c>
      <c r="L511" s="47" t="n">
        <f aca="false">'Fault &amp; Downtime Entry'!L512</f>
        <v>0</v>
      </c>
      <c r="M511" s="47" t="str">
        <f aca="false">'Fault &amp; Downtime Entry'!M512</f>
        <v/>
      </c>
      <c r="N511" s="47" t="n">
        <f aca="false">'Fault &amp; Downtime Entry'!N512</f>
        <v>0</v>
      </c>
      <c r="O511" s="47" t="n">
        <f aca="false">'Fault &amp; Downtime Entry'!O512</f>
        <v>0</v>
      </c>
      <c r="P511" s="47" t="str">
        <f aca="false">IF(OR(J511="",K511=""),"",IFERROR(J511/K511*1000,0))</f>
        <v/>
      </c>
      <c r="Q511" s="47" t="str">
        <f aca="false">IF(OR(L511="",K511=""),"",IFERROR(L511/K511*1000,0))</f>
        <v/>
      </c>
      <c r="R511" s="47" t="str">
        <f aca="false">IF(OR(M511="High",M511="Critical"),"YES","")</f>
        <v/>
      </c>
    </row>
    <row r="512" customFormat="false" ht="15" hidden="false" customHeight="true" outlineLevel="0" collapsed="false">
      <c r="A512" s="47" t="n">
        <f aca="false">'Fault &amp; Downtime Entry'!A513</f>
        <v>508</v>
      </c>
      <c r="B512" s="48" t="n">
        <f aca="false">'Fault &amp; Downtime Entry'!B513</f>
        <v>0</v>
      </c>
      <c r="C512" s="47" t="n">
        <f aca="false">'Fault &amp; Downtime Entry'!C513</f>
        <v>0</v>
      </c>
      <c r="D512" s="47" t="n">
        <f aca="false">'Fault &amp; Downtime Entry'!D513</f>
        <v>0</v>
      </c>
      <c r="E512" s="47" t="n">
        <f aca="false">'Fault &amp; Downtime Entry'!E513</f>
        <v>0</v>
      </c>
      <c r="F512" s="47" t="str">
        <f aca="false">'Fault &amp; Downtime Entry'!F513</f>
        <v/>
      </c>
      <c r="G512" s="47" t="n">
        <f aca="false">'Fault &amp; Downtime Entry'!G513</f>
        <v>0</v>
      </c>
      <c r="H512" s="47" t="str">
        <f aca="false">'Fault &amp; Downtime Entry'!H513</f>
        <v/>
      </c>
      <c r="I512" s="47" t="str">
        <f aca="false">'Fault &amp; Downtime Entry'!I513</f>
        <v/>
      </c>
      <c r="J512" s="47" t="n">
        <f aca="false">'Fault &amp; Downtime Entry'!J513</f>
        <v>0</v>
      </c>
      <c r="K512" s="47" t="n">
        <f aca="false">'Fault &amp; Downtime Entry'!K513</f>
        <v>0</v>
      </c>
      <c r="L512" s="47" t="n">
        <f aca="false">'Fault &amp; Downtime Entry'!L513</f>
        <v>0</v>
      </c>
      <c r="M512" s="47" t="str">
        <f aca="false">'Fault &amp; Downtime Entry'!M513</f>
        <v/>
      </c>
      <c r="N512" s="47" t="n">
        <f aca="false">'Fault &amp; Downtime Entry'!N513</f>
        <v>0</v>
      </c>
      <c r="O512" s="47" t="n">
        <f aca="false">'Fault &amp; Downtime Entry'!O513</f>
        <v>0</v>
      </c>
      <c r="P512" s="47" t="str">
        <f aca="false">IF(OR(J512="",K512=""),"",IFERROR(J512/K512*1000,0))</f>
        <v/>
      </c>
      <c r="Q512" s="47" t="str">
        <f aca="false">IF(OR(L512="",K512=""),"",IFERROR(L512/K512*1000,0))</f>
        <v/>
      </c>
      <c r="R512" s="47" t="str">
        <f aca="false">IF(OR(M512="High",M512="Critical"),"YES","")</f>
        <v/>
      </c>
    </row>
    <row r="513" customFormat="false" ht="15" hidden="false" customHeight="true" outlineLevel="0" collapsed="false">
      <c r="A513" s="47" t="n">
        <f aca="false">'Fault &amp; Downtime Entry'!A514</f>
        <v>509</v>
      </c>
      <c r="B513" s="48" t="n">
        <f aca="false">'Fault &amp; Downtime Entry'!B514</f>
        <v>0</v>
      </c>
      <c r="C513" s="47" t="n">
        <f aca="false">'Fault &amp; Downtime Entry'!C514</f>
        <v>0</v>
      </c>
      <c r="D513" s="47" t="n">
        <f aca="false">'Fault &amp; Downtime Entry'!D514</f>
        <v>0</v>
      </c>
      <c r="E513" s="47" t="n">
        <f aca="false">'Fault &amp; Downtime Entry'!E514</f>
        <v>0</v>
      </c>
      <c r="F513" s="47" t="str">
        <f aca="false">'Fault &amp; Downtime Entry'!F514</f>
        <v/>
      </c>
      <c r="G513" s="47" t="n">
        <f aca="false">'Fault &amp; Downtime Entry'!G514</f>
        <v>0</v>
      </c>
      <c r="H513" s="47" t="str">
        <f aca="false">'Fault &amp; Downtime Entry'!H514</f>
        <v/>
      </c>
      <c r="I513" s="47" t="str">
        <f aca="false">'Fault &amp; Downtime Entry'!I514</f>
        <v/>
      </c>
      <c r="J513" s="47" t="n">
        <f aca="false">'Fault &amp; Downtime Entry'!J514</f>
        <v>0</v>
      </c>
      <c r="K513" s="47" t="n">
        <f aca="false">'Fault &amp; Downtime Entry'!K514</f>
        <v>0</v>
      </c>
      <c r="L513" s="47" t="n">
        <f aca="false">'Fault &amp; Downtime Entry'!L514</f>
        <v>0</v>
      </c>
      <c r="M513" s="47" t="str">
        <f aca="false">'Fault &amp; Downtime Entry'!M514</f>
        <v/>
      </c>
      <c r="N513" s="47" t="n">
        <f aca="false">'Fault &amp; Downtime Entry'!N514</f>
        <v>0</v>
      </c>
      <c r="O513" s="47" t="n">
        <f aca="false">'Fault &amp; Downtime Entry'!O514</f>
        <v>0</v>
      </c>
      <c r="P513" s="47" t="str">
        <f aca="false">IF(OR(J513="",K513=""),"",IFERROR(J513/K513*1000,0))</f>
        <v/>
      </c>
      <c r="Q513" s="47" t="str">
        <f aca="false">IF(OR(L513="",K513=""),"",IFERROR(L513/K513*1000,0))</f>
        <v/>
      </c>
      <c r="R513" s="47" t="str">
        <f aca="false">IF(OR(M513="High",M513="Critical"),"YES","")</f>
        <v/>
      </c>
    </row>
    <row r="514" customFormat="false" ht="15" hidden="false" customHeight="true" outlineLevel="0" collapsed="false">
      <c r="A514" s="47" t="n">
        <f aca="false">'Fault &amp; Downtime Entry'!A515</f>
        <v>510</v>
      </c>
      <c r="B514" s="48" t="n">
        <f aca="false">'Fault &amp; Downtime Entry'!B515</f>
        <v>0</v>
      </c>
      <c r="C514" s="47" t="n">
        <f aca="false">'Fault &amp; Downtime Entry'!C515</f>
        <v>0</v>
      </c>
      <c r="D514" s="47" t="n">
        <f aca="false">'Fault &amp; Downtime Entry'!D515</f>
        <v>0</v>
      </c>
      <c r="E514" s="47" t="n">
        <f aca="false">'Fault &amp; Downtime Entry'!E515</f>
        <v>0</v>
      </c>
      <c r="F514" s="47" t="str">
        <f aca="false">'Fault &amp; Downtime Entry'!F515</f>
        <v/>
      </c>
      <c r="G514" s="47" t="n">
        <f aca="false">'Fault &amp; Downtime Entry'!G515</f>
        <v>0</v>
      </c>
      <c r="H514" s="47" t="str">
        <f aca="false">'Fault &amp; Downtime Entry'!H515</f>
        <v/>
      </c>
      <c r="I514" s="47" t="str">
        <f aca="false">'Fault &amp; Downtime Entry'!I515</f>
        <v/>
      </c>
      <c r="J514" s="47" t="n">
        <f aca="false">'Fault &amp; Downtime Entry'!J515</f>
        <v>0</v>
      </c>
      <c r="K514" s="47" t="n">
        <f aca="false">'Fault &amp; Downtime Entry'!K515</f>
        <v>0</v>
      </c>
      <c r="L514" s="47" t="n">
        <f aca="false">'Fault &amp; Downtime Entry'!L515</f>
        <v>0</v>
      </c>
      <c r="M514" s="47" t="str">
        <f aca="false">'Fault &amp; Downtime Entry'!M515</f>
        <v/>
      </c>
      <c r="N514" s="47" t="n">
        <f aca="false">'Fault &amp; Downtime Entry'!N515</f>
        <v>0</v>
      </c>
      <c r="O514" s="47" t="n">
        <f aca="false">'Fault &amp; Downtime Entry'!O515</f>
        <v>0</v>
      </c>
      <c r="P514" s="47" t="str">
        <f aca="false">IF(OR(J514="",K514=""),"",IFERROR(J514/K514*1000,0))</f>
        <v/>
      </c>
      <c r="Q514" s="47" t="str">
        <f aca="false">IF(OR(L514="",K514=""),"",IFERROR(L514/K514*1000,0))</f>
        <v/>
      </c>
      <c r="R514" s="47" t="str">
        <f aca="false">IF(OR(M514="High",M514="Critical"),"YES","")</f>
        <v/>
      </c>
    </row>
    <row r="515" customFormat="false" ht="15" hidden="false" customHeight="true" outlineLevel="0" collapsed="false">
      <c r="A515" s="47" t="n">
        <f aca="false">'Fault &amp; Downtime Entry'!A516</f>
        <v>511</v>
      </c>
      <c r="B515" s="48" t="n">
        <f aca="false">'Fault &amp; Downtime Entry'!B516</f>
        <v>0</v>
      </c>
      <c r="C515" s="47" t="n">
        <f aca="false">'Fault &amp; Downtime Entry'!C516</f>
        <v>0</v>
      </c>
      <c r="D515" s="47" t="n">
        <f aca="false">'Fault &amp; Downtime Entry'!D516</f>
        <v>0</v>
      </c>
      <c r="E515" s="47" t="n">
        <f aca="false">'Fault &amp; Downtime Entry'!E516</f>
        <v>0</v>
      </c>
      <c r="F515" s="47" t="str">
        <f aca="false">'Fault &amp; Downtime Entry'!F516</f>
        <v/>
      </c>
      <c r="G515" s="47" t="n">
        <f aca="false">'Fault &amp; Downtime Entry'!G516</f>
        <v>0</v>
      </c>
      <c r="H515" s="47" t="str">
        <f aca="false">'Fault &amp; Downtime Entry'!H516</f>
        <v/>
      </c>
      <c r="I515" s="47" t="str">
        <f aca="false">'Fault &amp; Downtime Entry'!I516</f>
        <v/>
      </c>
      <c r="J515" s="47" t="n">
        <f aca="false">'Fault &amp; Downtime Entry'!J516</f>
        <v>0</v>
      </c>
      <c r="K515" s="47" t="n">
        <f aca="false">'Fault &amp; Downtime Entry'!K516</f>
        <v>0</v>
      </c>
      <c r="L515" s="47" t="n">
        <f aca="false">'Fault &amp; Downtime Entry'!L516</f>
        <v>0</v>
      </c>
      <c r="M515" s="47" t="str">
        <f aca="false">'Fault &amp; Downtime Entry'!M516</f>
        <v/>
      </c>
      <c r="N515" s="47" t="n">
        <f aca="false">'Fault &amp; Downtime Entry'!N516</f>
        <v>0</v>
      </c>
      <c r="O515" s="47" t="n">
        <f aca="false">'Fault &amp; Downtime Entry'!O516</f>
        <v>0</v>
      </c>
      <c r="P515" s="47" t="str">
        <f aca="false">IF(OR(J515="",K515=""),"",IFERROR(J515/K515*1000,0))</f>
        <v/>
      </c>
      <c r="Q515" s="47" t="str">
        <f aca="false">IF(OR(L515="",K515=""),"",IFERROR(L515/K515*1000,0))</f>
        <v/>
      </c>
      <c r="R515" s="47" t="str">
        <f aca="false">IF(OR(M515="High",M515="Critical"),"YES","")</f>
        <v/>
      </c>
    </row>
    <row r="516" customFormat="false" ht="15" hidden="false" customHeight="true" outlineLevel="0" collapsed="false">
      <c r="A516" s="47" t="n">
        <f aca="false">'Fault &amp; Downtime Entry'!A517</f>
        <v>512</v>
      </c>
      <c r="B516" s="48" t="n">
        <f aca="false">'Fault &amp; Downtime Entry'!B517</f>
        <v>0</v>
      </c>
      <c r="C516" s="47" t="n">
        <f aca="false">'Fault &amp; Downtime Entry'!C517</f>
        <v>0</v>
      </c>
      <c r="D516" s="47" t="n">
        <f aca="false">'Fault &amp; Downtime Entry'!D517</f>
        <v>0</v>
      </c>
      <c r="E516" s="47" t="n">
        <f aca="false">'Fault &amp; Downtime Entry'!E517</f>
        <v>0</v>
      </c>
      <c r="F516" s="47" t="str">
        <f aca="false">'Fault &amp; Downtime Entry'!F517</f>
        <v/>
      </c>
      <c r="G516" s="47" t="n">
        <f aca="false">'Fault &amp; Downtime Entry'!G517</f>
        <v>0</v>
      </c>
      <c r="H516" s="47" t="str">
        <f aca="false">'Fault &amp; Downtime Entry'!H517</f>
        <v/>
      </c>
      <c r="I516" s="47" t="str">
        <f aca="false">'Fault &amp; Downtime Entry'!I517</f>
        <v/>
      </c>
      <c r="J516" s="47" t="n">
        <f aca="false">'Fault &amp; Downtime Entry'!J517</f>
        <v>0</v>
      </c>
      <c r="K516" s="47" t="n">
        <f aca="false">'Fault &amp; Downtime Entry'!K517</f>
        <v>0</v>
      </c>
      <c r="L516" s="47" t="n">
        <f aca="false">'Fault &amp; Downtime Entry'!L517</f>
        <v>0</v>
      </c>
      <c r="M516" s="47" t="str">
        <f aca="false">'Fault &amp; Downtime Entry'!M517</f>
        <v/>
      </c>
      <c r="N516" s="47" t="n">
        <f aca="false">'Fault &amp; Downtime Entry'!N517</f>
        <v>0</v>
      </c>
      <c r="O516" s="47" t="n">
        <f aca="false">'Fault &amp; Downtime Entry'!O517</f>
        <v>0</v>
      </c>
      <c r="P516" s="47" t="str">
        <f aca="false">IF(OR(J516="",K516=""),"",IFERROR(J516/K516*1000,0))</f>
        <v/>
      </c>
      <c r="Q516" s="47" t="str">
        <f aca="false">IF(OR(L516="",K516=""),"",IFERROR(L516/K516*1000,0))</f>
        <v/>
      </c>
      <c r="R516" s="47" t="str">
        <f aca="false">IF(OR(M516="High",M516="Critical"),"YES","")</f>
        <v/>
      </c>
    </row>
    <row r="517" customFormat="false" ht="15" hidden="false" customHeight="true" outlineLevel="0" collapsed="false">
      <c r="A517" s="47" t="n">
        <f aca="false">'Fault &amp; Downtime Entry'!A518</f>
        <v>513</v>
      </c>
      <c r="B517" s="48" t="n">
        <f aca="false">'Fault &amp; Downtime Entry'!B518</f>
        <v>0</v>
      </c>
      <c r="C517" s="47" t="n">
        <f aca="false">'Fault &amp; Downtime Entry'!C518</f>
        <v>0</v>
      </c>
      <c r="D517" s="47" t="n">
        <f aca="false">'Fault &amp; Downtime Entry'!D518</f>
        <v>0</v>
      </c>
      <c r="E517" s="47" t="n">
        <f aca="false">'Fault &amp; Downtime Entry'!E518</f>
        <v>0</v>
      </c>
      <c r="F517" s="47" t="str">
        <f aca="false">'Fault &amp; Downtime Entry'!F518</f>
        <v/>
      </c>
      <c r="G517" s="47" t="n">
        <f aca="false">'Fault &amp; Downtime Entry'!G518</f>
        <v>0</v>
      </c>
      <c r="H517" s="47" t="str">
        <f aca="false">'Fault &amp; Downtime Entry'!H518</f>
        <v/>
      </c>
      <c r="I517" s="47" t="str">
        <f aca="false">'Fault &amp; Downtime Entry'!I518</f>
        <v/>
      </c>
      <c r="J517" s="47" t="n">
        <f aca="false">'Fault &amp; Downtime Entry'!J518</f>
        <v>0</v>
      </c>
      <c r="K517" s="47" t="n">
        <f aca="false">'Fault &amp; Downtime Entry'!K518</f>
        <v>0</v>
      </c>
      <c r="L517" s="47" t="n">
        <f aca="false">'Fault &amp; Downtime Entry'!L518</f>
        <v>0</v>
      </c>
      <c r="M517" s="47" t="str">
        <f aca="false">'Fault &amp; Downtime Entry'!M518</f>
        <v/>
      </c>
      <c r="N517" s="47" t="n">
        <f aca="false">'Fault &amp; Downtime Entry'!N518</f>
        <v>0</v>
      </c>
      <c r="O517" s="47" t="n">
        <f aca="false">'Fault &amp; Downtime Entry'!O518</f>
        <v>0</v>
      </c>
      <c r="P517" s="47" t="str">
        <f aca="false">IF(OR(J517="",K517=""),"",IFERROR(J517/K517*1000,0))</f>
        <v/>
      </c>
      <c r="Q517" s="47" t="str">
        <f aca="false">IF(OR(L517="",K517=""),"",IFERROR(L517/K517*1000,0))</f>
        <v/>
      </c>
      <c r="R517" s="47" t="str">
        <f aca="false">IF(OR(M517="High",M517="Critical"),"YES","")</f>
        <v/>
      </c>
    </row>
    <row r="518" customFormat="false" ht="15" hidden="false" customHeight="true" outlineLevel="0" collapsed="false">
      <c r="A518" s="47" t="n">
        <f aca="false">'Fault &amp; Downtime Entry'!A519</f>
        <v>514</v>
      </c>
      <c r="B518" s="48" t="n">
        <f aca="false">'Fault &amp; Downtime Entry'!B519</f>
        <v>0</v>
      </c>
      <c r="C518" s="47" t="n">
        <f aca="false">'Fault &amp; Downtime Entry'!C519</f>
        <v>0</v>
      </c>
      <c r="D518" s="47" t="n">
        <f aca="false">'Fault &amp; Downtime Entry'!D519</f>
        <v>0</v>
      </c>
      <c r="E518" s="47" t="n">
        <f aca="false">'Fault &amp; Downtime Entry'!E519</f>
        <v>0</v>
      </c>
      <c r="F518" s="47" t="str">
        <f aca="false">'Fault &amp; Downtime Entry'!F519</f>
        <v/>
      </c>
      <c r="G518" s="47" t="n">
        <f aca="false">'Fault &amp; Downtime Entry'!G519</f>
        <v>0</v>
      </c>
      <c r="H518" s="47" t="str">
        <f aca="false">'Fault &amp; Downtime Entry'!H519</f>
        <v/>
      </c>
      <c r="I518" s="47" t="str">
        <f aca="false">'Fault &amp; Downtime Entry'!I519</f>
        <v/>
      </c>
      <c r="J518" s="47" t="n">
        <f aca="false">'Fault &amp; Downtime Entry'!J519</f>
        <v>0</v>
      </c>
      <c r="K518" s="47" t="n">
        <f aca="false">'Fault &amp; Downtime Entry'!K519</f>
        <v>0</v>
      </c>
      <c r="L518" s="47" t="n">
        <f aca="false">'Fault &amp; Downtime Entry'!L519</f>
        <v>0</v>
      </c>
      <c r="M518" s="47" t="str">
        <f aca="false">'Fault &amp; Downtime Entry'!M519</f>
        <v/>
      </c>
      <c r="N518" s="47" t="n">
        <f aca="false">'Fault &amp; Downtime Entry'!N519</f>
        <v>0</v>
      </c>
      <c r="O518" s="47" t="n">
        <f aca="false">'Fault &amp; Downtime Entry'!O519</f>
        <v>0</v>
      </c>
      <c r="P518" s="47" t="str">
        <f aca="false">IF(OR(J518="",K518=""),"",IFERROR(J518/K518*1000,0))</f>
        <v/>
      </c>
      <c r="Q518" s="47" t="str">
        <f aca="false">IF(OR(L518="",K518=""),"",IFERROR(L518/K518*1000,0))</f>
        <v/>
      </c>
      <c r="R518" s="47" t="str">
        <f aca="false">IF(OR(M518="High",M518="Critical"),"YES","")</f>
        <v/>
      </c>
    </row>
    <row r="519" customFormat="false" ht="15" hidden="false" customHeight="true" outlineLevel="0" collapsed="false">
      <c r="A519" s="47" t="n">
        <f aca="false">'Fault &amp; Downtime Entry'!A520</f>
        <v>515</v>
      </c>
      <c r="B519" s="48" t="n">
        <f aca="false">'Fault &amp; Downtime Entry'!B520</f>
        <v>0</v>
      </c>
      <c r="C519" s="47" t="n">
        <f aca="false">'Fault &amp; Downtime Entry'!C520</f>
        <v>0</v>
      </c>
      <c r="D519" s="47" t="n">
        <f aca="false">'Fault &amp; Downtime Entry'!D520</f>
        <v>0</v>
      </c>
      <c r="E519" s="47" t="n">
        <f aca="false">'Fault &amp; Downtime Entry'!E520</f>
        <v>0</v>
      </c>
      <c r="F519" s="47" t="str">
        <f aca="false">'Fault &amp; Downtime Entry'!F520</f>
        <v/>
      </c>
      <c r="G519" s="47" t="n">
        <f aca="false">'Fault &amp; Downtime Entry'!G520</f>
        <v>0</v>
      </c>
      <c r="H519" s="47" t="str">
        <f aca="false">'Fault &amp; Downtime Entry'!H520</f>
        <v/>
      </c>
      <c r="I519" s="47" t="str">
        <f aca="false">'Fault &amp; Downtime Entry'!I520</f>
        <v/>
      </c>
      <c r="J519" s="47" t="n">
        <f aca="false">'Fault &amp; Downtime Entry'!J520</f>
        <v>0</v>
      </c>
      <c r="K519" s="47" t="n">
        <f aca="false">'Fault &amp; Downtime Entry'!K520</f>
        <v>0</v>
      </c>
      <c r="L519" s="47" t="n">
        <f aca="false">'Fault &amp; Downtime Entry'!L520</f>
        <v>0</v>
      </c>
      <c r="M519" s="47" t="str">
        <f aca="false">'Fault &amp; Downtime Entry'!M520</f>
        <v/>
      </c>
      <c r="N519" s="47" t="n">
        <f aca="false">'Fault &amp; Downtime Entry'!N520</f>
        <v>0</v>
      </c>
      <c r="O519" s="47" t="n">
        <f aca="false">'Fault &amp; Downtime Entry'!O520</f>
        <v>0</v>
      </c>
      <c r="P519" s="47" t="str">
        <f aca="false">IF(OR(J519="",K519=""),"",IFERROR(J519/K519*1000,0))</f>
        <v/>
      </c>
      <c r="Q519" s="47" t="str">
        <f aca="false">IF(OR(L519="",K519=""),"",IFERROR(L519/K519*1000,0))</f>
        <v/>
      </c>
      <c r="R519" s="47" t="str">
        <f aca="false">IF(OR(M519="High",M519="Critical"),"YES","")</f>
        <v/>
      </c>
    </row>
    <row r="520" customFormat="false" ht="15" hidden="false" customHeight="true" outlineLevel="0" collapsed="false">
      <c r="A520" s="47" t="n">
        <f aca="false">'Fault &amp; Downtime Entry'!A521</f>
        <v>516</v>
      </c>
      <c r="B520" s="48" t="n">
        <f aca="false">'Fault &amp; Downtime Entry'!B521</f>
        <v>0</v>
      </c>
      <c r="C520" s="47" t="n">
        <f aca="false">'Fault &amp; Downtime Entry'!C521</f>
        <v>0</v>
      </c>
      <c r="D520" s="47" t="n">
        <f aca="false">'Fault &amp; Downtime Entry'!D521</f>
        <v>0</v>
      </c>
      <c r="E520" s="47" t="n">
        <f aca="false">'Fault &amp; Downtime Entry'!E521</f>
        <v>0</v>
      </c>
      <c r="F520" s="47" t="str">
        <f aca="false">'Fault &amp; Downtime Entry'!F521</f>
        <v/>
      </c>
      <c r="G520" s="47" t="n">
        <f aca="false">'Fault &amp; Downtime Entry'!G521</f>
        <v>0</v>
      </c>
      <c r="H520" s="47" t="str">
        <f aca="false">'Fault &amp; Downtime Entry'!H521</f>
        <v/>
      </c>
      <c r="I520" s="47" t="str">
        <f aca="false">'Fault &amp; Downtime Entry'!I521</f>
        <v/>
      </c>
      <c r="J520" s="47" t="n">
        <f aca="false">'Fault &amp; Downtime Entry'!J521</f>
        <v>0</v>
      </c>
      <c r="K520" s="47" t="n">
        <f aca="false">'Fault &amp; Downtime Entry'!K521</f>
        <v>0</v>
      </c>
      <c r="L520" s="47" t="n">
        <f aca="false">'Fault &amp; Downtime Entry'!L521</f>
        <v>0</v>
      </c>
      <c r="M520" s="47" t="str">
        <f aca="false">'Fault &amp; Downtime Entry'!M521</f>
        <v/>
      </c>
      <c r="N520" s="47" t="n">
        <f aca="false">'Fault &amp; Downtime Entry'!N521</f>
        <v>0</v>
      </c>
      <c r="O520" s="47" t="n">
        <f aca="false">'Fault &amp; Downtime Entry'!O521</f>
        <v>0</v>
      </c>
      <c r="P520" s="47" t="str">
        <f aca="false">IF(OR(J520="",K520=""),"",IFERROR(J520/K520*1000,0))</f>
        <v/>
      </c>
      <c r="Q520" s="47" t="str">
        <f aca="false">IF(OR(L520="",K520=""),"",IFERROR(L520/K520*1000,0))</f>
        <v/>
      </c>
      <c r="R520" s="47" t="str">
        <f aca="false">IF(OR(M520="High",M520="Critical"),"YES","")</f>
        <v/>
      </c>
    </row>
    <row r="521" customFormat="false" ht="15" hidden="false" customHeight="true" outlineLevel="0" collapsed="false">
      <c r="A521" s="47" t="n">
        <f aca="false">'Fault &amp; Downtime Entry'!A522</f>
        <v>517</v>
      </c>
      <c r="B521" s="48" t="n">
        <f aca="false">'Fault &amp; Downtime Entry'!B522</f>
        <v>0</v>
      </c>
      <c r="C521" s="47" t="n">
        <f aca="false">'Fault &amp; Downtime Entry'!C522</f>
        <v>0</v>
      </c>
      <c r="D521" s="47" t="n">
        <f aca="false">'Fault &amp; Downtime Entry'!D522</f>
        <v>0</v>
      </c>
      <c r="E521" s="47" t="n">
        <f aca="false">'Fault &amp; Downtime Entry'!E522</f>
        <v>0</v>
      </c>
      <c r="F521" s="47" t="str">
        <f aca="false">'Fault &amp; Downtime Entry'!F522</f>
        <v/>
      </c>
      <c r="G521" s="47" t="n">
        <f aca="false">'Fault &amp; Downtime Entry'!G522</f>
        <v>0</v>
      </c>
      <c r="H521" s="47" t="str">
        <f aca="false">'Fault &amp; Downtime Entry'!H522</f>
        <v/>
      </c>
      <c r="I521" s="47" t="str">
        <f aca="false">'Fault &amp; Downtime Entry'!I522</f>
        <v/>
      </c>
      <c r="J521" s="47" t="n">
        <f aca="false">'Fault &amp; Downtime Entry'!J522</f>
        <v>0</v>
      </c>
      <c r="K521" s="47" t="n">
        <f aca="false">'Fault &amp; Downtime Entry'!K522</f>
        <v>0</v>
      </c>
      <c r="L521" s="47" t="n">
        <f aca="false">'Fault &amp; Downtime Entry'!L522</f>
        <v>0</v>
      </c>
      <c r="M521" s="47" t="str">
        <f aca="false">'Fault &amp; Downtime Entry'!M522</f>
        <v/>
      </c>
      <c r="N521" s="47" t="n">
        <f aca="false">'Fault &amp; Downtime Entry'!N522</f>
        <v>0</v>
      </c>
      <c r="O521" s="47" t="n">
        <f aca="false">'Fault &amp; Downtime Entry'!O522</f>
        <v>0</v>
      </c>
      <c r="P521" s="47" t="str">
        <f aca="false">IF(OR(J521="",K521=""),"",IFERROR(J521/K521*1000,0))</f>
        <v/>
      </c>
      <c r="Q521" s="47" t="str">
        <f aca="false">IF(OR(L521="",K521=""),"",IFERROR(L521/K521*1000,0))</f>
        <v/>
      </c>
      <c r="R521" s="47" t="str">
        <f aca="false">IF(OR(M521="High",M521="Critical"),"YES","")</f>
        <v/>
      </c>
    </row>
    <row r="522" customFormat="false" ht="15" hidden="false" customHeight="true" outlineLevel="0" collapsed="false">
      <c r="A522" s="47" t="n">
        <f aca="false">'Fault &amp; Downtime Entry'!A523</f>
        <v>518</v>
      </c>
      <c r="B522" s="48" t="n">
        <f aca="false">'Fault &amp; Downtime Entry'!B523</f>
        <v>0</v>
      </c>
      <c r="C522" s="47" t="n">
        <f aca="false">'Fault &amp; Downtime Entry'!C523</f>
        <v>0</v>
      </c>
      <c r="D522" s="47" t="n">
        <f aca="false">'Fault &amp; Downtime Entry'!D523</f>
        <v>0</v>
      </c>
      <c r="E522" s="47" t="n">
        <f aca="false">'Fault &amp; Downtime Entry'!E523</f>
        <v>0</v>
      </c>
      <c r="F522" s="47" t="str">
        <f aca="false">'Fault &amp; Downtime Entry'!F523</f>
        <v/>
      </c>
      <c r="G522" s="47" t="n">
        <f aca="false">'Fault &amp; Downtime Entry'!G523</f>
        <v>0</v>
      </c>
      <c r="H522" s="47" t="str">
        <f aca="false">'Fault &amp; Downtime Entry'!H523</f>
        <v/>
      </c>
      <c r="I522" s="47" t="str">
        <f aca="false">'Fault &amp; Downtime Entry'!I523</f>
        <v/>
      </c>
      <c r="J522" s="47" t="n">
        <f aca="false">'Fault &amp; Downtime Entry'!J523</f>
        <v>0</v>
      </c>
      <c r="K522" s="47" t="n">
        <f aca="false">'Fault &amp; Downtime Entry'!K523</f>
        <v>0</v>
      </c>
      <c r="L522" s="47" t="n">
        <f aca="false">'Fault &amp; Downtime Entry'!L523</f>
        <v>0</v>
      </c>
      <c r="M522" s="47" t="str">
        <f aca="false">'Fault &amp; Downtime Entry'!M523</f>
        <v/>
      </c>
      <c r="N522" s="47" t="n">
        <f aca="false">'Fault &amp; Downtime Entry'!N523</f>
        <v>0</v>
      </c>
      <c r="O522" s="47" t="n">
        <f aca="false">'Fault &amp; Downtime Entry'!O523</f>
        <v>0</v>
      </c>
      <c r="P522" s="47" t="str">
        <f aca="false">IF(OR(J522="",K522=""),"",IFERROR(J522/K522*1000,0))</f>
        <v/>
      </c>
      <c r="Q522" s="47" t="str">
        <f aca="false">IF(OR(L522="",K522=""),"",IFERROR(L522/K522*1000,0))</f>
        <v/>
      </c>
      <c r="R522" s="47" t="str">
        <f aca="false">IF(OR(M522="High",M522="Critical"),"YES","")</f>
        <v/>
      </c>
    </row>
    <row r="523" customFormat="false" ht="15" hidden="false" customHeight="true" outlineLevel="0" collapsed="false">
      <c r="A523" s="47" t="n">
        <f aca="false">'Fault &amp; Downtime Entry'!A524</f>
        <v>519</v>
      </c>
      <c r="B523" s="48" t="n">
        <f aca="false">'Fault &amp; Downtime Entry'!B524</f>
        <v>0</v>
      </c>
      <c r="C523" s="47" t="n">
        <f aca="false">'Fault &amp; Downtime Entry'!C524</f>
        <v>0</v>
      </c>
      <c r="D523" s="47" t="n">
        <f aca="false">'Fault &amp; Downtime Entry'!D524</f>
        <v>0</v>
      </c>
      <c r="E523" s="47" t="n">
        <f aca="false">'Fault &amp; Downtime Entry'!E524</f>
        <v>0</v>
      </c>
      <c r="F523" s="47" t="str">
        <f aca="false">'Fault &amp; Downtime Entry'!F524</f>
        <v/>
      </c>
      <c r="G523" s="47" t="n">
        <f aca="false">'Fault &amp; Downtime Entry'!G524</f>
        <v>0</v>
      </c>
      <c r="H523" s="47" t="str">
        <f aca="false">'Fault &amp; Downtime Entry'!H524</f>
        <v/>
      </c>
      <c r="I523" s="47" t="str">
        <f aca="false">'Fault &amp; Downtime Entry'!I524</f>
        <v/>
      </c>
      <c r="J523" s="47" t="n">
        <f aca="false">'Fault &amp; Downtime Entry'!J524</f>
        <v>0</v>
      </c>
      <c r="K523" s="47" t="n">
        <f aca="false">'Fault &amp; Downtime Entry'!K524</f>
        <v>0</v>
      </c>
      <c r="L523" s="47" t="n">
        <f aca="false">'Fault &amp; Downtime Entry'!L524</f>
        <v>0</v>
      </c>
      <c r="M523" s="47" t="str">
        <f aca="false">'Fault &amp; Downtime Entry'!M524</f>
        <v/>
      </c>
      <c r="N523" s="47" t="n">
        <f aca="false">'Fault &amp; Downtime Entry'!N524</f>
        <v>0</v>
      </c>
      <c r="O523" s="47" t="n">
        <f aca="false">'Fault &amp; Downtime Entry'!O524</f>
        <v>0</v>
      </c>
      <c r="P523" s="47" t="str">
        <f aca="false">IF(OR(J523="",K523=""),"",IFERROR(J523/K523*1000,0))</f>
        <v/>
      </c>
      <c r="Q523" s="47" t="str">
        <f aca="false">IF(OR(L523="",K523=""),"",IFERROR(L523/K523*1000,0))</f>
        <v/>
      </c>
      <c r="R523" s="47" t="str">
        <f aca="false">IF(OR(M523="High",M523="Critical"),"YES","")</f>
        <v/>
      </c>
    </row>
    <row r="524" customFormat="false" ht="15" hidden="false" customHeight="true" outlineLevel="0" collapsed="false">
      <c r="A524" s="47" t="n">
        <f aca="false">'Fault &amp; Downtime Entry'!A525</f>
        <v>520</v>
      </c>
      <c r="B524" s="48" t="n">
        <f aca="false">'Fault &amp; Downtime Entry'!B525</f>
        <v>0</v>
      </c>
      <c r="C524" s="47" t="n">
        <f aca="false">'Fault &amp; Downtime Entry'!C525</f>
        <v>0</v>
      </c>
      <c r="D524" s="47" t="n">
        <f aca="false">'Fault &amp; Downtime Entry'!D525</f>
        <v>0</v>
      </c>
      <c r="E524" s="47" t="n">
        <f aca="false">'Fault &amp; Downtime Entry'!E525</f>
        <v>0</v>
      </c>
      <c r="F524" s="47" t="str">
        <f aca="false">'Fault &amp; Downtime Entry'!F525</f>
        <v/>
      </c>
      <c r="G524" s="47" t="n">
        <f aca="false">'Fault &amp; Downtime Entry'!G525</f>
        <v>0</v>
      </c>
      <c r="H524" s="47" t="str">
        <f aca="false">'Fault &amp; Downtime Entry'!H525</f>
        <v/>
      </c>
      <c r="I524" s="47" t="str">
        <f aca="false">'Fault &amp; Downtime Entry'!I525</f>
        <v/>
      </c>
      <c r="J524" s="47" t="n">
        <f aca="false">'Fault &amp; Downtime Entry'!J525</f>
        <v>0</v>
      </c>
      <c r="K524" s="47" t="n">
        <f aca="false">'Fault &amp; Downtime Entry'!K525</f>
        <v>0</v>
      </c>
      <c r="L524" s="47" t="n">
        <f aca="false">'Fault &amp; Downtime Entry'!L525</f>
        <v>0</v>
      </c>
      <c r="M524" s="47" t="str">
        <f aca="false">'Fault &amp; Downtime Entry'!M525</f>
        <v/>
      </c>
      <c r="N524" s="47" t="n">
        <f aca="false">'Fault &amp; Downtime Entry'!N525</f>
        <v>0</v>
      </c>
      <c r="O524" s="47" t="n">
        <f aca="false">'Fault &amp; Downtime Entry'!O525</f>
        <v>0</v>
      </c>
      <c r="P524" s="47" t="str">
        <f aca="false">IF(OR(J524="",K524=""),"",IFERROR(J524/K524*1000,0))</f>
        <v/>
      </c>
      <c r="Q524" s="47" t="str">
        <f aca="false">IF(OR(L524="",K524=""),"",IFERROR(L524/K524*1000,0))</f>
        <v/>
      </c>
      <c r="R524" s="47" t="str">
        <f aca="false">IF(OR(M524="High",M524="Critical"),"YES","")</f>
        <v/>
      </c>
    </row>
    <row r="525" customFormat="false" ht="15" hidden="false" customHeight="true" outlineLevel="0" collapsed="false">
      <c r="A525" s="47" t="n">
        <f aca="false">'Fault &amp; Downtime Entry'!A526</f>
        <v>521</v>
      </c>
      <c r="B525" s="48" t="n">
        <f aca="false">'Fault &amp; Downtime Entry'!B526</f>
        <v>0</v>
      </c>
      <c r="C525" s="47" t="n">
        <f aca="false">'Fault &amp; Downtime Entry'!C526</f>
        <v>0</v>
      </c>
      <c r="D525" s="47" t="n">
        <f aca="false">'Fault &amp; Downtime Entry'!D526</f>
        <v>0</v>
      </c>
      <c r="E525" s="47" t="n">
        <f aca="false">'Fault &amp; Downtime Entry'!E526</f>
        <v>0</v>
      </c>
      <c r="F525" s="47" t="str">
        <f aca="false">'Fault &amp; Downtime Entry'!F526</f>
        <v/>
      </c>
      <c r="G525" s="47" t="n">
        <f aca="false">'Fault &amp; Downtime Entry'!G526</f>
        <v>0</v>
      </c>
      <c r="H525" s="47" t="str">
        <f aca="false">'Fault &amp; Downtime Entry'!H526</f>
        <v/>
      </c>
      <c r="I525" s="47" t="str">
        <f aca="false">'Fault &amp; Downtime Entry'!I526</f>
        <v/>
      </c>
      <c r="J525" s="47" t="n">
        <f aca="false">'Fault &amp; Downtime Entry'!J526</f>
        <v>0</v>
      </c>
      <c r="K525" s="47" t="n">
        <f aca="false">'Fault &amp; Downtime Entry'!K526</f>
        <v>0</v>
      </c>
      <c r="L525" s="47" t="n">
        <f aca="false">'Fault &amp; Downtime Entry'!L526</f>
        <v>0</v>
      </c>
      <c r="M525" s="47" t="str">
        <f aca="false">'Fault &amp; Downtime Entry'!M526</f>
        <v/>
      </c>
      <c r="N525" s="47" t="n">
        <f aca="false">'Fault &amp; Downtime Entry'!N526</f>
        <v>0</v>
      </c>
      <c r="O525" s="47" t="n">
        <f aca="false">'Fault &amp; Downtime Entry'!O526</f>
        <v>0</v>
      </c>
      <c r="P525" s="47" t="str">
        <f aca="false">IF(OR(J525="",K525=""),"",IFERROR(J525/K525*1000,0))</f>
        <v/>
      </c>
      <c r="Q525" s="47" t="str">
        <f aca="false">IF(OR(L525="",K525=""),"",IFERROR(L525/K525*1000,0))</f>
        <v/>
      </c>
      <c r="R525" s="47" t="str">
        <f aca="false">IF(OR(M525="High",M525="Critical"),"YES","")</f>
        <v/>
      </c>
    </row>
    <row r="526" customFormat="false" ht="15" hidden="false" customHeight="true" outlineLevel="0" collapsed="false">
      <c r="A526" s="47" t="n">
        <f aca="false">'Fault &amp; Downtime Entry'!A527</f>
        <v>522</v>
      </c>
      <c r="B526" s="48" t="n">
        <f aca="false">'Fault &amp; Downtime Entry'!B527</f>
        <v>0</v>
      </c>
      <c r="C526" s="47" t="n">
        <f aca="false">'Fault &amp; Downtime Entry'!C527</f>
        <v>0</v>
      </c>
      <c r="D526" s="47" t="n">
        <f aca="false">'Fault &amp; Downtime Entry'!D527</f>
        <v>0</v>
      </c>
      <c r="E526" s="47" t="n">
        <f aca="false">'Fault &amp; Downtime Entry'!E527</f>
        <v>0</v>
      </c>
      <c r="F526" s="47" t="str">
        <f aca="false">'Fault &amp; Downtime Entry'!F527</f>
        <v/>
      </c>
      <c r="G526" s="47" t="n">
        <f aca="false">'Fault &amp; Downtime Entry'!G527</f>
        <v>0</v>
      </c>
      <c r="H526" s="47" t="str">
        <f aca="false">'Fault &amp; Downtime Entry'!H527</f>
        <v/>
      </c>
      <c r="I526" s="47" t="str">
        <f aca="false">'Fault &amp; Downtime Entry'!I527</f>
        <v/>
      </c>
      <c r="J526" s="47" t="n">
        <f aca="false">'Fault &amp; Downtime Entry'!J527</f>
        <v>0</v>
      </c>
      <c r="K526" s="47" t="n">
        <f aca="false">'Fault &amp; Downtime Entry'!K527</f>
        <v>0</v>
      </c>
      <c r="L526" s="47" t="n">
        <f aca="false">'Fault &amp; Downtime Entry'!L527</f>
        <v>0</v>
      </c>
      <c r="M526" s="47" t="str">
        <f aca="false">'Fault &amp; Downtime Entry'!M527</f>
        <v/>
      </c>
      <c r="N526" s="47" t="n">
        <f aca="false">'Fault &amp; Downtime Entry'!N527</f>
        <v>0</v>
      </c>
      <c r="O526" s="47" t="n">
        <f aca="false">'Fault &amp; Downtime Entry'!O527</f>
        <v>0</v>
      </c>
      <c r="P526" s="47" t="str">
        <f aca="false">IF(OR(J526="",K526=""),"",IFERROR(J526/K526*1000,0))</f>
        <v/>
      </c>
      <c r="Q526" s="47" t="str">
        <f aca="false">IF(OR(L526="",K526=""),"",IFERROR(L526/K526*1000,0))</f>
        <v/>
      </c>
      <c r="R526" s="47" t="str">
        <f aca="false">IF(OR(M526="High",M526="Critical"),"YES","")</f>
        <v/>
      </c>
    </row>
    <row r="527" customFormat="false" ht="15" hidden="false" customHeight="true" outlineLevel="0" collapsed="false">
      <c r="A527" s="47" t="n">
        <f aca="false">'Fault &amp; Downtime Entry'!A528</f>
        <v>523</v>
      </c>
      <c r="B527" s="48" t="n">
        <f aca="false">'Fault &amp; Downtime Entry'!B528</f>
        <v>0</v>
      </c>
      <c r="C527" s="47" t="n">
        <f aca="false">'Fault &amp; Downtime Entry'!C528</f>
        <v>0</v>
      </c>
      <c r="D527" s="47" t="n">
        <f aca="false">'Fault &amp; Downtime Entry'!D528</f>
        <v>0</v>
      </c>
      <c r="E527" s="47" t="n">
        <f aca="false">'Fault &amp; Downtime Entry'!E528</f>
        <v>0</v>
      </c>
      <c r="F527" s="47" t="str">
        <f aca="false">'Fault &amp; Downtime Entry'!F528</f>
        <v/>
      </c>
      <c r="G527" s="47" t="n">
        <f aca="false">'Fault &amp; Downtime Entry'!G528</f>
        <v>0</v>
      </c>
      <c r="H527" s="47" t="str">
        <f aca="false">'Fault &amp; Downtime Entry'!H528</f>
        <v/>
      </c>
      <c r="I527" s="47" t="str">
        <f aca="false">'Fault &amp; Downtime Entry'!I528</f>
        <v/>
      </c>
      <c r="J527" s="47" t="n">
        <f aca="false">'Fault &amp; Downtime Entry'!J528</f>
        <v>0</v>
      </c>
      <c r="K527" s="47" t="n">
        <f aca="false">'Fault &amp; Downtime Entry'!K528</f>
        <v>0</v>
      </c>
      <c r="L527" s="47" t="n">
        <f aca="false">'Fault &amp; Downtime Entry'!L528</f>
        <v>0</v>
      </c>
      <c r="M527" s="47" t="str">
        <f aca="false">'Fault &amp; Downtime Entry'!M528</f>
        <v/>
      </c>
      <c r="N527" s="47" t="n">
        <f aca="false">'Fault &amp; Downtime Entry'!N528</f>
        <v>0</v>
      </c>
      <c r="O527" s="47" t="n">
        <f aca="false">'Fault &amp; Downtime Entry'!O528</f>
        <v>0</v>
      </c>
      <c r="P527" s="47" t="str">
        <f aca="false">IF(OR(J527="",K527=""),"",IFERROR(J527/K527*1000,0))</f>
        <v/>
      </c>
      <c r="Q527" s="47" t="str">
        <f aca="false">IF(OR(L527="",K527=""),"",IFERROR(L527/K527*1000,0))</f>
        <v/>
      </c>
      <c r="R527" s="47" t="str">
        <f aca="false">IF(OR(M527="High",M527="Critical"),"YES","")</f>
        <v/>
      </c>
    </row>
    <row r="528" customFormat="false" ht="15" hidden="false" customHeight="true" outlineLevel="0" collapsed="false">
      <c r="A528" s="47" t="n">
        <f aca="false">'Fault &amp; Downtime Entry'!A529</f>
        <v>524</v>
      </c>
      <c r="B528" s="48" t="n">
        <f aca="false">'Fault &amp; Downtime Entry'!B529</f>
        <v>0</v>
      </c>
      <c r="C528" s="47" t="n">
        <f aca="false">'Fault &amp; Downtime Entry'!C529</f>
        <v>0</v>
      </c>
      <c r="D528" s="47" t="n">
        <f aca="false">'Fault &amp; Downtime Entry'!D529</f>
        <v>0</v>
      </c>
      <c r="E528" s="47" t="n">
        <f aca="false">'Fault &amp; Downtime Entry'!E529</f>
        <v>0</v>
      </c>
      <c r="F528" s="47" t="str">
        <f aca="false">'Fault &amp; Downtime Entry'!F529</f>
        <v/>
      </c>
      <c r="G528" s="47" t="n">
        <f aca="false">'Fault &amp; Downtime Entry'!G529</f>
        <v>0</v>
      </c>
      <c r="H528" s="47" t="str">
        <f aca="false">'Fault &amp; Downtime Entry'!H529</f>
        <v/>
      </c>
      <c r="I528" s="47" t="str">
        <f aca="false">'Fault &amp; Downtime Entry'!I529</f>
        <v/>
      </c>
      <c r="J528" s="47" t="n">
        <f aca="false">'Fault &amp; Downtime Entry'!J529</f>
        <v>0</v>
      </c>
      <c r="K528" s="47" t="n">
        <f aca="false">'Fault &amp; Downtime Entry'!K529</f>
        <v>0</v>
      </c>
      <c r="L528" s="47" t="n">
        <f aca="false">'Fault &amp; Downtime Entry'!L529</f>
        <v>0</v>
      </c>
      <c r="M528" s="47" t="str">
        <f aca="false">'Fault &amp; Downtime Entry'!M529</f>
        <v/>
      </c>
      <c r="N528" s="47" t="n">
        <f aca="false">'Fault &amp; Downtime Entry'!N529</f>
        <v>0</v>
      </c>
      <c r="O528" s="47" t="n">
        <f aca="false">'Fault &amp; Downtime Entry'!O529</f>
        <v>0</v>
      </c>
      <c r="P528" s="47" t="str">
        <f aca="false">IF(OR(J528="",K528=""),"",IFERROR(J528/K528*1000,0))</f>
        <v/>
      </c>
      <c r="Q528" s="47" t="str">
        <f aca="false">IF(OR(L528="",K528=""),"",IFERROR(L528/K528*1000,0))</f>
        <v/>
      </c>
      <c r="R528" s="47" t="str">
        <f aca="false">IF(OR(M528="High",M528="Critical"),"YES","")</f>
        <v/>
      </c>
    </row>
    <row r="529" customFormat="false" ht="15" hidden="false" customHeight="true" outlineLevel="0" collapsed="false">
      <c r="A529" s="47" t="n">
        <f aca="false">'Fault &amp; Downtime Entry'!A530</f>
        <v>525</v>
      </c>
      <c r="B529" s="48" t="n">
        <f aca="false">'Fault &amp; Downtime Entry'!B530</f>
        <v>0</v>
      </c>
      <c r="C529" s="47" t="n">
        <f aca="false">'Fault &amp; Downtime Entry'!C530</f>
        <v>0</v>
      </c>
      <c r="D529" s="47" t="n">
        <f aca="false">'Fault &amp; Downtime Entry'!D530</f>
        <v>0</v>
      </c>
      <c r="E529" s="47" t="n">
        <f aca="false">'Fault &amp; Downtime Entry'!E530</f>
        <v>0</v>
      </c>
      <c r="F529" s="47" t="str">
        <f aca="false">'Fault &amp; Downtime Entry'!F530</f>
        <v/>
      </c>
      <c r="G529" s="47" t="n">
        <f aca="false">'Fault &amp; Downtime Entry'!G530</f>
        <v>0</v>
      </c>
      <c r="H529" s="47" t="str">
        <f aca="false">'Fault &amp; Downtime Entry'!H530</f>
        <v/>
      </c>
      <c r="I529" s="47" t="str">
        <f aca="false">'Fault &amp; Downtime Entry'!I530</f>
        <v/>
      </c>
      <c r="J529" s="47" t="n">
        <f aca="false">'Fault &amp; Downtime Entry'!J530</f>
        <v>0</v>
      </c>
      <c r="K529" s="47" t="n">
        <f aca="false">'Fault &amp; Downtime Entry'!K530</f>
        <v>0</v>
      </c>
      <c r="L529" s="47" t="n">
        <f aca="false">'Fault &amp; Downtime Entry'!L530</f>
        <v>0</v>
      </c>
      <c r="M529" s="47" t="str">
        <f aca="false">'Fault &amp; Downtime Entry'!M530</f>
        <v/>
      </c>
      <c r="N529" s="47" t="n">
        <f aca="false">'Fault &amp; Downtime Entry'!N530</f>
        <v>0</v>
      </c>
      <c r="O529" s="47" t="n">
        <f aca="false">'Fault &amp; Downtime Entry'!O530</f>
        <v>0</v>
      </c>
      <c r="P529" s="47" t="str">
        <f aca="false">IF(OR(J529="",K529=""),"",IFERROR(J529/K529*1000,0))</f>
        <v/>
      </c>
      <c r="Q529" s="47" t="str">
        <f aca="false">IF(OR(L529="",K529=""),"",IFERROR(L529/K529*1000,0))</f>
        <v/>
      </c>
      <c r="R529" s="47" t="str">
        <f aca="false">IF(OR(M529="High",M529="Critical"),"YES","")</f>
        <v/>
      </c>
    </row>
    <row r="530" customFormat="false" ht="15" hidden="false" customHeight="true" outlineLevel="0" collapsed="false">
      <c r="A530" s="47" t="n">
        <f aca="false">'Fault &amp; Downtime Entry'!A531</f>
        <v>526</v>
      </c>
      <c r="B530" s="48" t="n">
        <f aca="false">'Fault &amp; Downtime Entry'!B531</f>
        <v>0</v>
      </c>
      <c r="C530" s="47" t="n">
        <f aca="false">'Fault &amp; Downtime Entry'!C531</f>
        <v>0</v>
      </c>
      <c r="D530" s="47" t="n">
        <f aca="false">'Fault &amp; Downtime Entry'!D531</f>
        <v>0</v>
      </c>
      <c r="E530" s="47" t="n">
        <f aca="false">'Fault &amp; Downtime Entry'!E531</f>
        <v>0</v>
      </c>
      <c r="F530" s="47" t="str">
        <f aca="false">'Fault &amp; Downtime Entry'!F531</f>
        <v/>
      </c>
      <c r="G530" s="47" t="n">
        <f aca="false">'Fault &amp; Downtime Entry'!G531</f>
        <v>0</v>
      </c>
      <c r="H530" s="47" t="str">
        <f aca="false">'Fault &amp; Downtime Entry'!H531</f>
        <v/>
      </c>
      <c r="I530" s="47" t="str">
        <f aca="false">'Fault &amp; Downtime Entry'!I531</f>
        <v/>
      </c>
      <c r="J530" s="47" t="n">
        <f aca="false">'Fault &amp; Downtime Entry'!J531</f>
        <v>0</v>
      </c>
      <c r="K530" s="47" t="n">
        <f aca="false">'Fault &amp; Downtime Entry'!K531</f>
        <v>0</v>
      </c>
      <c r="L530" s="47" t="n">
        <f aca="false">'Fault &amp; Downtime Entry'!L531</f>
        <v>0</v>
      </c>
      <c r="M530" s="47" t="str">
        <f aca="false">'Fault &amp; Downtime Entry'!M531</f>
        <v/>
      </c>
      <c r="N530" s="47" t="n">
        <f aca="false">'Fault &amp; Downtime Entry'!N531</f>
        <v>0</v>
      </c>
      <c r="O530" s="47" t="n">
        <f aca="false">'Fault &amp; Downtime Entry'!O531</f>
        <v>0</v>
      </c>
      <c r="P530" s="47" t="str">
        <f aca="false">IF(OR(J530="",K530=""),"",IFERROR(J530/K530*1000,0))</f>
        <v/>
      </c>
      <c r="Q530" s="47" t="str">
        <f aca="false">IF(OR(L530="",K530=""),"",IFERROR(L530/K530*1000,0))</f>
        <v/>
      </c>
      <c r="R530" s="47" t="str">
        <f aca="false">IF(OR(M530="High",M530="Critical"),"YES","")</f>
        <v/>
      </c>
    </row>
    <row r="531" customFormat="false" ht="15" hidden="false" customHeight="true" outlineLevel="0" collapsed="false">
      <c r="A531" s="47" t="n">
        <f aca="false">'Fault &amp; Downtime Entry'!A532</f>
        <v>527</v>
      </c>
      <c r="B531" s="48" t="n">
        <f aca="false">'Fault &amp; Downtime Entry'!B532</f>
        <v>0</v>
      </c>
      <c r="C531" s="47" t="n">
        <f aca="false">'Fault &amp; Downtime Entry'!C532</f>
        <v>0</v>
      </c>
      <c r="D531" s="47" t="n">
        <f aca="false">'Fault &amp; Downtime Entry'!D532</f>
        <v>0</v>
      </c>
      <c r="E531" s="47" t="n">
        <f aca="false">'Fault &amp; Downtime Entry'!E532</f>
        <v>0</v>
      </c>
      <c r="F531" s="47" t="str">
        <f aca="false">'Fault &amp; Downtime Entry'!F532</f>
        <v/>
      </c>
      <c r="G531" s="47" t="n">
        <f aca="false">'Fault &amp; Downtime Entry'!G532</f>
        <v>0</v>
      </c>
      <c r="H531" s="47" t="str">
        <f aca="false">'Fault &amp; Downtime Entry'!H532</f>
        <v/>
      </c>
      <c r="I531" s="47" t="str">
        <f aca="false">'Fault &amp; Downtime Entry'!I532</f>
        <v/>
      </c>
      <c r="J531" s="47" t="n">
        <f aca="false">'Fault &amp; Downtime Entry'!J532</f>
        <v>0</v>
      </c>
      <c r="K531" s="47" t="n">
        <f aca="false">'Fault &amp; Downtime Entry'!K532</f>
        <v>0</v>
      </c>
      <c r="L531" s="47" t="n">
        <f aca="false">'Fault &amp; Downtime Entry'!L532</f>
        <v>0</v>
      </c>
      <c r="M531" s="47" t="str">
        <f aca="false">'Fault &amp; Downtime Entry'!M532</f>
        <v/>
      </c>
      <c r="N531" s="47" t="n">
        <f aca="false">'Fault &amp; Downtime Entry'!N532</f>
        <v>0</v>
      </c>
      <c r="O531" s="47" t="n">
        <f aca="false">'Fault &amp; Downtime Entry'!O532</f>
        <v>0</v>
      </c>
      <c r="P531" s="47" t="str">
        <f aca="false">IF(OR(J531="",K531=""),"",IFERROR(J531/K531*1000,0))</f>
        <v/>
      </c>
      <c r="Q531" s="47" t="str">
        <f aca="false">IF(OR(L531="",K531=""),"",IFERROR(L531/K531*1000,0))</f>
        <v/>
      </c>
      <c r="R531" s="47" t="str">
        <f aca="false">IF(OR(M531="High",M531="Critical"),"YES","")</f>
        <v/>
      </c>
    </row>
    <row r="532" customFormat="false" ht="15" hidden="false" customHeight="true" outlineLevel="0" collapsed="false">
      <c r="A532" s="47" t="n">
        <f aca="false">'Fault &amp; Downtime Entry'!A533</f>
        <v>528</v>
      </c>
      <c r="B532" s="48" t="n">
        <f aca="false">'Fault &amp; Downtime Entry'!B533</f>
        <v>0</v>
      </c>
      <c r="C532" s="47" t="n">
        <f aca="false">'Fault &amp; Downtime Entry'!C533</f>
        <v>0</v>
      </c>
      <c r="D532" s="47" t="n">
        <f aca="false">'Fault &amp; Downtime Entry'!D533</f>
        <v>0</v>
      </c>
      <c r="E532" s="47" t="n">
        <f aca="false">'Fault &amp; Downtime Entry'!E533</f>
        <v>0</v>
      </c>
      <c r="F532" s="47" t="str">
        <f aca="false">'Fault &amp; Downtime Entry'!F533</f>
        <v/>
      </c>
      <c r="G532" s="47" t="n">
        <f aca="false">'Fault &amp; Downtime Entry'!G533</f>
        <v>0</v>
      </c>
      <c r="H532" s="47" t="str">
        <f aca="false">'Fault &amp; Downtime Entry'!H533</f>
        <v/>
      </c>
      <c r="I532" s="47" t="str">
        <f aca="false">'Fault &amp; Downtime Entry'!I533</f>
        <v/>
      </c>
      <c r="J532" s="47" t="n">
        <f aca="false">'Fault &amp; Downtime Entry'!J533</f>
        <v>0</v>
      </c>
      <c r="K532" s="47" t="n">
        <f aca="false">'Fault &amp; Downtime Entry'!K533</f>
        <v>0</v>
      </c>
      <c r="L532" s="47" t="n">
        <f aca="false">'Fault &amp; Downtime Entry'!L533</f>
        <v>0</v>
      </c>
      <c r="M532" s="47" t="str">
        <f aca="false">'Fault &amp; Downtime Entry'!M533</f>
        <v/>
      </c>
      <c r="N532" s="47" t="n">
        <f aca="false">'Fault &amp; Downtime Entry'!N533</f>
        <v>0</v>
      </c>
      <c r="O532" s="47" t="n">
        <f aca="false">'Fault &amp; Downtime Entry'!O533</f>
        <v>0</v>
      </c>
      <c r="P532" s="47" t="str">
        <f aca="false">IF(OR(J532="",K532=""),"",IFERROR(J532/K532*1000,0))</f>
        <v/>
      </c>
      <c r="Q532" s="47" t="str">
        <f aca="false">IF(OR(L532="",K532=""),"",IFERROR(L532/K532*1000,0))</f>
        <v/>
      </c>
      <c r="R532" s="47" t="str">
        <f aca="false">IF(OR(M532="High",M532="Critical"),"YES","")</f>
        <v/>
      </c>
    </row>
    <row r="533" customFormat="false" ht="15" hidden="false" customHeight="true" outlineLevel="0" collapsed="false">
      <c r="A533" s="47" t="n">
        <f aca="false">'Fault &amp; Downtime Entry'!A534</f>
        <v>529</v>
      </c>
      <c r="B533" s="48" t="n">
        <f aca="false">'Fault &amp; Downtime Entry'!B534</f>
        <v>0</v>
      </c>
      <c r="C533" s="47" t="n">
        <f aca="false">'Fault &amp; Downtime Entry'!C534</f>
        <v>0</v>
      </c>
      <c r="D533" s="47" t="n">
        <f aca="false">'Fault &amp; Downtime Entry'!D534</f>
        <v>0</v>
      </c>
      <c r="E533" s="47" t="n">
        <f aca="false">'Fault &amp; Downtime Entry'!E534</f>
        <v>0</v>
      </c>
      <c r="F533" s="47" t="str">
        <f aca="false">'Fault &amp; Downtime Entry'!F534</f>
        <v/>
      </c>
      <c r="G533" s="47" t="n">
        <f aca="false">'Fault &amp; Downtime Entry'!G534</f>
        <v>0</v>
      </c>
      <c r="H533" s="47" t="str">
        <f aca="false">'Fault &amp; Downtime Entry'!H534</f>
        <v/>
      </c>
      <c r="I533" s="47" t="str">
        <f aca="false">'Fault &amp; Downtime Entry'!I534</f>
        <v/>
      </c>
      <c r="J533" s="47" t="n">
        <f aca="false">'Fault &amp; Downtime Entry'!J534</f>
        <v>0</v>
      </c>
      <c r="K533" s="47" t="n">
        <f aca="false">'Fault &amp; Downtime Entry'!K534</f>
        <v>0</v>
      </c>
      <c r="L533" s="47" t="n">
        <f aca="false">'Fault &amp; Downtime Entry'!L534</f>
        <v>0</v>
      </c>
      <c r="M533" s="47" t="str">
        <f aca="false">'Fault &amp; Downtime Entry'!M534</f>
        <v/>
      </c>
      <c r="N533" s="47" t="n">
        <f aca="false">'Fault &amp; Downtime Entry'!N534</f>
        <v>0</v>
      </c>
      <c r="O533" s="47" t="n">
        <f aca="false">'Fault &amp; Downtime Entry'!O534</f>
        <v>0</v>
      </c>
      <c r="P533" s="47" t="str">
        <f aca="false">IF(OR(J533="",K533=""),"",IFERROR(J533/K533*1000,0))</f>
        <v/>
      </c>
      <c r="Q533" s="47" t="str">
        <f aca="false">IF(OR(L533="",K533=""),"",IFERROR(L533/K533*1000,0))</f>
        <v/>
      </c>
      <c r="R533" s="47" t="str">
        <f aca="false">IF(OR(M533="High",M533="Critical"),"YES","")</f>
        <v/>
      </c>
    </row>
    <row r="534" customFormat="false" ht="15" hidden="false" customHeight="true" outlineLevel="0" collapsed="false">
      <c r="A534" s="47" t="n">
        <f aca="false">'Fault &amp; Downtime Entry'!A535</f>
        <v>530</v>
      </c>
      <c r="B534" s="48" t="n">
        <f aca="false">'Fault &amp; Downtime Entry'!B535</f>
        <v>0</v>
      </c>
      <c r="C534" s="47" t="n">
        <f aca="false">'Fault &amp; Downtime Entry'!C535</f>
        <v>0</v>
      </c>
      <c r="D534" s="47" t="n">
        <f aca="false">'Fault &amp; Downtime Entry'!D535</f>
        <v>0</v>
      </c>
      <c r="E534" s="47" t="n">
        <f aca="false">'Fault &amp; Downtime Entry'!E535</f>
        <v>0</v>
      </c>
      <c r="F534" s="47" t="str">
        <f aca="false">'Fault &amp; Downtime Entry'!F535</f>
        <v/>
      </c>
      <c r="G534" s="47" t="n">
        <f aca="false">'Fault &amp; Downtime Entry'!G535</f>
        <v>0</v>
      </c>
      <c r="H534" s="47" t="str">
        <f aca="false">'Fault &amp; Downtime Entry'!H535</f>
        <v/>
      </c>
      <c r="I534" s="47" t="str">
        <f aca="false">'Fault &amp; Downtime Entry'!I535</f>
        <v/>
      </c>
      <c r="J534" s="47" t="n">
        <f aca="false">'Fault &amp; Downtime Entry'!J535</f>
        <v>0</v>
      </c>
      <c r="K534" s="47" t="n">
        <f aca="false">'Fault &amp; Downtime Entry'!K535</f>
        <v>0</v>
      </c>
      <c r="L534" s="47" t="n">
        <f aca="false">'Fault &amp; Downtime Entry'!L535</f>
        <v>0</v>
      </c>
      <c r="M534" s="47" t="str">
        <f aca="false">'Fault &amp; Downtime Entry'!M535</f>
        <v/>
      </c>
      <c r="N534" s="47" t="n">
        <f aca="false">'Fault &amp; Downtime Entry'!N535</f>
        <v>0</v>
      </c>
      <c r="O534" s="47" t="n">
        <f aca="false">'Fault &amp; Downtime Entry'!O535</f>
        <v>0</v>
      </c>
      <c r="P534" s="47" t="str">
        <f aca="false">IF(OR(J534="",K534=""),"",IFERROR(J534/K534*1000,0))</f>
        <v/>
      </c>
      <c r="Q534" s="47" t="str">
        <f aca="false">IF(OR(L534="",K534=""),"",IFERROR(L534/K534*1000,0))</f>
        <v/>
      </c>
      <c r="R534" s="47" t="str">
        <f aca="false">IF(OR(M534="High",M534="Critical"),"YES","")</f>
        <v/>
      </c>
    </row>
    <row r="535" customFormat="false" ht="15" hidden="false" customHeight="true" outlineLevel="0" collapsed="false">
      <c r="A535" s="47" t="n">
        <f aca="false">'Fault &amp; Downtime Entry'!A536</f>
        <v>531</v>
      </c>
      <c r="B535" s="48" t="n">
        <f aca="false">'Fault &amp; Downtime Entry'!B536</f>
        <v>0</v>
      </c>
      <c r="C535" s="47" t="n">
        <f aca="false">'Fault &amp; Downtime Entry'!C536</f>
        <v>0</v>
      </c>
      <c r="D535" s="47" t="n">
        <f aca="false">'Fault &amp; Downtime Entry'!D536</f>
        <v>0</v>
      </c>
      <c r="E535" s="47" t="n">
        <f aca="false">'Fault &amp; Downtime Entry'!E536</f>
        <v>0</v>
      </c>
      <c r="F535" s="47" t="str">
        <f aca="false">'Fault &amp; Downtime Entry'!F536</f>
        <v/>
      </c>
      <c r="G535" s="47" t="n">
        <f aca="false">'Fault &amp; Downtime Entry'!G536</f>
        <v>0</v>
      </c>
      <c r="H535" s="47" t="str">
        <f aca="false">'Fault &amp; Downtime Entry'!H536</f>
        <v/>
      </c>
      <c r="I535" s="47" t="str">
        <f aca="false">'Fault &amp; Downtime Entry'!I536</f>
        <v/>
      </c>
      <c r="J535" s="47" t="n">
        <f aca="false">'Fault &amp; Downtime Entry'!J536</f>
        <v>0</v>
      </c>
      <c r="K535" s="47" t="n">
        <f aca="false">'Fault &amp; Downtime Entry'!K536</f>
        <v>0</v>
      </c>
      <c r="L535" s="47" t="n">
        <f aca="false">'Fault &amp; Downtime Entry'!L536</f>
        <v>0</v>
      </c>
      <c r="M535" s="47" t="str">
        <f aca="false">'Fault &amp; Downtime Entry'!M536</f>
        <v/>
      </c>
      <c r="N535" s="47" t="n">
        <f aca="false">'Fault &amp; Downtime Entry'!N536</f>
        <v>0</v>
      </c>
      <c r="O535" s="47" t="n">
        <f aca="false">'Fault &amp; Downtime Entry'!O536</f>
        <v>0</v>
      </c>
      <c r="P535" s="47" t="str">
        <f aca="false">IF(OR(J535="",K535=""),"",IFERROR(J535/K535*1000,0))</f>
        <v/>
      </c>
      <c r="Q535" s="47" t="str">
        <f aca="false">IF(OR(L535="",K535=""),"",IFERROR(L535/K535*1000,0))</f>
        <v/>
      </c>
      <c r="R535" s="47" t="str">
        <f aca="false">IF(OR(M535="High",M535="Critical"),"YES","")</f>
        <v/>
      </c>
    </row>
    <row r="536" customFormat="false" ht="15" hidden="false" customHeight="true" outlineLevel="0" collapsed="false">
      <c r="A536" s="47" t="n">
        <f aca="false">'Fault &amp; Downtime Entry'!A537</f>
        <v>532</v>
      </c>
      <c r="B536" s="48" t="n">
        <f aca="false">'Fault &amp; Downtime Entry'!B537</f>
        <v>0</v>
      </c>
      <c r="C536" s="47" t="n">
        <f aca="false">'Fault &amp; Downtime Entry'!C537</f>
        <v>0</v>
      </c>
      <c r="D536" s="47" t="n">
        <f aca="false">'Fault &amp; Downtime Entry'!D537</f>
        <v>0</v>
      </c>
      <c r="E536" s="47" t="n">
        <f aca="false">'Fault &amp; Downtime Entry'!E537</f>
        <v>0</v>
      </c>
      <c r="F536" s="47" t="str">
        <f aca="false">'Fault &amp; Downtime Entry'!F537</f>
        <v/>
      </c>
      <c r="G536" s="47" t="n">
        <f aca="false">'Fault &amp; Downtime Entry'!G537</f>
        <v>0</v>
      </c>
      <c r="H536" s="47" t="str">
        <f aca="false">'Fault &amp; Downtime Entry'!H537</f>
        <v/>
      </c>
      <c r="I536" s="47" t="str">
        <f aca="false">'Fault &amp; Downtime Entry'!I537</f>
        <v/>
      </c>
      <c r="J536" s="47" t="n">
        <f aca="false">'Fault &amp; Downtime Entry'!J537</f>
        <v>0</v>
      </c>
      <c r="K536" s="47" t="n">
        <f aca="false">'Fault &amp; Downtime Entry'!K537</f>
        <v>0</v>
      </c>
      <c r="L536" s="47" t="n">
        <f aca="false">'Fault &amp; Downtime Entry'!L537</f>
        <v>0</v>
      </c>
      <c r="M536" s="47" t="str">
        <f aca="false">'Fault &amp; Downtime Entry'!M537</f>
        <v/>
      </c>
      <c r="N536" s="47" t="n">
        <f aca="false">'Fault &amp; Downtime Entry'!N537</f>
        <v>0</v>
      </c>
      <c r="O536" s="47" t="n">
        <f aca="false">'Fault &amp; Downtime Entry'!O537</f>
        <v>0</v>
      </c>
      <c r="P536" s="47" t="str">
        <f aca="false">IF(OR(J536="",K536=""),"",IFERROR(J536/K536*1000,0))</f>
        <v/>
      </c>
      <c r="Q536" s="47" t="str">
        <f aca="false">IF(OR(L536="",K536=""),"",IFERROR(L536/K536*1000,0))</f>
        <v/>
      </c>
      <c r="R536" s="47" t="str">
        <f aca="false">IF(OR(M536="High",M536="Critical"),"YES","")</f>
        <v/>
      </c>
    </row>
    <row r="537" customFormat="false" ht="15" hidden="false" customHeight="true" outlineLevel="0" collapsed="false">
      <c r="A537" s="47" t="n">
        <f aca="false">'Fault &amp; Downtime Entry'!A538</f>
        <v>533</v>
      </c>
      <c r="B537" s="48" t="n">
        <f aca="false">'Fault &amp; Downtime Entry'!B538</f>
        <v>0</v>
      </c>
      <c r="C537" s="47" t="n">
        <f aca="false">'Fault &amp; Downtime Entry'!C538</f>
        <v>0</v>
      </c>
      <c r="D537" s="47" t="n">
        <f aca="false">'Fault &amp; Downtime Entry'!D538</f>
        <v>0</v>
      </c>
      <c r="E537" s="47" t="n">
        <f aca="false">'Fault &amp; Downtime Entry'!E538</f>
        <v>0</v>
      </c>
      <c r="F537" s="47" t="str">
        <f aca="false">'Fault &amp; Downtime Entry'!F538</f>
        <v/>
      </c>
      <c r="G537" s="47" t="n">
        <f aca="false">'Fault &amp; Downtime Entry'!G538</f>
        <v>0</v>
      </c>
      <c r="H537" s="47" t="str">
        <f aca="false">'Fault &amp; Downtime Entry'!H538</f>
        <v/>
      </c>
      <c r="I537" s="47" t="str">
        <f aca="false">'Fault &amp; Downtime Entry'!I538</f>
        <v/>
      </c>
      <c r="J537" s="47" t="n">
        <f aca="false">'Fault &amp; Downtime Entry'!J538</f>
        <v>0</v>
      </c>
      <c r="K537" s="47" t="n">
        <f aca="false">'Fault &amp; Downtime Entry'!K538</f>
        <v>0</v>
      </c>
      <c r="L537" s="47" t="n">
        <f aca="false">'Fault &amp; Downtime Entry'!L538</f>
        <v>0</v>
      </c>
      <c r="M537" s="47" t="str">
        <f aca="false">'Fault &amp; Downtime Entry'!M538</f>
        <v/>
      </c>
      <c r="N537" s="47" t="n">
        <f aca="false">'Fault &amp; Downtime Entry'!N538</f>
        <v>0</v>
      </c>
      <c r="O537" s="47" t="n">
        <f aca="false">'Fault &amp; Downtime Entry'!O538</f>
        <v>0</v>
      </c>
      <c r="P537" s="47" t="str">
        <f aca="false">IF(OR(J537="",K537=""),"",IFERROR(J537/K537*1000,0))</f>
        <v/>
      </c>
      <c r="Q537" s="47" t="str">
        <f aca="false">IF(OR(L537="",K537=""),"",IFERROR(L537/K537*1000,0))</f>
        <v/>
      </c>
      <c r="R537" s="47" t="str">
        <f aca="false">IF(OR(M537="High",M537="Critical"),"YES","")</f>
        <v/>
      </c>
    </row>
    <row r="538" customFormat="false" ht="15" hidden="false" customHeight="true" outlineLevel="0" collapsed="false">
      <c r="A538" s="47" t="n">
        <f aca="false">'Fault &amp; Downtime Entry'!A539</f>
        <v>534</v>
      </c>
      <c r="B538" s="48" t="n">
        <f aca="false">'Fault &amp; Downtime Entry'!B539</f>
        <v>0</v>
      </c>
      <c r="C538" s="47" t="n">
        <f aca="false">'Fault &amp; Downtime Entry'!C539</f>
        <v>0</v>
      </c>
      <c r="D538" s="47" t="n">
        <f aca="false">'Fault &amp; Downtime Entry'!D539</f>
        <v>0</v>
      </c>
      <c r="E538" s="47" t="n">
        <f aca="false">'Fault &amp; Downtime Entry'!E539</f>
        <v>0</v>
      </c>
      <c r="F538" s="47" t="str">
        <f aca="false">'Fault &amp; Downtime Entry'!F539</f>
        <v/>
      </c>
      <c r="G538" s="47" t="n">
        <f aca="false">'Fault &amp; Downtime Entry'!G539</f>
        <v>0</v>
      </c>
      <c r="H538" s="47" t="str">
        <f aca="false">'Fault &amp; Downtime Entry'!H539</f>
        <v/>
      </c>
      <c r="I538" s="47" t="str">
        <f aca="false">'Fault &amp; Downtime Entry'!I539</f>
        <v/>
      </c>
      <c r="J538" s="47" t="n">
        <f aca="false">'Fault &amp; Downtime Entry'!J539</f>
        <v>0</v>
      </c>
      <c r="K538" s="47" t="n">
        <f aca="false">'Fault &amp; Downtime Entry'!K539</f>
        <v>0</v>
      </c>
      <c r="L538" s="47" t="n">
        <f aca="false">'Fault &amp; Downtime Entry'!L539</f>
        <v>0</v>
      </c>
      <c r="M538" s="47" t="str">
        <f aca="false">'Fault &amp; Downtime Entry'!M539</f>
        <v/>
      </c>
      <c r="N538" s="47" t="n">
        <f aca="false">'Fault &amp; Downtime Entry'!N539</f>
        <v>0</v>
      </c>
      <c r="O538" s="47" t="n">
        <f aca="false">'Fault &amp; Downtime Entry'!O539</f>
        <v>0</v>
      </c>
      <c r="P538" s="47" t="str">
        <f aca="false">IF(OR(J538="",K538=""),"",IFERROR(J538/K538*1000,0))</f>
        <v/>
      </c>
      <c r="Q538" s="47" t="str">
        <f aca="false">IF(OR(L538="",K538=""),"",IFERROR(L538/K538*1000,0))</f>
        <v/>
      </c>
      <c r="R538" s="47" t="str">
        <f aca="false">IF(OR(M538="High",M538="Critical"),"YES","")</f>
        <v/>
      </c>
    </row>
    <row r="539" customFormat="false" ht="15" hidden="false" customHeight="true" outlineLevel="0" collapsed="false">
      <c r="A539" s="47" t="n">
        <f aca="false">'Fault &amp; Downtime Entry'!A540</f>
        <v>535</v>
      </c>
      <c r="B539" s="48" t="n">
        <f aca="false">'Fault &amp; Downtime Entry'!B540</f>
        <v>0</v>
      </c>
      <c r="C539" s="47" t="n">
        <f aca="false">'Fault &amp; Downtime Entry'!C540</f>
        <v>0</v>
      </c>
      <c r="D539" s="47" t="n">
        <f aca="false">'Fault &amp; Downtime Entry'!D540</f>
        <v>0</v>
      </c>
      <c r="E539" s="47" t="n">
        <f aca="false">'Fault &amp; Downtime Entry'!E540</f>
        <v>0</v>
      </c>
      <c r="F539" s="47" t="str">
        <f aca="false">'Fault &amp; Downtime Entry'!F540</f>
        <v/>
      </c>
      <c r="G539" s="47" t="n">
        <f aca="false">'Fault &amp; Downtime Entry'!G540</f>
        <v>0</v>
      </c>
      <c r="H539" s="47" t="str">
        <f aca="false">'Fault &amp; Downtime Entry'!H540</f>
        <v/>
      </c>
      <c r="I539" s="47" t="str">
        <f aca="false">'Fault &amp; Downtime Entry'!I540</f>
        <v/>
      </c>
      <c r="J539" s="47" t="n">
        <f aca="false">'Fault &amp; Downtime Entry'!J540</f>
        <v>0</v>
      </c>
      <c r="K539" s="47" t="n">
        <f aca="false">'Fault &amp; Downtime Entry'!K540</f>
        <v>0</v>
      </c>
      <c r="L539" s="47" t="n">
        <f aca="false">'Fault &amp; Downtime Entry'!L540</f>
        <v>0</v>
      </c>
      <c r="M539" s="47" t="str">
        <f aca="false">'Fault &amp; Downtime Entry'!M540</f>
        <v/>
      </c>
      <c r="N539" s="47" t="n">
        <f aca="false">'Fault &amp; Downtime Entry'!N540</f>
        <v>0</v>
      </c>
      <c r="O539" s="47" t="n">
        <f aca="false">'Fault &amp; Downtime Entry'!O540</f>
        <v>0</v>
      </c>
      <c r="P539" s="47" t="str">
        <f aca="false">IF(OR(J539="",K539=""),"",IFERROR(J539/K539*1000,0))</f>
        <v/>
      </c>
      <c r="Q539" s="47" t="str">
        <f aca="false">IF(OR(L539="",K539=""),"",IFERROR(L539/K539*1000,0))</f>
        <v/>
      </c>
      <c r="R539" s="47" t="str">
        <f aca="false">IF(OR(M539="High",M539="Critical"),"YES","")</f>
        <v/>
      </c>
    </row>
    <row r="540" customFormat="false" ht="15" hidden="false" customHeight="true" outlineLevel="0" collapsed="false">
      <c r="A540" s="47" t="n">
        <f aca="false">'Fault &amp; Downtime Entry'!A541</f>
        <v>536</v>
      </c>
      <c r="B540" s="48" t="n">
        <f aca="false">'Fault &amp; Downtime Entry'!B541</f>
        <v>0</v>
      </c>
      <c r="C540" s="47" t="n">
        <f aca="false">'Fault &amp; Downtime Entry'!C541</f>
        <v>0</v>
      </c>
      <c r="D540" s="47" t="n">
        <f aca="false">'Fault &amp; Downtime Entry'!D541</f>
        <v>0</v>
      </c>
      <c r="E540" s="47" t="n">
        <f aca="false">'Fault &amp; Downtime Entry'!E541</f>
        <v>0</v>
      </c>
      <c r="F540" s="47" t="str">
        <f aca="false">'Fault &amp; Downtime Entry'!F541</f>
        <v/>
      </c>
      <c r="G540" s="47" t="n">
        <f aca="false">'Fault &amp; Downtime Entry'!G541</f>
        <v>0</v>
      </c>
      <c r="H540" s="47" t="str">
        <f aca="false">'Fault &amp; Downtime Entry'!H541</f>
        <v/>
      </c>
      <c r="I540" s="47" t="str">
        <f aca="false">'Fault &amp; Downtime Entry'!I541</f>
        <v/>
      </c>
      <c r="J540" s="47" t="n">
        <f aca="false">'Fault &amp; Downtime Entry'!J541</f>
        <v>0</v>
      </c>
      <c r="K540" s="47" t="n">
        <f aca="false">'Fault &amp; Downtime Entry'!K541</f>
        <v>0</v>
      </c>
      <c r="L540" s="47" t="n">
        <f aca="false">'Fault &amp; Downtime Entry'!L541</f>
        <v>0</v>
      </c>
      <c r="M540" s="47" t="str">
        <f aca="false">'Fault &amp; Downtime Entry'!M541</f>
        <v/>
      </c>
      <c r="N540" s="47" t="n">
        <f aca="false">'Fault &amp; Downtime Entry'!N541</f>
        <v>0</v>
      </c>
      <c r="O540" s="47" t="n">
        <f aca="false">'Fault &amp; Downtime Entry'!O541</f>
        <v>0</v>
      </c>
      <c r="P540" s="47" t="str">
        <f aca="false">IF(OR(J540="",K540=""),"",IFERROR(J540/K540*1000,0))</f>
        <v/>
      </c>
      <c r="Q540" s="47" t="str">
        <f aca="false">IF(OR(L540="",K540=""),"",IFERROR(L540/K540*1000,0))</f>
        <v/>
      </c>
      <c r="R540" s="47" t="str">
        <f aca="false">IF(OR(M540="High",M540="Critical"),"YES","")</f>
        <v/>
      </c>
    </row>
    <row r="541" customFormat="false" ht="15" hidden="false" customHeight="true" outlineLevel="0" collapsed="false">
      <c r="A541" s="47" t="n">
        <f aca="false">'Fault &amp; Downtime Entry'!A542</f>
        <v>537</v>
      </c>
      <c r="B541" s="48" t="n">
        <f aca="false">'Fault &amp; Downtime Entry'!B542</f>
        <v>0</v>
      </c>
      <c r="C541" s="47" t="n">
        <f aca="false">'Fault &amp; Downtime Entry'!C542</f>
        <v>0</v>
      </c>
      <c r="D541" s="47" t="n">
        <f aca="false">'Fault &amp; Downtime Entry'!D542</f>
        <v>0</v>
      </c>
      <c r="E541" s="47" t="n">
        <f aca="false">'Fault &amp; Downtime Entry'!E542</f>
        <v>0</v>
      </c>
      <c r="F541" s="47" t="str">
        <f aca="false">'Fault &amp; Downtime Entry'!F542</f>
        <v/>
      </c>
      <c r="G541" s="47" t="n">
        <f aca="false">'Fault &amp; Downtime Entry'!G542</f>
        <v>0</v>
      </c>
      <c r="H541" s="47" t="str">
        <f aca="false">'Fault &amp; Downtime Entry'!H542</f>
        <v/>
      </c>
      <c r="I541" s="47" t="str">
        <f aca="false">'Fault &amp; Downtime Entry'!I542</f>
        <v/>
      </c>
      <c r="J541" s="47" t="n">
        <f aca="false">'Fault &amp; Downtime Entry'!J542</f>
        <v>0</v>
      </c>
      <c r="K541" s="47" t="n">
        <f aca="false">'Fault &amp; Downtime Entry'!K542</f>
        <v>0</v>
      </c>
      <c r="L541" s="47" t="n">
        <f aca="false">'Fault &amp; Downtime Entry'!L542</f>
        <v>0</v>
      </c>
      <c r="M541" s="47" t="str">
        <f aca="false">'Fault &amp; Downtime Entry'!M542</f>
        <v/>
      </c>
      <c r="N541" s="47" t="n">
        <f aca="false">'Fault &amp; Downtime Entry'!N542</f>
        <v>0</v>
      </c>
      <c r="O541" s="47" t="n">
        <f aca="false">'Fault &amp; Downtime Entry'!O542</f>
        <v>0</v>
      </c>
      <c r="P541" s="47" t="str">
        <f aca="false">IF(OR(J541="",K541=""),"",IFERROR(J541/K541*1000,0))</f>
        <v/>
      </c>
      <c r="Q541" s="47" t="str">
        <f aca="false">IF(OR(L541="",K541=""),"",IFERROR(L541/K541*1000,0))</f>
        <v/>
      </c>
      <c r="R541" s="47" t="str">
        <f aca="false">IF(OR(M541="High",M541="Critical"),"YES","")</f>
        <v/>
      </c>
    </row>
    <row r="542" customFormat="false" ht="15" hidden="false" customHeight="true" outlineLevel="0" collapsed="false">
      <c r="A542" s="47" t="n">
        <f aca="false">'Fault &amp; Downtime Entry'!A543</f>
        <v>538</v>
      </c>
      <c r="B542" s="48" t="n">
        <f aca="false">'Fault &amp; Downtime Entry'!B543</f>
        <v>0</v>
      </c>
      <c r="C542" s="47" t="n">
        <f aca="false">'Fault &amp; Downtime Entry'!C543</f>
        <v>0</v>
      </c>
      <c r="D542" s="47" t="n">
        <f aca="false">'Fault &amp; Downtime Entry'!D543</f>
        <v>0</v>
      </c>
      <c r="E542" s="47" t="n">
        <f aca="false">'Fault &amp; Downtime Entry'!E543</f>
        <v>0</v>
      </c>
      <c r="F542" s="47" t="str">
        <f aca="false">'Fault &amp; Downtime Entry'!F543</f>
        <v/>
      </c>
      <c r="G542" s="47" t="n">
        <f aca="false">'Fault &amp; Downtime Entry'!G543</f>
        <v>0</v>
      </c>
      <c r="H542" s="47" t="str">
        <f aca="false">'Fault &amp; Downtime Entry'!H543</f>
        <v/>
      </c>
      <c r="I542" s="47" t="str">
        <f aca="false">'Fault &amp; Downtime Entry'!I543</f>
        <v/>
      </c>
      <c r="J542" s="47" t="n">
        <f aca="false">'Fault &amp; Downtime Entry'!J543</f>
        <v>0</v>
      </c>
      <c r="K542" s="47" t="n">
        <f aca="false">'Fault &amp; Downtime Entry'!K543</f>
        <v>0</v>
      </c>
      <c r="L542" s="47" t="n">
        <f aca="false">'Fault &amp; Downtime Entry'!L543</f>
        <v>0</v>
      </c>
      <c r="M542" s="47" t="str">
        <f aca="false">'Fault &amp; Downtime Entry'!M543</f>
        <v/>
      </c>
      <c r="N542" s="47" t="n">
        <f aca="false">'Fault &amp; Downtime Entry'!N543</f>
        <v>0</v>
      </c>
      <c r="O542" s="47" t="n">
        <f aca="false">'Fault &amp; Downtime Entry'!O543</f>
        <v>0</v>
      </c>
      <c r="P542" s="47" t="str">
        <f aca="false">IF(OR(J542="",K542=""),"",IFERROR(J542/K542*1000,0))</f>
        <v/>
      </c>
      <c r="Q542" s="47" t="str">
        <f aca="false">IF(OR(L542="",K542=""),"",IFERROR(L542/K542*1000,0))</f>
        <v/>
      </c>
      <c r="R542" s="47" t="str">
        <f aca="false">IF(OR(M542="High",M542="Critical"),"YES","")</f>
        <v/>
      </c>
    </row>
    <row r="543" customFormat="false" ht="15" hidden="false" customHeight="true" outlineLevel="0" collapsed="false">
      <c r="A543" s="47" t="n">
        <f aca="false">'Fault &amp; Downtime Entry'!A544</f>
        <v>539</v>
      </c>
      <c r="B543" s="48" t="n">
        <f aca="false">'Fault &amp; Downtime Entry'!B544</f>
        <v>0</v>
      </c>
      <c r="C543" s="47" t="n">
        <f aca="false">'Fault &amp; Downtime Entry'!C544</f>
        <v>0</v>
      </c>
      <c r="D543" s="47" t="n">
        <f aca="false">'Fault &amp; Downtime Entry'!D544</f>
        <v>0</v>
      </c>
      <c r="E543" s="47" t="n">
        <f aca="false">'Fault &amp; Downtime Entry'!E544</f>
        <v>0</v>
      </c>
      <c r="F543" s="47" t="str">
        <f aca="false">'Fault &amp; Downtime Entry'!F544</f>
        <v/>
      </c>
      <c r="G543" s="47" t="n">
        <f aca="false">'Fault &amp; Downtime Entry'!G544</f>
        <v>0</v>
      </c>
      <c r="H543" s="47" t="str">
        <f aca="false">'Fault &amp; Downtime Entry'!H544</f>
        <v/>
      </c>
      <c r="I543" s="47" t="str">
        <f aca="false">'Fault &amp; Downtime Entry'!I544</f>
        <v/>
      </c>
      <c r="J543" s="47" t="n">
        <f aca="false">'Fault &amp; Downtime Entry'!J544</f>
        <v>0</v>
      </c>
      <c r="K543" s="47" t="n">
        <f aca="false">'Fault &amp; Downtime Entry'!K544</f>
        <v>0</v>
      </c>
      <c r="L543" s="47" t="n">
        <f aca="false">'Fault &amp; Downtime Entry'!L544</f>
        <v>0</v>
      </c>
      <c r="M543" s="47" t="str">
        <f aca="false">'Fault &amp; Downtime Entry'!M544</f>
        <v/>
      </c>
      <c r="N543" s="47" t="n">
        <f aca="false">'Fault &amp; Downtime Entry'!N544</f>
        <v>0</v>
      </c>
      <c r="O543" s="47" t="n">
        <f aca="false">'Fault &amp; Downtime Entry'!O544</f>
        <v>0</v>
      </c>
      <c r="P543" s="47" t="str">
        <f aca="false">IF(OR(J543="",K543=""),"",IFERROR(J543/K543*1000,0))</f>
        <v/>
      </c>
      <c r="Q543" s="47" t="str">
        <f aca="false">IF(OR(L543="",K543=""),"",IFERROR(L543/K543*1000,0))</f>
        <v/>
      </c>
      <c r="R543" s="47" t="str">
        <f aca="false">IF(OR(M543="High",M543="Critical"),"YES","")</f>
        <v/>
      </c>
    </row>
    <row r="544" customFormat="false" ht="15" hidden="false" customHeight="true" outlineLevel="0" collapsed="false">
      <c r="A544" s="47" t="n">
        <f aca="false">'Fault &amp; Downtime Entry'!A545</f>
        <v>540</v>
      </c>
      <c r="B544" s="48" t="n">
        <f aca="false">'Fault &amp; Downtime Entry'!B545</f>
        <v>0</v>
      </c>
      <c r="C544" s="47" t="n">
        <f aca="false">'Fault &amp; Downtime Entry'!C545</f>
        <v>0</v>
      </c>
      <c r="D544" s="47" t="n">
        <f aca="false">'Fault &amp; Downtime Entry'!D545</f>
        <v>0</v>
      </c>
      <c r="E544" s="47" t="n">
        <f aca="false">'Fault &amp; Downtime Entry'!E545</f>
        <v>0</v>
      </c>
      <c r="F544" s="47" t="str">
        <f aca="false">'Fault &amp; Downtime Entry'!F545</f>
        <v/>
      </c>
      <c r="G544" s="47" t="n">
        <f aca="false">'Fault &amp; Downtime Entry'!G545</f>
        <v>0</v>
      </c>
      <c r="H544" s="47" t="str">
        <f aca="false">'Fault &amp; Downtime Entry'!H545</f>
        <v/>
      </c>
      <c r="I544" s="47" t="str">
        <f aca="false">'Fault &amp; Downtime Entry'!I545</f>
        <v/>
      </c>
      <c r="J544" s="47" t="n">
        <f aca="false">'Fault &amp; Downtime Entry'!J545</f>
        <v>0</v>
      </c>
      <c r="K544" s="47" t="n">
        <f aca="false">'Fault &amp; Downtime Entry'!K545</f>
        <v>0</v>
      </c>
      <c r="L544" s="47" t="n">
        <f aca="false">'Fault &amp; Downtime Entry'!L545</f>
        <v>0</v>
      </c>
      <c r="M544" s="47" t="str">
        <f aca="false">'Fault &amp; Downtime Entry'!M545</f>
        <v/>
      </c>
      <c r="N544" s="47" t="n">
        <f aca="false">'Fault &amp; Downtime Entry'!N545</f>
        <v>0</v>
      </c>
      <c r="O544" s="47" t="n">
        <f aca="false">'Fault &amp; Downtime Entry'!O545</f>
        <v>0</v>
      </c>
      <c r="P544" s="47" t="str">
        <f aca="false">IF(OR(J544="",K544=""),"",IFERROR(J544/K544*1000,0))</f>
        <v/>
      </c>
      <c r="Q544" s="47" t="str">
        <f aca="false">IF(OR(L544="",K544=""),"",IFERROR(L544/K544*1000,0))</f>
        <v/>
      </c>
      <c r="R544" s="47" t="str">
        <f aca="false">IF(OR(M544="High",M544="Critical"),"YES","")</f>
        <v/>
      </c>
    </row>
    <row r="545" customFormat="false" ht="15" hidden="false" customHeight="true" outlineLevel="0" collapsed="false">
      <c r="A545" s="47" t="n">
        <f aca="false">'Fault &amp; Downtime Entry'!A546</f>
        <v>541</v>
      </c>
      <c r="B545" s="48" t="n">
        <f aca="false">'Fault &amp; Downtime Entry'!B546</f>
        <v>0</v>
      </c>
      <c r="C545" s="47" t="n">
        <f aca="false">'Fault &amp; Downtime Entry'!C546</f>
        <v>0</v>
      </c>
      <c r="D545" s="47" t="n">
        <f aca="false">'Fault &amp; Downtime Entry'!D546</f>
        <v>0</v>
      </c>
      <c r="E545" s="47" t="n">
        <f aca="false">'Fault &amp; Downtime Entry'!E546</f>
        <v>0</v>
      </c>
      <c r="F545" s="47" t="str">
        <f aca="false">'Fault &amp; Downtime Entry'!F546</f>
        <v/>
      </c>
      <c r="G545" s="47" t="n">
        <f aca="false">'Fault &amp; Downtime Entry'!G546</f>
        <v>0</v>
      </c>
      <c r="H545" s="47" t="str">
        <f aca="false">'Fault &amp; Downtime Entry'!H546</f>
        <v/>
      </c>
      <c r="I545" s="47" t="str">
        <f aca="false">'Fault &amp; Downtime Entry'!I546</f>
        <v/>
      </c>
      <c r="J545" s="47" t="n">
        <f aca="false">'Fault &amp; Downtime Entry'!J546</f>
        <v>0</v>
      </c>
      <c r="K545" s="47" t="n">
        <f aca="false">'Fault &amp; Downtime Entry'!K546</f>
        <v>0</v>
      </c>
      <c r="L545" s="47" t="n">
        <f aca="false">'Fault &amp; Downtime Entry'!L546</f>
        <v>0</v>
      </c>
      <c r="M545" s="47" t="str">
        <f aca="false">'Fault &amp; Downtime Entry'!M546</f>
        <v/>
      </c>
      <c r="N545" s="47" t="n">
        <f aca="false">'Fault &amp; Downtime Entry'!N546</f>
        <v>0</v>
      </c>
      <c r="O545" s="47" t="n">
        <f aca="false">'Fault &amp; Downtime Entry'!O546</f>
        <v>0</v>
      </c>
      <c r="P545" s="47" t="str">
        <f aca="false">IF(OR(J545="",K545=""),"",IFERROR(J545/K545*1000,0))</f>
        <v/>
      </c>
      <c r="Q545" s="47" t="str">
        <f aca="false">IF(OR(L545="",K545=""),"",IFERROR(L545/K545*1000,0))</f>
        <v/>
      </c>
      <c r="R545" s="47" t="str">
        <f aca="false">IF(OR(M545="High",M545="Critical"),"YES","")</f>
        <v/>
      </c>
    </row>
    <row r="546" customFormat="false" ht="15" hidden="false" customHeight="true" outlineLevel="0" collapsed="false">
      <c r="A546" s="47" t="n">
        <f aca="false">'Fault &amp; Downtime Entry'!A547</f>
        <v>542</v>
      </c>
      <c r="B546" s="48" t="n">
        <f aca="false">'Fault &amp; Downtime Entry'!B547</f>
        <v>0</v>
      </c>
      <c r="C546" s="47" t="n">
        <f aca="false">'Fault &amp; Downtime Entry'!C547</f>
        <v>0</v>
      </c>
      <c r="D546" s="47" t="n">
        <f aca="false">'Fault &amp; Downtime Entry'!D547</f>
        <v>0</v>
      </c>
      <c r="E546" s="47" t="n">
        <f aca="false">'Fault &amp; Downtime Entry'!E547</f>
        <v>0</v>
      </c>
      <c r="F546" s="47" t="str">
        <f aca="false">'Fault &amp; Downtime Entry'!F547</f>
        <v/>
      </c>
      <c r="G546" s="47" t="n">
        <f aca="false">'Fault &amp; Downtime Entry'!G547</f>
        <v>0</v>
      </c>
      <c r="H546" s="47" t="str">
        <f aca="false">'Fault &amp; Downtime Entry'!H547</f>
        <v/>
      </c>
      <c r="I546" s="47" t="str">
        <f aca="false">'Fault &amp; Downtime Entry'!I547</f>
        <v/>
      </c>
      <c r="J546" s="47" t="n">
        <f aca="false">'Fault &amp; Downtime Entry'!J547</f>
        <v>0</v>
      </c>
      <c r="K546" s="47" t="n">
        <f aca="false">'Fault &amp; Downtime Entry'!K547</f>
        <v>0</v>
      </c>
      <c r="L546" s="47" t="n">
        <f aca="false">'Fault &amp; Downtime Entry'!L547</f>
        <v>0</v>
      </c>
      <c r="M546" s="47" t="str">
        <f aca="false">'Fault &amp; Downtime Entry'!M547</f>
        <v/>
      </c>
      <c r="N546" s="47" t="n">
        <f aca="false">'Fault &amp; Downtime Entry'!N547</f>
        <v>0</v>
      </c>
      <c r="O546" s="47" t="n">
        <f aca="false">'Fault &amp; Downtime Entry'!O547</f>
        <v>0</v>
      </c>
      <c r="P546" s="47" t="str">
        <f aca="false">IF(OR(J546="",K546=""),"",IFERROR(J546/K546*1000,0))</f>
        <v/>
      </c>
      <c r="Q546" s="47" t="str">
        <f aca="false">IF(OR(L546="",K546=""),"",IFERROR(L546/K546*1000,0))</f>
        <v/>
      </c>
      <c r="R546" s="47" t="str">
        <f aca="false">IF(OR(M546="High",M546="Critical"),"YES","")</f>
        <v/>
      </c>
    </row>
    <row r="547" customFormat="false" ht="15" hidden="false" customHeight="true" outlineLevel="0" collapsed="false">
      <c r="A547" s="47" t="n">
        <f aca="false">'Fault &amp; Downtime Entry'!A548</f>
        <v>543</v>
      </c>
      <c r="B547" s="48" t="n">
        <f aca="false">'Fault &amp; Downtime Entry'!B548</f>
        <v>0</v>
      </c>
      <c r="C547" s="47" t="n">
        <f aca="false">'Fault &amp; Downtime Entry'!C548</f>
        <v>0</v>
      </c>
      <c r="D547" s="47" t="n">
        <f aca="false">'Fault &amp; Downtime Entry'!D548</f>
        <v>0</v>
      </c>
      <c r="E547" s="47" t="n">
        <f aca="false">'Fault &amp; Downtime Entry'!E548</f>
        <v>0</v>
      </c>
      <c r="F547" s="47" t="str">
        <f aca="false">'Fault &amp; Downtime Entry'!F548</f>
        <v/>
      </c>
      <c r="G547" s="47" t="n">
        <f aca="false">'Fault &amp; Downtime Entry'!G548</f>
        <v>0</v>
      </c>
      <c r="H547" s="47" t="str">
        <f aca="false">'Fault &amp; Downtime Entry'!H548</f>
        <v/>
      </c>
      <c r="I547" s="47" t="str">
        <f aca="false">'Fault &amp; Downtime Entry'!I548</f>
        <v/>
      </c>
      <c r="J547" s="47" t="n">
        <f aca="false">'Fault &amp; Downtime Entry'!J548</f>
        <v>0</v>
      </c>
      <c r="K547" s="47" t="n">
        <f aca="false">'Fault &amp; Downtime Entry'!K548</f>
        <v>0</v>
      </c>
      <c r="L547" s="47" t="n">
        <f aca="false">'Fault &amp; Downtime Entry'!L548</f>
        <v>0</v>
      </c>
      <c r="M547" s="47" t="str">
        <f aca="false">'Fault &amp; Downtime Entry'!M548</f>
        <v/>
      </c>
      <c r="N547" s="47" t="n">
        <f aca="false">'Fault &amp; Downtime Entry'!N548</f>
        <v>0</v>
      </c>
      <c r="O547" s="47" t="n">
        <f aca="false">'Fault &amp; Downtime Entry'!O548</f>
        <v>0</v>
      </c>
      <c r="P547" s="47" t="str">
        <f aca="false">IF(OR(J547="",K547=""),"",IFERROR(J547/K547*1000,0))</f>
        <v/>
      </c>
      <c r="Q547" s="47" t="str">
        <f aca="false">IF(OR(L547="",K547=""),"",IFERROR(L547/K547*1000,0))</f>
        <v/>
      </c>
      <c r="R547" s="47" t="str">
        <f aca="false">IF(OR(M547="High",M547="Critical"),"YES","")</f>
        <v/>
      </c>
    </row>
    <row r="548" customFormat="false" ht="15" hidden="false" customHeight="true" outlineLevel="0" collapsed="false">
      <c r="A548" s="47" t="n">
        <f aca="false">'Fault &amp; Downtime Entry'!A549</f>
        <v>544</v>
      </c>
      <c r="B548" s="48" t="n">
        <f aca="false">'Fault &amp; Downtime Entry'!B549</f>
        <v>0</v>
      </c>
      <c r="C548" s="47" t="n">
        <f aca="false">'Fault &amp; Downtime Entry'!C549</f>
        <v>0</v>
      </c>
      <c r="D548" s="47" t="n">
        <f aca="false">'Fault &amp; Downtime Entry'!D549</f>
        <v>0</v>
      </c>
      <c r="E548" s="47" t="n">
        <f aca="false">'Fault &amp; Downtime Entry'!E549</f>
        <v>0</v>
      </c>
      <c r="F548" s="47" t="str">
        <f aca="false">'Fault &amp; Downtime Entry'!F549</f>
        <v/>
      </c>
      <c r="G548" s="47" t="n">
        <f aca="false">'Fault &amp; Downtime Entry'!G549</f>
        <v>0</v>
      </c>
      <c r="H548" s="47" t="str">
        <f aca="false">'Fault &amp; Downtime Entry'!H549</f>
        <v/>
      </c>
      <c r="I548" s="47" t="str">
        <f aca="false">'Fault &amp; Downtime Entry'!I549</f>
        <v/>
      </c>
      <c r="J548" s="47" t="n">
        <f aca="false">'Fault &amp; Downtime Entry'!J549</f>
        <v>0</v>
      </c>
      <c r="K548" s="47" t="n">
        <f aca="false">'Fault &amp; Downtime Entry'!K549</f>
        <v>0</v>
      </c>
      <c r="L548" s="47" t="n">
        <f aca="false">'Fault &amp; Downtime Entry'!L549</f>
        <v>0</v>
      </c>
      <c r="M548" s="47" t="str">
        <f aca="false">'Fault &amp; Downtime Entry'!M549</f>
        <v/>
      </c>
      <c r="N548" s="47" t="n">
        <f aca="false">'Fault &amp; Downtime Entry'!N549</f>
        <v>0</v>
      </c>
      <c r="O548" s="47" t="n">
        <f aca="false">'Fault &amp; Downtime Entry'!O549</f>
        <v>0</v>
      </c>
      <c r="P548" s="47" t="str">
        <f aca="false">IF(OR(J548="",K548=""),"",IFERROR(J548/K548*1000,0))</f>
        <v/>
      </c>
      <c r="Q548" s="47" t="str">
        <f aca="false">IF(OR(L548="",K548=""),"",IFERROR(L548/K548*1000,0))</f>
        <v/>
      </c>
      <c r="R548" s="47" t="str">
        <f aca="false">IF(OR(M548="High",M548="Critical"),"YES","")</f>
        <v/>
      </c>
    </row>
    <row r="549" customFormat="false" ht="15" hidden="false" customHeight="true" outlineLevel="0" collapsed="false">
      <c r="A549" s="47" t="n">
        <f aca="false">'Fault &amp; Downtime Entry'!A550</f>
        <v>545</v>
      </c>
      <c r="B549" s="48" t="n">
        <f aca="false">'Fault &amp; Downtime Entry'!B550</f>
        <v>0</v>
      </c>
      <c r="C549" s="47" t="n">
        <f aca="false">'Fault &amp; Downtime Entry'!C550</f>
        <v>0</v>
      </c>
      <c r="D549" s="47" t="n">
        <f aca="false">'Fault &amp; Downtime Entry'!D550</f>
        <v>0</v>
      </c>
      <c r="E549" s="47" t="n">
        <f aca="false">'Fault &amp; Downtime Entry'!E550</f>
        <v>0</v>
      </c>
      <c r="F549" s="47" t="str">
        <f aca="false">'Fault &amp; Downtime Entry'!F550</f>
        <v/>
      </c>
      <c r="G549" s="47" t="n">
        <f aca="false">'Fault &amp; Downtime Entry'!G550</f>
        <v>0</v>
      </c>
      <c r="H549" s="47" t="str">
        <f aca="false">'Fault &amp; Downtime Entry'!H550</f>
        <v/>
      </c>
      <c r="I549" s="47" t="str">
        <f aca="false">'Fault &amp; Downtime Entry'!I550</f>
        <v/>
      </c>
      <c r="J549" s="47" t="n">
        <f aca="false">'Fault &amp; Downtime Entry'!J550</f>
        <v>0</v>
      </c>
      <c r="K549" s="47" t="n">
        <f aca="false">'Fault &amp; Downtime Entry'!K550</f>
        <v>0</v>
      </c>
      <c r="L549" s="47" t="n">
        <f aca="false">'Fault &amp; Downtime Entry'!L550</f>
        <v>0</v>
      </c>
      <c r="M549" s="47" t="str">
        <f aca="false">'Fault &amp; Downtime Entry'!M550</f>
        <v/>
      </c>
      <c r="N549" s="47" t="n">
        <f aca="false">'Fault &amp; Downtime Entry'!N550</f>
        <v>0</v>
      </c>
      <c r="O549" s="47" t="n">
        <f aca="false">'Fault &amp; Downtime Entry'!O550</f>
        <v>0</v>
      </c>
      <c r="P549" s="47" t="str">
        <f aca="false">IF(OR(J549="",K549=""),"",IFERROR(J549/K549*1000,0))</f>
        <v/>
      </c>
      <c r="Q549" s="47" t="str">
        <f aca="false">IF(OR(L549="",K549=""),"",IFERROR(L549/K549*1000,0))</f>
        <v/>
      </c>
      <c r="R549" s="47" t="str">
        <f aca="false">IF(OR(M549="High",M549="Critical"),"YES","")</f>
        <v/>
      </c>
    </row>
    <row r="550" customFormat="false" ht="15" hidden="false" customHeight="true" outlineLevel="0" collapsed="false">
      <c r="A550" s="47" t="n">
        <f aca="false">'Fault &amp; Downtime Entry'!A551</f>
        <v>546</v>
      </c>
      <c r="B550" s="48" t="n">
        <f aca="false">'Fault &amp; Downtime Entry'!B551</f>
        <v>0</v>
      </c>
      <c r="C550" s="47" t="n">
        <f aca="false">'Fault &amp; Downtime Entry'!C551</f>
        <v>0</v>
      </c>
      <c r="D550" s="47" t="n">
        <f aca="false">'Fault &amp; Downtime Entry'!D551</f>
        <v>0</v>
      </c>
      <c r="E550" s="47" t="n">
        <f aca="false">'Fault &amp; Downtime Entry'!E551</f>
        <v>0</v>
      </c>
      <c r="F550" s="47" t="str">
        <f aca="false">'Fault &amp; Downtime Entry'!F551</f>
        <v/>
      </c>
      <c r="G550" s="47" t="n">
        <f aca="false">'Fault &amp; Downtime Entry'!G551</f>
        <v>0</v>
      </c>
      <c r="H550" s="47" t="str">
        <f aca="false">'Fault &amp; Downtime Entry'!H551</f>
        <v/>
      </c>
      <c r="I550" s="47" t="str">
        <f aca="false">'Fault &amp; Downtime Entry'!I551</f>
        <v/>
      </c>
      <c r="J550" s="47" t="n">
        <f aca="false">'Fault &amp; Downtime Entry'!J551</f>
        <v>0</v>
      </c>
      <c r="K550" s="47" t="n">
        <f aca="false">'Fault &amp; Downtime Entry'!K551</f>
        <v>0</v>
      </c>
      <c r="L550" s="47" t="n">
        <f aca="false">'Fault &amp; Downtime Entry'!L551</f>
        <v>0</v>
      </c>
      <c r="M550" s="47" t="str">
        <f aca="false">'Fault &amp; Downtime Entry'!M551</f>
        <v/>
      </c>
      <c r="N550" s="47" t="n">
        <f aca="false">'Fault &amp; Downtime Entry'!N551</f>
        <v>0</v>
      </c>
      <c r="O550" s="47" t="n">
        <f aca="false">'Fault &amp; Downtime Entry'!O551</f>
        <v>0</v>
      </c>
      <c r="P550" s="47" t="str">
        <f aca="false">IF(OR(J550="",K550=""),"",IFERROR(J550/K550*1000,0))</f>
        <v/>
      </c>
      <c r="Q550" s="47" t="str">
        <f aca="false">IF(OR(L550="",K550=""),"",IFERROR(L550/K550*1000,0))</f>
        <v/>
      </c>
      <c r="R550" s="47" t="str">
        <f aca="false">IF(OR(M550="High",M550="Critical"),"YES","")</f>
        <v/>
      </c>
    </row>
    <row r="551" customFormat="false" ht="15" hidden="false" customHeight="true" outlineLevel="0" collapsed="false">
      <c r="A551" s="47" t="n">
        <f aca="false">'Fault &amp; Downtime Entry'!A552</f>
        <v>547</v>
      </c>
      <c r="B551" s="48" t="n">
        <f aca="false">'Fault &amp; Downtime Entry'!B552</f>
        <v>0</v>
      </c>
      <c r="C551" s="47" t="n">
        <f aca="false">'Fault &amp; Downtime Entry'!C552</f>
        <v>0</v>
      </c>
      <c r="D551" s="47" t="n">
        <f aca="false">'Fault &amp; Downtime Entry'!D552</f>
        <v>0</v>
      </c>
      <c r="E551" s="47" t="n">
        <f aca="false">'Fault &amp; Downtime Entry'!E552</f>
        <v>0</v>
      </c>
      <c r="F551" s="47" t="str">
        <f aca="false">'Fault &amp; Downtime Entry'!F552</f>
        <v/>
      </c>
      <c r="G551" s="47" t="n">
        <f aca="false">'Fault &amp; Downtime Entry'!G552</f>
        <v>0</v>
      </c>
      <c r="H551" s="47" t="str">
        <f aca="false">'Fault &amp; Downtime Entry'!H552</f>
        <v/>
      </c>
      <c r="I551" s="47" t="str">
        <f aca="false">'Fault &amp; Downtime Entry'!I552</f>
        <v/>
      </c>
      <c r="J551" s="47" t="n">
        <f aca="false">'Fault &amp; Downtime Entry'!J552</f>
        <v>0</v>
      </c>
      <c r="K551" s="47" t="n">
        <f aca="false">'Fault &amp; Downtime Entry'!K552</f>
        <v>0</v>
      </c>
      <c r="L551" s="47" t="n">
        <f aca="false">'Fault &amp; Downtime Entry'!L552</f>
        <v>0</v>
      </c>
      <c r="M551" s="47" t="str">
        <f aca="false">'Fault &amp; Downtime Entry'!M552</f>
        <v/>
      </c>
      <c r="N551" s="47" t="n">
        <f aca="false">'Fault &amp; Downtime Entry'!N552</f>
        <v>0</v>
      </c>
      <c r="O551" s="47" t="n">
        <f aca="false">'Fault &amp; Downtime Entry'!O552</f>
        <v>0</v>
      </c>
      <c r="P551" s="47" t="str">
        <f aca="false">IF(OR(J551="",K551=""),"",IFERROR(J551/K551*1000,0))</f>
        <v/>
      </c>
      <c r="Q551" s="47" t="str">
        <f aca="false">IF(OR(L551="",K551=""),"",IFERROR(L551/K551*1000,0))</f>
        <v/>
      </c>
      <c r="R551" s="47" t="str">
        <f aca="false">IF(OR(M551="High",M551="Critical"),"YES","")</f>
        <v/>
      </c>
    </row>
    <row r="552" customFormat="false" ht="15" hidden="false" customHeight="true" outlineLevel="0" collapsed="false">
      <c r="A552" s="47" t="n">
        <f aca="false">'Fault &amp; Downtime Entry'!A553</f>
        <v>548</v>
      </c>
      <c r="B552" s="48" t="n">
        <f aca="false">'Fault &amp; Downtime Entry'!B553</f>
        <v>0</v>
      </c>
      <c r="C552" s="47" t="n">
        <f aca="false">'Fault &amp; Downtime Entry'!C553</f>
        <v>0</v>
      </c>
      <c r="D552" s="47" t="n">
        <f aca="false">'Fault &amp; Downtime Entry'!D553</f>
        <v>0</v>
      </c>
      <c r="E552" s="47" t="n">
        <f aca="false">'Fault &amp; Downtime Entry'!E553</f>
        <v>0</v>
      </c>
      <c r="F552" s="47" t="str">
        <f aca="false">'Fault &amp; Downtime Entry'!F553</f>
        <v/>
      </c>
      <c r="G552" s="47" t="n">
        <f aca="false">'Fault &amp; Downtime Entry'!G553</f>
        <v>0</v>
      </c>
      <c r="H552" s="47" t="str">
        <f aca="false">'Fault &amp; Downtime Entry'!H553</f>
        <v/>
      </c>
      <c r="I552" s="47" t="str">
        <f aca="false">'Fault &amp; Downtime Entry'!I553</f>
        <v/>
      </c>
      <c r="J552" s="47" t="n">
        <f aca="false">'Fault &amp; Downtime Entry'!J553</f>
        <v>0</v>
      </c>
      <c r="K552" s="47" t="n">
        <f aca="false">'Fault &amp; Downtime Entry'!K553</f>
        <v>0</v>
      </c>
      <c r="L552" s="47" t="n">
        <f aca="false">'Fault &amp; Downtime Entry'!L553</f>
        <v>0</v>
      </c>
      <c r="M552" s="47" t="str">
        <f aca="false">'Fault &amp; Downtime Entry'!M553</f>
        <v/>
      </c>
      <c r="N552" s="47" t="n">
        <f aca="false">'Fault &amp; Downtime Entry'!N553</f>
        <v>0</v>
      </c>
      <c r="O552" s="47" t="n">
        <f aca="false">'Fault &amp; Downtime Entry'!O553</f>
        <v>0</v>
      </c>
      <c r="P552" s="47" t="str">
        <f aca="false">IF(OR(J552="",K552=""),"",IFERROR(J552/K552*1000,0))</f>
        <v/>
      </c>
      <c r="Q552" s="47" t="str">
        <f aca="false">IF(OR(L552="",K552=""),"",IFERROR(L552/K552*1000,0))</f>
        <v/>
      </c>
      <c r="R552" s="47" t="str">
        <f aca="false">IF(OR(M552="High",M552="Critical"),"YES","")</f>
        <v/>
      </c>
    </row>
    <row r="553" customFormat="false" ht="15" hidden="false" customHeight="true" outlineLevel="0" collapsed="false">
      <c r="A553" s="47" t="n">
        <f aca="false">'Fault &amp; Downtime Entry'!A554</f>
        <v>549</v>
      </c>
      <c r="B553" s="48" t="n">
        <f aca="false">'Fault &amp; Downtime Entry'!B554</f>
        <v>0</v>
      </c>
      <c r="C553" s="47" t="n">
        <f aca="false">'Fault &amp; Downtime Entry'!C554</f>
        <v>0</v>
      </c>
      <c r="D553" s="47" t="n">
        <f aca="false">'Fault &amp; Downtime Entry'!D554</f>
        <v>0</v>
      </c>
      <c r="E553" s="47" t="n">
        <f aca="false">'Fault &amp; Downtime Entry'!E554</f>
        <v>0</v>
      </c>
      <c r="F553" s="47" t="str">
        <f aca="false">'Fault &amp; Downtime Entry'!F554</f>
        <v/>
      </c>
      <c r="G553" s="47" t="n">
        <f aca="false">'Fault &amp; Downtime Entry'!G554</f>
        <v>0</v>
      </c>
      <c r="H553" s="47" t="str">
        <f aca="false">'Fault &amp; Downtime Entry'!H554</f>
        <v/>
      </c>
      <c r="I553" s="47" t="str">
        <f aca="false">'Fault &amp; Downtime Entry'!I554</f>
        <v/>
      </c>
      <c r="J553" s="47" t="n">
        <f aca="false">'Fault &amp; Downtime Entry'!J554</f>
        <v>0</v>
      </c>
      <c r="K553" s="47" t="n">
        <f aca="false">'Fault &amp; Downtime Entry'!K554</f>
        <v>0</v>
      </c>
      <c r="L553" s="47" t="n">
        <f aca="false">'Fault &amp; Downtime Entry'!L554</f>
        <v>0</v>
      </c>
      <c r="M553" s="47" t="str">
        <f aca="false">'Fault &amp; Downtime Entry'!M554</f>
        <v/>
      </c>
      <c r="N553" s="47" t="n">
        <f aca="false">'Fault &amp; Downtime Entry'!N554</f>
        <v>0</v>
      </c>
      <c r="O553" s="47" t="n">
        <f aca="false">'Fault &amp; Downtime Entry'!O554</f>
        <v>0</v>
      </c>
      <c r="P553" s="47" t="str">
        <f aca="false">IF(OR(J553="",K553=""),"",IFERROR(J553/K553*1000,0))</f>
        <v/>
      </c>
      <c r="Q553" s="47" t="str">
        <f aca="false">IF(OR(L553="",K553=""),"",IFERROR(L553/K553*1000,0))</f>
        <v/>
      </c>
      <c r="R553" s="47" t="str">
        <f aca="false">IF(OR(M553="High",M553="Critical"),"YES","")</f>
        <v/>
      </c>
    </row>
    <row r="554" customFormat="false" ht="15" hidden="false" customHeight="true" outlineLevel="0" collapsed="false">
      <c r="A554" s="47" t="n">
        <f aca="false">'Fault &amp; Downtime Entry'!A555</f>
        <v>550</v>
      </c>
      <c r="B554" s="48" t="n">
        <f aca="false">'Fault &amp; Downtime Entry'!B555</f>
        <v>0</v>
      </c>
      <c r="C554" s="47" t="n">
        <f aca="false">'Fault &amp; Downtime Entry'!C555</f>
        <v>0</v>
      </c>
      <c r="D554" s="47" t="n">
        <f aca="false">'Fault &amp; Downtime Entry'!D555</f>
        <v>0</v>
      </c>
      <c r="E554" s="47" t="n">
        <f aca="false">'Fault &amp; Downtime Entry'!E555</f>
        <v>0</v>
      </c>
      <c r="F554" s="47" t="str">
        <f aca="false">'Fault &amp; Downtime Entry'!F555</f>
        <v/>
      </c>
      <c r="G554" s="47" t="n">
        <f aca="false">'Fault &amp; Downtime Entry'!G555</f>
        <v>0</v>
      </c>
      <c r="H554" s="47" t="str">
        <f aca="false">'Fault &amp; Downtime Entry'!H555</f>
        <v/>
      </c>
      <c r="I554" s="47" t="str">
        <f aca="false">'Fault &amp; Downtime Entry'!I555</f>
        <v/>
      </c>
      <c r="J554" s="47" t="n">
        <f aca="false">'Fault &amp; Downtime Entry'!J555</f>
        <v>0</v>
      </c>
      <c r="K554" s="47" t="n">
        <f aca="false">'Fault &amp; Downtime Entry'!K555</f>
        <v>0</v>
      </c>
      <c r="L554" s="47" t="n">
        <f aca="false">'Fault &amp; Downtime Entry'!L555</f>
        <v>0</v>
      </c>
      <c r="M554" s="47" t="str">
        <f aca="false">'Fault &amp; Downtime Entry'!M555</f>
        <v/>
      </c>
      <c r="N554" s="47" t="n">
        <f aca="false">'Fault &amp; Downtime Entry'!N555</f>
        <v>0</v>
      </c>
      <c r="O554" s="47" t="n">
        <f aca="false">'Fault &amp; Downtime Entry'!O555</f>
        <v>0</v>
      </c>
      <c r="P554" s="47" t="str">
        <f aca="false">IF(OR(J554="",K554=""),"",IFERROR(J554/K554*1000,0))</f>
        <v/>
      </c>
      <c r="Q554" s="47" t="str">
        <f aca="false">IF(OR(L554="",K554=""),"",IFERROR(L554/K554*1000,0))</f>
        <v/>
      </c>
      <c r="R554" s="47" t="str">
        <f aca="false">IF(OR(M554="High",M554="Critical"),"YES","")</f>
        <v/>
      </c>
    </row>
    <row r="555" customFormat="false" ht="15" hidden="false" customHeight="true" outlineLevel="0" collapsed="false">
      <c r="A555" s="47" t="n">
        <f aca="false">'Fault &amp; Downtime Entry'!A556</f>
        <v>551</v>
      </c>
      <c r="B555" s="48" t="n">
        <f aca="false">'Fault &amp; Downtime Entry'!B556</f>
        <v>0</v>
      </c>
      <c r="C555" s="47" t="n">
        <f aca="false">'Fault &amp; Downtime Entry'!C556</f>
        <v>0</v>
      </c>
      <c r="D555" s="47" t="n">
        <f aca="false">'Fault &amp; Downtime Entry'!D556</f>
        <v>0</v>
      </c>
      <c r="E555" s="47" t="n">
        <f aca="false">'Fault &amp; Downtime Entry'!E556</f>
        <v>0</v>
      </c>
      <c r="F555" s="47" t="str">
        <f aca="false">'Fault &amp; Downtime Entry'!F556</f>
        <v/>
      </c>
      <c r="G555" s="47" t="n">
        <f aca="false">'Fault &amp; Downtime Entry'!G556</f>
        <v>0</v>
      </c>
      <c r="H555" s="47" t="str">
        <f aca="false">'Fault &amp; Downtime Entry'!H556</f>
        <v/>
      </c>
      <c r="I555" s="47" t="str">
        <f aca="false">'Fault &amp; Downtime Entry'!I556</f>
        <v/>
      </c>
      <c r="J555" s="47" t="n">
        <f aca="false">'Fault &amp; Downtime Entry'!J556</f>
        <v>0</v>
      </c>
      <c r="K555" s="47" t="n">
        <f aca="false">'Fault &amp; Downtime Entry'!K556</f>
        <v>0</v>
      </c>
      <c r="L555" s="47" t="n">
        <f aca="false">'Fault &amp; Downtime Entry'!L556</f>
        <v>0</v>
      </c>
      <c r="M555" s="47" t="str">
        <f aca="false">'Fault &amp; Downtime Entry'!M556</f>
        <v/>
      </c>
      <c r="N555" s="47" t="n">
        <f aca="false">'Fault &amp; Downtime Entry'!N556</f>
        <v>0</v>
      </c>
      <c r="O555" s="47" t="n">
        <f aca="false">'Fault &amp; Downtime Entry'!O556</f>
        <v>0</v>
      </c>
      <c r="P555" s="47" t="str">
        <f aca="false">IF(OR(J555="",K555=""),"",IFERROR(J555/K555*1000,0))</f>
        <v/>
      </c>
      <c r="Q555" s="47" t="str">
        <f aca="false">IF(OR(L555="",K555=""),"",IFERROR(L555/K555*1000,0))</f>
        <v/>
      </c>
      <c r="R555" s="47" t="str">
        <f aca="false">IF(OR(M555="High",M555="Critical"),"YES","")</f>
        <v/>
      </c>
    </row>
    <row r="556" customFormat="false" ht="15" hidden="false" customHeight="true" outlineLevel="0" collapsed="false">
      <c r="A556" s="47" t="n">
        <f aca="false">'Fault &amp; Downtime Entry'!A557</f>
        <v>552</v>
      </c>
      <c r="B556" s="48" t="n">
        <f aca="false">'Fault &amp; Downtime Entry'!B557</f>
        <v>0</v>
      </c>
      <c r="C556" s="47" t="n">
        <f aca="false">'Fault &amp; Downtime Entry'!C557</f>
        <v>0</v>
      </c>
      <c r="D556" s="47" t="n">
        <f aca="false">'Fault &amp; Downtime Entry'!D557</f>
        <v>0</v>
      </c>
      <c r="E556" s="47" t="n">
        <f aca="false">'Fault &amp; Downtime Entry'!E557</f>
        <v>0</v>
      </c>
      <c r="F556" s="47" t="str">
        <f aca="false">'Fault &amp; Downtime Entry'!F557</f>
        <v/>
      </c>
      <c r="G556" s="47" t="n">
        <f aca="false">'Fault &amp; Downtime Entry'!G557</f>
        <v>0</v>
      </c>
      <c r="H556" s="47" t="str">
        <f aca="false">'Fault &amp; Downtime Entry'!H557</f>
        <v/>
      </c>
      <c r="I556" s="47" t="str">
        <f aca="false">'Fault &amp; Downtime Entry'!I557</f>
        <v/>
      </c>
      <c r="J556" s="47" t="n">
        <f aca="false">'Fault &amp; Downtime Entry'!J557</f>
        <v>0</v>
      </c>
      <c r="K556" s="47" t="n">
        <f aca="false">'Fault &amp; Downtime Entry'!K557</f>
        <v>0</v>
      </c>
      <c r="L556" s="47" t="n">
        <f aca="false">'Fault &amp; Downtime Entry'!L557</f>
        <v>0</v>
      </c>
      <c r="M556" s="47" t="str">
        <f aca="false">'Fault &amp; Downtime Entry'!M557</f>
        <v/>
      </c>
      <c r="N556" s="47" t="n">
        <f aca="false">'Fault &amp; Downtime Entry'!N557</f>
        <v>0</v>
      </c>
      <c r="O556" s="47" t="n">
        <f aca="false">'Fault &amp; Downtime Entry'!O557</f>
        <v>0</v>
      </c>
      <c r="P556" s="47" t="str">
        <f aca="false">IF(OR(J556="",K556=""),"",IFERROR(J556/K556*1000,0))</f>
        <v/>
      </c>
      <c r="Q556" s="47" t="str">
        <f aca="false">IF(OR(L556="",K556=""),"",IFERROR(L556/K556*1000,0))</f>
        <v/>
      </c>
      <c r="R556" s="47" t="str">
        <f aca="false">IF(OR(M556="High",M556="Critical"),"YES","")</f>
        <v/>
      </c>
    </row>
    <row r="557" customFormat="false" ht="15" hidden="false" customHeight="true" outlineLevel="0" collapsed="false">
      <c r="A557" s="47" t="n">
        <f aca="false">'Fault &amp; Downtime Entry'!A558</f>
        <v>553</v>
      </c>
      <c r="B557" s="48" t="n">
        <f aca="false">'Fault &amp; Downtime Entry'!B558</f>
        <v>0</v>
      </c>
      <c r="C557" s="47" t="n">
        <f aca="false">'Fault &amp; Downtime Entry'!C558</f>
        <v>0</v>
      </c>
      <c r="D557" s="47" t="n">
        <f aca="false">'Fault &amp; Downtime Entry'!D558</f>
        <v>0</v>
      </c>
      <c r="E557" s="47" t="n">
        <f aca="false">'Fault &amp; Downtime Entry'!E558</f>
        <v>0</v>
      </c>
      <c r="F557" s="47" t="str">
        <f aca="false">'Fault &amp; Downtime Entry'!F558</f>
        <v/>
      </c>
      <c r="G557" s="47" t="n">
        <f aca="false">'Fault &amp; Downtime Entry'!G558</f>
        <v>0</v>
      </c>
      <c r="H557" s="47" t="str">
        <f aca="false">'Fault &amp; Downtime Entry'!H558</f>
        <v/>
      </c>
      <c r="I557" s="47" t="str">
        <f aca="false">'Fault &amp; Downtime Entry'!I558</f>
        <v/>
      </c>
      <c r="J557" s="47" t="n">
        <f aca="false">'Fault &amp; Downtime Entry'!J558</f>
        <v>0</v>
      </c>
      <c r="K557" s="47" t="n">
        <f aca="false">'Fault &amp; Downtime Entry'!K558</f>
        <v>0</v>
      </c>
      <c r="L557" s="47" t="n">
        <f aca="false">'Fault &amp; Downtime Entry'!L558</f>
        <v>0</v>
      </c>
      <c r="M557" s="47" t="str">
        <f aca="false">'Fault &amp; Downtime Entry'!M558</f>
        <v/>
      </c>
      <c r="N557" s="47" t="n">
        <f aca="false">'Fault &amp; Downtime Entry'!N558</f>
        <v>0</v>
      </c>
      <c r="O557" s="47" t="n">
        <f aca="false">'Fault &amp; Downtime Entry'!O558</f>
        <v>0</v>
      </c>
      <c r="P557" s="47" t="str">
        <f aca="false">IF(OR(J557="",K557=""),"",IFERROR(J557/K557*1000,0))</f>
        <v/>
      </c>
      <c r="Q557" s="47" t="str">
        <f aca="false">IF(OR(L557="",K557=""),"",IFERROR(L557/K557*1000,0))</f>
        <v/>
      </c>
      <c r="R557" s="47" t="str">
        <f aca="false">IF(OR(M557="High",M557="Critical"),"YES","")</f>
        <v/>
      </c>
    </row>
    <row r="558" customFormat="false" ht="15" hidden="false" customHeight="true" outlineLevel="0" collapsed="false">
      <c r="A558" s="47" t="n">
        <f aca="false">'Fault &amp; Downtime Entry'!A559</f>
        <v>554</v>
      </c>
      <c r="B558" s="48" t="n">
        <f aca="false">'Fault &amp; Downtime Entry'!B559</f>
        <v>0</v>
      </c>
      <c r="C558" s="47" t="n">
        <f aca="false">'Fault &amp; Downtime Entry'!C559</f>
        <v>0</v>
      </c>
      <c r="D558" s="47" t="n">
        <f aca="false">'Fault &amp; Downtime Entry'!D559</f>
        <v>0</v>
      </c>
      <c r="E558" s="47" t="n">
        <f aca="false">'Fault &amp; Downtime Entry'!E559</f>
        <v>0</v>
      </c>
      <c r="F558" s="47" t="str">
        <f aca="false">'Fault &amp; Downtime Entry'!F559</f>
        <v/>
      </c>
      <c r="G558" s="47" t="n">
        <f aca="false">'Fault &amp; Downtime Entry'!G559</f>
        <v>0</v>
      </c>
      <c r="H558" s="47" t="str">
        <f aca="false">'Fault &amp; Downtime Entry'!H559</f>
        <v/>
      </c>
      <c r="I558" s="47" t="str">
        <f aca="false">'Fault &amp; Downtime Entry'!I559</f>
        <v/>
      </c>
      <c r="J558" s="47" t="n">
        <f aca="false">'Fault &amp; Downtime Entry'!J559</f>
        <v>0</v>
      </c>
      <c r="K558" s="47" t="n">
        <f aca="false">'Fault &amp; Downtime Entry'!K559</f>
        <v>0</v>
      </c>
      <c r="L558" s="47" t="n">
        <f aca="false">'Fault &amp; Downtime Entry'!L559</f>
        <v>0</v>
      </c>
      <c r="M558" s="47" t="str">
        <f aca="false">'Fault &amp; Downtime Entry'!M559</f>
        <v/>
      </c>
      <c r="N558" s="47" t="n">
        <f aca="false">'Fault &amp; Downtime Entry'!N559</f>
        <v>0</v>
      </c>
      <c r="O558" s="47" t="n">
        <f aca="false">'Fault &amp; Downtime Entry'!O559</f>
        <v>0</v>
      </c>
      <c r="P558" s="47" t="str">
        <f aca="false">IF(OR(J558="",K558=""),"",IFERROR(J558/K558*1000,0))</f>
        <v/>
      </c>
      <c r="Q558" s="47" t="str">
        <f aca="false">IF(OR(L558="",K558=""),"",IFERROR(L558/K558*1000,0))</f>
        <v/>
      </c>
      <c r="R558" s="47" t="str">
        <f aca="false">IF(OR(M558="High",M558="Critical"),"YES","")</f>
        <v/>
      </c>
    </row>
    <row r="559" customFormat="false" ht="15" hidden="false" customHeight="true" outlineLevel="0" collapsed="false">
      <c r="A559" s="47" t="n">
        <f aca="false">'Fault &amp; Downtime Entry'!A560</f>
        <v>555</v>
      </c>
      <c r="B559" s="48" t="n">
        <f aca="false">'Fault &amp; Downtime Entry'!B560</f>
        <v>0</v>
      </c>
      <c r="C559" s="47" t="n">
        <f aca="false">'Fault &amp; Downtime Entry'!C560</f>
        <v>0</v>
      </c>
      <c r="D559" s="47" t="n">
        <f aca="false">'Fault &amp; Downtime Entry'!D560</f>
        <v>0</v>
      </c>
      <c r="E559" s="47" t="n">
        <f aca="false">'Fault &amp; Downtime Entry'!E560</f>
        <v>0</v>
      </c>
      <c r="F559" s="47" t="str">
        <f aca="false">'Fault &amp; Downtime Entry'!F560</f>
        <v/>
      </c>
      <c r="G559" s="47" t="n">
        <f aca="false">'Fault &amp; Downtime Entry'!G560</f>
        <v>0</v>
      </c>
      <c r="H559" s="47" t="str">
        <f aca="false">'Fault &amp; Downtime Entry'!H560</f>
        <v/>
      </c>
      <c r="I559" s="47" t="str">
        <f aca="false">'Fault &amp; Downtime Entry'!I560</f>
        <v/>
      </c>
      <c r="J559" s="47" t="n">
        <f aca="false">'Fault &amp; Downtime Entry'!J560</f>
        <v>0</v>
      </c>
      <c r="K559" s="47" t="n">
        <f aca="false">'Fault &amp; Downtime Entry'!K560</f>
        <v>0</v>
      </c>
      <c r="L559" s="47" t="n">
        <f aca="false">'Fault &amp; Downtime Entry'!L560</f>
        <v>0</v>
      </c>
      <c r="M559" s="47" t="str">
        <f aca="false">'Fault &amp; Downtime Entry'!M560</f>
        <v/>
      </c>
      <c r="N559" s="47" t="n">
        <f aca="false">'Fault &amp; Downtime Entry'!N560</f>
        <v>0</v>
      </c>
      <c r="O559" s="47" t="n">
        <f aca="false">'Fault &amp; Downtime Entry'!O560</f>
        <v>0</v>
      </c>
      <c r="P559" s="47" t="str">
        <f aca="false">IF(OR(J559="",K559=""),"",IFERROR(J559/K559*1000,0))</f>
        <v/>
      </c>
      <c r="Q559" s="47" t="str">
        <f aca="false">IF(OR(L559="",K559=""),"",IFERROR(L559/K559*1000,0))</f>
        <v/>
      </c>
      <c r="R559" s="47" t="str">
        <f aca="false">IF(OR(M559="High",M559="Critical"),"YES","")</f>
        <v/>
      </c>
    </row>
    <row r="560" customFormat="false" ht="15" hidden="false" customHeight="true" outlineLevel="0" collapsed="false">
      <c r="A560" s="47" t="n">
        <f aca="false">'Fault &amp; Downtime Entry'!A561</f>
        <v>556</v>
      </c>
      <c r="B560" s="48" t="n">
        <f aca="false">'Fault &amp; Downtime Entry'!B561</f>
        <v>0</v>
      </c>
      <c r="C560" s="47" t="n">
        <f aca="false">'Fault &amp; Downtime Entry'!C561</f>
        <v>0</v>
      </c>
      <c r="D560" s="47" t="n">
        <f aca="false">'Fault &amp; Downtime Entry'!D561</f>
        <v>0</v>
      </c>
      <c r="E560" s="47" t="n">
        <f aca="false">'Fault &amp; Downtime Entry'!E561</f>
        <v>0</v>
      </c>
      <c r="F560" s="47" t="str">
        <f aca="false">'Fault &amp; Downtime Entry'!F561</f>
        <v/>
      </c>
      <c r="G560" s="47" t="n">
        <f aca="false">'Fault &amp; Downtime Entry'!G561</f>
        <v>0</v>
      </c>
      <c r="H560" s="47" t="str">
        <f aca="false">'Fault &amp; Downtime Entry'!H561</f>
        <v/>
      </c>
      <c r="I560" s="47" t="str">
        <f aca="false">'Fault &amp; Downtime Entry'!I561</f>
        <v/>
      </c>
      <c r="J560" s="47" t="n">
        <f aca="false">'Fault &amp; Downtime Entry'!J561</f>
        <v>0</v>
      </c>
      <c r="K560" s="47" t="n">
        <f aca="false">'Fault &amp; Downtime Entry'!K561</f>
        <v>0</v>
      </c>
      <c r="L560" s="47" t="n">
        <f aca="false">'Fault &amp; Downtime Entry'!L561</f>
        <v>0</v>
      </c>
      <c r="M560" s="47" t="str">
        <f aca="false">'Fault &amp; Downtime Entry'!M561</f>
        <v/>
      </c>
      <c r="N560" s="47" t="n">
        <f aca="false">'Fault &amp; Downtime Entry'!N561</f>
        <v>0</v>
      </c>
      <c r="O560" s="47" t="n">
        <f aca="false">'Fault &amp; Downtime Entry'!O561</f>
        <v>0</v>
      </c>
      <c r="P560" s="47" t="str">
        <f aca="false">IF(OR(J560="",K560=""),"",IFERROR(J560/K560*1000,0))</f>
        <v/>
      </c>
      <c r="Q560" s="47" t="str">
        <f aca="false">IF(OR(L560="",K560=""),"",IFERROR(L560/K560*1000,0))</f>
        <v/>
      </c>
      <c r="R560" s="47" t="str">
        <f aca="false">IF(OR(M560="High",M560="Critical"),"YES","")</f>
        <v/>
      </c>
    </row>
    <row r="561" customFormat="false" ht="15" hidden="false" customHeight="true" outlineLevel="0" collapsed="false">
      <c r="A561" s="47" t="n">
        <f aca="false">'Fault &amp; Downtime Entry'!A562</f>
        <v>557</v>
      </c>
      <c r="B561" s="48" t="n">
        <f aca="false">'Fault &amp; Downtime Entry'!B562</f>
        <v>0</v>
      </c>
      <c r="C561" s="47" t="n">
        <f aca="false">'Fault &amp; Downtime Entry'!C562</f>
        <v>0</v>
      </c>
      <c r="D561" s="47" t="n">
        <f aca="false">'Fault &amp; Downtime Entry'!D562</f>
        <v>0</v>
      </c>
      <c r="E561" s="47" t="n">
        <f aca="false">'Fault &amp; Downtime Entry'!E562</f>
        <v>0</v>
      </c>
      <c r="F561" s="47" t="str">
        <f aca="false">'Fault &amp; Downtime Entry'!F562</f>
        <v/>
      </c>
      <c r="G561" s="47" t="n">
        <f aca="false">'Fault &amp; Downtime Entry'!G562</f>
        <v>0</v>
      </c>
      <c r="H561" s="47" t="str">
        <f aca="false">'Fault &amp; Downtime Entry'!H562</f>
        <v/>
      </c>
      <c r="I561" s="47" t="str">
        <f aca="false">'Fault &amp; Downtime Entry'!I562</f>
        <v/>
      </c>
      <c r="J561" s="47" t="n">
        <f aca="false">'Fault &amp; Downtime Entry'!J562</f>
        <v>0</v>
      </c>
      <c r="K561" s="47" t="n">
        <f aca="false">'Fault &amp; Downtime Entry'!K562</f>
        <v>0</v>
      </c>
      <c r="L561" s="47" t="n">
        <f aca="false">'Fault &amp; Downtime Entry'!L562</f>
        <v>0</v>
      </c>
      <c r="M561" s="47" t="str">
        <f aca="false">'Fault &amp; Downtime Entry'!M562</f>
        <v/>
      </c>
      <c r="N561" s="47" t="n">
        <f aca="false">'Fault &amp; Downtime Entry'!N562</f>
        <v>0</v>
      </c>
      <c r="O561" s="47" t="n">
        <f aca="false">'Fault &amp; Downtime Entry'!O562</f>
        <v>0</v>
      </c>
      <c r="P561" s="47" t="str">
        <f aca="false">IF(OR(J561="",K561=""),"",IFERROR(J561/K561*1000,0))</f>
        <v/>
      </c>
      <c r="Q561" s="47" t="str">
        <f aca="false">IF(OR(L561="",K561=""),"",IFERROR(L561/K561*1000,0))</f>
        <v/>
      </c>
      <c r="R561" s="47" t="str">
        <f aca="false">IF(OR(M561="High",M561="Critical"),"YES","")</f>
        <v/>
      </c>
    </row>
    <row r="562" customFormat="false" ht="15" hidden="false" customHeight="true" outlineLevel="0" collapsed="false">
      <c r="A562" s="47" t="n">
        <f aca="false">'Fault &amp; Downtime Entry'!A563</f>
        <v>558</v>
      </c>
      <c r="B562" s="48" t="n">
        <f aca="false">'Fault &amp; Downtime Entry'!B563</f>
        <v>0</v>
      </c>
      <c r="C562" s="47" t="n">
        <f aca="false">'Fault &amp; Downtime Entry'!C563</f>
        <v>0</v>
      </c>
      <c r="D562" s="47" t="n">
        <f aca="false">'Fault &amp; Downtime Entry'!D563</f>
        <v>0</v>
      </c>
      <c r="E562" s="47" t="n">
        <f aca="false">'Fault &amp; Downtime Entry'!E563</f>
        <v>0</v>
      </c>
      <c r="F562" s="47" t="str">
        <f aca="false">'Fault &amp; Downtime Entry'!F563</f>
        <v/>
      </c>
      <c r="G562" s="47" t="n">
        <f aca="false">'Fault &amp; Downtime Entry'!G563</f>
        <v>0</v>
      </c>
      <c r="H562" s="47" t="str">
        <f aca="false">'Fault &amp; Downtime Entry'!H563</f>
        <v/>
      </c>
      <c r="I562" s="47" t="str">
        <f aca="false">'Fault &amp; Downtime Entry'!I563</f>
        <v/>
      </c>
      <c r="J562" s="47" t="n">
        <f aca="false">'Fault &amp; Downtime Entry'!J563</f>
        <v>0</v>
      </c>
      <c r="K562" s="47" t="n">
        <f aca="false">'Fault &amp; Downtime Entry'!K563</f>
        <v>0</v>
      </c>
      <c r="L562" s="47" t="n">
        <f aca="false">'Fault &amp; Downtime Entry'!L563</f>
        <v>0</v>
      </c>
      <c r="M562" s="47" t="str">
        <f aca="false">'Fault &amp; Downtime Entry'!M563</f>
        <v/>
      </c>
      <c r="N562" s="47" t="n">
        <f aca="false">'Fault &amp; Downtime Entry'!N563</f>
        <v>0</v>
      </c>
      <c r="O562" s="47" t="n">
        <f aca="false">'Fault &amp; Downtime Entry'!O563</f>
        <v>0</v>
      </c>
      <c r="P562" s="47" t="str">
        <f aca="false">IF(OR(J562="",K562=""),"",IFERROR(J562/K562*1000,0))</f>
        <v/>
      </c>
      <c r="Q562" s="47" t="str">
        <f aca="false">IF(OR(L562="",K562=""),"",IFERROR(L562/K562*1000,0))</f>
        <v/>
      </c>
      <c r="R562" s="47" t="str">
        <f aca="false">IF(OR(M562="High",M562="Critical"),"YES","")</f>
        <v/>
      </c>
    </row>
    <row r="563" customFormat="false" ht="15" hidden="false" customHeight="true" outlineLevel="0" collapsed="false">
      <c r="A563" s="47" t="n">
        <f aca="false">'Fault &amp; Downtime Entry'!A564</f>
        <v>559</v>
      </c>
      <c r="B563" s="48" t="n">
        <f aca="false">'Fault &amp; Downtime Entry'!B564</f>
        <v>0</v>
      </c>
      <c r="C563" s="47" t="n">
        <f aca="false">'Fault &amp; Downtime Entry'!C564</f>
        <v>0</v>
      </c>
      <c r="D563" s="47" t="n">
        <f aca="false">'Fault &amp; Downtime Entry'!D564</f>
        <v>0</v>
      </c>
      <c r="E563" s="47" t="n">
        <f aca="false">'Fault &amp; Downtime Entry'!E564</f>
        <v>0</v>
      </c>
      <c r="F563" s="47" t="str">
        <f aca="false">'Fault &amp; Downtime Entry'!F564</f>
        <v/>
      </c>
      <c r="G563" s="47" t="n">
        <f aca="false">'Fault &amp; Downtime Entry'!G564</f>
        <v>0</v>
      </c>
      <c r="H563" s="47" t="str">
        <f aca="false">'Fault &amp; Downtime Entry'!H564</f>
        <v/>
      </c>
      <c r="I563" s="47" t="str">
        <f aca="false">'Fault &amp; Downtime Entry'!I564</f>
        <v/>
      </c>
      <c r="J563" s="47" t="n">
        <f aca="false">'Fault &amp; Downtime Entry'!J564</f>
        <v>0</v>
      </c>
      <c r="K563" s="47" t="n">
        <f aca="false">'Fault &amp; Downtime Entry'!K564</f>
        <v>0</v>
      </c>
      <c r="L563" s="47" t="n">
        <f aca="false">'Fault &amp; Downtime Entry'!L564</f>
        <v>0</v>
      </c>
      <c r="M563" s="47" t="str">
        <f aca="false">'Fault &amp; Downtime Entry'!M564</f>
        <v/>
      </c>
      <c r="N563" s="47" t="n">
        <f aca="false">'Fault &amp; Downtime Entry'!N564</f>
        <v>0</v>
      </c>
      <c r="O563" s="47" t="n">
        <f aca="false">'Fault &amp; Downtime Entry'!O564</f>
        <v>0</v>
      </c>
      <c r="P563" s="47" t="str">
        <f aca="false">IF(OR(J563="",K563=""),"",IFERROR(J563/K563*1000,0))</f>
        <v/>
      </c>
      <c r="Q563" s="47" t="str">
        <f aca="false">IF(OR(L563="",K563=""),"",IFERROR(L563/K563*1000,0))</f>
        <v/>
      </c>
      <c r="R563" s="47" t="str">
        <f aca="false">IF(OR(M563="High",M563="Critical"),"YES","")</f>
        <v/>
      </c>
    </row>
    <row r="564" customFormat="false" ht="15" hidden="false" customHeight="true" outlineLevel="0" collapsed="false">
      <c r="A564" s="47" t="n">
        <f aca="false">'Fault &amp; Downtime Entry'!A565</f>
        <v>560</v>
      </c>
      <c r="B564" s="48" t="n">
        <f aca="false">'Fault &amp; Downtime Entry'!B565</f>
        <v>0</v>
      </c>
      <c r="C564" s="47" t="n">
        <f aca="false">'Fault &amp; Downtime Entry'!C565</f>
        <v>0</v>
      </c>
      <c r="D564" s="47" t="n">
        <f aca="false">'Fault &amp; Downtime Entry'!D565</f>
        <v>0</v>
      </c>
      <c r="E564" s="47" t="n">
        <f aca="false">'Fault &amp; Downtime Entry'!E565</f>
        <v>0</v>
      </c>
      <c r="F564" s="47" t="str">
        <f aca="false">'Fault &amp; Downtime Entry'!F565</f>
        <v/>
      </c>
      <c r="G564" s="47" t="n">
        <f aca="false">'Fault &amp; Downtime Entry'!G565</f>
        <v>0</v>
      </c>
      <c r="H564" s="47" t="str">
        <f aca="false">'Fault &amp; Downtime Entry'!H565</f>
        <v/>
      </c>
      <c r="I564" s="47" t="str">
        <f aca="false">'Fault &amp; Downtime Entry'!I565</f>
        <v/>
      </c>
      <c r="J564" s="47" t="n">
        <f aca="false">'Fault &amp; Downtime Entry'!J565</f>
        <v>0</v>
      </c>
      <c r="K564" s="47" t="n">
        <f aca="false">'Fault &amp; Downtime Entry'!K565</f>
        <v>0</v>
      </c>
      <c r="L564" s="47" t="n">
        <f aca="false">'Fault &amp; Downtime Entry'!L565</f>
        <v>0</v>
      </c>
      <c r="M564" s="47" t="str">
        <f aca="false">'Fault &amp; Downtime Entry'!M565</f>
        <v/>
      </c>
      <c r="N564" s="47" t="n">
        <f aca="false">'Fault &amp; Downtime Entry'!N565</f>
        <v>0</v>
      </c>
      <c r="O564" s="47" t="n">
        <f aca="false">'Fault &amp; Downtime Entry'!O565</f>
        <v>0</v>
      </c>
      <c r="P564" s="47" t="str">
        <f aca="false">IF(OR(J564="",K564=""),"",IFERROR(J564/K564*1000,0))</f>
        <v/>
      </c>
      <c r="Q564" s="47" t="str">
        <f aca="false">IF(OR(L564="",K564=""),"",IFERROR(L564/K564*1000,0))</f>
        <v/>
      </c>
      <c r="R564" s="47" t="str">
        <f aca="false">IF(OR(M564="High",M564="Critical"),"YES","")</f>
        <v/>
      </c>
    </row>
    <row r="565" customFormat="false" ht="15" hidden="false" customHeight="true" outlineLevel="0" collapsed="false">
      <c r="A565" s="47" t="n">
        <f aca="false">'Fault &amp; Downtime Entry'!A566</f>
        <v>561</v>
      </c>
      <c r="B565" s="48" t="n">
        <f aca="false">'Fault &amp; Downtime Entry'!B566</f>
        <v>0</v>
      </c>
      <c r="C565" s="47" t="n">
        <f aca="false">'Fault &amp; Downtime Entry'!C566</f>
        <v>0</v>
      </c>
      <c r="D565" s="47" t="n">
        <f aca="false">'Fault &amp; Downtime Entry'!D566</f>
        <v>0</v>
      </c>
      <c r="E565" s="47" t="n">
        <f aca="false">'Fault &amp; Downtime Entry'!E566</f>
        <v>0</v>
      </c>
      <c r="F565" s="47" t="str">
        <f aca="false">'Fault &amp; Downtime Entry'!F566</f>
        <v/>
      </c>
      <c r="G565" s="47" t="n">
        <f aca="false">'Fault &amp; Downtime Entry'!G566</f>
        <v>0</v>
      </c>
      <c r="H565" s="47" t="str">
        <f aca="false">'Fault &amp; Downtime Entry'!H566</f>
        <v/>
      </c>
      <c r="I565" s="47" t="str">
        <f aca="false">'Fault &amp; Downtime Entry'!I566</f>
        <v/>
      </c>
      <c r="J565" s="47" t="n">
        <f aca="false">'Fault &amp; Downtime Entry'!J566</f>
        <v>0</v>
      </c>
      <c r="K565" s="47" t="n">
        <f aca="false">'Fault &amp; Downtime Entry'!K566</f>
        <v>0</v>
      </c>
      <c r="L565" s="47" t="n">
        <f aca="false">'Fault &amp; Downtime Entry'!L566</f>
        <v>0</v>
      </c>
      <c r="M565" s="47" t="str">
        <f aca="false">'Fault &amp; Downtime Entry'!M566</f>
        <v/>
      </c>
      <c r="N565" s="47" t="n">
        <f aca="false">'Fault &amp; Downtime Entry'!N566</f>
        <v>0</v>
      </c>
      <c r="O565" s="47" t="n">
        <f aca="false">'Fault &amp; Downtime Entry'!O566</f>
        <v>0</v>
      </c>
      <c r="P565" s="47" t="str">
        <f aca="false">IF(OR(J565="",K565=""),"",IFERROR(J565/K565*1000,0))</f>
        <v/>
      </c>
      <c r="Q565" s="47" t="str">
        <f aca="false">IF(OR(L565="",K565=""),"",IFERROR(L565/K565*1000,0))</f>
        <v/>
      </c>
      <c r="R565" s="47" t="str">
        <f aca="false">IF(OR(M565="High",M565="Critical"),"YES","")</f>
        <v/>
      </c>
    </row>
    <row r="566" customFormat="false" ht="15" hidden="false" customHeight="true" outlineLevel="0" collapsed="false">
      <c r="A566" s="47" t="n">
        <f aca="false">'Fault &amp; Downtime Entry'!A567</f>
        <v>562</v>
      </c>
      <c r="B566" s="48" t="n">
        <f aca="false">'Fault &amp; Downtime Entry'!B567</f>
        <v>0</v>
      </c>
      <c r="C566" s="47" t="n">
        <f aca="false">'Fault &amp; Downtime Entry'!C567</f>
        <v>0</v>
      </c>
      <c r="D566" s="47" t="n">
        <f aca="false">'Fault &amp; Downtime Entry'!D567</f>
        <v>0</v>
      </c>
      <c r="E566" s="47" t="n">
        <f aca="false">'Fault &amp; Downtime Entry'!E567</f>
        <v>0</v>
      </c>
      <c r="F566" s="47" t="str">
        <f aca="false">'Fault &amp; Downtime Entry'!F567</f>
        <v/>
      </c>
      <c r="G566" s="47" t="n">
        <f aca="false">'Fault &amp; Downtime Entry'!G567</f>
        <v>0</v>
      </c>
      <c r="H566" s="47" t="str">
        <f aca="false">'Fault &amp; Downtime Entry'!H567</f>
        <v/>
      </c>
      <c r="I566" s="47" t="str">
        <f aca="false">'Fault &amp; Downtime Entry'!I567</f>
        <v/>
      </c>
      <c r="J566" s="47" t="n">
        <f aca="false">'Fault &amp; Downtime Entry'!J567</f>
        <v>0</v>
      </c>
      <c r="K566" s="47" t="n">
        <f aca="false">'Fault &amp; Downtime Entry'!K567</f>
        <v>0</v>
      </c>
      <c r="L566" s="47" t="n">
        <f aca="false">'Fault &amp; Downtime Entry'!L567</f>
        <v>0</v>
      </c>
      <c r="M566" s="47" t="str">
        <f aca="false">'Fault &amp; Downtime Entry'!M567</f>
        <v/>
      </c>
      <c r="N566" s="47" t="n">
        <f aca="false">'Fault &amp; Downtime Entry'!N567</f>
        <v>0</v>
      </c>
      <c r="O566" s="47" t="n">
        <f aca="false">'Fault &amp; Downtime Entry'!O567</f>
        <v>0</v>
      </c>
      <c r="P566" s="47" t="str">
        <f aca="false">IF(OR(J566="",K566=""),"",IFERROR(J566/K566*1000,0))</f>
        <v/>
      </c>
      <c r="Q566" s="47" t="str">
        <f aca="false">IF(OR(L566="",K566=""),"",IFERROR(L566/K566*1000,0))</f>
        <v/>
      </c>
      <c r="R566" s="47" t="str">
        <f aca="false">IF(OR(M566="High",M566="Critical"),"YES","")</f>
        <v/>
      </c>
    </row>
    <row r="567" customFormat="false" ht="15" hidden="false" customHeight="true" outlineLevel="0" collapsed="false">
      <c r="A567" s="47" t="n">
        <f aca="false">'Fault &amp; Downtime Entry'!A568</f>
        <v>563</v>
      </c>
      <c r="B567" s="48" t="n">
        <f aca="false">'Fault &amp; Downtime Entry'!B568</f>
        <v>0</v>
      </c>
      <c r="C567" s="47" t="n">
        <f aca="false">'Fault &amp; Downtime Entry'!C568</f>
        <v>0</v>
      </c>
      <c r="D567" s="47" t="n">
        <f aca="false">'Fault &amp; Downtime Entry'!D568</f>
        <v>0</v>
      </c>
      <c r="E567" s="47" t="n">
        <f aca="false">'Fault &amp; Downtime Entry'!E568</f>
        <v>0</v>
      </c>
      <c r="F567" s="47" t="str">
        <f aca="false">'Fault &amp; Downtime Entry'!F568</f>
        <v/>
      </c>
      <c r="G567" s="47" t="n">
        <f aca="false">'Fault &amp; Downtime Entry'!G568</f>
        <v>0</v>
      </c>
      <c r="H567" s="47" t="str">
        <f aca="false">'Fault &amp; Downtime Entry'!H568</f>
        <v/>
      </c>
      <c r="I567" s="47" t="str">
        <f aca="false">'Fault &amp; Downtime Entry'!I568</f>
        <v/>
      </c>
      <c r="J567" s="47" t="n">
        <f aca="false">'Fault &amp; Downtime Entry'!J568</f>
        <v>0</v>
      </c>
      <c r="K567" s="47" t="n">
        <f aca="false">'Fault &amp; Downtime Entry'!K568</f>
        <v>0</v>
      </c>
      <c r="L567" s="47" t="n">
        <f aca="false">'Fault &amp; Downtime Entry'!L568</f>
        <v>0</v>
      </c>
      <c r="M567" s="47" t="str">
        <f aca="false">'Fault &amp; Downtime Entry'!M568</f>
        <v/>
      </c>
      <c r="N567" s="47" t="n">
        <f aca="false">'Fault &amp; Downtime Entry'!N568</f>
        <v>0</v>
      </c>
      <c r="O567" s="47" t="n">
        <f aca="false">'Fault &amp; Downtime Entry'!O568</f>
        <v>0</v>
      </c>
      <c r="P567" s="47" t="str">
        <f aca="false">IF(OR(J567="",K567=""),"",IFERROR(J567/K567*1000,0))</f>
        <v/>
      </c>
      <c r="Q567" s="47" t="str">
        <f aca="false">IF(OR(L567="",K567=""),"",IFERROR(L567/K567*1000,0))</f>
        <v/>
      </c>
      <c r="R567" s="47" t="str">
        <f aca="false">IF(OR(M567="High",M567="Critical"),"YES","")</f>
        <v/>
      </c>
    </row>
    <row r="568" customFormat="false" ht="15" hidden="false" customHeight="true" outlineLevel="0" collapsed="false">
      <c r="A568" s="47" t="n">
        <f aca="false">'Fault &amp; Downtime Entry'!A569</f>
        <v>564</v>
      </c>
      <c r="B568" s="48" t="n">
        <f aca="false">'Fault &amp; Downtime Entry'!B569</f>
        <v>0</v>
      </c>
      <c r="C568" s="47" t="n">
        <f aca="false">'Fault &amp; Downtime Entry'!C569</f>
        <v>0</v>
      </c>
      <c r="D568" s="47" t="n">
        <f aca="false">'Fault &amp; Downtime Entry'!D569</f>
        <v>0</v>
      </c>
      <c r="E568" s="47" t="n">
        <f aca="false">'Fault &amp; Downtime Entry'!E569</f>
        <v>0</v>
      </c>
      <c r="F568" s="47" t="str">
        <f aca="false">'Fault &amp; Downtime Entry'!F569</f>
        <v/>
      </c>
      <c r="G568" s="47" t="n">
        <f aca="false">'Fault &amp; Downtime Entry'!G569</f>
        <v>0</v>
      </c>
      <c r="H568" s="47" t="str">
        <f aca="false">'Fault &amp; Downtime Entry'!H569</f>
        <v/>
      </c>
      <c r="I568" s="47" t="str">
        <f aca="false">'Fault &amp; Downtime Entry'!I569</f>
        <v/>
      </c>
      <c r="J568" s="47" t="n">
        <f aca="false">'Fault &amp; Downtime Entry'!J569</f>
        <v>0</v>
      </c>
      <c r="K568" s="47" t="n">
        <f aca="false">'Fault &amp; Downtime Entry'!K569</f>
        <v>0</v>
      </c>
      <c r="L568" s="47" t="n">
        <f aca="false">'Fault &amp; Downtime Entry'!L569</f>
        <v>0</v>
      </c>
      <c r="M568" s="47" t="str">
        <f aca="false">'Fault &amp; Downtime Entry'!M569</f>
        <v/>
      </c>
      <c r="N568" s="47" t="n">
        <f aca="false">'Fault &amp; Downtime Entry'!N569</f>
        <v>0</v>
      </c>
      <c r="O568" s="47" t="n">
        <f aca="false">'Fault &amp; Downtime Entry'!O569</f>
        <v>0</v>
      </c>
      <c r="P568" s="47" t="str">
        <f aca="false">IF(OR(J568="",K568=""),"",IFERROR(J568/K568*1000,0))</f>
        <v/>
      </c>
      <c r="Q568" s="47" t="str">
        <f aca="false">IF(OR(L568="",K568=""),"",IFERROR(L568/K568*1000,0))</f>
        <v/>
      </c>
      <c r="R568" s="47" t="str">
        <f aca="false">IF(OR(M568="High",M568="Critical"),"YES","")</f>
        <v/>
      </c>
    </row>
    <row r="569" customFormat="false" ht="15" hidden="false" customHeight="true" outlineLevel="0" collapsed="false">
      <c r="A569" s="47" t="n">
        <f aca="false">'Fault &amp; Downtime Entry'!A570</f>
        <v>565</v>
      </c>
      <c r="B569" s="48" t="n">
        <f aca="false">'Fault &amp; Downtime Entry'!B570</f>
        <v>0</v>
      </c>
      <c r="C569" s="47" t="n">
        <f aca="false">'Fault &amp; Downtime Entry'!C570</f>
        <v>0</v>
      </c>
      <c r="D569" s="47" t="n">
        <f aca="false">'Fault &amp; Downtime Entry'!D570</f>
        <v>0</v>
      </c>
      <c r="E569" s="47" t="n">
        <f aca="false">'Fault &amp; Downtime Entry'!E570</f>
        <v>0</v>
      </c>
      <c r="F569" s="47" t="str">
        <f aca="false">'Fault &amp; Downtime Entry'!F570</f>
        <v/>
      </c>
      <c r="G569" s="47" t="n">
        <f aca="false">'Fault &amp; Downtime Entry'!G570</f>
        <v>0</v>
      </c>
      <c r="H569" s="47" t="str">
        <f aca="false">'Fault &amp; Downtime Entry'!H570</f>
        <v/>
      </c>
      <c r="I569" s="47" t="str">
        <f aca="false">'Fault &amp; Downtime Entry'!I570</f>
        <v/>
      </c>
      <c r="J569" s="47" t="n">
        <f aca="false">'Fault &amp; Downtime Entry'!J570</f>
        <v>0</v>
      </c>
      <c r="K569" s="47" t="n">
        <f aca="false">'Fault &amp; Downtime Entry'!K570</f>
        <v>0</v>
      </c>
      <c r="L569" s="47" t="n">
        <f aca="false">'Fault &amp; Downtime Entry'!L570</f>
        <v>0</v>
      </c>
      <c r="M569" s="47" t="str">
        <f aca="false">'Fault &amp; Downtime Entry'!M570</f>
        <v/>
      </c>
      <c r="N569" s="47" t="n">
        <f aca="false">'Fault &amp; Downtime Entry'!N570</f>
        <v>0</v>
      </c>
      <c r="O569" s="47" t="n">
        <f aca="false">'Fault &amp; Downtime Entry'!O570</f>
        <v>0</v>
      </c>
      <c r="P569" s="47" t="str">
        <f aca="false">IF(OR(J569="",K569=""),"",IFERROR(J569/K569*1000,0))</f>
        <v/>
      </c>
      <c r="Q569" s="47" t="str">
        <f aca="false">IF(OR(L569="",K569=""),"",IFERROR(L569/K569*1000,0))</f>
        <v/>
      </c>
      <c r="R569" s="47" t="str">
        <f aca="false">IF(OR(M569="High",M569="Critical"),"YES","")</f>
        <v/>
      </c>
    </row>
    <row r="570" customFormat="false" ht="15" hidden="false" customHeight="true" outlineLevel="0" collapsed="false">
      <c r="A570" s="47" t="n">
        <f aca="false">'Fault &amp; Downtime Entry'!A571</f>
        <v>566</v>
      </c>
      <c r="B570" s="48" t="n">
        <f aca="false">'Fault &amp; Downtime Entry'!B571</f>
        <v>0</v>
      </c>
      <c r="C570" s="47" t="n">
        <f aca="false">'Fault &amp; Downtime Entry'!C571</f>
        <v>0</v>
      </c>
      <c r="D570" s="47" t="n">
        <f aca="false">'Fault &amp; Downtime Entry'!D571</f>
        <v>0</v>
      </c>
      <c r="E570" s="47" t="n">
        <f aca="false">'Fault &amp; Downtime Entry'!E571</f>
        <v>0</v>
      </c>
      <c r="F570" s="47" t="str">
        <f aca="false">'Fault &amp; Downtime Entry'!F571</f>
        <v/>
      </c>
      <c r="G570" s="47" t="n">
        <f aca="false">'Fault &amp; Downtime Entry'!G571</f>
        <v>0</v>
      </c>
      <c r="H570" s="47" t="str">
        <f aca="false">'Fault &amp; Downtime Entry'!H571</f>
        <v/>
      </c>
      <c r="I570" s="47" t="str">
        <f aca="false">'Fault &amp; Downtime Entry'!I571</f>
        <v/>
      </c>
      <c r="J570" s="47" t="n">
        <f aca="false">'Fault &amp; Downtime Entry'!J571</f>
        <v>0</v>
      </c>
      <c r="K570" s="47" t="n">
        <f aca="false">'Fault &amp; Downtime Entry'!K571</f>
        <v>0</v>
      </c>
      <c r="L570" s="47" t="n">
        <f aca="false">'Fault &amp; Downtime Entry'!L571</f>
        <v>0</v>
      </c>
      <c r="M570" s="47" t="str">
        <f aca="false">'Fault &amp; Downtime Entry'!M571</f>
        <v/>
      </c>
      <c r="N570" s="47" t="n">
        <f aca="false">'Fault &amp; Downtime Entry'!N571</f>
        <v>0</v>
      </c>
      <c r="O570" s="47" t="n">
        <f aca="false">'Fault &amp; Downtime Entry'!O571</f>
        <v>0</v>
      </c>
      <c r="P570" s="47" t="str">
        <f aca="false">IF(OR(J570="",K570=""),"",IFERROR(J570/K570*1000,0))</f>
        <v/>
      </c>
      <c r="Q570" s="47" t="str">
        <f aca="false">IF(OR(L570="",K570=""),"",IFERROR(L570/K570*1000,0))</f>
        <v/>
      </c>
      <c r="R570" s="47" t="str">
        <f aca="false">IF(OR(M570="High",M570="Critical"),"YES","")</f>
        <v/>
      </c>
    </row>
    <row r="571" customFormat="false" ht="15" hidden="false" customHeight="true" outlineLevel="0" collapsed="false">
      <c r="A571" s="47" t="n">
        <f aca="false">'Fault &amp; Downtime Entry'!A572</f>
        <v>567</v>
      </c>
      <c r="B571" s="48" t="n">
        <f aca="false">'Fault &amp; Downtime Entry'!B572</f>
        <v>0</v>
      </c>
      <c r="C571" s="47" t="n">
        <f aca="false">'Fault &amp; Downtime Entry'!C572</f>
        <v>0</v>
      </c>
      <c r="D571" s="47" t="n">
        <f aca="false">'Fault &amp; Downtime Entry'!D572</f>
        <v>0</v>
      </c>
      <c r="E571" s="47" t="n">
        <f aca="false">'Fault &amp; Downtime Entry'!E572</f>
        <v>0</v>
      </c>
      <c r="F571" s="47" t="str">
        <f aca="false">'Fault &amp; Downtime Entry'!F572</f>
        <v/>
      </c>
      <c r="G571" s="47" t="n">
        <f aca="false">'Fault &amp; Downtime Entry'!G572</f>
        <v>0</v>
      </c>
      <c r="H571" s="47" t="str">
        <f aca="false">'Fault &amp; Downtime Entry'!H572</f>
        <v/>
      </c>
      <c r="I571" s="47" t="str">
        <f aca="false">'Fault &amp; Downtime Entry'!I572</f>
        <v/>
      </c>
      <c r="J571" s="47" t="n">
        <f aca="false">'Fault &amp; Downtime Entry'!J572</f>
        <v>0</v>
      </c>
      <c r="K571" s="47" t="n">
        <f aca="false">'Fault &amp; Downtime Entry'!K572</f>
        <v>0</v>
      </c>
      <c r="L571" s="47" t="n">
        <f aca="false">'Fault &amp; Downtime Entry'!L572</f>
        <v>0</v>
      </c>
      <c r="M571" s="47" t="str">
        <f aca="false">'Fault &amp; Downtime Entry'!M572</f>
        <v/>
      </c>
      <c r="N571" s="47" t="n">
        <f aca="false">'Fault &amp; Downtime Entry'!N572</f>
        <v>0</v>
      </c>
      <c r="O571" s="47" t="n">
        <f aca="false">'Fault &amp; Downtime Entry'!O572</f>
        <v>0</v>
      </c>
      <c r="P571" s="47" t="str">
        <f aca="false">IF(OR(J571="",K571=""),"",IFERROR(J571/K571*1000,0))</f>
        <v/>
      </c>
      <c r="Q571" s="47" t="str">
        <f aca="false">IF(OR(L571="",K571=""),"",IFERROR(L571/K571*1000,0))</f>
        <v/>
      </c>
      <c r="R571" s="47" t="str">
        <f aca="false">IF(OR(M571="High",M571="Critical"),"YES","")</f>
        <v/>
      </c>
    </row>
    <row r="572" customFormat="false" ht="15" hidden="false" customHeight="true" outlineLevel="0" collapsed="false">
      <c r="A572" s="47" t="n">
        <f aca="false">'Fault &amp; Downtime Entry'!A573</f>
        <v>568</v>
      </c>
      <c r="B572" s="48" t="n">
        <f aca="false">'Fault &amp; Downtime Entry'!B573</f>
        <v>0</v>
      </c>
      <c r="C572" s="47" t="n">
        <f aca="false">'Fault &amp; Downtime Entry'!C573</f>
        <v>0</v>
      </c>
      <c r="D572" s="47" t="n">
        <f aca="false">'Fault &amp; Downtime Entry'!D573</f>
        <v>0</v>
      </c>
      <c r="E572" s="47" t="n">
        <f aca="false">'Fault &amp; Downtime Entry'!E573</f>
        <v>0</v>
      </c>
      <c r="F572" s="47" t="str">
        <f aca="false">'Fault &amp; Downtime Entry'!F573</f>
        <v/>
      </c>
      <c r="G572" s="47" t="n">
        <f aca="false">'Fault &amp; Downtime Entry'!G573</f>
        <v>0</v>
      </c>
      <c r="H572" s="47" t="str">
        <f aca="false">'Fault &amp; Downtime Entry'!H573</f>
        <v/>
      </c>
      <c r="I572" s="47" t="str">
        <f aca="false">'Fault &amp; Downtime Entry'!I573</f>
        <v/>
      </c>
      <c r="J572" s="47" t="n">
        <f aca="false">'Fault &amp; Downtime Entry'!J573</f>
        <v>0</v>
      </c>
      <c r="K572" s="47" t="n">
        <f aca="false">'Fault &amp; Downtime Entry'!K573</f>
        <v>0</v>
      </c>
      <c r="L572" s="47" t="n">
        <f aca="false">'Fault &amp; Downtime Entry'!L573</f>
        <v>0</v>
      </c>
      <c r="M572" s="47" t="str">
        <f aca="false">'Fault &amp; Downtime Entry'!M573</f>
        <v/>
      </c>
      <c r="N572" s="47" t="n">
        <f aca="false">'Fault &amp; Downtime Entry'!N573</f>
        <v>0</v>
      </c>
      <c r="O572" s="47" t="n">
        <f aca="false">'Fault &amp; Downtime Entry'!O573</f>
        <v>0</v>
      </c>
      <c r="P572" s="47" t="str">
        <f aca="false">IF(OR(J572="",K572=""),"",IFERROR(J572/K572*1000,0))</f>
        <v/>
      </c>
      <c r="Q572" s="47" t="str">
        <f aca="false">IF(OR(L572="",K572=""),"",IFERROR(L572/K572*1000,0))</f>
        <v/>
      </c>
      <c r="R572" s="47" t="str">
        <f aca="false">IF(OR(M572="High",M572="Critical"),"YES","")</f>
        <v/>
      </c>
    </row>
    <row r="573" customFormat="false" ht="15" hidden="false" customHeight="true" outlineLevel="0" collapsed="false">
      <c r="A573" s="47" t="n">
        <f aca="false">'Fault &amp; Downtime Entry'!A574</f>
        <v>569</v>
      </c>
      <c r="B573" s="48" t="n">
        <f aca="false">'Fault &amp; Downtime Entry'!B574</f>
        <v>0</v>
      </c>
      <c r="C573" s="47" t="n">
        <f aca="false">'Fault &amp; Downtime Entry'!C574</f>
        <v>0</v>
      </c>
      <c r="D573" s="47" t="n">
        <f aca="false">'Fault &amp; Downtime Entry'!D574</f>
        <v>0</v>
      </c>
      <c r="E573" s="47" t="n">
        <f aca="false">'Fault &amp; Downtime Entry'!E574</f>
        <v>0</v>
      </c>
      <c r="F573" s="47" t="str">
        <f aca="false">'Fault &amp; Downtime Entry'!F574</f>
        <v/>
      </c>
      <c r="G573" s="47" t="n">
        <f aca="false">'Fault &amp; Downtime Entry'!G574</f>
        <v>0</v>
      </c>
      <c r="H573" s="47" t="str">
        <f aca="false">'Fault &amp; Downtime Entry'!H574</f>
        <v/>
      </c>
      <c r="I573" s="47" t="str">
        <f aca="false">'Fault &amp; Downtime Entry'!I574</f>
        <v/>
      </c>
      <c r="J573" s="47" t="n">
        <f aca="false">'Fault &amp; Downtime Entry'!J574</f>
        <v>0</v>
      </c>
      <c r="K573" s="47" t="n">
        <f aca="false">'Fault &amp; Downtime Entry'!K574</f>
        <v>0</v>
      </c>
      <c r="L573" s="47" t="n">
        <f aca="false">'Fault &amp; Downtime Entry'!L574</f>
        <v>0</v>
      </c>
      <c r="M573" s="47" t="str">
        <f aca="false">'Fault &amp; Downtime Entry'!M574</f>
        <v/>
      </c>
      <c r="N573" s="47" t="n">
        <f aca="false">'Fault &amp; Downtime Entry'!N574</f>
        <v>0</v>
      </c>
      <c r="O573" s="47" t="n">
        <f aca="false">'Fault &amp; Downtime Entry'!O574</f>
        <v>0</v>
      </c>
      <c r="P573" s="47" t="str">
        <f aca="false">IF(OR(J573="",K573=""),"",IFERROR(J573/K573*1000,0))</f>
        <v/>
      </c>
      <c r="Q573" s="47" t="str">
        <f aca="false">IF(OR(L573="",K573=""),"",IFERROR(L573/K573*1000,0))</f>
        <v/>
      </c>
      <c r="R573" s="47" t="str">
        <f aca="false">IF(OR(M573="High",M573="Critical"),"YES","")</f>
        <v/>
      </c>
    </row>
    <row r="574" customFormat="false" ht="15" hidden="false" customHeight="true" outlineLevel="0" collapsed="false">
      <c r="A574" s="47" t="n">
        <f aca="false">'Fault &amp; Downtime Entry'!A575</f>
        <v>570</v>
      </c>
      <c r="B574" s="48" t="n">
        <f aca="false">'Fault &amp; Downtime Entry'!B575</f>
        <v>0</v>
      </c>
      <c r="C574" s="47" t="n">
        <f aca="false">'Fault &amp; Downtime Entry'!C575</f>
        <v>0</v>
      </c>
      <c r="D574" s="47" t="n">
        <f aca="false">'Fault &amp; Downtime Entry'!D575</f>
        <v>0</v>
      </c>
      <c r="E574" s="47" t="n">
        <f aca="false">'Fault &amp; Downtime Entry'!E575</f>
        <v>0</v>
      </c>
      <c r="F574" s="47" t="str">
        <f aca="false">'Fault &amp; Downtime Entry'!F575</f>
        <v/>
      </c>
      <c r="G574" s="47" t="n">
        <f aca="false">'Fault &amp; Downtime Entry'!G575</f>
        <v>0</v>
      </c>
      <c r="H574" s="47" t="str">
        <f aca="false">'Fault &amp; Downtime Entry'!H575</f>
        <v/>
      </c>
      <c r="I574" s="47" t="str">
        <f aca="false">'Fault &amp; Downtime Entry'!I575</f>
        <v/>
      </c>
      <c r="J574" s="47" t="n">
        <f aca="false">'Fault &amp; Downtime Entry'!J575</f>
        <v>0</v>
      </c>
      <c r="K574" s="47" t="n">
        <f aca="false">'Fault &amp; Downtime Entry'!K575</f>
        <v>0</v>
      </c>
      <c r="L574" s="47" t="n">
        <f aca="false">'Fault &amp; Downtime Entry'!L575</f>
        <v>0</v>
      </c>
      <c r="M574" s="47" t="str">
        <f aca="false">'Fault &amp; Downtime Entry'!M575</f>
        <v/>
      </c>
      <c r="N574" s="47" t="n">
        <f aca="false">'Fault &amp; Downtime Entry'!N575</f>
        <v>0</v>
      </c>
      <c r="O574" s="47" t="n">
        <f aca="false">'Fault &amp; Downtime Entry'!O575</f>
        <v>0</v>
      </c>
      <c r="P574" s="47" t="str">
        <f aca="false">IF(OR(J574="",K574=""),"",IFERROR(J574/K574*1000,0))</f>
        <v/>
      </c>
      <c r="Q574" s="47" t="str">
        <f aca="false">IF(OR(L574="",K574=""),"",IFERROR(L574/K574*1000,0))</f>
        <v/>
      </c>
      <c r="R574" s="47" t="str">
        <f aca="false">IF(OR(M574="High",M574="Critical"),"YES","")</f>
        <v/>
      </c>
    </row>
    <row r="575" customFormat="false" ht="15" hidden="false" customHeight="true" outlineLevel="0" collapsed="false">
      <c r="A575" s="47" t="n">
        <f aca="false">'Fault &amp; Downtime Entry'!A576</f>
        <v>571</v>
      </c>
      <c r="B575" s="48" t="n">
        <f aca="false">'Fault &amp; Downtime Entry'!B576</f>
        <v>0</v>
      </c>
      <c r="C575" s="47" t="n">
        <f aca="false">'Fault &amp; Downtime Entry'!C576</f>
        <v>0</v>
      </c>
      <c r="D575" s="47" t="n">
        <f aca="false">'Fault &amp; Downtime Entry'!D576</f>
        <v>0</v>
      </c>
      <c r="E575" s="47" t="n">
        <f aca="false">'Fault &amp; Downtime Entry'!E576</f>
        <v>0</v>
      </c>
      <c r="F575" s="47" t="str">
        <f aca="false">'Fault &amp; Downtime Entry'!F576</f>
        <v/>
      </c>
      <c r="G575" s="47" t="n">
        <f aca="false">'Fault &amp; Downtime Entry'!G576</f>
        <v>0</v>
      </c>
      <c r="H575" s="47" t="str">
        <f aca="false">'Fault &amp; Downtime Entry'!H576</f>
        <v/>
      </c>
      <c r="I575" s="47" t="str">
        <f aca="false">'Fault &amp; Downtime Entry'!I576</f>
        <v/>
      </c>
      <c r="J575" s="47" t="n">
        <f aca="false">'Fault &amp; Downtime Entry'!J576</f>
        <v>0</v>
      </c>
      <c r="K575" s="47" t="n">
        <f aca="false">'Fault &amp; Downtime Entry'!K576</f>
        <v>0</v>
      </c>
      <c r="L575" s="47" t="n">
        <f aca="false">'Fault &amp; Downtime Entry'!L576</f>
        <v>0</v>
      </c>
      <c r="M575" s="47" t="str">
        <f aca="false">'Fault &amp; Downtime Entry'!M576</f>
        <v/>
      </c>
      <c r="N575" s="47" t="n">
        <f aca="false">'Fault &amp; Downtime Entry'!N576</f>
        <v>0</v>
      </c>
      <c r="O575" s="47" t="n">
        <f aca="false">'Fault &amp; Downtime Entry'!O576</f>
        <v>0</v>
      </c>
      <c r="P575" s="47" t="str">
        <f aca="false">IF(OR(J575="",K575=""),"",IFERROR(J575/K575*1000,0))</f>
        <v/>
      </c>
      <c r="Q575" s="47" t="str">
        <f aca="false">IF(OR(L575="",K575=""),"",IFERROR(L575/K575*1000,0))</f>
        <v/>
      </c>
      <c r="R575" s="47" t="str">
        <f aca="false">IF(OR(M575="High",M575="Critical"),"YES","")</f>
        <v/>
      </c>
    </row>
    <row r="576" customFormat="false" ht="15" hidden="false" customHeight="true" outlineLevel="0" collapsed="false">
      <c r="A576" s="47" t="n">
        <f aca="false">'Fault &amp; Downtime Entry'!A577</f>
        <v>572</v>
      </c>
      <c r="B576" s="48" t="n">
        <f aca="false">'Fault &amp; Downtime Entry'!B577</f>
        <v>0</v>
      </c>
      <c r="C576" s="47" t="n">
        <f aca="false">'Fault &amp; Downtime Entry'!C577</f>
        <v>0</v>
      </c>
      <c r="D576" s="47" t="n">
        <f aca="false">'Fault &amp; Downtime Entry'!D577</f>
        <v>0</v>
      </c>
      <c r="E576" s="47" t="n">
        <f aca="false">'Fault &amp; Downtime Entry'!E577</f>
        <v>0</v>
      </c>
      <c r="F576" s="47" t="str">
        <f aca="false">'Fault &amp; Downtime Entry'!F577</f>
        <v/>
      </c>
      <c r="G576" s="47" t="n">
        <f aca="false">'Fault &amp; Downtime Entry'!G577</f>
        <v>0</v>
      </c>
      <c r="H576" s="47" t="str">
        <f aca="false">'Fault &amp; Downtime Entry'!H577</f>
        <v/>
      </c>
      <c r="I576" s="47" t="str">
        <f aca="false">'Fault &amp; Downtime Entry'!I577</f>
        <v/>
      </c>
      <c r="J576" s="47" t="n">
        <f aca="false">'Fault &amp; Downtime Entry'!J577</f>
        <v>0</v>
      </c>
      <c r="K576" s="47" t="n">
        <f aca="false">'Fault &amp; Downtime Entry'!K577</f>
        <v>0</v>
      </c>
      <c r="L576" s="47" t="n">
        <f aca="false">'Fault &amp; Downtime Entry'!L577</f>
        <v>0</v>
      </c>
      <c r="M576" s="47" t="str">
        <f aca="false">'Fault &amp; Downtime Entry'!M577</f>
        <v/>
      </c>
      <c r="N576" s="47" t="n">
        <f aca="false">'Fault &amp; Downtime Entry'!N577</f>
        <v>0</v>
      </c>
      <c r="O576" s="47" t="n">
        <f aca="false">'Fault &amp; Downtime Entry'!O577</f>
        <v>0</v>
      </c>
      <c r="P576" s="47" t="str">
        <f aca="false">IF(OR(J576="",K576=""),"",IFERROR(J576/K576*1000,0))</f>
        <v/>
      </c>
      <c r="Q576" s="47" t="str">
        <f aca="false">IF(OR(L576="",K576=""),"",IFERROR(L576/K576*1000,0))</f>
        <v/>
      </c>
      <c r="R576" s="47" t="str">
        <f aca="false">IF(OR(M576="High",M576="Critical"),"YES","")</f>
        <v/>
      </c>
    </row>
    <row r="577" customFormat="false" ht="15" hidden="false" customHeight="true" outlineLevel="0" collapsed="false">
      <c r="A577" s="47" t="n">
        <f aca="false">'Fault &amp; Downtime Entry'!A578</f>
        <v>573</v>
      </c>
      <c r="B577" s="48" t="n">
        <f aca="false">'Fault &amp; Downtime Entry'!B578</f>
        <v>0</v>
      </c>
      <c r="C577" s="47" t="n">
        <f aca="false">'Fault &amp; Downtime Entry'!C578</f>
        <v>0</v>
      </c>
      <c r="D577" s="47" t="n">
        <f aca="false">'Fault &amp; Downtime Entry'!D578</f>
        <v>0</v>
      </c>
      <c r="E577" s="47" t="n">
        <f aca="false">'Fault &amp; Downtime Entry'!E578</f>
        <v>0</v>
      </c>
      <c r="F577" s="47" t="str">
        <f aca="false">'Fault &amp; Downtime Entry'!F578</f>
        <v/>
      </c>
      <c r="G577" s="47" t="n">
        <f aca="false">'Fault &amp; Downtime Entry'!G578</f>
        <v>0</v>
      </c>
      <c r="H577" s="47" t="str">
        <f aca="false">'Fault &amp; Downtime Entry'!H578</f>
        <v/>
      </c>
      <c r="I577" s="47" t="str">
        <f aca="false">'Fault &amp; Downtime Entry'!I578</f>
        <v/>
      </c>
      <c r="J577" s="47" t="n">
        <f aca="false">'Fault &amp; Downtime Entry'!J578</f>
        <v>0</v>
      </c>
      <c r="K577" s="47" t="n">
        <f aca="false">'Fault &amp; Downtime Entry'!K578</f>
        <v>0</v>
      </c>
      <c r="L577" s="47" t="n">
        <f aca="false">'Fault &amp; Downtime Entry'!L578</f>
        <v>0</v>
      </c>
      <c r="M577" s="47" t="str">
        <f aca="false">'Fault &amp; Downtime Entry'!M578</f>
        <v/>
      </c>
      <c r="N577" s="47" t="n">
        <f aca="false">'Fault &amp; Downtime Entry'!N578</f>
        <v>0</v>
      </c>
      <c r="O577" s="47" t="n">
        <f aca="false">'Fault &amp; Downtime Entry'!O578</f>
        <v>0</v>
      </c>
      <c r="P577" s="47" t="str">
        <f aca="false">IF(OR(J577="",K577=""),"",IFERROR(J577/K577*1000,0))</f>
        <v/>
      </c>
      <c r="Q577" s="47" t="str">
        <f aca="false">IF(OR(L577="",K577=""),"",IFERROR(L577/K577*1000,0))</f>
        <v/>
      </c>
      <c r="R577" s="47" t="str">
        <f aca="false">IF(OR(M577="High",M577="Critical"),"YES","")</f>
        <v/>
      </c>
    </row>
    <row r="578" customFormat="false" ht="15" hidden="false" customHeight="true" outlineLevel="0" collapsed="false">
      <c r="A578" s="47" t="n">
        <f aca="false">'Fault &amp; Downtime Entry'!A579</f>
        <v>574</v>
      </c>
      <c r="B578" s="48" t="n">
        <f aca="false">'Fault &amp; Downtime Entry'!B579</f>
        <v>0</v>
      </c>
      <c r="C578" s="47" t="n">
        <f aca="false">'Fault &amp; Downtime Entry'!C579</f>
        <v>0</v>
      </c>
      <c r="D578" s="47" t="n">
        <f aca="false">'Fault &amp; Downtime Entry'!D579</f>
        <v>0</v>
      </c>
      <c r="E578" s="47" t="n">
        <f aca="false">'Fault &amp; Downtime Entry'!E579</f>
        <v>0</v>
      </c>
      <c r="F578" s="47" t="str">
        <f aca="false">'Fault &amp; Downtime Entry'!F579</f>
        <v/>
      </c>
      <c r="G578" s="47" t="n">
        <f aca="false">'Fault &amp; Downtime Entry'!G579</f>
        <v>0</v>
      </c>
      <c r="H578" s="47" t="str">
        <f aca="false">'Fault &amp; Downtime Entry'!H579</f>
        <v/>
      </c>
      <c r="I578" s="47" t="str">
        <f aca="false">'Fault &amp; Downtime Entry'!I579</f>
        <v/>
      </c>
      <c r="J578" s="47" t="n">
        <f aca="false">'Fault &amp; Downtime Entry'!J579</f>
        <v>0</v>
      </c>
      <c r="K578" s="47" t="n">
        <f aca="false">'Fault &amp; Downtime Entry'!K579</f>
        <v>0</v>
      </c>
      <c r="L578" s="47" t="n">
        <f aca="false">'Fault &amp; Downtime Entry'!L579</f>
        <v>0</v>
      </c>
      <c r="M578" s="47" t="str">
        <f aca="false">'Fault &amp; Downtime Entry'!M579</f>
        <v/>
      </c>
      <c r="N578" s="47" t="n">
        <f aca="false">'Fault &amp; Downtime Entry'!N579</f>
        <v>0</v>
      </c>
      <c r="O578" s="47" t="n">
        <f aca="false">'Fault &amp; Downtime Entry'!O579</f>
        <v>0</v>
      </c>
      <c r="P578" s="47" t="str">
        <f aca="false">IF(OR(J578="",K578=""),"",IFERROR(J578/K578*1000,0))</f>
        <v/>
      </c>
      <c r="Q578" s="47" t="str">
        <f aca="false">IF(OR(L578="",K578=""),"",IFERROR(L578/K578*1000,0))</f>
        <v/>
      </c>
      <c r="R578" s="47" t="str">
        <f aca="false">IF(OR(M578="High",M578="Critical"),"YES","")</f>
        <v/>
      </c>
    </row>
    <row r="579" customFormat="false" ht="15" hidden="false" customHeight="true" outlineLevel="0" collapsed="false">
      <c r="A579" s="47" t="n">
        <f aca="false">'Fault &amp; Downtime Entry'!A580</f>
        <v>575</v>
      </c>
      <c r="B579" s="48" t="n">
        <f aca="false">'Fault &amp; Downtime Entry'!B580</f>
        <v>0</v>
      </c>
      <c r="C579" s="47" t="n">
        <f aca="false">'Fault &amp; Downtime Entry'!C580</f>
        <v>0</v>
      </c>
      <c r="D579" s="47" t="n">
        <f aca="false">'Fault &amp; Downtime Entry'!D580</f>
        <v>0</v>
      </c>
      <c r="E579" s="47" t="n">
        <f aca="false">'Fault &amp; Downtime Entry'!E580</f>
        <v>0</v>
      </c>
      <c r="F579" s="47" t="str">
        <f aca="false">'Fault &amp; Downtime Entry'!F580</f>
        <v/>
      </c>
      <c r="G579" s="47" t="n">
        <f aca="false">'Fault &amp; Downtime Entry'!G580</f>
        <v>0</v>
      </c>
      <c r="H579" s="47" t="str">
        <f aca="false">'Fault &amp; Downtime Entry'!H580</f>
        <v/>
      </c>
      <c r="I579" s="47" t="str">
        <f aca="false">'Fault &amp; Downtime Entry'!I580</f>
        <v/>
      </c>
      <c r="J579" s="47" t="n">
        <f aca="false">'Fault &amp; Downtime Entry'!J580</f>
        <v>0</v>
      </c>
      <c r="K579" s="47" t="n">
        <f aca="false">'Fault &amp; Downtime Entry'!K580</f>
        <v>0</v>
      </c>
      <c r="L579" s="47" t="n">
        <f aca="false">'Fault &amp; Downtime Entry'!L580</f>
        <v>0</v>
      </c>
      <c r="M579" s="47" t="str">
        <f aca="false">'Fault &amp; Downtime Entry'!M580</f>
        <v/>
      </c>
      <c r="N579" s="47" t="n">
        <f aca="false">'Fault &amp; Downtime Entry'!N580</f>
        <v>0</v>
      </c>
      <c r="O579" s="47" t="n">
        <f aca="false">'Fault &amp; Downtime Entry'!O580</f>
        <v>0</v>
      </c>
      <c r="P579" s="47" t="str">
        <f aca="false">IF(OR(J579="",K579=""),"",IFERROR(J579/K579*1000,0))</f>
        <v/>
      </c>
      <c r="Q579" s="47" t="str">
        <f aca="false">IF(OR(L579="",K579=""),"",IFERROR(L579/K579*1000,0))</f>
        <v/>
      </c>
      <c r="R579" s="47" t="str">
        <f aca="false">IF(OR(M579="High",M579="Critical"),"YES","")</f>
        <v/>
      </c>
    </row>
    <row r="580" customFormat="false" ht="15" hidden="false" customHeight="true" outlineLevel="0" collapsed="false">
      <c r="A580" s="47" t="n">
        <f aca="false">'Fault &amp; Downtime Entry'!A581</f>
        <v>576</v>
      </c>
      <c r="B580" s="48" t="n">
        <f aca="false">'Fault &amp; Downtime Entry'!B581</f>
        <v>0</v>
      </c>
      <c r="C580" s="47" t="n">
        <f aca="false">'Fault &amp; Downtime Entry'!C581</f>
        <v>0</v>
      </c>
      <c r="D580" s="47" t="n">
        <f aca="false">'Fault &amp; Downtime Entry'!D581</f>
        <v>0</v>
      </c>
      <c r="E580" s="47" t="n">
        <f aca="false">'Fault &amp; Downtime Entry'!E581</f>
        <v>0</v>
      </c>
      <c r="F580" s="47" t="str">
        <f aca="false">'Fault &amp; Downtime Entry'!F581</f>
        <v/>
      </c>
      <c r="G580" s="47" t="n">
        <f aca="false">'Fault &amp; Downtime Entry'!G581</f>
        <v>0</v>
      </c>
      <c r="H580" s="47" t="str">
        <f aca="false">'Fault &amp; Downtime Entry'!H581</f>
        <v/>
      </c>
      <c r="I580" s="47" t="str">
        <f aca="false">'Fault &amp; Downtime Entry'!I581</f>
        <v/>
      </c>
      <c r="J580" s="47" t="n">
        <f aca="false">'Fault &amp; Downtime Entry'!J581</f>
        <v>0</v>
      </c>
      <c r="K580" s="47" t="n">
        <f aca="false">'Fault &amp; Downtime Entry'!K581</f>
        <v>0</v>
      </c>
      <c r="L580" s="47" t="n">
        <f aca="false">'Fault &amp; Downtime Entry'!L581</f>
        <v>0</v>
      </c>
      <c r="M580" s="47" t="str">
        <f aca="false">'Fault &amp; Downtime Entry'!M581</f>
        <v/>
      </c>
      <c r="N580" s="47" t="n">
        <f aca="false">'Fault &amp; Downtime Entry'!N581</f>
        <v>0</v>
      </c>
      <c r="O580" s="47" t="n">
        <f aca="false">'Fault &amp; Downtime Entry'!O581</f>
        <v>0</v>
      </c>
      <c r="P580" s="47" t="str">
        <f aca="false">IF(OR(J580="",K580=""),"",IFERROR(J580/K580*1000,0))</f>
        <v/>
      </c>
      <c r="Q580" s="47" t="str">
        <f aca="false">IF(OR(L580="",K580=""),"",IFERROR(L580/K580*1000,0))</f>
        <v/>
      </c>
      <c r="R580" s="47" t="str">
        <f aca="false">IF(OR(M580="High",M580="Critical"),"YES","")</f>
        <v/>
      </c>
    </row>
    <row r="581" customFormat="false" ht="15" hidden="false" customHeight="true" outlineLevel="0" collapsed="false">
      <c r="A581" s="47" t="n">
        <f aca="false">'Fault &amp; Downtime Entry'!A582</f>
        <v>577</v>
      </c>
      <c r="B581" s="48" t="n">
        <f aca="false">'Fault &amp; Downtime Entry'!B582</f>
        <v>0</v>
      </c>
      <c r="C581" s="47" t="n">
        <f aca="false">'Fault &amp; Downtime Entry'!C582</f>
        <v>0</v>
      </c>
      <c r="D581" s="47" t="n">
        <f aca="false">'Fault &amp; Downtime Entry'!D582</f>
        <v>0</v>
      </c>
      <c r="E581" s="47" t="n">
        <f aca="false">'Fault &amp; Downtime Entry'!E582</f>
        <v>0</v>
      </c>
      <c r="F581" s="47" t="str">
        <f aca="false">'Fault &amp; Downtime Entry'!F582</f>
        <v/>
      </c>
      <c r="G581" s="47" t="n">
        <f aca="false">'Fault &amp; Downtime Entry'!G582</f>
        <v>0</v>
      </c>
      <c r="H581" s="47" t="str">
        <f aca="false">'Fault &amp; Downtime Entry'!H582</f>
        <v/>
      </c>
      <c r="I581" s="47" t="str">
        <f aca="false">'Fault &amp; Downtime Entry'!I582</f>
        <v/>
      </c>
      <c r="J581" s="47" t="n">
        <f aca="false">'Fault &amp; Downtime Entry'!J582</f>
        <v>0</v>
      </c>
      <c r="K581" s="47" t="n">
        <f aca="false">'Fault &amp; Downtime Entry'!K582</f>
        <v>0</v>
      </c>
      <c r="L581" s="47" t="n">
        <f aca="false">'Fault &amp; Downtime Entry'!L582</f>
        <v>0</v>
      </c>
      <c r="M581" s="47" t="str">
        <f aca="false">'Fault &amp; Downtime Entry'!M582</f>
        <v/>
      </c>
      <c r="N581" s="47" t="n">
        <f aca="false">'Fault &amp; Downtime Entry'!N582</f>
        <v>0</v>
      </c>
      <c r="O581" s="47" t="n">
        <f aca="false">'Fault &amp; Downtime Entry'!O582</f>
        <v>0</v>
      </c>
      <c r="P581" s="47" t="str">
        <f aca="false">IF(OR(J581="",K581=""),"",IFERROR(J581/K581*1000,0))</f>
        <v/>
      </c>
      <c r="Q581" s="47" t="str">
        <f aca="false">IF(OR(L581="",K581=""),"",IFERROR(L581/K581*1000,0))</f>
        <v/>
      </c>
      <c r="R581" s="47" t="str">
        <f aca="false">IF(OR(M581="High",M581="Critical"),"YES","")</f>
        <v/>
      </c>
    </row>
    <row r="582" customFormat="false" ht="15" hidden="false" customHeight="true" outlineLevel="0" collapsed="false">
      <c r="A582" s="47" t="n">
        <f aca="false">'Fault &amp; Downtime Entry'!A583</f>
        <v>578</v>
      </c>
      <c r="B582" s="48" t="n">
        <f aca="false">'Fault &amp; Downtime Entry'!B583</f>
        <v>0</v>
      </c>
      <c r="C582" s="47" t="n">
        <f aca="false">'Fault &amp; Downtime Entry'!C583</f>
        <v>0</v>
      </c>
      <c r="D582" s="47" t="n">
        <f aca="false">'Fault &amp; Downtime Entry'!D583</f>
        <v>0</v>
      </c>
      <c r="E582" s="47" t="n">
        <f aca="false">'Fault &amp; Downtime Entry'!E583</f>
        <v>0</v>
      </c>
      <c r="F582" s="47" t="str">
        <f aca="false">'Fault &amp; Downtime Entry'!F583</f>
        <v/>
      </c>
      <c r="G582" s="47" t="n">
        <f aca="false">'Fault &amp; Downtime Entry'!G583</f>
        <v>0</v>
      </c>
      <c r="H582" s="47" t="str">
        <f aca="false">'Fault &amp; Downtime Entry'!H583</f>
        <v/>
      </c>
      <c r="I582" s="47" t="str">
        <f aca="false">'Fault &amp; Downtime Entry'!I583</f>
        <v/>
      </c>
      <c r="J582" s="47" t="n">
        <f aca="false">'Fault &amp; Downtime Entry'!J583</f>
        <v>0</v>
      </c>
      <c r="K582" s="47" t="n">
        <f aca="false">'Fault &amp; Downtime Entry'!K583</f>
        <v>0</v>
      </c>
      <c r="L582" s="47" t="n">
        <f aca="false">'Fault &amp; Downtime Entry'!L583</f>
        <v>0</v>
      </c>
      <c r="M582" s="47" t="str">
        <f aca="false">'Fault &amp; Downtime Entry'!M583</f>
        <v/>
      </c>
      <c r="N582" s="47" t="n">
        <f aca="false">'Fault &amp; Downtime Entry'!N583</f>
        <v>0</v>
      </c>
      <c r="O582" s="47" t="n">
        <f aca="false">'Fault &amp; Downtime Entry'!O583</f>
        <v>0</v>
      </c>
      <c r="P582" s="47" t="str">
        <f aca="false">IF(OR(J582="",K582=""),"",IFERROR(J582/K582*1000,0))</f>
        <v/>
      </c>
      <c r="Q582" s="47" t="str">
        <f aca="false">IF(OR(L582="",K582=""),"",IFERROR(L582/K582*1000,0))</f>
        <v/>
      </c>
      <c r="R582" s="47" t="str">
        <f aca="false">IF(OR(M582="High",M582="Critical"),"YES","")</f>
        <v/>
      </c>
    </row>
    <row r="583" customFormat="false" ht="15" hidden="false" customHeight="true" outlineLevel="0" collapsed="false">
      <c r="A583" s="47" t="n">
        <f aca="false">'Fault &amp; Downtime Entry'!A584</f>
        <v>579</v>
      </c>
      <c r="B583" s="48" t="n">
        <f aca="false">'Fault &amp; Downtime Entry'!B584</f>
        <v>0</v>
      </c>
      <c r="C583" s="47" t="n">
        <f aca="false">'Fault &amp; Downtime Entry'!C584</f>
        <v>0</v>
      </c>
      <c r="D583" s="47" t="n">
        <f aca="false">'Fault &amp; Downtime Entry'!D584</f>
        <v>0</v>
      </c>
      <c r="E583" s="47" t="n">
        <f aca="false">'Fault &amp; Downtime Entry'!E584</f>
        <v>0</v>
      </c>
      <c r="F583" s="47" t="str">
        <f aca="false">'Fault &amp; Downtime Entry'!F584</f>
        <v/>
      </c>
      <c r="G583" s="47" t="n">
        <f aca="false">'Fault &amp; Downtime Entry'!G584</f>
        <v>0</v>
      </c>
      <c r="H583" s="47" t="str">
        <f aca="false">'Fault &amp; Downtime Entry'!H584</f>
        <v/>
      </c>
      <c r="I583" s="47" t="str">
        <f aca="false">'Fault &amp; Downtime Entry'!I584</f>
        <v/>
      </c>
      <c r="J583" s="47" t="n">
        <f aca="false">'Fault &amp; Downtime Entry'!J584</f>
        <v>0</v>
      </c>
      <c r="K583" s="47" t="n">
        <f aca="false">'Fault &amp; Downtime Entry'!K584</f>
        <v>0</v>
      </c>
      <c r="L583" s="47" t="n">
        <f aca="false">'Fault &amp; Downtime Entry'!L584</f>
        <v>0</v>
      </c>
      <c r="M583" s="47" t="str">
        <f aca="false">'Fault &amp; Downtime Entry'!M584</f>
        <v/>
      </c>
      <c r="N583" s="47" t="n">
        <f aca="false">'Fault &amp; Downtime Entry'!N584</f>
        <v>0</v>
      </c>
      <c r="O583" s="47" t="n">
        <f aca="false">'Fault &amp; Downtime Entry'!O584</f>
        <v>0</v>
      </c>
      <c r="P583" s="47" t="str">
        <f aca="false">IF(OR(J583="",K583=""),"",IFERROR(J583/K583*1000,0))</f>
        <v/>
      </c>
      <c r="Q583" s="47" t="str">
        <f aca="false">IF(OR(L583="",K583=""),"",IFERROR(L583/K583*1000,0))</f>
        <v/>
      </c>
      <c r="R583" s="47" t="str">
        <f aca="false">IF(OR(M583="High",M583="Critical"),"YES","")</f>
        <v/>
      </c>
    </row>
    <row r="584" customFormat="false" ht="15" hidden="false" customHeight="true" outlineLevel="0" collapsed="false">
      <c r="A584" s="47" t="n">
        <f aca="false">'Fault &amp; Downtime Entry'!A585</f>
        <v>580</v>
      </c>
      <c r="B584" s="48" t="n">
        <f aca="false">'Fault &amp; Downtime Entry'!B585</f>
        <v>0</v>
      </c>
      <c r="C584" s="47" t="n">
        <f aca="false">'Fault &amp; Downtime Entry'!C585</f>
        <v>0</v>
      </c>
      <c r="D584" s="47" t="n">
        <f aca="false">'Fault &amp; Downtime Entry'!D585</f>
        <v>0</v>
      </c>
      <c r="E584" s="47" t="n">
        <f aca="false">'Fault &amp; Downtime Entry'!E585</f>
        <v>0</v>
      </c>
      <c r="F584" s="47" t="str">
        <f aca="false">'Fault &amp; Downtime Entry'!F585</f>
        <v/>
      </c>
      <c r="G584" s="47" t="n">
        <f aca="false">'Fault &amp; Downtime Entry'!G585</f>
        <v>0</v>
      </c>
      <c r="H584" s="47" t="str">
        <f aca="false">'Fault &amp; Downtime Entry'!H585</f>
        <v/>
      </c>
      <c r="I584" s="47" t="str">
        <f aca="false">'Fault &amp; Downtime Entry'!I585</f>
        <v/>
      </c>
      <c r="J584" s="47" t="n">
        <f aca="false">'Fault &amp; Downtime Entry'!J585</f>
        <v>0</v>
      </c>
      <c r="K584" s="47" t="n">
        <f aca="false">'Fault &amp; Downtime Entry'!K585</f>
        <v>0</v>
      </c>
      <c r="L584" s="47" t="n">
        <f aca="false">'Fault &amp; Downtime Entry'!L585</f>
        <v>0</v>
      </c>
      <c r="M584" s="47" t="str">
        <f aca="false">'Fault &amp; Downtime Entry'!M585</f>
        <v/>
      </c>
      <c r="N584" s="47" t="n">
        <f aca="false">'Fault &amp; Downtime Entry'!N585</f>
        <v>0</v>
      </c>
      <c r="O584" s="47" t="n">
        <f aca="false">'Fault &amp; Downtime Entry'!O585</f>
        <v>0</v>
      </c>
      <c r="P584" s="47" t="str">
        <f aca="false">IF(OR(J584="",K584=""),"",IFERROR(J584/K584*1000,0))</f>
        <v/>
      </c>
      <c r="Q584" s="47" t="str">
        <f aca="false">IF(OR(L584="",K584=""),"",IFERROR(L584/K584*1000,0))</f>
        <v/>
      </c>
      <c r="R584" s="47" t="str">
        <f aca="false">IF(OR(M584="High",M584="Critical"),"YES","")</f>
        <v/>
      </c>
    </row>
    <row r="585" customFormat="false" ht="15" hidden="false" customHeight="true" outlineLevel="0" collapsed="false">
      <c r="A585" s="47" t="n">
        <f aca="false">'Fault &amp; Downtime Entry'!A586</f>
        <v>581</v>
      </c>
      <c r="B585" s="48" t="n">
        <f aca="false">'Fault &amp; Downtime Entry'!B586</f>
        <v>0</v>
      </c>
      <c r="C585" s="47" t="n">
        <f aca="false">'Fault &amp; Downtime Entry'!C586</f>
        <v>0</v>
      </c>
      <c r="D585" s="47" t="n">
        <f aca="false">'Fault &amp; Downtime Entry'!D586</f>
        <v>0</v>
      </c>
      <c r="E585" s="47" t="n">
        <f aca="false">'Fault &amp; Downtime Entry'!E586</f>
        <v>0</v>
      </c>
      <c r="F585" s="47" t="str">
        <f aca="false">'Fault &amp; Downtime Entry'!F586</f>
        <v/>
      </c>
      <c r="G585" s="47" t="n">
        <f aca="false">'Fault &amp; Downtime Entry'!G586</f>
        <v>0</v>
      </c>
      <c r="H585" s="47" t="str">
        <f aca="false">'Fault &amp; Downtime Entry'!H586</f>
        <v/>
      </c>
      <c r="I585" s="47" t="str">
        <f aca="false">'Fault &amp; Downtime Entry'!I586</f>
        <v/>
      </c>
      <c r="J585" s="47" t="n">
        <f aca="false">'Fault &amp; Downtime Entry'!J586</f>
        <v>0</v>
      </c>
      <c r="K585" s="47" t="n">
        <f aca="false">'Fault &amp; Downtime Entry'!K586</f>
        <v>0</v>
      </c>
      <c r="L585" s="47" t="n">
        <f aca="false">'Fault &amp; Downtime Entry'!L586</f>
        <v>0</v>
      </c>
      <c r="M585" s="47" t="str">
        <f aca="false">'Fault &amp; Downtime Entry'!M586</f>
        <v/>
      </c>
      <c r="N585" s="47" t="n">
        <f aca="false">'Fault &amp; Downtime Entry'!N586</f>
        <v>0</v>
      </c>
      <c r="O585" s="47" t="n">
        <f aca="false">'Fault &amp; Downtime Entry'!O586</f>
        <v>0</v>
      </c>
      <c r="P585" s="47" t="str">
        <f aca="false">IF(OR(J585="",K585=""),"",IFERROR(J585/K585*1000,0))</f>
        <v/>
      </c>
      <c r="Q585" s="47" t="str">
        <f aca="false">IF(OR(L585="",K585=""),"",IFERROR(L585/K585*1000,0))</f>
        <v/>
      </c>
      <c r="R585" s="47" t="str">
        <f aca="false">IF(OR(M585="High",M585="Critical"),"YES","")</f>
        <v/>
      </c>
    </row>
    <row r="586" customFormat="false" ht="15" hidden="false" customHeight="true" outlineLevel="0" collapsed="false">
      <c r="A586" s="47" t="n">
        <f aca="false">'Fault &amp; Downtime Entry'!A587</f>
        <v>582</v>
      </c>
      <c r="B586" s="48" t="n">
        <f aca="false">'Fault &amp; Downtime Entry'!B587</f>
        <v>0</v>
      </c>
      <c r="C586" s="47" t="n">
        <f aca="false">'Fault &amp; Downtime Entry'!C587</f>
        <v>0</v>
      </c>
      <c r="D586" s="47" t="n">
        <f aca="false">'Fault &amp; Downtime Entry'!D587</f>
        <v>0</v>
      </c>
      <c r="E586" s="47" t="n">
        <f aca="false">'Fault &amp; Downtime Entry'!E587</f>
        <v>0</v>
      </c>
      <c r="F586" s="47" t="str">
        <f aca="false">'Fault &amp; Downtime Entry'!F587</f>
        <v/>
      </c>
      <c r="G586" s="47" t="n">
        <f aca="false">'Fault &amp; Downtime Entry'!G587</f>
        <v>0</v>
      </c>
      <c r="H586" s="47" t="str">
        <f aca="false">'Fault &amp; Downtime Entry'!H587</f>
        <v/>
      </c>
      <c r="I586" s="47" t="str">
        <f aca="false">'Fault &amp; Downtime Entry'!I587</f>
        <v/>
      </c>
      <c r="J586" s="47" t="n">
        <f aca="false">'Fault &amp; Downtime Entry'!J587</f>
        <v>0</v>
      </c>
      <c r="K586" s="47" t="n">
        <f aca="false">'Fault &amp; Downtime Entry'!K587</f>
        <v>0</v>
      </c>
      <c r="L586" s="47" t="n">
        <f aca="false">'Fault &amp; Downtime Entry'!L587</f>
        <v>0</v>
      </c>
      <c r="M586" s="47" t="str">
        <f aca="false">'Fault &amp; Downtime Entry'!M587</f>
        <v/>
      </c>
      <c r="N586" s="47" t="n">
        <f aca="false">'Fault &amp; Downtime Entry'!N587</f>
        <v>0</v>
      </c>
      <c r="O586" s="47" t="n">
        <f aca="false">'Fault &amp; Downtime Entry'!O587</f>
        <v>0</v>
      </c>
      <c r="P586" s="47" t="str">
        <f aca="false">IF(OR(J586="",K586=""),"",IFERROR(J586/K586*1000,0))</f>
        <v/>
      </c>
      <c r="Q586" s="47" t="str">
        <f aca="false">IF(OR(L586="",K586=""),"",IFERROR(L586/K586*1000,0))</f>
        <v/>
      </c>
      <c r="R586" s="47" t="str">
        <f aca="false">IF(OR(M586="High",M586="Critical"),"YES","")</f>
        <v/>
      </c>
    </row>
    <row r="587" customFormat="false" ht="15" hidden="false" customHeight="true" outlineLevel="0" collapsed="false">
      <c r="A587" s="47" t="n">
        <f aca="false">'Fault &amp; Downtime Entry'!A588</f>
        <v>583</v>
      </c>
      <c r="B587" s="48" t="n">
        <f aca="false">'Fault &amp; Downtime Entry'!B588</f>
        <v>0</v>
      </c>
      <c r="C587" s="47" t="n">
        <f aca="false">'Fault &amp; Downtime Entry'!C588</f>
        <v>0</v>
      </c>
      <c r="D587" s="47" t="n">
        <f aca="false">'Fault &amp; Downtime Entry'!D588</f>
        <v>0</v>
      </c>
      <c r="E587" s="47" t="n">
        <f aca="false">'Fault &amp; Downtime Entry'!E588</f>
        <v>0</v>
      </c>
      <c r="F587" s="47" t="str">
        <f aca="false">'Fault &amp; Downtime Entry'!F588</f>
        <v/>
      </c>
      <c r="G587" s="47" t="n">
        <f aca="false">'Fault &amp; Downtime Entry'!G588</f>
        <v>0</v>
      </c>
      <c r="H587" s="47" t="str">
        <f aca="false">'Fault &amp; Downtime Entry'!H588</f>
        <v/>
      </c>
      <c r="I587" s="47" t="str">
        <f aca="false">'Fault &amp; Downtime Entry'!I588</f>
        <v/>
      </c>
      <c r="J587" s="47" t="n">
        <f aca="false">'Fault &amp; Downtime Entry'!J588</f>
        <v>0</v>
      </c>
      <c r="K587" s="47" t="n">
        <f aca="false">'Fault &amp; Downtime Entry'!K588</f>
        <v>0</v>
      </c>
      <c r="L587" s="47" t="n">
        <f aca="false">'Fault &amp; Downtime Entry'!L588</f>
        <v>0</v>
      </c>
      <c r="M587" s="47" t="str">
        <f aca="false">'Fault &amp; Downtime Entry'!M588</f>
        <v/>
      </c>
      <c r="N587" s="47" t="n">
        <f aca="false">'Fault &amp; Downtime Entry'!N588</f>
        <v>0</v>
      </c>
      <c r="O587" s="47" t="n">
        <f aca="false">'Fault &amp; Downtime Entry'!O588</f>
        <v>0</v>
      </c>
      <c r="P587" s="47" t="str">
        <f aca="false">IF(OR(J587="",K587=""),"",IFERROR(J587/K587*1000,0))</f>
        <v/>
      </c>
      <c r="Q587" s="47" t="str">
        <f aca="false">IF(OR(L587="",K587=""),"",IFERROR(L587/K587*1000,0))</f>
        <v/>
      </c>
      <c r="R587" s="47" t="str">
        <f aca="false">IF(OR(M587="High",M587="Critical"),"YES","")</f>
        <v/>
      </c>
    </row>
    <row r="588" customFormat="false" ht="15" hidden="false" customHeight="true" outlineLevel="0" collapsed="false">
      <c r="A588" s="47" t="n">
        <f aca="false">'Fault &amp; Downtime Entry'!A589</f>
        <v>584</v>
      </c>
      <c r="B588" s="48" t="n">
        <f aca="false">'Fault &amp; Downtime Entry'!B589</f>
        <v>0</v>
      </c>
      <c r="C588" s="47" t="n">
        <f aca="false">'Fault &amp; Downtime Entry'!C589</f>
        <v>0</v>
      </c>
      <c r="D588" s="47" t="n">
        <f aca="false">'Fault &amp; Downtime Entry'!D589</f>
        <v>0</v>
      </c>
      <c r="E588" s="47" t="n">
        <f aca="false">'Fault &amp; Downtime Entry'!E589</f>
        <v>0</v>
      </c>
      <c r="F588" s="47" t="str">
        <f aca="false">'Fault &amp; Downtime Entry'!F589</f>
        <v/>
      </c>
      <c r="G588" s="47" t="n">
        <f aca="false">'Fault &amp; Downtime Entry'!G589</f>
        <v>0</v>
      </c>
      <c r="H588" s="47" t="str">
        <f aca="false">'Fault &amp; Downtime Entry'!H589</f>
        <v/>
      </c>
      <c r="I588" s="47" t="str">
        <f aca="false">'Fault &amp; Downtime Entry'!I589</f>
        <v/>
      </c>
      <c r="J588" s="47" t="n">
        <f aca="false">'Fault &amp; Downtime Entry'!J589</f>
        <v>0</v>
      </c>
      <c r="K588" s="47" t="n">
        <f aca="false">'Fault &amp; Downtime Entry'!K589</f>
        <v>0</v>
      </c>
      <c r="L588" s="47" t="n">
        <f aca="false">'Fault &amp; Downtime Entry'!L589</f>
        <v>0</v>
      </c>
      <c r="M588" s="47" t="str">
        <f aca="false">'Fault &amp; Downtime Entry'!M589</f>
        <v/>
      </c>
      <c r="N588" s="47" t="n">
        <f aca="false">'Fault &amp; Downtime Entry'!N589</f>
        <v>0</v>
      </c>
      <c r="O588" s="47" t="n">
        <f aca="false">'Fault &amp; Downtime Entry'!O589</f>
        <v>0</v>
      </c>
      <c r="P588" s="47" t="str">
        <f aca="false">IF(OR(J588="",K588=""),"",IFERROR(J588/K588*1000,0))</f>
        <v/>
      </c>
      <c r="Q588" s="47" t="str">
        <f aca="false">IF(OR(L588="",K588=""),"",IFERROR(L588/K588*1000,0))</f>
        <v/>
      </c>
      <c r="R588" s="47" t="str">
        <f aca="false">IF(OR(M588="High",M588="Critical"),"YES","")</f>
        <v/>
      </c>
    </row>
    <row r="589" customFormat="false" ht="15" hidden="false" customHeight="true" outlineLevel="0" collapsed="false">
      <c r="A589" s="47" t="n">
        <f aca="false">'Fault &amp; Downtime Entry'!A590</f>
        <v>585</v>
      </c>
      <c r="B589" s="48" t="n">
        <f aca="false">'Fault &amp; Downtime Entry'!B590</f>
        <v>0</v>
      </c>
      <c r="C589" s="47" t="n">
        <f aca="false">'Fault &amp; Downtime Entry'!C590</f>
        <v>0</v>
      </c>
      <c r="D589" s="47" t="n">
        <f aca="false">'Fault &amp; Downtime Entry'!D590</f>
        <v>0</v>
      </c>
      <c r="E589" s="47" t="n">
        <f aca="false">'Fault &amp; Downtime Entry'!E590</f>
        <v>0</v>
      </c>
      <c r="F589" s="47" t="str">
        <f aca="false">'Fault &amp; Downtime Entry'!F590</f>
        <v/>
      </c>
      <c r="G589" s="47" t="n">
        <f aca="false">'Fault &amp; Downtime Entry'!G590</f>
        <v>0</v>
      </c>
      <c r="H589" s="47" t="str">
        <f aca="false">'Fault &amp; Downtime Entry'!H590</f>
        <v/>
      </c>
      <c r="I589" s="47" t="str">
        <f aca="false">'Fault &amp; Downtime Entry'!I590</f>
        <v/>
      </c>
      <c r="J589" s="47" t="n">
        <f aca="false">'Fault &amp; Downtime Entry'!J590</f>
        <v>0</v>
      </c>
      <c r="K589" s="47" t="n">
        <f aca="false">'Fault &amp; Downtime Entry'!K590</f>
        <v>0</v>
      </c>
      <c r="L589" s="47" t="n">
        <f aca="false">'Fault &amp; Downtime Entry'!L590</f>
        <v>0</v>
      </c>
      <c r="M589" s="47" t="str">
        <f aca="false">'Fault &amp; Downtime Entry'!M590</f>
        <v/>
      </c>
      <c r="N589" s="47" t="n">
        <f aca="false">'Fault &amp; Downtime Entry'!N590</f>
        <v>0</v>
      </c>
      <c r="O589" s="47" t="n">
        <f aca="false">'Fault &amp; Downtime Entry'!O590</f>
        <v>0</v>
      </c>
      <c r="P589" s="47" t="str">
        <f aca="false">IF(OR(J589="",K589=""),"",IFERROR(J589/K589*1000,0))</f>
        <v/>
      </c>
      <c r="Q589" s="47" t="str">
        <f aca="false">IF(OR(L589="",K589=""),"",IFERROR(L589/K589*1000,0))</f>
        <v/>
      </c>
      <c r="R589" s="47" t="str">
        <f aca="false">IF(OR(M589="High",M589="Critical"),"YES","")</f>
        <v/>
      </c>
    </row>
    <row r="590" customFormat="false" ht="15" hidden="false" customHeight="true" outlineLevel="0" collapsed="false">
      <c r="A590" s="47" t="n">
        <f aca="false">'Fault &amp; Downtime Entry'!A591</f>
        <v>586</v>
      </c>
      <c r="B590" s="48" t="n">
        <f aca="false">'Fault &amp; Downtime Entry'!B591</f>
        <v>0</v>
      </c>
      <c r="C590" s="47" t="n">
        <f aca="false">'Fault &amp; Downtime Entry'!C591</f>
        <v>0</v>
      </c>
      <c r="D590" s="47" t="n">
        <f aca="false">'Fault &amp; Downtime Entry'!D591</f>
        <v>0</v>
      </c>
      <c r="E590" s="47" t="n">
        <f aca="false">'Fault &amp; Downtime Entry'!E591</f>
        <v>0</v>
      </c>
      <c r="F590" s="47" t="str">
        <f aca="false">'Fault &amp; Downtime Entry'!F591</f>
        <v/>
      </c>
      <c r="G590" s="47" t="n">
        <f aca="false">'Fault &amp; Downtime Entry'!G591</f>
        <v>0</v>
      </c>
      <c r="H590" s="47" t="str">
        <f aca="false">'Fault &amp; Downtime Entry'!H591</f>
        <v/>
      </c>
      <c r="I590" s="47" t="str">
        <f aca="false">'Fault &amp; Downtime Entry'!I591</f>
        <v/>
      </c>
      <c r="J590" s="47" t="n">
        <f aca="false">'Fault &amp; Downtime Entry'!J591</f>
        <v>0</v>
      </c>
      <c r="K590" s="47" t="n">
        <f aca="false">'Fault &amp; Downtime Entry'!K591</f>
        <v>0</v>
      </c>
      <c r="L590" s="47" t="n">
        <f aca="false">'Fault &amp; Downtime Entry'!L591</f>
        <v>0</v>
      </c>
      <c r="M590" s="47" t="str">
        <f aca="false">'Fault &amp; Downtime Entry'!M591</f>
        <v/>
      </c>
      <c r="N590" s="47" t="n">
        <f aca="false">'Fault &amp; Downtime Entry'!N591</f>
        <v>0</v>
      </c>
      <c r="O590" s="47" t="n">
        <f aca="false">'Fault &amp; Downtime Entry'!O591</f>
        <v>0</v>
      </c>
      <c r="P590" s="47" t="str">
        <f aca="false">IF(OR(J590="",K590=""),"",IFERROR(J590/K590*1000,0))</f>
        <v/>
      </c>
      <c r="Q590" s="47" t="str">
        <f aca="false">IF(OR(L590="",K590=""),"",IFERROR(L590/K590*1000,0))</f>
        <v/>
      </c>
      <c r="R590" s="47" t="str">
        <f aca="false">IF(OR(M590="High",M590="Critical"),"YES","")</f>
        <v/>
      </c>
    </row>
    <row r="591" customFormat="false" ht="15" hidden="false" customHeight="true" outlineLevel="0" collapsed="false">
      <c r="A591" s="47" t="n">
        <f aca="false">'Fault &amp; Downtime Entry'!A592</f>
        <v>587</v>
      </c>
      <c r="B591" s="48" t="n">
        <f aca="false">'Fault &amp; Downtime Entry'!B592</f>
        <v>0</v>
      </c>
      <c r="C591" s="47" t="n">
        <f aca="false">'Fault &amp; Downtime Entry'!C592</f>
        <v>0</v>
      </c>
      <c r="D591" s="47" t="n">
        <f aca="false">'Fault &amp; Downtime Entry'!D592</f>
        <v>0</v>
      </c>
      <c r="E591" s="47" t="n">
        <f aca="false">'Fault &amp; Downtime Entry'!E592</f>
        <v>0</v>
      </c>
      <c r="F591" s="47" t="str">
        <f aca="false">'Fault &amp; Downtime Entry'!F592</f>
        <v/>
      </c>
      <c r="G591" s="47" t="n">
        <f aca="false">'Fault &amp; Downtime Entry'!G592</f>
        <v>0</v>
      </c>
      <c r="H591" s="47" t="str">
        <f aca="false">'Fault &amp; Downtime Entry'!H592</f>
        <v/>
      </c>
      <c r="I591" s="47" t="str">
        <f aca="false">'Fault &amp; Downtime Entry'!I592</f>
        <v/>
      </c>
      <c r="J591" s="47" t="n">
        <f aca="false">'Fault &amp; Downtime Entry'!J592</f>
        <v>0</v>
      </c>
      <c r="K591" s="47" t="n">
        <f aca="false">'Fault &amp; Downtime Entry'!K592</f>
        <v>0</v>
      </c>
      <c r="L591" s="47" t="n">
        <f aca="false">'Fault &amp; Downtime Entry'!L592</f>
        <v>0</v>
      </c>
      <c r="M591" s="47" t="str">
        <f aca="false">'Fault &amp; Downtime Entry'!M592</f>
        <v/>
      </c>
      <c r="N591" s="47" t="n">
        <f aca="false">'Fault &amp; Downtime Entry'!N592</f>
        <v>0</v>
      </c>
      <c r="O591" s="47" t="n">
        <f aca="false">'Fault &amp; Downtime Entry'!O592</f>
        <v>0</v>
      </c>
      <c r="P591" s="47" t="str">
        <f aca="false">IF(OR(J591="",K591=""),"",IFERROR(J591/K591*1000,0))</f>
        <v/>
      </c>
      <c r="Q591" s="47" t="str">
        <f aca="false">IF(OR(L591="",K591=""),"",IFERROR(L591/K591*1000,0))</f>
        <v/>
      </c>
      <c r="R591" s="47" t="str">
        <f aca="false">IF(OR(M591="High",M591="Critical"),"YES","")</f>
        <v/>
      </c>
    </row>
    <row r="592" customFormat="false" ht="15" hidden="false" customHeight="true" outlineLevel="0" collapsed="false">
      <c r="A592" s="47" t="n">
        <f aca="false">'Fault &amp; Downtime Entry'!A593</f>
        <v>588</v>
      </c>
      <c r="B592" s="48" t="n">
        <f aca="false">'Fault &amp; Downtime Entry'!B593</f>
        <v>0</v>
      </c>
      <c r="C592" s="47" t="n">
        <f aca="false">'Fault &amp; Downtime Entry'!C593</f>
        <v>0</v>
      </c>
      <c r="D592" s="47" t="n">
        <f aca="false">'Fault &amp; Downtime Entry'!D593</f>
        <v>0</v>
      </c>
      <c r="E592" s="47" t="n">
        <f aca="false">'Fault &amp; Downtime Entry'!E593</f>
        <v>0</v>
      </c>
      <c r="F592" s="47" t="str">
        <f aca="false">'Fault &amp; Downtime Entry'!F593</f>
        <v/>
      </c>
      <c r="G592" s="47" t="n">
        <f aca="false">'Fault &amp; Downtime Entry'!G593</f>
        <v>0</v>
      </c>
      <c r="H592" s="47" t="str">
        <f aca="false">'Fault &amp; Downtime Entry'!H593</f>
        <v/>
      </c>
      <c r="I592" s="47" t="str">
        <f aca="false">'Fault &amp; Downtime Entry'!I593</f>
        <v/>
      </c>
      <c r="J592" s="47" t="n">
        <f aca="false">'Fault &amp; Downtime Entry'!J593</f>
        <v>0</v>
      </c>
      <c r="K592" s="47" t="n">
        <f aca="false">'Fault &amp; Downtime Entry'!K593</f>
        <v>0</v>
      </c>
      <c r="L592" s="47" t="n">
        <f aca="false">'Fault &amp; Downtime Entry'!L593</f>
        <v>0</v>
      </c>
      <c r="M592" s="47" t="str">
        <f aca="false">'Fault &amp; Downtime Entry'!M593</f>
        <v/>
      </c>
      <c r="N592" s="47" t="n">
        <f aca="false">'Fault &amp; Downtime Entry'!N593</f>
        <v>0</v>
      </c>
      <c r="O592" s="47" t="n">
        <f aca="false">'Fault &amp; Downtime Entry'!O593</f>
        <v>0</v>
      </c>
      <c r="P592" s="47" t="str">
        <f aca="false">IF(OR(J592="",K592=""),"",IFERROR(J592/K592*1000,0))</f>
        <v/>
      </c>
      <c r="Q592" s="47" t="str">
        <f aca="false">IF(OR(L592="",K592=""),"",IFERROR(L592/K592*1000,0))</f>
        <v/>
      </c>
      <c r="R592" s="47" t="str">
        <f aca="false">IF(OR(M592="High",M592="Critical"),"YES","")</f>
        <v/>
      </c>
    </row>
    <row r="593" customFormat="false" ht="15" hidden="false" customHeight="true" outlineLevel="0" collapsed="false">
      <c r="A593" s="47" t="n">
        <f aca="false">'Fault &amp; Downtime Entry'!A594</f>
        <v>589</v>
      </c>
      <c r="B593" s="48" t="n">
        <f aca="false">'Fault &amp; Downtime Entry'!B594</f>
        <v>0</v>
      </c>
      <c r="C593" s="47" t="n">
        <f aca="false">'Fault &amp; Downtime Entry'!C594</f>
        <v>0</v>
      </c>
      <c r="D593" s="47" t="n">
        <f aca="false">'Fault &amp; Downtime Entry'!D594</f>
        <v>0</v>
      </c>
      <c r="E593" s="47" t="n">
        <f aca="false">'Fault &amp; Downtime Entry'!E594</f>
        <v>0</v>
      </c>
      <c r="F593" s="47" t="str">
        <f aca="false">'Fault &amp; Downtime Entry'!F594</f>
        <v/>
      </c>
      <c r="G593" s="47" t="n">
        <f aca="false">'Fault &amp; Downtime Entry'!G594</f>
        <v>0</v>
      </c>
      <c r="H593" s="47" t="str">
        <f aca="false">'Fault &amp; Downtime Entry'!H594</f>
        <v/>
      </c>
      <c r="I593" s="47" t="str">
        <f aca="false">'Fault &amp; Downtime Entry'!I594</f>
        <v/>
      </c>
      <c r="J593" s="47" t="n">
        <f aca="false">'Fault &amp; Downtime Entry'!J594</f>
        <v>0</v>
      </c>
      <c r="K593" s="47" t="n">
        <f aca="false">'Fault &amp; Downtime Entry'!K594</f>
        <v>0</v>
      </c>
      <c r="L593" s="47" t="n">
        <f aca="false">'Fault &amp; Downtime Entry'!L594</f>
        <v>0</v>
      </c>
      <c r="M593" s="47" t="str">
        <f aca="false">'Fault &amp; Downtime Entry'!M594</f>
        <v/>
      </c>
      <c r="N593" s="47" t="n">
        <f aca="false">'Fault &amp; Downtime Entry'!N594</f>
        <v>0</v>
      </c>
      <c r="O593" s="47" t="n">
        <f aca="false">'Fault &amp; Downtime Entry'!O594</f>
        <v>0</v>
      </c>
      <c r="P593" s="47" t="str">
        <f aca="false">IF(OR(J593="",K593=""),"",IFERROR(J593/K593*1000,0))</f>
        <v/>
      </c>
      <c r="Q593" s="47" t="str">
        <f aca="false">IF(OR(L593="",K593=""),"",IFERROR(L593/K593*1000,0))</f>
        <v/>
      </c>
      <c r="R593" s="47" t="str">
        <f aca="false">IF(OR(M593="High",M593="Critical"),"YES","")</f>
        <v/>
      </c>
    </row>
    <row r="594" customFormat="false" ht="15" hidden="false" customHeight="true" outlineLevel="0" collapsed="false">
      <c r="A594" s="47" t="n">
        <f aca="false">'Fault &amp; Downtime Entry'!A595</f>
        <v>590</v>
      </c>
      <c r="B594" s="48" t="n">
        <f aca="false">'Fault &amp; Downtime Entry'!B595</f>
        <v>0</v>
      </c>
      <c r="C594" s="47" t="n">
        <f aca="false">'Fault &amp; Downtime Entry'!C595</f>
        <v>0</v>
      </c>
      <c r="D594" s="47" t="n">
        <f aca="false">'Fault &amp; Downtime Entry'!D595</f>
        <v>0</v>
      </c>
      <c r="E594" s="47" t="n">
        <f aca="false">'Fault &amp; Downtime Entry'!E595</f>
        <v>0</v>
      </c>
      <c r="F594" s="47" t="str">
        <f aca="false">'Fault &amp; Downtime Entry'!F595</f>
        <v/>
      </c>
      <c r="G594" s="47" t="n">
        <f aca="false">'Fault &amp; Downtime Entry'!G595</f>
        <v>0</v>
      </c>
      <c r="H594" s="47" t="str">
        <f aca="false">'Fault &amp; Downtime Entry'!H595</f>
        <v/>
      </c>
      <c r="I594" s="47" t="str">
        <f aca="false">'Fault &amp; Downtime Entry'!I595</f>
        <v/>
      </c>
      <c r="J594" s="47" t="n">
        <f aca="false">'Fault &amp; Downtime Entry'!J595</f>
        <v>0</v>
      </c>
      <c r="K594" s="47" t="n">
        <f aca="false">'Fault &amp; Downtime Entry'!K595</f>
        <v>0</v>
      </c>
      <c r="L594" s="47" t="n">
        <f aca="false">'Fault &amp; Downtime Entry'!L595</f>
        <v>0</v>
      </c>
      <c r="M594" s="47" t="str">
        <f aca="false">'Fault &amp; Downtime Entry'!M595</f>
        <v/>
      </c>
      <c r="N594" s="47" t="n">
        <f aca="false">'Fault &amp; Downtime Entry'!N595</f>
        <v>0</v>
      </c>
      <c r="O594" s="47" t="n">
        <f aca="false">'Fault &amp; Downtime Entry'!O595</f>
        <v>0</v>
      </c>
      <c r="P594" s="47" t="str">
        <f aca="false">IF(OR(J594="",K594=""),"",IFERROR(J594/K594*1000,0))</f>
        <v/>
      </c>
      <c r="Q594" s="47" t="str">
        <f aca="false">IF(OR(L594="",K594=""),"",IFERROR(L594/K594*1000,0))</f>
        <v/>
      </c>
      <c r="R594" s="47" t="str">
        <f aca="false">IF(OR(M594="High",M594="Critical"),"YES","")</f>
        <v/>
      </c>
    </row>
    <row r="595" customFormat="false" ht="15" hidden="false" customHeight="true" outlineLevel="0" collapsed="false">
      <c r="A595" s="47" t="n">
        <f aca="false">'Fault &amp; Downtime Entry'!A596</f>
        <v>591</v>
      </c>
      <c r="B595" s="48" t="n">
        <f aca="false">'Fault &amp; Downtime Entry'!B596</f>
        <v>0</v>
      </c>
      <c r="C595" s="47" t="n">
        <f aca="false">'Fault &amp; Downtime Entry'!C596</f>
        <v>0</v>
      </c>
      <c r="D595" s="47" t="n">
        <f aca="false">'Fault &amp; Downtime Entry'!D596</f>
        <v>0</v>
      </c>
      <c r="E595" s="47" t="n">
        <f aca="false">'Fault &amp; Downtime Entry'!E596</f>
        <v>0</v>
      </c>
      <c r="F595" s="47" t="str">
        <f aca="false">'Fault &amp; Downtime Entry'!F596</f>
        <v/>
      </c>
      <c r="G595" s="47" t="n">
        <f aca="false">'Fault &amp; Downtime Entry'!G596</f>
        <v>0</v>
      </c>
      <c r="H595" s="47" t="str">
        <f aca="false">'Fault &amp; Downtime Entry'!H596</f>
        <v/>
      </c>
      <c r="I595" s="47" t="str">
        <f aca="false">'Fault &amp; Downtime Entry'!I596</f>
        <v/>
      </c>
      <c r="J595" s="47" t="n">
        <f aca="false">'Fault &amp; Downtime Entry'!J596</f>
        <v>0</v>
      </c>
      <c r="K595" s="47" t="n">
        <f aca="false">'Fault &amp; Downtime Entry'!K596</f>
        <v>0</v>
      </c>
      <c r="L595" s="47" t="n">
        <f aca="false">'Fault &amp; Downtime Entry'!L596</f>
        <v>0</v>
      </c>
      <c r="M595" s="47" t="str">
        <f aca="false">'Fault &amp; Downtime Entry'!M596</f>
        <v/>
      </c>
      <c r="N595" s="47" t="n">
        <f aca="false">'Fault &amp; Downtime Entry'!N596</f>
        <v>0</v>
      </c>
      <c r="O595" s="47" t="n">
        <f aca="false">'Fault &amp; Downtime Entry'!O596</f>
        <v>0</v>
      </c>
      <c r="P595" s="47" t="str">
        <f aca="false">IF(OR(J595="",K595=""),"",IFERROR(J595/K595*1000,0))</f>
        <v/>
      </c>
      <c r="Q595" s="47" t="str">
        <f aca="false">IF(OR(L595="",K595=""),"",IFERROR(L595/K595*1000,0))</f>
        <v/>
      </c>
      <c r="R595" s="47" t="str">
        <f aca="false">IF(OR(M595="High",M595="Critical"),"YES","")</f>
        <v/>
      </c>
    </row>
    <row r="596" customFormat="false" ht="15" hidden="false" customHeight="true" outlineLevel="0" collapsed="false">
      <c r="A596" s="47" t="n">
        <f aca="false">'Fault &amp; Downtime Entry'!A597</f>
        <v>592</v>
      </c>
      <c r="B596" s="48" t="n">
        <f aca="false">'Fault &amp; Downtime Entry'!B597</f>
        <v>0</v>
      </c>
      <c r="C596" s="47" t="n">
        <f aca="false">'Fault &amp; Downtime Entry'!C597</f>
        <v>0</v>
      </c>
      <c r="D596" s="47" t="n">
        <f aca="false">'Fault &amp; Downtime Entry'!D597</f>
        <v>0</v>
      </c>
      <c r="E596" s="47" t="n">
        <f aca="false">'Fault &amp; Downtime Entry'!E597</f>
        <v>0</v>
      </c>
      <c r="F596" s="47" t="str">
        <f aca="false">'Fault &amp; Downtime Entry'!F597</f>
        <v/>
      </c>
      <c r="G596" s="47" t="n">
        <f aca="false">'Fault &amp; Downtime Entry'!G597</f>
        <v>0</v>
      </c>
      <c r="H596" s="47" t="str">
        <f aca="false">'Fault &amp; Downtime Entry'!H597</f>
        <v/>
      </c>
      <c r="I596" s="47" t="str">
        <f aca="false">'Fault &amp; Downtime Entry'!I597</f>
        <v/>
      </c>
      <c r="J596" s="47" t="n">
        <f aca="false">'Fault &amp; Downtime Entry'!J597</f>
        <v>0</v>
      </c>
      <c r="K596" s="47" t="n">
        <f aca="false">'Fault &amp; Downtime Entry'!K597</f>
        <v>0</v>
      </c>
      <c r="L596" s="47" t="n">
        <f aca="false">'Fault &amp; Downtime Entry'!L597</f>
        <v>0</v>
      </c>
      <c r="M596" s="47" t="str">
        <f aca="false">'Fault &amp; Downtime Entry'!M597</f>
        <v/>
      </c>
      <c r="N596" s="47" t="n">
        <f aca="false">'Fault &amp; Downtime Entry'!N597</f>
        <v>0</v>
      </c>
      <c r="O596" s="47" t="n">
        <f aca="false">'Fault &amp; Downtime Entry'!O597</f>
        <v>0</v>
      </c>
      <c r="P596" s="47" t="str">
        <f aca="false">IF(OR(J596="",K596=""),"",IFERROR(J596/K596*1000,0))</f>
        <v/>
      </c>
      <c r="Q596" s="47" t="str">
        <f aca="false">IF(OR(L596="",K596=""),"",IFERROR(L596/K596*1000,0))</f>
        <v/>
      </c>
      <c r="R596" s="47" t="str">
        <f aca="false">IF(OR(M596="High",M596="Critical"),"YES","")</f>
        <v/>
      </c>
    </row>
    <row r="597" customFormat="false" ht="15" hidden="false" customHeight="true" outlineLevel="0" collapsed="false">
      <c r="A597" s="47" t="n">
        <f aca="false">'Fault &amp; Downtime Entry'!A598</f>
        <v>593</v>
      </c>
      <c r="B597" s="48" t="n">
        <f aca="false">'Fault &amp; Downtime Entry'!B598</f>
        <v>0</v>
      </c>
      <c r="C597" s="47" t="n">
        <f aca="false">'Fault &amp; Downtime Entry'!C598</f>
        <v>0</v>
      </c>
      <c r="D597" s="47" t="n">
        <f aca="false">'Fault &amp; Downtime Entry'!D598</f>
        <v>0</v>
      </c>
      <c r="E597" s="47" t="n">
        <f aca="false">'Fault &amp; Downtime Entry'!E598</f>
        <v>0</v>
      </c>
      <c r="F597" s="47" t="str">
        <f aca="false">'Fault &amp; Downtime Entry'!F598</f>
        <v/>
      </c>
      <c r="G597" s="47" t="n">
        <f aca="false">'Fault &amp; Downtime Entry'!G598</f>
        <v>0</v>
      </c>
      <c r="H597" s="47" t="str">
        <f aca="false">'Fault &amp; Downtime Entry'!H598</f>
        <v/>
      </c>
      <c r="I597" s="47" t="str">
        <f aca="false">'Fault &amp; Downtime Entry'!I598</f>
        <v/>
      </c>
      <c r="J597" s="47" t="n">
        <f aca="false">'Fault &amp; Downtime Entry'!J598</f>
        <v>0</v>
      </c>
      <c r="K597" s="47" t="n">
        <f aca="false">'Fault &amp; Downtime Entry'!K598</f>
        <v>0</v>
      </c>
      <c r="L597" s="47" t="n">
        <f aca="false">'Fault &amp; Downtime Entry'!L598</f>
        <v>0</v>
      </c>
      <c r="M597" s="47" t="str">
        <f aca="false">'Fault &amp; Downtime Entry'!M598</f>
        <v/>
      </c>
      <c r="N597" s="47" t="n">
        <f aca="false">'Fault &amp; Downtime Entry'!N598</f>
        <v>0</v>
      </c>
      <c r="O597" s="47" t="n">
        <f aca="false">'Fault &amp; Downtime Entry'!O598</f>
        <v>0</v>
      </c>
      <c r="P597" s="47" t="str">
        <f aca="false">IF(OR(J597="",K597=""),"",IFERROR(J597/K597*1000,0))</f>
        <v/>
      </c>
      <c r="Q597" s="47" t="str">
        <f aca="false">IF(OR(L597="",K597=""),"",IFERROR(L597/K597*1000,0))</f>
        <v/>
      </c>
      <c r="R597" s="47" t="str">
        <f aca="false">IF(OR(M597="High",M597="Critical"),"YES","")</f>
        <v/>
      </c>
    </row>
    <row r="598" customFormat="false" ht="15" hidden="false" customHeight="true" outlineLevel="0" collapsed="false">
      <c r="A598" s="47" t="n">
        <f aca="false">'Fault &amp; Downtime Entry'!A599</f>
        <v>594</v>
      </c>
      <c r="B598" s="48" t="n">
        <f aca="false">'Fault &amp; Downtime Entry'!B599</f>
        <v>0</v>
      </c>
      <c r="C598" s="47" t="n">
        <f aca="false">'Fault &amp; Downtime Entry'!C599</f>
        <v>0</v>
      </c>
      <c r="D598" s="47" t="n">
        <f aca="false">'Fault &amp; Downtime Entry'!D599</f>
        <v>0</v>
      </c>
      <c r="E598" s="47" t="n">
        <f aca="false">'Fault &amp; Downtime Entry'!E599</f>
        <v>0</v>
      </c>
      <c r="F598" s="47" t="str">
        <f aca="false">'Fault &amp; Downtime Entry'!F599</f>
        <v/>
      </c>
      <c r="G598" s="47" t="n">
        <f aca="false">'Fault &amp; Downtime Entry'!G599</f>
        <v>0</v>
      </c>
      <c r="H598" s="47" t="str">
        <f aca="false">'Fault &amp; Downtime Entry'!H599</f>
        <v/>
      </c>
      <c r="I598" s="47" t="str">
        <f aca="false">'Fault &amp; Downtime Entry'!I599</f>
        <v/>
      </c>
      <c r="J598" s="47" t="n">
        <f aca="false">'Fault &amp; Downtime Entry'!J599</f>
        <v>0</v>
      </c>
      <c r="K598" s="47" t="n">
        <f aca="false">'Fault &amp; Downtime Entry'!K599</f>
        <v>0</v>
      </c>
      <c r="L598" s="47" t="n">
        <f aca="false">'Fault &amp; Downtime Entry'!L599</f>
        <v>0</v>
      </c>
      <c r="M598" s="47" t="str">
        <f aca="false">'Fault &amp; Downtime Entry'!M599</f>
        <v/>
      </c>
      <c r="N598" s="47" t="n">
        <f aca="false">'Fault &amp; Downtime Entry'!N599</f>
        <v>0</v>
      </c>
      <c r="O598" s="47" t="n">
        <f aca="false">'Fault &amp; Downtime Entry'!O599</f>
        <v>0</v>
      </c>
      <c r="P598" s="47" t="str">
        <f aca="false">IF(OR(J598="",K598=""),"",IFERROR(J598/K598*1000,0))</f>
        <v/>
      </c>
      <c r="Q598" s="47" t="str">
        <f aca="false">IF(OR(L598="",K598=""),"",IFERROR(L598/K598*1000,0))</f>
        <v/>
      </c>
      <c r="R598" s="47" t="str">
        <f aca="false">IF(OR(M598="High",M598="Critical"),"YES","")</f>
        <v/>
      </c>
    </row>
    <row r="599" customFormat="false" ht="15" hidden="false" customHeight="true" outlineLevel="0" collapsed="false">
      <c r="A599" s="47" t="n">
        <f aca="false">'Fault &amp; Downtime Entry'!A600</f>
        <v>595</v>
      </c>
      <c r="B599" s="48" t="n">
        <f aca="false">'Fault &amp; Downtime Entry'!B600</f>
        <v>0</v>
      </c>
      <c r="C599" s="47" t="n">
        <f aca="false">'Fault &amp; Downtime Entry'!C600</f>
        <v>0</v>
      </c>
      <c r="D599" s="47" t="n">
        <f aca="false">'Fault &amp; Downtime Entry'!D600</f>
        <v>0</v>
      </c>
      <c r="E599" s="47" t="n">
        <f aca="false">'Fault &amp; Downtime Entry'!E600</f>
        <v>0</v>
      </c>
      <c r="F599" s="47" t="str">
        <f aca="false">'Fault &amp; Downtime Entry'!F600</f>
        <v/>
      </c>
      <c r="G599" s="47" t="n">
        <f aca="false">'Fault &amp; Downtime Entry'!G600</f>
        <v>0</v>
      </c>
      <c r="H599" s="47" t="str">
        <f aca="false">'Fault &amp; Downtime Entry'!H600</f>
        <v/>
      </c>
      <c r="I599" s="47" t="str">
        <f aca="false">'Fault &amp; Downtime Entry'!I600</f>
        <v/>
      </c>
      <c r="J599" s="47" t="n">
        <f aca="false">'Fault &amp; Downtime Entry'!J600</f>
        <v>0</v>
      </c>
      <c r="K599" s="47" t="n">
        <f aca="false">'Fault &amp; Downtime Entry'!K600</f>
        <v>0</v>
      </c>
      <c r="L599" s="47" t="n">
        <f aca="false">'Fault &amp; Downtime Entry'!L600</f>
        <v>0</v>
      </c>
      <c r="M599" s="47" t="str">
        <f aca="false">'Fault &amp; Downtime Entry'!M600</f>
        <v/>
      </c>
      <c r="N599" s="47" t="n">
        <f aca="false">'Fault &amp; Downtime Entry'!N600</f>
        <v>0</v>
      </c>
      <c r="O599" s="47" t="n">
        <f aca="false">'Fault &amp; Downtime Entry'!O600</f>
        <v>0</v>
      </c>
      <c r="P599" s="47" t="str">
        <f aca="false">IF(OR(J599="",K599=""),"",IFERROR(J599/K599*1000,0))</f>
        <v/>
      </c>
      <c r="Q599" s="47" t="str">
        <f aca="false">IF(OR(L599="",K599=""),"",IFERROR(L599/K599*1000,0))</f>
        <v/>
      </c>
      <c r="R599" s="47" t="str">
        <f aca="false">IF(OR(M599="High",M599="Critical"),"YES","")</f>
        <v/>
      </c>
    </row>
    <row r="600" customFormat="false" ht="15" hidden="false" customHeight="true" outlineLevel="0" collapsed="false">
      <c r="A600" s="47" t="n">
        <f aca="false">'Fault &amp; Downtime Entry'!A601</f>
        <v>596</v>
      </c>
      <c r="B600" s="48" t="n">
        <f aca="false">'Fault &amp; Downtime Entry'!B601</f>
        <v>0</v>
      </c>
      <c r="C600" s="47" t="n">
        <f aca="false">'Fault &amp; Downtime Entry'!C601</f>
        <v>0</v>
      </c>
      <c r="D600" s="47" t="n">
        <f aca="false">'Fault &amp; Downtime Entry'!D601</f>
        <v>0</v>
      </c>
      <c r="E600" s="47" t="n">
        <f aca="false">'Fault &amp; Downtime Entry'!E601</f>
        <v>0</v>
      </c>
      <c r="F600" s="47" t="str">
        <f aca="false">'Fault &amp; Downtime Entry'!F601</f>
        <v/>
      </c>
      <c r="G600" s="47" t="n">
        <f aca="false">'Fault &amp; Downtime Entry'!G601</f>
        <v>0</v>
      </c>
      <c r="H600" s="47" t="str">
        <f aca="false">'Fault &amp; Downtime Entry'!H601</f>
        <v/>
      </c>
      <c r="I600" s="47" t="str">
        <f aca="false">'Fault &amp; Downtime Entry'!I601</f>
        <v/>
      </c>
      <c r="J600" s="47" t="n">
        <f aca="false">'Fault &amp; Downtime Entry'!J601</f>
        <v>0</v>
      </c>
      <c r="K600" s="47" t="n">
        <f aca="false">'Fault &amp; Downtime Entry'!K601</f>
        <v>0</v>
      </c>
      <c r="L600" s="47" t="n">
        <f aca="false">'Fault &amp; Downtime Entry'!L601</f>
        <v>0</v>
      </c>
      <c r="M600" s="47" t="str">
        <f aca="false">'Fault &amp; Downtime Entry'!M601</f>
        <v/>
      </c>
      <c r="N600" s="47" t="n">
        <f aca="false">'Fault &amp; Downtime Entry'!N601</f>
        <v>0</v>
      </c>
      <c r="O600" s="47" t="n">
        <f aca="false">'Fault &amp; Downtime Entry'!O601</f>
        <v>0</v>
      </c>
      <c r="P600" s="47" t="str">
        <f aca="false">IF(OR(J600="",K600=""),"",IFERROR(J600/K600*1000,0))</f>
        <v/>
      </c>
      <c r="Q600" s="47" t="str">
        <f aca="false">IF(OR(L600="",K600=""),"",IFERROR(L600/K600*1000,0))</f>
        <v/>
      </c>
      <c r="R600" s="47" t="str">
        <f aca="false">IF(OR(M600="High",M600="Critical"),"YES","")</f>
        <v/>
      </c>
    </row>
    <row r="601" customFormat="false" ht="15" hidden="false" customHeight="true" outlineLevel="0" collapsed="false">
      <c r="A601" s="47" t="n">
        <f aca="false">'Fault &amp; Downtime Entry'!A602</f>
        <v>597</v>
      </c>
      <c r="B601" s="48" t="n">
        <f aca="false">'Fault &amp; Downtime Entry'!B602</f>
        <v>0</v>
      </c>
      <c r="C601" s="47" t="n">
        <f aca="false">'Fault &amp; Downtime Entry'!C602</f>
        <v>0</v>
      </c>
      <c r="D601" s="47" t="n">
        <f aca="false">'Fault &amp; Downtime Entry'!D602</f>
        <v>0</v>
      </c>
      <c r="E601" s="47" t="n">
        <f aca="false">'Fault &amp; Downtime Entry'!E602</f>
        <v>0</v>
      </c>
      <c r="F601" s="47" t="str">
        <f aca="false">'Fault &amp; Downtime Entry'!F602</f>
        <v/>
      </c>
      <c r="G601" s="47" t="n">
        <f aca="false">'Fault &amp; Downtime Entry'!G602</f>
        <v>0</v>
      </c>
      <c r="H601" s="47" t="str">
        <f aca="false">'Fault &amp; Downtime Entry'!H602</f>
        <v/>
      </c>
      <c r="I601" s="47" t="str">
        <f aca="false">'Fault &amp; Downtime Entry'!I602</f>
        <v/>
      </c>
      <c r="J601" s="47" t="n">
        <f aca="false">'Fault &amp; Downtime Entry'!J602</f>
        <v>0</v>
      </c>
      <c r="K601" s="47" t="n">
        <f aca="false">'Fault &amp; Downtime Entry'!K602</f>
        <v>0</v>
      </c>
      <c r="L601" s="47" t="n">
        <f aca="false">'Fault &amp; Downtime Entry'!L602</f>
        <v>0</v>
      </c>
      <c r="M601" s="47" t="str">
        <f aca="false">'Fault &amp; Downtime Entry'!M602</f>
        <v/>
      </c>
      <c r="N601" s="47" t="n">
        <f aca="false">'Fault &amp; Downtime Entry'!N602</f>
        <v>0</v>
      </c>
      <c r="O601" s="47" t="n">
        <f aca="false">'Fault &amp; Downtime Entry'!O602</f>
        <v>0</v>
      </c>
      <c r="P601" s="47" t="str">
        <f aca="false">IF(OR(J601="",K601=""),"",IFERROR(J601/K601*1000,0))</f>
        <v/>
      </c>
      <c r="Q601" s="47" t="str">
        <f aca="false">IF(OR(L601="",K601=""),"",IFERROR(L601/K601*1000,0))</f>
        <v/>
      </c>
      <c r="R601" s="47" t="str">
        <f aca="false">IF(OR(M601="High",M601="Critical"),"YES","")</f>
        <v/>
      </c>
    </row>
    <row r="602" customFormat="false" ht="15" hidden="false" customHeight="true" outlineLevel="0" collapsed="false">
      <c r="A602" s="47" t="n">
        <f aca="false">'Fault &amp; Downtime Entry'!A603</f>
        <v>598</v>
      </c>
      <c r="B602" s="48" t="n">
        <f aca="false">'Fault &amp; Downtime Entry'!B603</f>
        <v>0</v>
      </c>
      <c r="C602" s="47" t="n">
        <f aca="false">'Fault &amp; Downtime Entry'!C603</f>
        <v>0</v>
      </c>
      <c r="D602" s="47" t="n">
        <f aca="false">'Fault &amp; Downtime Entry'!D603</f>
        <v>0</v>
      </c>
      <c r="E602" s="47" t="n">
        <f aca="false">'Fault &amp; Downtime Entry'!E603</f>
        <v>0</v>
      </c>
      <c r="F602" s="47" t="str">
        <f aca="false">'Fault &amp; Downtime Entry'!F603</f>
        <v/>
      </c>
      <c r="G602" s="47" t="n">
        <f aca="false">'Fault &amp; Downtime Entry'!G603</f>
        <v>0</v>
      </c>
      <c r="H602" s="47" t="str">
        <f aca="false">'Fault &amp; Downtime Entry'!H603</f>
        <v/>
      </c>
      <c r="I602" s="47" t="str">
        <f aca="false">'Fault &amp; Downtime Entry'!I603</f>
        <v/>
      </c>
      <c r="J602" s="47" t="n">
        <f aca="false">'Fault &amp; Downtime Entry'!J603</f>
        <v>0</v>
      </c>
      <c r="K602" s="47" t="n">
        <f aca="false">'Fault &amp; Downtime Entry'!K603</f>
        <v>0</v>
      </c>
      <c r="L602" s="47" t="n">
        <f aca="false">'Fault &amp; Downtime Entry'!L603</f>
        <v>0</v>
      </c>
      <c r="M602" s="47" t="str">
        <f aca="false">'Fault &amp; Downtime Entry'!M603</f>
        <v/>
      </c>
      <c r="N602" s="47" t="n">
        <f aca="false">'Fault &amp; Downtime Entry'!N603</f>
        <v>0</v>
      </c>
      <c r="O602" s="47" t="n">
        <f aca="false">'Fault &amp; Downtime Entry'!O603</f>
        <v>0</v>
      </c>
      <c r="P602" s="47" t="str">
        <f aca="false">IF(OR(J602="",K602=""),"",IFERROR(J602/K602*1000,0))</f>
        <v/>
      </c>
      <c r="Q602" s="47" t="str">
        <f aca="false">IF(OR(L602="",K602=""),"",IFERROR(L602/K602*1000,0))</f>
        <v/>
      </c>
      <c r="R602" s="47" t="str">
        <f aca="false">IF(OR(M602="High",M602="Critical"),"YES","")</f>
        <v/>
      </c>
    </row>
    <row r="603" customFormat="false" ht="15" hidden="false" customHeight="true" outlineLevel="0" collapsed="false">
      <c r="A603" s="47" t="n">
        <f aca="false">'Fault &amp; Downtime Entry'!A604</f>
        <v>599</v>
      </c>
      <c r="B603" s="48" t="n">
        <f aca="false">'Fault &amp; Downtime Entry'!B604</f>
        <v>0</v>
      </c>
      <c r="C603" s="47" t="n">
        <f aca="false">'Fault &amp; Downtime Entry'!C604</f>
        <v>0</v>
      </c>
      <c r="D603" s="47" t="n">
        <f aca="false">'Fault &amp; Downtime Entry'!D604</f>
        <v>0</v>
      </c>
      <c r="E603" s="47" t="n">
        <f aca="false">'Fault &amp; Downtime Entry'!E604</f>
        <v>0</v>
      </c>
      <c r="F603" s="47" t="str">
        <f aca="false">'Fault &amp; Downtime Entry'!F604</f>
        <v/>
      </c>
      <c r="G603" s="47" t="n">
        <f aca="false">'Fault &amp; Downtime Entry'!G604</f>
        <v>0</v>
      </c>
      <c r="H603" s="47" t="str">
        <f aca="false">'Fault &amp; Downtime Entry'!H604</f>
        <v/>
      </c>
      <c r="I603" s="47" t="str">
        <f aca="false">'Fault &amp; Downtime Entry'!I604</f>
        <v/>
      </c>
      <c r="J603" s="47" t="n">
        <f aca="false">'Fault &amp; Downtime Entry'!J604</f>
        <v>0</v>
      </c>
      <c r="K603" s="47" t="n">
        <f aca="false">'Fault &amp; Downtime Entry'!K604</f>
        <v>0</v>
      </c>
      <c r="L603" s="47" t="n">
        <f aca="false">'Fault &amp; Downtime Entry'!L604</f>
        <v>0</v>
      </c>
      <c r="M603" s="47" t="str">
        <f aca="false">'Fault &amp; Downtime Entry'!M604</f>
        <v/>
      </c>
      <c r="N603" s="47" t="n">
        <f aca="false">'Fault &amp; Downtime Entry'!N604</f>
        <v>0</v>
      </c>
      <c r="O603" s="47" t="n">
        <f aca="false">'Fault &amp; Downtime Entry'!O604</f>
        <v>0</v>
      </c>
      <c r="P603" s="47" t="str">
        <f aca="false">IF(OR(J603="",K603=""),"",IFERROR(J603/K603*1000,0))</f>
        <v/>
      </c>
      <c r="Q603" s="47" t="str">
        <f aca="false">IF(OR(L603="",K603=""),"",IFERROR(L603/K603*1000,0))</f>
        <v/>
      </c>
      <c r="R603" s="47" t="str">
        <f aca="false">IF(OR(M603="High",M603="Critical"),"YES","")</f>
        <v/>
      </c>
    </row>
    <row r="604" customFormat="false" ht="15" hidden="false" customHeight="true" outlineLevel="0" collapsed="false">
      <c r="A604" s="47" t="n">
        <f aca="false">'Fault &amp; Downtime Entry'!A605</f>
        <v>600</v>
      </c>
      <c r="B604" s="48" t="n">
        <f aca="false">'Fault &amp; Downtime Entry'!B605</f>
        <v>0</v>
      </c>
      <c r="C604" s="47" t="n">
        <f aca="false">'Fault &amp; Downtime Entry'!C605</f>
        <v>0</v>
      </c>
      <c r="D604" s="47" t="n">
        <f aca="false">'Fault &amp; Downtime Entry'!D605</f>
        <v>0</v>
      </c>
      <c r="E604" s="47" t="n">
        <f aca="false">'Fault &amp; Downtime Entry'!E605</f>
        <v>0</v>
      </c>
      <c r="F604" s="47" t="str">
        <f aca="false">'Fault &amp; Downtime Entry'!F605</f>
        <v/>
      </c>
      <c r="G604" s="47" t="n">
        <f aca="false">'Fault &amp; Downtime Entry'!G605</f>
        <v>0</v>
      </c>
      <c r="H604" s="47" t="str">
        <f aca="false">'Fault &amp; Downtime Entry'!H605</f>
        <v/>
      </c>
      <c r="I604" s="47" t="str">
        <f aca="false">'Fault &amp; Downtime Entry'!I605</f>
        <v/>
      </c>
      <c r="J604" s="47" t="n">
        <f aca="false">'Fault &amp; Downtime Entry'!J605</f>
        <v>0</v>
      </c>
      <c r="K604" s="47" t="n">
        <f aca="false">'Fault &amp; Downtime Entry'!K605</f>
        <v>0</v>
      </c>
      <c r="L604" s="47" t="n">
        <f aca="false">'Fault &amp; Downtime Entry'!L605</f>
        <v>0</v>
      </c>
      <c r="M604" s="47" t="str">
        <f aca="false">'Fault &amp; Downtime Entry'!M605</f>
        <v/>
      </c>
      <c r="N604" s="47" t="n">
        <f aca="false">'Fault &amp; Downtime Entry'!N605</f>
        <v>0</v>
      </c>
      <c r="O604" s="47" t="n">
        <f aca="false">'Fault &amp; Downtime Entry'!O605</f>
        <v>0</v>
      </c>
      <c r="P604" s="47" t="str">
        <f aca="false">IF(OR(J604="",K604=""),"",IFERROR(J604/K604*1000,0))</f>
        <v/>
      </c>
      <c r="Q604" s="47" t="str">
        <f aca="false">IF(OR(L604="",K604=""),"",IFERROR(L604/K604*1000,0))</f>
        <v/>
      </c>
      <c r="R604" s="47" t="str">
        <f aca="false">IF(OR(M604="High",M604="Critical"),"YES","")</f>
        <v/>
      </c>
    </row>
    <row r="605" customFormat="false" ht="15" hidden="false" customHeight="true" outlineLevel="0" collapsed="false">
      <c r="A605" s="47" t="n">
        <f aca="false">'Fault &amp; Downtime Entry'!A606</f>
        <v>601</v>
      </c>
      <c r="B605" s="48" t="n">
        <f aca="false">'Fault &amp; Downtime Entry'!B606</f>
        <v>0</v>
      </c>
      <c r="C605" s="47" t="n">
        <f aca="false">'Fault &amp; Downtime Entry'!C606</f>
        <v>0</v>
      </c>
      <c r="D605" s="47" t="n">
        <f aca="false">'Fault &amp; Downtime Entry'!D606</f>
        <v>0</v>
      </c>
      <c r="E605" s="47" t="n">
        <f aca="false">'Fault &amp; Downtime Entry'!E606</f>
        <v>0</v>
      </c>
      <c r="F605" s="47" t="str">
        <f aca="false">'Fault &amp; Downtime Entry'!F606</f>
        <v/>
      </c>
      <c r="G605" s="47" t="n">
        <f aca="false">'Fault &amp; Downtime Entry'!G606</f>
        <v>0</v>
      </c>
      <c r="H605" s="47" t="str">
        <f aca="false">'Fault &amp; Downtime Entry'!H606</f>
        <v/>
      </c>
      <c r="I605" s="47" t="str">
        <f aca="false">'Fault &amp; Downtime Entry'!I606</f>
        <v/>
      </c>
      <c r="J605" s="47" t="n">
        <f aca="false">'Fault &amp; Downtime Entry'!J606</f>
        <v>0</v>
      </c>
      <c r="K605" s="47" t="n">
        <f aca="false">'Fault &amp; Downtime Entry'!K606</f>
        <v>0</v>
      </c>
      <c r="L605" s="47" t="n">
        <f aca="false">'Fault &amp; Downtime Entry'!L606</f>
        <v>0</v>
      </c>
      <c r="M605" s="47" t="str">
        <f aca="false">'Fault &amp; Downtime Entry'!M606</f>
        <v/>
      </c>
      <c r="N605" s="47" t="n">
        <f aca="false">'Fault &amp; Downtime Entry'!N606</f>
        <v>0</v>
      </c>
      <c r="O605" s="47" t="n">
        <f aca="false">'Fault &amp; Downtime Entry'!O606</f>
        <v>0</v>
      </c>
      <c r="P605" s="47" t="str">
        <f aca="false">IF(OR(J605="",K605=""),"",IFERROR(J605/K605*1000,0))</f>
        <v/>
      </c>
      <c r="Q605" s="47" t="str">
        <f aca="false">IF(OR(L605="",K605=""),"",IFERROR(L605/K605*1000,0))</f>
        <v/>
      </c>
      <c r="R605" s="47" t="str">
        <f aca="false">IF(OR(M605="High",M605="Critical"),"YES","")</f>
        <v/>
      </c>
    </row>
    <row r="606" customFormat="false" ht="15" hidden="false" customHeight="true" outlineLevel="0" collapsed="false">
      <c r="A606" s="47" t="n">
        <f aca="false">'Fault &amp; Downtime Entry'!A607</f>
        <v>602</v>
      </c>
      <c r="B606" s="48" t="n">
        <f aca="false">'Fault &amp; Downtime Entry'!B607</f>
        <v>0</v>
      </c>
      <c r="C606" s="47" t="n">
        <f aca="false">'Fault &amp; Downtime Entry'!C607</f>
        <v>0</v>
      </c>
      <c r="D606" s="47" t="n">
        <f aca="false">'Fault &amp; Downtime Entry'!D607</f>
        <v>0</v>
      </c>
      <c r="E606" s="47" t="n">
        <f aca="false">'Fault &amp; Downtime Entry'!E607</f>
        <v>0</v>
      </c>
      <c r="F606" s="47" t="str">
        <f aca="false">'Fault &amp; Downtime Entry'!F607</f>
        <v/>
      </c>
      <c r="G606" s="47" t="n">
        <f aca="false">'Fault &amp; Downtime Entry'!G607</f>
        <v>0</v>
      </c>
      <c r="H606" s="47" t="str">
        <f aca="false">'Fault &amp; Downtime Entry'!H607</f>
        <v/>
      </c>
      <c r="I606" s="47" t="str">
        <f aca="false">'Fault &amp; Downtime Entry'!I607</f>
        <v/>
      </c>
      <c r="J606" s="47" t="n">
        <f aca="false">'Fault &amp; Downtime Entry'!J607</f>
        <v>0</v>
      </c>
      <c r="K606" s="47" t="n">
        <f aca="false">'Fault &amp; Downtime Entry'!K607</f>
        <v>0</v>
      </c>
      <c r="L606" s="47" t="n">
        <f aca="false">'Fault &amp; Downtime Entry'!L607</f>
        <v>0</v>
      </c>
      <c r="M606" s="47" t="str">
        <f aca="false">'Fault &amp; Downtime Entry'!M607</f>
        <v/>
      </c>
      <c r="N606" s="47" t="n">
        <f aca="false">'Fault &amp; Downtime Entry'!N607</f>
        <v>0</v>
      </c>
      <c r="O606" s="47" t="n">
        <f aca="false">'Fault &amp; Downtime Entry'!O607</f>
        <v>0</v>
      </c>
      <c r="P606" s="47" t="str">
        <f aca="false">IF(OR(J606="",K606=""),"",IFERROR(J606/K606*1000,0))</f>
        <v/>
      </c>
      <c r="Q606" s="47" t="str">
        <f aca="false">IF(OR(L606="",K606=""),"",IFERROR(L606/K606*1000,0))</f>
        <v/>
      </c>
      <c r="R606" s="47" t="str">
        <f aca="false">IF(OR(M606="High",M606="Critical"),"YES","")</f>
        <v/>
      </c>
    </row>
    <row r="607" customFormat="false" ht="15" hidden="false" customHeight="true" outlineLevel="0" collapsed="false">
      <c r="A607" s="47" t="n">
        <f aca="false">'Fault &amp; Downtime Entry'!A608</f>
        <v>603</v>
      </c>
      <c r="B607" s="48" t="n">
        <f aca="false">'Fault &amp; Downtime Entry'!B608</f>
        <v>0</v>
      </c>
      <c r="C607" s="47" t="n">
        <f aca="false">'Fault &amp; Downtime Entry'!C608</f>
        <v>0</v>
      </c>
      <c r="D607" s="47" t="n">
        <f aca="false">'Fault &amp; Downtime Entry'!D608</f>
        <v>0</v>
      </c>
      <c r="E607" s="47" t="n">
        <f aca="false">'Fault &amp; Downtime Entry'!E608</f>
        <v>0</v>
      </c>
      <c r="F607" s="47" t="str">
        <f aca="false">'Fault &amp; Downtime Entry'!F608</f>
        <v/>
      </c>
      <c r="G607" s="47" t="n">
        <f aca="false">'Fault &amp; Downtime Entry'!G608</f>
        <v>0</v>
      </c>
      <c r="H607" s="47" t="str">
        <f aca="false">'Fault &amp; Downtime Entry'!H608</f>
        <v/>
      </c>
      <c r="I607" s="47" t="str">
        <f aca="false">'Fault &amp; Downtime Entry'!I608</f>
        <v/>
      </c>
      <c r="J607" s="47" t="n">
        <f aca="false">'Fault &amp; Downtime Entry'!J608</f>
        <v>0</v>
      </c>
      <c r="K607" s="47" t="n">
        <f aca="false">'Fault &amp; Downtime Entry'!K608</f>
        <v>0</v>
      </c>
      <c r="L607" s="47" t="n">
        <f aca="false">'Fault &amp; Downtime Entry'!L608</f>
        <v>0</v>
      </c>
      <c r="M607" s="47" t="str">
        <f aca="false">'Fault &amp; Downtime Entry'!M608</f>
        <v/>
      </c>
      <c r="N607" s="47" t="n">
        <f aca="false">'Fault &amp; Downtime Entry'!N608</f>
        <v>0</v>
      </c>
      <c r="O607" s="47" t="n">
        <f aca="false">'Fault &amp; Downtime Entry'!O608</f>
        <v>0</v>
      </c>
      <c r="P607" s="47" t="str">
        <f aca="false">IF(OR(J607="",K607=""),"",IFERROR(J607/K607*1000,0))</f>
        <v/>
      </c>
      <c r="Q607" s="47" t="str">
        <f aca="false">IF(OR(L607="",K607=""),"",IFERROR(L607/K607*1000,0))</f>
        <v/>
      </c>
      <c r="R607" s="47" t="str">
        <f aca="false">IF(OR(M607="High",M607="Critical"),"YES","")</f>
        <v/>
      </c>
    </row>
    <row r="608" customFormat="false" ht="15" hidden="false" customHeight="true" outlineLevel="0" collapsed="false">
      <c r="A608" s="47" t="n">
        <f aca="false">'Fault &amp; Downtime Entry'!A609</f>
        <v>604</v>
      </c>
      <c r="B608" s="48" t="n">
        <f aca="false">'Fault &amp; Downtime Entry'!B609</f>
        <v>0</v>
      </c>
      <c r="C608" s="47" t="n">
        <f aca="false">'Fault &amp; Downtime Entry'!C609</f>
        <v>0</v>
      </c>
      <c r="D608" s="47" t="n">
        <f aca="false">'Fault &amp; Downtime Entry'!D609</f>
        <v>0</v>
      </c>
      <c r="E608" s="47" t="n">
        <f aca="false">'Fault &amp; Downtime Entry'!E609</f>
        <v>0</v>
      </c>
      <c r="F608" s="47" t="str">
        <f aca="false">'Fault &amp; Downtime Entry'!F609</f>
        <v/>
      </c>
      <c r="G608" s="47" t="n">
        <f aca="false">'Fault &amp; Downtime Entry'!G609</f>
        <v>0</v>
      </c>
      <c r="H608" s="47" t="str">
        <f aca="false">'Fault &amp; Downtime Entry'!H609</f>
        <v/>
      </c>
      <c r="I608" s="47" t="str">
        <f aca="false">'Fault &amp; Downtime Entry'!I609</f>
        <v/>
      </c>
      <c r="J608" s="47" t="n">
        <f aca="false">'Fault &amp; Downtime Entry'!J609</f>
        <v>0</v>
      </c>
      <c r="K608" s="47" t="n">
        <f aca="false">'Fault &amp; Downtime Entry'!K609</f>
        <v>0</v>
      </c>
      <c r="L608" s="47" t="n">
        <f aca="false">'Fault &amp; Downtime Entry'!L609</f>
        <v>0</v>
      </c>
      <c r="M608" s="47" t="str">
        <f aca="false">'Fault &amp; Downtime Entry'!M609</f>
        <v/>
      </c>
      <c r="N608" s="47" t="n">
        <f aca="false">'Fault &amp; Downtime Entry'!N609</f>
        <v>0</v>
      </c>
      <c r="O608" s="47" t="n">
        <f aca="false">'Fault &amp; Downtime Entry'!O609</f>
        <v>0</v>
      </c>
      <c r="P608" s="47" t="str">
        <f aca="false">IF(OR(J608="",K608=""),"",IFERROR(J608/K608*1000,0))</f>
        <v/>
      </c>
      <c r="Q608" s="47" t="str">
        <f aca="false">IF(OR(L608="",K608=""),"",IFERROR(L608/K608*1000,0))</f>
        <v/>
      </c>
      <c r="R608" s="47" t="str">
        <f aca="false">IF(OR(M608="High",M608="Critical"),"YES","")</f>
        <v/>
      </c>
    </row>
    <row r="609" customFormat="false" ht="15" hidden="false" customHeight="true" outlineLevel="0" collapsed="false">
      <c r="A609" s="47" t="n">
        <f aca="false">'Fault &amp; Downtime Entry'!A610</f>
        <v>605</v>
      </c>
      <c r="B609" s="48" t="n">
        <f aca="false">'Fault &amp; Downtime Entry'!B610</f>
        <v>0</v>
      </c>
      <c r="C609" s="47" t="n">
        <f aca="false">'Fault &amp; Downtime Entry'!C610</f>
        <v>0</v>
      </c>
      <c r="D609" s="47" t="n">
        <f aca="false">'Fault &amp; Downtime Entry'!D610</f>
        <v>0</v>
      </c>
      <c r="E609" s="47" t="n">
        <f aca="false">'Fault &amp; Downtime Entry'!E610</f>
        <v>0</v>
      </c>
      <c r="F609" s="47" t="str">
        <f aca="false">'Fault &amp; Downtime Entry'!F610</f>
        <v/>
      </c>
      <c r="G609" s="47" t="n">
        <f aca="false">'Fault &amp; Downtime Entry'!G610</f>
        <v>0</v>
      </c>
      <c r="H609" s="47" t="str">
        <f aca="false">'Fault &amp; Downtime Entry'!H610</f>
        <v/>
      </c>
      <c r="I609" s="47" t="str">
        <f aca="false">'Fault &amp; Downtime Entry'!I610</f>
        <v/>
      </c>
      <c r="J609" s="47" t="n">
        <f aca="false">'Fault &amp; Downtime Entry'!J610</f>
        <v>0</v>
      </c>
      <c r="K609" s="47" t="n">
        <f aca="false">'Fault &amp; Downtime Entry'!K610</f>
        <v>0</v>
      </c>
      <c r="L609" s="47" t="n">
        <f aca="false">'Fault &amp; Downtime Entry'!L610</f>
        <v>0</v>
      </c>
      <c r="M609" s="47" t="str">
        <f aca="false">'Fault &amp; Downtime Entry'!M610</f>
        <v/>
      </c>
      <c r="N609" s="47" t="n">
        <f aca="false">'Fault &amp; Downtime Entry'!N610</f>
        <v>0</v>
      </c>
      <c r="O609" s="47" t="n">
        <f aca="false">'Fault &amp; Downtime Entry'!O610</f>
        <v>0</v>
      </c>
      <c r="P609" s="47" t="str">
        <f aca="false">IF(OR(J609="",K609=""),"",IFERROR(J609/K609*1000,0))</f>
        <v/>
      </c>
      <c r="Q609" s="47" t="str">
        <f aca="false">IF(OR(L609="",K609=""),"",IFERROR(L609/K609*1000,0))</f>
        <v/>
      </c>
      <c r="R609" s="47" t="str">
        <f aca="false">IF(OR(M609="High",M609="Critical"),"YES","")</f>
        <v/>
      </c>
    </row>
    <row r="610" customFormat="false" ht="15" hidden="false" customHeight="true" outlineLevel="0" collapsed="false">
      <c r="A610" s="47" t="n">
        <f aca="false">'Fault &amp; Downtime Entry'!A611</f>
        <v>606</v>
      </c>
      <c r="B610" s="48" t="n">
        <f aca="false">'Fault &amp; Downtime Entry'!B611</f>
        <v>0</v>
      </c>
      <c r="C610" s="47" t="n">
        <f aca="false">'Fault &amp; Downtime Entry'!C611</f>
        <v>0</v>
      </c>
      <c r="D610" s="47" t="n">
        <f aca="false">'Fault &amp; Downtime Entry'!D611</f>
        <v>0</v>
      </c>
      <c r="E610" s="47" t="n">
        <f aca="false">'Fault &amp; Downtime Entry'!E611</f>
        <v>0</v>
      </c>
      <c r="F610" s="47" t="str">
        <f aca="false">'Fault &amp; Downtime Entry'!F611</f>
        <v/>
      </c>
      <c r="G610" s="47" t="n">
        <f aca="false">'Fault &amp; Downtime Entry'!G611</f>
        <v>0</v>
      </c>
      <c r="H610" s="47" t="str">
        <f aca="false">'Fault &amp; Downtime Entry'!H611</f>
        <v/>
      </c>
      <c r="I610" s="47" t="str">
        <f aca="false">'Fault &amp; Downtime Entry'!I611</f>
        <v/>
      </c>
      <c r="J610" s="47" t="n">
        <f aca="false">'Fault &amp; Downtime Entry'!J611</f>
        <v>0</v>
      </c>
      <c r="K610" s="47" t="n">
        <f aca="false">'Fault &amp; Downtime Entry'!K611</f>
        <v>0</v>
      </c>
      <c r="L610" s="47" t="n">
        <f aca="false">'Fault &amp; Downtime Entry'!L611</f>
        <v>0</v>
      </c>
      <c r="M610" s="47" t="str">
        <f aca="false">'Fault &amp; Downtime Entry'!M611</f>
        <v/>
      </c>
      <c r="N610" s="47" t="n">
        <f aca="false">'Fault &amp; Downtime Entry'!N611</f>
        <v>0</v>
      </c>
      <c r="O610" s="47" t="n">
        <f aca="false">'Fault &amp; Downtime Entry'!O611</f>
        <v>0</v>
      </c>
      <c r="P610" s="47" t="str">
        <f aca="false">IF(OR(J610="",K610=""),"",IFERROR(J610/K610*1000,0))</f>
        <v/>
      </c>
      <c r="Q610" s="47" t="str">
        <f aca="false">IF(OR(L610="",K610=""),"",IFERROR(L610/K610*1000,0))</f>
        <v/>
      </c>
      <c r="R610" s="47" t="str">
        <f aca="false">IF(OR(M610="High",M610="Critical"),"YES","")</f>
        <v/>
      </c>
    </row>
    <row r="611" customFormat="false" ht="15" hidden="false" customHeight="true" outlineLevel="0" collapsed="false">
      <c r="A611" s="47" t="n">
        <f aca="false">'Fault &amp; Downtime Entry'!A612</f>
        <v>607</v>
      </c>
      <c r="B611" s="48" t="n">
        <f aca="false">'Fault &amp; Downtime Entry'!B612</f>
        <v>0</v>
      </c>
      <c r="C611" s="47" t="n">
        <f aca="false">'Fault &amp; Downtime Entry'!C612</f>
        <v>0</v>
      </c>
      <c r="D611" s="47" t="n">
        <f aca="false">'Fault &amp; Downtime Entry'!D612</f>
        <v>0</v>
      </c>
      <c r="E611" s="47" t="n">
        <f aca="false">'Fault &amp; Downtime Entry'!E612</f>
        <v>0</v>
      </c>
      <c r="F611" s="47" t="str">
        <f aca="false">'Fault &amp; Downtime Entry'!F612</f>
        <v/>
      </c>
      <c r="G611" s="47" t="n">
        <f aca="false">'Fault &amp; Downtime Entry'!G612</f>
        <v>0</v>
      </c>
      <c r="H611" s="47" t="str">
        <f aca="false">'Fault &amp; Downtime Entry'!H612</f>
        <v/>
      </c>
      <c r="I611" s="47" t="str">
        <f aca="false">'Fault &amp; Downtime Entry'!I612</f>
        <v/>
      </c>
      <c r="J611" s="47" t="n">
        <f aca="false">'Fault &amp; Downtime Entry'!J612</f>
        <v>0</v>
      </c>
      <c r="K611" s="47" t="n">
        <f aca="false">'Fault &amp; Downtime Entry'!K612</f>
        <v>0</v>
      </c>
      <c r="L611" s="47" t="n">
        <f aca="false">'Fault &amp; Downtime Entry'!L612</f>
        <v>0</v>
      </c>
      <c r="M611" s="47" t="str">
        <f aca="false">'Fault &amp; Downtime Entry'!M612</f>
        <v/>
      </c>
      <c r="N611" s="47" t="n">
        <f aca="false">'Fault &amp; Downtime Entry'!N612</f>
        <v>0</v>
      </c>
      <c r="O611" s="47" t="n">
        <f aca="false">'Fault &amp; Downtime Entry'!O612</f>
        <v>0</v>
      </c>
      <c r="P611" s="47" t="str">
        <f aca="false">IF(OR(J611="",K611=""),"",IFERROR(J611/K611*1000,0))</f>
        <v/>
      </c>
      <c r="Q611" s="47" t="str">
        <f aca="false">IF(OR(L611="",K611=""),"",IFERROR(L611/K611*1000,0))</f>
        <v/>
      </c>
      <c r="R611" s="47" t="str">
        <f aca="false">IF(OR(M611="High",M611="Critical"),"YES","")</f>
        <v/>
      </c>
    </row>
    <row r="612" customFormat="false" ht="15" hidden="false" customHeight="true" outlineLevel="0" collapsed="false">
      <c r="A612" s="47" t="n">
        <f aca="false">'Fault &amp; Downtime Entry'!A613</f>
        <v>608</v>
      </c>
      <c r="B612" s="48" t="n">
        <f aca="false">'Fault &amp; Downtime Entry'!B613</f>
        <v>0</v>
      </c>
      <c r="C612" s="47" t="n">
        <f aca="false">'Fault &amp; Downtime Entry'!C613</f>
        <v>0</v>
      </c>
      <c r="D612" s="47" t="n">
        <f aca="false">'Fault &amp; Downtime Entry'!D613</f>
        <v>0</v>
      </c>
      <c r="E612" s="47" t="n">
        <f aca="false">'Fault &amp; Downtime Entry'!E613</f>
        <v>0</v>
      </c>
      <c r="F612" s="47" t="str">
        <f aca="false">'Fault &amp; Downtime Entry'!F613</f>
        <v/>
      </c>
      <c r="G612" s="47" t="n">
        <f aca="false">'Fault &amp; Downtime Entry'!G613</f>
        <v>0</v>
      </c>
      <c r="H612" s="47" t="str">
        <f aca="false">'Fault &amp; Downtime Entry'!H613</f>
        <v/>
      </c>
      <c r="I612" s="47" t="str">
        <f aca="false">'Fault &amp; Downtime Entry'!I613</f>
        <v/>
      </c>
      <c r="J612" s="47" t="n">
        <f aca="false">'Fault &amp; Downtime Entry'!J613</f>
        <v>0</v>
      </c>
      <c r="K612" s="47" t="n">
        <f aca="false">'Fault &amp; Downtime Entry'!K613</f>
        <v>0</v>
      </c>
      <c r="L612" s="47" t="n">
        <f aca="false">'Fault &amp; Downtime Entry'!L613</f>
        <v>0</v>
      </c>
      <c r="M612" s="47" t="str">
        <f aca="false">'Fault &amp; Downtime Entry'!M613</f>
        <v/>
      </c>
      <c r="N612" s="47" t="n">
        <f aca="false">'Fault &amp; Downtime Entry'!N613</f>
        <v>0</v>
      </c>
      <c r="O612" s="47" t="n">
        <f aca="false">'Fault &amp; Downtime Entry'!O613</f>
        <v>0</v>
      </c>
      <c r="P612" s="47" t="str">
        <f aca="false">IF(OR(J612="",K612=""),"",IFERROR(J612/K612*1000,0))</f>
        <v/>
      </c>
      <c r="Q612" s="47" t="str">
        <f aca="false">IF(OR(L612="",K612=""),"",IFERROR(L612/K612*1000,0))</f>
        <v/>
      </c>
      <c r="R612" s="47" t="str">
        <f aca="false">IF(OR(M612="High",M612="Critical"),"YES","")</f>
        <v/>
      </c>
    </row>
    <row r="613" customFormat="false" ht="15" hidden="false" customHeight="true" outlineLevel="0" collapsed="false">
      <c r="A613" s="47" t="n">
        <f aca="false">'Fault &amp; Downtime Entry'!A614</f>
        <v>609</v>
      </c>
      <c r="B613" s="48" t="n">
        <f aca="false">'Fault &amp; Downtime Entry'!B614</f>
        <v>0</v>
      </c>
      <c r="C613" s="47" t="n">
        <f aca="false">'Fault &amp; Downtime Entry'!C614</f>
        <v>0</v>
      </c>
      <c r="D613" s="47" t="n">
        <f aca="false">'Fault &amp; Downtime Entry'!D614</f>
        <v>0</v>
      </c>
      <c r="E613" s="47" t="n">
        <f aca="false">'Fault &amp; Downtime Entry'!E614</f>
        <v>0</v>
      </c>
      <c r="F613" s="47" t="str">
        <f aca="false">'Fault &amp; Downtime Entry'!F614</f>
        <v/>
      </c>
      <c r="G613" s="47" t="n">
        <f aca="false">'Fault &amp; Downtime Entry'!G614</f>
        <v>0</v>
      </c>
      <c r="H613" s="47" t="str">
        <f aca="false">'Fault &amp; Downtime Entry'!H614</f>
        <v/>
      </c>
      <c r="I613" s="47" t="str">
        <f aca="false">'Fault &amp; Downtime Entry'!I614</f>
        <v/>
      </c>
      <c r="J613" s="47" t="n">
        <f aca="false">'Fault &amp; Downtime Entry'!J614</f>
        <v>0</v>
      </c>
      <c r="K613" s="47" t="n">
        <f aca="false">'Fault &amp; Downtime Entry'!K614</f>
        <v>0</v>
      </c>
      <c r="L613" s="47" t="n">
        <f aca="false">'Fault &amp; Downtime Entry'!L614</f>
        <v>0</v>
      </c>
      <c r="M613" s="47" t="str">
        <f aca="false">'Fault &amp; Downtime Entry'!M614</f>
        <v/>
      </c>
      <c r="N613" s="47" t="n">
        <f aca="false">'Fault &amp; Downtime Entry'!N614</f>
        <v>0</v>
      </c>
      <c r="O613" s="47" t="n">
        <f aca="false">'Fault &amp; Downtime Entry'!O614</f>
        <v>0</v>
      </c>
      <c r="P613" s="47" t="str">
        <f aca="false">IF(OR(J613="",K613=""),"",IFERROR(J613/K613*1000,0))</f>
        <v/>
      </c>
      <c r="Q613" s="47" t="str">
        <f aca="false">IF(OR(L613="",K613=""),"",IFERROR(L613/K613*1000,0))</f>
        <v/>
      </c>
      <c r="R613" s="47" t="str">
        <f aca="false">IF(OR(M613="High",M613="Critical"),"YES","")</f>
        <v/>
      </c>
    </row>
    <row r="614" customFormat="false" ht="15" hidden="false" customHeight="true" outlineLevel="0" collapsed="false">
      <c r="A614" s="47" t="n">
        <f aca="false">'Fault &amp; Downtime Entry'!A615</f>
        <v>610</v>
      </c>
      <c r="B614" s="48" t="n">
        <f aca="false">'Fault &amp; Downtime Entry'!B615</f>
        <v>0</v>
      </c>
      <c r="C614" s="47" t="n">
        <f aca="false">'Fault &amp; Downtime Entry'!C615</f>
        <v>0</v>
      </c>
      <c r="D614" s="47" t="n">
        <f aca="false">'Fault &amp; Downtime Entry'!D615</f>
        <v>0</v>
      </c>
      <c r="E614" s="47" t="n">
        <f aca="false">'Fault &amp; Downtime Entry'!E615</f>
        <v>0</v>
      </c>
      <c r="F614" s="47" t="str">
        <f aca="false">'Fault &amp; Downtime Entry'!F615</f>
        <v/>
      </c>
      <c r="G614" s="47" t="n">
        <f aca="false">'Fault &amp; Downtime Entry'!G615</f>
        <v>0</v>
      </c>
      <c r="H614" s="47" t="str">
        <f aca="false">'Fault &amp; Downtime Entry'!H615</f>
        <v/>
      </c>
      <c r="I614" s="47" t="str">
        <f aca="false">'Fault &amp; Downtime Entry'!I615</f>
        <v/>
      </c>
      <c r="J614" s="47" t="n">
        <f aca="false">'Fault &amp; Downtime Entry'!J615</f>
        <v>0</v>
      </c>
      <c r="K614" s="47" t="n">
        <f aca="false">'Fault &amp; Downtime Entry'!K615</f>
        <v>0</v>
      </c>
      <c r="L614" s="47" t="n">
        <f aca="false">'Fault &amp; Downtime Entry'!L615</f>
        <v>0</v>
      </c>
      <c r="M614" s="47" t="str">
        <f aca="false">'Fault &amp; Downtime Entry'!M615</f>
        <v/>
      </c>
      <c r="N614" s="47" t="n">
        <f aca="false">'Fault &amp; Downtime Entry'!N615</f>
        <v>0</v>
      </c>
      <c r="O614" s="47" t="n">
        <f aca="false">'Fault &amp; Downtime Entry'!O615</f>
        <v>0</v>
      </c>
      <c r="P614" s="47" t="str">
        <f aca="false">IF(OR(J614="",K614=""),"",IFERROR(J614/K614*1000,0))</f>
        <v/>
      </c>
      <c r="Q614" s="47" t="str">
        <f aca="false">IF(OR(L614="",K614=""),"",IFERROR(L614/K614*1000,0))</f>
        <v/>
      </c>
      <c r="R614" s="47" t="str">
        <f aca="false">IF(OR(M614="High",M614="Critical"),"YES","")</f>
        <v/>
      </c>
    </row>
    <row r="615" customFormat="false" ht="15" hidden="false" customHeight="true" outlineLevel="0" collapsed="false">
      <c r="A615" s="47" t="n">
        <f aca="false">'Fault &amp; Downtime Entry'!A616</f>
        <v>611</v>
      </c>
      <c r="B615" s="48" t="n">
        <f aca="false">'Fault &amp; Downtime Entry'!B616</f>
        <v>0</v>
      </c>
      <c r="C615" s="47" t="n">
        <f aca="false">'Fault &amp; Downtime Entry'!C616</f>
        <v>0</v>
      </c>
      <c r="D615" s="47" t="n">
        <f aca="false">'Fault &amp; Downtime Entry'!D616</f>
        <v>0</v>
      </c>
      <c r="E615" s="47" t="n">
        <f aca="false">'Fault &amp; Downtime Entry'!E616</f>
        <v>0</v>
      </c>
      <c r="F615" s="47" t="str">
        <f aca="false">'Fault &amp; Downtime Entry'!F616</f>
        <v/>
      </c>
      <c r="G615" s="47" t="n">
        <f aca="false">'Fault &amp; Downtime Entry'!G616</f>
        <v>0</v>
      </c>
      <c r="H615" s="47" t="str">
        <f aca="false">'Fault &amp; Downtime Entry'!H616</f>
        <v/>
      </c>
      <c r="I615" s="47" t="str">
        <f aca="false">'Fault &amp; Downtime Entry'!I616</f>
        <v/>
      </c>
      <c r="J615" s="47" t="n">
        <f aca="false">'Fault &amp; Downtime Entry'!J616</f>
        <v>0</v>
      </c>
      <c r="K615" s="47" t="n">
        <f aca="false">'Fault &amp; Downtime Entry'!K616</f>
        <v>0</v>
      </c>
      <c r="L615" s="47" t="n">
        <f aca="false">'Fault &amp; Downtime Entry'!L616</f>
        <v>0</v>
      </c>
      <c r="M615" s="47" t="str">
        <f aca="false">'Fault &amp; Downtime Entry'!M616</f>
        <v/>
      </c>
      <c r="N615" s="47" t="n">
        <f aca="false">'Fault &amp; Downtime Entry'!N616</f>
        <v>0</v>
      </c>
      <c r="O615" s="47" t="n">
        <f aca="false">'Fault &amp; Downtime Entry'!O616</f>
        <v>0</v>
      </c>
      <c r="P615" s="47" t="str">
        <f aca="false">IF(OR(J615="",K615=""),"",IFERROR(J615/K615*1000,0))</f>
        <v/>
      </c>
      <c r="Q615" s="47" t="str">
        <f aca="false">IF(OR(L615="",K615=""),"",IFERROR(L615/K615*1000,0))</f>
        <v/>
      </c>
      <c r="R615" s="47" t="str">
        <f aca="false">IF(OR(M615="High",M615="Critical"),"YES","")</f>
        <v/>
      </c>
    </row>
    <row r="616" customFormat="false" ht="15" hidden="false" customHeight="true" outlineLevel="0" collapsed="false">
      <c r="A616" s="47" t="n">
        <f aca="false">'Fault &amp; Downtime Entry'!A617</f>
        <v>612</v>
      </c>
      <c r="B616" s="48" t="n">
        <f aca="false">'Fault &amp; Downtime Entry'!B617</f>
        <v>0</v>
      </c>
      <c r="C616" s="47" t="n">
        <f aca="false">'Fault &amp; Downtime Entry'!C617</f>
        <v>0</v>
      </c>
      <c r="D616" s="47" t="n">
        <f aca="false">'Fault &amp; Downtime Entry'!D617</f>
        <v>0</v>
      </c>
      <c r="E616" s="47" t="n">
        <f aca="false">'Fault &amp; Downtime Entry'!E617</f>
        <v>0</v>
      </c>
      <c r="F616" s="47" t="str">
        <f aca="false">'Fault &amp; Downtime Entry'!F617</f>
        <v/>
      </c>
      <c r="G616" s="47" t="n">
        <f aca="false">'Fault &amp; Downtime Entry'!G617</f>
        <v>0</v>
      </c>
      <c r="H616" s="47" t="str">
        <f aca="false">'Fault &amp; Downtime Entry'!H617</f>
        <v/>
      </c>
      <c r="I616" s="47" t="str">
        <f aca="false">'Fault &amp; Downtime Entry'!I617</f>
        <v/>
      </c>
      <c r="J616" s="47" t="n">
        <f aca="false">'Fault &amp; Downtime Entry'!J617</f>
        <v>0</v>
      </c>
      <c r="K616" s="47" t="n">
        <f aca="false">'Fault &amp; Downtime Entry'!K617</f>
        <v>0</v>
      </c>
      <c r="L616" s="47" t="n">
        <f aca="false">'Fault &amp; Downtime Entry'!L617</f>
        <v>0</v>
      </c>
      <c r="M616" s="47" t="str">
        <f aca="false">'Fault &amp; Downtime Entry'!M617</f>
        <v/>
      </c>
      <c r="N616" s="47" t="n">
        <f aca="false">'Fault &amp; Downtime Entry'!N617</f>
        <v>0</v>
      </c>
      <c r="O616" s="47" t="n">
        <f aca="false">'Fault &amp; Downtime Entry'!O617</f>
        <v>0</v>
      </c>
      <c r="P616" s="47" t="str">
        <f aca="false">IF(OR(J616="",K616=""),"",IFERROR(J616/K616*1000,0))</f>
        <v/>
      </c>
      <c r="Q616" s="47" t="str">
        <f aca="false">IF(OR(L616="",K616=""),"",IFERROR(L616/K616*1000,0))</f>
        <v/>
      </c>
      <c r="R616" s="47" t="str">
        <f aca="false">IF(OR(M616="High",M616="Critical"),"YES","")</f>
        <v/>
      </c>
    </row>
    <row r="617" customFormat="false" ht="15" hidden="false" customHeight="true" outlineLevel="0" collapsed="false">
      <c r="A617" s="47" t="n">
        <f aca="false">'Fault &amp; Downtime Entry'!A618</f>
        <v>613</v>
      </c>
      <c r="B617" s="48" t="n">
        <f aca="false">'Fault &amp; Downtime Entry'!B618</f>
        <v>0</v>
      </c>
      <c r="C617" s="47" t="n">
        <f aca="false">'Fault &amp; Downtime Entry'!C618</f>
        <v>0</v>
      </c>
      <c r="D617" s="47" t="n">
        <f aca="false">'Fault &amp; Downtime Entry'!D618</f>
        <v>0</v>
      </c>
      <c r="E617" s="47" t="n">
        <f aca="false">'Fault &amp; Downtime Entry'!E618</f>
        <v>0</v>
      </c>
      <c r="F617" s="47" t="str">
        <f aca="false">'Fault &amp; Downtime Entry'!F618</f>
        <v/>
      </c>
      <c r="G617" s="47" t="n">
        <f aca="false">'Fault &amp; Downtime Entry'!G618</f>
        <v>0</v>
      </c>
      <c r="H617" s="47" t="str">
        <f aca="false">'Fault &amp; Downtime Entry'!H618</f>
        <v/>
      </c>
      <c r="I617" s="47" t="str">
        <f aca="false">'Fault &amp; Downtime Entry'!I618</f>
        <v/>
      </c>
      <c r="J617" s="47" t="n">
        <f aca="false">'Fault &amp; Downtime Entry'!J618</f>
        <v>0</v>
      </c>
      <c r="K617" s="47" t="n">
        <f aca="false">'Fault &amp; Downtime Entry'!K618</f>
        <v>0</v>
      </c>
      <c r="L617" s="47" t="n">
        <f aca="false">'Fault &amp; Downtime Entry'!L618</f>
        <v>0</v>
      </c>
      <c r="M617" s="47" t="str">
        <f aca="false">'Fault &amp; Downtime Entry'!M618</f>
        <v/>
      </c>
      <c r="N617" s="47" t="n">
        <f aca="false">'Fault &amp; Downtime Entry'!N618</f>
        <v>0</v>
      </c>
      <c r="O617" s="47" t="n">
        <f aca="false">'Fault &amp; Downtime Entry'!O618</f>
        <v>0</v>
      </c>
      <c r="P617" s="47" t="str">
        <f aca="false">IF(OR(J617="",K617=""),"",IFERROR(J617/K617*1000,0))</f>
        <v/>
      </c>
      <c r="Q617" s="47" t="str">
        <f aca="false">IF(OR(L617="",K617=""),"",IFERROR(L617/K617*1000,0))</f>
        <v/>
      </c>
      <c r="R617" s="47" t="str">
        <f aca="false">IF(OR(M617="High",M617="Critical"),"YES","")</f>
        <v/>
      </c>
    </row>
    <row r="618" customFormat="false" ht="15" hidden="false" customHeight="true" outlineLevel="0" collapsed="false">
      <c r="A618" s="47" t="n">
        <f aca="false">'Fault &amp; Downtime Entry'!A619</f>
        <v>614</v>
      </c>
      <c r="B618" s="48" t="n">
        <f aca="false">'Fault &amp; Downtime Entry'!B619</f>
        <v>0</v>
      </c>
      <c r="C618" s="47" t="n">
        <f aca="false">'Fault &amp; Downtime Entry'!C619</f>
        <v>0</v>
      </c>
      <c r="D618" s="47" t="n">
        <f aca="false">'Fault &amp; Downtime Entry'!D619</f>
        <v>0</v>
      </c>
      <c r="E618" s="47" t="n">
        <f aca="false">'Fault &amp; Downtime Entry'!E619</f>
        <v>0</v>
      </c>
      <c r="F618" s="47" t="str">
        <f aca="false">'Fault &amp; Downtime Entry'!F619</f>
        <v/>
      </c>
      <c r="G618" s="47" t="n">
        <f aca="false">'Fault &amp; Downtime Entry'!G619</f>
        <v>0</v>
      </c>
      <c r="H618" s="47" t="str">
        <f aca="false">'Fault &amp; Downtime Entry'!H619</f>
        <v/>
      </c>
      <c r="I618" s="47" t="str">
        <f aca="false">'Fault &amp; Downtime Entry'!I619</f>
        <v/>
      </c>
      <c r="J618" s="47" t="n">
        <f aca="false">'Fault &amp; Downtime Entry'!J619</f>
        <v>0</v>
      </c>
      <c r="K618" s="47" t="n">
        <f aca="false">'Fault &amp; Downtime Entry'!K619</f>
        <v>0</v>
      </c>
      <c r="L618" s="47" t="n">
        <f aca="false">'Fault &amp; Downtime Entry'!L619</f>
        <v>0</v>
      </c>
      <c r="M618" s="47" t="str">
        <f aca="false">'Fault &amp; Downtime Entry'!M619</f>
        <v/>
      </c>
      <c r="N618" s="47" t="n">
        <f aca="false">'Fault &amp; Downtime Entry'!N619</f>
        <v>0</v>
      </c>
      <c r="O618" s="47" t="n">
        <f aca="false">'Fault &amp; Downtime Entry'!O619</f>
        <v>0</v>
      </c>
      <c r="P618" s="47" t="str">
        <f aca="false">IF(OR(J618="",K618=""),"",IFERROR(J618/K618*1000,0))</f>
        <v/>
      </c>
      <c r="Q618" s="47" t="str">
        <f aca="false">IF(OR(L618="",K618=""),"",IFERROR(L618/K618*1000,0))</f>
        <v/>
      </c>
      <c r="R618" s="47" t="str">
        <f aca="false">IF(OR(M618="High",M618="Critical"),"YES","")</f>
        <v/>
      </c>
    </row>
    <row r="619" customFormat="false" ht="15" hidden="false" customHeight="true" outlineLevel="0" collapsed="false">
      <c r="A619" s="47" t="n">
        <f aca="false">'Fault &amp; Downtime Entry'!A620</f>
        <v>615</v>
      </c>
      <c r="B619" s="48" t="n">
        <f aca="false">'Fault &amp; Downtime Entry'!B620</f>
        <v>0</v>
      </c>
      <c r="C619" s="47" t="n">
        <f aca="false">'Fault &amp; Downtime Entry'!C620</f>
        <v>0</v>
      </c>
      <c r="D619" s="47" t="n">
        <f aca="false">'Fault &amp; Downtime Entry'!D620</f>
        <v>0</v>
      </c>
      <c r="E619" s="47" t="n">
        <f aca="false">'Fault &amp; Downtime Entry'!E620</f>
        <v>0</v>
      </c>
      <c r="F619" s="47" t="str">
        <f aca="false">'Fault &amp; Downtime Entry'!F620</f>
        <v/>
      </c>
      <c r="G619" s="47" t="n">
        <f aca="false">'Fault &amp; Downtime Entry'!G620</f>
        <v>0</v>
      </c>
      <c r="H619" s="47" t="str">
        <f aca="false">'Fault &amp; Downtime Entry'!H620</f>
        <v/>
      </c>
      <c r="I619" s="47" t="str">
        <f aca="false">'Fault &amp; Downtime Entry'!I620</f>
        <v/>
      </c>
      <c r="J619" s="47" t="n">
        <f aca="false">'Fault &amp; Downtime Entry'!J620</f>
        <v>0</v>
      </c>
      <c r="K619" s="47" t="n">
        <f aca="false">'Fault &amp; Downtime Entry'!K620</f>
        <v>0</v>
      </c>
      <c r="L619" s="47" t="n">
        <f aca="false">'Fault &amp; Downtime Entry'!L620</f>
        <v>0</v>
      </c>
      <c r="M619" s="47" t="str">
        <f aca="false">'Fault &amp; Downtime Entry'!M620</f>
        <v/>
      </c>
      <c r="N619" s="47" t="n">
        <f aca="false">'Fault &amp; Downtime Entry'!N620</f>
        <v>0</v>
      </c>
      <c r="O619" s="47" t="n">
        <f aca="false">'Fault &amp; Downtime Entry'!O620</f>
        <v>0</v>
      </c>
      <c r="P619" s="47" t="str">
        <f aca="false">IF(OR(J619="",K619=""),"",IFERROR(J619/K619*1000,0))</f>
        <v/>
      </c>
      <c r="Q619" s="47" t="str">
        <f aca="false">IF(OR(L619="",K619=""),"",IFERROR(L619/K619*1000,0))</f>
        <v/>
      </c>
      <c r="R619" s="47" t="str">
        <f aca="false">IF(OR(M619="High",M619="Critical"),"YES","")</f>
        <v/>
      </c>
    </row>
    <row r="620" customFormat="false" ht="15" hidden="false" customHeight="true" outlineLevel="0" collapsed="false">
      <c r="A620" s="47" t="n">
        <f aca="false">'Fault &amp; Downtime Entry'!A621</f>
        <v>616</v>
      </c>
      <c r="B620" s="48" t="n">
        <f aca="false">'Fault &amp; Downtime Entry'!B621</f>
        <v>0</v>
      </c>
      <c r="C620" s="47" t="n">
        <f aca="false">'Fault &amp; Downtime Entry'!C621</f>
        <v>0</v>
      </c>
      <c r="D620" s="47" t="n">
        <f aca="false">'Fault &amp; Downtime Entry'!D621</f>
        <v>0</v>
      </c>
      <c r="E620" s="47" t="n">
        <f aca="false">'Fault &amp; Downtime Entry'!E621</f>
        <v>0</v>
      </c>
      <c r="F620" s="47" t="str">
        <f aca="false">'Fault &amp; Downtime Entry'!F621</f>
        <v/>
      </c>
      <c r="G620" s="47" t="n">
        <f aca="false">'Fault &amp; Downtime Entry'!G621</f>
        <v>0</v>
      </c>
      <c r="H620" s="47" t="str">
        <f aca="false">'Fault &amp; Downtime Entry'!H621</f>
        <v/>
      </c>
      <c r="I620" s="47" t="str">
        <f aca="false">'Fault &amp; Downtime Entry'!I621</f>
        <v/>
      </c>
      <c r="J620" s="47" t="n">
        <f aca="false">'Fault &amp; Downtime Entry'!J621</f>
        <v>0</v>
      </c>
      <c r="K620" s="47" t="n">
        <f aca="false">'Fault &amp; Downtime Entry'!K621</f>
        <v>0</v>
      </c>
      <c r="L620" s="47" t="n">
        <f aca="false">'Fault &amp; Downtime Entry'!L621</f>
        <v>0</v>
      </c>
      <c r="M620" s="47" t="str">
        <f aca="false">'Fault &amp; Downtime Entry'!M621</f>
        <v/>
      </c>
      <c r="N620" s="47" t="n">
        <f aca="false">'Fault &amp; Downtime Entry'!N621</f>
        <v>0</v>
      </c>
      <c r="O620" s="47" t="n">
        <f aca="false">'Fault &amp; Downtime Entry'!O621</f>
        <v>0</v>
      </c>
      <c r="P620" s="47" t="str">
        <f aca="false">IF(OR(J620="",K620=""),"",IFERROR(J620/K620*1000,0))</f>
        <v/>
      </c>
      <c r="Q620" s="47" t="str">
        <f aca="false">IF(OR(L620="",K620=""),"",IFERROR(L620/K620*1000,0))</f>
        <v/>
      </c>
      <c r="R620" s="47" t="str">
        <f aca="false">IF(OR(M620="High",M620="Critical"),"YES","")</f>
        <v/>
      </c>
    </row>
    <row r="621" customFormat="false" ht="15" hidden="false" customHeight="true" outlineLevel="0" collapsed="false">
      <c r="A621" s="47" t="n">
        <f aca="false">'Fault &amp; Downtime Entry'!A622</f>
        <v>617</v>
      </c>
      <c r="B621" s="48" t="n">
        <f aca="false">'Fault &amp; Downtime Entry'!B622</f>
        <v>0</v>
      </c>
      <c r="C621" s="47" t="n">
        <f aca="false">'Fault &amp; Downtime Entry'!C622</f>
        <v>0</v>
      </c>
      <c r="D621" s="47" t="n">
        <f aca="false">'Fault &amp; Downtime Entry'!D622</f>
        <v>0</v>
      </c>
      <c r="E621" s="47" t="n">
        <f aca="false">'Fault &amp; Downtime Entry'!E622</f>
        <v>0</v>
      </c>
      <c r="F621" s="47" t="str">
        <f aca="false">'Fault &amp; Downtime Entry'!F622</f>
        <v/>
      </c>
      <c r="G621" s="47" t="n">
        <f aca="false">'Fault &amp; Downtime Entry'!G622</f>
        <v>0</v>
      </c>
      <c r="H621" s="47" t="str">
        <f aca="false">'Fault &amp; Downtime Entry'!H622</f>
        <v/>
      </c>
      <c r="I621" s="47" t="str">
        <f aca="false">'Fault &amp; Downtime Entry'!I622</f>
        <v/>
      </c>
      <c r="J621" s="47" t="n">
        <f aca="false">'Fault &amp; Downtime Entry'!J622</f>
        <v>0</v>
      </c>
      <c r="K621" s="47" t="n">
        <f aca="false">'Fault &amp; Downtime Entry'!K622</f>
        <v>0</v>
      </c>
      <c r="L621" s="47" t="n">
        <f aca="false">'Fault &amp; Downtime Entry'!L622</f>
        <v>0</v>
      </c>
      <c r="M621" s="47" t="str">
        <f aca="false">'Fault &amp; Downtime Entry'!M622</f>
        <v/>
      </c>
      <c r="N621" s="47" t="n">
        <f aca="false">'Fault &amp; Downtime Entry'!N622</f>
        <v>0</v>
      </c>
      <c r="O621" s="47" t="n">
        <f aca="false">'Fault &amp; Downtime Entry'!O622</f>
        <v>0</v>
      </c>
      <c r="P621" s="47" t="str">
        <f aca="false">IF(OR(J621="",K621=""),"",IFERROR(J621/K621*1000,0))</f>
        <v/>
      </c>
      <c r="Q621" s="47" t="str">
        <f aca="false">IF(OR(L621="",K621=""),"",IFERROR(L621/K621*1000,0))</f>
        <v/>
      </c>
      <c r="R621" s="47" t="str">
        <f aca="false">IF(OR(M621="High",M621="Critical"),"YES","")</f>
        <v/>
      </c>
    </row>
    <row r="622" customFormat="false" ht="15" hidden="false" customHeight="true" outlineLevel="0" collapsed="false">
      <c r="A622" s="47" t="n">
        <f aca="false">'Fault &amp; Downtime Entry'!A623</f>
        <v>618</v>
      </c>
      <c r="B622" s="48" t="n">
        <f aca="false">'Fault &amp; Downtime Entry'!B623</f>
        <v>0</v>
      </c>
      <c r="C622" s="47" t="n">
        <f aca="false">'Fault &amp; Downtime Entry'!C623</f>
        <v>0</v>
      </c>
      <c r="D622" s="47" t="n">
        <f aca="false">'Fault &amp; Downtime Entry'!D623</f>
        <v>0</v>
      </c>
      <c r="E622" s="47" t="n">
        <f aca="false">'Fault &amp; Downtime Entry'!E623</f>
        <v>0</v>
      </c>
      <c r="F622" s="47" t="str">
        <f aca="false">'Fault &amp; Downtime Entry'!F623</f>
        <v/>
      </c>
      <c r="G622" s="47" t="n">
        <f aca="false">'Fault &amp; Downtime Entry'!G623</f>
        <v>0</v>
      </c>
      <c r="H622" s="47" t="str">
        <f aca="false">'Fault &amp; Downtime Entry'!H623</f>
        <v/>
      </c>
      <c r="I622" s="47" t="str">
        <f aca="false">'Fault &amp; Downtime Entry'!I623</f>
        <v/>
      </c>
      <c r="J622" s="47" t="n">
        <f aca="false">'Fault &amp; Downtime Entry'!J623</f>
        <v>0</v>
      </c>
      <c r="K622" s="47" t="n">
        <f aca="false">'Fault &amp; Downtime Entry'!K623</f>
        <v>0</v>
      </c>
      <c r="L622" s="47" t="n">
        <f aca="false">'Fault &amp; Downtime Entry'!L623</f>
        <v>0</v>
      </c>
      <c r="M622" s="47" t="str">
        <f aca="false">'Fault &amp; Downtime Entry'!M623</f>
        <v/>
      </c>
      <c r="N622" s="47" t="n">
        <f aca="false">'Fault &amp; Downtime Entry'!N623</f>
        <v>0</v>
      </c>
      <c r="O622" s="47" t="n">
        <f aca="false">'Fault &amp; Downtime Entry'!O623</f>
        <v>0</v>
      </c>
      <c r="P622" s="47" t="str">
        <f aca="false">IF(OR(J622="",K622=""),"",IFERROR(J622/K622*1000,0))</f>
        <v/>
      </c>
      <c r="Q622" s="47" t="str">
        <f aca="false">IF(OR(L622="",K622=""),"",IFERROR(L622/K622*1000,0))</f>
        <v/>
      </c>
      <c r="R622" s="47" t="str">
        <f aca="false">IF(OR(M622="High",M622="Critical"),"YES","")</f>
        <v/>
      </c>
    </row>
    <row r="623" customFormat="false" ht="15" hidden="false" customHeight="true" outlineLevel="0" collapsed="false">
      <c r="A623" s="47" t="n">
        <f aca="false">'Fault &amp; Downtime Entry'!A624</f>
        <v>619</v>
      </c>
      <c r="B623" s="48" t="n">
        <f aca="false">'Fault &amp; Downtime Entry'!B624</f>
        <v>0</v>
      </c>
      <c r="C623" s="47" t="n">
        <f aca="false">'Fault &amp; Downtime Entry'!C624</f>
        <v>0</v>
      </c>
      <c r="D623" s="47" t="n">
        <f aca="false">'Fault &amp; Downtime Entry'!D624</f>
        <v>0</v>
      </c>
      <c r="E623" s="47" t="n">
        <f aca="false">'Fault &amp; Downtime Entry'!E624</f>
        <v>0</v>
      </c>
      <c r="F623" s="47" t="str">
        <f aca="false">'Fault &amp; Downtime Entry'!F624</f>
        <v/>
      </c>
      <c r="G623" s="47" t="n">
        <f aca="false">'Fault &amp; Downtime Entry'!G624</f>
        <v>0</v>
      </c>
      <c r="H623" s="47" t="str">
        <f aca="false">'Fault &amp; Downtime Entry'!H624</f>
        <v/>
      </c>
      <c r="I623" s="47" t="str">
        <f aca="false">'Fault &amp; Downtime Entry'!I624</f>
        <v/>
      </c>
      <c r="J623" s="47" t="n">
        <f aca="false">'Fault &amp; Downtime Entry'!J624</f>
        <v>0</v>
      </c>
      <c r="K623" s="47" t="n">
        <f aca="false">'Fault &amp; Downtime Entry'!K624</f>
        <v>0</v>
      </c>
      <c r="L623" s="47" t="n">
        <f aca="false">'Fault &amp; Downtime Entry'!L624</f>
        <v>0</v>
      </c>
      <c r="M623" s="47" t="str">
        <f aca="false">'Fault &amp; Downtime Entry'!M624</f>
        <v/>
      </c>
      <c r="N623" s="47" t="n">
        <f aca="false">'Fault &amp; Downtime Entry'!N624</f>
        <v>0</v>
      </c>
      <c r="O623" s="47" t="n">
        <f aca="false">'Fault &amp; Downtime Entry'!O624</f>
        <v>0</v>
      </c>
      <c r="P623" s="47" t="str">
        <f aca="false">IF(OR(J623="",K623=""),"",IFERROR(J623/K623*1000,0))</f>
        <v/>
      </c>
      <c r="Q623" s="47" t="str">
        <f aca="false">IF(OR(L623="",K623=""),"",IFERROR(L623/K623*1000,0))</f>
        <v/>
      </c>
      <c r="R623" s="47" t="str">
        <f aca="false">IF(OR(M623="High",M623="Critical"),"YES","")</f>
        <v/>
      </c>
    </row>
    <row r="624" customFormat="false" ht="15" hidden="false" customHeight="true" outlineLevel="0" collapsed="false">
      <c r="A624" s="47" t="n">
        <f aca="false">'Fault &amp; Downtime Entry'!A625</f>
        <v>620</v>
      </c>
      <c r="B624" s="48" t="n">
        <f aca="false">'Fault &amp; Downtime Entry'!B625</f>
        <v>0</v>
      </c>
      <c r="C624" s="47" t="n">
        <f aca="false">'Fault &amp; Downtime Entry'!C625</f>
        <v>0</v>
      </c>
      <c r="D624" s="47" t="n">
        <f aca="false">'Fault &amp; Downtime Entry'!D625</f>
        <v>0</v>
      </c>
      <c r="E624" s="47" t="n">
        <f aca="false">'Fault &amp; Downtime Entry'!E625</f>
        <v>0</v>
      </c>
      <c r="F624" s="47" t="str">
        <f aca="false">'Fault &amp; Downtime Entry'!F625</f>
        <v/>
      </c>
      <c r="G624" s="47" t="n">
        <f aca="false">'Fault &amp; Downtime Entry'!G625</f>
        <v>0</v>
      </c>
      <c r="H624" s="47" t="str">
        <f aca="false">'Fault &amp; Downtime Entry'!H625</f>
        <v/>
      </c>
      <c r="I624" s="47" t="str">
        <f aca="false">'Fault &amp; Downtime Entry'!I625</f>
        <v/>
      </c>
      <c r="J624" s="47" t="n">
        <f aca="false">'Fault &amp; Downtime Entry'!J625</f>
        <v>0</v>
      </c>
      <c r="K624" s="47" t="n">
        <f aca="false">'Fault &amp; Downtime Entry'!K625</f>
        <v>0</v>
      </c>
      <c r="L624" s="47" t="n">
        <f aca="false">'Fault &amp; Downtime Entry'!L625</f>
        <v>0</v>
      </c>
      <c r="M624" s="47" t="str">
        <f aca="false">'Fault &amp; Downtime Entry'!M625</f>
        <v/>
      </c>
      <c r="N624" s="47" t="n">
        <f aca="false">'Fault &amp; Downtime Entry'!N625</f>
        <v>0</v>
      </c>
      <c r="O624" s="47" t="n">
        <f aca="false">'Fault &amp; Downtime Entry'!O625</f>
        <v>0</v>
      </c>
      <c r="P624" s="47" t="str">
        <f aca="false">IF(OR(J624="",K624=""),"",IFERROR(J624/K624*1000,0))</f>
        <v/>
      </c>
      <c r="Q624" s="47" t="str">
        <f aca="false">IF(OR(L624="",K624=""),"",IFERROR(L624/K624*1000,0))</f>
        <v/>
      </c>
      <c r="R624" s="47" t="str">
        <f aca="false">IF(OR(M624="High",M624="Critical"),"YES","")</f>
        <v/>
      </c>
    </row>
    <row r="625" customFormat="false" ht="15" hidden="false" customHeight="true" outlineLevel="0" collapsed="false">
      <c r="A625" s="47" t="n">
        <f aca="false">'Fault &amp; Downtime Entry'!A626</f>
        <v>621</v>
      </c>
      <c r="B625" s="48" t="n">
        <f aca="false">'Fault &amp; Downtime Entry'!B626</f>
        <v>0</v>
      </c>
      <c r="C625" s="47" t="n">
        <f aca="false">'Fault &amp; Downtime Entry'!C626</f>
        <v>0</v>
      </c>
      <c r="D625" s="47" t="n">
        <f aca="false">'Fault &amp; Downtime Entry'!D626</f>
        <v>0</v>
      </c>
      <c r="E625" s="47" t="n">
        <f aca="false">'Fault &amp; Downtime Entry'!E626</f>
        <v>0</v>
      </c>
      <c r="F625" s="47" t="str">
        <f aca="false">'Fault &amp; Downtime Entry'!F626</f>
        <v/>
      </c>
      <c r="G625" s="47" t="n">
        <f aca="false">'Fault &amp; Downtime Entry'!G626</f>
        <v>0</v>
      </c>
      <c r="H625" s="47" t="str">
        <f aca="false">'Fault &amp; Downtime Entry'!H626</f>
        <v/>
      </c>
      <c r="I625" s="47" t="str">
        <f aca="false">'Fault &amp; Downtime Entry'!I626</f>
        <v/>
      </c>
      <c r="J625" s="47" t="n">
        <f aca="false">'Fault &amp; Downtime Entry'!J626</f>
        <v>0</v>
      </c>
      <c r="K625" s="47" t="n">
        <f aca="false">'Fault &amp; Downtime Entry'!K626</f>
        <v>0</v>
      </c>
      <c r="L625" s="47" t="n">
        <f aca="false">'Fault &amp; Downtime Entry'!L626</f>
        <v>0</v>
      </c>
      <c r="M625" s="47" t="str">
        <f aca="false">'Fault &amp; Downtime Entry'!M626</f>
        <v/>
      </c>
      <c r="N625" s="47" t="n">
        <f aca="false">'Fault &amp; Downtime Entry'!N626</f>
        <v>0</v>
      </c>
      <c r="O625" s="47" t="n">
        <f aca="false">'Fault &amp; Downtime Entry'!O626</f>
        <v>0</v>
      </c>
      <c r="P625" s="47" t="str">
        <f aca="false">IF(OR(J625="",K625=""),"",IFERROR(J625/K625*1000,0))</f>
        <v/>
      </c>
      <c r="Q625" s="47" t="str">
        <f aca="false">IF(OR(L625="",K625=""),"",IFERROR(L625/K625*1000,0))</f>
        <v/>
      </c>
      <c r="R625" s="47" t="str">
        <f aca="false">IF(OR(M625="High",M625="Critical"),"YES","")</f>
        <v/>
      </c>
    </row>
    <row r="626" customFormat="false" ht="15" hidden="false" customHeight="true" outlineLevel="0" collapsed="false">
      <c r="A626" s="47" t="n">
        <f aca="false">'Fault &amp; Downtime Entry'!A627</f>
        <v>622</v>
      </c>
      <c r="B626" s="48" t="n">
        <f aca="false">'Fault &amp; Downtime Entry'!B627</f>
        <v>0</v>
      </c>
      <c r="C626" s="47" t="n">
        <f aca="false">'Fault &amp; Downtime Entry'!C627</f>
        <v>0</v>
      </c>
      <c r="D626" s="47" t="n">
        <f aca="false">'Fault &amp; Downtime Entry'!D627</f>
        <v>0</v>
      </c>
      <c r="E626" s="47" t="n">
        <f aca="false">'Fault &amp; Downtime Entry'!E627</f>
        <v>0</v>
      </c>
      <c r="F626" s="47" t="str">
        <f aca="false">'Fault &amp; Downtime Entry'!F627</f>
        <v/>
      </c>
      <c r="G626" s="47" t="n">
        <f aca="false">'Fault &amp; Downtime Entry'!G627</f>
        <v>0</v>
      </c>
      <c r="H626" s="47" t="str">
        <f aca="false">'Fault &amp; Downtime Entry'!H627</f>
        <v/>
      </c>
      <c r="I626" s="47" t="str">
        <f aca="false">'Fault &amp; Downtime Entry'!I627</f>
        <v/>
      </c>
      <c r="J626" s="47" t="n">
        <f aca="false">'Fault &amp; Downtime Entry'!J627</f>
        <v>0</v>
      </c>
      <c r="K626" s="47" t="n">
        <f aca="false">'Fault &amp; Downtime Entry'!K627</f>
        <v>0</v>
      </c>
      <c r="L626" s="47" t="n">
        <f aca="false">'Fault &amp; Downtime Entry'!L627</f>
        <v>0</v>
      </c>
      <c r="M626" s="47" t="str">
        <f aca="false">'Fault &amp; Downtime Entry'!M627</f>
        <v/>
      </c>
      <c r="N626" s="47" t="n">
        <f aca="false">'Fault &amp; Downtime Entry'!N627</f>
        <v>0</v>
      </c>
      <c r="O626" s="47" t="n">
        <f aca="false">'Fault &amp; Downtime Entry'!O627</f>
        <v>0</v>
      </c>
      <c r="P626" s="47" t="str">
        <f aca="false">IF(OR(J626="",K626=""),"",IFERROR(J626/K626*1000,0))</f>
        <v/>
      </c>
      <c r="Q626" s="47" t="str">
        <f aca="false">IF(OR(L626="",K626=""),"",IFERROR(L626/K626*1000,0))</f>
        <v/>
      </c>
      <c r="R626" s="47" t="str">
        <f aca="false">IF(OR(M626="High",M626="Critical"),"YES","")</f>
        <v/>
      </c>
    </row>
    <row r="627" customFormat="false" ht="15" hidden="false" customHeight="true" outlineLevel="0" collapsed="false">
      <c r="A627" s="47" t="n">
        <f aca="false">'Fault &amp; Downtime Entry'!A628</f>
        <v>623</v>
      </c>
      <c r="B627" s="48" t="n">
        <f aca="false">'Fault &amp; Downtime Entry'!B628</f>
        <v>0</v>
      </c>
      <c r="C627" s="47" t="n">
        <f aca="false">'Fault &amp; Downtime Entry'!C628</f>
        <v>0</v>
      </c>
      <c r="D627" s="47" t="n">
        <f aca="false">'Fault &amp; Downtime Entry'!D628</f>
        <v>0</v>
      </c>
      <c r="E627" s="47" t="n">
        <f aca="false">'Fault &amp; Downtime Entry'!E628</f>
        <v>0</v>
      </c>
      <c r="F627" s="47" t="str">
        <f aca="false">'Fault &amp; Downtime Entry'!F628</f>
        <v/>
      </c>
      <c r="G627" s="47" t="n">
        <f aca="false">'Fault &amp; Downtime Entry'!G628</f>
        <v>0</v>
      </c>
      <c r="H627" s="47" t="str">
        <f aca="false">'Fault &amp; Downtime Entry'!H628</f>
        <v/>
      </c>
      <c r="I627" s="47" t="str">
        <f aca="false">'Fault &amp; Downtime Entry'!I628</f>
        <v/>
      </c>
      <c r="J627" s="47" t="n">
        <f aca="false">'Fault &amp; Downtime Entry'!J628</f>
        <v>0</v>
      </c>
      <c r="K627" s="47" t="n">
        <f aca="false">'Fault &amp; Downtime Entry'!K628</f>
        <v>0</v>
      </c>
      <c r="L627" s="47" t="n">
        <f aca="false">'Fault &amp; Downtime Entry'!L628</f>
        <v>0</v>
      </c>
      <c r="M627" s="47" t="str">
        <f aca="false">'Fault &amp; Downtime Entry'!M628</f>
        <v/>
      </c>
      <c r="N627" s="47" t="n">
        <f aca="false">'Fault &amp; Downtime Entry'!N628</f>
        <v>0</v>
      </c>
      <c r="O627" s="47" t="n">
        <f aca="false">'Fault &amp; Downtime Entry'!O628</f>
        <v>0</v>
      </c>
      <c r="P627" s="47" t="str">
        <f aca="false">IF(OR(J627="",K627=""),"",IFERROR(J627/K627*1000,0))</f>
        <v/>
      </c>
      <c r="Q627" s="47" t="str">
        <f aca="false">IF(OR(L627="",K627=""),"",IFERROR(L627/K627*1000,0))</f>
        <v/>
      </c>
      <c r="R627" s="47" t="str">
        <f aca="false">IF(OR(M627="High",M627="Critical"),"YES","")</f>
        <v/>
      </c>
    </row>
    <row r="628" customFormat="false" ht="15" hidden="false" customHeight="true" outlineLevel="0" collapsed="false">
      <c r="A628" s="47" t="n">
        <f aca="false">'Fault &amp; Downtime Entry'!A629</f>
        <v>624</v>
      </c>
      <c r="B628" s="48" t="n">
        <f aca="false">'Fault &amp; Downtime Entry'!B629</f>
        <v>0</v>
      </c>
      <c r="C628" s="47" t="n">
        <f aca="false">'Fault &amp; Downtime Entry'!C629</f>
        <v>0</v>
      </c>
      <c r="D628" s="47" t="n">
        <f aca="false">'Fault &amp; Downtime Entry'!D629</f>
        <v>0</v>
      </c>
      <c r="E628" s="47" t="n">
        <f aca="false">'Fault &amp; Downtime Entry'!E629</f>
        <v>0</v>
      </c>
      <c r="F628" s="47" t="str">
        <f aca="false">'Fault &amp; Downtime Entry'!F629</f>
        <v/>
      </c>
      <c r="G628" s="47" t="n">
        <f aca="false">'Fault &amp; Downtime Entry'!G629</f>
        <v>0</v>
      </c>
      <c r="H628" s="47" t="str">
        <f aca="false">'Fault &amp; Downtime Entry'!H629</f>
        <v/>
      </c>
      <c r="I628" s="47" t="str">
        <f aca="false">'Fault &amp; Downtime Entry'!I629</f>
        <v/>
      </c>
      <c r="J628" s="47" t="n">
        <f aca="false">'Fault &amp; Downtime Entry'!J629</f>
        <v>0</v>
      </c>
      <c r="K628" s="47" t="n">
        <f aca="false">'Fault &amp; Downtime Entry'!K629</f>
        <v>0</v>
      </c>
      <c r="L628" s="47" t="n">
        <f aca="false">'Fault &amp; Downtime Entry'!L629</f>
        <v>0</v>
      </c>
      <c r="M628" s="47" t="str">
        <f aca="false">'Fault &amp; Downtime Entry'!M629</f>
        <v/>
      </c>
      <c r="N628" s="47" t="n">
        <f aca="false">'Fault &amp; Downtime Entry'!N629</f>
        <v>0</v>
      </c>
      <c r="O628" s="47" t="n">
        <f aca="false">'Fault &amp; Downtime Entry'!O629</f>
        <v>0</v>
      </c>
      <c r="P628" s="47" t="str">
        <f aca="false">IF(OR(J628="",K628=""),"",IFERROR(J628/K628*1000,0))</f>
        <v/>
      </c>
      <c r="Q628" s="47" t="str">
        <f aca="false">IF(OR(L628="",K628=""),"",IFERROR(L628/K628*1000,0))</f>
        <v/>
      </c>
      <c r="R628" s="47" t="str">
        <f aca="false">IF(OR(M628="High",M628="Critical"),"YES","")</f>
        <v/>
      </c>
    </row>
    <row r="629" customFormat="false" ht="15" hidden="false" customHeight="true" outlineLevel="0" collapsed="false">
      <c r="A629" s="47" t="n">
        <f aca="false">'Fault &amp; Downtime Entry'!A630</f>
        <v>625</v>
      </c>
      <c r="B629" s="48" t="n">
        <f aca="false">'Fault &amp; Downtime Entry'!B630</f>
        <v>0</v>
      </c>
      <c r="C629" s="47" t="n">
        <f aca="false">'Fault &amp; Downtime Entry'!C630</f>
        <v>0</v>
      </c>
      <c r="D629" s="47" t="n">
        <f aca="false">'Fault &amp; Downtime Entry'!D630</f>
        <v>0</v>
      </c>
      <c r="E629" s="47" t="n">
        <f aca="false">'Fault &amp; Downtime Entry'!E630</f>
        <v>0</v>
      </c>
      <c r="F629" s="47" t="str">
        <f aca="false">'Fault &amp; Downtime Entry'!F630</f>
        <v/>
      </c>
      <c r="G629" s="47" t="n">
        <f aca="false">'Fault &amp; Downtime Entry'!G630</f>
        <v>0</v>
      </c>
      <c r="H629" s="47" t="str">
        <f aca="false">'Fault &amp; Downtime Entry'!H630</f>
        <v/>
      </c>
      <c r="I629" s="47" t="str">
        <f aca="false">'Fault &amp; Downtime Entry'!I630</f>
        <v/>
      </c>
      <c r="J629" s="47" t="n">
        <f aca="false">'Fault &amp; Downtime Entry'!J630</f>
        <v>0</v>
      </c>
      <c r="K629" s="47" t="n">
        <f aca="false">'Fault &amp; Downtime Entry'!K630</f>
        <v>0</v>
      </c>
      <c r="L629" s="47" t="n">
        <f aca="false">'Fault &amp; Downtime Entry'!L630</f>
        <v>0</v>
      </c>
      <c r="M629" s="47" t="str">
        <f aca="false">'Fault &amp; Downtime Entry'!M630</f>
        <v/>
      </c>
      <c r="N629" s="47" t="n">
        <f aca="false">'Fault &amp; Downtime Entry'!N630</f>
        <v>0</v>
      </c>
      <c r="O629" s="47" t="n">
        <f aca="false">'Fault &amp; Downtime Entry'!O630</f>
        <v>0</v>
      </c>
      <c r="P629" s="47" t="str">
        <f aca="false">IF(OR(J629="",K629=""),"",IFERROR(J629/K629*1000,0))</f>
        <v/>
      </c>
      <c r="Q629" s="47" t="str">
        <f aca="false">IF(OR(L629="",K629=""),"",IFERROR(L629/K629*1000,0))</f>
        <v/>
      </c>
      <c r="R629" s="47" t="str">
        <f aca="false">IF(OR(M629="High",M629="Critical"),"YES","")</f>
        <v/>
      </c>
    </row>
    <row r="630" customFormat="false" ht="15" hidden="false" customHeight="true" outlineLevel="0" collapsed="false">
      <c r="A630" s="47" t="n">
        <f aca="false">'Fault &amp; Downtime Entry'!A631</f>
        <v>626</v>
      </c>
      <c r="B630" s="48" t="n">
        <f aca="false">'Fault &amp; Downtime Entry'!B631</f>
        <v>0</v>
      </c>
      <c r="C630" s="47" t="n">
        <f aca="false">'Fault &amp; Downtime Entry'!C631</f>
        <v>0</v>
      </c>
      <c r="D630" s="47" t="n">
        <f aca="false">'Fault &amp; Downtime Entry'!D631</f>
        <v>0</v>
      </c>
      <c r="E630" s="47" t="n">
        <f aca="false">'Fault &amp; Downtime Entry'!E631</f>
        <v>0</v>
      </c>
      <c r="F630" s="47" t="str">
        <f aca="false">'Fault &amp; Downtime Entry'!F631</f>
        <v/>
      </c>
      <c r="G630" s="47" t="n">
        <f aca="false">'Fault &amp; Downtime Entry'!G631</f>
        <v>0</v>
      </c>
      <c r="H630" s="47" t="str">
        <f aca="false">'Fault &amp; Downtime Entry'!H631</f>
        <v/>
      </c>
      <c r="I630" s="47" t="str">
        <f aca="false">'Fault &amp; Downtime Entry'!I631</f>
        <v/>
      </c>
      <c r="J630" s="47" t="n">
        <f aca="false">'Fault &amp; Downtime Entry'!J631</f>
        <v>0</v>
      </c>
      <c r="K630" s="47" t="n">
        <f aca="false">'Fault &amp; Downtime Entry'!K631</f>
        <v>0</v>
      </c>
      <c r="L630" s="47" t="n">
        <f aca="false">'Fault &amp; Downtime Entry'!L631</f>
        <v>0</v>
      </c>
      <c r="M630" s="47" t="str">
        <f aca="false">'Fault &amp; Downtime Entry'!M631</f>
        <v/>
      </c>
      <c r="N630" s="47" t="n">
        <f aca="false">'Fault &amp; Downtime Entry'!N631</f>
        <v>0</v>
      </c>
      <c r="O630" s="47" t="n">
        <f aca="false">'Fault &amp; Downtime Entry'!O631</f>
        <v>0</v>
      </c>
      <c r="P630" s="47" t="str">
        <f aca="false">IF(OR(J630="",K630=""),"",IFERROR(J630/K630*1000,0))</f>
        <v/>
      </c>
      <c r="Q630" s="47" t="str">
        <f aca="false">IF(OR(L630="",K630=""),"",IFERROR(L630/K630*1000,0))</f>
        <v/>
      </c>
      <c r="R630" s="47" t="str">
        <f aca="false">IF(OR(M630="High",M630="Critical"),"YES","")</f>
        <v/>
      </c>
    </row>
    <row r="631" customFormat="false" ht="15" hidden="false" customHeight="true" outlineLevel="0" collapsed="false">
      <c r="A631" s="47" t="n">
        <f aca="false">'Fault &amp; Downtime Entry'!A632</f>
        <v>627</v>
      </c>
      <c r="B631" s="48" t="n">
        <f aca="false">'Fault &amp; Downtime Entry'!B632</f>
        <v>0</v>
      </c>
      <c r="C631" s="47" t="n">
        <f aca="false">'Fault &amp; Downtime Entry'!C632</f>
        <v>0</v>
      </c>
      <c r="D631" s="47" t="n">
        <f aca="false">'Fault &amp; Downtime Entry'!D632</f>
        <v>0</v>
      </c>
      <c r="E631" s="47" t="n">
        <f aca="false">'Fault &amp; Downtime Entry'!E632</f>
        <v>0</v>
      </c>
      <c r="F631" s="47" t="str">
        <f aca="false">'Fault &amp; Downtime Entry'!F632</f>
        <v/>
      </c>
      <c r="G631" s="47" t="n">
        <f aca="false">'Fault &amp; Downtime Entry'!G632</f>
        <v>0</v>
      </c>
      <c r="H631" s="47" t="str">
        <f aca="false">'Fault &amp; Downtime Entry'!H632</f>
        <v/>
      </c>
      <c r="I631" s="47" t="str">
        <f aca="false">'Fault &amp; Downtime Entry'!I632</f>
        <v/>
      </c>
      <c r="J631" s="47" t="n">
        <f aca="false">'Fault &amp; Downtime Entry'!J632</f>
        <v>0</v>
      </c>
      <c r="K631" s="47" t="n">
        <f aca="false">'Fault &amp; Downtime Entry'!K632</f>
        <v>0</v>
      </c>
      <c r="L631" s="47" t="n">
        <f aca="false">'Fault &amp; Downtime Entry'!L632</f>
        <v>0</v>
      </c>
      <c r="M631" s="47" t="str">
        <f aca="false">'Fault &amp; Downtime Entry'!M632</f>
        <v/>
      </c>
      <c r="N631" s="47" t="n">
        <f aca="false">'Fault &amp; Downtime Entry'!N632</f>
        <v>0</v>
      </c>
      <c r="O631" s="47" t="n">
        <f aca="false">'Fault &amp; Downtime Entry'!O632</f>
        <v>0</v>
      </c>
      <c r="P631" s="47" t="str">
        <f aca="false">IF(OR(J631="",K631=""),"",IFERROR(J631/K631*1000,0))</f>
        <v/>
      </c>
      <c r="Q631" s="47" t="str">
        <f aca="false">IF(OR(L631="",K631=""),"",IFERROR(L631/K631*1000,0))</f>
        <v/>
      </c>
      <c r="R631" s="47" t="str">
        <f aca="false">IF(OR(M631="High",M631="Critical"),"YES","")</f>
        <v/>
      </c>
    </row>
    <row r="632" customFormat="false" ht="15" hidden="false" customHeight="true" outlineLevel="0" collapsed="false">
      <c r="A632" s="47" t="n">
        <f aca="false">'Fault &amp; Downtime Entry'!A633</f>
        <v>628</v>
      </c>
      <c r="B632" s="48" t="n">
        <f aca="false">'Fault &amp; Downtime Entry'!B633</f>
        <v>0</v>
      </c>
      <c r="C632" s="47" t="n">
        <f aca="false">'Fault &amp; Downtime Entry'!C633</f>
        <v>0</v>
      </c>
      <c r="D632" s="47" t="n">
        <f aca="false">'Fault &amp; Downtime Entry'!D633</f>
        <v>0</v>
      </c>
      <c r="E632" s="47" t="n">
        <f aca="false">'Fault &amp; Downtime Entry'!E633</f>
        <v>0</v>
      </c>
      <c r="F632" s="47" t="str">
        <f aca="false">'Fault &amp; Downtime Entry'!F633</f>
        <v/>
      </c>
      <c r="G632" s="47" t="n">
        <f aca="false">'Fault &amp; Downtime Entry'!G633</f>
        <v>0</v>
      </c>
      <c r="H632" s="47" t="str">
        <f aca="false">'Fault &amp; Downtime Entry'!H633</f>
        <v/>
      </c>
      <c r="I632" s="47" t="str">
        <f aca="false">'Fault &amp; Downtime Entry'!I633</f>
        <v/>
      </c>
      <c r="J632" s="47" t="n">
        <f aca="false">'Fault &amp; Downtime Entry'!J633</f>
        <v>0</v>
      </c>
      <c r="K632" s="47" t="n">
        <f aca="false">'Fault &amp; Downtime Entry'!K633</f>
        <v>0</v>
      </c>
      <c r="L632" s="47" t="n">
        <f aca="false">'Fault &amp; Downtime Entry'!L633</f>
        <v>0</v>
      </c>
      <c r="M632" s="47" t="str">
        <f aca="false">'Fault &amp; Downtime Entry'!M633</f>
        <v/>
      </c>
      <c r="N632" s="47" t="n">
        <f aca="false">'Fault &amp; Downtime Entry'!N633</f>
        <v>0</v>
      </c>
      <c r="O632" s="47" t="n">
        <f aca="false">'Fault &amp; Downtime Entry'!O633</f>
        <v>0</v>
      </c>
      <c r="P632" s="47" t="str">
        <f aca="false">IF(OR(J632="",K632=""),"",IFERROR(J632/K632*1000,0))</f>
        <v/>
      </c>
      <c r="Q632" s="47" t="str">
        <f aca="false">IF(OR(L632="",K632=""),"",IFERROR(L632/K632*1000,0))</f>
        <v/>
      </c>
      <c r="R632" s="47" t="str">
        <f aca="false">IF(OR(M632="High",M632="Critical"),"YES","")</f>
        <v/>
      </c>
    </row>
    <row r="633" customFormat="false" ht="15" hidden="false" customHeight="true" outlineLevel="0" collapsed="false">
      <c r="A633" s="47" t="n">
        <f aca="false">'Fault &amp; Downtime Entry'!A634</f>
        <v>629</v>
      </c>
      <c r="B633" s="48" t="n">
        <f aca="false">'Fault &amp; Downtime Entry'!B634</f>
        <v>0</v>
      </c>
      <c r="C633" s="47" t="n">
        <f aca="false">'Fault &amp; Downtime Entry'!C634</f>
        <v>0</v>
      </c>
      <c r="D633" s="47" t="n">
        <f aca="false">'Fault &amp; Downtime Entry'!D634</f>
        <v>0</v>
      </c>
      <c r="E633" s="47" t="n">
        <f aca="false">'Fault &amp; Downtime Entry'!E634</f>
        <v>0</v>
      </c>
      <c r="F633" s="47" t="str">
        <f aca="false">'Fault &amp; Downtime Entry'!F634</f>
        <v/>
      </c>
      <c r="G633" s="47" t="n">
        <f aca="false">'Fault &amp; Downtime Entry'!G634</f>
        <v>0</v>
      </c>
      <c r="H633" s="47" t="str">
        <f aca="false">'Fault &amp; Downtime Entry'!H634</f>
        <v/>
      </c>
      <c r="I633" s="47" t="str">
        <f aca="false">'Fault &amp; Downtime Entry'!I634</f>
        <v/>
      </c>
      <c r="J633" s="47" t="n">
        <f aca="false">'Fault &amp; Downtime Entry'!J634</f>
        <v>0</v>
      </c>
      <c r="K633" s="47" t="n">
        <f aca="false">'Fault &amp; Downtime Entry'!K634</f>
        <v>0</v>
      </c>
      <c r="L633" s="47" t="n">
        <f aca="false">'Fault &amp; Downtime Entry'!L634</f>
        <v>0</v>
      </c>
      <c r="M633" s="47" t="str">
        <f aca="false">'Fault &amp; Downtime Entry'!M634</f>
        <v/>
      </c>
      <c r="N633" s="47" t="n">
        <f aca="false">'Fault &amp; Downtime Entry'!N634</f>
        <v>0</v>
      </c>
      <c r="O633" s="47" t="n">
        <f aca="false">'Fault &amp; Downtime Entry'!O634</f>
        <v>0</v>
      </c>
      <c r="P633" s="47" t="str">
        <f aca="false">IF(OR(J633="",K633=""),"",IFERROR(J633/K633*1000,0))</f>
        <v/>
      </c>
      <c r="Q633" s="47" t="str">
        <f aca="false">IF(OR(L633="",K633=""),"",IFERROR(L633/K633*1000,0))</f>
        <v/>
      </c>
      <c r="R633" s="47" t="str">
        <f aca="false">IF(OR(M633="High",M633="Critical"),"YES","")</f>
        <v/>
      </c>
    </row>
    <row r="634" customFormat="false" ht="15" hidden="false" customHeight="true" outlineLevel="0" collapsed="false">
      <c r="A634" s="47" t="n">
        <f aca="false">'Fault &amp; Downtime Entry'!A635</f>
        <v>630</v>
      </c>
      <c r="B634" s="48" t="n">
        <f aca="false">'Fault &amp; Downtime Entry'!B635</f>
        <v>0</v>
      </c>
      <c r="C634" s="47" t="n">
        <f aca="false">'Fault &amp; Downtime Entry'!C635</f>
        <v>0</v>
      </c>
      <c r="D634" s="47" t="n">
        <f aca="false">'Fault &amp; Downtime Entry'!D635</f>
        <v>0</v>
      </c>
      <c r="E634" s="47" t="n">
        <f aca="false">'Fault &amp; Downtime Entry'!E635</f>
        <v>0</v>
      </c>
      <c r="F634" s="47" t="str">
        <f aca="false">'Fault &amp; Downtime Entry'!F635</f>
        <v/>
      </c>
      <c r="G634" s="47" t="n">
        <f aca="false">'Fault &amp; Downtime Entry'!G635</f>
        <v>0</v>
      </c>
      <c r="H634" s="47" t="str">
        <f aca="false">'Fault &amp; Downtime Entry'!H635</f>
        <v/>
      </c>
      <c r="I634" s="47" t="str">
        <f aca="false">'Fault &amp; Downtime Entry'!I635</f>
        <v/>
      </c>
      <c r="J634" s="47" t="n">
        <f aca="false">'Fault &amp; Downtime Entry'!J635</f>
        <v>0</v>
      </c>
      <c r="K634" s="47" t="n">
        <f aca="false">'Fault &amp; Downtime Entry'!K635</f>
        <v>0</v>
      </c>
      <c r="L634" s="47" t="n">
        <f aca="false">'Fault &amp; Downtime Entry'!L635</f>
        <v>0</v>
      </c>
      <c r="M634" s="47" t="str">
        <f aca="false">'Fault &amp; Downtime Entry'!M635</f>
        <v/>
      </c>
      <c r="N634" s="47" t="n">
        <f aca="false">'Fault &amp; Downtime Entry'!N635</f>
        <v>0</v>
      </c>
      <c r="O634" s="47" t="n">
        <f aca="false">'Fault &amp; Downtime Entry'!O635</f>
        <v>0</v>
      </c>
      <c r="P634" s="47" t="str">
        <f aca="false">IF(OR(J634="",K634=""),"",IFERROR(J634/K634*1000,0))</f>
        <v/>
      </c>
      <c r="Q634" s="47" t="str">
        <f aca="false">IF(OR(L634="",K634=""),"",IFERROR(L634/K634*1000,0))</f>
        <v/>
      </c>
      <c r="R634" s="47" t="str">
        <f aca="false">IF(OR(M634="High",M634="Critical"),"YES","")</f>
        <v/>
      </c>
    </row>
    <row r="635" customFormat="false" ht="15" hidden="false" customHeight="true" outlineLevel="0" collapsed="false">
      <c r="A635" s="47" t="n">
        <f aca="false">'Fault &amp; Downtime Entry'!A636</f>
        <v>631</v>
      </c>
      <c r="B635" s="48" t="n">
        <f aca="false">'Fault &amp; Downtime Entry'!B636</f>
        <v>0</v>
      </c>
      <c r="C635" s="47" t="n">
        <f aca="false">'Fault &amp; Downtime Entry'!C636</f>
        <v>0</v>
      </c>
      <c r="D635" s="47" t="n">
        <f aca="false">'Fault &amp; Downtime Entry'!D636</f>
        <v>0</v>
      </c>
      <c r="E635" s="47" t="n">
        <f aca="false">'Fault &amp; Downtime Entry'!E636</f>
        <v>0</v>
      </c>
      <c r="F635" s="47" t="str">
        <f aca="false">'Fault &amp; Downtime Entry'!F636</f>
        <v/>
      </c>
      <c r="G635" s="47" t="n">
        <f aca="false">'Fault &amp; Downtime Entry'!G636</f>
        <v>0</v>
      </c>
      <c r="H635" s="47" t="str">
        <f aca="false">'Fault &amp; Downtime Entry'!H636</f>
        <v/>
      </c>
      <c r="I635" s="47" t="str">
        <f aca="false">'Fault &amp; Downtime Entry'!I636</f>
        <v/>
      </c>
      <c r="J635" s="47" t="n">
        <f aca="false">'Fault &amp; Downtime Entry'!J636</f>
        <v>0</v>
      </c>
      <c r="K635" s="47" t="n">
        <f aca="false">'Fault &amp; Downtime Entry'!K636</f>
        <v>0</v>
      </c>
      <c r="L635" s="47" t="n">
        <f aca="false">'Fault &amp; Downtime Entry'!L636</f>
        <v>0</v>
      </c>
      <c r="M635" s="47" t="str">
        <f aca="false">'Fault &amp; Downtime Entry'!M636</f>
        <v/>
      </c>
      <c r="N635" s="47" t="n">
        <f aca="false">'Fault &amp; Downtime Entry'!N636</f>
        <v>0</v>
      </c>
      <c r="O635" s="47" t="n">
        <f aca="false">'Fault &amp; Downtime Entry'!O636</f>
        <v>0</v>
      </c>
      <c r="P635" s="47" t="str">
        <f aca="false">IF(OR(J635="",K635=""),"",IFERROR(J635/K635*1000,0))</f>
        <v/>
      </c>
      <c r="Q635" s="47" t="str">
        <f aca="false">IF(OR(L635="",K635=""),"",IFERROR(L635/K635*1000,0))</f>
        <v/>
      </c>
      <c r="R635" s="47" t="str">
        <f aca="false">IF(OR(M635="High",M635="Critical"),"YES","")</f>
        <v/>
      </c>
    </row>
    <row r="636" customFormat="false" ht="15" hidden="false" customHeight="true" outlineLevel="0" collapsed="false">
      <c r="A636" s="47" t="n">
        <f aca="false">'Fault &amp; Downtime Entry'!A637</f>
        <v>632</v>
      </c>
      <c r="B636" s="48" t="n">
        <f aca="false">'Fault &amp; Downtime Entry'!B637</f>
        <v>0</v>
      </c>
      <c r="C636" s="47" t="n">
        <f aca="false">'Fault &amp; Downtime Entry'!C637</f>
        <v>0</v>
      </c>
      <c r="D636" s="47" t="n">
        <f aca="false">'Fault &amp; Downtime Entry'!D637</f>
        <v>0</v>
      </c>
      <c r="E636" s="47" t="n">
        <f aca="false">'Fault &amp; Downtime Entry'!E637</f>
        <v>0</v>
      </c>
      <c r="F636" s="47" t="str">
        <f aca="false">'Fault &amp; Downtime Entry'!F637</f>
        <v/>
      </c>
      <c r="G636" s="47" t="n">
        <f aca="false">'Fault &amp; Downtime Entry'!G637</f>
        <v>0</v>
      </c>
      <c r="H636" s="47" t="str">
        <f aca="false">'Fault &amp; Downtime Entry'!H637</f>
        <v/>
      </c>
      <c r="I636" s="47" t="str">
        <f aca="false">'Fault &amp; Downtime Entry'!I637</f>
        <v/>
      </c>
      <c r="J636" s="47" t="n">
        <f aca="false">'Fault &amp; Downtime Entry'!J637</f>
        <v>0</v>
      </c>
      <c r="K636" s="47" t="n">
        <f aca="false">'Fault &amp; Downtime Entry'!K637</f>
        <v>0</v>
      </c>
      <c r="L636" s="47" t="n">
        <f aca="false">'Fault &amp; Downtime Entry'!L637</f>
        <v>0</v>
      </c>
      <c r="M636" s="47" t="str">
        <f aca="false">'Fault &amp; Downtime Entry'!M637</f>
        <v/>
      </c>
      <c r="N636" s="47" t="n">
        <f aca="false">'Fault &amp; Downtime Entry'!N637</f>
        <v>0</v>
      </c>
      <c r="O636" s="47" t="n">
        <f aca="false">'Fault &amp; Downtime Entry'!O637</f>
        <v>0</v>
      </c>
      <c r="P636" s="47" t="str">
        <f aca="false">IF(OR(J636="",K636=""),"",IFERROR(J636/K636*1000,0))</f>
        <v/>
      </c>
      <c r="Q636" s="47" t="str">
        <f aca="false">IF(OR(L636="",K636=""),"",IFERROR(L636/K636*1000,0))</f>
        <v/>
      </c>
      <c r="R636" s="47" t="str">
        <f aca="false">IF(OR(M636="High",M636="Critical"),"YES","")</f>
        <v/>
      </c>
    </row>
    <row r="637" customFormat="false" ht="15" hidden="false" customHeight="true" outlineLevel="0" collapsed="false">
      <c r="A637" s="47" t="n">
        <f aca="false">'Fault &amp; Downtime Entry'!A638</f>
        <v>633</v>
      </c>
      <c r="B637" s="48" t="n">
        <f aca="false">'Fault &amp; Downtime Entry'!B638</f>
        <v>0</v>
      </c>
      <c r="C637" s="47" t="n">
        <f aca="false">'Fault &amp; Downtime Entry'!C638</f>
        <v>0</v>
      </c>
      <c r="D637" s="47" t="n">
        <f aca="false">'Fault &amp; Downtime Entry'!D638</f>
        <v>0</v>
      </c>
      <c r="E637" s="47" t="n">
        <f aca="false">'Fault &amp; Downtime Entry'!E638</f>
        <v>0</v>
      </c>
      <c r="F637" s="47" t="str">
        <f aca="false">'Fault &amp; Downtime Entry'!F638</f>
        <v/>
      </c>
      <c r="G637" s="47" t="n">
        <f aca="false">'Fault &amp; Downtime Entry'!G638</f>
        <v>0</v>
      </c>
      <c r="H637" s="47" t="str">
        <f aca="false">'Fault &amp; Downtime Entry'!H638</f>
        <v/>
      </c>
      <c r="I637" s="47" t="str">
        <f aca="false">'Fault &amp; Downtime Entry'!I638</f>
        <v/>
      </c>
      <c r="J637" s="47" t="n">
        <f aca="false">'Fault &amp; Downtime Entry'!J638</f>
        <v>0</v>
      </c>
      <c r="K637" s="47" t="n">
        <f aca="false">'Fault &amp; Downtime Entry'!K638</f>
        <v>0</v>
      </c>
      <c r="L637" s="47" t="n">
        <f aca="false">'Fault &amp; Downtime Entry'!L638</f>
        <v>0</v>
      </c>
      <c r="M637" s="47" t="str">
        <f aca="false">'Fault &amp; Downtime Entry'!M638</f>
        <v/>
      </c>
      <c r="N637" s="47" t="n">
        <f aca="false">'Fault &amp; Downtime Entry'!N638</f>
        <v>0</v>
      </c>
      <c r="O637" s="47" t="n">
        <f aca="false">'Fault &amp; Downtime Entry'!O638</f>
        <v>0</v>
      </c>
      <c r="P637" s="47" t="str">
        <f aca="false">IF(OR(J637="",K637=""),"",IFERROR(J637/K637*1000,0))</f>
        <v/>
      </c>
      <c r="Q637" s="47" t="str">
        <f aca="false">IF(OR(L637="",K637=""),"",IFERROR(L637/K637*1000,0))</f>
        <v/>
      </c>
      <c r="R637" s="47" t="str">
        <f aca="false">IF(OR(M637="High",M637="Critical"),"YES","")</f>
        <v/>
      </c>
    </row>
    <row r="638" customFormat="false" ht="15" hidden="false" customHeight="true" outlineLevel="0" collapsed="false">
      <c r="A638" s="47" t="n">
        <f aca="false">'Fault &amp; Downtime Entry'!A639</f>
        <v>634</v>
      </c>
      <c r="B638" s="48" t="n">
        <f aca="false">'Fault &amp; Downtime Entry'!B639</f>
        <v>0</v>
      </c>
      <c r="C638" s="47" t="n">
        <f aca="false">'Fault &amp; Downtime Entry'!C639</f>
        <v>0</v>
      </c>
      <c r="D638" s="47" t="n">
        <f aca="false">'Fault &amp; Downtime Entry'!D639</f>
        <v>0</v>
      </c>
      <c r="E638" s="47" t="n">
        <f aca="false">'Fault &amp; Downtime Entry'!E639</f>
        <v>0</v>
      </c>
      <c r="F638" s="47" t="str">
        <f aca="false">'Fault &amp; Downtime Entry'!F639</f>
        <v/>
      </c>
      <c r="G638" s="47" t="n">
        <f aca="false">'Fault &amp; Downtime Entry'!G639</f>
        <v>0</v>
      </c>
      <c r="H638" s="47" t="str">
        <f aca="false">'Fault &amp; Downtime Entry'!H639</f>
        <v/>
      </c>
      <c r="I638" s="47" t="str">
        <f aca="false">'Fault &amp; Downtime Entry'!I639</f>
        <v/>
      </c>
      <c r="J638" s="47" t="n">
        <f aca="false">'Fault &amp; Downtime Entry'!J639</f>
        <v>0</v>
      </c>
      <c r="K638" s="47" t="n">
        <f aca="false">'Fault &amp; Downtime Entry'!K639</f>
        <v>0</v>
      </c>
      <c r="L638" s="47" t="n">
        <f aca="false">'Fault &amp; Downtime Entry'!L639</f>
        <v>0</v>
      </c>
      <c r="M638" s="47" t="str">
        <f aca="false">'Fault &amp; Downtime Entry'!M639</f>
        <v/>
      </c>
      <c r="N638" s="47" t="n">
        <f aca="false">'Fault &amp; Downtime Entry'!N639</f>
        <v>0</v>
      </c>
      <c r="O638" s="47" t="n">
        <f aca="false">'Fault &amp; Downtime Entry'!O639</f>
        <v>0</v>
      </c>
      <c r="P638" s="47" t="str">
        <f aca="false">IF(OR(J638="",K638=""),"",IFERROR(J638/K638*1000,0))</f>
        <v/>
      </c>
      <c r="Q638" s="47" t="str">
        <f aca="false">IF(OR(L638="",K638=""),"",IFERROR(L638/K638*1000,0))</f>
        <v/>
      </c>
      <c r="R638" s="47" t="str">
        <f aca="false">IF(OR(M638="High",M638="Critical"),"YES","")</f>
        <v/>
      </c>
    </row>
    <row r="639" customFormat="false" ht="15" hidden="false" customHeight="true" outlineLevel="0" collapsed="false">
      <c r="A639" s="47" t="n">
        <f aca="false">'Fault &amp; Downtime Entry'!A640</f>
        <v>635</v>
      </c>
      <c r="B639" s="48" t="n">
        <f aca="false">'Fault &amp; Downtime Entry'!B640</f>
        <v>0</v>
      </c>
      <c r="C639" s="47" t="n">
        <f aca="false">'Fault &amp; Downtime Entry'!C640</f>
        <v>0</v>
      </c>
      <c r="D639" s="47" t="n">
        <f aca="false">'Fault &amp; Downtime Entry'!D640</f>
        <v>0</v>
      </c>
      <c r="E639" s="47" t="n">
        <f aca="false">'Fault &amp; Downtime Entry'!E640</f>
        <v>0</v>
      </c>
      <c r="F639" s="47" t="str">
        <f aca="false">'Fault &amp; Downtime Entry'!F640</f>
        <v/>
      </c>
      <c r="G639" s="47" t="n">
        <f aca="false">'Fault &amp; Downtime Entry'!G640</f>
        <v>0</v>
      </c>
      <c r="H639" s="47" t="str">
        <f aca="false">'Fault &amp; Downtime Entry'!H640</f>
        <v/>
      </c>
      <c r="I639" s="47" t="str">
        <f aca="false">'Fault &amp; Downtime Entry'!I640</f>
        <v/>
      </c>
      <c r="J639" s="47" t="n">
        <f aca="false">'Fault &amp; Downtime Entry'!J640</f>
        <v>0</v>
      </c>
      <c r="K639" s="47" t="n">
        <f aca="false">'Fault &amp; Downtime Entry'!K640</f>
        <v>0</v>
      </c>
      <c r="L639" s="47" t="n">
        <f aca="false">'Fault &amp; Downtime Entry'!L640</f>
        <v>0</v>
      </c>
      <c r="M639" s="47" t="str">
        <f aca="false">'Fault &amp; Downtime Entry'!M640</f>
        <v/>
      </c>
      <c r="N639" s="47" t="n">
        <f aca="false">'Fault &amp; Downtime Entry'!N640</f>
        <v>0</v>
      </c>
      <c r="O639" s="47" t="n">
        <f aca="false">'Fault &amp; Downtime Entry'!O640</f>
        <v>0</v>
      </c>
      <c r="P639" s="47" t="str">
        <f aca="false">IF(OR(J639="",K639=""),"",IFERROR(J639/K639*1000,0))</f>
        <v/>
      </c>
      <c r="Q639" s="47" t="str">
        <f aca="false">IF(OR(L639="",K639=""),"",IFERROR(L639/K639*1000,0))</f>
        <v/>
      </c>
      <c r="R639" s="47" t="str">
        <f aca="false">IF(OR(M639="High",M639="Critical"),"YES","")</f>
        <v/>
      </c>
    </row>
    <row r="640" customFormat="false" ht="15" hidden="false" customHeight="true" outlineLevel="0" collapsed="false">
      <c r="A640" s="47" t="n">
        <f aca="false">'Fault &amp; Downtime Entry'!A641</f>
        <v>636</v>
      </c>
      <c r="B640" s="48" t="n">
        <f aca="false">'Fault &amp; Downtime Entry'!B641</f>
        <v>0</v>
      </c>
      <c r="C640" s="47" t="n">
        <f aca="false">'Fault &amp; Downtime Entry'!C641</f>
        <v>0</v>
      </c>
      <c r="D640" s="47" t="n">
        <f aca="false">'Fault &amp; Downtime Entry'!D641</f>
        <v>0</v>
      </c>
      <c r="E640" s="47" t="n">
        <f aca="false">'Fault &amp; Downtime Entry'!E641</f>
        <v>0</v>
      </c>
      <c r="F640" s="47" t="str">
        <f aca="false">'Fault &amp; Downtime Entry'!F641</f>
        <v/>
      </c>
      <c r="G640" s="47" t="n">
        <f aca="false">'Fault &amp; Downtime Entry'!G641</f>
        <v>0</v>
      </c>
      <c r="H640" s="47" t="str">
        <f aca="false">'Fault &amp; Downtime Entry'!H641</f>
        <v/>
      </c>
      <c r="I640" s="47" t="str">
        <f aca="false">'Fault &amp; Downtime Entry'!I641</f>
        <v/>
      </c>
      <c r="J640" s="47" t="n">
        <f aca="false">'Fault &amp; Downtime Entry'!J641</f>
        <v>0</v>
      </c>
      <c r="K640" s="47" t="n">
        <f aca="false">'Fault &amp; Downtime Entry'!K641</f>
        <v>0</v>
      </c>
      <c r="L640" s="47" t="n">
        <f aca="false">'Fault &amp; Downtime Entry'!L641</f>
        <v>0</v>
      </c>
      <c r="M640" s="47" t="str">
        <f aca="false">'Fault &amp; Downtime Entry'!M641</f>
        <v/>
      </c>
      <c r="N640" s="47" t="n">
        <f aca="false">'Fault &amp; Downtime Entry'!N641</f>
        <v>0</v>
      </c>
      <c r="O640" s="47" t="n">
        <f aca="false">'Fault &amp; Downtime Entry'!O641</f>
        <v>0</v>
      </c>
      <c r="P640" s="47" t="str">
        <f aca="false">IF(OR(J640="",K640=""),"",IFERROR(J640/K640*1000,0))</f>
        <v/>
      </c>
      <c r="Q640" s="47" t="str">
        <f aca="false">IF(OR(L640="",K640=""),"",IFERROR(L640/K640*1000,0))</f>
        <v/>
      </c>
      <c r="R640" s="47" t="str">
        <f aca="false">IF(OR(M640="High",M640="Critical"),"YES","")</f>
        <v/>
      </c>
    </row>
    <row r="641" customFormat="false" ht="15" hidden="false" customHeight="true" outlineLevel="0" collapsed="false">
      <c r="A641" s="47" t="n">
        <f aca="false">'Fault &amp; Downtime Entry'!A642</f>
        <v>637</v>
      </c>
      <c r="B641" s="48" t="n">
        <f aca="false">'Fault &amp; Downtime Entry'!B642</f>
        <v>0</v>
      </c>
      <c r="C641" s="47" t="n">
        <f aca="false">'Fault &amp; Downtime Entry'!C642</f>
        <v>0</v>
      </c>
      <c r="D641" s="47" t="n">
        <f aca="false">'Fault &amp; Downtime Entry'!D642</f>
        <v>0</v>
      </c>
      <c r="E641" s="47" t="n">
        <f aca="false">'Fault &amp; Downtime Entry'!E642</f>
        <v>0</v>
      </c>
      <c r="F641" s="47" t="str">
        <f aca="false">'Fault &amp; Downtime Entry'!F642</f>
        <v/>
      </c>
      <c r="G641" s="47" t="n">
        <f aca="false">'Fault &amp; Downtime Entry'!G642</f>
        <v>0</v>
      </c>
      <c r="H641" s="47" t="str">
        <f aca="false">'Fault &amp; Downtime Entry'!H642</f>
        <v/>
      </c>
      <c r="I641" s="47" t="str">
        <f aca="false">'Fault &amp; Downtime Entry'!I642</f>
        <v/>
      </c>
      <c r="J641" s="47" t="n">
        <f aca="false">'Fault &amp; Downtime Entry'!J642</f>
        <v>0</v>
      </c>
      <c r="K641" s="47" t="n">
        <f aca="false">'Fault &amp; Downtime Entry'!K642</f>
        <v>0</v>
      </c>
      <c r="L641" s="47" t="n">
        <f aca="false">'Fault &amp; Downtime Entry'!L642</f>
        <v>0</v>
      </c>
      <c r="M641" s="47" t="str">
        <f aca="false">'Fault &amp; Downtime Entry'!M642</f>
        <v/>
      </c>
      <c r="N641" s="47" t="n">
        <f aca="false">'Fault &amp; Downtime Entry'!N642</f>
        <v>0</v>
      </c>
      <c r="O641" s="47" t="n">
        <f aca="false">'Fault &amp; Downtime Entry'!O642</f>
        <v>0</v>
      </c>
      <c r="P641" s="47" t="str">
        <f aca="false">IF(OR(J641="",K641=""),"",IFERROR(J641/K641*1000,0))</f>
        <v/>
      </c>
      <c r="Q641" s="47" t="str">
        <f aca="false">IF(OR(L641="",K641=""),"",IFERROR(L641/K641*1000,0))</f>
        <v/>
      </c>
      <c r="R641" s="47" t="str">
        <f aca="false">IF(OR(M641="High",M641="Critical"),"YES","")</f>
        <v/>
      </c>
    </row>
    <row r="642" customFormat="false" ht="15" hidden="false" customHeight="true" outlineLevel="0" collapsed="false">
      <c r="A642" s="47" t="n">
        <f aca="false">'Fault &amp; Downtime Entry'!A643</f>
        <v>638</v>
      </c>
      <c r="B642" s="48" t="n">
        <f aca="false">'Fault &amp; Downtime Entry'!B643</f>
        <v>0</v>
      </c>
      <c r="C642" s="47" t="n">
        <f aca="false">'Fault &amp; Downtime Entry'!C643</f>
        <v>0</v>
      </c>
      <c r="D642" s="47" t="n">
        <f aca="false">'Fault &amp; Downtime Entry'!D643</f>
        <v>0</v>
      </c>
      <c r="E642" s="47" t="n">
        <f aca="false">'Fault &amp; Downtime Entry'!E643</f>
        <v>0</v>
      </c>
      <c r="F642" s="47" t="str">
        <f aca="false">'Fault &amp; Downtime Entry'!F643</f>
        <v/>
      </c>
      <c r="G642" s="47" t="n">
        <f aca="false">'Fault &amp; Downtime Entry'!G643</f>
        <v>0</v>
      </c>
      <c r="H642" s="47" t="str">
        <f aca="false">'Fault &amp; Downtime Entry'!H643</f>
        <v/>
      </c>
      <c r="I642" s="47" t="str">
        <f aca="false">'Fault &amp; Downtime Entry'!I643</f>
        <v/>
      </c>
      <c r="J642" s="47" t="n">
        <f aca="false">'Fault &amp; Downtime Entry'!J643</f>
        <v>0</v>
      </c>
      <c r="K642" s="47" t="n">
        <f aca="false">'Fault &amp; Downtime Entry'!K643</f>
        <v>0</v>
      </c>
      <c r="L642" s="47" t="n">
        <f aca="false">'Fault &amp; Downtime Entry'!L643</f>
        <v>0</v>
      </c>
      <c r="M642" s="47" t="str">
        <f aca="false">'Fault &amp; Downtime Entry'!M643</f>
        <v/>
      </c>
      <c r="N642" s="47" t="n">
        <f aca="false">'Fault &amp; Downtime Entry'!N643</f>
        <v>0</v>
      </c>
      <c r="O642" s="47" t="n">
        <f aca="false">'Fault &amp; Downtime Entry'!O643</f>
        <v>0</v>
      </c>
      <c r="P642" s="47" t="str">
        <f aca="false">IF(OR(J642="",K642=""),"",IFERROR(J642/K642*1000,0))</f>
        <v/>
      </c>
      <c r="Q642" s="47" t="str">
        <f aca="false">IF(OR(L642="",K642=""),"",IFERROR(L642/K642*1000,0))</f>
        <v/>
      </c>
      <c r="R642" s="47" t="str">
        <f aca="false">IF(OR(M642="High",M642="Critical"),"YES","")</f>
        <v/>
      </c>
    </row>
    <row r="643" customFormat="false" ht="15" hidden="false" customHeight="true" outlineLevel="0" collapsed="false">
      <c r="A643" s="47" t="n">
        <f aca="false">'Fault &amp; Downtime Entry'!A644</f>
        <v>639</v>
      </c>
      <c r="B643" s="48" t="n">
        <f aca="false">'Fault &amp; Downtime Entry'!B644</f>
        <v>0</v>
      </c>
      <c r="C643" s="47" t="n">
        <f aca="false">'Fault &amp; Downtime Entry'!C644</f>
        <v>0</v>
      </c>
      <c r="D643" s="47" t="n">
        <f aca="false">'Fault &amp; Downtime Entry'!D644</f>
        <v>0</v>
      </c>
      <c r="E643" s="47" t="n">
        <f aca="false">'Fault &amp; Downtime Entry'!E644</f>
        <v>0</v>
      </c>
      <c r="F643" s="47" t="str">
        <f aca="false">'Fault &amp; Downtime Entry'!F644</f>
        <v/>
      </c>
      <c r="G643" s="47" t="n">
        <f aca="false">'Fault &amp; Downtime Entry'!G644</f>
        <v>0</v>
      </c>
      <c r="H643" s="47" t="str">
        <f aca="false">'Fault &amp; Downtime Entry'!H644</f>
        <v/>
      </c>
      <c r="I643" s="47" t="str">
        <f aca="false">'Fault &amp; Downtime Entry'!I644</f>
        <v/>
      </c>
      <c r="J643" s="47" t="n">
        <f aca="false">'Fault &amp; Downtime Entry'!J644</f>
        <v>0</v>
      </c>
      <c r="K643" s="47" t="n">
        <f aca="false">'Fault &amp; Downtime Entry'!K644</f>
        <v>0</v>
      </c>
      <c r="L643" s="47" t="n">
        <f aca="false">'Fault &amp; Downtime Entry'!L644</f>
        <v>0</v>
      </c>
      <c r="M643" s="47" t="str">
        <f aca="false">'Fault &amp; Downtime Entry'!M644</f>
        <v/>
      </c>
      <c r="N643" s="47" t="n">
        <f aca="false">'Fault &amp; Downtime Entry'!N644</f>
        <v>0</v>
      </c>
      <c r="O643" s="47" t="n">
        <f aca="false">'Fault &amp; Downtime Entry'!O644</f>
        <v>0</v>
      </c>
      <c r="P643" s="47" t="str">
        <f aca="false">IF(OR(J643="",K643=""),"",IFERROR(J643/K643*1000,0))</f>
        <v/>
      </c>
      <c r="Q643" s="47" t="str">
        <f aca="false">IF(OR(L643="",K643=""),"",IFERROR(L643/K643*1000,0))</f>
        <v/>
      </c>
      <c r="R643" s="47" t="str">
        <f aca="false">IF(OR(M643="High",M643="Critical"),"YES","")</f>
        <v/>
      </c>
    </row>
    <row r="644" customFormat="false" ht="15" hidden="false" customHeight="true" outlineLevel="0" collapsed="false">
      <c r="A644" s="47" t="n">
        <f aca="false">'Fault &amp; Downtime Entry'!A645</f>
        <v>640</v>
      </c>
      <c r="B644" s="48" t="n">
        <f aca="false">'Fault &amp; Downtime Entry'!B645</f>
        <v>0</v>
      </c>
      <c r="C644" s="47" t="n">
        <f aca="false">'Fault &amp; Downtime Entry'!C645</f>
        <v>0</v>
      </c>
      <c r="D644" s="47" t="n">
        <f aca="false">'Fault &amp; Downtime Entry'!D645</f>
        <v>0</v>
      </c>
      <c r="E644" s="47" t="n">
        <f aca="false">'Fault &amp; Downtime Entry'!E645</f>
        <v>0</v>
      </c>
      <c r="F644" s="47" t="str">
        <f aca="false">'Fault &amp; Downtime Entry'!F645</f>
        <v/>
      </c>
      <c r="G644" s="47" t="n">
        <f aca="false">'Fault &amp; Downtime Entry'!G645</f>
        <v>0</v>
      </c>
      <c r="H644" s="47" t="str">
        <f aca="false">'Fault &amp; Downtime Entry'!H645</f>
        <v/>
      </c>
      <c r="I644" s="47" t="str">
        <f aca="false">'Fault &amp; Downtime Entry'!I645</f>
        <v/>
      </c>
      <c r="J644" s="47" t="n">
        <f aca="false">'Fault &amp; Downtime Entry'!J645</f>
        <v>0</v>
      </c>
      <c r="K644" s="47" t="n">
        <f aca="false">'Fault &amp; Downtime Entry'!K645</f>
        <v>0</v>
      </c>
      <c r="L644" s="47" t="n">
        <f aca="false">'Fault &amp; Downtime Entry'!L645</f>
        <v>0</v>
      </c>
      <c r="M644" s="47" t="str">
        <f aca="false">'Fault &amp; Downtime Entry'!M645</f>
        <v/>
      </c>
      <c r="N644" s="47" t="n">
        <f aca="false">'Fault &amp; Downtime Entry'!N645</f>
        <v>0</v>
      </c>
      <c r="O644" s="47" t="n">
        <f aca="false">'Fault &amp; Downtime Entry'!O645</f>
        <v>0</v>
      </c>
      <c r="P644" s="47" t="str">
        <f aca="false">IF(OR(J644="",K644=""),"",IFERROR(J644/K644*1000,0))</f>
        <v/>
      </c>
      <c r="Q644" s="47" t="str">
        <f aca="false">IF(OR(L644="",K644=""),"",IFERROR(L644/K644*1000,0))</f>
        <v/>
      </c>
      <c r="R644" s="47" t="str">
        <f aca="false">IF(OR(M644="High",M644="Critical"),"YES","")</f>
        <v/>
      </c>
    </row>
    <row r="645" customFormat="false" ht="15" hidden="false" customHeight="true" outlineLevel="0" collapsed="false">
      <c r="A645" s="47" t="n">
        <f aca="false">'Fault &amp; Downtime Entry'!A646</f>
        <v>641</v>
      </c>
      <c r="B645" s="48" t="n">
        <f aca="false">'Fault &amp; Downtime Entry'!B646</f>
        <v>0</v>
      </c>
      <c r="C645" s="47" t="n">
        <f aca="false">'Fault &amp; Downtime Entry'!C646</f>
        <v>0</v>
      </c>
      <c r="D645" s="47" t="n">
        <f aca="false">'Fault &amp; Downtime Entry'!D646</f>
        <v>0</v>
      </c>
      <c r="E645" s="47" t="n">
        <f aca="false">'Fault &amp; Downtime Entry'!E646</f>
        <v>0</v>
      </c>
      <c r="F645" s="47" t="str">
        <f aca="false">'Fault &amp; Downtime Entry'!F646</f>
        <v/>
      </c>
      <c r="G645" s="47" t="n">
        <f aca="false">'Fault &amp; Downtime Entry'!G646</f>
        <v>0</v>
      </c>
      <c r="H645" s="47" t="str">
        <f aca="false">'Fault &amp; Downtime Entry'!H646</f>
        <v/>
      </c>
      <c r="I645" s="47" t="str">
        <f aca="false">'Fault &amp; Downtime Entry'!I646</f>
        <v/>
      </c>
      <c r="J645" s="47" t="n">
        <f aca="false">'Fault &amp; Downtime Entry'!J646</f>
        <v>0</v>
      </c>
      <c r="K645" s="47" t="n">
        <f aca="false">'Fault &amp; Downtime Entry'!K646</f>
        <v>0</v>
      </c>
      <c r="L645" s="47" t="n">
        <f aca="false">'Fault &amp; Downtime Entry'!L646</f>
        <v>0</v>
      </c>
      <c r="M645" s="47" t="str">
        <f aca="false">'Fault &amp; Downtime Entry'!M646</f>
        <v/>
      </c>
      <c r="N645" s="47" t="n">
        <f aca="false">'Fault &amp; Downtime Entry'!N646</f>
        <v>0</v>
      </c>
      <c r="O645" s="47" t="n">
        <f aca="false">'Fault &amp; Downtime Entry'!O646</f>
        <v>0</v>
      </c>
      <c r="P645" s="47" t="str">
        <f aca="false">IF(OR(J645="",K645=""),"",IFERROR(J645/K645*1000,0))</f>
        <v/>
      </c>
      <c r="Q645" s="47" t="str">
        <f aca="false">IF(OR(L645="",K645=""),"",IFERROR(L645/K645*1000,0))</f>
        <v/>
      </c>
      <c r="R645" s="47" t="str">
        <f aca="false">IF(OR(M645="High",M645="Critical"),"YES","")</f>
        <v/>
      </c>
    </row>
    <row r="646" customFormat="false" ht="15" hidden="false" customHeight="true" outlineLevel="0" collapsed="false">
      <c r="A646" s="47" t="n">
        <f aca="false">'Fault &amp; Downtime Entry'!A647</f>
        <v>642</v>
      </c>
      <c r="B646" s="48" t="n">
        <f aca="false">'Fault &amp; Downtime Entry'!B647</f>
        <v>0</v>
      </c>
      <c r="C646" s="47" t="n">
        <f aca="false">'Fault &amp; Downtime Entry'!C647</f>
        <v>0</v>
      </c>
      <c r="D646" s="47" t="n">
        <f aca="false">'Fault &amp; Downtime Entry'!D647</f>
        <v>0</v>
      </c>
      <c r="E646" s="47" t="n">
        <f aca="false">'Fault &amp; Downtime Entry'!E647</f>
        <v>0</v>
      </c>
      <c r="F646" s="47" t="str">
        <f aca="false">'Fault &amp; Downtime Entry'!F647</f>
        <v/>
      </c>
      <c r="G646" s="47" t="n">
        <f aca="false">'Fault &amp; Downtime Entry'!G647</f>
        <v>0</v>
      </c>
      <c r="H646" s="47" t="str">
        <f aca="false">'Fault &amp; Downtime Entry'!H647</f>
        <v/>
      </c>
      <c r="I646" s="47" t="str">
        <f aca="false">'Fault &amp; Downtime Entry'!I647</f>
        <v/>
      </c>
      <c r="J646" s="47" t="n">
        <f aca="false">'Fault &amp; Downtime Entry'!J647</f>
        <v>0</v>
      </c>
      <c r="K646" s="47" t="n">
        <f aca="false">'Fault &amp; Downtime Entry'!K647</f>
        <v>0</v>
      </c>
      <c r="L646" s="47" t="n">
        <f aca="false">'Fault &amp; Downtime Entry'!L647</f>
        <v>0</v>
      </c>
      <c r="M646" s="47" t="str">
        <f aca="false">'Fault &amp; Downtime Entry'!M647</f>
        <v/>
      </c>
      <c r="N646" s="47" t="n">
        <f aca="false">'Fault &amp; Downtime Entry'!N647</f>
        <v>0</v>
      </c>
      <c r="O646" s="47" t="n">
        <f aca="false">'Fault &amp; Downtime Entry'!O647</f>
        <v>0</v>
      </c>
      <c r="P646" s="47" t="str">
        <f aca="false">IF(OR(J646="",K646=""),"",IFERROR(J646/K646*1000,0))</f>
        <v/>
      </c>
      <c r="Q646" s="47" t="str">
        <f aca="false">IF(OR(L646="",K646=""),"",IFERROR(L646/K646*1000,0))</f>
        <v/>
      </c>
      <c r="R646" s="47" t="str">
        <f aca="false">IF(OR(M646="High",M646="Critical"),"YES","")</f>
        <v/>
      </c>
    </row>
    <row r="647" customFormat="false" ht="15" hidden="false" customHeight="true" outlineLevel="0" collapsed="false">
      <c r="A647" s="47" t="n">
        <f aca="false">'Fault &amp; Downtime Entry'!A648</f>
        <v>643</v>
      </c>
      <c r="B647" s="48" t="n">
        <f aca="false">'Fault &amp; Downtime Entry'!B648</f>
        <v>0</v>
      </c>
      <c r="C647" s="47" t="n">
        <f aca="false">'Fault &amp; Downtime Entry'!C648</f>
        <v>0</v>
      </c>
      <c r="D647" s="47" t="n">
        <f aca="false">'Fault &amp; Downtime Entry'!D648</f>
        <v>0</v>
      </c>
      <c r="E647" s="47" t="n">
        <f aca="false">'Fault &amp; Downtime Entry'!E648</f>
        <v>0</v>
      </c>
      <c r="F647" s="47" t="str">
        <f aca="false">'Fault &amp; Downtime Entry'!F648</f>
        <v/>
      </c>
      <c r="G647" s="47" t="n">
        <f aca="false">'Fault &amp; Downtime Entry'!G648</f>
        <v>0</v>
      </c>
      <c r="H647" s="47" t="str">
        <f aca="false">'Fault &amp; Downtime Entry'!H648</f>
        <v/>
      </c>
      <c r="I647" s="47" t="str">
        <f aca="false">'Fault &amp; Downtime Entry'!I648</f>
        <v/>
      </c>
      <c r="J647" s="47" t="n">
        <f aca="false">'Fault &amp; Downtime Entry'!J648</f>
        <v>0</v>
      </c>
      <c r="K647" s="47" t="n">
        <f aca="false">'Fault &amp; Downtime Entry'!K648</f>
        <v>0</v>
      </c>
      <c r="L647" s="47" t="n">
        <f aca="false">'Fault &amp; Downtime Entry'!L648</f>
        <v>0</v>
      </c>
      <c r="M647" s="47" t="str">
        <f aca="false">'Fault &amp; Downtime Entry'!M648</f>
        <v/>
      </c>
      <c r="N647" s="47" t="n">
        <f aca="false">'Fault &amp; Downtime Entry'!N648</f>
        <v>0</v>
      </c>
      <c r="O647" s="47" t="n">
        <f aca="false">'Fault &amp; Downtime Entry'!O648</f>
        <v>0</v>
      </c>
      <c r="P647" s="47" t="str">
        <f aca="false">IF(OR(J647="",K647=""),"",IFERROR(J647/K647*1000,0))</f>
        <v/>
      </c>
      <c r="Q647" s="47" t="str">
        <f aca="false">IF(OR(L647="",K647=""),"",IFERROR(L647/K647*1000,0))</f>
        <v/>
      </c>
      <c r="R647" s="47" t="str">
        <f aca="false">IF(OR(M647="High",M647="Critical"),"YES","")</f>
        <v/>
      </c>
    </row>
    <row r="648" customFormat="false" ht="15" hidden="false" customHeight="true" outlineLevel="0" collapsed="false">
      <c r="A648" s="47" t="n">
        <f aca="false">'Fault &amp; Downtime Entry'!A649</f>
        <v>644</v>
      </c>
      <c r="B648" s="48" t="n">
        <f aca="false">'Fault &amp; Downtime Entry'!B649</f>
        <v>0</v>
      </c>
      <c r="C648" s="47" t="n">
        <f aca="false">'Fault &amp; Downtime Entry'!C649</f>
        <v>0</v>
      </c>
      <c r="D648" s="47" t="n">
        <f aca="false">'Fault &amp; Downtime Entry'!D649</f>
        <v>0</v>
      </c>
      <c r="E648" s="47" t="n">
        <f aca="false">'Fault &amp; Downtime Entry'!E649</f>
        <v>0</v>
      </c>
      <c r="F648" s="47" t="str">
        <f aca="false">'Fault &amp; Downtime Entry'!F649</f>
        <v/>
      </c>
      <c r="G648" s="47" t="n">
        <f aca="false">'Fault &amp; Downtime Entry'!G649</f>
        <v>0</v>
      </c>
      <c r="H648" s="47" t="str">
        <f aca="false">'Fault &amp; Downtime Entry'!H649</f>
        <v/>
      </c>
      <c r="I648" s="47" t="str">
        <f aca="false">'Fault &amp; Downtime Entry'!I649</f>
        <v/>
      </c>
      <c r="J648" s="47" t="n">
        <f aca="false">'Fault &amp; Downtime Entry'!J649</f>
        <v>0</v>
      </c>
      <c r="K648" s="47" t="n">
        <f aca="false">'Fault &amp; Downtime Entry'!K649</f>
        <v>0</v>
      </c>
      <c r="L648" s="47" t="n">
        <f aca="false">'Fault &amp; Downtime Entry'!L649</f>
        <v>0</v>
      </c>
      <c r="M648" s="47" t="str">
        <f aca="false">'Fault &amp; Downtime Entry'!M649</f>
        <v/>
      </c>
      <c r="N648" s="47" t="n">
        <f aca="false">'Fault &amp; Downtime Entry'!N649</f>
        <v>0</v>
      </c>
      <c r="O648" s="47" t="n">
        <f aca="false">'Fault &amp; Downtime Entry'!O649</f>
        <v>0</v>
      </c>
      <c r="P648" s="47" t="str">
        <f aca="false">IF(OR(J648="",K648=""),"",IFERROR(J648/K648*1000,0))</f>
        <v/>
      </c>
      <c r="Q648" s="47" t="str">
        <f aca="false">IF(OR(L648="",K648=""),"",IFERROR(L648/K648*1000,0))</f>
        <v/>
      </c>
      <c r="R648" s="47" t="str">
        <f aca="false">IF(OR(M648="High",M648="Critical"),"YES","")</f>
        <v/>
      </c>
    </row>
    <row r="649" customFormat="false" ht="15" hidden="false" customHeight="true" outlineLevel="0" collapsed="false">
      <c r="A649" s="47" t="n">
        <f aca="false">'Fault &amp; Downtime Entry'!A650</f>
        <v>645</v>
      </c>
      <c r="B649" s="48" t="n">
        <f aca="false">'Fault &amp; Downtime Entry'!B650</f>
        <v>0</v>
      </c>
      <c r="C649" s="47" t="n">
        <f aca="false">'Fault &amp; Downtime Entry'!C650</f>
        <v>0</v>
      </c>
      <c r="D649" s="47" t="n">
        <f aca="false">'Fault &amp; Downtime Entry'!D650</f>
        <v>0</v>
      </c>
      <c r="E649" s="47" t="n">
        <f aca="false">'Fault &amp; Downtime Entry'!E650</f>
        <v>0</v>
      </c>
      <c r="F649" s="47" t="str">
        <f aca="false">'Fault &amp; Downtime Entry'!F650</f>
        <v/>
      </c>
      <c r="G649" s="47" t="n">
        <f aca="false">'Fault &amp; Downtime Entry'!G650</f>
        <v>0</v>
      </c>
      <c r="H649" s="47" t="str">
        <f aca="false">'Fault &amp; Downtime Entry'!H650</f>
        <v/>
      </c>
      <c r="I649" s="47" t="str">
        <f aca="false">'Fault &amp; Downtime Entry'!I650</f>
        <v/>
      </c>
      <c r="J649" s="47" t="n">
        <f aca="false">'Fault &amp; Downtime Entry'!J650</f>
        <v>0</v>
      </c>
      <c r="K649" s="47" t="n">
        <f aca="false">'Fault &amp; Downtime Entry'!K650</f>
        <v>0</v>
      </c>
      <c r="L649" s="47" t="n">
        <f aca="false">'Fault &amp; Downtime Entry'!L650</f>
        <v>0</v>
      </c>
      <c r="M649" s="47" t="str">
        <f aca="false">'Fault &amp; Downtime Entry'!M650</f>
        <v/>
      </c>
      <c r="N649" s="47" t="n">
        <f aca="false">'Fault &amp; Downtime Entry'!N650</f>
        <v>0</v>
      </c>
      <c r="O649" s="47" t="n">
        <f aca="false">'Fault &amp; Downtime Entry'!O650</f>
        <v>0</v>
      </c>
      <c r="P649" s="47" t="str">
        <f aca="false">IF(OR(J649="",K649=""),"",IFERROR(J649/K649*1000,0))</f>
        <v/>
      </c>
      <c r="Q649" s="47" t="str">
        <f aca="false">IF(OR(L649="",K649=""),"",IFERROR(L649/K649*1000,0))</f>
        <v/>
      </c>
      <c r="R649" s="47" t="str">
        <f aca="false">IF(OR(M649="High",M649="Critical"),"YES","")</f>
        <v/>
      </c>
    </row>
    <row r="650" customFormat="false" ht="15" hidden="false" customHeight="true" outlineLevel="0" collapsed="false">
      <c r="A650" s="47" t="n">
        <f aca="false">'Fault &amp; Downtime Entry'!A651</f>
        <v>646</v>
      </c>
      <c r="B650" s="48" t="n">
        <f aca="false">'Fault &amp; Downtime Entry'!B651</f>
        <v>0</v>
      </c>
      <c r="C650" s="47" t="n">
        <f aca="false">'Fault &amp; Downtime Entry'!C651</f>
        <v>0</v>
      </c>
      <c r="D650" s="47" t="n">
        <f aca="false">'Fault &amp; Downtime Entry'!D651</f>
        <v>0</v>
      </c>
      <c r="E650" s="47" t="n">
        <f aca="false">'Fault &amp; Downtime Entry'!E651</f>
        <v>0</v>
      </c>
      <c r="F650" s="47" t="str">
        <f aca="false">'Fault &amp; Downtime Entry'!F651</f>
        <v/>
      </c>
      <c r="G650" s="47" t="n">
        <f aca="false">'Fault &amp; Downtime Entry'!G651</f>
        <v>0</v>
      </c>
      <c r="H650" s="47" t="str">
        <f aca="false">'Fault &amp; Downtime Entry'!H651</f>
        <v/>
      </c>
      <c r="I650" s="47" t="str">
        <f aca="false">'Fault &amp; Downtime Entry'!I651</f>
        <v/>
      </c>
      <c r="J650" s="47" t="n">
        <f aca="false">'Fault &amp; Downtime Entry'!J651</f>
        <v>0</v>
      </c>
      <c r="K650" s="47" t="n">
        <f aca="false">'Fault &amp; Downtime Entry'!K651</f>
        <v>0</v>
      </c>
      <c r="L650" s="47" t="n">
        <f aca="false">'Fault &amp; Downtime Entry'!L651</f>
        <v>0</v>
      </c>
      <c r="M650" s="47" t="str">
        <f aca="false">'Fault &amp; Downtime Entry'!M651</f>
        <v/>
      </c>
      <c r="N650" s="47" t="n">
        <f aca="false">'Fault &amp; Downtime Entry'!N651</f>
        <v>0</v>
      </c>
      <c r="O650" s="47" t="n">
        <f aca="false">'Fault &amp; Downtime Entry'!O651</f>
        <v>0</v>
      </c>
      <c r="P650" s="47" t="str">
        <f aca="false">IF(OR(J650="",K650=""),"",IFERROR(J650/K650*1000,0))</f>
        <v/>
      </c>
      <c r="Q650" s="47" t="str">
        <f aca="false">IF(OR(L650="",K650=""),"",IFERROR(L650/K650*1000,0))</f>
        <v/>
      </c>
      <c r="R650" s="47" t="str">
        <f aca="false">IF(OR(M650="High",M650="Critical"),"YES","")</f>
        <v/>
      </c>
    </row>
    <row r="651" customFormat="false" ht="15" hidden="false" customHeight="true" outlineLevel="0" collapsed="false">
      <c r="A651" s="47" t="n">
        <f aca="false">'Fault &amp; Downtime Entry'!A652</f>
        <v>647</v>
      </c>
      <c r="B651" s="48" t="n">
        <f aca="false">'Fault &amp; Downtime Entry'!B652</f>
        <v>0</v>
      </c>
      <c r="C651" s="47" t="n">
        <f aca="false">'Fault &amp; Downtime Entry'!C652</f>
        <v>0</v>
      </c>
      <c r="D651" s="47" t="n">
        <f aca="false">'Fault &amp; Downtime Entry'!D652</f>
        <v>0</v>
      </c>
      <c r="E651" s="47" t="n">
        <f aca="false">'Fault &amp; Downtime Entry'!E652</f>
        <v>0</v>
      </c>
      <c r="F651" s="47" t="str">
        <f aca="false">'Fault &amp; Downtime Entry'!F652</f>
        <v/>
      </c>
      <c r="G651" s="47" t="n">
        <f aca="false">'Fault &amp; Downtime Entry'!G652</f>
        <v>0</v>
      </c>
      <c r="H651" s="47" t="str">
        <f aca="false">'Fault &amp; Downtime Entry'!H652</f>
        <v/>
      </c>
      <c r="I651" s="47" t="str">
        <f aca="false">'Fault &amp; Downtime Entry'!I652</f>
        <v/>
      </c>
      <c r="J651" s="47" t="n">
        <f aca="false">'Fault &amp; Downtime Entry'!J652</f>
        <v>0</v>
      </c>
      <c r="K651" s="47" t="n">
        <f aca="false">'Fault &amp; Downtime Entry'!K652</f>
        <v>0</v>
      </c>
      <c r="L651" s="47" t="n">
        <f aca="false">'Fault &amp; Downtime Entry'!L652</f>
        <v>0</v>
      </c>
      <c r="M651" s="47" t="str">
        <f aca="false">'Fault &amp; Downtime Entry'!M652</f>
        <v/>
      </c>
      <c r="N651" s="47" t="n">
        <f aca="false">'Fault &amp; Downtime Entry'!N652</f>
        <v>0</v>
      </c>
      <c r="O651" s="47" t="n">
        <f aca="false">'Fault &amp; Downtime Entry'!O652</f>
        <v>0</v>
      </c>
      <c r="P651" s="47" t="str">
        <f aca="false">IF(OR(J651="",K651=""),"",IFERROR(J651/K651*1000,0))</f>
        <v/>
      </c>
      <c r="Q651" s="47" t="str">
        <f aca="false">IF(OR(L651="",K651=""),"",IFERROR(L651/K651*1000,0))</f>
        <v/>
      </c>
      <c r="R651" s="47" t="str">
        <f aca="false">IF(OR(M651="High",M651="Critical"),"YES","")</f>
        <v/>
      </c>
    </row>
    <row r="652" customFormat="false" ht="15" hidden="false" customHeight="true" outlineLevel="0" collapsed="false">
      <c r="A652" s="47" t="n">
        <f aca="false">'Fault &amp; Downtime Entry'!A653</f>
        <v>648</v>
      </c>
      <c r="B652" s="48" t="n">
        <f aca="false">'Fault &amp; Downtime Entry'!B653</f>
        <v>0</v>
      </c>
      <c r="C652" s="47" t="n">
        <f aca="false">'Fault &amp; Downtime Entry'!C653</f>
        <v>0</v>
      </c>
      <c r="D652" s="47" t="n">
        <f aca="false">'Fault &amp; Downtime Entry'!D653</f>
        <v>0</v>
      </c>
      <c r="E652" s="47" t="n">
        <f aca="false">'Fault &amp; Downtime Entry'!E653</f>
        <v>0</v>
      </c>
      <c r="F652" s="47" t="str">
        <f aca="false">'Fault &amp; Downtime Entry'!F653</f>
        <v/>
      </c>
      <c r="G652" s="47" t="n">
        <f aca="false">'Fault &amp; Downtime Entry'!G653</f>
        <v>0</v>
      </c>
      <c r="H652" s="47" t="str">
        <f aca="false">'Fault &amp; Downtime Entry'!H653</f>
        <v/>
      </c>
      <c r="I652" s="47" t="str">
        <f aca="false">'Fault &amp; Downtime Entry'!I653</f>
        <v/>
      </c>
      <c r="J652" s="47" t="n">
        <f aca="false">'Fault &amp; Downtime Entry'!J653</f>
        <v>0</v>
      </c>
      <c r="K652" s="47" t="n">
        <f aca="false">'Fault &amp; Downtime Entry'!K653</f>
        <v>0</v>
      </c>
      <c r="L652" s="47" t="n">
        <f aca="false">'Fault &amp; Downtime Entry'!L653</f>
        <v>0</v>
      </c>
      <c r="M652" s="47" t="str">
        <f aca="false">'Fault &amp; Downtime Entry'!M653</f>
        <v/>
      </c>
      <c r="N652" s="47" t="n">
        <f aca="false">'Fault &amp; Downtime Entry'!N653</f>
        <v>0</v>
      </c>
      <c r="O652" s="47" t="n">
        <f aca="false">'Fault &amp; Downtime Entry'!O653</f>
        <v>0</v>
      </c>
      <c r="P652" s="47" t="str">
        <f aca="false">IF(OR(J652="",K652=""),"",IFERROR(J652/K652*1000,0))</f>
        <v/>
      </c>
      <c r="Q652" s="47" t="str">
        <f aca="false">IF(OR(L652="",K652=""),"",IFERROR(L652/K652*1000,0))</f>
        <v/>
      </c>
      <c r="R652" s="47" t="str">
        <f aca="false">IF(OR(M652="High",M652="Critical"),"YES","")</f>
        <v/>
      </c>
    </row>
    <row r="653" customFormat="false" ht="15" hidden="false" customHeight="true" outlineLevel="0" collapsed="false">
      <c r="A653" s="47" t="n">
        <f aca="false">'Fault &amp; Downtime Entry'!A654</f>
        <v>649</v>
      </c>
      <c r="B653" s="48" t="n">
        <f aca="false">'Fault &amp; Downtime Entry'!B654</f>
        <v>0</v>
      </c>
      <c r="C653" s="47" t="n">
        <f aca="false">'Fault &amp; Downtime Entry'!C654</f>
        <v>0</v>
      </c>
      <c r="D653" s="47" t="n">
        <f aca="false">'Fault &amp; Downtime Entry'!D654</f>
        <v>0</v>
      </c>
      <c r="E653" s="47" t="n">
        <f aca="false">'Fault &amp; Downtime Entry'!E654</f>
        <v>0</v>
      </c>
      <c r="F653" s="47" t="str">
        <f aca="false">'Fault &amp; Downtime Entry'!F654</f>
        <v/>
      </c>
      <c r="G653" s="47" t="n">
        <f aca="false">'Fault &amp; Downtime Entry'!G654</f>
        <v>0</v>
      </c>
      <c r="H653" s="47" t="str">
        <f aca="false">'Fault &amp; Downtime Entry'!H654</f>
        <v/>
      </c>
      <c r="I653" s="47" t="str">
        <f aca="false">'Fault &amp; Downtime Entry'!I654</f>
        <v/>
      </c>
      <c r="J653" s="47" t="n">
        <f aca="false">'Fault &amp; Downtime Entry'!J654</f>
        <v>0</v>
      </c>
      <c r="K653" s="47" t="n">
        <f aca="false">'Fault &amp; Downtime Entry'!K654</f>
        <v>0</v>
      </c>
      <c r="L653" s="47" t="n">
        <f aca="false">'Fault &amp; Downtime Entry'!L654</f>
        <v>0</v>
      </c>
      <c r="M653" s="47" t="str">
        <f aca="false">'Fault &amp; Downtime Entry'!M654</f>
        <v/>
      </c>
      <c r="N653" s="47" t="n">
        <f aca="false">'Fault &amp; Downtime Entry'!N654</f>
        <v>0</v>
      </c>
      <c r="O653" s="47" t="n">
        <f aca="false">'Fault &amp; Downtime Entry'!O654</f>
        <v>0</v>
      </c>
      <c r="P653" s="47" t="str">
        <f aca="false">IF(OR(J653="",K653=""),"",IFERROR(J653/K653*1000,0))</f>
        <v/>
      </c>
      <c r="Q653" s="47" t="str">
        <f aca="false">IF(OR(L653="",K653=""),"",IFERROR(L653/K653*1000,0))</f>
        <v/>
      </c>
      <c r="R653" s="47" t="str">
        <f aca="false">IF(OR(M653="High",M653="Critical"),"YES","")</f>
        <v/>
      </c>
    </row>
    <row r="654" customFormat="false" ht="15" hidden="false" customHeight="true" outlineLevel="0" collapsed="false">
      <c r="A654" s="47" t="n">
        <f aca="false">'Fault &amp; Downtime Entry'!A655</f>
        <v>650</v>
      </c>
      <c r="B654" s="48" t="n">
        <f aca="false">'Fault &amp; Downtime Entry'!B655</f>
        <v>0</v>
      </c>
      <c r="C654" s="47" t="n">
        <f aca="false">'Fault &amp; Downtime Entry'!C655</f>
        <v>0</v>
      </c>
      <c r="D654" s="47" t="n">
        <f aca="false">'Fault &amp; Downtime Entry'!D655</f>
        <v>0</v>
      </c>
      <c r="E654" s="47" t="n">
        <f aca="false">'Fault &amp; Downtime Entry'!E655</f>
        <v>0</v>
      </c>
      <c r="F654" s="47" t="str">
        <f aca="false">'Fault &amp; Downtime Entry'!F655</f>
        <v/>
      </c>
      <c r="G654" s="47" t="n">
        <f aca="false">'Fault &amp; Downtime Entry'!G655</f>
        <v>0</v>
      </c>
      <c r="H654" s="47" t="str">
        <f aca="false">'Fault &amp; Downtime Entry'!H655</f>
        <v/>
      </c>
      <c r="I654" s="47" t="str">
        <f aca="false">'Fault &amp; Downtime Entry'!I655</f>
        <v/>
      </c>
      <c r="J654" s="47" t="n">
        <f aca="false">'Fault &amp; Downtime Entry'!J655</f>
        <v>0</v>
      </c>
      <c r="K654" s="47" t="n">
        <f aca="false">'Fault &amp; Downtime Entry'!K655</f>
        <v>0</v>
      </c>
      <c r="L654" s="47" t="n">
        <f aca="false">'Fault &amp; Downtime Entry'!L655</f>
        <v>0</v>
      </c>
      <c r="M654" s="47" t="str">
        <f aca="false">'Fault &amp; Downtime Entry'!M655</f>
        <v/>
      </c>
      <c r="N654" s="47" t="n">
        <f aca="false">'Fault &amp; Downtime Entry'!N655</f>
        <v>0</v>
      </c>
      <c r="O654" s="47" t="n">
        <f aca="false">'Fault &amp; Downtime Entry'!O655</f>
        <v>0</v>
      </c>
      <c r="P654" s="47" t="str">
        <f aca="false">IF(OR(J654="",K654=""),"",IFERROR(J654/K654*1000,0))</f>
        <v/>
      </c>
      <c r="Q654" s="47" t="str">
        <f aca="false">IF(OR(L654="",K654=""),"",IFERROR(L654/K654*1000,0))</f>
        <v/>
      </c>
      <c r="R654" s="47" t="str">
        <f aca="false">IF(OR(M654="High",M654="Critical"),"YES","")</f>
        <v/>
      </c>
    </row>
    <row r="655" customFormat="false" ht="15" hidden="false" customHeight="true" outlineLevel="0" collapsed="false">
      <c r="A655" s="47" t="n">
        <f aca="false">'Fault &amp; Downtime Entry'!A656</f>
        <v>651</v>
      </c>
      <c r="B655" s="48" t="n">
        <f aca="false">'Fault &amp; Downtime Entry'!B656</f>
        <v>0</v>
      </c>
      <c r="C655" s="47" t="n">
        <f aca="false">'Fault &amp; Downtime Entry'!C656</f>
        <v>0</v>
      </c>
      <c r="D655" s="47" t="n">
        <f aca="false">'Fault &amp; Downtime Entry'!D656</f>
        <v>0</v>
      </c>
      <c r="E655" s="47" t="n">
        <f aca="false">'Fault &amp; Downtime Entry'!E656</f>
        <v>0</v>
      </c>
      <c r="F655" s="47" t="str">
        <f aca="false">'Fault &amp; Downtime Entry'!F656</f>
        <v/>
      </c>
      <c r="G655" s="47" t="n">
        <f aca="false">'Fault &amp; Downtime Entry'!G656</f>
        <v>0</v>
      </c>
      <c r="H655" s="47" t="str">
        <f aca="false">'Fault &amp; Downtime Entry'!H656</f>
        <v/>
      </c>
      <c r="I655" s="47" t="str">
        <f aca="false">'Fault &amp; Downtime Entry'!I656</f>
        <v/>
      </c>
      <c r="J655" s="47" t="n">
        <f aca="false">'Fault &amp; Downtime Entry'!J656</f>
        <v>0</v>
      </c>
      <c r="K655" s="47" t="n">
        <f aca="false">'Fault &amp; Downtime Entry'!K656</f>
        <v>0</v>
      </c>
      <c r="L655" s="47" t="n">
        <f aca="false">'Fault &amp; Downtime Entry'!L656</f>
        <v>0</v>
      </c>
      <c r="M655" s="47" t="str">
        <f aca="false">'Fault &amp; Downtime Entry'!M656</f>
        <v/>
      </c>
      <c r="N655" s="47" t="n">
        <f aca="false">'Fault &amp; Downtime Entry'!N656</f>
        <v>0</v>
      </c>
      <c r="O655" s="47" t="n">
        <f aca="false">'Fault &amp; Downtime Entry'!O656</f>
        <v>0</v>
      </c>
      <c r="P655" s="47" t="str">
        <f aca="false">IF(OR(J655="",K655=""),"",IFERROR(J655/K655*1000,0))</f>
        <v/>
      </c>
      <c r="Q655" s="47" t="str">
        <f aca="false">IF(OR(L655="",K655=""),"",IFERROR(L655/K655*1000,0))</f>
        <v/>
      </c>
      <c r="R655" s="47" t="str">
        <f aca="false">IF(OR(M655="High",M655="Critical"),"YES","")</f>
        <v/>
      </c>
    </row>
    <row r="656" customFormat="false" ht="15" hidden="false" customHeight="true" outlineLevel="0" collapsed="false">
      <c r="A656" s="47" t="n">
        <f aca="false">'Fault &amp; Downtime Entry'!A657</f>
        <v>652</v>
      </c>
      <c r="B656" s="48" t="n">
        <f aca="false">'Fault &amp; Downtime Entry'!B657</f>
        <v>0</v>
      </c>
      <c r="C656" s="47" t="n">
        <f aca="false">'Fault &amp; Downtime Entry'!C657</f>
        <v>0</v>
      </c>
      <c r="D656" s="47" t="n">
        <f aca="false">'Fault &amp; Downtime Entry'!D657</f>
        <v>0</v>
      </c>
      <c r="E656" s="47" t="n">
        <f aca="false">'Fault &amp; Downtime Entry'!E657</f>
        <v>0</v>
      </c>
      <c r="F656" s="47" t="str">
        <f aca="false">'Fault &amp; Downtime Entry'!F657</f>
        <v/>
      </c>
      <c r="G656" s="47" t="n">
        <f aca="false">'Fault &amp; Downtime Entry'!G657</f>
        <v>0</v>
      </c>
      <c r="H656" s="47" t="str">
        <f aca="false">'Fault &amp; Downtime Entry'!H657</f>
        <v/>
      </c>
      <c r="I656" s="47" t="str">
        <f aca="false">'Fault &amp; Downtime Entry'!I657</f>
        <v/>
      </c>
      <c r="J656" s="47" t="n">
        <f aca="false">'Fault &amp; Downtime Entry'!J657</f>
        <v>0</v>
      </c>
      <c r="K656" s="47" t="n">
        <f aca="false">'Fault &amp; Downtime Entry'!K657</f>
        <v>0</v>
      </c>
      <c r="L656" s="47" t="n">
        <f aca="false">'Fault &amp; Downtime Entry'!L657</f>
        <v>0</v>
      </c>
      <c r="M656" s="47" t="str">
        <f aca="false">'Fault &amp; Downtime Entry'!M657</f>
        <v/>
      </c>
      <c r="N656" s="47" t="n">
        <f aca="false">'Fault &amp; Downtime Entry'!N657</f>
        <v>0</v>
      </c>
      <c r="O656" s="47" t="n">
        <f aca="false">'Fault &amp; Downtime Entry'!O657</f>
        <v>0</v>
      </c>
      <c r="P656" s="47" t="str">
        <f aca="false">IF(OR(J656="",K656=""),"",IFERROR(J656/K656*1000,0))</f>
        <v/>
      </c>
      <c r="Q656" s="47" t="str">
        <f aca="false">IF(OR(L656="",K656=""),"",IFERROR(L656/K656*1000,0))</f>
        <v/>
      </c>
      <c r="R656" s="47" t="str">
        <f aca="false">IF(OR(M656="High",M656="Critical"),"YES","")</f>
        <v/>
      </c>
    </row>
    <row r="657" customFormat="false" ht="15" hidden="false" customHeight="true" outlineLevel="0" collapsed="false">
      <c r="A657" s="47" t="n">
        <f aca="false">'Fault &amp; Downtime Entry'!A658</f>
        <v>653</v>
      </c>
      <c r="B657" s="48" t="n">
        <f aca="false">'Fault &amp; Downtime Entry'!B658</f>
        <v>0</v>
      </c>
      <c r="C657" s="47" t="n">
        <f aca="false">'Fault &amp; Downtime Entry'!C658</f>
        <v>0</v>
      </c>
      <c r="D657" s="47" t="n">
        <f aca="false">'Fault &amp; Downtime Entry'!D658</f>
        <v>0</v>
      </c>
      <c r="E657" s="47" t="n">
        <f aca="false">'Fault &amp; Downtime Entry'!E658</f>
        <v>0</v>
      </c>
      <c r="F657" s="47" t="str">
        <f aca="false">'Fault &amp; Downtime Entry'!F658</f>
        <v/>
      </c>
      <c r="G657" s="47" t="n">
        <f aca="false">'Fault &amp; Downtime Entry'!G658</f>
        <v>0</v>
      </c>
      <c r="H657" s="47" t="str">
        <f aca="false">'Fault &amp; Downtime Entry'!H658</f>
        <v/>
      </c>
      <c r="I657" s="47" t="str">
        <f aca="false">'Fault &amp; Downtime Entry'!I658</f>
        <v/>
      </c>
      <c r="J657" s="47" t="n">
        <f aca="false">'Fault &amp; Downtime Entry'!J658</f>
        <v>0</v>
      </c>
      <c r="K657" s="47" t="n">
        <f aca="false">'Fault &amp; Downtime Entry'!K658</f>
        <v>0</v>
      </c>
      <c r="L657" s="47" t="n">
        <f aca="false">'Fault &amp; Downtime Entry'!L658</f>
        <v>0</v>
      </c>
      <c r="M657" s="47" t="str">
        <f aca="false">'Fault &amp; Downtime Entry'!M658</f>
        <v/>
      </c>
      <c r="N657" s="47" t="n">
        <f aca="false">'Fault &amp; Downtime Entry'!N658</f>
        <v>0</v>
      </c>
      <c r="O657" s="47" t="n">
        <f aca="false">'Fault &amp; Downtime Entry'!O658</f>
        <v>0</v>
      </c>
      <c r="P657" s="47" t="str">
        <f aca="false">IF(OR(J657="",K657=""),"",IFERROR(J657/K657*1000,0))</f>
        <v/>
      </c>
      <c r="Q657" s="47" t="str">
        <f aca="false">IF(OR(L657="",K657=""),"",IFERROR(L657/K657*1000,0))</f>
        <v/>
      </c>
      <c r="R657" s="47" t="str">
        <f aca="false">IF(OR(M657="High",M657="Critical"),"YES","")</f>
        <v/>
      </c>
    </row>
    <row r="658" customFormat="false" ht="15" hidden="false" customHeight="true" outlineLevel="0" collapsed="false">
      <c r="A658" s="47" t="n">
        <f aca="false">'Fault &amp; Downtime Entry'!A659</f>
        <v>654</v>
      </c>
      <c r="B658" s="48" t="n">
        <f aca="false">'Fault &amp; Downtime Entry'!B659</f>
        <v>0</v>
      </c>
      <c r="C658" s="47" t="n">
        <f aca="false">'Fault &amp; Downtime Entry'!C659</f>
        <v>0</v>
      </c>
      <c r="D658" s="47" t="n">
        <f aca="false">'Fault &amp; Downtime Entry'!D659</f>
        <v>0</v>
      </c>
      <c r="E658" s="47" t="n">
        <f aca="false">'Fault &amp; Downtime Entry'!E659</f>
        <v>0</v>
      </c>
      <c r="F658" s="47" t="str">
        <f aca="false">'Fault &amp; Downtime Entry'!F659</f>
        <v/>
      </c>
      <c r="G658" s="47" t="n">
        <f aca="false">'Fault &amp; Downtime Entry'!G659</f>
        <v>0</v>
      </c>
      <c r="H658" s="47" t="str">
        <f aca="false">'Fault &amp; Downtime Entry'!H659</f>
        <v/>
      </c>
      <c r="I658" s="47" t="str">
        <f aca="false">'Fault &amp; Downtime Entry'!I659</f>
        <v/>
      </c>
      <c r="J658" s="47" t="n">
        <f aca="false">'Fault &amp; Downtime Entry'!J659</f>
        <v>0</v>
      </c>
      <c r="K658" s="47" t="n">
        <f aca="false">'Fault &amp; Downtime Entry'!K659</f>
        <v>0</v>
      </c>
      <c r="L658" s="47" t="n">
        <f aca="false">'Fault &amp; Downtime Entry'!L659</f>
        <v>0</v>
      </c>
      <c r="M658" s="47" t="str">
        <f aca="false">'Fault &amp; Downtime Entry'!M659</f>
        <v/>
      </c>
      <c r="N658" s="47" t="n">
        <f aca="false">'Fault &amp; Downtime Entry'!N659</f>
        <v>0</v>
      </c>
      <c r="O658" s="47" t="n">
        <f aca="false">'Fault &amp; Downtime Entry'!O659</f>
        <v>0</v>
      </c>
      <c r="P658" s="47" t="str">
        <f aca="false">IF(OR(J658="",K658=""),"",IFERROR(J658/K658*1000,0))</f>
        <v/>
      </c>
      <c r="Q658" s="47" t="str">
        <f aca="false">IF(OR(L658="",K658=""),"",IFERROR(L658/K658*1000,0))</f>
        <v/>
      </c>
      <c r="R658" s="47" t="str">
        <f aca="false">IF(OR(M658="High",M658="Critical"),"YES","")</f>
        <v/>
      </c>
    </row>
    <row r="659" customFormat="false" ht="15" hidden="false" customHeight="true" outlineLevel="0" collapsed="false">
      <c r="A659" s="47" t="n">
        <f aca="false">'Fault &amp; Downtime Entry'!A660</f>
        <v>655</v>
      </c>
      <c r="B659" s="48" t="n">
        <f aca="false">'Fault &amp; Downtime Entry'!B660</f>
        <v>0</v>
      </c>
      <c r="C659" s="47" t="n">
        <f aca="false">'Fault &amp; Downtime Entry'!C660</f>
        <v>0</v>
      </c>
      <c r="D659" s="47" t="n">
        <f aca="false">'Fault &amp; Downtime Entry'!D660</f>
        <v>0</v>
      </c>
      <c r="E659" s="47" t="n">
        <f aca="false">'Fault &amp; Downtime Entry'!E660</f>
        <v>0</v>
      </c>
      <c r="F659" s="47" t="str">
        <f aca="false">'Fault &amp; Downtime Entry'!F660</f>
        <v/>
      </c>
      <c r="G659" s="47" t="n">
        <f aca="false">'Fault &amp; Downtime Entry'!G660</f>
        <v>0</v>
      </c>
      <c r="H659" s="47" t="str">
        <f aca="false">'Fault &amp; Downtime Entry'!H660</f>
        <v/>
      </c>
      <c r="I659" s="47" t="str">
        <f aca="false">'Fault &amp; Downtime Entry'!I660</f>
        <v/>
      </c>
      <c r="J659" s="47" t="n">
        <f aca="false">'Fault &amp; Downtime Entry'!J660</f>
        <v>0</v>
      </c>
      <c r="K659" s="47" t="n">
        <f aca="false">'Fault &amp; Downtime Entry'!K660</f>
        <v>0</v>
      </c>
      <c r="L659" s="47" t="n">
        <f aca="false">'Fault &amp; Downtime Entry'!L660</f>
        <v>0</v>
      </c>
      <c r="M659" s="47" t="str">
        <f aca="false">'Fault &amp; Downtime Entry'!M660</f>
        <v/>
      </c>
      <c r="N659" s="47" t="n">
        <f aca="false">'Fault &amp; Downtime Entry'!N660</f>
        <v>0</v>
      </c>
      <c r="O659" s="47" t="n">
        <f aca="false">'Fault &amp; Downtime Entry'!O660</f>
        <v>0</v>
      </c>
      <c r="P659" s="47" t="str">
        <f aca="false">IF(OR(J659="",K659=""),"",IFERROR(J659/K659*1000,0))</f>
        <v/>
      </c>
      <c r="Q659" s="47" t="str">
        <f aca="false">IF(OR(L659="",K659=""),"",IFERROR(L659/K659*1000,0))</f>
        <v/>
      </c>
      <c r="R659" s="47" t="str">
        <f aca="false">IF(OR(M659="High",M659="Critical"),"YES","")</f>
        <v/>
      </c>
    </row>
    <row r="660" customFormat="false" ht="15" hidden="false" customHeight="true" outlineLevel="0" collapsed="false">
      <c r="A660" s="47" t="n">
        <f aca="false">'Fault &amp; Downtime Entry'!A661</f>
        <v>656</v>
      </c>
      <c r="B660" s="48" t="n">
        <f aca="false">'Fault &amp; Downtime Entry'!B661</f>
        <v>0</v>
      </c>
      <c r="C660" s="47" t="n">
        <f aca="false">'Fault &amp; Downtime Entry'!C661</f>
        <v>0</v>
      </c>
      <c r="D660" s="47" t="n">
        <f aca="false">'Fault &amp; Downtime Entry'!D661</f>
        <v>0</v>
      </c>
      <c r="E660" s="47" t="n">
        <f aca="false">'Fault &amp; Downtime Entry'!E661</f>
        <v>0</v>
      </c>
      <c r="F660" s="47" t="str">
        <f aca="false">'Fault &amp; Downtime Entry'!F661</f>
        <v/>
      </c>
      <c r="G660" s="47" t="n">
        <f aca="false">'Fault &amp; Downtime Entry'!G661</f>
        <v>0</v>
      </c>
      <c r="H660" s="47" t="str">
        <f aca="false">'Fault &amp; Downtime Entry'!H661</f>
        <v/>
      </c>
      <c r="I660" s="47" t="str">
        <f aca="false">'Fault &amp; Downtime Entry'!I661</f>
        <v/>
      </c>
      <c r="J660" s="47" t="n">
        <f aca="false">'Fault &amp; Downtime Entry'!J661</f>
        <v>0</v>
      </c>
      <c r="K660" s="47" t="n">
        <f aca="false">'Fault &amp; Downtime Entry'!K661</f>
        <v>0</v>
      </c>
      <c r="L660" s="47" t="n">
        <f aca="false">'Fault &amp; Downtime Entry'!L661</f>
        <v>0</v>
      </c>
      <c r="M660" s="47" t="str">
        <f aca="false">'Fault &amp; Downtime Entry'!M661</f>
        <v/>
      </c>
      <c r="N660" s="47" t="n">
        <f aca="false">'Fault &amp; Downtime Entry'!N661</f>
        <v>0</v>
      </c>
      <c r="O660" s="47" t="n">
        <f aca="false">'Fault &amp; Downtime Entry'!O661</f>
        <v>0</v>
      </c>
      <c r="P660" s="47" t="str">
        <f aca="false">IF(OR(J660="",K660=""),"",IFERROR(J660/K660*1000,0))</f>
        <v/>
      </c>
      <c r="Q660" s="47" t="str">
        <f aca="false">IF(OR(L660="",K660=""),"",IFERROR(L660/K660*1000,0))</f>
        <v/>
      </c>
      <c r="R660" s="47" t="str">
        <f aca="false">IF(OR(M660="High",M660="Critical"),"YES","")</f>
        <v/>
      </c>
    </row>
    <row r="661" customFormat="false" ht="15" hidden="false" customHeight="true" outlineLevel="0" collapsed="false">
      <c r="A661" s="47" t="n">
        <f aca="false">'Fault &amp; Downtime Entry'!A662</f>
        <v>657</v>
      </c>
      <c r="B661" s="48" t="n">
        <f aca="false">'Fault &amp; Downtime Entry'!B662</f>
        <v>0</v>
      </c>
      <c r="C661" s="47" t="n">
        <f aca="false">'Fault &amp; Downtime Entry'!C662</f>
        <v>0</v>
      </c>
      <c r="D661" s="47" t="n">
        <f aca="false">'Fault &amp; Downtime Entry'!D662</f>
        <v>0</v>
      </c>
      <c r="E661" s="47" t="n">
        <f aca="false">'Fault &amp; Downtime Entry'!E662</f>
        <v>0</v>
      </c>
      <c r="F661" s="47" t="str">
        <f aca="false">'Fault &amp; Downtime Entry'!F662</f>
        <v/>
      </c>
      <c r="G661" s="47" t="n">
        <f aca="false">'Fault &amp; Downtime Entry'!G662</f>
        <v>0</v>
      </c>
      <c r="H661" s="47" t="str">
        <f aca="false">'Fault &amp; Downtime Entry'!H662</f>
        <v/>
      </c>
      <c r="I661" s="47" t="str">
        <f aca="false">'Fault &amp; Downtime Entry'!I662</f>
        <v/>
      </c>
      <c r="J661" s="47" t="n">
        <f aca="false">'Fault &amp; Downtime Entry'!J662</f>
        <v>0</v>
      </c>
      <c r="K661" s="47" t="n">
        <f aca="false">'Fault &amp; Downtime Entry'!K662</f>
        <v>0</v>
      </c>
      <c r="L661" s="47" t="n">
        <f aca="false">'Fault &amp; Downtime Entry'!L662</f>
        <v>0</v>
      </c>
      <c r="M661" s="47" t="str">
        <f aca="false">'Fault &amp; Downtime Entry'!M662</f>
        <v/>
      </c>
      <c r="N661" s="47" t="n">
        <f aca="false">'Fault &amp; Downtime Entry'!N662</f>
        <v>0</v>
      </c>
      <c r="O661" s="47" t="n">
        <f aca="false">'Fault &amp; Downtime Entry'!O662</f>
        <v>0</v>
      </c>
      <c r="P661" s="47" t="str">
        <f aca="false">IF(OR(J661="",K661=""),"",IFERROR(J661/K661*1000,0))</f>
        <v/>
      </c>
      <c r="Q661" s="47" t="str">
        <f aca="false">IF(OR(L661="",K661=""),"",IFERROR(L661/K661*1000,0))</f>
        <v/>
      </c>
      <c r="R661" s="47" t="str">
        <f aca="false">IF(OR(M661="High",M661="Critical"),"YES","")</f>
        <v/>
      </c>
    </row>
    <row r="662" customFormat="false" ht="15" hidden="false" customHeight="true" outlineLevel="0" collapsed="false">
      <c r="A662" s="47" t="n">
        <f aca="false">'Fault &amp; Downtime Entry'!A663</f>
        <v>658</v>
      </c>
      <c r="B662" s="48" t="n">
        <f aca="false">'Fault &amp; Downtime Entry'!B663</f>
        <v>0</v>
      </c>
      <c r="C662" s="47" t="n">
        <f aca="false">'Fault &amp; Downtime Entry'!C663</f>
        <v>0</v>
      </c>
      <c r="D662" s="47" t="n">
        <f aca="false">'Fault &amp; Downtime Entry'!D663</f>
        <v>0</v>
      </c>
      <c r="E662" s="47" t="n">
        <f aca="false">'Fault &amp; Downtime Entry'!E663</f>
        <v>0</v>
      </c>
      <c r="F662" s="47" t="str">
        <f aca="false">'Fault &amp; Downtime Entry'!F663</f>
        <v/>
      </c>
      <c r="G662" s="47" t="n">
        <f aca="false">'Fault &amp; Downtime Entry'!G663</f>
        <v>0</v>
      </c>
      <c r="H662" s="47" t="str">
        <f aca="false">'Fault &amp; Downtime Entry'!H663</f>
        <v/>
      </c>
      <c r="I662" s="47" t="str">
        <f aca="false">'Fault &amp; Downtime Entry'!I663</f>
        <v/>
      </c>
      <c r="J662" s="47" t="n">
        <f aca="false">'Fault &amp; Downtime Entry'!J663</f>
        <v>0</v>
      </c>
      <c r="K662" s="47" t="n">
        <f aca="false">'Fault &amp; Downtime Entry'!K663</f>
        <v>0</v>
      </c>
      <c r="L662" s="47" t="n">
        <f aca="false">'Fault &amp; Downtime Entry'!L663</f>
        <v>0</v>
      </c>
      <c r="M662" s="47" t="str">
        <f aca="false">'Fault &amp; Downtime Entry'!M663</f>
        <v/>
      </c>
      <c r="N662" s="47" t="n">
        <f aca="false">'Fault &amp; Downtime Entry'!N663</f>
        <v>0</v>
      </c>
      <c r="O662" s="47" t="n">
        <f aca="false">'Fault &amp; Downtime Entry'!O663</f>
        <v>0</v>
      </c>
      <c r="P662" s="47" t="str">
        <f aca="false">IF(OR(J662="",K662=""),"",IFERROR(J662/K662*1000,0))</f>
        <v/>
      </c>
      <c r="Q662" s="47" t="str">
        <f aca="false">IF(OR(L662="",K662=""),"",IFERROR(L662/K662*1000,0))</f>
        <v/>
      </c>
      <c r="R662" s="47" t="str">
        <f aca="false">IF(OR(M662="High",M662="Critical"),"YES","")</f>
        <v/>
      </c>
    </row>
    <row r="663" customFormat="false" ht="15" hidden="false" customHeight="true" outlineLevel="0" collapsed="false">
      <c r="A663" s="47" t="n">
        <f aca="false">'Fault &amp; Downtime Entry'!A664</f>
        <v>659</v>
      </c>
      <c r="B663" s="48" t="n">
        <f aca="false">'Fault &amp; Downtime Entry'!B664</f>
        <v>0</v>
      </c>
      <c r="C663" s="47" t="n">
        <f aca="false">'Fault &amp; Downtime Entry'!C664</f>
        <v>0</v>
      </c>
      <c r="D663" s="47" t="n">
        <f aca="false">'Fault &amp; Downtime Entry'!D664</f>
        <v>0</v>
      </c>
      <c r="E663" s="47" t="n">
        <f aca="false">'Fault &amp; Downtime Entry'!E664</f>
        <v>0</v>
      </c>
      <c r="F663" s="47" t="str">
        <f aca="false">'Fault &amp; Downtime Entry'!F664</f>
        <v/>
      </c>
      <c r="G663" s="47" t="n">
        <f aca="false">'Fault &amp; Downtime Entry'!G664</f>
        <v>0</v>
      </c>
      <c r="H663" s="47" t="str">
        <f aca="false">'Fault &amp; Downtime Entry'!H664</f>
        <v/>
      </c>
      <c r="I663" s="47" t="str">
        <f aca="false">'Fault &amp; Downtime Entry'!I664</f>
        <v/>
      </c>
      <c r="J663" s="47" t="n">
        <f aca="false">'Fault &amp; Downtime Entry'!J664</f>
        <v>0</v>
      </c>
      <c r="K663" s="47" t="n">
        <f aca="false">'Fault &amp; Downtime Entry'!K664</f>
        <v>0</v>
      </c>
      <c r="L663" s="47" t="n">
        <f aca="false">'Fault &amp; Downtime Entry'!L664</f>
        <v>0</v>
      </c>
      <c r="M663" s="47" t="str">
        <f aca="false">'Fault &amp; Downtime Entry'!M664</f>
        <v/>
      </c>
      <c r="N663" s="47" t="n">
        <f aca="false">'Fault &amp; Downtime Entry'!N664</f>
        <v>0</v>
      </c>
      <c r="O663" s="47" t="n">
        <f aca="false">'Fault &amp; Downtime Entry'!O664</f>
        <v>0</v>
      </c>
      <c r="P663" s="47" t="str">
        <f aca="false">IF(OR(J663="",K663=""),"",IFERROR(J663/K663*1000,0))</f>
        <v/>
      </c>
      <c r="Q663" s="47" t="str">
        <f aca="false">IF(OR(L663="",K663=""),"",IFERROR(L663/K663*1000,0))</f>
        <v/>
      </c>
      <c r="R663" s="47" t="str">
        <f aca="false">IF(OR(M663="High",M663="Critical"),"YES","")</f>
        <v/>
      </c>
    </row>
    <row r="664" customFormat="false" ht="15" hidden="false" customHeight="true" outlineLevel="0" collapsed="false">
      <c r="A664" s="47" t="n">
        <f aca="false">'Fault &amp; Downtime Entry'!A665</f>
        <v>660</v>
      </c>
      <c r="B664" s="48" t="n">
        <f aca="false">'Fault &amp; Downtime Entry'!B665</f>
        <v>0</v>
      </c>
      <c r="C664" s="47" t="n">
        <f aca="false">'Fault &amp; Downtime Entry'!C665</f>
        <v>0</v>
      </c>
      <c r="D664" s="47" t="n">
        <f aca="false">'Fault &amp; Downtime Entry'!D665</f>
        <v>0</v>
      </c>
      <c r="E664" s="47" t="n">
        <f aca="false">'Fault &amp; Downtime Entry'!E665</f>
        <v>0</v>
      </c>
      <c r="F664" s="47" t="str">
        <f aca="false">'Fault &amp; Downtime Entry'!F665</f>
        <v/>
      </c>
      <c r="G664" s="47" t="n">
        <f aca="false">'Fault &amp; Downtime Entry'!G665</f>
        <v>0</v>
      </c>
      <c r="H664" s="47" t="str">
        <f aca="false">'Fault &amp; Downtime Entry'!H665</f>
        <v/>
      </c>
      <c r="I664" s="47" t="str">
        <f aca="false">'Fault &amp; Downtime Entry'!I665</f>
        <v/>
      </c>
      <c r="J664" s="47" t="n">
        <f aca="false">'Fault &amp; Downtime Entry'!J665</f>
        <v>0</v>
      </c>
      <c r="K664" s="47" t="n">
        <f aca="false">'Fault &amp; Downtime Entry'!K665</f>
        <v>0</v>
      </c>
      <c r="L664" s="47" t="n">
        <f aca="false">'Fault &amp; Downtime Entry'!L665</f>
        <v>0</v>
      </c>
      <c r="M664" s="47" t="str">
        <f aca="false">'Fault &amp; Downtime Entry'!M665</f>
        <v/>
      </c>
      <c r="N664" s="47" t="n">
        <f aca="false">'Fault &amp; Downtime Entry'!N665</f>
        <v>0</v>
      </c>
      <c r="O664" s="47" t="n">
        <f aca="false">'Fault &amp; Downtime Entry'!O665</f>
        <v>0</v>
      </c>
      <c r="P664" s="47" t="str">
        <f aca="false">IF(OR(J664="",K664=""),"",IFERROR(J664/K664*1000,0))</f>
        <v/>
      </c>
      <c r="Q664" s="47" t="str">
        <f aca="false">IF(OR(L664="",K664=""),"",IFERROR(L664/K664*1000,0))</f>
        <v/>
      </c>
      <c r="R664" s="47" t="str">
        <f aca="false">IF(OR(M664="High",M664="Critical"),"YES","")</f>
        <v/>
      </c>
    </row>
    <row r="665" customFormat="false" ht="15" hidden="false" customHeight="true" outlineLevel="0" collapsed="false">
      <c r="A665" s="47" t="n">
        <f aca="false">'Fault &amp; Downtime Entry'!A666</f>
        <v>661</v>
      </c>
      <c r="B665" s="48" t="n">
        <f aca="false">'Fault &amp; Downtime Entry'!B666</f>
        <v>0</v>
      </c>
      <c r="C665" s="47" t="n">
        <f aca="false">'Fault &amp; Downtime Entry'!C666</f>
        <v>0</v>
      </c>
      <c r="D665" s="47" t="n">
        <f aca="false">'Fault &amp; Downtime Entry'!D666</f>
        <v>0</v>
      </c>
      <c r="E665" s="47" t="n">
        <f aca="false">'Fault &amp; Downtime Entry'!E666</f>
        <v>0</v>
      </c>
      <c r="F665" s="47" t="str">
        <f aca="false">'Fault &amp; Downtime Entry'!F666</f>
        <v/>
      </c>
      <c r="G665" s="47" t="n">
        <f aca="false">'Fault &amp; Downtime Entry'!G666</f>
        <v>0</v>
      </c>
      <c r="H665" s="47" t="str">
        <f aca="false">'Fault &amp; Downtime Entry'!H666</f>
        <v/>
      </c>
      <c r="I665" s="47" t="str">
        <f aca="false">'Fault &amp; Downtime Entry'!I666</f>
        <v/>
      </c>
      <c r="J665" s="47" t="n">
        <f aca="false">'Fault &amp; Downtime Entry'!J666</f>
        <v>0</v>
      </c>
      <c r="K665" s="47" t="n">
        <f aca="false">'Fault &amp; Downtime Entry'!K666</f>
        <v>0</v>
      </c>
      <c r="L665" s="47" t="n">
        <f aca="false">'Fault &amp; Downtime Entry'!L666</f>
        <v>0</v>
      </c>
      <c r="M665" s="47" t="str">
        <f aca="false">'Fault &amp; Downtime Entry'!M666</f>
        <v/>
      </c>
      <c r="N665" s="47" t="n">
        <f aca="false">'Fault &amp; Downtime Entry'!N666</f>
        <v>0</v>
      </c>
      <c r="O665" s="47" t="n">
        <f aca="false">'Fault &amp; Downtime Entry'!O666</f>
        <v>0</v>
      </c>
      <c r="P665" s="47" t="str">
        <f aca="false">IF(OR(J665="",K665=""),"",IFERROR(J665/K665*1000,0))</f>
        <v/>
      </c>
      <c r="Q665" s="47" t="str">
        <f aca="false">IF(OR(L665="",K665=""),"",IFERROR(L665/K665*1000,0))</f>
        <v/>
      </c>
      <c r="R665" s="47" t="str">
        <f aca="false">IF(OR(M665="High",M665="Critical"),"YES","")</f>
        <v/>
      </c>
    </row>
    <row r="666" customFormat="false" ht="15" hidden="false" customHeight="true" outlineLevel="0" collapsed="false">
      <c r="A666" s="47" t="n">
        <f aca="false">'Fault &amp; Downtime Entry'!A667</f>
        <v>662</v>
      </c>
      <c r="B666" s="48" t="n">
        <f aca="false">'Fault &amp; Downtime Entry'!B667</f>
        <v>0</v>
      </c>
      <c r="C666" s="47" t="n">
        <f aca="false">'Fault &amp; Downtime Entry'!C667</f>
        <v>0</v>
      </c>
      <c r="D666" s="47" t="n">
        <f aca="false">'Fault &amp; Downtime Entry'!D667</f>
        <v>0</v>
      </c>
      <c r="E666" s="47" t="n">
        <f aca="false">'Fault &amp; Downtime Entry'!E667</f>
        <v>0</v>
      </c>
      <c r="F666" s="47" t="str">
        <f aca="false">'Fault &amp; Downtime Entry'!F667</f>
        <v/>
      </c>
      <c r="G666" s="47" t="n">
        <f aca="false">'Fault &amp; Downtime Entry'!G667</f>
        <v>0</v>
      </c>
      <c r="H666" s="47" t="str">
        <f aca="false">'Fault &amp; Downtime Entry'!H667</f>
        <v/>
      </c>
      <c r="I666" s="47" t="str">
        <f aca="false">'Fault &amp; Downtime Entry'!I667</f>
        <v/>
      </c>
      <c r="J666" s="47" t="n">
        <f aca="false">'Fault &amp; Downtime Entry'!J667</f>
        <v>0</v>
      </c>
      <c r="K666" s="47" t="n">
        <f aca="false">'Fault &amp; Downtime Entry'!K667</f>
        <v>0</v>
      </c>
      <c r="L666" s="47" t="n">
        <f aca="false">'Fault &amp; Downtime Entry'!L667</f>
        <v>0</v>
      </c>
      <c r="M666" s="47" t="str">
        <f aca="false">'Fault &amp; Downtime Entry'!M667</f>
        <v/>
      </c>
      <c r="N666" s="47" t="n">
        <f aca="false">'Fault &amp; Downtime Entry'!N667</f>
        <v>0</v>
      </c>
      <c r="O666" s="47" t="n">
        <f aca="false">'Fault &amp; Downtime Entry'!O667</f>
        <v>0</v>
      </c>
      <c r="P666" s="47" t="str">
        <f aca="false">IF(OR(J666="",K666=""),"",IFERROR(J666/K666*1000,0))</f>
        <v/>
      </c>
      <c r="Q666" s="47" t="str">
        <f aca="false">IF(OR(L666="",K666=""),"",IFERROR(L666/K666*1000,0))</f>
        <v/>
      </c>
      <c r="R666" s="47" t="str">
        <f aca="false">IF(OR(M666="High",M666="Critical"),"YES","")</f>
        <v/>
      </c>
    </row>
    <row r="667" customFormat="false" ht="15" hidden="false" customHeight="true" outlineLevel="0" collapsed="false">
      <c r="A667" s="47" t="n">
        <f aca="false">'Fault &amp; Downtime Entry'!A668</f>
        <v>663</v>
      </c>
      <c r="B667" s="48" t="n">
        <f aca="false">'Fault &amp; Downtime Entry'!B668</f>
        <v>0</v>
      </c>
      <c r="C667" s="47" t="n">
        <f aca="false">'Fault &amp; Downtime Entry'!C668</f>
        <v>0</v>
      </c>
      <c r="D667" s="47" t="n">
        <f aca="false">'Fault &amp; Downtime Entry'!D668</f>
        <v>0</v>
      </c>
      <c r="E667" s="47" t="n">
        <f aca="false">'Fault &amp; Downtime Entry'!E668</f>
        <v>0</v>
      </c>
      <c r="F667" s="47" t="str">
        <f aca="false">'Fault &amp; Downtime Entry'!F668</f>
        <v/>
      </c>
      <c r="G667" s="47" t="n">
        <f aca="false">'Fault &amp; Downtime Entry'!G668</f>
        <v>0</v>
      </c>
      <c r="H667" s="47" t="str">
        <f aca="false">'Fault &amp; Downtime Entry'!H668</f>
        <v/>
      </c>
      <c r="I667" s="47" t="str">
        <f aca="false">'Fault &amp; Downtime Entry'!I668</f>
        <v/>
      </c>
      <c r="J667" s="47" t="n">
        <f aca="false">'Fault &amp; Downtime Entry'!J668</f>
        <v>0</v>
      </c>
      <c r="K667" s="47" t="n">
        <f aca="false">'Fault &amp; Downtime Entry'!K668</f>
        <v>0</v>
      </c>
      <c r="L667" s="47" t="n">
        <f aca="false">'Fault &amp; Downtime Entry'!L668</f>
        <v>0</v>
      </c>
      <c r="M667" s="47" t="str">
        <f aca="false">'Fault &amp; Downtime Entry'!M668</f>
        <v/>
      </c>
      <c r="N667" s="47" t="n">
        <f aca="false">'Fault &amp; Downtime Entry'!N668</f>
        <v>0</v>
      </c>
      <c r="O667" s="47" t="n">
        <f aca="false">'Fault &amp; Downtime Entry'!O668</f>
        <v>0</v>
      </c>
      <c r="P667" s="47" t="str">
        <f aca="false">IF(OR(J667="",K667=""),"",IFERROR(J667/K667*1000,0))</f>
        <v/>
      </c>
      <c r="Q667" s="47" t="str">
        <f aca="false">IF(OR(L667="",K667=""),"",IFERROR(L667/K667*1000,0))</f>
        <v/>
      </c>
      <c r="R667" s="47" t="str">
        <f aca="false">IF(OR(M667="High",M667="Critical"),"YES","")</f>
        <v/>
      </c>
    </row>
    <row r="668" customFormat="false" ht="15" hidden="false" customHeight="true" outlineLevel="0" collapsed="false">
      <c r="A668" s="47" t="n">
        <f aca="false">'Fault &amp; Downtime Entry'!A669</f>
        <v>664</v>
      </c>
      <c r="B668" s="48" t="n">
        <f aca="false">'Fault &amp; Downtime Entry'!B669</f>
        <v>0</v>
      </c>
      <c r="C668" s="47" t="n">
        <f aca="false">'Fault &amp; Downtime Entry'!C669</f>
        <v>0</v>
      </c>
      <c r="D668" s="47" t="n">
        <f aca="false">'Fault &amp; Downtime Entry'!D669</f>
        <v>0</v>
      </c>
      <c r="E668" s="47" t="n">
        <f aca="false">'Fault &amp; Downtime Entry'!E669</f>
        <v>0</v>
      </c>
      <c r="F668" s="47" t="str">
        <f aca="false">'Fault &amp; Downtime Entry'!F669</f>
        <v/>
      </c>
      <c r="G668" s="47" t="n">
        <f aca="false">'Fault &amp; Downtime Entry'!G669</f>
        <v>0</v>
      </c>
      <c r="H668" s="47" t="str">
        <f aca="false">'Fault &amp; Downtime Entry'!H669</f>
        <v/>
      </c>
      <c r="I668" s="47" t="str">
        <f aca="false">'Fault &amp; Downtime Entry'!I669</f>
        <v/>
      </c>
      <c r="J668" s="47" t="n">
        <f aca="false">'Fault &amp; Downtime Entry'!J669</f>
        <v>0</v>
      </c>
      <c r="K668" s="47" t="n">
        <f aca="false">'Fault &amp; Downtime Entry'!K669</f>
        <v>0</v>
      </c>
      <c r="L668" s="47" t="n">
        <f aca="false">'Fault &amp; Downtime Entry'!L669</f>
        <v>0</v>
      </c>
      <c r="M668" s="47" t="str">
        <f aca="false">'Fault &amp; Downtime Entry'!M669</f>
        <v/>
      </c>
      <c r="N668" s="47" t="n">
        <f aca="false">'Fault &amp; Downtime Entry'!N669</f>
        <v>0</v>
      </c>
      <c r="O668" s="47" t="n">
        <f aca="false">'Fault &amp; Downtime Entry'!O669</f>
        <v>0</v>
      </c>
      <c r="P668" s="47" t="str">
        <f aca="false">IF(OR(J668="",K668=""),"",IFERROR(J668/K668*1000,0))</f>
        <v/>
      </c>
      <c r="Q668" s="47" t="str">
        <f aca="false">IF(OR(L668="",K668=""),"",IFERROR(L668/K668*1000,0))</f>
        <v/>
      </c>
      <c r="R668" s="47" t="str">
        <f aca="false">IF(OR(M668="High",M668="Critical"),"YES","")</f>
        <v/>
      </c>
    </row>
    <row r="669" customFormat="false" ht="15" hidden="false" customHeight="true" outlineLevel="0" collapsed="false">
      <c r="A669" s="47" t="n">
        <f aca="false">'Fault &amp; Downtime Entry'!A670</f>
        <v>665</v>
      </c>
      <c r="B669" s="48" t="n">
        <f aca="false">'Fault &amp; Downtime Entry'!B670</f>
        <v>0</v>
      </c>
      <c r="C669" s="47" t="n">
        <f aca="false">'Fault &amp; Downtime Entry'!C670</f>
        <v>0</v>
      </c>
      <c r="D669" s="47" t="n">
        <f aca="false">'Fault &amp; Downtime Entry'!D670</f>
        <v>0</v>
      </c>
      <c r="E669" s="47" t="n">
        <f aca="false">'Fault &amp; Downtime Entry'!E670</f>
        <v>0</v>
      </c>
      <c r="F669" s="47" t="str">
        <f aca="false">'Fault &amp; Downtime Entry'!F670</f>
        <v/>
      </c>
      <c r="G669" s="47" t="n">
        <f aca="false">'Fault &amp; Downtime Entry'!G670</f>
        <v>0</v>
      </c>
      <c r="H669" s="47" t="str">
        <f aca="false">'Fault &amp; Downtime Entry'!H670</f>
        <v/>
      </c>
      <c r="I669" s="47" t="str">
        <f aca="false">'Fault &amp; Downtime Entry'!I670</f>
        <v/>
      </c>
      <c r="J669" s="47" t="n">
        <f aca="false">'Fault &amp; Downtime Entry'!J670</f>
        <v>0</v>
      </c>
      <c r="K669" s="47" t="n">
        <f aca="false">'Fault &amp; Downtime Entry'!K670</f>
        <v>0</v>
      </c>
      <c r="L669" s="47" t="n">
        <f aca="false">'Fault &amp; Downtime Entry'!L670</f>
        <v>0</v>
      </c>
      <c r="M669" s="47" t="str">
        <f aca="false">'Fault &amp; Downtime Entry'!M670</f>
        <v/>
      </c>
      <c r="N669" s="47" t="n">
        <f aca="false">'Fault &amp; Downtime Entry'!N670</f>
        <v>0</v>
      </c>
      <c r="O669" s="47" t="n">
        <f aca="false">'Fault &amp; Downtime Entry'!O670</f>
        <v>0</v>
      </c>
      <c r="P669" s="47" t="str">
        <f aca="false">IF(OR(J669="",K669=""),"",IFERROR(J669/K669*1000,0))</f>
        <v/>
      </c>
      <c r="Q669" s="47" t="str">
        <f aca="false">IF(OR(L669="",K669=""),"",IFERROR(L669/K669*1000,0))</f>
        <v/>
      </c>
      <c r="R669" s="47" t="str">
        <f aca="false">IF(OR(M669="High",M669="Critical"),"YES","")</f>
        <v/>
      </c>
    </row>
    <row r="670" customFormat="false" ht="15" hidden="false" customHeight="true" outlineLevel="0" collapsed="false">
      <c r="A670" s="47" t="n">
        <f aca="false">'Fault &amp; Downtime Entry'!A671</f>
        <v>666</v>
      </c>
      <c r="B670" s="48" t="n">
        <f aca="false">'Fault &amp; Downtime Entry'!B671</f>
        <v>0</v>
      </c>
      <c r="C670" s="47" t="n">
        <f aca="false">'Fault &amp; Downtime Entry'!C671</f>
        <v>0</v>
      </c>
      <c r="D670" s="47" t="n">
        <f aca="false">'Fault &amp; Downtime Entry'!D671</f>
        <v>0</v>
      </c>
      <c r="E670" s="47" t="n">
        <f aca="false">'Fault &amp; Downtime Entry'!E671</f>
        <v>0</v>
      </c>
      <c r="F670" s="47" t="str">
        <f aca="false">'Fault &amp; Downtime Entry'!F671</f>
        <v/>
      </c>
      <c r="G670" s="47" t="n">
        <f aca="false">'Fault &amp; Downtime Entry'!G671</f>
        <v>0</v>
      </c>
      <c r="H670" s="47" t="str">
        <f aca="false">'Fault &amp; Downtime Entry'!H671</f>
        <v/>
      </c>
      <c r="I670" s="47" t="str">
        <f aca="false">'Fault &amp; Downtime Entry'!I671</f>
        <v/>
      </c>
      <c r="J670" s="47" t="n">
        <f aca="false">'Fault &amp; Downtime Entry'!J671</f>
        <v>0</v>
      </c>
      <c r="K670" s="47" t="n">
        <f aca="false">'Fault &amp; Downtime Entry'!K671</f>
        <v>0</v>
      </c>
      <c r="L670" s="47" t="n">
        <f aca="false">'Fault &amp; Downtime Entry'!L671</f>
        <v>0</v>
      </c>
      <c r="M670" s="47" t="str">
        <f aca="false">'Fault &amp; Downtime Entry'!M671</f>
        <v/>
      </c>
      <c r="N670" s="47" t="n">
        <f aca="false">'Fault &amp; Downtime Entry'!N671</f>
        <v>0</v>
      </c>
      <c r="O670" s="47" t="n">
        <f aca="false">'Fault &amp; Downtime Entry'!O671</f>
        <v>0</v>
      </c>
      <c r="P670" s="47" t="str">
        <f aca="false">IF(OR(J670="",K670=""),"",IFERROR(J670/K670*1000,0))</f>
        <v/>
      </c>
      <c r="Q670" s="47" t="str">
        <f aca="false">IF(OR(L670="",K670=""),"",IFERROR(L670/K670*1000,0))</f>
        <v/>
      </c>
      <c r="R670" s="47" t="str">
        <f aca="false">IF(OR(M670="High",M670="Critical"),"YES","")</f>
        <v/>
      </c>
    </row>
    <row r="671" customFormat="false" ht="15" hidden="false" customHeight="true" outlineLevel="0" collapsed="false">
      <c r="A671" s="47" t="n">
        <f aca="false">'Fault &amp; Downtime Entry'!A672</f>
        <v>667</v>
      </c>
      <c r="B671" s="48" t="n">
        <f aca="false">'Fault &amp; Downtime Entry'!B672</f>
        <v>0</v>
      </c>
      <c r="C671" s="47" t="n">
        <f aca="false">'Fault &amp; Downtime Entry'!C672</f>
        <v>0</v>
      </c>
      <c r="D671" s="47" t="n">
        <f aca="false">'Fault &amp; Downtime Entry'!D672</f>
        <v>0</v>
      </c>
      <c r="E671" s="47" t="n">
        <f aca="false">'Fault &amp; Downtime Entry'!E672</f>
        <v>0</v>
      </c>
      <c r="F671" s="47" t="str">
        <f aca="false">'Fault &amp; Downtime Entry'!F672</f>
        <v/>
      </c>
      <c r="G671" s="47" t="n">
        <f aca="false">'Fault &amp; Downtime Entry'!G672</f>
        <v>0</v>
      </c>
      <c r="H671" s="47" t="str">
        <f aca="false">'Fault &amp; Downtime Entry'!H672</f>
        <v/>
      </c>
      <c r="I671" s="47" t="str">
        <f aca="false">'Fault &amp; Downtime Entry'!I672</f>
        <v/>
      </c>
      <c r="J671" s="47" t="n">
        <f aca="false">'Fault &amp; Downtime Entry'!J672</f>
        <v>0</v>
      </c>
      <c r="K671" s="47" t="n">
        <f aca="false">'Fault &amp; Downtime Entry'!K672</f>
        <v>0</v>
      </c>
      <c r="L671" s="47" t="n">
        <f aca="false">'Fault &amp; Downtime Entry'!L672</f>
        <v>0</v>
      </c>
      <c r="M671" s="47" t="str">
        <f aca="false">'Fault &amp; Downtime Entry'!M672</f>
        <v/>
      </c>
      <c r="N671" s="47" t="n">
        <f aca="false">'Fault &amp; Downtime Entry'!N672</f>
        <v>0</v>
      </c>
      <c r="O671" s="47" t="n">
        <f aca="false">'Fault &amp; Downtime Entry'!O672</f>
        <v>0</v>
      </c>
      <c r="P671" s="47" t="str">
        <f aca="false">IF(OR(J671="",K671=""),"",IFERROR(J671/K671*1000,0))</f>
        <v/>
      </c>
      <c r="Q671" s="47" t="str">
        <f aca="false">IF(OR(L671="",K671=""),"",IFERROR(L671/K671*1000,0))</f>
        <v/>
      </c>
      <c r="R671" s="47" t="str">
        <f aca="false">IF(OR(M671="High",M671="Critical"),"YES","")</f>
        <v/>
      </c>
    </row>
    <row r="672" customFormat="false" ht="15" hidden="false" customHeight="true" outlineLevel="0" collapsed="false">
      <c r="A672" s="47" t="n">
        <f aca="false">'Fault &amp; Downtime Entry'!A673</f>
        <v>668</v>
      </c>
      <c r="B672" s="48" t="n">
        <f aca="false">'Fault &amp; Downtime Entry'!B673</f>
        <v>0</v>
      </c>
      <c r="C672" s="47" t="n">
        <f aca="false">'Fault &amp; Downtime Entry'!C673</f>
        <v>0</v>
      </c>
      <c r="D672" s="47" t="n">
        <f aca="false">'Fault &amp; Downtime Entry'!D673</f>
        <v>0</v>
      </c>
      <c r="E672" s="47" t="n">
        <f aca="false">'Fault &amp; Downtime Entry'!E673</f>
        <v>0</v>
      </c>
      <c r="F672" s="47" t="str">
        <f aca="false">'Fault &amp; Downtime Entry'!F673</f>
        <v/>
      </c>
      <c r="G672" s="47" t="n">
        <f aca="false">'Fault &amp; Downtime Entry'!G673</f>
        <v>0</v>
      </c>
      <c r="H672" s="47" t="str">
        <f aca="false">'Fault &amp; Downtime Entry'!H673</f>
        <v/>
      </c>
      <c r="I672" s="47" t="str">
        <f aca="false">'Fault &amp; Downtime Entry'!I673</f>
        <v/>
      </c>
      <c r="J672" s="47" t="n">
        <f aca="false">'Fault &amp; Downtime Entry'!J673</f>
        <v>0</v>
      </c>
      <c r="K672" s="47" t="n">
        <f aca="false">'Fault &amp; Downtime Entry'!K673</f>
        <v>0</v>
      </c>
      <c r="L672" s="47" t="n">
        <f aca="false">'Fault &amp; Downtime Entry'!L673</f>
        <v>0</v>
      </c>
      <c r="M672" s="47" t="str">
        <f aca="false">'Fault &amp; Downtime Entry'!M673</f>
        <v/>
      </c>
      <c r="N672" s="47" t="n">
        <f aca="false">'Fault &amp; Downtime Entry'!N673</f>
        <v>0</v>
      </c>
      <c r="O672" s="47" t="n">
        <f aca="false">'Fault &amp; Downtime Entry'!O673</f>
        <v>0</v>
      </c>
      <c r="P672" s="47" t="str">
        <f aca="false">IF(OR(J672="",K672=""),"",IFERROR(J672/K672*1000,0))</f>
        <v/>
      </c>
      <c r="Q672" s="47" t="str">
        <f aca="false">IF(OR(L672="",K672=""),"",IFERROR(L672/K672*1000,0))</f>
        <v/>
      </c>
      <c r="R672" s="47" t="str">
        <f aca="false">IF(OR(M672="High",M672="Critical"),"YES","")</f>
        <v/>
      </c>
    </row>
    <row r="673" customFormat="false" ht="15" hidden="false" customHeight="true" outlineLevel="0" collapsed="false">
      <c r="A673" s="47" t="n">
        <f aca="false">'Fault &amp; Downtime Entry'!A674</f>
        <v>669</v>
      </c>
      <c r="B673" s="48" t="n">
        <f aca="false">'Fault &amp; Downtime Entry'!B674</f>
        <v>0</v>
      </c>
      <c r="C673" s="47" t="n">
        <f aca="false">'Fault &amp; Downtime Entry'!C674</f>
        <v>0</v>
      </c>
      <c r="D673" s="47" t="n">
        <f aca="false">'Fault &amp; Downtime Entry'!D674</f>
        <v>0</v>
      </c>
      <c r="E673" s="47" t="n">
        <f aca="false">'Fault &amp; Downtime Entry'!E674</f>
        <v>0</v>
      </c>
      <c r="F673" s="47" t="str">
        <f aca="false">'Fault &amp; Downtime Entry'!F674</f>
        <v/>
      </c>
      <c r="G673" s="47" t="n">
        <f aca="false">'Fault &amp; Downtime Entry'!G674</f>
        <v>0</v>
      </c>
      <c r="H673" s="47" t="str">
        <f aca="false">'Fault &amp; Downtime Entry'!H674</f>
        <v/>
      </c>
      <c r="I673" s="47" t="str">
        <f aca="false">'Fault &amp; Downtime Entry'!I674</f>
        <v/>
      </c>
      <c r="J673" s="47" t="n">
        <f aca="false">'Fault &amp; Downtime Entry'!J674</f>
        <v>0</v>
      </c>
      <c r="K673" s="47" t="n">
        <f aca="false">'Fault &amp; Downtime Entry'!K674</f>
        <v>0</v>
      </c>
      <c r="L673" s="47" t="n">
        <f aca="false">'Fault &amp; Downtime Entry'!L674</f>
        <v>0</v>
      </c>
      <c r="M673" s="47" t="str">
        <f aca="false">'Fault &amp; Downtime Entry'!M674</f>
        <v/>
      </c>
      <c r="N673" s="47" t="n">
        <f aca="false">'Fault &amp; Downtime Entry'!N674</f>
        <v>0</v>
      </c>
      <c r="O673" s="47" t="n">
        <f aca="false">'Fault &amp; Downtime Entry'!O674</f>
        <v>0</v>
      </c>
      <c r="P673" s="47" t="str">
        <f aca="false">IF(OR(J673="",K673=""),"",IFERROR(J673/K673*1000,0))</f>
        <v/>
      </c>
      <c r="Q673" s="47" t="str">
        <f aca="false">IF(OR(L673="",K673=""),"",IFERROR(L673/K673*1000,0))</f>
        <v/>
      </c>
      <c r="R673" s="47" t="str">
        <f aca="false">IF(OR(M673="High",M673="Critical"),"YES","")</f>
        <v/>
      </c>
    </row>
    <row r="674" customFormat="false" ht="15" hidden="false" customHeight="true" outlineLevel="0" collapsed="false">
      <c r="A674" s="47" t="n">
        <f aca="false">'Fault &amp; Downtime Entry'!A675</f>
        <v>670</v>
      </c>
      <c r="B674" s="48" t="n">
        <f aca="false">'Fault &amp; Downtime Entry'!B675</f>
        <v>0</v>
      </c>
      <c r="C674" s="47" t="n">
        <f aca="false">'Fault &amp; Downtime Entry'!C675</f>
        <v>0</v>
      </c>
      <c r="D674" s="47" t="n">
        <f aca="false">'Fault &amp; Downtime Entry'!D675</f>
        <v>0</v>
      </c>
      <c r="E674" s="47" t="n">
        <f aca="false">'Fault &amp; Downtime Entry'!E675</f>
        <v>0</v>
      </c>
      <c r="F674" s="47" t="str">
        <f aca="false">'Fault &amp; Downtime Entry'!F675</f>
        <v/>
      </c>
      <c r="G674" s="47" t="n">
        <f aca="false">'Fault &amp; Downtime Entry'!G675</f>
        <v>0</v>
      </c>
      <c r="H674" s="47" t="str">
        <f aca="false">'Fault &amp; Downtime Entry'!H675</f>
        <v/>
      </c>
      <c r="I674" s="47" t="str">
        <f aca="false">'Fault &amp; Downtime Entry'!I675</f>
        <v/>
      </c>
      <c r="J674" s="47" t="n">
        <f aca="false">'Fault &amp; Downtime Entry'!J675</f>
        <v>0</v>
      </c>
      <c r="K674" s="47" t="n">
        <f aca="false">'Fault &amp; Downtime Entry'!K675</f>
        <v>0</v>
      </c>
      <c r="L674" s="47" t="n">
        <f aca="false">'Fault &amp; Downtime Entry'!L675</f>
        <v>0</v>
      </c>
      <c r="M674" s="47" t="str">
        <f aca="false">'Fault &amp; Downtime Entry'!M675</f>
        <v/>
      </c>
      <c r="N674" s="47" t="n">
        <f aca="false">'Fault &amp; Downtime Entry'!N675</f>
        <v>0</v>
      </c>
      <c r="O674" s="47" t="n">
        <f aca="false">'Fault &amp; Downtime Entry'!O675</f>
        <v>0</v>
      </c>
      <c r="P674" s="47" t="str">
        <f aca="false">IF(OR(J674="",K674=""),"",IFERROR(J674/K674*1000,0))</f>
        <v/>
      </c>
      <c r="Q674" s="47" t="str">
        <f aca="false">IF(OR(L674="",K674=""),"",IFERROR(L674/K674*1000,0))</f>
        <v/>
      </c>
      <c r="R674" s="47" t="str">
        <f aca="false">IF(OR(M674="High",M674="Critical"),"YES","")</f>
        <v/>
      </c>
    </row>
    <row r="675" customFormat="false" ht="15" hidden="false" customHeight="true" outlineLevel="0" collapsed="false">
      <c r="A675" s="47" t="n">
        <f aca="false">'Fault &amp; Downtime Entry'!A676</f>
        <v>671</v>
      </c>
      <c r="B675" s="48" t="n">
        <f aca="false">'Fault &amp; Downtime Entry'!B676</f>
        <v>0</v>
      </c>
      <c r="C675" s="47" t="n">
        <f aca="false">'Fault &amp; Downtime Entry'!C676</f>
        <v>0</v>
      </c>
      <c r="D675" s="47" t="n">
        <f aca="false">'Fault &amp; Downtime Entry'!D676</f>
        <v>0</v>
      </c>
      <c r="E675" s="47" t="n">
        <f aca="false">'Fault &amp; Downtime Entry'!E676</f>
        <v>0</v>
      </c>
      <c r="F675" s="47" t="str">
        <f aca="false">'Fault &amp; Downtime Entry'!F676</f>
        <v/>
      </c>
      <c r="G675" s="47" t="n">
        <f aca="false">'Fault &amp; Downtime Entry'!G676</f>
        <v>0</v>
      </c>
      <c r="H675" s="47" t="str">
        <f aca="false">'Fault &amp; Downtime Entry'!H676</f>
        <v/>
      </c>
      <c r="I675" s="47" t="str">
        <f aca="false">'Fault &amp; Downtime Entry'!I676</f>
        <v/>
      </c>
      <c r="J675" s="47" t="n">
        <f aca="false">'Fault &amp; Downtime Entry'!J676</f>
        <v>0</v>
      </c>
      <c r="K675" s="47" t="n">
        <f aca="false">'Fault &amp; Downtime Entry'!K676</f>
        <v>0</v>
      </c>
      <c r="L675" s="47" t="n">
        <f aca="false">'Fault &amp; Downtime Entry'!L676</f>
        <v>0</v>
      </c>
      <c r="M675" s="47" t="str">
        <f aca="false">'Fault &amp; Downtime Entry'!M676</f>
        <v/>
      </c>
      <c r="N675" s="47" t="n">
        <f aca="false">'Fault &amp; Downtime Entry'!N676</f>
        <v>0</v>
      </c>
      <c r="O675" s="47" t="n">
        <f aca="false">'Fault &amp; Downtime Entry'!O676</f>
        <v>0</v>
      </c>
      <c r="P675" s="47" t="str">
        <f aca="false">IF(OR(J675="",K675=""),"",IFERROR(J675/K675*1000,0))</f>
        <v/>
      </c>
      <c r="Q675" s="47" t="str">
        <f aca="false">IF(OR(L675="",K675=""),"",IFERROR(L675/K675*1000,0))</f>
        <v/>
      </c>
      <c r="R675" s="47" t="str">
        <f aca="false">IF(OR(M675="High",M675="Critical"),"YES","")</f>
        <v/>
      </c>
    </row>
    <row r="676" customFormat="false" ht="15" hidden="false" customHeight="true" outlineLevel="0" collapsed="false">
      <c r="A676" s="47" t="n">
        <f aca="false">'Fault &amp; Downtime Entry'!A677</f>
        <v>672</v>
      </c>
      <c r="B676" s="48" t="n">
        <f aca="false">'Fault &amp; Downtime Entry'!B677</f>
        <v>0</v>
      </c>
      <c r="C676" s="47" t="n">
        <f aca="false">'Fault &amp; Downtime Entry'!C677</f>
        <v>0</v>
      </c>
      <c r="D676" s="47" t="n">
        <f aca="false">'Fault &amp; Downtime Entry'!D677</f>
        <v>0</v>
      </c>
      <c r="E676" s="47" t="n">
        <f aca="false">'Fault &amp; Downtime Entry'!E677</f>
        <v>0</v>
      </c>
      <c r="F676" s="47" t="str">
        <f aca="false">'Fault &amp; Downtime Entry'!F677</f>
        <v/>
      </c>
      <c r="G676" s="47" t="n">
        <f aca="false">'Fault &amp; Downtime Entry'!G677</f>
        <v>0</v>
      </c>
      <c r="H676" s="47" t="str">
        <f aca="false">'Fault &amp; Downtime Entry'!H677</f>
        <v/>
      </c>
      <c r="I676" s="47" t="str">
        <f aca="false">'Fault &amp; Downtime Entry'!I677</f>
        <v/>
      </c>
      <c r="J676" s="47" t="n">
        <f aca="false">'Fault &amp; Downtime Entry'!J677</f>
        <v>0</v>
      </c>
      <c r="K676" s="47" t="n">
        <f aca="false">'Fault &amp; Downtime Entry'!K677</f>
        <v>0</v>
      </c>
      <c r="L676" s="47" t="n">
        <f aca="false">'Fault &amp; Downtime Entry'!L677</f>
        <v>0</v>
      </c>
      <c r="M676" s="47" t="str">
        <f aca="false">'Fault &amp; Downtime Entry'!M677</f>
        <v/>
      </c>
      <c r="N676" s="47" t="n">
        <f aca="false">'Fault &amp; Downtime Entry'!N677</f>
        <v>0</v>
      </c>
      <c r="O676" s="47" t="n">
        <f aca="false">'Fault &amp; Downtime Entry'!O677</f>
        <v>0</v>
      </c>
      <c r="P676" s="47" t="str">
        <f aca="false">IF(OR(J676="",K676=""),"",IFERROR(J676/K676*1000,0))</f>
        <v/>
      </c>
      <c r="Q676" s="47" t="str">
        <f aca="false">IF(OR(L676="",K676=""),"",IFERROR(L676/K676*1000,0))</f>
        <v/>
      </c>
      <c r="R676" s="47" t="str">
        <f aca="false">IF(OR(M676="High",M676="Critical"),"YES","")</f>
        <v/>
      </c>
    </row>
    <row r="677" customFormat="false" ht="15" hidden="false" customHeight="true" outlineLevel="0" collapsed="false">
      <c r="A677" s="47" t="n">
        <f aca="false">'Fault &amp; Downtime Entry'!A678</f>
        <v>673</v>
      </c>
      <c r="B677" s="48" t="n">
        <f aca="false">'Fault &amp; Downtime Entry'!B678</f>
        <v>0</v>
      </c>
      <c r="C677" s="47" t="n">
        <f aca="false">'Fault &amp; Downtime Entry'!C678</f>
        <v>0</v>
      </c>
      <c r="D677" s="47" t="n">
        <f aca="false">'Fault &amp; Downtime Entry'!D678</f>
        <v>0</v>
      </c>
      <c r="E677" s="47" t="n">
        <f aca="false">'Fault &amp; Downtime Entry'!E678</f>
        <v>0</v>
      </c>
      <c r="F677" s="47" t="str">
        <f aca="false">'Fault &amp; Downtime Entry'!F678</f>
        <v/>
      </c>
      <c r="G677" s="47" t="n">
        <f aca="false">'Fault &amp; Downtime Entry'!G678</f>
        <v>0</v>
      </c>
      <c r="H677" s="47" t="str">
        <f aca="false">'Fault &amp; Downtime Entry'!H678</f>
        <v/>
      </c>
      <c r="I677" s="47" t="str">
        <f aca="false">'Fault &amp; Downtime Entry'!I678</f>
        <v/>
      </c>
      <c r="J677" s="47" t="n">
        <f aca="false">'Fault &amp; Downtime Entry'!J678</f>
        <v>0</v>
      </c>
      <c r="K677" s="47" t="n">
        <f aca="false">'Fault &amp; Downtime Entry'!K678</f>
        <v>0</v>
      </c>
      <c r="L677" s="47" t="n">
        <f aca="false">'Fault &amp; Downtime Entry'!L678</f>
        <v>0</v>
      </c>
      <c r="M677" s="47" t="str">
        <f aca="false">'Fault &amp; Downtime Entry'!M678</f>
        <v/>
      </c>
      <c r="N677" s="47" t="n">
        <f aca="false">'Fault &amp; Downtime Entry'!N678</f>
        <v>0</v>
      </c>
      <c r="O677" s="47" t="n">
        <f aca="false">'Fault &amp; Downtime Entry'!O678</f>
        <v>0</v>
      </c>
      <c r="P677" s="47" t="str">
        <f aca="false">IF(OR(J677="",K677=""),"",IFERROR(J677/K677*1000,0))</f>
        <v/>
      </c>
      <c r="Q677" s="47" t="str">
        <f aca="false">IF(OR(L677="",K677=""),"",IFERROR(L677/K677*1000,0))</f>
        <v/>
      </c>
      <c r="R677" s="47" t="str">
        <f aca="false">IF(OR(M677="High",M677="Critical"),"YES","")</f>
        <v/>
      </c>
    </row>
    <row r="678" customFormat="false" ht="15" hidden="false" customHeight="true" outlineLevel="0" collapsed="false">
      <c r="A678" s="47" t="n">
        <f aca="false">'Fault &amp; Downtime Entry'!A679</f>
        <v>674</v>
      </c>
      <c r="B678" s="48" t="n">
        <f aca="false">'Fault &amp; Downtime Entry'!B679</f>
        <v>0</v>
      </c>
      <c r="C678" s="47" t="n">
        <f aca="false">'Fault &amp; Downtime Entry'!C679</f>
        <v>0</v>
      </c>
      <c r="D678" s="47" t="n">
        <f aca="false">'Fault &amp; Downtime Entry'!D679</f>
        <v>0</v>
      </c>
      <c r="E678" s="47" t="n">
        <f aca="false">'Fault &amp; Downtime Entry'!E679</f>
        <v>0</v>
      </c>
      <c r="F678" s="47" t="str">
        <f aca="false">'Fault &amp; Downtime Entry'!F679</f>
        <v/>
      </c>
      <c r="G678" s="47" t="n">
        <f aca="false">'Fault &amp; Downtime Entry'!G679</f>
        <v>0</v>
      </c>
      <c r="H678" s="47" t="str">
        <f aca="false">'Fault &amp; Downtime Entry'!H679</f>
        <v/>
      </c>
      <c r="I678" s="47" t="str">
        <f aca="false">'Fault &amp; Downtime Entry'!I679</f>
        <v/>
      </c>
      <c r="J678" s="47" t="n">
        <f aca="false">'Fault &amp; Downtime Entry'!J679</f>
        <v>0</v>
      </c>
      <c r="K678" s="47" t="n">
        <f aca="false">'Fault &amp; Downtime Entry'!K679</f>
        <v>0</v>
      </c>
      <c r="L678" s="47" t="n">
        <f aca="false">'Fault &amp; Downtime Entry'!L679</f>
        <v>0</v>
      </c>
      <c r="M678" s="47" t="str">
        <f aca="false">'Fault &amp; Downtime Entry'!M679</f>
        <v/>
      </c>
      <c r="N678" s="47" t="n">
        <f aca="false">'Fault &amp; Downtime Entry'!N679</f>
        <v>0</v>
      </c>
      <c r="O678" s="47" t="n">
        <f aca="false">'Fault &amp; Downtime Entry'!O679</f>
        <v>0</v>
      </c>
      <c r="P678" s="47" t="str">
        <f aca="false">IF(OR(J678="",K678=""),"",IFERROR(J678/K678*1000,0))</f>
        <v/>
      </c>
      <c r="Q678" s="47" t="str">
        <f aca="false">IF(OR(L678="",K678=""),"",IFERROR(L678/K678*1000,0))</f>
        <v/>
      </c>
      <c r="R678" s="47" t="str">
        <f aca="false">IF(OR(M678="High",M678="Critical"),"YES","")</f>
        <v/>
      </c>
    </row>
    <row r="679" customFormat="false" ht="15" hidden="false" customHeight="true" outlineLevel="0" collapsed="false">
      <c r="A679" s="47" t="n">
        <f aca="false">'Fault &amp; Downtime Entry'!A680</f>
        <v>675</v>
      </c>
      <c r="B679" s="48" t="n">
        <f aca="false">'Fault &amp; Downtime Entry'!B680</f>
        <v>0</v>
      </c>
      <c r="C679" s="47" t="n">
        <f aca="false">'Fault &amp; Downtime Entry'!C680</f>
        <v>0</v>
      </c>
      <c r="D679" s="47" t="n">
        <f aca="false">'Fault &amp; Downtime Entry'!D680</f>
        <v>0</v>
      </c>
      <c r="E679" s="47" t="n">
        <f aca="false">'Fault &amp; Downtime Entry'!E680</f>
        <v>0</v>
      </c>
      <c r="F679" s="47" t="str">
        <f aca="false">'Fault &amp; Downtime Entry'!F680</f>
        <v/>
      </c>
      <c r="G679" s="47" t="n">
        <f aca="false">'Fault &amp; Downtime Entry'!G680</f>
        <v>0</v>
      </c>
      <c r="H679" s="47" t="str">
        <f aca="false">'Fault &amp; Downtime Entry'!H680</f>
        <v/>
      </c>
      <c r="I679" s="47" t="str">
        <f aca="false">'Fault &amp; Downtime Entry'!I680</f>
        <v/>
      </c>
      <c r="J679" s="47" t="n">
        <f aca="false">'Fault &amp; Downtime Entry'!J680</f>
        <v>0</v>
      </c>
      <c r="K679" s="47" t="n">
        <f aca="false">'Fault &amp; Downtime Entry'!K680</f>
        <v>0</v>
      </c>
      <c r="L679" s="47" t="n">
        <f aca="false">'Fault &amp; Downtime Entry'!L680</f>
        <v>0</v>
      </c>
      <c r="M679" s="47" t="str">
        <f aca="false">'Fault &amp; Downtime Entry'!M680</f>
        <v/>
      </c>
      <c r="N679" s="47" t="n">
        <f aca="false">'Fault &amp; Downtime Entry'!N680</f>
        <v>0</v>
      </c>
      <c r="O679" s="47" t="n">
        <f aca="false">'Fault &amp; Downtime Entry'!O680</f>
        <v>0</v>
      </c>
      <c r="P679" s="47" t="str">
        <f aca="false">IF(OR(J679="",K679=""),"",IFERROR(J679/K679*1000,0))</f>
        <v/>
      </c>
      <c r="Q679" s="47" t="str">
        <f aca="false">IF(OR(L679="",K679=""),"",IFERROR(L679/K679*1000,0))</f>
        <v/>
      </c>
      <c r="R679" s="47" t="str">
        <f aca="false">IF(OR(M679="High",M679="Critical"),"YES","")</f>
        <v/>
      </c>
    </row>
    <row r="680" customFormat="false" ht="15" hidden="false" customHeight="true" outlineLevel="0" collapsed="false">
      <c r="A680" s="47" t="n">
        <f aca="false">'Fault &amp; Downtime Entry'!A681</f>
        <v>676</v>
      </c>
      <c r="B680" s="48" t="n">
        <f aca="false">'Fault &amp; Downtime Entry'!B681</f>
        <v>0</v>
      </c>
      <c r="C680" s="47" t="n">
        <f aca="false">'Fault &amp; Downtime Entry'!C681</f>
        <v>0</v>
      </c>
      <c r="D680" s="47" t="n">
        <f aca="false">'Fault &amp; Downtime Entry'!D681</f>
        <v>0</v>
      </c>
      <c r="E680" s="47" t="n">
        <f aca="false">'Fault &amp; Downtime Entry'!E681</f>
        <v>0</v>
      </c>
      <c r="F680" s="47" t="str">
        <f aca="false">'Fault &amp; Downtime Entry'!F681</f>
        <v/>
      </c>
      <c r="G680" s="47" t="n">
        <f aca="false">'Fault &amp; Downtime Entry'!G681</f>
        <v>0</v>
      </c>
      <c r="H680" s="47" t="str">
        <f aca="false">'Fault &amp; Downtime Entry'!H681</f>
        <v/>
      </c>
      <c r="I680" s="47" t="str">
        <f aca="false">'Fault &amp; Downtime Entry'!I681</f>
        <v/>
      </c>
      <c r="J680" s="47" t="n">
        <f aca="false">'Fault &amp; Downtime Entry'!J681</f>
        <v>0</v>
      </c>
      <c r="K680" s="47" t="n">
        <f aca="false">'Fault &amp; Downtime Entry'!K681</f>
        <v>0</v>
      </c>
      <c r="L680" s="47" t="n">
        <f aca="false">'Fault &amp; Downtime Entry'!L681</f>
        <v>0</v>
      </c>
      <c r="M680" s="47" t="str">
        <f aca="false">'Fault &amp; Downtime Entry'!M681</f>
        <v/>
      </c>
      <c r="N680" s="47" t="n">
        <f aca="false">'Fault &amp; Downtime Entry'!N681</f>
        <v>0</v>
      </c>
      <c r="O680" s="47" t="n">
        <f aca="false">'Fault &amp; Downtime Entry'!O681</f>
        <v>0</v>
      </c>
      <c r="P680" s="47" t="str">
        <f aca="false">IF(OR(J680="",K680=""),"",IFERROR(J680/K680*1000,0))</f>
        <v/>
      </c>
      <c r="Q680" s="47" t="str">
        <f aca="false">IF(OR(L680="",K680=""),"",IFERROR(L680/K680*1000,0))</f>
        <v/>
      </c>
      <c r="R680" s="47" t="str">
        <f aca="false">IF(OR(M680="High",M680="Critical"),"YES","")</f>
        <v/>
      </c>
    </row>
    <row r="681" customFormat="false" ht="15" hidden="false" customHeight="true" outlineLevel="0" collapsed="false">
      <c r="A681" s="47" t="n">
        <f aca="false">'Fault &amp; Downtime Entry'!A682</f>
        <v>677</v>
      </c>
      <c r="B681" s="48" t="n">
        <f aca="false">'Fault &amp; Downtime Entry'!B682</f>
        <v>0</v>
      </c>
      <c r="C681" s="47" t="n">
        <f aca="false">'Fault &amp; Downtime Entry'!C682</f>
        <v>0</v>
      </c>
      <c r="D681" s="47" t="n">
        <f aca="false">'Fault &amp; Downtime Entry'!D682</f>
        <v>0</v>
      </c>
      <c r="E681" s="47" t="n">
        <f aca="false">'Fault &amp; Downtime Entry'!E682</f>
        <v>0</v>
      </c>
      <c r="F681" s="47" t="str">
        <f aca="false">'Fault &amp; Downtime Entry'!F682</f>
        <v/>
      </c>
      <c r="G681" s="47" t="n">
        <f aca="false">'Fault &amp; Downtime Entry'!G682</f>
        <v>0</v>
      </c>
      <c r="H681" s="47" t="str">
        <f aca="false">'Fault &amp; Downtime Entry'!H682</f>
        <v/>
      </c>
      <c r="I681" s="47" t="str">
        <f aca="false">'Fault &amp; Downtime Entry'!I682</f>
        <v/>
      </c>
      <c r="J681" s="47" t="n">
        <f aca="false">'Fault &amp; Downtime Entry'!J682</f>
        <v>0</v>
      </c>
      <c r="K681" s="47" t="n">
        <f aca="false">'Fault &amp; Downtime Entry'!K682</f>
        <v>0</v>
      </c>
      <c r="L681" s="47" t="n">
        <f aca="false">'Fault &amp; Downtime Entry'!L682</f>
        <v>0</v>
      </c>
      <c r="M681" s="47" t="str">
        <f aca="false">'Fault &amp; Downtime Entry'!M682</f>
        <v/>
      </c>
      <c r="N681" s="47" t="n">
        <f aca="false">'Fault &amp; Downtime Entry'!N682</f>
        <v>0</v>
      </c>
      <c r="O681" s="47" t="n">
        <f aca="false">'Fault &amp; Downtime Entry'!O682</f>
        <v>0</v>
      </c>
      <c r="P681" s="47" t="str">
        <f aca="false">IF(OR(J681="",K681=""),"",IFERROR(J681/K681*1000,0))</f>
        <v/>
      </c>
      <c r="Q681" s="47" t="str">
        <f aca="false">IF(OR(L681="",K681=""),"",IFERROR(L681/K681*1000,0))</f>
        <v/>
      </c>
      <c r="R681" s="47" t="str">
        <f aca="false">IF(OR(M681="High",M681="Critical"),"YES","")</f>
        <v/>
      </c>
    </row>
    <row r="682" customFormat="false" ht="15" hidden="false" customHeight="true" outlineLevel="0" collapsed="false">
      <c r="A682" s="47" t="n">
        <f aca="false">'Fault &amp; Downtime Entry'!A683</f>
        <v>678</v>
      </c>
      <c r="B682" s="48" t="n">
        <f aca="false">'Fault &amp; Downtime Entry'!B683</f>
        <v>0</v>
      </c>
      <c r="C682" s="47" t="n">
        <f aca="false">'Fault &amp; Downtime Entry'!C683</f>
        <v>0</v>
      </c>
      <c r="D682" s="47" t="n">
        <f aca="false">'Fault &amp; Downtime Entry'!D683</f>
        <v>0</v>
      </c>
      <c r="E682" s="47" t="n">
        <f aca="false">'Fault &amp; Downtime Entry'!E683</f>
        <v>0</v>
      </c>
      <c r="F682" s="47" t="str">
        <f aca="false">'Fault &amp; Downtime Entry'!F683</f>
        <v/>
      </c>
      <c r="G682" s="47" t="n">
        <f aca="false">'Fault &amp; Downtime Entry'!G683</f>
        <v>0</v>
      </c>
      <c r="H682" s="47" t="str">
        <f aca="false">'Fault &amp; Downtime Entry'!H683</f>
        <v/>
      </c>
      <c r="I682" s="47" t="str">
        <f aca="false">'Fault &amp; Downtime Entry'!I683</f>
        <v/>
      </c>
      <c r="J682" s="47" t="n">
        <f aca="false">'Fault &amp; Downtime Entry'!J683</f>
        <v>0</v>
      </c>
      <c r="K682" s="47" t="n">
        <f aca="false">'Fault &amp; Downtime Entry'!K683</f>
        <v>0</v>
      </c>
      <c r="L682" s="47" t="n">
        <f aca="false">'Fault &amp; Downtime Entry'!L683</f>
        <v>0</v>
      </c>
      <c r="M682" s="47" t="str">
        <f aca="false">'Fault &amp; Downtime Entry'!M683</f>
        <v/>
      </c>
      <c r="N682" s="47" t="n">
        <f aca="false">'Fault &amp; Downtime Entry'!N683</f>
        <v>0</v>
      </c>
      <c r="O682" s="47" t="n">
        <f aca="false">'Fault &amp; Downtime Entry'!O683</f>
        <v>0</v>
      </c>
      <c r="P682" s="47" t="str">
        <f aca="false">IF(OR(J682="",K682=""),"",IFERROR(J682/K682*1000,0))</f>
        <v/>
      </c>
      <c r="Q682" s="47" t="str">
        <f aca="false">IF(OR(L682="",K682=""),"",IFERROR(L682/K682*1000,0))</f>
        <v/>
      </c>
      <c r="R682" s="47" t="str">
        <f aca="false">IF(OR(M682="High",M682="Critical"),"YES","")</f>
        <v/>
      </c>
    </row>
    <row r="683" customFormat="false" ht="15" hidden="false" customHeight="true" outlineLevel="0" collapsed="false">
      <c r="A683" s="47" t="n">
        <f aca="false">'Fault &amp; Downtime Entry'!A684</f>
        <v>679</v>
      </c>
      <c r="B683" s="48" t="n">
        <f aca="false">'Fault &amp; Downtime Entry'!B684</f>
        <v>0</v>
      </c>
      <c r="C683" s="47" t="n">
        <f aca="false">'Fault &amp; Downtime Entry'!C684</f>
        <v>0</v>
      </c>
      <c r="D683" s="47" t="n">
        <f aca="false">'Fault &amp; Downtime Entry'!D684</f>
        <v>0</v>
      </c>
      <c r="E683" s="47" t="n">
        <f aca="false">'Fault &amp; Downtime Entry'!E684</f>
        <v>0</v>
      </c>
      <c r="F683" s="47" t="str">
        <f aca="false">'Fault &amp; Downtime Entry'!F684</f>
        <v/>
      </c>
      <c r="G683" s="47" t="n">
        <f aca="false">'Fault &amp; Downtime Entry'!G684</f>
        <v>0</v>
      </c>
      <c r="H683" s="47" t="str">
        <f aca="false">'Fault &amp; Downtime Entry'!H684</f>
        <v/>
      </c>
      <c r="I683" s="47" t="str">
        <f aca="false">'Fault &amp; Downtime Entry'!I684</f>
        <v/>
      </c>
      <c r="J683" s="47" t="n">
        <f aca="false">'Fault &amp; Downtime Entry'!J684</f>
        <v>0</v>
      </c>
      <c r="K683" s="47" t="n">
        <f aca="false">'Fault &amp; Downtime Entry'!K684</f>
        <v>0</v>
      </c>
      <c r="L683" s="47" t="n">
        <f aca="false">'Fault &amp; Downtime Entry'!L684</f>
        <v>0</v>
      </c>
      <c r="M683" s="47" t="str">
        <f aca="false">'Fault &amp; Downtime Entry'!M684</f>
        <v/>
      </c>
      <c r="N683" s="47" t="n">
        <f aca="false">'Fault &amp; Downtime Entry'!N684</f>
        <v>0</v>
      </c>
      <c r="O683" s="47" t="n">
        <f aca="false">'Fault &amp; Downtime Entry'!O684</f>
        <v>0</v>
      </c>
      <c r="P683" s="47" t="str">
        <f aca="false">IF(OR(J683="",K683=""),"",IFERROR(J683/K683*1000,0))</f>
        <v/>
      </c>
      <c r="Q683" s="47" t="str">
        <f aca="false">IF(OR(L683="",K683=""),"",IFERROR(L683/K683*1000,0))</f>
        <v/>
      </c>
      <c r="R683" s="47" t="str">
        <f aca="false">IF(OR(M683="High",M683="Critical"),"YES","")</f>
        <v/>
      </c>
    </row>
    <row r="684" customFormat="false" ht="15" hidden="false" customHeight="true" outlineLevel="0" collapsed="false">
      <c r="A684" s="47" t="n">
        <f aca="false">'Fault &amp; Downtime Entry'!A685</f>
        <v>680</v>
      </c>
      <c r="B684" s="48" t="n">
        <f aca="false">'Fault &amp; Downtime Entry'!B685</f>
        <v>0</v>
      </c>
      <c r="C684" s="47" t="n">
        <f aca="false">'Fault &amp; Downtime Entry'!C685</f>
        <v>0</v>
      </c>
      <c r="D684" s="47" t="n">
        <f aca="false">'Fault &amp; Downtime Entry'!D685</f>
        <v>0</v>
      </c>
      <c r="E684" s="47" t="n">
        <f aca="false">'Fault &amp; Downtime Entry'!E685</f>
        <v>0</v>
      </c>
      <c r="F684" s="47" t="str">
        <f aca="false">'Fault &amp; Downtime Entry'!F685</f>
        <v/>
      </c>
      <c r="G684" s="47" t="n">
        <f aca="false">'Fault &amp; Downtime Entry'!G685</f>
        <v>0</v>
      </c>
      <c r="H684" s="47" t="str">
        <f aca="false">'Fault &amp; Downtime Entry'!H685</f>
        <v/>
      </c>
      <c r="I684" s="47" t="str">
        <f aca="false">'Fault &amp; Downtime Entry'!I685</f>
        <v/>
      </c>
      <c r="J684" s="47" t="n">
        <f aca="false">'Fault &amp; Downtime Entry'!J685</f>
        <v>0</v>
      </c>
      <c r="K684" s="47" t="n">
        <f aca="false">'Fault &amp; Downtime Entry'!K685</f>
        <v>0</v>
      </c>
      <c r="L684" s="47" t="n">
        <f aca="false">'Fault &amp; Downtime Entry'!L685</f>
        <v>0</v>
      </c>
      <c r="M684" s="47" t="str">
        <f aca="false">'Fault &amp; Downtime Entry'!M685</f>
        <v/>
      </c>
      <c r="N684" s="47" t="n">
        <f aca="false">'Fault &amp; Downtime Entry'!N685</f>
        <v>0</v>
      </c>
      <c r="O684" s="47" t="n">
        <f aca="false">'Fault &amp; Downtime Entry'!O685</f>
        <v>0</v>
      </c>
      <c r="P684" s="47" t="str">
        <f aca="false">IF(OR(J684="",K684=""),"",IFERROR(J684/K684*1000,0))</f>
        <v/>
      </c>
      <c r="Q684" s="47" t="str">
        <f aca="false">IF(OR(L684="",K684=""),"",IFERROR(L684/K684*1000,0))</f>
        <v/>
      </c>
      <c r="R684" s="47" t="str">
        <f aca="false">IF(OR(M684="High",M684="Critical"),"YES","")</f>
        <v/>
      </c>
    </row>
    <row r="685" customFormat="false" ht="15" hidden="false" customHeight="true" outlineLevel="0" collapsed="false">
      <c r="A685" s="47" t="n">
        <f aca="false">'Fault &amp; Downtime Entry'!A686</f>
        <v>681</v>
      </c>
      <c r="B685" s="48" t="n">
        <f aca="false">'Fault &amp; Downtime Entry'!B686</f>
        <v>0</v>
      </c>
      <c r="C685" s="47" t="n">
        <f aca="false">'Fault &amp; Downtime Entry'!C686</f>
        <v>0</v>
      </c>
      <c r="D685" s="47" t="n">
        <f aca="false">'Fault &amp; Downtime Entry'!D686</f>
        <v>0</v>
      </c>
      <c r="E685" s="47" t="n">
        <f aca="false">'Fault &amp; Downtime Entry'!E686</f>
        <v>0</v>
      </c>
      <c r="F685" s="47" t="str">
        <f aca="false">'Fault &amp; Downtime Entry'!F686</f>
        <v/>
      </c>
      <c r="G685" s="47" t="n">
        <f aca="false">'Fault &amp; Downtime Entry'!G686</f>
        <v>0</v>
      </c>
      <c r="H685" s="47" t="str">
        <f aca="false">'Fault &amp; Downtime Entry'!H686</f>
        <v/>
      </c>
      <c r="I685" s="47" t="str">
        <f aca="false">'Fault &amp; Downtime Entry'!I686</f>
        <v/>
      </c>
      <c r="J685" s="47" t="n">
        <f aca="false">'Fault &amp; Downtime Entry'!J686</f>
        <v>0</v>
      </c>
      <c r="K685" s="47" t="n">
        <f aca="false">'Fault &amp; Downtime Entry'!K686</f>
        <v>0</v>
      </c>
      <c r="L685" s="47" t="n">
        <f aca="false">'Fault &amp; Downtime Entry'!L686</f>
        <v>0</v>
      </c>
      <c r="M685" s="47" t="str">
        <f aca="false">'Fault &amp; Downtime Entry'!M686</f>
        <v/>
      </c>
      <c r="N685" s="47" t="n">
        <f aca="false">'Fault &amp; Downtime Entry'!N686</f>
        <v>0</v>
      </c>
      <c r="O685" s="47" t="n">
        <f aca="false">'Fault &amp; Downtime Entry'!O686</f>
        <v>0</v>
      </c>
      <c r="P685" s="47" t="str">
        <f aca="false">IF(OR(J685="",K685=""),"",IFERROR(J685/K685*1000,0))</f>
        <v/>
      </c>
      <c r="Q685" s="47" t="str">
        <f aca="false">IF(OR(L685="",K685=""),"",IFERROR(L685/K685*1000,0))</f>
        <v/>
      </c>
      <c r="R685" s="47" t="str">
        <f aca="false">IF(OR(M685="High",M685="Critical"),"YES","")</f>
        <v/>
      </c>
    </row>
    <row r="686" customFormat="false" ht="15" hidden="false" customHeight="true" outlineLevel="0" collapsed="false">
      <c r="A686" s="47" t="n">
        <f aca="false">'Fault &amp; Downtime Entry'!A687</f>
        <v>682</v>
      </c>
      <c r="B686" s="48" t="n">
        <f aca="false">'Fault &amp; Downtime Entry'!B687</f>
        <v>0</v>
      </c>
      <c r="C686" s="47" t="n">
        <f aca="false">'Fault &amp; Downtime Entry'!C687</f>
        <v>0</v>
      </c>
      <c r="D686" s="47" t="n">
        <f aca="false">'Fault &amp; Downtime Entry'!D687</f>
        <v>0</v>
      </c>
      <c r="E686" s="47" t="n">
        <f aca="false">'Fault &amp; Downtime Entry'!E687</f>
        <v>0</v>
      </c>
      <c r="F686" s="47" t="str">
        <f aca="false">'Fault &amp; Downtime Entry'!F687</f>
        <v/>
      </c>
      <c r="G686" s="47" t="n">
        <f aca="false">'Fault &amp; Downtime Entry'!G687</f>
        <v>0</v>
      </c>
      <c r="H686" s="47" t="str">
        <f aca="false">'Fault &amp; Downtime Entry'!H687</f>
        <v/>
      </c>
      <c r="I686" s="47" t="str">
        <f aca="false">'Fault &amp; Downtime Entry'!I687</f>
        <v/>
      </c>
      <c r="J686" s="47" t="n">
        <f aca="false">'Fault &amp; Downtime Entry'!J687</f>
        <v>0</v>
      </c>
      <c r="K686" s="47" t="n">
        <f aca="false">'Fault &amp; Downtime Entry'!K687</f>
        <v>0</v>
      </c>
      <c r="L686" s="47" t="n">
        <f aca="false">'Fault &amp; Downtime Entry'!L687</f>
        <v>0</v>
      </c>
      <c r="M686" s="47" t="str">
        <f aca="false">'Fault &amp; Downtime Entry'!M687</f>
        <v/>
      </c>
      <c r="N686" s="47" t="n">
        <f aca="false">'Fault &amp; Downtime Entry'!N687</f>
        <v>0</v>
      </c>
      <c r="O686" s="47" t="n">
        <f aca="false">'Fault &amp; Downtime Entry'!O687</f>
        <v>0</v>
      </c>
      <c r="P686" s="47" t="str">
        <f aca="false">IF(OR(J686="",K686=""),"",IFERROR(J686/K686*1000,0))</f>
        <v/>
      </c>
      <c r="Q686" s="47" t="str">
        <f aca="false">IF(OR(L686="",K686=""),"",IFERROR(L686/K686*1000,0))</f>
        <v/>
      </c>
      <c r="R686" s="47" t="str">
        <f aca="false">IF(OR(M686="High",M686="Critical"),"YES","")</f>
        <v/>
      </c>
    </row>
    <row r="687" customFormat="false" ht="15" hidden="false" customHeight="true" outlineLevel="0" collapsed="false">
      <c r="A687" s="47" t="n">
        <f aca="false">'Fault &amp; Downtime Entry'!A688</f>
        <v>683</v>
      </c>
      <c r="B687" s="48" t="n">
        <f aca="false">'Fault &amp; Downtime Entry'!B688</f>
        <v>0</v>
      </c>
      <c r="C687" s="47" t="n">
        <f aca="false">'Fault &amp; Downtime Entry'!C688</f>
        <v>0</v>
      </c>
      <c r="D687" s="47" t="n">
        <f aca="false">'Fault &amp; Downtime Entry'!D688</f>
        <v>0</v>
      </c>
      <c r="E687" s="47" t="n">
        <f aca="false">'Fault &amp; Downtime Entry'!E688</f>
        <v>0</v>
      </c>
      <c r="F687" s="47" t="str">
        <f aca="false">'Fault &amp; Downtime Entry'!F688</f>
        <v/>
      </c>
      <c r="G687" s="47" t="n">
        <f aca="false">'Fault &amp; Downtime Entry'!G688</f>
        <v>0</v>
      </c>
      <c r="H687" s="47" t="str">
        <f aca="false">'Fault &amp; Downtime Entry'!H688</f>
        <v/>
      </c>
      <c r="I687" s="47" t="str">
        <f aca="false">'Fault &amp; Downtime Entry'!I688</f>
        <v/>
      </c>
      <c r="J687" s="47" t="n">
        <f aca="false">'Fault &amp; Downtime Entry'!J688</f>
        <v>0</v>
      </c>
      <c r="K687" s="47" t="n">
        <f aca="false">'Fault &amp; Downtime Entry'!K688</f>
        <v>0</v>
      </c>
      <c r="L687" s="47" t="n">
        <f aca="false">'Fault &amp; Downtime Entry'!L688</f>
        <v>0</v>
      </c>
      <c r="M687" s="47" t="str">
        <f aca="false">'Fault &amp; Downtime Entry'!M688</f>
        <v/>
      </c>
      <c r="N687" s="47" t="n">
        <f aca="false">'Fault &amp; Downtime Entry'!N688</f>
        <v>0</v>
      </c>
      <c r="O687" s="47" t="n">
        <f aca="false">'Fault &amp; Downtime Entry'!O688</f>
        <v>0</v>
      </c>
      <c r="P687" s="47" t="str">
        <f aca="false">IF(OR(J687="",K687=""),"",IFERROR(J687/K687*1000,0))</f>
        <v/>
      </c>
      <c r="Q687" s="47" t="str">
        <f aca="false">IF(OR(L687="",K687=""),"",IFERROR(L687/K687*1000,0))</f>
        <v/>
      </c>
      <c r="R687" s="47" t="str">
        <f aca="false">IF(OR(M687="High",M687="Critical"),"YES","")</f>
        <v/>
      </c>
    </row>
    <row r="688" customFormat="false" ht="15" hidden="false" customHeight="true" outlineLevel="0" collapsed="false">
      <c r="A688" s="47" t="n">
        <f aca="false">'Fault &amp; Downtime Entry'!A689</f>
        <v>684</v>
      </c>
      <c r="B688" s="48" t="n">
        <f aca="false">'Fault &amp; Downtime Entry'!B689</f>
        <v>0</v>
      </c>
      <c r="C688" s="47" t="n">
        <f aca="false">'Fault &amp; Downtime Entry'!C689</f>
        <v>0</v>
      </c>
      <c r="D688" s="47" t="n">
        <f aca="false">'Fault &amp; Downtime Entry'!D689</f>
        <v>0</v>
      </c>
      <c r="E688" s="47" t="n">
        <f aca="false">'Fault &amp; Downtime Entry'!E689</f>
        <v>0</v>
      </c>
      <c r="F688" s="47" t="str">
        <f aca="false">'Fault &amp; Downtime Entry'!F689</f>
        <v/>
      </c>
      <c r="G688" s="47" t="n">
        <f aca="false">'Fault &amp; Downtime Entry'!G689</f>
        <v>0</v>
      </c>
      <c r="H688" s="47" t="str">
        <f aca="false">'Fault &amp; Downtime Entry'!H689</f>
        <v/>
      </c>
      <c r="I688" s="47" t="str">
        <f aca="false">'Fault &amp; Downtime Entry'!I689</f>
        <v/>
      </c>
      <c r="J688" s="47" t="n">
        <f aca="false">'Fault &amp; Downtime Entry'!J689</f>
        <v>0</v>
      </c>
      <c r="K688" s="47" t="n">
        <f aca="false">'Fault &amp; Downtime Entry'!K689</f>
        <v>0</v>
      </c>
      <c r="L688" s="47" t="n">
        <f aca="false">'Fault &amp; Downtime Entry'!L689</f>
        <v>0</v>
      </c>
      <c r="M688" s="47" t="str">
        <f aca="false">'Fault &amp; Downtime Entry'!M689</f>
        <v/>
      </c>
      <c r="N688" s="47" t="n">
        <f aca="false">'Fault &amp; Downtime Entry'!N689</f>
        <v>0</v>
      </c>
      <c r="O688" s="47" t="n">
        <f aca="false">'Fault &amp; Downtime Entry'!O689</f>
        <v>0</v>
      </c>
      <c r="P688" s="47" t="str">
        <f aca="false">IF(OR(J688="",K688=""),"",IFERROR(J688/K688*1000,0))</f>
        <v/>
      </c>
      <c r="Q688" s="47" t="str">
        <f aca="false">IF(OR(L688="",K688=""),"",IFERROR(L688/K688*1000,0))</f>
        <v/>
      </c>
      <c r="R688" s="47" t="str">
        <f aca="false">IF(OR(M688="High",M688="Critical"),"YES","")</f>
        <v/>
      </c>
    </row>
    <row r="689" customFormat="false" ht="15" hidden="false" customHeight="true" outlineLevel="0" collapsed="false">
      <c r="A689" s="47" t="n">
        <f aca="false">'Fault &amp; Downtime Entry'!A690</f>
        <v>685</v>
      </c>
      <c r="B689" s="48" t="n">
        <f aca="false">'Fault &amp; Downtime Entry'!B690</f>
        <v>0</v>
      </c>
      <c r="C689" s="47" t="n">
        <f aca="false">'Fault &amp; Downtime Entry'!C690</f>
        <v>0</v>
      </c>
      <c r="D689" s="47" t="n">
        <f aca="false">'Fault &amp; Downtime Entry'!D690</f>
        <v>0</v>
      </c>
      <c r="E689" s="47" t="n">
        <f aca="false">'Fault &amp; Downtime Entry'!E690</f>
        <v>0</v>
      </c>
      <c r="F689" s="47" t="str">
        <f aca="false">'Fault &amp; Downtime Entry'!F690</f>
        <v/>
      </c>
      <c r="G689" s="47" t="n">
        <f aca="false">'Fault &amp; Downtime Entry'!G690</f>
        <v>0</v>
      </c>
      <c r="H689" s="47" t="str">
        <f aca="false">'Fault &amp; Downtime Entry'!H690</f>
        <v/>
      </c>
      <c r="I689" s="47" t="str">
        <f aca="false">'Fault &amp; Downtime Entry'!I690</f>
        <v/>
      </c>
      <c r="J689" s="47" t="n">
        <f aca="false">'Fault &amp; Downtime Entry'!J690</f>
        <v>0</v>
      </c>
      <c r="K689" s="47" t="n">
        <f aca="false">'Fault &amp; Downtime Entry'!K690</f>
        <v>0</v>
      </c>
      <c r="L689" s="47" t="n">
        <f aca="false">'Fault &amp; Downtime Entry'!L690</f>
        <v>0</v>
      </c>
      <c r="M689" s="47" t="str">
        <f aca="false">'Fault &amp; Downtime Entry'!M690</f>
        <v/>
      </c>
      <c r="N689" s="47" t="n">
        <f aca="false">'Fault &amp; Downtime Entry'!N690</f>
        <v>0</v>
      </c>
      <c r="O689" s="47" t="n">
        <f aca="false">'Fault &amp; Downtime Entry'!O690</f>
        <v>0</v>
      </c>
      <c r="P689" s="47" t="str">
        <f aca="false">IF(OR(J689="",K689=""),"",IFERROR(J689/K689*1000,0))</f>
        <v/>
      </c>
      <c r="Q689" s="47" t="str">
        <f aca="false">IF(OR(L689="",K689=""),"",IFERROR(L689/K689*1000,0))</f>
        <v/>
      </c>
      <c r="R689" s="47" t="str">
        <f aca="false">IF(OR(M689="High",M689="Critical"),"YES","")</f>
        <v/>
      </c>
    </row>
    <row r="690" customFormat="false" ht="15" hidden="false" customHeight="true" outlineLevel="0" collapsed="false">
      <c r="A690" s="47" t="n">
        <f aca="false">'Fault &amp; Downtime Entry'!A691</f>
        <v>686</v>
      </c>
      <c r="B690" s="48" t="n">
        <f aca="false">'Fault &amp; Downtime Entry'!B691</f>
        <v>0</v>
      </c>
      <c r="C690" s="47" t="n">
        <f aca="false">'Fault &amp; Downtime Entry'!C691</f>
        <v>0</v>
      </c>
      <c r="D690" s="47" t="n">
        <f aca="false">'Fault &amp; Downtime Entry'!D691</f>
        <v>0</v>
      </c>
      <c r="E690" s="47" t="n">
        <f aca="false">'Fault &amp; Downtime Entry'!E691</f>
        <v>0</v>
      </c>
      <c r="F690" s="47" t="str">
        <f aca="false">'Fault &amp; Downtime Entry'!F691</f>
        <v/>
      </c>
      <c r="G690" s="47" t="n">
        <f aca="false">'Fault &amp; Downtime Entry'!G691</f>
        <v>0</v>
      </c>
      <c r="H690" s="47" t="str">
        <f aca="false">'Fault &amp; Downtime Entry'!H691</f>
        <v/>
      </c>
      <c r="I690" s="47" t="str">
        <f aca="false">'Fault &amp; Downtime Entry'!I691</f>
        <v/>
      </c>
      <c r="J690" s="47" t="n">
        <f aca="false">'Fault &amp; Downtime Entry'!J691</f>
        <v>0</v>
      </c>
      <c r="K690" s="47" t="n">
        <f aca="false">'Fault &amp; Downtime Entry'!K691</f>
        <v>0</v>
      </c>
      <c r="L690" s="47" t="n">
        <f aca="false">'Fault &amp; Downtime Entry'!L691</f>
        <v>0</v>
      </c>
      <c r="M690" s="47" t="str">
        <f aca="false">'Fault &amp; Downtime Entry'!M691</f>
        <v/>
      </c>
      <c r="N690" s="47" t="n">
        <f aca="false">'Fault &amp; Downtime Entry'!N691</f>
        <v>0</v>
      </c>
      <c r="O690" s="47" t="n">
        <f aca="false">'Fault &amp; Downtime Entry'!O691</f>
        <v>0</v>
      </c>
      <c r="P690" s="47" t="str">
        <f aca="false">IF(OR(J690="",K690=""),"",IFERROR(J690/K690*1000,0))</f>
        <v/>
      </c>
      <c r="Q690" s="47" t="str">
        <f aca="false">IF(OR(L690="",K690=""),"",IFERROR(L690/K690*1000,0))</f>
        <v/>
      </c>
      <c r="R690" s="47" t="str">
        <f aca="false">IF(OR(M690="High",M690="Critical"),"YES","")</f>
        <v/>
      </c>
    </row>
    <row r="691" customFormat="false" ht="15" hidden="false" customHeight="true" outlineLevel="0" collapsed="false">
      <c r="A691" s="47" t="n">
        <f aca="false">'Fault &amp; Downtime Entry'!A692</f>
        <v>687</v>
      </c>
      <c r="B691" s="48" t="n">
        <f aca="false">'Fault &amp; Downtime Entry'!B692</f>
        <v>0</v>
      </c>
      <c r="C691" s="47" t="n">
        <f aca="false">'Fault &amp; Downtime Entry'!C692</f>
        <v>0</v>
      </c>
      <c r="D691" s="47" t="n">
        <f aca="false">'Fault &amp; Downtime Entry'!D692</f>
        <v>0</v>
      </c>
      <c r="E691" s="47" t="n">
        <f aca="false">'Fault &amp; Downtime Entry'!E692</f>
        <v>0</v>
      </c>
      <c r="F691" s="47" t="str">
        <f aca="false">'Fault &amp; Downtime Entry'!F692</f>
        <v/>
      </c>
      <c r="G691" s="47" t="n">
        <f aca="false">'Fault &amp; Downtime Entry'!G692</f>
        <v>0</v>
      </c>
      <c r="H691" s="47" t="str">
        <f aca="false">'Fault &amp; Downtime Entry'!H692</f>
        <v/>
      </c>
      <c r="I691" s="47" t="str">
        <f aca="false">'Fault &amp; Downtime Entry'!I692</f>
        <v/>
      </c>
      <c r="J691" s="47" t="n">
        <f aca="false">'Fault &amp; Downtime Entry'!J692</f>
        <v>0</v>
      </c>
      <c r="K691" s="47" t="n">
        <f aca="false">'Fault &amp; Downtime Entry'!K692</f>
        <v>0</v>
      </c>
      <c r="L691" s="47" t="n">
        <f aca="false">'Fault &amp; Downtime Entry'!L692</f>
        <v>0</v>
      </c>
      <c r="M691" s="47" t="str">
        <f aca="false">'Fault &amp; Downtime Entry'!M692</f>
        <v/>
      </c>
      <c r="N691" s="47" t="n">
        <f aca="false">'Fault &amp; Downtime Entry'!N692</f>
        <v>0</v>
      </c>
      <c r="O691" s="47" t="n">
        <f aca="false">'Fault &amp; Downtime Entry'!O692</f>
        <v>0</v>
      </c>
      <c r="P691" s="47" t="str">
        <f aca="false">IF(OR(J691="",K691=""),"",IFERROR(J691/K691*1000,0))</f>
        <v/>
      </c>
      <c r="Q691" s="47" t="str">
        <f aca="false">IF(OR(L691="",K691=""),"",IFERROR(L691/K691*1000,0))</f>
        <v/>
      </c>
      <c r="R691" s="47" t="str">
        <f aca="false">IF(OR(M691="High",M691="Critical"),"YES","")</f>
        <v/>
      </c>
    </row>
    <row r="692" customFormat="false" ht="15" hidden="false" customHeight="true" outlineLevel="0" collapsed="false">
      <c r="A692" s="47" t="n">
        <f aca="false">'Fault &amp; Downtime Entry'!A693</f>
        <v>688</v>
      </c>
      <c r="B692" s="48" t="n">
        <f aca="false">'Fault &amp; Downtime Entry'!B693</f>
        <v>0</v>
      </c>
      <c r="C692" s="47" t="n">
        <f aca="false">'Fault &amp; Downtime Entry'!C693</f>
        <v>0</v>
      </c>
      <c r="D692" s="47" t="n">
        <f aca="false">'Fault &amp; Downtime Entry'!D693</f>
        <v>0</v>
      </c>
      <c r="E692" s="47" t="n">
        <f aca="false">'Fault &amp; Downtime Entry'!E693</f>
        <v>0</v>
      </c>
      <c r="F692" s="47" t="str">
        <f aca="false">'Fault &amp; Downtime Entry'!F693</f>
        <v/>
      </c>
      <c r="G692" s="47" t="n">
        <f aca="false">'Fault &amp; Downtime Entry'!G693</f>
        <v>0</v>
      </c>
      <c r="H692" s="47" t="str">
        <f aca="false">'Fault &amp; Downtime Entry'!H693</f>
        <v/>
      </c>
      <c r="I692" s="47" t="str">
        <f aca="false">'Fault &amp; Downtime Entry'!I693</f>
        <v/>
      </c>
      <c r="J692" s="47" t="n">
        <f aca="false">'Fault &amp; Downtime Entry'!J693</f>
        <v>0</v>
      </c>
      <c r="K692" s="47" t="n">
        <f aca="false">'Fault &amp; Downtime Entry'!K693</f>
        <v>0</v>
      </c>
      <c r="L692" s="47" t="n">
        <f aca="false">'Fault &amp; Downtime Entry'!L693</f>
        <v>0</v>
      </c>
      <c r="M692" s="47" t="str">
        <f aca="false">'Fault &amp; Downtime Entry'!M693</f>
        <v/>
      </c>
      <c r="N692" s="47" t="n">
        <f aca="false">'Fault &amp; Downtime Entry'!N693</f>
        <v>0</v>
      </c>
      <c r="O692" s="47" t="n">
        <f aca="false">'Fault &amp; Downtime Entry'!O693</f>
        <v>0</v>
      </c>
      <c r="P692" s="47" t="str">
        <f aca="false">IF(OR(J692="",K692=""),"",IFERROR(J692/K692*1000,0))</f>
        <v/>
      </c>
      <c r="Q692" s="47" t="str">
        <f aca="false">IF(OR(L692="",K692=""),"",IFERROR(L692/K692*1000,0))</f>
        <v/>
      </c>
      <c r="R692" s="47" t="str">
        <f aca="false">IF(OR(M692="High",M692="Critical"),"YES","")</f>
        <v/>
      </c>
    </row>
    <row r="693" customFormat="false" ht="15" hidden="false" customHeight="true" outlineLevel="0" collapsed="false">
      <c r="A693" s="47" t="n">
        <f aca="false">'Fault &amp; Downtime Entry'!A694</f>
        <v>689</v>
      </c>
      <c r="B693" s="48" t="n">
        <f aca="false">'Fault &amp; Downtime Entry'!B694</f>
        <v>0</v>
      </c>
      <c r="C693" s="47" t="n">
        <f aca="false">'Fault &amp; Downtime Entry'!C694</f>
        <v>0</v>
      </c>
      <c r="D693" s="47" t="n">
        <f aca="false">'Fault &amp; Downtime Entry'!D694</f>
        <v>0</v>
      </c>
      <c r="E693" s="47" t="n">
        <f aca="false">'Fault &amp; Downtime Entry'!E694</f>
        <v>0</v>
      </c>
      <c r="F693" s="47" t="str">
        <f aca="false">'Fault &amp; Downtime Entry'!F694</f>
        <v/>
      </c>
      <c r="G693" s="47" t="n">
        <f aca="false">'Fault &amp; Downtime Entry'!G694</f>
        <v>0</v>
      </c>
      <c r="H693" s="47" t="str">
        <f aca="false">'Fault &amp; Downtime Entry'!H694</f>
        <v/>
      </c>
      <c r="I693" s="47" t="str">
        <f aca="false">'Fault &amp; Downtime Entry'!I694</f>
        <v/>
      </c>
      <c r="J693" s="47" t="n">
        <f aca="false">'Fault &amp; Downtime Entry'!J694</f>
        <v>0</v>
      </c>
      <c r="K693" s="47" t="n">
        <f aca="false">'Fault &amp; Downtime Entry'!K694</f>
        <v>0</v>
      </c>
      <c r="L693" s="47" t="n">
        <f aca="false">'Fault &amp; Downtime Entry'!L694</f>
        <v>0</v>
      </c>
      <c r="M693" s="47" t="str">
        <f aca="false">'Fault &amp; Downtime Entry'!M694</f>
        <v/>
      </c>
      <c r="N693" s="47" t="n">
        <f aca="false">'Fault &amp; Downtime Entry'!N694</f>
        <v>0</v>
      </c>
      <c r="O693" s="47" t="n">
        <f aca="false">'Fault &amp; Downtime Entry'!O694</f>
        <v>0</v>
      </c>
      <c r="P693" s="47" t="str">
        <f aca="false">IF(OR(J693="",K693=""),"",IFERROR(J693/K693*1000,0))</f>
        <v/>
      </c>
      <c r="Q693" s="47" t="str">
        <f aca="false">IF(OR(L693="",K693=""),"",IFERROR(L693/K693*1000,0))</f>
        <v/>
      </c>
      <c r="R693" s="47" t="str">
        <f aca="false">IF(OR(M693="High",M693="Critical"),"YES","")</f>
        <v/>
      </c>
    </row>
    <row r="694" customFormat="false" ht="15" hidden="false" customHeight="true" outlineLevel="0" collapsed="false">
      <c r="A694" s="47" t="n">
        <f aca="false">'Fault &amp; Downtime Entry'!A695</f>
        <v>690</v>
      </c>
      <c r="B694" s="48" t="n">
        <f aca="false">'Fault &amp; Downtime Entry'!B695</f>
        <v>0</v>
      </c>
      <c r="C694" s="47" t="n">
        <f aca="false">'Fault &amp; Downtime Entry'!C695</f>
        <v>0</v>
      </c>
      <c r="D694" s="47" t="n">
        <f aca="false">'Fault &amp; Downtime Entry'!D695</f>
        <v>0</v>
      </c>
      <c r="E694" s="47" t="n">
        <f aca="false">'Fault &amp; Downtime Entry'!E695</f>
        <v>0</v>
      </c>
      <c r="F694" s="47" t="str">
        <f aca="false">'Fault &amp; Downtime Entry'!F695</f>
        <v/>
      </c>
      <c r="G694" s="47" t="n">
        <f aca="false">'Fault &amp; Downtime Entry'!G695</f>
        <v>0</v>
      </c>
      <c r="H694" s="47" t="str">
        <f aca="false">'Fault &amp; Downtime Entry'!H695</f>
        <v/>
      </c>
      <c r="I694" s="47" t="str">
        <f aca="false">'Fault &amp; Downtime Entry'!I695</f>
        <v/>
      </c>
      <c r="J694" s="47" t="n">
        <f aca="false">'Fault &amp; Downtime Entry'!J695</f>
        <v>0</v>
      </c>
      <c r="K694" s="47" t="n">
        <f aca="false">'Fault &amp; Downtime Entry'!K695</f>
        <v>0</v>
      </c>
      <c r="L694" s="47" t="n">
        <f aca="false">'Fault &amp; Downtime Entry'!L695</f>
        <v>0</v>
      </c>
      <c r="M694" s="47" t="str">
        <f aca="false">'Fault &amp; Downtime Entry'!M695</f>
        <v/>
      </c>
      <c r="N694" s="47" t="n">
        <f aca="false">'Fault &amp; Downtime Entry'!N695</f>
        <v>0</v>
      </c>
      <c r="O694" s="47" t="n">
        <f aca="false">'Fault &amp; Downtime Entry'!O695</f>
        <v>0</v>
      </c>
      <c r="P694" s="47" t="str">
        <f aca="false">IF(OR(J694="",K694=""),"",IFERROR(J694/K694*1000,0))</f>
        <v/>
      </c>
      <c r="Q694" s="47" t="str">
        <f aca="false">IF(OR(L694="",K694=""),"",IFERROR(L694/K694*1000,0))</f>
        <v/>
      </c>
      <c r="R694" s="47" t="str">
        <f aca="false">IF(OR(M694="High",M694="Critical"),"YES","")</f>
        <v/>
      </c>
    </row>
    <row r="695" customFormat="false" ht="15" hidden="false" customHeight="true" outlineLevel="0" collapsed="false">
      <c r="A695" s="47" t="n">
        <f aca="false">'Fault &amp; Downtime Entry'!A696</f>
        <v>691</v>
      </c>
      <c r="B695" s="48" t="n">
        <f aca="false">'Fault &amp; Downtime Entry'!B696</f>
        <v>0</v>
      </c>
      <c r="C695" s="47" t="n">
        <f aca="false">'Fault &amp; Downtime Entry'!C696</f>
        <v>0</v>
      </c>
      <c r="D695" s="47" t="n">
        <f aca="false">'Fault &amp; Downtime Entry'!D696</f>
        <v>0</v>
      </c>
      <c r="E695" s="47" t="n">
        <f aca="false">'Fault &amp; Downtime Entry'!E696</f>
        <v>0</v>
      </c>
      <c r="F695" s="47" t="str">
        <f aca="false">'Fault &amp; Downtime Entry'!F696</f>
        <v/>
      </c>
      <c r="G695" s="47" t="n">
        <f aca="false">'Fault &amp; Downtime Entry'!G696</f>
        <v>0</v>
      </c>
      <c r="H695" s="47" t="str">
        <f aca="false">'Fault &amp; Downtime Entry'!H696</f>
        <v/>
      </c>
      <c r="I695" s="47" t="str">
        <f aca="false">'Fault &amp; Downtime Entry'!I696</f>
        <v/>
      </c>
      <c r="J695" s="47" t="n">
        <f aca="false">'Fault &amp; Downtime Entry'!J696</f>
        <v>0</v>
      </c>
      <c r="K695" s="47" t="n">
        <f aca="false">'Fault &amp; Downtime Entry'!K696</f>
        <v>0</v>
      </c>
      <c r="L695" s="47" t="n">
        <f aca="false">'Fault &amp; Downtime Entry'!L696</f>
        <v>0</v>
      </c>
      <c r="M695" s="47" t="str">
        <f aca="false">'Fault &amp; Downtime Entry'!M696</f>
        <v/>
      </c>
      <c r="N695" s="47" t="n">
        <f aca="false">'Fault &amp; Downtime Entry'!N696</f>
        <v>0</v>
      </c>
      <c r="O695" s="47" t="n">
        <f aca="false">'Fault &amp; Downtime Entry'!O696</f>
        <v>0</v>
      </c>
      <c r="P695" s="47" t="str">
        <f aca="false">IF(OR(J695="",K695=""),"",IFERROR(J695/K695*1000,0))</f>
        <v/>
      </c>
      <c r="Q695" s="47" t="str">
        <f aca="false">IF(OR(L695="",K695=""),"",IFERROR(L695/K695*1000,0))</f>
        <v/>
      </c>
      <c r="R695" s="47" t="str">
        <f aca="false">IF(OR(M695="High",M695="Critical"),"YES","")</f>
        <v/>
      </c>
    </row>
    <row r="696" customFormat="false" ht="15" hidden="false" customHeight="true" outlineLevel="0" collapsed="false">
      <c r="A696" s="47" t="n">
        <f aca="false">'Fault &amp; Downtime Entry'!A697</f>
        <v>692</v>
      </c>
      <c r="B696" s="48" t="n">
        <f aca="false">'Fault &amp; Downtime Entry'!B697</f>
        <v>0</v>
      </c>
      <c r="C696" s="47" t="n">
        <f aca="false">'Fault &amp; Downtime Entry'!C697</f>
        <v>0</v>
      </c>
      <c r="D696" s="47" t="n">
        <f aca="false">'Fault &amp; Downtime Entry'!D697</f>
        <v>0</v>
      </c>
      <c r="E696" s="47" t="n">
        <f aca="false">'Fault &amp; Downtime Entry'!E697</f>
        <v>0</v>
      </c>
      <c r="F696" s="47" t="str">
        <f aca="false">'Fault &amp; Downtime Entry'!F697</f>
        <v/>
      </c>
      <c r="G696" s="47" t="n">
        <f aca="false">'Fault &amp; Downtime Entry'!G697</f>
        <v>0</v>
      </c>
      <c r="H696" s="47" t="str">
        <f aca="false">'Fault &amp; Downtime Entry'!H697</f>
        <v/>
      </c>
      <c r="I696" s="47" t="str">
        <f aca="false">'Fault &amp; Downtime Entry'!I697</f>
        <v/>
      </c>
      <c r="J696" s="47" t="n">
        <f aca="false">'Fault &amp; Downtime Entry'!J697</f>
        <v>0</v>
      </c>
      <c r="K696" s="47" t="n">
        <f aca="false">'Fault &amp; Downtime Entry'!K697</f>
        <v>0</v>
      </c>
      <c r="L696" s="47" t="n">
        <f aca="false">'Fault &amp; Downtime Entry'!L697</f>
        <v>0</v>
      </c>
      <c r="M696" s="47" t="str">
        <f aca="false">'Fault &amp; Downtime Entry'!M697</f>
        <v/>
      </c>
      <c r="N696" s="47" t="n">
        <f aca="false">'Fault &amp; Downtime Entry'!N697</f>
        <v>0</v>
      </c>
      <c r="O696" s="47" t="n">
        <f aca="false">'Fault &amp; Downtime Entry'!O697</f>
        <v>0</v>
      </c>
      <c r="P696" s="47" t="str">
        <f aca="false">IF(OR(J696="",K696=""),"",IFERROR(J696/K696*1000,0))</f>
        <v/>
      </c>
      <c r="Q696" s="47" t="str">
        <f aca="false">IF(OR(L696="",K696=""),"",IFERROR(L696/K696*1000,0))</f>
        <v/>
      </c>
      <c r="R696" s="47" t="str">
        <f aca="false">IF(OR(M696="High",M696="Critical"),"YES","")</f>
        <v/>
      </c>
    </row>
    <row r="697" customFormat="false" ht="15" hidden="false" customHeight="true" outlineLevel="0" collapsed="false">
      <c r="A697" s="47" t="n">
        <f aca="false">'Fault &amp; Downtime Entry'!A698</f>
        <v>693</v>
      </c>
      <c r="B697" s="48" t="n">
        <f aca="false">'Fault &amp; Downtime Entry'!B698</f>
        <v>0</v>
      </c>
      <c r="C697" s="47" t="n">
        <f aca="false">'Fault &amp; Downtime Entry'!C698</f>
        <v>0</v>
      </c>
      <c r="D697" s="47" t="n">
        <f aca="false">'Fault &amp; Downtime Entry'!D698</f>
        <v>0</v>
      </c>
      <c r="E697" s="47" t="n">
        <f aca="false">'Fault &amp; Downtime Entry'!E698</f>
        <v>0</v>
      </c>
      <c r="F697" s="47" t="str">
        <f aca="false">'Fault &amp; Downtime Entry'!F698</f>
        <v/>
      </c>
      <c r="G697" s="47" t="n">
        <f aca="false">'Fault &amp; Downtime Entry'!G698</f>
        <v>0</v>
      </c>
      <c r="H697" s="47" t="str">
        <f aca="false">'Fault &amp; Downtime Entry'!H698</f>
        <v/>
      </c>
      <c r="I697" s="47" t="str">
        <f aca="false">'Fault &amp; Downtime Entry'!I698</f>
        <v/>
      </c>
      <c r="J697" s="47" t="n">
        <f aca="false">'Fault &amp; Downtime Entry'!J698</f>
        <v>0</v>
      </c>
      <c r="K697" s="47" t="n">
        <f aca="false">'Fault &amp; Downtime Entry'!K698</f>
        <v>0</v>
      </c>
      <c r="L697" s="47" t="n">
        <f aca="false">'Fault &amp; Downtime Entry'!L698</f>
        <v>0</v>
      </c>
      <c r="M697" s="47" t="str">
        <f aca="false">'Fault &amp; Downtime Entry'!M698</f>
        <v/>
      </c>
      <c r="N697" s="47" t="n">
        <f aca="false">'Fault &amp; Downtime Entry'!N698</f>
        <v>0</v>
      </c>
      <c r="O697" s="47" t="n">
        <f aca="false">'Fault &amp; Downtime Entry'!O698</f>
        <v>0</v>
      </c>
      <c r="P697" s="47" t="str">
        <f aca="false">IF(OR(J697="",K697=""),"",IFERROR(J697/K697*1000,0))</f>
        <v/>
      </c>
      <c r="Q697" s="47" t="str">
        <f aca="false">IF(OR(L697="",K697=""),"",IFERROR(L697/K697*1000,0))</f>
        <v/>
      </c>
      <c r="R697" s="47" t="str">
        <f aca="false">IF(OR(M697="High",M697="Critical"),"YES","")</f>
        <v/>
      </c>
    </row>
    <row r="698" customFormat="false" ht="15" hidden="false" customHeight="true" outlineLevel="0" collapsed="false">
      <c r="A698" s="47" t="n">
        <f aca="false">'Fault &amp; Downtime Entry'!A699</f>
        <v>694</v>
      </c>
      <c r="B698" s="48" t="n">
        <f aca="false">'Fault &amp; Downtime Entry'!B699</f>
        <v>0</v>
      </c>
      <c r="C698" s="47" t="n">
        <f aca="false">'Fault &amp; Downtime Entry'!C699</f>
        <v>0</v>
      </c>
      <c r="D698" s="47" t="n">
        <f aca="false">'Fault &amp; Downtime Entry'!D699</f>
        <v>0</v>
      </c>
      <c r="E698" s="47" t="n">
        <f aca="false">'Fault &amp; Downtime Entry'!E699</f>
        <v>0</v>
      </c>
      <c r="F698" s="47" t="str">
        <f aca="false">'Fault &amp; Downtime Entry'!F699</f>
        <v/>
      </c>
      <c r="G698" s="47" t="n">
        <f aca="false">'Fault &amp; Downtime Entry'!G699</f>
        <v>0</v>
      </c>
      <c r="H698" s="47" t="str">
        <f aca="false">'Fault &amp; Downtime Entry'!H699</f>
        <v/>
      </c>
      <c r="I698" s="47" t="str">
        <f aca="false">'Fault &amp; Downtime Entry'!I699</f>
        <v/>
      </c>
      <c r="J698" s="47" t="n">
        <f aca="false">'Fault &amp; Downtime Entry'!J699</f>
        <v>0</v>
      </c>
      <c r="K698" s="47" t="n">
        <f aca="false">'Fault &amp; Downtime Entry'!K699</f>
        <v>0</v>
      </c>
      <c r="L698" s="47" t="n">
        <f aca="false">'Fault &amp; Downtime Entry'!L699</f>
        <v>0</v>
      </c>
      <c r="M698" s="47" t="str">
        <f aca="false">'Fault &amp; Downtime Entry'!M699</f>
        <v/>
      </c>
      <c r="N698" s="47" t="n">
        <f aca="false">'Fault &amp; Downtime Entry'!N699</f>
        <v>0</v>
      </c>
      <c r="O698" s="47" t="n">
        <f aca="false">'Fault &amp; Downtime Entry'!O699</f>
        <v>0</v>
      </c>
      <c r="P698" s="47" t="str">
        <f aca="false">IF(OR(J698="",K698=""),"",IFERROR(J698/K698*1000,0))</f>
        <v/>
      </c>
      <c r="Q698" s="47" t="str">
        <f aca="false">IF(OR(L698="",K698=""),"",IFERROR(L698/K698*1000,0))</f>
        <v/>
      </c>
      <c r="R698" s="47" t="str">
        <f aca="false">IF(OR(M698="High",M698="Critical"),"YES","")</f>
        <v/>
      </c>
    </row>
    <row r="699" customFormat="false" ht="15" hidden="false" customHeight="true" outlineLevel="0" collapsed="false">
      <c r="A699" s="47" t="n">
        <f aca="false">'Fault &amp; Downtime Entry'!A700</f>
        <v>695</v>
      </c>
      <c r="B699" s="48" t="n">
        <f aca="false">'Fault &amp; Downtime Entry'!B700</f>
        <v>0</v>
      </c>
      <c r="C699" s="47" t="n">
        <f aca="false">'Fault &amp; Downtime Entry'!C700</f>
        <v>0</v>
      </c>
      <c r="D699" s="47" t="n">
        <f aca="false">'Fault &amp; Downtime Entry'!D700</f>
        <v>0</v>
      </c>
      <c r="E699" s="47" t="n">
        <f aca="false">'Fault &amp; Downtime Entry'!E700</f>
        <v>0</v>
      </c>
      <c r="F699" s="47" t="str">
        <f aca="false">'Fault &amp; Downtime Entry'!F700</f>
        <v/>
      </c>
      <c r="G699" s="47" t="n">
        <f aca="false">'Fault &amp; Downtime Entry'!G700</f>
        <v>0</v>
      </c>
      <c r="H699" s="47" t="str">
        <f aca="false">'Fault &amp; Downtime Entry'!H700</f>
        <v/>
      </c>
      <c r="I699" s="47" t="str">
        <f aca="false">'Fault &amp; Downtime Entry'!I700</f>
        <v/>
      </c>
      <c r="J699" s="47" t="n">
        <f aca="false">'Fault &amp; Downtime Entry'!J700</f>
        <v>0</v>
      </c>
      <c r="K699" s="47" t="n">
        <f aca="false">'Fault &amp; Downtime Entry'!K700</f>
        <v>0</v>
      </c>
      <c r="L699" s="47" t="n">
        <f aca="false">'Fault &amp; Downtime Entry'!L700</f>
        <v>0</v>
      </c>
      <c r="M699" s="47" t="str">
        <f aca="false">'Fault &amp; Downtime Entry'!M700</f>
        <v/>
      </c>
      <c r="N699" s="47" t="n">
        <f aca="false">'Fault &amp; Downtime Entry'!N700</f>
        <v>0</v>
      </c>
      <c r="O699" s="47" t="n">
        <f aca="false">'Fault &amp; Downtime Entry'!O700</f>
        <v>0</v>
      </c>
      <c r="P699" s="47" t="str">
        <f aca="false">IF(OR(J699="",K699=""),"",IFERROR(J699/K699*1000,0))</f>
        <v/>
      </c>
      <c r="Q699" s="47" t="str">
        <f aca="false">IF(OR(L699="",K699=""),"",IFERROR(L699/K699*1000,0))</f>
        <v/>
      </c>
      <c r="R699" s="47" t="str">
        <f aca="false">IF(OR(M699="High",M699="Critical"),"YES","")</f>
        <v/>
      </c>
    </row>
    <row r="700" customFormat="false" ht="15" hidden="false" customHeight="true" outlineLevel="0" collapsed="false">
      <c r="A700" s="47" t="n">
        <f aca="false">'Fault &amp; Downtime Entry'!A701</f>
        <v>696</v>
      </c>
      <c r="B700" s="48" t="n">
        <f aca="false">'Fault &amp; Downtime Entry'!B701</f>
        <v>0</v>
      </c>
      <c r="C700" s="47" t="n">
        <f aca="false">'Fault &amp; Downtime Entry'!C701</f>
        <v>0</v>
      </c>
      <c r="D700" s="47" t="n">
        <f aca="false">'Fault &amp; Downtime Entry'!D701</f>
        <v>0</v>
      </c>
      <c r="E700" s="47" t="n">
        <f aca="false">'Fault &amp; Downtime Entry'!E701</f>
        <v>0</v>
      </c>
      <c r="F700" s="47" t="str">
        <f aca="false">'Fault &amp; Downtime Entry'!F701</f>
        <v/>
      </c>
      <c r="G700" s="47" t="n">
        <f aca="false">'Fault &amp; Downtime Entry'!G701</f>
        <v>0</v>
      </c>
      <c r="H700" s="47" t="str">
        <f aca="false">'Fault &amp; Downtime Entry'!H701</f>
        <v/>
      </c>
      <c r="I700" s="47" t="str">
        <f aca="false">'Fault &amp; Downtime Entry'!I701</f>
        <v/>
      </c>
      <c r="J700" s="47" t="n">
        <f aca="false">'Fault &amp; Downtime Entry'!J701</f>
        <v>0</v>
      </c>
      <c r="K700" s="47" t="n">
        <f aca="false">'Fault &amp; Downtime Entry'!K701</f>
        <v>0</v>
      </c>
      <c r="L700" s="47" t="n">
        <f aca="false">'Fault &amp; Downtime Entry'!L701</f>
        <v>0</v>
      </c>
      <c r="M700" s="47" t="str">
        <f aca="false">'Fault &amp; Downtime Entry'!M701</f>
        <v/>
      </c>
      <c r="N700" s="47" t="n">
        <f aca="false">'Fault &amp; Downtime Entry'!N701</f>
        <v>0</v>
      </c>
      <c r="O700" s="47" t="n">
        <f aca="false">'Fault &amp; Downtime Entry'!O701</f>
        <v>0</v>
      </c>
      <c r="P700" s="47" t="str">
        <f aca="false">IF(OR(J700="",K700=""),"",IFERROR(J700/K700*1000,0))</f>
        <v/>
      </c>
      <c r="Q700" s="47" t="str">
        <f aca="false">IF(OR(L700="",K700=""),"",IFERROR(L700/K700*1000,0))</f>
        <v/>
      </c>
      <c r="R700" s="47" t="str">
        <f aca="false">IF(OR(M700="High",M700="Critical"),"YES","")</f>
        <v/>
      </c>
    </row>
    <row r="701" customFormat="false" ht="15" hidden="false" customHeight="true" outlineLevel="0" collapsed="false">
      <c r="A701" s="47" t="n">
        <f aca="false">'Fault &amp; Downtime Entry'!A702</f>
        <v>697</v>
      </c>
      <c r="B701" s="48" t="n">
        <f aca="false">'Fault &amp; Downtime Entry'!B702</f>
        <v>0</v>
      </c>
      <c r="C701" s="47" t="n">
        <f aca="false">'Fault &amp; Downtime Entry'!C702</f>
        <v>0</v>
      </c>
      <c r="D701" s="47" t="n">
        <f aca="false">'Fault &amp; Downtime Entry'!D702</f>
        <v>0</v>
      </c>
      <c r="E701" s="47" t="n">
        <f aca="false">'Fault &amp; Downtime Entry'!E702</f>
        <v>0</v>
      </c>
      <c r="F701" s="47" t="str">
        <f aca="false">'Fault &amp; Downtime Entry'!F702</f>
        <v/>
      </c>
      <c r="G701" s="47" t="n">
        <f aca="false">'Fault &amp; Downtime Entry'!G702</f>
        <v>0</v>
      </c>
      <c r="H701" s="47" t="str">
        <f aca="false">'Fault &amp; Downtime Entry'!H702</f>
        <v/>
      </c>
      <c r="I701" s="47" t="str">
        <f aca="false">'Fault &amp; Downtime Entry'!I702</f>
        <v/>
      </c>
      <c r="J701" s="47" t="n">
        <f aca="false">'Fault &amp; Downtime Entry'!J702</f>
        <v>0</v>
      </c>
      <c r="K701" s="47" t="n">
        <f aca="false">'Fault &amp; Downtime Entry'!K702</f>
        <v>0</v>
      </c>
      <c r="L701" s="47" t="n">
        <f aca="false">'Fault &amp; Downtime Entry'!L702</f>
        <v>0</v>
      </c>
      <c r="M701" s="47" t="str">
        <f aca="false">'Fault &amp; Downtime Entry'!M702</f>
        <v/>
      </c>
      <c r="N701" s="47" t="n">
        <f aca="false">'Fault &amp; Downtime Entry'!N702</f>
        <v>0</v>
      </c>
      <c r="O701" s="47" t="n">
        <f aca="false">'Fault &amp; Downtime Entry'!O702</f>
        <v>0</v>
      </c>
      <c r="P701" s="47" t="str">
        <f aca="false">IF(OR(J701="",K701=""),"",IFERROR(J701/K701*1000,0))</f>
        <v/>
      </c>
      <c r="Q701" s="47" t="str">
        <f aca="false">IF(OR(L701="",K701=""),"",IFERROR(L701/K701*1000,0))</f>
        <v/>
      </c>
      <c r="R701" s="47" t="str">
        <f aca="false">IF(OR(M701="High",M701="Critical"),"YES","")</f>
        <v/>
      </c>
    </row>
    <row r="702" customFormat="false" ht="15" hidden="false" customHeight="true" outlineLevel="0" collapsed="false">
      <c r="A702" s="47" t="n">
        <f aca="false">'Fault &amp; Downtime Entry'!A703</f>
        <v>698</v>
      </c>
      <c r="B702" s="48" t="n">
        <f aca="false">'Fault &amp; Downtime Entry'!B703</f>
        <v>0</v>
      </c>
      <c r="C702" s="47" t="n">
        <f aca="false">'Fault &amp; Downtime Entry'!C703</f>
        <v>0</v>
      </c>
      <c r="D702" s="47" t="n">
        <f aca="false">'Fault &amp; Downtime Entry'!D703</f>
        <v>0</v>
      </c>
      <c r="E702" s="47" t="n">
        <f aca="false">'Fault &amp; Downtime Entry'!E703</f>
        <v>0</v>
      </c>
      <c r="F702" s="47" t="str">
        <f aca="false">'Fault &amp; Downtime Entry'!F703</f>
        <v/>
      </c>
      <c r="G702" s="47" t="n">
        <f aca="false">'Fault &amp; Downtime Entry'!G703</f>
        <v>0</v>
      </c>
      <c r="H702" s="47" t="str">
        <f aca="false">'Fault &amp; Downtime Entry'!H703</f>
        <v/>
      </c>
      <c r="I702" s="47" t="str">
        <f aca="false">'Fault &amp; Downtime Entry'!I703</f>
        <v/>
      </c>
      <c r="J702" s="47" t="n">
        <f aca="false">'Fault &amp; Downtime Entry'!J703</f>
        <v>0</v>
      </c>
      <c r="K702" s="47" t="n">
        <f aca="false">'Fault &amp; Downtime Entry'!K703</f>
        <v>0</v>
      </c>
      <c r="L702" s="47" t="n">
        <f aca="false">'Fault &amp; Downtime Entry'!L703</f>
        <v>0</v>
      </c>
      <c r="M702" s="47" t="str">
        <f aca="false">'Fault &amp; Downtime Entry'!M703</f>
        <v/>
      </c>
      <c r="N702" s="47" t="n">
        <f aca="false">'Fault &amp; Downtime Entry'!N703</f>
        <v>0</v>
      </c>
      <c r="O702" s="47" t="n">
        <f aca="false">'Fault &amp; Downtime Entry'!O703</f>
        <v>0</v>
      </c>
      <c r="P702" s="47" t="str">
        <f aca="false">IF(OR(J702="",K702=""),"",IFERROR(J702/K702*1000,0))</f>
        <v/>
      </c>
      <c r="Q702" s="47" t="str">
        <f aca="false">IF(OR(L702="",K702=""),"",IFERROR(L702/K702*1000,0))</f>
        <v/>
      </c>
      <c r="R702" s="47" t="str">
        <f aca="false">IF(OR(M702="High",M702="Critical"),"YES","")</f>
        <v/>
      </c>
    </row>
    <row r="703" customFormat="false" ht="15" hidden="false" customHeight="true" outlineLevel="0" collapsed="false">
      <c r="A703" s="47" t="n">
        <f aca="false">'Fault &amp; Downtime Entry'!A704</f>
        <v>699</v>
      </c>
      <c r="B703" s="48" t="n">
        <f aca="false">'Fault &amp; Downtime Entry'!B704</f>
        <v>0</v>
      </c>
      <c r="C703" s="47" t="n">
        <f aca="false">'Fault &amp; Downtime Entry'!C704</f>
        <v>0</v>
      </c>
      <c r="D703" s="47" t="n">
        <f aca="false">'Fault &amp; Downtime Entry'!D704</f>
        <v>0</v>
      </c>
      <c r="E703" s="47" t="n">
        <f aca="false">'Fault &amp; Downtime Entry'!E704</f>
        <v>0</v>
      </c>
      <c r="F703" s="47" t="str">
        <f aca="false">'Fault &amp; Downtime Entry'!F704</f>
        <v/>
      </c>
      <c r="G703" s="47" t="n">
        <f aca="false">'Fault &amp; Downtime Entry'!G704</f>
        <v>0</v>
      </c>
      <c r="H703" s="47" t="str">
        <f aca="false">'Fault &amp; Downtime Entry'!H704</f>
        <v/>
      </c>
      <c r="I703" s="47" t="str">
        <f aca="false">'Fault &amp; Downtime Entry'!I704</f>
        <v/>
      </c>
      <c r="J703" s="47" t="n">
        <f aca="false">'Fault &amp; Downtime Entry'!J704</f>
        <v>0</v>
      </c>
      <c r="K703" s="47" t="n">
        <f aca="false">'Fault &amp; Downtime Entry'!K704</f>
        <v>0</v>
      </c>
      <c r="L703" s="47" t="n">
        <f aca="false">'Fault &amp; Downtime Entry'!L704</f>
        <v>0</v>
      </c>
      <c r="M703" s="47" t="str">
        <f aca="false">'Fault &amp; Downtime Entry'!M704</f>
        <v/>
      </c>
      <c r="N703" s="47" t="n">
        <f aca="false">'Fault &amp; Downtime Entry'!N704</f>
        <v>0</v>
      </c>
      <c r="O703" s="47" t="n">
        <f aca="false">'Fault &amp; Downtime Entry'!O704</f>
        <v>0</v>
      </c>
      <c r="P703" s="47" t="str">
        <f aca="false">IF(OR(J703="",K703=""),"",IFERROR(J703/K703*1000,0))</f>
        <v/>
      </c>
      <c r="Q703" s="47" t="str">
        <f aca="false">IF(OR(L703="",K703=""),"",IFERROR(L703/K703*1000,0))</f>
        <v/>
      </c>
      <c r="R703" s="47" t="str">
        <f aca="false">IF(OR(M703="High",M703="Critical"),"YES","")</f>
        <v/>
      </c>
    </row>
    <row r="704" customFormat="false" ht="15" hidden="false" customHeight="true" outlineLevel="0" collapsed="false">
      <c r="A704" s="47" t="n">
        <f aca="false">'Fault &amp; Downtime Entry'!A705</f>
        <v>700</v>
      </c>
      <c r="B704" s="48" t="n">
        <f aca="false">'Fault &amp; Downtime Entry'!B705</f>
        <v>0</v>
      </c>
      <c r="C704" s="47" t="n">
        <f aca="false">'Fault &amp; Downtime Entry'!C705</f>
        <v>0</v>
      </c>
      <c r="D704" s="47" t="n">
        <f aca="false">'Fault &amp; Downtime Entry'!D705</f>
        <v>0</v>
      </c>
      <c r="E704" s="47" t="n">
        <f aca="false">'Fault &amp; Downtime Entry'!E705</f>
        <v>0</v>
      </c>
      <c r="F704" s="47" t="str">
        <f aca="false">'Fault &amp; Downtime Entry'!F705</f>
        <v/>
      </c>
      <c r="G704" s="47" t="n">
        <f aca="false">'Fault &amp; Downtime Entry'!G705</f>
        <v>0</v>
      </c>
      <c r="H704" s="47" t="str">
        <f aca="false">'Fault &amp; Downtime Entry'!H705</f>
        <v/>
      </c>
      <c r="I704" s="47" t="str">
        <f aca="false">'Fault &amp; Downtime Entry'!I705</f>
        <v/>
      </c>
      <c r="J704" s="47" t="n">
        <f aca="false">'Fault &amp; Downtime Entry'!J705</f>
        <v>0</v>
      </c>
      <c r="K704" s="47" t="n">
        <f aca="false">'Fault &amp; Downtime Entry'!K705</f>
        <v>0</v>
      </c>
      <c r="L704" s="47" t="n">
        <f aca="false">'Fault &amp; Downtime Entry'!L705</f>
        <v>0</v>
      </c>
      <c r="M704" s="47" t="str">
        <f aca="false">'Fault &amp; Downtime Entry'!M705</f>
        <v/>
      </c>
      <c r="N704" s="47" t="n">
        <f aca="false">'Fault &amp; Downtime Entry'!N705</f>
        <v>0</v>
      </c>
      <c r="O704" s="47" t="n">
        <f aca="false">'Fault &amp; Downtime Entry'!O705</f>
        <v>0</v>
      </c>
      <c r="P704" s="47" t="str">
        <f aca="false">IF(OR(J704="",K704=""),"",IFERROR(J704/K704*1000,0))</f>
        <v/>
      </c>
      <c r="Q704" s="47" t="str">
        <f aca="false">IF(OR(L704="",K704=""),"",IFERROR(L704/K704*1000,0))</f>
        <v/>
      </c>
      <c r="R704" s="47" t="str">
        <f aca="false">IF(OR(M704="High",M704="Critical"),"YES","")</f>
        <v/>
      </c>
    </row>
    <row r="705" customFormat="false" ht="15" hidden="false" customHeight="true" outlineLevel="0" collapsed="false">
      <c r="A705" s="47" t="n">
        <f aca="false">'Fault &amp; Downtime Entry'!A706</f>
        <v>701</v>
      </c>
      <c r="B705" s="48" t="n">
        <f aca="false">'Fault &amp; Downtime Entry'!B706</f>
        <v>0</v>
      </c>
      <c r="C705" s="47" t="n">
        <f aca="false">'Fault &amp; Downtime Entry'!C706</f>
        <v>0</v>
      </c>
      <c r="D705" s="47" t="n">
        <f aca="false">'Fault &amp; Downtime Entry'!D706</f>
        <v>0</v>
      </c>
      <c r="E705" s="47" t="n">
        <f aca="false">'Fault &amp; Downtime Entry'!E706</f>
        <v>0</v>
      </c>
      <c r="F705" s="47" t="str">
        <f aca="false">'Fault &amp; Downtime Entry'!F706</f>
        <v/>
      </c>
      <c r="G705" s="47" t="n">
        <f aca="false">'Fault &amp; Downtime Entry'!G706</f>
        <v>0</v>
      </c>
      <c r="H705" s="47" t="str">
        <f aca="false">'Fault &amp; Downtime Entry'!H706</f>
        <v/>
      </c>
      <c r="I705" s="47" t="str">
        <f aca="false">'Fault &amp; Downtime Entry'!I706</f>
        <v/>
      </c>
      <c r="J705" s="47" t="n">
        <f aca="false">'Fault &amp; Downtime Entry'!J706</f>
        <v>0</v>
      </c>
      <c r="K705" s="47" t="n">
        <f aca="false">'Fault &amp; Downtime Entry'!K706</f>
        <v>0</v>
      </c>
      <c r="L705" s="47" t="n">
        <f aca="false">'Fault &amp; Downtime Entry'!L706</f>
        <v>0</v>
      </c>
      <c r="M705" s="47" t="str">
        <f aca="false">'Fault &amp; Downtime Entry'!M706</f>
        <v/>
      </c>
      <c r="N705" s="47" t="n">
        <f aca="false">'Fault &amp; Downtime Entry'!N706</f>
        <v>0</v>
      </c>
      <c r="O705" s="47" t="n">
        <f aca="false">'Fault &amp; Downtime Entry'!O706</f>
        <v>0</v>
      </c>
      <c r="P705" s="47" t="str">
        <f aca="false">IF(OR(J705="",K705=""),"",IFERROR(J705/K705*1000,0))</f>
        <v/>
      </c>
      <c r="Q705" s="47" t="str">
        <f aca="false">IF(OR(L705="",K705=""),"",IFERROR(L705/K705*1000,0))</f>
        <v/>
      </c>
      <c r="R705" s="47" t="str">
        <f aca="false">IF(OR(M705="High",M705="Critical"),"YES","")</f>
        <v/>
      </c>
    </row>
    <row r="706" customFormat="false" ht="15" hidden="false" customHeight="true" outlineLevel="0" collapsed="false">
      <c r="A706" s="47" t="n">
        <f aca="false">'Fault &amp; Downtime Entry'!A707</f>
        <v>702</v>
      </c>
      <c r="B706" s="48" t="n">
        <f aca="false">'Fault &amp; Downtime Entry'!B707</f>
        <v>0</v>
      </c>
      <c r="C706" s="47" t="n">
        <f aca="false">'Fault &amp; Downtime Entry'!C707</f>
        <v>0</v>
      </c>
      <c r="D706" s="47" t="n">
        <f aca="false">'Fault &amp; Downtime Entry'!D707</f>
        <v>0</v>
      </c>
      <c r="E706" s="47" t="n">
        <f aca="false">'Fault &amp; Downtime Entry'!E707</f>
        <v>0</v>
      </c>
      <c r="F706" s="47" t="str">
        <f aca="false">'Fault &amp; Downtime Entry'!F707</f>
        <v/>
      </c>
      <c r="G706" s="47" t="n">
        <f aca="false">'Fault &amp; Downtime Entry'!G707</f>
        <v>0</v>
      </c>
      <c r="H706" s="47" t="str">
        <f aca="false">'Fault &amp; Downtime Entry'!H707</f>
        <v/>
      </c>
      <c r="I706" s="47" t="str">
        <f aca="false">'Fault &amp; Downtime Entry'!I707</f>
        <v/>
      </c>
      <c r="J706" s="47" t="n">
        <f aca="false">'Fault &amp; Downtime Entry'!J707</f>
        <v>0</v>
      </c>
      <c r="K706" s="47" t="n">
        <f aca="false">'Fault &amp; Downtime Entry'!K707</f>
        <v>0</v>
      </c>
      <c r="L706" s="47" t="n">
        <f aca="false">'Fault &amp; Downtime Entry'!L707</f>
        <v>0</v>
      </c>
      <c r="M706" s="47" t="str">
        <f aca="false">'Fault &amp; Downtime Entry'!M707</f>
        <v/>
      </c>
      <c r="N706" s="47" t="n">
        <f aca="false">'Fault &amp; Downtime Entry'!N707</f>
        <v>0</v>
      </c>
      <c r="O706" s="47" t="n">
        <f aca="false">'Fault &amp; Downtime Entry'!O707</f>
        <v>0</v>
      </c>
      <c r="P706" s="47" t="str">
        <f aca="false">IF(OR(J706="",K706=""),"",IFERROR(J706/K706*1000,0))</f>
        <v/>
      </c>
      <c r="Q706" s="47" t="str">
        <f aca="false">IF(OR(L706="",K706=""),"",IFERROR(L706/K706*1000,0))</f>
        <v/>
      </c>
      <c r="R706" s="47" t="str">
        <f aca="false">IF(OR(M706="High",M706="Critical"),"YES","")</f>
        <v/>
      </c>
    </row>
    <row r="707" customFormat="false" ht="15" hidden="false" customHeight="true" outlineLevel="0" collapsed="false">
      <c r="A707" s="47" t="n">
        <f aca="false">'Fault &amp; Downtime Entry'!A708</f>
        <v>703</v>
      </c>
      <c r="B707" s="48" t="n">
        <f aca="false">'Fault &amp; Downtime Entry'!B708</f>
        <v>0</v>
      </c>
      <c r="C707" s="47" t="n">
        <f aca="false">'Fault &amp; Downtime Entry'!C708</f>
        <v>0</v>
      </c>
      <c r="D707" s="47" t="n">
        <f aca="false">'Fault &amp; Downtime Entry'!D708</f>
        <v>0</v>
      </c>
      <c r="E707" s="47" t="n">
        <f aca="false">'Fault &amp; Downtime Entry'!E708</f>
        <v>0</v>
      </c>
      <c r="F707" s="47" t="str">
        <f aca="false">'Fault &amp; Downtime Entry'!F708</f>
        <v/>
      </c>
      <c r="G707" s="47" t="n">
        <f aca="false">'Fault &amp; Downtime Entry'!G708</f>
        <v>0</v>
      </c>
      <c r="H707" s="47" t="str">
        <f aca="false">'Fault &amp; Downtime Entry'!H708</f>
        <v/>
      </c>
      <c r="I707" s="47" t="str">
        <f aca="false">'Fault &amp; Downtime Entry'!I708</f>
        <v/>
      </c>
      <c r="J707" s="47" t="n">
        <f aca="false">'Fault &amp; Downtime Entry'!J708</f>
        <v>0</v>
      </c>
      <c r="K707" s="47" t="n">
        <f aca="false">'Fault &amp; Downtime Entry'!K708</f>
        <v>0</v>
      </c>
      <c r="L707" s="47" t="n">
        <f aca="false">'Fault &amp; Downtime Entry'!L708</f>
        <v>0</v>
      </c>
      <c r="M707" s="47" t="str">
        <f aca="false">'Fault &amp; Downtime Entry'!M708</f>
        <v/>
      </c>
      <c r="N707" s="47" t="n">
        <f aca="false">'Fault &amp; Downtime Entry'!N708</f>
        <v>0</v>
      </c>
      <c r="O707" s="47" t="n">
        <f aca="false">'Fault &amp; Downtime Entry'!O708</f>
        <v>0</v>
      </c>
      <c r="P707" s="47" t="str">
        <f aca="false">IF(OR(J707="",K707=""),"",IFERROR(J707/K707*1000,0))</f>
        <v/>
      </c>
      <c r="Q707" s="47" t="str">
        <f aca="false">IF(OR(L707="",K707=""),"",IFERROR(L707/K707*1000,0))</f>
        <v/>
      </c>
      <c r="R707" s="47" t="str">
        <f aca="false">IF(OR(M707="High",M707="Critical"),"YES","")</f>
        <v/>
      </c>
    </row>
    <row r="708" customFormat="false" ht="15" hidden="false" customHeight="true" outlineLevel="0" collapsed="false">
      <c r="A708" s="47" t="n">
        <f aca="false">'Fault &amp; Downtime Entry'!A709</f>
        <v>704</v>
      </c>
      <c r="B708" s="48" t="n">
        <f aca="false">'Fault &amp; Downtime Entry'!B709</f>
        <v>0</v>
      </c>
      <c r="C708" s="47" t="n">
        <f aca="false">'Fault &amp; Downtime Entry'!C709</f>
        <v>0</v>
      </c>
      <c r="D708" s="47" t="n">
        <f aca="false">'Fault &amp; Downtime Entry'!D709</f>
        <v>0</v>
      </c>
      <c r="E708" s="47" t="n">
        <f aca="false">'Fault &amp; Downtime Entry'!E709</f>
        <v>0</v>
      </c>
      <c r="F708" s="47" t="str">
        <f aca="false">'Fault &amp; Downtime Entry'!F709</f>
        <v/>
      </c>
      <c r="G708" s="47" t="n">
        <f aca="false">'Fault &amp; Downtime Entry'!G709</f>
        <v>0</v>
      </c>
      <c r="H708" s="47" t="str">
        <f aca="false">'Fault &amp; Downtime Entry'!H709</f>
        <v/>
      </c>
      <c r="I708" s="47" t="str">
        <f aca="false">'Fault &amp; Downtime Entry'!I709</f>
        <v/>
      </c>
      <c r="J708" s="47" t="n">
        <f aca="false">'Fault &amp; Downtime Entry'!J709</f>
        <v>0</v>
      </c>
      <c r="K708" s="47" t="n">
        <f aca="false">'Fault &amp; Downtime Entry'!K709</f>
        <v>0</v>
      </c>
      <c r="L708" s="47" t="n">
        <f aca="false">'Fault &amp; Downtime Entry'!L709</f>
        <v>0</v>
      </c>
      <c r="M708" s="47" t="str">
        <f aca="false">'Fault &amp; Downtime Entry'!M709</f>
        <v/>
      </c>
      <c r="N708" s="47" t="n">
        <f aca="false">'Fault &amp; Downtime Entry'!N709</f>
        <v>0</v>
      </c>
      <c r="O708" s="47" t="n">
        <f aca="false">'Fault &amp; Downtime Entry'!O709</f>
        <v>0</v>
      </c>
      <c r="P708" s="47" t="str">
        <f aca="false">IF(OR(J708="",K708=""),"",IFERROR(J708/K708*1000,0))</f>
        <v/>
      </c>
      <c r="Q708" s="47" t="str">
        <f aca="false">IF(OR(L708="",K708=""),"",IFERROR(L708/K708*1000,0))</f>
        <v/>
      </c>
      <c r="R708" s="47" t="str">
        <f aca="false">IF(OR(M708="High",M708="Critical"),"YES","")</f>
        <v/>
      </c>
    </row>
    <row r="709" customFormat="false" ht="15" hidden="false" customHeight="true" outlineLevel="0" collapsed="false">
      <c r="A709" s="47" t="n">
        <f aca="false">'Fault &amp; Downtime Entry'!A710</f>
        <v>705</v>
      </c>
      <c r="B709" s="48" t="n">
        <f aca="false">'Fault &amp; Downtime Entry'!B710</f>
        <v>0</v>
      </c>
      <c r="C709" s="47" t="n">
        <f aca="false">'Fault &amp; Downtime Entry'!C710</f>
        <v>0</v>
      </c>
      <c r="D709" s="47" t="n">
        <f aca="false">'Fault &amp; Downtime Entry'!D710</f>
        <v>0</v>
      </c>
      <c r="E709" s="47" t="n">
        <f aca="false">'Fault &amp; Downtime Entry'!E710</f>
        <v>0</v>
      </c>
      <c r="F709" s="47" t="str">
        <f aca="false">'Fault &amp; Downtime Entry'!F710</f>
        <v/>
      </c>
      <c r="G709" s="47" t="n">
        <f aca="false">'Fault &amp; Downtime Entry'!G710</f>
        <v>0</v>
      </c>
      <c r="H709" s="47" t="str">
        <f aca="false">'Fault &amp; Downtime Entry'!H710</f>
        <v/>
      </c>
      <c r="I709" s="47" t="str">
        <f aca="false">'Fault &amp; Downtime Entry'!I710</f>
        <v/>
      </c>
      <c r="J709" s="47" t="n">
        <f aca="false">'Fault &amp; Downtime Entry'!J710</f>
        <v>0</v>
      </c>
      <c r="K709" s="47" t="n">
        <f aca="false">'Fault &amp; Downtime Entry'!K710</f>
        <v>0</v>
      </c>
      <c r="L709" s="47" t="n">
        <f aca="false">'Fault &amp; Downtime Entry'!L710</f>
        <v>0</v>
      </c>
      <c r="M709" s="47" t="str">
        <f aca="false">'Fault &amp; Downtime Entry'!M710</f>
        <v/>
      </c>
      <c r="N709" s="47" t="n">
        <f aca="false">'Fault &amp; Downtime Entry'!N710</f>
        <v>0</v>
      </c>
      <c r="O709" s="47" t="n">
        <f aca="false">'Fault &amp; Downtime Entry'!O710</f>
        <v>0</v>
      </c>
      <c r="P709" s="47" t="str">
        <f aca="false">IF(OR(J709="",K709=""),"",IFERROR(J709/K709*1000,0))</f>
        <v/>
      </c>
      <c r="Q709" s="47" t="str">
        <f aca="false">IF(OR(L709="",K709=""),"",IFERROR(L709/K709*1000,0))</f>
        <v/>
      </c>
      <c r="R709" s="47" t="str">
        <f aca="false">IF(OR(M709="High",M709="Critical"),"YES","")</f>
        <v/>
      </c>
    </row>
    <row r="710" customFormat="false" ht="15" hidden="false" customHeight="true" outlineLevel="0" collapsed="false">
      <c r="A710" s="47" t="n">
        <f aca="false">'Fault &amp; Downtime Entry'!A711</f>
        <v>706</v>
      </c>
      <c r="B710" s="48" t="n">
        <f aca="false">'Fault &amp; Downtime Entry'!B711</f>
        <v>0</v>
      </c>
      <c r="C710" s="47" t="n">
        <f aca="false">'Fault &amp; Downtime Entry'!C711</f>
        <v>0</v>
      </c>
      <c r="D710" s="47" t="n">
        <f aca="false">'Fault &amp; Downtime Entry'!D711</f>
        <v>0</v>
      </c>
      <c r="E710" s="47" t="n">
        <f aca="false">'Fault &amp; Downtime Entry'!E711</f>
        <v>0</v>
      </c>
      <c r="F710" s="47" t="str">
        <f aca="false">'Fault &amp; Downtime Entry'!F711</f>
        <v/>
      </c>
      <c r="G710" s="47" t="n">
        <f aca="false">'Fault &amp; Downtime Entry'!G711</f>
        <v>0</v>
      </c>
      <c r="H710" s="47" t="str">
        <f aca="false">'Fault &amp; Downtime Entry'!H711</f>
        <v/>
      </c>
      <c r="I710" s="47" t="str">
        <f aca="false">'Fault &amp; Downtime Entry'!I711</f>
        <v/>
      </c>
      <c r="J710" s="47" t="n">
        <f aca="false">'Fault &amp; Downtime Entry'!J711</f>
        <v>0</v>
      </c>
      <c r="K710" s="47" t="n">
        <f aca="false">'Fault &amp; Downtime Entry'!K711</f>
        <v>0</v>
      </c>
      <c r="L710" s="47" t="n">
        <f aca="false">'Fault &amp; Downtime Entry'!L711</f>
        <v>0</v>
      </c>
      <c r="M710" s="47" t="str">
        <f aca="false">'Fault &amp; Downtime Entry'!M711</f>
        <v/>
      </c>
      <c r="N710" s="47" t="n">
        <f aca="false">'Fault &amp; Downtime Entry'!N711</f>
        <v>0</v>
      </c>
      <c r="O710" s="47" t="n">
        <f aca="false">'Fault &amp; Downtime Entry'!O711</f>
        <v>0</v>
      </c>
      <c r="P710" s="47" t="str">
        <f aca="false">IF(OR(J710="",K710=""),"",IFERROR(J710/K710*1000,0))</f>
        <v/>
      </c>
      <c r="Q710" s="47" t="str">
        <f aca="false">IF(OR(L710="",K710=""),"",IFERROR(L710/K710*1000,0))</f>
        <v/>
      </c>
      <c r="R710" s="47" t="str">
        <f aca="false">IF(OR(M710="High",M710="Critical"),"YES","")</f>
        <v/>
      </c>
    </row>
    <row r="711" customFormat="false" ht="15" hidden="false" customHeight="true" outlineLevel="0" collapsed="false">
      <c r="A711" s="47" t="n">
        <f aca="false">'Fault &amp; Downtime Entry'!A712</f>
        <v>707</v>
      </c>
      <c r="B711" s="48" t="n">
        <f aca="false">'Fault &amp; Downtime Entry'!B712</f>
        <v>0</v>
      </c>
      <c r="C711" s="47" t="n">
        <f aca="false">'Fault &amp; Downtime Entry'!C712</f>
        <v>0</v>
      </c>
      <c r="D711" s="47" t="n">
        <f aca="false">'Fault &amp; Downtime Entry'!D712</f>
        <v>0</v>
      </c>
      <c r="E711" s="47" t="n">
        <f aca="false">'Fault &amp; Downtime Entry'!E712</f>
        <v>0</v>
      </c>
      <c r="F711" s="47" t="str">
        <f aca="false">'Fault &amp; Downtime Entry'!F712</f>
        <v/>
      </c>
      <c r="G711" s="47" t="n">
        <f aca="false">'Fault &amp; Downtime Entry'!G712</f>
        <v>0</v>
      </c>
      <c r="H711" s="47" t="str">
        <f aca="false">'Fault &amp; Downtime Entry'!H712</f>
        <v/>
      </c>
      <c r="I711" s="47" t="str">
        <f aca="false">'Fault &amp; Downtime Entry'!I712</f>
        <v/>
      </c>
      <c r="J711" s="47" t="n">
        <f aca="false">'Fault &amp; Downtime Entry'!J712</f>
        <v>0</v>
      </c>
      <c r="K711" s="47" t="n">
        <f aca="false">'Fault &amp; Downtime Entry'!K712</f>
        <v>0</v>
      </c>
      <c r="L711" s="47" t="n">
        <f aca="false">'Fault &amp; Downtime Entry'!L712</f>
        <v>0</v>
      </c>
      <c r="M711" s="47" t="str">
        <f aca="false">'Fault &amp; Downtime Entry'!M712</f>
        <v/>
      </c>
      <c r="N711" s="47" t="n">
        <f aca="false">'Fault &amp; Downtime Entry'!N712</f>
        <v>0</v>
      </c>
      <c r="O711" s="47" t="n">
        <f aca="false">'Fault &amp; Downtime Entry'!O712</f>
        <v>0</v>
      </c>
      <c r="P711" s="47" t="str">
        <f aca="false">IF(OR(J711="",K711=""),"",IFERROR(J711/K711*1000,0))</f>
        <v/>
      </c>
      <c r="Q711" s="47" t="str">
        <f aca="false">IF(OR(L711="",K711=""),"",IFERROR(L711/K711*1000,0))</f>
        <v/>
      </c>
      <c r="R711" s="47" t="str">
        <f aca="false">IF(OR(M711="High",M711="Critical"),"YES","")</f>
        <v/>
      </c>
    </row>
    <row r="712" customFormat="false" ht="15" hidden="false" customHeight="true" outlineLevel="0" collapsed="false">
      <c r="A712" s="47" t="n">
        <f aca="false">'Fault &amp; Downtime Entry'!A713</f>
        <v>708</v>
      </c>
      <c r="B712" s="48" t="n">
        <f aca="false">'Fault &amp; Downtime Entry'!B713</f>
        <v>0</v>
      </c>
      <c r="C712" s="47" t="n">
        <f aca="false">'Fault &amp; Downtime Entry'!C713</f>
        <v>0</v>
      </c>
      <c r="D712" s="47" t="n">
        <f aca="false">'Fault &amp; Downtime Entry'!D713</f>
        <v>0</v>
      </c>
      <c r="E712" s="47" t="n">
        <f aca="false">'Fault &amp; Downtime Entry'!E713</f>
        <v>0</v>
      </c>
      <c r="F712" s="47" t="str">
        <f aca="false">'Fault &amp; Downtime Entry'!F713</f>
        <v/>
      </c>
      <c r="G712" s="47" t="n">
        <f aca="false">'Fault &amp; Downtime Entry'!G713</f>
        <v>0</v>
      </c>
      <c r="H712" s="47" t="str">
        <f aca="false">'Fault &amp; Downtime Entry'!H713</f>
        <v/>
      </c>
      <c r="I712" s="47" t="str">
        <f aca="false">'Fault &amp; Downtime Entry'!I713</f>
        <v/>
      </c>
      <c r="J712" s="47" t="n">
        <f aca="false">'Fault &amp; Downtime Entry'!J713</f>
        <v>0</v>
      </c>
      <c r="K712" s="47" t="n">
        <f aca="false">'Fault &amp; Downtime Entry'!K713</f>
        <v>0</v>
      </c>
      <c r="L712" s="47" t="n">
        <f aca="false">'Fault &amp; Downtime Entry'!L713</f>
        <v>0</v>
      </c>
      <c r="M712" s="47" t="str">
        <f aca="false">'Fault &amp; Downtime Entry'!M713</f>
        <v/>
      </c>
      <c r="N712" s="47" t="n">
        <f aca="false">'Fault &amp; Downtime Entry'!N713</f>
        <v>0</v>
      </c>
      <c r="O712" s="47" t="n">
        <f aca="false">'Fault &amp; Downtime Entry'!O713</f>
        <v>0</v>
      </c>
      <c r="P712" s="47" t="str">
        <f aca="false">IF(OR(J712="",K712=""),"",IFERROR(J712/K712*1000,0))</f>
        <v/>
      </c>
      <c r="Q712" s="47" t="str">
        <f aca="false">IF(OR(L712="",K712=""),"",IFERROR(L712/K712*1000,0))</f>
        <v/>
      </c>
      <c r="R712" s="47" t="str">
        <f aca="false">IF(OR(M712="High",M712="Critical"),"YES","")</f>
        <v/>
      </c>
    </row>
    <row r="713" customFormat="false" ht="15" hidden="false" customHeight="true" outlineLevel="0" collapsed="false">
      <c r="A713" s="47" t="n">
        <f aca="false">'Fault &amp; Downtime Entry'!A714</f>
        <v>709</v>
      </c>
      <c r="B713" s="48" t="n">
        <f aca="false">'Fault &amp; Downtime Entry'!B714</f>
        <v>0</v>
      </c>
      <c r="C713" s="47" t="n">
        <f aca="false">'Fault &amp; Downtime Entry'!C714</f>
        <v>0</v>
      </c>
      <c r="D713" s="47" t="n">
        <f aca="false">'Fault &amp; Downtime Entry'!D714</f>
        <v>0</v>
      </c>
      <c r="E713" s="47" t="n">
        <f aca="false">'Fault &amp; Downtime Entry'!E714</f>
        <v>0</v>
      </c>
      <c r="F713" s="47" t="str">
        <f aca="false">'Fault &amp; Downtime Entry'!F714</f>
        <v/>
      </c>
      <c r="G713" s="47" t="n">
        <f aca="false">'Fault &amp; Downtime Entry'!G714</f>
        <v>0</v>
      </c>
      <c r="H713" s="47" t="str">
        <f aca="false">'Fault &amp; Downtime Entry'!H714</f>
        <v/>
      </c>
      <c r="I713" s="47" t="str">
        <f aca="false">'Fault &amp; Downtime Entry'!I714</f>
        <v/>
      </c>
      <c r="J713" s="47" t="n">
        <f aca="false">'Fault &amp; Downtime Entry'!J714</f>
        <v>0</v>
      </c>
      <c r="K713" s="47" t="n">
        <f aca="false">'Fault &amp; Downtime Entry'!K714</f>
        <v>0</v>
      </c>
      <c r="L713" s="47" t="n">
        <f aca="false">'Fault &amp; Downtime Entry'!L714</f>
        <v>0</v>
      </c>
      <c r="M713" s="47" t="str">
        <f aca="false">'Fault &amp; Downtime Entry'!M714</f>
        <v/>
      </c>
      <c r="N713" s="47" t="n">
        <f aca="false">'Fault &amp; Downtime Entry'!N714</f>
        <v>0</v>
      </c>
      <c r="O713" s="47" t="n">
        <f aca="false">'Fault &amp; Downtime Entry'!O714</f>
        <v>0</v>
      </c>
      <c r="P713" s="47" t="str">
        <f aca="false">IF(OR(J713="",K713=""),"",IFERROR(J713/K713*1000,0))</f>
        <v/>
      </c>
      <c r="Q713" s="47" t="str">
        <f aca="false">IF(OR(L713="",K713=""),"",IFERROR(L713/K713*1000,0))</f>
        <v/>
      </c>
      <c r="R713" s="47" t="str">
        <f aca="false">IF(OR(M713="High",M713="Critical"),"YES","")</f>
        <v/>
      </c>
    </row>
    <row r="714" customFormat="false" ht="15" hidden="false" customHeight="true" outlineLevel="0" collapsed="false">
      <c r="A714" s="47" t="n">
        <f aca="false">'Fault &amp; Downtime Entry'!A715</f>
        <v>710</v>
      </c>
      <c r="B714" s="48" t="n">
        <f aca="false">'Fault &amp; Downtime Entry'!B715</f>
        <v>0</v>
      </c>
      <c r="C714" s="47" t="n">
        <f aca="false">'Fault &amp; Downtime Entry'!C715</f>
        <v>0</v>
      </c>
      <c r="D714" s="47" t="n">
        <f aca="false">'Fault &amp; Downtime Entry'!D715</f>
        <v>0</v>
      </c>
      <c r="E714" s="47" t="n">
        <f aca="false">'Fault &amp; Downtime Entry'!E715</f>
        <v>0</v>
      </c>
      <c r="F714" s="47" t="str">
        <f aca="false">'Fault &amp; Downtime Entry'!F715</f>
        <v/>
      </c>
      <c r="G714" s="47" t="n">
        <f aca="false">'Fault &amp; Downtime Entry'!G715</f>
        <v>0</v>
      </c>
      <c r="H714" s="47" t="str">
        <f aca="false">'Fault &amp; Downtime Entry'!H715</f>
        <v/>
      </c>
      <c r="I714" s="47" t="str">
        <f aca="false">'Fault &amp; Downtime Entry'!I715</f>
        <v/>
      </c>
      <c r="J714" s="47" t="n">
        <f aca="false">'Fault &amp; Downtime Entry'!J715</f>
        <v>0</v>
      </c>
      <c r="K714" s="47" t="n">
        <f aca="false">'Fault &amp; Downtime Entry'!K715</f>
        <v>0</v>
      </c>
      <c r="L714" s="47" t="n">
        <f aca="false">'Fault &amp; Downtime Entry'!L715</f>
        <v>0</v>
      </c>
      <c r="M714" s="47" t="str">
        <f aca="false">'Fault &amp; Downtime Entry'!M715</f>
        <v/>
      </c>
      <c r="N714" s="47" t="n">
        <f aca="false">'Fault &amp; Downtime Entry'!N715</f>
        <v>0</v>
      </c>
      <c r="O714" s="47" t="n">
        <f aca="false">'Fault &amp; Downtime Entry'!O715</f>
        <v>0</v>
      </c>
      <c r="P714" s="47" t="str">
        <f aca="false">IF(OR(J714="",K714=""),"",IFERROR(J714/K714*1000,0))</f>
        <v/>
      </c>
      <c r="Q714" s="47" t="str">
        <f aca="false">IF(OR(L714="",K714=""),"",IFERROR(L714/K714*1000,0))</f>
        <v/>
      </c>
      <c r="R714" s="47" t="str">
        <f aca="false">IF(OR(M714="High",M714="Critical"),"YES","")</f>
        <v/>
      </c>
    </row>
    <row r="715" customFormat="false" ht="15" hidden="false" customHeight="true" outlineLevel="0" collapsed="false">
      <c r="A715" s="47" t="n">
        <f aca="false">'Fault &amp; Downtime Entry'!A716</f>
        <v>711</v>
      </c>
      <c r="B715" s="48" t="n">
        <f aca="false">'Fault &amp; Downtime Entry'!B716</f>
        <v>0</v>
      </c>
      <c r="C715" s="47" t="n">
        <f aca="false">'Fault &amp; Downtime Entry'!C716</f>
        <v>0</v>
      </c>
      <c r="D715" s="47" t="n">
        <f aca="false">'Fault &amp; Downtime Entry'!D716</f>
        <v>0</v>
      </c>
      <c r="E715" s="47" t="n">
        <f aca="false">'Fault &amp; Downtime Entry'!E716</f>
        <v>0</v>
      </c>
      <c r="F715" s="47" t="str">
        <f aca="false">'Fault &amp; Downtime Entry'!F716</f>
        <v/>
      </c>
      <c r="G715" s="47" t="n">
        <f aca="false">'Fault &amp; Downtime Entry'!G716</f>
        <v>0</v>
      </c>
      <c r="H715" s="47" t="str">
        <f aca="false">'Fault &amp; Downtime Entry'!H716</f>
        <v/>
      </c>
      <c r="I715" s="47" t="str">
        <f aca="false">'Fault &amp; Downtime Entry'!I716</f>
        <v/>
      </c>
      <c r="J715" s="47" t="n">
        <f aca="false">'Fault &amp; Downtime Entry'!J716</f>
        <v>0</v>
      </c>
      <c r="K715" s="47" t="n">
        <f aca="false">'Fault &amp; Downtime Entry'!K716</f>
        <v>0</v>
      </c>
      <c r="L715" s="47" t="n">
        <f aca="false">'Fault &amp; Downtime Entry'!L716</f>
        <v>0</v>
      </c>
      <c r="M715" s="47" t="str">
        <f aca="false">'Fault &amp; Downtime Entry'!M716</f>
        <v/>
      </c>
      <c r="N715" s="47" t="n">
        <f aca="false">'Fault &amp; Downtime Entry'!N716</f>
        <v>0</v>
      </c>
      <c r="O715" s="47" t="n">
        <f aca="false">'Fault &amp; Downtime Entry'!O716</f>
        <v>0</v>
      </c>
      <c r="P715" s="47" t="str">
        <f aca="false">IF(OR(J715="",K715=""),"",IFERROR(J715/K715*1000,0))</f>
        <v/>
      </c>
      <c r="Q715" s="47" t="str">
        <f aca="false">IF(OR(L715="",K715=""),"",IFERROR(L715/K715*1000,0))</f>
        <v/>
      </c>
      <c r="R715" s="47" t="str">
        <f aca="false">IF(OR(M715="High",M715="Critical"),"YES","")</f>
        <v/>
      </c>
    </row>
    <row r="716" customFormat="false" ht="15" hidden="false" customHeight="true" outlineLevel="0" collapsed="false">
      <c r="A716" s="47" t="n">
        <f aca="false">'Fault &amp; Downtime Entry'!A717</f>
        <v>712</v>
      </c>
      <c r="B716" s="48" t="n">
        <f aca="false">'Fault &amp; Downtime Entry'!B717</f>
        <v>0</v>
      </c>
      <c r="C716" s="47" t="n">
        <f aca="false">'Fault &amp; Downtime Entry'!C717</f>
        <v>0</v>
      </c>
      <c r="D716" s="47" t="n">
        <f aca="false">'Fault &amp; Downtime Entry'!D717</f>
        <v>0</v>
      </c>
      <c r="E716" s="47" t="n">
        <f aca="false">'Fault &amp; Downtime Entry'!E717</f>
        <v>0</v>
      </c>
      <c r="F716" s="47" t="str">
        <f aca="false">'Fault &amp; Downtime Entry'!F717</f>
        <v/>
      </c>
      <c r="G716" s="47" t="n">
        <f aca="false">'Fault &amp; Downtime Entry'!G717</f>
        <v>0</v>
      </c>
      <c r="H716" s="47" t="str">
        <f aca="false">'Fault &amp; Downtime Entry'!H717</f>
        <v/>
      </c>
      <c r="I716" s="47" t="str">
        <f aca="false">'Fault &amp; Downtime Entry'!I717</f>
        <v/>
      </c>
      <c r="J716" s="47" t="n">
        <f aca="false">'Fault &amp; Downtime Entry'!J717</f>
        <v>0</v>
      </c>
      <c r="K716" s="47" t="n">
        <f aca="false">'Fault &amp; Downtime Entry'!K717</f>
        <v>0</v>
      </c>
      <c r="L716" s="47" t="n">
        <f aca="false">'Fault &amp; Downtime Entry'!L717</f>
        <v>0</v>
      </c>
      <c r="M716" s="47" t="str">
        <f aca="false">'Fault &amp; Downtime Entry'!M717</f>
        <v/>
      </c>
      <c r="N716" s="47" t="n">
        <f aca="false">'Fault &amp; Downtime Entry'!N717</f>
        <v>0</v>
      </c>
      <c r="O716" s="47" t="n">
        <f aca="false">'Fault &amp; Downtime Entry'!O717</f>
        <v>0</v>
      </c>
      <c r="P716" s="47" t="str">
        <f aca="false">IF(OR(J716="",K716=""),"",IFERROR(J716/K716*1000,0))</f>
        <v/>
      </c>
      <c r="Q716" s="47" t="str">
        <f aca="false">IF(OR(L716="",K716=""),"",IFERROR(L716/K716*1000,0))</f>
        <v/>
      </c>
      <c r="R716" s="47" t="str">
        <f aca="false">IF(OR(M716="High",M716="Critical"),"YES","")</f>
        <v/>
      </c>
    </row>
    <row r="717" customFormat="false" ht="15" hidden="false" customHeight="true" outlineLevel="0" collapsed="false">
      <c r="A717" s="47" t="n">
        <f aca="false">'Fault &amp; Downtime Entry'!A718</f>
        <v>713</v>
      </c>
      <c r="B717" s="48" t="n">
        <f aca="false">'Fault &amp; Downtime Entry'!B718</f>
        <v>0</v>
      </c>
      <c r="C717" s="47" t="n">
        <f aca="false">'Fault &amp; Downtime Entry'!C718</f>
        <v>0</v>
      </c>
      <c r="D717" s="47" t="n">
        <f aca="false">'Fault &amp; Downtime Entry'!D718</f>
        <v>0</v>
      </c>
      <c r="E717" s="47" t="n">
        <f aca="false">'Fault &amp; Downtime Entry'!E718</f>
        <v>0</v>
      </c>
      <c r="F717" s="47" t="str">
        <f aca="false">'Fault &amp; Downtime Entry'!F718</f>
        <v/>
      </c>
      <c r="G717" s="47" t="n">
        <f aca="false">'Fault &amp; Downtime Entry'!G718</f>
        <v>0</v>
      </c>
      <c r="H717" s="47" t="str">
        <f aca="false">'Fault &amp; Downtime Entry'!H718</f>
        <v/>
      </c>
      <c r="I717" s="47" t="str">
        <f aca="false">'Fault &amp; Downtime Entry'!I718</f>
        <v/>
      </c>
      <c r="J717" s="47" t="n">
        <f aca="false">'Fault &amp; Downtime Entry'!J718</f>
        <v>0</v>
      </c>
      <c r="K717" s="47" t="n">
        <f aca="false">'Fault &amp; Downtime Entry'!K718</f>
        <v>0</v>
      </c>
      <c r="L717" s="47" t="n">
        <f aca="false">'Fault &amp; Downtime Entry'!L718</f>
        <v>0</v>
      </c>
      <c r="M717" s="47" t="str">
        <f aca="false">'Fault &amp; Downtime Entry'!M718</f>
        <v/>
      </c>
      <c r="N717" s="47" t="n">
        <f aca="false">'Fault &amp; Downtime Entry'!N718</f>
        <v>0</v>
      </c>
      <c r="O717" s="47" t="n">
        <f aca="false">'Fault &amp; Downtime Entry'!O718</f>
        <v>0</v>
      </c>
      <c r="P717" s="47" t="str">
        <f aca="false">IF(OR(J717="",K717=""),"",IFERROR(J717/K717*1000,0))</f>
        <v/>
      </c>
      <c r="Q717" s="47" t="str">
        <f aca="false">IF(OR(L717="",K717=""),"",IFERROR(L717/K717*1000,0))</f>
        <v/>
      </c>
      <c r="R717" s="47" t="str">
        <f aca="false">IF(OR(M717="High",M717="Critical"),"YES","")</f>
        <v/>
      </c>
    </row>
    <row r="718" customFormat="false" ht="15" hidden="false" customHeight="true" outlineLevel="0" collapsed="false">
      <c r="A718" s="47" t="n">
        <f aca="false">'Fault &amp; Downtime Entry'!A719</f>
        <v>714</v>
      </c>
      <c r="B718" s="48" t="n">
        <f aca="false">'Fault &amp; Downtime Entry'!B719</f>
        <v>0</v>
      </c>
      <c r="C718" s="47" t="n">
        <f aca="false">'Fault &amp; Downtime Entry'!C719</f>
        <v>0</v>
      </c>
      <c r="D718" s="47" t="n">
        <f aca="false">'Fault &amp; Downtime Entry'!D719</f>
        <v>0</v>
      </c>
      <c r="E718" s="47" t="n">
        <f aca="false">'Fault &amp; Downtime Entry'!E719</f>
        <v>0</v>
      </c>
      <c r="F718" s="47" t="str">
        <f aca="false">'Fault &amp; Downtime Entry'!F719</f>
        <v/>
      </c>
      <c r="G718" s="47" t="n">
        <f aca="false">'Fault &amp; Downtime Entry'!G719</f>
        <v>0</v>
      </c>
      <c r="H718" s="47" t="str">
        <f aca="false">'Fault &amp; Downtime Entry'!H719</f>
        <v/>
      </c>
      <c r="I718" s="47" t="str">
        <f aca="false">'Fault &amp; Downtime Entry'!I719</f>
        <v/>
      </c>
      <c r="J718" s="47" t="n">
        <f aca="false">'Fault &amp; Downtime Entry'!J719</f>
        <v>0</v>
      </c>
      <c r="K718" s="47" t="n">
        <f aca="false">'Fault &amp; Downtime Entry'!K719</f>
        <v>0</v>
      </c>
      <c r="L718" s="47" t="n">
        <f aca="false">'Fault &amp; Downtime Entry'!L719</f>
        <v>0</v>
      </c>
      <c r="M718" s="47" t="str">
        <f aca="false">'Fault &amp; Downtime Entry'!M719</f>
        <v/>
      </c>
      <c r="N718" s="47" t="n">
        <f aca="false">'Fault &amp; Downtime Entry'!N719</f>
        <v>0</v>
      </c>
      <c r="O718" s="47" t="n">
        <f aca="false">'Fault &amp; Downtime Entry'!O719</f>
        <v>0</v>
      </c>
      <c r="P718" s="47" t="str">
        <f aca="false">IF(OR(J718="",K718=""),"",IFERROR(J718/K718*1000,0))</f>
        <v/>
      </c>
      <c r="Q718" s="47" t="str">
        <f aca="false">IF(OR(L718="",K718=""),"",IFERROR(L718/K718*1000,0))</f>
        <v/>
      </c>
      <c r="R718" s="47" t="str">
        <f aca="false">IF(OR(M718="High",M718="Critical"),"YES","")</f>
        <v/>
      </c>
    </row>
    <row r="719" customFormat="false" ht="15" hidden="false" customHeight="true" outlineLevel="0" collapsed="false">
      <c r="A719" s="47" t="n">
        <f aca="false">'Fault &amp; Downtime Entry'!A720</f>
        <v>715</v>
      </c>
      <c r="B719" s="48" t="n">
        <f aca="false">'Fault &amp; Downtime Entry'!B720</f>
        <v>0</v>
      </c>
      <c r="C719" s="47" t="n">
        <f aca="false">'Fault &amp; Downtime Entry'!C720</f>
        <v>0</v>
      </c>
      <c r="D719" s="47" t="n">
        <f aca="false">'Fault &amp; Downtime Entry'!D720</f>
        <v>0</v>
      </c>
      <c r="E719" s="47" t="n">
        <f aca="false">'Fault &amp; Downtime Entry'!E720</f>
        <v>0</v>
      </c>
      <c r="F719" s="47" t="str">
        <f aca="false">'Fault &amp; Downtime Entry'!F720</f>
        <v/>
      </c>
      <c r="G719" s="47" t="n">
        <f aca="false">'Fault &amp; Downtime Entry'!G720</f>
        <v>0</v>
      </c>
      <c r="H719" s="47" t="str">
        <f aca="false">'Fault &amp; Downtime Entry'!H720</f>
        <v/>
      </c>
      <c r="I719" s="47" t="str">
        <f aca="false">'Fault &amp; Downtime Entry'!I720</f>
        <v/>
      </c>
      <c r="J719" s="47" t="n">
        <f aca="false">'Fault &amp; Downtime Entry'!J720</f>
        <v>0</v>
      </c>
      <c r="K719" s="47" t="n">
        <f aca="false">'Fault &amp; Downtime Entry'!K720</f>
        <v>0</v>
      </c>
      <c r="L719" s="47" t="n">
        <f aca="false">'Fault &amp; Downtime Entry'!L720</f>
        <v>0</v>
      </c>
      <c r="M719" s="47" t="str">
        <f aca="false">'Fault &amp; Downtime Entry'!M720</f>
        <v/>
      </c>
      <c r="N719" s="47" t="n">
        <f aca="false">'Fault &amp; Downtime Entry'!N720</f>
        <v>0</v>
      </c>
      <c r="O719" s="47" t="n">
        <f aca="false">'Fault &amp; Downtime Entry'!O720</f>
        <v>0</v>
      </c>
      <c r="P719" s="47" t="str">
        <f aca="false">IF(OR(J719="",K719=""),"",IFERROR(J719/K719*1000,0))</f>
        <v/>
      </c>
      <c r="Q719" s="47" t="str">
        <f aca="false">IF(OR(L719="",K719=""),"",IFERROR(L719/K719*1000,0))</f>
        <v/>
      </c>
      <c r="R719" s="47" t="str">
        <f aca="false">IF(OR(M719="High",M719="Critical"),"YES","")</f>
        <v/>
      </c>
    </row>
    <row r="720" customFormat="false" ht="15" hidden="false" customHeight="true" outlineLevel="0" collapsed="false">
      <c r="A720" s="47" t="n">
        <f aca="false">'Fault &amp; Downtime Entry'!A721</f>
        <v>716</v>
      </c>
      <c r="B720" s="48" t="n">
        <f aca="false">'Fault &amp; Downtime Entry'!B721</f>
        <v>0</v>
      </c>
      <c r="C720" s="47" t="n">
        <f aca="false">'Fault &amp; Downtime Entry'!C721</f>
        <v>0</v>
      </c>
      <c r="D720" s="47" t="n">
        <f aca="false">'Fault &amp; Downtime Entry'!D721</f>
        <v>0</v>
      </c>
      <c r="E720" s="47" t="n">
        <f aca="false">'Fault &amp; Downtime Entry'!E721</f>
        <v>0</v>
      </c>
      <c r="F720" s="47" t="str">
        <f aca="false">'Fault &amp; Downtime Entry'!F721</f>
        <v/>
      </c>
      <c r="G720" s="47" t="n">
        <f aca="false">'Fault &amp; Downtime Entry'!G721</f>
        <v>0</v>
      </c>
      <c r="H720" s="47" t="str">
        <f aca="false">'Fault &amp; Downtime Entry'!H721</f>
        <v/>
      </c>
      <c r="I720" s="47" t="str">
        <f aca="false">'Fault &amp; Downtime Entry'!I721</f>
        <v/>
      </c>
      <c r="J720" s="47" t="n">
        <f aca="false">'Fault &amp; Downtime Entry'!J721</f>
        <v>0</v>
      </c>
      <c r="K720" s="47" t="n">
        <f aca="false">'Fault &amp; Downtime Entry'!K721</f>
        <v>0</v>
      </c>
      <c r="L720" s="47" t="n">
        <f aca="false">'Fault &amp; Downtime Entry'!L721</f>
        <v>0</v>
      </c>
      <c r="M720" s="47" t="str">
        <f aca="false">'Fault &amp; Downtime Entry'!M721</f>
        <v/>
      </c>
      <c r="N720" s="47" t="n">
        <f aca="false">'Fault &amp; Downtime Entry'!N721</f>
        <v>0</v>
      </c>
      <c r="O720" s="47" t="n">
        <f aca="false">'Fault &amp; Downtime Entry'!O721</f>
        <v>0</v>
      </c>
      <c r="P720" s="47" t="str">
        <f aca="false">IF(OR(J720="",K720=""),"",IFERROR(J720/K720*1000,0))</f>
        <v/>
      </c>
      <c r="Q720" s="47" t="str">
        <f aca="false">IF(OR(L720="",K720=""),"",IFERROR(L720/K720*1000,0))</f>
        <v/>
      </c>
      <c r="R720" s="47" t="str">
        <f aca="false">IF(OR(M720="High",M720="Critical"),"YES","")</f>
        <v/>
      </c>
    </row>
    <row r="721" customFormat="false" ht="15" hidden="false" customHeight="true" outlineLevel="0" collapsed="false">
      <c r="A721" s="47" t="n">
        <f aca="false">'Fault &amp; Downtime Entry'!A722</f>
        <v>717</v>
      </c>
      <c r="B721" s="48" t="n">
        <f aca="false">'Fault &amp; Downtime Entry'!B722</f>
        <v>0</v>
      </c>
      <c r="C721" s="47" t="n">
        <f aca="false">'Fault &amp; Downtime Entry'!C722</f>
        <v>0</v>
      </c>
      <c r="D721" s="47" t="n">
        <f aca="false">'Fault &amp; Downtime Entry'!D722</f>
        <v>0</v>
      </c>
      <c r="E721" s="47" t="n">
        <f aca="false">'Fault &amp; Downtime Entry'!E722</f>
        <v>0</v>
      </c>
      <c r="F721" s="47" t="str">
        <f aca="false">'Fault &amp; Downtime Entry'!F722</f>
        <v/>
      </c>
      <c r="G721" s="47" t="n">
        <f aca="false">'Fault &amp; Downtime Entry'!G722</f>
        <v>0</v>
      </c>
      <c r="H721" s="47" t="str">
        <f aca="false">'Fault &amp; Downtime Entry'!H722</f>
        <v/>
      </c>
      <c r="I721" s="47" t="str">
        <f aca="false">'Fault &amp; Downtime Entry'!I722</f>
        <v/>
      </c>
      <c r="J721" s="47" t="n">
        <f aca="false">'Fault &amp; Downtime Entry'!J722</f>
        <v>0</v>
      </c>
      <c r="K721" s="47" t="n">
        <f aca="false">'Fault &amp; Downtime Entry'!K722</f>
        <v>0</v>
      </c>
      <c r="L721" s="47" t="n">
        <f aca="false">'Fault &amp; Downtime Entry'!L722</f>
        <v>0</v>
      </c>
      <c r="M721" s="47" t="str">
        <f aca="false">'Fault &amp; Downtime Entry'!M722</f>
        <v/>
      </c>
      <c r="N721" s="47" t="n">
        <f aca="false">'Fault &amp; Downtime Entry'!N722</f>
        <v>0</v>
      </c>
      <c r="O721" s="47" t="n">
        <f aca="false">'Fault &amp; Downtime Entry'!O722</f>
        <v>0</v>
      </c>
      <c r="P721" s="47" t="str">
        <f aca="false">IF(OR(J721="",K721=""),"",IFERROR(J721/K721*1000,0))</f>
        <v/>
      </c>
      <c r="Q721" s="47" t="str">
        <f aca="false">IF(OR(L721="",K721=""),"",IFERROR(L721/K721*1000,0))</f>
        <v/>
      </c>
      <c r="R721" s="47" t="str">
        <f aca="false">IF(OR(M721="High",M721="Critical"),"YES","")</f>
        <v/>
      </c>
    </row>
    <row r="722" customFormat="false" ht="15" hidden="false" customHeight="true" outlineLevel="0" collapsed="false">
      <c r="A722" s="47" t="n">
        <f aca="false">'Fault &amp; Downtime Entry'!A723</f>
        <v>718</v>
      </c>
      <c r="B722" s="48" t="n">
        <f aca="false">'Fault &amp; Downtime Entry'!B723</f>
        <v>0</v>
      </c>
      <c r="C722" s="47" t="n">
        <f aca="false">'Fault &amp; Downtime Entry'!C723</f>
        <v>0</v>
      </c>
      <c r="D722" s="47" t="n">
        <f aca="false">'Fault &amp; Downtime Entry'!D723</f>
        <v>0</v>
      </c>
      <c r="E722" s="47" t="n">
        <f aca="false">'Fault &amp; Downtime Entry'!E723</f>
        <v>0</v>
      </c>
      <c r="F722" s="47" t="str">
        <f aca="false">'Fault &amp; Downtime Entry'!F723</f>
        <v/>
      </c>
      <c r="G722" s="47" t="n">
        <f aca="false">'Fault &amp; Downtime Entry'!G723</f>
        <v>0</v>
      </c>
      <c r="H722" s="47" t="str">
        <f aca="false">'Fault &amp; Downtime Entry'!H723</f>
        <v/>
      </c>
      <c r="I722" s="47" t="str">
        <f aca="false">'Fault &amp; Downtime Entry'!I723</f>
        <v/>
      </c>
      <c r="J722" s="47" t="n">
        <f aca="false">'Fault &amp; Downtime Entry'!J723</f>
        <v>0</v>
      </c>
      <c r="K722" s="47" t="n">
        <f aca="false">'Fault &amp; Downtime Entry'!K723</f>
        <v>0</v>
      </c>
      <c r="L722" s="47" t="n">
        <f aca="false">'Fault &amp; Downtime Entry'!L723</f>
        <v>0</v>
      </c>
      <c r="M722" s="47" t="str">
        <f aca="false">'Fault &amp; Downtime Entry'!M723</f>
        <v/>
      </c>
      <c r="N722" s="47" t="n">
        <f aca="false">'Fault &amp; Downtime Entry'!N723</f>
        <v>0</v>
      </c>
      <c r="O722" s="47" t="n">
        <f aca="false">'Fault &amp; Downtime Entry'!O723</f>
        <v>0</v>
      </c>
      <c r="P722" s="47" t="str">
        <f aca="false">IF(OR(J722="",K722=""),"",IFERROR(J722/K722*1000,0))</f>
        <v/>
      </c>
      <c r="Q722" s="47" t="str">
        <f aca="false">IF(OR(L722="",K722=""),"",IFERROR(L722/K722*1000,0))</f>
        <v/>
      </c>
      <c r="R722" s="47" t="str">
        <f aca="false">IF(OR(M722="High",M722="Critical"),"YES","")</f>
        <v/>
      </c>
    </row>
    <row r="723" customFormat="false" ht="15" hidden="false" customHeight="true" outlineLevel="0" collapsed="false">
      <c r="A723" s="47" t="n">
        <f aca="false">'Fault &amp; Downtime Entry'!A724</f>
        <v>719</v>
      </c>
      <c r="B723" s="48" t="n">
        <f aca="false">'Fault &amp; Downtime Entry'!B724</f>
        <v>0</v>
      </c>
      <c r="C723" s="47" t="n">
        <f aca="false">'Fault &amp; Downtime Entry'!C724</f>
        <v>0</v>
      </c>
      <c r="D723" s="47" t="n">
        <f aca="false">'Fault &amp; Downtime Entry'!D724</f>
        <v>0</v>
      </c>
      <c r="E723" s="47" t="n">
        <f aca="false">'Fault &amp; Downtime Entry'!E724</f>
        <v>0</v>
      </c>
      <c r="F723" s="47" t="str">
        <f aca="false">'Fault &amp; Downtime Entry'!F724</f>
        <v/>
      </c>
      <c r="G723" s="47" t="n">
        <f aca="false">'Fault &amp; Downtime Entry'!G724</f>
        <v>0</v>
      </c>
      <c r="H723" s="47" t="str">
        <f aca="false">'Fault &amp; Downtime Entry'!H724</f>
        <v/>
      </c>
      <c r="I723" s="47" t="str">
        <f aca="false">'Fault &amp; Downtime Entry'!I724</f>
        <v/>
      </c>
      <c r="J723" s="47" t="n">
        <f aca="false">'Fault &amp; Downtime Entry'!J724</f>
        <v>0</v>
      </c>
      <c r="K723" s="47" t="n">
        <f aca="false">'Fault &amp; Downtime Entry'!K724</f>
        <v>0</v>
      </c>
      <c r="L723" s="47" t="n">
        <f aca="false">'Fault &amp; Downtime Entry'!L724</f>
        <v>0</v>
      </c>
      <c r="M723" s="47" t="str">
        <f aca="false">'Fault &amp; Downtime Entry'!M724</f>
        <v/>
      </c>
      <c r="N723" s="47" t="n">
        <f aca="false">'Fault &amp; Downtime Entry'!N724</f>
        <v>0</v>
      </c>
      <c r="O723" s="47" t="n">
        <f aca="false">'Fault &amp; Downtime Entry'!O724</f>
        <v>0</v>
      </c>
      <c r="P723" s="47" t="str">
        <f aca="false">IF(OR(J723="",K723=""),"",IFERROR(J723/K723*1000,0))</f>
        <v/>
      </c>
      <c r="Q723" s="47" t="str">
        <f aca="false">IF(OR(L723="",K723=""),"",IFERROR(L723/K723*1000,0))</f>
        <v/>
      </c>
      <c r="R723" s="47" t="str">
        <f aca="false">IF(OR(M723="High",M723="Critical"),"YES","")</f>
        <v/>
      </c>
    </row>
    <row r="724" customFormat="false" ht="15" hidden="false" customHeight="true" outlineLevel="0" collapsed="false">
      <c r="A724" s="47" t="n">
        <f aca="false">'Fault &amp; Downtime Entry'!A725</f>
        <v>720</v>
      </c>
      <c r="B724" s="48" t="n">
        <f aca="false">'Fault &amp; Downtime Entry'!B725</f>
        <v>0</v>
      </c>
      <c r="C724" s="47" t="n">
        <f aca="false">'Fault &amp; Downtime Entry'!C725</f>
        <v>0</v>
      </c>
      <c r="D724" s="47" t="n">
        <f aca="false">'Fault &amp; Downtime Entry'!D725</f>
        <v>0</v>
      </c>
      <c r="E724" s="47" t="n">
        <f aca="false">'Fault &amp; Downtime Entry'!E725</f>
        <v>0</v>
      </c>
      <c r="F724" s="47" t="str">
        <f aca="false">'Fault &amp; Downtime Entry'!F725</f>
        <v/>
      </c>
      <c r="G724" s="47" t="n">
        <f aca="false">'Fault &amp; Downtime Entry'!G725</f>
        <v>0</v>
      </c>
      <c r="H724" s="47" t="str">
        <f aca="false">'Fault &amp; Downtime Entry'!H725</f>
        <v/>
      </c>
      <c r="I724" s="47" t="str">
        <f aca="false">'Fault &amp; Downtime Entry'!I725</f>
        <v/>
      </c>
      <c r="J724" s="47" t="n">
        <f aca="false">'Fault &amp; Downtime Entry'!J725</f>
        <v>0</v>
      </c>
      <c r="K724" s="47" t="n">
        <f aca="false">'Fault &amp; Downtime Entry'!K725</f>
        <v>0</v>
      </c>
      <c r="L724" s="47" t="n">
        <f aca="false">'Fault &amp; Downtime Entry'!L725</f>
        <v>0</v>
      </c>
      <c r="M724" s="47" t="str">
        <f aca="false">'Fault &amp; Downtime Entry'!M725</f>
        <v/>
      </c>
      <c r="N724" s="47" t="n">
        <f aca="false">'Fault &amp; Downtime Entry'!N725</f>
        <v>0</v>
      </c>
      <c r="O724" s="47" t="n">
        <f aca="false">'Fault &amp; Downtime Entry'!O725</f>
        <v>0</v>
      </c>
      <c r="P724" s="47" t="str">
        <f aca="false">IF(OR(J724="",K724=""),"",IFERROR(J724/K724*1000,0))</f>
        <v/>
      </c>
      <c r="Q724" s="47" t="str">
        <f aca="false">IF(OR(L724="",K724=""),"",IFERROR(L724/K724*1000,0))</f>
        <v/>
      </c>
      <c r="R724" s="47" t="str">
        <f aca="false">IF(OR(M724="High",M724="Critical"),"YES","")</f>
        <v/>
      </c>
    </row>
    <row r="725" customFormat="false" ht="15" hidden="false" customHeight="true" outlineLevel="0" collapsed="false">
      <c r="A725" s="47" t="n">
        <f aca="false">'Fault &amp; Downtime Entry'!A726</f>
        <v>721</v>
      </c>
      <c r="B725" s="48" t="n">
        <f aca="false">'Fault &amp; Downtime Entry'!B726</f>
        <v>0</v>
      </c>
      <c r="C725" s="47" t="n">
        <f aca="false">'Fault &amp; Downtime Entry'!C726</f>
        <v>0</v>
      </c>
      <c r="D725" s="47" t="n">
        <f aca="false">'Fault &amp; Downtime Entry'!D726</f>
        <v>0</v>
      </c>
      <c r="E725" s="47" t="n">
        <f aca="false">'Fault &amp; Downtime Entry'!E726</f>
        <v>0</v>
      </c>
      <c r="F725" s="47" t="str">
        <f aca="false">'Fault &amp; Downtime Entry'!F726</f>
        <v/>
      </c>
      <c r="G725" s="47" t="n">
        <f aca="false">'Fault &amp; Downtime Entry'!G726</f>
        <v>0</v>
      </c>
      <c r="H725" s="47" t="str">
        <f aca="false">'Fault &amp; Downtime Entry'!H726</f>
        <v/>
      </c>
      <c r="I725" s="47" t="str">
        <f aca="false">'Fault &amp; Downtime Entry'!I726</f>
        <v/>
      </c>
      <c r="J725" s="47" t="n">
        <f aca="false">'Fault &amp; Downtime Entry'!J726</f>
        <v>0</v>
      </c>
      <c r="K725" s="47" t="n">
        <f aca="false">'Fault &amp; Downtime Entry'!K726</f>
        <v>0</v>
      </c>
      <c r="L725" s="47" t="n">
        <f aca="false">'Fault &amp; Downtime Entry'!L726</f>
        <v>0</v>
      </c>
      <c r="M725" s="47" t="str">
        <f aca="false">'Fault &amp; Downtime Entry'!M726</f>
        <v/>
      </c>
      <c r="N725" s="47" t="n">
        <f aca="false">'Fault &amp; Downtime Entry'!N726</f>
        <v>0</v>
      </c>
      <c r="O725" s="47" t="n">
        <f aca="false">'Fault &amp; Downtime Entry'!O726</f>
        <v>0</v>
      </c>
      <c r="P725" s="47" t="str">
        <f aca="false">IF(OR(J725="",K725=""),"",IFERROR(J725/K725*1000,0))</f>
        <v/>
      </c>
      <c r="Q725" s="47" t="str">
        <f aca="false">IF(OR(L725="",K725=""),"",IFERROR(L725/K725*1000,0))</f>
        <v/>
      </c>
      <c r="R725" s="47" t="str">
        <f aca="false">IF(OR(M725="High",M725="Critical"),"YES","")</f>
        <v/>
      </c>
    </row>
    <row r="726" customFormat="false" ht="15" hidden="false" customHeight="true" outlineLevel="0" collapsed="false">
      <c r="A726" s="47" t="n">
        <f aca="false">'Fault &amp; Downtime Entry'!A727</f>
        <v>722</v>
      </c>
      <c r="B726" s="48" t="n">
        <f aca="false">'Fault &amp; Downtime Entry'!B727</f>
        <v>0</v>
      </c>
      <c r="C726" s="47" t="n">
        <f aca="false">'Fault &amp; Downtime Entry'!C727</f>
        <v>0</v>
      </c>
      <c r="D726" s="47" t="n">
        <f aca="false">'Fault &amp; Downtime Entry'!D727</f>
        <v>0</v>
      </c>
      <c r="E726" s="47" t="n">
        <f aca="false">'Fault &amp; Downtime Entry'!E727</f>
        <v>0</v>
      </c>
      <c r="F726" s="47" t="str">
        <f aca="false">'Fault &amp; Downtime Entry'!F727</f>
        <v/>
      </c>
      <c r="G726" s="47" t="n">
        <f aca="false">'Fault &amp; Downtime Entry'!G727</f>
        <v>0</v>
      </c>
      <c r="H726" s="47" t="str">
        <f aca="false">'Fault &amp; Downtime Entry'!H727</f>
        <v/>
      </c>
      <c r="I726" s="47" t="str">
        <f aca="false">'Fault &amp; Downtime Entry'!I727</f>
        <v/>
      </c>
      <c r="J726" s="47" t="n">
        <f aca="false">'Fault &amp; Downtime Entry'!J727</f>
        <v>0</v>
      </c>
      <c r="K726" s="47" t="n">
        <f aca="false">'Fault &amp; Downtime Entry'!K727</f>
        <v>0</v>
      </c>
      <c r="L726" s="47" t="n">
        <f aca="false">'Fault &amp; Downtime Entry'!L727</f>
        <v>0</v>
      </c>
      <c r="M726" s="47" t="str">
        <f aca="false">'Fault &amp; Downtime Entry'!M727</f>
        <v/>
      </c>
      <c r="N726" s="47" t="n">
        <f aca="false">'Fault &amp; Downtime Entry'!N727</f>
        <v>0</v>
      </c>
      <c r="O726" s="47" t="n">
        <f aca="false">'Fault &amp; Downtime Entry'!O727</f>
        <v>0</v>
      </c>
      <c r="P726" s="47" t="str">
        <f aca="false">IF(OR(J726="",K726=""),"",IFERROR(J726/K726*1000,0))</f>
        <v/>
      </c>
      <c r="Q726" s="47" t="str">
        <f aca="false">IF(OR(L726="",K726=""),"",IFERROR(L726/K726*1000,0))</f>
        <v/>
      </c>
      <c r="R726" s="47" t="str">
        <f aca="false">IF(OR(M726="High",M726="Critical"),"YES","")</f>
        <v/>
      </c>
    </row>
    <row r="727" customFormat="false" ht="15" hidden="false" customHeight="true" outlineLevel="0" collapsed="false">
      <c r="A727" s="47" t="n">
        <f aca="false">'Fault &amp; Downtime Entry'!A728</f>
        <v>723</v>
      </c>
      <c r="B727" s="48" t="n">
        <f aca="false">'Fault &amp; Downtime Entry'!B728</f>
        <v>0</v>
      </c>
      <c r="C727" s="47" t="n">
        <f aca="false">'Fault &amp; Downtime Entry'!C728</f>
        <v>0</v>
      </c>
      <c r="D727" s="47" t="n">
        <f aca="false">'Fault &amp; Downtime Entry'!D728</f>
        <v>0</v>
      </c>
      <c r="E727" s="47" t="n">
        <f aca="false">'Fault &amp; Downtime Entry'!E728</f>
        <v>0</v>
      </c>
      <c r="F727" s="47" t="str">
        <f aca="false">'Fault &amp; Downtime Entry'!F728</f>
        <v/>
      </c>
      <c r="G727" s="47" t="n">
        <f aca="false">'Fault &amp; Downtime Entry'!G728</f>
        <v>0</v>
      </c>
      <c r="H727" s="47" t="str">
        <f aca="false">'Fault &amp; Downtime Entry'!H728</f>
        <v/>
      </c>
      <c r="I727" s="47" t="str">
        <f aca="false">'Fault &amp; Downtime Entry'!I728</f>
        <v/>
      </c>
      <c r="J727" s="47" t="n">
        <f aca="false">'Fault &amp; Downtime Entry'!J728</f>
        <v>0</v>
      </c>
      <c r="K727" s="47" t="n">
        <f aca="false">'Fault &amp; Downtime Entry'!K728</f>
        <v>0</v>
      </c>
      <c r="L727" s="47" t="n">
        <f aca="false">'Fault &amp; Downtime Entry'!L728</f>
        <v>0</v>
      </c>
      <c r="M727" s="47" t="str">
        <f aca="false">'Fault &amp; Downtime Entry'!M728</f>
        <v/>
      </c>
      <c r="N727" s="47" t="n">
        <f aca="false">'Fault &amp; Downtime Entry'!N728</f>
        <v>0</v>
      </c>
      <c r="O727" s="47" t="n">
        <f aca="false">'Fault &amp; Downtime Entry'!O728</f>
        <v>0</v>
      </c>
      <c r="P727" s="47" t="str">
        <f aca="false">IF(OR(J727="",K727=""),"",IFERROR(J727/K727*1000,0))</f>
        <v/>
      </c>
      <c r="Q727" s="47" t="str">
        <f aca="false">IF(OR(L727="",K727=""),"",IFERROR(L727/K727*1000,0))</f>
        <v/>
      </c>
      <c r="R727" s="47" t="str">
        <f aca="false">IF(OR(M727="High",M727="Critical"),"YES","")</f>
        <v/>
      </c>
    </row>
    <row r="728" customFormat="false" ht="15" hidden="false" customHeight="true" outlineLevel="0" collapsed="false">
      <c r="A728" s="47" t="n">
        <f aca="false">'Fault &amp; Downtime Entry'!A729</f>
        <v>724</v>
      </c>
      <c r="B728" s="48" t="n">
        <f aca="false">'Fault &amp; Downtime Entry'!B729</f>
        <v>0</v>
      </c>
      <c r="C728" s="47" t="n">
        <f aca="false">'Fault &amp; Downtime Entry'!C729</f>
        <v>0</v>
      </c>
      <c r="D728" s="47" t="n">
        <f aca="false">'Fault &amp; Downtime Entry'!D729</f>
        <v>0</v>
      </c>
      <c r="E728" s="47" t="n">
        <f aca="false">'Fault &amp; Downtime Entry'!E729</f>
        <v>0</v>
      </c>
      <c r="F728" s="47" t="str">
        <f aca="false">'Fault &amp; Downtime Entry'!F729</f>
        <v/>
      </c>
      <c r="G728" s="47" t="n">
        <f aca="false">'Fault &amp; Downtime Entry'!G729</f>
        <v>0</v>
      </c>
      <c r="H728" s="47" t="str">
        <f aca="false">'Fault &amp; Downtime Entry'!H729</f>
        <v/>
      </c>
      <c r="I728" s="47" t="str">
        <f aca="false">'Fault &amp; Downtime Entry'!I729</f>
        <v/>
      </c>
      <c r="J728" s="47" t="n">
        <f aca="false">'Fault &amp; Downtime Entry'!J729</f>
        <v>0</v>
      </c>
      <c r="K728" s="47" t="n">
        <f aca="false">'Fault &amp; Downtime Entry'!K729</f>
        <v>0</v>
      </c>
      <c r="L728" s="47" t="n">
        <f aca="false">'Fault &amp; Downtime Entry'!L729</f>
        <v>0</v>
      </c>
      <c r="M728" s="47" t="str">
        <f aca="false">'Fault &amp; Downtime Entry'!M729</f>
        <v/>
      </c>
      <c r="N728" s="47" t="n">
        <f aca="false">'Fault &amp; Downtime Entry'!N729</f>
        <v>0</v>
      </c>
      <c r="O728" s="47" t="n">
        <f aca="false">'Fault &amp; Downtime Entry'!O729</f>
        <v>0</v>
      </c>
      <c r="P728" s="47" t="str">
        <f aca="false">IF(OR(J728="",K728=""),"",IFERROR(J728/K728*1000,0))</f>
        <v/>
      </c>
      <c r="Q728" s="47" t="str">
        <f aca="false">IF(OR(L728="",K728=""),"",IFERROR(L728/K728*1000,0))</f>
        <v/>
      </c>
      <c r="R728" s="47" t="str">
        <f aca="false">IF(OR(M728="High",M728="Critical"),"YES","")</f>
        <v/>
      </c>
    </row>
    <row r="729" customFormat="false" ht="15" hidden="false" customHeight="true" outlineLevel="0" collapsed="false">
      <c r="A729" s="47" t="n">
        <f aca="false">'Fault &amp; Downtime Entry'!A730</f>
        <v>725</v>
      </c>
      <c r="B729" s="48" t="n">
        <f aca="false">'Fault &amp; Downtime Entry'!B730</f>
        <v>0</v>
      </c>
      <c r="C729" s="47" t="n">
        <f aca="false">'Fault &amp; Downtime Entry'!C730</f>
        <v>0</v>
      </c>
      <c r="D729" s="47" t="n">
        <f aca="false">'Fault &amp; Downtime Entry'!D730</f>
        <v>0</v>
      </c>
      <c r="E729" s="47" t="n">
        <f aca="false">'Fault &amp; Downtime Entry'!E730</f>
        <v>0</v>
      </c>
      <c r="F729" s="47" t="str">
        <f aca="false">'Fault &amp; Downtime Entry'!F730</f>
        <v/>
      </c>
      <c r="G729" s="47" t="n">
        <f aca="false">'Fault &amp; Downtime Entry'!G730</f>
        <v>0</v>
      </c>
      <c r="H729" s="47" t="str">
        <f aca="false">'Fault &amp; Downtime Entry'!H730</f>
        <v/>
      </c>
      <c r="I729" s="47" t="str">
        <f aca="false">'Fault &amp; Downtime Entry'!I730</f>
        <v/>
      </c>
      <c r="J729" s="47" t="n">
        <f aca="false">'Fault &amp; Downtime Entry'!J730</f>
        <v>0</v>
      </c>
      <c r="K729" s="47" t="n">
        <f aca="false">'Fault &amp; Downtime Entry'!K730</f>
        <v>0</v>
      </c>
      <c r="L729" s="47" t="n">
        <f aca="false">'Fault &amp; Downtime Entry'!L730</f>
        <v>0</v>
      </c>
      <c r="M729" s="47" t="str">
        <f aca="false">'Fault &amp; Downtime Entry'!M730</f>
        <v/>
      </c>
      <c r="N729" s="47" t="n">
        <f aca="false">'Fault &amp; Downtime Entry'!N730</f>
        <v>0</v>
      </c>
      <c r="O729" s="47" t="n">
        <f aca="false">'Fault &amp; Downtime Entry'!O730</f>
        <v>0</v>
      </c>
      <c r="P729" s="47" t="str">
        <f aca="false">IF(OR(J729="",K729=""),"",IFERROR(J729/K729*1000,0))</f>
        <v/>
      </c>
      <c r="Q729" s="47" t="str">
        <f aca="false">IF(OR(L729="",K729=""),"",IFERROR(L729/K729*1000,0))</f>
        <v/>
      </c>
      <c r="R729" s="47" t="str">
        <f aca="false">IF(OR(M729="High",M729="Critical"),"YES","")</f>
        <v/>
      </c>
    </row>
    <row r="730" customFormat="false" ht="15" hidden="false" customHeight="true" outlineLevel="0" collapsed="false">
      <c r="A730" s="47" t="n">
        <f aca="false">'Fault &amp; Downtime Entry'!A731</f>
        <v>726</v>
      </c>
      <c r="B730" s="48" t="n">
        <f aca="false">'Fault &amp; Downtime Entry'!B731</f>
        <v>0</v>
      </c>
      <c r="C730" s="47" t="n">
        <f aca="false">'Fault &amp; Downtime Entry'!C731</f>
        <v>0</v>
      </c>
      <c r="D730" s="47" t="n">
        <f aca="false">'Fault &amp; Downtime Entry'!D731</f>
        <v>0</v>
      </c>
      <c r="E730" s="47" t="n">
        <f aca="false">'Fault &amp; Downtime Entry'!E731</f>
        <v>0</v>
      </c>
      <c r="F730" s="47" t="str">
        <f aca="false">'Fault &amp; Downtime Entry'!F731</f>
        <v/>
      </c>
      <c r="G730" s="47" t="n">
        <f aca="false">'Fault &amp; Downtime Entry'!G731</f>
        <v>0</v>
      </c>
      <c r="H730" s="47" t="str">
        <f aca="false">'Fault &amp; Downtime Entry'!H731</f>
        <v/>
      </c>
      <c r="I730" s="47" t="str">
        <f aca="false">'Fault &amp; Downtime Entry'!I731</f>
        <v/>
      </c>
      <c r="J730" s="47" t="n">
        <f aca="false">'Fault &amp; Downtime Entry'!J731</f>
        <v>0</v>
      </c>
      <c r="K730" s="47" t="n">
        <f aca="false">'Fault &amp; Downtime Entry'!K731</f>
        <v>0</v>
      </c>
      <c r="L730" s="47" t="n">
        <f aca="false">'Fault &amp; Downtime Entry'!L731</f>
        <v>0</v>
      </c>
      <c r="M730" s="47" t="str">
        <f aca="false">'Fault &amp; Downtime Entry'!M731</f>
        <v/>
      </c>
      <c r="N730" s="47" t="n">
        <f aca="false">'Fault &amp; Downtime Entry'!N731</f>
        <v>0</v>
      </c>
      <c r="O730" s="47" t="n">
        <f aca="false">'Fault &amp; Downtime Entry'!O731</f>
        <v>0</v>
      </c>
      <c r="P730" s="47" t="str">
        <f aca="false">IF(OR(J730="",K730=""),"",IFERROR(J730/K730*1000,0))</f>
        <v/>
      </c>
      <c r="Q730" s="47" t="str">
        <f aca="false">IF(OR(L730="",K730=""),"",IFERROR(L730/K730*1000,0))</f>
        <v/>
      </c>
      <c r="R730" s="47" t="str">
        <f aca="false">IF(OR(M730="High",M730="Critical"),"YES","")</f>
        <v/>
      </c>
    </row>
    <row r="731" customFormat="false" ht="15" hidden="false" customHeight="true" outlineLevel="0" collapsed="false">
      <c r="A731" s="47" t="n">
        <f aca="false">'Fault &amp; Downtime Entry'!A732</f>
        <v>727</v>
      </c>
      <c r="B731" s="48" t="n">
        <f aca="false">'Fault &amp; Downtime Entry'!B732</f>
        <v>0</v>
      </c>
      <c r="C731" s="47" t="n">
        <f aca="false">'Fault &amp; Downtime Entry'!C732</f>
        <v>0</v>
      </c>
      <c r="D731" s="47" t="n">
        <f aca="false">'Fault &amp; Downtime Entry'!D732</f>
        <v>0</v>
      </c>
      <c r="E731" s="47" t="n">
        <f aca="false">'Fault &amp; Downtime Entry'!E732</f>
        <v>0</v>
      </c>
      <c r="F731" s="47" t="str">
        <f aca="false">'Fault &amp; Downtime Entry'!F732</f>
        <v/>
      </c>
      <c r="G731" s="47" t="n">
        <f aca="false">'Fault &amp; Downtime Entry'!G732</f>
        <v>0</v>
      </c>
      <c r="H731" s="47" t="str">
        <f aca="false">'Fault &amp; Downtime Entry'!H732</f>
        <v/>
      </c>
      <c r="I731" s="47" t="str">
        <f aca="false">'Fault &amp; Downtime Entry'!I732</f>
        <v/>
      </c>
      <c r="J731" s="47" t="n">
        <f aca="false">'Fault &amp; Downtime Entry'!J732</f>
        <v>0</v>
      </c>
      <c r="K731" s="47" t="n">
        <f aca="false">'Fault &amp; Downtime Entry'!K732</f>
        <v>0</v>
      </c>
      <c r="L731" s="47" t="n">
        <f aca="false">'Fault &amp; Downtime Entry'!L732</f>
        <v>0</v>
      </c>
      <c r="M731" s="47" t="str">
        <f aca="false">'Fault &amp; Downtime Entry'!M732</f>
        <v/>
      </c>
      <c r="N731" s="47" t="n">
        <f aca="false">'Fault &amp; Downtime Entry'!N732</f>
        <v>0</v>
      </c>
      <c r="O731" s="47" t="n">
        <f aca="false">'Fault &amp; Downtime Entry'!O732</f>
        <v>0</v>
      </c>
      <c r="P731" s="47" t="str">
        <f aca="false">IF(OR(J731="",K731=""),"",IFERROR(J731/K731*1000,0))</f>
        <v/>
      </c>
      <c r="Q731" s="47" t="str">
        <f aca="false">IF(OR(L731="",K731=""),"",IFERROR(L731/K731*1000,0))</f>
        <v/>
      </c>
      <c r="R731" s="47" t="str">
        <f aca="false">IF(OR(M731="High",M731="Critical"),"YES","")</f>
        <v/>
      </c>
    </row>
    <row r="732" customFormat="false" ht="15" hidden="false" customHeight="true" outlineLevel="0" collapsed="false">
      <c r="A732" s="47" t="n">
        <f aca="false">'Fault &amp; Downtime Entry'!A733</f>
        <v>728</v>
      </c>
      <c r="B732" s="48" t="n">
        <f aca="false">'Fault &amp; Downtime Entry'!B733</f>
        <v>0</v>
      </c>
      <c r="C732" s="47" t="n">
        <f aca="false">'Fault &amp; Downtime Entry'!C733</f>
        <v>0</v>
      </c>
      <c r="D732" s="47" t="n">
        <f aca="false">'Fault &amp; Downtime Entry'!D733</f>
        <v>0</v>
      </c>
      <c r="E732" s="47" t="n">
        <f aca="false">'Fault &amp; Downtime Entry'!E733</f>
        <v>0</v>
      </c>
      <c r="F732" s="47" t="str">
        <f aca="false">'Fault &amp; Downtime Entry'!F733</f>
        <v/>
      </c>
      <c r="G732" s="47" t="n">
        <f aca="false">'Fault &amp; Downtime Entry'!G733</f>
        <v>0</v>
      </c>
      <c r="H732" s="47" t="str">
        <f aca="false">'Fault &amp; Downtime Entry'!H733</f>
        <v/>
      </c>
      <c r="I732" s="47" t="str">
        <f aca="false">'Fault &amp; Downtime Entry'!I733</f>
        <v/>
      </c>
      <c r="J732" s="47" t="n">
        <f aca="false">'Fault &amp; Downtime Entry'!J733</f>
        <v>0</v>
      </c>
      <c r="K732" s="47" t="n">
        <f aca="false">'Fault &amp; Downtime Entry'!K733</f>
        <v>0</v>
      </c>
      <c r="L732" s="47" t="n">
        <f aca="false">'Fault &amp; Downtime Entry'!L733</f>
        <v>0</v>
      </c>
      <c r="M732" s="47" t="str">
        <f aca="false">'Fault &amp; Downtime Entry'!M733</f>
        <v/>
      </c>
      <c r="N732" s="47" t="n">
        <f aca="false">'Fault &amp; Downtime Entry'!N733</f>
        <v>0</v>
      </c>
      <c r="O732" s="47" t="n">
        <f aca="false">'Fault &amp; Downtime Entry'!O733</f>
        <v>0</v>
      </c>
      <c r="P732" s="47" t="str">
        <f aca="false">IF(OR(J732="",K732=""),"",IFERROR(J732/K732*1000,0))</f>
        <v/>
      </c>
      <c r="Q732" s="47" t="str">
        <f aca="false">IF(OR(L732="",K732=""),"",IFERROR(L732/K732*1000,0))</f>
        <v/>
      </c>
      <c r="R732" s="47" t="str">
        <f aca="false">IF(OR(M732="High",M732="Critical"),"YES","")</f>
        <v/>
      </c>
    </row>
    <row r="733" customFormat="false" ht="15" hidden="false" customHeight="true" outlineLevel="0" collapsed="false">
      <c r="A733" s="47" t="n">
        <f aca="false">'Fault &amp; Downtime Entry'!A734</f>
        <v>729</v>
      </c>
      <c r="B733" s="48" t="n">
        <f aca="false">'Fault &amp; Downtime Entry'!B734</f>
        <v>0</v>
      </c>
      <c r="C733" s="47" t="n">
        <f aca="false">'Fault &amp; Downtime Entry'!C734</f>
        <v>0</v>
      </c>
      <c r="D733" s="47" t="n">
        <f aca="false">'Fault &amp; Downtime Entry'!D734</f>
        <v>0</v>
      </c>
      <c r="E733" s="47" t="n">
        <f aca="false">'Fault &amp; Downtime Entry'!E734</f>
        <v>0</v>
      </c>
      <c r="F733" s="47" t="str">
        <f aca="false">'Fault &amp; Downtime Entry'!F734</f>
        <v/>
      </c>
      <c r="G733" s="47" t="n">
        <f aca="false">'Fault &amp; Downtime Entry'!G734</f>
        <v>0</v>
      </c>
      <c r="H733" s="47" t="str">
        <f aca="false">'Fault &amp; Downtime Entry'!H734</f>
        <v/>
      </c>
      <c r="I733" s="47" t="str">
        <f aca="false">'Fault &amp; Downtime Entry'!I734</f>
        <v/>
      </c>
      <c r="J733" s="47" t="n">
        <f aca="false">'Fault &amp; Downtime Entry'!J734</f>
        <v>0</v>
      </c>
      <c r="K733" s="47" t="n">
        <f aca="false">'Fault &amp; Downtime Entry'!K734</f>
        <v>0</v>
      </c>
      <c r="L733" s="47" t="n">
        <f aca="false">'Fault &amp; Downtime Entry'!L734</f>
        <v>0</v>
      </c>
      <c r="M733" s="47" t="str">
        <f aca="false">'Fault &amp; Downtime Entry'!M734</f>
        <v/>
      </c>
      <c r="N733" s="47" t="n">
        <f aca="false">'Fault &amp; Downtime Entry'!N734</f>
        <v>0</v>
      </c>
      <c r="O733" s="47" t="n">
        <f aca="false">'Fault &amp; Downtime Entry'!O734</f>
        <v>0</v>
      </c>
      <c r="P733" s="47" t="str">
        <f aca="false">IF(OR(J733="",K733=""),"",IFERROR(J733/K733*1000,0))</f>
        <v/>
      </c>
      <c r="Q733" s="47" t="str">
        <f aca="false">IF(OR(L733="",K733=""),"",IFERROR(L733/K733*1000,0))</f>
        <v/>
      </c>
      <c r="R733" s="47" t="str">
        <f aca="false">IF(OR(M733="High",M733="Critical"),"YES","")</f>
        <v/>
      </c>
    </row>
    <row r="734" customFormat="false" ht="15" hidden="false" customHeight="true" outlineLevel="0" collapsed="false">
      <c r="A734" s="47" t="n">
        <f aca="false">'Fault &amp; Downtime Entry'!A735</f>
        <v>730</v>
      </c>
      <c r="B734" s="48" t="n">
        <f aca="false">'Fault &amp; Downtime Entry'!B735</f>
        <v>0</v>
      </c>
      <c r="C734" s="47" t="n">
        <f aca="false">'Fault &amp; Downtime Entry'!C735</f>
        <v>0</v>
      </c>
      <c r="D734" s="47" t="n">
        <f aca="false">'Fault &amp; Downtime Entry'!D735</f>
        <v>0</v>
      </c>
      <c r="E734" s="47" t="n">
        <f aca="false">'Fault &amp; Downtime Entry'!E735</f>
        <v>0</v>
      </c>
      <c r="F734" s="47" t="str">
        <f aca="false">'Fault &amp; Downtime Entry'!F735</f>
        <v/>
      </c>
      <c r="G734" s="47" t="n">
        <f aca="false">'Fault &amp; Downtime Entry'!G735</f>
        <v>0</v>
      </c>
      <c r="H734" s="47" t="str">
        <f aca="false">'Fault &amp; Downtime Entry'!H735</f>
        <v/>
      </c>
      <c r="I734" s="47" t="str">
        <f aca="false">'Fault &amp; Downtime Entry'!I735</f>
        <v/>
      </c>
      <c r="J734" s="47" t="n">
        <f aca="false">'Fault &amp; Downtime Entry'!J735</f>
        <v>0</v>
      </c>
      <c r="K734" s="47" t="n">
        <f aca="false">'Fault &amp; Downtime Entry'!K735</f>
        <v>0</v>
      </c>
      <c r="L734" s="47" t="n">
        <f aca="false">'Fault &amp; Downtime Entry'!L735</f>
        <v>0</v>
      </c>
      <c r="M734" s="47" t="str">
        <f aca="false">'Fault &amp; Downtime Entry'!M735</f>
        <v/>
      </c>
      <c r="N734" s="47" t="n">
        <f aca="false">'Fault &amp; Downtime Entry'!N735</f>
        <v>0</v>
      </c>
      <c r="O734" s="47" t="n">
        <f aca="false">'Fault &amp; Downtime Entry'!O735</f>
        <v>0</v>
      </c>
      <c r="P734" s="47" t="str">
        <f aca="false">IF(OR(J734="",K734=""),"",IFERROR(J734/K734*1000,0))</f>
        <v/>
      </c>
      <c r="Q734" s="47" t="str">
        <f aca="false">IF(OR(L734="",K734=""),"",IFERROR(L734/K734*1000,0))</f>
        <v/>
      </c>
      <c r="R734" s="47" t="str">
        <f aca="false">IF(OR(M734="High",M734="Critical"),"YES","")</f>
        <v/>
      </c>
    </row>
    <row r="735" customFormat="false" ht="15" hidden="false" customHeight="true" outlineLevel="0" collapsed="false">
      <c r="A735" s="47" t="n">
        <f aca="false">'Fault &amp; Downtime Entry'!A736</f>
        <v>731</v>
      </c>
      <c r="B735" s="48" t="n">
        <f aca="false">'Fault &amp; Downtime Entry'!B736</f>
        <v>0</v>
      </c>
      <c r="C735" s="47" t="n">
        <f aca="false">'Fault &amp; Downtime Entry'!C736</f>
        <v>0</v>
      </c>
      <c r="D735" s="47" t="n">
        <f aca="false">'Fault &amp; Downtime Entry'!D736</f>
        <v>0</v>
      </c>
      <c r="E735" s="47" t="n">
        <f aca="false">'Fault &amp; Downtime Entry'!E736</f>
        <v>0</v>
      </c>
      <c r="F735" s="47" t="str">
        <f aca="false">'Fault &amp; Downtime Entry'!F736</f>
        <v/>
      </c>
      <c r="G735" s="47" t="n">
        <f aca="false">'Fault &amp; Downtime Entry'!G736</f>
        <v>0</v>
      </c>
      <c r="H735" s="47" t="str">
        <f aca="false">'Fault &amp; Downtime Entry'!H736</f>
        <v/>
      </c>
      <c r="I735" s="47" t="str">
        <f aca="false">'Fault &amp; Downtime Entry'!I736</f>
        <v/>
      </c>
      <c r="J735" s="47" t="n">
        <f aca="false">'Fault &amp; Downtime Entry'!J736</f>
        <v>0</v>
      </c>
      <c r="K735" s="47" t="n">
        <f aca="false">'Fault &amp; Downtime Entry'!K736</f>
        <v>0</v>
      </c>
      <c r="L735" s="47" t="n">
        <f aca="false">'Fault &amp; Downtime Entry'!L736</f>
        <v>0</v>
      </c>
      <c r="M735" s="47" t="str">
        <f aca="false">'Fault &amp; Downtime Entry'!M736</f>
        <v/>
      </c>
      <c r="N735" s="47" t="n">
        <f aca="false">'Fault &amp; Downtime Entry'!N736</f>
        <v>0</v>
      </c>
      <c r="O735" s="47" t="n">
        <f aca="false">'Fault &amp; Downtime Entry'!O736</f>
        <v>0</v>
      </c>
      <c r="P735" s="47" t="str">
        <f aca="false">IF(OR(J735="",K735=""),"",IFERROR(J735/K735*1000,0))</f>
        <v/>
      </c>
      <c r="Q735" s="47" t="str">
        <f aca="false">IF(OR(L735="",K735=""),"",IFERROR(L735/K735*1000,0))</f>
        <v/>
      </c>
      <c r="R735" s="47" t="str">
        <f aca="false">IF(OR(M735="High",M735="Critical"),"YES","")</f>
        <v/>
      </c>
    </row>
    <row r="736" customFormat="false" ht="15" hidden="false" customHeight="true" outlineLevel="0" collapsed="false">
      <c r="A736" s="47" t="n">
        <f aca="false">'Fault &amp; Downtime Entry'!A737</f>
        <v>732</v>
      </c>
      <c r="B736" s="48" t="n">
        <f aca="false">'Fault &amp; Downtime Entry'!B737</f>
        <v>0</v>
      </c>
      <c r="C736" s="47" t="n">
        <f aca="false">'Fault &amp; Downtime Entry'!C737</f>
        <v>0</v>
      </c>
      <c r="D736" s="47" t="n">
        <f aca="false">'Fault &amp; Downtime Entry'!D737</f>
        <v>0</v>
      </c>
      <c r="E736" s="47" t="n">
        <f aca="false">'Fault &amp; Downtime Entry'!E737</f>
        <v>0</v>
      </c>
      <c r="F736" s="47" t="str">
        <f aca="false">'Fault &amp; Downtime Entry'!F737</f>
        <v/>
      </c>
      <c r="G736" s="47" t="n">
        <f aca="false">'Fault &amp; Downtime Entry'!G737</f>
        <v>0</v>
      </c>
      <c r="H736" s="47" t="str">
        <f aca="false">'Fault &amp; Downtime Entry'!H737</f>
        <v/>
      </c>
      <c r="I736" s="47" t="str">
        <f aca="false">'Fault &amp; Downtime Entry'!I737</f>
        <v/>
      </c>
      <c r="J736" s="47" t="n">
        <f aca="false">'Fault &amp; Downtime Entry'!J737</f>
        <v>0</v>
      </c>
      <c r="K736" s="47" t="n">
        <f aca="false">'Fault &amp; Downtime Entry'!K737</f>
        <v>0</v>
      </c>
      <c r="L736" s="47" t="n">
        <f aca="false">'Fault &amp; Downtime Entry'!L737</f>
        <v>0</v>
      </c>
      <c r="M736" s="47" t="str">
        <f aca="false">'Fault &amp; Downtime Entry'!M737</f>
        <v/>
      </c>
      <c r="N736" s="47" t="n">
        <f aca="false">'Fault &amp; Downtime Entry'!N737</f>
        <v>0</v>
      </c>
      <c r="O736" s="47" t="n">
        <f aca="false">'Fault &amp; Downtime Entry'!O737</f>
        <v>0</v>
      </c>
      <c r="P736" s="47" t="str">
        <f aca="false">IF(OR(J736="",K736=""),"",IFERROR(J736/K736*1000,0))</f>
        <v/>
      </c>
      <c r="Q736" s="47" t="str">
        <f aca="false">IF(OR(L736="",K736=""),"",IFERROR(L736/K736*1000,0))</f>
        <v/>
      </c>
      <c r="R736" s="47" t="str">
        <f aca="false">IF(OR(M736="High",M736="Critical"),"YES","")</f>
        <v/>
      </c>
    </row>
    <row r="737" customFormat="false" ht="15" hidden="false" customHeight="true" outlineLevel="0" collapsed="false">
      <c r="A737" s="47" t="n">
        <f aca="false">'Fault &amp; Downtime Entry'!A738</f>
        <v>733</v>
      </c>
      <c r="B737" s="48" t="n">
        <f aca="false">'Fault &amp; Downtime Entry'!B738</f>
        <v>0</v>
      </c>
      <c r="C737" s="47" t="n">
        <f aca="false">'Fault &amp; Downtime Entry'!C738</f>
        <v>0</v>
      </c>
      <c r="D737" s="47" t="n">
        <f aca="false">'Fault &amp; Downtime Entry'!D738</f>
        <v>0</v>
      </c>
      <c r="E737" s="47" t="n">
        <f aca="false">'Fault &amp; Downtime Entry'!E738</f>
        <v>0</v>
      </c>
      <c r="F737" s="47" t="str">
        <f aca="false">'Fault &amp; Downtime Entry'!F738</f>
        <v/>
      </c>
      <c r="G737" s="47" t="n">
        <f aca="false">'Fault &amp; Downtime Entry'!G738</f>
        <v>0</v>
      </c>
      <c r="H737" s="47" t="str">
        <f aca="false">'Fault &amp; Downtime Entry'!H738</f>
        <v/>
      </c>
      <c r="I737" s="47" t="str">
        <f aca="false">'Fault &amp; Downtime Entry'!I738</f>
        <v/>
      </c>
      <c r="J737" s="47" t="n">
        <f aca="false">'Fault &amp; Downtime Entry'!J738</f>
        <v>0</v>
      </c>
      <c r="K737" s="47" t="n">
        <f aca="false">'Fault &amp; Downtime Entry'!K738</f>
        <v>0</v>
      </c>
      <c r="L737" s="47" t="n">
        <f aca="false">'Fault &amp; Downtime Entry'!L738</f>
        <v>0</v>
      </c>
      <c r="M737" s="47" t="str">
        <f aca="false">'Fault &amp; Downtime Entry'!M738</f>
        <v/>
      </c>
      <c r="N737" s="47" t="n">
        <f aca="false">'Fault &amp; Downtime Entry'!N738</f>
        <v>0</v>
      </c>
      <c r="O737" s="47" t="n">
        <f aca="false">'Fault &amp; Downtime Entry'!O738</f>
        <v>0</v>
      </c>
      <c r="P737" s="47" t="str">
        <f aca="false">IF(OR(J737="",K737=""),"",IFERROR(J737/K737*1000,0))</f>
        <v/>
      </c>
      <c r="Q737" s="47" t="str">
        <f aca="false">IF(OR(L737="",K737=""),"",IFERROR(L737/K737*1000,0))</f>
        <v/>
      </c>
      <c r="R737" s="47" t="str">
        <f aca="false">IF(OR(M737="High",M737="Critical"),"YES","")</f>
        <v/>
      </c>
    </row>
    <row r="738" customFormat="false" ht="15" hidden="false" customHeight="true" outlineLevel="0" collapsed="false">
      <c r="A738" s="47" t="n">
        <f aca="false">'Fault &amp; Downtime Entry'!A739</f>
        <v>734</v>
      </c>
      <c r="B738" s="48" t="n">
        <f aca="false">'Fault &amp; Downtime Entry'!B739</f>
        <v>0</v>
      </c>
      <c r="C738" s="47" t="n">
        <f aca="false">'Fault &amp; Downtime Entry'!C739</f>
        <v>0</v>
      </c>
      <c r="D738" s="47" t="n">
        <f aca="false">'Fault &amp; Downtime Entry'!D739</f>
        <v>0</v>
      </c>
      <c r="E738" s="47" t="n">
        <f aca="false">'Fault &amp; Downtime Entry'!E739</f>
        <v>0</v>
      </c>
      <c r="F738" s="47" t="str">
        <f aca="false">'Fault &amp; Downtime Entry'!F739</f>
        <v/>
      </c>
      <c r="G738" s="47" t="n">
        <f aca="false">'Fault &amp; Downtime Entry'!G739</f>
        <v>0</v>
      </c>
      <c r="H738" s="47" t="str">
        <f aca="false">'Fault &amp; Downtime Entry'!H739</f>
        <v/>
      </c>
      <c r="I738" s="47" t="str">
        <f aca="false">'Fault &amp; Downtime Entry'!I739</f>
        <v/>
      </c>
      <c r="J738" s="47" t="n">
        <f aca="false">'Fault &amp; Downtime Entry'!J739</f>
        <v>0</v>
      </c>
      <c r="K738" s="47" t="n">
        <f aca="false">'Fault &amp; Downtime Entry'!K739</f>
        <v>0</v>
      </c>
      <c r="L738" s="47" t="n">
        <f aca="false">'Fault &amp; Downtime Entry'!L739</f>
        <v>0</v>
      </c>
      <c r="M738" s="47" t="str">
        <f aca="false">'Fault &amp; Downtime Entry'!M739</f>
        <v/>
      </c>
      <c r="N738" s="47" t="n">
        <f aca="false">'Fault &amp; Downtime Entry'!N739</f>
        <v>0</v>
      </c>
      <c r="O738" s="47" t="n">
        <f aca="false">'Fault &amp; Downtime Entry'!O739</f>
        <v>0</v>
      </c>
      <c r="P738" s="47" t="str">
        <f aca="false">IF(OR(J738="",K738=""),"",IFERROR(J738/K738*1000,0))</f>
        <v/>
      </c>
      <c r="Q738" s="47" t="str">
        <f aca="false">IF(OR(L738="",K738=""),"",IFERROR(L738/K738*1000,0))</f>
        <v/>
      </c>
      <c r="R738" s="47" t="str">
        <f aca="false">IF(OR(M738="High",M738="Critical"),"YES","")</f>
        <v/>
      </c>
    </row>
    <row r="739" customFormat="false" ht="15" hidden="false" customHeight="true" outlineLevel="0" collapsed="false">
      <c r="A739" s="47" t="n">
        <f aca="false">'Fault &amp; Downtime Entry'!A740</f>
        <v>735</v>
      </c>
      <c r="B739" s="48" t="n">
        <f aca="false">'Fault &amp; Downtime Entry'!B740</f>
        <v>0</v>
      </c>
      <c r="C739" s="47" t="n">
        <f aca="false">'Fault &amp; Downtime Entry'!C740</f>
        <v>0</v>
      </c>
      <c r="D739" s="47" t="n">
        <f aca="false">'Fault &amp; Downtime Entry'!D740</f>
        <v>0</v>
      </c>
      <c r="E739" s="47" t="n">
        <f aca="false">'Fault &amp; Downtime Entry'!E740</f>
        <v>0</v>
      </c>
      <c r="F739" s="47" t="str">
        <f aca="false">'Fault &amp; Downtime Entry'!F740</f>
        <v/>
      </c>
      <c r="G739" s="47" t="n">
        <f aca="false">'Fault &amp; Downtime Entry'!G740</f>
        <v>0</v>
      </c>
      <c r="H739" s="47" t="str">
        <f aca="false">'Fault &amp; Downtime Entry'!H740</f>
        <v/>
      </c>
      <c r="I739" s="47" t="str">
        <f aca="false">'Fault &amp; Downtime Entry'!I740</f>
        <v/>
      </c>
      <c r="J739" s="47" t="n">
        <f aca="false">'Fault &amp; Downtime Entry'!J740</f>
        <v>0</v>
      </c>
      <c r="K739" s="47" t="n">
        <f aca="false">'Fault &amp; Downtime Entry'!K740</f>
        <v>0</v>
      </c>
      <c r="L739" s="47" t="n">
        <f aca="false">'Fault &amp; Downtime Entry'!L740</f>
        <v>0</v>
      </c>
      <c r="M739" s="47" t="str">
        <f aca="false">'Fault &amp; Downtime Entry'!M740</f>
        <v/>
      </c>
      <c r="N739" s="47" t="n">
        <f aca="false">'Fault &amp; Downtime Entry'!N740</f>
        <v>0</v>
      </c>
      <c r="O739" s="47" t="n">
        <f aca="false">'Fault &amp; Downtime Entry'!O740</f>
        <v>0</v>
      </c>
      <c r="P739" s="47" t="str">
        <f aca="false">IF(OR(J739="",K739=""),"",IFERROR(J739/K739*1000,0))</f>
        <v/>
      </c>
      <c r="Q739" s="47" t="str">
        <f aca="false">IF(OR(L739="",K739=""),"",IFERROR(L739/K739*1000,0))</f>
        <v/>
      </c>
      <c r="R739" s="47" t="str">
        <f aca="false">IF(OR(M739="High",M739="Critical"),"YES","")</f>
        <v/>
      </c>
    </row>
    <row r="740" customFormat="false" ht="15" hidden="false" customHeight="true" outlineLevel="0" collapsed="false">
      <c r="A740" s="47" t="n">
        <f aca="false">'Fault &amp; Downtime Entry'!A741</f>
        <v>736</v>
      </c>
      <c r="B740" s="48" t="n">
        <f aca="false">'Fault &amp; Downtime Entry'!B741</f>
        <v>0</v>
      </c>
      <c r="C740" s="47" t="n">
        <f aca="false">'Fault &amp; Downtime Entry'!C741</f>
        <v>0</v>
      </c>
      <c r="D740" s="47" t="n">
        <f aca="false">'Fault &amp; Downtime Entry'!D741</f>
        <v>0</v>
      </c>
      <c r="E740" s="47" t="n">
        <f aca="false">'Fault &amp; Downtime Entry'!E741</f>
        <v>0</v>
      </c>
      <c r="F740" s="47" t="str">
        <f aca="false">'Fault &amp; Downtime Entry'!F741</f>
        <v/>
      </c>
      <c r="G740" s="47" t="n">
        <f aca="false">'Fault &amp; Downtime Entry'!G741</f>
        <v>0</v>
      </c>
      <c r="H740" s="47" t="str">
        <f aca="false">'Fault &amp; Downtime Entry'!H741</f>
        <v/>
      </c>
      <c r="I740" s="47" t="str">
        <f aca="false">'Fault &amp; Downtime Entry'!I741</f>
        <v/>
      </c>
      <c r="J740" s="47" t="n">
        <f aca="false">'Fault &amp; Downtime Entry'!J741</f>
        <v>0</v>
      </c>
      <c r="K740" s="47" t="n">
        <f aca="false">'Fault &amp; Downtime Entry'!K741</f>
        <v>0</v>
      </c>
      <c r="L740" s="47" t="n">
        <f aca="false">'Fault &amp; Downtime Entry'!L741</f>
        <v>0</v>
      </c>
      <c r="M740" s="47" t="str">
        <f aca="false">'Fault &amp; Downtime Entry'!M741</f>
        <v/>
      </c>
      <c r="N740" s="47" t="n">
        <f aca="false">'Fault &amp; Downtime Entry'!N741</f>
        <v>0</v>
      </c>
      <c r="O740" s="47" t="n">
        <f aca="false">'Fault &amp; Downtime Entry'!O741</f>
        <v>0</v>
      </c>
      <c r="P740" s="47" t="str">
        <f aca="false">IF(OR(J740="",K740=""),"",IFERROR(J740/K740*1000,0))</f>
        <v/>
      </c>
      <c r="Q740" s="47" t="str">
        <f aca="false">IF(OR(L740="",K740=""),"",IFERROR(L740/K740*1000,0))</f>
        <v/>
      </c>
      <c r="R740" s="47" t="str">
        <f aca="false">IF(OR(M740="High",M740="Critical"),"YES","")</f>
        <v/>
      </c>
    </row>
    <row r="741" customFormat="false" ht="15" hidden="false" customHeight="true" outlineLevel="0" collapsed="false">
      <c r="A741" s="47" t="n">
        <f aca="false">'Fault &amp; Downtime Entry'!A742</f>
        <v>737</v>
      </c>
      <c r="B741" s="48" t="n">
        <f aca="false">'Fault &amp; Downtime Entry'!B742</f>
        <v>0</v>
      </c>
      <c r="C741" s="47" t="n">
        <f aca="false">'Fault &amp; Downtime Entry'!C742</f>
        <v>0</v>
      </c>
      <c r="D741" s="47" t="n">
        <f aca="false">'Fault &amp; Downtime Entry'!D742</f>
        <v>0</v>
      </c>
      <c r="E741" s="47" t="n">
        <f aca="false">'Fault &amp; Downtime Entry'!E742</f>
        <v>0</v>
      </c>
      <c r="F741" s="47" t="str">
        <f aca="false">'Fault &amp; Downtime Entry'!F742</f>
        <v/>
      </c>
      <c r="G741" s="47" t="n">
        <f aca="false">'Fault &amp; Downtime Entry'!G742</f>
        <v>0</v>
      </c>
      <c r="H741" s="47" t="str">
        <f aca="false">'Fault &amp; Downtime Entry'!H742</f>
        <v/>
      </c>
      <c r="I741" s="47" t="str">
        <f aca="false">'Fault &amp; Downtime Entry'!I742</f>
        <v/>
      </c>
      <c r="J741" s="47" t="n">
        <f aca="false">'Fault &amp; Downtime Entry'!J742</f>
        <v>0</v>
      </c>
      <c r="K741" s="47" t="n">
        <f aca="false">'Fault &amp; Downtime Entry'!K742</f>
        <v>0</v>
      </c>
      <c r="L741" s="47" t="n">
        <f aca="false">'Fault &amp; Downtime Entry'!L742</f>
        <v>0</v>
      </c>
      <c r="M741" s="47" t="str">
        <f aca="false">'Fault &amp; Downtime Entry'!M742</f>
        <v/>
      </c>
      <c r="N741" s="47" t="n">
        <f aca="false">'Fault &amp; Downtime Entry'!N742</f>
        <v>0</v>
      </c>
      <c r="O741" s="47" t="n">
        <f aca="false">'Fault &amp; Downtime Entry'!O742</f>
        <v>0</v>
      </c>
      <c r="P741" s="47" t="str">
        <f aca="false">IF(OR(J741="",K741=""),"",IFERROR(J741/K741*1000,0))</f>
        <v/>
      </c>
      <c r="Q741" s="47" t="str">
        <f aca="false">IF(OR(L741="",K741=""),"",IFERROR(L741/K741*1000,0))</f>
        <v/>
      </c>
      <c r="R741" s="47" t="str">
        <f aca="false">IF(OR(M741="High",M741="Critical"),"YES","")</f>
        <v/>
      </c>
    </row>
    <row r="742" customFormat="false" ht="15" hidden="false" customHeight="true" outlineLevel="0" collapsed="false">
      <c r="A742" s="47" t="n">
        <f aca="false">'Fault &amp; Downtime Entry'!A743</f>
        <v>738</v>
      </c>
      <c r="B742" s="48" t="n">
        <f aca="false">'Fault &amp; Downtime Entry'!B743</f>
        <v>0</v>
      </c>
      <c r="C742" s="47" t="n">
        <f aca="false">'Fault &amp; Downtime Entry'!C743</f>
        <v>0</v>
      </c>
      <c r="D742" s="47" t="n">
        <f aca="false">'Fault &amp; Downtime Entry'!D743</f>
        <v>0</v>
      </c>
      <c r="E742" s="47" t="n">
        <f aca="false">'Fault &amp; Downtime Entry'!E743</f>
        <v>0</v>
      </c>
      <c r="F742" s="47" t="str">
        <f aca="false">'Fault &amp; Downtime Entry'!F743</f>
        <v/>
      </c>
      <c r="G742" s="47" t="n">
        <f aca="false">'Fault &amp; Downtime Entry'!G743</f>
        <v>0</v>
      </c>
      <c r="H742" s="47" t="str">
        <f aca="false">'Fault &amp; Downtime Entry'!H743</f>
        <v/>
      </c>
      <c r="I742" s="47" t="str">
        <f aca="false">'Fault &amp; Downtime Entry'!I743</f>
        <v/>
      </c>
      <c r="J742" s="47" t="n">
        <f aca="false">'Fault &amp; Downtime Entry'!J743</f>
        <v>0</v>
      </c>
      <c r="K742" s="47" t="n">
        <f aca="false">'Fault &amp; Downtime Entry'!K743</f>
        <v>0</v>
      </c>
      <c r="L742" s="47" t="n">
        <f aca="false">'Fault &amp; Downtime Entry'!L743</f>
        <v>0</v>
      </c>
      <c r="M742" s="47" t="str">
        <f aca="false">'Fault &amp; Downtime Entry'!M743</f>
        <v/>
      </c>
      <c r="N742" s="47" t="n">
        <f aca="false">'Fault &amp; Downtime Entry'!N743</f>
        <v>0</v>
      </c>
      <c r="O742" s="47" t="n">
        <f aca="false">'Fault &amp; Downtime Entry'!O743</f>
        <v>0</v>
      </c>
      <c r="P742" s="47" t="str">
        <f aca="false">IF(OR(J742="",K742=""),"",IFERROR(J742/K742*1000,0))</f>
        <v/>
      </c>
      <c r="Q742" s="47" t="str">
        <f aca="false">IF(OR(L742="",K742=""),"",IFERROR(L742/K742*1000,0))</f>
        <v/>
      </c>
      <c r="R742" s="47" t="str">
        <f aca="false">IF(OR(M742="High",M742="Critical"),"YES","")</f>
        <v/>
      </c>
    </row>
    <row r="743" customFormat="false" ht="15" hidden="false" customHeight="true" outlineLevel="0" collapsed="false">
      <c r="A743" s="47" t="n">
        <f aca="false">'Fault &amp; Downtime Entry'!A744</f>
        <v>739</v>
      </c>
      <c r="B743" s="48" t="n">
        <f aca="false">'Fault &amp; Downtime Entry'!B744</f>
        <v>0</v>
      </c>
      <c r="C743" s="47" t="n">
        <f aca="false">'Fault &amp; Downtime Entry'!C744</f>
        <v>0</v>
      </c>
      <c r="D743" s="47" t="n">
        <f aca="false">'Fault &amp; Downtime Entry'!D744</f>
        <v>0</v>
      </c>
      <c r="E743" s="47" t="n">
        <f aca="false">'Fault &amp; Downtime Entry'!E744</f>
        <v>0</v>
      </c>
      <c r="F743" s="47" t="str">
        <f aca="false">'Fault &amp; Downtime Entry'!F744</f>
        <v/>
      </c>
      <c r="G743" s="47" t="n">
        <f aca="false">'Fault &amp; Downtime Entry'!G744</f>
        <v>0</v>
      </c>
      <c r="H743" s="47" t="str">
        <f aca="false">'Fault &amp; Downtime Entry'!H744</f>
        <v/>
      </c>
      <c r="I743" s="47" t="str">
        <f aca="false">'Fault &amp; Downtime Entry'!I744</f>
        <v/>
      </c>
      <c r="J743" s="47" t="n">
        <f aca="false">'Fault &amp; Downtime Entry'!J744</f>
        <v>0</v>
      </c>
      <c r="K743" s="47" t="n">
        <f aca="false">'Fault &amp; Downtime Entry'!K744</f>
        <v>0</v>
      </c>
      <c r="L743" s="47" t="n">
        <f aca="false">'Fault &amp; Downtime Entry'!L744</f>
        <v>0</v>
      </c>
      <c r="M743" s="47" t="str">
        <f aca="false">'Fault &amp; Downtime Entry'!M744</f>
        <v/>
      </c>
      <c r="N743" s="47" t="n">
        <f aca="false">'Fault &amp; Downtime Entry'!N744</f>
        <v>0</v>
      </c>
      <c r="O743" s="47" t="n">
        <f aca="false">'Fault &amp; Downtime Entry'!O744</f>
        <v>0</v>
      </c>
      <c r="P743" s="47" t="str">
        <f aca="false">IF(OR(J743="",K743=""),"",IFERROR(J743/K743*1000,0))</f>
        <v/>
      </c>
      <c r="Q743" s="47" t="str">
        <f aca="false">IF(OR(L743="",K743=""),"",IFERROR(L743/K743*1000,0))</f>
        <v/>
      </c>
      <c r="R743" s="47" t="str">
        <f aca="false">IF(OR(M743="High",M743="Critical"),"YES","")</f>
        <v/>
      </c>
    </row>
    <row r="744" customFormat="false" ht="15" hidden="false" customHeight="true" outlineLevel="0" collapsed="false">
      <c r="A744" s="47" t="n">
        <f aca="false">'Fault &amp; Downtime Entry'!A745</f>
        <v>740</v>
      </c>
      <c r="B744" s="48" t="n">
        <f aca="false">'Fault &amp; Downtime Entry'!B745</f>
        <v>0</v>
      </c>
      <c r="C744" s="47" t="n">
        <f aca="false">'Fault &amp; Downtime Entry'!C745</f>
        <v>0</v>
      </c>
      <c r="D744" s="47" t="n">
        <f aca="false">'Fault &amp; Downtime Entry'!D745</f>
        <v>0</v>
      </c>
      <c r="E744" s="47" t="n">
        <f aca="false">'Fault &amp; Downtime Entry'!E745</f>
        <v>0</v>
      </c>
      <c r="F744" s="47" t="str">
        <f aca="false">'Fault &amp; Downtime Entry'!F745</f>
        <v/>
      </c>
      <c r="G744" s="47" t="n">
        <f aca="false">'Fault &amp; Downtime Entry'!G745</f>
        <v>0</v>
      </c>
      <c r="H744" s="47" t="str">
        <f aca="false">'Fault &amp; Downtime Entry'!H745</f>
        <v/>
      </c>
      <c r="I744" s="47" t="str">
        <f aca="false">'Fault &amp; Downtime Entry'!I745</f>
        <v/>
      </c>
      <c r="J744" s="47" t="n">
        <f aca="false">'Fault &amp; Downtime Entry'!J745</f>
        <v>0</v>
      </c>
      <c r="K744" s="47" t="n">
        <f aca="false">'Fault &amp; Downtime Entry'!K745</f>
        <v>0</v>
      </c>
      <c r="L744" s="47" t="n">
        <f aca="false">'Fault &amp; Downtime Entry'!L745</f>
        <v>0</v>
      </c>
      <c r="M744" s="47" t="str">
        <f aca="false">'Fault &amp; Downtime Entry'!M745</f>
        <v/>
      </c>
      <c r="N744" s="47" t="n">
        <f aca="false">'Fault &amp; Downtime Entry'!N745</f>
        <v>0</v>
      </c>
      <c r="O744" s="47" t="n">
        <f aca="false">'Fault &amp; Downtime Entry'!O745</f>
        <v>0</v>
      </c>
      <c r="P744" s="47" t="str">
        <f aca="false">IF(OR(J744="",K744=""),"",IFERROR(J744/K744*1000,0))</f>
        <v/>
      </c>
      <c r="Q744" s="47" t="str">
        <f aca="false">IF(OR(L744="",K744=""),"",IFERROR(L744/K744*1000,0))</f>
        <v/>
      </c>
      <c r="R744" s="47" t="str">
        <f aca="false">IF(OR(M744="High",M744="Critical"),"YES","")</f>
        <v/>
      </c>
    </row>
    <row r="745" customFormat="false" ht="15" hidden="false" customHeight="true" outlineLevel="0" collapsed="false">
      <c r="A745" s="47" t="n">
        <f aca="false">'Fault &amp; Downtime Entry'!A746</f>
        <v>741</v>
      </c>
      <c r="B745" s="48" t="n">
        <f aca="false">'Fault &amp; Downtime Entry'!B746</f>
        <v>0</v>
      </c>
      <c r="C745" s="47" t="n">
        <f aca="false">'Fault &amp; Downtime Entry'!C746</f>
        <v>0</v>
      </c>
      <c r="D745" s="47" t="n">
        <f aca="false">'Fault &amp; Downtime Entry'!D746</f>
        <v>0</v>
      </c>
      <c r="E745" s="47" t="n">
        <f aca="false">'Fault &amp; Downtime Entry'!E746</f>
        <v>0</v>
      </c>
      <c r="F745" s="47" t="str">
        <f aca="false">'Fault &amp; Downtime Entry'!F746</f>
        <v/>
      </c>
      <c r="G745" s="47" t="n">
        <f aca="false">'Fault &amp; Downtime Entry'!G746</f>
        <v>0</v>
      </c>
      <c r="H745" s="47" t="str">
        <f aca="false">'Fault &amp; Downtime Entry'!H746</f>
        <v/>
      </c>
      <c r="I745" s="47" t="str">
        <f aca="false">'Fault &amp; Downtime Entry'!I746</f>
        <v/>
      </c>
      <c r="J745" s="47" t="n">
        <f aca="false">'Fault &amp; Downtime Entry'!J746</f>
        <v>0</v>
      </c>
      <c r="K745" s="47" t="n">
        <f aca="false">'Fault &amp; Downtime Entry'!K746</f>
        <v>0</v>
      </c>
      <c r="L745" s="47" t="n">
        <f aca="false">'Fault &amp; Downtime Entry'!L746</f>
        <v>0</v>
      </c>
      <c r="M745" s="47" t="str">
        <f aca="false">'Fault &amp; Downtime Entry'!M746</f>
        <v/>
      </c>
      <c r="N745" s="47" t="n">
        <f aca="false">'Fault &amp; Downtime Entry'!N746</f>
        <v>0</v>
      </c>
      <c r="O745" s="47" t="n">
        <f aca="false">'Fault &amp; Downtime Entry'!O746</f>
        <v>0</v>
      </c>
      <c r="P745" s="47" t="str">
        <f aca="false">IF(OR(J745="",K745=""),"",IFERROR(J745/K745*1000,0))</f>
        <v/>
      </c>
      <c r="Q745" s="47" t="str">
        <f aca="false">IF(OR(L745="",K745=""),"",IFERROR(L745/K745*1000,0))</f>
        <v/>
      </c>
      <c r="R745" s="47" t="str">
        <f aca="false">IF(OR(M745="High",M745="Critical"),"YES","")</f>
        <v/>
      </c>
    </row>
    <row r="746" customFormat="false" ht="15" hidden="false" customHeight="true" outlineLevel="0" collapsed="false">
      <c r="A746" s="47" t="n">
        <f aca="false">'Fault &amp; Downtime Entry'!A747</f>
        <v>742</v>
      </c>
      <c r="B746" s="48" t="n">
        <f aca="false">'Fault &amp; Downtime Entry'!B747</f>
        <v>0</v>
      </c>
      <c r="C746" s="47" t="n">
        <f aca="false">'Fault &amp; Downtime Entry'!C747</f>
        <v>0</v>
      </c>
      <c r="D746" s="47" t="n">
        <f aca="false">'Fault &amp; Downtime Entry'!D747</f>
        <v>0</v>
      </c>
      <c r="E746" s="47" t="n">
        <f aca="false">'Fault &amp; Downtime Entry'!E747</f>
        <v>0</v>
      </c>
      <c r="F746" s="47" t="str">
        <f aca="false">'Fault &amp; Downtime Entry'!F747</f>
        <v/>
      </c>
      <c r="G746" s="47" t="n">
        <f aca="false">'Fault &amp; Downtime Entry'!G747</f>
        <v>0</v>
      </c>
      <c r="H746" s="47" t="str">
        <f aca="false">'Fault &amp; Downtime Entry'!H747</f>
        <v/>
      </c>
      <c r="I746" s="47" t="str">
        <f aca="false">'Fault &amp; Downtime Entry'!I747</f>
        <v/>
      </c>
      <c r="J746" s="47" t="n">
        <f aca="false">'Fault &amp; Downtime Entry'!J747</f>
        <v>0</v>
      </c>
      <c r="K746" s="47" t="n">
        <f aca="false">'Fault &amp; Downtime Entry'!K747</f>
        <v>0</v>
      </c>
      <c r="L746" s="47" t="n">
        <f aca="false">'Fault &amp; Downtime Entry'!L747</f>
        <v>0</v>
      </c>
      <c r="M746" s="47" t="str">
        <f aca="false">'Fault &amp; Downtime Entry'!M747</f>
        <v/>
      </c>
      <c r="N746" s="47" t="n">
        <f aca="false">'Fault &amp; Downtime Entry'!N747</f>
        <v>0</v>
      </c>
      <c r="O746" s="47" t="n">
        <f aca="false">'Fault &amp; Downtime Entry'!O747</f>
        <v>0</v>
      </c>
      <c r="P746" s="47" t="str">
        <f aca="false">IF(OR(J746="",K746=""),"",IFERROR(J746/K746*1000,0))</f>
        <v/>
      </c>
      <c r="Q746" s="47" t="str">
        <f aca="false">IF(OR(L746="",K746=""),"",IFERROR(L746/K746*1000,0))</f>
        <v/>
      </c>
      <c r="R746" s="47" t="str">
        <f aca="false">IF(OR(M746="High",M746="Critical"),"YES","")</f>
        <v/>
      </c>
    </row>
    <row r="747" customFormat="false" ht="15" hidden="false" customHeight="true" outlineLevel="0" collapsed="false">
      <c r="A747" s="47" t="n">
        <f aca="false">'Fault &amp; Downtime Entry'!A748</f>
        <v>743</v>
      </c>
      <c r="B747" s="48" t="n">
        <f aca="false">'Fault &amp; Downtime Entry'!B748</f>
        <v>0</v>
      </c>
      <c r="C747" s="47" t="n">
        <f aca="false">'Fault &amp; Downtime Entry'!C748</f>
        <v>0</v>
      </c>
      <c r="D747" s="47" t="n">
        <f aca="false">'Fault &amp; Downtime Entry'!D748</f>
        <v>0</v>
      </c>
      <c r="E747" s="47" t="n">
        <f aca="false">'Fault &amp; Downtime Entry'!E748</f>
        <v>0</v>
      </c>
      <c r="F747" s="47" t="str">
        <f aca="false">'Fault &amp; Downtime Entry'!F748</f>
        <v/>
      </c>
      <c r="G747" s="47" t="n">
        <f aca="false">'Fault &amp; Downtime Entry'!G748</f>
        <v>0</v>
      </c>
      <c r="H747" s="47" t="str">
        <f aca="false">'Fault &amp; Downtime Entry'!H748</f>
        <v/>
      </c>
      <c r="I747" s="47" t="str">
        <f aca="false">'Fault &amp; Downtime Entry'!I748</f>
        <v/>
      </c>
      <c r="J747" s="47" t="n">
        <f aca="false">'Fault &amp; Downtime Entry'!J748</f>
        <v>0</v>
      </c>
      <c r="K747" s="47" t="n">
        <f aca="false">'Fault &amp; Downtime Entry'!K748</f>
        <v>0</v>
      </c>
      <c r="L747" s="47" t="n">
        <f aca="false">'Fault &amp; Downtime Entry'!L748</f>
        <v>0</v>
      </c>
      <c r="M747" s="47" t="str">
        <f aca="false">'Fault &amp; Downtime Entry'!M748</f>
        <v/>
      </c>
      <c r="N747" s="47" t="n">
        <f aca="false">'Fault &amp; Downtime Entry'!N748</f>
        <v>0</v>
      </c>
      <c r="O747" s="47" t="n">
        <f aca="false">'Fault &amp; Downtime Entry'!O748</f>
        <v>0</v>
      </c>
      <c r="P747" s="47" t="str">
        <f aca="false">IF(OR(J747="",K747=""),"",IFERROR(J747/K747*1000,0))</f>
        <v/>
      </c>
      <c r="Q747" s="47" t="str">
        <f aca="false">IF(OR(L747="",K747=""),"",IFERROR(L747/K747*1000,0))</f>
        <v/>
      </c>
      <c r="R747" s="47" t="str">
        <f aca="false">IF(OR(M747="High",M747="Critical"),"YES","")</f>
        <v/>
      </c>
    </row>
    <row r="748" customFormat="false" ht="15" hidden="false" customHeight="true" outlineLevel="0" collapsed="false">
      <c r="A748" s="47" t="n">
        <f aca="false">'Fault &amp; Downtime Entry'!A749</f>
        <v>744</v>
      </c>
      <c r="B748" s="48" t="n">
        <f aca="false">'Fault &amp; Downtime Entry'!B749</f>
        <v>0</v>
      </c>
      <c r="C748" s="47" t="n">
        <f aca="false">'Fault &amp; Downtime Entry'!C749</f>
        <v>0</v>
      </c>
      <c r="D748" s="47" t="n">
        <f aca="false">'Fault &amp; Downtime Entry'!D749</f>
        <v>0</v>
      </c>
      <c r="E748" s="47" t="n">
        <f aca="false">'Fault &amp; Downtime Entry'!E749</f>
        <v>0</v>
      </c>
      <c r="F748" s="47" t="str">
        <f aca="false">'Fault &amp; Downtime Entry'!F749</f>
        <v/>
      </c>
      <c r="G748" s="47" t="n">
        <f aca="false">'Fault &amp; Downtime Entry'!G749</f>
        <v>0</v>
      </c>
      <c r="H748" s="47" t="str">
        <f aca="false">'Fault &amp; Downtime Entry'!H749</f>
        <v/>
      </c>
      <c r="I748" s="47" t="str">
        <f aca="false">'Fault &amp; Downtime Entry'!I749</f>
        <v/>
      </c>
      <c r="J748" s="47" t="n">
        <f aca="false">'Fault &amp; Downtime Entry'!J749</f>
        <v>0</v>
      </c>
      <c r="K748" s="47" t="n">
        <f aca="false">'Fault &amp; Downtime Entry'!K749</f>
        <v>0</v>
      </c>
      <c r="L748" s="47" t="n">
        <f aca="false">'Fault &amp; Downtime Entry'!L749</f>
        <v>0</v>
      </c>
      <c r="M748" s="47" t="str">
        <f aca="false">'Fault &amp; Downtime Entry'!M749</f>
        <v/>
      </c>
      <c r="N748" s="47" t="n">
        <f aca="false">'Fault &amp; Downtime Entry'!N749</f>
        <v>0</v>
      </c>
      <c r="O748" s="47" t="n">
        <f aca="false">'Fault &amp; Downtime Entry'!O749</f>
        <v>0</v>
      </c>
      <c r="P748" s="47" t="str">
        <f aca="false">IF(OR(J748="",K748=""),"",IFERROR(J748/K748*1000,0))</f>
        <v/>
      </c>
      <c r="Q748" s="47" t="str">
        <f aca="false">IF(OR(L748="",K748=""),"",IFERROR(L748/K748*1000,0))</f>
        <v/>
      </c>
      <c r="R748" s="47" t="str">
        <f aca="false">IF(OR(M748="High",M748="Critical"),"YES","")</f>
        <v/>
      </c>
    </row>
    <row r="749" customFormat="false" ht="15" hidden="false" customHeight="true" outlineLevel="0" collapsed="false">
      <c r="A749" s="47" t="n">
        <f aca="false">'Fault &amp; Downtime Entry'!A750</f>
        <v>745</v>
      </c>
      <c r="B749" s="48" t="n">
        <f aca="false">'Fault &amp; Downtime Entry'!B750</f>
        <v>0</v>
      </c>
      <c r="C749" s="47" t="n">
        <f aca="false">'Fault &amp; Downtime Entry'!C750</f>
        <v>0</v>
      </c>
      <c r="D749" s="47" t="n">
        <f aca="false">'Fault &amp; Downtime Entry'!D750</f>
        <v>0</v>
      </c>
      <c r="E749" s="47" t="n">
        <f aca="false">'Fault &amp; Downtime Entry'!E750</f>
        <v>0</v>
      </c>
      <c r="F749" s="47" t="str">
        <f aca="false">'Fault &amp; Downtime Entry'!F750</f>
        <v/>
      </c>
      <c r="G749" s="47" t="n">
        <f aca="false">'Fault &amp; Downtime Entry'!G750</f>
        <v>0</v>
      </c>
      <c r="H749" s="47" t="str">
        <f aca="false">'Fault &amp; Downtime Entry'!H750</f>
        <v/>
      </c>
      <c r="I749" s="47" t="str">
        <f aca="false">'Fault &amp; Downtime Entry'!I750</f>
        <v/>
      </c>
      <c r="J749" s="47" t="n">
        <f aca="false">'Fault &amp; Downtime Entry'!J750</f>
        <v>0</v>
      </c>
      <c r="K749" s="47" t="n">
        <f aca="false">'Fault &amp; Downtime Entry'!K750</f>
        <v>0</v>
      </c>
      <c r="L749" s="47" t="n">
        <f aca="false">'Fault &amp; Downtime Entry'!L750</f>
        <v>0</v>
      </c>
      <c r="M749" s="47" t="str">
        <f aca="false">'Fault &amp; Downtime Entry'!M750</f>
        <v/>
      </c>
      <c r="N749" s="47" t="n">
        <f aca="false">'Fault &amp; Downtime Entry'!N750</f>
        <v>0</v>
      </c>
      <c r="O749" s="47" t="n">
        <f aca="false">'Fault &amp; Downtime Entry'!O750</f>
        <v>0</v>
      </c>
      <c r="P749" s="47" t="str">
        <f aca="false">IF(OR(J749="",K749=""),"",IFERROR(J749/K749*1000,0))</f>
        <v/>
      </c>
      <c r="Q749" s="47" t="str">
        <f aca="false">IF(OR(L749="",K749=""),"",IFERROR(L749/K749*1000,0))</f>
        <v/>
      </c>
      <c r="R749" s="47" t="str">
        <f aca="false">IF(OR(M749="High",M749="Critical"),"YES","")</f>
        <v/>
      </c>
    </row>
    <row r="750" customFormat="false" ht="15" hidden="false" customHeight="true" outlineLevel="0" collapsed="false">
      <c r="A750" s="47" t="n">
        <f aca="false">'Fault &amp; Downtime Entry'!A751</f>
        <v>746</v>
      </c>
      <c r="B750" s="48" t="n">
        <f aca="false">'Fault &amp; Downtime Entry'!B751</f>
        <v>0</v>
      </c>
      <c r="C750" s="47" t="n">
        <f aca="false">'Fault &amp; Downtime Entry'!C751</f>
        <v>0</v>
      </c>
      <c r="D750" s="47" t="n">
        <f aca="false">'Fault &amp; Downtime Entry'!D751</f>
        <v>0</v>
      </c>
      <c r="E750" s="47" t="n">
        <f aca="false">'Fault &amp; Downtime Entry'!E751</f>
        <v>0</v>
      </c>
      <c r="F750" s="47" t="str">
        <f aca="false">'Fault &amp; Downtime Entry'!F751</f>
        <v/>
      </c>
      <c r="G750" s="47" t="n">
        <f aca="false">'Fault &amp; Downtime Entry'!G751</f>
        <v>0</v>
      </c>
      <c r="H750" s="47" t="str">
        <f aca="false">'Fault &amp; Downtime Entry'!H751</f>
        <v/>
      </c>
      <c r="I750" s="47" t="str">
        <f aca="false">'Fault &amp; Downtime Entry'!I751</f>
        <v/>
      </c>
      <c r="J750" s="47" t="n">
        <f aca="false">'Fault &amp; Downtime Entry'!J751</f>
        <v>0</v>
      </c>
      <c r="K750" s="47" t="n">
        <f aca="false">'Fault &amp; Downtime Entry'!K751</f>
        <v>0</v>
      </c>
      <c r="L750" s="47" t="n">
        <f aca="false">'Fault &amp; Downtime Entry'!L751</f>
        <v>0</v>
      </c>
      <c r="M750" s="47" t="str">
        <f aca="false">'Fault &amp; Downtime Entry'!M751</f>
        <v/>
      </c>
      <c r="N750" s="47" t="n">
        <f aca="false">'Fault &amp; Downtime Entry'!N751</f>
        <v>0</v>
      </c>
      <c r="O750" s="47" t="n">
        <f aca="false">'Fault &amp; Downtime Entry'!O751</f>
        <v>0</v>
      </c>
      <c r="P750" s="47" t="str">
        <f aca="false">IF(OR(J750="",K750=""),"",IFERROR(J750/K750*1000,0))</f>
        <v/>
      </c>
      <c r="Q750" s="47" t="str">
        <f aca="false">IF(OR(L750="",K750=""),"",IFERROR(L750/K750*1000,0))</f>
        <v/>
      </c>
      <c r="R750" s="47" t="str">
        <f aca="false">IF(OR(M750="High",M750="Critical"),"YES","")</f>
        <v/>
      </c>
    </row>
    <row r="751" customFormat="false" ht="15" hidden="false" customHeight="true" outlineLevel="0" collapsed="false">
      <c r="A751" s="47" t="n">
        <f aca="false">'Fault &amp; Downtime Entry'!A752</f>
        <v>747</v>
      </c>
      <c r="B751" s="48" t="n">
        <f aca="false">'Fault &amp; Downtime Entry'!B752</f>
        <v>0</v>
      </c>
      <c r="C751" s="47" t="n">
        <f aca="false">'Fault &amp; Downtime Entry'!C752</f>
        <v>0</v>
      </c>
      <c r="D751" s="47" t="n">
        <f aca="false">'Fault &amp; Downtime Entry'!D752</f>
        <v>0</v>
      </c>
      <c r="E751" s="47" t="n">
        <f aca="false">'Fault &amp; Downtime Entry'!E752</f>
        <v>0</v>
      </c>
      <c r="F751" s="47" t="str">
        <f aca="false">'Fault &amp; Downtime Entry'!F752</f>
        <v/>
      </c>
      <c r="G751" s="47" t="n">
        <f aca="false">'Fault &amp; Downtime Entry'!G752</f>
        <v>0</v>
      </c>
      <c r="H751" s="47" t="str">
        <f aca="false">'Fault &amp; Downtime Entry'!H752</f>
        <v/>
      </c>
      <c r="I751" s="47" t="str">
        <f aca="false">'Fault &amp; Downtime Entry'!I752</f>
        <v/>
      </c>
      <c r="J751" s="47" t="n">
        <f aca="false">'Fault &amp; Downtime Entry'!J752</f>
        <v>0</v>
      </c>
      <c r="K751" s="47" t="n">
        <f aca="false">'Fault &amp; Downtime Entry'!K752</f>
        <v>0</v>
      </c>
      <c r="L751" s="47" t="n">
        <f aca="false">'Fault &amp; Downtime Entry'!L752</f>
        <v>0</v>
      </c>
      <c r="M751" s="47" t="str">
        <f aca="false">'Fault &amp; Downtime Entry'!M752</f>
        <v/>
      </c>
      <c r="N751" s="47" t="n">
        <f aca="false">'Fault &amp; Downtime Entry'!N752</f>
        <v>0</v>
      </c>
      <c r="O751" s="47" t="n">
        <f aca="false">'Fault &amp; Downtime Entry'!O752</f>
        <v>0</v>
      </c>
      <c r="P751" s="47" t="str">
        <f aca="false">IF(OR(J751="",K751=""),"",IFERROR(J751/K751*1000,0))</f>
        <v/>
      </c>
      <c r="Q751" s="47" t="str">
        <f aca="false">IF(OR(L751="",K751=""),"",IFERROR(L751/K751*1000,0))</f>
        <v/>
      </c>
      <c r="R751" s="47" t="str">
        <f aca="false">IF(OR(M751="High",M751="Critical"),"YES","")</f>
        <v/>
      </c>
    </row>
    <row r="752" customFormat="false" ht="15" hidden="false" customHeight="true" outlineLevel="0" collapsed="false">
      <c r="A752" s="47" t="n">
        <f aca="false">'Fault &amp; Downtime Entry'!A753</f>
        <v>748</v>
      </c>
      <c r="B752" s="48" t="n">
        <f aca="false">'Fault &amp; Downtime Entry'!B753</f>
        <v>0</v>
      </c>
      <c r="C752" s="47" t="n">
        <f aca="false">'Fault &amp; Downtime Entry'!C753</f>
        <v>0</v>
      </c>
      <c r="D752" s="47" t="n">
        <f aca="false">'Fault &amp; Downtime Entry'!D753</f>
        <v>0</v>
      </c>
      <c r="E752" s="47" t="n">
        <f aca="false">'Fault &amp; Downtime Entry'!E753</f>
        <v>0</v>
      </c>
      <c r="F752" s="47" t="str">
        <f aca="false">'Fault &amp; Downtime Entry'!F753</f>
        <v/>
      </c>
      <c r="G752" s="47" t="n">
        <f aca="false">'Fault &amp; Downtime Entry'!G753</f>
        <v>0</v>
      </c>
      <c r="H752" s="47" t="str">
        <f aca="false">'Fault &amp; Downtime Entry'!H753</f>
        <v/>
      </c>
      <c r="I752" s="47" t="str">
        <f aca="false">'Fault &amp; Downtime Entry'!I753</f>
        <v/>
      </c>
      <c r="J752" s="47" t="n">
        <f aca="false">'Fault &amp; Downtime Entry'!J753</f>
        <v>0</v>
      </c>
      <c r="K752" s="47" t="n">
        <f aca="false">'Fault &amp; Downtime Entry'!K753</f>
        <v>0</v>
      </c>
      <c r="L752" s="47" t="n">
        <f aca="false">'Fault &amp; Downtime Entry'!L753</f>
        <v>0</v>
      </c>
      <c r="M752" s="47" t="str">
        <f aca="false">'Fault &amp; Downtime Entry'!M753</f>
        <v/>
      </c>
      <c r="N752" s="47" t="n">
        <f aca="false">'Fault &amp; Downtime Entry'!N753</f>
        <v>0</v>
      </c>
      <c r="O752" s="47" t="n">
        <f aca="false">'Fault &amp; Downtime Entry'!O753</f>
        <v>0</v>
      </c>
      <c r="P752" s="47" t="str">
        <f aca="false">IF(OR(J752="",K752=""),"",IFERROR(J752/K752*1000,0))</f>
        <v/>
      </c>
      <c r="Q752" s="47" t="str">
        <f aca="false">IF(OR(L752="",K752=""),"",IFERROR(L752/K752*1000,0))</f>
        <v/>
      </c>
      <c r="R752" s="47" t="str">
        <f aca="false">IF(OR(M752="High",M752="Critical"),"YES","")</f>
        <v/>
      </c>
    </row>
    <row r="753" customFormat="false" ht="15" hidden="false" customHeight="true" outlineLevel="0" collapsed="false">
      <c r="A753" s="47" t="n">
        <f aca="false">'Fault &amp; Downtime Entry'!A754</f>
        <v>749</v>
      </c>
      <c r="B753" s="48" t="n">
        <f aca="false">'Fault &amp; Downtime Entry'!B754</f>
        <v>0</v>
      </c>
      <c r="C753" s="47" t="n">
        <f aca="false">'Fault &amp; Downtime Entry'!C754</f>
        <v>0</v>
      </c>
      <c r="D753" s="47" t="n">
        <f aca="false">'Fault &amp; Downtime Entry'!D754</f>
        <v>0</v>
      </c>
      <c r="E753" s="47" t="n">
        <f aca="false">'Fault &amp; Downtime Entry'!E754</f>
        <v>0</v>
      </c>
      <c r="F753" s="47" t="str">
        <f aca="false">'Fault &amp; Downtime Entry'!F754</f>
        <v/>
      </c>
      <c r="G753" s="47" t="n">
        <f aca="false">'Fault &amp; Downtime Entry'!G754</f>
        <v>0</v>
      </c>
      <c r="H753" s="47" t="str">
        <f aca="false">'Fault &amp; Downtime Entry'!H754</f>
        <v/>
      </c>
      <c r="I753" s="47" t="str">
        <f aca="false">'Fault &amp; Downtime Entry'!I754</f>
        <v/>
      </c>
      <c r="J753" s="47" t="n">
        <f aca="false">'Fault &amp; Downtime Entry'!J754</f>
        <v>0</v>
      </c>
      <c r="K753" s="47" t="n">
        <f aca="false">'Fault &amp; Downtime Entry'!K754</f>
        <v>0</v>
      </c>
      <c r="L753" s="47" t="n">
        <f aca="false">'Fault &amp; Downtime Entry'!L754</f>
        <v>0</v>
      </c>
      <c r="M753" s="47" t="str">
        <f aca="false">'Fault &amp; Downtime Entry'!M754</f>
        <v/>
      </c>
      <c r="N753" s="47" t="n">
        <f aca="false">'Fault &amp; Downtime Entry'!N754</f>
        <v>0</v>
      </c>
      <c r="O753" s="47" t="n">
        <f aca="false">'Fault &amp; Downtime Entry'!O754</f>
        <v>0</v>
      </c>
      <c r="P753" s="47" t="str">
        <f aca="false">IF(OR(J753="",K753=""),"",IFERROR(J753/K753*1000,0))</f>
        <v/>
      </c>
      <c r="Q753" s="47" t="str">
        <f aca="false">IF(OR(L753="",K753=""),"",IFERROR(L753/K753*1000,0))</f>
        <v/>
      </c>
      <c r="R753" s="47" t="str">
        <f aca="false">IF(OR(M753="High",M753="Critical"),"YES","")</f>
        <v/>
      </c>
    </row>
    <row r="754" customFormat="false" ht="15" hidden="false" customHeight="true" outlineLevel="0" collapsed="false">
      <c r="A754" s="47" t="n">
        <f aca="false">'Fault &amp; Downtime Entry'!A755</f>
        <v>750</v>
      </c>
      <c r="B754" s="48" t="n">
        <f aca="false">'Fault &amp; Downtime Entry'!B755</f>
        <v>0</v>
      </c>
      <c r="C754" s="47" t="n">
        <f aca="false">'Fault &amp; Downtime Entry'!C755</f>
        <v>0</v>
      </c>
      <c r="D754" s="47" t="n">
        <f aca="false">'Fault &amp; Downtime Entry'!D755</f>
        <v>0</v>
      </c>
      <c r="E754" s="47" t="n">
        <f aca="false">'Fault &amp; Downtime Entry'!E755</f>
        <v>0</v>
      </c>
      <c r="F754" s="47" t="str">
        <f aca="false">'Fault &amp; Downtime Entry'!F755</f>
        <v/>
      </c>
      <c r="G754" s="47" t="n">
        <f aca="false">'Fault &amp; Downtime Entry'!G755</f>
        <v>0</v>
      </c>
      <c r="H754" s="47" t="str">
        <f aca="false">'Fault &amp; Downtime Entry'!H755</f>
        <v/>
      </c>
      <c r="I754" s="47" t="str">
        <f aca="false">'Fault &amp; Downtime Entry'!I755</f>
        <v/>
      </c>
      <c r="J754" s="47" t="n">
        <f aca="false">'Fault &amp; Downtime Entry'!J755</f>
        <v>0</v>
      </c>
      <c r="K754" s="47" t="n">
        <f aca="false">'Fault &amp; Downtime Entry'!K755</f>
        <v>0</v>
      </c>
      <c r="L754" s="47" t="n">
        <f aca="false">'Fault &amp; Downtime Entry'!L755</f>
        <v>0</v>
      </c>
      <c r="M754" s="47" t="str">
        <f aca="false">'Fault &amp; Downtime Entry'!M755</f>
        <v/>
      </c>
      <c r="N754" s="47" t="n">
        <f aca="false">'Fault &amp; Downtime Entry'!N755</f>
        <v>0</v>
      </c>
      <c r="O754" s="47" t="n">
        <f aca="false">'Fault &amp; Downtime Entry'!O755</f>
        <v>0</v>
      </c>
      <c r="P754" s="47" t="str">
        <f aca="false">IF(OR(J754="",K754=""),"",IFERROR(J754/K754*1000,0))</f>
        <v/>
      </c>
      <c r="Q754" s="47" t="str">
        <f aca="false">IF(OR(L754="",K754=""),"",IFERROR(L754/K754*1000,0))</f>
        <v/>
      </c>
      <c r="R754" s="47" t="str">
        <f aca="false">IF(OR(M754="High",M754="Critical"),"YES","")</f>
        <v/>
      </c>
    </row>
    <row r="755" customFormat="false" ht="15" hidden="false" customHeight="true" outlineLevel="0" collapsed="false">
      <c r="A755" s="47" t="n">
        <f aca="false">'Fault &amp; Downtime Entry'!A756</f>
        <v>751</v>
      </c>
      <c r="B755" s="48" t="n">
        <f aca="false">'Fault &amp; Downtime Entry'!B756</f>
        <v>0</v>
      </c>
      <c r="C755" s="47" t="n">
        <f aca="false">'Fault &amp; Downtime Entry'!C756</f>
        <v>0</v>
      </c>
      <c r="D755" s="47" t="n">
        <f aca="false">'Fault &amp; Downtime Entry'!D756</f>
        <v>0</v>
      </c>
      <c r="E755" s="47" t="n">
        <f aca="false">'Fault &amp; Downtime Entry'!E756</f>
        <v>0</v>
      </c>
      <c r="F755" s="47" t="str">
        <f aca="false">'Fault &amp; Downtime Entry'!F756</f>
        <v/>
      </c>
      <c r="G755" s="47" t="n">
        <f aca="false">'Fault &amp; Downtime Entry'!G756</f>
        <v>0</v>
      </c>
      <c r="H755" s="47" t="str">
        <f aca="false">'Fault &amp; Downtime Entry'!H756</f>
        <v/>
      </c>
      <c r="I755" s="47" t="str">
        <f aca="false">'Fault &amp; Downtime Entry'!I756</f>
        <v/>
      </c>
      <c r="J755" s="47" t="n">
        <f aca="false">'Fault &amp; Downtime Entry'!J756</f>
        <v>0</v>
      </c>
      <c r="K755" s="47" t="n">
        <f aca="false">'Fault &amp; Downtime Entry'!K756</f>
        <v>0</v>
      </c>
      <c r="L755" s="47" t="n">
        <f aca="false">'Fault &amp; Downtime Entry'!L756</f>
        <v>0</v>
      </c>
      <c r="M755" s="47" t="str">
        <f aca="false">'Fault &amp; Downtime Entry'!M756</f>
        <v/>
      </c>
      <c r="N755" s="47" t="n">
        <f aca="false">'Fault &amp; Downtime Entry'!N756</f>
        <v>0</v>
      </c>
      <c r="O755" s="47" t="n">
        <f aca="false">'Fault &amp; Downtime Entry'!O756</f>
        <v>0</v>
      </c>
      <c r="P755" s="47" t="str">
        <f aca="false">IF(OR(J755="",K755=""),"",IFERROR(J755/K755*1000,0))</f>
        <v/>
      </c>
      <c r="Q755" s="47" t="str">
        <f aca="false">IF(OR(L755="",K755=""),"",IFERROR(L755/K755*1000,0))</f>
        <v/>
      </c>
      <c r="R755" s="47" t="str">
        <f aca="false">IF(OR(M755="High",M755="Critical"),"YES","")</f>
        <v/>
      </c>
    </row>
    <row r="756" customFormat="false" ht="15" hidden="false" customHeight="true" outlineLevel="0" collapsed="false">
      <c r="A756" s="47" t="n">
        <f aca="false">'Fault &amp; Downtime Entry'!A757</f>
        <v>752</v>
      </c>
      <c r="B756" s="48" t="n">
        <f aca="false">'Fault &amp; Downtime Entry'!B757</f>
        <v>0</v>
      </c>
      <c r="C756" s="47" t="n">
        <f aca="false">'Fault &amp; Downtime Entry'!C757</f>
        <v>0</v>
      </c>
      <c r="D756" s="47" t="n">
        <f aca="false">'Fault &amp; Downtime Entry'!D757</f>
        <v>0</v>
      </c>
      <c r="E756" s="47" t="n">
        <f aca="false">'Fault &amp; Downtime Entry'!E757</f>
        <v>0</v>
      </c>
      <c r="F756" s="47" t="str">
        <f aca="false">'Fault &amp; Downtime Entry'!F757</f>
        <v/>
      </c>
      <c r="G756" s="47" t="n">
        <f aca="false">'Fault &amp; Downtime Entry'!G757</f>
        <v>0</v>
      </c>
      <c r="H756" s="47" t="str">
        <f aca="false">'Fault &amp; Downtime Entry'!H757</f>
        <v/>
      </c>
      <c r="I756" s="47" t="str">
        <f aca="false">'Fault &amp; Downtime Entry'!I757</f>
        <v/>
      </c>
      <c r="J756" s="47" t="n">
        <f aca="false">'Fault &amp; Downtime Entry'!J757</f>
        <v>0</v>
      </c>
      <c r="K756" s="47" t="n">
        <f aca="false">'Fault &amp; Downtime Entry'!K757</f>
        <v>0</v>
      </c>
      <c r="L756" s="47" t="n">
        <f aca="false">'Fault &amp; Downtime Entry'!L757</f>
        <v>0</v>
      </c>
      <c r="M756" s="47" t="str">
        <f aca="false">'Fault &amp; Downtime Entry'!M757</f>
        <v/>
      </c>
      <c r="N756" s="47" t="n">
        <f aca="false">'Fault &amp; Downtime Entry'!N757</f>
        <v>0</v>
      </c>
      <c r="O756" s="47" t="n">
        <f aca="false">'Fault &amp; Downtime Entry'!O757</f>
        <v>0</v>
      </c>
      <c r="P756" s="47" t="str">
        <f aca="false">IF(OR(J756="",K756=""),"",IFERROR(J756/K756*1000,0))</f>
        <v/>
      </c>
      <c r="Q756" s="47" t="str">
        <f aca="false">IF(OR(L756="",K756=""),"",IFERROR(L756/K756*1000,0))</f>
        <v/>
      </c>
      <c r="R756" s="47" t="str">
        <f aca="false">IF(OR(M756="High",M756="Critical"),"YES","")</f>
        <v/>
      </c>
    </row>
    <row r="757" customFormat="false" ht="15" hidden="false" customHeight="true" outlineLevel="0" collapsed="false">
      <c r="A757" s="47" t="n">
        <f aca="false">'Fault &amp; Downtime Entry'!A758</f>
        <v>753</v>
      </c>
      <c r="B757" s="48" t="n">
        <f aca="false">'Fault &amp; Downtime Entry'!B758</f>
        <v>0</v>
      </c>
      <c r="C757" s="47" t="n">
        <f aca="false">'Fault &amp; Downtime Entry'!C758</f>
        <v>0</v>
      </c>
      <c r="D757" s="47" t="n">
        <f aca="false">'Fault &amp; Downtime Entry'!D758</f>
        <v>0</v>
      </c>
      <c r="E757" s="47" t="n">
        <f aca="false">'Fault &amp; Downtime Entry'!E758</f>
        <v>0</v>
      </c>
      <c r="F757" s="47" t="str">
        <f aca="false">'Fault &amp; Downtime Entry'!F758</f>
        <v/>
      </c>
      <c r="G757" s="47" t="n">
        <f aca="false">'Fault &amp; Downtime Entry'!G758</f>
        <v>0</v>
      </c>
      <c r="H757" s="47" t="str">
        <f aca="false">'Fault &amp; Downtime Entry'!H758</f>
        <v/>
      </c>
      <c r="I757" s="47" t="str">
        <f aca="false">'Fault &amp; Downtime Entry'!I758</f>
        <v/>
      </c>
      <c r="J757" s="47" t="n">
        <f aca="false">'Fault &amp; Downtime Entry'!J758</f>
        <v>0</v>
      </c>
      <c r="K757" s="47" t="n">
        <f aca="false">'Fault &amp; Downtime Entry'!K758</f>
        <v>0</v>
      </c>
      <c r="L757" s="47" t="n">
        <f aca="false">'Fault &amp; Downtime Entry'!L758</f>
        <v>0</v>
      </c>
      <c r="M757" s="47" t="str">
        <f aca="false">'Fault &amp; Downtime Entry'!M758</f>
        <v/>
      </c>
      <c r="N757" s="47" t="n">
        <f aca="false">'Fault &amp; Downtime Entry'!N758</f>
        <v>0</v>
      </c>
      <c r="O757" s="47" t="n">
        <f aca="false">'Fault &amp; Downtime Entry'!O758</f>
        <v>0</v>
      </c>
      <c r="P757" s="47" t="str">
        <f aca="false">IF(OR(J757="",K757=""),"",IFERROR(J757/K757*1000,0))</f>
        <v/>
      </c>
      <c r="Q757" s="47" t="str">
        <f aca="false">IF(OR(L757="",K757=""),"",IFERROR(L757/K757*1000,0))</f>
        <v/>
      </c>
      <c r="R757" s="47" t="str">
        <f aca="false">IF(OR(M757="High",M757="Critical"),"YES","")</f>
        <v/>
      </c>
    </row>
    <row r="758" customFormat="false" ht="15" hidden="false" customHeight="true" outlineLevel="0" collapsed="false">
      <c r="A758" s="47" t="n">
        <f aca="false">'Fault &amp; Downtime Entry'!A759</f>
        <v>754</v>
      </c>
      <c r="B758" s="48" t="n">
        <f aca="false">'Fault &amp; Downtime Entry'!B759</f>
        <v>0</v>
      </c>
      <c r="C758" s="47" t="n">
        <f aca="false">'Fault &amp; Downtime Entry'!C759</f>
        <v>0</v>
      </c>
      <c r="D758" s="47" t="n">
        <f aca="false">'Fault &amp; Downtime Entry'!D759</f>
        <v>0</v>
      </c>
      <c r="E758" s="47" t="n">
        <f aca="false">'Fault &amp; Downtime Entry'!E759</f>
        <v>0</v>
      </c>
      <c r="F758" s="47" t="str">
        <f aca="false">'Fault &amp; Downtime Entry'!F759</f>
        <v/>
      </c>
      <c r="G758" s="47" t="n">
        <f aca="false">'Fault &amp; Downtime Entry'!G759</f>
        <v>0</v>
      </c>
      <c r="H758" s="47" t="str">
        <f aca="false">'Fault &amp; Downtime Entry'!H759</f>
        <v/>
      </c>
      <c r="I758" s="47" t="str">
        <f aca="false">'Fault &amp; Downtime Entry'!I759</f>
        <v/>
      </c>
      <c r="J758" s="47" t="n">
        <f aca="false">'Fault &amp; Downtime Entry'!J759</f>
        <v>0</v>
      </c>
      <c r="K758" s="47" t="n">
        <f aca="false">'Fault &amp; Downtime Entry'!K759</f>
        <v>0</v>
      </c>
      <c r="L758" s="47" t="n">
        <f aca="false">'Fault &amp; Downtime Entry'!L759</f>
        <v>0</v>
      </c>
      <c r="M758" s="47" t="str">
        <f aca="false">'Fault &amp; Downtime Entry'!M759</f>
        <v/>
      </c>
      <c r="N758" s="47" t="n">
        <f aca="false">'Fault &amp; Downtime Entry'!N759</f>
        <v>0</v>
      </c>
      <c r="O758" s="47" t="n">
        <f aca="false">'Fault &amp; Downtime Entry'!O759</f>
        <v>0</v>
      </c>
      <c r="P758" s="47" t="str">
        <f aca="false">IF(OR(J758="",K758=""),"",IFERROR(J758/K758*1000,0))</f>
        <v/>
      </c>
      <c r="Q758" s="47" t="str">
        <f aca="false">IF(OR(L758="",K758=""),"",IFERROR(L758/K758*1000,0))</f>
        <v/>
      </c>
      <c r="R758" s="47" t="str">
        <f aca="false">IF(OR(M758="High",M758="Critical"),"YES","")</f>
        <v/>
      </c>
    </row>
    <row r="759" customFormat="false" ht="15" hidden="false" customHeight="true" outlineLevel="0" collapsed="false">
      <c r="A759" s="47" t="n">
        <f aca="false">'Fault &amp; Downtime Entry'!A760</f>
        <v>755</v>
      </c>
      <c r="B759" s="48" t="n">
        <f aca="false">'Fault &amp; Downtime Entry'!B760</f>
        <v>0</v>
      </c>
      <c r="C759" s="47" t="n">
        <f aca="false">'Fault &amp; Downtime Entry'!C760</f>
        <v>0</v>
      </c>
      <c r="D759" s="47" t="n">
        <f aca="false">'Fault &amp; Downtime Entry'!D760</f>
        <v>0</v>
      </c>
      <c r="E759" s="47" t="n">
        <f aca="false">'Fault &amp; Downtime Entry'!E760</f>
        <v>0</v>
      </c>
      <c r="F759" s="47" t="str">
        <f aca="false">'Fault &amp; Downtime Entry'!F760</f>
        <v/>
      </c>
      <c r="G759" s="47" t="n">
        <f aca="false">'Fault &amp; Downtime Entry'!G760</f>
        <v>0</v>
      </c>
      <c r="H759" s="47" t="str">
        <f aca="false">'Fault &amp; Downtime Entry'!H760</f>
        <v/>
      </c>
      <c r="I759" s="47" t="str">
        <f aca="false">'Fault &amp; Downtime Entry'!I760</f>
        <v/>
      </c>
      <c r="J759" s="47" t="n">
        <f aca="false">'Fault &amp; Downtime Entry'!J760</f>
        <v>0</v>
      </c>
      <c r="K759" s="47" t="n">
        <f aca="false">'Fault &amp; Downtime Entry'!K760</f>
        <v>0</v>
      </c>
      <c r="L759" s="47" t="n">
        <f aca="false">'Fault &amp; Downtime Entry'!L760</f>
        <v>0</v>
      </c>
      <c r="M759" s="47" t="str">
        <f aca="false">'Fault &amp; Downtime Entry'!M760</f>
        <v/>
      </c>
      <c r="N759" s="47" t="n">
        <f aca="false">'Fault &amp; Downtime Entry'!N760</f>
        <v>0</v>
      </c>
      <c r="O759" s="47" t="n">
        <f aca="false">'Fault &amp; Downtime Entry'!O760</f>
        <v>0</v>
      </c>
      <c r="P759" s="47" t="str">
        <f aca="false">IF(OR(J759="",K759=""),"",IFERROR(J759/K759*1000,0))</f>
        <v/>
      </c>
      <c r="Q759" s="47" t="str">
        <f aca="false">IF(OR(L759="",K759=""),"",IFERROR(L759/K759*1000,0))</f>
        <v/>
      </c>
      <c r="R759" s="47" t="str">
        <f aca="false">IF(OR(M759="High",M759="Critical"),"YES","")</f>
        <v/>
      </c>
    </row>
    <row r="760" customFormat="false" ht="15" hidden="false" customHeight="true" outlineLevel="0" collapsed="false">
      <c r="A760" s="47" t="n">
        <f aca="false">'Fault &amp; Downtime Entry'!A761</f>
        <v>756</v>
      </c>
      <c r="B760" s="48" t="n">
        <f aca="false">'Fault &amp; Downtime Entry'!B761</f>
        <v>0</v>
      </c>
      <c r="C760" s="47" t="n">
        <f aca="false">'Fault &amp; Downtime Entry'!C761</f>
        <v>0</v>
      </c>
      <c r="D760" s="47" t="n">
        <f aca="false">'Fault &amp; Downtime Entry'!D761</f>
        <v>0</v>
      </c>
      <c r="E760" s="47" t="n">
        <f aca="false">'Fault &amp; Downtime Entry'!E761</f>
        <v>0</v>
      </c>
      <c r="F760" s="47" t="str">
        <f aca="false">'Fault &amp; Downtime Entry'!F761</f>
        <v/>
      </c>
      <c r="G760" s="47" t="n">
        <f aca="false">'Fault &amp; Downtime Entry'!G761</f>
        <v>0</v>
      </c>
      <c r="H760" s="47" t="str">
        <f aca="false">'Fault &amp; Downtime Entry'!H761</f>
        <v/>
      </c>
      <c r="I760" s="47" t="str">
        <f aca="false">'Fault &amp; Downtime Entry'!I761</f>
        <v/>
      </c>
      <c r="J760" s="47" t="n">
        <f aca="false">'Fault &amp; Downtime Entry'!J761</f>
        <v>0</v>
      </c>
      <c r="K760" s="47" t="n">
        <f aca="false">'Fault &amp; Downtime Entry'!K761</f>
        <v>0</v>
      </c>
      <c r="L760" s="47" t="n">
        <f aca="false">'Fault &amp; Downtime Entry'!L761</f>
        <v>0</v>
      </c>
      <c r="M760" s="47" t="str">
        <f aca="false">'Fault &amp; Downtime Entry'!M761</f>
        <v/>
      </c>
      <c r="N760" s="47" t="n">
        <f aca="false">'Fault &amp; Downtime Entry'!N761</f>
        <v>0</v>
      </c>
      <c r="O760" s="47" t="n">
        <f aca="false">'Fault &amp; Downtime Entry'!O761</f>
        <v>0</v>
      </c>
      <c r="P760" s="47" t="str">
        <f aca="false">IF(OR(J760="",K760=""),"",IFERROR(J760/K760*1000,0))</f>
        <v/>
      </c>
      <c r="Q760" s="47" t="str">
        <f aca="false">IF(OR(L760="",K760=""),"",IFERROR(L760/K760*1000,0))</f>
        <v/>
      </c>
      <c r="R760" s="47" t="str">
        <f aca="false">IF(OR(M760="High",M760="Critical"),"YES","")</f>
        <v/>
      </c>
    </row>
    <row r="761" customFormat="false" ht="15" hidden="false" customHeight="true" outlineLevel="0" collapsed="false">
      <c r="A761" s="47" t="n">
        <f aca="false">'Fault &amp; Downtime Entry'!A762</f>
        <v>757</v>
      </c>
      <c r="B761" s="48" t="n">
        <f aca="false">'Fault &amp; Downtime Entry'!B762</f>
        <v>0</v>
      </c>
      <c r="C761" s="47" t="n">
        <f aca="false">'Fault &amp; Downtime Entry'!C762</f>
        <v>0</v>
      </c>
      <c r="D761" s="47" t="n">
        <f aca="false">'Fault &amp; Downtime Entry'!D762</f>
        <v>0</v>
      </c>
      <c r="E761" s="47" t="n">
        <f aca="false">'Fault &amp; Downtime Entry'!E762</f>
        <v>0</v>
      </c>
      <c r="F761" s="47" t="str">
        <f aca="false">'Fault &amp; Downtime Entry'!F762</f>
        <v/>
      </c>
      <c r="G761" s="47" t="n">
        <f aca="false">'Fault &amp; Downtime Entry'!G762</f>
        <v>0</v>
      </c>
      <c r="H761" s="47" t="str">
        <f aca="false">'Fault &amp; Downtime Entry'!H762</f>
        <v/>
      </c>
      <c r="I761" s="47" t="str">
        <f aca="false">'Fault &amp; Downtime Entry'!I762</f>
        <v/>
      </c>
      <c r="J761" s="47" t="n">
        <f aca="false">'Fault &amp; Downtime Entry'!J762</f>
        <v>0</v>
      </c>
      <c r="K761" s="47" t="n">
        <f aca="false">'Fault &amp; Downtime Entry'!K762</f>
        <v>0</v>
      </c>
      <c r="L761" s="47" t="n">
        <f aca="false">'Fault &amp; Downtime Entry'!L762</f>
        <v>0</v>
      </c>
      <c r="M761" s="47" t="str">
        <f aca="false">'Fault &amp; Downtime Entry'!M762</f>
        <v/>
      </c>
      <c r="N761" s="47" t="n">
        <f aca="false">'Fault &amp; Downtime Entry'!N762</f>
        <v>0</v>
      </c>
      <c r="O761" s="47" t="n">
        <f aca="false">'Fault &amp; Downtime Entry'!O762</f>
        <v>0</v>
      </c>
      <c r="P761" s="47" t="str">
        <f aca="false">IF(OR(J761="",K761=""),"",IFERROR(J761/K761*1000,0))</f>
        <v/>
      </c>
      <c r="Q761" s="47" t="str">
        <f aca="false">IF(OR(L761="",K761=""),"",IFERROR(L761/K761*1000,0))</f>
        <v/>
      </c>
      <c r="R761" s="47" t="str">
        <f aca="false">IF(OR(M761="High",M761="Critical"),"YES","")</f>
        <v/>
      </c>
    </row>
    <row r="762" customFormat="false" ht="15" hidden="false" customHeight="true" outlineLevel="0" collapsed="false">
      <c r="A762" s="47" t="n">
        <f aca="false">'Fault &amp; Downtime Entry'!A763</f>
        <v>758</v>
      </c>
      <c r="B762" s="48" t="n">
        <f aca="false">'Fault &amp; Downtime Entry'!B763</f>
        <v>0</v>
      </c>
      <c r="C762" s="47" t="n">
        <f aca="false">'Fault &amp; Downtime Entry'!C763</f>
        <v>0</v>
      </c>
      <c r="D762" s="47" t="n">
        <f aca="false">'Fault &amp; Downtime Entry'!D763</f>
        <v>0</v>
      </c>
      <c r="E762" s="47" t="n">
        <f aca="false">'Fault &amp; Downtime Entry'!E763</f>
        <v>0</v>
      </c>
      <c r="F762" s="47" t="str">
        <f aca="false">'Fault &amp; Downtime Entry'!F763</f>
        <v/>
      </c>
      <c r="G762" s="47" t="n">
        <f aca="false">'Fault &amp; Downtime Entry'!G763</f>
        <v>0</v>
      </c>
      <c r="H762" s="47" t="str">
        <f aca="false">'Fault &amp; Downtime Entry'!H763</f>
        <v/>
      </c>
      <c r="I762" s="47" t="str">
        <f aca="false">'Fault &amp; Downtime Entry'!I763</f>
        <v/>
      </c>
      <c r="J762" s="47" t="n">
        <f aca="false">'Fault &amp; Downtime Entry'!J763</f>
        <v>0</v>
      </c>
      <c r="K762" s="47" t="n">
        <f aca="false">'Fault &amp; Downtime Entry'!K763</f>
        <v>0</v>
      </c>
      <c r="L762" s="47" t="n">
        <f aca="false">'Fault &amp; Downtime Entry'!L763</f>
        <v>0</v>
      </c>
      <c r="M762" s="47" t="str">
        <f aca="false">'Fault &amp; Downtime Entry'!M763</f>
        <v/>
      </c>
      <c r="N762" s="47" t="n">
        <f aca="false">'Fault &amp; Downtime Entry'!N763</f>
        <v>0</v>
      </c>
      <c r="O762" s="47" t="n">
        <f aca="false">'Fault &amp; Downtime Entry'!O763</f>
        <v>0</v>
      </c>
      <c r="P762" s="47" t="str">
        <f aca="false">IF(OR(J762="",K762=""),"",IFERROR(J762/K762*1000,0))</f>
        <v/>
      </c>
      <c r="Q762" s="47" t="str">
        <f aca="false">IF(OR(L762="",K762=""),"",IFERROR(L762/K762*1000,0))</f>
        <v/>
      </c>
      <c r="R762" s="47" t="str">
        <f aca="false">IF(OR(M762="High",M762="Critical"),"YES","")</f>
        <v/>
      </c>
    </row>
    <row r="763" customFormat="false" ht="15" hidden="false" customHeight="true" outlineLevel="0" collapsed="false">
      <c r="A763" s="47" t="n">
        <f aca="false">'Fault &amp; Downtime Entry'!A764</f>
        <v>759</v>
      </c>
      <c r="B763" s="48" t="n">
        <f aca="false">'Fault &amp; Downtime Entry'!B764</f>
        <v>0</v>
      </c>
      <c r="C763" s="47" t="n">
        <f aca="false">'Fault &amp; Downtime Entry'!C764</f>
        <v>0</v>
      </c>
      <c r="D763" s="47" t="n">
        <f aca="false">'Fault &amp; Downtime Entry'!D764</f>
        <v>0</v>
      </c>
      <c r="E763" s="47" t="n">
        <f aca="false">'Fault &amp; Downtime Entry'!E764</f>
        <v>0</v>
      </c>
      <c r="F763" s="47" t="str">
        <f aca="false">'Fault &amp; Downtime Entry'!F764</f>
        <v/>
      </c>
      <c r="G763" s="47" t="n">
        <f aca="false">'Fault &amp; Downtime Entry'!G764</f>
        <v>0</v>
      </c>
      <c r="H763" s="47" t="str">
        <f aca="false">'Fault &amp; Downtime Entry'!H764</f>
        <v/>
      </c>
      <c r="I763" s="47" t="str">
        <f aca="false">'Fault &amp; Downtime Entry'!I764</f>
        <v/>
      </c>
      <c r="J763" s="47" t="n">
        <f aca="false">'Fault &amp; Downtime Entry'!J764</f>
        <v>0</v>
      </c>
      <c r="K763" s="47" t="n">
        <f aca="false">'Fault &amp; Downtime Entry'!K764</f>
        <v>0</v>
      </c>
      <c r="L763" s="47" t="n">
        <f aca="false">'Fault &amp; Downtime Entry'!L764</f>
        <v>0</v>
      </c>
      <c r="M763" s="47" t="str">
        <f aca="false">'Fault &amp; Downtime Entry'!M764</f>
        <v/>
      </c>
      <c r="N763" s="47" t="n">
        <f aca="false">'Fault &amp; Downtime Entry'!N764</f>
        <v>0</v>
      </c>
      <c r="O763" s="47" t="n">
        <f aca="false">'Fault &amp; Downtime Entry'!O764</f>
        <v>0</v>
      </c>
      <c r="P763" s="47" t="str">
        <f aca="false">IF(OR(J763="",K763=""),"",IFERROR(J763/K763*1000,0))</f>
        <v/>
      </c>
      <c r="Q763" s="47" t="str">
        <f aca="false">IF(OR(L763="",K763=""),"",IFERROR(L763/K763*1000,0))</f>
        <v/>
      </c>
      <c r="R763" s="47" t="str">
        <f aca="false">IF(OR(M763="High",M763="Critical"),"YES","")</f>
        <v/>
      </c>
    </row>
    <row r="764" customFormat="false" ht="15" hidden="false" customHeight="true" outlineLevel="0" collapsed="false">
      <c r="A764" s="47" t="n">
        <f aca="false">'Fault &amp; Downtime Entry'!A765</f>
        <v>760</v>
      </c>
      <c r="B764" s="48" t="n">
        <f aca="false">'Fault &amp; Downtime Entry'!B765</f>
        <v>0</v>
      </c>
      <c r="C764" s="47" t="n">
        <f aca="false">'Fault &amp; Downtime Entry'!C765</f>
        <v>0</v>
      </c>
      <c r="D764" s="47" t="n">
        <f aca="false">'Fault &amp; Downtime Entry'!D765</f>
        <v>0</v>
      </c>
      <c r="E764" s="47" t="n">
        <f aca="false">'Fault &amp; Downtime Entry'!E765</f>
        <v>0</v>
      </c>
      <c r="F764" s="47" t="str">
        <f aca="false">'Fault &amp; Downtime Entry'!F765</f>
        <v/>
      </c>
      <c r="G764" s="47" t="n">
        <f aca="false">'Fault &amp; Downtime Entry'!G765</f>
        <v>0</v>
      </c>
      <c r="H764" s="47" t="str">
        <f aca="false">'Fault &amp; Downtime Entry'!H765</f>
        <v/>
      </c>
      <c r="I764" s="47" t="str">
        <f aca="false">'Fault &amp; Downtime Entry'!I765</f>
        <v/>
      </c>
      <c r="J764" s="47" t="n">
        <f aca="false">'Fault &amp; Downtime Entry'!J765</f>
        <v>0</v>
      </c>
      <c r="K764" s="47" t="n">
        <f aca="false">'Fault &amp; Downtime Entry'!K765</f>
        <v>0</v>
      </c>
      <c r="L764" s="47" t="n">
        <f aca="false">'Fault &amp; Downtime Entry'!L765</f>
        <v>0</v>
      </c>
      <c r="M764" s="47" t="str">
        <f aca="false">'Fault &amp; Downtime Entry'!M765</f>
        <v/>
      </c>
      <c r="N764" s="47" t="n">
        <f aca="false">'Fault &amp; Downtime Entry'!N765</f>
        <v>0</v>
      </c>
      <c r="O764" s="47" t="n">
        <f aca="false">'Fault &amp; Downtime Entry'!O765</f>
        <v>0</v>
      </c>
      <c r="P764" s="47" t="str">
        <f aca="false">IF(OR(J764="",K764=""),"",IFERROR(J764/K764*1000,0))</f>
        <v/>
      </c>
      <c r="Q764" s="47" t="str">
        <f aca="false">IF(OR(L764="",K764=""),"",IFERROR(L764/K764*1000,0))</f>
        <v/>
      </c>
      <c r="R764" s="47" t="str">
        <f aca="false">IF(OR(M764="High",M764="Critical"),"YES","")</f>
        <v/>
      </c>
    </row>
    <row r="765" customFormat="false" ht="15" hidden="false" customHeight="true" outlineLevel="0" collapsed="false">
      <c r="A765" s="47" t="n">
        <f aca="false">'Fault &amp; Downtime Entry'!A766</f>
        <v>761</v>
      </c>
      <c r="B765" s="48" t="n">
        <f aca="false">'Fault &amp; Downtime Entry'!B766</f>
        <v>0</v>
      </c>
      <c r="C765" s="47" t="n">
        <f aca="false">'Fault &amp; Downtime Entry'!C766</f>
        <v>0</v>
      </c>
      <c r="D765" s="47" t="n">
        <f aca="false">'Fault &amp; Downtime Entry'!D766</f>
        <v>0</v>
      </c>
      <c r="E765" s="47" t="n">
        <f aca="false">'Fault &amp; Downtime Entry'!E766</f>
        <v>0</v>
      </c>
      <c r="F765" s="47" t="str">
        <f aca="false">'Fault &amp; Downtime Entry'!F766</f>
        <v/>
      </c>
      <c r="G765" s="47" t="n">
        <f aca="false">'Fault &amp; Downtime Entry'!G766</f>
        <v>0</v>
      </c>
      <c r="H765" s="47" t="str">
        <f aca="false">'Fault &amp; Downtime Entry'!H766</f>
        <v/>
      </c>
      <c r="I765" s="47" t="str">
        <f aca="false">'Fault &amp; Downtime Entry'!I766</f>
        <v/>
      </c>
      <c r="J765" s="47" t="n">
        <f aca="false">'Fault &amp; Downtime Entry'!J766</f>
        <v>0</v>
      </c>
      <c r="K765" s="47" t="n">
        <f aca="false">'Fault &amp; Downtime Entry'!K766</f>
        <v>0</v>
      </c>
      <c r="L765" s="47" t="n">
        <f aca="false">'Fault &amp; Downtime Entry'!L766</f>
        <v>0</v>
      </c>
      <c r="M765" s="47" t="str">
        <f aca="false">'Fault &amp; Downtime Entry'!M766</f>
        <v/>
      </c>
      <c r="N765" s="47" t="n">
        <f aca="false">'Fault &amp; Downtime Entry'!N766</f>
        <v>0</v>
      </c>
      <c r="O765" s="47" t="n">
        <f aca="false">'Fault &amp; Downtime Entry'!O766</f>
        <v>0</v>
      </c>
      <c r="P765" s="47" t="str">
        <f aca="false">IF(OR(J765="",K765=""),"",IFERROR(J765/K765*1000,0))</f>
        <v/>
      </c>
      <c r="Q765" s="47" t="str">
        <f aca="false">IF(OR(L765="",K765=""),"",IFERROR(L765/K765*1000,0))</f>
        <v/>
      </c>
      <c r="R765" s="47" t="str">
        <f aca="false">IF(OR(M765="High",M765="Critical"),"YES","")</f>
        <v/>
      </c>
    </row>
    <row r="766" customFormat="false" ht="15" hidden="false" customHeight="true" outlineLevel="0" collapsed="false">
      <c r="A766" s="47" t="n">
        <f aca="false">'Fault &amp; Downtime Entry'!A767</f>
        <v>762</v>
      </c>
      <c r="B766" s="48" t="n">
        <f aca="false">'Fault &amp; Downtime Entry'!B767</f>
        <v>0</v>
      </c>
      <c r="C766" s="47" t="n">
        <f aca="false">'Fault &amp; Downtime Entry'!C767</f>
        <v>0</v>
      </c>
      <c r="D766" s="47" t="n">
        <f aca="false">'Fault &amp; Downtime Entry'!D767</f>
        <v>0</v>
      </c>
      <c r="E766" s="47" t="n">
        <f aca="false">'Fault &amp; Downtime Entry'!E767</f>
        <v>0</v>
      </c>
      <c r="F766" s="47" t="str">
        <f aca="false">'Fault &amp; Downtime Entry'!F767</f>
        <v/>
      </c>
      <c r="G766" s="47" t="n">
        <f aca="false">'Fault &amp; Downtime Entry'!G767</f>
        <v>0</v>
      </c>
      <c r="H766" s="47" t="str">
        <f aca="false">'Fault &amp; Downtime Entry'!H767</f>
        <v/>
      </c>
      <c r="I766" s="47" t="str">
        <f aca="false">'Fault &amp; Downtime Entry'!I767</f>
        <v/>
      </c>
      <c r="J766" s="47" t="n">
        <f aca="false">'Fault &amp; Downtime Entry'!J767</f>
        <v>0</v>
      </c>
      <c r="K766" s="47" t="n">
        <f aca="false">'Fault &amp; Downtime Entry'!K767</f>
        <v>0</v>
      </c>
      <c r="L766" s="47" t="n">
        <f aca="false">'Fault &amp; Downtime Entry'!L767</f>
        <v>0</v>
      </c>
      <c r="M766" s="47" t="str">
        <f aca="false">'Fault &amp; Downtime Entry'!M767</f>
        <v/>
      </c>
      <c r="N766" s="47" t="n">
        <f aca="false">'Fault &amp; Downtime Entry'!N767</f>
        <v>0</v>
      </c>
      <c r="O766" s="47" t="n">
        <f aca="false">'Fault &amp; Downtime Entry'!O767</f>
        <v>0</v>
      </c>
      <c r="P766" s="47" t="str">
        <f aca="false">IF(OR(J766="",K766=""),"",IFERROR(J766/K766*1000,0))</f>
        <v/>
      </c>
      <c r="Q766" s="47" t="str">
        <f aca="false">IF(OR(L766="",K766=""),"",IFERROR(L766/K766*1000,0))</f>
        <v/>
      </c>
      <c r="R766" s="47" t="str">
        <f aca="false">IF(OR(M766="High",M766="Critical"),"YES","")</f>
        <v/>
      </c>
    </row>
    <row r="767" customFormat="false" ht="15" hidden="false" customHeight="true" outlineLevel="0" collapsed="false">
      <c r="A767" s="47" t="n">
        <f aca="false">'Fault &amp; Downtime Entry'!A768</f>
        <v>763</v>
      </c>
      <c r="B767" s="48" t="n">
        <f aca="false">'Fault &amp; Downtime Entry'!B768</f>
        <v>0</v>
      </c>
      <c r="C767" s="47" t="n">
        <f aca="false">'Fault &amp; Downtime Entry'!C768</f>
        <v>0</v>
      </c>
      <c r="D767" s="47" t="n">
        <f aca="false">'Fault &amp; Downtime Entry'!D768</f>
        <v>0</v>
      </c>
      <c r="E767" s="47" t="n">
        <f aca="false">'Fault &amp; Downtime Entry'!E768</f>
        <v>0</v>
      </c>
      <c r="F767" s="47" t="str">
        <f aca="false">'Fault &amp; Downtime Entry'!F768</f>
        <v/>
      </c>
      <c r="G767" s="47" t="n">
        <f aca="false">'Fault &amp; Downtime Entry'!G768</f>
        <v>0</v>
      </c>
      <c r="H767" s="47" t="str">
        <f aca="false">'Fault &amp; Downtime Entry'!H768</f>
        <v/>
      </c>
      <c r="I767" s="47" t="str">
        <f aca="false">'Fault &amp; Downtime Entry'!I768</f>
        <v/>
      </c>
      <c r="J767" s="47" t="n">
        <f aca="false">'Fault &amp; Downtime Entry'!J768</f>
        <v>0</v>
      </c>
      <c r="K767" s="47" t="n">
        <f aca="false">'Fault &amp; Downtime Entry'!K768</f>
        <v>0</v>
      </c>
      <c r="L767" s="47" t="n">
        <f aca="false">'Fault &amp; Downtime Entry'!L768</f>
        <v>0</v>
      </c>
      <c r="M767" s="47" t="str">
        <f aca="false">'Fault &amp; Downtime Entry'!M768</f>
        <v/>
      </c>
      <c r="N767" s="47" t="n">
        <f aca="false">'Fault &amp; Downtime Entry'!N768</f>
        <v>0</v>
      </c>
      <c r="O767" s="47" t="n">
        <f aca="false">'Fault &amp; Downtime Entry'!O768</f>
        <v>0</v>
      </c>
      <c r="P767" s="47" t="str">
        <f aca="false">IF(OR(J767="",K767=""),"",IFERROR(J767/K767*1000,0))</f>
        <v/>
      </c>
      <c r="Q767" s="47" t="str">
        <f aca="false">IF(OR(L767="",K767=""),"",IFERROR(L767/K767*1000,0))</f>
        <v/>
      </c>
      <c r="R767" s="47" t="str">
        <f aca="false">IF(OR(M767="High",M767="Critical"),"YES","")</f>
        <v/>
      </c>
    </row>
    <row r="768" customFormat="false" ht="15" hidden="false" customHeight="true" outlineLevel="0" collapsed="false">
      <c r="A768" s="47" t="n">
        <f aca="false">'Fault &amp; Downtime Entry'!A769</f>
        <v>764</v>
      </c>
      <c r="B768" s="48" t="n">
        <f aca="false">'Fault &amp; Downtime Entry'!B769</f>
        <v>0</v>
      </c>
      <c r="C768" s="47" t="n">
        <f aca="false">'Fault &amp; Downtime Entry'!C769</f>
        <v>0</v>
      </c>
      <c r="D768" s="47" t="n">
        <f aca="false">'Fault &amp; Downtime Entry'!D769</f>
        <v>0</v>
      </c>
      <c r="E768" s="47" t="n">
        <f aca="false">'Fault &amp; Downtime Entry'!E769</f>
        <v>0</v>
      </c>
      <c r="F768" s="47" t="str">
        <f aca="false">'Fault &amp; Downtime Entry'!F769</f>
        <v/>
      </c>
      <c r="G768" s="47" t="n">
        <f aca="false">'Fault &amp; Downtime Entry'!G769</f>
        <v>0</v>
      </c>
      <c r="H768" s="47" t="str">
        <f aca="false">'Fault &amp; Downtime Entry'!H769</f>
        <v/>
      </c>
      <c r="I768" s="47" t="str">
        <f aca="false">'Fault &amp; Downtime Entry'!I769</f>
        <v/>
      </c>
      <c r="J768" s="47" t="n">
        <f aca="false">'Fault &amp; Downtime Entry'!J769</f>
        <v>0</v>
      </c>
      <c r="K768" s="47" t="n">
        <f aca="false">'Fault &amp; Downtime Entry'!K769</f>
        <v>0</v>
      </c>
      <c r="L768" s="47" t="n">
        <f aca="false">'Fault &amp; Downtime Entry'!L769</f>
        <v>0</v>
      </c>
      <c r="M768" s="47" t="str">
        <f aca="false">'Fault &amp; Downtime Entry'!M769</f>
        <v/>
      </c>
      <c r="N768" s="47" t="n">
        <f aca="false">'Fault &amp; Downtime Entry'!N769</f>
        <v>0</v>
      </c>
      <c r="O768" s="47" t="n">
        <f aca="false">'Fault &amp; Downtime Entry'!O769</f>
        <v>0</v>
      </c>
      <c r="P768" s="47" t="str">
        <f aca="false">IF(OR(J768="",K768=""),"",IFERROR(J768/K768*1000,0))</f>
        <v/>
      </c>
      <c r="Q768" s="47" t="str">
        <f aca="false">IF(OR(L768="",K768=""),"",IFERROR(L768/K768*1000,0))</f>
        <v/>
      </c>
      <c r="R768" s="47" t="str">
        <f aca="false">IF(OR(M768="High",M768="Critical"),"YES","")</f>
        <v/>
      </c>
    </row>
    <row r="769" customFormat="false" ht="15" hidden="false" customHeight="true" outlineLevel="0" collapsed="false">
      <c r="A769" s="47" t="n">
        <f aca="false">'Fault &amp; Downtime Entry'!A770</f>
        <v>765</v>
      </c>
      <c r="B769" s="48" t="n">
        <f aca="false">'Fault &amp; Downtime Entry'!B770</f>
        <v>0</v>
      </c>
      <c r="C769" s="47" t="n">
        <f aca="false">'Fault &amp; Downtime Entry'!C770</f>
        <v>0</v>
      </c>
      <c r="D769" s="47" t="n">
        <f aca="false">'Fault &amp; Downtime Entry'!D770</f>
        <v>0</v>
      </c>
      <c r="E769" s="47" t="n">
        <f aca="false">'Fault &amp; Downtime Entry'!E770</f>
        <v>0</v>
      </c>
      <c r="F769" s="47" t="str">
        <f aca="false">'Fault &amp; Downtime Entry'!F770</f>
        <v/>
      </c>
      <c r="G769" s="47" t="n">
        <f aca="false">'Fault &amp; Downtime Entry'!G770</f>
        <v>0</v>
      </c>
      <c r="H769" s="47" t="str">
        <f aca="false">'Fault &amp; Downtime Entry'!H770</f>
        <v/>
      </c>
      <c r="I769" s="47" t="str">
        <f aca="false">'Fault &amp; Downtime Entry'!I770</f>
        <v/>
      </c>
      <c r="J769" s="47" t="n">
        <f aca="false">'Fault &amp; Downtime Entry'!J770</f>
        <v>0</v>
      </c>
      <c r="K769" s="47" t="n">
        <f aca="false">'Fault &amp; Downtime Entry'!K770</f>
        <v>0</v>
      </c>
      <c r="L769" s="47" t="n">
        <f aca="false">'Fault &amp; Downtime Entry'!L770</f>
        <v>0</v>
      </c>
      <c r="M769" s="47" t="str">
        <f aca="false">'Fault &amp; Downtime Entry'!M770</f>
        <v/>
      </c>
      <c r="N769" s="47" t="n">
        <f aca="false">'Fault &amp; Downtime Entry'!N770</f>
        <v>0</v>
      </c>
      <c r="O769" s="47" t="n">
        <f aca="false">'Fault &amp; Downtime Entry'!O770</f>
        <v>0</v>
      </c>
      <c r="P769" s="47" t="str">
        <f aca="false">IF(OR(J769="",K769=""),"",IFERROR(J769/K769*1000,0))</f>
        <v/>
      </c>
      <c r="Q769" s="47" t="str">
        <f aca="false">IF(OR(L769="",K769=""),"",IFERROR(L769/K769*1000,0))</f>
        <v/>
      </c>
      <c r="R769" s="47" t="str">
        <f aca="false">IF(OR(M769="High",M769="Critical"),"YES","")</f>
        <v/>
      </c>
    </row>
    <row r="770" customFormat="false" ht="15" hidden="false" customHeight="true" outlineLevel="0" collapsed="false">
      <c r="A770" s="47" t="n">
        <f aca="false">'Fault &amp; Downtime Entry'!A771</f>
        <v>766</v>
      </c>
      <c r="B770" s="48" t="n">
        <f aca="false">'Fault &amp; Downtime Entry'!B771</f>
        <v>0</v>
      </c>
      <c r="C770" s="47" t="n">
        <f aca="false">'Fault &amp; Downtime Entry'!C771</f>
        <v>0</v>
      </c>
      <c r="D770" s="47" t="n">
        <f aca="false">'Fault &amp; Downtime Entry'!D771</f>
        <v>0</v>
      </c>
      <c r="E770" s="47" t="n">
        <f aca="false">'Fault &amp; Downtime Entry'!E771</f>
        <v>0</v>
      </c>
      <c r="F770" s="47" t="str">
        <f aca="false">'Fault &amp; Downtime Entry'!F771</f>
        <v/>
      </c>
      <c r="G770" s="47" t="n">
        <f aca="false">'Fault &amp; Downtime Entry'!G771</f>
        <v>0</v>
      </c>
      <c r="H770" s="47" t="str">
        <f aca="false">'Fault &amp; Downtime Entry'!H771</f>
        <v/>
      </c>
      <c r="I770" s="47" t="str">
        <f aca="false">'Fault &amp; Downtime Entry'!I771</f>
        <v/>
      </c>
      <c r="J770" s="47" t="n">
        <f aca="false">'Fault &amp; Downtime Entry'!J771</f>
        <v>0</v>
      </c>
      <c r="K770" s="47" t="n">
        <f aca="false">'Fault &amp; Downtime Entry'!K771</f>
        <v>0</v>
      </c>
      <c r="L770" s="47" t="n">
        <f aca="false">'Fault &amp; Downtime Entry'!L771</f>
        <v>0</v>
      </c>
      <c r="M770" s="47" t="str">
        <f aca="false">'Fault &amp; Downtime Entry'!M771</f>
        <v/>
      </c>
      <c r="N770" s="47" t="n">
        <f aca="false">'Fault &amp; Downtime Entry'!N771</f>
        <v>0</v>
      </c>
      <c r="O770" s="47" t="n">
        <f aca="false">'Fault &amp; Downtime Entry'!O771</f>
        <v>0</v>
      </c>
      <c r="P770" s="47" t="str">
        <f aca="false">IF(OR(J770="",K770=""),"",IFERROR(J770/K770*1000,0))</f>
        <v/>
      </c>
      <c r="Q770" s="47" t="str">
        <f aca="false">IF(OR(L770="",K770=""),"",IFERROR(L770/K770*1000,0))</f>
        <v/>
      </c>
      <c r="R770" s="47" t="str">
        <f aca="false">IF(OR(M770="High",M770="Critical"),"YES","")</f>
        <v/>
      </c>
    </row>
    <row r="771" customFormat="false" ht="15" hidden="false" customHeight="true" outlineLevel="0" collapsed="false">
      <c r="A771" s="47" t="n">
        <f aca="false">'Fault &amp; Downtime Entry'!A772</f>
        <v>767</v>
      </c>
      <c r="B771" s="48" t="n">
        <f aca="false">'Fault &amp; Downtime Entry'!B772</f>
        <v>0</v>
      </c>
      <c r="C771" s="47" t="n">
        <f aca="false">'Fault &amp; Downtime Entry'!C772</f>
        <v>0</v>
      </c>
      <c r="D771" s="47" t="n">
        <f aca="false">'Fault &amp; Downtime Entry'!D772</f>
        <v>0</v>
      </c>
      <c r="E771" s="47" t="n">
        <f aca="false">'Fault &amp; Downtime Entry'!E772</f>
        <v>0</v>
      </c>
      <c r="F771" s="47" t="str">
        <f aca="false">'Fault &amp; Downtime Entry'!F772</f>
        <v/>
      </c>
      <c r="G771" s="47" t="n">
        <f aca="false">'Fault &amp; Downtime Entry'!G772</f>
        <v>0</v>
      </c>
      <c r="H771" s="47" t="str">
        <f aca="false">'Fault &amp; Downtime Entry'!H772</f>
        <v/>
      </c>
      <c r="I771" s="47" t="str">
        <f aca="false">'Fault &amp; Downtime Entry'!I772</f>
        <v/>
      </c>
      <c r="J771" s="47" t="n">
        <f aca="false">'Fault &amp; Downtime Entry'!J772</f>
        <v>0</v>
      </c>
      <c r="K771" s="47" t="n">
        <f aca="false">'Fault &amp; Downtime Entry'!K772</f>
        <v>0</v>
      </c>
      <c r="L771" s="47" t="n">
        <f aca="false">'Fault &amp; Downtime Entry'!L772</f>
        <v>0</v>
      </c>
      <c r="M771" s="47" t="str">
        <f aca="false">'Fault &amp; Downtime Entry'!M772</f>
        <v/>
      </c>
      <c r="N771" s="47" t="n">
        <f aca="false">'Fault &amp; Downtime Entry'!N772</f>
        <v>0</v>
      </c>
      <c r="O771" s="47" t="n">
        <f aca="false">'Fault &amp; Downtime Entry'!O772</f>
        <v>0</v>
      </c>
      <c r="P771" s="47" t="str">
        <f aca="false">IF(OR(J771="",K771=""),"",IFERROR(J771/K771*1000,0))</f>
        <v/>
      </c>
      <c r="Q771" s="47" t="str">
        <f aca="false">IF(OR(L771="",K771=""),"",IFERROR(L771/K771*1000,0))</f>
        <v/>
      </c>
      <c r="R771" s="47" t="str">
        <f aca="false">IF(OR(M771="High",M771="Critical"),"YES","")</f>
        <v/>
      </c>
    </row>
    <row r="772" customFormat="false" ht="15" hidden="false" customHeight="true" outlineLevel="0" collapsed="false">
      <c r="A772" s="47" t="n">
        <f aca="false">'Fault &amp; Downtime Entry'!A773</f>
        <v>768</v>
      </c>
      <c r="B772" s="48" t="n">
        <f aca="false">'Fault &amp; Downtime Entry'!B773</f>
        <v>0</v>
      </c>
      <c r="C772" s="47" t="n">
        <f aca="false">'Fault &amp; Downtime Entry'!C773</f>
        <v>0</v>
      </c>
      <c r="D772" s="47" t="n">
        <f aca="false">'Fault &amp; Downtime Entry'!D773</f>
        <v>0</v>
      </c>
      <c r="E772" s="47" t="n">
        <f aca="false">'Fault &amp; Downtime Entry'!E773</f>
        <v>0</v>
      </c>
      <c r="F772" s="47" t="str">
        <f aca="false">'Fault &amp; Downtime Entry'!F773</f>
        <v/>
      </c>
      <c r="G772" s="47" t="n">
        <f aca="false">'Fault &amp; Downtime Entry'!G773</f>
        <v>0</v>
      </c>
      <c r="H772" s="47" t="str">
        <f aca="false">'Fault &amp; Downtime Entry'!H773</f>
        <v/>
      </c>
      <c r="I772" s="47" t="str">
        <f aca="false">'Fault &amp; Downtime Entry'!I773</f>
        <v/>
      </c>
      <c r="J772" s="47" t="n">
        <f aca="false">'Fault &amp; Downtime Entry'!J773</f>
        <v>0</v>
      </c>
      <c r="K772" s="47" t="n">
        <f aca="false">'Fault &amp; Downtime Entry'!K773</f>
        <v>0</v>
      </c>
      <c r="L772" s="47" t="n">
        <f aca="false">'Fault &amp; Downtime Entry'!L773</f>
        <v>0</v>
      </c>
      <c r="M772" s="47" t="str">
        <f aca="false">'Fault &amp; Downtime Entry'!M773</f>
        <v/>
      </c>
      <c r="N772" s="47" t="n">
        <f aca="false">'Fault &amp; Downtime Entry'!N773</f>
        <v>0</v>
      </c>
      <c r="O772" s="47" t="n">
        <f aca="false">'Fault &amp; Downtime Entry'!O773</f>
        <v>0</v>
      </c>
      <c r="P772" s="47" t="str">
        <f aca="false">IF(OR(J772="",K772=""),"",IFERROR(J772/K772*1000,0))</f>
        <v/>
      </c>
      <c r="Q772" s="47" t="str">
        <f aca="false">IF(OR(L772="",K772=""),"",IFERROR(L772/K772*1000,0))</f>
        <v/>
      </c>
      <c r="R772" s="47" t="str">
        <f aca="false">IF(OR(M772="High",M772="Critical"),"YES","")</f>
        <v/>
      </c>
    </row>
    <row r="773" customFormat="false" ht="15" hidden="false" customHeight="true" outlineLevel="0" collapsed="false">
      <c r="A773" s="47" t="n">
        <f aca="false">'Fault &amp; Downtime Entry'!A774</f>
        <v>769</v>
      </c>
      <c r="B773" s="48" t="n">
        <f aca="false">'Fault &amp; Downtime Entry'!B774</f>
        <v>0</v>
      </c>
      <c r="C773" s="47" t="n">
        <f aca="false">'Fault &amp; Downtime Entry'!C774</f>
        <v>0</v>
      </c>
      <c r="D773" s="47" t="n">
        <f aca="false">'Fault &amp; Downtime Entry'!D774</f>
        <v>0</v>
      </c>
      <c r="E773" s="47" t="n">
        <f aca="false">'Fault &amp; Downtime Entry'!E774</f>
        <v>0</v>
      </c>
      <c r="F773" s="47" t="str">
        <f aca="false">'Fault &amp; Downtime Entry'!F774</f>
        <v/>
      </c>
      <c r="G773" s="47" t="n">
        <f aca="false">'Fault &amp; Downtime Entry'!G774</f>
        <v>0</v>
      </c>
      <c r="H773" s="47" t="str">
        <f aca="false">'Fault &amp; Downtime Entry'!H774</f>
        <v/>
      </c>
      <c r="I773" s="47" t="str">
        <f aca="false">'Fault &amp; Downtime Entry'!I774</f>
        <v/>
      </c>
      <c r="J773" s="47" t="n">
        <f aca="false">'Fault &amp; Downtime Entry'!J774</f>
        <v>0</v>
      </c>
      <c r="K773" s="47" t="n">
        <f aca="false">'Fault &amp; Downtime Entry'!K774</f>
        <v>0</v>
      </c>
      <c r="L773" s="47" t="n">
        <f aca="false">'Fault &amp; Downtime Entry'!L774</f>
        <v>0</v>
      </c>
      <c r="M773" s="47" t="str">
        <f aca="false">'Fault &amp; Downtime Entry'!M774</f>
        <v/>
      </c>
      <c r="N773" s="47" t="n">
        <f aca="false">'Fault &amp; Downtime Entry'!N774</f>
        <v>0</v>
      </c>
      <c r="O773" s="47" t="n">
        <f aca="false">'Fault &amp; Downtime Entry'!O774</f>
        <v>0</v>
      </c>
      <c r="P773" s="47" t="str">
        <f aca="false">IF(OR(J773="",K773=""),"",IFERROR(J773/K773*1000,0))</f>
        <v/>
      </c>
      <c r="Q773" s="47" t="str">
        <f aca="false">IF(OR(L773="",K773=""),"",IFERROR(L773/K773*1000,0))</f>
        <v/>
      </c>
      <c r="R773" s="47" t="str">
        <f aca="false">IF(OR(M773="High",M773="Critical"),"YES","")</f>
        <v/>
      </c>
    </row>
    <row r="774" customFormat="false" ht="15" hidden="false" customHeight="true" outlineLevel="0" collapsed="false">
      <c r="A774" s="47" t="n">
        <f aca="false">'Fault &amp; Downtime Entry'!A775</f>
        <v>770</v>
      </c>
      <c r="B774" s="48" t="n">
        <f aca="false">'Fault &amp; Downtime Entry'!B775</f>
        <v>0</v>
      </c>
      <c r="C774" s="47" t="n">
        <f aca="false">'Fault &amp; Downtime Entry'!C775</f>
        <v>0</v>
      </c>
      <c r="D774" s="47" t="n">
        <f aca="false">'Fault &amp; Downtime Entry'!D775</f>
        <v>0</v>
      </c>
      <c r="E774" s="47" t="n">
        <f aca="false">'Fault &amp; Downtime Entry'!E775</f>
        <v>0</v>
      </c>
      <c r="F774" s="47" t="str">
        <f aca="false">'Fault &amp; Downtime Entry'!F775</f>
        <v/>
      </c>
      <c r="G774" s="47" t="n">
        <f aca="false">'Fault &amp; Downtime Entry'!G775</f>
        <v>0</v>
      </c>
      <c r="H774" s="47" t="str">
        <f aca="false">'Fault &amp; Downtime Entry'!H775</f>
        <v/>
      </c>
      <c r="I774" s="47" t="str">
        <f aca="false">'Fault &amp; Downtime Entry'!I775</f>
        <v/>
      </c>
      <c r="J774" s="47" t="n">
        <f aca="false">'Fault &amp; Downtime Entry'!J775</f>
        <v>0</v>
      </c>
      <c r="K774" s="47" t="n">
        <f aca="false">'Fault &amp; Downtime Entry'!K775</f>
        <v>0</v>
      </c>
      <c r="L774" s="47" t="n">
        <f aca="false">'Fault &amp; Downtime Entry'!L775</f>
        <v>0</v>
      </c>
      <c r="M774" s="47" t="str">
        <f aca="false">'Fault &amp; Downtime Entry'!M775</f>
        <v/>
      </c>
      <c r="N774" s="47" t="n">
        <f aca="false">'Fault &amp; Downtime Entry'!N775</f>
        <v>0</v>
      </c>
      <c r="O774" s="47" t="n">
        <f aca="false">'Fault &amp; Downtime Entry'!O775</f>
        <v>0</v>
      </c>
      <c r="P774" s="47" t="str">
        <f aca="false">IF(OR(J774="",K774=""),"",IFERROR(J774/K774*1000,0))</f>
        <v/>
      </c>
      <c r="Q774" s="47" t="str">
        <f aca="false">IF(OR(L774="",K774=""),"",IFERROR(L774/K774*1000,0))</f>
        <v/>
      </c>
      <c r="R774" s="47" t="str">
        <f aca="false">IF(OR(M774="High",M774="Critical"),"YES","")</f>
        <v/>
      </c>
    </row>
    <row r="775" customFormat="false" ht="15" hidden="false" customHeight="true" outlineLevel="0" collapsed="false">
      <c r="A775" s="47" t="n">
        <f aca="false">'Fault &amp; Downtime Entry'!A776</f>
        <v>771</v>
      </c>
      <c r="B775" s="48" t="n">
        <f aca="false">'Fault &amp; Downtime Entry'!B776</f>
        <v>0</v>
      </c>
      <c r="C775" s="47" t="n">
        <f aca="false">'Fault &amp; Downtime Entry'!C776</f>
        <v>0</v>
      </c>
      <c r="D775" s="47" t="n">
        <f aca="false">'Fault &amp; Downtime Entry'!D776</f>
        <v>0</v>
      </c>
      <c r="E775" s="47" t="n">
        <f aca="false">'Fault &amp; Downtime Entry'!E776</f>
        <v>0</v>
      </c>
      <c r="F775" s="47" t="str">
        <f aca="false">'Fault &amp; Downtime Entry'!F776</f>
        <v/>
      </c>
      <c r="G775" s="47" t="n">
        <f aca="false">'Fault &amp; Downtime Entry'!G776</f>
        <v>0</v>
      </c>
      <c r="H775" s="47" t="str">
        <f aca="false">'Fault &amp; Downtime Entry'!H776</f>
        <v/>
      </c>
      <c r="I775" s="47" t="str">
        <f aca="false">'Fault &amp; Downtime Entry'!I776</f>
        <v/>
      </c>
      <c r="J775" s="47" t="n">
        <f aca="false">'Fault &amp; Downtime Entry'!J776</f>
        <v>0</v>
      </c>
      <c r="K775" s="47" t="n">
        <f aca="false">'Fault &amp; Downtime Entry'!K776</f>
        <v>0</v>
      </c>
      <c r="L775" s="47" t="n">
        <f aca="false">'Fault &amp; Downtime Entry'!L776</f>
        <v>0</v>
      </c>
      <c r="M775" s="47" t="str">
        <f aca="false">'Fault &amp; Downtime Entry'!M776</f>
        <v/>
      </c>
      <c r="N775" s="47" t="n">
        <f aca="false">'Fault &amp; Downtime Entry'!N776</f>
        <v>0</v>
      </c>
      <c r="O775" s="47" t="n">
        <f aca="false">'Fault &amp; Downtime Entry'!O776</f>
        <v>0</v>
      </c>
      <c r="P775" s="47" t="str">
        <f aca="false">IF(OR(J775="",K775=""),"",IFERROR(J775/K775*1000,0))</f>
        <v/>
      </c>
      <c r="Q775" s="47" t="str">
        <f aca="false">IF(OR(L775="",K775=""),"",IFERROR(L775/K775*1000,0))</f>
        <v/>
      </c>
      <c r="R775" s="47" t="str">
        <f aca="false">IF(OR(M775="High",M775="Critical"),"YES","")</f>
        <v/>
      </c>
    </row>
    <row r="776" customFormat="false" ht="15" hidden="false" customHeight="true" outlineLevel="0" collapsed="false">
      <c r="A776" s="47" t="n">
        <f aca="false">'Fault &amp; Downtime Entry'!A777</f>
        <v>772</v>
      </c>
      <c r="B776" s="48" t="n">
        <f aca="false">'Fault &amp; Downtime Entry'!B777</f>
        <v>0</v>
      </c>
      <c r="C776" s="47" t="n">
        <f aca="false">'Fault &amp; Downtime Entry'!C777</f>
        <v>0</v>
      </c>
      <c r="D776" s="47" t="n">
        <f aca="false">'Fault &amp; Downtime Entry'!D777</f>
        <v>0</v>
      </c>
      <c r="E776" s="47" t="n">
        <f aca="false">'Fault &amp; Downtime Entry'!E777</f>
        <v>0</v>
      </c>
      <c r="F776" s="47" t="str">
        <f aca="false">'Fault &amp; Downtime Entry'!F777</f>
        <v/>
      </c>
      <c r="G776" s="47" t="n">
        <f aca="false">'Fault &amp; Downtime Entry'!G777</f>
        <v>0</v>
      </c>
      <c r="H776" s="47" t="str">
        <f aca="false">'Fault &amp; Downtime Entry'!H777</f>
        <v/>
      </c>
      <c r="I776" s="47" t="str">
        <f aca="false">'Fault &amp; Downtime Entry'!I777</f>
        <v/>
      </c>
      <c r="J776" s="47" t="n">
        <f aca="false">'Fault &amp; Downtime Entry'!J777</f>
        <v>0</v>
      </c>
      <c r="K776" s="47" t="n">
        <f aca="false">'Fault &amp; Downtime Entry'!K777</f>
        <v>0</v>
      </c>
      <c r="L776" s="47" t="n">
        <f aca="false">'Fault &amp; Downtime Entry'!L777</f>
        <v>0</v>
      </c>
      <c r="M776" s="47" t="str">
        <f aca="false">'Fault &amp; Downtime Entry'!M777</f>
        <v/>
      </c>
      <c r="N776" s="47" t="n">
        <f aca="false">'Fault &amp; Downtime Entry'!N777</f>
        <v>0</v>
      </c>
      <c r="O776" s="47" t="n">
        <f aca="false">'Fault &amp; Downtime Entry'!O777</f>
        <v>0</v>
      </c>
      <c r="P776" s="47" t="str">
        <f aca="false">IF(OR(J776="",K776=""),"",IFERROR(J776/K776*1000,0))</f>
        <v/>
      </c>
      <c r="Q776" s="47" t="str">
        <f aca="false">IF(OR(L776="",K776=""),"",IFERROR(L776/K776*1000,0))</f>
        <v/>
      </c>
      <c r="R776" s="47" t="str">
        <f aca="false">IF(OR(M776="High",M776="Critical"),"YES","")</f>
        <v/>
      </c>
    </row>
    <row r="777" customFormat="false" ht="15" hidden="false" customHeight="true" outlineLevel="0" collapsed="false">
      <c r="A777" s="47" t="n">
        <f aca="false">'Fault &amp; Downtime Entry'!A778</f>
        <v>773</v>
      </c>
      <c r="B777" s="48" t="n">
        <f aca="false">'Fault &amp; Downtime Entry'!B778</f>
        <v>0</v>
      </c>
      <c r="C777" s="47" t="n">
        <f aca="false">'Fault &amp; Downtime Entry'!C778</f>
        <v>0</v>
      </c>
      <c r="D777" s="47" t="n">
        <f aca="false">'Fault &amp; Downtime Entry'!D778</f>
        <v>0</v>
      </c>
      <c r="E777" s="47" t="n">
        <f aca="false">'Fault &amp; Downtime Entry'!E778</f>
        <v>0</v>
      </c>
      <c r="F777" s="47" t="str">
        <f aca="false">'Fault &amp; Downtime Entry'!F778</f>
        <v/>
      </c>
      <c r="G777" s="47" t="n">
        <f aca="false">'Fault &amp; Downtime Entry'!G778</f>
        <v>0</v>
      </c>
      <c r="H777" s="47" t="str">
        <f aca="false">'Fault &amp; Downtime Entry'!H778</f>
        <v/>
      </c>
      <c r="I777" s="47" t="str">
        <f aca="false">'Fault &amp; Downtime Entry'!I778</f>
        <v/>
      </c>
      <c r="J777" s="47" t="n">
        <f aca="false">'Fault &amp; Downtime Entry'!J778</f>
        <v>0</v>
      </c>
      <c r="K777" s="47" t="n">
        <f aca="false">'Fault &amp; Downtime Entry'!K778</f>
        <v>0</v>
      </c>
      <c r="L777" s="47" t="n">
        <f aca="false">'Fault &amp; Downtime Entry'!L778</f>
        <v>0</v>
      </c>
      <c r="M777" s="47" t="str">
        <f aca="false">'Fault &amp; Downtime Entry'!M778</f>
        <v/>
      </c>
      <c r="N777" s="47" t="n">
        <f aca="false">'Fault &amp; Downtime Entry'!N778</f>
        <v>0</v>
      </c>
      <c r="O777" s="47" t="n">
        <f aca="false">'Fault &amp; Downtime Entry'!O778</f>
        <v>0</v>
      </c>
      <c r="P777" s="47" t="str">
        <f aca="false">IF(OR(J777="",K777=""),"",IFERROR(J777/K777*1000,0))</f>
        <v/>
      </c>
      <c r="Q777" s="47" t="str">
        <f aca="false">IF(OR(L777="",K777=""),"",IFERROR(L777/K777*1000,0))</f>
        <v/>
      </c>
      <c r="R777" s="47" t="str">
        <f aca="false">IF(OR(M777="High",M777="Critical"),"YES","")</f>
        <v/>
      </c>
    </row>
    <row r="778" customFormat="false" ht="15" hidden="false" customHeight="true" outlineLevel="0" collapsed="false">
      <c r="A778" s="47" t="n">
        <f aca="false">'Fault &amp; Downtime Entry'!A779</f>
        <v>774</v>
      </c>
      <c r="B778" s="48" t="n">
        <f aca="false">'Fault &amp; Downtime Entry'!B779</f>
        <v>0</v>
      </c>
      <c r="C778" s="47" t="n">
        <f aca="false">'Fault &amp; Downtime Entry'!C779</f>
        <v>0</v>
      </c>
      <c r="D778" s="47" t="n">
        <f aca="false">'Fault &amp; Downtime Entry'!D779</f>
        <v>0</v>
      </c>
      <c r="E778" s="47" t="n">
        <f aca="false">'Fault &amp; Downtime Entry'!E779</f>
        <v>0</v>
      </c>
      <c r="F778" s="47" t="str">
        <f aca="false">'Fault &amp; Downtime Entry'!F779</f>
        <v/>
      </c>
      <c r="G778" s="47" t="n">
        <f aca="false">'Fault &amp; Downtime Entry'!G779</f>
        <v>0</v>
      </c>
      <c r="H778" s="47" t="str">
        <f aca="false">'Fault &amp; Downtime Entry'!H779</f>
        <v/>
      </c>
      <c r="I778" s="47" t="str">
        <f aca="false">'Fault &amp; Downtime Entry'!I779</f>
        <v/>
      </c>
      <c r="J778" s="47" t="n">
        <f aca="false">'Fault &amp; Downtime Entry'!J779</f>
        <v>0</v>
      </c>
      <c r="K778" s="47" t="n">
        <f aca="false">'Fault &amp; Downtime Entry'!K779</f>
        <v>0</v>
      </c>
      <c r="L778" s="47" t="n">
        <f aca="false">'Fault &amp; Downtime Entry'!L779</f>
        <v>0</v>
      </c>
      <c r="M778" s="47" t="str">
        <f aca="false">'Fault &amp; Downtime Entry'!M779</f>
        <v/>
      </c>
      <c r="N778" s="47" t="n">
        <f aca="false">'Fault &amp; Downtime Entry'!N779</f>
        <v>0</v>
      </c>
      <c r="O778" s="47" t="n">
        <f aca="false">'Fault &amp; Downtime Entry'!O779</f>
        <v>0</v>
      </c>
      <c r="P778" s="47" t="str">
        <f aca="false">IF(OR(J778="",K778=""),"",IFERROR(J778/K778*1000,0))</f>
        <v/>
      </c>
      <c r="Q778" s="47" t="str">
        <f aca="false">IF(OR(L778="",K778=""),"",IFERROR(L778/K778*1000,0))</f>
        <v/>
      </c>
      <c r="R778" s="47" t="str">
        <f aca="false">IF(OR(M778="High",M778="Critical"),"YES","")</f>
        <v/>
      </c>
    </row>
    <row r="779" customFormat="false" ht="15" hidden="false" customHeight="true" outlineLevel="0" collapsed="false">
      <c r="A779" s="47" t="n">
        <f aca="false">'Fault &amp; Downtime Entry'!A780</f>
        <v>775</v>
      </c>
      <c r="B779" s="48" t="n">
        <f aca="false">'Fault &amp; Downtime Entry'!B780</f>
        <v>0</v>
      </c>
      <c r="C779" s="47" t="n">
        <f aca="false">'Fault &amp; Downtime Entry'!C780</f>
        <v>0</v>
      </c>
      <c r="D779" s="47" t="n">
        <f aca="false">'Fault &amp; Downtime Entry'!D780</f>
        <v>0</v>
      </c>
      <c r="E779" s="47" t="n">
        <f aca="false">'Fault &amp; Downtime Entry'!E780</f>
        <v>0</v>
      </c>
      <c r="F779" s="47" t="str">
        <f aca="false">'Fault &amp; Downtime Entry'!F780</f>
        <v/>
      </c>
      <c r="G779" s="47" t="n">
        <f aca="false">'Fault &amp; Downtime Entry'!G780</f>
        <v>0</v>
      </c>
      <c r="H779" s="47" t="str">
        <f aca="false">'Fault &amp; Downtime Entry'!H780</f>
        <v/>
      </c>
      <c r="I779" s="47" t="str">
        <f aca="false">'Fault &amp; Downtime Entry'!I780</f>
        <v/>
      </c>
      <c r="J779" s="47" t="n">
        <f aca="false">'Fault &amp; Downtime Entry'!J780</f>
        <v>0</v>
      </c>
      <c r="K779" s="47" t="n">
        <f aca="false">'Fault &amp; Downtime Entry'!K780</f>
        <v>0</v>
      </c>
      <c r="L779" s="47" t="n">
        <f aca="false">'Fault &amp; Downtime Entry'!L780</f>
        <v>0</v>
      </c>
      <c r="M779" s="47" t="str">
        <f aca="false">'Fault &amp; Downtime Entry'!M780</f>
        <v/>
      </c>
      <c r="N779" s="47" t="n">
        <f aca="false">'Fault &amp; Downtime Entry'!N780</f>
        <v>0</v>
      </c>
      <c r="O779" s="47" t="n">
        <f aca="false">'Fault &amp; Downtime Entry'!O780</f>
        <v>0</v>
      </c>
      <c r="P779" s="47" t="str">
        <f aca="false">IF(OR(J779="",K779=""),"",IFERROR(J779/K779*1000,0))</f>
        <v/>
      </c>
      <c r="Q779" s="47" t="str">
        <f aca="false">IF(OR(L779="",K779=""),"",IFERROR(L779/K779*1000,0))</f>
        <v/>
      </c>
      <c r="R779" s="47" t="str">
        <f aca="false">IF(OR(M779="High",M779="Critical"),"YES","")</f>
        <v/>
      </c>
    </row>
    <row r="780" customFormat="false" ht="15" hidden="false" customHeight="true" outlineLevel="0" collapsed="false">
      <c r="A780" s="47" t="n">
        <f aca="false">'Fault &amp; Downtime Entry'!A781</f>
        <v>776</v>
      </c>
      <c r="B780" s="48" t="n">
        <f aca="false">'Fault &amp; Downtime Entry'!B781</f>
        <v>0</v>
      </c>
      <c r="C780" s="47" t="n">
        <f aca="false">'Fault &amp; Downtime Entry'!C781</f>
        <v>0</v>
      </c>
      <c r="D780" s="47" t="n">
        <f aca="false">'Fault &amp; Downtime Entry'!D781</f>
        <v>0</v>
      </c>
      <c r="E780" s="47" t="n">
        <f aca="false">'Fault &amp; Downtime Entry'!E781</f>
        <v>0</v>
      </c>
      <c r="F780" s="47" t="str">
        <f aca="false">'Fault &amp; Downtime Entry'!F781</f>
        <v/>
      </c>
      <c r="G780" s="47" t="n">
        <f aca="false">'Fault &amp; Downtime Entry'!G781</f>
        <v>0</v>
      </c>
      <c r="H780" s="47" t="str">
        <f aca="false">'Fault &amp; Downtime Entry'!H781</f>
        <v/>
      </c>
      <c r="I780" s="47" t="str">
        <f aca="false">'Fault &amp; Downtime Entry'!I781</f>
        <v/>
      </c>
      <c r="J780" s="47" t="n">
        <f aca="false">'Fault &amp; Downtime Entry'!J781</f>
        <v>0</v>
      </c>
      <c r="K780" s="47" t="n">
        <f aca="false">'Fault &amp; Downtime Entry'!K781</f>
        <v>0</v>
      </c>
      <c r="L780" s="47" t="n">
        <f aca="false">'Fault &amp; Downtime Entry'!L781</f>
        <v>0</v>
      </c>
      <c r="M780" s="47" t="str">
        <f aca="false">'Fault &amp; Downtime Entry'!M781</f>
        <v/>
      </c>
      <c r="N780" s="47" t="n">
        <f aca="false">'Fault &amp; Downtime Entry'!N781</f>
        <v>0</v>
      </c>
      <c r="O780" s="47" t="n">
        <f aca="false">'Fault &amp; Downtime Entry'!O781</f>
        <v>0</v>
      </c>
      <c r="P780" s="47" t="str">
        <f aca="false">IF(OR(J780="",K780=""),"",IFERROR(J780/K780*1000,0))</f>
        <v/>
      </c>
      <c r="Q780" s="47" t="str">
        <f aca="false">IF(OR(L780="",K780=""),"",IFERROR(L780/K780*1000,0))</f>
        <v/>
      </c>
      <c r="R780" s="47" t="str">
        <f aca="false">IF(OR(M780="High",M780="Critical"),"YES","")</f>
        <v/>
      </c>
    </row>
    <row r="781" customFormat="false" ht="15" hidden="false" customHeight="true" outlineLevel="0" collapsed="false">
      <c r="A781" s="47" t="n">
        <f aca="false">'Fault &amp; Downtime Entry'!A782</f>
        <v>777</v>
      </c>
      <c r="B781" s="48" t="n">
        <f aca="false">'Fault &amp; Downtime Entry'!B782</f>
        <v>0</v>
      </c>
      <c r="C781" s="47" t="n">
        <f aca="false">'Fault &amp; Downtime Entry'!C782</f>
        <v>0</v>
      </c>
      <c r="D781" s="47" t="n">
        <f aca="false">'Fault &amp; Downtime Entry'!D782</f>
        <v>0</v>
      </c>
      <c r="E781" s="47" t="n">
        <f aca="false">'Fault &amp; Downtime Entry'!E782</f>
        <v>0</v>
      </c>
      <c r="F781" s="47" t="str">
        <f aca="false">'Fault &amp; Downtime Entry'!F782</f>
        <v/>
      </c>
      <c r="G781" s="47" t="n">
        <f aca="false">'Fault &amp; Downtime Entry'!G782</f>
        <v>0</v>
      </c>
      <c r="H781" s="47" t="str">
        <f aca="false">'Fault &amp; Downtime Entry'!H782</f>
        <v/>
      </c>
      <c r="I781" s="47" t="str">
        <f aca="false">'Fault &amp; Downtime Entry'!I782</f>
        <v/>
      </c>
      <c r="J781" s="47" t="n">
        <f aca="false">'Fault &amp; Downtime Entry'!J782</f>
        <v>0</v>
      </c>
      <c r="K781" s="47" t="n">
        <f aca="false">'Fault &amp; Downtime Entry'!K782</f>
        <v>0</v>
      </c>
      <c r="L781" s="47" t="n">
        <f aca="false">'Fault &amp; Downtime Entry'!L782</f>
        <v>0</v>
      </c>
      <c r="M781" s="47" t="str">
        <f aca="false">'Fault &amp; Downtime Entry'!M782</f>
        <v/>
      </c>
      <c r="N781" s="47" t="n">
        <f aca="false">'Fault &amp; Downtime Entry'!N782</f>
        <v>0</v>
      </c>
      <c r="O781" s="47" t="n">
        <f aca="false">'Fault &amp; Downtime Entry'!O782</f>
        <v>0</v>
      </c>
      <c r="P781" s="47" t="str">
        <f aca="false">IF(OR(J781="",K781=""),"",IFERROR(J781/K781*1000,0))</f>
        <v/>
      </c>
      <c r="Q781" s="47" t="str">
        <f aca="false">IF(OR(L781="",K781=""),"",IFERROR(L781/K781*1000,0))</f>
        <v/>
      </c>
      <c r="R781" s="47" t="str">
        <f aca="false">IF(OR(M781="High",M781="Critical"),"YES","")</f>
        <v/>
      </c>
    </row>
    <row r="782" customFormat="false" ht="15" hidden="false" customHeight="true" outlineLevel="0" collapsed="false">
      <c r="A782" s="47" t="n">
        <f aca="false">'Fault &amp; Downtime Entry'!A783</f>
        <v>778</v>
      </c>
      <c r="B782" s="48" t="n">
        <f aca="false">'Fault &amp; Downtime Entry'!B783</f>
        <v>0</v>
      </c>
      <c r="C782" s="47" t="n">
        <f aca="false">'Fault &amp; Downtime Entry'!C783</f>
        <v>0</v>
      </c>
      <c r="D782" s="47" t="n">
        <f aca="false">'Fault &amp; Downtime Entry'!D783</f>
        <v>0</v>
      </c>
      <c r="E782" s="47" t="n">
        <f aca="false">'Fault &amp; Downtime Entry'!E783</f>
        <v>0</v>
      </c>
      <c r="F782" s="47" t="str">
        <f aca="false">'Fault &amp; Downtime Entry'!F783</f>
        <v/>
      </c>
      <c r="G782" s="47" t="n">
        <f aca="false">'Fault &amp; Downtime Entry'!G783</f>
        <v>0</v>
      </c>
      <c r="H782" s="47" t="str">
        <f aca="false">'Fault &amp; Downtime Entry'!H783</f>
        <v/>
      </c>
      <c r="I782" s="47" t="str">
        <f aca="false">'Fault &amp; Downtime Entry'!I783</f>
        <v/>
      </c>
      <c r="J782" s="47" t="n">
        <f aca="false">'Fault &amp; Downtime Entry'!J783</f>
        <v>0</v>
      </c>
      <c r="K782" s="47" t="n">
        <f aca="false">'Fault &amp; Downtime Entry'!K783</f>
        <v>0</v>
      </c>
      <c r="L782" s="47" t="n">
        <f aca="false">'Fault &amp; Downtime Entry'!L783</f>
        <v>0</v>
      </c>
      <c r="M782" s="47" t="str">
        <f aca="false">'Fault &amp; Downtime Entry'!M783</f>
        <v/>
      </c>
      <c r="N782" s="47" t="n">
        <f aca="false">'Fault &amp; Downtime Entry'!N783</f>
        <v>0</v>
      </c>
      <c r="O782" s="47" t="n">
        <f aca="false">'Fault &amp; Downtime Entry'!O783</f>
        <v>0</v>
      </c>
      <c r="P782" s="47" t="str">
        <f aca="false">IF(OR(J782="",K782=""),"",IFERROR(J782/K782*1000,0))</f>
        <v/>
      </c>
      <c r="Q782" s="47" t="str">
        <f aca="false">IF(OR(L782="",K782=""),"",IFERROR(L782/K782*1000,0))</f>
        <v/>
      </c>
      <c r="R782" s="47" t="str">
        <f aca="false">IF(OR(M782="High",M782="Critical"),"YES","")</f>
        <v/>
      </c>
    </row>
    <row r="783" customFormat="false" ht="15" hidden="false" customHeight="true" outlineLevel="0" collapsed="false">
      <c r="A783" s="47" t="n">
        <f aca="false">'Fault &amp; Downtime Entry'!A784</f>
        <v>779</v>
      </c>
      <c r="B783" s="48" t="n">
        <f aca="false">'Fault &amp; Downtime Entry'!B784</f>
        <v>0</v>
      </c>
      <c r="C783" s="47" t="n">
        <f aca="false">'Fault &amp; Downtime Entry'!C784</f>
        <v>0</v>
      </c>
      <c r="D783" s="47" t="n">
        <f aca="false">'Fault &amp; Downtime Entry'!D784</f>
        <v>0</v>
      </c>
      <c r="E783" s="47" t="n">
        <f aca="false">'Fault &amp; Downtime Entry'!E784</f>
        <v>0</v>
      </c>
      <c r="F783" s="47" t="str">
        <f aca="false">'Fault &amp; Downtime Entry'!F784</f>
        <v/>
      </c>
      <c r="G783" s="47" t="n">
        <f aca="false">'Fault &amp; Downtime Entry'!G784</f>
        <v>0</v>
      </c>
      <c r="H783" s="47" t="str">
        <f aca="false">'Fault &amp; Downtime Entry'!H784</f>
        <v/>
      </c>
      <c r="I783" s="47" t="str">
        <f aca="false">'Fault &amp; Downtime Entry'!I784</f>
        <v/>
      </c>
      <c r="J783" s="47" t="n">
        <f aca="false">'Fault &amp; Downtime Entry'!J784</f>
        <v>0</v>
      </c>
      <c r="K783" s="47" t="n">
        <f aca="false">'Fault &amp; Downtime Entry'!K784</f>
        <v>0</v>
      </c>
      <c r="L783" s="47" t="n">
        <f aca="false">'Fault &amp; Downtime Entry'!L784</f>
        <v>0</v>
      </c>
      <c r="M783" s="47" t="str">
        <f aca="false">'Fault &amp; Downtime Entry'!M784</f>
        <v/>
      </c>
      <c r="N783" s="47" t="n">
        <f aca="false">'Fault &amp; Downtime Entry'!N784</f>
        <v>0</v>
      </c>
      <c r="O783" s="47" t="n">
        <f aca="false">'Fault &amp; Downtime Entry'!O784</f>
        <v>0</v>
      </c>
      <c r="P783" s="47" t="str">
        <f aca="false">IF(OR(J783="",K783=""),"",IFERROR(J783/K783*1000,0))</f>
        <v/>
      </c>
      <c r="Q783" s="47" t="str">
        <f aca="false">IF(OR(L783="",K783=""),"",IFERROR(L783/K783*1000,0))</f>
        <v/>
      </c>
      <c r="R783" s="47" t="str">
        <f aca="false">IF(OR(M783="High",M783="Critical"),"YES","")</f>
        <v/>
      </c>
    </row>
    <row r="784" customFormat="false" ht="15" hidden="false" customHeight="true" outlineLevel="0" collapsed="false">
      <c r="A784" s="47" t="n">
        <f aca="false">'Fault &amp; Downtime Entry'!A785</f>
        <v>780</v>
      </c>
      <c r="B784" s="48" t="n">
        <f aca="false">'Fault &amp; Downtime Entry'!B785</f>
        <v>0</v>
      </c>
      <c r="C784" s="47" t="n">
        <f aca="false">'Fault &amp; Downtime Entry'!C785</f>
        <v>0</v>
      </c>
      <c r="D784" s="47" t="n">
        <f aca="false">'Fault &amp; Downtime Entry'!D785</f>
        <v>0</v>
      </c>
      <c r="E784" s="47" t="n">
        <f aca="false">'Fault &amp; Downtime Entry'!E785</f>
        <v>0</v>
      </c>
      <c r="F784" s="47" t="str">
        <f aca="false">'Fault &amp; Downtime Entry'!F785</f>
        <v/>
      </c>
      <c r="G784" s="47" t="n">
        <f aca="false">'Fault &amp; Downtime Entry'!G785</f>
        <v>0</v>
      </c>
      <c r="H784" s="47" t="str">
        <f aca="false">'Fault &amp; Downtime Entry'!H785</f>
        <v/>
      </c>
      <c r="I784" s="47" t="str">
        <f aca="false">'Fault &amp; Downtime Entry'!I785</f>
        <v/>
      </c>
      <c r="J784" s="47" t="n">
        <f aca="false">'Fault &amp; Downtime Entry'!J785</f>
        <v>0</v>
      </c>
      <c r="K784" s="47" t="n">
        <f aca="false">'Fault &amp; Downtime Entry'!K785</f>
        <v>0</v>
      </c>
      <c r="L784" s="47" t="n">
        <f aca="false">'Fault &amp; Downtime Entry'!L785</f>
        <v>0</v>
      </c>
      <c r="M784" s="47" t="str">
        <f aca="false">'Fault &amp; Downtime Entry'!M785</f>
        <v/>
      </c>
      <c r="N784" s="47" t="n">
        <f aca="false">'Fault &amp; Downtime Entry'!N785</f>
        <v>0</v>
      </c>
      <c r="O784" s="47" t="n">
        <f aca="false">'Fault &amp; Downtime Entry'!O785</f>
        <v>0</v>
      </c>
      <c r="P784" s="47" t="str">
        <f aca="false">IF(OR(J784="",K784=""),"",IFERROR(J784/K784*1000,0))</f>
        <v/>
      </c>
      <c r="Q784" s="47" t="str">
        <f aca="false">IF(OR(L784="",K784=""),"",IFERROR(L784/K784*1000,0))</f>
        <v/>
      </c>
      <c r="R784" s="47" t="str">
        <f aca="false">IF(OR(M784="High",M784="Critical"),"YES","")</f>
        <v/>
      </c>
    </row>
    <row r="785" customFormat="false" ht="15" hidden="false" customHeight="true" outlineLevel="0" collapsed="false">
      <c r="A785" s="47" t="n">
        <f aca="false">'Fault &amp; Downtime Entry'!A786</f>
        <v>781</v>
      </c>
      <c r="B785" s="48" t="n">
        <f aca="false">'Fault &amp; Downtime Entry'!B786</f>
        <v>0</v>
      </c>
      <c r="C785" s="47" t="n">
        <f aca="false">'Fault &amp; Downtime Entry'!C786</f>
        <v>0</v>
      </c>
      <c r="D785" s="47" t="n">
        <f aca="false">'Fault &amp; Downtime Entry'!D786</f>
        <v>0</v>
      </c>
      <c r="E785" s="47" t="n">
        <f aca="false">'Fault &amp; Downtime Entry'!E786</f>
        <v>0</v>
      </c>
      <c r="F785" s="47" t="str">
        <f aca="false">'Fault &amp; Downtime Entry'!F786</f>
        <v/>
      </c>
      <c r="G785" s="47" t="n">
        <f aca="false">'Fault &amp; Downtime Entry'!G786</f>
        <v>0</v>
      </c>
      <c r="H785" s="47" t="str">
        <f aca="false">'Fault &amp; Downtime Entry'!H786</f>
        <v/>
      </c>
      <c r="I785" s="47" t="str">
        <f aca="false">'Fault &amp; Downtime Entry'!I786</f>
        <v/>
      </c>
      <c r="J785" s="47" t="n">
        <f aca="false">'Fault &amp; Downtime Entry'!J786</f>
        <v>0</v>
      </c>
      <c r="K785" s="47" t="n">
        <f aca="false">'Fault &amp; Downtime Entry'!K786</f>
        <v>0</v>
      </c>
      <c r="L785" s="47" t="n">
        <f aca="false">'Fault &amp; Downtime Entry'!L786</f>
        <v>0</v>
      </c>
      <c r="M785" s="47" t="str">
        <f aca="false">'Fault &amp; Downtime Entry'!M786</f>
        <v/>
      </c>
      <c r="N785" s="47" t="n">
        <f aca="false">'Fault &amp; Downtime Entry'!N786</f>
        <v>0</v>
      </c>
      <c r="O785" s="47" t="n">
        <f aca="false">'Fault &amp; Downtime Entry'!O786</f>
        <v>0</v>
      </c>
      <c r="P785" s="47" t="str">
        <f aca="false">IF(OR(J785="",K785=""),"",IFERROR(J785/K785*1000,0))</f>
        <v/>
      </c>
      <c r="Q785" s="47" t="str">
        <f aca="false">IF(OR(L785="",K785=""),"",IFERROR(L785/K785*1000,0))</f>
        <v/>
      </c>
      <c r="R785" s="47" t="str">
        <f aca="false">IF(OR(M785="High",M785="Critical"),"YES","")</f>
        <v/>
      </c>
    </row>
    <row r="786" customFormat="false" ht="15" hidden="false" customHeight="true" outlineLevel="0" collapsed="false">
      <c r="A786" s="47" t="n">
        <f aca="false">'Fault &amp; Downtime Entry'!A787</f>
        <v>782</v>
      </c>
      <c r="B786" s="48" t="n">
        <f aca="false">'Fault &amp; Downtime Entry'!B787</f>
        <v>0</v>
      </c>
      <c r="C786" s="47" t="n">
        <f aca="false">'Fault &amp; Downtime Entry'!C787</f>
        <v>0</v>
      </c>
      <c r="D786" s="47" t="n">
        <f aca="false">'Fault &amp; Downtime Entry'!D787</f>
        <v>0</v>
      </c>
      <c r="E786" s="47" t="n">
        <f aca="false">'Fault &amp; Downtime Entry'!E787</f>
        <v>0</v>
      </c>
      <c r="F786" s="47" t="str">
        <f aca="false">'Fault &amp; Downtime Entry'!F787</f>
        <v/>
      </c>
      <c r="G786" s="47" t="n">
        <f aca="false">'Fault &amp; Downtime Entry'!G787</f>
        <v>0</v>
      </c>
      <c r="H786" s="47" t="str">
        <f aca="false">'Fault &amp; Downtime Entry'!H787</f>
        <v/>
      </c>
      <c r="I786" s="47" t="str">
        <f aca="false">'Fault &amp; Downtime Entry'!I787</f>
        <v/>
      </c>
      <c r="J786" s="47" t="n">
        <f aca="false">'Fault &amp; Downtime Entry'!J787</f>
        <v>0</v>
      </c>
      <c r="K786" s="47" t="n">
        <f aca="false">'Fault &amp; Downtime Entry'!K787</f>
        <v>0</v>
      </c>
      <c r="L786" s="47" t="n">
        <f aca="false">'Fault &amp; Downtime Entry'!L787</f>
        <v>0</v>
      </c>
      <c r="M786" s="47" t="str">
        <f aca="false">'Fault &amp; Downtime Entry'!M787</f>
        <v/>
      </c>
      <c r="N786" s="47" t="n">
        <f aca="false">'Fault &amp; Downtime Entry'!N787</f>
        <v>0</v>
      </c>
      <c r="O786" s="47" t="n">
        <f aca="false">'Fault &amp; Downtime Entry'!O787</f>
        <v>0</v>
      </c>
      <c r="P786" s="47" t="str">
        <f aca="false">IF(OR(J786="",K786=""),"",IFERROR(J786/K786*1000,0))</f>
        <v/>
      </c>
      <c r="Q786" s="47" t="str">
        <f aca="false">IF(OR(L786="",K786=""),"",IFERROR(L786/K786*1000,0))</f>
        <v/>
      </c>
      <c r="R786" s="47" t="str">
        <f aca="false">IF(OR(M786="High",M786="Critical"),"YES","")</f>
        <v/>
      </c>
    </row>
    <row r="787" customFormat="false" ht="15" hidden="false" customHeight="true" outlineLevel="0" collapsed="false">
      <c r="A787" s="47" t="n">
        <f aca="false">'Fault &amp; Downtime Entry'!A788</f>
        <v>783</v>
      </c>
      <c r="B787" s="48" t="n">
        <f aca="false">'Fault &amp; Downtime Entry'!B788</f>
        <v>0</v>
      </c>
      <c r="C787" s="47" t="n">
        <f aca="false">'Fault &amp; Downtime Entry'!C788</f>
        <v>0</v>
      </c>
      <c r="D787" s="47" t="n">
        <f aca="false">'Fault &amp; Downtime Entry'!D788</f>
        <v>0</v>
      </c>
      <c r="E787" s="47" t="n">
        <f aca="false">'Fault &amp; Downtime Entry'!E788</f>
        <v>0</v>
      </c>
      <c r="F787" s="47" t="str">
        <f aca="false">'Fault &amp; Downtime Entry'!F788</f>
        <v/>
      </c>
      <c r="G787" s="47" t="n">
        <f aca="false">'Fault &amp; Downtime Entry'!G788</f>
        <v>0</v>
      </c>
      <c r="H787" s="47" t="str">
        <f aca="false">'Fault &amp; Downtime Entry'!H788</f>
        <v/>
      </c>
      <c r="I787" s="47" t="str">
        <f aca="false">'Fault &amp; Downtime Entry'!I788</f>
        <v/>
      </c>
      <c r="J787" s="47" t="n">
        <f aca="false">'Fault &amp; Downtime Entry'!J788</f>
        <v>0</v>
      </c>
      <c r="K787" s="47" t="n">
        <f aca="false">'Fault &amp; Downtime Entry'!K788</f>
        <v>0</v>
      </c>
      <c r="L787" s="47" t="n">
        <f aca="false">'Fault &amp; Downtime Entry'!L788</f>
        <v>0</v>
      </c>
      <c r="M787" s="47" t="str">
        <f aca="false">'Fault &amp; Downtime Entry'!M788</f>
        <v/>
      </c>
      <c r="N787" s="47" t="n">
        <f aca="false">'Fault &amp; Downtime Entry'!N788</f>
        <v>0</v>
      </c>
      <c r="O787" s="47" t="n">
        <f aca="false">'Fault &amp; Downtime Entry'!O788</f>
        <v>0</v>
      </c>
      <c r="P787" s="47" t="str">
        <f aca="false">IF(OR(J787="",K787=""),"",IFERROR(J787/K787*1000,0))</f>
        <v/>
      </c>
      <c r="Q787" s="47" t="str">
        <f aca="false">IF(OR(L787="",K787=""),"",IFERROR(L787/K787*1000,0))</f>
        <v/>
      </c>
      <c r="R787" s="47" t="str">
        <f aca="false">IF(OR(M787="High",M787="Critical"),"YES","")</f>
        <v/>
      </c>
    </row>
    <row r="788" customFormat="false" ht="15" hidden="false" customHeight="true" outlineLevel="0" collapsed="false">
      <c r="A788" s="47" t="n">
        <f aca="false">'Fault &amp; Downtime Entry'!A789</f>
        <v>784</v>
      </c>
      <c r="B788" s="48" t="n">
        <f aca="false">'Fault &amp; Downtime Entry'!B789</f>
        <v>0</v>
      </c>
      <c r="C788" s="47" t="n">
        <f aca="false">'Fault &amp; Downtime Entry'!C789</f>
        <v>0</v>
      </c>
      <c r="D788" s="47" t="n">
        <f aca="false">'Fault &amp; Downtime Entry'!D789</f>
        <v>0</v>
      </c>
      <c r="E788" s="47" t="n">
        <f aca="false">'Fault &amp; Downtime Entry'!E789</f>
        <v>0</v>
      </c>
      <c r="F788" s="47" t="str">
        <f aca="false">'Fault &amp; Downtime Entry'!F789</f>
        <v/>
      </c>
      <c r="G788" s="47" t="n">
        <f aca="false">'Fault &amp; Downtime Entry'!G789</f>
        <v>0</v>
      </c>
      <c r="H788" s="47" t="str">
        <f aca="false">'Fault &amp; Downtime Entry'!H789</f>
        <v/>
      </c>
      <c r="I788" s="47" t="str">
        <f aca="false">'Fault &amp; Downtime Entry'!I789</f>
        <v/>
      </c>
      <c r="J788" s="47" t="n">
        <f aca="false">'Fault &amp; Downtime Entry'!J789</f>
        <v>0</v>
      </c>
      <c r="K788" s="47" t="n">
        <f aca="false">'Fault &amp; Downtime Entry'!K789</f>
        <v>0</v>
      </c>
      <c r="L788" s="47" t="n">
        <f aca="false">'Fault &amp; Downtime Entry'!L789</f>
        <v>0</v>
      </c>
      <c r="M788" s="47" t="str">
        <f aca="false">'Fault &amp; Downtime Entry'!M789</f>
        <v/>
      </c>
      <c r="N788" s="47" t="n">
        <f aca="false">'Fault &amp; Downtime Entry'!N789</f>
        <v>0</v>
      </c>
      <c r="O788" s="47" t="n">
        <f aca="false">'Fault &amp; Downtime Entry'!O789</f>
        <v>0</v>
      </c>
      <c r="P788" s="47" t="str">
        <f aca="false">IF(OR(J788="",K788=""),"",IFERROR(J788/K788*1000,0))</f>
        <v/>
      </c>
      <c r="Q788" s="47" t="str">
        <f aca="false">IF(OR(L788="",K788=""),"",IFERROR(L788/K788*1000,0))</f>
        <v/>
      </c>
      <c r="R788" s="47" t="str">
        <f aca="false">IF(OR(M788="High",M788="Critical"),"YES","")</f>
        <v/>
      </c>
    </row>
    <row r="789" customFormat="false" ht="15" hidden="false" customHeight="true" outlineLevel="0" collapsed="false">
      <c r="A789" s="47" t="n">
        <f aca="false">'Fault &amp; Downtime Entry'!A790</f>
        <v>785</v>
      </c>
      <c r="B789" s="48" t="n">
        <f aca="false">'Fault &amp; Downtime Entry'!B790</f>
        <v>0</v>
      </c>
      <c r="C789" s="47" t="n">
        <f aca="false">'Fault &amp; Downtime Entry'!C790</f>
        <v>0</v>
      </c>
      <c r="D789" s="47" t="n">
        <f aca="false">'Fault &amp; Downtime Entry'!D790</f>
        <v>0</v>
      </c>
      <c r="E789" s="47" t="n">
        <f aca="false">'Fault &amp; Downtime Entry'!E790</f>
        <v>0</v>
      </c>
      <c r="F789" s="47" t="str">
        <f aca="false">'Fault &amp; Downtime Entry'!F790</f>
        <v/>
      </c>
      <c r="G789" s="47" t="n">
        <f aca="false">'Fault &amp; Downtime Entry'!G790</f>
        <v>0</v>
      </c>
      <c r="H789" s="47" t="str">
        <f aca="false">'Fault &amp; Downtime Entry'!H790</f>
        <v/>
      </c>
      <c r="I789" s="47" t="str">
        <f aca="false">'Fault &amp; Downtime Entry'!I790</f>
        <v/>
      </c>
      <c r="J789" s="47" t="n">
        <f aca="false">'Fault &amp; Downtime Entry'!J790</f>
        <v>0</v>
      </c>
      <c r="K789" s="47" t="n">
        <f aca="false">'Fault &amp; Downtime Entry'!K790</f>
        <v>0</v>
      </c>
      <c r="L789" s="47" t="n">
        <f aca="false">'Fault &amp; Downtime Entry'!L790</f>
        <v>0</v>
      </c>
      <c r="M789" s="47" t="str">
        <f aca="false">'Fault &amp; Downtime Entry'!M790</f>
        <v/>
      </c>
      <c r="N789" s="47" t="n">
        <f aca="false">'Fault &amp; Downtime Entry'!N790</f>
        <v>0</v>
      </c>
      <c r="O789" s="47" t="n">
        <f aca="false">'Fault &amp; Downtime Entry'!O790</f>
        <v>0</v>
      </c>
      <c r="P789" s="47" t="str">
        <f aca="false">IF(OR(J789="",K789=""),"",IFERROR(J789/K789*1000,0))</f>
        <v/>
      </c>
      <c r="Q789" s="47" t="str">
        <f aca="false">IF(OR(L789="",K789=""),"",IFERROR(L789/K789*1000,0))</f>
        <v/>
      </c>
      <c r="R789" s="47" t="str">
        <f aca="false">IF(OR(M789="High",M789="Critical"),"YES","")</f>
        <v/>
      </c>
    </row>
    <row r="790" customFormat="false" ht="15" hidden="false" customHeight="true" outlineLevel="0" collapsed="false">
      <c r="A790" s="47" t="n">
        <f aca="false">'Fault &amp; Downtime Entry'!A791</f>
        <v>786</v>
      </c>
      <c r="B790" s="48" t="n">
        <f aca="false">'Fault &amp; Downtime Entry'!B791</f>
        <v>0</v>
      </c>
      <c r="C790" s="47" t="n">
        <f aca="false">'Fault &amp; Downtime Entry'!C791</f>
        <v>0</v>
      </c>
      <c r="D790" s="47" t="n">
        <f aca="false">'Fault &amp; Downtime Entry'!D791</f>
        <v>0</v>
      </c>
      <c r="E790" s="47" t="n">
        <f aca="false">'Fault &amp; Downtime Entry'!E791</f>
        <v>0</v>
      </c>
      <c r="F790" s="47" t="str">
        <f aca="false">'Fault &amp; Downtime Entry'!F791</f>
        <v/>
      </c>
      <c r="G790" s="47" t="n">
        <f aca="false">'Fault &amp; Downtime Entry'!G791</f>
        <v>0</v>
      </c>
      <c r="H790" s="47" t="str">
        <f aca="false">'Fault &amp; Downtime Entry'!H791</f>
        <v/>
      </c>
      <c r="I790" s="47" t="str">
        <f aca="false">'Fault &amp; Downtime Entry'!I791</f>
        <v/>
      </c>
      <c r="J790" s="47" t="n">
        <f aca="false">'Fault &amp; Downtime Entry'!J791</f>
        <v>0</v>
      </c>
      <c r="K790" s="47" t="n">
        <f aca="false">'Fault &amp; Downtime Entry'!K791</f>
        <v>0</v>
      </c>
      <c r="L790" s="47" t="n">
        <f aca="false">'Fault &amp; Downtime Entry'!L791</f>
        <v>0</v>
      </c>
      <c r="M790" s="47" t="str">
        <f aca="false">'Fault &amp; Downtime Entry'!M791</f>
        <v/>
      </c>
      <c r="N790" s="47" t="n">
        <f aca="false">'Fault &amp; Downtime Entry'!N791</f>
        <v>0</v>
      </c>
      <c r="O790" s="47" t="n">
        <f aca="false">'Fault &amp; Downtime Entry'!O791</f>
        <v>0</v>
      </c>
      <c r="P790" s="47" t="str">
        <f aca="false">IF(OR(J790="",K790=""),"",IFERROR(J790/K790*1000,0))</f>
        <v/>
      </c>
      <c r="Q790" s="47" t="str">
        <f aca="false">IF(OR(L790="",K790=""),"",IFERROR(L790/K790*1000,0))</f>
        <v/>
      </c>
      <c r="R790" s="47" t="str">
        <f aca="false">IF(OR(M790="High",M790="Critical"),"YES","")</f>
        <v/>
      </c>
    </row>
    <row r="791" customFormat="false" ht="15" hidden="false" customHeight="true" outlineLevel="0" collapsed="false">
      <c r="A791" s="47" t="n">
        <f aca="false">'Fault &amp; Downtime Entry'!A792</f>
        <v>787</v>
      </c>
      <c r="B791" s="48" t="n">
        <f aca="false">'Fault &amp; Downtime Entry'!B792</f>
        <v>0</v>
      </c>
      <c r="C791" s="47" t="n">
        <f aca="false">'Fault &amp; Downtime Entry'!C792</f>
        <v>0</v>
      </c>
      <c r="D791" s="47" t="n">
        <f aca="false">'Fault &amp; Downtime Entry'!D792</f>
        <v>0</v>
      </c>
      <c r="E791" s="47" t="n">
        <f aca="false">'Fault &amp; Downtime Entry'!E792</f>
        <v>0</v>
      </c>
      <c r="F791" s="47" t="str">
        <f aca="false">'Fault &amp; Downtime Entry'!F792</f>
        <v/>
      </c>
      <c r="G791" s="47" t="n">
        <f aca="false">'Fault &amp; Downtime Entry'!G792</f>
        <v>0</v>
      </c>
      <c r="H791" s="47" t="str">
        <f aca="false">'Fault &amp; Downtime Entry'!H792</f>
        <v/>
      </c>
      <c r="I791" s="47" t="str">
        <f aca="false">'Fault &amp; Downtime Entry'!I792</f>
        <v/>
      </c>
      <c r="J791" s="47" t="n">
        <f aca="false">'Fault &amp; Downtime Entry'!J792</f>
        <v>0</v>
      </c>
      <c r="K791" s="47" t="n">
        <f aca="false">'Fault &amp; Downtime Entry'!K792</f>
        <v>0</v>
      </c>
      <c r="L791" s="47" t="n">
        <f aca="false">'Fault &amp; Downtime Entry'!L792</f>
        <v>0</v>
      </c>
      <c r="M791" s="47" t="str">
        <f aca="false">'Fault &amp; Downtime Entry'!M792</f>
        <v/>
      </c>
      <c r="N791" s="47" t="n">
        <f aca="false">'Fault &amp; Downtime Entry'!N792</f>
        <v>0</v>
      </c>
      <c r="O791" s="47" t="n">
        <f aca="false">'Fault &amp; Downtime Entry'!O792</f>
        <v>0</v>
      </c>
      <c r="P791" s="47" t="str">
        <f aca="false">IF(OR(J791="",K791=""),"",IFERROR(J791/K791*1000,0))</f>
        <v/>
      </c>
      <c r="Q791" s="47" t="str">
        <f aca="false">IF(OR(L791="",K791=""),"",IFERROR(L791/K791*1000,0))</f>
        <v/>
      </c>
      <c r="R791" s="47" t="str">
        <f aca="false">IF(OR(M791="High",M791="Critical"),"YES","")</f>
        <v/>
      </c>
    </row>
    <row r="792" customFormat="false" ht="15" hidden="false" customHeight="true" outlineLevel="0" collapsed="false">
      <c r="A792" s="47" t="n">
        <f aca="false">'Fault &amp; Downtime Entry'!A793</f>
        <v>788</v>
      </c>
      <c r="B792" s="48" t="n">
        <f aca="false">'Fault &amp; Downtime Entry'!B793</f>
        <v>0</v>
      </c>
      <c r="C792" s="47" t="n">
        <f aca="false">'Fault &amp; Downtime Entry'!C793</f>
        <v>0</v>
      </c>
      <c r="D792" s="47" t="n">
        <f aca="false">'Fault &amp; Downtime Entry'!D793</f>
        <v>0</v>
      </c>
      <c r="E792" s="47" t="n">
        <f aca="false">'Fault &amp; Downtime Entry'!E793</f>
        <v>0</v>
      </c>
      <c r="F792" s="47" t="str">
        <f aca="false">'Fault &amp; Downtime Entry'!F793</f>
        <v/>
      </c>
      <c r="G792" s="47" t="n">
        <f aca="false">'Fault &amp; Downtime Entry'!G793</f>
        <v>0</v>
      </c>
      <c r="H792" s="47" t="str">
        <f aca="false">'Fault &amp; Downtime Entry'!H793</f>
        <v/>
      </c>
      <c r="I792" s="47" t="str">
        <f aca="false">'Fault &amp; Downtime Entry'!I793</f>
        <v/>
      </c>
      <c r="J792" s="47" t="n">
        <f aca="false">'Fault &amp; Downtime Entry'!J793</f>
        <v>0</v>
      </c>
      <c r="K792" s="47" t="n">
        <f aca="false">'Fault &amp; Downtime Entry'!K793</f>
        <v>0</v>
      </c>
      <c r="L792" s="47" t="n">
        <f aca="false">'Fault &amp; Downtime Entry'!L793</f>
        <v>0</v>
      </c>
      <c r="M792" s="47" t="str">
        <f aca="false">'Fault &amp; Downtime Entry'!M793</f>
        <v/>
      </c>
      <c r="N792" s="47" t="n">
        <f aca="false">'Fault &amp; Downtime Entry'!N793</f>
        <v>0</v>
      </c>
      <c r="O792" s="47" t="n">
        <f aca="false">'Fault &amp; Downtime Entry'!O793</f>
        <v>0</v>
      </c>
      <c r="P792" s="47" t="str">
        <f aca="false">IF(OR(J792="",K792=""),"",IFERROR(J792/K792*1000,0))</f>
        <v/>
      </c>
      <c r="Q792" s="47" t="str">
        <f aca="false">IF(OR(L792="",K792=""),"",IFERROR(L792/K792*1000,0))</f>
        <v/>
      </c>
      <c r="R792" s="47" t="str">
        <f aca="false">IF(OR(M792="High",M792="Critical"),"YES","")</f>
        <v/>
      </c>
    </row>
    <row r="793" customFormat="false" ht="15" hidden="false" customHeight="true" outlineLevel="0" collapsed="false">
      <c r="A793" s="47" t="n">
        <f aca="false">'Fault &amp; Downtime Entry'!A794</f>
        <v>789</v>
      </c>
      <c r="B793" s="48" t="n">
        <f aca="false">'Fault &amp; Downtime Entry'!B794</f>
        <v>0</v>
      </c>
      <c r="C793" s="47" t="n">
        <f aca="false">'Fault &amp; Downtime Entry'!C794</f>
        <v>0</v>
      </c>
      <c r="D793" s="47" t="n">
        <f aca="false">'Fault &amp; Downtime Entry'!D794</f>
        <v>0</v>
      </c>
      <c r="E793" s="47" t="n">
        <f aca="false">'Fault &amp; Downtime Entry'!E794</f>
        <v>0</v>
      </c>
      <c r="F793" s="47" t="str">
        <f aca="false">'Fault &amp; Downtime Entry'!F794</f>
        <v/>
      </c>
      <c r="G793" s="47" t="n">
        <f aca="false">'Fault &amp; Downtime Entry'!G794</f>
        <v>0</v>
      </c>
      <c r="H793" s="47" t="str">
        <f aca="false">'Fault &amp; Downtime Entry'!H794</f>
        <v/>
      </c>
      <c r="I793" s="47" t="str">
        <f aca="false">'Fault &amp; Downtime Entry'!I794</f>
        <v/>
      </c>
      <c r="J793" s="47" t="n">
        <f aca="false">'Fault &amp; Downtime Entry'!J794</f>
        <v>0</v>
      </c>
      <c r="K793" s="47" t="n">
        <f aca="false">'Fault &amp; Downtime Entry'!K794</f>
        <v>0</v>
      </c>
      <c r="L793" s="47" t="n">
        <f aca="false">'Fault &amp; Downtime Entry'!L794</f>
        <v>0</v>
      </c>
      <c r="M793" s="47" t="str">
        <f aca="false">'Fault &amp; Downtime Entry'!M794</f>
        <v/>
      </c>
      <c r="N793" s="47" t="n">
        <f aca="false">'Fault &amp; Downtime Entry'!N794</f>
        <v>0</v>
      </c>
      <c r="O793" s="47" t="n">
        <f aca="false">'Fault &amp; Downtime Entry'!O794</f>
        <v>0</v>
      </c>
      <c r="P793" s="47" t="str">
        <f aca="false">IF(OR(J793="",K793=""),"",IFERROR(J793/K793*1000,0))</f>
        <v/>
      </c>
      <c r="Q793" s="47" t="str">
        <f aca="false">IF(OR(L793="",K793=""),"",IFERROR(L793/K793*1000,0))</f>
        <v/>
      </c>
      <c r="R793" s="47" t="str">
        <f aca="false">IF(OR(M793="High",M793="Critical"),"YES","")</f>
        <v/>
      </c>
    </row>
    <row r="794" customFormat="false" ht="15" hidden="false" customHeight="true" outlineLevel="0" collapsed="false">
      <c r="A794" s="47" t="n">
        <f aca="false">'Fault &amp; Downtime Entry'!A795</f>
        <v>790</v>
      </c>
      <c r="B794" s="48" t="n">
        <f aca="false">'Fault &amp; Downtime Entry'!B795</f>
        <v>0</v>
      </c>
      <c r="C794" s="47" t="n">
        <f aca="false">'Fault &amp; Downtime Entry'!C795</f>
        <v>0</v>
      </c>
      <c r="D794" s="47" t="n">
        <f aca="false">'Fault &amp; Downtime Entry'!D795</f>
        <v>0</v>
      </c>
      <c r="E794" s="47" t="n">
        <f aca="false">'Fault &amp; Downtime Entry'!E795</f>
        <v>0</v>
      </c>
      <c r="F794" s="47" t="str">
        <f aca="false">'Fault &amp; Downtime Entry'!F795</f>
        <v/>
      </c>
      <c r="G794" s="47" t="n">
        <f aca="false">'Fault &amp; Downtime Entry'!G795</f>
        <v>0</v>
      </c>
      <c r="H794" s="47" t="str">
        <f aca="false">'Fault &amp; Downtime Entry'!H795</f>
        <v/>
      </c>
      <c r="I794" s="47" t="str">
        <f aca="false">'Fault &amp; Downtime Entry'!I795</f>
        <v/>
      </c>
      <c r="J794" s="47" t="n">
        <f aca="false">'Fault &amp; Downtime Entry'!J795</f>
        <v>0</v>
      </c>
      <c r="K794" s="47" t="n">
        <f aca="false">'Fault &amp; Downtime Entry'!K795</f>
        <v>0</v>
      </c>
      <c r="L794" s="47" t="n">
        <f aca="false">'Fault &amp; Downtime Entry'!L795</f>
        <v>0</v>
      </c>
      <c r="M794" s="47" t="str">
        <f aca="false">'Fault &amp; Downtime Entry'!M795</f>
        <v/>
      </c>
      <c r="N794" s="47" t="n">
        <f aca="false">'Fault &amp; Downtime Entry'!N795</f>
        <v>0</v>
      </c>
      <c r="O794" s="47" t="n">
        <f aca="false">'Fault &amp; Downtime Entry'!O795</f>
        <v>0</v>
      </c>
      <c r="P794" s="47" t="str">
        <f aca="false">IF(OR(J794="",K794=""),"",IFERROR(J794/K794*1000,0))</f>
        <v/>
      </c>
      <c r="Q794" s="47" t="str">
        <f aca="false">IF(OR(L794="",K794=""),"",IFERROR(L794/K794*1000,0))</f>
        <v/>
      </c>
      <c r="R794" s="47" t="str">
        <f aca="false">IF(OR(M794="High",M794="Critical"),"YES","")</f>
        <v/>
      </c>
    </row>
    <row r="795" customFormat="false" ht="15" hidden="false" customHeight="true" outlineLevel="0" collapsed="false">
      <c r="A795" s="47" t="n">
        <f aca="false">'Fault &amp; Downtime Entry'!A796</f>
        <v>791</v>
      </c>
      <c r="B795" s="48" t="n">
        <f aca="false">'Fault &amp; Downtime Entry'!B796</f>
        <v>0</v>
      </c>
      <c r="C795" s="47" t="n">
        <f aca="false">'Fault &amp; Downtime Entry'!C796</f>
        <v>0</v>
      </c>
      <c r="D795" s="47" t="n">
        <f aca="false">'Fault &amp; Downtime Entry'!D796</f>
        <v>0</v>
      </c>
      <c r="E795" s="47" t="n">
        <f aca="false">'Fault &amp; Downtime Entry'!E796</f>
        <v>0</v>
      </c>
      <c r="F795" s="47" t="str">
        <f aca="false">'Fault &amp; Downtime Entry'!F796</f>
        <v/>
      </c>
      <c r="G795" s="47" t="n">
        <f aca="false">'Fault &amp; Downtime Entry'!G796</f>
        <v>0</v>
      </c>
      <c r="H795" s="47" t="str">
        <f aca="false">'Fault &amp; Downtime Entry'!H796</f>
        <v/>
      </c>
      <c r="I795" s="47" t="str">
        <f aca="false">'Fault &amp; Downtime Entry'!I796</f>
        <v/>
      </c>
      <c r="J795" s="47" t="n">
        <f aca="false">'Fault &amp; Downtime Entry'!J796</f>
        <v>0</v>
      </c>
      <c r="K795" s="47" t="n">
        <f aca="false">'Fault &amp; Downtime Entry'!K796</f>
        <v>0</v>
      </c>
      <c r="L795" s="47" t="n">
        <f aca="false">'Fault &amp; Downtime Entry'!L796</f>
        <v>0</v>
      </c>
      <c r="M795" s="47" t="str">
        <f aca="false">'Fault &amp; Downtime Entry'!M796</f>
        <v/>
      </c>
      <c r="N795" s="47" t="n">
        <f aca="false">'Fault &amp; Downtime Entry'!N796</f>
        <v>0</v>
      </c>
      <c r="O795" s="47" t="n">
        <f aca="false">'Fault &amp; Downtime Entry'!O796</f>
        <v>0</v>
      </c>
      <c r="P795" s="47" t="str">
        <f aca="false">IF(OR(J795="",K795=""),"",IFERROR(J795/K795*1000,0))</f>
        <v/>
      </c>
      <c r="Q795" s="47" t="str">
        <f aca="false">IF(OR(L795="",K795=""),"",IFERROR(L795/K795*1000,0))</f>
        <v/>
      </c>
      <c r="R795" s="47" t="str">
        <f aca="false">IF(OR(M795="High",M795="Critical"),"YES","")</f>
        <v/>
      </c>
    </row>
    <row r="796" customFormat="false" ht="15" hidden="false" customHeight="true" outlineLevel="0" collapsed="false">
      <c r="A796" s="47" t="n">
        <f aca="false">'Fault &amp; Downtime Entry'!A797</f>
        <v>792</v>
      </c>
      <c r="B796" s="48" t="n">
        <f aca="false">'Fault &amp; Downtime Entry'!B797</f>
        <v>0</v>
      </c>
      <c r="C796" s="47" t="n">
        <f aca="false">'Fault &amp; Downtime Entry'!C797</f>
        <v>0</v>
      </c>
      <c r="D796" s="47" t="n">
        <f aca="false">'Fault &amp; Downtime Entry'!D797</f>
        <v>0</v>
      </c>
      <c r="E796" s="47" t="n">
        <f aca="false">'Fault &amp; Downtime Entry'!E797</f>
        <v>0</v>
      </c>
      <c r="F796" s="47" t="str">
        <f aca="false">'Fault &amp; Downtime Entry'!F797</f>
        <v/>
      </c>
      <c r="G796" s="47" t="n">
        <f aca="false">'Fault &amp; Downtime Entry'!G797</f>
        <v>0</v>
      </c>
      <c r="H796" s="47" t="str">
        <f aca="false">'Fault &amp; Downtime Entry'!H797</f>
        <v/>
      </c>
      <c r="I796" s="47" t="str">
        <f aca="false">'Fault &amp; Downtime Entry'!I797</f>
        <v/>
      </c>
      <c r="J796" s="47" t="n">
        <f aca="false">'Fault &amp; Downtime Entry'!J797</f>
        <v>0</v>
      </c>
      <c r="K796" s="47" t="n">
        <f aca="false">'Fault &amp; Downtime Entry'!K797</f>
        <v>0</v>
      </c>
      <c r="L796" s="47" t="n">
        <f aca="false">'Fault &amp; Downtime Entry'!L797</f>
        <v>0</v>
      </c>
      <c r="M796" s="47" t="str">
        <f aca="false">'Fault &amp; Downtime Entry'!M797</f>
        <v/>
      </c>
      <c r="N796" s="47" t="n">
        <f aca="false">'Fault &amp; Downtime Entry'!N797</f>
        <v>0</v>
      </c>
      <c r="O796" s="47" t="n">
        <f aca="false">'Fault &amp; Downtime Entry'!O797</f>
        <v>0</v>
      </c>
      <c r="P796" s="47" t="str">
        <f aca="false">IF(OR(J796="",K796=""),"",IFERROR(J796/K796*1000,0))</f>
        <v/>
      </c>
      <c r="Q796" s="47" t="str">
        <f aca="false">IF(OR(L796="",K796=""),"",IFERROR(L796/K796*1000,0))</f>
        <v/>
      </c>
      <c r="R796" s="47" t="str">
        <f aca="false">IF(OR(M796="High",M796="Critical"),"YES","")</f>
        <v/>
      </c>
    </row>
    <row r="797" customFormat="false" ht="15" hidden="false" customHeight="true" outlineLevel="0" collapsed="false">
      <c r="A797" s="47" t="n">
        <f aca="false">'Fault &amp; Downtime Entry'!A798</f>
        <v>793</v>
      </c>
      <c r="B797" s="48" t="n">
        <f aca="false">'Fault &amp; Downtime Entry'!B798</f>
        <v>0</v>
      </c>
      <c r="C797" s="47" t="n">
        <f aca="false">'Fault &amp; Downtime Entry'!C798</f>
        <v>0</v>
      </c>
      <c r="D797" s="47" t="n">
        <f aca="false">'Fault &amp; Downtime Entry'!D798</f>
        <v>0</v>
      </c>
      <c r="E797" s="47" t="n">
        <f aca="false">'Fault &amp; Downtime Entry'!E798</f>
        <v>0</v>
      </c>
      <c r="F797" s="47" t="str">
        <f aca="false">'Fault &amp; Downtime Entry'!F798</f>
        <v/>
      </c>
      <c r="G797" s="47" t="n">
        <f aca="false">'Fault &amp; Downtime Entry'!G798</f>
        <v>0</v>
      </c>
      <c r="H797" s="47" t="str">
        <f aca="false">'Fault &amp; Downtime Entry'!H798</f>
        <v/>
      </c>
      <c r="I797" s="47" t="str">
        <f aca="false">'Fault &amp; Downtime Entry'!I798</f>
        <v/>
      </c>
      <c r="J797" s="47" t="n">
        <f aca="false">'Fault &amp; Downtime Entry'!J798</f>
        <v>0</v>
      </c>
      <c r="K797" s="47" t="n">
        <f aca="false">'Fault &amp; Downtime Entry'!K798</f>
        <v>0</v>
      </c>
      <c r="L797" s="47" t="n">
        <f aca="false">'Fault &amp; Downtime Entry'!L798</f>
        <v>0</v>
      </c>
      <c r="M797" s="47" t="str">
        <f aca="false">'Fault &amp; Downtime Entry'!M798</f>
        <v/>
      </c>
      <c r="N797" s="47" t="n">
        <f aca="false">'Fault &amp; Downtime Entry'!N798</f>
        <v>0</v>
      </c>
      <c r="O797" s="47" t="n">
        <f aca="false">'Fault &amp; Downtime Entry'!O798</f>
        <v>0</v>
      </c>
      <c r="P797" s="47" t="str">
        <f aca="false">IF(OR(J797="",K797=""),"",IFERROR(J797/K797*1000,0))</f>
        <v/>
      </c>
      <c r="Q797" s="47" t="str">
        <f aca="false">IF(OR(L797="",K797=""),"",IFERROR(L797/K797*1000,0))</f>
        <v/>
      </c>
      <c r="R797" s="47" t="str">
        <f aca="false">IF(OR(M797="High",M797="Critical"),"YES","")</f>
        <v/>
      </c>
    </row>
    <row r="798" customFormat="false" ht="15" hidden="false" customHeight="true" outlineLevel="0" collapsed="false">
      <c r="A798" s="47" t="n">
        <f aca="false">'Fault &amp; Downtime Entry'!A799</f>
        <v>794</v>
      </c>
      <c r="B798" s="48" t="n">
        <f aca="false">'Fault &amp; Downtime Entry'!B799</f>
        <v>0</v>
      </c>
      <c r="C798" s="47" t="n">
        <f aca="false">'Fault &amp; Downtime Entry'!C799</f>
        <v>0</v>
      </c>
      <c r="D798" s="47" t="n">
        <f aca="false">'Fault &amp; Downtime Entry'!D799</f>
        <v>0</v>
      </c>
      <c r="E798" s="47" t="n">
        <f aca="false">'Fault &amp; Downtime Entry'!E799</f>
        <v>0</v>
      </c>
      <c r="F798" s="47" t="str">
        <f aca="false">'Fault &amp; Downtime Entry'!F799</f>
        <v/>
      </c>
      <c r="G798" s="47" t="n">
        <f aca="false">'Fault &amp; Downtime Entry'!G799</f>
        <v>0</v>
      </c>
      <c r="H798" s="47" t="str">
        <f aca="false">'Fault &amp; Downtime Entry'!H799</f>
        <v/>
      </c>
      <c r="I798" s="47" t="str">
        <f aca="false">'Fault &amp; Downtime Entry'!I799</f>
        <v/>
      </c>
      <c r="J798" s="47" t="n">
        <f aca="false">'Fault &amp; Downtime Entry'!J799</f>
        <v>0</v>
      </c>
      <c r="K798" s="47" t="n">
        <f aca="false">'Fault &amp; Downtime Entry'!K799</f>
        <v>0</v>
      </c>
      <c r="L798" s="47" t="n">
        <f aca="false">'Fault &amp; Downtime Entry'!L799</f>
        <v>0</v>
      </c>
      <c r="M798" s="47" t="str">
        <f aca="false">'Fault &amp; Downtime Entry'!M799</f>
        <v/>
      </c>
      <c r="N798" s="47" t="n">
        <f aca="false">'Fault &amp; Downtime Entry'!N799</f>
        <v>0</v>
      </c>
      <c r="O798" s="47" t="n">
        <f aca="false">'Fault &amp; Downtime Entry'!O799</f>
        <v>0</v>
      </c>
      <c r="P798" s="47" t="str">
        <f aca="false">IF(OR(J798="",K798=""),"",IFERROR(J798/K798*1000,0))</f>
        <v/>
      </c>
      <c r="Q798" s="47" t="str">
        <f aca="false">IF(OR(L798="",K798=""),"",IFERROR(L798/K798*1000,0))</f>
        <v/>
      </c>
      <c r="R798" s="47" t="str">
        <f aca="false">IF(OR(M798="High",M798="Critical"),"YES","")</f>
        <v/>
      </c>
    </row>
    <row r="799" customFormat="false" ht="15" hidden="false" customHeight="true" outlineLevel="0" collapsed="false">
      <c r="A799" s="47" t="n">
        <f aca="false">'Fault &amp; Downtime Entry'!A800</f>
        <v>795</v>
      </c>
      <c r="B799" s="48" t="n">
        <f aca="false">'Fault &amp; Downtime Entry'!B800</f>
        <v>0</v>
      </c>
      <c r="C799" s="47" t="n">
        <f aca="false">'Fault &amp; Downtime Entry'!C800</f>
        <v>0</v>
      </c>
      <c r="D799" s="47" t="n">
        <f aca="false">'Fault &amp; Downtime Entry'!D800</f>
        <v>0</v>
      </c>
      <c r="E799" s="47" t="n">
        <f aca="false">'Fault &amp; Downtime Entry'!E800</f>
        <v>0</v>
      </c>
      <c r="F799" s="47" t="str">
        <f aca="false">'Fault &amp; Downtime Entry'!F800</f>
        <v/>
      </c>
      <c r="G799" s="47" t="n">
        <f aca="false">'Fault &amp; Downtime Entry'!G800</f>
        <v>0</v>
      </c>
      <c r="H799" s="47" t="str">
        <f aca="false">'Fault &amp; Downtime Entry'!H800</f>
        <v/>
      </c>
      <c r="I799" s="47" t="str">
        <f aca="false">'Fault &amp; Downtime Entry'!I800</f>
        <v/>
      </c>
      <c r="J799" s="47" t="n">
        <f aca="false">'Fault &amp; Downtime Entry'!J800</f>
        <v>0</v>
      </c>
      <c r="K799" s="47" t="n">
        <f aca="false">'Fault &amp; Downtime Entry'!K800</f>
        <v>0</v>
      </c>
      <c r="L799" s="47" t="n">
        <f aca="false">'Fault &amp; Downtime Entry'!L800</f>
        <v>0</v>
      </c>
      <c r="M799" s="47" t="str">
        <f aca="false">'Fault &amp; Downtime Entry'!M800</f>
        <v/>
      </c>
      <c r="N799" s="47" t="n">
        <f aca="false">'Fault &amp; Downtime Entry'!N800</f>
        <v>0</v>
      </c>
      <c r="O799" s="47" t="n">
        <f aca="false">'Fault &amp; Downtime Entry'!O800</f>
        <v>0</v>
      </c>
      <c r="P799" s="47" t="str">
        <f aca="false">IF(OR(J799="",K799=""),"",IFERROR(J799/K799*1000,0))</f>
        <v/>
      </c>
      <c r="Q799" s="47" t="str">
        <f aca="false">IF(OR(L799="",K799=""),"",IFERROR(L799/K799*1000,0))</f>
        <v/>
      </c>
      <c r="R799" s="47" t="str">
        <f aca="false">IF(OR(M799="High",M799="Critical"),"YES","")</f>
        <v/>
      </c>
    </row>
    <row r="800" customFormat="false" ht="15" hidden="false" customHeight="true" outlineLevel="0" collapsed="false">
      <c r="A800" s="47" t="n">
        <f aca="false">'Fault &amp; Downtime Entry'!A801</f>
        <v>796</v>
      </c>
      <c r="B800" s="48" t="n">
        <f aca="false">'Fault &amp; Downtime Entry'!B801</f>
        <v>0</v>
      </c>
      <c r="C800" s="47" t="n">
        <f aca="false">'Fault &amp; Downtime Entry'!C801</f>
        <v>0</v>
      </c>
      <c r="D800" s="47" t="n">
        <f aca="false">'Fault &amp; Downtime Entry'!D801</f>
        <v>0</v>
      </c>
      <c r="E800" s="47" t="n">
        <f aca="false">'Fault &amp; Downtime Entry'!E801</f>
        <v>0</v>
      </c>
      <c r="F800" s="47" t="str">
        <f aca="false">'Fault &amp; Downtime Entry'!F801</f>
        <v/>
      </c>
      <c r="G800" s="47" t="n">
        <f aca="false">'Fault &amp; Downtime Entry'!G801</f>
        <v>0</v>
      </c>
      <c r="H800" s="47" t="str">
        <f aca="false">'Fault &amp; Downtime Entry'!H801</f>
        <v/>
      </c>
      <c r="I800" s="47" t="str">
        <f aca="false">'Fault &amp; Downtime Entry'!I801</f>
        <v/>
      </c>
      <c r="J800" s="47" t="n">
        <f aca="false">'Fault &amp; Downtime Entry'!J801</f>
        <v>0</v>
      </c>
      <c r="K800" s="47" t="n">
        <f aca="false">'Fault &amp; Downtime Entry'!K801</f>
        <v>0</v>
      </c>
      <c r="L800" s="47" t="n">
        <f aca="false">'Fault &amp; Downtime Entry'!L801</f>
        <v>0</v>
      </c>
      <c r="M800" s="47" t="str">
        <f aca="false">'Fault &amp; Downtime Entry'!M801</f>
        <v/>
      </c>
      <c r="N800" s="47" t="n">
        <f aca="false">'Fault &amp; Downtime Entry'!N801</f>
        <v>0</v>
      </c>
      <c r="O800" s="47" t="n">
        <f aca="false">'Fault &amp; Downtime Entry'!O801</f>
        <v>0</v>
      </c>
      <c r="P800" s="47" t="str">
        <f aca="false">IF(OR(J800="",K800=""),"",IFERROR(J800/K800*1000,0))</f>
        <v/>
      </c>
      <c r="Q800" s="47" t="str">
        <f aca="false">IF(OR(L800="",K800=""),"",IFERROR(L800/K800*1000,0))</f>
        <v/>
      </c>
      <c r="R800" s="47" t="str">
        <f aca="false">IF(OR(M800="High",M800="Critical"),"YES","")</f>
        <v/>
      </c>
    </row>
    <row r="801" customFormat="false" ht="15" hidden="false" customHeight="true" outlineLevel="0" collapsed="false">
      <c r="A801" s="47" t="n">
        <f aca="false">'Fault &amp; Downtime Entry'!A802</f>
        <v>797</v>
      </c>
      <c r="B801" s="48" t="n">
        <f aca="false">'Fault &amp; Downtime Entry'!B802</f>
        <v>0</v>
      </c>
      <c r="C801" s="47" t="n">
        <f aca="false">'Fault &amp; Downtime Entry'!C802</f>
        <v>0</v>
      </c>
      <c r="D801" s="47" t="n">
        <f aca="false">'Fault &amp; Downtime Entry'!D802</f>
        <v>0</v>
      </c>
      <c r="E801" s="47" t="n">
        <f aca="false">'Fault &amp; Downtime Entry'!E802</f>
        <v>0</v>
      </c>
      <c r="F801" s="47" t="str">
        <f aca="false">'Fault &amp; Downtime Entry'!F802</f>
        <v/>
      </c>
      <c r="G801" s="47" t="n">
        <f aca="false">'Fault &amp; Downtime Entry'!G802</f>
        <v>0</v>
      </c>
      <c r="H801" s="47" t="str">
        <f aca="false">'Fault &amp; Downtime Entry'!H802</f>
        <v/>
      </c>
      <c r="I801" s="47" t="str">
        <f aca="false">'Fault &amp; Downtime Entry'!I802</f>
        <v/>
      </c>
      <c r="J801" s="47" t="n">
        <f aca="false">'Fault &amp; Downtime Entry'!J802</f>
        <v>0</v>
      </c>
      <c r="K801" s="47" t="n">
        <f aca="false">'Fault &amp; Downtime Entry'!K802</f>
        <v>0</v>
      </c>
      <c r="L801" s="47" t="n">
        <f aca="false">'Fault &amp; Downtime Entry'!L802</f>
        <v>0</v>
      </c>
      <c r="M801" s="47" t="str">
        <f aca="false">'Fault &amp; Downtime Entry'!M802</f>
        <v/>
      </c>
      <c r="N801" s="47" t="n">
        <f aca="false">'Fault &amp; Downtime Entry'!N802</f>
        <v>0</v>
      </c>
      <c r="O801" s="47" t="n">
        <f aca="false">'Fault &amp; Downtime Entry'!O802</f>
        <v>0</v>
      </c>
      <c r="P801" s="47" t="str">
        <f aca="false">IF(OR(J801="",K801=""),"",IFERROR(J801/K801*1000,0))</f>
        <v/>
      </c>
      <c r="Q801" s="47" t="str">
        <f aca="false">IF(OR(L801="",K801=""),"",IFERROR(L801/K801*1000,0))</f>
        <v/>
      </c>
      <c r="R801" s="47" t="str">
        <f aca="false">IF(OR(M801="High",M801="Critical"),"YES","")</f>
        <v/>
      </c>
    </row>
    <row r="802" customFormat="false" ht="15" hidden="false" customHeight="true" outlineLevel="0" collapsed="false">
      <c r="A802" s="47" t="n">
        <f aca="false">'Fault &amp; Downtime Entry'!A803</f>
        <v>798</v>
      </c>
      <c r="B802" s="48" t="n">
        <f aca="false">'Fault &amp; Downtime Entry'!B803</f>
        <v>0</v>
      </c>
      <c r="C802" s="47" t="n">
        <f aca="false">'Fault &amp; Downtime Entry'!C803</f>
        <v>0</v>
      </c>
      <c r="D802" s="47" t="n">
        <f aca="false">'Fault &amp; Downtime Entry'!D803</f>
        <v>0</v>
      </c>
      <c r="E802" s="47" t="n">
        <f aca="false">'Fault &amp; Downtime Entry'!E803</f>
        <v>0</v>
      </c>
      <c r="F802" s="47" t="str">
        <f aca="false">'Fault &amp; Downtime Entry'!F803</f>
        <v/>
      </c>
      <c r="G802" s="47" t="n">
        <f aca="false">'Fault &amp; Downtime Entry'!G803</f>
        <v>0</v>
      </c>
      <c r="H802" s="47" t="str">
        <f aca="false">'Fault &amp; Downtime Entry'!H803</f>
        <v/>
      </c>
      <c r="I802" s="47" t="str">
        <f aca="false">'Fault &amp; Downtime Entry'!I803</f>
        <v/>
      </c>
      <c r="J802" s="47" t="n">
        <f aca="false">'Fault &amp; Downtime Entry'!J803</f>
        <v>0</v>
      </c>
      <c r="K802" s="47" t="n">
        <f aca="false">'Fault &amp; Downtime Entry'!K803</f>
        <v>0</v>
      </c>
      <c r="L802" s="47" t="n">
        <f aca="false">'Fault &amp; Downtime Entry'!L803</f>
        <v>0</v>
      </c>
      <c r="M802" s="47" t="str">
        <f aca="false">'Fault &amp; Downtime Entry'!M803</f>
        <v/>
      </c>
      <c r="N802" s="47" t="n">
        <f aca="false">'Fault &amp; Downtime Entry'!N803</f>
        <v>0</v>
      </c>
      <c r="O802" s="47" t="n">
        <f aca="false">'Fault &amp; Downtime Entry'!O803</f>
        <v>0</v>
      </c>
      <c r="P802" s="47" t="str">
        <f aca="false">IF(OR(J802="",K802=""),"",IFERROR(J802/K802*1000,0))</f>
        <v/>
      </c>
      <c r="Q802" s="47" t="str">
        <f aca="false">IF(OR(L802="",K802=""),"",IFERROR(L802/K802*1000,0))</f>
        <v/>
      </c>
      <c r="R802" s="47" t="str">
        <f aca="false">IF(OR(M802="High",M802="Critical"),"YES","")</f>
        <v/>
      </c>
    </row>
    <row r="803" customFormat="false" ht="15" hidden="false" customHeight="true" outlineLevel="0" collapsed="false">
      <c r="A803" s="47" t="n">
        <f aca="false">'Fault &amp; Downtime Entry'!A804</f>
        <v>799</v>
      </c>
      <c r="B803" s="48" t="n">
        <f aca="false">'Fault &amp; Downtime Entry'!B804</f>
        <v>0</v>
      </c>
      <c r="C803" s="47" t="n">
        <f aca="false">'Fault &amp; Downtime Entry'!C804</f>
        <v>0</v>
      </c>
      <c r="D803" s="47" t="n">
        <f aca="false">'Fault &amp; Downtime Entry'!D804</f>
        <v>0</v>
      </c>
      <c r="E803" s="47" t="n">
        <f aca="false">'Fault &amp; Downtime Entry'!E804</f>
        <v>0</v>
      </c>
      <c r="F803" s="47" t="str">
        <f aca="false">'Fault &amp; Downtime Entry'!F804</f>
        <v/>
      </c>
      <c r="G803" s="47" t="n">
        <f aca="false">'Fault &amp; Downtime Entry'!G804</f>
        <v>0</v>
      </c>
      <c r="H803" s="47" t="str">
        <f aca="false">'Fault &amp; Downtime Entry'!H804</f>
        <v/>
      </c>
      <c r="I803" s="47" t="str">
        <f aca="false">'Fault &amp; Downtime Entry'!I804</f>
        <v/>
      </c>
      <c r="J803" s="47" t="n">
        <f aca="false">'Fault &amp; Downtime Entry'!J804</f>
        <v>0</v>
      </c>
      <c r="K803" s="47" t="n">
        <f aca="false">'Fault &amp; Downtime Entry'!K804</f>
        <v>0</v>
      </c>
      <c r="L803" s="47" t="n">
        <f aca="false">'Fault &amp; Downtime Entry'!L804</f>
        <v>0</v>
      </c>
      <c r="M803" s="47" t="str">
        <f aca="false">'Fault &amp; Downtime Entry'!M804</f>
        <v/>
      </c>
      <c r="N803" s="47" t="n">
        <f aca="false">'Fault &amp; Downtime Entry'!N804</f>
        <v>0</v>
      </c>
      <c r="O803" s="47" t="n">
        <f aca="false">'Fault &amp; Downtime Entry'!O804</f>
        <v>0</v>
      </c>
      <c r="P803" s="47" t="str">
        <f aca="false">IF(OR(J803="",K803=""),"",IFERROR(J803/K803*1000,0))</f>
        <v/>
      </c>
      <c r="Q803" s="47" t="str">
        <f aca="false">IF(OR(L803="",K803=""),"",IFERROR(L803/K803*1000,0))</f>
        <v/>
      </c>
      <c r="R803" s="47" t="str">
        <f aca="false">IF(OR(M803="High",M803="Critical"),"YES","")</f>
        <v/>
      </c>
    </row>
    <row r="804" customFormat="false" ht="15" hidden="false" customHeight="true" outlineLevel="0" collapsed="false">
      <c r="A804" s="47" t="n">
        <f aca="false">'Fault &amp; Downtime Entry'!A805</f>
        <v>800</v>
      </c>
      <c r="B804" s="48" t="n">
        <f aca="false">'Fault &amp; Downtime Entry'!B805</f>
        <v>0</v>
      </c>
      <c r="C804" s="47" t="n">
        <f aca="false">'Fault &amp; Downtime Entry'!C805</f>
        <v>0</v>
      </c>
      <c r="D804" s="47" t="n">
        <f aca="false">'Fault &amp; Downtime Entry'!D805</f>
        <v>0</v>
      </c>
      <c r="E804" s="47" t="n">
        <f aca="false">'Fault &amp; Downtime Entry'!E805</f>
        <v>0</v>
      </c>
      <c r="F804" s="47" t="str">
        <f aca="false">'Fault &amp; Downtime Entry'!F805</f>
        <v/>
      </c>
      <c r="G804" s="47" t="n">
        <f aca="false">'Fault &amp; Downtime Entry'!G805</f>
        <v>0</v>
      </c>
      <c r="H804" s="47" t="str">
        <f aca="false">'Fault &amp; Downtime Entry'!H805</f>
        <v/>
      </c>
      <c r="I804" s="47" t="str">
        <f aca="false">'Fault &amp; Downtime Entry'!I805</f>
        <v/>
      </c>
      <c r="J804" s="47" t="n">
        <f aca="false">'Fault &amp; Downtime Entry'!J805</f>
        <v>0</v>
      </c>
      <c r="K804" s="47" t="n">
        <f aca="false">'Fault &amp; Downtime Entry'!K805</f>
        <v>0</v>
      </c>
      <c r="L804" s="47" t="n">
        <f aca="false">'Fault &amp; Downtime Entry'!L805</f>
        <v>0</v>
      </c>
      <c r="M804" s="47" t="str">
        <f aca="false">'Fault &amp; Downtime Entry'!M805</f>
        <v/>
      </c>
      <c r="N804" s="47" t="n">
        <f aca="false">'Fault &amp; Downtime Entry'!N805</f>
        <v>0</v>
      </c>
      <c r="O804" s="47" t="n">
        <f aca="false">'Fault &amp; Downtime Entry'!O805</f>
        <v>0</v>
      </c>
      <c r="P804" s="47" t="str">
        <f aca="false">IF(OR(J804="",K804=""),"",IFERROR(J804/K804*1000,0))</f>
        <v/>
      </c>
      <c r="Q804" s="47" t="str">
        <f aca="false">IF(OR(L804="",K804=""),"",IFERROR(L804/K804*1000,0))</f>
        <v/>
      </c>
      <c r="R804" s="47" t="str">
        <f aca="false">IF(OR(M804="High",M804="Critical"),"YES","")</f>
        <v/>
      </c>
    </row>
    <row r="805" customFormat="false" ht="15" hidden="false" customHeight="true" outlineLevel="0" collapsed="false">
      <c r="A805" s="47" t="n">
        <f aca="false">'Fault &amp; Downtime Entry'!A806</f>
        <v>801</v>
      </c>
      <c r="B805" s="48" t="n">
        <f aca="false">'Fault &amp; Downtime Entry'!B806</f>
        <v>0</v>
      </c>
      <c r="C805" s="47" t="n">
        <f aca="false">'Fault &amp; Downtime Entry'!C806</f>
        <v>0</v>
      </c>
      <c r="D805" s="47" t="n">
        <f aca="false">'Fault &amp; Downtime Entry'!D806</f>
        <v>0</v>
      </c>
      <c r="E805" s="47" t="n">
        <f aca="false">'Fault &amp; Downtime Entry'!E806</f>
        <v>0</v>
      </c>
      <c r="F805" s="47" t="str">
        <f aca="false">'Fault &amp; Downtime Entry'!F806</f>
        <v/>
      </c>
      <c r="G805" s="47" t="n">
        <f aca="false">'Fault &amp; Downtime Entry'!G806</f>
        <v>0</v>
      </c>
      <c r="H805" s="47" t="str">
        <f aca="false">'Fault &amp; Downtime Entry'!H806</f>
        <v/>
      </c>
      <c r="I805" s="47" t="str">
        <f aca="false">'Fault &amp; Downtime Entry'!I806</f>
        <v/>
      </c>
      <c r="J805" s="47" t="n">
        <f aca="false">'Fault &amp; Downtime Entry'!J806</f>
        <v>0</v>
      </c>
      <c r="K805" s="47" t="n">
        <f aca="false">'Fault &amp; Downtime Entry'!K806</f>
        <v>0</v>
      </c>
      <c r="L805" s="47" t="n">
        <f aca="false">'Fault &amp; Downtime Entry'!L806</f>
        <v>0</v>
      </c>
      <c r="M805" s="47" t="str">
        <f aca="false">'Fault &amp; Downtime Entry'!M806</f>
        <v/>
      </c>
      <c r="N805" s="47" t="n">
        <f aca="false">'Fault &amp; Downtime Entry'!N806</f>
        <v>0</v>
      </c>
      <c r="O805" s="47" t="n">
        <f aca="false">'Fault &amp; Downtime Entry'!O806</f>
        <v>0</v>
      </c>
      <c r="P805" s="47" t="str">
        <f aca="false">IF(OR(J805="",K805=""),"",IFERROR(J805/K805*1000,0))</f>
        <v/>
      </c>
      <c r="Q805" s="47" t="str">
        <f aca="false">IF(OR(L805="",K805=""),"",IFERROR(L805/K805*1000,0))</f>
        <v/>
      </c>
      <c r="R805" s="47" t="str">
        <f aca="false">IF(OR(M805="High",M805="Critical"),"YES","")</f>
        <v/>
      </c>
    </row>
    <row r="806" customFormat="false" ht="15" hidden="false" customHeight="true" outlineLevel="0" collapsed="false">
      <c r="A806" s="47" t="n">
        <f aca="false">'Fault &amp; Downtime Entry'!A807</f>
        <v>802</v>
      </c>
      <c r="B806" s="48" t="n">
        <f aca="false">'Fault &amp; Downtime Entry'!B807</f>
        <v>0</v>
      </c>
      <c r="C806" s="47" t="n">
        <f aca="false">'Fault &amp; Downtime Entry'!C807</f>
        <v>0</v>
      </c>
      <c r="D806" s="47" t="n">
        <f aca="false">'Fault &amp; Downtime Entry'!D807</f>
        <v>0</v>
      </c>
      <c r="E806" s="47" t="n">
        <f aca="false">'Fault &amp; Downtime Entry'!E807</f>
        <v>0</v>
      </c>
      <c r="F806" s="47" t="str">
        <f aca="false">'Fault &amp; Downtime Entry'!F807</f>
        <v/>
      </c>
      <c r="G806" s="47" t="n">
        <f aca="false">'Fault &amp; Downtime Entry'!G807</f>
        <v>0</v>
      </c>
      <c r="H806" s="47" t="str">
        <f aca="false">'Fault &amp; Downtime Entry'!H807</f>
        <v/>
      </c>
      <c r="I806" s="47" t="str">
        <f aca="false">'Fault &amp; Downtime Entry'!I807</f>
        <v/>
      </c>
      <c r="J806" s="47" t="n">
        <f aca="false">'Fault &amp; Downtime Entry'!J807</f>
        <v>0</v>
      </c>
      <c r="K806" s="47" t="n">
        <f aca="false">'Fault &amp; Downtime Entry'!K807</f>
        <v>0</v>
      </c>
      <c r="L806" s="47" t="n">
        <f aca="false">'Fault &amp; Downtime Entry'!L807</f>
        <v>0</v>
      </c>
      <c r="M806" s="47" t="str">
        <f aca="false">'Fault &amp; Downtime Entry'!M807</f>
        <v/>
      </c>
      <c r="N806" s="47" t="n">
        <f aca="false">'Fault &amp; Downtime Entry'!N807</f>
        <v>0</v>
      </c>
      <c r="O806" s="47" t="n">
        <f aca="false">'Fault &amp; Downtime Entry'!O807</f>
        <v>0</v>
      </c>
      <c r="P806" s="47" t="str">
        <f aca="false">IF(OR(J806="",K806=""),"",IFERROR(J806/K806*1000,0))</f>
        <v/>
      </c>
      <c r="Q806" s="47" t="str">
        <f aca="false">IF(OR(L806="",K806=""),"",IFERROR(L806/K806*1000,0))</f>
        <v/>
      </c>
      <c r="R806" s="47" t="str">
        <f aca="false">IF(OR(M806="High",M806="Critical"),"YES","")</f>
        <v/>
      </c>
    </row>
    <row r="807" customFormat="false" ht="15" hidden="false" customHeight="true" outlineLevel="0" collapsed="false">
      <c r="A807" s="47" t="n">
        <f aca="false">'Fault &amp; Downtime Entry'!A808</f>
        <v>803</v>
      </c>
      <c r="B807" s="48" t="n">
        <f aca="false">'Fault &amp; Downtime Entry'!B808</f>
        <v>0</v>
      </c>
      <c r="C807" s="47" t="n">
        <f aca="false">'Fault &amp; Downtime Entry'!C808</f>
        <v>0</v>
      </c>
      <c r="D807" s="47" t="n">
        <f aca="false">'Fault &amp; Downtime Entry'!D808</f>
        <v>0</v>
      </c>
      <c r="E807" s="47" t="n">
        <f aca="false">'Fault &amp; Downtime Entry'!E808</f>
        <v>0</v>
      </c>
      <c r="F807" s="47" t="str">
        <f aca="false">'Fault &amp; Downtime Entry'!F808</f>
        <v/>
      </c>
      <c r="G807" s="47" t="n">
        <f aca="false">'Fault &amp; Downtime Entry'!G808</f>
        <v>0</v>
      </c>
      <c r="H807" s="47" t="str">
        <f aca="false">'Fault &amp; Downtime Entry'!H808</f>
        <v/>
      </c>
      <c r="I807" s="47" t="str">
        <f aca="false">'Fault &amp; Downtime Entry'!I808</f>
        <v/>
      </c>
      <c r="J807" s="47" t="n">
        <f aca="false">'Fault &amp; Downtime Entry'!J808</f>
        <v>0</v>
      </c>
      <c r="K807" s="47" t="n">
        <f aca="false">'Fault &amp; Downtime Entry'!K808</f>
        <v>0</v>
      </c>
      <c r="L807" s="47" t="n">
        <f aca="false">'Fault &amp; Downtime Entry'!L808</f>
        <v>0</v>
      </c>
      <c r="M807" s="47" t="str">
        <f aca="false">'Fault &amp; Downtime Entry'!M808</f>
        <v/>
      </c>
      <c r="N807" s="47" t="n">
        <f aca="false">'Fault &amp; Downtime Entry'!N808</f>
        <v>0</v>
      </c>
      <c r="O807" s="47" t="n">
        <f aca="false">'Fault &amp; Downtime Entry'!O808</f>
        <v>0</v>
      </c>
      <c r="P807" s="47" t="str">
        <f aca="false">IF(OR(J807="",K807=""),"",IFERROR(J807/K807*1000,0))</f>
        <v/>
      </c>
      <c r="Q807" s="47" t="str">
        <f aca="false">IF(OR(L807="",K807=""),"",IFERROR(L807/K807*1000,0))</f>
        <v/>
      </c>
      <c r="R807" s="47" t="str">
        <f aca="false">IF(OR(M807="High",M807="Critical"),"YES","")</f>
        <v/>
      </c>
    </row>
    <row r="808" customFormat="false" ht="15" hidden="false" customHeight="true" outlineLevel="0" collapsed="false">
      <c r="A808" s="47" t="n">
        <f aca="false">'Fault &amp; Downtime Entry'!A809</f>
        <v>804</v>
      </c>
      <c r="B808" s="48" t="n">
        <f aca="false">'Fault &amp; Downtime Entry'!B809</f>
        <v>0</v>
      </c>
      <c r="C808" s="47" t="n">
        <f aca="false">'Fault &amp; Downtime Entry'!C809</f>
        <v>0</v>
      </c>
      <c r="D808" s="47" t="n">
        <f aca="false">'Fault &amp; Downtime Entry'!D809</f>
        <v>0</v>
      </c>
      <c r="E808" s="47" t="n">
        <f aca="false">'Fault &amp; Downtime Entry'!E809</f>
        <v>0</v>
      </c>
      <c r="F808" s="47" t="str">
        <f aca="false">'Fault &amp; Downtime Entry'!F809</f>
        <v/>
      </c>
      <c r="G808" s="47" t="n">
        <f aca="false">'Fault &amp; Downtime Entry'!G809</f>
        <v>0</v>
      </c>
      <c r="H808" s="47" t="str">
        <f aca="false">'Fault &amp; Downtime Entry'!H809</f>
        <v/>
      </c>
      <c r="I808" s="47" t="str">
        <f aca="false">'Fault &amp; Downtime Entry'!I809</f>
        <v/>
      </c>
      <c r="J808" s="47" t="n">
        <f aca="false">'Fault &amp; Downtime Entry'!J809</f>
        <v>0</v>
      </c>
      <c r="K808" s="47" t="n">
        <f aca="false">'Fault &amp; Downtime Entry'!K809</f>
        <v>0</v>
      </c>
      <c r="L808" s="47" t="n">
        <f aca="false">'Fault &amp; Downtime Entry'!L809</f>
        <v>0</v>
      </c>
      <c r="M808" s="47" t="str">
        <f aca="false">'Fault &amp; Downtime Entry'!M809</f>
        <v/>
      </c>
      <c r="N808" s="47" t="n">
        <f aca="false">'Fault &amp; Downtime Entry'!N809</f>
        <v>0</v>
      </c>
      <c r="O808" s="47" t="n">
        <f aca="false">'Fault &amp; Downtime Entry'!O809</f>
        <v>0</v>
      </c>
      <c r="P808" s="47" t="str">
        <f aca="false">IF(OR(J808="",K808=""),"",IFERROR(J808/K808*1000,0))</f>
        <v/>
      </c>
      <c r="Q808" s="47" t="str">
        <f aca="false">IF(OR(L808="",K808=""),"",IFERROR(L808/K808*1000,0))</f>
        <v/>
      </c>
      <c r="R808" s="47" t="str">
        <f aca="false">IF(OR(M808="High",M808="Critical"),"YES","")</f>
        <v/>
      </c>
    </row>
    <row r="809" customFormat="false" ht="15" hidden="false" customHeight="true" outlineLevel="0" collapsed="false">
      <c r="A809" s="47" t="n">
        <f aca="false">'Fault &amp; Downtime Entry'!A810</f>
        <v>805</v>
      </c>
      <c r="B809" s="48" t="n">
        <f aca="false">'Fault &amp; Downtime Entry'!B810</f>
        <v>0</v>
      </c>
      <c r="C809" s="47" t="n">
        <f aca="false">'Fault &amp; Downtime Entry'!C810</f>
        <v>0</v>
      </c>
      <c r="D809" s="47" t="n">
        <f aca="false">'Fault &amp; Downtime Entry'!D810</f>
        <v>0</v>
      </c>
      <c r="E809" s="47" t="n">
        <f aca="false">'Fault &amp; Downtime Entry'!E810</f>
        <v>0</v>
      </c>
      <c r="F809" s="47" t="str">
        <f aca="false">'Fault &amp; Downtime Entry'!F810</f>
        <v/>
      </c>
      <c r="G809" s="47" t="n">
        <f aca="false">'Fault &amp; Downtime Entry'!G810</f>
        <v>0</v>
      </c>
      <c r="H809" s="47" t="str">
        <f aca="false">'Fault &amp; Downtime Entry'!H810</f>
        <v/>
      </c>
      <c r="I809" s="47" t="str">
        <f aca="false">'Fault &amp; Downtime Entry'!I810</f>
        <v/>
      </c>
      <c r="J809" s="47" t="n">
        <f aca="false">'Fault &amp; Downtime Entry'!J810</f>
        <v>0</v>
      </c>
      <c r="K809" s="47" t="n">
        <f aca="false">'Fault &amp; Downtime Entry'!K810</f>
        <v>0</v>
      </c>
      <c r="L809" s="47" t="n">
        <f aca="false">'Fault &amp; Downtime Entry'!L810</f>
        <v>0</v>
      </c>
      <c r="M809" s="47" t="str">
        <f aca="false">'Fault &amp; Downtime Entry'!M810</f>
        <v/>
      </c>
      <c r="N809" s="47" t="n">
        <f aca="false">'Fault &amp; Downtime Entry'!N810</f>
        <v>0</v>
      </c>
      <c r="O809" s="47" t="n">
        <f aca="false">'Fault &amp; Downtime Entry'!O810</f>
        <v>0</v>
      </c>
      <c r="P809" s="47" t="str">
        <f aca="false">IF(OR(J809="",K809=""),"",IFERROR(J809/K809*1000,0))</f>
        <v/>
      </c>
      <c r="Q809" s="47" t="str">
        <f aca="false">IF(OR(L809="",K809=""),"",IFERROR(L809/K809*1000,0))</f>
        <v/>
      </c>
      <c r="R809" s="47" t="str">
        <f aca="false">IF(OR(M809="High",M809="Critical"),"YES","")</f>
        <v/>
      </c>
    </row>
    <row r="810" customFormat="false" ht="15" hidden="false" customHeight="true" outlineLevel="0" collapsed="false">
      <c r="A810" s="47" t="n">
        <f aca="false">'Fault &amp; Downtime Entry'!A811</f>
        <v>806</v>
      </c>
      <c r="B810" s="48" t="n">
        <f aca="false">'Fault &amp; Downtime Entry'!B811</f>
        <v>0</v>
      </c>
      <c r="C810" s="47" t="n">
        <f aca="false">'Fault &amp; Downtime Entry'!C811</f>
        <v>0</v>
      </c>
      <c r="D810" s="47" t="n">
        <f aca="false">'Fault &amp; Downtime Entry'!D811</f>
        <v>0</v>
      </c>
      <c r="E810" s="47" t="n">
        <f aca="false">'Fault &amp; Downtime Entry'!E811</f>
        <v>0</v>
      </c>
      <c r="F810" s="47" t="str">
        <f aca="false">'Fault &amp; Downtime Entry'!F811</f>
        <v/>
      </c>
      <c r="G810" s="47" t="n">
        <f aca="false">'Fault &amp; Downtime Entry'!G811</f>
        <v>0</v>
      </c>
      <c r="H810" s="47" t="str">
        <f aca="false">'Fault &amp; Downtime Entry'!H811</f>
        <v/>
      </c>
      <c r="I810" s="47" t="str">
        <f aca="false">'Fault &amp; Downtime Entry'!I811</f>
        <v/>
      </c>
      <c r="J810" s="47" t="n">
        <f aca="false">'Fault &amp; Downtime Entry'!J811</f>
        <v>0</v>
      </c>
      <c r="K810" s="47" t="n">
        <f aca="false">'Fault &amp; Downtime Entry'!K811</f>
        <v>0</v>
      </c>
      <c r="L810" s="47" t="n">
        <f aca="false">'Fault &amp; Downtime Entry'!L811</f>
        <v>0</v>
      </c>
      <c r="M810" s="47" t="str">
        <f aca="false">'Fault &amp; Downtime Entry'!M811</f>
        <v/>
      </c>
      <c r="N810" s="47" t="n">
        <f aca="false">'Fault &amp; Downtime Entry'!N811</f>
        <v>0</v>
      </c>
      <c r="O810" s="47" t="n">
        <f aca="false">'Fault &amp; Downtime Entry'!O811</f>
        <v>0</v>
      </c>
      <c r="P810" s="47" t="str">
        <f aca="false">IF(OR(J810="",K810=""),"",IFERROR(J810/K810*1000,0))</f>
        <v/>
      </c>
      <c r="Q810" s="47" t="str">
        <f aca="false">IF(OR(L810="",K810=""),"",IFERROR(L810/K810*1000,0))</f>
        <v/>
      </c>
      <c r="R810" s="47" t="str">
        <f aca="false">IF(OR(M810="High",M810="Critical"),"YES","")</f>
        <v/>
      </c>
    </row>
    <row r="811" customFormat="false" ht="15" hidden="false" customHeight="true" outlineLevel="0" collapsed="false">
      <c r="A811" s="47" t="n">
        <f aca="false">'Fault &amp; Downtime Entry'!A812</f>
        <v>807</v>
      </c>
      <c r="B811" s="48" t="n">
        <f aca="false">'Fault &amp; Downtime Entry'!B812</f>
        <v>0</v>
      </c>
      <c r="C811" s="47" t="n">
        <f aca="false">'Fault &amp; Downtime Entry'!C812</f>
        <v>0</v>
      </c>
      <c r="D811" s="47" t="n">
        <f aca="false">'Fault &amp; Downtime Entry'!D812</f>
        <v>0</v>
      </c>
      <c r="E811" s="47" t="n">
        <f aca="false">'Fault &amp; Downtime Entry'!E812</f>
        <v>0</v>
      </c>
      <c r="F811" s="47" t="str">
        <f aca="false">'Fault &amp; Downtime Entry'!F812</f>
        <v/>
      </c>
      <c r="G811" s="47" t="n">
        <f aca="false">'Fault &amp; Downtime Entry'!G812</f>
        <v>0</v>
      </c>
      <c r="H811" s="47" t="str">
        <f aca="false">'Fault &amp; Downtime Entry'!H812</f>
        <v/>
      </c>
      <c r="I811" s="47" t="str">
        <f aca="false">'Fault &amp; Downtime Entry'!I812</f>
        <v/>
      </c>
      <c r="J811" s="47" t="n">
        <f aca="false">'Fault &amp; Downtime Entry'!J812</f>
        <v>0</v>
      </c>
      <c r="K811" s="47" t="n">
        <f aca="false">'Fault &amp; Downtime Entry'!K812</f>
        <v>0</v>
      </c>
      <c r="L811" s="47" t="n">
        <f aca="false">'Fault &amp; Downtime Entry'!L812</f>
        <v>0</v>
      </c>
      <c r="M811" s="47" t="str">
        <f aca="false">'Fault &amp; Downtime Entry'!M812</f>
        <v/>
      </c>
      <c r="N811" s="47" t="n">
        <f aca="false">'Fault &amp; Downtime Entry'!N812</f>
        <v>0</v>
      </c>
      <c r="O811" s="47" t="n">
        <f aca="false">'Fault &amp; Downtime Entry'!O812</f>
        <v>0</v>
      </c>
      <c r="P811" s="47" t="str">
        <f aca="false">IF(OR(J811="",K811=""),"",IFERROR(J811/K811*1000,0))</f>
        <v/>
      </c>
      <c r="Q811" s="47" t="str">
        <f aca="false">IF(OR(L811="",K811=""),"",IFERROR(L811/K811*1000,0))</f>
        <v/>
      </c>
      <c r="R811" s="47" t="str">
        <f aca="false">IF(OR(M811="High",M811="Critical"),"YES","")</f>
        <v/>
      </c>
    </row>
    <row r="812" customFormat="false" ht="15" hidden="false" customHeight="true" outlineLevel="0" collapsed="false">
      <c r="A812" s="47" t="n">
        <f aca="false">'Fault &amp; Downtime Entry'!A813</f>
        <v>808</v>
      </c>
      <c r="B812" s="48" t="n">
        <f aca="false">'Fault &amp; Downtime Entry'!B813</f>
        <v>0</v>
      </c>
      <c r="C812" s="47" t="n">
        <f aca="false">'Fault &amp; Downtime Entry'!C813</f>
        <v>0</v>
      </c>
      <c r="D812" s="47" t="n">
        <f aca="false">'Fault &amp; Downtime Entry'!D813</f>
        <v>0</v>
      </c>
      <c r="E812" s="47" t="n">
        <f aca="false">'Fault &amp; Downtime Entry'!E813</f>
        <v>0</v>
      </c>
      <c r="F812" s="47" t="str">
        <f aca="false">'Fault &amp; Downtime Entry'!F813</f>
        <v/>
      </c>
      <c r="G812" s="47" t="n">
        <f aca="false">'Fault &amp; Downtime Entry'!G813</f>
        <v>0</v>
      </c>
      <c r="H812" s="47" t="str">
        <f aca="false">'Fault &amp; Downtime Entry'!H813</f>
        <v/>
      </c>
      <c r="I812" s="47" t="str">
        <f aca="false">'Fault &amp; Downtime Entry'!I813</f>
        <v/>
      </c>
      <c r="J812" s="47" t="n">
        <f aca="false">'Fault &amp; Downtime Entry'!J813</f>
        <v>0</v>
      </c>
      <c r="K812" s="47" t="n">
        <f aca="false">'Fault &amp; Downtime Entry'!K813</f>
        <v>0</v>
      </c>
      <c r="L812" s="47" t="n">
        <f aca="false">'Fault &amp; Downtime Entry'!L813</f>
        <v>0</v>
      </c>
      <c r="M812" s="47" t="str">
        <f aca="false">'Fault &amp; Downtime Entry'!M813</f>
        <v/>
      </c>
      <c r="N812" s="47" t="n">
        <f aca="false">'Fault &amp; Downtime Entry'!N813</f>
        <v>0</v>
      </c>
      <c r="O812" s="47" t="n">
        <f aca="false">'Fault &amp; Downtime Entry'!O813</f>
        <v>0</v>
      </c>
      <c r="P812" s="47" t="str">
        <f aca="false">IF(OR(J812="",K812=""),"",IFERROR(J812/K812*1000,0))</f>
        <v/>
      </c>
      <c r="Q812" s="47" t="str">
        <f aca="false">IF(OR(L812="",K812=""),"",IFERROR(L812/K812*1000,0))</f>
        <v/>
      </c>
      <c r="R812" s="47" t="str">
        <f aca="false">IF(OR(M812="High",M812="Critical"),"YES","")</f>
        <v/>
      </c>
    </row>
    <row r="813" customFormat="false" ht="15" hidden="false" customHeight="true" outlineLevel="0" collapsed="false">
      <c r="A813" s="47" t="n">
        <f aca="false">'Fault &amp; Downtime Entry'!A814</f>
        <v>809</v>
      </c>
      <c r="B813" s="48" t="n">
        <f aca="false">'Fault &amp; Downtime Entry'!B814</f>
        <v>0</v>
      </c>
      <c r="C813" s="47" t="n">
        <f aca="false">'Fault &amp; Downtime Entry'!C814</f>
        <v>0</v>
      </c>
      <c r="D813" s="47" t="n">
        <f aca="false">'Fault &amp; Downtime Entry'!D814</f>
        <v>0</v>
      </c>
      <c r="E813" s="47" t="n">
        <f aca="false">'Fault &amp; Downtime Entry'!E814</f>
        <v>0</v>
      </c>
      <c r="F813" s="47" t="str">
        <f aca="false">'Fault &amp; Downtime Entry'!F814</f>
        <v/>
      </c>
      <c r="G813" s="47" t="n">
        <f aca="false">'Fault &amp; Downtime Entry'!G814</f>
        <v>0</v>
      </c>
      <c r="H813" s="47" t="str">
        <f aca="false">'Fault &amp; Downtime Entry'!H814</f>
        <v/>
      </c>
      <c r="I813" s="47" t="str">
        <f aca="false">'Fault &amp; Downtime Entry'!I814</f>
        <v/>
      </c>
      <c r="J813" s="47" t="n">
        <f aca="false">'Fault &amp; Downtime Entry'!J814</f>
        <v>0</v>
      </c>
      <c r="K813" s="47" t="n">
        <f aca="false">'Fault &amp; Downtime Entry'!K814</f>
        <v>0</v>
      </c>
      <c r="L813" s="47" t="n">
        <f aca="false">'Fault &amp; Downtime Entry'!L814</f>
        <v>0</v>
      </c>
      <c r="M813" s="47" t="str">
        <f aca="false">'Fault &amp; Downtime Entry'!M814</f>
        <v/>
      </c>
      <c r="N813" s="47" t="n">
        <f aca="false">'Fault &amp; Downtime Entry'!N814</f>
        <v>0</v>
      </c>
      <c r="O813" s="47" t="n">
        <f aca="false">'Fault &amp; Downtime Entry'!O814</f>
        <v>0</v>
      </c>
      <c r="P813" s="47" t="str">
        <f aca="false">IF(OR(J813="",K813=""),"",IFERROR(J813/K813*1000,0))</f>
        <v/>
      </c>
      <c r="Q813" s="47" t="str">
        <f aca="false">IF(OR(L813="",K813=""),"",IFERROR(L813/K813*1000,0))</f>
        <v/>
      </c>
      <c r="R813" s="47" t="str">
        <f aca="false">IF(OR(M813="High",M813="Critical"),"YES","")</f>
        <v/>
      </c>
    </row>
    <row r="814" customFormat="false" ht="15" hidden="false" customHeight="true" outlineLevel="0" collapsed="false">
      <c r="A814" s="47" t="n">
        <f aca="false">'Fault &amp; Downtime Entry'!A815</f>
        <v>810</v>
      </c>
      <c r="B814" s="48" t="n">
        <f aca="false">'Fault &amp; Downtime Entry'!B815</f>
        <v>0</v>
      </c>
      <c r="C814" s="47" t="n">
        <f aca="false">'Fault &amp; Downtime Entry'!C815</f>
        <v>0</v>
      </c>
      <c r="D814" s="47" t="n">
        <f aca="false">'Fault &amp; Downtime Entry'!D815</f>
        <v>0</v>
      </c>
      <c r="E814" s="47" t="n">
        <f aca="false">'Fault &amp; Downtime Entry'!E815</f>
        <v>0</v>
      </c>
      <c r="F814" s="47" t="str">
        <f aca="false">'Fault &amp; Downtime Entry'!F815</f>
        <v/>
      </c>
      <c r="G814" s="47" t="n">
        <f aca="false">'Fault &amp; Downtime Entry'!G815</f>
        <v>0</v>
      </c>
      <c r="H814" s="47" t="str">
        <f aca="false">'Fault &amp; Downtime Entry'!H815</f>
        <v/>
      </c>
      <c r="I814" s="47" t="str">
        <f aca="false">'Fault &amp; Downtime Entry'!I815</f>
        <v/>
      </c>
      <c r="J814" s="47" t="n">
        <f aca="false">'Fault &amp; Downtime Entry'!J815</f>
        <v>0</v>
      </c>
      <c r="K814" s="47" t="n">
        <f aca="false">'Fault &amp; Downtime Entry'!K815</f>
        <v>0</v>
      </c>
      <c r="L814" s="47" t="n">
        <f aca="false">'Fault &amp; Downtime Entry'!L815</f>
        <v>0</v>
      </c>
      <c r="M814" s="47" t="str">
        <f aca="false">'Fault &amp; Downtime Entry'!M815</f>
        <v/>
      </c>
      <c r="N814" s="47" t="n">
        <f aca="false">'Fault &amp; Downtime Entry'!N815</f>
        <v>0</v>
      </c>
      <c r="O814" s="47" t="n">
        <f aca="false">'Fault &amp; Downtime Entry'!O815</f>
        <v>0</v>
      </c>
      <c r="P814" s="47" t="str">
        <f aca="false">IF(OR(J814="",K814=""),"",IFERROR(J814/K814*1000,0))</f>
        <v/>
      </c>
      <c r="Q814" s="47" t="str">
        <f aca="false">IF(OR(L814="",K814=""),"",IFERROR(L814/K814*1000,0))</f>
        <v/>
      </c>
      <c r="R814" s="47" t="str">
        <f aca="false">IF(OR(M814="High",M814="Critical"),"YES","")</f>
        <v/>
      </c>
    </row>
    <row r="815" customFormat="false" ht="15" hidden="false" customHeight="true" outlineLevel="0" collapsed="false">
      <c r="A815" s="47" t="n">
        <f aca="false">'Fault &amp; Downtime Entry'!A816</f>
        <v>811</v>
      </c>
      <c r="B815" s="48" t="n">
        <f aca="false">'Fault &amp; Downtime Entry'!B816</f>
        <v>0</v>
      </c>
      <c r="C815" s="47" t="n">
        <f aca="false">'Fault &amp; Downtime Entry'!C816</f>
        <v>0</v>
      </c>
      <c r="D815" s="47" t="n">
        <f aca="false">'Fault &amp; Downtime Entry'!D816</f>
        <v>0</v>
      </c>
      <c r="E815" s="47" t="n">
        <f aca="false">'Fault &amp; Downtime Entry'!E816</f>
        <v>0</v>
      </c>
      <c r="F815" s="47" t="str">
        <f aca="false">'Fault &amp; Downtime Entry'!F816</f>
        <v/>
      </c>
      <c r="G815" s="47" t="n">
        <f aca="false">'Fault &amp; Downtime Entry'!G816</f>
        <v>0</v>
      </c>
      <c r="H815" s="47" t="str">
        <f aca="false">'Fault &amp; Downtime Entry'!H816</f>
        <v/>
      </c>
      <c r="I815" s="47" t="str">
        <f aca="false">'Fault &amp; Downtime Entry'!I816</f>
        <v/>
      </c>
      <c r="J815" s="47" t="n">
        <f aca="false">'Fault &amp; Downtime Entry'!J816</f>
        <v>0</v>
      </c>
      <c r="K815" s="47" t="n">
        <f aca="false">'Fault &amp; Downtime Entry'!K816</f>
        <v>0</v>
      </c>
      <c r="L815" s="47" t="n">
        <f aca="false">'Fault &amp; Downtime Entry'!L816</f>
        <v>0</v>
      </c>
      <c r="M815" s="47" t="str">
        <f aca="false">'Fault &amp; Downtime Entry'!M816</f>
        <v/>
      </c>
      <c r="N815" s="47" t="n">
        <f aca="false">'Fault &amp; Downtime Entry'!N816</f>
        <v>0</v>
      </c>
      <c r="O815" s="47" t="n">
        <f aca="false">'Fault &amp; Downtime Entry'!O816</f>
        <v>0</v>
      </c>
      <c r="P815" s="47" t="str">
        <f aca="false">IF(OR(J815="",K815=""),"",IFERROR(J815/K815*1000,0))</f>
        <v/>
      </c>
      <c r="Q815" s="47" t="str">
        <f aca="false">IF(OR(L815="",K815=""),"",IFERROR(L815/K815*1000,0))</f>
        <v/>
      </c>
      <c r="R815" s="47" t="str">
        <f aca="false">IF(OR(M815="High",M815="Critical"),"YES","")</f>
        <v/>
      </c>
    </row>
    <row r="816" customFormat="false" ht="15" hidden="false" customHeight="true" outlineLevel="0" collapsed="false">
      <c r="A816" s="47" t="n">
        <f aca="false">'Fault &amp; Downtime Entry'!A817</f>
        <v>812</v>
      </c>
      <c r="B816" s="48" t="n">
        <f aca="false">'Fault &amp; Downtime Entry'!B817</f>
        <v>0</v>
      </c>
      <c r="C816" s="47" t="n">
        <f aca="false">'Fault &amp; Downtime Entry'!C817</f>
        <v>0</v>
      </c>
      <c r="D816" s="47" t="n">
        <f aca="false">'Fault &amp; Downtime Entry'!D817</f>
        <v>0</v>
      </c>
      <c r="E816" s="47" t="n">
        <f aca="false">'Fault &amp; Downtime Entry'!E817</f>
        <v>0</v>
      </c>
      <c r="F816" s="47" t="str">
        <f aca="false">'Fault &amp; Downtime Entry'!F817</f>
        <v/>
      </c>
      <c r="G816" s="47" t="n">
        <f aca="false">'Fault &amp; Downtime Entry'!G817</f>
        <v>0</v>
      </c>
      <c r="H816" s="47" t="str">
        <f aca="false">'Fault &amp; Downtime Entry'!H817</f>
        <v/>
      </c>
      <c r="I816" s="47" t="str">
        <f aca="false">'Fault &amp; Downtime Entry'!I817</f>
        <v/>
      </c>
      <c r="J816" s="47" t="n">
        <f aca="false">'Fault &amp; Downtime Entry'!J817</f>
        <v>0</v>
      </c>
      <c r="K816" s="47" t="n">
        <f aca="false">'Fault &amp; Downtime Entry'!K817</f>
        <v>0</v>
      </c>
      <c r="L816" s="47" t="n">
        <f aca="false">'Fault &amp; Downtime Entry'!L817</f>
        <v>0</v>
      </c>
      <c r="M816" s="47" t="str">
        <f aca="false">'Fault &amp; Downtime Entry'!M817</f>
        <v/>
      </c>
      <c r="N816" s="47" t="n">
        <f aca="false">'Fault &amp; Downtime Entry'!N817</f>
        <v>0</v>
      </c>
      <c r="O816" s="47" t="n">
        <f aca="false">'Fault &amp; Downtime Entry'!O817</f>
        <v>0</v>
      </c>
      <c r="P816" s="47" t="str">
        <f aca="false">IF(OR(J816="",K816=""),"",IFERROR(J816/K816*1000,0))</f>
        <v/>
      </c>
      <c r="Q816" s="47" t="str">
        <f aca="false">IF(OR(L816="",K816=""),"",IFERROR(L816/K816*1000,0))</f>
        <v/>
      </c>
      <c r="R816" s="47" t="str">
        <f aca="false">IF(OR(M816="High",M816="Critical"),"YES","")</f>
        <v/>
      </c>
    </row>
    <row r="817" customFormat="false" ht="15" hidden="false" customHeight="true" outlineLevel="0" collapsed="false">
      <c r="A817" s="47" t="n">
        <f aca="false">'Fault &amp; Downtime Entry'!A818</f>
        <v>813</v>
      </c>
      <c r="B817" s="48" t="n">
        <f aca="false">'Fault &amp; Downtime Entry'!B818</f>
        <v>0</v>
      </c>
      <c r="C817" s="47" t="n">
        <f aca="false">'Fault &amp; Downtime Entry'!C818</f>
        <v>0</v>
      </c>
      <c r="D817" s="47" t="n">
        <f aca="false">'Fault &amp; Downtime Entry'!D818</f>
        <v>0</v>
      </c>
      <c r="E817" s="47" t="n">
        <f aca="false">'Fault &amp; Downtime Entry'!E818</f>
        <v>0</v>
      </c>
      <c r="F817" s="47" t="str">
        <f aca="false">'Fault &amp; Downtime Entry'!F818</f>
        <v/>
      </c>
      <c r="G817" s="47" t="n">
        <f aca="false">'Fault &amp; Downtime Entry'!G818</f>
        <v>0</v>
      </c>
      <c r="H817" s="47" t="str">
        <f aca="false">'Fault &amp; Downtime Entry'!H818</f>
        <v/>
      </c>
      <c r="I817" s="47" t="str">
        <f aca="false">'Fault &amp; Downtime Entry'!I818</f>
        <v/>
      </c>
      <c r="J817" s="47" t="n">
        <f aca="false">'Fault &amp; Downtime Entry'!J818</f>
        <v>0</v>
      </c>
      <c r="K817" s="47" t="n">
        <f aca="false">'Fault &amp; Downtime Entry'!K818</f>
        <v>0</v>
      </c>
      <c r="L817" s="47" t="n">
        <f aca="false">'Fault &amp; Downtime Entry'!L818</f>
        <v>0</v>
      </c>
      <c r="M817" s="47" t="str">
        <f aca="false">'Fault &amp; Downtime Entry'!M818</f>
        <v/>
      </c>
      <c r="N817" s="47" t="n">
        <f aca="false">'Fault &amp; Downtime Entry'!N818</f>
        <v>0</v>
      </c>
      <c r="O817" s="47" t="n">
        <f aca="false">'Fault &amp; Downtime Entry'!O818</f>
        <v>0</v>
      </c>
      <c r="P817" s="47" t="str">
        <f aca="false">IF(OR(J817="",K817=""),"",IFERROR(J817/K817*1000,0))</f>
        <v/>
      </c>
      <c r="Q817" s="47" t="str">
        <f aca="false">IF(OR(L817="",K817=""),"",IFERROR(L817/K817*1000,0))</f>
        <v/>
      </c>
      <c r="R817" s="47" t="str">
        <f aca="false">IF(OR(M817="High",M817="Critical"),"YES","")</f>
        <v/>
      </c>
    </row>
    <row r="818" customFormat="false" ht="15" hidden="false" customHeight="true" outlineLevel="0" collapsed="false">
      <c r="A818" s="47" t="n">
        <f aca="false">'Fault &amp; Downtime Entry'!A819</f>
        <v>814</v>
      </c>
      <c r="B818" s="48" t="n">
        <f aca="false">'Fault &amp; Downtime Entry'!B819</f>
        <v>0</v>
      </c>
      <c r="C818" s="47" t="n">
        <f aca="false">'Fault &amp; Downtime Entry'!C819</f>
        <v>0</v>
      </c>
      <c r="D818" s="47" t="n">
        <f aca="false">'Fault &amp; Downtime Entry'!D819</f>
        <v>0</v>
      </c>
      <c r="E818" s="47" t="n">
        <f aca="false">'Fault &amp; Downtime Entry'!E819</f>
        <v>0</v>
      </c>
      <c r="F818" s="47" t="str">
        <f aca="false">'Fault &amp; Downtime Entry'!F819</f>
        <v/>
      </c>
      <c r="G818" s="47" t="n">
        <f aca="false">'Fault &amp; Downtime Entry'!G819</f>
        <v>0</v>
      </c>
      <c r="H818" s="47" t="str">
        <f aca="false">'Fault &amp; Downtime Entry'!H819</f>
        <v/>
      </c>
      <c r="I818" s="47" t="str">
        <f aca="false">'Fault &amp; Downtime Entry'!I819</f>
        <v/>
      </c>
      <c r="J818" s="47" t="n">
        <f aca="false">'Fault &amp; Downtime Entry'!J819</f>
        <v>0</v>
      </c>
      <c r="K818" s="47" t="n">
        <f aca="false">'Fault &amp; Downtime Entry'!K819</f>
        <v>0</v>
      </c>
      <c r="L818" s="47" t="n">
        <f aca="false">'Fault &amp; Downtime Entry'!L819</f>
        <v>0</v>
      </c>
      <c r="M818" s="47" t="str">
        <f aca="false">'Fault &amp; Downtime Entry'!M819</f>
        <v/>
      </c>
      <c r="N818" s="47" t="n">
        <f aca="false">'Fault &amp; Downtime Entry'!N819</f>
        <v>0</v>
      </c>
      <c r="O818" s="47" t="n">
        <f aca="false">'Fault &amp; Downtime Entry'!O819</f>
        <v>0</v>
      </c>
      <c r="P818" s="47" t="str">
        <f aca="false">IF(OR(J818="",K818=""),"",IFERROR(J818/K818*1000,0))</f>
        <v/>
      </c>
      <c r="Q818" s="47" t="str">
        <f aca="false">IF(OR(L818="",K818=""),"",IFERROR(L818/K818*1000,0))</f>
        <v/>
      </c>
      <c r="R818" s="47" t="str">
        <f aca="false">IF(OR(M818="High",M818="Critical"),"YES","")</f>
        <v/>
      </c>
    </row>
    <row r="819" customFormat="false" ht="15" hidden="false" customHeight="true" outlineLevel="0" collapsed="false">
      <c r="A819" s="47" t="n">
        <f aca="false">'Fault &amp; Downtime Entry'!A820</f>
        <v>815</v>
      </c>
      <c r="B819" s="48" t="n">
        <f aca="false">'Fault &amp; Downtime Entry'!B820</f>
        <v>0</v>
      </c>
      <c r="C819" s="47" t="n">
        <f aca="false">'Fault &amp; Downtime Entry'!C820</f>
        <v>0</v>
      </c>
      <c r="D819" s="47" t="n">
        <f aca="false">'Fault &amp; Downtime Entry'!D820</f>
        <v>0</v>
      </c>
      <c r="E819" s="47" t="n">
        <f aca="false">'Fault &amp; Downtime Entry'!E820</f>
        <v>0</v>
      </c>
      <c r="F819" s="47" t="str">
        <f aca="false">'Fault &amp; Downtime Entry'!F820</f>
        <v/>
      </c>
      <c r="G819" s="47" t="n">
        <f aca="false">'Fault &amp; Downtime Entry'!G820</f>
        <v>0</v>
      </c>
      <c r="H819" s="47" t="str">
        <f aca="false">'Fault &amp; Downtime Entry'!H820</f>
        <v/>
      </c>
      <c r="I819" s="47" t="str">
        <f aca="false">'Fault &amp; Downtime Entry'!I820</f>
        <v/>
      </c>
      <c r="J819" s="47" t="n">
        <f aca="false">'Fault &amp; Downtime Entry'!J820</f>
        <v>0</v>
      </c>
      <c r="K819" s="47" t="n">
        <f aca="false">'Fault &amp; Downtime Entry'!K820</f>
        <v>0</v>
      </c>
      <c r="L819" s="47" t="n">
        <f aca="false">'Fault &amp; Downtime Entry'!L820</f>
        <v>0</v>
      </c>
      <c r="M819" s="47" t="str">
        <f aca="false">'Fault &amp; Downtime Entry'!M820</f>
        <v/>
      </c>
      <c r="N819" s="47" t="n">
        <f aca="false">'Fault &amp; Downtime Entry'!N820</f>
        <v>0</v>
      </c>
      <c r="O819" s="47" t="n">
        <f aca="false">'Fault &amp; Downtime Entry'!O820</f>
        <v>0</v>
      </c>
      <c r="P819" s="47" t="str">
        <f aca="false">IF(OR(J819="",K819=""),"",IFERROR(J819/K819*1000,0))</f>
        <v/>
      </c>
      <c r="Q819" s="47" t="str">
        <f aca="false">IF(OR(L819="",K819=""),"",IFERROR(L819/K819*1000,0))</f>
        <v/>
      </c>
      <c r="R819" s="47" t="str">
        <f aca="false">IF(OR(M819="High",M819="Critical"),"YES","")</f>
        <v/>
      </c>
    </row>
    <row r="820" customFormat="false" ht="15" hidden="false" customHeight="true" outlineLevel="0" collapsed="false">
      <c r="A820" s="47" t="n">
        <f aca="false">'Fault &amp; Downtime Entry'!A821</f>
        <v>816</v>
      </c>
      <c r="B820" s="48" t="n">
        <f aca="false">'Fault &amp; Downtime Entry'!B821</f>
        <v>0</v>
      </c>
      <c r="C820" s="47" t="n">
        <f aca="false">'Fault &amp; Downtime Entry'!C821</f>
        <v>0</v>
      </c>
      <c r="D820" s="47" t="n">
        <f aca="false">'Fault &amp; Downtime Entry'!D821</f>
        <v>0</v>
      </c>
      <c r="E820" s="47" t="n">
        <f aca="false">'Fault &amp; Downtime Entry'!E821</f>
        <v>0</v>
      </c>
      <c r="F820" s="47" t="str">
        <f aca="false">'Fault &amp; Downtime Entry'!F821</f>
        <v/>
      </c>
      <c r="G820" s="47" t="n">
        <f aca="false">'Fault &amp; Downtime Entry'!G821</f>
        <v>0</v>
      </c>
      <c r="H820" s="47" t="str">
        <f aca="false">'Fault &amp; Downtime Entry'!H821</f>
        <v/>
      </c>
      <c r="I820" s="47" t="str">
        <f aca="false">'Fault &amp; Downtime Entry'!I821</f>
        <v/>
      </c>
      <c r="J820" s="47" t="n">
        <f aca="false">'Fault &amp; Downtime Entry'!J821</f>
        <v>0</v>
      </c>
      <c r="K820" s="47" t="n">
        <f aca="false">'Fault &amp; Downtime Entry'!K821</f>
        <v>0</v>
      </c>
      <c r="L820" s="47" t="n">
        <f aca="false">'Fault &amp; Downtime Entry'!L821</f>
        <v>0</v>
      </c>
      <c r="M820" s="47" t="str">
        <f aca="false">'Fault &amp; Downtime Entry'!M821</f>
        <v/>
      </c>
      <c r="N820" s="47" t="n">
        <f aca="false">'Fault &amp; Downtime Entry'!N821</f>
        <v>0</v>
      </c>
      <c r="O820" s="47" t="n">
        <f aca="false">'Fault &amp; Downtime Entry'!O821</f>
        <v>0</v>
      </c>
      <c r="P820" s="47" t="str">
        <f aca="false">IF(OR(J820="",K820=""),"",IFERROR(J820/K820*1000,0))</f>
        <v/>
      </c>
      <c r="Q820" s="47" t="str">
        <f aca="false">IF(OR(L820="",K820=""),"",IFERROR(L820/K820*1000,0))</f>
        <v/>
      </c>
      <c r="R820" s="47" t="str">
        <f aca="false">IF(OR(M820="High",M820="Critical"),"YES","")</f>
        <v/>
      </c>
    </row>
    <row r="821" customFormat="false" ht="15" hidden="false" customHeight="true" outlineLevel="0" collapsed="false">
      <c r="A821" s="47" t="n">
        <f aca="false">'Fault &amp; Downtime Entry'!A822</f>
        <v>817</v>
      </c>
      <c r="B821" s="48" t="n">
        <f aca="false">'Fault &amp; Downtime Entry'!B822</f>
        <v>0</v>
      </c>
      <c r="C821" s="47" t="n">
        <f aca="false">'Fault &amp; Downtime Entry'!C822</f>
        <v>0</v>
      </c>
      <c r="D821" s="47" t="n">
        <f aca="false">'Fault &amp; Downtime Entry'!D822</f>
        <v>0</v>
      </c>
      <c r="E821" s="47" t="n">
        <f aca="false">'Fault &amp; Downtime Entry'!E822</f>
        <v>0</v>
      </c>
      <c r="F821" s="47" t="str">
        <f aca="false">'Fault &amp; Downtime Entry'!F822</f>
        <v/>
      </c>
      <c r="G821" s="47" t="n">
        <f aca="false">'Fault &amp; Downtime Entry'!G822</f>
        <v>0</v>
      </c>
      <c r="H821" s="47" t="str">
        <f aca="false">'Fault &amp; Downtime Entry'!H822</f>
        <v/>
      </c>
      <c r="I821" s="47" t="str">
        <f aca="false">'Fault &amp; Downtime Entry'!I822</f>
        <v/>
      </c>
      <c r="J821" s="47" t="n">
        <f aca="false">'Fault &amp; Downtime Entry'!J822</f>
        <v>0</v>
      </c>
      <c r="K821" s="47" t="n">
        <f aca="false">'Fault &amp; Downtime Entry'!K822</f>
        <v>0</v>
      </c>
      <c r="L821" s="47" t="n">
        <f aca="false">'Fault &amp; Downtime Entry'!L822</f>
        <v>0</v>
      </c>
      <c r="M821" s="47" t="str">
        <f aca="false">'Fault &amp; Downtime Entry'!M822</f>
        <v/>
      </c>
      <c r="N821" s="47" t="n">
        <f aca="false">'Fault &amp; Downtime Entry'!N822</f>
        <v>0</v>
      </c>
      <c r="O821" s="47" t="n">
        <f aca="false">'Fault &amp; Downtime Entry'!O822</f>
        <v>0</v>
      </c>
      <c r="P821" s="47" t="str">
        <f aca="false">IF(OR(J821="",K821=""),"",IFERROR(J821/K821*1000,0))</f>
        <v/>
      </c>
      <c r="Q821" s="47" t="str">
        <f aca="false">IF(OR(L821="",K821=""),"",IFERROR(L821/K821*1000,0))</f>
        <v/>
      </c>
      <c r="R821" s="47" t="str">
        <f aca="false">IF(OR(M821="High",M821="Critical"),"YES","")</f>
        <v/>
      </c>
    </row>
    <row r="822" customFormat="false" ht="15" hidden="false" customHeight="true" outlineLevel="0" collapsed="false">
      <c r="A822" s="47" t="n">
        <f aca="false">'Fault &amp; Downtime Entry'!A823</f>
        <v>818</v>
      </c>
      <c r="B822" s="48" t="n">
        <f aca="false">'Fault &amp; Downtime Entry'!B823</f>
        <v>0</v>
      </c>
      <c r="C822" s="47" t="n">
        <f aca="false">'Fault &amp; Downtime Entry'!C823</f>
        <v>0</v>
      </c>
      <c r="D822" s="47" t="n">
        <f aca="false">'Fault &amp; Downtime Entry'!D823</f>
        <v>0</v>
      </c>
      <c r="E822" s="47" t="n">
        <f aca="false">'Fault &amp; Downtime Entry'!E823</f>
        <v>0</v>
      </c>
      <c r="F822" s="47" t="str">
        <f aca="false">'Fault &amp; Downtime Entry'!F823</f>
        <v/>
      </c>
      <c r="G822" s="47" t="n">
        <f aca="false">'Fault &amp; Downtime Entry'!G823</f>
        <v>0</v>
      </c>
      <c r="H822" s="47" t="str">
        <f aca="false">'Fault &amp; Downtime Entry'!H823</f>
        <v/>
      </c>
      <c r="I822" s="47" t="str">
        <f aca="false">'Fault &amp; Downtime Entry'!I823</f>
        <v/>
      </c>
      <c r="J822" s="47" t="n">
        <f aca="false">'Fault &amp; Downtime Entry'!J823</f>
        <v>0</v>
      </c>
      <c r="K822" s="47" t="n">
        <f aca="false">'Fault &amp; Downtime Entry'!K823</f>
        <v>0</v>
      </c>
      <c r="L822" s="47" t="n">
        <f aca="false">'Fault &amp; Downtime Entry'!L823</f>
        <v>0</v>
      </c>
      <c r="M822" s="47" t="str">
        <f aca="false">'Fault &amp; Downtime Entry'!M823</f>
        <v/>
      </c>
      <c r="N822" s="47" t="n">
        <f aca="false">'Fault &amp; Downtime Entry'!N823</f>
        <v>0</v>
      </c>
      <c r="O822" s="47" t="n">
        <f aca="false">'Fault &amp; Downtime Entry'!O823</f>
        <v>0</v>
      </c>
      <c r="P822" s="47" t="str">
        <f aca="false">IF(OR(J822="",K822=""),"",IFERROR(J822/K822*1000,0))</f>
        <v/>
      </c>
      <c r="Q822" s="47" t="str">
        <f aca="false">IF(OR(L822="",K822=""),"",IFERROR(L822/K822*1000,0))</f>
        <v/>
      </c>
      <c r="R822" s="47" t="str">
        <f aca="false">IF(OR(M822="High",M822="Critical"),"YES","")</f>
        <v/>
      </c>
    </row>
    <row r="823" customFormat="false" ht="15" hidden="false" customHeight="true" outlineLevel="0" collapsed="false">
      <c r="A823" s="47" t="n">
        <f aca="false">'Fault &amp; Downtime Entry'!A824</f>
        <v>819</v>
      </c>
      <c r="B823" s="48" t="n">
        <f aca="false">'Fault &amp; Downtime Entry'!B824</f>
        <v>0</v>
      </c>
      <c r="C823" s="47" t="n">
        <f aca="false">'Fault &amp; Downtime Entry'!C824</f>
        <v>0</v>
      </c>
      <c r="D823" s="47" t="n">
        <f aca="false">'Fault &amp; Downtime Entry'!D824</f>
        <v>0</v>
      </c>
      <c r="E823" s="47" t="n">
        <f aca="false">'Fault &amp; Downtime Entry'!E824</f>
        <v>0</v>
      </c>
      <c r="F823" s="47" t="str">
        <f aca="false">'Fault &amp; Downtime Entry'!F824</f>
        <v/>
      </c>
      <c r="G823" s="47" t="n">
        <f aca="false">'Fault &amp; Downtime Entry'!G824</f>
        <v>0</v>
      </c>
      <c r="H823" s="47" t="str">
        <f aca="false">'Fault &amp; Downtime Entry'!H824</f>
        <v/>
      </c>
      <c r="I823" s="47" t="str">
        <f aca="false">'Fault &amp; Downtime Entry'!I824</f>
        <v/>
      </c>
      <c r="J823" s="47" t="n">
        <f aca="false">'Fault &amp; Downtime Entry'!J824</f>
        <v>0</v>
      </c>
      <c r="K823" s="47" t="n">
        <f aca="false">'Fault &amp; Downtime Entry'!K824</f>
        <v>0</v>
      </c>
      <c r="L823" s="47" t="n">
        <f aca="false">'Fault &amp; Downtime Entry'!L824</f>
        <v>0</v>
      </c>
      <c r="M823" s="47" t="str">
        <f aca="false">'Fault &amp; Downtime Entry'!M824</f>
        <v/>
      </c>
      <c r="N823" s="47" t="n">
        <f aca="false">'Fault &amp; Downtime Entry'!N824</f>
        <v>0</v>
      </c>
      <c r="O823" s="47" t="n">
        <f aca="false">'Fault &amp; Downtime Entry'!O824</f>
        <v>0</v>
      </c>
      <c r="P823" s="47" t="str">
        <f aca="false">IF(OR(J823="",K823=""),"",IFERROR(J823/K823*1000,0))</f>
        <v/>
      </c>
      <c r="Q823" s="47" t="str">
        <f aca="false">IF(OR(L823="",K823=""),"",IFERROR(L823/K823*1000,0))</f>
        <v/>
      </c>
      <c r="R823" s="47" t="str">
        <f aca="false">IF(OR(M823="High",M823="Critical"),"YES","")</f>
        <v/>
      </c>
    </row>
    <row r="824" customFormat="false" ht="15" hidden="false" customHeight="true" outlineLevel="0" collapsed="false">
      <c r="A824" s="47" t="n">
        <f aca="false">'Fault &amp; Downtime Entry'!A825</f>
        <v>820</v>
      </c>
      <c r="B824" s="48" t="n">
        <f aca="false">'Fault &amp; Downtime Entry'!B825</f>
        <v>0</v>
      </c>
      <c r="C824" s="47" t="n">
        <f aca="false">'Fault &amp; Downtime Entry'!C825</f>
        <v>0</v>
      </c>
      <c r="D824" s="47" t="n">
        <f aca="false">'Fault &amp; Downtime Entry'!D825</f>
        <v>0</v>
      </c>
      <c r="E824" s="47" t="n">
        <f aca="false">'Fault &amp; Downtime Entry'!E825</f>
        <v>0</v>
      </c>
      <c r="F824" s="47" t="str">
        <f aca="false">'Fault &amp; Downtime Entry'!F825</f>
        <v/>
      </c>
      <c r="G824" s="47" t="n">
        <f aca="false">'Fault &amp; Downtime Entry'!G825</f>
        <v>0</v>
      </c>
      <c r="H824" s="47" t="str">
        <f aca="false">'Fault &amp; Downtime Entry'!H825</f>
        <v/>
      </c>
      <c r="I824" s="47" t="str">
        <f aca="false">'Fault &amp; Downtime Entry'!I825</f>
        <v/>
      </c>
      <c r="J824" s="47" t="n">
        <f aca="false">'Fault &amp; Downtime Entry'!J825</f>
        <v>0</v>
      </c>
      <c r="K824" s="47" t="n">
        <f aca="false">'Fault &amp; Downtime Entry'!K825</f>
        <v>0</v>
      </c>
      <c r="L824" s="47" t="n">
        <f aca="false">'Fault &amp; Downtime Entry'!L825</f>
        <v>0</v>
      </c>
      <c r="M824" s="47" t="str">
        <f aca="false">'Fault &amp; Downtime Entry'!M825</f>
        <v/>
      </c>
      <c r="N824" s="47" t="n">
        <f aca="false">'Fault &amp; Downtime Entry'!N825</f>
        <v>0</v>
      </c>
      <c r="O824" s="47" t="n">
        <f aca="false">'Fault &amp; Downtime Entry'!O825</f>
        <v>0</v>
      </c>
      <c r="P824" s="47" t="str">
        <f aca="false">IF(OR(J824="",K824=""),"",IFERROR(J824/K824*1000,0))</f>
        <v/>
      </c>
      <c r="Q824" s="47" t="str">
        <f aca="false">IF(OR(L824="",K824=""),"",IFERROR(L824/K824*1000,0))</f>
        <v/>
      </c>
      <c r="R824" s="47" t="str">
        <f aca="false">IF(OR(M824="High",M824="Critical"),"YES","")</f>
        <v/>
      </c>
    </row>
    <row r="825" customFormat="false" ht="15" hidden="false" customHeight="true" outlineLevel="0" collapsed="false">
      <c r="A825" s="47" t="n">
        <f aca="false">'Fault &amp; Downtime Entry'!A826</f>
        <v>821</v>
      </c>
      <c r="B825" s="48" t="n">
        <f aca="false">'Fault &amp; Downtime Entry'!B826</f>
        <v>0</v>
      </c>
      <c r="C825" s="47" t="n">
        <f aca="false">'Fault &amp; Downtime Entry'!C826</f>
        <v>0</v>
      </c>
      <c r="D825" s="47" t="n">
        <f aca="false">'Fault &amp; Downtime Entry'!D826</f>
        <v>0</v>
      </c>
      <c r="E825" s="47" t="n">
        <f aca="false">'Fault &amp; Downtime Entry'!E826</f>
        <v>0</v>
      </c>
      <c r="F825" s="47" t="str">
        <f aca="false">'Fault &amp; Downtime Entry'!F826</f>
        <v/>
      </c>
      <c r="G825" s="47" t="n">
        <f aca="false">'Fault &amp; Downtime Entry'!G826</f>
        <v>0</v>
      </c>
      <c r="H825" s="47" t="str">
        <f aca="false">'Fault &amp; Downtime Entry'!H826</f>
        <v/>
      </c>
      <c r="I825" s="47" t="str">
        <f aca="false">'Fault &amp; Downtime Entry'!I826</f>
        <v/>
      </c>
      <c r="J825" s="47" t="n">
        <f aca="false">'Fault &amp; Downtime Entry'!J826</f>
        <v>0</v>
      </c>
      <c r="K825" s="47" t="n">
        <f aca="false">'Fault &amp; Downtime Entry'!K826</f>
        <v>0</v>
      </c>
      <c r="L825" s="47" t="n">
        <f aca="false">'Fault &amp; Downtime Entry'!L826</f>
        <v>0</v>
      </c>
      <c r="M825" s="47" t="str">
        <f aca="false">'Fault &amp; Downtime Entry'!M826</f>
        <v/>
      </c>
      <c r="N825" s="47" t="n">
        <f aca="false">'Fault &amp; Downtime Entry'!N826</f>
        <v>0</v>
      </c>
      <c r="O825" s="47" t="n">
        <f aca="false">'Fault &amp; Downtime Entry'!O826</f>
        <v>0</v>
      </c>
      <c r="P825" s="47" t="str">
        <f aca="false">IF(OR(J825="",K825=""),"",IFERROR(J825/K825*1000,0))</f>
        <v/>
      </c>
      <c r="Q825" s="47" t="str">
        <f aca="false">IF(OR(L825="",K825=""),"",IFERROR(L825/K825*1000,0))</f>
        <v/>
      </c>
      <c r="R825" s="47" t="str">
        <f aca="false">IF(OR(M825="High",M825="Critical"),"YES","")</f>
        <v/>
      </c>
    </row>
    <row r="826" customFormat="false" ht="15" hidden="false" customHeight="true" outlineLevel="0" collapsed="false">
      <c r="A826" s="47" t="n">
        <f aca="false">'Fault &amp; Downtime Entry'!A827</f>
        <v>822</v>
      </c>
      <c r="B826" s="48" t="n">
        <f aca="false">'Fault &amp; Downtime Entry'!B827</f>
        <v>0</v>
      </c>
      <c r="C826" s="47" t="n">
        <f aca="false">'Fault &amp; Downtime Entry'!C827</f>
        <v>0</v>
      </c>
      <c r="D826" s="47" t="n">
        <f aca="false">'Fault &amp; Downtime Entry'!D827</f>
        <v>0</v>
      </c>
      <c r="E826" s="47" t="n">
        <f aca="false">'Fault &amp; Downtime Entry'!E827</f>
        <v>0</v>
      </c>
      <c r="F826" s="47" t="str">
        <f aca="false">'Fault &amp; Downtime Entry'!F827</f>
        <v/>
      </c>
      <c r="G826" s="47" t="n">
        <f aca="false">'Fault &amp; Downtime Entry'!G827</f>
        <v>0</v>
      </c>
      <c r="H826" s="47" t="str">
        <f aca="false">'Fault &amp; Downtime Entry'!H827</f>
        <v/>
      </c>
      <c r="I826" s="47" t="str">
        <f aca="false">'Fault &amp; Downtime Entry'!I827</f>
        <v/>
      </c>
      <c r="J826" s="47" t="n">
        <f aca="false">'Fault &amp; Downtime Entry'!J827</f>
        <v>0</v>
      </c>
      <c r="K826" s="47" t="n">
        <f aca="false">'Fault &amp; Downtime Entry'!K827</f>
        <v>0</v>
      </c>
      <c r="L826" s="47" t="n">
        <f aca="false">'Fault &amp; Downtime Entry'!L827</f>
        <v>0</v>
      </c>
      <c r="M826" s="47" t="str">
        <f aca="false">'Fault &amp; Downtime Entry'!M827</f>
        <v/>
      </c>
      <c r="N826" s="47" t="n">
        <f aca="false">'Fault &amp; Downtime Entry'!N827</f>
        <v>0</v>
      </c>
      <c r="O826" s="47" t="n">
        <f aca="false">'Fault &amp; Downtime Entry'!O827</f>
        <v>0</v>
      </c>
      <c r="P826" s="47" t="str">
        <f aca="false">IF(OR(J826="",K826=""),"",IFERROR(J826/K826*1000,0))</f>
        <v/>
      </c>
      <c r="Q826" s="47" t="str">
        <f aca="false">IF(OR(L826="",K826=""),"",IFERROR(L826/K826*1000,0))</f>
        <v/>
      </c>
      <c r="R826" s="47" t="str">
        <f aca="false">IF(OR(M826="High",M826="Critical"),"YES","")</f>
        <v/>
      </c>
    </row>
    <row r="827" customFormat="false" ht="15" hidden="false" customHeight="true" outlineLevel="0" collapsed="false">
      <c r="A827" s="47" t="n">
        <f aca="false">'Fault &amp; Downtime Entry'!A828</f>
        <v>823</v>
      </c>
      <c r="B827" s="48" t="n">
        <f aca="false">'Fault &amp; Downtime Entry'!B828</f>
        <v>0</v>
      </c>
      <c r="C827" s="47" t="n">
        <f aca="false">'Fault &amp; Downtime Entry'!C828</f>
        <v>0</v>
      </c>
      <c r="D827" s="47" t="n">
        <f aca="false">'Fault &amp; Downtime Entry'!D828</f>
        <v>0</v>
      </c>
      <c r="E827" s="47" t="n">
        <f aca="false">'Fault &amp; Downtime Entry'!E828</f>
        <v>0</v>
      </c>
      <c r="F827" s="47" t="str">
        <f aca="false">'Fault &amp; Downtime Entry'!F828</f>
        <v/>
      </c>
      <c r="G827" s="47" t="n">
        <f aca="false">'Fault &amp; Downtime Entry'!G828</f>
        <v>0</v>
      </c>
      <c r="H827" s="47" t="str">
        <f aca="false">'Fault &amp; Downtime Entry'!H828</f>
        <v/>
      </c>
      <c r="I827" s="47" t="str">
        <f aca="false">'Fault &amp; Downtime Entry'!I828</f>
        <v/>
      </c>
      <c r="J827" s="47" t="n">
        <f aca="false">'Fault &amp; Downtime Entry'!J828</f>
        <v>0</v>
      </c>
      <c r="K827" s="47" t="n">
        <f aca="false">'Fault &amp; Downtime Entry'!K828</f>
        <v>0</v>
      </c>
      <c r="L827" s="47" t="n">
        <f aca="false">'Fault &amp; Downtime Entry'!L828</f>
        <v>0</v>
      </c>
      <c r="M827" s="47" t="str">
        <f aca="false">'Fault &amp; Downtime Entry'!M828</f>
        <v/>
      </c>
      <c r="N827" s="47" t="n">
        <f aca="false">'Fault &amp; Downtime Entry'!N828</f>
        <v>0</v>
      </c>
      <c r="O827" s="47" t="n">
        <f aca="false">'Fault &amp; Downtime Entry'!O828</f>
        <v>0</v>
      </c>
      <c r="P827" s="47" t="str">
        <f aca="false">IF(OR(J827="",K827=""),"",IFERROR(J827/K827*1000,0))</f>
        <v/>
      </c>
      <c r="Q827" s="47" t="str">
        <f aca="false">IF(OR(L827="",K827=""),"",IFERROR(L827/K827*1000,0))</f>
        <v/>
      </c>
      <c r="R827" s="47" t="str">
        <f aca="false">IF(OR(M827="High",M827="Critical"),"YES","")</f>
        <v/>
      </c>
    </row>
    <row r="828" customFormat="false" ht="15" hidden="false" customHeight="true" outlineLevel="0" collapsed="false">
      <c r="A828" s="47" t="n">
        <f aca="false">'Fault &amp; Downtime Entry'!A829</f>
        <v>824</v>
      </c>
      <c r="B828" s="48" t="n">
        <f aca="false">'Fault &amp; Downtime Entry'!B829</f>
        <v>0</v>
      </c>
      <c r="C828" s="47" t="n">
        <f aca="false">'Fault &amp; Downtime Entry'!C829</f>
        <v>0</v>
      </c>
      <c r="D828" s="47" t="n">
        <f aca="false">'Fault &amp; Downtime Entry'!D829</f>
        <v>0</v>
      </c>
      <c r="E828" s="47" t="n">
        <f aca="false">'Fault &amp; Downtime Entry'!E829</f>
        <v>0</v>
      </c>
      <c r="F828" s="47" t="str">
        <f aca="false">'Fault &amp; Downtime Entry'!F829</f>
        <v/>
      </c>
      <c r="G828" s="47" t="n">
        <f aca="false">'Fault &amp; Downtime Entry'!G829</f>
        <v>0</v>
      </c>
      <c r="H828" s="47" t="str">
        <f aca="false">'Fault &amp; Downtime Entry'!H829</f>
        <v/>
      </c>
      <c r="I828" s="47" t="str">
        <f aca="false">'Fault &amp; Downtime Entry'!I829</f>
        <v/>
      </c>
      <c r="J828" s="47" t="n">
        <f aca="false">'Fault &amp; Downtime Entry'!J829</f>
        <v>0</v>
      </c>
      <c r="K828" s="47" t="n">
        <f aca="false">'Fault &amp; Downtime Entry'!K829</f>
        <v>0</v>
      </c>
      <c r="L828" s="47" t="n">
        <f aca="false">'Fault &amp; Downtime Entry'!L829</f>
        <v>0</v>
      </c>
      <c r="M828" s="47" t="str">
        <f aca="false">'Fault &amp; Downtime Entry'!M829</f>
        <v/>
      </c>
      <c r="N828" s="47" t="n">
        <f aca="false">'Fault &amp; Downtime Entry'!N829</f>
        <v>0</v>
      </c>
      <c r="O828" s="47" t="n">
        <f aca="false">'Fault &amp; Downtime Entry'!O829</f>
        <v>0</v>
      </c>
      <c r="P828" s="47" t="str">
        <f aca="false">IF(OR(J828="",K828=""),"",IFERROR(J828/K828*1000,0))</f>
        <v/>
      </c>
      <c r="Q828" s="47" t="str">
        <f aca="false">IF(OR(L828="",K828=""),"",IFERROR(L828/K828*1000,0))</f>
        <v/>
      </c>
      <c r="R828" s="47" t="str">
        <f aca="false">IF(OR(M828="High",M828="Critical"),"YES","")</f>
        <v/>
      </c>
    </row>
    <row r="829" customFormat="false" ht="15" hidden="false" customHeight="true" outlineLevel="0" collapsed="false">
      <c r="A829" s="47" t="n">
        <f aca="false">'Fault &amp; Downtime Entry'!A830</f>
        <v>825</v>
      </c>
      <c r="B829" s="48" t="n">
        <f aca="false">'Fault &amp; Downtime Entry'!B830</f>
        <v>0</v>
      </c>
      <c r="C829" s="47" t="n">
        <f aca="false">'Fault &amp; Downtime Entry'!C830</f>
        <v>0</v>
      </c>
      <c r="D829" s="47" t="n">
        <f aca="false">'Fault &amp; Downtime Entry'!D830</f>
        <v>0</v>
      </c>
      <c r="E829" s="47" t="n">
        <f aca="false">'Fault &amp; Downtime Entry'!E830</f>
        <v>0</v>
      </c>
      <c r="F829" s="47" t="str">
        <f aca="false">'Fault &amp; Downtime Entry'!F830</f>
        <v/>
      </c>
      <c r="G829" s="47" t="n">
        <f aca="false">'Fault &amp; Downtime Entry'!G830</f>
        <v>0</v>
      </c>
      <c r="H829" s="47" t="str">
        <f aca="false">'Fault &amp; Downtime Entry'!H830</f>
        <v/>
      </c>
      <c r="I829" s="47" t="str">
        <f aca="false">'Fault &amp; Downtime Entry'!I830</f>
        <v/>
      </c>
      <c r="J829" s="47" t="n">
        <f aca="false">'Fault &amp; Downtime Entry'!J830</f>
        <v>0</v>
      </c>
      <c r="K829" s="47" t="n">
        <f aca="false">'Fault &amp; Downtime Entry'!K830</f>
        <v>0</v>
      </c>
      <c r="L829" s="47" t="n">
        <f aca="false">'Fault &amp; Downtime Entry'!L830</f>
        <v>0</v>
      </c>
      <c r="M829" s="47" t="str">
        <f aca="false">'Fault &amp; Downtime Entry'!M830</f>
        <v/>
      </c>
      <c r="N829" s="47" t="n">
        <f aca="false">'Fault &amp; Downtime Entry'!N830</f>
        <v>0</v>
      </c>
      <c r="O829" s="47" t="n">
        <f aca="false">'Fault &amp; Downtime Entry'!O830</f>
        <v>0</v>
      </c>
      <c r="P829" s="47" t="str">
        <f aca="false">IF(OR(J829="",K829=""),"",IFERROR(J829/K829*1000,0))</f>
        <v/>
      </c>
      <c r="Q829" s="47" t="str">
        <f aca="false">IF(OR(L829="",K829=""),"",IFERROR(L829/K829*1000,0))</f>
        <v/>
      </c>
      <c r="R829" s="47" t="str">
        <f aca="false">IF(OR(M829="High",M829="Critical"),"YES","")</f>
        <v/>
      </c>
    </row>
    <row r="830" customFormat="false" ht="15" hidden="false" customHeight="true" outlineLevel="0" collapsed="false">
      <c r="A830" s="47" t="n">
        <f aca="false">'Fault &amp; Downtime Entry'!A831</f>
        <v>826</v>
      </c>
      <c r="B830" s="48" t="n">
        <f aca="false">'Fault &amp; Downtime Entry'!B831</f>
        <v>0</v>
      </c>
      <c r="C830" s="47" t="n">
        <f aca="false">'Fault &amp; Downtime Entry'!C831</f>
        <v>0</v>
      </c>
      <c r="D830" s="47" t="n">
        <f aca="false">'Fault &amp; Downtime Entry'!D831</f>
        <v>0</v>
      </c>
      <c r="E830" s="47" t="n">
        <f aca="false">'Fault &amp; Downtime Entry'!E831</f>
        <v>0</v>
      </c>
      <c r="F830" s="47" t="str">
        <f aca="false">'Fault &amp; Downtime Entry'!F831</f>
        <v/>
      </c>
      <c r="G830" s="47" t="n">
        <f aca="false">'Fault &amp; Downtime Entry'!G831</f>
        <v>0</v>
      </c>
      <c r="H830" s="47" t="str">
        <f aca="false">'Fault &amp; Downtime Entry'!H831</f>
        <v/>
      </c>
      <c r="I830" s="47" t="str">
        <f aca="false">'Fault &amp; Downtime Entry'!I831</f>
        <v/>
      </c>
      <c r="J830" s="47" t="n">
        <f aca="false">'Fault &amp; Downtime Entry'!J831</f>
        <v>0</v>
      </c>
      <c r="K830" s="47" t="n">
        <f aca="false">'Fault &amp; Downtime Entry'!K831</f>
        <v>0</v>
      </c>
      <c r="L830" s="47" t="n">
        <f aca="false">'Fault &amp; Downtime Entry'!L831</f>
        <v>0</v>
      </c>
      <c r="M830" s="47" t="str">
        <f aca="false">'Fault &amp; Downtime Entry'!M831</f>
        <v/>
      </c>
      <c r="N830" s="47" t="n">
        <f aca="false">'Fault &amp; Downtime Entry'!N831</f>
        <v>0</v>
      </c>
      <c r="O830" s="47" t="n">
        <f aca="false">'Fault &amp; Downtime Entry'!O831</f>
        <v>0</v>
      </c>
      <c r="P830" s="47" t="str">
        <f aca="false">IF(OR(J830="",K830=""),"",IFERROR(J830/K830*1000,0))</f>
        <v/>
      </c>
      <c r="Q830" s="47" t="str">
        <f aca="false">IF(OR(L830="",K830=""),"",IFERROR(L830/K830*1000,0))</f>
        <v/>
      </c>
      <c r="R830" s="47" t="str">
        <f aca="false">IF(OR(M830="High",M830="Critical"),"YES","")</f>
        <v/>
      </c>
    </row>
    <row r="831" customFormat="false" ht="15" hidden="false" customHeight="true" outlineLevel="0" collapsed="false">
      <c r="A831" s="47" t="n">
        <f aca="false">'Fault &amp; Downtime Entry'!A832</f>
        <v>827</v>
      </c>
      <c r="B831" s="48" t="n">
        <f aca="false">'Fault &amp; Downtime Entry'!B832</f>
        <v>0</v>
      </c>
      <c r="C831" s="47" t="n">
        <f aca="false">'Fault &amp; Downtime Entry'!C832</f>
        <v>0</v>
      </c>
      <c r="D831" s="47" t="n">
        <f aca="false">'Fault &amp; Downtime Entry'!D832</f>
        <v>0</v>
      </c>
      <c r="E831" s="47" t="n">
        <f aca="false">'Fault &amp; Downtime Entry'!E832</f>
        <v>0</v>
      </c>
      <c r="F831" s="47" t="str">
        <f aca="false">'Fault &amp; Downtime Entry'!F832</f>
        <v/>
      </c>
      <c r="G831" s="47" t="n">
        <f aca="false">'Fault &amp; Downtime Entry'!G832</f>
        <v>0</v>
      </c>
      <c r="H831" s="47" t="str">
        <f aca="false">'Fault &amp; Downtime Entry'!H832</f>
        <v/>
      </c>
      <c r="I831" s="47" t="str">
        <f aca="false">'Fault &amp; Downtime Entry'!I832</f>
        <v/>
      </c>
      <c r="J831" s="47" t="n">
        <f aca="false">'Fault &amp; Downtime Entry'!J832</f>
        <v>0</v>
      </c>
      <c r="K831" s="47" t="n">
        <f aca="false">'Fault &amp; Downtime Entry'!K832</f>
        <v>0</v>
      </c>
      <c r="L831" s="47" t="n">
        <f aca="false">'Fault &amp; Downtime Entry'!L832</f>
        <v>0</v>
      </c>
      <c r="M831" s="47" t="str">
        <f aca="false">'Fault &amp; Downtime Entry'!M832</f>
        <v/>
      </c>
      <c r="N831" s="47" t="n">
        <f aca="false">'Fault &amp; Downtime Entry'!N832</f>
        <v>0</v>
      </c>
      <c r="O831" s="47" t="n">
        <f aca="false">'Fault &amp; Downtime Entry'!O832</f>
        <v>0</v>
      </c>
      <c r="P831" s="47" t="str">
        <f aca="false">IF(OR(J831="",K831=""),"",IFERROR(J831/K831*1000,0))</f>
        <v/>
      </c>
      <c r="Q831" s="47" t="str">
        <f aca="false">IF(OR(L831="",K831=""),"",IFERROR(L831/K831*1000,0))</f>
        <v/>
      </c>
      <c r="R831" s="47" t="str">
        <f aca="false">IF(OR(M831="High",M831="Critical"),"YES","")</f>
        <v/>
      </c>
    </row>
    <row r="832" customFormat="false" ht="15" hidden="false" customHeight="true" outlineLevel="0" collapsed="false">
      <c r="A832" s="47" t="n">
        <f aca="false">'Fault &amp; Downtime Entry'!A833</f>
        <v>828</v>
      </c>
      <c r="B832" s="48" t="n">
        <f aca="false">'Fault &amp; Downtime Entry'!B833</f>
        <v>0</v>
      </c>
      <c r="C832" s="47" t="n">
        <f aca="false">'Fault &amp; Downtime Entry'!C833</f>
        <v>0</v>
      </c>
      <c r="D832" s="47" t="n">
        <f aca="false">'Fault &amp; Downtime Entry'!D833</f>
        <v>0</v>
      </c>
      <c r="E832" s="47" t="n">
        <f aca="false">'Fault &amp; Downtime Entry'!E833</f>
        <v>0</v>
      </c>
      <c r="F832" s="47" t="str">
        <f aca="false">'Fault &amp; Downtime Entry'!F833</f>
        <v/>
      </c>
      <c r="G832" s="47" t="n">
        <f aca="false">'Fault &amp; Downtime Entry'!G833</f>
        <v>0</v>
      </c>
      <c r="H832" s="47" t="str">
        <f aca="false">'Fault &amp; Downtime Entry'!H833</f>
        <v/>
      </c>
      <c r="I832" s="47" t="str">
        <f aca="false">'Fault &amp; Downtime Entry'!I833</f>
        <v/>
      </c>
      <c r="J832" s="47" t="n">
        <f aca="false">'Fault &amp; Downtime Entry'!J833</f>
        <v>0</v>
      </c>
      <c r="K832" s="47" t="n">
        <f aca="false">'Fault &amp; Downtime Entry'!K833</f>
        <v>0</v>
      </c>
      <c r="L832" s="47" t="n">
        <f aca="false">'Fault &amp; Downtime Entry'!L833</f>
        <v>0</v>
      </c>
      <c r="M832" s="47" t="str">
        <f aca="false">'Fault &amp; Downtime Entry'!M833</f>
        <v/>
      </c>
      <c r="N832" s="47" t="n">
        <f aca="false">'Fault &amp; Downtime Entry'!N833</f>
        <v>0</v>
      </c>
      <c r="O832" s="47" t="n">
        <f aca="false">'Fault &amp; Downtime Entry'!O833</f>
        <v>0</v>
      </c>
      <c r="P832" s="47" t="str">
        <f aca="false">IF(OR(J832="",K832=""),"",IFERROR(J832/K832*1000,0))</f>
        <v/>
      </c>
      <c r="Q832" s="47" t="str">
        <f aca="false">IF(OR(L832="",K832=""),"",IFERROR(L832/K832*1000,0))</f>
        <v/>
      </c>
      <c r="R832" s="47" t="str">
        <f aca="false">IF(OR(M832="High",M832="Critical"),"YES","")</f>
        <v/>
      </c>
    </row>
    <row r="833" customFormat="false" ht="15" hidden="false" customHeight="true" outlineLevel="0" collapsed="false">
      <c r="A833" s="47" t="n">
        <f aca="false">'Fault &amp; Downtime Entry'!A834</f>
        <v>829</v>
      </c>
      <c r="B833" s="48" t="n">
        <f aca="false">'Fault &amp; Downtime Entry'!B834</f>
        <v>0</v>
      </c>
      <c r="C833" s="47" t="n">
        <f aca="false">'Fault &amp; Downtime Entry'!C834</f>
        <v>0</v>
      </c>
      <c r="D833" s="47" t="n">
        <f aca="false">'Fault &amp; Downtime Entry'!D834</f>
        <v>0</v>
      </c>
      <c r="E833" s="47" t="n">
        <f aca="false">'Fault &amp; Downtime Entry'!E834</f>
        <v>0</v>
      </c>
      <c r="F833" s="47" t="str">
        <f aca="false">'Fault &amp; Downtime Entry'!F834</f>
        <v/>
      </c>
      <c r="G833" s="47" t="n">
        <f aca="false">'Fault &amp; Downtime Entry'!G834</f>
        <v>0</v>
      </c>
      <c r="H833" s="47" t="str">
        <f aca="false">'Fault &amp; Downtime Entry'!H834</f>
        <v/>
      </c>
      <c r="I833" s="47" t="str">
        <f aca="false">'Fault &amp; Downtime Entry'!I834</f>
        <v/>
      </c>
      <c r="J833" s="47" t="n">
        <f aca="false">'Fault &amp; Downtime Entry'!J834</f>
        <v>0</v>
      </c>
      <c r="K833" s="47" t="n">
        <f aca="false">'Fault &amp; Downtime Entry'!K834</f>
        <v>0</v>
      </c>
      <c r="L833" s="47" t="n">
        <f aca="false">'Fault &amp; Downtime Entry'!L834</f>
        <v>0</v>
      </c>
      <c r="M833" s="47" t="str">
        <f aca="false">'Fault &amp; Downtime Entry'!M834</f>
        <v/>
      </c>
      <c r="N833" s="47" t="n">
        <f aca="false">'Fault &amp; Downtime Entry'!N834</f>
        <v>0</v>
      </c>
      <c r="O833" s="47" t="n">
        <f aca="false">'Fault &amp; Downtime Entry'!O834</f>
        <v>0</v>
      </c>
      <c r="P833" s="47" t="str">
        <f aca="false">IF(OR(J833="",K833=""),"",IFERROR(J833/K833*1000,0))</f>
        <v/>
      </c>
      <c r="Q833" s="47" t="str">
        <f aca="false">IF(OR(L833="",K833=""),"",IFERROR(L833/K833*1000,0))</f>
        <v/>
      </c>
      <c r="R833" s="47" t="str">
        <f aca="false">IF(OR(M833="High",M833="Critical"),"YES","")</f>
        <v/>
      </c>
    </row>
    <row r="834" customFormat="false" ht="15" hidden="false" customHeight="true" outlineLevel="0" collapsed="false">
      <c r="A834" s="47" t="n">
        <f aca="false">'Fault &amp; Downtime Entry'!A835</f>
        <v>830</v>
      </c>
      <c r="B834" s="48" t="n">
        <f aca="false">'Fault &amp; Downtime Entry'!B835</f>
        <v>0</v>
      </c>
      <c r="C834" s="47" t="n">
        <f aca="false">'Fault &amp; Downtime Entry'!C835</f>
        <v>0</v>
      </c>
      <c r="D834" s="47" t="n">
        <f aca="false">'Fault &amp; Downtime Entry'!D835</f>
        <v>0</v>
      </c>
      <c r="E834" s="47" t="n">
        <f aca="false">'Fault &amp; Downtime Entry'!E835</f>
        <v>0</v>
      </c>
      <c r="F834" s="47" t="str">
        <f aca="false">'Fault &amp; Downtime Entry'!F835</f>
        <v/>
      </c>
      <c r="G834" s="47" t="n">
        <f aca="false">'Fault &amp; Downtime Entry'!G835</f>
        <v>0</v>
      </c>
      <c r="H834" s="47" t="str">
        <f aca="false">'Fault &amp; Downtime Entry'!H835</f>
        <v/>
      </c>
      <c r="I834" s="47" t="str">
        <f aca="false">'Fault &amp; Downtime Entry'!I835</f>
        <v/>
      </c>
      <c r="J834" s="47" t="n">
        <f aca="false">'Fault &amp; Downtime Entry'!J835</f>
        <v>0</v>
      </c>
      <c r="K834" s="47" t="n">
        <f aca="false">'Fault &amp; Downtime Entry'!K835</f>
        <v>0</v>
      </c>
      <c r="L834" s="47" t="n">
        <f aca="false">'Fault &amp; Downtime Entry'!L835</f>
        <v>0</v>
      </c>
      <c r="M834" s="47" t="str">
        <f aca="false">'Fault &amp; Downtime Entry'!M835</f>
        <v/>
      </c>
      <c r="N834" s="47" t="n">
        <f aca="false">'Fault &amp; Downtime Entry'!N835</f>
        <v>0</v>
      </c>
      <c r="O834" s="47" t="n">
        <f aca="false">'Fault &amp; Downtime Entry'!O835</f>
        <v>0</v>
      </c>
      <c r="P834" s="47" t="str">
        <f aca="false">IF(OR(J834="",K834=""),"",IFERROR(J834/K834*1000,0))</f>
        <v/>
      </c>
      <c r="Q834" s="47" t="str">
        <f aca="false">IF(OR(L834="",K834=""),"",IFERROR(L834/K834*1000,0))</f>
        <v/>
      </c>
      <c r="R834" s="47" t="str">
        <f aca="false">IF(OR(M834="High",M834="Critical"),"YES","")</f>
        <v/>
      </c>
    </row>
    <row r="835" customFormat="false" ht="15" hidden="false" customHeight="true" outlineLevel="0" collapsed="false">
      <c r="A835" s="47" t="n">
        <f aca="false">'Fault &amp; Downtime Entry'!A836</f>
        <v>831</v>
      </c>
      <c r="B835" s="48" t="n">
        <f aca="false">'Fault &amp; Downtime Entry'!B836</f>
        <v>0</v>
      </c>
      <c r="C835" s="47" t="n">
        <f aca="false">'Fault &amp; Downtime Entry'!C836</f>
        <v>0</v>
      </c>
      <c r="D835" s="47" t="n">
        <f aca="false">'Fault &amp; Downtime Entry'!D836</f>
        <v>0</v>
      </c>
      <c r="E835" s="47" t="n">
        <f aca="false">'Fault &amp; Downtime Entry'!E836</f>
        <v>0</v>
      </c>
      <c r="F835" s="47" t="str">
        <f aca="false">'Fault &amp; Downtime Entry'!F836</f>
        <v/>
      </c>
      <c r="G835" s="47" t="n">
        <f aca="false">'Fault &amp; Downtime Entry'!G836</f>
        <v>0</v>
      </c>
      <c r="H835" s="47" t="str">
        <f aca="false">'Fault &amp; Downtime Entry'!H836</f>
        <v/>
      </c>
      <c r="I835" s="47" t="str">
        <f aca="false">'Fault &amp; Downtime Entry'!I836</f>
        <v/>
      </c>
      <c r="J835" s="47" t="n">
        <f aca="false">'Fault &amp; Downtime Entry'!J836</f>
        <v>0</v>
      </c>
      <c r="K835" s="47" t="n">
        <f aca="false">'Fault &amp; Downtime Entry'!K836</f>
        <v>0</v>
      </c>
      <c r="L835" s="47" t="n">
        <f aca="false">'Fault &amp; Downtime Entry'!L836</f>
        <v>0</v>
      </c>
      <c r="M835" s="47" t="str">
        <f aca="false">'Fault &amp; Downtime Entry'!M836</f>
        <v/>
      </c>
      <c r="N835" s="47" t="n">
        <f aca="false">'Fault &amp; Downtime Entry'!N836</f>
        <v>0</v>
      </c>
      <c r="O835" s="47" t="n">
        <f aca="false">'Fault &amp; Downtime Entry'!O836</f>
        <v>0</v>
      </c>
      <c r="P835" s="47" t="str">
        <f aca="false">IF(OR(J835="",K835=""),"",IFERROR(J835/K835*1000,0))</f>
        <v/>
      </c>
      <c r="Q835" s="47" t="str">
        <f aca="false">IF(OR(L835="",K835=""),"",IFERROR(L835/K835*1000,0))</f>
        <v/>
      </c>
      <c r="R835" s="47" t="str">
        <f aca="false">IF(OR(M835="High",M835="Critical"),"YES","")</f>
        <v/>
      </c>
    </row>
    <row r="836" customFormat="false" ht="15" hidden="false" customHeight="true" outlineLevel="0" collapsed="false">
      <c r="A836" s="47" t="n">
        <f aca="false">'Fault &amp; Downtime Entry'!A837</f>
        <v>832</v>
      </c>
      <c r="B836" s="48" t="n">
        <f aca="false">'Fault &amp; Downtime Entry'!B837</f>
        <v>0</v>
      </c>
      <c r="C836" s="47" t="n">
        <f aca="false">'Fault &amp; Downtime Entry'!C837</f>
        <v>0</v>
      </c>
      <c r="D836" s="47" t="n">
        <f aca="false">'Fault &amp; Downtime Entry'!D837</f>
        <v>0</v>
      </c>
      <c r="E836" s="47" t="n">
        <f aca="false">'Fault &amp; Downtime Entry'!E837</f>
        <v>0</v>
      </c>
      <c r="F836" s="47" t="str">
        <f aca="false">'Fault &amp; Downtime Entry'!F837</f>
        <v/>
      </c>
      <c r="G836" s="47" t="n">
        <f aca="false">'Fault &amp; Downtime Entry'!G837</f>
        <v>0</v>
      </c>
      <c r="H836" s="47" t="str">
        <f aca="false">'Fault &amp; Downtime Entry'!H837</f>
        <v/>
      </c>
      <c r="I836" s="47" t="str">
        <f aca="false">'Fault &amp; Downtime Entry'!I837</f>
        <v/>
      </c>
      <c r="J836" s="47" t="n">
        <f aca="false">'Fault &amp; Downtime Entry'!J837</f>
        <v>0</v>
      </c>
      <c r="K836" s="47" t="n">
        <f aca="false">'Fault &amp; Downtime Entry'!K837</f>
        <v>0</v>
      </c>
      <c r="L836" s="47" t="n">
        <f aca="false">'Fault &amp; Downtime Entry'!L837</f>
        <v>0</v>
      </c>
      <c r="M836" s="47" t="str">
        <f aca="false">'Fault &amp; Downtime Entry'!M837</f>
        <v/>
      </c>
      <c r="N836" s="47" t="n">
        <f aca="false">'Fault &amp; Downtime Entry'!N837</f>
        <v>0</v>
      </c>
      <c r="O836" s="47" t="n">
        <f aca="false">'Fault &amp; Downtime Entry'!O837</f>
        <v>0</v>
      </c>
      <c r="P836" s="47" t="str">
        <f aca="false">IF(OR(J836="",K836=""),"",IFERROR(J836/K836*1000,0))</f>
        <v/>
      </c>
      <c r="Q836" s="47" t="str">
        <f aca="false">IF(OR(L836="",K836=""),"",IFERROR(L836/K836*1000,0))</f>
        <v/>
      </c>
      <c r="R836" s="47" t="str">
        <f aca="false">IF(OR(M836="High",M836="Critical"),"YES","")</f>
        <v/>
      </c>
    </row>
    <row r="837" customFormat="false" ht="15" hidden="false" customHeight="true" outlineLevel="0" collapsed="false">
      <c r="A837" s="47" t="n">
        <f aca="false">'Fault &amp; Downtime Entry'!A838</f>
        <v>833</v>
      </c>
      <c r="B837" s="48" t="n">
        <f aca="false">'Fault &amp; Downtime Entry'!B838</f>
        <v>0</v>
      </c>
      <c r="C837" s="47" t="n">
        <f aca="false">'Fault &amp; Downtime Entry'!C838</f>
        <v>0</v>
      </c>
      <c r="D837" s="47" t="n">
        <f aca="false">'Fault &amp; Downtime Entry'!D838</f>
        <v>0</v>
      </c>
      <c r="E837" s="47" t="n">
        <f aca="false">'Fault &amp; Downtime Entry'!E838</f>
        <v>0</v>
      </c>
      <c r="F837" s="47" t="str">
        <f aca="false">'Fault &amp; Downtime Entry'!F838</f>
        <v/>
      </c>
      <c r="G837" s="47" t="n">
        <f aca="false">'Fault &amp; Downtime Entry'!G838</f>
        <v>0</v>
      </c>
      <c r="H837" s="47" t="str">
        <f aca="false">'Fault &amp; Downtime Entry'!H838</f>
        <v/>
      </c>
      <c r="I837" s="47" t="str">
        <f aca="false">'Fault &amp; Downtime Entry'!I838</f>
        <v/>
      </c>
      <c r="J837" s="47" t="n">
        <f aca="false">'Fault &amp; Downtime Entry'!J838</f>
        <v>0</v>
      </c>
      <c r="K837" s="47" t="n">
        <f aca="false">'Fault &amp; Downtime Entry'!K838</f>
        <v>0</v>
      </c>
      <c r="L837" s="47" t="n">
        <f aca="false">'Fault &amp; Downtime Entry'!L838</f>
        <v>0</v>
      </c>
      <c r="M837" s="47" t="str">
        <f aca="false">'Fault &amp; Downtime Entry'!M838</f>
        <v/>
      </c>
      <c r="N837" s="47" t="n">
        <f aca="false">'Fault &amp; Downtime Entry'!N838</f>
        <v>0</v>
      </c>
      <c r="O837" s="47" t="n">
        <f aca="false">'Fault &amp; Downtime Entry'!O838</f>
        <v>0</v>
      </c>
      <c r="P837" s="47" t="str">
        <f aca="false">IF(OR(J837="",K837=""),"",IFERROR(J837/K837*1000,0))</f>
        <v/>
      </c>
      <c r="Q837" s="47" t="str">
        <f aca="false">IF(OR(L837="",K837=""),"",IFERROR(L837/K837*1000,0))</f>
        <v/>
      </c>
      <c r="R837" s="47" t="str">
        <f aca="false">IF(OR(M837="High",M837="Critical"),"YES","")</f>
        <v/>
      </c>
    </row>
    <row r="838" customFormat="false" ht="15" hidden="false" customHeight="true" outlineLevel="0" collapsed="false">
      <c r="A838" s="47" t="n">
        <f aca="false">'Fault &amp; Downtime Entry'!A839</f>
        <v>834</v>
      </c>
      <c r="B838" s="48" t="n">
        <f aca="false">'Fault &amp; Downtime Entry'!B839</f>
        <v>0</v>
      </c>
      <c r="C838" s="47" t="n">
        <f aca="false">'Fault &amp; Downtime Entry'!C839</f>
        <v>0</v>
      </c>
      <c r="D838" s="47" t="n">
        <f aca="false">'Fault &amp; Downtime Entry'!D839</f>
        <v>0</v>
      </c>
      <c r="E838" s="47" t="n">
        <f aca="false">'Fault &amp; Downtime Entry'!E839</f>
        <v>0</v>
      </c>
      <c r="F838" s="47" t="str">
        <f aca="false">'Fault &amp; Downtime Entry'!F839</f>
        <v/>
      </c>
      <c r="G838" s="47" t="n">
        <f aca="false">'Fault &amp; Downtime Entry'!G839</f>
        <v>0</v>
      </c>
      <c r="H838" s="47" t="str">
        <f aca="false">'Fault &amp; Downtime Entry'!H839</f>
        <v/>
      </c>
      <c r="I838" s="47" t="str">
        <f aca="false">'Fault &amp; Downtime Entry'!I839</f>
        <v/>
      </c>
      <c r="J838" s="47" t="n">
        <f aca="false">'Fault &amp; Downtime Entry'!J839</f>
        <v>0</v>
      </c>
      <c r="K838" s="47" t="n">
        <f aca="false">'Fault &amp; Downtime Entry'!K839</f>
        <v>0</v>
      </c>
      <c r="L838" s="47" t="n">
        <f aca="false">'Fault &amp; Downtime Entry'!L839</f>
        <v>0</v>
      </c>
      <c r="M838" s="47" t="str">
        <f aca="false">'Fault &amp; Downtime Entry'!M839</f>
        <v/>
      </c>
      <c r="N838" s="47" t="n">
        <f aca="false">'Fault &amp; Downtime Entry'!N839</f>
        <v>0</v>
      </c>
      <c r="O838" s="47" t="n">
        <f aca="false">'Fault &amp; Downtime Entry'!O839</f>
        <v>0</v>
      </c>
      <c r="P838" s="47" t="str">
        <f aca="false">IF(OR(J838="",K838=""),"",IFERROR(J838/K838*1000,0))</f>
        <v/>
      </c>
      <c r="Q838" s="47" t="str">
        <f aca="false">IF(OR(L838="",K838=""),"",IFERROR(L838/K838*1000,0))</f>
        <v/>
      </c>
      <c r="R838" s="47" t="str">
        <f aca="false">IF(OR(M838="High",M838="Critical"),"YES","")</f>
        <v/>
      </c>
    </row>
    <row r="839" customFormat="false" ht="15" hidden="false" customHeight="true" outlineLevel="0" collapsed="false">
      <c r="A839" s="47" t="n">
        <f aca="false">'Fault &amp; Downtime Entry'!A840</f>
        <v>835</v>
      </c>
      <c r="B839" s="48" t="n">
        <f aca="false">'Fault &amp; Downtime Entry'!B840</f>
        <v>0</v>
      </c>
      <c r="C839" s="47" t="n">
        <f aca="false">'Fault &amp; Downtime Entry'!C840</f>
        <v>0</v>
      </c>
      <c r="D839" s="47" t="n">
        <f aca="false">'Fault &amp; Downtime Entry'!D840</f>
        <v>0</v>
      </c>
      <c r="E839" s="47" t="n">
        <f aca="false">'Fault &amp; Downtime Entry'!E840</f>
        <v>0</v>
      </c>
      <c r="F839" s="47" t="str">
        <f aca="false">'Fault &amp; Downtime Entry'!F840</f>
        <v/>
      </c>
      <c r="G839" s="47" t="n">
        <f aca="false">'Fault &amp; Downtime Entry'!G840</f>
        <v>0</v>
      </c>
      <c r="H839" s="47" t="str">
        <f aca="false">'Fault &amp; Downtime Entry'!H840</f>
        <v/>
      </c>
      <c r="I839" s="47" t="str">
        <f aca="false">'Fault &amp; Downtime Entry'!I840</f>
        <v/>
      </c>
      <c r="J839" s="47" t="n">
        <f aca="false">'Fault &amp; Downtime Entry'!J840</f>
        <v>0</v>
      </c>
      <c r="K839" s="47" t="n">
        <f aca="false">'Fault &amp; Downtime Entry'!K840</f>
        <v>0</v>
      </c>
      <c r="L839" s="47" t="n">
        <f aca="false">'Fault &amp; Downtime Entry'!L840</f>
        <v>0</v>
      </c>
      <c r="M839" s="47" t="str">
        <f aca="false">'Fault &amp; Downtime Entry'!M840</f>
        <v/>
      </c>
      <c r="N839" s="47" t="n">
        <f aca="false">'Fault &amp; Downtime Entry'!N840</f>
        <v>0</v>
      </c>
      <c r="O839" s="47" t="n">
        <f aca="false">'Fault &amp; Downtime Entry'!O840</f>
        <v>0</v>
      </c>
      <c r="P839" s="47" t="str">
        <f aca="false">IF(OR(J839="",K839=""),"",IFERROR(J839/K839*1000,0))</f>
        <v/>
      </c>
      <c r="Q839" s="47" t="str">
        <f aca="false">IF(OR(L839="",K839=""),"",IFERROR(L839/K839*1000,0))</f>
        <v/>
      </c>
      <c r="R839" s="47" t="str">
        <f aca="false">IF(OR(M839="High",M839="Critical"),"YES","")</f>
        <v/>
      </c>
    </row>
    <row r="840" customFormat="false" ht="15" hidden="false" customHeight="true" outlineLevel="0" collapsed="false">
      <c r="A840" s="47" t="n">
        <f aca="false">'Fault &amp; Downtime Entry'!A841</f>
        <v>836</v>
      </c>
      <c r="B840" s="48" t="n">
        <f aca="false">'Fault &amp; Downtime Entry'!B841</f>
        <v>0</v>
      </c>
      <c r="C840" s="47" t="n">
        <f aca="false">'Fault &amp; Downtime Entry'!C841</f>
        <v>0</v>
      </c>
      <c r="D840" s="47" t="n">
        <f aca="false">'Fault &amp; Downtime Entry'!D841</f>
        <v>0</v>
      </c>
      <c r="E840" s="47" t="n">
        <f aca="false">'Fault &amp; Downtime Entry'!E841</f>
        <v>0</v>
      </c>
      <c r="F840" s="47" t="str">
        <f aca="false">'Fault &amp; Downtime Entry'!F841</f>
        <v/>
      </c>
      <c r="G840" s="47" t="n">
        <f aca="false">'Fault &amp; Downtime Entry'!G841</f>
        <v>0</v>
      </c>
      <c r="H840" s="47" t="str">
        <f aca="false">'Fault &amp; Downtime Entry'!H841</f>
        <v/>
      </c>
      <c r="I840" s="47" t="str">
        <f aca="false">'Fault &amp; Downtime Entry'!I841</f>
        <v/>
      </c>
      <c r="J840" s="47" t="n">
        <f aca="false">'Fault &amp; Downtime Entry'!J841</f>
        <v>0</v>
      </c>
      <c r="K840" s="47" t="n">
        <f aca="false">'Fault &amp; Downtime Entry'!K841</f>
        <v>0</v>
      </c>
      <c r="L840" s="47" t="n">
        <f aca="false">'Fault &amp; Downtime Entry'!L841</f>
        <v>0</v>
      </c>
      <c r="M840" s="47" t="str">
        <f aca="false">'Fault &amp; Downtime Entry'!M841</f>
        <v/>
      </c>
      <c r="N840" s="47" t="n">
        <f aca="false">'Fault &amp; Downtime Entry'!N841</f>
        <v>0</v>
      </c>
      <c r="O840" s="47" t="n">
        <f aca="false">'Fault &amp; Downtime Entry'!O841</f>
        <v>0</v>
      </c>
      <c r="P840" s="47" t="str">
        <f aca="false">IF(OR(J840="",K840=""),"",IFERROR(J840/K840*1000,0))</f>
        <v/>
      </c>
      <c r="Q840" s="47" t="str">
        <f aca="false">IF(OR(L840="",K840=""),"",IFERROR(L840/K840*1000,0))</f>
        <v/>
      </c>
      <c r="R840" s="47" t="str">
        <f aca="false">IF(OR(M840="High",M840="Critical"),"YES","")</f>
        <v/>
      </c>
    </row>
    <row r="841" customFormat="false" ht="15" hidden="false" customHeight="true" outlineLevel="0" collapsed="false">
      <c r="A841" s="47" t="n">
        <f aca="false">'Fault &amp; Downtime Entry'!A842</f>
        <v>837</v>
      </c>
      <c r="B841" s="48" t="n">
        <f aca="false">'Fault &amp; Downtime Entry'!B842</f>
        <v>0</v>
      </c>
      <c r="C841" s="47" t="n">
        <f aca="false">'Fault &amp; Downtime Entry'!C842</f>
        <v>0</v>
      </c>
      <c r="D841" s="47" t="n">
        <f aca="false">'Fault &amp; Downtime Entry'!D842</f>
        <v>0</v>
      </c>
      <c r="E841" s="47" t="n">
        <f aca="false">'Fault &amp; Downtime Entry'!E842</f>
        <v>0</v>
      </c>
      <c r="F841" s="47" t="str">
        <f aca="false">'Fault &amp; Downtime Entry'!F842</f>
        <v/>
      </c>
      <c r="G841" s="47" t="n">
        <f aca="false">'Fault &amp; Downtime Entry'!G842</f>
        <v>0</v>
      </c>
      <c r="H841" s="47" t="str">
        <f aca="false">'Fault &amp; Downtime Entry'!H842</f>
        <v/>
      </c>
      <c r="I841" s="47" t="str">
        <f aca="false">'Fault &amp; Downtime Entry'!I842</f>
        <v/>
      </c>
      <c r="J841" s="47" t="n">
        <f aca="false">'Fault &amp; Downtime Entry'!J842</f>
        <v>0</v>
      </c>
      <c r="K841" s="47" t="n">
        <f aca="false">'Fault &amp; Downtime Entry'!K842</f>
        <v>0</v>
      </c>
      <c r="L841" s="47" t="n">
        <f aca="false">'Fault &amp; Downtime Entry'!L842</f>
        <v>0</v>
      </c>
      <c r="M841" s="47" t="str">
        <f aca="false">'Fault &amp; Downtime Entry'!M842</f>
        <v/>
      </c>
      <c r="N841" s="47" t="n">
        <f aca="false">'Fault &amp; Downtime Entry'!N842</f>
        <v>0</v>
      </c>
      <c r="O841" s="47" t="n">
        <f aca="false">'Fault &amp; Downtime Entry'!O842</f>
        <v>0</v>
      </c>
      <c r="P841" s="47" t="str">
        <f aca="false">IF(OR(J841="",K841=""),"",IFERROR(J841/K841*1000,0))</f>
        <v/>
      </c>
      <c r="Q841" s="47" t="str">
        <f aca="false">IF(OR(L841="",K841=""),"",IFERROR(L841/K841*1000,0))</f>
        <v/>
      </c>
      <c r="R841" s="47" t="str">
        <f aca="false">IF(OR(M841="High",M841="Critical"),"YES","")</f>
        <v/>
      </c>
    </row>
    <row r="842" customFormat="false" ht="15" hidden="false" customHeight="true" outlineLevel="0" collapsed="false">
      <c r="A842" s="47" t="n">
        <f aca="false">'Fault &amp; Downtime Entry'!A843</f>
        <v>838</v>
      </c>
      <c r="B842" s="48" t="n">
        <f aca="false">'Fault &amp; Downtime Entry'!B843</f>
        <v>0</v>
      </c>
      <c r="C842" s="47" t="n">
        <f aca="false">'Fault &amp; Downtime Entry'!C843</f>
        <v>0</v>
      </c>
      <c r="D842" s="47" t="n">
        <f aca="false">'Fault &amp; Downtime Entry'!D843</f>
        <v>0</v>
      </c>
      <c r="E842" s="47" t="n">
        <f aca="false">'Fault &amp; Downtime Entry'!E843</f>
        <v>0</v>
      </c>
      <c r="F842" s="47" t="str">
        <f aca="false">'Fault &amp; Downtime Entry'!F843</f>
        <v/>
      </c>
      <c r="G842" s="47" t="n">
        <f aca="false">'Fault &amp; Downtime Entry'!G843</f>
        <v>0</v>
      </c>
      <c r="H842" s="47" t="str">
        <f aca="false">'Fault &amp; Downtime Entry'!H843</f>
        <v/>
      </c>
      <c r="I842" s="47" t="str">
        <f aca="false">'Fault &amp; Downtime Entry'!I843</f>
        <v/>
      </c>
      <c r="J842" s="47" t="n">
        <f aca="false">'Fault &amp; Downtime Entry'!J843</f>
        <v>0</v>
      </c>
      <c r="K842" s="47" t="n">
        <f aca="false">'Fault &amp; Downtime Entry'!K843</f>
        <v>0</v>
      </c>
      <c r="L842" s="47" t="n">
        <f aca="false">'Fault &amp; Downtime Entry'!L843</f>
        <v>0</v>
      </c>
      <c r="M842" s="47" t="str">
        <f aca="false">'Fault &amp; Downtime Entry'!M843</f>
        <v/>
      </c>
      <c r="N842" s="47" t="n">
        <f aca="false">'Fault &amp; Downtime Entry'!N843</f>
        <v>0</v>
      </c>
      <c r="O842" s="47" t="n">
        <f aca="false">'Fault &amp; Downtime Entry'!O843</f>
        <v>0</v>
      </c>
      <c r="P842" s="47" t="str">
        <f aca="false">IF(OR(J842="",K842=""),"",IFERROR(J842/K842*1000,0))</f>
        <v/>
      </c>
      <c r="Q842" s="47" t="str">
        <f aca="false">IF(OR(L842="",K842=""),"",IFERROR(L842/K842*1000,0))</f>
        <v/>
      </c>
      <c r="R842" s="47" t="str">
        <f aca="false">IF(OR(M842="High",M842="Critical"),"YES","")</f>
        <v/>
      </c>
    </row>
    <row r="843" customFormat="false" ht="15" hidden="false" customHeight="true" outlineLevel="0" collapsed="false">
      <c r="A843" s="47" t="n">
        <f aca="false">'Fault &amp; Downtime Entry'!A844</f>
        <v>839</v>
      </c>
      <c r="B843" s="48" t="n">
        <f aca="false">'Fault &amp; Downtime Entry'!B844</f>
        <v>0</v>
      </c>
      <c r="C843" s="47" t="n">
        <f aca="false">'Fault &amp; Downtime Entry'!C844</f>
        <v>0</v>
      </c>
      <c r="D843" s="47" t="n">
        <f aca="false">'Fault &amp; Downtime Entry'!D844</f>
        <v>0</v>
      </c>
      <c r="E843" s="47" t="n">
        <f aca="false">'Fault &amp; Downtime Entry'!E844</f>
        <v>0</v>
      </c>
      <c r="F843" s="47" t="str">
        <f aca="false">'Fault &amp; Downtime Entry'!F844</f>
        <v/>
      </c>
      <c r="G843" s="47" t="n">
        <f aca="false">'Fault &amp; Downtime Entry'!G844</f>
        <v>0</v>
      </c>
      <c r="H843" s="47" t="str">
        <f aca="false">'Fault &amp; Downtime Entry'!H844</f>
        <v/>
      </c>
      <c r="I843" s="47" t="str">
        <f aca="false">'Fault &amp; Downtime Entry'!I844</f>
        <v/>
      </c>
      <c r="J843" s="47" t="n">
        <f aca="false">'Fault &amp; Downtime Entry'!J844</f>
        <v>0</v>
      </c>
      <c r="K843" s="47" t="n">
        <f aca="false">'Fault &amp; Downtime Entry'!K844</f>
        <v>0</v>
      </c>
      <c r="L843" s="47" t="n">
        <f aca="false">'Fault &amp; Downtime Entry'!L844</f>
        <v>0</v>
      </c>
      <c r="M843" s="47" t="str">
        <f aca="false">'Fault &amp; Downtime Entry'!M844</f>
        <v/>
      </c>
      <c r="N843" s="47" t="n">
        <f aca="false">'Fault &amp; Downtime Entry'!N844</f>
        <v>0</v>
      </c>
      <c r="O843" s="47" t="n">
        <f aca="false">'Fault &amp; Downtime Entry'!O844</f>
        <v>0</v>
      </c>
      <c r="P843" s="47" t="str">
        <f aca="false">IF(OR(J843="",K843=""),"",IFERROR(J843/K843*1000,0))</f>
        <v/>
      </c>
      <c r="Q843" s="47" t="str">
        <f aca="false">IF(OR(L843="",K843=""),"",IFERROR(L843/K843*1000,0))</f>
        <v/>
      </c>
      <c r="R843" s="47" t="str">
        <f aca="false">IF(OR(M843="High",M843="Critical"),"YES","")</f>
        <v/>
      </c>
    </row>
    <row r="844" customFormat="false" ht="15" hidden="false" customHeight="true" outlineLevel="0" collapsed="false">
      <c r="A844" s="47" t="n">
        <f aca="false">'Fault &amp; Downtime Entry'!A845</f>
        <v>840</v>
      </c>
      <c r="B844" s="48" t="n">
        <f aca="false">'Fault &amp; Downtime Entry'!B845</f>
        <v>0</v>
      </c>
      <c r="C844" s="47" t="n">
        <f aca="false">'Fault &amp; Downtime Entry'!C845</f>
        <v>0</v>
      </c>
      <c r="D844" s="47" t="n">
        <f aca="false">'Fault &amp; Downtime Entry'!D845</f>
        <v>0</v>
      </c>
      <c r="E844" s="47" t="n">
        <f aca="false">'Fault &amp; Downtime Entry'!E845</f>
        <v>0</v>
      </c>
      <c r="F844" s="47" t="str">
        <f aca="false">'Fault &amp; Downtime Entry'!F845</f>
        <v/>
      </c>
      <c r="G844" s="47" t="n">
        <f aca="false">'Fault &amp; Downtime Entry'!G845</f>
        <v>0</v>
      </c>
      <c r="H844" s="47" t="str">
        <f aca="false">'Fault &amp; Downtime Entry'!H845</f>
        <v/>
      </c>
      <c r="I844" s="47" t="str">
        <f aca="false">'Fault &amp; Downtime Entry'!I845</f>
        <v/>
      </c>
      <c r="J844" s="47" t="n">
        <f aca="false">'Fault &amp; Downtime Entry'!J845</f>
        <v>0</v>
      </c>
      <c r="K844" s="47" t="n">
        <f aca="false">'Fault &amp; Downtime Entry'!K845</f>
        <v>0</v>
      </c>
      <c r="L844" s="47" t="n">
        <f aca="false">'Fault &amp; Downtime Entry'!L845</f>
        <v>0</v>
      </c>
      <c r="M844" s="47" t="str">
        <f aca="false">'Fault &amp; Downtime Entry'!M845</f>
        <v/>
      </c>
      <c r="N844" s="47" t="n">
        <f aca="false">'Fault &amp; Downtime Entry'!N845</f>
        <v>0</v>
      </c>
      <c r="O844" s="47" t="n">
        <f aca="false">'Fault &amp; Downtime Entry'!O845</f>
        <v>0</v>
      </c>
      <c r="P844" s="47" t="str">
        <f aca="false">IF(OR(J844="",K844=""),"",IFERROR(J844/K844*1000,0))</f>
        <v/>
      </c>
      <c r="Q844" s="47" t="str">
        <f aca="false">IF(OR(L844="",K844=""),"",IFERROR(L844/K844*1000,0))</f>
        <v/>
      </c>
      <c r="R844" s="47" t="str">
        <f aca="false">IF(OR(M844="High",M844="Critical"),"YES","")</f>
        <v/>
      </c>
    </row>
    <row r="845" customFormat="false" ht="15" hidden="false" customHeight="true" outlineLevel="0" collapsed="false">
      <c r="A845" s="47" t="n">
        <f aca="false">'Fault &amp; Downtime Entry'!A846</f>
        <v>841</v>
      </c>
      <c r="B845" s="48" t="n">
        <f aca="false">'Fault &amp; Downtime Entry'!B846</f>
        <v>0</v>
      </c>
      <c r="C845" s="47" t="n">
        <f aca="false">'Fault &amp; Downtime Entry'!C846</f>
        <v>0</v>
      </c>
      <c r="D845" s="47" t="n">
        <f aca="false">'Fault &amp; Downtime Entry'!D846</f>
        <v>0</v>
      </c>
      <c r="E845" s="47" t="n">
        <f aca="false">'Fault &amp; Downtime Entry'!E846</f>
        <v>0</v>
      </c>
      <c r="F845" s="47" t="str">
        <f aca="false">'Fault &amp; Downtime Entry'!F846</f>
        <v/>
      </c>
      <c r="G845" s="47" t="n">
        <f aca="false">'Fault &amp; Downtime Entry'!G846</f>
        <v>0</v>
      </c>
      <c r="H845" s="47" t="str">
        <f aca="false">'Fault &amp; Downtime Entry'!H846</f>
        <v/>
      </c>
      <c r="I845" s="47" t="str">
        <f aca="false">'Fault &amp; Downtime Entry'!I846</f>
        <v/>
      </c>
      <c r="J845" s="47" t="n">
        <f aca="false">'Fault &amp; Downtime Entry'!J846</f>
        <v>0</v>
      </c>
      <c r="K845" s="47" t="n">
        <f aca="false">'Fault &amp; Downtime Entry'!K846</f>
        <v>0</v>
      </c>
      <c r="L845" s="47" t="n">
        <f aca="false">'Fault &amp; Downtime Entry'!L846</f>
        <v>0</v>
      </c>
      <c r="M845" s="47" t="str">
        <f aca="false">'Fault &amp; Downtime Entry'!M846</f>
        <v/>
      </c>
      <c r="N845" s="47" t="n">
        <f aca="false">'Fault &amp; Downtime Entry'!N846</f>
        <v>0</v>
      </c>
      <c r="O845" s="47" t="n">
        <f aca="false">'Fault &amp; Downtime Entry'!O846</f>
        <v>0</v>
      </c>
      <c r="P845" s="47" t="str">
        <f aca="false">IF(OR(J845="",K845=""),"",IFERROR(J845/K845*1000,0))</f>
        <v/>
      </c>
      <c r="Q845" s="47" t="str">
        <f aca="false">IF(OR(L845="",K845=""),"",IFERROR(L845/K845*1000,0))</f>
        <v/>
      </c>
      <c r="R845" s="47" t="str">
        <f aca="false">IF(OR(M845="High",M845="Critical"),"YES","")</f>
        <v/>
      </c>
    </row>
    <row r="846" customFormat="false" ht="15" hidden="false" customHeight="true" outlineLevel="0" collapsed="false">
      <c r="A846" s="47" t="n">
        <f aca="false">'Fault &amp; Downtime Entry'!A847</f>
        <v>842</v>
      </c>
      <c r="B846" s="48" t="n">
        <f aca="false">'Fault &amp; Downtime Entry'!B847</f>
        <v>0</v>
      </c>
      <c r="C846" s="47" t="n">
        <f aca="false">'Fault &amp; Downtime Entry'!C847</f>
        <v>0</v>
      </c>
      <c r="D846" s="47" t="n">
        <f aca="false">'Fault &amp; Downtime Entry'!D847</f>
        <v>0</v>
      </c>
      <c r="E846" s="47" t="n">
        <f aca="false">'Fault &amp; Downtime Entry'!E847</f>
        <v>0</v>
      </c>
      <c r="F846" s="47" t="str">
        <f aca="false">'Fault &amp; Downtime Entry'!F847</f>
        <v/>
      </c>
      <c r="G846" s="47" t="n">
        <f aca="false">'Fault &amp; Downtime Entry'!G847</f>
        <v>0</v>
      </c>
      <c r="H846" s="47" t="str">
        <f aca="false">'Fault &amp; Downtime Entry'!H847</f>
        <v/>
      </c>
      <c r="I846" s="47" t="str">
        <f aca="false">'Fault &amp; Downtime Entry'!I847</f>
        <v/>
      </c>
      <c r="J846" s="47" t="n">
        <f aca="false">'Fault &amp; Downtime Entry'!J847</f>
        <v>0</v>
      </c>
      <c r="K846" s="47" t="n">
        <f aca="false">'Fault &amp; Downtime Entry'!K847</f>
        <v>0</v>
      </c>
      <c r="L846" s="47" t="n">
        <f aca="false">'Fault &amp; Downtime Entry'!L847</f>
        <v>0</v>
      </c>
      <c r="M846" s="47" t="str">
        <f aca="false">'Fault &amp; Downtime Entry'!M847</f>
        <v/>
      </c>
      <c r="N846" s="47" t="n">
        <f aca="false">'Fault &amp; Downtime Entry'!N847</f>
        <v>0</v>
      </c>
      <c r="O846" s="47" t="n">
        <f aca="false">'Fault &amp; Downtime Entry'!O847</f>
        <v>0</v>
      </c>
      <c r="P846" s="47" t="str">
        <f aca="false">IF(OR(J846="",K846=""),"",IFERROR(J846/K846*1000,0))</f>
        <v/>
      </c>
      <c r="Q846" s="47" t="str">
        <f aca="false">IF(OR(L846="",K846=""),"",IFERROR(L846/K846*1000,0))</f>
        <v/>
      </c>
      <c r="R846" s="47" t="str">
        <f aca="false">IF(OR(M846="High",M846="Critical"),"YES","")</f>
        <v/>
      </c>
    </row>
    <row r="847" customFormat="false" ht="15" hidden="false" customHeight="true" outlineLevel="0" collapsed="false">
      <c r="A847" s="47" t="n">
        <f aca="false">'Fault &amp; Downtime Entry'!A848</f>
        <v>843</v>
      </c>
      <c r="B847" s="48" t="n">
        <f aca="false">'Fault &amp; Downtime Entry'!B848</f>
        <v>0</v>
      </c>
      <c r="C847" s="47" t="n">
        <f aca="false">'Fault &amp; Downtime Entry'!C848</f>
        <v>0</v>
      </c>
      <c r="D847" s="47" t="n">
        <f aca="false">'Fault &amp; Downtime Entry'!D848</f>
        <v>0</v>
      </c>
      <c r="E847" s="47" t="n">
        <f aca="false">'Fault &amp; Downtime Entry'!E848</f>
        <v>0</v>
      </c>
      <c r="F847" s="47" t="str">
        <f aca="false">'Fault &amp; Downtime Entry'!F848</f>
        <v/>
      </c>
      <c r="G847" s="47" t="n">
        <f aca="false">'Fault &amp; Downtime Entry'!G848</f>
        <v>0</v>
      </c>
      <c r="H847" s="47" t="str">
        <f aca="false">'Fault &amp; Downtime Entry'!H848</f>
        <v/>
      </c>
      <c r="I847" s="47" t="str">
        <f aca="false">'Fault &amp; Downtime Entry'!I848</f>
        <v/>
      </c>
      <c r="J847" s="47" t="n">
        <f aca="false">'Fault &amp; Downtime Entry'!J848</f>
        <v>0</v>
      </c>
      <c r="K847" s="47" t="n">
        <f aca="false">'Fault &amp; Downtime Entry'!K848</f>
        <v>0</v>
      </c>
      <c r="L847" s="47" t="n">
        <f aca="false">'Fault &amp; Downtime Entry'!L848</f>
        <v>0</v>
      </c>
      <c r="M847" s="47" t="str">
        <f aca="false">'Fault &amp; Downtime Entry'!M848</f>
        <v/>
      </c>
      <c r="N847" s="47" t="n">
        <f aca="false">'Fault &amp; Downtime Entry'!N848</f>
        <v>0</v>
      </c>
      <c r="O847" s="47" t="n">
        <f aca="false">'Fault &amp; Downtime Entry'!O848</f>
        <v>0</v>
      </c>
      <c r="P847" s="47" t="str">
        <f aca="false">IF(OR(J847="",K847=""),"",IFERROR(J847/K847*1000,0))</f>
        <v/>
      </c>
      <c r="Q847" s="47" t="str">
        <f aca="false">IF(OR(L847="",K847=""),"",IFERROR(L847/K847*1000,0))</f>
        <v/>
      </c>
      <c r="R847" s="47" t="str">
        <f aca="false">IF(OR(M847="High",M847="Critical"),"YES","")</f>
        <v/>
      </c>
    </row>
    <row r="848" customFormat="false" ht="15" hidden="false" customHeight="true" outlineLevel="0" collapsed="false">
      <c r="A848" s="47" t="n">
        <f aca="false">'Fault &amp; Downtime Entry'!A849</f>
        <v>844</v>
      </c>
      <c r="B848" s="48" t="n">
        <f aca="false">'Fault &amp; Downtime Entry'!B849</f>
        <v>0</v>
      </c>
      <c r="C848" s="47" t="n">
        <f aca="false">'Fault &amp; Downtime Entry'!C849</f>
        <v>0</v>
      </c>
      <c r="D848" s="47" t="n">
        <f aca="false">'Fault &amp; Downtime Entry'!D849</f>
        <v>0</v>
      </c>
      <c r="E848" s="47" t="n">
        <f aca="false">'Fault &amp; Downtime Entry'!E849</f>
        <v>0</v>
      </c>
      <c r="F848" s="47" t="str">
        <f aca="false">'Fault &amp; Downtime Entry'!F849</f>
        <v/>
      </c>
      <c r="G848" s="47" t="n">
        <f aca="false">'Fault &amp; Downtime Entry'!G849</f>
        <v>0</v>
      </c>
      <c r="H848" s="47" t="str">
        <f aca="false">'Fault &amp; Downtime Entry'!H849</f>
        <v/>
      </c>
      <c r="I848" s="47" t="str">
        <f aca="false">'Fault &amp; Downtime Entry'!I849</f>
        <v/>
      </c>
      <c r="J848" s="47" t="n">
        <f aca="false">'Fault &amp; Downtime Entry'!J849</f>
        <v>0</v>
      </c>
      <c r="K848" s="47" t="n">
        <f aca="false">'Fault &amp; Downtime Entry'!K849</f>
        <v>0</v>
      </c>
      <c r="L848" s="47" t="n">
        <f aca="false">'Fault &amp; Downtime Entry'!L849</f>
        <v>0</v>
      </c>
      <c r="M848" s="47" t="str">
        <f aca="false">'Fault &amp; Downtime Entry'!M849</f>
        <v/>
      </c>
      <c r="N848" s="47" t="n">
        <f aca="false">'Fault &amp; Downtime Entry'!N849</f>
        <v>0</v>
      </c>
      <c r="O848" s="47" t="n">
        <f aca="false">'Fault &amp; Downtime Entry'!O849</f>
        <v>0</v>
      </c>
      <c r="P848" s="47" t="str">
        <f aca="false">IF(OR(J848="",K848=""),"",IFERROR(J848/K848*1000,0))</f>
        <v/>
      </c>
      <c r="Q848" s="47" t="str">
        <f aca="false">IF(OR(L848="",K848=""),"",IFERROR(L848/K848*1000,0))</f>
        <v/>
      </c>
      <c r="R848" s="47" t="str">
        <f aca="false">IF(OR(M848="High",M848="Critical"),"YES","")</f>
        <v/>
      </c>
    </row>
    <row r="849" customFormat="false" ht="15" hidden="false" customHeight="true" outlineLevel="0" collapsed="false">
      <c r="A849" s="47" t="n">
        <f aca="false">'Fault &amp; Downtime Entry'!A850</f>
        <v>845</v>
      </c>
      <c r="B849" s="48" t="n">
        <f aca="false">'Fault &amp; Downtime Entry'!B850</f>
        <v>0</v>
      </c>
      <c r="C849" s="47" t="n">
        <f aca="false">'Fault &amp; Downtime Entry'!C850</f>
        <v>0</v>
      </c>
      <c r="D849" s="47" t="n">
        <f aca="false">'Fault &amp; Downtime Entry'!D850</f>
        <v>0</v>
      </c>
      <c r="E849" s="47" t="n">
        <f aca="false">'Fault &amp; Downtime Entry'!E850</f>
        <v>0</v>
      </c>
      <c r="F849" s="47" t="str">
        <f aca="false">'Fault &amp; Downtime Entry'!F850</f>
        <v/>
      </c>
      <c r="G849" s="47" t="n">
        <f aca="false">'Fault &amp; Downtime Entry'!G850</f>
        <v>0</v>
      </c>
      <c r="H849" s="47" t="str">
        <f aca="false">'Fault &amp; Downtime Entry'!H850</f>
        <v/>
      </c>
      <c r="I849" s="47" t="str">
        <f aca="false">'Fault &amp; Downtime Entry'!I850</f>
        <v/>
      </c>
      <c r="J849" s="47" t="n">
        <f aca="false">'Fault &amp; Downtime Entry'!J850</f>
        <v>0</v>
      </c>
      <c r="K849" s="47" t="n">
        <f aca="false">'Fault &amp; Downtime Entry'!K850</f>
        <v>0</v>
      </c>
      <c r="L849" s="47" t="n">
        <f aca="false">'Fault &amp; Downtime Entry'!L850</f>
        <v>0</v>
      </c>
      <c r="M849" s="47" t="str">
        <f aca="false">'Fault &amp; Downtime Entry'!M850</f>
        <v/>
      </c>
      <c r="N849" s="47" t="n">
        <f aca="false">'Fault &amp; Downtime Entry'!N850</f>
        <v>0</v>
      </c>
      <c r="O849" s="47" t="n">
        <f aca="false">'Fault &amp; Downtime Entry'!O850</f>
        <v>0</v>
      </c>
      <c r="P849" s="47" t="str">
        <f aca="false">IF(OR(J849="",K849=""),"",IFERROR(J849/K849*1000,0))</f>
        <v/>
      </c>
      <c r="Q849" s="47" t="str">
        <f aca="false">IF(OR(L849="",K849=""),"",IFERROR(L849/K849*1000,0))</f>
        <v/>
      </c>
      <c r="R849" s="47" t="str">
        <f aca="false">IF(OR(M849="High",M849="Critical"),"YES","")</f>
        <v/>
      </c>
    </row>
    <row r="850" customFormat="false" ht="15" hidden="false" customHeight="true" outlineLevel="0" collapsed="false">
      <c r="A850" s="47" t="n">
        <f aca="false">'Fault &amp; Downtime Entry'!A851</f>
        <v>846</v>
      </c>
      <c r="B850" s="48" t="n">
        <f aca="false">'Fault &amp; Downtime Entry'!B851</f>
        <v>0</v>
      </c>
      <c r="C850" s="47" t="n">
        <f aca="false">'Fault &amp; Downtime Entry'!C851</f>
        <v>0</v>
      </c>
      <c r="D850" s="47" t="n">
        <f aca="false">'Fault &amp; Downtime Entry'!D851</f>
        <v>0</v>
      </c>
      <c r="E850" s="47" t="n">
        <f aca="false">'Fault &amp; Downtime Entry'!E851</f>
        <v>0</v>
      </c>
      <c r="F850" s="47" t="str">
        <f aca="false">'Fault &amp; Downtime Entry'!F851</f>
        <v/>
      </c>
      <c r="G850" s="47" t="n">
        <f aca="false">'Fault &amp; Downtime Entry'!G851</f>
        <v>0</v>
      </c>
      <c r="H850" s="47" t="str">
        <f aca="false">'Fault &amp; Downtime Entry'!H851</f>
        <v/>
      </c>
      <c r="I850" s="47" t="str">
        <f aca="false">'Fault &amp; Downtime Entry'!I851</f>
        <v/>
      </c>
      <c r="J850" s="47" t="n">
        <f aca="false">'Fault &amp; Downtime Entry'!J851</f>
        <v>0</v>
      </c>
      <c r="K850" s="47" t="n">
        <f aca="false">'Fault &amp; Downtime Entry'!K851</f>
        <v>0</v>
      </c>
      <c r="L850" s="47" t="n">
        <f aca="false">'Fault &amp; Downtime Entry'!L851</f>
        <v>0</v>
      </c>
      <c r="M850" s="47" t="str">
        <f aca="false">'Fault &amp; Downtime Entry'!M851</f>
        <v/>
      </c>
      <c r="N850" s="47" t="n">
        <f aca="false">'Fault &amp; Downtime Entry'!N851</f>
        <v>0</v>
      </c>
      <c r="O850" s="47" t="n">
        <f aca="false">'Fault &amp; Downtime Entry'!O851</f>
        <v>0</v>
      </c>
      <c r="P850" s="47" t="str">
        <f aca="false">IF(OR(J850="",K850=""),"",IFERROR(J850/K850*1000,0))</f>
        <v/>
      </c>
      <c r="Q850" s="47" t="str">
        <f aca="false">IF(OR(L850="",K850=""),"",IFERROR(L850/K850*1000,0))</f>
        <v/>
      </c>
      <c r="R850" s="47" t="str">
        <f aca="false">IF(OR(M850="High",M850="Critical"),"YES","")</f>
        <v/>
      </c>
    </row>
    <row r="851" customFormat="false" ht="15" hidden="false" customHeight="true" outlineLevel="0" collapsed="false">
      <c r="A851" s="47" t="n">
        <f aca="false">'Fault &amp; Downtime Entry'!A852</f>
        <v>847</v>
      </c>
      <c r="B851" s="48" t="n">
        <f aca="false">'Fault &amp; Downtime Entry'!B852</f>
        <v>0</v>
      </c>
      <c r="C851" s="47" t="n">
        <f aca="false">'Fault &amp; Downtime Entry'!C852</f>
        <v>0</v>
      </c>
      <c r="D851" s="47" t="n">
        <f aca="false">'Fault &amp; Downtime Entry'!D852</f>
        <v>0</v>
      </c>
      <c r="E851" s="47" t="n">
        <f aca="false">'Fault &amp; Downtime Entry'!E852</f>
        <v>0</v>
      </c>
      <c r="F851" s="47" t="str">
        <f aca="false">'Fault &amp; Downtime Entry'!F852</f>
        <v/>
      </c>
      <c r="G851" s="47" t="n">
        <f aca="false">'Fault &amp; Downtime Entry'!G852</f>
        <v>0</v>
      </c>
      <c r="H851" s="47" t="str">
        <f aca="false">'Fault &amp; Downtime Entry'!H852</f>
        <v/>
      </c>
      <c r="I851" s="47" t="str">
        <f aca="false">'Fault &amp; Downtime Entry'!I852</f>
        <v/>
      </c>
      <c r="J851" s="47" t="n">
        <f aca="false">'Fault &amp; Downtime Entry'!J852</f>
        <v>0</v>
      </c>
      <c r="K851" s="47" t="n">
        <f aca="false">'Fault &amp; Downtime Entry'!K852</f>
        <v>0</v>
      </c>
      <c r="L851" s="47" t="n">
        <f aca="false">'Fault &amp; Downtime Entry'!L852</f>
        <v>0</v>
      </c>
      <c r="M851" s="47" t="str">
        <f aca="false">'Fault &amp; Downtime Entry'!M852</f>
        <v/>
      </c>
      <c r="N851" s="47" t="n">
        <f aca="false">'Fault &amp; Downtime Entry'!N852</f>
        <v>0</v>
      </c>
      <c r="O851" s="47" t="n">
        <f aca="false">'Fault &amp; Downtime Entry'!O852</f>
        <v>0</v>
      </c>
      <c r="P851" s="47" t="str">
        <f aca="false">IF(OR(J851="",K851=""),"",IFERROR(J851/K851*1000,0))</f>
        <v/>
      </c>
      <c r="Q851" s="47" t="str">
        <f aca="false">IF(OR(L851="",K851=""),"",IFERROR(L851/K851*1000,0))</f>
        <v/>
      </c>
      <c r="R851" s="47" t="str">
        <f aca="false">IF(OR(M851="High",M851="Critical"),"YES","")</f>
        <v/>
      </c>
    </row>
    <row r="852" customFormat="false" ht="15" hidden="false" customHeight="true" outlineLevel="0" collapsed="false">
      <c r="A852" s="47" t="n">
        <f aca="false">'Fault &amp; Downtime Entry'!A853</f>
        <v>848</v>
      </c>
      <c r="B852" s="48" t="n">
        <f aca="false">'Fault &amp; Downtime Entry'!B853</f>
        <v>0</v>
      </c>
      <c r="C852" s="47" t="n">
        <f aca="false">'Fault &amp; Downtime Entry'!C853</f>
        <v>0</v>
      </c>
      <c r="D852" s="47" t="n">
        <f aca="false">'Fault &amp; Downtime Entry'!D853</f>
        <v>0</v>
      </c>
      <c r="E852" s="47" t="n">
        <f aca="false">'Fault &amp; Downtime Entry'!E853</f>
        <v>0</v>
      </c>
      <c r="F852" s="47" t="str">
        <f aca="false">'Fault &amp; Downtime Entry'!F853</f>
        <v/>
      </c>
      <c r="G852" s="47" t="n">
        <f aca="false">'Fault &amp; Downtime Entry'!G853</f>
        <v>0</v>
      </c>
      <c r="H852" s="47" t="str">
        <f aca="false">'Fault &amp; Downtime Entry'!H853</f>
        <v/>
      </c>
      <c r="I852" s="47" t="str">
        <f aca="false">'Fault &amp; Downtime Entry'!I853</f>
        <v/>
      </c>
      <c r="J852" s="47" t="n">
        <f aca="false">'Fault &amp; Downtime Entry'!J853</f>
        <v>0</v>
      </c>
      <c r="K852" s="47" t="n">
        <f aca="false">'Fault &amp; Downtime Entry'!K853</f>
        <v>0</v>
      </c>
      <c r="L852" s="47" t="n">
        <f aca="false">'Fault &amp; Downtime Entry'!L853</f>
        <v>0</v>
      </c>
      <c r="M852" s="47" t="str">
        <f aca="false">'Fault &amp; Downtime Entry'!M853</f>
        <v/>
      </c>
      <c r="N852" s="47" t="n">
        <f aca="false">'Fault &amp; Downtime Entry'!N853</f>
        <v>0</v>
      </c>
      <c r="O852" s="47" t="n">
        <f aca="false">'Fault &amp; Downtime Entry'!O853</f>
        <v>0</v>
      </c>
      <c r="P852" s="47" t="str">
        <f aca="false">IF(OR(J852="",K852=""),"",IFERROR(J852/K852*1000,0))</f>
        <v/>
      </c>
      <c r="Q852" s="47" t="str">
        <f aca="false">IF(OR(L852="",K852=""),"",IFERROR(L852/K852*1000,0))</f>
        <v/>
      </c>
      <c r="R852" s="47" t="str">
        <f aca="false">IF(OR(M852="High",M852="Critical"),"YES","")</f>
        <v/>
      </c>
    </row>
    <row r="853" customFormat="false" ht="15" hidden="false" customHeight="true" outlineLevel="0" collapsed="false">
      <c r="A853" s="47" t="n">
        <f aca="false">'Fault &amp; Downtime Entry'!A854</f>
        <v>849</v>
      </c>
      <c r="B853" s="48" t="n">
        <f aca="false">'Fault &amp; Downtime Entry'!B854</f>
        <v>0</v>
      </c>
      <c r="C853" s="47" t="n">
        <f aca="false">'Fault &amp; Downtime Entry'!C854</f>
        <v>0</v>
      </c>
      <c r="D853" s="47" t="n">
        <f aca="false">'Fault &amp; Downtime Entry'!D854</f>
        <v>0</v>
      </c>
      <c r="E853" s="47" t="n">
        <f aca="false">'Fault &amp; Downtime Entry'!E854</f>
        <v>0</v>
      </c>
      <c r="F853" s="47" t="str">
        <f aca="false">'Fault &amp; Downtime Entry'!F854</f>
        <v/>
      </c>
      <c r="G853" s="47" t="n">
        <f aca="false">'Fault &amp; Downtime Entry'!G854</f>
        <v>0</v>
      </c>
      <c r="H853" s="47" t="str">
        <f aca="false">'Fault &amp; Downtime Entry'!H854</f>
        <v/>
      </c>
      <c r="I853" s="47" t="str">
        <f aca="false">'Fault &amp; Downtime Entry'!I854</f>
        <v/>
      </c>
      <c r="J853" s="47" t="n">
        <f aca="false">'Fault &amp; Downtime Entry'!J854</f>
        <v>0</v>
      </c>
      <c r="K853" s="47" t="n">
        <f aca="false">'Fault &amp; Downtime Entry'!K854</f>
        <v>0</v>
      </c>
      <c r="L853" s="47" t="n">
        <f aca="false">'Fault &amp; Downtime Entry'!L854</f>
        <v>0</v>
      </c>
      <c r="M853" s="47" t="str">
        <f aca="false">'Fault &amp; Downtime Entry'!M854</f>
        <v/>
      </c>
      <c r="N853" s="47" t="n">
        <f aca="false">'Fault &amp; Downtime Entry'!N854</f>
        <v>0</v>
      </c>
      <c r="O853" s="47" t="n">
        <f aca="false">'Fault &amp; Downtime Entry'!O854</f>
        <v>0</v>
      </c>
      <c r="P853" s="47" t="str">
        <f aca="false">IF(OR(J853="",K853=""),"",IFERROR(J853/K853*1000,0))</f>
        <v/>
      </c>
      <c r="Q853" s="47" t="str">
        <f aca="false">IF(OR(L853="",K853=""),"",IFERROR(L853/K853*1000,0))</f>
        <v/>
      </c>
      <c r="R853" s="47" t="str">
        <f aca="false">IF(OR(M853="High",M853="Critical"),"YES","")</f>
        <v/>
      </c>
    </row>
    <row r="854" customFormat="false" ht="15" hidden="false" customHeight="true" outlineLevel="0" collapsed="false">
      <c r="A854" s="47" t="n">
        <f aca="false">'Fault &amp; Downtime Entry'!A855</f>
        <v>850</v>
      </c>
      <c r="B854" s="48" t="n">
        <f aca="false">'Fault &amp; Downtime Entry'!B855</f>
        <v>0</v>
      </c>
      <c r="C854" s="47" t="n">
        <f aca="false">'Fault &amp; Downtime Entry'!C855</f>
        <v>0</v>
      </c>
      <c r="D854" s="47" t="n">
        <f aca="false">'Fault &amp; Downtime Entry'!D855</f>
        <v>0</v>
      </c>
      <c r="E854" s="47" t="n">
        <f aca="false">'Fault &amp; Downtime Entry'!E855</f>
        <v>0</v>
      </c>
      <c r="F854" s="47" t="str">
        <f aca="false">'Fault &amp; Downtime Entry'!F855</f>
        <v/>
      </c>
      <c r="G854" s="47" t="n">
        <f aca="false">'Fault &amp; Downtime Entry'!G855</f>
        <v>0</v>
      </c>
      <c r="H854" s="47" t="str">
        <f aca="false">'Fault &amp; Downtime Entry'!H855</f>
        <v/>
      </c>
      <c r="I854" s="47" t="str">
        <f aca="false">'Fault &amp; Downtime Entry'!I855</f>
        <v/>
      </c>
      <c r="J854" s="47" t="n">
        <f aca="false">'Fault &amp; Downtime Entry'!J855</f>
        <v>0</v>
      </c>
      <c r="K854" s="47" t="n">
        <f aca="false">'Fault &amp; Downtime Entry'!K855</f>
        <v>0</v>
      </c>
      <c r="L854" s="47" t="n">
        <f aca="false">'Fault &amp; Downtime Entry'!L855</f>
        <v>0</v>
      </c>
      <c r="M854" s="47" t="str">
        <f aca="false">'Fault &amp; Downtime Entry'!M855</f>
        <v/>
      </c>
      <c r="N854" s="47" t="n">
        <f aca="false">'Fault &amp; Downtime Entry'!N855</f>
        <v>0</v>
      </c>
      <c r="O854" s="47" t="n">
        <f aca="false">'Fault &amp; Downtime Entry'!O855</f>
        <v>0</v>
      </c>
      <c r="P854" s="47" t="str">
        <f aca="false">IF(OR(J854="",K854=""),"",IFERROR(J854/K854*1000,0))</f>
        <v/>
      </c>
      <c r="Q854" s="47" t="str">
        <f aca="false">IF(OR(L854="",K854=""),"",IFERROR(L854/K854*1000,0))</f>
        <v/>
      </c>
      <c r="R854" s="47" t="str">
        <f aca="false">IF(OR(M854="High",M854="Critical"),"YES","")</f>
        <v/>
      </c>
    </row>
    <row r="855" customFormat="false" ht="15" hidden="false" customHeight="true" outlineLevel="0" collapsed="false">
      <c r="A855" s="47" t="n">
        <f aca="false">'Fault &amp; Downtime Entry'!A856</f>
        <v>851</v>
      </c>
      <c r="B855" s="48" t="n">
        <f aca="false">'Fault &amp; Downtime Entry'!B856</f>
        <v>0</v>
      </c>
      <c r="C855" s="47" t="n">
        <f aca="false">'Fault &amp; Downtime Entry'!C856</f>
        <v>0</v>
      </c>
      <c r="D855" s="47" t="n">
        <f aca="false">'Fault &amp; Downtime Entry'!D856</f>
        <v>0</v>
      </c>
      <c r="E855" s="47" t="n">
        <f aca="false">'Fault &amp; Downtime Entry'!E856</f>
        <v>0</v>
      </c>
      <c r="F855" s="47" t="str">
        <f aca="false">'Fault &amp; Downtime Entry'!F856</f>
        <v/>
      </c>
      <c r="G855" s="47" t="n">
        <f aca="false">'Fault &amp; Downtime Entry'!G856</f>
        <v>0</v>
      </c>
      <c r="H855" s="47" t="str">
        <f aca="false">'Fault &amp; Downtime Entry'!H856</f>
        <v/>
      </c>
      <c r="I855" s="47" t="str">
        <f aca="false">'Fault &amp; Downtime Entry'!I856</f>
        <v/>
      </c>
      <c r="J855" s="47" t="n">
        <f aca="false">'Fault &amp; Downtime Entry'!J856</f>
        <v>0</v>
      </c>
      <c r="K855" s="47" t="n">
        <f aca="false">'Fault &amp; Downtime Entry'!K856</f>
        <v>0</v>
      </c>
      <c r="L855" s="47" t="n">
        <f aca="false">'Fault &amp; Downtime Entry'!L856</f>
        <v>0</v>
      </c>
      <c r="M855" s="47" t="str">
        <f aca="false">'Fault &amp; Downtime Entry'!M856</f>
        <v/>
      </c>
      <c r="N855" s="47" t="n">
        <f aca="false">'Fault &amp; Downtime Entry'!N856</f>
        <v>0</v>
      </c>
      <c r="O855" s="47" t="n">
        <f aca="false">'Fault &amp; Downtime Entry'!O856</f>
        <v>0</v>
      </c>
      <c r="P855" s="47" t="str">
        <f aca="false">IF(OR(J855="",K855=""),"",IFERROR(J855/K855*1000,0))</f>
        <v/>
      </c>
      <c r="Q855" s="47" t="str">
        <f aca="false">IF(OR(L855="",K855=""),"",IFERROR(L855/K855*1000,0))</f>
        <v/>
      </c>
      <c r="R855" s="47" t="str">
        <f aca="false">IF(OR(M855="High",M855="Critical"),"YES","")</f>
        <v/>
      </c>
    </row>
    <row r="856" customFormat="false" ht="15" hidden="false" customHeight="true" outlineLevel="0" collapsed="false">
      <c r="A856" s="47" t="n">
        <f aca="false">'Fault &amp; Downtime Entry'!A857</f>
        <v>852</v>
      </c>
      <c r="B856" s="48" t="n">
        <f aca="false">'Fault &amp; Downtime Entry'!B857</f>
        <v>0</v>
      </c>
      <c r="C856" s="47" t="n">
        <f aca="false">'Fault &amp; Downtime Entry'!C857</f>
        <v>0</v>
      </c>
      <c r="D856" s="47" t="n">
        <f aca="false">'Fault &amp; Downtime Entry'!D857</f>
        <v>0</v>
      </c>
      <c r="E856" s="47" t="n">
        <f aca="false">'Fault &amp; Downtime Entry'!E857</f>
        <v>0</v>
      </c>
      <c r="F856" s="47" t="str">
        <f aca="false">'Fault &amp; Downtime Entry'!F857</f>
        <v/>
      </c>
      <c r="G856" s="47" t="n">
        <f aca="false">'Fault &amp; Downtime Entry'!G857</f>
        <v>0</v>
      </c>
      <c r="H856" s="47" t="str">
        <f aca="false">'Fault &amp; Downtime Entry'!H857</f>
        <v/>
      </c>
      <c r="I856" s="47" t="str">
        <f aca="false">'Fault &amp; Downtime Entry'!I857</f>
        <v/>
      </c>
      <c r="J856" s="47" t="n">
        <f aca="false">'Fault &amp; Downtime Entry'!J857</f>
        <v>0</v>
      </c>
      <c r="K856" s="47" t="n">
        <f aca="false">'Fault &amp; Downtime Entry'!K857</f>
        <v>0</v>
      </c>
      <c r="L856" s="47" t="n">
        <f aca="false">'Fault &amp; Downtime Entry'!L857</f>
        <v>0</v>
      </c>
      <c r="M856" s="47" t="str">
        <f aca="false">'Fault &amp; Downtime Entry'!M857</f>
        <v/>
      </c>
      <c r="N856" s="47" t="n">
        <f aca="false">'Fault &amp; Downtime Entry'!N857</f>
        <v>0</v>
      </c>
      <c r="O856" s="47" t="n">
        <f aca="false">'Fault &amp; Downtime Entry'!O857</f>
        <v>0</v>
      </c>
      <c r="P856" s="47" t="str">
        <f aca="false">IF(OR(J856="",K856=""),"",IFERROR(J856/K856*1000,0))</f>
        <v/>
      </c>
      <c r="Q856" s="47" t="str">
        <f aca="false">IF(OR(L856="",K856=""),"",IFERROR(L856/K856*1000,0))</f>
        <v/>
      </c>
      <c r="R856" s="47" t="str">
        <f aca="false">IF(OR(M856="High",M856="Critical"),"YES","")</f>
        <v/>
      </c>
    </row>
    <row r="857" customFormat="false" ht="15" hidden="false" customHeight="true" outlineLevel="0" collapsed="false">
      <c r="A857" s="47" t="n">
        <f aca="false">'Fault &amp; Downtime Entry'!A858</f>
        <v>853</v>
      </c>
      <c r="B857" s="48" t="n">
        <f aca="false">'Fault &amp; Downtime Entry'!B858</f>
        <v>0</v>
      </c>
      <c r="C857" s="47" t="n">
        <f aca="false">'Fault &amp; Downtime Entry'!C858</f>
        <v>0</v>
      </c>
      <c r="D857" s="47" t="n">
        <f aca="false">'Fault &amp; Downtime Entry'!D858</f>
        <v>0</v>
      </c>
      <c r="E857" s="47" t="n">
        <f aca="false">'Fault &amp; Downtime Entry'!E858</f>
        <v>0</v>
      </c>
      <c r="F857" s="47" t="str">
        <f aca="false">'Fault &amp; Downtime Entry'!F858</f>
        <v/>
      </c>
      <c r="G857" s="47" t="n">
        <f aca="false">'Fault &amp; Downtime Entry'!G858</f>
        <v>0</v>
      </c>
      <c r="H857" s="47" t="str">
        <f aca="false">'Fault &amp; Downtime Entry'!H858</f>
        <v/>
      </c>
      <c r="I857" s="47" t="str">
        <f aca="false">'Fault &amp; Downtime Entry'!I858</f>
        <v/>
      </c>
      <c r="J857" s="47" t="n">
        <f aca="false">'Fault &amp; Downtime Entry'!J858</f>
        <v>0</v>
      </c>
      <c r="K857" s="47" t="n">
        <f aca="false">'Fault &amp; Downtime Entry'!K858</f>
        <v>0</v>
      </c>
      <c r="L857" s="47" t="n">
        <f aca="false">'Fault &amp; Downtime Entry'!L858</f>
        <v>0</v>
      </c>
      <c r="M857" s="47" t="str">
        <f aca="false">'Fault &amp; Downtime Entry'!M858</f>
        <v/>
      </c>
      <c r="N857" s="47" t="n">
        <f aca="false">'Fault &amp; Downtime Entry'!N858</f>
        <v>0</v>
      </c>
      <c r="O857" s="47" t="n">
        <f aca="false">'Fault &amp; Downtime Entry'!O858</f>
        <v>0</v>
      </c>
      <c r="P857" s="47" t="str">
        <f aca="false">IF(OR(J857="",K857=""),"",IFERROR(J857/K857*1000,0))</f>
        <v/>
      </c>
      <c r="Q857" s="47" t="str">
        <f aca="false">IF(OR(L857="",K857=""),"",IFERROR(L857/K857*1000,0))</f>
        <v/>
      </c>
      <c r="R857" s="47" t="str">
        <f aca="false">IF(OR(M857="High",M857="Critical"),"YES","")</f>
        <v/>
      </c>
    </row>
    <row r="858" customFormat="false" ht="15" hidden="false" customHeight="true" outlineLevel="0" collapsed="false">
      <c r="A858" s="47" t="n">
        <f aca="false">'Fault &amp; Downtime Entry'!A859</f>
        <v>854</v>
      </c>
      <c r="B858" s="48" t="n">
        <f aca="false">'Fault &amp; Downtime Entry'!B859</f>
        <v>0</v>
      </c>
      <c r="C858" s="47" t="n">
        <f aca="false">'Fault &amp; Downtime Entry'!C859</f>
        <v>0</v>
      </c>
      <c r="D858" s="47" t="n">
        <f aca="false">'Fault &amp; Downtime Entry'!D859</f>
        <v>0</v>
      </c>
      <c r="E858" s="47" t="n">
        <f aca="false">'Fault &amp; Downtime Entry'!E859</f>
        <v>0</v>
      </c>
      <c r="F858" s="47" t="str">
        <f aca="false">'Fault &amp; Downtime Entry'!F859</f>
        <v/>
      </c>
      <c r="G858" s="47" t="n">
        <f aca="false">'Fault &amp; Downtime Entry'!G859</f>
        <v>0</v>
      </c>
      <c r="H858" s="47" t="str">
        <f aca="false">'Fault &amp; Downtime Entry'!H859</f>
        <v/>
      </c>
      <c r="I858" s="47" t="str">
        <f aca="false">'Fault &amp; Downtime Entry'!I859</f>
        <v/>
      </c>
      <c r="J858" s="47" t="n">
        <f aca="false">'Fault &amp; Downtime Entry'!J859</f>
        <v>0</v>
      </c>
      <c r="K858" s="47" t="n">
        <f aca="false">'Fault &amp; Downtime Entry'!K859</f>
        <v>0</v>
      </c>
      <c r="L858" s="47" t="n">
        <f aca="false">'Fault &amp; Downtime Entry'!L859</f>
        <v>0</v>
      </c>
      <c r="M858" s="47" t="str">
        <f aca="false">'Fault &amp; Downtime Entry'!M859</f>
        <v/>
      </c>
      <c r="N858" s="47" t="n">
        <f aca="false">'Fault &amp; Downtime Entry'!N859</f>
        <v>0</v>
      </c>
      <c r="O858" s="47" t="n">
        <f aca="false">'Fault &amp; Downtime Entry'!O859</f>
        <v>0</v>
      </c>
      <c r="P858" s="47" t="str">
        <f aca="false">IF(OR(J858="",K858=""),"",IFERROR(J858/K858*1000,0))</f>
        <v/>
      </c>
      <c r="Q858" s="47" t="str">
        <f aca="false">IF(OR(L858="",K858=""),"",IFERROR(L858/K858*1000,0))</f>
        <v/>
      </c>
      <c r="R858" s="47" t="str">
        <f aca="false">IF(OR(M858="High",M858="Critical"),"YES","")</f>
        <v/>
      </c>
    </row>
    <row r="859" customFormat="false" ht="15" hidden="false" customHeight="true" outlineLevel="0" collapsed="false">
      <c r="A859" s="47" t="n">
        <f aca="false">'Fault &amp; Downtime Entry'!A860</f>
        <v>855</v>
      </c>
      <c r="B859" s="48" t="n">
        <f aca="false">'Fault &amp; Downtime Entry'!B860</f>
        <v>0</v>
      </c>
      <c r="C859" s="47" t="n">
        <f aca="false">'Fault &amp; Downtime Entry'!C860</f>
        <v>0</v>
      </c>
      <c r="D859" s="47" t="n">
        <f aca="false">'Fault &amp; Downtime Entry'!D860</f>
        <v>0</v>
      </c>
      <c r="E859" s="47" t="n">
        <f aca="false">'Fault &amp; Downtime Entry'!E860</f>
        <v>0</v>
      </c>
      <c r="F859" s="47" t="str">
        <f aca="false">'Fault &amp; Downtime Entry'!F860</f>
        <v/>
      </c>
      <c r="G859" s="47" t="n">
        <f aca="false">'Fault &amp; Downtime Entry'!G860</f>
        <v>0</v>
      </c>
      <c r="H859" s="47" t="str">
        <f aca="false">'Fault &amp; Downtime Entry'!H860</f>
        <v/>
      </c>
      <c r="I859" s="47" t="str">
        <f aca="false">'Fault &amp; Downtime Entry'!I860</f>
        <v/>
      </c>
      <c r="J859" s="47" t="n">
        <f aca="false">'Fault &amp; Downtime Entry'!J860</f>
        <v>0</v>
      </c>
      <c r="K859" s="47" t="n">
        <f aca="false">'Fault &amp; Downtime Entry'!K860</f>
        <v>0</v>
      </c>
      <c r="L859" s="47" t="n">
        <f aca="false">'Fault &amp; Downtime Entry'!L860</f>
        <v>0</v>
      </c>
      <c r="M859" s="47" t="str">
        <f aca="false">'Fault &amp; Downtime Entry'!M860</f>
        <v/>
      </c>
      <c r="N859" s="47" t="n">
        <f aca="false">'Fault &amp; Downtime Entry'!N860</f>
        <v>0</v>
      </c>
      <c r="O859" s="47" t="n">
        <f aca="false">'Fault &amp; Downtime Entry'!O860</f>
        <v>0</v>
      </c>
      <c r="P859" s="47" t="str">
        <f aca="false">IF(OR(J859="",K859=""),"",IFERROR(J859/K859*1000,0))</f>
        <v/>
      </c>
      <c r="Q859" s="47" t="str">
        <f aca="false">IF(OR(L859="",K859=""),"",IFERROR(L859/K859*1000,0))</f>
        <v/>
      </c>
      <c r="R859" s="47" t="str">
        <f aca="false">IF(OR(M859="High",M859="Critical"),"YES","")</f>
        <v/>
      </c>
    </row>
    <row r="860" customFormat="false" ht="15" hidden="false" customHeight="true" outlineLevel="0" collapsed="false">
      <c r="A860" s="47" t="n">
        <f aca="false">'Fault &amp; Downtime Entry'!A861</f>
        <v>856</v>
      </c>
      <c r="B860" s="48" t="n">
        <f aca="false">'Fault &amp; Downtime Entry'!B861</f>
        <v>0</v>
      </c>
      <c r="C860" s="47" t="n">
        <f aca="false">'Fault &amp; Downtime Entry'!C861</f>
        <v>0</v>
      </c>
      <c r="D860" s="47" t="n">
        <f aca="false">'Fault &amp; Downtime Entry'!D861</f>
        <v>0</v>
      </c>
      <c r="E860" s="47" t="n">
        <f aca="false">'Fault &amp; Downtime Entry'!E861</f>
        <v>0</v>
      </c>
      <c r="F860" s="47" t="str">
        <f aca="false">'Fault &amp; Downtime Entry'!F861</f>
        <v/>
      </c>
      <c r="G860" s="47" t="n">
        <f aca="false">'Fault &amp; Downtime Entry'!G861</f>
        <v>0</v>
      </c>
      <c r="H860" s="47" t="str">
        <f aca="false">'Fault &amp; Downtime Entry'!H861</f>
        <v/>
      </c>
      <c r="I860" s="47" t="str">
        <f aca="false">'Fault &amp; Downtime Entry'!I861</f>
        <v/>
      </c>
      <c r="J860" s="47" t="n">
        <f aca="false">'Fault &amp; Downtime Entry'!J861</f>
        <v>0</v>
      </c>
      <c r="K860" s="47" t="n">
        <f aca="false">'Fault &amp; Downtime Entry'!K861</f>
        <v>0</v>
      </c>
      <c r="L860" s="47" t="n">
        <f aca="false">'Fault &amp; Downtime Entry'!L861</f>
        <v>0</v>
      </c>
      <c r="M860" s="47" t="str">
        <f aca="false">'Fault &amp; Downtime Entry'!M861</f>
        <v/>
      </c>
      <c r="N860" s="47" t="n">
        <f aca="false">'Fault &amp; Downtime Entry'!N861</f>
        <v>0</v>
      </c>
      <c r="O860" s="47" t="n">
        <f aca="false">'Fault &amp; Downtime Entry'!O861</f>
        <v>0</v>
      </c>
      <c r="P860" s="47" t="str">
        <f aca="false">IF(OR(J860="",K860=""),"",IFERROR(J860/K860*1000,0))</f>
        <v/>
      </c>
      <c r="Q860" s="47" t="str">
        <f aca="false">IF(OR(L860="",K860=""),"",IFERROR(L860/K860*1000,0))</f>
        <v/>
      </c>
      <c r="R860" s="47" t="str">
        <f aca="false">IF(OR(M860="High",M860="Critical"),"YES","")</f>
        <v/>
      </c>
    </row>
    <row r="861" customFormat="false" ht="15" hidden="false" customHeight="true" outlineLevel="0" collapsed="false">
      <c r="A861" s="47" t="n">
        <f aca="false">'Fault &amp; Downtime Entry'!A862</f>
        <v>857</v>
      </c>
      <c r="B861" s="48" t="n">
        <f aca="false">'Fault &amp; Downtime Entry'!B862</f>
        <v>0</v>
      </c>
      <c r="C861" s="47" t="n">
        <f aca="false">'Fault &amp; Downtime Entry'!C862</f>
        <v>0</v>
      </c>
      <c r="D861" s="47" t="n">
        <f aca="false">'Fault &amp; Downtime Entry'!D862</f>
        <v>0</v>
      </c>
      <c r="E861" s="47" t="n">
        <f aca="false">'Fault &amp; Downtime Entry'!E862</f>
        <v>0</v>
      </c>
      <c r="F861" s="47" t="str">
        <f aca="false">'Fault &amp; Downtime Entry'!F862</f>
        <v/>
      </c>
      <c r="G861" s="47" t="n">
        <f aca="false">'Fault &amp; Downtime Entry'!G862</f>
        <v>0</v>
      </c>
      <c r="H861" s="47" t="str">
        <f aca="false">'Fault &amp; Downtime Entry'!H862</f>
        <v/>
      </c>
      <c r="I861" s="47" t="str">
        <f aca="false">'Fault &amp; Downtime Entry'!I862</f>
        <v/>
      </c>
      <c r="J861" s="47" t="n">
        <f aca="false">'Fault &amp; Downtime Entry'!J862</f>
        <v>0</v>
      </c>
      <c r="K861" s="47" t="n">
        <f aca="false">'Fault &amp; Downtime Entry'!K862</f>
        <v>0</v>
      </c>
      <c r="L861" s="47" t="n">
        <f aca="false">'Fault &amp; Downtime Entry'!L862</f>
        <v>0</v>
      </c>
      <c r="M861" s="47" t="str">
        <f aca="false">'Fault &amp; Downtime Entry'!M862</f>
        <v/>
      </c>
      <c r="N861" s="47" t="n">
        <f aca="false">'Fault &amp; Downtime Entry'!N862</f>
        <v>0</v>
      </c>
      <c r="O861" s="47" t="n">
        <f aca="false">'Fault &amp; Downtime Entry'!O862</f>
        <v>0</v>
      </c>
      <c r="P861" s="47" t="str">
        <f aca="false">IF(OR(J861="",K861=""),"",IFERROR(J861/K861*1000,0))</f>
        <v/>
      </c>
      <c r="Q861" s="47" t="str">
        <f aca="false">IF(OR(L861="",K861=""),"",IFERROR(L861/K861*1000,0))</f>
        <v/>
      </c>
      <c r="R861" s="47" t="str">
        <f aca="false">IF(OR(M861="High",M861="Critical"),"YES","")</f>
        <v/>
      </c>
    </row>
    <row r="862" customFormat="false" ht="15" hidden="false" customHeight="true" outlineLevel="0" collapsed="false">
      <c r="A862" s="47" t="n">
        <f aca="false">'Fault &amp; Downtime Entry'!A863</f>
        <v>858</v>
      </c>
      <c r="B862" s="48" t="n">
        <f aca="false">'Fault &amp; Downtime Entry'!B863</f>
        <v>0</v>
      </c>
      <c r="C862" s="47" t="n">
        <f aca="false">'Fault &amp; Downtime Entry'!C863</f>
        <v>0</v>
      </c>
      <c r="D862" s="47" t="n">
        <f aca="false">'Fault &amp; Downtime Entry'!D863</f>
        <v>0</v>
      </c>
      <c r="E862" s="47" t="n">
        <f aca="false">'Fault &amp; Downtime Entry'!E863</f>
        <v>0</v>
      </c>
      <c r="F862" s="47" t="str">
        <f aca="false">'Fault &amp; Downtime Entry'!F863</f>
        <v/>
      </c>
      <c r="G862" s="47" t="n">
        <f aca="false">'Fault &amp; Downtime Entry'!G863</f>
        <v>0</v>
      </c>
      <c r="H862" s="47" t="str">
        <f aca="false">'Fault &amp; Downtime Entry'!H863</f>
        <v/>
      </c>
      <c r="I862" s="47" t="str">
        <f aca="false">'Fault &amp; Downtime Entry'!I863</f>
        <v/>
      </c>
      <c r="J862" s="47" t="n">
        <f aca="false">'Fault &amp; Downtime Entry'!J863</f>
        <v>0</v>
      </c>
      <c r="K862" s="47" t="n">
        <f aca="false">'Fault &amp; Downtime Entry'!K863</f>
        <v>0</v>
      </c>
      <c r="L862" s="47" t="n">
        <f aca="false">'Fault &amp; Downtime Entry'!L863</f>
        <v>0</v>
      </c>
      <c r="M862" s="47" t="str">
        <f aca="false">'Fault &amp; Downtime Entry'!M863</f>
        <v/>
      </c>
      <c r="N862" s="47" t="n">
        <f aca="false">'Fault &amp; Downtime Entry'!N863</f>
        <v>0</v>
      </c>
      <c r="O862" s="47" t="n">
        <f aca="false">'Fault &amp; Downtime Entry'!O863</f>
        <v>0</v>
      </c>
      <c r="P862" s="47" t="str">
        <f aca="false">IF(OR(J862="",K862=""),"",IFERROR(J862/K862*1000,0))</f>
        <v/>
      </c>
      <c r="Q862" s="47" t="str">
        <f aca="false">IF(OR(L862="",K862=""),"",IFERROR(L862/K862*1000,0))</f>
        <v/>
      </c>
      <c r="R862" s="47" t="str">
        <f aca="false">IF(OR(M862="High",M862="Critical"),"YES","")</f>
        <v/>
      </c>
    </row>
    <row r="863" customFormat="false" ht="15" hidden="false" customHeight="true" outlineLevel="0" collapsed="false">
      <c r="A863" s="47" t="n">
        <f aca="false">'Fault &amp; Downtime Entry'!A864</f>
        <v>859</v>
      </c>
      <c r="B863" s="48" t="n">
        <f aca="false">'Fault &amp; Downtime Entry'!B864</f>
        <v>0</v>
      </c>
      <c r="C863" s="47" t="n">
        <f aca="false">'Fault &amp; Downtime Entry'!C864</f>
        <v>0</v>
      </c>
      <c r="D863" s="47" t="n">
        <f aca="false">'Fault &amp; Downtime Entry'!D864</f>
        <v>0</v>
      </c>
      <c r="E863" s="47" t="n">
        <f aca="false">'Fault &amp; Downtime Entry'!E864</f>
        <v>0</v>
      </c>
      <c r="F863" s="47" t="str">
        <f aca="false">'Fault &amp; Downtime Entry'!F864</f>
        <v/>
      </c>
      <c r="G863" s="47" t="n">
        <f aca="false">'Fault &amp; Downtime Entry'!G864</f>
        <v>0</v>
      </c>
      <c r="H863" s="47" t="str">
        <f aca="false">'Fault &amp; Downtime Entry'!H864</f>
        <v/>
      </c>
      <c r="I863" s="47" t="str">
        <f aca="false">'Fault &amp; Downtime Entry'!I864</f>
        <v/>
      </c>
      <c r="J863" s="47" t="n">
        <f aca="false">'Fault &amp; Downtime Entry'!J864</f>
        <v>0</v>
      </c>
      <c r="K863" s="47" t="n">
        <f aca="false">'Fault &amp; Downtime Entry'!K864</f>
        <v>0</v>
      </c>
      <c r="L863" s="47" t="n">
        <f aca="false">'Fault &amp; Downtime Entry'!L864</f>
        <v>0</v>
      </c>
      <c r="M863" s="47" t="str">
        <f aca="false">'Fault &amp; Downtime Entry'!M864</f>
        <v/>
      </c>
      <c r="N863" s="47" t="n">
        <f aca="false">'Fault &amp; Downtime Entry'!N864</f>
        <v>0</v>
      </c>
      <c r="O863" s="47" t="n">
        <f aca="false">'Fault &amp; Downtime Entry'!O864</f>
        <v>0</v>
      </c>
      <c r="P863" s="47" t="str">
        <f aca="false">IF(OR(J863="",K863=""),"",IFERROR(J863/K863*1000,0))</f>
        <v/>
      </c>
      <c r="Q863" s="47" t="str">
        <f aca="false">IF(OR(L863="",K863=""),"",IFERROR(L863/K863*1000,0))</f>
        <v/>
      </c>
      <c r="R863" s="47" t="str">
        <f aca="false">IF(OR(M863="High",M863="Critical"),"YES","")</f>
        <v/>
      </c>
    </row>
    <row r="864" customFormat="false" ht="15" hidden="false" customHeight="true" outlineLevel="0" collapsed="false">
      <c r="A864" s="47" t="n">
        <f aca="false">'Fault &amp; Downtime Entry'!A865</f>
        <v>860</v>
      </c>
      <c r="B864" s="48" t="n">
        <f aca="false">'Fault &amp; Downtime Entry'!B865</f>
        <v>0</v>
      </c>
      <c r="C864" s="47" t="n">
        <f aca="false">'Fault &amp; Downtime Entry'!C865</f>
        <v>0</v>
      </c>
      <c r="D864" s="47" t="n">
        <f aca="false">'Fault &amp; Downtime Entry'!D865</f>
        <v>0</v>
      </c>
      <c r="E864" s="47" t="n">
        <f aca="false">'Fault &amp; Downtime Entry'!E865</f>
        <v>0</v>
      </c>
      <c r="F864" s="47" t="str">
        <f aca="false">'Fault &amp; Downtime Entry'!F865</f>
        <v/>
      </c>
      <c r="G864" s="47" t="n">
        <f aca="false">'Fault &amp; Downtime Entry'!G865</f>
        <v>0</v>
      </c>
      <c r="H864" s="47" t="str">
        <f aca="false">'Fault &amp; Downtime Entry'!H865</f>
        <v/>
      </c>
      <c r="I864" s="47" t="str">
        <f aca="false">'Fault &amp; Downtime Entry'!I865</f>
        <v/>
      </c>
      <c r="J864" s="47" t="n">
        <f aca="false">'Fault &amp; Downtime Entry'!J865</f>
        <v>0</v>
      </c>
      <c r="K864" s="47" t="n">
        <f aca="false">'Fault &amp; Downtime Entry'!K865</f>
        <v>0</v>
      </c>
      <c r="L864" s="47" t="n">
        <f aca="false">'Fault &amp; Downtime Entry'!L865</f>
        <v>0</v>
      </c>
      <c r="M864" s="47" t="str">
        <f aca="false">'Fault &amp; Downtime Entry'!M865</f>
        <v/>
      </c>
      <c r="N864" s="47" t="n">
        <f aca="false">'Fault &amp; Downtime Entry'!N865</f>
        <v>0</v>
      </c>
      <c r="O864" s="47" t="n">
        <f aca="false">'Fault &amp; Downtime Entry'!O865</f>
        <v>0</v>
      </c>
      <c r="P864" s="47" t="str">
        <f aca="false">IF(OR(J864="",K864=""),"",IFERROR(J864/K864*1000,0))</f>
        <v/>
      </c>
      <c r="Q864" s="47" t="str">
        <f aca="false">IF(OR(L864="",K864=""),"",IFERROR(L864/K864*1000,0))</f>
        <v/>
      </c>
      <c r="R864" s="47" t="str">
        <f aca="false">IF(OR(M864="High",M864="Critical"),"YES","")</f>
        <v/>
      </c>
    </row>
    <row r="865" customFormat="false" ht="15" hidden="false" customHeight="true" outlineLevel="0" collapsed="false">
      <c r="A865" s="47" t="n">
        <f aca="false">'Fault &amp; Downtime Entry'!A866</f>
        <v>861</v>
      </c>
      <c r="B865" s="48" t="n">
        <f aca="false">'Fault &amp; Downtime Entry'!B866</f>
        <v>0</v>
      </c>
      <c r="C865" s="47" t="n">
        <f aca="false">'Fault &amp; Downtime Entry'!C866</f>
        <v>0</v>
      </c>
      <c r="D865" s="47" t="n">
        <f aca="false">'Fault &amp; Downtime Entry'!D866</f>
        <v>0</v>
      </c>
      <c r="E865" s="47" t="n">
        <f aca="false">'Fault &amp; Downtime Entry'!E866</f>
        <v>0</v>
      </c>
      <c r="F865" s="47" t="str">
        <f aca="false">'Fault &amp; Downtime Entry'!F866</f>
        <v/>
      </c>
      <c r="G865" s="47" t="n">
        <f aca="false">'Fault &amp; Downtime Entry'!G866</f>
        <v>0</v>
      </c>
      <c r="H865" s="47" t="str">
        <f aca="false">'Fault &amp; Downtime Entry'!H866</f>
        <v/>
      </c>
      <c r="I865" s="47" t="str">
        <f aca="false">'Fault &amp; Downtime Entry'!I866</f>
        <v/>
      </c>
      <c r="J865" s="47" t="n">
        <f aca="false">'Fault &amp; Downtime Entry'!J866</f>
        <v>0</v>
      </c>
      <c r="K865" s="47" t="n">
        <f aca="false">'Fault &amp; Downtime Entry'!K866</f>
        <v>0</v>
      </c>
      <c r="L865" s="47" t="n">
        <f aca="false">'Fault &amp; Downtime Entry'!L866</f>
        <v>0</v>
      </c>
      <c r="M865" s="47" t="str">
        <f aca="false">'Fault &amp; Downtime Entry'!M866</f>
        <v/>
      </c>
      <c r="N865" s="47" t="n">
        <f aca="false">'Fault &amp; Downtime Entry'!N866</f>
        <v>0</v>
      </c>
      <c r="O865" s="47" t="n">
        <f aca="false">'Fault &amp; Downtime Entry'!O866</f>
        <v>0</v>
      </c>
      <c r="P865" s="47" t="str">
        <f aca="false">IF(OR(J865="",K865=""),"",IFERROR(J865/K865*1000,0))</f>
        <v/>
      </c>
      <c r="Q865" s="47" t="str">
        <f aca="false">IF(OR(L865="",K865=""),"",IFERROR(L865/K865*1000,0))</f>
        <v/>
      </c>
      <c r="R865" s="47" t="str">
        <f aca="false">IF(OR(M865="High",M865="Critical"),"YES","")</f>
        <v/>
      </c>
    </row>
    <row r="866" customFormat="false" ht="15" hidden="false" customHeight="true" outlineLevel="0" collapsed="false">
      <c r="A866" s="47" t="n">
        <f aca="false">'Fault &amp; Downtime Entry'!A867</f>
        <v>862</v>
      </c>
      <c r="B866" s="48" t="n">
        <f aca="false">'Fault &amp; Downtime Entry'!B867</f>
        <v>0</v>
      </c>
      <c r="C866" s="47" t="n">
        <f aca="false">'Fault &amp; Downtime Entry'!C867</f>
        <v>0</v>
      </c>
      <c r="D866" s="47" t="n">
        <f aca="false">'Fault &amp; Downtime Entry'!D867</f>
        <v>0</v>
      </c>
      <c r="E866" s="47" t="n">
        <f aca="false">'Fault &amp; Downtime Entry'!E867</f>
        <v>0</v>
      </c>
      <c r="F866" s="47" t="str">
        <f aca="false">'Fault &amp; Downtime Entry'!F867</f>
        <v/>
      </c>
      <c r="G866" s="47" t="n">
        <f aca="false">'Fault &amp; Downtime Entry'!G867</f>
        <v>0</v>
      </c>
      <c r="H866" s="47" t="str">
        <f aca="false">'Fault &amp; Downtime Entry'!H867</f>
        <v/>
      </c>
      <c r="I866" s="47" t="str">
        <f aca="false">'Fault &amp; Downtime Entry'!I867</f>
        <v/>
      </c>
      <c r="J866" s="47" t="n">
        <f aca="false">'Fault &amp; Downtime Entry'!J867</f>
        <v>0</v>
      </c>
      <c r="K866" s="47" t="n">
        <f aca="false">'Fault &amp; Downtime Entry'!K867</f>
        <v>0</v>
      </c>
      <c r="L866" s="47" t="n">
        <f aca="false">'Fault &amp; Downtime Entry'!L867</f>
        <v>0</v>
      </c>
      <c r="M866" s="47" t="str">
        <f aca="false">'Fault &amp; Downtime Entry'!M867</f>
        <v/>
      </c>
      <c r="N866" s="47" t="n">
        <f aca="false">'Fault &amp; Downtime Entry'!N867</f>
        <v>0</v>
      </c>
      <c r="O866" s="47" t="n">
        <f aca="false">'Fault &amp; Downtime Entry'!O867</f>
        <v>0</v>
      </c>
      <c r="P866" s="47" t="str">
        <f aca="false">IF(OR(J866="",K866=""),"",IFERROR(J866/K866*1000,0))</f>
        <v/>
      </c>
      <c r="Q866" s="47" t="str">
        <f aca="false">IF(OR(L866="",K866=""),"",IFERROR(L866/K866*1000,0))</f>
        <v/>
      </c>
      <c r="R866" s="47" t="str">
        <f aca="false">IF(OR(M866="High",M866="Critical"),"YES","")</f>
        <v/>
      </c>
    </row>
    <row r="867" customFormat="false" ht="15" hidden="false" customHeight="true" outlineLevel="0" collapsed="false">
      <c r="A867" s="47" t="n">
        <f aca="false">'Fault &amp; Downtime Entry'!A868</f>
        <v>863</v>
      </c>
      <c r="B867" s="48" t="n">
        <f aca="false">'Fault &amp; Downtime Entry'!B868</f>
        <v>0</v>
      </c>
      <c r="C867" s="47" t="n">
        <f aca="false">'Fault &amp; Downtime Entry'!C868</f>
        <v>0</v>
      </c>
      <c r="D867" s="47" t="n">
        <f aca="false">'Fault &amp; Downtime Entry'!D868</f>
        <v>0</v>
      </c>
      <c r="E867" s="47" t="n">
        <f aca="false">'Fault &amp; Downtime Entry'!E868</f>
        <v>0</v>
      </c>
      <c r="F867" s="47" t="str">
        <f aca="false">'Fault &amp; Downtime Entry'!F868</f>
        <v/>
      </c>
      <c r="G867" s="47" t="n">
        <f aca="false">'Fault &amp; Downtime Entry'!G868</f>
        <v>0</v>
      </c>
      <c r="H867" s="47" t="str">
        <f aca="false">'Fault &amp; Downtime Entry'!H868</f>
        <v/>
      </c>
      <c r="I867" s="47" t="str">
        <f aca="false">'Fault &amp; Downtime Entry'!I868</f>
        <v/>
      </c>
      <c r="J867" s="47" t="n">
        <f aca="false">'Fault &amp; Downtime Entry'!J868</f>
        <v>0</v>
      </c>
      <c r="K867" s="47" t="n">
        <f aca="false">'Fault &amp; Downtime Entry'!K868</f>
        <v>0</v>
      </c>
      <c r="L867" s="47" t="n">
        <f aca="false">'Fault &amp; Downtime Entry'!L868</f>
        <v>0</v>
      </c>
      <c r="M867" s="47" t="str">
        <f aca="false">'Fault &amp; Downtime Entry'!M868</f>
        <v/>
      </c>
      <c r="N867" s="47" t="n">
        <f aca="false">'Fault &amp; Downtime Entry'!N868</f>
        <v>0</v>
      </c>
      <c r="O867" s="47" t="n">
        <f aca="false">'Fault &amp; Downtime Entry'!O868</f>
        <v>0</v>
      </c>
      <c r="P867" s="47" t="str">
        <f aca="false">IF(OR(J867="",K867=""),"",IFERROR(J867/K867*1000,0))</f>
        <v/>
      </c>
      <c r="Q867" s="47" t="str">
        <f aca="false">IF(OR(L867="",K867=""),"",IFERROR(L867/K867*1000,0))</f>
        <v/>
      </c>
      <c r="R867" s="47" t="str">
        <f aca="false">IF(OR(M867="High",M867="Critical"),"YES","")</f>
        <v/>
      </c>
    </row>
    <row r="868" customFormat="false" ht="15" hidden="false" customHeight="true" outlineLevel="0" collapsed="false">
      <c r="A868" s="47" t="n">
        <f aca="false">'Fault &amp; Downtime Entry'!A869</f>
        <v>864</v>
      </c>
      <c r="B868" s="48" t="n">
        <f aca="false">'Fault &amp; Downtime Entry'!B869</f>
        <v>0</v>
      </c>
      <c r="C868" s="47" t="n">
        <f aca="false">'Fault &amp; Downtime Entry'!C869</f>
        <v>0</v>
      </c>
      <c r="D868" s="47" t="n">
        <f aca="false">'Fault &amp; Downtime Entry'!D869</f>
        <v>0</v>
      </c>
      <c r="E868" s="47" t="n">
        <f aca="false">'Fault &amp; Downtime Entry'!E869</f>
        <v>0</v>
      </c>
      <c r="F868" s="47" t="str">
        <f aca="false">'Fault &amp; Downtime Entry'!F869</f>
        <v/>
      </c>
      <c r="G868" s="47" t="n">
        <f aca="false">'Fault &amp; Downtime Entry'!G869</f>
        <v>0</v>
      </c>
      <c r="H868" s="47" t="str">
        <f aca="false">'Fault &amp; Downtime Entry'!H869</f>
        <v/>
      </c>
      <c r="I868" s="47" t="str">
        <f aca="false">'Fault &amp; Downtime Entry'!I869</f>
        <v/>
      </c>
      <c r="J868" s="47" t="n">
        <f aca="false">'Fault &amp; Downtime Entry'!J869</f>
        <v>0</v>
      </c>
      <c r="K868" s="47" t="n">
        <f aca="false">'Fault &amp; Downtime Entry'!K869</f>
        <v>0</v>
      </c>
      <c r="L868" s="47" t="n">
        <f aca="false">'Fault &amp; Downtime Entry'!L869</f>
        <v>0</v>
      </c>
      <c r="M868" s="47" t="str">
        <f aca="false">'Fault &amp; Downtime Entry'!M869</f>
        <v/>
      </c>
      <c r="N868" s="47" t="n">
        <f aca="false">'Fault &amp; Downtime Entry'!N869</f>
        <v>0</v>
      </c>
      <c r="O868" s="47" t="n">
        <f aca="false">'Fault &amp; Downtime Entry'!O869</f>
        <v>0</v>
      </c>
      <c r="P868" s="47" t="str">
        <f aca="false">IF(OR(J868="",K868=""),"",IFERROR(J868/K868*1000,0))</f>
        <v/>
      </c>
      <c r="Q868" s="47" t="str">
        <f aca="false">IF(OR(L868="",K868=""),"",IFERROR(L868/K868*1000,0))</f>
        <v/>
      </c>
      <c r="R868" s="47" t="str">
        <f aca="false">IF(OR(M868="High",M868="Critical"),"YES","")</f>
        <v/>
      </c>
    </row>
    <row r="869" customFormat="false" ht="15" hidden="false" customHeight="true" outlineLevel="0" collapsed="false">
      <c r="A869" s="47" t="n">
        <f aca="false">'Fault &amp; Downtime Entry'!A870</f>
        <v>865</v>
      </c>
      <c r="B869" s="48" t="n">
        <f aca="false">'Fault &amp; Downtime Entry'!B870</f>
        <v>0</v>
      </c>
      <c r="C869" s="47" t="n">
        <f aca="false">'Fault &amp; Downtime Entry'!C870</f>
        <v>0</v>
      </c>
      <c r="D869" s="47" t="n">
        <f aca="false">'Fault &amp; Downtime Entry'!D870</f>
        <v>0</v>
      </c>
      <c r="E869" s="47" t="n">
        <f aca="false">'Fault &amp; Downtime Entry'!E870</f>
        <v>0</v>
      </c>
      <c r="F869" s="47" t="str">
        <f aca="false">'Fault &amp; Downtime Entry'!F870</f>
        <v/>
      </c>
      <c r="G869" s="47" t="n">
        <f aca="false">'Fault &amp; Downtime Entry'!G870</f>
        <v>0</v>
      </c>
      <c r="H869" s="47" t="str">
        <f aca="false">'Fault &amp; Downtime Entry'!H870</f>
        <v/>
      </c>
      <c r="I869" s="47" t="str">
        <f aca="false">'Fault &amp; Downtime Entry'!I870</f>
        <v/>
      </c>
      <c r="J869" s="47" t="n">
        <f aca="false">'Fault &amp; Downtime Entry'!J870</f>
        <v>0</v>
      </c>
      <c r="K869" s="47" t="n">
        <f aca="false">'Fault &amp; Downtime Entry'!K870</f>
        <v>0</v>
      </c>
      <c r="L869" s="47" t="n">
        <f aca="false">'Fault &amp; Downtime Entry'!L870</f>
        <v>0</v>
      </c>
      <c r="M869" s="47" t="str">
        <f aca="false">'Fault &amp; Downtime Entry'!M870</f>
        <v/>
      </c>
      <c r="N869" s="47" t="n">
        <f aca="false">'Fault &amp; Downtime Entry'!N870</f>
        <v>0</v>
      </c>
      <c r="O869" s="47" t="n">
        <f aca="false">'Fault &amp; Downtime Entry'!O870</f>
        <v>0</v>
      </c>
      <c r="P869" s="47" t="str">
        <f aca="false">IF(OR(J869="",K869=""),"",IFERROR(J869/K869*1000,0))</f>
        <v/>
      </c>
      <c r="Q869" s="47" t="str">
        <f aca="false">IF(OR(L869="",K869=""),"",IFERROR(L869/K869*1000,0))</f>
        <v/>
      </c>
      <c r="R869" s="47" t="str">
        <f aca="false">IF(OR(M869="High",M869="Critical"),"YES","")</f>
        <v/>
      </c>
    </row>
    <row r="870" customFormat="false" ht="15" hidden="false" customHeight="true" outlineLevel="0" collapsed="false">
      <c r="A870" s="47" t="n">
        <f aca="false">'Fault &amp; Downtime Entry'!A871</f>
        <v>866</v>
      </c>
      <c r="B870" s="48" t="n">
        <f aca="false">'Fault &amp; Downtime Entry'!B871</f>
        <v>0</v>
      </c>
      <c r="C870" s="47" t="n">
        <f aca="false">'Fault &amp; Downtime Entry'!C871</f>
        <v>0</v>
      </c>
      <c r="D870" s="47" t="n">
        <f aca="false">'Fault &amp; Downtime Entry'!D871</f>
        <v>0</v>
      </c>
      <c r="E870" s="47" t="n">
        <f aca="false">'Fault &amp; Downtime Entry'!E871</f>
        <v>0</v>
      </c>
      <c r="F870" s="47" t="str">
        <f aca="false">'Fault &amp; Downtime Entry'!F871</f>
        <v/>
      </c>
      <c r="G870" s="47" t="n">
        <f aca="false">'Fault &amp; Downtime Entry'!G871</f>
        <v>0</v>
      </c>
      <c r="H870" s="47" t="str">
        <f aca="false">'Fault &amp; Downtime Entry'!H871</f>
        <v/>
      </c>
      <c r="I870" s="47" t="str">
        <f aca="false">'Fault &amp; Downtime Entry'!I871</f>
        <v/>
      </c>
      <c r="J870" s="47" t="n">
        <f aca="false">'Fault &amp; Downtime Entry'!J871</f>
        <v>0</v>
      </c>
      <c r="K870" s="47" t="n">
        <f aca="false">'Fault &amp; Downtime Entry'!K871</f>
        <v>0</v>
      </c>
      <c r="L870" s="47" t="n">
        <f aca="false">'Fault &amp; Downtime Entry'!L871</f>
        <v>0</v>
      </c>
      <c r="M870" s="47" t="str">
        <f aca="false">'Fault &amp; Downtime Entry'!M871</f>
        <v/>
      </c>
      <c r="N870" s="47" t="n">
        <f aca="false">'Fault &amp; Downtime Entry'!N871</f>
        <v>0</v>
      </c>
      <c r="O870" s="47" t="n">
        <f aca="false">'Fault &amp; Downtime Entry'!O871</f>
        <v>0</v>
      </c>
      <c r="P870" s="47" t="str">
        <f aca="false">IF(OR(J870="",K870=""),"",IFERROR(J870/K870*1000,0))</f>
        <v/>
      </c>
      <c r="Q870" s="47" t="str">
        <f aca="false">IF(OR(L870="",K870=""),"",IFERROR(L870/K870*1000,0))</f>
        <v/>
      </c>
      <c r="R870" s="47" t="str">
        <f aca="false">IF(OR(M870="High",M870="Critical"),"YES","")</f>
        <v/>
      </c>
    </row>
    <row r="871" customFormat="false" ht="15" hidden="false" customHeight="true" outlineLevel="0" collapsed="false">
      <c r="A871" s="47" t="n">
        <f aca="false">'Fault &amp; Downtime Entry'!A872</f>
        <v>867</v>
      </c>
      <c r="B871" s="48" t="n">
        <f aca="false">'Fault &amp; Downtime Entry'!B872</f>
        <v>0</v>
      </c>
      <c r="C871" s="47" t="n">
        <f aca="false">'Fault &amp; Downtime Entry'!C872</f>
        <v>0</v>
      </c>
      <c r="D871" s="47" t="n">
        <f aca="false">'Fault &amp; Downtime Entry'!D872</f>
        <v>0</v>
      </c>
      <c r="E871" s="47" t="n">
        <f aca="false">'Fault &amp; Downtime Entry'!E872</f>
        <v>0</v>
      </c>
      <c r="F871" s="47" t="str">
        <f aca="false">'Fault &amp; Downtime Entry'!F872</f>
        <v/>
      </c>
      <c r="G871" s="47" t="n">
        <f aca="false">'Fault &amp; Downtime Entry'!G872</f>
        <v>0</v>
      </c>
      <c r="H871" s="47" t="str">
        <f aca="false">'Fault &amp; Downtime Entry'!H872</f>
        <v/>
      </c>
      <c r="I871" s="47" t="str">
        <f aca="false">'Fault &amp; Downtime Entry'!I872</f>
        <v/>
      </c>
      <c r="J871" s="47" t="n">
        <f aca="false">'Fault &amp; Downtime Entry'!J872</f>
        <v>0</v>
      </c>
      <c r="K871" s="47" t="n">
        <f aca="false">'Fault &amp; Downtime Entry'!K872</f>
        <v>0</v>
      </c>
      <c r="L871" s="47" t="n">
        <f aca="false">'Fault &amp; Downtime Entry'!L872</f>
        <v>0</v>
      </c>
      <c r="M871" s="47" t="str">
        <f aca="false">'Fault &amp; Downtime Entry'!M872</f>
        <v/>
      </c>
      <c r="N871" s="47" t="n">
        <f aca="false">'Fault &amp; Downtime Entry'!N872</f>
        <v>0</v>
      </c>
      <c r="O871" s="47" t="n">
        <f aca="false">'Fault &amp; Downtime Entry'!O872</f>
        <v>0</v>
      </c>
      <c r="P871" s="47" t="str">
        <f aca="false">IF(OR(J871="",K871=""),"",IFERROR(J871/K871*1000,0))</f>
        <v/>
      </c>
      <c r="Q871" s="47" t="str">
        <f aca="false">IF(OR(L871="",K871=""),"",IFERROR(L871/K871*1000,0))</f>
        <v/>
      </c>
      <c r="R871" s="47" t="str">
        <f aca="false">IF(OR(M871="High",M871="Critical"),"YES","")</f>
        <v/>
      </c>
    </row>
    <row r="872" customFormat="false" ht="15" hidden="false" customHeight="true" outlineLevel="0" collapsed="false">
      <c r="A872" s="47" t="n">
        <f aca="false">'Fault &amp; Downtime Entry'!A873</f>
        <v>868</v>
      </c>
      <c r="B872" s="48" t="n">
        <f aca="false">'Fault &amp; Downtime Entry'!B873</f>
        <v>0</v>
      </c>
      <c r="C872" s="47" t="n">
        <f aca="false">'Fault &amp; Downtime Entry'!C873</f>
        <v>0</v>
      </c>
      <c r="D872" s="47" t="n">
        <f aca="false">'Fault &amp; Downtime Entry'!D873</f>
        <v>0</v>
      </c>
      <c r="E872" s="47" t="n">
        <f aca="false">'Fault &amp; Downtime Entry'!E873</f>
        <v>0</v>
      </c>
      <c r="F872" s="47" t="str">
        <f aca="false">'Fault &amp; Downtime Entry'!F873</f>
        <v/>
      </c>
      <c r="G872" s="47" t="n">
        <f aca="false">'Fault &amp; Downtime Entry'!G873</f>
        <v>0</v>
      </c>
      <c r="H872" s="47" t="str">
        <f aca="false">'Fault &amp; Downtime Entry'!H873</f>
        <v/>
      </c>
      <c r="I872" s="47" t="str">
        <f aca="false">'Fault &amp; Downtime Entry'!I873</f>
        <v/>
      </c>
      <c r="J872" s="47" t="n">
        <f aca="false">'Fault &amp; Downtime Entry'!J873</f>
        <v>0</v>
      </c>
      <c r="K872" s="47" t="n">
        <f aca="false">'Fault &amp; Downtime Entry'!K873</f>
        <v>0</v>
      </c>
      <c r="L872" s="47" t="n">
        <f aca="false">'Fault &amp; Downtime Entry'!L873</f>
        <v>0</v>
      </c>
      <c r="M872" s="47" t="str">
        <f aca="false">'Fault &amp; Downtime Entry'!M873</f>
        <v/>
      </c>
      <c r="N872" s="47" t="n">
        <f aca="false">'Fault &amp; Downtime Entry'!N873</f>
        <v>0</v>
      </c>
      <c r="O872" s="47" t="n">
        <f aca="false">'Fault &amp; Downtime Entry'!O873</f>
        <v>0</v>
      </c>
      <c r="P872" s="47" t="str">
        <f aca="false">IF(OR(J872="",K872=""),"",IFERROR(J872/K872*1000,0))</f>
        <v/>
      </c>
      <c r="Q872" s="47" t="str">
        <f aca="false">IF(OR(L872="",K872=""),"",IFERROR(L872/K872*1000,0))</f>
        <v/>
      </c>
      <c r="R872" s="47" t="str">
        <f aca="false">IF(OR(M872="High",M872="Critical"),"YES","")</f>
        <v/>
      </c>
    </row>
    <row r="873" customFormat="false" ht="15" hidden="false" customHeight="true" outlineLevel="0" collapsed="false">
      <c r="A873" s="47" t="n">
        <f aca="false">'Fault &amp; Downtime Entry'!A874</f>
        <v>869</v>
      </c>
      <c r="B873" s="48" t="n">
        <f aca="false">'Fault &amp; Downtime Entry'!B874</f>
        <v>0</v>
      </c>
      <c r="C873" s="47" t="n">
        <f aca="false">'Fault &amp; Downtime Entry'!C874</f>
        <v>0</v>
      </c>
      <c r="D873" s="47" t="n">
        <f aca="false">'Fault &amp; Downtime Entry'!D874</f>
        <v>0</v>
      </c>
      <c r="E873" s="47" t="n">
        <f aca="false">'Fault &amp; Downtime Entry'!E874</f>
        <v>0</v>
      </c>
      <c r="F873" s="47" t="str">
        <f aca="false">'Fault &amp; Downtime Entry'!F874</f>
        <v/>
      </c>
      <c r="G873" s="47" t="n">
        <f aca="false">'Fault &amp; Downtime Entry'!G874</f>
        <v>0</v>
      </c>
      <c r="H873" s="47" t="str">
        <f aca="false">'Fault &amp; Downtime Entry'!H874</f>
        <v/>
      </c>
      <c r="I873" s="47" t="str">
        <f aca="false">'Fault &amp; Downtime Entry'!I874</f>
        <v/>
      </c>
      <c r="J873" s="47" t="n">
        <f aca="false">'Fault &amp; Downtime Entry'!J874</f>
        <v>0</v>
      </c>
      <c r="K873" s="47" t="n">
        <f aca="false">'Fault &amp; Downtime Entry'!K874</f>
        <v>0</v>
      </c>
      <c r="L873" s="47" t="n">
        <f aca="false">'Fault &amp; Downtime Entry'!L874</f>
        <v>0</v>
      </c>
      <c r="M873" s="47" t="str">
        <f aca="false">'Fault &amp; Downtime Entry'!M874</f>
        <v/>
      </c>
      <c r="N873" s="47" t="n">
        <f aca="false">'Fault &amp; Downtime Entry'!N874</f>
        <v>0</v>
      </c>
      <c r="O873" s="47" t="n">
        <f aca="false">'Fault &amp; Downtime Entry'!O874</f>
        <v>0</v>
      </c>
      <c r="P873" s="47" t="str">
        <f aca="false">IF(OR(J873="",K873=""),"",IFERROR(J873/K873*1000,0))</f>
        <v/>
      </c>
      <c r="Q873" s="47" t="str">
        <f aca="false">IF(OR(L873="",K873=""),"",IFERROR(L873/K873*1000,0))</f>
        <v/>
      </c>
      <c r="R873" s="47" t="str">
        <f aca="false">IF(OR(M873="High",M873="Critical"),"YES","")</f>
        <v/>
      </c>
    </row>
    <row r="874" customFormat="false" ht="15" hidden="false" customHeight="true" outlineLevel="0" collapsed="false">
      <c r="A874" s="47" t="n">
        <f aca="false">'Fault &amp; Downtime Entry'!A875</f>
        <v>870</v>
      </c>
      <c r="B874" s="48" t="n">
        <f aca="false">'Fault &amp; Downtime Entry'!B875</f>
        <v>0</v>
      </c>
      <c r="C874" s="47" t="n">
        <f aca="false">'Fault &amp; Downtime Entry'!C875</f>
        <v>0</v>
      </c>
      <c r="D874" s="47" t="n">
        <f aca="false">'Fault &amp; Downtime Entry'!D875</f>
        <v>0</v>
      </c>
      <c r="E874" s="47" t="n">
        <f aca="false">'Fault &amp; Downtime Entry'!E875</f>
        <v>0</v>
      </c>
      <c r="F874" s="47" t="str">
        <f aca="false">'Fault &amp; Downtime Entry'!F875</f>
        <v/>
      </c>
      <c r="G874" s="47" t="n">
        <f aca="false">'Fault &amp; Downtime Entry'!G875</f>
        <v>0</v>
      </c>
      <c r="H874" s="47" t="str">
        <f aca="false">'Fault &amp; Downtime Entry'!H875</f>
        <v/>
      </c>
      <c r="I874" s="47" t="str">
        <f aca="false">'Fault &amp; Downtime Entry'!I875</f>
        <v/>
      </c>
      <c r="J874" s="47" t="n">
        <f aca="false">'Fault &amp; Downtime Entry'!J875</f>
        <v>0</v>
      </c>
      <c r="K874" s="47" t="n">
        <f aca="false">'Fault &amp; Downtime Entry'!K875</f>
        <v>0</v>
      </c>
      <c r="L874" s="47" t="n">
        <f aca="false">'Fault &amp; Downtime Entry'!L875</f>
        <v>0</v>
      </c>
      <c r="M874" s="47" t="str">
        <f aca="false">'Fault &amp; Downtime Entry'!M875</f>
        <v/>
      </c>
      <c r="N874" s="47" t="n">
        <f aca="false">'Fault &amp; Downtime Entry'!N875</f>
        <v>0</v>
      </c>
      <c r="O874" s="47" t="n">
        <f aca="false">'Fault &amp; Downtime Entry'!O875</f>
        <v>0</v>
      </c>
      <c r="P874" s="47" t="str">
        <f aca="false">IF(OR(J874="",K874=""),"",IFERROR(J874/K874*1000,0))</f>
        <v/>
      </c>
      <c r="Q874" s="47" t="str">
        <f aca="false">IF(OR(L874="",K874=""),"",IFERROR(L874/K874*1000,0))</f>
        <v/>
      </c>
      <c r="R874" s="47" t="str">
        <f aca="false">IF(OR(M874="High",M874="Critical"),"YES","")</f>
        <v/>
      </c>
    </row>
    <row r="875" customFormat="false" ht="15" hidden="false" customHeight="true" outlineLevel="0" collapsed="false">
      <c r="A875" s="47" t="n">
        <f aca="false">'Fault &amp; Downtime Entry'!A876</f>
        <v>871</v>
      </c>
      <c r="B875" s="48" t="n">
        <f aca="false">'Fault &amp; Downtime Entry'!B876</f>
        <v>0</v>
      </c>
      <c r="C875" s="47" t="n">
        <f aca="false">'Fault &amp; Downtime Entry'!C876</f>
        <v>0</v>
      </c>
      <c r="D875" s="47" t="n">
        <f aca="false">'Fault &amp; Downtime Entry'!D876</f>
        <v>0</v>
      </c>
      <c r="E875" s="47" t="n">
        <f aca="false">'Fault &amp; Downtime Entry'!E876</f>
        <v>0</v>
      </c>
      <c r="F875" s="47" t="str">
        <f aca="false">'Fault &amp; Downtime Entry'!F876</f>
        <v/>
      </c>
      <c r="G875" s="47" t="n">
        <f aca="false">'Fault &amp; Downtime Entry'!G876</f>
        <v>0</v>
      </c>
      <c r="H875" s="47" t="str">
        <f aca="false">'Fault &amp; Downtime Entry'!H876</f>
        <v/>
      </c>
      <c r="I875" s="47" t="str">
        <f aca="false">'Fault &amp; Downtime Entry'!I876</f>
        <v/>
      </c>
      <c r="J875" s="47" t="n">
        <f aca="false">'Fault &amp; Downtime Entry'!J876</f>
        <v>0</v>
      </c>
      <c r="K875" s="47" t="n">
        <f aca="false">'Fault &amp; Downtime Entry'!K876</f>
        <v>0</v>
      </c>
      <c r="L875" s="47" t="n">
        <f aca="false">'Fault &amp; Downtime Entry'!L876</f>
        <v>0</v>
      </c>
      <c r="M875" s="47" t="str">
        <f aca="false">'Fault &amp; Downtime Entry'!M876</f>
        <v/>
      </c>
      <c r="N875" s="47" t="n">
        <f aca="false">'Fault &amp; Downtime Entry'!N876</f>
        <v>0</v>
      </c>
      <c r="O875" s="47" t="n">
        <f aca="false">'Fault &amp; Downtime Entry'!O876</f>
        <v>0</v>
      </c>
      <c r="P875" s="47" t="str">
        <f aca="false">IF(OR(J875="",K875=""),"",IFERROR(J875/K875*1000,0))</f>
        <v/>
      </c>
      <c r="Q875" s="47" t="str">
        <f aca="false">IF(OR(L875="",K875=""),"",IFERROR(L875/K875*1000,0))</f>
        <v/>
      </c>
      <c r="R875" s="47" t="str">
        <f aca="false">IF(OR(M875="High",M875="Critical"),"YES","")</f>
        <v/>
      </c>
    </row>
    <row r="876" customFormat="false" ht="15" hidden="false" customHeight="true" outlineLevel="0" collapsed="false">
      <c r="A876" s="47" t="n">
        <f aca="false">'Fault &amp; Downtime Entry'!A877</f>
        <v>872</v>
      </c>
      <c r="B876" s="48" t="n">
        <f aca="false">'Fault &amp; Downtime Entry'!B877</f>
        <v>0</v>
      </c>
      <c r="C876" s="47" t="n">
        <f aca="false">'Fault &amp; Downtime Entry'!C877</f>
        <v>0</v>
      </c>
      <c r="D876" s="47" t="n">
        <f aca="false">'Fault &amp; Downtime Entry'!D877</f>
        <v>0</v>
      </c>
      <c r="E876" s="47" t="n">
        <f aca="false">'Fault &amp; Downtime Entry'!E877</f>
        <v>0</v>
      </c>
      <c r="F876" s="47" t="str">
        <f aca="false">'Fault &amp; Downtime Entry'!F877</f>
        <v/>
      </c>
      <c r="G876" s="47" t="n">
        <f aca="false">'Fault &amp; Downtime Entry'!G877</f>
        <v>0</v>
      </c>
      <c r="H876" s="47" t="str">
        <f aca="false">'Fault &amp; Downtime Entry'!H877</f>
        <v/>
      </c>
      <c r="I876" s="47" t="str">
        <f aca="false">'Fault &amp; Downtime Entry'!I877</f>
        <v/>
      </c>
      <c r="J876" s="47" t="n">
        <f aca="false">'Fault &amp; Downtime Entry'!J877</f>
        <v>0</v>
      </c>
      <c r="K876" s="47" t="n">
        <f aca="false">'Fault &amp; Downtime Entry'!K877</f>
        <v>0</v>
      </c>
      <c r="L876" s="47" t="n">
        <f aca="false">'Fault &amp; Downtime Entry'!L877</f>
        <v>0</v>
      </c>
      <c r="M876" s="47" t="str">
        <f aca="false">'Fault &amp; Downtime Entry'!M877</f>
        <v/>
      </c>
      <c r="N876" s="47" t="n">
        <f aca="false">'Fault &amp; Downtime Entry'!N877</f>
        <v>0</v>
      </c>
      <c r="O876" s="47" t="n">
        <f aca="false">'Fault &amp; Downtime Entry'!O877</f>
        <v>0</v>
      </c>
      <c r="P876" s="47" t="str">
        <f aca="false">IF(OR(J876="",K876=""),"",IFERROR(J876/K876*1000,0))</f>
        <v/>
      </c>
      <c r="Q876" s="47" t="str">
        <f aca="false">IF(OR(L876="",K876=""),"",IFERROR(L876/K876*1000,0))</f>
        <v/>
      </c>
      <c r="R876" s="47" t="str">
        <f aca="false">IF(OR(M876="High",M876="Critical"),"YES","")</f>
        <v/>
      </c>
    </row>
    <row r="877" customFormat="false" ht="15" hidden="false" customHeight="true" outlineLevel="0" collapsed="false">
      <c r="A877" s="47" t="n">
        <f aca="false">'Fault &amp; Downtime Entry'!A878</f>
        <v>873</v>
      </c>
      <c r="B877" s="48" t="n">
        <f aca="false">'Fault &amp; Downtime Entry'!B878</f>
        <v>0</v>
      </c>
      <c r="C877" s="47" t="n">
        <f aca="false">'Fault &amp; Downtime Entry'!C878</f>
        <v>0</v>
      </c>
      <c r="D877" s="47" t="n">
        <f aca="false">'Fault &amp; Downtime Entry'!D878</f>
        <v>0</v>
      </c>
      <c r="E877" s="47" t="n">
        <f aca="false">'Fault &amp; Downtime Entry'!E878</f>
        <v>0</v>
      </c>
      <c r="F877" s="47" t="str">
        <f aca="false">'Fault &amp; Downtime Entry'!F878</f>
        <v/>
      </c>
      <c r="G877" s="47" t="n">
        <f aca="false">'Fault &amp; Downtime Entry'!G878</f>
        <v>0</v>
      </c>
      <c r="H877" s="47" t="str">
        <f aca="false">'Fault &amp; Downtime Entry'!H878</f>
        <v/>
      </c>
      <c r="I877" s="47" t="str">
        <f aca="false">'Fault &amp; Downtime Entry'!I878</f>
        <v/>
      </c>
      <c r="J877" s="47" t="n">
        <f aca="false">'Fault &amp; Downtime Entry'!J878</f>
        <v>0</v>
      </c>
      <c r="K877" s="47" t="n">
        <f aca="false">'Fault &amp; Downtime Entry'!K878</f>
        <v>0</v>
      </c>
      <c r="L877" s="47" t="n">
        <f aca="false">'Fault &amp; Downtime Entry'!L878</f>
        <v>0</v>
      </c>
      <c r="M877" s="47" t="str">
        <f aca="false">'Fault &amp; Downtime Entry'!M878</f>
        <v/>
      </c>
      <c r="N877" s="47" t="n">
        <f aca="false">'Fault &amp; Downtime Entry'!N878</f>
        <v>0</v>
      </c>
      <c r="O877" s="47" t="n">
        <f aca="false">'Fault &amp; Downtime Entry'!O878</f>
        <v>0</v>
      </c>
      <c r="P877" s="47" t="str">
        <f aca="false">IF(OR(J877="",K877=""),"",IFERROR(J877/K877*1000,0))</f>
        <v/>
      </c>
      <c r="Q877" s="47" t="str">
        <f aca="false">IF(OR(L877="",K877=""),"",IFERROR(L877/K877*1000,0))</f>
        <v/>
      </c>
      <c r="R877" s="47" t="str">
        <f aca="false">IF(OR(M877="High",M877="Critical"),"YES","")</f>
        <v/>
      </c>
    </row>
    <row r="878" customFormat="false" ht="15" hidden="false" customHeight="true" outlineLevel="0" collapsed="false">
      <c r="A878" s="47" t="n">
        <f aca="false">'Fault &amp; Downtime Entry'!A879</f>
        <v>874</v>
      </c>
      <c r="B878" s="48" t="n">
        <f aca="false">'Fault &amp; Downtime Entry'!B879</f>
        <v>0</v>
      </c>
      <c r="C878" s="47" t="n">
        <f aca="false">'Fault &amp; Downtime Entry'!C879</f>
        <v>0</v>
      </c>
      <c r="D878" s="47" t="n">
        <f aca="false">'Fault &amp; Downtime Entry'!D879</f>
        <v>0</v>
      </c>
      <c r="E878" s="47" t="n">
        <f aca="false">'Fault &amp; Downtime Entry'!E879</f>
        <v>0</v>
      </c>
      <c r="F878" s="47" t="str">
        <f aca="false">'Fault &amp; Downtime Entry'!F879</f>
        <v/>
      </c>
      <c r="G878" s="47" t="n">
        <f aca="false">'Fault &amp; Downtime Entry'!G879</f>
        <v>0</v>
      </c>
      <c r="H878" s="47" t="str">
        <f aca="false">'Fault &amp; Downtime Entry'!H879</f>
        <v/>
      </c>
      <c r="I878" s="47" t="str">
        <f aca="false">'Fault &amp; Downtime Entry'!I879</f>
        <v/>
      </c>
      <c r="J878" s="47" t="n">
        <f aca="false">'Fault &amp; Downtime Entry'!J879</f>
        <v>0</v>
      </c>
      <c r="K878" s="47" t="n">
        <f aca="false">'Fault &amp; Downtime Entry'!K879</f>
        <v>0</v>
      </c>
      <c r="L878" s="47" t="n">
        <f aca="false">'Fault &amp; Downtime Entry'!L879</f>
        <v>0</v>
      </c>
      <c r="M878" s="47" t="str">
        <f aca="false">'Fault &amp; Downtime Entry'!M879</f>
        <v/>
      </c>
      <c r="N878" s="47" t="n">
        <f aca="false">'Fault &amp; Downtime Entry'!N879</f>
        <v>0</v>
      </c>
      <c r="O878" s="47" t="n">
        <f aca="false">'Fault &amp; Downtime Entry'!O879</f>
        <v>0</v>
      </c>
      <c r="P878" s="47" t="str">
        <f aca="false">IF(OR(J878="",K878=""),"",IFERROR(J878/K878*1000,0))</f>
        <v/>
      </c>
      <c r="Q878" s="47" t="str">
        <f aca="false">IF(OR(L878="",K878=""),"",IFERROR(L878/K878*1000,0))</f>
        <v/>
      </c>
      <c r="R878" s="47" t="str">
        <f aca="false">IF(OR(M878="High",M878="Critical"),"YES","")</f>
        <v/>
      </c>
    </row>
    <row r="879" customFormat="false" ht="15" hidden="false" customHeight="true" outlineLevel="0" collapsed="false">
      <c r="A879" s="47" t="n">
        <f aca="false">'Fault &amp; Downtime Entry'!A880</f>
        <v>875</v>
      </c>
      <c r="B879" s="48" t="n">
        <f aca="false">'Fault &amp; Downtime Entry'!B880</f>
        <v>0</v>
      </c>
      <c r="C879" s="47" t="n">
        <f aca="false">'Fault &amp; Downtime Entry'!C880</f>
        <v>0</v>
      </c>
      <c r="D879" s="47" t="n">
        <f aca="false">'Fault &amp; Downtime Entry'!D880</f>
        <v>0</v>
      </c>
      <c r="E879" s="47" t="n">
        <f aca="false">'Fault &amp; Downtime Entry'!E880</f>
        <v>0</v>
      </c>
      <c r="F879" s="47" t="str">
        <f aca="false">'Fault &amp; Downtime Entry'!F880</f>
        <v/>
      </c>
      <c r="G879" s="47" t="n">
        <f aca="false">'Fault &amp; Downtime Entry'!G880</f>
        <v>0</v>
      </c>
      <c r="H879" s="47" t="str">
        <f aca="false">'Fault &amp; Downtime Entry'!H880</f>
        <v/>
      </c>
      <c r="I879" s="47" t="str">
        <f aca="false">'Fault &amp; Downtime Entry'!I880</f>
        <v/>
      </c>
      <c r="J879" s="47" t="n">
        <f aca="false">'Fault &amp; Downtime Entry'!J880</f>
        <v>0</v>
      </c>
      <c r="K879" s="47" t="n">
        <f aca="false">'Fault &amp; Downtime Entry'!K880</f>
        <v>0</v>
      </c>
      <c r="L879" s="47" t="n">
        <f aca="false">'Fault &amp; Downtime Entry'!L880</f>
        <v>0</v>
      </c>
      <c r="M879" s="47" t="str">
        <f aca="false">'Fault &amp; Downtime Entry'!M880</f>
        <v/>
      </c>
      <c r="N879" s="47" t="n">
        <f aca="false">'Fault &amp; Downtime Entry'!N880</f>
        <v>0</v>
      </c>
      <c r="O879" s="47" t="n">
        <f aca="false">'Fault &amp; Downtime Entry'!O880</f>
        <v>0</v>
      </c>
      <c r="P879" s="47" t="str">
        <f aca="false">IF(OR(J879="",K879=""),"",IFERROR(J879/K879*1000,0))</f>
        <v/>
      </c>
      <c r="Q879" s="47" t="str">
        <f aca="false">IF(OR(L879="",K879=""),"",IFERROR(L879/K879*1000,0))</f>
        <v/>
      </c>
      <c r="R879" s="47" t="str">
        <f aca="false">IF(OR(M879="High",M879="Critical"),"YES","")</f>
        <v/>
      </c>
    </row>
    <row r="880" customFormat="false" ht="15" hidden="false" customHeight="true" outlineLevel="0" collapsed="false">
      <c r="A880" s="47" t="n">
        <f aca="false">'Fault &amp; Downtime Entry'!A881</f>
        <v>876</v>
      </c>
      <c r="B880" s="48" t="n">
        <f aca="false">'Fault &amp; Downtime Entry'!B881</f>
        <v>0</v>
      </c>
      <c r="C880" s="47" t="n">
        <f aca="false">'Fault &amp; Downtime Entry'!C881</f>
        <v>0</v>
      </c>
      <c r="D880" s="47" t="n">
        <f aca="false">'Fault &amp; Downtime Entry'!D881</f>
        <v>0</v>
      </c>
      <c r="E880" s="47" t="n">
        <f aca="false">'Fault &amp; Downtime Entry'!E881</f>
        <v>0</v>
      </c>
      <c r="F880" s="47" t="str">
        <f aca="false">'Fault &amp; Downtime Entry'!F881</f>
        <v/>
      </c>
      <c r="G880" s="47" t="n">
        <f aca="false">'Fault &amp; Downtime Entry'!G881</f>
        <v>0</v>
      </c>
      <c r="H880" s="47" t="str">
        <f aca="false">'Fault &amp; Downtime Entry'!H881</f>
        <v/>
      </c>
      <c r="I880" s="47" t="str">
        <f aca="false">'Fault &amp; Downtime Entry'!I881</f>
        <v/>
      </c>
      <c r="J880" s="47" t="n">
        <f aca="false">'Fault &amp; Downtime Entry'!J881</f>
        <v>0</v>
      </c>
      <c r="K880" s="47" t="n">
        <f aca="false">'Fault &amp; Downtime Entry'!K881</f>
        <v>0</v>
      </c>
      <c r="L880" s="47" t="n">
        <f aca="false">'Fault &amp; Downtime Entry'!L881</f>
        <v>0</v>
      </c>
      <c r="M880" s="47" t="str">
        <f aca="false">'Fault &amp; Downtime Entry'!M881</f>
        <v/>
      </c>
      <c r="N880" s="47" t="n">
        <f aca="false">'Fault &amp; Downtime Entry'!N881</f>
        <v>0</v>
      </c>
      <c r="O880" s="47" t="n">
        <f aca="false">'Fault &amp; Downtime Entry'!O881</f>
        <v>0</v>
      </c>
      <c r="P880" s="47" t="str">
        <f aca="false">IF(OR(J880="",K880=""),"",IFERROR(J880/K880*1000,0))</f>
        <v/>
      </c>
      <c r="Q880" s="47" t="str">
        <f aca="false">IF(OR(L880="",K880=""),"",IFERROR(L880/K880*1000,0))</f>
        <v/>
      </c>
      <c r="R880" s="47" t="str">
        <f aca="false">IF(OR(M880="High",M880="Critical"),"YES","")</f>
        <v/>
      </c>
    </row>
    <row r="881" customFormat="false" ht="15" hidden="false" customHeight="true" outlineLevel="0" collapsed="false">
      <c r="A881" s="47" t="n">
        <f aca="false">'Fault &amp; Downtime Entry'!A882</f>
        <v>877</v>
      </c>
      <c r="B881" s="48" t="n">
        <f aca="false">'Fault &amp; Downtime Entry'!B882</f>
        <v>0</v>
      </c>
      <c r="C881" s="47" t="n">
        <f aca="false">'Fault &amp; Downtime Entry'!C882</f>
        <v>0</v>
      </c>
      <c r="D881" s="47" t="n">
        <f aca="false">'Fault &amp; Downtime Entry'!D882</f>
        <v>0</v>
      </c>
      <c r="E881" s="47" t="n">
        <f aca="false">'Fault &amp; Downtime Entry'!E882</f>
        <v>0</v>
      </c>
      <c r="F881" s="47" t="str">
        <f aca="false">'Fault &amp; Downtime Entry'!F882</f>
        <v/>
      </c>
      <c r="G881" s="47" t="n">
        <f aca="false">'Fault &amp; Downtime Entry'!G882</f>
        <v>0</v>
      </c>
      <c r="H881" s="47" t="str">
        <f aca="false">'Fault &amp; Downtime Entry'!H882</f>
        <v/>
      </c>
      <c r="I881" s="47" t="str">
        <f aca="false">'Fault &amp; Downtime Entry'!I882</f>
        <v/>
      </c>
      <c r="J881" s="47" t="n">
        <f aca="false">'Fault &amp; Downtime Entry'!J882</f>
        <v>0</v>
      </c>
      <c r="K881" s="47" t="n">
        <f aca="false">'Fault &amp; Downtime Entry'!K882</f>
        <v>0</v>
      </c>
      <c r="L881" s="47" t="n">
        <f aca="false">'Fault &amp; Downtime Entry'!L882</f>
        <v>0</v>
      </c>
      <c r="M881" s="47" t="str">
        <f aca="false">'Fault &amp; Downtime Entry'!M882</f>
        <v/>
      </c>
      <c r="N881" s="47" t="n">
        <f aca="false">'Fault &amp; Downtime Entry'!N882</f>
        <v>0</v>
      </c>
      <c r="O881" s="47" t="n">
        <f aca="false">'Fault &amp; Downtime Entry'!O882</f>
        <v>0</v>
      </c>
      <c r="P881" s="47" t="str">
        <f aca="false">IF(OR(J881="",K881=""),"",IFERROR(J881/K881*1000,0))</f>
        <v/>
      </c>
      <c r="Q881" s="47" t="str">
        <f aca="false">IF(OR(L881="",K881=""),"",IFERROR(L881/K881*1000,0))</f>
        <v/>
      </c>
      <c r="R881" s="47" t="str">
        <f aca="false">IF(OR(M881="High",M881="Critical"),"YES","")</f>
        <v/>
      </c>
    </row>
    <row r="882" customFormat="false" ht="15" hidden="false" customHeight="true" outlineLevel="0" collapsed="false">
      <c r="A882" s="47" t="n">
        <f aca="false">'Fault &amp; Downtime Entry'!A883</f>
        <v>878</v>
      </c>
      <c r="B882" s="48" t="n">
        <f aca="false">'Fault &amp; Downtime Entry'!B883</f>
        <v>0</v>
      </c>
      <c r="C882" s="47" t="n">
        <f aca="false">'Fault &amp; Downtime Entry'!C883</f>
        <v>0</v>
      </c>
      <c r="D882" s="47" t="n">
        <f aca="false">'Fault &amp; Downtime Entry'!D883</f>
        <v>0</v>
      </c>
      <c r="E882" s="47" t="n">
        <f aca="false">'Fault &amp; Downtime Entry'!E883</f>
        <v>0</v>
      </c>
      <c r="F882" s="47" t="str">
        <f aca="false">'Fault &amp; Downtime Entry'!F883</f>
        <v/>
      </c>
      <c r="G882" s="47" t="n">
        <f aca="false">'Fault &amp; Downtime Entry'!G883</f>
        <v>0</v>
      </c>
      <c r="H882" s="47" t="str">
        <f aca="false">'Fault &amp; Downtime Entry'!H883</f>
        <v/>
      </c>
      <c r="I882" s="47" t="str">
        <f aca="false">'Fault &amp; Downtime Entry'!I883</f>
        <v/>
      </c>
      <c r="J882" s="47" t="n">
        <f aca="false">'Fault &amp; Downtime Entry'!J883</f>
        <v>0</v>
      </c>
      <c r="K882" s="47" t="n">
        <f aca="false">'Fault &amp; Downtime Entry'!K883</f>
        <v>0</v>
      </c>
      <c r="L882" s="47" t="n">
        <f aca="false">'Fault &amp; Downtime Entry'!L883</f>
        <v>0</v>
      </c>
      <c r="M882" s="47" t="str">
        <f aca="false">'Fault &amp; Downtime Entry'!M883</f>
        <v/>
      </c>
      <c r="N882" s="47" t="n">
        <f aca="false">'Fault &amp; Downtime Entry'!N883</f>
        <v>0</v>
      </c>
      <c r="O882" s="47" t="n">
        <f aca="false">'Fault &amp; Downtime Entry'!O883</f>
        <v>0</v>
      </c>
      <c r="P882" s="47" t="str">
        <f aca="false">IF(OR(J882="",K882=""),"",IFERROR(J882/K882*1000,0))</f>
        <v/>
      </c>
      <c r="Q882" s="47" t="str">
        <f aca="false">IF(OR(L882="",K882=""),"",IFERROR(L882/K882*1000,0))</f>
        <v/>
      </c>
      <c r="R882" s="47" t="str">
        <f aca="false">IF(OR(M882="High",M882="Critical"),"YES","")</f>
        <v/>
      </c>
    </row>
    <row r="883" customFormat="false" ht="15" hidden="false" customHeight="true" outlineLevel="0" collapsed="false">
      <c r="A883" s="47" t="n">
        <f aca="false">'Fault &amp; Downtime Entry'!A884</f>
        <v>879</v>
      </c>
      <c r="B883" s="48" t="n">
        <f aca="false">'Fault &amp; Downtime Entry'!B884</f>
        <v>0</v>
      </c>
      <c r="C883" s="47" t="n">
        <f aca="false">'Fault &amp; Downtime Entry'!C884</f>
        <v>0</v>
      </c>
      <c r="D883" s="47" t="n">
        <f aca="false">'Fault &amp; Downtime Entry'!D884</f>
        <v>0</v>
      </c>
      <c r="E883" s="47" t="n">
        <f aca="false">'Fault &amp; Downtime Entry'!E884</f>
        <v>0</v>
      </c>
      <c r="F883" s="47" t="str">
        <f aca="false">'Fault &amp; Downtime Entry'!F884</f>
        <v/>
      </c>
      <c r="G883" s="47" t="n">
        <f aca="false">'Fault &amp; Downtime Entry'!G884</f>
        <v>0</v>
      </c>
      <c r="H883" s="47" t="str">
        <f aca="false">'Fault &amp; Downtime Entry'!H884</f>
        <v/>
      </c>
      <c r="I883" s="47" t="str">
        <f aca="false">'Fault &amp; Downtime Entry'!I884</f>
        <v/>
      </c>
      <c r="J883" s="47" t="n">
        <f aca="false">'Fault &amp; Downtime Entry'!J884</f>
        <v>0</v>
      </c>
      <c r="K883" s="47" t="n">
        <f aca="false">'Fault &amp; Downtime Entry'!K884</f>
        <v>0</v>
      </c>
      <c r="L883" s="47" t="n">
        <f aca="false">'Fault &amp; Downtime Entry'!L884</f>
        <v>0</v>
      </c>
      <c r="M883" s="47" t="str">
        <f aca="false">'Fault &amp; Downtime Entry'!M884</f>
        <v/>
      </c>
      <c r="N883" s="47" t="n">
        <f aca="false">'Fault &amp; Downtime Entry'!N884</f>
        <v>0</v>
      </c>
      <c r="O883" s="47" t="n">
        <f aca="false">'Fault &amp; Downtime Entry'!O884</f>
        <v>0</v>
      </c>
      <c r="P883" s="47" t="str">
        <f aca="false">IF(OR(J883="",K883=""),"",IFERROR(J883/K883*1000,0))</f>
        <v/>
      </c>
      <c r="Q883" s="47" t="str">
        <f aca="false">IF(OR(L883="",K883=""),"",IFERROR(L883/K883*1000,0))</f>
        <v/>
      </c>
      <c r="R883" s="47" t="str">
        <f aca="false">IF(OR(M883="High",M883="Critical"),"YES","")</f>
        <v/>
      </c>
    </row>
    <row r="884" customFormat="false" ht="15" hidden="false" customHeight="true" outlineLevel="0" collapsed="false">
      <c r="A884" s="47" t="n">
        <f aca="false">'Fault &amp; Downtime Entry'!A885</f>
        <v>880</v>
      </c>
      <c r="B884" s="48" t="n">
        <f aca="false">'Fault &amp; Downtime Entry'!B885</f>
        <v>0</v>
      </c>
      <c r="C884" s="47" t="n">
        <f aca="false">'Fault &amp; Downtime Entry'!C885</f>
        <v>0</v>
      </c>
      <c r="D884" s="47" t="n">
        <f aca="false">'Fault &amp; Downtime Entry'!D885</f>
        <v>0</v>
      </c>
      <c r="E884" s="47" t="n">
        <f aca="false">'Fault &amp; Downtime Entry'!E885</f>
        <v>0</v>
      </c>
      <c r="F884" s="47" t="str">
        <f aca="false">'Fault &amp; Downtime Entry'!F885</f>
        <v/>
      </c>
      <c r="G884" s="47" t="n">
        <f aca="false">'Fault &amp; Downtime Entry'!G885</f>
        <v>0</v>
      </c>
      <c r="H884" s="47" t="str">
        <f aca="false">'Fault &amp; Downtime Entry'!H885</f>
        <v/>
      </c>
      <c r="I884" s="47" t="str">
        <f aca="false">'Fault &amp; Downtime Entry'!I885</f>
        <v/>
      </c>
      <c r="J884" s="47" t="n">
        <f aca="false">'Fault &amp; Downtime Entry'!J885</f>
        <v>0</v>
      </c>
      <c r="K884" s="47" t="n">
        <f aca="false">'Fault &amp; Downtime Entry'!K885</f>
        <v>0</v>
      </c>
      <c r="L884" s="47" t="n">
        <f aca="false">'Fault &amp; Downtime Entry'!L885</f>
        <v>0</v>
      </c>
      <c r="M884" s="47" t="str">
        <f aca="false">'Fault &amp; Downtime Entry'!M885</f>
        <v/>
      </c>
      <c r="N884" s="47" t="n">
        <f aca="false">'Fault &amp; Downtime Entry'!N885</f>
        <v>0</v>
      </c>
      <c r="O884" s="47" t="n">
        <f aca="false">'Fault &amp; Downtime Entry'!O885</f>
        <v>0</v>
      </c>
      <c r="P884" s="47" t="str">
        <f aca="false">IF(OR(J884="",K884=""),"",IFERROR(J884/K884*1000,0))</f>
        <v/>
      </c>
      <c r="Q884" s="47" t="str">
        <f aca="false">IF(OR(L884="",K884=""),"",IFERROR(L884/K884*1000,0))</f>
        <v/>
      </c>
      <c r="R884" s="47" t="str">
        <f aca="false">IF(OR(M884="High",M884="Critical"),"YES","")</f>
        <v/>
      </c>
    </row>
    <row r="885" customFormat="false" ht="15" hidden="false" customHeight="true" outlineLevel="0" collapsed="false">
      <c r="A885" s="47" t="n">
        <f aca="false">'Fault &amp; Downtime Entry'!A886</f>
        <v>881</v>
      </c>
      <c r="B885" s="48" t="n">
        <f aca="false">'Fault &amp; Downtime Entry'!B886</f>
        <v>0</v>
      </c>
      <c r="C885" s="47" t="n">
        <f aca="false">'Fault &amp; Downtime Entry'!C886</f>
        <v>0</v>
      </c>
      <c r="D885" s="47" t="n">
        <f aca="false">'Fault &amp; Downtime Entry'!D886</f>
        <v>0</v>
      </c>
      <c r="E885" s="47" t="n">
        <f aca="false">'Fault &amp; Downtime Entry'!E886</f>
        <v>0</v>
      </c>
      <c r="F885" s="47" t="str">
        <f aca="false">'Fault &amp; Downtime Entry'!F886</f>
        <v/>
      </c>
      <c r="G885" s="47" t="n">
        <f aca="false">'Fault &amp; Downtime Entry'!G886</f>
        <v>0</v>
      </c>
      <c r="H885" s="47" t="str">
        <f aca="false">'Fault &amp; Downtime Entry'!H886</f>
        <v/>
      </c>
      <c r="I885" s="47" t="str">
        <f aca="false">'Fault &amp; Downtime Entry'!I886</f>
        <v/>
      </c>
      <c r="J885" s="47" t="n">
        <f aca="false">'Fault &amp; Downtime Entry'!J886</f>
        <v>0</v>
      </c>
      <c r="K885" s="47" t="n">
        <f aca="false">'Fault &amp; Downtime Entry'!K886</f>
        <v>0</v>
      </c>
      <c r="L885" s="47" t="n">
        <f aca="false">'Fault &amp; Downtime Entry'!L886</f>
        <v>0</v>
      </c>
      <c r="M885" s="47" t="str">
        <f aca="false">'Fault &amp; Downtime Entry'!M886</f>
        <v/>
      </c>
      <c r="N885" s="47" t="n">
        <f aca="false">'Fault &amp; Downtime Entry'!N886</f>
        <v>0</v>
      </c>
      <c r="O885" s="47" t="n">
        <f aca="false">'Fault &amp; Downtime Entry'!O886</f>
        <v>0</v>
      </c>
      <c r="P885" s="47" t="str">
        <f aca="false">IF(OR(J885="",K885=""),"",IFERROR(J885/K885*1000,0))</f>
        <v/>
      </c>
      <c r="Q885" s="47" t="str">
        <f aca="false">IF(OR(L885="",K885=""),"",IFERROR(L885/K885*1000,0))</f>
        <v/>
      </c>
      <c r="R885" s="47" t="str">
        <f aca="false">IF(OR(M885="High",M885="Critical"),"YES","")</f>
        <v/>
      </c>
    </row>
    <row r="886" customFormat="false" ht="15" hidden="false" customHeight="true" outlineLevel="0" collapsed="false">
      <c r="A886" s="47" t="n">
        <f aca="false">'Fault &amp; Downtime Entry'!A887</f>
        <v>882</v>
      </c>
      <c r="B886" s="48" t="n">
        <f aca="false">'Fault &amp; Downtime Entry'!B887</f>
        <v>0</v>
      </c>
      <c r="C886" s="47" t="n">
        <f aca="false">'Fault &amp; Downtime Entry'!C887</f>
        <v>0</v>
      </c>
      <c r="D886" s="47" t="n">
        <f aca="false">'Fault &amp; Downtime Entry'!D887</f>
        <v>0</v>
      </c>
      <c r="E886" s="47" t="n">
        <f aca="false">'Fault &amp; Downtime Entry'!E887</f>
        <v>0</v>
      </c>
      <c r="F886" s="47" t="str">
        <f aca="false">'Fault &amp; Downtime Entry'!F887</f>
        <v/>
      </c>
      <c r="G886" s="47" t="n">
        <f aca="false">'Fault &amp; Downtime Entry'!G887</f>
        <v>0</v>
      </c>
      <c r="H886" s="47" t="str">
        <f aca="false">'Fault &amp; Downtime Entry'!H887</f>
        <v/>
      </c>
      <c r="I886" s="47" t="str">
        <f aca="false">'Fault &amp; Downtime Entry'!I887</f>
        <v/>
      </c>
      <c r="J886" s="47" t="n">
        <f aca="false">'Fault &amp; Downtime Entry'!J887</f>
        <v>0</v>
      </c>
      <c r="K886" s="47" t="n">
        <f aca="false">'Fault &amp; Downtime Entry'!K887</f>
        <v>0</v>
      </c>
      <c r="L886" s="47" t="n">
        <f aca="false">'Fault &amp; Downtime Entry'!L887</f>
        <v>0</v>
      </c>
      <c r="M886" s="47" t="str">
        <f aca="false">'Fault &amp; Downtime Entry'!M887</f>
        <v/>
      </c>
      <c r="N886" s="47" t="n">
        <f aca="false">'Fault &amp; Downtime Entry'!N887</f>
        <v>0</v>
      </c>
      <c r="O886" s="47" t="n">
        <f aca="false">'Fault &amp; Downtime Entry'!O887</f>
        <v>0</v>
      </c>
      <c r="P886" s="47" t="str">
        <f aca="false">IF(OR(J886="",K886=""),"",IFERROR(J886/K886*1000,0))</f>
        <v/>
      </c>
      <c r="Q886" s="47" t="str">
        <f aca="false">IF(OR(L886="",K886=""),"",IFERROR(L886/K886*1000,0))</f>
        <v/>
      </c>
      <c r="R886" s="47" t="str">
        <f aca="false">IF(OR(M886="High",M886="Critical"),"YES","")</f>
        <v/>
      </c>
    </row>
    <row r="887" customFormat="false" ht="15" hidden="false" customHeight="true" outlineLevel="0" collapsed="false">
      <c r="A887" s="47" t="n">
        <f aca="false">'Fault &amp; Downtime Entry'!A888</f>
        <v>883</v>
      </c>
      <c r="B887" s="48" t="n">
        <f aca="false">'Fault &amp; Downtime Entry'!B888</f>
        <v>0</v>
      </c>
      <c r="C887" s="47" t="n">
        <f aca="false">'Fault &amp; Downtime Entry'!C888</f>
        <v>0</v>
      </c>
      <c r="D887" s="47" t="n">
        <f aca="false">'Fault &amp; Downtime Entry'!D888</f>
        <v>0</v>
      </c>
      <c r="E887" s="47" t="n">
        <f aca="false">'Fault &amp; Downtime Entry'!E888</f>
        <v>0</v>
      </c>
      <c r="F887" s="47" t="str">
        <f aca="false">'Fault &amp; Downtime Entry'!F888</f>
        <v/>
      </c>
      <c r="G887" s="47" t="n">
        <f aca="false">'Fault &amp; Downtime Entry'!G888</f>
        <v>0</v>
      </c>
      <c r="H887" s="47" t="str">
        <f aca="false">'Fault &amp; Downtime Entry'!H888</f>
        <v/>
      </c>
      <c r="I887" s="47" t="str">
        <f aca="false">'Fault &amp; Downtime Entry'!I888</f>
        <v/>
      </c>
      <c r="J887" s="47" t="n">
        <f aca="false">'Fault &amp; Downtime Entry'!J888</f>
        <v>0</v>
      </c>
      <c r="K887" s="47" t="n">
        <f aca="false">'Fault &amp; Downtime Entry'!K888</f>
        <v>0</v>
      </c>
      <c r="L887" s="47" t="n">
        <f aca="false">'Fault &amp; Downtime Entry'!L888</f>
        <v>0</v>
      </c>
      <c r="M887" s="47" t="str">
        <f aca="false">'Fault &amp; Downtime Entry'!M888</f>
        <v/>
      </c>
      <c r="N887" s="47" t="n">
        <f aca="false">'Fault &amp; Downtime Entry'!N888</f>
        <v>0</v>
      </c>
      <c r="O887" s="47" t="n">
        <f aca="false">'Fault &amp; Downtime Entry'!O888</f>
        <v>0</v>
      </c>
      <c r="P887" s="47" t="str">
        <f aca="false">IF(OR(J887="",K887=""),"",IFERROR(J887/K887*1000,0))</f>
        <v/>
      </c>
      <c r="Q887" s="47" t="str">
        <f aca="false">IF(OR(L887="",K887=""),"",IFERROR(L887/K887*1000,0))</f>
        <v/>
      </c>
      <c r="R887" s="47" t="str">
        <f aca="false">IF(OR(M887="High",M887="Critical"),"YES","")</f>
        <v/>
      </c>
    </row>
    <row r="888" customFormat="false" ht="15" hidden="false" customHeight="true" outlineLevel="0" collapsed="false">
      <c r="A888" s="47" t="n">
        <f aca="false">'Fault &amp; Downtime Entry'!A889</f>
        <v>884</v>
      </c>
      <c r="B888" s="48" t="n">
        <f aca="false">'Fault &amp; Downtime Entry'!B889</f>
        <v>0</v>
      </c>
      <c r="C888" s="47" t="n">
        <f aca="false">'Fault &amp; Downtime Entry'!C889</f>
        <v>0</v>
      </c>
      <c r="D888" s="47" t="n">
        <f aca="false">'Fault &amp; Downtime Entry'!D889</f>
        <v>0</v>
      </c>
      <c r="E888" s="47" t="n">
        <f aca="false">'Fault &amp; Downtime Entry'!E889</f>
        <v>0</v>
      </c>
      <c r="F888" s="47" t="str">
        <f aca="false">'Fault &amp; Downtime Entry'!F889</f>
        <v/>
      </c>
      <c r="G888" s="47" t="n">
        <f aca="false">'Fault &amp; Downtime Entry'!G889</f>
        <v>0</v>
      </c>
      <c r="H888" s="47" t="str">
        <f aca="false">'Fault &amp; Downtime Entry'!H889</f>
        <v/>
      </c>
      <c r="I888" s="47" t="str">
        <f aca="false">'Fault &amp; Downtime Entry'!I889</f>
        <v/>
      </c>
      <c r="J888" s="47" t="n">
        <f aca="false">'Fault &amp; Downtime Entry'!J889</f>
        <v>0</v>
      </c>
      <c r="K888" s="47" t="n">
        <f aca="false">'Fault &amp; Downtime Entry'!K889</f>
        <v>0</v>
      </c>
      <c r="L888" s="47" t="n">
        <f aca="false">'Fault &amp; Downtime Entry'!L889</f>
        <v>0</v>
      </c>
      <c r="M888" s="47" t="str">
        <f aca="false">'Fault &amp; Downtime Entry'!M889</f>
        <v/>
      </c>
      <c r="N888" s="47" t="n">
        <f aca="false">'Fault &amp; Downtime Entry'!N889</f>
        <v>0</v>
      </c>
      <c r="O888" s="47" t="n">
        <f aca="false">'Fault &amp; Downtime Entry'!O889</f>
        <v>0</v>
      </c>
      <c r="P888" s="47" t="str">
        <f aca="false">IF(OR(J888="",K888=""),"",IFERROR(J888/K888*1000,0))</f>
        <v/>
      </c>
      <c r="Q888" s="47" t="str">
        <f aca="false">IF(OR(L888="",K888=""),"",IFERROR(L888/K888*1000,0))</f>
        <v/>
      </c>
      <c r="R888" s="47" t="str">
        <f aca="false">IF(OR(M888="High",M888="Critical"),"YES","")</f>
        <v/>
      </c>
    </row>
    <row r="889" customFormat="false" ht="15" hidden="false" customHeight="true" outlineLevel="0" collapsed="false">
      <c r="A889" s="47" t="n">
        <f aca="false">'Fault &amp; Downtime Entry'!A890</f>
        <v>885</v>
      </c>
      <c r="B889" s="48" t="n">
        <f aca="false">'Fault &amp; Downtime Entry'!B890</f>
        <v>0</v>
      </c>
      <c r="C889" s="47" t="n">
        <f aca="false">'Fault &amp; Downtime Entry'!C890</f>
        <v>0</v>
      </c>
      <c r="D889" s="47" t="n">
        <f aca="false">'Fault &amp; Downtime Entry'!D890</f>
        <v>0</v>
      </c>
      <c r="E889" s="47" t="n">
        <f aca="false">'Fault &amp; Downtime Entry'!E890</f>
        <v>0</v>
      </c>
      <c r="F889" s="47" t="str">
        <f aca="false">'Fault &amp; Downtime Entry'!F890</f>
        <v/>
      </c>
      <c r="G889" s="47" t="n">
        <f aca="false">'Fault &amp; Downtime Entry'!G890</f>
        <v>0</v>
      </c>
      <c r="H889" s="47" t="str">
        <f aca="false">'Fault &amp; Downtime Entry'!H890</f>
        <v/>
      </c>
      <c r="I889" s="47" t="str">
        <f aca="false">'Fault &amp; Downtime Entry'!I890</f>
        <v/>
      </c>
      <c r="J889" s="47" t="n">
        <f aca="false">'Fault &amp; Downtime Entry'!J890</f>
        <v>0</v>
      </c>
      <c r="K889" s="47" t="n">
        <f aca="false">'Fault &amp; Downtime Entry'!K890</f>
        <v>0</v>
      </c>
      <c r="L889" s="47" t="n">
        <f aca="false">'Fault &amp; Downtime Entry'!L890</f>
        <v>0</v>
      </c>
      <c r="M889" s="47" t="str">
        <f aca="false">'Fault &amp; Downtime Entry'!M890</f>
        <v/>
      </c>
      <c r="N889" s="47" t="n">
        <f aca="false">'Fault &amp; Downtime Entry'!N890</f>
        <v>0</v>
      </c>
      <c r="O889" s="47" t="n">
        <f aca="false">'Fault &amp; Downtime Entry'!O890</f>
        <v>0</v>
      </c>
      <c r="P889" s="47" t="str">
        <f aca="false">IF(OR(J889="",K889=""),"",IFERROR(J889/K889*1000,0))</f>
        <v/>
      </c>
      <c r="Q889" s="47" t="str">
        <f aca="false">IF(OR(L889="",K889=""),"",IFERROR(L889/K889*1000,0))</f>
        <v/>
      </c>
      <c r="R889" s="47" t="str">
        <f aca="false">IF(OR(M889="High",M889="Critical"),"YES","")</f>
        <v/>
      </c>
    </row>
    <row r="890" customFormat="false" ht="15" hidden="false" customHeight="true" outlineLevel="0" collapsed="false">
      <c r="A890" s="47" t="n">
        <f aca="false">'Fault &amp; Downtime Entry'!A891</f>
        <v>886</v>
      </c>
      <c r="B890" s="48" t="n">
        <f aca="false">'Fault &amp; Downtime Entry'!B891</f>
        <v>0</v>
      </c>
      <c r="C890" s="47" t="n">
        <f aca="false">'Fault &amp; Downtime Entry'!C891</f>
        <v>0</v>
      </c>
      <c r="D890" s="47" t="n">
        <f aca="false">'Fault &amp; Downtime Entry'!D891</f>
        <v>0</v>
      </c>
      <c r="E890" s="47" t="n">
        <f aca="false">'Fault &amp; Downtime Entry'!E891</f>
        <v>0</v>
      </c>
      <c r="F890" s="47" t="str">
        <f aca="false">'Fault &amp; Downtime Entry'!F891</f>
        <v/>
      </c>
      <c r="G890" s="47" t="n">
        <f aca="false">'Fault &amp; Downtime Entry'!G891</f>
        <v>0</v>
      </c>
      <c r="H890" s="47" t="str">
        <f aca="false">'Fault &amp; Downtime Entry'!H891</f>
        <v/>
      </c>
      <c r="I890" s="47" t="str">
        <f aca="false">'Fault &amp; Downtime Entry'!I891</f>
        <v/>
      </c>
      <c r="J890" s="47" t="n">
        <f aca="false">'Fault &amp; Downtime Entry'!J891</f>
        <v>0</v>
      </c>
      <c r="K890" s="47" t="n">
        <f aca="false">'Fault &amp; Downtime Entry'!K891</f>
        <v>0</v>
      </c>
      <c r="L890" s="47" t="n">
        <f aca="false">'Fault &amp; Downtime Entry'!L891</f>
        <v>0</v>
      </c>
      <c r="M890" s="47" t="str">
        <f aca="false">'Fault &amp; Downtime Entry'!M891</f>
        <v/>
      </c>
      <c r="N890" s="47" t="n">
        <f aca="false">'Fault &amp; Downtime Entry'!N891</f>
        <v>0</v>
      </c>
      <c r="O890" s="47" t="n">
        <f aca="false">'Fault &amp; Downtime Entry'!O891</f>
        <v>0</v>
      </c>
      <c r="P890" s="47" t="str">
        <f aca="false">IF(OR(J890="",K890=""),"",IFERROR(J890/K890*1000,0))</f>
        <v/>
      </c>
      <c r="Q890" s="47" t="str">
        <f aca="false">IF(OR(L890="",K890=""),"",IFERROR(L890/K890*1000,0))</f>
        <v/>
      </c>
      <c r="R890" s="47" t="str">
        <f aca="false">IF(OR(M890="High",M890="Critical"),"YES","")</f>
        <v/>
      </c>
    </row>
    <row r="891" customFormat="false" ht="15" hidden="false" customHeight="true" outlineLevel="0" collapsed="false">
      <c r="A891" s="47" t="n">
        <f aca="false">'Fault &amp; Downtime Entry'!A892</f>
        <v>887</v>
      </c>
      <c r="B891" s="48" t="n">
        <f aca="false">'Fault &amp; Downtime Entry'!B892</f>
        <v>0</v>
      </c>
      <c r="C891" s="47" t="n">
        <f aca="false">'Fault &amp; Downtime Entry'!C892</f>
        <v>0</v>
      </c>
      <c r="D891" s="47" t="n">
        <f aca="false">'Fault &amp; Downtime Entry'!D892</f>
        <v>0</v>
      </c>
      <c r="E891" s="47" t="n">
        <f aca="false">'Fault &amp; Downtime Entry'!E892</f>
        <v>0</v>
      </c>
      <c r="F891" s="47" t="str">
        <f aca="false">'Fault &amp; Downtime Entry'!F892</f>
        <v/>
      </c>
      <c r="G891" s="47" t="n">
        <f aca="false">'Fault &amp; Downtime Entry'!G892</f>
        <v>0</v>
      </c>
      <c r="H891" s="47" t="str">
        <f aca="false">'Fault &amp; Downtime Entry'!H892</f>
        <v/>
      </c>
      <c r="I891" s="47" t="str">
        <f aca="false">'Fault &amp; Downtime Entry'!I892</f>
        <v/>
      </c>
      <c r="J891" s="47" t="n">
        <f aca="false">'Fault &amp; Downtime Entry'!J892</f>
        <v>0</v>
      </c>
      <c r="K891" s="47" t="n">
        <f aca="false">'Fault &amp; Downtime Entry'!K892</f>
        <v>0</v>
      </c>
      <c r="L891" s="47" t="n">
        <f aca="false">'Fault &amp; Downtime Entry'!L892</f>
        <v>0</v>
      </c>
      <c r="M891" s="47" t="str">
        <f aca="false">'Fault &amp; Downtime Entry'!M892</f>
        <v/>
      </c>
      <c r="N891" s="47" t="n">
        <f aca="false">'Fault &amp; Downtime Entry'!N892</f>
        <v>0</v>
      </c>
      <c r="O891" s="47" t="n">
        <f aca="false">'Fault &amp; Downtime Entry'!O892</f>
        <v>0</v>
      </c>
      <c r="P891" s="47" t="str">
        <f aca="false">IF(OR(J891="",K891=""),"",IFERROR(J891/K891*1000,0))</f>
        <v/>
      </c>
      <c r="Q891" s="47" t="str">
        <f aca="false">IF(OR(L891="",K891=""),"",IFERROR(L891/K891*1000,0))</f>
        <v/>
      </c>
      <c r="R891" s="47" t="str">
        <f aca="false">IF(OR(M891="High",M891="Critical"),"YES","")</f>
        <v/>
      </c>
    </row>
    <row r="892" customFormat="false" ht="15" hidden="false" customHeight="true" outlineLevel="0" collapsed="false">
      <c r="A892" s="47" t="n">
        <f aca="false">'Fault &amp; Downtime Entry'!A893</f>
        <v>888</v>
      </c>
      <c r="B892" s="48" t="n">
        <f aca="false">'Fault &amp; Downtime Entry'!B893</f>
        <v>0</v>
      </c>
      <c r="C892" s="47" t="n">
        <f aca="false">'Fault &amp; Downtime Entry'!C893</f>
        <v>0</v>
      </c>
      <c r="D892" s="47" t="n">
        <f aca="false">'Fault &amp; Downtime Entry'!D893</f>
        <v>0</v>
      </c>
      <c r="E892" s="47" t="n">
        <f aca="false">'Fault &amp; Downtime Entry'!E893</f>
        <v>0</v>
      </c>
      <c r="F892" s="47" t="str">
        <f aca="false">'Fault &amp; Downtime Entry'!F893</f>
        <v/>
      </c>
      <c r="G892" s="47" t="n">
        <f aca="false">'Fault &amp; Downtime Entry'!G893</f>
        <v>0</v>
      </c>
      <c r="H892" s="47" t="str">
        <f aca="false">'Fault &amp; Downtime Entry'!H893</f>
        <v/>
      </c>
      <c r="I892" s="47" t="str">
        <f aca="false">'Fault &amp; Downtime Entry'!I893</f>
        <v/>
      </c>
      <c r="J892" s="47" t="n">
        <f aca="false">'Fault &amp; Downtime Entry'!J893</f>
        <v>0</v>
      </c>
      <c r="K892" s="47" t="n">
        <f aca="false">'Fault &amp; Downtime Entry'!K893</f>
        <v>0</v>
      </c>
      <c r="L892" s="47" t="n">
        <f aca="false">'Fault &amp; Downtime Entry'!L893</f>
        <v>0</v>
      </c>
      <c r="M892" s="47" t="str">
        <f aca="false">'Fault &amp; Downtime Entry'!M893</f>
        <v/>
      </c>
      <c r="N892" s="47" t="n">
        <f aca="false">'Fault &amp; Downtime Entry'!N893</f>
        <v>0</v>
      </c>
      <c r="O892" s="47" t="n">
        <f aca="false">'Fault &amp; Downtime Entry'!O893</f>
        <v>0</v>
      </c>
      <c r="P892" s="47" t="str">
        <f aca="false">IF(OR(J892="",K892=""),"",IFERROR(J892/K892*1000,0))</f>
        <v/>
      </c>
      <c r="Q892" s="47" t="str">
        <f aca="false">IF(OR(L892="",K892=""),"",IFERROR(L892/K892*1000,0))</f>
        <v/>
      </c>
      <c r="R892" s="47" t="str">
        <f aca="false">IF(OR(M892="High",M892="Critical"),"YES","")</f>
        <v/>
      </c>
    </row>
    <row r="893" customFormat="false" ht="15" hidden="false" customHeight="true" outlineLevel="0" collapsed="false">
      <c r="A893" s="47" t="n">
        <f aca="false">'Fault &amp; Downtime Entry'!A894</f>
        <v>889</v>
      </c>
      <c r="B893" s="48" t="n">
        <f aca="false">'Fault &amp; Downtime Entry'!B894</f>
        <v>0</v>
      </c>
      <c r="C893" s="47" t="n">
        <f aca="false">'Fault &amp; Downtime Entry'!C894</f>
        <v>0</v>
      </c>
      <c r="D893" s="47" t="n">
        <f aca="false">'Fault &amp; Downtime Entry'!D894</f>
        <v>0</v>
      </c>
      <c r="E893" s="47" t="n">
        <f aca="false">'Fault &amp; Downtime Entry'!E894</f>
        <v>0</v>
      </c>
      <c r="F893" s="47" t="str">
        <f aca="false">'Fault &amp; Downtime Entry'!F894</f>
        <v/>
      </c>
      <c r="G893" s="47" t="n">
        <f aca="false">'Fault &amp; Downtime Entry'!G894</f>
        <v>0</v>
      </c>
      <c r="H893" s="47" t="str">
        <f aca="false">'Fault &amp; Downtime Entry'!H894</f>
        <v/>
      </c>
      <c r="I893" s="47" t="str">
        <f aca="false">'Fault &amp; Downtime Entry'!I894</f>
        <v/>
      </c>
      <c r="J893" s="47" t="n">
        <f aca="false">'Fault &amp; Downtime Entry'!J894</f>
        <v>0</v>
      </c>
      <c r="K893" s="47" t="n">
        <f aca="false">'Fault &amp; Downtime Entry'!K894</f>
        <v>0</v>
      </c>
      <c r="L893" s="47" t="n">
        <f aca="false">'Fault &amp; Downtime Entry'!L894</f>
        <v>0</v>
      </c>
      <c r="M893" s="47" t="str">
        <f aca="false">'Fault &amp; Downtime Entry'!M894</f>
        <v/>
      </c>
      <c r="N893" s="47" t="n">
        <f aca="false">'Fault &amp; Downtime Entry'!N894</f>
        <v>0</v>
      </c>
      <c r="O893" s="47" t="n">
        <f aca="false">'Fault &amp; Downtime Entry'!O894</f>
        <v>0</v>
      </c>
      <c r="P893" s="47" t="str">
        <f aca="false">IF(OR(J893="",K893=""),"",IFERROR(J893/K893*1000,0))</f>
        <v/>
      </c>
      <c r="Q893" s="47" t="str">
        <f aca="false">IF(OR(L893="",K893=""),"",IFERROR(L893/K893*1000,0))</f>
        <v/>
      </c>
      <c r="R893" s="47" t="str">
        <f aca="false">IF(OR(M893="High",M893="Critical"),"YES","")</f>
        <v/>
      </c>
    </row>
    <row r="894" customFormat="false" ht="15" hidden="false" customHeight="true" outlineLevel="0" collapsed="false">
      <c r="A894" s="47" t="n">
        <f aca="false">'Fault &amp; Downtime Entry'!A895</f>
        <v>890</v>
      </c>
      <c r="B894" s="48" t="n">
        <f aca="false">'Fault &amp; Downtime Entry'!B895</f>
        <v>0</v>
      </c>
      <c r="C894" s="47" t="n">
        <f aca="false">'Fault &amp; Downtime Entry'!C895</f>
        <v>0</v>
      </c>
      <c r="D894" s="47" t="n">
        <f aca="false">'Fault &amp; Downtime Entry'!D895</f>
        <v>0</v>
      </c>
      <c r="E894" s="47" t="n">
        <f aca="false">'Fault &amp; Downtime Entry'!E895</f>
        <v>0</v>
      </c>
      <c r="F894" s="47" t="str">
        <f aca="false">'Fault &amp; Downtime Entry'!F895</f>
        <v/>
      </c>
      <c r="G894" s="47" t="n">
        <f aca="false">'Fault &amp; Downtime Entry'!G895</f>
        <v>0</v>
      </c>
      <c r="H894" s="47" t="str">
        <f aca="false">'Fault &amp; Downtime Entry'!H895</f>
        <v/>
      </c>
      <c r="I894" s="47" t="str">
        <f aca="false">'Fault &amp; Downtime Entry'!I895</f>
        <v/>
      </c>
      <c r="J894" s="47" t="n">
        <f aca="false">'Fault &amp; Downtime Entry'!J895</f>
        <v>0</v>
      </c>
      <c r="K894" s="47" t="n">
        <f aca="false">'Fault &amp; Downtime Entry'!K895</f>
        <v>0</v>
      </c>
      <c r="L894" s="47" t="n">
        <f aca="false">'Fault &amp; Downtime Entry'!L895</f>
        <v>0</v>
      </c>
      <c r="M894" s="47" t="str">
        <f aca="false">'Fault &amp; Downtime Entry'!M895</f>
        <v/>
      </c>
      <c r="N894" s="47" t="n">
        <f aca="false">'Fault &amp; Downtime Entry'!N895</f>
        <v>0</v>
      </c>
      <c r="O894" s="47" t="n">
        <f aca="false">'Fault &amp; Downtime Entry'!O895</f>
        <v>0</v>
      </c>
      <c r="P894" s="47" t="str">
        <f aca="false">IF(OR(J894="",K894=""),"",IFERROR(J894/K894*1000,0))</f>
        <v/>
      </c>
      <c r="Q894" s="47" t="str">
        <f aca="false">IF(OR(L894="",K894=""),"",IFERROR(L894/K894*1000,0))</f>
        <v/>
      </c>
      <c r="R894" s="47" t="str">
        <f aca="false">IF(OR(M894="High",M894="Critical"),"YES","")</f>
        <v/>
      </c>
    </row>
    <row r="895" customFormat="false" ht="15" hidden="false" customHeight="true" outlineLevel="0" collapsed="false">
      <c r="A895" s="47" t="n">
        <f aca="false">'Fault &amp; Downtime Entry'!A896</f>
        <v>891</v>
      </c>
      <c r="B895" s="48" t="n">
        <f aca="false">'Fault &amp; Downtime Entry'!B896</f>
        <v>0</v>
      </c>
      <c r="C895" s="47" t="n">
        <f aca="false">'Fault &amp; Downtime Entry'!C896</f>
        <v>0</v>
      </c>
      <c r="D895" s="47" t="n">
        <f aca="false">'Fault &amp; Downtime Entry'!D896</f>
        <v>0</v>
      </c>
      <c r="E895" s="47" t="n">
        <f aca="false">'Fault &amp; Downtime Entry'!E896</f>
        <v>0</v>
      </c>
      <c r="F895" s="47" t="str">
        <f aca="false">'Fault &amp; Downtime Entry'!F896</f>
        <v/>
      </c>
      <c r="G895" s="47" t="n">
        <f aca="false">'Fault &amp; Downtime Entry'!G896</f>
        <v>0</v>
      </c>
      <c r="H895" s="47" t="str">
        <f aca="false">'Fault &amp; Downtime Entry'!H896</f>
        <v/>
      </c>
      <c r="I895" s="47" t="str">
        <f aca="false">'Fault &amp; Downtime Entry'!I896</f>
        <v/>
      </c>
      <c r="J895" s="47" t="n">
        <f aca="false">'Fault &amp; Downtime Entry'!J896</f>
        <v>0</v>
      </c>
      <c r="K895" s="47" t="n">
        <f aca="false">'Fault &amp; Downtime Entry'!K896</f>
        <v>0</v>
      </c>
      <c r="L895" s="47" t="n">
        <f aca="false">'Fault &amp; Downtime Entry'!L896</f>
        <v>0</v>
      </c>
      <c r="M895" s="47" t="str">
        <f aca="false">'Fault &amp; Downtime Entry'!M896</f>
        <v/>
      </c>
      <c r="N895" s="47" t="n">
        <f aca="false">'Fault &amp; Downtime Entry'!N896</f>
        <v>0</v>
      </c>
      <c r="O895" s="47" t="n">
        <f aca="false">'Fault &amp; Downtime Entry'!O896</f>
        <v>0</v>
      </c>
      <c r="P895" s="47" t="str">
        <f aca="false">IF(OR(J895="",K895=""),"",IFERROR(J895/K895*1000,0))</f>
        <v/>
      </c>
      <c r="Q895" s="47" t="str">
        <f aca="false">IF(OR(L895="",K895=""),"",IFERROR(L895/K895*1000,0))</f>
        <v/>
      </c>
      <c r="R895" s="47" t="str">
        <f aca="false">IF(OR(M895="High",M895="Critical"),"YES","")</f>
        <v/>
      </c>
    </row>
    <row r="896" customFormat="false" ht="15" hidden="false" customHeight="true" outlineLevel="0" collapsed="false">
      <c r="A896" s="47" t="n">
        <f aca="false">'Fault &amp; Downtime Entry'!A897</f>
        <v>892</v>
      </c>
      <c r="B896" s="48" t="n">
        <f aca="false">'Fault &amp; Downtime Entry'!B897</f>
        <v>0</v>
      </c>
      <c r="C896" s="47" t="n">
        <f aca="false">'Fault &amp; Downtime Entry'!C897</f>
        <v>0</v>
      </c>
      <c r="D896" s="47" t="n">
        <f aca="false">'Fault &amp; Downtime Entry'!D897</f>
        <v>0</v>
      </c>
      <c r="E896" s="47" t="n">
        <f aca="false">'Fault &amp; Downtime Entry'!E897</f>
        <v>0</v>
      </c>
      <c r="F896" s="47" t="str">
        <f aca="false">'Fault &amp; Downtime Entry'!F897</f>
        <v/>
      </c>
      <c r="G896" s="47" t="n">
        <f aca="false">'Fault &amp; Downtime Entry'!G897</f>
        <v>0</v>
      </c>
      <c r="H896" s="47" t="str">
        <f aca="false">'Fault &amp; Downtime Entry'!H897</f>
        <v/>
      </c>
      <c r="I896" s="47" t="str">
        <f aca="false">'Fault &amp; Downtime Entry'!I897</f>
        <v/>
      </c>
      <c r="J896" s="47" t="n">
        <f aca="false">'Fault &amp; Downtime Entry'!J897</f>
        <v>0</v>
      </c>
      <c r="K896" s="47" t="n">
        <f aca="false">'Fault &amp; Downtime Entry'!K897</f>
        <v>0</v>
      </c>
      <c r="L896" s="47" t="n">
        <f aca="false">'Fault &amp; Downtime Entry'!L897</f>
        <v>0</v>
      </c>
      <c r="M896" s="47" t="str">
        <f aca="false">'Fault &amp; Downtime Entry'!M897</f>
        <v/>
      </c>
      <c r="N896" s="47" t="n">
        <f aca="false">'Fault &amp; Downtime Entry'!N897</f>
        <v>0</v>
      </c>
      <c r="O896" s="47" t="n">
        <f aca="false">'Fault &amp; Downtime Entry'!O897</f>
        <v>0</v>
      </c>
      <c r="P896" s="47" t="str">
        <f aca="false">IF(OR(J896="",K896=""),"",IFERROR(J896/K896*1000,0))</f>
        <v/>
      </c>
      <c r="Q896" s="47" t="str">
        <f aca="false">IF(OR(L896="",K896=""),"",IFERROR(L896/K896*1000,0))</f>
        <v/>
      </c>
      <c r="R896" s="47" t="str">
        <f aca="false">IF(OR(M896="High",M896="Critical"),"YES","")</f>
        <v/>
      </c>
    </row>
    <row r="897" customFormat="false" ht="15" hidden="false" customHeight="true" outlineLevel="0" collapsed="false">
      <c r="A897" s="47" t="n">
        <f aca="false">'Fault &amp; Downtime Entry'!A898</f>
        <v>893</v>
      </c>
      <c r="B897" s="48" t="n">
        <f aca="false">'Fault &amp; Downtime Entry'!B898</f>
        <v>0</v>
      </c>
      <c r="C897" s="47" t="n">
        <f aca="false">'Fault &amp; Downtime Entry'!C898</f>
        <v>0</v>
      </c>
      <c r="D897" s="47" t="n">
        <f aca="false">'Fault &amp; Downtime Entry'!D898</f>
        <v>0</v>
      </c>
      <c r="E897" s="47" t="n">
        <f aca="false">'Fault &amp; Downtime Entry'!E898</f>
        <v>0</v>
      </c>
      <c r="F897" s="47" t="str">
        <f aca="false">'Fault &amp; Downtime Entry'!F898</f>
        <v/>
      </c>
      <c r="G897" s="47" t="n">
        <f aca="false">'Fault &amp; Downtime Entry'!G898</f>
        <v>0</v>
      </c>
      <c r="H897" s="47" t="str">
        <f aca="false">'Fault &amp; Downtime Entry'!H898</f>
        <v/>
      </c>
      <c r="I897" s="47" t="str">
        <f aca="false">'Fault &amp; Downtime Entry'!I898</f>
        <v/>
      </c>
      <c r="J897" s="47" t="n">
        <f aca="false">'Fault &amp; Downtime Entry'!J898</f>
        <v>0</v>
      </c>
      <c r="K897" s="47" t="n">
        <f aca="false">'Fault &amp; Downtime Entry'!K898</f>
        <v>0</v>
      </c>
      <c r="L897" s="47" t="n">
        <f aca="false">'Fault &amp; Downtime Entry'!L898</f>
        <v>0</v>
      </c>
      <c r="M897" s="47" t="str">
        <f aca="false">'Fault &amp; Downtime Entry'!M898</f>
        <v/>
      </c>
      <c r="N897" s="47" t="n">
        <f aca="false">'Fault &amp; Downtime Entry'!N898</f>
        <v>0</v>
      </c>
      <c r="O897" s="47" t="n">
        <f aca="false">'Fault &amp; Downtime Entry'!O898</f>
        <v>0</v>
      </c>
      <c r="P897" s="47" t="str">
        <f aca="false">IF(OR(J897="",K897=""),"",IFERROR(J897/K897*1000,0))</f>
        <v/>
      </c>
      <c r="Q897" s="47" t="str">
        <f aca="false">IF(OR(L897="",K897=""),"",IFERROR(L897/K897*1000,0))</f>
        <v/>
      </c>
      <c r="R897" s="47" t="str">
        <f aca="false">IF(OR(M897="High",M897="Critical"),"YES","")</f>
        <v/>
      </c>
    </row>
    <row r="898" customFormat="false" ht="15" hidden="false" customHeight="true" outlineLevel="0" collapsed="false">
      <c r="A898" s="47" t="n">
        <f aca="false">'Fault &amp; Downtime Entry'!A899</f>
        <v>894</v>
      </c>
      <c r="B898" s="48" t="n">
        <f aca="false">'Fault &amp; Downtime Entry'!B899</f>
        <v>0</v>
      </c>
      <c r="C898" s="47" t="n">
        <f aca="false">'Fault &amp; Downtime Entry'!C899</f>
        <v>0</v>
      </c>
      <c r="D898" s="47" t="n">
        <f aca="false">'Fault &amp; Downtime Entry'!D899</f>
        <v>0</v>
      </c>
      <c r="E898" s="47" t="n">
        <f aca="false">'Fault &amp; Downtime Entry'!E899</f>
        <v>0</v>
      </c>
      <c r="F898" s="47" t="str">
        <f aca="false">'Fault &amp; Downtime Entry'!F899</f>
        <v/>
      </c>
      <c r="G898" s="47" t="n">
        <f aca="false">'Fault &amp; Downtime Entry'!G899</f>
        <v>0</v>
      </c>
      <c r="H898" s="47" t="str">
        <f aca="false">'Fault &amp; Downtime Entry'!H899</f>
        <v/>
      </c>
      <c r="I898" s="47" t="str">
        <f aca="false">'Fault &amp; Downtime Entry'!I899</f>
        <v/>
      </c>
      <c r="J898" s="47" t="n">
        <f aca="false">'Fault &amp; Downtime Entry'!J899</f>
        <v>0</v>
      </c>
      <c r="K898" s="47" t="n">
        <f aca="false">'Fault &amp; Downtime Entry'!K899</f>
        <v>0</v>
      </c>
      <c r="L898" s="47" t="n">
        <f aca="false">'Fault &amp; Downtime Entry'!L899</f>
        <v>0</v>
      </c>
      <c r="M898" s="47" t="str">
        <f aca="false">'Fault &amp; Downtime Entry'!M899</f>
        <v/>
      </c>
      <c r="N898" s="47" t="n">
        <f aca="false">'Fault &amp; Downtime Entry'!N899</f>
        <v>0</v>
      </c>
      <c r="O898" s="47" t="n">
        <f aca="false">'Fault &amp; Downtime Entry'!O899</f>
        <v>0</v>
      </c>
      <c r="P898" s="47" t="str">
        <f aca="false">IF(OR(J898="",K898=""),"",IFERROR(J898/K898*1000,0))</f>
        <v/>
      </c>
      <c r="Q898" s="47" t="str">
        <f aca="false">IF(OR(L898="",K898=""),"",IFERROR(L898/K898*1000,0))</f>
        <v/>
      </c>
      <c r="R898" s="47" t="str">
        <f aca="false">IF(OR(M898="High",M898="Critical"),"YES","")</f>
        <v/>
      </c>
    </row>
    <row r="899" customFormat="false" ht="15" hidden="false" customHeight="true" outlineLevel="0" collapsed="false">
      <c r="A899" s="47" t="n">
        <f aca="false">'Fault &amp; Downtime Entry'!A900</f>
        <v>895</v>
      </c>
      <c r="B899" s="48" t="n">
        <f aca="false">'Fault &amp; Downtime Entry'!B900</f>
        <v>0</v>
      </c>
      <c r="C899" s="47" t="n">
        <f aca="false">'Fault &amp; Downtime Entry'!C900</f>
        <v>0</v>
      </c>
      <c r="D899" s="47" t="n">
        <f aca="false">'Fault &amp; Downtime Entry'!D900</f>
        <v>0</v>
      </c>
      <c r="E899" s="47" t="n">
        <f aca="false">'Fault &amp; Downtime Entry'!E900</f>
        <v>0</v>
      </c>
      <c r="F899" s="47" t="str">
        <f aca="false">'Fault &amp; Downtime Entry'!F900</f>
        <v/>
      </c>
      <c r="G899" s="47" t="n">
        <f aca="false">'Fault &amp; Downtime Entry'!G900</f>
        <v>0</v>
      </c>
      <c r="H899" s="47" t="str">
        <f aca="false">'Fault &amp; Downtime Entry'!H900</f>
        <v/>
      </c>
      <c r="I899" s="47" t="str">
        <f aca="false">'Fault &amp; Downtime Entry'!I900</f>
        <v/>
      </c>
      <c r="J899" s="47" t="n">
        <f aca="false">'Fault &amp; Downtime Entry'!J900</f>
        <v>0</v>
      </c>
      <c r="K899" s="47" t="n">
        <f aca="false">'Fault &amp; Downtime Entry'!K900</f>
        <v>0</v>
      </c>
      <c r="L899" s="47" t="n">
        <f aca="false">'Fault &amp; Downtime Entry'!L900</f>
        <v>0</v>
      </c>
      <c r="M899" s="47" t="str">
        <f aca="false">'Fault &amp; Downtime Entry'!M900</f>
        <v/>
      </c>
      <c r="N899" s="47" t="n">
        <f aca="false">'Fault &amp; Downtime Entry'!N900</f>
        <v>0</v>
      </c>
      <c r="O899" s="47" t="n">
        <f aca="false">'Fault &amp; Downtime Entry'!O900</f>
        <v>0</v>
      </c>
      <c r="P899" s="47" t="str">
        <f aca="false">IF(OR(J899="",K899=""),"",IFERROR(J899/K899*1000,0))</f>
        <v/>
      </c>
      <c r="Q899" s="47" t="str">
        <f aca="false">IF(OR(L899="",K899=""),"",IFERROR(L899/K899*1000,0))</f>
        <v/>
      </c>
      <c r="R899" s="47" t="str">
        <f aca="false">IF(OR(M899="High",M899="Critical"),"YES","")</f>
        <v/>
      </c>
    </row>
    <row r="900" customFormat="false" ht="15" hidden="false" customHeight="true" outlineLevel="0" collapsed="false">
      <c r="A900" s="47" t="n">
        <f aca="false">'Fault &amp; Downtime Entry'!A901</f>
        <v>896</v>
      </c>
      <c r="B900" s="48" t="n">
        <f aca="false">'Fault &amp; Downtime Entry'!B901</f>
        <v>0</v>
      </c>
      <c r="C900" s="47" t="n">
        <f aca="false">'Fault &amp; Downtime Entry'!C901</f>
        <v>0</v>
      </c>
      <c r="D900" s="47" t="n">
        <f aca="false">'Fault &amp; Downtime Entry'!D901</f>
        <v>0</v>
      </c>
      <c r="E900" s="47" t="n">
        <f aca="false">'Fault &amp; Downtime Entry'!E901</f>
        <v>0</v>
      </c>
      <c r="F900" s="47" t="str">
        <f aca="false">'Fault &amp; Downtime Entry'!F901</f>
        <v/>
      </c>
      <c r="G900" s="47" t="n">
        <f aca="false">'Fault &amp; Downtime Entry'!G901</f>
        <v>0</v>
      </c>
      <c r="H900" s="47" t="str">
        <f aca="false">'Fault &amp; Downtime Entry'!H901</f>
        <v/>
      </c>
      <c r="I900" s="47" t="str">
        <f aca="false">'Fault &amp; Downtime Entry'!I901</f>
        <v/>
      </c>
      <c r="J900" s="47" t="n">
        <f aca="false">'Fault &amp; Downtime Entry'!J901</f>
        <v>0</v>
      </c>
      <c r="K900" s="47" t="n">
        <f aca="false">'Fault &amp; Downtime Entry'!K901</f>
        <v>0</v>
      </c>
      <c r="L900" s="47" t="n">
        <f aca="false">'Fault &amp; Downtime Entry'!L901</f>
        <v>0</v>
      </c>
      <c r="M900" s="47" t="str">
        <f aca="false">'Fault &amp; Downtime Entry'!M901</f>
        <v/>
      </c>
      <c r="N900" s="47" t="n">
        <f aca="false">'Fault &amp; Downtime Entry'!N901</f>
        <v>0</v>
      </c>
      <c r="O900" s="47" t="n">
        <f aca="false">'Fault &amp; Downtime Entry'!O901</f>
        <v>0</v>
      </c>
      <c r="P900" s="47" t="str">
        <f aca="false">IF(OR(J900="",K900=""),"",IFERROR(J900/K900*1000,0))</f>
        <v/>
      </c>
      <c r="Q900" s="47" t="str">
        <f aca="false">IF(OR(L900="",K900=""),"",IFERROR(L900/K900*1000,0))</f>
        <v/>
      </c>
      <c r="R900" s="47" t="str">
        <f aca="false">IF(OR(M900="High",M900="Critical"),"YES","")</f>
        <v/>
      </c>
    </row>
    <row r="901" customFormat="false" ht="15" hidden="false" customHeight="true" outlineLevel="0" collapsed="false">
      <c r="A901" s="47" t="n">
        <f aca="false">'Fault &amp; Downtime Entry'!A902</f>
        <v>897</v>
      </c>
      <c r="B901" s="48" t="n">
        <f aca="false">'Fault &amp; Downtime Entry'!B902</f>
        <v>0</v>
      </c>
      <c r="C901" s="47" t="n">
        <f aca="false">'Fault &amp; Downtime Entry'!C902</f>
        <v>0</v>
      </c>
      <c r="D901" s="47" t="n">
        <f aca="false">'Fault &amp; Downtime Entry'!D902</f>
        <v>0</v>
      </c>
      <c r="E901" s="47" t="n">
        <f aca="false">'Fault &amp; Downtime Entry'!E902</f>
        <v>0</v>
      </c>
      <c r="F901" s="47" t="str">
        <f aca="false">'Fault &amp; Downtime Entry'!F902</f>
        <v/>
      </c>
      <c r="G901" s="47" t="n">
        <f aca="false">'Fault &amp; Downtime Entry'!G902</f>
        <v>0</v>
      </c>
      <c r="H901" s="47" t="str">
        <f aca="false">'Fault &amp; Downtime Entry'!H902</f>
        <v/>
      </c>
      <c r="I901" s="47" t="str">
        <f aca="false">'Fault &amp; Downtime Entry'!I902</f>
        <v/>
      </c>
      <c r="J901" s="47" t="n">
        <f aca="false">'Fault &amp; Downtime Entry'!J902</f>
        <v>0</v>
      </c>
      <c r="K901" s="47" t="n">
        <f aca="false">'Fault &amp; Downtime Entry'!K902</f>
        <v>0</v>
      </c>
      <c r="L901" s="47" t="n">
        <f aca="false">'Fault &amp; Downtime Entry'!L902</f>
        <v>0</v>
      </c>
      <c r="M901" s="47" t="str">
        <f aca="false">'Fault &amp; Downtime Entry'!M902</f>
        <v/>
      </c>
      <c r="N901" s="47" t="n">
        <f aca="false">'Fault &amp; Downtime Entry'!N902</f>
        <v>0</v>
      </c>
      <c r="O901" s="47" t="n">
        <f aca="false">'Fault &amp; Downtime Entry'!O902</f>
        <v>0</v>
      </c>
      <c r="P901" s="47" t="str">
        <f aca="false">IF(OR(J901="",K901=""),"",IFERROR(J901/K901*1000,0))</f>
        <v/>
      </c>
      <c r="Q901" s="47" t="str">
        <f aca="false">IF(OR(L901="",K901=""),"",IFERROR(L901/K901*1000,0))</f>
        <v/>
      </c>
      <c r="R901" s="47" t="str">
        <f aca="false">IF(OR(M901="High",M901="Critical"),"YES","")</f>
        <v/>
      </c>
    </row>
    <row r="902" customFormat="false" ht="15" hidden="false" customHeight="true" outlineLevel="0" collapsed="false">
      <c r="A902" s="47" t="n">
        <f aca="false">'Fault &amp; Downtime Entry'!A903</f>
        <v>898</v>
      </c>
      <c r="B902" s="48" t="n">
        <f aca="false">'Fault &amp; Downtime Entry'!B903</f>
        <v>0</v>
      </c>
      <c r="C902" s="47" t="n">
        <f aca="false">'Fault &amp; Downtime Entry'!C903</f>
        <v>0</v>
      </c>
      <c r="D902" s="47" t="n">
        <f aca="false">'Fault &amp; Downtime Entry'!D903</f>
        <v>0</v>
      </c>
      <c r="E902" s="47" t="n">
        <f aca="false">'Fault &amp; Downtime Entry'!E903</f>
        <v>0</v>
      </c>
      <c r="F902" s="47" t="str">
        <f aca="false">'Fault &amp; Downtime Entry'!F903</f>
        <v/>
      </c>
      <c r="G902" s="47" t="n">
        <f aca="false">'Fault &amp; Downtime Entry'!G903</f>
        <v>0</v>
      </c>
      <c r="H902" s="47" t="str">
        <f aca="false">'Fault &amp; Downtime Entry'!H903</f>
        <v/>
      </c>
      <c r="I902" s="47" t="str">
        <f aca="false">'Fault &amp; Downtime Entry'!I903</f>
        <v/>
      </c>
      <c r="J902" s="47" t="n">
        <f aca="false">'Fault &amp; Downtime Entry'!J903</f>
        <v>0</v>
      </c>
      <c r="K902" s="47" t="n">
        <f aca="false">'Fault &amp; Downtime Entry'!K903</f>
        <v>0</v>
      </c>
      <c r="L902" s="47" t="n">
        <f aca="false">'Fault &amp; Downtime Entry'!L903</f>
        <v>0</v>
      </c>
      <c r="M902" s="47" t="str">
        <f aca="false">'Fault &amp; Downtime Entry'!M903</f>
        <v/>
      </c>
      <c r="N902" s="47" t="n">
        <f aca="false">'Fault &amp; Downtime Entry'!N903</f>
        <v>0</v>
      </c>
      <c r="O902" s="47" t="n">
        <f aca="false">'Fault &amp; Downtime Entry'!O903</f>
        <v>0</v>
      </c>
      <c r="P902" s="47" t="str">
        <f aca="false">IF(OR(J902="",K902=""),"",IFERROR(J902/K902*1000,0))</f>
        <v/>
      </c>
      <c r="Q902" s="47" t="str">
        <f aca="false">IF(OR(L902="",K902=""),"",IFERROR(L902/K902*1000,0))</f>
        <v/>
      </c>
      <c r="R902" s="47" t="str">
        <f aca="false">IF(OR(M902="High",M902="Critical"),"YES","")</f>
        <v/>
      </c>
    </row>
    <row r="903" customFormat="false" ht="15" hidden="false" customHeight="true" outlineLevel="0" collapsed="false">
      <c r="A903" s="47" t="n">
        <f aca="false">'Fault &amp; Downtime Entry'!A904</f>
        <v>899</v>
      </c>
      <c r="B903" s="48" t="n">
        <f aca="false">'Fault &amp; Downtime Entry'!B904</f>
        <v>0</v>
      </c>
      <c r="C903" s="47" t="n">
        <f aca="false">'Fault &amp; Downtime Entry'!C904</f>
        <v>0</v>
      </c>
      <c r="D903" s="47" t="n">
        <f aca="false">'Fault &amp; Downtime Entry'!D904</f>
        <v>0</v>
      </c>
      <c r="E903" s="47" t="n">
        <f aca="false">'Fault &amp; Downtime Entry'!E904</f>
        <v>0</v>
      </c>
      <c r="F903" s="47" t="str">
        <f aca="false">'Fault &amp; Downtime Entry'!F904</f>
        <v/>
      </c>
      <c r="G903" s="47" t="n">
        <f aca="false">'Fault &amp; Downtime Entry'!G904</f>
        <v>0</v>
      </c>
      <c r="H903" s="47" t="str">
        <f aca="false">'Fault &amp; Downtime Entry'!H904</f>
        <v/>
      </c>
      <c r="I903" s="47" t="str">
        <f aca="false">'Fault &amp; Downtime Entry'!I904</f>
        <v/>
      </c>
      <c r="J903" s="47" t="n">
        <f aca="false">'Fault &amp; Downtime Entry'!J904</f>
        <v>0</v>
      </c>
      <c r="K903" s="47" t="n">
        <f aca="false">'Fault &amp; Downtime Entry'!K904</f>
        <v>0</v>
      </c>
      <c r="L903" s="47" t="n">
        <f aca="false">'Fault &amp; Downtime Entry'!L904</f>
        <v>0</v>
      </c>
      <c r="M903" s="47" t="str">
        <f aca="false">'Fault &amp; Downtime Entry'!M904</f>
        <v/>
      </c>
      <c r="N903" s="47" t="n">
        <f aca="false">'Fault &amp; Downtime Entry'!N904</f>
        <v>0</v>
      </c>
      <c r="O903" s="47" t="n">
        <f aca="false">'Fault &amp; Downtime Entry'!O904</f>
        <v>0</v>
      </c>
      <c r="P903" s="47" t="str">
        <f aca="false">IF(OR(J903="",K903=""),"",IFERROR(J903/K903*1000,0))</f>
        <v/>
      </c>
      <c r="Q903" s="47" t="str">
        <f aca="false">IF(OR(L903="",K903=""),"",IFERROR(L903/K903*1000,0))</f>
        <v/>
      </c>
      <c r="R903" s="47" t="str">
        <f aca="false">IF(OR(M903="High",M903="Critical"),"YES","")</f>
        <v/>
      </c>
    </row>
    <row r="904" customFormat="false" ht="15" hidden="false" customHeight="true" outlineLevel="0" collapsed="false">
      <c r="A904" s="47" t="n">
        <f aca="false">'Fault &amp; Downtime Entry'!A905</f>
        <v>900</v>
      </c>
      <c r="B904" s="48" t="n">
        <f aca="false">'Fault &amp; Downtime Entry'!B905</f>
        <v>0</v>
      </c>
      <c r="C904" s="47" t="n">
        <f aca="false">'Fault &amp; Downtime Entry'!C905</f>
        <v>0</v>
      </c>
      <c r="D904" s="47" t="n">
        <f aca="false">'Fault &amp; Downtime Entry'!D905</f>
        <v>0</v>
      </c>
      <c r="E904" s="47" t="n">
        <f aca="false">'Fault &amp; Downtime Entry'!E905</f>
        <v>0</v>
      </c>
      <c r="F904" s="47" t="str">
        <f aca="false">'Fault &amp; Downtime Entry'!F905</f>
        <v/>
      </c>
      <c r="G904" s="47" t="n">
        <f aca="false">'Fault &amp; Downtime Entry'!G905</f>
        <v>0</v>
      </c>
      <c r="H904" s="47" t="str">
        <f aca="false">'Fault &amp; Downtime Entry'!H905</f>
        <v/>
      </c>
      <c r="I904" s="47" t="str">
        <f aca="false">'Fault &amp; Downtime Entry'!I905</f>
        <v/>
      </c>
      <c r="J904" s="47" t="n">
        <f aca="false">'Fault &amp; Downtime Entry'!J905</f>
        <v>0</v>
      </c>
      <c r="K904" s="47" t="n">
        <f aca="false">'Fault &amp; Downtime Entry'!K905</f>
        <v>0</v>
      </c>
      <c r="L904" s="47" t="n">
        <f aca="false">'Fault &amp; Downtime Entry'!L905</f>
        <v>0</v>
      </c>
      <c r="M904" s="47" t="str">
        <f aca="false">'Fault &amp; Downtime Entry'!M905</f>
        <v/>
      </c>
      <c r="N904" s="47" t="n">
        <f aca="false">'Fault &amp; Downtime Entry'!N905</f>
        <v>0</v>
      </c>
      <c r="O904" s="47" t="n">
        <f aca="false">'Fault &amp; Downtime Entry'!O905</f>
        <v>0</v>
      </c>
      <c r="P904" s="47" t="str">
        <f aca="false">IF(OR(J904="",K904=""),"",IFERROR(J904/K904*1000,0))</f>
        <v/>
      </c>
      <c r="Q904" s="47" t="str">
        <f aca="false">IF(OR(L904="",K904=""),"",IFERROR(L904/K904*1000,0))</f>
        <v/>
      </c>
      <c r="R904" s="47" t="str">
        <f aca="false">IF(OR(M904="High",M904="Critical"),"YES","")</f>
        <v/>
      </c>
    </row>
    <row r="905" customFormat="false" ht="15" hidden="false" customHeight="true" outlineLevel="0" collapsed="false">
      <c r="A905" s="47" t="n">
        <f aca="false">'Fault &amp; Downtime Entry'!A906</f>
        <v>901</v>
      </c>
      <c r="B905" s="48" t="n">
        <f aca="false">'Fault &amp; Downtime Entry'!B906</f>
        <v>0</v>
      </c>
      <c r="C905" s="47" t="n">
        <f aca="false">'Fault &amp; Downtime Entry'!C906</f>
        <v>0</v>
      </c>
      <c r="D905" s="47" t="n">
        <f aca="false">'Fault &amp; Downtime Entry'!D906</f>
        <v>0</v>
      </c>
      <c r="E905" s="47" t="n">
        <f aca="false">'Fault &amp; Downtime Entry'!E906</f>
        <v>0</v>
      </c>
      <c r="F905" s="47" t="str">
        <f aca="false">'Fault &amp; Downtime Entry'!F906</f>
        <v/>
      </c>
      <c r="G905" s="47" t="n">
        <f aca="false">'Fault &amp; Downtime Entry'!G906</f>
        <v>0</v>
      </c>
      <c r="H905" s="47" t="str">
        <f aca="false">'Fault &amp; Downtime Entry'!H906</f>
        <v/>
      </c>
      <c r="I905" s="47" t="str">
        <f aca="false">'Fault &amp; Downtime Entry'!I906</f>
        <v/>
      </c>
      <c r="J905" s="47" t="n">
        <f aca="false">'Fault &amp; Downtime Entry'!J906</f>
        <v>0</v>
      </c>
      <c r="K905" s="47" t="n">
        <f aca="false">'Fault &amp; Downtime Entry'!K906</f>
        <v>0</v>
      </c>
      <c r="L905" s="47" t="n">
        <f aca="false">'Fault &amp; Downtime Entry'!L906</f>
        <v>0</v>
      </c>
      <c r="M905" s="47" t="str">
        <f aca="false">'Fault &amp; Downtime Entry'!M906</f>
        <v/>
      </c>
      <c r="N905" s="47" t="n">
        <f aca="false">'Fault &amp; Downtime Entry'!N906</f>
        <v>0</v>
      </c>
      <c r="O905" s="47" t="n">
        <f aca="false">'Fault &amp; Downtime Entry'!O906</f>
        <v>0</v>
      </c>
      <c r="P905" s="47" t="str">
        <f aca="false">IF(OR(J905="",K905=""),"",IFERROR(J905/K905*1000,0))</f>
        <v/>
      </c>
      <c r="Q905" s="47" t="str">
        <f aca="false">IF(OR(L905="",K905=""),"",IFERROR(L905/K905*1000,0))</f>
        <v/>
      </c>
      <c r="R905" s="47" t="str">
        <f aca="false">IF(OR(M905="High",M905="Critical"),"YES","")</f>
        <v/>
      </c>
    </row>
    <row r="906" customFormat="false" ht="15" hidden="false" customHeight="true" outlineLevel="0" collapsed="false">
      <c r="A906" s="47" t="n">
        <f aca="false">'Fault &amp; Downtime Entry'!A907</f>
        <v>902</v>
      </c>
      <c r="B906" s="48" t="n">
        <f aca="false">'Fault &amp; Downtime Entry'!B907</f>
        <v>0</v>
      </c>
      <c r="C906" s="47" t="n">
        <f aca="false">'Fault &amp; Downtime Entry'!C907</f>
        <v>0</v>
      </c>
      <c r="D906" s="47" t="n">
        <f aca="false">'Fault &amp; Downtime Entry'!D907</f>
        <v>0</v>
      </c>
      <c r="E906" s="47" t="n">
        <f aca="false">'Fault &amp; Downtime Entry'!E907</f>
        <v>0</v>
      </c>
      <c r="F906" s="47" t="str">
        <f aca="false">'Fault &amp; Downtime Entry'!F907</f>
        <v/>
      </c>
      <c r="G906" s="47" t="n">
        <f aca="false">'Fault &amp; Downtime Entry'!G907</f>
        <v>0</v>
      </c>
      <c r="H906" s="47" t="str">
        <f aca="false">'Fault &amp; Downtime Entry'!H907</f>
        <v/>
      </c>
      <c r="I906" s="47" t="str">
        <f aca="false">'Fault &amp; Downtime Entry'!I907</f>
        <v/>
      </c>
      <c r="J906" s="47" t="n">
        <f aca="false">'Fault &amp; Downtime Entry'!J907</f>
        <v>0</v>
      </c>
      <c r="K906" s="47" t="n">
        <f aca="false">'Fault &amp; Downtime Entry'!K907</f>
        <v>0</v>
      </c>
      <c r="L906" s="47" t="n">
        <f aca="false">'Fault &amp; Downtime Entry'!L907</f>
        <v>0</v>
      </c>
      <c r="M906" s="47" t="str">
        <f aca="false">'Fault &amp; Downtime Entry'!M907</f>
        <v/>
      </c>
      <c r="N906" s="47" t="n">
        <f aca="false">'Fault &amp; Downtime Entry'!N907</f>
        <v>0</v>
      </c>
      <c r="O906" s="47" t="n">
        <f aca="false">'Fault &amp; Downtime Entry'!O907</f>
        <v>0</v>
      </c>
      <c r="P906" s="47" t="str">
        <f aca="false">IF(OR(J906="",K906=""),"",IFERROR(J906/K906*1000,0))</f>
        <v/>
      </c>
      <c r="Q906" s="47" t="str">
        <f aca="false">IF(OR(L906="",K906=""),"",IFERROR(L906/K906*1000,0))</f>
        <v/>
      </c>
      <c r="R906" s="47" t="str">
        <f aca="false">IF(OR(M906="High",M906="Critical"),"YES","")</f>
        <v/>
      </c>
    </row>
    <row r="907" customFormat="false" ht="15" hidden="false" customHeight="true" outlineLevel="0" collapsed="false">
      <c r="A907" s="47" t="n">
        <f aca="false">'Fault &amp; Downtime Entry'!A908</f>
        <v>903</v>
      </c>
      <c r="B907" s="48" t="n">
        <f aca="false">'Fault &amp; Downtime Entry'!B908</f>
        <v>0</v>
      </c>
      <c r="C907" s="47" t="n">
        <f aca="false">'Fault &amp; Downtime Entry'!C908</f>
        <v>0</v>
      </c>
      <c r="D907" s="47" t="n">
        <f aca="false">'Fault &amp; Downtime Entry'!D908</f>
        <v>0</v>
      </c>
      <c r="E907" s="47" t="n">
        <f aca="false">'Fault &amp; Downtime Entry'!E908</f>
        <v>0</v>
      </c>
      <c r="F907" s="47" t="str">
        <f aca="false">'Fault &amp; Downtime Entry'!F908</f>
        <v/>
      </c>
      <c r="G907" s="47" t="n">
        <f aca="false">'Fault &amp; Downtime Entry'!G908</f>
        <v>0</v>
      </c>
      <c r="H907" s="47" t="str">
        <f aca="false">'Fault &amp; Downtime Entry'!H908</f>
        <v/>
      </c>
      <c r="I907" s="47" t="str">
        <f aca="false">'Fault &amp; Downtime Entry'!I908</f>
        <v/>
      </c>
      <c r="J907" s="47" t="n">
        <f aca="false">'Fault &amp; Downtime Entry'!J908</f>
        <v>0</v>
      </c>
      <c r="K907" s="47" t="n">
        <f aca="false">'Fault &amp; Downtime Entry'!K908</f>
        <v>0</v>
      </c>
      <c r="L907" s="47" t="n">
        <f aca="false">'Fault &amp; Downtime Entry'!L908</f>
        <v>0</v>
      </c>
      <c r="M907" s="47" t="str">
        <f aca="false">'Fault &amp; Downtime Entry'!M908</f>
        <v/>
      </c>
      <c r="N907" s="47" t="n">
        <f aca="false">'Fault &amp; Downtime Entry'!N908</f>
        <v>0</v>
      </c>
      <c r="O907" s="47" t="n">
        <f aca="false">'Fault &amp; Downtime Entry'!O908</f>
        <v>0</v>
      </c>
      <c r="P907" s="47" t="str">
        <f aca="false">IF(OR(J907="",K907=""),"",IFERROR(J907/K907*1000,0))</f>
        <v/>
      </c>
      <c r="Q907" s="47" t="str">
        <f aca="false">IF(OR(L907="",K907=""),"",IFERROR(L907/K907*1000,0))</f>
        <v/>
      </c>
      <c r="R907" s="47" t="str">
        <f aca="false">IF(OR(M907="High",M907="Critical"),"YES","")</f>
        <v/>
      </c>
    </row>
    <row r="908" customFormat="false" ht="15" hidden="false" customHeight="true" outlineLevel="0" collapsed="false">
      <c r="A908" s="47" t="n">
        <f aca="false">'Fault &amp; Downtime Entry'!A909</f>
        <v>904</v>
      </c>
      <c r="B908" s="48" t="n">
        <f aca="false">'Fault &amp; Downtime Entry'!B909</f>
        <v>0</v>
      </c>
      <c r="C908" s="47" t="n">
        <f aca="false">'Fault &amp; Downtime Entry'!C909</f>
        <v>0</v>
      </c>
      <c r="D908" s="47" t="n">
        <f aca="false">'Fault &amp; Downtime Entry'!D909</f>
        <v>0</v>
      </c>
      <c r="E908" s="47" t="n">
        <f aca="false">'Fault &amp; Downtime Entry'!E909</f>
        <v>0</v>
      </c>
      <c r="F908" s="47" t="str">
        <f aca="false">'Fault &amp; Downtime Entry'!F909</f>
        <v/>
      </c>
      <c r="G908" s="47" t="n">
        <f aca="false">'Fault &amp; Downtime Entry'!G909</f>
        <v>0</v>
      </c>
      <c r="H908" s="47" t="str">
        <f aca="false">'Fault &amp; Downtime Entry'!H909</f>
        <v/>
      </c>
      <c r="I908" s="47" t="str">
        <f aca="false">'Fault &amp; Downtime Entry'!I909</f>
        <v/>
      </c>
      <c r="J908" s="47" t="n">
        <f aca="false">'Fault &amp; Downtime Entry'!J909</f>
        <v>0</v>
      </c>
      <c r="K908" s="47" t="n">
        <f aca="false">'Fault &amp; Downtime Entry'!K909</f>
        <v>0</v>
      </c>
      <c r="L908" s="47" t="n">
        <f aca="false">'Fault &amp; Downtime Entry'!L909</f>
        <v>0</v>
      </c>
      <c r="M908" s="47" t="str">
        <f aca="false">'Fault &amp; Downtime Entry'!M909</f>
        <v/>
      </c>
      <c r="N908" s="47" t="n">
        <f aca="false">'Fault &amp; Downtime Entry'!N909</f>
        <v>0</v>
      </c>
      <c r="O908" s="47" t="n">
        <f aca="false">'Fault &amp; Downtime Entry'!O909</f>
        <v>0</v>
      </c>
      <c r="P908" s="47" t="str">
        <f aca="false">IF(OR(J908="",K908=""),"",IFERROR(J908/K908*1000,0))</f>
        <v/>
      </c>
      <c r="Q908" s="47" t="str">
        <f aca="false">IF(OR(L908="",K908=""),"",IFERROR(L908/K908*1000,0))</f>
        <v/>
      </c>
      <c r="R908" s="47" t="str">
        <f aca="false">IF(OR(M908="High",M908="Critical"),"YES","")</f>
        <v/>
      </c>
    </row>
    <row r="909" customFormat="false" ht="15" hidden="false" customHeight="true" outlineLevel="0" collapsed="false">
      <c r="A909" s="47" t="n">
        <f aca="false">'Fault &amp; Downtime Entry'!A910</f>
        <v>905</v>
      </c>
      <c r="B909" s="48" t="n">
        <f aca="false">'Fault &amp; Downtime Entry'!B910</f>
        <v>0</v>
      </c>
      <c r="C909" s="47" t="n">
        <f aca="false">'Fault &amp; Downtime Entry'!C910</f>
        <v>0</v>
      </c>
      <c r="D909" s="47" t="n">
        <f aca="false">'Fault &amp; Downtime Entry'!D910</f>
        <v>0</v>
      </c>
      <c r="E909" s="47" t="n">
        <f aca="false">'Fault &amp; Downtime Entry'!E910</f>
        <v>0</v>
      </c>
      <c r="F909" s="47" t="str">
        <f aca="false">'Fault &amp; Downtime Entry'!F910</f>
        <v/>
      </c>
      <c r="G909" s="47" t="n">
        <f aca="false">'Fault &amp; Downtime Entry'!G910</f>
        <v>0</v>
      </c>
      <c r="H909" s="47" t="str">
        <f aca="false">'Fault &amp; Downtime Entry'!H910</f>
        <v/>
      </c>
      <c r="I909" s="47" t="str">
        <f aca="false">'Fault &amp; Downtime Entry'!I910</f>
        <v/>
      </c>
      <c r="J909" s="47" t="n">
        <f aca="false">'Fault &amp; Downtime Entry'!J910</f>
        <v>0</v>
      </c>
      <c r="K909" s="47" t="n">
        <f aca="false">'Fault &amp; Downtime Entry'!K910</f>
        <v>0</v>
      </c>
      <c r="L909" s="47" t="n">
        <f aca="false">'Fault &amp; Downtime Entry'!L910</f>
        <v>0</v>
      </c>
      <c r="M909" s="47" t="str">
        <f aca="false">'Fault &amp; Downtime Entry'!M910</f>
        <v/>
      </c>
      <c r="N909" s="47" t="n">
        <f aca="false">'Fault &amp; Downtime Entry'!N910</f>
        <v>0</v>
      </c>
      <c r="O909" s="47" t="n">
        <f aca="false">'Fault &amp; Downtime Entry'!O910</f>
        <v>0</v>
      </c>
      <c r="P909" s="47" t="str">
        <f aca="false">IF(OR(J909="",K909=""),"",IFERROR(J909/K909*1000,0))</f>
        <v/>
      </c>
      <c r="Q909" s="47" t="str">
        <f aca="false">IF(OR(L909="",K909=""),"",IFERROR(L909/K909*1000,0))</f>
        <v/>
      </c>
      <c r="R909" s="47" t="str">
        <f aca="false">IF(OR(M909="High",M909="Critical"),"YES","")</f>
        <v/>
      </c>
    </row>
    <row r="910" customFormat="false" ht="15" hidden="false" customHeight="true" outlineLevel="0" collapsed="false">
      <c r="A910" s="47" t="n">
        <f aca="false">'Fault &amp; Downtime Entry'!A911</f>
        <v>906</v>
      </c>
      <c r="B910" s="48" t="n">
        <f aca="false">'Fault &amp; Downtime Entry'!B911</f>
        <v>0</v>
      </c>
      <c r="C910" s="47" t="n">
        <f aca="false">'Fault &amp; Downtime Entry'!C911</f>
        <v>0</v>
      </c>
      <c r="D910" s="47" t="n">
        <f aca="false">'Fault &amp; Downtime Entry'!D911</f>
        <v>0</v>
      </c>
      <c r="E910" s="47" t="n">
        <f aca="false">'Fault &amp; Downtime Entry'!E911</f>
        <v>0</v>
      </c>
      <c r="F910" s="47" t="str">
        <f aca="false">'Fault &amp; Downtime Entry'!F911</f>
        <v/>
      </c>
      <c r="G910" s="47" t="n">
        <f aca="false">'Fault &amp; Downtime Entry'!G911</f>
        <v>0</v>
      </c>
      <c r="H910" s="47" t="str">
        <f aca="false">'Fault &amp; Downtime Entry'!H911</f>
        <v/>
      </c>
      <c r="I910" s="47" t="str">
        <f aca="false">'Fault &amp; Downtime Entry'!I911</f>
        <v/>
      </c>
      <c r="J910" s="47" t="n">
        <f aca="false">'Fault &amp; Downtime Entry'!J911</f>
        <v>0</v>
      </c>
      <c r="K910" s="47" t="n">
        <f aca="false">'Fault &amp; Downtime Entry'!K911</f>
        <v>0</v>
      </c>
      <c r="L910" s="47" t="n">
        <f aca="false">'Fault &amp; Downtime Entry'!L911</f>
        <v>0</v>
      </c>
      <c r="M910" s="47" t="str">
        <f aca="false">'Fault &amp; Downtime Entry'!M911</f>
        <v/>
      </c>
      <c r="N910" s="47" t="n">
        <f aca="false">'Fault &amp; Downtime Entry'!N911</f>
        <v>0</v>
      </c>
      <c r="O910" s="47" t="n">
        <f aca="false">'Fault &amp; Downtime Entry'!O911</f>
        <v>0</v>
      </c>
      <c r="P910" s="47" t="str">
        <f aca="false">IF(OR(J910="",K910=""),"",IFERROR(J910/K910*1000,0))</f>
        <v/>
      </c>
      <c r="Q910" s="47" t="str">
        <f aca="false">IF(OR(L910="",K910=""),"",IFERROR(L910/K910*1000,0))</f>
        <v/>
      </c>
      <c r="R910" s="47" t="str">
        <f aca="false">IF(OR(M910="High",M910="Critical"),"YES","")</f>
        <v/>
      </c>
    </row>
    <row r="911" customFormat="false" ht="15" hidden="false" customHeight="true" outlineLevel="0" collapsed="false">
      <c r="A911" s="47" t="n">
        <f aca="false">'Fault &amp; Downtime Entry'!A912</f>
        <v>907</v>
      </c>
      <c r="B911" s="48" t="n">
        <f aca="false">'Fault &amp; Downtime Entry'!B912</f>
        <v>0</v>
      </c>
      <c r="C911" s="47" t="n">
        <f aca="false">'Fault &amp; Downtime Entry'!C912</f>
        <v>0</v>
      </c>
      <c r="D911" s="47" t="n">
        <f aca="false">'Fault &amp; Downtime Entry'!D912</f>
        <v>0</v>
      </c>
      <c r="E911" s="47" t="n">
        <f aca="false">'Fault &amp; Downtime Entry'!E912</f>
        <v>0</v>
      </c>
      <c r="F911" s="47" t="str">
        <f aca="false">'Fault &amp; Downtime Entry'!F912</f>
        <v/>
      </c>
      <c r="G911" s="47" t="n">
        <f aca="false">'Fault &amp; Downtime Entry'!G912</f>
        <v>0</v>
      </c>
      <c r="H911" s="47" t="str">
        <f aca="false">'Fault &amp; Downtime Entry'!H912</f>
        <v/>
      </c>
      <c r="I911" s="47" t="str">
        <f aca="false">'Fault &amp; Downtime Entry'!I912</f>
        <v/>
      </c>
      <c r="J911" s="47" t="n">
        <f aca="false">'Fault &amp; Downtime Entry'!J912</f>
        <v>0</v>
      </c>
      <c r="K911" s="47" t="n">
        <f aca="false">'Fault &amp; Downtime Entry'!K912</f>
        <v>0</v>
      </c>
      <c r="L911" s="47" t="n">
        <f aca="false">'Fault &amp; Downtime Entry'!L912</f>
        <v>0</v>
      </c>
      <c r="M911" s="47" t="str">
        <f aca="false">'Fault &amp; Downtime Entry'!M912</f>
        <v/>
      </c>
      <c r="N911" s="47" t="n">
        <f aca="false">'Fault &amp; Downtime Entry'!N912</f>
        <v>0</v>
      </c>
      <c r="O911" s="47" t="n">
        <f aca="false">'Fault &amp; Downtime Entry'!O912</f>
        <v>0</v>
      </c>
      <c r="P911" s="47" t="str">
        <f aca="false">IF(OR(J911="",K911=""),"",IFERROR(J911/K911*1000,0))</f>
        <v/>
      </c>
      <c r="Q911" s="47" t="str">
        <f aca="false">IF(OR(L911="",K911=""),"",IFERROR(L911/K911*1000,0))</f>
        <v/>
      </c>
      <c r="R911" s="47" t="str">
        <f aca="false">IF(OR(M911="High",M911="Critical"),"YES","")</f>
        <v/>
      </c>
    </row>
    <row r="912" customFormat="false" ht="15" hidden="false" customHeight="true" outlineLevel="0" collapsed="false">
      <c r="A912" s="47" t="n">
        <f aca="false">'Fault &amp; Downtime Entry'!A913</f>
        <v>908</v>
      </c>
      <c r="B912" s="48" t="n">
        <f aca="false">'Fault &amp; Downtime Entry'!B913</f>
        <v>0</v>
      </c>
      <c r="C912" s="47" t="n">
        <f aca="false">'Fault &amp; Downtime Entry'!C913</f>
        <v>0</v>
      </c>
      <c r="D912" s="47" t="n">
        <f aca="false">'Fault &amp; Downtime Entry'!D913</f>
        <v>0</v>
      </c>
      <c r="E912" s="47" t="n">
        <f aca="false">'Fault &amp; Downtime Entry'!E913</f>
        <v>0</v>
      </c>
      <c r="F912" s="47" t="str">
        <f aca="false">'Fault &amp; Downtime Entry'!F913</f>
        <v/>
      </c>
      <c r="G912" s="47" t="n">
        <f aca="false">'Fault &amp; Downtime Entry'!G913</f>
        <v>0</v>
      </c>
      <c r="H912" s="47" t="str">
        <f aca="false">'Fault &amp; Downtime Entry'!H913</f>
        <v/>
      </c>
      <c r="I912" s="47" t="str">
        <f aca="false">'Fault &amp; Downtime Entry'!I913</f>
        <v/>
      </c>
      <c r="J912" s="47" t="n">
        <f aca="false">'Fault &amp; Downtime Entry'!J913</f>
        <v>0</v>
      </c>
      <c r="K912" s="47" t="n">
        <f aca="false">'Fault &amp; Downtime Entry'!K913</f>
        <v>0</v>
      </c>
      <c r="L912" s="47" t="n">
        <f aca="false">'Fault &amp; Downtime Entry'!L913</f>
        <v>0</v>
      </c>
      <c r="M912" s="47" t="str">
        <f aca="false">'Fault &amp; Downtime Entry'!M913</f>
        <v/>
      </c>
      <c r="N912" s="47" t="n">
        <f aca="false">'Fault &amp; Downtime Entry'!N913</f>
        <v>0</v>
      </c>
      <c r="O912" s="47" t="n">
        <f aca="false">'Fault &amp; Downtime Entry'!O913</f>
        <v>0</v>
      </c>
      <c r="P912" s="47" t="str">
        <f aca="false">IF(OR(J912="",K912=""),"",IFERROR(J912/K912*1000,0))</f>
        <v/>
      </c>
      <c r="Q912" s="47" t="str">
        <f aca="false">IF(OR(L912="",K912=""),"",IFERROR(L912/K912*1000,0))</f>
        <v/>
      </c>
      <c r="R912" s="47" t="str">
        <f aca="false">IF(OR(M912="High",M912="Critical"),"YES","")</f>
        <v/>
      </c>
    </row>
    <row r="913" customFormat="false" ht="15" hidden="false" customHeight="true" outlineLevel="0" collapsed="false">
      <c r="A913" s="47" t="n">
        <f aca="false">'Fault &amp; Downtime Entry'!A914</f>
        <v>909</v>
      </c>
      <c r="B913" s="48" t="n">
        <f aca="false">'Fault &amp; Downtime Entry'!B914</f>
        <v>0</v>
      </c>
      <c r="C913" s="47" t="n">
        <f aca="false">'Fault &amp; Downtime Entry'!C914</f>
        <v>0</v>
      </c>
      <c r="D913" s="47" t="n">
        <f aca="false">'Fault &amp; Downtime Entry'!D914</f>
        <v>0</v>
      </c>
      <c r="E913" s="47" t="n">
        <f aca="false">'Fault &amp; Downtime Entry'!E914</f>
        <v>0</v>
      </c>
      <c r="F913" s="47" t="str">
        <f aca="false">'Fault &amp; Downtime Entry'!F914</f>
        <v/>
      </c>
      <c r="G913" s="47" t="n">
        <f aca="false">'Fault &amp; Downtime Entry'!G914</f>
        <v>0</v>
      </c>
      <c r="H913" s="47" t="str">
        <f aca="false">'Fault &amp; Downtime Entry'!H914</f>
        <v/>
      </c>
      <c r="I913" s="47" t="str">
        <f aca="false">'Fault &amp; Downtime Entry'!I914</f>
        <v/>
      </c>
      <c r="J913" s="47" t="n">
        <f aca="false">'Fault &amp; Downtime Entry'!J914</f>
        <v>0</v>
      </c>
      <c r="K913" s="47" t="n">
        <f aca="false">'Fault &amp; Downtime Entry'!K914</f>
        <v>0</v>
      </c>
      <c r="L913" s="47" t="n">
        <f aca="false">'Fault &amp; Downtime Entry'!L914</f>
        <v>0</v>
      </c>
      <c r="M913" s="47" t="str">
        <f aca="false">'Fault &amp; Downtime Entry'!M914</f>
        <v/>
      </c>
      <c r="N913" s="47" t="n">
        <f aca="false">'Fault &amp; Downtime Entry'!N914</f>
        <v>0</v>
      </c>
      <c r="O913" s="47" t="n">
        <f aca="false">'Fault &amp; Downtime Entry'!O914</f>
        <v>0</v>
      </c>
      <c r="P913" s="47" t="str">
        <f aca="false">IF(OR(J913="",K913=""),"",IFERROR(J913/K913*1000,0))</f>
        <v/>
      </c>
      <c r="Q913" s="47" t="str">
        <f aca="false">IF(OR(L913="",K913=""),"",IFERROR(L913/K913*1000,0))</f>
        <v/>
      </c>
      <c r="R913" s="47" t="str">
        <f aca="false">IF(OR(M913="High",M913="Critical"),"YES","")</f>
        <v/>
      </c>
    </row>
    <row r="914" customFormat="false" ht="15" hidden="false" customHeight="true" outlineLevel="0" collapsed="false">
      <c r="A914" s="47" t="n">
        <f aca="false">'Fault &amp; Downtime Entry'!A915</f>
        <v>910</v>
      </c>
      <c r="B914" s="48" t="n">
        <f aca="false">'Fault &amp; Downtime Entry'!B915</f>
        <v>0</v>
      </c>
      <c r="C914" s="47" t="n">
        <f aca="false">'Fault &amp; Downtime Entry'!C915</f>
        <v>0</v>
      </c>
      <c r="D914" s="47" t="n">
        <f aca="false">'Fault &amp; Downtime Entry'!D915</f>
        <v>0</v>
      </c>
      <c r="E914" s="47" t="n">
        <f aca="false">'Fault &amp; Downtime Entry'!E915</f>
        <v>0</v>
      </c>
      <c r="F914" s="47" t="str">
        <f aca="false">'Fault &amp; Downtime Entry'!F915</f>
        <v/>
      </c>
      <c r="G914" s="47" t="n">
        <f aca="false">'Fault &amp; Downtime Entry'!G915</f>
        <v>0</v>
      </c>
      <c r="H914" s="47" t="str">
        <f aca="false">'Fault &amp; Downtime Entry'!H915</f>
        <v/>
      </c>
      <c r="I914" s="47" t="str">
        <f aca="false">'Fault &amp; Downtime Entry'!I915</f>
        <v/>
      </c>
      <c r="J914" s="47" t="n">
        <f aca="false">'Fault &amp; Downtime Entry'!J915</f>
        <v>0</v>
      </c>
      <c r="K914" s="47" t="n">
        <f aca="false">'Fault &amp; Downtime Entry'!K915</f>
        <v>0</v>
      </c>
      <c r="L914" s="47" t="n">
        <f aca="false">'Fault &amp; Downtime Entry'!L915</f>
        <v>0</v>
      </c>
      <c r="M914" s="47" t="str">
        <f aca="false">'Fault &amp; Downtime Entry'!M915</f>
        <v/>
      </c>
      <c r="N914" s="47" t="n">
        <f aca="false">'Fault &amp; Downtime Entry'!N915</f>
        <v>0</v>
      </c>
      <c r="O914" s="47" t="n">
        <f aca="false">'Fault &amp; Downtime Entry'!O915</f>
        <v>0</v>
      </c>
      <c r="P914" s="47" t="str">
        <f aca="false">IF(OR(J914="",K914=""),"",IFERROR(J914/K914*1000,0))</f>
        <v/>
      </c>
      <c r="Q914" s="47" t="str">
        <f aca="false">IF(OR(L914="",K914=""),"",IFERROR(L914/K914*1000,0))</f>
        <v/>
      </c>
      <c r="R914" s="47" t="str">
        <f aca="false">IF(OR(M914="High",M914="Critical"),"YES","")</f>
        <v/>
      </c>
    </row>
    <row r="915" customFormat="false" ht="15" hidden="false" customHeight="true" outlineLevel="0" collapsed="false">
      <c r="A915" s="47" t="n">
        <f aca="false">'Fault &amp; Downtime Entry'!A916</f>
        <v>911</v>
      </c>
      <c r="B915" s="48" t="n">
        <f aca="false">'Fault &amp; Downtime Entry'!B916</f>
        <v>0</v>
      </c>
      <c r="C915" s="47" t="n">
        <f aca="false">'Fault &amp; Downtime Entry'!C916</f>
        <v>0</v>
      </c>
      <c r="D915" s="47" t="n">
        <f aca="false">'Fault &amp; Downtime Entry'!D916</f>
        <v>0</v>
      </c>
      <c r="E915" s="47" t="n">
        <f aca="false">'Fault &amp; Downtime Entry'!E916</f>
        <v>0</v>
      </c>
      <c r="F915" s="47" t="str">
        <f aca="false">'Fault &amp; Downtime Entry'!F916</f>
        <v/>
      </c>
      <c r="G915" s="47" t="n">
        <f aca="false">'Fault &amp; Downtime Entry'!G916</f>
        <v>0</v>
      </c>
      <c r="H915" s="47" t="str">
        <f aca="false">'Fault &amp; Downtime Entry'!H916</f>
        <v/>
      </c>
      <c r="I915" s="47" t="str">
        <f aca="false">'Fault &amp; Downtime Entry'!I916</f>
        <v/>
      </c>
      <c r="J915" s="47" t="n">
        <f aca="false">'Fault &amp; Downtime Entry'!J916</f>
        <v>0</v>
      </c>
      <c r="K915" s="47" t="n">
        <f aca="false">'Fault &amp; Downtime Entry'!K916</f>
        <v>0</v>
      </c>
      <c r="L915" s="47" t="n">
        <f aca="false">'Fault &amp; Downtime Entry'!L916</f>
        <v>0</v>
      </c>
      <c r="M915" s="47" t="str">
        <f aca="false">'Fault &amp; Downtime Entry'!M916</f>
        <v/>
      </c>
      <c r="N915" s="47" t="n">
        <f aca="false">'Fault &amp; Downtime Entry'!N916</f>
        <v>0</v>
      </c>
      <c r="O915" s="47" t="n">
        <f aca="false">'Fault &amp; Downtime Entry'!O916</f>
        <v>0</v>
      </c>
      <c r="P915" s="47" t="str">
        <f aca="false">IF(OR(J915="",K915=""),"",IFERROR(J915/K915*1000,0))</f>
        <v/>
      </c>
      <c r="Q915" s="47" t="str">
        <f aca="false">IF(OR(L915="",K915=""),"",IFERROR(L915/K915*1000,0))</f>
        <v/>
      </c>
      <c r="R915" s="47" t="str">
        <f aca="false">IF(OR(M915="High",M915="Critical"),"YES","")</f>
        <v/>
      </c>
    </row>
    <row r="916" customFormat="false" ht="15" hidden="false" customHeight="true" outlineLevel="0" collapsed="false">
      <c r="A916" s="47" t="n">
        <f aca="false">'Fault &amp; Downtime Entry'!A917</f>
        <v>912</v>
      </c>
      <c r="B916" s="48" t="n">
        <f aca="false">'Fault &amp; Downtime Entry'!B917</f>
        <v>0</v>
      </c>
      <c r="C916" s="47" t="n">
        <f aca="false">'Fault &amp; Downtime Entry'!C917</f>
        <v>0</v>
      </c>
      <c r="D916" s="47" t="n">
        <f aca="false">'Fault &amp; Downtime Entry'!D917</f>
        <v>0</v>
      </c>
      <c r="E916" s="47" t="n">
        <f aca="false">'Fault &amp; Downtime Entry'!E917</f>
        <v>0</v>
      </c>
      <c r="F916" s="47" t="str">
        <f aca="false">'Fault &amp; Downtime Entry'!F917</f>
        <v/>
      </c>
      <c r="G916" s="47" t="n">
        <f aca="false">'Fault &amp; Downtime Entry'!G917</f>
        <v>0</v>
      </c>
      <c r="H916" s="47" t="str">
        <f aca="false">'Fault &amp; Downtime Entry'!H917</f>
        <v/>
      </c>
      <c r="I916" s="47" t="str">
        <f aca="false">'Fault &amp; Downtime Entry'!I917</f>
        <v/>
      </c>
      <c r="J916" s="47" t="n">
        <f aca="false">'Fault &amp; Downtime Entry'!J917</f>
        <v>0</v>
      </c>
      <c r="K916" s="47" t="n">
        <f aca="false">'Fault &amp; Downtime Entry'!K917</f>
        <v>0</v>
      </c>
      <c r="L916" s="47" t="n">
        <f aca="false">'Fault &amp; Downtime Entry'!L917</f>
        <v>0</v>
      </c>
      <c r="M916" s="47" t="str">
        <f aca="false">'Fault &amp; Downtime Entry'!M917</f>
        <v/>
      </c>
      <c r="N916" s="47" t="n">
        <f aca="false">'Fault &amp; Downtime Entry'!N917</f>
        <v>0</v>
      </c>
      <c r="O916" s="47" t="n">
        <f aca="false">'Fault &amp; Downtime Entry'!O917</f>
        <v>0</v>
      </c>
      <c r="P916" s="47" t="str">
        <f aca="false">IF(OR(J916="",K916=""),"",IFERROR(J916/K916*1000,0))</f>
        <v/>
      </c>
      <c r="Q916" s="47" t="str">
        <f aca="false">IF(OR(L916="",K916=""),"",IFERROR(L916/K916*1000,0))</f>
        <v/>
      </c>
      <c r="R916" s="47" t="str">
        <f aca="false">IF(OR(M916="High",M916="Critical"),"YES","")</f>
        <v/>
      </c>
    </row>
    <row r="917" customFormat="false" ht="15" hidden="false" customHeight="true" outlineLevel="0" collapsed="false">
      <c r="A917" s="47" t="n">
        <f aca="false">'Fault &amp; Downtime Entry'!A918</f>
        <v>913</v>
      </c>
      <c r="B917" s="48" t="n">
        <f aca="false">'Fault &amp; Downtime Entry'!B918</f>
        <v>0</v>
      </c>
      <c r="C917" s="47" t="n">
        <f aca="false">'Fault &amp; Downtime Entry'!C918</f>
        <v>0</v>
      </c>
      <c r="D917" s="47" t="n">
        <f aca="false">'Fault &amp; Downtime Entry'!D918</f>
        <v>0</v>
      </c>
      <c r="E917" s="47" t="n">
        <f aca="false">'Fault &amp; Downtime Entry'!E918</f>
        <v>0</v>
      </c>
      <c r="F917" s="47" t="str">
        <f aca="false">'Fault &amp; Downtime Entry'!F918</f>
        <v/>
      </c>
      <c r="G917" s="47" t="n">
        <f aca="false">'Fault &amp; Downtime Entry'!G918</f>
        <v>0</v>
      </c>
      <c r="H917" s="47" t="str">
        <f aca="false">'Fault &amp; Downtime Entry'!H918</f>
        <v/>
      </c>
      <c r="I917" s="47" t="str">
        <f aca="false">'Fault &amp; Downtime Entry'!I918</f>
        <v/>
      </c>
      <c r="J917" s="47" t="n">
        <f aca="false">'Fault &amp; Downtime Entry'!J918</f>
        <v>0</v>
      </c>
      <c r="K917" s="47" t="n">
        <f aca="false">'Fault &amp; Downtime Entry'!K918</f>
        <v>0</v>
      </c>
      <c r="L917" s="47" t="n">
        <f aca="false">'Fault &amp; Downtime Entry'!L918</f>
        <v>0</v>
      </c>
      <c r="M917" s="47" t="str">
        <f aca="false">'Fault &amp; Downtime Entry'!M918</f>
        <v/>
      </c>
      <c r="N917" s="47" t="n">
        <f aca="false">'Fault &amp; Downtime Entry'!N918</f>
        <v>0</v>
      </c>
      <c r="O917" s="47" t="n">
        <f aca="false">'Fault &amp; Downtime Entry'!O918</f>
        <v>0</v>
      </c>
      <c r="P917" s="47" t="str">
        <f aca="false">IF(OR(J917="",K917=""),"",IFERROR(J917/K917*1000,0))</f>
        <v/>
      </c>
      <c r="Q917" s="47" t="str">
        <f aca="false">IF(OR(L917="",K917=""),"",IFERROR(L917/K917*1000,0))</f>
        <v/>
      </c>
      <c r="R917" s="47" t="str">
        <f aca="false">IF(OR(M917="High",M917="Critical"),"YES","")</f>
        <v/>
      </c>
    </row>
    <row r="918" customFormat="false" ht="15" hidden="false" customHeight="true" outlineLevel="0" collapsed="false">
      <c r="A918" s="47" t="n">
        <f aca="false">'Fault &amp; Downtime Entry'!A919</f>
        <v>914</v>
      </c>
      <c r="B918" s="48" t="n">
        <f aca="false">'Fault &amp; Downtime Entry'!B919</f>
        <v>0</v>
      </c>
      <c r="C918" s="47" t="n">
        <f aca="false">'Fault &amp; Downtime Entry'!C919</f>
        <v>0</v>
      </c>
      <c r="D918" s="47" t="n">
        <f aca="false">'Fault &amp; Downtime Entry'!D919</f>
        <v>0</v>
      </c>
      <c r="E918" s="47" t="n">
        <f aca="false">'Fault &amp; Downtime Entry'!E919</f>
        <v>0</v>
      </c>
      <c r="F918" s="47" t="str">
        <f aca="false">'Fault &amp; Downtime Entry'!F919</f>
        <v/>
      </c>
      <c r="G918" s="47" t="n">
        <f aca="false">'Fault &amp; Downtime Entry'!G919</f>
        <v>0</v>
      </c>
      <c r="H918" s="47" t="str">
        <f aca="false">'Fault &amp; Downtime Entry'!H919</f>
        <v/>
      </c>
      <c r="I918" s="47" t="str">
        <f aca="false">'Fault &amp; Downtime Entry'!I919</f>
        <v/>
      </c>
      <c r="J918" s="47" t="n">
        <f aca="false">'Fault &amp; Downtime Entry'!J919</f>
        <v>0</v>
      </c>
      <c r="K918" s="47" t="n">
        <f aca="false">'Fault &amp; Downtime Entry'!K919</f>
        <v>0</v>
      </c>
      <c r="L918" s="47" t="n">
        <f aca="false">'Fault &amp; Downtime Entry'!L919</f>
        <v>0</v>
      </c>
      <c r="M918" s="47" t="str">
        <f aca="false">'Fault &amp; Downtime Entry'!M919</f>
        <v/>
      </c>
      <c r="N918" s="47" t="n">
        <f aca="false">'Fault &amp; Downtime Entry'!N919</f>
        <v>0</v>
      </c>
      <c r="O918" s="47" t="n">
        <f aca="false">'Fault &amp; Downtime Entry'!O919</f>
        <v>0</v>
      </c>
      <c r="P918" s="47" t="str">
        <f aca="false">IF(OR(J918="",K918=""),"",IFERROR(J918/K918*1000,0))</f>
        <v/>
      </c>
      <c r="Q918" s="47" t="str">
        <f aca="false">IF(OR(L918="",K918=""),"",IFERROR(L918/K918*1000,0))</f>
        <v/>
      </c>
      <c r="R918" s="47" t="str">
        <f aca="false">IF(OR(M918="High",M918="Critical"),"YES","")</f>
        <v/>
      </c>
    </row>
    <row r="919" customFormat="false" ht="15" hidden="false" customHeight="true" outlineLevel="0" collapsed="false">
      <c r="A919" s="47" t="n">
        <f aca="false">'Fault &amp; Downtime Entry'!A920</f>
        <v>915</v>
      </c>
      <c r="B919" s="48" t="n">
        <f aca="false">'Fault &amp; Downtime Entry'!B920</f>
        <v>0</v>
      </c>
      <c r="C919" s="47" t="n">
        <f aca="false">'Fault &amp; Downtime Entry'!C920</f>
        <v>0</v>
      </c>
      <c r="D919" s="47" t="n">
        <f aca="false">'Fault &amp; Downtime Entry'!D920</f>
        <v>0</v>
      </c>
      <c r="E919" s="47" t="n">
        <f aca="false">'Fault &amp; Downtime Entry'!E920</f>
        <v>0</v>
      </c>
      <c r="F919" s="47" t="str">
        <f aca="false">'Fault &amp; Downtime Entry'!F920</f>
        <v/>
      </c>
      <c r="G919" s="47" t="n">
        <f aca="false">'Fault &amp; Downtime Entry'!G920</f>
        <v>0</v>
      </c>
      <c r="H919" s="47" t="str">
        <f aca="false">'Fault &amp; Downtime Entry'!H920</f>
        <v/>
      </c>
      <c r="I919" s="47" t="str">
        <f aca="false">'Fault &amp; Downtime Entry'!I920</f>
        <v/>
      </c>
      <c r="J919" s="47" t="n">
        <f aca="false">'Fault &amp; Downtime Entry'!J920</f>
        <v>0</v>
      </c>
      <c r="K919" s="47" t="n">
        <f aca="false">'Fault &amp; Downtime Entry'!K920</f>
        <v>0</v>
      </c>
      <c r="L919" s="47" t="n">
        <f aca="false">'Fault &amp; Downtime Entry'!L920</f>
        <v>0</v>
      </c>
      <c r="M919" s="47" t="str">
        <f aca="false">'Fault &amp; Downtime Entry'!M920</f>
        <v/>
      </c>
      <c r="N919" s="47" t="n">
        <f aca="false">'Fault &amp; Downtime Entry'!N920</f>
        <v>0</v>
      </c>
      <c r="O919" s="47" t="n">
        <f aca="false">'Fault &amp; Downtime Entry'!O920</f>
        <v>0</v>
      </c>
      <c r="P919" s="47" t="str">
        <f aca="false">IF(OR(J919="",K919=""),"",IFERROR(J919/K919*1000,0))</f>
        <v/>
      </c>
      <c r="Q919" s="47" t="str">
        <f aca="false">IF(OR(L919="",K919=""),"",IFERROR(L919/K919*1000,0))</f>
        <v/>
      </c>
      <c r="R919" s="47" t="str">
        <f aca="false">IF(OR(M919="High",M919="Critical"),"YES","")</f>
        <v/>
      </c>
    </row>
    <row r="920" customFormat="false" ht="15" hidden="false" customHeight="true" outlineLevel="0" collapsed="false">
      <c r="A920" s="47" t="n">
        <f aca="false">'Fault &amp; Downtime Entry'!A921</f>
        <v>916</v>
      </c>
      <c r="B920" s="48" t="n">
        <f aca="false">'Fault &amp; Downtime Entry'!B921</f>
        <v>0</v>
      </c>
      <c r="C920" s="47" t="n">
        <f aca="false">'Fault &amp; Downtime Entry'!C921</f>
        <v>0</v>
      </c>
      <c r="D920" s="47" t="n">
        <f aca="false">'Fault &amp; Downtime Entry'!D921</f>
        <v>0</v>
      </c>
      <c r="E920" s="47" t="n">
        <f aca="false">'Fault &amp; Downtime Entry'!E921</f>
        <v>0</v>
      </c>
      <c r="F920" s="47" t="str">
        <f aca="false">'Fault &amp; Downtime Entry'!F921</f>
        <v/>
      </c>
      <c r="G920" s="47" t="n">
        <f aca="false">'Fault &amp; Downtime Entry'!G921</f>
        <v>0</v>
      </c>
      <c r="H920" s="47" t="str">
        <f aca="false">'Fault &amp; Downtime Entry'!H921</f>
        <v/>
      </c>
      <c r="I920" s="47" t="str">
        <f aca="false">'Fault &amp; Downtime Entry'!I921</f>
        <v/>
      </c>
      <c r="J920" s="47" t="n">
        <f aca="false">'Fault &amp; Downtime Entry'!J921</f>
        <v>0</v>
      </c>
      <c r="K920" s="47" t="n">
        <f aca="false">'Fault &amp; Downtime Entry'!K921</f>
        <v>0</v>
      </c>
      <c r="L920" s="47" t="n">
        <f aca="false">'Fault &amp; Downtime Entry'!L921</f>
        <v>0</v>
      </c>
      <c r="M920" s="47" t="str">
        <f aca="false">'Fault &amp; Downtime Entry'!M921</f>
        <v/>
      </c>
      <c r="N920" s="47" t="n">
        <f aca="false">'Fault &amp; Downtime Entry'!N921</f>
        <v>0</v>
      </c>
      <c r="O920" s="47" t="n">
        <f aca="false">'Fault &amp; Downtime Entry'!O921</f>
        <v>0</v>
      </c>
      <c r="P920" s="47" t="str">
        <f aca="false">IF(OR(J920="",K920=""),"",IFERROR(J920/K920*1000,0))</f>
        <v/>
      </c>
      <c r="Q920" s="47" t="str">
        <f aca="false">IF(OR(L920="",K920=""),"",IFERROR(L920/K920*1000,0))</f>
        <v/>
      </c>
      <c r="R920" s="47" t="str">
        <f aca="false">IF(OR(M920="High",M920="Critical"),"YES","")</f>
        <v/>
      </c>
    </row>
    <row r="921" customFormat="false" ht="15" hidden="false" customHeight="true" outlineLevel="0" collapsed="false">
      <c r="A921" s="47" t="n">
        <f aca="false">'Fault &amp; Downtime Entry'!A922</f>
        <v>917</v>
      </c>
      <c r="B921" s="48" t="n">
        <f aca="false">'Fault &amp; Downtime Entry'!B922</f>
        <v>0</v>
      </c>
      <c r="C921" s="47" t="n">
        <f aca="false">'Fault &amp; Downtime Entry'!C922</f>
        <v>0</v>
      </c>
      <c r="D921" s="47" t="n">
        <f aca="false">'Fault &amp; Downtime Entry'!D922</f>
        <v>0</v>
      </c>
      <c r="E921" s="47" t="n">
        <f aca="false">'Fault &amp; Downtime Entry'!E922</f>
        <v>0</v>
      </c>
      <c r="F921" s="47" t="str">
        <f aca="false">'Fault &amp; Downtime Entry'!F922</f>
        <v/>
      </c>
      <c r="G921" s="47" t="n">
        <f aca="false">'Fault &amp; Downtime Entry'!G922</f>
        <v>0</v>
      </c>
      <c r="H921" s="47" t="str">
        <f aca="false">'Fault &amp; Downtime Entry'!H922</f>
        <v/>
      </c>
      <c r="I921" s="47" t="str">
        <f aca="false">'Fault &amp; Downtime Entry'!I922</f>
        <v/>
      </c>
      <c r="J921" s="47" t="n">
        <f aca="false">'Fault &amp; Downtime Entry'!J922</f>
        <v>0</v>
      </c>
      <c r="K921" s="47" t="n">
        <f aca="false">'Fault &amp; Downtime Entry'!K922</f>
        <v>0</v>
      </c>
      <c r="L921" s="47" t="n">
        <f aca="false">'Fault &amp; Downtime Entry'!L922</f>
        <v>0</v>
      </c>
      <c r="M921" s="47" t="str">
        <f aca="false">'Fault &amp; Downtime Entry'!M922</f>
        <v/>
      </c>
      <c r="N921" s="47" t="n">
        <f aca="false">'Fault &amp; Downtime Entry'!N922</f>
        <v>0</v>
      </c>
      <c r="O921" s="47" t="n">
        <f aca="false">'Fault &amp; Downtime Entry'!O922</f>
        <v>0</v>
      </c>
      <c r="P921" s="47" t="str">
        <f aca="false">IF(OR(J921="",K921=""),"",IFERROR(J921/K921*1000,0))</f>
        <v/>
      </c>
      <c r="Q921" s="47" t="str">
        <f aca="false">IF(OR(L921="",K921=""),"",IFERROR(L921/K921*1000,0))</f>
        <v/>
      </c>
      <c r="R921" s="47" t="str">
        <f aca="false">IF(OR(M921="High",M921="Critical"),"YES","")</f>
        <v/>
      </c>
    </row>
    <row r="922" customFormat="false" ht="15" hidden="false" customHeight="true" outlineLevel="0" collapsed="false">
      <c r="A922" s="47" t="n">
        <f aca="false">'Fault &amp; Downtime Entry'!A923</f>
        <v>918</v>
      </c>
      <c r="B922" s="48" t="n">
        <f aca="false">'Fault &amp; Downtime Entry'!B923</f>
        <v>0</v>
      </c>
      <c r="C922" s="47" t="n">
        <f aca="false">'Fault &amp; Downtime Entry'!C923</f>
        <v>0</v>
      </c>
      <c r="D922" s="47" t="n">
        <f aca="false">'Fault &amp; Downtime Entry'!D923</f>
        <v>0</v>
      </c>
      <c r="E922" s="47" t="n">
        <f aca="false">'Fault &amp; Downtime Entry'!E923</f>
        <v>0</v>
      </c>
      <c r="F922" s="47" t="str">
        <f aca="false">'Fault &amp; Downtime Entry'!F923</f>
        <v/>
      </c>
      <c r="G922" s="47" t="n">
        <f aca="false">'Fault &amp; Downtime Entry'!G923</f>
        <v>0</v>
      </c>
      <c r="H922" s="47" t="str">
        <f aca="false">'Fault &amp; Downtime Entry'!H923</f>
        <v/>
      </c>
      <c r="I922" s="47" t="str">
        <f aca="false">'Fault &amp; Downtime Entry'!I923</f>
        <v/>
      </c>
      <c r="J922" s="47" t="n">
        <f aca="false">'Fault &amp; Downtime Entry'!J923</f>
        <v>0</v>
      </c>
      <c r="K922" s="47" t="n">
        <f aca="false">'Fault &amp; Downtime Entry'!K923</f>
        <v>0</v>
      </c>
      <c r="L922" s="47" t="n">
        <f aca="false">'Fault &amp; Downtime Entry'!L923</f>
        <v>0</v>
      </c>
      <c r="M922" s="47" t="str">
        <f aca="false">'Fault &amp; Downtime Entry'!M923</f>
        <v/>
      </c>
      <c r="N922" s="47" t="n">
        <f aca="false">'Fault &amp; Downtime Entry'!N923</f>
        <v>0</v>
      </c>
      <c r="O922" s="47" t="n">
        <f aca="false">'Fault &amp; Downtime Entry'!O923</f>
        <v>0</v>
      </c>
      <c r="P922" s="47" t="str">
        <f aca="false">IF(OR(J922="",K922=""),"",IFERROR(J922/K922*1000,0))</f>
        <v/>
      </c>
      <c r="Q922" s="47" t="str">
        <f aca="false">IF(OR(L922="",K922=""),"",IFERROR(L922/K922*1000,0))</f>
        <v/>
      </c>
      <c r="R922" s="47" t="str">
        <f aca="false">IF(OR(M922="High",M922="Critical"),"YES","")</f>
        <v/>
      </c>
    </row>
    <row r="923" customFormat="false" ht="15" hidden="false" customHeight="true" outlineLevel="0" collapsed="false">
      <c r="A923" s="47" t="n">
        <f aca="false">'Fault &amp; Downtime Entry'!A924</f>
        <v>919</v>
      </c>
      <c r="B923" s="48" t="n">
        <f aca="false">'Fault &amp; Downtime Entry'!B924</f>
        <v>0</v>
      </c>
      <c r="C923" s="47" t="n">
        <f aca="false">'Fault &amp; Downtime Entry'!C924</f>
        <v>0</v>
      </c>
      <c r="D923" s="47" t="n">
        <f aca="false">'Fault &amp; Downtime Entry'!D924</f>
        <v>0</v>
      </c>
      <c r="E923" s="47" t="n">
        <f aca="false">'Fault &amp; Downtime Entry'!E924</f>
        <v>0</v>
      </c>
      <c r="F923" s="47" t="str">
        <f aca="false">'Fault &amp; Downtime Entry'!F924</f>
        <v/>
      </c>
      <c r="G923" s="47" t="n">
        <f aca="false">'Fault &amp; Downtime Entry'!G924</f>
        <v>0</v>
      </c>
      <c r="H923" s="47" t="str">
        <f aca="false">'Fault &amp; Downtime Entry'!H924</f>
        <v/>
      </c>
      <c r="I923" s="47" t="str">
        <f aca="false">'Fault &amp; Downtime Entry'!I924</f>
        <v/>
      </c>
      <c r="J923" s="47" t="n">
        <f aca="false">'Fault &amp; Downtime Entry'!J924</f>
        <v>0</v>
      </c>
      <c r="K923" s="47" t="n">
        <f aca="false">'Fault &amp; Downtime Entry'!K924</f>
        <v>0</v>
      </c>
      <c r="L923" s="47" t="n">
        <f aca="false">'Fault &amp; Downtime Entry'!L924</f>
        <v>0</v>
      </c>
      <c r="M923" s="47" t="str">
        <f aca="false">'Fault &amp; Downtime Entry'!M924</f>
        <v/>
      </c>
      <c r="N923" s="47" t="n">
        <f aca="false">'Fault &amp; Downtime Entry'!N924</f>
        <v>0</v>
      </c>
      <c r="O923" s="47" t="n">
        <f aca="false">'Fault &amp; Downtime Entry'!O924</f>
        <v>0</v>
      </c>
      <c r="P923" s="47" t="str">
        <f aca="false">IF(OR(J923="",K923=""),"",IFERROR(J923/K923*1000,0))</f>
        <v/>
      </c>
      <c r="Q923" s="47" t="str">
        <f aca="false">IF(OR(L923="",K923=""),"",IFERROR(L923/K923*1000,0))</f>
        <v/>
      </c>
      <c r="R923" s="47" t="str">
        <f aca="false">IF(OR(M923="High",M923="Critical"),"YES","")</f>
        <v/>
      </c>
    </row>
    <row r="924" customFormat="false" ht="15" hidden="false" customHeight="true" outlineLevel="0" collapsed="false">
      <c r="A924" s="47" t="n">
        <f aca="false">'Fault &amp; Downtime Entry'!A925</f>
        <v>920</v>
      </c>
      <c r="B924" s="48" t="n">
        <f aca="false">'Fault &amp; Downtime Entry'!B925</f>
        <v>0</v>
      </c>
      <c r="C924" s="47" t="n">
        <f aca="false">'Fault &amp; Downtime Entry'!C925</f>
        <v>0</v>
      </c>
      <c r="D924" s="47" t="n">
        <f aca="false">'Fault &amp; Downtime Entry'!D925</f>
        <v>0</v>
      </c>
      <c r="E924" s="47" t="n">
        <f aca="false">'Fault &amp; Downtime Entry'!E925</f>
        <v>0</v>
      </c>
      <c r="F924" s="47" t="str">
        <f aca="false">'Fault &amp; Downtime Entry'!F925</f>
        <v/>
      </c>
      <c r="G924" s="47" t="n">
        <f aca="false">'Fault &amp; Downtime Entry'!G925</f>
        <v>0</v>
      </c>
      <c r="H924" s="47" t="str">
        <f aca="false">'Fault &amp; Downtime Entry'!H925</f>
        <v/>
      </c>
      <c r="I924" s="47" t="str">
        <f aca="false">'Fault &amp; Downtime Entry'!I925</f>
        <v/>
      </c>
      <c r="J924" s="47" t="n">
        <f aca="false">'Fault &amp; Downtime Entry'!J925</f>
        <v>0</v>
      </c>
      <c r="K924" s="47" t="n">
        <f aca="false">'Fault &amp; Downtime Entry'!K925</f>
        <v>0</v>
      </c>
      <c r="L924" s="47" t="n">
        <f aca="false">'Fault &amp; Downtime Entry'!L925</f>
        <v>0</v>
      </c>
      <c r="M924" s="47" t="str">
        <f aca="false">'Fault &amp; Downtime Entry'!M925</f>
        <v/>
      </c>
      <c r="N924" s="47" t="n">
        <f aca="false">'Fault &amp; Downtime Entry'!N925</f>
        <v>0</v>
      </c>
      <c r="O924" s="47" t="n">
        <f aca="false">'Fault &amp; Downtime Entry'!O925</f>
        <v>0</v>
      </c>
      <c r="P924" s="47" t="str">
        <f aca="false">IF(OR(J924="",K924=""),"",IFERROR(J924/K924*1000,0))</f>
        <v/>
      </c>
      <c r="Q924" s="47" t="str">
        <f aca="false">IF(OR(L924="",K924=""),"",IFERROR(L924/K924*1000,0))</f>
        <v/>
      </c>
      <c r="R924" s="47" t="str">
        <f aca="false">IF(OR(M924="High",M924="Critical"),"YES","")</f>
        <v/>
      </c>
    </row>
    <row r="925" customFormat="false" ht="15" hidden="false" customHeight="true" outlineLevel="0" collapsed="false">
      <c r="A925" s="47" t="n">
        <f aca="false">'Fault &amp; Downtime Entry'!A926</f>
        <v>921</v>
      </c>
      <c r="B925" s="48" t="n">
        <f aca="false">'Fault &amp; Downtime Entry'!B926</f>
        <v>0</v>
      </c>
      <c r="C925" s="47" t="n">
        <f aca="false">'Fault &amp; Downtime Entry'!C926</f>
        <v>0</v>
      </c>
      <c r="D925" s="47" t="n">
        <f aca="false">'Fault &amp; Downtime Entry'!D926</f>
        <v>0</v>
      </c>
      <c r="E925" s="47" t="n">
        <f aca="false">'Fault &amp; Downtime Entry'!E926</f>
        <v>0</v>
      </c>
      <c r="F925" s="47" t="str">
        <f aca="false">'Fault &amp; Downtime Entry'!F926</f>
        <v/>
      </c>
      <c r="G925" s="47" t="n">
        <f aca="false">'Fault &amp; Downtime Entry'!G926</f>
        <v>0</v>
      </c>
      <c r="H925" s="47" t="str">
        <f aca="false">'Fault &amp; Downtime Entry'!H926</f>
        <v/>
      </c>
      <c r="I925" s="47" t="str">
        <f aca="false">'Fault &amp; Downtime Entry'!I926</f>
        <v/>
      </c>
      <c r="J925" s="47" t="n">
        <f aca="false">'Fault &amp; Downtime Entry'!J926</f>
        <v>0</v>
      </c>
      <c r="K925" s="47" t="n">
        <f aca="false">'Fault &amp; Downtime Entry'!K926</f>
        <v>0</v>
      </c>
      <c r="L925" s="47" t="n">
        <f aca="false">'Fault &amp; Downtime Entry'!L926</f>
        <v>0</v>
      </c>
      <c r="M925" s="47" t="str">
        <f aca="false">'Fault &amp; Downtime Entry'!M926</f>
        <v/>
      </c>
      <c r="N925" s="47" t="n">
        <f aca="false">'Fault &amp; Downtime Entry'!N926</f>
        <v>0</v>
      </c>
      <c r="O925" s="47" t="n">
        <f aca="false">'Fault &amp; Downtime Entry'!O926</f>
        <v>0</v>
      </c>
      <c r="P925" s="47" t="str">
        <f aca="false">IF(OR(J925="",K925=""),"",IFERROR(J925/K925*1000,0))</f>
        <v/>
      </c>
      <c r="Q925" s="47" t="str">
        <f aca="false">IF(OR(L925="",K925=""),"",IFERROR(L925/K925*1000,0))</f>
        <v/>
      </c>
      <c r="R925" s="47" t="str">
        <f aca="false">IF(OR(M925="High",M925="Critical"),"YES","")</f>
        <v/>
      </c>
    </row>
    <row r="926" customFormat="false" ht="15" hidden="false" customHeight="true" outlineLevel="0" collapsed="false">
      <c r="A926" s="47" t="n">
        <f aca="false">'Fault &amp; Downtime Entry'!A927</f>
        <v>922</v>
      </c>
      <c r="B926" s="48" t="n">
        <f aca="false">'Fault &amp; Downtime Entry'!B927</f>
        <v>0</v>
      </c>
      <c r="C926" s="47" t="n">
        <f aca="false">'Fault &amp; Downtime Entry'!C927</f>
        <v>0</v>
      </c>
      <c r="D926" s="47" t="n">
        <f aca="false">'Fault &amp; Downtime Entry'!D927</f>
        <v>0</v>
      </c>
      <c r="E926" s="47" t="n">
        <f aca="false">'Fault &amp; Downtime Entry'!E927</f>
        <v>0</v>
      </c>
      <c r="F926" s="47" t="str">
        <f aca="false">'Fault &amp; Downtime Entry'!F927</f>
        <v/>
      </c>
      <c r="G926" s="47" t="n">
        <f aca="false">'Fault &amp; Downtime Entry'!G927</f>
        <v>0</v>
      </c>
      <c r="H926" s="47" t="str">
        <f aca="false">'Fault &amp; Downtime Entry'!H927</f>
        <v/>
      </c>
      <c r="I926" s="47" t="str">
        <f aca="false">'Fault &amp; Downtime Entry'!I927</f>
        <v/>
      </c>
      <c r="J926" s="47" t="n">
        <f aca="false">'Fault &amp; Downtime Entry'!J927</f>
        <v>0</v>
      </c>
      <c r="K926" s="47" t="n">
        <f aca="false">'Fault &amp; Downtime Entry'!K927</f>
        <v>0</v>
      </c>
      <c r="L926" s="47" t="n">
        <f aca="false">'Fault &amp; Downtime Entry'!L927</f>
        <v>0</v>
      </c>
      <c r="M926" s="47" t="str">
        <f aca="false">'Fault &amp; Downtime Entry'!M927</f>
        <v/>
      </c>
      <c r="N926" s="47" t="n">
        <f aca="false">'Fault &amp; Downtime Entry'!N927</f>
        <v>0</v>
      </c>
      <c r="O926" s="47" t="n">
        <f aca="false">'Fault &amp; Downtime Entry'!O927</f>
        <v>0</v>
      </c>
      <c r="P926" s="47" t="str">
        <f aca="false">IF(OR(J926="",K926=""),"",IFERROR(J926/K926*1000,0))</f>
        <v/>
      </c>
      <c r="Q926" s="47" t="str">
        <f aca="false">IF(OR(L926="",K926=""),"",IFERROR(L926/K926*1000,0))</f>
        <v/>
      </c>
      <c r="R926" s="47" t="str">
        <f aca="false">IF(OR(M926="High",M926="Critical"),"YES","")</f>
        <v/>
      </c>
    </row>
    <row r="927" customFormat="false" ht="15" hidden="false" customHeight="true" outlineLevel="0" collapsed="false">
      <c r="A927" s="47" t="n">
        <f aca="false">'Fault &amp; Downtime Entry'!A928</f>
        <v>923</v>
      </c>
      <c r="B927" s="48" t="n">
        <f aca="false">'Fault &amp; Downtime Entry'!B928</f>
        <v>0</v>
      </c>
      <c r="C927" s="47" t="n">
        <f aca="false">'Fault &amp; Downtime Entry'!C928</f>
        <v>0</v>
      </c>
      <c r="D927" s="47" t="n">
        <f aca="false">'Fault &amp; Downtime Entry'!D928</f>
        <v>0</v>
      </c>
      <c r="E927" s="47" t="n">
        <f aca="false">'Fault &amp; Downtime Entry'!E928</f>
        <v>0</v>
      </c>
      <c r="F927" s="47" t="str">
        <f aca="false">'Fault &amp; Downtime Entry'!F928</f>
        <v/>
      </c>
      <c r="G927" s="47" t="n">
        <f aca="false">'Fault &amp; Downtime Entry'!G928</f>
        <v>0</v>
      </c>
      <c r="H927" s="47" t="str">
        <f aca="false">'Fault &amp; Downtime Entry'!H928</f>
        <v/>
      </c>
      <c r="I927" s="47" t="str">
        <f aca="false">'Fault &amp; Downtime Entry'!I928</f>
        <v/>
      </c>
      <c r="J927" s="47" t="n">
        <f aca="false">'Fault &amp; Downtime Entry'!J928</f>
        <v>0</v>
      </c>
      <c r="K927" s="47" t="n">
        <f aca="false">'Fault &amp; Downtime Entry'!K928</f>
        <v>0</v>
      </c>
      <c r="L927" s="47" t="n">
        <f aca="false">'Fault &amp; Downtime Entry'!L928</f>
        <v>0</v>
      </c>
      <c r="M927" s="47" t="str">
        <f aca="false">'Fault &amp; Downtime Entry'!M928</f>
        <v/>
      </c>
      <c r="N927" s="47" t="n">
        <f aca="false">'Fault &amp; Downtime Entry'!N928</f>
        <v>0</v>
      </c>
      <c r="O927" s="47" t="n">
        <f aca="false">'Fault &amp; Downtime Entry'!O928</f>
        <v>0</v>
      </c>
      <c r="P927" s="47" t="str">
        <f aca="false">IF(OR(J927="",K927=""),"",IFERROR(J927/K927*1000,0))</f>
        <v/>
      </c>
      <c r="Q927" s="47" t="str">
        <f aca="false">IF(OR(L927="",K927=""),"",IFERROR(L927/K927*1000,0))</f>
        <v/>
      </c>
      <c r="R927" s="47" t="str">
        <f aca="false">IF(OR(M927="High",M927="Critical"),"YES","")</f>
        <v/>
      </c>
    </row>
    <row r="928" customFormat="false" ht="15" hidden="false" customHeight="true" outlineLevel="0" collapsed="false">
      <c r="A928" s="47" t="n">
        <f aca="false">'Fault &amp; Downtime Entry'!A929</f>
        <v>924</v>
      </c>
      <c r="B928" s="48" t="n">
        <f aca="false">'Fault &amp; Downtime Entry'!B929</f>
        <v>0</v>
      </c>
      <c r="C928" s="47" t="n">
        <f aca="false">'Fault &amp; Downtime Entry'!C929</f>
        <v>0</v>
      </c>
      <c r="D928" s="47" t="n">
        <f aca="false">'Fault &amp; Downtime Entry'!D929</f>
        <v>0</v>
      </c>
      <c r="E928" s="47" t="n">
        <f aca="false">'Fault &amp; Downtime Entry'!E929</f>
        <v>0</v>
      </c>
      <c r="F928" s="47" t="str">
        <f aca="false">'Fault &amp; Downtime Entry'!F929</f>
        <v/>
      </c>
      <c r="G928" s="47" t="n">
        <f aca="false">'Fault &amp; Downtime Entry'!G929</f>
        <v>0</v>
      </c>
      <c r="H928" s="47" t="str">
        <f aca="false">'Fault &amp; Downtime Entry'!H929</f>
        <v/>
      </c>
      <c r="I928" s="47" t="str">
        <f aca="false">'Fault &amp; Downtime Entry'!I929</f>
        <v/>
      </c>
      <c r="J928" s="47" t="n">
        <f aca="false">'Fault &amp; Downtime Entry'!J929</f>
        <v>0</v>
      </c>
      <c r="K928" s="47" t="n">
        <f aca="false">'Fault &amp; Downtime Entry'!K929</f>
        <v>0</v>
      </c>
      <c r="L928" s="47" t="n">
        <f aca="false">'Fault &amp; Downtime Entry'!L929</f>
        <v>0</v>
      </c>
      <c r="M928" s="47" t="str">
        <f aca="false">'Fault &amp; Downtime Entry'!M929</f>
        <v/>
      </c>
      <c r="N928" s="47" t="n">
        <f aca="false">'Fault &amp; Downtime Entry'!N929</f>
        <v>0</v>
      </c>
      <c r="O928" s="47" t="n">
        <f aca="false">'Fault &amp; Downtime Entry'!O929</f>
        <v>0</v>
      </c>
      <c r="P928" s="47" t="str">
        <f aca="false">IF(OR(J928="",K928=""),"",IFERROR(J928/K928*1000,0))</f>
        <v/>
      </c>
      <c r="Q928" s="47" t="str">
        <f aca="false">IF(OR(L928="",K928=""),"",IFERROR(L928/K928*1000,0))</f>
        <v/>
      </c>
      <c r="R928" s="47" t="str">
        <f aca="false">IF(OR(M928="High",M928="Critical"),"YES","")</f>
        <v/>
      </c>
    </row>
    <row r="929" customFormat="false" ht="15" hidden="false" customHeight="true" outlineLevel="0" collapsed="false">
      <c r="A929" s="47" t="n">
        <f aca="false">'Fault &amp; Downtime Entry'!A930</f>
        <v>925</v>
      </c>
      <c r="B929" s="48" t="n">
        <f aca="false">'Fault &amp; Downtime Entry'!B930</f>
        <v>0</v>
      </c>
      <c r="C929" s="47" t="n">
        <f aca="false">'Fault &amp; Downtime Entry'!C930</f>
        <v>0</v>
      </c>
      <c r="D929" s="47" t="n">
        <f aca="false">'Fault &amp; Downtime Entry'!D930</f>
        <v>0</v>
      </c>
      <c r="E929" s="47" t="n">
        <f aca="false">'Fault &amp; Downtime Entry'!E930</f>
        <v>0</v>
      </c>
      <c r="F929" s="47" t="str">
        <f aca="false">'Fault &amp; Downtime Entry'!F930</f>
        <v/>
      </c>
      <c r="G929" s="47" t="n">
        <f aca="false">'Fault &amp; Downtime Entry'!G930</f>
        <v>0</v>
      </c>
      <c r="H929" s="47" t="str">
        <f aca="false">'Fault &amp; Downtime Entry'!H930</f>
        <v/>
      </c>
      <c r="I929" s="47" t="str">
        <f aca="false">'Fault &amp; Downtime Entry'!I930</f>
        <v/>
      </c>
      <c r="J929" s="47" t="n">
        <f aca="false">'Fault &amp; Downtime Entry'!J930</f>
        <v>0</v>
      </c>
      <c r="K929" s="47" t="n">
        <f aca="false">'Fault &amp; Downtime Entry'!K930</f>
        <v>0</v>
      </c>
      <c r="L929" s="47" t="n">
        <f aca="false">'Fault &amp; Downtime Entry'!L930</f>
        <v>0</v>
      </c>
      <c r="M929" s="47" t="str">
        <f aca="false">'Fault &amp; Downtime Entry'!M930</f>
        <v/>
      </c>
      <c r="N929" s="47" t="n">
        <f aca="false">'Fault &amp; Downtime Entry'!N930</f>
        <v>0</v>
      </c>
      <c r="O929" s="47" t="n">
        <f aca="false">'Fault &amp; Downtime Entry'!O930</f>
        <v>0</v>
      </c>
      <c r="P929" s="47" t="str">
        <f aca="false">IF(OR(J929="",K929=""),"",IFERROR(J929/K929*1000,0))</f>
        <v/>
      </c>
      <c r="Q929" s="47" t="str">
        <f aca="false">IF(OR(L929="",K929=""),"",IFERROR(L929/K929*1000,0))</f>
        <v/>
      </c>
      <c r="R929" s="47" t="str">
        <f aca="false">IF(OR(M929="High",M929="Critical"),"YES","")</f>
        <v/>
      </c>
    </row>
    <row r="930" customFormat="false" ht="15" hidden="false" customHeight="true" outlineLevel="0" collapsed="false">
      <c r="A930" s="47" t="n">
        <f aca="false">'Fault &amp; Downtime Entry'!A931</f>
        <v>926</v>
      </c>
      <c r="B930" s="48" t="n">
        <f aca="false">'Fault &amp; Downtime Entry'!B931</f>
        <v>0</v>
      </c>
      <c r="C930" s="47" t="n">
        <f aca="false">'Fault &amp; Downtime Entry'!C931</f>
        <v>0</v>
      </c>
      <c r="D930" s="47" t="n">
        <f aca="false">'Fault &amp; Downtime Entry'!D931</f>
        <v>0</v>
      </c>
      <c r="E930" s="47" t="n">
        <f aca="false">'Fault &amp; Downtime Entry'!E931</f>
        <v>0</v>
      </c>
      <c r="F930" s="47" t="str">
        <f aca="false">'Fault &amp; Downtime Entry'!F931</f>
        <v/>
      </c>
      <c r="G930" s="47" t="n">
        <f aca="false">'Fault &amp; Downtime Entry'!G931</f>
        <v>0</v>
      </c>
      <c r="H930" s="47" t="str">
        <f aca="false">'Fault &amp; Downtime Entry'!H931</f>
        <v/>
      </c>
      <c r="I930" s="47" t="str">
        <f aca="false">'Fault &amp; Downtime Entry'!I931</f>
        <v/>
      </c>
      <c r="J930" s="47" t="n">
        <f aca="false">'Fault &amp; Downtime Entry'!J931</f>
        <v>0</v>
      </c>
      <c r="K930" s="47" t="n">
        <f aca="false">'Fault &amp; Downtime Entry'!K931</f>
        <v>0</v>
      </c>
      <c r="L930" s="47" t="n">
        <f aca="false">'Fault &amp; Downtime Entry'!L931</f>
        <v>0</v>
      </c>
      <c r="M930" s="47" t="str">
        <f aca="false">'Fault &amp; Downtime Entry'!M931</f>
        <v/>
      </c>
      <c r="N930" s="47" t="n">
        <f aca="false">'Fault &amp; Downtime Entry'!N931</f>
        <v>0</v>
      </c>
      <c r="O930" s="47" t="n">
        <f aca="false">'Fault &amp; Downtime Entry'!O931</f>
        <v>0</v>
      </c>
      <c r="P930" s="47" t="str">
        <f aca="false">IF(OR(J930="",K930=""),"",IFERROR(J930/K930*1000,0))</f>
        <v/>
      </c>
      <c r="Q930" s="47" t="str">
        <f aca="false">IF(OR(L930="",K930=""),"",IFERROR(L930/K930*1000,0))</f>
        <v/>
      </c>
      <c r="R930" s="47" t="str">
        <f aca="false">IF(OR(M930="High",M930="Critical"),"YES","")</f>
        <v/>
      </c>
    </row>
    <row r="931" customFormat="false" ht="15" hidden="false" customHeight="true" outlineLevel="0" collapsed="false">
      <c r="A931" s="47" t="n">
        <f aca="false">'Fault &amp; Downtime Entry'!A932</f>
        <v>927</v>
      </c>
      <c r="B931" s="48" t="n">
        <f aca="false">'Fault &amp; Downtime Entry'!B932</f>
        <v>0</v>
      </c>
      <c r="C931" s="47" t="n">
        <f aca="false">'Fault &amp; Downtime Entry'!C932</f>
        <v>0</v>
      </c>
      <c r="D931" s="47" t="n">
        <f aca="false">'Fault &amp; Downtime Entry'!D932</f>
        <v>0</v>
      </c>
      <c r="E931" s="47" t="n">
        <f aca="false">'Fault &amp; Downtime Entry'!E932</f>
        <v>0</v>
      </c>
      <c r="F931" s="47" t="str">
        <f aca="false">'Fault &amp; Downtime Entry'!F932</f>
        <v/>
      </c>
      <c r="G931" s="47" t="n">
        <f aca="false">'Fault &amp; Downtime Entry'!G932</f>
        <v>0</v>
      </c>
      <c r="H931" s="47" t="str">
        <f aca="false">'Fault &amp; Downtime Entry'!H932</f>
        <v/>
      </c>
      <c r="I931" s="47" t="str">
        <f aca="false">'Fault &amp; Downtime Entry'!I932</f>
        <v/>
      </c>
      <c r="J931" s="47" t="n">
        <f aca="false">'Fault &amp; Downtime Entry'!J932</f>
        <v>0</v>
      </c>
      <c r="K931" s="47" t="n">
        <f aca="false">'Fault &amp; Downtime Entry'!K932</f>
        <v>0</v>
      </c>
      <c r="L931" s="47" t="n">
        <f aca="false">'Fault &amp; Downtime Entry'!L932</f>
        <v>0</v>
      </c>
      <c r="M931" s="47" t="str">
        <f aca="false">'Fault &amp; Downtime Entry'!M932</f>
        <v/>
      </c>
      <c r="N931" s="47" t="n">
        <f aca="false">'Fault &amp; Downtime Entry'!N932</f>
        <v>0</v>
      </c>
      <c r="O931" s="47" t="n">
        <f aca="false">'Fault &amp; Downtime Entry'!O932</f>
        <v>0</v>
      </c>
      <c r="P931" s="47" t="str">
        <f aca="false">IF(OR(J931="",K931=""),"",IFERROR(J931/K931*1000,0))</f>
        <v/>
      </c>
      <c r="Q931" s="47" t="str">
        <f aca="false">IF(OR(L931="",K931=""),"",IFERROR(L931/K931*1000,0))</f>
        <v/>
      </c>
      <c r="R931" s="47" t="str">
        <f aca="false">IF(OR(M931="High",M931="Critical"),"YES","")</f>
        <v/>
      </c>
    </row>
    <row r="932" customFormat="false" ht="15" hidden="false" customHeight="true" outlineLevel="0" collapsed="false">
      <c r="A932" s="47" t="n">
        <f aca="false">'Fault &amp; Downtime Entry'!A933</f>
        <v>928</v>
      </c>
      <c r="B932" s="48" t="n">
        <f aca="false">'Fault &amp; Downtime Entry'!B933</f>
        <v>0</v>
      </c>
      <c r="C932" s="47" t="n">
        <f aca="false">'Fault &amp; Downtime Entry'!C933</f>
        <v>0</v>
      </c>
      <c r="D932" s="47" t="n">
        <f aca="false">'Fault &amp; Downtime Entry'!D933</f>
        <v>0</v>
      </c>
      <c r="E932" s="47" t="n">
        <f aca="false">'Fault &amp; Downtime Entry'!E933</f>
        <v>0</v>
      </c>
      <c r="F932" s="47" t="str">
        <f aca="false">'Fault &amp; Downtime Entry'!F933</f>
        <v/>
      </c>
      <c r="G932" s="47" t="n">
        <f aca="false">'Fault &amp; Downtime Entry'!G933</f>
        <v>0</v>
      </c>
      <c r="H932" s="47" t="str">
        <f aca="false">'Fault &amp; Downtime Entry'!H933</f>
        <v/>
      </c>
      <c r="I932" s="47" t="str">
        <f aca="false">'Fault &amp; Downtime Entry'!I933</f>
        <v/>
      </c>
      <c r="J932" s="47" t="n">
        <f aca="false">'Fault &amp; Downtime Entry'!J933</f>
        <v>0</v>
      </c>
      <c r="K932" s="47" t="n">
        <f aca="false">'Fault &amp; Downtime Entry'!K933</f>
        <v>0</v>
      </c>
      <c r="L932" s="47" t="n">
        <f aca="false">'Fault &amp; Downtime Entry'!L933</f>
        <v>0</v>
      </c>
      <c r="M932" s="47" t="str">
        <f aca="false">'Fault &amp; Downtime Entry'!M933</f>
        <v/>
      </c>
      <c r="N932" s="47" t="n">
        <f aca="false">'Fault &amp; Downtime Entry'!N933</f>
        <v>0</v>
      </c>
      <c r="O932" s="47" t="n">
        <f aca="false">'Fault &amp; Downtime Entry'!O933</f>
        <v>0</v>
      </c>
      <c r="P932" s="47" t="str">
        <f aca="false">IF(OR(J932="",K932=""),"",IFERROR(J932/K932*1000,0))</f>
        <v/>
      </c>
      <c r="Q932" s="47" t="str">
        <f aca="false">IF(OR(L932="",K932=""),"",IFERROR(L932/K932*1000,0))</f>
        <v/>
      </c>
      <c r="R932" s="47" t="str">
        <f aca="false">IF(OR(M932="High",M932="Critical"),"YES","")</f>
        <v/>
      </c>
    </row>
    <row r="933" customFormat="false" ht="15" hidden="false" customHeight="true" outlineLevel="0" collapsed="false">
      <c r="A933" s="47" t="n">
        <f aca="false">'Fault &amp; Downtime Entry'!A934</f>
        <v>929</v>
      </c>
      <c r="B933" s="48" t="n">
        <f aca="false">'Fault &amp; Downtime Entry'!B934</f>
        <v>0</v>
      </c>
      <c r="C933" s="47" t="n">
        <f aca="false">'Fault &amp; Downtime Entry'!C934</f>
        <v>0</v>
      </c>
      <c r="D933" s="47" t="n">
        <f aca="false">'Fault &amp; Downtime Entry'!D934</f>
        <v>0</v>
      </c>
      <c r="E933" s="47" t="n">
        <f aca="false">'Fault &amp; Downtime Entry'!E934</f>
        <v>0</v>
      </c>
      <c r="F933" s="47" t="str">
        <f aca="false">'Fault &amp; Downtime Entry'!F934</f>
        <v/>
      </c>
      <c r="G933" s="47" t="n">
        <f aca="false">'Fault &amp; Downtime Entry'!G934</f>
        <v>0</v>
      </c>
      <c r="H933" s="47" t="str">
        <f aca="false">'Fault &amp; Downtime Entry'!H934</f>
        <v/>
      </c>
      <c r="I933" s="47" t="str">
        <f aca="false">'Fault &amp; Downtime Entry'!I934</f>
        <v/>
      </c>
      <c r="J933" s="47" t="n">
        <f aca="false">'Fault &amp; Downtime Entry'!J934</f>
        <v>0</v>
      </c>
      <c r="K933" s="47" t="n">
        <f aca="false">'Fault &amp; Downtime Entry'!K934</f>
        <v>0</v>
      </c>
      <c r="L933" s="47" t="n">
        <f aca="false">'Fault &amp; Downtime Entry'!L934</f>
        <v>0</v>
      </c>
      <c r="M933" s="47" t="str">
        <f aca="false">'Fault &amp; Downtime Entry'!M934</f>
        <v/>
      </c>
      <c r="N933" s="47" t="n">
        <f aca="false">'Fault &amp; Downtime Entry'!N934</f>
        <v>0</v>
      </c>
      <c r="O933" s="47" t="n">
        <f aca="false">'Fault &amp; Downtime Entry'!O934</f>
        <v>0</v>
      </c>
      <c r="P933" s="47" t="str">
        <f aca="false">IF(OR(J933="",K933=""),"",IFERROR(J933/K933*1000,0))</f>
        <v/>
      </c>
      <c r="Q933" s="47" t="str">
        <f aca="false">IF(OR(L933="",K933=""),"",IFERROR(L933/K933*1000,0))</f>
        <v/>
      </c>
      <c r="R933" s="47" t="str">
        <f aca="false">IF(OR(M933="High",M933="Critical"),"YES","")</f>
        <v/>
      </c>
    </row>
    <row r="934" customFormat="false" ht="15" hidden="false" customHeight="true" outlineLevel="0" collapsed="false">
      <c r="A934" s="47" t="n">
        <f aca="false">'Fault &amp; Downtime Entry'!A935</f>
        <v>930</v>
      </c>
      <c r="B934" s="48" t="n">
        <f aca="false">'Fault &amp; Downtime Entry'!B935</f>
        <v>0</v>
      </c>
      <c r="C934" s="47" t="n">
        <f aca="false">'Fault &amp; Downtime Entry'!C935</f>
        <v>0</v>
      </c>
      <c r="D934" s="47" t="n">
        <f aca="false">'Fault &amp; Downtime Entry'!D935</f>
        <v>0</v>
      </c>
      <c r="E934" s="47" t="n">
        <f aca="false">'Fault &amp; Downtime Entry'!E935</f>
        <v>0</v>
      </c>
      <c r="F934" s="47" t="str">
        <f aca="false">'Fault &amp; Downtime Entry'!F935</f>
        <v/>
      </c>
      <c r="G934" s="47" t="n">
        <f aca="false">'Fault &amp; Downtime Entry'!G935</f>
        <v>0</v>
      </c>
      <c r="H934" s="47" t="str">
        <f aca="false">'Fault &amp; Downtime Entry'!H935</f>
        <v/>
      </c>
      <c r="I934" s="47" t="str">
        <f aca="false">'Fault &amp; Downtime Entry'!I935</f>
        <v/>
      </c>
      <c r="J934" s="47" t="n">
        <f aca="false">'Fault &amp; Downtime Entry'!J935</f>
        <v>0</v>
      </c>
      <c r="K934" s="47" t="n">
        <f aca="false">'Fault &amp; Downtime Entry'!K935</f>
        <v>0</v>
      </c>
      <c r="L934" s="47" t="n">
        <f aca="false">'Fault &amp; Downtime Entry'!L935</f>
        <v>0</v>
      </c>
      <c r="M934" s="47" t="str">
        <f aca="false">'Fault &amp; Downtime Entry'!M935</f>
        <v/>
      </c>
      <c r="N934" s="47" t="n">
        <f aca="false">'Fault &amp; Downtime Entry'!N935</f>
        <v>0</v>
      </c>
      <c r="O934" s="47" t="n">
        <f aca="false">'Fault &amp; Downtime Entry'!O935</f>
        <v>0</v>
      </c>
      <c r="P934" s="47" t="str">
        <f aca="false">IF(OR(J934="",K934=""),"",IFERROR(J934/K934*1000,0))</f>
        <v/>
      </c>
      <c r="Q934" s="47" t="str">
        <f aca="false">IF(OR(L934="",K934=""),"",IFERROR(L934/K934*1000,0))</f>
        <v/>
      </c>
      <c r="R934" s="47" t="str">
        <f aca="false">IF(OR(M934="High",M934="Critical"),"YES","")</f>
        <v/>
      </c>
    </row>
    <row r="935" customFormat="false" ht="15" hidden="false" customHeight="true" outlineLevel="0" collapsed="false">
      <c r="A935" s="47" t="n">
        <f aca="false">'Fault &amp; Downtime Entry'!A936</f>
        <v>931</v>
      </c>
      <c r="B935" s="48" t="n">
        <f aca="false">'Fault &amp; Downtime Entry'!B936</f>
        <v>0</v>
      </c>
      <c r="C935" s="47" t="n">
        <f aca="false">'Fault &amp; Downtime Entry'!C936</f>
        <v>0</v>
      </c>
      <c r="D935" s="47" t="n">
        <f aca="false">'Fault &amp; Downtime Entry'!D936</f>
        <v>0</v>
      </c>
      <c r="E935" s="47" t="n">
        <f aca="false">'Fault &amp; Downtime Entry'!E936</f>
        <v>0</v>
      </c>
      <c r="F935" s="47" t="str">
        <f aca="false">'Fault &amp; Downtime Entry'!F936</f>
        <v/>
      </c>
      <c r="G935" s="47" t="n">
        <f aca="false">'Fault &amp; Downtime Entry'!G936</f>
        <v>0</v>
      </c>
      <c r="H935" s="47" t="str">
        <f aca="false">'Fault &amp; Downtime Entry'!H936</f>
        <v/>
      </c>
      <c r="I935" s="47" t="str">
        <f aca="false">'Fault &amp; Downtime Entry'!I936</f>
        <v/>
      </c>
      <c r="J935" s="47" t="n">
        <f aca="false">'Fault &amp; Downtime Entry'!J936</f>
        <v>0</v>
      </c>
      <c r="K935" s="47" t="n">
        <f aca="false">'Fault &amp; Downtime Entry'!K936</f>
        <v>0</v>
      </c>
      <c r="L935" s="47" t="n">
        <f aca="false">'Fault &amp; Downtime Entry'!L936</f>
        <v>0</v>
      </c>
      <c r="M935" s="47" t="str">
        <f aca="false">'Fault &amp; Downtime Entry'!M936</f>
        <v/>
      </c>
      <c r="N935" s="47" t="n">
        <f aca="false">'Fault &amp; Downtime Entry'!N936</f>
        <v>0</v>
      </c>
      <c r="O935" s="47" t="n">
        <f aca="false">'Fault &amp; Downtime Entry'!O936</f>
        <v>0</v>
      </c>
      <c r="P935" s="47" t="str">
        <f aca="false">IF(OR(J935="",K935=""),"",IFERROR(J935/K935*1000,0))</f>
        <v/>
      </c>
      <c r="Q935" s="47" t="str">
        <f aca="false">IF(OR(L935="",K935=""),"",IFERROR(L935/K935*1000,0))</f>
        <v/>
      </c>
      <c r="R935" s="47" t="str">
        <f aca="false">IF(OR(M935="High",M935="Critical"),"YES","")</f>
        <v/>
      </c>
    </row>
    <row r="936" customFormat="false" ht="15" hidden="false" customHeight="true" outlineLevel="0" collapsed="false">
      <c r="A936" s="47" t="n">
        <f aca="false">'Fault &amp; Downtime Entry'!A937</f>
        <v>932</v>
      </c>
      <c r="B936" s="48" t="n">
        <f aca="false">'Fault &amp; Downtime Entry'!B937</f>
        <v>0</v>
      </c>
      <c r="C936" s="47" t="n">
        <f aca="false">'Fault &amp; Downtime Entry'!C937</f>
        <v>0</v>
      </c>
      <c r="D936" s="47" t="n">
        <f aca="false">'Fault &amp; Downtime Entry'!D937</f>
        <v>0</v>
      </c>
      <c r="E936" s="47" t="n">
        <f aca="false">'Fault &amp; Downtime Entry'!E937</f>
        <v>0</v>
      </c>
      <c r="F936" s="47" t="str">
        <f aca="false">'Fault &amp; Downtime Entry'!F937</f>
        <v/>
      </c>
      <c r="G936" s="47" t="n">
        <f aca="false">'Fault &amp; Downtime Entry'!G937</f>
        <v>0</v>
      </c>
      <c r="H936" s="47" t="str">
        <f aca="false">'Fault &amp; Downtime Entry'!H937</f>
        <v/>
      </c>
      <c r="I936" s="47" t="str">
        <f aca="false">'Fault &amp; Downtime Entry'!I937</f>
        <v/>
      </c>
      <c r="J936" s="47" t="n">
        <f aca="false">'Fault &amp; Downtime Entry'!J937</f>
        <v>0</v>
      </c>
      <c r="K936" s="47" t="n">
        <f aca="false">'Fault &amp; Downtime Entry'!K937</f>
        <v>0</v>
      </c>
      <c r="L936" s="47" t="n">
        <f aca="false">'Fault &amp; Downtime Entry'!L937</f>
        <v>0</v>
      </c>
      <c r="M936" s="47" t="str">
        <f aca="false">'Fault &amp; Downtime Entry'!M937</f>
        <v/>
      </c>
      <c r="N936" s="47" t="n">
        <f aca="false">'Fault &amp; Downtime Entry'!N937</f>
        <v>0</v>
      </c>
      <c r="O936" s="47" t="n">
        <f aca="false">'Fault &amp; Downtime Entry'!O937</f>
        <v>0</v>
      </c>
      <c r="P936" s="47" t="str">
        <f aca="false">IF(OR(J936="",K936=""),"",IFERROR(J936/K936*1000,0))</f>
        <v/>
      </c>
      <c r="Q936" s="47" t="str">
        <f aca="false">IF(OR(L936="",K936=""),"",IFERROR(L936/K936*1000,0))</f>
        <v/>
      </c>
      <c r="R936" s="47" t="str">
        <f aca="false">IF(OR(M936="High",M936="Critical"),"YES","")</f>
        <v/>
      </c>
    </row>
    <row r="937" customFormat="false" ht="15" hidden="false" customHeight="true" outlineLevel="0" collapsed="false">
      <c r="A937" s="47" t="n">
        <f aca="false">'Fault &amp; Downtime Entry'!A938</f>
        <v>933</v>
      </c>
      <c r="B937" s="48" t="n">
        <f aca="false">'Fault &amp; Downtime Entry'!B938</f>
        <v>0</v>
      </c>
      <c r="C937" s="47" t="n">
        <f aca="false">'Fault &amp; Downtime Entry'!C938</f>
        <v>0</v>
      </c>
      <c r="D937" s="47" t="n">
        <f aca="false">'Fault &amp; Downtime Entry'!D938</f>
        <v>0</v>
      </c>
      <c r="E937" s="47" t="n">
        <f aca="false">'Fault &amp; Downtime Entry'!E938</f>
        <v>0</v>
      </c>
      <c r="F937" s="47" t="str">
        <f aca="false">'Fault &amp; Downtime Entry'!F938</f>
        <v/>
      </c>
      <c r="G937" s="47" t="n">
        <f aca="false">'Fault &amp; Downtime Entry'!G938</f>
        <v>0</v>
      </c>
      <c r="H937" s="47" t="str">
        <f aca="false">'Fault &amp; Downtime Entry'!H938</f>
        <v/>
      </c>
      <c r="I937" s="47" t="str">
        <f aca="false">'Fault &amp; Downtime Entry'!I938</f>
        <v/>
      </c>
      <c r="J937" s="47" t="n">
        <f aca="false">'Fault &amp; Downtime Entry'!J938</f>
        <v>0</v>
      </c>
      <c r="K937" s="47" t="n">
        <f aca="false">'Fault &amp; Downtime Entry'!K938</f>
        <v>0</v>
      </c>
      <c r="L937" s="47" t="n">
        <f aca="false">'Fault &amp; Downtime Entry'!L938</f>
        <v>0</v>
      </c>
      <c r="M937" s="47" t="str">
        <f aca="false">'Fault &amp; Downtime Entry'!M938</f>
        <v/>
      </c>
      <c r="N937" s="47" t="n">
        <f aca="false">'Fault &amp; Downtime Entry'!N938</f>
        <v>0</v>
      </c>
      <c r="O937" s="47" t="n">
        <f aca="false">'Fault &amp; Downtime Entry'!O938</f>
        <v>0</v>
      </c>
      <c r="P937" s="47" t="str">
        <f aca="false">IF(OR(J937="",K937=""),"",IFERROR(J937/K937*1000,0))</f>
        <v/>
      </c>
      <c r="Q937" s="47" t="str">
        <f aca="false">IF(OR(L937="",K937=""),"",IFERROR(L937/K937*1000,0))</f>
        <v/>
      </c>
      <c r="R937" s="47" t="str">
        <f aca="false">IF(OR(M937="High",M937="Critical"),"YES","")</f>
        <v/>
      </c>
    </row>
    <row r="938" customFormat="false" ht="15" hidden="false" customHeight="true" outlineLevel="0" collapsed="false">
      <c r="A938" s="47" t="n">
        <f aca="false">'Fault &amp; Downtime Entry'!A939</f>
        <v>934</v>
      </c>
      <c r="B938" s="48" t="n">
        <f aca="false">'Fault &amp; Downtime Entry'!B939</f>
        <v>0</v>
      </c>
      <c r="C938" s="47" t="n">
        <f aca="false">'Fault &amp; Downtime Entry'!C939</f>
        <v>0</v>
      </c>
      <c r="D938" s="47" t="n">
        <f aca="false">'Fault &amp; Downtime Entry'!D939</f>
        <v>0</v>
      </c>
      <c r="E938" s="47" t="n">
        <f aca="false">'Fault &amp; Downtime Entry'!E939</f>
        <v>0</v>
      </c>
      <c r="F938" s="47" t="str">
        <f aca="false">'Fault &amp; Downtime Entry'!F939</f>
        <v/>
      </c>
      <c r="G938" s="47" t="n">
        <f aca="false">'Fault &amp; Downtime Entry'!G939</f>
        <v>0</v>
      </c>
      <c r="H938" s="47" t="str">
        <f aca="false">'Fault &amp; Downtime Entry'!H939</f>
        <v/>
      </c>
      <c r="I938" s="47" t="str">
        <f aca="false">'Fault &amp; Downtime Entry'!I939</f>
        <v/>
      </c>
      <c r="J938" s="47" t="n">
        <f aca="false">'Fault &amp; Downtime Entry'!J939</f>
        <v>0</v>
      </c>
      <c r="K938" s="47" t="n">
        <f aca="false">'Fault &amp; Downtime Entry'!K939</f>
        <v>0</v>
      </c>
      <c r="L938" s="47" t="n">
        <f aca="false">'Fault &amp; Downtime Entry'!L939</f>
        <v>0</v>
      </c>
      <c r="M938" s="47" t="str">
        <f aca="false">'Fault &amp; Downtime Entry'!M939</f>
        <v/>
      </c>
      <c r="N938" s="47" t="n">
        <f aca="false">'Fault &amp; Downtime Entry'!N939</f>
        <v>0</v>
      </c>
      <c r="O938" s="47" t="n">
        <f aca="false">'Fault &amp; Downtime Entry'!O939</f>
        <v>0</v>
      </c>
      <c r="P938" s="47" t="str">
        <f aca="false">IF(OR(J938="",K938=""),"",IFERROR(J938/K938*1000,0))</f>
        <v/>
      </c>
      <c r="Q938" s="47" t="str">
        <f aca="false">IF(OR(L938="",K938=""),"",IFERROR(L938/K938*1000,0))</f>
        <v/>
      </c>
      <c r="R938" s="47" t="str">
        <f aca="false">IF(OR(M938="High",M938="Critical"),"YES","")</f>
        <v/>
      </c>
    </row>
    <row r="939" customFormat="false" ht="15" hidden="false" customHeight="true" outlineLevel="0" collapsed="false">
      <c r="A939" s="47" t="n">
        <f aca="false">'Fault &amp; Downtime Entry'!A940</f>
        <v>935</v>
      </c>
      <c r="B939" s="48" t="n">
        <f aca="false">'Fault &amp; Downtime Entry'!B940</f>
        <v>0</v>
      </c>
      <c r="C939" s="47" t="n">
        <f aca="false">'Fault &amp; Downtime Entry'!C940</f>
        <v>0</v>
      </c>
      <c r="D939" s="47" t="n">
        <f aca="false">'Fault &amp; Downtime Entry'!D940</f>
        <v>0</v>
      </c>
      <c r="E939" s="47" t="n">
        <f aca="false">'Fault &amp; Downtime Entry'!E940</f>
        <v>0</v>
      </c>
      <c r="F939" s="47" t="str">
        <f aca="false">'Fault &amp; Downtime Entry'!F940</f>
        <v/>
      </c>
      <c r="G939" s="47" t="n">
        <f aca="false">'Fault &amp; Downtime Entry'!G940</f>
        <v>0</v>
      </c>
      <c r="H939" s="47" t="str">
        <f aca="false">'Fault &amp; Downtime Entry'!H940</f>
        <v/>
      </c>
      <c r="I939" s="47" t="str">
        <f aca="false">'Fault &amp; Downtime Entry'!I940</f>
        <v/>
      </c>
      <c r="J939" s="47" t="n">
        <f aca="false">'Fault &amp; Downtime Entry'!J940</f>
        <v>0</v>
      </c>
      <c r="K939" s="47" t="n">
        <f aca="false">'Fault &amp; Downtime Entry'!K940</f>
        <v>0</v>
      </c>
      <c r="L939" s="47" t="n">
        <f aca="false">'Fault &amp; Downtime Entry'!L940</f>
        <v>0</v>
      </c>
      <c r="M939" s="47" t="str">
        <f aca="false">'Fault &amp; Downtime Entry'!M940</f>
        <v/>
      </c>
      <c r="N939" s="47" t="n">
        <f aca="false">'Fault &amp; Downtime Entry'!N940</f>
        <v>0</v>
      </c>
      <c r="O939" s="47" t="n">
        <f aca="false">'Fault &amp; Downtime Entry'!O940</f>
        <v>0</v>
      </c>
      <c r="P939" s="47" t="str">
        <f aca="false">IF(OR(J939="",K939=""),"",IFERROR(J939/K939*1000,0))</f>
        <v/>
      </c>
      <c r="Q939" s="47" t="str">
        <f aca="false">IF(OR(L939="",K939=""),"",IFERROR(L939/K939*1000,0))</f>
        <v/>
      </c>
      <c r="R939" s="47" t="str">
        <f aca="false">IF(OR(M939="High",M939="Critical"),"YES","")</f>
        <v/>
      </c>
    </row>
    <row r="940" customFormat="false" ht="15" hidden="false" customHeight="true" outlineLevel="0" collapsed="false">
      <c r="A940" s="47" t="n">
        <f aca="false">'Fault &amp; Downtime Entry'!A941</f>
        <v>936</v>
      </c>
      <c r="B940" s="48" t="n">
        <f aca="false">'Fault &amp; Downtime Entry'!B941</f>
        <v>0</v>
      </c>
      <c r="C940" s="47" t="n">
        <f aca="false">'Fault &amp; Downtime Entry'!C941</f>
        <v>0</v>
      </c>
      <c r="D940" s="47" t="n">
        <f aca="false">'Fault &amp; Downtime Entry'!D941</f>
        <v>0</v>
      </c>
      <c r="E940" s="47" t="n">
        <f aca="false">'Fault &amp; Downtime Entry'!E941</f>
        <v>0</v>
      </c>
      <c r="F940" s="47" t="str">
        <f aca="false">'Fault &amp; Downtime Entry'!F941</f>
        <v/>
      </c>
      <c r="G940" s="47" t="n">
        <f aca="false">'Fault &amp; Downtime Entry'!G941</f>
        <v>0</v>
      </c>
      <c r="H940" s="47" t="str">
        <f aca="false">'Fault &amp; Downtime Entry'!H941</f>
        <v/>
      </c>
      <c r="I940" s="47" t="str">
        <f aca="false">'Fault &amp; Downtime Entry'!I941</f>
        <v/>
      </c>
      <c r="J940" s="47" t="n">
        <f aca="false">'Fault &amp; Downtime Entry'!J941</f>
        <v>0</v>
      </c>
      <c r="K940" s="47" t="n">
        <f aca="false">'Fault &amp; Downtime Entry'!K941</f>
        <v>0</v>
      </c>
      <c r="L940" s="47" t="n">
        <f aca="false">'Fault &amp; Downtime Entry'!L941</f>
        <v>0</v>
      </c>
      <c r="M940" s="47" t="str">
        <f aca="false">'Fault &amp; Downtime Entry'!M941</f>
        <v/>
      </c>
      <c r="N940" s="47" t="n">
        <f aca="false">'Fault &amp; Downtime Entry'!N941</f>
        <v>0</v>
      </c>
      <c r="O940" s="47" t="n">
        <f aca="false">'Fault &amp; Downtime Entry'!O941</f>
        <v>0</v>
      </c>
      <c r="P940" s="47" t="str">
        <f aca="false">IF(OR(J940="",K940=""),"",IFERROR(J940/K940*1000,0))</f>
        <v/>
      </c>
      <c r="Q940" s="47" t="str">
        <f aca="false">IF(OR(L940="",K940=""),"",IFERROR(L940/K940*1000,0))</f>
        <v/>
      </c>
      <c r="R940" s="47" t="str">
        <f aca="false">IF(OR(M940="High",M940="Critical"),"YES","")</f>
        <v/>
      </c>
    </row>
    <row r="941" customFormat="false" ht="15" hidden="false" customHeight="true" outlineLevel="0" collapsed="false">
      <c r="A941" s="47" t="n">
        <f aca="false">'Fault &amp; Downtime Entry'!A942</f>
        <v>937</v>
      </c>
      <c r="B941" s="48" t="n">
        <f aca="false">'Fault &amp; Downtime Entry'!B942</f>
        <v>0</v>
      </c>
      <c r="C941" s="47" t="n">
        <f aca="false">'Fault &amp; Downtime Entry'!C942</f>
        <v>0</v>
      </c>
      <c r="D941" s="47" t="n">
        <f aca="false">'Fault &amp; Downtime Entry'!D942</f>
        <v>0</v>
      </c>
      <c r="E941" s="47" t="n">
        <f aca="false">'Fault &amp; Downtime Entry'!E942</f>
        <v>0</v>
      </c>
      <c r="F941" s="47" t="str">
        <f aca="false">'Fault &amp; Downtime Entry'!F942</f>
        <v/>
      </c>
      <c r="G941" s="47" t="n">
        <f aca="false">'Fault &amp; Downtime Entry'!G942</f>
        <v>0</v>
      </c>
      <c r="H941" s="47" t="str">
        <f aca="false">'Fault &amp; Downtime Entry'!H942</f>
        <v/>
      </c>
      <c r="I941" s="47" t="str">
        <f aca="false">'Fault &amp; Downtime Entry'!I942</f>
        <v/>
      </c>
      <c r="J941" s="47" t="n">
        <f aca="false">'Fault &amp; Downtime Entry'!J942</f>
        <v>0</v>
      </c>
      <c r="K941" s="47" t="n">
        <f aca="false">'Fault &amp; Downtime Entry'!K942</f>
        <v>0</v>
      </c>
      <c r="L941" s="47" t="n">
        <f aca="false">'Fault &amp; Downtime Entry'!L942</f>
        <v>0</v>
      </c>
      <c r="M941" s="47" t="str">
        <f aca="false">'Fault &amp; Downtime Entry'!M942</f>
        <v/>
      </c>
      <c r="N941" s="47" t="n">
        <f aca="false">'Fault &amp; Downtime Entry'!N942</f>
        <v>0</v>
      </c>
      <c r="O941" s="47" t="n">
        <f aca="false">'Fault &amp; Downtime Entry'!O942</f>
        <v>0</v>
      </c>
      <c r="P941" s="47" t="str">
        <f aca="false">IF(OR(J941="",K941=""),"",IFERROR(J941/K941*1000,0))</f>
        <v/>
      </c>
      <c r="Q941" s="47" t="str">
        <f aca="false">IF(OR(L941="",K941=""),"",IFERROR(L941/K941*1000,0))</f>
        <v/>
      </c>
      <c r="R941" s="47" t="str">
        <f aca="false">IF(OR(M941="High",M941="Critical"),"YES","")</f>
        <v/>
      </c>
    </row>
    <row r="942" customFormat="false" ht="15" hidden="false" customHeight="true" outlineLevel="0" collapsed="false">
      <c r="A942" s="47" t="n">
        <f aca="false">'Fault &amp; Downtime Entry'!A943</f>
        <v>938</v>
      </c>
      <c r="B942" s="48" t="n">
        <f aca="false">'Fault &amp; Downtime Entry'!B943</f>
        <v>0</v>
      </c>
      <c r="C942" s="47" t="n">
        <f aca="false">'Fault &amp; Downtime Entry'!C943</f>
        <v>0</v>
      </c>
      <c r="D942" s="47" t="n">
        <f aca="false">'Fault &amp; Downtime Entry'!D943</f>
        <v>0</v>
      </c>
      <c r="E942" s="47" t="n">
        <f aca="false">'Fault &amp; Downtime Entry'!E943</f>
        <v>0</v>
      </c>
      <c r="F942" s="47" t="str">
        <f aca="false">'Fault &amp; Downtime Entry'!F943</f>
        <v/>
      </c>
      <c r="G942" s="47" t="n">
        <f aca="false">'Fault &amp; Downtime Entry'!G943</f>
        <v>0</v>
      </c>
      <c r="H942" s="47" t="str">
        <f aca="false">'Fault &amp; Downtime Entry'!H943</f>
        <v/>
      </c>
      <c r="I942" s="47" t="str">
        <f aca="false">'Fault &amp; Downtime Entry'!I943</f>
        <v/>
      </c>
      <c r="J942" s="47" t="n">
        <f aca="false">'Fault &amp; Downtime Entry'!J943</f>
        <v>0</v>
      </c>
      <c r="K942" s="47" t="n">
        <f aca="false">'Fault &amp; Downtime Entry'!K943</f>
        <v>0</v>
      </c>
      <c r="L942" s="47" t="n">
        <f aca="false">'Fault &amp; Downtime Entry'!L943</f>
        <v>0</v>
      </c>
      <c r="M942" s="47" t="str">
        <f aca="false">'Fault &amp; Downtime Entry'!M943</f>
        <v/>
      </c>
      <c r="N942" s="47" t="n">
        <f aca="false">'Fault &amp; Downtime Entry'!N943</f>
        <v>0</v>
      </c>
      <c r="O942" s="47" t="n">
        <f aca="false">'Fault &amp; Downtime Entry'!O943</f>
        <v>0</v>
      </c>
      <c r="P942" s="47" t="str">
        <f aca="false">IF(OR(J942="",K942=""),"",IFERROR(J942/K942*1000,0))</f>
        <v/>
      </c>
      <c r="Q942" s="47" t="str">
        <f aca="false">IF(OR(L942="",K942=""),"",IFERROR(L942/K942*1000,0))</f>
        <v/>
      </c>
      <c r="R942" s="47" t="str">
        <f aca="false">IF(OR(M942="High",M942="Critical"),"YES","")</f>
        <v/>
      </c>
    </row>
    <row r="943" customFormat="false" ht="15" hidden="false" customHeight="true" outlineLevel="0" collapsed="false">
      <c r="A943" s="47" t="n">
        <f aca="false">'Fault &amp; Downtime Entry'!A944</f>
        <v>939</v>
      </c>
      <c r="B943" s="48" t="n">
        <f aca="false">'Fault &amp; Downtime Entry'!B944</f>
        <v>0</v>
      </c>
      <c r="C943" s="47" t="n">
        <f aca="false">'Fault &amp; Downtime Entry'!C944</f>
        <v>0</v>
      </c>
      <c r="D943" s="47" t="n">
        <f aca="false">'Fault &amp; Downtime Entry'!D944</f>
        <v>0</v>
      </c>
      <c r="E943" s="47" t="n">
        <f aca="false">'Fault &amp; Downtime Entry'!E944</f>
        <v>0</v>
      </c>
      <c r="F943" s="47" t="str">
        <f aca="false">'Fault &amp; Downtime Entry'!F944</f>
        <v/>
      </c>
      <c r="G943" s="47" t="n">
        <f aca="false">'Fault &amp; Downtime Entry'!G944</f>
        <v>0</v>
      </c>
      <c r="H943" s="47" t="str">
        <f aca="false">'Fault &amp; Downtime Entry'!H944</f>
        <v/>
      </c>
      <c r="I943" s="47" t="str">
        <f aca="false">'Fault &amp; Downtime Entry'!I944</f>
        <v/>
      </c>
      <c r="J943" s="47" t="n">
        <f aca="false">'Fault &amp; Downtime Entry'!J944</f>
        <v>0</v>
      </c>
      <c r="K943" s="47" t="n">
        <f aca="false">'Fault &amp; Downtime Entry'!K944</f>
        <v>0</v>
      </c>
      <c r="L943" s="47" t="n">
        <f aca="false">'Fault &amp; Downtime Entry'!L944</f>
        <v>0</v>
      </c>
      <c r="M943" s="47" t="str">
        <f aca="false">'Fault &amp; Downtime Entry'!M944</f>
        <v/>
      </c>
      <c r="N943" s="47" t="n">
        <f aca="false">'Fault &amp; Downtime Entry'!N944</f>
        <v>0</v>
      </c>
      <c r="O943" s="47" t="n">
        <f aca="false">'Fault &amp; Downtime Entry'!O944</f>
        <v>0</v>
      </c>
      <c r="P943" s="47" t="str">
        <f aca="false">IF(OR(J943="",K943=""),"",IFERROR(J943/K943*1000,0))</f>
        <v/>
      </c>
      <c r="Q943" s="47" t="str">
        <f aca="false">IF(OR(L943="",K943=""),"",IFERROR(L943/K943*1000,0))</f>
        <v/>
      </c>
      <c r="R943" s="47" t="str">
        <f aca="false">IF(OR(M943="High",M943="Critical"),"YES","")</f>
        <v/>
      </c>
    </row>
    <row r="944" customFormat="false" ht="15" hidden="false" customHeight="true" outlineLevel="0" collapsed="false">
      <c r="A944" s="47" t="n">
        <f aca="false">'Fault &amp; Downtime Entry'!A945</f>
        <v>940</v>
      </c>
      <c r="B944" s="48" t="n">
        <f aca="false">'Fault &amp; Downtime Entry'!B945</f>
        <v>0</v>
      </c>
      <c r="C944" s="47" t="n">
        <f aca="false">'Fault &amp; Downtime Entry'!C945</f>
        <v>0</v>
      </c>
      <c r="D944" s="47" t="n">
        <f aca="false">'Fault &amp; Downtime Entry'!D945</f>
        <v>0</v>
      </c>
      <c r="E944" s="47" t="n">
        <f aca="false">'Fault &amp; Downtime Entry'!E945</f>
        <v>0</v>
      </c>
      <c r="F944" s="47" t="str">
        <f aca="false">'Fault &amp; Downtime Entry'!F945</f>
        <v/>
      </c>
      <c r="G944" s="47" t="n">
        <f aca="false">'Fault &amp; Downtime Entry'!G945</f>
        <v>0</v>
      </c>
      <c r="H944" s="47" t="str">
        <f aca="false">'Fault &amp; Downtime Entry'!H945</f>
        <v/>
      </c>
      <c r="I944" s="47" t="str">
        <f aca="false">'Fault &amp; Downtime Entry'!I945</f>
        <v/>
      </c>
      <c r="J944" s="47" t="n">
        <f aca="false">'Fault &amp; Downtime Entry'!J945</f>
        <v>0</v>
      </c>
      <c r="K944" s="47" t="n">
        <f aca="false">'Fault &amp; Downtime Entry'!K945</f>
        <v>0</v>
      </c>
      <c r="L944" s="47" t="n">
        <f aca="false">'Fault &amp; Downtime Entry'!L945</f>
        <v>0</v>
      </c>
      <c r="M944" s="47" t="str">
        <f aca="false">'Fault &amp; Downtime Entry'!M945</f>
        <v/>
      </c>
      <c r="N944" s="47" t="n">
        <f aca="false">'Fault &amp; Downtime Entry'!N945</f>
        <v>0</v>
      </c>
      <c r="O944" s="47" t="n">
        <f aca="false">'Fault &amp; Downtime Entry'!O945</f>
        <v>0</v>
      </c>
      <c r="P944" s="47" t="str">
        <f aca="false">IF(OR(J944="",K944=""),"",IFERROR(J944/K944*1000,0))</f>
        <v/>
      </c>
      <c r="Q944" s="47" t="str">
        <f aca="false">IF(OR(L944="",K944=""),"",IFERROR(L944/K944*1000,0))</f>
        <v/>
      </c>
      <c r="R944" s="47" t="str">
        <f aca="false">IF(OR(M944="High",M944="Critical"),"YES","")</f>
        <v/>
      </c>
    </row>
    <row r="945" customFormat="false" ht="15" hidden="false" customHeight="true" outlineLevel="0" collapsed="false">
      <c r="A945" s="47" t="n">
        <f aca="false">'Fault &amp; Downtime Entry'!A946</f>
        <v>941</v>
      </c>
      <c r="B945" s="48" t="n">
        <f aca="false">'Fault &amp; Downtime Entry'!B946</f>
        <v>0</v>
      </c>
      <c r="C945" s="47" t="n">
        <f aca="false">'Fault &amp; Downtime Entry'!C946</f>
        <v>0</v>
      </c>
      <c r="D945" s="47" t="n">
        <f aca="false">'Fault &amp; Downtime Entry'!D946</f>
        <v>0</v>
      </c>
      <c r="E945" s="47" t="n">
        <f aca="false">'Fault &amp; Downtime Entry'!E946</f>
        <v>0</v>
      </c>
      <c r="F945" s="47" t="str">
        <f aca="false">'Fault &amp; Downtime Entry'!F946</f>
        <v/>
      </c>
      <c r="G945" s="47" t="n">
        <f aca="false">'Fault &amp; Downtime Entry'!G946</f>
        <v>0</v>
      </c>
      <c r="H945" s="47" t="str">
        <f aca="false">'Fault &amp; Downtime Entry'!H946</f>
        <v/>
      </c>
      <c r="I945" s="47" t="str">
        <f aca="false">'Fault &amp; Downtime Entry'!I946</f>
        <v/>
      </c>
      <c r="J945" s="47" t="n">
        <f aca="false">'Fault &amp; Downtime Entry'!J946</f>
        <v>0</v>
      </c>
      <c r="K945" s="47" t="n">
        <f aca="false">'Fault &amp; Downtime Entry'!K946</f>
        <v>0</v>
      </c>
      <c r="L945" s="47" t="n">
        <f aca="false">'Fault &amp; Downtime Entry'!L946</f>
        <v>0</v>
      </c>
      <c r="M945" s="47" t="str">
        <f aca="false">'Fault &amp; Downtime Entry'!M946</f>
        <v/>
      </c>
      <c r="N945" s="47" t="n">
        <f aca="false">'Fault &amp; Downtime Entry'!N946</f>
        <v>0</v>
      </c>
      <c r="O945" s="47" t="n">
        <f aca="false">'Fault &amp; Downtime Entry'!O946</f>
        <v>0</v>
      </c>
      <c r="P945" s="47" t="str">
        <f aca="false">IF(OR(J945="",K945=""),"",IFERROR(J945/K945*1000,0))</f>
        <v/>
      </c>
      <c r="Q945" s="47" t="str">
        <f aca="false">IF(OR(L945="",K945=""),"",IFERROR(L945/K945*1000,0))</f>
        <v/>
      </c>
      <c r="R945" s="47" t="str">
        <f aca="false">IF(OR(M945="High",M945="Critical"),"YES","")</f>
        <v/>
      </c>
    </row>
    <row r="946" customFormat="false" ht="15" hidden="false" customHeight="true" outlineLevel="0" collapsed="false">
      <c r="A946" s="47" t="n">
        <f aca="false">'Fault &amp; Downtime Entry'!A947</f>
        <v>942</v>
      </c>
      <c r="B946" s="48" t="n">
        <f aca="false">'Fault &amp; Downtime Entry'!B947</f>
        <v>0</v>
      </c>
      <c r="C946" s="47" t="n">
        <f aca="false">'Fault &amp; Downtime Entry'!C947</f>
        <v>0</v>
      </c>
      <c r="D946" s="47" t="n">
        <f aca="false">'Fault &amp; Downtime Entry'!D947</f>
        <v>0</v>
      </c>
      <c r="E946" s="47" t="n">
        <f aca="false">'Fault &amp; Downtime Entry'!E947</f>
        <v>0</v>
      </c>
      <c r="F946" s="47" t="str">
        <f aca="false">'Fault &amp; Downtime Entry'!F947</f>
        <v/>
      </c>
      <c r="G946" s="47" t="n">
        <f aca="false">'Fault &amp; Downtime Entry'!G947</f>
        <v>0</v>
      </c>
      <c r="H946" s="47" t="str">
        <f aca="false">'Fault &amp; Downtime Entry'!H947</f>
        <v/>
      </c>
      <c r="I946" s="47" t="str">
        <f aca="false">'Fault &amp; Downtime Entry'!I947</f>
        <v/>
      </c>
      <c r="J946" s="47" t="n">
        <f aca="false">'Fault &amp; Downtime Entry'!J947</f>
        <v>0</v>
      </c>
      <c r="K946" s="47" t="n">
        <f aca="false">'Fault &amp; Downtime Entry'!K947</f>
        <v>0</v>
      </c>
      <c r="L946" s="47" t="n">
        <f aca="false">'Fault &amp; Downtime Entry'!L947</f>
        <v>0</v>
      </c>
      <c r="M946" s="47" t="str">
        <f aca="false">'Fault &amp; Downtime Entry'!M947</f>
        <v/>
      </c>
      <c r="N946" s="47" t="n">
        <f aca="false">'Fault &amp; Downtime Entry'!N947</f>
        <v>0</v>
      </c>
      <c r="O946" s="47" t="n">
        <f aca="false">'Fault &amp; Downtime Entry'!O947</f>
        <v>0</v>
      </c>
      <c r="P946" s="47" t="str">
        <f aca="false">IF(OR(J946="",K946=""),"",IFERROR(J946/K946*1000,0))</f>
        <v/>
      </c>
      <c r="Q946" s="47" t="str">
        <f aca="false">IF(OR(L946="",K946=""),"",IFERROR(L946/K946*1000,0))</f>
        <v/>
      </c>
      <c r="R946" s="47" t="str">
        <f aca="false">IF(OR(M946="High",M946="Critical"),"YES","")</f>
        <v/>
      </c>
    </row>
    <row r="947" customFormat="false" ht="15" hidden="false" customHeight="true" outlineLevel="0" collapsed="false">
      <c r="A947" s="47" t="n">
        <f aca="false">'Fault &amp; Downtime Entry'!A948</f>
        <v>943</v>
      </c>
      <c r="B947" s="48" t="n">
        <f aca="false">'Fault &amp; Downtime Entry'!B948</f>
        <v>0</v>
      </c>
      <c r="C947" s="47" t="n">
        <f aca="false">'Fault &amp; Downtime Entry'!C948</f>
        <v>0</v>
      </c>
      <c r="D947" s="47" t="n">
        <f aca="false">'Fault &amp; Downtime Entry'!D948</f>
        <v>0</v>
      </c>
      <c r="E947" s="47" t="n">
        <f aca="false">'Fault &amp; Downtime Entry'!E948</f>
        <v>0</v>
      </c>
      <c r="F947" s="47" t="str">
        <f aca="false">'Fault &amp; Downtime Entry'!F948</f>
        <v/>
      </c>
      <c r="G947" s="47" t="n">
        <f aca="false">'Fault &amp; Downtime Entry'!G948</f>
        <v>0</v>
      </c>
      <c r="H947" s="47" t="str">
        <f aca="false">'Fault &amp; Downtime Entry'!H948</f>
        <v/>
      </c>
      <c r="I947" s="47" t="str">
        <f aca="false">'Fault &amp; Downtime Entry'!I948</f>
        <v/>
      </c>
      <c r="J947" s="47" t="n">
        <f aca="false">'Fault &amp; Downtime Entry'!J948</f>
        <v>0</v>
      </c>
      <c r="K947" s="47" t="n">
        <f aca="false">'Fault &amp; Downtime Entry'!K948</f>
        <v>0</v>
      </c>
      <c r="L947" s="47" t="n">
        <f aca="false">'Fault &amp; Downtime Entry'!L948</f>
        <v>0</v>
      </c>
      <c r="M947" s="47" t="str">
        <f aca="false">'Fault &amp; Downtime Entry'!M948</f>
        <v/>
      </c>
      <c r="N947" s="47" t="n">
        <f aca="false">'Fault &amp; Downtime Entry'!N948</f>
        <v>0</v>
      </c>
      <c r="O947" s="47" t="n">
        <f aca="false">'Fault &amp; Downtime Entry'!O948</f>
        <v>0</v>
      </c>
      <c r="P947" s="47" t="str">
        <f aca="false">IF(OR(J947="",K947=""),"",IFERROR(J947/K947*1000,0))</f>
        <v/>
      </c>
      <c r="Q947" s="47" t="str">
        <f aca="false">IF(OR(L947="",K947=""),"",IFERROR(L947/K947*1000,0))</f>
        <v/>
      </c>
      <c r="R947" s="47" t="str">
        <f aca="false">IF(OR(M947="High",M947="Critical"),"YES","")</f>
        <v/>
      </c>
    </row>
    <row r="948" customFormat="false" ht="15" hidden="false" customHeight="true" outlineLevel="0" collapsed="false">
      <c r="A948" s="47" t="n">
        <f aca="false">'Fault &amp; Downtime Entry'!A949</f>
        <v>944</v>
      </c>
      <c r="B948" s="48" t="n">
        <f aca="false">'Fault &amp; Downtime Entry'!B949</f>
        <v>0</v>
      </c>
      <c r="C948" s="47" t="n">
        <f aca="false">'Fault &amp; Downtime Entry'!C949</f>
        <v>0</v>
      </c>
      <c r="D948" s="47" t="n">
        <f aca="false">'Fault &amp; Downtime Entry'!D949</f>
        <v>0</v>
      </c>
      <c r="E948" s="47" t="n">
        <f aca="false">'Fault &amp; Downtime Entry'!E949</f>
        <v>0</v>
      </c>
      <c r="F948" s="47" t="str">
        <f aca="false">'Fault &amp; Downtime Entry'!F949</f>
        <v/>
      </c>
      <c r="G948" s="47" t="n">
        <f aca="false">'Fault &amp; Downtime Entry'!G949</f>
        <v>0</v>
      </c>
      <c r="H948" s="47" t="str">
        <f aca="false">'Fault &amp; Downtime Entry'!H949</f>
        <v/>
      </c>
      <c r="I948" s="47" t="str">
        <f aca="false">'Fault &amp; Downtime Entry'!I949</f>
        <v/>
      </c>
      <c r="J948" s="47" t="n">
        <f aca="false">'Fault &amp; Downtime Entry'!J949</f>
        <v>0</v>
      </c>
      <c r="K948" s="47" t="n">
        <f aca="false">'Fault &amp; Downtime Entry'!K949</f>
        <v>0</v>
      </c>
      <c r="L948" s="47" t="n">
        <f aca="false">'Fault &amp; Downtime Entry'!L949</f>
        <v>0</v>
      </c>
      <c r="M948" s="47" t="str">
        <f aca="false">'Fault &amp; Downtime Entry'!M949</f>
        <v/>
      </c>
      <c r="N948" s="47" t="n">
        <f aca="false">'Fault &amp; Downtime Entry'!N949</f>
        <v>0</v>
      </c>
      <c r="O948" s="47" t="n">
        <f aca="false">'Fault &amp; Downtime Entry'!O949</f>
        <v>0</v>
      </c>
      <c r="P948" s="47" t="str">
        <f aca="false">IF(OR(J948="",K948=""),"",IFERROR(J948/K948*1000,0))</f>
        <v/>
      </c>
      <c r="Q948" s="47" t="str">
        <f aca="false">IF(OR(L948="",K948=""),"",IFERROR(L948/K948*1000,0))</f>
        <v/>
      </c>
      <c r="R948" s="47" t="str">
        <f aca="false">IF(OR(M948="High",M948="Critical"),"YES","")</f>
        <v/>
      </c>
    </row>
    <row r="949" customFormat="false" ht="15" hidden="false" customHeight="true" outlineLevel="0" collapsed="false">
      <c r="A949" s="47" t="n">
        <f aca="false">'Fault &amp; Downtime Entry'!A950</f>
        <v>945</v>
      </c>
      <c r="B949" s="48" t="n">
        <f aca="false">'Fault &amp; Downtime Entry'!B950</f>
        <v>0</v>
      </c>
      <c r="C949" s="47" t="n">
        <f aca="false">'Fault &amp; Downtime Entry'!C950</f>
        <v>0</v>
      </c>
      <c r="D949" s="47" t="n">
        <f aca="false">'Fault &amp; Downtime Entry'!D950</f>
        <v>0</v>
      </c>
      <c r="E949" s="47" t="n">
        <f aca="false">'Fault &amp; Downtime Entry'!E950</f>
        <v>0</v>
      </c>
      <c r="F949" s="47" t="str">
        <f aca="false">'Fault &amp; Downtime Entry'!F950</f>
        <v/>
      </c>
      <c r="G949" s="47" t="n">
        <f aca="false">'Fault &amp; Downtime Entry'!G950</f>
        <v>0</v>
      </c>
      <c r="H949" s="47" t="str">
        <f aca="false">'Fault &amp; Downtime Entry'!H950</f>
        <v/>
      </c>
      <c r="I949" s="47" t="str">
        <f aca="false">'Fault &amp; Downtime Entry'!I950</f>
        <v/>
      </c>
      <c r="J949" s="47" t="n">
        <f aca="false">'Fault &amp; Downtime Entry'!J950</f>
        <v>0</v>
      </c>
      <c r="K949" s="47" t="n">
        <f aca="false">'Fault &amp; Downtime Entry'!K950</f>
        <v>0</v>
      </c>
      <c r="L949" s="47" t="n">
        <f aca="false">'Fault &amp; Downtime Entry'!L950</f>
        <v>0</v>
      </c>
      <c r="M949" s="47" t="str">
        <f aca="false">'Fault &amp; Downtime Entry'!M950</f>
        <v/>
      </c>
      <c r="N949" s="47" t="n">
        <f aca="false">'Fault &amp; Downtime Entry'!N950</f>
        <v>0</v>
      </c>
      <c r="O949" s="47" t="n">
        <f aca="false">'Fault &amp; Downtime Entry'!O950</f>
        <v>0</v>
      </c>
      <c r="P949" s="47" t="str">
        <f aca="false">IF(OR(J949="",K949=""),"",IFERROR(J949/K949*1000,0))</f>
        <v/>
      </c>
      <c r="Q949" s="47" t="str">
        <f aca="false">IF(OR(L949="",K949=""),"",IFERROR(L949/K949*1000,0))</f>
        <v/>
      </c>
      <c r="R949" s="47" t="str">
        <f aca="false">IF(OR(M949="High",M949="Critical"),"YES","")</f>
        <v/>
      </c>
    </row>
    <row r="950" customFormat="false" ht="15" hidden="false" customHeight="true" outlineLevel="0" collapsed="false">
      <c r="A950" s="47" t="n">
        <f aca="false">'Fault &amp; Downtime Entry'!A951</f>
        <v>946</v>
      </c>
      <c r="B950" s="48" t="n">
        <f aca="false">'Fault &amp; Downtime Entry'!B951</f>
        <v>0</v>
      </c>
      <c r="C950" s="47" t="n">
        <f aca="false">'Fault &amp; Downtime Entry'!C951</f>
        <v>0</v>
      </c>
      <c r="D950" s="47" t="n">
        <f aca="false">'Fault &amp; Downtime Entry'!D951</f>
        <v>0</v>
      </c>
      <c r="E950" s="47" t="n">
        <f aca="false">'Fault &amp; Downtime Entry'!E951</f>
        <v>0</v>
      </c>
      <c r="F950" s="47" t="str">
        <f aca="false">'Fault &amp; Downtime Entry'!F951</f>
        <v/>
      </c>
      <c r="G950" s="47" t="n">
        <f aca="false">'Fault &amp; Downtime Entry'!G951</f>
        <v>0</v>
      </c>
      <c r="H950" s="47" t="str">
        <f aca="false">'Fault &amp; Downtime Entry'!H951</f>
        <v/>
      </c>
      <c r="I950" s="47" t="str">
        <f aca="false">'Fault &amp; Downtime Entry'!I951</f>
        <v/>
      </c>
      <c r="J950" s="47" t="n">
        <f aca="false">'Fault &amp; Downtime Entry'!J951</f>
        <v>0</v>
      </c>
      <c r="K950" s="47" t="n">
        <f aca="false">'Fault &amp; Downtime Entry'!K951</f>
        <v>0</v>
      </c>
      <c r="L950" s="47" t="n">
        <f aca="false">'Fault &amp; Downtime Entry'!L951</f>
        <v>0</v>
      </c>
      <c r="M950" s="47" t="str">
        <f aca="false">'Fault &amp; Downtime Entry'!M951</f>
        <v/>
      </c>
      <c r="N950" s="47" t="n">
        <f aca="false">'Fault &amp; Downtime Entry'!N951</f>
        <v>0</v>
      </c>
      <c r="O950" s="47" t="n">
        <f aca="false">'Fault &amp; Downtime Entry'!O951</f>
        <v>0</v>
      </c>
      <c r="P950" s="47" t="str">
        <f aca="false">IF(OR(J950="",K950=""),"",IFERROR(J950/K950*1000,0))</f>
        <v/>
      </c>
      <c r="Q950" s="47" t="str">
        <f aca="false">IF(OR(L950="",K950=""),"",IFERROR(L950/K950*1000,0))</f>
        <v/>
      </c>
      <c r="R950" s="47" t="str">
        <f aca="false">IF(OR(M950="High",M950="Critical"),"YES","")</f>
        <v/>
      </c>
    </row>
    <row r="951" customFormat="false" ht="15" hidden="false" customHeight="true" outlineLevel="0" collapsed="false">
      <c r="A951" s="47" t="n">
        <f aca="false">'Fault &amp; Downtime Entry'!A952</f>
        <v>947</v>
      </c>
      <c r="B951" s="48" t="n">
        <f aca="false">'Fault &amp; Downtime Entry'!B952</f>
        <v>0</v>
      </c>
      <c r="C951" s="47" t="n">
        <f aca="false">'Fault &amp; Downtime Entry'!C952</f>
        <v>0</v>
      </c>
      <c r="D951" s="47" t="n">
        <f aca="false">'Fault &amp; Downtime Entry'!D952</f>
        <v>0</v>
      </c>
      <c r="E951" s="47" t="n">
        <f aca="false">'Fault &amp; Downtime Entry'!E952</f>
        <v>0</v>
      </c>
      <c r="F951" s="47" t="str">
        <f aca="false">'Fault &amp; Downtime Entry'!F952</f>
        <v/>
      </c>
      <c r="G951" s="47" t="n">
        <f aca="false">'Fault &amp; Downtime Entry'!G952</f>
        <v>0</v>
      </c>
      <c r="H951" s="47" t="str">
        <f aca="false">'Fault &amp; Downtime Entry'!H952</f>
        <v/>
      </c>
      <c r="I951" s="47" t="str">
        <f aca="false">'Fault &amp; Downtime Entry'!I952</f>
        <v/>
      </c>
      <c r="J951" s="47" t="n">
        <f aca="false">'Fault &amp; Downtime Entry'!J952</f>
        <v>0</v>
      </c>
      <c r="K951" s="47" t="n">
        <f aca="false">'Fault &amp; Downtime Entry'!K952</f>
        <v>0</v>
      </c>
      <c r="L951" s="47" t="n">
        <f aca="false">'Fault &amp; Downtime Entry'!L952</f>
        <v>0</v>
      </c>
      <c r="M951" s="47" t="str">
        <f aca="false">'Fault &amp; Downtime Entry'!M952</f>
        <v/>
      </c>
      <c r="N951" s="47" t="n">
        <f aca="false">'Fault &amp; Downtime Entry'!N952</f>
        <v>0</v>
      </c>
      <c r="O951" s="47" t="n">
        <f aca="false">'Fault &amp; Downtime Entry'!O952</f>
        <v>0</v>
      </c>
      <c r="P951" s="47" t="str">
        <f aca="false">IF(OR(J951="",K951=""),"",IFERROR(J951/K951*1000,0))</f>
        <v/>
      </c>
      <c r="Q951" s="47" t="str">
        <f aca="false">IF(OR(L951="",K951=""),"",IFERROR(L951/K951*1000,0))</f>
        <v/>
      </c>
      <c r="R951" s="47" t="str">
        <f aca="false">IF(OR(M951="High",M951="Critical"),"YES","")</f>
        <v/>
      </c>
    </row>
    <row r="952" customFormat="false" ht="15" hidden="false" customHeight="true" outlineLevel="0" collapsed="false">
      <c r="A952" s="47" t="n">
        <f aca="false">'Fault &amp; Downtime Entry'!A953</f>
        <v>948</v>
      </c>
      <c r="B952" s="48" t="n">
        <f aca="false">'Fault &amp; Downtime Entry'!B953</f>
        <v>0</v>
      </c>
      <c r="C952" s="47" t="n">
        <f aca="false">'Fault &amp; Downtime Entry'!C953</f>
        <v>0</v>
      </c>
      <c r="D952" s="47" t="n">
        <f aca="false">'Fault &amp; Downtime Entry'!D953</f>
        <v>0</v>
      </c>
      <c r="E952" s="47" t="n">
        <f aca="false">'Fault &amp; Downtime Entry'!E953</f>
        <v>0</v>
      </c>
      <c r="F952" s="47" t="str">
        <f aca="false">'Fault &amp; Downtime Entry'!F953</f>
        <v/>
      </c>
      <c r="G952" s="47" t="n">
        <f aca="false">'Fault &amp; Downtime Entry'!G953</f>
        <v>0</v>
      </c>
      <c r="H952" s="47" t="str">
        <f aca="false">'Fault &amp; Downtime Entry'!H953</f>
        <v/>
      </c>
      <c r="I952" s="47" t="str">
        <f aca="false">'Fault &amp; Downtime Entry'!I953</f>
        <v/>
      </c>
      <c r="J952" s="47" t="n">
        <f aca="false">'Fault &amp; Downtime Entry'!J953</f>
        <v>0</v>
      </c>
      <c r="K952" s="47" t="n">
        <f aca="false">'Fault &amp; Downtime Entry'!K953</f>
        <v>0</v>
      </c>
      <c r="L952" s="47" t="n">
        <f aca="false">'Fault &amp; Downtime Entry'!L953</f>
        <v>0</v>
      </c>
      <c r="M952" s="47" t="str">
        <f aca="false">'Fault &amp; Downtime Entry'!M953</f>
        <v/>
      </c>
      <c r="N952" s="47" t="n">
        <f aca="false">'Fault &amp; Downtime Entry'!N953</f>
        <v>0</v>
      </c>
      <c r="O952" s="47" t="n">
        <f aca="false">'Fault &amp; Downtime Entry'!O953</f>
        <v>0</v>
      </c>
      <c r="P952" s="47" t="str">
        <f aca="false">IF(OR(J952="",K952=""),"",IFERROR(J952/K952*1000,0))</f>
        <v/>
      </c>
      <c r="Q952" s="47" t="str">
        <f aca="false">IF(OR(L952="",K952=""),"",IFERROR(L952/K952*1000,0))</f>
        <v/>
      </c>
      <c r="R952" s="47" t="str">
        <f aca="false">IF(OR(M952="High",M952="Critical"),"YES","")</f>
        <v/>
      </c>
    </row>
    <row r="953" customFormat="false" ht="15" hidden="false" customHeight="true" outlineLevel="0" collapsed="false">
      <c r="A953" s="47" t="n">
        <f aca="false">'Fault &amp; Downtime Entry'!A954</f>
        <v>949</v>
      </c>
      <c r="B953" s="48" t="n">
        <f aca="false">'Fault &amp; Downtime Entry'!B954</f>
        <v>0</v>
      </c>
      <c r="C953" s="47" t="n">
        <f aca="false">'Fault &amp; Downtime Entry'!C954</f>
        <v>0</v>
      </c>
      <c r="D953" s="47" t="n">
        <f aca="false">'Fault &amp; Downtime Entry'!D954</f>
        <v>0</v>
      </c>
      <c r="E953" s="47" t="n">
        <f aca="false">'Fault &amp; Downtime Entry'!E954</f>
        <v>0</v>
      </c>
      <c r="F953" s="47" t="str">
        <f aca="false">'Fault &amp; Downtime Entry'!F954</f>
        <v/>
      </c>
      <c r="G953" s="47" t="n">
        <f aca="false">'Fault &amp; Downtime Entry'!G954</f>
        <v>0</v>
      </c>
      <c r="H953" s="47" t="str">
        <f aca="false">'Fault &amp; Downtime Entry'!H954</f>
        <v/>
      </c>
      <c r="I953" s="47" t="str">
        <f aca="false">'Fault &amp; Downtime Entry'!I954</f>
        <v/>
      </c>
      <c r="J953" s="47" t="n">
        <f aca="false">'Fault &amp; Downtime Entry'!J954</f>
        <v>0</v>
      </c>
      <c r="K953" s="47" t="n">
        <f aca="false">'Fault &amp; Downtime Entry'!K954</f>
        <v>0</v>
      </c>
      <c r="L953" s="47" t="n">
        <f aca="false">'Fault &amp; Downtime Entry'!L954</f>
        <v>0</v>
      </c>
      <c r="M953" s="47" t="str">
        <f aca="false">'Fault &amp; Downtime Entry'!M954</f>
        <v/>
      </c>
      <c r="N953" s="47" t="n">
        <f aca="false">'Fault &amp; Downtime Entry'!N954</f>
        <v>0</v>
      </c>
      <c r="O953" s="47" t="n">
        <f aca="false">'Fault &amp; Downtime Entry'!O954</f>
        <v>0</v>
      </c>
      <c r="P953" s="47" t="str">
        <f aca="false">IF(OR(J953="",K953=""),"",IFERROR(J953/K953*1000,0))</f>
        <v/>
      </c>
      <c r="Q953" s="47" t="str">
        <f aca="false">IF(OR(L953="",K953=""),"",IFERROR(L953/K953*1000,0))</f>
        <v/>
      </c>
      <c r="R953" s="47" t="str">
        <f aca="false">IF(OR(M953="High",M953="Critical"),"YES","")</f>
        <v/>
      </c>
    </row>
    <row r="954" customFormat="false" ht="15" hidden="false" customHeight="true" outlineLevel="0" collapsed="false">
      <c r="A954" s="47" t="n">
        <f aca="false">'Fault &amp; Downtime Entry'!A955</f>
        <v>950</v>
      </c>
      <c r="B954" s="48" t="n">
        <f aca="false">'Fault &amp; Downtime Entry'!B955</f>
        <v>0</v>
      </c>
      <c r="C954" s="47" t="n">
        <f aca="false">'Fault &amp; Downtime Entry'!C955</f>
        <v>0</v>
      </c>
      <c r="D954" s="47" t="n">
        <f aca="false">'Fault &amp; Downtime Entry'!D955</f>
        <v>0</v>
      </c>
      <c r="E954" s="47" t="n">
        <f aca="false">'Fault &amp; Downtime Entry'!E955</f>
        <v>0</v>
      </c>
      <c r="F954" s="47" t="str">
        <f aca="false">'Fault &amp; Downtime Entry'!F955</f>
        <v/>
      </c>
      <c r="G954" s="47" t="n">
        <f aca="false">'Fault &amp; Downtime Entry'!G955</f>
        <v>0</v>
      </c>
      <c r="H954" s="47" t="str">
        <f aca="false">'Fault &amp; Downtime Entry'!H955</f>
        <v/>
      </c>
      <c r="I954" s="47" t="str">
        <f aca="false">'Fault &amp; Downtime Entry'!I955</f>
        <v/>
      </c>
      <c r="J954" s="47" t="n">
        <f aca="false">'Fault &amp; Downtime Entry'!J955</f>
        <v>0</v>
      </c>
      <c r="K954" s="47" t="n">
        <f aca="false">'Fault &amp; Downtime Entry'!K955</f>
        <v>0</v>
      </c>
      <c r="L954" s="47" t="n">
        <f aca="false">'Fault &amp; Downtime Entry'!L955</f>
        <v>0</v>
      </c>
      <c r="M954" s="47" t="str">
        <f aca="false">'Fault &amp; Downtime Entry'!M955</f>
        <v/>
      </c>
      <c r="N954" s="47" t="n">
        <f aca="false">'Fault &amp; Downtime Entry'!N955</f>
        <v>0</v>
      </c>
      <c r="O954" s="47" t="n">
        <f aca="false">'Fault &amp; Downtime Entry'!O955</f>
        <v>0</v>
      </c>
      <c r="P954" s="47" t="str">
        <f aca="false">IF(OR(J954="",K954=""),"",IFERROR(J954/K954*1000,0))</f>
        <v/>
      </c>
      <c r="Q954" s="47" t="str">
        <f aca="false">IF(OR(L954="",K954=""),"",IFERROR(L954/K954*1000,0))</f>
        <v/>
      </c>
      <c r="R954" s="47" t="str">
        <f aca="false">IF(OR(M954="High",M954="Critical"),"YES","")</f>
        <v/>
      </c>
    </row>
    <row r="955" customFormat="false" ht="15" hidden="false" customHeight="true" outlineLevel="0" collapsed="false">
      <c r="A955" s="47" t="n">
        <f aca="false">'Fault &amp; Downtime Entry'!A956</f>
        <v>951</v>
      </c>
      <c r="B955" s="48" t="n">
        <f aca="false">'Fault &amp; Downtime Entry'!B956</f>
        <v>0</v>
      </c>
      <c r="C955" s="47" t="n">
        <f aca="false">'Fault &amp; Downtime Entry'!C956</f>
        <v>0</v>
      </c>
      <c r="D955" s="47" t="n">
        <f aca="false">'Fault &amp; Downtime Entry'!D956</f>
        <v>0</v>
      </c>
      <c r="E955" s="47" t="n">
        <f aca="false">'Fault &amp; Downtime Entry'!E956</f>
        <v>0</v>
      </c>
      <c r="F955" s="47" t="str">
        <f aca="false">'Fault &amp; Downtime Entry'!F956</f>
        <v/>
      </c>
      <c r="G955" s="47" t="n">
        <f aca="false">'Fault &amp; Downtime Entry'!G956</f>
        <v>0</v>
      </c>
      <c r="H955" s="47" t="str">
        <f aca="false">'Fault &amp; Downtime Entry'!H956</f>
        <v/>
      </c>
      <c r="I955" s="47" t="str">
        <f aca="false">'Fault &amp; Downtime Entry'!I956</f>
        <v/>
      </c>
      <c r="J955" s="47" t="n">
        <f aca="false">'Fault &amp; Downtime Entry'!J956</f>
        <v>0</v>
      </c>
      <c r="K955" s="47" t="n">
        <f aca="false">'Fault &amp; Downtime Entry'!K956</f>
        <v>0</v>
      </c>
      <c r="L955" s="47" t="n">
        <f aca="false">'Fault &amp; Downtime Entry'!L956</f>
        <v>0</v>
      </c>
      <c r="M955" s="47" t="str">
        <f aca="false">'Fault &amp; Downtime Entry'!M956</f>
        <v/>
      </c>
      <c r="N955" s="47" t="n">
        <f aca="false">'Fault &amp; Downtime Entry'!N956</f>
        <v>0</v>
      </c>
      <c r="O955" s="47" t="n">
        <f aca="false">'Fault &amp; Downtime Entry'!O956</f>
        <v>0</v>
      </c>
      <c r="P955" s="47" t="str">
        <f aca="false">IF(OR(J955="",K955=""),"",IFERROR(J955/K955*1000,0))</f>
        <v/>
      </c>
      <c r="Q955" s="47" t="str">
        <f aca="false">IF(OR(L955="",K955=""),"",IFERROR(L955/K955*1000,0))</f>
        <v/>
      </c>
      <c r="R955" s="47" t="str">
        <f aca="false">IF(OR(M955="High",M955="Critical"),"YES","")</f>
        <v/>
      </c>
    </row>
    <row r="956" customFormat="false" ht="15" hidden="false" customHeight="true" outlineLevel="0" collapsed="false">
      <c r="A956" s="47" t="n">
        <f aca="false">'Fault &amp; Downtime Entry'!A957</f>
        <v>952</v>
      </c>
      <c r="B956" s="48" t="n">
        <f aca="false">'Fault &amp; Downtime Entry'!B957</f>
        <v>0</v>
      </c>
      <c r="C956" s="47" t="n">
        <f aca="false">'Fault &amp; Downtime Entry'!C957</f>
        <v>0</v>
      </c>
      <c r="D956" s="47" t="n">
        <f aca="false">'Fault &amp; Downtime Entry'!D957</f>
        <v>0</v>
      </c>
      <c r="E956" s="47" t="n">
        <f aca="false">'Fault &amp; Downtime Entry'!E957</f>
        <v>0</v>
      </c>
      <c r="F956" s="47" t="str">
        <f aca="false">'Fault &amp; Downtime Entry'!F957</f>
        <v/>
      </c>
      <c r="G956" s="47" t="n">
        <f aca="false">'Fault &amp; Downtime Entry'!G957</f>
        <v>0</v>
      </c>
      <c r="H956" s="47" t="str">
        <f aca="false">'Fault &amp; Downtime Entry'!H957</f>
        <v/>
      </c>
      <c r="I956" s="47" t="str">
        <f aca="false">'Fault &amp; Downtime Entry'!I957</f>
        <v/>
      </c>
      <c r="J956" s="47" t="n">
        <f aca="false">'Fault &amp; Downtime Entry'!J957</f>
        <v>0</v>
      </c>
      <c r="K956" s="47" t="n">
        <f aca="false">'Fault &amp; Downtime Entry'!K957</f>
        <v>0</v>
      </c>
      <c r="L956" s="47" t="n">
        <f aca="false">'Fault &amp; Downtime Entry'!L957</f>
        <v>0</v>
      </c>
      <c r="M956" s="47" t="str">
        <f aca="false">'Fault &amp; Downtime Entry'!M957</f>
        <v/>
      </c>
      <c r="N956" s="47" t="n">
        <f aca="false">'Fault &amp; Downtime Entry'!N957</f>
        <v>0</v>
      </c>
      <c r="O956" s="47" t="n">
        <f aca="false">'Fault &amp; Downtime Entry'!O957</f>
        <v>0</v>
      </c>
      <c r="P956" s="47" t="str">
        <f aca="false">IF(OR(J956="",K956=""),"",IFERROR(J956/K956*1000,0))</f>
        <v/>
      </c>
      <c r="Q956" s="47" t="str">
        <f aca="false">IF(OR(L956="",K956=""),"",IFERROR(L956/K956*1000,0))</f>
        <v/>
      </c>
      <c r="R956" s="47" t="str">
        <f aca="false">IF(OR(M956="High",M956="Critical"),"YES","")</f>
        <v/>
      </c>
    </row>
    <row r="957" customFormat="false" ht="15" hidden="false" customHeight="true" outlineLevel="0" collapsed="false">
      <c r="A957" s="47" t="n">
        <f aca="false">'Fault &amp; Downtime Entry'!A958</f>
        <v>953</v>
      </c>
      <c r="B957" s="48" t="n">
        <f aca="false">'Fault &amp; Downtime Entry'!B958</f>
        <v>0</v>
      </c>
      <c r="C957" s="47" t="n">
        <f aca="false">'Fault &amp; Downtime Entry'!C958</f>
        <v>0</v>
      </c>
      <c r="D957" s="47" t="n">
        <f aca="false">'Fault &amp; Downtime Entry'!D958</f>
        <v>0</v>
      </c>
      <c r="E957" s="47" t="n">
        <f aca="false">'Fault &amp; Downtime Entry'!E958</f>
        <v>0</v>
      </c>
      <c r="F957" s="47" t="str">
        <f aca="false">'Fault &amp; Downtime Entry'!F958</f>
        <v/>
      </c>
      <c r="G957" s="47" t="n">
        <f aca="false">'Fault &amp; Downtime Entry'!G958</f>
        <v>0</v>
      </c>
      <c r="H957" s="47" t="str">
        <f aca="false">'Fault &amp; Downtime Entry'!H958</f>
        <v/>
      </c>
      <c r="I957" s="47" t="str">
        <f aca="false">'Fault &amp; Downtime Entry'!I958</f>
        <v/>
      </c>
      <c r="J957" s="47" t="n">
        <f aca="false">'Fault &amp; Downtime Entry'!J958</f>
        <v>0</v>
      </c>
      <c r="K957" s="47" t="n">
        <f aca="false">'Fault &amp; Downtime Entry'!K958</f>
        <v>0</v>
      </c>
      <c r="L957" s="47" t="n">
        <f aca="false">'Fault &amp; Downtime Entry'!L958</f>
        <v>0</v>
      </c>
      <c r="M957" s="47" t="str">
        <f aca="false">'Fault &amp; Downtime Entry'!M958</f>
        <v/>
      </c>
      <c r="N957" s="47" t="n">
        <f aca="false">'Fault &amp; Downtime Entry'!N958</f>
        <v>0</v>
      </c>
      <c r="O957" s="47" t="n">
        <f aca="false">'Fault &amp; Downtime Entry'!O958</f>
        <v>0</v>
      </c>
      <c r="P957" s="47" t="str">
        <f aca="false">IF(OR(J957="",K957=""),"",IFERROR(J957/K957*1000,0))</f>
        <v/>
      </c>
      <c r="Q957" s="47" t="str">
        <f aca="false">IF(OR(L957="",K957=""),"",IFERROR(L957/K957*1000,0))</f>
        <v/>
      </c>
      <c r="R957" s="47" t="str">
        <f aca="false">IF(OR(M957="High",M957="Critical"),"YES","")</f>
        <v/>
      </c>
    </row>
    <row r="958" customFormat="false" ht="15" hidden="false" customHeight="true" outlineLevel="0" collapsed="false">
      <c r="A958" s="47" t="n">
        <f aca="false">'Fault &amp; Downtime Entry'!A959</f>
        <v>954</v>
      </c>
      <c r="B958" s="48" t="n">
        <f aca="false">'Fault &amp; Downtime Entry'!B959</f>
        <v>0</v>
      </c>
      <c r="C958" s="47" t="n">
        <f aca="false">'Fault &amp; Downtime Entry'!C959</f>
        <v>0</v>
      </c>
      <c r="D958" s="47" t="n">
        <f aca="false">'Fault &amp; Downtime Entry'!D959</f>
        <v>0</v>
      </c>
      <c r="E958" s="47" t="n">
        <f aca="false">'Fault &amp; Downtime Entry'!E959</f>
        <v>0</v>
      </c>
      <c r="F958" s="47" t="str">
        <f aca="false">'Fault &amp; Downtime Entry'!F959</f>
        <v/>
      </c>
      <c r="G958" s="47" t="n">
        <f aca="false">'Fault &amp; Downtime Entry'!G959</f>
        <v>0</v>
      </c>
      <c r="H958" s="47" t="str">
        <f aca="false">'Fault &amp; Downtime Entry'!H959</f>
        <v/>
      </c>
      <c r="I958" s="47" t="str">
        <f aca="false">'Fault &amp; Downtime Entry'!I959</f>
        <v/>
      </c>
      <c r="J958" s="47" t="n">
        <f aca="false">'Fault &amp; Downtime Entry'!J959</f>
        <v>0</v>
      </c>
      <c r="K958" s="47" t="n">
        <f aca="false">'Fault &amp; Downtime Entry'!K959</f>
        <v>0</v>
      </c>
      <c r="L958" s="47" t="n">
        <f aca="false">'Fault &amp; Downtime Entry'!L959</f>
        <v>0</v>
      </c>
      <c r="M958" s="47" t="str">
        <f aca="false">'Fault &amp; Downtime Entry'!M959</f>
        <v/>
      </c>
      <c r="N958" s="47" t="n">
        <f aca="false">'Fault &amp; Downtime Entry'!N959</f>
        <v>0</v>
      </c>
      <c r="O958" s="47" t="n">
        <f aca="false">'Fault &amp; Downtime Entry'!O959</f>
        <v>0</v>
      </c>
      <c r="P958" s="47" t="str">
        <f aca="false">IF(OR(J958="",K958=""),"",IFERROR(J958/K958*1000,0))</f>
        <v/>
      </c>
      <c r="Q958" s="47" t="str">
        <f aca="false">IF(OR(L958="",K958=""),"",IFERROR(L958/K958*1000,0))</f>
        <v/>
      </c>
      <c r="R958" s="47" t="str">
        <f aca="false">IF(OR(M958="High",M958="Critical"),"YES","")</f>
        <v/>
      </c>
    </row>
    <row r="959" customFormat="false" ht="15" hidden="false" customHeight="true" outlineLevel="0" collapsed="false">
      <c r="A959" s="47" t="n">
        <f aca="false">'Fault &amp; Downtime Entry'!A960</f>
        <v>955</v>
      </c>
      <c r="B959" s="48" t="n">
        <f aca="false">'Fault &amp; Downtime Entry'!B960</f>
        <v>0</v>
      </c>
      <c r="C959" s="47" t="n">
        <f aca="false">'Fault &amp; Downtime Entry'!C960</f>
        <v>0</v>
      </c>
      <c r="D959" s="47" t="n">
        <f aca="false">'Fault &amp; Downtime Entry'!D960</f>
        <v>0</v>
      </c>
      <c r="E959" s="47" t="n">
        <f aca="false">'Fault &amp; Downtime Entry'!E960</f>
        <v>0</v>
      </c>
      <c r="F959" s="47" t="str">
        <f aca="false">'Fault &amp; Downtime Entry'!F960</f>
        <v/>
      </c>
      <c r="G959" s="47" t="n">
        <f aca="false">'Fault &amp; Downtime Entry'!G960</f>
        <v>0</v>
      </c>
      <c r="H959" s="47" t="str">
        <f aca="false">'Fault &amp; Downtime Entry'!H960</f>
        <v/>
      </c>
      <c r="I959" s="47" t="str">
        <f aca="false">'Fault &amp; Downtime Entry'!I960</f>
        <v/>
      </c>
      <c r="J959" s="47" t="n">
        <f aca="false">'Fault &amp; Downtime Entry'!J960</f>
        <v>0</v>
      </c>
      <c r="K959" s="47" t="n">
        <f aca="false">'Fault &amp; Downtime Entry'!K960</f>
        <v>0</v>
      </c>
      <c r="L959" s="47" t="n">
        <f aca="false">'Fault &amp; Downtime Entry'!L960</f>
        <v>0</v>
      </c>
      <c r="M959" s="47" t="str">
        <f aca="false">'Fault &amp; Downtime Entry'!M960</f>
        <v/>
      </c>
      <c r="N959" s="47" t="n">
        <f aca="false">'Fault &amp; Downtime Entry'!N960</f>
        <v>0</v>
      </c>
      <c r="O959" s="47" t="n">
        <f aca="false">'Fault &amp; Downtime Entry'!O960</f>
        <v>0</v>
      </c>
      <c r="P959" s="47" t="str">
        <f aca="false">IF(OR(J959="",K959=""),"",IFERROR(J959/K959*1000,0))</f>
        <v/>
      </c>
      <c r="Q959" s="47" t="str">
        <f aca="false">IF(OR(L959="",K959=""),"",IFERROR(L959/K959*1000,0))</f>
        <v/>
      </c>
      <c r="R959" s="47" t="str">
        <f aca="false">IF(OR(M959="High",M959="Critical"),"YES","")</f>
        <v/>
      </c>
    </row>
    <row r="960" customFormat="false" ht="15" hidden="false" customHeight="true" outlineLevel="0" collapsed="false">
      <c r="A960" s="47" t="n">
        <f aca="false">'Fault &amp; Downtime Entry'!A961</f>
        <v>956</v>
      </c>
      <c r="B960" s="48" t="n">
        <f aca="false">'Fault &amp; Downtime Entry'!B961</f>
        <v>0</v>
      </c>
      <c r="C960" s="47" t="n">
        <f aca="false">'Fault &amp; Downtime Entry'!C961</f>
        <v>0</v>
      </c>
      <c r="D960" s="47" t="n">
        <f aca="false">'Fault &amp; Downtime Entry'!D961</f>
        <v>0</v>
      </c>
      <c r="E960" s="47" t="n">
        <f aca="false">'Fault &amp; Downtime Entry'!E961</f>
        <v>0</v>
      </c>
      <c r="F960" s="47" t="str">
        <f aca="false">'Fault &amp; Downtime Entry'!F961</f>
        <v/>
      </c>
      <c r="G960" s="47" t="n">
        <f aca="false">'Fault &amp; Downtime Entry'!G961</f>
        <v>0</v>
      </c>
      <c r="H960" s="47" t="str">
        <f aca="false">'Fault &amp; Downtime Entry'!H961</f>
        <v/>
      </c>
      <c r="I960" s="47" t="str">
        <f aca="false">'Fault &amp; Downtime Entry'!I961</f>
        <v/>
      </c>
      <c r="J960" s="47" t="n">
        <f aca="false">'Fault &amp; Downtime Entry'!J961</f>
        <v>0</v>
      </c>
      <c r="K960" s="47" t="n">
        <f aca="false">'Fault &amp; Downtime Entry'!K961</f>
        <v>0</v>
      </c>
      <c r="L960" s="47" t="n">
        <f aca="false">'Fault &amp; Downtime Entry'!L961</f>
        <v>0</v>
      </c>
      <c r="M960" s="47" t="str">
        <f aca="false">'Fault &amp; Downtime Entry'!M961</f>
        <v/>
      </c>
      <c r="N960" s="47" t="n">
        <f aca="false">'Fault &amp; Downtime Entry'!N961</f>
        <v>0</v>
      </c>
      <c r="O960" s="47" t="n">
        <f aca="false">'Fault &amp; Downtime Entry'!O961</f>
        <v>0</v>
      </c>
      <c r="P960" s="47" t="str">
        <f aca="false">IF(OR(J960="",K960=""),"",IFERROR(J960/K960*1000,0))</f>
        <v/>
      </c>
      <c r="Q960" s="47" t="str">
        <f aca="false">IF(OR(L960="",K960=""),"",IFERROR(L960/K960*1000,0))</f>
        <v/>
      </c>
      <c r="R960" s="47" t="str">
        <f aca="false">IF(OR(M960="High",M960="Critical"),"YES","")</f>
        <v/>
      </c>
    </row>
    <row r="961" customFormat="false" ht="15" hidden="false" customHeight="true" outlineLevel="0" collapsed="false">
      <c r="A961" s="47" t="n">
        <f aca="false">'Fault &amp; Downtime Entry'!A962</f>
        <v>957</v>
      </c>
      <c r="B961" s="48" t="n">
        <f aca="false">'Fault &amp; Downtime Entry'!B962</f>
        <v>0</v>
      </c>
      <c r="C961" s="47" t="n">
        <f aca="false">'Fault &amp; Downtime Entry'!C962</f>
        <v>0</v>
      </c>
      <c r="D961" s="47" t="n">
        <f aca="false">'Fault &amp; Downtime Entry'!D962</f>
        <v>0</v>
      </c>
      <c r="E961" s="47" t="n">
        <f aca="false">'Fault &amp; Downtime Entry'!E962</f>
        <v>0</v>
      </c>
      <c r="F961" s="47" t="str">
        <f aca="false">'Fault &amp; Downtime Entry'!F962</f>
        <v/>
      </c>
      <c r="G961" s="47" t="n">
        <f aca="false">'Fault &amp; Downtime Entry'!G962</f>
        <v>0</v>
      </c>
      <c r="H961" s="47" t="str">
        <f aca="false">'Fault &amp; Downtime Entry'!H962</f>
        <v/>
      </c>
      <c r="I961" s="47" t="str">
        <f aca="false">'Fault &amp; Downtime Entry'!I962</f>
        <v/>
      </c>
      <c r="J961" s="47" t="n">
        <f aca="false">'Fault &amp; Downtime Entry'!J962</f>
        <v>0</v>
      </c>
      <c r="K961" s="47" t="n">
        <f aca="false">'Fault &amp; Downtime Entry'!K962</f>
        <v>0</v>
      </c>
      <c r="L961" s="47" t="n">
        <f aca="false">'Fault &amp; Downtime Entry'!L962</f>
        <v>0</v>
      </c>
      <c r="M961" s="47" t="str">
        <f aca="false">'Fault &amp; Downtime Entry'!M962</f>
        <v/>
      </c>
      <c r="N961" s="47" t="n">
        <f aca="false">'Fault &amp; Downtime Entry'!N962</f>
        <v>0</v>
      </c>
      <c r="O961" s="47" t="n">
        <f aca="false">'Fault &amp; Downtime Entry'!O962</f>
        <v>0</v>
      </c>
      <c r="P961" s="47" t="str">
        <f aca="false">IF(OR(J961="",K961=""),"",IFERROR(J961/K961*1000,0))</f>
        <v/>
      </c>
      <c r="Q961" s="47" t="str">
        <f aca="false">IF(OR(L961="",K961=""),"",IFERROR(L961/K961*1000,0))</f>
        <v/>
      </c>
      <c r="R961" s="47" t="str">
        <f aca="false">IF(OR(M961="High",M961="Critical"),"YES","")</f>
        <v/>
      </c>
    </row>
    <row r="962" customFormat="false" ht="15" hidden="false" customHeight="true" outlineLevel="0" collapsed="false">
      <c r="A962" s="47" t="n">
        <f aca="false">'Fault &amp; Downtime Entry'!A963</f>
        <v>958</v>
      </c>
      <c r="B962" s="48" t="n">
        <f aca="false">'Fault &amp; Downtime Entry'!B963</f>
        <v>0</v>
      </c>
      <c r="C962" s="47" t="n">
        <f aca="false">'Fault &amp; Downtime Entry'!C963</f>
        <v>0</v>
      </c>
      <c r="D962" s="47" t="n">
        <f aca="false">'Fault &amp; Downtime Entry'!D963</f>
        <v>0</v>
      </c>
      <c r="E962" s="47" t="n">
        <f aca="false">'Fault &amp; Downtime Entry'!E963</f>
        <v>0</v>
      </c>
      <c r="F962" s="47" t="str">
        <f aca="false">'Fault &amp; Downtime Entry'!F963</f>
        <v/>
      </c>
      <c r="G962" s="47" t="n">
        <f aca="false">'Fault &amp; Downtime Entry'!G963</f>
        <v>0</v>
      </c>
      <c r="H962" s="47" t="str">
        <f aca="false">'Fault &amp; Downtime Entry'!H963</f>
        <v/>
      </c>
      <c r="I962" s="47" t="str">
        <f aca="false">'Fault &amp; Downtime Entry'!I963</f>
        <v/>
      </c>
      <c r="J962" s="47" t="n">
        <f aca="false">'Fault &amp; Downtime Entry'!J963</f>
        <v>0</v>
      </c>
      <c r="K962" s="47" t="n">
        <f aca="false">'Fault &amp; Downtime Entry'!K963</f>
        <v>0</v>
      </c>
      <c r="L962" s="47" t="n">
        <f aca="false">'Fault &amp; Downtime Entry'!L963</f>
        <v>0</v>
      </c>
      <c r="M962" s="47" t="str">
        <f aca="false">'Fault &amp; Downtime Entry'!M963</f>
        <v/>
      </c>
      <c r="N962" s="47" t="n">
        <f aca="false">'Fault &amp; Downtime Entry'!N963</f>
        <v>0</v>
      </c>
      <c r="O962" s="47" t="n">
        <f aca="false">'Fault &amp; Downtime Entry'!O963</f>
        <v>0</v>
      </c>
      <c r="P962" s="47" t="str">
        <f aca="false">IF(OR(J962="",K962=""),"",IFERROR(J962/K962*1000,0))</f>
        <v/>
      </c>
      <c r="Q962" s="47" t="str">
        <f aca="false">IF(OR(L962="",K962=""),"",IFERROR(L962/K962*1000,0))</f>
        <v/>
      </c>
      <c r="R962" s="47" t="str">
        <f aca="false">IF(OR(M962="High",M962="Critical"),"YES","")</f>
        <v/>
      </c>
    </row>
    <row r="963" customFormat="false" ht="15" hidden="false" customHeight="true" outlineLevel="0" collapsed="false">
      <c r="A963" s="47" t="n">
        <f aca="false">'Fault &amp; Downtime Entry'!A964</f>
        <v>959</v>
      </c>
      <c r="B963" s="48" t="n">
        <f aca="false">'Fault &amp; Downtime Entry'!B964</f>
        <v>0</v>
      </c>
      <c r="C963" s="47" t="n">
        <f aca="false">'Fault &amp; Downtime Entry'!C964</f>
        <v>0</v>
      </c>
      <c r="D963" s="47" t="n">
        <f aca="false">'Fault &amp; Downtime Entry'!D964</f>
        <v>0</v>
      </c>
      <c r="E963" s="47" t="n">
        <f aca="false">'Fault &amp; Downtime Entry'!E964</f>
        <v>0</v>
      </c>
      <c r="F963" s="47" t="str">
        <f aca="false">'Fault &amp; Downtime Entry'!F964</f>
        <v/>
      </c>
      <c r="G963" s="47" t="n">
        <f aca="false">'Fault &amp; Downtime Entry'!G964</f>
        <v>0</v>
      </c>
      <c r="H963" s="47" t="str">
        <f aca="false">'Fault &amp; Downtime Entry'!H964</f>
        <v/>
      </c>
      <c r="I963" s="47" t="str">
        <f aca="false">'Fault &amp; Downtime Entry'!I964</f>
        <v/>
      </c>
      <c r="J963" s="47" t="n">
        <f aca="false">'Fault &amp; Downtime Entry'!J964</f>
        <v>0</v>
      </c>
      <c r="K963" s="47" t="n">
        <f aca="false">'Fault &amp; Downtime Entry'!K964</f>
        <v>0</v>
      </c>
      <c r="L963" s="47" t="n">
        <f aca="false">'Fault &amp; Downtime Entry'!L964</f>
        <v>0</v>
      </c>
      <c r="M963" s="47" t="str">
        <f aca="false">'Fault &amp; Downtime Entry'!M964</f>
        <v/>
      </c>
      <c r="N963" s="47" t="n">
        <f aca="false">'Fault &amp; Downtime Entry'!N964</f>
        <v>0</v>
      </c>
      <c r="O963" s="47" t="n">
        <f aca="false">'Fault &amp; Downtime Entry'!O964</f>
        <v>0</v>
      </c>
      <c r="P963" s="47" t="str">
        <f aca="false">IF(OR(J963="",K963=""),"",IFERROR(J963/K963*1000,0))</f>
        <v/>
      </c>
      <c r="Q963" s="47" t="str">
        <f aca="false">IF(OR(L963="",K963=""),"",IFERROR(L963/K963*1000,0))</f>
        <v/>
      </c>
      <c r="R963" s="47" t="str">
        <f aca="false">IF(OR(M963="High",M963="Critical"),"YES","")</f>
        <v/>
      </c>
    </row>
    <row r="964" customFormat="false" ht="15" hidden="false" customHeight="true" outlineLevel="0" collapsed="false">
      <c r="A964" s="47" t="n">
        <f aca="false">'Fault &amp; Downtime Entry'!A965</f>
        <v>960</v>
      </c>
      <c r="B964" s="48" t="n">
        <f aca="false">'Fault &amp; Downtime Entry'!B965</f>
        <v>0</v>
      </c>
      <c r="C964" s="47" t="n">
        <f aca="false">'Fault &amp; Downtime Entry'!C965</f>
        <v>0</v>
      </c>
      <c r="D964" s="47" t="n">
        <f aca="false">'Fault &amp; Downtime Entry'!D965</f>
        <v>0</v>
      </c>
      <c r="E964" s="47" t="n">
        <f aca="false">'Fault &amp; Downtime Entry'!E965</f>
        <v>0</v>
      </c>
      <c r="F964" s="47" t="str">
        <f aca="false">'Fault &amp; Downtime Entry'!F965</f>
        <v/>
      </c>
      <c r="G964" s="47" t="n">
        <f aca="false">'Fault &amp; Downtime Entry'!G965</f>
        <v>0</v>
      </c>
      <c r="H964" s="47" t="str">
        <f aca="false">'Fault &amp; Downtime Entry'!H965</f>
        <v/>
      </c>
      <c r="I964" s="47" t="str">
        <f aca="false">'Fault &amp; Downtime Entry'!I965</f>
        <v/>
      </c>
      <c r="J964" s="47" t="n">
        <f aca="false">'Fault &amp; Downtime Entry'!J965</f>
        <v>0</v>
      </c>
      <c r="K964" s="47" t="n">
        <f aca="false">'Fault &amp; Downtime Entry'!K965</f>
        <v>0</v>
      </c>
      <c r="L964" s="47" t="n">
        <f aca="false">'Fault &amp; Downtime Entry'!L965</f>
        <v>0</v>
      </c>
      <c r="M964" s="47" t="str">
        <f aca="false">'Fault &amp; Downtime Entry'!M965</f>
        <v/>
      </c>
      <c r="N964" s="47" t="n">
        <f aca="false">'Fault &amp; Downtime Entry'!N965</f>
        <v>0</v>
      </c>
      <c r="O964" s="47" t="n">
        <f aca="false">'Fault &amp; Downtime Entry'!O965</f>
        <v>0</v>
      </c>
      <c r="P964" s="47" t="str">
        <f aca="false">IF(OR(J964="",K964=""),"",IFERROR(J964/K964*1000,0))</f>
        <v/>
      </c>
      <c r="Q964" s="47" t="str">
        <f aca="false">IF(OR(L964="",K964=""),"",IFERROR(L964/K964*1000,0))</f>
        <v/>
      </c>
      <c r="R964" s="47" t="str">
        <f aca="false">IF(OR(M964="High",M964="Critical"),"YES","")</f>
        <v/>
      </c>
    </row>
    <row r="965" customFormat="false" ht="15" hidden="false" customHeight="true" outlineLevel="0" collapsed="false">
      <c r="A965" s="47" t="n">
        <f aca="false">'Fault &amp; Downtime Entry'!A966</f>
        <v>961</v>
      </c>
      <c r="B965" s="48" t="n">
        <f aca="false">'Fault &amp; Downtime Entry'!B966</f>
        <v>0</v>
      </c>
      <c r="C965" s="47" t="n">
        <f aca="false">'Fault &amp; Downtime Entry'!C966</f>
        <v>0</v>
      </c>
      <c r="D965" s="47" t="n">
        <f aca="false">'Fault &amp; Downtime Entry'!D966</f>
        <v>0</v>
      </c>
      <c r="E965" s="47" t="n">
        <f aca="false">'Fault &amp; Downtime Entry'!E966</f>
        <v>0</v>
      </c>
      <c r="F965" s="47" t="str">
        <f aca="false">'Fault &amp; Downtime Entry'!F966</f>
        <v/>
      </c>
      <c r="G965" s="47" t="n">
        <f aca="false">'Fault &amp; Downtime Entry'!G966</f>
        <v>0</v>
      </c>
      <c r="H965" s="47" t="str">
        <f aca="false">'Fault &amp; Downtime Entry'!H966</f>
        <v/>
      </c>
      <c r="I965" s="47" t="str">
        <f aca="false">'Fault &amp; Downtime Entry'!I966</f>
        <v/>
      </c>
      <c r="J965" s="47" t="n">
        <f aca="false">'Fault &amp; Downtime Entry'!J966</f>
        <v>0</v>
      </c>
      <c r="K965" s="47" t="n">
        <f aca="false">'Fault &amp; Downtime Entry'!K966</f>
        <v>0</v>
      </c>
      <c r="L965" s="47" t="n">
        <f aca="false">'Fault &amp; Downtime Entry'!L966</f>
        <v>0</v>
      </c>
      <c r="M965" s="47" t="str">
        <f aca="false">'Fault &amp; Downtime Entry'!M966</f>
        <v/>
      </c>
      <c r="N965" s="47" t="n">
        <f aca="false">'Fault &amp; Downtime Entry'!N966</f>
        <v>0</v>
      </c>
      <c r="O965" s="47" t="n">
        <f aca="false">'Fault &amp; Downtime Entry'!O966</f>
        <v>0</v>
      </c>
      <c r="P965" s="47" t="str">
        <f aca="false">IF(OR(J965="",K965=""),"",IFERROR(J965/K965*1000,0))</f>
        <v/>
      </c>
      <c r="Q965" s="47" t="str">
        <f aca="false">IF(OR(L965="",K965=""),"",IFERROR(L965/K965*1000,0))</f>
        <v/>
      </c>
      <c r="R965" s="47" t="str">
        <f aca="false">IF(OR(M965="High",M965="Critical"),"YES","")</f>
        <v/>
      </c>
    </row>
    <row r="966" customFormat="false" ht="15" hidden="false" customHeight="true" outlineLevel="0" collapsed="false">
      <c r="A966" s="47" t="n">
        <f aca="false">'Fault &amp; Downtime Entry'!A967</f>
        <v>962</v>
      </c>
      <c r="B966" s="48" t="n">
        <f aca="false">'Fault &amp; Downtime Entry'!B967</f>
        <v>0</v>
      </c>
      <c r="C966" s="47" t="n">
        <f aca="false">'Fault &amp; Downtime Entry'!C967</f>
        <v>0</v>
      </c>
      <c r="D966" s="47" t="n">
        <f aca="false">'Fault &amp; Downtime Entry'!D967</f>
        <v>0</v>
      </c>
      <c r="E966" s="47" t="n">
        <f aca="false">'Fault &amp; Downtime Entry'!E967</f>
        <v>0</v>
      </c>
      <c r="F966" s="47" t="str">
        <f aca="false">'Fault &amp; Downtime Entry'!F967</f>
        <v/>
      </c>
      <c r="G966" s="47" t="n">
        <f aca="false">'Fault &amp; Downtime Entry'!G967</f>
        <v>0</v>
      </c>
      <c r="H966" s="47" t="str">
        <f aca="false">'Fault &amp; Downtime Entry'!H967</f>
        <v/>
      </c>
      <c r="I966" s="47" t="str">
        <f aca="false">'Fault &amp; Downtime Entry'!I967</f>
        <v/>
      </c>
      <c r="J966" s="47" t="n">
        <f aca="false">'Fault &amp; Downtime Entry'!J967</f>
        <v>0</v>
      </c>
      <c r="K966" s="47" t="n">
        <f aca="false">'Fault &amp; Downtime Entry'!K967</f>
        <v>0</v>
      </c>
      <c r="L966" s="47" t="n">
        <f aca="false">'Fault &amp; Downtime Entry'!L967</f>
        <v>0</v>
      </c>
      <c r="M966" s="47" t="str">
        <f aca="false">'Fault &amp; Downtime Entry'!M967</f>
        <v/>
      </c>
      <c r="N966" s="47" t="n">
        <f aca="false">'Fault &amp; Downtime Entry'!N967</f>
        <v>0</v>
      </c>
      <c r="O966" s="47" t="n">
        <f aca="false">'Fault &amp; Downtime Entry'!O967</f>
        <v>0</v>
      </c>
      <c r="P966" s="47" t="str">
        <f aca="false">IF(OR(J966="",K966=""),"",IFERROR(J966/K966*1000,0))</f>
        <v/>
      </c>
      <c r="Q966" s="47" t="str">
        <f aca="false">IF(OR(L966="",K966=""),"",IFERROR(L966/K966*1000,0))</f>
        <v/>
      </c>
      <c r="R966" s="47" t="str">
        <f aca="false">IF(OR(M966="High",M966="Critical"),"YES","")</f>
        <v/>
      </c>
    </row>
    <row r="967" customFormat="false" ht="15" hidden="false" customHeight="true" outlineLevel="0" collapsed="false">
      <c r="A967" s="47" t="n">
        <f aca="false">'Fault &amp; Downtime Entry'!A968</f>
        <v>963</v>
      </c>
      <c r="B967" s="48" t="n">
        <f aca="false">'Fault &amp; Downtime Entry'!B968</f>
        <v>0</v>
      </c>
      <c r="C967" s="47" t="n">
        <f aca="false">'Fault &amp; Downtime Entry'!C968</f>
        <v>0</v>
      </c>
      <c r="D967" s="47" t="n">
        <f aca="false">'Fault &amp; Downtime Entry'!D968</f>
        <v>0</v>
      </c>
      <c r="E967" s="47" t="n">
        <f aca="false">'Fault &amp; Downtime Entry'!E968</f>
        <v>0</v>
      </c>
      <c r="F967" s="47" t="str">
        <f aca="false">'Fault &amp; Downtime Entry'!F968</f>
        <v/>
      </c>
      <c r="G967" s="47" t="n">
        <f aca="false">'Fault &amp; Downtime Entry'!G968</f>
        <v>0</v>
      </c>
      <c r="H967" s="47" t="str">
        <f aca="false">'Fault &amp; Downtime Entry'!H968</f>
        <v/>
      </c>
      <c r="I967" s="47" t="str">
        <f aca="false">'Fault &amp; Downtime Entry'!I968</f>
        <v/>
      </c>
      <c r="J967" s="47" t="n">
        <f aca="false">'Fault &amp; Downtime Entry'!J968</f>
        <v>0</v>
      </c>
      <c r="K967" s="47" t="n">
        <f aca="false">'Fault &amp; Downtime Entry'!K968</f>
        <v>0</v>
      </c>
      <c r="L967" s="47" t="n">
        <f aca="false">'Fault &amp; Downtime Entry'!L968</f>
        <v>0</v>
      </c>
      <c r="M967" s="47" t="str">
        <f aca="false">'Fault &amp; Downtime Entry'!M968</f>
        <v/>
      </c>
      <c r="N967" s="47" t="n">
        <f aca="false">'Fault &amp; Downtime Entry'!N968</f>
        <v>0</v>
      </c>
      <c r="O967" s="47" t="n">
        <f aca="false">'Fault &amp; Downtime Entry'!O968</f>
        <v>0</v>
      </c>
      <c r="P967" s="47" t="str">
        <f aca="false">IF(OR(J967="",K967=""),"",IFERROR(J967/K967*1000,0))</f>
        <v/>
      </c>
      <c r="Q967" s="47" t="str">
        <f aca="false">IF(OR(L967="",K967=""),"",IFERROR(L967/K967*1000,0))</f>
        <v/>
      </c>
      <c r="R967" s="47" t="str">
        <f aca="false">IF(OR(M967="High",M967="Critical"),"YES","")</f>
        <v/>
      </c>
    </row>
    <row r="968" customFormat="false" ht="15" hidden="false" customHeight="true" outlineLevel="0" collapsed="false">
      <c r="A968" s="47" t="n">
        <f aca="false">'Fault &amp; Downtime Entry'!A969</f>
        <v>964</v>
      </c>
      <c r="B968" s="48" t="n">
        <f aca="false">'Fault &amp; Downtime Entry'!B969</f>
        <v>0</v>
      </c>
      <c r="C968" s="47" t="n">
        <f aca="false">'Fault &amp; Downtime Entry'!C969</f>
        <v>0</v>
      </c>
      <c r="D968" s="47" t="n">
        <f aca="false">'Fault &amp; Downtime Entry'!D969</f>
        <v>0</v>
      </c>
      <c r="E968" s="47" t="n">
        <f aca="false">'Fault &amp; Downtime Entry'!E969</f>
        <v>0</v>
      </c>
      <c r="F968" s="47" t="str">
        <f aca="false">'Fault &amp; Downtime Entry'!F969</f>
        <v/>
      </c>
      <c r="G968" s="47" t="n">
        <f aca="false">'Fault &amp; Downtime Entry'!G969</f>
        <v>0</v>
      </c>
      <c r="H968" s="47" t="str">
        <f aca="false">'Fault &amp; Downtime Entry'!H969</f>
        <v/>
      </c>
      <c r="I968" s="47" t="str">
        <f aca="false">'Fault &amp; Downtime Entry'!I969</f>
        <v/>
      </c>
      <c r="J968" s="47" t="n">
        <f aca="false">'Fault &amp; Downtime Entry'!J969</f>
        <v>0</v>
      </c>
      <c r="K968" s="47" t="n">
        <f aca="false">'Fault &amp; Downtime Entry'!K969</f>
        <v>0</v>
      </c>
      <c r="L968" s="47" t="n">
        <f aca="false">'Fault &amp; Downtime Entry'!L969</f>
        <v>0</v>
      </c>
      <c r="M968" s="47" t="str">
        <f aca="false">'Fault &amp; Downtime Entry'!M969</f>
        <v/>
      </c>
      <c r="N968" s="47" t="n">
        <f aca="false">'Fault &amp; Downtime Entry'!N969</f>
        <v>0</v>
      </c>
      <c r="O968" s="47" t="n">
        <f aca="false">'Fault &amp; Downtime Entry'!O969</f>
        <v>0</v>
      </c>
      <c r="P968" s="47" t="str">
        <f aca="false">IF(OR(J968="",K968=""),"",IFERROR(J968/K968*1000,0))</f>
        <v/>
      </c>
      <c r="Q968" s="47" t="str">
        <f aca="false">IF(OR(L968="",K968=""),"",IFERROR(L968/K968*1000,0))</f>
        <v/>
      </c>
      <c r="R968" s="47" t="str">
        <f aca="false">IF(OR(M968="High",M968="Critical"),"YES","")</f>
        <v/>
      </c>
    </row>
    <row r="969" customFormat="false" ht="15" hidden="false" customHeight="true" outlineLevel="0" collapsed="false">
      <c r="A969" s="47" t="n">
        <f aca="false">'Fault &amp; Downtime Entry'!A970</f>
        <v>965</v>
      </c>
      <c r="B969" s="48" t="n">
        <f aca="false">'Fault &amp; Downtime Entry'!B970</f>
        <v>0</v>
      </c>
      <c r="C969" s="47" t="n">
        <f aca="false">'Fault &amp; Downtime Entry'!C970</f>
        <v>0</v>
      </c>
      <c r="D969" s="47" t="n">
        <f aca="false">'Fault &amp; Downtime Entry'!D970</f>
        <v>0</v>
      </c>
      <c r="E969" s="47" t="n">
        <f aca="false">'Fault &amp; Downtime Entry'!E970</f>
        <v>0</v>
      </c>
      <c r="F969" s="47" t="str">
        <f aca="false">'Fault &amp; Downtime Entry'!F970</f>
        <v/>
      </c>
      <c r="G969" s="47" t="n">
        <f aca="false">'Fault &amp; Downtime Entry'!G970</f>
        <v>0</v>
      </c>
      <c r="H969" s="47" t="str">
        <f aca="false">'Fault &amp; Downtime Entry'!H970</f>
        <v/>
      </c>
      <c r="I969" s="47" t="str">
        <f aca="false">'Fault &amp; Downtime Entry'!I970</f>
        <v/>
      </c>
      <c r="J969" s="47" t="n">
        <f aca="false">'Fault &amp; Downtime Entry'!J970</f>
        <v>0</v>
      </c>
      <c r="K969" s="47" t="n">
        <f aca="false">'Fault &amp; Downtime Entry'!K970</f>
        <v>0</v>
      </c>
      <c r="L969" s="47" t="n">
        <f aca="false">'Fault &amp; Downtime Entry'!L970</f>
        <v>0</v>
      </c>
      <c r="M969" s="47" t="str">
        <f aca="false">'Fault &amp; Downtime Entry'!M970</f>
        <v/>
      </c>
      <c r="N969" s="47" t="n">
        <f aca="false">'Fault &amp; Downtime Entry'!N970</f>
        <v>0</v>
      </c>
      <c r="O969" s="47" t="n">
        <f aca="false">'Fault &amp; Downtime Entry'!O970</f>
        <v>0</v>
      </c>
      <c r="P969" s="47" t="str">
        <f aca="false">IF(OR(J969="",K969=""),"",IFERROR(J969/K969*1000,0))</f>
        <v/>
      </c>
      <c r="Q969" s="47" t="str">
        <f aca="false">IF(OR(L969="",K969=""),"",IFERROR(L969/K969*1000,0))</f>
        <v/>
      </c>
      <c r="R969" s="47" t="str">
        <f aca="false">IF(OR(M969="High",M969="Critical"),"YES","")</f>
        <v/>
      </c>
    </row>
    <row r="970" customFormat="false" ht="15" hidden="false" customHeight="true" outlineLevel="0" collapsed="false">
      <c r="A970" s="47" t="n">
        <f aca="false">'Fault &amp; Downtime Entry'!A971</f>
        <v>966</v>
      </c>
      <c r="B970" s="48" t="n">
        <f aca="false">'Fault &amp; Downtime Entry'!B971</f>
        <v>0</v>
      </c>
      <c r="C970" s="47" t="n">
        <f aca="false">'Fault &amp; Downtime Entry'!C971</f>
        <v>0</v>
      </c>
      <c r="D970" s="47" t="n">
        <f aca="false">'Fault &amp; Downtime Entry'!D971</f>
        <v>0</v>
      </c>
      <c r="E970" s="47" t="n">
        <f aca="false">'Fault &amp; Downtime Entry'!E971</f>
        <v>0</v>
      </c>
      <c r="F970" s="47" t="str">
        <f aca="false">'Fault &amp; Downtime Entry'!F971</f>
        <v/>
      </c>
      <c r="G970" s="47" t="n">
        <f aca="false">'Fault &amp; Downtime Entry'!G971</f>
        <v>0</v>
      </c>
      <c r="H970" s="47" t="str">
        <f aca="false">'Fault &amp; Downtime Entry'!H971</f>
        <v/>
      </c>
      <c r="I970" s="47" t="str">
        <f aca="false">'Fault &amp; Downtime Entry'!I971</f>
        <v/>
      </c>
      <c r="J970" s="47" t="n">
        <f aca="false">'Fault &amp; Downtime Entry'!J971</f>
        <v>0</v>
      </c>
      <c r="K970" s="47" t="n">
        <f aca="false">'Fault &amp; Downtime Entry'!K971</f>
        <v>0</v>
      </c>
      <c r="L970" s="47" t="n">
        <f aca="false">'Fault &amp; Downtime Entry'!L971</f>
        <v>0</v>
      </c>
      <c r="M970" s="47" t="str">
        <f aca="false">'Fault &amp; Downtime Entry'!M971</f>
        <v/>
      </c>
      <c r="N970" s="47" t="n">
        <f aca="false">'Fault &amp; Downtime Entry'!N971</f>
        <v>0</v>
      </c>
      <c r="O970" s="47" t="n">
        <f aca="false">'Fault &amp; Downtime Entry'!O971</f>
        <v>0</v>
      </c>
      <c r="P970" s="47" t="str">
        <f aca="false">IF(OR(J970="",K970=""),"",IFERROR(J970/K970*1000,0))</f>
        <v/>
      </c>
      <c r="Q970" s="47" t="str">
        <f aca="false">IF(OR(L970="",K970=""),"",IFERROR(L970/K970*1000,0))</f>
        <v/>
      </c>
      <c r="R970" s="47" t="str">
        <f aca="false">IF(OR(M970="High",M970="Critical"),"YES","")</f>
        <v/>
      </c>
    </row>
    <row r="971" customFormat="false" ht="15" hidden="false" customHeight="true" outlineLevel="0" collapsed="false">
      <c r="A971" s="47" t="n">
        <f aca="false">'Fault &amp; Downtime Entry'!A972</f>
        <v>967</v>
      </c>
      <c r="B971" s="48" t="n">
        <f aca="false">'Fault &amp; Downtime Entry'!B972</f>
        <v>0</v>
      </c>
      <c r="C971" s="47" t="n">
        <f aca="false">'Fault &amp; Downtime Entry'!C972</f>
        <v>0</v>
      </c>
      <c r="D971" s="47" t="n">
        <f aca="false">'Fault &amp; Downtime Entry'!D972</f>
        <v>0</v>
      </c>
      <c r="E971" s="47" t="n">
        <f aca="false">'Fault &amp; Downtime Entry'!E972</f>
        <v>0</v>
      </c>
      <c r="F971" s="47" t="str">
        <f aca="false">'Fault &amp; Downtime Entry'!F972</f>
        <v/>
      </c>
      <c r="G971" s="47" t="n">
        <f aca="false">'Fault &amp; Downtime Entry'!G972</f>
        <v>0</v>
      </c>
      <c r="H971" s="47" t="str">
        <f aca="false">'Fault &amp; Downtime Entry'!H972</f>
        <v/>
      </c>
      <c r="I971" s="47" t="str">
        <f aca="false">'Fault &amp; Downtime Entry'!I972</f>
        <v/>
      </c>
      <c r="J971" s="47" t="n">
        <f aca="false">'Fault &amp; Downtime Entry'!J972</f>
        <v>0</v>
      </c>
      <c r="K971" s="47" t="n">
        <f aca="false">'Fault &amp; Downtime Entry'!K972</f>
        <v>0</v>
      </c>
      <c r="L971" s="47" t="n">
        <f aca="false">'Fault &amp; Downtime Entry'!L972</f>
        <v>0</v>
      </c>
      <c r="M971" s="47" t="str">
        <f aca="false">'Fault &amp; Downtime Entry'!M972</f>
        <v/>
      </c>
      <c r="N971" s="47" t="n">
        <f aca="false">'Fault &amp; Downtime Entry'!N972</f>
        <v>0</v>
      </c>
      <c r="O971" s="47" t="n">
        <f aca="false">'Fault &amp; Downtime Entry'!O972</f>
        <v>0</v>
      </c>
      <c r="P971" s="47" t="str">
        <f aca="false">IF(OR(J971="",K971=""),"",IFERROR(J971/K971*1000,0))</f>
        <v/>
      </c>
      <c r="Q971" s="47" t="str">
        <f aca="false">IF(OR(L971="",K971=""),"",IFERROR(L971/K971*1000,0))</f>
        <v/>
      </c>
      <c r="R971" s="47" t="str">
        <f aca="false">IF(OR(M971="High",M971="Critical"),"YES","")</f>
        <v/>
      </c>
    </row>
    <row r="972" customFormat="false" ht="15" hidden="false" customHeight="true" outlineLevel="0" collapsed="false">
      <c r="A972" s="47" t="n">
        <f aca="false">'Fault &amp; Downtime Entry'!A973</f>
        <v>968</v>
      </c>
      <c r="B972" s="48" t="n">
        <f aca="false">'Fault &amp; Downtime Entry'!B973</f>
        <v>0</v>
      </c>
      <c r="C972" s="47" t="n">
        <f aca="false">'Fault &amp; Downtime Entry'!C973</f>
        <v>0</v>
      </c>
      <c r="D972" s="47" t="n">
        <f aca="false">'Fault &amp; Downtime Entry'!D973</f>
        <v>0</v>
      </c>
      <c r="E972" s="47" t="n">
        <f aca="false">'Fault &amp; Downtime Entry'!E973</f>
        <v>0</v>
      </c>
      <c r="F972" s="47" t="str">
        <f aca="false">'Fault &amp; Downtime Entry'!F973</f>
        <v/>
      </c>
      <c r="G972" s="47" t="n">
        <f aca="false">'Fault &amp; Downtime Entry'!G973</f>
        <v>0</v>
      </c>
      <c r="H972" s="47" t="str">
        <f aca="false">'Fault &amp; Downtime Entry'!H973</f>
        <v/>
      </c>
      <c r="I972" s="47" t="str">
        <f aca="false">'Fault &amp; Downtime Entry'!I973</f>
        <v/>
      </c>
      <c r="J972" s="47" t="n">
        <f aca="false">'Fault &amp; Downtime Entry'!J973</f>
        <v>0</v>
      </c>
      <c r="K972" s="47" t="n">
        <f aca="false">'Fault &amp; Downtime Entry'!K973</f>
        <v>0</v>
      </c>
      <c r="L972" s="47" t="n">
        <f aca="false">'Fault &amp; Downtime Entry'!L973</f>
        <v>0</v>
      </c>
      <c r="M972" s="47" t="str">
        <f aca="false">'Fault &amp; Downtime Entry'!M973</f>
        <v/>
      </c>
      <c r="N972" s="47" t="n">
        <f aca="false">'Fault &amp; Downtime Entry'!N973</f>
        <v>0</v>
      </c>
      <c r="O972" s="47" t="n">
        <f aca="false">'Fault &amp; Downtime Entry'!O973</f>
        <v>0</v>
      </c>
      <c r="P972" s="47" t="str">
        <f aca="false">IF(OR(J972="",K972=""),"",IFERROR(J972/K972*1000,0))</f>
        <v/>
      </c>
      <c r="Q972" s="47" t="str">
        <f aca="false">IF(OR(L972="",K972=""),"",IFERROR(L972/K972*1000,0))</f>
        <v/>
      </c>
      <c r="R972" s="47" t="str">
        <f aca="false">IF(OR(M972="High",M972="Critical"),"YES","")</f>
        <v/>
      </c>
    </row>
    <row r="973" customFormat="false" ht="15" hidden="false" customHeight="true" outlineLevel="0" collapsed="false">
      <c r="A973" s="47" t="n">
        <f aca="false">'Fault &amp; Downtime Entry'!A974</f>
        <v>969</v>
      </c>
      <c r="B973" s="48" t="n">
        <f aca="false">'Fault &amp; Downtime Entry'!B974</f>
        <v>0</v>
      </c>
      <c r="C973" s="47" t="n">
        <f aca="false">'Fault &amp; Downtime Entry'!C974</f>
        <v>0</v>
      </c>
      <c r="D973" s="47" t="n">
        <f aca="false">'Fault &amp; Downtime Entry'!D974</f>
        <v>0</v>
      </c>
      <c r="E973" s="47" t="n">
        <f aca="false">'Fault &amp; Downtime Entry'!E974</f>
        <v>0</v>
      </c>
      <c r="F973" s="47" t="str">
        <f aca="false">'Fault &amp; Downtime Entry'!F974</f>
        <v/>
      </c>
      <c r="G973" s="47" t="n">
        <f aca="false">'Fault &amp; Downtime Entry'!G974</f>
        <v>0</v>
      </c>
      <c r="H973" s="47" t="str">
        <f aca="false">'Fault &amp; Downtime Entry'!H974</f>
        <v/>
      </c>
      <c r="I973" s="47" t="str">
        <f aca="false">'Fault &amp; Downtime Entry'!I974</f>
        <v/>
      </c>
      <c r="J973" s="47" t="n">
        <f aca="false">'Fault &amp; Downtime Entry'!J974</f>
        <v>0</v>
      </c>
      <c r="K973" s="47" t="n">
        <f aca="false">'Fault &amp; Downtime Entry'!K974</f>
        <v>0</v>
      </c>
      <c r="L973" s="47" t="n">
        <f aca="false">'Fault &amp; Downtime Entry'!L974</f>
        <v>0</v>
      </c>
      <c r="M973" s="47" t="str">
        <f aca="false">'Fault &amp; Downtime Entry'!M974</f>
        <v/>
      </c>
      <c r="N973" s="47" t="n">
        <f aca="false">'Fault &amp; Downtime Entry'!N974</f>
        <v>0</v>
      </c>
      <c r="O973" s="47" t="n">
        <f aca="false">'Fault &amp; Downtime Entry'!O974</f>
        <v>0</v>
      </c>
      <c r="P973" s="47" t="str">
        <f aca="false">IF(OR(J973="",K973=""),"",IFERROR(J973/K973*1000,0))</f>
        <v/>
      </c>
      <c r="Q973" s="47" t="str">
        <f aca="false">IF(OR(L973="",K973=""),"",IFERROR(L973/K973*1000,0))</f>
        <v/>
      </c>
      <c r="R973" s="47" t="str">
        <f aca="false">IF(OR(M973="High",M973="Critical"),"YES","")</f>
        <v/>
      </c>
    </row>
    <row r="974" customFormat="false" ht="15" hidden="false" customHeight="true" outlineLevel="0" collapsed="false">
      <c r="A974" s="47" t="n">
        <f aca="false">'Fault &amp; Downtime Entry'!A975</f>
        <v>970</v>
      </c>
      <c r="B974" s="48" t="n">
        <f aca="false">'Fault &amp; Downtime Entry'!B975</f>
        <v>0</v>
      </c>
      <c r="C974" s="47" t="n">
        <f aca="false">'Fault &amp; Downtime Entry'!C975</f>
        <v>0</v>
      </c>
      <c r="D974" s="47" t="n">
        <f aca="false">'Fault &amp; Downtime Entry'!D975</f>
        <v>0</v>
      </c>
      <c r="E974" s="47" t="n">
        <f aca="false">'Fault &amp; Downtime Entry'!E975</f>
        <v>0</v>
      </c>
      <c r="F974" s="47" t="str">
        <f aca="false">'Fault &amp; Downtime Entry'!F975</f>
        <v/>
      </c>
      <c r="G974" s="47" t="n">
        <f aca="false">'Fault &amp; Downtime Entry'!G975</f>
        <v>0</v>
      </c>
      <c r="H974" s="47" t="str">
        <f aca="false">'Fault &amp; Downtime Entry'!H975</f>
        <v/>
      </c>
      <c r="I974" s="47" t="str">
        <f aca="false">'Fault &amp; Downtime Entry'!I975</f>
        <v/>
      </c>
      <c r="J974" s="47" t="n">
        <f aca="false">'Fault &amp; Downtime Entry'!J975</f>
        <v>0</v>
      </c>
      <c r="K974" s="47" t="n">
        <f aca="false">'Fault &amp; Downtime Entry'!K975</f>
        <v>0</v>
      </c>
      <c r="L974" s="47" t="n">
        <f aca="false">'Fault &amp; Downtime Entry'!L975</f>
        <v>0</v>
      </c>
      <c r="M974" s="47" t="str">
        <f aca="false">'Fault &amp; Downtime Entry'!M975</f>
        <v/>
      </c>
      <c r="N974" s="47" t="n">
        <f aca="false">'Fault &amp; Downtime Entry'!N975</f>
        <v>0</v>
      </c>
      <c r="O974" s="47" t="n">
        <f aca="false">'Fault &amp; Downtime Entry'!O975</f>
        <v>0</v>
      </c>
      <c r="P974" s="47" t="str">
        <f aca="false">IF(OR(J974="",K974=""),"",IFERROR(J974/K974*1000,0))</f>
        <v/>
      </c>
      <c r="Q974" s="47" t="str">
        <f aca="false">IF(OR(L974="",K974=""),"",IFERROR(L974/K974*1000,0))</f>
        <v/>
      </c>
      <c r="R974" s="47" t="str">
        <f aca="false">IF(OR(M974="High",M974="Critical"),"YES","")</f>
        <v/>
      </c>
    </row>
    <row r="975" customFormat="false" ht="15" hidden="false" customHeight="true" outlineLevel="0" collapsed="false">
      <c r="A975" s="47" t="n">
        <f aca="false">'Fault &amp; Downtime Entry'!A976</f>
        <v>971</v>
      </c>
      <c r="B975" s="48" t="n">
        <f aca="false">'Fault &amp; Downtime Entry'!B976</f>
        <v>0</v>
      </c>
      <c r="C975" s="47" t="n">
        <f aca="false">'Fault &amp; Downtime Entry'!C976</f>
        <v>0</v>
      </c>
      <c r="D975" s="47" t="n">
        <f aca="false">'Fault &amp; Downtime Entry'!D976</f>
        <v>0</v>
      </c>
      <c r="E975" s="47" t="n">
        <f aca="false">'Fault &amp; Downtime Entry'!E976</f>
        <v>0</v>
      </c>
      <c r="F975" s="47" t="str">
        <f aca="false">'Fault &amp; Downtime Entry'!F976</f>
        <v/>
      </c>
      <c r="G975" s="47" t="n">
        <f aca="false">'Fault &amp; Downtime Entry'!G976</f>
        <v>0</v>
      </c>
      <c r="H975" s="47" t="str">
        <f aca="false">'Fault &amp; Downtime Entry'!H976</f>
        <v/>
      </c>
      <c r="I975" s="47" t="str">
        <f aca="false">'Fault &amp; Downtime Entry'!I976</f>
        <v/>
      </c>
      <c r="J975" s="47" t="n">
        <f aca="false">'Fault &amp; Downtime Entry'!J976</f>
        <v>0</v>
      </c>
      <c r="K975" s="47" t="n">
        <f aca="false">'Fault &amp; Downtime Entry'!K976</f>
        <v>0</v>
      </c>
      <c r="L975" s="47" t="n">
        <f aca="false">'Fault &amp; Downtime Entry'!L976</f>
        <v>0</v>
      </c>
      <c r="M975" s="47" t="str">
        <f aca="false">'Fault &amp; Downtime Entry'!M976</f>
        <v/>
      </c>
      <c r="N975" s="47" t="n">
        <f aca="false">'Fault &amp; Downtime Entry'!N976</f>
        <v>0</v>
      </c>
      <c r="O975" s="47" t="n">
        <f aca="false">'Fault &amp; Downtime Entry'!O976</f>
        <v>0</v>
      </c>
      <c r="P975" s="47" t="str">
        <f aca="false">IF(OR(J975="",K975=""),"",IFERROR(J975/K975*1000,0))</f>
        <v/>
      </c>
      <c r="Q975" s="47" t="str">
        <f aca="false">IF(OR(L975="",K975=""),"",IFERROR(L975/K975*1000,0))</f>
        <v/>
      </c>
      <c r="R975" s="47" t="str">
        <f aca="false">IF(OR(M975="High",M975="Critical"),"YES","")</f>
        <v/>
      </c>
    </row>
    <row r="976" customFormat="false" ht="15" hidden="false" customHeight="true" outlineLevel="0" collapsed="false">
      <c r="A976" s="47" t="n">
        <f aca="false">'Fault &amp; Downtime Entry'!A977</f>
        <v>972</v>
      </c>
      <c r="B976" s="48" t="n">
        <f aca="false">'Fault &amp; Downtime Entry'!B977</f>
        <v>0</v>
      </c>
      <c r="C976" s="47" t="n">
        <f aca="false">'Fault &amp; Downtime Entry'!C977</f>
        <v>0</v>
      </c>
      <c r="D976" s="47" t="n">
        <f aca="false">'Fault &amp; Downtime Entry'!D977</f>
        <v>0</v>
      </c>
      <c r="E976" s="47" t="n">
        <f aca="false">'Fault &amp; Downtime Entry'!E977</f>
        <v>0</v>
      </c>
      <c r="F976" s="47" t="str">
        <f aca="false">'Fault &amp; Downtime Entry'!F977</f>
        <v/>
      </c>
      <c r="G976" s="47" t="n">
        <f aca="false">'Fault &amp; Downtime Entry'!G977</f>
        <v>0</v>
      </c>
      <c r="H976" s="47" t="str">
        <f aca="false">'Fault &amp; Downtime Entry'!H977</f>
        <v/>
      </c>
      <c r="I976" s="47" t="str">
        <f aca="false">'Fault &amp; Downtime Entry'!I977</f>
        <v/>
      </c>
      <c r="J976" s="47" t="n">
        <f aca="false">'Fault &amp; Downtime Entry'!J977</f>
        <v>0</v>
      </c>
      <c r="K976" s="47" t="n">
        <f aca="false">'Fault &amp; Downtime Entry'!K977</f>
        <v>0</v>
      </c>
      <c r="L976" s="47" t="n">
        <f aca="false">'Fault &amp; Downtime Entry'!L977</f>
        <v>0</v>
      </c>
      <c r="M976" s="47" t="str">
        <f aca="false">'Fault &amp; Downtime Entry'!M977</f>
        <v/>
      </c>
      <c r="N976" s="47" t="n">
        <f aca="false">'Fault &amp; Downtime Entry'!N977</f>
        <v>0</v>
      </c>
      <c r="O976" s="47" t="n">
        <f aca="false">'Fault &amp; Downtime Entry'!O977</f>
        <v>0</v>
      </c>
      <c r="P976" s="47" t="str">
        <f aca="false">IF(OR(J976="",K976=""),"",IFERROR(J976/K976*1000,0))</f>
        <v/>
      </c>
      <c r="Q976" s="47" t="str">
        <f aca="false">IF(OR(L976="",K976=""),"",IFERROR(L976/K976*1000,0))</f>
        <v/>
      </c>
      <c r="R976" s="47" t="str">
        <f aca="false">IF(OR(M976="High",M976="Critical"),"YES","")</f>
        <v/>
      </c>
    </row>
    <row r="977" customFormat="false" ht="15" hidden="false" customHeight="true" outlineLevel="0" collapsed="false">
      <c r="A977" s="47" t="n">
        <f aca="false">'Fault &amp; Downtime Entry'!A978</f>
        <v>973</v>
      </c>
      <c r="B977" s="48" t="n">
        <f aca="false">'Fault &amp; Downtime Entry'!B978</f>
        <v>0</v>
      </c>
      <c r="C977" s="47" t="n">
        <f aca="false">'Fault &amp; Downtime Entry'!C978</f>
        <v>0</v>
      </c>
      <c r="D977" s="47" t="n">
        <f aca="false">'Fault &amp; Downtime Entry'!D978</f>
        <v>0</v>
      </c>
      <c r="E977" s="47" t="n">
        <f aca="false">'Fault &amp; Downtime Entry'!E978</f>
        <v>0</v>
      </c>
      <c r="F977" s="47" t="str">
        <f aca="false">'Fault &amp; Downtime Entry'!F978</f>
        <v/>
      </c>
      <c r="G977" s="47" t="n">
        <f aca="false">'Fault &amp; Downtime Entry'!G978</f>
        <v>0</v>
      </c>
      <c r="H977" s="47" t="str">
        <f aca="false">'Fault &amp; Downtime Entry'!H978</f>
        <v/>
      </c>
      <c r="I977" s="47" t="str">
        <f aca="false">'Fault &amp; Downtime Entry'!I978</f>
        <v/>
      </c>
      <c r="J977" s="47" t="n">
        <f aca="false">'Fault &amp; Downtime Entry'!J978</f>
        <v>0</v>
      </c>
      <c r="K977" s="47" t="n">
        <f aca="false">'Fault &amp; Downtime Entry'!K978</f>
        <v>0</v>
      </c>
      <c r="L977" s="47" t="n">
        <f aca="false">'Fault &amp; Downtime Entry'!L978</f>
        <v>0</v>
      </c>
      <c r="M977" s="47" t="str">
        <f aca="false">'Fault &amp; Downtime Entry'!M978</f>
        <v/>
      </c>
      <c r="N977" s="47" t="n">
        <f aca="false">'Fault &amp; Downtime Entry'!N978</f>
        <v>0</v>
      </c>
      <c r="O977" s="47" t="n">
        <f aca="false">'Fault &amp; Downtime Entry'!O978</f>
        <v>0</v>
      </c>
      <c r="P977" s="47" t="str">
        <f aca="false">IF(OR(J977="",K977=""),"",IFERROR(J977/K977*1000,0))</f>
        <v/>
      </c>
      <c r="Q977" s="47" t="str">
        <f aca="false">IF(OR(L977="",K977=""),"",IFERROR(L977/K977*1000,0))</f>
        <v/>
      </c>
      <c r="R977" s="47" t="str">
        <f aca="false">IF(OR(M977="High",M977="Critical"),"YES","")</f>
        <v/>
      </c>
    </row>
    <row r="978" customFormat="false" ht="15" hidden="false" customHeight="true" outlineLevel="0" collapsed="false">
      <c r="A978" s="47" t="n">
        <f aca="false">'Fault &amp; Downtime Entry'!A979</f>
        <v>974</v>
      </c>
      <c r="B978" s="48" t="n">
        <f aca="false">'Fault &amp; Downtime Entry'!B979</f>
        <v>0</v>
      </c>
      <c r="C978" s="47" t="n">
        <f aca="false">'Fault &amp; Downtime Entry'!C979</f>
        <v>0</v>
      </c>
      <c r="D978" s="47" t="n">
        <f aca="false">'Fault &amp; Downtime Entry'!D979</f>
        <v>0</v>
      </c>
      <c r="E978" s="47" t="n">
        <f aca="false">'Fault &amp; Downtime Entry'!E979</f>
        <v>0</v>
      </c>
      <c r="F978" s="47" t="str">
        <f aca="false">'Fault &amp; Downtime Entry'!F979</f>
        <v/>
      </c>
      <c r="G978" s="47" t="n">
        <f aca="false">'Fault &amp; Downtime Entry'!G979</f>
        <v>0</v>
      </c>
      <c r="H978" s="47" t="str">
        <f aca="false">'Fault &amp; Downtime Entry'!H979</f>
        <v/>
      </c>
      <c r="I978" s="47" t="str">
        <f aca="false">'Fault &amp; Downtime Entry'!I979</f>
        <v/>
      </c>
      <c r="J978" s="47" t="n">
        <f aca="false">'Fault &amp; Downtime Entry'!J979</f>
        <v>0</v>
      </c>
      <c r="K978" s="47" t="n">
        <f aca="false">'Fault &amp; Downtime Entry'!K979</f>
        <v>0</v>
      </c>
      <c r="L978" s="47" t="n">
        <f aca="false">'Fault &amp; Downtime Entry'!L979</f>
        <v>0</v>
      </c>
      <c r="M978" s="47" t="str">
        <f aca="false">'Fault &amp; Downtime Entry'!M979</f>
        <v/>
      </c>
      <c r="N978" s="47" t="n">
        <f aca="false">'Fault &amp; Downtime Entry'!N979</f>
        <v>0</v>
      </c>
      <c r="O978" s="47" t="n">
        <f aca="false">'Fault &amp; Downtime Entry'!O979</f>
        <v>0</v>
      </c>
      <c r="P978" s="47" t="str">
        <f aca="false">IF(OR(J978="",K978=""),"",IFERROR(J978/K978*1000,0))</f>
        <v/>
      </c>
      <c r="Q978" s="47" t="str">
        <f aca="false">IF(OR(L978="",K978=""),"",IFERROR(L978/K978*1000,0))</f>
        <v/>
      </c>
      <c r="R978" s="47" t="str">
        <f aca="false">IF(OR(M978="High",M978="Critical"),"YES","")</f>
        <v/>
      </c>
    </row>
    <row r="979" customFormat="false" ht="15" hidden="false" customHeight="true" outlineLevel="0" collapsed="false">
      <c r="A979" s="47" t="n">
        <f aca="false">'Fault &amp; Downtime Entry'!A980</f>
        <v>975</v>
      </c>
      <c r="B979" s="48" t="n">
        <f aca="false">'Fault &amp; Downtime Entry'!B980</f>
        <v>0</v>
      </c>
      <c r="C979" s="47" t="n">
        <f aca="false">'Fault &amp; Downtime Entry'!C980</f>
        <v>0</v>
      </c>
      <c r="D979" s="47" t="n">
        <f aca="false">'Fault &amp; Downtime Entry'!D980</f>
        <v>0</v>
      </c>
      <c r="E979" s="47" t="n">
        <f aca="false">'Fault &amp; Downtime Entry'!E980</f>
        <v>0</v>
      </c>
      <c r="F979" s="47" t="str">
        <f aca="false">'Fault &amp; Downtime Entry'!F980</f>
        <v/>
      </c>
      <c r="G979" s="47" t="n">
        <f aca="false">'Fault &amp; Downtime Entry'!G980</f>
        <v>0</v>
      </c>
      <c r="H979" s="47" t="str">
        <f aca="false">'Fault &amp; Downtime Entry'!H980</f>
        <v/>
      </c>
      <c r="I979" s="47" t="str">
        <f aca="false">'Fault &amp; Downtime Entry'!I980</f>
        <v/>
      </c>
      <c r="J979" s="47" t="n">
        <f aca="false">'Fault &amp; Downtime Entry'!J980</f>
        <v>0</v>
      </c>
      <c r="K979" s="47" t="n">
        <f aca="false">'Fault &amp; Downtime Entry'!K980</f>
        <v>0</v>
      </c>
      <c r="L979" s="47" t="n">
        <f aca="false">'Fault &amp; Downtime Entry'!L980</f>
        <v>0</v>
      </c>
      <c r="M979" s="47" t="str">
        <f aca="false">'Fault &amp; Downtime Entry'!M980</f>
        <v/>
      </c>
      <c r="N979" s="47" t="n">
        <f aca="false">'Fault &amp; Downtime Entry'!N980</f>
        <v>0</v>
      </c>
      <c r="O979" s="47" t="n">
        <f aca="false">'Fault &amp; Downtime Entry'!O980</f>
        <v>0</v>
      </c>
      <c r="P979" s="47" t="str">
        <f aca="false">IF(OR(J979="",K979=""),"",IFERROR(J979/K979*1000,0))</f>
        <v/>
      </c>
      <c r="Q979" s="47" t="str">
        <f aca="false">IF(OR(L979="",K979=""),"",IFERROR(L979/K979*1000,0))</f>
        <v/>
      </c>
      <c r="R979" s="47" t="str">
        <f aca="false">IF(OR(M979="High",M979="Critical"),"YES","")</f>
        <v/>
      </c>
    </row>
    <row r="980" customFormat="false" ht="15" hidden="false" customHeight="true" outlineLevel="0" collapsed="false">
      <c r="A980" s="47" t="n">
        <f aca="false">'Fault &amp; Downtime Entry'!A981</f>
        <v>976</v>
      </c>
      <c r="B980" s="48" t="n">
        <f aca="false">'Fault &amp; Downtime Entry'!B981</f>
        <v>0</v>
      </c>
      <c r="C980" s="47" t="n">
        <f aca="false">'Fault &amp; Downtime Entry'!C981</f>
        <v>0</v>
      </c>
      <c r="D980" s="47" t="n">
        <f aca="false">'Fault &amp; Downtime Entry'!D981</f>
        <v>0</v>
      </c>
      <c r="E980" s="47" t="n">
        <f aca="false">'Fault &amp; Downtime Entry'!E981</f>
        <v>0</v>
      </c>
      <c r="F980" s="47" t="str">
        <f aca="false">'Fault &amp; Downtime Entry'!F981</f>
        <v/>
      </c>
      <c r="G980" s="47" t="n">
        <f aca="false">'Fault &amp; Downtime Entry'!G981</f>
        <v>0</v>
      </c>
      <c r="H980" s="47" t="str">
        <f aca="false">'Fault &amp; Downtime Entry'!H981</f>
        <v/>
      </c>
      <c r="I980" s="47" t="str">
        <f aca="false">'Fault &amp; Downtime Entry'!I981</f>
        <v/>
      </c>
      <c r="J980" s="47" t="n">
        <f aca="false">'Fault &amp; Downtime Entry'!J981</f>
        <v>0</v>
      </c>
      <c r="K980" s="47" t="n">
        <f aca="false">'Fault &amp; Downtime Entry'!K981</f>
        <v>0</v>
      </c>
      <c r="L980" s="47" t="n">
        <f aca="false">'Fault &amp; Downtime Entry'!L981</f>
        <v>0</v>
      </c>
      <c r="M980" s="47" t="str">
        <f aca="false">'Fault &amp; Downtime Entry'!M981</f>
        <v/>
      </c>
      <c r="N980" s="47" t="n">
        <f aca="false">'Fault &amp; Downtime Entry'!N981</f>
        <v>0</v>
      </c>
      <c r="O980" s="47" t="n">
        <f aca="false">'Fault &amp; Downtime Entry'!O981</f>
        <v>0</v>
      </c>
      <c r="P980" s="47" t="str">
        <f aca="false">IF(OR(J980="",K980=""),"",IFERROR(J980/K980*1000,0))</f>
        <v/>
      </c>
      <c r="Q980" s="47" t="str">
        <f aca="false">IF(OR(L980="",K980=""),"",IFERROR(L980/K980*1000,0))</f>
        <v/>
      </c>
      <c r="R980" s="47" t="str">
        <f aca="false">IF(OR(M980="High",M980="Critical"),"YES","")</f>
        <v/>
      </c>
    </row>
    <row r="981" customFormat="false" ht="15" hidden="false" customHeight="true" outlineLevel="0" collapsed="false">
      <c r="A981" s="47" t="n">
        <f aca="false">'Fault &amp; Downtime Entry'!A982</f>
        <v>977</v>
      </c>
      <c r="B981" s="48" t="n">
        <f aca="false">'Fault &amp; Downtime Entry'!B982</f>
        <v>0</v>
      </c>
      <c r="C981" s="47" t="n">
        <f aca="false">'Fault &amp; Downtime Entry'!C982</f>
        <v>0</v>
      </c>
      <c r="D981" s="47" t="n">
        <f aca="false">'Fault &amp; Downtime Entry'!D982</f>
        <v>0</v>
      </c>
      <c r="E981" s="47" t="n">
        <f aca="false">'Fault &amp; Downtime Entry'!E982</f>
        <v>0</v>
      </c>
      <c r="F981" s="47" t="str">
        <f aca="false">'Fault &amp; Downtime Entry'!F982</f>
        <v/>
      </c>
      <c r="G981" s="47" t="n">
        <f aca="false">'Fault &amp; Downtime Entry'!G982</f>
        <v>0</v>
      </c>
      <c r="H981" s="47" t="str">
        <f aca="false">'Fault &amp; Downtime Entry'!H982</f>
        <v/>
      </c>
      <c r="I981" s="47" t="str">
        <f aca="false">'Fault &amp; Downtime Entry'!I982</f>
        <v/>
      </c>
      <c r="J981" s="47" t="n">
        <f aca="false">'Fault &amp; Downtime Entry'!J982</f>
        <v>0</v>
      </c>
      <c r="K981" s="47" t="n">
        <f aca="false">'Fault &amp; Downtime Entry'!K982</f>
        <v>0</v>
      </c>
      <c r="L981" s="47" t="n">
        <f aca="false">'Fault &amp; Downtime Entry'!L982</f>
        <v>0</v>
      </c>
      <c r="M981" s="47" t="str">
        <f aca="false">'Fault &amp; Downtime Entry'!M982</f>
        <v/>
      </c>
      <c r="N981" s="47" t="n">
        <f aca="false">'Fault &amp; Downtime Entry'!N982</f>
        <v>0</v>
      </c>
      <c r="O981" s="47" t="n">
        <f aca="false">'Fault &amp; Downtime Entry'!O982</f>
        <v>0</v>
      </c>
      <c r="P981" s="47" t="str">
        <f aca="false">IF(OR(J981="",K981=""),"",IFERROR(J981/K981*1000,0))</f>
        <v/>
      </c>
      <c r="Q981" s="47" t="str">
        <f aca="false">IF(OR(L981="",K981=""),"",IFERROR(L981/K981*1000,0))</f>
        <v/>
      </c>
      <c r="R981" s="47" t="str">
        <f aca="false">IF(OR(M981="High",M981="Critical"),"YES","")</f>
        <v/>
      </c>
    </row>
    <row r="982" customFormat="false" ht="15" hidden="false" customHeight="true" outlineLevel="0" collapsed="false">
      <c r="A982" s="47" t="n">
        <f aca="false">'Fault &amp; Downtime Entry'!A983</f>
        <v>978</v>
      </c>
      <c r="B982" s="48" t="n">
        <f aca="false">'Fault &amp; Downtime Entry'!B983</f>
        <v>0</v>
      </c>
      <c r="C982" s="47" t="n">
        <f aca="false">'Fault &amp; Downtime Entry'!C983</f>
        <v>0</v>
      </c>
      <c r="D982" s="47" t="n">
        <f aca="false">'Fault &amp; Downtime Entry'!D983</f>
        <v>0</v>
      </c>
      <c r="E982" s="47" t="n">
        <f aca="false">'Fault &amp; Downtime Entry'!E983</f>
        <v>0</v>
      </c>
      <c r="F982" s="47" t="str">
        <f aca="false">'Fault &amp; Downtime Entry'!F983</f>
        <v/>
      </c>
      <c r="G982" s="47" t="n">
        <f aca="false">'Fault &amp; Downtime Entry'!G983</f>
        <v>0</v>
      </c>
      <c r="H982" s="47" t="str">
        <f aca="false">'Fault &amp; Downtime Entry'!H983</f>
        <v/>
      </c>
      <c r="I982" s="47" t="str">
        <f aca="false">'Fault &amp; Downtime Entry'!I983</f>
        <v/>
      </c>
      <c r="J982" s="47" t="n">
        <f aca="false">'Fault &amp; Downtime Entry'!J983</f>
        <v>0</v>
      </c>
      <c r="K982" s="47" t="n">
        <f aca="false">'Fault &amp; Downtime Entry'!K983</f>
        <v>0</v>
      </c>
      <c r="L982" s="47" t="n">
        <f aca="false">'Fault &amp; Downtime Entry'!L983</f>
        <v>0</v>
      </c>
      <c r="M982" s="47" t="str">
        <f aca="false">'Fault &amp; Downtime Entry'!M983</f>
        <v/>
      </c>
      <c r="N982" s="47" t="n">
        <f aca="false">'Fault &amp; Downtime Entry'!N983</f>
        <v>0</v>
      </c>
      <c r="O982" s="47" t="n">
        <f aca="false">'Fault &amp; Downtime Entry'!O983</f>
        <v>0</v>
      </c>
      <c r="P982" s="47" t="str">
        <f aca="false">IF(OR(J982="",K982=""),"",IFERROR(J982/K982*1000,0))</f>
        <v/>
      </c>
      <c r="Q982" s="47" t="str">
        <f aca="false">IF(OR(L982="",K982=""),"",IFERROR(L982/K982*1000,0))</f>
        <v/>
      </c>
      <c r="R982" s="47" t="str">
        <f aca="false">IF(OR(M982="High",M982="Critical"),"YES","")</f>
        <v/>
      </c>
    </row>
    <row r="983" customFormat="false" ht="15" hidden="false" customHeight="true" outlineLevel="0" collapsed="false">
      <c r="A983" s="47" t="n">
        <f aca="false">'Fault &amp; Downtime Entry'!A984</f>
        <v>979</v>
      </c>
      <c r="B983" s="48" t="n">
        <f aca="false">'Fault &amp; Downtime Entry'!B984</f>
        <v>0</v>
      </c>
      <c r="C983" s="47" t="n">
        <f aca="false">'Fault &amp; Downtime Entry'!C984</f>
        <v>0</v>
      </c>
      <c r="D983" s="47" t="n">
        <f aca="false">'Fault &amp; Downtime Entry'!D984</f>
        <v>0</v>
      </c>
      <c r="E983" s="47" t="n">
        <f aca="false">'Fault &amp; Downtime Entry'!E984</f>
        <v>0</v>
      </c>
      <c r="F983" s="47" t="str">
        <f aca="false">'Fault &amp; Downtime Entry'!F984</f>
        <v/>
      </c>
      <c r="G983" s="47" t="n">
        <f aca="false">'Fault &amp; Downtime Entry'!G984</f>
        <v>0</v>
      </c>
      <c r="H983" s="47" t="str">
        <f aca="false">'Fault &amp; Downtime Entry'!H984</f>
        <v/>
      </c>
      <c r="I983" s="47" t="str">
        <f aca="false">'Fault &amp; Downtime Entry'!I984</f>
        <v/>
      </c>
      <c r="J983" s="47" t="n">
        <f aca="false">'Fault &amp; Downtime Entry'!J984</f>
        <v>0</v>
      </c>
      <c r="K983" s="47" t="n">
        <f aca="false">'Fault &amp; Downtime Entry'!K984</f>
        <v>0</v>
      </c>
      <c r="L983" s="47" t="n">
        <f aca="false">'Fault &amp; Downtime Entry'!L984</f>
        <v>0</v>
      </c>
      <c r="M983" s="47" t="str">
        <f aca="false">'Fault &amp; Downtime Entry'!M984</f>
        <v/>
      </c>
      <c r="N983" s="47" t="n">
        <f aca="false">'Fault &amp; Downtime Entry'!N984</f>
        <v>0</v>
      </c>
      <c r="O983" s="47" t="n">
        <f aca="false">'Fault &amp; Downtime Entry'!O984</f>
        <v>0</v>
      </c>
      <c r="P983" s="47" t="str">
        <f aca="false">IF(OR(J983="",K983=""),"",IFERROR(J983/K983*1000,0))</f>
        <v/>
      </c>
      <c r="Q983" s="47" t="str">
        <f aca="false">IF(OR(L983="",K983=""),"",IFERROR(L983/K983*1000,0))</f>
        <v/>
      </c>
      <c r="R983" s="47" t="str">
        <f aca="false">IF(OR(M983="High",M983="Critical"),"YES","")</f>
        <v/>
      </c>
    </row>
    <row r="984" customFormat="false" ht="15" hidden="false" customHeight="true" outlineLevel="0" collapsed="false">
      <c r="A984" s="47" t="n">
        <f aca="false">'Fault &amp; Downtime Entry'!A985</f>
        <v>980</v>
      </c>
      <c r="B984" s="48" t="n">
        <f aca="false">'Fault &amp; Downtime Entry'!B985</f>
        <v>0</v>
      </c>
      <c r="C984" s="47" t="n">
        <f aca="false">'Fault &amp; Downtime Entry'!C985</f>
        <v>0</v>
      </c>
      <c r="D984" s="47" t="n">
        <f aca="false">'Fault &amp; Downtime Entry'!D985</f>
        <v>0</v>
      </c>
      <c r="E984" s="47" t="n">
        <f aca="false">'Fault &amp; Downtime Entry'!E985</f>
        <v>0</v>
      </c>
      <c r="F984" s="47" t="str">
        <f aca="false">'Fault &amp; Downtime Entry'!F985</f>
        <v/>
      </c>
      <c r="G984" s="47" t="n">
        <f aca="false">'Fault &amp; Downtime Entry'!G985</f>
        <v>0</v>
      </c>
      <c r="H984" s="47" t="str">
        <f aca="false">'Fault &amp; Downtime Entry'!H985</f>
        <v/>
      </c>
      <c r="I984" s="47" t="str">
        <f aca="false">'Fault &amp; Downtime Entry'!I985</f>
        <v/>
      </c>
      <c r="J984" s="47" t="n">
        <f aca="false">'Fault &amp; Downtime Entry'!J985</f>
        <v>0</v>
      </c>
      <c r="K984" s="47" t="n">
        <f aca="false">'Fault &amp; Downtime Entry'!K985</f>
        <v>0</v>
      </c>
      <c r="L984" s="47" t="n">
        <f aca="false">'Fault &amp; Downtime Entry'!L985</f>
        <v>0</v>
      </c>
      <c r="M984" s="47" t="str">
        <f aca="false">'Fault &amp; Downtime Entry'!M985</f>
        <v/>
      </c>
      <c r="N984" s="47" t="n">
        <f aca="false">'Fault &amp; Downtime Entry'!N985</f>
        <v>0</v>
      </c>
      <c r="O984" s="47" t="n">
        <f aca="false">'Fault &amp; Downtime Entry'!O985</f>
        <v>0</v>
      </c>
      <c r="P984" s="47" t="str">
        <f aca="false">IF(OR(J984="",K984=""),"",IFERROR(J984/K984*1000,0))</f>
        <v/>
      </c>
      <c r="Q984" s="47" t="str">
        <f aca="false">IF(OR(L984="",K984=""),"",IFERROR(L984/K984*1000,0))</f>
        <v/>
      </c>
      <c r="R984" s="47" t="str">
        <f aca="false">IF(OR(M984="High",M984="Critical"),"YES","")</f>
        <v/>
      </c>
    </row>
    <row r="985" customFormat="false" ht="15" hidden="false" customHeight="true" outlineLevel="0" collapsed="false">
      <c r="A985" s="47" t="n">
        <f aca="false">'Fault &amp; Downtime Entry'!A986</f>
        <v>981</v>
      </c>
      <c r="B985" s="48" t="n">
        <f aca="false">'Fault &amp; Downtime Entry'!B986</f>
        <v>0</v>
      </c>
      <c r="C985" s="47" t="n">
        <f aca="false">'Fault &amp; Downtime Entry'!C986</f>
        <v>0</v>
      </c>
      <c r="D985" s="47" t="n">
        <f aca="false">'Fault &amp; Downtime Entry'!D986</f>
        <v>0</v>
      </c>
      <c r="E985" s="47" t="n">
        <f aca="false">'Fault &amp; Downtime Entry'!E986</f>
        <v>0</v>
      </c>
      <c r="F985" s="47" t="str">
        <f aca="false">'Fault &amp; Downtime Entry'!F986</f>
        <v/>
      </c>
      <c r="G985" s="47" t="n">
        <f aca="false">'Fault &amp; Downtime Entry'!G986</f>
        <v>0</v>
      </c>
      <c r="H985" s="47" t="str">
        <f aca="false">'Fault &amp; Downtime Entry'!H986</f>
        <v/>
      </c>
      <c r="I985" s="47" t="str">
        <f aca="false">'Fault &amp; Downtime Entry'!I986</f>
        <v/>
      </c>
      <c r="J985" s="47" t="n">
        <f aca="false">'Fault &amp; Downtime Entry'!J986</f>
        <v>0</v>
      </c>
      <c r="K985" s="47" t="n">
        <f aca="false">'Fault &amp; Downtime Entry'!K986</f>
        <v>0</v>
      </c>
      <c r="L985" s="47" t="n">
        <f aca="false">'Fault &amp; Downtime Entry'!L986</f>
        <v>0</v>
      </c>
      <c r="M985" s="47" t="str">
        <f aca="false">'Fault &amp; Downtime Entry'!M986</f>
        <v/>
      </c>
      <c r="N985" s="47" t="n">
        <f aca="false">'Fault &amp; Downtime Entry'!N986</f>
        <v>0</v>
      </c>
      <c r="O985" s="47" t="n">
        <f aca="false">'Fault &amp; Downtime Entry'!O986</f>
        <v>0</v>
      </c>
      <c r="P985" s="47" t="str">
        <f aca="false">IF(OR(J985="",K985=""),"",IFERROR(J985/K985*1000,0))</f>
        <v/>
      </c>
      <c r="Q985" s="47" t="str">
        <f aca="false">IF(OR(L985="",K985=""),"",IFERROR(L985/K985*1000,0))</f>
        <v/>
      </c>
      <c r="R985" s="47" t="str">
        <f aca="false">IF(OR(M985="High",M985="Critical"),"YES","")</f>
        <v/>
      </c>
    </row>
    <row r="986" customFormat="false" ht="15" hidden="false" customHeight="true" outlineLevel="0" collapsed="false">
      <c r="A986" s="47" t="n">
        <f aca="false">'Fault &amp; Downtime Entry'!A987</f>
        <v>982</v>
      </c>
      <c r="B986" s="48" t="n">
        <f aca="false">'Fault &amp; Downtime Entry'!B987</f>
        <v>0</v>
      </c>
      <c r="C986" s="47" t="n">
        <f aca="false">'Fault &amp; Downtime Entry'!C987</f>
        <v>0</v>
      </c>
      <c r="D986" s="47" t="n">
        <f aca="false">'Fault &amp; Downtime Entry'!D987</f>
        <v>0</v>
      </c>
      <c r="E986" s="47" t="n">
        <f aca="false">'Fault &amp; Downtime Entry'!E987</f>
        <v>0</v>
      </c>
      <c r="F986" s="47" t="str">
        <f aca="false">'Fault &amp; Downtime Entry'!F987</f>
        <v/>
      </c>
      <c r="G986" s="47" t="n">
        <f aca="false">'Fault &amp; Downtime Entry'!G987</f>
        <v>0</v>
      </c>
      <c r="H986" s="47" t="str">
        <f aca="false">'Fault &amp; Downtime Entry'!H987</f>
        <v/>
      </c>
      <c r="I986" s="47" t="str">
        <f aca="false">'Fault &amp; Downtime Entry'!I987</f>
        <v/>
      </c>
      <c r="J986" s="47" t="n">
        <f aca="false">'Fault &amp; Downtime Entry'!J987</f>
        <v>0</v>
      </c>
      <c r="K986" s="47" t="n">
        <f aca="false">'Fault &amp; Downtime Entry'!K987</f>
        <v>0</v>
      </c>
      <c r="L986" s="47" t="n">
        <f aca="false">'Fault &amp; Downtime Entry'!L987</f>
        <v>0</v>
      </c>
      <c r="M986" s="47" t="str">
        <f aca="false">'Fault &amp; Downtime Entry'!M987</f>
        <v/>
      </c>
      <c r="N986" s="47" t="n">
        <f aca="false">'Fault &amp; Downtime Entry'!N987</f>
        <v>0</v>
      </c>
      <c r="O986" s="47" t="n">
        <f aca="false">'Fault &amp; Downtime Entry'!O987</f>
        <v>0</v>
      </c>
      <c r="P986" s="47" t="str">
        <f aca="false">IF(OR(J986="",K986=""),"",IFERROR(J986/K986*1000,0))</f>
        <v/>
      </c>
      <c r="Q986" s="47" t="str">
        <f aca="false">IF(OR(L986="",K986=""),"",IFERROR(L986/K986*1000,0))</f>
        <v/>
      </c>
      <c r="R986" s="47" t="str">
        <f aca="false">IF(OR(M986="High",M986="Critical"),"YES","")</f>
        <v/>
      </c>
    </row>
    <row r="987" customFormat="false" ht="15" hidden="false" customHeight="true" outlineLevel="0" collapsed="false">
      <c r="A987" s="47" t="n">
        <f aca="false">'Fault &amp; Downtime Entry'!A988</f>
        <v>983</v>
      </c>
      <c r="B987" s="48" t="n">
        <f aca="false">'Fault &amp; Downtime Entry'!B988</f>
        <v>0</v>
      </c>
      <c r="C987" s="47" t="n">
        <f aca="false">'Fault &amp; Downtime Entry'!C988</f>
        <v>0</v>
      </c>
      <c r="D987" s="47" t="n">
        <f aca="false">'Fault &amp; Downtime Entry'!D988</f>
        <v>0</v>
      </c>
      <c r="E987" s="47" t="n">
        <f aca="false">'Fault &amp; Downtime Entry'!E988</f>
        <v>0</v>
      </c>
      <c r="F987" s="47" t="str">
        <f aca="false">'Fault &amp; Downtime Entry'!F988</f>
        <v/>
      </c>
      <c r="G987" s="47" t="n">
        <f aca="false">'Fault &amp; Downtime Entry'!G988</f>
        <v>0</v>
      </c>
      <c r="H987" s="47" t="str">
        <f aca="false">'Fault &amp; Downtime Entry'!H988</f>
        <v/>
      </c>
      <c r="I987" s="47" t="str">
        <f aca="false">'Fault &amp; Downtime Entry'!I988</f>
        <v/>
      </c>
      <c r="J987" s="47" t="n">
        <f aca="false">'Fault &amp; Downtime Entry'!J988</f>
        <v>0</v>
      </c>
      <c r="K987" s="47" t="n">
        <f aca="false">'Fault &amp; Downtime Entry'!K988</f>
        <v>0</v>
      </c>
      <c r="L987" s="47" t="n">
        <f aca="false">'Fault &amp; Downtime Entry'!L988</f>
        <v>0</v>
      </c>
      <c r="M987" s="47" t="str">
        <f aca="false">'Fault &amp; Downtime Entry'!M988</f>
        <v/>
      </c>
      <c r="N987" s="47" t="n">
        <f aca="false">'Fault &amp; Downtime Entry'!N988</f>
        <v>0</v>
      </c>
      <c r="O987" s="47" t="n">
        <f aca="false">'Fault &amp; Downtime Entry'!O988</f>
        <v>0</v>
      </c>
      <c r="P987" s="47" t="str">
        <f aca="false">IF(OR(J987="",K987=""),"",IFERROR(J987/K987*1000,0))</f>
        <v/>
      </c>
      <c r="Q987" s="47" t="str">
        <f aca="false">IF(OR(L987="",K987=""),"",IFERROR(L987/K987*1000,0))</f>
        <v/>
      </c>
      <c r="R987" s="47" t="str">
        <f aca="false">IF(OR(M987="High",M987="Critical"),"YES","")</f>
        <v/>
      </c>
    </row>
    <row r="988" customFormat="false" ht="15" hidden="false" customHeight="true" outlineLevel="0" collapsed="false">
      <c r="A988" s="47" t="n">
        <f aca="false">'Fault &amp; Downtime Entry'!A989</f>
        <v>984</v>
      </c>
      <c r="B988" s="48" t="n">
        <f aca="false">'Fault &amp; Downtime Entry'!B989</f>
        <v>0</v>
      </c>
      <c r="C988" s="47" t="n">
        <f aca="false">'Fault &amp; Downtime Entry'!C989</f>
        <v>0</v>
      </c>
      <c r="D988" s="47" t="n">
        <f aca="false">'Fault &amp; Downtime Entry'!D989</f>
        <v>0</v>
      </c>
      <c r="E988" s="47" t="n">
        <f aca="false">'Fault &amp; Downtime Entry'!E989</f>
        <v>0</v>
      </c>
      <c r="F988" s="47" t="str">
        <f aca="false">'Fault &amp; Downtime Entry'!F989</f>
        <v/>
      </c>
      <c r="G988" s="47" t="n">
        <f aca="false">'Fault &amp; Downtime Entry'!G989</f>
        <v>0</v>
      </c>
      <c r="H988" s="47" t="str">
        <f aca="false">'Fault &amp; Downtime Entry'!H989</f>
        <v/>
      </c>
      <c r="I988" s="47" t="str">
        <f aca="false">'Fault &amp; Downtime Entry'!I989</f>
        <v/>
      </c>
      <c r="J988" s="47" t="n">
        <f aca="false">'Fault &amp; Downtime Entry'!J989</f>
        <v>0</v>
      </c>
      <c r="K988" s="47" t="n">
        <f aca="false">'Fault &amp; Downtime Entry'!K989</f>
        <v>0</v>
      </c>
      <c r="L988" s="47" t="n">
        <f aca="false">'Fault &amp; Downtime Entry'!L989</f>
        <v>0</v>
      </c>
      <c r="M988" s="47" t="str">
        <f aca="false">'Fault &amp; Downtime Entry'!M989</f>
        <v/>
      </c>
      <c r="N988" s="47" t="n">
        <f aca="false">'Fault &amp; Downtime Entry'!N989</f>
        <v>0</v>
      </c>
      <c r="O988" s="47" t="n">
        <f aca="false">'Fault &amp; Downtime Entry'!O989</f>
        <v>0</v>
      </c>
      <c r="P988" s="47" t="str">
        <f aca="false">IF(OR(J988="",K988=""),"",IFERROR(J988/K988*1000,0))</f>
        <v/>
      </c>
      <c r="Q988" s="47" t="str">
        <f aca="false">IF(OR(L988="",K988=""),"",IFERROR(L988/K988*1000,0))</f>
        <v/>
      </c>
      <c r="R988" s="47" t="str">
        <f aca="false">IF(OR(M988="High",M988="Critical"),"YES","")</f>
        <v/>
      </c>
    </row>
    <row r="989" customFormat="false" ht="15" hidden="false" customHeight="true" outlineLevel="0" collapsed="false">
      <c r="A989" s="47" t="n">
        <f aca="false">'Fault &amp; Downtime Entry'!A990</f>
        <v>985</v>
      </c>
      <c r="B989" s="48" t="n">
        <f aca="false">'Fault &amp; Downtime Entry'!B990</f>
        <v>0</v>
      </c>
      <c r="C989" s="47" t="n">
        <f aca="false">'Fault &amp; Downtime Entry'!C990</f>
        <v>0</v>
      </c>
      <c r="D989" s="47" t="n">
        <f aca="false">'Fault &amp; Downtime Entry'!D990</f>
        <v>0</v>
      </c>
      <c r="E989" s="47" t="n">
        <f aca="false">'Fault &amp; Downtime Entry'!E990</f>
        <v>0</v>
      </c>
      <c r="F989" s="47" t="str">
        <f aca="false">'Fault &amp; Downtime Entry'!F990</f>
        <v/>
      </c>
      <c r="G989" s="47" t="n">
        <f aca="false">'Fault &amp; Downtime Entry'!G990</f>
        <v>0</v>
      </c>
      <c r="H989" s="47" t="str">
        <f aca="false">'Fault &amp; Downtime Entry'!H990</f>
        <v/>
      </c>
      <c r="I989" s="47" t="str">
        <f aca="false">'Fault &amp; Downtime Entry'!I990</f>
        <v/>
      </c>
      <c r="J989" s="47" t="n">
        <f aca="false">'Fault &amp; Downtime Entry'!J990</f>
        <v>0</v>
      </c>
      <c r="K989" s="47" t="n">
        <f aca="false">'Fault &amp; Downtime Entry'!K990</f>
        <v>0</v>
      </c>
      <c r="L989" s="47" t="n">
        <f aca="false">'Fault &amp; Downtime Entry'!L990</f>
        <v>0</v>
      </c>
      <c r="M989" s="47" t="str">
        <f aca="false">'Fault &amp; Downtime Entry'!M990</f>
        <v/>
      </c>
      <c r="N989" s="47" t="n">
        <f aca="false">'Fault &amp; Downtime Entry'!N990</f>
        <v>0</v>
      </c>
      <c r="O989" s="47" t="n">
        <f aca="false">'Fault &amp; Downtime Entry'!O990</f>
        <v>0</v>
      </c>
      <c r="P989" s="47" t="str">
        <f aca="false">IF(OR(J989="",K989=""),"",IFERROR(J989/K989*1000,0))</f>
        <v/>
      </c>
      <c r="Q989" s="47" t="str">
        <f aca="false">IF(OR(L989="",K989=""),"",IFERROR(L989/K989*1000,0))</f>
        <v/>
      </c>
      <c r="R989" s="47" t="str">
        <f aca="false">IF(OR(M989="High",M989="Critical"),"YES","")</f>
        <v/>
      </c>
    </row>
    <row r="990" customFormat="false" ht="15" hidden="false" customHeight="true" outlineLevel="0" collapsed="false">
      <c r="A990" s="47" t="n">
        <f aca="false">'Fault &amp; Downtime Entry'!A991</f>
        <v>986</v>
      </c>
      <c r="B990" s="48" t="n">
        <f aca="false">'Fault &amp; Downtime Entry'!B991</f>
        <v>0</v>
      </c>
      <c r="C990" s="47" t="n">
        <f aca="false">'Fault &amp; Downtime Entry'!C991</f>
        <v>0</v>
      </c>
      <c r="D990" s="47" t="n">
        <f aca="false">'Fault &amp; Downtime Entry'!D991</f>
        <v>0</v>
      </c>
      <c r="E990" s="47" t="n">
        <f aca="false">'Fault &amp; Downtime Entry'!E991</f>
        <v>0</v>
      </c>
      <c r="F990" s="47" t="str">
        <f aca="false">'Fault &amp; Downtime Entry'!F991</f>
        <v/>
      </c>
      <c r="G990" s="47" t="n">
        <f aca="false">'Fault &amp; Downtime Entry'!G991</f>
        <v>0</v>
      </c>
      <c r="H990" s="47" t="str">
        <f aca="false">'Fault &amp; Downtime Entry'!H991</f>
        <v/>
      </c>
      <c r="I990" s="47" t="str">
        <f aca="false">'Fault &amp; Downtime Entry'!I991</f>
        <v/>
      </c>
      <c r="J990" s="47" t="n">
        <f aca="false">'Fault &amp; Downtime Entry'!J991</f>
        <v>0</v>
      </c>
      <c r="K990" s="47" t="n">
        <f aca="false">'Fault &amp; Downtime Entry'!K991</f>
        <v>0</v>
      </c>
      <c r="L990" s="47" t="n">
        <f aca="false">'Fault &amp; Downtime Entry'!L991</f>
        <v>0</v>
      </c>
      <c r="M990" s="47" t="str">
        <f aca="false">'Fault &amp; Downtime Entry'!M991</f>
        <v/>
      </c>
      <c r="N990" s="47" t="n">
        <f aca="false">'Fault &amp; Downtime Entry'!N991</f>
        <v>0</v>
      </c>
      <c r="O990" s="47" t="n">
        <f aca="false">'Fault &amp; Downtime Entry'!O991</f>
        <v>0</v>
      </c>
      <c r="P990" s="47" t="str">
        <f aca="false">IF(OR(J990="",K990=""),"",IFERROR(J990/K990*1000,0))</f>
        <v/>
      </c>
      <c r="Q990" s="47" t="str">
        <f aca="false">IF(OR(L990="",K990=""),"",IFERROR(L990/K990*1000,0))</f>
        <v/>
      </c>
      <c r="R990" s="47" t="str">
        <f aca="false">IF(OR(M990="High",M990="Critical"),"YES","")</f>
        <v/>
      </c>
    </row>
    <row r="991" customFormat="false" ht="15" hidden="false" customHeight="true" outlineLevel="0" collapsed="false">
      <c r="A991" s="47" t="n">
        <f aca="false">'Fault &amp; Downtime Entry'!A992</f>
        <v>987</v>
      </c>
      <c r="B991" s="48" t="n">
        <f aca="false">'Fault &amp; Downtime Entry'!B992</f>
        <v>0</v>
      </c>
      <c r="C991" s="47" t="n">
        <f aca="false">'Fault &amp; Downtime Entry'!C992</f>
        <v>0</v>
      </c>
      <c r="D991" s="47" t="n">
        <f aca="false">'Fault &amp; Downtime Entry'!D992</f>
        <v>0</v>
      </c>
      <c r="E991" s="47" t="n">
        <f aca="false">'Fault &amp; Downtime Entry'!E992</f>
        <v>0</v>
      </c>
      <c r="F991" s="47" t="str">
        <f aca="false">'Fault &amp; Downtime Entry'!F992</f>
        <v/>
      </c>
      <c r="G991" s="47" t="n">
        <f aca="false">'Fault &amp; Downtime Entry'!G992</f>
        <v>0</v>
      </c>
      <c r="H991" s="47" t="str">
        <f aca="false">'Fault &amp; Downtime Entry'!H992</f>
        <v/>
      </c>
      <c r="I991" s="47" t="str">
        <f aca="false">'Fault &amp; Downtime Entry'!I992</f>
        <v/>
      </c>
      <c r="J991" s="47" t="n">
        <f aca="false">'Fault &amp; Downtime Entry'!J992</f>
        <v>0</v>
      </c>
      <c r="K991" s="47" t="n">
        <f aca="false">'Fault &amp; Downtime Entry'!K992</f>
        <v>0</v>
      </c>
      <c r="L991" s="47" t="n">
        <f aca="false">'Fault &amp; Downtime Entry'!L992</f>
        <v>0</v>
      </c>
      <c r="M991" s="47" t="str">
        <f aca="false">'Fault &amp; Downtime Entry'!M992</f>
        <v/>
      </c>
      <c r="N991" s="47" t="n">
        <f aca="false">'Fault &amp; Downtime Entry'!N992</f>
        <v>0</v>
      </c>
      <c r="O991" s="47" t="n">
        <f aca="false">'Fault &amp; Downtime Entry'!O992</f>
        <v>0</v>
      </c>
      <c r="P991" s="47" t="str">
        <f aca="false">IF(OR(J991="",K991=""),"",IFERROR(J991/K991*1000,0))</f>
        <v/>
      </c>
      <c r="Q991" s="47" t="str">
        <f aca="false">IF(OR(L991="",K991=""),"",IFERROR(L991/K991*1000,0))</f>
        <v/>
      </c>
      <c r="R991" s="47" t="str">
        <f aca="false">IF(OR(M991="High",M991="Critical"),"YES","")</f>
        <v/>
      </c>
    </row>
    <row r="992" customFormat="false" ht="15" hidden="false" customHeight="true" outlineLevel="0" collapsed="false">
      <c r="A992" s="47" t="n">
        <f aca="false">'Fault &amp; Downtime Entry'!A993</f>
        <v>988</v>
      </c>
      <c r="B992" s="48" t="n">
        <f aca="false">'Fault &amp; Downtime Entry'!B993</f>
        <v>0</v>
      </c>
      <c r="C992" s="47" t="n">
        <f aca="false">'Fault &amp; Downtime Entry'!C993</f>
        <v>0</v>
      </c>
      <c r="D992" s="47" t="n">
        <f aca="false">'Fault &amp; Downtime Entry'!D993</f>
        <v>0</v>
      </c>
      <c r="E992" s="47" t="n">
        <f aca="false">'Fault &amp; Downtime Entry'!E993</f>
        <v>0</v>
      </c>
      <c r="F992" s="47" t="str">
        <f aca="false">'Fault &amp; Downtime Entry'!F993</f>
        <v/>
      </c>
      <c r="G992" s="47" t="n">
        <f aca="false">'Fault &amp; Downtime Entry'!G993</f>
        <v>0</v>
      </c>
      <c r="H992" s="47" t="str">
        <f aca="false">'Fault &amp; Downtime Entry'!H993</f>
        <v/>
      </c>
      <c r="I992" s="47" t="str">
        <f aca="false">'Fault &amp; Downtime Entry'!I993</f>
        <v/>
      </c>
      <c r="J992" s="47" t="n">
        <f aca="false">'Fault &amp; Downtime Entry'!J993</f>
        <v>0</v>
      </c>
      <c r="K992" s="47" t="n">
        <f aca="false">'Fault &amp; Downtime Entry'!K993</f>
        <v>0</v>
      </c>
      <c r="L992" s="47" t="n">
        <f aca="false">'Fault &amp; Downtime Entry'!L993</f>
        <v>0</v>
      </c>
      <c r="M992" s="47" t="str">
        <f aca="false">'Fault &amp; Downtime Entry'!M993</f>
        <v/>
      </c>
      <c r="N992" s="47" t="n">
        <f aca="false">'Fault &amp; Downtime Entry'!N993</f>
        <v>0</v>
      </c>
      <c r="O992" s="47" t="n">
        <f aca="false">'Fault &amp; Downtime Entry'!O993</f>
        <v>0</v>
      </c>
      <c r="P992" s="47" t="str">
        <f aca="false">IF(OR(J992="",K992=""),"",IFERROR(J992/K992*1000,0))</f>
        <v/>
      </c>
      <c r="Q992" s="47" t="str">
        <f aca="false">IF(OR(L992="",K992=""),"",IFERROR(L992/K992*1000,0))</f>
        <v/>
      </c>
      <c r="R992" s="47" t="str">
        <f aca="false">IF(OR(M992="High",M992="Critical"),"YES","")</f>
        <v/>
      </c>
    </row>
    <row r="993" customFormat="false" ht="15" hidden="false" customHeight="true" outlineLevel="0" collapsed="false">
      <c r="A993" s="47" t="n">
        <f aca="false">'Fault &amp; Downtime Entry'!A994</f>
        <v>989</v>
      </c>
      <c r="B993" s="48" t="n">
        <f aca="false">'Fault &amp; Downtime Entry'!B994</f>
        <v>0</v>
      </c>
      <c r="C993" s="47" t="n">
        <f aca="false">'Fault &amp; Downtime Entry'!C994</f>
        <v>0</v>
      </c>
      <c r="D993" s="47" t="n">
        <f aca="false">'Fault &amp; Downtime Entry'!D994</f>
        <v>0</v>
      </c>
      <c r="E993" s="47" t="n">
        <f aca="false">'Fault &amp; Downtime Entry'!E994</f>
        <v>0</v>
      </c>
      <c r="F993" s="47" t="str">
        <f aca="false">'Fault &amp; Downtime Entry'!F994</f>
        <v/>
      </c>
      <c r="G993" s="47" t="n">
        <f aca="false">'Fault &amp; Downtime Entry'!G994</f>
        <v>0</v>
      </c>
      <c r="H993" s="47" t="str">
        <f aca="false">'Fault &amp; Downtime Entry'!H994</f>
        <v/>
      </c>
      <c r="I993" s="47" t="str">
        <f aca="false">'Fault &amp; Downtime Entry'!I994</f>
        <v/>
      </c>
      <c r="J993" s="47" t="n">
        <f aca="false">'Fault &amp; Downtime Entry'!J994</f>
        <v>0</v>
      </c>
      <c r="K993" s="47" t="n">
        <f aca="false">'Fault &amp; Downtime Entry'!K994</f>
        <v>0</v>
      </c>
      <c r="L993" s="47" t="n">
        <f aca="false">'Fault &amp; Downtime Entry'!L994</f>
        <v>0</v>
      </c>
      <c r="M993" s="47" t="str">
        <f aca="false">'Fault &amp; Downtime Entry'!M994</f>
        <v/>
      </c>
      <c r="N993" s="47" t="n">
        <f aca="false">'Fault &amp; Downtime Entry'!N994</f>
        <v>0</v>
      </c>
      <c r="O993" s="47" t="n">
        <f aca="false">'Fault &amp; Downtime Entry'!O994</f>
        <v>0</v>
      </c>
      <c r="P993" s="47" t="str">
        <f aca="false">IF(OR(J993="",K993=""),"",IFERROR(J993/K993*1000,0))</f>
        <v/>
      </c>
      <c r="Q993" s="47" t="str">
        <f aca="false">IF(OR(L993="",K993=""),"",IFERROR(L993/K993*1000,0))</f>
        <v/>
      </c>
      <c r="R993" s="47" t="str">
        <f aca="false">IF(OR(M993="High",M993="Critical"),"YES","")</f>
        <v/>
      </c>
    </row>
    <row r="994" customFormat="false" ht="15" hidden="false" customHeight="true" outlineLevel="0" collapsed="false">
      <c r="A994" s="47" t="n">
        <f aca="false">'Fault &amp; Downtime Entry'!A995</f>
        <v>990</v>
      </c>
      <c r="B994" s="48" t="n">
        <f aca="false">'Fault &amp; Downtime Entry'!B995</f>
        <v>0</v>
      </c>
      <c r="C994" s="47" t="n">
        <f aca="false">'Fault &amp; Downtime Entry'!C995</f>
        <v>0</v>
      </c>
      <c r="D994" s="47" t="n">
        <f aca="false">'Fault &amp; Downtime Entry'!D995</f>
        <v>0</v>
      </c>
      <c r="E994" s="47" t="n">
        <f aca="false">'Fault &amp; Downtime Entry'!E995</f>
        <v>0</v>
      </c>
      <c r="F994" s="47" t="str">
        <f aca="false">'Fault &amp; Downtime Entry'!F995</f>
        <v/>
      </c>
      <c r="G994" s="47" t="n">
        <f aca="false">'Fault &amp; Downtime Entry'!G995</f>
        <v>0</v>
      </c>
      <c r="H994" s="47" t="str">
        <f aca="false">'Fault &amp; Downtime Entry'!H995</f>
        <v/>
      </c>
      <c r="I994" s="47" t="str">
        <f aca="false">'Fault &amp; Downtime Entry'!I995</f>
        <v/>
      </c>
      <c r="J994" s="47" t="n">
        <f aca="false">'Fault &amp; Downtime Entry'!J995</f>
        <v>0</v>
      </c>
      <c r="K994" s="47" t="n">
        <f aca="false">'Fault &amp; Downtime Entry'!K995</f>
        <v>0</v>
      </c>
      <c r="L994" s="47" t="n">
        <f aca="false">'Fault &amp; Downtime Entry'!L995</f>
        <v>0</v>
      </c>
      <c r="M994" s="47" t="str">
        <f aca="false">'Fault &amp; Downtime Entry'!M995</f>
        <v/>
      </c>
      <c r="N994" s="47" t="n">
        <f aca="false">'Fault &amp; Downtime Entry'!N995</f>
        <v>0</v>
      </c>
      <c r="O994" s="47" t="n">
        <f aca="false">'Fault &amp; Downtime Entry'!O995</f>
        <v>0</v>
      </c>
      <c r="P994" s="47" t="str">
        <f aca="false">IF(OR(J994="",K994=""),"",IFERROR(J994/K994*1000,0))</f>
        <v/>
      </c>
      <c r="Q994" s="47" t="str">
        <f aca="false">IF(OR(L994="",K994=""),"",IFERROR(L994/K994*1000,0))</f>
        <v/>
      </c>
      <c r="R994" s="47" t="str">
        <f aca="false">IF(OR(M994="High",M994="Critical"),"YES","")</f>
        <v/>
      </c>
    </row>
    <row r="995" customFormat="false" ht="15" hidden="false" customHeight="true" outlineLevel="0" collapsed="false">
      <c r="A995" s="47" t="n">
        <f aca="false">'Fault &amp; Downtime Entry'!A996</f>
        <v>991</v>
      </c>
      <c r="B995" s="48" t="n">
        <f aca="false">'Fault &amp; Downtime Entry'!B996</f>
        <v>0</v>
      </c>
      <c r="C995" s="47" t="n">
        <f aca="false">'Fault &amp; Downtime Entry'!C996</f>
        <v>0</v>
      </c>
      <c r="D995" s="47" t="n">
        <f aca="false">'Fault &amp; Downtime Entry'!D996</f>
        <v>0</v>
      </c>
      <c r="E995" s="47" t="n">
        <f aca="false">'Fault &amp; Downtime Entry'!E996</f>
        <v>0</v>
      </c>
      <c r="F995" s="47" t="str">
        <f aca="false">'Fault &amp; Downtime Entry'!F996</f>
        <v/>
      </c>
      <c r="G995" s="47" t="n">
        <f aca="false">'Fault &amp; Downtime Entry'!G996</f>
        <v>0</v>
      </c>
      <c r="H995" s="47" t="str">
        <f aca="false">'Fault &amp; Downtime Entry'!H996</f>
        <v/>
      </c>
      <c r="I995" s="47" t="str">
        <f aca="false">'Fault &amp; Downtime Entry'!I996</f>
        <v/>
      </c>
      <c r="J995" s="47" t="n">
        <f aca="false">'Fault &amp; Downtime Entry'!J996</f>
        <v>0</v>
      </c>
      <c r="K995" s="47" t="n">
        <f aca="false">'Fault &amp; Downtime Entry'!K996</f>
        <v>0</v>
      </c>
      <c r="L995" s="47" t="n">
        <f aca="false">'Fault &amp; Downtime Entry'!L996</f>
        <v>0</v>
      </c>
      <c r="M995" s="47" t="str">
        <f aca="false">'Fault &amp; Downtime Entry'!M996</f>
        <v/>
      </c>
      <c r="N995" s="47" t="n">
        <f aca="false">'Fault &amp; Downtime Entry'!N996</f>
        <v>0</v>
      </c>
      <c r="O995" s="47" t="n">
        <f aca="false">'Fault &amp; Downtime Entry'!O996</f>
        <v>0</v>
      </c>
      <c r="P995" s="47" t="str">
        <f aca="false">IF(OR(J995="",K995=""),"",IFERROR(J995/K995*1000,0))</f>
        <v/>
      </c>
      <c r="Q995" s="47" t="str">
        <f aca="false">IF(OR(L995="",K995=""),"",IFERROR(L995/K995*1000,0))</f>
        <v/>
      </c>
      <c r="R995" s="47" t="str">
        <f aca="false">IF(OR(M995="High",M995="Critical"),"YES","")</f>
        <v/>
      </c>
    </row>
    <row r="996" customFormat="false" ht="15" hidden="false" customHeight="true" outlineLevel="0" collapsed="false">
      <c r="A996" s="47" t="n">
        <f aca="false">'Fault &amp; Downtime Entry'!A997</f>
        <v>992</v>
      </c>
      <c r="B996" s="48" t="n">
        <f aca="false">'Fault &amp; Downtime Entry'!B997</f>
        <v>0</v>
      </c>
      <c r="C996" s="47" t="n">
        <f aca="false">'Fault &amp; Downtime Entry'!C997</f>
        <v>0</v>
      </c>
      <c r="D996" s="47" t="n">
        <f aca="false">'Fault &amp; Downtime Entry'!D997</f>
        <v>0</v>
      </c>
      <c r="E996" s="47" t="n">
        <f aca="false">'Fault &amp; Downtime Entry'!E997</f>
        <v>0</v>
      </c>
      <c r="F996" s="47" t="str">
        <f aca="false">'Fault &amp; Downtime Entry'!F997</f>
        <v/>
      </c>
      <c r="G996" s="47" t="n">
        <f aca="false">'Fault &amp; Downtime Entry'!G997</f>
        <v>0</v>
      </c>
      <c r="H996" s="47" t="str">
        <f aca="false">'Fault &amp; Downtime Entry'!H997</f>
        <v/>
      </c>
      <c r="I996" s="47" t="str">
        <f aca="false">'Fault &amp; Downtime Entry'!I997</f>
        <v/>
      </c>
      <c r="J996" s="47" t="n">
        <f aca="false">'Fault &amp; Downtime Entry'!J997</f>
        <v>0</v>
      </c>
      <c r="K996" s="47" t="n">
        <f aca="false">'Fault &amp; Downtime Entry'!K997</f>
        <v>0</v>
      </c>
      <c r="L996" s="47" t="n">
        <f aca="false">'Fault &amp; Downtime Entry'!L997</f>
        <v>0</v>
      </c>
      <c r="M996" s="47" t="str">
        <f aca="false">'Fault &amp; Downtime Entry'!M997</f>
        <v/>
      </c>
      <c r="N996" s="47" t="n">
        <f aca="false">'Fault &amp; Downtime Entry'!N997</f>
        <v>0</v>
      </c>
      <c r="O996" s="47" t="n">
        <f aca="false">'Fault &amp; Downtime Entry'!O997</f>
        <v>0</v>
      </c>
      <c r="P996" s="47" t="str">
        <f aca="false">IF(OR(J996="",K996=""),"",IFERROR(J996/K996*1000,0))</f>
        <v/>
      </c>
      <c r="Q996" s="47" t="str">
        <f aca="false">IF(OR(L996="",K996=""),"",IFERROR(L996/K996*1000,0))</f>
        <v/>
      </c>
      <c r="R996" s="47" t="str">
        <f aca="false">IF(OR(M996="High",M996="Critical"),"YES","")</f>
        <v/>
      </c>
    </row>
    <row r="997" customFormat="false" ht="15" hidden="false" customHeight="true" outlineLevel="0" collapsed="false">
      <c r="A997" s="47" t="n">
        <f aca="false">'Fault &amp; Downtime Entry'!A998</f>
        <v>993</v>
      </c>
      <c r="B997" s="48" t="n">
        <f aca="false">'Fault &amp; Downtime Entry'!B998</f>
        <v>0</v>
      </c>
      <c r="C997" s="47" t="n">
        <f aca="false">'Fault &amp; Downtime Entry'!C998</f>
        <v>0</v>
      </c>
      <c r="D997" s="47" t="n">
        <f aca="false">'Fault &amp; Downtime Entry'!D998</f>
        <v>0</v>
      </c>
      <c r="E997" s="47" t="n">
        <f aca="false">'Fault &amp; Downtime Entry'!E998</f>
        <v>0</v>
      </c>
      <c r="F997" s="47" t="str">
        <f aca="false">'Fault &amp; Downtime Entry'!F998</f>
        <v/>
      </c>
      <c r="G997" s="47" t="n">
        <f aca="false">'Fault &amp; Downtime Entry'!G998</f>
        <v>0</v>
      </c>
      <c r="H997" s="47" t="str">
        <f aca="false">'Fault &amp; Downtime Entry'!H998</f>
        <v/>
      </c>
      <c r="I997" s="47" t="str">
        <f aca="false">'Fault &amp; Downtime Entry'!I998</f>
        <v/>
      </c>
      <c r="J997" s="47" t="n">
        <f aca="false">'Fault &amp; Downtime Entry'!J998</f>
        <v>0</v>
      </c>
      <c r="K997" s="47" t="n">
        <f aca="false">'Fault &amp; Downtime Entry'!K998</f>
        <v>0</v>
      </c>
      <c r="L997" s="47" t="n">
        <f aca="false">'Fault &amp; Downtime Entry'!L998</f>
        <v>0</v>
      </c>
      <c r="M997" s="47" t="str">
        <f aca="false">'Fault &amp; Downtime Entry'!M998</f>
        <v/>
      </c>
      <c r="N997" s="47" t="n">
        <f aca="false">'Fault &amp; Downtime Entry'!N998</f>
        <v>0</v>
      </c>
      <c r="O997" s="47" t="n">
        <f aca="false">'Fault &amp; Downtime Entry'!O998</f>
        <v>0</v>
      </c>
      <c r="P997" s="47" t="str">
        <f aca="false">IF(OR(J997="",K997=""),"",IFERROR(J997/K997*1000,0))</f>
        <v/>
      </c>
      <c r="Q997" s="47" t="str">
        <f aca="false">IF(OR(L997="",K997=""),"",IFERROR(L997/K997*1000,0))</f>
        <v/>
      </c>
      <c r="R997" s="47" t="str">
        <f aca="false">IF(OR(M997="High",M997="Critical"),"YES","")</f>
        <v/>
      </c>
    </row>
    <row r="998" customFormat="false" ht="15" hidden="false" customHeight="true" outlineLevel="0" collapsed="false">
      <c r="A998" s="47" t="n">
        <f aca="false">'Fault &amp; Downtime Entry'!A999</f>
        <v>994</v>
      </c>
      <c r="B998" s="48" t="n">
        <f aca="false">'Fault &amp; Downtime Entry'!B999</f>
        <v>0</v>
      </c>
      <c r="C998" s="47" t="n">
        <f aca="false">'Fault &amp; Downtime Entry'!C999</f>
        <v>0</v>
      </c>
      <c r="D998" s="47" t="n">
        <f aca="false">'Fault &amp; Downtime Entry'!D999</f>
        <v>0</v>
      </c>
      <c r="E998" s="47" t="n">
        <f aca="false">'Fault &amp; Downtime Entry'!E999</f>
        <v>0</v>
      </c>
      <c r="F998" s="47" t="str">
        <f aca="false">'Fault &amp; Downtime Entry'!F999</f>
        <v/>
      </c>
      <c r="G998" s="47" t="n">
        <f aca="false">'Fault &amp; Downtime Entry'!G999</f>
        <v>0</v>
      </c>
      <c r="H998" s="47" t="str">
        <f aca="false">'Fault &amp; Downtime Entry'!H999</f>
        <v/>
      </c>
      <c r="I998" s="47" t="str">
        <f aca="false">'Fault &amp; Downtime Entry'!I999</f>
        <v/>
      </c>
      <c r="J998" s="47" t="n">
        <f aca="false">'Fault &amp; Downtime Entry'!J999</f>
        <v>0</v>
      </c>
      <c r="K998" s="47" t="n">
        <f aca="false">'Fault &amp; Downtime Entry'!K999</f>
        <v>0</v>
      </c>
      <c r="L998" s="47" t="n">
        <f aca="false">'Fault &amp; Downtime Entry'!L999</f>
        <v>0</v>
      </c>
      <c r="M998" s="47" t="str">
        <f aca="false">'Fault &amp; Downtime Entry'!M999</f>
        <v/>
      </c>
      <c r="N998" s="47" t="n">
        <f aca="false">'Fault &amp; Downtime Entry'!N999</f>
        <v>0</v>
      </c>
      <c r="O998" s="47" t="n">
        <f aca="false">'Fault &amp; Downtime Entry'!O999</f>
        <v>0</v>
      </c>
      <c r="P998" s="47" t="str">
        <f aca="false">IF(OR(J998="",K998=""),"",IFERROR(J998/K998*1000,0))</f>
        <v/>
      </c>
      <c r="Q998" s="47" t="str">
        <f aca="false">IF(OR(L998="",K998=""),"",IFERROR(L998/K998*1000,0))</f>
        <v/>
      </c>
      <c r="R998" s="47" t="str">
        <f aca="false">IF(OR(M998="High",M998="Critical"),"YES","")</f>
        <v/>
      </c>
    </row>
    <row r="999" customFormat="false" ht="15" hidden="false" customHeight="true" outlineLevel="0" collapsed="false">
      <c r="A999" s="47" t="n">
        <f aca="false">'Fault &amp; Downtime Entry'!A1000</f>
        <v>995</v>
      </c>
      <c r="B999" s="48" t="n">
        <f aca="false">'Fault &amp; Downtime Entry'!B1000</f>
        <v>0</v>
      </c>
      <c r="C999" s="47" t="n">
        <f aca="false">'Fault &amp; Downtime Entry'!C1000</f>
        <v>0</v>
      </c>
      <c r="D999" s="47" t="n">
        <f aca="false">'Fault &amp; Downtime Entry'!D1000</f>
        <v>0</v>
      </c>
      <c r="E999" s="47" t="n">
        <f aca="false">'Fault &amp; Downtime Entry'!E1000</f>
        <v>0</v>
      </c>
      <c r="F999" s="47" t="str">
        <f aca="false">'Fault &amp; Downtime Entry'!F1000</f>
        <v/>
      </c>
      <c r="G999" s="47" t="n">
        <f aca="false">'Fault &amp; Downtime Entry'!G1000</f>
        <v>0</v>
      </c>
      <c r="H999" s="47" t="str">
        <f aca="false">'Fault &amp; Downtime Entry'!H1000</f>
        <v/>
      </c>
      <c r="I999" s="47" t="str">
        <f aca="false">'Fault &amp; Downtime Entry'!I1000</f>
        <v/>
      </c>
      <c r="J999" s="47" t="n">
        <f aca="false">'Fault &amp; Downtime Entry'!J1000</f>
        <v>0</v>
      </c>
      <c r="K999" s="47" t="n">
        <f aca="false">'Fault &amp; Downtime Entry'!K1000</f>
        <v>0</v>
      </c>
      <c r="L999" s="47" t="n">
        <f aca="false">'Fault &amp; Downtime Entry'!L1000</f>
        <v>0</v>
      </c>
      <c r="M999" s="47" t="str">
        <f aca="false">'Fault &amp; Downtime Entry'!M1000</f>
        <v/>
      </c>
      <c r="N999" s="47" t="n">
        <f aca="false">'Fault &amp; Downtime Entry'!N1000</f>
        <v>0</v>
      </c>
      <c r="O999" s="47" t="n">
        <f aca="false">'Fault &amp; Downtime Entry'!O1000</f>
        <v>0</v>
      </c>
      <c r="P999" s="47" t="str">
        <f aca="false">IF(OR(J999="",K999=""),"",IFERROR(J999/K999*1000,0))</f>
        <v/>
      </c>
      <c r="Q999" s="47" t="str">
        <f aca="false">IF(OR(L999="",K999=""),"",IFERROR(L999/K999*1000,0))</f>
        <v/>
      </c>
      <c r="R999" s="47" t="str">
        <f aca="false">IF(OR(M999="High",M999="Critical"),"YES","")</f>
        <v/>
      </c>
    </row>
    <row r="1000" customFormat="false" ht="15" hidden="false" customHeight="true" outlineLevel="0" collapsed="false">
      <c r="A1000" s="47" t="n">
        <f aca="false">'Fault &amp; Downtime Entry'!A1001</f>
        <v>996</v>
      </c>
      <c r="B1000" s="48" t="n">
        <f aca="false">'Fault &amp; Downtime Entry'!B1001</f>
        <v>0</v>
      </c>
      <c r="C1000" s="47" t="n">
        <f aca="false">'Fault &amp; Downtime Entry'!C1001</f>
        <v>0</v>
      </c>
      <c r="D1000" s="47" t="n">
        <f aca="false">'Fault &amp; Downtime Entry'!D1001</f>
        <v>0</v>
      </c>
      <c r="E1000" s="47" t="n">
        <f aca="false">'Fault &amp; Downtime Entry'!E1001</f>
        <v>0</v>
      </c>
      <c r="F1000" s="47" t="str">
        <f aca="false">'Fault &amp; Downtime Entry'!F1001</f>
        <v/>
      </c>
      <c r="G1000" s="47" t="n">
        <f aca="false">'Fault &amp; Downtime Entry'!G1001</f>
        <v>0</v>
      </c>
      <c r="H1000" s="47" t="str">
        <f aca="false">'Fault &amp; Downtime Entry'!H1001</f>
        <v/>
      </c>
      <c r="I1000" s="47" t="str">
        <f aca="false">'Fault &amp; Downtime Entry'!I1001</f>
        <v/>
      </c>
      <c r="J1000" s="47" t="n">
        <f aca="false">'Fault &amp; Downtime Entry'!J1001</f>
        <v>0</v>
      </c>
      <c r="K1000" s="47" t="n">
        <f aca="false">'Fault &amp; Downtime Entry'!K1001</f>
        <v>0</v>
      </c>
      <c r="L1000" s="47" t="n">
        <f aca="false">'Fault &amp; Downtime Entry'!L1001</f>
        <v>0</v>
      </c>
      <c r="M1000" s="47" t="str">
        <f aca="false">'Fault &amp; Downtime Entry'!M1001</f>
        <v/>
      </c>
      <c r="N1000" s="47" t="n">
        <f aca="false">'Fault &amp; Downtime Entry'!N1001</f>
        <v>0</v>
      </c>
      <c r="O1000" s="47" t="n">
        <f aca="false">'Fault &amp; Downtime Entry'!O1001</f>
        <v>0</v>
      </c>
      <c r="P1000" s="47" t="str">
        <f aca="false">IF(OR(J1000="",K1000=""),"",IFERROR(J1000/K1000*1000,0))</f>
        <v/>
      </c>
      <c r="Q1000" s="47" t="str">
        <f aca="false">IF(OR(L1000="",K1000=""),"",IFERROR(L1000/K1000*1000,0))</f>
        <v/>
      </c>
      <c r="R1000" s="47" t="str">
        <f aca="false">IF(OR(M1000="High",M1000="Critical"),"YES","")</f>
        <v/>
      </c>
    </row>
    <row r="1001" customFormat="false" ht="15" hidden="false" customHeight="true" outlineLevel="0" collapsed="false">
      <c r="A1001" s="47" t="n">
        <f aca="false">'Fault &amp; Downtime Entry'!A1002</f>
        <v>997</v>
      </c>
      <c r="B1001" s="48" t="n">
        <f aca="false">'Fault &amp; Downtime Entry'!B1002</f>
        <v>0</v>
      </c>
      <c r="C1001" s="47" t="n">
        <f aca="false">'Fault &amp; Downtime Entry'!C1002</f>
        <v>0</v>
      </c>
      <c r="D1001" s="47" t="n">
        <f aca="false">'Fault &amp; Downtime Entry'!D1002</f>
        <v>0</v>
      </c>
      <c r="E1001" s="47" t="n">
        <f aca="false">'Fault &amp; Downtime Entry'!E1002</f>
        <v>0</v>
      </c>
      <c r="F1001" s="47" t="str">
        <f aca="false">'Fault &amp; Downtime Entry'!F1002</f>
        <v/>
      </c>
      <c r="G1001" s="47" t="n">
        <f aca="false">'Fault &amp; Downtime Entry'!G1002</f>
        <v>0</v>
      </c>
      <c r="H1001" s="47" t="str">
        <f aca="false">'Fault &amp; Downtime Entry'!H1002</f>
        <v/>
      </c>
      <c r="I1001" s="47" t="str">
        <f aca="false">'Fault &amp; Downtime Entry'!I1002</f>
        <v/>
      </c>
      <c r="J1001" s="47" t="n">
        <f aca="false">'Fault &amp; Downtime Entry'!J1002</f>
        <v>0</v>
      </c>
      <c r="K1001" s="47" t="n">
        <f aca="false">'Fault &amp; Downtime Entry'!K1002</f>
        <v>0</v>
      </c>
      <c r="L1001" s="47" t="n">
        <f aca="false">'Fault &amp; Downtime Entry'!L1002</f>
        <v>0</v>
      </c>
      <c r="M1001" s="47" t="str">
        <f aca="false">'Fault &amp; Downtime Entry'!M1002</f>
        <v/>
      </c>
      <c r="N1001" s="47" t="n">
        <f aca="false">'Fault &amp; Downtime Entry'!N1002</f>
        <v>0</v>
      </c>
      <c r="O1001" s="47" t="n">
        <f aca="false">'Fault &amp; Downtime Entry'!O1002</f>
        <v>0</v>
      </c>
      <c r="P1001" s="47" t="str">
        <f aca="false">IF(OR(J1001="",K1001=""),"",IFERROR(J1001/K1001*1000,0))</f>
        <v/>
      </c>
      <c r="Q1001" s="47" t="str">
        <f aca="false">IF(OR(L1001="",K1001=""),"",IFERROR(L1001/K1001*1000,0))</f>
        <v/>
      </c>
      <c r="R1001" s="47" t="str">
        <f aca="false">IF(OR(M1001="High",M1001="Critical"),"YES","")</f>
        <v/>
      </c>
    </row>
    <row r="1002" customFormat="false" ht="15" hidden="false" customHeight="true" outlineLevel="0" collapsed="false">
      <c r="A1002" s="47" t="n">
        <f aca="false">'Fault &amp; Downtime Entry'!A1003</f>
        <v>998</v>
      </c>
      <c r="B1002" s="48" t="n">
        <f aca="false">'Fault &amp; Downtime Entry'!B1003</f>
        <v>0</v>
      </c>
      <c r="C1002" s="47" t="n">
        <f aca="false">'Fault &amp; Downtime Entry'!C1003</f>
        <v>0</v>
      </c>
      <c r="D1002" s="47" t="n">
        <f aca="false">'Fault &amp; Downtime Entry'!D1003</f>
        <v>0</v>
      </c>
      <c r="E1002" s="47" t="n">
        <f aca="false">'Fault &amp; Downtime Entry'!E1003</f>
        <v>0</v>
      </c>
      <c r="F1002" s="47" t="str">
        <f aca="false">'Fault &amp; Downtime Entry'!F1003</f>
        <v/>
      </c>
      <c r="G1002" s="47" t="n">
        <f aca="false">'Fault &amp; Downtime Entry'!G1003</f>
        <v>0</v>
      </c>
      <c r="H1002" s="47" t="str">
        <f aca="false">'Fault &amp; Downtime Entry'!H1003</f>
        <v/>
      </c>
      <c r="I1002" s="47" t="str">
        <f aca="false">'Fault &amp; Downtime Entry'!I1003</f>
        <v/>
      </c>
      <c r="J1002" s="47" t="n">
        <f aca="false">'Fault &amp; Downtime Entry'!J1003</f>
        <v>0</v>
      </c>
      <c r="K1002" s="47" t="n">
        <f aca="false">'Fault &amp; Downtime Entry'!K1003</f>
        <v>0</v>
      </c>
      <c r="L1002" s="47" t="n">
        <f aca="false">'Fault &amp; Downtime Entry'!L1003</f>
        <v>0</v>
      </c>
      <c r="M1002" s="47" t="str">
        <f aca="false">'Fault &amp; Downtime Entry'!M1003</f>
        <v/>
      </c>
      <c r="N1002" s="47" t="n">
        <f aca="false">'Fault &amp; Downtime Entry'!N1003</f>
        <v>0</v>
      </c>
      <c r="O1002" s="47" t="n">
        <f aca="false">'Fault &amp; Downtime Entry'!O1003</f>
        <v>0</v>
      </c>
      <c r="P1002" s="47" t="str">
        <f aca="false">IF(OR(J1002="",K1002=""),"",IFERROR(J1002/K1002*1000,0))</f>
        <v/>
      </c>
      <c r="Q1002" s="47" t="str">
        <f aca="false">IF(OR(L1002="",K1002=""),"",IFERROR(L1002/K1002*1000,0))</f>
        <v/>
      </c>
      <c r="R1002" s="47" t="str">
        <f aca="false">IF(OR(M1002="High",M1002="Critical"),"YES","")</f>
        <v/>
      </c>
    </row>
    <row r="1003" customFormat="false" ht="15" hidden="false" customHeight="true" outlineLevel="0" collapsed="false">
      <c r="A1003" s="47" t="n">
        <f aca="false">'Fault &amp; Downtime Entry'!A1004</f>
        <v>999</v>
      </c>
      <c r="B1003" s="48" t="n">
        <f aca="false">'Fault &amp; Downtime Entry'!B1004</f>
        <v>0</v>
      </c>
      <c r="C1003" s="47" t="n">
        <f aca="false">'Fault &amp; Downtime Entry'!C1004</f>
        <v>0</v>
      </c>
      <c r="D1003" s="47" t="n">
        <f aca="false">'Fault &amp; Downtime Entry'!D1004</f>
        <v>0</v>
      </c>
      <c r="E1003" s="47" t="n">
        <f aca="false">'Fault &amp; Downtime Entry'!E1004</f>
        <v>0</v>
      </c>
      <c r="F1003" s="47" t="str">
        <f aca="false">'Fault &amp; Downtime Entry'!F1004</f>
        <v/>
      </c>
      <c r="G1003" s="47" t="n">
        <f aca="false">'Fault &amp; Downtime Entry'!G1004</f>
        <v>0</v>
      </c>
      <c r="H1003" s="47" t="str">
        <f aca="false">'Fault &amp; Downtime Entry'!H1004</f>
        <v/>
      </c>
      <c r="I1003" s="47" t="str">
        <f aca="false">'Fault &amp; Downtime Entry'!I1004</f>
        <v/>
      </c>
      <c r="J1003" s="47" t="n">
        <f aca="false">'Fault &amp; Downtime Entry'!J1004</f>
        <v>0</v>
      </c>
      <c r="K1003" s="47" t="n">
        <f aca="false">'Fault &amp; Downtime Entry'!K1004</f>
        <v>0</v>
      </c>
      <c r="L1003" s="47" t="n">
        <f aca="false">'Fault &amp; Downtime Entry'!L1004</f>
        <v>0</v>
      </c>
      <c r="M1003" s="47" t="str">
        <f aca="false">'Fault &amp; Downtime Entry'!M1004</f>
        <v/>
      </c>
      <c r="N1003" s="47" t="n">
        <f aca="false">'Fault &amp; Downtime Entry'!N1004</f>
        <v>0</v>
      </c>
      <c r="O1003" s="47" t="n">
        <f aca="false">'Fault &amp; Downtime Entry'!O1004</f>
        <v>0</v>
      </c>
      <c r="P1003" s="47" t="str">
        <f aca="false">IF(OR(J1003="",K1003=""),"",IFERROR(J1003/K1003*1000,0))</f>
        <v/>
      </c>
      <c r="Q1003" s="47" t="str">
        <f aca="false">IF(OR(L1003="",K1003=""),"",IFERROR(L1003/K1003*1000,0))</f>
        <v/>
      </c>
      <c r="R1003" s="47" t="str">
        <f aca="false">IF(OR(M1003="High",M1003="Critical"),"YES","")</f>
        <v/>
      </c>
    </row>
    <row r="1004" customFormat="false" ht="15" hidden="false" customHeight="true" outlineLevel="0" collapsed="false">
      <c r="A1004" s="47" t="n">
        <f aca="false">'Fault &amp; Downtime Entry'!A1005</f>
        <v>1000</v>
      </c>
      <c r="B1004" s="48" t="n">
        <f aca="false">'Fault &amp; Downtime Entry'!B1005</f>
        <v>0</v>
      </c>
      <c r="C1004" s="47" t="n">
        <f aca="false">'Fault &amp; Downtime Entry'!C1005</f>
        <v>0</v>
      </c>
      <c r="D1004" s="47" t="n">
        <f aca="false">'Fault &amp; Downtime Entry'!D1005</f>
        <v>0</v>
      </c>
      <c r="E1004" s="47" t="n">
        <f aca="false">'Fault &amp; Downtime Entry'!E1005</f>
        <v>0</v>
      </c>
      <c r="F1004" s="47" t="str">
        <f aca="false">'Fault &amp; Downtime Entry'!F1005</f>
        <v/>
      </c>
      <c r="G1004" s="47" t="n">
        <f aca="false">'Fault &amp; Downtime Entry'!G1005</f>
        <v>0</v>
      </c>
      <c r="H1004" s="47" t="str">
        <f aca="false">'Fault &amp; Downtime Entry'!H1005</f>
        <v/>
      </c>
      <c r="I1004" s="47" t="str">
        <f aca="false">'Fault &amp; Downtime Entry'!I1005</f>
        <v/>
      </c>
      <c r="J1004" s="47" t="n">
        <f aca="false">'Fault &amp; Downtime Entry'!J1005</f>
        <v>0</v>
      </c>
      <c r="K1004" s="47" t="n">
        <f aca="false">'Fault &amp; Downtime Entry'!K1005</f>
        <v>0</v>
      </c>
      <c r="L1004" s="47" t="n">
        <f aca="false">'Fault &amp; Downtime Entry'!L1005</f>
        <v>0</v>
      </c>
      <c r="M1004" s="47" t="str">
        <f aca="false">'Fault &amp; Downtime Entry'!M1005</f>
        <v/>
      </c>
      <c r="N1004" s="47" t="n">
        <f aca="false">'Fault &amp; Downtime Entry'!N1005</f>
        <v>0</v>
      </c>
      <c r="O1004" s="47" t="n">
        <f aca="false">'Fault &amp; Downtime Entry'!O1005</f>
        <v>0</v>
      </c>
      <c r="P1004" s="47" t="str">
        <f aca="false">IF(OR(J1004="",K1004=""),"",IFERROR(J1004/K1004*1000,0))</f>
        <v/>
      </c>
      <c r="Q1004" s="47" t="str">
        <f aca="false">IF(OR(L1004="",K1004=""),"",IFERROR(L1004/K1004*1000,0))</f>
        <v/>
      </c>
      <c r="R1004" s="47" t="str">
        <f aca="false">IF(OR(M1004="High",M1004="Critical"),"YES","")</f>
        <v/>
      </c>
    </row>
  </sheetData>
  <autoFilter ref="A4:R1004"/>
  <mergeCells count="1">
    <mergeCell ref="A1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4" min="2" style="1" width="15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9" min="8" style="1" width="15"/>
    <col collapsed="false" customWidth="true" hidden="false" outlineLevel="0" max="10" min="10" style="1" width="18"/>
    <col collapsed="false" customWidth="true" hidden="true" outlineLevel="0" max="12" min="11" style="1" width="3"/>
  </cols>
  <sheetData>
    <row r="1" customFormat="false" ht="27.75" hidden="false" customHeight="true" outlineLevel="0" collapsed="false">
      <c r="A1" s="2" t="s">
        <v>506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A4" s="51" t="s">
        <v>9</v>
      </c>
      <c r="B4" s="52" t="s">
        <v>44</v>
      </c>
      <c r="D4" s="51" t="s">
        <v>10</v>
      </c>
      <c r="E4" s="1" t="str">
        <f aca="false">IFERROR(INDEX('Operator Master'!$B$5:$B$504,MATCH($B$4,'Operator Master'!$A$5:$A$504,0)),"")</f>
        <v>MD. MAHABUB ALAM</v>
      </c>
      <c r="G4" s="51" t="s">
        <v>507</v>
      </c>
      <c r="H4" s="13" t="n">
        <v>46288</v>
      </c>
    </row>
    <row r="5" customFormat="false" ht="15" hidden="false" customHeight="true" outlineLevel="0" collapsed="false">
      <c r="A5" s="51" t="s">
        <v>508</v>
      </c>
      <c r="B5" s="13" t="n">
        <v>46288</v>
      </c>
      <c r="D5" s="51" t="s">
        <v>11</v>
      </c>
      <c r="E5" s="1" t="n">
        <f aca="false">IFERROR(INDEX('Weaving KPI Data'!$I$5:$I$504,MATCH($B$4,'Weaving KPI Data'!$G$5:$G$504,0)),"")</f>
        <v>0</v>
      </c>
      <c r="G5" s="51" t="s">
        <v>509</v>
      </c>
      <c r="H5" s="1" t="s">
        <v>510</v>
      </c>
    </row>
    <row r="6" customFormat="false" ht="15" hidden="false" customHeight="true" outlineLevel="0" collapsed="false">
      <c r="G6" s="53" t="s">
        <v>511</v>
      </c>
    </row>
    <row r="8" customFormat="false" ht="33.75" hidden="false" customHeight="true" outlineLevel="0" collapsed="false">
      <c r="A8" s="5" t="s">
        <v>512</v>
      </c>
      <c r="B8" s="5" t="s">
        <v>513</v>
      </c>
      <c r="C8" s="5" t="s">
        <v>514</v>
      </c>
      <c r="D8" s="5" t="s">
        <v>515</v>
      </c>
      <c r="E8" s="5" t="s">
        <v>516</v>
      </c>
      <c r="F8" s="5" t="s">
        <v>517</v>
      </c>
      <c r="G8" s="5" t="s">
        <v>518</v>
      </c>
      <c r="H8" s="5"/>
      <c r="I8" s="5"/>
      <c r="J8" s="5"/>
    </row>
    <row r="9" customFormat="false" ht="15" hidden="false" customHeight="true" outlineLevel="0" collapsed="false">
      <c r="A9" s="40" t="s">
        <v>519</v>
      </c>
      <c r="B9" s="42" t="n">
        <f aca="false">INDEX('Standards &amp; Scoring'!$E$5:$E$13,MATCH("Production",'Standards &amp; Scoring'!$A$5:$A$13,0))</f>
        <v>100</v>
      </c>
      <c r="C9" s="42" t="n">
        <f aca="false">IFERROR(SUMIFS('Weaving KPI Data'!$O$5:$O$504,'Weaving KPI Data'!$G$5:$G$504,$B$4,'Weaving KPI Data'!$B$5:$B$504,"&gt;="&amp;$H$4,'Weaving KPI Data'!$B$5:$B$504,"&lt;="&amp;$B$5)/SUMIFS('Weaving KPI Data'!$N$5:$N$504,'Weaving KPI Data'!$G$5:$G$504,$B$4,'Weaving KPI Data'!$B$5:$B$504,"&gt;="&amp;$H$4,'Weaving KPI Data'!$B$5:$B$504,"&lt;="&amp;$B$5)*100,"")</f>
        <v>75.3333333333333</v>
      </c>
      <c r="D9" s="54" t="n">
        <f aca="false">IF(C9="","",MIN(120,C9/B9*100))</f>
        <v>75.3333333333333</v>
      </c>
      <c r="E9" s="41" t="n">
        <f aca="false">INDEX('Standards &amp; Scoring'!$D$5:$D$13,MATCH("Production",'Standards &amp; Scoring'!$A$5:$A$13,0))/100</f>
        <v>0.2</v>
      </c>
      <c r="F9" s="54" t="n">
        <f aca="false">IF(D9="","",MIN(D9,120)/100*E9)</f>
        <v>0.150666666666667</v>
      </c>
      <c r="G9" s="40" t="str">
        <f aca="false">IF(C9="","",IF(D9&gt;=100,"Meets / Exceeds",IF(D9&gt;=95,"Near Target","Needs Attention")))</f>
        <v>Needs Attention</v>
      </c>
    </row>
    <row r="10" customFormat="false" ht="15" hidden="false" customHeight="true" outlineLevel="0" collapsed="false">
      <c r="A10" s="40" t="s">
        <v>455</v>
      </c>
      <c r="B10" s="42" t="n">
        <f aca="false">INDEX('Standards &amp; Scoring'!$E$5:$E$13,MATCH("Loom Efficiency",'Standards &amp; Scoring'!$A$5:$A$13,0))</f>
        <v>85</v>
      </c>
      <c r="C10" s="42" t="n">
        <f aca="false">IFERROR(AVERAGEIFS('Weaving KPI Data'!$U$5:$U$504,'Weaving KPI Data'!$G$5:$G$504,$B$4,'Weaving KPI Data'!$B$5:$B$504,"&gt;="&amp;$H$4,'Weaving KPI Data'!$B$5:$B$504,"&lt;="&amp;$B$5),"")</f>
        <v>87.8719382835101</v>
      </c>
      <c r="D10" s="54" t="n">
        <f aca="false">IF(C10="","",MIN(120,C10/B10*100))</f>
        <v>103.378750921777</v>
      </c>
      <c r="E10" s="41" t="n">
        <f aca="false">INDEX('Standards &amp; Scoring'!$D$5:$D$13,MATCH("Loom Efficiency",'Standards &amp; Scoring'!$A$5:$A$13,0))/100</f>
        <v>0.15</v>
      </c>
      <c r="F10" s="54" t="n">
        <f aca="false">IF(D10="","",MIN(D10,120)/100*E10)</f>
        <v>0.155068126382665</v>
      </c>
      <c r="G10" s="40" t="str">
        <f aca="false">IF(C10="","",IF(D10&gt;=100,"Meets / Exceeds",IF(D10&gt;=95,"Near Target","Needs Attention")))</f>
        <v>Meets / Exceeds</v>
      </c>
    </row>
    <row r="11" customFormat="false" ht="15" hidden="false" customHeight="true" outlineLevel="0" collapsed="false">
      <c r="A11" s="40" t="s">
        <v>458</v>
      </c>
      <c r="B11" s="42" t="n">
        <f aca="false">INDEX('Standards &amp; Scoring'!$E$5:$E$13,MATCH("Running / Availability",'Standards &amp; Scoring'!$A$5:$A$13,0))</f>
        <v>95</v>
      </c>
      <c r="C11" s="42" t="n">
        <f aca="false">IFERROR(SUMIFS('Weaving KPI Data'!$S$5:$S$504,'Weaving KPI Data'!$G$5:$G$504,$B$4,'Weaving KPI Data'!$B$5:$B$504,"&gt;="&amp;$H$4,'Weaving KPI Data'!$B$5:$B$504,"&lt;="&amp;$B$5)/SUMIFS('Weaving KPI Data'!$R$5:$R$504,'Weaving KPI Data'!$G$5:$G$504,$B$4,'Weaving KPI Data'!$B$5:$B$504,"&gt;="&amp;$H$4,'Weaving KPI Data'!$B$5:$B$504,"&lt;="&amp;$B$5)*100,"")</f>
        <v>95.3125</v>
      </c>
      <c r="D11" s="54" t="n">
        <f aca="false">IF(C11="","",MIN(120,C11/B11*100))</f>
        <v>100.328947368421</v>
      </c>
      <c r="E11" s="41" t="n">
        <f aca="false">INDEX('Standards &amp; Scoring'!$D$5:$D$13,MATCH("Running / Availability",'Standards &amp; Scoring'!$A$5:$A$13,0))/100</f>
        <v>0.15</v>
      </c>
      <c r="F11" s="54" t="n">
        <f aca="false">IF(D11="","",MIN(D11,120)/100*E11)</f>
        <v>0.150493421052632</v>
      </c>
      <c r="G11" s="40" t="str">
        <f aca="false">IF(C11="","",IF(D11&gt;=100,"Meets / Exceeds",IF(D11&gt;=95,"Near Target","Needs Attention")))</f>
        <v>Meets / Exceeds</v>
      </c>
    </row>
    <row r="12" customFormat="false" ht="15" hidden="false" customHeight="true" outlineLevel="0" collapsed="false">
      <c r="A12" s="40" t="s">
        <v>462</v>
      </c>
      <c r="B12" s="42" t="n">
        <f aca="false">INDEX('Standards &amp; Scoring'!$E$5:$E$13,MATCH("Quality / Rejection",'Standards &amp; Scoring'!$A$5:$A$13,0))</f>
        <v>1</v>
      </c>
      <c r="C12" s="42" t="n">
        <f aca="false">IFERROR(SUMIFS('Weaving KPI Data'!$V$5:$V$504,'Weaving KPI Data'!$G$5:$G$504,$B$4,'Weaving KPI Data'!$B$5:$B$504,"&gt;="&amp;$H$4,'Weaving KPI Data'!$B$5:$B$504,"&lt;="&amp;$B$5)/SUMIFS('Weaving KPI Data'!$O$5:$O$504,'Weaving KPI Data'!$G$5:$G$504,$B$4,'Weaving KPI Data'!$B$5:$B$504,"&gt;="&amp;$H$4,'Weaving KPI Data'!$B$5:$B$504,"&lt;="&amp;$B$5)*100,"")</f>
        <v>2.83185840707965</v>
      </c>
      <c r="D12" s="54" t="n">
        <f aca="false">IF(C12="","",IF(C12=0,120,MIN(120,B12/C12*100)))</f>
        <v>35.3125</v>
      </c>
      <c r="E12" s="41" t="n">
        <f aca="false">INDEX('Standards &amp; Scoring'!$D$5:$D$13,MATCH("Quality / Rejection",'Standards &amp; Scoring'!$A$5:$A$13,0))/100</f>
        <v>0.15</v>
      </c>
      <c r="F12" s="54" t="n">
        <f aca="false">IF(D12="","",MIN(D12,120)/100*E12)</f>
        <v>0.05296875</v>
      </c>
      <c r="G12" s="40" t="str">
        <f aca="false">IF(C12="","",IF(D12&gt;=100,"Meets / Exceeds",IF(D12&gt;=95,"Near Target","Needs Attention")))</f>
        <v>Needs Attention</v>
      </c>
    </row>
    <row r="13" customFormat="false" ht="15" hidden="false" customHeight="true" outlineLevel="0" collapsed="false">
      <c r="A13" s="40" t="s">
        <v>465</v>
      </c>
      <c r="B13" s="42" t="n">
        <f aca="false">INDEX('Standards &amp; Scoring'!$E$5:$E$13,MATCH("Fault Control",'Standards &amp; Scoring'!$A$5:$A$13,0))</f>
        <v>10</v>
      </c>
      <c r="C13" s="42" t="n">
        <f aca="false">IFERROR(SUMIFS('Weaving KPI Data'!$AF$5:$AF$504,'Weaving KPI Data'!$G$5:$G$504,$B$4)/SUMIFS('Weaving KPI Data'!$O$5:$O$504,'Weaving KPI Data'!$G$5:$G$504,$B$4)*1000,"")</f>
        <v>16.8141592920354</v>
      </c>
      <c r="D13" s="54" t="n">
        <f aca="false">IF(C13="","",IF(C13=0,120,MIN(120,B13/C13*100)))</f>
        <v>59.4736842105263</v>
      </c>
      <c r="E13" s="41" t="n">
        <f aca="false">INDEX('Standards &amp; Scoring'!$D$5:$D$13,MATCH("Fault Control",'Standards &amp; Scoring'!$A$5:$A$13,0))/100</f>
        <v>0.1</v>
      </c>
      <c r="F13" s="54" t="n">
        <f aca="false">IF(D13="","",MIN(D13,120)/100*E13)</f>
        <v>0.0594736842105263</v>
      </c>
      <c r="G13" s="40" t="str">
        <f aca="false">IF(C13="","",IF(D13&gt;=100,"Meets / Exceeds",IF(D13&gt;=95,"Near Target","Needs Attention")))</f>
        <v>Needs Attention</v>
      </c>
    </row>
    <row r="14" customFormat="false" ht="15" hidden="false" customHeight="true" outlineLevel="0" collapsed="false">
      <c r="A14" s="40" t="s">
        <v>468</v>
      </c>
      <c r="B14" s="42" t="n">
        <f aca="false">INDEX('Standards &amp; Scoring'!$E$5:$E$13,MATCH("Downtime Control",'Standards &amp; Scoring'!$A$5:$A$13,0))</f>
        <v>20</v>
      </c>
      <c r="C14" s="42" t="str">
        <f aca="false">IFERROR(SUMIFS('Weaving KPI Data'!$52:$52,'Weaving KPI Data'!$G$5:$G$504,$B$4),"")</f>
        <v/>
      </c>
      <c r="D14" s="54" t="str">
        <f aca="false">IF(C14="","",IF(C14=0,120,MIN(120,B14/C14*100)))</f>
        <v/>
      </c>
      <c r="E14" s="41" t="n">
        <f aca="false">INDEX('Standards &amp; Scoring'!$D$5:$D$13,MATCH("Downtime Control",'Standards &amp; Scoring'!$A$5:$A$13,0))/100</f>
        <v>0.1</v>
      </c>
      <c r="F14" s="54" t="str">
        <f aca="false">IF(D14="","",MIN(D14,120)/100*E14)</f>
        <v/>
      </c>
      <c r="G14" s="40" t="str">
        <f aca="false">IF(C14="","",IF(D14&gt;=100,"Meets / Exceeds",IF(D14&gt;=95,"Near Target","Needs Attention")))</f>
        <v/>
      </c>
    </row>
    <row r="15" customFormat="false" ht="15" hidden="false" customHeight="true" outlineLevel="0" collapsed="false">
      <c r="A15" s="40" t="s">
        <v>471</v>
      </c>
      <c r="B15" s="42" t="n">
        <f aca="false">INDEX('Standards &amp; Scoring'!$E$5:$E$13,MATCH("Housekeeping / SOP",'Standards &amp; Scoring'!$A$5:$A$13,0))</f>
        <v>95</v>
      </c>
      <c r="C15" s="42" t="n">
        <f aca="false">IFERROR(AVERAGEIFS('Weaving KPI Data'!$AQ$5:$AQ$504,'Weaving KPI Data'!$G$5:$G$504,$B$4),"")</f>
        <v>35.3125</v>
      </c>
      <c r="D15" s="54" t="n">
        <f aca="false">IF(C15="","",MIN(120,C15/B15*100))</f>
        <v>37.171052631579</v>
      </c>
      <c r="E15" s="41" t="n">
        <f aca="false">INDEX('Standards &amp; Scoring'!$D$5:$D$13,MATCH("Housekeeping / SOP",'Standards &amp; Scoring'!$A$5:$A$13,0))/100</f>
        <v>0.05</v>
      </c>
      <c r="F15" s="54" t="n">
        <f aca="false">IF(D15="","",MIN(D15,120)/100*E15)</f>
        <v>0.0185855263157895</v>
      </c>
      <c r="G15" s="40" t="str">
        <f aca="false">IF(C15="","",IF(D15&gt;=100,"Meets / Exceeds",IF(D15&gt;=95,"Near Target","Needs Attention")))</f>
        <v>Needs Attention</v>
      </c>
    </row>
    <row r="16" customFormat="false" ht="15" hidden="false" customHeight="true" outlineLevel="0" collapsed="false">
      <c r="A16" s="40" t="s">
        <v>474</v>
      </c>
      <c r="B16" s="42" t="n">
        <f aca="false">INDEX('Standards &amp; Scoring'!$E$5:$E$13,MATCH("Attendance / Discipline",'Standards &amp; Scoring'!$A$5:$A$13,0))</f>
        <v>100</v>
      </c>
      <c r="C16" s="42" t="n">
        <f aca="false">IFERROR(AVERAGEIFS('Weaving KPI Data'!$AU$5:$AU$504,'Weaving KPI Data'!$G$5:$G$504,$B$4),"")</f>
        <v>100</v>
      </c>
      <c r="D16" s="54" t="n">
        <f aca="false">IF(C16="","",MIN(120,C16/B16*100))</f>
        <v>100</v>
      </c>
      <c r="E16" s="41" t="n">
        <f aca="false">INDEX('Standards &amp; Scoring'!$D$5:$D$13,MATCH("Attendance / Discipline",'Standards &amp; Scoring'!$A$5:$A$13,0))/100</f>
        <v>0.05</v>
      </c>
      <c r="F16" s="54" t="n">
        <f aca="false">IF(D16="","",MIN(D16,120)/100*E16)</f>
        <v>0.05</v>
      </c>
      <c r="G16" s="40" t="str">
        <f aca="false">IF(C16="","",IF(D16&gt;=100,"Meets / Exceeds",IF(D16&gt;=95,"Near Target","Needs Attention")))</f>
        <v>Meets / Exceeds</v>
      </c>
    </row>
    <row r="17" customFormat="false" ht="15" hidden="false" customHeight="true" outlineLevel="0" collapsed="false">
      <c r="A17" s="40" t="s">
        <v>476</v>
      </c>
      <c r="B17" s="42" t="n">
        <f aca="false">INDEX('Standards &amp; Scoring'!$E$5:$E$13,MATCH("Skill / Process Compliance",'Standards &amp; Scoring'!$A$5:$A$13,0))</f>
        <v>95</v>
      </c>
      <c r="C17" s="42" t="n">
        <f aca="false">IFERROR(AVERAGEIFS('Weaving KPI Data'!$AV$5:$AV$504,'Weaving KPI Data'!$G$5:$G$504,$B$4),"")</f>
        <v>90</v>
      </c>
      <c r="D17" s="54" t="n">
        <f aca="false">IF(C17="","",MIN(120,C17/B17*100))</f>
        <v>94.7368421052632</v>
      </c>
      <c r="E17" s="41" t="n">
        <f aca="false">INDEX('Standards &amp; Scoring'!$D$5:$D$13,MATCH("Skill / Process Compliance",'Standards &amp; Scoring'!$A$5:$A$13,0))/100</f>
        <v>0.05</v>
      </c>
      <c r="F17" s="54" t="n">
        <f aca="false">IF(D17="","",MIN(D17,120)/100*E17)</f>
        <v>0.0473684210526316</v>
      </c>
      <c r="G17" s="40" t="str">
        <f aca="false">IF(C17="","",IF(D17&gt;=100,"Meets / Exceeds",IF(D17&gt;=95,"Near Target","Needs Attention")))</f>
        <v>Needs Attention</v>
      </c>
    </row>
    <row r="18" customFormat="false" ht="15.75" hidden="false" customHeight="true" outlineLevel="0" collapsed="false">
      <c r="A18" s="55" t="s">
        <v>520</v>
      </c>
      <c r="B18" s="55"/>
      <c r="C18" s="55"/>
      <c r="D18" s="55"/>
      <c r="E18" s="55"/>
      <c r="F18" s="56" t="str">
        <f aca="false">IF(COUNT(F9:F17)&lt;9,"",SUM(F9:F17))</f>
        <v/>
      </c>
      <c r="G18" s="57" t="str">
        <f aca="false">IF(F18="","INCOMPLETE DATA",IF(F18&gt;=1.05,"A+",IF(F18&gt;=1,"A",IF(F18&gt;=0.95,"B+",IF(F18&gt;=0.9,"B","C")))))</f>
        <v>INCOMPLETE DATA</v>
      </c>
    </row>
    <row r="21" customFormat="false" ht="15.75" hidden="false" customHeight="true" outlineLevel="0" collapsed="false">
      <c r="A21" s="58" t="s">
        <v>521</v>
      </c>
      <c r="B21" s="58"/>
      <c r="C21" s="58"/>
      <c r="D21" s="58"/>
      <c r="E21" s="58"/>
      <c r="F21" s="58"/>
      <c r="G21" s="58"/>
      <c r="H21" s="58"/>
      <c r="I21" s="58"/>
      <c r="J21" s="58"/>
    </row>
    <row r="22" customFormat="false" ht="33.75" hidden="false" customHeight="true" outlineLevel="0" collapsed="false">
      <c r="A22" s="5" t="s">
        <v>4</v>
      </c>
      <c r="B22" s="5" t="s">
        <v>522</v>
      </c>
      <c r="C22" s="5" t="s">
        <v>13</v>
      </c>
      <c r="D22" s="5" t="s">
        <v>523</v>
      </c>
      <c r="E22" s="5" t="s">
        <v>15</v>
      </c>
      <c r="F22" s="5" t="s">
        <v>524</v>
      </c>
      <c r="G22" s="5" t="s">
        <v>525</v>
      </c>
      <c r="H22" s="5" t="s">
        <v>526</v>
      </c>
      <c r="I22" s="5" t="s">
        <v>527</v>
      </c>
      <c r="J22" s="5" t="s">
        <v>528</v>
      </c>
    </row>
    <row r="23" customFormat="false" ht="19.5" hidden="false" customHeight="true" outlineLevel="0" collapsed="false">
      <c r="A23" s="1" t="str">
        <f aca="false">IF($K23="","",INDEX('Weaving KPI Data'!$B$5:$B$504,$K23))</f>
        <v/>
      </c>
      <c r="B23" s="1" t="str">
        <f aca="false">IF($K23="","",INDEX('Weaving KPI Data'!$D$5:$D$504,$K23))</f>
        <v/>
      </c>
      <c r="C23" s="1" t="str">
        <f aca="false">IF($K23="","",INDEX('Weaving KPI Data'!$K$5:$K$504,$K23))</f>
        <v/>
      </c>
      <c r="D23" s="1" t="str">
        <f aca="false">IF($K23="","",INDEX('Weaving KPI Data'!$L$5:$L$504,$K23))</f>
        <v/>
      </c>
      <c r="E23" s="1" t="str">
        <f aca="false">IF($K23="","",INDEX('Weaving KPI Data'!$M$5:$M$504,$K23))</f>
        <v/>
      </c>
      <c r="F23" s="1" t="str">
        <f aca="false">IF($K23="","",INDEX('Weaving KPI Data'!$N$5:$N$504,$K23))</f>
        <v/>
      </c>
      <c r="G23" s="1" t="str">
        <f aca="false">IF($K23="","",INDEX('Weaving KPI Data'!$O$5:$O$504,$K23))</f>
        <v/>
      </c>
      <c r="H23" s="59" t="str">
        <f aca="false">IF($K23="","",INDEX('Weaving KPI Data'!$U$5:$U$504,$K23))</f>
        <v/>
      </c>
      <c r="I23" s="1" t="str">
        <f aca="false">IF($K23="","",INDEX('Weaving KPI Data'!$V$5:$V$504,$K23))</f>
        <v/>
      </c>
      <c r="J23" s="59" t="str">
        <f aca="false">IF($K23="","",INDEX('Weaving KPI Data'!$AG$5:$AG$504,$K23))</f>
        <v/>
      </c>
      <c r="K23" s="1" t="str">
        <f aca="false">IFERROR(aggregate(15,6,(ROW('Weaving KPI Data'!$B$5:$B$504)-ROW('Weaving KPI Data'!$B$5)+1)/(('Weaving KPI Data'!$G$5:$G$504=$B$4)*('Weaving KPI Data'!$B$5:$B$504&gt;=$H$4)*('Weaving KPI Data'!$B$5:$B$504&lt;=$B$5)),ROWS($A$1:A1)),"")</f>
        <v/>
      </c>
    </row>
    <row r="24" customFormat="false" ht="19.5" hidden="false" customHeight="true" outlineLevel="0" collapsed="false">
      <c r="A24" s="1" t="str">
        <f aca="false">IF($K24="","",INDEX('Weaving KPI Data'!$B$5:$B$504,$K24))</f>
        <v/>
      </c>
      <c r="B24" s="1" t="str">
        <f aca="false">IF($K24="","",INDEX('Weaving KPI Data'!$D$5:$D$504,$K24))</f>
        <v/>
      </c>
      <c r="C24" s="1" t="str">
        <f aca="false">IF($K24="","",INDEX('Weaving KPI Data'!$K$5:$K$504,$K24))</f>
        <v/>
      </c>
      <c r="D24" s="1" t="str">
        <f aca="false">IF($K24="","",INDEX('Weaving KPI Data'!$L$5:$L$504,$K24))</f>
        <v/>
      </c>
      <c r="E24" s="1" t="str">
        <f aca="false">IF($K24="","",INDEX('Weaving KPI Data'!$M$5:$M$504,$K24))</f>
        <v/>
      </c>
      <c r="F24" s="1" t="str">
        <f aca="false">IF($K24="","",INDEX('Weaving KPI Data'!$N$5:$N$504,$K24))</f>
        <v/>
      </c>
      <c r="G24" s="1" t="str">
        <f aca="false">IF($K24="","",INDEX('Weaving KPI Data'!$O$5:$O$504,$K24))</f>
        <v/>
      </c>
      <c r="H24" s="59" t="str">
        <f aca="false">IF($K24="","",INDEX('Weaving KPI Data'!$U$5:$U$504,$K24))</f>
        <v/>
      </c>
      <c r="I24" s="1" t="str">
        <f aca="false">IF($K24="","",INDEX('Weaving KPI Data'!$V$5:$V$504,$K24))</f>
        <v/>
      </c>
      <c r="J24" s="59" t="str">
        <f aca="false">IF($K24="","",INDEX('Weaving KPI Data'!$AG$5:$AG$504,$K24))</f>
        <v/>
      </c>
      <c r="K24" s="1" t="str">
        <f aca="false">IFERROR(aggregate(15,6,(ROW('Weaving KPI Data'!$B$5:$B$504)-ROW('Weaving KPI Data'!$B$5)+1)/(('Weaving KPI Data'!$G$5:$G$504=$B$4)*('Weaving KPI Data'!$B$5:$B$504&gt;=$H$4)*('Weaving KPI Data'!$B$5:$B$504&lt;=$B$5)),ROWS($A$1:A2)),"")</f>
        <v/>
      </c>
    </row>
    <row r="25" customFormat="false" ht="19.5" hidden="false" customHeight="true" outlineLevel="0" collapsed="false">
      <c r="A25" s="1" t="str">
        <f aca="false">IF($K25="","",INDEX('Weaving KPI Data'!$B$5:$B$504,$K25))</f>
        <v/>
      </c>
      <c r="B25" s="1" t="str">
        <f aca="false">IF($K25="","",INDEX('Weaving KPI Data'!$D$5:$D$504,$K25))</f>
        <v/>
      </c>
      <c r="C25" s="1" t="str">
        <f aca="false">IF($K25="","",INDEX('Weaving KPI Data'!$K$5:$K$504,$K25))</f>
        <v/>
      </c>
      <c r="D25" s="1" t="str">
        <f aca="false">IF($K25="","",INDEX('Weaving KPI Data'!$L$5:$L$504,$K25))</f>
        <v/>
      </c>
      <c r="E25" s="1" t="str">
        <f aca="false">IF($K25="","",INDEX('Weaving KPI Data'!$M$5:$M$504,$K25))</f>
        <v/>
      </c>
      <c r="F25" s="1" t="str">
        <f aca="false">IF($K25="","",INDEX('Weaving KPI Data'!$N$5:$N$504,$K25))</f>
        <v/>
      </c>
      <c r="G25" s="1" t="str">
        <f aca="false">IF($K25="","",INDEX('Weaving KPI Data'!$O$5:$O$504,$K25))</f>
        <v/>
      </c>
      <c r="H25" s="59" t="str">
        <f aca="false">IF($K25="","",INDEX('Weaving KPI Data'!$U$5:$U$504,$K25))</f>
        <v/>
      </c>
      <c r="I25" s="1" t="str">
        <f aca="false">IF($K25="","",INDEX('Weaving KPI Data'!$V$5:$V$504,$K25))</f>
        <v/>
      </c>
      <c r="J25" s="59" t="str">
        <f aca="false">IF($K25="","",INDEX('Weaving KPI Data'!$AG$5:$AG$504,$K25))</f>
        <v/>
      </c>
      <c r="K25" s="1" t="str">
        <f aca="false">IFERROR(aggregate(15,6,(ROW('Weaving KPI Data'!$B$5:$B$504)-ROW('Weaving KPI Data'!$B$5)+1)/(('Weaving KPI Data'!$G$5:$G$504=$B$4)*('Weaving KPI Data'!$B$5:$B$504&gt;=$H$4)*('Weaving KPI Data'!$B$5:$B$504&lt;=$B$5)),ROWS($A$1:A3)),"")</f>
        <v/>
      </c>
    </row>
    <row r="26" customFormat="false" ht="19.5" hidden="false" customHeight="true" outlineLevel="0" collapsed="false">
      <c r="A26" s="1" t="str">
        <f aca="false">IF($K26="","",INDEX('Weaving KPI Data'!$B$5:$B$504,$K26))</f>
        <v/>
      </c>
      <c r="B26" s="1" t="str">
        <f aca="false">IF($K26="","",INDEX('Weaving KPI Data'!$D$5:$D$504,$K26))</f>
        <v/>
      </c>
      <c r="C26" s="1" t="str">
        <f aca="false">IF($K26="","",INDEX('Weaving KPI Data'!$K$5:$K$504,$K26))</f>
        <v/>
      </c>
      <c r="D26" s="1" t="str">
        <f aca="false">IF($K26="","",INDEX('Weaving KPI Data'!$L$5:$L$504,$K26))</f>
        <v/>
      </c>
      <c r="E26" s="1" t="str">
        <f aca="false">IF($K26="","",INDEX('Weaving KPI Data'!$M$5:$M$504,$K26))</f>
        <v/>
      </c>
      <c r="F26" s="1" t="str">
        <f aca="false">IF($K26="","",INDEX('Weaving KPI Data'!$N$5:$N$504,$K26))</f>
        <v/>
      </c>
      <c r="G26" s="1" t="str">
        <f aca="false">IF($K26="","",INDEX('Weaving KPI Data'!$O$5:$O$504,$K26))</f>
        <v/>
      </c>
      <c r="H26" s="59" t="str">
        <f aca="false">IF($K26="","",INDEX('Weaving KPI Data'!$U$5:$U$504,$K26))</f>
        <v/>
      </c>
      <c r="I26" s="1" t="str">
        <f aca="false">IF($K26="","",INDEX('Weaving KPI Data'!$V$5:$V$504,$K26))</f>
        <v/>
      </c>
      <c r="J26" s="59" t="str">
        <f aca="false">IF($K26="","",INDEX('Weaving KPI Data'!$AG$5:$AG$504,$K26))</f>
        <v/>
      </c>
      <c r="K26" s="1" t="str">
        <f aca="false">IFERROR(aggregate(15,6,(ROW('Weaving KPI Data'!$B$5:$B$504)-ROW('Weaving KPI Data'!$B$5)+1)/(('Weaving KPI Data'!$G$5:$G$504=$B$4)*('Weaving KPI Data'!$B$5:$B$504&gt;=$H$4)*('Weaving KPI Data'!$B$5:$B$504&lt;=$B$5)),ROWS($A$1:A4)),"")</f>
        <v/>
      </c>
    </row>
    <row r="27" customFormat="false" ht="19.5" hidden="false" customHeight="true" outlineLevel="0" collapsed="false">
      <c r="A27" s="1" t="str">
        <f aca="false">IF($K27="","",INDEX('Weaving KPI Data'!$B$5:$B$504,$K27))</f>
        <v/>
      </c>
      <c r="B27" s="1" t="str">
        <f aca="false">IF($K27="","",INDEX('Weaving KPI Data'!$D$5:$D$504,$K27))</f>
        <v/>
      </c>
      <c r="C27" s="1" t="str">
        <f aca="false">IF($K27="","",INDEX('Weaving KPI Data'!$K$5:$K$504,$K27))</f>
        <v/>
      </c>
      <c r="D27" s="1" t="str">
        <f aca="false">IF($K27="","",INDEX('Weaving KPI Data'!$L$5:$L$504,$K27))</f>
        <v/>
      </c>
      <c r="E27" s="1" t="str">
        <f aca="false">IF($K27="","",INDEX('Weaving KPI Data'!$M$5:$M$504,$K27))</f>
        <v/>
      </c>
      <c r="F27" s="1" t="str">
        <f aca="false">IF($K27="","",INDEX('Weaving KPI Data'!$N$5:$N$504,$K27))</f>
        <v/>
      </c>
      <c r="G27" s="1" t="str">
        <f aca="false">IF($K27="","",INDEX('Weaving KPI Data'!$O$5:$O$504,$K27))</f>
        <v/>
      </c>
      <c r="H27" s="59" t="str">
        <f aca="false">IF($K27="","",INDEX('Weaving KPI Data'!$U$5:$U$504,$K27))</f>
        <v/>
      </c>
      <c r="I27" s="1" t="str">
        <f aca="false">IF($K27="","",INDEX('Weaving KPI Data'!$V$5:$V$504,$K27))</f>
        <v/>
      </c>
      <c r="J27" s="59" t="str">
        <f aca="false">IF($K27="","",INDEX('Weaving KPI Data'!$AG$5:$AG$504,$K27))</f>
        <v/>
      </c>
      <c r="K27" s="1" t="str">
        <f aca="false">IFERROR(aggregate(15,6,(ROW('Weaving KPI Data'!$B$5:$B$504)-ROW('Weaving KPI Data'!$B$5)+1)/(('Weaving KPI Data'!$G$5:$G$504=$B$4)*('Weaving KPI Data'!$B$5:$B$504&gt;=$H$4)*('Weaving KPI Data'!$B$5:$B$504&lt;=$B$5)),ROWS($A$1:A5)),"")</f>
        <v/>
      </c>
    </row>
    <row r="28" customFormat="false" ht="19.5" hidden="false" customHeight="true" outlineLevel="0" collapsed="false">
      <c r="A28" s="1" t="str">
        <f aca="false">IF($K28="","",INDEX('Weaving KPI Data'!$B$5:$B$504,$K28))</f>
        <v/>
      </c>
      <c r="B28" s="1" t="str">
        <f aca="false">IF($K28="","",INDEX('Weaving KPI Data'!$D$5:$D$504,$K28))</f>
        <v/>
      </c>
      <c r="C28" s="1" t="str">
        <f aca="false">IF($K28="","",INDEX('Weaving KPI Data'!$K$5:$K$504,$K28))</f>
        <v/>
      </c>
      <c r="D28" s="1" t="str">
        <f aca="false">IF($K28="","",INDEX('Weaving KPI Data'!$L$5:$L$504,$K28))</f>
        <v/>
      </c>
      <c r="E28" s="1" t="str">
        <f aca="false">IF($K28="","",INDEX('Weaving KPI Data'!$M$5:$M$504,$K28))</f>
        <v/>
      </c>
      <c r="F28" s="1" t="str">
        <f aca="false">IF($K28="","",INDEX('Weaving KPI Data'!$N$5:$N$504,$K28))</f>
        <v/>
      </c>
      <c r="G28" s="1" t="str">
        <f aca="false">IF($K28="","",INDEX('Weaving KPI Data'!$O$5:$O$504,$K28))</f>
        <v/>
      </c>
      <c r="H28" s="59" t="str">
        <f aca="false">IF($K28="","",INDEX('Weaving KPI Data'!$U$5:$U$504,$K28))</f>
        <v/>
      </c>
      <c r="I28" s="1" t="str">
        <f aca="false">IF($K28="","",INDEX('Weaving KPI Data'!$V$5:$V$504,$K28))</f>
        <v/>
      </c>
      <c r="J28" s="59" t="str">
        <f aca="false">IF($K28="","",INDEX('Weaving KPI Data'!$AG$5:$AG$504,$K28))</f>
        <v/>
      </c>
      <c r="K28" s="1" t="str">
        <f aca="false">IFERROR(aggregate(15,6,(ROW('Weaving KPI Data'!$B$5:$B$504)-ROW('Weaving KPI Data'!$B$5)+1)/(('Weaving KPI Data'!$G$5:$G$504=$B$4)*('Weaving KPI Data'!$B$5:$B$504&gt;=$H$4)*('Weaving KPI Data'!$B$5:$B$504&lt;=$B$5)),ROWS($A$1:A6)),"")</f>
        <v/>
      </c>
    </row>
    <row r="29" customFormat="false" ht="19.5" hidden="false" customHeight="true" outlineLevel="0" collapsed="false">
      <c r="A29" s="1" t="str">
        <f aca="false">IF($K29="","",INDEX('Weaving KPI Data'!$B$5:$B$504,$K29))</f>
        <v/>
      </c>
      <c r="B29" s="1" t="str">
        <f aca="false">IF($K29="","",INDEX('Weaving KPI Data'!$D$5:$D$504,$K29))</f>
        <v/>
      </c>
      <c r="C29" s="1" t="str">
        <f aca="false">IF($K29="","",INDEX('Weaving KPI Data'!$K$5:$K$504,$K29))</f>
        <v/>
      </c>
      <c r="D29" s="1" t="str">
        <f aca="false">IF($K29="","",INDEX('Weaving KPI Data'!$L$5:$L$504,$K29))</f>
        <v/>
      </c>
      <c r="E29" s="1" t="str">
        <f aca="false">IF($K29="","",INDEX('Weaving KPI Data'!$M$5:$M$504,$K29))</f>
        <v/>
      </c>
      <c r="F29" s="1" t="str">
        <f aca="false">IF($K29="","",INDEX('Weaving KPI Data'!$N$5:$N$504,$K29))</f>
        <v/>
      </c>
      <c r="G29" s="1" t="str">
        <f aca="false">IF($K29="","",INDEX('Weaving KPI Data'!$O$5:$O$504,$K29))</f>
        <v/>
      </c>
      <c r="H29" s="59" t="str">
        <f aca="false">IF($K29="","",INDEX('Weaving KPI Data'!$U$5:$U$504,$K29))</f>
        <v/>
      </c>
      <c r="I29" s="1" t="str">
        <f aca="false">IF($K29="","",INDEX('Weaving KPI Data'!$V$5:$V$504,$K29))</f>
        <v/>
      </c>
      <c r="J29" s="59" t="str">
        <f aca="false">IF($K29="","",INDEX('Weaving KPI Data'!$AG$5:$AG$504,$K29))</f>
        <v/>
      </c>
      <c r="K29" s="1" t="str">
        <f aca="false">IFERROR(aggregate(15,6,(ROW('Weaving KPI Data'!$B$5:$B$504)-ROW('Weaving KPI Data'!$B$5)+1)/(('Weaving KPI Data'!$G$5:$G$504=$B$4)*('Weaving KPI Data'!$B$5:$B$504&gt;=$H$4)*('Weaving KPI Data'!$B$5:$B$504&lt;=$B$5)),ROWS($A$1:A7)),"")</f>
        <v/>
      </c>
    </row>
    <row r="30" customFormat="false" ht="19.5" hidden="false" customHeight="true" outlineLevel="0" collapsed="false">
      <c r="A30" s="1" t="str">
        <f aca="false">IF($K30="","",INDEX('Weaving KPI Data'!$B$5:$B$504,$K30))</f>
        <v/>
      </c>
      <c r="B30" s="1" t="str">
        <f aca="false">IF($K30="","",INDEX('Weaving KPI Data'!$D$5:$D$504,$K30))</f>
        <v/>
      </c>
      <c r="C30" s="1" t="str">
        <f aca="false">IF($K30="","",INDEX('Weaving KPI Data'!$K$5:$K$504,$K30))</f>
        <v/>
      </c>
      <c r="D30" s="1" t="str">
        <f aca="false">IF($K30="","",INDEX('Weaving KPI Data'!$L$5:$L$504,$K30))</f>
        <v/>
      </c>
      <c r="E30" s="1" t="str">
        <f aca="false">IF($K30="","",INDEX('Weaving KPI Data'!$M$5:$M$504,$K30))</f>
        <v/>
      </c>
      <c r="F30" s="1" t="str">
        <f aca="false">IF($K30="","",INDEX('Weaving KPI Data'!$N$5:$N$504,$K30))</f>
        <v/>
      </c>
      <c r="G30" s="1" t="str">
        <f aca="false">IF($K30="","",INDEX('Weaving KPI Data'!$O$5:$O$504,$K30))</f>
        <v/>
      </c>
      <c r="H30" s="59" t="str">
        <f aca="false">IF($K30="","",INDEX('Weaving KPI Data'!$U$5:$U$504,$K30))</f>
        <v/>
      </c>
      <c r="I30" s="1" t="str">
        <f aca="false">IF($K30="","",INDEX('Weaving KPI Data'!$V$5:$V$504,$K30))</f>
        <v/>
      </c>
      <c r="J30" s="59" t="str">
        <f aca="false">IF($K30="","",INDEX('Weaving KPI Data'!$AG$5:$AG$504,$K30))</f>
        <v/>
      </c>
      <c r="K30" s="1" t="str">
        <f aca="false">IFERROR(aggregate(15,6,(ROW('Weaving KPI Data'!$B$5:$B$504)-ROW('Weaving KPI Data'!$B$5)+1)/(('Weaving KPI Data'!$G$5:$G$504=$B$4)*('Weaving KPI Data'!$B$5:$B$504&gt;=$H$4)*('Weaving KPI Data'!$B$5:$B$504&lt;=$B$5)),ROWS($A$1:A8)),"")</f>
        <v/>
      </c>
    </row>
    <row r="31" customFormat="false" ht="19.5" hidden="false" customHeight="true" outlineLevel="0" collapsed="false">
      <c r="A31" s="1" t="str">
        <f aca="false">IF($K31="","",INDEX('Weaving KPI Data'!$B$5:$B$504,$K31))</f>
        <v/>
      </c>
      <c r="B31" s="1" t="str">
        <f aca="false">IF($K31="","",INDEX('Weaving KPI Data'!$D$5:$D$504,$K31))</f>
        <v/>
      </c>
      <c r="C31" s="1" t="str">
        <f aca="false">IF($K31="","",INDEX('Weaving KPI Data'!$K$5:$K$504,$K31))</f>
        <v/>
      </c>
      <c r="D31" s="1" t="str">
        <f aca="false">IF($K31="","",INDEX('Weaving KPI Data'!$L$5:$L$504,$K31))</f>
        <v/>
      </c>
      <c r="E31" s="1" t="str">
        <f aca="false">IF($K31="","",INDEX('Weaving KPI Data'!$M$5:$M$504,$K31))</f>
        <v/>
      </c>
      <c r="F31" s="1" t="str">
        <f aca="false">IF($K31="","",INDEX('Weaving KPI Data'!$N$5:$N$504,$K31))</f>
        <v/>
      </c>
      <c r="G31" s="1" t="str">
        <f aca="false">IF($K31="","",INDEX('Weaving KPI Data'!$O$5:$O$504,$K31))</f>
        <v/>
      </c>
      <c r="H31" s="59" t="str">
        <f aca="false">IF($K31="","",INDEX('Weaving KPI Data'!$U$5:$U$504,$K31))</f>
        <v/>
      </c>
      <c r="I31" s="1" t="str">
        <f aca="false">IF($K31="","",INDEX('Weaving KPI Data'!$V$5:$V$504,$K31))</f>
        <v/>
      </c>
      <c r="J31" s="59" t="str">
        <f aca="false">IF($K31="","",INDEX('Weaving KPI Data'!$AG$5:$AG$504,$K31))</f>
        <v/>
      </c>
      <c r="K31" s="1" t="str">
        <f aca="false">IFERROR(aggregate(15,6,(ROW('Weaving KPI Data'!$B$5:$B$504)-ROW('Weaving KPI Data'!$B$5)+1)/(('Weaving KPI Data'!$G$5:$G$504=$B$4)*('Weaving KPI Data'!$B$5:$B$504&gt;=$H$4)*('Weaving KPI Data'!$B$5:$B$504&lt;=$B$5)),ROWS($A$1:A9)),"")</f>
        <v/>
      </c>
    </row>
    <row r="32" customFormat="false" ht="19.5" hidden="false" customHeight="true" outlineLevel="0" collapsed="false">
      <c r="A32" s="1" t="str">
        <f aca="false">IF($K32="","",INDEX('Weaving KPI Data'!$B$5:$B$504,$K32))</f>
        <v/>
      </c>
      <c r="B32" s="1" t="str">
        <f aca="false">IF($K32="","",INDEX('Weaving KPI Data'!$D$5:$D$504,$K32))</f>
        <v/>
      </c>
      <c r="C32" s="1" t="str">
        <f aca="false">IF($K32="","",INDEX('Weaving KPI Data'!$K$5:$K$504,$K32))</f>
        <v/>
      </c>
      <c r="D32" s="1" t="str">
        <f aca="false">IF($K32="","",INDEX('Weaving KPI Data'!$L$5:$L$504,$K32))</f>
        <v/>
      </c>
      <c r="E32" s="1" t="str">
        <f aca="false">IF($K32="","",INDEX('Weaving KPI Data'!$M$5:$M$504,$K32))</f>
        <v/>
      </c>
      <c r="F32" s="1" t="str">
        <f aca="false">IF($K32="","",INDEX('Weaving KPI Data'!$N$5:$N$504,$K32))</f>
        <v/>
      </c>
      <c r="G32" s="1" t="str">
        <f aca="false">IF($K32="","",INDEX('Weaving KPI Data'!$O$5:$O$504,$K32))</f>
        <v/>
      </c>
      <c r="H32" s="59" t="str">
        <f aca="false">IF($K32="","",INDEX('Weaving KPI Data'!$U$5:$U$504,$K32))</f>
        <v/>
      </c>
      <c r="I32" s="1" t="str">
        <f aca="false">IF($K32="","",INDEX('Weaving KPI Data'!$V$5:$V$504,$K32))</f>
        <v/>
      </c>
      <c r="J32" s="59" t="str">
        <f aca="false">IF($K32="","",INDEX('Weaving KPI Data'!$AG$5:$AG$504,$K32))</f>
        <v/>
      </c>
      <c r="K32" s="1" t="str">
        <f aca="false">IFERROR(aggregate(15,6,(ROW('Weaving KPI Data'!$B$5:$B$504)-ROW('Weaving KPI Data'!$B$5)+1)/(('Weaving KPI Data'!$G$5:$G$504=$B$4)*('Weaving KPI Data'!$B$5:$B$504&gt;=$H$4)*('Weaving KPI Data'!$B$5:$B$504&lt;=$B$5)),ROWS($A$1:A10)),"")</f>
        <v/>
      </c>
    </row>
    <row r="33" customFormat="false" ht="19.5" hidden="false" customHeight="true" outlineLevel="0" collapsed="false">
      <c r="A33" s="1" t="str">
        <f aca="false">IF($K33="","",INDEX('Weaving KPI Data'!$B$5:$B$504,$K33))</f>
        <v/>
      </c>
      <c r="B33" s="1" t="str">
        <f aca="false">IF($K33="","",INDEX('Weaving KPI Data'!$D$5:$D$504,$K33))</f>
        <v/>
      </c>
      <c r="C33" s="1" t="str">
        <f aca="false">IF($K33="","",INDEX('Weaving KPI Data'!$K$5:$K$504,$K33))</f>
        <v/>
      </c>
      <c r="D33" s="1" t="str">
        <f aca="false">IF($K33="","",INDEX('Weaving KPI Data'!$L$5:$L$504,$K33))</f>
        <v/>
      </c>
      <c r="E33" s="1" t="str">
        <f aca="false">IF($K33="","",INDEX('Weaving KPI Data'!$M$5:$M$504,$K33))</f>
        <v/>
      </c>
      <c r="F33" s="1" t="str">
        <f aca="false">IF($K33="","",INDEX('Weaving KPI Data'!$N$5:$N$504,$K33))</f>
        <v/>
      </c>
      <c r="G33" s="1" t="str">
        <f aca="false">IF($K33="","",INDEX('Weaving KPI Data'!$O$5:$O$504,$K33))</f>
        <v/>
      </c>
      <c r="H33" s="59" t="str">
        <f aca="false">IF($K33="","",INDEX('Weaving KPI Data'!$U$5:$U$504,$K33))</f>
        <v/>
      </c>
      <c r="I33" s="1" t="str">
        <f aca="false">IF($K33="","",INDEX('Weaving KPI Data'!$V$5:$V$504,$K33))</f>
        <v/>
      </c>
      <c r="J33" s="59" t="str">
        <f aca="false">IF($K33="","",INDEX('Weaving KPI Data'!$AG$5:$AG$504,$K33))</f>
        <v/>
      </c>
      <c r="K33" s="1" t="str">
        <f aca="false">IFERROR(aggregate(15,6,(ROW('Weaving KPI Data'!$B$5:$B$504)-ROW('Weaving KPI Data'!$B$5)+1)/(('Weaving KPI Data'!$G$5:$G$504=$B$4)*('Weaving KPI Data'!$B$5:$B$504&gt;=$H$4)*('Weaving KPI Data'!$B$5:$B$504&lt;=$B$5)),ROWS($A$1:A11)),"")</f>
        <v/>
      </c>
    </row>
    <row r="34" customFormat="false" ht="19.5" hidden="false" customHeight="true" outlineLevel="0" collapsed="false">
      <c r="A34" s="1" t="str">
        <f aca="false">IF($K34="","",INDEX('Weaving KPI Data'!$B$5:$B$504,$K34))</f>
        <v/>
      </c>
      <c r="B34" s="1" t="str">
        <f aca="false">IF($K34="","",INDEX('Weaving KPI Data'!$D$5:$D$504,$K34))</f>
        <v/>
      </c>
      <c r="C34" s="1" t="str">
        <f aca="false">IF($K34="","",INDEX('Weaving KPI Data'!$K$5:$K$504,$K34))</f>
        <v/>
      </c>
      <c r="D34" s="1" t="str">
        <f aca="false">IF($K34="","",INDEX('Weaving KPI Data'!$L$5:$L$504,$K34))</f>
        <v/>
      </c>
      <c r="E34" s="1" t="str">
        <f aca="false">IF($K34="","",INDEX('Weaving KPI Data'!$M$5:$M$504,$K34))</f>
        <v/>
      </c>
      <c r="F34" s="1" t="str">
        <f aca="false">IF($K34="","",INDEX('Weaving KPI Data'!$N$5:$N$504,$K34))</f>
        <v/>
      </c>
      <c r="G34" s="1" t="str">
        <f aca="false">IF($K34="","",INDEX('Weaving KPI Data'!$O$5:$O$504,$K34))</f>
        <v/>
      </c>
      <c r="H34" s="59" t="str">
        <f aca="false">IF($K34="","",INDEX('Weaving KPI Data'!$U$5:$U$504,$K34))</f>
        <v/>
      </c>
      <c r="I34" s="1" t="str">
        <f aca="false">IF($K34="","",INDEX('Weaving KPI Data'!$V$5:$V$504,$K34))</f>
        <v/>
      </c>
      <c r="J34" s="59" t="str">
        <f aca="false">IF($K34="","",INDEX('Weaving KPI Data'!$AG$5:$AG$504,$K34))</f>
        <v/>
      </c>
      <c r="K34" s="1" t="str">
        <f aca="false">IFERROR(aggregate(15,6,(ROW('Weaving KPI Data'!$B$5:$B$504)-ROW('Weaving KPI Data'!$B$5)+1)/(('Weaving KPI Data'!$G$5:$G$504=$B$4)*('Weaving KPI Data'!$B$5:$B$504&gt;=$H$4)*('Weaving KPI Data'!$B$5:$B$504&lt;=$B$5)),ROWS($A$1:A12)),"")</f>
        <v/>
      </c>
    </row>
    <row r="35" customFormat="false" ht="19.5" hidden="false" customHeight="true" outlineLevel="0" collapsed="false">
      <c r="A35" s="1" t="str">
        <f aca="false">IF($K35="","",INDEX('Weaving KPI Data'!$B$5:$B$504,$K35))</f>
        <v/>
      </c>
      <c r="B35" s="1" t="str">
        <f aca="false">IF($K35="","",INDEX('Weaving KPI Data'!$D$5:$D$504,$K35))</f>
        <v/>
      </c>
      <c r="C35" s="1" t="str">
        <f aca="false">IF($K35="","",INDEX('Weaving KPI Data'!$K$5:$K$504,$K35))</f>
        <v/>
      </c>
      <c r="D35" s="1" t="str">
        <f aca="false">IF($K35="","",INDEX('Weaving KPI Data'!$L$5:$L$504,$K35))</f>
        <v/>
      </c>
      <c r="E35" s="1" t="str">
        <f aca="false">IF($K35="","",INDEX('Weaving KPI Data'!$M$5:$M$504,$K35))</f>
        <v/>
      </c>
      <c r="F35" s="1" t="str">
        <f aca="false">IF($K35="","",INDEX('Weaving KPI Data'!$N$5:$N$504,$K35))</f>
        <v/>
      </c>
      <c r="G35" s="1" t="str">
        <f aca="false">IF($K35="","",INDEX('Weaving KPI Data'!$O$5:$O$504,$K35))</f>
        <v/>
      </c>
      <c r="H35" s="59" t="str">
        <f aca="false">IF($K35="","",INDEX('Weaving KPI Data'!$U$5:$U$504,$K35))</f>
        <v/>
      </c>
      <c r="I35" s="1" t="str">
        <f aca="false">IF($K35="","",INDEX('Weaving KPI Data'!$V$5:$V$504,$K35))</f>
        <v/>
      </c>
      <c r="J35" s="59" t="str">
        <f aca="false">IF($K35="","",INDEX('Weaving KPI Data'!$AG$5:$AG$504,$K35))</f>
        <v/>
      </c>
      <c r="K35" s="1" t="str">
        <f aca="false">IFERROR(aggregate(15,6,(ROW('Weaving KPI Data'!$B$5:$B$504)-ROW('Weaving KPI Data'!$B$5)+1)/(('Weaving KPI Data'!$G$5:$G$504=$B$4)*('Weaving KPI Data'!$B$5:$B$504&gt;=$H$4)*('Weaving KPI Data'!$B$5:$B$504&lt;=$B$5)),ROWS($A$1:A13)),"")</f>
        <v/>
      </c>
    </row>
    <row r="36" customFormat="false" ht="19.5" hidden="false" customHeight="true" outlineLevel="0" collapsed="false">
      <c r="A36" s="1" t="str">
        <f aca="false">IF($K36="","",INDEX('Weaving KPI Data'!$B$5:$B$504,$K36))</f>
        <v/>
      </c>
      <c r="B36" s="1" t="str">
        <f aca="false">IF($K36="","",INDEX('Weaving KPI Data'!$D$5:$D$504,$K36))</f>
        <v/>
      </c>
      <c r="C36" s="1" t="str">
        <f aca="false">IF($K36="","",INDEX('Weaving KPI Data'!$K$5:$K$504,$K36))</f>
        <v/>
      </c>
      <c r="D36" s="1" t="str">
        <f aca="false">IF($K36="","",INDEX('Weaving KPI Data'!$L$5:$L$504,$K36))</f>
        <v/>
      </c>
      <c r="E36" s="1" t="str">
        <f aca="false">IF($K36="","",INDEX('Weaving KPI Data'!$M$5:$M$504,$K36))</f>
        <v/>
      </c>
      <c r="F36" s="1" t="str">
        <f aca="false">IF($K36="","",INDEX('Weaving KPI Data'!$N$5:$N$504,$K36))</f>
        <v/>
      </c>
      <c r="G36" s="1" t="str">
        <f aca="false">IF($K36="","",INDEX('Weaving KPI Data'!$O$5:$O$504,$K36))</f>
        <v/>
      </c>
      <c r="H36" s="59" t="str">
        <f aca="false">IF($K36="","",INDEX('Weaving KPI Data'!$U$5:$U$504,$K36))</f>
        <v/>
      </c>
      <c r="I36" s="1" t="str">
        <f aca="false">IF($K36="","",INDEX('Weaving KPI Data'!$V$5:$V$504,$K36))</f>
        <v/>
      </c>
      <c r="J36" s="59" t="str">
        <f aca="false">IF($K36="","",INDEX('Weaving KPI Data'!$AG$5:$AG$504,$K36))</f>
        <v/>
      </c>
      <c r="K36" s="1" t="str">
        <f aca="false">IFERROR(aggregate(15,6,(ROW('Weaving KPI Data'!$B$5:$B$504)-ROW('Weaving KPI Data'!$B$5)+1)/(('Weaving KPI Data'!$G$5:$G$504=$B$4)*('Weaving KPI Data'!$B$5:$B$504&gt;=$H$4)*('Weaving KPI Data'!$B$5:$B$504&lt;=$B$5)),ROWS($A$1:A14)),"")</f>
        <v/>
      </c>
    </row>
    <row r="37" customFormat="false" ht="19.5" hidden="false" customHeight="true" outlineLevel="0" collapsed="false">
      <c r="A37" s="1" t="str">
        <f aca="false">IF($K37="","",INDEX('Weaving KPI Data'!$B$5:$B$504,$K37))</f>
        <v/>
      </c>
      <c r="B37" s="1" t="str">
        <f aca="false">IF($K37="","",INDEX('Weaving KPI Data'!$D$5:$D$504,$K37))</f>
        <v/>
      </c>
      <c r="C37" s="1" t="str">
        <f aca="false">IF($K37="","",INDEX('Weaving KPI Data'!$K$5:$K$504,$K37))</f>
        <v/>
      </c>
      <c r="D37" s="1" t="str">
        <f aca="false">IF($K37="","",INDEX('Weaving KPI Data'!$L$5:$L$504,$K37))</f>
        <v/>
      </c>
      <c r="E37" s="1" t="str">
        <f aca="false">IF($K37="","",INDEX('Weaving KPI Data'!$M$5:$M$504,$K37))</f>
        <v/>
      </c>
      <c r="F37" s="1" t="str">
        <f aca="false">IF($K37="","",INDEX('Weaving KPI Data'!$N$5:$N$504,$K37))</f>
        <v/>
      </c>
      <c r="G37" s="1" t="str">
        <f aca="false">IF($K37="","",INDEX('Weaving KPI Data'!$O$5:$O$504,$K37))</f>
        <v/>
      </c>
      <c r="H37" s="59" t="str">
        <f aca="false">IF($K37="","",INDEX('Weaving KPI Data'!$U$5:$U$504,$K37))</f>
        <v/>
      </c>
      <c r="I37" s="1" t="str">
        <f aca="false">IF($K37="","",INDEX('Weaving KPI Data'!$V$5:$V$504,$K37))</f>
        <v/>
      </c>
      <c r="J37" s="59" t="str">
        <f aca="false">IF($K37="","",INDEX('Weaving KPI Data'!$AG$5:$AG$504,$K37))</f>
        <v/>
      </c>
      <c r="K37" s="1" t="str">
        <f aca="false">IFERROR(aggregate(15,6,(ROW('Weaving KPI Data'!$B$5:$B$504)-ROW('Weaving KPI Data'!$B$5)+1)/(('Weaving KPI Data'!$G$5:$G$504=$B$4)*('Weaving KPI Data'!$B$5:$B$504&gt;=$H$4)*('Weaving KPI Data'!$B$5:$B$504&lt;=$B$5)),ROWS($A$1:A15)),"")</f>
        <v/>
      </c>
    </row>
    <row r="38" customFormat="false" ht="19.5" hidden="false" customHeight="true" outlineLevel="0" collapsed="false">
      <c r="A38" s="1" t="str">
        <f aca="false">IF($K38="","",INDEX('Weaving KPI Data'!$B$5:$B$504,$K38))</f>
        <v/>
      </c>
      <c r="B38" s="1" t="str">
        <f aca="false">IF($K38="","",INDEX('Weaving KPI Data'!$D$5:$D$504,$K38))</f>
        <v/>
      </c>
      <c r="C38" s="1" t="str">
        <f aca="false">IF($K38="","",INDEX('Weaving KPI Data'!$K$5:$K$504,$K38))</f>
        <v/>
      </c>
      <c r="D38" s="1" t="str">
        <f aca="false">IF($K38="","",INDEX('Weaving KPI Data'!$L$5:$L$504,$K38))</f>
        <v/>
      </c>
      <c r="E38" s="1" t="str">
        <f aca="false">IF($K38="","",INDEX('Weaving KPI Data'!$M$5:$M$504,$K38))</f>
        <v/>
      </c>
      <c r="F38" s="1" t="str">
        <f aca="false">IF($K38="","",INDEX('Weaving KPI Data'!$N$5:$N$504,$K38))</f>
        <v/>
      </c>
      <c r="G38" s="1" t="str">
        <f aca="false">IF($K38="","",INDEX('Weaving KPI Data'!$O$5:$O$504,$K38))</f>
        <v/>
      </c>
      <c r="H38" s="59" t="str">
        <f aca="false">IF($K38="","",INDEX('Weaving KPI Data'!$U$5:$U$504,$K38))</f>
        <v/>
      </c>
      <c r="I38" s="1" t="str">
        <f aca="false">IF($K38="","",INDEX('Weaving KPI Data'!$V$5:$V$504,$K38))</f>
        <v/>
      </c>
      <c r="J38" s="59" t="str">
        <f aca="false">IF($K38="","",INDEX('Weaving KPI Data'!$AG$5:$AG$504,$K38))</f>
        <v/>
      </c>
      <c r="K38" s="1" t="str">
        <f aca="false">IFERROR(aggregate(15,6,(ROW('Weaving KPI Data'!$B$5:$B$504)-ROW('Weaving KPI Data'!$B$5)+1)/(('Weaving KPI Data'!$G$5:$G$504=$B$4)*('Weaving KPI Data'!$B$5:$B$504&gt;=$H$4)*('Weaving KPI Data'!$B$5:$B$504&lt;=$B$5)),ROWS($A$1:A16)),"")</f>
        <v/>
      </c>
    </row>
    <row r="39" customFormat="false" ht="19.5" hidden="false" customHeight="true" outlineLevel="0" collapsed="false">
      <c r="A39" s="1" t="str">
        <f aca="false">IF($K39="","",INDEX('Weaving KPI Data'!$B$5:$B$504,$K39))</f>
        <v/>
      </c>
      <c r="B39" s="1" t="str">
        <f aca="false">IF($K39="","",INDEX('Weaving KPI Data'!$D$5:$D$504,$K39))</f>
        <v/>
      </c>
      <c r="C39" s="1" t="str">
        <f aca="false">IF($K39="","",INDEX('Weaving KPI Data'!$K$5:$K$504,$K39))</f>
        <v/>
      </c>
      <c r="D39" s="1" t="str">
        <f aca="false">IF($K39="","",INDEX('Weaving KPI Data'!$L$5:$L$504,$K39))</f>
        <v/>
      </c>
      <c r="E39" s="1" t="str">
        <f aca="false">IF($K39="","",INDEX('Weaving KPI Data'!$M$5:$M$504,$K39))</f>
        <v/>
      </c>
      <c r="F39" s="1" t="str">
        <f aca="false">IF($K39="","",INDEX('Weaving KPI Data'!$N$5:$N$504,$K39))</f>
        <v/>
      </c>
      <c r="G39" s="1" t="str">
        <f aca="false">IF($K39="","",INDEX('Weaving KPI Data'!$O$5:$O$504,$K39))</f>
        <v/>
      </c>
      <c r="H39" s="59" t="str">
        <f aca="false">IF($K39="","",INDEX('Weaving KPI Data'!$U$5:$U$504,$K39))</f>
        <v/>
      </c>
      <c r="I39" s="1" t="str">
        <f aca="false">IF($K39="","",INDEX('Weaving KPI Data'!$V$5:$V$504,$K39))</f>
        <v/>
      </c>
      <c r="J39" s="59" t="str">
        <f aca="false">IF($K39="","",INDEX('Weaving KPI Data'!$AG$5:$AG$504,$K39))</f>
        <v/>
      </c>
      <c r="K39" s="1" t="str">
        <f aca="false">IFERROR(aggregate(15,6,(ROW('Weaving KPI Data'!$B$5:$B$504)-ROW('Weaving KPI Data'!$B$5)+1)/(('Weaving KPI Data'!$G$5:$G$504=$B$4)*('Weaving KPI Data'!$B$5:$B$504&gt;=$H$4)*('Weaving KPI Data'!$B$5:$B$504&lt;=$B$5)),ROWS($A$1:A17)),"")</f>
        <v/>
      </c>
    </row>
    <row r="40" customFormat="false" ht="19.5" hidden="false" customHeight="true" outlineLevel="0" collapsed="false">
      <c r="A40" s="1" t="str">
        <f aca="false">IF($K40="","",INDEX('Weaving KPI Data'!$B$5:$B$504,$K40))</f>
        <v/>
      </c>
      <c r="B40" s="1" t="str">
        <f aca="false">IF($K40="","",INDEX('Weaving KPI Data'!$D$5:$D$504,$K40))</f>
        <v/>
      </c>
      <c r="C40" s="1" t="str">
        <f aca="false">IF($K40="","",INDEX('Weaving KPI Data'!$K$5:$K$504,$K40))</f>
        <v/>
      </c>
      <c r="D40" s="1" t="str">
        <f aca="false">IF($K40="","",INDEX('Weaving KPI Data'!$L$5:$L$504,$K40))</f>
        <v/>
      </c>
      <c r="E40" s="1" t="str">
        <f aca="false">IF($K40="","",INDEX('Weaving KPI Data'!$M$5:$M$504,$K40))</f>
        <v/>
      </c>
      <c r="F40" s="1" t="str">
        <f aca="false">IF($K40="","",INDEX('Weaving KPI Data'!$N$5:$N$504,$K40))</f>
        <v/>
      </c>
      <c r="G40" s="1" t="str">
        <f aca="false">IF($K40="","",INDEX('Weaving KPI Data'!$O$5:$O$504,$K40))</f>
        <v/>
      </c>
      <c r="H40" s="59" t="str">
        <f aca="false">IF($K40="","",INDEX('Weaving KPI Data'!$U$5:$U$504,$K40))</f>
        <v/>
      </c>
      <c r="I40" s="1" t="str">
        <f aca="false">IF($K40="","",INDEX('Weaving KPI Data'!$V$5:$V$504,$K40))</f>
        <v/>
      </c>
      <c r="J40" s="59" t="str">
        <f aca="false">IF($K40="","",INDEX('Weaving KPI Data'!$AG$5:$AG$504,$K40))</f>
        <v/>
      </c>
      <c r="K40" s="1" t="str">
        <f aca="false">IFERROR(aggregate(15,6,(ROW('Weaving KPI Data'!$B$5:$B$504)-ROW('Weaving KPI Data'!$B$5)+1)/(('Weaving KPI Data'!$G$5:$G$504=$B$4)*('Weaving KPI Data'!$B$5:$B$504&gt;=$H$4)*('Weaving KPI Data'!$B$5:$B$504&lt;=$B$5)),ROWS($A$1:A18)),"")</f>
        <v/>
      </c>
    </row>
    <row r="41" customFormat="false" ht="19.5" hidden="false" customHeight="true" outlineLevel="0" collapsed="false">
      <c r="A41" s="1" t="str">
        <f aca="false">IF($K41="","",INDEX('Weaving KPI Data'!$B$5:$B$504,$K41))</f>
        <v/>
      </c>
      <c r="B41" s="1" t="str">
        <f aca="false">IF($K41="","",INDEX('Weaving KPI Data'!$D$5:$D$504,$K41))</f>
        <v/>
      </c>
      <c r="C41" s="1" t="str">
        <f aca="false">IF($K41="","",INDEX('Weaving KPI Data'!$K$5:$K$504,$K41))</f>
        <v/>
      </c>
      <c r="D41" s="1" t="str">
        <f aca="false">IF($K41="","",INDEX('Weaving KPI Data'!$L$5:$L$504,$K41))</f>
        <v/>
      </c>
      <c r="E41" s="1" t="str">
        <f aca="false">IF($K41="","",INDEX('Weaving KPI Data'!$M$5:$M$504,$K41))</f>
        <v/>
      </c>
      <c r="F41" s="1" t="str">
        <f aca="false">IF($K41="","",INDEX('Weaving KPI Data'!$N$5:$N$504,$K41))</f>
        <v/>
      </c>
      <c r="G41" s="1" t="str">
        <f aca="false">IF($K41="","",INDEX('Weaving KPI Data'!$O$5:$O$504,$K41))</f>
        <v/>
      </c>
      <c r="H41" s="59" t="str">
        <f aca="false">IF($K41="","",INDEX('Weaving KPI Data'!$U$5:$U$504,$K41))</f>
        <v/>
      </c>
      <c r="I41" s="1" t="str">
        <f aca="false">IF($K41="","",INDEX('Weaving KPI Data'!$V$5:$V$504,$K41))</f>
        <v/>
      </c>
      <c r="J41" s="59" t="str">
        <f aca="false">IF($K41="","",INDEX('Weaving KPI Data'!$AG$5:$AG$504,$K41))</f>
        <v/>
      </c>
      <c r="K41" s="1" t="str">
        <f aca="false">IFERROR(aggregate(15,6,(ROW('Weaving KPI Data'!$B$5:$B$504)-ROW('Weaving KPI Data'!$B$5)+1)/(('Weaving KPI Data'!$G$5:$G$504=$B$4)*('Weaving KPI Data'!$B$5:$B$504&gt;=$H$4)*('Weaving KPI Data'!$B$5:$B$504&lt;=$B$5)),ROWS($A$1:A19)),"")</f>
        <v/>
      </c>
    </row>
    <row r="42" customFormat="false" ht="19.5" hidden="false" customHeight="true" outlineLevel="0" collapsed="false">
      <c r="A42" s="1" t="str">
        <f aca="false">IF($K42="","",INDEX('Weaving KPI Data'!$B$5:$B$504,$K42))</f>
        <v/>
      </c>
      <c r="B42" s="1" t="str">
        <f aca="false">IF($K42="","",INDEX('Weaving KPI Data'!$D$5:$D$504,$K42))</f>
        <v/>
      </c>
      <c r="C42" s="1" t="str">
        <f aca="false">IF($K42="","",INDEX('Weaving KPI Data'!$K$5:$K$504,$K42))</f>
        <v/>
      </c>
      <c r="D42" s="1" t="str">
        <f aca="false">IF($K42="","",INDEX('Weaving KPI Data'!$L$5:$L$504,$K42))</f>
        <v/>
      </c>
      <c r="E42" s="1" t="str">
        <f aca="false">IF($K42="","",INDEX('Weaving KPI Data'!$M$5:$M$504,$K42))</f>
        <v/>
      </c>
      <c r="F42" s="1" t="str">
        <f aca="false">IF($K42="","",INDEX('Weaving KPI Data'!$N$5:$N$504,$K42))</f>
        <v/>
      </c>
      <c r="G42" s="1" t="str">
        <f aca="false">IF($K42="","",INDEX('Weaving KPI Data'!$O$5:$O$504,$K42))</f>
        <v/>
      </c>
      <c r="H42" s="59" t="str">
        <f aca="false">IF($K42="","",INDEX('Weaving KPI Data'!$U$5:$U$504,$K42))</f>
        <v/>
      </c>
      <c r="I42" s="1" t="str">
        <f aca="false">IF($K42="","",INDEX('Weaving KPI Data'!$V$5:$V$504,$K42))</f>
        <v/>
      </c>
      <c r="J42" s="59" t="str">
        <f aca="false">IF($K42="","",INDEX('Weaving KPI Data'!$AG$5:$AG$504,$K42))</f>
        <v/>
      </c>
      <c r="K42" s="1" t="str">
        <f aca="false">IFERROR(aggregate(15,6,(ROW('Weaving KPI Data'!$B$5:$B$504)-ROW('Weaving KPI Data'!$B$5)+1)/(('Weaving KPI Data'!$G$5:$G$504=$B$4)*('Weaving KPI Data'!$B$5:$B$504&gt;=$H$4)*('Weaving KPI Data'!$B$5:$B$504&lt;=$B$5)),ROWS($A$1:A20)),"")</f>
        <v/>
      </c>
    </row>
    <row r="43" customFormat="false" ht="19.5" hidden="false" customHeight="true" outlineLevel="0" collapsed="false">
      <c r="A43" s="1" t="str">
        <f aca="false">IF($K43="","",INDEX('Weaving KPI Data'!$B$5:$B$504,$K43))</f>
        <v/>
      </c>
      <c r="B43" s="1" t="str">
        <f aca="false">IF($K43="","",INDEX('Weaving KPI Data'!$D$5:$D$504,$K43))</f>
        <v/>
      </c>
      <c r="C43" s="1" t="str">
        <f aca="false">IF($K43="","",INDEX('Weaving KPI Data'!$K$5:$K$504,$K43))</f>
        <v/>
      </c>
      <c r="D43" s="1" t="str">
        <f aca="false">IF($K43="","",INDEX('Weaving KPI Data'!$L$5:$L$504,$K43))</f>
        <v/>
      </c>
      <c r="E43" s="1" t="str">
        <f aca="false">IF($K43="","",INDEX('Weaving KPI Data'!$M$5:$M$504,$K43))</f>
        <v/>
      </c>
      <c r="F43" s="1" t="str">
        <f aca="false">IF($K43="","",INDEX('Weaving KPI Data'!$N$5:$N$504,$K43))</f>
        <v/>
      </c>
      <c r="G43" s="1" t="str">
        <f aca="false">IF($K43="","",INDEX('Weaving KPI Data'!$O$5:$O$504,$K43))</f>
        <v/>
      </c>
      <c r="H43" s="59" t="str">
        <f aca="false">IF($K43="","",INDEX('Weaving KPI Data'!$U$5:$U$504,$K43))</f>
        <v/>
      </c>
      <c r="I43" s="1" t="str">
        <f aca="false">IF($K43="","",INDEX('Weaving KPI Data'!$V$5:$V$504,$K43))</f>
        <v/>
      </c>
      <c r="J43" s="59" t="str">
        <f aca="false">IF($K43="","",INDEX('Weaving KPI Data'!$AG$5:$AG$504,$K43))</f>
        <v/>
      </c>
      <c r="K43" s="1" t="str">
        <f aca="false">IFERROR(aggregate(15,6,(ROW('Weaving KPI Data'!$B$5:$B$504)-ROW('Weaving KPI Data'!$B$5)+1)/(('Weaving KPI Data'!$G$5:$G$504=$B$4)*('Weaving KPI Data'!$B$5:$B$504&gt;=$H$4)*('Weaving KPI Data'!$B$5:$B$504&lt;=$B$5)),ROWS($A$1:A21)),"")</f>
        <v/>
      </c>
    </row>
    <row r="44" customFormat="false" ht="19.5" hidden="false" customHeight="true" outlineLevel="0" collapsed="false">
      <c r="A44" s="1" t="str">
        <f aca="false">IF($K44="","",INDEX('Weaving KPI Data'!$B$5:$B$504,$K44))</f>
        <v/>
      </c>
      <c r="B44" s="1" t="str">
        <f aca="false">IF($K44="","",INDEX('Weaving KPI Data'!$D$5:$D$504,$K44))</f>
        <v/>
      </c>
      <c r="C44" s="1" t="str">
        <f aca="false">IF($K44="","",INDEX('Weaving KPI Data'!$K$5:$K$504,$K44))</f>
        <v/>
      </c>
      <c r="D44" s="1" t="str">
        <f aca="false">IF($K44="","",INDEX('Weaving KPI Data'!$L$5:$L$504,$K44))</f>
        <v/>
      </c>
      <c r="E44" s="1" t="str">
        <f aca="false">IF($K44="","",INDEX('Weaving KPI Data'!$M$5:$M$504,$K44))</f>
        <v/>
      </c>
      <c r="F44" s="1" t="str">
        <f aca="false">IF($K44="","",INDEX('Weaving KPI Data'!$N$5:$N$504,$K44))</f>
        <v/>
      </c>
      <c r="G44" s="1" t="str">
        <f aca="false">IF($K44="","",INDEX('Weaving KPI Data'!$O$5:$O$504,$K44))</f>
        <v/>
      </c>
      <c r="H44" s="59" t="str">
        <f aca="false">IF($K44="","",INDEX('Weaving KPI Data'!$U$5:$U$504,$K44))</f>
        <v/>
      </c>
      <c r="I44" s="1" t="str">
        <f aca="false">IF($K44="","",INDEX('Weaving KPI Data'!$V$5:$V$504,$K44))</f>
        <v/>
      </c>
      <c r="J44" s="59" t="str">
        <f aca="false">IF($K44="","",INDEX('Weaving KPI Data'!$AG$5:$AG$504,$K44))</f>
        <v/>
      </c>
      <c r="K44" s="1" t="str">
        <f aca="false">IFERROR(aggregate(15,6,(ROW('Weaving KPI Data'!$B$5:$B$504)-ROW('Weaving KPI Data'!$B$5)+1)/(('Weaving KPI Data'!$G$5:$G$504=$B$4)*('Weaving KPI Data'!$B$5:$B$504&gt;=$H$4)*('Weaving KPI Data'!$B$5:$B$504&lt;=$B$5)),ROWS($A$1:A22)),"")</f>
        <v/>
      </c>
    </row>
    <row r="45" customFormat="false" ht="19.5" hidden="false" customHeight="true" outlineLevel="0" collapsed="false">
      <c r="A45" s="1" t="str">
        <f aca="false">IF($K45="","",INDEX('Weaving KPI Data'!$B$5:$B$504,$K45))</f>
        <v/>
      </c>
      <c r="B45" s="1" t="str">
        <f aca="false">IF($K45="","",INDEX('Weaving KPI Data'!$D$5:$D$504,$K45))</f>
        <v/>
      </c>
      <c r="C45" s="1" t="str">
        <f aca="false">IF($K45="","",INDEX('Weaving KPI Data'!$K$5:$K$504,$K45))</f>
        <v/>
      </c>
      <c r="D45" s="1" t="str">
        <f aca="false">IF($K45="","",INDEX('Weaving KPI Data'!$L$5:$L$504,$K45))</f>
        <v/>
      </c>
      <c r="E45" s="1" t="str">
        <f aca="false">IF($K45="","",INDEX('Weaving KPI Data'!$M$5:$M$504,$K45))</f>
        <v/>
      </c>
      <c r="F45" s="1" t="str">
        <f aca="false">IF($K45="","",INDEX('Weaving KPI Data'!$N$5:$N$504,$K45))</f>
        <v/>
      </c>
      <c r="G45" s="1" t="str">
        <f aca="false">IF($K45="","",INDEX('Weaving KPI Data'!$O$5:$O$504,$K45))</f>
        <v/>
      </c>
      <c r="H45" s="59" t="str">
        <f aca="false">IF($K45="","",INDEX('Weaving KPI Data'!$U$5:$U$504,$K45))</f>
        <v/>
      </c>
      <c r="I45" s="1" t="str">
        <f aca="false">IF($K45="","",INDEX('Weaving KPI Data'!$V$5:$V$504,$K45))</f>
        <v/>
      </c>
      <c r="J45" s="59" t="str">
        <f aca="false">IF($K45="","",INDEX('Weaving KPI Data'!$AG$5:$AG$504,$K45))</f>
        <v/>
      </c>
      <c r="K45" s="1" t="str">
        <f aca="false">IFERROR(aggregate(15,6,(ROW('Weaving KPI Data'!$B$5:$B$504)-ROW('Weaving KPI Data'!$B$5)+1)/(('Weaving KPI Data'!$G$5:$G$504=$B$4)*('Weaving KPI Data'!$B$5:$B$504&gt;=$H$4)*('Weaving KPI Data'!$B$5:$B$504&lt;=$B$5)),ROWS($A$1:A23)),"")</f>
        <v/>
      </c>
    </row>
    <row r="46" customFormat="false" ht="19.5" hidden="false" customHeight="true" outlineLevel="0" collapsed="false">
      <c r="A46" s="1" t="str">
        <f aca="false">IF($K46="","",INDEX('Weaving KPI Data'!$B$5:$B$504,$K46))</f>
        <v/>
      </c>
      <c r="B46" s="1" t="str">
        <f aca="false">IF($K46="","",INDEX('Weaving KPI Data'!$D$5:$D$504,$K46))</f>
        <v/>
      </c>
      <c r="C46" s="1" t="str">
        <f aca="false">IF($K46="","",INDEX('Weaving KPI Data'!$K$5:$K$504,$K46))</f>
        <v/>
      </c>
      <c r="D46" s="1" t="str">
        <f aca="false">IF($K46="","",INDEX('Weaving KPI Data'!$L$5:$L$504,$K46))</f>
        <v/>
      </c>
      <c r="E46" s="1" t="str">
        <f aca="false">IF($K46="","",INDEX('Weaving KPI Data'!$M$5:$M$504,$K46))</f>
        <v/>
      </c>
      <c r="F46" s="1" t="str">
        <f aca="false">IF($K46="","",INDEX('Weaving KPI Data'!$N$5:$N$504,$K46))</f>
        <v/>
      </c>
      <c r="G46" s="1" t="str">
        <f aca="false">IF($K46="","",INDEX('Weaving KPI Data'!$O$5:$O$504,$K46))</f>
        <v/>
      </c>
      <c r="H46" s="59" t="str">
        <f aca="false">IF($K46="","",INDEX('Weaving KPI Data'!$U$5:$U$504,$K46))</f>
        <v/>
      </c>
      <c r="I46" s="1" t="str">
        <f aca="false">IF($K46="","",INDEX('Weaving KPI Data'!$V$5:$V$504,$K46))</f>
        <v/>
      </c>
      <c r="J46" s="59" t="str">
        <f aca="false">IF($K46="","",INDEX('Weaving KPI Data'!$AG$5:$AG$504,$K46))</f>
        <v/>
      </c>
      <c r="K46" s="1" t="str">
        <f aca="false">IFERROR(aggregate(15,6,(ROW('Weaving KPI Data'!$B$5:$B$504)-ROW('Weaving KPI Data'!$B$5)+1)/(('Weaving KPI Data'!$G$5:$G$504=$B$4)*('Weaving KPI Data'!$B$5:$B$504&gt;=$H$4)*('Weaving KPI Data'!$B$5:$B$504&lt;=$B$5)),ROWS($A$1:A24)),"")</f>
        <v/>
      </c>
    </row>
    <row r="47" customFormat="false" ht="19.5" hidden="false" customHeight="true" outlineLevel="0" collapsed="false">
      <c r="A47" s="1" t="str">
        <f aca="false">IF($K47="","",INDEX('Weaving KPI Data'!$B$5:$B$504,$K47))</f>
        <v/>
      </c>
      <c r="B47" s="1" t="str">
        <f aca="false">IF($K47="","",INDEX('Weaving KPI Data'!$D$5:$D$504,$K47))</f>
        <v/>
      </c>
      <c r="C47" s="1" t="str">
        <f aca="false">IF($K47="","",INDEX('Weaving KPI Data'!$K$5:$K$504,$K47))</f>
        <v/>
      </c>
      <c r="D47" s="1" t="str">
        <f aca="false">IF($K47="","",INDEX('Weaving KPI Data'!$L$5:$L$504,$K47))</f>
        <v/>
      </c>
      <c r="E47" s="1" t="str">
        <f aca="false">IF($K47="","",INDEX('Weaving KPI Data'!$M$5:$M$504,$K47))</f>
        <v/>
      </c>
      <c r="F47" s="1" t="str">
        <f aca="false">IF($K47="","",INDEX('Weaving KPI Data'!$N$5:$N$504,$K47))</f>
        <v/>
      </c>
      <c r="G47" s="1" t="str">
        <f aca="false">IF($K47="","",INDEX('Weaving KPI Data'!$O$5:$O$504,$K47))</f>
        <v/>
      </c>
      <c r="H47" s="59" t="str">
        <f aca="false">IF($K47="","",INDEX('Weaving KPI Data'!$U$5:$U$504,$K47))</f>
        <v/>
      </c>
      <c r="I47" s="1" t="str">
        <f aca="false">IF($K47="","",INDEX('Weaving KPI Data'!$V$5:$V$504,$K47))</f>
        <v/>
      </c>
      <c r="J47" s="59" t="str">
        <f aca="false">IF($K47="","",INDEX('Weaving KPI Data'!$AG$5:$AG$504,$K47))</f>
        <v/>
      </c>
      <c r="K47" s="1" t="str">
        <f aca="false">IFERROR(aggregate(15,6,(ROW('Weaving KPI Data'!$B$5:$B$504)-ROW('Weaving KPI Data'!$B$5)+1)/(('Weaving KPI Data'!$G$5:$G$504=$B$4)*('Weaving KPI Data'!$B$5:$B$504&gt;=$H$4)*('Weaving KPI Data'!$B$5:$B$504&lt;=$B$5)),ROWS($A$1:A25)),"")</f>
        <v/>
      </c>
    </row>
    <row r="49" customFormat="false" ht="15.75" hidden="false" customHeight="true" outlineLevel="0" collapsed="false">
      <c r="A49" s="58" t="s">
        <v>529</v>
      </c>
      <c r="B49" s="58"/>
      <c r="C49" s="58"/>
      <c r="D49" s="58"/>
      <c r="E49" s="58"/>
      <c r="F49" s="58"/>
      <c r="G49" s="58"/>
      <c r="H49" s="58"/>
      <c r="I49" s="58"/>
      <c r="J49" s="58"/>
    </row>
    <row r="50" customFormat="false" ht="33.75" hidden="false" customHeight="true" outlineLevel="0" collapsed="false">
      <c r="A50" s="5" t="s">
        <v>4</v>
      </c>
      <c r="B50" s="5" t="s">
        <v>530</v>
      </c>
      <c r="C50" s="5" t="s">
        <v>531</v>
      </c>
      <c r="D50" s="5" t="s">
        <v>532</v>
      </c>
      <c r="E50" s="5" t="s">
        <v>135</v>
      </c>
      <c r="F50" s="5" t="s">
        <v>533</v>
      </c>
      <c r="G50" s="5" t="s">
        <v>534</v>
      </c>
      <c r="H50" s="5" t="s">
        <v>139</v>
      </c>
      <c r="I50" s="5" t="s">
        <v>522</v>
      </c>
      <c r="J50" s="5" t="s">
        <v>535</v>
      </c>
    </row>
    <row r="51" customFormat="false" ht="15" hidden="false" customHeight="true" outlineLevel="0" collapsed="false">
      <c r="A51" s="1" t="str">
        <f aca="false">IF($L51="","",INDEX('Loom Fault Downtime'!$B$5:$B$1004,$L51))</f>
        <v/>
      </c>
      <c r="B51" s="1" t="str">
        <f aca="false">IF($L51="","",INDEX('Loom Fault Downtime'!$D$5:$D$1004,$L51))</f>
        <v/>
      </c>
      <c r="C51" s="1" t="str">
        <f aca="false">IF($L51="","",INDEX('Loom Fault Downtime'!$I$5:$I$1004,$L51))</f>
        <v/>
      </c>
      <c r="D51" s="1" t="str">
        <f aca="false">IF($L51="","",INDEX('Loom Fault Downtime'!$H$5:$H$1004,$L51))</f>
        <v/>
      </c>
      <c r="E51" s="1" t="str">
        <f aca="false">IF($L51="","",INDEX('Loom Fault Downtime'!$J$5:$J$1004,$L51))</f>
        <v/>
      </c>
      <c r="F51" s="1" t="str">
        <f aca="false">IF($L51="","",INDEX('Loom Fault Downtime'!$K$5:$K$1004,$L51))</f>
        <v/>
      </c>
      <c r="G51" s="1" t="str">
        <f aca="false">IF($L51="","",INDEX('Loom Fault Downtime'!$L$5:$L$1004,$L51))</f>
        <v/>
      </c>
      <c r="H51" s="1" t="str">
        <f aca="false">IF($L51="","",INDEX('Loom Fault Downtime'!$N$5:$N$1004,$L51))</f>
        <v/>
      </c>
      <c r="I51" s="1" t="str">
        <f aca="false">IF($L51="","",INDEX('Loom Fault Downtime'!$C$5:$C$1004,$L51))</f>
        <v/>
      </c>
      <c r="J51" s="1" t="str">
        <f aca="false">IF($L51="","",INDEX('Loom Fault Downtime'!$O$5:$O$1004,$L51))</f>
        <v/>
      </c>
      <c r="L51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Downtime'!$B$5:$B$1004&lt;=$B$5)),ROWS($A$1:A1)),"")</f>
        <v/>
      </c>
    </row>
    <row r="52" customFormat="false" ht="15" hidden="false" customHeight="true" outlineLevel="0" collapsed="false">
      <c r="A52" s="1" t="str">
        <f aca="false">IF($L52="","",INDEX('Loom Fault Downtime'!$B$5:$B$1004,$L52))</f>
        <v/>
      </c>
      <c r="B52" s="1" t="str">
        <f aca="false">IF($L52="","",INDEX('Loom Fault Downtime'!$D$5:$D$1004,$L52))</f>
        <v/>
      </c>
      <c r="C52" s="1" t="str">
        <f aca="false">IF($L52="","",INDEX('Loom Fault Downtime'!$I$5:$I$1004,$L52))</f>
        <v/>
      </c>
      <c r="D52" s="1" t="str">
        <f aca="false">IF($L52="","",INDEX('Loom Fault Downtime'!$H$5:$H$1004,$L52))</f>
        <v/>
      </c>
      <c r="E52" s="1" t="str">
        <f aca="false">IF($L52="","",INDEX('Loom Fault Downtime'!$J$5:$J$1004,$L52))</f>
        <v/>
      </c>
      <c r="F52" s="1" t="str">
        <f aca="false">IF($L52="","",INDEX('Loom Fault Downtime'!$K$5:$K$1004,$L52))</f>
        <v/>
      </c>
      <c r="G52" s="1" t="str">
        <f aca="false">IF($L52="","",INDEX('Loom Fault Downtime'!$L$5:$L$1004,$L52))</f>
        <v/>
      </c>
      <c r="H52" s="1" t="str">
        <f aca="false">IF($L52="","",INDEX('Loom Fault Downtime'!$N$5:$N$1004,$L52))</f>
        <v/>
      </c>
      <c r="I52" s="1" t="str">
        <f aca="false">IF($L52="","",INDEX('Loom Fault Downtime'!$C$5:$C$1004,$L52))</f>
        <v/>
      </c>
      <c r="J52" s="1" t="str">
        <f aca="false">IF($L52="","",INDEX('Loom Fault Downtime'!$O$5:$O$1004,$L52))</f>
        <v/>
      </c>
      <c r="L52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Downtime'!$B$5:$B$1004&lt;=$B$5)),ROWS($A$1:A2)),"")</f>
        <v/>
      </c>
    </row>
    <row r="53" customFormat="false" ht="15" hidden="false" customHeight="true" outlineLevel="0" collapsed="false">
      <c r="A53" s="1" t="str">
        <f aca="false">IF($L53="","",INDEX('Loom Fault Downtime'!$B$5:$B$1004,$L53))</f>
        <v/>
      </c>
      <c r="B53" s="1" t="str">
        <f aca="false">IF($L53="","",INDEX('Loom Fault Downtime'!$D$5:$D$1004,$L53))</f>
        <v/>
      </c>
      <c r="C53" s="1" t="str">
        <f aca="false">IF($L53="","",INDEX('Loom Fault Downtime'!$I$5:$I$1004,$L53))</f>
        <v/>
      </c>
      <c r="D53" s="1" t="str">
        <f aca="false">IF($L53="","",INDEX('Loom Fault Downtime'!$H$5:$H$1004,$L53))</f>
        <v/>
      </c>
      <c r="E53" s="1" t="str">
        <f aca="false">IF($L53="","",INDEX('Loom Fault Downtime'!$J$5:$J$1004,$L53))</f>
        <v/>
      </c>
      <c r="F53" s="1" t="str">
        <f aca="false">IF($L53="","",INDEX('Loom Fault Downtime'!$K$5:$K$1004,$L53))</f>
        <v/>
      </c>
      <c r="G53" s="1" t="str">
        <f aca="false">IF($L53="","",INDEX('Loom Fault Downtime'!$L$5:$L$1004,$L53))</f>
        <v/>
      </c>
      <c r="H53" s="1" t="str">
        <f aca="false">IF($L53="","",INDEX('Loom Fault Downtime'!$N$5:$N$1004,$L53))</f>
        <v/>
      </c>
      <c r="I53" s="1" t="str">
        <f aca="false">IF($L53="","",INDEX('Loom Fault Downtime'!$C$5:$C$1004,$L53))</f>
        <v/>
      </c>
      <c r="J53" s="1" t="str">
        <f aca="false">IF($L53="","",INDEX('Loom Fault Downtime'!$O$5:$O$1004,$L53))</f>
        <v/>
      </c>
      <c r="L53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Downtime'!$B$5:$B$1004&lt;=$B$5)),ROWS($A$1:A3)),"")</f>
        <v/>
      </c>
    </row>
    <row r="54" customFormat="false" ht="15" hidden="false" customHeight="true" outlineLevel="0" collapsed="false">
      <c r="A54" s="1" t="str">
        <f aca="false">IF($L54="","",INDEX('Loom Fault Downtime'!$B$5:$B$1004,$L54))</f>
        <v/>
      </c>
      <c r="B54" s="1" t="str">
        <f aca="false">IF($L54="","",INDEX('Loom Fault Downtime'!$D$5:$D$1004,$L54))</f>
        <v/>
      </c>
      <c r="C54" s="1" t="str">
        <f aca="false">IF($L54="","",INDEX('Loom Fault Downtime'!$I$5:$I$1004,$L54))</f>
        <v/>
      </c>
      <c r="D54" s="1" t="str">
        <f aca="false">IF($L54="","",INDEX('Loom Fault Downtime'!$H$5:$H$1004,$L54))</f>
        <v/>
      </c>
      <c r="E54" s="1" t="str">
        <f aca="false">IF($L54="","",INDEX('Loom Fault Downtime'!$J$5:$J$1004,$L54))</f>
        <v/>
      </c>
      <c r="F54" s="1" t="str">
        <f aca="false">IF($L54="","",INDEX('Loom Fault Downtime'!$K$5:$K$1004,$L54))</f>
        <v/>
      </c>
      <c r="G54" s="1" t="str">
        <f aca="false">IF($L54="","",INDEX('Loom Fault Downtime'!$L$5:$L$1004,$L54))</f>
        <v/>
      </c>
      <c r="H54" s="1" t="str">
        <f aca="false">IF($L54="","",INDEX('Loom Fault Downtime'!$N$5:$N$1004,$L54))</f>
        <v/>
      </c>
      <c r="I54" s="1" t="str">
        <f aca="false">IF($L54="","",INDEX('Loom Fault Downtime'!$C$5:$C$1004,$L54))</f>
        <v/>
      </c>
      <c r="J54" s="1" t="str">
        <f aca="false">IF($L54="","",INDEX('Loom Fault Downtime'!$O$5:$O$1004,$L54))</f>
        <v/>
      </c>
      <c r="L54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Downtime'!$B$5:$B$1004&lt;=$B$5)),ROWS($A$1:A4)),"")</f>
        <v/>
      </c>
    </row>
    <row r="55" customFormat="false" ht="15" hidden="false" customHeight="true" outlineLevel="0" collapsed="false">
      <c r="A55" s="1" t="str">
        <f aca="false">IF($L55="","",INDEX('Loom Fault Downtime'!$B$5:$B$1004,$L55))</f>
        <v/>
      </c>
      <c r="B55" s="1" t="str">
        <f aca="false">IF($L55="","",INDEX('Loom Fault Downtime'!$D$5:$D$1004,$L55))</f>
        <v/>
      </c>
      <c r="C55" s="1" t="str">
        <f aca="false">IF($L55="","",INDEX('Loom Fault Downtime'!$I$5:$I$1004,$L55))</f>
        <v/>
      </c>
      <c r="D55" s="1" t="str">
        <f aca="false">IF($L55="","",INDEX('Loom Fault Downtime'!$H$5:$H$1004,$L55))</f>
        <v/>
      </c>
      <c r="E55" s="1" t="str">
        <f aca="false">IF($L55="","",INDEX('Loom Fault Downtime'!$J$5:$J$1004,$L55))</f>
        <v/>
      </c>
      <c r="F55" s="1" t="str">
        <f aca="false">IF($L55="","",INDEX('Loom Fault Downtime'!$K$5:$K$1004,$L55))</f>
        <v/>
      </c>
      <c r="G55" s="1" t="str">
        <f aca="false">IF($L55="","",INDEX('Loom Fault Downtime'!$L$5:$L$1004,$L55))</f>
        <v/>
      </c>
      <c r="H55" s="1" t="str">
        <f aca="false">IF($L55="","",INDEX('Loom Fault Downtime'!$N$5:$N$1004,$L55))</f>
        <v/>
      </c>
      <c r="I55" s="1" t="str">
        <f aca="false">IF($L55="","",INDEX('Loom Fault Downtime'!$C$5:$C$1004,$L55))</f>
        <v/>
      </c>
      <c r="J55" s="1" t="str">
        <f aca="false">IF($L55="","",INDEX('Loom Fault Downtime'!$O$5:$O$1004,$L55))</f>
        <v/>
      </c>
      <c r="L55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Downtime'!$B$5:$B$1004&lt;=$B$5)),ROWS($A$1:A5)),"")</f>
        <v/>
      </c>
    </row>
    <row r="56" customFormat="false" ht="15" hidden="false" customHeight="true" outlineLevel="0" collapsed="false">
      <c r="A56" s="1" t="str">
        <f aca="false">IF($L56="","",INDEX('Loom Fault Downtime'!$B$5:$B$1004,$L56))</f>
        <v/>
      </c>
      <c r="B56" s="1" t="str">
        <f aca="false">IF($L56="","",INDEX('Loom Fault Downtime'!$D$5:$D$1004,$L56))</f>
        <v/>
      </c>
      <c r="C56" s="1" t="str">
        <f aca="false">IF($L56="","",INDEX('Loom Fault Downtime'!$I$5:$I$1004,$L56))</f>
        <v/>
      </c>
      <c r="D56" s="1" t="str">
        <f aca="false">IF($L56="","",INDEX('Loom Fault Downtime'!$H$5:$H$1004,$L56))</f>
        <v/>
      </c>
      <c r="E56" s="1" t="str">
        <f aca="false">IF($L56="","",INDEX('Loom Fault Downtime'!$J$5:$J$1004,$L56))</f>
        <v/>
      </c>
      <c r="F56" s="1" t="str">
        <f aca="false">IF($L56="","",INDEX('Loom Fault Downtime'!$K$5:$K$1004,$L56))</f>
        <v/>
      </c>
      <c r="G56" s="1" t="str">
        <f aca="false">IF($L56="","",INDEX('Loom Fault Downtime'!$L$5:$L$1004,$L56))</f>
        <v/>
      </c>
      <c r="H56" s="1" t="str">
        <f aca="false">IF($L56="","",INDEX('Loom Fault Downtime'!$N$5:$N$1004,$L56))</f>
        <v/>
      </c>
      <c r="I56" s="1" t="str">
        <f aca="false">IF($L56="","",INDEX('Loom Fault Downtime'!$C$5:$C$1004,$L56))</f>
        <v/>
      </c>
      <c r="J56" s="1" t="str">
        <f aca="false">IF($L56="","",INDEX('Loom Fault Downtime'!$O$5:$O$1004,$L56))</f>
        <v/>
      </c>
      <c r="L56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Downtime'!$B$5:$B$1004&lt;=$B$5)),ROWS($A$1:A6)),"")</f>
        <v/>
      </c>
    </row>
    <row r="57" customFormat="false" ht="15" hidden="false" customHeight="true" outlineLevel="0" collapsed="false">
      <c r="A57" s="1" t="str">
        <f aca="false">IF($L57="","",INDEX('Loom Fault Downtime'!$B$5:$B$1004,$L57))</f>
        <v/>
      </c>
      <c r="B57" s="1" t="str">
        <f aca="false">IF($L57="","",INDEX('Loom Fault Downtime'!$D$5:$D$1004,$L57))</f>
        <v/>
      </c>
      <c r="C57" s="1" t="str">
        <f aca="false">IF($L57="","",INDEX('Loom Fault Downtime'!$I$5:$I$1004,$L57))</f>
        <v/>
      </c>
      <c r="D57" s="1" t="str">
        <f aca="false">IF($L57="","",INDEX('Loom Fault Downtime'!$H$5:$H$1004,$L57))</f>
        <v/>
      </c>
      <c r="E57" s="1" t="str">
        <f aca="false">IF($L57="","",INDEX('Loom Fault Downtime'!$J$5:$J$1004,$L57))</f>
        <v/>
      </c>
      <c r="F57" s="1" t="str">
        <f aca="false">IF($L57="","",INDEX('Loom Fault Downtime'!$K$5:$K$1004,$L57))</f>
        <v/>
      </c>
      <c r="G57" s="1" t="str">
        <f aca="false">IF($L57="","",INDEX('Loom Fault Downtime'!$L$5:$L$1004,$L57))</f>
        <v/>
      </c>
      <c r="H57" s="1" t="str">
        <f aca="false">IF($L57="","",INDEX('Loom Fault Downtime'!$N$5:$N$1004,$L57))</f>
        <v/>
      </c>
      <c r="I57" s="1" t="str">
        <f aca="false">IF($L57="","",INDEX('Loom Fault Downtime'!$C$5:$C$1004,$L57))</f>
        <v/>
      </c>
      <c r="J57" s="1" t="str">
        <f aca="false">IF($L57="","",INDEX('Loom Fault Downtime'!$O$5:$O$1004,$L57))</f>
        <v/>
      </c>
      <c r="L57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Downtime'!$B$5:$B$1004&lt;=$B$5)),ROWS($A$1:A7)),"")</f>
        <v/>
      </c>
    </row>
    <row r="58" customFormat="false" ht="15" hidden="false" customHeight="true" outlineLevel="0" collapsed="false">
      <c r="A58" s="1" t="str">
        <f aca="false">IF($L58="","",INDEX('Loom Fault Downtime'!$B$5:$B$1004,$L58))</f>
        <v/>
      </c>
      <c r="B58" s="1" t="str">
        <f aca="false">IF($L58="","",INDEX('Loom Fault Downtime'!$D$5:$D$1004,$L58))</f>
        <v/>
      </c>
      <c r="C58" s="1" t="str">
        <f aca="false">IF($L58="","",INDEX('Loom Fault Downtime'!$I$5:$I$1004,$L58))</f>
        <v/>
      </c>
      <c r="D58" s="1" t="str">
        <f aca="false">IF($L58="","",INDEX('Loom Fault Downtime'!$H$5:$H$1004,$L58))</f>
        <v/>
      </c>
      <c r="E58" s="1" t="str">
        <f aca="false">IF($L58="","",INDEX('Loom Fault Downtime'!$J$5:$J$1004,$L58))</f>
        <v/>
      </c>
      <c r="F58" s="1" t="str">
        <f aca="false">IF($L58="","",INDEX('Loom Fault Downtime'!$K$5:$K$1004,$L58))</f>
        <v/>
      </c>
      <c r="G58" s="1" t="str">
        <f aca="false">IF($L58="","",INDEX('Loom Fault Downtime'!$L$5:$L$1004,$L58))</f>
        <v/>
      </c>
      <c r="H58" s="1" t="str">
        <f aca="false">IF($L58="","",INDEX('Loom Fault Downtime'!$N$5:$N$1004,$L58))</f>
        <v/>
      </c>
      <c r="I58" s="1" t="str">
        <f aca="false">IF($L58="","",INDEX('Loom Fault Downtime'!$C$5:$C$1004,$L58))</f>
        <v/>
      </c>
      <c r="J58" s="1" t="str">
        <f aca="false">IF($L58="","",INDEX('Loom Fault Downtime'!$O$5:$O$1004,$L58))</f>
        <v/>
      </c>
      <c r="L58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Downtime'!$B$5:$B$1004&lt;=$B$5)),ROWS($A$1:A8)),"")</f>
        <v/>
      </c>
    </row>
    <row r="59" customFormat="false" ht="15" hidden="false" customHeight="true" outlineLevel="0" collapsed="false">
      <c r="A59" s="1" t="str">
        <f aca="false">IF($L59="","",INDEX('Loom Fault Downtime'!$B$5:$B$1004,$L59))</f>
        <v/>
      </c>
      <c r="B59" s="1" t="str">
        <f aca="false">IF($L59="","",INDEX('Loom Fault Downtime'!$D$5:$D$1004,$L59))</f>
        <v/>
      </c>
      <c r="C59" s="1" t="str">
        <f aca="false">IF($L59="","",INDEX('Loom Fault Downtime'!$I$5:$I$1004,$L59))</f>
        <v/>
      </c>
      <c r="D59" s="1" t="str">
        <f aca="false">IF($L59="","",INDEX('Loom Fault Downtime'!$H$5:$H$1004,$L59))</f>
        <v/>
      </c>
      <c r="E59" s="1" t="str">
        <f aca="false">IF($L59="","",INDEX('Loom Fault Downtime'!$J$5:$J$1004,$L59))</f>
        <v/>
      </c>
      <c r="F59" s="1" t="str">
        <f aca="false">IF($L59="","",INDEX('Loom Fault Downtime'!$K$5:$K$1004,$L59))</f>
        <v/>
      </c>
      <c r="G59" s="1" t="str">
        <f aca="false">IF($L59="","",INDEX('Loom Fault Downtime'!$L$5:$L$1004,$L59))</f>
        <v/>
      </c>
      <c r="H59" s="1" t="str">
        <f aca="false">IF($L59="","",INDEX('Loom Fault Downtime'!$N$5:$N$1004,$L59))</f>
        <v/>
      </c>
      <c r="I59" s="1" t="str">
        <f aca="false">IF($L59="","",INDEX('Loom Fault Downtime'!$C$5:$C$1004,$L59))</f>
        <v/>
      </c>
      <c r="J59" s="1" t="str">
        <f aca="false">IF($L59="","",INDEX('Loom Fault Downtime'!$O$5:$O$1004,$L59))</f>
        <v/>
      </c>
      <c r="L59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Downtime'!$B$5:$B$1004&lt;=$B$5)),ROWS($A$1:A9)),"")</f>
        <v/>
      </c>
    </row>
    <row r="60" customFormat="false" ht="15" hidden="false" customHeight="true" outlineLevel="0" collapsed="false">
      <c r="A60" s="1" t="str">
        <f aca="false">IF($L60="","",INDEX('Loom Fault Downtime'!$B$5:$B$1004,$L60))</f>
        <v/>
      </c>
      <c r="B60" s="1" t="str">
        <f aca="false">IF($L60="","",INDEX('Loom Fault Downtime'!$D$5:$D$1004,$L60))</f>
        <v/>
      </c>
      <c r="C60" s="1" t="str">
        <f aca="false">IF($L60="","",INDEX('Loom Fault Downtime'!$I$5:$I$1004,$L60))</f>
        <v/>
      </c>
      <c r="D60" s="1" t="str">
        <f aca="false">IF($L60="","",INDEX('Loom Fault Downtime'!$H$5:$H$1004,$L60))</f>
        <v/>
      </c>
      <c r="E60" s="1" t="str">
        <f aca="false">IF($L60="","",INDEX('Loom Fault Downtime'!$J$5:$J$1004,$L60))</f>
        <v/>
      </c>
      <c r="F60" s="1" t="str">
        <f aca="false">IF($L60="","",INDEX('Loom Fault Downtime'!$K$5:$K$1004,$L60))</f>
        <v/>
      </c>
      <c r="G60" s="1" t="str">
        <f aca="false">IF($L60="","",INDEX('Loom Fault Downtime'!$L$5:$L$1004,$L60))</f>
        <v/>
      </c>
      <c r="H60" s="1" t="str">
        <f aca="false">IF($L60="","",INDEX('Loom Fault Downtime'!$N$5:$N$1004,$L60))</f>
        <v/>
      </c>
      <c r="I60" s="1" t="str">
        <f aca="false">IF($L60="","",INDEX('Loom Fault Downtime'!$C$5:$C$1004,$L60))</f>
        <v/>
      </c>
      <c r="J60" s="1" t="str">
        <f aca="false">IF($L60="","",INDEX('Loom Fault Downtime'!$O$5:$O$1004,$L60))</f>
        <v/>
      </c>
      <c r="L60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Downtime'!$B$5:$B$1004&lt;=$B$5)),ROWS($A$1:A10)),"")</f>
        <v/>
      </c>
    </row>
    <row r="61" customFormat="false" ht="15" hidden="false" customHeight="true" outlineLevel="0" collapsed="false">
      <c r="A61" s="1" t="str">
        <f aca="false">IF($L61="","",INDEX('Loom Fault Downtime'!$B$5:$B$1004,$L61))</f>
        <v/>
      </c>
      <c r="B61" s="1" t="str">
        <f aca="false">IF($L61="","",INDEX('Loom Fault Downtime'!$D$5:$D$1004,$L61))</f>
        <v/>
      </c>
      <c r="C61" s="1" t="str">
        <f aca="false">IF($L61="","",INDEX('Loom Fault Downtime'!$I$5:$I$1004,$L61))</f>
        <v/>
      </c>
      <c r="D61" s="1" t="str">
        <f aca="false">IF($L61="","",INDEX('Loom Fault Downtime'!$H$5:$H$1004,$L61))</f>
        <v/>
      </c>
      <c r="E61" s="1" t="str">
        <f aca="false">IF($L61="","",INDEX('Loom Fault Downtime'!$J$5:$J$1004,$L61))</f>
        <v/>
      </c>
      <c r="F61" s="1" t="str">
        <f aca="false">IF($L61="","",INDEX('Loom Fault Downtime'!$K$5:$K$1004,$L61))</f>
        <v/>
      </c>
      <c r="G61" s="1" t="str">
        <f aca="false">IF($L61="","",INDEX('Loom Fault Downtime'!$L$5:$L$1004,$L61))</f>
        <v/>
      </c>
      <c r="H61" s="1" t="str">
        <f aca="false">IF($L61="","",INDEX('Loom Fault Downtime'!$N$5:$N$1004,$L61))</f>
        <v/>
      </c>
      <c r="I61" s="1" t="str">
        <f aca="false">IF($L61="","",INDEX('Loom Fault Downtime'!$C$5:$C$1004,$L61))</f>
        <v/>
      </c>
      <c r="J61" s="1" t="str">
        <f aca="false">IF($L61="","",INDEX('Loom Fault Downtime'!$O$5:$O$1004,$L61))</f>
        <v/>
      </c>
      <c r="L61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Downtime'!$B$5:$B$1004&lt;=$B$5)),ROWS($A$1:A11)),"")</f>
        <v/>
      </c>
    </row>
    <row r="62" customFormat="false" ht="15" hidden="false" customHeight="true" outlineLevel="0" collapsed="false">
      <c r="A62" s="1" t="str">
        <f aca="false">IF($L62="","",INDEX('Loom Fault Downtime'!$B$5:$B$1004,$L62))</f>
        <v/>
      </c>
      <c r="B62" s="1" t="str">
        <f aca="false">IF($L62="","",INDEX('Loom Fault Downtime'!$D$5:$D$1004,$L62))</f>
        <v/>
      </c>
      <c r="C62" s="1" t="str">
        <f aca="false">IF($L62="","",INDEX('Loom Fault Downtime'!$I$5:$I$1004,$L62))</f>
        <v/>
      </c>
      <c r="D62" s="1" t="str">
        <f aca="false">IF($L62="","",INDEX('Loom Fault Downtime'!$H$5:$H$1004,$L62))</f>
        <v/>
      </c>
      <c r="E62" s="1" t="str">
        <f aca="false">IF($L62="","",INDEX('Loom Fault Downtime'!$J$5:$J$1004,$L62))</f>
        <v/>
      </c>
      <c r="F62" s="1" t="str">
        <f aca="false">IF($L62="","",INDEX('Loom Fault Downtime'!$K$5:$K$1004,$L62))</f>
        <v/>
      </c>
      <c r="G62" s="1" t="str">
        <f aca="false">IF($L62="","",INDEX('Loom Fault Downtime'!$L$5:$L$1004,$L62))</f>
        <v/>
      </c>
      <c r="H62" s="1" t="str">
        <f aca="false">IF($L62="","",INDEX('Loom Fault Downtime'!$N$5:$N$1004,$L62))</f>
        <v/>
      </c>
      <c r="I62" s="1" t="str">
        <f aca="false">IF($L62="","",INDEX('Loom Fault Downtime'!$C$5:$C$1004,$L62))</f>
        <v/>
      </c>
      <c r="J62" s="1" t="str">
        <f aca="false">IF($L62="","",INDEX('Loom Fault Downtime'!$O$5:$O$1004,$L62))</f>
        <v/>
      </c>
      <c r="L62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Downtime'!$B$5:$B$1004&lt;=$B$5)),ROWS($A$1:A12)),"")</f>
        <v/>
      </c>
    </row>
    <row r="63" customFormat="false" ht="15" hidden="false" customHeight="true" outlineLevel="0" collapsed="false">
      <c r="A63" s="1" t="str">
        <f aca="false">IF($L63="","",INDEX('Loom Fault Downtime'!$B$5:$B$1004,$L63))</f>
        <v/>
      </c>
      <c r="B63" s="1" t="str">
        <f aca="false">IF($L63="","",INDEX('Loom Fault Downtime'!$D$5:$D$1004,$L63))</f>
        <v/>
      </c>
      <c r="C63" s="1" t="str">
        <f aca="false">IF($L63="","",INDEX('Loom Fault Downtime'!$I$5:$I$1004,$L63))</f>
        <v/>
      </c>
      <c r="D63" s="1" t="str">
        <f aca="false">IF($L63="","",INDEX('Loom Fault Downtime'!$H$5:$H$1004,$L63))</f>
        <v/>
      </c>
      <c r="E63" s="1" t="str">
        <f aca="false">IF($L63="","",INDEX('Loom Fault Downtime'!$J$5:$J$1004,$L63))</f>
        <v/>
      </c>
      <c r="F63" s="1" t="str">
        <f aca="false">IF($L63="","",INDEX('Loom Fault Downtime'!$K$5:$K$1004,$L63))</f>
        <v/>
      </c>
      <c r="G63" s="1" t="str">
        <f aca="false">IF($L63="","",INDEX('Loom Fault Downtime'!$L$5:$L$1004,$L63))</f>
        <v/>
      </c>
      <c r="H63" s="1" t="str">
        <f aca="false">IF($L63="","",INDEX('Loom Fault Downtime'!$N$5:$N$1004,$L63))</f>
        <v/>
      </c>
      <c r="I63" s="1" t="str">
        <f aca="false">IF($L63="","",INDEX('Loom Fault Downtime'!$C$5:$C$1004,$L63))</f>
        <v/>
      </c>
      <c r="J63" s="1" t="str">
        <f aca="false">IF($L63="","",INDEX('Loom Fault Downtime'!$O$5:$O$1004,$L63))</f>
        <v/>
      </c>
      <c r="L63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Downtime'!$B$5:$B$1004&lt;=$B$5)),ROWS($A$1:A13)),"")</f>
        <v/>
      </c>
    </row>
    <row r="64" customFormat="false" ht="15" hidden="false" customHeight="true" outlineLevel="0" collapsed="false">
      <c r="A64" s="1" t="str">
        <f aca="false">IF($L64="","",INDEX('Loom Fault Downtime'!$B$5:$B$1004,$L64))</f>
        <v/>
      </c>
      <c r="B64" s="1" t="str">
        <f aca="false">IF($L64="","",INDEX('Loom Fault Downtime'!$D$5:$D$1004,$L64))</f>
        <v/>
      </c>
      <c r="C64" s="1" t="str">
        <f aca="false">IF($L64="","",INDEX('Loom Fault Downtime'!$I$5:$I$1004,$L64))</f>
        <v/>
      </c>
      <c r="D64" s="1" t="str">
        <f aca="false">IF($L64="","",INDEX('Loom Fault Downtime'!$H$5:$H$1004,$L64))</f>
        <v/>
      </c>
      <c r="E64" s="1" t="str">
        <f aca="false">IF($L64="","",INDEX('Loom Fault Downtime'!$J$5:$J$1004,$L64))</f>
        <v/>
      </c>
      <c r="F64" s="1" t="str">
        <f aca="false">IF($L64="","",INDEX('Loom Fault Downtime'!$K$5:$K$1004,$L64))</f>
        <v/>
      </c>
      <c r="G64" s="1" t="str">
        <f aca="false">IF($L64="","",INDEX('Loom Fault Downtime'!$L$5:$L$1004,$L64))</f>
        <v/>
      </c>
      <c r="H64" s="1" t="str">
        <f aca="false">IF($L64="","",INDEX('Loom Fault Downtime'!$N$5:$N$1004,$L64))</f>
        <v/>
      </c>
      <c r="I64" s="1" t="str">
        <f aca="false">IF($L64="","",INDEX('Loom Fault Downtime'!$C$5:$C$1004,$L64))</f>
        <v/>
      </c>
      <c r="J64" s="1" t="str">
        <f aca="false">IF($L64="","",INDEX('Loom Fault Downtime'!$O$5:$O$1004,$L64))</f>
        <v/>
      </c>
      <c r="L64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Downtime'!$B$5:$B$1004&lt;=$B$5)),ROWS($A$1:A14)),"")</f>
        <v/>
      </c>
    </row>
    <row r="65" customFormat="false" ht="15" hidden="false" customHeight="true" outlineLevel="0" collapsed="false">
      <c r="A65" s="1" t="str">
        <f aca="false">IF($L65="","",INDEX('Loom Fault Downtime'!$B$5:$B$1004,$L65))</f>
        <v/>
      </c>
      <c r="B65" s="1" t="str">
        <f aca="false">IF($L65="","",INDEX('Loom Fault Downtime'!$D$5:$D$1004,$L65))</f>
        <v/>
      </c>
      <c r="C65" s="1" t="str">
        <f aca="false">IF($L65="","",INDEX('Loom Fault Downtime'!$I$5:$I$1004,$L65))</f>
        <v/>
      </c>
      <c r="D65" s="1" t="str">
        <f aca="false">IF($L65="","",INDEX('Loom Fault Downtime'!$H$5:$H$1004,$L65))</f>
        <v/>
      </c>
      <c r="E65" s="1" t="str">
        <f aca="false">IF($L65="","",INDEX('Loom Fault Downtime'!$J$5:$J$1004,$L65))</f>
        <v/>
      </c>
      <c r="F65" s="1" t="str">
        <f aca="false">IF($L65="","",INDEX('Loom Fault Downtime'!$K$5:$K$1004,$L65))</f>
        <v/>
      </c>
      <c r="G65" s="1" t="str">
        <f aca="false">IF($L65="","",INDEX('Loom Fault Downtime'!$L$5:$L$1004,$L65))</f>
        <v/>
      </c>
      <c r="H65" s="1" t="str">
        <f aca="false">IF($L65="","",INDEX('Loom Fault Downtime'!$N$5:$N$1004,$L65))</f>
        <v/>
      </c>
      <c r="I65" s="1" t="str">
        <f aca="false">IF($L65="","",INDEX('Loom Fault Downtime'!$C$5:$C$1004,$L65))</f>
        <v/>
      </c>
      <c r="J65" s="1" t="str">
        <f aca="false">IF($L65="","",INDEX('Loom Fault Downtime'!$O$5:$O$1004,$L65))</f>
        <v/>
      </c>
      <c r="L65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Downtime'!$B$5:$B$1004&lt;=$B$5)),ROWS($A$1:A15)),"")</f>
        <v/>
      </c>
    </row>
    <row r="66" customFormat="false" ht="15" hidden="false" customHeight="true" outlineLevel="0" collapsed="false">
      <c r="A66" s="1" t="str">
        <f aca="false">IF($L66="","",INDEX('Loom Fault Downtime'!$B$5:$B$1004,$L66))</f>
        <v/>
      </c>
      <c r="B66" s="1" t="str">
        <f aca="false">IF($L66="","",INDEX('Loom Fault Downtime'!$D$5:$D$1004,$L66))</f>
        <v/>
      </c>
      <c r="C66" s="1" t="str">
        <f aca="false">IF($L66="","",INDEX('Loom Fault Downtime'!$I$5:$I$1004,$L66))</f>
        <v/>
      </c>
      <c r="D66" s="1" t="str">
        <f aca="false">IF($L66="","",INDEX('Loom Fault Downtime'!$H$5:$H$1004,$L66))</f>
        <v/>
      </c>
      <c r="E66" s="1" t="str">
        <f aca="false">IF($L66="","",INDEX('Loom Fault Downtime'!$J$5:$J$1004,$L66))</f>
        <v/>
      </c>
      <c r="F66" s="1" t="str">
        <f aca="false">IF($L66="","",INDEX('Loom Fault Downtime'!$K$5:$K$1004,$L66))</f>
        <v/>
      </c>
      <c r="G66" s="1" t="str">
        <f aca="false">IF($L66="","",INDEX('Loom Fault Downtime'!$L$5:$L$1004,$L66))</f>
        <v/>
      </c>
      <c r="H66" s="1" t="str">
        <f aca="false">IF($L66="","",INDEX('Loom Fault Downtime'!$N$5:$N$1004,$L66))</f>
        <v/>
      </c>
      <c r="I66" s="1" t="str">
        <f aca="false">IF($L66="","",INDEX('Loom Fault Downtime'!$C$5:$C$1004,$L66))</f>
        <v/>
      </c>
      <c r="J66" s="1" t="str">
        <f aca="false">IF($L66="","",INDEX('Loom Fault Downtime'!$O$5:$O$1004,$L66))</f>
        <v/>
      </c>
      <c r="L66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Downtime'!$B$5:$B$1004&lt;=$B$5)),ROWS($A$1:A16)),"")</f>
        <v/>
      </c>
    </row>
    <row r="67" customFormat="false" ht="15" hidden="false" customHeight="true" outlineLevel="0" collapsed="false">
      <c r="A67" s="1" t="str">
        <f aca="false">IF($L67="","",INDEX('Loom Fault Downtime'!$B$5:$B$1004,$L67))</f>
        <v/>
      </c>
      <c r="B67" s="1" t="str">
        <f aca="false">IF($L67="","",INDEX('Loom Fault Downtime'!$D$5:$D$1004,$L67))</f>
        <v/>
      </c>
      <c r="C67" s="1" t="str">
        <f aca="false">IF($L67="","",INDEX('Loom Fault Downtime'!$I$5:$I$1004,$L67))</f>
        <v/>
      </c>
      <c r="D67" s="1" t="str">
        <f aca="false">IF($L67="","",INDEX('Loom Fault Downtime'!$H$5:$H$1004,$L67))</f>
        <v/>
      </c>
      <c r="E67" s="1" t="str">
        <f aca="false">IF($L67="","",INDEX('Loom Fault Downtime'!$J$5:$J$1004,$L67))</f>
        <v/>
      </c>
      <c r="F67" s="1" t="str">
        <f aca="false">IF($L67="","",INDEX('Loom Fault Downtime'!$K$5:$K$1004,$L67))</f>
        <v/>
      </c>
      <c r="G67" s="1" t="str">
        <f aca="false">IF($L67="","",INDEX('Loom Fault Downtime'!$L$5:$L$1004,$L67))</f>
        <v/>
      </c>
      <c r="H67" s="1" t="str">
        <f aca="false">IF($L67="","",INDEX('Loom Fault Downtime'!$N$5:$N$1004,$L67))</f>
        <v/>
      </c>
      <c r="I67" s="1" t="str">
        <f aca="false">IF($L67="","",INDEX('Loom Fault Downtime'!$C$5:$C$1004,$L67))</f>
        <v/>
      </c>
      <c r="J67" s="1" t="str">
        <f aca="false">IF($L67="","",INDEX('Loom Fault Downtime'!$O$5:$O$1004,$L67))</f>
        <v/>
      </c>
      <c r="L67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Downtime'!$B$5:$B$1004&lt;=$B$5)),ROWS($A$1:A17)),"")</f>
        <v/>
      </c>
    </row>
    <row r="68" customFormat="false" ht="15" hidden="false" customHeight="true" outlineLevel="0" collapsed="false">
      <c r="A68" s="1" t="str">
        <f aca="false">IF($L68="","",INDEX('Loom Fault Downtime'!$B$5:$B$1004,$L68))</f>
        <v/>
      </c>
      <c r="B68" s="1" t="str">
        <f aca="false">IF($L68="","",INDEX('Loom Fault Downtime'!$D$5:$D$1004,$L68))</f>
        <v/>
      </c>
      <c r="C68" s="1" t="str">
        <f aca="false">IF($L68="","",INDEX('Loom Fault Downtime'!$I$5:$I$1004,$L68))</f>
        <v/>
      </c>
      <c r="D68" s="1" t="str">
        <f aca="false">IF($L68="","",INDEX('Loom Fault Downtime'!$H$5:$H$1004,$L68))</f>
        <v/>
      </c>
      <c r="E68" s="1" t="str">
        <f aca="false">IF($L68="","",INDEX('Loom Fault Downtime'!$J$5:$J$1004,$L68))</f>
        <v/>
      </c>
      <c r="F68" s="1" t="str">
        <f aca="false">IF($L68="","",INDEX('Loom Fault Downtime'!$K$5:$K$1004,$L68))</f>
        <v/>
      </c>
      <c r="G68" s="1" t="str">
        <f aca="false">IF($L68="","",INDEX('Loom Fault Downtime'!$L$5:$L$1004,$L68))</f>
        <v/>
      </c>
      <c r="H68" s="1" t="str">
        <f aca="false">IF($L68="","",INDEX('Loom Fault Downtime'!$N$5:$N$1004,$L68))</f>
        <v/>
      </c>
      <c r="I68" s="1" t="str">
        <f aca="false">IF($L68="","",INDEX('Loom Fault Downtime'!$C$5:$C$1004,$L68))</f>
        <v/>
      </c>
      <c r="J68" s="1" t="str">
        <f aca="false">IF($L68="","",INDEX('Loom Fault Downtime'!$O$5:$O$1004,$L68))</f>
        <v/>
      </c>
      <c r="L68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Downtime'!$B$5:$B$1004&lt;=$B$5)),ROWS($A$1:A18)),"")</f>
        <v/>
      </c>
    </row>
    <row r="69" customFormat="false" ht="15" hidden="false" customHeight="true" outlineLevel="0" collapsed="false">
      <c r="A69" s="1" t="str">
        <f aca="false">IF($L69="","",INDEX('Loom Fault Downtime'!$B$5:$B$1004,$L69))</f>
        <v/>
      </c>
      <c r="B69" s="1" t="str">
        <f aca="false">IF($L69="","",INDEX('Loom Fault Downtime'!$D$5:$D$1004,$L69))</f>
        <v/>
      </c>
      <c r="C69" s="1" t="str">
        <f aca="false">IF($L69="","",INDEX('Loom Fault Downtime'!$I$5:$I$1004,$L69))</f>
        <v/>
      </c>
      <c r="D69" s="1" t="str">
        <f aca="false">IF($L69="","",INDEX('Loom Fault Downtime'!$H$5:$H$1004,$L69))</f>
        <v/>
      </c>
      <c r="E69" s="1" t="str">
        <f aca="false">IF($L69="","",INDEX('Loom Fault Downtime'!$J$5:$J$1004,$L69))</f>
        <v/>
      </c>
      <c r="F69" s="1" t="str">
        <f aca="false">IF($L69="","",INDEX('Loom Fault Downtime'!$K$5:$K$1004,$L69))</f>
        <v/>
      </c>
      <c r="G69" s="1" t="str">
        <f aca="false">IF($L69="","",INDEX('Loom Fault Downtime'!$L$5:$L$1004,$L69))</f>
        <v/>
      </c>
      <c r="H69" s="1" t="str">
        <f aca="false">IF($L69="","",INDEX('Loom Fault Downtime'!$N$5:$N$1004,$L69))</f>
        <v/>
      </c>
      <c r="I69" s="1" t="str">
        <f aca="false">IF($L69="","",INDEX('Loom Fault Downtime'!$C$5:$C$1004,$L69))</f>
        <v/>
      </c>
      <c r="J69" s="1" t="str">
        <f aca="false">IF($L69="","",INDEX('Loom Fault Downtime'!$O$5:$O$1004,$L69))</f>
        <v/>
      </c>
      <c r="L69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Downtime'!$B$5:$B$1004&lt;=$B$5)),ROWS($A$1:A19)),"")</f>
        <v/>
      </c>
    </row>
    <row r="70" customFormat="false" ht="15" hidden="false" customHeight="true" outlineLevel="0" collapsed="false">
      <c r="A70" s="1" t="str">
        <f aca="false">IF($L70="","",INDEX('Loom Fault Downtime'!$B$5:$B$1004,$L70))</f>
        <v/>
      </c>
      <c r="B70" s="1" t="str">
        <f aca="false">IF($L70="","",INDEX('Loom Fault Downtime'!$D$5:$D$1004,$L70))</f>
        <v/>
      </c>
      <c r="C70" s="1" t="str">
        <f aca="false">IF($L70="","",INDEX('Loom Fault Downtime'!$I$5:$I$1004,$L70))</f>
        <v/>
      </c>
      <c r="D70" s="1" t="str">
        <f aca="false">IF($L70="","",INDEX('Loom Fault Downtime'!$H$5:$H$1004,$L70))</f>
        <v/>
      </c>
      <c r="E70" s="1" t="str">
        <f aca="false">IF($L70="","",INDEX('Loom Fault Downtime'!$J$5:$J$1004,$L70))</f>
        <v/>
      </c>
      <c r="F70" s="1" t="str">
        <f aca="false">IF($L70="","",INDEX('Loom Fault Downtime'!$K$5:$K$1004,$L70))</f>
        <v/>
      </c>
      <c r="G70" s="1" t="str">
        <f aca="false">IF($L70="","",INDEX('Loom Fault Downtime'!$L$5:$L$1004,$L70))</f>
        <v/>
      </c>
      <c r="H70" s="1" t="str">
        <f aca="false">IF($L70="","",INDEX('Loom Fault Downtime'!$N$5:$N$1004,$L70))</f>
        <v/>
      </c>
      <c r="I70" s="1" t="str">
        <f aca="false">IF($L70="","",INDEX('Loom Fault Downtime'!$C$5:$C$1004,$L70))</f>
        <v/>
      </c>
      <c r="J70" s="1" t="str">
        <f aca="false">IF($L70="","",INDEX('Loom Fault Downtime'!$O$5:$O$1004,$L70))</f>
        <v/>
      </c>
      <c r="L70" s="1" t="str">
        <f aca="false">IFERROR(aggregate(15,6,(ROW('Loom Fault Downtime'!$B$5:$B$1004)-ROW('Loom Fault Downtime'!$B$5)+1)/(('Loom Fault Downtime'!$E$5:$E$1004=$B$4)*('Loom Fault Downtime'!$B$5:$B$1004&gt;=$H$4)*('Loom Fault Downtime'!$B$5:$B$1004&lt;=$B$5)),ROWS($A$1:A20)),"")</f>
        <v/>
      </c>
    </row>
  </sheetData>
  <mergeCells count="4">
    <mergeCell ref="A1:J2"/>
    <mergeCell ref="A18:E18"/>
    <mergeCell ref="A21:J21"/>
    <mergeCell ref="A49:J49"/>
  </mergeCells>
  <conditionalFormatting sqref="D9:D17">
    <cfRule type="colorScale" priority="2">
      <colorScale>
        <cfvo type="num" val="70"/>
        <cfvo type="num" val="95"/>
        <cfvo type="num" val="105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B4" type="list">
      <formula1>'Operator Master'!$A$5:$A$504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2" min="11" style="1" width="4"/>
  </cols>
  <sheetData>
    <row r="1" customFormat="false" ht="27.75" hidden="false" customHeight="true" outlineLevel="0" collapsed="false">
      <c r="A1" s="2" t="s">
        <v>536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4" t="s">
        <v>537</v>
      </c>
    </row>
    <row r="5" customFormat="false" ht="15" hidden="false" customHeight="true" outlineLevel="0" collapsed="false">
      <c r="A5" s="51" t="s">
        <v>538</v>
      </c>
      <c r="B5" s="52" t="s">
        <v>510</v>
      </c>
      <c r="D5" s="51" t="s">
        <v>6</v>
      </c>
      <c r="E5" s="52" t="s">
        <v>510</v>
      </c>
      <c r="G5" s="51" t="s">
        <v>539</v>
      </c>
      <c r="H5" s="13" t="n">
        <f aca="false">IFERROR(MIN('Weaving KPI Data'!$B$5:$B$504),"")</f>
        <v>0</v>
      </c>
      <c r="J5" s="51" t="s">
        <v>540</v>
      </c>
      <c r="K5" s="13" t="n">
        <f aca="false">IFERROR(MAX('Weaving KPI Data'!$B$5:$B$504),"")</f>
        <v>46288</v>
      </c>
    </row>
    <row r="7" customFormat="false" ht="15" hidden="false" customHeight="true" outlineLevel="0" collapsed="false">
      <c r="A7" s="60" t="s">
        <v>541</v>
      </c>
      <c r="D7" s="60" t="s">
        <v>542</v>
      </c>
      <c r="G7" s="60" t="s">
        <v>543</v>
      </c>
      <c r="J7" s="60" t="s">
        <v>544</v>
      </c>
    </row>
    <row r="8" customFormat="false" ht="19.5" hidden="false" customHeight="true" outlineLevel="0" collapsed="false">
      <c r="A8" s="61" t="n">
        <f aca="false">IF($B$5="All",SUM('Weaving KPI Data'!$O$5:$O$504),SUMIFS('Weaving KPI Data'!$O$5:$O$504,'Weaving KPI Data'!$G$5:$G$504,$B$5))</f>
        <v>15607</v>
      </c>
      <c r="D8" s="61" t="n">
        <f aca="false">IF($B$5="All",IFERROR(SUM('Weaving KPI Data'!$O$5:$O$504)/SUM('Weaving KPI Data'!$N$5:$N$504)*100,""),IFERROR(SUMIFS('Weaving KPI Data'!$O$5:$O$504,'Weaving KPI Data'!$G$5:$G$504,$B$5)/SUMIFS('Weaving KPI Data'!$N$5:$N$504,'Weaving KPI Data'!$G$5:$G$504,$B$5)*100,""))</f>
        <v>36.5076023391813</v>
      </c>
      <c r="G8" s="61" t="n">
        <f aca="false">IF($B$5="All",IFERROR(AVERAGE('Weaving KPI Data'!$U$5:$U$504),""),IFERROR(AVERAGEIFS('Weaving KPI Data'!$U$5:$U$504,'Weaving KPI Data'!$G$5:$G$504,$B$5),""))</f>
        <v>82.7108487353525</v>
      </c>
      <c r="J8" s="62" t="n">
        <f aca="false">IF($B$5="All",IFERROR(AVERAGE('Weaving KPI Data'!$AW$5:$AW$504),""),IFERROR(AVERAGEIFS('Weaving KPI Data'!$AW$5:$AW$504,'Weaving KPI Data'!$G$5:$G$504,$B$5),""))</f>
        <v>0.818237615867331</v>
      </c>
    </row>
    <row r="11" customFormat="false" ht="33.75" hidden="false" customHeight="true" outlineLevel="0" collapsed="false">
      <c r="A11" s="5" t="s">
        <v>9</v>
      </c>
      <c r="B11" s="5" t="s">
        <v>10</v>
      </c>
      <c r="C11" s="5" t="s">
        <v>545</v>
      </c>
      <c r="D11" s="5" t="s">
        <v>546</v>
      </c>
      <c r="E11" s="5" t="s">
        <v>526</v>
      </c>
      <c r="F11" s="5" t="s">
        <v>547</v>
      </c>
      <c r="G11" s="5" t="s">
        <v>548</v>
      </c>
      <c r="H11" s="5" t="s">
        <v>549</v>
      </c>
      <c r="I11" s="5" t="s">
        <v>448</v>
      </c>
      <c r="J11" s="5" t="s">
        <v>450</v>
      </c>
      <c r="K11" s="5"/>
      <c r="L11" s="5"/>
    </row>
    <row r="12" customFormat="false" ht="15" hidden="false" customHeight="true" outlineLevel="0" collapsed="false">
      <c r="A12" s="47" t="str">
        <f aca="false">IFERROR(INDEX('Operator Master'!$A$5:$A$504,ROWS($A$1:A1)),"")</f>
        <v>STL005494</v>
      </c>
      <c r="B12" s="47" t="str">
        <f aca="false">IFERROR(INDEX('Operator Master'!$B$5:$B$504,ROWS($A$1:A1)),"")</f>
        <v>MD. MAHABUB ALAM</v>
      </c>
      <c r="C12" s="47" t="n">
        <f aca="false">IF($A12="","",SUMIFS('Weaving KPI Data'!$O$5:$O$504,'Weaving KPI Data'!$G$5:$G$504,$A12))</f>
        <v>1130</v>
      </c>
      <c r="D12" s="47" t="n">
        <f aca="false">IFERROR(SUMIFS('Weaving KPI Data'!$O$5:$O$504,'Weaving KPI Data'!$G$5:$G$504,$A12)/SUMIFS('Weaving KPI Data'!$N$5:$N$504,'Weaving KPI Data'!$G$5:$G$504,$A12)*100,"")</f>
        <v>75.3333333333333</v>
      </c>
      <c r="E12" s="47" t="n">
        <f aca="false">IFERROR(AVERAGEIFS('Weaving KPI Data'!$U$5:$U$504,'Weaving KPI Data'!$G$5:$G$504,$A12),"")</f>
        <v>87.8719382835101</v>
      </c>
      <c r="F12" s="47" t="n">
        <f aca="false">IFERROR(SUMIFS('Weaving KPI Data'!$V$5:$V$504,'Weaving KPI Data'!$G$5:$G$504,$A12)/SUMIFS('Weaving KPI Data'!$O$5:$O$504,'Weaving KPI Data'!$G$5:$G$504,$A12)*100,"")</f>
        <v>2.83185840707965</v>
      </c>
      <c r="G12" s="47" t="n">
        <f aca="false">IFERROR(SUMIFS('Weaving KPI Data'!$AF$5:$AF$504,'Weaving KPI Data'!$G$5:$G$504,$A12)/SUMIFS('Weaving KPI Data'!$O$5:$O$504,'Weaving KPI Data'!$G$5:$G$504,$A12)*1000,"")</f>
        <v>16.8141592920354</v>
      </c>
      <c r="H12" s="50" t="n">
        <f aca="false">IFERROR(AVERAGEIFS('Weaving KPI Data'!$AW$5:$AW$504,'Weaving KPI Data'!$G$5:$G$504,$A12),"")</f>
        <v>0.795385758302458</v>
      </c>
      <c r="I12" s="47" t="str">
        <f aca="false">IF(H12="","",IF(H12&gt;=1.05,"A+",IF(H12&gt;=1,"A",IF(H12&gt;=0.95,"B+",IF(H12&gt;=0.9,"B","C")))))</f>
        <v>C</v>
      </c>
      <c r="J12" s="47" t="n">
        <f aca="false">IF(I12="","",IF(I12="A+",1800,IF(I12="A",1600,IF(I12="B+",1400,IF(I12="B",1200,0)))))</f>
        <v>0</v>
      </c>
    </row>
    <row r="13" customFormat="false" ht="15" hidden="false" customHeight="true" outlineLevel="0" collapsed="false">
      <c r="A13" s="47" t="str">
        <f aca="false">IFERROR(INDEX('Operator Master'!$A$5:$A$504,ROWS($A$1:A2)),"")</f>
        <v>STL005476</v>
      </c>
      <c r="B13" s="47" t="str">
        <f aca="false">IFERROR(INDEX('Operator Master'!$B$5:$B$504,ROWS($A$1:A2)),"")</f>
        <v>MD. RIPU MIAH</v>
      </c>
      <c r="C13" s="47" t="n">
        <f aca="false">IF($A13="","",SUMIFS('Weaving KPI Data'!$O$5:$O$504,'Weaving KPI Data'!$G$5:$G$504,$A13))</f>
        <v>1127</v>
      </c>
      <c r="D13" s="47" t="n">
        <f aca="false">IFERROR(SUMIFS('Weaving KPI Data'!$O$5:$O$504,'Weaving KPI Data'!$G$5:$G$504,$A13)/SUMIFS('Weaving KPI Data'!$N$5:$N$504,'Weaving KPI Data'!$G$5:$G$504,$A13)*100,"")</f>
        <v>62.6111111111111</v>
      </c>
      <c r="E13" s="47" t="n">
        <f aca="false">IFERROR(AVERAGEIFS('Weaving KPI Data'!$U$5:$U$504,'Weaving KPI Data'!$G$5:$G$504,$A13),"")</f>
        <v>75.282306456241</v>
      </c>
      <c r="F13" s="47" t="n">
        <f aca="false">IFERROR(SUMIFS('Weaving KPI Data'!$V$5:$V$504,'Weaving KPI Data'!$G$5:$G$504,$A13)/SUMIFS('Weaving KPI Data'!$O$5:$O$504,'Weaving KPI Data'!$G$5:$G$504,$A13)*100,"")</f>
        <v>1.50842945874002</v>
      </c>
      <c r="G13" s="47" t="n">
        <f aca="false">IFERROR(SUMIFS('Weaving KPI Data'!$AF$5:$AF$504,'Weaving KPI Data'!$G$5:$G$504,$A13)/SUMIFS('Weaving KPI Data'!$O$5:$O$504,'Weaving KPI Data'!$G$5:$G$504,$A13)*1000,"")</f>
        <v>23.9574090505768</v>
      </c>
      <c r="H13" s="50" t="n">
        <f aca="false">IFERROR(AVERAGEIFS('Weaving KPI Data'!$AW$5:$AW$504,'Weaving KPI Data'!$G$5:$G$504,$A13),"")</f>
        <v>0.785994265784579</v>
      </c>
      <c r="I13" s="47" t="str">
        <f aca="false">IF(H13="","",IF(H13&gt;=1.05,"A+",IF(H13&gt;=1,"A",IF(H13&gt;=0.95,"B+",IF(H13&gt;=0.9,"B","C")))))</f>
        <v>C</v>
      </c>
      <c r="J13" s="47" t="n">
        <f aca="false">IF(I13="","",IF(I13="A+",1800,IF(I13="A",1600,IF(I13="B+",1400,IF(I13="B",1200,0)))))</f>
        <v>0</v>
      </c>
    </row>
    <row r="14" customFormat="false" ht="15" hidden="false" customHeight="true" outlineLevel="0" collapsed="false">
      <c r="A14" s="47" t="str">
        <f aca="false">IFERROR(INDEX('Operator Master'!$A$5:$A$504,ROWS($A$1:A3)),"")</f>
        <v>STL005492</v>
      </c>
      <c r="B14" s="47" t="str">
        <f aca="false">IFERROR(INDEX('Operator Master'!$B$5:$B$504,ROWS($A$1:A3)),"")</f>
        <v>MD. MINHAZ ALI</v>
      </c>
      <c r="C14" s="47" t="n">
        <f aca="false">IF($A14="","",SUMIFS('Weaving KPI Data'!$O$5:$O$504,'Weaving KPI Data'!$G$5:$G$504,$A14))</f>
        <v>1602</v>
      </c>
      <c r="D14" s="47" t="n">
        <f aca="false">IFERROR(SUMIFS('Weaving KPI Data'!$O$5:$O$504,'Weaving KPI Data'!$G$5:$G$504,$A14)/SUMIFS('Weaving KPI Data'!$N$5:$N$504,'Weaving KPI Data'!$G$5:$G$504,$A14)*100,"")</f>
        <v>84.3157894736842</v>
      </c>
      <c r="E14" s="47" t="n">
        <f aca="false">IFERROR(AVERAGEIFS('Weaving KPI Data'!$U$5:$U$504,'Weaving KPI Data'!$G$5:$G$504,$A14),"")</f>
        <v>94.1676067118045</v>
      </c>
      <c r="F14" s="47" t="n">
        <f aca="false">IFERROR(SUMIFS('Weaving KPI Data'!$V$5:$V$504,'Weaving KPI Data'!$G$5:$G$504,$A14)/SUMIFS('Weaving KPI Data'!$O$5:$O$504,'Weaving KPI Data'!$G$5:$G$504,$A14)*100,"")</f>
        <v>1.24843945068664</v>
      </c>
      <c r="G14" s="47" t="n">
        <f aca="false">IFERROR(SUMIFS('Weaving KPI Data'!$AF$5:$AF$504,'Weaving KPI Data'!$G$5:$G$504,$A14)/SUMIFS('Weaving KPI Data'!$O$5:$O$504,'Weaving KPI Data'!$G$5:$G$504,$A14)*1000,"")</f>
        <v>8.73907615480649</v>
      </c>
      <c r="H14" s="50" t="n">
        <f aca="false">IFERROR(AVERAGEIFS('Weaving KPI Data'!$AW$5:$AW$504,'Weaving KPI Data'!$G$5:$G$504,$A14),"")</f>
        <v>0.961336560443647</v>
      </c>
      <c r="I14" s="47" t="str">
        <f aca="false">IF(H14="","",IF(H14&gt;=1.05,"A+",IF(H14&gt;=1,"A",IF(H14&gt;=0.95,"B+",IF(H14&gt;=0.9,"B","C")))))</f>
        <v>B+</v>
      </c>
      <c r="J14" s="47" t="n">
        <f aca="false">IF(I14="","",IF(I14="A+",1800,IF(I14="A",1600,IF(I14="B+",1400,IF(I14="B",1200,0)))))</f>
        <v>1400</v>
      </c>
    </row>
    <row r="15" customFormat="false" ht="15" hidden="false" customHeight="true" outlineLevel="0" collapsed="false">
      <c r="A15" s="47" t="str">
        <f aca="false">IFERROR(INDEX('Operator Master'!$A$5:$A$504,ROWS($A$1:A4)),"")</f>
        <v>STL005502</v>
      </c>
      <c r="B15" s="47" t="str">
        <f aca="false">IFERROR(INDEX('Operator Master'!$B$5:$B$504,ROWS($A$1:A4)),"")</f>
        <v>MD. FORIDUL ISLAM</v>
      </c>
      <c r="C15" s="47" t="n">
        <f aca="false">IF($A15="","",SUMIFS('Weaving KPI Data'!$O$5:$O$504,'Weaving KPI Data'!$G$5:$G$504,$A15))</f>
        <v>781</v>
      </c>
      <c r="D15" s="47" t="n">
        <f aca="false">IFERROR(SUMIFS('Weaving KPI Data'!$O$5:$O$504,'Weaving KPI Data'!$G$5:$G$504,$A15)/SUMIFS('Weaving KPI Data'!$N$5:$N$504,'Weaving KPI Data'!$G$5:$G$504,$A15)*100,"")</f>
        <v>52.0666666666667</v>
      </c>
      <c r="E15" s="47" t="n">
        <f aca="false">IFERROR(AVERAGEIFS('Weaving KPI Data'!$U$5:$U$504,'Weaving KPI Data'!$G$5:$G$504,$A15),"")</f>
        <v>67.3280470588234</v>
      </c>
      <c r="F15" s="47" t="n">
        <f aca="false">IFERROR(SUMIFS('Weaving KPI Data'!$V$5:$V$504,'Weaving KPI Data'!$G$5:$G$504,$A15)/SUMIFS('Weaving KPI Data'!$O$5:$O$504,'Weaving KPI Data'!$G$5:$G$504,$A15)*100,"")</f>
        <v>2.04865556978233</v>
      </c>
      <c r="G15" s="47" t="n">
        <f aca="false">IFERROR(SUMIFS('Weaving KPI Data'!$AF$5:$AF$504,'Weaving KPI Data'!$G$5:$G$504,$A15)/SUMIFS('Weaving KPI Data'!$O$5:$O$504,'Weaving KPI Data'!$G$5:$G$504,$A15)*1000,"")</f>
        <v>26.8886043533931</v>
      </c>
      <c r="H15" s="50" t="n">
        <f aca="false">IFERROR(AVERAGEIFS('Weaving KPI Data'!$AW$5:$AW$504,'Weaving KPI Data'!$G$5:$G$504,$A15),"")</f>
        <v>0.708034630112045</v>
      </c>
      <c r="I15" s="47" t="str">
        <f aca="false">IF(H15="","",IF(H15&gt;=1.05,"A+",IF(H15&gt;=1,"A",IF(H15&gt;=0.95,"B+",IF(H15&gt;=0.9,"B","C")))))</f>
        <v>C</v>
      </c>
      <c r="J15" s="47" t="n">
        <f aca="false">IF(I15="","",IF(I15="A+",1800,IF(I15="A",1600,IF(I15="B+",1400,IF(I15="B",1200,0)))))</f>
        <v>0</v>
      </c>
    </row>
    <row r="16" customFormat="false" ht="15" hidden="false" customHeight="true" outlineLevel="0" collapsed="false">
      <c r="A16" s="47" t="str">
        <f aca="false">IFERROR(INDEX('Operator Master'!$A$5:$A$504,ROWS($A$1:A5)),"")</f>
        <v>STL005507</v>
      </c>
      <c r="B16" s="47" t="str">
        <f aca="false">IFERROR(INDEX('Operator Master'!$B$5:$B$504,ROWS($A$1:A5)),"")</f>
        <v>MD. SAIFUL ISLAM-2</v>
      </c>
      <c r="C16" s="47" t="n">
        <f aca="false">IF($A16="","",SUMIFS('Weaving KPI Data'!$O$5:$O$504,'Weaving KPI Data'!$G$5:$G$504,$A16))</f>
        <v>1170</v>
      </c>
      <c r="D16" s="47" t="n">
        <f aca="false">IFERROR(SUMIFS('Weaving KPI Data'!$O$5:$O$504,'Weaving KPI Data'!$G$5:$G$504,$A16)/SUMIFS('Weaving KPI Data'!$N$5:$N$504,'Weaving KPI Data'!$G$5:$G$504,$A16)*100,"")</f>
        <v>61.5789473684211</v>
      </c>
      <c r="E16" s="47" t="n">
        <f aca="false">IFERROR(AVERAGEIFS('Weaving KPI Data'!$U$5:$U$504,'Weaving KPI Data'!$G$5:$G$504,$A16),"")</f>
        <v>67.519313304721</v>
      </c>
      <c r="F16" s="47" t="n">
        <f aca="false">IFERROR(SUMIFS('Weaving KPI Data'!$V$5:$V$504,'Weaving KPI Data'!$G$5:$G$504,$A16)/SUMIFS('Weaving KPI Data'!$O$5:$O$504,'Weaving KPI Data'!$G$5:$G$504,$A16)*100,"")</f>
        <v>1.02564102564103</v>
      </c>
      <c r="G16" s="47" t="n">
        <f aca="false">IFERROR(SUMIFS('Weaving KPI Data'!$AF$5:$AF$504,'Weaving KPI Data'!$G$5:$G$504,$A16)/SUMIFS('Weaving KPI Data'!$O$5:$O$504,'Weaving KPI Data'!$G$5:$G$504,$A16)*1000,"")</f>
        <v>17.0940170940171</v>
      </c>
      <c r="H16" s="50" t="n">
        <f aca="false">IFERROR(AVERAGEIFS('Weaving KPI Data'!$AW$5:$AW$504,'Weaving KPI Data'!$G$5:$G$504,$A16),"")</f>
        <v>0.840436864693924</v>
      </c>
      <c r="I16" s="47" t="str">
        <f aca="false">IF(H16="","",IF(H16&gt;=1.05,"A+",IF(H16&gt;=1,"A",IF(H16&gt;=0.95,"B+",IF(H16&gt;=0.9,"B","C")))))</f>
        <v>C</v>
      </c>
      <c r="J16" s="47" t="n">
        <f aca="false">IF(I16="","",IF(I16="A+",1800,IF(I16="A",1600,IF(I16="B+",1400,IF(I16="B",1200,0)))))</f>
        <v>0</v>
      </c>
    </row>
    <row r="17" customFormat="false" ht="15" hidden="false" customHeight="true" outlineLevel="0" collapsed="false">
      <c r="A17" s="47" t="str">
        <f aca="false">IFERROR(INDEX('Operator Master'!$A$5:$A$504,ROWS($A$1:A6)),"")</f>
        <v>STL005510</v>
      </c>
      <c r="B17" s="47" t="str">
        <f aca="false">IFERROR(INDEX('Operator Master'!$B$5:$B$504,ROWS($A$1:A6)),"")</f>
        <v>MD. ZIAUL HAQUE</v>
      </c>
      <c r="C17" s="47" t="n">
        <f aca="false">IF($A17="","",SUMIFS('Weaving KPI Data'!$O$5:$O$504,'Weaving KPI Data'!$G$5:$G$504,$A17))</f>
        <v>1598</v>
      </c>
      <c r="D17" s="47" t="n">
        <f aca="false">IFERROR(SUMIFS('Weaving KPI Data'!$O$5:$O$504,'Weaving KPI Data'!$G$5:$G$504,$A17)/SUMIFS('Weaving KPI Data'!$N$5:$N$504,'Weaving KPI Data'!$G$5:$G$504,$A17)*100,"")</f>
        <v>88.7777777777778</v>
      </c>
      <c r="E17" s="47" t="n">
        <f aca="false">IFERROR(AVERAGEIFS('Weaving KPI Data'!$U$5:$U$504,'Weaving KPI Data'!$G$5:$G$504,$A17),"")</f>
        <v>104.095880597015</v>
      </c>
      <c r="F17" s="47" t="n">
        <f aca="false">IFERROR(SUMIFS('Weaving KPI Data'!$V$5:$V$504,'Weaving KPI Data'!$G$5:$G$504,$A17)/SUMIFS('Weaving KPI Data'!$O$5:$O$504,'Weaving KPI Data'!$G$5:$G$504,$A17)*100,"")</f>
        <v>0</v>
      </c>
      <c r="G17" s="47" t="n">
        <f aca="false">IFERROR(SUMIFS('Weaving KPI Data'!$AF$5:$AF$504,'Weaving KPI Data'!$G$5:$G$504,$A17)/SUMIFS('Weaving KPI Data'!$O$5:$O$504,'Weaving KPI Data'!$G$5:$G$504,$A17)*1000,"")</f>
        <v>0</v>
      </c>
      <c r="H17" s="50" t="str">
        <f aca="false">IFERROR(AVERAGEIFS('Weaving KPI Data'!$AW$5:$AW$504,'Weaving KPI Data'!$G$5:$G$504,$A17),"")</f>
        <v/>
      </c>
      <c r="I17" s="47" t="str">
        <f aca="false">IF(H17="","",IF(H17&gt;=1.05,"A+",IF(H17&gt;=1,"A",IF(H17&gt;=0.95,"B+",IF(H17&gt;=0.9,"B","C")))))</f>
        <v/>
      </c>
      <c r="J17" s="47" t="str">
        <f aca="false">IF(I17="","",IF(I17="A+",1800,IF(I17="A",1600,IF(I17="B+",1400,IF(I17="B",1200,0)))))</f>
        <v/>
      </c>
    </row>
    <row r="18" customFormat="false" ht="15" hidden="false" customHeight="true" outlineLevel="0" collapsed="false">
      <c r="A18" s="47" t="str">
        <f aca="false">IFERROR(INDEX('Operator Master'!$A$5:$A$504,ROWS($A$1:A7)),"")</f>
        <v>STL005466</v>
      </c>
      <c r="B18" s="47" t="str">
        <f aca="false">IFERROR(INDEX('Operator Master'!$B$5:$B$504,ROWS($A$1:A7)),"")</f>
        <v>MD. ANOWAR HOSEN-3</v>
      </c>
      <c r="C18" s="47" t="n">
        <f aca="false">IF($A18="","",SUMIFS('Weaving KPI Data'!$O$5:$O$504,'Weaving KPI Data'!$G$5:$G$504,$A18))</f>
        <v>1156</v>
      </c>
      <c r="D18" s="47" t="n">
        <f aca="false">IFERROR(SUMIFS('Weaving KPI Data'!$O$5:$O$504,'Weaving KPI Data'!$G$5:$G$504,$A18)/SUMIFS('Weaving KPI Data'!$N$5:$N$504,'Weaving KPI Data'!$G$5:$G$504,$A18)*100,"")</f>
        <v>72.25</v>
      </c>
      <c r="E18" s="47" t="str">
        <f aca="false">IFERROR(AVERAGEIFS('Weaving KPI Data'!$U$5:$U$504,'Weaving KPI Data'!$G$5:$G$504,$A18),"")</f>
        <v/>
      </c>
      <c r="F18" s="47" t="n">
        <f aca="false">IFERROR(SUMIFS('Weaving KPI Data'!$V$5:$V$504,'Weaving KPI Data'!$G$5:$G$504,$A18)/SUMIFS('Weaving KPI Data'!$O$5:$O$504,'Weaving KPI Data'!$G$5:$G$504,$A18)*100,"")</f>
        <v>0</v>
      </c>
      <c r="G18" s="47" t="n">
        <f aca="false">IFERROR(SUMIFS('Weaving KPI Data'!$AF$5:$AF$504,'Weaving KPI Data'!$G$5:$G$504,$A18)/SUMIFS('Weaving KPI Data'!$O$5:$O$504,'Weaving KPI Data'!$G$5:$G$504,$A18)*1000,"")</f>
        <v>0</v>
      </c>
      <c r="H18" s="50" t="str">
        <f aca="false">IFERROR(AVERAGEIFS('Weaving KPI Data'!$AW$5:$AW$504,'Weaving KPI Data'!$G$5:$G$504,$A18),"")</f>
        <v/>
      </c>
      <c r="I18" s="47" t="str">
        <f aca="false">IF(H18="","",IF(H18&gt;=1.05,"A+",IF(H18&gt;=1,"A",IF(H18&gt;=0.95,"B+",IF(H18&gt;=0.9,"B","C")))))</f>
        <v/>
      </c>
      <c r="J18" s="47" t="str">
        <f aca="false">IF(I18="","",IF(I18="A+",1800,IF(I18="A",1600,IF(I18="B+",1400,IF(I18="B",1200,0)))))</f>
        <v/>
      </c>
    </row>
    <row r="19" customFormat="false" ht="15" hidden="false" customHeight="true" outlineLevel="0" collapsed="false">
      <c r="A19" s="47" t="str">
        <f aca="false">IFERROR(INDEX('Operator Master'!$A$5:$A$504,ROWS($A$1:A8)),"")</f>
        <v>STL005489</v>
      </c>
      <c r="B19" s="47" t="str">
        <f aca="false">IFERROR(INDEX('Operator Master'!$B$5:$B$504,ROWS($A$1:A8)),"")</f>
        <v>MD. ALAM MIA</v>
      </c>
      <c r="C19" s="47" t="n">
        <f aca="false">IF($A19="","",SUMIFS('Weaving KPI Data'!$O$5:$O$504,'Weaving KPI Data'!$G$5:$G$504,$A19))</f>
        <v>1255</v>
      </c>
      <c r="D19" s="47" t="n">
        <f aca="false">IFERROR(SUMIFS('Weaving KPI Data'!$O$5:$O$504,'Weaving KPI Data'!$G$5:$G$504,$A19)/SUMIFS('Weaving KPI Data'!$N$5:$N$504,'Weaving KPI Data'!$G$5:$G$504,$A19)*100,"")</f>
        <v>71.7142857142857</v>
      </c>
      <c r="E19" s="47" t="str">
        <f aca="false">IFERROR(AVERAGEIFS('Weaving KPI Data'!$U$5:$U$504,'Weaving KPI Data'!$G$5:$G$504,$A19),"")</f>
        <v/>
      </c>
      <c r="F19" s="47" t="n">
        <f aca="false">IFERROR(SUMIFS('Weaving KPI Data'!$V$5:$V$504,'Weaving KPI Data'!$G$5:$G$504,$A19)/SUMIFS('Weaving KPI Data'!$O$5:$O$504,'Weaving KPI Data'!$G$5:$G$504,$A19)*100,"")</f>
        <v>0</v>
      </c>
      <c r="G19" s="47" t="n">
        <f aca="false">IFERROR(SUMIFS('Weaving KPI Data'!$AF$5:$AF$504,'Weaving KPI Data'!$G$5:$G$504,$A19)/SUMIFS('Weaving KPI Data'!$O$5:$O$504,'Weaving KPI Data'!$G$5:$G$504,$A19)*1000,"")</f>
        <v>0</v>
      </c>
      <c r="H19" s="50" t="str">
        <f aca="false">IFERROR(AVERAGEIFS('Weaving KPI Data'!$AW$5:$AW$504,'Weaving KPI Data'!$G$5:$G$504,$A19),"")</f>
        <v/>
      </c>
      <c r="I19" s="47" t="str">
        <f aca="false">IF(H19="","",IF(H19&gt;=1.05,"A+",IF(H19&gt;=1,"A",IF(H19&gt;=0.95,"B+",IF(H19&gt;=0.9,"B","C")))))</f>
        <v/>
      </c>
      <c r="J19" s="47" t="str">
        <f aca="false">IF(I19="","",IF(I19="A+",1800,IF(I19="A",1600,IF(I19="B+",1400,IF(I19="B",1200,0)))))</f>
        <v/>
      </c>
    </row>
    <row r="20" customFormat="false" ht="15" hidden="false" customHeight="true" outlineLevel="0" collapsed="false">
      <c r="A20" s="47" t="str">
        <f aca="false">IFERROR(INDEX('Operator Master'!$A$5:$A$504,ROWS($A$1:A9)),"")</f>
        <v>STL005490</v>
      </c>
      <c r="B20" s="47" t="str">
        <f aca="false">IFERROR(INDEX('Operator Master'!$B$5:$B$504,ROWS($A$1:A9)),"")</f>
        <v>MD. MOMINUL ISLAM</v>
      </c>
      <c r="C20" s="47" t="n">
        <f aca="false">IF($A20="","",SUMIFS('Weaving KPI Data'!$O$5:$O$504,'Weaving KPI Data'!$G$5:$G$504,$A20))</f>
        <v>876</v>
      </c>
      <c r="D20" s="47" t="n">
        <f aca="false">IFERROR(SUMIFS('Weaving KPI Data'!$O$5:$O$504,'Weaving KPI Data'!$G$5:$G$504,$A20)/SUMIFS('Weaving KPI Data'!$N$5:$N$504,'Weaving KPI Data'!$G$5:$G$504,$A20)*100,"")</f>
        <v>79.6363636363636</v>
      </c>
      <c r="E20" s="47" t="str">
        <f aca="false">IFERROR(AVERAGEIFS('Weaving KPI Data'!$U$5:$U$504,'Weaving KPI Data'!$G$5:$G$504,$A20),"")</f>
        <v/>
      </c>
      <c r="F20" s="47" t="n">
        <f aca="false">IFERROR(SUMIFS('Weaving KPI Data'!$V$5:$V$504,'Weaving KPI Data'!$G$5:$G$504,$A20)/SUMIFS('Weaving KPI Data'!$O$5:$O$504,'Weaving KPI Data'!$G$5:$G$504,$A20)*100,"")</f>
        <v>0</v>
      </c>
      <c r="G20" s="47" t="n">
        <f aca="false">IFERROR(SUMIFS('Weaving KPI Data'!$AF$5:$AF$504,'Weaving KPI Data'!$G$5:$G$504,$A20)/SUMIFS('Weaving KPI Data'!$O$5:$O$504,'Weaving KPI Data'!$G$5:$G$504,$A20)*1000,"")</f>
        <v>0</v>
      </c>
      <c r="H20" s="50" t="str">
        <f aca="false">IFERROR(AVERAGEIFS('Weaving KPI Data'!$AW$5:$AW$504,'Weaving KPI Data'!$G$5:$G$504,$A20),"")</f>
        <v/>
      </c>
      <c r="I20" s="47" t="str">
        <f aca="false">IF(H20="","",IF(H20&gt;=1.05,"A+",IF(H20&gt;=1,"A",IF(H20&gt;=0.95,"B+",IF(H20&gt;=0.9,"B","C")))))</f>
        <v/>
      </c>
      <c r="J20" s="47" t="str">
        <f aca="false">IF(I20="","",IF(I20="A+",1800,IF(I20="A",1600,IF(I20="B+",1400,IF(I20="B",1200,0)))))</f>
        <v/>
      </c>
    </row>
    <row r="21" customFormat="false" ht="15" hidden="false" customHeight="true" outlineLevel="0" collapsed="false">
      <c r="A21" s="47" t="str">
        <f aca="false">IFERROR(INDEX('Operator Master'!$A$5:$A$504,ROWS($A$1:A10)),"")</f>
        <v>STL005487</v>
      </c>
      <c r="B21" s="47" t="str">
        <f aca="false">IFERROR(INDEX('Operator Master'!$B$5:$B$504,ROWS($A$1:A10)),"")</f>
        <v>MD. JAHIDUL ISLAM HOWLADER</v>
      </c>
      <c r="C21" s="47" t="n">
        <f aca="false">IF($A21="","",SUMIFS('Weaving KPI Data'!$O$5:$O$504,'Weaving KPI Data'!$G$5:$G$504,$A21))</f>
        <v>1187</v>
      </c>
      <c r="D21" s="47" t="n">
        <f aca="false">IFERROR(SUMIFS('Weaving KPI Data'!$O$5:$O$504,'Weaving KPI Data'!$G$5:$G$504,$A21)/SUMIFS('Weaving KPI Data'!$N$5:$N$504,'Weaving KPI Data'!$G$5:$G$504,$A21)*100,"")</f>
        <v>69.8235294117647</v>
      </c>
      <c r="E21" s="47" t="str">
        <f aca="false">IFERROR(AVERAGEIFS('Weaving KPI Data'!$U$5:$U$504,'Weaving KPI Data'!$G$5:$G$504,$A21),"")</f>
        <v/>
      </c>
      <c r="F21" s="47" t="n">
        <f aca="false">IFERROR(SUMIFS('Weaving KPI Data'!$V$5:$V$504,'Weaving KPI Data'!$G$5:$G$504,$A21)/SUMIFS('Weaving KPI Data'!$O$5:$O$504,'Weaving KPI Data'!$G$5:$G$504,$A21)*100,"")</f>
        <v>0</v>
      </c>
      <c r="G21" s="47" t="n">
        <f aca="false">IFERROR(SUMIFS('Weaving KPI Data'!$AF$5:$AF$504,'Weaving KPI Data'!$G$5:$G$504,$A21)/SUMIFS('Weaving KPI Data'!$O$5:$O$504,'Weaving KPI Data'!$G$5:$G$504,$A21)*1000,"")</f>
        <v>0</v>
      </c>
      <c r="H21" s="50" t="str">
        <f aca="false">IFERROR(AVERAGEIFS('Weaving KPI Data'!$AW$5:$AW$504,'Weaving KPI Data'!$G$5:$G$504,$A21),"")</f>
        <v/>
      </c>
      <c r="I21" s="47" t="str">
        <f aca="false">IF(H21="","",IF(H21&gt;=1.05,"A+",IF(H21&gt;=1,"A",IF(H21&gt;=0.95,"B+",IF(H21&gt;=0.9,"B","C")))))</f>
        <v/>
      </c>
      <c r="J21" s="47" t="str">
        <f aca="false">IF(I21="","",IF(I21="A+",1800,IF(I21="A",1600,IF(I21="B+",1400,IF(I21="B",1200,0)))))</f>
        <v/>
      </c>
    </row>
    <row r="22" customFormat="false" ht="15" hidden="false" customHeight="true" outlineLevel="0" collapsed="false">
      <c r="A22" s="47" t="str">
        <f aca="false">IFERROR(INDEX('Operator Master'!$A$5:$A$504,ROWS($A$1:A11)),"")</f>
        <v>STL005511</v>
      </c>
      <c r="B22" s="47" t="str">
        <f aca="false">IFERROR(INDEX('Operator Master'!$B$5:$B$504,ROWS($A$1:A11)),"")</f>
        <v>MD. RIPON MIA-2</v>
      </c>
      <c r="C22" s="47" t="n">
        <f aca="false">IF($A22="","",SUMIFS('Weaving KPI Data'!$O$5:$O$504,'Weaving KPI Data'!$G$5:$G$504,$A22))</f>
        <v>1265</v>
      </c>
      <c r="D22" s="47" t="n">
        <f aca="false">IFERROR(SUMIFS('Weaving KPI Data'!$O$5:$O$504,'Weaving KPI Data'!$G$5:$G$504,$A22)/SUMIFS('Weaving KPI Data'!$N$5:$N$504,'Weaving KPI Data'!$G$5:$G$504,$A22)*100,"")</f>
        <v>70.2777777777778</v>
      </c>
      <c r="E22" s="47" t="str">
        <f aca="false">IFERROR(AVERAGEIFS('Weaving KPI Data'!$U$5:$U$504,'Weaving KPI Data'!$G$5:$G$504,$A22),"")</f>
        <v/>
      </c>
      <c r="F22" s="47" t="n">
        <f aca="false">IFERROR(SUMIFS('Weaving KPI Data'!$V$5:$V$504,'Weaving KPI Data'!$G$5:$G$504,$A22)/SUMIFS('Weaving KPI Data'!$O$5:$O$504,'Weaving KPI Data'!$G$5:$G$504,$A22)*100,"")</f>
        <v>0</v>
      </c>
      <c r="G22" s="47" t="n">
        <f aca="false">IFERROR(SUMIFS('Weaving KPI Data'!$AF$5:$AF$504,'Weaving KPI Data'!$G$5:$G$504,$A22)/SUMIFS('Weaving KPI Data'!$O$5:$O$504,'Weaving KPI Data'!$G$5:$G$504,$A22)*1000,"")</f>
        <v>0</v>
      </c>
      <c r="H22" s="50" t="str">
        <f aca="false">IFERROR(AVERAGEIFS('Weaving KPI Data'!$AW$5:$AW$504,'Weaving KPI Data'!$G$5:$G$504,$A22),"")</f>
        <v/>
      </c>
      <c r="I22" s="47" t="str">
        <f aca="false">IF(H22="","",IF(H22&gt;=1.05,"A+",IF(H22&gt;=1,"A",IF(H22&gt;=0.95,"B+",IF(H22&gt;=0.9,"B","C")))))</f>
        <v/>
      </c>
      <c r="J22" s="47" t="str">
        <f aca="false">IF(I22="","",IF(I22="A+",1800,IF(I22="A",1600,IF(I22="B+",1400,IF(I22="B",1200,0)))))</f>
        <v/>
      </c>
    </row>
    <row r="23" customFormat="false" ht="15" hidden="false" customHeight="true" outlineLevel="0" collapsed="false">
      <c r="A23" s="47" t="str">
        <f aca="false">IFERROR(INDEX('Operator Master'!$A$5:$A$504,ROWS($A$1:A12)),"")</f>
        <v>STL005516</v>
      </c>
      <c r="B23" s="47" t="str">
        <f aca="false">IFERROR(INDEX('Operator Master'!$B$5:$B$504,ROWS($A$1:A12)),"")</f>
        <v>GOULAM RABBANI</v>
      </c>
      <c r="C23" s="47" t="n">
        <f aca="false">IF($A23="","",SUMIFS('Weaving KPI Data'!$O$5:$O$504,'Weaving KPI Data'!$G$5:$G$504,$A23))</f>
        <v>1292</v>
      </c>
      <c r="D23" s="47" t="n">
        <f aca="false">IFERROR(SUMIFS('Weaving KPI Data'!$O$5:$O$504,'Weaving KPI Data'!$G$5:$G$504,$A23)/SUMIFS('Weaving KPI Data'!$N$5:$N$504,'Weaving KPI Data'!$G$5:$G$504,$A23)*100,"")</f>
        <v>76</v>
      </c>
      <c r="E23" s="47" t="str">
        <f aca="false">IFERROR(AVERAGEIFS('Weaving KPI Data'!$U$5:$U$504,'Weaving KPI Data'!$G$5:$G$504,$A23),"")</f>
        <v/>
      </c>
      <c r="F23" s="47" t="n">
        <f aca="false">IFERROR(SUMIFS('Weaving KPI Data'!$V$5:$V$504,'Weaving KPI Data'!$G$5:$G$504,$A23)/SUMIFS('Weaving KPI Data'!$O$5:$O$504,'Weaving KPI Data'!$G$5:$G$504,$A23)*100,"")</f>
        <v>0</v>
      </c>
      <c r="G23" s="47" t="n">
        <f aca="false">IFERROR(SUMIFS('Weaving KPI Data'!$AF$5:$AF$504,'Weaving KPI Data'!$G$5:$G$504,$A23)/SUMIFS('Weaving KPI Data'!$O$5:$O$504,'Weaving KPI Data'!$G$5:$G$504,$A23)*1000,"")</f>
        <v>0</v>
      </c>
      <c r="H23" s="50" t="str">
        <f aca="false">IFERROR(AVERAGEIFS('Weaving KPI Data'!$AW$5:$AW$504,'Weaving KPI Data'!$G$5:$G$504,$A23),"")</f>
        <v/>
      </c>
      <c r="I23" s="47" t="str">
        <f aca="false">IF(H23="","",IF(H23&gt;=1.05,"A+",IF(H23&gt;=1,"A",IF(H23&gt;=0.95,"B+",IF(H23&gt;=0.9,"B","C")))))</f>
        <v/>
      </c>
      <c r="J23" s="47" t="str">
        <f aca="false">IF(I23="","",IF(I23="A+",1800,IF(I23="A",1600,IF(I23="B+",1400,IF(I23="B",1200,0)))))</f>
        <v/>
      </c>
    </row>
    <row r="24" customFormat="false" ht="15" hidden="false" customHeight="true" outlineLevel="0" collapsed="false">
      <c r="A24" s="47" t="str">
        <f aca="false">IFERROR(INDEX('Operator Master'!$A$5:$A$504,ROWS($A$1:A13)),"")</f>
        <v>STL005513</v>
      </c>
      <c r="B24" s="47" t="str">
        <f aca="false">IFERROR(INDEX('Operator Master'!$B$5:$B$504,ROWS($A$1:A13)),"")</f>
        <v>MD. HABIBUR RAHMAN</v>
      </c>
      <c r="C24" s="47" t="n">
        <f aca="false">IF($A24="","",SUMIFS('Weaving KPI Data'!$O$5:$O$504,'Weaving KPI Data'!$G$5:$G$504,$A24))</f>
        <v>1168</v>
      </c>
      <c r="D24" s="47" t="n">
        <f aca="false">IFERROR(SUMIFS('Weaving KPI Data'!$O$5:$O$504,'Weaving KPI Data'!$G$5:$G$504,$A24)/SUMIFS('Weaving KPI Data'!$N$5:$N$504,'Weaving KPI Data'!$G$5:$G$504,$A24)*100,"")</f>
        <v>68.7058823529412</v>
      </c>
      <c r="E24" s="47" t="str">
        <f aca="false">IFERROR(AVERAGEIFS('Weaving KPI Data'!$U$5:$U$504,'Weaving KPI Data'!$G$5:$G$504,$A24),"")</f>
        <v/>
      </c>
      <c r="F24" s="47" t="n">
        <f aca="false">IFERROR(SUMIFS('Weaving KPI Data'!$V$5:$V$504,'Weaving KPI Data'!$G$5:$G$504,$A24)/SUMIFS('Weaving KPI Data'!$O$5:$O$504,'Weaving KPI Data'!$G$5:$G$504,$A24)*100,"")</f>
        <v>0</v>
      </c>
      <c r="G24" s="47" t="n">
        <f aca="false">IFERROR(SUMIFS('Weaving KPI Data'!$AF$5:$AF$504,'Weaving KPI Data'!$G$5:$G$504,$A24)/SUMIFS('Weaving KPI Data'!$O$5:$O$504,'Weaving KPI Data'!$G$5:$G$504,$A24)*1000,"")</f>
        <v>0</v>
      </c>
      <c r="H24" s="50" t="str">
        <f aca="false">IFERROR(AVERAGEIFS('Weaving KPI Data'!$AW$5:$AW$504,'Weaving KPI Data'!$G$5:$G$504,$A24),"")</f>
        <v/>
      </c>
      <c r="I24" s="47" t="str">
        <f aca="false">IF(H24="","",IF(H24&gt;=1.05,"A+",IF(H24&gt;=1,"A",IF(H24&gt;=0.95,"B+",IF(H24&gt;=0.9,"B","C")))))</f>
        <v/>
      </c>
      <c r="J24" s="47" t="str">
        <f aca="false">IF(I24="","",IF(I24="A+",1800,IF(I24="A",1600,IF(I24="B+",1400,IF(I24="B",1200,0)))))</f>
        <v/>
      </c>
    </row>
    <row r="25" customFormat="false" ht="15" hidden="false" customHeight="true" outlineLevel="0" collapsed="false">
      <c r="A25" s="47" t="str">
        <f aca="false">IFERROR(INDEX('Operator Master'!$A$5:$A$504,ROWS($A$1:A14)),"")</f>
        <v>STL005520</v>
      </c>
      <c r="B25" s="47" t="str">
        <f aca="false">IFERROR(INDEX('Operator Master'!$B$5:$B$504,ROWS($A$1:A14)),"")</f>
        <v>MD. SAIFUL ISLAM-3</v>
      </c>
      <c r="C25" s="47" t="n">
        <f aca="false">IF($A25="","",SUMIFS('Weaving KPI Data'!$O$5:$O$504,'Weaving KPI Data'!$G$5:$G$504,$A25))</f>
        <v>0</v>
      </c>
      <c r="D25" s="47" t="n">
        <f aca="false">IFERROR(SUMIFS('Weaving KPI Data'!$O$5:$O$504,'Weaving KPI Data'!$G$5:$G$504,$A25)/SUMIFS('Weaving KPI Data'!$N$5:$N$504,'Weaving KPI Data'!$G$5:$G$504,$A25)*100,"")</f>
        <v>0</v>
      </c>
      <c r="E25" s="47" t="str">
        <f aca="false">IFERROR(AVERAGEIFS('Weaving KPI Data'!$U$5:$U$504,'Weaving KPI Data'!$G$5:$G$504,$A25),"")</f>
        <v/>
      </c>
      <c r="F25" s="47" t="str">
        <f aca="false">IFERROR(SUMIFS('Weaving KPI Data'!$V$5:$V$504,'Weaving KPI Data'!$G$5:$G$504,$A25)/SUMIFS('Weaving KPI Data'!$O$5:$O$504,'Weaving KPI Data'!$G$5:$G$504,$A25)*100,"")</f>
        <v/>
      </c>
      <c r="G25" s="47" t="str">
        <f aca="false">IFERROR(SUMIFS('Weaving KPI Data'!$AF$5:$AF$504,'Weaving KPI Data'!$G$5:$G$504,$A25)/SUMIFS('Weaving KPI Data'!$O$5:$O$504,'Weaving KPI Data'!$G$5:$G$504,$A25)*1000,"")</f>
        <v/>
      </c>
      <c r="H25" s="50" t="str">
        <f aca="false">IFERROR(AVERAGEIFS('Weaving KPI Data'!$AW$5:$AW$504,'Weaving KPI Data'!$G$5:$G$504,$A25),"")</f>
        <v/>
      </c>
      <c r="I25" s="47" t="str">
        <f aca="false">IF(H25="","",IF(H25&gt;=1.05,"A+",IF(H25&gt;=1,"A",IF(H25&gt;=0.95,"B+",IF(H25&gt;=0.9,"B","C")))))</f>
        <v/>
      </c>
      <c r="J25" s="47" t="str">
        <f aca="false">IF(I25="","",IF(I25="A+",1800,IF(I25="A",1600,IF(I25="B+",1400,IF(I25="B",1200,0)))))</f>
        <v/>
      </c>
    </row>
    <row r="26" customFormat="false" ht="15" hidden="false" customHeight="true" outlineLevel="0" collapsed="false">
      <c r="A26" s="47" t="str">
        <f aca="false">IFERROR(INDEX('Operator Master'!$A$5:$A$504,ROWS($A$1:A15)),"")</f>
        <v>STL005488</v>
      </c>
      <c r="B26" s="47" t="str">
        <f aca="false">IFERROR(INDEX('Operator Master'!$B$5:$B$504,ROWS($A$1:A15)),"")</f>
        <v>MD. JAKIR HOSEN</v>
      </c>
      <c r="C26" s="47" t="n">
        <f aca="false">IF($A26="","",SUMIFS('Weaving KPI Data'!$O$5:$O$504,'Weaving KPI Data'!$G$5:$G$504,$A26))</f>
        <v>0</v>
      </c>
      <c r="D26" s="47" t="n">
        <f aca="false">IFERROR(SUMIFS('Weaving KPI Data'!$O$5:$O$504,'Weaving KPI Data'!$G$5:$G$504,$A26)/SUMIFS('Weaving KPI Data'!$N$5:$N$504,'Weaving KPI Data'!$G$5:$G$504,$A26)*100,"")</f>
        <v>0</v>
      </c>
      <c r="E26" s="47" t="str">
        <f aca="false">IFERROR(AVERAGEIFS('Weaving KPI Data'!$U$5:$U$504,'Weaving KPI Data'!$G$5:$G$504,$A26),"")</f>
        <v/>
      </c>
      <c r="F26" s="47" t="str">
        <f aca="false">IFERROR(SUMIFS('Weaving KPI Data'!$V$5:$V$504,'Weaving KPI Data'!$G$5:$G$504,$A26)/SUMIFS('Weaving KPI Data'!$O$5:$O$504,'Weaving KPI Data'!$G$5:$G$504,$A26)*100,"")</f>
        <v/>
      </c>
      <c r="G26" s="47" t="str">
        <f aca="false">IFERROR(SUMIFS('Weaving KPI Data'!$AF$5:$AF$504,'Weaving KPI Data'!$G$5:$G$504,$A26)/SUMIFS('Weaving KPI Data'!$O$5:$O$504,'Weaving KPI Data'!$G$5:$G$504,$A26)*1000,"")</f>
        <v/>
      </c>
      <c r="H26" s="50" t="str">
        <f aca="false">IFERROR(AVERAGEIFS('Weaving KPI Data'!$AW$5:$AW$504,'Weaving KPI Data'!$G$5:$G$504,$A26),"")</f>
        <v/>
      </c>
      <c r="I26" s="47" t="str">
        <f aca="false">IF(H26="","",IF(H26&gt;=1.05,"A+",IF(H26&gt;=1,"A",IF(H26&gt;=0.95,"B+",IF(H26&gt;=0.9,"B","C")))))</f>
        <v/>
      </c>
      <c r="J26" s="47" t="str">
        <f aca="false">IF(I26="","",IF(I26="A+",1800,IF(I26="A",1600,IF(I26="B+",1400,IF(I26="B",1200,0)))))</f>
        <v/>
      </c>
    </row>
    <row r="27" customFormat="false" ht="15" hidden="false" customHeight="true" outlineLevel="0" collapsed="false">
      <c r="A27" s="47" t="str">
        <f aca="false">IFERROR(INDEX('Operator Master'!$A$5:$A$504,ROWS($A$1:A16)),"")</f>
        <v>STL005916</v>
      </c>
      <c r="B27" s="47" t="str">
        <f aca="false">IFERROR(INDEX('Operator Master'!$B$5:$B$504,ROWS($A$1:A16)),"")</f>
        <v>AZIZUL HAQUE</v>
      </c>
      <c r="C27" s="47" t="n">
        <f aca="false">IF($A27="","",SUMIFS('Weaving KPI Data'!$O$5:$O$504,'Weaving KPI Data'!$G$5:$G$504,$A27))</f>
        <v>0</v>
      </c>
      <c r="D27" s="47" t="n">
        <f aca="false">IFERROR(SUMIFS('Weaving KPI Data'!$O$5:$O$504,'Weaving KPI Data'!$G$5:$G$504,$A27)/SUMIFS('Weaving KPI Data'!$N$5:$N$504,'Weaving KPI Data'!$G$5:$G$504,$A27)*100,"")</f>
        <v>0</v>
      </c>
      <c r="E27" s="47" t="str">
        <f aca="false">IFERROR(AVERAGEIFS('Weaving KPI Data'!$U$5:$U$504,'Weaving KPI Data'!$G$5:$G$504,$A27),"")</f>
        <v/>
      </c>
      <c r="F27" s="47" t="str">
        <f aca="false">IFERROR(SUMIFS('Weaving KPI Data'!$V$5:$V$504,'Weaving KPI Data'!$G$5:$G$504,$A27)/SUMIFS('Weaving KPI Data'!$O$5:$O$504,'Weaving KPI Data'!$G$5:$G$504,$A27)*100,"")</f>
        <v/>
      </c>
      <c r="G27" s="47" t="str">
        <f aca="false">IFERROR(SUMIFS('Weaving KPI Data'!$AF$5:$AF$504,'Weaving KPI Data'!$G$5:$G$504,$A27)/SUMIFS('Weaving KPI Data'!$O$5:$O$504,'Weaving KPI Data'!$G$5:$G$504,$A27)*1000,"")</f>
        <v/>
      </c>
      <c r="H27" s="50" t="str">
        <f aca="false">IFERROR(AVERAGEIFS('Weaving KPI Data'!$AW$5:$AW$504,'Weaving KPI Data'!$G$5:$G$504,$A27),"")</f>
        <v/>
      </c>
      <c r="I27" s="47" t="str">
        <f aca="false">IF(H27="","",IF(H27&gt;=1.05,"A+",IF(H27&gt;=1,"A",IF(H27&gt;=0.95,"B+",IF(H27&gt;=0.9,"B","C")))))</f>
        <v/>
      </c>
      <c r="J27" s="47" t="str">
        <f aca="false">IF(I27="","",IF(I27="A+",1800,IF(I27="A",1600,IF(I27="B+",1400,IF(I27="B",1200,0)))))</f>
        <v/>
      </c>
    </row>
    <row r="28" customFormat="false" ht="15" hidden="false" customHeight="true" outlineLevel="0" collapsed="false">
      <c r="A28" s="47" t="str">
        <f aca="false">IFERROR(INDEX('Operator Master'!$A$5:$A$504,ROWS($A$1:A17)),"")</f>
        <v>STL007346</v>
      </c>
      <c r="B28" s="47" t="str">
        <f aca="false">IFERROR(INDEX('Operator Master'!$B$5:$B$504,ROWS($A$1:A17)),"")</f>
        <v>MD. ANARUL ISLAM </v>
      </c>
      <c r="C28" s="47" t="n">
        <f aca="false">IF($A28="","",SUMIFS('Weaving KPI Data'!$O$5:$O$504,'Weaving KPI Data'!$G$5:$G$504,$A28))</f>
        <v>0</v>
      </c>
      <c r="D28" s="47" t="n">
        <f aca="false">IFERROR(SUMIFS('Weaving KPI Data'!$O$5:$O$504,'Weaving KPI Data'!$G$5:$G$504,$A28)/SUMIFS('Weaving KPI Data'!$N$5:$N$504,'Weaving KPI Data'!$G$5:$G$504,$A28)*100,"")</f>
        <v>0</v>
      </c>
      <c r="E28" s="47" t="str">
        <f aca="false">IFERROR(AVERAGEIFS('Weaving KPI Data'!$U$5:$U$504,'Weaving KPI Data'!$G$5:$G$504,$A28),"")</f>
        <v/>
      </c>
      <c r="F28" s="47" t="str">
        <f aca="false">IFERROR(SUMIFS('Weaving KPI Data'!$V$5:$V$504,'Weaving KPI Data'!$G$5:$G$504,$A28)/SUMIFS('Weaving KPI Data'!$O$5:$O$504,'Weaving KPI Data'!$G$5:$G$504,$A28)*100,"")</f>
        <v/>
      </c>
      <c r="G28" s="47" t="str">
        <f aca="false">IFERROR(SUMIFS('Weaving KPI Data'!$AF$5:$AF$504,'Weaving KPI Data'!$G$5:$G$504,$A28)/SUMIFS('Weaving KPI Data'!$O$5:$O$504,'Weaving KPI Data'!$G$5:$G$504,$A28)*1000,"")</f>
        <v/>
      </c>
      <c r="H28" s="50" t="str">
        <f aca="false">IFERROR(AVERAGEIFS('Weaving KPI Data'!$AW$5:$AW$504,'Weaving KPI Data'!$G$5:$G$504,$A28),"")</f>
        <v/>
      </c>
      <c r="I28" s="47" t="str">
        <f aca="false">IF(H28="","",IF(H28&gt;=1.05,"A+",IF(H28&gt;=1,"A",IF(H28&gt;=0.95,"B+",IF(H28&gt;=0.9,"B","C")))))</f>
        <v/>
      </c>
      <c r="J28" s="47" t="str">
        <f aca="false">IF(I28="","",IF(I28="A+",1800,IF(I28="A",1600,IF(I28="B+",1400,IF(I28="B",1200,0)))))</f>
        <v/>
      </c>
    </row>
    <row r="29" customFormat="false" ht="15" hidden="false" customHeight="true" outlineLevel="0" collapsed="false">
      <c r="A29" s="47" t="str">
        <f aca="false">IFERROR(INDEX('Operator Master'!$A$5:$A$504,ROWS($A$1:A18)),"")</f>
        <v>STL007421</v>
      </c>
      <c r="B29" s="47" t="str">
        <f aca="false">IFERROR(INDEX('Operator Master'!$B$5:$B$504,ROWS($A$1:A18)),"")</f>
        <v>MD. ROSHID</v>
      </c>
      <c r="C29" s="47" t="n">
        <f aca="false">IF($A29="","",SUMIFS('Weaving KPI Data'!$O$5:$O$504,'Weaving KPI Data'!$G$5:$G$504,$A29))</f>
        <v>0</v>
      </c>
      <c r="D29" s="47" t="n">
        <f aca="false">IFERROR(SUMIFS('Weaving KPI Data'!$O$5:$O$504,'Weaving KPI Data'!$G$5:$G$504,$A29)/SUMIFS('Weaving KPI Data'!$N$5:$N$504,'Weaving KPI Data'!$G$5:$G$504,$A29)*100,"")</f>
        <v>0</v>
      </c>
      <c r="E29" s="47" t="str">
        <f aca="false">IFERROR(AVERAGEIFS('Weaving KPI Data'!$U$5:$U$504,'Weaving KPI Data'!$G$5:$G$504,$A29),"")</f>
        <v/>
      </c>
      <c r="F29" s="47" t="str">
        <f aca="false">IFERROR(SUMIFS('Weaving KPI Data'!$V$5:$V$504,'Weaving KPI Data'!$G$5:$G$504,$A29)/SUMIFS('Weaving KPI Data'!$O$5:$O$504,'Weaving KPI Data'!$G$5:$G$504,$A29)*100,"")</f>
        <v/>
      </c>
      <c r="G29" s="47" t="str">
        <f aca="false">IFERROR(SUMIFS('Weaving KPI Data'!$AF$5:$AF$504,'Weaving KPI Data'!$G$5:$G$504,$A29)/SUMIFS('Weaving KPI Data'!$O$5:$O$504,'Weaving KPI Data'!$G$5:$G$504,$A29)*1000,"")</f>
        <v/>
      </c>
      <c r="H29" s="50" t="str">
        <f aca="false">IFERROR(AVERAGEIFS('Weaving KPI Data'!$AW$5:$AW$504,'Weaving KPI Data'!$G$5:$G$504,$A29),"")</f>
        <v/>
      </c>
      <c r="I29" s="47" t="str">
        <f aca="false">IF(H29="","",IF(H29&gt;=1.05,"A+",IF(H29&gt;=1,"A",IF(H29&gt;=0.95,"B+",IF(H29&gt;=0.9,"B","C")))))</f>
        <v/>
      </c>
      <c r="J29" s="47" t="str">
        <f aca="false">IF(I29="","",IF(I29="A+",1800,IF(I29="A",1600,IF(I29="B+",1400,IF(I29="B",1200,0)))))</f>
        <v/>
      </c>
    </row>
    <row r="30" customFormat="false" ht="15" hidden="false" customHeight="true" outlineLevel="0" collapsed="false">
      <c r="A30" s="47" t="str">
        <f aca="false">IFERROR(INDEX('Operator Master'!$A$5:$A$504,ROWS($A$1:A19)),"")</f>
        <v>STL007504</v>
      </c>
      <c r="B30" s="47" t="str">
        <f aca="false">IFERROR(INDEX('Operator Master'!$B$5:$B$504,ROWS($A$1:A19)),"")</f>
        <v>MD. AZIM </v>
      </c>
      <c r="C30" s="47" t="n">
        <f aca="false">IF($A30="","",SUMIFS('Weaving KPI Data'!$O$5:$O$504,'Weaving KPI Data'!$G$5:$G$504,$A30))</f>
        <v>0</v>
      </c>
      <c r="D30" s="47" t="n">
        <f aca="false">IFERROR(SUMIFS('Weaving KPI Data'!$O$5:$O$504,'Weaving KPI Data'!$G$5:$G$504,$A30)/SUMIFS('Weaving KPI Data'!$N$5:$N$504,'Weaving KPI Data'!$G$5:$G$504,$A30)*100,"")</f>
        <v>0</v>
      </c>
      <c r="E30" s="47" t="str">
        <f aca="false">IFERROR(AVERAGEIFS('Weaving KPI Data'!$U$5:$U$504,'Weaving KPI Data'!$G$5:$G$504,$A30),"")</f>
        <v/>
      </c>
      <c r="F30" s="47" t="str">
        <f aca="false">IFERROR(SUMIFS('Weaving KPI Data'!$V$5:$V$504,'Weaving KPI Data'!$G$5:$G$504,$A30)/SUMIFS('Weaving KPI Data'!$O$5:$O$504,'Weaving KPI Data'!$G$5:$G$504,$A30)*100,"")</f>
        <v/>
      </c>
      <c r="G30" s="47" t="str">
        <f aca="false">IFERROR(SUMIFS('Weaving KPI Data'!$AF$5:$AF$504,'Weaving KPI Data'!$G$5:$G$504,$A30)/SUMIFS('Weaving KPI Data'!$O$5:$O$504,'Weaving KPI Data'!$G$5:$G$504,$A30)*1000,"")</f>
        <v/>
      </c>
      <c r="H30" s="50" t="str">
        <f aca="false">IFERROR(AVERAGEIFS('Weaving KPI Data'!$AW$5:$AW$504,'Weaving KPI Data'!$G$5:$G$504,$A30),"")</f>
        <v/>
      </c>
      <c r="I30" s="47" t="str">
        <f aca="false">IF(H30="","",IF(H30&gt;=1.05,"A+",IF(H30&gt;=1,"A",IF(H30&gt;=0.95,"B+",IF(H30&gt;=0.9,"B","C")))))</f>
        <v/>
      </c>
      <c r="J30" s="47" t="str">
        <f aca="false">IF(I30="","",IF(I30="A+",1800,IF(I30="A",1600,IF(I30="B+",1400,IF(I30="B",1200,0)))))</f>
        <v/>
      </c>
    </row>
    <row r="31" customFormat="false" ht="15" hidden="false" customHeight="true" outlineLevel="0" collapsed="false">
      <c r="A31" s="47" t="str">
        <f aca="false">IFERROR(INDEX('Operator Master'!$A$5:$A$504,ROWS($A$1:A20)),"")</f>
        <v>STL005458</v>
      </c>
      <c r="B31" s="47" t="str">
        <f aca="false">IFERROR(INDEX('Operator Master'!$B$5:$B$504,ROWS($A$1:A20)),"")</f>
        <v>MD. MOTALEB HOSEN</v>
      </c>
      <c r="C31" s="47" t="n">
        <f aca="false">IF($A31="","",SUMIFS('Weaving KPI Data'!$O$5:$O$504,'Weaving KPI Data'!$G$5:$G$504,$A31))</f>
        <v>0</v>
      </c>
      <c r="D31" s="47" t="n">
        <f aca="false">IFERROR(SUMIFS('Weaving KPI Data'!$O$5:$O$504,'Weaving KPI Data'!$G$5:$G$504,$A31)/SUMIFS('Weaving KPI Data'!$N$5:$N$504,'Weaving KPI Data'!$G$5:$G$504,$A31)*100,"")</f>
        <v>0</v>
      </c>
      <c r="E31" s="47" t="str">
        <f aca="false">IFERROR(AVERAGEIFS('Weaving KPI Data'!$U$5:$U$504,'Weaving KPI Data'!$G$5:$G$504,$A31),"")</f>
        <v/>
      </c>
      <c r="F31" s="47" t="str">
        <f aca="false">IFERROR(SUMIFS('Weaving KPI Data'!$V$5:$V$504,'Weaving KPI Data'!$G$5:$G$504,$A31)/SUMIFS('Weaving KPI Data'!$O$5:$O$504,'Weaving KPI Data'!$G$5:$G$504,$A31)*100,"")</f>
        <v/>
      </c>
      <c r="G31" s="47" t="str">
        <f aca="false">IFERROR(SUMIFS('Weaving KPI Data'!$AF$5:$AF$504,'Weaving KPI Data'!$G$5:$G$504,$A31)/SUMIFS('Weaving KPI Data'!$O$5:$O$504,'Weaving KPI Data'!$G$5:$G$504,$A31)*1000,"")</f>
        <v/>
      </c>
      <c r="H31" s="50" t="str">
        <f aca="false">IFERROR(AVERAGEIFS('Weaving KPI Data'!$AW$5:$AW$504,'Weaving KPI Data'!$G$5:$G$504,$A31),"")</f>
        <v/>
      </c>
      <c r="I31" s="47" t="str">
        <f aca="false">IF(H31="","",IF(H31&gt;=1.05,"A+",IF(H31&gt;=1,"A",IF(H31&gt;=0.95,"B+",IF(H31&gt;=0.9,"B","C")))))</f>
        <v/>
      </c>
      <c r="J31" s="47" t="str">
        <f aca="false">IF(I31="","",IF(I31="A+",1800,IF(I31="A",1600,IF(I31="B+",1400,IF(I31="B",1200,0)))))</f>
        <v/>
      </c>
    </row>
    <row r="32" customFormat="false" ht="15" hidden="false" customHeight="true" outlineLevel="0" collapsed="false">
      <c r="A32" s="47" t="str">
        <f aca="false">IFERROR(INDEX('Operator Master'!$A$5:$A$504,ROWS($A$1:A21)),"")</f>
        <v>STL005473</v>
      </c>
      <c r="B32" s="47" t="str">
        <f aca="false">IFERROR(INDEX('Operator Master'!$B$5:$B$504,ROWS($A$1:A21)),"")</f>
        <v>MD. KAWSAR ALI</v>
      </c>
      <c r="C32" s="47" t="n">
        <f aca="false">IF($A32="","",SUMIFS('Weaving KPI Data'!$O$5:$O$504,'Weaving KPI Data'!$G$5:$G$504,$A32))</f>
        <v>0</v>
      </c>
      <c r="D32" s="47" t="n">
        <f aca="false">IFERROR(SUMIFS('Weaving KPI Data'!$O$5:$O$504,'Weaving KPI Data'!$G$5:$G$504,$A32)/SUMIFS('Weaving KPI Data'!$N$5:$N$504,'Weaving KPI Data'!$G$5:$G$504,$A32)*100,"")</f>
        <v>0</v>
      </c>
      <c r="E32" s="47" t="str">
        <f aca="false">IFERROR(AVERAGEIFS('Weaving KPI Data'!$U$5:$U$504,'Weaving KPI Data'!$G$5:$G$504,$A32),"")</f>
        <v/>
      </c>
      <c r="F32" s="47" t="str">
        <f aca="false">IFERROR(SUMIFS('Weaving KPI Data'!$V$5:$V$504,'Weaving KPI Data'!$G$5:$G$504,$A32)/SUMIFS('Weaving KPI Data'!$O$5:$O$504,'Weaving KPI Data'!$G$5:$G$504,$A32)*100,"")</f>
        <v/>
      </c>
      <c r="G32" s="47" t="str">
        <f aca="false">IFERROR(SUMIFS('Weaving KPI Data'!$AF$5:$AF$504,'Weaving KPI Data'!$G$5:$G$504,$A32)/SUMIFS('Weaving KPI Data'!$O$5:$O$504,'Weaving KPI Data'!$G$5:$G$504,$A32)*1000,"")</f>
        <v/>
      </c>
      <c r="H32" s="50" t="str">
        <f aca="false">IFERROR(AVERAGEIFS('Weaving KPI Data'!$AW$5:$AW$504,'Weaving KPI Data'!$G$5:$G$504,$A32),"")</f>
        <v/>
      </c>
      <c r="I32" s="47" t="str">
        <f aca="false">IF(H32="","",IF(H32&gt;=1.05,"A+",IF(H32&gt;=1,"A",IF(H32&gt;=0.95,"B+",IF(H32&gt;=0.9,"B","C")))))</f>
        <v/>
      </c>
      <c r="J32" s="47" t="str">
        <f aca="false">IF(I32="","",IF(I32="A+",1800,IF(I32="A",1600,IF(I32="B+",1400,IF(I32="B",1200,0)))))</f>
        <v/>
      </c>
    </row>
    <row r="33" customFormat="false" ht="15" hidden="false" customHeight="true" outlineLevel="0" collapsed="false">
      <c r="A33" s="47" t="str">
        <f aca="false">IFERROR(INDEX('Operator Master'!$A$5:$A$504,ROWS($A$1:A22)),"")</f>
        <v>STL005474</v>
      </c>
      <c r="B33" s="47" t="str">
        <f aca="false">IFERROR(INDEX('Operator Master'!$B$5:$B$504,ROWS($A$1:A22)),"")</f>
        <v>MD. FARMAN ALI</v>
      </c>
      <c r="C33" s="47" t="n">
        <f aca="false">IF($A33="","",SUMIFS('Weaving KPI Data'!$O$5:$O$504,'Weaving KPI Data'!$G$5:$G$504,$A33))</f>
        <v>0</v>
      </c>
      <c r="D33" s="47" t="n">
        <f aca="false">IFERROR(SUMIFS('Weaving KPI Data'!$O$5:$O$504,'Weaving KPI Data'!$G$5:$G$504,$A33)/SUMIFS('Weaving KPI Data'!$N$5:$N$504,'Weaving KPI Data'!$G$5:$G$504,$A33)*100,"")</f>
        <v>0</v>
      </c>
      <c r="E33" s="47" t="str">
        <f aca="false">IFERROR(AVERAGEIFS('Weaving KPI Data'!$U$5:$U$504,'Weaving KPI Data'!$G$5:$G$504,$A33),"")</f>
        <v/>
      </c>
      <c r="F33" s="47" t="str">
        <f aca="false">IFERROR(SUMIFS('Weaving KPI Data'!$V$5:$V$504,'Weaving KPI Data'!$G$5:$G$504,$A33)/SUMIFS('Weaving KPI Data'!$O$5:$O$504,'Weaving KPI Data'!$G$5:$G$504,$A33)*100,"")</f>
        <v/>
      </c>
      <c r="G33" s="47" t="str">
        <f aca="false">IFERROR(SUMIFS('Weaving KPI Data'!$AF$5:$AF$504,'Weaving KPI Data'!$G$5:$G$504,$A33)/SUMIFS('Weaving KPI Data'!$O$5:$O$504,'Weaving KPI Data'!$G$5:$G$504,$A33)*1000,"")</f>
        <v/>
      </c>
      <c r="H33" s="50" t="str">
        <f aca="false">IFERROR(AVERAGEIFS('Weaving KPI Data'!$AW$5:$AW$504,'Weaving KPI Data'!$G$5:$G$504,$A33),"")</f>
        <v/>
      </c>
      <c r="I33" s="47" t="str">
        <f aca="false">IF(H33="","",IF(H33&gt;=1.05,"A+",IF(H33&gt;=1,"A",IF(H33&gt;=0.95,"B+",IF(H33&gt;=0.9,"B","C")))))</f>
        <v/>
      </c>
      <c r="J33" s="47" t="str">
        <f aca="false">IF(I33="","",IF(I33="A+",1800,IF(I33="A",1600,IF(I33="B+",1400,IF(I33="B",1200,0)))))</f>
        <v/>
      </c>
    </row>
    <row r="34" customFormat="false" ht="15" hidden="false" customHeight="true" outlineLevel="0" collapsed="false">
      <c r="A34" s="47" t="str">
        <f aca="false">IFERROR(INDEX('Operator Master'!$A$5:$A$504,ROWS($A$1:A23)),"")</f>
        <v>STL005478</v>
      </c>
      <c r="B34" s="47" t="str">
        <f aca="false">IFERROR(INDEX('Operator Master'!$B$5:$B$504,ROWS($A$1:A23)),"")</f>
        <v>MD. JULHAS UDDIN</v>
      </c>
      <c r="C34" s="47" t="n">
        <f aca="false">IF($A34="","",SUMIFS('Weaving KPI Data'!$O$5:$O$504,'Weaving KPI Data'!$G$5:$G$504,$A34))</f>
        <v>0</v>
      </c>
      <c r="D34" s="47" t="n">
        <f aca="false">IFERROR(SUMIFS('Weaving KPI Data'!$O$5:$O$504,'Weaving KPI Data'!$G$5:$G$504,$A34)/SUMIFS('Weaving KPI Data'!$N$5:$N$504,'Weaving KPI Data'!$G$5:$G$504,$A34)*100,"")</f>
        <v>0</v>
      </c>
      <c r="E34" s="47" t="str">
        <f aca="false">IFERROR(AVERAGEIFS('Weaving KPI Data'!$U$5:$U$504,'Weaving KPI Data'!$G$5:$G$504,$A34),"")</f>
        <v/>
      </c>
      <c r="F34" s="47" t="str">
        <f aca="false">IFERROR(SUMIFS('Weaving KPI Data'!$V$5:$V$504,'Weaving KPI Data'!$G$5:$G$504,$A34)/SUMIFS('Weaving KPI Data'!$O$5:$O$504,'Weaving KPI Data'!$G$5:$G$504,$A34)*100,"")</f>
        <v/>
      </c>
      <c r="G34" s="47" t="str">
        <f aca="false">IFERROR(SUMIFS('Weaving KPI Data'!$AF$5:$AF$504,'Weaving KPI Data'!$G$5:$G$504,$A34)/SUMIFS('Weaving KPI Data'!$O$5:$O$504,'Weaving KPI Data'!$G$5:$G$504,$A34)*1000,"")</f>
        <v/>
      </c>
      <c r="H34" s="50" t="str">
        <f aca="false">IFERROR(AVERAGEIFS('Weaving KPI Data'!$AW$5:$AW$504,'Weaving KPI Data'!$G$5:$G$504,$A34),"")</f>
        <v/>
      </c>
      <c r="I34" s="47" t="str">
        <f aca="false">IF(H34="","",IF(H34&gt;=1.05,"A+",IF(H34&gt;=1,"A",IF(H34&gt;=0.95,"B+",IF(H34&gt;=0.9,"B","C")))))</f>
        <v/>
      </c>
      <c r="J34" s="47" t="str">
        <f aca="false">IF(I34="","",IF(I34="A+",1800,IF(I34="A",1600,IF(I34="B+",1400,IF(I34="B",1200,0)))))</f>
        <v/>
      </c>
    </row>
    <row r="35" customFormat="false" ht="15" hidden="false" customHeight="true" outlineLevel="0" collapsed="false">
      <c r="A35" s="47" t="str">
        <f aca="false">IFERROR(INDEX('Operator Master'!$A$5:$A$504,ROWS($A$1:A24)),"")</f>
        <v>STL005493</v>
      </c>
      <c r="B35" s="47" t="str">
        <f aca="false">IFERROR(INDEX('Operator Master'!$B$5:$B$504,ROWS($A$1:A24)),"")</f>
        <v>MD. ABDUL AWAL</v>
      </c>
      <c r="C35" s="47" t="n">
        <f aca="false">IF($A35="","",SUMIFS('Weaving KPI Data'!$O$5:$O$504,'Weaving KPI Data'!$G$5:$G$504,$A35))</f>
        <v>0</v>
      </c>
      <c r="D35" s="47" t="n">
        <f aca="false">IFERROR(SUMIFS('Weaving KPI Data'!$O$5:$O$504,'Weaving KPI Data'!$G$5:$G$504,$A35)/SUMIFS('Weaving KPI Data'!$N$5:$N$504,'Weaving KPI Data'!$G$5:$G$504,$A35)*100,"")</f>
        <v>0</v>
      </c>
      <c r="E35" s="47" t="str">
        <f aca="false">IFERROR(AVERAGEIFS('Weaving KPI Data'!$U$5:$U$504,'Weaving KPI Data'!$G$5:$G$504,$A35),"")</f>
        <v/>
      </c>
      <c r="F35" s="47" t="str">
        <f aca="false">IFERROR(SUMIFS('Weaving KPI Data'!$V$5:$V$504,'Weaving KPI Data'!$G$5:$G$504,$A35)/SUMIFS('Weaving KPI Data'!$O$5:$O$504,'Weaving KPI Data'!$G$5:$G$504,$A35)*100,"")</f>
        <v/>
      </c>
      <c r="G35" s="47" t="str">
        <f aca="false">IFERROR(SUMIFS('Weaving KPI Data'!$AF$5:$AF$504,'Weaving KPI Data'!$G$5:$G$504,$A35)/SUMIFS('Weaving KPI Data'!$O$5:$O$504,'Weaving KPI Data'!$G$5:$G$504,$A35)*1000,"")</f>
        <v/>
      </c>
      <c r="H35" s="50" t="str">
        <f aca="false">IFERROR(AVERAGEIFS('Weaving KPI Data'!$AW$5:$AW$504,'Weaving KPI Data'!$G$5:$G$504,$A35),"")</f>
        <v/>
      </c>
      <c r="I35" s="47" t="str">
        <f aca="false">IF(H35="","",IF(H35&gt;=1.05,"A+",IF(H35&gt;=1,"A",IF(H35&gt;=0.95,"B+",IF(H35&gt;=0.9,"B","C")))))</f>
        <v/>
      </c>
      <c r="J35" s="47" t="str">
        <f aca="false">IF(I35="","",IF(I35="A+",1800,IF(I35="A",1600,IF(I35="B+",1400,IF(I35="B",1200,0)))))</f>
        <v/>
      </c>
    </row>
    <row r="36" customFormat="false" ht="15" hidden="false" customHeight="true" outlineLevel="0" collapsed="false">
      <c r="A36" s="47" t="str">
        <f aca="false">IFERROR(INDEX('Operator Master'!$A$5:$A$504,ROWS($A$1:A25)),"")</f>
        <v>STL005469</v>
      </c>
      <c r="B36" s="47" t="str">
        <f aca="false">IFERROR(INDEX('Operator Master'!$B$5:$B$504,ROWS($A$1:A25)),"")</f>
        <v>MD. DULU MIA</v>
      </c>
      <c r="C36" s="47" t="n">
        <f aca="false">IF($A36="","",SUMIFS('Weaving KPI Data'!$O$5:$O$504,'Weaving KPI Data'!$G$5:$G$504,$A36))</f>
        <v>0</v>
      </c>
      <c r="D36" s="47" t="n">
        <f aca="false">IFERROR(SUMIFS('Weaving KPI Data'!$O$5:$O$504,'Weaving KPI Data'!$G$5:$G$504,$A36)/SUMIFS('Weaving KPI Data'!$N$5:$N$504,'Weaving KPI Data'!$G$5:$G$504,$A36)*100,"")</f>
        <v>0</v>
      </c>
      <c r="E36" s="47" t="str">
        <f aca="false">IFERROR(AVERAGEIFS('Weaving KPI Data'!$U$5:$U$504,'Weaving KPI Data'!$G$5:$G$504,$A36),"")</f>
        <v/>
      </c>
      <c r="F36" s="47" t="str">
        <f aca="false">IFERROR(SUMIFS('Weaving KPI Data'!$V$5:$V$504,'Weaving KPI Data'!$G$5:$G$504,$A36)/SUMIFS('Weaving KPI Data'!$O$5:$O$504,'Weaving KPI Data'!$G$5:$G$504,$A36)*100,"")</f>
        <v/>
      </c>
      <c r="G36" s="47" t="str">
        <f aca="false">IFERROR(SUMIFS('Weaving KPI Data'!$AF$5:$AF$504,'Weaving KPI Data'!$G$5:$G$504,$A36)/SUMIFS('Weaving KPI Data'!$O$5:$O$504,'Weaving KPI Data'!$G$5:$G$504,$A36)*1000,"")</f>
        <v/>
      </c>
      <c r="H36" s="50" t="str">
        <f aca="false">IFERROR(AVERAGEIFS('Weaving KPI Data'!$AW$5:$AW$504,'Weaving KPI Data'!$G$5:$G$504,$A36),"")</f>
        <v/>
      </c>
      <c r="I36" s="47" t="str">
        <f aca="false">IF(H36="","",IF(H36&gt;=1.05,"A+",IF(H36&gt;=1,"A",IF(H36&gt;=0.95,"B+",IF(H36&gt;=0.9,"B","C")))))</f>
        <v/>
      </c>
      <c r="J36" s="47" t="str">
        <f aca="false">IF(I36="","",IF(I36="A+",1800,IF(I36="A",1600,IF(I36="B+",1400,IF(I36="B",1200,0)))))</f>
        <v/>
      </c>
    </row>
    <row r="37" customFormat="false" ht="15" hidden="false" customHeight="true" outlineLevel="0" collapsed="false">
      <c r="A37" s="47" t="str">
        <f aca="false">IFERROR(INDEX('Operator Master'!$A$5:$A$504,ROWS($A$1:A26)),"")</f>
        <v>STL005464</v>
      </c>
      <c r="B37" s="47" t="str">
        <f aca="false">IFERROR(INDEX('Operator Master'!$B$5:$B$504,ROWS($A$1:A26)),"")</f>
        <v>SREE SUSANTO CHANDRA</v>
      </c>
      <c r="C37" s="47" t="n">
        <f aca="false">IF($A37="","",SUMIFS('Weaving KPI Data'!$O$5:$O$504,'Weaving KPI Data'!$G$5:$G$504,$A37))</f>
        <v>0</v>
      </c>
      <c r="D37" s="47" t="n">
        <f aca="false">IFERROR(SUMIFS('Weaving KPI Data'!$O$5:$O$504,'Weaving KPI Data'!$G$5:$G$504,$A37)/SUMIFS('Weaving KPI Data'!$N$5:$N$504,'Weaving KPI Data'!$G$5:$G$504,$A37)*100,"")</f>
        <v>0</v>
      </c>
      <c r="E37" s="47" t="str">
        <f aca="false">IFERROR(AVERAGEIFS('Weaving KPI Data'!$U$5:$U$504,'Weaving KPI Data'!$G$5:$G$504,$A37),"")</f>
        <v/>
      </c>
      <c r="F37" s="47" t="str">
        <f aca="false">IFERROR(SUMIFS('Weaving KPI Data'!$V$5:$V$504,'Weaving KPI Data'!$G$5:$G$504,$A37)/SUMIFS('Weaving KPI Data'!$O$5:$O$504,'Weaving KPI Data'!$G$5:$G$504,$A37)*100,"")</f>
        <v/>
      </c>
      <c r="G37" s="47" t="str">
        <f aca="false">IFERROR(SUMIFS('Weaving KPI Data'!$AF$5:$AF$504,'Weaving KPI Data'!$G$5:$G$504,$A37)/SUMIFS('Weaving KPI Data'!$O$5:$O$504,'Weaving KPI Data'!$G$5:$G$504,$A37)*1000,"")</f>
        <v/>
      </c>
      <c r="H37" s="50" t="str">
        <f aca="false">IFERROR(AVERAGEIFS('Weaving KPI Data'!$AW$5:$AW$504,'Weaving KPI Data'!$G$5:$G$504,$A37),"")</f>
        <v/>
      </c>
      <c r="I37" s="47" t="str">
        <f aca="false">IF(H37="","",IF(H37&gt;=1.05,"A+",IF(H37&gt;=1,"A",IF(H37&gt;=0.95,"B+",IF(H37&gt;=0.9,"B","C")))))</f>
        <v/>
      </c>
      <c r="J37" s="47" t="str">
        <f aca="false">IF(I37="","",IF(I37="A+",1800,IF(I37="A",1600,IF(I37="B+",1400,IF(I37="B",1200,0)))))</f>
        <v/>
      </c>
    </row>
    <row r="38" customFormat="false" ht="15" hidden="false" customHeight="true" outlineLevel="0" collapsed="false">
      <c r="A38" s="47" t="str">
        <f aca="false">IFERROR(INDEX('Operator Master'!$A$5:$A$504,ROWS($A$1:A27)),"")</f>
        <v>STL005471</v>
      </c>
      <c r="B38" s="47" t="str">
        <f aca="false">IFERROR(INDEX('Operator Master'!$B$5:$B$504,ROWS($A$1:A27)),"")</f>
        <v>MD. ASHRAFUL ISLAM</v>
      </c>
      <c r="C38" s="47" t="n">
        <f aca="false">IF($A38="","",SUMIFS('Weaving KPI Data'!$O$5:$O$504,'Weaving KPI Data'!$G$5:$G$504,$A38))</f>
        <v>0</v>
      </c>
      <c r="D38" s="47" t="str">
        <f aca="false">IFERROR(SUMIFS('Weaving KPI Data'!$O$5:$O$504,'Weaving KPI Data'!$G$5:$G$504,$A38)/SUMIFS('Weaving KPI Data'!$N$5:$N$504,'Weaving KPI Data'!$G$5:$G$504,$A38)*100,"")</f>
        <v/>
      </c>
      <c r="E38" s="47" t="str">
        <f aca="false">IFERROR(AVERAGEIFS('Weaving KPI Data'!$U$5:$U$504,'Weaving KPI Data'!$G$5:$G$504,$A38),"")</f>
        <v/>
      </c>
      <c r="F38" s="47" t="str">
        <f aca="false">IFERROR(SUMIFS('Weaving KPI Data'!$V$5:$V$504,'Weaving KPI Data'!$G$5:$G$504,$A38)/SUMIFS('Weaving KPI Data'!$O$5:$O$504,'Weaving KPI Data'!$G$5:$G$504,$A38)*100,"")</f>
        <v/>
      </c>
      <c r="G38" s="47" t="str">
        <f aca="false">IFERROR(SUMIFS('Weaving KPI Data'!$AF$5:$AF$504,'Weaving KPI Data'!$G$5:$G$504,$A38)/SUMIFS('Weaving KPI Data'!$O$5:$O$504,'Weaving KPI Data'!$G$5:$G$504,$A38)*1000,"")</f>
        <v/>
      </c>
      <c r="H38" s="50" t="str">
        <f aca="false">IFERROR(AVERAGEIFS('Weaving KPI Data'!$AW$5:$AW$504,'Weaving KPI Data'!$G$5:$G$504,$A38),"")</f>
        <v/>
      </c>
      <c r="I38" s="47" t="str">
        <f aca="false">IF(H38="","",IF(H38&gt;=1.05,"A+",IF(H38&gt;=1,"A",IF(H38&gt;=0.95,"B+",IF(H38&gt;=0.9,"B","C")))))</f>
        <v/>
      </c>
      <c r="J38" s="47" t="str">
        <f aca="false">IF(I38="","",IF(I38="A+",1800,IF(I38="A",1600,IF(I38="B+",1400,IF(I38="B",1200,0)))))</f>
        <v/>
      </c>
    </row>
    <row r="39" customFormat="false" ht="15" hidden="false" customHeight="true" outlineLevel="0" collapsed="false">
      <c r="A39" s="47" t="str">
        <f aca="false">IFERROR(INDEX('Operator Master'!$A$5:$A$504,ROWS($A$1:A28)),"")</f>
        <v>STL005525</v>
      </c>
      <c r="B39" s="47" t="str">
        <f aca="false">IFERROR(INDEX('Operator Master'!$B$5:$B$504,ROWS($A$1:A28)),"")</f>
        <v>MD. ASRAF AKANDA</v>
      </c>
      <c r="C39" s="47" t="n">
        <f aca="false">IF($A39="","",SUMIFS('Weaving KPI Data'!$O$5:$O$504,'Weaving KPI Data'!$G$5:$G$504,$A39))</f>
        <v>0</v>
      </c>
      <c r="D39" s="47" t="str">
        <f aca="false">IFERROR(SUMIFS('Weaving KPI Data'!$O$5:$O$504,'Weaving KPI Data'!$G$5:$G$504,$A39)/SUMIFS('Weaving KPI Data'!$N$5:$N$504,'Weaving KPI Data'!$G$5:$G$504,$A39)*100,"")</f>
        <v/>
      </c>
      <c r="E39" s="47" t="str">
        <f aca="false">IFERROR(AVERAGEIFS('Weaving KPI Data'!$U$5:$U$504,'Weaving KPI Data'!$G$5:$G$504,$A39),"")</f>
        <v/>
      </c>
      <c r="F39" s="47" t="str">
        <f aca="false">IFERROR(SUMIFS('Weaving KPI Data'!$V$5:$V$504,'Weaving KPI Data'!$G$5:$G$504,$A39)/SUMIFS('Weaving KPI Data'!$O$5:$O$504,'Weaving KPI Data'!$G$5:$G$504,$A39)*100,"")</f>
        <v/>
      </c>
      <c r="G39" s="47" t="str">
        <f aca="false">IFERROR(SUMIFS('Weaving KPI Data'!$AF$5:$AF$504,'Weaving KPI Data'!$G$5:$G$504,$A39)/SUMIFS('Weaving KPI Data'!$O$5:$O$504,'Weaving KPI Data'!$G$5:$G$504,$A39)*1000,"")</f>
        <v/>
      </c>
      <c r="H39" s="50" t="str">
        <f aca="false">IFERROR(AVERAGEIFS('Weaving KPI Data'!$AW$5:$AW$504,'Weaving KPI Data'!$G$5:$G$504,$A39),"")</f>
        <v/>
      </c>
      <c r="I39" s="47" t="str">
        <f aca="false">IF(H39="","",IF(H39&gt;=1.05,"A+",IF(H39&gt;=1,"A",IF(H39&gt;=0.95,"B+",IF(H39&gt;=0.9,"B","C")))))</f>
        <v/>
      </c>
      <c r="J39" s="47" t="str">
        <f aca="false">IF(I39="","",IF(I39="A+",1800,IF(I39="A",1600,IF(I39="B+",1400,IF(I39="B",1200,0)))))</f>
        <v/>
      </c>
    </row>
    <row r="40" customFormat="false" ht="15" hidden="false" customHeight="true" outlineLevel="0" collapsed="false">
      <c r="A40" s="47" t="str">
        <f aca="false">IFERROR(INDEX('Operator Master'!$A$5:$A$504,ROWS($A$1:A29)),"")</f>
        <v>STL005503</v>
      </c>
      <c r="B40" s="47" t="str">
        <f aca="false">IFERROR(INDEX('Operator Master'!$B$5:$B$504,ROWS($A$1:A29)),"")</f>
        <v>MD. JIHADUZZAMAN (JIAD)</v>
      </c>
      <c r="C40" s="47" t="n">
        <f aca="false">IF($A40="","",SUMIFS('Weaving KPI Data'!$O$5:$O$504,'Weaving KPI Data'!$G$5:$G$504,$A40))</f>
        <v>0</v>
      </c>
      <c r="D40" s="47" t="str">
        <f aca="false">IFERROR(SUMIFS('Weaving KPI Data'!$O$5:$O$504,'Weaving KPI Data'!$G$5:$G$504,$A40)/SUMIFS('Weaving KPI Data'!$N$5:$N$504,'Weaving KPI Data'!$G$5:$G$504,$A40)*100,"")</f>
        <v/>
      </c>
      <c r="E40" s="47" t="str">
        <f aca="false">IFERROR(AVERAGEIFS('Weaving KPI Data'!$U$5:$U$504,'Weaving KPI Data'!$G$5:$G$504,$A40),"")</f>
        <v/>
      </c>
      <c r="F40" s="47" t="str">
        <f aca="false">IFERROR(SUMIFS('Weaving KPI Data'!$V$5:$V$504,'Weaving KPI Data'!$G$5:$G$504,$A40)/SUMIFS('Weaving KPI Data'!$O$5:$O$504,'Weaving KPI Data'!$G$5:$G$504,$A40)*100,"")</f>
        <v/>
      </c>
      <c r="G40" s="47" t="str">
        <f aca="false">IFERROR(SUMIFS('Weaving KPI Data'!$AF$5:$AF$504,'Weaving KPI Data'!$G$5:$G$504,$A40)/SUMIFS('Weaving KPI Data'!$O$5:$O$504,'Weaving KPI Data'!$G$5:$G$504,$A40)*1000,"")</f>
        <v/>
      </c>
      <c r="H40" s="50" t="str">
        <f aca="false">IFERROR(AVERAGEIFS('Weaving KPI Data'!$AW$5:$AW$504,'Weaving KPI Data'!$G$5:$G$504,$A40),"")</f>
        <v/>
      </c>
      <c r="I40" s="47" t="str">
        <f aca="false">IF(H40="","",IF(H40&gt;=1.05,"A+",IF(H40&gt;=1,"A",IF(H40&gt;=0.95,"B+",IF(H40&gt;=0.9,"B","C")))))</f>
        <v/>
      </c>
      <c r="J40" s="47" t="str">
        <f aca="false">IF(I40="","",IF(I40="A+",1800,IF(I40="A",1600,IF(I40="B+",1400,IF(I40="B",1200,0)))))</f>
        <v/>
      </c>
    </row>
    <row r="41" customFormat="false" ht="15" hidden="false" customHeight="true" outlineLevel="0" collapsed="false">
      <c r="A41" s="47" t="str">
        <f aca="false">IFERROR(INDEX('Operator Master'!$A$5:$A$504,ROWS($A$1:A30)),"")</f>
        <v>STL005519</v>
      </c>
      <c r="B41" s="47" t="str">
        <f aca="false">IFERROR(INDEX('Operator Master'!$B$5:$B$504,ROWS($A$1:A30)),"")</f>
        <v>MD. MOZNU SHEKH</v>
      </c>
      <c r="C41" s="47" t="n">
        <f aca="false">IF($A41="","",SUMIFS('Weaving KPI Data'!$O$5:$O$504,'Weaving KPI Data'!$G$5:$G$504,$A41))</f>
        <v>0</v>
      </c>
      <c r="D41" s="47" t="str">
        <f aca="false">IFERROR(SUMIFS('Weaving KPI Data'!$O$5:$O$504,'Weaving KPI Data'!$G$5:$G$504,$A41)/SUMIFS('Weaving KPI Data'!$N$5:$N$504,'Weaving KPI Data'!$G$5:$G$504,$A41)*100,"")</f>
        <v/>
      </c>
      <c r="E41" s="47" t="str">
        <f aca="false">IFERROR(AVERAGEIFS('Weaving KPI Data'!$U$5:$U$504,'Weaving KPI Data'!$G$5:$G$504,$A41),"")</f>
        <v/>
      </c>
      <c r="F41" s="47" t="str">
        <f aca="false">IFERROR(SUMIFS('Weaving KPI Data'!$V$5:$V$504,'Weaving KPI Data'!$G$5:$G$504,$A41)/SUMIFS('Weaving KPI Data'!$O$5:$O$504,'Weaving KPI Data'!$G$5:$G$504,$A41)*100,"")</f>
        <v/>
      </c>
      <c r="G41" s="47" t="str">
        <f aca="false">IFERROR(SUMIFS('Weaving KPI Data'!$AF$5:$AF$504,'Weaving KPI Data'!$G$5:$G$504,$A41)/SUMIFS('Weaving KPI Data'!$O$5:$O$504,'Weaving KPI Data'!$G$5:$G$504,$A41)*1000,"")</f>
        <v/>
      </c>
      <c r="H41" s="50" t="str">
        <f aca="false">IFERROR(AVERAGEIFS('Weaving KPI Data'!$AW$5:$AW$504,'Weaving KPI Data'!$G$5:$G$504,$A41),"")</f>
        <v/>
      </c>
      <c r="I41" s="47" t="str">
        <f aca="false">IF(H41="","",IF(H41&gt;=1.05,"A+",IF(H41&gt;=1,"A",IF(H41&gt;=0.95,"B+",IF(H41&gt;=0.9,"B","C")))))</f>
        <v/>
      </c>
      <c r="J41" s="47" t="str">
        <f aca="false">IF(I41="","",IF(I41="A+",1800,IF(I41="A",1600,IF(I41="B+",1400,IF(I41="B",1200,0)))))</f>
        <v/>
      </c>
    </row>
  </sheetData>
  <autoFilter ref="A11:J41"/>
  <mergeCells count="1">
    <mergeCell ref="A1:L2"/>
  </mergeCells>
  <dataValidations count="2">
    <dataValidation allowBlank="true" errorStyle="stop" operator="between" showDropDown="false" showErrorMessage="false" showInputMessage="false" sqref="B5" type="list">
      <formula1>"All"</formula1>
      <formula2>0</formula2>
    </dataValidation>
    <dataValidation allowBlank="true" errorStyle="stop" operator="between" showDropDown="false" showErrorMessage="false" showInputMessage="false" sqref="E5" type="list">
      <formula1>"All,A,B,C"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2026-09-23T16:47:48Z</dcterms:created>
  <dc:creator>Mehedi Hassan</dc:creator>
  <dc:description/>
  <dc:language>en-US</dc:language>
  <cp:lastModifiedBy/>
  <dcterms:modified xsi:type="dcterms:W3CDTF">2026-09-23T20:40:03Z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